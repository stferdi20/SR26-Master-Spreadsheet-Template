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 Read me" sheetId="1" state="visible" r:id="rId1"/>
    <sheet xmlns:r="http://schemas.openxmlformats.org/officeDocument/2006/relationships" name="1. Requirements matrix" sheetId="2" state="visible" r:id="rId2"/>
    <sheet xmlns:r="http://schemas.openxmlformats.org/officeDocument/2006/relationships" name="2. Quant – Databook mapping" sheetId="3" state="visible" r:id="rId3"/>
    <sheet xmlns:r="http://schemas.openxmlformats.org/officeDocument/2006/relationships" name="3. Stakeholder map &amp; RASCI" sheetId="4" state="visible" r:id="rId4"/>
    <sheet xmlns:r="http://schemas.openxmlformats.org/officeDocument/2006/relationships" name="4. Request tracker" sheetId="5" state="visible" r:id="rId5"/>
    <sheet xmlns:r="http://schemas.openxmlformats.org/officeDocument/2006/relationships" name="Faculties" sheetId="6" state="visible" r:id="rId6"/>
    <sheet xmlns:r="http://schemas.openxmlformats.org/officeDocument/2006/relationships" name="CI&amp;S" sheetId="7" state="visible" r:id="rId7"/>
    <sheet xmlns:r="http://schemas.openxmlformats.org/officeDocument/2006/relationships" name="CFOG" sheetId="8" state="visible" r:id="rId8"/>
    <sheet xmlns:r="http://schemas.openxmlformats.org/officeDocument/2006/relationships" name="ESG" sheetId="9" state="visible" r:id="rId9"/>
    <sheet xmlns:r="http://schemas.openxmlformats.org/officeDocument/2006/relationships" name="CIOG" sheetId="10" state="visible" r:id="rId10"/>
    <sheet xmlns:r="http://schemas.openxmlformats.org/officeDocument/2006/relationships" name="MRE" sheetId="11" state="visible" r:id="rId11"/>
    <sheet xmlns:r="http://schemas.openxmlformats.org/officeDocument/2006/relationships" name="L&amp;R" sheetId="12" state="visible" r:id="rId12"/>
    <sheet xmlns:r="http://schemas.openxmlformats.org/officeDocument/2006/relationships" name="A1. Data scoring" sheetId="13" state="visible" r:id="rId13"/>
    <sheet xmlns:r="http://schemas.openxmlformats.org/officeDocument/2006/relationships" name="0.5 Target Check" sheetId="14" state="visible" r:id="rId14"/>
    <sheet xmlns:r="http://schemas.openxmlformats.org/officeDocument/2006/relationships" name="T1. Manual target review" sheetId="15" state="visible" r:id="rId15"/>
    <sheet xmlns:r="http://schemas.openxmlformats.org/officeDocument/2006/relationships" name="T2. Single target review" sheetId="16" state="visible" r:id="rId16"/>
    <sheet xmlns:r="http://schemas.openxmlformats.org/officeDocument/2006/relationships" name="Request wording log" sheetId="17" state="visible" r:id="rId17"/>
    <sheet xmlns:r="http://schemas.openxmlformats.org/officeDocument/2006/relationships" name="Highlighted stories" sheetId="18" state="visible" r:id="rId18"/>
    <sheet xmlns:r="http://schemas.openxmlformats.org/officeDocument/2006/relationships" name="Evidence register" sheetId="19" state="visible" r:id="rId19"/>
    <sheet xmlns:r="http://schemas.openxmlformats.org/officeDocument/2006/relationships" name="Issues log" sheetId="20" state="visible" r:id="rId20"/>
    <sheet xmlns:r="http://schemas.openxmlformats.org/officeDocument/2006/relationships" name="P0 Project overview" sheetId="21" state="visible" r:id="rId21"/>
    <sheet xmlns:r="http://schemas.openxmlformats.org/officeDocument/2006/relationships" name="P1 Project plan" sheetId="22" state="visible" r:id="rId22"/>
    <sheet xmlns:r="http://schemas.openxmlformats.org/officeDocument/2006/relationships" name="P2 Timeline &amp; RASCI" sheetId="23" state="visible" r:id="rId23"/>
    <sheet xmlns:r="http://schemas.openxmlformats.org/officeDocument/2006/relationships" name="P3 To do – comms+web" sheetId="24" state="visible" r:id="rId24"/>
    <sheet xmlns:r="http://schemas.openxmlformats.org/officeDocument/2006/relationships" name="P4 Content checklist" sheetId="25" state="visible" r:id="rId25"/>
    <sheet xmlns:r="http://schemas.openxmlformats.org/officeDocument/2006/relationships" name="P5 SR26 page index" sheetId="26" state="visible" r:id="rId26"/>
    <sheet xmlns:r="http://schemas.openxmlformats.org/officeDocument/2006/relationships" name="Lists" sheetId="27" state="hidden" r:id="rId27"/>
  </sheets>
  <definedNames>
    <definedName name="_xlnm._FilterDatabase" localSheetId="1" hidden="1">'1. Requirements matrix'!$B$5:$P$53</definedName>
    <definedName name="_xlnm._FilterDatabase" localSheetId="12" hidden="1">'A1. Data scoring'!$B$10:$AF$298</definedName>
    <definedName name="_xlnm._FilterDatabase" localSheetId="14" hidden="1">'T1. Manual target review'!$B$7:$O$312</definedName>
  </definedNames>
  <calcPr calcId="124519" fullCalcOnLoad="1"/>
</workbook>
</file>

<file path=xl/styles.xml><?xml version="1.0" encoding="utf-8"?>
<styleSheet xmlns="http://schemas.openxmlformats.org/spreadsheetml/2006/main">
  <numFmts count="2">
    <numFmt numFmtId="164" formatCode="yyyy-mm-dd"/>
    <numFmt numFmtId="165" formatCode="dd/mm/yyyy"/>
  </numFmts>
  <fonts count="22">
    <font>
      <name val="Calibri"/>
      <family val="2"/>
      <color theme="1"/>
      <sz val="11"/>
      <scheme val="minor"/>
    </font>
    <font>
      <name val="Aptos"/>
      <color rgb="00002060"/>
    </font>
    <font>
      <name val="Arial"/>
      <sz val="11"/>
    </font>
    <font>
      <name val="Aptos"/>
      <b val="1"/>
      <color rgb="00002060"/>
      <sz val="22"/>
    </font>
    <font>
      <name val="Aptos"/>
      <b val="1"/>
      <color rgb="00FFFFFF"/>
    </font>
    <font>
      <name val="Aptos"/>
    </font>
    <font>
      <name val="Aptos"/>
      <b val="1"/>
      <color rgb="00FFFFFF"/>
      <sz val="12"/>
    </font>
    <font>
      <name val="Aptos Narrow"/>
      <b val="1"/>
      <sz val="11"/>
    </font>
    <font>
      <name val="Aptos Narrow"/>
      <sz val="11"/>
    </font>
    <font>
      <name val="Aptos"/>
      <i val="1"/>
    </font>
    <font>
      <name val="Aptos"/>
      <b val="1"/>
      <color rgb="00002060"/>
      <sz val="14"/>
    </font>
    <font>
      <name val="Aptos"/>
      <b val="1"/>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i val="1"/>
      <sz val="9"/>
    </font>
    <font>
      <name val="Aptos Narrow"/>
      <color rgb="00808080"/>
      <sz val="9"/>
    </font>
    <font>
      <name val="Aptos"/>
      <b val="1"/>
      <sz val="14"/>
    </font>
    <font>
      <name val="Aptos"/>
      <b val="1"/>
      <color rgb="00002060"/>
      <sz val="13"/>
    </font>
    <font>
      <name val="Aptos"/>
      <b val="1"/>
      <color rgb="00FFFFFF"/>
      <sz val="8"/>
    </font>
  </fonts>
  <fills count="10">
    <fill>
      <patternFill/>
    </fill>
    <fill>
      <patternFill patternType="gray125"/>
    </fill>
    <fill>
      <patternFill patternType="solid">
        <fgColor rgb="000B3040"/>
      </patternFill>
    </fill>
    <fill>
      <patternFill patternType="solid">
        <fgColor rgb="00C1E4F5"/>
      </patternFill>
    </fill>
    <fill>
      <patternFill patternType="solid">
        <fgColor rgb="00FFC000"/>
      </patternFill>
    </fill>
    <fill>
      <patternFill patternType="solid">
        <fgColor rgb="00FFF2CC"/>
      </patternFill>
    </fill>
    <fill>
      <patternFill patternType="solid">
        <fgColor rgb="00E2EFDA"/>
      </patternFill>
    </fill>
    <fill>
      <patternFill patternType="solid">
        <fgColor rgb="00F2F2F2"/>
      </patternFill>
    </fill>
    <fill>
      <patternFill patternType="solid">
        <fgColor rgb="00D9D9D9"/>
      </patternFill>
    </fill>
    <fill>
      <patternFill patternType="solid">
        <fgColor rgb="00156082"/>
      </patternFill>
    </fill>
  </fills>
  <borders count="6">
    <border>
      <left/>
      <right/>
      <top/>
      <bottom/>
      <diagonal/>
    </border>
    <border>
      <left style="thin">
        <color rgb="00808080"/>
      </left>
      <right style="thin">
        <color rgb="00808080"/>
      </right>
      <top style="thin">
        <color rgb="00808080"/>
      </top>
      <bottom style="thin">
        <color rgb="00808080"/>
      </bottom>
    </border>
    <border>
      <left style="thin">
        <color rgb="00808080"/>
      </left>
      <right/>
      <top/>
      <bottom/>
      <diagonal/>
    </border>
    <border>
      <left style="thin">
        <color rgb="00808080"/>
      </left>
      <right style="thin">
        <color rgb="00808080"/>
      </right>
      <top/>
      <bottom/>
      <diagonal/>
    </border>
    <border>
      <left style="thin">
        <color rgb="00808080"/>
      </left>
      <right style="thin">
        <color rgb="00808080"/>
      </right>
      <top/>
      <bottom style="thin">
        <color rgb="00808080"/>
      </bottom>
      <diagonal/>
    </border>
    <border>
      <left style="medium"/>
      <right style="medium"/>
      <top style="medium"/>
      <bottom style="medium"/>
    </border>
  </borders>
  <cellStyleXfs count="1">
    <xf numFmtId="0" fontId="0" fillId="0" borderId="0"/>
  </cellStyleXfs>
  <cellXfs count="4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vertical="top" wrapText="1"/>
    </xf>
    <xf numFmtId="0" fontId="5" fillId="0" borderId="1" applyAlignment="1" pivotButton="0" quotePrefix="0" xfId="0">
      <alignment vertical="top" wrapText="1"/>
    </xf>
    <xf numFmtId="0" fontId="6" fillId="2" borderId="1" applyAlignment="1" pivotButton="0" quotePrefix="0" xfId="0">
      <alignment horizontal="center" vertical="center" wrapText="1"/>
    </xf>
    <xf numFmtId="0" fontId="7" fillId="3" borderId="1" applyAlignment="1" pivotButton="0" quotePrefix="0" xfId="0">
      <alignment vertical="top" wrapText="1"/>
    </xf>
    <xf numFmtId="0" fontId="8" fillId="0" borderId="1" applyAlignment="1" pivotButton="0" quotePrefix="0" xfId="0">
      <alignment vertical="top" wrapText="1"/>
    </xf>
    <xf numFmtId="0" fontId="9" fillId="0" borderId="0" pivotButton="0" quotePrefix="0" xfId="0"/>
    <xf numFmtId="0" fontId="8" fillId="5" borderId="1" applyAlignment="1" pivotButton="0" quotePrefix="0" xfId="0">
      <alignment vertical="top" wrapText="1"/>
    </xf>
    <xf numFmtId="0" fontId="10" fillId="0" borderId="0" pivotButton="0" quotePrefix="0" xfId="0"/>
    <xf numFmtId="0" fontId="8" fillId="3" borderId="1" applyAlignment="1" pivotButton="0" quotePrefix="0" xfId="0">
      <alignment vertical="top" wrapText="1"/>
    </xf>
    <xf numFmtId="0" fontId="8" fillId="6" borderId="1" applyAlignment="1" pivotButton="0" quotePrefix="0" xfId="0">
      <alignment horizontal="center" vertical="center" wrapText="1"/>
    </xf>
    <xf numFmtId="0" fontId="8" fillId="0" borderId="1" applyAlignment="1" pivotButton="0" quotePrefix="0" xfId="0">
      <alignment horizontal="center" vertical="center" wrapText="1"/>
    </xf>
    <xf numFmtId="0" fontId="11" fillId="0" borderId="0" pivotButton="0" quotePrefix="0" xfId="0"/>
    <xf numFmtId="9" fontId="0" fillId="0" borderId="0" pivotButton="0" quotePrefix="0" xfId="0"/>
    <xf numFmtId="165" fontId="8" fillId="0" borderId="1" applyAlignment="1" pivotButton="0" quotePrefix="0" xfId="0">
      <alignment vertical="top" wrapText="1"/>
    </xf>
    <xf numFmtId="0" fontId="12" fillId="7" borderId="0" pivotButton="0" quotePrefix="0" xfId="0"/>
    <xf numFmtId="0" fontId="13" fillId="2" borderId="0" applyAlignment="1" pivotButton="0" quotePrefix="0" xfId="0">
      <alignment horizontal="center" vertical="center" wrapText="1"/>
    </xf>
    <xf numFmtId="0" fontId="14" fillId="4" borderId="0" applyAlignment="1" pivotButton="0" quotePrefix="0" xfId="0">
      <alignment horizontal="center" vertical="center" wrapText="1"/>
    </xf>
    <xf numFmtId="0" fontId="16" fillId="4" borderId="1" applyAlignment="1" pivotButton="0" quotePrefix="0" xfId="0">
      <alignment horizontal="center" vertical="center" wrapText="1"/>
    </xf>
    <xf numFmtId="0" fontId="15" fillId="7" borderId="1" applyAlignment="1" pivotButton="0" quotePrefix="0" xfId="0">
      <alignment horizontal="center" vertical="center" wrapText="1"/>
    </xf>
    <xf numFmtId="0" fontId="0" fillId="0" borderId="0" applyAlignment="1" pivotButton="0" quotePrefix="0" xfId="0">
      <alignment vertical="top" wrapText="1"/>
    </xf>
    <xf numFmtId="0" fontId="17" fillId="0" borderId="0" pivotButton="0" quotePrefix="0" xfId="0"/>
    <xf numFmtId="0" fontId="8" fillId="7" borderId="1" applyAlignment="1" pivotButton="0" quotePrefix="0" xfId="0">
      <alignment vertical="top"/>
    </xf>
    <xf numFmtId="0" fontId="8" fillId="6" borderId="1" applyAlignment="1" pivotButton="0" quotePrefix="0" xfId="0">
      <alignment vertical="top" wrapText="1"/>
    </xf>
    <xf numFmtId="2" fontId="8" fillId="6" borderId="1" applyAlignment="1" pivotButton="0" quotePrefix="0" xfId="0">
      <alignment vertical="top" wrapText="1"/>
    </xf>
    <xf numFmtId="9" fontId="8" fillId="6" borderId="1" applyAlignment="1" pivotButton="0" quotePrefix="0" xfId="0">
      <alignment vertical="top" wrapText="1"/>
    </xf>
    <xf numFmtId="0" fontId="7" fillId="0" borderId="1" applyAlignment="1" pivotButton="0" quotePrefix="0" xfId="0">
      <alignment vertical="top" wrapText="1"/>
    </xf>
    <xf numFmtId="0" fontId="7" fillId="8" borderId="1" applyAlignment="1" pivotButton="0" quotePrefix="0" xfId="0">
      <alignment vertical="top" wrapText="1"/>
    </xf>
    <xf numFmtId="0" fontId="7" fillId="6" borderId="1" applyAlignment="1" pivotButton="0" quotePrefix="0" xfId="0">
      <alignment vertical="top" wrapText="1"/>
    </xf>
    <xf numFmtId="0" fontId="18" fillId="0" borderId="1" applyAlignment="1" pivotButton="0" quotePrefix="0" xfId="0">
      <alignment vertical="top" wrapText="1"/>
    </xf>
    <xf numFmtId="0" fontId="8" fillId="7" borderId="1" applyAlignment="1" pivotButton="0" quotePrefix="0" xfId="0">
      <alignment vertical="top" wrapText="1"/>
    </xf>
    <xf numFmtId="0" fontId="0" fillId="0" borderId="3" pivotButton="0" quotePrefix="0" xfId="0"/>
    <xf numFmtId="0" fontId="0" fillId="0" borderId="4" pivotButton="0" quotePrefix="0" xfId="0"/>
    <xf numFmtId="0" fontId="19" fillId="4" borderId="5" pivotButton="0" quotePrefix="0" xfId="0"/>
    <xf numFmtId="0" fontId="4" fillId="2" borderId="1" pivotButton="0" quotePrefix="0" xfId="0"/>
    <xf numFmtId="0" fontId="0" fillId="0" borderId="1" applyAlignment="1" pivotButton="0" quotePrefix="0" xfId="0">
      <alignment vertical="top" wrapText="1"/>
    </xf>
    <xf numFmtId="0" fontId="11" fillId="0" borderId="0" applyAlignment="1" pivotButton="0" quotePrefix="0" xfId="0">
      <alignment vertical="top" wrapText="1"/>
    </xf>
    <xf numFmtId="0" fontId="20" fillId="0" borderId="0" pivotButton="0" quotePrefix="0" xfId="0"/>
    <xf numFmtId="9" fontId="20" fillId="0" borderId="0" pivotButton="0" quotePrefix="0" xfId="0"/>
    <xf numFmtId="0" fontId="8" fillId="8" borderId="1" applyAlignment="1" pivotButton="0" quotePrefix="0" xfId="0">
      <alignment horizontal="center" vertical="center" wrapText="1"/>
    </xf>
    <xf numFmtId="0" fontId="4" fillId="2" borderId="1" applyAlignment="1" pivotButton="0" quotePrefix="0" xfId="0">
      <alignment horizontal="center" vertical="center" wrapText="1"/>
    </xf>
    <xf numFmtId="16" fontId="21" fillId="2" borderId="0" applyAlignment="1" pivotButton="0" quotePrefix="0" xfId="0">
      <alignment horizontal="center" textRotation="90"/>
    </xf>
    <xf numFmtId="0" fontId="4" fillId="9" borderId="0" pivotButton="0" quotePrefix="0" xfId="0"/>
    <xf numFmtId="0" fontId="0" fillId="9" borderId="0" pivotButton="0" quotePrefix="0" xfId="0"/>
  </cellXfs>
  <cellStyles count="1">
    <cellStyle name="Normal" xfId="0" builtinId="0" hidden="0"/>
  </cellStyles>
  <dxfs count="2">
    <dxf>
      <font>
        <color rgb="00FFC000"/>
      </font>
      <fill>
        <patternFill patternType="solid">
          <fgColor rgb="00FFC000"/>
        </patternFill>
      </fill>
    </dxf>
    <dxf>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styles" Target="styles.xml" Id="rId28"/><Relationship Type="http://schemas.openxmlformats.org/officeDocument/2006/relationships/theme" Target="theme/theme1.xml" Id="rId2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12"/>
  <sheetViews>
    <sheetView showGridLines="0" workbookViewId="0">
      <selection activeCell="A1" sqref="A1"/>
    </sheetView>
  </sheetViews>
  <sheetFormatPr baseColWidth="8" defaultRowHeight="15"/>
  <cols>
    <col width="4" customWidth="1" min="1" max="1"/>
    <col width="22" customWidth="1" min="2" max="2"/>
    <col width="120" customWidth="1" min="3" max="3"/>
  </cols>
  <sheetData>
    <row r="1">
      <c r="A1" s="1" t="inlineStr">
        <is>
          <t>↑</t>
        </is>
      </c>
      <c r="B1" s="2" t="inlineStr">
        <is>
          <t>SR26 data collection master spreadsheet</t>
        </is>
      </c>
    </row>
    <row r="2">
      <c r="B2" s="3" t="inlineStr">
        <is>
          <t>2026 Sustainability Report – data collection master</t>
        </is>
      </c>
    </row>
    <row r="4" ht="45" customHeight="1">
      <c r="B4" s="4" t="inlineStr">
        <is>
          <t>Purpose</t>
        </is>
      </c>
      <c r="C4" s="5" t="inlineStr">
        <is>
          <t>Central record of SR26 data requirements, owners, reporting requests, responses and evidence. Adapted from the 2025 end-year reporting master spreadsheet (V0.2) and the Sustainability 2030 updated targets (Qual and Quan worksheets).</t>
        </is>
      </c>
    </row>
    <row r="5" ht="30" customHeight="1">
      <c r="B5" s="4" t="inlineStr">
        <is>
          <t>Status</t>
        </is>
      </c>
      <c r="C5" s="5" t="inlineStr">
        <is>
          <t>DRAFT v0.1 – pilot with 4 faculties (ABP, Arts, FBE, Science) and 6 central units (CI&amp;S, CFOG, ESG, CIOG, MRE, Legal &amp; Risk).</t>
        </is>
      </c>
    </row>
    <row r="6" ht="60" customHeight="1">
      <c r="B6" s="4" t="inlineStr">
        <is>
          <t>Reporting approach</t>
        </is>
      </c>
      <c r="C6" s="5" t="inlineStr">
        <is>
          <t>Transition year: cover all of CY2026, distinguishing former Sustainability Plan 2030 activity from foundations and early actions after the Sustainability 2030 launch (~20 Oct 2026). Databook is the authoritative quantitative source. Target status (Met/Partially met/Not met) retained for now for internal management reporting – rating framework under review.</t>
        </is>
      </c>
    </row>
    <row r="7" ht="45" customHeight="1">
      <c r="B7" s="4" t="inlineStr">
        <is>
          <t>Key dates (TBC)</t>
        </is>
      </c>
      <c r="C7" s="5" t="inlineStr">
        <is>
          <t>Requests issued: Nov–Dec 2026 | Highlighted stories due: Friday 4 December 2026 (TBC) | Reporting template due: Friday 15 January 2027 (TBC) | Support meetings: January 2027 | Sustainability Reporting Review Group: ~15 Feb 2027 | VCAG: 16 Feb &amp; ~2 Mar 2027</t>
        </is>
      </c>
    </row>
    <row r="8" ht="375" customHeight="1">
      <c r="B8" s="4" t="inlineStr">
        <is>
          <t>Tabs</t>
        </is>
      </c>
      <c r="C8" s="5" t="inlineStr">
        <is>
          <t>1. Requirements matrix – every S2030 qualitative indicator, owner and request
2. Quant – Databook mapping – quantitative indicators to confirm with the Databook/central data owners
3. Stakeholder map &amp; RASCI – SR25 → SR26 unit mapping and who is asked for what
4. Request tracker – sent/chased/received/confirmed status and response rate
Faculties / CI&amp;S / CFOG / ESG / CIOG / MRE / L&amp;R – consolidated responses (copy in from returned request workbooks; same layout)
Highlighted stories – consolidated optional stories and case-study shortlist
A1. Data scoring – auto-pulls every unit's responses per indicator and scores target status (SR25 method)
0.5 Target Check – which units were asked about each indicator
T1. Manual target review – every indicator with responses from the units asked, side by side, plus reviewer notes
T2. Single target review – pick an indicator and see all units' responses and the scored status
Request wording log – original S2030 wording vs tailored faculty request wording
Evidence register – source, evidence, limitations and owner confirmation for every material claim
Issues log – open questions, TBCs and decisions
P0–P5 – project tabs: overview &amp; SR25 lessons, plan on a page, timeline/RASCI Gantt, comms+web to-do, content checklist, page index</t>
        </is>
      </c>
    </row>
    <row r="9" ht="30" customHeight="1">
      <c r="B9" s="4" t="inlineStr">
        <is>
          <t>Refs</t>
        </is>
      </c>
      <c r="C9" s="5" t="inlineStr">
        <is>
          <t>Refs are new SR26 codes: priority-area code + target number + indicator letter (e.g. EE1(a) = Exceptional education, target 1, indicator a). 'Related SR25 ref' links to the closest SP2030 (2025) target where one exists.</t>
        </is>
      </c>
    </row>
    <row r="10" ht="30" customHeight="1">
      <c r="B10" s="4" t="inlineStr">
        <is>
          <t>Regenerating</t>
        </is>
      </c>
      <c r="C10" s="5" t="inlineStr">
        <is>
          <t>Workbooks are generated by build.py in the repository. Edit the settings at the top (due dates, pilot faculties, unit mapping) and re-run to produce request workbooks for additional faculties/units.</t>
        </is>
      </c>
    </row>
    <row r="11" ht="30" customHeight="1">
      <c r="B11" s="4" t="inlineStr">
        <is>
          <t>Request wording</t>
        </is>
      </c>
      <c r="C11" s="5" t="inlineStr">
        <is>
          <t>Faculty requests are rewritten in the SR25 style and point to each faculty's end-2025 response (see Request wording log). Central-unit requests use the S2030 'Qual' worksheet wording as-is.</t>
        </is>
      </c>
    </row>
    <row r="12" ht="30" customHeight="1">
      <c r="B12" s="4" t="inlineStr">
        <is>
          <t>Formulas</t>
        </is>
      </c>
      <c r="C12" s="5" t="inlineStr">
        <is>
          <t>Responses must be pasted into the Faculties/central-unit tabs keeping the same rows – A1, 0.5 and T2 look them up by Ref. Do not insert rows inside a block; add new units by re-running build.py.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53"/>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9" customWidth="1" min="2" max="2"/>
    <col width="16" customWidth="1" min="3" max="3"/>
    <col width="18" customWidth="1" min="4" max="4"/>
    <col width="40" customWidth="1" min="5" max="5"/>
    <col width="40" customWidth="1" min="6" max="6"/>
    <col width="50" customWidth="1" min="7" max="7"/>
    <col width="18" customWidth="1" min="8" max="8"/>
    <col width="22" customWidth="1" min="9" max="9"/>
    <col width="40" customWidth="1" min="10" max="10"/>
    <col width="11" customWidth="1" min="11" max="11"/>
    <col width="12" customWidth="1" min="12" max="12"/>
    <col width="30" customWidth="1" min="13" max="13"/>
    <col width="10" customWidth="1" min="14" max="14"/>
    <col width="18" customWidth="1" min="15" max="15"/>
    <col width="12" customWidth="1" min="16" max="16"/>
  </cols>
  <sheetData>
    <row r="1">
      <c r="A1" s="1" t="inlineStr">
        <is>
          <t>↑</t>
        </is>
      </c>
      <c r="B1" s="2" t="inlineStr">
        <is>
          <t>End-2026 target status assessment and reporting</t>
        </is>
      </c>
    </row>
    <row r="2">
      <c r="B2" s="3" t="inlineStr">
        <is>
          <t>1. Requirements matrix (qualitative)</t>
        </is>
      </c>
    </row>
    <row r="5">
      <c r="B5" s="6" t="inlineStr">
        <is>
          <t>Ref</t>
        </is>
      </c>
      <c r="C5" s="6" t="inlineStr">
        <is>
          <t>Domain</t>
        </is>
      </c>
      <c r="D5" s="6" t="inlineStr">
        <is>
          <t>Priority area</t>
        </is>
      </c>
      <c r="E5" s="6" t="inlineStr">
        <is>
          <t>Target</t>
        </is>
      </c>
      <c r="F5" s="6" t="inlineStr">
        <is>
          <t>Indicator</t>
        </is>
      </c>
      <c r="G5" s="6" t="inlineStr">
        <is>
          <t>Reporting requirement (S2030 Qual sheet)</t>
        </is>
      </c>
      <c r="H5" s="6" t="inlineStr">
        <is>
          <t>Key stakeholders (S2030 sheet)</t>
        </is>
      </c>
      <c r="I5" s="6" t="inlineStr">
        <is>
          <t>SR26 request issued to</t>
        </is>
      </c>
      <c r="J5" s="6" t="inlineStr">
        <is>
          <t>Specific projects we are aware of (area &amp; person)</t>
        </is>
      </c>
      <c r="K5" s="6" t="inlineStr">
        <is>
          <t>Internal vs External</t>
        </is>
      </c>
      <c r="L5" s="6" t="inlineStr">
        <is>
          <t>Flag for continuous improvement</t>
        </is>
      </c>
      <c r="M5" s="6" t="inlineStr">
        <is>
          <t>Notes</t>
        </is>
      </c>
      <c r="N5" s="6" t="inlineStr">
        <is>
          <t>Related SR25 ref</t>
        </is>
      </c>
      <c r="O5" s="6" t="inlineStr">
        <is>
          <t>Channel</t>
        </is>
      </c>
      <c r="P5" s="6" t="inlineStr">
        <is>
          <t>Owner confirmed?</t>
        </is>
      </c>
    </row>
    <row r="6" ht="90" customHeight="1">
      <c r="B6" s="7" t="inlineStr">
        <is>
          <t>EE1(a)</t>
        </is>
      </c>
      <c r="C6" s="8" t="inlineStr">
        <is>
          <t>Education and research</t>
        </is>
      </c>
      <c r="D6" s="8" t="inlineStr">
        <is>
          <t>Exceptional education</t>
        </is>
      </c>
      <c r="E6" s="8" t="inlineStr">
        <is>
          <t>Provide our students with learning experiences that help them build the knowledge, skills and relationships to lead change for sustainable societies.</t>
        </is>
      </c>
      <c r="F6" s="8" t="inlineStr">
        <is>
          <t>Evidence of innovative approaches to sustainability teaching and learning</t>
        </is>
      </c>
      <c r="G6" s="8" t="inlineStr">
        <is>
          <t>Please describe any innovative approaches used within your Faculty/Portfolio to embed sustainability in teaching and learning. This could include examples of subjects, curriculum design, pedagogies, assessment approaches or learning resources. Please provide links or supporting evidence where available.</t>
        </is>
      </c>
      <c r="H6" s="8" t="inlineStr">
        <is>
          <t>Faculties, CI&amp;S</t>
        </is>
      </c>
      <c r="I6" s="8" t="inlineStr">
        <is>
          <t>Faculties (pilot), CI&amp;S</t>
        </is>
      </c>
      <c r="J6" s="8" t="inlineStr"/>
      <c r="K6" s="8" t="inlineStr">
        <is>
          <t>Both</t>
        </is>
      </c>
      <c r="L6" s="8" t="inlineStr">
        <is>
          <t>No</t>
        </is>
      </c>
      <c r="M6" s="8" t="inlineStr"/>
      <c r="N6" s="8" t="inlineStr">
        <is>
          <t>4a(ii)</t>
        </is>
      </c>
      <c r="O6" s="8" t="inlineStr">
        <is>
          <t>Tailored request</t>
        </is>
      </c>
      <c r="P6" s="8" t="inlineStr"/>
    </row>
    <row r="7" ht="90" customHeight="1">
      <c r="B7" s="7" t="inlineStr">
        <is>
          <t>EE1(b)</t>
        </is>
      </c>
      <c r="C7" s="8" t="inlineStr">
        <is>
          <t>Education and research</t>
        </is>
      </c>
      <c r="D7" s="8" t="inlineStr">
        <is>
          <t>Exceptional education</t>
        </is>
      </c>
      <c r="E7" s="8" t="inlineStr">
        <is>
          <t>Provide our students with learning experiences that help them build the knowledge, skills and relationships to lead change for sustainable societies.</t>
        </is>
      </c>
      <c r="F7" s="8" t="inlineStr">
        <is>
          <t>Pilots of possible approaches for understanding and developing students’ sustainability self-efficacy</t>
        </is>
      </c>
      <c r="G7" s="8" t="inlineStr">
        <is>
          <t>Please describe any pilots or trials undertaken within your Faculty/Portfolio to understand or strengthen students’ sustainability self-efficacy. This could include the approach used, participating cohorts, what was assessed or learned, and any planned next steps.</t>
        </is>
      </c>
      <c r="H7" s="8" t="inlineStr">
        <is>
          <t>Faculties, CI&amp;S</t>
        </is>
      </c>
      <c r="I7" s="8" t="inlineStr">
        <is>
          <t>Faculties (pilot), CI&amp;S</t>
        </is>
      </c>
      <c r="J7" s="8" t="inlineStr">
        <is>
          <t>* Living Lab project (case study): Personalising Sustainability Pathways for students - Sustainability Strengths Compass. Project lead: Dianne Vella Brodrick. Funded partly by the Campus Living Lab Accelerator Program (CLLAP) (SST)</t>
        </is>
      </c>
      <c r="K7" s="8" t="inlineStr">
        <is>
          <t>Both</t>
        </is>
      </c>
      <c r="L7" s="8" t="inlineStr">
        <is>
          <t>No</t>
        </is>
      </c>
      <c r="M7" s="8" t="inlineStr"/>
      <c r="N7" s="8" t="inlineStr"/>
      <c r="O7" s="8" t="inlineStr">
        <is>
          <t>Tailored request</t>
        </is>
      </c>
      <c r="P7" s="8" t="inlineStr"/>
    </row>
    <row r="8" ht="90" customHeight="1">
      <c r="B8" s="7" t="inlineStr">
        <is>
          <t>EE1(c)</t>
        </is>
      </c>
      <c r="C8" s="8" t="inlineStr">
        <is>
          <t>Education and research</t>
        </is>
      </c>
      <c r="D8" s="8" t="inlineStr">
        <is>
          <t>Exceptional education</t>
        </is>
      </c>
      <c r="E8" s="8" t="inlineStr">
        <is>
          <t>Provide our students with learning experiences that help them build the knowledge, skills and relationships to lead change for sustainable societies.</t>
        </is>
      </c>
      <c r="F8" s="8" t="inlineStr">
        <is>
          <t>Evidence of sustainability focused experiential and co curricular learning (eg Wattle Fellowship; Melbourne Plus)</t>
        </is>
      </c>
      <c r="G8" s="8" t="inlineStr">
        <is>
          <t>Please provide examples of sustainability-focused experiential or co-curricular learning offered or supported by your Faculty/Portfolio (e.g. Wattle Fellowship, Melbourne Plus or similar), could include participation where available and a brief description of the learning experience and outcomes.</t>
        </is>
      </c>
      <c r="H8" s="8" t="inlineStr">
        <is>
          <t>Faculties, CI&amp;S</t>
        </is>
      </c>
      <c r="I8" s="8" t="inlineStr">
        <is>
          <t>Faculties (pilot), CI&amp;S</t>
        </is>
      </c>
      <c r="J8" s="8" t="inlineStr">
        <is>
          <t>* Wattle Fellowship (Linh Do); Wattle Fellowship could provide case studies and have an annual report. 
* Student and Scholarly Services (SASS - Melbourne Plus - Jess Trevitt) - how would we frame the ask differently for these data owners since we already know they offer experiential/co-curriculuar learning? SASS and Melbourne Plus can provide number of completions of students in the Sustainability Advocacy stream, and case studies.</t>
        </is>
      </c>
      <c r="K8" s="8" t="inlineStr">
        <is>
          <t>Both</t>
        </is>
      </c>
      <c r="L8" s="8" t="inlineStr">
        <is>
          <t>No</t>
        </is>
      </c>
      <c r="M8" s="8" t="inlineStr"/>
      <c r="N8" s="8" t="inlineStr"/>
      <c r="O8" s="8" t="inlineStr">
        <is>
          <t>Tailored request</t>
        </is>
      </c>
      <c r="P8" s="8" t="inlineStr"/>
    </row>
    <row r="9" ht="90" customHeight="1">
      <c r="B9" s="7" t="inlineStr">
        <is>
          <t>EE1(d)</t>
        </is>
      </c>
      <c r="C9" s="8" t="inlineStr">
        <is>
          <t>Education and research</t>
        </is>
      </c>
      <c r="D9" s="8" t="inlineStr">
        <is>
          <t>Exceptional education</t>
        </is>
      </c>
      <c r="E9" s="8" t="inlineStr">
        <is>
          <t>Provide our students with learning experiences that help them build the knowledge, skills and relationships to lead change for sustainable societies.</t>
        </is>
      </c>
      <c r="F9" s="8" t="inlineStr">
        <is>
          <t>Alumni profiles demonstrating how graduates contribute to sustainability through their careers or communities.</t>
        </is>
      </c>
      <c r="G9" s="8" t="inlineStr">
        <is>
          <t>Please provide examples or profiles of graduates or alumni from your Faculty who demonstrate how they apply sustainability knowledge, skills or capabilities through their careers, communities or other activities. Where available, include any evidence used by the Faculty to understand graduate outcomes related to sustainability.</t>
        </is>
      </c>
      <c r="H9" s="8" t="inlineStr">
        <is>
          <t>Faculties, CI&amp;S</t>
        </is>
      </c>
      <c r="I9" s="8" t="inlineStr">
        <is>
          <t>Faculties (pilot), CI&amp;S</t>
        </is>
      </c>
      <c r="J9" s="8" t="inlineStr"/>
      <c r="K9" s="8" t="inlineStr">
        <is>
          <t>Both</t>
        </is>
      </c>
      <c r="L9" s="8" t="inlineStr">
        <is>
          <t>No</t>
        </is>
      </c>
      <c r="M9" s="8" t="inlineStr"/>
      <c r="N9" s="8" t="inlineStr">
        <is>
          <t>4b(i)</t>
        </is>
      </c>
      <c r="O9" s="8" t="inlineStr">
        <is>
          <t>Tailored request</t>
        </is>
      </c>
      <c r="P9" s="8" t="inlineStr"/>
    </row>
    <row r="10" ht="90" customHeight="1">
      <c r="B10" s="7" t="inlineStr">
        <is>
          <t>TR1(a)</t>
        </is>
      </c>
      <c r="C10" s="8" t="inlineStr">
        <is>
          <t>Education and research</t>
        </is>
      </c>
      <c r="D10" s="8" t="inlineStr">
        <is>
          <t>Transformational research</t>
        </is>
      </c>
      <c r="E10" s="8" t="inlineStr">
        <is>
          <t>Utilise the expertise of the University’s researchers through mutually beneficial partnerships to help address the University’s operational sustainability challenges.</t>
        </is>
      </c>
      <c r="F10" s="8" t="inlineStr">
        <is>
          <t>Expert-reviewed evidence of researchers contributing to operational sustainability priorities through partnerships, advisory input, living labs, applied projects or decision-support</t>
        </is>
      </c>
      <c r="G10" s="8" t="inlineStr">
        <is>
          <t>Please provide examples of researchers within your Faculty/Portfolio contributing to University operational sustainability priorities through partnerships, advisory input, living labs, applied projects or decision-support. Briefly describe the operational challenge, researcher contribution and resulting or expected outcome.</t>
        </is>
      </c>
      <c r="H10" s="8" t="inlineStr">
        <is>
          <t>Faculties, CI&amp;S</t>
        </is>
      </c>
      <c r="I10" s="8" t="inlineStr">
        <is>
          <t>Faculties (pilot), CI&amp;S</t>
        </is>
      </c>
      <c r="J10" s="8" t="inlineStr">
        <is>
          <t>MRE
Campus Living Lab Accelerator Program (CLLAP) case studies (CI&amp;S).
Also Enterprise Services Group - Campus Operations and Delivery (COD) might have collaborations we're not aware of (e.g. Rachael Miller)</t>
        </is>
      </c>
      <c r="K10" s="8" t="inlineStr">
        <is>
          <t>Both</t>
        </is>
      </c>
      <c r="L10" s="8" t="inlineStr">
        <is>
          <t>No</t>
        </is>
      </c>
      <c r="M10" s="8" t="inlineStr"/>
      <c r="N10" s="8" t="inlineStr">
        <is>
          <t>2a</t>
        </is>
      </c>
      <c r="O10" s="8" t="inlineStr">
        <is>
          <t>Tailored request</t>
        </is>
      </c>
      <c r="P10" s="8" t="inlineStr"/>
    </row>
    <row r="11" ht="90" customHeight="1">
      <c r="B11" s="7" t="inlineStr">
        <is>
          <t>TR1(b)</t>
        </is>
      </c>
      <c r="C11" s="8" t="inlineStr">
        <is>
          <t>Education and research</t>
        </is>
      </c>
      <c r="D11" s="8" t="inlineStr">
        <is>
          <t>Transformational research</t>
        </is>
      </c>
      <c r="E11" s="8" t="inlineStr">
        <is>
          <t>Utilise the expertise of the University’s researchers through mutually beneficial partnerships to help address the University’s operational sustainability challenges.</t>
        </is>
      </c>
      <c r="F11" s="8" t="inlineStr">
        <is>
          <t>Evidence of institutional pathways that enable ongoing collaboration between academic and professional staff</t>
        </is>
      </c>
      <c r="G11" s="8" t="inlineStr">
        <is>
          <t>Please describe any pathways, mechanisms or processes within your Faculty/Portfolio that enable ongoing collaboration between academic and professional staff on operational sustainability challenges, could include formal programs, governance arrangements, funding mechanisms or coordination channels.</t>
        </is>
      </c>
      <c r="H11" s="8" t="inlineStr">
        <is>
          <t>Faculties</t>
        </is>
      </c>
      <c r="I11" s="8" t="inlineStr">
        <is>
          <t>Faculties (pilot)</t>
        </is>
      </c>
      <c r="J11" s="8" t="inlineStr">
        <is>
          <t>MRE</t>
        </is>
      </c>
      <c r="K11" s="8" t="inlineStr">
        <is>
          <t>Both</t>
        </is>
      </c>
      <c r="L11" s="8" t="inlineStr">
        <is>
          <t>No</t>
        </is>
      </c>
      <c r="M11" s="8" t="inlineStr"/>
      <c r="N11" s="8" t="inlineStr"/>
      <c r="O11" s="8" t="inlineStr">
        <is>
          <t>Tailored request</t>
        </is>
      </c>
      <c r="P11" s="8" t="inlineStr"/>
    </row>
    <row r="12" ht="90" customHeight="1">
      <c r="B12" s="7" t="inlineStr">
        <is>
          <t>TR1(c)</t>
        </is>
      </c>
      <c r="C12" s="8" t="inlineStr">
        <is>
          <t>Education and research</t>
        </is>
      </c>
      <c r="D12" s="8" t="inlineStr">
        <is>
          <t>Transformational research</t>
        </is>
      </c>
      <c r="E12" s="8" t="inlineStr">
        <is>
          <t>Utilise the expertise of the University’s researchers through mutually beneficial partnerships to help address the University’s operational sustainability challenges.</t>
        </is>
      </c>
      <c r="F12" s="8" t="inlineStr">
        <is>
          <t>Expert assessment of the quality, relevance and continuity of these collaborations</t>
        </is>
      </c>
      <c r="G12" s="8" t="inlineStr">
        <is>
          <t>Please provide an assessment of the quality, relevance and continuity of sustainability-related collaborations involving your Faculty/Portfolio, could include evidence of whether collaborations are sustained, useful to operational priorities and producing relevant outcomes.</t>
        </is>
      </c>
      <c r="H12" s="8" t="inlineStr">
        <is>
          <t>Faculties</t>
        </is>
      </c>
      <c r="I12" s="8" t="inlineStr">
        <is>
          <t>Faculties (pilot)</t>
        </is>
      </c>
      <c r="J12" s="8" t="inlineStr">
        <is>
          <t>MRE</t>
        </is>
      </c>
      <c r="K12" s="8" t="inlineStr">
        <is>
          <t>Both</t>
        </is>
      </c>
      <c r="L12" s="8" t="inlineStr">
        <is>
          <t>No</t>
        </is>
      </c>
      <c r="M12" s="8" t="inlineStr"/>
      <c r="N12" s="8" t="inlineStr"/>
      <c r="O12" s="8" t="inlineStr">
        <is>
          <t>Tailored request</t>
        </is>
      </c>
      <c r="P12" s="8" t="inlineStr"/>
    </row>
    <row r="13" ht="90" customHeight="1">
      <c r="B13" s="7" t="inlineStr">
        <is>
          <t>TR1(d)</t>
        </is>
      </c>
      <c r="C13" s="8" t="inlineStr">
        <is>
          <t>Education and research</t>
        </is>
      </c>
      <c r="D13" s="8" t="inlineStr">
        <is>
          <t>Transformational research</t>
        </is>
      </c>
      <c r="E13" s="8" t="inlineStr">
        <is>
          <t>Utilise the expertise of the University’s researchers through mutually beneficial partnerships to help address the University’s operational sustainability challenges.</t>
        </is>
      </c>
      <c r="F13" s="8" t="inlineStr">
        <is>
          <t>Periodic feedback from participants on the effectiveness and mutual benefit of collaboration mechanisms.</t>
        </is>
      </c>
      <c r="G13" s="8" t="inlineStr">
        <is>
          <t>Please provide any participant feedback or other evidence from your Faculty/Portfolio on the effectiveness and mutual benefit of collaboration mechanisms between researchers and operational teams, could include key findings and any improvements identified.</t>
        </is>
      </c>
      <c r="H13" s="8" t="inlineStr">
        <is>
          <t>Faculties</t>
        </is>
      </c>
      <c r="I13" s="8" t="inlineStr">
        <is>
          <t>Faculties (pilot)</t>
        </is>
      </c>
      <c r="J13" s="8" t="inlineStr">
        <is>
          <t>MRE</t>
        </is>
      </c>
      <c r="K13" s="8" t="inlineStr">
        <is>
          <t>Both</t>
        </is>
      </c>
      <c r="L13" s="8" t="inlineStr">
        <is>
          <t>No</t>
        </is>
      </c>
      <c r="M13" s="8" t="inlineStr"/>
      <c r="N13" s="8" t="inlineStr"/>
      <c r="O13" s="8" t="inlineStr">
        <is>
          <t>Tailored request</t>
        </is>
      </c>
      <c r="P13" s="8" t="inlineStr"/>
    </row>
    <row r="14" ht="90" customHeight="1">
      <c r="B14" s="7" t="inlineStr">
        <is>
          <t>TR2(a)</t>
        </is>
      </c>
      <c r="C14" s="8" t="inlineStr">
        <is>
          <t>Education and research</t>
        </is>
      </c>
      <c r="D14" s="8" t="inlineStr">
        <is>
          <t>Transformational research</t>
        </is>
      </c>
      <c r="E14" s="8" t="inlineStr">
        <is>
          <t>Deliver high-quality research and partnerships that contribute to sustainability outcomes and demonstrable societal benefit.</t>
        </is>
      </c>
      <c r="F14" s="8" t="inlineStr">
        <is>
          <t>Evidence of sustainability-related research impact across diverse pathways, could include policy, industry, community, practice, cultural and institutional outcomes</t>
        </is>
      </c>
      <c r="G14" s="8" t="inlineStr">
        <is>
          <t>Please provide examples of sustainability-related research impact from your Faculty/Portfolio across policy, industry, community, practice, cultural or institutional pathways. For key examples, briefly describe the research contribution, partner/user and resulting outcome or influence.</t>
        </is>
      </c>
      <c r="H14" s="8" t="inlineStr">
        <is>
          <t>Faculties</t>
        </is>
      </c>
      <c r="I14" s="8" t="inlineStr">
        <is>
          <t>Faculties (pilot)</t>
        </is>
      </c>
      <c r="J14" s="8" t="inlineStr">
        <is>
          <t>Melbourne Research and Enterprise (Nishi Raja-Stranger and Ivan Marusic) 
Strategic Communications - Research lead will be able to identify examples of impactful sustainability-related research; also Pursuit (may be via Strat Comms too)
Melbourne Climate Futures (Ben Neville, Beth Barber, Belle Workman) - MCF produce an annual impact report we could refer to.
Melbourne Biodiversity Insitute (Brendan Wintle, Alanta Colley, Rachel Morgain)
Possibly Melbourne Energy Institute.
MDHS Climate CATCH Lab and other specific research centres could be approached and asked about their impact, or we could flag specific research centres in faculty requests.</t>
        </is>
      </c>
      <c r="K14" s="8" t="inlineStr">
        <is>
          <t>Both</t>
        </is>
      </c>
      <c r="L14" s="8" t="inlineStr">
        <is>
          <t>No</t>
        </is>
      </c>
      <c r="M14" s="8" t="inlineStr"/>
      <c r="N14" s="8" t="inlineStr">
        <is>
          <t>5b(i)</t>
        </is>
      </c>
      <c r="O14" s="8" t="inlineStr">
        <is>
          <t>Tailored request</t>
        </is>
      </c>
      <c r="P14" s="8" t="inlineStr"/>
    </row>
    <row r="15" ht="90" customHeight="1">
      <c r="B15" s="7" t="inlineStr">
        <is>
          <t>TR2(b)</t>
        </is>
      </c>
      <c r="C15" s="8" t="inlineStr">
        <is>
          <t>Education and research</t>
        </is>
      </c>
      <c r="D15" s="8" t="inlineStr">
        <is>
          <t>Transformational research</t>
        </is>
      </c>
      <c r="E15" s="8" t="inlineStr">
        <is>
          <t>Deliver high-quality research and partnerships that contribute to sustainability outcomes and demonstrable societal benefit.</t>
        </is>
      </c>
      <c r="F15" s="8" t="inlineStr">
        <is>
          <t>Documented progress of relevant strategic initiatives, including Impact Accelerators</t>
        </is>
      </c>
      <c r="G15" s="8" t="inlineStr">
        <is>
          <t>Please provide case studies demonstrating how University research has contributed to meaningful sustainability outcomes. For each case, briefly describe the research, stakeholders involved, pathway to impact and evidence of the resulting sustainability outcome.</t>
        </is>
      </c>
      <c r="H15" s="8" t="inlineStr"/>
      <c r="I15" s="8" t="inlineStr">
        <is>
          <t>TBC – no owner identified</t>
        </is>
      </c>
      <c r="J15" s="8" t="inlineStr"/>
      <c r="K15" s="8" t="inlineStr">
        <is>
          <t>Both</t>
        </is>
      </c>
      <c r="L15" s="8" t="inlineStr">
        <is>
          <t>No</t>
        </is>
      </c>
      <c r="M15" s="8" t="inlineStr">
        <is>
          <t>documented progress imply that university have good governance over the management of initiatives and therefore could provide percentage of milestone completion</t>
        </is>
      </c>
      <c r="N15" s="8" t="inlineStr"/>
      <c r="O15" s="8" t="inlineStr">
        <is>
          <t>Databook / central data owner</t>
        </is>
      </c>
      <c r="P15" s="8" t="inlineStr"/>
    </row>
    <row r="16" ht="90" customHeight="1">
      <c r="B16" s="7" t="inlineStr">
        <is>
          <t>TR2(c)</t>
        </is>
      </c>
      <c r="C16" s="8" t="inlineStr">
        <is>
          <t>Education and research</t>
        </is>
      </c>
      <c r="D16" s="8" t="inlineStr">
        <is>
          <t>Transformational research</t>
        </is>
      </c>
      <c r="E16" s="8" t="inlineStr">
        <is>
          <t>Deliver high-quality research and partnerships that contribute to sustainability outcomes and demonstrable societal benefit.</t>
        </is>
      </c>
      <c r="F16" s="8" t="inlineStr">
        <is>
          <t>Expert-reviewed summary of sustainability-related research outputs, outcomes and influence using available institutional evidence sources</t>
        </is>
      </c>
      <c r="G16" s="8" t="inlineStr">
        <is>
          <t>currently mapped to the SDGs using SciVal</t>
        </is>
      </c>
      <c r="H16" s="8" t="inlineStr">
        <is>
          <t>MRE</t>
        </is>
      </c>
      <c r="I16" s="8" t="inlineStr">
        <is>
          <t>MRE</t>
        </is>
      </c>
      <c r="J16" s="8" t="inlineStr"/>
      <c r="K16" s="8" t="inlineStr">
        <is>
          <t>Both</t>
        </is>
      </c>
      <c r="L16" s="8" t="inlineStr">
        <is>
          <t>No</t>
        </is>
      </c>
      <c r="M16" s="8" t="inlineStr"/>
      <c r="N16" s="8" t="inlineStr"/>
      <c r="O16" s="8" t="inlineStr">
        <is>
          <t>Tailored request</t>
        </is>
      </c>
      <c r="P16" s="8" t="inlineStr"/>
    </row>
    <row r="17" ht="90" customHeight="1">
      <c r="B17" s="7" t="inlineStr">
        <is>
          <t>TR2(d)</t>
        </is>
      </c>
      <c r="C17" s="8" t="inlineStr">
        <is>
          <t>Education and research</t>
        </is>
      </c>
      <c r="D17" s="8" t="inlineStr">
        <is>
          <t>Transformational research</t>
        </is>
      </c>
      <c r="E17" s="8" t="inlineStr">
        <is>
          <t>Deliver high-quality research and partnerships that contribute to sustainability outcomes and demonstrable societal benefit.</t>
        </is>
      </c>
      <c r="F17" s="8" t="inlineStr">
        <is>
          <t>Case-based evidence demonstrating how research has contributed to meaningful sustainability outcomes.</t>
        </is>
      </c>
      <c r="G17" s="8" t="inlineStr">
        <is>
          <t>Please provide case studies from your Faculty/Portfolio demonstrating how research has contributed to meaningful sustainability outcomes. Briefly describe the research, stakeholders involved, pathway to impact and evidence of the resulting sustainability outcome.</t>
        </is>
      </c>
      <c r="H17" s="8" t="inlineStr">
        <is>
          <t>Faculties, CI&amp;S</t>
        </is>
      </c>
      <c r="I17" s="8" t="inlineStr">
        <is>
          <t>Faculties (pilot), CI&amp;S</t>
        </is>
      </c>
      <c r="J17" s="8" t="inlineStr">
        <is>
          <t>Strategic Communications - Research lead will be able to identify examples of impactful sustainability-related research; also Pursuit (may be via Strat Comms too)
Melbourne Climate Futures (Ben Neville, Beth Barber, Belle Workman)
Melbourne Biodiversity Insitute (Brendan Wintle, Alanta Colley, Rachel Morgain)
Possibly Melbourne Energy Institute.</t>
        </is>
      </c>
      <c r="K17" s="8" t="inlineStr">
        <is>
          <t>Both</t>
        </is>
      </c>
      <c r="L17" s="8" t="inlineStr">
        <is>
          <t>No</t>
        </is>
      </c>
      <c r="M17" s="8" t="inlineStr"/>
      <c r="N17" s="8" t="inlineStr">
        <is>
          <t>5b(i)</t>
        </is>
      </c>
      <c r="O17" s="8" t="inlineStr">
        <is>
          <t>Tailored request</t>
        </is>
      </c>
      <c r="P17" s="8" t="inlineStr"/>
    </row>
    <row r="18" ht="90" customHeight="1">
      <c r="B18" s="7" t="inlineStr">
        <is>
          <t>TR3(a)</t>
        </is>
      </c>
      <c r="C18" s="8" t="inlineStr">
        <is>
          <t>Education and research</t>
        </is>
      </c>
      <c r="D18" s="8" t="inlineStr">
        <is>
          <t>Transformational research</t>
        </is>
      </c>
      <c r="E18" s="8" t="inlineStr">
        <is>
          <t>Embed sustainability within research systems, processes, capability and culture, so research is conducted responsibly, efficiently and with reduced environmental impact.</t>
        </is>
      </c>
      <c r="F18" s="8" t="inlineStr">
        <is>
          <t>Evidence that sustainability considerations are integrated into relevant research systems, planning processes, guidance, training, induction or support services</t>
        </is>
      </c>
      <c r="G18" s="8" t="inlineStr">
        <is>
          <t>Please describe how sustainability considerations are integrated into research systems, planning processes, guidance, training, induction or support services within your Faculty/Portfolio, could include examples of any new or improved processes.</t>
        </is>
      </c>
      <c r="H18" s="8" t="inlineStr">
        <is>
          <t>Faculties, CI&amp;S</t>
        </is>
      </c>
      <c r="I18" s="8" t="inlineStr">
        <is>
          <t>Faculties (pilot), CI&amp;S</t>
        </is>
      </c>
      <c r="J18" s="8" t="inlineStr"/>
      <c r="K18" s="8" t="inlineStr">
        <is>
          <t>Both</t>
        </is>
      </c>
      <c r="L18" s="8" t="inlineStr">
        <is>
          <t>No</t>
        </is>
      </c>
      <c r="M18" s="8" t="inlineStr"/>
      <c r="N18" s="8" t="inlineStr">
        <is>
          <t>5c(ii)</t>
        </is>
      </c>
      <c r="O18" s="8" t="inlineStr">
        <is>
          <t>Tailored request</t>
        </is>
      </c>
      <c r="P18" s="8" t="inlineStr"/>
    </row>
    <row r="19" ht="90" customHeight="1">
      <c r="B19" s="7" t="inlineStr">
        <is>
          <t>TR3(b)</t>
        </is>
      </c>
      <c r="C19" s="8" t="inlineStr">
        <is>
          <t>Education and research</t>
        </is>
      </c>
      <c r="D19" s="8" t="inlineStr">
        <is>
          <t>Transformational research</t>
        </is>
      </c>
      <c r="E19" s="8" t="inlineStr">
        <is>
          <t>Embed sustainability within research systems, processes, capability and culture, so research is conducted responsibly, efficiently and with reduced environmental impact.</t>
        </is>
      </c>
      <c r="F19" s="8" t="inlineStr">
        <is>
          <t>Demonstrated examples of more sustainable research practices in laboratories, fieldwork, procurement, travel or infrastructure use</t>
        </is>
      </c>
      <c r="G19" s="8" t="inlineStr">
        <is>
          <t>Please describe any efforts within your Faculty/Portfolio to make research practices more sustainable, could include examples from laboratories, fieldwork, procurement, research travel or infrastructure use. Where available, provide evidence of uptake, resource savings, emissions reductions or other outcomes.</t>
        </is>
      </c>
      <c r="H19" s="8" t="inlineStr">
        <is>
          <t>Faculties, CI&amp;S, CFOG</t>
        </is>
      </c>
      <c r="I19" s="8" t="inlineStr">
        <is>
          <t>Faculties (pilot), CI&amp;S, CFOG</t>
        </is>
      </c>
      <c r="J19" s="8" t="inlineStr"/>
      <c r="K19" s="8" t="inlineStr">
        <is>
          <t>Both</t>
        </is>
      </c>
      <c r="L19" s="8" t="inlineStr">
        <is>
          <t>No</t>
        </is>
      </c>
      <c r="M19" s="8" t="inlineStr"/>
      <c r="N19" s="8" t="inlineStr">
        <is>
          <t>5c(ii)</t>
        </is>
      </c>
      <c r="O19" s="8" t="inlineStr">
        <is>
          <t>Tailored request</t>
        </is>
      </c>
      <c r="P19" s="8" t="inlineStr"/>
    </row>
    <row r="20" ht="90" customHeight="1">
      <c r="B20" s="7" t="inlineStr">
        <is>
          <t>TR3(c)</t>
        </is>
      </c>
      <c r="C20" s="8" t="inlineStr">
        <is>
          <t>Education and research</t>
        </is>
      </c>
      <c r="D20" s="8" t="inlineStr">
        <is>
          <t>Transformational research</t>
        </is>
      </c>
      <c r="E20" s="8" t="inlineStr">
        <is>
          <t>Embed sustainability within research systems, processes, capability and culture, so research is conducted responsibly, efficiently and with reduced environmental impact.</t>
        </is>
      </c>
      <c r="F20" s="8" t="inlineStr">
        <is>
          <t>Evidence of progress in sustainability-related research culture, capability and awareness, informed by periodic staff and graduate researcher surveys</t>
        </is>
      </c>
      <c r="G20" s="8" t="inlineStr">
        <is>
          <t>Please provide evidence of progress in sustainability-related research culture, capability and awareness within your Faculty/Portfolio. This could include relevant staff and/or graduate researcher survey findings, participation in capability-building activities, or other indicators of change over time.</t>
        </is>
      </c>
      <c r="H20" s="8" t="inlineStr">
        <is>
          <t>Faculties</t>
        </is>
      </c>
      <c r="I20" s="8" t="inlineStr">
        <is>
          <t>Faculties (pilot)</t>
        </is>
      </c>
      <c r="J20" s="8" t="inlineStr">
        <is>
          <t>Melbourne Research and Enterprise (Nishi Raja-Stranger; Ivan Marusic) - MRE will be a key reporter for all research targets.</t>
        </is>
      </c>
      <c r="K20" s="8" t="inlineStr">
        <is>
          <t>Both</t>
        </is>
      </c>
      <c r="L20" s="8" t="inlineStr">
        <is>
          <t>No</t>
        </is>
      </c>
      <c r="M20" s="8" t="inlineStr"/>
      <c r="N20" s="8" t="inlineStr"/>
      <c r="O20" s="8" t="inlineStr">
        <is>
          <t>Tailored request</t>
        </is>
      </c>
      <c r="P20" s="8" t="inlineStr"/>
    </row>
    <row r="21" ht="90" customHeight="1">
      <c r="B21" s="7" t="inlineStr">
        <is>
          <t>TR3(d)</t>
        </is>
      </c>
      <c r="C21" s="8" t="inlineStr">
        <is>
          <t>Education and research</t>
        </is>
      </c>
      <c r="D21" s="8" t="inlineStr">
        <is>
          <t>Transformational research</t>
        </is>
      </c>
      <c r="E21" s="8" t="inlineStr">
        <is>
          <t>Embed sustainability within research systems, processes, capability and culture, so research is conducted responsibly, efficiently and with reduced environmental impact.</t>
        </is>
      </c>
      <c r="F21" s="8" t="inlineStr">
        <is>
          <t>Expert assessment of progress in embedding sustainable research practices across the institution.</t>
        </is>
      </c>
      <c r="G21" s="8" t="inlineStr">
        <is>
          <t>Faculty/Portfolio’s assessment of progress in embedding sustainable research practices, highlighting areas of strong progress, remaining gaps and priority actions for further improvement.</t>
        </is>
      </c>
      <c r="H21" s="8" t="inlineStr">
        <is>
          <t>Faculties</t>
        </is>
      </c>
      <c r="I21" s="8" t="inlineStr">
        <is>
          <t>Faculties (pilot)</t>
        </is>
      </c>
      <c r="J21" s="8" t="inlineStr"/>
      <c r="K21" s="8" t="inlineStr">
        <is>
          <t>Both</t>
        </is>
      </c>
      <c r="L21" s="8" t="inlineStr">
        <is>
          <t>No</t>
        </is>
      </c>
      <c r="M21" s="8" t="inlineStr"/>
      <c r="N21" s="8" t="inlineStr"/>
      <c r="O21" s="8" t="inlineStr">
        <is>
          <t>Tailored request</t>
        </is>
      </c>
      <c r="P21" s="8" t="inlineStr"/>
    </row>
    <row r="22" ht="90" customHeight="1">
      <c r="B22" s="7" t="inlineStr">
        <is>
          <t>CL1(a)</t>
        </is>
      </c>
      <c r="C22" s="8" t="inlineStr">
        <is>
          <t>Sustainability leadership</t>
        </is>
      </c>
      <c r="D22" s="8" t="inlineStr">
        <is>
          <t>Climate leadership</t>
        </is>
      </c>
      <c r="E22" s="8" t="inlineStr">
        <is>
          <t>Achieve net zero emissions by 2050:
Interim target
Reduce emissions by 20% across all emissions scopes by CY2030 on the CY2023 re-baseline  including:
•	Scopes 1 and 2: 66% reduction 
•	Scope 3: 12% reduction.
Long-term target
Reduce emissions by 90% across all emissions scopes by CY2050 on the CY2023 re-baseline and invest in carbon removal credits for residual emissions from hard-to-abate sources (up to 10%).</t>
        </is>
      </c>
      <c r="F22" s="8" t="inlineStr">
        <is>
          <t>Annual Greenhouse Gas Inventory (including emissions scopes 1, 2 and 3) demonstrates carbon emission reductions, including maintaining procurement of 100% renewable electricity for all scope 2 sources[1]</t>
        </is>
      </c>
      <c r="G22" s="8" t="inlineStr">
        <is>
          <t>Total scope 1,2 and 3 emissions (tCO2-e); emissions by scope; % reduction from previous baseline; % renewable electircity produced</t>
        </is>
      </c>
      <c r="H22" s="8" t="inlineStr"/>
      <c r="I22" s="8" t="inlineStr">
        <is>
          <t>TBC – no owner identified</t>
        </is>
      </c>
      <c r="J22" s="8" t="inlineStr"/>
      <c r="K22" s="8" t="inlineStr">
        <is>
          <t>Both</t>
        </is>
      </c>
      <c r="L22" s="8" t="inlineStr">
        <is>
          <t>No</t>
        </is>
      </c>
      <c r="M22" s="8" t="inlineStr">
        <is>
          <t>Directly measures progress against the stated emission reduction targets and allows annual comparison against the baseline and trajectory</t>
        </is>
      </c>
      <c r="N22" s="8" t="inlineStr"/>
      <c r="O22" s="8" t="inlineStr">
        <is>
          <t>Databook / central data owner</t>
        </is>
      </c>
      <c r="P22" s="8" t="inlineStr"/>
    </row>
    <row r="23" ht="90" customHeight="1">
      <c r="B23" s="7" t="inlineStr">
        <is>
          <t>CL1(b)</t>
        </is>
      </c>
      <c r="C23" s="8" t="inlineStr">
        <is>
          <t>Sustainability leadership</t>
        </is>
      </c>
      <c r="D23" s="8" t="inlineStr">
        <is>
          <t>Climate leadership</t>
        </is>
      </c>
      <c r="E23" s="8" t="inlineStr">
        <is>
          <t>Achieve net zero emissions by 2050:
Interim target
Reduce emissions by 20% across all emissions scopes by CY2030 on the CY2023 re-baseline  including:
•	Scopes 1 and 2: 66% reduction 
•	Scope 3: 12% reduction.
Long-term target
Reduce emissions by 90% across all emissions scopes by CY2050 on the CY2023 re-baseline and invest in carbon removal credits for residual emissions from hard-to-abate sources (up to 10%).</t>
        </is>
      </c>
      <c r="F23" s="8" t="inlineStr">
        <is>
          <t>Development of Greenhouse Gas  intensity metrics</t>
        </is>
      </c>
      <c r="G23" s="8" t="inlineStr">
        <is>
          <t>Greenhouse gas emissions by FTE, EFTSL, and Gross floor area (https://www.unimelb.edu.au/sustainabilityreport/2025/data-tables#GHGe-scope)</t>
        </is>
      </c>
      <c r="H23" s="8" t="inlineStr"/>
      <c r="I23" s="8" t="inlineStr">
        <is>
          <t>TBC – no owner identified</t>
        </is>
      </c>
      <c r="J23" s="8" t="inlineStr"/>
      <c r="K23" s="8" t="inlineStr">
        <is>
          <t>Both</t>
        </is>
      </c>
      <c r="L23" s="8" t="inlineStr">
        <is>
          <t>Yes</t>
        </is>
      </c>
      <c r="M23" s="8" t="inlineStr">
        <is>
          <t>Quantiative indicator</t>
        </is>
      </c>
      <c r="N23" s="8" t="inlineStr"/>
      <c r="O23" s="8" t="inlineStr">
        <is>
          <t>Databook / central data owner</t>
        </is>
      </c>
      <c r="P23" s="8" t="inlineStr"/>
    </row>
    <row r="24" ht="90" customHeight="1">
      <c r="B24" s="7" t="inlineStr">
        <is>
          <t>CL1(c)</t>
        </is>
      </c>
      <c r="C24" s="8" t="inlineStr">
        <is>
          <t>Sustainability leadership</t>
        </is>
      </c>
      <c r="D24" s="8" t="inlineStr">
        <is>
          <t>Climate leadership</t>
        </is>
      </c>
      <c r="E24" s="8" t="inlineStr">
        <is>
          <t>Achieve net zero emissions by 2050:
Interim target
Reduce emissions by 20% across all emissions scopes by CY2030 on the CY2023 re-baseline  including:
•	Scopes 1 and 2: 66% reduction 
•	Scope 3: 12% reduction.
Long-term target
Reduce emissions by 90% across all emissions scopes by CY2050 on the CY2023 re-baseline and invest in carbon removal credits for residual emissions from hard-to-abate sources (up to 10%).</t>
        </is>
      </c>
      <c r="F24" s="8" t="inlineStr">
        <is>
          <t>Review of Climate Leadership targets by 2030.[2]</t>
        </is>
      </c>
      <c r="G24" s="8" t="inlineStr"/>
      <c r="H24" s="8" t="inlineStr">
        <is>
          <t>CI&amp;S</t>
        </is>
      </c>
      <c r="I24" s="8" t="inlineStr">
        <is>
          <t>CI&amp;S</t>
        </is>
      </c>
      <c r="J24" s="8" t="inlineStr"/>
      <c r="K24" s="8" t="inlineStr">
        <is>
          <t>Both</t>
        </is>
      </c>
      <c r="L24" s="8" t="inlineStr">
        <is>
          <t>Yes</t>
        </is>
      </c>
      <c r="M24" s="8" t="inlineStr">
        <is>
          <t>Need to review again on 2030. The climate target itself is still two months old</t>
        </is>
      </c>
      <c r="N24" s="8" t="inlineStr"/>
      <c r="O24" s="8" t="inlineStr">
        <is>
          <t>Tailored request</t>
        </is>
      </c>
      <c r="P24" s="8" t="inlineStr"/>
    </row>
    <row r="25" ht="90" customHeight="1">
      <c r="B25" s="7" t="inlineStr">
        <is>
          <t>CL2(a)</t>
        </is>
      </c>
      <c r="C25" s="8" t="inlineStr">
        <is>
          <t>Sustainability leadership</t>
        </is>
      </c>
      <c r="D25" s="8" t="inlineStr">
        <is>
          <t>Climate leadership</t>
        </is>
      </c>
      <c r="E25" s="8" t="inlineStr">
        <is>
          <t>Develop understanding of our research and education programs that contribute to accelerating global decarbonisation and our own climate transition.</t>
        </is>
      </c>
      <c r="F25" s="8" t="inlineStr">
        <is>
          <t>By 2028, develop and document institutional mapping of research and education activities that are designed to contribute to global decarbonisation</t>
        </is>
      </c>
      <c r="G25" s="8" t="inlineStr">
        <is>
          <t>Please list and describe examples of communications from your Faculty/Portfolio that demonstrate climate action, research and learning and aim to inform policy, sector or community decarbonisation efforts. Could include links, intended audiences and any available evidence of reach or influence.</t>
        </is>
      </c>
      <c r="H25" s="8" t="inlineStr">
        <is>
          <t>Faculties, CI&amp;S</t>
        </is>
      </c>
      <c r="I25" s="8" t="inlineStr">
        <is>
          <t>Faculties (pilot), CI&amp;S</t>
        </is>
      </c>
      <c r="J25" s="8" t="inlineStr"/>
      <c r="K25" s="8" t="inlineStr">
        <is>
          <t>Both</t>
        </is>
      </c>
      <c r="L25" s="8" t="inlineStr">
        <is>
          <t>No</t>
        </is>
      </c>
      <c r="M25" s="8" t="inlineStr"/>
      <c r="N25" s="8" t="inlineStr"/>
      <c r="O25" s="8" t="inlineStr">
        <is>
          <t>Tailored request</t>
        </is>
      </c>
      <c r="P25" s="8" t="inlineStr"/>
    </row>
    <row r="26" ht="90" customHeight="1">
      <c r="B26" s="7" t="inlineStr">
        <is>
          <t>CL2(b)</t>
        </is>
      </c>
      <c r="C26" s="8" t="inlineStr">
        <is>
          <t>Sustainability leadership</t>
        </is>
      </c>
      <c r="D26" s="8" t="inlineStr">
        <is>
          <t>Climate leadership</t>
        </is>
      </c>
      <c r="E26" s="8" t="inlineStr">
        <is>
          <t>Develop understanding of our research and education programs that contribute to accelerating global decarbonisation and our own climate transition.</t>
        </is>
      </c>
      <c r="F26" s="8" t="inlineStr">
        <is>
          <t>Prioritised pipeline of decarbonisation focused research and education opportunities aligned with University emissions reduction priorities from 2028</t>
        </is>
      </c>
      <c r="G26" s="8" t="inlineStr">
        <is>
          <t>Number of pipelined projects or research transitioned from opportunity to active per year</t>
        </is>
      </c>
      <c r="H26" s="8" t="inlineStr"/>
      <c r="I26" s="8" t="inlineStr">
        <is>
          <t>TBC – no owner identified</t>
        </is>
      </c>
      <c r="J26" s="8" t="inlineStr"/>
      <c r="K26" s="8" t="inlineStr">
        <is>
          <t>Both</t>
        </is>
      </c>
      <c r="L26" s="8" t="inlineStr">
        <is>
          <t>No</t>
        </is>
      </c>
      <c r="M26" s="8" t="inlineStr">
        <is>
          <t>Pipeline can be quantitatively tracked through volume and progression, but since the target is prioritised pipeline, showing number of sucessful pipeline transitioned is more desirable</t>
        </is>
      </c>
      <c r="N26" s="8" t="inlineStr"/>
      <c r="O26" s="8" t="inlineStr">
        <is>
          <t>Databook / central data owner</t>
        </is>
      </c>
      <c r="P26" s="8" t="inlineStr"/>
    </row>
    <row r="27" ht="90" customHeight="1">
      <c r="B27" s="7" t="inlineStr">
        <is>
          <t>CL2(c)</t>
        </is>
      </c>
      <c r="C27" s="8" t="inlineStr">
        <is>
          <t>Sustainability leadership</t>
        </is>
      </c>
      <c r="D27" s="8" t="inlineStr">
        <is>
          <t>Climate leadership</t>
        </is>
      </c>
      <c r="E27" s="8" t="inlineStr">
        <is>
          <t>Develop understanding of our research and education programs that contribute to accelerating global decarbonisation and our own climate transition.</t>
        </is>
      </c>
      <c r="F27" s="8" t="inlineStr">
        <is>
          <t>Ongoing communications that evidence the University’s climate action, research and learning to inform policy, sector and community decarbonisation efforts.</t>
        </is>
      </c>
      <c r="G27" s="8" t="inlineStr">
        <is>
          <t>List and describe communications from the faculty in terms of climate action, research and learning to inform policy, sector and community decarbonisation efforts</t>
        </is>
      </c>
      <c r="H27" s="8" t="inlineStr">
        <is>
          <t>Faculties,</t>
        </is>
      </c>
      <c r="I27" s="8" t="inlineStr">
        <is>
          <t>Faculties (pilot)</t>
        </is>
      </c>
      <c r="J27" s="8" t="inlineStr"/>
      <c r="K27" s="8" t="inlineStr">
        <is>
          <t>Both</t>
        </is>
      </c>
      <c r="L27" s="8" t="inlineStr">
        <is>
          <t>No</t>
        </is>
      </c>
      <c r="M27" s="8" t="inlineStr"/>
      <c r="N27" s="8" t="inlineStr"/>
      <c r="O27" s="8" t="inlineStr">
        <is>
          <t>Tailored request</t>
        </is>
      </c>
      <c r="P27" s="8" t="inlineStr"/>
    </row>
    <row r="28" ht="90" customHeight="1">
      <c r="B28" s="7" t="inlineStr">
        <is>
          <t>CL3(a)</t>
        </is>
      </c>
      <c r="C28" s="8" t="inlineStr">
        <is>
          <t>Sustainability leadership</t>
        </is>
      </c>
      <c r="D28" s="8" t="inlineStr">
        <is>
          <t>Climate leadership</t>
        </is>
      </c>
      <c r="E28" s="8" t="inlineStr">
        <is>
          <t>Reach and maintain high levels of climate-change resilience maturity</t>
        </is>
      </c>
      <c r="F28" s="8" t="inlineStr">
        <is>
          <t>Maturity assessment of the University’s preparedness for climate-related impacts and capability to respond, assessed across relevant organisational functions:
o	Governance and strategy
o	Health and safety
o	Business continuity
o	Emergency management and critical incidence management
o	Estate and buildings
o	Water management
o	Financial planning and reporting.</t>
        </is>
      </c>
      <c r="G28" s="8" t="inlineStr">
        <is>
          <t>Provide update of University maturity assesment. Include maturity ratings, key gaps and priority improvement actions.when available</t>
        </is>
      </c>
      <c r="H28" s="8" t="inlineStr">
        <is>
          <t>CI&amp;S</t>
        </is>
      </c>
      <c r="I28" s="8" t="inlineStr">
        <is>
          <t>CI&amp;S, L&amp;R</t>
        </is>
      </c>
      <c r="J28" s="8" t="inlineStr"/>
      <c r="K28" s="8" t="inlineStr">
        <is>
          <t>Both</t>
        </is>
      </c>
      <c r="L28" s="8" t="inlineStr">
        <is>
          <t>No</t>
        </is>
      </c>
      <c r="M28" s="8" t="inlineStr">
        <is>
          <t>Could check with Gerard. Gerard is the one who manage this indicator</t>
        </is>
      </c>
      <c r="N28" s="8" t="inlineStr"/>
      <c r="O28" s="8" t="inlineStr">
        <is>
          <t>Tailored request</t>
        </is>
      </c>
      <c r="P28" s="8" t="inlineStr"/>
    </row>
    <row r="29" ht="90" customHeight="1">
      <c r="B29" s="7" t="inlineStr">
        <is>
          <t>NB1(a)</t>
        </is>
      </c>
      <c r="C29" s="8" t="inlineStr">
        <is>
          <t>Sustainability leadership</t>
        </is>
      </c>
      <c r="D29" s="8" t="inlineStr">
        <is>
          <t>Nature and biodiversity</t>
        </is>
      </c>
      <c r="E29" s="8" t="inlineStr">
        <is>
          <t>Achieve an increase of biodiversity relative to defined baseline years for each campus.</t>
        </is>
      </c>
      <c r="F29" s="8" t="inlineStr">
        <is>
          <t>Monitoring of biodiversity metrics from the Biodiversity Baseline Data Project</t>
        </is>
      </c>
      <c r="G29" s="8" t="inlineStr">
        <is>
          <t>7 diversity metrics from https://sustainablecampus.unimelb.edu.au/biodiversity/biodiversity-baseline-data-project#main-content</t>
        </is>
      </c>
      <c r="H29" s="8" t="inlineStr"/>
      <c r="I29" s="8" t="inlineStr">
        <is>
          <t>TBC – no owner identified</t>
        </is>
      </c>
      <c r="J29" s="8" t="inlineStr"/>
      <c r="K29" s="8" t="inlineStr">
        <is>
          <t>Both</t>
        </is>
      </c>
      <c r="L29" s="8" t="inlineStr">
        <is>
          <t>No</t>
        </is>
      </c>
      <c r="M29" s="8" t="inlineStr">
        <is>
          <t>Quantitative indicator</t>
        </is>
      </c>
      <c r="N29" s="8" t="inlineStr"/>
      <c r="O29" s="8" t="inlineStr">
        <is>
          <t>Databook / central data owner</t>
        </is>
      </c>
      <c r="P29" s="8" t="inlineStr"/>
    </row>
    <row r="30" ht="90" customHeight="1">
      <c r="B30" s="7" t="inlineStr">
        <is>
          <t>NB1(b)</t>
        </is>
      </c>
      <c r="C30" s="8" t="inlineStr">
        <is>
          <t>Sustainability leadership</t>
        </is>
      </c>
      <c r="D30" s="8" t="inlineStr">
        <is>
          <t>Nature and biodiversity</t>
        </is>
      </c>
      <c r="E30" s="8" t="inlineStr">
        <is>
          <t>Achieve an increase of biodiversity relative to defined baseline years for each campus.</t>
        </is>
      </c>
      <c r="F30" s="8" t="inlineStr">
        <is>
          <t>Size, health and diversity of remnant vegetation at the Dookie and Creswick campuses</t>
        </is>
      </c>
      <c r="G30" s="8" t="inlineStr"/>
      <c r="H30" s="8" t="inlineStr">
        <is>
          <t>Rachel</t>
        </is>
      </c>
      <c r="I30" s="8" t="inlineStr">
        <is>
          <t>ESG</t>
        </is>
      </c>
      <c r="J30" s="8" t="inlineStr"/>
      <c r="K30" s="8" t="inlineStr">
        <is>
          <t>Internal</t>
        </is>
      </c>
      <c r="L30" s="8" t="inlineStr">
        <is>
          <t>No</t>
        </is>
      </c>
      <c r="M30" s="8" t="inlineStr">
        <is>
          <t>Havent been previously disclose publicly</t>
        </is>
      </c>
      <c r="N30" s="8" t="inlineStr"/>
      <c r="O30" s="8" t="inlineStr">
        <is>
          <t>Tailored request</t>
        </is>
      </c>
      <c r="P30" s="8" t="inlineStr"/>
    </row>
    <row r="31" ht="90" customHeight="1">
      <c r="B31" s="7" t="inlineStr">
        <is>
          <t>NB1(c)</t>
        </is>
      </c>
      <c r="C31" s="8" t="inlineStr">
        <is>
          <t>Sustainability leadership</t>
        </is>
      </c>
      <c r="D31" s="8" t="inlineStr">
        <is>
          <t>Nature and biodiversity</t>
        </is>
      </c>
      <c r="E31" s="8" t="inlineStr">
        <is>
          <t>Achieve an increase of biodiversity relative to defined baseline years for each campus.</t>
        </is>
      </c>
      <c r="F31" s="8" t="inlineStr">
        <is>
          <t>Defined quality measurement framework</t>
        </is>
      </c>
      <c r="G31" s="8" t="inlineStr"/>
      <c r="H31" s="8" t="inlineStr">
        <is>
          <t>ESG</t>
        </is>
      </c>
      <c r="I31" s="8" t="inlineStr">
        <is>
          <t>ESG</t>
        </is>
      </c>
      <c r="J31" s="8" t="inlineStr"/>
      <c r="K31" s="8" t="inlineStr">
        <is>
          <t>Both</t>
        </is>
      </c>
      <c r="L31" s="8" t="inlineStr">
        <is>
          <t>No</t>
        </is>
      </c>
      <c r="M31" s="8" t="inlineStr">
        <is>
          <t>Follow up with Rachel</t>
        </is>
      </c>
      <c r="N31" s="8" t="inlineStr"/>
      <c r="O31" s="8" t="inlineStr">
        <is>
          <t>Tailored request</t>
        </is>
      </c>
      <c r="P31" s="8" t="inlineStr"/>
    </row>
    <row r="32" ht="90" customHeight="1">
      <c r="B32" s="7" t="inlineStr">
        <is>
          <t>NB1(d)</t>
        </is>
      </c>
      <c r="C32" s="8" t="inlineStr">
        <is>
          <t>Sustainability leadership</t>
        </is>
      </c>
      <c r="D32" s="8" t="inlineStr">
        <is>
          <t>Nature and biodiversity</t>
        </is>
      </c>
      <c r="E32" s="8" t="inlineStr">
        <is>
          <t>Achieve an increase of biodiversity relative to defined baseline years for each campus.</t>
        </is>
      </c>
      <c r="F32" s="8" t="inlineStr">
        <is>
          <t>Defined and quantified campus connectivity</t>
        </is>
      </c>
      <c r="G32" s="8" t="inlineStr">
        <is>
          <t>Please provide the current definition and quantified assessment of campus ecological connectivity, could include the methodology used, campuses covered, baseline or benchmark values, and any material change over the reporting period.</t>
        </is>
      </c>
      <c r="H32" s="8" t="inlineStr">
        <is>
          <t>ESG</t>
        </is>
      </c>
      <c r="I32" s="8" t="inlineStr">
        <is>
          <t>ESG</t>
        </is>
      </c>
      <c r="J32" s="8" t="inlineStr"/>
      <c r="K32" s="8" t="inlineStr">
        <is>
          <t>Both</t>
        </is>
      </c>
      <c r="L32" s="8" t="inlineStr">
        <is>
          <t>No</t>
        </is>
      </c>
      <c r="M32" s="8" t="inlineStr"/>
      <c r="N32" s="8" t="inlineStr"/>
      <c r="O32" s="8" t="inlineStr">
        <is>
          <t>Tailored request</t>
        </is>
      </c>
      <c r="P32" s="8" t="inlineStr"/>
    </row>
    <row r="33" ht="90" customHeight="1">
      <c r="B33" s="7" t="inlineStr">
        <is>
          <t>NB2(a)</t>
        </is>
      </c>
      <c r="C33" s="8" t="inlineStr">
        <is>
          <t>Sustainability leadership</t>
        </is>
      </c>
      <c r="D33" s="8" t="inlineStr">
        <is>
          <t>Nature and biodiversity</t>
        </is>
      </c>
      <c r="E33" s="8" t="inlineStr">
        <is>
          <t>Improve our understanding of our supply chain impacts on nature.</t>
        </is>
      </c>
      <c r="F33" s="8" t="inlineStr">
        <is>
          <t>Documented baseline nature footprint analysis</t>
        </is>
      </c>
      <c r="G33" s="8" t="inlineStr">
        <is>
          <t>Impact Encore Measurement</t>
        </is>
      </c>
      <c r="H33" s="8" t="inlineStr">
        <is>
          <t>MBI</t>
        </is>
      </c>
      <c r="I33" s="8" t="inlineStr">
        <is>
          <t>MRE</t>
        </is>
      </c>
      <c r="J33" s="8" t="inlineStr"/>
      <c r="K33" s="8" t="inlineStr">
        <is>
          <t>Both</t>
        </is>
      </c>
      <c r="L33" s="8" t="inlineStr">
        <is>
          <t>No</t>
        </is>
      </c>
      <c r="M33" s="8" t="inlineStr"/>
      <c r="N33" s="8" t="inlineStr"/>
      <c r="O33" s="8" t="inlineStr">
        <is>
          <t>Tailored request</t>
        </is>
      </c>
      <c r="P33" s="8" t="inlineStr"/>
    </row>
    <row r="34" ht="90" customHeight="1">
      <c r="B34" s="7" t="inlineStr">
        <is>
          <t>NB2(b)</t>
        </is>
      </c>
      <c r="C34" s="8" t="inlineStr">
        <is>
          <t>Sustainability leadership</t>
        </is>
      </c>
      <c r="D34" s="8" t="inlineStr">
        <is>
          <t>Nature and biodiversity</t>
        </is>
      </c>
      <c r="E34" s="8" t="inlineStr">
        <is>
          <t>Improve our understanding of our supply chain impacts on nature.</t>
        </is>
      </c>
      <c r="F34" s="8" t="inlineStr">
        <is>
          <t>Evidence of established framework to monitor and track supply-chain nature impacts over time</t>
        </is>
      </c>
      <c r="G34" s="8" t="inlineStr">
        <is>
          <t>Please describe the framework established to monitor and track supply-chain impacts on nature over time, could include metrics, data sources, governance/ownership, reporting frequency and current implementation status.</t>
        </is>
      </c>
      <c r="H34" s="8" t="inlineStr">
        <is>
          <t>ESG</t>
        </is>
      </c>
      <c r="I34" s="8" t="inlineStr">
        <is>
          <t>ESG</t>
        </is>
      </c>
      <c r="J34" s="8" t="inlineStr">
        <is>
          <t>Melbourne Biodiversity Institute (MBI) - Brendan Wintle and August Wylynko</t>
        </is>
      </c>
      <c r="K34" s="8" t="inlineStr">
        <is>
          <t>Both</t>
        </is>
      </c>
      <c r="L34" s="8" t="inlineStr">
        <is>
          <t>No</t>
        </is>
      </c>
      <c r="M34" s="8" t="inlineStr"/>
      <c r="N34" s="8" t="inlineStr"/>
      <c r="O34" s="8" t="inlineStr">
        <is>
          <t>Tailored request</t>
        </is>
      </c>
      <c r="P34" s="8" t="inlineStr"/>
    </row>
    <row r="35" ht="90" customHeight="1">
      <c r="B35" s="7" t="inlineStr">
        <is>
          <t>NB2(c)</t>
        </is>
      </c>
      <c r="C35" s="8" t="inlineStr">
        <is>
          <t>Sustainability leadership</t>
        </is>
      </c>
      <c r="D35" s="8" t="inlineStr">
        <is>
          <t>Nature and biodiversity</t>
        </is>
      </c>
      <c r="E35" s="8" t="inlineStr">
        <is>
          <t>Improve our understanding of our supply chain impacts on nature.</t>
        </is>
      </c>
      <c r="F35" s="8" t="inlineStr">
        <is>
          <t>Evidence of prioritised high risk procurement categories or suppliers for nature impact management</t>
        </is>
      </c>
      <c r="G35" s="8" t="inlineStr">
        <is>
          <t>Please provide the prioritised high-risk procurement categories and/or suppliers identified for nature-impact management, could include the basis for prioritisation and any risk-management, engagement or mitigation actions undertaken or planned.</t>
        </is>
      </c>
      <c r="H35" s="8" t="inlineStr">
        <is>
          <t>ESG, CFOG</t>
        </is>
      </c>
      <c r="I35" s="8" t="inlineStr">
        <is>
          <t>CFOG, ESG</t>
        </is>
      </c>
      <c r="J35" s="8" t="inlineStr">
        <is>
          <t>MBI</t>
        </is>
      </c>
      <c r="K35" s="8" t="inlineStr">
        <is>
          <t>Both</t>
        </is>
      </c>
      <c r="L35" s="8" t="inlineStr">
        <is>
          <t>No</t>
        </is>
      </c>
      <c r="M35" s="8" t="inlineStr"/>
      <c r="N35" s="8" t="inlineStr"/>
      <c r="O35" s="8" t="inlineStr">
        <is>
          <t>Tailored request</t>
        </is>
      </c>
      <c r="P35" s="8" t="inlineStr"/>
    </row>
    <row r="36" ht="90" customHeight="1">
      <c r="B36" s="7" t="inlineStr">
        <is>
          <t>AI1(a)</t>
        </is>
      </c>
      <c r="C36" s="8" t="inlineStr">
        <is>
          <t>Sustainability leadership</t>
        </is>
      </c>
      <c r="D36" s="8" t="inlineStr">
        <is>
          <t>Responsible AI</t>
        </is>
      </c>
      <c r="E36" s="8" t="inlineStr">
        <is>
          <t>Improve understanding of our sustainability-related risks and opportunities of AI technologies by 2028.</t>
        </is>
      </c>
      <c r="F36" s="8" t="inlineStr">
        <is>
          <t>Established measurement of estimated operational impacts and opportunities (eg operational impacts could include energy, water, emissions and intensity measures)</t>
        </is>
      </c>
      <c r="G36" s="8" t="inlineStr"/>
      <c r="H36" s="8" t="inlineStr">
        <is>
          <t>CI&amp;S, CIOG</t>
        </is>
      </c>
      <c r="I36" s="8" t="inlineStr">
        <is>
          <t>CI&amp;S, CIOG</t>
        </is>
      </c>
      <c r="J36" s="8" t="inlineStr"/>
      <c r="K36" s="8" t="inlineStr">
        <is>
          <t>Both</t>
        </is>
      </c>
      <c r="L36" s="8" t="inlineStr">
        <is>
          <t>Yes</t>
        </is>
      </c>
      <c r="M36" s="8" t="inlineStr">
        <is>
          <t>Rose &amp; Sally currently actively managing this target and indicator. High level overview on 2026, will work on the detailed measurement next year</t>
        </is>
      </c>
      <c r="N36" s="8" t="inlineStr"/>
      <c r="O36" s="8" t="inlineStr">
        <is>
          <t>Tailored request</t>
        </is>
      </c>
      <c r="P36" s="8" t="inlineStr"/>
    </row>
    <row r="37" ht="90" customHeight="1">
      <c r="B37" s="7" t="inlineStr">
        <is>
          <t>AI1(b)</t>
        </is>
      </c>
      <c r="C37" s="8" t="inlineStr">
        <is>
          <t>Sustainability leadership</t>
        </is>
      </c>
      <c r="D37" s="8" t="inlineStr">
        <is>
          <t>Responsible AI</t>
        </is>
      </c>
      <c r="E37" s="8" t="inlineStr">
        <is>
          <t>Improve understanding of our sustainability-related risks and opportunities of AI technologies by 2028.</t>
        </is>
      </c>
      <c r="F37" s="8" t="inlineStr">
        <is>
          <t>Case studies of sustainability and AI-related education, research and collaboration activities.</t>
        </is>
      </c>
      <c r="G37" s="8" t="inlineStr">
        <is>
          <t>Please provide case studies from your Faculty/Portfolio of sustainability and AI-related education, research or collaboration activities, describing the activity, participants or partners, sustainability issue addressed and key outcomes or lessons.</t>
        </is>
      </c>
      <c r="H37" s="8" t="inlineStr">
        <is>
          <t>CI&amp;S, CIOG</t>
        </is>
      </c>
      <c r="I37" s="8" t="inlineStr">
        <is>
          <t>CI&amp;S, CIOG</t>
        </is>
      </c>
      <c r="J37" s="8" t="inlineStr">
        <is>
          <t>AI Steering Committee - developing AI roadmap, which includes responsible AI as a key pillar.</t>
        </is>
      </c>
      <c r="K37" s="8" t="inlineStr">
        <is>
          <t>Both</t>
        </is>
      </c>
      <c r="L37" s="8" t="inlineStr">
        <is>
          <t>No</t>
        </is>
      </c>
      <c r="M37" s="8" t="inlineStr"/>
      <c r="N37" s="8" t="inlineStr"/>
      <c r="O37" s="8" t="inlineStr">
        <is>
          <t>Tailored request</t>
        </is>
      </c>
      <c r="P37" s="8" t="inlineStr"/>
    </row>
    <row r="38" ht="90" customHeight="1">
      <c r="B38" s="7" t="inlineStr">
        <is>
          <t>EI1(a)</t>
        </is>
      </c>
      <c r="C38" s="8" t="inlineStr">
        <is>
          <t>Resilient University</t>
        </is>
      </c>
      <c r="D38" s="8" t="inlineStr">
        <is>
          <t>Estate and infrastructure</t>
        </is>
      </c>
      <c r="E38" s="8" t="inlineStr">
        <is>
          <t>Integrate environmental sustainability in the way that the University achieves strategic and operational objectives for our estate and infrastructure.</t>
        </is>
      </c>
      <c r="F38" s="8" t="inlineStr">
        <is>
          <t>Evidence of increased maturity of estate and infrastructure planning, development and operations to support the other priority areas in Sustainability 2030</t>
        </is>
      </c>
      <c r="G38" s="8" t="inlineStr">
        <is>
          <t>Case study evidence of increased sustainability maturity in estate and infrastructure planning, development and operations, could include examples of changes to standards, processes, governance, decision-making or project requirements that support Sustainability 2030 priority areas.</t>
        </is>
      </c>
      <c r="H38" s="8" t="inlineStr">
        <is>
          <t>CI&amp;S</t>
        </is>
      </c>
      <c r="I38" s="8" t="inlineStr">
        <is>
          <t>CI&amp;S</t>
        </is>
      </c>
      <c r="J38" s="8" t="inlineStr">
        <is>
          <t>CI&amp;S - Estate Planning and Development teams</t>
        </is>
      </c>
      <c r="K38" s="8" t="inlineStr">
        <is>
          <t>Both</t>
        </is>
      </c>
      <c r="L38" s="8" t="inlineStr">
        <is>
          <t>No</t>
        </is>
      </c>
      <c r="M38" s="8" t="inlineStr">
        <is>
          <t>Facilitated by Gerard</t>
        </is>
      </c>
      <c r="N38" s="8" t="inlineStr"/>
      <c r="O38" s="8" t="inlineStr">
        <is>
          <t>Tailored request</t>
        </is>
      </c>
      <c r="P38" s="8" t="inlineStr"/>
    </row>
    <row r="39" ht="90" customHeight="1">
      <c r="B39" s="7" t="inlineStr">
        <is>
          <t>EI1(b)</t>
        </is>
      </c>
      <c r="C39" s="8" t="inlineStr">
        <is>
          <t>Resilient University</t>
        </is>
      </c>
      <c r="D39" s="8" t="inlineStr">
        <is>
          <t>Estate and infrastructure</t>
        </is>
      </c>
      <c r="E39" s="8" t="inlineStr">
        <is>
          <t>Integrate environmental sustainability in the way that the University achieves strategic and operational objectives for our estate and infrastructure.</t>
        </is>
      </c>
      <c r="F39" s="8" t="inlineStr">
        <is>
          <t>Estimated sustainability impacts of the University’s estate and infrastructure capital plan to inform progress towards emissions reduction targets and other priority areas (to the extent enabled by available information)</t>
        </is>
      </c>
      <c r="G39" s="8" t="inlineStr">
        <is>
          <t>Please provide any available information on sustainability impacts associated with estate and infrastructure projects or capital works relevant to your Faculty/Portfolio. This could include impacts related to emissions and other Sustainability 2030 priority areas.</t>
        </is>
      </c>
      <c r="H39" s="8" t="inlineStr">
        <is>
          <t>CI&amp;S</t>
        </is>
      </c>
      <c r="I39" s="8" t="inlineStr">
        <is>
          <t>CI&amp;S</t>
        </is>
      </c>
      <c r="J39" s="8" t="inlineStr">
        <is>
          <t>CI&amp;S - Estate Planning and Development teams</t>
        </is>
      </c>
      <c r="K39" s="8" t="inlineStr">
        <is>
          <t>Both</t>
        </is>
      </c>
      <c r="L39" s="8" t="inlineStr">
        <is>
          <t>No</t>
        </is>
      </c>
      <c r="M39" s="8" t="inlineStr"/>
      <c r="N39" s="8" t="inlineStr"/>
      <c r="O39" s="8" t="inlineStr">
        <is>
          <t>Tailored request</t>
        </is>
      </c>
      <c r="P39" s="8" t="inlineStr"/>
    </row>
    <row r="40" ht="90" customHeight="1">
      <c r="B40" s="7" t="inlineStr">
        <is>
          <t>EI1(c)</t>
        </is>
      </c>
      <c r="C40" s="8" t="inlineStr">
        <is>
          <t>Resilient University</t>
        </is>
      </c>
      <c r="D40" s="8" t="inlineStr">
        <is>
          <t>Estate and infrastructure</t>
        </is>
      </c>
      <c r="E40" s="8" t="inlineStr">
        <is>
          <t>Integrate environmental sustainability in the way that the University achieves strategic and operational objectives for our estate and infrastructure.</t>
        </is>
      </c>
      <c r="F40" s="8" t="inlineStr">
        <is>
          <t>Reporting on relevant activities and impacts for the University’s major estate and infrastructure projects and programs aligned with the other priority areas in Sustainability 2030</t>
        </is>
      </c>
      <c r="G40" s="8" t="inlineStr">
        <is>
          <t>Please provide an update on sustainability-related activities and impacts for major estate and infrastructure projects or programs relevant to your Faculty/Portfolio. This could include key initiatives, relevant performance measures and alignment with Sustainability 2030 priority areas.</t>
        </is>
      </c>
      <c r="H40" s="8" t="inlineStr">
        <is>
          <t>CI&amp;S</t>
        </is>
      </c>
      <c r="I40" s="8" t="inlineStr">
        <is>
          <t>CI&amp;S</t>
        </is>
      </c>
      <c r="J40" s="8" t="inlineStr">
        <is>
          <t>CI&amp;S - Estate Planning and Development teams</t>
        </is>
      </c>
      <c r="K40" s="8" t="inlineStr">
        <is>
          <t>Both</t>
        </is>
      </c>
      <c r="L40" s="8" t="inlineStr">
        <is>
          <t>No</t>
        </is>
      </c>
      <c r="M40" s="8" t="inlineStr"/>
      <c r="N40" s="8" t="inlineStr"/>
      <c r="O40" s="8" t="inlineStr">
        <is>
          <t>Tailored request</t>
        </is>
      </c>
      <c r="P40" s="8" t="inlineStr"/>
    </row>
    <row r="41" ht="90" customHeight="1">
      <c r="B41" s="7" t="inlineStr">
        <is>
          <t>EI1(d)</t>
        </is>
      </c>
      <c r="C41" s="8" t="inlineStr">
        <is>
          <t>Resilient University</t>
        </is>
      </c>
      <c r="D41" s="8" t="inlineStr">
        <is>
          <t>Estate and infrastructure</t>
        </is>
      </c>
      <c r="E41" s="8" t="inlineStr">
        <is>
          <t>Integrate environmental sustainability in the way that the University achieves strategic and operational objectives for our estate and infrastructure.</t>
        </is>
      </c>
      <c r="F41" s="8" t="inlineStr">
        <is>
          <t>Evidence of understanding and integration of Indigenous approaches to sustainability in estate planning and development programs and projects.</t>
        </is>
      </c>
      <c r="G41" s="8" t="inlineStr">
        <is>
          <t>Please provide examples showing how Indigenous approaches, knowledges or perspectives on sustainability have informed estate planning, development programs or projects relevant to your Faculty/Portfolio. This could include how Indigenous stakeholders were engaged and what changed as a result.</t>
        </is>
      </c>
      <c r="H41" s="8" t="inlineStr">
        <is>
          <t>CI&amp;S</t>
        </is>
      </c>
      <c r="I41" s="8" t="inlineStr">
        <is>
          <t>CI&amp;S</t>
        </is>
      </c>
      <c r="J41" s="8" t="inlineStr">
        <is>
          <t>CI&amp;S - Estate Planning and Development teams</t>
        </is>
      </c>
      <c r="K41" s="8" t="inlineStr">
        <is>
          <t>Both</t>
        </is>
      </c>
      <c r="L41" s="8" t="inlineStr">
        <is>
          <t>No</t>
        </is>
      </c>
      <c r="M41" s="8" t="inlineStr"/>
      <c r="N41" s="8" t="inlineStr"/>
      <c r="O41" s="8" t="inlineStr">
        <is>
          <t>Tailored request</t>
        </is>
      </c>
      <c r="P41" s="8" t="inlineStr"/>
    </row>
    <row r="42" ht="90" customHeight="1">
      <c r="B42" s="7" t="inlineStr">
        <is>
          <t>CE1(a)</t>
        </is>
      </c>
      <c r="C42" s="8" t="inlineStr">
        <is>
          <t>Resilient University</t>
        </is>
      </c>
      <c r="D42" s="8" t="inlineStr">
        <is>
          <t>Circular economy</t>
        </is>
      </c>
      <c r="E42" s="8" t="inlineStr">
        <is>
          <t>Reduce waste to landfill by 10% by CY2030 on the CY2025 baseline.</t>
        </is>
      </c>
      <c r="F42" s="8" t="inlineStr">
        <is>
          <t>Comparison of year-to-year tonnes of waste (absolute).</t>
        </is>
      </c>
      <c r="G42" s="8" t="inlineStr">
        <is>
          <t>tonnes of waste; % change against previous baseline</t>
        </is>
      </c>
      <c r="H42" s="8" t="inlineStr"/>
      <c r="I42" s="8" t="inlineStr">
        <is>
          <t>TBC – no owner identified</t>
        </is>
      </c>
      <c r="J42" s="8" t="inlineStr"/>
      <c r="K42" s="8" t="inlineStr">
        <is>
          <t>Both</t>
        </is>
      </c>
      <c r="L42" s="8" t="inlineStr">
        <is>
          <t>No</t>
        </is>
      </c>
      <c r="M42" s="8" t="inlineStr">
        <is>
          <t>Quantitative indicator</t>
        </is>
      </c>
      <c r="N42" s="8" t="inlineStr"/>
      <c r="O42" s="8" t="inlineStr">
        <is>
          <t>Databook / central data owner</t>
        </is>
      </c>
      <c r="P42" s="8" t="inlineStr"/>
    </row>
    <row r="43" ht="90" customHeight="1">
      <c r="B43" s="7" t="inlineStr">
        <is>
          <t>CE2(a)</t>
        </is>
      </c>
      <c r="C43" s="8" t="inlineStr">
        <is>
          <t>Resilient University</t>
        </is>
      </c>
      <c r="D43" s="8" t="inlineStr">
        <is>
          <t>Circular economy</t>
        </is>
      </c>
      <c r="E43" s="8" t="inlineStr">
        <is>
          <t>Increase diversion of recyclable materials from landfill by 10% by CY2030 on the CY2025 baseline.</t>
        </is>
      </c>
      <c r="F43" s="8" t="inlineStr">
        <is>
          <t>Comparison of year-to-year tonnes of recyclables (absolute).</t>
        </is>
      </c>
      <c r="G43" s="8" t="inlineStr">
        <is>
          <t>waste diversion rate; tonnes diverted from landfill; % change against previous baseline</t>
        </is>
      </c>
      <c r="H43" s="8" t="inlineStr"/>
      <c r="I43" s="8" t="inlineStr">
        <is>
          <t>TBC – no owner identified</t>
        </is>
      </c>
      <c r="J43" s="8" t="inlineStr"/>
      <c r="K43" s="8" t="inlineStr">
        <is>
          <t>Both</t>
        </is>
      </c>
      <c r="L43" s="8" t="inlineStr">
        <is>
          <t>No</t>
        </is>
      </c>
      <c r="M43" s="8" t="inlineStr">
        <is>
          <t>Quantitative indicator</t>
        </is>
      </c>
      <c r="N43" s="8" t="inlineStr"/>
      <c r="O43" s="8" t="inlineStr">
        <is>
          <t>Databook / central data owner</t>
        </is>
      </c>
      <c r="P43" s="8" t="inlineStr"/>
    </row>
    <row r="44" ht="90" customHeight="1">
      <c r="B44" s="7" t="inlineStr">
        <is>
          <t>RP1(a)</t>
        </is>
      </c>
      <c r="C44" s="8" t="inlineStr">
        <is>
          <t>Resilient University</t>
        </is>
      </c>
      <c r="D44" s="8" t="inlineStr">
        <is>
          <t>Responsible procurement</t>
        </is>
      </c>
      <c r="E44" s="8" t="inlineStr">
        <is>
          <t>Strengthen our ethical and sustainable procurement approach.</t>
        </is>
      </c>
      <c r="F44" s="8" t="inlineStr">
        <is>
          <t>Case studies of maturity improvement related to responsible procurement process and systems.</t>
        </is>
      </c>
      <c r="G44" s="8" t="inlineStr">
        <is>
          <t>Maturity score if framework established; % procurement staff trained</t>
        </is>
      </c>
      <c r="H44" s="8" t="inlineStr"/>
      <c r="I44" s="8" t="inlineStr">
        <is>
          <t>CFOG</t>
        </is>
      </c>
      <c r="J44" s="8" t="inlineStr"/>
      <c r="K44" s="8" t="inlineStr">
        <is>
          <t>Both</t>
        </is>
      </c>
      <c r="L44" s="8" t="inlineStr">
        <is>
          <t>No</t>
        </is>
      </c>
      <c r="M44" s="8" t="inlineStr">
        <is>
          <t>Quantitative metrics could support qualitative case studies to demonstrate system/process improvements</t>
        </is>
      </c>
      <c r="N44" s="8" t="inlineStr"/>
      <c r="O44" s="8" t="inlineStr">
        <is>
          <t>Tailored request</t>
        </is>
      </c>
      <c r="P44" s="8" t="inlineStr"/>
    </row>
    <row r="45" ht="90" customHeight="1">
      <c r="B45" s="7" t="inlineStr">
        <is>
          <t>RP2(a)</t>
        </is>
      </c>
      <c r="C45" s="8" t="inlineStr">
        <is>
          <t>Resilient University</t>
        </is>
      </c>
      <c r="D45" s="8" t="inlineStr">
        <is>
          <t>Responsible procurement</t>
        </is>
      </c>
      <c r="E45" s="8" t="inlineStr">
        <is>
          <t>Increase our Indigenous and social spend, reaching 3% Indigenous and 1% social spend of addressable procurement by 2030.</t>
        </is>
      </c>
      <c r="F45" s="8" t="inlineStr">
        <is>
          <t>Percentage of Indigenous spend of total addressable procurement spend</t>
        </is>
      </c>
      <c r="G45" s="8" t="inlineStr">
        <is>
          <t>Percentage of Indigenous spend of total addressable procurement spend</t>
        </is>
      </c>
      <c r="H45" s="8" t="inlineStr"/>
      <c r="I45" s="8" t="inlineStr">
        <is>
          <t>TBC – no owner identified</t>
        </is>
      </c>
      <c r="J45" s="8" t="inlineStr"/>
      <c r="K45" s="8" t="inlineStr">
        <is>
          <t>Both</t>
        </is>
      </c>
      <c r="L45" s="8" t="inlineStr">
        <is>
          <t>No</t>
        </is>
      </c>
      <c r="M45" s="8" t="inlineStr">
        <is>
          <t>Quantitative indicator</t>
        </is>
      </c>
      <c r="N45" s="8" t="inlineStr"/>
      <c r="O45" s="8" t="inlineStr">
        <is>
          <t>Databook / central data owner</t>
        </is>
      </c>
      <c r="P45" s="8" t="inlineStr"/>
    </row>
    <row r="46" ht="90" customHeight="1">
      <c r="B46" s="7" t="inlineStr">
        <is>
          <t>RP2(b)</t>
        </is>
      </c>
      <c r="C46" s="8" t="inlineStr">
        <is>
          <t>Resilient University</t>
        </is>
      </c>
      <c r="D46" s="8" t="inlineStr">
        <is>
          <t>Responsible procurement</t>
        </is>
      </c>
      <c r="E46" s="8" t="inlineStr">
        <is>
          <t>Increase our Indigenous and social spend, reaching 3% Indigenous and 1% social spend of addressable procurement by 2030.</t>
        </is>
      </c>
      <c r="F46" s="8" t="inlineStr">
        <is>
          <t>Percentage of social spend of total addressable procurement spend.</t>
        </is>
      </c>
      <c r="G46" s="8" t="inlineStr">
        <is>
          <t>Percentage of social spend of total addressable procurement spend.</t>
        </is>
      </c>
      <c r="H46" s="8" t="inlineStr"/>
      <c r="I46" s="8" t="inlineStr">
        <is>
          <t>TBC – no owner identified</t>
        </is>
      </c>
      <c r="J46" s="8" t="inlineStr"/>
      <c r="K46" s="8" t="inlineStr">
        <is>
          <t>Both</t>
        </is>
      </c>
      <c r="L46" s="8" t="inlineStr">
        <is>
          <t>No</t>
        </is>
      </c>
      <c r="M46" s="8" t="inlineStr">
        <is>
          <t>Quantitative indicator</t>
        </is>
      </c>
      <c r="N46" s="8" t="inlineStr"/>
      <c r="O46" s="8" t="inlineStr">
        <is>
          <t>Databook / central data owner</t>
        </is>
      </c>
      <c r="P46" s="8" t="inlineStr"/>
    </row>
    <row r="47" ht="90" customHeight="1">
      <c r="B47" s="7" t="inlineStr">
        <is>
          <t>MS1(a)</t>
        </is>
      </c>
      <c r="C47" s="8" t="inlineStr">
        <is>
          <t>Resilient University</t>
        </is>
      </c>
      <c r="D47" s="8" t="inlineStr">
        <is>
          <t>Modern slavery and human rights</t>
        </is>
      </c>
      <c r="E47" s="8" t="inlineStr">
        <is>
          <t>Manage our approach to modern slavery and human rights-related risks and opportunities.</t>
        </is>
      </c>
      <c r="F47" s="8" t="inlineStr">
        <is>
          <t>Annual progress reporting via the Modern Slavery Statement</t>
        </is>
      </c>
      <c r="G47" s="8" t="inlineStr">
        <is>
          <t>Annual Modern Slavery Statement, with case studies</t>
        </is>
      </c>
      <c r="H47" s="8" t="inlineStr">
        <is>
          <t>CFOG, CI&amp;S</t>
        </is>
      </c>
      <c r="I47" s="8" t="inlineStr">
        <is>
          <t>CI&amp;S, CFOG</t>
        </is>
      </c>
      <c r="J47" s="8" t="inlineStr">
        <is>
          <t>CFOG - Procurement; Modern Slavery Working Group (existing).</t>
        </is>
      </c>
      <c r="K47" s="8" t="inlineStr">
        <is>
          <t>External</t>
        </is>
      </c>
      <c r="L47" s="8" t="inlineStr">
        <is>
          <t>No</t>
        </is>
      </c>
      <c r="M47" s="8" t="inlineStr"/>
      <c r="N47" s="8" t="inlineStr"/>
      <c r="O47" s="8" t="inlineStr">
        <is>
          <t>Tailored request</t>
        </is>
      </c>
      <c r="P47" s="8" t="inlineStr"/>
    </row>
    <row r="48" ht="90" customHeight="1">
      <c r="B48" s="7" t="inlineStr">
        <is>
          <t>RI1(a)</t>
        </is>
      </c>
      <c r="C48" s="8" t="inlineStr">
        <is>
          <t>Resilient University</t>
        </is>
      </c>
      <c r="D48" s="8" t="inlineStr">
        <is>
          <t>Responsible investments</t>
        </is>
      </c>
      <c r="E48" s="8" t="inlineStr">
        <is>
          <t>Achieve net zero financed emissions for the University’s investment portfolio by 2050.</t>
        </is>
      </c>
      <c r="F48" s="8" t="inlineStr">
        <is>
          <t>Annual monitoring and reporting on the investment portfolio’s net zero transition progress, including tracking the percentage of assets under management (AUM) managed by investment managers aligned with (or committed to) net zero by 2050</t>
        </is>
      </c>
      <c r="G48" s="8" t="inlineStr">
        <is>
          <t>Percentage of AUM managed by investment managers aligned with net zero by 2050</t>
        </is>
      </c>
      <c r="H48" s="8" t="inlineStr"/>
      <c r="I48" s="8" t="inlineStr">
        <is>
          <t>TBC – no owner identified</t>
        </is>
      </c>
      <c r="J48" s="8" t="inlineStr"/>
      <c r="K48" s="8" t="inlineStr">
        <is>
          <t>Both</t>
        </is>
      </c>
      <c r="L48" s="8" t="inlineStr">
        <is>
          <t>No</t>
        </is>
      </c>
      <c r="M48" s="8" t="inlineStr">
        <is>
          <t>Quantitative indicator</t>
        </is>
      </c>
      <c r="N48" s="8" t="inlineStr"/>
      <c r="O48" s="8" t="inlineStr">
        <is>
          <t>Databook / central data owner</t>
        </is>
      </c>
      <c r="P48" s="8" t="inlineStr"/>
    </row>
    <row r="49" ht="90" customHeight="1">
      <c r="B49" s="7" t="inlineStr">
        <is>
          <t>RI1(b)</t>
        </is>
      </c>
      <c r="C49" s="8" t="inlineStr">
        <is>
          <t>Resilient University</t>
        </is>
      </c>
      <c r="D49" s="8" t="inlineStr">
        <is>
          <t>Responsible investments</t>
        </is>
      </c>
      <c r="E49" s="8" t="inlineStr">
        <is>
          <t>Achieve net zero financed emissions for the University’s investment portfolio by 2050.</t>
        </is>
      </c>
      <c r="F49" s="8" t="inlineStr">
        <is>
          <t>Continuous improvement of the reporting of the University’s sustainability-related investment profile metrics, could include investment in climate mitigation and transition solutions, and compliance with related obligations (eg UNPRI).</t>
        </is>
      </c>
      <c r="G49" s="8" t="inlineStr">
        <is>
          <t>Report on relevant sustainability-related investment portfolio metrics and report on how the University has complied with its related obligations</t>
        </is>
      </c>
      <c r="H49" s="8" t="inlineStr">
        <is>
          <t>CFOG, CI&amp;S</t>
        </is>
      </c>
      <c r="I49" s="8" t="inlineStr">
        <is>
          <t>CI&amp;S, CFOG</t>
        </is>
      </c>
      <c r="J49" s="8" t="inlineStr"/>
      <c r="K49" s="8" t="inlineStr">
        <is>
          <t>Both</t>
        </is>
      </c>
      <c r="L49" s="8" t="inlineStr">
        <is>
          <t>No</t>
        </is>
      </c>
      <c r="M49" s="8" t="inlineStr"/>
      <c r="N49" s="8" t="inlineStr"/>
      <c r="O49" s="8" t="inlineStr">
        <is>
          <t>Tailored request</t>
        </is>
      </c>
      <c r="P49" s="8" t="inlineStr"/>
    </row>
    <row r="50" ht="90" customHeight="1">
      <c r="B50" s="7" t="inlineStr">
        <is>
          <t>EN1(a)</t>
        </is>
      </c>
      <c r="C50" s="8" t="inlineStr">
        <is>
          <t>Enablers</t>
        </is>
      </c>
      <c r="D50" s="8" t="inlineStr">
        <is>
          <t>Enablers</t>
        </is>
      </c>
      <c r="E50" s="8" t="inlineStr">
        <is>
          <t>Enablers</t>
        </is>
      </c>
      <c r="F50" s="8" t="inlineStr">
        <is>
          <t>Evidence of sustainability outcomes informed by Indigenous knowledges</t>
        </is>
      </c>
      <c r="G50" s="8" t="inlineStr">
        <is>
          <t>Please provide examples or case studies from your Faculty/Portfolio of sustainability outcomes informed by Indigenous knowledges. Describe the activity or decision, how Indigenous knowledges were incorporated or co-created, who was involved, and the resulting sustainability outcome.</t>
        </is>
      </c>
      <c r="H50" s="8" t="inlineStr">
        <is>
          <t>Faculties</t>
        </is>
      </c>
      <c r="I50" s="8" t="inlineStr">
        <is>
          <t>Faculties (pilot)</t>
        </is>
      </c>
      <c r="J50" s="8" t="inlineStr">
        <is>
          <t>For discussion - it would be good to chat about the nuances of this one</t>
        </is>
      </c>
      <c r="K50" s="8" t="inlineStr">
        <is>
          <t>Both</t>
        </is>
      </c>
      <c r="L50" s="8" t="inlineStr">
        <is>
          <t>No</t>
        </is>
      </c>
      <c r="M50" s="8" t="inlineStr"/>
      <c r="N50" s="8" t="inlineStr">
        <is>
          <t>6a</t>
        </is>
      </c>
      <c r="O50" s="8" t="inlineStr">
        <is>
          <t>Tailored request</t>
        </is>
      </c>
      <c r="P50" s="8" t="inlineStr"/>
    </row>
    <row r="51" ht="90" customHeight="1">
      <c r="B51" s="7" t="inlineStr">
        <is>
          <t>EN1(b)</t>
        </is>
      </c>
      <c r="C51" s="8" t="inlineStr">
        <is>
          <t>Enablers</t>
        </is>
      </c>
      <c r="D51" s="8" t="inlineStr">
        <is>
          <t>Enablers</t>
        </is>
      </c>
      <c r="E51" s="8" t="inlineStr">
        <is>
          <t>Enablers</t>
        </is>
      </c>
      <c r="F51" s="8" t="inlineStr">
        <is>
          <t>Living laboratories enabling applied learning, research and operational sustainability outcomes</t>
        </is>
      </c>
      <c r="G51" s="8" t="inlineStr">
        <is>
          <t>Comment on living labs in the Faculty - outputs, outcomes, and impact</t>
        </is>
      </c>
      <c r="H51" s="8" t="inlineStr">
        <is>
          <t>Faculties, CI&amp;S</t>
        </is>
      </c>
      <c r="I51" s="8" t="inlineStr">
        <is>
          <t>Faculties (pilot), CI&amp;S</t>
        </is>
      </c>
      <c r="J51" s="8" t="inlineStr">
        <is>
          <t>SST is a key data owner: Can report on projects and outcomes from the Campus Living Lab Accelerator Program. Also will gather case studies from individual projects (4)</t>
        </is>
      </c>
      <c r="K51" s="8" t="inlineStr">
        <is>
          <t>Both</t>
        </is>
      </c>
      <c r="L51" s="8" t="inlineStr">
        <is>
          <t>No</t>
        </is>
      </c>
      <c r="M51" s="8" t="inlineStr"/>
      <c r="N51" s="8" t="inlineStr">
        <is>
          <t>2a</t>
        </is>
      </c>
      <c r="O51" s="8" t="inlineStr">
        <is>
          <t>Tailored request</t>
        </is>
      </c>
      <c r="P51" s="8" t="inlineStr"/>
    </row>
    <row r="52" ht="90" customHeight="1">
      <c r="B52" s="7" t="inlineStr">
        <is>
          <t>EN1(c)</t>
        </is>
      </c>
      <c r="C52" s="8" t="inlineStr">
        <is>
          <t>Enablers</t>
        </is>
      </c>
      <c r="D52" s="8" t="inlineStr">
        <is>
          <t>Enablers</t>
        </is>
      </c>
      <c r="E52" s="8" t="inlineStr">
        <is>
          <t>Enablers</t>
        </is>
      </c>
      <c r="F52" s="8" t="inlineStr">
        <is>
          <t>Coordinated internal engagement and external partnerships contributing to delivery of sustainability outcomes across priority areas.</t>
        </is>
      </c>
      <c r="G52" s="8" t="inlineStr">
        <is>
          <t>Please provide examples of internal engagement or external partnerships involving your Faculty/Portfolio that contributed to Sustainability 2030 outcomes, could include the priority area addressed, participating groups/partners, nature of the collaboration and key outcomes.</t>
        </is>
      </c>
      <c r="H52" s="8" t="inlineStr">
        <is>
          <t>Faculties, CIOG, CFOG, CI&amp;S, ESG</t>
        </is>
      </c>
      <c r="I52" s="8" t="inlineStr">
        <is>
          <t>Faculties (pilot), CI&amp;S, CFOG, ESG, CIOG</t>
        </is>
      </c>
      <c r="J52" s="8" t="inlineStr">
        <is>
          <t>Noting a gap - we used to collect data from Advancement on the number of sustainability-focused events and attendees. We don't have an indicator that captures that now but it would fit under Engagement and Partnerships. For discussion: Should we collect this data and find a place to report it? (Data owners: Advancement, Karl Brown)
The Global, Culture and Engagement team also provided us with case studies where sustainability is embedded in partnerships, or where students are engaging with sustainability in learning opportunities. They will have a case study this year about the winter school they ran which was focused on the SDGs. Main data owners/contacts: Charmaine Monteiro (Global); Padmini Sebastian (Engagement); also - we haven't engaged the 'Culture' part of GCE - should we engage them this year for case studies?</t>
        </is>
      </c>
      <c r="K52" s="8" t="inlineStr">
        <is>
          <t>Both</t>
        </is>
      </c>
      <c r="L52" s="8" t="inlineStr">
        <is>
          <t>No</t>
        </is>
      </c>
      <c r="M52" s="8" t="inlineStr"/>
      <c r="N52" s="8" t="inlineStr">
        <is>
          <t>3a(ii)</t>
        </is>
      </c>
      <c r="O52" s="8" t="inlineStr">
        <is>
          <t>Tailored request</t>
        </is>
      </c>
      <c r="P52" s="8" t="inlineStr"/>
    </row>
    <row r="53" ht="90" customHeight="1">
      <c r="B53" s="7" t="inlineStr">
        <is>
          <t>EN1(d)</t>
        </is>
      </c>
      <c r="C53" s="8" t="inlineStr">
        <is>
          <t>Enablers</t>
        </is>
      </c>
      <c r="D53" s="8" t="inlineStr">
        <is>
          <t>Enablers</t>
        </is>
      </c>
      <c r="E53" s="8" t="inlineStr">
        <is>
          <t>Enablers</t>
        </is>
      </c>
      <c r="F53" s="8" t="inlineStr">
        <is>
          <t>Sustainability objectives integrated into governance and decision‑making processes, supported by transparent reporting.</t>
        </is>
      </c>
      <c r="G53" s="8" t="inlineStr">
        <is>
          <t>Please provide evidence of how sustainability objectives are integrated into governance and decision-making within your Faculty/Portfolio, could include relevant committees, policies, planning or approval processes, accountability mechanisms and examples of transparent reporting.</t>
        </is>
      </c>
      <c r="H53" s="8" t="inlineStr">
        <is>
          <t>Faculties, CIOG, CFOG, CI&amp;S, ESG</t>
        </is>
      </c>
      <c r="I53" s="8" t="inlineStr">
        <is>
          <t>Faculties (pilot), CI&amp;S, CFOG, ESG, CIOG</t>
        </is>
      </c>
      <c r="J53" s="8" t="inlineStr">
        <is>
          <t>Reporting working group set up - talking about potential alignment with ASRS in future. Collaboration of SST, FBE (Accounting) and the Finance team in CFOG. Sally is the key contact for more info.</t>
        </is>
      </c>
      <c r="K53" s="8" t="inlineStr">
        <is>
          <t>Both</t>
        </is>
      </c>
      <c r="L53" s="8" t="inlineStr">
        <is>
          <t>No</t>
        </is>
      </c>
      <c r="M53" s="8" t="inlineStr"/>
      <c r="N53" s="8" t="inlineStr"/>
      <c r="O53" s="8" t="inlineStr">
        <is>
          <t>Tailored request</t>
        </is>
      </c>
      <c r="P53" s="8" t="inlineStr"/>
    </row>
  </sheetData>
  <autoFilter ref="B5:P53"/>
  <pageMargins left="0.75" right="0.75" top="1" bottom="1" header="0.5" footer="0.5"/>
</worksheet>
</file>

<file path=xl/worksheets/sheet3.xml><?xml version="1.0" encoding="utf-8"?>
<worksheet xmlns="http://schemas.openxmlformats.org/spreadsheetml/2006/main">
  <sheetPr>
    <outlinePr summaryBelow="1" summaryRight="1"/>
    <pageSetUpPr/>
  </sheetPr>
  <dimension ref="A1:S34"/>
  <sheetViews>
    <sheetView showGridLines="0" workbookViewId="0">
      <pane xSplit="4" ySplit="5" topLeftCell="E6" activePane="bottomRight" state="frozen"/>
      <selection pane="topRight"/>
      <selection pane="bottomLeft"/>
      <selection pane="bottomRight" activeCell="A1" sqref="A1"/>
    </sheetView>
  </sheetViews>
  <sheetFormatPr baseColWidth="8" defaultRowHeight="15"/>
  <cols>
    <col width="9" customWidth="1" min="2" max="2"/>
    <col width="18" customWidth="1" min="3" max="3"/>
    <col width="40" customWidth="1" min="4" max="4"/>
    <col width="9" customWidth="1" min="5" max="5"/>
    <col width="40" customWidth="1" min="6" max="6"/>
    <col width="18" customWidth="1" min="7" max="7"/>
    <col width="11" customWidth="1" min="8" max="8"/>
    <col width="36" customWidth="1" min="9" max="9"/>
    <col width="12" customWidth="1" min="10" max="10"/>
    <col width="24" customWidth="1" min="11" max="11"/>
    <col width="18" customWidth="1" min="12" max="12"/>
    <col width="12" customWidth="1" min="13" max="13"/>
    <col width="18" customWidth="1" min="14" max="14"/>
    <col width="14" customWidth="1" min="15" max="15"/>
    <col width="26" customWidth="1" min="16" max="16"/>
    <col width="18" customWidth="1" min="17" max="17"/>
    <col width="12" customWidth="1" min="18" max="18"/>
    <col width="14" customWidth="1" min="19" max="19"/>
  </cols>
  <sheetData>
    <row r="1">
      <c r="A1" s="1" t="inlineStr">
        <is>
          <t>↑</t>
        </is>
      </c>
      <c r="B1" s="2" t="inlineStr">
        <is>
          <t>End-2026 target status assessment and reporting</t>
        </is>
      </c>
    </row>
    <row r="2">
      <c r="B2" s="3" t="inlineStr">
        <is>
          <t>2. Quantitative indicators – Databook mapping</t>
        </is>
      </c>
    </row>
    <row r="3">
      <c r="B3" s="9" t="inlineStr">
        <is>
          <t>Databook is the authoritative quantitative source – confirm coverage first and only request data separately where an indicator is not covered. Per the SR26 approach: map Sep–Oct; confirm provisional data in January; finalise by February.</t>
        </is>
      </c>
    </row>
    <row r="5">
      <c r="B5" s="6" t="inlineStr">
        <is>
          <t>Ref</t>
        </is>
      </c>
      <c r="C5" s="6" t="inlineStr">
        <is>
          <t>Priority area</t>
        </is>
      </c>
      <c r="D5" s="6" t="inlineStr">
        <is>
          <t>Indicator</t>
        </is>
      </c>
      <c r="E5" s="6" t="inlineStr">
        <is>
          <t>Quant? (Y/M)</t>
        </is>
      </c>
      <c r="F5" s="6" t="inlineStr">
        <is>
          <t>Suggested metric</t>
        </is>
      </c>
      <c r="G5" s="6" t="inlineStr">
        <is>
          <t>Key person to follow up</t>
        </is>
      </c>
      <c r="H5" s="6" t="inlineStr">
        <is>
          <t>Internal vs External</t>
        </is>
      </c>
      <c r="I5" s="6" t="inlineStr">
        <is>
          <t>Analysis notes</t>
        </is>
      </c>
      <c r="J5" s="6" t="inlineStr">
        <is>
          <t>Covered by Databook?</t>
        </is>
      </c>
      <c r="K5" s="6" t="inlineStr">
        <is>
          <t>Definition</t>
        </is>
      </c>
      <c r="L5" s="6" t="inlineStr">
        <is>
          <t>Reporting boundary</t>
        </is>
      </c>
      <c r="M5" s="6" t="inlineStr">
        <is>
          <t>Period</t>
        </is>
      </c>
      <c r="N5" s="6" t="inlineStr">
        <is>
          <t>Source system</t>
        </is>
      </c>
      <c r="O5" s="6" t="inlineStr">
        <is>
          <t>End-2026 figure</t>
        </is>
      </c>
      <c r="P5" s="6" t="inlineStr">
        <is>
          <t>Quality note / limitations</t>
        </is>
      </c>
      <c r="Q5" s="6" t="inlineStr">
        <is>
          <t>Data owner</t>
        </is>
      </c>
      <c r="R5" s="6" t="inlineStr">
        <is>
          <t>Owner confirmed?</t>
        </is>
      </c>
      <c r="S5" s="6" t="inlineStr">
        <is>
          <t>Confirmation date</t>
        </is>
      </c>
    </row>
    <row r="6" ht="75" customHeight="1">
      <c r="B6" s="7" t="inlineStr">
        <is>
          <t>EE1(c)</t>
        </is>
      </c>
      <c r="C6" s="8" t="inlineStr">
        <is>
          <t>Exceptional education</t>
        </is>
      </c>
      <c r="D6" s="8" t="inlineStr">
        <is>
          <t>Evidence of sustainability focused experiential and co curricular learning (eg Wattle Fellowship; Melbourne Plus)</t>
        </is>
      </c>
      <c r="E6" s="8" t="inlineStr">
        <is>
          <t>M</t>
        </is>
      </c>
      <c r="F6" s="8" t="inlineStr">
        <is>
          <t>Number of experiential learning projects; number of participating students</t>
        </is>
      </c>
      <c r="G6" s="8" t="inlineStr"/>
      <c r="H6" s="8" t="inlineStr">
        <is>
          <t>Both</t>
        </is>
      </c>
      <c r="I6" s="8" t="inlineStr">
        <is>
          <t>Quantitative metrics could help shows the reach of projects, especially the student metrics</t>
        </is>
      </c>
      <c r="J6" s="10" t="inlineStr"/>
      <c r="K6" s="10" t="inlineStr"/>
      <c r="L6" s="10" t="inlineStr"/>
      <c r="M6" s="10" t="inlineStr"/>
      <c r="N6" s="10" t="inlineStr"/>
      <c r="O6" s="10" t="inlineStr"/>
      <c r="P6" s="10" t="inlineStr"/>
      <c r="Q6" s="10" t="inlineStr"/>
      <c r="R6" s="10" t="inlineStr"/>
      <c r="S6" s="10" t="inlineStr"/>
    </row>
    <row r="7" ht="75" customHeight="1">
      <c r="B7" s="7" t="inlineStr">
        <is>
          <t>EE1(d)</t>
        </is>
      </c>
      <c r="C7" s="8" t="inlineStr">
        <is>
          <t>Exceptional education</t>
        </is>
      </c>
      <c r="D7" s="8" t="inlineStr">
        <is>
          <t>Alumni profiles demonstrating how graduates contribute to sustainability through their careers or communities.</t>
        </is>
      </c>
      <c r="E7" s="8" t="inlineStr">
        <is>
          <t>M</t>
        </is>
      </c>
      <c r="F7" s="8" t="inlineStr">
        <is>
          <t>Number of alumni that contribute to sustainability; % profiles demonstrating sustainability contribution; insights form different industries that influenced by alumni</t>
        </is>
      </c>
      <c r="G7" s="8" t="inlineStr"/>
      <c r="H7" s="8" t="inlineStr">
        <is>
          <t>Both</t>
        </is>
      </c>
      <c r="I7" s="8" t="inlineStr">
        <is>
          <t>Number and percentage of profiles could be underwhelming, but it helps to track the trajectory. I supposed qualitative case of selected profiles would still be the primary metrics.</t>
        </is>
      </c>
      <c r="J7" s="10" t="inlineStr"/>
      <c r="K7" s="10" t="inlineStr"/>
      <c r="L7" s="10" t="inlineStr"/>
      <c r="M7" s="10" t="inlineStr"/>
      <c r="N7" s="10" t="inlineStr"/>
      <c r="O7" s="10" t="inlineStr"/>
      <c r="P7" s="10" t="inlineStr"/>
      <c r="Q7" s="10" t="inlineStr"/>
      <c r="R7" s="10" t="inlineStr"/>
      <c r="S7" s="10" t="inlineStr"/>
    </row>
    <row r="8" ht="75" customHeight="1">
      <c r="B8" s="7" t="inlineStr">
        <is>
          <t>TR2(b)</t>
        </is>
      </c>
      <c r="C8" s="8" t="inlineStr">
        <is>
          <t>Transformational research</t>
        </is>
      </c>
      <c r="D8" s="8" t="inlineStr">
        <is>
          <t>Documented progress of relevant strategic initiatives, including Impact Accelerators</t>
        </is>
      </c>
      <c r="E8" s="8" t="inlineStr">
        <is>
          <t>Y</t>
        </is>
      </c>
      <c r="F8" s="8" t="inlineStr">
        <is>
          <t>Percentage of milestone completion rate to the set annual target of strategic initiatives; number of initiatives on track; number of initiatives delivered</t>
        </is>
      </c>
      <c r="G8" s="8" t="inlineStr"/>
      <c r="H8" s="8" t="inlineStr">
        <is>
          <t>Both</t>
        </is>
      </c>
      <c r="I8" s="8" t="inlineStr">
        <is>
          <t>documented progress imply that university have good governance over the management of initiatives and therefore could provide percentage of milestone completion</t>
        </is>
      </c>
      <c r="J8" s="10" t="inlineStr"/>
      <c r="K8" s="10" t="inlineStr"/>
      <c r="L8" s="10" t="inlineStr"/>
      <c r="M8" s="10" t="inlineStr"/>
      <c r="N8" s="10" t="inlineStr"/>
      <c r="O8" s="10" t="inlineStr"/>
      <c r="P8" s="10" t="inlineStr"/>
      <c r="Q8" s="10" t="inlineStr"/>
      <c r="R8" s="10" t="inlineStr"/>
      <c r="S8" s="10" t="inlineStr"/>
    </row>
    <row r="9" ht="75" customHeight="1">
      <c r="B9" s="7" t="inlineStr">
        <is>
          <t>TR2(c)</t>
        </is>
      </c>
      <c r="C9" s="8" t="inlineStr">
        <is>
          <t>Transformational research</t>
        </is>
      </c>
      <c r="D9" s="8" t="inlineStr">
        <is>
          <t>Expert-reviewed summary of sustainability-related research outputs, outcomes and influence using available institutional evidence sources</t>
        </is>
      </c>
      <c r="E9" s="8" t="inlineStr">
        <is>
          <t>Y</t>
        </is>
      </c>
      <c r="F9" s="8" t="inlineStr">
        <is>
          <t>currently mapped to the SDGs using SciVal, old metrics explorer (publication mapped to SDG whether they mentioned in mews, media, policy,etc),</t>
        </is>
      </c>
      <c r="G9" s="8" t="inlineStr">
        <is>
          <t>MRE, Gerard</t>
        </is>
      </c>
      <c r="H9" s="8" t="inlineStr">
        <is>
          <t>Both</t>
        </is>
      </c>
      <c r="I9" s="8" t="inlineStr">
        <is>
          <t>To discuss contatct of researchers with Gerad</t>
        </is>
      </c>
      <c r="J9" s="10" t="inlineStr"/>
      <c r="K9" s="10" t="inlineStr"/>
      <c r="L9" s="10" t="inlineStr"/>
      <c r="M9" s="10" t="inlineStr"/>
      <c r="N9" s="10" t="inlineStr"/>
      <c r="O9" s="10" t="inlineStr"/>
      <c r="P9" s="10" t="inlineStr"/>
      <c r="Q9" s="10" t="inlineStr"/>
      <c r="R9" s="10" t="inlineStr"/>
      <c r="S9" s="10" t="inlineStr"/>
    </row>
    <row r="10" ht="75" customHeight="1">
      <c r="B10" s="7" t="inlineStr">
        <is>
          <t>TR3(b)</t>
        </is>
      </c>
      <c r="C10" s="8" t="inlineStr">
        <is>
          <t>Transformational research</t>
        </is>
      </c>
      <c r="D10" s="8" t="inlineStr">
        <is>
          <t>Demonstrated examples of more sustainable research practices in laboratories, fieldwork, procurement, travel or infrastructure use</t>
        </is>
      </c>
      <c r="E10" s="8" t="inlineStr">
        <is>
          <t>M</t>
        </is>
      </c>
      <c r="F10" s="8" t="inlineStr">
        <is>
          <t>Number of laboratories achieving green lab certification; number of new sustainable activity; number of sustainability fieldwork</t>
        </is>
      </c>
      <c r="G10" s="8" t="inlineStr">
        <is>
          <t>MRE, Gerard</t>
        </is>
      </c>
      <c r="H10" s="8" t="inlineStr">
        <is>
          <t>Both</t>
        </is>
      </c>
      <c r="I10" s="8" t="inlineStr">
        <is>
          <t>To discuss contatct of researchers with Gerad</t>
        </is>
      </c>
      <c r="J10" s="10" t="inlineStr"/>
      <c r="K10" s="10" t="inlineStr"/>
      <c r="L10" s="10" t="inlineStr"/>
      <c r="M10" s="10" t="inlineStr"/>
      <c r="N10" s="10" t="inlineStr"/>
      <c r="O10" s="10" t="inlineStr"/>
      <c r="P10" s="10" t="inlineStr"/>
      <c r="Q10" s="10" t="inlineStr"/>
      <c r="R10" s="10" t="inlineStr"/>
      <c r="S10" s="10" t="inlineStr"/>
    </row>
    <row r="11" ht="75" customHeight="1">
      <c r="B11" s="7" t="inlineStr">
        <is>
          <t>CL1(a)</t>
        </is>
      </c>
      <c r="C11" s="8" t="inlineStr">
        <is>
          <t>Climate leadership</t>
        </is>
      </c>
      <c r="D11" s="8" t="inlineStr">
        <is>
          <t>Annual Greenhouse Gas Inventory (including emissions scopes 1, 2 and 3) demonstrates carbon emission reductions, including maintaining procurement of 100% renewable electricity for all scope 2 sources[1]</t>
        </is>
      </c>
      <c r="E11" s="8" t="inlineStr">
        <is>
          <t>Y</t>
        </is>
      </c>
      <c r="F11" s="8" t="inlineStr">
        <is>
          <t>Total scope 1,2 and 3 emissions (tCO2-e); emissions by scope; % reduction from previous baseline; % renewable electircity produced</t>
        </is>
      </c>
      <c r="G11" s="8" t="inlineStr"/>
      <c r="H11" s="8" t="inlineStr">
        <is>
          <t>Both</t>
        </is>
      </c>
      <c r="I11" s="8" t="inlineStr">
        <is>
          <t>Directly measures progress against the stated emission reduction targets and allows annual comparison against the baseline and trajectory</t>
        </is>
      </c>
      <c r="J11" s="10" t="inlineStr"/>
      <c r="K11" s="10" t="inlineStr"/>
      <c r="L11" s="10" t="inlineStr"/>
      <c r="M11" s="10" t="inlineStr"/>
      <c r="N11" s="10" t="inlineStr"/>
      <c r="O11" s="10" t="inlineStr"/>
      <c r="P11" s="10" t="inlineStr"/>
      <c r="Q11" s="10" t="inlineStr"/>
      <c r="R11" s="10" t="inlineStr"/>
      <c r="S11" s="10" t="inlineStr"/>
    </row>
    <row r="12" ht="75" customHeight="1">
      <c r="B12" s="7" t="inlineStr">
        <is>
          <t>CL1(b)</t>
        </is>
      </c>
      <c r="C12" s="8" t="inlineStr">
        <is>
          <t>Climate leadership</t>
        </is>
      </c>
      <c r="D12" s="8" t="inlineStr">
        <is>
          <t>Development of Greenhouse Gas  intensity metrics</t>
        </is>
      </c>
      <c r="E12" s="8" t="inlineStr">
        <is>
          <t>Y</t>
        </is>
      </c>
      <c r="F12" s="8" t="inlineStr">
        <is>
          <t>Greenhouse gas emissions by FTE, EFTSL, and Gross floor area (https://www.unimelb.edu.au/sustainabilityreport/2025/data-tables#GHGe-scope)</t>
        </is>
      </c>
      <c r="G12" s="8" t="inlineStr"/>
      <c r="H12" s="8" t="inlineStr">
        <is>
          <t>Both</t>
        </is>
      </c>
      <c r="I12" s="8" t="inlineStr">
        <is>
          <t>Quantiative indicator</t>
        </is>
      </c>
      <c r="J12" s="10" t="inlineStr"/>
      <c r="K12" s="10" t="inlineStr"/>
      <c r="L12" s="10" t="inlineStr"/>
      <c r="M12" s="10" t="inlineStr"/>
      <c r="N12" s="10" t="inlineStr"/>
      <c r="O12" s="10" t="inlineStr"/>
      <c r="P12" s="10" t="inlineStr"/>
      <c r="Q12" s="10" t="inlineStr"/>
      <c r="R12" s="10" t="inlineStr"/>
      <c r="S12" s="10" t="inlineStr"/>
    </row>
    <row r="13" ht="75" customHeight="1">
      <c r="B13" s="7" t="inlineStr">
        <is>
          <t>CL1(c)</t>
        </is>
      </c>
      <c r="C13" s="8" t="inlineStr">
        <is>
          <t>Climate leadership</t>
        </is>
      </c>
      <c r="D13" s="8" t="inlineStr">
        <is>
          <t>Review of Climate Leadership targets by 2030.[2]</t>
        </is>
      </c>
      <c r="E13" s="8" t="inlineStr">
        <is>
          <t>M</t>
        </is>
      </c>
      <c r="F13" s="8" t="inlineStr"/>
      <c r="G13" s="8" t="inlineStr"/>
      <c r="H13" s="8" t="inlineStr">
        <is>
          <t>Both</t>
        </is>
      </c>
      <c r="I13" s="8" t="inlineStr">
        <is>
          <t>Will be re-assesed in 2030</t>
        </is>
      </c>
      <c r="J13" s="10" t="inlineStr"/>
      <c r="K13" s="10" t="inlineStr"/>
      <c r="L13" s="10" t="inlineStr"/>
      <c r="M13" s="10" t="inlineStr"/>
      <c r="N13" s="10" t="inlineStr"/>
      <c r="O13" s="10" t="inlineStr"/>
      <c r="P13" s="10" t="inlineStr"/>
      <c r="Q13" s="10" t="inlineStr"/>
      <c r="R13" s="10" t="inlineStr"/>
      <c r="S13" s="10" t="inlineStr"/>
    </row>
    <row r="14" ht="75" customHeight="1">
      <c r="B14" s="7" t="inlineStr">
        <is>
          <t>CL2(a)</t>
        </is>
      </c>
      <c r="C14" s="8" t="inlineStr">
        <is>
          <t>Climate leadership</t>
        </is>
      </c>
      <c r="D14" s="8" t="inlineStr">
        <is>
          <t>By 2028, develop and document institutional mapping of research and education activities that are designed to contribute to global decarbonisation</t>
        </is>
      </c>
      <c r="E14" s="8" t="inlineStr">
        <is>
          <t>M</t>
        </is>
      </c>
      <c r="F14" s="8" t="inlineStr">
        <is>
          <t>Number of relevant research projects/programs mapped; number of relevant subjects mapped</t>
        </is>
      </c>
      <c r="G14" s="8" t="inlineStr"/>
      <c r="H14" s="8" t="inlineStr">
        <is>
          <t>Both</t>
        </is>
      </c>
      <c r="I14" s="8" t="inlineStr">
        <is>
          <t>Although the core commitment is completion of the mapping (binary), quantitative measures still useful to show its coverage and comprehensiveness</t>
        </is>
      </c>
      <c r="J14" s="10" t="inlineStr"/>
      <c r="K14" s="10" t="inlineStr"/>
      <c r="L14" s="10" t="inlineStr"/>
      <c r="M14" s="10" t="inlineStr"/>
      <c r="N14" s="10" t="inlineStr"/>
      <c r="O14" s="10" t="inlineStr"/>
      <c r="P14" s="10" t="inlineStr"/>
      <c r="Q14" s="10" t="inlineStr"/>
      <c r="R14" s="10" t="inlineStr"/>
      <c r="S14" s="10" t="inlineStr"/>
    </row>
    <row r="15" ht="75" customHeight="1">
      <c r="B15" s="7" t="inlineStr">
        <is>
          <t>CL2(b)</t>
        </is>
      </c>
      <c r="C15" s="8" t="inlineStr">
        <is>
          <t>Climate leadership</t>
        </is>
      </c>
      <c r="D15" s="8" t="inlineStr">
        <is>
          <t>Prioritised pipeline of decarbonisation focused research and education opportunities aligned with University emissions reduction priorities from 2028</t>
        </is>
      </c>
      <c r="E15" s="8" t="inlineStr">
        <is>
          <t>Y</t>
        </is>
      </c>
      <c r="F15" s="8" t="inlineStr">
        <is>
          <t>Number of pipelined projects or research transitioned from opportunity to active per year</t>
        </is>
      </c>
      <c r="G15" s="8" t="inlineStr"/>
      <c r="H15" s="8" t="inlineStr">
        <is>
          <t>Both</t>
        </is>
      </c>
      <c r="I15" s="8" t="inlineStr">
        <is>
          <t>Pipeline can be quantitatively tracked through volume and progression, but since the target is prioritised pipeline, showing number of sucessful pipeline transitioned is more desirable</t>
        </is>
      </c>
      <c r="J15" s="10" t="inlineStr"/>
      <c r="K15" s="10" t="inlineStr"/>
      <c r="L15" s="10" t="inlineStr"/>
      <c r="M15" s="10" t="inlineStr"/>
      <c r="N15" s="10" t="inlineStr"/>
      <c r="O15" s="10" t="inlineStr"/>
      <c r="P15" s="10" t="inlineStr"/>
      <c r="Q15" s="10" t="inlineStr"/>
      <c r="R15" s="10" t="inlineStr"/>
      <c r="S15" s="10" t="inlineStr"/>
    </row>
    <row r="16" ht="75" customHeight="1">
      <c r="B16" s="7" t="inlineStr">
        <is>
          <t>CL2(c)</t>
        </is>
      </c>
      <c r="C16" s="8" t="inlineStr">
        <is>
          <t>Climate leadership</t>
        </is>
      </c>
      <c r="D16" s="8" t="inlineStr">
        <is>
          <t>Ongoing communications that evidence the University’s climate action, research and learning to inform policy, sector and community decarbonisation efforts.</t>
        </is>
      </c>
      <c r="E16" s="8" t="inlineStr">
        <is>
          <t>M</t>
        </is>
      </c>
      <c r="F16" s="8" t="inlineStr">
        <is>
          <t>Annual count of published documents, policy briefs, or public engagement events; number of policy/sector engagement; # views of communication material</t>
        </is>
      </c>
      <c r="G16" s="8" t="inlineStr">
        <is>
          <t>MCF; MEI</t>
        </is>
      </c>
      <c r="H16" s="8" t="inlineStr">
        <is>
          <t>Both</t>
        </is>
      </c>
      <c r="I16" s="8" t="inlineStr">
        <is>
          <t>Brainstorm with MCF and MEI</t>
        </is>
      </c>
      <c r="J16" s="10" t="inlineStr"/>
      <c r="K16" s="10" t="inlineStr"/>
      <c r="L16" s="10" t="inlineStr"/>
      <c r="M16" s="10" t="inlineStr"/>
      <c r="N16" s="10" t="inlineStr"/>
      <c r="O16" s="10" t="inlineStr"/>
      <c r="P16" s="10" t="inlineStr"/>
      <c r="Q16" s="10" t="inlineStr"/>
      <c r="R16" s="10" t="inlineStr"/>
      <c r="S16" s="10" t="inlineStr"/>
    </row>
    <row r="17" ht="75" customHeight="1">
      <c r="B17" s="7" t="inlineStr">
        <is>
          <t>CL3(a)</t>
        </is>
      </c>
      <c r="C17" s="8" t="inlineStr">
        <is>
          <t>Climate leadership</t>
        </is>
      </c>
      <c r="D17" s="8" t="inlineStr">
        <is>
          <t>Maturity assessment of the University’s preparedness for climate-related impacts and capability to respond, assessed across relevant organisational functions:
o	Governance and strategy
o	Health and safety
o	Business continuity
o	Emergency management and critical incidence management
o	Estate and buildings
o	Water management
o	Financial planning and reporting.</t>
        </is>
      </c>
      <c r="E17" s="8" t="inlineStr">
        <is>
          <t>M</t>
        </is>
      </c>
      <c r="F17" s="8" t="inlineStr">
        <is>
          <t>Maturity score by function; overall/average maturity score; % functions raching target maturity level</t>
        </is>
      </c>
      <c r="G17" s="8" t="inlineStr"/>
      <c r="H17" s="8" t="inlineStr">
        <is>
          <t>Both</t>
        </is>
      </c>
      <c r="I17" s="8" t="inlineStr">
        <is>
          <t>If defined maturity is already available, then it is desirable to have quantitative metrics, especially since the target mentioned maturity assesment</t>
        </is>
      </c>
      <c r="J17" s="10" t="inlineStr"/>
      <c r="K17" s="10" t="inlineStr"/>
      <c r="L17" s="10" t="inlineStr"/>
      <c r="M17" s="10" t="inlineStr"/>
      <c r="N17" s="10" t="inlineStr"/>
      <c r="O17" s="10" t="inlineStr"/>
      <c r="P17" s="10" t="inlineStr"/>
      <c r="Q17" s="10" t="inlineStr"/>
      <c r="R17" s="10" t="inlineStr"/>
      <c r="S17" s="10" t="inlineStr"/>
    </row>
    <row r="18" ht="75" customHeight="1">
      <c r="B18" s="7" t="inlineStr">
        <is>
          <t>NB1(a)</t>
        </is>
      </c>
      <c r="C18" s="8" t="inlineStr">
        <is>
          <t>Nature and biodiversity</t>
        </is>
      </c>
      <c r="D18" s="8" t="inlineStr">
        <is>
          <t>Monitoring of biodiversity metrics from the Biodiversity Baseline Data Project</t>
        </is>
      </c>
      <c r="E18" s="8" t="inlineStr">
        <is>
          <t>Y</t>
        </is>
      </c>
      <c r="F18" s="8" t="inlineStr">
        <is>
          <t>7 diversity metrics from https://sustainablecampus.unimelb.edu.au/biodiversity/biodiversity-baseline-data-project#main-content</t>
        </is>
      </c>
      <c r="G18" s="8" t="inlineStr"/>
      <c r="H18" s="8" t="inlineStr">
        <is>
          <t>Both</t>
        </is>
      </c>
      <c r="I18" s="8" t="inlineStr">
        <is>
          <t>Quantitative indicator</t>
        </is>
      </c>
      <c r="J18" s="10" t="inlineStr"/>
      <c r="K18" s="10" t="inlineStr"/>
      <c r="L18" s="10" t="inlineStr"/>
      <c r="M18" s="10" t="inlineStr"/>
      <c r="N18" s="10" t="inlineStr"/>
      <c r="O18" s="10" t="inlineStr"/>
      <c r="P18" s="10" t="inlineStr"/>
      <c r="Q18" s="10" t="inlineStr"/>
      <c r="R18" s="10" t="inlineStr"/>
      <c r="S18" s="10" t="inlineStr"/>
    </row>
    <row r="19" ht="75" customHeight="1">
      <c r="B19" s="7" t="inlineStr">
        <is>
          <t>NB1(b)</t>
        </is>
      </c>
      <c r="C19" s="8" t="inlineStr">
        <is>
          <t>Nature and biodiversity</t>
        </is>
      </c>
      <c r="D19" s="8" t="inlineStr">
        <is>
          <t>Size, health and diversity of remnant vegetation at the Dookie and Creswick campuses</t>
        </is>
      </c>
      <c r="E19" s="8" t="inlineStr">
        <is>
          <t>Y</t>
        </is>
      </c>
      <c r="F19" s="8" t="inlineStr"/>
      <c r="G19" s="8" t="inlineStr">
        <is>
          <t>Rachel</t>
        </is>
      </c>
      <c r="H19" s="8" t="inlineStr">
        <is>
          <t>Both</t>
        </is>
      </c>
      <c r="I19" s="8" t="inlineStr"/>
      <c r="J19" s="10" t="inlineStr"/>
      <c r="K19" s="10" t="inlineStr"/>
      <c r="L19" s="10" t="inlineStr"/>
      <c r="M19" s="10" t="inlineStr"/>
      <c r="N19" s="10" t="inlineStr"/>
      <c r="O19" s="10" t="inlineStr"/>
      <c r="P19" s="10" t="inlineStr"/>
      <c r="Q19" s="10" t="inlineStr"/>
      <c r="R19" s="10" t="inlineStr"/>
      <c r="S19" s="10" t="inlineStr"/>
    </row>
    <row r="20" ht="75" customHeight="1">
      <c r="B20" s="7" t="inlineStr">
        <is>
          <t>NB1(c)</t>
        </is>
      </c>
      <c r="C20" s="8" t="inlineStr">
        <is>
          <t>Nature and biodiversity</t>
        </is>
      </c>
      <c r="D20" s="8" t="inlineStr">
        <is>
          <t>Defined quality measurement framework</t>
        </is>
      </c>
      <c r="E20" s="8" t="inlineStr">
        <is>
          <t>M</t>
        </is>
      </c>
      <c r="F20" s="8" t="inlineStr"/>
      <c r="G20" s="8" t="inlineStr">
        <is>
          <t>Rachel</t>
        </is>
      </c>
      <c r="H20" s="8" t="inlineStr">
        <is>
          <t>Both</t>
        </is>
      </c>
      <c r="I20" s="8" t="inlineStr"/>
      <c r="J20" s="10" t="inlineStr"/>
      <c r="K20" s="10" t="inlineStr"/>
      <c r="L20" s="10" t="inlineStr"/>
      <c r="M20" s="10" t="inlineStr"/>
      <c r="N20" s="10" t="inlineStr"/>
      <c r="O20" s="10" t="inlineStr"/>
      <c r="P20" s="10" t="inlineStr"/>
      <c r="Q20" s="10" t="inlineStr"/>
      <c r="R20" s="10" t="inlineStr"/>
      <c r="S20" s="10" t="inlineStr"/>
    </row>
    <row r="21" ht="75" customHeight="1">
      <c r="B21" s="7" t="inlineStr">
        <is>
          <t>NB1(d)</t>
        </is>
      </c>
      <c r="C21" s="8" t="inlineStr">
        <is>
          <t>Nature and biodiversity</t>
        </is>
      </c>
      <c r="D21" s="8" t="inlineStr">
        <is>
          <t>Defined and quantified campus connectivity</t>
        </is>
      </c>
      <c r="E21" s="8" t="inlineStr">
        <is>
          <t>M</t>
        </is>
      </c>
      <c r="F21" s="8" t="inlineStr"/>
      <c r="G21" s="8" t="inlineStr">
        <is>
          <t>Rachel</t>
        </is>
      </c>
      <c r="H21" s="8" t="inlineStr">
        <is>
          <t>Both</t>
        </is>
      </c>
      <c r="I21" s="8" t="inlineStr"/>
      <c r="J21" s="10" t="inlineStr"/>
      <c r="K21" s="10" t="inlineStr"/>
      <c r="L21" s="10" t="inlineStr"/>
      <c r="M21" s="10" t="inlineStr"/>
      <c r="N21" s="10" t="inlineStr"/>
      <c r="O21" s="10" t="inlineStr"/>
      <c r="P21" s="10" t="inlineStr"/>
      <c r="Q21" s="10" t="inlineStr"/>
      <c r="R21" s="10" t="inlineStr"/>
      <c r="S21" s="10" t="inlineStr"/>
    </row>
    <row r="22" ht="75" customHeight="1">
      <c r="B22" s="7" t="inlineStr">
        <is>
          <t>NB2(a)</t>
        </is>
      </c>
      <c r="C22" s="8" t="inlineStr">
        <is>
          <t>Nature and biodiversity</t>
        </is>
      </c>
      <c r="D22" s="8" t="inlineStr">
        <is>
          <t>Documented baseline nature footprint analysis</t>
        </is>
      </c>
      <c r="E22" s="8" t="inlineStr">
        <is>
          <t>Y</t>
        </is>
      </c>
      <c r="F22" s="8" t="inlineStr">
        <is>
          <t>Impact Encore Measurement</t>
        </is>
      </c>
      <c r="G22" s="8" t="inlineStr">
        <is>
          <t>August, MBI</t>
        </is>
      </c>
      <c r="H22" s="8" t="inlineStr">
        <is>
          <t>Both</t>
        </is>
      </c>
      <c r="I22" s="8" t="inlineStr"/>
      <c r="J22" s="10" t="inlineStr"/>
      <c r="K22" s="10" t="inlineStr"/>
      <c r="L22" s="10" t="inlineStr"/>
      <c r="M22" s="10" t="inlineStr"/>
      <c r="N22" s="10" t="inlineStr"/>
      <c r="O22" s="10" t="inlineStr"/>
      <c r="P22" s="10" t="inlineStr"/>
      <c r="Q22" s="10" t="inlineStr"/>
      <c r="R22" s="10" t="inlineStr"/>
      <c r="S22" s="10" t="inlineStr"/>
    </row>
    <row r="23" ht="75" customHeight="1">
      <c r="B23" s="7" t="inlineStr">
        <is>
          <t>AI1(a)</t>
        </is>
      </c>
      <c r="C23" s="8" t="inlineStr">
        <is>
          <t>Responsible AI</t>
        </is>
      </c>
      <c r="D23" s="8" t="inlineStr">
        <is>
          <t>Established measurement of estimated operational impacts and opportunities (eg operational impacts including energy, water, emissions and intensity measures)</t>
        </is>
      </c>
      <c r="E23" s="8" t="inlineStr">
        <is>
          <t>M</t>
        </is>
      </c>
      <c r="F23" s="8" t="inlineStr">
        <is>
          <t>Pending denominator</t>
        </is>
      </c>
      <c r="G23" s="8" t="inlineStr"/>
      <c r="H23" s="8" t="inlineStr">
        <is>
          <t>Both</t>
        </is>
      </c>
      <c r="I23" s="8" t="inlineStr">
        <is>
          <t>Will start with qual on 2026, then move on to quan</t>
        </is>
      </c>
      <c r="J23" s="10" t="inlineStr"/>
      <c r="K23" s="10" t="inlineStr"/>
      <c r="L23" s="10" t="inlineStr"/>
      <c r="M23" s="10" t="inlineStr"/>
      <c r="N23" s="10" t="inlineStr"/>
      <c r="O23" s="10" t="inlineStr"/>
      <c r="P23" s="10" t="inlineStr"/>
      <c r="Q23" s="10" t="inlineStr"/>
      <c r="R23" s="10" t="inlineStr"/>
      <c r="S23" s="10" t="inlineStr"/>
    </row>
    <row r="24" ht="75" customHeight="1">
      <c r="B24" s="7" t="inlineStr">
        <is>
          <t>EI1(a)</t>
        </is>
      </c>
      <c r="C24" s="8" t="inlineStr">
        <is>
          <t>Estate and infrastructure</t>
        </is>
      </c>
      <c r="D24" s="8" t="inlineStr">
        <is>
          <t>Evidence of increased maturity of estate and infrastructure planning, development and operations to support the other priority areas in Sustainability 2030</t>
        </is>
      </c>
      <c r="E24" s="8" t="inlineStr">
        <is>
          <t>M</t>
        </is>
      </c>
      <c r="F24" s="8" t="inlineStr">
        <is>
          <t>qual, climate resilience?,</t>
        </is>
      </c>
      <c r="G24" s="8" t="inlineStr">
        <is>
          <t>Gerard</t>
        </is>
      </c>
      <c r="H24" s="8" t="inlineStr">
        <is>
          <t>Both</t>
        </is>
      </c>
      <c r="I24" s="8" t="inlineStr"/>
      <c r="J24" s="10" t="inlineStr"/>
      <c r="K24" s="10" t="inlineStr"/>
      <c r="L24" s="10" t="inlineStr"/>
      <c r="M24" s="10" t="inlineStr"/>
      <c r="N24" s="10" t="inlineStr"/>
      <c r="O24" s="10" t="inlineStr"/>
      <c r="P24" s="10" t="inlineStr"/>
      <c r="Q24" s="10" t="inlineStr"/>
      <c r="R24" s="10" t="inlineStr"/>
      <c r="S24" s="10" t="inlineStr"/>
    </row>
    <row r="25" ht="75" customHeight="1">
      <c r="B25" s="7" t="inlineStr">
        <is>
          <t>EI1(b)</t>
        </is>
      </c>
      <c r="C25" s="8" t="inlineStr">
        <is>
          <t>Estate and infrastructure</t>
        </is>
      </c>
      <c r="D25" s="8" t="inlineStr">
        <is>
          <t>Estimated sustainability impacts of the University’s estate and infrastructure capital plan to inform progress towards emissions reduction targets and other priority areas (to the extent enabled by available information)</t>
        </is>
      </c>
      <c r="E25" s="8" t="inlineStr">
        <is>
          <t>M</t>
        </is>
      </c>
      <c r="F25" s="8" t="inlineStr">
        <is>
          <t>Forecast operational emission (tCO2-e); expected energy consumptions/savings; expected water impact; expected waste material impact; potential biodiversity impact</t>
        </is>
      </c>
      <c r="G25" s="8" t="inlineStr">
        <is>
          <t>Gerard</t>
        </is>
      </c>
      <c r="H25" s="8" t="inlineStr">
        <is>
          <t>Both</t>
        </is>
      </c>
      <c r="I25" s="8" t="inlineStr">
        <is>
          <t>Quantitative estimates/forecast (impact estimation) allow better planning and management to achieve the overall sustainability plan and targets (follow up with Gerard)</t>
        </is>
      </c>
      <c r="J25" s="10" t="inlineStr"/>
      <c r="K25" s="10" t="inlineStr"/>
      <c r="L25" s="10" t="inlineStr"/>
      <c r="M25" s="10" t="inlineStr"/>
      <c r="N25" s="10" t="inlineStr"/>
      <c r="O25" s="10" t="inlineStr"/>
      <c r="P25" s="10" t="inlineStr"/>
      <c r="Q25" s="10" t="inlineStr"/>
      <c r="R25" s="10" t="inlineStr"/>
      <c r="S25" s="10" t="inlineStr"/>
    </row>
    <row r="26" ht="75" customHeight="1">
      <c r="B26" s="7" t="inlineStr">
        <is>
          <t>EI1(c)</t>
        </is>
      </c>
      <c r="C26" s="8" t="inlineStr">
        <is>
          <t>Estate and infrastructure</t>
        </is>
      </c>
      <c r="D26" s="8" t="inlineStr">
        <is>
          <t>Reporting on relevant activities and impacts for the University’s major estate and infrastructure projects and programs aligned with the other priority areas in Sustainability 2030</t>
        </is>
      </c>
      <c r="E26" s="8" t="inlineStr">
        <is>
          <t>M</t>
        </is>
      </c>
      <c r="F26" s="8" t="inlineStr">
        <is>
          <t>case by case</t>
        </is>
      </c>
      <c r="G26" s="8" t="inlineStr">
        <is>
          <t>Gerard</t>
        </is>
      </c>
      <c r="H26" s="8" t="inlineStr">
        <is>
          <t>Both</t>
        </is>
      </c>
      <c r="I26" s="8" t="inlineStr"/>
      <c r="J26" s="10" t="inlineStr"/>
      <c r="K26" s="10" t="inlineStr"/>
      <c r="L26" s="10" t="inlineStr"/>
      <c r="M26" s="10" t="inlineStr"/>
      <c r="N26" s="10" t="inlineStr"/>
      <c r="O26" s="10" t="inlineStr"/>
      <c r="P26" s="10" t="inlineStr"/>
      <c r="Q26" s="10" t="inlineStr"/>
      <c r="R26" s="10" t="inlineStr"/>
      <c r="S26" s="10" t="inlineStr"/>
    </row>
    <row r="27" ht="75" customHeight="1">
      <c r="B27" s="7" t="inlineStr">
        <is>
          <t>CE1(a)</t>
        </is>
      </c>
      <c r="C27" s="8" t="inlineStr">
        <is>
          <t>Circular economy</t>
        </is>
      </c>
      <c r="D27" s="8" t="inlineStr">
        <is>
          <t>Comparison of year-to-year tonnes of waste (absolute).</t>
        </is>
      </c>
      <c r="E27" s="8" t="inlineStr">
        <is>
          <t>Y</t>
        </is>
      </c>
      <c r="F27" s="8" t="inlineStr">
        <is>
          <t>tonnes of waste; % change against previous baseline</t>
        </is>
      </c>
      <c r="G27" s="8" t="inlineStr"/>
      <c r="H27" s="8" t="inlineStr">
        <is>
          <t>Both</t>
        </is>
      </c>
      <c r="I27" s="8" t="inlineStr">
        <is>
          <t>Quantitative indicator</t>
        </is>
      </c>
      <c r="J27" s="10" t="inlineStr"/>
      <c r="K27" s="10" t="inlineStr"/>
      <c r="L27" s="10" t="inlineStr"/>
      <c r="M27" s="10" t="inlineStr"/>
      <c r="N27" s="10" t="inlineStr"/>
      <c r="O27" s="10" t="inlineStr"/>
      <c r="P27" s="10" t="inlineStr"/>
      <c r="Q27" s="10" t="inlineStr"/>
      <c r="R27" s="10" t="inlineStr"/>
      <c r="S27" s="10" t="inlineStr"/>
    </row>
    <row r="28" ht="75" customHeight="1">
      <c r="B28" s="7" t="inlineStr">
        <is>
          <t>CE2(a)</t>
        </is>
      </c>
      <c r="C28" s="8" t="inlineStr">
        <is>
          <t>Circular economy</t>
        </is>
      </c>
      <c r="D28" s="8" t="inlineStr">
        <is>
          <t>Comparison of year-to-year tonnes of recyclables (absolute).</t>
        </is>
      </c>
      <c r="E28" s="8" t="inlineStr">
        <is>
          <t>Y</t>
        </is>
      </c>
      <c r="F28" s="8" t="inlineStr">
        <is>
          <t>waste diversion rate; tonnes diverted from landfill; % change against previous baseline</t>
        </is>
      </c>
      <c r="G28" s="8" t="inlineStr"/>
      <c r="H28" s="8" t="inlineStr">
        <is>
          <t>Both</t>
        </is>
      </c>
      <c r="I28" s="8" t="inlineStr">
        <is>
          <t>Quantitative indicator</t>
        </is>
      </c>
      <c r="J28" s="10" t="inlineStr"/>
      <c r="K28" s="10" t="inlineStr"/>
      <c r="L28" s="10" t="inlineStr"/>
      <c r="M28" s="10" t="inlineStr"/>
      <c r="N28" s="10" t="inlineStr"/>
      <c r="O28" s="10" t="inlineStr"/>
      <c r="P28" s="10" t="inlineStr"/>
      <c r="Q28" s="10" t="inlineStr"/>
      <c r="R28" s="10" t="inlineStr"/>
      <c r="S28" s="10" t="inlineStr"/>
    </row>
    <row r="29" ht="75" customHeight="1">
      <c r="B29" s="7" t="inlineStr">
        <is>
          <t>RP1(a)</t>
        </is>
      </c>
      <c r="C29" s="8" t="inlineStr">
        <is>
          <t>Responsible procurement</t>
        </is>
      </c>
      <c r="D29" s="8" t="inlineStr">
        <is>
          <t>Case studies of maturity improvement related to responsible procurement process and systems.</t>
        </is>
      </c>
      <c r="E29" s="8" t="inlineStr">
        <is>
          <t>Y</t>
        </is>
      </c>
      <c r="F29" s="8" t="inlineStr">
        <is>
          <t>Maturity score if framework established; % procurement staff trained</t>
        </is>
      </c>
      <c r="G29" s="8" t="inlineStr"/>
      <c r="H29" s="8" t="inlineStr">
        <is>
          <t>Both</t>
        </is>
      </c>
      <c r="I29" s="8" t="inlineStr">
        <is>
          <t>Quantitative metrics could support qualitative case studies to demonstrate system/process improvements</t>
        </is>
      </c>
      <c r="J29" s="10" t="inlineStr"/>
      <c r="K29" s="10" t="inlineStr"/>
      <c r="L29" s="10" t="inlineStr"/>
      <c r="M29" s="10" t="inlineStr"/>
      <c r="N29" s="10" t="inlineStr"/>
      <c r="O29" s="10" t="inlineStr"/>
      <c r="P29" s="10" t="inlineStr"/>
      <c r="Q29" s="10" t="inlineStr"/>
      <c r="R29" s="10" t="inlineStr"/>
      <c r="S29" s="10" t="inlineStr"/>
    </row>
    <row r="30" ht="75" customHeight="1">
      <c r="B30" s="7" t="inlineStr">
        <is>
          <t>RP2(a)</t>
        </is>
      </c>
      <c r="C30" s="8" t="inlineStr">
        <is>
          <t>Responsible procurement</t>
        </is>
      </c>
      <c r="D30" s="8" t="inlineStr">
        <is>
          <t>Percentage of Indigenous spend of total addressable procurement spend</t>
        </is>
      </c>
      <c r="E30" s="8" t="inlineStr">
        <is>
          <t>Y</t>
        </is>
      </c>
      <c r="F30" s="8" t="inlineStr">
        <is>
          <t>Percentage of Indigenous spend of total addressable procurement spend</t>
        </is>
      </c>
      <c r="G30" s="8" t="inlineStr"/>
      <c r="H30" s="8" t="inlineStr">
        <is>
          <t>Both</t>
        </is>
      </c>
      <c r="I30" s="8" t="inlineStr">
        <is>
          <t>Quantitative indicator</t>
        </is>
      </c>
      <c r="J30" s="10" t="inlineStr"/>
      <c r="K30" s="10" t="inlineStr"/>
      <c r="L30" s="10" t="inlineStr"/>
      <c r="M30" s="10" t="inlineStr"/>
      <c r="N30" s="10" t="inlineStr"/>
      <c r="O30" s="10" t="inlineStr"/>
      <c r="P30" s="10" t="inlineStr"/>
      <c r="Q30" s="10" t="inlineStr"/>
      <c r="R30" s="10" t="inlineStr"/>
      <c r="S30" s="10" t="inlineStr"/>
    </row>
    <row r="31" ht="75" customHeight="1">
      <c r="B31" s="7" t="inlineStr">
        <is>
          <t>RP2(b)</t>
        </is>
      </c>
      <c r="C31" s="8" t="inlineStr">
        <is>
          <t>Responsible procurement</t>
        </is>
      </c>
      <c r="D31" s="8" t="inlineStr">
        <is>
          <t>Percentage of social spend of total addressable procurement spend.</t>
        </is>
      </c>
      <c r="E31" s="8" t="inlineStr">
        <is>
          <t>Y</t>
        </is>
      </c>
      <c r="F31" s="8" t="inlineStr">
        <is>
          <t>Percentage of social spend of total addressable procurement spend.</t>
        </is>
      </c>
      <c r="G31" s="8" t="inlineStr"/>
      <c r="H31" s="8" t="inlineStr">
        <is>
          <t>Both</t>
        </is>
      </c>
      <c r="I31" s="8" t="inlineStr">
        <is>
          <t>Quantitative indicator</t>
        </is>
      </c>
      <c r="J31" s="10" t="inlineStr"/>
      <c r="K31" s="10" t="inlineStr"/>
      <c r="L31" s="10" t="inlineStr"/>
      <c r="M31" s="10" t="inlineStr"/>
      <c r="N31" s="10" t="inlineStr"/>
      <c r="O31" s="10" t="inlineStr"/>
      <c r="P31" s="10" t="inlineStr"/>
      <c r="Q31" s="10" t="inlineStr"/>
      <c r="R31" s="10" t="inlineStr"/>
      <c r="S31" s="10" t="inlineStr"/>
    </row>
    <row r="32" ht="75" customHeight="1">
      <c r="B32" s="7" t="inlineStr">
        <is>
          <t>RI1(a)</t>
        </is>
      </c>
      <c r="C32" s="8" t="inlineStr">
        <is>
          <t>Responsible investments</t>
        </is>
      </c>
      <c r="D32" s="8" t="inlineStr">
        <is>
          <t>Annual monitoring and reporting on the investment portfolio’s net zero transition progress, including tracking the percentage of assets under management (AUM) managed by investment managers aligned with (or committed to) net zero by 2050</t>
        </is>
      </c>
      <c r="E32" s="8" t="inlineStr">
        <is>
          <t>Y</t>
        </is>
      </c>
      <c r="F32" s="8" t="inlineStr">
        <is>
          <t>Percentage of AUM managed by investment managers aligned with net zero by 2050</t>
        </is>
      </c>
      <c r="G32" s="8" t="inlineStr"/>
      <c r="H32" s="8" t="inlineStr">
        <is>
          <t>Both</t>
        </is>
      </c>
      <c r="I32" s="8" t="inlineStr">
        <is>
          <t>Quantitative indicator</t>
        </is>
      </c>
      <c r="J32" s="10" t="inlineStr"/>
      <c r="K32" s="10" t="inlineStr"/>
      <c r="L32" s="10" t="inlineStr"/>
      <c r="M32" s="10" t="inlineStr"/>
      <c r="N32" s="10" t="inlineStr"/>
      <c r="O32" s="10" t="inlineStr"/>
      <c r="P32" s="10" t="inlineStr"/>
      <c r="Q32" s="10" t="inlineStr"/>
      <c r="R32" s="10" t="inlineStr"/>
      <c r="S32" s="10" t="inlineStr"/>
    </row>
    <row r="33" ht="75" customHeight="1">
      <c r="B33" s="7" t="inlineStr">
        <is>
          <t>RI1(b)</t>
        </is>
      </c>
      <c r="C33" s="8" t="inlineStr">
        <is>
          <t>Responsible investments</t>
        </is>
      </c>
      <c r="D33" s="8" t="inlineStr">
        <is>
          <t>Continuous improvement of the reporting of the University’s sustainability-related investment profile metrics, including investment in climate mitigation and transition solutions, and compliance with related obligations (eg UNPRI).</t>
        </is>
      </c>
      <c r="E33" s="8" t="inlineStr">
        <is>
          <t>M</t>
        </is>
      </c>
      <c r="F33" s="8" t="inlineStr">
        <is>
          <t>$ and % AUM invested in climate/transition solution</t>
        </is>
      </c>
      <c r="G33" s="8" t="inlineStr"/>
      <c r="H33" s="8" t="inlineStr">
        <is>
          <t>Both</t>
        </is>
      </c>
      <c r="I33" s="8" t="inlineStr">
        <is>
          <t>"Continuous improvement" wording makes it desirable to have a quantitative comparison metrics. However i also acknowledge that this target is mainly a qualitative target</t>
        </is>
      </c>
      <c r="J33" s="10" t="inlineStr"/>
      <c r="K33" s="10" t="inlineStr"/>
      <c r="L33" s="10" t="inlineStr"/>
      <c r="M33" s="10" t="inlineStr"/>
      <c r="N33" s="10" t="inlineStr"/>
      <c r="O33" s="10" t="inlineStr"/>
      <c r="P33" s="10" t="inlineStr"/>
      <c r="Q33" s="10" t="inlineStr"/>
      <c r="R33" s="10" t="inlineStr"/>
      <c r="S33" s="10" t="inlineStr"/>
    </row>
    <row r="34" ht="75" customHeight="1">
      <c r="B34" s="7" t="inlineStr">
        <is>
          <t>EN1(b)</t>
        </is>
      </c>
      <c r="C34" s="8" t="inlineStr">
        <is>
          <t>Enablers</t>
        </is>
      </c>
      <c r="D34" s="8" t="inlineStr">
        <is>
          <t>Living laboratories enabling applied learning, research and operational sustainability outcomes</t>
        </is>
      </c>
      <c r="E34" s="8" t="inlineStr">
        <is>
          <t>M</t>
        </is>
      </c>
      <c r="F34" s="8" t="inlineStr">
        <is>
          <t>Number of projects funded; $ project funding</t>
        </is>
      </c>
      <c r="G34" s="8" t="inlineStr"/>
      <c r="H34" s="8" t="inlineStr">
        <is>
          <t>Both</t>
        </is>
      </c>
      <c r="I34" s="8" t="inlineStr">
        <is>
          <t>Qualitative case evidence is better to articulate the impact of living laboratories in learning, research, and operational sustainability outcomes</t>
        </is>
      </c>
      <c r="J34" s="10" t="inlineStr"/>
      <c r="K34" s="10" t="inlineStr"/>
      <c r="L34" s="10" t="inlineStr"/>
      <c r="M34" s="10" t="inlineStr"/>
      <c r="N34" s="10" t="inlineStr"/>
      <c r="O34" s="10" t="inlineStr"/>
      <c r="P34" s="10" t="inlineStr"/>
      <c r="Q34" s="10" t="inlineStr"/>
      <c r="R34" s="10" t="inlineStr"/>
      <c r="S34" s="10" t="inlineStr"/>
    </row>
  </sheetData>
  <dataValidations count="2">
    <dataValidation sqref="J6:J34" showDropDown="0" showInputMessage="0" showErrorMessage="0" allowBlank="1" errorTitle="Invalid entry" error="Please select from the dropdown" type="list">
      <formula1>=Lists!$E$2:$E$4</formula1>
    </dataValidation>
    <dataValidation sqref="R6:R34" showDropDown="0" showInputMessage="0" showErrorMessage="0" allowBlank="1" errorTitle="Invalid entry" error="Please select from the dropdown" type="list">
      <formula1>=Lists!$E$2:$E$4</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69"/>
  <sheetViews>
    <sheetView showGridLines="0" workbookViewId="0">
      <selection activeCell="A1" sqref="A1"/>
    </sheetView>
  </sheetViews>
  <sheetFormatPr baseColWidth="8" defaultRowHeight="15"/>
  <cols>
    <col width="4" customWidth="1" min="1" max="1"/>
    <col width="14" customWidth="1" min="2" max="2"/>
    <col width="40" customWidth="1" min="3" max="3"/>
    <col width="44" customWidth="1" min="4" max="4"/>
    <col width="40" customWidth="1" min="5" max="5"/>
    <col width="18" customWidth="1" min="6" max="6"/>
    <col width="50"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1">
      <c r="A1" s="1" t="inlineStr">
        <is>
          <t>↑</t>
        </is>
      </c>
      <c r="B1" s="2" t="inlineStr">
        <is>
          <t>End-2026 target status assessment and reporting</t>
        </is>
      </c>
    </row>
    <row r="2">
      <c r="B2" s="3" t="inlineStr">
        <is>
          <t>3. Stakeholder map &amp; RASCI</t>
        </is>
      </c>
    </row>
    <row r="4">
      <c r="B4" s="6" t="inlineStr">
        <is>
          <t>SR26 unit</t>
        </is>
      </c>
      <c r="C4" s="6" t="inlineStr">
        <is>
          <t>SR26 full name</t>
        </is>
      </c>
      <c r="D4" s="6" t="inlineStr">
        <is>
          <t>SR25 equivalent (2025 master)</t>
        </is>
      </c>
      <c r="E4" s="6" t="inlineStr">
        <is>
          <t>Section / team</t>
        </is>
      </c>
      <c r="F4" s="6" t="inlineStr">
        <is>
          <t>Key contact</t>
        </is>
      </c>
      <c r="G4" s="6" t="inlineStr">
        <is>
          <t>Status / notes</t>
        </is>
      </c>
    </row>
    <row r="5">
      <c r="B5" s="8" t="inlineStr">
        <is>
          <t>Faculty</t>
        </is>
      </c>
      <c r="C5" s="8" t="inlineStr">
        <is>
          <t>Faculty of Architecture, Building and Planning</t>
        </is>
      </c>
      <c r="D5" s="8" t="inlineStr">
        <is>
          <t>Faculties tab – ABP</t>
        </is>
      </c>
      <c r="E5" s="8" t="inlineStr">
        <is>
          <t>Associate Dean Sustainability / faculty sustainability lead</t>
        </is>
      </c>
      <c r="F5" s="8" t="inlineStr">
        <is>
          <t>TBC</t>
        </is>
      </c>
      <c r="G5" s="8" t="inlineStr">
        <is>
          <t>Pilot faculty</t>
        </is>
      </c>
    </row>
    <row r="6">
      <c r="B6" s="8" t="inlineStr">
        <is>
          <t>Faculty</t>
        </is>
      </c>
      <c r="C6" s="8" t="inlineStr">
        <is>
          <t>Faculty of Arts</t>
        </is>
      </c>
      <c r="D6" s="8" t="inlineStr">
        <is>
          <t>Faculties tab – ARTS</t>
        </is>
      </c>
      <c r="E6" s="8" t="inlineStr">
        <is>
          <t>Associate Dean Sustainability / faculty sustainability lead</t>
        </is>
      </c>
      <c r="F6" s="8" t="inlineStr">
        <is>
          <t>TBC</t>
        </is>
      </c>
      <c r="G6" s="8" t="inlineStr">
        <is>
          <t>Pilot faculty</t>
        </is>
      </c>
    </row>
    <row r="7">
      <c r="B7" s="8" t="inlineStr">
        <is>
          <t>Faculty</t>
        </is>
      </c>
      <c r="C7" s="8" t="inlineStr">
        <is>
          <t>Faculty of Business and Economics</t>
        </is>
      </c>
      <c r="D7" s="8" t="inlineStr">
        <is>
          <t>Faculties tab – FBE</t>
        </is>
      </c>
      <c r="E7" s="8" t="inlineStr">
        <is>
          <t>Associate Dean Sustainability / faculty sustainability lead</t>
        </is>
      </c>
      <c r="F7" s="8" t="inlineStr">
        <is>
          <t>TBC</t>
        </is>
      </c>
      <c r="G7" s="8" t="inlineStr">
        <is>
          <t>Pilot faculty</t>
        </is>
      </c>
    </row>
    <row r="8">
      <c r="B8" s="8" t="inlineStr">
        <is>
          <t>Faculty</t>
        </is>
      </c>
      <c r="C8" s="8" t="inlineStr">
        <is>
          <t>Faculty of Science</t>
        </is>
      </c>
      <c r="D8" s="8" t="inlineStr">
        <is>
          <t>Faculties tab – SCI</t>
        </is>
      </c>
      <c r="E8" s="8" t="inlineStr">
        <is>
          <t>Associate Dean Sustainability / faculty sustainability lead</t>
        </is>
      </c>
      <c r="F8" s="8" t="inlineStr">
        <is>
          <t>TBC</t>
        </is>
      </c>
      <c r="G8" s="8" t="inlineStr">
        <is>
          <t>Pilot faculty</t>
        </is>
      </c>
    </row>
    <row r="9">
      <c r="B9" s="8" t="inlineStr">
        <is>
          <t>CI&amp;S</t>
        </is>
      </c>
      <c r="C9" s="8" t="inlineStr">
        <is>
          <t>Commercial, Infrastructure &amp; Sustainability (CI&amp;S)</t>
        </is>
      </c>
      <c r="D9" s="8" t="inlineStr">
        <is>
          <t>Corporate Development (CD Development &amp; Estate Planning teams; CD Sustainability Strategy)</t>
        </is>
      </c>
      <c r="E9" s="8" t="inlineStr">
        <is>
          <t>CI&amp;S – Estate Planning &amp; Development (TBC: confirm with Gerard)</t>
        </is>
      </c>
      <c r="F9" s="8" t="inlineStr">
        <is>
          <t>TBC</t>
        </is>
      </c>
      <c r="G9" s="8" t="inlineStr"/>
    </row>
    <row r="10">
      <c r="B10" s="8" t="inlineStr">
        <is>
          <t>CI&amp;S</t>
        </is>
      </c>
      <c r="C10" s="8" t="inlineStr">
        <is>
          <t>Commercial, Infrastructure &amp; Sustainability (CI&amp;S)</t>
        </is>
      </c>
      <c r="D10" s="8" t="inlineStr">
        <is>
          <t>Corporate Development (CD Development &amp; Estate Planning teams; CD Sustainability Strategy)</t>
        </is>
      </c>
      <c r="E10" s="8" t="inlineStr">
        <is>
          <t>CI&amp;S – Sustainability Strategy (incl. CLLAP)</t>
        </is>
      </c>
      <c r="F10" s="8" t="inlineStr">
        <is>
          <t>TBC</t>
        </is>
      </c>
      <c r="G10" s="8" t="inlineStr"/>
    </row>
    <row r="11">
      <c r="B11" s="8" t="inlineStr">
        <is>
          <t>CFOG</t>
        </is>
      </c>
      <c r="C11" s="8" t="inlineStr">
        <is>
          <t>Chief Finance Officer Group (CFOG)</t>
        </is>
      </c>
      <c r="D11" s="8" t="inlineStr">
        <is>
          <t>CFOG (Procurement; Accounting; Treasury &amp; Investments; Enterprise Portfolio &amp; Investments)</t>
        </is>
      </c>
      <c r="E11" s="8" t="inlineStr">
        <is>
          <t>CFOG – Procurement</t>
        </is>
      </c>
      <c r="F11" s="8" t="inlineStr">
        <is>
          <t>TBC</t>
        </is>
      </c>
      <c r="G11" s="8" t="inlineStr"/>
    </row>
    <row r="12">
      <c r="B12" s="8" t="inlineStr">
        <is>
          <t>CFOG</t>
        </is>
      </c>
      <c r="C12" s="8" t="inlineStr">
        <is>
          <t>Chief Finance Officer Group (CFOG)</t>
        </is>
      </c>
      <c r="D12" s="8" t="inlineStr">
        <is>
          <t>CFOG (Procurement; Accounting; Treasury &amp; Investments; Enterprise Portfolio &amp; Investments)</t>
        </is>
      </c>
      <c r="E12" s="8" t="inlineStr">
        <is>
          <t>CFOG – Treasury &amp; Investments</t>
        </is>
      </c>
      <c r="F12" s="8" t="inlineStr">
        <is>
          <t>TBC</t>
        </is>
      </c>
      <c r="G12" s="8" t="inlineStr"/>
    </row>
    <row r="13">
      <c r="B13" s="8" t="inlineStr">
        <is>
          <t>ESG</t>
        </is>
      </c>
      <c r="C13" s="8" t="inlineStr">
        <is>
          <t>Enterprise Services Group (ESG)</t>
        </is>
      </c>
      <c r="D13" s="8" t="inlineStr">
        <is>
          <t>Business Services – Sustainability Delivery (nature &amp; biodiversity, waste &amp; circular economy, part of quant. climate leadership)</t>
        </is>
      </c>
      <c r="E13" s="8" t="inlineStr">
        <is>
          <t>ESG – Campus Operations &amp; Sustainability Delivery</t>
        </is>
      </c>
      <c r="F13" s="8" t="inlineStr">
        <is>
          <t>TBC</t>
        </is>
      </c>
      <c r="G13" s="8" t="inlineStr"/>
    </row>
    <row r="14">
      <c r="B14" s="8" t="inlineStr">
        <is>
          <t>CIOG</t>
        </is>
      </c>
      <c r="C14" s="8" t="inlineStr">
        <is>
          <t>Chief Information Officer Group (CIOG)</t>
        </is>
      </c>
      <c r="D14" s="8" t="inlineStr">
        <is>
          <t>Business Services (AI – not requested in SR25)</t>
        </is>
      </c>
      <c r="E14" s="8" t="inlineStr">
        <is>
          <t>CIOG – Responsible AI &amp; digital</t>
        </is>
      </c>
      <c r="F14" s="8" t="inlineStr">
        <is>
          <t>TBC</t>
        </is>
      </c>
      <c r="G14" s="8" t="inlineStr"/>
    </row>
    <row r="15">
      <c r="B15" s="8" t="inlineStr">
        <is>
          <t>MRE</t>
        </is>
      </c>
      <c r="C15" s="8" t="inlineStr">
        <is>
          <t>Melbourne Research and Enterprise (MRE)</t>
        </is>
      </c>
      <c r="D15" s="8" t="inlineStr">
        <is>
          <t>Chancellery Research and Enterprise</t>
        </is>
      </c>
      <c r="E15" s="8" t="inlineStr">
        <is>
          <t>MRE – Research (incl. MBI – TBC)</t>
        </is>
      </c>
      <c r="F15" s="8" t="inlineStr">
        <is>
          <t>TBC</t>
        </is>
      </c>
      <c r="G15" s="8" t="inlineStr"/>
    </row>
    <row r="16">
      <c r="B16" s="8" t="inlineStr">
        <is>
          <t>L&amp;R</t>
        </is>
      </c>
      <c r="C16" s="8" t="inlineStr">
        <is>
          <t>Legal and Risk</t>
        </is>
      </c>
      <c r="D16" s="8" t="inlineStr">
        <is>
          <t>Legal and Risk</t>
        </is>
      </c>
      <c r="E16" s="8" t="inlineStr">
        <is>
          <t>Legal &amp; Risk – Risk &amp; resilience</t>
        </is>
      </c>
      <c r="F16" s="8" t="inlineStr">
        <is>
          <t>TBC</t>
        </is>
      </c>
      <c r="G16" s="8" t="inlineStr"/>
    </row>
    <row r="17">
      <c r="B17" s="8" t="inlineStr">
        <is>
          <t>Chancellery</t>
        </is>
      </c>
      <c r="C17" s="8" t="inlineStr">
        <is>
          <t>Advancement, Communications &amp; Marketing; Global, Culture &amp; Engagement; Education (incl. SASS); Indigenous</t>
        </is>
      </c>
      <c r="D17" s="8" t="inlineStr">
        <is>
          <t>Chancellery tab</t>
        </is>
      </c>
      <c r="E17" s="8" t="inlineStr">
        <is>
          <t>—</t>
        </is>
      </c>
      <c r="F17" s="8" t="inlineStr">
        <is>
          <t>TBC</t>
        </is>
      </c>
      <c r="G17" s="8" t="inlineStr">
        <is>
          <t>No SR26 qualitative indicator currently names these units. SASS (Melbourne Plus) referenced for EE1(c). Confirm whether requests are needed.</t>
        </is>
      </c>
    </row>
    <row r="18">
      <c r="B18" s="8" t="inlineStr">
        <is>
          <t>TBC</t>
        </is>
      </c>
      <c r="C18" s="8" t="inlineStr">
        <is>
          <t>CGOP / CDEP / CDSS</t>
        </is>
      </c>
      <c r="D18" s="8" t="inlineStr">
        <is>
          <t>Not in SR25 master</t>
        </is>
      </c>
      <c r="E18" s="8" t="inlineStr">
        <is>
          <t>—</t>
        </is>
      </c>
      <c r="F18" s="8" t="inlineStr">
        <is>
          <t>TBC</t>
        </is>
      </c>
      <c r="G18" s="8" t="inlineStr">
        <is>
          <t>Structure changes TBC – confirm before requests are issued.</t>
        </is>
      </c>
    </row>
    <row r="20">
      <c r="B20" s="11" t="inlineStr">
        <is>
          <t>RASCI – who receives a request for each indicator (R = Responsible to report; TBC = to confirm)</t>
        </is>
      </c>
    </row>
    <row r="21">
      <c r="B21" s="6" t="inlineStr">
        <is>
          <t>Ref</t>
        </is>
      </c>
      <c r="C21" s="6" t="inlineStr">
        <is>
          <t>Priority area</t>
        </is>
      </c>
      <c r="D21" s="6" t="inlineStr">
        <is>
          <t>Indicator</t>
        </is>
      </c>
      <c r="E21" s="6" t="inlineStr">
        <is>
          <t>ABP</t>
        </is>
      </c>
      <c r="F21" s="6" t="inlineStr">
        <is>
          <t>ARTS</t>
        </is>
      </c>
      <c r="G21" s="6" t="inlineStr">
        <is>
          <t>FBE</t>
        </is>
      </c>
      <c r="H21" s="6" t="inlineStr">
        <is>
          <t>SCI</t>
        </is>
      </c>
      <c r="I21" s="6" t="inlineStr">
        <is>
          <t>CI&amp;S</t>
        </is>
      </c>
      <c r="J21" s="6" t="inlineStr">
        <is>
          <t>CFOG</t>
        </is>
      </c>
      <c r="K21" s="6" t="inlineStr">
        <is>
          <t>ESG</t>
        </is>
      </c>
      <c r="L21" s="6" t="inlineStr">
        <is>
          <t>CIOG</t>
        </is>
      </c>
      <c r="M21" s="6" t="inlineStr">
        <is>
          <t>MRE</t>
        </is>
      </c>
      <c r="N21" s="6" t="inlineStr">
        <is>
          <t>L&amp;R</t>
        </is>
      </c>
    </row>
    <row r="22" ht="45" customHeight="1">
      <c r="B22" s="12" t="inlineStr">
        <is>
          <t>EE1(a)</t>
        </is>
      </c>
      <c r="C22" s="8" t="inlineStr">
        <is>
          <t>Exceptional education</t>
        </is>
      </c>
      <c r="D22" s="8" t="inlineStr">
        <is>
          <t>Evidence of innovative approaches to sustainability teaching and learning</t>
        </is>
      </c>
      <c r="E22" s="13" t="inlineStr">
        <is>
          <t>R</t>
        </is>
      </c>
      <c r="F22" s="13" t="inlineStr">
        <is>
          <t>R</t>
        </is>
      </c>
      <c r="G22" s="13" t="inlineStr">
        <is>
          <t>R</t>
        </is>
      </c>
      <c r="H22" s="13" t="inlineStr">
        <is>
          <t>R</t>
        </is>
      </c>
      <c r="I22" s="13" t="inlineStr">
        <is>
          <t>R</t>
        </is>
      </c>
      <c r="J22" s="14" t="inlineStr"/>
      <c r="K22" s="14" t="inlineStr"/>
      <c r="L22" s="14" t="inlineStr"/>
      <c r="M22" s="14" t="inlineStr"/>
      <c r="N22" s="14" t="inlineStr"/>
    </row>
    <row r="23" ht="45" customHeight="1">
      <c r="B23" s="12" t="inlineStr">
        <is>
          <t>EE1(b)</t>
        </is>
      </c>
      <c r="C23" s="8" t="inlineStr">
        <is>
          <t>Exceptional education</t>
        </is>
      </c>
      <c r="D23" s="8" t="inlineStr">
        <is>
          <t>Pilots of possible approaches for understanding and developing students’ sustainability self-efficacy</t>
        </is>
      </c>
      <c r="E23" s="13" t="inlineStr">
        <is>
          <t>R</t>
        </is>
      </c>
      <c r="F23" s="13" t="inlineStr">
        <is>
          <t>R</t>
        </is>
      </c>
      <c r="G23" s="13" t="inlineStr">
        <is>
          <t>R</t>
        </is>
      </c>
      <c r="H23" s="13" t="inlineStr">
        <is>
          <t>R</t>
        </is>
      </c>
      <c r="I23" s="13" t="inlineStr">
        <is>
          <t>R</t>
        </is>
      </c>
      <c r="J23" s="14" t="inlineStr"/>
      <c r="K23" s="14" t="inlineStr"/>
      <c r="L23" s="14" t="inlineStr"/>
      <c r="M23" s="14" t="inlineStr"/>
      <c r="N23" s="14" t="inlineStr"/>
    </row>
    <row r="24" ht="45" customHeight="1">
      <c r="B24" s="12" t="inlineStr">
        <is>
          <t>EE1(c)</t>
        </is>
      </c>
      <c r="C24" s="8" t="inlineStr">
        <is>
          <t>Exceptional education</t>
        </is>
      </c>
      <c r="D24" s="8" t="inlineStr">
        <is>
          <t>Evidence of sustainability focused experiential and co curricular learning (eg Wattle Fellowship; Melbourne Plus)</t>
        </is>
      </c>
      <c r="E24" s="13" t="inlineStr">
        <is>
          <t>R</t>
        </is>
      </c>
      <c r="F24" s="13" t="inlineStr">
        <is>
          <t>R</t>
        </is>
      </c>
      <c r="G24" s="13" t="inlineStr">
        <is>
          <t>R</t>
        </is>
      </c>
      <c r="H24" s="13" t="inlineStr">
        <is>
          <t>R</t>
        </is>
      </c>
      <c r="I24" s="13" t="inlineStr">
        <is>
          <t>R</t>
        </is>
      </c>
      <c r="J24" s="14" t="inlineStr"/>
      <c r="K24" s="14" t="inlineStr"/>
      <c r="L24" s="14" t="inlineStr"/>
      <c r="M24" s="14" t="inlineStr"/>
      <c r="N24" s="14" t="inlineStr"/>
    </row>
    <row r="25" ht="45" customHeight="1">
      <c r="B25" s="12" t="inlineStr">
        <is>
          <t>EE1(d)</t>
        </is>
      </c>
      <c r="C25" s="8" t="inlineStr">
        <is>
          <t>Exceptional education</t>
        </is>
      </c>
      <c r="D25" s="8" t="inlineStr">
        <is>
          <t>Alumni profiles demonstrating how graduates contribute to sustainability through their careers or communities.</t>
        </is>
      </c>
      <c r="E25" s="13" t="inlineStr">
        <is>
          <t>R</t>
        </is>
      </c>
      <c r="F25" s="13" t="inlineStr">
        <is>
          <t>R</t>
        </is>
      </c>
      <c r="G25" s="13" t="inlineStr">
        <is>
          <t>R</t>
        </is>
      </c>
      <c r="H25" s="13" t="inlineStr">
        <is>
          <t>R</t>
        </is>
      </c>
      <c r="I25" s="13" t="inlineStr">
        <is>
          <t>R</t>
        </is>
      </c>
      <c r="J25" s="14" t="inlineStr"/>
      <c r="K25" s="14" t="inlineStr"/>
      <c r="L25" s="14" t="inlineStr"/>
      <c r="M25" s="14" t="inlineStr"/>
      <c r="N25" s="14" t="inlineStr"/>
    </row>
    <row r="26" ht="45" customHeight="1">
      <c r="B26" s="12" t="inlineStr">
        <is>
          <t>TR1(a)</t>
        </is>
      </c>
      <c r="C26" s="8" t="inlineStr">
        <is>
          <t>Transformational research</t>
        </is>
      </c>
      <c r="D26" s="8" t="inlineStr">
        <is>
          <t>Expert-reviewed evidence of researchers contributing to operational sustainability priorities through partnerships, advisory input, living labs, applied projects or decision-support</t>
        </is>
      </c>
      <c r="E26" s="13" t="inlineStr">
        <is>
          <t>R</t>
        </is>
      </c>
      <c r="F26" s="13" t="inlineStr">
        <is>
          <t>R</t>
        </is>
      </c>
      <c r="G26" s="13" t="inlineStr">
        <is>
          <t>R</t>
        </is>
      </c>
      <c r="H26" s="13" t="inlineStr">
        <is>
          <t>R</t>
        </is>
      </c>
      <c r="I26" s="13" t="inlineStr">
        <is>
          <t>R</t>
        </is>
      </c>
      <c r="J26" s="14" t="inlineStr"/>
      <c r="K26" s="14" t="inlineStr"/>
      <c r="L26" s="14" t="inlineStr"/>
      <c r="M26" s="14" t="inlineStr"/>
      <c r="N26" s="14" t="inlineStr"/>
    </row>
    <row r="27" ht="45" customHeight="1">
      <c r="B27" s="12" t="inlineStr">
        <is>
          <t>TR1(b)</t>
        </is>
      </c>
      <c r="C27" s="8" t="inlineStr">
        <is>
          <t>Transformational research</t>
        </is>
      </c>
      <c r="D27" s="8" t="inlineStr">
        <is>
          <t>Evidence of institutional pathways that enable ongoing collaboration between academic and professional staff</t>
        </is>
      </c>
      <c r="E27" s="13" t="inlineStr">
        <is>
          <t>R</t>
        </is>
      </c>
      <c r="F27" s="13" t="inlineStr">
        <is>
          <t>R</t>
        </is>
      </c>
      <c r="G27" s="13" t="inlineStr">
        <is>
          <t>R</t>
        </is>
      </c>
      <c r="H27" s="13" t="inlineStr">
        <is>
          <t>R</t>
        </is>
      </c>
      <c r="I27" s="14" t="inlineStr"/>
      <c r="J27" s="14" t="inlineStr"/>
      <c r="K27" s="14" t="inlineStr"/>
      <c r="L27" s="14" t="inlineStr"/>
      <c r="M27" s="14" t="inlineStr"/>
      <c r="N27" s="14" t="inlineStr"/>
    </row>
    <row r="28" ht="45" customHeight="1">
      <c r="B28" s="12" t="inlineStr">
        <is>
          <t>TR1(c)</t>
        </is>
      </c>
      <c r="C28" s="8" t="inlineStr">
        <is>
          <t>Transformational research</t>
        </is>
      </c>
      <c r="D28" s="8" t="inlineStr">
        <is>
          <t>Expert assessment of the quality, relevance and continuity of these collaborations</t>
        </is>
      </c>
      <c r="E28" s="13" t="inlineStr">
        <is>
          <t>R</t>
        </is>
      </c>
      <c r="F28" s="13" t="inlineStr">
        <is>
          <t>R</t>
        </is>
      </c>
      <c r="G28" s="13" t="inlineStr">
        <is>
          <t>R</t>
        </is>
      </c>
      <c r="H28" s="13" t="inlineStr">
        <is>
          <t>R</t>
        </is>
      </c>
      <c r="I28" s="14" t="inlineStr"/>
      <c r="J28" s="14" t="inlineStr"/>
      <c r="K28" s="14" t="inlineStr"/>
      <c r="L28" s="14" t="inlineStr"/>
      <c r="M28" s="14" t="inlineStr"/>
      <c r="N28" s="14" t="inlineStr"/>
    </row>
    <row r="29" ht="45" customHeight="1">
      <c r="B29" s="12" t="inlineStr">
        <is>
          <t>TR1(d)</t>
        </is>
      </c>
      <c r="C29" s="8" t="inlineStr">
        <is>
          <t>Transformational research</t>
        </is>
      </c>
      <c r="D29" s="8" t="inlineStr">
        <is>
          <t>Periodic feedback from participants on the effectiveness and mutual benefit of collaboration mechanisms.</t>
        </is>
      </c>
      <c r="E29" s="13" t="inlineStr">
        <is>
          <t>R</t>
        </is>
      </c>
      <c r="F29" s="13" t="inlineStr">
        <is>
          <t>R</t>
        </is>
      </c>
      <c r="G29" s="13" t="inlineStr">
        <is>
          <t>R</t>
        </is>
      </c>
      <c r="H29" s="13" t="inlineStr">
        <is>
          <t>R</t>
        </is>
      </c>
      <c r="I29" s="14" t="inlineStr"/>
      <c r="J29" s="14" t="inlineStr"/>
      <c r="K29" s="14" t="inlineStr"/>
      <c r="L29" s="14" t="inlineStr"/>
      <c r="M29" s="14" t="inlineStr"/>
      <c r="N29" s="14" t="inlineStr"/>
    </row>
    <row r="30" ht="45" customHeight="1">
      <c r="B30" s="12" t="inlineStr">
        <is>
          <t>TR2(a)</t>
        </is>
      </c>
      <c r="C30" s="8" t="inlineStr">
        <is>
          <t>Transformational research</t>
        </is>
      </c>
      <c r="D30" s="8" t="inlineStr">
        <is>
          <t>Evidence of sustainability-related research impact across diverse pathways, could include policy, industry, community, practice, cultural and institutional outcomes</t>
        </is>
      </c>
      <c r="E30" s="13" t="inlineStr">
        <is>
          <t>R</t>
        </is>
      </c>
      <c r="F30" s="13" t="inlineStr">
        <is>
          <t>R</t>
        </is>
      </c>
      <c r="G30" s="13" t="inlineStr">
        <is>
          <t>R</t>
        </is>
      </c>
      <c r="H30" s="13" t="inlineStr">
        <is>
          <t>R</t>
        </is>
      </c>
      <c r="I30" s="14" t="inlineStr"/>
      <c r="J30" s="14" t="inlineStr"/>
      <c r="K30" s="14" t="inlineStr"/>
      <c r="L30" s="14" t="inlineStr"/>
      <c r="M30" s="14" t="inlineStr"/>
      <c r="N30" s="14" t="inlineStr"/>
    </row>
    <row r="31" ht="45" customHeight="1">
      <c r="B31" s="12" t="inlineStr">
        <is>
          <t>TR2(b)</t>
        </is>
      </c>
      <c r="C31" s="8" t="inlineStr">
        <is>
          <t>Transformational research</t>
        </is>
      </c>
      <c r="D31" s="8" t="inlineStr">
        <is>
          <t>Documented progress of relevant strategic initiatives, including Impact Accelerators</t>
        </is>
      </c>
      <c r="E31" s="14" t="inlineStr"/>
      <c r="F31" s="14" t="inlineStr"/>
      <c r="G31" s="14" t="inlineStr"/>
      <c r="H31" s="14" t="inlineStr"/>
      <c r="I31" s="14" t="inlineStr"/>
      <c r="J31" s="14" t="inlineStr"/>
      <c r="K31" s="14" t="inlineStr"/>
      <c r="L31" s="14" t="inlineStr"/>
      <c r="M31" s="14" t="inlineStr"/>
      <c r="N31" s="14" t="inlineStr"/>
    </row>
    <row r="32" ht="45" customHeight="1">
      <c r="B32" s="12" t="inlineStr">
        <is>
          <t>TR2(c)</t>
        </is>
      </c>
      <c r="C32" s="8" t="inlineStr">
        <is>
          <t>Transformational research</t>
        </is>
      </c>
      <c r="D32" s="8" t="inlineStr">
        <is>
          <t>Expert-reviewed summary of sustainability-related research outputs, outcomes and influence using available institutional evidence sources</t>
        </is>
      </c>
      <c r="E32" s="14" t="inlineStr"/>
      <c r="F32" s="14" t="inlineStr"/>
      <c r="G32" s="14" t="inlineStr"/>
      <c r="H32" s="14" t="inlineStr"/>
      <c r="I32" s="14" t="inlineStr"/>
      <c r="J32" s="14" t="inlineStr"/>
      <c r="K32" s="14" t="inlineStr"/>
      <c r="L32" s="14" t="inlineStr"/>
      <c r="M32" s="13" t="inlineStr">
        <is>
          <t>R</t>
        </is>
      </c>
      <c r="N32" s="14" t="inlineStr"/>
    </row>
    <row r="33" ht="45" customHeight="1">
      <c r="B33" s="12" t="inlineStr">
        <is>
          <t>TR2(d)</t>
        </is>
      </c>
      <c r="C33" s="8" t="inlineStr">
        <is>
          <t>Transformational research</t>
        </is>
      </c>
      <c r="D33" s="8" t="inlineStr">
        <is>
          <t>Case-based evidence demonstrating how research has contributed to meaningful sustainability outcomes.</t>
        </is>
      </c>
      <c r="E33" s="13" t="inlineStr">
        <is>
          <t>R</t>
        </is>
      </c>
      <c r="F33" s="13" t="inlineStr">
        <is>
          <t>R</t>
        </is>
      </c>
      <c r="G33" s="13" t="inlineStr">
        <is>
          <t>R</t>
        </is>
      </c>
      <c r="H33" s="13" t="inlineStr">
        <is>
          <t>R</t>
        </is>
      </c>
      <c r="I33" s="13" t="inlineStr">
        <is>
          <t>R</t>
        </is>
      </c>
      <c r="J33" s="14" t="inlineStr"/>
      <c r="K33" s="14" t="inlineStr"/>
      <c r="L33" s="14" t="inlineStr"/>
      <c r="M33" s="14" t="inlineStr"/>
      <c r="N33" s="14" t="inlineStr"/>
    </row>
    <row r="34" ht="45" customHeight="1">
      <c r="B34" s="12" t="inlineStr">
        <is>
          <t>TR3(a)</t>
        </is>
      </c>
      <c r="C34" s="8" t="inlineStr">
        <is>
          <t>Transformational research</t>
        </is>
      </c>
      <c r="D34" s="8" t="inlineStr">
        <is>
          <t>Evidence that sustainability considerations are integrated into relevant research systems, planning processes, guidance, training, induction or support services</t>
        </is>
      </c>
      <c r="E34" s="13" t="inlineStr">
        <is>
          <t>R</t>
        </is>
      </c>
      <c r="F34" s="13" t="inlineStr">
        <is>
          <t>R</t>
        </is>
      </c>
      <c r="G34" s="13" t="inlineStr">
        <is>
          <t>R</t>
        </is>
      </c>
      <c r="H34" s="13" t="inlineStr">
        <is>
          <t>R</t>
        </is>
      </c>
      <c r="I34" s="13" t="inlineStr">
        <is>
          <t>R</t>
        </is>
      </c>
      <c r="J34" s="14" t="inlineStr"/>
      <c r="K34" s="14" t="inlineStr"/>
      <c r="L34" s="14" t="inlineStr"/>
      <c r="M34" s="14" t="inlineStr"/>
      <c r="N34" s="14" t="inlineStr"/>
    </row>
    <row r="35" ht="45" customHeight="1">
      <c r="B35" s="12" t="inlineStr">
        <is>
          <t>TR3(b)</t>
        </is>
      </c>
      <c r="C35" s="8" t="inlineStr">
        <is>
          <t>Transformational research</t>
        </is>
      </c>
      <c r="D35" s="8" t="inlineStr">
        <is>
          <t>Demonstrated examples of more sustainable research practices in laboratories, fieldwork, procurement, travel or infrastructure use</t>
        </is>
      </c>
      <c r="E35" s="13" t="inlineStr">
        <is>
          <t>R</t>
        </is>
      </c>
      <c r="F35" s="13" t="inlineStr">
        <is>
          <t>R</t>
        </is>
      </c>
      <c r="G35" s="13" t="inlineStr">
        <is>
          <t>R</t>
        </is>
      </c>
      <c r="H35" s="13" t="inlineStr">
        <is>
          <t>R</t>
        </is>
      </c>
      <c r="I35" s="13" t="inlineStr">
        <is>
          <t>R</t>
        </is>
      </c>
      <c r="J35" s="13" t="inlineStr">
        <is>
          <t>R</t>
        </is>
      </c>
      <c r="K35" s="14" t="inlineStr"/>
      <c r="L35" s="14" t="inlineStr"/>
      <c r="M35" s="14" t="inlineStr"/>
      <c r="N35" s="14" t="inlineStr"/>
    </row>
    <row r="36" ht="45" customHeight="1">
      <c r="B36" s="12" t="inlineStr">
        <is>
          <t>TR3(c)</t>
        </is>
      </c>
      <c r="C36" s="8" t="inlineStr">
        <is>
          <t>Transformational research</t>
        </is>
      </c>
      <c r="D36" s="8" t="inlineStr">
        <is>
          <t>Evidence of progress in sustainability-related research culture, capability and awareness, informed by periodic staff and graduate researcher surveys</t>
        </is>
      </c>
      <c r="E36" s="13" t="inlineStr">
        <is>
          <t>R</t>
        </is>
      </c>
      <c r="F36" s="13" t="inlineStr">
        <is>
          <t>R</t>
        </is>
      </c>
      <c r="G36" s="13" t="inlineStr">
        <is>
          <t>R</t>
        </is>
      </c>
      <c r="H36" s="13" t="inlineStr">
        <is>
          <t>R</t>
        </is>
      </c>
      <c r="I36" s="14" t="inlineStr"/>
      <c r="J36" s="14" t="inlineStr"/>
      <c r="K36" s="14" t="inlineStr"/>
      <c r="L36" s="14" t="inlineStr"/>
      <c r="M36" s="14" t="inlineStr"/>
      <c r="N36" s="14" t="inlineStr"/>
    </row>
    <row r="37" ht="45" customHeight="1">
      <c r="B37" s="12" t="inlineStr">
        <is>
          <t>TR3(d)</t>
        </is>
      </c>
      <c r="C37" s="8" t="inlineStr">
        <is>
          <t>Transformational research</t>
        </is>
      </c>
      <c r="D37" s="8" t="inlineStr">
        <is>
          <t>Expert assessment of progress in embedding sustainable research practices across the institution.</t>
        </is>
      </c>
      <c r="E37" s="13" t="inlineStr">
        <is>
          <t>R</t>
        </is>
      </c>
      <c r="F37" s="13" t="inlineStr">
        <is>
          <t>R</t>
        </is>
      </c>
      <c r="G37" s="13" t="inlineStr">
        <is>
          <t>R</t>
        </is>
      </c>
      <c r="H37" s="13" t="inlineStr">
        <is>
          <t>R</t>
        </is>
      </c>
      <c r="I37" s="14" t="inlineStr"/>
      <c r="J37" s="14" t="inlineStr"/>
      <c r="K37" s="14" t="inlineStr"/>
      <c r="L37" s="14" t="inlineStr"/>
      <c r="M37" s="14" t="inlineStr"/>
      <c r="N37" s="14" t="inlineStr"/>
    </row>
    <row r="38" ht="45" customHeight="1">
      <c r="B38" s="12" t="inlineStr">
        <is>
          <t>CL1(a)</t>
        </is>
      </c>
      <c r="C38" s="8" t="inlineStr">
        <is>
          <t>Climate leadership</t>
        </is>
      </c>
      <c r="D38" s="8" t="inlineStr">
        <is>
          <t>Annual Greenhouse Gas Inventory (including emissions scopes 1, 2 and 3) demonstrates carbon emission reductions, including maintaining procurement of 100% renewable electricity for all scope 2 sources[1]</t>
        </is>
      </c>
      <c r="E38" s="14" t="inlineStr"/>
      <c r="F38" s="14" t="inlineStr"/>
      <c r="G38" s="14" t="inlineStr"/>
      <c r="H38" s="14" t="inlineStr"/>
      <c r="I38" s="14" t="inlineStr"/>
      <c r="J38" s="14" t="inlineStr"/>
      <c r="K38" s="14" t="inlineStr"/>
      <c r="L38" s="14" t="inlineStr"/>
      <c r="M38" s="14" t="inlineStr"/>
      <c r="N38" s="14" t="inlineStr"/>
    </row>
    <row r="39" ht="45" customHeight="1">
      <c r="B39" s="12" t="inlineStr">
        <is>
          <t>CL1(b)</t>
        </is>
      </c>
      <c r="C39" s="8" t="inlineStr">
        <is>
          <t>Climate leadership</t>
        </is>
      </c>
      <c r="D39" s="8" t="inlineStr">
        <is>
          <t>Development of Greenhouse Gas  intensity metrics</t>
        </is>
      </c>
      <c r="E39" s="14" t="inlineStr"/>
      <c r="F39" s="14" t="inlineStr"/>
      <c r="G39" s="14" t="inlineStr"/>
      <c r="H39" s="14" t="inlineStr"/>
      <c r="I39" s="14" t="inlineStr"/>
      <c r="J39" s="14" t="inlineStr"/>
      <c r="K39" s="14" t="inlineStr"/>
      <c r="L39" s="14" t="inlineStr"/>
      <c r="M39" s="14" t="inlineStr"/>
      <c r="N39" s="14" t="inlineStr"/>
    </row>
    <row r="40" ht="45" customHeight="1">
      <c r="B40" s="12" t="inlineStr">
        <is>
          <t>CL1(c)</t>
        </is>
      </c>
      <c r="C40" s="8" t="inlineStr">
        <is>
          <t>Climate leadership</t>
        </is>
      </c>
      <c r="D40" s="8" t="inlineStr">
        <is>
          <t>Review of Climate Leadership targets by 2030.[2]</t>
        </is>
      </c>
      <c r="E40" s="14" t="inlineStr"/>
      <c r="F40" s="14" t="inlineStr"/>
      <c r="G40" s="14" t="inlineStr"/>
      <c r="H40" s="14" t="inlineStr"/>
      <c r="I40" s="13" t="inlineStr">
        <is>
          <t>R</t>
        </is>
      </c>
      <c r="J40" s="14" t="inlineStr"/>
      <c r="K40" s="14" t="inlineStr"/>
      <c r="L40" s="14" t="inlineStr"/>
      <c r="M40" s="14" t="inlineStr"/>
      <c r="N40" s="14" t="inlineStr"/>
    </row>
    <row r="41" ht="45" customHeight="1">
      <c r="B41" s="12" t="inlineStr">
        <is>
          <t>CL2(a)</t>
        </is>
      </c>
      <c r="C41" s="8" t="inlineStr">
        <is>
          <t>Climate leadership</t>
        </is>
      </c>
      <c r="D41" s="8" t="inlineStr">
        <is>
          <t>By 2028, develop and document institutional mapping of research and education activities that are designed to contribute to global decarbonisation</t>
        </is>
      </c>
      <c r="E41" s="13" t="inlineStr">
        <is>
          <t>R</t>
        </is>
      </c>
      <c r="F41" s="13" t="inlineStr">
        <is>
          <t>R</t>
        </is>
      </c>
      <c r="G41" s="13" t="inlineStr">
        <is>
          <t>R</t>
        </is>
      </c>
      <c r="H41" s="13" t="inlineStr">
        <is>
          <t>R</t>
        </is>
      </c>
      <c r="I41" s="13" t="inlineStr">
        <is>
          <t>R</t>
        </is>
      </c>
      <c r="J41" s="14" t="inlineStr"/>
      <c r="K41" s="14" t="inlineStr"/>
      <c r="L41" s="14" t="inlineStr"/>
      <c r="M41" s="14" t="inlineStr"/>
      <c r="N41" s="14" t="inlineStr"/>
    </row>
    <row r="42" ht="45" customHeight="1">
      <c r="B42" s="12" t="inlineStr">
        <is>
          <t>CL2(b)</t>
        </is>
      </c>
      <c r="C42" s="8" t="inlineStr">
        <is>
          <t>Climate leadership</t>
        </is>
      </c>
      <c r="D42" s="8" t="inlineStr">
        <is>
          <t>Prioritised pipeline of decarbonisation focused research and education opportunities aligned with University emissions reduction priorities from 2028</t>
        </is>
      </c>
      <c r="E42" s="14" t="inlineStr"/>
      <c r="F42" s="14" t="inlineStr"/>
      <c r="G42" s="14" t="inlineStr"/>
      <c r="H42" s="14" t="inlineStr"/>
      <c r="I42" s="14" t="inlineStr"/>
      <c r="J42" s="14" t="inlineStr"/>
      <c r="K42" s="14" t="inlineStr"/>
      <c r="L42" s="14" t="inlineStr"/>
      <c r="M42" s="14" t="inlineStr"/>
      <c r="N42" s="14" t="inlineStr"/>
    </row>
    <row r="43" ht="45" customHeight="1">
      <c r="B43" s="12" t="inlineStr">
        <is>
          <t>CL2(c)</t>
        </is>
      </c>
      <c r="C43" s="8" t="inlineStr">
        <is>
          <t>Climate leadership</t>
        </is>
      </c>
      <c r="D43" s="8" t="inlineStr">
        <is>
          <t>Ongoing communications that evidence the University’s climate action, research and learning to inform policy, sector and community decarbonisation efforts.</t>
        </is>
      </c>
      <c r="E43" s="13" t="inlineStr">
        <is>
          <t>R</t>
        </is>
      </c>
      <c r="F43" s="13" t="inlineStr">
        <is>
          <t>R</t>
        </is>
      </c>
      <c r="G43" s="13" t="inlineStr">
        <is>
          <t>R</t>
        </is>
      </c>
      <c r="H43" s="13" t="inlineStr">
        <is>
          <t>R</t>
        </is>
      </c>
      <c r="I43" s="14" t="inlineStr"/>
      <c r="J43" s="14" t="inlineStr"/>
      <c r="K43" s="14" t="inlineStr"/>
      <c r="L43" s="14" t="inlineStr"/>
      <c r="M43" s="14" t="inlineStr"/>
      <c r="N43" s="14" t="inlineStr"/>
    </row>
    <row r="44" ht="45" customHeight="1">
      <c r="B44" s="12" t="inlineStr">
        <is>
          <t>CL3(a)</t>
        </is>
      </c>
      <c r="C44" s="8" t="inlineStr">
        <is>
          <t>Climate leadership</t>
        </is>
      </c>
      <c r="D44" s="8" t="inlineStr">
        <is>
          <t>Maturity assessment of the University’s preparedness for climate-related impacts and capability to respond, assessed across relevant organisational functions:
o	Governance and strategy
o	Health and safety
o	Business continuity
o	Emergency management and critical incidence management
o	Estate and buildings
o	Water management
o	Financial planning and reporting.</t>
        </is>
      </c>
      <c r="E44" s="14" t="inlineStr"/>
      <c r="F44" s="14" t="inlineStr"/>
      <c r="G44" s="14" t="inlineStr"/>
      <c r="H44" s="14" t="inlineStr"/>
      <c r="I44" s="13" t="inlineStr">
        <is>
          <t>R</t>
        </is>
      </c>
      <c r="J44" s="14" t="inlineStr"/>
      <c r="K44" s="14" t="inlineStr"/>
      <c r="L44" s="14" t="inlineStr"/>
      <c r="M44" s="14" t="inlineStr"/>
      <c r="N44" s="13" t="inlineStr">
        <is>
          <t>R</t>
        </is>
      </c>
    </row>
    <row r="45" ht="45" customHeight="1">
      <c r="B45" s="12" t="inlineStr">
        <is>
          <t>NB1(a)</t>
        </is>
      </c>
      <c r="C45" s="8" t="inlineStr">
        <is>
          <t>Nature and biodiversity</t>
        </is>
      </c>
      <c r="D45" s="8" t="inlineStr">
        <is>
          <t>Monitoring of biodiversity metrics from the Biodiversity Baseline Data Project</t>
        </is>
      </c>
      <c r="E45" s="14" t="inlineStr"/>
      <c r="F45" s="14" t="inlineStr"/>
      <c r="G45" s="14" t="inlineStr"/>
      <c r="H45" s="14" t="inlineStr"/>
      <c r="I45" s="14" t="inlineStr"/>
      <c r="J45" s="14" t="inlineStr"/>
      <c r="K45" s="14" t="inlineStr"/>
      <c r="L45" s="14" t="inlineStr"/>
      <c r="M45" s="14" t="inlineStr"/>
      <c r="N45" s="14" t="inlineStr"/>
    </row>
    <row r="46" ht="45" customHeight="1">
      <c r="B46" s="12" t="inlineStr">
        <is>
          <t>NB1(b)</t>
        </is>
      </c>
      <c r="C46" s="8" t="inlineStr">
        <is>
          <t>Nature and biodiversity</t>
        </is>
      </c>
      <c r="D46" s="8" t="inlineStr">
        <is>
          <t>Size, health and diversity of remnant vegetation at the Dookie and Creswick campuses</t>
        </is>
      </c>
      <c r="E46" s="14" t="inlineStr"/>
      <c r="F46" s="14" t="inlineStr"/>
      <c r="G46" s="14" t="inlineStr"/>
      <c r="H46" s="14" t="inlineStr"/>
      <c r="I46" s="14" t="inlineStr"/>
      <c r="J46" s="14" t="inlineStr"/>
      <c r="K46" s="13" t="inlineStr">
        <is>
          <t>R</t>
        </is>
      </c>
      <c r="L46" s="14" t="inlineStr"/>
      <c r="M46" s="14" t="inlineStr"/>
      <c r="N46" s="14" t="inlineStr"/>
    </row>
    <row r="47" ht="45" customHeight="1">
      <c r="B47" s="12" t="inlineStr">
        <is>
          <t>NB1(c)</t>
        </is>
      </c>
      <c r="C47" s="8" t="inlineStr">
        <is>
          <t>Nature and biodiversity</t>
        </is>
      </c>
      <c r="D47" s="8" t="inlineStr">
        <is>
          <t>Defined quality measurement framework</t>
        </is>
      </c>
      <c r="E47" s="14" t="inlineStr"/>
      <c r="F47" s="14" t="inlineStr"/>
      <c r="G47" s="14" t="inlineStr"/>
      <c r="H47" s="14" t="inlineStr"/>
      <c r="I47" s="14" t="inlineStr"/>
      <c r="J47" s="14" t="inlineStr"/>
      <c r="K47" s="13" t="inlineStr">
        <is>
          <t>R</t>
        </is>
      </c>
      <c r="L47" s="14" t="inlineStr"/>
      <c r="M47" s="14" t="inlineStr"/>
      <c r="N47" s="14" t="inlineStr"/>
    </row>
    <row r="48" ht="45" customHeight="1">
      <c r="B48" s="12" t="inlineStr">
        <is>
          <t>NB1(d)</t>
        </is>
      </c>
      <c r="C48" s="8" t="inlineStr">
        <is>
          <t>Nature and biodiversity</t>
        </is>
      </c>
      <c r="D48" s="8" t="inlineStr">
        <is>
          <t>Defined and quantified campus connectivity</t>
        </is>
      </c>
      <c r="E48" s="14" t="inlineStr"/>
      <c r="F48" s="14" t="inlineStr"/>
      <c r="G48" s="14" t="inlineStr"/>
      <c r="H48" s="14" t="inlineStr"/>
      <c r="I48" s="14" t="inlineStr"/>
      <c r="J48" s="14" t="inlineStr"/>
      <c r="K48" s="13" t="inlineStr">
        <is>
          <t>R</t>
        </is>
      </c>
      <c r="L48" s="14" t="inlineStr"/>
      <c r="M48" s="14" t="inlineStr"/>
      <c r="N48" s="14" t="inlineStr"/>
    </row>
    <row r="49" ht="45" customHeight="1">
      <c r="B49" s="12" t="inlineStr">
        <is>
          <t>NB2(a)</t>
        </is>
      </c>
      <c r="C49" s="8" t="inlineStr">
        <is>
          <t>Nature and biodiversity</t>
        </is>
      </c>
      <c r="D49" s="8" t="inlineStr">
        <is>
          <t>Documented baseline nature footprint analysis</t>
        </is>
      </c>
      <c r="E49" s="14" t="inlineStr"/>
      <c r="F49" s="14" t="inlineStr"/>
      <c r="G49" s="14" t="inlineStr"/>
      <c r="H49" s="14" t="inlineStr"/>
      <c r="I49" s="14" t="inlineStr"/>
      <c r="J49" s="14" t="inlineStr"/>
      <c r="K49" s="14" t="inlineStr"/>
      <c r="L49" s="14" t="inlineStr"/>
      <c r="M49" s="13" t="inlineStr">
        <is>
          <t>R</t>
        </is>
      </c>
      <c r="N49" s="14" t="inlineStr"/>
    </row>
    <row r="50" ht="45" customHeight="1">
      <c r="B50" s="12" t="inlineStr">
        <is>
          <t>NB2(b)</t>
        </is>
      </c>
      <c r="C50" s="8" t="inlineStr">
        <is>
          <t>Nature and biodiversity</t>
        </is>
      </c>
      <c r="D50" s="8" t="inlineStr">
        <is>
          <t>Evidence of established framework to monitor and track supply-chain nature impacts over time</t>
        </is>
      </c>
      <c r="E50" s="14" t="inlineStr"/>
      <c r="F50" s="14" t="inlineStr"/>
      <c r="G50" s="14" t="inlineStr"/>
      <c r="H50" s="14" t="inlineStr"/>
      <c r="I50" s="14" t="inlineStr"/>
      <c r="J50" s="14" t="inlineStr"/>
      <c r="K50" s="13" t="inlineStr">
        <is>
          <t>R</t>
        </is>
      </c>
      <c r="L50" s="14" t="inlineStr"/>
      <c r="M50" s="14" t="inlineStr"/>
      <c r="N50" s="14" t="inlineStr"/>
    </row>
    <row r="51" ht="45" customHeight="1">
      <c r="B51" s="12" t="inlineStr">
        <is>
          <t>NB2(c)</t>
        </is>
      </c>
      <c r="C51" s="8" t="inlineStr">
        <is>
          <t>Nature and biodiversity</t>
        </is>
      </c>
      <c r="D51" s="8" t="inlineStr">
        <is>
          <t>Evidence of prioritised high risk procurement categories or suppliers for nature impact management</t>
        </is>
      </c>
      <c r="E51" s="14" t="inlineStr"/>
      <c r="F51" s="14" t="inlineStr"/>
      <c r="G51" s="14" t="inlineStr"/>
      <c r="H51" s="14" t="inlineStr"/>
      <c r="I51" s="14" t="inlineStr"/>
      <c r="J51" s="13" t="inlineStr">
        <is>
          <t>R</t>
        </is>
      </c>
      <c r="K51" s="13" t="inlineStr">
        <is>
          <t>R</t>
        </is>
      </c>
      <c r="L51" s="14" t="inlineStr"/>
      <c r="M51" s="14" t="inlineStr"/>
      <c r="N51" s="14" t="inlineStr"/>
    </row>
    <row r="52" ht="45" customHeight="1">
      <c r="B52" s="12" t="inlineStr">
        <is>
          <t>AI1(a)</t>
        </is>
      </c>
      <c r="C52" s="8" t="inlineStr">
        <is>
          <t>Responsible AI</t>
        </is>
      </c>
      <c r="D52" s="8" t="inlineStr">
        <is>
          <t>Established measurement of estimated operational impacts and opportunities (eg operational impacts could include energy, water, emissions and intensity measures)</t>
        </is>
      </c>
      <c r="E52" s="14" t="inlineStr"/>
      <c r="F52" s="14" t="inlineStr"/>
      <c r="G52" s="14" t="inlineStr"/>
      <c r="H52" s="14" t="inlineStr"/>
      <c r="I52" s="13" t="inlineStr">
        <is>
          <t>R</t>
        </is>
      </c>
      <c r="J52" s="14" t="inlineStr"/>
      <c r="K52" s="14" t="inlineStr"/>
      <c r="L52" s="13" t="inlineStr">
        <is>
          <t>R</t>
        </is>
      </c>
      <c r="M52" s="14" t="inlineStr"/>
      <c r="N52" s="14" t="inlineStr"/>
    </row>
    <row r="53" ht="45" customHeight="1">
      <c r="B53" s="12" t="inlineStr">
        <is>
          <t>AI1(b)</t>
        </is>
      </c>
      <c r="C53" s="8" t="inlineStr">
        <is>
          <t>Responsible AI</t>
        </is>
      </c>
      <c r="D53" s="8" t="inlineStr">
        <is>
          <t>Case studies of sustainability and AI-related education, research and collaboration activities.</t>
        </is>
      </c>
      <c r="E53" s="14" t="inlineStr"/>
      <c r="F53" s="14" t="inlineStr"/>
      <c r="G53" s="14" t="inlineStr"/>
      <c r="H53" s="14" t="inlineStr"/>
      <c r="I53" s="13" t="inlineStr">
        <is>
          <t>R</t>
        </is>
      </c>
      <c r="J53" s="14" t="inlineStr"/>
      <c r="K53" s="14" t="inlineStr"/>
      <c r="L53" s="13" t="inlineStr">
        <is>
          <t>R</t>
        </is>
      </c>
      <c r="M53" s="14" t="inlineStr"/>
      <c r="N53" s="14" t="inlineStr"/>
    </row>
    <row r="54" ht="45" customHeight="1">
      <c r="B54" s="12" t="inlineStr">
        <is>
          <t>EI1(a)</t>
        </is>
      </c>
      <c r="C54" s="8" t="inlineStr">
        <is>
          <t>Estate and infrastructure</t>
        </is>
      </c>
      <c r="D54" s="8" t="inlineStr">
        <is>
          <t>Evidence of increased maturity of estate and infrastructure planning, development and operations to support the other priority areas in Sustainability 2030</t>
        </is>
      </c>
      <c r="E54" s="14" t="inlineStr"/>
      <c r="F54" s="14" t="inlineStr"/>
      <c r="G54" s="14" t="inlineStr"/>
      <c r="H54" s="14" t="inlineStr"/>
      <c r="I54" s="13" t="inlineStr">
        <is>
          <t>R</t>
        </is>
      </c>
      <c r="J54" s="14" t="inlineStr"/>
      <c r="K54" s="14" t="inlineStr"/>
      <c r="L54" s="14" t="inlineStr"/>
      <c r="M54" s="14" t="inlineStr"/>
      <c r="N54" s="14" t="inlineStr"/>
    </row>
    <row r="55" ht="45" customHeight="1">
      <c r="B55" s="12" t="inlineStr">
        <is>
          <t>EI1(b)</t>
        </is>
      </c>
      <c r="C55" s="8" t="inlineStr">
        <is>
          <t>Estate and infrastructure</t>
        </is>
      </c>
      <c r="D55" s="8" t="inlineStr">
        <is>
          <t>Estimated sustainability impacts of the University’s estate and infrastructure capital plan to inform progress towards emissions reduction targets and other priority areas (to the extent enabled by available information)</t>
        </is>
      </c>
      <c r="E55" s="14" t="inlineStr"/>
      <c r="F55" s="14" t="inlineStr"/>
      <c r="G55" s="14" t="inlineStr"/>
      <c r="H55" s="14" t="inlineStr"/>
      <c r="I55" s="13" t="inlineStr">
        <is>
          <t>R</t>
        </is>
      </c>
      <c r="J55" s="14" t="inlineStr"/>
      <c r="K55" s="14" t="inlineStr"/>
      <c r="L55" s="14" t="inlineStr"/>
      <c r="M55" s="14" t="inlineStr"/>
      <c r="N55" s="14" t="inlineStr"/>
    </row>
    <row r="56" ht="45" customHeight="1">
      <c r="B56" s="12" t="inlineStr">
        <is>
          <t>EI1(c)</t>
        </is>
      </c>
      <c r="C56" s="8" t="inlineStr">
        <is>
          <t>Estate and infrastructure</t>
        </is>
      </c>
      <c r="D56" s="8" t="inlineStr">
        <is>
          <t>Reporting on relevant activities and impacts for the University’s major estate and infrastructure projects and programs aligned with the other priority areas in Sustainability 2030</t>
        </is>
      </c>
      <c r="E56" s="14" t="inlineStr"/>
      <c r="F56" s="14" t="inlineStr"/>
      <c r="G56" s="14" t="inlineStr"/>
      <c r="H56" s="14" t="inlineStr"/>
      <c r="I56" s="13" t="inlineStr">
        <is>
          <t>R</t>
        </is>
      </c>
      <c r="J56" s="14" t="inlineStr"/>
      <c r="K56" s="14" t="inlineStr"/>
      <c r="L56" s="14" t="inlineStr"/>
      <c r="M56" s="14" t="inlineStr"/>
      <c r="N56" s="14" t="inlineStr"/>
    </row>
    <row r="57" ht="45" customHeight="1">
      <c r="B57" s="12" t="inlineStr">
        <is>
          <t>EI1(d)</t>
        </is>
      </c>
      <c r="C57" s="8" t="inlineStr">
        <is>
          <t>Estate and infrastructure</t>
        </is>
      </c>
      <c r="D57" s="8" t="inlineStr">
        <is>
          <t>Evidence of understanding and integration of Indigenous approaches to sustainability in estate planning and development programs and projects.</t>
        </is>
      </c>
      <c r="E57" s="14" t="inlineStr"/>
      <c r="F57" s="14" t="inlineStr"/>
      <c r="G57" s="14" t="inlineStr"/>
      <c r="H57" s="14" t="inlineStr"/>
      <c r="I57" s="13" t="inlineStr">
        <is>
          <t>R</t>
        </is>
      </c>
      <c r="J57" s="14" t="inlineStr"/>
      <c r="K57" s="14" t="inlineStr"/>
      <c r="L57" s="14" t="inlineStr"/>
      <c r="M57" s="14" t="inlineStr"/>
      <c r="N57" s="14" t="inlineStr"/>
    </row>
    <row r="58" ht="45" customHeight="1">
      <c r="B58" s="12" t="inlineStr">
        <is>
          <t>CE1(a)</t>
        </is>
      </c>
      <c r="C58" s="8" t="inlineStr">
        <is>
          <t>Circular economy</t>
        </is>
      </c>
      <c r="D58" s="8" t="inlineStr">
        <is>
          <t>Comparison of year-to-year tonnes of waste (absolute).</t>
        </is>
      </c>
      <c r="E58" s="14" t="inlineStr"/>
      <c r="F58" s="14" t="inlineStr"/>
      <c r="G58" s="14" t="inlineStr"/>
      <c r="H58" s="14" t="inlineStr"/>
      <c r="I58" s="14" t="inlineStr"/>
      <c r="J58" s="14" t="inlineStr"/>
      <c r="K58" s="14" t="inlineStr"/>
      <c r="L58" s="14" t="inlineStr"/>
      <c r="M58" s="14" t="inlineStr"/>
      <c r="N58" s="14" t="inlineStr"/>
    </row>
    <row r="59" ht="45" customHeight="1">
      <c r="B59" s="12" t="inlineStr">
        <is>
          <t>CE2(a)</t>
        </is>
      </c>
      <c r="C59" s="8" t="inlineStr">
        <is>
          <t>Circular economy</t>
        </is>
      </c>
      <c r="D59" s="8" t="inlineStr">
        <is>
          <t>Comparison of year-to-year tonnes of recyclables (absolute).</t>
        </is>
      </c>
      <c r="E59" s="14" t="inlineStr"/>
      <c r="F59" s="14" t="inlineStr"/>
      <c r="G59" s="14" t="inlineStr"/>
      <c r="H59" s="14" t="inlineStr"/>
      <c r="I59" s="14" t="inlineStr"/>
      <c r="J59" s="14" t="inlineStr"/>
      <c r="K59" s="14" t="inlineStr"/>
      <c r="L59" s="14" t="inlineStr"/>
      <c r="M59" s="14" t="inlineStr"/>
      <c r="N59" s="14" t="inlineStr"/>
    </row>
    <row r="60" ht="45" customHeight="1">
      <c r="B60" s="12" t="inlineStr">
        <is>
          <t>RP1(a)</t>
        </is>
      </c>
      <c r="C60" s="8" t="inlineStr">
        <is>
          <t>Responsible procurement</t>
        </is>
      </c>
      <c r="D60" s="8" t="inlineStr">
        <is>
          <t>Case studies of maturity improvement related to responsible procurement process and systems.</t>
        </is>
      </c>
      <c r="E60" s="14" t="inlineStr"/>
      <c r="F60" s="14" t="inlineStr"/>
      <c r="G60" s="14" t="inlineStr"/>
      <c r="H60" s="14" t="inlineStr"/>
      <c r="I60" s="14" t="inlineStr"/>
      <c r="J60" s="13" t="inlineStr">
        <is>
          <t>R</t>
        </is>
      </c>
      <c r="K60" s="14" t="inlineStr"/>
      <c r="L60" s="14" t="inlineStr"/>
      <c r="M60" s="14" t="inlineStr"/>
      <c r="N60" s="14" t="inlineStr"/>
    </row>
    <row r="61" ht="45" customHeight="1">
      <c r="B61" s="12" t="inlineStr">
        <is>
          <t>RP2(a)</t>
        </is>
      </c>
      <c r="C61" s="8" t="inlineStr">
        <is>
          <t>Responsible procurement</t>
        </is>
      </c>
      <c r="D61" s="8" t="inlineStr">
        <is>
          <t>Percentage of Indigenous spend of total addressable procurement spend</t>
        </is>
      </c>
      <c r="E61" s="14" t="inlineStr"/>
      <c r="F61" s="14" t="inlineStr"/>
      <c r="G61" s="14" t="inlineStr"/>
      <c r="H61" s="14" t="inlineStr"/>
      <c r="I61" s="14" t="inlineStr"/>
      <c r="J61" s="14" t="inlineStr"/>
      <c r="K61" s="14" t="inlineStr"/>
      <c r="L61" s="14" t="inlineStr"/>
      <c r="M61" s="14" t="inlineStr"/>
      <c r="N61" s="14" t="inlineStr"/>
    </row>
    <row r="62" ht="45" customHeight="1">
      <c r="B62" s="12" t="inlineStr">
        <is>
          <t>RP2(b)</t>
        </is>
      </c>
      <c r="C62" s="8" t="inlineStr">
        <is>
          <t>Responsible procurement</t>
        </is>
      </c>
      <c r="D62" s="8" t="inlineStr">
        <is>
          <t>Percentage of social spend of total addressable procurement spend.</t>
        </is>
      </c>
      <c r="E62" s="14" t="inlineStr"/>
      <c r="F62" s="14" t="inlineStr"/>
      <c r="G62" s="14" t="inlineStr"/>
      <c r="H62" s="14" t="inlineStr"/>
      <c r="I62" s="14" t="inlineStr"/>
      <c r="J62" s="14" t="inlineStr"/>
      <c r="K62" s="14" t="inlineStr"/>
      <c r="L62" s="14" t="inlineStr"/>
      <c r="M62" s="14" t="inlineStr"/>
      <c r="N62" s="14" t="inlineStr"/>
    </row>
    <row r="63" ht="45" customHeight="1">
      <c r="B63" s="12" t="inlineStr">
        <is>
          <t>MS1(a)</t>
        </is>
      </c>
      <c r="C63" s="8" t="inlineStr">
        <is>
          <t>Modern slavery and human rights</t>
        </is>
      </c>
      <c r="D63" s="8" t="inlineStr">
        <is>
          <t>Annual progress reporting via the Modern Slavery Statement</t>
        </is>
      </c>
      <c r="E63" s="14" t="inlineStr"/>
      <c r="F63" s="14" t="inlineStr"/>
      <c r="G63" s="14" t="inlineStr"/>
      <c r="H63" s="14" t="inlineStr"/>
      <c r="I63" s="13" t="inlineStr">
        <is>
          <t>R</t>
        </is>
      </c>
      <c r="J63" s="13" t="inlineStr">
        <is>
          <t>R</t>
        </is>
      </c>
      <c r="K63" s="14" t="inlineStr"/>
      <c r="L63" s="14" t="inlineStr"/>
      <c r="M63" s="14" t="inlineStr"/>
      <c r="N63" s="14" t="inlineStr"/>
    </row>
    <row r="64" ht="45" customHeight="1">
      <c r="B64" s="12" t="inlineStr">
        <is>
          <t>RI1(a)</t>
        </is>
      </c>
      <c r="C64" s="8" t="inlineStr">
        <is>
          <t>Responsible investments</t>
        </is>
      </c>
      <c r="D64" s="8" t="inlineStr">
        <is>
          <t>Annual monitoring and reporting on the investment portfolio’s net zero transition progress, including tracking the percentage of assets under management (AUM) managed by investment managers aligned with (or committed to) net zero by 2050</t>
        </is>
      </c>
      <c r="E64" s="14" t="inlineStr"/>
      <c r="F64" s="14" t="inlineStr"/>
      <c r="G64" s="14" t="inlineStr"/>
      <c r="H64" s="14" t="inlineStr"/>
      <c r="I64" s="14" t="inlineStr"/>
      <c r="J64" s="14" t="inlineStr"/>
      <c r="K64" s="14" t="inlineStr"/>
      <c r="L64" s="14" t="inlineStr"/>
      <c r="M64" s="14" t="inlineStr"/>
      <c r="N64" s="14" t="inlineStr"/>
    </row>
    <row r="65" ht="45" customHeight="1">
      <c r="B65" s="12" t="inlineStr">
        <is>
          <t>RI1(b)</t>
        </is>
      </c>
      <c r="C65" s="8" t="inlineStr">
        <is>
          <t>Responsible investments</t>
        </is>
      </c>
      <c r="D65" s="8" t="inlineStr">
        <is>
          <t>Continuous improvement of the reporting of the University’s sustainability-related investment profile metrics, could include investment in climate mitigation and transition solutions, and compliance with related obligations (eg UNPRI).</t>
        </is>
      </c>
      <c r="E65" s="14" t="inlineStr"/>
      <c r="F65" s="14" t="inlineStr"/>
      <c r="G65" s="14" t="inlineStr"/>
      <c r="H65" s="14" t="inlineStr"/>
      <c r="I65" s="13" t="inlineStr">
        <is>
          <t>R</t>
        </is>
      </c>
      <c r="J65" s="13" t="inlineStr">
        <is>
          <t>R</t>
        </is>
      </c>
      <c r="K65" s="14" t="inlineStr"/>
      <c r="L65" s="14" t="inlineStr"/>
      <c r="M65" s="14" t="inlineStr"/>
      <c r="N65" s="14" t="inlineStr"/>
    </row>
    <row r="66" ht="45" customHeight="1">
      <c r="B66" s="12" t="inlineStr">
        <is>
          <t>EN1(a)</t>
        </is>
      </c>
      <c r="C66" s="8" t="inlineStr">
        <is>
          <t>Enablers</t>
        </is>
      </c>
      <c r="D66" s="8" t="inlineStr">
        <is>
          <t>Evidence of sustainability outcomes informed by Indigenous knowledges</t>
        </is>
      </c>
      <c r="E66" s="13" t="inlineStr">
        <is>
          <t>R</t>
        </is>
      </c>
      <c r="F66" s="13" t="inlineStr">
        <is>
          <t>R</t>
        </is>
      </c>
      <c r="G66" s="13" t="inlineStr">
        <is>
          <t>R</t>
        </is>
      </c>
      <c r="H66" s="13" t="inlineStr">
        <is>
          <t>R</t>
        </is>
      </c>
      <c r="I66" s="14" t="inlineStr"/>
      <c r="J66" s="14" t="inlineStr"/>
      <c r="K66" s="14" t="inlineStr"/>
      <c r="L66" s="14" t="inlineStr"/>
      <c r="M66" s="14" t="inlineStr"/>
      <c r="N66" s="14" t="inlineStr"/>
    </row>
    <row r="67" ht="45" customHeight="1">
      <c r="B67" s="12" t="inlineStr">
        <is>
          <t>EN1(b)</t>
        </is>
      </c>
      <c r="C67" s="8" t="inlineStr">
        <is>
          <t>Enablers</t>
        </is>
      </c>
      <c r="D67" s="8" t="inlineStr">
        <is>
          <t>Living laboratories enabling applied learning, research and operational sustainability outcomes</t>
        </is>
      </c>
      <c r="E67" s="13" t="inlineStr">
        <is>
          <t>R</t>
        </is>
      </c>
      <c r="F67" s="13" t="inlineStr">
        <is>
          <t>R</t>
        </is>
      </c>
      <c r="G67" s="13" t="inlineStr">
        <is>
          <t>R</t>
        </is>
      </c>
      <c r="H67" s="13" t="inlineStr">
        <is>
          <t>R</t>
        </is>
      </c>
      <c r="I67" s="13" t="inlineStr">
        <is>
          <t>R</t>
        </is>
      </c>
      <c r="J67" s="14" t="inlineStr"/>
      <c r="K67" s="14" t="inlineStr"/>
      <c r="L67" s="14" t="inlineStr"/>
      <c r="M67" s="14" t="inlineStr"/>
      <c r="N67" s="14" t="inlineStr"/>
    </row>
    <row r="68" ht="45" customHeight="1">
      <c r="B68" s="12" t="inlineStr">
        <is>
          <t>EN1(c)</t>
        </is>
      </c>
      <c r="C68" s="8" t="inlineStr">
        <is>
          <t>Enablers</t>
        </is>
      </c>
      <c r="D68" s="8" t="inlineStr">
        <is>
          <t>Coordinated internal engagement and external partnerships contributing to delivery of sustainability outcomes across priority areas.</t>
        </is>
      </c>
      <c r="E68" s="13" t="inlineStr">
        <is>
          <t>R</t>
        </is>
      </c>
      <c r="F68" s="13" t="inlineStr">
        <is>
          <t>R</t>
        </is>
      </c>
      <c r="G68" s="13" t="inlineStr">
        <is>
          <t>R</t>
        </is>
      </c>
      <c r="H68" s="13" t="inlineStr">
        <is>
          <t>R</t>
        </is>
      </c>
      <c r="I68" s="13" t="inlineStr">
        <is>
          <t>R</t>
        </is>
      </c>
      <c r="J68" s="13" t="inlineStr">
        <is>
          <t>R</t>
        </is>
      </c>
      <c r="K68" s="13" t="inlineStr">
        <is>
          <t>R</t>
        </is>
      </c>
      <c r="L68" s="13" t="inlineStr">
        <is>
          <t>R</t>
        </is>
      </c>
      <c r="M68" s="14" t="inlineStr"/>
      <c r="N68" s="14" t="inlineStr"/>
    </row>
    <row r="69" ht="45" customHeight="1">
      <c r="B69" s="12" t="inlineStr">
        <is>
          <t>EN1(d)</t>
        </is>
      </c>
      <c r="C69" s="8" t="inlineStr">
        <is>
          <t>Enablers</t>
        </is>
      </c>
      <c r="D69" s="8" t="inlineStr">
        <is>
          <t>Sustainability objectives integrated into governance and decision‑making processes, supported by transparent reporting.</t>
        </is>
      </c>
      <c r="E69" s="13" t="inlineStr">
        <is>
          <t>R</t>
        </is>
      </c>
      <c r="F69" s="13" t="inlineStr">
        <is>
          <t>R</t>
        </is>
      </c>
      <c r="G69" s="13" t="inlineStr">
        <is>
          <t>R</t>
        </is>
      </c>
      <c r="H69" s="13" t="inlineStr">
        <is>
          <t>R</t>
        </is>
      </c>
      <c r="I69" s="13" t="inlineStr">
        <is>
          <t>R</t>
        </is>
      </c>
      <c r="J69" s="13" t="inlineStr">
        <is>
          <t>R</t>
        </is>
      </c>
      <c r="K69" s="13" t="inlineStr">
        <is>
          <t>R</t>
        </is>
      </c>
      <c r="L69" s="13" t="inlineStr">
        <is>
          <t>R</t>
        </is>
      </c>
      <c r="M69" s="14" t="inlineStr"/>
      <c r="N69" s="14"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P21"/>
  <sheetViews>
    <sheetView showGridLines="0" workbookViewId="0">
      <pane xSplit="4" ySplit="9" topLeftCell="E10" activePane="bottomRight" state="frozen"/>
      <selection pane="topRight"/>
      <selection pane="bottomLeft"/>
      <selection pane="bottomRight" activeCell="A1" sqref="A1"/>
    </sheetView>
  </sheetViews>
  <sheetFormatPr baseColWidth="8" defaultRowHeight="15"/>
  <cols>
    <col width="4" customWidth="1" min="1" max="1"/>
    <col width="6" customWidth="1" min="2" max="2"/>
    <col width="10" customWidth="1" min="3" max="3"/>
    <col width="46" customWidth="1" min="4" max="4"/>
    <col width="16" customWidth="1" min="5" max="5"/>
    <col width="12" customWidth="1" min="6" max="6"/>
    <col width="44" customWidth="1" min="7" max="7"/>
    <col width="12" customWidth="1" min="8" max="8"/>
    <col width="12" customWidth="1" min="9" max="9"/>
    <col width="12" customWidth="1" min="10" max="10"/>
    <col width="16" customWidth="1" min="11" max="11"/>
    <col width="14" customWidth="1" min="12" max="12"/>
    <col width="12" customWidth="1" min="13" max="13"/>
    <col width="16" customWidth="1" min="14" max="14"/>
    <col width="10" customWidth="1" min="15" max="15"/>
    <col width="40" customWidth="1" min="16" max="16"/>
  </cols>
  <sheetData>
    <row r="1">
      <c r="A1" s="1" t="inlineStr">
        <is>
          <t>↑</t>
        </is>
      </c>
      <c r="B1" s="2" t="inlineStr">
        <is>
          <t>End-2026 target status assessment and reporting</t>
        </is>
      </c>
    </row>
    <row r="2">
      <c r="B2" s="3" t="inlineStr">
        <is>
          <t>4. Request tracker</t>
        </is>
      </c>
    </row>
    <row r="4">
      <c r="B4" s="11" t="inlineStr">
        <is>
          <t>Summary</t>
        </is>
      </c>
    </row>
    <row r="5">
      <c r="C5" s="15" t="inlineStr">
        <is>
          <t>Not sent</t>
        </is>
      </c>
      <c r="E5" s="15" t="inlineStr">
        <is>
          <t>Sent</t>
        </is>
      </c>
      <c r="G5" s="15" t="inlineStr">
        <is>
          <t>Chased</t>
        </is>
      </c>
      <c r="I5" s="15" t="inlineStr">
        <is>
          <t>Support meeting</t>
        </is>
      </c>
      <c r="L5" s="15" t="inlineStr">
        <is>
          <t>Response rate</t>
        </is>
      </c>
      <c r="N5" s="15" t="inlineStr">
        <is>
          <t>Owner confirmed</t>
        </is>
      </c>
    </row>
    <row r="6">
      <c r="C6">
        <f>COUNTIF($N$10:$N$21,"Not sent")</f>
        <v/>
      </c>
      <c r="E6">
        <f>COUNTIF($N$10:$N$21,"Sent")</f>
        <v/>
      </c>
      <c r="G6">
        <f>COUNTIF($N$10:$N$21,"Chased")</f>
        <v/>
      </c>
      <c r="I6">
        <f>COUNTIF($N$10:$N$21,"Support meeting")</f>
        <v/>
      </c>
      <c r="L6" s="16">
        <f>IFERROR((COUNTIF($N$10:$N$21,"Received")+COUNTIF($N$10:$N$21,"Under review")+COUNTIF($N$10:$N$21,"Complete"))/(COUNTA($N$10:$N$21)-COUNTIF($N$10:$N$21,"Not required")),0)</f>
        <v/>
      </c>
      <c r="N6">
        <f>COUNTIF($M$10:$M$21,"Yes")&amp;" / "&amp;COUNTA($C$10:$C$21)</f>
        <v/>
      </c>
    </row>
    <row r="7">
      <c r="C7" s="15" t="inlineStr">
        <is>
          <t>Received</t>
        </is>
      </c>
      <c r="E7" s="15" t="inlineStr">
        <is>
          <t>Under review</t>
        </is>
      </c>
      <c r="G7" s="15" t="inlineStr">
        <is>
          <t>Complete</t>
        </is>
      </c>
      <c r="I7" s="15" t="inlineStr">
        <is>
          <t>Not required</t>
        </is>
      </c>
    </row>
    <row r="8">
      <c r="C8">
        <f>COUNTIF($N$10:$N$21,"Received")</f>
        <v/>
      </c>
      <c r="E8">
        <f>COUNTIF($N$10:$N$21,"Under review")</f>
        <v/>
      </c>
      <c r="G8">
        <f>COUNTIF($N$10:$N$21,"Complete")</f>
        <v/>
      </c>
      <c r="I8">
        <f>COUNTIF($N$10:$N$21,"Not required")</f>
        <v/>
      </c>
    </row>
    <row r="9">
      <c r="B9" s="6" t="inlineStr">
        <is>
          <t>#</t>
        </is>
      </c>
      <c r="C9" s="6" t="inlineStr">
        <is>
          <t>Group</t>
        </is>
      </c>
      <c r="D9" s="6" t="inlineStr">
        <is>
          <t>Unit / section</t>
        </is>
      </c>
      <c r="E9" s="6" t="inlineStr">
        <is>
          <t>Key contact</t>
        </is>
      </c>
      <c r="F9" s="6" t="inlineStr">
        <is>
          <t>No. of indicators requested</t>
        </is>
      </c>
      <c r="G9" s="6" t="inlineStr">
        <is>
          <t>Request workbook</t>
        </is>
      </c>
      <c r="H9" s="6" t="inlineStr">
        <is>
          <t>Date sent</t>
        </is>
      </c>
      <c r="I9" s="6" t="inlineStr">
        <is>
          <t>Due date</t>
        </is>
      </c>
      <c r="J9" s="6" t="inlineStr">
        <is>
          <t>Reminder date</t>
        </is>
      </c>
      <c r="K9" s="6" t="inlineStr">
        <is>
          <t>Support meeting offered/held</t>
        </is>
      </c>
      <c r="L9" s="6" t="inlineStr">
        <is>
          <t>Response received</t>
        </is>
      </c>
      <c r="M9" s="6" t="inlineStr">
        <is>
          <t>Owner confirmed</t>
        </is>
      </c>
      <c r="N9" s="6" t="inlineStr">
        <is>
          <t>Status</t>
        </is>
      </c>
      <c r="O9" s="6" t="inlineStr">
        <is>
          <t>Days overdue</t>
        </is>
      </c>
      <c r="P9" s="6" t="inlineStr">
        <is>
          <t>Notes / follow-up</t>
        </is>
      </c>
    </row>
    <row r="10">
      <c r="B10" s="8" t="inlineStr">
        <is>
          <t>F1</t>
        </is>
      </c>
      <c r="C10" s="8" t="inlineStr">
        <is>
          <t>Faculty</t>
        </is>
      </c>
      <c r="D10" s="8" t="inlineStr">
        <is>
          <t>ABP – Faculty of Architecture, Building and Planning</t>
        </is>
      </c>
      <c r="E10" s="8" t="inlineStr">
        <is>
          <t>TBC</t>
        </is>
      </c>
      <c r="F10" s="8" t="n">
        <v>20</v>
      </c>
      <c r="G10" s="8" t="inlineStr">
        <is>
          <t>ABP - end-2026 sustainability reporting request.xlsx</t>
        </is>
      </c>
      <c r="H10" s="17" t="n"/>
      <c r="I10" s="17" t="n">
        <v>46402</v>
      </c>
      <c r="J10" s="17">
        <f>IF(I10="","",I10-7)</f>
        <v/>
      </c>
      <c r="K10" s="8" t="inlineStr"/>
      <c r="L10" s="17" t="n"/>
      <c r="M10" s="8" t="inlineStr"/>
      <c r="N10" s="8" t="inlineStr">
        <is>
          <t>Not sent</t>
        </is>
      </c>
      <c r="O10" s="8">
        <f>IF(OR(I10="",L10&lt;&gt;""),"",MAX(0,TODAY()-I10))</f>
        <v/>
      </c>
      <c r="P10" s="8" t="inlineStr"/>
    </row>
    <row r="11">
      <c r="B11" s="8" t="inlineStr">
        <is>
          <t>F2</t>
        </is>
      </c>
      <c r="C11" s="8" t="inlineStr">
        <is>
          <t>Faculty</t>
        </is>
      </c>
      <c r="D11" s="8" t="inlineStr">
        <is>
          <t>ARTS – Faculty of Arts</t>
        </is>
      </c>
      <c r="E11" s="8" t="inlineStr">
        <is>
          <t>TBC</t>
        </is>
      </c>
      <c r="F11" s="8" t="n">
        <v>20</v>
      </c>
      <c r="G11" s="8" t="inlineStr">
        <is>
          <t>ARTS - end-2026 sustainability reporting request.xlsx</t>
        </is>
      </c>
      <c r="H11" s="17" t="n"/>
      <c r="I11" s="17" t="n">
        <v>46402</v>
      </c>
      <c r="J11" s="17">
        <f>IF(I11="","",I11-7)</f>
        <v/>
      </c>
      <c r="K11" s="8" t="inlineStr"/>
      <c r="L11" s="17" t="n"/>
      <c r="M11" s="8" t="inlineStr"/>
      <c r="N11" s="8" t="inlineStr">
        <is>
          <t>Not sent</t>
        </is>
      </c>
      <c r="O11" s="8">
        <f>IF(OR(I11="",L11&lt;&gt;""),"",MAX(0,TODAY()-I11))</f>
        <v/>
      </c>
      <c r="P11" s="8" t="inlineStr"/>
    </row>
    <row r="12">
      <c r="B12" s="8" t="inlineStr">
        <is>
          <t>F3</t>
        </is>
      </c>
      <c r="C12" s="8" t="inlineStr">
        <is>
          <t>Faculty</t>
        </is>
      </c>
      <c r="D12" s="8" t="inlineStr">
        <is>
          <t>FBE – Faculty of Business and Economics</t>
        </is>
      </c>
      <c r="E12" s="8" t="inlineStr">
        <is>
          <t>TBC</t>
        </is>
      </c>
      <c r="F12" s="8" t="n">
        <v>20</v>
      </c>
      <c r="G12" s="8" t="inlineStr">
        <is>
          <t>FBE - end-2026 sustainability reporting request.xlsx</t>
        </is>
      </c>
      <c r="H12" s="17" t="n"/>
      <c r="I12" s="17" t="n">
        <v>46402</v>
      </c>
      <c r="J12" s="17">
        <f>IF(I12="","",I12-7)</f>
        <v/>
      </c>
      <c r="K12" s="8" t="inlineStr"/>
      <c r="L12" s="17" t="n"/>
      <c r="M12" s="8" t="inlineStr"/>
      <c r="N12" s="8" t="inlineStr">
        <is>
          <t>Not sent</t>
        </is>
      </c>
      <c r="O12" s="8">
        <f>IF(OR(I12="",L12&lt;&gt;""),"",MAX(0,TODAY()-I12))</f>
        <v/>
      </c>
      <c r="P12" s="8" t="inlineStr"/>
    </row>
    <row r="13">
      <c r="B13" s="8" t="inlineStr">
        <is>
          <t>F4</t>
        </is>
      </c>
      <c r="C13" s="8" t="inlineStr">
        <is>
          <t>Faculty</t>
        </is>
      </c>
      <c r="D13" s="8" t="inlineStr">
        <is>
          <t>SCI – Faculty of Science</t>
        </is>
      </c>
      <c r="E13" s="8" t="inlineStr">
        <is>
          <t>TBC</t>
        </is>
      </c>
      <c r="F13" s="8" t="n">
        <v>20</v>
      </c>
      <c r="G13" s="8" t="inlineStr">
        <is>
          <t>SCI - end-2026 sustainability reporting request.xlsx</t>
        </is>
      </c>
      <c r="H13" s="17" t="n"/>
      <c r="I13" s="17" t="n">
        <v>46402</v>
      </c>
      <c r="J13" s="17">
        <f>IF(I13="","",I13-7)</f>
        <v/>
      </c>
      <c r="K13" s="8" t="inlineStr"/>
      <c r="L13" s="17" t="n"/>
      <c r="M13" s="8" t="inlineStr"/>
      <c r="N13" s="8" t="inlineStr">
        <is>
          <t>Not sent</t>
        </is>
      </c>
      <c r="O13" s="8">
        <f>IF(OR(I13="",L13&lt;&gt;""),"",MAX(0,TODAY()-I13))</f>
        <v/>
      </c>
      <c r="P13" s="8" t="inlineStr"/>
    </row>
    <row r="14">
      <c r="B14" s="8" t="inlineStr">
        <is>
          <t>C1</t>
        </is>
      </c>
      <c r="C14" s="8" t="inlineStr">
        <is>
          <t>Central</t>
        </is>
      </c>
      <c r="D14" s="8" t="inlineStr">
        <is>
          <t>CI&amp;S – Estate Planning &amp; Development (TBC: confirm with Gerard)</t>
        </is>
      </c>
      <c r="E14" s="8" t="inlineStr">
        <is>
          <t>TBC</t>
        </is>
      </c>
      <c r="F14" s="8" t="n">
        <v>5</v>
      </c>
      <c r="G14" s="8" t="inlineStr">
        <is>
          <t>CIandS - end-2026 sustainability reporting request.xlsx</t>
        </is>
      </c>
      <c r="H14" s="17" t="n"/>
      <c r="I14" s="17" t="n">
        <v>46402</v>
      </c>
      <c r="J14" s="17">
        <f>IF(I14="","",I14-7)</f>
        <v/>
      </c>
      <c r="K14" s="8" t="inlineStr"/>
      <c r="L14" s="17" t="n"/>
      <c r="M14" s="8" t="inlineStr"/>
      <c r="N14" s="8" t="inlineStr">
        <is>
          <t>Not sent</t>
        </is>
      </c>
      <c r="O14" s="8">
        <f>IF(OR(I14="",L14&lt;&gt;""),"",MAX(0,TODAY()-I14))</f>
        <v/>
      </c>
      <c r="P14" s="8" t="inlineStr"/>
    </row>
    <row r="15">
      <c r="B15" s="8" t="inlineStr">
        <is>
          <t>C2</t>
        </is>
      </c>
      <c r="C15" s="8" t="inlineStr">
        <is>
          <t>Central</t>
        </is>
      </c>
      <c r="D15" s="8" t="inlineStr">
        <is>
          <t>CI&amp;S – Sustainability Strategy (incl. CLLAP)</t>
        </is>
      </c>
      <c r="E15" s="8" t="inlineStr">
        <is>
          <t>TBC</t>
        </is>
      </c>
      <c r="F15" s="8" t="n">
        <v>17</v>
      </c>
      <c r="G15" s="8" t="inlineStr">
        <is>
          <t>CIandS - end-2026 sustainability reporting request.xlsx</t>
        </is>
      </c>
      <c r="H15" s="17" t="n"/>
      <c r="I15" s="17" t="n">
        <v>46402</v>
      </c>
      <c r="J15" s="17">
        <f>IF(I15="","",I15-7)</f>
        <v/>
      </c>
      <c r="K15" s="8" t="inlineStr"/>
      <c r="L15" s="17" t="n"/>
      <c r="M15" s="8" t="inlineStr"/>
      <c r="N15" s="8" t="inlineStr">
        <is>
          <t>Not sent</t>
        </is>
      </c>
      <c r="O15" s="8">
        <f>IF(OR(I15="",L15&lt;&gt;""),"",MAX(0,TODAY()-I15))</f>
        <v/>
      </c>
      <c r="P15" s="8" t="inlineStr"/>
    </row>
    <row r="16">
      <c r="B16" s="8" t="inlineStr">
        <is>
          <t>C3</t>
        </is>
      </c>
      <c r="C16" s="8" t="inlineStr">
        <is>
          <t>Central</t>
        </is>
      </c>
      <c r="D16" s="8" t="inlineStr">
        <is>
          <t>CFOG – Procurement</t>
        </is>
      </c>
      <c r="E16" s="8" t="inlineStr">
        <is>
          <t>TBC</t>
        </is>
      </c>
      <c r="F16" s="8" t="n">
        <v>6</v>
      </c>
      <c r="G16" s="8" t="inlineStr">
        <is>
          <t>CFOG - end-2026 sustainability reporting request.xlsx</t>
        </is>
      </c>
      <c r="H16" s="17" t="n"/>
      <c r="I16" s="17" t="n">
        <v>46402</v>
      </c>
      <c r="J16" s="17">
        <f>IF(I16="","",I16-7)</f>
        <v/>
      </c>
      <c r="K16" s="8" t="inlineStr"/>
      <c r="L16" s="17" t="n"/>
      <c r="M16" s="8" t="inlineStr"/>
      <c r="N16" s="8" t="inlineStr">
        <is>
          <t>Not sent</t>
        </is>
      </c>
      <c r="O16" s="8">
        <f>IF(OR(I16="",L16&lt;&gt;""),"",MAX(0,TODAY()-I16))</f>
        <v/>
      </c>
      <c r="P16" s="8" t="inlineStr"/>
    </row>
    <row r="17">
      <c r="B17" s="8" t="inlineStr">
        <is>
          <t>C4</t>
        </is>
      </c>
      <c r="C17" s="8" t="inlineStr">
        <is>
          <t>Central</t>
        </is>
      </c>
      <c r="D17" s="8" t="inlineStr">
        <is>
          <t>CFOG – Treasury &amp; Investments</t>
        </is>
      </c>
      <c r="E17" s="8" t="inlineStr">
        <is>
          <t>TBC</t>
        </is>
      </c>
      <c r="F17" s="8" t="n">
        <v>1</v>
      </c>
      <c r="G17" s="8" t="inlineStr">
        <is>
          <t>CFOG - end-2026 sustainability reporting request.xlsx</t>
        </is>
      </c>
      <c r="H17" s="17" t="n"/>
      <c r="I17" s="17" t="n">
        <v>46402</v>
      </c>
      <c r="J17" s="17">
        <f>IF(I17="","",I17-7)</f>
        <v/>
      </c>
      <c r="K17" s="8" t="inlineStr"/>
      <c r="L17" s="17" t="n"/>
      <c r="M17" s="8" t="inlineStr"/>
      <c r="N17" s="8" t="inlineStr">
        <is>
          <t>Not sent</t>
        </is>
      </c>
      <c r="O17" s="8">
        <f>IF(OR(I17="",L17&lt;&gt;""),"",MAX(0,TODAY()-I17))</f>
        <v/>
      </c>
      <c r="P17" s="8" t="inlineStr"/>
    </row>
    <row r="18">
      <c r="B18" s="8" t="inlineStr">
        <is>
          <t>C5</t>
        </is>
      </c>
      <c r="C18" s="8" t="inlineStr">
        <is>
          <t>Central</t>
        </is>
      </c>
      <c r="D18" s="8" t="inlineStr">
        <is>
          <t>ESG – Campus Operations &amp; Sustainability Delivery</t>
        </is>
      </c>
      <c r="E18" s="8" t="inlineStr">
        <is>
          <t>TBC</t>
        </is>
      </c>
      <c r="F18" s="8" t="n">
        <v>7</v>
      </c>
      <c r="G18" s="8" t="inlineStr">
        <is>
          <t>ESG - end-2026 sustainability reporting request.xlsx</t>
        </is>
      </c>
      <c r="H18" s="17" t="n"/>
      <c r="I18" s="17" t="n">
        <v>46402</v>
      </c>
      <c r="J18" s="17">
        <f>IF(I18="","",I18-7)</f>
        <v/>
      </c>
      <c r="K18" s="8" t="inlineStr"/>
      <c r="L18" s="17" t="n"/>
      <c r="M18" s="8" t="inlineStr"/>
      <c r="N18" s="8" t="inlineStr">
        <is>
          <t>Not sent</t>
        </is>
      </c>
      <c r="O18" s="8">
        <f>IF(OR(I18="",L18&lt;&gt;""),"",MAX(0,TODAY()-I18))</f>
        <v/>
      </c>
      <c r="P18" s="8" t="inlineStr"/>
    </row>
    <row r="19">
      <c r="B19" s="8" t="inlineStr">
        <is>
          <t>C6</t>
        </is>
      </c>
      <c r="C19" s="8" t="inlineStr">
        <is>
          <t>Central</t>
        </is>
      </c>
      <c r="D19" s="8" t="inlineStr">
        <is>
          <t>CIOG – Responsible AI &amp; digital</t>
        </is>
      </c>
      <c r="E19" s="8" t="inlineStr">
        <is>
          <t>TBC</t>
        </is>
      </c>
      <c r="F19" s="8" t="n">
        <v>4</v>
      </c>
      <c r="G19" s="8" t="inlineStr">
        <is>
          <t>CIOG - end-2026 sustainability reporting request.xlsx</t>
        </is>
      </c>
      <c r="H19" s="17" t="n"/>
      <c r="I19" s="17" t="n">
        <v>46402</v>
      </c>
      <c r="J19" s="17">
        <f>IF(I19="","",I19-7)</f>
        <v/>
      </c>
      <c r="K19" s="8" t="inlineStr"/>
      <c r="L19" s="17" t="n"/>
      <c r="M19" s="8" t="inlineStr"/>
      <c r="N19" s="8" t="inlineStr">
        <is>
          <t>Not sent</t>
        </is>
      </c>
      <c r="O19" s="8">
        <f>IF(OR(I19="",L19&lt;&gt;""),"",MAX(0,TODAY()-I19))</f>
        <v/>
      </c>
      <c r="P19" s="8" t="inlineStr"/>
    </row>
    <row r="20">
      <c r="B20" s="8" t="inlineStr">
        <is>
          <t>C7</t>
        </is>
      </c>
      <c r="C20" s="8" t="inlineStr">
        <is>
          <t>Central</t>
        </is>
      </c>
      <c r="D20" s="8" t="inlineStr">
        <is>
          <t>MRE – Research (incl. MBI – TBC)</t>
        </is>
      </c>
      <c r="E20" s="8" t="inlineStr">
        <is>
          <t>TBC</t>
        </is>
      </c>
      <c r="F20" s="8" t="n">
        <v>2</v>
      </c>
      <c r="G20" s="8" t="inlineStr">
        <is>
          <t>MRE - end-2026 sustainability reporting request.xlsx</t>
        </is>
      </c>
      <c r="H20" s="17" t="n"/>
      <c r="I20" s="17" t="n">
        <v>46402</v>
      </c>
      <c r="J20" s="17">
        <f>IF(I20="","",I20-7)</f>
        <v/>
      </c>
      <c r="K20" s="8" t="inlineStr"/>
      <c r="L20" s="17" t="n"/>
      <c r="M20" s="8" t="inlineStr"/>
      <c r="N20" s="8" t="inlineStr">
        <is>
          <t>Not sent</t>
        </is>
      </c>
      <c r="O20" s="8">
        <f>IF(OR(I20="",L20&lt;&gt;""),"",MAX(0,TODAY()-I20))</f>
        <v/>
      </c>
      <c r="P20" s="8" t="inlineStr"/>
    </row>
    <row r="21">
      <c r="B21" s="8" t="inlineStr">
        <is>
          <t>C8</t>
        </is>
      </c>
      <c r="C21" s="8" t="inlineStr">
        <is>
          <t>Central</t>
        </is>
      </c>
      <c r="D21" s="8" t="inlineStr">
        <is>
          <t>Legal &amp; Risk – Risk &amp; resilience</t>
        </is>
      </c>
      <c r="E21" s="8" t="inlineStr">
        <is>
          <t>TBC</t>
        </is>
      </c>
      <c r="F21" s="8" t="n">
        <v>1</v>
      </c>
      <c r="G21" s="8" t="inlineStr">
        <is>
          <t>LandR - end-2026 sustainability reporting request.xlsx</t>
        </is>
      </c>
      <c r="H21" s="17" t="n"/>
      <c r="I21" s="17" t="n">
        <v>46402</v>
      </c>
      <c r="J21" s="17">
        <f>IF(I21="","",I21-7)</f>
        <v/>
      </c>
      <c r="K21" s="8" t="inlineStr"/>
      <c r="L21" s="17" t="n"/>
      <c r="M21" s="8" t="inlineStr"/>
      <c r="N21" s="8" t="inlineStr">
        <is>
          <t>Not sent</t>
        </is>
      </c>
      <c r="O21" s="8">
        <f>IF(OR(I21="",L21&lt;&gt;""),"",MAX(0,TODAY()-I21))</f>
        <v/>
      </c>
      <c r="P21" s="8" t="inlineStr"/>
    </row>
  </sheetData>
  <dataValidations count="2">
    <dataValidation sqref="N10:N21" showDropDown="0" showInputMessage="0" showErrorMessage="0" allowBlank="1" errorTitle="Invalid entry" error="Please select from the dropdown" type="list">
      <formula1>=Lists!$D$2:$D$9</formula1>
    </dataValidation>
    <dataValidation sqref="M10:M21" showDropDown="0" showInputMessage="0" showErrorMessage="0" allowBlank="1" errorTitle="Invalid entry" error="Please select from the dropdown" type="list">
      <formula1>=Lists!$E$2:$E$4</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0"/>
    <pageSetUpPr/>
  </sheetPr>
  <dimension ref="A1:R111"/>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1" customWidth="1" min="8" max="8"/>
    <col hidden="1" outlineLevel="1" width="16" customWidth="1" min="9" max="9"/>
    <col hidden="1" outlineLevel="1" width="50" customWidth="1" min="10" max="10"/>
    <col hidden="1" outlineLevel="1" width="24" customWidth="1" min="11" max="11"/>
    <col width="22" customWidth="1" min="12" max="12"/>
    <col width="48" customWidth="1" min="13" max="13"/>
    <col width="48" customWidth="1" min="14" max="14"/>
    <col width="30" customWidth="1" min="15" max="15"/>
    <col width="30" customWidth="1" min="16" max="16"/>
    <col width="20" customWidth="1" min="17" max="17"/>
    <col width="24" customWidth="1" min="18" max="18"/>
  </cols>
  <sheetData>
    <row r="1">
      <c r="A1" s="1" t="inlineStr">
        <is>
          <t>↑</t>
        </is>
      </c>
      <c r="B1" s="2" t="inlineStr">
        <is>
          <t>End-2026 target status assessment and reporting</t>
        </is>
      </c>
    </row>
    <row r="2">
      <c r="B2" s="3" t="inlineStr">
        <is>
          <t>Faculties</t>
        </is>
      </c>
    </row>
    <row r="3">
      <c r="B3" s="9" t="inlineStr">
        <is>
          <t>Consolidated responses – paste from returned request workbooks (identical column layout). Click [+] above Columns H–K for end-2025 responses.</t>
        </is>
      </c>
    </row>
    <row r="5">
      <c r="B5" s="18" t="inlineStr">
        <is>
          <t>1.1  ABP – Faculty of Architecture, Building and Planning</t>
        </is>
      </c>
    </row>
    <row r="7">
      <c r="C7" s="19" t="inlineStr">
        <is>
          <t>Sustainability 2030 target and indicator</t>
        </is>
      </c>
      <c r="H7" s="19" t="inlineStr">
        <is>
          <t>End-2025 reporting (click the ref to see your full SR25 response; [+] above expands a summary)</t>
        </is>
      </c>
      <c r="L7" s="20" t="inlineStr">
        <is>
          <t>End-2026 reporting (PLEASE COMPLETE THIS SECTION)</t>
        </is>
      </c>
    </row>
    <row r="8">
      <c r="B8" s="6" t="inlineStr">
        <is>
          <t>Ref</t>
        </is>
      </c>
      <c r="C8" s="6" t="inlineStr">
        <is>
          <t>Priority area</t>
        </is>
      </c>
      <c r="D8" s="6" t="inlineStr">
        <is>
          <t>Sustainability 2030 target</t>
        </is>
      </c>
      <c r="E8" s="6" t="inlineStr">
        <is>
          <t>Indicator</t>
        </is>
      </c>
      <c r="F8" s="6" t="inlineStr">
        <is>
          <t>2026 Reporting request</t>
        </is>
      </c>
      <c r="G8" s="6" t="inlineStr">
        <is>
          <t>How SST will use this data</t>
        </is>
      </c>
      <c r="H8" s="6" t="inlineStr">
        <is>
          <t>Related SR25 ref</t>
        </is>
      </c>
      <c r="I8" s="6" t="inlineStr">
        <is>
          <t>End-2025 confirmed status</t>
        </is>
      </c>
      <c r="J8" s="6" t="inlineStr">
        <is>
          <t>End-2025 reporting response</t>
        </is>
      </c>
      <c r="K8" s="6" t="inlineStr">
        <is>
          <t>Links and supporting information</t>
        </is>
      </c>
      <c r="L8" s="21" t="inlineStr">
        <is>
          <t>Confirm end-2026 target status</t>
        </is>
      </c>
      <c r="M8" s="21" t="inlineStr">
        <is>
          <t>OPTION 1:  Target-level reporting (Column D)</t>
        </is>
      </c>
      <c r="N8" s="21" t="inlineStr">
        <is>
          <t>OPTION 2:  Indicator level reporting (Column E/F)</t>
        </is>
      </c>
      <c r="O8" s="21" t="inlineStr">
        <is>
          <t>Supporting information/comments</t>
        </is>
      </c>
      <c r="P8" s="21" t="inlineStr">
        <is>
          <t>Data source and limitations</t>
        </is>
      </c>
      <c r="Q8" s="21" t="inlineStr">
        <is>
          <t>Data owner confirms information is accurate</t>
        </is>
      </c>
      <c r="R8" s="21" t="inlineStr">
        <is>
          <t>Confirmed by (name, role, date)</t>
        </is>
      </c>
    </row>
    <row r="9">
      <c r="B9" s="22" t="inlineStr"/>
      <c r="C9" s="22" t="inlineStr"/>
      <c r="D9" s="22" t="inlineStr"/>
      <c r="E9" s="22" t="inlineStr"/>
      <c r="F9" s="22" t="inlineStr"/>
      <c r="G9" s="22" t="inlineStr"/>
      <c r="H9" s="22" t="inlineStr"/>
      <c r="I9" s="22" t="inlineStr"/>
      <c r="J9" s="22" t="inlineStr"/>
      <c r="K9" s="22" t="inlineStr"/>
      <c r="L9" s="22" t="inlineStr">
        <is>
          <t>(Met or exceeded; partially met; not met; not yet started)</t>
        </is>
      </c>
      <c r="M9" s="22" t="inlineStr">
        <is>
          <t>Provide further evidence of target status assessment in the form of:
A general update on activities in relation to the overarching target (Column D)</t>
        </is>
      </c>
      <c r="N9" s="22" t="inlineStr">
        <is>
          <t>Provide further evidence of target status assessment in the form of:
Data and commentary in direct response to the reporting request (Column F)</t>
        </is>
      </c>
      <c r="O9" s="22" t="inlineStr">
        <is>
          <t>Provide any additional information to support the target status assessment (e.g. links, images, rationale for selection of target status)</t>
        </is>
      </c>
      <c r="P9" s="22" t="inlineStr">
        <is>
          <t>Where did this information come from (system, report, survey, person)? Note any gaps or limitations.</t>
        </is>
      </c>
      <c r="Q9" s="22" t="inlineStr">
        <is>
          <t>Select 'Yes' to confirm the information provided is accurate and can be used for reporting</t>
        </is>
      </c>
      <c r="R9" s="22" t="inlineStr">
        <is>
          <t>Name, role and date of the person confirming</t>
        </is>
      </c>
    </row>
    <row r="10" ht="150" customHeight="1">
      <c r="B10" s="7" t="inlineStr">
        <is>
          <t>EE1(a)</t>
        </is>
      </c>
      <c r="C10" s="12" t="inlineStr">
        <is>
          <t>Exceptional education</t>
        </is>
      </c>
      <c r="D10" s="12" t="inlineStr">
        <is>
          <t>Provide our students with learning experiences that help them build the knowledge, skills and relationships to lead change for sustainable societies.</t>
        </is>
      </c>
      <c r="E10" s="12" t="inlineStr">
        <is>
          <t>Evidence of innovative approaches to sustainability teaching and learning</t>
        </is>
      </c>
      <c r="F10" s="8" t="inlineStr">
        <is>
          <t>In end-2025 reporting your faculty reported on the related SP2030 target 4a(ii) and rated it 'Partially met' (see Column J – click [+] above Columns I–K). Please build on this rather than repeating it, focusing on what is new in 2026.
Please provide one or two examples from 2026 of innovative approaches your faculty has used to embed sustainability in teaching and learning (e.g. new or redesigned subjects, curriculum design, pedagogies, assessment approaches or learning resources). Include links to subject pages or resources where available.
A full list of subjects is not required.</t>
        </is>
      </c>
      <c r="G10" s="8" t="inlineStr">
        <is>
          <t>We will collate examples of innovative sustainability teaching and learning across faculties to inform the Exceptional education section of the 2026 Sustainability Report, and select one or two for short case studies.</t>
        </is>
      </c>
      <c r="H10" s="8" t="inlineStr">
        <is>
          <t>4a(ii)</t>
        </is>
      </c>
      <c r="I10" s="8" t="inlineStr">
        <is>
          <t>Partially met</t>
        </is>
      </c>
      <c r="J10" s="8" t="inlineStr">
        <is>
          <t>The Faculty has continued to make substantial and discipline-wide progress in embedding sustainability into the curriculum in ways that extend well beyond baseline requirements, ensuring that students critically engage with both the beneficial and harmful impacts of the built environment on environmental and human systems.
A central mechanism for this work in 2025 has been the forward planning and strategic renewal of all Master’s programs across the Faculty, led by Professor Dan Hill under the Designing Futures strategy. This process goes beyond incremental subject updates and instead focuses on holistic program-level reform, explicitly positioning sustainability as a core organising principle rather than an add-on topic.
In practice, this has involved structured, discipline-specific workshops bringing together all academic staff within each program to reflect on:
- the current state of sustainability integration across subjects,
- emerging societal, environmental and industry challenges,
- the skills and capabilities graduates will require to respond responsibly and effectively,
- how sustainability is communicated, scaffolded and reinforced across the program.
A recent example is the Master of Construction Management, where a half-day, facilitated workshop brought together the full academic teaching team to collectively review the program’s direction. Guided by Professor Hill, the session examined course narratives, subject sequencing, learning outcomes and focus areas, with particular attention to how issues such as embodied carbon, circular construction, climate risk, systems thinking and ethical responsibility are integrated throughout the degree. The outcome of this process is a clearer, more coherent approach to sustainability that is embedded across core and specialist subjects, rather than confined to standalone units.
Complementing this program-level work, the Faculty has continued the development of two new sustainability-focused subjects—one at undergraduate level and one at graduate level—both designed to foster interdisciplinary, applied engagement with climate and sustainability challenges. Ongoing curriculum mapping across programs further supports this effort by identifying sustainability-rich learning pathways and informing both subject development and student advising.
Together, these initiatives demonstrate a deliberate and sustained commitment to embedding sustainability deeply and coherently across the curriculum, ensuring that graduates across all disciplines develop a critical understanding of the environmental and human systems they shape through professional practice.</t>
        </is>
      </c>
      <c r="K10" s="8" t="inlineStr"/>
      <c r="L10" s="8" t="n"/>
      <c r="M10" s="8" t="n"/>
      <c r="N10" s="8" t="n"/>
      <c r="O10" s="8" t="n"/>
      <c r="P10" s="8" t="n"/>
      <c r="Q10" s="8" t="n"/>
      <c r="R10" s="8" t="n"/>
    </row>
    <row r="11" ht="150" customHeight="1">
      <c r="B11" s="7" t="inlineStr">
        <is>
          <t>EE1(b)</t>
        </is>
      </c>
      <c r="C11" s="12" t="inlineStr">
        <is>
          <t>Exceptional education</t>
        </is>
      </c>
      <c r="D11" s="12" t="inlineStr">
        <is>
          <t>Provide our students with learning experiences that help them build the knowledge, skills and relationships to lead change for sustainable societies.</t>
        </is>
      </c>
      <c r="E11" s="12" t="inlineStr">
        <is>
          <t>Pilots of possible approaches for understanding and developing students’ sustainability self-efficacy</t>
        </is>
      </c>
      <c r="F11" s="8" t="inlineStr">
        <is>
          <t>Has your faculty piloted or trialled any approach in 2026 to understand or build students' confidence and capability to act on sustainability (sustainability self-efficacy)? If yes, briefly describe the approach, participating cohort, what was learned and next steps. If not, please respond 'none in 2026' – this is a new indicator and a nil response is useful.
We are aware of the Sustainability Strengths Compass Living Lab project (CLLAP) and will collect it separately.</t>
        </is>
      </c>
      <c r="G11" s="8" t="inlineStr">
        <is>
          <t>This is a new indicator. We will use responses to establish a baseline of how (and whether) faculties are understanding student sustainability self-efficacy, and report on early pilots in the 2026 Sustainability Report. A nil response is useful to us.</t>
        </is>
      </c>
      <c r="H11" s="8" t="inlineStr">
        <is>
          <t>N/A – new indicator</t>
        </is>
      </c>
      <c r="I11" s="8" t="inlineStr"/>
      <c r="J11" s="8" t="inlineStr"/>
      <c r="K11" s="8" t="inlineStr"/>
      <c r="L11" s="8" t="n"/>
      <c r="M11" s="8" t="n"/>
      <c r="N11" s="8" t="n"/>
      <c r="O11" s="8" t="n"/>
      <c r="P11" s="8" t="n"/>
      <c r="Q11" s="8" t="n"/>
      <c r="R11" s="8" t="n"/>
    </row>
    <row r="12" ht="150" customHeight="1">
      <c r="B12" s="7" t="inlineStr">
        <is>
          <t>EE1(c)</t>
        </is>
      </c>
      <c r="C12" s="12" t="inlineStr">
        <is>
          <t>Exceptional education</t>
        </is>
      </c>
      <c r="D12" s="12" t="inlineStr">
        <is>
          <t>Provide our students with learning experiences that help them build the knowledge, skills and relationships to lead change for sustainable societies.</t>
        </is>
      </c>
      <c r="E12" s="12" t="inlineStr">
        <is>
          <t>Evidence of sustainability focused experiential and co curricular learning (eg Wattle Fellowship; Melbourne Plus)</t>
        </is>
      </c>
      <c r="F12" s="8" t="inlineStr">
        <is>
          <t>Please list any sustainability-focused experiential or co-curricular learning opportunities your faculty offered or supported in 2026 (e.g. industry or community projects, fieldwork, internships, student challenges), with approximate student participation where known and a one-line description of outcomes.
We will collect Wattle Fellowship and Melbourne Plus information centrally – please only include these if your faculty ran a specific activity.</t>
        </is>
      </c>
      <c r="G12" s="8" t="inlineStr">
        <is>
          <t>We will combine faculty examples with central Wattle Fellowship and Melbourne Plus data to report on the range and reach of sustainability-focused experiential and co-curricular learning across the University.</t>
        </is>
      </c>
      <c r="H12" s="8" t="inlineStr">
        <is>
          <t>N/A – new indicator</t>
        </is>
      </c>
      <c r="I12" s="8" t="inlineStr"/>
      <c r="J12" s="8" t="inlineStr"/>
      <c r="K12" s="8" t="inlineStr"/>
      <c r="L12" s="8" t="n"/>
      <c r="M12" s="8" t="n"/>
      <c r="N12" s="8" t="n"/>
      <c r="O12" s="8" t="n"/>
      <c r="P12" s="8" t="n"/>
      <c r="Q12" s="8" t="n"/>
      <c r="R12" s="8" t="n"/>
    </row>
    <row r="13" ht="150" customHeight="1">
      <c r="B13" s="7" t="inlineStr">
        <is>
          <t>EE1(d)</t>
        </is>
      </c>
      <c r="C13" s="12" t="inlineStr">
        <is>
          <t>Exceptional education</t>
        </is>
      </c>
      <c r="D13" s="12" t="inlineStr">
        <is>
          <t>Provide our students with learning experiences that help them build the knowledge, skills and relationships to lead change for sustainable societies.</t>
        </is>
      </c>
      <c r="E13" s="12" t="inlineStr">
        <is>
          <t>Alumni profiles demonstrating how graduates contribute to sustainability through their careers or communities.</t>
        </is>
      </c>
      <c r="F13" s="8" t="inlineStr">
        <is>
          <t>In end-2025 reporting your faculty reported on the related SP2030 target 4b(i) and rated it 'Partially met' (see Column J – click [+] above Columns I–K). Please build on this rather than repeating it, focusing on what is new in 2026.
Please nominate up to two alumni from your faculty whose careers or community work demonstrate how they apply sustainability knowledge and skills (name, course and graduating year, a short summary, a link to a profile if available, and whether consent to be featured is likely). If your faculty tracks sustainability-related graduate outcomes in any way, please briefly describe how.</t>
        </is>
      </c>
      <c r="G13" s="8" t="inlineStr">
        <is>
          <t>We will use nominated alumni to develop short graduate profiles for the 2026 Sustainability Report (subject to consent), and record any faculty approaches to tracking graduate outcomes to inform how this indicator is measured from 2027.</t>
        </is>
      </c>
      <c r="H13" s="8" t="inlineStr">
        <is>
          <t>4b(i)</t>
        </is>
      </c>
      <c r="I13" s="8" t="inlineStr">
        <is>
          <t>Partially met</t>
        </is>
      </c>
      <c r="J13" s="8" t="inlineStr">
        <is>
          <t>The Faculty recognises the importance of understanding how graduates develop the capabilities required to shape, lead and succeed in sustainable societies. At present, however, there is no single quantitative metric that adequately captures graduate sustainability capability across the breadth and depth of the Faculty’s programs.
While subject completions with sustainability-related content are sometimes used as a proxy indicator, the Faculty continues to view this as a limited and potentially misleading measure. Sustainability capability at ABP is increasingly developed through integrated curricula, studio-based learning, project work, and practice-oriented engagement, where sustainability is embedded in learning outcomes, assessment criteria, and decision-making processes rather than delivered as discrete content that can be easily counted.
In 2025, the Faculty has focused on strengthening the conditions through which graduate sustainability capability is developed, rather than prematurely formalising narrow metrics. These conditions include:
- Program-level curriculum renewal and forward planning, particularly across Master’s programs, where sustainability is being positioned as a core professional capability tied to leadership, systems thinking, ethical responsibility, and decision-making under uncertainty.
- Authentic, practice-facing learning experiences, including studios, applied research projects, and design-make activities that require students to engage directly with issues such as embodied carbon, circular material flows, climate risk, and environmental performance.
- Co-curricular and non-formal learning opportunities, such as sustainability-focused workshops delivered alongside major events (e.g. ASA2025), where students and early-career researchers build practical skills in environmental sensing, life cycle assessment, and data-informed sustainability decision-making.
- Recognition and visibility of sustainability leadership, including student engagement within Sustainability Award–related initiatives and Living Lab projects, which model leadership pathways and professional norms around sustainability.
The Faculty acknowledges that these outcomes are not yet systematically captured through a formal reporting framework. Over time, ABP intends to develop more meaningful indicators of graduate sustainability capability, potentially combining curriculum mapping, assessment alignment, graduate destination insights, and qualitative exemplars of student work. This will support more robust reporting in future Sustainability Plan refresh cycles, while ensuring that measurement aligns with the complexity and integrated nature of sustainability education within the built environment disciplines.</t>
        </is>
      </c>
      <c r="K13" s="8" t="inlineStr"/>
      <c r="L13" s="8" t="n"/>
      <c r="M13" s="8" t="n"/>
      <c r="N13" s="8" t="n"/>
      <c r="O13" s="8" t="n"/>
      <c r="P13" s="8" t="n"/>
      <c r="Q13" s="8" t="n"/>
      <c r="R13" s="8" t="n"/>
    </row>
    <row r="14" ht="150" customHeight="1">
      <c r="B14" s="7" t="inlineStr">
        <is>
          <t>TR1(a)</t>
        </is>
      </c>
      <c r="C14" s="12" t="inlineStr">
        <is>
          <t>Transformational research</t>
        </is>
      </c>
      <c r="D14" s="12" t="inlineStr">
        <is>
          <t>Utilise the expertise of the University’s researchers through mutually beneficial partnerships to help address the University’s operational sustainability challenges.</t>
        </is>
      </c>
      <c r="E14" s="12" t="inlineStr">
        <is>
          <t>Expert-reviewed evidence of researchers contributing to operational sustainability priorities through partnerships, advisory input, living labs, applied projects or decision-support</t>
        </is>
      </c>
      <c r="F14" s="8" t="inlineStr">
        <is>
          <t>In end-2025 reporting your faculty reported on the related SP2030 target 2a and rated it 'Met or exceeded' (see Column J – click [+] above Columns I–K). Please build on this rather than repeating it, focusing on what is new in 2026.
Please provide up to two examples from 2026 of researchers in your faculty contributing to the University's own operational sustainability challenges (e.g. advising on campus energy, biodiversity, waste or buildings; applied projects; decision-support tools). For each, briefly describe the operational challenge, the researcher's contribution, the University team involved and the result.
We will collect Campus Living Lab Accelerator Program (CLLAP) projects separately from CI&amp;S – please include other examples only.</t>
        </is>
      </c>
      <c r="G14" s="8" t="inlineStr">
        <is>
          <t>We will report on examples of researchers helping solve the University's own operational sustainability challenges, alongside CLLAP projects reported by CI&amp;S, and share them with operational teams to identify further collaboration.</t>
        </is>
      </c>
      <c r="H14" s="8" t="inlineStr">
        <is>
          <t>2a</t>
        </is>
      </c>
      <c r="I14" s="8" t="inlineStr">
        <is>
          <t>Met or exceeded</t>
        </is>
      </c>
      <c r="J14" s="8" t="inlineStr">
        <is>
          <t>Across 2025, the Faculty of Architecture, Building and Planning has significantly strengthened and formalised its Living Labs approach, building on progress reported at mid-year and embedding sustainability experimentation as a core mode of practice across teaching, research, and operations.
A major development in the second half of 2025 was the establishment of the ABP Sustainability Grant. This new internal funding scheme provides up to $10,000 annually to catalyse staff-led, cross-disciplinary sustainability initiatives that operate as Living Labs within the Faculty. The scheme supports projects that use real faculty contexts—spaces, systems, practices, and communities—as testbeds for sustainability innovation, with strong encouragement for student involvement, particularly graduate researchers.
The Sustainability Grant marks a shift from ad hoc Living Lab activity toward a curated, faculty-wide framework that empowers staff to design, trial, and document practical sustainability interventions. The inaugural funding round attracted multiple applications from across disciplines and professional areas, and a formal selection process is currently underway, demonstrating strong engagement and appetite for Living Lab activity within ABP.
In parallel, the Faculty has continued to develop and refine larger-scale Living Lab concepts at the precinct level. While the delivery of the Fishermans Bend campus project has been postponed, the Faculty remains committed to a Living Lab approach and has retained and further clarified the conceptual and methodological groundwork. This positions the Faculty to rapidly mobilise Living Lab activities once the project recommences, ensuring that sustainability, circularity, and environmental performance are embedded from the earliest stages of planning and development.
Collectively, these initiatives demonstrate that ABP is not only contributing to the University’s Living Labs agenda, but actively curating, resourcing, and governing Living Labs as a sustained and scalable approach to sustainability action.
A flagship example of the Faculty’s Living Labs approach in 2025 is the Interactive Campus Material and Carbon Atlas, which reached completion during the year. Funded through the Learning and Teaching Initiative (LTI), the project brought together academic staff, professional colleagues, and students to map and analyse the material stock and embodied carbon of selected University buildings.
The Atlas has been developed as an interactive digital tool that enables users to explore building-level data, including construction materials, embodied carbon intensities, and potential opportunities for material reuse and circularity. Importantly, the project moves beyond retrospective analysis: the underlying framework enables forward projection of material requirements and carbon implications under different development and renewal scenarios.
As such, the Atlas demonstrates the value of a Living Lab that directly integrates sustainability research with campus operations. It provides a practical decision-support tool with clear relevance for estate planning, capital works prioritisation, and long-term carbon reduction strategies.
With the research and development phase now complete, the Faculty is committed to working with University stakeholders to present the tool to relevant professional teams and explore pathways for embedding it into institutional planning and sustainability processes. This next phase reflects the Faculty’s intent to ensure that Living Lab outputs translate into operational insight and long-term impact, rather than remaining standalone research artefacts.
Together with the newly established ABP Sustainability Grant, the Interactive Campus Material and Carbon Atlas illustrates how the Faculty is operationalising Living Labs across scales—from grassroots initiatives to faculty-wide decision-support infrastructure.</t>
        </is>
      </c>
      <c r="K14" s="8" t="inlineStr"/>
      <c r="L14" s="8" t="n"/>
      <c r="M14" s="8" t="n"/>
      <c r="N14" s="8" t="n"/>
      <c r="O14" s="8" t="n"/>
      <c r="P14" s="8" t="n"/>
      <c r="Q14" s="8" t="n"/>
      <c r="R14" s="8" t="n"/>
    </row>
    <row r="15" ht="150" customHeight="1">
      <c r="B15" s="7" t="inlineStr">
        <is>
          <t>TR1(b)</t>
        </is>
      </c>
      <c r="C15" s="12" t="inlineStr">
        <is>
          <t>Transformational research</t>
        </is>
      </c>
      <c r="D15" s="12" t="inlineStr">
        <is>
          <t>Utilise the expertise of the University’s researchers through mutually beneficial partnerships to help address the University’s operational sustainability challenges.</t>
        </is>
      </c>
      <c r="E15" s="12" t="inlineStr">
        <is>
          <t>Evidence of institutional pathways that enable ongoing collaboration between academic and professional staff</t>
        </is>
      </c>
      <c r="F15" s="8" t="inlineStr">
        <is>
          <t>Does your faculty have any mechanism that supports ongoing collaboration between academic and professional staff on operational sustainability (e.g. a sustainability committee with mixed membership, seed funding, a coordination role or a regular forum)? If yes, briefly describe it and how often it operates. If not, please say so.</t>
        </is>
      </c>
      <c r="G15" s="8" t="inlineStr">
        <is>
          <t>We will map existing academic–professional collaboration mechanisms across faculties to establish a baseline for this new indicator and identify models other faculties could adopt.</t>
        </is>
      </c>
      <c r="H15" s="8" t="inlineStr">
        <is>
          <t>N/A – new indicator</t>
        </is>
      </c>
      <c r="I15" s="8" t="inlineStr"/>
      <c r="J15" s="8" t="inlineStr"/>
      <c r="K15" s="8" t="inlineStr"/>
      <c r="L15" s="8" t="n"/>
      <c r="M15" s="8" t="n"/>
      <c r="N15" s="8" t="n"/>
      <c r="O15" s="8" t="n"/>
      <c r="P15" s="8" t="n"/>
      <c r="Q15" s="8" t="n"/>
      <c r="R15" s="8" t="n"/>
    </row>
    <row r="16" ht="150" customHeight="1">
      <c r="B16" s="7" t="inlineStr">
        <is>
          <t>TR1(c)</t>
        </is>
      </c>
      <c r="C16" s="12" t="inlineStr">
        <is>
          <t>Transformational research</t>
        </is>
      </c>
      <c r="D16" s="12" t="inlineStr">
        <is>
          <t>Utilise the expertise of the University’s researchers through mutually beneficial partnerships to help address the University’s operational sustainability challenges.</t>
        </is>
      </c>
      <c r="E16" s="12" t="inlineStr">
        <is>
          <t>Expert assessment of the quality, relevance and continuity of these collaborations</t>
        </is>
      </c>
      <c r="F16" s="8" t="inlineStr">
        <is>
          <t>For the collaborations described in TR1(a)–(b), please give a short assessment (a paragraph is sufficient) of their quality, relevance and continuity: are they ongoing, useful to the University's operational priorities, and producing outcomes?</t>
        </is>
      </c>
      <c r="G16" s="8" t="inlineStr">
        <is>
          <t>We will use your assessment to describe the quality and continuity of research–operations collaboration in the 2026 report, and as baseline evidence for the interim target status assessment from 2027.</t>
        </is>
      </c>
      <c r="H16" s="8" t="inlineStr">
        <is>
          <t>N/A – new indicator</t>
        </is>
      </c>
      <c r="I16" s="8" t="inlineStr"/>
      <c r="J16" s="8" t="inlineStr"/>
      <c r="K16" s="8" t="inlineStr"/>
      <c r="L16" s="8" t="n"/>
      <c r="M16" s="8" t="n"/>
      <c r="N16" s="8" t="n"/>
      <c r="O16" s="8" t="n"/>
      <c r="P16" s="8" t="n"/>
      <c r="Q16" s="8" t="n"/>
      <c r="R16" s="8" t="n"/>
    </row>
    <row r="17" ht="150" customHeight="1">
      <c r="B17" s="7" t="inlineStr">
        <is>
          <t>TR1(d)</t>
        </is>
      </c>
      <c r="C17" s="12" t="inlineStr">
        <is>
          <t>Transformational research</t>
        </is>
      </c>
      <c r="D17" s="12" t="inlineStr">
        <is>
          <t>Utilise the expertise of the University’s researchers through mutually beneficial partnerships to help address the University’s operational sustainability challenges.</t>
        </is>
      </c>
      <c r="E17" s="12" t="inlineStr">
        <is>
          <t>Periodic feedback from participants on the effectiveness and mutual benefit of collaboration mechanisms.</t>
        </is>
      </c>
      <c r="F17" s="8" t="inlineStr">
        <is>
          <t>Has your faculty collected any feedback from participants (researchers or operational staff) on how well these collaboration mechanisms work and whether they are mutually beneficial? If yes, summarise key findings and any improvements identified; if not, please say so.</t>
        </is>
      </c>
      <c r="G17" s="8" t="inlineStr">
        <is>
          <t>We will use any feedback to understand whether collaboration mechanisms are working and to inform improvements. Where none has been collected, this helps us plan how to gather feedback from 2027.</t>
        </is>
      </c>
      <c r="H17" s="8" t="inlineStr">
        <is>
          <t>N/A – new indicator</t>
        </is>
      </c>
      <c r="I17" s="8" t="inlineStr"/>
      <c r="J17" s="8" t="inlineStr"/>
      <c r="K17" s="8" t="inlineStr"/>
      <c r="L17" s="8" t="n"/>
      <c r="M17" s="8" t="n"/>
      <c r="N17" s="8" t="n"/>
      <c r="O17" s="8" t="n"/>
      <c r="P17" s="8" t="n"/>
      <c r="Q17" s="8" t="n"/>
      <c r="R17" s="8" t="n"/>
    </row>
    <row r="18" ht="150" customHeight="1">
      <c r="B18" s="7" t="inlineStr">
        <is>
          <t>TR2(a)</t>
        </is>
      </c>
      <c r="C18" s="12" t="inlineStr">
        <is>
          <t>Transformational research</t>
        </is>
      </c>
      <c r="D18" s="12" t="inlineStr">
        <is>
          <t>Deliver high-quality research and partnerships that contribute to sustainability outcomes and demonstrable societal benefit.</t>
        </is>
      </c>
      <c r="E18" s="12" t="inlineStr">
        <is>
          <t>Evidence of sustainability-related research impact across diverse pathways, could include policy, industry, community, practice, cultural and institutional outcomes</t>
        </is>
      </c>
      <c r="F18" s="8" t="inlineStr">
        <is>
          <t>In end-2025 reporting your faculty reported on the related SP2030 target 5b(i) and rated it 'Met or exceeded' (see Column J – click [+] above Columns I–K). Please build on this rather than repeating it, focusing on what is new in 2026.
Please provide one or two examples from 2026 of sustainability-related research from your faculty that has had impact beyond academia – on policy, industry, community, practice, cultural or institutional outcomes. For each, briefly describe the research, the partner or user, and the resulting change or influence, with links (e.g. Pursuit articles, policy submissions, reports).
We will source University-wide research metrics (e.g. SDG-mapped publications via SciVal) from MRE – publication counts are not required.</t>
        </is>
      </c>
      <c r="G18" s="8" t="inlineStr">
        <is>
          <t>We will collate research impact examples across faculties to show the breadth of sustainability-related research impact in the Transformational research section of the 2026 Sustainability Report, complementing University-wide metrics from MRE.</t>
        </is>
      </c>
      <c r="H18" s="8" t="inlineStr">
        <is>
          <t>5b(i)</t>
        </is>
      </c>
      <c r="I18" s="8" t="inlineStr">
        <is>
          <t>Met or exceeded</t>
        </is>
      </c>
      <c r="J18" s="8" t="inlineStr">
        <is>
          <t>The Faculty continues to be a national and international leader in sustainability research across the built environment, supported by a diverse ecosystem of specialist research hubs, laboratories, and collaborative initiatives. Together, these centres span disciplinary and interdisciplinary research, linking fundamental inquiry with applied outcomes that inform practice, policy, and industry transformation.
Sustainability-, climate-, and environment-focused research institutes and hubs within the Faculty include:
- Melbourne Centre for Cities – urban governance, policy innovation, and climate-responsive city-making
- InfUr – Informal Urbanism Research Hub – environmental justice, resilience, and community-led urbanism
- Transport, Health and Urban Design (THUD) – healthy and sustainable cities through mobility and planning research
- Urban Ecology and Design Lab (UED Lab) – ecological design strategies, biodiversity, and nature-based solutions
- Sustainable and Healthy Environments (SHE) Lab – materials, thermal comfort, indoor environmental quality, and health–environment linkages
- The Retrofit Lab – decarbonisation of existing building stock, circular design, and retrofit decision-making
- Advanced Digital Design + Fabrication – sustainable construction, digital materials, and low-carbon manufacturing
These research hubs collectively contribute to advancing knowledge across design, planning, construction, and policy, while also creating pathways for translation into real-world impact.
A flagship example of the Faculty’s research impact in 2025 is Beyond EPiC, a research-led spin-off emerging from long-standing work within the Faculty on life cycle assessment (LCA), embodied carbon, and environmental performance of the built environment.
Beyond EPiC provides a clear example of how the Faculty’s sustainability research translates into action and impact at scale. Emerging directly from decades of peer-reviewed research at the University of Melbourne, Beyond EPiC develops environmental data, digital tools, and applied insights that help architects, engineers, planners, developers, and policymakers make evidence-based decisions across the built environment.
Grounded in internationally recognised hybrid life cycle assessment (LCA) methodologies, Beyond EPiC transforms complex environmental research into clear, consistent, and actionable intelligence—maintaining scientific rigour while enabling real-world application. This approach exemplifies the Faculty’s ethos of where science meets the design of buildings and cities.
A key research impact in 2025 has been direct policy influence. Beyond EPiC’s embodied carbon data underpins the BASIX Materials Index used by the New South Wales Government for residential development applications. Every project lodged under BASIX must report embodied emissions using these coefficients, making Beyond EPiC’s research a core component of the state’s environmental compliance framework.
Since this integration, tens of thousands of homes have been designed and certified using Beyond EPiC data, driving lower-impact material choices and design optimisation at scale. This represents a significant shift from sustainability research as advisory input to sustainability research as embedded policy infrastructure, shaping decisions across an entire construction sector.
Beyond EPiC’s impact extends beyond regulation. Its tools and datasets support industry training, consulting, and early-stage design decision-making, enabling practitioners to compare materials, optimise assemblies, and understand embodied carbon trade-offs in ways that were previously inaccessible. This creates a continuous feedback loop between research, teaching, practice, and policy—ensuring that academic inquiry remains responsive to real-world constraints while raising the baseline of environmental accountability.
As such, Beyond EPiC exemplifies the Faculty’s model of sustainability research impact: scientifically rigorous, trusted by government, used at scale, and capable of shaping policy, professional practice, and environmental outcomes simultaneously.</t>
        </is>
      </c>
      <c r="K18" s="8" t="inlineStr">
        <is>
          <t>www.beyondepic.io</t>
        </is>
      </c>
      <c r="L18" s="8" t="n"/>
      <c r="M18" s="8" t="n"/>
      <c r="N18" s="8" t="n"/>
      <c r="O18" s="8" t="n"/>
      <c r="P18" s="8" t="n"/>
      <c r="Q18" s="8" t="n"/>
      <c r="R18" s="8" t="n"/>
    </row>
    <row r="19" ht="150" customHeight="1">
      <c r="B19" s="7" t="inlineStr">
        <is>
          <t>TR2(d)</t>
        </is>
      </c>
      <c r="C19" s="12" t="inlineStr">
        <is>
          <t>Transformational research</t>
        </is>
      </c>
      <c r="D19" s="12" t="inlineStr">
        <is>
          <t>Deliver high-quality research and partnerships that contribute to sustainability outcomes and demonstrable societal benefit.</t>
        </is>
      </c>
      <c r="E19" s="12" t="inlineStr">
        <is>
          <t>Case-based evidence demonstrating how research has contributed to meaningful sustainability outcomes.</t>
        </is>
      </c>
      <c r="F19" s="8" t="inlineStr">
        <is>
          <t>In end-2025 reporting your faculty reported on the related SP2030 target 5b(i) and rated it 'Met or exceeded' (see Column J – click [+] above Columns I–K). Please build on this rather than repeating it, focusing on what is new in 2026.
Please provide one case study (up to 300 words) of a research project from your faculty that has contributed to a meaningful sustainability outcome: the research, stakeholders involved, pathway to impact and evidence of the outcome. This can be one of the examples from TR2(a), developed in more detail.
We are also seeking examples from Melbourne Climate Futures, the Melbourne Biodiversity Institute and Strategic Communications.</t>
        </is>
      </c>
      <c r="G19" s="8" t="inlineStr">
        <is>
          <t>We will select the strongest examples to develop as full research case studies for the 2026 Sustainability Report (we may contact you for more detail and images).</t>
        </is>
      </c>
      <c r="H19" s="8" t="inlineStr">
        <is>
          <t>5b(i)</t>
        </is>
      </c>
      <c r="I19" s="8" t="inlineStr">
        <is>
          <t>Met or exceeded</t>
        </is>
      </c>
      <c r="J19" s="8" t="inlineStr">
        <is>
          <t>The Faculty continues to be a national and international leader in sustainability research across the built environment, supported by a diverse ecosystem of specialist research hubs, laboratories, and collaborative initiatives. Together, these centres span disciplinary and interdisciplinary research, linking fundamental inquiry with applied outcomes that inform practice, policy, and industry transformation.
Sustainability-, climate-, and environment-focused research institutes and hubs within the Faculty include:
- Melbourne Centre for Cities – urban governance, policy innovation, and climate-responsive city-making
- InfUr – Informal Urbanism Research Hub – environmental justice, resilience, and community-led urbanism
- Transport, Health and Urban Design (THUD) – healthy and sustainable cities through mobility and planning research
- Urban Ecology and Design Lab (UED Lab) – ecological design strategies, biodiversity, and nature-based solutions
- Sustainable and Healthy Environments (SHE) Lab – materials, thermal comfort, indoor environmental quality, and health–environment linkages
- The Retrofit Lab – decarbonisation of existing building stock, circular design, and retrofit decision-making
- Advanced Digital Design + Fabrication – sustainable construction, digital materials, and low-carbon manufacturing
These research hubs collectively contribute to advancing knowledge across design, planning, construction, and policy, while also creating pathways for translation into real-world impact.
A flagship example of the Faculty’s research impact in 2025 is Beyond EPiC, a research-led spin-off emerging from long-standing work within the Faculty on life cycle assessment (LCA), embodied carbon, and environmental performance of the built environment.
Beyond EPiC provides a clear example of how the Faculty’s sustainability research translates into action and impact at scale. Emerging directly from decades of peer-reviewed research at the University of Melbourne, Beyond EPiC develops environmental data, digital tools, and applied insights that help architects, engineers, planners, developers, and policymakers make evidence-based decisions across the built environment.
Grounded in internationally recognised hybrid life cycle assessment (LCA) methodologies, Beyond EPiC transforms complex environmental research into clear, consistent, and actionable intelligence—maintaining scientific rigour while enabling real-world application. This approach exemplifies the Faculty’s ethos of where science meets the design of buildings and cities.
A key research impact in 2025 has been direct policy influence. Beyond EPiC’s embodied carbon data underpins the BASIX Materials Index used by the New South Wales Government for residential development applications. Every project lodged under BASIX must report embodied emissions using these coefficients, making Beyond EPiC’s research a core component of the state’s environmental compliance framework.
Since this integration, tens of thousands of homes have been designed and certified using Beyond EPiC data, driving lower-impact material choices and design optimisation at scale. This represents a significant shift from sustainability research as advisory input to sustainability research as embedded policy infrastructure, shaping decisions across an entire construction sector.
Beyond EPiC’s impact extends beyond regulation. Its tools and datasets support industry training, consulting, and early-stage design decision-making, enabling practitioners to compare materials, optimise assemblies, and understand embodied carbon trade-offs in ways that were previously inaccessible. This creates a continuous feedback loop between research, teaching, practice, and policy—ensuring that academic inquiry remains responsive to real-world constraints while raising the baseline of environmental accountability.
As such, Beyond EPiC exemplifies the Faculty’s model of sustainability research impact: scientifically rigorous, trusted by government, used at scale, and capable of shaping policy, professional practice, and environmental outcomes simultaneously.</t>
        </is>
      </c>
      <c r="K19" s="8" t="inlineStr">
        <is>
          <t>www.beyondepic.io</t>
        </is>
      </c>
      <c r="L19" s="8" t="n"/>
      <c r="M19" s="8" t="n"/>
      <c r="N19" s="8" t="n"/>
      <c r="O19" s="8" t="n"/>
      <c r="P19" s="8" t="n"/>
      <c r="Q19" s="8" t="n"/>
      <c r="R19" s="8" t="n"/>
    </row>
    <row r="20" ht="150" customHeight="1">
      <c r="B20" s="7" t="inlineStr">
        <is>
          <t>TR3(a)</t>
        </is>
      </c>
      <c r="C20" s="12" t="inlineStr">
        <is>
          <t>Transformational research</t>
        </is>
      </c>
      <c r="D20" s="12" t="inlineStr">
        <is>
          <t>Embed sustainability within research systems, processes, capability and culture, so research is conducted responsibly, efficiently and with reduced environmental impact.</t>
        </is>
      </c>
      <c r="E20" s="12" t="inlineStr">
        <is>
          <t>Evidence that sustainability considerations are integrated into relevant research systems, planning processes, guidance, training, induction or support services</t>
        </is>
      </c>
      <c r="F20" s="8" t="inlineStr">
        <is>
          <t>In end-2025 reporting your faculty reported on the related SP2030 target 5c(ii) and rated it 'Partially met' (see Column J – click [+] above Columns I–K). Please build on this rather than repeating it, focusing on what is new in 2026.
Please describe how sustainability considerations are built into your faculty's research systems or support – e.g. research planning or approval processes, guidance, graduate researcher induction or training, grant development support. Please highlight any new or improved process introduced in 2026.</t>
        </is>
      </c>
      <c r="G20" s="8" t="inlineStr">
        <is>
          <t>We will report on how sustainability is being built into research systems and support across the University, and use responses to establish a baseline for this new target.</t>
        </is>
      </c>
      <c r="H20" s="8" t="inlineStr">
        <is>
          <t>5c(ii)</t>
        </is>
      </c>
      <c r="I20" s="8" t="inlineStr">
        <is>
          <t>Partially met</t>
        </is>
      </c>
      <c r="J20" s="8" t="inlineStr">
        <is>
          <t>The Faculty has taken deliberate and strategic steps in 2025 to strengthen how sustainability considerations shape research practices and activities. This has focused on making sustainability explicit, visible, and rewarded within the Faculty’s research culture, while building the foundations for longer-term embedding across disciplines.
A major development has been the introduction of formal recognition and incentive mechanisms that foreground sustainability in research excellence. The ABP Sustainability Award, embedded within the Faculty’s Engagement, Culture, Innovation, and Impact awards program, recognises academic and professional staff who demonstrate leadership in integrating sustainability into research practices. By celebrating approaches such as life cycle thinking, low-carbon methodologies, resource efficiency, and collaborative research models, the award signals that sustainability is a core dimension of research quality and impact within ABP.
This cultural shift is reinforced through the ABP Sustainability Grants Program, which supports staff-led projects that actively trial new ways of embedding sustainability into research, teaching, and operational contexts. Grant criteria encourage interdisciplinary collaboration and require applicants to engage directly with the environmental implications of their activities—supporting experimentation, documentation, and knowledge-sharing around more sustainable research practices.
In parallel, Faculty researchers continue to advance methodological leadership that enables more sustainable decision-making in research and practice. Work on hybrid life cycle assessment (LCA), embodied carbon accounting, and environmental benchmarking—particularly through collaborations with Beyond EPiC—has expanded the tools available to researchers, industry, and government to measure and reduce environmental impacts. These methods increasingly inform how research questions are framed, evaluated, and translated into policy and practice.
Together, these initiatives reflect a maturing research culture in which sustainability is increasingly normalised, recognised, and actively shaped through incentives, methods, and shared expectations. While this work will continue to evolve and scale, 2025 represents a clear step change in positioning sustainability as a defining feature of responsible research practice within the Faculty.</t>
        </is>
      </c>
      <c r="K20" s="8" t="inlineStr"/>
      <c r="L20" s="8" t="n"/>
      <c r="M20" s="8" t="n"/>
      <c r="N20" s="8" t="n"/>
      <c r="O20" s="8" t="n"/>
      <c r="P20" s="8" t="n"/>
      <c r="Q20" s="8" t="n"/>
      <c r="R20" s="8" t="n"/>
    </row>
    <row r="21" ht="150" customHeight="1">
      <c r="B21" s="7" t="inlineStr">
        <is>
          <t>TR3(b)</t>
        </is>
      </c>
      <c r="C21" s="12" t="inlineStr">
        <is>
          <t>Transformational research</t>
        </is>
      </c>
      <c r="D21" s="12" t="inlineStr">
        <is>
          <t>Embed sustainability within research systems, processes, capability and culture, so research is conducted responsibly, efficiently and with reduced environmental impact.</t>
        </is>
      </c>
      <c r="E21" s="12" t="inlineStr">
        <is>
          <t>Demonstrated examples of more sustainable research practices in laboratories, fieldwork, procurement, travel or infrastructure use</t>
        </is>
      </c>
      <c r="F21" s="8" t="inlineStr">
        <is>
          <t>In end-2025 reporting your faculty reported on the related SP2030 target 5c(ii) and rated it 'Partially met' (see Column J – click [+] above Columns I–K). Please build on this rather than repeating it, focusing on what is new in 2026.
Are there any efforts within the faculty to make research practices more sustainable (e.g. green lab certification, equipment sharing, reduced research travel, sustainable fieldwork, sustainable procurement of research consumables)? If so, please describe up to two examples and any evidence of uptake, resource savings or emissions reductions.</t>
        </is>
      </c>
      <c r="G21" s="8" t="inlineStr">
        <is>
          <t>We will report on ways the University is making research practices more sustainable in the 2026 Sustainability Report, and share practical examples (e.g. green labs) across faculties.</t>
        </is>
      </c>
      <c r="H21" s="8" t="inlineStr">
        <is>
          <t>5c(ii)</t>
        </is>
      </c>
      <c r="I21" s="8" t="inlineStr">
        <is>
          <t>Partially met</t>
        </is>
      </c>
      <c r="J21" s="8" t="inlineStr">
        <is>
          <t>The Faculty has taken deliberate and strategic steps in 2025 to strengthen how sustainability considerations shape research practices and activities. This has focused on making sustainability explicit, visible, and rewarded within the Faculty’s research culture, while building the foundations for longer-term embedding across disciplines.
A major development has been the introduction of formal recognition and incentive mechanisms that foreground sustainability in research excellence. The ABP Sustainability Award, embedded within the Faculty’s Engagement, Culture, Innovation, and Impact awards program, recognises academic and professional staff who demonstrate leadership in integrating sustainability into research practices. By celebrating approaches such as life cycle thinking, low-carbon methodologies, resource efficiency, and collaborative research models, the award signals that sustainability is a core dimension of research quality and impact within ABP.
This cultural shift is reinforced through the ABP Sustainability Grants Program, which supports staff-led projects that actively trial new ways of embedding sustainability into research, teaching, and operational contexts. Grant criteria encourage interdisciplinary collaboration and require applicants to engage directly with the environmental implications of their activities—supporting experimentation, documentation, and knowledge-sharing around more sustainable research practices.
In parallel, Faculty researchers continue to advance methodological leadership that enables more sustainable decision-making in research and practice. Work on hybrid life cycle assessment (LCA), embodied carbon accounting, and environmental benchmarking—particularly through collaborations with Beyond EPiC—has expanded the tools available to researchers, industry, and government to measure and reduce environmental impacts. These methods increasingly inform how research questions are framed, evaluated, and translated into policy and practice.
Together, these initiatives reflect a maturing research culture in which sustainability is increasingly normalised, recognised, and actively shaped through incentives, methods, and shared expectations. While this work will continue to evolve and scale, 2025 represents a clear step change in positioning sustainability as a defining feature of responsible research practice within the Faculty.</t>
        </is>
      </c>
      <c r="K21" s="8" t="inlineStr"/>
      <c r="L21" s="8" t="n"/>
      <c r="M21" s="8" t="n"/>
      <c r="N21" s="8" t="n"/>
      <c r="O21" s="8" t="n"/>
      <c r="P21" s="8" t="n"/>
      <c r="Q21" s="8" t="n"/>
      <c r="R21" s="8" t="n"/>
    </row>
    <row r="22" ht="150" customHeight="1">
      <c r="B22" s="7" t="inlineStr">
        <is>
          <t>TR3(c)</t>
        </is>
      </c>
      <c r="C22" s="12" t="inlineStr">
        <is>
          <t>Transformational research</t>
        </is>
      </c>
      <c r="D22" s="12" t="inlineStr">
        <is>
          <t>Embed sustainability within research systems, processes, capability and culture, so research is conducted responsibly, efficiently and with reduced environmental impact.</t>
        </is>
      </c>
      <c r="E22" s="12" t="inlineStr">
        <is>
          <t>Evidence of progress in sustainability-related research culture, capability and awareness, informed by periodic staff and graduate researcher surveys</t>
        </is>
      </c>
      <c r="F22" s="8" t="inlineStr">
        <is>
          <t>Does your faculty have any evidence of change in sustainability-related research culture, capability or awareness – e.g. results from staff or graduate researcher surveys, or participation in capability-building events or training? Please provide a brief summary and the source. If no evidence is available, please say so.</t>
        </is>
      </c>
      <c r="G22" s="8" t="inlineStr">
        <is>
          <t>We will use any survey or capability data to describe changes in sustainability-related research culture. Where no evidence exists, this helps us plan University-wide measurement (e.g. staff and graduate researcher surveys) from 2027.</t>
        </is>
      </c>
      <c r="H22" s="8" t="inlineStr">
        <is>
          <t>N/A – new indicator</t>
        </is>
      </c>
      <c r="I22" s="8" t="inlineStr"/>
      <c r="J22" s="8" t="inlineStr"/>
      <c r="K22" s="8" t="inlineStr"/>
      <c r="L22" s="8" t="n"/>
      <c r="M22" s="8" t="n"/>
      <c r="N22" s="8" t="n"/>
      <c r="O22" s="8" t="n"/>
      <c r="P22" s="8" t="n"/>
      <c r="Q22" s="8" t="n"/>
      <c r="R22" s="8" t="n"/>
    </row>
    <row r="23" ht="150" customHeight="1">
      <c r="B23" s="7" t="inlineStr">
        <is>
          <t>TR3(d)</t>
        </is>
      </c>
      <c r="C23" s="12" t="inlineStr">
        <is>
          <t>Transformational research</t>
        </is>
      </c>
      <c r="D23" s="12" t="inlineStr">
        <is>
          <t>Embed sustainability within research systems, processes, capability and culture, so research is conducted responsibly, efficiently and with reduced environmental impact.</t>
        </is>
      </c>
      <c r="E23" s="12" t="inlineStr">
        <is>
          <t>Expert assessment of progress in embedding sustainable research practices across the institution.</t>
        </is>
      </c>
      <c r="F23" s="8" t="inlineStr">
        <is>
          <t>Drawing on your responses to TR3(a)–(c), please provide a short overall assessment (2–3 sentences) of your faculty's progress in embedding sustainable research practices: where progress is strongest, the main gaps, and priority actions for 2027.</t>
        </is>
      </c>
      <c r="G23" s="8" t="inlineStr">
        <is>
          <t>We will use faculty self-assessments to identify strengths, gaps and priority actions in embedding sustainable research practices, to inform internal management reporting and the Transformational research working group.</t>
        </is>
      </c>
      <c r="H23" s="8" t="inlineStr">
        <is>
          <t>N/A – new indicator</t>
        </is>
      </c>
      <c r="I23" s="8" t="inlineStr"/>
      <c r="J23" s="8" t="inlineStr"/>
      <c r="K23" s="8" t="inlineStr"/>
      <c r="L23" s="8" t="n"/>
      <c r="M23" s="8" t="n"/>
      <c r="N23" s="8" t="n"/>
      <c r="O23" s="8" t="n"/>
      <c r="P23" s="8" t="n"/>
      <c r="Q23" s="8" t="n"/>
      <c r="R23" s="8" t="n"/>
    </row>
    <row r="24" ht="150" customHeight="1">
      <c r="B24" s="7" t="inlineStr">
        <is>
          <t>CL2(a)</t>
        </is>
      </c>
      <c r="C24" s="12" t="inlineStr">
        <is>
          <t>Climate leadership</t>
        </is>
      </c>
      <c r="D24" s="12" t="inlineStr">
        <is>
          <t>Develop understanding of our research and education programs that contribute to accelerating global decarbonisation and our own climate transition.</t>
        </is>
      </c>
      <c r="E24" s="12" t="inlineStr">
        <is>
          <t>By 2028, develop and document institutional mapping of research and education activities that are designed to contribute to global decarbonisation</t>
        </is>
      </c>
      <c r="F24" s="8" t="inlineStr">
        <is>
          <t>Please list up to three examples of 2026 communications from your faculty that showcase climate action, research or learning and aim to inform policy, sector or community decarbonisation (e.g. policy submissions, public events, media, reports). Include links, the intended audience and any reach data you have.
This will also contribute to the University's mapping of decarbonisation-related research and education (due by 2028).</t>
        </is>
      </c>
      <c r="G24" s="8" t="inlineStr">
        <is>
          <t>We will use these examples to show how the University communicates climate research and learning to external audiences, and as an input to the institutional decarbonisation research and education mapping due by 2028.</t>
        </is>
      </c>
      <c r="H24" s="8" t="inlineStr">
        <is>
          <t>N/A – new indicator</t>
        </is>
      </c>
      <c r="I24" s="8" t="inlineStr"/>
      <c r="J24" s="8" t="inlineStr"/>
      <c r="K24" s="8" t="inlineStr"/>
      <c r="L24" s="8" t="n"/>
      <c r="M24" s="8" t="n"/>
      <c r="N24" s="8" t="n"/>
      <c r="O24" s="8" t="n"/>
      <c r="P24" s="8" t="n"/>
      <c r="Q24" s="8" t="n"/>
      <c r="R24" s="8" t="n"/>
    </row>
    <row r="25" ht="150" customHeight="1">
      <c r="B25" s="7" t="inlineStr">
        <is>
          <t>CL2(c)</t>
        </is>
      </c>
      <c r="C25" s="12" t="inlineStr">
        <is>
          <t>Climate leadership</t>
        </is>
      </c>
      <c r="D25" s="12" t="inlineStr">
        <is>
          <t>Develop understanding of our research and education programs that contribute to accelerating global decarbonisation and our own climate transition.</t>
        </is>
      </c>
      <c r="E25" s="12" t="inlineStr">
        <is>
          <t>Ongoing communications that evidence the University’s climate action, research and learning to inform policy, sector and community decarbonisation efforts.</t>
        </is>
      </c>
      <c r="F25" s="8" t="inlineStr">
        <is>
          <t>If not already covered in CL2(a), please list any ongoing channels or programs (e.g. event series, newsletters, podcasts, policy engagement) through which your faculty regularly communicates climate research and learning to policy, sector or community audiences. You may respond 'see CL2(a)' if already covered.
We will also engage Melbourne Climate Futures and the Melbourne Energy Institute.</t>
        </is>
      </c>
      <c r="G25" s="8" t="inlineStr">
        <is>
          <t>We will report on the University's ongoing climate communications in the Climate leadership section of the 2026 Sustainability Report, alongside contributions from Melbourne Climate Futures and the Melbourne Energy Institute.</t>
        </is>
      </c>
      <c r="H25" s="8" t="inlineStr">
        <is>
          <t>N/A – new indicator</t>
        </is>
      </c>
      <c r="I25" s="8" t="inlineStr"/>
      <c r="J25" s="8" t="inlineStr"/>
      <c r="K25" s="8" t="inlineStr"/>
      <c r="L25" s="8" t="n"/>
      <c r="M25" s="8" t="n"/>
      <c r="N25" s="8" t="n"/>
      <c r="O25" s="8" t="n"/>
      <c r="P25" s="8" t="n"/>
      <c r="Q25" s="8" t="n"/>
      <c r="R25" s="8" t="n"/>
    </row>
    <row r="26" ht="150" customHeight="1">
      <c r="B26" s="7" t="inlineStr">
        <is>
          <t>EN1(a)</t>
        </is>
      </c>
      <c r="C26" s="12" t="inlineStr">
        <is>
          <t>Enablers</t>
        </is>
      </c>
      <c r="D26" s="12" t="inlineStr">
        <is>
          <t>Enablers</t>
        </is>
      </c>
      <c r="E26" s="12" t="inlineStr">
        <is>
          <t>Evidence of sustainability outcomes informed by Indigenous knowledges</t>
        </is>
      </c>
      <c r="F26" s="8" t="inlineStr">
        <is>
          <t>In end-2025 reporting your faculty reported on the related SP2030 target 6a and rated it 'Met or exceeded' (see Column J – click [+] above Columns I–K). Please build on this rather than repeating it, focusing on what is new in 2026.
Please provide one case study of an activity in your faculty (education, research, engagement or operations) where Indigenous knowledges informed a sustainability outcome. Describe the activity, how Indigenous knowledges were incorporated or co-created and with whom, and the result. Please confirm that appropriate permissions are in place for sharing.</t>
        </is>
      </c>
      <c r="G26" s="8" t="inlineStr">
        <is>
          <t>We will report on the ways Indigenous knowledges inform sustainability activities across the University, and develop selected examples into case studies with appropriate permissions.</t>
        </is>
      </c>
      <c r="H26" s="8" t="inlineStr">
        <is>
          <t>6a</t>
        </is>
      </c>
      <c r="I26" s="8" t="inlineStr">
        <is>
          <t>Met or exceeded</t>
        </is>
      </c>
      <c r="J26" s="8" t="inlineStr">
        <is>
          <t>In 2025, the Faculty has continued to deepen its engagement with sustainability through Indigenous-led and co-created learning, research, and partnerships, strengthening understanding of sustainability as a Country-centred, relational, and long-term responsibility rather than a purely technical or extractive concept.
A major development is the award of an ARC Linkage Project: Co-designing Housing for First Nations Prosperity, which will commence in 2026. This project represents a significant example of sustainability research grounded in First Nations leadership, knowledge, and lived experience, operating at the intersection of architecture, housing policy, economics, and Indigenous wellbeing.
Led by Associate Professor Rory Hyde and a multidisciplinary team across architecture, public health, policy and design, the project is being co-developed with First Nations organisations and partners in Shepparton, Victoria, including the Kaiela Institute, Beyond Housing, and VACCHO, alongside industry and government partners. The research places First Nations knowledge, lore, and priorities at the centre of housing design and delivery, challenging conventional Western models that have historically failed to meet cultural, social, and environmental needs.
Sustainability in this project is understood holistically: as cultural continuity, social connection, climate resilience, economic viability, and care for Country. Through participatory co-design and strategic design methods, the project will produce a design catalogue and investment model that enables the delivery of housing that is affordable, culturally appropriate, climate-responsive, and socially sustaining. These outcomes directly address the Closing the Gap agenda while also offering transferable insights for broader housing challenges nationally.
Complementing this work, the Faculty continues to support longstanding Indigenous-led collaborations such as Professor Alex Felson’s project on the Great Birrarung Parklands, developed in partnership with the Wurundjeri Woi Wurrung Cultural Heritage Aboriginal Corporation, the Birrarung Council, and other stakeholders. This project brings Indigenous knowledge and climate science together to explore future scenarios for the Yarra River corridor, modelling two-way learning that informs long-term ecological stewardship, governance, and design.
Indigenous perspectives on sustainability are also embedded across teaching and learning in the Faculty, particularly within architecture, landscape architecture, and urban planning studios. These studios engage students with questions of Country, custodianship, and cultural practice, often in dialogue with Indigenous collaborators, reinforcing sustainability as a relational and ethical practice rather than a purely technical one.
Collectively, these initiatives demonstrate that the Faculty’s approach to sustainability is increasingly shaped through Indigenous-led knowledge systems, reciprocal learning, and co-creation, contributing to more just, culturally grounded, and enduring sustainability outcomes across education, research, and practice.</t>
        </is>
      </c>
      <c r="K26" s="8" t="inlineStr"/>
      <c r="L26" s="8" t="n"/>
      <c r="M26" s="8" t="n"/>
      <c r="N26" s="8" t="n"/>
      <c r="O26" s="8" t="n"/>
      <c r="P26" s="8" t="n"/>
      <c r="Q26" s="8" t="n"/>
      <c r="R26" s="8" t="n"/>
    </row>
    <row r="27" ht="150" customHeight="1">
      <c r="B27" s="7" t="inlineStr">
        <is>
          <t>EN1(b)</t>
        </is>
      </c>
      <c r="C27" s="12" t="inlineStr">
        <is>
          <t>Enablers</t>
        </is>
      </c>
      <c r="D27" s="12" t="inlineStr">
        <is>
          <t>Enablers</t>
        </is>
      </c>
      <c r="E27" s="12" t="inlineStr">
        <is>
          <t>Living laboratories enabling applied learning, research and operational sustainability outcomes</t>
        </is>
      </c>
      <c r="F27" s="8" t="inlineStr">
        <is>
          <t>In end-2025 reporting your faculty reported on the related SP2030 target 2a and rated it 'Met or exceeded' (see Column J – click [+] above Columns I–K). Please build on this rather than repeating it, focusing on what is new in 2026.
Please provide a case study of a living lab which operates within your faculty, including a description of its activities, who is involved (students, researchers, operational staff) and its outputs, outcomes or impact in 2026.
Please note we will approach living labs funded through the Campus Living Lab Accelerator Program (CLLAP) separately.</t>
        </is>
      </c>
      <c r="G27" s="8" t="inlineStr">
        <is>
          <t>We will share examples of living labs from across the University in the 2026 Sustainability Report, alongside CLLAP projects reported by CI&amp;S.</t>
        </is>
      </c>
      <c r="H27" s="8" t="inlineStr">
        <is>
          <t>2a</t>
        </is>
      </c>
      <c r="I27" s="8" t="inlineStr">
        <is>
          <t>Met or exceeded</t>
        </is>
      </c>
      <c r="J27" s="8" t="inlineStr">
        <is>
          <t>Across 2025, the Faculty of Architecture, Building and Planning has significantly strengthened and formalised its Living Labs approach, building on progress reported at mid-year and embedding sustainability experimentation as a core mode of practice across teaching, research, and operations.
A major development in the second half of 2025 was the establishment of the ABP Sustainability Grant. This new internal funding scheme provides up to $10,000 annually to catalyse staff-led, cross-disciplinary sustainability initiatives that operate as Living Labs within the Faculty. The scheme supports projects that use real faculty contexts—spaces, systems, practices, and communities—as testbeds for sustainability innovation, with strong encouragement for student involvement, particularly graduate researchers.
The Sustainability Grant marks a shift from ad hoc Living Lab activity toward a curated, faculty-wide framework that empowers staff to design, trial, and document practical sustainability interventions. The inaugural funding round attracted multiple applications from across disciplines and professional areas, and a formal selection process is currently underway, demonstrating strong engagement and appetite for Living Lab activity within ABP.
In parallel, the Faculty has continued to develop and refine larger-scale Living Lab concepts at the precinct level. While the delivery of the Fishermans Bend campus project has been postponed, the Faculty remains committed to a Living Lab approach and has retained and further clarified the conceptual and methodological groundwork. This positions the Faculty to rapidly mobilise Living Lab activities once the project recommences, ensuring that sustainability, circularity, and environmental performance are embedded from the earliest stages of planning and development.
Collectively, these initiatives demonstrate that ABP is not only contributing to the University’s Living Labs agenda, but actively curating, resourcing, and governing Living Labs as a sustained and scalable approach to sustainability action.
A flagship example of the Faculty’s Living Labs approach in 2025 is the Interactive Campus Material and Carbon Atlas, which reached completion during the year. Funded through the Learning and Teaching Initiative (LTI), the project brought together academic staff, professional colleagues, and students to map and analyse the material stock and embodied carbon of selected University buildings.
The Atlas has been developed as an interactive digital tool that enables users to explore building-level data, including construction materials, embodied carbon intensities, and potential opportunities for material reuse and circularity. Importantly, the project moves beyond retrospective analysis: the underlying framework enables forward projection of material requirements and carbon implications under different development and renewal scenarios.
As such, the Atlas demonstrates the value of a Living Lab that directly integrates sustainability research with campus operations. It provides a practical decision-support tool with clear relevance for estate planning, capital works prioritisation, and long-term carbon reduction strategies.
With the research and development phase now complete, the Faculty is committed to working with University stakeholders to present the tool to relevant professional teams and explore pathways for embedding it into institutional planning and sustainability processes. This next phase reflects the Faculty’s intent to ensure that Living Lab outputs translate into operational insight and long-term impact, rather than remaining standalone research artefacts.
Together with the newly established ABP Sustainability Grant, the Interactive Campus Material and Carbon Atlas illustrates how the Faculty is operationalising Living Labs across scales—from grassroots initiatives to faculty-wide decision-support infrastructure.</t>
        </is>
      </c>
      <c r="K27" s="8" t="inlineStr"/>
      <c r="L27" s="8" t="n"/>
      <c r="M27" s="8" t="n"/>
      <c r="N27" s="8" t="n"/>
      <c r="O27" s="8" t="n"/>
      <c r="P27" s="8" t="n"/>
      <c r="Q27" s="8" t="n"/>
      <c r="R27" s="8" t="n"/>
    </row>
    <row r="28" ht="150" customHeight="1">
      <c r="B28" s="7" t="inlineStr">
        <is>
          <t>EN1(c)</t>
        </is>
      </c>
      <c r="C28" s="12" t="inlineStr">
        <is>
          <t>Enablers</t>
        </is>
      </c>
      <c r="D28" s="12" t="inlineStr">
        <is>
          <t>Enablers</t>
        </is>
      </c>
      <c r="E28" s="12" t="inlineStr">
        <is>
          <t>Coordinated internal engagement and external partnerships contributing to delivery of sustainability outcomes across priority areas.</t>
        </is>
      </c>
      <c r="F28" s="8" t="inlineStr">
        <is>
          <t>In end-2025 reporting your faculty reported on the related SP2030 target 3a(ii) and rated it 'Met or exceeded' (see Column J – click [+] above Columns I–K). Please build on this rather than repeating it, focusing on what is new in 2026.
Please list the key sustainability-focused communities of practice, internal networks or external partnerships active in your faculty in 2026 (name, partners, priority area), and provide a short description of one that has contributed to a Sustainability 2030 outcome.</t>
        </is>
      </c>
      <c r="G28" s="8" t="inlineStr">
        <is>
          <t>We will report on internal engagement and partnerships contributing to Sustainability 2030 outcomes, and update our record of sustainability-focused communities of practice and contacts across the University.</t>
        </is>
      </c>
      <c r="H28" s="8" t="inlineStr">
        <is>
          <t>3a(ii)</t>
        </is>
      </c>
      <c r="I28" s="8" t="inlineStr">
        <is>
          <t>Met or exceeded</t>
        </is>
      </c>
      <c r="J28" s="8" t="inlineStr">
        <is>
          <t>In 2025, ABP continued to support sustainability-focused communities of practice that enable staff to learn from one another and embed sustainability across formal, non-formal, and informal learning contexts. These communities operate through a combination of structured forums, shared initiatives, and recognition mechanisms that make sustainability practice visible, valued, and transferable across the Faculty.
Core to this ecosystem is the Faculty’s Climate Action Group, which continues to provide a cross-disciplinary forum for peer learning, curriculum coordination, and shared reflection on sustainability pedagogy and practice. The Group has supported sustained collaboration across academic and professional staff and has played a key role in aligning Faculty initiatives with University sustainability priorities.
In 2025, the Faculty also played a leading role in hosting the Architectural Science Association (ASA) Conference, which focused strongly on sustainability, environmental performance, and design-led research. The conference was the largest attended in the 60-year history of the organisation, bringing together academics, practitioners, and industry partners from across Australia and the region. It provided a major platform for knowledge exchange on sustainability-focused teaching, research, and practice, and significantly strengthened both intra- and inter-institutional communities of practice.
Complementing these collaborative forums, the Faculty introduced the ABP Sustainability Award as a mechanism for amplifying and connecting sustainability practice across teaching, research, operations, and Faculty culture. Together, these initiatives demonstrate a mature and multi-layered approach to building sustainability-focused communities of practice—combining regular peer engagement, high-impact knowledge exchange, and recognition of exemplary work to support ongoing learning and leadership in sustainability.
Introduced in 2025, the ABP Sustainability Award functions as a Faculty-wide community-of-practice mechanism by recognising, showcasing, and disseminating exemplary sustainability initiatives led by academic and professional staff. Rather than operating solely as an individual award, the scheme is designed to surface transferable practices and create shared reference points for sustainability leadership across ABP.
The Award recognises excellence across a broad set of criteria, including innovation and leadership, collaboration and engagement, measurable environmental outcomes, integration of sustainability into teaching and learning, influence on policy and professional practice, and contributions to a culture of sustainability within the Faculty. Eligible initiatives span teaching, research, operations, and cultural change, reflecting the diverse ways sustainability is embedded across ABP.
By highlighting concrete examples of effective practice—such as projects that reduce environmental footprints, embed circularity into learning environments, or foster cross-disciplinary collaboration—the Award enables staff to learn from peers and adapt successful approaches within their own contexts. The selection process, chaired by the Assistant Dean (Sustainability) and involving senior Faculty leadership and staff representatives, further reinforces shared standards and collective ownership of sustainability goals.
In this way, the Sustainability Award complements more formal communities of practice by creating a visible, Faculty-wide platform for knowledge sharing, inspiration, and peer learning. It supports sustainability not only as a technical or curricular concern, but as a shared professional and cultural endeavour.</t>
        </is>
      </c>
      <c r="K28" s="8" t="inlineStr"/>
      <c r="L28" s="8" t="n"/>
      <c r="M28" s="8" t="n"/>
      <c r="N28" s="8" t="n"/>
      <c r="O28" s="8" t="n"/>
      <c r="P28" s="8" t="n"/>
      <c r="Q28" s="8" t="n"/>
      <c r="R28" s="8" t="n"/>
    </row>
    <row r="29" ht="150" customHeight="1">
      <c r="B29" s="7" t="inlineStr">
        <is>
          <t>EN1(d)</t>
        </is>
      </c>
      <c r="C29" s="12" t="inlineStr">
        <is>
          <t>Enablers</t>
        </is>
      </c>
      <c r="D29" s="12" t="inlineStr">
        <is>
          <t>Enablers</t>
        </is>
      </c>
      <c r="E29" s="12" t="inlineStr">
        <is>
          <t>Sustainability objectives integrated into governance and decision‑making processes, supported by transparent reporting.</t>
        </is>
      </c>
      <c r="F29" s="8" t="inlineStr">
        <is>
          <t>Please describe how sustainability is built into your faculty's governance and decision-making – e.g. a sustainability committee or Associate Dean (Sustainability) role, a faculty sustainability action plan, sustainability criteria in planning or approvals, and how progress is reported (e.g. to the Faculty Executive). Please link the action plan if one exists.</t>
        </is>
      </c>
      <c r="G29" s="8" t="inlineStr">
        <is>
          <t>We will report on how sustainability is integrated into governance and decision-making across faculties and portfolios, and use responses as a baseline for the governance enabler from 2027.</t>
        </is>
      </c>
      <c r="H29" s="8" t="inlineStr">
        <is>
          <t>N/A – new indicator</t>
        </is>
      </c>
      <c r="I29" s="8" t="inlineStr"/>
      <c r="J29" s="8" t="inlineStr"/>
      <c r="K29" s="8" t="inlineStr"/>
      <c r="L29" s="8" t="n"/>
      <c r="M29" s="8" t="n"/>
      <c r="N29" s="8" t="n"/>
      <c r="O29" s="8" t="n"/>
      <c r="P29" s="8" t="n"/>
      <c r="Q29" s="8" t="n"/>
      <c r="R29" s="8" t="n"/>
    </row>
    <row r="30"/>
    <row r="32">
      <c r="B32" s="18" t="inlineStr">
        <is>
          <t>1.2  ARTS – Faculty of Arts</t>
        </is>
      </c>
    </row>
    <row r="34">
      <c r="C34" s="19" t="inlineStr">
        <is>
          <t>Sustainability 2030 target and indicator</t>
        </is>
      </c>
      <c r="H34" s="19" t="inlineStr">
        <is>
          <t>End-2025 reporting (click the ref to see your full SR25 response; [+] above expands a summary)</t>
        </is>
      </c>
      <c r="L34" s="20" t="inlineStr">
        <is>
          <t>End-2026 reporting (PLEASE COMPLETE THIS SECTION)</t>
        </is>
      </c>
    </row>
    <row r="35">
      <c r="B35" s="6" t="inlineStr">
        <is>
          <t>Ref</t>
        </is>
      </c>
      <c r="C35" s="6" t="inlineStr">
        <is>
          <t>Priority area</t>
        </is>
      </c>
      <c r="D35" s="6" t="inlineStr">
        <is>
          <t>Sustainability 2030 target</t>
        </is>
      </c>
      <c r="E35" s="6" t="inlineStr">
        <is>
          <t>Indicator</t>
        </is>
      </c>
      <c r="F35" s="6" t="inlineStr">
        <is>
          <t>2026 Reporting request</t>
        </is>
      </c>
      <c r="G35" s="6" t="inlineStr">
        <is>
          <t>How SST will use this data</t>
        </is>
      </c>
      <c r="H35" s="6" t="inlineStr">
        <is>
          <t>Related SR25 ref</t>
        </is>
      </c>
      <c r="I35" s="6" t="inlineStr">
        <is>
          <t>End-2025 confirmed status</t>
        </is>
      </c>
      <c r="J35" s="6" t="inlineStr">
        <is>
          <t>End-2025 reporting response</t>
        </is>
      </c>
      <c r="K35" s="6" t="inlineStr">
        <is>
          <t>Links and supporting information</t>
        </is>
      </c>
      <c r="L35" s="21" t="inlineStr">
        <is>
          <t>Confirm end-2026 target status</t>
        </is>
      </c>
      <c r="M35" s="21" t="inlineStr">
        <is>
          <t>OPTION 1:  Target-level reporting (Column D)</t>
        </is>
      </c>
      <c r="N35" s="21" t="inlineStr">
        <is>
          <t>OPTION 2:  Indicator level reporting (Column E/F)</t>
        </is>
      </c>
      <c r="O35" s="21" t="inlineStr">
        <is>
          <t>Supporting information/comments</t>
        </is>
      </c>
      <c r="P35" s="21" t="inlineStr">
        <is>
          <t>Data source and limitations</t>
        </is>
      </c>
      <c r="Q35" s="21" t="inlineStr">
        <is>
          <t>Data owner confirms information is accurate</t>
        </is>
      </c>
      <c r="R35" s="21" t="inlineStr">
        <is>
          <t>Confirmed by (name, role, date)</t>
        </is>
      </c>
    </row>
    <row r="36">
      <c r="B36" s="22" t="inlineStr"/>
      <c r="C36" s="22" t="inlineStr"/>
      <c r="D36" s="22" t="inlineStr"/>
      <c r="E36" s="22" t="inlineStr"/>
      <c r="F36" s="22" t="inlineStr"/>
      <c r="G36" s="22" t="inlineStr"/>
      <c r="H36" s="22" t="inlineStr"/>
      <c r="I36" s="22" t="inlineStr"/>
      <c r="J36" s="22" t="inlineStr"/>
      <c r="K36" s="22" t="inlineStr"/>
      <c r="L36" s="22" t="inlineStr">
        <is>
          <t>(Met or exceeded; partially met; not met; not yet started)</t>
        </is>
      </c>
      <c r="M36" s="22" t="inlineStr">
        <is>
          <t>Provide further evidence of target status assessment in the form of:
A general update on activities in relation to the overarching target (Column D)</t>
        </is>
      </c>
      <c r="N36" s="22" t="inlineStr">
        <is>
          <t>Provide further evidence of target status assessment in the form of:
Data and commentary in direct response to the reporting request (Column F)</t>
        </is>
      </c>
      <c r="O36" s="22" t="inlineStr">
        <is>
          <t>Provide any additional information to support the target status assessment (e.g. links, images, rationale for selection of target status)</t>
        </is>
      </c>
      <c r="P36" s="22" t="inlineStr">
        <is>
          <t>Where did this information come from (system, report, survey, person)? Note any gaps or limitations.</t>
        </is>
      </c>
      <c r="Q36" s="22" t="inlineStr">
        <is>
          <t>Select 'Yes' to confirm the information provided is accurate and can be used for reporting</t>
        </is>
      </c>
      <c r="R36" s="22" t="inlineStr">
        <is>
          <t>Name, role and date of the person confirming</t>
        </is>
      </c>
    </row>
    <row r="37" ht="150" customHeight="1">
      <c r="B37" s="7" t="inlineStr">
        <is>
          <t>EE1(a)</t>
        </is>
      </c>
      <c r="C37" s="12" t="inlineStr">
        <is>
          <t>Exceptional education</t>
        </is>
      </c>
      <c r="D37" s="12" t="inlineStr">
        <is>
          <t>Provide our students with learning experiences that help them build the knowledge, skills and relationships to lead change for sustainable societies.</t>
        </is>
      </c>
      <c r="E37" s="12" t="inlineStr">
        <is>
          <t>Evidence of innovative approaches to sustainability teaching and learning</t>
        </is>
      </c>
      <c r="F37" s="8" t="inlineStr">
        <is>
          <t>In end-2025 reporting your faculty reported on the related SP2030 target 4a(ii) and rated it 'Partially met' (see Column J – click [+] above Columns I–K). Please build on this rather than repeating it, focusing on what is new in 2026.
Please provide one or two examples from 2026 of innovative approaches your faculty has used to embed sustainability in teaching and learning (e.g. new or redesigned subjects, curriculum design, pedagogies, assessment approaches or learning resources). Include links to subject pages or resources where available.
A full list of subjects is not required.</t>
        </is>
      </c>
      <c r="G37" s="8" t="inlineStr">
        <is>
          <t>We will collate examples of innovative sustainability teaching and learning across faculties to inform the Exceptional education section of the 2026 Sustainability Report, and select one or two for short case studies.</t>
        </is>
      </c>
      <c r="H37" s="8" t="inlineStr">
        <is>
          <t>4a(ii)</t>
        </is>
      </c>
      <c r="I37" s="8" t="inlineStr">
        <is>
          <t>Partially met</t>
        </is>
      </c>
      <c r="J37" s="8" t="inlineStr">
        <is>
          <t>This target poses some specific challenges for the Faculty of Arts because we are a large and diverse entity overwhelmingly teaching academic-focused degrees—the BA, MAs and PhDs (in addition to other smaller initiatives)—across many domains in the Humanities and Social Sciences. As such, it's important to acknowledge and respect that it would not be appropriate for 'sustainability' to be integrated equally into all components in such a varied curriculum. For example, while the SSPS Capstone intensively focused on sustainability through rich and complex case-studies, this cannot be said and should not be expected of a 2nd-year subject in French. However, we have begun discussions with colleagues about putting in place a minor within the BA which we believe would be the best way of meeting this target, amongst other things. In 2026, that discussion will be further elaborated and, we hope, concretised.</t>
        </is>
      </c>
      <c r="K37" s="8" t="inlineStr"/>
      <c r="L37" s="8" t="n"/>
      <c r="M37" s="8" t="n"/>
      <c r="N37" s="8" t="n"/>
      <c r="O37" s="8" t="n"/>
      <c r="P37" s="8" t="n"/>
      <c r="Q37" s="8" t="n"/>
      <c r="R37" s="8" t="n"/>
    </row>
    <row r="38" ht="150" customHeight="1">
      <c r="B38" s="7" t="inlineStr">
        <is>
          <t>EE1(b)</t>
        </is>
      </c>
      <c r="C38" s="12" t="inlineStr">
        <is>
          <t>Exceptional education</t>
        </is>
      </c>
      <c r="D38" s="12" t="inlineStr">
        <is>
          <t>Provide our students with learning experiences that help them build the knowledge, skills and relationships to lead change for sustainable societies.</t>
        </is>
      </c>
      <c r="E38" s="12" t="inlineStr">
        <is>
          <t>Pilots of possible approaches for understanding and developing students’ sustainability self-efficacy</t>
        </is>
      </c>
      <c r="F38" s="8" t="inlineStr">
        <is>
          <t>Has your faculty piloted or trialled any approach in 2026 to understand or build students' confidence and capability to act on sustainability (sustainability self-efficacy)? If yes, briefly describe the approach, participating cohort, what was learned and next steps. If not, please respond 'none in 2026' – this is a new indicator and a nil response is useful.
We are aware of the Sustainability Strengths Compass Living Lab project (CLLAP) and will collect it separately.</t>
        </is>
      </c>
      <c r="G38" s="8" t="inlineStr">
        <is>
          <t>This is a new indicator. We will use responses to establish a baseline of how (and whether) faculties are understanding student sustainability self-efficacy, and report on early pilots in the 2026 Sustainability Report. A nil response is useful to us.</t>
        </is>
      </c>
      <c r="H38" s="8" t="inlineStr">
        <is>
          <t>N/A – new indicator</t>
        </is>
      </c>
      <c r="I38" s="8" t="inlineStr"/>
      <c r="J38" s="8" t="inlineStr"/>
      <c r="K38" s="8" t="inlineStr"/>
      <c r="L38" s="8" t="n"/>
      <c r="M38" s="8" t="n"/>
      <c r="N38" s="8" t="n"/>
      <c r="O38" s="8" t="n"/>
      <c r="P38" s="8" t="n"/>
      <c r="Q38" s="8" t="n"/>
      <c r="R38" s="8" t="n"/>
    </row>
    <row r="39" ht="150" customHeight="1">
      <c r="B39" s="7" t="inlineStr">
        <is>
          <t>EE1(c)</t>
        </is>
      </c>
      <c r="C39" s="12" t="inlineStr">
        <is>
          <t>Exceptional education</t>
        </is>
      </c>
      <c r="D39" s="12" t="inlineStr">
        <is>
          <t>Provide our students with learning experiences that help them build the knowledge, skills and relationships to lead change for sustainable societies.</t>
        </is>
      </c>
      <c r="E39" s="12" t="inlineStr">
        <is>
          <t>Evidence of sustainability focused experiential and co curricular learning (eg Wattle Fellowship; Melbourne Plus)</t>
        </is>
      </c>
      <c r="F39" s="8" t="inlineStr">
        <is>
          <t>Please list any sustainability-focused experiential or co-curricular learning opportunities your faculty offered or supported in 2026 (e.g. industry or community projects, fieldwork, internships, student challenges), with approximate student participation where known and a one-line description of outcomes.
We will collect Wattle Fellowship and Melbourne Plus information centrally – please only include these if your faculty ran a specific activity.</t>
        </is>
      </c>
      <c r="G39" s="8" t="inlineStr">
        <is>
          <t>We will combine faculty examples with central Wattle Fellowship and Melbourne Plus data to report on the range and reach of sustainability-focused experiential and co-curricular learning across the University.</t>
        </is>
      </c>
      <c r="H39" s="8" t="inlineStr">
        <is>
          <t>N/A – new indicator</t>
        </is>
      </c>
      <c r="I39" s="8" t="inlineStr"/>
      <c r="J39" s="8" t="inlineStr"/>
      <c r="K39" s="8" t="inlineStr"/>
      <c r="L39" s="8" t="n"/>
      <c r="M39" s="8" t="n"/>
      <c r="N39" s="8" t="n"/>
      <c r="O39" s="8" t="n"/>
      <c r="P39" s="8" t="n"/>
      <c r="Q39" s="8" t="n"/>
      <c r="R39" s="8" t="n"/>
    </row>
    <row r="40" ht="150" customHeight="1">
      <c r="B40" s="7" t="inlineStr">
        <is>
          <t>EE1(d)</t>
        </is>
      </c>
      <c r="C40" s="12" t="inlineStr">
        <is>
          <t>Exceptional education</t>
        </is>
      </c>
      <c r="D40" s="12" t="inlineStr">
        <is>
          <t>Provide our students with learning experiences that help them build the knowledge, skills and relationships to lead change for sustainable societies.</t>
        </is>
      </c>
      <c r="E40" s="12" t="inlineStr">
        <is>
          <t>Alumni profiles demonstrating how graduates contribute to sustainability through their careers or communities.</t>
        </is>
      </c>
      <c r="F40" s="8" t="inlineStr">
        <is>
          <t>In end-2025 reporting your faculty reported on the related SP2030 target 4b(i) and rated it 'Partially met' (see Column J – click [+] above Columns I–K). Please build on this rather than repeating it, focusing on what is new in 2026.
Please nominate up to two alumni from your faculty whose careers or community work demonstrate how they apply sustainability knowledge and skills (name, course and graduating year, a short summary, a link to a profile if available, and whether consent to be featured is likely). If your faculty tracks sustainability-related graduate outcomes in any way, please briefly describe how.</t>
        </is>
      </c>
      <c r="G40" s="8" t="inlineStr">
        <is>
          <t>We will use nominated alumni to develop short graduate profiles for the 2026 Sustainability Report (subject to consent), and record any faculty approaches to tracking graduate outcomes to inform how this indicator is measured from 2027.</t>
        </is>
      </c>
      <c r="H40" s="8" t="inlineStr">
        <is>
          <t>4b(i)</t>
        </is>
      </c>
      <c r="I40" s="8" t="inlineStr">
        <is>
          <t>Partially met</t>
        </is>
      </c>
      <c r="J40" s="8" t="inlineStr">
        <is>
          <t>See previous response. (copied below)
While the Faculty is certainly producing such graduates, because we are a very early stage of curriculum mapping, we're unable to provide the relevant empirical data.</t>
        </is>
      </c>
      <c r="K40" s="8" t="inlineStr"/>
      <c r="L40" s="8" t="n"/>
      <c r="M40" s="8" t="n"/>
      <c r="N40" s="8" t="n"/>
      <c r="O40" s="8" t="n"/>
      <c r="P40" s="8" t="n"/>
      <c r="Q40" s="8" t="n"/>
      <c r="R40" s="8" t="n"/>
    </row>
    <row r="41" ht="150" customHeight="1">
      <c r="B41" s="7" t="inlineStr">
        <is>
          <t>TR1(a)</t>
        </is>
      </c>
      <c r="C41" s="12" t="inlineStr">
        <is>
          <t>Transformational research</t>
        </is>
      </c>
      <c r="D41" s="12" t="inlineStr">
        <is>
          <t>Utilise the expertise of the University’s researchers through mutually beneficial partnerships to help address the University’s operational sustainability challenges.</t>
        </is>
      </c>
      <c r="E41" s="12" t="inlineStr">
        <is>
          <t>Expert-reviewed evidence of researchers contributing to operational sustainability priorities through partnerships, advisory input, living labs, applied projects or decision-support</t>
        </is>
      </c>
      <c r="F41" s="8" t="inlineStr">
        <is>
          <t>In end-2025 reporting your faculty reported on the related SP2030 target 2a and rated it 'Met or exceeded' (see Column J – click [+] above Columns I–K). Please build on this rather than repeating it, focusing on what is new in 2026.
Please provide up to two examples from 2026 of researchers in your faculty contributing to the University's own operational sustainability challenges (e.g. advising on campus energy, biodiversity, waste or buildings; applied projects; decision-support tools). For each, briefly describe the operational challenge, the researcher's contribution, the University team involved and the result.
We will collect Campus Living Lab Accelerator Program (CLLAP) projects separately from CI&amp;S – please include other examples only.</t>
        </is>
      </c>
      <c r="G41" s="8" t="inlineStr">
        <is>
          <t>We will report on examples of researchers helping solve the University's own operational sustainability challenges, alongside CLLAP projects reported by CI&amp;S, and share them with operational teams to identify further collaboration.</t>
        </is>
      </c>
      <c r="H41" s="8" t="inlineStr">
        <is>
          <t>2a</t>
        </is>
      </c>
      <c r="I41" s="8" t="inlineStr">
        <is>
          <t>Met or exceeded</t>
        </is>
      </c>
      <c r="J41" s="8" t="inlineStr">
        <is>
          <t>See attached report. (RH note: Saved in responses folder)</t>
        </is>
      </c>
      <c r="K41" s="8" t="inlineStr">
        <is>
          <t>Draft report on the Living Lab project is here: Report John Medley Living Lab Project FINAL.docx</t>
        </is>
      </c>
      <c r="L41" s="8" t="n"/>
      <c r="M41" s="8" t="n"/>
      <c r="N41" s="8" t="n"/>
      <c r="O41" s="8" t="n"/>
      <c r="P41" s="8" t="n"/>
      <c r="Q41" s="8" t="n"/>
      <c r="R41" s="8" t="n"/>
    </row>
    <row r="42" ht="150" customHeight="1">
      <c r="B42" s="7" t="inlineStr">
        <is>
          <t>TR1(b)</t>
        </is>
      </c>
      <c r="C42" s="12" t="inlineStr">
        <is>
          <t>Transformational research</t>
        </is>
      </c>
      <c r="D42" s="12" t="inlineStr">
        <is>
          <t>Utilise the expertise of the University’s researchers through mutually beneficial partnerships to help address the University’s operational sustainability challenges.</t>
        </is>
      </c>
      <c r="E42" s="12" t="inlineStr">
        <is>
          <t>Evidence of institutional pathways that enable ongoing collaboration between academic and professional staff</t>
        </is>
      </c>
      <c r="F42" s="8" t="inlineStr">
        <is>
          <t>Does your faculty have any mechanism that supports ongoing collaboration between academic and professional staff on operational sustainability (e.g. a sustainability committee with mixed membership, seed funding, a coordination role or a regular forum)? If yes, briefly describe it and how often it operates. If not, please say so.</t>
        </is>
      </c>
      <c r="G42" s="8" t="inlineStr">
        <is>
          <t>We will map existing academic–professional collaboration mechanisms across faculties to establish a baseline for this new indicator and identify models other faculties could adopt.</t>
        </is>
      </c>
      <c r="H42" s="8" t="inlineStr">
        <is>
          <t>N/A – new indicator</t>
        </is>
      </c>
      <c r="I42" s="8" t="inlineStr"/>
      <c r="J42" s="8" t="inlineStr"/>
      <c r="K42" s="8" t="inlineStr"/>
      <c r="L42" s="8" t="n"/>
      <c r="M42" s="8" t="n"/>
      <c r="N42" s="8" t="n"/>
      <c r="O42" s="8" t="n"/>
      <c r="P42" s="8" t="n"/>
      <c r="Q42" s="8" t="n"/>
      <c r="R42" s="8" t="n"/>
    </row>
    <row r="43" ht="150" customHeight="1">
      <c r="B43" s="7" t="inlineStr">
        <is>
          <t>TR1(c)</t>
        </is>
      </c>
      <c r="C43" s="12" t="inlineStr">
        <is>
          <t>Transformational research</t>
        </is>
      </c>
      <c r="D43" s="12" t="inlineStr">
        <is>
          <t>Utilise the expertise of the University’s researchers through mutually beneficial partnerships to help address the University’s operational sustainability challenges.</t>
        </is>
      </c>
      <c r="E43" s="12" t="inlineStr">
        <is>
          <t>Expert assessment of the quality, relevance and continuity of these collaborations</t>
        </is>
      </c>
      <c r="F43" s="8" t="inlineStr">
        <is>
          <t>For the collaborations described in TR1(a)–(b), please give a short assessment (a paragraph is sufficient) of their quality, relevance and continuity: are they ongoing, useful to the University's operational priorities, and producing outcomes?</t>
        </is>
      </c>
      <c r="G43" s="8" t="inlineStr">
        <is>
          <t>We will use your assessment to describe the quality and continuity of research–operations collaboration in the 2026 report, and as baseline evidence for the interim target status assessment from 2027.</t>
        </is>
      </c>
      <c r="H43" s="8" t="inlineStr">
        <is>
          <t>N/A – new indicator</t>
        </is>
      </c>
      <c r="I43" s="8" t="inlineStr"/>
      <c r="J43" s="8" t="inlineStr"/>
      <c r="K43" s="8" t="inlineStr"/>
      <c r="L43" s="8" t="n"/>
      <c r="M43" s="8" t="n"/>
      <c r="N43" s="8" t="n"/>
      <c r="O43" s="8" t="n"/>
      <c r="P43" s="8" t="n"/>
      <c r="Q43" s="8" t="n"/>
      <c r="R43" s="8" t="n"/>
    </row>
    <row r="44" ht="150" customHeight="1">
      <c r="B44" s="7" t="inlineStr">
        <is>
          <t>TR1(d)</t>
        </is>
      </c>
      <c r="C44" s="12" t="inlineStr">
        <is>
          <t>Transformational research</t>
        </is>
      </c>
      <c r="D44" s="12" t="inlineStr">
        <is>
          <t>Utilise the expertise of the University’s researchers through mutually beneficial partnerships to help address the University’s operational sustainability challenges.</t>
        </is>
      </c>
      <c r="E44" s="12" t="inlineStr">
        <is>
          <t>Periodic feedback from participants on the effectiveness and mutual benefit of collaboration mechanisms.</t>
        </is>
      </c>
      <c r="F44" s="8" t="inlineStr">
        <is>
          <t>Has your faculty collected any feedback from participants (researchers or operational staff) on how well these collaboration mechanisms work and whether they are mutually beneficial? If yes, summarise key findings and any improvements identified; if not, please say so.</t>
        </is>
      </c>
      <c r="G44" s="8" t="inlineStr">
        <is>
          <t>We will use any feedback to understand whether collaboration mechanisms are working and to inform improvements. Where none has been collected, this helps us plan how to gather feedback from 2027.</t>
        </is>
      </c>
      <c r="H44" s="8" t="inlineStr">
        <is>
          <t>N/A – new indicator</t>
        </is>
      </c>
      <c r="I44" s="8" t="inlineStr"/>
      <c r="J44" s="8" t="inlineStr"/>
      <c r="K44" s="8" t="inlineStr"/>
      <c r="L44" s="8" t="n"/>
      <c r="M44" s="8" t="n"/>
      <c r="N44" s="8" t="n"/>
      <c r="O44" s="8" t="n"/>
      <c r="P44" s="8" t="n"/>
      <c r="Q44" s="8" t="n"/>
      <c r="R44" s="8" t="n"/>
    </row>
    <row r="45" ht="150" customHeight="1">
      <c r="B45" s="7" t="inlineStr">
        <is>
          <t>TR2(a)</t>
        </is>
      </c>
      <c r="C45" s="12" t="inlineStr">
        <is>
          <t>Transformational research</t>
        </is>
      </c>
      <c r="D45" s="12" t="inlineStr">
        <is>
          <t>Deliver high-quality research and partnerships that contribute to sustainability outcomes and demonstrable societal benefit.</t>
        </is>
      </c>
      <c r="E45" s="12" t="inlineStr">
        <is>
          <t>Evidence of sustainability-related research impact across diverse pathways, could include policy, industry, community, practice, cultural and institutional outcomes</t>
        </is>
      </c>
      <c r="F45" s="8" t="inlineStr">
        <is>
          <t>In end-2025 reporting your faculty reported on the related SP2030 target 5b(i) and rated it 'Met or exceeded' (see Column J – click [+] above Columns I–K). Please build on this rather than repeating it, focusing on what is new in 2026.
Please provide one or two examples from 2026 of sustainability-related research from your faculty that has had impact beyond academia – on policy, industry, community, practice, cultural or institutional outcomes. For each, briefly describe the research, the partner or user, and the resulting change or influence, with links (e.g. Pursuit articles, policy submissions, reports).
We will source University-wide research metrics (e.g. SDG-mapped publications via SciVal) from MRE – publication counts are not required.</t>
        </is>
      </c>
      <c r="G45" s="8" t="inlineStr">
        <is>
          <t>We will collate research impact examples across faculties to show the breadth of sustainability-related research impact in the Transformational research section of the 2026 Sustainability Report, complementing University-wide metrics from MRE.</t>
        </is>
      </c>
      <c r="H45" s="8" t="inlineStr">
        <is>
          <t>5b(i)</t>
        </is>
      </c>
      <c r="I45" s="8" t="inlineStr">
        <is>
          <t>Met or exceeded</t>
        </is>
      </c>
      <c r="J45" s="8" t="inlineStr">
        <is>
          <t>In addition to the matters listed at mid-2025, the Ass Dean joined the Board of MBI and hosted a major showcase of MBI activities to Arts Faculty researchers which boosted involvement in the BDI's researech clusters</t>
        </is>
      </c>
      <c r="K45" s="8" t="inlineStr"/>
      <c r="L45" s="8" t="n"/>
      <c r="M45" s="8" t="n"/>
      <c r="N45" s="8" t="n"/>
      <c r="O45" s="8" t="n"/>
      <c r="P45" s="8" t="n"/>
      <c r="Q45" s="8" t="n"/>
      <c r="R45" s="8" t="n"/>
    </row>
    <row r="46" ht="150" customHeight="1">
      <c r="B46" s="7" t="inlineStr">
        <is>
          <t>TR2(d)</t>
        </is>
      </c>
      <c r="C46" s="12" t="inlineStr">
        <is>
          <t>Transformational research</t>
        </is>
      </c>
      <c r="D46" s="12" t="inlineStr">
        <is>
          <t>Deliver high-quality research and partnerships that contribute to sustainability outcomes and demonstrable societal benefit.</t>
        </is>
      </c>
      <c r="E46" s="12" t="inlineStr">
        <is>
          <t>Case-based evidence demonstrating how research has contributed to meaningful sustainability outcomes.</t>
        </is>
      </c>
      <c r="F46" s="8" t="inlineStr">
        <is>
          <t>In end-2025 reporting your faculty reported on the related SP2030 target 5b(i) and rated it 'Met or exceeded' (see Column J – click [+] above Columns I–K). Please build on this rather than repeating it, focusing on what is new in 2026.
Please provide one case study (up to 300 words) of a research project from your faculty that has contributed to a meaningful sustainability outcome: the research, stakeholders involved, pathway to impact and evidence of the outcome. This can be one of the examples from TR2(a), developed in more detail.
We are also seeking examples from Melbourne Climate Futures, the Melbourne Biodiversity Institute and Strategic Communications.</t>
        </is>
      </c>
      <c r="G46" s="8" t="inlineStr">
        <is>
          <t>We will select the strongest examples to develop as full research case studies for the 2026 Sustainability Report (we may contact you for more detail and images).</t>
        </is>
      </c>
      <c r="H46" s="8" t="inlineStr">
        <is>
          <t>5b(i)</t>
        </is>
      </c>
      <c r="I46" s="8" t="inlineStr">
        <is>
          <t>Met or exceeded</t>
        </is>
      </c>
      <c r="J46" s="8" t="inlineStr">
        <is>
          <t>In addition to the matters listed at mid-2025, the Ass Dean joined the Board of MBI and hosted a major showcase of MBI activities to Arts Faculty researchers which boosted involvement in the BDI's researech clusters</t>
        </is>
      </c>
      <c r="K46" s="8" t="inlineStr"/>
      <c r="L46" s="8" t="n"/>
      <c r="M46" s="8" t="n"/>
      <c r="N46" s="8" t="n"/>
      <c r="O46" s="8" t="n"/>
      <c r="P46" s="8" t="n"/>
      <c r="Q46" s="8" t="n"/>
      <c r="R46" s="8" t="n"/>
    </row>
    <row r="47" ht="150" customHeight="1">
      <c r="B47" s="7" t="inlineStr">
        <is>
          <t>TR3(a)</t>
        </is>
      </c>
      <c r="C47" s="12" t="inlineStr">
        <is>
          <t>Transformational research</t>
        </is>
      </c>
      <c r="D47" s="12" t="inlineStr">
        <is>
          <t>Embed sustainability within research systems, processes, capability and culture, so research is conducted responsibly, efficiently and with reduced environmental impact.</t>
        </is>
      </c>
      <c r="E47" s="12" t="inlineStr">
        <is>
          <t>Evidence that sustainability considerations are integrated into relevant research systems, planning processes, guidance, training, induction or support services</t>
        </is>
      </c>
      <c r="F47" s="8" t="inlineStr">
        <is>
          <t>In end-2025 reporting your faculty reported on the related SP2030 target 5c(ii) and rated it 'Not met' (see Column J – click [+] above Columns I–K). Please build on this rather than repeating it, focusing on what is new in 2026.
Please describe how sustainability considerations are built into your faculty's research systems or support – e.g. research planning or approval processes, guidance, graduate researcher induction or training, grant development support. Please highlight any new or improved process introduced in 2026.</t>
        </is>
      </c>
      <c r="G47" s="8" t="inlineStr">
        <is>
          <t>We will report on how sustainability is being built into research systems and support across the University, and use responses to establish a baseline for this new target.</t>
        </is>
      </c>
      <c r="H47" s="8" t="inlineStr">
        <is>
          <t>5c(ii)</t>
        </is>
      </c>
      <c r="I47" s="8" t="inlineStr">
        <is>
          <t>Not met</t>
        </is>
      </c>
      <c r="J47" s="8" t="inlineStr">
        <is>
          <t>This needs more specific attention
In general terms, the Faculty has focused on reducing air travel, the major environmental impact of our research activity.</t>
        </is>
      </c>
      <c r="K47" s="8" t="inlineStr"/>
      <c r="L47" s="8" t="n"/>
      <c r="M47" s="8" t="n"/>
      <c r="N47" s="8" t="n"/>
      <c r="O47" s="8" t="n"/>
      <c r="P47" s="8" t="n"/>
      <c r="Q47" s="8" t="n"/>
      <c r="R47" s="8" t="n"/>
    </row>
    <row r="48" ht="150" customHeight="1">
      <c r="B48" s="7" t="inlineStr">
        <is>
          <t>TR3(b)</t>
        </is>
      </c>
      <c r="C48" s="12" t="inlineStr">
        <is>
          <t>Transformational research</t>
        </is>
      </c>
      <c r="D48" s="12" t="inlineStr">
        <is>
          <t>Embed sustainability within research systems, processes, capability and culture, so research is conducted responsibly, efficiently and with reduced environmental impact.</t>
        </is>
      </c>
      <c r="E48" s="12" t="inlineStr">
        <is>
          <t>Demonstrated examples of more sustainable research practices in laboratories, fieldwork, procurement, travel or infrastructure use</t>
        </is>
      </c>
      <c r="F48" s="8" t="inlineStr">
        <is>
          <t>In end-2025 reporting your faculty reported on the related SP2030 target 5c(ii) and rated it 'Not met' (see Column J – click [+] above Columns I–K). Please build on this rather than repeating it, focusing on what is new in 2026.
Are there any efforts within the faculty to make research practices more sustainable (e.g. green lab certification, equipment sharing, reduced research travel, sustainable fieldwork, sustainable procurement of research consumables)? If so, please describe up to two examples and any evidence of uptake, resource savings or emissions reductions.</t>
        </is>
      </c>
      <c r="G48" s="8" t="inlineStr">
        <is>
          <t>We will report on ways the University is making research practices more sustainable in the 2026 Sustainability Report, and share practical examples (e.g. green labs) across faculties.</t>
        </is>
      </c>
      <c r="H48" s="8" t="inlineStr">
        <is>
          <t>5c(ii)</t>
        </is>
      </c>
      <c r="I48" s="8" t="inlineStr">
        <is>
          <t>Not met</t>
        </is>
      </c>
      <c r="J48" s="8" t="inlineStr">
        <is>
          <t>This needs more specific attention
In general terms, the Faculty has focused on reducing air travel, the major environmental impact of our research activity.</t>
        </is>
      </c>
      <c r="K48" s="8" t="inlineStr"/>
      <c r="L48" s="8" t="n"/>
      <c r="M48" s="8" t="n"/>
      <c r="N48" s="8" t="n"/>
      <c r="O48" s="8" t="n"/>
      <c r="P48" s="8" t="n"/>
      <c r="Q48" s="8" t="n"/>
      <c r="R48" s="8" t="n"/>
    </row>
    <row r="49" ht="150" customHeight="1">
      <c r="B49" s="7" t="inlineStr">
        <is>
          <t>TR3(c)</t>
        </is>
      </c>
      <c r="C49" s="12" t="inlineStr">
        <is>
          <t>Transformational research</t>
        </is>
      </c>
      <c r="D49" s="12" t="inlineStr">
        <is>
          <t>Embed sustainability within research systems, processes, capability and culture, so research is conducted responsibly, efficiently and with reduced environmental impact.</t>
        </is>
      </c>
      <c r="E49" s="12" t="inlineStr">
        <is>
          <t>Evidence of progress in sustainability-related research culture, capability and awareness, informed by periodic staff and graduate researcher surveys</t>
        </is>
      </c>
      <c r="F49" s="8" t="inlineStr">
        <is>
          <t>Does your faculty have any evidence of change in sustainability-related research culture, capability or awareness – e.g. results from staff or graduate researcher surveys, or participation in capability-building events or training? Please provide a brief summary and the source. If no evidence is available, please say so.</t>
        </is>
      </c>
      <c r="G49" s="8" t="inlineStr">
        <is>
          <t>We will use any survey or capability data to describe changes in sustainability-related research culture. Where no evidence exists, this helps us plan University-wide measurement (e.g. staff and graduate researcher surveys) from 2027.</t>
        </is>
      </c>
      <c r="H49" s="8" t="inlineStr">
        <is>
          <t>N/A – new indicator</t>
        </is>
      </c>
      <c r="I49" s="8" t="inlineStr"/>
      <c r="J49" s="8" t="inlineStr"/>
      <c r="K49" s="8" t="inlineStr"/>
      <c r="L49" s="8" t="n"/>
      <c r="M49" s="8" t="n"/>
      <c r="N49" s="8" t="n"/>
      <c r="O49" s="8" t="n"/>
      <c r="P49" s="8" t="n"/>
      <c r="Q49" s="8" t="n"/>
      <c r="R49" s="8" t="n"/>
    </row>
    <row r="50" ht="150" customHeight="1">
      <c r="B50" s="7" t="inlineStr">
        <is>
          <t>TR3(d)</t>
        </is>
      </c>
      <c r="C50" s="12" t="inlineStr">
        <is>
          <t>Transformational research</t>
        </is>
      </c>
      <c r="D50" s="12" t="inlineStr">
        <is>
          <t>Embed sustainability within research systems, processes, capability and culture, so research is conducted responsibly, efficiently and with reduced environmental impact.</t>
        </is>
      </c>
      <c r="E50" s="12" t="inlineStr">
        <is>
          <t>Expert assessment of progress in embedding sustainable research practices across the institution.</t>
        </is>
      </c>
      <c r="F50" s="8" t="inlineStr">
        <is>
          <t>Drawing on your responses to TR3(a)–(c), please provide a short overall assessment (2–3 sentences) of your faculty's progress in embedding sustainable research practices: where progress is strongest, the main gaps, and priority actions for 2027.</t>
        </is>
      </c>
      <c r="G50" s="8" t="inlineStr">
        <is>
          <t>We will use faculty self-assessments to identify strengths, gaps and priority actions in embedding sustainable research practices, to inform internal management reporting and the Transformational research working group.</t>
        </is>
      </c>
      <c r="H50" s="8" t="inlineStr">
        <is>
          <t>N/A – new indicator</t>
        </is>
      </c>
      <c r="I50" s="8" t="inlineStr"/>
      <c r="J50" s="8" t="inlineStr"/>
      <c r="K50" s="8" t="inlineStr"/>
      <c r="L50" s="8" t="n"/>
      <c r="M50" s="8" t="n"/>
      <c r="N50" s="8" t="n"/>
      <c r="O50" s="8" t="n"/>
      <c r="P50" s="8" t="n"/>
      <c r="Q50" s="8" t="n"/>
      <c r="R50" s="8" t="n"/>
    </row>
    <row r="51" ht="150" customHeight="1">
      <c r="B51" s="7" t="inlineStr">
        <is>
          <t>CL2(a)</t>
        </is>
      </c>
      <c r="C51" s="12" t="inlineStr">
        <is>
          <t>Climate leadership</t>
        </is>
      </c>
      <c r="D51" s="12" t="inlineStr">
        <is>
          <t>Develop understanding of our research and education programs that contribute to accelerating global decarbonisation and our own climate transition.</t>
        </is>
      </c>
      <c r="E51" s="12" t="inlineStr">
        <is>
          <t>By 2028, develop and document institutional mapping of research and education activities that are designed to contribute to global decarbonisation</t>
        </is>
      </c>
      <c r="F51" s="8" t="inlineStr">
        <is>
          <t>Please list up to three examples of 2026 communications from your faculty that showcase climate action, research or learning and aim to inform policy, sector or community decarbonisation (e.g. policy submissions, public events, media, reports). Include links, the intended audience and any reach data you have.
This will also contribute to the University's mapping of decarbonisation-related research and education (due by 2028).</t>
        </is>
      </c>
      <c r="G51" s="8" t="inlineStr">
        <is>
          <t>We will use these examples to show how the University communicates climate research and learning to external audiences, and as an input to the institutional decarbonisation research and education mapping due by 2028.</t>
        </is>
      </c>
      <c r="H51" s="8" t="inlineStr">
        <is>
          <t>N/A – new indicator</t>
        </is>
      </c>
      <c r="I51" s="8" t="inlineStr"/>
      <c r="J51" s="8" t="inlineStr"/>
      <c r="K51" s="8" t="inlineStr"/>
      <c r="L51" s="8" t="n"/>
      <c r="M51" s="8" t="n"/>
      <c r="N51" s="8" t="n"/>
      <c r="O51" s="8" t="n"/>
      <c r="P51" s="8" t="n"/>
      <c r="Q51" s="8" t="n"/>
      <c r="R51" s="8" t="n"/>
    </row>
    <row r="52" ht="150" customHeight="1">
      <c r="B52" s="7" t="inlineStr">
        <is>
          <t>CL2(c)</t>
        </is>
      </c>
      <c r="C52" s="12" t="inlineStr">
        <is>
          <t>Climate leadership</t>
        </is>
      </c>
      <c r="D52" s="12" t="inlineStr">
        <is>
          <t>Develop understanding of our research and education programs that contribute to accelerating global decarbonisation and our own climate transition.</t>
        </is>
      </c>
      <c r="E52" s="12" t="inlineStr">
        <is>
          <t>Ongoing communications that evidence the University’s climate action, research and learning to inform policy, sector and community decarbonisation efforts.</t>
        </is>
      </c>
      <c r="F52" s="8" t="inlineStr">
        <is>
          <t>If not already covered in CL2(a), please list any ongoing channels or programs (e.g. event series, newsletters, podcasts, policy engagement) through which your faculty regularly communicates climate research and learning to policy, sector or community audiences. You may respond 'see CL2(a)' if already covered.
We will also engage Melbourne Climate Futures and the Melbourne Energy Institute.</t>
        </is>
      </c>
      <c r="G52" s="8" t="inlineStr">
        <is>
          <t>We will report on the University's ongoing climate communications in the Climate leadership section of the 2026 Sustainability Report, alongside contributions from Melbourne Climate Futures and the Melbourne Energy Institute.</t>
        </is>
      </c>
      <c r="H52" s="8" t="inlineStr">
        <is>
          <t>N/A – new indicator</t>
        </is>
      </c>
      <c r="I52" s="8" t="inlineStr"/>
      <c r="J52" s="8" t="inlineStr"/>
      <c r="K52" s="8" t="inlineStr"/>
      <c r="L52" s="8" t="n"/>
      <c r="M52" s="8" t="n"/>
      <c r="N52" s="8" t="n"/>
      <c r="O52" s="8" t="n"/>
      <c r="P52" s="8" t="n"/>
      <c r="Q52" s="8" t="n"/>
      <c r="R52" s="8" t="n"/>
    </row>
    <row r="53" ht="150" customHeight="1">
      <c r="B53" s="7" t="inlineStr">
        <is>
          <t>EN1(a)</t>
        </is>
      </c>
      <c r="C53" s="12" t="inlineStr">
        <is>
          <t>Enablers</t>
        </is>
      </c>
      <c r="D53" s="12" t="inlineStr">
        <is>
          <t>Enablers</t>
        </is>
      </c>
      <c r="E53" s="12" t="inlineStr">
        <is>
          <t>Evidence of sustainability outcomes informed by Indigenous knowledges</t>
        </is>
      </c>
      <c r="F53" s="8" t="inlineStr">
        <is>
          <t>In end-2025 reporting your faculty reported on the related SP2030 target 6a and rated it 'Partially met' (see Column J – click [+] above Columns I–K). Please build on this rather than repeating it, focusing on what is new in 2026.
Please provide one case study of an activity in your faculty (education, research, engagement or operations) where Indigenous knowledges informed a sustainability outcome. Describe the activity, how Indigenous knowledges were incorporated or co-created and with whom, and the result. Please confirm that appropriate permissions are in place for sharing.</t>
        </is>
      </c>
      <c r="G53" s="8" t="inlineStr">
        <is>
          <t>We will report on the ways Indigenous knowledges inform sustainability activities across the University, and develop selected examples into case studies with appropriate permissions.</t>
        </is>
      </c>
      <c r="H53" s="8" t="inlineStr">
        <is>
          <t>6a</t>
        </is>
      </c>
      <c r="I53" s="8" t="inlineStr">
        <is>
          <t>Partially met</t>
        </is>
      </c>
      <c r="J53" s="8" t="inlineStr">
        <is>
          <t>See previous response. (copied below) 
In addition to housing the Indigenous Studies Program, academic staff have contributed to University-wide Indigenous-led initiatives with important sustainability consequences, and more broadly, champsion such values in their scholarly work.</t>
        </is>
      </c>
      <c r="K53" s="8" t="inlineStr"/>
      <c r="L53" s="8" t="n"/>
      <c r="M53" s="8" t="n"/>
      <c r="N53" s="8" t="n"/>
      <c r="O53" s="8" t="n"/>
      <c r="P53" s="8" t="n"/>
      <c r="Q53" s="8" t="n"/>
      <c r="R53" s="8" t="n"/>
    </row>
    <row r="54" ht="150" customHeight="1">
      <c r="B54" s="7" t="inlineStr">
        <is>
          <t>EN1(b)</t>
        </is>
      </c>
      <c r="C54" s="12" t="inlineStr">
        <is>
          <t>Enablers</t>
        </is>
      </c>
      <c r="D54" s="12" t="inlineStr">
        <is>
          <t>Enablers</t>
        </is>
      </c>
      <c r="E54" s="12" t="inlineStr">
        <is>
          <t>Living laboratories enabling applied learning, research and operational sustainability outcomes</t>
        </is>
      </c>
      <c r="F54" s="8" t="inlineStr">
        <is>
          <t>In end-2025 reporting your faculty reported on the related SP2030 target 2a and rated it 'Met or exceeded' (see Column J – click [+] above Columns I–K). Please build on this rather than repeating it, focusing on what is new in 2026.
Please provide a case study of a living lab which operates within your faculty, including a description of its activities, who is involved (students, researchers, operational staff) and its outputs, outcomes or impact in 2026.
Please note we will approach living labs funded through the Campus Living Lab Accelerator Program (CLLAP) separately.</t>
        </is>
      </c>
      <c r="G54" s="8" t="inlineStr">
        <is>
          <t>We will share examples of living labs from across the University in the 2026 Sustainability Report, alongside CLLAP projects reported by CI&amp;S.</t>
        </is>
      </c>
      <c r="H54" s="8" t="inlineStr">
        <is>
          <t>2a</t>
        </is>
      </c>
      <c r="I54" s="8" t="inlineStr">
        <is>
          <t>Met or exceeded</t>
        </is>
      </c>
      <c r="J54" s="8" t="inlineStr">
        <is>
          <t>See attached report. (RH note: Saved in responses folder)</t>
        </is>
      </c>
      <c r="K54" s="8" t="inlineStr">
        <is>
          <t>Draft report on the Living Lab project is here: Report John Medley Living Lab Project FINAL.docx</t>
        </is>
      </c>
      <c r="L54" s="8" t="n"/>
      <c r="M54" s="8" t="n"/>
      <c r="N54" s="8" t="n"/>
      <c r="O54" s="8" t="n"/>
      <c r="P54" s="8" t="n"/>
      <c r="Q54" s="8" t="n"/>
      <c r="R54" s="8" t="n"/>
    </row>
    <row r="55" ht="150" customHeight="1">
      <c r="B55" s="7" t="inlineStr">
        <is>
          <t>EN1(c)</t>
        </is>
      </c>
      <c r="C55" s="12" t="inlineStr">
        <is>
          <t>Enablers</t>
        </is>
      </c>
      <c r="D55" s="12" t="inlineStr">
        <is>
          <t>Enablers</t>
        </is>
      </c>
      <c r="E55" s="12" t="inlineStr">
        <is>
          <t>Coordinated internal engagement and external partnerships contributing to delivery of sustainability outcomes across priority areas.</t>
        </is>
      </c>
      <c r="F55" s="8" t="inlineStr">
        <is>
          <t>In end-2025 reporting your faculty reported on the related SP2030 target 3a(ii) and rated it 'Partially met' (see Column J – click [+] above Columns I–K). Please build on this rather than repeating it, focusing on what is new in 2026.
Please list the key sustainability-focused communities of practice, internal networks or external partnerships active in your faculty in 2026 (name, partners, priority area), and provide a short description of one that has contributed to a Sustainability 2030 outcome.</t>
        </is>
      </c>
      <c r="G55" s="8" t="inlineStr">
        <is>
          <t>We will report on internal engagement and partnerships contributing to Sustainability 2030 outcomes, and update our record of sustainability-focused communities of practice and contacts across the University.</t>
        </is>
      </c>
      <c r="H55" s="8" t="inlineStr">
        <is>
          <t>3a(ii)</t>
        </is>
      </c>
      <c r="I55" s="8" t="inlineStr">
        <is>
          <t>Partially met</t>
        </is>
      </c>
      <c r="J55" s="8" t="inlineStr">
        <is>
          <t>Academics in the Faculty have supported and learned from each other in new ways through the Living Lab and through using the sustainability networks in the Faculty and beyond to showcase and develop T&amp;L initiatives. This is, of course, an ongoing process.</t>
        </is>
      </c>
      <c r="K55" s="8" t="inlineStr"/>
      <c r="L55" s="8" t="n"/>
      <c r="M55" s="8" t="n"/>
      <c r="N55" s="8" t="n"/>
      <c r="O55" s="8" t="n"/>
      <c r="P55" s="8" t="n"/>
      <c r="Q55" s="8" t="n"/>
      <c r="R55" s="8" t="n"/>
    </row>
    <row r="56" ht="150" customHeight="1">
      <c r="B56" s="7" t="inlineStr">
        <is>
          <t>EN1(d)</t>
        </is>
      </c>
      <c r="C56" s="12" t="inlineStr">
        <is>
          <t>Enablers</t>
        </is>
      </c>
      <c r="D56" s="12" t="inlineStr">
        <is>
          <t>Enablers</t>
        </is>
      </c>
      <c r="E56" s="12" t="inlineStr">
        <is>
          <t>Sustainability objectives integrated into governance and decision‑making processes, supported by transparent reporting.</t>
        </is>
      </c>
      <c r="F56" s="8" t="inlineStr">
        <is>
          <t>Please describe how sustainability is built into your faculty's governance and decision-making – e.g. a sustainability committee or Associate Dean (Sustainability) role, a faculty sustainability action plan, sustainability criteria in planning or approvals, and how progress is reported (e.g. to the Faculty Executive). Please link the action plan if one exists.</t>
        </is>
      </c>
      <c r="G56" s="8" t="inlineStr">
        <is>
          <t>We will report on how sustainability is integrated into governance and decision-making across faculties and portfolios, and use responses as a baseline for the governance enabler from 2027.</t>
        </is>
      </c>
      <c r="H56" s="8" t="inlineStr">
        <is>
          <t>N/A – new indicator</t>
        </is>
      </c>
      <c r="I56" s="8" t="inlineStr"/>
      <c r="J56" s="8" t="inlineStr"/>
      <c r="K56" s="8" t="inlineStr"/>
      <c r="L56" s="8" t="n"/>
      <c r="M56" s="8" t="n"/>
      <c r="N56" s="8" t="n"/>
      <c r="O56" s="8" t="n"/>
      <c r="P56" s="8" t="n"/>
      <c r="Q56" s="8" t="n"/>
      <c r="R56" s="8" t="n"/>
    </row>
    <row r="57"/>
    <row r="59">
      <c r="B59" s="18" t="inlineStr">
        <is>
          <t>1.3  FBE – Faculty of Business and Economics</t>
        </is>
      </c>
    </row>
    <row r="61">
      <c r="C61" s="19" t="inlineStr">
        <is>
          <t>Sustainability 2030 target and indicator</t>
        </is>
      </c>
      <c r="H61" s="19" t="inlineStr">
        <is>
          <t>End-2025 reporting (click the ref to see your full SR25 response; [+] above expands a summary)</t>
        </is>
      </c>
      <c r="L61" s="20" t="inlineStr">
        <is>
          <t>End-2026 reporting (PLEASE COMPLETE THIS SECTION)</t>
        </is>
      </c>
    </row>
    <row r="62">
      <c r="B62" s="6" t="inlineStr">
        <is>
          <t>Ref</t>
        </is>
      </c>
      <c r="C62" s="6" t="inlineStr">
        <is>
          <t>Priority area</t>
        </is>
      </c>
      <c r="D62" s="6" t="inlineStr">
        <is>
          <t>Sustainability 2030 target</t>
        </is>
      </c>
      <c r="E62" s="6" t="inlineStr">
        <is>
          <t>Indicator</t>
        </is>
      </c>
      <c r="F62" s="6" t="inlineStr">
        <is>
          <t>2026 Reporting request</t>
        </is>
      </c>
      <c r="G62" s="6" t="inlineStr">
        <is>
          <t>How SST will use this data</t>
        </is>
      </c>
      <c r="H62" s="6" t="inlineStr">
        <is>
          <t>Related SR25 ref</t>
        </is>
      </c>
      <c r="I62" s="6" t="inlineStr">
        <is>
          <t>End-2025 confirmed status</t>
        </is>
      </c>
      <c r="J62" s="6" t="inlineStr">
        <is>
          <t>End-2025 reporting response</t>
        </is>
      </c>
      <c r="K62" s="6" t="inlineStr">
        <is>
          <t>Links and supporting information</t>
        </is>
      </c>
      <c r="L62" s="21" t="inlineStr">
        <is>
          <t>Confirm end-2026 target status</t>
        </is>
      </c>
      <c r="M62" s="21" t="inlineStr">
        <is>
          <t>OPTION 1:  Target-level reporting (Column D)</t>
        </is>
      </c>
      <c r="N62" s="21" t="inlineStr">
        <is>
          <t>OPTION 2:  Indicator level reporting (Column E/F)</t>
        </is>
      </c>
      <c r="O62" s="21" t="inlineStr">
        <is>
          <t>Supporting information/comments</t>
        </is>
      </c>
      <c r="P62" s="21" t="inlineStr">
        <is>
          <t>Data source and limitations</t>
        </is>
      </c>
      <c r="Q62" s="21" t="inlineStr">
        <is>
          <t>Data owner confirms information is accurate</t>
        </is>
      </c>
      <c r="R62" s="21" t="inlineStr">
        <is>
          <t>Confirmed by (name, role, date)</t>
        </is>
      </c>
    </row>
    <row r="63">
      <c r="B63" s="22" t="inlineStr"/>
      <c r="C63" s="22" t="inlineStr"/>
      <c r="D63" s="22" t="inlineStr"/>
      <c r="E63" s="22" t="inlineStr"/>
      <c r="F63" s="22" t="inlineStr"/>
      <c r="G63" s="22" t="inlineStr"/>
      <c r="H63" s="22" t="inlineStr"/>
      <c r="I63" s="22" t="inlineStr"/>
      <c r="J63" s="22" t="inlineStr"/>
      <c r="K63" s="22" t="inlineStr"/>
      <c r="L63" s="22" t="inlineStr">
        <is>
          <t>(Met or exceeded; partially met; not met; not yet started)</t>
        </is>
      </c>
      <c r="M63" s="22" t="inlineStr">
        <is>
          <t>Provide further evidence of target status assessment in the form of:
A general update on activities in relation to the overarching target (Column D)</t>
        </is>
      </c>
      <c r="N63" s="22" t="inlineStr">
        <is>
          <t>Provide further evidence of target status assessment in the form of:
Data and commentary in direct response to the reporting request (Column F)</t>
        </is>
      </c>
      <c r="O63" s="22" t="inlineStr">
        <is>
          <t>Provide any additional information to support the target status assessment (e.g. links, images, rationale for selection of target status)</t>
        </is>
      </c>
      <c r="P63" s="22" t="inlineStr">
        <is>
          <t>Where did this information come from (system, report, survey, person)? Note any gaps or limitations.</t>
        </is>
      </c>
      <c r="Q63" s="22" t="inlineStr">
        <is>
          <t>Select 'Yes' to confirm the information provided is accurate and can be used for reporting</t>
        </is>
      </c>
      <c r="R63" s="22" t="inlineStr">
        <is>
          <t>Name, role and date of the person confirming</t>
        </is>
      </c>
    </row>
    <row r="64" ht="150" customHeight="1">
      <c r="B64" s="7" t="inlineStr">
        <is>
          <t>EE1(a)</t>
        </is>
      </c>
      <c r="C64" s="12" t="inlineStr">
        <is>
          <t>Exceptional education</t>
        </is>
      </c>
      <c r="D64" s="12" t="inlineStr">
        <is>
          <t>Provide our students with learning experiences that help them build the knowledge, skills and relationships to lead change for sustainable societies.</t>
        </is>
      </c>
      <c r="E64" s="12" t="inlineStr">
        <is>
          <t>Evidence of innovative approaches to sustainability teaching and learning</t>
        </is>
      </c>
      <c r="F64" s="8" t="inlineStr">
        <is>
          <t>In end-2025 reporting your faculty reported on the related SP2030 target 4a(ii) and rated it 'Partially met' (see Column J – click [+] above Columns I–K). Please build on this rather than repeating it, focusing on what is new in 2026.
Please provide one or two examples from 2026 of innovative approaches your faculty has used to embed sustainability in teaching and learning (e.g. new or redesigned subjects, curriculum design, pedagogies, assessment approaches or learning resources). Include links to subject pages or resources where available.
A full list of subjects is not required.</t>
        </is>
      </c>
      <c r="G64" s="8" t="inlineStr">
        <is>
          <t>We will collate examples of innovative sustainability teaching and learning across faculties to inform the Exceptional education section of the 2026 Sustainability Report, and select one or two for short case studies.</t>
        </is>
      </c>
      <c r="H64" s="8" t="inlineStr">
        <is>
          <t>4a(ii)</t>
        </is>
      </c>
      <c r="I64" s="8" t="inlineStr">
        <is>
          <t>Partially met</t>
        </is>
      </c>
      <c r="J64" s="8" t="inlineStr">
        <is>
          <t>The refresh of the Bachelor of Commerce BCOM refresh included explicitly embedding sustainability in course level learning outcomes, major level learning outcomes, and is now a specialisation (Ethics and Sustainability) available to students across all majors. 
See also Sust teaching case study p2</t>
        </is>
      </c>
      <c r="K64" s="8" t="inlineStr"/>
      <c r="L64" s="8" t="n"/>
      <c r="M64" s="8" t="n"/>
      <c r="N64" s="8" t="n"/>
      <c r="O64" s="8" t="n"/>
      <c r="P64" s="8" t="n"/>
      <c r="Q64" s="8" t="n"/>
      <c r="R64" s="8" t="n"/>
    </row>
    <row r="65" ht="150" customHeight="1">
      <c r="B65" s="7" t="inlineStr">
        <is>
          <t>EE1(b)</t>
        </is>
      </c>
      <c r="C65" s="12" t="inlineStr">
        <is>
          <t>Exceptional education</t>
        </is>
      </c>
      <c r="D65" s="12" t="inlineStr">
        <is>
          <t>Provide our students with learning experiences that help them build the knowledge, skills and relationships to lead change for sustainable societies.</t>
        </is>
      </c>
      <c r="E65" s="12" t="inlineStr">
        <is>
          <t>Pilots of possible approaches for understanding and developing students’ sustainability self-efficacy</t>
        </is>
      </c>
      <c r="F65" s="8" t="inlineStr">
        <is>
          <t>Has your faculty piloted or trialled any approach in 2026 to understand or build students' confidence and capability to act on sustainability (sustainability self-efficacy)? If yes, briefly describe the approach, participating cohort, what was learned and next steps. If not, please respond 'none in 2026' – this is a new indicator and a nil response is useful.
We are aware of the Sustainability Strengths Compass Living Lab project (CLLAP) and will collect it separately.</t>
        </is>
      </c>
      <c r="G65" s="8" t="inlineStr">
        <is>
          <t>This is a new indicator. We will use responses to establish a baseline of how (and whether) faculties are understanding student sustainability self-efficacy, and report on early pilots in the 2026 Sustainability Report. A nil response is useful to us.</t>
        </is>
      </c>
      <c r="H65" s="8" t="inlineStr">
        <is>
          <t>N/A – new indicator</t>
        </is>
      </c>
      <c r="I65" s="8" t="inlineStr"/>
      <c r="J65" s="8" t="inlineStr"/>
      <c r="K65" s="8" t="inlineStr"/>
      <c r="L65" s="8" t="n"/>
      <c r="M65" s="8" t="n"/>
      <c r="N65" s="8" t="n"/>
      <c r="O65" s="8" t="n"/>
      <c r="P65" s="8" t="n"/>
      <c r="Q65" s="8" t="n"/>
      <c r="R65" s="8" t="n"/>
    </row>
    <row r="66" ht="150" customHeight="1">
      <c r="B66" s="7" t="inlineStr">
        <is>
          <t>EE1(c)</t>
        </is>
      </c>
      <c r="C66" s="12" t="inlineStr">
        <is>
          <t>Exceptional education</t>
        </is>
      </c>
      <c r="D66" s="12" t="inlineStr">
        <is>
          <t>Provide our students with learning experiences that help them build the knowledge, skills and relationships to lead change for sustainable societies.</t>
        </is>
      </c>
      <c r="E66" s="12" t="inlineStr">
        <is>
          <t>Evidence of sustainability focused experiential and co curricular learning (eg Wattle Fellowship; Melbourne Plus)</t>
        </is>
      </c>
      <c r="F66" s="8" t="inlineStr">
        <is>
          <t>Please list any sustainability-focused experiential or co-curricular learning opportunities your faculty offered or supported in 2026 (e.g. industry or community projects, fieldwork, internships, student challenges), with approximate student participation where known and a one-line description of outcomes.
We will collect Wattle Fellowship and Melbourne Plus information centrally – please only include these if your faculty ran a specific activity.</t>
        </is>
      </c>
      <c r="G66" s="8" t="inlineStr">
        <is>
          <t>We will combine faculty examples with central Wattle Fellowship and Melbourne Plus data to report on the range and reach of sustainability-focused experiential and co-curricular learning across the University.</t>
        </is>
      </c>
      <c r="H66" s="8" t="inlineStr">
        <is>
          <t>N/A – new indicator</t>
        </is>
      </c>
      <c r="I66" s="8" t="inlineStr"/>
      <c r="J66" s="8" t="inlineStr"/>
      <c r="K66" s="8" t="inlineStr"/>
      <c r="L66" s="8" t="n"/>
      <c r="M66" s="8" t="n"/>
      <c r="N66" s="8" t="n"/>
      <c r="O66" s="8" t="n"/>
      <c r="P66" s="8" t="n"/>
      <c r="Q66" s="8" t="n"/>
      <c r="R66" s="8" t="n"/>
    </row>
    <row r="67" ht="150" customHeight="1">
      <c r="B67" s="7" t="inlineStr">
        <is>
          <t>EE1(d)</t>
        </is>
      </c>
      <c r="C67" s="12" t="inlineStr">
        <is>
          <t>Exceptional education</t>
        </is>
      </c>
      <c r="D67" s="12" t="inlineStr">
        <is>
          <t>Provide our students with learning experiences that help them build the knowledge, skills and relationships to lead change for sustainable societies.</t>
        </is>
      </c>
      <c r="E67" s="12" t="inlineStr">
        <is>
          <t>Alumni profiles demonstrating how graduates contribute to sustainability through their careers or communities.</t>
        </is>
      </c>
      <c r="F67" s="8" t="inlineStr">
        <is>
          <t>In end-2025 reporting your faculty reported on the related SP2030 target 4b(i) and rated it 'Met or exceeded' (see Column J – click [+] above Columns I–K). Please build on this rather than repeating it, focusing on what is new in 2026.
Please nominate up to two alumni from your faculty whose careers or community work demonstrate how they apply sustainability knowledge and skills (name, course and graduating year, a short summary, a link to a profile if available, and whether consent to be featured is likely). If your faculty tracks sustainability-related graduate outcomes in any way, please briefly describe how.</t>
        </is>
      </c>
      <c r="G67" s="8" t="inlineStr">
        <is>
          <t>We will use nominated alumni to develop short graduate profiles for the 2026 Sustainability Report (subject to consent), and record any faculty approaches to tracking graduate outcomes to inform how this indicator is measured from 2027.</t>
        </is>
      </c>
      <c r="H67" s="8" t="inlineStr">
        <is>
          <t>4b(i)</t>
        </is>
      </c>
      <c r="I67" s="8" t="inlineStr">
        <is>
          <t>Met or exceeded</t>
        </is>
      </c>
      <c r="J67" s="8" t="inlineStr">
        <is>
          <t>A new 'specialisation' (similar to a Major) in Ethics and Sustainability has been approved for the Bachelor of Commerce and available in 2026. The previous Discovery subject Sustainable Commerce has been discontinued.
In Work-Integrated-Learning subjects, such as WorkHUB, Business Practicum and Management Consulting, have pivoted to ensure sustainability related projects are offered in all semesters.  Case comps, and other co-curricular activities explicitly focus on sustainability related themes.
aSSERT, a sustainability competency self-assessment co-developed with FEIT and SCI faculty, was piloted in third year undergraduate sustainability elective subject (MGMT30008), students reportedly were able to develop competencies related to "embracing complexity" and "envisioning sustainable futures"  
See also Sust teaching case study p2</t>
        </is>
      </c>
      <c r="K67" s="8" t="inlineStr"/>
      <c r="L67" s="8" t="n"/>
      <c r="M67" s="8" t="n"/>
      <c r="N67" s="8" t="n"/>
      <c r="O67" s="8" t="n"/>
      <c r="P67" s="8" t="n"/>
      <c r="Q67" s="8" t="n"/>
      <c r="R67" s="8" t="n"/>
    </row>
    <row r="68" ht="150" customHeight="1">
      <c r="B68" s="7" t="inlineStr">
        <is>
          <t>TR1(a)</t>
        </is>
      </c>
      <c r="C68" s="12" t="inlineStr">
        <is>
          <t>Transformational research</t>
        </is>
      </c>
      <c r="D68" s="12" t="inlineStr">
        <is>
          <t>Utilise the expertise of the University’s researchers through mutually beneficial partnerships to help address the University’s operational sustainability challenges.</t>
        </is>
      </c>
      <c r="E68" s="12" t="inlineStr">
        <is>
          <t>Expert-reviewed evidence of researchers contributing to operational sustainability priorities through partnerships, advisory input, living labs, applied projects or decision-support</t>
        </is>
      </c>
      <c r="F68" s="8" t="inlineStr">
        <is>
          <t>In end-2025 reporting your faculty reported on the related SP2030 target 2a and rated it 'Partially met' (see Column J – click [+] above Columns I–K). Please build on this rather than repeating it, focusing on what is new in 2026.
Please provide up to two examples from 2026 of researchers in your faculty contributing to the University's own operational sustainability challenges (e.g. advising on campus energy, biodiversity, waste or buildings; applied projects; decision-support tools). For each, briefly describe the operational challenge, the researcher's contribution, the University team involved and the result.
We will collect Campus Living Lab Accelerator Program (CLLAP) projects separately from CI&amp;S – please include other examples only.</t>
        </is>
      </c>
      <c r="G68" s="8" t="inlineStr">
        <is>
          <t>We will report on examples of researchers helping solve the University's own operational sustainability challenges, alongside CLLAP projects reported by CI&amp;S, and share them with operational teams to identify further collaboration.</t>
        </is>
      </c>
      <c r="H68" s="8" t="inlineStr">
        <is>
          <t>2a</t>
        </is>
      </c>
      <c r="I68" s="8" t="inlineStr">
        <is>
          <t>Partially met</t>
        </is>
      </c>
      <c r="J68" s="8" t="inlineStr">
        <is>
          <t>CLLAP report on University Investor Stewardship provided separately</t>
        </is>
      </c>
      <c r="K68" s="8" t="inlineStr"/>
      <c r="L68" s="8" t="n"/>
      <c r="M68" s="8" t="n"/>
      <c r="N68" s="8" t="n"/>
      <c r="O68" s="8" t="n"/>
      <c r="P68" s="8" t="n"/>
      <c r="Q68" s="8" t="n"/>
      <c r="R68" s="8" t="n"/>
    </row>
    <row r="69" ht="150" customHeight="1">
      <c r="B69" s="7" t="inlineStr">
        <is>
          <t>TR1(b)</t>
        </is>
      </c>
      <c r="C69" s="12" t="inlineStr">
        <is>
          <t>Transformational research</t>
        </is>
      </c>
      <c r="D69" s="12" t="inlineStr">
        <is>
          <t>Utilise the expertise of the University’s researchers through mutually beneficial partnerships to help address the University’s operational sustainability challenges.</t>
        </is>
      </c>
      <c r="E69" s="12" t="inlineStr">
        <is>
          <t>Evidence of institutional pathways that enable ongoing collaboration between academic and professional staff</t>
        </is>
      </c>
      <c r="F69" s="8" t="inlineStr">
        <is>
          <t>Does your faculty have any mechanism that supports ongoing collaboration between academic and professional staff on operational sustainability (e.g. a sustainability committee with mixed membership, seed funding, a coordination role or a regular forum)? If yes, briefly describe it and how often it operates. If not, please say so.</t>
        </is>
      </c>
      <c r="G69" s="8" t="inlineStr">
        <is>
          <t>We will map existing academic–professional collaboration mechanisms across faculties to establish a baseline for this new indicator and identify models other faculties could adopt.</t>
        </is>
      </c>
      <c r="H69" s="8" t="inlineStr">
        <is>
          <t>N/A – new indicator</t>
        </is>
      </c>
      <c r="I69" s="8" t="inlineStr"/>
      <c r="J69" s="8" t="inlineStr"/>
      <c r="K69" s="8" t="inlineStr"/>
      <c r="L69" s="8" t="n"/>
      <c r="M69" s="8" t="n"/>
      <c r="N69" s="8" t="n"/>
      <c r="O69" s="8" t="n"/>
      <c r="P69" s="8" t="n"/>
      <c r="Q69" s="8" t="n"/>
      <c r="R69" s="8" t="n"/>
    </row>
    <row r="70" ht="150" customHeight="1">
      <c r="B70" s="7" t="inlineStr">
        <is>
          <t>TR1(c)</t>
        </is>
      </c>
      <c r="C70" s="12" t="inlineStr">
        <is>
          <t>Transformational research</t>
        </is>
      </c>
      <c r="D70" s="12" t="inlineStr">
        <is>
          <t>Utilise the expertise of the University’s researchers through mutually beneficial partnerships to help address the University’s operational sustainability challenges.</t>
        </is>
      </c>
      <c r="E70" s="12" t="inlineStr">
        <is>
          <t>Expert assessment of the quality, relevance and continuity of these collaborations</t>
        </is>
      </c>
      <c r="F70" s="8" t="inlineStr">
        <is>
          <t>For the collaborations described in TR1(a)–(b), please give a short assessment (a paragraph is sufficient) of their quality, relevance and continuity: are they ongoing, useful to the University's operational priorities, and producing outcomes?</t>
        </is>
      </c>
      <c r="G70" s="8" t="inlineStr">
        <is>
          <t>We will use your assessment to describe the quality and continuity of research–operations collaboration in the 2026 report, and as baseline evidence for the interim target status assessment from 2027.</t>
        </is>
      </c>
      <c r="H70" s="8" t="inlineStr">
        <is>
          <t>N/A – new indicator</t>
        </is>
      </c>
      <c r="I70" s="8" t="inlineStr"/>
      <c r="J70" s="8" t="inlineStr"/>
      <c r="K70" s="8" t="inlineStr"/>
      <c r="L70" s="8" t="n"/>
      <c r="M70" s="8" t="n"/>
      <c r="N70" s="8" t="n"/>
      <c r="O70" s="8" t="n"/>
      <c r="P70" s="8" t="n"/>
      <c r="Q70" s="8" t="n"/>
      <c r="R70" s="8" t="n"/>
    </row>
    <row r="71" ht="150" customHeight="1">
      <c r="B71" s="7" t="inlineStr">
        <is>
          <t>TR1(d)</t>
        </is>
      </c>
      <c r="C71" s="12" t="inlineStr">
        <is>
          <t>Transformational research</t>
        </is>
      </c>
      <c r="D71" s="12" t="inlineStr">
        <is>
          <t>Utilise the expertise of the University’s researchers through mutually beneficial partnerships to help address the University’s operational sustainability challenges.</t>
        </is>
      </c>
      <c r="E71" s="12" t="inlineStr">
        <is>
          <t>Periodic feedback from participants on the effectiveness and mutual benefit of collaboration mechanisms.</t>
        </is>
      </c>
      <c r="F71" s="8" t="inlineStr">
        <is>
          <t>Has your faculty collected any feedback from participants (researchers or operational staff) on how well these collaboration mechanisms work and whether they are mutually beneficial? If yes, summarise key findings and any improvements identified; if not, please say so.</t>
        </is>
      </c>
      <c r="G71" s="8" t="inlineStr">
        <is>
          <t>We will use any feedback to understand whether collaboration mechanisms are working and to inform improvements. Where none has been collected, this helps us plan how to gather feedback from 2027.</t>
        </is>
      </c>
      <c r="H71" s="8" t="inlineStr">
        <is>
          <t>N/A – new indicator</t>
        </is>
      </c>
      <c r="I71" s="8" t="inlineStr"/>
      <c r="J71" s="8" t="inlineStr"/>
      <c r="K71" s="8" t="inlineStr"/>
      <c r="L71" s="8" t="n"/>
      <c r="M71" s="8" t="n"/>
      <c r="N71" s="8" t="n"/>
      <c r="O71" s="8" t="n"/>
      <c r="P71" s="8" t="n"/>
      <c r="Q71" s="8" t="n"/>
      <c r="R71" s="8" t="n"/>
    </row>
    <row r="72" ht="150" customHeight="1">
      <c r="B72" s="7" t="inlineStr">
        <is>
          <t>TR2(a)</t>
        </is>
      </c>
      <c r="C72" s="12" t="inlineStr">
        <is>
          <t>Transformational research</t>
        </is>
      </c>
      <c r="D72" s="12" t="inlineStr">
        <is>
          <t>Deliver high-quality research and partnerships that contribute to sustainability outcomes and demonstrable societal benefit.</t>
        </is>
      </c>
      <c r="E72" s="12" t="inlineStr">
        <is>
          <t>Evidence of sustainability-related research impact across diverse pathways, could include policy, industry, community, practice, cultural and institutional outcomes</t>
        </is>
      </c>
      <c r="F72" s="8" t="inlineStr">
        <is>
          <t>In end-2025 reporting your faculty reported on the related SP2030 target 5b(i) and rated it 'Partially met' (see Column J – click [+] above Columns I–K). Please build on this rather than repeating it, focusing on what is new in 2026.
Please provide one or two examples from 2026 of sustainability-related research from your faculty that has had impact beyond academia – on policy, industry, community, practice, cultural or institutional outcomes. For each, briefly describe the research, the partner or user, and the resulting change or influence, with links (e.g. Pursuit articles, policy submissions, reports).
We will source University-wide research metrics (e.g. SDG-mapped publications via SciVal) from MRE – publication counts are not required.</t>
        </is>
      </c>
      <c r="G72" s="8" t="inlineStr">
        <is>
          <t>We will collate research impact examples across faculties to show the breadth of sustainability-related research impact in the Transformational research section of the 2026 Sustainability Report, complementing University-wide metrics from MRE.</t>
        </is>
      </c>
      <c r="H72" s="8" t="inlineStr">
        <is>
          <t>5b(i)</t>
        </is>
      </c>
      <c r="I72" s="8" t="inlineStr">
        <is>
          <t>Partially met</t>
        </is>
      </c>
      <c r="J72" s="8" t="inlineStr">
        <is>
          <t>Several departments have completed high quality sustainability-focused research, which includes papers published in peer reviwed research journals and a range of commissioned research for diverse industry partners including the national accounting standard setting body, which focus on a range of sustainability-related topics.
See M&amp;M Sust Research Hub case study p2</t>
        </is>
      </c>
      <c r="K72" s="8" t="inlineStr">
        <is>
          <t>https://fbe.unimelb.edu.au/research/our-research-at-a-glance</t>
        </is>
      </c>
      <c r="L72" s="8" t="n"/>
      <c r="M72" s="8" t="n"/>
      <c r="N72" s="8" t="n"/>
      <c r="O72" s="8" t="n"/>
      <c r="P72" s="8" t="n"/>
      <c r="Q72" s="8" t="n"/>
      <c r="R72" s="8" t="n"/>
    </row>
    <row r="73" ht="150" customHeight="1">
      <c r="B73" s="7" t="inlineStr">
        <is>
          <t>TR2(d)</t>
        </is>
      </c>
      <c r="C73" s="12" t="inlineStr">
        <is>
          <t>Transformational research</t>
        </is>
      </c>
      <c r="D73" s="12" t="inlineStr">
        <is>
          <t>Deliver high-quality research and partnerships that contribute to sustainability outcomes and demonstrable societal benefit.</t>
        </is>
      </c>
      <c r="E73" s="12" t="inlineStr">
        <is>
          <t>Case-based evidence demonstrating how research has contributed to meaningful sustainability outcomes.</t>
        </is>
      </c>
      <c r="F73" s="8" t="inlineStr">
        <is>
          <t>In end-2025 reporting your faculty reported on the related SP2030 target 5b(i) and rated it 'Partially met' (see Column J – click [+] above Columns I–K). Please build on this rather than repeating it, focusing on what is new in 2026.
Please provide one case study (up to 300 words) of a research project from your faculty that has contributed to a meaningful sustainability outcome: the research, stakeholders involved, pathway to impact and evidence of the outcome. This can be one of the examples from TR2(a), developed in more detail.
We are also seeking examples from Melbourne Climate Futures, the Melbourne Biodiversity Institute and Strategic Communications.</t>
        </is>
      </c>
      <c r="G73" s="8" t="inlineStr">
        <is>
          <t>We will select the strongest examples to develop as full research case studies for the 2026 Sustainability Report (we may contact you for more detail and images).</t>
        </is>
      </c>
      <c r="H73" s="8" t="inlineStr">
        <is>
          <t>5b(i)</t>
        </is>
      </c>
      <c r="I73" s="8" t="inlineStr">
        <is>
          <t>Partially met</t>
        </is>
      </c>
      <c r="J73" s="8" t="inlineStr">
        <is>
          <t>Several departments have completed high quality sustainability-focused research, which includes papers published in peer reviwed research journals and a range of commissioned research for diverse industry partners including the national accounting standard setting body, which focus on a range of sustainability-related topics.
See M&amp;M Sust Research Hub case study p2</t>
        </is>
      </c>
      <c r="K73" s="8" t="inlineStr">
        <is>
          <t>https://fbe.unimelb.edu.au/research/our-research-at-a-glance</t>
        </is>
      </c>
      <c r="L73" s="8" t="n"/>
      <c r="M73" s="8" t="n"/>
      <c r="N73" s="8" t="n"/>
      <c r="O73" s="8" t="n"/>
      <c r="P73" s="8" t="n"/>
      <c r="Q73" s="8" t="n"/>
      <c r="R73" s="8" t="n"/>
    </row>
    <row r="74" ht="150" customHeight="1">
      <c r="B74" s="7" t="inlineStr">
        <is>
          <t>TR3(a)</t>
        </is>
      </c>
      <c r="C74" s="12" t="inlineStr">
        <is>
          <t>Transformational research</t>
        </is>
      </c>
      <c r="D74" s="12" t="inlineStr">
        <is>
          <t>Embed sustainability within research systems, processes, capability and culture, so research is conducted responsibly, efficiently and with reduced environmental impact.</t>
        </is>
      </c>
      <c r="E74" s="12" t="inlineStr">
        <is>
          <t>Evidence that sustainability considerations are integrated into relevant research systems, planning processes, guidance, training, induction or support services</t>
        </is>
      </c>
      <c r="F74" s="8" t="inlineStr">
        <is>
          <t>In end-2025 reporting your faculty reported on the related SP2030 target 5c(ii) and rated it 'Partially met' (see Column J – click [+] above Columns I–K). Please build on this rather than repeating it, focusing on what is new in 2026.
Please describe how sustainability considerations are built into your faculty's research systems or support – e.g. research planning or approval processes, guidance, graduate researcher induction or training, grant development support. Please highlight any new or improved process introduced in 2026.</t>
        </is>
      </c>
      <c r="G74" s="8" t="inlineStr">
        <is>
          <t>We will report on how sustainability is being built into research systems and support across the University, and use responses to establish a baseline for this new target.</t>
        </is>
      </c>
      <c r="H74" s="8" t="inlineStr">
        <is>
          <t>5c(ii)</t>
        </is>
      </c>
      <c r="I74" s="8" t="inlineStr">
        <is>
          <t>Partially met</t>
        </is>
      </c>
      <c r="J74" s="8" t="inlineStr">
        <is>
          <t>The Department of Management &amp; Marketing Sustainable Research Hub is leading on 'Graduate Researcher Training for Sustainability-Related Research'. Equipping the next generation of researchers with the interdisciplinary and transdisciplinary knowledge and skills, and systems thinking competencies that enables them to recognize and pursue complex sustainability problems in their research, and to recognize the potential impact of their research on sustainability concerns. Development of these capabilities includes curriculum design, experiential learning opportunities, research ethics protocols, and institutional support needed to foster impactful sustainability research. (Also see case study p2)</t>
        </is>
      </c>
      <c r="K74" s="8" t="inlineStr">
        <is>
          <t>https://fbe.unimelb.edu.au/managementmarketing/research/the-sustainability-hub</t>
        </is>
      </c>
      <c r="L74" s="8" t="n"/>
      <c r="M74" s="8" t="n"/>
      <c r="N74" s="8" t="n"/>
      <c r="O74" s="8" t="n"/>
      <c r="P74" s="8" t="n"/>
      <c r="Q74" s="8" t="n"/>
      <c r="R74" s="8" t="n"/>
    </row>
    <row r="75" ht="150" customHeight="1">
      <c r="B75" s="7" t="inlineStr">
        <is>
          <t>TR3(b)</t>
        </is>
      </c>
      <c r="C75" s="12" t="inlineStr">
        <is>
          <t>Transformational research</t>
        </is>
      </c>
      <c r="D75" s="12" t="inlineStr">
        <is>
          <t>Embed sustainability within research systems, processes, capability and culture, so research is conducted responsibly, efficiently and with reduced environmental impact.</t>
        </is>
      </c>
      <c r="E75" s="12" t="inlineStr">
        <is>
          <t>Demonstrated examples of more sustainable research practices in laboratories, fieldwork, procurement, travel or infrastructure use</t>
        </is>
      </c>
      <c r="F75" s="8" t="inlineStr">
        <is>
          <t>In end-2025 reporting your faculty reported on the related SP2030 target 5c(ii) and rated it 'Partially met' (see Column J – click [+] above Columns I–K). Please build on this rather than repeating it, focusing on what is new in 2026.
Are there any efforts within the faculty to make research practices more sustainable (e.g. green lab certification, equipment sharing, reduced research travel, sustainable fieldwork, sustainable procurement of research consumables)? If so, please describe up to two examples and any evidence of uptake, resource savings or emissions reductions.</t>
        </is>
      </c>
      <c r="G75" s="8" t="inlineStr">
        <is>
          <t>We will report on ways the University is making research practices more sustainable in the 2026 Sustainability Report, and share practical examples (e.g. green labs) across faculties.</t>
        </is>
      </c>
      <c r="H75" s="8" t="inlineStr">
        <is>
          <t>5c(ii)</t>
        </is>
      </c>
      <c r="I75" s="8" t="inlineStr">
        <is>
          <t>Partially met</t>
        </is>
      </c>
      <c r="J75" s="8" t="inlineStr">
        <is>
          <t>The Department of Management &amp; Marketing Sustainable Research Hub is leading on 'Graduate Researcher Training for Sustainability-Related Research'. Equipping the next generation of researchers with the interdisciplinary and transdisciplinary knowledge and skills, and systems thinking competencies that enables them to recognize and pursue complex sustainability problems in their research, and to recognize the potential impact of their research on sustainability concerns. Development of these capabilities includes curriculum design, experiential learning opportunities, research ethics protocols, and institutional support needed to foster impactful sustainability research. (Also see case study p2)</t>
        </is>
      </c>
      <c r="K75" s="8" t="inlineStr">
        <is>
          <t>https://fbe.unimelb.edu.au/managementmarketing/research/the-sustainability-hub</t>
        </is>
      </c>
      <c r="L75" s="8" t="n"/>
      <c r="M75" s="8" t="n"/>
      <c r="N75" s="8" t="n"/>
      <c r="O75" s="8" t="n"/>
      <c r="P75" s="8" t="n"/>
      <c r="Q75" s="8" t="n"/>
      <c r="R75" s="8" t="n"/>
    </row>
    <row r="76" ht="150" customHeight="1">
      <c r="B76" s="7" t="inlineStr">
        <is>
          <t>TR3(c)</t>
        </is>
      </c>
      <c r="C76" s="12" t="inlineStr">
        <is>
          <t>Transformational research</t>
        </is>
      </c>
      <c r="D76" s="12" t="inlineStr">
        <is>
          <t>Embed sustainability within research systems, processes, capability and culture, so research is conducted responsibly, efficiently and with reduced environmental impact.</t>
        </is>
      </c>
      <c r="E76" s="12" t="inlineStr">
        <is>
          <t>Evidence of progress in sustainability-related research culture, capability and awareness, informed by periodic staff and graduate researcher surveys</t>
        </is>
      </c>
      <c r="F76" s="8" t="inlineStr">
        <is>
          <t>Does your faculty have any evidence of change in sustainability-related research culture, capability or awareness – e.g. results from staff or graduate researcher surveys, or participation in capability-building events or training? Please provide a brief summary and the source. If no evidence is available, please say so.</t>
        </is>
      </c>
      <c r="G76" s="8" t="inlineStr">
        <is>
          <t>We will use any survey or capability data to describe changes in sustainability-related research culture. Where no evidence exists, this helps us plan University-wide measurement (e.g. staff and graduate researcher surveys) from 2027.</t>
        </is>
      </c>
      <c r="H76" s="8" t="inlineStr">
        <is>
          <t>N/A – new indicator</t>
        </is>
      </c>
      <c r="I76" s="8" t="inlineStr"/>
      <c r="J76" s="8" t="inlineStr"/>
      <c r="K76" s="8" t="inlineStr"/>
      <c r="L76" s="8" t="n"/>
      <c r="M76" s="8" t="n"/>
      <c r="N76" s="8" t="n"/>
      <c r="O76" s="8" t="n"/>
      <c r="P76" s="8" t="n"/>
      <c r="Q76" s="8" t="n"/>
      <c r="R76" s="8" t="n"/>
    </row>
    <row r="77" ht="150" customHeight="1">
      <c r="B77" s="7" t="inlineStr">
        <is>
          <t>TR3(d)</t>
        </is>
      </c>
      <c r="C77" s="12" t="inlineStr">
        <is>
          <t>Transformational research</t>
        </is>
      </c>
      <c r="D77" s="12" t="inlineStr">
        <is>
          <t>Embed sustainability within research systems, processes, capability and culture, so research is conducted responsibly, efficiently and with reduced environmental impact.</t>
        </is>
      </c>
      <c r="E77" s="12" t="inlineStr">
        <is>
          <t>Expert assessment of progress in embedding sustainable research practices across the institution.</t>
        </is>
      </c>
      <c r="F77" s="8" t="inlineStr">
        <is>
          <t>Drawing on your responses to TR3(a)–(c), please provide a short overall assessment (2–3 sentences) of your faculty's progress in embedding sustainable research practices: where progress is strongest, the main gaps, and priority actions for 2027.</t>
        </is>
      </c>
      <c r="G77" s="8" t="inlineStr">
        <is>
          <t>We will use faculty self-assessments to identify strengths, gaps and priority actions in embedding sustainable research practices, to inform internal management reporting and the Transformational research working group.</t>
        </is>
      </c>
      <c r="H77" s="8" t="inlineStr">
        <is>
          <t>N/A – new indicator</t>
        </is>
      </c>
      <c r="I77" s="8" t="inlineStr"/>
      <c r="J77" s="8" t="inlineStr"/>
      <c r="K77" s="8" t="inlineStr"/>
      <c r="L77" s="8" t="n"/>
      <c r="M77" s="8" t="n"/>
      <c r="N77" s="8" t="n"/>
      <c r="O77" s="8" t="n"/>
      <c r="P77" s="8" t="n"/>
      <c r="Q77" s="8" t="n"/>
      <c r="R77" s="8" t="n"/>
    </row>
    <row r="78" ht="150" customHeight="1">
      <c r="B78" s="7" t="inlineStr">
        <is>
          <t>CL2(a)</t>
        </is>
      </c>
      <c r="C78" s="12" t="inlineStr">
        <is>
          <t>Climate leadership</t>
        </is>
      </c>
      <c r="D78" s="12" t="inlineStr">
        <is>
          <t>Develop understanding of our research and education programs that contribute to accelerating global decarbonisation and our own climate transition.</t>
        </is>
      </c>
      <c r="E78" s="12" t="inlineStr">
        <is>
          <t>By 2028, develop and document institutional mapping of research and education activities that are designed to contribute to global decarbonisation</t>
        </is>
      </c>
      <c r="F78" s="8" t="inlineStr">
        <is>
          <t>Please list up to three examples of 2026 communications from your faculty that showcase climate action, research or learning and aim to inform policy, sector or community decarbonisation (e.g. policy submissions, public events, media, reports). Include links, the intended audience and any reach data you have.
This will also contribute to the University's mapping of decarbonisation-related research and education (due by 2028).</t>
        </is>
      </c>
      <c r="G78" s="8" t="inlineStr">
        <is>
          <t>We will use these examples to show how the University communicates climate research and learning to external audiences, and as an input to the institutional decarbonisation research and education mapping due by 2028.</t>
        </is>
      </c>
      <c r="H78" s="8" t="inlineStr">
        <is>
          <t>N/A – new indicator</t>
        </is>
      </c>
      <c r="I78" s="8" t="inlineStr"/>
      <c r="J78" s="8" t="inlineStr"/>
      <c r="K78" s="8" t="inlineStr"/>
      <c r="L78" s="8" t="n"/>
      <c r="M78" s="8" t="n"/>
      <c r="N78" s="8" t="n"/>
      <c r="O78" s="8" t="n"/>
      <c r="P78" s="8" t="n"/>
      <c r="Q78" s="8" t="n"/>
      <c r="R78" s="8" t="n"/>
    </row>
    <row r="79" ht="150" customHeight="1">
      <c r="B79" s="7" t="inlineStr">
        <is>
          <t>CL2(c)</t>
        </is>
      </c>
      <c r="C79" s="12" t="inlineStr">
        <is>
          <t>Climate leadership</t>
        </is>
      </c>
      <c r="D79" s="12" t="inlineStr">
        <is>
          <t>Develop understanding of our research and education programs that contribute to accelerating global decarbonisation and our own climate transition.</t>
        </is>
      </c>
      <c r="E79" s="12" t="inlineStr">
        <is>
          <t>Ongoing communications that evidence the University’s climate action, research and learning to inform policy, sector and community decarbonisation efforts.</t>
        </is>
      </c>
      <c r="F79" s="8" t="inlineStr">
        <is>
          <t>If not already covered in CL2(a), please list any ongoing channels or programs (e.g. event series, newsletters, podcasts, policy engagement) through which your faculty regularly communicates climate research and learning to policy, sector or community audiences. You may respond 'see CL2(a)' if already covered.
We will also engage Melbourne Climate Futures and the Melbourne Energy Institute.</t>
        </is>
      </c>
      <c r="G79" s="8" t="inlineStr">
        <is>
          <t>We will report on the University's ongoing climate communications in the Climate leadership section of the 2026 Sustainability Report, alongside contributions from Melbourne Climate Futures and the Melbourne Energy Institute.</t>
        </is>
      </c>
      <c r="H79" s="8" t="inlineStr">
        <is>
          <t>N/A – new indicator</t>
        </is>
      </c>
      <c r="I79" s="8" t="inlineStr"/>
      <c r="J79" s="8" t="inlineStr"/>
      <c r="K79" s="8" t="inlineStr"/>
      <c r="L79" s="8" t="n"/>
      <c r="M79" s="8" t="n"/>
      <c r="N79" s="8" t="n"/>
      <c r="O79" s="8" t="n"/>
      <c r="P79" s="8" t="n"/>
      <c r="Q79" s="8" t="n"/>
      <c r="R79" s="8" t="n"/>
    </row>
    <row r="80" ht="150" customHeight="1">
      <c r="B80" s="7" t="inlineStr">
        <is>
          <t>EN1(a)</t>
        </is>
      </c>
      <c r="C80" s="12" t="inlineStr">
        <is>
          <t>Enablers</t>
        </is>
      </c>
      <c r="D80" s="12" t="inlineStr">
        <is>
          <t>Enablers</t>
        </is>
      </c>
      <c r="E80" s="12" t="inlineStr">
        <is>
          <t>Evidence of sustainability outcomes informed by Indigenous knowledges</t>
        </is>
      </c>
      <c r="F80" s="8" t="inlineStr">
        <is>
          <t>In end-2025 reporting your faculty reported on the related SP2030 target 6a and rated it 'Partially met' (see Column J – click [+] above Columns I–K). Please build on this rather than repeating it, focusing on what is new in 2026.
Please provide one case study of an activity in your faculty (education, research, engagement or operations) where Indigenous knowledges informed a sustainability outcome. Describe the activity, how Indigenous knowledges were incorporated or co-created and with whom, and the result. Please confirm that appropriate permissions are in place for sharing.</t>
        </is>
      </c>
      <c r="G80" s="8" t="inlineStr">
        <is>
          <t>We will report on the ways Indigenous knowledges inform sustainability activities across the University, and develop selected examples into case studies with appropriate permissions.</t>
        </is>
      </c>
      <c r="H80" s="8" t="inlineStr">
        <is>
          <t>6a</t>
        </is>
      </c>
      <c r="I80" s="8" t="inlineStr">
        <is>
          <t>Partially met</t>
        </is>
      </c>
      <c r="J80" s="8" t="inlineStr">
        <is>
          <t>The Dilin Duwa Centre for Indigenous Business Leadership is developing research, teaching and engagement programs to enhance the economic skill base of Indigenous Australians, including through entrepreneurship, jobs and procurement. 
The Mabo Centre works to support Traditional Owners achieve successful Native Title outcomes for their communities through research, training, excahange and acceleration.
PhD student Caleb Adams' cross disciplinary thesis topic is 'Understanding and Unlocking Financial Capital: Empowering First Nations Leadership in and for a Green Economy'</t>
        </is>
      </c>
      <c r="K80" s="8" t="inlineStr">
        <is>
          <t>https://dilinduwa.com.au/
https://mabocentre.com/</t>
        </is>
      </c>
      <c r="L80" s="8" t="n"/>
      <c r="M80" s="8" t="n"/>
      <c r="N80" s="8" t="n"/>
      <c r="O80" s="8" t="n"/>
      <c r="P80" s="8" t="n"/>
      <c r="Q80" s="8" t="n"/>
      <c r="R80" s="8" t="n"/>
    </row>
    <row r="81" ht="150" customHeight="1">
      <c r="B81" s="7" t="inlineStr">
        <is>
          <t>EN1(b)</t>
        </is>
      </c>
      <c r="C81" s="12" t="inlineStr">
        <is>
          <t>Enablers</t>
        </is>
      </c>
      <c r="D81" s="12" t="inlineStr">
        <is>
          <t>Enablers</t>
        </is>
      </c>
      <c r="E81" s="12" t="inlineStr">
        <is>
          <t>Living laboratories enabling applied learning, research and operational sustainability outcomes</t>
        </is>
      </c>
      <c r="F81" s="8" t="inlineStr">
        <is>
          <t>In end-2025 reporting your faculty reported on the related SP2030 target 2a and rated it 'Partially met' (see Column J – click [+] above Columns I–K). Please build on this rather than repeating it, focusing on what is new in 2026.
Please provide a case study of a living lab which operates within your faculty, including a description of its activities, who is involved (students, researchers, operational staff) and its outputs, outcomes or impact in 2026.
Please note we will approach living labs funded through the Campus Living Lab Accelerator Program (CLLAP) separately.</t>
        </is>
      </c>
      <c r="G81" s="8" t="inlineStr">
        <is>
          <t>We will share examples of living labs from across the University in the 2026 Sustainability Report, alongside CLLAP projects reported by CI&amp;S.</t>
        </is>
      </c>
      <c r="H81" s="8" t="inlineStr">
        <is>
          <t>2a</t>
        </is>
      </c>
      <c r="I81" s="8" t="inlineStr">
        <is>
          <t>Partially met</t>
        </is>
      </c>
      <c r="J81" s="8" t="inlineStr">
        <is>
          <t>CLLAP report on University Investor Stewardship provided separately</t>
        </is>
      </c>
      <c r="K81" s="8" t="inlineStr"/>
      <c r="L81" s="8" t="n"/>
      <c r="M81" s="8" t="n"/>
      <c r="N81" s="8" t="n"/>
      <c r="O81" s="8" t="n"/>
      <c r="P81" s="8" t="n"/>
      <c r="Q81" s="8" t="n"/>
      <c r="R81" s="8" t="n"/>
    </row>
    <row r="82" ht="150" customHeight="1">
      <c r="B82" s="7" t="inlineStr">
        <is>
          <t>EN1(c)</t>
        </is>
      </c>
      <c r="C82" s="12" t="inlineStr">
        <is>
          <t>Enablers</t>
        </is>
      </c>
      <c r="D82" s="12" t="inlineStr">
        <is>
          <t>Enablers</t>
        </is>
      </c>
      <c r="E82" s="12" t="inlineStr">
        <is>
          <t>Coordinated internal engagement and external partnerships contributing to delivery of sustainability outcomes across priority areas.</t>
        </is>
      </c>
      <c r="F82" s="8" t="inlineStr">
        <is>
          <t>In end-2025 reporting your faculty reported on the related SP2030 target 3a(ii) and rated it 'Partially met' (see Column J – click [+] above Columns I–K). Please build on this rather than repeating it, focusing on what is new in 2026.
Please list the key sustainability-focused communities of practice, internal networks or external partnerships active in your faculty in 2026 (name, partners, priority area), and provide a short description of one that has contributed to a Sustainability 2030 outcome.</t>
        </is>
      </c>
      <c r="G82" s="8" t="inlineStr">
        <is>
          <t>We will report on internal engagement and partnerships contributing to Sustainability 2030 outcomes, and update our record of sustainability-focused communities of practice and contacts across the University.</t>
        </is>
      </c>
      <c r="H82" s="8" t="inlineStr">
        <is>
          <t>3a(ii)</t>
        </is>
      </c>
      <c r="I82" s="8" t="inlineStr">
        <is>
          <t>Partially met</t>
        </is>
      </c>
      <c r="J82" s="8" t="inlineStr">
        <is>
          <t>The Faculty leads many cross department events and workshops to further sustainability knowledge and integration. For example, FBE faciliating the Shared Value Project exec ed for the 3rd time in 2025 as well as the SVP summit in 2025 at Melbourne Connect. FBE is deepening its relationship with SVP - which will provide a key highly visable and impactful  pathway to embedding sustsinability and shared value into teaching as well  offering myriad research opportunities. 
The Faculty led a University research engagement event - the Sustainable Finance Futures Forum - on September 17 within Sustainability Week. The event was attended by approximately 80 people from industry and the University community. It featured a keynote by Director of the University's Sustainable Finance Hub, Simon O'Connor, followed by an industry panel and then workshop session on climate scenario analyses led by A/Prof Ben Neville</t>
        </is>
      </c>
      <c r="K82" s="8" t="inlineStr"/>
      <c r="L82" s="8" t="n"/>
      <c r="M82" s="8" t="n"/>
      <c r="N82" s="8" t="n"/>
      <c r="O82" s="8" t="n"/>
      <c r="P82" s="8" t="n"/>
      <c r="Q82" s="8" t="n"/>
      <c r="R82" s="8" t="n"/>
    </row>
    <row r="83" ht="150" customHeight="1">
      <c r="B83" s="7" t="inlineStr">
        <is>
          <t>EN1(d)</t>
        </is>
      </c>
      <c r="C83" s="12" t="inlineStr">
        <is>
          <t>Enablers</t>
        </is>
      </c>
      <c r="D83" s="12" t="inlineStr">
        <is>
          <t>Enablers</t>
        </is>
      </c>
      <c r="E83" s="12" t="inlineStr">
        <is>
          <t>Sustainability objectives integrated into governance and decision‑making processes, supported by transparent reporting.</t>
        </is>
      </c>
      <c r="F83" s="8" t="inlineStr">
        <is>
          <t>Please describe how sustainability is built into your faculty's governance and decision-making – e.g. a sustainability committee or Associate Dean (Sustainability) role, a faculty sustainability action plan, sustainability criteria in planning or approvals, and how progress is reported (e.g. to the Faculty Executive). Please link the action plan if one exists.</t>
        </is>
      </c>
      <c r="G83" s="8" t="inlineStr">
        <is>
          <t>We will report on how sustainability is integrated into governance and decision-making across faculties and portfolios, and use responses as a baseline for the governance enabler from 2027.</t>
        </is>
      </c>
      <c r="H83" s="8" t="inlineStr">
        <is>
          <t>N/A – new indicator</t>
        </is>
      </c>
      <c r="I83" s="8" t="inlineStr"/>
      <c r="J83" s="8" t="inlineStr"/>
      <c r="K83" s="8" t="inlineStr"/>
      <c r="L83" s="8" t="n"/>
      <c r="M83" s="8" t="n"/>
      <c r="N83" s="8" t="n"/>
      <c r="O83" s="8" t="n"/>
      <c r="P83" s="8" t="n"/>
      <c r="Q83" s="8" t="n"/>
      <c r="R83" s="8" t="n"/>
    </row>
    <row r="84"/>
    <row r="86">
      <c r="B86" s="18" t="inlineStr">
        <is>
          <t>1.4  SCI – Faculty of Science</t>
        </is>
      </c>
    </row>
    <row r="88">
      <c r="C88" s="19" t="inlineStr">
        <is>
          <t>Sustainability 2030 target and indicator</t>
        </is>
      </c>
      <c r="H88" s="19" t="inlineStr">
        <is>
          <t>End-2025 reporting (click the ref to see your full SR25 response; [+] above expands a summary)</t>
        </is>
      </c>
      <c r="L88" s="20" t="inlineStr">
        <is>
          <t>End-2026 reporting (PLEASE COMPLETE THIS SECTION)</t>
        </is>
      </c>
    </row>
    <row r="89">
      <c r="B89" s="6" t="inlineStr">
        <is>
          <t>Ref</t>
        </is>
      </c>
      <c r="C89" s="6" t="inlineStr">
        <is>
          <t>Priority area</t>
        </is>
      </c>
      <c r="D89" s="6" t="inlineStr">
        <is>
          <t>Sustainability 2030 target</t>
        </is>
      </c>
      <c r="E89" s="6" t="inlineStr">
        <is>
          <t>Indicator</t>
        </is>
      </c>
      <c r="F89" s="6" t="inlineStr">
        <is>
          <t>2026 Reporting request</t>
        </is>
      </c>
      <c r="G89" s="6" t="inlineStr">
        <is>
          <t>How SST will use this data</t>
        </is>
      </c>
      <c r="H89" s="6" t="inlineStr">
        <is>
          <t>Related SR25 ref</t>
        </is>
      </c>
      <c r="I89" s="6" t="inlineStr">
        <is>
          <t>End-2025 confirmed status</t>
        </is>
      </c>
      <c r="J89" s="6" t="inlineStr">
        <is>
          <t>End-2025 reporting response</t>
        </is>
      </c>
      <c r="K89" s="6" t="inlineStr">
        <is>
          <t>Links and supporting information</t>
        </is>
      </c>
      <c r="L89" s="21" t="inlineStr">
        <is>
          <t>Confirm end-2026 target status</t>
        </is>
      </c>
      <c r="M89" s="21" t="inlineStr">
        <is>
          <t>OPTION 1:  Target-level reporting (Column D)</t>
        </is>
      </c>
      <c r="N89" s="21" t="inlineStr">
        <is>
          <t>OPTION 2:  Indicator level reporting (Column E/F)</t>
        </is>
      </c>
      <c r="O89" s="21" t="inlineStr">
        <is>
          <t>Supporting information/comments</t>
        </is>
      </c>
      <c r="P89" s="21" t="inlineStr">
        <is>
          <t>Data source and limitations</t>
        </is>
      </c>
      <c r="Q89" s="21" t="inlineStr">
        <is>
          <t>Data owner confirms information is accurate</t>
        </is>
      </c>
      <c r="R89" s="21" t="inlineStr">
        <is>
          <t>Confirmed by (name, role, date)</t>
        </is>
      </c>
    </row>
    <row r="90">
      <c r="B90" s="22" t="inlineStr"/>
      <c r="C90" s="22" t="inlineStr"/>
      <c r="D90" s="22" t="inlineStr"/>
      <c r="E90" s="22" t="inlineStr"/>
      <c r="F90" s="22" t="inlineStr"/>
      <c r="G90" s="22" t="inlineStr"/>
      <c r="H90" s="22" t="inlineStr"/>
      <c r="I90" s="22" t="inlineStr"/>
      <c r="J90" s="22" t="inlineStr"/>
      <c r="K90" s="22" t="inlineStr"/>
      <c r="L90" s="22" t="inlineStr">
        <is>
          <t>(Met or exceeded; partially met; not met; not yet started)</t>
        </is>
      </c>
      <c r="M90" s="22" t="inlineStr">
        <is>
          <t>Provide further evidence of target status assessment in the form of:
A general update on activities in relation to the overarching target (Column D)</t>
        </is>
      </c>
      <c r="N90" s="22" t="inlineStr">
        <is>
          <t>Provide further evidence of target status assessment in the form of:
Data and commentary in direct response to the reporting request (Column F)</t>
        </is>
      </c>
      <c r="O90" s="22" t="inlineStr">
        <is>
          <t>Provide any additional information to support the target status assessment (e.g. links, images, rationale for selection of target status)</t>
        </is>
      </c>
      <c r="P90" s="22" t="inlineStr">
        <is>
          <t>Where did this information come from (system, report, survey, person)? Note any gaps or limitations.</t>
        </is>
      </c>
      <c r="Q90" s="22" t="inlineStr">
        <is>
          <t>Select 'Yes' to confirm the information provided is accurate and can be used for reporting</t>
        </is>
      </c>
      <c r="R90" s="22" t="inlineStr">
        <is>
          <t>Name, role and date of the person confirming</t>
        </is>
      </c>
    </row>
    <row r="91" ht="150" customHeight="1">
      <c r="B91" s="7" t="inlineStr">
        <is>
          <t>EE1(a)</t>
        </is>
      </c>
      <c r="C91" s="12" t="inlineStr">
        <is>
          <t>Exceptional education</t>
        </is>
      </c>
      <c r="D91" s="12" t="inlineStr">
        <is>
          <t>Provide our students with learning experiences that help them build the knowledge, skills and relationships to lead change for sustainable societies.</t>
        </is>
      </c>
      <c r="E91" s="12" t="inlineStr">
        <is>
          <t>Evidence of innovative approaches to sustainability teaching and learning</t>
        </is>
      </c>
      <c r="F91" s="8" t="inlineStr">
        <is>
          <t>In end-2025 reporting your faculty reported on the related SP2030 target 4a(ii) and rated it 'Met or exceeded' (see Column J – click [+] above Columns I–K). Please build on this rather than repeating it, focusing on what is new in 2026.
Please provide one or two examples from 2026 of innovative approaches your faculty has used to embed sustainability in teaching and learning (e.g. new or redesigned subjects, curriculum design, pedagogies, assessment approaches or learning resources). Include links to subject pages or resources where available.
A full list of subjects is not required.</t>
        </is>
      </c>
      <c r="G91" s="8" t="inlineStr">
        <is>
          <t>We will collate examples of innovative sustainability teaching and learning across faculties to inform the Exceptional education section of the 2026 Sustainability Report, and select one or two for short case studies.</t>
        </is>
      </c>
      <c r="H91" s="8" t="inlineStr">
        <is>
          <t>4a(ii)</t>
        </is>
      </c>
      <c r="I91" s="8" t="inlineStr">
        <is>
          <t>Met or exceeded</t>
        </is>
      </c>
      <c r="J91" s="8" t="inlineStr">
        <is>
          <t>Sustainability, conservation, biodiversity are elements of most courses and majors within the FoS. Several additional courses are being considered at PG level in 2026
The FoS education strategy https://staff.unimelb.edu.au/science/learning-and-teaching-support/education-strategy has been developed with the following targets related to sustainability:  
Under Innovate: "Maintain a focus on embedding the principles of sustainability in our teaching and learning practices, including ‘green’ and sustainable laboratory initiatives"; Future ready graduates: "Our programs will embed the concepts of sustainability set out in the University’s Sustainability
Plan 2030 so that our graduates are fluent in contemporary concepts of human, social, economic
and environmental sustainability. "
With the 12 month implementation plan noting that: "Understanding our students’ carbon footprint is the first step towards incorporating sustainability in teaching and learning."</t>
        </is>
      </c>
      <c r="K91" s="8" t="inlineStr"/>
      <c r="L91" s="8" t="n"/>
      <c r="M91" s="8" t="n"/>
      <c r="N91" s="8" t="n"/>
      <c r="O91" s="8" t="n"/>
      <c r="P91" s="8" t="n"/>
      <c r="Q91" s="8" t="n"/>
      <c r="R91" s="8" t="n"/>
    </row>
    <row r="92" ht="150" customHeight="1">
      <c r="B92" s="7" t="inlineStr">
        <is>
          <t>EE1(b)</t>
        </is>
      </c>
      <c r="C92" s="12" t="inlineStr">
        <is>
          <t>Exceptional education</t>
        </is>
      </c>
      <c r="D92" s="12" t="inlineStr">
        <is>
          <t>Provide our students with learning experiences that help them build the knowledge, skills and relationships to lead change for sustainable societies.</t>
        </is>
      </c>
      <c r="E92" s="12" t="inlineStr">
        <is>
          <t>Pilots of possible approaches for understanding and developing students’ sustainability self-efficacy</t>
        </is>
      </c>
      <c r="F92" s="8" t="inlineStr">
        <is>
          <t>Has your faculty piloted or trialled any approach in 2026 to understand or build students' confidence and capability to act on sustainability (sustainability self-efficacy)? If yes, briefly describe the approach, participating cohort, what was learned and next steps. If not, please respond 'none in 2026' – this is a new indicator and a nil response is useful.
We are aware of the Sustainability Strengths Compass Living Lab project (CLLAP) and will collect it separately.</t>
        </is>
      </c>
      <c r="G92" s="8" t="inlineStr">
        <is>
          <t>This is a new indicator. We will use responses to establish a baseline of how (and whether) faculties are understanding student sustainability self-efficacy, and report on early pilots in the 2026 Sustainability Report. A nil response is useful to us.</t>
        </is>
      </c>
      <c r="H92" s="8" t="inlineStr">
        <is>
          <t>N/A – new indicator</t>
        </is>
      </c>
      <c r="I92" s="8" t="inlineStr"/>
      <c r="J92" s="8" t="inlineStr"/>
      <c r="K92" s="8" t="inlineStr"/>
      <c r="L92" s="8" t="n"/>
      <c r="M92" s="8" t="n"/>
      <c r="N92" s="8" t="n"/>
      <c r="O92" s="8" t="n"/>
      <c r="P92" s="8" t="n"/>
      <c r="Q92" s="8" t="n"/>
      <c r="R92" s="8" t="n"/>
    </row>
    <row r="93" ht="150" customHeight="1">
      <c r="B93" s="7" t="inlineStr">
        <is>
          <t>EE1(c)</t>
        </is>
      </c>
      <c r="C93" s="12" t="inlineStr">
        <is>
          <t>Exceptional education</t>
        </is>
      </c>
      <c r="D93" s="12" t="inlineStr">
        <is>
          <t>Provide our students with learning experiences that help them build the knowledge, skills and relationships to lead change for sustainable societies.</t>
        </is>
      </c>
      <c r="E93" s="12" t="inlineStr">
        <is>
          <t>Evidence of sustainability focused experiential and co curricular learning (eg Wattle Fellowship; Melbourne Plus)</t>
        </is>
      </c>
      <c r="F93" s="8" t="inlineStr">
        <is>
          <t>Please list any sustainability-focused experiential or co-curricular learning opportunities your faculty offered or supported in 2026 (e.g. industry or community projects, fieldwork, internships, student challenges), with approximate student participation where known and a one-line description of outcomes.
We will collect Wattle Fellowship and Melbourne Plus information centrally – please only include these if your faculty ran a specific activity.</t>
        </is>
      </c>
      <c r="G93" s="8" t="inlineStr">
        <is>
          <t>We will combine faculty examples with central Wattle Fellowship and Melbourne Plus data to report on the range and reach of sustainability-focused experiential and co-curricular learning across the University.</t>
        </is>
      </c>
      <c r="H93" s="8" t="inlineStr">
        <is>
          <t>N/A – new indicator</t>
        </is>
      </c>
      <c r="I93" s="8" t="inlineStr"/>
      <c r="J93" s="8" t="inlineStr"/>
      <c r="K93" s="8" t="inlineStr"/>
      <c r="L93" s="8" t="n"/>
      <c r="M93" s="8" t="n"/>
      <c r="N93" s="8" t="n"/>
      <c r="O93" s="8" t="n"/>
      <c r="P93" s="8" t="n"/>
      <c r="Q93" s="8" t="n"/>
      <c r="R93" s="8" t="n"/>
    </row>
    <row r="94" ht="150" customHeight="1">
      <c r="B94" s="7" t="inlineStr">
        <is>
          <t>EE1(d)</t>
        </is>
      </c>
      <c r="C94" s="12" t="inlineStr">
        <is>
          <t>Exceptional education</t>
        </is>
      </c>
      <c r="D94" s="12" t="inlineStr">
        <is>
          <t>Provide our students with learning experiences that help them build the knowledge, skills and relationships to lead change for sustainable societies.</t>
        </is>
      </c>
      <c r="E94" s="12" t="inlineStr">
        <is>
          <t>Alumni profiles demonstrating how graduates contribute to sustainability through their careers or communities.</t>
        </is>
      </c>
      <c r="F94" s="8" t="inlineStr">
        <is>
          <t>In end-2025 reporting your faculty reported on the related SP2030 target 4b(i) and rated it 'Met or exceeded' (see Column J – click [+] above Columns I–K). Please build on this rather than repeating it, focusing on what is new in 2026.
Please nominate up to two alumni from your faculty whose careers or community work demonstrate how they apply sustainability knowledge and skills (name, course and graduating year, a short summary, a link to a profile if available, and whether consent to be featured is likely). If your faculty tracks sustainability-related graduate outcomes in any way, please briefly describe how.</t>
        </is>
      </c>
      <c r="G94" s="8" t="inlineStr">
        <is>
          <t>We will use nominated alumni to develop short graduate profiles for the 2026 Sustainability Report (subject to consent), and record any faculty approaches to tracking graduate outcomes to inform how this indicator is measured from 2027.</t>
        </is>
      </c>
      <c r="H94" s="8" t="inlineStr">
        <is>
          <t>4b(i)</t>
        </is>
      </c>
      <c r="I94" s="8" t="inlineStr">
        <is>
          <t>Met or exceeded</t>
        </is>
      </c>
      <c r="J94" s="8" t="inlineStr">
        <is>
          <t>As above. FoS is the custodial faculty for the Office of Environmental Programs
The BSc had 208 graduates across the following environmental/sustainability focussed majors:
Zoology 40
Marine Biology 19
Plant Science 6
Geology 16
Geography 19
Environmental Science 26
Ecosystem Science 6
Ecology &amp; Evolutionary Biology 24
Climate and Weather 9
The Office of Environmental programs had 198 postgraduate graduates in 2025: 
5 Graduate Certificate in Bushfire Planning and Management
2 Graduate Certificate in Environment
7 Graduate Diploma in Urban Horticulture
5 Master of Climate Science
10 Master of Ecosystem Management and Conservation
105 Master of Environment
40 Master of Environmental Science
24 Master of Urban Horticulture</t>
        </is>
      </c>
      <c r="K94" s="8" t="inlineStr"/>
      <c r="L94" s="8" t="n"/>
      <c r="M94" s="8" t="n"/>
      <c r="N94" s="8" t="n"/>
      <c r="O94" s="8" t="n"/>
      <c r="P94" s="8" t="n"/>
      <c r="Q94" s="8" t="n"/>
      <c r="R94" s="8" t="n"/>
    </row>
    <row r="95" ht="150" customHeight="1">
      <c r="B95" s="7" t="inlineStr">
        <is>
          <t>TR1(a)</t>
        </is>
      </c>
      <c r="C95" s="12" t="inlineStr">
        <is>
          <t>Transformational research</t>
        </is>
      </c>
      <c r="D95" s="12" t="inlineStr">
        <is>
          <t>Utilise the expertise of the University’s researchers through mutually beneficial partnerships to help address the University’s operational sustainability challenges.</t>
        </is>
      </c>
      <c r="E95" s="12" t="inlineStr">
        <is>
          <t>Expert-reviewed evidence of researchers contributing to operational sustainability priorities through partnerships, advisory input, living labs, applied projects or decision-support</t>
        </is>
      </c>
      <c r="F95" s="8" t="inlineStr">
        <is>
          <t>In end-2025 reporting your faculty reported on the related SP2030 target 2a and rated it 'Partially met' (see Column J – click [+] above Columns I–K). Please build on this rather than repeating it, focusing on what is new in 2026.
Please provide up to two examples from 2026 of researchers in your faculty contributing to the University's own operational sustainability challenges (e.g. advising on campus energy, biodiversity, waste or buildings; applied projects; decision-support tools). For each, briefly describe the operational challenge, the researcher's contribution, the University team involved and the result.
We will collect Campus Living Lab Accelerator Program (CLLAP) projects separately from CI&amp;S – please include other examples only.</t>
        </is>
      </c>
      <c r="G95" s="8" t="inlineStr">
        <is>
          <t>We will report on examples of researchers helping solve the University's own operational sustainability challenges, alongside CLLAP projects reported by CI&amp;S, and share them with operational teams to identify further collaboration.</t>
        </is>
      </c>
      <c r="H95" s="8" t="inlineStr">
        <is>
          <t>2a</t>
        </is>
      </c>
      <c r="I95" s="8" t="inlineStr">
        <is>
          <t>Partially met</t>
        </is>
      </c>
      <c r="J95" s="8" t="inlineStr">
        <is>
          <t>The faculty has many projects that can be considered living labs. A centralised approach is required to document them.
2025 examples include how the undergraduate chemistry teaching laboratories redesigned their practicals to use less reagents and safer chemicals to achieve the same learning outcomes.
Physics have redesigned the X-band radiation lab electricity usage resulting in the saving of a very significant percentage of electricity costs. Biosciences and vet school both conducted -80oC freezer sample clean out and efficiency awareness work. This is part of green laboratory certification.
SAFES have worked on Indigenous food gardens and have an Indigenous food guide and there are examples of urban and woodland greening that serve as best practice examples across Australia</t>
        </is>
      </c>
      <c r="K95" s="8" t="inlineStr">
        <is>
          <t>https://www.unimelb.edu.au/newsroom/news/2024/october/native-harvest-cookbook-aims-to-put-indigenous-food-in-every-aussie-kitchen
https://theconversation.com/we-planted-two-woody-meadows-a-decade-ago-to-see-what-would-thrive-now-the-concept-is-popular-across-australia-269611</t>
        </is>
      </c>
      <c r="L95" s="8" t="n"/>
      <c r="M95" s="8" t="n"/>
      <c r="N95" s="8" t="n"/>
      <c r="O95" s="8" t="n"/>
      <c r="P95" s="8" t="n"/>
      <c r="Q95" s="8" t="n"/>
      <c r="R95" s="8" t="n"/>
    </row>
    <row r="96" ht="150" customHeight="1">
      <c r="B96" s="7" t="inlineStr">
        <is>
          <t>TR1(b)</t>
        </is>
      </c>
      <c r="C96" s="12" t="inlineStr">
        <is>
          <t>Transformational research</t>
        </is>
      </c>
      <c r="D96" s="12" t="inlineStr">
        <is>
          <t>Utilise the expertise of the University’s researchers through mutually beneficial partnerships to help address the University’s operational sustainability challenges.</t>
        </is>
      </c>
      <c r="E96" s="12" t="inlineStr">
        <is>
          <t>Evidence of institutional pathways that enable ongoing collaboration between academic and professional staff</t>
        </is>
      </c>
      <c r="F96" s="8" t="inlineStr">
        <is>
          <t>Does your faculty have any mechanism that supports ongoing collaboration between academic and professional staff on operational sustainability (e.g. a sustainability committee with mixed membership, seed funding, a coordination role or a regular forum)? If yes, briefly describe it and how often it operates. If not, please say so.</t>
        </is>
      </c>
      <c r="G96" s="8" t="inlineStr">
        <is>
          <t>We will map existing academic–professional collaboration mechanisms across faculties to establish a baseline for this new indicator and identify models other faculties could adopt.</t>
        </is>
      </c>
      <c r="H96" s="8" t="inlineStr">
        <is>
          <t>N/A – new indicator</t>
        </is>
      </c>
      <c r="I96" s="8" t="inlineStr"/>
      <c r="J96" s="8" t="inlineStr"/>
      <c r="K96" s="8" t="inlineStr"/>
      <c r="L96" s="8" t="n"/>
      <c r="M96" s="8" t="n"/>
      <c r="N96" s="8" t="n"/>
      <c r="O96" s="8" t="n"/>
      <c r="P96" s="8" t="n"/>
      <c r="Q96" s="8" t="n"/>
      <c r="R96" s="8" t="n"/>
    </row>
    <row r="97" ht="150" customHeight="1">
      <c r="B97" s="7" t="inlineStr">
        <is>
          <t>TR1(c)</t>
        </is>
      </c>
      <c r="C97" s="12" t="inlineStr">
        <is>
          <t>Transformational research</t>
        </is>
      </c>
      <c r="D97" s="12" t="inlineStr">
        <is>
          <t>Utilise the expertise of the University’s researchers through mutually beneficial partnerships to help address the University’s operational sustainability challenges.</t>
        </is>
      </c>
      <c r="E97" s="12" t="inlineStr">
        <is>
          <t>Expert assessment of the quality, relevance and continuity of these collaborations</t>
        </is>
      </c>
      <c r="F97" s="8" t="inlineStr">
        <is>
          <t>For the collaborations described in TR1(a)–(b), please give a short assessment (a paragraph is sufficient) of their quality, relevance and continuity: are they ongoing, useful to the University's operational priorities, and producing outcomes?</t>
        </is>
      </c>
      <c r="G97" s="8" t="inlineStr">
        <is>
          <t>We will use your assessment to describe the quality and continuity of research–operations collaboration in the 2026 report, and as baseline evidence for the interim target status assessment from 2027.</t>
        </is>
      </c>
      <c r="H97" s="8" t="inlineStr">
        <is>
          <t>N/A – new indicator</t>
        </is>
      </c>
      <c r="I97" s="8" t="inlineStr"/>
      <c r="J97" s="8" t="inlineStr"/>
      <c r="K97" s="8" t="inlineStr"/>
      <c r="L97" s="8" t="n"/>
      <c r="M97" s="8" t="n"/>
      <c r="N97" s="8" t="n"/>
      <c r="O97" s="8" t="n"/>
      <c r="P97" s="8" t="n"/>
      <c r="Q97" s="8" t="n"/>
      <c r="R97" s="8" t="n"/>
    </row>
    <row r="98" ht="150" customHeight="1">
      <c r="B98" s="7" t="inlineStr">
        <is>
          <t>TR1(d)</t>
        </is>
      </c>
      <c r="C98" s="12" t="inlineStr">
        <is>
          <t>Transformational research</t>
        </is>
      </c>
      <c r="D98" s="12" t="inlineStr">
        <is>
          <t>Utilise the expertise of the University’s researchers through mutually beneficial partnerships to help address the University’s operational sustainability challenges.</t>
        </is>
      </c>
      <c r="E98" s="12" t="inlineStr">
        <is>
          <t>Periodic feedback from participants on the effectiveness and mutual benefit of collaboration mechanisms.</t>
        </is>
      </c>
      <c r="F98" s="8" t="inlineStr">
        <is>
          <t>Has your faculty collected any feedback from participants (researchers or operational staff) on how well these collaboration mechanisms work and whether they are mutually beneficial? If yes, summarise key findings and any improvements identified; if not, please say so.</t>
        </is>
      </c>
      <c r="G98" s="8" t="inlineStr">
        <is>
          <t>We will use any feedback to understand whether collaboration mechanisms are working and to inform improvements. Where none has been collected, this helps us plan how to gather feedback from 2027.</t>
        </is>
      </c>
      <c r="H98" s="8" t="inlineStr">
        <is>
          <t>N/A – new indicator</t>
        </is>
      </c>
      <c r="I98" s="8" t="inlineStr"/>
      <c r="J98" s="8" t="inlineStr"/>
      <c r="K98" s="8" t="inlineStr"/>
      <c r="L98" s="8" t="n"/>
      <c r="M98" s="8" t="n"/>
      <c r="N98" s="8" t="n"/>
      <c r="O98" s="8" t="n"/>
      <c r="P98" s="8" t="n"/>
      <c r="Q98" s="8" t="n"/>
      <c r="R98" s="8" t="n"/>
    </row>
    <row r="99" ht="150" customHeight="1">
      <c r="B99" s="7" t="inlineStr">
        <is>
          <t>TR2(a)</t>
        </is>
      </c>
      <c r="C99" s="12" t="inlineStr">
        <is>
          <t>Transformational research</t>
        </is>
      </c>
      <c r="D99" s="12" t="inlineStr">
        <is>
          <t>Deliver high-quality research and partnerships that contribute to sustainability outcomes and demonstrable societal benefit.</t>
        </is>
      </c>
      <c r="E99" s="12" t="inlineStr">
        <is>
          <t>Evidence of sustainability-related research impact across diverse pathways, could include policy, industry, community, practice, cultural and institutional outcomes</t>
        </is>
      </c>
      <c r="F99" s="8" t="inlineStr">
        <is>
          <t>In end-2025 reporting your faculty reported on the related SP2030 target 5b(i) and rated it 'Met or exceeded' (see Column J – click [+] above Columns I–K). Please build on this rather than repeating it, focusing on what is new in 2026.
Please provide one or two examples from 2026 of sustainability-related research from your faculty that has had impact beyond academia – on policy, industry, community, practice, cultural or institutional outcomes. For each, briefly describe the research, the partner or user, and the resulting change or influence, with links (e.g. Pursuit articles, policy submissions, reports).
We will source University-wide research metrics (e.g. SDG-mapped publications via SciVal) from MRE – publication counts are not required.</t>
        </is>
      </c>
      <c r="G99" s="8" t="inlineStr">
        <is>
          <t>We will collate research impact examples across faculties to show the breadth of sustainability-related research impact in the Transformational research section of the 2026 Sustainability Report, complementing University-wide metrics from MRE.</t>
        </is>
      </c>
      <c r="H99" s="8" t="inlineStr">
        <is>
          <t>5b(i)</t>
        </is>
      </c>
      <c r="I99" s="8" t="inlineStr">
        <is>
          <t>Met or exceeded</t>
        </is>
      </c>
      <c r="J99" s="8" t="inlineStr">
        <is>
          <t>QS rankings, SDG research outputs all attest to our strength in environmental and sustainable research. 
We have a research strategy which has clear deliverables for sustainability, including a focus on several "Big Research Challenges" which directly relate to Sustainability https://staff.unimelb.edu.au/science/research/research-governance/research-strategy-2023-2030/FOS-Research-strategy-_INTRANET-LINKS-FIXED.pdf
We had a Science at Melbourne Public lecture on environmental pollution: 
https://science.unimelb.edu.au/about/news/dont-drink-the-water-or-breathe-the-air-pollution-and-solutions 
and the climate crisis:
https://science.unimelb.edu.au/about/news/australia-and-the-pacific-islands-solidarity-in-a-time-of-climate-crisis/_nocache</t>
        </is>
      </c>
      <c r="K99" s="8" t="inlineStr"/>
      <c r="L99" s="8" t="n"/>
      <c r="M99" s="8" t="n"/>
      <c r="N99" s="8" t="n"/>
      <c r="O99" s="8" t="n"/>
      <c r="P99" s="8" t="n"/>
      <c r="Q99" s="8" t="n"/>
      <c r="R99" s="8" t="n"/>
    </row>
    <row r="100" ht="150" customHeight="1">
      <c r="B100" s="7" t="inlineStr">
        <is>
          <t>TR2(d)</t>
        </is>
      </c>
      <c r="C100" s="12" t="inlineStr">
        <is>
          <t>Transformational research</t>
        </is>
      </c>
      <c r="D100" s="12" t="inlineStr">
        <is>
          <t>Deliver high-quality research and partnerships that contribute to sustainability outcomes and demonstrable societal benefit.</t>
        </is>
      </c>
      <c r="E100" s="12" t="inlineStr">
        <is>
          <t>Case-based evidence demonstrating how research has contributed to meaningful sustainability outcomes.</t>
        </is>
      </c>
      <c r="F100" s="8" t="inlineStr">
        <is>
          <t>In end-2025 reporting your faculty reported on the related SP2030 target 5b(i) and rated it 'Met or exceeded' (see Column J – click [+] above Columns I–K). Please build on this rather than repeating it, focusing on what is new in 2026.
Please provide one case study (up to 300 words) of a research project from your faculty that has contributed to a meaningful sustainability outcome: the research, stakeholders involved, pathway to impact and evidence of the outcome. This can be one of the examples from TR2(a), developed in more detail.
We are also seeking examples from Melbourne Climate Futures, the Melbourne Biodiversity Institute and Strategic Communications.</t>
        </is>
      </c>
      <c r="G100" s="8" t="inlineStr">
        <is>
          <t>We will select the strongest examples to develop as full research case studies for the 2026 Sustainability Report (we may contact you for more detail and images).</t>
        </is>
      </c>
      <c r="H100" s="8" t="inlineStr">
        <is>
          <t>5b(i)</t>
        </is>
      </c>
      <c r="I100" s="8" t="inlineStr">
        <is>
          <t>Met or exceeded</t>
        </is>
      </c>
      <c r="J100" s="8" t="inlineStr">
        <is>
          <t>QS rankings, SDG research outputs all attest to our strength in environmental and sustainable research. 
We have a research strategy which has clear deliverables for sustainability, including a focus on several "Big Research Challenges" which directly relate to Sustainability https://staff.unimelb.edu.au/science/research/research-governance/research-strategy-2023-2030/FOS-Research-strategy-_INTRANET-LINKS-FIXED.pdf
We had a Science at Melbourne Public lecture on environmental pollution: 
https://science.unimelb.edu.au/about/news/dont-drink-the-water-or-breathe-the-air-pollution-and-solutions 
and the climate crisis:
https://science.unimelb.edu.au/about/news/australia-and-the-pacific-islands-solidarity-in-a-time-of-climate-crisis/_nocache</t>
        </is>
      </c>
      <c r="K100" s="8" t="inlineStr"/>
      <c r="L100" s="8" t="n"/>
      <c r="M100" s="8" t="n"/>
      <c r="N100" s="8" t="n"/>
      <c r="O100" s="8" t="n"/>
      <c r="P100" s="8" t="n"/>
      <c r="Q100" s="8" t="n"/>
      <c r="R100" s="8" t="n"/>
    </row>
    <row r="101" ht="150" customHeight="1">
      <c r="B101" s="7" t="inlineStr">
        <is>
          <t>TR3(a)</t>
        </is>
      </c>
      <c r="C101" s="12" t="inlineStr">
        <is>
          <t>Transformational research</t>
        </is>
      </c>
      <c r="D101" s="12" t="inlineStr">
        <is>
          <t>Embed sustainability within research systems, processes, capability and culture, so research is conducted responsibly, efficiently and with reduced environmental impact.</t>
        </is>
      </c>
      <c r="E101" s="12" t="inlineStr">
        <is>
          <t>Evidence that sustainability considerations are integrated into relevant research systems, planning processes, guidance, training, induction or support services</t>
        </is>
      </c>
      <c r="F101" s="8" t="inlineStr">
        <is>
          <t>In end-2025 reporting your faculty reported on the related SP2030 target 5c(ii) and rated it 'Partially met' (see Column J – click [+] above Columns I–K). Please build on this rather than repeating it, focusing on what is new in 2026.
Please describe how sustainability considerations are built into your faculty's research systems or support – e.g. research planning or approval processes, guidance, graduate researcher induction or training, grant development support. Please highlight any new or improved process introduced in 2026.</t>
        </is>
      </c>
      <c r="G101" s="8" t="inlineStr">
        <is>
          <t>We will report on how sustainability is being built into research systems and support across the University, and use responses to establish a baseline for this new target.</t>
        </is>
      </c>
      <c r="H101" s="8" t="inlineStr">
        <is>
          <t>5c(ii)</t>
        </is>
      </c>
      <c r="I101" s="8" t="inlineStr">
        <is>
          <t>Partially met</t>
        </is>
      </c>
      <c r="J101" s="8" t="inlineStr">
        <is>
          <t>We have a research strategy and implimentation plan which has clear deliverables for sustainability; 
Link for Research strategy: https://staff.unimelb.edu.au/science/research/research-governance/research-strategy-2023-2030               
Link for Implimentation Plan: https://staff.unimelb.edu.au/science/research/research-governance/research-strategy-2023-2030/Research-Strategy-Implementation-Plan_FINAL_12Dec24.pdf       
which for example includes "Action 10. Improve sustainability of our core business practices"</t>
        </is>
      </c>
      <c r="K101" s="8" t="inlineStr"/>
      <c r="L101" s="8" t="n"/>
      <c r="M101" s="8" t="n"/>
      <c r="N101" s="8" t="n"/>
      <c r="O101" s="8" t="n"/>
      <c r="P101" s="8" t="n"/>
      <c r="Q101" s="8" t="n"/>
      <c r="R101" s="8" t="n"/>
    </row>
    <row r="102" ht="150" customHeight="1">
      <c r="B102" s="7" t="inlineStr">
        <is>
          <t>TR3(b)</t>
        </is>
      </c>
      <c r="C102" s="12" t="inlineStr">
        <is>
          <t>Transformational research</t>
        </is>
      </c>
      <c r="D102" s="12" t="inlineStr">
        <is>
          <t>Embed sustainability within research systems, processes, capability and culture, so research is conducted responsibly, efficiently and with reduced environmental impact.</t>
        </is>
      </c>
      <c r="E102" s="12" t="inlineStr">
        <is>
          <t>Demonstrated examples of more sustainable research practices in laboratories, fieldwork, procurement, travel or infrastructure use</t>
        </is>
      </c>
      <c r="F102" s="8" t="inlineStr">
        <is>
          <t>In end-2025 reporting your faculty reported on the related SP2030 target 5c(ii) and rated it 'Partially met' (see Column J – click [+] above Columns I–K). Please build on this rather than repeating it, focusing on what is new in 2026.
Are there any efforts within the faculty to make research practices more sustainable (e.g. green lab certification, equipment sharing, reduced research travel, sustainable fieldwork, sustainable procurement of research consumables)? If so, please describe up to two examples and any evidence of uptake, resource savings or emissions reductions.</t>
        </is>
      </c>
      <c r="G102" s="8" t="inlineStr">
        <is>
          <t>We will report on ways the University is making research practices more sustainable in the 2026 Sustainability Report, and share practical examples (e.g. green labs) across faculties.</t>
        </is>
      </c>
      <c r="H102" s="8" t="inlineStr">
        <is>
          <t>5c(ii)</t>
        </is>
      </c>
      <c r="I102" s="8" t="inlineStr">
        <is>
          <t>Partially met</t>
        </is>
      </c>
      <c r="J102" s="8" t="inlineStr">
        <is>
          <t>We have a research strategy and implimentation plan which has clear deliverables for sustainability; 
Link for Research strategy: https://staff.unimelb.edu.au/science/research/research-governance/research-strategy-2023-2030               
Link for Implimentation Plan: https://staff.unimelb.edu.au/science/research/research-governance/research-strategy-2023-2030/Research-Strategy-Implementation-Plan_FINAL_12Dec24.pdf       
which for example includes "Action 10. Improve sustainability of our core business practices"</t>
        </is>
      </c>
      <c r="K102" s="8" t="inlineStr"/>
      <c r="L102" s="8" t="n"/>
      <c r="M102" s="8" t="n"/>
      <c r="N102" s="8" t="n"/>
      <c r="O102" s="8" t="n"/>
      <c r="P102" s="8" t="n"/>
      <c r="Q102" s="8" t="n"/>
      <c r="R102" s="8" t="n"/>
    </row>
    <row r="103" ht="150" customHeight="1">
      <c r="B103" s="7" t="inlineStr">
        <is>
          <t>TR3(c)</t>
        </is>
      </c>
      <c r="C103" s="12" t="inlineStr">
        <is>
          <t>Transformational research</t>
        </is>
      </c>
      <c r="D103" s="12" t="inlineStr">
        <is>
          <t>Embed sustainability within research systems, processes, capability and culture, so research is conducted responsibly, efficiently and with reduced environmental impact.</t>
        </is>
      </c>
      <c r="E103" s="12" t="inlineStr">
        <is>
          <t>Evidence of progress in sustainability-related research culture, capability and awareness, informed by periodic staff and graduate researcher surveys</t>
        </is>
      </c>
      <c r="F103" s="8" t="inlineStr">
        <is>
          <t>Does your faculty have any evidence of change in sustainability-related research culture, capability or awareness – e.g. results from staff or graduate researcher surveys, or participation in capability-building events or training? Please provide a brief summary and the source. If no evidence is available, please say so.</t>
        </is>
      </c>
      <c r="G103" s="8" t="inlineStr">
        <is>
          <t>We will use any survey or capability data to describe changes in sustainability-related research culture. Where no evidence exists, this helps us plan University-wide measurement (e.g. staff and graduate researcher surveys) from 2027.</t>
        </is>
      </c>
      <c r="H103" s="8" t="inlineStr">
        <is>
          <t>N/A – new indicator</t>
        </is>
      </c>
      <c r="I103" s="8" t="inlineStr"/>
      <c r="J103" s="8" t="inlineStr"/>
      <c r="K103" s="8" t="inlineStr"/>
      <c r="L103" s="8" t="n"/>
      <c r="M103" s="8" t="n"/>
      <c r="N103" s="8" t="n"/>
      <c r="O103" s="8" t="n"/>
      <c r="P103" s="8" t="n"/>
      <c r="Q103" s="8" t="n"/>
      <c r="R103" s="8" t="n"/>
    </row>
    <row r="104" ht="150" customHeight="1">
      <c r="B104" s="7" t="inlineStr">
        <is>
          <t>TR3(d)</t>
        </is>
      </c>
      <c r="C104" s="12" t="inlineStr">
        <is>
          <t>Transformational research</t>
        </is>
      </c>
      <c r="D104" s="12" t="inlineStr">
        <is>
          <t>Embed sustainability within research systems, processes, capability and culture, so research is conducted responsibly, efficiently and with reduced environmental impact.</t>
        </is>
      </c>
      <c r="E104" s="12" t="inlineStr">
        <is>
          <t>Expert assessment of progress in embedding sustainable research practices across the institution.</t>
        </is>
      </c>
      <c r="F104" s="8" t="inlineStr">
        <is>
          <t>Drawing on your responses to TR3(a)–(c), please provide a short overall assessment (2–3 sentences) of your faculty's progress in embedding sustainable research practices: where progress is strongest, the main gaps, and priority actions for 2027.</t>
        </is>
      </c>
      <c r="G104" s="8" t="inlineStr">
        <is>
          <t>We will use faculty self-assessments to identify strengths, gaps and priority actions in embedding sustainable research practices, to inform internal management reporting and the Transformational research working group.</t>
        </is>
      </c>
      <c r="H104" s="8" t="inlineStr">
        <is>
          <t>N/A – new indicator</t>
        </is>
      </c>
      <c r="I104" s="8" t="inlineStr"/>
      <c r="J104" s="8" t="inlineStr"/>
      <c r="K104" s="8" t="inlineStr"/>
      <c r="L104" s="8" t="n"/>
      <c r="M104" s="8" t="n"/>
      <c r="N104" s="8" t="n"/>
      <c r="O104" s="8" t="n"/>
      <c r="P104" s="8" t="n"/>
      <c r="Q104" s="8" t="n"/>
      <c r="R104" s="8" t="n"/>
    </row>
    <row r="105" ht="150" customHeight="1">
      <c r="B105" s="7" t="inlineStr">
        <is>
          <t>CL2(a)</t>
        </is>
      </c>
      <c r="C105" s="12" t="inlineStr">
        <is>
          <t>Climate leadership</t>
        </is>
      </c>
      <c r="D105" s="12" t="inlineStr">
        <is>
          <t>Develop understanding of our research and education programs that contribute to accelerating global decarbonisation and our own climate transition.</t>
        </is>
      </c>
      <c r="E105" s="12" t="inlineStr">
        <is>
          <t>By 2028, develop and document institutional mapping of research and education activities that are designed to contribute to global decarbonisation</t>
        </is>
      </c>
      <c r="F105" s="8" t="inlineStr">
        <is>
          <t>Please list up to three examples of 2026 communications from your faculty that showcase climate action, research or learning and aim to inform policy, sector or community decarbonisation (e.g. policy submissions, public events, media, reports). Include links, the intended audience and any reach data you have.
This will also contribute to the University's mapping of decarbonisation-related research and education (due by 2028).</t>
        </is>
      </c>
      <c r="G105" s="8" t="inlineStr">
        <is>
          <t>We will use these examples to show how the University communicates climate research and learning to external audiences, and as an input to the institutional decarbonisation research and education mapping due by 2028.</t>
        </is>
      </c>
      <c r="H105" s="8" t="inlineStr">
        <is>
          <t>N/A – new indicator</t>
        </is>
      </c>
      <c r="I105" s="8" t="inlineStr"/>
      <c r="J105" s="8" t="inlineStr"/>
      <c r="K105" s="8" t="inlineStr"/>
      <c r="L105" s="8" t="n"/>
      <c r="M105" s="8" t="n"/>
      <c r="N105" s="8" t="n"/>
      <c r="O105" s="8" t="n"/>
      <c r="P105" s="8" t="n"/>
      <c r="Q105" s="8" t="n"/>
      <c r="R105" s="8" t="n"/>
    </row>
    <row r="106" ht="150" customHeight="1">
      <c r="B106" s="7" t="inlineStr">
        <is>
          <t>CL2(c)</t>
        </is>
      </c>
      <c r="C106" s="12" t="inlineStr">
        <is>
          <t>Climate leadership</t>
        </is>
      </c>
      <c r="D106" s="12" t="inlineStr">
        <is>
          <t>Develop understanding of our research and education programs that contribute to accelerating global decarbonisation and our own climate transition.</t>
        </is>
      </c>
      <c r="E106" s="12" t="inlineStr">
        <is>
          <t>Ongoing communications that evidence the University’s climate action, research and learning to inform policy, sector and community decarbonisation efforts.</t>
        </is>
      </c>
      <c r="F106" s="8" t="inlineStr">
        <is>
          <t>If not already covered in CL2(a), please list any ongoing channels or programs (e.g. event series, newsletters, podcasts, policy engagement) through which your faculty regularly communicates climate research and learning to policy, sector or community audiences. You may respond 'see CL2(a)' if already covered.
We will also engage Melbourne Climate Futures and the Melbourne Energy Institute.</t>
        </is>
      </c>
      <c r="G106" s="8" t="inlineStr">
        <is>
          <t>We will report on the University's ongoing climate communications in the Climate leadership section of the 2026 Sustainability Report, alongside contributions from Melbourne Climate Futures and the Melbourne Energy Institute.</t>
        </is>
      </c>
      <c r="H106" s="8" t="inlineStr">
        <is>
          <t>N/A – new indicator</t>
        </is>
      </c>
      <c r="I106" s="8" t="inlineStr"/>
      <c r="J106" s="8" t="inlineStr"/>
      <c r="K106" s="8" t="inlineStr"/>
      <c r="L106" s="8" t="n"/>
      <c r="M106" s="8" t="n"/>
      <c r="N106" s="8" t="n"/>
      <c r="O106" s="8" t="n"/>
      <c r="P106" s="8" t="n"/>
      <c r="Q106" s="8" t="n"/>
      <c r="R106" s="8" t="n"/>
    </row>
    <row r="107" ht="150" customHeight="1">
      <c r="B107" s="7" t="inlineStr">
        <is>
          <t>EN1(a)</t>
        </is>
      </c>
      <c r="C107" s="12" t="inlineStr">
        <is>
          <t>Enablers</t>
        </is>
      </c>
      <c r="D107" s="12" t="inlineStr">
        <is>
          <t>Enablers</t>
        </is>
      </c>
      <c r="E107" s="12" t="inlineStr">
        <is>
          <t>Evidence of sustainability outcomes informed by Indigenous knowledges</t>
        </is>
      </c>
      <c r="F107" s="8" t="inlineStr">
        <is>
          <t>In end-2025 reporting your faculty reported on the related SP2030 target 6a and rated it 'Partially met' (see Column J – click [+] above Columns I–K). Please build on this rather than repeating it, focusing on what is new in 2026.
Please provide one case study of an activity in your faculty (education, research, engagement or operations) where Indigenous knowledges informed a sustainability outcome. Describe the activity, how Indigenous knowledges were incorporated or co-created and with whom, and the result. Please confirm that appropriate permissions are in place for sharing.</t>
        </is>
      </c>
      <c r="G107" s="8" t="inlineStr">
        <is>
          <t>We will report on the ways Indigenous knowledges inform sustainability activities across the University, and develop selected examples into case studies with appropriate permissions.</t>
        </is>
      </c>
      <c r="H107" s="8" t="inlineStr">
        <is>
          <t>6a</t>
        </is>
      </c>
      <c r="I107" s="8" t="inlineStr">
        <is>
          <t>Partially met</t>
        </is>
      </c>
      <c r="J107" s="8" t="inlineStr">
        <is>
          <t>The Faculty of Science strategy has a specific goal of "Establish Indigenous lead caring for
country course and resources " which sits under the theme of Living Sustaianbly. 
The Indigenous Knowledges Institute and strong Indigenous A/D portfolio within the faculty of science continues to advance and uplift Indigenous knowledge, free, prior and informed consent for working on country, cultural awareness, co-designed research and cultural training - new Indigneous leadership and TrainMe - both online and face to face staff training great examples. 
Robyn Schofield working with Murujuga Rock Art Monitoring Program and being part of the Australian delegation that saw the inscription of Murujuga as a UN World Hertiage site in 2025 is one example.</t>
        </is>
      </c>
      <c r="K107" s="8" t="inlineStr"/>
      <c r="L107" s="8" t="n"/>
      <c r="M107" s="8" t="n"/>
      <c r="N107" s="8" t="n"/>
      <c r="O107" s="8" t="n"/>
      <c r="P107" s="8" t="n"/>
      <c r="Q107" s="8" t="n"/>
      <c r="R107" s="8" t="n"/>
    </row>
    <row r="108" ht="150" customHeight="1">
      <c r="B108" s="7" t="inlineStr">
        <is>
          <t>EN1(b)</t>
        </is>
      </c>
      <c r="C108" s="12" t="inlineStr">
        <is>
          <t>Enablers</t>
        </is>
      </c>
      <c r="D108" s="12" t="inlineStr">
        <is>
          <t>Enablers</t>
        </is>
      </c>
      <c r="E108" s="12" t="inlineStr">
        <is>
          <t>Living laboratories enabling applied learning, research and operational sustainability outcomes</t>
        </is>
      </c>
      <c r="F108" s="8" t="inlineStr">
        <is>
          <t>In end-2025 reporting your faculty reported on the related SP2030 target 2a and rated it 'Partially met' (see Column J – click [+] above Columns I–K). Please build on this rather than repeating it, focusing on what is new in 2026.
Please provide a case study of a living lab which operates within your faculty, including a description of its activities, who is involved (students, researchers, operational staff) and its outputs, outcomes or impact in 2026.
Please note we will approach living labs funded through the Campus Living Lab Accelerator Program (CLLAP) separately.</t>
        </is>
      </c>
      <c r="G108" s="8" t="inlineStr">
        <is>
          <t>We will share examples of living labs from across the University in the 2026 Sustainability Report, alongside CLLAP projects reported by CI&amp;S.</t>
        </is>
      </c>
      <c r="H108" s="8" t="inlineStr">
        <is>
          <t>2a</t>
        </is>
      </c>
      <c r="I108" s="8" t="inlineStr">
        <is>
          <t>Partially met</t>
        </is>
      </c>
      <c r="J108" s="8" t="inlineStr">
        <is>
          <t>The faculty has many projects that can be considered living labs. A centralised approach is required to document them.
2025 examples include how the undergraduate chemistry teaching laboratories redesigned their practicals to use less reagents and safer chemicals to achieve the same learning outcomes.
Physics have redesigned the X-band radiation lab electricity usage resulting in the saving of a very significant percentage of electricity costs. Biosciences and vet school both conducted -80oC freezer sample clean out and efficiency awareness work. This is part of green laboratory certification.
SAFES have worked on Indigenous food gardens and have an Indigenous food guide and there are examples of urban and woodland greening that serve as best practice examples across Australia</t>
        </is>
      </c>
      <c r="K108" s="8" t="inlineStr">
        <is>
          <t>https://www.unimelb.edu.au/newsroom/news/2024/october/native-harvest-cookbook-aims-to-put-indigenous-food-in-every-aussie-kitchen
https://theconversation.com/we-planted-two-woody-meadows-a-decade-ago-to-see-what-would-thrive-now-the-concept-is-popular-across-australia-269611</t>
        </is>
      </c>
      <c r="L108" s="8" t="n"/>
      <c r="M108" s="8" t="n"/>
      <c r="N108" s="8" t="n"/>
      <c r="O108" s="8" t="n"/>
      <c r="P108" s="8" t="n"/>
      <c r="Q108" s="8" t="n"/>
      <c r="R108" s="8" t="n"/>
    </row>
    <row r="109" ht="150" customHeight="1">
      <c r="B109" s="7" t="inlineStr">
        <is>
          <t>EN1(c)</t>
        </is>
      </c>
      <c r="C109" s="12" t="inlineStr">
        <is>
          <t>Enablers</t>
        </is>
      </c>
      <c r="D109" s="12" t="inlineStr">
        <is>
          <t>Enablers</t>
        </is>
      </c>
      <c r="E109" s="12" t="inlineStr">
        <is>
          <t>Coordinated internal engagement and external partnerships contributing to delivery of sustainability outcomes across priority areas.</t>
        </is>
      </c>
      <c r="F109" s="8" t="inlineStr">
        <is>
          <t>In end-2025 reporting your faculty reported on the related SP2030 target 3a(ii) and rated it 'Met or exceeded' (see Column J – click [+] above Columns I–K). Please build on this rather than repeating it, focusing on what is new in 2026.
Please list the key sustainability-focused communities of practice, internal networks or external partnerships active in your faculty in 2026 (name, partners, priority area), and provide a short description of one that has contributed to a Sustainability 2030 outcome.</t>
        </is>
      </c>
      <c r="G109" s="8" t="inlineStr">
        <is>
          <t>We will report on internal engagement and partnerships contributing to Sustainability 2030 outcomes, and update our record of sustainability-focused communities of practice and contacts across the University.</t>
        </is>
      </c>
      <c r="H109" s="8" t="inlineStr">
        <is>
          <t>3a(ii)</t>
        </is>
      </c>
      <c r="I109" s="8" t="inlineStr">
        <is>
          <t>Met or exceeded</t>
        </is>
      </c>
      <c r="J109" s="8" t="inlineStr">
        <is>
          <t>The Associate/Assistant Deans of Sustainability exist in every faculty. While we interface with teaching, the DVCA, and A/Ds for UG and Postgraduate teaching are where the embedding of sustainability in formal learning outcomes occurs.
In the FoS the UG Chemistry laboratory sustainability upgrades is a great example of embedding sustainability early in learning for students.</t>
        </is>
      </c>
      <c r="K109" s="8" t="inlineStr"/>
      <c r="L109" s="8" t="n"/>
      <c r="M109" s="8" t="n"/>
      <c r="N109" s="8" t="n"/>
      <c r="O109" s="8" t="n"/>
      <c r="P109" s="8" t="n"/>
      <c r="Q109" s="8" t="n"/>
      <c r="R109" s="8" t="n"/>
    </row>
    <row r="110" ht="150" customHeight="1">
      <c r="B110" s="7" t="inlineStr">
        <is>
          <t>EN1(d)</t>
        </is>
      </c>
      <c r="C110" s="12" t="inlineStr">
        <is>
          <t>Enablers</t>
        </is>
      </c>
      <c r="D110" s="12" t="inlineStr">
        <is>
          <t>Enablers</t>
        </is>
      </c>
      <c r="E110" s="12" t="inlineStr">
        <is>
          <t>Sustainability objectives integrated into governance and decision‑making processes, supported by transparent reporting.</t>
        </is>
      </c>
      <c r="F110" s="8" t="inlineStr">
        <is>
          <t>Please describe how sustainability is built into your faculty's governance and decision-making – e.g. a sustainability committee or Associate Dean (Sustainability) role, a faculty sustainability action plan, sustainability criteria in planning or approvals, and how progress is reported (e.g. to the Faculty Executive). Please link the action plan if one exists.</t>
        </is>
      </c>
      <c r="G110" s="8" t="inlineStr">
        <is>
          <t>We will report on how sustainability is integrated into governance and decision-making across faculties and portfolios, and use responses as a baseline for the governance enabler from 2027.</t>
        </is>
      </c>
      <c r="H110" s="8" t="inlineStr">
        <is>
          <t>N/A – new indicator</t>
        </is>
      </c>
      <c r="I110" s="8" t="inlineStr"/>
      <c r="J110" s="8" t="inlineStr"/>
      <c r="K110" s="8" t="inlineStr"/>
      <c r="L110" s="8" t="n"/>
      <c r="M110" s="8" t="n"/>
      <c r="N110" s="8" t="n"/>
      <c r="O110" s="8" t="n"/>
      <c r="P110" s="8" t="n"/>
      <c r="Q110" s="8" t="n"/>
      <c r="R110" s="8" t="n"/>
    </row>
    <row r="111"/>
  </sheetData>
  <mergeCells count="12">
    <mergeCell ref="C7:G7"/>
    <mergeCell ref="C34:G34"/>
    <mergeCell ref="H88:K88"/>
    <mergeCell ref="L61:R61"/>
    <mergeCell ref="H61:K61"/>
    <mergeCell ref="L34:R34"/>
    <mergeCell ref="H34:K34"/>
    <mergeCell ref="L88:R88"/>
    <mergeCell ref="L7:R7"/>
    <mergeCell ref="H7:K7"/>
    <mergeCell ref="C61:G61"/>
    <mergeCell ref="C88:G88"/>
  </mergeCells>
  <dataValidations count="8">
    <dataValidation sqref="L10:L29" showDropDown="0" showInputMessage="0" showErrorMessage="0" allowBlank="1" errorTitle="Invalid entry" error="Please select from the dropdown" type="list">
      <formula1>=Lists!$B$3:$B$7</formula1>
    </dataValidation>
    <dataValidation sqref="Q10:Q29" showDropDown="0" showInputMessage="0" showErrorMessage="0" allowBlank="1" errorTitle="Invalid entry" error="Please select from the dropdown" type="list">
      <formula1>=Lists!$C$2:$C$4</formula1>
    </dataValidation>
    <dataValidation sqref="L37:L56" showDropDown="0" showInputMessage="0" showErrorMessage="0" allowBlank="1" errorTitle="Invalid entry" error="Please select from the dropdown" type="list">
      <formula1>=Lists!$B$3:$B$7</formula1>
    </dataValidation>
    <dataValidation sqref="Q37:Q56" showDropDown="0" showInputMessage="0" showErrorMessage="0" allowBlank="1" errorTitle="Invalid entry" error="Please select from the dropdown" type="list">
      <formula1>=Lists!$C$2:$C$4</formula1>
    </dataValidation>
    <dataValidation sqref="L64:L83" showDropDown="0" showInputMessage="0" showErrorMessage="0" allowBlank="1" errorTitle="Invalid entry" error="Please select from the dropdown" type="list">
      <formula1>=Lists!$B$3:$B$7</formula1>
    </dataValidation>
    <dataValidation sqref="Q64:Q83" showDropDown="0" showInputMessage="0" showErrorMessage="0" allowBlank="1" errorTitle="Invalid entry" error="Please select from the dropdown" type="list">
      <formula1>=Lists!$C$2:$C$4</formula1>
    </dataValidation>
    <dataValidation sqref="L91:L110" showDropDown="0" showInputMessage="0" showErrorMessage="0" allowBlank="1" errorTitle="Invalid entry" error="Please select from the dropdown" type="list">
      <formula1>=Lists!$B$3:$B$7</formula1>
    </dataValidation>
    <dataValidation sqref="Q91:Q110" showDropDown="0" showInputMessage="0" showErrorMessage="0" allowBlank="1" errorTitle="Invalid entry" error="Please select from the dropdown" type="list">
      <formula1>=Lists!$C$2:$C$4</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0"/>
    <pageSetUpPr/>
  </sheetPr>
  <dimension ref="A1:R39"/>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1" customWidth="1" min="8" max="8"/>
    <col hidden="1" outlineLevel="1" width="16" customWidth="1" min="9" max="9"/>
    <col hidden="1" outlineLevel="1" width="50" customWidth="1" min="10" max="10"/>
    <col hidden="1" outlineLevel="1" width="24" customWidth="1" min="11" max="11"/>
    <col width="22" customWidth="1" min="12" max="12"/>
    <col width="48" customWidth="1" min="13" max="13"/>
    <col width="48" customWidth="1" min="14" max="14"/>
    <col width="30" customWidth="1" min="15" max="15"/>
    <col width="30" customWidth="1" min="16" max="16"/>
    <col width="20" customWidth="1" min="17" max="17"/>
    <col width="24" customWidth="1" min="18" max="18"/>
  </cols>
  <sheetData>
    <row r="1">
      <c r="A1" s="1" t="inlineStr">
        <is>
          <t>↑</t>
        </is>
      </c>
      <c r="B1" s="2" t="inlineStr">
        <is>
          <t>End-2026 target status assessment and reporting</t>
        </is>
      </c>
    </row>
    <row r="2">
      <c r="B2" s="3" t="inlineStr">
        <is>
          <t>Commercial, Infrastructure &amp; Sustainability (CI&amp;S)</t>
        </is>
      </c>
    </row>
    <row r="3">
      <c r="B3" s="9" t="inlineStr">
        <is>
          <t>Consolidated responses – paste from returned request workbooks (identical column layout). Click [+] above Columns H–K for end-2025 responses.</t>
        </is>
      </c>
    </row>
    <row r="5">
      <c r="B5" s="18" t="inlineStr">
        <is>
          <t>1.1  CI&amp;S – Estate Planning &amp; Development (TBC: confirm with Gerard)</t>
        </is>
      </c>
    </row>
    <row r="7">
      <c r="C7" s="19" t="inlineStr">
        <is>
          <t>Sustainability 2030 target and indicator</t>
        </is>
      </c>
      <c r="H7" s="19" t="inlineStr">
        <is>
          <t>End-2025 reporting (click the ref to see your full SR25 response; [+] above expands a summary)</t>
        </is>
      </c>
      <c r="L7" s="20" t="inlineStr">
        <is>
          <t>End-2026 reporting (PLEASE COMPLETE THIS SECTION)</t>
        </is>
      </c>
    </row>
    <row r="8">
      <c r="B8" s="6" t="inlineStr">
        <is>
          <t>Ref</t>
        </is>
      </c>
      <c r="C8" s="6" t="inlineStr">
        <is>
          <t>Priority area</t>
        </is>
      </c>
      <c r="D8" s="6" t="inlineStr">
        <is>
          <t>Sustainability 2030 target</t>
        </is>
      </c>
      <c r="E8" s="6" t="inlineStr">
        <is>
          <t>Indicator</t>
        </is>
      </c>
      <c r="F8" s="6" t="inlineStr">
        <is>
          <t>2026 Reporting request</t>
        </is>
      </c>
      <c r="G8" s="6" t="inlineStr">
        <is>
          <t>How SST will use this data</t>
        </is>
      </c>
      <c r="H8" s="6" t="inlineStr">
        <is>
          <t>Related SR25 ref</t>
        </is>
      </c>
      <c r="I8" s="6" t="inlineStr">
        <is>
          <t>End-2025 confirmed status</t>
        </is>
      </c>
      <c r="J8" s="6" t="inlineStr">
        <is>
          <t>End-2025 reporting response</t>
        </is>
      </c>
      <c r="K8" s="6" t="inlineStr">
        <is>
          <t>Links and supporting information</t>
        </is>
      </c>
      <c r="L8" s="21" t="inlineStr">
        <is>
          <t>Confirm end-2026 target status</t>
        </is>
      </c>
      <c r="M8" s="21" t="inlineStr">
        <is>
          <t>OPTION 1:  Target-level reporting (Column D)</t>
        </is>
      </c>
      <c r="N8" s="21" t="inlineStr">
        <is>
          <t>OPTION 2:  Indicator level reporting (Column E/F)</t>
        </is>
      </c>
      <c r="O8" s="21" t="inlineStr">
        <is>
          <t>Supporting information/comments</t>
        </is>
      </c>
      <c r="P8" s="21" t="inlineStr">
        <is>
          <t>Data source and limitations</t>
        </is>
      </c>
      <c r="Q8" s="21" t="inlineStr">
        <is>
          <t>Data owner confirms information is accurate</t>
        </is>
      </c>
      <c r="R8" s="21" t="inlineStr">
        <is>
          <t>Confirmed by (name, role, date)</t>
        </is>
      </c>
    </row>
    <row r="9">
      <c r="B9" s="22" t="inlineStr"/>
      <c r="C9" s="22" t="inlineStr"/>
      <c r="D9" s="22" t="inlineStr"/>
      <c r="E9" s="22" t="inlineStr"/>
      <c r="F9" s="22" t="inlineStr"/>
      <c r="G9" s="22" t="inlineStr"/>
      <c r="H9" s="22" t="inlineStr"/>
      <c r="I9" s="22" t="inlineStr"/>
      <c r="J9" s="22" t="inlineStr"/>
      <c r="K9" s="22" t="inlineStr"/>
      <c r="L9" s="22" t="inlineStr">
        <is>
          <t>(Met or exceeded; partially met; not met; not yet started)</t>
        </is>
      </c>
      <c r="M9" s="22" t="inlineStr">
        <is>
          <t>Provide further evidence of target status assessment in the form of:
A general update on activities in relation to the overarching target (Column D)</t>
        </is>
      </c>
      <c r="N9" s="22" t="inlineStr">
        <is>
          <t>Provide further evidence of target status assessment in the form of:
Data and commentary in direct response to the reporting request (Column F)</t>
        </is>
      </c>
      <c r="O9" s="22" t="inlineStr">
        <is>
          <t>Provide any additional information to support the target status assessment (e.g. links, images, rationale for selection of target status)</t>
        </is>
      </c>
      <c r="P9" s="22" t="inlineStr">
        <is>
          <t>Where did this information come from (system, report, survey, person)? Note any gaps or limitations.</t>
        </is>
      </c>
      <c r="Q9" s="22" t="inlineStr">
        <is>
          <t>Select 'Yes' to confirm the information provided is accurate and can be used for reporting</t>
        </is>
      </c>
      <c r="R9" s="22" t="inlineStr">
        <is>
          <t>Name, role and date of the person confirming</t>
        </is>
      </c>
    </row>
    <row r="10" ht="150" customHeight="1">
      <c r="B10" s="7" t="inlineStr">
        <is>
          <t>CL3(a)</t>
        </is>
      </c>
      <c r="C10" s="12" t="inlineStr">
        <is>
          <t>Climate leadership</t>
        </is>
      </c>
      <c r="D10" s="12" t="inlineStr">
        <is>
          <t>Reach and maintain high levels of climate-change resilience maturity</t>
        </is>
      </c>
      <c r="E10" s="12" t="inlineStr">
        <is>
          <t>Maturity assessment of the University’s preparedness for climate-related impacts and capability to respond, assessed across relevant organisational functions:
o	Governance and strategy
o	Health and safety
o	Business continuity
o	Emergency management and critical incidence management
o	Estate and buildings
o	Water management
o	Financial planning and reporting.</t>
        </is>
      </c>
      <c r="F10" s="8" t="inlineStr">
        <is>
          <t>We did not receive an end-2025 response for the related SP2030 target 8a(i), so please include any relevant activity from across 2026.
Provide update of University maturity assesment. Include maturity ratings, key gaps and priority improvement actions.when available</t>
        </is>
      </c>
      <c r="G10" s="8" t="inlineStr">
        <is>
          <t>We will report the University's climate-change resilience maturity rating, key gaps and priority actions in the 2026 Sustainability Report (building on the Climate Change Preparedness Framework assessment reported in 2025).</t>
        </is>
      </c>
      <c r="H10" s="8" t="inlineStr">
        <is>
          <t>8a(i)</t>
        </is>
      </c>
      <c r="I10" s="8" t="inlineStr">
        <is>
          <t>Partially met</t>
        </is>
      </c>
      <c r="J10" s="8" t="inlineStr"/>
      <c r="K10" s="8" t="inlineStr"/>
      <c r="L10" s="8" t="n"/>
      <c r="M10" s="8" t="n"/>
      <c r="N10" s="8" t="n"/>
      <c r="O10" s="8" t="n"/>
      <c r="P10" s="8" t="n"/>
      <c r="Q10" s="8" t="n"/>
      <c r="R10" s="8" t="n"/>
    </row>
    <row r="11" ht="150" customHeight="1">
      <c r="B11" s="7" t="inlineStr">
        <is>
          <t>EI1(a)</t>
        </is>
      </c>
      <c r="C11" s="12" t="inlineStr">
        <is>
          <t>Estate and infrastructure</t>
        </is>
      </c>
      <c r="D11" s="12" t="inlineStr">
        <is>
          <t>Integrate environmental sustainability in the way that the University achieves strategic and operational objectives for our estate and infrastructure.</t>
        </is>
      </c>
      <c r="E11" s="12" t="inlineStr">
        <is>
          <t>Evidence of increased maturity of estate and infrastructure planning, development and operations to support the other priority areas in Sustainability 2030</t>
        </is>
      </c>
      <c r="F11" s="8" t="inlineStr">
        <is>
          <t>We did not receive an end-2025 response for the related SP2030 target 7b, so please include any relevant activity from across 2026.
Case study evidence of increased sustainability maturity in estate and infrastructure planning, development and operations, could include examples of changes to standards, processes, governance, decision-making or project requirements that support Sustainability 2030 priority areas.</t>
        </is>
      </c>
      <c r="G11" s="8" t="inlineStr">
        <is>
          <t>We will use case study evidence to show how sustainability maturity is increasing in estate and infrastructure planning, development and operations in the 2026 Sustainability Report.</t>
        </is>
      </c>
      <c r="H11" s="8" t="inlineStr">
        <is>
          <t>7b</t>
        </is>
      </c>
      <c r="I11" s="8" t="inlineStr"/>
      <c r="J11" s="8" t="inlineStr"/>
      <c r="K11" s="8" t="inlineStr"/>
      <c r="L11" s="8" t="n"/>
      <c r="M11" s="8" t="n"/>
      <c r="N11" s="8" t="n"/>
      <c r="O11" s="8" t="n"/>
      <c r="P11" s="8" t="n"/>
      <c r="Q11" s="8" t="n"/>
      <c r="R11" s="8" t="n"/>
    </row>
    <row r="12" ht="150" customHeight="1">
      <c r="B12" s="7" t="inlineStr">
        <is>
          <t>EI1(b)</t>
        </is>
      </c>
      <c r="C12" s="12" t="inlineStr">
        <is>
          <t>Estate and infrastructure</t>
        </is>
      </c>
      <c r="D12" s="12" t="inlineStr">
        <is>
          <t>Integrate environmental sustainability in the way that the University achieves strategic and operational objectives for our estate and infrastructure.</t>
        </is>
      </c>
      <c r="E12" s="12" t="inlineStr">
        <is>
          <t>Estimated sustainability impacts of the University’s estate and infrastructure capital plan to inform progress towards emissions reduction targets and other priority areas (to the extent enabled by available information)</t>
        </is>
      </c>
      <c r="F12" s="8" t="inlineStr">
        <is>
          <t>Please provide any available information on sustainability impacts associated with estate and infrastructure projects or capital works relevant to your Faculty/Portfolio. This could include impacts related to emissions and other Sustainability 2030 priority areas.</t>
        </is>
      </c>
      <c r="G12" s="8" t="inlineStr">
        <is>
          <t>We will use estimated sustainability impacts of the capital plan to inform progress reporting towards the emissions reduction target and other priority areas (to the extent information is available).</t>
        </is>
      </c>
      <c r="H12" s="8" t="inlineStr">
        <is>
          <t>N/A – new indicator</t>
        </is>
      </c>
      <c r="I12" s="8" t="inlineStr"/>
      <c r="J12" s="8" t="inlineStr"/>
      <c r="K12" s="8" t="inlineStr"/>
      <c r="L12" s="8" t="n"/>
      <c r="M12" s="8" t="n"/>
      <c r="N12" s="8" t="n"/>
      <c r="O12" s="8" t="n"/>
      <c r="P12" s="8" t="n"/>
      <c r="Q12" s="8" t="n"/>
      <c r="R12" s="8" t="n"/>
    </row>
    <row r="13" ht="150" customHeight="1">
      <c r="B13" s="7" t="inlineStr">
        <is>
          <t>EI1(c)</t>
        </is>
      </c>
      <c r="C13" s="12" t="inlineStr">
        <is>
          <t>Estate and infrastructure</t>
        </is>
      </c>
      <c r="D13" s="12" t="inlineStr">
        <is>
          <t>Integrate environmental sustainability in the way that the University achieves strategic and operational objectives for our estate and infrastructure.</t>
        </is>
      </c>
      <c r="E13" s="12" t="inlineStr">
        <is>
          <t>Reporting on relevant activities and impacts for the University’s major estate and infrastructure projects and programs aligned with the other priority areas in Sustainability 2030</t>
        </is>
      </c>
      <c r="F13" s="8" t="inlineStr">
        <is>
          <t>Please provide an update on sustainability-related activities and impacts for major estate and infrastructure projects or programs relevant to your Faculty/Portfolio. This could include key initiatives, relevant performance measures and alignment with Sustainability 2030 priority areas.</t>
        </is>
      </c>
      <c r="G13" s="8" t="inlineStr">
        <is>
          <t>We will report on sustainability activities and impacts of major estate and infrastructure projects and programs in the Estate and infrastructure section of the 2026 Sustainability Report.</t>
        </is>
      </c>
      <c r="H13" s="8" t="inlineStr">
        <is>
          <t>N/A – new indicator</t>
        </is>
      </c>
      <c r="I13" s="8" t="inlineStr"/>
      <c r="J13" s="8" t="inlineStr"/>
      <c r="K13" s="8" t="inlineStr"/>
      <c r="L13" s="8" t="n"/>
      <c r="M13" s="8" t="n"/>
      <c r="N13" s="8" t="n"/>
      <c r="O13" s="8" t="n"/>
      <c r="P13" s="8" t="n"/>
      <c r="Q13" s="8" t="n"/>
      <c r="R13" s="8" t="n"/>
    </row>
    <row r="14" ht="150" customHeight="1">
      <c r="B14" s="7" t="inlineStr">
        <is>
          <t>EI1(d)</t>
        </is>
      </c>
      <c r="C14" s="12" t="inlineStr">
        <is>
          <t>Estate and infrastructure</t>
        </is>
      </c>
      <c r="D14" s="12" t="inlineStr">
        <is>
          <t>Integrate environmental sustainability in the way that the University achieves strategic and operational objectives for our estate and infrastructure.</t>
        </is>
      </c>
      <c r="E14" s="12" t="inlineStr">
        <is>
          <t>Evidence of understanding and integration of Indigenous approaches to sustainability in estate planning and development programs and projects.</t>
        </is>
      </c>
      <c r="F14" s="8" t="inlineStr">
        <is>
          <t>Please provide examples showing how Indigenous approaches, knowledges or perspectives on sustainability have informed estate planning, development programs or projects relevant to your Faculty/Portfolio. This could include how Indigenous stakeholders were engaged and what changed as a result.</t>
        </is>
      </c>
      <c r="G14" s="8" t="inlineStr">
        <is>
          <t>We will report on how Indigenous approaches to sustainability are informing estate planning and development, with examples where permission to share is confirmed.</t>
        </is>
      </c>
      <c r="H14" s="8" t="inlineStr">
        <is>
          <t>N/A – new indicator</t>
        </is>
      </c>
      <c r="I14" s="8" t="inlineStr"/>
      <c r="J14" s="8" t="inlineStr"/>
      <c r="K14" s="8" t="inlineStr"/>
      <c r="L14" s="8" t="n"/>
      <c r="M14" s="8" t="n"/>
      <c r="N14" s="8" t="n"/>
      <c r="O14" s="8" t="n"/>
      <c r="P14" s="8" t="n"/>
      <c r="Q14" s="8" t="n"/>
      <c r="R14" s="8" t="n"/>
    </row>
    <row r="15"/>
    <row r="17">
      <c r="B17" s="18" t="inlineStr">
        <is>
          <t>1.2  CI&amp;S – Sustainability Strategy (incl. CLLAP)</t>
        </is>
      </c>
    </row>
    <row r="19">
      <c r="C19" s="19" t="inlineStr">
        <is>
          <t>Sustainability 2030 target and indicator</t>
        </is>
      </c>
      <c r="H19" s="19" t="inlineStr">
        <is>
          <t>End-2025 reporting (click the ref to see your full SR25 response; [+] above expands a summary)</t>
        </is>
      </c>
      <c r="L19" s="20" t="inlineStr">
        <is>
          <t>End-2026 reporting (PLEASE COMPLETE THIS SECTION)</t>
        </is>
      </c>
    </row>
    <row r="20">
      <c r="B20" s="6" t="inlineStr">
        <is>
          <t>Ref</t>
        </is>
      </c>
      <c r="C20" s="6" t="inlineStr">
        <is>
          <t>Priority area</t>
        </is>
      </c>
      <c r="D20" s="6" t="inlineStr">
        <is>
          <t>Sustainability 2030 target</t>
        </is>
      </c>
      <c r="E20" s="6" t="inlineStr">
        <is>
          <t>Indicator</t>
        </is>
      </c>
      <c r="F20" s="6" t="inlineStr">
        <is>
          <t>2026 Reporting request</t>
        </is>
      </c>
      <c r="G20" s="6" t="inlineStr">
        <is>
          <t>How SST will use this data</t>
        </is>
      </c>
      <c r="H20" s="6" t="inlineStr">
        <is>
          <t>Related SR25 ref</t>
        </is>
      </c>
      <c r="I20" s="6" t="inlineStr">
        <is>
          <t>End-2025 confirmed status</t>
        </is>
      </c>
      <c r="J20" s="6" t="inlineStr">
        <is>
          <t>End-2025 reporting response</t>
        </is>
      </c>
      <c r="K20" s="6" t="inlineStr">
        <is>
          <t>Links and supporting information</t>
        </is>
      </c>
      <c r="L20" s="21" t="inlineStr">
        <is>
          <t>Confirm end-2026 target status</t>
        </is>
      </c>
      <c r="M20" s="21" t="inlineStr">
        <is>
          <t>OPTION 1:  Target-level reporting (Column D)</t>
        </is>
      </c>
      <c r="N20" s="21" t="inlineStr">
        <is>
          <t>OPTION 2:  Indicator level reporting (Column E/F)</t>
        </is>
      </c>
      <c r="O20" s="21" t="inlineStr">
        <is>
          <t>Supporting information/comments</t>
        </is>
      </c>
      <c r="P20" s="21" t="inlineStr">
        <is>
          <t>Data source and limitations</t>
        </is>
      </c>
      <c r="Q20" s="21" t="inlineStr">
        <is>
          <t>Data owner confirms information is accurate</t>
        </is>
      </c>
      <c r="R20" s="21" t="inlineStr">
        <is>
          <t>Confirmed by (name, role, date)</t>
        </is>
      </c>
    </row>
    <row r="21">
      <c r="B21" s="22" t="inlineStr"/>
      <c r="C21" s="22" t="inlineStr"/>
      <c r="D21" s="22" t="inlineStr"/>
      <c r="E21" s="22" t="inlineStr"/>
      <c r="F21" s="22" t="inlineStr"/>
      <c r="G21" s="22" t="inlineStr"/>
      <c r="H21" s="22" t="inlineStr"/>
      <c r="I21" s="22" t="inlineStr"/>
      <c r="J21" s="22" t="inlineStr"/>
      <c r="K21" s="22" t="inlineStr"/>
      <c r="L21" s="22" t="inlineStr">
        <is>
          <t>(Met or exceeded; partially met; not met; not yet started)</t>
        </is>
      </c>
      <c r="M21" s="22" t="inlineStr">
        <is>
          <t>Provide further evidence of target status assessment in the form of:
A general update on activities in relation to the overarching target (Column D)</t>
        </is>
      </c>
      <c r="N21" s="22" t="inlineStr">
        <is>
          <t>Provide further evidence of target status assessment in the form of:
Data and commentary in direct response to the reporting request (Column F)</t>
        </is>
      </c>
      <c r="O21" s="22" t="inlineStr">
        <is>
          <t>Provide any additional information to support the target status assessment (e.g. links, images, rationale for selection of target status)</t>
        </is>
      </c>
      <c r="P21" s="22" t="inlineStr">
        <is>
          <t>Where did this information come from (system, report, survey, person)? Note any gaps or limitations.</t>
        </is>
      </c>
      <c r="Q21" s="22" t="inlineStr">
        <is>
          <t>Select 'Yes' to confirm the information provided is accurate and can be used for reporting</t>
        </is>
      </c>
      <c r="R21" s="22" t="inlineStr">
        <is>
          <t>Name, role and date of the person confirming</t>
        </is>
      </c>
    </row>
    <row r="22" ht="150" customHeight="1">
      <c r="B22" s="7" t="inlineStr">
        <is>
          <t>EE1(a)</t>
        </is>
      </c>
      <c r="C22" s="12" t="inlineStr">
        <is>
          <t>Exceptional education</t>
        </is>
      </c>
      <c r="D22" s="12" t="inlineStr">
        <is>
          <t>Provide our students with learning experiences that help them build the knowledge, skills and relationships to lead change for sustainable societies.</t>
        </is>
      </c>
      <c r="E22" s="12" t="inlineStr">
        <is>
          <t>Evidence of innovative approaches to sustainability teaching and learning</t>
        </is>
      </c>
      <c r="F22" s="8" t="inlineStr">
        <is>
          <t>Please describe any innovative approaches used within your Faculty/Portfolio to embed sustainability in teaching and learning. This could include examples of subjects, curriculum design, pedagogies, assessment approaches or learning resources. Please provide links or supporting evidence where available.</t>
        </is>
      </c>
      <c r="G22" s="8" t="inlineStr">
        <is>
          <t>We will collate examples of innovative sustainability teaching and learning across faculties to inform the Exceptional education section of the 2026 Sustainability Report, and select one or two for short case studies.</t>
        </is>
      </c>
      <c r="H22" s="8" t="inlineStr">
        <is>
          <t>N/A – new indicator</t>
        </is>
      </c>
      <c r="I22" s="8" t="inlineStr"/>
      <c r="J22" s="8" t="inlineStr"/>
      <c r="K22" s="8" t="inlineStr"/>
      <c r="L22" s="8" t="n"/>
      <c r="M22" s="8" t="n"/>
      <c r="N22" s="8" t="n"/>
      <c r="O22" s="8" t="n"/>
      <c r="P22" s="8" t="n"/>
      <c r="Q22" s="8" t="n"/>
      <c r="R22" s="8" t="n"/>
    </row>
    <row r="23" ht="150" customHeight="1">
      <c r="B23" s="7" t="inlineStr">
        <is>
          <t>EE1(b)</t>
        </is>
      </c>
      <c r="C23" s="12" t="inlineStr">
        <is>
          <t>Exceptional education</t>
        </is>
      </c>
      <c r="D23" s="12" t="inlineStr">
        <is>
          <t>Provide our students with learning experiences that help them build the knowledge, skills and relationships to lead change for sustainable societies.</t>
        </is>
      </c>
      <c r="E23" s="12" t="inlineStr">
        <is>
          <t>Pilots of possible approaches for understanding and developing students’ sustainability self-efficacy</t>
        </is>
      </c>
      <c r="F23" s="8" t="inlineStr">
        <is>
          <t>Please describe any pilots or trials undertaken within your Faculty/Portfolio to understand or strengthen students’ sustainability self-efficacy. This could include the approach used, participating cohorts, what was assessed or learned, and any planned next steps.</t>
        </is>
      </c>
      <c r="G23" s="8" t="inlineStr">
        <is>
          <t>This is a new indicator. We will use responses to establish a baseline of how (and whether) faculties are understanding student sustainability self-efficacy, and report on early pilots in the 2026 Sustainability Report. A nil response is useful to us.</t>
        </is>
      </c>
      <c r="H23" s="8" t="inlineStr">
        <is>
          <t>N/A – new indicator</t>
        </is>
      </c>
      <c r="I23" s="8" t="inlineStr"/>
      <c r="J23" s="8" t="inlineStr"/>
      <c r="K23" s="8" t="inlineStr"/>
      <c r="L23" s="8" t="n"/>
      <c r="M23" s="8" t="n"/>
      <c r="N23" s="8" t="n"/>
      <c r="O23" s="8" t="n"/>
      <c r="P23" s="8" t="n"/>
      <c r="Q23" s="8" t="n"/>
      <c r="R23" s="8" t="n"/>
    </row>
    <row r="24" ht="150" customHeight="1">
      <c r="B24" s="7" t="inlineStr">
        <is>
          <t>EE1(c)</t>
        </is>
      </c>
      <c r="C24" s="12" t="inlineStr">
        <is>
          <t>Exceptional education</t>
        </is>
      </c>
      <c r="D24" s="12" t="inlineStr">
        <is>
          <t>Provide our students with learning experiences that help them build the knowledge, skills and relationships to lead change for sustainable societies.</t>
        </is>
      </c>
      <c r="E24" s="12" t="inlineStr">
        <is>
          <t>Evidence of sustainability focused experiential and co curricular learning (eg Wattle Fellowship; Melbourne Plus)</t>
        </is>
      </c>
      <c r="F24" s="8" t="inlineStr">
        <is>
          <t>Please provide examples of sustainability-focused experiential or co-curricular learning offered or supported by your Faculty/Portfolio (e.g. Wattle Fellowship, Melbourne Plus or similar), could include participation where available and a brief description of the learning experience and outcomes.</t>
        </is>
      </c>
      <c r="G24" s="8" t="inlineStr">
        <is>
          <t>We will combine faculty examples with central Wattle Fellowship and Melbourne Plus data to report on the range and reach of sustainability-focused experiential and co-curricular learning across the University.</t>
        </is>
      </c>
      <c r="H24" s="8" t="inlineStr">
        <is>
          <t>N/A – new indicator</t>
        </is>
      </c>
      <c r="I24" s="8" t="inlineStr"/>
      <c r="J24" s="8" t="inlineStr"/>
      <c r="K24" s="8" t="inlineStr"/>
      <c r="L24" s="8" t="n"/>
      <c r="M24" s="8" t="n"/>
      <c r="N24" s="8" t="n"/>
      <c r="O24" s="8" t="n"/>
      <c r="P24" s="8" t="n"/>
      <c r="Q24" s="8" t="n"/>
      <c r="R24" s="8" t="n"/>
    </row>
    <row r="25" ht="150" customHeight="1">
      <c r="B25" s="7" t="inlineStr">
        <is>
          <t>EE1(d)</t>
        </is>
      </c>
      <c r="C25" s="12" t="inlineStr">
        <is>
          <t>Exceptional education</t>
        </is>
      </c>
      <c r="D25" s="12" t="inlineStr">
        <is>
          <t>Provide our students with learning experiences that help them build the knowledge, skills and relationships to lead change for sustainable societies.</t>
        </is>
      </c>
      <c r="E25" s="12" t="inlineStr">
        <is>
          <t>Alumni profiles demonstrating how graduates contribute to sustainability through their careers or communities.</t>
        </is>
      </c>
      <c r="F25" s="8" t="inlineStr">
        <is>
          <t>Please provide examples or profiles of graduates or alumni from your Faculty who demonstrate how they apply sustainability knowledge, skills or capabilities through their careers, communities or other activities. Where available, include any evidence used by the Faculty to understand graduate outcomes related to sustainability.</t>
        </is>
      </c>
      <c r="G25" s="8" t="inlineStr">
        <is>
          <t>We will use nominated alumni to develop short graduate profiles for the 2026 Sustainability Report (subject to consent), and record any faculty approaches to tracking graduate outcomes to inform how this indicator is measured from 2027.</t>
        </is>
      </c>
      <c r="H25" s="8" t="inlineStr">
        <is>
          <t>N/A – new indicator</t>
        </is>
      </c>
      <c r="I25" s="8" t="inlineStr"/>
      <c r="J25" s="8" t="inlineStr"/>
      <c r="K25" s="8" t="inlineStr"/>
      <c r="L25" s="8" t="n"/>
      <c r="M25" s="8" t="n"/>
      <c r="N25" s="8" t="n"/>
      <c r="O25" s="8" t="n"/>
      <c r="P25" s="8" t="n"/>
      <c r="Q25" s="8" t="n"/>
      <c r="R25" s="8" t="n"/>
    </row>
    <row r="26" ht="150" customHeight="1">
      <c r="B26" s="7" t="inlineStr">
        <is>
          <t>TR1(a)</t>
        </is>
      </c>
      <c r="C26" s="12" t="inlineStr">
        <is>
          <t>Transformational research</t>
        </is>
      </c>
      <c r="D26" s="12" t="inlineStr">
        <is>
          <t>Utilise the expertise of the University’s researchers through mutually beneficial partnerships to help address the University’s operational sustainability challenges.</t>
        </is>
      </c>
      <c r="E26" s="12" t="inlineStr">
        <is>
          <t>Expert-reviewed evidence of researchers contributing to operational sustainability priorities through partnerships, advisory input, living labs, applied projects or decision-support</t>
        </is>
      </c>
      <c r="F26" s="8" t="inlineStr">
        <is>
          <t>In end-2025 reporting your area reported on the related SP2030 target 5a(ii) and rated it 'Partially met' (see Column J – click [+] above Columns I–K). Please build on this rather than repeating it, focusing on what is new in 2026.
Please provide examples of researchers within your Faculty/Portfolio contributing to University operational sustainability priorities through partnerships, advisory input, living labs, applied projects or decision-support. Briefly describe the operational challenge, researcher contribution and resulting or expected outcome.</t>
        </is>
      </c>
      <c r="G26" s="8" t="inlineStr">
        <is>
          <t>We will report on examples of researchers helping solve the University's own operational sustainability challenges, alongside CLLAP projects reported by CI&amp;S, and share them with operational teams to identify further collaboration.</t>
        </is>
      </c>
      <c r="H26" s="8" t="inlineStr">
        <is>
          <t>5a(ii)</t>
        </is>
      </c>
      <c r="I26" s="8" t="inlineStr">
        <is>
          <t>Partially met</t>
        </is>
      </c>
      <c r="J26" s="8" t="inlineStr">
        <is>
          <t>Tangible improvement in some areas, but not all (haven't done ASRS, for example).</t>
        </is>
      </c>
      <c r="K26" s="8" t="inlineStr"/>
      <c r="L26" s="8" t="n"/>
      <c r="M26" s="8" t="n"/>
      <c r="N26" s="8" t="n"/>
      <c r="O26" s="8" t="n"/>
      <c r="P26" s="8" t="n"/>
      <c r="Q26" s="8" t="n"/>
      <c r="R26" s="8" t="n"/>
    </row>
    <row r="27" ht="150" customHeight="1">
      <c r="B27" s="7" t="inlineStr">
        <is>
          <t>TR2(d)</t>
        </is>
      </c>
      <c r="C27" s="12" t="inlineStr">
        <is>
          <t>Transformational research</t>
        </is>
      </c>
      <c r="D27" s="12" t="inlineStr">
        <is>
          <t>Deliver high-quality research and partnerships that contribute to sustainability outcomes and demonstrable societal benefit.</t>
        </is>
      </c>
      <c r="E27" s="12" t="inlineStr">
        <is>
          <t>Case-based evidence demonstrating how research has contributed to meaningful sustainability outcomes.</t>
        </is>
      </c>
      <c r="F27" s="8" t="inlineStr">
        <is>
          <t>Please provide case studies from your Faculty/Portfolio demonstrating how research has contributed to meaningful sustainability outcomes. Briefly describe the research, stakeholders involved, pathway to impact and evidence of the resulting sustainability outcome.</t>
        </is>
      </c>
      <c r="G27" s="8" t="inlineStr">
        <is>
          <t>We will select the strongest examples to develop as full research case studies for the 2026 Sustainability Report (we may contact you for more detail and images).</t>
        </is>
      </c>
      <c r="H27" s="8" t="inlineStr">
        <is>
          <t>N/A – new indicator</t>
        </is>
      </c>
      <c r="I27" s="8" t="inlineStr"/>
      <c r="J27" s="8" t="inlineStr"/>
      <c r="K27" s="8" t="inlineStr"/>
      <c r="L27" s="8" t="n"/>
      <c r="M27" s="8" t="n"/>
      <c r="N27" s="8" t="n"/>
      <c r="O27" s="8" t="n"/>
      <c r="P27" s="8" t="n"/>
      <c r="Q27" s="8" t="n"/>
      <c r="R27" s="8" t="n"/>
    </row>
    <row r="28" ht="150" customHeight="1">
      <c r="B28" s="7" t="inlineStr">
        <is>
          <t>TR3(a)</t>
        </is>
      </c>
      <c r="C28" s="12" t="inlineStr">
        <is>
          <t>Transformational research</t>
        </is>
      </c>
      <c r="D28" s="12" t="inlineStr">
        <is>
          <t>Embed sustainability within research systems, processes, capability and culture, so research is conducted responsibly, efficiently and with reduced environmental impact.</t>
        </is>
      </c>
      <c r="E28" s="12" t="inlineStr">
        <is>
          <t>Evidence that sustainability considerations are integrated into relevant research systems, planning processes, guidance, training, induction or support services</t>
        </is>
      </c>
      <c r="F28" s="8" t="inlineStr">
        <is>
          <t>Please describe how sustainability considerations are integrated into research systems, planning processes, guidance, training, induction or support services within your Faculty/Portfolio, could include examples of any new or improved processes.</t>
        </is>
      </c>
      <c r="G28" s="8" t="inlineStr">
        <is>
          <t>We will report on how sustainability is being built into research systems and support across the University, and use responses to establish a baseline for this new target.</t>
        </is>
      </c>
      <c r="H28" s="8" t="inlineStr">
        <is>
          <t>N/A – new indicator</t>
        </is>
      </c>
      <c r="I28" s="8" t="inlineStr"/>
      <c r="J28" s="8" t="inlineStr"/>
      <c r="K28" s="8" t="inlineStr"/>
      <c r="L28" s="8" t="n"/>
      <c r="M28" s="8" t="n"/>
      <c r="N28" s="8" t="n"/>
      <c r="O28" s="8" t="n"/>
      <c r="P28" s="8" t="n"/>
      <c r="Q28" s="8" t="n"/>
      <c r="R28" s="8" t="n"/>
    </row>
    <row r="29" ht="150" customHeight="1">
      <c r="B29" s="7" t="inlineStr">
        <is>
          <t>TR3(b)</t>
        </is>
      </c>
      <c r="C29" s="12" t="inlineStr">
        <is>
          <t>Transformational research</t>
        </is>
      </c>
      <c r="D29" s="12" t="inlineStr">
        <is>
          <t>Embed sustainability within research systems, processes, capability and culture, so research is conducted responsibly, efficiently and with reduced environmental impact.</t>
        </is>
      </c>
      <c r="E29" s="12" t="inlineStr">
        <is>
          <t>Demonstrated examples of more sustainable research practices in laboratories, fieldwork, procurement, travel or infrastructure use</t>
        </is>
      </c>
      <c r="F29" s="8" t="inlineStr">
        <is>
          <t>Please describe any efforts within your Faculty/Portfolio to make research practices more sustainable, could include examples from laboratories, fieldwork, procurement, research travel or infrastructure use. Where available, provide evidence of uptake, resource savings, emissions reductions or other outcomes.</t>
        </is>
      </c>
      <c r="G29" s="8" t="inlineStr">
        <is>
          <t>We will report on ways the University is making research practices more sustainable in the 2026 Sustainability Report, and share practical examples (e.g. green labs) across faculties.</t>
        </is>
      </c>
      <c r="H29" s="8" t="inlineStr">
        <is>
          <t>N/A – new indicator</t>
        </is>
      </c>
      <c r="I29" s="8" t="inlineStr"/>
      <c r="J29" s="8" t="inlineStr"/>
      <c r="K29" s="8" t="inlineStr"/>
      <c r="L29" s="8" t="n"/>
      <c r="M29" s="8" t="n"/>
      <c r="N29" s="8" t="n"/>
      <c r="O29" s="8" t="n"/>
      <c r="P29" s="8" t="n"/>
      <c r="Q29" s="8" t="n"/>
      <c r="R29" s="8" t="n"/>
    </row>
    <row r="30" ht="150" customHeight="1">
      <c r="B30" s="7" t="inlineStr">
        <is>
          <t>CL1(c)</t>
        </is>
      </c>
      <c r="C30" s="12" t="inlineStr">
        <is>
          <t>Climate leadership</t>
        </is>
      </c>
      <c r="D30" s="12" t="inlineStr">
        <is>
          <t>Achieve net zero emissions by 2050:
Interim target
Reduce emissions by 20% across all emissions scopes by CY2030 on the CY2023 re-baseline  including:
•	Scopes 1 and 2: 66% reduction 
•	Scope 3: 12% reduction.
Long-term target
Reduce emissions by 90% across all emissions scopes by CY2050 on the CY2023 re-baseline and invest in carbon removal credits for residual emissions from hard-to-abate sources (up to 10%).</t>
        </is>
      </c>
      <c r="E30" s="12" t="inlineStr">
        <is>
          <t>Review of Climate Leadership targets by 2030.[2]</t>
        </is>
      </c>
      <c r="F30" s="8" t="inlineStr">
        <is>
          <t>(Reporting request TBC)</t>
        </is>
      </c>
      <c r="G30" s="8" t="inlineStr">
        <is>
          <t>For internal planning: we will record the status of the planned review of Climate Leadership targets (due by 2030).</t>
        </is>
      </c>
      <c r="H30" s="8" t="inlineStr">
        <is>
          <t>N/A – new indicator</t>
        </is>
      </c>
      <c r="I30" s="8" t="inlineStr"/>
      <c r="J30" s="8" t="inlineStr"/>
      <c r="K30" s="8" t="inlineStr"/>
      <c r="L30" s="8" t="n"/>
      <c r="M30" s="8" t="n"/>
      <c r="N30" s="8" t="n"/>
      <c r="O30" s="8" t="n"/>
      <c r="P30" s="8" t="n"/>
      <c r="Q30" s="8" t="n"/>
      <c r="R30" s="8" t="n"/>
    </row>
    <row r="31" ht="150" customHeight="1">
      <c r="B31" s="7" t="inlineStr">
        <is>
          <t>CL2(a)</t>
        </is>
      </c>
      <c r="C31" s="12" t="inlineStr">
        <is>
          <t>Climate leadership</t>
        </is>
      </c>
      <c r="D31" s="12" t="inlineStr">
        <is>
          <t>Develop understanding of our research and education programs that contribute to accelerating global decarbonisation and our own climate transition.</t>
        </is>
      </c>
      <c r="E31" s="12" t="inlineStr">
        <is>
          <t>By 2028, develop and document institutional mapping of research and education activities that are designed to contribute to global decarbonisation</t>
        </is>
      </c>
      <c r="F31" s="8" t="inlineStr">
        <is>
          <t>Please list and describe examples of communications from your Faculty/Portfolio that demonstrate climate action, research and learning and aim to inform policy, sector or community decarbonisation efforts. Could include links, intended audiences and any available evidence of reach or influence.</t>
        </is>
      </c>
      <c r="G31" s="8" t="inlineStr">
        <is>
          <t>We will use these examples to show how the University communicates climate research and learning to external audiences, and as an input to the institutional decarbonisation research and education mapping due by 2028.</t>
        </is>
      </c>
      <c r="H31" s="8" t="inlineStr">
        <is>
          <t>N/A – new indicator</t>
        </is>
      </c>
      <c r="I31" s="8" t="inlineStr"/>
      <c r="J31" s="8" t="inlineStr"/>
      <c r="K31" s="8" t="inlineStr"/>
      <c r="L31" s="8" t="n"/>
      <c r="M31" s="8" t="n"/>
      <c r="N31" s="8" t="n"/>
      <c r="O31" s="8" t="n"/>
      <c r="P31" s="8" t="n"/>
      <c r="Q31" s="8" t="n"/>
      <c r="R31" s="8" t="n"/>
    </row>
    <row r="32" ht="150" customHeight="1">
      <c r="B32" s="7" t="inlineStr">
        <is>
          <t>AI1(a)</t>
        </is>
      </c>
      <c r="C32" s="12" t="inlineStr">
        <is>
          <t>Responsible AI</t>
        </is>
      </c>
      <c r="D32" s="12" t="inlineStr">
        <is>
          <t>Improve understanding of our sustainability-related risks and opportunities of AI technologies by 2028.</t>
        </is>
      </c>
      <c r="E32" s="12" t="inlineStr">
        <is>
          <t>Established measurement of estimated operational impacts and opportunities (eg operational impacts could include energy, water, emissions and intensity measures)</t>
        </is>
      </c>
      <c r="F32" s="8" t="inlineStr">
        <is>
          <t>(Reporting request TBC)</t>
        </is>
      </c>
      <c r="G32" s="8" t="inlineStr">
        <is>
          <t>We will provide a high-level overview of AI's estimated operational impacts and opportunities in 2026, ahead of more detailed measurement from 2027.</t>
        </is>
      </c>
      <c r="H32" s="8" t="inlineStr">
        <is>
          <t>N/A – new indicator</t>
        </is>
      </c>
      <c r="I32" s="8" t="inlineStr"/>
      <c r="J32" s="8" t="inlineStr"/>
      <c r="K32" s="8" t="inlineStr"/>
      <c r="L32" s="8" t="n"/>
      <c r="M32" s="8" t="n"/>
      <c r="N32" s="8" t="n"/>
      <c r="O32" s="8" t="n"/>
      <c r="P32" s="8" t="n"/>
      <c r="Q32" s="8" t="n"/>
      <c r="R32" s="8" t="n"/>
    </row>
    <row r="33" ht="150" customHeight="1">
      <c r="B33" s="7" t="inlineStr">
        <is>
          <t>AI1(b)</t>
        </is>
      </c>
      <c r="C33" s="12" t="inlineStr">
        <is>
          <t>Responsible AI</t>
        </is>
      </c>
      <c r="D33" s="12" t="inlineStr">
        <is>
          <t>Improve understanding of our sustainability-related risks and opportunities of AI technologies by 2028.</t>
        </is>
      </c>
      <c r="E33" s="12" t="inlineStr">
        <is>
          <t>Case studies of sustainability and AI-related education, research and collaboration activities.</t>
        </is>
      </c>
      <c r="F33" s="8" t="inlineStr">
        <is>
          <t>Please provide case studies from your Faculty/Portfolio of sustainability and AI-related education, research or collaboration activities, describing the activity, participants or partners, sustainability issue addressed and key outcomes or lessons.</t>
        </is>
      </c>
      <c r="G33" s="8" t="inlineStr">
        <is>
          <t>We will select examples of sustainability and AI-related education, research and collaboration as case studies for the new Responsible AI section of the 2026 Sustainability Report.</t>
        </is>
      </c>
      <c r="H33" s="8" t="inlineStr">
        <is>
          <t>N/A – new indicator</t>
        </is>
      </c>
      <c r="I33" s="8" t="inlineStr"/>
      <c r="J33" s="8" t="inlineStr"/>
      <c r="K33" s="8" t="inlineStr"/>
      <c r="L33" s="8" t="n"/>
      <c r="M33" s="8" t="n"/>
      <c r="N33" s="8" t="n"/>
      <c r="O33" s="8" t="n"/>
      <c r="P33" s="8" t="n"/>
      <c r="Q33" s="8" t="n"/>
      <c r="R33" s="8" t="n"/>
    </row>
    <row r="34" ht="150" customHeight="1">
      <c r="B34" s="7" t="inlineStr">
        <is>
          <t>MS1(a)</t>
        </is>
      </c>
      <c r="C34" s="12" t="inlineStr">
        <is>
          <t>Modern slavery and human rights</t>
        </is>
      </c>
      <c r="D34" s="12" t="inlineStr">
        <is>
          <t>Manage our approach to modern slavery and human rights-related risks and opportunities.</t>
        </is>
      </c>
      <c r="E34" s="12" t="inlineStr">
        <is>
          <t>Annual progress reporting via the Modern Slavery Statement</t>
        </is>
      </c>
      <c r="F34" s="8" t="inlineStr">
        <is>
          <t>We did not receive an end-2025 response for the related SP2030 target 11c(ii), so please include any relevant activity from across 2026.
Annual Modern Slavery Statement, with case studies</t>
        </is>
      </c>
      <c r="G34" s="8" t="inlineStr">
        <is>
          <t>We will draw on the annual Modern Slavery Statement and case studies to report on the University's approach to modern slavery and human rights risks (timing to be aligned with the Statement).</t>
        </is>
      </c>
      <c r="H34" s="8" t="inlineStr">
        <is>
          <t>11c(ii)</t>
        </is>
      </c>
      <c r="I34" s="8" t="inlineStr"/>
      <c r="J34" s="8" t="inlineStr"/>
      <c r="K34" s="8" t="inlineStr"/>
      <c r="L34" s="8" t="n"/>
      <c r="M34" s="8" t="n"/>
      <c r="N34" s="8" t="n"/>
      <c r="O34" s="8" t="n"/>
      <c r="P34" s="8" t="n"/>
      <c r="Q34" s="8" t="n"/>
      <c r="R34" s="8" t="n"/>
    </row>
    <row r="35" ht="150" customHeight="1">
      <c r="B35" s="7" t="inlineStr">
        <is>
          <t>RI1(b)</t>
        </is>
      </c>
      <c r="C35" s="12" t="inlineStr">
        <is>
          <t>Responsible investments</t>
        </is>
      </c>
      <c r="D35" s="12" t="inlineStr">
        <is>
          <t>Achieve net zero financed emissions for the University’s investment portfolio by 2050.</t>
        </is>
      </c>
      <c r="E35" s="12" t="inlineStr">
        <is>
          <t>Continuous improvement of the reporting of the University’s sustainability-related investment profile metrics, could include investment in climate mitigation and transition solutions, and compliance with related obligations (eg UNPRI).</t>
        </is>
      </c>
      <c r="F35" s="8" t="inlineStr">
        <is>
          <t>We did not receive an end-2025 response for the related SP2030 target 12b(i), so please include any relevant activity from across 2026.
Report on relevant sustainability-related investment portfolio metrics and report on how the University has complied with its related obligations</t>
        </is>
      </c>
      <c r="G35" s="8" t="inlineStr">
        <is>
          <t>We will report on sustainability-related investment portfolio metrics and the University's compliance with related obligations (e.g. UNPRI) in the Responsible investments section of the 2026 Sustainability Report.</t>
        </is>
      </c>
      <c r="H35" s="8" t="inlineStr">
        <is>
          <t>12b(i)</t>
        </is>
      </c>
      <c r="I35" s="8" t="inlineStr"/>
      <c r="J35" s="8" t="inlineStr"/>
      <c r="K35" s="8" t="inlineStr"/>
      <c r="L35" s="8" t="n"/>
      <c r="M35" s="8" t="n"/>
      <c r="N35" s="8" t="n"/>
      <c r="O35" s="8" t="n"/>
      <c r="P35" s="8" t="n"/>
      <c r="Q35" s="8" t="n"/>
      <c r="R35" s="8" t="n"/>
    </row>
    <row r="36" ht="150" customHeight="1">
      <c r="B36" s="7" t="inlineStr">
        <is>
          <t>EN1(b)</t>
        </is>
      </c>
      <c r="C36" s="12" t="inlineStr">
        <is>
          <t>Enablers</t>
        </is>
      </c>
      <c r="D36" s="12" t="inlineStr">
        <is>
          <t>Enablers</t>
        </is>
      </c>
      <c r="E36" s="12" t="inlineStr">
        <is>
          <t>Living laboratories enabling applied learning, research and operational sustainability outcomes</t>
        </is>
      </c>
      <c r="F36" s="8" t="inlineStr">
        <is>
          <t>We did not receive an end-2025 response for the related SP2030 target 2a, so please include any relevant activity from across 2026.
Comment on living labs in the Faculty - outputs, outcomes, and impact</t>
        </is>
      </c>
      <c r="G36" s="8" t="inlineStr">
        <is>
          <t>We will share examples of living labs from across the University in the 2026 Sustainability Report, alongside CLLAP projects reported by CI&amp;S.</t>
        </is>
      </c>
      <c r="H36" s="8" t="inlineStr">
        <is>
          <t>2a</t>
        </is>
      </c>
      <c r="I36" s="8" t="inlineStr"/>
      <c r="J36" s="8" t="inlineStr"/>
      <c r="K36" s="8" t="inlineStr"/>
      <c r="L36" s="8" t="n"/>
      <c r="M36" s="8" t="n"/>
      <c r="N36" s="8" t="n"/>
      <c r="O36" s="8" t="n"/>
      <c r="P36" s="8" t="n"/>
      <c r="Q36" s="8" t="n"/>
      <c r="R36" s="8" t="n"/>
    </row>
    <row r="37" ht="150" customHeight="1">
      <c r="B37" s="7" t="inlineStr">
        <is>
          <t>EN1(c)</t>
        </is>
      </c>
      <c r="C37" s="12" t="inlineStr">
        <is>
          <t>Enablers</t>
        </is>
      </c>
      <c r="D37" s="12" t="inlineStr">
        <is>
          <t>Enablers</t>
        </is>
      </c>
      <c r="E37" s="12" t="inlineStr">
        <is>
          <t>Coordinated internal engagement and external partnerships contributing to delivery of sustainability outcomes across priority areas.</t>
        </is>
      </c>
      <c r="F37" s="8" t="inlineStr">
        <is>
          <t>Please provide examples of internal engagement or external partnerships involving your Faculty/Portfolio that contributed to Sustainability 2030 outcomes, could include the priority area addressed, participating groups/partners, nature of the collaboration and key outcomes.</t>
        </is>
      </c>
      <c r="G37" s="8" t="inlineStr">
        <is>
          <t>We will report on internal engagement and partnerships contributing to Sustainability 2030 outcomes, and update our record of sustainability-focused communities of practice and contacts across the University.</t>
        </is>
      </c>
      <c r="H37" s="8" t="inlineStr">
        <is>
          <t>N/A – new indicator</t>
        </is>
      </c>
      <c r="I37" s="8" t="inlineStr"/>
      <c r="J37" s="8" t="inlineStr"/>
      <c r="K37" s="8" t="inlineStr"/>
      <c r="L37" s="8" t="n"/>
      <c r="M37" s="8" t="n"/>
      <c r="N37" s="8" t="n"/>
      <c r="O37" s="8" t="n"/>
      <c r="P37" s="8" t="n"/>
      <c r="Q37" s="8" t="n"/>
      <c r="R37" s="8" t="n"/>
    </row>
    <row r="38" ht="150" customHeight="1">
      <c r="B38" s="7" t="inlineStr">
        <is>
          <t>EN1(d)</t>
        </is>
      </c>
      <c r="C38" s="12" t="inlineStr">
        <is>
          <t>Enablers</t>
        </is>
      </c>
      <c r="D38" s="12" t="inlineStr">
        <is>
          <t>Enablers</t>
        </is>
      </c>
      <c r="E38" s="12" t="inlineStr">
        <is>
          <t>Sustainability objectives integrated into governance and decision‑making processes, supported by transparent reporting.</t>
        </is>
      </c>
      <c r="F38" s="8" t="inlineStr">
        <is>
          <t>Please provide evidence of how sustainability objectives are integrated into governance and decision-making within your Faculty/Portfolio, could include relevant committees, policies, planning or approval processes, accountability mechanisms and examples of transparent reporting.</t>
        </is>
      </c>
      <c r="G38" s="8" t="inlineStr">
        <is>
          <t>We will report on how sustainability is integrated into governance and decision-making across faculties and portfolios, and use responses as a baseline for the governance enabler from 2027.</t>
        </is>
      </c>
      <c r="H38" s="8" t="inlineStr">
        <is>
          <t>N/A – new indicator</t>
        </is>
      </c>
      <c r="I38" s="8" t="inlineStr"/>
      <c r="J38" s="8" t="inlineStr"/>
      <c r="K38" s="8" t="inlineStr"/>
      <c r="L38" s="8" t="n"/>
      <c r="M38" s="8" t="n"/>
      <c r="N38" s="8" t="n"/>
      <c r="O38" s="8" t="n"/>
      <c r="P38" s="8" t="n"/>
      <c r="Q38" s="8" t="n"/>
      <c r="R38" s="8" t="n"/>
    </row>
    <row r="39"/>
  </sheetData>
  <mergeCells count="6">
    <mergeCell ref="C7:G7"/>
    <mergeCell ref="L19:R19"/>
    <mergeCell ref="C19:G19"/>
    <mergeCell ref="L7:R7"/>
    <mergeCell ref="H7:K7"/>
    <mergeCell ref="H19:K19"/>
  </mergeCells>
  <dataValidations count="4">
    <dataValidation sqref="L10:L14" showDropDown="0" showInputMessage="0" showErrorMessage="0" allowBlank="1" errorTitle="Invalid entry" error="Please select from the dropdown" type="list">
      <formula1>=Lists!$B$3:$B$7</formula1>
    </dataValidation>
    <dataValidation sqref="Q10:Q14" showDropDown="0" showInputMessage="0" showErrorMessage="0" allowBlank="1" errorTitle="Invalid entry" error="Please select from the dropdown" type="list">
      <formula1>=Lists!$C$2:$C$4</formula1>
    </dataValidation>
    <dataValidation sqref="L22:L38" showDropDown="0" showInputMessage="0" showErrorMessage="0" allowBlank="1" errorTitle="Invalid entry" error="Please select from the dropdown" type="list">
      <formula1>=Lists!$B$3:$B$7</formula1>
    </dataValidation>
    <dataValidation sqref="Q22:Q38" showDropDown="0" showInputMessage="0" showErrorMessage="0" allowBlank="1" errorTitle="Invalid entry" error="Please select from the dropdown" type="list">
      <formula1>=Lists!$C$2:$C$4</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0"/>
    <pageSetUpPr/>
  </sheetPr>
  <dimension ref="A1:R24"/>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1" customWidth="1" min="8" max="8"/>
    <col hidden="1" outlineLevel="1" width="16" customWidth="1" min="9" max="9"/>
    <col hidden="1" outlineLevel="1" width="50" customWidth="1" min="10" max="10"/>
    <col hidden="1" outlineLevel="1" width="24" customWidth="1" min="11" max="11"/>
    <col width="22" customWidth="1" min="12" max="12"/>
    <col width="48" customWidth="1" min="13" max="13"/>
    <col width="48" customWidth="1" min="14" max="14"/>
    <col width="30" customWidth="1" min="15" max="15"/>
    <col width="30" customWidth="1" min="16" max="16"/>
    <col width="20" customWidth="1" min="17" max="17"/>
    <col width="24" customWidth="1" min="18" max="18"/>
  </cols>
  <sheetData>
    <row r="1">
      <c r="A1" s="1" t="inlineStr">
        <is>
          <t>↑</t>
        </is>
      </c>
      <c r="B1" s="2" t="inlineStr">
        <is>
          <t>End-2026 target status assessment and reporting</t>
        </is>
      </c>
    </row>
    <row r="2">
      <c r="B2" s="3" t="inlineStr">
        <is>
          <t>Chief Finance Officer Group (CFOG)</t>
        </is>
      </c>
    </row>
    <row r="3">
      <c r="B3" s="9" t="inlineStr">
        <is>
          <t>Consolidated responses – paste from returned request workbooks (identical column layout). Click [+] above Columns H–K for end-2025 responses.</t>
        </is>
      </c>
    </row>
    <row r="5">
      <c r="B5" s="18" t="inlineStr">
        <is>
          <t>1.1  CFOG – Procurement</t>
        </is>
      </c>
    </row>
    <row r="7">
      <c r="C7" s="19" t="inlineStr">
        <is>
          <t>Sustainability 2030 target and indicator</t>
        </is>
      </c>
      <c r="H7" s="19" t="inlineStr">
        <is>
          <t>End-2025 reporting (click the ref to see your full SR25 response; [+] above expands a summary)</t>
        </is>
      </c>
      <c r="L7" s="20" t="inlineStr">
        <is>
          <t>End-2026 reporting (PLEASE COMPLETE THIS SECTION)</t>
        </is>
      </c>
    </row>
    <row r="8">
      <c r="B8" s="6" t="inlineStr">
        <is>
          <t>Ref</t>
        </is>
      </c>
      <c r="C8" s="6" t="inlineStr">
        <is>
          <t>Priority area</t>
        </is>
      </c>
      <c r="D8" s="6" t="inlineStr">
        <is>
          <t>Sustainability 2030 target</t>
        </is>
      </c>
      <c r="E8" s="6" t="inlineStr">
        <is>
          <t>Indicator</t>
        </is>
      </c>
      <c r="F8" s="6" t="inlineStr">
        <is>
          <t>2026 Reporting request</t>
        </is>
      </c>
      <c r="G8" s="6" t="inlineStr">
        <is>
          <t>How SST will use this data</t>
        </is>
      </c>
      <c r="H8" s="6" t="inlineStr">
        <is>
          <t>Related SR25 ref</t>
        </is>
      </c>
      <c r="I8" s="6" t="inlineStr">
        <is>
          <t>End-2025 confirmed status</t>
        </is>
      </c>
      <c r="J8" s="6" t="inlineStr">
        <is>
          <t>End-2025 reporting response</t>
        </is>
      </c>
      <c r="K8" s="6" t="inlineStr">
        <is>
          <t>Links and supporting information</t>
        </is>
      </c>
      <c r="L8" s="21" t="inlineStr">
        <is>
          <t>Confirm end-2026 target status</t>
        </is>
      </c>
      <c r="M8" s="21" t="inlineStr">
        <is>
          <t>OPTION 1:  Target-level reporting (Column D)</t>
        </is>
      </c>
      <c r="N8" s="21" t="inlineStr">
        <is>
          <t>OPTION 2:  Indicator level reporting (Column E/F)</t>
        </is>
      </c>
      <c r="O8" s="21" t="inlineStr">
        <is>
          <t>Supporting information/comments</t>
        </is>
      </c>
      <c r="P8" s="21" t="inlineStr">
        <is>
          <t>Data source and limitations</t>
        </is>
      </c>
      <c r="Q8" s="21" t="inlineStr">
        <is>
          <t>Data owner confirms information is accurate</t>
        </is>
      </c>
      <c r="R8" s="21" t="inlineStr">
        <is>
          <t>Confirmed by (name, role, date)</t>
        </is>
      </c>
    </row>
    <row r="9">
      <c r="B9" s="22" t="inlineStr"/>
      <c r="C9" s="22" t="inlineStr"/>
      <c r="D9" s="22" t="inlineStr"/>
      <c r="E9" s="22" t="inlineStr"/>
      <c r="F9" s="22" t="inlineStr"/>
      <c r="G9" s="22" t="inlineStr"/>
      <c r="H9" s="22" t="inlineStr"/>
      <c r="I9" s="22" t="inlineStr"/>
      <c r="J9" s="22" t="inlineStr"/>
      <c r="K9" s="22" t="inlineStr"/>
      <c r="L9" s="22" t="inlineStr">
        <is>
          <t>(Met or exceeded; partially met; not met; not yet started)</t>
        </is>
      </c>
      <c r="M9" s="22" t="inlineStr">
        <is>
          <t>Provide further evidence of target status assessment in the form of:
A general update on activities in relation to the overarching target (Column D)</t>
        </is>
      </c>
      <c r="N9" s="22" t="inlineStr">
        <is>
          <t>Provide further evidence of target status assessment in the form of:
Data and commentary in direct response to the reporting request (Column F)</t>
        </is>
      </c>
      <c r="O9" s="22" t="inlineStr">
        <is>
          <t>Provide any additional information to support the target status assessment (e.g. links, images, rationale for selection of target status)</t>
        </is>
      </c>
      <c r="P9" s="22" t="inlineStr">
        <is>
          <t>Where did this information come from (system, report, survey, person)? Note any gaps or limitations.</t>
        </is>
      </c>
      <c r="Q9" s="22" t="inlineStr">
        <is>
          <t>Select 'Yes' to confirm the information provided is accurate and can be used for reporting</t>
        </is>
      </c>
      <c r="R9" s="22" t="inlineStr">
        <is>
          <t>Name, role and date of the person confirming</t>
        </is>
      </c>
    </row>
    <row r="10" ht="150" customHeight="1">
      <c r="B10" s="7" t="inlineStr">
        <is>
          <t>TR3(b)</t>
        </is>
      </c>
      <c r="C10" s="12" t="inlineStr">
        <is>
          <t>Transformational research</t>
        </is>
      </c>
      <c r="D10" s="12" t="inlineStr">
        <is>
          <t>Embed sustainability within research systems, processes, capability and culture, so research is conducted responsibly, efficiently and with reduced environmental impact.</t>
        </is>
      </c>
      <c r="E10" s="12" t="inlineStr">
        <is>
          <t>Demonstrated examples of more sustainable research practices in laboratories, fieldwork, procurement, travel or infrastructure use</t>
        </is>
      </c>
      <c r="F10" s="8" t="inlineStr">
        <is>
          <t>Please describe any efforts within your Faculty/Portfolio to make research practices more sustainable, could include examples from laboratories, fieldwork, procurement, research travel or infrastructure use. Where available, provide evidence of uptake, resource savings, emissions reductions or other outcomes.</t>
        </is>
      </c>
      <c r="G10" s="8" t="inlineStr">
        <is>
          <t>We will report on ways the University is making research practices more sustainable in the 2026 Sustainability Report, and share practical examples (e.g. green labs) across faculties.</t>
        </is>
      </c>
      <c r="H10" s="8" t="inlineStr">
        <is>
          <t>N/A – new indicator</t>
        </is>
      </c>
      <c r="I10" s="8" t="inlineStr"/>
      <c r="J10" s="8" t="inlineStr"/>
      <c r="K10" s="8" t="inlineStr"/>
      <c r="L10" s="8" t="n"/>
      <c r="M10" s="8" t="n"/>
      <c r="N10" s="8" t="n"/>
      <c r="O10" s="8" t="n"/>
      <c r="P10" s="8" t="n"/>
      <c r="Q10" s="8" t="n"/>
      <c r="R10" s="8" t="n"/>
    </row>
    <row r="11" ht="150" customHeight="1">
      <c r="B11" s="7" t="inlineStr">
        <is>
          <t>NB2(c)</t>
        </is>
      </c>
      <c r="C11" s="12" t="inlineStr">
        <is>
          <t>Nature and biodiversity</t>
        </is>
      </c>
      <c r="D11" s="12" t="inlineStr">
        <is>
          <t>Improve our understanding of our supply chain impacts on nature.</t>
        </is>
      </c>
      <c r="E11" s="12" t="inlineStr">
        <is>
          <t>Evidence of prioritised high risk procurement categories or suppliers for nature impact management</t>
        </is>
      </c>
      <c r="F11" s="8" t="inlineStr">
        <is>
          <t>Please provide the prioritised high-risk procurement categories and/or suppliers identified for nature-impact management, could include the basis for prioritisation and any risk-management, engagement or mitigation actions undertaken or planned.</t>
        </is>
      </c>
      <c r="G11" s="8" t="inlineStr">
        <is>
          <t>We will report on the high-risk procurement categories or suppliers prioritised for nature-impact management, and related actions, in the 2026 Sustainability Report.</t>
        </is>
      </c>
      <c r="H11" s="8" t="inlineStr">
        <is>
          <t>N/A – new indicator</t>
        </is>
      </c>
      <c r="I11" s="8" t="inlineStr"/>
      <c r="J11" s="8" t="inlineStr"/>
      <c r="K11" s="8" t="inlineStr"/>
      <c r="L11" s="8" t="n"/>
      <c r="M11" s="8" t="n"/>
      <c r="N11" s="8" t="n"/>
      <c r="O11" s="8" t="n"/>
      <c r="P11" s="8" t="n"/>
      <c r="Q11" s="8" t="n"/>
      <c r="R11" s="8" t="n"/>
    </row>
    <row r="12" ht="150" customHeight="1">
      <c r="B12" s="7" t="inlineStr">
        <is>
          <t>RP1(a)</t>
        </is>
      </c>
      <c r="C12" s="12" t="inlineStr">
        <is>
          <t>Responsible procurement</t>
        </is>
      </c>
      <c r="D12" s="12" t="inlineStr">
        <is>
          <t>Strengthen our ethical and sustainable procurement approach.</t>
        </is>
      </c>
      <c r="E12" s="12" t="inlineStr">
        <is>
          <t>Case studies of maturity improvement related to responsible procurement process and systems.</t>
        </is>
      </c>
      <c r="F12" s="8" t="inlineStr">
        <is>
          <t>In end-2025 reporting your area reported on the related SP2030 target 11c(iii) and rated it 'Met or exceeded' (see Column J – click [+] above Columns I–K). Please build on this rather than repeating it, focusing on what is new in 2026.
Maturity score if framework established; % procurement staff trained</t>
        </is>
      </c>
      <c r="G12" s="8" t="inlineStr">
        <is>
          <t>We will use case studies (and any maturity score or training data) to show improvement in responsible procurement processes and systems in the 2026 Sustainability Report.</t>
        </is>
      </c>
      <c r="H12" s="8" t="inlineStr">
        <is>
          <t>11c(iii)</t>
        </is>
      </c>
      <c r="I12" s="8" t="inlineStr">
        <is>
          <t>Met or exceeded</t>
        </is>
      </c>
      <c r="J12" s="8" t="inlineStr">
        <is>
          <t>From Matt (20/1/26): This has not changed from prior years, are you able to use what we submitted last report? (RH note: Yes we can use this).
From Matt (28/1/26): In 2025 we increased the University’s systemic approach e.g. embedding more outcome focus questions in tenders, enhancing Modern Slavery clauses, implementing a system approach to collecting subcontracted impact spend.</t>
        </is>
      </c>
      <c r="K12" s="8" t="inlineStr"/>
      <c r="L12" s="8" t="n"/>
      <c r="M12" s="8" t="n"/>
      <c r="N12" s="8" t="n"/>
      <c r="O12" s="8" t="n"/>
      <c r="P12" s="8" t="n"/>
      <c r="Q12" s="8" t="n"/>
      <c r="R12" s="8" t="n"/>
    </row>
    <row r="13" ht="150" customHeight="1">
      <c r="B13" s="7" t="inlineStr">
        <is>
          <t>MS1(a)</t>
        </is>
      </c>
      <c r="C13" s="12" t="inlineStr">
        <is>
          <t>Modern slavery and human rights</t>
        </is>
      </c>
      <c r="D13" s="12" t="inlineStr">
        <is>
          <t>Manage our approach to modern slavery and human rights-related risks and opportunities.</t>
        </is>
      </c>
      <c r="E13" s="12" t="inlineStr">
        <is>
          <t>Annual progress reporting via the Modern Slavery Statement</t>
        </is>
      </c>
      <c r="F13" s="8" t="inlineStr">
        <is>
          <t>In end-2025 reporting your area reported on the related SP2030 target 11c(i) and rated it 'Met or exceeded' (see Column J – click [+] above Columns I–K). Please build on this rather than repeating it, focusing on what is new in 2026.
Annual Modern Slavery Statement, with case studies</t>
        </is>
      </c>
      <c r="G13" s="8" t="inlineStr">
        <is>
          <t>We will draw on the annual Modern Slavery Statement and case studies to report on the University's approach to modern slavery and human rights risks (timing to be aligned with the Statement).</t>
        </is>
      </c>
      <c r="H13" s="8" t="inlineStr">
        <is>
          <t>11c(i)</t>
        </is>
      </c>
      <c r="I13" s="8" t="inlineStr">
        <is>
          <t>Met or exceeded</t>
        </is>
      </c>
      <c r="J13" s="8" t="inlineStr">
        <is>
          <t>From Matt (20/1/26): Link to Annual Modern Slavery Statement; case study excerpt
Link: https://modernslaveryregister.gov.au/statements/22714/
We are currently compiling the 2025 statement which will be published in May (2026). 
In regard to what new information we are Ok with publishing on MS in regard to 2025 our approach is to collate this and have it approved for external consumption via this process.</t>
        </is>
      </c>
      <c r="K13" s="8" t="inlineStr"/>
      <c r="L13" s="8" t="n"/>
      <c r="M13" s="8" t="n"/>
      <c r="N13" s="8" t="n"/>
      <c r="O13" s="8" t="n"/>
      <c r="P13" s="8" t="n"/>
      <c r="Q13" s="8" t="n"/>
      <c r="R13" s="8" t="n"/>
    </row>
    <row r="14" ht="150" customHeight="1">
      <c r="B14" s="7" t="inlineStr">
        <is>
          <t>EN1(c)</t>
        </is>
      </c>
      <c r="C14" s="12" t="inlineStr">
        <is>
          <t>Enablers</t>
        </is>
      </c>
      <c r="D14" s="12" t="inlineStr">
        <is>
          <t>Enablers</t>
        </is>
      </c>
      <c r="E14" s="12" t="inlineStr">
        <is>
          <t>Coordinated internal engagement and external partnerships contributing to delivery of sustainability outcomes across priority areas.</t>
        </is>
      </c>
      <c r="F14" s="8" t="inlineStr">
        <is>
          <t>Please provide examples of internal engagement or external partnerships involving your Faculty/Portfolio that contributed to Sustainability 2030 outcomes, could include the priority area addressed, participating groups/partners, nature of the collaboration and key outcomes.</t>
        </is>
      </c>
      <c r="G14" s="8" t="inlineStr">
        <is>
          <t>We will report on internal engagement and partnerships contributing to Sustainability 2030 outcomes, and update our record of sustainability-focused communities of practice and contacts across the University.</t>
        </is>
      </c>
      <c r="H14" s="8" t="inlineStr">
        <is>
          <t>N/A – new indicator</t>
        </is>
      </c>
      <c r="I14" s="8" t="inlineStr"/>
      <c r="J14" s="8" t="inlineStr"/>
      <c r="K14" s="8" t="inlineStr"/>
      <c r="L14" s="8" t="n"/>
      <c r="M14" s="8" t="n"/>
      <c r="N14" s="8" t="n"/>
      <c r="O14" s="8" t="n"/>
      <c r="P14" s="8" t="n"/>
      <c r="Q14" s="8" t="n"/>
      <c r="R14" s="8" t="n"/>
    </row>
    <row r="15" ht="150" customHeight="1">
      <c r="B15" s="7" t="inlineStr">
        <is>
          <t>EN1(d)</t>
        </is>
      </c>
      <c r="C15" s="12" t="inlineStr">
        <is>
          <t>Enablers</t>
        </is>
      </c>
      <c r="D15" s="12" t="inlineStr">
        <is>
          <t>Enablers</t>
        </is>
      </c>
      <c r="E15" s="12" t="inlineStr">
        <is>
          <t>Sustainability objectives integrated into governance and decision‑making processes, supported by transparent reporting.</t>
        </is>
      </c>
      <c r="F15" s="8" t="inlineStr">
        <is>
          <t>Please provide evidence of how sustainability objectives are integrated into governance and decision-making within your Faculty/Portfolio, could include relevant committees, policies, planning or approval processes, accountability mechanisms and examples of transparent reporting.</t>
        </is>
      </c>
      <c r="G15" s="8" t="inlineStr">
        <is>
          <t>We will report on how sustainability is integrated into governance and decision-making across faculties and portfolios, and use responses as a baseline for the governance enabler from 2027.</t>
        </is>
      </c>
      <c r="H15" s="8" t="inlineStr">
        <is>
          <t>N/A – new indicator</t>
        </is>
      </c>
      <c r="I15" s="8" t="inlineStr"/>
      <c r="J15" s="8" t="inlineStr"/>
      <c r="K15" s="8" t="inlineStr"/>
      <c r="L15" s="8" t="n"/>
      <c r="M15" s="8" t="n"/>
      <c r="N15" s="8" t="n"/>
      <c r="O15" s="8" t="n"/>
      <c r="P15" s="8" t="n"/>
      <c r="Q15" s="8" t="n"/>
      <c r="R15" s="8" t="n"/>
    </row>
    <row r="16"/>
    <row r="18">
      <c r="B18" s="18" t="inlineStr">
        <is>
          <t>1.2  CFOG – Treasury &amp; Investments</t>
        </is>
      </c>
    </row>
    <row r="20">
      <c r="C20" s="19" t="inlineStr">
        <is>
          <t>Sustainability 2030 target and indicator</t>
        </is>
      </c>
      <c r="H20" s="19" t="inlineStr">
        <is>
          <t>End-2025 reporting (click the ref to see your full SR25 response; [+] above expands a summary)</t>
        </is>
      </c>
      <c r="L20" s="20" t="inlineStr">
        <is>
          <t>End-2026 reporting (PLEASE COMPLETE THIS SECTION)</t>
        </is>
      </c>
    </row>
    <row r="21">
      <c r="B21" s="6" t="inlineStr">
        <is>
          <t>Ref</t>
        </is>
      </c>
      <c r="C21" s="6" t="inlineStr">
        <is>
          <t>Priority area</t>
        </is>
      </c>
      <c r="D21" s="6" t="inlineStr">
        <is>
          <t>Sustainability 2030 target</t>
        </is>
      </c>
      <c r="E21" s="6" t="inlineStr">
        <is>
          <t>Indicator</t>
        </is>
      </c>
      <c r="F21" s="6" t="inlineStr">
        <is>
          <t>2026 Reporting request</t>
        </is>
      </c>
      <c r="G21" s="6" t="inlineStr">
        <is>
          <t>How SST will use this data</t>
        </is>
      </c>
      <c r="H21" s="6" t="inlineStr">
        <is>
          <t>Related SR25 ref</t>
        </is>
      </c>
      <c r="I21" s="6" t="inlineStr">
        <is>
          <t>End-2025 confirmed status</t>
        </is>
      </c>
      <c r="J21" s="6" t="inlineStr">
        <is>
          <t>End-2025 reporting response</t>
        </is>
      </c>
      <c r="K21" s="6" t="inlineStr">
        <is>
          <t>Links and supporting information</t>
        </is>
      </c>
      <c r="L21" s="21" t="inlineStr">
        <is>
          <t>Confirm end-2026 target status</t>
        </is>
      </c>
      <c r="M21" s="21" t="inlineStr">
        <is>
          <t>OPTION 1:  Target-level reporting (Column D)</t>
        </is>
      </c>
      <c r="N21" s="21" t="inlineStr">
        <is>
          <t>OPTION 2:  Indicator level reporting (Column E/F)</t>
        </is>
      </c>
      <c r="O21" s="21" t="inlineStr">
        <is>
          <t>Supporting information/comments</t>
        </is>
      </c>
      <c r="P21" s="21" t="inlineStr">
        <is>
          <t>Data source and limitations</t>
        </is>
      </c>
      <c r="Q21" s="21" t="inlineStr">
        <is>
          <t>Data owner confirms information is accurate</t>
        </is>
      </c>
      <c r="R21" s="21" t="inlineStr">
        <is>
          <t>Confirmed by (name, role, date)</t>
        </is>
      </c>
    </row>
    <row r="22">
      <c r="B22" s="22" t="inlineStr"/>
      <c r="C22" s="22" t="inlineStr"/>
      <c r="D22" s="22" t="inlineStr"/>
      <c r="E22" s="22" t="inlineStr"/>
      <c r="F22" s="22" t="inlineStr"/>
      <c r="G22" s="22" t="inlineStr"/>
      <c r="H22" s="22" t="inlineStr"/>
      <c r="I22" s="22" t="inlineStr"/>
      <c r="J22" s="22" t="inlineStr"/>
      <c r="K22" s="22" t="inlineStr"/>
      <c r="L22" s="22" t="inlineStr">
        <is>
          <t>(Met or exceeded; partially met; not met; not yet started)</t>
        </is>
      </c>
      <c r="M22" s="22" t="inlineStr">
        <is>
          <t>Provide further evidence of target status assessment in the form of:
A general update on activities in relation to the overarching target (Column D)</t>
        </is>
      </c>
      <c r="N22" s="22" t="inlineStr">
        <is>
          <t>Provide further evidence of target status assessment in the form of:
Data and commentary in direct response to the reporting request (Column F)</t>
        </is>
      </c>
      <c r="O22" s="22" t="inlineStr">
        <is>
          <t>Provide any additional information to support the target status assessment (e.g. links, images, rationale for selection of target status)</t>
        </is>
      </c>
      <c r="P22" s="22" t="inlineStr">
        <is>
          <t>Where did this information come from (system, report, survey, person)? Note any gaps or limitations.</t>
        </is>
      </c>
      <c r="Q22" s="22" t="inlineStr">
        <is>
          <t>Select 'Yes' to confirm the information provided is accurate and can be used for reporting</t>
        </is>
      </c>
      <c r="R22" s="22" t="inlineStr">
        <is>
          <t>Name, role and date of the person confirming</t>
        </is>
      </c>
    </row>
    <row r="23" ht="150" customHeight="1">
      <c r="B23" s="7" t="inlineStr">
        <is>
          <t>RI1(b)</t>
        </is>
      </c>
      <c r="C23" s="12" t="inlineStr">
        <is>
          <t>Responsible investments</t>
        </is>
      </c>
      <c r="D23" s="12" t="inlineStr">
        <is>
          <t>Achieve net zero financed emissions for the University’s investment portfolio by 2050.</t>
        </is>
      </c>
      <c r="E23" s="12" t="inlineStr">
        <is>
          <t>Continuous improvement of the reporting of the University’s sustainability-related investment profile metrics, could include investment in climate mitigation and transition solutions, and compliance with related obligations (eg UNPRI).</t>
        </is>
      </c>
      <c r="F23" s="8" t="inlineStr">
        <is>
          <t>In end-2025 reporting your area reported on the related SP2030 target 12b(i) and rated it 'Met or exceeded' (see Column J – click [+] above Columns I–K). Please build on this rather than repeating it, focusing on what is new in 2026.
Report on relevant sustainability-related investment portfolio metrics and report on how the University has complied with its related obligations</t>
        </is>
      </c>
      <c r="G23" s="8" t="inlineStr">
        <is>
          <t>We will report on sustainability-related investment portfolio metrics and the University's compliance with related obligations (e.g. UNPRI) in the Responsible investments section of the 2026 Sustainability Report.</t>
        </is>
      </c>
      <c r="H23" s="8" t="inlineStr">
        <is>
          <t>12b(i)</t>
        </is>
      </c>
      <c r="I23" s="8" t="inlineStr">
        <is>
          <t>Met or exceeded</t>
        </is>
      </c>
      <c r="J23" s="8" t="inlineStr">
        <is>
          <t>Since 2022 the University has published its sustainability-related investment portfolio metrics including carbon intensity. Historically this has only applied to Australian &amp; International equities, but from this year we are able to also include Fixed Income &amp; Credit. Other asset classes will be included as the data relating to them becomes available and is considered reasonable. 
While data and metrics are continuously being refined, we have met our target of enhanced transparent reporting of the investment portfolio.</t>
        </is>
      </c>
      <c r="K23" s="8" t="inlineStr"/>
      <c r="L23" s="8" t="n"/>
      <c r="M23" s="8" t="n"/>
      <c r="N23" s="8" t="n"/>
      <c r="O23" s="8" t="n"/>
      <c r="P23" s="8" t="n"/>
      <c r="Q23" s="8" t="n"/>
      <c r="R23" s="8" t="n"/>
    </row>
    <row r="24"/>
  </sheetData>
  <mergeCells count="6">
    <mergeCell ref="C7:G7"/>
    <mergeCell ref="C20:G20"/>
    <mergeCell ref="H20:K20"/>
    <mergeCell ref="L7:R7"/>
    <mergeCell ref="H7:K7"/>
    <mergeCell ref="L20:R20"/>
  </mergeCells>
  <dataValidations count="4">
    <dataValidation sqref="L10:L15" showDropDown="0" showInputMessage="0" showErrorMessage="0" allowBlank="1" errorTitle="Invalid entry" error="Please select from the dropdown" type="list">
      <formula1>=Lists!$B$3:$B$7</formula1>
    </dataValidation>
    <dataValidation sqref="Q10:Q15" showDropDown="0" showInputMessage="0" showErrorMessage="0" allowBlank="1" errorTitle="Invalid entry" error="Please select from the dropdown" type="list">
      <formula1>=Lists!$C$2:$C$4</formula1>
    </dataValidation>
    <dataValidation sqref="L23" showDropDown="0" showInputMessage="0" showErrorMessage="0" allowBlank="1" errorTitle="Invalid entry" error="Please select from the dropdown" type="list">
      <formula1>=Lists!$B$3:$B$7</formula1>
    </dataValidation>
    <dataValidation sqref="Q23" showDropDown="0" showInputMessage="0" showErrorMessage="0" allowBlank="1" errorTitle="Invalid entry" error="Please select from the dropdown" type="list">
      <formula1>=Lists!$C$2:$C$4</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0"/>
    <pageSetUpPr/>
  </sheetPr>
  <dimension ref="A1:R17"/>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1" customWidth="1" min="8" max="8"/>
    <col hidden="1" outlineLevel="1" width="16" customWidth="1" min="9" max="9"/>
    <col hidden="1" outlineLevel="1" width="50" customWidth="1" min="10" max="10"/>
    <col hidden="1" outlineLevel="1" width="24" customWidth="1" min="11" max="11"/>
    <col width="22" customWidth="1" min="12" max="12"/>
    <col width="48" customWidth="1" min="13" max="13"/>
    <col width="48" customWidth="1" min="14" max="14"/>
    <col width="30" customWidth="1" min="15" max="15"/>
    <col width="30" customWidth="1" min="16" max="16"/>
    <col width="20" customWidth="1" min="17" max="17"/>
    <col width="24" customWidth="1" min="18" max="18"/>
  </cols>
  <sheetData>
    <row r="1">
      <c r="A1" s="1" t="inlineStr">
        <is>
          <t>↑</t>
        </is>
      </c>
      <c r="B1" s="2" t="inlineStr">
        <is>
          <t>End-2026 target status assessment and reporting</t>
        </is>
      </c>
    </row>
    <row r="2">
      <c r="B2" s="3" t="inlineStr">
        <is>
          <t>Enterprise Services Group (ESG)</t>
        </is>
      </c>
    </row>
    <row r="3">
      <c r="B3" s="9" t="inlineStr">
        <is>
          <t>Consolidated responses – paste from returned request workbooks (identical column layout). Click [+] above Columns H–K for end-2025 responses.</t>
        </is>
      </c>
    </row>
    <row r="5">
      <c r="B5" s="18" t="inlineStr">
        <is>
          <t>1.1  ESG – Campus Operations &amp; Sustainability Delivery</t>
        </is>
      </c>
    </row>
    <row r="7">
      <c r="C7" s="19" t="inlineStr">
        <is>
          <t>Sustainability 2030 target and indicator</t>
        </is>
      </c>
      <c r="H7" s="19" t="inlineStr">
        <is>
          <t>End-2025 reporting (click the ref to see your full SR25 response; [+] above expands a summary)</t>
        </is>
      </c>
      <c r="L7" s="20" t="inlineStr">
        <is>
          <t>End-2026 reporting (PLEASE COMPLETE THIS SECTION)</t>
        </is>
      </c>
    </row>
    <row r="8">
      <c r="B8" s="6" t="inlineStr">
        <is>
          <t>Ref</t>
        </is>
      </c>
      <c r="C8" s="6" t="inlineStr">
        <is>
          <t>Priority area</t>
        </is>
      </c>
      <c r="D8" s="6" t="inlineStr">
        <is>
          <t>Sustainability 2030 target</t>
        </is>
      </c>
      <c r="E8" s="6" t="inlineStr">
        <is>
          <t>Indicator</t>
        </is>
      </c>
      <c r="F8" s="6" t="inlineStr">
        <is>
          <t>2026 Reporting request</t>
        </is>
      </c>
      <c r="G8" s="6" t="inlineStr">
        <is>
          <t>How SST will use this data</t>
        </is>
      </c>
      <c r="H8" s="6" t="inlineStr">
        <is>
          <t>Related SR25 ref</t>
        </is>
      </c>
      <c r="I8" s="6" t="inlineStr">
        <is>
          <t>End-2025 confirmed status</t>
        </is>
      </c>
      <c r="J8" s="6" t="inlineStr">
        <is>
          <t>End-2025 reporting response</t>
        </is>
      </c>
      <c r="K8" s="6" t="inlineStr">
        <is>
          <t>Links and supporting information</t>
        </is>
      </c>
      <c r="L8" s="21" t="inlineStr">
        <is>
          <t>Confirm end-2026 target status</t>
        </is>
      </c>
      <c r="M8" s="21" t="inlineStr">
        <is>
          <t>OPTION 1:  Target-level reporting (Column D)</t>
        </is>
      </c>
      <c r="N8" s="21" t="inlineStr">
        <is>
          <t>OPTION 2:  Indicator level reporting (Column E/F)</t>
        </is>
      </c>
      <c r="O8" s="21" t="inlineStr">
        <is>
          <t>Supporting information/comments</t>
        </is>
      </c>
      <c r="P8" s="21" t="inlineStr">
        <is>
          <t>Data source and limitations</t>
        </is>
      </c>
      <c r="Q8" s="21" t="inlineStr">
        <is>
          <t>Data owner confirms information is accurate</t>
        </is>
      </c>
      <c r="R8" s="21" t="inlineStr">
        <is>
          <t>Confirmed by (name, role, date)</t>
        </is>
      </c>
    </row>
    <row r="9">
      <c r="B9" s="22" t="inlineStr"/>
      <c r="C9" s="22" t="inlineStr"/>
      <c r="D9" s="22" t="inlineStr"/>
      <c r="E9" s="22" t="inlineStr"/>
      <c r="F9" s="22" t="inlineStr"/>
      <c r="G9" s="22" t="inlineStr"/>
      <c r="H9" s="22" t="inlineStr"/>
      <c r="I9" s="22" t="inlineStr"/>
      <c r="J9" s="22" t="inlineStr"/>
      <c r="K9" s="22" t="inlineStr"/>
      <c r="L9" s="22" t="inlineStr">
        <is>
          <t>(Met or exceeded; partially met; not met; not yet started)</t>
        </is>
      </c>
      <c r="M9" s="22" t="inlineStr">
        <is>
          <t>Provide further evidence of target status assessment in the form of:
A general update on activities in relation to the overarching target (Column D)</t>
        </is>
      </c>
      <c r="N9" s="22" t="inlineStr">
        <is>
          <t>Provide further evidence of target status assessment in the form of:
Data and commentary in direct response to the reporting request (Column F)</t>
        </is>
      </c>
      <c r="O9" s="22" t="inlineStr">
        <is>
          <t>Provide any additional information to support the target status assessment (e.g. links, images, rationale for selection of target status)</t>
        </is>
      </c>
      <c r="P9" s="22" t="inlineStr">
        <is>
          <t>Where did this information come from (system, report, survey, person)? Note any gaps or limitations.</t>
        </is>
      </c>
      <c r="Q9" s="22" t="inlineStr">
        <is>
          <t>Select 'Yes' to confirm the information provided is accurate and can be used for reporting</t>
        </is>
      </c>
      <c r="R9" s="22" t="inlineStr">
        <is>
          <t>Name, role and date of the person confirming</t>
        </is>
      </c>
    </row>
    <row r="10" ht="150" customHeight="1">
      <c r="B10" s="7" t="inlineStr">
        <is>
          <t>NB1(b)</t>
        </is>
      </c>
      <c r="C10" s="12" t="inlineStr">
        <is>
          <t>Nature and biodiversity</t>
        </is>
      </c>
      <c r="D10" s="12" t="inlineStr">
        <is>
          <t>Achieve an increase of biodiversity relative to defined baseline years for each campus.</t>
        </is>
      </c>
      <c r="E10" s="12" t="inlineStr">
        <is>
          <t>Size, health and diversity of remnant vegetation at the Dookie and Creswick campuses</t>
        </is>
      </c>
      <c r="F10" s="8" t="inlineStr">
        <is>
          <t>In end-2025 reporting your area reported on the related SP2030 target 9a(ii) and rated it 'Not met' (see Column J – click [+] above Columns I–K). Please build on this rather than repeating it, focusing on what is new in 2026.
(Reporting request TBC)</t>
        </is>
      </c>
      <c r="G10" s="8" t="inlineStr">
        <is>
          <t>For internal management reporting only: we will track the size, health and diversity of remnant vegetation at Dookie and Creswick. This information will not be published.</t>
        </is>
      </c>
      <c r="H10" s="8" t="inlineStr">
        <is>
          <t>9a(ii)</t>
        </is>
      </c>
      <c r="I10" s="8" t="inlineStr">
        <is>
          <t>Not met</t>
        </is>
      </c>
      <c r="J10" s="8" t="inlineStr">
        <is>
          <t>Dookie Bush Block Living Lab (case study)
Creswick Vegetation Assessment Capstone Project,  (case study)</t>
        </is>
      </c>
      <c r="K10" s="8" t="inlineStr">
        <is>
          <t>https://unimelbcloud.sharepoint.com/:w:/r/teams/Sustainability/Shared%20Documents/General/Governance/Reporting/2026/2025%20Sustainability%20Report/Biodiversity.docx?d=w7b85fae81d704587910e1e9320a6bf31&amp;csf=1&amp;web=1&amp;e=GCfji1</t>
        </is>
      </c>
      <c r="L10" s="8" t="n"/>
      <c r="M10" s="8" t="n"/>
      <c r="N10" s="8" t="n"/>
      <c r="O10" s="8" t="n"/>
      <c r="P10" s="8" t="n"/>
      <c r="Q10" s="8" t="n"/>
      <c r="R10" s="8" t="n"/>
    </row>
    <row r="11" ht="150" customHeight="1">
      <c r="B11" s="7" t="inlineStr">
        <is>
          <t>NB1(c)</t>
        </is>
      </c>
      <c r="C11" s="12" t="inlineStr">
        <is>
          <t>Nature and biodiversity</t>
        </is>
      </c>
      <c r="D11" s="12" t="inlineStr">
        <is>
          <t>Achieve an increase of biodiversity relative to defined baseline years for each campus.</t>
        </is>
      </c>
      <c r="E11" s="12" t="inlineStr">
        <is>
          <t>Defined quality measurement framework</t>
        </is>
      </c>
      <c r="F11" s="8" t="inlineStr">
        <is>
          <t>In end-2025 reporting your area reported on the related SP2030 target 9a(i) and rated it 'Not met' (see Column J – click [+] above Columns I–K). Please build on this rather than repeating it, focusing on what is new in 2026.
(Reporting request TBC)</t>
        </is>
      </c>
      <c r="G11" s="8" t="inlineStr">
        <is>
          <t>We will report progress on developing the biodiversity quality measurement framework, which will underpin how the biodiversity target is assessed from 2027.</t>
        </is>
      </c>
      <c r="H11" s="8" t="inlineStr">
        <is>
          <t>9a(i)</t>
        </is>
      </c>
      <c r="I11" s="8" t="inlineStr">
        <is>
          <t>Not met</t>
        </is>
      </c>
      <c r="J11" s="8" t="inlineStr">
        <is>
          <t>Two out of seven metrics have achieved net-gain across all campuses. 
Tree Planting Program: 161 trees were planted across three campuses. 
Dookie Community Planting Day, 79 volunteers planted 142 tube stock.</t>
        </is>
      </c>
      <c r="K11" s="8" t="inlineStr">
        <is>
          <t>https://unimelbcloud.sharepoint.com/:w:/r/teams/Sustainability/Shared%20Documents/General/Governance/Reporting/2026/2025%20Sustainability%20Report/Biodiversity.docx?d=w7b85fae81d704587910e1e9320a6bf31&amp;csf=1&amp;web=1&amp;e=GCfji1</t>
        </is>
      </c>
      <c r="L11" s="8" t="n"/>
      <c r="M11" s="8" t="n"/>
      <c r="N11" s="8" t="n"/>
      <c r="O11" s="8" t="n"/>
      <c r="P11" s="8" t="n"/>
      <c r="Q11" s="8" t="n"/>
      <c r="R11" s="8" t="n"/>
    </row>
    <row r="12" ht="150" customHeight="1">
      <c r="B12" s="7" t="inlineStr">
        <is>
          <t>NB1(d)</t>
        </is>
      </c>
      <c r="C12" s="12" t="inlineStr">
        <is>
          <t>Nature and biodiversity</t>
        </is>
      </c>
      <c r="D12" s="12" t="inlineStr">
        <is>
          <t>Achieve an increase of biodiversity relative to defined baseline years for each campus.</t>
        </is>
      </c>
      <c r="E12" s="12" t="inlineStr">
        <is>
          <t>Defined and quantified campus connectivity</t>
        </is>
      </c>
      <c r="F12" s="8" t="inlineStr">
        <is>
          <t>We did not receive an end-2025 response for the related SP2030 target 9b(i), so please include any relevant activity from across 2026.
Please provide the current definition and quantified assessment of campus ecological connectivity, could include the methodology used, campuses covered, baseline or benchmark values, and any material change over the reporting period.</t>
        </is>
      </c>
      <c r="G12" s="8" t="inlineStr">
        <is>
          <t>We will report the definition and baseline for campus ecological connectivity in the 2026 Sustainability Report, to support future tracking against the biodiversity target.</t>
        </is>
      </c>
      <c r="H12" s="8" t="inlineStr">
        <is>
          <t>9b(i)</t>
        </is>
      </c>
      <c r="I12" s="8" t="inlineStr">
        <is>
          <t>Not yet started</t>
        </is>
      </c>
      <c r="J12" s="8" t="inlineStr"/>
      <c r="K12" s="8" t="inlineStr"/>
      <c r="L12" s="8" t="n"/>
      <c r="M12" s="8" t="n"/>
      <c r="N12" s="8" t="n"/>
      <c r="O12" s="8" t="n"/>
      <c r="P12" s="8" t="n"/>
      <c r="Q12" s="8" t="n"/>
      <c r="R12" s="8" t="n"/>
    </row>
    <row r="13" ht="150" customHeight="1">
      <c r="B13" s="7" t="inlineStr">
        <is>
          <t>NB2(b)</t>
        </is>
      </c>
      <c r="C13" s="12" t="inlineStr">
        <is>
          <t>Nature and biodiversity</t>
        </is>
      </c>
      <c r="D13" s="12" t="inlineStr">
        <is>
          <t>Improve our understanding of our supply chain impacts on nature.</t>
        </is>
      </c>
      <c r="E13" s="12" t="inlineStr">
        <is>
          <t>Evidence of established framework to monitor and track supply-chain nature impacts over time</t>
        </is>
      </c>
      <c r="F13" s="8" t="inlineStr">
        <is>
          <t>Please describe the framework established to monitor and track supply-chain impacts on nature over time, could include metrics, data sources, governance/ownership, reporting frequency and current implementation status.</t>
        </is>
      </c>
      <c r="G13" s="8" t="inlineStr">
        <is>
          <t>We will describe the framework for monitoring supply-chain nature impacts, and use it to plan how this target is reported from 2027.</t>
        </is>
      </c>
      <c r="H13" s="8" t="inlineStr">
        <is>
          <t>N/A – new indicator</t>
        </is>
      </c>
      <c r="I13" s="8" t="inlineStr"/>
      <c r="J13" s="8" t="inlineStr"/>
      <c r="K13" s="8" t="inlineStr"/>
      <c r="L13" s="8" t="n"/>
      <c r="M13" s="8" t="n"/>
      <c r="N13" s="8" t="n"/>
      <c r="O13" s="8" t="n"/>
      <c r="P13" s="8" t="n"/>
      <c r="Q13" s="8" t="n"/>
      <c r="R13" s="8" t="n"/>
    </row>
    <row r="14" ht="150" customHeight="1">
      <c r="B14" s="7" t="inlineStr">
        <is>
          <t>NB2(c)</t>
        </is>
      </c>
      <c r="C14" s="12" t="inlineStr">
        <is>
          <t>Nature and biodiversity</t>
        </is>
      </c>
      <c r="D14" s="12" t="inlineStr">
        <is>
          <t>Improve our understanding of our supply chain impacts on nature.</t>
        </is>
      </c>
      <c r="E14" s="12" t="inlineStr">
        <is>
          <t>Evidence of prioritised high risk procurement categories or suppliers for nature impact management</t>
        </is>
      </c>
      <c r="F14" s="8" t="inlineStr">
        <is>
          <t>Please provide the prioritised high-risk procurement categories and/or suppliers identified for nature-impact management, could include the basis for prioritisation and any risk-management, engagement or mitigation actions undertaken or planned.</t>
        </is>
      </c>
      <c r="G14" s="8" t="inlineStr">
        <is>
          <t>We will report on the high-risk procurement categories or suppliers prioritised for nature-impact management, and related actions, in the 2026 Sustainability Report.</t>
        </is>
      </c>
      <c r="H14" s="8" t="inlineStr">
        <is>
          <t>N/A – new indicator</t>
        </is>
      </c>
      <c r="I14" s="8" t="inlineStr"/>
      <c r="J14" s="8" t="inlineStr"/>
      <c r="K14" s="8" t="inlineStr"/>
      <c r="L14" s="8" t="n"/>
      <c r="M14" s="8" t="n"/>
      <c r="N14" s="8" t="n"/>
      <c r="O14" s="8" t="n"/>
      <c r="P14" s="8" t="n"/>
      <c r="Q14" s="8" t="n"/>
      <c r="R14" s="8" t="n"/>
    </row>
    <row r="15" ht="150" customHeight="1">
      <c r="B15" s="7" t="inlineStr">
        <is>
          <t>EN1(c)</t>
        </is>
      </c>
      <c r="C15" s="12" t="inlineStr">
        <is>
          <t>Enablers</t>
        </is>
      </c>
      <c r="D15" s="12" t="inlineStr">
        <is>
          <t>Enablers</t>
        </is>
      </c>
      <c r="E15" s="12" t="inlineStr">
        <is>
          <t>Coordinated internal engagement and external partnerships contributing to delivery of sustainability outcomes across priority areas.</t>
        </is>
      </c>
      <c r="F15" s="8" t="inlineStr">
        <is>
          <t>In end-2025 reporting your area reported on the related SP2030 target 7a and rated it 'Partially met' (see Column J – click [+] above Columns I–K). Please build on this rather than repeating it, focusing on what is new in 2026.
Please provide examples of internal engagement or external partnerships involving your Faculty/Portfolio that contributed to Sustainability 2030 outcomes, could include the priority area addressed, participating groups/partners, nature of the collaboration and key outcomes.</t>
        </is>
      </c>
      <c r="G15" s="8" t="inlineStr">
        <is>
          <t>We will report on internal engagement and partnerships contributing to Sustainability 2030 outcomes, and update our record of sustainability-focused communities of practice and contacts across the University.</t>
        </is>
      </c>
      <c r="H15" s="8" t="inlineStr">
        <is>
          <t>7a</t>
        </is>
      </c>
      <c r="I15" s="8" t="inlineStr">
        <is>
          <t>Partially met</t>
        </is>
      </c>
      <c r="J15" s="8" t="inlineStr">
        <is>
          <t>National Reconciliation Week 2025 – Partnering for Country and community</t>
        </is>
      </c>
      <c r="K15" s="8" t="inlineStr"/>
      <c r="L15" s="8" t="n"/>
      <c r="M15" s="8" t="n"/>
      <c r="N15" s="8" t="n"/>
      <c r="O15" s="8" t="n"/>
      <c r="P15" s="8" t="n"/>
      <c r="Q15" s="8" t="n"/>
      <c r="R15" s="8" t="n"/>
    </row>
    <row r="16" ht="150" customHeight="1">
      <c r="B16" s="7" t="inlineStr">
        <is>
          <t>EN1(d)</t>
        </is>
      </c>
      <c r="C16" s="12" t="inlineStr">
        <is>
          <t>Enablers</t>
        </is>
      </c>
      <c r="D16" s="12" t="inlineStr">
        <is>
          <t>Enablers</t>
        </is>
      </c>
      <c r="E16" s="12" t="inlineStr">
        <is>
          <t>Sustainability objectives integrated into governance and decision‑making processes, supported by transparent reporting.</t>
        </is>
      </c>
      <c r="F16" s="8" t="inlineStr">
        <is>
          <t>Please provide evidence of how sustainability objectives are integrated into governance and decision-making within your Faculty/Portfolio, could include relevant committees, policies, planning or approval processes, accountability mechanisms and examples of transparent reporting.</t>
        </is>
      </c>
      <c r="G16" s="8" t="inlineStr">
        <is>
          <t>We will report on how sustainability is integrated into governance and decision-making across faculties and portfolios, and use responses as a baseline for the governance enabler from 2027.</t>
        </is>
      </c>
      <c r="H16" s="8" t="inlineStr">
        <is>
          <t>N/A – new indicator</t>
        </is>
      </c>
      <c r="I16" s="8" t="inlineStr"/>
      <c r="J16" s="8" t="inlineStr"/>
      <c r="K16" s="8" t="inlineStr"/>
      <c r="L16" s="8" t="n"/>
      <c r="M16" s="8" t="n"/>
      <c r="N16" s="8" t="n"/>
      <c r="O16" s="8" t="n"/>
      <c r="P16" s="8" t="n"/>
      <c r="Q16" s="8" t="n"/>
      <c r="R16" s="8" t="n"/>
    </row>
    <row r="17"/>
  </sheetData>
  <mergeCells count="3">
    <mergeCell ref="C7:G7"/>
    <mergeCell ref="L7:R7"/>
    <mergeCell ref="H7:K7"/>
  </mergeCells>
  <dataValidations count="2">
    <dataValidation sqref="L10:L16" showDropDown="0" showInputMessage="0" showErrorMessage="0" allowBlank="1" errorTitle="Invalid entry" error="Please select from the dropdown" type="list">
      <formula1>=Lists!$B$3:$B$7</formula1>
    </dataValidation>
    <dataValidation sqref="Q10:Q16" showDropDown="0" showInputMessage="0" showErrorMessage="0" allowBlank="1" errorTitle="Invalid entry" error="Please select from the dropdown" type="list">
      <formula1>=Lists!$C$2:$C$4</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0"/>
    <pageSetUpPr/>
  </sheetPr>
  <dimension ref="A1:R14"/>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1" customWidth="1" min="8" max="8"/>
    <col hidden="1" outlineLevel="1" width="16" customWidth="1" min="9" max="9"/>
    <col hidden="1" outlineLevel="1" width="50" customWidth="1" min="10" max="10"/>
    <col hidden="1" outlineLevel="1" width="24" customWidth="1" min="11" max="11"/>
    <col width="22" customWidth="1" min="12" max="12"/>
    <col width="48" customWidth="1" min="13" max="13"/>
    <col width="48" customWidth="1" min="14" max="14"/>
    <col width="30" customWidth="1" min="15" max="15"/>
    <col width="30" customWidth="1" min="16" max="16"/>
    <col width="20" customWidth="1" min="17" max="17"/>
    <col width="24" customWidth="1" min="18" max="18"/>
  </cols>
  <sheetData>
    <row r="1">
      <c r="A1" s="1" t="inlineStr">
        <is>
          <t>↑</t>
        </is>
      </c>
      <c r="B1" s="2" t="inlineStr">
        <is>
          <t>End-2026 target status assessment and reporting</t>
        </is>
      </c>
    </row>
    <row r="2">
      <c r="B2" s="3" t="inlineStr">
        <is>
          <t>Chief Information Officer Group (CIOG)</t>
        </is>
      </c>
    </row>
    <row r="3">
      <c r="B3" s="9" t="inlineStr">
        <is>
          <t>Consolidated responses – paste from returned request workbooks (identical column layout). Click [+] above Columns H–K for end-2025 responses.</t>
        </is>
      </c>
    </row>
    <row r="5">
      <c r="B5" s="18" t="inlineStr">
        <is>
          <t>1.1  CIOG – Responsible AI &amp; digital</t>
        </is>
      </c>
    </row>
    <row r="7">
      <c r="C7" s="19" t="inlineStr">
        <is>
          <t>Sustainability 2030 target and indicator</t>
        </is>
      </c>
      <c r="H7" s="19" t="inlineStr">
        <is>
          <t>End-2025 reporting (click the ref to see your full SR25 response; [+] above expands a summary)</t>
        </is>
      </c>
      <c r="L7" s="20" t="inlineStr">
        <is>
          <t>End-2026 reporting (PLEASE COMPLETE THIS SECTION)</t>
        </is>
      </c>
    </row>
    <row r="8">
      <c r="B8" s="6" t="inlineStr">
        <is>
          <t>Ref</t>
        </is>
      </c>
      <c r="C8" s="6" t="inlineStr">
        <is>
          <t>Priority area</t>
        </is>
      </c>
      <c r="D8" s="6" t="inlineStr">
        <is>
          <t>Sustainability 2030 target</t>
        </is>
      </c>
      <c r="E8" s="6" t="inlineStr">
        <is>
          <t>Indicator</t>
        </is>
      </c>
      <c r="F8" s="6" t="inlineStr">
        <is>
          <t>2026 Reporting request</t>
        </is>
      </c>
      <c r="G8" s="6" t="inlineStr">
        <is>
          <t>How SST will use this data</t>
        </is>
      </c>
      <c r="H8" s="6" t="inlineStr">
        <is>
          <t>Related SR25 ref</t>
        </is>
      </c>
      <c r="I8" s="6" t="inlineStr">
        <is>
          <t>End-2025 confirmed status</t>
        </is>
      </c>
      <c r="J8" s="6" t="inlineStr">
        <is>
          <t>End-2025 reporting response</t>
        </is>
      </c>
      <c r="K8" s="6" t="inlineStr">
        <is>
          <t>Links and supporting information</t>
        </is>
      </c>
      <c r="L8" s="21" t="inlineStr">
        <is>
          <t>Confirm end-2026 target status</t>
        </is>
      </c>
      <c r="M8" s="21" t="inlineStr">
        <is>
          <t>OPTION 1:  Target-level reporting (Column D)</t>
        </is>
      </c>
      <c r="N8" s="21" t="inlineStr">
        <is>
          <t>OPTION 2:  Indicator level reporting (Column E/F)</t>
        </is>
      </c>
      <c r="O8" s="21" t="inlineStr">
        <is>
          <t>Supporting information/comments</t>
        </is>
      </c>
      <c r="P8" s="21" t="inlineStr">
        <is>
          <t>Data source and limitations</t>
        </is>
      </c>
      <c r="Q8" s="21" t="inlineStr">
        <is>
          <t>Data owner confirms information is accurate</t>
        </is>
      </c>
      <c r="R8" s="21" t="inlineStr">
        <is>
          <t>Confirmed by (name, role, date)</t>
        </is>
      </c>
    </row>
    <row r="9">
      <c r="B9" s="22" t="inlineStr"/>
      <c r="C9" s="22" t="inlineStr"/>
      <c r="D9" s="22" t="inlineStr"/>
      <c r="E9" s="22" t="inlineStr"/>
      <c r="F9" s="22" t="inlineStr"/>
      <c r="G9" s="22" t="inlineStr"/>
      <c r="H9" s="22" t="inlineStr"/>
      <c r="I9" s="22" t="inlineStr"/>
      <c r="J9" s="22" t="inlineStr"/>
      <c r="K9" s="22" t="inlineStr"/>
      <c r="L9" s="22" t="inlineStr">
        <is>
          <t>(Met or exceeded; partially met; not met; not yet started)</t>
        </is>
      </c>
      <c r="M9" s="22" t="inlineStr">
        <is>
          <t>Provide further evidence of target status assessment in the form of:
A general update on activities in relation to the overarching target (Column D)</t>
        </is>
      </c>
      <c r="N9" s="22" t="inlineStr">
        <is>
          <t>Provide further evidence of target status assessment in the form of:
Data and commentary in direct response to the reporting request (Column F)</t>
        </is>
      </c>
      <c r="O9" s="22" t="inlineStr">
        <is>
          <t>Provide any additional information to support the target status assessment (e.g. links, images, rationale for selection of target status)</t>
        </is>
      </c>
      <c r="P9" s="22" t="inlineStr">
        <is>
          <t>Where did this information come from (system, report, survey, person)? Note any gaps or limitations.</t>
        </is>
      </c>
      <c r="Q9" s="22" t="inlineStr">
        <is>
          <t>Select 'Yes' to confirm the information provided is accurate and can be used for reporting</t>
        </is>
      </c>
      <c r="R9" s="22" t="inlineStr">
        <is>
          <t>Name, role and date of the person confirming</t>
        </is>
      </c>
    </row>
    <row r="10" ht="150" customHeight="1">
      <c r="B10" s="7" t="inlineStr">
        <is>
          <t>AI1(a)</t>
        </is>
      </c>
      <c r="C10" s="12" t="inlineStr">
        <is>
          <t>Responsible AI</t>
        </is>
      </c>
      <c r="D10" s="12" t="inlineStr">
        <is>
          <t>Improve understanding of our sustainability-related risks and opportunities of AI technologies by 2028.</t>
        </is>
      </c>
      <c r="E10" s="12" t="inlineStr">
        <is>
          <t>Established measurement of estimated operational impacts and opportunities (eg operational impacts could include energy, water, emissions and intensity measures)</t>
        </is>
      </c>
      <c r="F10" s="8" t="inlineStr">
        <is>
          <t>(Reporting request TBC)</t>
        </is>
      </c>
      <c r="G10" s="8" t="inlineStr">
        <is>
          <t>We will provide a high-level overview of AI's estimated operational impacts and opportunities in 2026, ahead of more detailed measurement from 2027.</t>
        </is>
      </c>
      <c r="H10" s="8" t="inlineStr"/>
      <c r="I10" s="8" t="inlineStr"/>
      <c r="J10" s="8" t="inlineStr"/>
      <c r="K10" s="8" t="inlineStr"/>
      <c r="L10" s="8" t="n"/>
      <c r="M10" s="8" t="n"/>
      <c r="N10" s="8" t="n"/>
      <c r="O10" s="8" t="n"/>
      <c r="P10" s="8" t="n"/>
      <c r="Q10" s="8" t="n"/>
      <c r="R10" s="8" t="n"/>
    </row>
    <row r="11" ht="150" customHeight="1">
      <c r="B11" s="7" t="inlineStr">
        <is>
          <t>AI1(b)</t>
        </is>
      </c>
      <c r="C11" s="12" t="inlineStr">
        <is>
          <t>Responsible AI</t>
        </is>
      </c>
      <c r="D11" s="12" t="inlineStr">
        <is>
          <t>Improve understanding of our sustainability-related risks and opportunities of AI technologies by 2028.</t>
        </is>
      </c>
      <c r="E11" s="12" t="inlineStr">
        <is>
          <t>Case studies of sustainability and AI-related education, research and collaboration activities.</t>
        </is>
      </c>
      <c r="F11" s="8" t="inlineStr">
        <is>
          <t>Please provide case studies from your Faculty/Portfolio of sustainability and AI-related education, research or collaboration activities, describing the activity, participants or partners, sustainability issue addressed and key outcomes or lessons.</t>
        </is>
      </c>
      <c r="G11" s="8" t="inlineStr">
        <is>
          <t>We will select examples of sustainability and AI-related education, research and collaboration as case studies for the new Responsible AI section of the 2026 Sustainability Report.</t>
        </is>
      </c>
      <c r="H11" s="8" t="inlineStr"/>
      <c r="I11" s="8" t="inlineStr"/>
      <c r="J11" s="8" t="inlineStr"/>
      <c r="K11" s="8" t="inlineStr"/>
      <c r="L11" s="8" t="n"/>
      <c r="M11" s="8" t="n"/>
      <c r="N11" s="8" t="n"/>
      <c r="O11" s="8" t="n"/>
      <c r="P11" s="8" t="n"/>
      <c r="Q11" s="8" t="n"/>
      <c r="R11" s="8" t="n"/>
    </row>
    <row r="12" ht="150" customHeight="1">
      <c r="B12" s="7" t="inlineStr">
        <is>
          <t>EN1(c)</t>
        </is>
      </c>
      <c r="C12" s="12" t="inlineStr">
        <is>
          <t>Enablers</t>
        </is>
      </c>
      <c r="D12" s="12" t="inlineStr">
        <is>
          <t>Enablers</t>
        </is>
      </c>
      <c r="E12" s="12" t="inlineStr">
        <is>
          <t>Coordinated internal engagement and external partnerships contributing to delivery of sustainability outcomes across priority areas.</t>
        </is>
      </c>
      <c r="F12" s="8" t="inlineStr">
        <is>
          <t>Please provide examples of internal engagement or external partnerships involving your Faculty/Portfolio that contributed to Sustainability 2030 outcomes, could include the priority area addressed, participating groups/partners, nature of the collaboration and key outcomes.</t>
        </is>
      </c>
      <c r="G12" s="8" t="inlineStr">
        <is>
          <t>We will report on internal engagement and partnerships contributing to Sustainability 2030 outcomes, and update our record of sustainability-focused communities of practice and contacts across the University.</t>
        </is>
      </c>
      <c r="H12" s="8" t="inlineStr"/>
      <c r="I12" s="8" t="inlineStr"/>
      <c r="J12" s="8" t="inlineStr"/>
      <c r="K12" s="8" t="inlineStr"/>
      <c r="L12" s="8" t="n"/>
      <c r="M12" s="8" t="n"/>
      <c r="N12" s="8" t="n"/>
      <c r="O12" s="8" t="n"/>
      <c r="P12" s="8" t="n"/>
      <c r="Q12" s="8" t="n"/>
      <c r="R12" s="8" t="n"/>
    </row>
    <row r="13" ht="150" customHeight="1">
      <c r="B13" s="7" t="inlineStr">
        <is>
          <t>EN1(d)</t>
        </is>
      </c>
      <c r="C13" s="12" t="inlineStr">
        <is>
          <t>Enablers</t>
        </is>
      </c>
      <c r="D13" s="12" t="inlineStr">
        <is>
          <t>Enablers</t>
        </is>
      </c>
      <c r="E13" s="12" t="inlineStr">
        <is>
          <t>Sustainability objectives integrated into governance and decision‑making processes, supported by transparent reporting.</t>
        </is>
      </c>
      <c r="F13" s="8" t="inlineStr">
        <is>
          <t>Please provide evidence of how sustainability objectives are integrated into governance and decision-making within your Faculty/Portfolio, could include relevant committees, policies, planning or approval processes, accountability mechanisms and examples of transparent reporting.</t>
        </is>
      </c>
      <c r="G13" s="8" t="inlineStr">
        <is>
          <t>We will report on how sustainability is integrated into governance and decision-making across faculties and portfolios, and use responses as a baseline for the governance enabler from 2027.</t>
        </is>
      </c>
      <c r="H13" s="8" t="inlineStr"/>
      <c r="I13" s="8" t="inlineStr"/>
      <c r="J13" s="8" t="inlineStr"/>
      <c r="K13" s="8" t="inlineStr"/>
      <c r="L13" s="8" t="n"/>
      <c r="M13" s="8" t="n"/>
      <c r="N13" s="8" t="n"/>
      <c r="O13" s="8" t="n"/>
      <c r="P13" s="8" t="n"/>
      <c r="Q13" s="8" t="n"/>
      <c r="R13" s="8" t="n"/>
    </row>
    <row r="14"/>
  </sheetData>
  <mergeCells count="3">
    <mergeCell ref="C7:G7"/>
    <mergeCell ref="L7:R7"/>
    <mergeCell ref="H7:K7"/>
  </mergeCells>
  <dataValidations count="2">
    <dataValidation sqref="L10:L13" showDropDown="0" showInputMessage="0" showErrorMessage="0" allowBlank="1" errorTitle="Invalid entry" error="Please select from the dropdown" type="list">
      <formula1>=Lists!$B$3:$B$7</formula1>
    </dataValidation>
    <dataValidation sqref="Q10:Q13" showDropDown="0" showInputMessage="0" showErrorMessage="0" allowBlank="1" errorTitle="Invalid entry" error="Please select from the dropdown" type="list">
      <formula1>=Lists!$C$2:$C$4</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0"/>
    <pageSetUpPr/>
  </sheetPr>
  <dimension ref="A1:R12"/>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1" customWidth="1" min="8" max="8"/>
    <col hidden="1" outlineLevel="1" width="16" customWidth="1" min="9" max="9"/>
    <col hidden="1" outlineLevel="1" width="50" customWidth="1" min="10" max="10"/>
    <col hidden="1" outlineLevel="1" width="24" customWidth="1" min="11" max="11"/>
    <col width="22" customWidth="1" min="12" max="12"/>
    <col width="48" customWidth="1" min="13" max="13"/>
    <col width="48" customWidth="1" min="14" max="14"/>
    <col width="30" customWidth="1" min="15" max="15"/>
    <col width="30" customWidth="1" min="16" max="16"/>
    <col width="20" customWidth="1" min="17" max="17"/>
    <col width="24" customWidth="1" min="18" max="18"/>
  </cols>
  <sheetData>
    <row r="1">
      <c r="A1" s="1" t="inlineStr">
        <is>
          <t>↑</t>
        </is>
      </c>
      <c r="B1" s="2" t="inlineStr">
        <is>
          <t>End-2026 target status assessment and reporting</t>
        </is>
      </c>
    </row>
    <row r="2">
      <c r="B2" s="3" t="inlineStr">
        <is>
          <t>Melbourne Research and Enterprise (MRE)</t>
        </is>
      </c>
    </row>
    <row r="3">
      <c r="B3" s="9" t="inlineStr">
        <is>
          <t>Consolidated responses – paste from returned request workbooks (identical column layout). Click [+] above Columns H–K for end-2025 responses.</t>
        </is>
      </c>
    </row>
    <row r="5">
      <c r="B5" s="18" t="inlineStr">
        <is>
          <t>1.1  MRE – Research (incl. MBI – TBC)</t>
        </is>
      </c>
    </row>
    <row r="7">
      <c r="C7" s="19" t="inlineStr">
        <is>
          <t>Sustainability 2030 target and indicator</t>
        </is>
      </c>
      <c r="H7" s="19" t="inlineStr">
        <is>
          <t>End-2025 reporting (click the ref to see your full SR25 response; [+] above expands a summary)</t>
        </is>
      </c>
      <c r="L7" s="20" t="inlineStr">
        <is>
          <t>End-2026 reporting (PLEASE COMPLETE THIS SECTION)</t>
        </is>
      </c>
    </row>
    <row r="8">
      <c r="B8" s="6" t="inlineStr">
        <is>
          <t>Ref</t>
        </is>
      </c>
      <c r="C8" s="6" t="inlineStr">
        <is>
          <t>Priority area</t>
        </is>
      </c>
      <c r="D8" s="6" t="inlineStr">
        <is>
          <t>Sustainability 2030 target</t>
        </is>
      </c>
      <c r="E8" s="6" t="inlineStr">
        <is>
          <t>Indicator</t>
        </is>
      </c>
      <c r="F8" s="6" t="inlineStr">
        <is>
          <t>2026 Reporting request</t>
        </is>
      </c>
      <c r="G8" s="6" t="inlineStr">
        <is>
          <t>How SST will use this data</t>
        </is>
      </c>
      <c r="H8" s="6" t="inlineStr">
        <is>
          <t>Related SR25 ref</t>
        </is>
      </c>
      <c r="I8" s="6" t="inlineStr">
        <is>
          <t>End-2025 confirmed status</t>
        </is>
      </c>
      <c r="J8" s="6" t="inlineStr">
        <is>
          <t>End-2025 reporting response</t>
        </is>
      </c>
      <c r="K8" s="6" t="inlineStr">
        <is>
          <t>Links and supporting information</t>
        </is>
      </c>
      <c r="L8" s="21" t="inlineStr">
        <is>
          <t>Confirm end-2026 target status</t>
        </is>
      </c>
      <c r="M8" s="21" t="inlineStr">
        <is>
          <t>OPTION 1:  Target-level reporting (Column D)</t>
        </is>
      </c>
      <c r="N8" s="21" t="inlineStr">
        <is>
          <t>OPTION 2:  Indicator level reporting (Column E/F)</t>
        </is>
      </c>
      <c r="O8" s="21" t="inlineStr">
        <is>
          <t>Supporting information/comments</t>
        </is>
      </c>
      <c r="P8" s="21" t="inlineStr">
        <is>
          <t>Data source and limitations</t>
        </is>
      </c>
      <c r="Q8" s="21" t="inlineStr">
        <is>
          <t>Data owner confirms information is accurate</t>
        </is>
      </c>
      <c r="R8" s="21" t="inlineStr">
        <is>
          <t>Confirmed by (name, role, date)</t>
        </is>
      </c>
    </row>
    <row r="9">
      <c r="B9" s="22" t="inlineStr"/>
      <c r="C9" s="22" t="inlineStr"/>
      <c r="D9" s="22" t="inlineStr"/>
      <c r="E9" s="22" t="inlineStr"/>
      <c r="F9" s="22" t="inlineStr"/>
      <c r="G9" s="22" t="inlineStr"/>
      <c r="H9" s="22" t="inlineStr"/>
      <c r="I9" s="22" t="inlineStr"/>
      <c r="J9" s="22" t="inlineStr"/>
      <c r="K9" s="22" t="inlineStr"/>
      <c r="L9" s="22" t="inlineStr">
        <is>
          <t>(Met or exceeded; partially met; not met; not yet started)</t>
        </is>
      </c>
      <c r="M9" s="22" t="inlineStr">
        <is>
          <t>Provide further evidence of target status assessment in the form of:
A general update on activities in relation to the overarching target (Column D)</t>
        </is>
      </c>
      <c r="N9" s="22" t="inlineStr">
        <is>
          <t>Provide further evidence of target status assessment in the form of:
Data and commentary in direct response to the reporting request (Column F)</t>
        </is>
      </c>
      <c r="O9" s="22" t="inlineStr">
        <is>
          <t>Provide any additional information to support the target status assessment (e.g. links, images, rationale for selection of target status)</t>
        </is>
      </c>
      <c r="P9" s="22" t="inlineStr">
        <is>
          <t>Where did this information come from (system, report, survey, person)? Note any gaps or limitations.</t>
        </is>
      </c>
      <c r="Q9" s="22" t="inlineStr">
        <is>
          <t>Select 'Yes' to confirm the information provided is accurate and can be used for reporting</t>
        </is>
      </c>
      <c r="R9" s="22" t="inlineStr">
        <is>
          <t>Name, role and date of the person confirming</t>
        </is>
      </c>
    </row>
    <row r="10" ht="150" customHeight="1">
      <c r="B10" s="7" t="inlineStr">
        <is>
          <t>TR2(c)</t>
        </is>
      </c>
      <c r="C10" s="12" t="inlineStr">
        <is>
          <t>Transformational research</t>
        </is>
      </c>
      <c r="D10" s="12" t="inlineStr">
        <is>
          <t>Deliver high-quality research and partnerships that contribute to sustainability outcomes and demonstrable societal benefit.</t>
        </is>
      </c>
      <c r="E10" s="12" t="inlineStr">
        <is>
          <t>Expert-reviewed summary of sustainability-related research outputs, outcomes and influence using available institutional evidence sources</t>
        </is>
      </c>
      <c r="F10" s="8" t="inlineStr">
        <is>
          <t>In end-2025 reporting your area reported on the related SP2030 target 5b(iii) and rated it 'Met or exceeded' (see Column J – click [+] above Columns I–K). Please build on this rather than repeating it, focusing on what is new in 2026.
currently mapped to the SDGs using SciVal</t>
        </is>
      </c>
      <c r="G10" s="8" t="inlineStr">
        <is>
          <t>We will use institutional research output data (e.g. SDG-mapped publications via SciVal) to provide the University-wide quantitative picture of sustainability-related research in the 2026 Sustainability Report.</t>
        </is>
      </c>
      <c r="H10" s="8" t="inlineStr">
        <is>
          <t>5b(iii)</t>
        </is>
      </c>
      <c r="I10" s="8" t="inlineStr">
        <is>
          <t>Met or exceeded</t>
        </is>
      </c>
      <c r="J10" s="8" t="inlineStr">
        <is>
          <t>The University’s research outputs continue to be extensively mentioned in patents, policy, news and social media.</t>
        </is>
      </c>
      <c r="K10" s="8" t="inlineStr"/>
      <c r="L10" s="8" t="n"/>
      <c r="M10" s="8" t="n"/>
      <c r="N10" s="8" t="n"/>
      <c r="O10" s="8" t="n"/>
      <c r="P10" s="8" t="n"/>
      <c r="Q10" s="8" t="n"/>
      <c r="R10" s="8" t="n"/>
    </row>
    <row r="11" ht="150" customHeight="1">
      <c r="B11" s="7" t="inlineStr">
        <is>
          <t>NB2(a)</t>
        </is>
      </c>
      <c r="C11" s="12" t="inlineStr">
        <is>
          <t>Nature and biodiversity</t>
        </is>
      </c>
      <c r="D11" s="12" t="inlineStr">
        <is>
          <t>Improve our understanding of our supply chain impacts on nature.</t>
        </is>
      </c>
      <c r="E11" s="12" t="inlineStr">
        <is>
          <t>Documented baseline nature footprint analysis</t>
        </is>
      </c>
      <c r="F11" s="8" t="inlineStr">
        <is>
          <t>Impact Encore Measurement</t>
        </is>
      </c>
      <c r="G11" s="8" t="inlineStr">
        <is>
          <t>We will report on the baseline nature footprint of the University's supply chain in the Nature and biodiversity section of the 2026 Sustainability Report.</t>
        </is>
      </c>
      <c r="H11" s="8" t="inlineStr">
        <is>
          <t>N/A – new indicator</t>
        </is>
      </c>
      <c r="I11" s="8" t="inlineStr"/>
      <c r="J11" s="8" t="inlineStr"/>
      <c r="K11" s="8" t="inlineStr"/>
      <c r="L11" s="8" t="n"/>
      <c r="M11" s="8" t="n"/>
      <c r="N11" s="8" t="n"/>
      <c r="O11" s="8" t="n"/>
      <c r="P11" s="8" t="n"/>
      <c r="Q11" s="8" t="n"/>
      <c r="R11" s="8" t="n"/>
    </row>
    <row r="12"/>
  </sheetData>
  <mergeCells count="3">
    <mergeCell ref="C7:G7"/>
    <mergeCell ref="L7:R7"/>
    <mergeCell ref="H7:K7"/>
  </mergeCells>
  <dataValidations count="2">
    <dataValidation sqref="L10:L11" showDropDown="0" showInputMessage="0" showErrorMessage="0" allowBlank="1" errorTitle="Invalid entry" error="Please select from the dropdown" type="list">
      <formula1>=Lists!$B$3:$B$7</formula1>
    </dataValidation>
    <dataValidation sqref="Q10:Q11" showDropDown="0" showInputMessage="0" showErrorMessage="0" allowBlank="1" errorTitle="Invalid entry" error="Please select from the dropdown" type="list">
      <formula1>=Lists!$C$2:$C$4</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0"/>
    <pageSetUpPr/>
  </sheetPr>
  <dimension ref="A1:R11"/>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1" customWidth="1" min="8" max="8"/>
    <col hidden="1" outlineLevel="1" width="16" customWidth="1" min="9" max="9"/>
    <col hidden="1" outlineLevel="1" width="50" customWidth="1" min="10" max="10"/>
    <col hidden="1" outlineLevel="1" width="24" customWidth="1" min="11" max="11"/>
    <col width="22" customWidth="1" min="12" max="12"/>
    <col width="48" customWidth="1" min="13" max="13"/>
    <col width="48" customWidth="1" min="14" max="14"/>
    <col width="30" customWidth="1" min="15" max="15"/>
    <col width="30" customWidth="1" min="16" max="16"/>
    <col width="20" customWidth="1" min="17" max="17"/>
    <col width="24" customWidth="1" min="18" max="18"/>
  </cols>
  <sheetData>
    <row r="1">
      <c r="A1" s="1" t="inlineStr">
        <is>
          <t>↑</t>
        </is>
      </c>
      <c r="B1" s="2" t="inlineStr">
        <is>
          <t>End-2026 target status assessment and reporting</t>
        </is>
      </c>
    </row>
    <row r="2">
      <c r="B2" s="3" t="inlineStr">
        <is>
          <t>Legal and Risk</t>
        </is>
      </c>
    </row>
    <row r="3">
      <c r="B3" s="9" t="inlineStr">
        <is>
          <t>Consolidated responses – paste from returned request workbooks (identical column layout). Click [+] above Columns H–K for end-2025 responses.</t>
        </is>
      </c>
    </row>
    <row r="5">
      <c r="B5" s="18" t="inlineStr">
        <is>
          <t>1.1  Legal &amp; Risk – Risk &amp; resilience</t>
        </is>
      </c>
    </row>
    <row r="7">
      <c r="C7" s="19" t="inlineStr">
        <is>
          <t>Sustainability 2030 target and indicator</t>
        </is>
      </c>
      <c r="H7" s="19" t="inlineStr">
        <is>
          <t>End-2025 reporting (click the ref to see your full SR25 response; [+] above expands a summary)</t>
        </is>
      </c>
      <c r="L7" s="20" t="inlineStr">
        <is>
          <t>End-2026 reporting (PLEASE COMPLETE THIS SECTION)</t>
        </is>
      </c>
    </row>
    <row r="8">
      <c r="B8" s="6" t="inlineStr">
        <is>
          <t>Ref</t>
        </is>
      </c>
      <c r="C8" s="6" t="inlineStr">
        <is>
          <t>Priority area</t>
        </is>
      </c>
      <c r="D8" s="6" t="inlineStr">
        <is>
          <t>Sustainability 2030 target</t>
        </is>
      </c>
      <c r="E8" s="6" t="inlineStr">
        <is>
          <t>Indicator</t>
        </is>
      </c>
      <c r="F8" s="6" t="inlineStr">
        <is>
          <t>2026 Reporting request</t>
        </is>
      </c>
      <c r="G8" s="6" t="inlineStr">
        <is>
          <t>How SST will use this data</t>
        </is>
      </c>
      <c r="H8" s="6" t="inlineStr">
        <is>
          <t>Related SR25 ref</t>
        </is>
      </c>
      <c r="I8" s="6" t="inlineStr">
        <is>
          <t>End-2025 confirmed status</t>
        </is>
      </c>
      <c r="J8" s="6" t="inlineStr">
        <is>
          <t>End-2025 reporting response</t>
        </is>
      </c>
      <c r="K8" s="6" t="inlineStr">
        <is>
          <t>Links and supporting information</t>
        </is>
      </c>
      <c r="L8" s="21" t="inlineStr">
        <is>
          <t>Confirm end-2026 target status</t>
        </is>
      </c>
      <c r="M8" s="21" t="inlineStr">
        <is>
          <t>OPTION 1:  Target-level reporting (Column D)</t>
        </is>
      </c>
      <c r="N8" s="21" t="inlineStr">
        <is>
          <t>OPTION 2:  Indicator level reporting (Column E/F)</t>
        </is>
      </c>
      <c r="O8" s="21" t="inlineStr">
        <is>
          <t>Supporting information/comments</t>
        </is>
      </c>
      <c r="P8" s="21" t="inlineStr">
        <is>
          <t>Data source and limitations</t>
        </is>
      </c>
      <c r="Q8" s="21" t="inlineStr">
        <is>
          <t>Data owner confirms information is accurate</t>
        </is>
      </c>
      <c r="R8" s="21" t="inlineStr">
        <is>
          <t>Confirmed by (name, role, date)</t>
        </is>
      </c>
    </row>
    <row r="9">
      <c r="B9" s="22" t="inlineStr"/>
      <c r="C9" s="22" t="inlineStr"/>
      <c r="D9" s="22" t="inlineStr"/>
      <c r="E9" s="22" t="inlineStr"/>
      <c r="F9" s="22" t="inlineStr"/>
      <c r="G9" s="22" t="inlineStr"/>
      <c r="H9" s="22" t="inlineStr"/>
      <c r="I9" s="22" t="inlineStr"/>
      <c r="J9" s="22" t="inlineStr"/>
      <c r="K9" s="22" t="inlineStr"/>
      <c r="L9" s="22" t="inlineStr">
        <is>
          <t>(Met or exceeded; partially met; not met; not yet started)</t>
        </is>
      </c>
      <c r="M9" s="22" t="inlineStr">
        <is>
          <t>Provide further evidence of target status assessment in the form of:
A general update on activities in relation to the overarching target (Column D)</t>
        </is>
      </c>
      <c r="N9" s="22" t="inlineStr">
        <is>
          <t>Provide further evidence of target status assessment in the form of:
Data and commentary in direct response to the reporting request (Column F)</t>
        </is>
      </c>
      <c r="O9" s="22" t="inlineStr">
        <is>
          <t>Provide any additional information to support the target status assessment (e.g. links, images, rationale for selection of target status)</t>
        </is>
      </c>
      <c r="P9" s="22" t="inlineStr">
        <is>
          <t>Where did this information come from (system, report, survey, person)? Note any gaps or limitations.</t>
        </is>
      </c>
      <c r="Q9" s="22" t="inlineStr">
        <is>
          <t>Select 'Yes' to confirm the information provided is accurate and can be used for reporting</t>
        </is>
      </c>
      <c r="R9" s="22" t="inlineStr">
        <is>
          <t>Name, role and date of the person confirming</t>
        </is>
      </c>
    </row>
    <row r="10" ht="150" customHeight="1">
      <c r="B10" s="7" t="inlineStr">
        <is>
          <t>CL3(a)</t>
        </is>
      </c>
      <c r="C10" s="12" t="inlineStr">
        <is>
          <t>Climate leadership</t>
        </is>
      </c>
      <c r="D10" s="12" t="inlineStr">
        <is>
          <t>Reach and maintain high levels of climate-change resilience maturity</t>
        </is>
      </c>
      <c r="E10" s="12" t="inlineStr">
        <is>
          <t>Maturity assessment of the University’s preparedness for climate-related impacts and capability to respond, assessed across relevant organisational functions:
o	Governance and strategy
o	Health and safety
o	Business continuity
o	Emergency management and critical incidence management
o	Estate and buildings
o	Water management
o	Financial planning and reporting.</t>
        </is>
      </c>
      <c r="F10" s="8" t="inlineStr">
        <is>
          <t>In end-2025 reporting your area reported on the related SP2030 target 8a(i) and rated it 'Met or exceeded' (see Column J – click [+] above Columns I–K). Please build on this rather than repeating it, focusing on what is new in 2026.
Provide update of University maturity assesment. Include maturity ratings, key gaps and priority improvement actions.when available</t>
        </is>
      </c>
      <c r="G10" s="8" t="inlineStr">
        <is>
          <t>We will report the University's climate-change resilience maturity rating, key gaps and priority actions in the 2026 Sustainability Report (building on the Climate Change Preparedness Framework assessment reported in 2025).</t>
        </is>
      </c>
      <c r="H10" s="8" t="inlineStr">
        <is>
          <t>8a(i)</t>
        </is>
      </c>
      <c r="I10" s="8" t="inlineStr">
        <is>
          <t>Met or exceeded</t>
        </is>
      </c>
      <c r="J10" s="8" t="inlineStr">
        <is>
          <t>Review of University Risk 16 Climate Change was completed in Nov 2025, as part of the annual review cycle.
The review identified a positive trend, showing improved levels of climate‑change preparedness, with work underway to complete the end‑of‑2025 assessment.</t>
        </is>
      </c>
      <c r="K10" s="8" t="inlineStr">
        <is>
          <t>All University risks including Risk 16 Climate Change were presented to RMCC and ARC in Nov 25 for their oversight.
There will be a risk presentation of Risk 16 Climate Change at RMCC Meeting 1 in Feb 2026.</t>
        </is>
      </c>
      <c r="L10" s="8" t="n"/>
      <c r="M10" s="8" t="n"/>
      <c r="N10" s="8" t="n"/>
      <c r="O10" s="8" t="n"/>
      <c r="P10" s="8" t="n"/>
      <c r="Q10" s="8" t="n"/>
      <c r="R10" s="8" t="n"/>
    </row>
    <row r="11"/>
  </sheetData>
  <mergeCells count="3">
    <mergeCell ref="C7:G7"/>
    <mergeCell ref="L7:R7"/>
    <mergeCell ref="H7:K7"/>
  </mergeCells>
  <dataValidations count="2">
    <dataValidation sqref="L10" showDropDown="0" showInputMessage="0" showErrorMessage="0" allowBlank="1" errorTitle="Invalid entry" error="Please select from the dropdown" type="list">
      <formula1>=Lists!$B$3:$B$7</formula1>
    </dataValidation>
    <dataValidation sqref="Q10" showDropDown="0" showInputMessage="0" showErrorMessage="0" allowBlank="1" errorTitle="Invalid entry" error="Please select from the dropdown" type="list">
      <formula1>=Lists!$C$2:$C$4</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F298"/>
  <sheetViews>
    <sheetView showGridLines="0" workbookViewId="0">
      <pane xSplit="7" ySplit="10" topLeftCell="H11" activePane="bottomRight" state="frozen"/>
      <selection pane="topRight"/>
      <selection pane="bottomLeft"/>
      <selection pane="bottomRight" activeCell="A1" sqref="A1"/>
    </sheetView>
  </sheetViews>
  <sheetFormatPr baseColWidth="8" defaultRowHeight="15"/>
  <cols>
    <col hidden="1" width="13" customWidth="1" min="1" max="1"/>
    <col width="9" customWidth="1" min="2" max="2"/>
    <col width="16" customWidth="1" min="3" max="3"/>
    <col width="36" customWidth="1" min="4" max="4"/>
    <col width="36" customWidth="1" min="5" max="5"/>
    <col width="9" customWidth="1" min="6" max="6"/>
    <col width="3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s>
  <sheetData>
    <row r="1">
      <c r="A1" s="1" t="inlineStr">
        <is>
          <t>↑</t>
        </is>
      </c>
      <c r="B1" s="2" t="inlineStr">
        <is>
          <t>End-2026 target status assessment and reporting</t>
        </is>
      </c>
    </row>
    <row r="2">
      <c r="B2" s="3" t="inlineStr">
        <is>
          <t>A1. Data scoring summary tab</t>
        </is>
      </c>
    </row>
    <row r="4">
      <c r="C4" s="15" t="inlineStr">
        <is>
          <t>Description</t>
        </is>
      </c>
      <c r="D4" s="23" t="inlineStr">
        <is>
          <t>Pulls every unit's end-2026 response for each indicator from the Faculties and central-unit tabs (do not type in the grey cells). 'N/A' = not requested from that unit. Status is scored Met or exceeded = 3, Partially met = 2, Not met = 1, Not yet started = 0 (as SR25). Threshold status applies the SR25 final assessment rule: &gt;75% 'met' = Met or exceeded; 50–75% 'met' or 'partially met' = Partially met; otherwise Not met.</t>
        </is>
      </c>
    </row>
    <row r="5"/>
    <row r="6"/>
    <row r="9">
      <c r="H9" s="24" t="inlineStr">
        <is>
          <t>Faculty</t>
        </is>
      </c>
      <c r="I9" s="24" t="inlineStr">
        <is>
          <t>Faculty</t>
        </is>
      </c>
      <c r="J9" s="24" t="inlineStr">
        <is>
          <t>Faculty</t>
        </is>
      </c>
      <c r="K9" s="24" t="inlineStr">
        <is>
          <t>Faculty</t>
        </is>
      </c>
      <c r="L9" s="24" t="inlineStr">
        <is>
          <t>Central</t>
        </is>
      </c>
      <c r="M9" s="24" t="inlineStr">
        <is>
          <t>Central</t>
        </is>
      </c>
      <c r="N9" s="24" t="inlineStr">
        <is>
          <t>Central</t>
        </is>
      </c>
      <c r="O9" s="24" t="inlineStr">
        <is>
          <t>Central</t>
        </is>
      </c>
      <c r="P9" s="24" t="inlineStr">
        <is>
          <t>Central</t>
        </is>
      </c>
      <c r="Q9" s="24" t="inlineStr">
        <is>
          <t>Central</t>
        </is>
      </c>
      <c r="R9" s="24" t="inlineStr">
        <is>
          <t>Central</t>
        </is>
      </c>
      <c r="S9" s="24" t="inlineStr">
        <is>
          <t>Central</t>
        </is>
      </c>
    </row>
    <row r="10">
      <c r="B10" s="6" t="inlineStr">
        <is>
          <t>Ref.</t>
        </is>
      </c>
      <c r="C10" s="6" t="inlineStr">
        <is>
          <t>Priority area</t>
        </is>
      </c>
      <c r="D10" s="6" t="inlineStr">
        <is>
          <t>Indicator</t>
        </is>
      </c>
      <c r="E10" s="6" t="inlineStr">
        <is>
          <t>Reporting requirement</t>
        </is>
      </c>
      <c r="F10" s="6" t="inlineStr">
        <is>
          <t>Target code</t>
        </is>
      </c>
      <c r="G10" s="6" t="inlineStr">
        <is>
          <t>Target progress</t>
        </is>
      </c>
      <c r="H10" s="6" t="inlineStr">
        <is>
          <t>ABP</t>
        </is>
      </c>
      <c r="I10" s="6" t="inlineStr">
        <is>
          <t>ARTS</t>
        </is>
      </c>
      <c r="J10" s="6" t="inlineStr">
        <is>
          <t>FBE</t>
        </is>
      </c>
      <c r="K10" s="6" t="inlineStr">
        <is>
          <t>SCI</t>
        </is>
      </c>
      <c r="L10" s="6" t="inlineStr">
        <is>
          <t>CI&amp;S – Estate Planning &amp; Development</t>
        </is>
      </c>
      <c r="M10" s="6" t="inlineStr">
        <is>
          <t>CI&amp;S – Sustainability Strategy</t>
        </is>
      </c>
      <c r="N10" s="6" t="inlineStr">
        <is>
          <t>CFOG – Procurement</t>
        </is>
      </c>
      <c r="O10" s="6" t="inlineStr">
        <is>
          <t>CFOG – Treasury &amp; Investments</t>
        </is>
      </c>
      <c r="P10" s="6" t="inlineStr">
        <is>
          <t>ESG – Campus Operations &amp; Sustainability Delivery</t>
        </is>
      </c>
      <c r="Q10" s="6" t="inlineStr">
        <is>
          <t>CIOG – Responsible AI &amp; digital</t>
        </is>
      </c>
      <c r="R10" s="6" t="inlineStr">
        <is>
          <t>MRE – Research</t>
        </is>
      </c>
      <c r="S10" s="6" t="inlineStr">
        <is>
          <t>Legal &amp; Risk – Risk &amp; resilience</t>
        </is>
      </c>
      <c r="T10" s="6" t="n"/>
      <c r="U10" s="6" t="inlineStr">
        <is>
          <t>Requested, no response received</t>
        </is>
      </c>
      <c r="V10" s="6" t="inlineStr">
        <is>
          <t>Not yet started</t>
        </is>
      </c>
      <c r="W10" s="6" t="inlineStr">
        <is>
          <t>Not met</t>
        </is>
      </c>
      <c r="X10" s="6" t="inlineStr">
        <is>
          <t>Partially met</t>
        </is>
      </c>
      <c r="Y10" s="6" t="inlineStr">
        <is>
          <t>Met or exceeded</t>
        </is>
      </c>
      <c r="Z10" s="6" t="inlineStr">
        <is>
          <t>Total score</t>
        </is>
      </c>
      <c r="AA10" s="6" t="inlineStr">
        <is>
          <t>Total valid responses</t>
        </is>
      </c>
      <c r="AB10" s="6" t="inlineStr">
        <is>
          <t>Target score (average)</t>
        </is>
      </c>
      <c r="AC10" s="6" t="inlineStr">
        <is>
          <t>Target score (text)</t>
        </is>
      </c>
      <c r="AD10" s="6" t="inlineStr">
        <is>
          <t>% met</t>
        </is>
      </c>
      <c r="AE10" s="6" t="inlineStr">
        <is>
          <t>% met or partially met</t>
        </is>
      </c>
      <c r="AF10" s="6" t="inlineStr">
        <is>
          <t>Threshold status (SR25 rule)</t>
        </is>
      </c>
    </row>
    <row r="11">
      <c r="A11">
        <f>F11&amp;"|"&amp;G11</f>
        <v/>
      </c>
      <c r="B11" s="7" t="inlineStr">
        <is>
          <t>EE1(a)</t>
        </is>
      </c>
      <c r="C11" s="12" t="inlineStr">
        <is>
          <t>Exceptional education</t>
        </is>
      </c>
      <c r="D11" s="12" t="inlineStr">
        <is>
          <t>Evidence of innovative approaches to sustainability teaching and learning</t>
        </is>
      </c>
      <c r="E11" s="12" t="inlineStr">
        <is>
          <t>Please describe any innovative approaches used within your Faculty/Portfolio to embed sustainability in teaching and learning. This could include examples of subjects, curriculum design, pedagogies, assessment approaches or learning resources. Please provide links or supporting evidence where available.</t>
        </is>
      </c>
      <c r="F11" s="12" t="inlineStr">
        <is>
          <t>EE1(a)</t>
        </is>
      </c>
      <c r="G11" s="12" t="inlineStr">
        <is>
          <t>Confirm end-2026 target status</t>
        </is>
      </c>
      <c r="H11" s="25">
        <f>IFERROR(IF(INDEX('Faculties'!$L$10:$L$30,MATCH($F11,'Faculties'!$B$10:$B$30,0))="","Cell will autofill based on response",INDEX('Faculties'!$L$10:$L$30,MATCH($F11,'Faculties'!$B$10:$B$30,0))),"N/A")</f>
        <v/>
      </c>
      <c r="I11" s="25">
        <f>IFERROR(IF(INDEX('Faculties'!$L$37:$L$57,MATCH($F11,'Faculties'!$B$37:$B$57,0))="","Cell will autofill based on response",INDEX('Faculties'!$L$37:$L$57,MATCH($F11,'Faculties'!$B$37:$B$57,0))),"N/A")</f>
        <v/>
      </c>
      <c r="J11" s="25">
        <f>IFERROR(IF(INDEX('Faculties'!$L$64:$L$84,MATCH($F11,'Faculties'!$B$64:$B$84,0))="","Cell will autofill based on response",INDEX('Faculties'!$L$64:$L$84,MATCH($F11,'Faculties'!$B$64:$B$84,0))),"N/A")</f>
        <v/>
      </c>
      <c r="K11" s="25">
        <f>IFERROR(IF(INDEX('Faculties'!$L$91:$L$111,MATCH($F11,'Faculties'!$B$91:$B$111,0))="","Cell will autofill based on response",INDEX('Faculties'!$L$91:$L$111,MATCH($F11,'Faculties'!$B$91:$B$111,0))),"N/A")</f>
        <v/>
      </c>
      <c r="L11" s="25">
        <f>IFERROR(IF(INDEX('CI&amp;S'!$L$10:$L$15,MATCH($F11,'CI&amp;S'!$B$10:$B$15,0))="","Cell will autofill based on response",INDEX('CI&amp;S'!$L$10:$L$15,MATCH($F11,'CI&amp;S'!$B$10:$B$15,0))),"N/A")</f>
        <v/>
      </c>
      <c r="M11" s="25">
        <f>IFERROR(IF(INDEX('CI&amp;S'!$L$22:$L$39,MATCH($F11,'CI&amp;S'!$B$22:$B$39,0))="","Cell will autofill based on response",INDEX('CI&amp;S'!$L$22:$L$39,MATCH($F11,'CI&amp;S'!$B$22:$B$39,0))),"N/A")</f>
        <v/>
      </c>
      <c r="N11" s="25">
        <f>IFERROR(IF(INDEX('CFOG'!$L$10:$L$16,MATCH($F11,'CFOG'!$B$10:$B$16,0))="","Cell will autofill based on response",INDEX('CFOG'!$L$10:$L$16,MATCH($F11,'CFOG'!$B$10:$B$16,0))),"N/A")</f>
        <v/>
      </c>
      <c r="O11" s="25">
        <f>IFERROR(IF(INDEX('CFOG'!$L$23:$L$24,MATCH($F11,'CFOG'!$B$23:$B$24,0))="","Cell will autofill based on response",INDEX('CFOG'!$L$23:$L$24,MATCH($F11,'CFOG'!$B$23:$B$24,0))),"N/A")</f>
        <v/>
      </c>
      <c r="P11" s="25">
        <f>IFERROR(IF(INDEX('ESG'!$L$10:$L$17,MATCH($F11,'ESG'!$B$10:$B$17,0))="","Cell will autofill based on response",INDEX('ESG'!$L$10:$L$17,MATCH($F11,'ESG'!$B$10:$B$17,0))),"N/A")</f>
        <v/>
      </c>
      <c r="Q11" s="25">
        <f>IFERROR(IF(INDEX('CIOG'!$L$10:$L$14,MATCH($F11,'CIOG'!$B$10:$B$14,0))="","Cell will autofill based on response",INDEX('CIOG'!$L$10:$L$14,MATCH($F11,'CIOG'!$B$10:$B$14,0))),"N/A")</f>
        <v/>
      </c>
      <c r="R11" s="25">
        <f>IFERROR(IF(INDEX('MRE'!$L$10:$L$12,MATCH($F11,'MRE'!$B$10:$B$12,0))="","Cell will autofill based on response",INDEX('MRE'!$L$10:$L$12,MATCH($F11,'MRE'!$B$10:$B$12,0))),"N/A")</f>
        <v/>
      </c>
      <c r="S11" s="25">
        <f>IFERROR(IF(INDEX('L&amp;R'!$L$10:$L$11,MATCH($F11,'L&amp;R'!$B$10:$B$11,0))="","Cell will autofill based on response",INDEX('L&amp;R'!$L$10:$L$11,MATCH($F11,'L&amp;R'!$B$10:$B$11,0))),"N/A")</f>
        <v/>
      </c>
      <c r="U11" s="26">
        <f>COUNTIF($H11:$S11,"Cell will autofill based on response")</f>
        <v/>
      </c>
      <c r="V11" s="26">
        <f>COUNTIF($H11:$S11,"Not yet started")</f>
        <v/>
      </c>
      <c r="W11" s="26">
        <f>COUNTIF($H11:$S11,"Not met")</f>
        <v/>
      </c>
      <c r="X11" s="26">
        <f>COUNTIF($H11:$S11,"Partially met")</f>
        <v/>
      </c>
      <c r="Y11" s="26">
        <f>COUNTIF($H11:$S11,"Met or exceeded")</f>
        <v/>
      </c>
      <c r="Z11" s="26">
        <f>3*Y11+2*X11+W11</f>
        <v/>
      </c>
      <c r="AA11" s="26">
        <f>Y11+X11+W11+V11</f>
        <v/>
      </c>
      <c r="AB11" s="27">
        <f>IF(AA11&gt;0,Z11/AA11,"No valid responses to date")</f>
        <v/>
      </c>
      <c r="AC11" s="26">
        <f>IF(ISNUMBER(AB11),INDEX(Lists!$G$2:$G$5,MATCH(ROUND(AB11,0),Lists!$H$2:$H$5,0)),"")</f>
        <v/>
      </c>
      <c r="AD11" s="28">
        <f>IF(AA11&gt;0,Y11/AA11,"")</f>
        <v/>
      </c>
      <c r="AE11" s="28">
        <f>IF(AA11&gt;0,(Y11+X11)/AA11,"")</f>
        <v/>
      </c>
      <c r="AF11" s="26">
        <f>IF(AA11=0,"",IF(AD11&gt;0.75,"Met or exceeded",IF(AE11&gt;=0.5,"Partially met","Not met")))</f>
        <v/>
      </c>
    </row>
    <row r="12">
      <c r="A12">
        <f>F12&amp;"|"&amp;G12</f>
        <v/>
      </c>
      <c r="B12" s="29" t="inlineStr"/>
      <c r="C12" s="8" t="inlineStr"/>
      <c r="D12" s="8" t="inlineStr"/>
      <c r="E12" s="8" t="inlineStr"/>
      <c r="F12" s="8" t="inlineStr">
        <is>
          <t>EE1(a)</t>
        </is>
      </c>
      <c r="G12" s="8" t="inlineStr">
        <is>
          <t>OPTION 1:  Target-level reporting</t>
        </is>
      </c>
      <c r="H12" s="25">
        <f>IFERROR(IF(INDEX('Faculties'!$M$10:$M$30,MATCH($F12,'Faculties'!$B$10:$B$30,0))="","Cell will autofill based on response",INDEX('Faculties'!$M$10:$M$30,MATCH($F12,'Faculties'!$B$10:$B$30,0))),"N/A")</f>
        <v/>
      </c>
      <c r="I12" s="25">
        <f>IFERROR(IF(INDEX('Faculties'!$M$37:$M$57,MATCH($F12,'Faculties'!$B$37:$B$57,0))="","Cell will autofill based on response",INDEX('Faculties'!$M$37:$M$57,MATCH($F12,'Faculties'!$B$37:$B$57,0))),"N/A")</f>
        <v/>
      </c>
      <c r="J12" s="25">
        <f>IFERROR(IF(INDEX('Faculties'!$M$64:$M$84,MATCH($F12,'Faculties'!$B$64:$B$84,0))="","Cell will autofill based on response",INDEX('Faculties'!$M$64:$M$84,MATCH($F12,'Faculties'!$B$64:$B$84,0))),"N/A")</f>
        <v/>
      </c>
      <c r="K12" s="25">
        <f>IFERROR(IF(INDEX('Faculties'!$M$91:$M$111,MATCH($F12,'Faculties'!$B$91:$B$111,0))="","Cell will autofill based on response",INDEX('Faculties'!$M$91:$M$111,MATCH($F12,'Faculties'!$B$91:$B$111,0))),"N/A")</f>
        <v/>
      </c>
      <c r="L12" s="25">
        <f>IFERROR(IF(INDEX('CI&amp;S'!$M$10:$M$15,MATCH($F12,'CI&amp;S'!$B$10:$B$15,0))="","Cell will autofill based on response",INDEX('CI&amp;S'!$M$10:$M$15,MATCH($F12,'CI&amp;S'!$B$10:$B$15,0))),"N/A")</f>
        <v/>
      </c>
      <c r="M12" s="25">
        <f>IFERROR(IF(INDEX('CI&amp;S'!$M$22:$M$39,MATCH($F12,'CI&amp;S'!$B$22:$B$39,0))="","Cell will autofill based on response",INDEX('CI&amp;S'!$M$22:$M$39,MATCH($F12,'CI&amp;S'!$B$22:$B$39,0))),"N/A")</f>
        <v/>
      </c>
      <c r="N12" s="25">
        <f>IFERROR(IF(INDEX('CFOG'!$M$10:$M$16,MATCH($F12,'CFOG'!$B$10:$B$16,0))="","Cell will autofill based on response",INDEX('CFOG'!$M$10:$M$16,MATCH($F12,'CFOG'!$B$10:$B$16,0))),"N/A")</f>
        <v/>
      </c>
      <c r="O12" s="25">
        <f>IFERROR(IF(INDEX('CFOG'!$M$23:$M$24,MATCH($F12,'CFOG'!$B$23:$B$24,0))="","Cell will autofill based on response",INDEX('CFOG'!$M$23:$M$24,MATCH($F12,'CFOG'!$B$23:$B$24,0))),"N/A")</f>
        <v/>
      </c>
      <c r="P12" s="25">
        <f>IFERROR(IF(INDEX('ESG'!$M$10:$M$17,MATCH($F12,'ESG'!$B$10:$B$17,0))="","Cell will autofill based on response",INDEX('ESG'!$M$10:$M$17,MATCH($F12,'ESG'!$B$10:$B$17,0))),"N/A")</f>
        <v/>
      </c>
      <c r="Q12" s="25">
        <f>IFERROR(IF(INDEX('CIOG'!$M$10:$M$14,MATCH($F12,'CIOG'!$B$10:$B$14,0))="","Cell will autofill based on response",INDEX('CIOG'!$M$10:$M$14,MATCH($F12,'CIOG'!$B$10:$B$14,0))),"N/A")</f>
        <v/>
      </c>
      <c r="R12" s="25">
        <f>IFERROR(IF(INDEX('MRE'!$M$10:$M$12,MATCH($F12,'MRE'!$B$10:$B$12,0))="","Cell will autofill based on response",INDEX('MRE'!$M$10:$M$12,MATCH($F12,'MRE'!$B$10:$B$12,0))),"N/A")</f>
        <v/>
      </c>
      <c r="S12" s="25">
        <f>IFERROR(IF(INDEX('L&amp;R'!$M$10:$M$11,MATCH($F12,'L&amp;R'!$B$10:$B$11,0))="","Cell will autofill based on response",INDEX('L&amp;R'!$M$10:$M$11,MATCH($F12,'L&amp;R'!$B$10:$B$11,0))),"N/A")</f>
        <v/>
      </c>
    </row>
    <row r="13">
      <c r="A13">
        <f>F13&amp;"|"&amp;G13</f>
        <v/>
      </c>
      <c r="B13" s="29" t="inlineStr"/>
      <c r="C13" s="8" t="inlineStr"/>
      <c r="D13" s="8" t="inlineStr"/>
      <c r="E13" s="8" t="inlineStr"/>
      <c r="F13" s="8" t="inlineStr">
        <is>
          <t>EE1(a)</t>
        </is>
      </c>
      <c r="G13" s="8" t="inlineStr">
        <is>
          <t>OPTION 2:  Indicator level reporting</t>
        </is>
      </c>
      <c r="H13" s="25">
        <f>IFERROR(IF(INDEX('Faculties'!$N$10:$N$30,MATCH($F13,'Faculties'!$B$10:$B$30,0))="","Cell will autofill based on response",INDEX('Faculties'!$N$10:$N$30,MATCH($F13,'Faculties'!$B$10:$B$30,0))),"N/A")</f>
        <v/>
      </c>
      <c r="I13" s="25">
        <f>IFERROR(IF(INDEX('Faculties'!$N$37:$N$57,MATCH($F13,'Faculties'!$B$37:$B$57,0))="","Cell will autofill based on response",INDEX('Faculties'!$N$37:$N$57,MATCH($F13,'Faculties'!$B$37:$B$57,0))),"N/A")</f>
        <v/>
      </c>
      <c r="J13" s="25">
        <f>IFERROR(IF(INDEX('Faculties'!$N$64:$N$84,MATCH($F13,'Faculties'!$B$64:$B$84,0))="","Cell will autofill based on response",INDEX('Faculties'!$N$64:$N$84,MATCH($F13,'Faculties'!$B$64:$B$84,0))),"N/A")</f>
        <v/>
      </c>
      <c r="K13" s="25">
        <f>IFERROR(IF(INDEX('Faculties'!$N$91:$N$111,MATCH($F13,'Faculties'!$B$91:$B$111,0))="","Cell will autofill based on response",INDEX('Faculties'!$N$91:$N$111,MATCH($F13,'Faculties'!$B$91:$B$111,0))),"N/A")</f>
        <v/>
      </c>
      <c r="L13" s="25">
        <f>IFERROR(IF(INDEX('CI&amp;S'!$N$10:$N$15,MATCH($F13,'CI&amp;S'!$B$10:$B$15,0))="","Cell will autofill based on response",INDEX('CI&amp;S'!$N$10:$N$15,MATCH($F13,'CI&amp;S'!$B$10:$B$15,0))),"N/A")</f>
        <v/>
      </c>
      <c r="M13" s="25">
        <f>IFERROR(IF(INDEX('CI&amp;S'!$N$22:$N$39,MATCH($F13,'CI&amp;S'!$B$22:$B$39,0))="","Cell will autofill based on response",INDEX('CI&amp;S'!$N$22:$N$39,MATCH($F13,'CI&amp;S'!$B$22:$B$39,0))),"N/A")</f>
        <v/>
      </c>
      <c r="N13" s="25">
        <f>IFERROR(IF(INDEX('CFOG'!$N$10:$N$16,MATCH($F13,'CFOG'!$B$10:$B$16,0))="","Cell will autofill based on response",INDEX('CFOG'!$N$10:$N$16,MATCH($F13,'CFOG'!$B$10:$B$16,0))),"N/A")</f>
        <v/>
      </c>
      <c r="O13" s="25">
        <f>IFERROR(IF(INDEX('CFOG'!$N$23:$N$24,MATCH($F13,'CFOG'!$B$23:$B$24,0))="","Cell will autofill based on response",INDEX('CFOG'!$N$23:$N$24,MATCH($F13,'CFOG'!$B$23:$B$24,0))),"N/A")</f>
        <v/>
      </c>
      <c r="P13" s="25">
        <f>IFERROR(IF(INDEX('ESG'!$N$10:$N$17,MATCH($F13,'ESG'!$B$10:$B$17,0))="","Cell will autofill based on response",INDEX('ESG'!$N$10:$N$17,MATCH($F13,'ESG'!$B$10:$B$17,0))),"N/A")</f>
        <v/>
      </c>
      <c r="Q13" s="25">
        <f>IFERROR(IF(INDEX('CIOG'!$N$10:$N$14,MATCH($F13,'CIOG'!$B$10:$B$14,0))="","Cell will autofill based on response",INDEX('CIOG'!$N$10:$N$14,MATCH($F13,'CIOG'!$B$10:$B$14,0))),"N/A")</f>
        <v/>
      </c>
      <c r="R13" s="25">
        <f>IFERROR(IF(INDEX('MRE'!$N$10:$N$12,MATCH($F13,'MRE'!$B$10:$B$12,0))="","Cell will autofill based on response",INDEX('MRE'!$N$10:$N$12,MATCH($F13,'MRE'!$B$10:$B$12,0))),"N/A")</f>
        <v/>
      </c>
      <c r="S13" s="25">
        <f>IFERROR(IF(INDEX('L&amp;R'!$N$10:$N$11,MATCH($F13,'L&amp;R'!$B$10:$B$11,0))="","Cell will autofill based on response",INDEX('L&amp;R'!$N$10:$N$11,MATCH($F13,'L&amp;R'!$B$10:$B$11,0))),"N/A")</f>
        <v/>
      </c>
    </row>
    <row r="14">
      <c r="A14">
        <f>F14&amp;"|"&amp;G14</f>
        <v/>
      </c>
      <c r="B14" s="29" t="inlineStr"/>
      <c r="C14" s="8" t="inlineStr"/>
      <c r="D14" s="8" t="inlineStr"/>
      <c r="E14" s="8" t="inlineStr"/>
      <c r="F14" s="8" t="inlineStr">
        <is>
          <t>EE1(a)</t>
        </is>
      </c>
      <c r="G14" s="8" t="inlineStr">
        <is>
          <t>Supporting information/comments</t>
        </is>
      </c>
      <c r="H14" s="25">
        <f>IFERROR(IF(INDEX('Faculties'!$O$10:$O$30,MATCH($F14,'Faculties'!$B$10:$B$30,0))="","Cell will autofill based on response",INDEX('Faculties'!$O$10:$O$30,MATCH($F14,'Faculties'!$B$10:$B$30,0))),"N/A")</f>
        <v/>
      </c>
      <c r="I14" s="25">
        <f>IFERROR(IF(INDEX('Faculties'!$O$37:$O$57,MATCH($F14,'Faculties'!$B$37:$B$57,0))="","Cell will autofill based on response",INDEX('Faculties'!$O$37:$O$57,MATCH($F14,'Faculties'!$B$37:$B$57,0))),"N/A")</f>
        <v/>
      </c>
      <c r="J14" s="25">
        <f>IFERROR(IF(INDEX('Faculties'!$O$64:$O$84,MATCH($F14,'Faculties'!$B$64:$B$84,0))="","Cell will autofill based on response",INDEX('Faculties'!$O$64:$O$84,MATCH($F14,'Faculties'!$B$64:$B$84,0))),"N/A")</f>
        <v/>
      </c>
      <c r="K14" s="25">
        <f>IFERROR(IF(INDEX('Faculties'!$O$91:$O$111,MATCH($F14,'Faculties'!$B$91:$B$111,0))="","Cell will autofill based on response",INDEX('Faculties'!$O$91:$O$111,MATCH($F14,'Faculties'!$B$91:$B$111,0))),"N/A")</f>
        <v/>
      </c>
      <c r="L14" s="25">
        <f>IFERROR(IF(INDEX('CI&amp;S'!$O$10:$O$15,MATCH($F14,'CI&amp;S'!$B$10:$B$15,0))="","Cell will autofill based on response",INDEX('CI&amp;S'!$O$10:$O$15,MATCH($F14,'CI&amp;S'!$B$10:$B$15,0))),"N/A")</f>
        <v/>
      </c>
      <c r="M14" s="25">
        <f>IFERROR(IF(INDEX('CI&amp;S'!$O$22:$O$39,MATCH($F14,'CI&amp;S'!$B$22:$B$39,0))="","Cell will autofill based on response",INDEX('CI&amp;S'!$O$22:$O$39,MATCH($F14,'CI&amp;S'!$B$22:$B$39,0))),"N/A")</f>
        <v/>
      </c>
      <c r="N14" s="25">
        <f>IFERROR(IF(INDEX('CFOG'!$O$10:$O$16,MATCH($F14,'CFOG'!$B$10:$B$16,0))="","Cell will autofill based on response",INDEX('CFOG'!$O$10:$O$16,MATCH($F14,'CFOG'!$B$10:$B$16,0))),"N/A")</f>
        <v/>
      </c>
      <c r="O14" s="25">
        <f>IFERROR(IF(INDEX('CFOG'!$O$23:$O$24,MATCH($F14,'CFOG'!$B$23:$B$24,0))="","Cell will autofill based on response",INDEX('CFOG'!$O$23:$O$24,MATCH($F14,'CFOG'!$B$23:$B$24,0))),"N/A")</f>
        <v/>
      </c>
      <c r="P14" s="25">
        <f>IFERROR(IF(INDEX('ESG'!$O$10:$O$17,MATCH($F14,'ESG'!$B$10:$B$17,0))="","Cell will autofill based on response",INDEX('ESG'!$O$10:$O$17,MATCH($F14,'ESG'!$B$10:$B$17,0))),"N/A")</f>
        <v/>
      </c>
      <c r="Q14" s="25">
        <f>IFERROR(IF(INDEX('CIOG'!$O$10:$O$14,MATCH($F14,'CIOG'!$B$10:$B$14,0))="","Cell will autofill based on response",INDEX('CIOG'!$O$10:$O$14,MATCH($F14,'CIOG'!$B$10:$B$14,0))),"N/A")</f>
        <v/>
      </c>
      <c r="R14" s="25">
        <f>IFERROR(IF(INDEX('MRE'!$O$10:$O$12,MATCH($F14,'MRE'!$B$10:$B$12,0))="","Cell will autofill based on response",INDEX('MRE'!$O$10:$O$12,MATCH($F14,'MRE'!$B$10:$B$12,0))),"N/A")</f>
        <v/>
      </c>
      <c r="S14" s="25">
        <f>IFERROR(IF(INDEX('L&amp;R'!$O$10:$O$11,MATCH($F14,'L&amp;R'!$B$10:$B$11,0))="","Cell will autofill based on response",INDEX('L&amp;R'!$O$10:$O$11,MATCH($F14,'L&amp;R'!$B$10:$B$11,0))),"N/A")</f>
        <v/>
      </c>
    </row>
    <row r="15">
      <c r="A15">
        <f>F15&amp;"|"&amp;G15</f>
        <v/>
      </c>
      <c r="B15" s="29" t="inlineStr"/>
      <c r="C15" s="8" t="inlineStr"/>
      <c r="D15" s="8" t="inlineStr"/>
      <c r="E15" s="8" t="inlineStr"/>
      <c r="F15" s="8" t="inlineStr">
        <is>
          <t>EE1(a)</t>
        </is>
      </c>
      <c r="G15" s="8" t="inlineStr">
        <is>
          <t>Data source and limitations</t>
        </is>
      </c>
      <c r="H15" s="25">
        <f>IFERROR(IF(INDEX('Faculties'!$P$10:$P$30,MATCH($F15,'Faculties'!$B$10:$B$30,0))="","Cell will autofill based on response",INDEX('Faculties'!$P$10:$P$30,MATCH($F15,'Faculties'!$B$10:$B$30,0))),"N/A")</f>
        <v/>
      </c>
      <c r="I15" s="25">
        <f>IFERROR(IF(INDEX('Faculties'!$P$37:$P$57,MATCH($F15,'Faculties'!$B$37:$B$57,0))="","Cell will autofill based on response",INDEX('Faculties'!$P$37:$P$57,MATCH($F15,'Faculties'!$B$37:$B$57,0))),"N/A")</f>
        <v/>
      </c>
      <c r="J15" s="25">
        <f>IFERROR(IF(INDEX('Faculties'!$P$64:$P$84,MATCH($F15,'Faculties'!$B$64:$B$84,0))="","Cell will autofill based on response",INDEX('Faculties'!$P$64:$P$84,MATCH($F15,'Faculties'!$B$64:$B$84,0))),"N/A")</f>
        <v/>
      </c>
      <c r="K15" s="25">
        <f>IFERROR(IF(INDEX('Faculties'!$P$91:$P$111,MATCH($F15,'Faculties'!$B$91:$B$111,0))="","Cell will autofill based on response",INDEX('Faculties'!$P$91:$P$111,MATCH($F15,'Faculties'!$B$91:$B$111,0))),"N/A")</f>
        <v/>
      </c>
      <c r="L15" s="25">
        <f>IFERROR(IF(INDEX('CI&amp;S'!$P$10:$P$15,MATCH($F15,'CI&amp;S'!$B$10:$B$15,0))="","Cell will autofill based on response",INDEX('CI&amp;S'!$P$10:$P$15,MATCH($F15,'CI&amp;S'!$B$10:$B$15,0))),"N/A")</f>
        <v/>
      </c>
      <c r="M15" s="25">
        <f>IFERROR(IF(INDEX('CI&amp;S'!$P$22:$P$39,MATCH($F15,'CI&amp;S'!$B$22:$B$39,0))="","Cell will autofill based on response",INDEX('CI&amp;S'!$P$22:$P$39,MATCH($F15,'CI&amp;S'!$B$22:$B$39,0))),"N/A")</f>
        <v/>
      </c>
      <c r="N15" s="25">
        <f>IFERROR(IF(INDEX('CFOG'!$P$10:$P$16,MATCH($F15,'CFOG'!$B$10:$B$16,0))="","Cell will autofill based on response",INDEX('CFOG'!$P$10:$P$16,MATCH($F15,'CFOG'!$B$10:$B$16,0))),"N/A")</f>
        <v/>
      </c>
      <c r="O15" s="25">
        <f>IFERROR(IF(INDEX('CFOG'!$P$23:$P$24,MATCH($F15,'CFOG'!$B$23:$B$24,0))="","Cell will autofill based on response",INDEX('CFOG'!$P$23:$P$24,MATCH($F15,'CFOG'!$B$23:$B$24,0))),"N/A")</f>
        <v/>
      </c>
      <c r="P15" s="25">
        <f>IFERROR(IF(INDEX('ESG'!$P$10:$P$17,MATCH($F15,'ESG'!$B$10:$B$17,0))="","Cell will autofill based on response",INDEX('ESG'!$P$10:$P$17,MATCH($F15,'ESG'!$B$10:$B$17,0))),"N/A")</f>
        <v/>
      </c>
      <c r="Q15" s="25">
        <f>IFERROR(IF(INDEX('CIOG'!$P$10:$P$14,MATCH($F15,'CIOG'!$B$10:$B$14,0))="","Cell will autofill based on response",INDEX('CIOG'!$P$10:$P$14,MATCH($F15,'CIOG'!$B$10:$B$14,0))),"N/A")</f>
        <v/>
      </c>
      <c r="R15" s="25">
        <f>IFERROR(IF(INDEX('MRE'!$P$10:$P$12,MATCH($F15,'MRE'!$B$10:$B$12,0))="","Cell will autofill based on response",INDEX('MRE'!$P$10:$P$12,MATCH($F15,'MRE'!$B$10:$B$12,0))),"N/A")</f>
        <v/>
      </c>
      <c r="S15" s="25">
        <f>IFERROR(IF(INDEX('L&amp;R'!$P$10:$P$11,MATCH($F15,'L&amp;R'!$B$10:$B$11,0))="","Cell will autofill based on response",INDEX('L&amp;R'!$P$10:$P$11,MATCH($F15,'L&amp;R'!$B$10:$B$11,0))),"N/A")</f>
        <v/>
      </c>
    </row>
    <row r="16">
      <c r="A16">
        <f>F16&amp;"|"&amp;G16</f>
        <v/>
      </c>
      <c r="B16" s="29" t="inlineStr"/>
      <c r="C16" s="8" t="inlineStr"/>
      <c r="D16" s="8" t="inlineStr"/>
      <c r="E16" s="8" t="inlineStr"/>
      <c r="F16" s="8" t="inlineStr">
        <is>
          <t>EE1(a)</t>
        </is>
      </c>
      <c r="G16" s="8" t="inlineStr">
        <is>
          <t>Data owner confirms</t>
        </is>
      </c>
      <c r="H16" s="25">
        <f>IFERROR(IF(INDEX('Faculties'!$Q$10:$Q$30,MATCH($F16,'Faculties'!$B$10:$B$30,0))="","Cell will autofill based on response",INDEX('Faculties'!$Q$10:$Q$30,MATCH($F16,'Faculties'!$B$10:$B$30,0))),"N/A")</f>
        <v/>
      </c>
      <c r="I16" s="25">
        <f>IFERROR(IF(INDEX('Faculties'!$Q$37:$Q$57,MATCH($F16,'Faculties'!$B$37:$B$57,0))="","Cell will autofill based on response",INDEX('Faculties'!$Q$37:$Q$57,MATCH($F16,'Faculties'!$B$37:$B$57,0))),"N/A")</f>
        <v/>
      </c>
      <c r="J16" s="25">
        <f>IFERROR(IF(INDEX('Faculties'!$Q$64:$Q$84,MATCH($F16,'Faculties'!$B$64:$B$84,0))="","Cell will autofill based on response",INDEX('Faculties'!$Q$64:$Q$84,MATCH($F16,'Faculties'!$B$64:$B$84,0))),"N/A")</f>
        <v/>
      </c>
      <c r="K16" s="25">
        <f>IFERROR(IF(INDEX('Faculties'!$Q$91:$Q$111,MATCH($F16,'Faculties'!$B$91:$B$111,0))="","Cell will autofill based on response",INDEX('Faculties'!$Q$91:$Q$111,MATCH($F16,'Faculties'!$B$91:$B$111,0))),"N/A")</f>
        <v/>
      </c>
      <c r="L16" s="25">
        <f>IFERROR(IF(INDEX('CI&amp;S'!$Q$10:$Q$15,MATCH($F16,'CI&amp;S'!$B$10:$B$15,0))="","Cell will autofill based on response",INDEX('CI&amp;S'!$Q$10:$Q$15,MATCH($F16,'CI&amp;S'!$B$10:$B$15,0))),"N/A")</f>
        <v/>
      </c>
      <c r="M16" s="25">
        <f>IFERROR(IF(INDEX('CI&amp;S'!$Q$22:$Q$39,MATCH($F16,'CI&amp;S'!$B$22:$B$39,0))="","Cell will autofill based on response",INDEX('CI&amp;S'!$Q$22:$Q$39,MATCH($F16,'CI&amp;S'!$B$22:$B$39,0))),"N/A")</f>
        <v/>
      </c>
      <c r="N16" s="25">
        <f>IFERROR(IF(INDEX('CFOG'!$Q$10:$Q$16,MATCH($F16,'CFOG'!$B$10:$B$16,0))="","Cell will autofill based on response",INDEX('CFOG'!$Q$10:$Q$16,MATCH($F16,'CFOG'!$B$10:$B$16,0))),"N/A")</f>
        <v/>
      </c>
      <c r="O16" s="25">
        <f>IFERROR(IF(INDEX('CFOG'!$Q$23:$Q$24,MATCH($F16,'CFOG'!$B$23:$B$24,0))="","Cell will autofill based on response",INDEX('CFOG'!$Q$23:$Q$24,MATCH($F16,'CFOG'!$B$23:$B$24,0))),"N/A")</f>
        <v/>
      </c>
      <c r="P16" s="25">
        <f>IFERROR(IF(INDEX('ESG'!$Q$10:$Q$17,MATCH($F16,'ESG'!$B$10:$B$17,0))="","Cell will autofill based on response",INDEX('ESG'!$Q$10:$Q$17,MATCH($F16,'ESG'!$B$10:$B$17,0))),"N/A")</f>
        <v/>
      </c>
      <c r="Q16" s="25">
        <f>IFERROR(IF(INDEX('CIOG'!$Q$10:$Q$14,MATCH($F16,'CIOG'!$B$10:$B$14,0))="","Cell will autofill based on response",INDEX('CIOG'!$Q$10:$Q$14,MATCH($F16,'CIOG'!$B$10:$B$14,0))),"N/A")</f>
        <v/>
      </c>
      <c r="R16" s="25">
        <f>IFERROR(IF(INDEX('MRE'!$Q$10:$Q$12,MATCH($F16,'MRE'!$B$10:$B$12,0))="","Cell will autofill based on response",INDEX('MRE'!$Q$10:$Q$12,MATCH($F16,'MRE'!$B$10:$B$12,0))),"N/A")</f>
        <v/>
      </c>
      <c r="S16" s="25">
        <f>IFERROR(IF(INDEX('L&amp;R'!$Q$10:$Q$11,MATCH($F16,'L&amp;R'!$B$10:$B$11,0))="","Cell will autofill based on response",INDEX('L&amp;R'!$Q$10:$Q$11,MATCH($F16,'L&amp;R'!$B$10:$B$11,0))),"N/A")</f>
        <v/>
      </c>
    </row>
    <row r="17">
      <c r="A17">
        <f>F17&amp;"|"&amp;G17</f>
        <v/>
      </c>
      <c r="B17" s="7" t="inlineStr">
        <is>
          <t>EE1(b)</t>
        </is>
      </c>
      <c r="C17" s="12" t="inlineStr">
        <is>
          <t>Exceptional education</t>
        </is>
      </c>
      <c r="D17" s="12" t="inlineStr">
        <is>
          <t>Pilots of possible approaches for understanding and developing students’ sustainability self-efficacy</t>
        </is>
      </c>
      <c r="E17" s="12" t="inlineStr">
        <is>
          <t>Please describe any pilots or trials undertaken within your Faculty/Portfolio to understand or strengthen students’ sustainability self-efficacy. This could include the approach used, participating cohorts, what was assessed or learned, and any planned next steps.</t>
        </is>
      </c>
      <c r="F17" s="12" t="inlineStr">
        <is>
          <t>EE1(b)</t>
        </is>
      </c>
      <c r="G17" s="12" t="inlineStr">
        <is>
          <t>Confirm end-2026 target status</t>
        </is>
      </c>
      <c r="H17" s="25">
        <f>IFERROR(IF(INDEX('Faculties'!$L$10:$L$30,MATCH($F17,'Faculties'!$B$10:$B$30,0))="","Cell will autofill based on response",INDEX('Faculties'!$L$10:$L$30,MATCH($F17,'Faculties'!$B$10:$B$30,0))),"N/A")</f>
        <v/>
      </c>
      <c r="I17" s="25">
        <f>IFERROR(IF(INDEX('Faculties'!$L$37:$L$57,MATCH($F17,'Faculties'!$B$37:$B$57,0))="","Cell will autofill based on response",INDEX('Faculties'!$L$37:$L$57,MATCH($F17,'Faculties'!$B$37:$B$57,0))),"N/A")</f>
        <v/>
      </c>
      <c r="J17" s="25">
        <f>IFERROR(IF(INDEX('Faculties'!$L$64:$L$84,MATCH($F17,'Faculties'!$B$64:$B$84,0))="","Cell will autofill based on response",INDEX('Faculties'!$L$64:$L$84,MATCH($F17,'Faculties'!$B$64:$B$84,0))),"N/A")</f>
        <v/>
      </c>
      <c r="K17" s="25">
        <f>IFERROR(IF(INDEX('Faculties'!$L$91:$L$111,MATCH($F17,'Faculties'!$B$91:$B$111,0))="","Cell will autofill based on response",INDEX('Faculties'!$L$91:$L$111,MATCH($F17,'Faculties'!$B$91:$B$111,0))),"N/A")</f>
        <v/>
      </c>
      <c r="L17" s="25">
        <f>IFERROR(IF(INDEX('CI&amp;S'!$L$10:$L$15,MATCH($F17,'CI&amp;S'!$B$10:$B$15,0))="","Cell will autofill based on response",INDEX('CI&amp;S'!$L$10:$L$15,MATCH($F17,'CI&amp;S'!$B$10:$B$15,0))),"N/A")</f>
        <v/>
      </c>
      <c r="M17" s="25">
        <f>IFERROR(IF(INDEX('CI&amp;S'!$L$22:$L$39,MATCH($F17,'CI&amp;S'!$B$22:$B$39,0))="","Cell will autofill based on response",INDEX('CI&amp;S'!$L$22:$L$39,MATCH($F17,'CI&amp;S'!$B$22:$B$39,0))),"N/A")</f>
        <v/>
      </c>
      <c r="N17" s="25">
        <f>IFERROR(IF(INDEX('CFOG'!$L$10:$L$16,MATCH($F17,'CFOG'!$B$10:$B$16,0))="","Cell will autofill based on response",INDEX('CFOG'!$L$10:$L$16,MATCH($F17,'CFOG'!$B$10:$B$16,0))),"N/A")</f>
        <v/>
      </c>
      <c r="O17" s="25">
        <f>IFERROR(IF(INDEX('CFOG'!$L$23:$L$24,MATCH($F17,'CFOG'!$B$23:$B$24,0))="","Cell will autofill based on response",INDEX('CFOG'!$L$23:$L$24,MATCH($F17,'CFOG'!$B$23:$B$24,0))),"N/A")</f>
        <v/>
      </c>
      <c r="P17" s="25">
        <f>IFERROR(IF(INDEX('ESG'!$L$10:$L$17,MATCH($F17,'ESG'!$B$10:$B$17,0))="","Cell will autofill based on response",INDEX('ESG'!$L$10:$L$17,MATCH($F17,'ESG'!$B$10:$B$17,0))),"N/A")</f>
        <v/>
      </c>
      <c r="Q17" s="25">
        <f>IFERROR(IF(INDEX('CIOG'!$L$10:$L$14,MATCH($F17,'CIOG'!$B$10:$B$14,0))="","Cell will autofill based on response",INDEX('CIOG'!$L$10:$L$14,MATCH($F17,'CIOG'!$B$10:$B$14,0))),"N/A")</f>
        <v/>
      </c>
      <c r="R17" s="25">
        <f>IFERROR(IF(INDEX('MRE'!$L$10:$L$12,MATCH($F17,'MRE'!$B$10:$B$12,0))="","Cell will autofill based on response",INDEX('MRE'!$L$10:$L$12,MATCH($F17,'MRE'!$B$10:$B$12,0))),"N/A")</f>
        <v/>
      </c>
      <c r="S17" s="25">
        <f>IFERROR(IF(INDEX('L&amp;R'!$L$10:$L$11,MATCH($F17,'L&amp;R'!$B$10:$B$11,0))="","Cell will autofill based on response",INDEX('L&amp;R'!$L$10:$L$11,MATCH($F17,'L&amp;R'!$B$10:$B$11,0))),"N/A")</f>
        <v/>
      </c>
      <c r="U17" s="26">
        <f>COUNTIF($H17:$S17,"Cell will autofill based on response")</f>
        <v/>
      </c>
      <c r="V17" s="26">
        <f>COUNTIF($H17:$S17,"Not yet started")</f>
        <v/>
      </c>
      <c r="W17" s="26">
        <f>COUNTIF($H17:$S17,"Not met")</f>
        <v/>
      </c>
      <c r="X17" s="26">
        <f>COUNTIF($H17:$S17,"Partially met")</f>
        <v/>
      </c>
      <c r="Y17" s="26">
        <f>COUNTIF($H17:$S17,"Met or exceeded")</f>
        <v/>
      </c>
      <c r="Z17" s="26">
        <f>3*Y17+2*X17+W17</f>
        <v/>
      </c>
      <c r="AA17" s="26">
        <f>Y17+X17+W17+V17</f>
        <v/>
      </c>
      <c r="AB17" s="27">
        <f>IF(AA17&gt;0,Z17/AA17,"No valid responses to date")</f>
        <v/>
      </c>
      <c r="AC17" s="26">
        <f>IF(ISNUMBER(AB17),INDEX(Lists!$G$2:$G$5,MATCH(ROUND(AB17,0),Lists!$H$2:$H$5,0)),"")</f>
        <v/>
      </c>
      <c r="AD17" s="28">
        <f>IF(AA17&gt;0,Y17/AA17,"")</f>
        <v/>
      </c>
      <c r="AE17" s="28">
        <f>IF(AA17&gt;0,(Y17+X17)/AA17,"")</f>
        <v/>
      </c>
      <c r="AF17" s="26">
        <f>IF(AA17=0,"",IF(AD17&gt;0.75,"Met or exceeded",IF(AE17&gt;=0.5,"Partially met","Not met")))</f>
        <v/>
      </c>
    </row>
    <row r="18">
      <c r="A18">
        <f>F18&amp;"|"&amp;G18</f>
        <v/>
      </c>
      <c r="B18" s="29" t="inlineStr"/>
      <c r="C18" s="8" t="inlineStr"/>
      <c r="D18" s="8" t="inlineStr"/>
      <c r="E18" s="8" t="inlineStr"/>
      <c r="F18" s="8" t="inlineStr">
        <is>
          <t>EE1(b)</t>
        </is>
      </c>
      <c r="G18" s="8" t="inlineStr">
        <is>
          <t>OPTION 1:  Target-level reporting</t>
        </is>
      </c>
      <c r="H18" s="25">
        <f>IFERROR(IF(INDEX('Faculties'!$M$10:$M$30,MATCH($F18,'Faculties'!$B$10:$B$30,0))="","Cell will autofill based on response",INDEX('Faculties'!$M$10:$M$30,MATCH($F18,'Faculties'!$B$10:$B$30,0))),"N/A")</f>
        <v/>
      </c>
      <c r="I18" s="25">
        <f>IFERROR(IF(INDEX('Faculties'!$M$37:$M$57,MATCH($F18,'Faculties'!$B$37:$B$57,0))="","Cell will autofill based on response",INDEX('Faculties'!$M$37:$M$57,MATCH($F18,'Faculties'!$B$37:$B$57,0))),"N/A")</f>
        <v/>
      </c>
      <c r="J18" s="25">
        <f>IFERROR(IF(INDEX('Faculties'!$M$64:$M$84,MATCH($F18,'Faculties'!$B$64:$B$84,0))="","Cell will autofill based on response",INDEX('Faculties'!$M$64:$M$84,MATCH($F18,'Faculties'!$B$64:$B$84,0))),"N/A")</f>
        <v/>
      </c>
      <c r="K18" s="25">
        <f>IFERROR(IF(INDEX('Faculties'!$M$91:$M$111,MATCH($F18,'Faculties'!$B$91:$B$111,0))="","Cell will autofill based on response",INDEX('Faculties'!$M$91:$M$111,MATCH($F18,'Faculties'!$B$91:$B$111,0))),"N/A")</f>
        <v/>
      </c>
      <c r="L18" s="25">
        <f>IFERROR(IF(INDEX('CI&amp;S'!$M$10:$M$15,MATCH($F18,'CI&amp;S'!$B$10:$B$15,0))="","Cell will autofill based on response",INDEX('CI&amp;S'!$M$10:$M$15,MATCH($F18,'CI&amp;S'!$B$10:$B$15,0))),"N/A")</f>
        <v/>
      </c>
      <c r="M18" s="25">
        <f>IFERROR(IF(INDEX('CI&amp;S'!$M$22:$M$39,MATCH($F18,'CI&amp;S'!$B$22:$B$39,0))="","Cell will autofill based on response",INDEX('CI&amp;S'!$M$22:$M$39,MATCH($F18,'CI&amp;S'!$B$22:$B$39,0))),"N/A")</f>
        <v/>
      </c>
      <c r="N18" s="25">
        <f>IFERROR(IF(INDEX('CFOG'!$M$10:$M$16,MATCH($F18,'CFOG'!$B$10:$B$16,0))="","Cell will autofill based on response",INDEX('CFOG'!$M$10:$M$16,MATCH($F18,'CFOG'!$B$10:$B$16,0))),"N/A")</f>
        <v/>
      </c>
      <c r="O18" s="25">
        <f>IFERROR(IF(INDEX('CFOG'!$M$23:$M$24,MATCH($F18,'CFOG'!$B$23:$B$24,0))="","Cell will autofill based on response",INDEX('CFOG'!$M$23:$M$24,MATCH($F18,'CFOG'!$B$23:$B$24,0))),"N/A")</f>
        <v/>
      </c>
      <c r="P18" s="25">
        <f>IFERROR(IF(INDEX('ESG'!$M$10:$M$17,MATCH($F18,'ESG'!$B$10:$B$17,0))="","Cell will autofill based on response",INDEX('ESG'!$M$10:$M$17,MATCH($F18,'ESG'!$B$10:$B$17,0))),"N/A")</f>
        <v/>
      </c>
      <c r="Q18" s="25">
        <f>IFERROR(IF(INDEX('CIOG'!$M$10:$M$14,MATCH($F18,'CIOG'!$B$10:$B$14,0))="","Cell will autofill based on response",INDEX('CIOG'!$M$10:$M$14,MATCH($F18,'CIOG'!$B$10:$B$14,0))),"N/A")</f>
        <v/>
      </c>
      <c r="R18" s="25">
        <f>IFERROR(IF(INDEX('MRE'!$M$10:$M$12,MATCH($F18,'MRE'!$B$10:$B$12,0))="","Cell will autofill based on response",INDEX('MRE'!$M$10:$M$12,MATCH($F18,'MRE'!$B$10:$B$12,0))),"N/A")</f>
        <v/>
      </c>
      <c r="S18" s="25">
        <f>IFERROR(IF(INDEX('L&amp;R'!$M$10:$M$11,MATCH($F18,'L&amp;R'!$B$10:$B$11,0))="","Cell will autofill based on response",INDEX('L&amp;R'!$M$10:$M$11,MATCH($F18,'L&amp;R'!$B$10:$B$11,0))),"N/A")</f>
        <v/>
      </c>
    </row>
    <row r="19">
      <c r="A19">
        <f>F19&amp;"|"&amp;G19</f>
        <v/>
      </c>
      <c r="B19" s="29" t="inlineStr"/>
      <c r="C19" s="8" t="inlineStr"/>
      <c r="D19" s="8" t="inlineStr"/>
      <c r="E19" s="8" t="inlineStr"/>
      <c r="F19" s="8" t="inlineStr">
        <is>
          <t>EE1(b)</t>
        </is>
      </c>
      <c r="G19" s="8" t="inlineStr">
        <is>
          <t>OPTION 2:  Indicator level reporting</t>
        </is>
      </c>
      <c r="H19" s="25">
        <f>IFERROR(IF(INDEX('Faculties'!$N$10:$N$30,MATCH($F19,'Faculties'!$B$10:$B$30,0))="","Cell will autofill based on response",INDEX('Faculties'!$N$10:$N$30,MATCH($F19,'Faculties'!$B$10:$B$30,0))),"N/A")</f>
        <v/>
      </c>
      <c r="I19" s="25">
        <f>IFERROR(IF(INDEX('Faculties'!$N$37:$N$57,MATCH($F19,'Faculties'!$B$37:$B$57,0))="","Cell will autofill based on response",INDEX('Faculties'!$N$37:$N$57,MATCH($F19,'Faculties'!$B$37:$B$57,0))),"N/A")</f>
        <v/>
      </c>
      <c r="J19" s="25">
        <f>IFERROR(IF(INDEX('Faculties'!$N$64:$N$84,MATCH($F19,'Faculties'!$B$64:$B$84,0))="","Cell will autofill based on response",INDEX('Faculties'!$N$64:$N$84,MATCH($F19,'Faculties'!$B$64:$B$84,0))),"N/A")</f>
        <v/>
      </c>
      <c r="K19" s="25">
        <f>IFERROR(IF(INDEX('Faculties'!$N$91:$N$111,MATCH($F19,'Faculties'!$B$91:$B$111,0))="","Cell will autofill based on response",INDEX('Faculties'!$N$91:$N$111,MATCH($F19,'Faculties'!$B$91:$B$111,0))),"N/A")</f>
        <v/>
      </c>
      <c r="L19" s="25">
        <f>IFERROR(IF(INDEX('CI&amp;S'!$N$10:$N$15,MATCH($F19,'CI&amp;S'!$B$10:$B$15,0))="","Cell will autofill based on response",INDEX('CI&amp;S'!$N$10:$N$15,MATCH($F19,'CI&amp;S'!$B$10:$B$15,0))),"N/A")</f>
        <v/>
      </c>
      <c r="M19" s="25">
        <f>IFERROR(IF(INDEX('CI&amp;S'!$N$22:$N$39,MATCH($F19,'CI&amp;S'!$B$22:$B$39,0))="","Cell will autofill based on response",INDEX('CI&amp;S'!$N$22:$N$39,MATCH($F19,'CI&amp;S'!$B$22:$B$39,0))),"N/A")</f>
        <v/>
      </c>
      <c r="N19" s="25">
        <f>IFERROR(IF(INDEX('CFOG'!$N$10:$N$16,MATCH($F19,'CFOG'!$B$10:$B$16,0))="","Cell will autofill based on response",INDEX('CFOG'!$N$10:$N$16,MATCH($F19,'CFOG'!$B$10:$B$16,0))),"N/A")</f>
        <v/>
      </c>
      <c r="O19" s="25">
        <f>IFERROR(IF(INDEX('CFOG'!$N$23:$N$24,MATCH($F19,'CFOG'!$B$23:$B$24,0))="","Cell will autofill based on response",INDEX('CFOG'!$N$23:$N$24,MATCH($F19,'CFOG'!$B$23:$B$24,0))),"N/A")</f>
        <v/>
      </c>
      <c r="P19" s="25">
        <f>IFERROR(IF(INDEX('ESG'!$N$10:$N$17,MATCH($F19,'ESG'!$B$10:$B$17,0))="","Cell will autofill based on response",INDEX('ESG'!$N$10:$N$17,MATCH($F19,'ESG'!$B$10:$B$17,0))),"N/A")</f>
        <v/>
      </c>
      <c r="Q19" s="25">
        <f>IFERROR(IF(INDEX('CIOG'!$N$10:$N$14,MATCH($F19,'CIOG'!$B$10:$B$14,0))="","Cell will autofill based on response",INDEX('CIOG'!$N$10:$N$14,MATCH($F19,'CIOG'!$B$10:$B$14,0))),"N/A")</f>
        <v/>
      </c>
      <c r="R19" s="25">
        <f>IFERROR(IF(INDEX('MRE'!$N$10:$N$12,MATCH($F19,'MRE'!$B$10:$B$12,0))="","Cell will autofill based on response",INDEX('MRE'!$N$10:$N$12,MATCH($F19,'MRE'!$B$10:$B$12,0))),"N/A")</f>
        <v/>
      </c>
      <c r="S19" s="25">
        <f>IFERROR(IF(INDEX('L&amp;R'!$N$10:$N$11,MATCH($F19,'L&amp;R'!$B$10:$B$11,0))="","Cell will autofill based on response",INDEX('L&amp;R'!$N$10:$N$11,MATCH($F19,'L&amp;R'!$B$10:$B$11,0))),"N/A")</f>
        <v/>
      </c>
    </row>
    <row r="20">
      <c r="A20">
        <f>F20&amp;"|"&amp;G20</f>
        <v/>
      </c>
      <c r="B20" s="29" t="inlineStr"/>
      <c r="C20" s="8" t="inlineStr"/>
      <c r="D20" s="8" t="inlineStr"/>
      <c r="E20" s="8" t="inlineStr"/>
      <c r="F20" s="8" t="inlineStr">
        <is>
          <t>EE1(b)</t>
        </is>
      </c>
      <c r="G20" s="8" t="inlineStr">
        <is>
          <t>Supporting information/comments</t>
        </is>
      </c>
      <c r="H20" s="25">
        <f>IFERROR(IF(INDEX('Faculties'!$O$10:$O$30,MATCH($F20,'Faculties'!$B$10:$B$30,0))="","Cell will autofill based on response",INDEX('Faculties'!$O$10:$O$30,MATCH($F20,'Faculties'!$B$10:$B$30,0))),"N/A")</f>
        <v/>
      </c>
      <c r="I20" s="25">
        <f>IFERROR(IF(INDEX('Faculties'!$O$37:$O$57,MATCH($F20,'Faculties'!$B$37:$B$57,0))="","Cell will autofill based on response",INDEX('Faculties'!$O$37:$O$57,MATCH($F20,'Faculties'!$B$37:$B$57,0))),"N/A")</f>
        <v/>
      </c>
      <c r="J20" s="25">
        <f>IFERROR(IF(INDEX('Faculties'!$O$64:$O$84,MATCH($F20,'Faculties'!$B$64:$B$84,0))="","Cell will autofill based on response",INDEX('Faculties'!$O$64:$O$84,MATCH($F20,'Faculties'!$B$64:$B$84,0))),"N/A")</f>
        <v/>
      </c>
      <c r="K20" s="25">
        <f>IFERROR(IF(INDEX('Faculties'!$O$91:$O$111,MATCH($F20,'Faculties'!$B$91:$B$111,0))="","Cell will autofill based on response",INDEX('Faculties'!$O$91:$O$111,MATCH($F20,'Faculties'!$B$91:$B$111,0))),"N/A")</f>
        <v/>
      </c>
      <c r="L20" s="25">
        <f>IFERROR(IF(INDEX('CI&amp;S'!$O$10:$O$15,MATCH($F20,'CI&amp;S'!$B$10:$B$15,0))="","Cell will autofill based on response",INDEX('CI&amp;S'!$O$10:$O$15,MATCH($F20,'CI&amp;S'!$B$10:$B$15,0))),"N/A")</f>
        <v/>
      </c>
      <c r="M20" s="25">
        <f>IFERROR(IF(INDEX('CI&amp;S'!$O$22:$O$39,MATCH($F20,'CI&amp;S'!$B$22:$B$39,0))="","Cell will autofill based on response",INDEX('CI&amp;S'!$O$22:$O$39,MATCH($F20,'CI&amp;S'!$B$22:$B$39,0))),"N/A")</f>
        <v/>
      </c>
      <c r="N20" s="25">
        <f>IFERROR(IF(INDEX('CFOG'!$O$10:$O$16,MATCH($F20,'CFOG'!$B$10:$B$16,0))="","Cell will autofill based on response",INDEX('CFOG'!$O$10:$O$16,MATCH($F20,'CFOG'!$B$10:$B$16,0))),"N/A")</f>
        <v/>
      </c>
      <c r="O20" s="25">
        <f>IFERROR(IF(INDEX('CFOG'!$O$23:$O$24,MATCH($F20,'CFOG'!$B$23:$B$24,0))="","Cell will autofill based on response",INDEX('CFOG'!$O$23:$O$24,MATCH($F20,'CFOG'!$B$23:$B$24,0))),"N/A")</f>
        <v/>
      </c>
      <c r="P20" s="25">
        <f>IFERROR(IF(INDEX('ESG'!$O$10:$O$17,MATCH($F20,'ESG'!$B$10:$B$17,0))="","Cell will autofill based on response",INDEX('ESG'!$O$10:$O$17,MATCH($F20,'ESG'!$B$10:$B$17,0))),"N/A")</f>
        <v/>
      </c>
      <c r="Q20" s="25">
        <f>IFERROR(IF(INDEX('CIOG'!$O$10:$O$14,MATCH($F20,'CIOG'!$B$10:$B$14,0))="","Cell will autofill based on response",INDEX('CIOG'!$O$10:$O$14,MATCH($F20,'CIOG'!$B$10:$B$14,0))),"N/A")</f>
        <v/>
      </c>
      <c r="R20" s="25">
        <f>IFERROR(IF(INDEX('MRE'!$O$10:$O$12,MATCH($F20,'MRE'!$B$10:$B$12,0))="","Cell will autofill based on response",INDEX('MRE'!$O$10:$O$12,MATCH($F20,'MRE'!$B$10:$B$12,0))),"N/A")</f>
        <v/>
      </c>
      <c r="S20" s="25">
        <f>IFERROR(IF(INDEX('L&amp;R'!$O$10:$O$11,MATCH($F20,'L&amp;R'!$B$10:$B$11,0))="","Cell will autofill based on response",INDEX('L&amp;R'!$O$10:$O$11,MATCH($F20,'L&amp;R'!$B$10:$B$11,0))),"N/A")</f>
        <v/>
      </c>
    </row>
    <row r="21">
      <c r="A21">
        <f>F21&amp;"|"&amp;G21</f>
        <v/>
      </c>
      <c r="B21" s="29" t="inlineStr"/>
      <c r="C21" s="8" t="inlineStr"/>
      <c r="D21" s="8" t="inlineStr"/>
      <c r="E21" s="8" t="inlineStr"/>
      <c r="F21" s="8" t="inlineStr">
        <is>
          <t>EE1(b)</t>
        </is>
      </c>
      <c r="G21" s="8" t="inlineStr">
        <is>
          <t>Data source and limitations</t>
        </is>
      </c>
      <c r="H21" s="25">
        <f>IFERROR(IF(INDEX('Faculties'!$P$10:$P$30,MATCH($F21,'Faculties'!$B$10:$B$30,0))="","Cell will autofill based on response",INDEX('Faculties'!$P$10:$P$30,MATCH($F21,'Faculties'!$B$10:$B$30,0))),"N/A")</f>
        <v/>
      </c>
      <c r="I21" s="25">
        <f>IFERROR(IF(INDEX('Faculties'!$P$37:$P$57,MATCH($F21,'Faculties'!$B$37:$B$57,0))="","Cell will autofill based on response",INDEX('Faculties'!$P$37:$P$57,MATCH($F21,'Faculties'!$B$37:$B$57,0))),"N/A")</f>
        <v/>
      </c>
      <c r="J21" s="25">
        <f>IFERROR(IF(INDEX('Faculties'!$P$64:$P$84,MATCH($F21,'Faculties'!$B$64:$B$84,0))="","Cell will autofill based on response",INDEX('Faculties'!$P$64:$P$84,MATCH($F21,'Faculties'!$B$64:$B$84,0))),"N/A")</f>
        <v/>
      </c>
      <c r="K21" s="25">
        <f>IFERROR(IF(INDEX('Faculties'!$P$91:$P$111,MATCH($F21,'Faculties'!$B$91:$B$111,0))="","Cell will autofill based on response",INDEX('Faculties'!$P$91:$P$111,MATCH($F21,'Faculties'!$B$91:$B$111,0))),"N/A")</f>
        <v/>
      </c>
      <c r="L21" s="25">
        <f>IFERROR(IF(INDEX('CI&amp;S'!$P$10:$P$15,MATCH($F21,'CI&amp;S'!$B$10:$B$15,0))="","Cell will autofill based on response",INDEX('CI&amp;S'!$P$10:$P$15,MATCH($F21,'CI&amp;S'!$B$10:$B$15,0))),"N/A")</f>
        <v/>
      </c>
      <c r="M21" s="25">
        <f>IFERROR(IF(INDEX('CI&amp;S'!$P$22:$P$39,MATCH($F21,'CI&amp;S'!$B$22:$B$39,0))="","Cell will autofill based on response",INDEX('CI&amp;S'!$P$22:$P$39,MATCH($F21,'CI&amp;S'!$B$22:$B$39,0))),"N/A")</f>
        <v/>
      </c>
      <c r="N21" s="25">
        <f>IFERROR(IF(INDEX('CFOG'!$P$10:$P$16,MATCH($F21,'CFOG'!$B$10:$B$16,0))="","Cell will autofill based on response",INDEX('CFOG'!$P$10:$P$16,MATCH($F21,'CFOG'!$B$10:$B$16,0))),"N/A")</f>
        <v/>
      </c>
      <c r="O21" s="25">
        <f>IFERROR(IF(INDEX('CFOG'!$P$23:$P$24,MATCH($F21,'CFOG'!$B$23:$B$24,0))="","Cell will autofill based on response",INDEX('CFOG'!$P$23:$P$24,MATCH($F21,'CFOG'!$B$23:$B$24,0))),"N/A")</f>
        <v/>
      </c>
      <c r="P21" s="25">
        <f>IFERROR(IF(INDEX('ESG'!$P$10:$P$17,MATCH($F21,'ESG'!$B$10:$B$17,0))="","Cell will autofill based on response",INDEX('ESG'!$P$10:$P$17,MATCH($F21,'ESG'!$B$10:$B$17,0))),"N/A")</f>
        <v/>
      </c>
      <c r="Q21" s="25">
        <f>IFERROR(IF(INDEX('CIOG'!$P$10:$P$14,MATCH($F21,'CIOG'!$B$10:$B$14,0))="","Cell will autofill based on response",INDEX('CIOG'!$P$10:$P$14,MATCH($F21,'CIOG'!$B$10:$B$14,0))),"N/A")</f>
        <v/>
      </c>
      <c r="R21" s="25">
        <f>IFERROR(IF(INDEX('MRE'!$P$10:$P$12,MATCH($F21,'MRE'!$B$10:$B$12,0))="","Cell will autofill based on response",INDEX('MRE'!$P$10:$P$12,MATCH($F21,'MRE'!$B$10:$B$12,0))),"N/A")</f>
        <v/>
      </c>
      <c r="S21" s="25">
        <f>IFERROR(IF(INDEX('L&amp;R'!$P$10:$P$11,MATCH($F21,'L&amp;R'!$B$10:$B$11,0))="","Cell will autofill based on response",INDEX('L&amp;R'!$P$10:$P$11,MATCH($F21,'L&amp;R'!$B$10:$B$11,0))),"N/A")</f>
        <v/>
      </c>
    </row>
    <row r="22">
      <c r="A22">
        <f>F22&amp;"|"&amp;G22</f>
        <v/>
      </c>
      <c r="B22" s="29" t="inlineStr"/>
      <c r="C22" s="8" t="inlineStr"/>
      <c r="D22" s="8" t="inlineStr"/>
      <c r="E22" s="8" t="inlineStr"/>
      <c r="F22" s="8" t="inlineStr">
        <is>
          <t>EE1(b)</t>
        </is>
      </c>
      <c r="G22" s="8" t="inlineStr">
        <is>
          <t>Data owner confirms</t>
        </is>
      </c>
      <c r="H22" s="25">
        <f>IFERROR(IF(INDEX('Faculties'!$Q$10:$Q$30,MATCH($F22,'Faculties'!$B$10:$B$30,0))="","Cell will autofill based on response",INDEX('Faculties'!$Q$10:$Q$30,MATCH($F22,'Faculties'!$B$10:$B$30,0))),"N/A")</f>
        <v/>
      </c>
      <c r="I22" s="25">
        <f>IFERROR(IF(INDEX('Faculties'!$Q$37:$Q$57,MATCH($F22,'Faculties'!$B$37:$B$57,0))="","Cell will autofill based on response",INDEX('Faculties'!$Q$37:$Q$57,MATCH($F22,'Faculties'!$B$37:$B$57,0))),"N/A")</f>
        <v/>
      </c>
      <c r="J22" s="25">
        <f>IFERROR(IF(INDEX('Faculties'!$Q$64:$Q$84,MATCH($F22,'Faculties'!$B$64:$B$84,0))="","Cell will autofill based on response",INDEX('Faculties'!$Q$64:$Q$84,MATCH($F22,'Faculties'!$B$64:$B$84,0))),"N/A")</f>
        <v/>
      </c>
      <c r="K22" s="25">
        <f>IFERROR(IF(INDEX('Faculties'!$Q$91:$Q$111,MATCH($F22,'Faculties'!$B$91:$B$111,0))="","Cell will autofill based on response",INDEX('Faculties'!$Q$91:$Q$111,MATCH($F22,'Faculties'!$B$91:$B$111,0))),"N/A")</f>
        <v/>
      </c>
      <c r="L22" s="25">
        <f>IFERROR(IF(INDEX('CI&amp;S'!$Q$10:$Q$15,MATCH($F22,'CI&amp;S'!$B$10:$B$15,0))="","Cell will autofill based on response",INDEX('CI&amp;S'!$Q$10:$Q$15,MATCH($F22,'CI&amp;S'!$B$10:$B$15,0))),"N/A")</f>
        <v/>
      </c>
      <c r="M22" s="25">
        <f>IFERROR(IF(INDEX('CI&amp;S'!$Q$22:$Q$39,MATCH($F22,'CI&amp;S'!$B$22:$B$39,0))="","Cell will autofill based on response",INDEX('CI&amp;S'!$Q$22:$Q$39,MATCH($F22,'CI&amp;S'!$B$22:$B$39,0))),"N/A")</f>
        <v/>
      </c>
      <c r="N22" s="25">
        <f>IFERROR(IF(INDEX('CFOG'!$Q$10:$Q$16,MATCH($F22,'CFOG'!$B$10:$B$16,0))="","Cell will autofill based on response",INDEX('CFOG'!$Q$10:$Q$16,MATCH($F22,'CFOG'!$B$10:$B$16,0))),"N/A")</f>
        <v/>
      </c>
      <c r="O22" s="25">
        <f>IFERROR(IF(INDEX('CFOG'!$Q$23:$Q$24,MATCH($F22,'CFOG'!$B$23:$B$24,0))="","Cell will autofill based on response",INDEX('CFOG'!$Q$23:$Q$24,MATCH($F22,'CFOG'!$B$23:$B$24,0))),"N/A")</f>
        <v/>
      </c>
      <c r="P22" s="25">
        <f>IFERROR(IF(INDEX('ESG'!$Q$10:$Q$17,MATCH($F22,'ESG'!$B$10:$B$17,0))="","Cell will autofill based on response",INDEX('ESG'!$Q$10:$Q$17,MATCH($F22,'ESG'!$B$10:$B$17,0))),"N/A")</f>
        <v/>
      </c>
      <c r="Q22" s="25">
        <f>IFERROR(IF(INDEX('CIOG'!$Q$10:$Q$14,MATCH($F22,'CIOG'!$B$10:$B$14,0))="","Cell will autofill based on response",INDEX('CIOG'!$Q$10:$Q$14,MATCH($F22,'CIOG'!$B$10:$B$14,0))),"N/A")</f>
        <v/>
      </c>
      <c r="R22" s="25">
        <f>IFERROR(IF(INDEX('MRE'!$Q$10:$Q$12,MATCH($F22,'MRE'!$B$10:$B$12,0))="","Cell will autofill based on response",INDEX('MRE'!$Q$10:$Q$12,MATCH($F22,'MRE'!$B$10:$B$12,0))),"N/A")</f>
        <v/>
      </c>
      <c r="S22" s="25">
        <f>IFERROR(IF(INDEX('L&amp;R'!$Q$10:$Q$11,MATCH($F22,'L&amp;R'!$B$10:$B$11,0))="","Cell will autofill based on response",INDEX('L&amp;R'!$Q$10:$Q$11,MATCH($F22,'L&amp;R'!$B$10:$B$11,0))),"N/A")</f>
        <v/>
      </c>
    </row>
    <row r="23">
      <c r="A23">
        <f>F23&amp;"|"&amp;G23</f>
        <v/>
      </c>
      <c r="B23" s="7" t="inlineStr">
        <is>
          <t>EE1(c)</t>
        </is>
      </c>
      <c r="C23" s="12" t="inlineStr">
        <is>
          <t>Exceptional education</t>
        </is>
      </c>
      <c r="D23" s="12" t="inlineStr">
        <is>
          <t>Evidence of sustainability focused experiential and co curricular learning (eg Wattle Fellowship; Melbourne Plus)</t>
        </is>
      </c>
      <c r="E23" s="12" t="inlineStr">
        <is>
          <t>Please provide examples of sustainability-focused experiential or co-curricular learning offered or supported by your Faculty/Portfolio (e.g. Wattle Fellowship, Melbourne Plus or similar), could include participation where available and a brief description of the learning experience and outcomes.</t>
        </is>
      </c>
      <c r="F23" s="12" t="inlineStr">
        <is>
          <t>EE1(c)</t>
        </is>
      </c>
      <c r="G23" s="12" t="inlineStr">
        <is>
          <t>Confirm end-2026 target status</t>
        </is>
      </c>
      <c r="H23" s="25">
        <f>IFERROR(IF(INDEX('Faculties'!$L$10:$L$30,MATCH($F23,'Faculties'!$B$10:$B$30,0))="","Cell will autofill based on response",INDEX('Faculties'!$L$10:$L$30,MATCH($F23,'Faculties'!$B$10:$B$30,0))),"N/A")</f>
        <v/>
      </c>
      <c r="I23" s="25">
        <f>IFERROR(IF(INDEX('Faculties'!$L$37:$L$57,MATCH($F23,'Faculties'!$B$37:$B$57,0))="","Cell will autofill based on response",INDEX('Faculties'!$L$37:$L$57,MATCH($F23,'Faculties'!$B$37:$B$57,0))),"N/A")</f>
        <v/>
      </c>
      <c r="J23" s="25">
        <f>IFERROR(IF(INDEX('Faculties'!$L$64:$L$84,MATCH($F23,'Faculties'!$B$64:$B$84,0))="","Cell will autofill based on response",INDEX('Faculties'!$L$64:$L$84,MATCH($F23,'Faculties'!$B$64:$B$84,0))),"N/A")</f>
        <v/>
      </c>
      <c r="K23" s="25">
        <f>IFERROR(IF(INDEX('Faculties'!$L$91:$L$111,MATCH($F23,'Faculties'!$B$91:$B$111,0))="","Cell will autofill based on response",INDEX('Faculties'!$L$91:$L$111,MATCH($F23,'Faculties'!$B$91:$B$111,0))),"N/A")</f>
        <v/>
      </c>
      <c r="L23" s="25">
        <f>IFERROR(IF(INDEX('CI&amp;S'!$L$10:$L$15,MATCH($F23,'CI&amp;S'!$B$10:$B$15,0))="","Cell will autofill based on response",INDEX('CI&amp;S'!$L$10:$L$15,MATCH($F23,'CI&amp;S'!$B$10:$B$15,0))),"N/A")</f>
        <v/>
      </c>
      <c r="M23" s="25">
        <f>IFERROR(IF(INDEX('CI&amp;S'!$L$22:$L$39,MATCH($F23,'CI&amp;S'!$B$22:$B$39,0))="","Cell will autofill based on response",INDEX('CI&amp;S'!$L$22:$L$39,MATCH($F23,'CI&amp;S'!$B$22:$B$39,0))),"N/A")</f>
        <v/>
      </c>
      <c r="N23" s="25">
        <f>IFERROR(IF(INDEX('CFOG'!$L$10:$L$16,MATCH($F23,'CFOG'!$B$10:$B$16,0))="","Cell will autofill based on response",INDEX('CFOG'!$L$10:$L$16,MATCH($F23,'CFOG'!$B$10:$B$16,0))),"N/A")</f>
        <v/>
      </c>
      <c r="O23" s="25">
        <f>IFERROR(IF(INDEX('CFOG'!$L$23:$L$24,MATCH($F23,'CFOG'!$B$23:$B$24,0))="","Cell will autofill based on response",INDEX('CFOG'!$L$23:$L$24,MATCH($F23,'CFOG'!$B$23:$B$24,0))),"N/A")</f>
        <v/>
      </c>
      <c r="P23" s="25">
        <f>IFERROR(IF(INDEX('ESG'!$L$10:$L$17,MATCH($F23,'ESG'!$B$10:$B$17,0))="","Cell will autofill based on response",INDEX('ESG'!$L$10:$L$17,MATCH($F23,'ESG'!$B$10:$B$17,0))),"N/A")</f>
        <v/>
      </c>
      <c r="Q23" s="25">
        <f>IFERROR(IF(INDEX('CIOG'!$L$10:$L$14,MATCH($F23,'CIOG'!$B$10:$B$14,0))="","Cell will autofill based on response",INDEX('CIOG'!$L$10:$L$14,MATCH($F23,'CIOG'!$B$10:$B$14,0))),"N/A")</f>
        <v/>
      </c>
      <c r="R23" s="25">
        <f>IFERROR(IF(INDEX('MRE'!$L$10:$L$12,MATCH($F23,'MRE'!$B$10:$B$12,0))="","Cell will autofill based on response",INDEX('MRE'!$L$10:$L$12,MATCH($F23,'MRE'!$B$10:$B$12,0))),"N/A")</f>
        <v/>
      </c>
      <c r="S23" s="25">
        <f>IFERROR(IF(INDEX('L&amp;R'!$L$10:$L$11,MATCH($F23,'L&amp;R'!$B$10:$B$11,0))="","Cell will autofill based on response",INDEX('L&amp;R'!$L$10:$L$11,MATCH($F23,'L&amp;R'!$B$10:$B$11,0))),"N/A")</f>
        <v/>
      </c>
      <c r="U23" s="26">
        <f>COUNTIF($H23:$S23,"Cell will autofill based on response")</f>
        <v/>
      </c>
      <c r="V23" s="26">
        <f>COUNTIF($H23:$S23,"Not yet started")</f>
        <v/>
      </c>
      <c r="W23" s="26">
        <f>COUNTIF($H23:$S23,"Not met")</f>
        <v/>
      </c>
      <c r="X23" s="26">
        <f>COUNTIF($H23:$S23,"Partially met")</f>
        <v/>
      </c>
      <c r="Y23" s="26">
        <f>COUNTIF($H23:$S23,"Met or exceeded")</f>
        <v/>
      </c>
      <c r="Z23" s="26">
        <f>3*Y23+2*X23+W23</f>
        <v/>
      </c>
      <c r="AA23" s="26">
        <f>Y23+X23+W23+V23</f>
        <v/>
      </c>
      <c r="AB23" s="27">
        <f>IF(AA23&gt;0,Z23/AA23,"No valid responses to date")</f>
        <v/>
      </c>
      <c r="AC23" s="26">
        <f>IF(ISNUMBER(AB23),INDEX(Lists!$G$2:$G$5,MATCH(ROUND(AB23,0),Lists!$H$2:$H$5,0)),"")</f>
        <v/>
      </c>
      <c r="AD23" s="28">
        <f>IF(AA23&gt;0,Y23/AA23,"")</f>
        <v/>
      </c>
      <c r="AE23" s="28">
        <f>IF(AA23&gt;0,(Y23+X23)/AA23,"")</f>
        <v/>
      </c>
      <c r="AF23" s="26">
        <f>IF(AA23=0,"",IF(AD23&gt;0.75,"Met or exceeded",IF(AE23&gt;=0.5,"Partially met","Not met")))</f>
        <v/>
      </c>
    </row>
    <row r="24">
      <c r="A24">
        <f>F24&amp;"|"&amp;G24</f>
        <v/>
      </c>
      <c r="B24" s="29" t="inlineStr"/>
      <c r="C24" s="8" t="inlineStr"/>
      <c r="D24" s="8" t="inlineStr"/>
      <c r="E24" s="8" t="inlineStr"/>
      <c r="F24" s="8" t="inlineStr">
        <is>
          <t>EE1(c)</t>
        </is>
      </c>
      <c r="G24" s="8" t="inlineStr">
        <is>
          <t>OPTION 1:  Target-level reporting</t>
        </is>
      </c>
      <c r="H24" s="25">
        <f>IFERROR(IF(INDEX('Faculties'!$M$10:$M$30,MATCH($F24,'Faculties'!$B$10:$B$30,0))="","Cell will autofill based on response",INDEX('Faculties'!$M$10:$M$30,MATCH($F24,'Faculties'!$B$10:$B$30,0))),"N/A")</f>
        <v/>
      </c>
      <c r="I24" s="25">
        <f>IFERROR(IF(INDEX('Faculties'!$M$37:$M$57,MATCH($F24,'Faculties'!$B$37:$B$57,0))="","Cell will autofill based on response",INDEX('Faculties'!$M$37:$M$57,MATCH($F24,'Faculties'!$B$37:$B$57,0))),"N/A")</f>
        <v/>
      </c>
      <c r="J24" s="25">
        <f>IFERROR(IF(INDEX('Faculties'!$M$64:$M$84,MATCH($F24,'Faculties'!$B$64:$B$84,0))="","Cell will autofill based on response",INDEX('Faculties'!$M$64:$M$84,MATCH($F24,'Faculties'!$B$64:$B$84,0))),"N/A")</f>
        <v/>
      </c>
      <c r="K24" s="25">
        <f>IFERROR(IF(INDEX('Faculties'!$M$91:$M$111,MATCH($F24,'Faculties'!$B$91:$B$111,0))="","Cell will autofill based on response",INDEX('Faculties'!$M$91:$M$111,MATCH($F24,'Faculties'!$B$91:$B$111,0))),"N/A")</f>
        <v/>
      </c>
      <c r="L24" s="25">
        <f>IFERROR(IF(INDEX('CI&amp;S'!$M$10:$M$15,MATCH($F24,'CI&amp;S'!$B$10:$B$15,0))="","Cell will autofill based on response",INDEX('CI&amp;S'!$M$10:$M$15,MATCH($F24,'CI&amp;S'!$B$10:$B$15,0))),"N/A")</f>
        <v/>
      </c>
      <c r="M24" s="25">
        <f>IFERROR(IF(INDEX('CI&amp;S'!$M$22:$M$39,MATCH($F24,'CI&amp;S'!$B$22:$B$39,0))="","Cell will autofill based on response",INDEX('CI&amp;S'!$M$22:$M$39,MATCH($F24,'CI&amp;S'!$B$22:$B$39,0))),"N/A")</f>
        <v/>
      </c>
      <c r="N24" s="25">
        <f>IFERROR(IF(INDEX('CFOG'!$M$10:$M$16,MATCH($F24,'CFOG'!$B$10:$B$16,0))="","Cell will autofill based on response",INDEX('CFOG'!$M$10:$M$16,MATCH($F24,'CFOG'!$B$10:$B$16,0))),"N/A")</f>
        <v/>
      </c>
      <c r="O24" s="25">
        <f>IFERROR(IF(INDEX('CFOG'!$M$23:$M$24,MATCH($F24,'CFOG'!$B$23:$B$24,0))="","Cell will autofill based on response",INDEX('CFOG'!$M$23:$M$24,MATCH($F24,'CFOG'!$B$23:$B$24,0))),"N/A")</f>
        <v/>
      </c>
      <c r="P24" s="25">
        <f>IFERROR(IF(INDEX('ESG'!$M$10:$M$17,MATCH($F24,'ESG'!$B$10:$B$17,0))="","Cell will autofill based on response",INDEX('ESG'!$M$10:$M$17,MATCH($F24,'ESG'!$B$10:$B$17,0))),"N/A")</f>
        <v/>
      </c>
      <c r="Q24" s="25">
        <f>IFERROR(IF(INDEX('CIOG'!$M$10:$M$14,MATCH($F24,'CIOG'!$B$10:$B$14,0))="","Cell will autofill based on response",INDEX('CIOG'!$M$10:$M$14,MATCH($F24,'CIOG'!$B$10:$B$14,0))),"N/A")</f>
        <v/>
      </c>
      <c r="R24" s="25">
        <f>IFERROR(IF(INDEX('MRE'!$M$10:$M$12,MATCH($F24,'MRE'!$B$10:$B$12,0))="","Cell will autofill based on response",INDEX('MRE'!$M$10:$M$12,MATCH($F24,'MRE'!$B$10:$B$12,0))),"N/A")</f>
        <v/>
      </c>
      <c r="S24" s="25">
        <f>IFERROR(IF(INDEX('L&amp;R'!$M$10:$M$11,MATCH($F24,'L&amp;R'!$B$10:$B$11,0))="","Cell will autofill based on response",INDEX('L&amp;R'!$M$10:$M$11,MATCH($F24,'L&amp;R'!$B$10:$B$11,0))),"N/A")</f>
        <v/>
      </c>
    </row>
    <row r="25">
      <c r="A25">
        <f>F25&amp;"|"&amp;G25</f>
        <v/>
      </c>
      <c r="B25" s="29" t="inlineStr"/>
      <c r="C25" s="8" t="inlineStr"/>
      <c r="D25" s="8" t="inlineStr"/>
      <c r="E25" s="8" t="inlineStr"/>
      <c r="F25" s="8" t="inlineStr">
        <is>
          <t>EE1(c)</t>
        </is>
      </c>
      <c r="G25" s="8" t="inlineStr">
        <is>
          <t>OPTION 2:  Indicator level reporting</t>
        </is>
      </c>
      <c r="H25" s="25">
        <f>IFERROR(IF(INDEX('Faculties'!$N$10:$N$30,MATCH($F25,'Faculties'!$B$10:$B$30,0))="","Cell will autofill based on response",INDEX('Faculties'!$N$10:$N$30,MATCH($F25,'Faculties'!$B$10:$B$30,0))),"N/A")</f>
        <v/>
      </c>
      <c r="I25" s="25">
        <f>IFERROR(IF(INDEX('Faculties'!$N$37:$N$57,MATCH($F25,'Faculties'!$B$37:$B$57,0))="","Cell will autofill based on response",INDEX('Faculties'!$N$37:$N$57,MATCH($F25,'Faculties'!$B$37:$B$57,0))),"N/A")</f>
        <v/>
      </c>
      <c r="J25" s="25">
        <f>IFERROR(IF(INDEX('Faculties'!$N$64:$N$84,MATCH($F25,'Faculties'!$B$64:$B$84,0))="","Cell will autofill based on response",INDEX('Faculties'!$N$64:$N$84,MATCH($F25,'Faculties'!$B$64:$B$84,0))),"N/A")</f>
        <v/>
      </c>
      <c r="K25" s="25">
        <f>IFERROR(IF(INDEX('Faculties'!$N$91:$N$111,MATCH($F25,'Faculties'!$B$91:$B$111,0))="","Cell will autofill based on response",INDEX('Faculties'!$N$91:$N$111,MATCH($F25,'Faculties'!$B$91:$B$111,0))),"N/A")</f>
        <v/>
      </c>
      <c r="L25" s="25">
        <f>IFERROR(IF(INDEX('CI&amp;S'!$N$10:$N$15,MATCH($F25,'CI&amp;S'!$B$10:$B$15,0))="","Cell will autofill based on response",INDEX('CI&amp;S'!$N$10:$N$15,MATCH($F25,'CI&amp;S'!$B$10:$B$15,0))),"N/A")</f>
        <v/>
      </c>
      <c r="M25" s="25">
        <f>IFERROR(IF(INDEX('CI&amp;S'!$N$22:$N$39,MATCH($F25,'CI&amp;S'!$B$22:$B$39,0))="","Cell will autofill based on response",INDEX('CI&amp;S'!$N$22:$N$39,MATCH($F25,'CI&amp;S'!$B$22:$B$39,0))),"N/A")</f>
        <v/>
      </c>
      <c r="N25" s="25">
        <f>IFERROR(IF(INDEX('CFOG'!$N$10:$N$16,MATCH($F25,'CFOG'!$B$10:$B$16,0))="","Cell will autofill based on response",INDEX('CFOG'!$N$10:$N$16,MATCH($F25,'CFOG'!$B$10:$B$16,0))),"N/A")</f>
        <v/>
      </c>
      <c r="O25" s="25">
        <f>IFERROR(IF(INDEX('CFOG'!$N$23:$N$24,MATCH($F25,'CFOG'!$B$23:$B$24,0))="","Cell will autofill based on response",INDEX('CFOG'!$N$23:$N$24,MATCH($F25,'CFOG'!$B$23:$B$24,0))),"N/A")</f>
        <v/>
      </c>
      <c r="P25" s="25">
        <f>IFERROR(IF(INDEX('ESG'!$N$10:$N$17,MATCH($F25,'ESG'!$B$10:$B$17,0))="","Cell will autofill based on response",INDEX('ESG'!$N$10:$N$17,MATCH($F25,'ESG'!$B$10:$B$17,0))),"N/A")</f>
        <v/>
      </c>
      <c r="Q25" s="25">
        <f>IFERROR(IF(INDEX('CIOG'!$N$10:$N$14,MATCH($F25,'CIOG'!$B$10:$B$14,0))="","Cell will autofill based on response",INDEX('CIOG'!$N$10:$N$14,MATCH($F25,'CIOG'!$B$10:$B$14,0))),"N/A")</f>
        <v/>
      </c>
      <c r="R25" s="25">
        <f>IFERROR(IF(INDEX('MRE'!$N$10:$N$12,MATCH($F25,'MRE'!$B$10:$B$12,0))="","Cell will autofill based on response",INDEX('MRE'!$N$10:$N$12,MATCH($F25,'MRE'!$B$10:$B$12,0))),"N/A")</f>
        <v/>
      </c>
      <c r="S25" s="25">
        <f>IFERROR(IF(INDEX('L&amp;R'!$N$10:$N$11,MATCH($F25,'L&amp;R'!$B$10:$B$11,0))="","Cell will autofill based on response",INDEX('L&amp;R'!$N$10:$N$11,MATCH($F25,'L&amp;R'!$B$10:$B$11,0))),"N/A")</f>
        <v/>
      </c>
    </row>
    <row r="26">
      <c r="A26">
        <f>F26&amp;"|"&amp;G26</f>
        <v/>
      </c>
      <c r="B26" s="29" t="inlineStr"/>
      <c r="C26" s="8" t="inlineStr"/>
      <c r="D26" s="8" t="inlineStr"/>
      <c r="E26" s="8" t="inlineStr"/>
      <c r="F26" s="8" t="inlineStr">
        <is>
          <t>EE1(c)</t>
        </is>
      </c>
      <c r="G26" s="8" t="inlineStr">
        <is>
          <t>Supporting information/comments</t>
        </is>
      </c>
      <c r="H26" s="25">
        <f>IFERROR(IF(INDEX('Faculties'!$O$10:$O$30,MATCH($F26,'Faculties'!$B$10:$B$30,0))="","Cell will autofill based on response",INDEX('Faculties'!$O$10:$O$30,MATCH($F26,'Faculties'!$B$10:$B$30,0))),"N/A")</f>
        <v/>
      </c>
      <c r="I26" s="25">
        <f>IFERROR(IF(INDEX('Faculties'!$O$37:$O$57,MATCH($F26,'Faculties'!$B$37:$B$57,0))="","Cell will autofill based on response",INDEX('Faculties'!$O$37:$O$57,MATCH($F26,'Faculties'!$B$37:$B$57,0))),"N/A")</f>
        <v/>
      </c>
      <c r="J26" s="25">
        <f>IFERROR(IF(INDEX('Faculties'!$O$64:$O$84,MATCH($F26,'Faculties'!$B$64:$B$84,0))="","Cell will autofill based on response",INDEX('Faculties'!$O$64:$O$84,MATCH($F26,'Faculties'!$B$64:$B$84,0))),"N/A")</f>
        <v/>
      </c>
      <c r="K26" s="25">
        <f>IFERROR(IF(INDEX('Faculties'!$O$91:$O$111,MATCH($F26,'Faculties'!$B$91:$B$111,0))="","Cell will autofill based on response",INDEX('Faculties'!$O$91:$O$111,MATCH($F26,'Faculties'!$B$91:$B$111,0))),"N/A")</f>
        <v/>
      </c>
      <c r="L26" s="25">
        <f>IFERROR(IF(INDEX('CI&amp;S'!$O$10:$O$15,MATCH($F26,'CI&amp;S'!$B$10:$B$15,0))="","Cell will autofill based on response",INDEX('CI&amp;S'!$O$10:$O$15,MATCH($F26,'CI&amp;S'!$B$10:$B$15,0))),"N/A")</f>
        <v/>
      </c>
      <c r="M26" s="25">
        <f>IFERROR(IF(INDEX('CI&amp;S'!$O$22:$O$39,MATCH($F26,'CI&amp;S'!$B$22:$B$39,0))="","Cell will autofill based on response",INDEX('CI&amp;S'!$O$22:$O$39,MATCH($F26,'CI&amp;S'!$B$22:$B$39,0))),"N/A")</f>
        <v/>
      </c>
      <c r="N26" s="25">
        <f>IFERROR(IF(INDEX('CFOG'!$O$10:$O$16,MATCH($F26,'CFOG'!$B$10:$B$16,0))="","Cell will autofill based on response",INDEX('CFOG'!$O$10:$O$16,MATCH($F26,'CFOG'!$B$10:$B$16,0))),"N/A")</f>
        <v/>
      </c>
      <c r="O26" s="25">
        <f>IFERROR(IF(INDEX('CFOG'!$O$23:$O$24,MATCH($F26,'CFOG'!$B$23:$B$24,0))="","Cell will autofill based on response",INDEX('CFOG'!$O$23:$O$24,MATCH($F26,'CFOG'!$B$23:$B$24,0))),"N/A")</f>
        <v/>
      </c>
      <c r="P26" s="25">
        <f>IFERROR(IF(INDEX('ESG'!$O$10:$O$17,MATCH($F26,'ESG'!$B$10:$B$17,0))="","Cell will autofill based on response",INDEX('ESG'!$O$10:$O$17,MATCH($F26,'ESG'!$B$10:$B$17,0))),"N/A")</f>
        <v/>
      </c>
      <c r="Q26" s="25">
        <f>IFERROR(IF(INDEX('CIOG'!$O$10:$O$14,MATCH($F26,'CIOG'!$B$10:$B$14,0))="","Cell will autofill based on response",INDEX('CIOG'!$O$10:$O$14,MATCH($F26,'CIOG'!$B$10:$B$14,0))),"N/A")</f>
        <v/>
      </c>
      <c r="R26" s="25">
        <f>IFERROR(IF(INDEX('MRE'!$O$10:$O$12,MATCH($F26,'MRE'!$B$10:$B$12,0))="","Cell will autofill based on response",INDEX('MRE'!$O$10:$O$12,MATCH($F26,'MRE'!$B$10:$B$12,0))),"N/A")</f>
        <v/>
      </c>
      <c r="S26" s="25">
        <f>IFERROR(IF(INDEX('L&amp;R'!$O$10:$O$11,MATCH($F26,'L&amp;R'!$B$10:$B$11,0))="","Cell will autofill based on response",INDEX('L&amp;R'!$O$10:$O$11,MATCH($F26,'L&amp;R'!$B$10:$B$11,0))),"N/A")</f>
        <v/>
      </c>
    </row>
    <row r="27">
      <c r="A27">
        <f>F27&amp;"|"&amp;G27</f>
        <v/>
      </c>
      <c r="B27" s="29" t="inlineStr"/>
      <c r="C27" s="8" t="inlineStr"/>
      <c r="D27" s="8" t="inlineStr"/>
      <c r="E27" s="8" t="inlineStr"/>
      <c r="F27" s="8" t="inlineStr">
        <is>
          <t>EE1(c)</t>
        </is>
      </c>
      <c r="G27" s="8" t="inlineStr">
        <is>
          <t>Data source and limitations</t>
        </is>
      </c>
      <c r="H27" s="25">
        <f>IFERROR(IF(INDEX('Faculties'!$P$10:$P$30,MATCH($F27,'Faculties'!$B$10:$B$30,0))="","Cell will autofill based on response",INDEX('Faculties'!$P$10:$P$30,MATCH($F27,'Faculties'!$B$10:$B$30,0))),"N/A")</f>
        <v/>
      </c>
      <c r="I27" s="25">
        <f>IFERROR(IF(INDEX('Faculties'!$P$37:$P$57,MATCH($F27,'Faculties'!$B$37:$B$57,0))="","Cell will autofill based on response",INDEX('Faculties'!$P$37:$P$57,MATCH($F27,'Faculties'!$B$37:$B$57,0))),"N/A")</f>
        <v/>
      </c>
      <c r="J27" s="25">
        <f>IFERROR(IF(INDEX('Faculties'!$P$64:$P$84,MATCH($F27,'Faculties'!$B$64:$B$84,0))="","Cell will autofill based on response",INDEX('Faculties'!$P$64:$P$84,MATCH($F27,'Faculties'!$B$64:$B$84,0))),"N/A")</f>
        <v/>
      </c>
      <c r="K27" s="25">
        <f>IFERROR(IF(INDEX('Faculties'!$P$91:$P$111,MATCH($F27,'Faculties'!$B$91:$B$111,0))="","Cell will autofill based on response",INDEX('Faculties'!$P$91:$P$111,MATCH($F27,'Faculties'!$B$91:$B$111,0))),"N/A")</f>
        <v/>
      </c>
      <c r="L27" s="25">
        <f>IFERROR(IF(INDEX('CI&amp;S'!$P$10:$P$15,MATCH($F27,'CI&amp;S'!$B$10:$B$15,0))="","Cell will autofill based on response",INDEX('CI&amp;S'!$P$10:$P$15,MATCH($F27,'CI&amp;S'!$B$10:$B$15,0))),"N/A")</f>
        <v/>
      </c>
      <c r="M27" s="25">
        <f>IFERROR(IF(INDEX('CI&amp;S'!$P$22:$P$39,MATCH($F27,'CI&amp;S'!$B$22:$B$39,0))="","Cell will autofill based on response",INDEX('CI&amp;S'!$P$22:$P$39,MATCH($F27,'CI&amp;S'!$B$22:$B$39,0))),"N/A")</f>
        <v/>
      </c>
      <c r="N27" s="25">
        <f>IFERROR(IF(INDEX('CFOG'!$P$10:$P$16,MATCH($F27,'CFOG'!$B$10:$B$16,0))="","Cell will autofill based on response",INDEX('CFOG'!$P$10:$P$16,MATCH($F27,'CFOG'!$B$10:$B$16,0))),"N/A")</f>
        <v/>
      </c>
      <c r="O27" s="25">
        <f>IFERROR(IF(INDEX('CFOG'!$P$23:$P$24,MATCH($F27,'CFOG'!$B$23:$B$24,0))="","Cell will autofill based on response",INDEX('CFOG'!$P$23:$P$24,MATCH($F27,'CFOG'!$B$23:$B$24,0))),"N/A")</f>
        <v/>
      </c>
      <c r="P27" s="25">
        <f>IFERROR(IF(INDEX('ESG'!$P$10:$P$17,MATCH($F27,'ESG'!$B$10:$B$17,0))="","Cell will autofill based on response",INDEX('ESG'!$P$10:$P$17,MATCH($F27,'ESG'!$B$10:$B$17,0))),"N/A")</f>
        <v/>
      </c>
      <c r="Q27" s="25">
        <f>IFERROR(IF(INDEX('CIOG'!$P$10:$P$14,MATCH($F27,'CIOG'!$B$10:$B$14,0))="","Cell will autofill based on response",INDEX('CIOG'!$P$10:$P$14,MATCH($F27,'CIOG'!$B$10:$B$14,0))),"N/A")</f>
        <v/>
      </c>
      <c r="R27" s="25">
        <f>IFERROR(IF(INDEX('MRE'!$P$10:$P$12,MATCH($F27,'MRE'!$B$10:$B$12,0))="","Cell will autofill based on response",INDEX('MRE'!$P$10:$P$12,MATCH($F27,'MRE'!$B$10:$B$12,0))),"N/A")</f>
        <v/>
      </c>
      <c r="S27" s="25">
        <f>IFERROR(IF(INDEX('L&amp;R'!$P$10:$P$11,MATCH($F27,'L&amp;R'!$B$10:$B$11,0))="","Cell will autofill based on response",INDEX('L&amp;R'!$P$10:$P$11,MATCH($F27,'L&amp;R'!$B$10:$B$11,0))),"N/A")</f>
        <v/>
      </c>
    </row>
    <row r="28">
      <c r="A28">
        <f>F28&amp;"|"&amp;G28</f>
        <v/>
      </c>
      <c r="B28" s="29" t="inlineStr"/>
      <c r="C28" s="8" t="inlineStr"/>
      <c r="D28" s="8" t="inlineStr"/>
      <c r="E28" s="8" t="inlineStr"/>
      <c r="F28" s="8" t="inlineStr">
        <is>
          <t>EE1(c)</t>
        </is>
      </c>
      <c r="G28" s="8" t="inlineStr">
        <is>
          <t>Data owner confirms</t>
        </is>
      </c>
      <c r="H28" s="25">
        <f>IFERROR(IF(INDEX('Faculties'!$Q$10:$Q$30,MATCH($F28,'Faculties'!$B$10:$B$30,0))="","Cell will autofill based on response",INDEX('Faculties'!$Q$10:$Q$30,MATCH($F28,'Faculties'!$B$10:$B$30,0))),"N/A")</f>
        <v/>
      </c>
      <c r="I28" s="25">
        <f>IFERROR(IF(INDEX('Faculties'!$Q$37:$Q$57,MATCH($F28,'Faculties'!$B$37:$B$57,0))="","Cell will autofill based on response",INDEX('Faculties'!$Q$37:$Q$57,MATCH($F28,'Faculties'!$B$37:$B$57,0))),"N/A")</f>
        <v/>
      </c>
      <c r="J28" s="25">
        <f>IFERROR(IF(INDEX('Faculties'!$Q$64:$Q$84,MATCH($F28,'Faculties'!$B$64:$B$84,0))="","Cell will autofill based on response",INDEX('Faculties'!$Q$64:$Q$84,MATCH($F28,'Faculties'!$B$64:$B$84,0))),"N/A")</f>
        <v/>
      </c>
      <c r="K28" s="25">
        <f>IFERROR(IF(INDEX('Faculties'!$Q$91:$Q$111,MATCH($F28,'Faculties'!$B$91:$B$111,0))="","Cell will autofill based on response",INDEX('Faculties'!$Q$91:$Q$111,MATCH($F28,'Faculties'!$B$91:$B$111,0))),"N/A")</f>
        <v/>
      </c>
      <c r="L28" s="25">
        <f>IFERROR(IF(INDEX('CI&amp;S'!$Q$10:$Q$15,MATCH($F28,'CI&amp;S'!$B$10:$B$15,0))="","Cell will autofill based on response",INDEX('CI&amp;S'!$Q$10:$Q$15,MATCH($F28,'CI&amp;S'!$B$10:$B$15,0))),"N/A")</f>
        <v/>
      </c>
      <c r="M28" s="25">
        <f>IFERROR(IF(INDEX('CI&amp;S'!$Q$22:$Q$39,MATCH($F28,'CI&amp;S'!$B$22:$B$39,0))="","Cell will autofill based on response",INDEX('CI&amp;S'!$Q$22:$Q$39,MATCH($F28,'CI&amp;S'!$B$22:$B$39,0))),"N/A")</f>
        <v/>
      </c>
      <c r="N28" s="25">
        <f>IFERROR(IF(INDEX('CFOG'!$Q$10:$Q$16,MATCH($F28,'CFOG'!$B$10:$B$16,0))="","Cell will autofill based on response",INDEX('CFOG'!$Q$10:$Q$16,MATCH($F28,'CFOG'!$B$10:$B$16,0))),"N/A")</f>
        <v/>
      </c>
      <c r="O28" s="25">
        <f>IFERROR(IF(INDEX('CFOG'!$Q$23:$Q$24,MATCH($F28,'CFOG'!$B$23:$B$24,0))="","Cell will autofill based on response",INDEX('CFOG'!$Q$23:$Q$24,MATCH($F28,'CFOG'!$B$23:$B$24,0))),"N/A")</f>
        <v/>
      </c>
      <c r="P28" s="25">
        <f>IFERROR(IF(INDEX('ESG'!$Q$10:$Q$17,MATCH($F28,'ESG'!$B$10:$B$17,0))="","Cell will autofill based on response",INDEX('ESG'!$Q$10:$Q$17,MATCH($F28,'ESG'!$B$10:$B$17,0))),"N/A")</f>
        <v/>
      </c>
      <c r="Q28" s="25">
        <f>IFERROR(IF(INDEX('CIOG'!$Q$10:$Q$14,MATCH($F28,'CIOG'!$B$10:$B$14,0))="","Cell will autofill based on response",INDEX('CIOG'!$Q$10:$Q$14,MATCH($F28,'CIOG'!$B$10:$B$14,0))),"N/A")</f>
        <v/>
      </c>
      <c r="R28" s="25">
        <f>IFERROR(IF(INDEX('MRE'!$Q$10:$Q$12,MATCH($F28,'MRE'!$B$10:$B$12,0))="","Cell will autofill based on response",INDEX('MRE'!$Q$10:$Q$12,MATCH($F28,'MRE'!$B$10:$B$12,0))),"N/A")</f>
        <v/>
      </c>
      <c r="S28" s="25">
        <f>IFERROR(IF(INDEX('L&amp;R'!$Q$10:$Q$11,MATCH($F28,'L&amp;R'!$B$10:$B$11,0))="","Cell will autofill based on response",INDEX('L&amp;R'!$Q$10:$Q$11,MATCH($F28,'L&amp;R'!$B$10:$B$11,0))),"N/A")</f>
        <v/>
      </c>
    </row>
    <row r="29">
      <c r="A29">
        <f>F29&amp;"|"&amp;G29</f>
        <v/>
      </c>
      <c r="B29" s="7" t="inlineStr">
        <is>
          <t>EE1(d)</t>
        </is>
      </c>
      <c r="C29" s="12" t="inlineStr">
        <is>
          <t>Exceptional education</t>
        </is>
      </c>
      <c r="D29" s="12" t="inlineStr">
        <is>
          <t>Alumni profiles demonstrating how graduates contribute to sustainability through their careers or communities.</t>
        </is>
      </c>
      <c r="E29" s="12" t="inlineStr">
        <is>
          <t>Please provide examples or profiles of graduates or alumni from your Faculty who demonstrate how they apply sustainability knowledge, skills or capabilities through their careers, communities or other activities. Where available, include any evidence used by the Faculty to understand graduate outcomes related to sustainability.</t>
        </is>
      </c>
      <c r="F29" s="12" t="inlineStr">
        <is>
          <t>EE1(d)</t>
        </is>
      </c>
      <c r="G29" s="12" t="inlineStr">
        <is>
          <t>Confirm end-2026 target status</t>
        </is>
      </c>
      <c r="H29" s="25">
        <f>IFERROR(IF(INDEX('Faculties'!$L$10:$L$30,MATCH($F29,'Faculties'!$B$10:$B$30,0))="","Cell will autofill based on response",INDEX('Faculties'!$L$10:$L$30,MATCH($F29,'Faculties'!$B$10:$B$30,0))),"N/A")</f>
        <v/>
      </c>
      <c r="I29" s="25">
        <f>IFERROR(IF(INDEX('Faculties'!$L$37:$L$57,MATCH($F29,'Faculties'!$B$37:$B$57,0))="","Cell will autofill based on response",INDEX('Faculties'!$L$37:$L$57,MATCH($F29,'Faculties'!$B$37:$B$57,0))),"N/A")</f>
        <v/>
      </c>
      <c r="J29" s="25">
        <f>IFERROR(IF(INDEX('Faculties'!$L$64:$L$84,MATCH($F29,'Faculties'!$B$64:$B$84,0))="","Cell will autofill based on response",INDEX('Faculties'!$L$64:$L$84,MATCH($F29,'Faculties'!$B$64:$B$84,0))),"N/A")</f>
        <v/>
      </c>
      <c r="K29" s="25">
        <f>IFERROR(IF(INDEX('Faculties'!$L$91:$L$111,MATCH($F29,'Faculties'!$B$91:$B$111,0))="","Cell will autofill based on response",INDEX('Faculties'!$L$91:$L$111,MATCH($F29,'Faculties'!$B$91:$B$111,0))),"N/A")</f>
        <v/>
      </c>
      <c r="L29" s="25">
        <f>IFERROR(IF(INDEX('CI&amp;S'!$L$10:$L$15,MATCH($F29,'CI&amp;S'!$B$10:$B$15,0))="","Cell will autofill based on response",INDEX('CI&amp;S'!$L$10:$L$15,MATCH($F29,'CI&amp;S'!$B$10:$B$15,0))),"N/A")</f>
        <v/>
      </c>
      <c r="M29" s="25">
        <f>IFERROR(IF(INDEX('CI&amp;S'!$L$22:$L$39,MATCH($F29,'CI&amp;S'!$B$22:$B$39,0))="","Cell will autofill based on response",INDEX('CI&amp;S'!$L$22:$L$39,MATCH($F29,'CI&amp;S'!$B$22:$B$39,0))),"N/A")</f>
        <v/>
      </c>
      <c r="N29" s="25">
        <f>IFERROR(IF(INDEX('CFOG'!$L$10:$L$16,MATCH($F29,'CFOG'!$B$10:$B$16,0))="","Cell will autofill based on response",INDEX('CFOG'!$L$10:$L$16,MATCH($F29,'CFOG'!$B$10:$B$16,0))),"N/A")</f>
        <v/>
      </c>
      <c r="O29" s="25">
        <f>IFERROR(IF(INDEX('CFOG'!$L$23:$L$24,MATCH($F29,'CFOG'!$B$23:$B$24,0))="","Cell will autofill based on response",INDEX('CFOG'!$L$23:$L$24,MATCH($F29,'CFOG'!$B$23:$B$24,0))),"N/A")</f>
        <v/>
      </c>
      <c r="P29" s="25">
        <f>IFERROR(IF(INDEX('ESG'!$L$10:$L$17,MATCH($F29,'ESG'!$B$10:$B$17,0))="","Cell will autofill based on response",INDEX('ESG'!$L$10:$L$17,MATCH($F29,'ESG'!$B$10:$B$17,0))),"N/A")</f>
        <v/>
      </c>
      <c r="Q29" s="25">
        <f>IFERROR(IF(INDEX('CIOG'!$L$10:$L$14,MATCH($F29,'CIOG'!$B$10:$B$14,0))="","Cell will autofill based on response",INDEX('CIOG'!$L$10:$L$14,MATCH($F29,'CIOG'!$B$10:$B$14,0))),"N/A")</f>
        <v/>
      </c>
      <c r="R29" s="25">
        <f>IFERROR(IF(INDEX('MRE'!$L$10:$L$12,MATCH($F29,'MRE'!$B$10:$B$12,0))="","Cell will autofill based on response",INDEX('MRE'!$L$10:$L$12,MATCH($F29,'MRE'!$B$10:$B$12,0))),"N/A")</f>
        <v/>
      </c>
      <c r="S29" s="25">
        <f>IFERROR(IF(INDEX('L&amp;R'!$L$10:$L$11,MATCH($F29,'L&amp;R'!$B$10:$B$11,0))="","Cell will autofill based on response",INDEX('L&amp;R'!$L$10:$L$11,MATCH($F29,'L&amp;R'!$B$10:$B$11,0))),"N/A")</f>
        <v/>
      </c>
      <c r="U29" s="26">
        <f>COUNTIF($H29:$S29,"Cell will autofill based on response")</f>
        <v/>
      </c>
      <c r="V29" s="26">
        <f>COUNTIF($H29:$S29,"Not yet started")</f>
        <v/>
      </c>
      <c r="W29" s="26">
        <f>COUNTIF($H29:$S29,"Not met")</f>
        <v/>
      </c>
      <c r="X29" s="26">
        <f>COUNTIF($H29:$S29,"Partially met")</f>
        <v/>
      </c>
      <c r="Y29" s="26">
        <f>COUNTIF($H29:$S29,"Met or exceeded")</f>
        <v/>
      </c>
      <c r="Z29" s="26">
        <f>3*Y29+2*X29+W29</f>
        <v/>
      </c>
      <c r="AA29" s="26">
        <f>Y29+X29+W29+V29</f>
        <v/>
      </c>
      <c r="AB29" s="27">
        <f>IF(AA29&gt;0,Z29/AA29,"No valid responses to date")</f>
        <v/>
      </c>
      <c r="AC29" s="26">
        <f>IF(ISNUMBER(AB29),INDEX(Lists!$G$2:$G$5,MATCH(ROUND(AB29,0),Lists!$H$2:$H$5,0)),"")</f>
        <v/>
      </c>
      <c r="AD29" s="28">
        <f>IF(AA29&gt;0,Y29/AA29,"")</f>
        <v/>
      </c>
      <c r="AE29" s="28">
        <f>IF(AA29&gt;0,(Y29+X29)/AA29,"")</f>
        <v/>
      </c>
      <c r="AF29" s="26">
        <f>IF(AA29=0,"",IF(AD29&gt;0.75,"Met or exceeded",IF(AE29&gt;=0.5,"Partially met","Not met")))</f>
        <v/>
      </c>
    </row>
    <row r="30">
      <c r="A30">
        <f>F30&amp;"|"&amp;G30</f>
        <v/>
      </c>
      <c r="B30" s="29" t="inlineStr"/>
      <c r="C30" s="8" t="inlineStr"/>
      <c r="D30" s="8" t="inlineStr"/>
      <c r="E30" s="8" t="inlineStr"/>
      <c r="F30" s="8" t="inlineStr">
        <is>
          <t>EE1(d)</t>
        </is>
      </c>
      <c r="G30" s="8" t="inlineStr">
        <is>
          <t>OPTION 1:  Target-level reporting</t>
        </is>
      </c>
      <c r="H30" s="25">
        <f>IFERROR(IF(INDEX('Faculties'!$M$10:$M$30,MATCH($F30,'Faculties'!$B$10:$B$30,0))="","Cell will autofill based on response",INDEX('Faculties'!$M$10:$M$30,MATCH($F30,'Faculties'!$B$10:$B$30,0))),"N/A")</f>
        <v/>
      </c>
      <c r="I30" s="25">
        <f>IFERROR(IF(INDEX('Faculties'!$M$37:$M$57,MATCH($F30,'Faculties'!$B$37:$B$57,0))="","Cell will autofill based on response",INDEX('Faculties'!$M$37:$M$57,MATCH($F30,'Faculties'!$B$37:$B$57,0))),"N/A")</f>
        <v/>
      </c>
      <c r="J30" s="25">
        <f>IFERROR(IF(INDEX('Faculties'!$M$64:$M$84,MATCH($F30,'Faculties'!$B$64:$B$84,0))="","Cell will autofill based on response",INDEX('Faculties'!$M$64:$M$84,MATCH($F30,'Faculties'!$B$64:$B$84,0))),"N/A")</f>
        <v/>
      </c>
      <c r="K30" s="25">
        <f>IFERROR(IF(INDEX('Faculties'!$M$91:$M$111,MATCH($F30,'Faculties'!$B$91:$B$111,0))="","Cell will autofill based on response",INDEX('Faculties'!$M$91:$M$111,MATCH($F30,'Faculties'!$B$91:$B$111,0))),"N/A")</f>
        <v/>
      </c>
      <c r="L30" s="25">
        <f>IFERROR(IF(INDEX('CI&amp;S'!$M$10:$M$15,MATCH($F30,'CI&amp;S'!$B$10:$B$15,0))="","Cell will autofill based on response",INDEX('CI&amp;S'!$M$10:$M$15,MATCH($F30,'CI&amp;S'!$B$10:$B$15,0))),"N/A")</f>
        <v/>
      </c>
      <c r="M30" s="25">
        <f>IFERROR(IF(INDEX('CI&amp;S'!$M$22:$M$39,MATCH($F30,'CI&amp;S'!$B$22:$B$39,0))="","Cell will autofill based on response",INDEX('CI&amp;S'!$M$22:$M$39,MATCH($F30,'CI&amp;S'!$B$22:$B$39,0))),"N/A")</f>
        <v/>
      </c>
      <c r="N30" s="25">
        <f>IFERROR(IF(INDEX('CFOG'!$M$10:$M$16,MATCH($F30,'CFOG'!$B$10:$B$16,0))="","Cell will autofill based on response",INDEX('CFOG'!$M$10:$M$16,MATCH($F30,'CFOG'!$B$10:$B$16,0))),"N/A")</f>
        <v/>
      </c>
      <c r="O30" s="25">
        <f>IFERROR(IF(INDEX('CFOG'!$M$23:$M$24,MATCH($F30,'CFOG'!$B$23:$B$24,0))="","Cell will autofill based on response",INDEX('CFOG'!$M$23:$M$24,MATCH($F30,'CFOG'!$B$23:$B$24,0))),"N/A")</f>
        <v/>
      </c>
      <c r="P30" s="25">
        <f>IFERROR(IF(INDEX('ESG'!$M$10:$M$17,MATCH($F30,'ESG'!$B$10:$B$17,0))="","Cell will autofill based on response",INDEX('ESG'!$M$10:$M$17,MATCH($F30,'ESG'!$B$10:$B$17,0))),"N/A")</f>
        <v/>
      </c>
      <c r="Q30" s="25">
        <f>IFERROR(IF(INDEX('CIOG'!$M$10:$M$14,MATCH($F30,'CIOG'!$B$10:$B$14,0))="","Cell will autofill based on response",INDEX('CIOG'!$M$10:$M$14,MATCH($F30,'CIOG'!$B$10:$B$14,0))),"N/A")</f>
        <v/>
      </c>
      <c r="R30" s="25">
        <f>IFERROR(IF(INDEX('MRE'!$M$10:$M$12,MATCH($F30,'MRE'!$B$10:$B$12,0))="","Cell will autofill based on response",INDEX('MRE'!$M$10:$M$12,MATCH($F30,'MRE'!$B$10:$B$12,0))),"N/A")</f>
        <v/>
      </c>
      <c r="S30" s="25">
        <f>IFERROR(IF(INDEX('L&amp;R'!$M$10:$M$11,MATCH($F30,'L&amp;R'!$B$10:$B$11,0))="","Cell will autofill based on response",INDEX('L&amp;R'!$M$10:$M$11,MATCH($F30,'L&amp;R'!$B$10:$B$11,0))),"N/A")</f>
        <v/>
      </c>
    </row>
    <row r="31">
      <c r="A31">
        <f>F31&amp;"|"&amp;G31</f>
        <v/>
      </c>
      <c r="B31" s="29" t="inlineStr"/>
      <c r="C31" s="8" t="inlineStr"/>
      <c r="D31" s="8" t="inlineStr"/>
      <c r="E31" s="8" t="inlineStr"/>
      <c r="F31" s="8" t="inlineStr">
        <is>
          <t>EE1(d)</t>
        </is>
      </c>
      <c r="G31" s="8" t="inlineStr">
        <is>
          <t>OPTION 2:  Indicator level reporting</t>
        </is>
      </c>
      <c r="H31" s="25">
        <f>IFERROR(IF(INDEX('Faculties'!$N$10:$N$30,MATCH($F31,'Faculties'!$B$10:$B$30,0))="","Cell will autofill based on response",INDEX('Faculties'!$N$10:$N$30,MATCH($F31,'Faculties'!$B$10:$B$30,0))),"N/A")</f>
        <v/>
      </c>
      <c r="I31" s="25">
        <f>IFERROR(IF(INDEX('Faculties'!$N$37:$N$57,MATCH($F31,'Faculties'!$B$37:$B$57,0))="","Cell will autofill based on response",INDEX('Faculties'!$N$37:$N$57,MATCH($F31,'Faculties'!$B$37:$B$57,0))),"N/A")</f>
        <v/>
      </c>
      <c r="J31" s="25">
        <f>IFERROR(IF(INDEX('Faculties'!$N$64:$N$84,MATCH($F31,'Faculties'!$B$64:$B$84,0))="","Cell will autofill based on response",INDEX('Faculties'!$N$64:$N$84,MATCH($F31,'Faculties'!$B$64:$B$84,0))),"N/A")</f>
        <v/>
      </c>
      <c r="K31" s="25">
        <f>IFERROR(IF(INDEX('Faculties'!$N$91:$N$111,MATCH($F31,'Faculties'!$B$91:$B$111,0))="","Cell will autofill based on response",INDEX('Faculties'!$N$91:$N$111,MATCH($F31,'Faculties'!$B$91:$B$111,0))),"N/A")</f>
        <v/>
      </c>
      <c r="L31" s="25">
        <f>IFERROR(IF(INDEX('CI&amp;S'!$N$10:$N$15,MATCH($F31,'CI&amp;S'!$B$10:$B$15,0))="","Cell will autofill based on response",INDEX('CI&amp;S'!$N$10:$N$15,MATCH($F31,'CI&amp;S'!$B$10:$B$15,0))),"N/A")</f>
        <v/>
      </c>
      <c r="M31" s="25">
        <f>IFERROR(IF(INDEX('CI&amp;S'!$N$22:$N$39,MATCH($F31,'CI&amp;S'!$B$22:$B$39,0))="","Cell will autofill based on response",INDEX('CI&amp;S'!$N$22:$N$39,MATCH($F31,'CI&amp;S'!$B$22:$B$39,0))),"N/A")</f>
        <v/>
      </c>
      <c r="N31" s="25">
        <f>IFERROR(IF(INDEX('CFOG'!$N$10:$N$16,MATCH($F31,'CFOG'!$B$10:$B$16,0))="","Cell will autofill based on response",INDEX('CFOG'!$N$10:$N$16,MATCH($F31,'CFOG'!$B$10:$B$16,0))),"N/A")</f>
        <v/>
      </c>
      <c r="O31" s="25">
        <f>IFERROR(IF(INDEX('CFOG'!$N$23:$N$24,MATCH($F31,'CFOG'!$B$23:$B$24,0))="","Cell will autofill based on response",INDEX('CFOG'!$N$23:$N$24,MATCH($F31,'CFOG'!$B$23:$B$24,0))),"N/A")</f>
        <v/>
      </c>
      <c r="P31" s="25">
        <f>IFERROR(IF(INDEX('ESG'!$N$10:$N$17,MATCH($F31,'ESG'!$B$10:$B$17,0))="","Cell will autofill based on response",INDEX('ESG'!$N$10:$N$17,MATCH($F31,'ESG'!$B$10:$B$17,0))),"N/A")</f>
        <v/>
      </c>
      <c r="Q31" s="25">
        <f>IFERROR(IF(INDEX('CIOG'!$N$10:$N$14,MATCH($F31,'CIOG'!$B$10:$B$14,0))="","Cell will autofill based on response",INDEX('CIOG'!$N$10:$N$14,MATCH($F31,'CIOG'!$B$10:$B$14,0))),"N/A")</f>
        <v/>
      </c>
      <c r="R31" s="25">
        <f>IFERROR(IF(INDEX('MRE'!$N$10:$N$12,MATCH($F31,'MRE'!$B$10:$B$12,0))="","Cell will autofill based on response",INDEX('MRE'!$N$10:$N$12,MATCH($F31,'MRE'!$B$10:$B$12,0))),"N/A")</f>
        <v/>
      </c>
      <c r="S31" s="25">
        <f>IFERROR(IF(INDEX('L&amp;R'!$N$10:$N$11,MATCH($F31,'L&amp;R'!$B$10:$B$11,0))="","Cell will autofill based on response",INDEX('L&amp;R'!$N$10:$N$11,MATCH($F31,'L&amp;R'!$B$10:$B$11,0))),"N/A")</f>
        <v/>
      </c>
    </row>
    <row r="32">
      <c r="A32">
        <f>F32&amp;"|"&amp;G32</f>
        <v/>
      </c>
      <c r="B32" s="29" t="inlineStr"/>
      <c r="C32" s="8" t="inlineStr"/>
      <c r="D32" s="8" t="inlineStr"/>
      <c r="E32" s="8" t="inlineStr"/>
      <c r="F32" s="8" t="inlineStr">
        <is>
          <t>EE1(d)</t>
        </is>
      </c>
      <c r="G32" s="8" t="inlineStr">
        <is>
          <t>Supporting information/comments</t>
        </is>
      </c>
      <c r="H32" s="25">
        <f>IFERROR(IF(INDEX('Faculties'!$O$10:$O$30,MATCH($F32,'Faculties'!$B$10:$B$30,0))="","Cell will autofill based on response",INDEX('Faculties'!$O$10:$O$30,MATCH($F32,'Faculties'!$B$10:$B$30,0))),"N/A")</f>
        <v/>
      </c>
      <c r="I32" s="25">
        <f>IFERROR(IF(INDEX('Faculties'!$O$37:$O$57,MATCH($F32,'Faculties'!$B$37:$B$57,0))="","Cell will autofill based on response",INDEX('Faculties'!$O$37:$O$57,MATCH($F32,'Faculties'!$B$37:$B$57,0))),"N/A")</f>
        <v/>
      </c>
      <c r="J32" s="25">
        <f>IFERROR(IF(INDEX('Faculties'!$O$64:$O$84,MATCH($F32,'Faculties'!$B$64:$B$84,0))="","Cell will autofill based on response",INDEX('Faculties'!$O$64:$O$84,MATCH($F32,'Faculties'!$B$64:$B$84,0))),"N/A")</f>
        <v/>
      </c>
      <c r="K32" s="25">
        <f>IFERROR(IF(INDEX('Faculties'!$O$91:$O$111,MATCH($F32,'Faculties'!$B$91:$B$111,0))="","Cell will autofill based on response",INDEX('Faculties'!$O$91:$O$111,MATCH($F32,'Faculties'!$B$91:$B$111,0))),"N/A")</f>
        <v/>
      </c>
      <c r="L32" s="25">
        <f>IFERROR(IF(INDEX('CI&amp;S'!$O$10:$O$15,MATCH($F32,'CI&amp;S'!$B$10:$B$15,0))="","Cell will autofill based on response",INDEX('CI&amp;S'!$O$10:$O$15,MATCH($F32,'CI&amp;S'!$B$10:$B$15,0))),"N/A")</f>
        <v/>
      </c>
      <c r="M32" s="25">
        <f>IFERROR(IF(INDEX('CI&amp;S'!$O$22:$O$39,MATCH($F32,'CI&amp;S'!$B$22:$B$39,0))="","Cell will autofill based on response",INDEX('CI&amp;S'!$O$22:$O$39,MATCH($F32,'CI&amp;S'!$B$22:$B$39,0))),"N/A")</f>
        <v/>
      </c>
      <c r="N32" s="25">
        <f>IFERROR(IF(INDEX('CFOG'!$O$10:$O$16,MATCH($F32,'CFOG'!$B$10:$B$16,0))="","Cell will autofill based on response",INDEX('CFOG'!$O$10:$O$16,MATCH($F32,'CFOG'!$B$10:$B$16,0))),"N/A")</f>
        <v/>
      </c>
      <c r="O32" s="25">
        <f>IFERROR(IF(INDEX('CFOG'!$O$23:$O$24,MATCH($F32,'CFOG'!$B$23:$B$24,0))="","Cell will autofill based on response",INDEX('CFOG'!$O$23:$O$24,MATCH($F32,'CFOG'!$B$23:$B$24,0))),"N/A")</f>
        <v/>
      </c>
      <c r="P32" s="25">
        <f>IFERROR(IF(INDEX('ESG'!$O$10:$O$17,MATCH($F32,'ESG'!$B$10:$B$17,0))="","Cell will autofill based on response",INDEX('ESG'!$O$10:$O$17,MATCH($F32,'ESG'!$B$10:$B$17,0))),"N/A")</f>
        <v/>
      </c>
      <c r="Q32" s="25">
        <f>IFERROR(IF(INDEX('CIOG'!$O$10:$O$14,MATCH($F32,'CIOG'!$B$10:$B$14,0))="","Cell will autofill based on response",INDEX('CIOG'!$O$10:$O$14,MATCH($F32,'CIOG'!$B$10:$B$14,0))),"N/A")</f>
        <v/>
      </c>
      <c r="R32" s="25">
        <f>IFERROR(IF(INDEX('MRE'!$O$10:$O$12,MATCH($F32,'MRE'!$B$10:$B$12,0))="","Cell will autofill based on response",INDEX('MRE'!$O$10:$O$12,MATCH($F32,'MRE'!$B$10:$B$12,0))),"N/A")</f>
        <v/>
      </c>
      <c r="S32" s="25">
        <f>IFERROR(IF(INDEX('L&amp;R'!$O$10:$O$11,MATCH($F32,'L&amp;R'!$B$10:$B$11,0))="","Cell will autofill based on response",INDEX('L&amp;R'!$O$10:$O$11,MATCH($F32,'L&amp;R'!$B$10:$B$11,0))),"N/A")</f>
        <v/>
      </c>
    </row>
    <row r="33">
      <c r="A33">
        <f>F33&amp;"|"&amp;G33</f>
        <v/>
      </c>
      <c r="B33" s="29" t="inlineStr"/>
      <c r="C33" s="8" t="inlineStr"/>
      <c r="D33" s="8" t="inlineStr"/>
      <c r="E33" s="8" t="inlineStr"/>
      <c r="F33" s="8" t="inlineStr">
        <is>
          <t>EE1(d)</t>
        </is>
      </c>
      <c r="G33" s="8" t="inlineStr">
        <is>
          <t>Data source and limitations</t>
        </is>
      </c>
      <c r="H33" s="25">
        <f>IFERROR(IF(INDEX('Faculties'!$P$10:$P$30,MATCH($F33,'Faculties'!$B$10:$B$30,0))="","Cell will autofill based on response",INDEX('Faculties'!$P$10:$P$30,MATCH($F33,'Faculties'!$B$10:$B$30,0))),"N/A")</f>
        <v/>
      </c>
      <c r="I33" s="25">
        <f>IFERROR(IF(INDEX('Faculties'!$P$37:$P$57,MATCH($F33,'Faculties'!$B$37:$B$57,0))="","Cell will autofill based on response",INDEX('Faculties'!$P$37:$P$57,MATCH($F33,'Faculties'!$B$37:$B$57,0))),"N/A")</f>
        <v/>
      </c>
      <c r="J33" s="25">
        <f>IFERROR(IF(INDEX('Faculties'!$P$64:$P$84,MATCH($F33,'Faculties'!$B$64:$B$84,0))="","Cell will autofill based on response",INDEX('Faculties'!$P$64:$P$84,MATCH($F33,'Faculties'!$B$64:$B$84,0))),"N/A")</f>
        <v/>
      </c>
      <c r="K33" s="25">
        <f>IFERROR(IF(INDEX('Faculties'!$P$91:$P$111,MATCH($F33,'Faculties'!$B$91:$B$111,0))="","Cell will autofill based on response",INDEX('Faculties'!$P$91:$P$111,MATCH($F33,'Faculties'!$B$91:$B$111,0))),"N/A")</f>
        <v/>
      </c>
      <c r="L33" s="25">
        <f>IFERROR(IF(INDEX('CI&amp;S'!$P$10:$P$15,MATCH($F33,'CI&amp;S'!$B$10:$B$15,0))="","Cell will autofill based on response",INDEX('CI&amp;S'!$P$10:$P$15,MATCH($F33,'CI&amp;S'!$B$10:$B$15,0))),"N/A")</f>
        <v/>
      </c>
      <c r="M33" s="25">
        <f>IFERROR(IF(INDEX('CI&amp;S'!$P$22:$P$39,MATCH($F33,'CI&amp;S'!$B$22:$B$39,0))="","Cell will autofill based on response",INDEX('CI&amp;S'!$P$22:$P$39,MATCH($F33,'CI&amp;S'!$B$22:$B$39,0))),"N/A")</f>
        <v/>
      </c>
      <c r="N33" s="25">
        <f>IFERROR(IF(INDEX('CFOG'!$P$10:$P$16,MATCH($F33,'CFOG'!$B$10:$B$16,0))="","Cell will autofill based on response",INDEX('CFOG'!$P$10:$P$16,MATCH($F33,'CFOG'!$B$10:$B$16,0))),"N/A")</f>
        <v/>
      </c>
      <c r="O33" s="25">
        <f>IFERROR(IF(INDEX('CFOG'!$P$23:$P$24,MATCH($F33,'CFOG'!$B$23:$B$24,0))="","Cell will autofill based on response",INDEX('CFOG'!$P$23:$P$24,MATCH($F33,'CFOG'!$B$23:$B$24,0))),"N/A")</f>
        <v/>
      </c>
      <c r="P33" s="25">
        <f>IFERROR(IF(INDEX('ESG'!$P$10:$P$17,MATCH($F33,'ESG'!$B$10:$B$17,0))="","Cell will autofill based on response",INDEX('ESG'!$P$10:$P$17,MATCH($F33,'ESG'!$B$10:$B$17,0))),"N/A")</f>
        <v/>
      </c>
      <c r="Q33" s="25">
        <f>IFERROR(IF(INDEX('CIOG'!$P$10:$P$14,MATCH($F33,'CIOG'!$B$10:$B$14,0))="","Cell will autofill based on response",INDEX('CIOG'!$P$10:$P$14,MATCH($F33,'CIOG'!$B$10:$B$14,0))),"N/A")</f>
        <v/>
      </c>
      <c r="R33" s="25">
        <f>IFERROR(IF(INDEX('MRE'!$P$10:$P$12,MATCH($F33,'MRE'!$B$10:$B$12,0))="","Cell will autofill based on response",INDEX('MRE'!$P$10:$P$12,MATCH($F33,'MRE'!$B$10:$B$12,0))),"N/A")</f>
        <v/>
      </c>
      <c r="S33" s="25">
        <f>IFERROR(IF(INDEX('L&amp;R'!$P$10:$P$11,MATCH($F33,'L&amp;R'!$B$10:$B$11,0))="","Cell will autofill based on response",INDEX('L&amp;R'!$P$10:$P$11,MATCH($F33,'L&amp;R'!$B$10:$B$11,0))),"N/A")</f>
        <v/>
      </c>
    </row>
    <row r="34">
      <c r="A34">
        <f>F34&amp;"|"&amp;G34</f>
        <v/>
      </c>
      <c r="B34" s="29" t="inlineStr"/>
      <c r="C34" s="8" t="inlineStr"/>
      <c r="D34" s="8" t="inlineStr"/>
      <c r="E34" s="8" t="inlineStr"/>
      <c r="F34" s="8" t="inlineStr">
        <is>
          <t>EE1(d)</t>
        </is>
      </c>
      <c r="G34" s="8" t="inlineStr">
        <is>
          <t>Data owner confirms</t>
        </is>
      </c>
      <c r="H34" s="25">
        <f>IFERROR(IF(INDEX('Faculties'!$Q$10:$Q$30,MATCH($F34,'Faculties'!$B$10:$B$30,0))="","Cell will autofill based on response",INDEX('Faculties'!$Q$10:$Q$30,MATCH($F34,'Faculties'!$B$10:$B$30,0))),"N/A")</f>
        <v/>
      </c>
      <c r="I34" s="25">
        <f>IFERROR(IF(INDEX('Faculties'!$Q$37:$Q$57,MATCH($F34,'Faculties'!$B$37:$B$57,0))="","Cell will autofill based on response",INDEX('Faculties'!$Q$37:$Q$57,MATCH($F34,'Faculties'!$B$37:$B$57,0))),"N/A")</f>
        <v/>
      </c>
      <c r="J34" s="25">
        <f>IFERROR(IF(INDEX('Faculties'!$Q$64:$Q$84,MATCH($F34,'Faculties'!$B$64:$B$84,0))="","Cell will autofill based on response",INDEX('Faculties'!$Q$64:$Q$84,MATCH($F34,'Faculties'!$B$64:$B$84,0))),"N/A")</f>
        <v/>
      </c>
      <c r="K34" s="25">
        <f>IFERROR(IF(INDEX('Faculties'!$Q$91:$Q$111,MATCH($F34,'Faculties'!$B$91:$B$111,0))="","Cell will autofill based on response",INDEX('Faculties'!$Q$91:$Q$111,MATCH($F34,'Faculties'!$B$91:$B$111,0))),"N/A")</f>
        <v/>
      </c>
      <c r="L34" s="25">
        <f>IFERROR(IF(INDEX('CI&amp;S'!$Q$10:$Q$15,MATCH($F34,'CI&amp;S'!$B$10:$B$15,0))="","Cell will autofill based on response",INDEX('CI&amp;S'!$Q$10:$Q$15,MATCH($F34,'CI&amp;S'!$B$10:$B$15,0))),"N/A")</f>
        <v/>
      </c>
      <c r="M34" s="25">
        <f>IFERROR(IF(INDEX('CI&amp;S'!$Q$22:$Q$39,MATCH($F34,'CI&amp;S'!$B$22:$B$39,0))="","Cell will autofill based on response",INDEX('CI&amp;S'!$Q$22:$Q$39,MATCH($F34,'CI&amp;S'!$B$22:$B$39,0))),"N/A")</f>
        <v/>
      </c>
      <c r="N34" s="25">
        <f>IFERROR(IF(INDEX('CFOG'!$Q$10:$Q$16,MATCH($F34,'CFOG'!$B$10:$B$16,0))="","Cell will autofill based on response",INDEX('CFOG'!$Q$10:$Q$16,MATCH($F34,'CFOG'!$B$10:$B$16,0))),"N/A")</f>
        <v/>
      </c>
      <c r="O34" s="25">
        <f>IFERROR(IF(INDEX('CFOG'!$Q$23:$Q$24,MATCH($F34,'CFOG'!$B$23:$B$24,0))="","Cell will autofill based on response",INDEX('CFOG'!$Q$23:$Q$24,MATCH($F34,'CFOG'!$B$23:$B$24,0))),"N/A")</f>
        <v/>
      </c>
      <c r="P34" s="25">
        <f>IFERROR(IF(INDEX('ESG'!$Q$10:$Q$17,MATCH($F34,'ESG'!$B$10:$B$17,0))="","Cell will autofill based on response",INDEX('ESG'!$Q$10:$Q$17,MATCH($F34,'ESG'!$B$10:$B$17,0))),"N/A")</f>
        <v/>
      </c>
      <c r="Q34" s="25">
        <f>IFERROR(IF(INDEX('CIOG'!$Q$10:$Q$14,MATCH($F34,'CIOG'!$B$10:$B$14,0))="","Cell will autofill based on response",INDEX('CIOG'!$Q$10:$Q$14,MATCH($F34,'CIOG'!$B$10:$B$14,0))),"N/A")</f>
        <v/>
      </c>
      <c r="R34" s="25">
        <f>IFERROR(IF(INDEX('MRE'!$Q$10:$Q$12,MATCH($F34,'MRE'!$B$10:$B$12,0))="","Cell will autofill based on response",INDEX('MRE'!$Q$10:$Q$12,MATCH($F34,'MRE'!$B$10:$B$12,0))),"N/A")</f>
        <v/>
      </c>
      <c r="S34" s="25">
        <f>IFERROR(IF(INDEX('L&amp;R'!$Q$10:$Q$11,MATCH($F34,'L&amp;R'!$B$10:$B$11,0))="","Cell will autofill based on response",INDEX('L&amp;R'!$Q$10:$Q$11,MATCH($F34,'L&amp;R'!$B$10:$B$11,0))),"N/A")</f>
        <v/>
      </c>
    </row>
    <row r="35">
      <c r="A35">
        <f>F35&amp;"|"&amp;G35</f>
        <v/>
      </c>
      <c r="B35" s="7" t="inlineStr">
        <is>
          <t>TR1(a)</t>
        </is>
      </c>
      <c r="C35" s="12" t="inlineStr">
        <is>
          <t>Transformational research</t>
        </is>
      </c>
      <c r="D35" s="12" t="inlineStr">
        <is>
          <t>Expert-reviewed evidence of researchers contributing to operational sustainability priorities through partnerships, advisory input, living labs, applied projects or decision-support</t>
        </is>
      </c>
      <c r="E35" s="12" t="inlineStr">
        <is>
          <t>Please provide examples of researchers within your Faculty/Portfolio contributing to University operational sustainability priorities through partnerships, advisory input, living labs, applied projects or decision-support. Briefly describe the operational challenge, researcher contribution and resulting or expected outcome.</t>
        </is>
      </c>
      <c r="F35" s="12" t="inlineStr">
        <is>
          <t>TR1(a)</t>
        </is>
      </c>
      <c r="G35" s="12" t="inlineStr">
        <is>
          <t>Confirm end-2026 target status</t>
        </is>
      </c>
      <c r="H35" s="25">
        <f>IFERROR(IF(INDEX('Faculties'!$L$10:$L$30,MATCH($F35,'Faculties'!$B$10:$B$30,0))="","Cell will autofill based on response",INDEX('Faculties'!$L$10:$L$30,MATCH($F35,'Faculties'!$B$10:$B$30,0))),"N/A")</f>
        <v/>
      </c>
      <c r="I35" s="25">
        <f>IFERROR(IF(INDEX('Faculties'!$L$37:$L$57,MATCH($F35,'Faculties'!$B$37:$B$57,0))="","Cell will autofill based on response",INDEX('Faculties'!$L$37:$L$57,MATCH($F35,'Faculties'!$B$37:$B$57,0))),"N/A")</f>
        <v/>
      </c>
      <c r="J35" s="25">
        <f>IFERROR(IF(INDEX('Faculties'!$L$64:$L$84,MATCH($F35,'Faculties'!$B$64:$B$84,0))="","Cell will autofill based on response",INDEX('Faculties'!$L$64:$L$84,MATCH($F35,'Faculties'!$B$64:$B$84,0))),"N/A")</f>
        <v/>
      </c>
      <c r="K35" s="25">
        <f>IFERROR(IF(INDEX('Faculties'!$L$91:$L$111,MATCH($F35,'Faculties'!$B$91:$B$111,0))="","Cell will autofill based on response",INDEX('Faculties'!$L$91:$L$111,MATCH($F35,'Faculties'!$B$91:$B$111,0))),"N/A")</f>
        <v/>
      </c>
      <c r="L35" s="25">
        <f>IFERROR(IF(INDEX('CI&amp;S'!$L$10:$L$15,MATCH($F35,'CI&amp;S'!$B$10:$B$15,0))="","Cell will autofill based on response",INDEX('CI&amp;S'!$L$10:$L$15,MATCH($F35,'CI&amp;S'!$B$10:$B$15,0))),"N/A")</f>
        <v/>
      </c>
      <c r="M35" s="25">
        <f>IFERROR(IF(INDEX('CI&amp;S'!$L$22:$L$39,MATCH($F35,'CI&amp;S'!$B$22:$B$39,0))="","Cell will autofill based on response",INDEX('CI&amp;S'!$L$22:$L$39,MATCH($F35,'CI&amp;S'!$B$22:$B$39,0))),"N/A")</f>
        <v/>
      </c>
      <c r="N35" s="25">
        <f>IFERROR(IF(INDEX('CFOG'!$L$10:$L$16,MATCH($F35,'CFOG'!$B$10:$B$16,0))="","Cell will autofill based on response",INDEX('CFOG'!$L$10:$L$16,MATCH($F35,'CFOG'!$B$10:$B$16,0))),"N/A")</f>
        <v/>
      </c>
      <c r="O35" s="25">
        <f>IFERROR(IF(INDEX('CFOG'!$L$23:$L$24,MATCH($F35,'CFOG'!$B$23:$B$24,0))="","Cell will autofill based on response",INDEX('CFOG'!$L$23:$L$24,MATCH($F35,'CFOG'!$B$23:$B$24,0))),"N/A")</f>
        <v/>
      </c>
      <c r="P35" s="25">
        <f>IFERROR(IF(INDEX('ESG'!$L$10:$L$17,MATCH($F35,'ESG'!$B$10:$B$17,0))="","Cell will autofill based on response",INDEX('ESG'!$L$10:$L$17,MATCH($F35,'ESG'!$B$10:$B$17,0))),"N/A")</f>
        <v/>
      </c>
      <c r="Q35" s="25">
        <f>IFERROR(IF(INDEX('CIOG'!$L$10:$L$14,MATCH($F35,'CIOG'!$B$10:$B$14,0))="","Cell will autofill based on response",INDEX('CIOG'!$L$10:$L$14,MATCH($F35,'CIOG'!$B$10:$B$14,0))),"N/A")</f>
        <v/>
      </c>
      <c r="R35" s="25">
        <f>IFERROR(IF(INDEX('MRE'!$L$10:$L$12,MATCH($F35,'MRE'!$B$10:$B$12,0))="","Cell will autofill based on response",INDEX('MRE'!$L$10:$L$12,MATCH($F35,'MRE'!$B$10:$B$12,0))),"N/A")</f>
        <v/>
      </c>
      <c r="S35" s="25">
        <f>IFERROR(IF(INDEX('L&amp;R'!$L$10:$L$11,MATCH($F35,'L&amp;R'!$B$10:$B$11,0))="","Cell will autofill based on response",INDEX('L&amp;R'!$L$10:$L$11,MATCH($F35,'L&amp;R'!$B$10:$B$11,0))),"N/A")</f>
        <v/>
      </c>
      <c r="U35" s="26">
        <f>COUNTIF($H35:$S35,"Cell will autofill based on response")</f>
        <v/>
      </c>
      <c r="V35" s="26">
        <f>COUNTIF($H35:$S35,"Not yet started")</f>
        <v/>
      </c>
      <c r="W35" s="26">
        <f>COUNTIF($H35:$S35,"Not met")</f>
        <v/>
      </c>
      <c r="X35" s="26">
        <f>COUNTIF($H35:$S35,"Partially met")</f>
        <v/>
      </c>
      <c r="Y35" s="26">
        <f>COUNTIF($H35:$S35,"Met or exceeded")</f>
        <v/>
      </c>
      <c r="Z35" s="26">
        <f>3*Y35+2*X35+W35</f>
        <v/>
      </c>
      <c r="AA35" s="26">
        <f>Y35+X35+W35+V35</f>
        <v/>
      </c>
      <c r="AB35" s="27">
        <f>IF(AA35&gt;0,Z35/AA35,"No valid responses to date")</f>
        <v/>
      </c>
      <c r="AC35" s="26">
        <f>IF(ISNUMBER(AB35),INDEX(Lists!$G$2:$G$5,MATCH(ROUND(AB35,0),Lists!$H$2:$H$5,0)),"")</f>
        <v/>
      </c>
      <c r="AD35" s="28">
        <f>IF(AA35&gt;0,Y35/AA35,"")</f>
        <v/>
      </c>
      <c r="AE35" s="28">
        <f>IF(AA35&gt;0,(Y35+X35)/AA35,"")</f>
        <v/>
      </c>
      <c r="AF35" s="26">
        <f>IF(AA35=0,"",IF(AD35&gt;0.75,"Met or exceeded",IF(AE35&gt;=0.5,"Partially met","Not met")))</f>
        <v/>
      </c>
    </row>
    <row r="36">
      <c r="A36">
        <f>F36&amp;"|"&amp;G36</f>
        <v/>
      </c>
      <c r="B36" s="29" t="inlineStr"/>
      <c r="C36" s="8" t="inlineStr"/>
      <c r="D36" s="8" t="inlineStr"/>
      <c r="E36" s="8" t="inlineStr"/>
      <c r="F36" s="8" t="inlineStr">
        <is>
          <t>TR1(a)</t>
        </is>
      </c>
      <c r="G36" s="8" t="inlineStr">
        <is>
          <t>OPTION 1:  Target-level reporting</t>
        </is>
      </c>
      <c r="H36" s="25">
        <f>IFERROR(IF(INDEX('Faculties'!$M$10:$M$30,MATCH($F36,'Faculties'!$B$10:$B$30,0))="","Cell will autofill based on response",INDEX('Faculties'!$M$10:$M$30,MATCH($F36,'Faculties'!$B$10:$B$30,0))),"N/A")</f>
        <v/>
      </c>
      <c r="I36" s="25">
        <f>IFERROR(IF(INDEX('Faculties'!$M$37:$M$57,MATCH($F36,'Faculties'!$B$37:$B$57,0))="","Cell will autofill based on response",INDEX('Faculties'!$M$37:$M$57,MATCH($F36,'Faculties'!$B$37:$B$57,0))),"N/A")</f>
        <v/>
      </c>
      <c r="J36" s="25">
        <f>IFERROR(IF(INDEX('Faculties'!$M$64:$M$84,MATCH($F36,'Faculties'!$B$64:$B$84,0))="","Cell will autofill based on response",INDEX('Faculties'!$M$64:$M$84,MATCH($F36,'Faculties'!$B$64:$B$84,0))),"N/A")</f>
        <v/>
      </c>
      <c r="K36" s="25">
        <f>IFERROR(IF(INDEX('Faculties'!$M$91:$M$111,MATCH($F36,'Faculties'!$B$91:$B$111,0))="","Cell will autofill based on response",INDEX('Faculties'!$M$91:$M$111,MATCH($F36,'Faculties'!$B$91:$B$111,0))),"N/A")</f>
        <v/>
      </c>
      <c r="L36" s="25">
        <f>IFERROR(IF(INDEX('CI&amp;S'!$M$10:$M$15,MATCH($F36,'CI&amp;S'!$B$10:$B$15,0))="","Cell will autofill based on response",INDEX('CI&amp;S'!$M$10:$M$15,MATCH($F36,'CI&amp;S'!$B$10:$B$15,0))),"N/A")</f>
        <v/>
      </c>
      <c r="M36" s="25">
        <f>IFERROR(IF(INDEX('CI&amp;S'!$M$22:$M$39,MATCH($F36,'CI&amp;S'!$B$22:$B$39,0))="","Cell will autofill based on response",INDEX('CI&amp;S'!$M$22:$M$39,MATCH($F36,'CI&amp;S'!$B$22:$B$39,0))),"N/A")</f>
        <v/>
      </c>
      <c r="N36" s="25">
        <f>IFERROR(IF(INDEX('CFOG'!$M$10:$M$16,MATCH($F36,'CFOG'!$B$10:$B$16,0))="","Cell will autofill based on response",INDEX('CFOG'!$M$10:$M$16,MATCH($F36,'CFOG'!$B$10:$B$16,0))),"N/A")</f>
        <v/>
      </c>
      <c r="O36" s="25">
        <f>IFERROR(IF(INDEX('CFOG'!$M$23:$M$24,MATCH($F36,'CFOG'!$B$23:$B$24,0))="","Cell will autofill based on response",INDEX('CFOG'!$M$23:$M$24,MATCH($F36,'CFOG'!$B$23:$B$24,0))),"N/A")</f>
        <v/>
      </c>
      <c r="P36" s="25">
        <f>IFERROR(IF(INDEX('ESG'!$M$10:$M$17,MATCH($F36,'ESG'!$B$10:$B$17,0))="","Cell will autofill based on response",INDEX('ESG'!$M$10:$M$17,MATCH($F36,'ESG'!$B$10:$B$17,0))),"N/A")</f>
        <v/>
      </c>
      <c r="Q36" s="25">
        <f>IFERROR(IF(INDEX('CIOG'!$M$10:$M$14,MATCH($F36,'CIOG'!$B$10:$B$14,0))="","Cell will autofill based on response",INDEX('CIOG'!$M$10:$M$14,MATCH($F36,'CIOG'!$B$10:$B$14,0))),"N/A")</f>
        <v/>
      </c>
      <c r="R36" s="25">
        <f>IFERROR(IF(INDEX('MRE'!$M$10:$M$12,MATCH($F36,'MRE'!$B$10:$B$12,0))="","Cell will autofill based on response",INDEX('MRE'!$M$10:$M$12,MATCH($F36,'MRE'!$B$10:$B$12,0))),"N/A")</f>
        <v/>
      </c>
      <c r="S36" s="25">
        <f>IFERROR(IF(INDEX('L&amp;R'!$M$10:$M$11,MATCH($F36,'L&amp;R'!$B$10:$B$11,0))="","Cell will autofill based on response",INDEX('L&amp;R'!$M$10:$M$11,MATCH($F36,'L&amp;R'!$B$10:$B$11,0))),"N/A")</f>
        <v/>
      </c>
    </row>
    <row r="37">
      <c r="A37">
        <f>F37&amp;"|"&amp;G37</f>
        <v/>
      </c>
      <c r="B37" s="29" t="inlineStr"/>
      <c r="C37" s="8" t="inlineStr"/>
      <c r="D37" s="8" t="inlineStr"/>
      <c r="E37" s="8" t="inlineStr"/>
      <c r="F37" s="8" t="inlineStr">
        <is>
          <t>TR1(a)</t>
        </is>
      </c>
      <c r="G37" s="8" t="inlineStr">
        <is>
          <t>OPTION 2:  Indicator level reporting</t>
        </is>
      </c>
      <c r="H37" s="25">
        <f>IFERROR(IF(INDEX('Faculties'!$N$10:$N$30,MATCH($F37,'Faculties'!$B$10:$B$30,0))="","Cell will autofill based on response",INDEX('Faculties'!$N$10:$N$30,MATCH($F37,'Faculties'!$B$10:$B$30,0))),"N/A")</f>
        <v/>
      </c>
      <c r="I37" s="25">
        <f>IFERROR(IF(INDEX('Faculties'!$N$37:$N$57,MATCH($F37,'Faculties'!$B$37:$B$57,0))="","Cell will autofill based on response",INDEX('Faculties'!$N$37:$N$57,MATCH($F37,'Faculties'!$B$37:$B$57,0))),"N/A")</f>
        <v/>
      </c>
      <c r="J37" s="25">
        <f>IFERROR(IF(INDEX('Faculties'!$N$64:$N$84,MATCH($F37,'Faculties'!$B$64:$B$84,0))="","Cell will autofill based on response",INDEX('Faculties'!$N$64:$N$84,MATCH($F37,'Faculties'!$B$64:$B$84,0))),"N/A")</f>
        <v/>
      </c>
      <c r="K37" s="25">
        <f>IFERROR(IF(INDEX('Faculties'!$N$91:$N$111,MATCH($F37,'Faculties'!$B$91:$B$111,0))="","Cell will autofill based on response",INDEX('Faculties'!$N$91:$N$111,MATCH($F37,'Faculties'!$B$91:$B$111,0))),"N/A")</f>
        <v/>
      </c>
      <c r="L37" s="25">
        <f>IFERROR(IF(INDEX('CI&amp;S'!$N$10:$N$15,MATCH($F37,'CI&amp;S'!$B$10:$B$15,0))="","Cell will autofill based on response",INDEX('CI&amp;S'!$N$10:$N$15,MATCH($F37,'CI&amp;S'!$B$10:$B$15,0))),"N/A")</f>
        <v/>
      </c>
      <c r="M37" s="25">
        <f>IFERROR(IF(INDEX('CI&amp;S'!$N$22:$N$39,MATCH($F37,'CI&amp;S'!$B$22:$B$39,0))="","Cell will autofill based on response",INDEX('CI&amp;S'!$N$22:$N$39,MATCH($F37,'CI&amp;S'!$B$22:$B$39,0))),"N/A")</f>
        <v/>
      </c>
      <c r="N37" s="25">
        <f>IFERROR(IF(INDEX('CFOG'!$N$10:$N$16,MATCH($F37,'CFOG'!$B$10:$B$16,0))="","Cell will autofill based on response",INDEX('CFOG'!$N$10:$N$16,MATCH($F37,'CFOG'!$B$10:$B$16,0))),"N/A")</f>
        <v/>
      </c>
      <c r="O37" s="25">
        <f>IFERROR(IF(INDEX('CFOG'!$N$23:$N$24,MATCH($F37,'CFOG'!$B$23:$B$24,0))="","Cell will autofill based on response",INDEX('CFOG'!$N$23:$N$24,MATCH($F37,'CFOG'!$B$23:$B$24,0))),"N/A")</f>
        <v/>
      </c>
      <c r="P37" s="25">
        <f>IFERROR(IF(INDEX('ESG'!$N$10:$N$17,MATCH($F37,'ESG'!$B$10:$B$17,0))="","Cell will autofill based on response",INDEX('ESG'!$N$10:$N$17,MATCH($F37,'ESG'!$B$10:$B$17,0))),"N/A")</f>
        <v/>
      </c>
      <c r="Q37" s="25">
        <f>IFERROR(IF(INDEX('CIOG'!$N$10:$N$14,MATCH($F37,'CIOG'!$B$10:$B$14,0))="","Cell will autofill based on response",INDEX('CIOG'!$N$10:$N$14,MATCH($F37,'CIOG'!$B$10:$B$14,0))),"N/A")</f>
        <v/>
      </c>
      <c r="R37" s="25">
        <f>IFERROR(IF(INDEX('MRE'!$N$10:$N$12,MATCH($F37,'MRE'!$B$10:$B$12,0))="","Cell will autofill based on response",INDEX('MRE'!$N$10:$N$12,MATCH($F37,'MRE'!$B$10:$B$12,0))),"N/A")</f>
        <v/>
      </c>
      <c r="S37" s="25">
        <f>IFERROR(IF(INDEX('L&amp;R'!$N$10:$N$11,MATCH($F37,'L&amp;R'!$B$10:$B$11,0))="","Cell will autofill based on response",INDEX('L&amp;R'!$N$10:$N$11,MATCH($F37,'L&amp;R'!$B$10:$B$11,0))),"N/A")</f>
        <v/>
      </c>
    </row>
    <row r="38">
      <c r="A38">
        <f>F38&amp;"|"&amp;G38</f>
        <v/>
      </c>
      <c r="B38" s="29" t="inlineStr"/>
      <c r="C38" s="8" t="inlineStr"/>
      <c r="D38" s="8" t="inlineStr"/>
      <c r="E38" s="8" t="inlineStr"/>
      <c r="F38" s="8" t="inlineStr">
        <is>
          <t>TR1(a)</t>
        </is>
      </c>
      <c r="G38" s="8" t="inlineStr">
        <is>
          <t>Supporting information/comments</t>
        </is>
      </c>
      <c r="H38" s="25">
        <f>IFERROR(IF(INDEX('Faculties'!$O$10:$O$30,MATCH($F38,'Faculties'!$B$10:$B$30,0))="","Cell will autofill based on response",INDEX('Faculties'!$O$10:$O$30,MATCH($F38,'Faculties'!$B$10:$B$30,0))),"N/A")</f>
        <v/>
      </c>
      <c r="I38" s="25">
        <f>IFERROR(IF(INDEX('Faculties'!$O$37:$O$57,MATCH($F38,'Faculties'!$B$37:$B$57,0))="","Cell will autofill based on response",INDEX('Faculties'!$O$37:$O$57,MATCH($F38,'Faculties'!$B$37:$B$57,0))),"N/A")</f>
        <v/>
      </c>
      <c r="J38" s="25">
        <f>IFERROR(IF(INDEX('Faculties'!$O$64:$O$84,MATCH($F38,'Faculties'!$B$64:$B$84,0))="","Cell will autofill based on response",INDEX('Faculties'!$O$64:$O$84,MATCH($F38,'Faculties'!$B$64:$B$84,0))),"N/A")</f>
        <v/>
      </c>
      <c r="K38" s="25">
        <f>IFERROR(IF(INDEX('Faculties'!$O$91:$O$111,MATCH($F38,'Faculties'!$B$91:$B$111,0))="","Cell will autofill based on response",INDEX('Faculties'!$O$91:$O$111,MATCH($F38,'Faculties'!$B$91:$B$111,0))),"N/A")</f>
        <v/>
      </c>
      <c r="L38" s="25">
        <f>IFERROR(IF(INDEX('CI&amp;S'!$O$10:$O$15,MATCH($F38,'CI&amp;S'!$B$10:$B$15,0))="","Cell will autofill based on response",INDEX('CI&amp;S'!$O$10:$O$15,MATCH($F38,'CI&amp;S'!$B$10:$B$15,0))),"N/A")</f>
        <v/>
      </c>
      <c r="M38" s="25">
        <f>IFERROR(IF(INDEX('CI&amp;S'!$O$22:$O$39,MATCH($F38,'CI&amp;S'!$B$22:$B$39,0))="","Cell will autofill based on response",INDEX('CI&amp;S'!$O$22:$O$39,MATCH($F38,'CI&amp;S'!$B$22:$B$39,0))),"N/A")</f>
        <v/>
      </c>
      <c r="N38" s="25">
        <f>IFERROR(IF(INDEX('CFOG'!$O$10:$O$16,MATCH($F38,'CFOG'!$B$10:$B$16,0))="","Cell will autofill based on response",INDEX('CFOG'!$O$10:$O$16,MATCH($F38,'CFOG'!$B$10:$B$16,0))),"N/A")</f>
        <v/>
      </c>
      <c r="O38" s="25">
        <f>IFERROR(IF(INDEX('CFOG'!$O$23:$O$24,MATCH($F38,'CFOG'!$B$23:$B$24,0))="","Cell will autofill based on response",INDEX('CFOG'!$O$23:$O$24,MATCH($F38,'CFOG'!$B$23:$B$24,0))),"N/A")</f>
        <v/>
      </c>
      <c r="P38" s="25">
        <f>IFERROR(IF(INDEX('ESG'!$O$10:$O$17,MATCH($F38,'ESG'!$B$10:$B$17,0))="","Cell will autofill based on response",INDEX('ESG'!$O$10:$O$17,MATCH($F38,'ESG'!$B$10:$B$17,0))),"N/A")</f>
        <v/>
      </c>
      <c r="Q38" s="25">
        <f>IFERROR(IF(INDEX('CIOG'!$O$10:$O$14,MATCH($F38,'CIOG'!$B$10:$B$14,0))="","Cell will autofill based on response",INDEX('CIOG'!$O$10:$O$14,MATCH($F38,'CIOG'!$B$10:$B$14,0))),"N/A")</f>
        <v/>
      </c>
      <c r="R38" s="25">
        <f>IFERROR(IF(INDEX('MRE'!$O$10:$O$12,MATCH($F38,'MRE'!$B$10:$B$12,0))="","Cell will autofill based on response",INDEX('MRE'!$O$10:$O$12,MATCH($F38,'MRE'!$B$10:$B$12,0))),"N/A")</f>
        <v/>
      </c>
      <c r="S38" s="25">
        <f>IFERROR(IF(INDEX('L&amp;R'!$O$10:$O$11,MATCH($F38,'L&amp;R'!$B$10:$B$11,0))="","Cell will autofill based on response",INDEX('L&amp;R'!$O$10:$O$11,MATCH($F38,'L&amp;R'!$B$10:$B$11,0))),"N/A")</f>
        <v/>
      </c>
    </row>
    <row r="39">
      <c r="A39">
        <f>F39&amp;"|"&amp;G39</f>
        <v/>
      </c>
      <c r="B39" s="29" t="inlineStr"/>
      <c r="C39" s="8" t="inlineStr"/>
      <c r="D39" s="8" t="inlineStr"/>
      <c r="E39" s="8" t="inlineStr"/>
      <c r="F39" s="8" t="inlineStr">
        <is>
          <t>TR1(a)</t>
        </is>
      </c>
      <c r="G39" s="8" t="inlineStr">
        <is>
          <t>Data source and limitations</t>
        </is>
      </c>
      <c r="H39" s="25">
        <f>IFERROR(IF(INDEX('Faculties'!$P$10:$P$30,MATCH($F39,'Faculties'!$B$10:$B$30,0))="","Cell will autofill based on response",INDEX('Faculties'!$P$10:$P$30,MATCH($F39,'Faculties'!$B$10:$B$30,0))),"N/A")</f>
        <v/>
      </c>
      <c r="I39" s="25">
        <f>IFERROR(IF(INDEX('Faculties'!$P$37:$P$57,MATCH($F39,'Faculties'!$B$37:$B$57,0))="","Cell will autofill based on response",INDEX('Faculties'!$P$37:$P$57,MATCH($F39,'Faculties'!$B$37:$B$57,0))),"N/A")</f>
        <v/>
      </c>
      <c r="J39" s="25">
        <f>IFERROR(IF(INDEX('Faculties'!$P$64:$P$84,MATCH($F39,'Faculties'!$B$64:$B$84,0))="","Cell will autofill based on response",INDEX('Faculties'!$P$64:$P$84,MATCH($F39,'Faculties'!$B$64:$B$84,0))),"N/A")</f>
        <v/>
      </c>
      <c r="K39" s="25">
        <f>IFERROR(IF(INDEX('Faculties'!$P$91:$P$111,MATCH($F39,'Faculties'!$B$91:$B$111,0))="","Cell will autofill based on response",INDEX('Faculties'!$P$91:$P$111,MATCH($F39,'Faculties'!$B$91:$B$111,0))),"N/A")</f>
        <v/>
      </c>
      <c r="L39" s="25">
        <f>IFERROR(IF(INDEX('CI&amp;S'!$P$10:$P$15,MATCH($F39,'CI&amp;S'!$B$10:$B$15,0))="","Cell will autofill based on response",INDEX('CI&amp;S'!$P$10:$P$15,MATCH($F39,'CI&amp;S'!$B$10:$B$15,0))),"N/A")</f>
        <v/>
      </c>
      <c r="M39" s="25">
        <f>IFERROR(IF(INDEX('CI&amp;S'!$P$22:$P$39,MATCH($F39,'CI&amp;S'!$B$22:$B$39,0))="","Cell will autofill based on response",INDEX('CI&amp;S'!$P$22:$P$39,MATCH($F39,'CI&amp;S'!$B$22:$B$39,0))),"N/A")</f>
        <v/>
      </c>
      <c r="N39" s="25">
        <f>IFERROR(IF(INDEX('CFOG'!$P$10:$P$16,MATCH($F39,'CFOG'!$B$10:$B$16,0))="","Cell will autofill based on response",INDEX('CFOG'!$P$10:$P$16,MATCH($F39,'CFOG'!$B$10:$B$16,0))),"N/A")</f>
        <v/>
      </c>
      <c r="O39" s="25">
        <f>IFERROR(IF(INDEX('CFOG'!$P$23:$P$24,MATCH($F39,'CFOG'!$B$23:$B$24,0))="","Cell will autofill based on response",INDEX('CFOG'!$P$23:$P$24,MATCH($F39,'CFOG'!$B$23:$B$24,0))),"N/A")</f>
        <v/>
      </c>
      <c r="P39" s="25">
        <f>IFERROR(IF(INDEX('ESG'!$P$10:$P$17,MATCH($F39,'ESG'!$B$10:$B$17,0))="","Cell will autofill based on response",INDEX('ESG'!$P$10:$P$17,MATCH($F39,'ESG'!$B$10:$B$17,0))),"N/A")</f>
        <v/>
      </c>
      <c r="Q39" s="25">
        <f>IFERROR(IF(INDEX('CIOG'!$P$10:$P$14,MATCH($F39,'CIOG'!$B$10:$B$14,0))="","Cell will autofill based on response",INDEX('CIOG'!$P$10:$P$14,MATCH($F39,'CIOG'!$B$10:$B$14,0))),"N/A")</f>
        <v/>
      </c>
      <c r="R39" s="25">
        <f>IFERROR(IF(INDEX('MRE'!$P$10:$P$12,MATCH($F39,'MRE'!$B$10:$B$12,0))="","Cell will autofill based on response",INDEX('MRE'!$P$10:$P$12,MATCH($F39,'MRE'!$B$10:$B$12,0))),"N/A")</f>
        <v/>
      </c>
      <c r="S39" s="25">
        <f>IFERROR(IF(INDEX('L&amp;R'!$P$10:$P$11,MATCH($F39,'L&amp;R'!$B$10:$B$11,0))="","Cell will autofill based on response",INDEX('L&amp;R'!$P$10:$P$11,MATCH($F39,'L&amp;R'!$B$10:$B$11,0))),"N/A")</f>
        <v/>
      </c>
    </row>
    <row r="40">
      <c r="A40">
        <f>F40&amp;"|"&amp;G40</f>
        <v/>
      </c>
      <c r="B40" s="29" t="inlineStr"/>
      <c r="C40" s="8" t="inlineStr"/>
      <c r="D40" s="8" t="inlineStr"/>
      <c r="E40" s="8" t="inlineStr"/>
      <c r="F40" s="8" t="inlineStr">
        <is>
          <t>TR1(a)</t>
        </is>
      </c>
      <c r="G40" s="8" t="inlineStr">
        <is>
          <t>Data owner confirms</t>
        </is>
      </c>
      <c r="H40" s="25">
        <f>IFERROR(IF(INDEX('Faculties'!$Q$10:$Q$30,MATCH($F40,'Faculties'!$B$10:$B$30,0))="","Cell will autofill based on response",INDEX('Faculties'!$Q$10:$Q$30,MATCH($F40,'Faculties'!$B$10:$B$30,0))),"N/A")</f>
        <v/>
      </c>
      <c r="I40" s="25">
        <f>IFERROR(IF(INDEX('Faculties'!$Q$37:$Q$57,MATCH($F40,'Faculties'!$B$37:$B$57,0))="","Cell will autofill based on response",INDEX('Faculties'!$Q$37:$Q$57,MATCH($F40,'Faculties'!$B$37:$B$57,0))),"N/A")</f>
        <v/>
      </c>
      <c r="J40" s="25">
        <f>IFERROR(IF(INDEX('Faculties'!$Q$64:$Q$84,MATCH($F40,'Faculties'!$B$64:$B$84,0))="","Cell will autofill based on response",INDEX('Faculties'!$Q$64:$Q$84,MATCH($F40,'Faculties'!$B$64:$B$84,0))),"N/A")</f>
        <v/>
      </c>
      <c r="K40" s="25">
        <f>IFERROR(IF(INDEX('Faculties'!$Q$91:$Q$111,MATCH($F40,'Faculties'!$B$91:$B$111,0))="","Cell will autofill based on response",INDEX('Faculties'!$Q$91:$Q$111,MATCH($F40,'Faculties'!$B$91:$B$111,0))),"N/A")</f>
        <v/>
      </c>
      <c r="L40" s="25">
        <f>IFERROR(IF(INDEX('CI&amp;S'!$Q$10:$Q$15,MATCH($F40,'CI&amp;S'!$B$10:$B$15,0))="","Cell will autofill based on response",INDEX('CI&amp;S'!$Q$10:$Q$15,MATCH($F40,'CI&amp;S'!$B$10:$B$15,0))),"N/A")</f>
        <v/>
      </c>
      <c r="M40" s="25">
        <f>IFERROR(IF(INDEX('CI&amp;S'!$Q$22:$Q$39,MATCH($F40,'CI&amp;S'!$B$22:$B$39,0))="","Cell will autofill based on response",INDEX('CI&amp;S'!$Q$22:$Q$39,MATCH($F40,'CI&amp;S'!$B$22:$B$39,0))),"N/A")</f>
        <v/>
      </c>
      <c r="N40" s="25">
        <f>IFERROR(IF(INDEX('CFOG'!$Q$10:$Q$16,MATCH($F40,'CFOG'!$B$10:$B$16,0))="","Cell will autofill based on response",INDEX('CFOG'!$Q$10:$Q$16,MATCH($F40,'CFOG'!$B$10:$B$16,0))),"N/A")</f>
        <v/>
      </c>
      <c r="O40" s="25">
        <f>IFERROR(IF(INDEX('CFOG'!$Q$23:$Q$24,MATCH($F40,'CFOG'!$B$23:$B$24,0))="","Cell will autofill based on response",INDEX('CFOG'!$Q$23:$Q$24,MATCH($F40,'CFOG'!$B$23:$B$24,0))),"N/A")</f>
        <v/>
      </c>
      <c r="P40" s="25">
        <f>IFERROR(IF(INDEX('ESG'!$Q$10:$Q$17,MATCH($F40,'ESG'!$B$10:$B$17,0))="","Cell will autofill based on response",INDEX('ESG'!$Q$10:$Q$17,MATCH($F40,'ESG'!$B$10:$B$17,0))),"N/A")</f>
        <v/>
      </c>
      <c r="Q40" s="25">
        <f>IFERROR(IF(INDEX('CIOG'!$Q$10:$Q$14,MATCH($F40,'CIOG'!$B$10:$B$14,0))="","Cell will autofill based on response",INDEX('CIOG'!$Q$10:$Q$14,MATCH($F40,'CIOG'!$B$10:$B$14,0))),"N/A")</f>
        <v/>
      </c>
      <c r="R40" s="25">
        <f>IFERROR(IF(INDEX('MRE'!$Q$10:$Q$12,MATCH($F40,'MRE'!$B$10:$B$12,0))="","Cell will autofill based on response",INDEX('MRE'!$Q$10:$Q$12,MATCH($F40,'MRE'!$B$10:$B$12,0))),"N/A")</f>
        <v/>
      </c>
      <c r="S40" s="25">
        <f>IFERROR(IF(INDEX('L&amp;R'!$Q$10:$Q$11,MATCH($F40,'L&amp;R'!$B$10:$B$11,0))="","Cell will autofill based on response",INDEX('L&amp;R'!$Q$10:$Q$11,MATCH($F40,'L&amp;R'!$B$10:$B$11,0))),"N/A")</f>
        <v/>
      </c>
    </row>
    <row r="41">
      <c r="A41">
        <f>F41&amp;"|"&amp;G41</f>
        <v/>
      </c>
      <c r="B41" s="7" t="inlineStr">
        <is>
          <t>TR1(b)</t>
        </is>
      </c>
      <c r="C41" s="12" t="inlineStr">
        <is>
          <t>Transformational research</t>
        </is>
      </c>
      <c r="D41" s="12" t="inlineStr">
        <is>
          <t>Evidence of institutional pathways that enable ongoing collaboration between academic and professional staff</t>
        </is>
      </c>
      <c r="E41" s="12" t="inlineStr">
        <is>
          <t>Please describe any pathways, mechanisms or processes within your Faculty/Portfolio that enable ongoing collaboration between academic and professional staff on operational sustainability challenges, could include formal programs, governance arrangements, funding mechanisms or coordination channels.</t>
        </is>
      </c>
      <c r="F41" s="12" t="inlineStr">
        <is>
          <t>TR1(b)</t>
        </is>
      </c>
      <c r="G41" s="12" t="inlineStr">
        <is>
          <t>Confirm end-2026 target status</t>
        </is>
      </c>
      <c r="H41" s="25">
        <f>IFERROR(IF(INDEX('Faculties'!$L$10:$L$30,MATCH($F41,'Faculties'!$B$10:$B$30,0))="","Cell will autofill based on response",INDEX('Faculties'!$L$10:$L$30,MATCH($F41,'Faculties'!$B$10:$B$30,0))),"N/A")</f>
        <v/>
      </c>
      <c r="I41" s="25">
        <f>IFERROR(IF(INDEX('Faculties'!$L$37:$L$57,MATCH($F41,'Faculties'!$B$37:$B$57,0))="","Cell will autofill based on response",INDEX('Faculties'!$L$37:$L$57,MATCH($F41,'Faculties'!$B$37:$B$57,0))),"N/A")</f>
        <v/>
      </c>
      <c r="J41" s="25">
        <f>IFERROR(IF(INDEX('Faculties'!$L$64:$L$84,MATCH($F41,'Faculties'!$B$64:$B$84,0))="","Cell will autofill based on response",INDEX('Faculties'!$L$64:$L$84,MATCH($F41,'Faculties'!$B$64:$B$84,0))),"N/A")</f>
        <v/>
      </c>
      <c r="K41" s="25">
        <f>IFERROR(IF(INDEX('Faculties'!$L$91:$L$111,MATCH($F41,'Faculties'!$B$91:$B$111,0))="","Cell will autofill based on response",INDEX('Faculties'!$L$91:$L$111,MATCH($F41,'Faculties'!$B$91:$B$111,0))),"N/A")</f>
        <v/>
      </c>
      <c r="L41" s="25">
        <f>IFERROR(IF(INDEX('CI&amp;S'!$L$10:$L$15,MATCH($F41,'CI&amp;S'!$B$10:$B$15,0))="","Cell will autofill based on response",INDEX('CI&amp;S'!$L$10:$L$15,MATCH($F41,'CI&amp;S'!$B$10:$B$15,0))),"N/A")</f>
        <v/>
      </c>
      <c r="M41" s="25">
        <f>IFERROR(IF(INDEX('CI&amp;S'!$L$22:$L$39,MATCH($F41,'CI&amp;S'!$B$22:$B$39,0))="","Cell will autofill based on response",INDEX('CI&amp;S'!$L$22:$L$39,MATCH($F41,'CI&amp;S'!$B$22:$B$39,0))),"N/A")</f>
        <v/>
      </c>
      <c r="N41" s="25">
        <f>IFERROR(IF(INDEX('CFOG'!$L$10:$L$16,MATCH($F41,'CFOG'!$B$10:$B$16,0))="","Cell will autofill based on response",INDEX('CFOG'!$L$10:$L$16,MATCH($F41,'CFOG'!$B$10:$B$16,0))),"N/A")</f>
        <v/>
      </c>
      <c r="O41" s="25">
        <f>IFERROR(IF(INDEX('CFOG'!$L$23:$L$24,MATCH($F41,'CFOG'!$B$23:$B$24,0))="","Cell will autofill based on response",INDEX('CFOG'!$L$23:$L$24,MATCH($F41,'CFOG'!$B$23:$B$24,0))),"N/A")</f>
        <v/>
      </c>
      <c r="P41" s="25">
        <f>IFERROR(IF(INDEX('ESG'!$L$10:$L$17,MATCH($F41,'ESG'!$B$10:$B$17,0))="","Cell will autofill based on response",INDEX('ESG'!$L$10:$L$17,MATCH($F41,'ESG'!$B$10:$B$17,0))),"N/A")</f>
        <v/>
      </c>
      <c r="Q41" s="25">
        <f>IFERROR(IF(INDEX('CIOG'!$L$10:$L$14,MATCH($F41,'CIOG'!$B$10:$B$14,0))="","Cell will autofill based on response",INDEX('CIOG'!$L$10:$L$14,MATCH($F41,'CIOG'!$B$10:$B$14,0))),"N/A")</f>
        <v/>
      </c>
      <c r="R41" s="25">
        <f>IFERROR(IF(INDEX('MRE'!$L$10:$L$12,MATCH($F41,'MRE'!$B$10:$B$12,0))="","Cell will autofill based on response",INDEX('MRE'!$L$10:$L$12,MATCH($F41,'MRE'!$B$10:$B$12,0))),"N/A")</f>
        <v/>
      </c>
      <c r="S41" s="25">
        <f>IFERROR(IF(INDEX('L&amp;R'!$L$10:$L$11,MATCH($F41,'L&amp;R'!$B$10:$B$11,0))="","Cell will autofill based on response",INDEX('L&amp;R'!$L$10:$L$11,MATCH($F41,'L&amp;R'!$B$10:$B$11,0))),"N/A")</f>
        <v/>
      </c>
      <c r="U41" s="26">
        <f>COUNTIF($H41:$S41,"Cell will autofill based on response")</f>
        <v/>
      </c>
      <c r="V41" s="26">
        <f>COUNTIF($H41:$S41,"Not yet started")</f>
        <v/>
      </c>
      <c r="W41" s="26">
        <f>COUNTIF($H41:$S41,"Not met")</f>
        <v/>
      </c>
      <c r="X41" s="26">
        <f>COUNTIF($H41:$S41,"Partially met")</f>
        <v/>
      </c>
      <c r="Y41" s="26">
        <f>COUNTIF($H41:$S41,"Met or exceeded")</f>
        <v/>
      </c>
      <c r="Z41" s="26">
        <f>3*Y41+2*X41+W41</f>
        <v/>
      </c>
      <c r="AA41" s="26">
        <f>Y41+X41+W41+V41</f>
        <v/>
      </c>
      <c r="AB41" s="27">
        <f>IF(AA41&gt;0,Z41/AA41,"No valid responses to date")</f>
        <v/>
      </c>
      <c r="AC41" s="26">
        <f>IF(ISNUMBER(AB41),INDEX(Lists!$G$2:$G$5,MATCH(ROUND(AB41,0),Lists!$H$2:$H$5,0)),"")</f>
        <v/>
      </c>
      <c r="AD41" s="28">
        <f>IF(AA41&gt;0,Y41/AA41,"")</f>
        <v/>
      </c>
      <c r="AE41" s="28">
        <f>IF(AA41&gt;0,(Y41+X41)/AA41,"")</f>
        <v/>
      </c>
      <c r="AF41" s="26">
        <f>IF(AA41=0,"",IF(AD41&gt;0.75,"Met or exceeded",IF(AE41&gt;=0.5,"Partially met","Not met")))</f>
        <v/>
      </c>
    </row>
    <row r="42">
      <c r="A42">
        <f>F42&amp;"|"&amp;G42</f>
        <v/>
      </c>
      <c r="B42" s="29" t="inlineStr"/>
      <c r="C42" s="8" t="inlineStr"/>
      <c r="D42" s="8" t="inlineStr"/>
      <c r="E42" s="8" t="inlineStr"/>
      <c r="F42" s="8" t="inlineStr">
        <is>
          <t>TR1(b)</t>
        </is>
      </c>
      <c r="G42" s="8" t="inlineStr">
        <is>
          <t>OPTION 1:  Target-level reporting</t>
        </is>
      </c>
      <c r="H42" s="25">
        <f>IFERROR(IF(INDEX('Faculties'!$M$10:$M$30,MATCH($F42,'Faculties'!$B$10:$B$30,0))="","Cell will autofill based on response",INDEX('Faculties'!$M$10:$M$30,MATCH($F42,'Faculties'!$B$10:$B$30,0))),"N/A")</f>
        <v/>
      </c>
      <c r="I42" s="25">
        <f>IFERROR(IF(INDEX('Faculties'!$M$37:$M$57,MATCH($F42,'Faculties'!$B$37:$B$57,0))="","Cell will autofill based on response",INDEX('Faculties'!$M$37:$M$57,MATCH($F42,'Faculties'!$B$37:$B$57,0))),"N/A")</f>
        <v/>
      </c>
      <c r="J42" s="25">
        <f>IFERROR(IF(INDEX('Faculties'!$M$64:$M$84,MATCH($F42,'Faculties'!$B$64:$B$84,0))="","Cell will autofill based on response",INDEX('Faculties'!$M$64:$M$84,MATCH($F42,'Faculties'!$B$64:$B$84,0))),"N/A")</f>
        <v/>
      </c>
      <c r="K42" s="25">
        <f>IFERROR(IF(INDEX('Faculties'!$M$91:$M$111,MATCH($F42,'Faculties'!$B$91:$B$111,0))="","Cell will autofill based on response",INDEX('Faculties'!$M$91:$M$111,MATCH($F42,'Faculties'!$B$91:$B$111,0))),"N/A")</f>
        <v/>
      </c>
      <c r="L42" s="25">
        <f>IFERROR(IF(INDEX('CI&amp;S'!$M$10:$M$15,MATCH($F42,'CI&amp;S'!$B$10:$B$15,0))="","Cell will autofill based on response",INDEX('CI&amp;S'!$M$10:$M$15,MATCH($F42,'CI&amp;S'!$B$10:$B$15,0))),"N/A")</f>
        <v/>
      </c>
      <c r="M42" s="25">
        <f>IFERROR(IF(INDEX('CI&amp;S'!$M$22:$M$39,MATCH($F42,'CI&amp;S'!$B$22:$B$39,0))="","Cell will autofill based on response",INDEX('CI&amp;S'!$M$22:$M$39,MATCH($F42,'CI&amp;S'!$B$22:$B$39,0))),"N/A")</f>
        <v/>
      </c>
      <c r="N42" s="25">
        <f>IFERROR(IF(INDEX('CFOG'!$M$10:$M$16,MATCH($F42,'CFOG'!$B$10:$B$16,0))="","Cell will autofill based on response",INDEX('CFOG'!$M$10:$M$16,MATCH($F42,'CFOG'!$B$10:$B$16,0))),"N/A")</f>
        <v/>
      </c>
      <c r="O42" s="25">
        <f>IFERROR(IF(INDEX('CFOG'!$M$23:$M$24,MATCH($F42,'CFOG'!$B$23:$B$24,0))="","Cell will autofill based on response",INDEX('CFOG'!$M$23:$M$24,MATCH($F42,'CFOG'!$B$23:$B$24,0))),"N/A")</f>
        <v/>
      </c>
      <c r="P42" s="25">
        <f>IFERROR(IF(INDEX('ESG'!$M$10:$M$17,MATCH($F42,'ESG'!$B$10:$B$17,0))="","Cell will autofill based on response",INDEX('ESG'!$M$10:$M$17,MATCH($F42,'ESG'!$B$10:$B$17,0))),"N/A")</f>
        <v/>
      </c>
      <c r="Q42" s="25">
        <f>IFERROR(IF(INDEX('CIOG'!$M$10:$M$14,MATCH($F42,'CIOG'!$B$10:$B$14,0))="","Cell will autofill based on response",INDEX('CIOG'!$M$10:$M$14,MATCH($F42,'CIOG'!$B$10:$B$14,0))),"N/A")</f>
        <v/>
      </c>
      <c r="R42" s="25">
        <f>IFERROR(IF(INDEX('MRE'!$M$10:$M$12,MATCH($F42,'MRE'!$B$10:$B$12,0))="","Cell will autofill based on response",INDEX('MRE'!$M$10:$M$12,MATCH($F42,'MRE'!$B$10:$B$12,0))),"N/A")</f>
        <v/>
      </c>
      <c r="S42" s="25">
        <f>IFERROR(IF(INDEX('L&amp;R'!$M$10:$M$11,MATCH($F42,'L&amp;R'!$B$10:$B$11,0))="","Cell will autofill based on response",INDEX('L&amp;R'!$M$10:$M$11,MATCH($F42,'L&amp;R'!$B$10:$B$11,0))),"N/A")</f>
        <v/>
      </c>
    </row>
    <row r="43">
      <c r="A43">
        <f>F43&amp;"|"&amp;G43</f>
        <v/>
      </c>
      <c r="B43" s="29" t="inlineStr"/>
      <c r="C43" s="8" t="inlineStr"/>
      <c r="D43" s="8" t="inlineStr"/>
      <c r="E43" s="8" t="inlineStr"/>
      <c r="F43" s="8" t="inlineStr">
        <is>
          <t>TR1(b)</t>
        </is>
      </c>
      <c r="G43" s="8" t="inlineStr">
        <is>
          <t>OPTION 2:  Indicator level reporting</t>
        </is>
      </c>
      <c r="H43" s="25">
        <f>IFERROR(IF(INDEX('Faculties'!$N$10:$N$30,MATCH($F43,'Faculties'!$B$10:$B$30,0))="","Cell will autofill based on response",INDEX('Faculties'!$N$10:$N$30,MATCH($F43,'Faculties'!$B$10:$B$30,0))),"N/A")</f>
        <v/>
      </c>
      <c r="I43" s="25">
        <f>IFERROR(IF(INDEX('Faculties'!$N$37:$N$57,MATCH($F43,'Faculties'!$B$37:$B$57,0))="","Cell will autofill based on response",INDEX('Faculties'!$N$37:$N$57,MATCH($F43,'Faculties'!$B$37:$B$57,0))),"N/A")</f>
        <v/>
      </c>
      <c r="J43" s="25">
        <f>IFERROR(IF(INDEX('Faculties'!$N$64:$N$84,MATCH($F43,'Faculties'!$B$64:$B$84,0))="","Cell will autofill based on response",INDEX('Faculties'!$N$64:$N$84,MATCH($F43,'Faculties'!$B$64:$B$84,0))),"N/A")</f>
        <v/>
      </c>
      <c r="K43" s="25">
        <f>IFERROR(IF(INDEX('Faculties'!$N$91:$N$111,MATCH($F43,'Faculties'!$B$91:$B$111,0))="","Cell will autofill based on response",INDEX('Faculties'!$N$91:$N$111,MATCH($F43,'Faculties'!$B$91:$B$111,0))),"N/A")</f>
        <v/>
      </c>
      <c r="L43" s="25">
        <f>IFERROR(IF(INDEX('CI&amp;S'!$N$10:$N$15,MATCH($F43,'CI&amp;S'!$B$10:$B$15,0))="","Cell will autofill based on response",INDEX('CI&amp;S'!$N$10:$N$15,MATCH($F43,'CI&amp;S'!$B$10:$B$15,0))),"N/A")</f>
        <v/>
      </c>
      <c r="M43" s="25">
        <f>IFERROR(IF(INDEX('CI&amp;S'!$N$22:$N$39,MATCH($F43,'CI&amp;S'!$B$22:$B$39,0))="","Cell will autofill based on response",INDEX('CI&amp;S'!$N$22:$N$39,MATCH($F43,'CI&amp;S'!$B$22:$B$39,0))),"N/A")</f>
        <v/>
      </c>
      <c r="N43" s="25">
        <f>IFERROR(IF(INDEX('CFOG'!$N$10:$N$16,MATCH($F43,'CFOG'!$B$10:$B$16,0))="","Cell will autofill based on response",INDEX('CFOG'!$N$10:$N$16,MATCH($F43,'CFOG'!$B$10:$B$16,0))),"N/A")</f>
        <v/>
      </c>
      <c r="O43" s="25">
        <f>IFERROR(IF(INDEX('CFOG'!$N$23:$N$24,MATCH($F43,'CFOG'!$B$23:$B$24,0))="","Cell will autofill based on response",INDEX('CFOG'!$N$23:$N$24,MATCH($F43,'CFOG'!$B$23:$B$24,0))),"N/A")</f>
        <v/>
      </c>
      <c r="P43" s="25">
        <f>IFERROR(IF(INDEX('ESG'!$N$10:$N$17,MATCH($F43,'ESG'!$B$10:$B$17,0))="","Cell will autofill based on response",INDEX('ESG'!$N$10:$N$17,MATCH($F43,'ESG'!$B$10:$B$17,0))),"N/A")</f>
        <v/>
      </c>
      <c r="Q43" s="25">
        <f>IFERROR(IF(INDEX('CIOG'!$N$10:$N$14,MATCH($F43,'CIOG'!$B$10:$B$14,0))="","Cell will autofill based on response",INDEX('CIOG'!$N$10:$N$14,MATCH($F43,'CIOG'!$B$10:$B$14,0))),"N/A")</f>
        <v/>
      </c>
      <c r="R43" s="25">
        <f>IFERROR(IF(INDEX('MRE'!$N$10:$N$12,MATCH($F43,'MRE'!$B$10:$B$12,0))="","Cell will autofill based on response",INDEX('MRE'!$N$10:$N$12,MATCH($F43,'MRE'!$B$10:$B$12,0))),"N/A")</f>
        <v/>
      </c>
      <c r="S43" s="25">
        <f>IFERROR(IF(INDEX('L&amp;R'!$N$10:$N$11,MATCH($F43,'L&amp;R'!$B$10:$B$11,0))="","Cell will autofill based on response",INDEX('L&amp;R'!$N$10:$N$11,MATCH($F43,'L&amp;R'!$B$10:$B$11,0))),"N/A")</f>
        <v/>
      </c>
    </row>
    <row r="44">
      <c r="A44">
        <f>F44&amp;"|"&amp;G44</f>
        <v/>
      </c>
      <c r="B44" s="29" t="inlineStr"/>
      <c r="C44" s="8" t="inlineStr"/>
      <c r="D44" s="8" t="inlineStr"/>
      <c r="E44" s="8" t="inlineStr"/>
      <c r="F44" s="8" t="inlineStr">
        <is>
          <t>TR1(b)</t>
        </is>
      </c>
      <c r="G44" s="8" t="inlineStr">
        <is>
          <t>Supporting information/comments</t>
        </is>
      </c>
      <c r="H44" s="25">
        <f>IFERROR(IF(INDEX('Faculties'!$O$10:$O$30,MATCH($F44,'Faculties'!$B$10:$B$30,0))="","Cell will autofill based on response",INDEX('Faculties'!$O$10:$O$30,MATCH($F44,'Faculties'!$B$10:$B$30,0))),"N/A")</f>
        <v/>
      </c>
      <c r="I44" s="25">
        <f>IFERROR(IF(INDEX('Faculties'!$O$37:$O$57,MATCH($F44,'Faculties'!$B$37:$B$57,0))="","Cell will autofill based on response",INDEX('Faculties'!$O$37:$O$57,MATCH($F44,'Faculties'!$B$37:$B$57,0))),"N/A")</f>
        <v/>
      </c>
      <c r="J44" s="25">
        <f>IFERROR(IF(INDEX('Faculties'!$O$64:$O$84,MATCH($F44,'Faculties'!$B$64:$B$84,0))="","Cell will autofill based on response",INDEX('Faculties'!$O$64:$O$84,MATCH($F44,'Faculties'!$B$64:$B$84,0))),"N/A")</f>
        <v/>
      </c>
      <c r="K44" s="25">
        <f>IFERROR(IF(INDEX('Faculties'!$O$91:$O$111,MATCH($F44,'Faculties'!$B$91:$B$111,0))="","Cell will autofill based on response",INDEX('Faculties'!$O$91:$O$111,MATCH($F44,'Faculties'!$B$91:$B$111,0))),"N/A")</f>
        <v/>
      </c>
      <c r="L44" s="25">
        <f>IFERROR(IF(INDEX('CI&amp;S'!$O$10:$O$15,MATCH($F44,'CI&amp;S'!$B$10:$B$15,0))="","Cell will autofill based on response",INDEX('CI&amp;S'!$O$10:$O$15,MATCH($F44,'CI&amp;S'!$B$10:$B$15,0))),"N/A")</f>
        <v/>
      </c>
      <c r="M44" s="25">
        <f>IFERROR(IF(INDEX('CI&amp;S'!$O$22:$O$39,MATCH($F44,'CI&amp;S'!$B$22:$B$39,0))="","Cell will autofill based on response",INDEX('CI&amp;S'!$O$22:$O$39,MATCH($F44,'CI&amp;S'!$B$22:$B$39,0))),"N/A")</f>
        <v/>
      </c>
      <c r="N44" s="25">
        <f>IFERROR(IF(INDEX('CFOG'!$O$10:$O$16,MATCH($F44,'CFOG'!$B$10:$B$16,0))="","Cell will autofill based on response",INDEX('CFOG'!$O$10:$O$16,MATCH($F44,'CFOG'!$B$10:$B$16,0))),"N/A")</f>
        <v/>
      </c>
      <c r="O44" s="25">
        <f>IFERROR(IF(INDEX('CFOG'!$O$23:$O$24,MATCH($F44,'CFOG'!$B$23:$B$24,0))="","Cell will autofill based on response",INDEX('CFOG'!$O$23:$O$24,MATCH($F44,'CFOG'!$B$23:$B$24,0))),"N/A")</f>
        <v/>
      </c>
      <c r="P44" s="25">
        <f>IFERROR(IF(INDEX('ESG'!$O$10:$O$17,MATCH($F44,'ESG'!$B$10:$B$17,0))="","Cell will autofill based on response",INDEX('ESG'!$O$10:$O$17,MATCH($F44,'ESG'!$B$10:$B$17,0))),"N/A")</f>
        <v/>
      </c>
      <c r="Q44" s="25">
        <f>IFERROR(IF(INDEX('CIOG'!$O$10:$O$14,MATCH($F44,'CIOG'!$B$10:$B$14,0))="","Cell will autofill based on response",INDEX('CIOG'!$O$10:$O$14,MATCH($F44,'CIOG'!$B$10:$B$14,0))),"N/A")</f>
        <v/>
      </c>
      <c r="R44" s="25">
        <f>IFERROR(IF(INDEX('MRE'!$O$10:$O$12,MATCH($F44,'MRE'!$B$10:$B$12,0))="","Cell will autofill based on response",INDEX('MRE'!$O$10:$O$12,MATCH($F44,'MRE'!$B$10:$B$12,0))),"N/A")</f>
        <v/>
      </c>
      <c r="S44" s="25">
        <f>IFERROR(IF(INDEX('L&amp;R'!$O$10:$O$11,MATCH($F44,'L&amp;R'!$B$10:$B$11,0))="","Cell will autofill based on response",INDEX('L&amp;R'!$O$10:$O$11,MATCH($F44,'L&amp;R'!$B$10:$B$11,0))),"N/A")</f>
        <v/>
      </c>
    </row>
    <row r="45">
      <c r="A45">
        <f>F45&amp;"|"&amp;G45</f>
        <v/>
      </c>
      <c r="B45" s="29" t="inlineStr"/>
      <c r="C45" s="8" t="inlineStr"/>
      <c r="D45" s="8" t="inlineStr"/>
      <c r="E45" s="8" t="inlineStr"/>
      <c r="F45" s="8" t="inlineStr">
        <is>
          <t>TR1(b)</t>
        </is>
      </c>
      <c r="G45" s="8" t="inlineStr">
        <is>
          <t>Data source and limitations</t>
        </is>
      </c>
      <c r="H45" s="25">
        <f>IFERROR(IF(INDEX('Faculties'!$P$10:$P$30,MATCH($F45,'Faculties'!$B$10:$B$30,0))="","Cell will autofill based on response",INDEX('Faculties'!$P$10:$P$30,MATCH($F45,'Faculties'!$B$10:$B$30,0))),"N/A")</f>
        <v/>
      </c>
      <c r="I45" s="25">
        <f>IFERROR(IF(INDEX('Faculties'!$P$37:$P$57,MATCH($F45,'Faculties'!$B$37:$B$57,0))="","Cell will autofill based on response",INDEX('Faculties'!$P$37:$P$57,MATCH($F45,'Faculties'!$B$37:$B$57,0))),"N/A")</f>
        <v/>
      </c>
      <c r="J45" s="25">
        <f>IFERROR(IF(INDEX('Faculties'!$P$64:$P$84,MATCH($F45,'Faculties'!$B$64:$B$84,0))="","Cell will autofill based on response",INDEX('Faculties'!$P$64:$P$84,MATCH($F45,'Faculties'!$B$64:$B$84,0))),"N/A")</f>
        <v/>
      </c>
      <c r="K45" s="25">
        <f>IFERROR(IF(INDEX('Faculties'!$P$91:$P$111,MATCH($F45,'Faculties'!$B$91:$B$111,0))="","Cell will autofill based on response",INDEX('Faculties'!$P$91:$P$111,MATCH($F45,'Faculties'!$B$91:$B$111,0))),"N/A")</f>
        <v/>
      </c>
      <c r="L45" s="25">
        <f>IFERROR(IF(INDEX('CI&amp;S'!$P$10:$P$15,MATCH($F45,'CI&amp;S'!$B$10:$B$15,0))="","Cell will autofill based on response",INDEX('CI&amp;S'!$P$10:$P$15,MATCH($F45,'CI&amp;S'!$B$10:$B$15,0))),"N/A")</f>
        <v/>
      </c>
      <c r="M45" s="25">
        <f>IFERROR(IF(INDEX('CI&amp;S'!$P$22:$P$39,MATCH($F45,'CI&amp;S'!$B$22:$B$39,0))="","Cell will autofill based on response",INDEX('CI&amp;S'!$P$22:$P$39,MATCH($F45,'CI&amp;S'!$B$22:$B$39,0))),"N/A")</f>
        <v/>
      </c>
      <c r="N45" s="25">
        <f>IFERROR(IF(INDEX('CFOG'!$P$10:$P$16,MATCH($F45,'CFOG'!$B$10:$B$16,0))="","Cell will autofill based on response",INDEX('CFOG'!$P$10:$P$16,MATCH($F45,'CFOG'!$B$10:$B$16,0))),"N/A")</f>
        <v/>
      </c>
      <c r="O45" s="25">
        <f>IFERROR(IF(INDEX('CFOG'!$P$23:$P$24,MATCH($F45,'CFOG'!$B$23:$B$24,0))="","Cell will autofill based on response",INDEX('CFOG'!$P$23:$P$24,MATCH($F45,'CFOG'!$B$23:$B$24,0))),"N/A")</f>
        <v/>
      </c>
      <c r="P45" s="25">
        <f>IFERROR(IF(INDEX('ESG'!$P$10:$P$17,MATCH($F45,'ESG'!$B$10:$B$17,0))="","Cell will autofill based on response",INDEX('ESG'!$P$10:$P$17,MATCH($F45,'ESG'!$B$10:$B$17,0))),"N/A")</f>
        <v/>
      </c>
      <c r="Q45" s="25">
        <f>IFERROR(IF(INDEX('CIOG'!$P$10:$P$14,MATCH($F45,'CIOG'!$B$10:$B$14,0))="","Cell will autofill based on response",INDEX('CIOG'!$P$10:$P$14,MATCH($F45,'CIOG'!$B$10:$B$14,0))),"N/A")</f>
        <v/>
      </c>
      <c r="R45" s="25">
        <f>IFERROR(IF(INDEX('MRE'!$P$10:$P$12,MATCH($F45,'MRE'!$B$10:$B$12,0))="","Cell will autofill based on response",INDEX('MRE'!$P$10:$P$12,MATCH($F45,'MRE'!$B$10:$B$12,0))),"N/A")</f>
        <v/>
      </c>
      <c r="S45" s="25">
        <f>IFERROR(IF(INDEX('L&amp;R'!$P$10:$P$11,MATCH($F45,'L&amp;R'!$B$10:$B$11,0))="","Cell will autofill based on response",INDEX('L&amp;R'!$P$10:$P$11,MATCH($F45,'L&amp;R'!$B$10:$B$11,0))),"N/A")</f>
        <v/>
      </c>
    </row>
    <row r="46">
      <c r="A46">
        <f>F46&amp;"|"&amp;G46</f>
        <v/>
      </c>
      <c r="B46" s="29" t="inlineStr"/>
      <c r="C46" s="8" t="inlineStr"/>
      <c r="D46" s="8" t="inlineStr"/>
      <c r="E46" s="8" t="inlineStr"/>
      <c r="F46" s="8" t="inlineStr">
        <is>
          <t>TR1(b)</t>
        </is>
      </c>
      <c r="G46" s="8" t="inlineStr">
        <is>
          <t>Data owner confirms</t>
        </is>
      </c>
      <c r="H46" s="25">
        <f>IFERROR(IF(INDEX('Faculties'!$Q$10:$Q$30,MATCH($F46,'Faculties'!$B$10:$B$30,0))="","Cell will autofill based on response",INDEX('Faculties'!$Q$10:$Q$30,MATCH($F46,'Faculties'!$B$10:$B$30,0))),"N/A")</f>
        <v/>
      </c>
      <c r="I46" s="25">
        <f>IFERROR(IF(INDEX('Faculties'!$Q$37:$Q$57,MATCH($F46,'Faculties'!$B$37:$B$57,0))="","Cell will autofill based on response",INDEX('Faculties'!$Q$37:$Q$57,MATCH($F46,'Faculties'!$B$37:$B$57,0))),"N/A")</f>
        <v/>
      </c>
      <c r="J46" s="25">
        <f>IFERROR(IF(INDEX('Faculties'!$Q$64:$Q$84,MATCH($F46,'Faculties'!$B$64:$B$84,0))="","Cell will autofill based on response",INDEX('Faculties'!$Q$64:$Q$84,MATCH($F46,'Faculties'!$B$64:$B$84,0))),"N/A")</f>
        <v/>
      </c>
      <c r="K46" s="25">
        <f>IFERROR(IF(INDEX('Faculties'!$Q$91:$Q$111,MATCH($F46,'Faculties'!$B$91:$B$111,0))="","Cell will autofill based on response",INDEX('Faculties'!$Q$91:$Q$111,MATCH($F46,'Faculties'!$B$91:$B$111,0))),"N/A")</f>
        <v/>
      </c>
      <c r="L46" s="25">
        <f>IFERROR(IF(INDEX('CI&amp;S'!$Q$10:$Q$15,MATCH($F46,'CI&amp;S'!$B$10:$B$15,0))="","Cell will autofill based on response",INDEX('CI&amp;S'!$Q$10:$Q$15,MATCH($F46,'CI&amp;S'!$B$10:$B$15,0))),"N/A")</f>
        <v/>
      </c>
      <c r="M46" s="25">
        <f>IFERROR(IF(INDEX('CI&amp;S'!$Q$22:$Q$39,MATCH($F46,'CI&amp;S'!$B$22:$B$39,0))="","Cell will autofill based on response",INDEX('CI&amp;S'!$Q$22:$Q$39,MATCH($F46,'CI&amp;S'!$B$22:$B$39,0))),"N/A")</f>
        <v/>
      </c>
      <c r="N46" s="25">
        <f>IFERROR(IF(INDEX('CFOG'!$Q$10:$Q$16,MATCH($F46,'CFOG'!$B$10:$B$16,0))="","Cell will autofill based on response",INDEX('CFOG'!$Q$10:$Q$16,MATCH($F46,'CFOG'!$B$10:$B$16,0))),"N/A")</f>
        <v/>
      </c>
      <c r="O46" s="25">
        <f>IFERROR(IF(INDEX('CFOG'!$Q$23:$Q$24,MATCH($F46,'CFOG'!$B$23:$B$24,0))="","Cell will autofill based on response",INDEX('CFOG'!$Q$23:$Q$24,MATCH($F46,'CFOG'!$B$23:$B$24,0))),"N/A")</f>
        <v/>
      </c>
      <c r="P46" s="25">
        <f>IFERROR(IF(INDEX('ESG'!$Q$10:$Q$17,MATCH($F46,'ESG'!$B$10:$B$17,0))="","Cell will autofill based on response",INDEX('ESG'!$Q$10:$Q$17,MATCH($F46,'ESG'!$B$10:$B$17,0))),"N/A")</f>
        <v/>
      </c>
      <c r="Q46" s="25">
        <f>IFERROR(IF(INDEX('CIOG'!$Q$10:$Q$14,MATCH($F46,'CIOG'!$B$10:$B$14,0))="","Cell will autofill based on response",INDEX('CIOG'!$Q$10:$Q$14,MATCH($F46,'CIOG'!$B$10:$B$14,0))),"N/A")</f>
        <v/>
      </c>
      <c r="R46" s="25">
        <f>IFERROR(IF(INDEX('MRE'!$Q$10:$Q$12,MATCH($F46,'MRE'!$B$10:$B$12,0))="","Cell will autofill based on response",INDEX('MRE'!$Q$10:$Q$12,MATCH($F46,'MRE'!$B$10:$B$12,0))),"N/A")</f>
        <v/>
      </c>
      <c r="S46" s="25">
        <f>IFERROR(IF(INDEX('L&amp;R'!$Q$10:$Q$11,MATCH($F46,'L&amp;R'!$B$10:$B$11,0))="","Cell will autofill based on response",INDEX('L&amp;R'!$Q$10:$Q$11,MATCH($F46,'L&amp;R'!$B$10:$B$11,0))),"N/A")</f>
        <v/>
      </c>
    </row>
    <row r="47">
      <c r="A47">
        <f>F47&amp;"|"&amp;G47</f>
        <v/>
      </c>
      <c r="B47" s="7" t="inlineStr">
        <is>
          <t>TR1(c)</t>
        </is>
      </c>
      <c r="C47" s="12" t="inlineStr">
        <is>
          <t>Transformational research</t>
        </is>
      </c>
      <c r="D47" s="12" t="inlineStr">
        <is>
          <t>Expert assessment of the quality, relevance and continuity of these collaborations</t>
        </is>
      </c>
      <c r="E47" s="12" t="inlineStr">
        <is>
          <t>Please provide an assessment of the quality, relevance and continuity of sustainability-related collaborations involving your Faculty/Portfolio, could include evidence of whether collaborations are sustained, useful to operational priorities and producing relevant outcomes.</t>
        </is>
      </c>
      <c r="F47" s="12" t="inlineStr">
        <is>
          <t>TR1(c)</t>
        </is>
      </c>
      <c r="G47" s="12" t="inlineStr">
        <is>
          <t>Confirm end-2026 target status</t>
        </is>
      </c>
      <c r="H47" s="25">
        <f>IFERROR(IF(INDEX('Faculties'!$L$10:$L$30,MATCH($F47,'Faculties'!$B$10:$B$30,0))="","Cell will autofill based on response",INDEX('Faculties'!$L$10:$L$30,MATCH($F47,'Faculties'!$B$10:$B$30,0))),"N/A")</f>
        <v/>
      </c>
      <c r="I47" s="25">
        <f>IFERROR(IF(INDEX('Faculties'!$L$37:$L$57,MATCH($F47,'Faculties'!$B$37:$B$57,0))="","Cell will autofill based on response",INDEX('Faculties'!$L$37:$L$57,MATCH($F47,'Faculties'!$B$37:$B$57,0))),"N/A")</f>
        <v/>
      </c>
      <c r="J47" s="25">
        <f>IFERROR(IF(INDEX('Faculties'!$L$64:$L$84,MATCH($F47,'Faculties'!$B$64:$B$84,0))="","Cell will autofill based on response",INDEX('Faculties'!$L$64:$L$84,MATCH($F47,'Faculties'!$B$64:$B$84,0))),"N/A")</f>
        <v/>
      </c>
      <c r="K47" s="25">
        <f>IFERROR(IF(INDEX('Faculties'!$L$91:$L$111,MATCH($F47,'Faculties'!$B$91:$B$111,0))="","Cell will autofill based on response",INDEX('Faculties'!$L$91:$L$111,MATCH($F47,'Faculties'!$B$91:$B$111,0))),"N/A")</f>
        <v/>
      </c>
      <c r="L47" s="25">
        <f>IFERROR(IF(INDEX('CI&amp;S'!$L$10:$L$15,MATCH($F47,'CI&amp;S'!$B$10:$B$15,0))="","Cell will autofill based on response",INDEX('CI&amp;S'!$L$10:$L$15,MATCH($F47,'CI&amp;S'!$B$10:$B$15,0))),"N/A")</f>
        <v/>
      </c>
      <c r="M47" s="25">
        <f>IFERROR(IF(INDEX('CI&amp;S'!$L$22:$L$39,MATCH($F47,'CI&amp;S'!$B$22:$B$39,0))="","Cell will autofill based on response",INDEX('CI&amp;S'!$L$22:$L$39,MATCH($F47,'CI&amp;S'!$B$22:$B$39,0))),"N/A")</f>
        <v/>
      </c>
      <c r="N47" s="25">
        <f>IFERROR(IF(INDEX('CFOG'!$L$10:$L$16,MATCH($F47,'CFOG'!$B$10:$B$16,0))="","Cell will autofill based on response",INDEX('CFOG'!$L$10:$L$16,MATCH($F47,'CFOG'!$B$10:$B$16,0))),"N/A")</f>
        <v/>
      </c>
      <c r="O47" s="25">
        <f>IFERROR(IF(INDEX('CFOG'!$L$23:$L$24,MATCH($F47,'CFOG'!$B$23:$B$24,0))="","Cell will autofill based on response",INDEX('CFOG'!$L$23:$L$24,MATCH($F47,'CFOG'!$B$23:$B$24,0))),"N/A")</f>
        <v/>
      </c>
      <c r="P47" s="25">
        <f>IFERROR(IF(INDEX('ESG'!$L$10:$L$17,MATCH($F47,'ESG'!$B$10:$B$17,0))="","Cell will autofill based on response",INDEX('ESG'!$L$10:$L$17,MATCH($F47,'ESG'!$B$10:$B$17,0))),"N/A")</f>
        <v/>
      </c>
      <c r="Q47" s="25">
        <f>IFERROR(IF(INDEX('CIOG'!$L$10:$L$14,MATCH($F47,'CIOG'!$B$10:$B$14,0))="","Cell will autofill based on response",INDEX('CIOG'!$L$10:$L$14,MATCH($F47,'CIOG'!$B$10:$B$14,0))),"N/A")</f>
        <v/>
      </c>
      <c r="R47" s="25">
        <f>IFERROR(IF(INDEX('MRE'!$L$10:$L$12,MATCH($F47,'MRE'!$B$10:$B$12,0))="","Cell will autofill based on response",INDEX('MRE'!$L$10:$L$12,MATCH($F47,'MRE'!$B$10:$B$12,0))),"N/A")</f>
        <v/>
      </c>
      <c r="S47" s="25">
        <f>IFERROR(IF(INDEX('L&amp;R'!$L$10:$L$11,MATCH($F47,'L&amp;R'!$B$10:$B$11,0))="","Cell will autofill based on response",INDEX('L&amp;R'!$L$10:$L$11,MATCH($F47,'L&amp;R'!$B$10:$B$11,0))),"N/A")</f>
        <v/>
      </c>
      <c r="U47" s="26">
        <f>COUNTIF($H47:$S47,"Cell will autofill based on response")</f>
        <v/>
      </c>
      <c r="V47" s="26">
        <f>COUNTIF($H47:$S47,"Not yet started")</f>
        <v/>
      </c>
      <c r="W47" s="26">
        <f>COUNTIF($H47:$S47,"Not met")</f>
        <v/>
      </c>
      <c r="X47" s="26">
        <f>COUNTIF($H47:$S47,"Partially met")</f>
        <v/>
      </c>
      <c r="Y47" s="26">
        <f>COUNTIF($H47:$S47,"Met or exceeded")</f>
        <v/>
      </c>
      <c r="Z47" s="26">
        <f>3*Y47+2*X47+W47</f>
        <v/>
      </c>
      <c r="AA47" s="26">
        <f>Y47+X47+W47+V47</f>
        <v/>
      </c>
      <c r="AB47" s="27">
        <f>IF(AA47&gt;0,Z47/AA47,"No valid responses to date")</f>
        <v/>
      </c>
      <c r="AC47" s="26">
        <f>IF(ISNUMBER(AB47),INDEX(Lists!$G$2:$G$5,MATCH(ROUND(AB47,0),Lists!$H$2:$H$5,0)),"")</f>
        <v/>
      </c>
      <c r="AD47" s="28">
        <f>IF(AA47&gt;0,Y47/AA47,"")</f>
        <v/>
      </c>
      <c r="AE47" s="28">
        <f>IF(AA47&gt;0,(Y47+X47)/AA47,"")</f>
        <v/>
      </c>
      <c r="AF47" s="26">
        <f>IF(AA47=0,"",IF(AD47&gt;0.75,"Met or exceeded",IF(AE47&gt;=0.5,"Partially met","Not met")))</f>
        <v/>
      </c>
    </row>
    <row r="48">
      <c r="A48">
        <f>F48&amp;"|"&amp;G48</f>
        <v/>
      </c>
      <c r="B48" s="29" t="inlineStr"/>
      <c r="C48" s="8" t="inlineStr"/>
      <c r="D48" s="8" t="inlineStr"/>
      <c r="E48" s="8" t="inlineStr"/>
      <c r="F48" s="8" t="inlineStr">
        <is>
          <t>TR1(c)</t>
        </is>
      </c>
      <c r="G48" s="8" t="inlineStr">
        <is>
          <t>OPTION 1:  Target-level reporting</t>
        </is>
      </c>
      <c r="H48" s="25">
        <f>IFERROR(IF(INDEX('Faculties'!$M$10:$M$30,MATCH($F48,'Faculties'!$B$10:$B$30,0))="","Cell will autofill based on response",INDEX('Faculties'!$M$10:$M$30,MATCH($F48,'Faculties'!$B$10:$B$30,0))),"N/A")</f>
        <v/>
      </c>
      <c r="I48" s="25">
        <f>IFERROR(IF(INDEX('Faculties'!$M$37:$M$57,MATCH($F48,'Faculties'!$B$37:$B$57,0))="","Cell will autofill based on response",INDEX('Faculties'!$M$37:$M$57,MATCH($F48,'Faculties'!$B$37:$B$57,0))),"N/A")</f>
        <v/>
      </c>
      <c r="J48" s="25">
        <f>IFERROR(IF(INDEX('Faculties'!$M$64:$M$84,MATCH($F48,'Faculties'!$B$64:$B$84,0))="","Cell will autofill based on response",INDEX('Faculties'!$M$64:$M$84,MATCH($F48,'Faculties'!$B$64:$B$84,0))),"N/A")</f>
        <v/>
      </c>
      <c r="K48" s="25">
        <f>IFERROR(IF(INDEX('Faculties'!$M$91:$M$111,MATCH($F48,'Faculties'!$B$91:$B$111,0))="","Cell will autofill based on response",INDEX('Faculties'!$M$91:$M$111,MATCH($F48,'Faculties'!$B$91:$B$111,0))),"N/A")</f>
        <v/>
      </c>
      <c r="L48" s="25">
        <f>IFERROR(IF(INDEX('CI&amp;S'!$M$10:$M$15,MATCH($F48,'CI&amp;S'!$B$10:$B$15,0))="","Cell will autofill based on response",INDEX('CI&amp;S'!$M$10:$M$15,MATCH($F48,'CI&amp;S'!$B$10:$B$15,0))),"N/A")</f>
        <v/>
      </c>
      <c r="M48" s="25">
        <f>IFERROR(IF(INDEX('CI&amp;S'!$M$22:$M$39,MATCH($F48,'CI&amp;S'!$B$22:$B$39,0))="","Cell will autofill based on response",INDEX('CI&amp;S'!$M$22:$M$39,MATCH($F48,'CI&amp;S'!$B$22:$B$39,0))),"N/A")</f>
        <v/>
      </c>
      <c r="N48" s="25">
        <f>IFERROR(IF(INDEX('CFOG'!$M$10:$M$16,MATCH($F48,'CFOG'!$B$10:$B$16,0))="","Cell will autofill based on response",INDEX('CFOG'!$M$10:$M$16,MATCH($F48,'CFOG'!$B$10:$B$16,0))),"N/A")</f>
        <v/>
      </c>
      <c r="O48" s="25">
        <f>IFERROR(IF(INDEX('CFOG'!$M$23:$M$24,MATCH($F48,'CFOG'!$B$23:$B$24,0))="","Cell will autofill based on response",INDEX('CFOG'!$M$23:$M$24,MATCH($F48,'CFOG'!$B$23:$B$24,0))),"N/A")</f>
        <v/>
      </c>
      <c r="P48" s="25">
        <f>IFERROR(IF(INDEX('ESG'!$M$10:$M$17,MATCH($F48,'ESG'!$B$10:$B$17,0))="","Cell will autofill based on response",INDEX('ESG'!$M$10:$M$17,MATCH($F48,'ESG'!$B$10:$B$17,0))),"N/A")</f>
        <v/>
      </c>
      <c r="Q48" s="25">
        <f>IFERROR(IF(INDEX('CIOG'!$M$10:$M$14,MATCH($F48,'CIOG'!$B$10:$B$14,0))="","Cell will autofill based on response",INDEX('CIOG'!$M$10:$M$14,MATCH($F48,'CIOG'!$B$10:$B$14,0))),"N/A")</f>
        <v/>
      </c>
      <c r="R48" s="25">
        <f>IFERROR(IF(INDEX('MRE'!$M$10:$M$12,MATCH($F48,'MRE'!$B$10:$B$12,0))="","Cell will autofill based on response",INDEX('MRE'!$M$10:$M$12,MATCH($F48,'MRE'!$B$10:$B$12,0))),"N/A")</f>
        <v/>
      </c>
      <c r="S48" s="25">
        <f>IFERROR(IF(INDEX('L&amp;R'!$M$10:$M$11,MATCH($F48,'L&amp;R'!$B$10:$B$11,0))="","Cell will autofill based on response",INDEX('L&amp;R'!$M$10:$M$11,MATCH($F48,'L&amp;R'!$B$10:$B$11,0))),"N/A")</f>
        <v/>
      </c>
    </row>
    <row r="49">
      <c r="A49">
        <f>F49&amp;"|"&amp;G49</f>
        <v/>
      </c>
      <c r="B49" s="29" t="inlineStr"/>
      <c r="C49" s="8" t="inlineStr"/>
      <c r="D49" s="8" t="inlineStr"/>
      <c r="E49" s="8" t="inlineStr"/>
      <c r="F49" s="8" t="inlineStr">
        <is>
          <t>TR1(c)</t>
        </is>
      </c>
      <c r="G49" s="8" t="inlineStr">
        <is>
          <t>OPTION 2:  Indicator level reporting</t>
        </is>
      </c>
      <c r="H49" s="25">
        <f>IFERROR(IF(INDEX('Faculties'!$N$10:$N$30,MATCH($F49,'Faculties'!$B$10:$B$30,0))="","Cell will autofill based on response",INDEX('Faculties'!$N$10:$N$30,MATCH($F49,'Faculties'!$B$10:$B$30,0))),"N/A")</f>
        <v/>
      </c>
      <c r="I49" s="25">
        <f>IFERROR(IF(INDEX('Faculties'!$N$37:$N$57,MATCH($F49,'Faculties'!$B$37:$B$57,0))="","Cell will autofill based on response",INDEX('Faculties'!$N$37:$N$57,MATCH($F49,'Faculties'!$B$37:$B$57,0))),"N/A")</f>
        <v/>
      </c>
      <c r="J49" s="25">
        <f>IFERROR(IF(INDEX('Faculties'!$N$64:$N$84,MATCH($F49,'Faculties'!$B$64:$B$84,0))="","Cell will autofill based on response",INDEX('Faculties'!$N$64:$N$84,MATCH($F49,'Faculties'!$B$64:$B$84,0))),"N/A")</f>
        <v/>
      </c>
      <c r="K49" s="25">
        <f>IFERROR(IF(INDEX('Faculties'!$N$91:$N$111,MATCH($F49,'Faculties'!$B$91:$B$111,0))="","Cell will autofill based on response",INDEX('Faculties'!$N$91:$N$111,MATCH($F49,'Faculties'!$B$91:$B$111,0))),"N/A")</f>
        <v/>
      </c>
      <c r="L49" s="25">
        <f>IFERROR(IF(INDEX('CI&amp;S'!$N$10:$N$15,MATCH($F49,'CI&amp;S'!$B$10:$B$15,0))="","Cell will autofill based on response",INDEX('CI&amp;S'!$N$10:$N$15,MATCH($F49,'CI&amp;S'!$B$10:$B$15,0))),"N/A")</f>
        <v/>
      </c>
      <c r="M49" s="25">
        <f>IFERROR(IF(INDEX('CI&amp;S'!$N$22:$N$39,MATCH($F49,'CI&amp;S'!$B$22:$B$39,0))="","Cell will autofill based on response",INDEX('CI&amp;S'!$N$22:$N$39,MATCH($F49,'CI&amp;S'!$B$22:$B$39,0))),"N/A")</f>
        <v/>
      </c>
      <c r="N49" s="25">
        <f>IFERROR(IF(INDEX('CFOG'!$N$10:$N$16,MATCH($F49,'CFOG'!$B$10:$B$16,0))="","Cell will autofill based on response",INDEX('CFOG'!$N$10:$N$16,MATCH($F49,'CFOG'!$B$10:$B$16,0))),"N/A")</f>
        <v/>
      </c>
      <c r="O49" s="25">
        <f>IFERROR(IF(INDEX('CFOG'!$N$23:$N$24,MATCH($F49,'CFOG'!$B$23:$B$24,0))="","Cell will autofill based on response",INDEX('CFOG'!$N$23:$N$24,MATCH($F49,'CFOG'!$B$23:$B$24,0))),"N/A")</f>
        <v/>
      </c>
      <c r="P49" s="25">
        <f>IFERROR(IF(INDEX('ESG'!$N$10:$N$17,MATCH($F49,'ESG'!$B$10:$B$17,0))="","Cell will autofill based on response",INDEX('ESG'!$N$10:$N$17,MATCH($F49,'ESG'!$B$10:$B$17,0))),"N/A")</f>
        <v/>
      </c>
      <c r="Q49" s="25">
        <f>IFERROR(IF(INDEX('CIOG'!$N$10:$N$14,MATCH($F49,'CIOG'!$B$10:$B$14,0))="","Cell will autofill based on response",INDEX('CIOG'!$N$10:$N$14,MATCH($F49,'CIOG'!$B$10:$B$14,0))),"N/A")</f>
        <v/>
      </c>
      <c r="R49" s="25">
        <f>IFERROR(IF(INDEX('MRE'!$N$10:$N$12,MATCH($F49,'MRE'!$B$10:$B$12,0))="","Cell will autofill based on response",INDEX('MRE'!$N$10:$N$12,MATCH($F49,'MRE'!$B$10:$B$12,0))),"N/A")</f>
        <v/>
      </c>
      <c r="S49" s="25">
        <f>IFERROR(IF(INDEX('L&amp;R'!$N$10:$N$11,MATCH($F49,'L&amp;R'!$B$10:$B$11,0))="","Cell will autofill based on response",INDEX('L&amp;R'!$N$10:$N$11,MATCH($F49,'L&amp;R'!$B$10:$B$11,0))),"N/A")</f>
        <v/>
      </c>
    </row>
    <row r="50">
      <c r="A50">
        <f>F50&amp;"|"&amp;G50</f>
        <v/>
      </c>
      <c r="B50" s="29" t="inlineStr"/>
      <c r="C50" s="8" t="inlineStr"/>
      <c r="D50" s="8" t="inlineStr"/>
      <c r="E50" s="8" t="inlineStr"/>
      <c r="F50" s="8" t="inlineStr">
        <is>
          <t>TR1(c)</t>
        </is>
      </c>
      <c r="G50" s="8" t="inlineStr">
        <is>
          <t>Supporting information/comments</t>
        </is>
      </c>
      <c r="H50" s="25">
        <f>IFERROR(IF(INDEX('Faculties'!$O$10:$O$30,MATCH($F50,'Faculties'!$B$10:$B$30,0))="","Cell will autofill based on response",INDEX('Faculties'!$O$10:$O$30,MATCH($F50,'Faculties'!$B$10:$B$30,0))),"N/A")</f>
        <v/>
      </c>
      <c r="I50" s="25">
        <f>IFERROR(IF(INDEX('Faculties'!$O$37:$O$57,MATCH($F50,'Faculties'!$B$37:$B$57,0))="","Cell will autofill based on response",INDEX('Faculties'!$O$37:$O$57,MATCH($F50,'Faculties'!$B$37:$B$57,0))),"N/A")</f>
        <v/>
      </c>
      <c r="J50" s="25">
        <f>IFERROR(IF(INDEX('Faculties'!$O$64:$O$84,MATCH($F50,'Faculties'!$B$64:$B$84,0))="","Cell will autofill based on response",INDEX('Faculties'!$O$64:$O$84,MATCH($F50,'Faculties'!$B$64:$B$84,0))),"N/A")</f>
        <v/>
      </c>
      <c r="K50" s="25">
        <f>IFERROR(IF(INDEX('Faculties'!$O$91:$O$111,MATCH($F50,'Faculties'!$B$91:$B$111,0))="","Cell will autofill based on response",INDEX('Faculties'!$O$91:$O$111,MATCH($F50,'Faculties'!$B$91:$B$111,0))),"N/A")</f>
        <v/>
      </c>
      <c r="L50" s="25">
        <f>IFERROR(IF(INDEX('CI&amp;S'!$O$10:$O$15,MATCH($F50,'CI&amp;S'!$B$10:$B$15,0))="","Cell will autofill based on response",INDEX('CI&amp;S'!$O$10:$O$15,MATCH($F50,'CI&amp;S'!$B$10:$B$15,0))),"N/A")</f>
        <v/>
      </c>
      <c r="M50" s="25">
        <f>IFERROR(IF(INDEX('CI&amp;S'!$O$22:$O$39,MATCH($F50,'CI&amp;S'!$B$22:$B$39,0))="","Cell will autofill based on response",INDEX('CI&amp;S'!$O$22:$O$39,MATCH($F50,'CI&amp;S'!$B$22:$B$39,0))),"N/A")</f>
        <v/>
      </c>
      <c r="N50" s="25">
        <f>IFERROR(IF(INDEX('CFOG'!$O$10:$O$16,MATCH($F50,'CFOG'!$B$10:$B$16,0))="","Cell will autofill based on response",INDEX('CFOG'!$O$10:$O$16,MATCH($F50,'CFOG'!$B$10:$B$16,0))),"N/A")</f>
        <v/>
      </c>
      <c r="O50" s="25">
        <f>IFERROR(IF(INDEX('CFOG'!$O$23:$O$24,MATCH($F50,'CFOG'!$B$23:$B$24,0))="","Cell will autofill based on response",INDEX('CFOG'!$O$23:$O$24,MATCH($F50,'CFOG'!$B$23:$B$24,0))),"N/A")</f>
        <v/>
      </c>
      <c r="P50" s="25">
        <f>IFERROR(IF(INDEX('ESG'!$O$10:$O$17,MATCH($F50,'ESG'!$B$10:$B$17,0))="","Cell will autofill based on response",INDEX('ESG'!$O$10:$O$17,MATCH($F50,'ESG'!$B$10:$B$17,0))),"N/A")</f>
        <v/>
      </c>
      <c r="Q50" s="25">
        <f>IFERROR(IF(INDEX('CIOG'!$O$10:$O$14,MATCH($F50,'CIOG'!$B$10:$B$14,0))="","Cell will autofill based on response",INDEX('CIOG'!$O$10:$O$14,MATCH($F50,'CIOG'!$B$10:$B$14,0))),"N/A")</f>
        <v/>
      </c>
      <c r="R50" s="25">
        <f>IFERROR(IF(INDEX('MRE'!$O$10:$O$12,MATCH($F50,'MRE'!$B$10:$B$12,0))="","Cell will autofill based on response",INDEX('MRE'!$O$10:$O$12,MATCH($F50,'MRE'!$B$10:$B$12,0))),"N/A")</f>
        <v/>
      </c>
      <c r="S50" s="25">
        <f>IFERROR(IF(INDEX('L&amp;R'!$O$10:$O$11,MATCH($F50,'L&amp;R'!$B$10:$B$11,0))="","Cell will autofill based on response",INDEX('L&amp;R'!$O$10:$O$11,MATCH($F50,'L&amp;R'!$B$10:$B$11,0))),"N/A")</f>
        <v/>
      </c>
    </row>
    <row r="51">
      <c r="A51">
        <f>F51&amp;"|"&amp;G51</f>
        <v/>
      </c>
      <c r="B51" s="29" t="inlineStr"/>
      <c r="C51" s="8" t="inlineStr"/>
      <c r="D51" s="8" t="inlineStr"/>
      <c r="E51" s="8" t="inlineStr"/>
      <c r="F51" s="8" t="inlineStr">
        <is>
          <t>TR1(c)</t>
        </is>
      </c>
      <c r="G51" s="8" t="inlineStr">
        <is>
          <t>Data source and limitations</t>
        </is>
      </c>
      <c r="H51" s="25">
        <f>IFERROR(IF(INDEX('Faculties'!$P$10:$P$30,MATCH($F51,'Faculties'!$B$10:$B$30,0))="","Cell will autofill based on response",INDEX('Faculties'!$P$10:$P$30,MATCH($F51,'Faculties'!$B$10:$B$30,0))),"N/A")</f>
        <v/>
      </c>
      <c r="I51" s="25">
        <f>IFERROR(IF(INDEX('Faculties'!$P$37:$P$57,MATCH($F51,'Faculties'!$B$37:$B$57,0))="","Cell will autofill based on response",INDEX('Faculties'!$P$37:$P$57,MATCH($F51,'Faculties'!$B$37:$B$57,0))),"N/A")</f>
        <v/>
      </c>
      <c r="J51" s="25">
        <f>IFERROR(IF(INDEX('Faculties'!$P$64:$P$84,MATCH($F51,'Faculties'!$B$64:$B$84,0))="","Cell will autofill based on response",INDEX('Faculties'!$P$64:$P$84,MATCH($F51,'Faculties'!$B$64:$B$84,0))),"N/A")</f>
        <v/>
      </c>
      <c r="K51" s="25">
        <f>IFERROR(IF(INDEX('Faculties'!$P$91:$P$111,MATCH($F51,'Faculties'!$B$91:$B$111,0))="","Cell will autofill based on response",INDEX('Faculties'!$P$91:$P$111,MATCH($F51,'Faculties'!$B$91:$B$111,0))),"N/A")</f>
        <v/>
      </c>
      <c r="L51" s="25">
        <f>IFERROR(IF(INDEX('CI&amp;S'!$P$10:$P$15,MATCH($F51,'CI&amp;S'!$B$10:$B$15,0))="","Cell will autofill based on response",INDEX('CI&amp;S'!$P$10:$P$15,MATCH($F51,'CI&amp;S'!$B$10:$B$15,0))),"N/A")</f>
        <v/>
      </c>
      <c r="M51" s="25">
        <f>IFERROR(IF(INDEX('CI&amp;S'!$P$22:$P$39,MATCH($F51,'CI&amp;S'!$B$22:$B$39,0))="","Cell will autofill based on response",INDEX('CI&amp;S'!$P$22:$P$39,MATCH($F51,'CI&amp;S'!$B$22:$B$39,0))),"N/A")</f>
        <v/>
      </c>
      <c r="N51" s="25">
        <f>IFERROR(IF(INDEX('CFOG'!$P$10:$P$16,MATCH($F51,'CFOG'!$B$10:$B$16,0))="","Cell will autofill based on response",INDEX('CFOG'!$P$10:$P$16,MATCH($F51,'CFOG'!$B$10:$B$16,0))),"N/A")</f>
        <v/>
      </c>
      <c r="O51" s="25">
        <f>IFERROR(IF(INDEX('CFOG'!$P$23:$P$24,MATCH($F51,'CFOG'!$B$23:$B$24,0))="","Cell will autofill based on response",INDEX('CFOG'!$P$23:$P$24,MATCH($F51,'CFOG'!$B$23:$B$24,0))),"N/A")</f>
        <v/>
      </c>
      <c r="P51" s="25">
        <f>IFERROR(IF(INDEX('ESG'!$P$10:$P$17,MATCH($F51,'ESG'!$B$10:$B$17,0))="","Cell will autofill based on response",INDEX('ESG'!$P$10:$P$17,MATCH($F51,'ESG'!$B$10:$B$17,0))),"N/A")</f>
        <v/>
      </c>
      <c r="Q51" s="25">
        <f>IFERROR(IF(INDEX('CIOG'!$P$10:$P$14,MATCH($F51,'CIOG'!$B$10:$B$14,0))="","Cell will autofill based on response",INDEX('CIOG'!$P$10:$P$14,MATCH($F51,'CIOG'!$B$10:$B$14,0))),"N/A")</f>
        <v/>
      </c>
      <c r="R51" s="25">
        <f>IFERROR(IF(INDEX('MRE'!$P$10:$P$12,MATCH($F51,'MRE'!$B$10:$B$12,0))="","Cell will autofill based on response",INDEX('MRE'!$P$10:$P$12,MATCH($F51,'MRE'!$B$10:$B$12,0))),"N/A")</f>
        <v/>
      </c>
      <c r="S51" s="25">
        <f>IFERROR(IF(INDEX('L&amp;R'!$P$10:$P$11,MATCH($F51,'L&amp;R'!$B$10:$B$11,0))="","Cell will autofill based on response",INDEX('L&amp;R'!$P$10:$P$11,MATCH($F51,'L&amp;R'!$B$10:$B$11,0))),"N/A")</f>
        <v/>
      </c>
    </row>
    <row r="52">
      <c r="A52">
        <f>F52&amp;"|"&amp;G52</f>
        <v/>
      </c>
      <c r="B52" s="29" t="inlineStr"/>
      <c r="C52" s="8" t="inlineStr"/>
      <c r="D52" s="8" t="inlineStr"/>
      <c r="E52" s="8" t="inlineStr"/>
      <c r="F52" s="8" t="inlineStr">
        <is>
          <t>TR1(c)</t>
        </is>
      </c>
      <c r="G52" s="8" t="inlineStr">
        <is>
          <t>Data owner confirms</t>
        </is>
      </c>
      <c r="H52" s="25">
        <f>IFERROR(IF(INDEX('Faculties'!$Q$10:$Q$30,MATCH($F52,'Faculties'!$B$10:$B$30,0))="","Cell will autofill based on response",INDEX('Faculties'!$Q$10:$Q$30,MATCH($F52,'Faculties'!$B$10:$B$30,0))),"N/A")</f>
        <v/>
      </c>
      <c r="I52" s="25">
        <f>IFERROR(IF(INDEX('Faculties'!$Q$37:$Q$57,MATCH($F52,'Faculties'!$B$37:$B$57,0))="","Cell will autofill based on response",INDEX('Faculties'!$Q$37:$Q$57,MATCH($F52,'Faculties'!$B$37:$B$57,0))),"N/A")</f>
        <v/>
      </c>
      <c r="J52" s="25">
        <f>IFERROR(IF(INDEX('Faculties'!$Q$64:$Q$84,MATCH($F52,'Faculties'!$B$64:$B$84,0))="","Cell will autofill based on response",INDEX('Faculties'!$Q$64:$Q$84,MATCH($F52,'Faculties'!$B$64:$B$84,0))),"N/A")</f>
        <v/>
      </c>
      <c r="K52" s="25">
        <f>IFERROR(IF(INDEX('Faculties'!$Q$91:$Q$111,MATCH($F52,'Faculties'!$B$91:$B$111,0))="","Cell will autofill based on response",INDEX('Faculties'!$Q$91:$Q$111,MATCH($F52,'Faculties'!$B$91:$B$111,0))),"N/A")</f>
        <v/>
      </c>
      <c r="L52" s="25">
        <f>IFERROR(IF(INDEX('CI&amp;S'!$Q$10:$Q$15,MATCH($F52,'CI&amp;S'!$B$10:$B$15,0))="","Cell will autofill based on response",INDEX('CI&amp;S'!$Q$10:$Q$15,MATCH($F52,'CI&amp;S'!$B$10:$B$15,0))),"N/A")</f>
        <v/>
      </c>
      <c r="M52" s="25">
        <f>IFERROR(IF(INDEX('CI&amp;S'!$Q$22:$Q$39,MATCH($F52,'CI&amp;S'!$B$22:$B$39,0))="","Cell will autofill based on response",INDEX('CI&amp;S'!$Q$22:$Q$39,MATCH($F52,'CI&amp;S'!$B$22:$B$39,0))),"N/A")</f>
        <v/>
      </c>
      <c r="N52" s="25">
        <f>IFERROR(IF(INDEX('CFOG'!$Q$10:$Q$16,MATCH($F52,'CFOG'!$B$10:$B$16,0))="","Cell will autofill based on response",INDEX('CFOG'!$Q$10:$Q$16,MATCH($F52,'CFOG'!$B$10:$B$16,0))),"N/A")</f>
        <v/>
      </c>
      <c r="O52" s="25">
        <f>IFERROR(IF(INDEX('CFOG'!$Q$23:$Q$24,MATCH($F52,'CFOG'!$B$23:$B$24,0))="","Cell will autofill based on response",INDEX('CFOG'!$Q$23:$Q$24,MATCH($F52,'CFOG'!$B$23:$B$24,0))),"N/A")</f>
        <v/>
      </c>
      <c r="P52" s="25">
        <f>IFERROR(IF(INDEX('ESG'!$Q$10:$Q$17,MATCH($F52,'ESG'!$B$10:$B$17,0))="","Cell will autofill based on response",INDEX('ESG'!$Q$10:$Q$17,MATCH($F52,'ESG'!$B$10:$B$17,0))),"N/A")</f>
        <v/>
      </c>
      <c r="Q52" s="25">
        <f>IFERROR(IF(INDEX('CIOG'!$Q$10:$Q$14,MATCH($F52,'CIOG'!$B$10:$B$14,0))="","Cell will autofill based on response",INDEX('CIOG'!$Q$10:$Q$14,MATCH($F52,'CIOG'!$B$10:$B$14,0))),"N/A")</f>
        <v/>
      </c>
      <c r="R52" s="25">
        <f>IFERROR(IF(INDEX('MRE'!$Q$10:$Q$12,MATCH($F52,'MRE'!$B$10:$B$12,0))="","Cell will autofill based on response",INDEX('MRE'!$Q$10:$Q$12,MATCH($F52,'MRE'!$B$10:$B$12,0))),"N/A")</f>
        <v/>
      </c>
      <c r="S52" s="25">
        <f>IFERROR(IF(INDEX('L&amp;R'!$Q$10:$Q$11,MATCH($F52,'L&amp;R'!$B$10:$B$11,0))="","Cell will autofill based on response",INDEX('L&amp;R'!$Q$10:$Q$11,MATCH($F52,'L&amp;R'!$B$10:$B$11,0))),"N/A")</f>
        <v/>
      </c>
    </row>
    <row r="53">
      <c r="A53">
        <f>F53&amp;"|"&amp;G53</f>
        <v/>
      </c>
      <c r="B53" s="7" t="inlineStr">
        <is>
          <t>TR1(d)</t>
        </is>
      </c>
      <c r="C53" s="12" t="inlineStr">
        <is>
          <t>Transformational research</t>
        </is>
      </c>
      <c r="D53" s="12" t="inlineStr">
        <is>
          <t>Periodic feedback from participants on the effectiveness and mutual benefit of collaboration mechanisms.</t>
        </is>
      </c>
      <c r="E53" s="12" t="inlineStr">
        <is>
          <t>Please provide any participant feedback or other evidence from your Faculty/Portfolio on the effectiveness and mutual benefit of collaboration mechanisms between researchers and operational teams, could include key findings and any improvements identified.</t>
        </is>
      </c>
      <c r="F53" s="12" t="inlineStr">
        <is>
          <t>TR1(d)</t>
        </is>
      </c>
      <c r="G53" s="12" t="inlineStr">
        <is>
          <t>Confirm end-2026 target status</t>
        </is>
      </c>
      <c r="H53" s="25">
        <f>IFERROR(IF(INDEX('Faculties'!$L$10:$L$30,MATCH($F53,'Faculties'!$B$10:$B$30,0))="","Cell will autofill based on response",INDEX('Faculties'!$L$10:$L$30,MATCH($F53,'Faculties'!$B$10:$B$30,0))),"N/A")</f>
        <v/>
      </c>
      <c r="I53" s="25">
        <f>IFERROR(IF(INDEX('Faculties'!$L$37:$L$57,MATCH($F53,'Faculties'!$B$37:$B$57,0))="","Cell will autofill based on response",INDEX('Faculties'!$L$37:$L$57,MATCH($F53,'Faculties'!$B$37:$B$57,0))),"N/A")</f>
        <v/>
      </c>
      <c r="J53" s="25">
        <f>IFERROR(IF(INDEX('Faculties'!$L$64:$L$84,MATCH($F53,'Faculties'!$B$64:$B$84,0))="","Cell will autofill based on response",INDEX('Faculties'!$L$64:$L$84,MATCH($F53,'Faculties'!$B$64:$B$84,0))),"N/A")</f>
        <v/>
      </c>
      <c r="K53" s="25">
        <f>IFERROR(IF(INDEX('Faculties'!$L$91:$L$111,MATCH($F53,'Faculties'!$B$91:$B$111,0))="","Cell will autofill based on response",INDEX('Faculties'!$L$91:$L$111,MATCH($F53,'Faculties'!$B$91:$B$111,0))),"N/A")</f>
        <v/>
      </c>
      <c r="L53" s="25">
        <f>IFERROR(IF(INDEX('CI&amp;S'!$L$10:$L$15,MATCH($F53,'CI&amp;S'!$B$10:$B$15,0))="","Cell will autofill based on response",INDEX('CI&amp;S'!$L$10:$L$15,MATCH($F53,'CI&amp;S'!$B$10:$B$15,0))),"N/A")</f>
        <v/>
      </c>
      <c r="M53" s="25">
        <f>IFERROR(IF(INDEX('CI&amp;S'!$L$22:$L$39,MATCH($F53,'CI&amp;S'!$B$22:$B$39,0))="","Cell will autofill based on response",INDEX('CI&amp;S'!$L$22:$L$39,MATCH($F53,'CI&amp;S'!$B$22:$B$39,0))),"N/A")</f>
        <v/>
      </c>
      <c r="N53" s="25">
        <f>IFERROR(IF(INDEX('CFOG'!$L$10:$L$16,MATCH($F53,'CFOG'!$B$10:$B$16,0))="","Cell will autofill based on response",INDEX('CFOG'!$L$10:$L$16,MATCH($F53,'CFOG'!$B$10:$B$16,0))),"N/A")</f>
        <v/>
      </c>
      <c r="O53" s="25">
        <f>IFERROR(IF(INDEX('CFOG'!$L$23:$L$24,MATCH($F53,'CFOG'!$B$23:$B$24,0))="","Cell will autofill based on response",INDEX('CFOG'!$L$23:$L$24,MATCH($F53,'CFOG'!$B$23:$B$24,0))),"N/A")</f>
        <v/>
      </c>
      <c r="P53" s="25">
        <f>IFERROR(IF(INDEX('ESG'!$L$10:$L$17,MATCH($F53,'ESG'!$B$10:$B$17,0))="","Cell will autofill based on response",INDEX('ESG'!$L$10:$L$17,MATCH($F53,'ESG'!$B$10:$B$17,0))),"N/A")</f>
        <v/>
      </c>
      <c r="Q53" s="25">
        <f>IFERROR(IF(INDEX('CIOG'!$L$10:$L$14,MATCH($F53,'CIOG'!$B$10:$B$14,0))="","Cell will autofill based on response",INDEX('CIOG'!$L$10:$L$14,MATCH($F53,'CIOG'!$B$10:$B$14,0))),"N/A")</f>
        <v/>
      </c>
      <c r="R53" s="25">
        <f>IFERROR(IF(INDEX('MRE'!$L$10:$L$12,MATCH($F53,'MRE'!$B$10:$B$12,0))="","Cell will autofill based on response",INDEX('MRE'!$L$10:$L$12,MATCH($F53,'MRE'!$B$10:$B$12,0))),"N/A")</f>
        <v/>
      </c>
      <c r="S53" s="25">
        <f>IFERROR(IF(INDEX('L&amp;R'!$L$10:$L$11,MATCH($F53,'L&amp;R'!$B$10:$B$11,0))="","Cell will autofill based on response",INDEX('L&amp;R'!$L$10:$L$11,MATCH($F53,'L&amp;R'!$B$10:$B$11,0))),"N/A")</f>
        <v/>
      </c>
      <c r="U53" s="26">
        <f>COUNTIF($H53:$S53,"Cell will autofill based on response")</f>
        <v/>
      </c>
      <c r="V53" s="26">
        <f>COUNTIF($H53:$S53,"Not yet started")</f>
        <v/>
      </c>
      <c r="W53" s="26">
        <f>COUNTIF($H53:$S53,"Not met")</f>
        <v/>
      </c>
      <c r="X53" s="26">
        <f>COUNTIF($H53:$S53,"Partially met")</f>
        <v/>
      </c>
      <c r="Y53" s="26">
        <f>COUNTIF($H53:$S53,"Met or exceeded")</f>
        <v/>
      </c>
      <c r="Z53" s="26">
        <f>3*Y53+2*X53+W53</f>
        <v/>
      </c>
      <c r="AA53" s="26">
        <f>Y53+X53+W53+V53</f>
        <v/>
      </c>
      <c r="AB53" s="27">
        <f>IF(AA53&gt;0,Z53/AA53,"No valid responses to date")</f>
        <v/>
      </c>
      <c r="AC53" s="26">
        <f>IF(ISNUMBER(AB53),INDEX(Lists!$G$2:$G$5,MATCH(ROUND(AB53,0),Lists!$H$2:$H$5,0)),"")</f>
        <v/>
      </c>
      <c r="AD53" s="28">
        <f>IF(AA53&gt;0,Y53/AA53,"")</f>
        <v/>
      </c>
      <c r="AE53" s="28">
        <f>IF(AA53&gt;0,(Y53+X53)/AA53,"")</f>
        <v/>
      </c>
      <c r="AF53" s="26">
        <f>IF(AA53=0,"",IF(AD53&gt;0.75,"Met or exceeded",IF(AE53&gt;=0.5,"Partially met","Not met")))</f>
        <v/>
      </c>
    </row>
    <row r="54">
      <c r="A54">
        <f>F54&amp;"|"&amp;G54</f>
        <v/>
      </c>
      <c r="B54" s="29" t="inlineStr"/>
      <c r="C54" s="8" t="inlineStr"/>
      <c r="D54" s="8" t="inlineStr"/>
      <c r="E54" s="8" t="inlineStr"/>
      <c r="F54" s="8" t="inlineStr">
        <is>
          <t>TR1(d)</t>
        </is>
      </c>
      <c r="G54" s="8" t="inlineStr">
        <is>
          <t>OPTION 1:  Target-level reporting</t>
        </is>
      </c>
      <c r="H54" s="25">
        <f>IFERROR(IF(INDEX('Faculties'!$M$10:$M$30,MATCH($F54,'Faculties'!$B$10:$B$30,0))="","Cell will autofill based on response",INDEX('Faculties'!$M$10:$M$30,MATCH($F54,'Faculties'!$B$10:$B$30,0))),"N/A")</f>
        <v/>
      </c>
      <c r="I54" s="25">
        <f>IFERROR(IF(INDEX('Faculties'!$M$37:$M$57,MATCH($F54,'Faculties'!$B$37:$B$57,0))="","Cell will autofill based on response",INDEX('Faculties'!$M$37:$M$57,MATCH($F54,'Faculties'!$B$37:$B$57,0))),"N/A")</f>
        <v/>
      </c>
      <c r="J54" s="25">
        <f>IFERROR(IF(INDEX('Faculties'!$M$64:$M$84,MATCH($F54,'Faculties'!$B$64:$B$84,0))="","Cell will autofill based on response",INDEX('Faculties'!$M$64:$M$84,MATCH($F54,'Faculties'!$B$64:$B$84,0))),"N/A")</f>
        <v/>
      </c>
      <c r="K54" s="25">
        <f>IFERROR(IF(INDEX('Faculties'!$M$91:$M$111,MATCH($F54,'Faculties'!$B$91:$B$111,0))="","Cell will autofill based on response",INDEX('Faculties'!$M$91:$M$111,MATCH($F54,'Faculties'!$B$91:$B$111,0))),"N/A")</f>
        <v/>
      </c>
      <c r="L54" s="25">
        <f>IFERROR(IF(INDEX('CI&amp;S'!$M$10:$M$15,MATCH($F54,'CI&amp;S'!$B$10:$B$15,0))="","Cell will autofill based on response",INDEX('CI&amp;S'!$M$10:$M$15,MATCH($F54,'CI&amp;S'!$B$10:$B$15,0))),"N/A")</f>
        <v/>
      </c>
      <c r="M54" s="25">
        <f>IFERROR(IF(INDEX('CI&amp;S'!$M$22:$M$39,MATCH($F54,'CI&amp;S'!$B$22:$B$39,0))="","Cell will autofill based on response",INDEX('CI&amp;S'!$M$22:$M$39,MATCH($F54,'CI&amp;S'!$B$22:$B$39,0))),"N/A")</f>
        <v/>
      </c>
      <c r="N54" s="25">
        <f>IFERROR(IF(INDEX('CFOG'!$M$10:$M$16,MATCH($F54,'CFOG'!$B$10:$B$16,0))="","Cell will autofill based on response",INDEX('CFOG'!$M$10:$M$16,MATCH($F54,'CFOG'!$B$10:$B$16,0))),"N/A")</f>
        <v/>
      </c>
      <c r="O54" s="25">
        <f>IFERROR(IF(INDEX('CFOG'!$M$23:$M$24,MATCH($F54,'CFOG'!$B$23:$B$24,0))="","Cell will autofill based on response",INDEX('CFOG'!$M$23:$M$24,MATCH($F54,'CFOG'!$B$23:$B$24,0))),"N/A")</f>
        <v/>
      </c>
      <c r="P54" s="25">
        <f>IFERROR(IF(INDEX('ESG'!$M$10:$M$17,MATCH($F54,'ESG'!$B$10:$B$17,0))="","Cell will autofill based on response",INDEX('ESG'!$M$10:$M$17,MATCH($F54,'ESG'!$B$10:$B$17,0))),"N/A")</f>
        <v/>
      </c>
      <c r="Q54" s="25">
        <f>IFERROR(IF(INDEX('CIOG'!$M$10:$M$14,MATCH($F54,'CIOG'!$B$10:$B$14,0))="","Cell will autofill based on response",INDEX('CIOG'!$M$10:$M$14,MATCH($F54,'CIOG'!$B$10:$B$14,0))),"N/A")</f>
        <v/>
      </c>
      <c r="R54" s="25">
        <f>IFERROR(IF(INDEX('MRE'!$M$10:$M$12,MATCH($F54,'MRE'!$B$10:$B$12,0))="","Cell will autofill based on response",INDEX('MRE'!$M$10:$M$12,MATCH($F54,'MRE'!$B$10:$B$12,0))),"N/A")</f>
        <v/>
      </c>
      <c r="S54" s="25">
        <f>IFERROR(IF(INDEX('L&amp;R'!$M$10:$M$11,MATCH($F54,'L&amp;R'!$B$10:$B$11,0))="","Cell will autofill based on response",INDEX('L&amp;R'!$M$10:$M$11,MATCH($F54,'L&amp;R'!$B$10:$B$11,0))),"N/A")</f>
        <v/>
      </c>
    </row>
    <row r="55">
      <c r="A55">
        <f>F55&amp;"|"&amp;G55</f>
        <v/>
      </c>
      <c r="B55" s="29" t="inlineStr"/>
      <c r="C55" s="8" t="inlineStr"/>
      <c r="D55" s="8" t="inlineStr"/>
      <c r="E55" s="8" t="inlineStr"/>
      <c r="F55" s="8" t="inlineStr">
        <is>
          <t>TR1(d)</t>
        </is>
      </c>
      <c r="G55" s="8" t="inlineStr">
        <is>
          <t>OPTION 2:  Indicator level reporting</t>
        </is>
      </c>
      <c r="H55" s="25">
        <f>IFERROR(IF(INDEX('Faculties'!$N$10:$N$30,MATCH($F55,'Faculties'!$B$10:$B$30,0))="","Cell will autofill based on response",INDEX('Faculties'!$N$10:$N$30,MATCH($F55,'Faculties'!$B$10:$B$30,0))),"N/A")</f>
        <v/>
      </c>
      <c r="I55" s="25">
        <f>IFERROR(IF(INDEX('Faculties'!$N$37:$N$57,MATCH($F55,'Faculties'!$B$37:$B$57,0))="","Cell will autofill based on response",INDEX('Faculties'!$N$37:$N$57,MATCH($F55,'Faculties'!$B$37:$B$57,0))),"N/A")</f>
        <v/>
      </c>
      <c r="J55" s="25">
        <f>IFERROR(IF(INDEX('Faculties'!$N$64:$N$84,MATCH($F55,'Faculties'!$B$64:$B$84,0))="","Cell will autofill based on response",INDEX('Faculties'!$N$64:$N$84,MATCH($F55,'Faculties'!$B$64:$B$84,0))),"N/A")</f>
        <v/>
      </c>
      <c r="K55" s="25">
        <f>IFERROR(IF(INDEX('Faculties'!$N$91:$N$111,MATCH($F55,'Faculties'!$B$91:$B$111,0))="","Cell will autofill based on response",INDEX('Faculties'!$N$91:$N$111,MATCH($F55,'Faculties'!$B$91:$B$111,0))),"N/A")</f>
        <v/>
      </c>
      <c r="L55" s="25">
        <f>IFERROR(IF(INDEX('CI&amp;S'!$N$10:$N$15,MATCH($F55,'CI&amp;S'!$B$10:$B$15,0))="","Cell will autofill based on response",INDEX('CI&amp;S'!$N$10:$N$15,MATCH($F55,'CI&amp;S'!$B$10:$B$15,0))),"N/A")</f>
        <v/>
      </c>
      <c r="M55" s="25">
        <f>IFERROR(IF(INDEX('CI&amp;S'!$N$22:$N$39,MATCH($F55,'CI&amp;S'!$B$22:$B$39,0))="","Cell will autofill based on response",INDEX('CI&amp;S'!$N$22:$N$39,MATCH($F55,'CI&amp;S'!$B$22:$B$39,0))),"N/A")</f>
        <v/>
      </c>
      <c r="N55" s="25">
        <f>IFERROR(IF(INDEX('CFOG'!$N$10:$N$16,MATCH($F55,'CFOG'!$B$10:$B$16,0))="","Cell will autofill based on response",INDEX('CFOG'!$N$10:$N$16,MATCH($F55,'CFOG'!$B$10:$B$16,0))),"N/A")</f>
        <v/>
      </c>
      <c r="O55" s="25">
        <f>IFERROR(IF(INDEX('CFOG'!$N$23:$N$24,MATCH($F55,'CFOG'!$B$23:$B$24,0))="","Cell will autofill based on response",INDEX('CFOG'!$N$23:$N$24,MATCH($F55,'CFOG'!$B$23:$B$24,0))),"N/A")</f>
        <v/>
      </c>
      <c r="P55" s="25">
        <f>IFERROR(IF(INDEX('ESG'!$N$10:$N$17,MATCH($F55,'ESG'!$B$10:$B$17,0))="","Cell will autofill based on response",INDEX('ESG'!$N$10:$N$17,MATCH($F55,'ESG'!$B$10:$B$17,0))),"N/A")</f>
        <v/>
      </c>
      <c r="Q55" s="25">
        <f>IFERROR(IF(INDEX('CIOG'!$N$10:$N$14,MATCH($F55,'CIOG'!$B$10:$B$14,0))="","Cell will autofill based on response",INDEX('CIOG'!$N$10:$N$14,MATCH($F55,'CIOG'!$B$10:$B$14,0))),"N/A")</f>
        <v/>
      </c>
      <c r="R55" s="25">
        <f>IFERROR(IF(INDEX('MRE'!$N$10:$N$12,MATCH($F55,'MRE'!$B$10:$B$12,0))="","Cell will autofill based on response",INDEX('MRE'!$N$10:$N$12,MATCH($F55,'MRE'!$B$10:$B$12,0))),"N/A")</f>
        <v/>
      </c>
      <c r="S55" s="25">
        <f>IFERROR(IF(INDEX('L&amp;R'!$N$10:$N$11,MATCH($F55,'L&amp;R'!$B$10:$B$11,0))="","Cell will autofill based on response",INDEX('L&amp;R'!$N$10:$N$11,MATCH($F55,'L&amp;R'!$B$10:$B$11,0))),"N/A")</f>
        <v/>
      </c>
    </row>
    <row r="56">
      <c r="A56">
        <f>F56&amp;"|"&amp;G56</f>
        <v/>
      </c>
      <c r="B56" s="29" t="inlineStr"/>
      <c r="C56" s="8" t="inlineStr"/>
      <c r="D56" s="8" t="inlineStr"/>
      <c r="E56" s="8" t="inlineStr"/>
      <c r="F56" s="8" t="inlineStr">
        <is>
          <t>TR1(d)</t>
        </is>
      </c>
      <c r="G56" s="8" t="inlineStr">
        <is>
          <t>Supporting information/comments</t>
        </is>
      </c>
      <c r="H56" s="25">
        <f>IFERROR(IF(INDEX('Faculties'!$O$10:$O$30,MATCH($F56,'Faculties'!$B$10:$B$30,0))="","Cell will autofill based on response",INDEX('Faculties'!$O$10:$O$30,MATCH($F56,'Faculties'!$B$10:$B$30,0))),"N/A")</f>
        <v/>
      </c>
      <c r="I56" s="25">
        <f>IFERROR(IF(INDEX('Faculties'!$O$37:$O$57,MATCH($F56,'Faculties'!$B$37:$B$57,0))="","Cell will autofill based on response",INDEX('Faculties'!$O$37:$O$57,MATCH($F56,'Faculties'!$B$37:$B$57,0))),"N/A")</f>
        <v/>
      </c>
      <c r="J56" s="25">
        <f>IFERROR(IF(INDEX('Faculties'!$O$64:$O$84,MATCH($F56,'Faculties'!$B$64:$B$84,0))="","Cell will autofill based on response",INDEX('Faculties'!$O$64:$O$84,MATCH($F56,'Faculties'!$B$64:$B$84,0))),"N/A")</f>
        <v/>
      </c>
      <c r="K56" s="25">
        <f>IFERROR(IF(INDEX('Faculties'!$O$91:$O$111,MATCH($F56,'Faculties'!$B$91:$B$111,0))="","Cell will autofill based on response",INDEX('Faculties'!$O$91:$O$111,MATCH($F56,'Faculties'!$B$91:$B$111,0))),"N/A")</f>
        <v/>
      </c>
      <c r="L56" s="25">
        <f>IFERROR(IF(INDEX('CI&amp;S'!$O$10:$O$15,MATCH($F56,'CI&amp;S'!$B$10:$B$15,0))="","Cell will autofill based on response",INDEX('CI&amp;S'!$O$10:$O$15,MATCH($F56,'CI&amp;S'!$B$10:$B$15,0))),"N/A")</f>
        <v/>
      </c>
      <c r="M56" s="25">
        <f>IFERROR(IF(INDEX('CI&amp;S'!$O$22:$O$39,MATCH($F56,'CI&amp;S'!$B$22:$B$39,0))="","Cell will autofill based on response",INDEX('CI&amp;S'!$O$22:$O$39,MATCH($F56,'CI&amp;S'!$B$22:$B$39,0))),"N/A")</f>
        <v/>
      </c>
      <c r="N56" s="25">
        <f>IFERROR(IF(INDEX('CFOG'!$O$10:$O$16,MATCH($F56,'CFOG'!$B$10:$B$16,0))="","Cell will autofill based on response",INDEX('CFOG'!$O$10:$O$16,MATCH($F56,'CFOG'!$B$10:$B$16,0))),"N/A")</f>
        <v/>
      </c>
      <c r="O56" s="25">
        <f>IFERROR(IF(INDEX('CFOG'!$O$23:$O$24,MATCH($F56,'CFOG'!$B$23:$B$24,0))="","Cell will autofill based on response",INDEX('CFOG'!$O$23:$O$24,MATCH($F56,'CFOG'!$B$23:$B$24,0))),"N/A")</f>
        <v/>
      </c>
      <c r="P56" s="25">
        <f>IFERROR(IF(INDEX('ESG'!$O$10:$O$17,MATCH($F56,'ESG'!$B$10:$B$17,0))="","Cell will autofill based on response",INDEX('ESG'!$O$10:$O$17,MATCH($F56,'ESG'!$B$10:$B$17,0))),"N/A")</f>
        <v/>
      </c>
      <c r="Q56" s="25">
        <f>IFERROR(IF(INDEX('CIOG'!$O$10:$O$14,MATCH($F56,'CIOG'!$B$10:$B$14,0))="","Cell will autofill based on response",INDEX('CIOG'!$O$10:$O$14,MATCH($F56,'CIOG'!$B$10:$B$14,0))),"N/A")</f>
        <v/>
      </c>
      <c r="R56" s="25">
        <f>IFERROR(IF(INDEX('MRE'!$O$10:$O$12,MATCH($F56,'MRE'!$B$10:$B$12,0))="","Cell will autofill based on response",INDEX('MRE'!$O$10:$O$12,MATCH($F56,'MRE'!$B$10:$B$12,0))),"N/A")</f>
        <v/>
      </c>
      <c r="S56" s="25">
        <f>IFERROR(IF(INDEX('L&amp;R'!$O$10:$O$11,MATCH($F56,'L&amp;R'!$B$10:$B$11,0))="","Cell will autofill based on response",INDEX('L&amp;R'!$O$10:$O$11,MATCH($F56,'L&amp;R'!$B$10:$B$11,0))),"N/A")</f>
        <v/>
      </c>
    </row>
    <row r="57">
      <c r="A57">
        <f>F57&amp;"|"&amp;G57</f>
        <v/>
      </c>
      <c r="B57" s="29" t="inlineStr"/>
      <c r="C57" s="8" t="inlineStr"/>
      <c r="D57" s="8" t="inlineStr"/>
      <c r="E57" s="8" t="inlineStr"/>
      <c r="F57" s="8" t="inlineStr">
        <is>
          <t>TR1(d)</t>
        </is>
      </c>
      <c r="G57" s="8" t="inlineStr">
        <is>
          <t>Data source and limitations</t>
        </is>
      </c>
      <c r="H57" s="25">
        <f>IFERROR(IF(INDEX('Faculties'!$P$10:$P$30,MATCH($F57,'Faculties'!$B$10:$B$30,0))="","Cell will autofill based on response",INDEX('Faculties'!$P$10:$P$30,MATCH($F57,'Faculties'!$B$10:$B$30,0))),"N/A")</f>
        <v/>
      </c>
      <c r="I57" s="25">
        <f>IFERROR(IF(INDEX('Faculties'!$P$37:$P$57,MATCH($F57,'Faculties'!$B$37:$B$57,0))="","Cell will autofill based on response",INDEX('Faculties'!$P$37:$P$57,MATCH($F57,'Faculties'!$B$37:$B$57,0))),"N/A")</f>
        <v/>
      </c>
      <c r="J57" s="25">
        <f>IFERROR(IF(INDEX('Faculties'!$P$64:$P$84,MATCH($F57,'Faculties'!$B$64:$B$84,0))="","Cell will autofill based on response",INDEX('Faculties'!$P$64:$P$84,MATCH($F57,'Faculties'!$B$64:$B$84,0))),"N/A")</f>
        <v/>
      </c>
      <c r="K57" s="25">
        <f>IFERROR(IF(INDEX('Faculties'!$P$91:$P$111,MATCH($F57,'Faculties'!$B$91:$B$111,0))="","Cell will autofill based on response",INDEX('Faculties'!$P$91:$P$111,MATCH($F57,'Faculties'!$B$91:$B$111,0))),"N/A")</f>
        <v/>
      </c>
      <c r="L57" s="25">
        <f>IFERROR(IF(INDEX('CI&amp;S'!$P$10:$P$15,MATCH($F57,'CI&amp;S'!$B$10:$B$15,0))="","Cell will autofill based on response",INDEX('CI&amp;S'!$P$10:$P$15,MATCH($F57,'CI&amp;S'!$B$10:$B$15,0))),"N/A")</f>
        <v/>
      </c>
      <c r="M57" s="25">
        <f>IFERROR(IF(INDEX('CI&amp;S'!$P$22:$P$39,MATCH($F57,'CI&amp;S'!$B$22:$B$39,0))="","Cell will autofill based on response",INDEX('CI&amp;S'!$P$22:$P$39,MATCH($F57,'CI&amp;S'!$B$22:$B$39,0))),"N/A")</f>
        <v/>
      </c>
      <c r="N57" s="25">
        <f>IFERROR(IF(INDEX('CFOG'!$P$10:$P$16,MATCH($F57,'CFOG'!$B$10:$B$16,0))="","Cell will autofill based on response",INDEX('CFOG'!$P$10:$P$16,MATCH($F57,'CFOG'!$B$10:$B$16,0))),"N/A")</f>
        <v/>
      </c>
      <c r="O57" s="25">
        <f>IFERROR(IF(INDEX('CFOG'!$P$23:$P$24,MATCH($F57,'CFOG'!$B$23:$B$24,0))="","Cell will autofill based on response",INDEX('CFOG'!$P$23:$P$24,MATCH($F57,'CFOG'!$B$23:$B$24,0))),"N/A")</f>
        <v/>
      </c>
      <c r="P57" s="25">
        <f>IFERROR(IF(INDEX('ESG'!$P$10:$P$17,MATCH($F57,'ESG'!$B$10:$B$17,0))="","Cell will autofill based on response",INDEX('ESG'!$P$10:$P$17,MATCH($F57,'ESG'!$B$10:$B$17,0))),"N/A")</f>
        <v/>
      </c>
      <c r="Q57" s="25">
        <f>IFERROR(IF(INDEX('CIOG'!$P$10:$P$14,MATCH($F57,'CIOG'!$B$10:$B$14,0))="","Cell will autofill based on response",INDEX('CIOG'!$P$10:$P$14,MATCH($F57,'CIOG'!$B$10:$B$14,0))),"N/A")</f>
        <v/>
      </c>
      <c r="R57" s="25">
        <f>IFERROR(IF(INDEX('MRE'!$P$10:$P$12,MATCH($F57,'MRE'!$B$10:$B$12,0))="","Cell will autofill based on response",INDEX('MRE'!$P$10:$P$12,MATCH($F57,'MRE'!$B$10:$B$12,0))),"N/A")</f>
        <v/>
      </c>
      <c r="S57" s="25">
        <f>IFERROR(IF(INDEX('L&amp;R'!$P$10:$P$11,MATCH($F57,'L&amp;R'!$B$10:$B$11,0))="","Cell will autofill based on response",INDEX('L&amp;R'!$P$10:$P$11,MATCH($F57,'L&amp;R'!$B$10:$B$11,0))),"N/A")</f>
        <v/>
      </c>
    </row>
    <row r="58">
      <c r="A58">
        <f>F58&amp;"|"&amp;G58</f>
        <v/>
      </c>
      <c r="B58" s="29" t="inlineStr"/>
      <c r="C58" s="8" t="inlineStr"/>
      <c r="D58" s="8" t="inlineStr"/>
      <c r="E58" s="8" t="inlineStr"/>
      <c r="F58" s="8" t="inlineStr">
        <is>
          <t>TR1(d)</t>
        </is>
      </c>
      <c r="G58" s="8" t="inlineStr">
        <is>
          <t>Data owner confirms</t>
        </is>
      </c>
      <c r="H58" s="25">
        <f>IFERROR(IF(INDEX('Faculties'!$Q$10:$Q$30,MATCH($F58,'Faculties'!$B$10:$B$30,0))="","Cell will autofill based on response",INDEX('Faculties'!$Q$10:$Q$30,MATCH($F58,'Faculties'!$B$10:$B$30,0))),"N/A")</f>
        <v/>
      </c>
      <c r="I58" s="25">
        <f>IFERROR(IF(INDEX('Faculties'!$Q$37:$Q$57,MATCH($F58,'Faculties'!$B$37:$B$57,0))="","Cell will autofill based on response",INDEX('Faculties'!$Q$37:$Q$57,MATCH($F58,'Faculties'!$B$37:$B$57,0))),"N/A")</f>
        <v/>
      </c>
      <c r="J58" s="25">
        <f>IFERROR(IF(INDEX('Faculties'!$Q$64:$Q$84,MATCH($F58,'Faculties'!$B$64:$B$84,0))="","Cell will autofill based on response",INDEX('Faculties'!$Q$64:$Q$84,MATCH($F58,'Faculties'!$B$64:$B$84,0))),"N/A")</f>
        <v/>
      </c>
      <c r="K58" s="25">
        <f>IFERROR(IF(INDEX('Faculties'!$Q$91:$Q$111,MATCH($F58,'Faculties'!$B$91:$B$111,0))="","Cell will autofill based on response",INDEX('Faculties'!$Q$91:$Q$111,MATCH($F58,'Faculties'!$B$91:$B$111,0))),"N/A")</f>
        <v/>
      </c>
      <c r="L58" s="25">
        <f>IFERROR(IF(INDEX('CI&amp;S'!$Q$10:$Q$15,MATCH($F58,'CI&amp;S'!$B$10:$B$15,0))="","Cell will autofill based on response",INDEX('CI&amp;S'!$Q$10:$Q$15,MATCH($F58,'CI&amp;S'!$B$10:$B$15,0))),"N/A")</f>
        <v/>
      </c>
      <c r="M58" s="25">
        <f>IFERROR(IF(INDEX('CI&amp;S'!$Q$22:$Q$39,MATCH($F58,'CI&amp;S'!$B$22:$B$39,0))="","Cell will autofill based on response",INDEX('CI&amp;S'!$Q$22:$Q$39,MATCH($F58,'CI&amp;S'!$B$22:$B$39,0))),"N/A")</f>
        <v/>
      </c>
      <c r="N58" s="25">
        <f>IFERROR(IF(INDEX('CFOG'!$Q$10:$Q$16,MATCH($F58,'CFOG'!$B$10:$B$16,0))="","Cell will autofill based on response",INDEX('CFOG'!$Q$10:$Q$16,MATCH($F58,'CFOG'!$B$10:$B$16,0))),"N/A")</f>
        <v/>
      </c>
      <c r="O58" s="25">
        <f>IFERROR(IF(INDEX('CFOG'!$Q$23:$Q$24,MATCH($F58,'CFOG'!$B$23:$B$24,0))="","Cell will autofill based on response",INDEX('CFOG'!$Q$23:$Q$24,MATCH($F58,'CFOG'!$B$23:$B$24,0))),"N/A")</f>
        <v/>
      </c>
      <c r="P58" s="25">
        <f>IFERROR(IF(INDEX('ESG'!$Q$10:$Q$17,MATCH($F58,'ESG'!$B$10:$B$17,0))="","Cell will autofill based on response",INDEX('ESG'!$Q$10:$Q$17,MATCH($F58,'ESG'!$B$10:$B$17,0))),"N/A")</f>
        <v/>
      </c>
      <c r="Q58" s="25">
        <f>IFERROR(IF(INDEX('CIOG'!$Q$10:$Q$14,MATCH($F58,'CIOG'!$B$10:$B$14,0))="","Cell will autofill based on response",INDEX('CIOG'!$Q$10:$Q$14,MATCH($F58,'CIOG'!$B$10:$B$14,0))),"N/A")</f>
        <v/>
      </c>
      <c r="R58" s="25">
        <f>IFERROR(IF(INDEX('MRE'!$Q$10:$Q$12,MATCH($F58,'MRE'!$B$10:$B$12,0))="","Cell will autofill based on response",INDEX('MRE'!$Q$10:$Q$12,MATCH($F58,'MRE'!$B$10:$B$12,0))),"N/A")</f>
        <v/>
      </c>
      <c r="S58" s="25">
        <f>IFERROR(IF(INDEX('L&amp;R'!$Q$10:$Q$11,MATCH($F58,'L&amp;R'!$B$10:$B$11,0))="","Cell will autofill based on response",INDEX('L&amp;R'!$Q$10:$Q$11,MATCH($F58,'L&amp;R'!$B$10:$B$11,0))),"N/A")</f>
        <v/>
      </c>
    </row>
    <row r="59">
      <c r="A59">
        <f>F59&amp;"|"&amp;G59</f>
        <v/>
      </c>
      <c r="B59" s="7" t="inlineStr">
        <is>
          <t>TR2(a)</t>
        </is>
      </c>
      <c r="C59" s="12" t="inlineStr">
        <is>
          <t>Transformational research</t>
        </is>
      </c>
      <c r="D59" s="12" t="inlineStr">
        <is>
          <t>Evidence of sustainability-related research impact across diverse pathways, could include policy, industry, community, practice, cultural and institutional outcomes</t>
        </is>
      </c>
      <c r="E59" s="12" t="inlineStr">
        <is>
          <t>Please provide examples of sustainability-related research impact from your Faculty/Portfolio across policy, industry, community, practice, cultural or institutional pathways. For key examples, briefly describe the research contribution, partner/user and resulting outcome or influence.</t>
        </is>
      </c>
      <c r="F59" s="12" t="inlineStr">
        <is>
          <t>TR2(a)</t>
        </is>
      </c>
      <c r="G59" s="12" t="inlineStr">
        <is>
          <t>Confirm end-2026 target status</t>
        </is>
      </c>
      <c r="H59" s="25">
        <f>IFERROR(IF(INDEX('Faculties'!$L$10:$L$30,MATCH($F59,'Faculties'!$B$10:$B$30,0))="","Cell will autofill based on response",INDEX('Faculties'!$L$10:$L$30,MATCH($F59,'Faculties'!$B$10:$B$30,0))),"N/A")</f>
        <v/>
      </c>
      <c r="I59" s="25">
        <f>IFERROR(IF(INDEX('Faculties'!$L$37:$L$57,MATCH($F59,'Faculties'!$B$37:$B$57,0))="","Cell will autofill based on response",INDEX('Faculties'!$L$37:$L$57,MATCH($F59,'Faculties'!$B$37:$B$57,0))),"N/A")</f>
        <v/>
      </c>
      <c r="J59" s="25">
        <f>IFERROR(IF(INDEX('Faculties'!$L$64:$L$84,MATCH($F59,'Faculties'!$B$64:$B$84,0))="","Cell will autofill based on response",INDEX('Faculties'!$L$64:$L$84,MATCH($F59,'Faculties'!$B$64:$B$84,0))),"N/A")</f>
        <v/>
      </c>
      <c r="K59" s="25">
        <f>IFERROR(IF(INDEX('Faculties'!$L$91:$L$111,MATCH($F59,'Faculties'!$B$91:$B$111,0))="","Cell will autofill based on response",INDEX('Faculties'!$L$91:$L$111,MATCH($F59,'Faculties'!$B$91:$B$111,0))),"N/A")</f>
        <v/>
      </c>
      <c r="L59" s="25">
        <f>IFERROR(IF(INDEX('CI&amp;S'!$L$10:$L$15,MATCH($F59,'CI&amp;S'!$B$10:$B$15,0))="","Cell will autofill based on response",INDEX('CI&amp;S'!$L$10:$L$15,MATCH($F59,'CI&amp;S'!$B$10:$B$15,0))),"N/A")</f>
        <v/>
      </c>
      <c r="M59" s="25">
        <f>IFERROR(IF(INDEX('CI&amp;S'!$L$22:$L$39,MATCH($F59,'CI&amp;S'!$B$22:$B$39,0))="","Cell will autofill based on response",INDEX('CI&amp;S'!$L$22:$L$39,MATCH($F59,'CI&amp;S'!$B$22:$B$39,0))),"N/A")</f>
        <v/>
      </c>
      <c r="N59" s="25">
        <f>IFERROR(IF(INDEX('CFOG'!$L$10:$L$16,MATCH($F59,'CFOG'!$B$10:$B$16,0))="","Cell will autofill based on response",INDEX('CFOG'!$L$10:$L$16,MATCH($F59,'CFOG'!$B$10:$B$16,0))),"N/A")</f>
        <v/>
      </c>
      <c r="O59" s="25">
        <f>IFERROR(IF(INDEX('CFOG'!$L$23:$L$24,MATCH($F59,'CFOG'!$B$23:$B$24,0))="","Cell will autofill based on response",INDEX('CFOG'!$L$23:$L$24,MATCH($F59,'CFOG'!$B$23:$B$24,0))),"N/A")</f>
        <v/>
      </c>
      <c r="P59" s="25">
        <f>IFERROR(IF(INDEX('ESG'!$L$10:$L$17,MATCH($F59,'ESG'!$B$10:$B$17,0))="","Cell will autofill based on response",INDEX('ESG'!$L$10:$L$17,MATCH($F59,'ESG'!$B$10:$B$17,0))),"N/A")</f>
        <v/>
      </c>
      <c r="Q59" s="25">
        <f>IFERROR(IF(INDEX('CIOG'!$L$10:$L$14,MATCH($F59,'CIOG'!$B$10:$B$14,0))="","Cell will autofill based on response",INDEX('CIOG'!$L$10:$L$14,MATCH($F59,'CIOG'!$B$10:$B$14,0))),"N/A")</f>
        <v/>
      </c>
      <c r="R59" s="25">
        <f>IFERROR(IF(INDEX('MRE'!$L$10:$L$12,MATCH($F59,'MRE'!$B$10:$B$12,0))="","Cell will autofill based on response",INDEX('MRE'!$L$10:$L$12,MATCH($F59,'MRE'!$B$10:$B$12,0))),"N/A")</f>
        <v/>
      </c>
      <c r="S59" s="25">
        <f>IFERROR(IF(INDEX('L&amp;R'!$L$10:$L$11,MATCH($F59,'L&amp;R'!$B$10:$B$11,0))="","Cell will autofill based on response",INDEX('L&amp;R'!$L$10:$L$11,MATCH($F59,'L&amp;R'!$B$10:$B$11,0))),"N/A")</f>
        <v/>
      </c>
      <c r="U59" s="26">
        <f>COUNTIF($H59:$S59,"Cell will autofill based on response")</f>
        <v/>
      </c>
      <c r="V59" s="26">
        <f>COUNTIF($H59:$S59,"Not yet started")</f>
        <v/>
      </c>
      <c r="W59" s="26">
        <f>COUNTIF($H59:$S59,"Not met")</f>
        <v/>
      </c>
      <c r="X59" s="26">
        <f>COUNTIF($H59:$S59,"Partially met")</f>
        <v/>
      </c>
      <c r="Y59" s="26">
        <f>COUNTIF($H59:$S59,"Met or exceeded")</f>
        <v/>
      </c>
      <c r="Z59" s="26">
        <f>3*Y59+2*X59+W59</f>
        <v/>
      </c>
      <c r="AA59" s="26">
        <f>Y59+X59+W59+V59</f>
        <v/>
      </c>
      <c r="AB59" s="27">
        <f>IF(AA59&gt;0,Z59/AA59,"No valid responses to date")</f>
        <v/>
      </c>
      <c r="AC59" s="26">
        <f>IF(ISNUMBER(AB59),INDEX(Lists!$G$2:$G$5,MATCH(ROUND(AB59,0),Lists!$H$2:$H$5,0)),"")</f>
        <v/>
      </c>
      <c r="AD59" s="28">
        <f>IF(AA59&gt;0,Y59/AA59,"")</f>
        <v/>
      </c>
      <c r="AE59" s="28">
        <f>IF(AA59&gt;0,(Y59+X59)/AA59,"")</f>
        <v/>
      </c>
      <c r="AF59" s="26">
        <f>IF(AA59=0,"",IF(AD59&gt;0.75,"Met or exceeded",IF(AE59&gt;=0.5,"Partially met","Not met")))</f>
        <v/>
      </c>
    </row>
    <row r="60">
      <c r="A60">
        <f>F60&amp;"|"&amp;G60</f>
        <v/>
      </c>
      <c r="B60" s="29" t="inlineStr"/>
      <c r="C60" s="8" t="inlineStr"/>
      <c r="D60" s="8" t="inlineStr"/>
      <c r="E60" s="8" t="inlineStr"/>
      <c r="F60" s="8" t="inlineStr">
        <is>
          <t>TR2(a)</t>
        </is>
      </c>
      <c r="G60" s="8" t="inlineStr">
        <is>
          <t>OPTION 1:  Target-level reporting</t>
        </is>
      </c>
      <c r="H60" s="25">
        <f>IFERROR(IF(INDEX('Faculties'!$M$10:$M$30,MATCH($F60,'Faculties'!$B$10:$B$30,0))="","Cell will autofill based on response",INDEX('Faculties'!$M$10:$M$30,MATCH($F60,'Faculties'!$B$10:$B$30,0))),"N/A")</f>
        <v/>
      </c>
      <c r="I60" s="25">
        <f>IFERROR(IF(INDEX('Faculties'!$M$37:$M$57,MATCH($F60,'Faculties'!$B$37:$B$57,0))="","Cell will autofill based on response",INDEX('Faculties'!$M$37:$M$57,MATCH($F60,'Faculties'!$B$37:$B$57,0))),"N/A")</f>
        <v/>
      </c>
      <c r="J60" s="25">
        <f>IFERROR(IF(INDEX('Faculties'!$M$64:$M$84,MATCH($F60,'Faculties'!$B$64:$B$84,0))="","Cell will autofill based on response",INDEX('Faculties'!$M$64:$M$84,MATCH($F60,'Faculties'!$B$64:$B$84,0))),"N/A")</f>
        <v/>
      </c>
      <c r="K60" s="25">
        <f>IFERROR(IF(INDEX('Faculties'!$M$91:$M$111,MATCH($F60,'Faculties'!$B$91:$B$111,0))="","Cell will autofill based on response",INDEX('Faculties'!$M$91:$M$111,MATCH($F60,'Faculties'!$B$91:$B$111,0))),"N/A")</f>
        <v/>
      </c>
      <c r="L60" s="25">
        <f>IFERROR(IF(INDEX('CI&amp;S'!$M$10:$M$15,MATCH($F60,'CI&amp;S'!$B$10:$B$15,0))="","Cell will autofill based on response",INDEX('CI&amp;S'!$M$10:$M$15,MATCH($F60,'CI&amp;S'!$B$10:$B$15,0))),"N/A")</f>
        <v/>
      </c>
      <c r="M60" s="25">
        <f>IFERROR(IF(INDEX('CI&amp;S'!$M$22:$M$39,MATCH($F60,'CI&amp;S'!$B$22:$B$39,0))="","Cell will autofill based on response",INDEX('CI&amp;S'!$M$22:$M$39,MATCH($F60,'CI&amp;S'!$B$22:$B$39,0))),"N/A")</f>
        <v/>
      </c>
      <c r="N60" s="25">
        <f>IFERROR(IF(INDEX('CFOG'!$M$10:$M$16,MATCH($F60,'CFOG'!$B$10:$B$16,0))="","Cell will autofill based on response",INDEX('CFOG'!$M$10:$M$16,MATCH($F60,'CFOG'!$B$10:$B$16,0))),"N/A")</f>
        <v/>
      </c>
      <c r="O60" s="25">
        <f>IFERROR(IF(INDEX('CFOG'!$M$23:$M$24,MATCH($F60,'CFOG'!$B$23:$B$24,0))="","Cell will autofill based on response",INDEX('CFOG'!$M$23:$M$24,MATCH($F60,'CFOG'!$B$23:$B$24,0))),"N/A")</f>
        <v/>
      </c>
      <c r="P60" s="25">
        <f>IFERROR(IF(INDEX('ESG'!$M$10:$M$17,MATCH($F60,'ESG'!$B$10:$B$17,0))="","Cell will autofill based on response",INDEX('ESG'!$M$10:$M$17,MATCH($F60,'ESG'!$B$10:$B$17,0))),"N/A")</f>
        <v/>
      </c>
      <c r="Q60" s="25">
        <f>IFERROR(IF(INDEX('CIOG'!$M$10:$M$14,MATCH($F60,'CIOG'!$B$10:$B$14,0))="","Cell will autofill based on response",INDEX('CIOG'!$M$10:$M$14,MATCH($F60,'CIOG'!$B$10:$B$14,0))),"N/A")</f>
        <v/>
      </c>
      <c r="R60" s="25">
        <f>IFERROR(IF(INDEX('MRE'!$M$10:$M$12,MATCH($F60,'MRE'!$B$10:$B$12,0))="","Cell will autofill based on response",INDEX('MRE'!$M$10:$M$12,MATCH($F60,'MRE'!$B$10:$B$12,0))),"N/A")</f>
        <v/>
      </c>
      <c r="S60" s="25">
        <f>IFERROR(IF(INDEX('L&amp;R'!$M$10:$M$11,MATCH($F60,'L&amp;R'!$B$10:$B$11,0))="","Cell will autofill based on response",INDEX('L&amp;R'!$M$10:$M$11,MATCH($F60,'L&amp;R'!$B$10:$B$11,0))),"N/A")</f>
        <v/>
      </c>
    </row>
    <row r="61">
      <c r="A61">
        <f>F61&amp;"|"&amp;G61</f>
        <v/>
      </c>
      <c r="B61" s="29" t="inlineStr"/>
      <c r="C61" s="8" t="inlineStr"/>
      <c r="D61" s="8" t="inlineStr"/>
      <c r="E61" s="8" t="inlineStr"/>
      <c r="F61" s="8" t="inlineStr">
        <is>
          <t>TR2(a)</t>
        </is>
      </c>
      <c r="G61" s="8" t="inlineStr">
        <is>
          <t>OPTION 2:  Indicator level reporting</t>
        </is>
      </c>
      <c r="H61" s="25">
        <f>IFERROR(IF(INDEX('Faculties'!$N$10:$N$30,MATCH($F61,'Faculties'!$B$10:$B$30,0))="","Cell will autofill based on response",INDEX('Faculties'!$N$10:$N$30,MATCH($F61,'Faculties'!$B$10:$B$30,0))),"N/A")</f>
        <v/>
      </c>
      <c r="I61" s="25">
        <f>IFERROR(IF(INDEX('Faculties'!$N$37:$N$57,MATCH($F61,'Faculties'!$B$37:$B$57,0))="","Cell will autofill based on response",INDEX('Faculties'!$N$37:$N$57,MATCH($F61,'Faculties'!$B$37:$B$57,0))),"N/A")</f>
        <v/>
      </c>
      <c r="J61" s="25">
        <f>IFERROR(IF(INDEX('Faculties'!$N$64:$N$84,MATCH($F61,'Faculties'!$B$64:$B$84,0))="","Cell will autofill based on response",INDEX('Faculties'!$N$64:$N$84,MATCH($F61,'Faculties'!$B$64:$B$84,0))),"N/A")</f>
        <v/>
      </c>
      <c r="K61" s="25">
        <f>IFERROR(IF(INDEX('Faculties'!$N$91:$N$111,MATCH($F61,'Faculties'!$B$91:$B$111,0))="","Cell will autofill based on response",INDEX('Faculties'!$N$91:$N$111,MATCH($F61,'Faculties'!$B$91:$B$111,0))),"N/A")</f>
        <v/>
      </c>
      <c r="L61" s="25">
        <f>IFERROR(IF(INDEX('CI&amp;S'!$N$10:$N$15,MATCH($F61,'CI&amp;S'!$B$10:$B$15,0))="","Cell will autofill based on response",INDEX('CI&amp;S'!$N$10:$N$15,MATCH($F61,'CI&amp;S'!$B$10:$B$15,0))),"N/A")</f>
        <v/>
      </c>
      <c r="M61" s="25">
        <f>IFERROR(IF(INDEX('CI&amp;S'!$N$22:$N$39,MATCH($F61,'CI&amp;S'!$B$22:$B$39,0))="","Cell will autofill based on response",INDEX('CI&amp;S'!$N$22:$N$39,MATCH($F61,'CI&amp;S'!$B$22:$B$39,0))),"N/A")</f>
        <v/>
      </c>
      <c r="N61" s="25">
        <f>IFERROR(IF(INDEX('CFOG'!$N$10:$N$16,MATCH($F61,'CFOG'!$B$10:$B$16,0))="","Cell will autofill based on response",INDEX('CFOG'!$N$10:$N$16,MATCH($F61,'CFOG'!$B$10:$B$16,0))),"N/A")</f>
        <v/>
      </c>
      <c r="O61" s="25">
        <f>IFERROR(IF(INDEX('CFOG'!$N$23:$N$24,MATCH($F61,'CFOG'!$B$23:$B$24,0))="","Cell will autofill based on response",INDEX('CFOG'!$N$23:$N$24,MATCH($F61,'CFOG'!$B$23:$B$24,0))),"N/A")</f>
        <v/>
      </c>
      <c r="P61" s="25">
        <f>IFERROR(IF(INDEX('ESG'!$N$10:$N$17,MATCH($F61,'ESG'!$B$10:$B$17,0))="","Cell will autofill based on response",INDEX('ESG'!$N$10:$N$17,MATCH($F61,'ESG'!$B$10:$B$17,0))),"N/A")</f>
        <v/>
      </c>
      <c r="Q61" s="25">
        <f>IFERROR(IF(INDEX('CIOG'!$N$10:$N$14,MATCH($F61,'CIOG'!$B$10:$B$14,0))="","Cell will autofill based on response",INDEX('CIOG'!$N$10:$N$14,MATCH($F61,'CIOG'!$B$10:$B$14,0))),"N/A")</f>
        <v/>
      </c>
      <c r="R61" s="25">
        <f>IFERROR(IF(INDEX('MRE'!$N$10:$N$12,MATCH($F61,'MRE'!$B$10:$B$12,0))="","Cell will autofill based on response",INDEX('MRE'!$N$10:$N$12,MATCH($F61,'MRE'!$B$10:$B$12,0))),"N/A")</f>
        <v/>
      </c>
      <c r="S61" s="25">
        <f>IFERROR(IF(INDEX('L&amp;R'!$N$10:$N$11,MATCH($F61,'L&amp;R'!$B$10:$B$11,0))="","Cell will autofill based on response",INDEX('L&amp;R'!$N$10:$N$11,MATCH($F61,'L&amp;R'!$B$10:$B$11,0))),"N/A")</f>
        <v/>
      </c>
    </row>
    <row r="62">
      <c r="A62">
        <f>F62&amp;"|"&amp;G62</f>
        <v/>
      </c>
      <c r="B62" s="29" t="inlineStr"/>
      <c r="C62" s="8" t="inlineStr"/>
      <c r="D62" s="8" t="inlineStr"/>
      <c r="E62" s="8" t="inlineStr"/>
      <c r="F62" s="8" t="inlineStr">
        <is>
          <t>TR2(a)</t>
        </is>
      </c>
      <c r="G62" s="8" t="inlineStr">
        <is>
          <t>Supporting information/comments</t>
        </is>
      </c>
      <c r="H62" s="25">
        <f>IFERROR(IF(INDEX('Faculties'!$O$10:$O$30,MATCH($F62,'Faculties'!$B$10:$B$30,0))="","Cell will autofill based on response",INDEX('Faculties'!$O$10:$O$30,MATCH($F62,'Faculties'!$B$10:$B$30,0))),"N/A")</f>
        <v/>
      </c>
      <c r="I62" s="25">
        <f>IFERROR(IF(INDEX('Faculties'!$O$37:$O$57,MATCH($F62,'Faculties'!$B$37:$B$57,0))="","Cell will autofill based on response",INDEX('Faculties'!$O$37:$O$57,MATCH($F62,'Faculties'!$B$37:$B$57,0))),"N/A")</f>
        <v/>
      </c>
      <c r="J62" s="25">
        <f>IFERROR(IF(INDEX('Faculties'!$O$64:$O$84,MATCH($F62,'Faculties'!$B$64:$B$84,0))="","Cell will autofill based on response",INDEX('Faculties'!$O$64:$O$84,MATCH($F62,'Faculties'!$B$64:$B$84,0))),"N/A")</f>
        <v/>
      </c>
      <c r="K62" s="25">
        <f>IFERROR(IF(INDEX('Faculties'!$O$91:$O$111,MATCH($F62,'Faculties'!$B$91:$B$111,0))="","Cell will autofill based on response",INDEX('Faculties'!$O$91:$O$111,MATCH($F62,'Faculties'!$B$91:$B$111,0))),"N/A")</f>
        <v/>
      </c>
      <c r="L62" s="25">
        <f>IFERROR(IF(INDEX('CI&amp;S'!$O$10:$O$15,MATCH($F62,'CI&amp;S'!$B$10:$B$15,0))="","Cell will autofill based on response",INDEX('CI&amp;S'!$O$10:$O$15,MATCH($F62,'CI&amp;S'!$B$10:$B$15,0))),"N/A")</f>
        <v/>
      </c>
      <c r="M62" s="25">
        <f>IFERROR(IF(INDEX('CI&amp;S'!$O$22:$O$39,MATCH($F62,'CI&amp;S'!$B$22:$B$39,0))="","Cell will autofill based on response",INDEX('CI&amp;S'!$O$22:$O$39,MATCH($F62,'CI&amp;S'!$B$22:$B$39,0))),"N/A")</f>
        <v/>
      </c>
      <c r="N62" s="25">
        <f>IFERROR(IF(INDEX('CFOG'!$O$10:$O$16,MATCH($F62,'CFOG'!$B$10:$B$16,0))="","Cell will autofill based on response",INDEX('CFOG'!$O$10:$O$16,MATCH($F62,'CFOG'!$B$10:$B$16,0))),"N/A")</f>
        <v/>
      </c>
      <c r="O62" s="25">
        <f>IFERROR(IF(INDEX('CFOG'!$O$23:$O$24,MATCH($F62,'CFOG'!$B$23:$B$24,0))="","Cell will autofill based on response",INDEX('CFOG'!$O$23:$O$24,MATCH($F62,'CFOG'!$B$23:$B$24,0))),"N/A")</f>
        <v/>
      </c>
      <c r="P62" s="25">
        <f>IFERROR(IF(INDEX('ESG'!$O$10:$O$17,MATCH($F62,'ESG'!$B$10:$B$17,0))="","Cell will autofill based on response",INDEX('ESG'!$O$10:$O$17,MATCH($F62,'ESG'!$B$10:$B$17,0))),"N/A")</f>
        <v/>
      </c>
      <c r="Q62" s="25">
        <f>IFERROR(IF(INDEX('CIOG'!$O$10:$O$14,MATCH($F62,'CIOG'!$B$10:$B$14,0))="","Cell will autofill based on response",INDEX('CIOG'!$O$10:$O$14,MATCH($F62,'CIOG'!$B$10:$B$14,0))),"N/A")</f>
        <v/>
      </c>
      <c r="R62" s="25">
        <f>IFERROR(IF(INDEX('MRE'!$O$10:$O$12,MATCH($F62,'MRE'!$B$10:$B$12,0))="","Cell will autofill based on response",INDEX('MRE'!$O$10:$O$12,MATCH($F62,'MRE'!$B$10:$B$12,0))),"N/A")</f>
        <v/>
      </c>
      <c r="S62" s="25">
        <f>IFERROR(IF(INDEX('L&amp;R'!$O$10:$O$11,MATCH($F62,'L&amp;R'!$B$10:$B$11,0))="","Cell will autofill based on response",INDEX('L&amp;R'!$O$10:$O$11,MATCH($F62,'L&amp;R'!$B$10:$B$11,0))),"N/A")</f>
        <v/>
      </c>
    </row>
    <row r="63">
      <c r="A63">
        <f>F63&amp;"|"&amp;G63</f>
        <v/>
      </c>
      <c r="B63" s="29" t="inlineStr"/>
      <c r="C63" s="8" t="inlineStr"/>
      <c r="D63" s="8" t="inlineStr"/>
      <c r="E63" s="8" t="inlineStr"/>
      <c r="F63" s="8" t="inlineStr">
        <is>
          <t>TR2(a)</t>
        </is>
      </c>
      <c r="G63" s="8" t="inlineStr">
        <is>
          <t>Data source and limitations</t>
        </is>
      </c>
      <c r="H63" s="25">
        <f>IFERROR(IF(INDEX('Faculties'!$P$10:$P$30,MATCH($F63,'Faculties'!$B$10:$B$30,0))="","Cell will autofill based on response",INDEX('Faculties'!$P$10:$P$30,MATCH($F63,'Faculties'!$B$10:$B$30,0))),"N/A")</f>
        <v/>
      </c>
      <c r="I63" s="25">
        <f>IFERROR(IF(INDEX('Faculties'!$P$37:$P$57,MATCH($F63,'Faculties'!$B$37:$B$57,0))="","Cell will autofill based on response",INDEX('Faculties'!$P$37:$P$57,MATCH($F63,'Faculties'!$B$37:$B$57,0))),"N/A")</f>
        <v/>
      </c>
      <c r="J63" s="25">
        <f>IFERROR(IF(INDEX('Faculties'!$P$64:$P$84,MATCH($F63,'Faculties'!$B$64:$B$84,0))="","Cell will autofill based on response",INDEX('Faculties'!$P$64:$P$84,MATCH($F63,'Faculties'!$B$64:$B$84,0))),"N/A")</f>
        <v/>
      </c>
      <c r="K63" s="25">
        <f>IFERROR(IF(INDEX('Faculties'!$P$91:$P$111,MATCH($F63,'Faculties'!$B$91:$B$111,0))="","Cell will autofill based on response",INDEX('Faculties'!$P$91:$P$111,MATCH($F63,'Faculties'!$B$91:$B$111,0))),"N/A")</f>
        <v/>
      </c>
      <c r="L63" s="25">
        <f>IFERROR(IF(INDEX('CI&amp;S'!$P$10:$P$15,MATCH($F63,'CI&amp;S'!$B$10:$B$15,0))="","Cell will autofill based on response",INDEX('CI&amp;S'!$P$10:$P$15,MATCH($F63,'CI&amp;S'!$B$10:$B$15,0))),"N/A")</f>
        <v/>
      </c>
      <c r="M63" s="25">
        <f>IFERROR(IF(INDEX('CI&amp;S'!$P$22:$P$39,MATCH($F63,'CI&amp;S'!$B$22:$B$39,0))="","Cell will autofill based on response",INDEX('CI&amp;S'!$P$22:$P$39,MATCH($F63,'CI&amp;S'!$B$22:$B$39,0))),"N/A")</f>
        <v/>
      </c>
      <c r="N63" s="25">
        <f>IFERROR(IF(INDEX('CFOG'!$P$10:$P$16,MATCH($F63,'CFOG'!$B$10:$B$16,0))="","Cell will autofill based on response",INDEX('CFOG'!$P$10:$P$16,MATCH($F63,'CFOG'!$B$10:$B$16,0))),"N/A")</f>
        <v/>
      </c>
      <c r="O63" s="25">
        <f>IFERROR(IF(INDEX('CFOG'!$P$23:$P$24,MATCH($F63,'CFOG'!$B$23:$B$24,0))="","Cell will autofill based on response",INDEX('CFOG'!$P$23:$P$24,MATCH($F63,'CFOG'!$B$23:$B$24,0))),"N/A")</f>
        <v/>
      </c>
      <c r="P63" s="25">
        <f>IFERROR(IF(INDEX('ESG'!$P$10:$P$17,MATCH($F63,'ESG'!$B$10:$B$17,0))="","Cell will autofill based on response",INDEX('ESG'!$P$10:$P$17,MATCH($F63,'ESG'!$B$10:$B$17,0))),"N/A")</f>
        <v/>
      </c>
      <c r="Q63" s="25">
        <f>IFERROR(IF(INDEX('CIOG'!$P$10:$P$14,MATCH($F63,'CIOG'!$B$10:$B$14,0))="","Cell will autofill based on response",INDEX('CIOG'!$P$10:$P$14,MATCH($F63,'CIOG'!$B$10:$B$14,0))),"N/A")</f>
        <v/>
      </c>
      <c r="R63" s="25">
        <f>IFERROR(IF(INDEX('MRE'!$P$10:$P$12,MATCH($F63,'MRE'!$B$10:$B$12,0))="","Cell will autofill based on response",INDEX('MRE'!$P$10:$P$12,MATCH($F63,'MRE'!$B$10:$B$12,0))),"N/A")</f>
        <v/>
      </c>
      <c r="S63" s="25">
        <f>IFERROR(IF(INDEX('L&amp;R'!$P$10:$P$11,MATCH($F63,'L&amp;R'!$B$10:$B$11,0))="","Cell will autofill based on response",INDEX('L&amp;R'!$P$10:$P$11,MATCH($F63,'L&amp;R'!$B$10:$B$11,0))),"N/A")</f>
        <v/>
      </c>
    </row>
    <row r="64">
      <c r="A64">
        <f>F64&amp;"|"&amp;G64</f>
        <v/>
      </c>
      <c r="B64" s="29" t="inlineStr"/>
      <c r="C64" s="8" t="inlineStr"/>
      <c r="D64" s="8" t="inlineStr"/>
      <c r="E64" s="8" t="inlineStr"/>
      <c r="F64" s="8" t="inlineStr">
        <is>
          <t>TR2(a)</t>
        </is>
      </c>
      <c r="G64" s="8" t="inlineStr">
        <is>
          <t>Data owner confirms</t>
        </is>
      </c>
      <c r="H64" s="25">
        <f>IFERROR(IF(INDEX('Faculties'!$Q$10:$Q$30,MATCH($F64,'Faculties'!$B$10:$B$30,0))="","Cell will autofill based on response",INDEX('Faculties'!$Q$10:$Q$30,MATCH($F64,'Faculties'!$B$10:$B$30,0))),"N/A")</f>
        <v/>
      </c>
      <c r="I64" s="25">
        <f>IFERROR(IF(INDEX('Faculties'!$Q$37:$Q$57,MATCH($F64,'Faculties'!$B$37:$B$57,0))="","Cell will autofill based on response",INDEX('Faculties'!$Q$37:$Q$57,MATCH($F64,'Faculties'!$B$37:$B$57,0))),"N/A")</f>
        <v/>
      </c>
      <c r="J64" s="25">
        <f>IFERROR(IF(INDEX('Faculties'!$Q$64:$Q$84,MATCH($F64,'Faculties'!$B$64:$B$84,0))="","Cell will autofill based on response",INDEX('Faculties'!$Q$64:$Q$84,MATCH($F64,'Faculties'!$B$64:$B$84,0))),"N/A")</f>
        <v/>
      </c>
      <c r="K64" s="25">
        <f>IFERROR(IF(INDEX('Faculties'!$Q$91:$Q$111,MATCH($F64,'Faculties'!$B$91:$B$111,0))="","Cell will autofill based on response",INDEX('Faculties'!$Q$91:$Q$111,MATCH($F64,'Faculties'!$B$91:$B$111,0))),"N/A")</f>
        <v/>
      </c>
      <c r="L64" s="25">
        <f>IFERROR(IF(INDEX('CI&amp;S'!$Q$10:$Q$15,MATCH($F64,'CI&amp;S'!$B$10:$B$15,0))="","Cell will autofill based on response",INDEX('CI&amp;S'!$Q$10:$Q$15,MATCH($F64,'CI&amp;S'!$B$10:$B$15,0))),"N/A")</f>
        <v/>
      </c>
      <c r="M64" s="25">
        <f>IFERROR(IF(INDEX('CI&amp;S'!$Q$22:$Q$39,MATCH($F64,'CI&amp;S'!$B$22:$B$39,0))="","Cell will autofill based on response",INDEX('CI&amp;S'!$Q$22:$Q$39,MATCH($F64,'CI&amp;S'!$B$22:$B$39,0))),"N/A")</f>
        <v/>
      </c>
      <c r="N64" s="25">
        <f>IFERROR(IF(INDEX('CFOG'!$Q$10:$Q$16,MATCH($F64,'CFOG'!$B$10:$B$16,0))="","Cell will autofill based on response",INDEX('CFOG'!$Q$10:$Q$16,MATCH($F64,'CFOG'!$B$10:$B$16,0))),"N/A")</f>
        <v/>
      </c>
      <c r="O64" s="25">
        <f>IFERROR(IF(INDEX('CFOG'!$Q$23:$Q$24,MATCH($F64,'CFOG'!$B$23:$B$24,0))="","Cell will autofill based on response",INDEX('CFOG'!$Q$23:$Q$24,MATCH($F64,'CFOG'!$B$23:$B$24,0))),"N/A")</f>
        <v/>
      </c>
      <c r="P64" s="25">
        <f>IFERROR(IF(INDEX('ESG'!$Q$10:$Q$17,MATCH($F64,'ESG'!$B$10:$B$17,0))="","Cell will autofill based on response",INDEX('ESG'!$Q$10:$Q$17,MATCH($F64,'ESG'!$B$10:$B$17,0))),"N/A")</f>
        <v/>
      </c>
      <c r="Q64" s="25">
        <f>IFERROR(IF(INDEX('CIOG'!$Q$10:$Q$14,MATCH($F64,'CIOG'!$B$10:$B$14,0))="","Cell will autofill based on response",INDEX('CIOG'!$Q$10:$Q$14,MATCH($F64,'CIOG'!$B$10:$B$14,0))),"N/A")</f>
        <v/>
      </c>
      <c r="R64" s="25">
        <f>IFERROR(IF(INDEX('MRE'!$Q$10:$Q$12,MATCH($F64,'MRE'!$B$10:$B$12,0))="","Cell will autofill based on response",INDEX('MRE'!$Q$10:$Q$12,MATCH($F64,'MRE'!$B$10:$B$12,0))),"N/A")</f>
        <v/>
      </c>
      <c r="S64" s="25">
        <f>IFERROR(IF(INDEX('L&amp;R'!$Q$10:$Q$11,MATCH($F64,'L&amp;R'!$B$10:$B$11,0))="","Cell will autofill based on response",INDEX('L&amp;R'!$Q$10:$Q$11,MATCH($F64,'L&amp;R'!$B$10:$B$11,0))),"N/A")</f>
        <v/>
      </c>
    </row>
    <row r="65">
      <c r="A65">
        <f>F65&amp;"|"&amp;G65</f>
        <v/>
      </c>
      <c r="B65" s="7" t="inlineStr">
        <is>
          <t>TR2(b)</t>
        </is>
      </c>
      <c r="C65" s="12" t="inlineStr">
        <is>
          <t>Transformational research</t>
        </is>
      </c>
      <c r="D65" s="12" t="inlineStr">
        <is>
          <t>Documented progress of relevant strategic initiatives, including Impact Accelerators</t>
        </is>
      </c>
      <c r="E65" s="12" t="inlineStr">
        <is>
          <t>Please provide case studies demonstrating how University research has contributed to meaningful sustainability outcomes. For each case, briefly describe the research, stakeholders involved, pathway to impact and evidence of the resulting sustainability outcome.</t>
        </is>
      </c>
      <c r="F65" s="12" t="inlineStr">
        <is>
          <t>TR2(b)</t>
        </is>
      </c>
      <c r="G65" s="12" t="inlineStr">
        <is>
          <t>Confirm end-2026 target status</t>
        </is>
      </c>
      <c r="H65" s="25">
        <f>IFERROR(IF(INDEX('Faculties'!$L$10:$L$30,MATCH($F65,'Faculties'!$B$10:$B$30,0))="","Cell will autofill based on response",INDEX('Faculties'!$L$10:$L$30,MATCH($F65,'Faculties'!$B$10:$B$30,0))),"N/A")</f>
        <v/>
      </c>
      <c r="I65" s="25">
        <f>IFERROR(IF(INDEX('Faculties'!$L$37:$L$57,MATCH($F65,'Faculties'!$B$37:$B$57,0))="","Cell will autofill based on response",INDEX('Faculties'!$L$37:$L$57,MATCH($F65,'Faculties'!$B$37:$B$57,0))),"N/A")</f>
        <v/>
      </c>
      <c r="J65" s="25">
        <f>IFERROR(IF(INDEX('Faculties'!$L$64:$L$84,MATCH($F65,'Faculties'!$B$64:$B$84,0))="","Cell will autofill based on response",INDEX('Faculties'!$L$64:$L$84,MATCH($F65,'Faculties'!$B$64:$B$84,0))),"N/A")</f>
        <v/>
      </c>
      <c r="K65" s="25">
        <f>IFERROR(IF(INDEX('Faculties'!$L$91:$L$111,MATCH($F65,'Faculties'!$B$91:$B$111,0))="","Cell will autofill based on response",INDEX('Faculties'!$L$91:$L$111,MATCH($F65,'Faculties'!$B$91:$B$111,0))),"N/A")</f>
        <v/>
      </c>
      <c r="L65" s="25">
        <f>IFERROR(IF(INDEX('CI&amp;S'!$L$10:$L$15,MATCH($F65,'CI&amp;S'!$B$10:$B$15,0))="","Cell will autofill based on response",INDEX('CI&amp;S'!$L$10:$L$15,MATCH($F65,'CI&amp;S'!$B$10:$B$15,0))),"N/A")</f>
        <v/>
      </c>
      <c r="M65" s="25">
        <f>IFERROR(IF(INDEX('CI&amp;S'!$L$22:$L$39,MATCH($F65,'CI&amp;S'!$B$22:$B$39,0))="","Cell will autofill based on response",INDEX('CI&amp;S'!$L$22:$L$39,MATCH($F65,'CI&amp;S'!$B$22:$B$39,0))),"N/A")</f>
        <v/>
      </c>
      <c r="N65" s="25">
        <f>IFERROR(IF(INDEX('CFOG'!$L$10:$L$16,MATCH($F65,'CFOG'!$B$10:$B$16,0))="","Cell will autofill based on response",INDEX('CFOG'!$L$10:$L$16,MATCH($F65,'CFOG'!$B$10:$B$16,0))),"N/A")</f>
        <v/>
      </c>
      <c r="O65" s="25">
        <f>IFERROR(IF(INDEX('CFOG'!$L$23:$L$24,MATCH($F65,'CFOG'!$B$23:$B$24,0))="","Cell will autofill based on response",INDEX('CFOG'!$L$23:$L$24,MATCH($F65,'CFOG'!$B$23:$B$24,0))),"N/A")</f>
        <v/>
      </c>
      <c r="P65" s="25">
        <f>IFERROR(IF(INDEX('ESG'!$L$10:$L$17,MATCH($F65,'ESG'!$B$10:$B$17,0))="","Cell will autofill based on response",INDEX('ESG'!$L$10:$L$17,MATCH($F65,'ESG'!$B$10:$B$17,0))),"N/A")</f>
        <v/>
      </c>
      <c r="Q65" s="25">
        <f>IFERROR(IF(INDEX('CIOG'!$L$10:$L$14,MATCH($F65,'CIOG'!$B$10:$B$14,0))="","Cell will autofill based on response",INDEX('CIOG'!$L$10:$L$14,MATCH($F65,'CIOG'!$B$10:$B$14,0))),"N/A")</f>
        <v/>
      </c>
      <c r="R65" s="25">
        <f>IFERROR(IF(INDEX('MRE'!$L$10:$L$12,MATCH($F65,'MRE'!$B$10:$B$12,0))="","Cell will autofill based on response",INDEX('MRE'!$L$10:$L$12,MATCH($F65,'MRE'!$B$10:$B$12,0))),"N/A")</f>
        <v/>
      </c>
      <c r="S65" s="25">
        <f>IFERROR(IF(INDEX('L&amp;R'!$L$10:$L$11,MATCH($F65,'L&amp;R'!$B$10:$B$11,0))="","Cell will autofill based on response",INDEX('L&amp;R'!$L$10:$L$11,MATCH($F65,'L&amp;R'!$B$10:$B$11,0))),"N/A")</f>
        <v/>
      </c>
      <c r="U65" s="26">
        <f>COUNTIF($H65:$S65,"Cell will autofill based on response")</f>
        <v/>
      </c>
      <c r="V65" s="26">
        <f>COUNTIF($H65:$S65,"Not yet started")</f>
        <v/>
      </c>
      <c r="W65" s="26">
        <f>COUNTIF($H65:$S65,"Not met")</f>
        <v/>
      </c>
      <c r="X65" s="26">
        <f>COUNTIF($H65:$S65,"Partially met")</f>
        <v/>
      </c>
      <c r="Y65" s="26">
        <f>COUNTIF($H65:$S65,"Met or exceeded")</f>
        <v/>
      </c>
      <c r="Z65" s="26">
        <f>3*Y65+2*X65+W65</f>
        <v/>
      </c>
      <c r="AA65" s="26">
        <f>Y65+X65+W65+V65</f>
        <v/>
      </c>
      <c r="AB65" s="27">
        <f>IF(AA65&gt;0,Z65/AA65,"No valid responses to date")</f>
        <v/>
      </c>
      <c r="AC65" s="26">
        <f>IF(ISNUMBER(AB65),INDEX(Lists!$G$2:$G$5,MATCH(ROUND(AB65,0),Lists!$H$2:$H$5,0)),"")</f>
        <v/>
      </c>
      <c r="AD65" s="28">
        <f>IF(AA65&gt;0,Y65/AA65,"")</f>
        <v/>
      </c>
      <c r="AE65" s="28">
        <f>IF(AA65&gt;0,(Y65+X65)/AA65,"")</f>
        <v/>
      </c>
      <c r="AF65" s="26">
        <f>IF(AA65=0,"",IF(AD65&gt;0.75,"Met or exceeded",IF(AE65&gt;=0.5,"Partially met","Not met")))</f>
        <v/>
      </c>
    </row>
    <row r="66">
      <c r="A66">
        <f>F66&amp;"|"&amp;G66</f>
        <v/>
      </c>
      <c r="B66" s="29" t="inlineStr"/>
      <c r="C66" s="8" t="inlineStr"/>
      <c r="D66" s="8" t="inlineStr"/>
      <c r="E66" s="8" t="inlineStr"/>
      <c r="F66" s="8" t="inlineStr">
        <is>
          <t>TR2(b)</t>
        </is>
      </c>
      <c r="G66" s="8" t="inlineStr">
        <is>
          <t>OPTION 1:  Target-level reporting</t>
        </is>
      </c>
      <c r="H66" s="25">
        <f>IFERROR(IF(INDEX('Faculties'!$M$10:$M$30,MATCH($F66,'Faculties'!$B$10:$B$30,0))="","Cell will autofill based on response",INDEX('Faculties'!$M$10:$M$30,MATCH($F66,'Faculties'!$B$10:$B$30,0))),"N/A")</f>
        <v/>
      </c>
      <c r="I66" s="25">
        <f>IFERROR(IF(INDEX('Faculties'!$M$37:$M$57,MATCH($F66,'Faculties'!$B$37:$B$57,0))="","Cell will autofill based on response",INDEX('Faculties'!$M$37:$M$57,MATCH($F66,'Faculties'!$B$37:$B$57,0))),"N/A")</f>
        <v/>
      </c>
      <c r="J66" s="25">
        <f>IFERROR(IF(INDEX('Faculties'!$M$64:$M$84,MATCH($F66,'Faculties'!$B$64:$B$84,0))="","Cell will autofill based on response",INDEX('Faculties'!$M$64:$M$84,MATCH($F66,'Faculties'!$B$64:$B$84,0))),"N/A")</f>
        <v/>
      </c>
      <c r="K66" s="25">
        <f>IFERROR(IF(INDEX('Faculties'!$M$91:$M$111,MATCH($F66,'Faculties'!$B$91:$B$111,0))="","Cell will autofill based on response",INDEX('Faculties'!$M$91:$M$111,MATCH($F66,'Faculties'!$B$91:$B$111,0))),"N/A")</f>
        <v/>
      </c>
      <c r="L66" s="25">
        <f>IFERROR(IF(INDEX('CI&amp;S'!$M$10:$M$15,MATCH($F66,'CI&amp;S'!$B$10:$B$15,0))="","Cell will autofill based on response",INDEX('CI&amp;S'!$M$10:$M$15,MATCH($F66,'CI&amp;S'!$B$10:$B$15,0))),"N/A")</f>
        <v/>
      </c>
      <c r="M66" s="25">
        <f>IFERROR(IF(INDEX('CI&amp;S'!$M$22:$M$39,MATCH($F66,'CI&amp;S'!$B$22:$B$39,0))="","Cell will autofill based on response",INDEX('CI&amp;S'!$M$22:$M$39,MATCH($F66,'CI&amp;S'!$B$22:$B$39,0))),"N/A")</f>
        <v/>
      </c>
      <c r="N66" s="25">
        <f>IFERROR(IF(INDEX('CFOG'!$M$10:$M$16,MATCH($F66,'CFOG'!$B$10:$B$16,0))="","Cell will autofill based on response",INDEX('CFOG'!$M$10:$M$16,MATCH($F66,'CFOG'!$B$10:$B$16,0))),"N/A")</f>
        <v/>
      </c>
      <c r="O66" s="25">
        <f>IFERROR(IF(INDEX('CFOG'!$M$23:$M$24,MATCH($F66,'CFOG'!$B$23:$B$24,0))="","Cell will autofill based on response",INDEX('CFOG'!$M$23:$M$24,MATCH($F66,'CFOG'!$B$23:$B$24,0))),"N/A")</f>
        <v/>
      </c>
      <c r="P66" s="25">
        <f>IFERROR(IF(INDEX('ESG'!$M$10:$M$17,MATCH($F66,'ESG'!$B$10:$B$17,0))="","Cell will autofill based on response",INDEX('ESG'!$M$10:$M$17,MATCH($F66,'ESG'!$B$10:$B$17,0))),"N/A")</f>
        <v/>
      </c>
      <c r="Q66" s="25">
        <f>IFERROR(IF(INDEX('CIOG'!$M$10:$M$14,MATCH($F66,'CIOG'!$B$10:$B$14,0))="","Cell will autofill based on response",INDEX('CIOG'!$M$10:$M$14,MATCH($F66,'CIOG'!$B$10:$B$14,0))),"N/A")</f>
        <v/>
      </c>
      <c r="R66" s="25">
        <f>IFERROR(IF(INDEX('MRE'!$M$10:$M$12,MATCH($F66,'MRE'!$B$10:$B$12,0))="","Cell will autofill based on response",INDEX('MRE'!$M$10:$M$12,MATCH($F66,'MRE'!$B$10:$B$12,0))),"N/A")</f>
        <v/>
      </c>
      <c r="S66" s="25">
        <f>IFERROR(IF(INDEX('L&amp;R'!$M$10:$M$11,MATCH($F66,'L&amp;R'!$B$10:$B$11,0))="","Cell will autofill based on response",INDEX('L&amp;R'!$M$10:$M$11,MATCH($F66,'L&amp;R'!$B$10:$B$11,0))),"N/A")</f>
        <v/>
      </c>
    </row>
    <row r="67">
      <c r="A67">
        <f>F67&amp;"|"&amp;G67</f>
        <v/>
      </c>
      <c r="B67" s="29" t="inlineStr"/>
      <c r="C67" s="8" t="inlineStr"/>
      <c r="D67" s="8" t="inlineStr"/>
      <c r="E67" s="8" t="inlineStr"/>
      <c r="F67" s="8" t="inlineStr">
        <is>
          <t>TR2(b)</t>
        </is>
      </c>
      <c r="G67" s="8" t="inlineStr">
        <is>
          <t>OPTION 2:  Indicator level reporting</t>
        </is>
      </c>
      <c r="H67" s="25">
        <f>IFERROR(IF(INDEX('Faculties'!$N$10:$N$30,MATCH($F67,'Faculties'!$B$10:$B$30,0))="","Cell will autofill based on response",INDEX('Faculties'!$N$10:$N$30,MATCH($F67,'Faculties'!$B$10:$B$30,0))),"N/A")</f>
        <v/>
      </c>
      <c r="I67" s="25">
        <f>IFERROR(IF(INDEX('Faculties'!$N$37:$N$57,MATCH($F67,'Faculties'!$B$37:$B$57,0))="","Cell will autofill based on response",INDEX('Faculties'!$N$37:$N$57,MATCH($F67,'Faculties'!$B$37:$B$57,0))),"N/A")</f>
        <v/>
      </c>
      <c r="J67" s="25">
        <f>IFERROR(IF(INDEX('Faculties'!$N$64:$N$84,MATCH($F67,'Faculties'!$B$64:$B$84,0))="","Cell will autofill based on response",INDEX('Faculties'!$N$64:$N$84,MATCH($F67,'Faculties'!$B$64:$B$84,0))),"N/A")</f>
        <v/>
      </c>
      <c r="K67" s="25">
        <f>IFERROR(IF(INDEX('Faculties'!$N$91:$N$111,MATCH($F67,'Faculties'!$B$91:$B$111,0))="","Cell will autofill based on response",INDEX('Faculties'!$N$91:$N$111,MATCH($F67,'Faculties'!$B$91:$B$111,0))),"N/A")</f>
        <v/>
      </c>
      <c r="L67" s="25">
        <f>IFERROR(IF(INDEX('CI&amp;S'!$N$10:$N$15,MATCH($F67,'CI&amp;S'!$B$10:$B$15,0))="","Cell will autofill based on response",INDEX('CI&amp;S'!$N$10:$N$15,MATCH($F67,'CI&amp;S'!$B$10:$B$15,0))),"N/A")</f>
        <v/>
      </c>
      <c r="M67" s="25">
        <f>IFERROR(IF(INDEX('CI&amp;S'!$N$22:$N$39,MATCH($F67,'CI&amp;S'!$B$22:$B$39,0))="","Cell will autofill based on response",INDEX('CI&amp;S'!$N$22:$N$39,MATCH($F67,'CI&amp;S'!$B$22:$B$39,0))),"N/A")</f>
        <v/>
      </c>
      <c r="N67" s="25">
        <f>IFERROR(IF(INDEX('CFOG'!$N$10:$N$16,MATCH($F67,'CFOG'!$B$10:$B$16,0))="","Cell will autofill based on response",INDEX('CFOG'!$N$10:$N$16,MATCH($F67,'CFOG'!$B$10:$B$16,0))),"N/A")</f>
        <v/>
      </c>
      <c r="O67" s="25">
        <f>IFERROR(IF(INDEX('CFOG'!$N$23:$N$24,MATCH($F67,'CFOG'!$B$23:$B$24,0))="","Cell will autofill based on response",INDEX('CFOG'!$N$23:$N$24,MATCH($F67,'CFOG'!$B$23:$B$24,0))),"N/A")</f>
        <v/>
      </c>
      <c r="P67" s="25">
        <f>IFERROR(IF(INDEX('ESG'!$N$10:$N$17,MATCH($F67,'ESG'!$B$10:$B$17,0))="","Cell will autofill based on response",INDEX('ESG'!$N$10:$N$17,MATCH($F67,'ESG'!$B$10:$B$17,0))),"N/A")</f>
        <v/>
      </c>
      <c r="Q67" s="25">
        <f>IFERROR(IF(INDEX('CIOG'!$N$10:$N$14,MATCH($F67,'CIOG'!$B$10:$B$14,0))="","Cell will autofill based on response",INDEX('CIOG'!$N$10:$N$14,MATCH($F67,'CIOG'!$B$10:$B$14,0))),"N/A")</f>
        <v/>
      </c>
      <c r="R67" s="25">
        <f>IFERROR(IF(INDEX('MRE'!$N$10:$N$12,MATCH($F67,'MRE'!$B$10:$B$12,0))="","Cell will autofill based on response",INDEX('MRE'!$N$10:$N$12,MATCH($F67,'MRE'!$B$10:$B$12,0))),"N/A")</f>
        <v/>
      </c>
      <c r="S67" s="25">
        <f>IFERROR(IF(INDEX('L&amp;R'!$N$10:$N$11,MATCH($F67,'L&amp;R'!$B$10:$B$11,0))="","Cell will autofill based on response",INDEX('L&amp;R'!$N$10:$N$11,MATCH($F67,'L&amp;R'!$B$10:$B$11,0))),"N/A")</f>
        <v/>
      </c>
    </row>
    <row r="68">
      <c r="A68">
        <f>F68&amp;"|"&amp;G68</f>
        <v/>
      </c>
      <c r="B68" s="29" t="inlineStr"/>
      <c r="C68" s="8" t="inlineStr"/>
      <c r="D68" s="8" t="inlineStr"/>
      <c r="E68" s="8" t="inlineStr"/>
      <c r="F68" s="8" t="inlineStr">
        <is>
          <t>TR2(b)</t>
        </is>
      </c>
      <c r="G68" s="8" t="inlineStr">
        <is>
          <t>Supporting information/comments</t>
        </is>
      </c>
      <c r="H68" s="25">
        <f>IFERROR(IF(INDEX('Faculties'!$O$10:$O$30,MATCH($F68,'Faculties'!$B$10:$B$30,0))="","Cell will autofill based on response",INDEX('Faculties'!$O$10:$O$30,MATCH($F68,'Faculties'!$B$10:$B$30,0))),"N/A")</f>
        <v/>
      </c>
      <c r="I68" s="25">
        <f>IFERROR(IF(INDEX('Faculties'!$O$37:$O$57,MATCH($F68,'Faculties'!$B$37:$B$57,0))="","Cell will autofill based on response",INDEX('Faculties'!$O$37:$O$57,MATCH($F68,'Faculties'!$B$37:$B$57,0))),"N/A")</f>
        <v/>
      </c>
      <c r="J68" s="25">
        <f>IFERROR(IF(INDEX('Faculties'!$O$64:$O$84,MATCH($F68,'Faculties'!$B$64:$B$84,0))="","Cell will autofill based on response",INDEX('Faculties'!$O$64:$O$84,MATCH($F68,'Faculties'!$B$64:$B$84,0))),"N/A")</f>
        <v/>
      </c>
      <c r="K68" s="25">
        <f>IFERROR(IF(INDEX('Faculties'!$O$91:$O$111,MATCH($F68,'Faculties'!$B$91:$B$111,0))="","Cell will autofill based on response",INDEX('Faculties'!$O$91:$O$111,MATCH($F68,'Faculties'!$B$91:$B$111,0))),"N/A")</f>
        <v/>
      </c>
      <c r="L68" s="25">
        <f>IFERROR(IF(INDEX('CI&amp;S'!$O$10:$O$15,MATCH($F68,'CI&amp;S'!$B$10:$B$15,0))="","Cell will autofill based on response",INDEX('CI&amp;S'!$O$10:$O$15,MATCH($F68,'CI&amp;S'!$B$10:$B$15,0))),"N/A")</f>
        <v/>
      </c>
      <c r="M68" s="25">
        <f>IFERROR(IF(INDEX('CI&amp;S'!$O$22:$O$39,MATCH($F68,'CI&amp;S'!$B$22:$B$39,0))="","Cell will autofill based on response",INDEX('CI&amp;S'!$O$22:$O$39,MATCH($F68,'CI&amp;S'!$B$22:$B$39,0))),"N/A")</f>
        <v/>
      </c>
      <c r="N68" s="25">
        <f>IFERROR(IF(INDEX('CFOG'!$O$10:$O$16,MATCH($F68,'CFOG'!$B$10:$B$16,0))="","Cell will autofill based on response",INDEX('CFOG'!$O$10:$O$16,MATCH($F68,'CFOG'!$B$10:$B$16,0))),"N/A")</f>
        <v/>
      </c>
      <c r="O68" s="25">
        <f>IFERROR(IF(INDEX('CFOG'!$O$23:$O$24,MATCH($F68,'CFOG'!$B$23:$B$24,0))="","Cell will autofill based on response",INDEX('CFOG'!$O$23:$O$24,MATCH($F68,'CFOG'!$B$23:$B$24,0))),"N/A")</f>
        <v/>
      </c>
      <c r="P68" s="25">
        <f>IFERROR(IF(INDEX('ESG'!$O$10:$O$17,MATCH($F68,'ESG'!$B$10:$B$17,0))="","Cell will autofill based on response",INDEX('ESG'!$O$10:$O$17,MATCH($F68,'ESG'!$B$10:$B$17,0))),"N/A")</f>
        <v/>
      </c>
      <c r="Q68" s="25">
        <f>IFERROR(IF(INDEX('CIOG'!$O$10:$O$14,MATCH($F68,'CIOG'!$B$10:$B$14,0))="","Cell will autofill based on response",INDEX('CIOG'!$O$10:$O$14,MATCH($F68,'CIOG'!$B$10:$B$14,0))),"N/A")</f>
        <v/>
      </c>
      <c r="R68" s="25">
        <f>IFERROR(IF(INDEX('MRE'!$O$10:$O$12,MATCH($F68,'MRE'!$B$10:$B$12,0))="","Cell will autofill based on response",INDEX('MRE'!$O$10:$O$12,MATCH($F68,'MRE'!$B$10:$B$12,0))),"N/A")</f>
        <v/>
      </c>
      <c r="S68" s="25">
        <f>IFERROR(IF(INDEX('L&amp;R'!$O$10:$O$11,MATCH($F68,'L&amp;R'!$B$10:$B$11,0))="","Cell will autofill based on response",INDEX('L&amp;R'!$O$10:$O$11,MATCH($F68,'L&amp;R'!$B$10:$B$11,0))),"N/A")</f>
        <v/>
      </c>
    </row>
    <row r="69">
      <c r="A69">
        <f>F69&amp;"|"&amp;G69</f>
        <v/>
      </c>
      <c r="B69" s="29" t="inlineStr"/>
      <c r="C69" s="8" t="inlineStr"/>
      <c r="D69" s="8" t="inlineStr"/>
      <c r="E69" s="8" t="inlineStr"/>
      <c r="F69" s="8" t="inlineStr">
        <is>
          <t>TR2(b)</t>
        </is>
      </c>
      <c r="G69" s="8" t="inlineStr">
        <is>
          <t>Data source and limitations</t>
        </is>
      </c>
      <c r="H69" s="25">
        <f>IFERROR(IF(INDEX('Faculties'!$P$10:$P$30,MATCH($F69,'Faculties'!$B$10:$B$30,0))="","Cell will autofill based on response",INDEX('Faculties'!$P$10:$P$30,MATCH($F69,'Faculties'!$B$10:$B$30,0))),"N/A")</f>
        <v/>
      </c>
      <c r="I69" s="25">
        <f>IFERROR(IF(INDEX('Faculties'!$P$37:$P$57,MATCH($F69,'Faculties'!$B$37:$B$57,0))="","Cell will autofill based on response",INDEX('Faculties'!$P$37:$P$57,MATCH($F69,'Faculties'!$B$37:$B$57,0))),"N/A")</f>
        <v/>
      </c>
      <c r="J69" s="25">
        <f>IFERROR(IF(INDEX('Faculties'!$P$64:$P$84,MATCH($F69,'Faculties'!$B$64:$B$84,0))="","Cell will autofill based on response",INDEX('Faculties'!$P$64:$P$84,MATCH($F69,'Faculties'!$B$64:$B$84,0))),"N/A")</f>
        <v/>
      </c>
      <c r="K69" s="25">
        <f>IFERROR(IF(INDEX('Faculties'!$P$91:$P$111,MATCH($F69,'Faculties'!$B$91:$B$111,0))="","Cell will autofill based on response",INDEX('Faculties'!$P$91:$P$111,MATCH($F69,'Faculties'!$B$91:$B$111,0))),"N/A")</f>
        <v/>
      </c>
      <c r="L69" s="25">
        <f>IFERROR(IF(INDEX('CI&amp;S'!$P$10:$P$15,MATCH($F69,'CI&amp;S'!$B$10:$B$15,0))="","Cell will autofill based on response",INDEX('CI&amp;S'!$P$10:$P$15,MATCH($F69,'CI&amp;S'!$B$10:$B$15,0))),"N/A")</f>
        <v/>
      </c>
      <c r="M69" s="25">
        <f>IFERROR(IF(INDEX('CI&amp;S'!$P$22:$P$39,MATCH($F69,'CI&amp;S'!$B$22:$B$39,0))="","Cell will autofill based on response",INDEX('CI&amp;S'!$P$22:$P$39,MATCH($F69,'CI&amp;S'!$B$22:$B$39,0))),"N/A")</f>
        <v/>
      </c>
      <c r="N69" s="25">
        <f>IFERROR(IF(INDEX('CFOG'!$P$10:$P$16,MATCH($F69,'CFOG'!$B$10:$B$16,0))="","Cell will autofill based on response",INDEX('CFOG'!$P$10:$P$16,MATCH($F69,'CFOG'!$B$10:$B$16,0))),"N/A")</f>
        <v/>
      </c>
      <c r="O69" s="25">
        <f>IFERROR(IF(INDEX('CFOG'!$P$23:$P$24,MATCH($F69,'CFOG'!$B$23:$B$24,0))="","Cell will autofill based on response",INDEX('CFOG'!$P$23:$P$24,MATCH($F69,'CFOG'!$B$23:$B$24,0))),"N/A")</f>
        <v/>
      </c>
      <c r="P69" s="25">
        <f>IFERROR(IF(INDEX('ESG'!$P$10:$P$17,MATCH($F69,'ESG'!$B$10:$B$17,0))="","Cell will autofill based on response",INDEX('ESG'!$P$10:$P$17,MATCH($F69,'ESG'!$B$10:$B$17,0))),"N/A")</f>
        <v/>
      </c>
      <c r="Q69" s="25">
        <f>IFERROR(IF(INDEX('CIOG'!$P$10:$P$14,MATCH($F69,'CIOG'!$B$10:$B$14,0))="","Cell will autofill based on response",INDEX('CIOG'!$P$10:$P$14,MATCH($F69,'CIOG'!$B$10:$B$14,0))),"N/A")</f>
        <v/>
      </c>
      <c r="R69" s="25">
        <f>IFERROR(IF(INDEX('MRE'!$P$10:$P$12,MATCH($F69,'MRE'!$B$10:$B$12,0))="","Cell will autofill based on response",INDEX('MRE'!$P$10:$P$12,MATCH($F69,'MRE'!$B$10:$B$12,0))),"N/A")</f>
        <v/>
      </c>
      <c r="S69" s="25">
        <f>IFERROR(IF(INDEX('L&amp;R'!$P$10:$P$11,MATCH($F69,'L&amp;R'!$B$10:$B$11,0))="","Cell will autofill based on response",INDEX('L&amp;R'!$P$10:$P$11,MATCH($F69,'L&amp;R'!$B$10:$B$11,0))),"N/A")</f>
        <v/>
      </c>
    </row>
    <row r="70">
      <c r="A70">
        <f>F70&amp;"|"&amp;G70</f>
        <v/>
      </c>
      <c r="B70" s="29" t="inlineStr"/>
      <c r="C70" s="8" t="inlineStr"/>
      <c r="D70" s="8" t="inlineStr"/>
      <c r="E70" s="8" t="inlineStr"/>
      <c r="F70" s="8" t="inlineStr">
        <is>
          <t>TR2(b)</t>
        </is>
      </c>
      <c r="G70" s="8" t="inlineStr">
        <is>
          <t>Data owner confirms</t>
        </is>
      </c>
      <c r="H70" s="25">
        <f>IFERROR(IF(INDEX('Faculties'!$Q$10:$Q$30,MATCH($F70,'Faculties'!$B$10:$B$30,0))="","Cell will autofill based on response",INDEX('Faculties'!$Q$10:$Q$30,MATCH($F70,'Faculties'!$B$10:$B$30,0))),"N/A")</f>
        <v/>
      </c>
      <c r="I70" s="25">
        <f>IFERROR(IF(INDEX('Faculties'!$Q$37:$Q$57,MATCH($F70,'Faculties'!$B$37:$B$57,0))="","Cell will autofill based on response",INDEX('Faculties'!$Q$37:$Q$57,MATCH($F70,'Faculties'!$B$37:$B$57,0))),"N/A")</f>
        <v/>
      </c>
      <c r="J70" s="25">
        <f>IFERROR(IF(INDEX('Faculties'!$Q$64:$Q$84,MATCH($F70,'Faculties'!$B$64:$B$84,0))="","Cell will autofill based on response",INDEX('Faculties'!$Q$64:$Q$84,MATCH($F70,'Faculties'!$B$64:$B$84,0))),"N/A")</f>
        <v/>
      </c>
      <c r="K70" s="25">
        <f>IFERROR(IF(INDEX('Faculties'!$Q$91:$Q$111,MATCH($F70,'Faculties'!$B$91:$B$111,0))="","Cell will autofill based on response",INDEX('Faculties'!$Q$91:$Q$111,MATCH($F70,'Faculties'!$B$91:$B$111,0))),"N/A")</f>
        <v/>
      </c>
      <c r="L70" s="25">
        <f>IFERROR(IF(INDEX('CI&amp;S'!$Q$10:$Q$15,MATCH($F70,'CI&amp;S'!$B$10:$B$15,0))="","Cell will autofill based on response",INDEX('CI&amp;S'!$Q$10:$Q$15,MATCH($F70,'CI&amp;S'!$B$10:$B$15,0))),"N/A")</f>
        <v/>
      </c>
      <c r="M70" s="25">
        <f>IFERROR(IF(INDEX('CI&amp;S'!$Q$22:$Q$39,MATCH($F70,'CI&amp;S'!$B$22:$B$39,0))="","Cell will autofill based on response",INDEX('CI&amp;S'!$Q$22:$Q$39,MATCH($F70,'CI&amp;S'!$B$22:$B$39,0))),"N/A")</f>
        <v/>
      </c>
      <c r="N70" s="25">
        <f>IFERROR(IF(INDEX('CFOG'!$Q$10:$Q$16,MATCH($F70,'CFOG'!$B$10:$B$16,0))="","Cell will autofill based on response",INDEX('CFOG'!$Q$10:$Q$16,MATCH($F70,'CFOG'!$B$10:$B$16,0))),"N/A")</f>
        <v/>
      </c>
      <c r="O70" s="25">
        <f>IFERROR(IF(INDEX('CFOG'!$Q$23:$Q$24,MATCH($F70,'CFOG'!$B$23:$B$24,0))="","Cell will autofill based on response",INDEX('CFOG'!$Q$23:$Q$24,MATCH($F70,'CFOG'!$B$23:$B$24,0))),"N/A")</f>
        <v/>
      </c>
      <c r="P70" s="25">
        <f>IFERROR(IF(INDEX('ESG'!$Q$10:$Q$17,MATCH($F70,'ESG'!$B$10:$B$17,0))="","Cell will autofill based on response",INDEX('ESG'!$Q$10:$Q$17,MATCH($F70,'ESG'!$B$10:$B$17,0))),"N/A")</f>
        <v/>
      </c>
      <c r="Q70" s="25">
        <f>IFERROR(IF(INDEX('CIOG'!$Q$10:$Q$14,MATCH($F70,'CIOG'!$B$10:$B$14,0))="","Cell will autofill based on response",INDEX('CIOG'!$Q$10:$Q$14,MATCH($F70,'CIOG'!$B$10:$B$14,0))),"N/A")</f>
        <v/>
      </c>
      <c r="R70" s="25">
        <f>IFERROR(IF(INDEX('MRE'!$Q$10:$Q$12,MATCH($F70,'MRE'!$B$10:$B$12,0))="","Cell will autofill based on response",INDEX('MRE'!$Q$10:$Q$12,MATCH($F70,'MRE'!$B$10:$B$12,0))),"N/A")</f>
        <v/>
      </c>
      <c r="S70" s="25">
        <f>IFERROR(IF(INDEX('L&amp;R'!$Q$10:$Q$11,MATCH($F70,'L&amp;R'!$B$10:$B$11,0))="","Cell will autofill based on response",INDEX('L&amp;R'!$Q$10:$Q$11,MATCH($F70,'L&amp;R'!$B$10:$B$11,0))),"N/A")</f>
        <v/>
      </c>
    </row>
    <row r="71">
      <c r="A71">
        <f>F71&amp;"|"&amp;G71</f>
        <v/>
      </c>
      <c r="B71" s="7" t="inlineStr">
        <is>
          <t>TR2(c)</t>
        </is>
      </c>
      <c r="C71" s="12" t="inlineStr">
        <is>
          <t>Transformational research</t>
        </is>
      </c>
      <c r="D71" s="12" t="inlineStr">
        <is>
          <t>Expert-reviewed summary of sustainability-related research outputs, outcomes and influence using available institutional evidence sources</t>
        </is>
      </c>
      <c r="E71" s="12" t="inlineStr">
        <is>
          <t>currently mapped to the SDGs using SciVal</t>
        </is>
      </c>
      <c r="F71" s="12" t="inlineStr">
        <is>
          <t>TR2(c)</t>
        </is>
      </c>
      <c r="G71" s="12" t="inlineStr">
        <is>
          <t>Confirm end-2026 target status</t>
        </is>
      </c>
      <c r="H71" s="25">
        <f>IFERROR(IF(INDEX('Faculties'!$L$10:$L$30,MATCH($F71,'Faculties'!$B$10:$B$30,0))="","Cell will autofill based on response",INDEX('Faculties'!$L$10:$L$30,MATCH($F71,'Faculties'!$B$10:$B$30,0))),"N/A")</f>
        <v/>
      </c>
      <c r="I71" s="25">
        <f>IFERROR(IF(INDEX('Faculties'!$L$37:$L$57,MATCH($F71,'Faculties'!$B$37:$B$57,0))="","Cell will autofill based on response",INDEX('Faculties'!$L$37:$L$57,MATCH($F71,'Faculties'!$B$37:$B$57,0))),"N/A")</f>
        <v/>
      </c>
      <c r="J71" s="25">
        <f>IFERROR(IF(INDEX('Faculties'!$L$64:$L$84,MATCH($F71,'Faculties'!$B$64:$B$84,0))="","Cell will autofill based on response",INDEX('Faculties'!$L$64:$L$84,MATCH($F71,'Faculties'!$B$64:$B$84,0))),"N/A")</f>
        <v/>
      </c>
      <c r="K71" s="25">
        <f>IFERROR(IF(INDEX('Faculties'!$L$91:$L$111,MATCH($F71,'Faculties'!$B$91:$B$111,0))="","Cell will autofill based on response",INDEX('Faculties'!$L$91:$L$111,MATCH($F71,'Faculties'!$B$91:$B$111,0))),"N/A")</f>
        <v/>
      </c>
      <c r="L71" s="25">
        <f>IFERROR(IF(INDEX('CI&amp;S'!$L$10:$L$15,MATCH($F71,'CI&amp;S'!$B$10:$B$15,0))="","Cell will autofill based on response",INDEX('CI&amp;S'!$L$10:$L$15,MATCH($F71,'CI&amp;S'!$B$10:$B$15,0))),"N/A")</f>
        <v/>
      </c>
      <c r="M71" s="25">
        <f>IFERROR(IF(INDEX('CI&amp;S'!$L$22:$L$39,MATCH($F71,'CI&amp;S'!$B$22:$B$39,0))="","Cell will autofill based on response",INDEX('CI&amp;S'!$L$22:$L$39,MATCH($F71,'CI&amp;S'!$B$22:$B$39,0))),"N/A")</f>
        <v/>
      </c>
      <c r="N71" s="25">
        <f>IFERROR(IF(INDEX('CFOG'!$L$10:$L$16,MATCH($F71,'CFOG'!$B$10:$B$16,0))="","Cell will autofill based on response",INDEX('CFOG'!$L$10:$L$16,MATCH($F71,'CFOG'!$B$10:$B$16,0))),"N/A")</f>
        <v/>
      </c>
      <c r="O71" s="25">
        <f>IFERROR(IF(INDEX('CFOG'!$L$23:$L$24,MATCH($F71,'CFOG'!$B$23:$B$24,0))="","Cell will autofill based on response",INDEX('CFOG'!$L$23:$L$24,MATCH($F71,'CFOG'!$B$23:$B$24,0))),"N/A")</f>
        <v/>
      </c>
      <c r="P71" s="25">
        <f>IFERROR(IF(INDEX('ESG'!$L$10:$L$17,MATCH($F71,'ESG'!$B$10:$B$17,0))="","Cell will autofill based on response",INDEX('ESG'!$L$10:$L$17,MATCH($F71,'ESG'!$B$10:$B$17,0))),"N/A")</f>
        <v/>
      </c>
      <c r="Q71" s="25">
        <f>IFERROR(IF(INDEX('CIOG'!$L$10:$L$14,MATCH($F71,'CIOG'!$B$10:$B$14,0))="","Cell will autofill based on response",INDEX('CIOG'!$L$10:$L$14,MATCH($F71,'CIOG'!$B$10:$B$14,0))),"N/A")</f>
        <v/>
      </c>
      <c r="R71" s="25">
        <f>IFERROR(IF(INDEX('MRE'!$L$10:$L$12,MATCH($F71,'MRE'!$B$10:$B$12,0))="","Cell will autofill based on response",INDEX('MRE'!$L$10:$L$12,MATCH($F71,'MRE'!$B$10:$B$12,0))),"N/A")</f>
        <v/>
      </c>
      <c r="S71" s="25">
        <f>IFERROR(IF(INDEX('L&amp;R'!$L$10:$L$11,MATCH($F71,'L&amp;R'!$B$10:$B$11,0))="","Cell will autofill based on response",INDEX('L&amp;R'!$L$10:$L$11,MATCH($F71,'L&amp;R'!$B$10:$B$11,0))),"N/A")</f>
        <v/>
      </c>
      <c r="U71" s="26">
        <f>COUNTIF($H71:$S71,"Cell will autofill based on response")</f>
        <v/>
      </c>
      <c r="V71" s="26">
        <f>COUNTIF($H71:$S71,"Not yet started")</f>
        <v/>
      </c>
      <c r="W71" s="26">
        <f>COUNTIF($H71:$S71,"Not met")</f>
        <v/>
      </c>
      <c r="X71" s="26">
        <f>COUNTIF($H71:$S71,"Partially met")</f>
        <v/>
      </c>
      <c r="Y71" s="26">
        <f>COUNTIF($H71:$S71,"Met or exceeded")</f>
        <v/>
      </c>
      <c r="Z71" s="26">
        <f>3*Y71+2*X71+W71</f>
        <v/>
      </c>
      <c r="AA71" s="26">
        <f>Y71+X71+W71+V71</f>
        <v/>
      </c>
      <c r="AB71" s="27">
        <f>IF(AA71&gt;0,Z71/AA71,"No valid responses to date")</f>
        <v/>
      </c>
      <c r="AC71" s="26">
        <f>IF(ISNUMBER(AB71),INDEX(Lists!$G$2:$G$5,MATCH(ROUND(AB71,0),Lists!$H$2:$H$5,0)),"")</f>
        <v/>
      </c>
      <c r="AD71" s="28">
        <f>IF(AA71&gt;0,Y71/AA71,"")</f>
        <v/>
      </c>
      <c r="AE71" s="28">
        <f>IF(AA71&gt;0,(Y71+X71)/AA71,"")</f>
        <v/>
      </c>
      <c r="AF71" s="26">
        <f>IF(AA71=0,"",IF(AD71&gt;0.75,"Met or exceeded",IF(AE71&gt;=0.5,"Partially met","Not met")))</f>
        <v/>
      </c>
    </row>
    <row r="72">
      <c r="A72">
        <f>F72&amp;"|"&amp;G72</f>
        <v/>
      </c>
      <c r="B72" s="29" t="inlineStr"/>
      <c r="C72" s="8" t="inlineStr"/>
      <c r="D72" s="8" t="inlineStr"/>
      <c r="E72" s="8" t="inlineStr"/>
      <c r="F72" s="8" t="inlineStr">
        <is>
          <t>TR2(c)</t>
        </is>
      </c>
      <c r="G72" s="8" t="inlineStr">
        <is>
          <t>OPTION 1:  Target-level reporting</t>
        </is>
      </c>
      <c r="H72" s="25">
        <f>IFERROR(IF(INDEX('Faculties'!$M$10:$M$30,MATCH($F72,'Faculties'!$B$10:$B$30,0))="","Cell will autofill based on response",INDEX('Faculties'!$M$10:$M$30,MATCH($F72,'Faculties'!$B$10:$B$30,0))),"N/A")</f>
        <v/>
      </c>
      <c r="I72" s="25">
        <f>IFERROR(IF(INDEX('Faculties'!$M$37:$M$57,MATCH($F72,'Faculties'!$B$37:$B$57,0))="","Cell will autofill based on response",INDEX('Faculties'!$M$37:$M$57,MATCH($F72,'Faculties'!$B$37:$B$57,0))),"N/A")</f>
        <v/>
      </c>
      <c r="J72" s="25">
        <f>IFERROR(IF(INDEX('Faculties'!$M$64:$M$84,MATCH($F72,'Faculties'!$B$64:$B$84,0))="","Cell will autofill based on response",INDEX('Faculties'!$M$64:$M$84,MATCH($F72,'Faculties'!$B$64:$B$84,0))),"N/A")</f>
        <v/>
      </c>
      <c r="K72" s="25">
        <f>IFERROR(IF(INDEX('Faculties'!$M$91:$M$111,MATCH($F72,'Faculties'!$B$91:$B$111,0))="","Cell will autofill based on response",INDEX('Faculties'!$M$91:$M$111,MATCH($F72,'Faculties'!$B$91:$B$111,0))),"N/A")</f>
        <v/>
      </c>
      <c r="L72" s="25">
        <f>IFERROR(IF(INDEX('CI&amp;S'!$M$10:$M$15,MATCH($F72,'CI&amp;S'!$B$10:$B$15,0))="","Cell will autofill based on response",INDEX('CI&amp;S'!$M$10:$M$15,MATCH($F72,'CI&amp;S'!$B$10:$B$15,0))),"N/A")</f>
        <v/>
      </c>
      <c r="M72" s="25">
        <f>IFERROR(IF(INDEX('CI&amp;S'!$M$22:$M$39,MATCH($F72,'CI&amp;S'!$B$22:$B$39,0))="","Cell will autofill based on response",INDEX('CI&amp;S'!$M$22:$M$39,MATCH($F72,'CI&amp;S'!$B$22:$B$39,0))),"N/A")</f>
        <v/>
      </c>
      <c r="N72" s="25">
        <f>IFERROR(IF(INDEX('CFOG'!$M$10:$M$16,MATCH($F72,'CFOG'!$B$10:$B$16,0))="","Cell will autofill based on response",INDEX('CFOG'!$M$10:$M$16,MATCH($F72,'CFOG'!$B$10:$B$16,0))),"N/A")</f>
        <v/>
      </c>
      <c r="O72" s="25">
        <f>IFERROR(IF(INDEX('CFOG'!$M$23:$M$24,MATCH($F72,'CFOG'!$B$23:$B$24,0))="","Cell will autofill based on response",INDEX('CFOG'!$M$23:$M$24,MATCH($F72,'CFOG'!$B$23:$B$24,0))),"N/A")</f>
        <v/>
      </c>
      <c r="P72" s="25">
        <f>IFERROR(IF(INDEX('ESG'!$M$10:$M$17,MATCH($F72,'ESG'!$B$10:$B$17,0))="","Cell will autofill based on response",INDEX('ESG'!$M$10:$M$17,MATCH($F72,'ESG'!$B$10:$B$17,0))),"N/A")</f>
        <v/>
      </c>
      <c r="Q72" s="25">
        <f>IFERROR(IF(INDEX('CIOG'!$M$10:$M$14,MATCH($F72,'CIOG'!$B$10:$B$14,0))="","Cell will autofill based on response",INDEX('CIOG'!$M$10:$M$14,MATCH($F72,'CIOG'!$B$10:$B$14,0))),"N/A")</f>
        <v/>
      </c>
      <c r="R72" s="25">
        <f>IFERROR(IF(INDEX('MRE'!$M$10:$M$12,MATCH($F72,'MRE'!$B$10:$B$12,0))="","Cell will autofill based on response",INDEX('MRE'!$M$10:$M$12,MATCH($F72,'MRE'!$B$10:$B$12,0))),"N/A")</f>
        <v/>
      </c>
      <c r="S72" s="25">
        <f>IFERROR(IF(INDEX('L&amp;R'!$M$10:$M$11,MATCH($F72,'L&amp;R'!$B$10:$B$11,0))="","Cell will autofill based on response",INDEX('L&amp;R'!$M$10:$M$11,MATCH($F72,'L&amp;R'!$B$10:$B$11,0))),"N/A")</f>
        <v/>
      </c>
    </row>
    <row r="73">
      <c r="A73">
        <f>F73&amp;"|"&amp;G73</f>
        <v/>
      </c>
      <c r="B73" s="29" t="inlineStr"/>
      <c r="C73" s="8" t="inlineStr"/>
      <c r="D73" s="8" t="inlineStr"/>
      <c r="E73" s="8" t="inlineStr"/>
      <c r="F73" s="8" t="inlineStr">
        <is>
          <t>TR2(c)</t>
        </is>
      </c>
      <c r="G73" s="8" t="inlineStr">
        <is>
          <t>OPTION 2:  Indicator level reporting</t>
        </is>
      </c>
      <c r="H73" s="25">
        <f>IFERROR(IF(INDEX('Faculties'!$N$10:$N$30,MATCH($F73,'Faculties'!$B$10:$B$30,0))="","Cell will autofill based on response",INDEX('Faculties'!$N$10:$N$30,MATCH($F73,'Faculties'!$B$10:$B$30,0))),"N/A")</f>
        <v/>
      </c>
      <c r="I73" s="25">
        <f>IFERROR(IF(INDEX('Faculties'!$N$37:$N$57,MATCH($F73,'Faculties'!$B$37:$B$57,0))="","Cell will autofill based on response",INDEX('Faculties'!$N$37:$N$57,MATCH($F73,'Faculties'!$B$37:$B$57,0))),"N/A")</f>
        <v/>
      </c>
      <c r="J73" s="25">
        <f>IFERROR(IF(INDEX('Faculties'!$N$64:$N$84,MATCH($F73,'Faculties'!$B$64:$B$84,0))="","Cell will autofill based on response",INDEX('Faculties'!$N$64:$N$84,MATCH($F73,'Faculties'!$B$64:$B$84,0))),"N/A")</f>
        <v/>
      </c>
      <c r="K73" s="25">
        <f>IFERROR(IF(INDEX('Faculties'!$N$91:$N$111,MATCH($F73,'Faculties'!$B$91:$B$111,0))="","Cell will autofill based on response",INDEX('Faculties'!$N$91:$N$111,MATCH($F73,'Faculties'!$B$91:$B$111,0))),"N/A")</f>
        <v/>
      </c>
      <c r="L73" s="25">
        <f>IFERROR(IF(INDEX('CI&amp;S'!$N$10:$N$15,MATCH($F73,'CI&amp;S'!$B$10:$B$15,0))="","Cell will autofill based on response",INDEX('CI&amp;S'!$N$10:$N$15,MATCH($F73,'CI&amp;S'!$B$10:$B$15,0))),"N/A")</f>
        <v/>
      </c>
      <c r="M73" s="25">
        <f>IFERROR(IF(INDEX('CI&amp;S'!$N$22:$N$39,MATCH($F73,'CI&amp;S'!$B$22:$B$39,0))="","Cell will autofill based on response",INDEX('CI&amp;S'!$N$22:$N$39,MATCH($F73,'CI&amp;S'!$B$22:$B$39,0))),"N/A")</f>
        <v/>
      </c>
      <c r="N73" s="25">
        <f>IFERROR(IF(INDEX('CFOG'!$N$10:$N$16,MATCH($F73,'CFOG'!$B$10:$B$16,0))="","Cell will autofill based on response",INDEX('CFOG'!$N$10:$N$16,MATCH($F73,'CFOG'!$B$10:$B$16,0))),"N/A")</f>
        <v/>
      </c>
      <c r="O73" s="25">
        <f>IFERROR(IF(INDEX('CFOG'!$N$23:$N$24,MATCH($F73,'CFOG'!$B$23:$B$24,0))="","Cell will autofill based on response",INDEX('CFOG'!$N$23:$N$24,MATCH($F73,'CFOG'!$B$23:$B$24,0))),"N/A")</f>
        <v/>
      </c>
      <c r="P73" s="25">
        <f>IFERROR(IF(INDEX('ESG'!$N$10:$N$17,MATCH($F73,'ESG'!$B$10:$B$17,0))="","Cell will autofill based on response",INDEX('ESG'!$N$10:$N$17,MATCH($F73,'ESG'!$B$10:$B$17,0))),"N/A")</f>
        <v/>
      </c>
      <c r="Q73" s="25">
        <f>IFERROR(IF(INDEX('CIOG'!$N$10:$N$14,MATCH($F73,'CIOG'!$B$10:$B$14,0))="","Cell will autofill based on response",INDEX('CIOG'!$N$10:$N$14,MATCH($F73,'CIOG'!$B$10:$B$14,0))),"N/A")</f>
        <v/>
      </c>
      <c r="R73" s="25">
        <f>IFERROR(IF(INDEX('MRE'!$N$10:$N$12,MATCH($F73,'MRE'!$B$10:$B$12,0))="","Cell will autofill based on response",INDEX('MRE'!$N$10:$N$12,MATCH($F73,'MRE'!$B$10:$B$12,0))),"N/A")</f>
        <v/>
      </c>
      <c r="S73" s="25">
        <f>IFERROR(IF(INDEX('L&amp;R'!$N$10:$N$11,MATCH($F73,'L&amp;R'!$B$10:$B$11,0))="","Cell will autofill based on response",INDEX('L&amp;R'!$N$10:$N$11,MATCH($F73,'L&amp;R'!$B$10:$B$11,0))),"N/A")</f>
        <v/>
      </c>
    </row>
    <row r="74">
      <c r="A74">
        <f>F74&amp;"|"&amp;G74</f>
        <v/>
      </c>
      <c r="B74" s="29" t="inlineStr"/>
      <c r="C74" s="8" t="inlineStr"/>
      <c r="D74" s="8" t="inlineStr"/>
      <c r="E74" s="8" t="inlineStr"/>
      <c r="F74" s="8" t="inlineStr">
        <is>
          <t>TR2(c)</t>
        </is>
      </c>
      <c r="G74" s="8" t="inlineStr">
        <is>
          <t>Supporting information/comments</t>
        </is>
      </c>
      <c r="H74" s="25">
        <f>IFERROR(IF(INDEX('Faculties'!$O$10:$O$30,MATCH($F74,'Faculties'!$B$10:$B$30,0))="","Cell will autofill based on response",INDEX('Faculties'!$O$10:$O$30,MATCH($F74,'Faculties'!$B$10:$B$30,0))),"N/A")</f>
        <v/>
      </c>
      <c r="I74" s="25">
        <f>IFERROR(IF(INDEX('Faculties'!$O$37:$O$57,MATCH($F74,'Faculties'!$B$37:$B$57,0))="","Cell will autofill based on response",INDEX('Faculties'!$O$37:$O$57,MATCH($F74,'Faculties'!$B$37:$B$57,0))),"N/A")</f>
        <v/>
      </c>
      <c r="J74" s="25">
        <f>IFERROR(IF(INDEX('Faculties'!$O$64:$O$84,MATCH($F74,'Faculties'!$B$64:$B$84,0))="","Cell will autofill based on response",INDEX('Faculties'!$O$64:$O$84,MATCH($F74,'Faculties'!$B$64:$B$84,0))),"N/A")</f>
        <v/>
      </c>
      <c r="K74" s="25">
        <f>IFERROR(IF(INDEX('Faculties'!$O$91:$O$111,MATCH($F74,'Faculties'!$B$91:$B$111,0))="","Cell will autofill based on response",INDEX('Faculties'!$O$91:$O$111,MATCH($F74,'Faculties'!$B$91:$B$111,0))),"N/A")</f>
        <v/>
      </c>
      <c r="L74" s="25">
        <f>IFERROR(IF(INDEX('CI&amp;S'!$O$10:$O$15,MATCH($F74,'CI&amp;S'!$B$10:$B$15,0))="","Cell will autofill based on response",INDEX('CI&amp;S'!$O$10:$O$15,MATCH($F74,'CI&amp;S'!$B$10:$B$15,0))),"N/A")</f>
        <v/>
      </c>
      <c r="M74" s="25">
        <f>IFERROR(IF(INDEX('CI&amp;S'!$O$22:$O$39,MATCH($F74,'CI&amp;S'!$B$22:$B$39,0))="","Cell will autofill based on response",INDEX('CI&amp;S'!$O$22:$O$39,MATCH($F74,'CI&amp;S'!$B$22:$B$39,0))),"N/A")</f>
        <v/>
      </c>
      <c r="N74" s="25">
        <f>IFERROR(IF(INDEX('CFOG'!$O$10:$O$16,MATCH($F74,'CFOG'!$B$10:$B$16,0))="","Cell will autofill based on response",INDEX('CFOG'!$O$10:$O$16,MATCH($F74,'CFOG'!$B$10:$B$16,0))),"N/A")</f>
        <v/>
      </c>
      <c r="O74" s="25">
        <f>IFERROR(IF(INDEX('CFOG'!$O$23:$O$24,MATCH($F74,'CFOG'!$B$23:$B$24,0))="","Cell will autofill based on response",INDEX('CFOG'!$O$23:$O$24,MATCH($F74,'CFOG'!$B$23:$B$24,0))),"N/A")</f>
        <v/>
      </c>
      <c r="P74" s="25">
        <f>IFERROR(IF(INDEX('ESG'!$O$10:$O$17,MATCH($F74,'ESG'!$B$10:$B$17,0))="","Cell will autofill based on response",INDEX('ESG'!$O$10:$O$17,MATCH($F74,'ESG'!$B$10:$B$17,0))),"N/A")</f>
        <v/>
      </c>
      <c r="Q74" s="25">
        <f>IFERROR(IF(INDEX('CIOG'!$O$10:$O$14,MATCH($F74,'CIOG'!$B$10:$B$14,0))="","Cell will autofill based on response",INDEX('CIOG'!$O$10:$O$14,MATCH($F74,'CIOG'!$B$10:$B$14,0))),"N/A")</f>
        <v/>
      </c>
      <c r="R74" s="25">
        <f>IFERROR(IF(INDEX('MRE'!$O$10:$O$12,MATCH($F74,'MRE'!$B$10:$B$12,0))="","Cell will autofill based on response",INDEX('MRE'!$O$10:$O$12,MATCH($F74,'MRE'!$B$10:$B$12,0))),"N/A")</f>
        <v/>
      </c>
      <c r="S74" s="25">
        <f>IFERROR(IF(INDEX('L&amp;R'!$O$10:$O$11,MATCH($F74,'L&amp;R'!$B$10:$B$11,0))="","Cell will autofill based on response",INDEX('L&amp;R'!$O$10:$O$11,MATCH($F74,'L&amp;R'!$B$10:$B$11,0))),"N/A")</f>
        <v/>
      </c>
    </row>
    <row r="75">
      <c r="A75">
        <f>F75&amp;"|"&amp;G75</f>
        <v/>
      </c>
      <c r="B75" s="29" t="inlineStr"/>
      <c r="C75" s="8" t="inlineStr"/>
      <c r="D75" s="8" t="inlineStr"/>
      <c r="E75" s="8" t="inlineStr"/>
      <c r="F75" s="8" t="inlineStr">
        <is>
          <t>TR2(c)</t>
        </is>
      </c>
      <c r="G75" s="8" t="inlineStr">
        <is>
          <t>Data source and limitations</t>
        </is>
      </c>
      <c r="H75" s="25">
        <f>IFERROR(IF(INDEX('Faculties'!$P$10:$P$30,MATCH($F75,'Faculties'!$B$10:$B$30,0))="","Cell will autofill based on response",INDEX('Faculties'!$P$10:$P$30,MATCH($F75,'Faculties'!$B$10:$B$30,0))),"N/A")</f>
        <v/>
      </c>
      <c r="I75" s="25">
        <f>IFERROR(IF(INDEX('Faculties'!$P$37:$P$57,MATCH($F75,'Faculties'!$B$37:$B$57,0))="","Cell will autofill based on response",INDEX('Faculties'!$P$37:$P$57,MATCH($F75,'Faculties'!$B$37:$B$57,0))),"N/A")</f>
        <v/>
      </c>
      <c r="J75" s="25">
        <f>IFERROR(IF(INDEX('Faculties'!$P$64:$P$84,MATCH($F75,'Faculties'!$B$64:$B$84,0))="","Cell will autofill based on response",INDEX('Faculties'!$P$64:$P$84,MATCH($F75,'Faculties'!$B$64:$B$84,0))),"N/A")</f>
        <v/>
      </c>
      <c r="K75" s="25">
        <f>IFERROR(IF(INDEX('Faculties'!$P$91:$P$111,MATCH($F75,'Faculties'!$B$91:$B$111,0))="","Cell will autofill based on response",INDEX('Faculties'!$P$91:$P$111,MATCH($F75,'Faculties'!$B$91:$B$111,0))),"N/A")</f>
        <v/>
      </c>
      <c r="L75" s="25">
        <f>IFERROR(IF(INDEX('CI&amp;S'!$P$10:$P$15,MATCH($F75,'CI&amp;S'!$B$10:$B$15,0))="","Cell will autofill based on response",INDEX('CI&amp;S'!$P$10:$P$15,MATCH($F75,'CI&amp;S'!$B$10:$B$15,0))),"N/A")</f>
        <v/>
      </c>
      <c r="M75" s="25">
        <f>IFERROR(IF(INDEX('CI&amp;S'!$P$22:$P$39,MATCH($F75,'CI&amp;S'!$B$22:$B$39,0))="","Cell will autofill based on response",INDEX('CI&amp;S'!$P$22:$P$39,MATCH($F75,'CI&amp;S'!$B$22:$B$39,0))),"N/A")</f>
        <v/>
      </c>
      <c r="N75" s="25">
        <f>IFERROR(IF(INDEX('CFOG'!$P$10:$P$16,MATCH($F75,'CFOG'!$B$10:$B$16,0))="","Cell will autofill based on response",INDEX('CFOG'!$P$10:$P$16,MATCH($F75,'CFOG'!$B$10:$B$16,0))),"N/A")</f>
        <v/>
      </c>
      <c r="O75" s="25">
        <f>IFERROR(IF(INDEX('CFOG'!$P$23:$P$24,MATCH($F75,'CFOG'!$B$23:$B$24,0))="","Cell will autofill based on response",INDEX('CFOG'!$P$23:$P$24,MATCH($F75,'CFOG'!$B$23:$B$24,0))),"N/A")</f>
        <v/>
      </c>
      <c r="P75" s="25">
        <f>IFERROR(IF(INDEX('ESG'!$P$10:$P$17,MATCH($F75,'ESG'!$B$10:$B$17,0))="","Cell will autofill based on response",INDEX('ESG'!$P$10:$P$17,MATCH($F75,'ESG'!$B$10:$B$17,0))),"N/A")</f>
        <v/>
      </c>
      <c r="Q75" s="25">
        <f>IFERROR(IF(INDEX('CIOG'!$P$10:$P$14,MATCH($F75,'CIOG'!$B$10:$B$14,0))="","Cell will autofill based on response",INDEX('CIOG'!$P$10:$P$14,MATCH($F75,'CIOG'!$B$10:$B$14,0))),"N/A")</f>
        <v/>
      </c>
      <c r="R75" s="25">
        <f>IFERROR(IF(INDEX('MRE'!$P$10:$P$12,MATCH($F75,'MRE'!$B$10:$B$12,0))="","Cell will autofill based on response",INDEX('MRE'!$P$10:$P$12,MATCH($F75,'MRE'!$B$10:$B$12,0))),"N/A")</f>
        <v/>
      </c>
      <c r="S75" s="25">
        <f>IFERROR(IF(INDEX('L&amp;R'!$P$10:$P$11,MATCH($F75,'L&amp;R'!$B$10:$B$11,0))="","Cell will autofill based on response",INDEX('L&amp;R'!$P$10:$P$11,MATCH($F75,'L&amp;R'!$B$10:$B$11,0))),"N/A")</f>
        <v/>
      </c>
    </row>
    <row r="76">
      <c r="A76">
        <f>F76&amp;"|"&amp;G76</f>
        <v/>
      </c>
      <c r="B76" s="29" t="inlineStr"/>
      <c r="C76" s="8" t="inlineStr"/>
      <c r="D76" s="8" t="inlineStr"/>
      <c r="E76" s="8" t="inlineStr"/>
      <c r="F76" s="8" t="inlineStr">
        <is>
          <t>TR2(c)</t>
        </is>
      </c>
      <c r="G76" s="8" t="inlineStr">
        <is>
          <t>Data owner confirms</t>
        </is>
      </c>
      <c r="H76" s="25">
        <f>IFERROR(IF(INDEX('Faculties'!$Q$10:$Q$30,MATCH($F76,'Faculties'!$B$10:$B$30,0))="","Cell will autofill based on response",INDEX('Faculties'!$Q$10:$Q$30,MATCH($F76,'Faculties'!$B$10:$B$30,0))),"N/A")</f>
        <v/>
      </c>
      <c r="I76" s="25">
        <f>IFERROR(IF(INDEX('Faculties'!$Q$37:$Q$57,MATCH($F76,'Faculties'!$B$37:$B$57,0))="","Cell will autofill based on response",INDEX('Faculties'!$Q$37:$Q$57,MATCH($F76,'Faculties'!$B$37:$B$57,0))),"N/A")</f>
        <v/>
      </c>
      <c r="J76" s="25">
        <f>IFERROR(IF(INDEX('Faculties'!$Q$64:$Q$84,MATCH($F76,'Faculties'!$B$64:$B$84,0))="","Cell will autofill based on response",INDEX('Faculties'!$Q$64:$Q$84,MATCH($F76,'Faculties'!$B$64:$B$84,0))),"N/A")</f>
        <v/>
      </c>
      <c r="K76" s="25">
        <f>IFERROR(IF(INDEX('Faculties'!$Q$91:$Q$111,MATCH($F76,'Faculties'!$B$91:$B$111,0))="","Cell will autofill based on response",INDEX('Faculties'!$Q$91:$Q$111,MATCH($F76,'Faculties'!$B$91:$B$111,0))),"N/A")</f>
        <v/>
      </c>
      <c r="L76" s="25">
        <f>IFERROR(IF(INDEX('CI&amp;S'!$Q$10:$Q$15,MATCH($F76,'CI&amp;S'!$B$10:$B$15,0))="","Cell will autofill based on response",INDEX('CI&amp;S'!$Q$10:$Q$15,MATCH($F76,'CI&amp;S'!$B$10:$B$15,0))),"N/A")</f>
        <v/>
      </c>
      <c r="M76" s="25">
        <f>IFERROR(IF(INDEX('CI&amp;S'!$Q$22:$Q$39,MATCH($F76,'CI&amp;S'!$B$22:$B$39,0))="","Cell will autofill based on response",INDEX('CI&amp;S'!$Q$22:$Q$39,MATCH($F76,'CI&amp;S'!$B$22:$B$39,0))),"N/A")</f>
        <v/>
      </c>
      <c r="N76" s="25">
        <f>IFERROR(IF(INDEX('CFOG'!$Q$10:$Q$16,MATCH($F76,'CFOG'!$B$10:$B$16,0))="","Cell will autofill based on response",INDEX('CFOG'!$Q$10:$Q$16,MATCH($F76,'CFOG'!$B$10:$B$16,0))),"N/A")</f>
        <v/>
      </c>
      <c r="O76" s="25">
        <f>IFERROR(IF(INDEX('CFOG'!$Q$23:$Q$24,MATCH($F76,'CFOG'!$B$23:$B$24,0))="","Cell will autofill based on response",INDEX('CFOG'!$Q$23:$Q$24,MATCH($F76,'CFOG'!$B$23:$B$24,0))),"N/A")</f>
        <v/>
      </c>
      <c r="P76" s="25">
        <f>IFERROR(IF(INDEX('ESG'!$Q$10:$Q$17,MATCH($F76,'ESG'!$B$10:$B$17,0))="","Cell will autofill based on response",INDEX('ESG'!$Q$10:$Q$17,MATCH($F76,'ESG'!$B$10:$B$17,0))),"N/A")</f>
        <v/>
      </c>
      <c r="Q76" s="25">
        <f>IFERROR(IF(INDEX('CIOG'!$Q$10:$Q$14,MATCH($F76,'CIOG'!$B$10:$B$14,0))="","Cell will autofill based on response",INDEX('CIOG'!$Q$10:$Q$14,MATCH($F76,'CIOG'!$B$10:$B$14,0))),"N/A")</f>
        <v/>
      </c>
      <c r="R76" s="25">
        <f>IFERROR(IF(INDEX('MRE'!$Q$10:$Q$12,MATCH($F76,'MRE'!$B$10:$B$12,0))="","Cell will autofill based on response",INDEX('MRE'!$Q$10:$Q$12,MATCH($F76,'MRE'!$B$10:$B$12,0))),"N/A")</f>
        <v/>
      </c>
      <c r="S76" s="25">
        <f>IFERROR(IF(INDEX('L&amp;R'!$Q$10:$Q$11,MATCH($F76,'L&amp;R'!$B$10:$B$11,0))="","Cell will autofill based on response",INDEX('L&amp;R'!$Q$10:$Q$11,MATCH($F76,'L&amp;R'!$B$10:$B$11,0))),"N/A")</f>
        <v/>
      </c>
    </row>
    <row r="77">
      <c r="A77">
        <f>F77&amp;"|"&amp;G77</f>
        <v/>
      </c>
      <c r="B77" s="7" t="inlineStr">
        <is>
          <t>TR2(d)</t>
        </is>
      </c>
      <c r="C77" s="12" t="inlineStr">
        <is>
          <t>Transformational research</t>
        </is>
      </c>
      <c r="D77" s="12" t="inlineStr">
        <is>
          <t>Case-based evidence demonstrating how research has contributed to meaningful sustainability outcomes.</t>
        </is>
      </c>
      <c r="E77" s="12" t="inlineStr">
        <is>
          <t>Please provide case studies from your Faculty/Portfolio demonstrating how research has contributed to meaningful sustainability outcomes. Briefly describe the research, stakeholders involved, pathway to impact and evidence of the resulting sustainability outcome.</t>
        </is>
      </c>
      <c r="F77" s="12" t="inlineStr">
        <is>
          <t>TR2(d)</t>
        </is>
      </c>
      <c r="G77" s="12" t="inlineStr">
        <is>
          <t>Confirm end-2026 target status</t>
        </is>
      </c>
      <c r="H77" s="25">
        <f>IFERROR(IF(INDEX('Faculties'!$L$10:$L$30,MATCH($F77,'Faculties'!$B$10:$B$30,0))="","Cell will autofill based on response",INDEX('Faculties'!$L$10:$L$30,MATCH($F77,'Faculties'!$B$10:$B$30,0))),"N/A")</f>
        <v/>
      </c>
      <c r="I77" s="25">
        <f>IFERROR(IF(INDEX('Faculties'!$L$37:$L$57,MATCH($F77,'Faculties'!$B$37:$B$57,0))="","Cell will autofill based on response",INDEX('Faculties'!$L$37:$L$57,MATCH($F77,'Faculties'!$B$37:$B$57,0))),"N/A")</f>
        <v/>
      </c>
      <c r="J77" s="25">
        <f>IFERROR(IF(INDEX('Faculties'!$L$64:$L$84,MATCH($F77,'Faculties'!$B$64:$B$84,0))="","Cell will autofill based on response",INDEX('Faculties'!$L$64:$L$84,MATCH($F77,'Faculties'!$B$64:$B$84,0))),"N/A")</f>
        <v/>
      </c>
      <c r="K77" s="25">
        <f>IFERROR(IF(INDEX('Faculties'!$L$91:$L$111,MATCH($F77,'Faculties'!$B$91:$B$111,0))="","Cell will autofill based on response",INDEX('Faculties'!$L$91:$L$111,MATCH($F77,'Faculties'!$B$91:$B$111,0))),"N/A")</f>
        <v/>
      </c>
      <c r="L77" s="25">
        <f>IFERROR(IF(INDEX('CI&amp;S'!$L$10:$L$15,MATCH($F77,'CI&amp;S'!$B$10:$B$15,0))="","Cell will autofill based on response",INDEX('CI&amp;S'!$L$10:$L$15,MATCH($F77,'CI&amp;S'!$B$10:$B$15,0))),"N/A")</f>
        <v/>
      </c>
      <c r="M77" s="25">
        <f>IFERROR(IF(INDEX('CI&amp;S'!$L$22:$L$39,MATCH($F77,'CI&amp;S'!$B$22:$B$39,0))="","Cell will autofill based on response",INDEX('CI&amp;S'!$L$22:$L$39,MATCH($F77,'CI&amp;S'!$B$22:$B$39,0))),"N/A")</f>
        <v/>
      </c>
      <c r="N77" s="25">
        <f>IFERROR(IF(INDEX('CFOG'!$L$10:$L$16,MATCH($F77,'CFOG'!$B$10:$B$16,0))="","Cell will autofill based on response",INDEX('CFOG'!$L$10:$L$16,MATCH($F77,'CFOG'!$B$10:$B$16,0))),"N/A")</f>
        <v/>
      </c>
      <c r="O77" s="25">
        <f>IFERROR(IF(INDEX('CFOG'!$L$23:$L$24,MATCH($F77,'CFOG'!$B$23:$B$24,0))="","Cell will autofill based on response",INDEX('CFOG'!$L$23:$L$24,MATCH($F77,'CFOG'!$B$23:$B$24,0))),"N/A")</f>
        <v/>
      </c>
      <c r="P77" s="25">
        <f>IFERROR(IF(INDEX('ESG'!$L$10:$L$17,MATCH($F77,'ESG'!$B$10:$B$17,0))="","Cell will autofill based on response",INDEX('ESG'!$L$10:$L$17,MATCH($F77,'ESG'!$B$10:$B$17,0))),"N/A")</f>
        <v/>
      </c>
      <c r="Q77" s="25">
        <f>IFERROR(IF(INDEX('CIOG'!$L$10:$L$14,MATCH($F77,'CIOG'!$B$10:$B$14,0))="","Cell will autofill based on response",INDEX('CIOG'!$L$10:$L$14,MATCH($F77,'CIOG'!$B$10:$B$14,0))),"N/A")</f>
        <v/>
      </c>
      <c r="R77" s="25">
        <f>IFERROR(IF(INDEX('MRE'!$L$10:$L$12,MATCH($F77,'MRE'!$B$10:$B$12,0))="","Cell will autofill based on response",INDEX('MRE'!$L$10:$L$12,MATCH($F77,'MRE'!$B$10:$B$12,0))),"N/A")</f>
        <v/>
      </c>
      <c r="S77" s="25">
        <f>IFERROR(IF(INDEX('L&amp;R'!$L$10:$L$11,MATCH($F77,'L&amp;R'!$B$10:$B$11,0))="","Cell will autofill based on response",INDEX('L&amp;R'!$L$10:$L$11,MATCH($F77,'L&amp;R'!$B$10:$B$11,0))),"N/A")</f>
        <v/>
      </c>
      <c r="U77" s="26">
        <f>COUNTIF($H77:$S77,"Cell will autofill based on response")</f>
        <v/>
      </c>
      <c r="V77" s="26">
        <f>COUNTIF($H77:$S77,"Not yet started")</f>
        <v/>
      </c>
      <c r="W77" s="26">
        <f>COUNTIF($H77:$S77,"Not met")</f>
        <v/>
      </c>
      <c r="X77" s="26">
        <f>COUNTIF($H77:$S77,"Partially met")</f>
        <v/>
      </c>
      <c r="Y77" s="26">
        <f>COUNTIF($H77:$S77,"Met or exceeded")</f>
        <v/>
      </c>
      <c r="Z77" s="26">
        <f>3*Y77+2*X77+W77</f>
        <v/>
      </c>
      <c r="AA77" s="26">
        <f>Y77+X77+W77+V77</f>
        <v/>
      </c>
      <c r="AB77" s="27">
        <f>IF(AA77&gt;0,Z77/AA77,"No valid responses to date")</f>
        <v/>
      </c>
      <c r="AC77" s="26">
        <f>IF(ISNUMBER(AB77),INDEX(Lists!$G$2:$G$5,MATCH(ROUND(AB77,0),Lists!$H$2:$H$5,0)),"")</f>
        <v/>
      </c>
      <c r="AD77" s="28">
        <f>IF(AA77&gt;0,Y77/AA77,"")</f>
        <v/>
      </c>
      <c r="AE77" s="28">
        <f>IF(AA77&gt;0,(Y77+X77)/AA77,"")</f>
        <v/>
      </c>
      <c r="AF77" s="26">
        <f>IF(AA77=0,"",IF(AD77&gt;0.75,"Met or exceeded",IF(AE77&gt;=0.5,"Partially met","Not met")))</f>
        <v/>
      </c>
    </row>
    <row r="78">
      <c r="A78">
        <f>F78&amp;"|"&amp;G78</f>
        <v/>
      </c>
      <c r="B78" s="29" t="inlineStr"/>
      <c r="C78" s="8" t="inlineStr"/>
      <c r="D78" s="8" t="inlineStr"/>
      <c r="E78" s="8" t="inlineStr"/>
      <c r="F78" s="8" t="inlineStr">
        <is>
          <t>TR2(d)</t>
        </is>
      </c>
      <c r="G78" s="8" t="inlineStr">
        <is>
          <t>OPTION 1:  Target-level reporting</t>
        </is>
      </c>
      <c r="H78" s="25">
        <f>IFERROR(IF(INDEX('Faculties'!$M$10:$M$30,MATCH($F78,'Faculties'!$B$10:$B$30,0))="","Cell will autofill based on response",INDEX('Faculties'!$M$10:$M$30,MATCH($F78,'Faculties'!$B$10:$B$30,0))),"N/A")</f>
        <v/>
      </c>
      <c r="I78" s="25">
        <f>IFERROR(IF(INDEX('Faculties'!$M$37:$M$57,MATCH($F78,'Faculties'!$B$37:$B$57,0))="","Cell will autofill based on response",INDEX('Faculties'!$M$37:$M$57,MATCH($F78,'Faculties'!$B$37:$B$57,0))),"N/A")</f>
        <v/>
      </c>
      <c r="J78" s="25">
        <f>IFERROR(IF(INDEX('Faculties'!$M$64:$M$84,MATCH($F78,'Faculties'!$B$64:$B$84,0))="","Cell will autofill based on response",INDEX('Faculties'!$M$64:$M$84,MATCH($F78,'Faculties'!$B$64:$B$84,0))),"N/A")</f>
        <v/>
      </c>
      <c r="K78" s="25">
        <f>IFERROR(IF(INDEX('Faculties'!$M$91:$M$111,MATCH($F78,'Faculties'!$B$91:$B$111,0))="","Cell will autofill based on response",INDEX('Faculties'!$M$91:$M$111,MATCH($F78,'Faculties'!$B$91:$B$111,0))),"N/A")</f>
        <v/>
      </c>
      <c r="L78" s="25">
        <f>IFERROR(IF(INDEX('CI&amp;S'!$M$10:$M$15,MATCH($F78,'CI&amp;S'!$B$10:$B$15,0))="","Cell will autofill based on response",INDEX('CI&amp;S'!$M$10:$M$15,MATCH($F78,'CI&amp;S'!$B$10:$B$15,0))),"N/A")</f>
        <v/>
      </c>
      <c r="M78" s="25">
        <f>IFERROR(IF(INDEX('CI&amp;S'!$M$22:$M$39,MATCH($F78,'CI&amp;S'!$B$22:$B$39,0))="","Cell will autofill based on response",INDEX('CI&amp;S'!$M$22:$M$39,MATCH($F78,'CI&amp;S'!$B$22:$B$39,0))),"N/A")</f>
        <v/>
      </c>
      <c r="N78" s="25">
        <f>IFERROR(IF(INDEX('CFOG'!$M$10:$M$16,MATCH($F78,'CFOG'!$B$10:$B$16,0))="","Cell will autofill based on response",INDEX('CFOG'!$M$10:$M$16,MATCH($F78,'CFOG'!$B$10:$B$16,0))),"N/A")</f>
        <v/>
      </c>
      <c r="O78" s="25">
        <f>IFERROR(IF(INDEX('CFOG'!$M$23:$M$24,MATCH($F78,'CFOG'!$B$23:$B$24,0))="","Cell will autofill based on response",INDEX('CFOG'!$M$23:$M$24,MATCH($F78,'CFOG'!$B$23:$B$24,0))),"N/A")</f>
        <v/>
      </c>
      <c r="P78" s="25">
        <f>IFERROR(IF(INDEX('ESG'!$M$10:$M$17,MATCH($F78,'ESG'!$B$10:$B$17,0))="","Cell will autofill based on response",INDEX('ESG'!$M$10:$M$17,MATCH($F78,'ESG'!$B$10:$B$17,0))),"N/A")</f>
        <v/>
      </c>
      <c r="Q78" s="25">
        <f>IFERROR(IF(INDEX('CIOG'!$M$10:$M$14,MATCH($F78,'CIOG'!$B$10:$B$14,0))="","Cell will autofill based on response",INDEX('CIOG'!$M$10:$M$14,MATCH($F78,'CIOG'!$B$10:$B$14,0))),"N/A")</f>
        <v/>
      </c>
      <c r="R78" s="25">
        <f>IFERROR(IF(INDEX('MRE'!$M$10:$M$12,MATCH($F78,'MRE'!$B$10:$B$12,0))="","Cell will autofill based on response",INDEX('MRE'!$M$10:$M$12,MATCH($F78,'MRE'!$B$10:$B$12,0))),"N/A")</f>
        <v/>
      </c>
      <c r="S78" s="25">
        <f>IFERROR(IF(INDEX('L&amp;R'!$M$10:$M$11,MATCH($F78,'L&amp;R'!$B$10:$B$11,0))="","Cell will autofill based on response",INDEX('L&amp;R'!$M$10:$M$11,MATCH($F78,'L&amp;R'!$B$10:$B$11,0))),"N/A")</f>
        <v/>
      </c>
    </row>
    <row r="79">
      <c r="A79">
        <f>F79&amp;"|"&amp;G79</f>
        <v/>
      </c>
      <c r="B79" s="29" t="inlineStr"/>
      <c r="C79" s="8" t="inlineStr"/>
      <c r="D79" s="8" t="inlineStr"/>
      <c r="E79" s="8" t="inlineStr"/>
      <c r="F79" s="8" t="inlineStr">
        <is>
          <t>TR2(d)</t>
        </is>
      </c>
      <c r="G79" s="8" t="inlineStr">
        <is>
          <t>OPTION 2:  Indicator level reporting</t>
        </is>
      </c>
      <c r="H79" s="25">
        <f>IFERROR(IF(INDEX('Faculties'!$N$10:$N$30,MATCH($F79,'Faculties'!$B$10:$B$30,0))="","Cell will autofill based on response",INDEX('Faculties'!$N$10:$N$30,MATCH($F79,'Faculties'!$B$10:$B$30,0))),"N/A")</f>
        <v/>
      </c>
      <c r="I79" s="25">
        <f>IFERROR(IF(INDEX('Faculties'!$N$37:$N$57,MATCH($F79,'Faculties'!$B$37:$B$57,0))="","Cell will autofill based on response",INDEX('Faculties'!$N$37:$N$57,MATCH($F79,'Faculties'!$B$37:$B$57,0))),"N/A")</f>
        <v/>
      </c>
      <c r="J79" s="25">
        <f>IFERROR(IF(INDEX('Faculties'!$N$64:$N$84,MATCH($F79,'Faculties'!$B$64:$B$84,0))="","Cell will autofill based on response",INDEX('Faculties'!$N$64:$N$84,MATCH($F79,'Faculties'!$B$64:$B$84,0))),"N/A")</f>
        <v/>
      </c>
      <c r="K79" s="25">
        <f>IFERROR(IF(INDEX('Faculties'!$N$91:$N$111,MATCH($F79,'Faculties'!$B$91:$B$111,0))="","Cell will autofill based on response",INDEX('Faculties'!$N$91:$N$111,MATCH($F79,'Faculties'!$B$91:$B$111,0))),"N/A")</f>
        <v/>
      </c>
      <c r="L79" s="25">
        <f>IFERROR(IF(INDEX('CI&amp;S'!$N$10:$N$15,MATCH($F79,'CI&amp;S'!$B$10:$B$15,0))="","Cell will autofill based on response",INDEX('CI&amp;S'!$N$10:$N$15,MATCH($F79,'CI&amp;S'!$B$10:$B$15,0))),"N/A")</f>
        <v/>
      </c>
      <c r="M79" s="25">
        <f>IFERROR(IF(INDEX('CI&amp;S'!$N$22:$N$39,MATCH($F79,'CI&amp;S'!$B$22:$B$39,0))="","Cell will autofill based on response",INDEX('CI&amp;S'!$N$22:$N$39,MATCH($F79,'CI&amp;S'!$B$22:$B$39,0))),"N/A")</f>
        <v/>
      </c>
      <c r="N79" s="25">
        <f>IFERROR(IF(INDEX('CFOG'!$N$10:$N$16,MATCH($F79,'CFOG'!$B$10:$B$16,0))="","Cell will autofill based on response",INDEX('CFOG'!$N$10:$N$16,MATCH($F79,'CFOG'!$B$10:$B$16,0))),"N/A")</f>
        <v/>
      </c>
      <c r="O79" s="25">
        <f>IFERROR(IF(INDEX('CFOG'!$N$23:$N$24,MATCH($F79,'CFOG'!$B$23:$B$24,0))="","Cell will autofill based on response",INDEX('CFOG'!$N$23:$N$24,MATCH($F79,'CFOG'!$B$23:$B$24,0))),"N/A")</f>
        <v/>
      </c>
      <c r="P79" s="25">
        <f>IFERROR(IF(INDEX('ESG'!$N$10:$N$17,MATCH($F79,'ESG'!$B$10:$B$17,0))="","Cell will autofill based on response",INDEX('ESG'!$N$10:$N$17,MATCH($F79,'ESG'!$B$10:$B$17,0))),"N/A")</f>
        <v/>
      </c>
      <c r="Q79" s="25">
        <f>IFERROR(IF(INDEX('CIOG'!$N$10:$N$14,MATCH($F79,'CIOG'!$B$10:$B$14,0))="","Cell will autofill based on response",INDEX('CIOG'!$N$10:$N$14,MATCH($F79,'CIOG'!$B$10:$B$14,0))),"N/A")</f>
        <v/>
      </c>
      <c r="R79" s="25">
        <f>IFERROR(IF(INDEX('MRE'!$N$10:$N$12,MATCH($F79,'MRE'!$B$10:$B$12,0))="","Cell will autofill based on response",INDEX('MRE'!$N$10:$N$12,MATCH($F79,'MRE'!$B$10:$B$12,0))),"N/A")</f>
        <v/>
      </c>
      <c r="S79" s="25">
        <f>IFERROR(IF(INDEX('L&amp;R'!$N$10:$N$11,MATCH($F79,'L&amp;R'!$B$10:$B$11,0))="","Cell will autofill based on response",INDEX('L&amp;R'!$N$10:$N$11,MATCH($F79,'L&amp;R'!$B$10:$B$11,0))),"N/A")</f>
        <v/>
      </c>
    </row>
    <row r="80">
      <c r="A80">
        <f>F80&amp;"|"&amp;G80</f>
        <v/>
      </c>
      <c r="B80" s="29" t="inlineStr"/>
      <c r="C80" s="8" t="inlineStr"/>
      <c r="D80" s="8" t="inlineStr"/>
      <c r="E80" s="8" t="inlineStr"/>
      <c r="F80" s="8" t="inlineStr">
        <is>
          <t>TR2(d)</t>
        </is>
      </c>
      <c r="G80" s="8" t="inlineStr">
        <is>
          <t>Supporting information/comments</t>
        </is>
      </c>
      <c r="H80" s="25">
        <f>IFERROR(IF(INDEX('Faculties'!$O$10:$O$30,MATCH($F80,'Faculties'!$B$10:$B$30,0))="","Cell will autofill based on response",INDEX('Faculties'!$O$10:$O$30,MATCH($F80,'Faculties'!$B$10:$B$30,0))),"N/A")</f>
        <v/>
      </c>
      <c r="I80" s="25">
        <f>IFERROR(IF(INDEX('Faculties'!$O$37:$O$57,MATCH($F80,'Faculties'!$B$37:$B$57,0))="","Cell will autofill based on response",INDEX('Faculties'!$O$37:$O$57,MATCH($F80,'Faculties'!$B$37:$B$57,0))),"N/A")</f>
        <v/>
      </c>
      <c r="J80" s="25">
        <f>IFERROR(IF(INDEX('Faculties'!$O$64:$O$84,MATCH($F80,'Faculties'!$B$64:$B$84,0))="","Cell will autofill based on response",INDEX('Faculties'!$O$64:$O$84,MATCH($F80,'Faculties'!$B$64:$B$84,0))),"N/A")</f>
        <v/>
      </c>
      <c r="K80" s="25">
        <f>IFERROR(IF(INDEX('Faculties'!$O$91:$O$111,MATCH($F80,'Faculties'!$B$91:$B$111,0))="","Cell will autofill based on response",INDEX('Faculties'!$O$91:$O$111,MATCH($F80,'Faculties'!$B$91:$B$111,0))),"N/A")</f>
        <v/>
      </c>
      <c r="L80" s="25">
        <f>IFERROR(IF(INDEX('CI&amp;S'!$O$10:$O$15,MATCH($F80,'CI&amp;S'!$B$10:$B$15,0))="","Cell will autofill based on response",INDEX('CI&amp;S'!$O$10:$O$15,MATCH($F80,'CI&amp;S'!$B$10:$B$15,0))),"N/A")</f>
        <v/>
      </c>
      <c r="M80" s="25">
        <f>IFERROR(IF(INDEX('CI&amp;S'!$O$22:$O$39,MATCH($F80,'CI&amp;S'!$B$22:$B$39,0))="","Cell will autofill based on response",INDEX('CI&amp;S'!$O$22:$O$39,MATCH($F80,'CI&amp;S'!$B$22:$B$39,0))),"N/A")</f>
        <v/>
      </c>
      <c r="N80" s="25">
        <f>IFERROR(IF(INDEX('CFOG'!$O$10:$O$16,MATCH($F80,'CFOG'!$B$10:$B$16,0))="","Cell will autofill based on response",INDEX('CFOG'!$O$10:$O$16,MATCH($F80,'CFOG'!$B$10:$B$16,0))),"N/A")</f>
        <v/>
      </c>
      <c r="O80" s="25">
        <f>IFERROR(IF(INDEX('CFOG'!$O$23:$O$24,MATCH($F80,'CFOG'!$B$23:$B$24,0))="","Cell will autofill based on response",INDEX('CFOG'!$O$23:$O$24,MATCH($F80,'CFOG'!$B$23:$B$24,0))),"N/A")</f>
        <v/>
      </c>
      <c r="P80" s="25">
        <f>IFERROR(IF(INDEX('ESG'!$O$10:$O$17,MATCH($F80,'ESG'!$B$10:$B$17,0))="","Cell will autofill based on response",INDEX('ESG'!$O$10:$O$17,MATCH($F80,'ESG'!$B$10:$B$17,0))),"N/A")</f>
        <v/>
      </c>
      <c r="Q80" s="25">
        <f>IFERROR(IF(INDEX('CIOG'!$O$10:$O$14,MATCH($F80,'CIOG'!$B$10:$B$14,0))="","Cell will autofill based on response",INDEX('CIOG'!$O$10:$O$14,MATCH($F80,'CIOG'!$B$10:$B$14,0))),"N/A")</f>
        <v/>
      </c>
      <c r="R80" s="25">
        <f>IFERROR(IF(INDEX('MRE'!$O$10:$O$12,MATCH($F80,'MRE'!$B$10:$B$12,0))="","Cell will autofill based on response",INDEX('MRE'!$O$10:$O$12,MATCH($F80,'MRE'!$B$10:$B$12,0))),"N/A")</f>
        <v/>
      </c>
      <c r="S80" s="25">
        <f>IFERROR(IF(INDEX('L&amp;R'!$O$10:$O$11,MATCH($F80,'L&amp;R'!$B$10:$B$11,0))="","Cell will autofill based on response",INDEX('L&amp;R'!$O$10:$O$11,MATCH($F80,'L&amp;R'!$B$10:$B$11,0))),"N/A")</f>
        <v/>
      </c>
    </row>
    <row r="81">
      <c r="A81">
        <f>F81&amp;"|"&amp;G81</f>
        <v/>
      </c>
      <c r="B81" s="29" t="inlineStr"/>
      <c r="C81" s="8" t="inlineStr"/>
      <c r="D81" s="8" t="inlineStr"/>
      <c r="E81" s="8" t="inlineStr"/>
      <c r="F81" s="8" t="inlineStr">
        <is>
          <t>TR2(d)</t>
        </is>
      </c>
      <c r="G81" s="8" t="inlineStr">
        <is>
          <t>Data source and limitations</t>
        </is>
      </c>
      <c r="H81" s="25">
        <f>IFERROR(IF(INDEX('Faculties'!$P$10:$P$30,MATCH($F81,'Faculties'!$B$10:$B$30,0))="","Cell will autofill based on response",INDEX('Faculties'!$P$10:$P$30,MATCH($F81,'Faculties'!$B$10:$B$30,0))),"N/A")</f>
        <v/>
      </c>
      <c r="I81" s="25">
        <f>IFERROR(IF(INDEX('Faculties'!$P$37:$P$57,MATCH($F81,'Faculties'!$B$37:$B$57,0))="","Cell will autofill based on response",INDEX('Faculties'!$P$37:$P$57,MATCH($F81,'Faculties'!$B$37:$B$57,0))),"N/A")</f>
        <v/>
      </c>
      <c r="J81" s="25">
        <f>IFERROR(IF(INDEX('Faculties'!$P$64:$P$84,MATCH($F81,'Faculties'!$B$64:$B$84,0))="","Cell will autofill based on response",INDEX('Faculties'!$P$64:$P$84,MATCH($F81,'Faculties'!$B$64:$B$84,0))),"N/A")</f>
        <v/>
      </c>
      <c r="K81" s="25">
        <f>IFERROR(IF(INDEX('Faculties'!$P$91:$P$111,MATCH($F81,'Faculties'!$B$91:$B$111,0))="","Cell will autofill based on response",INDEX('Faculties'!$P$91:$P$111,MATCH($F81,'Faculties'!$B$91:$B$111,0))),"N/A")</f>
        <v/>
      </c>
      <c r="L81" s="25">
        <f>IFERROR(IF(INDEX('CI&amp;S'!$P$10:$P$15,MATCH($F81,'CI&amp;S'!$B$10:$B$15,0))="","Cell will autofill based on response",INDEX('CI&amp;S'!$P$10:$P$15,MATCH($F81,'CI&amp;S'!$B$10:$B$15,0))),"N/A")</f>
        <v/>
      </c>
      <c r="M81" s="25">
        <f>IFERROR(IF(INDEX('CI&amp;S'!$P$22:$P$39,MATCH($F81,'CI&amp;S'!$B$22:$B$39,0))="","Cell will autofill based on response",INDEX('CI&amp;S'!$P$22:$P$39,MATCH($F81,'CI&amp;S'!$B$22:$B$39,0))),"N/A")</f>
        <v/>
      </c>
      <c r="N81" s="25">
        <f>IFERROR(IF(INDEX('CFOG'!$P$10:$P$16,MATCH($F81,'CFOG'!$B$10:$B$16,0))="","Cell will autofill based on response",INDEX('CFOG'!$P$10:$P$16,MATCH($F81,'CFOG'!$B$10:$B$16,0))),"N/A")</f>
        <v/>
      </c>
      <c r="O81" s="25">
        <f>IFERROR(IF(INDEX('CFOG'!$P$23:$P$24,MATCH($F81,'CFOG'!$B$23:$B$24,0))="","Cell will autofill based on response",INDEX('CFOG'!$P$23:$P$24,MATCH($F81,'CFOG'!$B$23:$B$24,0))),"N/A")</f>
        <v/>
      </c>
      <c r="P81" s="25">
        <f>IFERROR(IF(INDEX('ESG'!$P$10:$P$17,MATCH($F81,'ESG'!$B$10:$B$17,0))="","Cell will autofill based on response",INDEX('ESG'!$P$10:$P$17,MATCH($F81,'ESG'!$B$10:$B$17,0))),"N/A")</f>
        <v/>
      </c>
      <c r="Q81" s="25">
        <f>IFERROR(IF(INDEX('CIOG'!$P$10:$P$14,MATCH($F81,'CIOG'!$B$10:$B$14,0))="","Cell will autofill based on response",INDEX('CIOG'!$P$10:$P$14,MATCH($F81,'CIOG'!$B$10:$B$14,0))),"N/A")</f>
        <v/>
      </c>
      <c r="R81" s="25">
        <f>IFERROR(IF(INDEX('MRE'!$P$10:$P$12,MATCH($F81,'MRE'!$B$10:$B$12,0))="","Cell will autofill based on response",INDEX('MRE'!$P$10:$P$12,MATCH($F81,'MRE'!$B$10:$B$12,0))),"N/A")</f>
        <v/>
      </c>
      <c r="S81" s="25">
        <f>IFERROR(IF(INDEX('L&amp;R'!$P$10:$P$11,MATCH($F81,'L&amp;R'!$B$10:$B$11,0))="","Cell will autofill based on response",INDEX('L&amp;R'!$P$10:$P$11,MATCH($F81,'L&amp;R'!$B$10:$B$11,0))),"N/A")</f>
        <v/>
      </c>
    </row>
    <row r="82">
      <c r="A82">
        <f>F82&amp;"|"&amp;G82</f>
        <v/>
      </c>
      <c r="B82" s="29" t="inlineStr"/>
      <c r="C82" s="8" t="inlineStr"/>
      <c r="D82" s="8" t="inlineStr"/>
      <c r="E82" s="8" t="inlineStr"/>
      <c r="F82" s="8" t="inlineStr">
        <is>
          <t>TR2(d)</t>
        </is>
      </c>
      <c r="G82" s="8" t="inlineStr">
        <is>
          <t>Data owner confirms</t>
        </is>
      </c>
      <c r="H82" s="25">
        <f>IFERROR(IF(INDEX('Faculties'!$Q$10:$Q$30,MATCH($F82,'Faculties'!$B$10:$B$30,0))="","Cell will autofill based on response",INDEX('Faculties'!$Q$10:$Q$30,MATCH($F82,'Faculties'!$B$10:$B$30,0))),"N/A")</f>
        <v/>
      </c>
      <c r="I82" s="25">
        <f>IFERROR(IF(INDEX('Faculties'!$Q$37:$Q$57,MATCH($F82,'Faculties'!$B$37:$B$57,0))="","Cell will autofill based on response",INDEX('Faculties'!$Q$37:$Q$57,MATCH($F82,'Faculties'!$B$37:$B$57,0))),"N/A")</f>
        <v/>
      </c>
      <c r="J82" s="25">
        <f>IFERROR(IF(INDEX('Faculties'!$Q$64:$Q$84,MATCH($F82,'Faculties'!$B$64:$B$84,0))="","Cell will autofill based on response",INDEX('Faculties'!$Q$64:$Q$84,MATCH($F82,'Faculties'!$B$64:$B$84,0))),"N/A")</f>
        <v/>
      </c>
      <c r="K82" s="25">
        <f>IFERROR(IF(INDEX('Faculties'!$Q$91:$Q$111,MATCH($F82,'Faculties'!$B$91:$B$111,0))="","Cell will autofill based on response",INDEX('Faculties'!$Q$91:$Q$111,MATCH($F82,'Faculties'!$B$91:$B$111,0))),"N/A")</f>
        <v/>
      </c>
      <c r="L82" s="25">
        <f>IFERROR(IF(INDEX('CI&amp;S'!$Q$10:$Q$15,MATCH($F82,'CI&amp;S'!$B$10:$B$15,0))="","Cell will autofill based on response",INDEX('CI&amp;S'!$Q$10:$Q$15,MATCH($F82,'CI&amp;S'!$B$10:$B$15,0))),"N/A")</f>
        <v/>
      </c>
      <c r="M82" s="25">
        <f>IFERROR(IF(INDEX('CI&amp;S'!$Q$22:$Q$39,MATCH($F82,'CI&amp;S'!$B$22:$B$39,0))="","Cell will autofill based on response",INDEX('CI&amp;S'!$Q$22:$Q$39,MATCH($F82,'CI&amp;S'!$B$22:$B$39,0))),"N/A")</f>
        <v/>
      </c>
      <c r="N82" s="25">
        <f>IFERROR(IF(INDEX('CFOG'!$Q$10:$Q$16,MATCH($F82,'CFOG'!$B$10:$B$16,0))="","Cell will autofill based on response",INDEX('CFOG'!$Q$10:$Q$16,MATCH($F82,'CFOG'!$B$10:$B$16,0))),"N/A")</f>
        <v/>
      </c>
      <c r="O82" s="25">
        <f>IFERROR(IF(INDEX('CFOG'!$Q$23:$Q$24,MATCH($F82,'CFOG'!$B$23:$B$24,0))="","Cell will autofill based on response",INDEX('CFOG'!$Q$23:$Q$24,MATCH($F82,'CFOG'!$B$23:$B$24,0))),"N/A")</f>
        <v/>
      </c>
      <c r="P82" s="25">
        <f>IFERROR(IF(INDEX('ESG'!$Q$10:$Q$17,MATCH($F82,'ESG'!$B$10:$B$17,0))="","Cell will autofill based on response",INDEX('ESG'!$Q$10:$Q$17,MATCH($F82,'ESG'!$B$10:$B$17,0))),"N/A")</f>
        <v/>
      </c>
      <c r="Q82" s="25">
        <f>IFERROR(IF(INDEX('CIOG'!$Q$10:$Q$14,MATCH($F82,'CIOG'!$B$10:$B$14,0))="","Cell will autofill based on response",INDEX('CIOG'!$Q$10:$Q$14,MATCH($F82,'CIOG'!$B$10:$B$14,0))),"N/A")</f>
        <v/>
      </c>
      <c r="R82" s="25">
        <f>IFERROR(IF(INDEX('MRE'!$Q$10:$Q$12,MATCH($F82,'MRE'!$B$10:$B$12,0))="","Cell will autofill based on response",INDEX('MRE'!$Q$10:$Q$12,MATCH($F82,'MRE'!$B$10:$B$12,0))),"N/A")</f>
        <v/>
      </c>
      <c r="S82" s="25">
        <f>IFERROR(IF(INDEX('L&amp;R'!$Q$10:$Q$11,MATCH($F82,'L&amp;R'!$B$10:$B$11,0))="","Cell will autofill based on response",INDEX('L&amp;R'!$Q$10:$Q$11,MATCH($F82,'L&amp;R'!$B$10:$B$11,0))),"N/A")</f>
        <v/>
      </c>
    </row>
    <row r="83">
      <c r="A83">
        <f>F83&amp;"|"&amp;G83</f>
        <v/>
      </c>
      <c r="B83" s="7" t="inlineStr">
        <is>
          <t>TR3(a)</t>
        </is>
      </c>
      <c r="C83" s="12" t="inlineStr">
        <is>
          <t>Transformational research</t>
        </is>
      </c>
      <c r="D83" s="12" t="inlineStr">
        <is>
          <t>Evidence that sustainability considerations are integrated into relevant research systems, planning processes, guidance, training, induction or support services</t>
        </is>
      </c>
      <c r="E83" s="12" t="inlineStr">
        <is>
          <t>Please describe how sustainability considerations are integrated into research systems, planning processes, guidance, training, induction or support services within your Faculty/Portfolio, could include examples of any new or improved processes.</t>
        </is>
      </c>
      <c r="F83" s="12" t="inlineStr">
        <is>
          <t>TR3(a)</t>
        </is>
      </c>
      <c r="G83" s="12" t="inlineStr">
        <is>
          <t>Confirm end-2026 target status</t>
        </is>
      </c>
      <c r="H83" s="25">
        <f>IFERROR(IF(INDEX('Faculties'!$L$10:$L$30,MATCH($F83,'Faculties'!$B$10:$B$30,0))="","Cell will autofill based on response",INDEX('Faculties'!$L$10:$L$30,MATCH($F83,'Faculties'!$B$10:$B$30,0))),"N/A")</f>
        <v/>
      </c>
      <c r="I83" s="25">
        <f>IFERROR(IF(INDEX('Faculties'!$L$37:$L$57,MATCH($F83,'Faculties'!$B$37:$B$57,0))="","Cell will autofill based on response",INDEX('Faculties'!$L$37:$L$57,MATCH($F83,'Faculties'!$B$37:$B$57,0))),"N/A")</f>
        <v/>
      </c>
      <c r="J83" s="25">
        <f>IFERROR(IF(INDEX('Faculties'!$L$64:$L$84,MATCH($F83,'Faculties'!$B$64:$B$84,0))="","Cell will autofill based on response",INDEX('Faculties'!$L$64:$L$84,MATCH($F83,'Faculties'!$B$64:$B$84,0))),"N/A")</f>
        <v/>
      </c>
      <c r="K83" s="25">
        <f>IFERROR(IF(INDEX('Faculties'!$L$91:$L$111,MATCH($F83,'Faculties'!$B$91:$B$111,0))="","Cell will autofill based on response",INDEX('Faculties'!$L$91:$L$111,MATCH($F83,'Faculties'!$B$91:$B$111,0))),"N/A")</f>
        <v/>
      </c>
      <c r="L83" s="25">
        <f>IFERROR(IF(INDEX('CI&amp;S'!$L$10:$L$15,MATCH($F83,'CI&amp;S'!$B$10:$B$15,0))="","Cell will autofill based on response",INDEX('CI&amp;S'!$L$10:$L$15,MATCH($F83,'CI&amp;S'!$B$10:$B$15,0))),"N/A")</f>
        <v/>
      </c>
      <c r="M83" s="25">
        <f>IFERROR(IF(INDEX('CI&amp;S'!$L$22:$L$39,MATCH($F83,'CI&amp;S'!$B$22:$B$39,0))="","Cell will autofill based on response",INDEX('CI&amp;S'!$L$22:$L$39,MATCH($F83,'CI&amp;S'!$B$22:$B$39,0))),"N/A")</f>
        <v/>
      </c>
      <c r="N83" s="25">
        <f>IFERROR(IF(INDEX('CFOG'!$L$10:$L$16,MATCH($F83,'CFOG'!$B$10:$B$16,0))="","Cell will autofill based on response",INDEX('CFOG'!$L$10:$L$16,MATCH($F83,'CFOG'!$B$10:$B$16,0))),"N/A")</f>
        <v/>
      </c>
      <c r="O83" s="25">
        <f>IFERROR(IF(INDEX('CFOG'!$L$23:$L$24,MATCH($F83,'CFOG'!$B$23:$B$24,0))="","Cell will autofill based on response",INDEX('CFOG'!$L$23:$L$24,MATCH($F83,'CFOG'!$B$23:$B$24,0))),"N/A")</f>
        <v/>
      </c>
      <c r="P83" s="25">
        <f>IFERROR(IF(INDEX('ESG'!$L$10:$L$17,MATCH($F83,'ESG'!$B$10:$B$17,0))="","Cell will autofill based on response",INDEX('ESG'!$L$10:$L$17,MATCH($F83,'ESG'!$B$10:$B$17,0))),"N/A")</f>
        <v/>
      </c>
      <c r="Q83" s="25">
        <f>IFERROR(IF(INDEX('CIOG'!$L$10:$L$14,MATCH($F83,'CIOG'!$B$10:$B$14,0))="","Cell will autofill based on response",INDEX('CIOG'!$L$10:$L$14,MATCH($F83,'CIOG'!$B$10:$B$14,0))),"N/A")</f>
        <v/>
      </c>
      <c r="R83" s="25">
        <f>IFERROR(IF(INDEX('MRE'!$L$10:$L$12,MATCH($F83,'MRE'!$B$10:$B$12,0))="","Cell will autofill based on response",INDEX('MRE'!$L$10:$L$12,MATCH($F83,'MRE'!$B$10:$B$12,0))),"N/A")</f>
        <v/>
      </c>
      <c r="S83" s="25">
        <f>IFERROR(IF(INDEX('L&amp;R'!$L$10:$L$11,MATCH($F83,'L&amp;R'!$B$10:$B$11,0))="","Cell will autofill based on response",INDEX('L&amp;R'!$L$10:$L$11,MATCH($F83,'L&amp;R'!$B$10:$B$11,0))),"N/A")</f>
        <v/>
      </c>
      <c r="U83" s="26">
        <f>COUNTIF($H83:$S83,"Cell will autofill based on response")</f>
        <v/>
      </c>
      <c r="V83" s="26">
        <f>COUNTIF($H83:$S83,"Not yet started")</f>
        <v/>
      </c>
      <c r="W83" s="26">
        <f>COUNTIF($H83:$S83,"Not met")</f>
        <v/>
      </c>
      <c r="X83" s="26">
        <f>COUNTIF($H83:$S83,"Partially met")</f>
        <v/>
      </c>
      <c r="Y83" s="26">
        <f>COUNTIF($H83:$S83,"Met or exceeded")</f>
        <v/>
      </c>
      <c r="Z83" s="26">
        <f>3*Y83+2*X83+W83</f>
        <v/>
      </c>
      <c r="AA83" s="26">
        <f>Y83+X83+W83+V83</f>
        <v/>
      </c>
      <c r="AB83" s="27">
        <f>IF(AA83&gt;0,Z83/AA83,"No valid responses to date")</f>
        <v/>
      </c>
      <c r="AC83" s="26">
        <f>IF(ISNUMBER(AB83),INDEX(Lists!$G$2:$G$5,MATCH(ROUND(AB83,0),Lists!$H$2:$H$5,0)),"")</f>
        <v/>
      </c>
      <c r="AD83" s="28">
        <f>IF(AA83&gt;0,Y83/AA83,"")</f>
        <v/>
      </c>
      <c r="AE83" s="28">
        <f>IF(AA83&gt;0,(Y83+X83)/AA83,"")</f>
        <v/>
      </c>
      <c r="AF83" s="26">
        <f>IF(AA83=0,"",IF(AD83&gt;0.75,"Met or exceeded",IF(AE83&gt;=0.5,"Partially met","Not met")))</f>
        <v/>
      </c>
    </row>
    <row r="84">
      <c r="A84">
        <f>F84&amp;"|"&amp;G84</f>
        <v/>
      </c>
      <c r="B84" s="29" t="inlineStr"/>
      <c r="C84" s="8" t="inlineStr"/>
      <c r="D84" s="8" t="inlineStr"/>
      <c r="E84" s="8" t="inlineStr"/>
      <c r="F84" s="8" t="inlineStr">
        <is>
          <t>TR3(a)</t>
        </is>
      </c>
      <c r="G84" s="8" t="inlineStr">
        <is>
          <t>OPTION 1:  Target-level reporting</t>
        </is>
      </c>
      <c r="H84" s="25">
        <f>IFERROR(IF(INDEX('Faculties'!$M$10:$M$30,MATCH($F84,'Faculties'!$B$10:$B$30,0))="","Cell will autofill based on response",INDEX('Faculties'!$M$10:$M$30,MATCH($F84,'Faculties'!$B$10:$B$30,0))),"N/A")</f>
        <v/>
      </c>
      <c r="I84" s="25">
        <f>IFERROR(IF(INDEX('Faculties'!$M$37:$M$57,MATCH($F84,'Faculties'!$B$37:$B$57,0))="","Cell will autofill based on response",INDEX('Faculties'!$M$37:$M$57,MATCH($F84,'Faculties'!$B$37:$B$57,0))),"N/A")</f>
        <v/>
      </c>
      <c r="J84" s="25">
        <f>IFERROR(IF(INDEX('Faculties'!$M$64:$M$84,MATCH($F84,'Faculties'!$B$64:$B$84,0))="","Cell will autofill based on response",INDEX('Faculties'!$M$64:$M$84,MATCH($F84,'Faculties'!$B$64:$B$84,0))),"N/A")</f>
        <v/>
      </c>
      <c r="K84" s="25">
        <f>IFERROR(IF(INDEX('Faculties'!$M$91:$M$111,MATCH($F84,'Faculties'!$B$91:$B$111,0))="","Cell will autofill based on response",INDEX('Faculties'!$M$91:$M$111,MATCH($F84,'Faculties'!$B$91:$B$111,0))),"N/A")</f>
        <v/>
      </c>
      <c r="L84" s="25">
        <f>IFERROR(IF(INDEX('CI&amp;S'!$M$10:$M$15,MATCH($F84,'CI&amp;S'!$B$10:$B$15,0))="","Cell will autofill based on response",INDEX('CI&amp;S'!$M$10:$M$15,MATCH($F84,'CI&amp;S'!$B$10:$B$15,0))),"N/A")</f>
        <v/>
      </c>
      <c r="M84" s="25">
        <f>IFERROR(IF(INDEX('CI&amp;S'!$M$22:$M$39,MATCH($F84,'CI&amp;S'!$B$22:$B$39,0))="","Cell will autofill based on response",INDEX('CI&amp;S'!$M$22:$M$39,MATCH($F84,'CI&amp;S'!$B$22:$B$39,0))),"N/A")</f>
        <v/>
      </c>
      <c r="N84" s="25">
        <f>IFERROR(IF(INDEX('CFOG'!$M$10:$M$16,MATCH($F84,'CFOG'!$B$10:$B$16,0))="","Cell will autofill based on response",INDEX('CFOG'!$M$10:$M$16,MATCH($F84,'CFOG'!$B$10:$B$16,0))),"N/A")</f>
        <v/>
      </c>
      <c r="O84" s="25">
        <f>IFERROR(IF(INDEX('CFOG'!$M$23:$M$24,MATCH($F84,'CFOG'!$B$23:$B$24,0))="","Cell will autofill based on response",INDEX('CFOG'!$M$23:$M$24,MATCH($F84,'CFOG'!$B$23:$B$24,0))),"N/A")</f>
        <v/>
      </c>
      <c r="P84" s="25">
        <f>IFERROR(IF(INDEX('ESG'!$M$10:$M$17,MATCH($F84,'ESG'!$B$10:$B$17,0))="","Cell will autofill based on response",INDEX('ESG'!$M$10:$M$17,MATCH($F84,'ESG'!$B$10:$B$17,0))),"N/A")</f>
        <v/>
      </c>
      <c r="Q84" s="25">
        <f>IFERROR(IF(INDEX('CIOG'!$M$10:$M$14,MATCH($F84,'CIOG'!$B$10:$B$14,0))="","Cell will autofill based on response",INDEX('CIOG'!$M$10:$M$14,MATCH($F84,'CIOG'!$B$10:$B$14,0))),"N/A")</f>
        <v/>
      </c>
      <c r="R84" s="25">
        <f>IFERROR(IF(INDEX('MRE'!$M$10:$M$12,MATCH($F84,'MRE'!$B$10:$B$12,0))="","Cell will autofill based on response",INDEX('MRE'!$M$10:$M$12,MATCH($F84,'MRE'!$B$10:$B$12,0))),"N/A")</f>
        <v/>
      </c>
      <c r="S84" s="25">
        <f>IFERROR(IF(INDEX('L&amp;R'!$M$10:$M$11,MATCH($F84,'L&amp;R'!$B$10:$B$11,0))="","Cell will autofill based on response",INDEX('L&amp;R'!$M$10:$M$11,MATCH($F84,'L&amp;R'!$B$10:$B$11,0))),"N/A")</f>
        <v/>
      </c>
    </row>
    <row r="85">
      <c r="A85">
        <f>F85&amp;"|"&amp;G85</f>
        <v/>
      </c>
      <c r="B85" s="29" t="inlineStr"/>
      <c r="C85" s="8" t="inlineStr"/>
      <c r="D85" s="8" t="inlineStr"/>
      <c r="E85" s="8" t="inlineStr"/>
      <c r="F85" s="8" t="inlineStr">
        <is>
          <t>TR3(a)</t>
        </is>
      </c>
      <c r="G85" s="8" t="inlineStr">
        <is>
          <t>OPTION 2:  Indicator level reporting</t>
        </is>
      </c>
      <c r="H85" s="25">
        <f>IFERROR(IF(INDEX('Faculties'!$N$10:$N$30,MATCH($F85,'Faculties'!$B$10:$B$30,0))="","Cell will autofill based on response",INDEX('Faculties'!$N$10:$N$30,MATCH($F85,'Faculties'!$B$10:$B$30,0))),"N/A")</f>
        <v/>
      </c>
      <c r="I85" s="25">
        <f>IFERROR(IF(INDEX('Faculties'!$N$37:$N$57,MATCH($F85,'Faculties'!$B$37:$B$57,0))="","Cell will autofill based on response",INDEX('Faculties'!$N$37:$N$57,MATCH($F85,'Faculties'!$B$37:$B$57,0))),"N/A")</f>
        <v/>
      </c>
      <c r="J85" s="25">
        <f>IFERROR(IF(INDEX('Faculties'!$N$64:$N$84,MATCH($F85,'Faculties'!$B$64:$B$84,0))="","Cell will autofill based on response",INDEX('Faculties'!$N$64:$N$84,MATCH($F85,'Faculties'!$B$64:$B$84,0))),"N/A")</f>
        <v/>
      </c>
      <c r="K85" s="25">
        <f>IFERROR(IF(INDEX('Faculties'!$N$91:$N$111,MATCH($F85,'Faculties'!$B$91:$B$111,0))="","Cell will autofill based on response",INDEX('Faculties'!$N$91:$N$111,MATCH($F85,'Faculties'!$B$91:$B$111,0))),"N/A")</f>
        <v/>
      </c>
      <c r="L85" s="25">
        <f>IFERROR(IF(INDEX('CI&amp;S'!$N$10:$N$15,MATCH($F85,'CI&amp;S'!$B$10:$B$15,0))="","Cell will autofill based on response",INDEX('CI&amp;S'!$N$10:$N$15,MATCH($F85,'CI&amp;S'!$B$10:$B$15,0))),"N/A")</f>
        <v/>
      </c>
      <c r="M85" s="25">
        <f>IFERROR(IF(INDEX('CI&amp;S'!$N$22:$N$39,MATCH($F85,'CI&amp;S'!$B$22:$B$39,0))="","Cell will autofill based on response",INDEX('CI&amp;S'!$N$22:$N$39,MATCH($F85,'CI&amp;S'!$B$22:$B$39,0))),"N/A")</f>
        <v/>
      </c>
      <c r="N85" s="25">
        <f>IFERROR(IF(INDEX('CFOG'!$N$10:$N$16,MATCH($F85,'CFOG'!$B$10:$B$16,0))="","Cell will autofill based on response",INDEX('CFOG'!$N$10:$N$16,MATCH($F85,'CFOG'!$B$10:$B$16,0))),"N/A")</f>
        <v/>
      </c>
      <c r="O85" s="25">
        <f>IFERROR(IF(INDEX('CFOG'!$N$23:$N$24,MATCH($F85,'CFOG'!$B$23:$B$24,0))="","Cell will autofill based on response",INDEX('CFOG'!$N$23:$N$24,MATCH($F85,'CFOG'!$B$23:$B$24,0))),"N/A")</f>
        <v/>
      </c>
      <c r="P85" s="25">
        <f>IFERROR(IF(INDEX('ESG'!$N$10:$N$17,MATCH($F85,'ESG'!$B$10:$B$17,0))="","Cell will autofill based on response",INDEX('ESG'!$N$10:$N$17,MATCH($F85,'ESG'!$B$10:$B$17,0))),"N/A")</f>
        <v/>
      </c>
      <c r="Q85" s="25">
        <f>IFERROR(IF(INDEX('CIOG'!$N$10:$N$14,MATCH($F85,'CIOG'!$B$10:$B$14,0))="","Cell will autofill based on response",INDEX('CIOG'!$N$10:$N$14,MATCH($F85,'CIOG'!$B$10:$B$14,0))),"N/A")</f>
        <v/>
      </c>
      <c r="R85" s="25">
        <f>IFERROR(IF(INDEX('MRE'!$N$10:$N$12,MATCH($F85,'MRE'!$B$10:$B$12,0))="","Cell will autofill based on response",INDEX('MRE'!$N$10:$N$12,MATCH($F85,'MRE'!$B$10:$B$12,0))),"N/A")</f>
        <v/>
      </c>
      <c r="S85" s="25">
        <f>IFERROR(IF(INDEX('L&amp;R'!$N$10:$N$11,MATCH($F85,'L&amp;R'!$B$10:$B$11,0))="","Cell will autofill based on response",INDEX('L&amp;R'!$N$10:$N$11,MATCH($F85,'L&amp;R'!$B$10:$B$11,0))),"N/A")</f>
        <v/>
      </c>
    </row>
    <row r="86">
      <c r="A86">
        <f>F86&amp;"|"&amp;G86</f>
        <v/>
      </c>
      <c r="B86" s="29" t="inlineStr"/>
      <c r="C86" s="8" t="inlineStr"/>
      <c r="D86" s="8" t="inlineStr"/>
      <c r="E86" s="8" t="inlineStr"/>
      <c r="F86" s="8" t="inlineStr">
        <is>
          <t>TR3(a)</t>
        </is>
      </c>
      <c r="G86" s="8" t="inlineStr">
        <is>
          <t>Supporting information/comments</t>
        </is>
      </c>
      <c r="H86" s="25">
        <f>IFERROR(IF(INDEX('Faculties'!$O$10:$O$30,MATCH($F86,'Faculties'!$B$10:$B$30,0))="","Cell will autofill based on response",INDEX('Faculties'!$O$10:$O$30,MATCH($F86,'Faculties'!$B$10:$B$30,0))),"N/A")</f>
        <v/>
      </c>
      <c r="I86" s="25">
        <f>IFERROR(IF(INDEX('Faculties'!$O$37:$O$57,MATCH($F86,'Faculties'!$B$37:$B$57,0))="","Cell will autofill based on response",INDEX('Faculties'!$O$37:$O$57,MATCH($F86,'Faculties'!$B$37:$B$57,0))),"N/A")</f>
        <v/>
      </c>
      <c r="J86" s="25">
        <f>IFERROR(IF(INDEX('Faculties'!$O$64:$O$84,MATCH($F86,'Faculties'!$B$64:$B$84,0))="","Cell will autofill based on response",INDEX('Faculties'!$O$64:$O$84,MATCH($F86,'Faculties'!$B$64:$B$84,0))),"N/A")</f>
        <v/>
      </c>
      <c r="K86" s="25">
        <f>IFERROR(IF(INDEX('Faculties'!$O$91:$O$111,MATCH($F86,'Faculties'!$B$91:$B$111,0))="","Cell will autofill based on response",INDEX('Faculties'!$O$91:$O$111,MATCH($F86,'Faculties'!$B$91:$B$111,0))),"N/A")</f>
        <v/>
      </c>
      <c r="L86" s="25">
        <f>IFERROR(IF(INDEX('CI&amp;S'!$O$10:$O$15,MATCH($F86,'CI&amp;S'!$B$10:$B$15,0))="","Cell will autofill based on response",INDEX('CI&amp;S'!$O$10:$O$15,MATCH($F86,'CI&amp;S'!$B$10:$B$15,0))),"N/A")</f>
        <v/>
      </c>
      <c r="M86" s="25">
        <f>IFERROR(IF(INDEX('CI&amp;S'!$O$22:$O$39,MATCH($F86,'CI&amp;S'!$B$22:$B$39,0))="","Cell will autofill based on response",INDEX('CI&amp;S'!$O$22:$O$39,MATCH($F86,'CI&amp;S'!$B$22:$B$39,0))),"N/A")</f>
        <v/>
      </c>
      <c r="N86" s="25">
        <f>IFERROR(IF(INDEX('CFOG'!$O$10:$O$16,MATCH($F86,'CFOG'!$B$10:$B$16,0))="","Cell will autofill based on response",INDEX('CFOG'!$O$10:$O$16,MATCH($F86,'CFOG'!$B$10:$B$16,0))),"N/A")</f>
        <v/>
      </c>
      <c r="O86" s="25">
        <f>IFERROR(IF(INDEX('CFOG'!$O$23:$O$24,MATCH($F86,'CFOG'!$B$23:$B$24,0))="","Cell will autofill based on response",INDEX('CFOG'!$O$23:$O$24,MATCH($F86,'CFOG'!$B$23:$B$24,0))),"N/A")</f>
        <v/>
      </c>
      <c r="P86" s="25">
        <f>IFERROR(IF(INDEX('ESG'!$O$10:$O$17,MATCH($F86,'ESG'!$B$10:$B$17,0))="","Cell will autofill based on response",INDEX('ESG'!$O$10:$O$17,MATCH($F86,'ESG'!$B$10:$B$17,0))),"N/A")</f>
        <v/>
      </c>
      <c r="Q86" s="25">
        <f>IFERROR(IF(INDEX('CIOG'!$O$10:$O$14,MATCH($F86,'CIOG'!$B$10:$B$14,0))="","Cell will autofill based on response",INDEX('CIOG'!$O$10:$O$14,MATCH($F86,'CIOG'!$B$10:$B$14,0))),"N/A")</f>
        <v/>
      </c>
      <c r="R86" s="25">
        <f>IFERROR(IF(INDEX('MRE'!$O$10:$O$12,MATCH($F86,'MRE'!$B$10:$B$12,0))="","Cell will autofill based on response",INDEX('MRE'!$O$10:$O$12,MATCH($F86,'MRE'!$B$10:$B$12,0))),"N/A")</f>
        <v/>
      </c>
      <c r="S86" s="25">
        <f>IFERROR(IF(INDEX('L&amp;R'!$O$10:$O$11,MATCH($F86,'L&amp;R'!$B$10:$B$11,0))="","Cell will autofill based on response",INDEX('L&amp;R'!$O$10:$O$11,MATCH($F86,'L&amp;R'!$B$10:$B$11,0))),"N/A")</f>
        <v/>
      </c>
    </row>
    <row r="87">
      <c r="A87">
        <f>F87&amp;"|"&amp;G87</f>
        <v/>
      </c>
      <c r="B87" s="29" t="inlineStr"/>
      <c r="C87" s="8" t="inlineStr"/>
      <c r="D87" s="8" t="inlineStr"/>
      <c r="E87" s="8" t="inlineStr"/>
      <c r="F87" s="8" t="inlineStr">
        <is>
          <t>TR3(a)</t>
        </is>
      </c>
      <c r="G87" s="8" t="inlineStr">
        <is>
          <t>Data source and limitations</t>
        </is>
      </c>
      <c r="H87" s="25">
        <f>IFERROR(IF(INDEX('Faculties'!$P$10:$P$30,MATCH($F87,'Faculties'!$B$10:$B$30,0))="","Cell will autofill based on response",INDEX('Faculties'!$P$10:$P$30,MATCH($F87,'Faculties'!$B$10:$B$30,0))),"N/A")</f>
        <v/>
      </c>
      <c r="I87" s="25">
        <f>IFERROR(IF(INDEX('Faculties'!$P$37:$P$57,MATCH($F87,'Faculties'!$B$37:$B$57,0))="","Cell will autofill based on response",INDEX('Faculties'!$P$37:$P$57,MATCH($F87,'Faculties'!$B$37:$B$57,0))),"N/A")</f>
        <v/>
      </c>
      <c r="J87" s="25">
        <f>IFERROR(IF(INDEX('Faculties'!$P$64:$P$84,MATCH($F87,'Faculties'!$B$64:$B$84,0))="","Cell will autofill based on response",INDEX('Faculties'!$P$64:$P$84,MATCH($F87,'Faculties'!$B$64:$B$84,0))),"N/A")</f>
        <v/>
      </c>
      <c r="K87" s="25">
        <f>IFERROR(IF(INDEX('Faculties'!$P$91:$P$111,MATCH($F87,'Faculties'!$B$91:$B$111,0))="","Cell will autofill based on response",INDEX('Faculties'!$P$91:$P$111,MATCH($F87,'Faculties'!$B$91:$B$111,0))),"N/A")</f>
        <v/>
      </c>
      <c r="L87" s="25">
        <f>IFERROR(IF(INDEX('CI&amp;S'!$P$10:$P$15,MATCH($F87,'CI&amp;S'!$B$10:$B$15,0))="","Cell will autofill based on response",INDEX('CI&amp;S'!$P$10:$P$15,MATCH($F87,'CI&amp;S'!$B$10:$B$15,0))),"N/A")</f>
        <v/>
      </c>
      <c r="M87" s="25">
        <f>IFERROR(IF(INDEX('CI&amp;S'!$P$22:$P$39,MATCH($F87,'CI&amp;S'!$B$22:$B$39,0))="","Cell will autofill based on response",INDEX('CI&amp;S'!$P$22:$P$39,MATCH($F87,'CI&amp;S'!$B$22:$B$39,0))),"N/A")</f>
        <v/>
      </c>
      <c r="N87" s="25">
        <f>IFERROR(IF(INDEX('CFOG'!$P$10:$P$16,MATCH($F87,'CFOG'!$B$10:$B$16,0))="","Cell will autofill based on response",INDEX('CFOG'!$P$10:$P$16,MATCH($F87,'CFOG'!$B$10:$B$16,0))),"N/A")</f>
        <v/>
      </c>
      <c r="O87" s="25">
        <f>IFERROR(IF(INDEX('CFOG'!$P$23:$P$24,MATCH($F87,'CFOG'!$B$23:$B$24,0))="","Cell will autofill based on response",INDEX('CFOG'!$P$23:$P$24,MATCH($F87,'CFOG'!$B$23:$B$24,0))),"N/A")</f>
        <v/>
      </c>
      <c r="P87" s="25">
        <f>IFERROR(IF(INDEX('ESG'!$P$10:$P$17,MATCH($F87,'ESG'!$B$10:$B$17,0))="","Cell will autofill based on response",INDEX('ESG'!$P$10:$P$17,MATCH($F87,'ESG'!$B$10:$B$17,0))),"N/A")</f>
        <v/>
      </c>
      <c r="Q87" s="25">
        <f>IFERROR(IF(INDEX('CIOG'!$P$10:$P$14,MATCH($F87,'CIOG'!$B$10:$B$14,0))="","Cell will autofill based on response",INDEX('CIOG'!$P$10:$P$14,MATCH($F87,'CIOG'!$B$10:$B$14,0))),"N/A")</f>
        <v/>
      </c>
      <c r="R87" s="25">
        <f>IFERROR(IF(INDEX('MRE'!$P$10:$P$12,MATCH($F87,'MRE'!$B$10:$B$12,0))="","Cell will autofill based on response",INDEX('MRE'!$P$10:$P$12,MATCH($F87,'MRE'!$B$10:$B$12,0))),"N/A")</f>
        <v/>
      </c>
      <c r="S87" s="25">
        <f>IFERROR(IF(INDEX('L&amp;R'!$P$10:$P$11,MATCH($F87,'L&amp;R'!$B$10:$B$11,0))="","Cell will autofill based on response",INDEX('L&amp;R'!$P$10:$P$11,MATCH($F87,'L&amp;R'!$B$10:$B$11,0))),"N/A")</f>
        <v/>
      </c>
    </row>
    <row r="88">
      <c r="A88">
        <f>F88&amp;"|"&amp;G88</f>
        <v/>
      </c>
      <c r="B88" s="29" t="inlineStr"/>
      <c r="C88" s="8" t="inlineStr"/>
      <c r="D88" s="8" t="inlineStr"/>
      <c r="E88" s="8" t="inlineStr"/>
      <c r="F88" s="8" t="inlineStr">
        <is>
          <t>TR3(a)</t>
        </is>
      </c>
      <c r="G88" s="8" t="inlineStr">
        <is>
          <t>Data owner confirms</t>
        </is>
      </c>
      <c r="H88" s="25">
        <f>IFERROR(IF(INDEX('Faculties'!$Q$10:$Q$30,MATCH($F88,'Faculties'!$B$10:$B$30,0))="","Cell will autofill based on response",INDEX('Faculties'!$Q$10:$Q$30,MATCH($F88,'Faculties'!$B$10:$B$30,0))),"N/A")</f>
        <v/>
      </c>
      <c r="I88" s="25">
        <f>IFERROR(IF(INDEX('Faculties'!$Q$37:$Q$57,MATCH($F88,'Faculties'!$B$37:$B$57,0))="","Cell will autofill based on response",INDEX('Faculties'!$Q$37:$Q$57,MATCH($F88,'Faculties'!$B$37:$B$57,0))),"N/A")</f>
        <v/>
      </c>
      <c r="J88" s="25">
        <f>IFERROR(IF(INDEX('Faculties'!$Q$64:$Q$84,MATCH($F88,'Faculties'!$B$64:$B$84,0))="","Cell will autofill based on response",INDEX('Faculties'!$Q$64:$Q$84,MATCH($F88,'Faculties'!$B$64:$B$84,0))),"N/A")</f>
        <v/>
      </c>
      <c r="K88" s="25">
        <f>IFERROR(IF(INDEX('Faculties'!$Q$91:$Q$111,MATCH($F88,'Faculties'!$B$91:$B$111,0))="","Cell will autofill based on response",INDEX('Faculties'!$Q$91:$Q$111,MATCH($F88,'Faculties'!$B$91:$B$111,0))),"N/A")</f>
        <v/>
      </c>
      <c r="L88" s="25">
        <f>IFERROR(IF(INDEX('CI&amp;S'!$Q$10:$Q$15,MATCH($F88,'CI&amp;S'!$B$10:$B$15,0))="","Cell will autofill based on response",INDEX('CI&amp;S'!$Q$10:$Q$15,MATCH($F88,'CI&amp;S'!$B$10:$B$15,0))),"N/A")</f>
        <v/>
      </c>
      <c r="M88" s="25">
        <f>IFERROR(IF(INDEX('CI&amp;S'!$Q$22:$Q$39,MATCH($F88,'CI&amp;S'!$B$22:$B$39,0))="","Cell will autofill based on response",INDEX('CI&amp;S'!$Q$22:$Q$39,MATCH($F88,'CI&amp;S'!$B$22:$B$39,0))),"N/A")</f>
        <v/>
      </c>
      <c r="N88" s="25">
        <f>IFERROR(IF(INDEX('CFOG'!$Q$10:$Q$16,MATCH($F88,'CFOG'!$B$10:$B$16,0))="","Cell will autofill based on response",INDEX('CFOG'!$Q$10:$Q$16,MATCH($F88,'CFOG'!$B$10:$B$16,0))),"N/A")</f>
        <v/>
      </c>
      <c r="O88" s="25">
        <f>IFERROR(IF(INDEX('CFOG'!$Q$23:$Q$24,MATCH($F88,'CFOG'!$B$23:$B$24,0))="","Cell will autofill based on response",INDEX('CFOG'!$Q$23:$Q$24,MATCH($F88,'CFOG'!$B$23:$B$24,0))),"N/A")</f>
        <v/>
      </c>
      <c r="P88" s="25">
        <f>IFERROR(IF(INDEX('ESG'!$Q$10:$Q$17,MATCH($F88,'ESG'!$B$10:$B$17,0))="","Cell will autofill based on response",INDEX('ESG'!$Q$10:$Q$17,MATCH($F88,'ESG'!$B$10:$B$17,0))),"N/A")</f>
        <v/>
      </c>
      <c r="Q88" s="25">
        <f>IFERROR(IF(INDEX('CIOG'!$Q$10:$Q$14,MATCH($F88,'CIOG'!$B$10:$B$14,0))="","Cell will autofill based on response",INDEX('CIOG'!$Q$10:$Q$14,MATCH($F88,'CIOG'!$B$10:$B$14,0))),"N/A")</f>
        <v/>
      </c>
      <c r="R88" s="25">
        <f>IFERROR(IF(INDEX('MRE'!$Q$10:$Q$12,MATCH($F88,'MRE'!$B$10:$B$12,0))="","Cell will autofill based on response",INDEX('MRE'!$Q$10:$Q$12,MATCH($F88,'MRE'!$B$10:$B$12,0))),"N/A")</f>
        <v/>
      </c>
      <c r="S88" s="25">
        <f>IFERROR(IF(INDEX('L&amp;R'!$Q$10:$Q$11,MATCH($F88,'L&amp;R'!$B$10:$B$11,0))="","Cell will autofill based on response",INDEX('L&amp;R'!$Q$10:$Q$11,MATCH($F88,'L&amp;R'!$B$10:$B$11,0))),"N/A")</f>
        <v/>
      </c>
    </row>
    <row r="89">
      <c r="A89">
        <f>F89&amp;"|"&amp;G89</f>
        <v/>
      </c>
      <c r="B89" s="7" t="inlineStr">
        <is>
          <t>TR3(b)</t>
        </is>
      </c>
      <c r="C89" s="12" t="inlineStr">
        <is>
          <t>Transformational research</t>
        </is>
      </c>
      <c r="D89" s="12" t="inlineStr">
        <is>
          <t>Demonstrated examples of more sustainable research practices in laboratories, fieldwork, procurement, travel or infrastructure use</t>
        </is>
      </c>
      <c r="E89" s="12" t="inlineStr">
        <is>
          <t>Please describe any efforts within your Faculty/Portfolio to make research practices more sustainable, could include examples from laboratories, fieldwork, procurement, research travel or infrastructure use. Where available, provide evidence of uptake, resource savings, emissions reductions or other outcomes.</t>
        </is>
      </c>
      <c r="F89" s="12" t="inlineStr">
        <is>
          <t>TR3(b)</t>
        </is>
      </c>
      <c r="G89" s="12" t="inlineStr">
        <is>
          <t>Confirm end-2026 target status</t>
        </is>
      </c>
      <c r="H89" s="25">
        <f>IFERROR(IF(INDEX('Faculties'!$L$10:$L$30,MATCH($F89,'Faculties'!$B$10:$B$30,0))="","Cell will autofill based on response",INDEX('Faculties'!$L$10:$L$30,MATCH($F89,'Faculties'!$B$10:$B$30,0))),"N/A")</f>
        <v/>
      </c>
      <c r="I89" s="25">
        <f>IFERROR(IF(INDEX('Faculties'!$L$37:$L$57,MATCH($F89,'Faculties'!$B$37:$B$57,0))="","Cell will autofill based on response",INDEX('Faculties'!$L$37:$L$57,MATCH($F89,'Faculties'!$B$37:$B$57,0))),"N/A")</f>
        <v/>
      </c>
      <c r="J89" s="25">
        <f>IFERROR(IF(INDEX('Faculties'!$L$64:$L$84,MATCH($F89,'Faculties'!$B$64:$B$84,0))="","Cell will autofill based on response",INDEX('Faculties'!$L$64:$L$84,MATCH($F89,'Faculties'!$B$64:$B$84,0))),"N/A")</f>
        <v/>
      </c>
      <c r="K89" s="25">
        <f>IFERROR(IF(INDEX('Faculties'!$L$91:$L$111,MATCH($F89,'Faculties'!$B$91:$B$111,0))="","Cell will autofill based on response",INDEX('Faculties'!$L$91:$L$111,MATCH($F89,'Faculties'!$B$91:$B$111,0))),"N/A")</f>
        <v/>
      </c>
      <c r="L89" s="25">
        <f>IFERROR(IF(INDEX('CI&amp;S'!$L$10:$L$15,MATCH($F89,'CI&amp;S'!$B$10:$B$15,0))="","Cell will autofill based on response",INDEX('CI&amp;S'!$L$10:$L$15,MATCH($F89,'CI&amp;S'!$B$10:$B$15,0))),"N/A")</f>
        <v/>
      </c>
      <c r="M89" s="25">
        <f>IFERROR(IF(INDEX('CI&amp;S'!$L$22:$L$39,MATCH($F89,'CI&amp;S'!$B$22:$B$39,0))="","Cell will autofill based on response",INDEX('CI&amp;S'!$L$22:$L$39,MATCH($F89,'CI&amp;S'!$B$22:$B$39,0))),"N/A")</f>
        <v/>
      </c>
      <c r="N89" s="25">
        <f>IFERROR(IF(INDEX('CFOG'!$L$10:$L$16,MATCH($F89,'CFOG'!$B$10:$B$16,0))="","Cell will autofill based on response",INDEX('CFOG'!$L$10:$L$16,MATCH($F89,'CFOG'!$B$10:$B$16,0))),"N/A")</f>
        <v/>
      </c>
      <c r="O89" s="25">
        <f>IFERROR(IF(INDEX('CFOG'!$L$23:$L$24,MATCH($F89,'CFOG'!$B$23:$B$24,0))="","Cell will autofill based on response",INDEX('CFOG'!$L$23:$L$24,MATCH($F89,'CFOG'!$B$23:$B$24,0))),"N/A")</f>
        <v/>
      </c>
      <c r="P89" s="25">
        <f>IFERROR(IF(INDEX('ESG'!$L$10:$L$17,MATCH($F89,'ESG'!$B$10:$B$17,0))="","Cell will autofill based on response",INDEX('ESG'!$L$10:$L$17,MATCH($F89,'ESG'!$B$10:$B$17,0))),"N/A")</f>
        <v/>
      </c>
      <c r="Q89" s="25">
        <f>IFERROR(IF(INDEX('CIOG'!$L$10:$L$14,MATCH($F89,'CIOG'!$B$10:$B$14,0))="","Cell will autofill based on response",INDEX('CIOG'!$L$10:$L$14,MATCH($F89,'CIOG'!$B$10:$B$14,0))),"N/A")</f>
        <v/>
      </c>
      <c r="R89" s="25">
        <f>IFERROR(IF(INDEX('MRE'!$L$10:$L$12,MATCH($F89,'MRE'!$B$10:$B$12,0))="","Cell will autofill based on response",INDEX('MRE'!$L$10:$L$12,MATCH($F89,'MRE'!$B$10:$B$12,0))),"N/A")</f>
        <v/>
      </c>
      <c r="S89" s="25">
        <f>IFERROR(IF(INDEX('L&amp;R'!$L$10:$L$11,MATCH($F89,'L&amp;R'!$B$10:$B$11,0))="","Cell will autofill based on response",INDEX('L&amp;R'!$L$10:$L$11,MATCH($F89,'L&amp;R'!$B$10:$B$11,0))),"N/A")</f>
        <v/>
      </c>
      <c r="U89" s="26">
        <f>COUNTIF($H89:$S89,"Cell will autofill based on response")</f>
        <v/>
      </c>
      <c r="V89" s="26">
        <f>COUNTIF($H89:$S89,"Not yet started")</f>
        <v/>
      </c>
      <c r="W89" s="26">
        <f>COUNTIF($H89:$S89,"Not met")</f>
        <v/>
      </c>
      <c r="X89" s="26">
        <f>COUNTIF($H89:$S89,"Partially met")</f>
        <v/>
      </c>
      <c r="Y89" s="26">
        <f>COUNTIF($H89:$S89,"Met or exceeded")</f>
        <v/>
      </c>
      <c r="Z89" s="26">
        <f>3*Y89+2*X89+W89</f>
        <v/>
      </c>
      <c r="AA89" s="26">
        <f>Y89+X89+W89+V89</f>
        <v/>
      </c>
      <c r="AB89" s="27">
        <f>IF(AA89&gt;0,Z89/AA89,"No valid responses to date")</f>
        <v/>
      </c>
      <c r="AC89" s="26">
        <f>IF(ISNUMBER(AB89),INDEX(Lists!$G$2:$G$5,MATCH(ROUND(AB89,0),Lists!$H$2:$H$5,0)),"")</f>
        <v/>
      </c>
      <c r="AD89" s="28">
        <f>IF(AA89&gt;0,Y89/AA89,"")</f>
        <v/>
      </c>
      <c r="AE89" s="28">
        <f>IF(AA89&gt;0,(Y89+X89)/AA89,"")</f>
        <v/>
      </c>
      <c r="AF89" s="26">
        <f>IF(AA89=0,"",IF(AD89&gt;0.75,"Met or exceeded",IF(AE89&gt;=0.5,"Partially met","Not met")))</f>
        <v/>
      </c>
    </row>
    <row r="90">
      <c r="A90">
        <f>F90&amp;"|"&amp;G90</f>
        <v/>
      </c>
      <c r="B90" s="29" t="inlineStr"/>
      <c r="C90" s="8" t="inlineStr"/>
      <c r="D90" s="8" t="inlineStr"/>
      <c r="E90" s="8" t="inlineStr"/>
      <c r="F90" s="8" t="inlineStr">
        <is>
          <t>TR3(b)</t>
        </is>
      </c>
      <c r="G90" s="8" t="inlineStr">
        <is>
          <t>OPTION 1:  Target-level reporting</t>
        </is>
      </c>
      <c r="H90" s="25">
        <f>IFERROR(IF(INDEX('Faculties'!$M$10:$M$30,MATCH($F90,'Faculties'!$B$10:$B$30,0))="","Cell will autofill based on response",INDEX('Faculties'!$M$10:$M$30,MATCH($F90,'Faculties'!$B$10:$B$30,0))),"N/A")</f>
        <v/>
      </c>
      <c r="I90" s="25">
        <f>IFERROR(IF(INDEX('Faculties'!$M$37:$M$57,MATCH($F90,'Faculties'!$B$37:$B$57,0))="","Cell will autofill based on response",INDEX('Faculties'!$M$37:$M$57,MATCH($F90,'Faculties'!$B$37:$B$57,0))),"N/A")</f>
        <v/>
      </c>
      <c r="J90" s="25">
        <f>IFERROR(IF(INDEX('Faculties'!$M$64:$M$84,MATCH($F90,'Faculties'!$B$64:$B$84,0))="","Cell will autofill based on response",INDEX('Faculties'!$M$64:$M$84,MATCH($F90,'Faculties'!$B$64:$B$84,0))),"N/A")</f>
        <v/>
      </c>
      <c r="K90" s="25">
        <f>IFERROR(IF(INDEX('Faculties'!$M$91:$M$111,MATCH($F90,'Faculties'!$B$91:$B$111,0))="","Cell will autofill based on response",INDEX('Faculties'!$M$91:$M$111,MATCH($F90,'Faculties'!$B$91:$B$111,0))),"N/A")</f>
        <v/>
      </c>
      <c r="L90" s="25">
        <f>IFERROR(IF(INDEX('CI&amp;S'!$M$10:$M$15,MATCH($F90,'CI&amp;S'!$B$10:$B$15,0))="","Cell will autofill based on response",INDEX('CI&amp;S'!$M$10:$M$15,MATCH($F90,'CI&amp;S'!$B$10:$B$15,0))),"N/A")</f>
        <v/>
      </c>
      <c r="M90" s="25">
        <f>IFERROR(IF(INDEX('CI&amp;S'!$M$22:$M$39,MATCH($F90,'CI&amp;S'!$B$22:$B$39,0))="","Cell will autofill based on response",INDEX('CI&amp;S'!$M$22:$M$39,MATCH($F90,'CI&amp;S'!$B$22:$B$39,0))),"N/A")</f>
        <v/>
      </c>
      <c r="N90" s="25">
        <f>IFERROR(IF(INDEX('CFOG'!$M$10:$M$16,MATCH($F90,'CFOG'!$B$10:$B$16,0))="","Cell will autofill based on response",INDEX('CFOG'!$M$10:$M$16,MATCH($F90,'CFOG'!$B$10:$B$16,0))),"N/A")</f>
        <v/>
      </c>
      <c r="O90" s="25">
        <f>IFERROR(IF(INDEX('CFOG'!$M$23:$M$24,MATCH($F90,'CFOG'!$B$23:$B$24,0))="","Cell will autofill based on response",INDEX('CFOG'!$M$23:$M$24,MATCH($F90,'CFOG'!$B$23:$B$24,0))),"N/A")</f>
        <v/>
      </c>
      <c r="P90" s="25">
        <f>IFERROR(IF(INDEX('ESG'!$M$10:$M$17,MATCH($F90,'ESG'!$B$10:$B$17,0))="","Cell will autofill based on response",INDEX('ESG'!$M$10:$M$17,MATCH($F90,'ESG'!$B$10:$B$17,0))),"N/A")</f>
        <v/>
      </c>
      <c r="Q90" s="25">
        <f>IFERROR(IF(INDEX('CIOG'!$M$10:$M$14,MATCH($F90,'CIOG'!$B$10:$B$14,0))="","Cell will autofill based on response",INDEX('CIOG'!$M$10:$M$14,MATCH($F90,'CIOG'!$B$10:$B$14,0))),"N/A")</f>
        <v/>
      </c>
      <c r="R90" s="25">
        <f>IFERROR(IF(INDEX('MRE'!$M$10:$M$12,MATCH($F90,'MRE'!$B$10:$B$12,0))="","Cell will autofill based on response",INDEX('MRE'!$M$10:$M$12,MATCH($F90,'MRE'!$B$10:$B$12,0))),"N/A")</f>
        <v/>
      </c>
      <c r="S90" s="25">
        <f>IFERROR(IF(INDEX('L&amp;R'!$M$10:$M$11,MATCH($F90,'L&amp;R'!$B$10:$B$11,0))="","Cell will autofill based on response",INDEX('L&amp;R'!$M$10:$M$11,MATCH($F90,'L&amp;R'!$B$10:$B$11,0))),"N/A")</f>
        <v/>
      </c>
    </row>
    <row r="91">
      <c r="A91">
        <f>F91&amp;"|"&amp;G91</f>
        <v/>
      </c>
      <c r="B91" s="29" t="inlineStr"/>
      <c r="C91" s="8" t="inlineStr"/>
      <c r="D91" s="8" t="inlineStr"/>
      <c r="E91" s="8" t="inlineStr"/>
      <c r="F91" s="8" t="inlineStr">
        <is>
          <t>TR3(b)</t>
        </is>
      </c>
      <c r="G91" s="8" t="inlineStr">
        <is>
          <t>OPTION 2:  Indicator level reporting</t>
        </is>
      </c>
      <c r="H91" s="25">
        <f>IFERROR(IF(INDEX('Faculties'!$N$10:$N$30,MATCH($F91,'Faculties'!$B$10:$B$30,0))="","Cell will autofill based on response",INDEX('Faculties'!$N$10:$N$30,MATCH($F91,'Faculties'!$B$10:$B$30,0))),"N/A")</f>
        <v/>
      </c>
      <c r="I91" s="25">
        <f>IFERROR(IF(INDEX('Faculties'!$N$37:$N$57,MATCH($F91,'Faculties'!$B$37:$B$57,0))="","Cell will autofill based on response",INDEX('Faculties'!$N$37:$N$57,MATCH($F91,'Faculties'!$B$37:$B$57,0))),"N/A")</f>
        <v/>
      </c>
      <c r="J91" s="25">
        <f>IFERROR(IF(INDEX('Faculties'!$N$64:$N$84,MATCH($F91,'Faculties'!$B$64:$B$84,0))="","Cell will autofill based on response",INDEX('Faculties'!$N$64:$N$84,MATCH($F91,'Faculties'!$B$64:$B$84,0))),"N/A")</f>
        <v/>
      </c>
      <c r="K91" s="25">
        <f>IFERROR(IF(INDEX('Faculties'!$N$91:$N$111,MATCH($F91,'Faculties'!$B$91:$B$111,0))="","Cell will autofill based on response",INDEX('Faculties'!$N$91:$N$111,MATCH($F91,'Faculties'!$B$91:$B$111,0))),"N/A")</f>
        <v/>
      </c>
      <c r="L91" s="25">
        <f>IFERROR(IF(INDEX('CI&amp;S'!$N$10:$N$15,MATCH($F91,'CI&amp;S'!$B$10:$B$15,0))="","Cell will autofill based on response",INDEX('CI&amp;S'!$N$10:$N$15,MATCH($F91,'CI&amp;S'!$B$10:$B$15,0))),"N/A")</f>
        <v/>
      </c>
      <c r="M91" s="25">
        <f>IFERROR(IF(INDEX('CI&amp;S'!$N$22:$N$39,MATCH($F91,'CI&amp;S'!$B$22:$B$39,0))="","Cell will autofill based on response",INDEX('CI&amp;S'!$N$22:$N$39,MATCH($F91,'CI&amp;S'!$B$22:$B$39,0))),"N/A")</f>
        <v/>
      </c>
      <c r="N91" s="25">
        <f>IFERROR(IF(INDEX('CFOG'!$N$10:$N$16,MATCH($F91,'CFOG'!$B$10:$B$16,0))="","Cell will autofill based on response",INDEX('CFOG'!$N$10:$N$16,MATCH($F91,'CFOG'!$B$10:$B$16,0))),"N/A")</f>
        <v/>
      </c>
      <c r="O91" s="25">
        <f>IFERROR(IF(INDEX('CFOG'!$N$23:$N$24,MATCH($F91,'CFOG'!$B$23:$B$24,0))="","Cell will autofill based on response",INDEX('CFOG'!$N$23:$N$24,MATCH($F91,'CFOG'!$B$23:$B$24,0))),"N/A")</f>
        <v/>
      </c>
      <c r="P91" s="25">
        <f>IFERROR(IF(INDEX('ESG'!$N$10:$N$17,MATCH($F91,'ESG'!$B$10:$B$17,0))="","Cell will autofill based on response",INDEX('ESG'!$N$10:$N$17,MATCH($F91,'ESG'!$B$10:$B$17,0))),"N/A")</f>
        <v/>
      </c>
      <c r="Q91" s="25">
        <f>IFERROR(IF(INDEX('CIOG'!$N$10:$N$14,MATCH($F91,'CIOG'!$B$10:$B$14,0))="","Cell will autofill based on response",INDEX('CIOG'!$N$10:$N$14,MATCH($F91,'CIOG'!$B$10:$B$14,0))),"N/A")</f>
        <v/>
      </c>
      <c r="R91" s="25">
        <f>IFERROR(IF(INDEX('MRE'!$N$10:$N$12,MATCH($F91,'MRE'!$B$10:$B$12,0))="","Cell will autofill based on response",INDEX('MRE'!$N$10:$N$12,MATCH($F91,'MRE'!$B$10:$B$12,0))),"N/A")</f>
        <v/>
      </c>
      <c r="S91" s="25">
        <f>IFERROR(IF(INDEX('L&amp;R'!$N$10:$N$11,MATCH($F91,'L&amp;R'!$B$10:$B$11,0))="","Cell will autofill based on response",INDEX('L&amp;R'!$N$10:$N$11,MATCH($F91,'L&amp;R'!$B$10:$B$11,0))),"N/A")</f>
        <v/>
      </c>
    </row>
    <row r="92">
      <c r="A92">
        <f>F92&amp;"|"&amp;G92</f>
        <v/>
      </c>
      <c r="B92" s="29" t="inlineStr"/>
      <c r="C92" s="8" t="inlineStr"/>
      <c r="D92" s="8" t="inlineStr"/>
      <c r="E92" s="8" t="inlineStr"/>
      <c r="F92" s="8" t="inlineStr">
        <is>
          <t>TR3(b)</t>
        </is>
      </c>
      <c r="G92" s="8" t="inlineStr">
        <is>
          <t>Supporting information/comments</t>
        </is>
      </c>
      <c r="H92" s="25">
        <f>IFERROR(IF(INDEX('Faculties'!$O$10:$O$30,MATCH($F92,'Faculties'!$B$10:$B$30,0))="","Cell will autofill based on response",INDEX('Faculties'!$O$10:$O$30,MATCH($F92,'Faculties'!$B$10:$B$30,0))),"N/A")</f>
        <v/>
      </c>
      <c r="I92" s="25">
        <f>IFERROR(IF(INDEX('Faculties'!$O$37:$O$57,MATCH($F92,'Faculties'!$B$37:$B$57,0))="","Cell will autofill based on response",INDEX('Faculties'!$O$37:$O$57,MATCH($F92,'Faculties'!$B$37:$B$57,0))),"N/A")</f>
        <v/>
      </c>
      <c r="J92" s="25">
        <f>IFERROR(IF(INDEX('Faculties'!$O$64:$O$84,MATCH($F92,'Faculties'!$B$64:$B$84,0))="","Cell will autofill based on response",INDEX('Faculties'!$O$64:$O$84,MATCH($F92,'Faculties'!$B$64:$B$84,0))),"N/A")</f>
        <v/>
      </c>
      <c r="K92" s="25">
        <f>IFERROR(IF(INDEX('Faculties'!$O$91:$O$111,MATCH($F92,'Faculties'!$B$91:$B$111,0))="","Cell will autofill based on response",INDEX('Faculties'!$O$91:$O$111,MATCH($F92,'Faculties'!$B$91:$B$111,0))),"N/A")</f>
        <v/>
      </c>
      <c r="L92" s="25">
        <f>IFERROR(IF(INDEX('CI&amp;S'!$O$10:$O$15,MATCH($F92,'CI&amp;S'!$B$10:$B$15,0))="","Cell will autofill based on response",INDEX('CI&amp;S'!$O$10:$O$15,MATCH($F92,'CI&amp;S'!$B$10:$B$15,0))),"N/A")</f>
        <v/>
      </c>
      <c r="M92" s="25">
        <f>IFERROR(IF(INDEX('CI&amp;S'!$O$22:$O$39,MATCH($F92,'CI&amp;S'!$B$22:$B$39,0))="","Cell will autofill based on response",INDEX('CI&amp;S'!$O$22:$O$39,MATCH($F92,'CI&amp;S'!$B$22:$B$39,0))),"N/A")</f>
        <v/>
      </c>
      <c r="N92" s="25">
        <f>IFERROR(IF(INDEX('CFOG'!$O$10:$O$16,MATCH($F92,'CFOG'!$B$10:$B$16,0))="","Cell will autofill based on response",INDEX('CFOG'!$O$10:$O$16,MATCH($F92,'CFOG'!$B$10:$B$16,0))),"N/A")</f>
        <v/>
      </c>
      <c r="O92" s="25">
        <f>IFERROR(IF(INDEX('CFOG'!$O$23:$O$24,MATCH($F92,'CFOG'!$B$23:$B$24,0))="","Cell will autofill based on response",INDEX('CFOG'!$O$23:$O$24,MATCH($F92,'CFOG'!$B$23:$B$24,0))),"N/A")</f>
        <v/>
      </c>
      <c r="P92" s="25">
        <f>IFERROR(IF(INDEX('ESG'!$O$10:$O$17,MATCH($F92,'ESG'!$B$10:$B$17,0))="","Cell will autofill based on response",INDEX('ESG'!$O$10:$O$17,MATCH($F92,'ESG'!$B$10:$B$17,0))),"N/A")</f>
        <v/>
      </c>
      <c r="Q92" s="25">
        <f>IFERROR(IF(INDEX('CIOG'!$O$10:$O$14,MATCH($F92,'CIOG'!$B$10:$B$14,0))="","Cell will autofill based on response",INDEX('CIOG'!$O$10:$O$14,MATCH($F92,'CIOG'!$B$10:$B$14,0))),"N/A")</f>
        <v/>
      </c>
      <c r="R92" s="25">
        <f>IFERROR(IF(INDEX('MRE'!$O$10:$O$12,MATCH($F92,'MRE'!$B$10:$B$12,0))="","Cell will autofill based on response",INDEX('MRE'!$O$10:$O$12,MATCH($F92,'MRE'!$B$10:$B$12,0))),"N/A")</f>
        <v/>
      </c>
      <c r="S92" s="25">
        <f>IFERROR(IF(INDEX('L&amp;R'!$O$10:$O$11,MATCH($F92,'L&amp;R'!$B$10:$B$11,0))="","Cell will autofill based on response",INDEX('L&amp;R'!$O$10:$O$11,MATCH($F92,'L&amp;R'!$B$10:$B$11,0))),"N/A")</f>
        <v/>
      </c>
    </row>
    <row r="93">
      <c r="A93">
        <f>F93&amp;"|"&amp;G93</f>
        <v/>
      </c>
      <c r="B93" s="29" t="inlineStr"/>
      <c r="C93" s="8" t="inlineStr"/>
      <c r="D93" s="8" t="inlineStr"/>
      <c r="E93" s="8" t="inlineStr"/>
      <c r="F93" s="8" t="inlineStr">
        <is>
          <t>TR3(b)</t>
        </is>
      </c>
      <c r="G93" s="8" t="inlineStr">
        <is>
          <t>Data source and limitations</t>
        </is>
      </c>
      <c r="H93" s="25">
        <f>IFERROR(IF(INDEX('Faculties'!$P$10:$P$30,MATCH($F93,'Faculties'!$B$10:$B$30,0))="","Cell will autofill based on response",INDEX('Faculties'!$P$10:$P$30,MATCH($F93,'Faculties'!$B$10:$B$30,0))),"N/A")</f>
        <v/>
      </c>
      <c r="I93" s="25">
        <f>IFERROR(IF(INDEX('Faculties'!$P$37:$P$57,MATCH($F93,'Faculties'!$B$37:$B$57,0))="","Cell will autofill based on response",INDEX('Faculties'!$P$37:$P$57,MATCH($F93,'Faculties'!$B$37:$B$57,0))),"N/A")</f>
        <v/>
      </c>
      <c r="J93" s="25">
        <f>IFERROR(IF(INDEX('Faculties'!$P$64:$P$84,MATCH($F93,'Faculties'!$B$64:$B$84,0))="","Cell will autofill based on response",INDEX('Faculties'!$P$64:$P$84,MATCH($F93,'Faculties'!$B$64:$B$84,0))),"N/A")</f>
        <v/>
      </c>
      <c r="K93" s="25">
        <f>IFERROR(IF(INDEX('Faculties'!$P$91:$P$111,MATCH($F93,'Faculties'!$B$91:$B$111,0))="","Cell will autofill based on response",INDEX('Faculties'!$P$91:$P$111,MATCH($F93,'Faculties'!$B$91:$B$111,0))),"N/A")</f>
        <v/>
      </c>
      <c r="L93" s="25">
        <f>IFERROR(IF(INDEX('CI&amp;S'!$P$10:$P$15,MATCH($F93,'CI&amp;S'!$B$10:$B$15,0))="","Cell will autofill based on response",INDEX('CI&amp;S'!$P$10:$P$15,MATCH($F93,'CI&amp;S'!$B$10:$B$15,0))),"N/A")</f>
        <v/>
      </c>
      <c r="M93" s="25">
        <f>IFERROR(IF(INDEX('CI&amp;S'!$P$22:$P$39,MATCH($F93,'CI&amp;S'!$B$22:$B$39,0))="","Cell will autofill based on response",INDEX('CI&amp;S'!$P$22:$P$39,MATCH($F93,'CI&amp;S'!$B$22:$B$39,0))),"N/A")</f>
        <v/>
      </c>
      <c r="N93" s="25">
        <f>IFERROR(IF(INDEX('CFOG'!$P$10:$P$16,MATCH($F93,'CFOG'!$B$10:$B$16,0))="","Cell will autofill based on response",INDEX('CFOG'!$P$10:$P$16,MATCH($F93,'CFOG'!$B$10:$B$16,0))),"N/A")</f>
        <v/>
      </c>
      <c r="O93" s="25">
        <f>IFERROR(IF(INDEX('CFOG'!$P$23:$P$24,MATCH($F93,'CFOG'!$B$23:$B$24,0))="","Cell will autofill based on response",INDEX('CFOG'!$P$23:$P$24,MATCH($F93,'CFOG'!$B$23:$B$24,0))),"N/A")</f>
        <v/>
      </c>
      <c r="P93" s="25">
        <f>IFERROR(IF(INDEX('ESG'!$P$10:$P$17,MATCH($F93,'ESG'!$B$10:$B$17,0))="","Cell will autofill based on response",INDEX('ESG'!$P$10:$P$17,MATCH($F93,'ESG'!$B$10:$B$17,0))),"N/A")</f>
        <v/>
      </c>
      <c r="Q93" s="25">
        <f>IFERROR(IF(INDEX('CIOG'!$P$10:$P$14,MATCH($F93,'CIOG'!$B$10:$B$14,0))="","Cell will autofill based on response",INDEX('CIOG'!$P$10:$P$14,MATCH($F93,'CIOG'!$B$10:$B$14,0))),"N/A")</f>
        <v/>
      </c>
      <c r="R93" s="25">
        <f>IFERROR(IF(INDEX('MRE'!$P$10:$P$12,MATCH($F93,'MRE'!$B$10:$B$12,0))="","Cell will autofill based on response",INDEX('MRE'!$P$10:$P$12,MATCH($F93,'MRE'!$B$10:$B$12,0))),"N/A")</f>
        <v/>
      </c>
      <c r="S93" s="25">
        <f>IFERROR(IF(INDEX('L&amp;R'!$P$10:$P$11,MATCH($F93,'L&amp;R'!$B$10:$B$11,0))="","Cell will autofill based on response",INDEX('L&amp;R'!$P$10:$P$11,MATCH($F93,'L&amp;R'!$B$10:$B$11,0))),"N/A")</f>
        <v/>
      </c>
    </row>
    <row r="94">
      <c r="A94">
        <f>F94&amp;"|"&amp;G94</f>
        <v/>
      </c>
      <c r="B94" s="29" t="inlineStr"/>
      <c r="C94" s="8" t="inlineStr"/>
      <c r="D94" s="8" t="inlineStr"/>
      <c r="E94" s="8" t="inlineStr"/>
      <c r="F94" s="8" t="inlineStr">
        <is>
          <t>TR3(b)</t>
        </is>
      </c>
      <c r="G94" s="8" t="inlineStr">
        <is>
          <t>Data owner confirms</t>
        </is>
      </c>
      <c r="H94" s="25">
        <f>IFERROR(IF(INDEX('Faculties'!$Q$10:$Q$30,MATCH($F94,'Faculties'!$B$10:$B$30,0))="","Cell will autofill based on response",INDEX('Faculties'!$Q$10:$Q$30,MATCH($F94,'Faculties'!$B$10:$B$30,0))),"N/A")</f>
        <v/>
      </c>
      <c r="I94" s="25">
        <f>IFERROR(IF(INDEX('Faculties'!$Q$37:$Q$57,MATCH($F94,'Faculties'!$B$37:$B$57,0))="","Cell will autofill based on response",INDEX('Faculties'!$Q$37:$Q$57,MATCH($F94,'Faculties'!$B$37:$B$57,0))),"N/A")</f>
        <v/>
      </c>
      <c r="J94" s="25">
        <f>IFERROR(IF(INDEX('Faculties'!$Q$64:$Q$84,MATCH($F94,'Faculties'!$B$64:$B$84,0))="","Cell will autofill based on response",INDEX('Faculties'!$Q$64:$Q$84,MATCH($F94,'Faculties'!$B$64:$B$84,0))),"N/A")</f>
        <v/>
      </c>
      <c r="K94" s="25">
        <f>IFERROR(IF(INDEX('Faculties'!$Q$91:$Q$111,MATCH($F94,'Faculties'!$B$91:$B$111,0))="","Cell will autofill based on response",INDEX('Faculties'!$Q$91:$Q$111,MATCH($F94,'Faculties'!$B$91:$B$111,0))),"N/A")</f>
        <v/>
      </c>
      <c r="L94" s="25">
        <f>IFERROR(IF(INDEX('CI&amp;S'!$Q$10:$Q$15,MATCH($F94,'CI&amp;S'!$B$10:$B$15,0))="","Cell will autofill based on response",INDEX('CI&amp;S'!$Q$10:$Q$15,MATCH($F94,'CI&amp;S'!$B$10:$B$15,0))),"N/A")</f>
        <v/>
      </c>
      <c r="M94" s="25">
        <f>IFERROR(IF(INDEX('CI&amp;S'!$Q$22:$Q$39,MATCH($F94,'CI&amp;S'!$B$22:$B$39,0))="","Cell will autofill based on response",INDEX('CI&amp;S'!$Q$22:$Q$39,MATCH($F94,'CI&amp;S'!$B$22:$B$39,0))),"N/A")</f>
        <v/>
      </c>
      <c r="N94" s="25">
        <f>IFERROR(IF(INDEX('CFOG'!$Q$10:$Q$16,MATCH($F94,'CFOG'!$B$10:$B$16,0))="","Cell will autofill based on response",INDEX('CFOG'!$Q$10:$Q$16,MATCH($F94,'CFOG'!$B$10:$B$16,0))),"N/A")</f>
        <v/>
      </c>
      <c r="O94" s="25">
        <f>IFERROR(IF(INDEX('CFOG'!$Q$23:$Q$24,MATCH($F94,'CFOG'!$B$23:$B$24,0))="","Cell will autofill based on response",INDEX('CFOG'!$Q$23:$Q$24,MATCH($F94,'CFOG'!$B$23:$B$24,0))),"N/A")</f>
        <v/>
      </c>
      <c r="P94" s="25">
        <f>IFERROR(IF(INDEX('ESG'!$Q$10:$Q$17,MATCH($F94,'ESG'!$B$10:$B$17,0))="","Cell will autofill based on response",INDEX('ESG'!$Q$10:$Q$17,MATCH($F94,'ESG'!$B$10:$B$17,0))),"N/A")</f>
        <v/>
      </c>
      <c r="Q94" s="25">
        <f>IFERROR(IF(INDEX('CIOG'!$Q$10:$Q$14,MATCH($F94,'CIOG'!$B$10:$B$14,0))="","Cell will autofill based on response",INDEX('CIOG'!$Q$10:$Q$14,MATCH($F94,'CIOG'!$B$10:$B$14,0))),"N/A")</f>
        <v/>
      </c>
      <c r="R94" s="25">
        <f>IFERROR(IF(INDEX('MRE'!$Q$10:$Q$12,MATCH($F94,'MRE'!$B$10:$B$12,0))="","Cell will autofill based on response",INDEX('MRE'!$Q$10:$Q$12,MATCH($F94,'MRE'!$B$10:$B$12,0))),"N/A")</f>
        <v/>
      </c>
      <c r="S94" s="25">
        <f>IFERROR(IF(INDEX('L&amp;R'!$Q$10:$Q$11,MATCH($F94,'L&amp;R'!$B$10:$B$11,0))="","Cell will autofill based on response",INDEX('L&amp;R'!$Q$10:$Q$11,MATCH($F94,'L&amp;R'!$B$10:$B$11,0))),"N/A")</f>
        <v/>
      </c>
    </row>
    <row r="95">
      <c r="A95">
        <f>F95&amp;"|"&amp;G95</f>
        <v/>
      </c>
      <c r="B95" s="7" t="inlineStr">
        <is>
          <t>TR3(c)</t>
        </is>
      </c>
      <c r="C95" s="12" t="inlineStr">
        <is>
          <t>Transformational research</t>
        </is>
      </c>
      <c r="D95" s="12" t="inlineStr">
        <is>
          <t>Evidence of progress in sustainability-related research culture, capability and awareness, informed by periodic staff and graduate researcher surveys</t>
        </is>
      </c>
      <c r="E95" s="12" t="inlineStr">
        <is>
          <t>Please provide evidence of progress in sustainability-related research culture, capability and awareness within your Faculty/Portfolio. This could include relevant staff and/or graduate researcher survey findings, participation in capability-building activities, or other indicators of change over time.</t>
        </is>
      </c>
      <c r="F95" s="12" t="inlineStr">
        <is>
          <t>TR3(c)</t>
        </is>
      </c>
      <c r="G95" s="12" t="inlineStr">
        <is>
          <t>Confirm end-2026 target status</t>
        </is>
      </c>
      <c r="H95" s="25">
        <f>IFERROR(IF(INDEX('Faculties'!$L$10:$L$30,MATCH($F95,'Faculties'!$B$10:$B$30,0))="","Cell will autofill based on response",INDEX('Faculties'!$L$10:$L$30,MATCH($F95,'Faculties'!$B$10:$B$30,0))),"N/A")</f>
        <v/>
      </c>
      <c r="I95" s="25">
        <f>IFERROR(IF(INDEX('Faculties'!$L$37:$L$57,MATCH($F95,'Faculties'!$B$37:$B$57,0))="","Cell will autofill based on response",INDEX('Faculties'!$L$37:$L$57,MATCH($F95,'Faculties'!$B$37:$B$57,0))),"N/A")</f>
        <v/>
      </c>
      <c r="J95" s="25">
        <f>IFERROR(IF(INDEX('Faculties'!$L$64:$L$84,MATCH($F95,'Faculties'!$B$64:$B$84,0))="","Cell will autofill based on response",INDEX('Faculties'!$L$64:$L$84,MATCH($F95,'Faculties'!$B$64:$B$84,0))),"N/A")</f>
        <v/>
      </c>
      <c r="K95" s="25">
        <f>IFERROR(IF(INDEX('Faculties'!$L$91:$L$111,MATCH($F95,'Faculties'!$B$91:$B$111,0))="","Cell will autofill based on response",INDEX('Faculties'!$L$91:$L$111,MATCH($F95,'Faculties'!$B$91:$B$111,0))),"N/A")</f>
        <v/>
      </c>
      <c r="L95" s="25">
        <f>IFERROR(IF(INDEX('CI&amp;S'!$L$10:$L$15,MATCH($F95,'CI&amp;S'!$B$10:$B$15,0))="","Cell will autofill based on response",INDEX('CI&amp;S'!$L$10:$L$15,MATCH($F95,'CI&amp;S'!$B$10:$B$15,0))),"N/A")</f>
        <v/>
      </c>
      <c r="M95" s="25">
        <f>IFERROR(IF(INDEX('CI&amp;S'!$L$22:$L$39,MATCH($F95,'CI&amp;S'!$B$22:$B$39,0))="","Cell will autofill based on response",INDEX('CI&amp;S'!$L$22:$L$39,MATCH($F95,'CI&amp;S'!$B$22:$B$39,0))),"N/A")</f>
        <v/>
      </c>
      <c r="N95" s="25">
        <f>IFERROR(IF(INDEX('CFOG'!$L$10:$L$16,MATCH($F95,'CFOG'!$B$10:$B$16,0))="","Cell will autofill based on response",INDEX('CFOG'!$L$10:$L$16,MATCH($F95,'CFOG'!$B$10:$B$16,0))),"N/A")</f>
        <v/>
      </c>
      <c r="O95" s="25">
        <f>IFERROR(IF(INDEX('CFOG'!$L$23:$L$24,MATCH($F95,'CFOG'!$B$23:$B$24,0))="","Cell will autofill based on response",INDEX('CFOG'!$L$23:$L$24,MATCH($F95,'CFOG'!$B$23:$B$24,0))),"N/A")</f>
        <v/>
      </c>
      <c r="P95" s="25">
        <f>IFERROR(IF(INDEX('ESG'!$L$10:$L$17,MATCH($F95,'ESG'!$B$10:$B$17,0))="","Cell will autofill based on response",INDEX('ESG'!$L$10:$L$17,MATCH($F95,'ESG'!$B$10:$B$17,0))),"N/A")</f>
        <v/>
      </c>
      <c r="Q95" s="25">
        <f>IFERROR(IF(INDEX('CIOG'!$L$10:$L$14,MATCH($F95,'CIOG'!$B$10:$B$14,0))="","Cell will autofill based on response",INDEX('CIOG'!$L$10:$L$14,MATCH($F95,'CIOG'!$B$10:$B$14,0))),"N/A")</f>
        <v/>
      </c>
      <c r="R95" s="25">
        <f>IFERROR(IF(INDEX('MRE'!$L$10:$L$12,MATCH($F95,'MRE'!$B$10:$B$12,0))="","Cell will autofill based on response",INDEX('MRE'!$L$10:$L$12,MATCH($F95,'MRE'!$B$10:$B$12,0))),"N/A")</f>
        <v/>
      </c>
      <c r="S95" s="25">
        <f>IFERROR(IF(INDEX('L&amp;R'!$L$10:$L$11,MATCH($F95,'L&amp;R'!$B$10:$B$11,0))="","Cell will autofill based on response",INDEX('L&amp;R'!$L$10:$L$11,MATCH($F95,'L&amp;R'!$B$10:$B$11,0))),"N/A")</f>
        <v/>
      </c>
      <c r="U95" s="26">
        <f>COUNTIF($H95:$S95,"Cell will autofill based on response")</f>
        <v/>
      </c>
      <c r="V95" s="26">
        <f>COUNTIF($H95:$S95,"Not yet started")</f>
        <v/>
      </c>
      <c r="W95" s="26">
        <f>COUNTIF($H95:$S95,"Not met")</f>
        <v/>
      </c>
      <c r="X95" s="26">
        <f>COUNTIF($H95:$S95,"Partially met")</f>
        <v/>
      </c>
      <c r="Y95" s="26">
        <f>COUNTIF($H95:$S95,"Met or exceeded")</f>
        <v/>
      </c>
      <c r="Z95" s="26">
        <f>3*Y95+2*X95+W95</f>
        <v/>
      </c>
      <c r="AA95" s="26">
        <f>Y95+X95+W95+V95</f>
        <v/>
      </c>
      <c r="AB95" s="27">
        <f>IF(AA95&gt;0,Z95/AA95,"No valid responses to date")</f>
        <v/>
      </c>
      <c r="AC95" s="26">
        <f>IF(ISNUMBER(AB95),INDEX(Lists!$G$2:$G$5,MATCH(ROUND(AB95,0),Lists!$H$2:$H$5,0)),"")</f>
        <v/>
      </c>
      <c r="AD95" s="28">
        <f>IF(AA95&gt;0,Y95/AA95,"")</f>
        <v/>
      </c>
      <c r="AE95" s="28">
        <f>IF(AA95&gt;0,(Y95+X95)/AA95,"")</f>
        <v/>
      </c>
      <c r="AF95" s="26">
        <f>IF(AA95=0,"",IF(AD95&gt;0.75,"Met or exceeded",IF(AE95&gt;=0.5,"Partially met","Not met")))</f>
        <v/>
      </c>
    </row>
    <row r="96">
      <c r="A96">
        <f>F96&amp;"|"&amp;G96</f>
        <v/>
      </c>
      <c r="B96" s="29" t="inlineStr"/>
      <c r="C96" s="8" t="inlineStr"/>
      <c r="D96" s="8" t="inlineStr"/>
      <c r="E96" s="8" t="inlineStr"/>
      <c r="F96" s="8" t="inlineStr">
        <is>
          <t>TR3(c)</t>
        </is>
      </c>
      <c r="G96" s="8" t="inlineStr">
        <is>
          <t>OPTION 1:  Target-level reporting</t>
        </is>
      </c>
      <c r="H96" s="25">
        <f>IFERROR(IF(INDEX('Faculties'!$M$10:$M$30,MATCH($F96,'Faculties'!$B$10:$B$30,0))="","Cell will autofill based on response",INDEX('Faculties'!$M$10:$M$30,MATCH($F96,'Faculties'!$B$10:$B$30,0))),"N/A")</f>
        <v/>
      </c>
      <c r="I96" s="25">
        <f>IFERROR(IF(INDEX('Faculties'!$M$37:$M$57,MATCH($F96,'Faculties'!$B$37:$B$57,0))="","Cell will autofill based on response",INDEX('Faculties'!$M$37:$M$57,MATCH($F96,'Faculties'!$B$37:$B$57,0))),"N/A")</f>
        <v/>
      </c>
      <c r="J96" s="25">
        <f>IFERROR(IF(INDEX('Faculties'!$M$64:$M$84,MATCH($F96,'Faculties'!$B$64:$B$84,0))="","Cell will autofill based on response",INDEX('Faculties'!$M$64:$M$84,MATCH($F96,'Faculties'!$B$64:$B$84,0))),"N/A")</f>
        <v/>
      </c>
      <c r="K96" s="25">
        <f>IFERROR(IF(INDEX('Faculties'!$M$91:$M$111,MATCH($F96,'Faculties'!$B$91:$B$111,0))="","Cell will autofill based on response",INDEX('Faculties'!$M$91:$M$111,MATCH($F96,'Faculties'!$B$91:$B$111,0))),"N/A")</f>
        <v/>
      </c>
      <c r="L96" s="25">
        <f>IFERROR(IF(INDEX('CI&amp;S'!$M$10:$M$15,MATCH($F96,'CI&amp;S'!$B$10:$B$15,0))="","Cell will autofill based on response",INDEX('CI&amp;S'!$M$10:$M$15,MATCH($F96,'CI&amp;S'!$B$10:$B$15,0))),"N/A")</f>
        <v/>
      </c>
      <c r="M96" s="25">
        <f>IFERROR(IF(INDEX('CI&amp;S'!$M$22:$M$39,MATCH($F96,'CI&amp;S'!$B$22:$B$39,0))="","Cell will autofill based on response",INDEX('CI&amp;S'!$M$22:$M$39,MATCH($F96,'CI&amp;S'!$B$22:$B$39,0))),"N/A")</f>
        <v/>
      </c>
      <c r="N96" s="25">
        <f>IFERROR(IF(INDEX('CFOG'!$M$10:$M$16,MATCH($F96,'CFOG'!$B$10:$B$16,0))="","Cell will autofill based on response",INDEX('CFOG'!$M$10:$M$16,MATCH($F96,'CFOG'!$B$10:$B$16,0))),"N/A")</f>
        <v/>
      </c>
      <c r="O96" s="25">
        <f>IFERROR(IF(INDEX('CFOG'!$M$23:$M$24,MATCH($F96,'CFOG'!$B$23:$B$24,0))="","Cell will autofill based on response",INDEX('CFOG'!$M$23:$M$24,MATCH($F96,'CFOG'!$B$23:$B$24,0))),"N/A")</f>
        <v/>
      </c>
      <c r="P96" s="25">
        <f>IFERROR(IF(INDEX('ESG'!$M$10:$M$17,MATCH($F96,'ESG'!$B$10:$B$17,0))="","Cell will autofill based on response",INDEX('ESG'!$M$10:$M$17,MATCH($F96,'ESG'!$B$10:$B$17,0))),"N/A")</f>
        <v/>
      </c>
      <c r="Q96" s="25">
        <f>IFERROR(IF(INDEX('CIOG'!$M$10:$M$14,MATCH($F96,'CIOG'!$B$10:$B$14,0))="","Cell will autofill based on response",INDEX('CIOG'!$M$10:$M$14,MATCH($F96,'CIOG'!$B$10:$B$14,0))),"N/A")</f>
        <v/>
      </c>
      <c r="R96" s="25">
        <f>IFERROR(IF(INDEX('MRE'!$M$10:$M$12,MATCH($F96,'MRE'!$B$10:$B$12,0))="","Cell will autofill based on response",INDEX('MRE'!$M$10:$M$12,MATCH($F96,'MRE'!$B$10:$B$12,0))),"N/A")</f>
        <v/>
      </c>
      <c r="S96" s="25">
        <f>IFERROR(IF(INDEX('L&amp;R'!$M$10:$M$11,MATCH($F96,'L&amp;R'!$B$10:$B$11,0))="","Cell will autofill based on response",INDEX('L&amp;R'!$M$10:$M$11,MATCH($F96,'L&amp;R'!$B$10:$B$11,0))),"N/A")</f>
        <v/>
      </c>
    </row>
    <row r="97">
      <c r="A97">
        <f>F97&amp;"|"&amp;G97</f>
        <v/>
      </c>
      <c r="B97" s="29" t="inlineStr"/>
      <c r="C97" s="8" t="inlineStr"/>
      <c r="D97" s="8" t="inlineStr"/>
      <c r="E97" s="8" t="inlineStr"/>
      <c r="F97" s="8" t="inlineStr">
        <is>
          <t>TR3(c)</t>
        </is>
      </c>
      <c r="G97" s="8" t="inlineStr">
        <is>
          <t>OPTION 2:  Indicator level reporting</t>
        </is>
      </c>
      <c r="H97" s="25">
        <f>IFERROR(IF(INDEX('Faculties'!$N$10:$N$30,MATCH($F97,'Faculties'!$B$10:$B$30,0))="","Cell will autofill based on response",INDEX('Faculties'!$N$10:$N$30,MATCH($F97,'Faculties'!$B$10:$B$30,0))),"N/A")</f>
        <v/>
      </c>
      <c r="I97" s="25">
        <f>IFERROR(IF(INDEX('Faculties'!$N$37:$N$57,MATCH($F97,'Faculties'!$B$37:$B$57,0))="","Cell will autofill based on response",INDEX('Faculties'!$N$37:$N$57,MATCH($F97,'Faculties'!$B$37:$B$57,0))),"N/A")</f>
        <v/>
      </c>
      <c r="J97" s="25">
        <f>IFERROR(IF(INDEX('Faculties'!$N$64:$N$84,MATCH($F97,'Faculties'!$B$64:$B$84,0))="","Cell will autofill based on response",INDEX('Faculties'!$N$64:$N$84,MATCH($F97,'Faculties'!$B$64:$B$84,0))),"N/A")</f>
        <v/>
      </c>
      <c r="K97" s="25">
        <f>IFERROR(IF(INDEX('Faculties'!$N$91:$N$111,MATCH($F97,'Faculties'!$B$91:$B$111,0))="","Cell will autofill based on response",INDEX('Faculties'!$N$91:$N$111,MATCH($F97,'Faculties'!$B$91:$B$111,0))),"N/A")</f>
        <v/>
      </c>
      <c r="L97" s="25">
        <f>IFERROR(IF(INDEX('CI&amp;S'!$N$10:$N$15,MATCH($F97,'CI&amp;S'!$B$10:$B$15,0))="","Cell will autofill based on response",INDEX('CI&amp;S'!$N$10:$N$15,MATCH($F97,'CI&amp;S'!$B$10:$B$15,0))),"N/A")</f>
        <v/>
      </c>
      <c r="M97" s="25">
        <f>IFERROR(IF(INDEX('CI&amp;S'!$N$22:$N$39,MATCH($F97,'CI&amp;S'!$B$22:$B$39,0))="","Cell will autofill based on response",INDEX('CI&amp;S'!$N$22:$N$39,MATCH($F97,'CI&amp;S'!$B$22:$B$39,0))),"N/A")</f>
        <v/>
      </c>
      <c r="N97" s="25">
        <f>IFERROR(IF(INDEX('CFOG'!$N$10:$N$16,MATCH($F97,'CFOG'!$B$10:$B$16,0))="","Cell will autofill based on response",INDEX('CFOG'!$N$10:$N$16,MATCH($F97,'CFOG'!$B$10:$B$16,0))),"N/A")</f>
        <v/>
      </c>
      <c r="O97" s="25">
        <f>IFERROR(IF(INDEX('CFOG'!$N$23:$N$24,MATCH($F97,'CFOG'!$B$23:$B$24,0))="","Cell will autofill based on response",INDEX('CFOG'!$N$23:$N$24,MATCH($F97,'CFOG'!$B$23:$B$24,0))),"N/A")</f>
        <v/>
      </c>
      <c r="P97" s="25">
        <f>IFERROR(IF(INDEX('ESG'!$N$10:$N$17,MATCH($F97,'ESG'!$B$10:$B$17,0))="","Cell will autofill based on response",INDEX('ESG'!$N$10:$N$17,MATCH($F97,'ESG'!$B$10:$B$17,0))),"N/A")</f>
        <v/>
      </c>
      <c r="Q97" s="25">
        <f>IFERROR(IF(INDEX('CIOG'!$N$10:$N$14,MATCH($F97,'CIOG'!$B$10:$B$14,0))="","Cell will autofill based on response",INDEX('CIOG'!$N$10:$N$14,MATCH($F97,'CIOG'!$B$10:$B$14,0))),"N/A")</f>
        <v/>
      </c>
      <c r="R97" s="25">
        <f>IFERROR(IF(INDEX('MRE'!$N$10:$N$12,MATCH($F97,'MRE'!$B$10:$B$12,0))="","Cell will autofill based on response",INDEX('MRE'!$N$10:$N$12,MATCH($F97,'MRE'!$B$10:$B$12,0))),"N/A")</f>
        <v/>
      </c>
      <c r="S97" s="25">
        <f>IFERROR(IF(INDEX('L&amp;R'!$N$10:$N$11,MATCH($F97,'L&amp;R'!$B$10:$B$11,0))="","Cell will autofill based on response",INDEX('L&amp;R'!$N$10:$N$11,MATCH($F97,'L&amp;R'!$B$10:$B$11,0))),"N/A")</f>
        <v/>
      </c>
    </row>
    <row r="98">
      <c r="A98">
        <f>F98&amp;"|"&amp;G98</f>
        <v/>
      </c>
      <c r="B98" s="29" t="inlineStr"/>
      <c r="C98" s="8" t="inlineStr"/>
      <c r="D98" s="8" t="inlineStr"/>
      <c r="E98" s="8" t="inlineStr"/>
      <c r="F98" s="8" t="inlineStr">
        <is>
          <t>TR3(c)</t>
        </is>
      </c>
      <c r="G98" s="8" t="inlineStr">
        <is>
          <t>Supporting information/comments</t>
        </is>
      </c>
      <c r="H98" s="25">
        <f>IFERROR(IF(INDEX('Faculties'!$O$10:$O$30,MATCH($F98,'Faculties'!$B$10:$B$30,0))="","Cell will autofill based on response",INDEX('Faculties'!$O$10:$O$30,MATCH($F98,'Faculties'!$B$10:$B$30,0))),"N/A")</f>
        <v/>
      </c>
      <c r="I98" s="25">
        <f>IFERROR(IF(INDEX('Faculties'!$O$37:$O$57,MATCH($F98,'Faculties'!$B$37:$B$57,0))="","Cell will autofill based on response",INDEX('Faculties'!$O$37:$O$57,MATCH($F98,'Faculties'!$B$37:$B$57,0))),"N/A")</f>
        <v/>
      </c>
      <c r="J98" s="25">
        <f>IFERROR(IF(INDEX('Faculties'!$O$64:$O$84,MATCH($F98,'Faculties'!$B$64:$B$84,0))="","Cell will autofill based on response",INDEX('Faculties'!$O$64:$O$84,MATCH($F98,'Faculties'!$B$64:$B$84,0))),"N/A")</f>
        <v/>
      </c>
      <c r="K98" s="25">
        <f>IFERROR(IF(INDEX('Faculties'!$O$91:$O$111,MATCH($F98,'Faculties'!$B$91:$B$111,0))="","Cell will autofill based on response",INDEX('Faculties'!$O$91:$O$111,MATCH($F98,'Faculties'!$B$91:$B$111,0))),"N/A")</f>
        <v/>
      </c>
      <c r="L98" s="25">
        <f>IFERROR(IF(INDEX('CI&amp;S'!$O$10:$O$15,MATCH($F98,'CI&amp;S'!$B$10:$B$15,0))="","Cell will autofill based on response",INDEX('CI&amp;S'!$O$10:$O$15,MATCH($F98,'CI&amp;S'!$B$10:$B$15,0))),"N/A")</f>
        <v/>
      </c>
      <c r="M98" s="25">
        <f>IFERROR(IF(INDEX('CI&amp;S'!$O$22:$O$39,MATCH($F98,'CI&amp;S'!$B$22:$B$39,0))="","Cell will autofill based on response",INDEX('CI&amp;S'!$O$22:$O$39,MATCH($F98,'CI&amp;S'!$B$22:$B$39,0))),"N/A")</f>
        <v/>
      </c>
      <c r="N98" s="25">
        <f>IFERROR(IF(INDEX('CFOG'!$O$10:$O$16,MATCH($F98,'CFOG'!$B$10:$B$16,0))="","Cell will autofill based on response",INDEX('CFOG'!$O$10:$O$16,MATCH($F98,'CFOG'!$B$10:$B$16,0))),"N/A")</f>
        <v/>
      </c>
      <c r="O98" s="25">
        <f>IFERROR(IF(INDEX('CFOG'!$O$23:$O$24,MATCH($F98,'CFOG'!$B$23:$B$24,0))="","Cell will autofill based on response",INDEX('CFOG'!$O$23:$O$24,MATCH($F98,'CFOG'!$B$23:$B$24,0))),"N/A")</f>
        <v/>
      </c>
      <c r="P98" s="25">
        <f>IFERROR(IF(INDEX('ESG'!$O$10:$O$17,MATCH($F98,'ESG'!$B$10:$B$17,0))="","Cell will autofill based on response",INDEX('ESG'!$O$10:$O$17,MATCH($F98,'ESG'!$B$10:$B$17,0))),"N/A")</f>
        <v/>
      </c>
      <c r="Q98" s="25">
        <f>IFERROR(IF(INDEX('CIOG'!$O$10:$O$14,MATCH($F98,'CIOG'!$B$10:$B$14,0))="","Cell will autofill based on response",INDEX('CIOG'!$O$10:$O$14,MATCH($F98,'CIOG'!$B$10:$B$14,0))),"N/A")</f>
        <v/>
      </c>
      <c r="R98" s="25">
        <f>IFERROR(IF(INDEX('MRE'!$O$10:$O$12,MATCH($F98,'MRE'!$B$10:$B$12,0))="","Cell will autofill based on response",INDEX('MRE'!$O$10:$O$12,MATCH($F98,'MRE'!$B$10:$B$12,0))),"N/A")</f>
        <v/>
      </c>
      <c r="S98" s="25">
        <f>IFERROR(IF(INDEX('L&amp;R'!$O$10:$O$11,MATCH($F98,'L&amp;R'!$B$10:$B$11,0))="","Cell will autofill based on response",INDEX('L&amp;R'!$O$10:$O$11,MATCH($F98,'L&amp;R'!$B$10:$B$11,0))),"N/A")</f>
        <v/>
      </c>
    </row>
    <row r="99">
      <c r="A99">
        <f>F99&amp;"|"&amp;G99</f>
        <v/>
      </c>
      <c r="B99" s="29" t="inlineStr"/>
      <c r="C99" s="8" t="inlineStr"/>
      <c r="D99" s="8" t="inlineStr"/>
      <c r="E99" s="8" t="inlineStr"/>
      <c r="F99" s="8" t="inlineStr">
        <is>
          <t>TR3(c)</t>
        </is>
      </c>
      <c r="G99" s="8" t="inlineStr">
        <is>
          <t>Data source and limitations</t>
        </is>
      </c>
      <c r="H99" s="25">
        <f>IFERROR(IF(INDEX('Faculties'!$P$10:$P$30,MATCH($F99,'Faculties'!$B$10:$B$30,0))="","Cell will autofill based on response",INDEX('Faculties'!$P$10:$P$30,MATCH($F99,'Faculties'!$B$10:$B$30,0))),"N/A")</f>
        <v/>
      </c>
      <c r="I99" s="25">
        <f>IFERROR(IF(INDEX('Faculties'!$P$37:$P$57,MATCH($F99,'Faculties'!$B$37:$B$57,0))="","Cell will autofill based on response",INDEX('Faculties'!$P$37:$P$57,MATCH($F99,'Faculties'!$B$37:$B$57,0))),"N/A")</f>
        <v/>
      </c>
      <c r="J99" s="25">
        <f>IFERROR(IF(INDEX('Faculties'!$P$64:$P$84,MATCH($F99,'Faculties'!$B$64:$B$84,0))="","Cell will autofill based on response",INDEX('Faculties'!$P$64:$P$84,MATCH($F99,'Faculties'!$B$64:$B$84,0))),"N/A")</f>
        <v/>
      </c>
      <c r="K99" s="25">
        <f>IFERROR(IF(INDEX('Faculties'!$P$91:$P$111,MATCH($F99,'Faculties'!$B$91:$B$111,0))="","Cell will autofill based on response",INDEX('Faculties'!$P$91:$P$111,MATCH($F99,'Faculties'!$B$91:$B$111,0))),"N/A")</f>
        <v/>
      </c>
      <c r="L99" s="25">
        <f>IFERROR(IF(INDEX('CI&amp;S'!$P$10:$P$15,MATCH($F99,'CI&amp;S'!$B$10:$B$15,0))="","Cell will autofill based on response",INDEX('CI&amp;S'!$P$10:$P$15,MATCH($F99,'CI&amp;S'!$B$10:$B$15,0))),"N/A")</f>
        <v/>
      </c>
      <c r="M99" s="25">
        <f>IFERROR(IF(INDEX('CI&amp;S'!$P$22:$P$39,MATCH($F99,'CI&amp;S'!$B$22:$B$39,0))="","Cell will autofill based on response",INDEX('CI&amp;S'!$P$22:$P$39,MATCH($F99,'CI&amp;S'!$B$22:$B$39,0))),"N/A")</f>
        <v/>
      </c>
      <c r="N99" s="25">
        <f>IFERROR(IF(INDEX('CFOG'!$P$10:$P$16,MATCH($F99,'CFOG'!$B$10:$B$16,0))="","Cell will autofill based on response",INDEX('CFOG'!$P$10:$P$16,MATCH($F99,'CFOG'!$B$10:$B$16,0))),"N/A")</f>
        <v/>
      </c>
      <c r="O99" s="25">
        <f>IFERROR(IF(INDEX('CFOG'!$P$23:$P$24,MATCH($F99,'CFOG'!$B$23:$B$24,0))="","Cell will autofill based on response",INDEX('CFOG'!$P$23:$P$24,MATCH($F99,'CFOG'!$B$23:$B$24,0))),"N/A")</f>
        <v/>
      </c>
      <c r="P99" s="25">
        <f>IFERROR(IF(INDEX('ESG'!$P$10:$P$17,MATCH($F99,'ESG'!$B$10:$B$17,0))="","Cell will autofill based on response",INDEX('ESG'!$P$10:$P$17,MATCH($F99,'ESG'!$B$10:$B$17,0))),"N/A")</f>
        <v/>
      </c>
      <c r="Q99" s="25">
        <f>IFERROR(IF(INDEX('CIOG'!$P$10:$P$14,MATCH($F99,'CIOG'!$B$10:$B$14,0))="","Cell will autofill based on response",INDEX('CIOG'!$P$10:$P$14,MATCH($F99,'CIOG'!$B$10:$B$14,0))),"N/A")</f>
        <v/>
      </c>
      <c r="R99" s="25">
        <f>IFERROR(IF(INDEX('MRE'!$P$10:$P$12,MATCH($F99,'MRE'!$B$10:$B$12,0))="","Cell will autofill based on response",INDEX('MRE'!$P$10:$P$12,MATCH($F99,'MRE'!$B$10:$B$12,0))),"N/A")</f>
        <v/>
      </c>
      <c r="S99" s="25">
        <f>IFERROR(IF(INDEX('L&amp;R'!$P$10:$P$11,MATCH($F99,'L&amp;R'!$B$10:$B$11,0))="","Cell will autofill based on response",INDEX('L&amp;R'!$P$10:$P$11,MATCH($F99,'L&amp;R'!$B$10:$B$11,0))),"N/A")</f>
        <v/>
      </c>
    </row>
    <row r="100">
      <c r="A100">
        <f>F100&amp;"|"&amp;G100</f>
        <v/>
      </c>
      <c r="B100" s="29" t="inlineStr"/>
      <c r="C100" s="8" t="inlineStr"/>
      <c r="D100" s="8" t="inlineStr"/>
      <c r="E100" s="8" t="inlineStr"/>
      <c r="F100" s="8" t="inlineStr">
        <is>
          <t>TR3(c)</t>
        </is>
      </c>
      <c r="G100" s="8" t="inlineStr">
        <is>
          <t>Data owner confirms</t>
        </is>
      </c>
      <c r="H100" s="25">
        <f>IFERROR(IF(INDEX('Faculties'!$Q$10:$Q$30,MATCH($F100,'Faculties'!$B$10:$B$30,0))="","Cell will autofill based on response",INDEX('Faculties'!$Q$10:$Q$30,MATCH($F100,'Faculties'!$B$10:$B$30,0))),"N/A")</f>
        <v/>
      </c>
      <c r="I100" s="25">
        <f>IFERROR(IF(INDEX('Faculties'!$Q$37:$Q$57,MATCH($F100,'Faculties'!$B$37:$B$57,0))="","Cell will autofill based on response",INDEX('Faculties'!$Q$37:$Q$57,MATCH($F100,'Faculties'!$B$37:$B$57,0))),"N/A")</f>
        <v/>
      </c>
      <c r="J100" s="25">
        <f>IFERROR(IF(INDEX('Faculties'!$Q$64:$Q$84,MATCH($F100,'Faculties'!$B$64:$B$84,0))="","Cell will autofill based on response",INDEX('Faculties'!$Q$64:$Q$84,MATCH($F100,'Faculties'!$B$64:$B$84,0))),"N/A")</f>
        <v/>
      </c>
      <c r="K100" s="25">
        <f>IFERROR(IF(INDEX('Faculties'!$Q$91:$Q$111,MATCH($F100,'Faculties'!$B$91:$B$111,0))="","Cell will autofill based on response",INDEX('Faculties'!$Q$91:$Q$111,MATCH($F100,'Faculties'!$B$91:$B$111,0))),"N/A")</f>
        <v/>
      </c>
      <c r="L100" s="25">
        <f>IFERROR(IF(INDEX('CI&amp;S'!$Q$10:$Q$15,MATCH($F100,'CI&amp;S'!$B$10:$B$15,0))="","Cell will autofill based on response",INDEX('CI&amp;S'!$Q$10:$Q$15,MATCH($F100,'CI&amp;S'!$B$10:$B$15,0))),"N/A")</f>
        <v/>
      </c>
      <c r="M100" s="25">
        <f>IFERROR(IF(INDEX('CI&amp;S'!$Q$22:$Q$39,MATCH($F100,'CI&amp;S'!$B$22:$B$39,0))="","Cell will autofill based on response",INDEX('CI&amp;S'!$Q$22:$Q$39,MATCH($F100,'CI&amp;S'!$B$22:$B$39,0))),"N/A")</f>
        <v/>
      </c>
      <c r="N100" s="25">
        <f>IFERROR(IF(INDEX('CFOG'!$Q$10:$Q$16,MATCH($F100,'CFOG'!$B$10:$B$16,0))="","Cell will autofill based on response",INDEX('CFOG'!$Q$10:$Q$16,MATCH($F100,'CFOG'!$B$10:$B$16,0))),"N/A")</f>
        <v/>
      </c>
      <c r="O100" s="25">
        <f>IFERROR(IF(INDEX('CFOG'!$Q$23:$Q$24,MATCH($F100,'CFOG'!$B$23:$B$24,0))="","Cell will autofill based on response",INDEX('CFOG'!$Q$23:$Q$24,MATCH($F100,'CFOG'!$B$23:$B$24,0))),"N/A")</f>
        <v/>
      </c>
      <c r="P100" s="25">
        <f>IFERROR(IF(INDEX('ESG'!$Q$10:$Q$17,MATCH($F100,'ESG'!$B$10:$B$17,0))="","Cell will autofill based on response",INDEX('ESG'!$Q$10:$Q$17,MATCH($F100,'ESG'!$B$10:$B$17,0))),"N/A")</f>
        <v/>
      </c>
      <c r="Q100" s="25">
        <f>IFERROR(IF(INDEX('CIOG'!$Q$10:$Q$14,MATCH($F100,'CIOG'!$B$10:$B$14,0))="","Cell will autofill based on response",INDEX('CIOG'!$Q$10:$Q$14,MATCH($F100,'CIOG'!$B$10:$B$14,0))),"N/A")</f>
        <v/>
      </c>
      <c r="R100" s="25">
        <f>IFERROR(IF(INDEX('MRE'!$Q$10:$Q$12,MATCH($F100,'MRE'!$B$10:$B$12,0))="","Cell will autofill based on response",INDEX('MRE'!$Q$10:$Q$12,MATCH($F100,'MRE'!$B$10:$B$12,0))),"N/A")</f>
        <v/>
      </c>
      <c r="S100" s="25">
        <f>IFERROR(IF(INDEX('L&amp;R'!$Q$10:$Q$11,MATCH($F100,'L&amp;R'!$B$10:$B$11,0))="","Cell will autofill based on response",INDEX('L&amp;R'!$Q$10:$Q$11,MATCH($F100,'L&amp;R'!$B$10:$B$11,0))),"N/A")</f>
        <v/>
      </c>
    </row>
    <row r="101">
      <c r="A101">
        <f>F101&amp;"|"&amp;G101</f>
        <v/>
      </c>
      <c r="B101" s="7" t="inlineStr">
        <is>
          <t>TR3(d)</t>
        </is>
      </c>
      <c r="C101" s="12" t="inlineStr">
        <is>
          <t>Transformational research</t>
        </is>
      </c>
      <c r="D101" s="12" t="inlineStr">
        <is>
          <t>Expert assessment of progress in embedding sustainable research practices across the institution.</t>
        </is>
      </c>
      <c r="E101" s="12" t="inlineStr">
        <is>
          <t>Faculty/Portfolio’s assessment of progress in embedding sustainable research practices, highlighting areas of strong progress, remaining gaps and priority actions for further improvement.</t>
        </is>
      </c>
      <c r="F101" s="12" t="inlineStr">
        <is>
          <t>TR3(d)</t>
        </is>
      </c>
      <c r="G101" s="12" t="inlineStr">
        <is>
          <t>Confirm end-2026 target status</t>
        </is>
      </c>
      <c r="H101" s="25">
        <f>IFERROR(IF(INDEX('Faculties'!$L$10:$L$30,MATCH($F101,'Faculties'!$B$10:$B$30,0))="","Cell will autofill based on response",INDEX('Faculties'!$L$10:$L$30,MATCH($F101,'Faculties'!$B$10:$B$30,0))),"N/A")</f>
        <v/>
      </c>
      <c r="I101" s="25">
        <f>IFERROR(IF(INDEX('Faculties'!$L$37:$L$57,MATCH($F101,'Faculties'!$B$37:$B$57,0))="","Cell will autofill based on response",INDEX('Faculties'!$L$37:$L$57,MATCH($F101,'Faculties'!$B$37:$B$57,0))),"N/A")</f>
        <v/>
      </c>
      <c r="J101" s="25">
        <f>IFERROR(IF(INDEX('Faculties'!$L$64:$L$84,MATCH($F101,'Faculties'!$B$64:$B$84,0))="","Cell will autofill based on response",INDEX('Faculties'!$L$64:$L$84,MATCH($F101,'Faculties'!$B$64:$B$84,0))),"N/A")</f>
        <v/>
      </c>
      <c r="K101" s="25">
        <f>IFERROR(IF(INDEX('Faculties'!$L$91:$L$111,MATCH($F101,'Faculties'!$B$91:$B$111,0))="","Cell will autofill based on response",INDEX('Faculties'!$L$91:$L$111,MATCH($F101,'Faculties'!$B$91:$B$111,0))),"N/A")</f>
        <v/>
      </c>
      <c r="L101" s="25">
        <f>IFERROR(IF(INDEX('CI&amp;S'!$L$10:$L$15,MATCH($F101,'CI&amp;S'!$B$10:$B$15,0))="","Cell will autofill based on response",INDEX('CI&amp;S'!$L$10:$L$15,MATCH($F101,'CI&amp;S'!$B$10:$B$15,0))),"N/A")</f>
        <v/>
      </c>
      <c r="M101" s="25">
        <f>IFERROR(IF(INDEX('CI&amp;S'!$L$22:$L$39,MATCH($F101,'CI&amp;S'!$B$22:$B$39,0))="","Cell will autofill based on response",INDEX('CI&amp;S'!$L$22:$L$39,MATCH($F101,'CI&amp;S'!$B$22:$B$39,0))),"N/A")</f>
        <v/>
      </c>
      <c r="N101" s="25">
        <f>IFERROR(IF(INDEX('CFOG'!$L$10:$L$16,MATCH($F101,'CFOG'!$B$10:$B$16,0))="","Cell will autofill based on response",INDEX('CFOG'!$L$10:$L$16,MATCH($F101,'CFOG'!$B$10:$B$16,0))),"N/A")</f>
        <v/>
      </c>
      <c r="O101" s="25">
        <f>IFERROR(IF(INDEX('CFOG'!$L$23:$L$24,MATCH($F101,'CFOG'!$B$23:$B$24,0))="","Cell will autofill based on response",INDEX('CFOG'!$L$23:$L$24,MATCH($F101,'CFOG'!$B$23:$B$24,0))),"N/A")</f>
        <v/>
      </c>
      <c r="P101" s="25">
        <f>IFERROR(IF(INDEX('ESG'!$L$10:$L$17,MATCH($F101,'ESG'!$B$10:$B$17,0))="","Cell will autofill based on response",INDEX('ESG'!$L$10:$L$17,MATCH($F101,'ESG'!$B$10:$B$17,0))),"N/A")</f>
        <v/>
      </c>
      <c r="Q101" s="25">
        <f>IFERROR(IF(INDEX('CIOG'!$L$10:$L$14,MATCH($F101,'CIOG'!$B$10:$B$14,0))="","Cell will autofill based on response",INDEX('CIOG'!$L$10:$L$14,MATCH($F101,'CIOG'!$B$10:$B$14,0))),"N/A")</f>
        <v/>
      </c>
      <c r="R101" s="25">
        <f>IFERROR(IF(INDEX('MRE'!$L$10:$L$12,MATCH($F101,'MRE'!$B$10:$B$12,0))="","Cell will autofill based on response",INDEX('MRE'!$L$10:$L$12,MATCH($F101,'MRE'!$B$10:$B$12,0))),"N/A")</f>
        <v/>
      </c>
      <c r="S101" s="25">
        <f>IFERROR(IF(INDEX('L&amp;R'!$L$10:$L$11,MATCH($F101,'L&amp;R'!$B$10:$B$11,0))="","Cell will autofill based on response",INDEX('L&amp;R'!$L$10:$L$11,MATCH($F101,'L&amp;R'!$B$10:$B$11,0))),"N/A")</f>
        <v/>
      </c>
      <c r="U101" s="26">
        <f>COUNTIF($H101:$S101,"Cell will autofill based on response")</f>
        <v/>
      </c>
      <c r="V101" s="26">
        <f>COUNTIF($H101:$S101,"Not yet started")</f>
        <v/>
      </c>
      <c r="W101" s="26">
        <f>COUNTIF($H101:$S101,"Not met")</f>
        <v/>
      </c>
      <c r="X101" s="26">
        <f>COUNTIF($H101:$S101,"Partially met")</f>
        <v/>
      </c>
      <c r="Y101" s="26">
        <f>COUNTIF($H101:$S101,"Met or exceeded")</f>
        <v/>
      </c>
      <c r="Z101" s="26">
        <f>3*Y101+2*X101+W101</f>
        <v/>
      </c>
      <c r="AA101" s="26">
        <f>Y101+X101+W101+V101</f>
        <v/>
      </c>
      <c r="AB101" s="27">
        <f>IF(AA101&gt;0,Z101/AA101,"No valid responses to date")</f>
        <v/>
      </c>
      <c r="AC101" s="26">
        <f>IF(ISNUMBER(AB101),INDEX(Lists!$G$2:$G$5,MATCH(ROUND(AB101,0),Lists!$H$2:$H$5,0)),"")</f>
        <v/>
      </c>
      <c r="AD101" s="28">
        <f>IF(AA101&gt;0,Y101/AA101,"")</f>
        <v/>
      </c>
      <c r="AE101" s="28">
        <f>IF(AA101&gt;0,(Y101+X101)/AA101,"")</f>
        <v/>
      </c>
      <c r="AF101" s="26">
        <f>IF(AA101=0,"",IF(AD101&gt;0.75,"Met or exceeded",IF(AE101&gt;=0.5,"Partially met","Not met")))</f>
        <v/>
      </c>
    </row>
    <row r="102">
      <c r="A102">
        <f>F102&amp;"|"&amp;G102</f>
        <v/>
      </c>
      <c r="B102" s="29" t="inlineStr"/>
      <c r="C102" s="8" t="inlineStr"/>
      <c r="D102" s="8" t="inlineStr"/>
      <c r="E102" s="8" t="inlineStr"/>
      <c r="F102" s="8" t="inlineStr">
        <is>
          <t>TR3(d)</t>
        </is>
      </c>
      <c r="G102" s="8" t="inlineStr">
        <is>
          <t>OPTION 1:  Target-level reporting</t>
        </is>
      </c>
      <c r="H102" s="25">
        <f>IFERROR(IF(INDEX('Faculties'!$M$10:$M$30,MATCH($F102,'Faculties'!$B$10:$B$30,0))="","Cell will autofill based on response",INDEX('Faculties'!$M$10:$M$30,MATCH($F102,'Faculties'!$B$10:$B$30,0))),"N/A")</f>
        <v/>
      </c>
      <c r="I102" s="25">
        <f>IFERROR(IF(INDEX('Faculties'!$M$37:$M$57,MATCH($F102,'Faculties'!$B$37:$B$57,0))="","Cell will autofill based on response",INDEX('Faculties'!$M$37:$M$57,MATCH($F102,'Faculties'!$B$37:$B$57,0))),"N/A")</f>
        <v/>
      </c>
      <c r="J102" s="25">
        <f>IFERROR(IF(INDEX('Faculties'!$M$64:$M$84,MATCH($F102,'Faculties'!$B$64:$B$84,0))="","Cell will autofill based on response",INDEX('Faculties'!$M$64:$M$84,MATCH($F102,'Faculties'!$B$64:$B$84,0))),"N/A")</f>
        <v/>
      </c>
      <c r="K102" s="25">
        <f>IFERROR(IF(INDEX('Faculties'!$M$91:$M$111,MATCH($F102,'Faculties'!$B$91:$B$111,0))="","Cell will autofill based on response",INDEX('Faculties'!$M$91:$M$111,MATCH($F102,'Faculties'!$B$91:$B$111,0))),"N/A")</f>
        <v/>
      </c>
      <c r="L102" s="25">
        <f>IFERROR(IF(INDEX('CI&amp;S'!$M$10:$M$15,MATCH($F102,'CI&amp;S'!$B$10:$B$15,0))="","Cell will autofill based on response",INDEX('CI&amp;S'!$M$10:$M$15,MATCH($F102,'CI&amp;S'!$B$10:$B$15,0))),"N/A")</f>
        <v/>
      </c>
      <c r="M102" s="25">
        <f>IFERROR(IF(INDEX('CI&amp;S'!$M$22:$M$39,MATCH($F102,'CI&amp;S'!$B$22:$B$39,0))="","Cell will autofill based on response",INDEX('CI&amp;S'!$M$22:$M$39,MATCH($F102,'CI&amp;S'!$B$22:$B$39,0))),"N/A")</f>
        <v/>
      </c>
      <c r="N102" s="25">
        <f>IFERROR(IF(INDEX('CFOG'!$M$10:$M$16,MATCH($F102,'CFOG'!$B$10:$B$16,0))="","Cell will autofill based on response",INDEX('CFOG'!$M$10:$M$16,MATCH($F102,'CFOG'!$B$10:$B$16,0))),"N/A")</f>
        <v/>
      </c>
      <c r="O102" s="25">
        <f>IFERROR(IF(INDEX('CFOG'!$M$23:$M$24,MATCH($F102,'CFOG'!$B$23:$B$24,0))="","Cell will autofill based on response",INDEX('CFOG'!$M$23:$M$24,MATCH($F102,'CFOG'!$B$23:$B$24,0))),"N/A")</f>
        <v/>
      </c>
      <c r="P102" s="25">
        <f>IFERROR(IF(INDEX('ESG'!$M$10:$M$17,MATCH($F102,'ESG'!$B$10:$B$17,0))="","Cell will autofill based on response",INDEX('ESG'!$M$10:$M$17,MATCH($F102,'ESG'!$B$10:$B$17,0))),"N/A")</f>
        <v/>
      </c>
      <c r="Q102" s="25">
        <f>IFERROR(IF(INDEX('CIOG'!$M$10:$M$14,MATCH($F102,'CIOG'!$B$10:$B$14,0))="","Cell will autofill based on response",INDEX('CIOG'!$M$10:$M$14,MATCH($F102,'CIOG'!$B$10:$B$14,0))),"N/A")</f>
        <v/>
      </c>
      <c r="R102" s="25">
        <f>IFERROR(IF(INDEX('MRE'!$M$10:$M$12,MATCH($F102,'MRE'!$B$10:$B$12,0))="","Cell will autofill based on response",INDEX('MRE'!$M$10:$M$12,MATCH($F102,'MRE'!$B$10:$B$12,0))),"N/A")</f>
        <v/>
      </c>
      <c r="S102" s="25">
        <f>IFERROR(IF(INDEX('L&amp;R'!$M$10:$M$11,MATCH($F102,'L&amp;R'!$B$10:$B$11,0))="","Cell will autofill based on response",INDEX('L&amp;R'!$M$10:$M$11,MATCH($F102,'L&amp;R'!$B$10:$B$11,0))),"N/A")</f>
        <v/>
      </c>
    </row>
    <row r="103">
      <c r="A103">
        <f>F103&amp;"|"&amp;G103</f>
        <v/>
      </c>
      <c r="B103" s="29" t="inlineStr"/>
      <c r="C103" s="8" t="inlineStr"/>
      <c r="D103" s="8" t="inlineStr"/>
      <c r="E103" s="8" t="inlineStr"/>
      <c r="F103" s="8" t="inlineStr">
        <is>
          <t>TR3(d)</t>
        </is>
      </c>
      <c r="G103" s="8" t="inlineStr">
        <is>
          <t>OPTION 2:  Indicator level reporting</t>
        </is>
      </c>
      <c r="H103" s="25">
        <f>IFERROR(IF(INDEX('Faculties'!$N$10:$N$30,MATCH($F103,'Faculties'!$B$10:$B$30,0))="","Cell will autofill based on response",INDEX('Faculties'!$N$10:$N$30,MATCH($F103,'Faculties'!$B$10:$B$30,0))),"N/A")</f>
        <v/>
      </c>
      <c r="I103" s="25">
        <f>IFERROR(IF(INDEX('Faculties'!$N$37:$N$57,MATCH($F103,'Faculties'!$B$37:$B$57,0))="","Cell will autofill based on response",INDEX('Faculties'!$N$37:$N$57,MATCH($F103,'Faculties'!$B$37:$B$57,0))),"N/A")</f>
        <v/>
      </c>
      <c r="J103" s="25">
        <f>IFERROR(IF(INDEX('Faculties'!$N$64:$N$84,MATCH($F103,'Faculties'!$B$64:$B$84,0))="","Cell will autofill based on response",INDEX('Faculties'!$N$64:$N$84,MATCH($F103,'Faculties'!$B$64:$B$84,0))),"N/A")</f>
        <v/>
      </c>
      <c r="K103" s="25">
        <f>IFERROR(IF(INDEX('Faculties'!$N$91:$N$111,MATCH($F103,'Faculties'!$B$91:$B$111,0))="","Cell will autofill based on response",INDEX('Faculties'!$N$91:$N$111,MATCH($F103,'Faculties'!$B$91:$B$111,0))),"N/A")</f>
        <v/>
      </c>
      <c r="L103" s="25">
        <f>IFERROR(IF(INDEX('CI&amp;S'!$N$10:$N$15,MATCH($F103,'CI&amp;S'!$B$10:$B$15,0))="","Cell will autofill based on response",INDEX('CI&amp;S'!$N$10:$N$15,MATCH($F103,'CI&amp;S'!$B$10:$B$15,0))),"N/A")</f>
        <v/>
      </c>
      <c r="M103" s="25">
        <f>IFERROR(IF(INDEX('CI&amp;S'!$N$22:$N$39,MATCH($F103,'CI&amp;S'!$B$22:$B$39,0))="","Cell will autofill based on response",INDEX('CI&amp;S'!$N$22:$N$39,MATCH($F103,'CI&amp;S'!$B$22:$B$39,0))),"N/A")</f>
        <v/>
      </c>
      <c r="N103" s="25">
        <f>IFERROR(IF(INDEX('CFOG'!$N$10:$N$16,MATCH($F103,'CFOG'!$B$10:$B$16,0))="","Cell will autofill based on response",INDEX('CFOG'!$N$10:$N$16,MATCH($F103,'CFOG'!$B$10:$B$16,0))),"N/A")</f>
        <v/>
      </c>
      <c r="O103" s="25">
        <f>IFERROR(IF(INDEX('CFOG'!$N$23:$N$24,MATCH($F103,'CFOG'!$B$23:$B$24,0))="","Cell will autofill based on response",INDEX('CFOG'!$N$23:$N$24,MATCH($F103,'CFOG'!$B$23:$B$24,0))),"N/A")</f>
        <v/>
      </c>
      <c r="P103" s="25">
        <f>IFERROR(IF(INDEX('ESG'!$N$10:$N$17,MATCH($F103,'ESG'!$B$10:$B$17,0))="","Cell will autofill based on response",INDEX('ESG'!$N$10:$N$17,MATCH($F103,'ESG'!$B$10:$B$17,0))),"N/A")</f>
        <v/>
      </c>
      <c r="Q103" s="25">
        <f>IFERROR(IF(INDEX('CIOG'!$N$10:$N$14,MATCH($F103,'CIOG'!$B$10:$B$14,0))="","Cell will autofill based on response",INDEX('CIOG'!$N$10:$N$14,MATCH($F103,'CIOG'!$B$10:$B$14,0))),"N/A")</f>
        <v/>
      </c>
      <c r="R103" s="25">
        <f>IFERROR(IF(INDEX('MRE'!$N$10:$N$12,MATCH($F103,'MRE'!$B$10:$B$12,0))="","Cell will autofill based on response",INDEX('MRE'!$N$10:$N$12,MATCH($F103,'MRE'!$B$10:$B$12,0))),"N/A")</f>
        <v/>
      </c>
      <c r="S103" s="25">
        <f>IFERROR(IF(INDEX('L&amp;R'!$N$10:$N$11,MATCH($F103,'L&amp;R'!$B$10:$B$11,0))="","Cell will autofill based on response",INDEX('L&amp;R'!$N$10:$N$11,MATCH($F103,'L&amp;R'!$B$10:$B$11,0))),"N/A")</f>
        <v/>
      </c>
    </row>
    <row r="104">
      <c r="A104">
        <f>F104&amp;"|"&amp;G104</f>
        <v/>
      </c>
      <c r="B104" s="29" t="inlineStr"/>
      <c r="C104" s="8" t="inlineStr"/>
      <c r="D104" s="8" t="inlineStr"/>
      <c r="E104" s="8" t="inlineStr"/>
      <c r="F104" s="8" t="inlineStr">
        <is>
          <t>TR3(d)</t>
        </is>
      </c>
      <c r="G104" s="8" t="inlineStr">
        <is>
          <t>Supporting information/comments</t>
        </is>
      </c>
      <c r="H104" s="25">
        <f>IFERROR(IF(INDEX('Faculties'!$O$10:$O$30,MATCH($F104,'Faculties'!$B$10:$B$30,0))="","Cell will autofill based on response",INDEX('Faculties'!$O$10:$O$30,MATCH($F104,'Faculties'!$B$10:$B$30,0))),"N/A")</f>
        <v/>
      </c>
      <c r="I104" s="25">
        <f>IFERROR(IF(INDEX('Faculties'!$O$37:$O$57,MATCH($F104,'Faculties'!$B$37:$B$57,0))="","Cell will autofill based on response",INDEX('Faculties'!$O$37:$O$57,MATCH($F104,'Faculties'!$B$37:$B$57,0))),"N/A")</f>
        <v/>
      </c>
      <c r="J104" s="25">
        <f>IFERROR(IF(INDEX('Faculties'!$O$64:$O$84,MATCH($F104,'Faculties'!$B$64:$B$84,0))="","Cell will autofill based on response",INDEX('Faculties'!$O$64:$O$84,MATCH($F104,'Faculties'!$B$64:$B$84,0))),"N/A")</f>
        <v/>
      </c>
      <c r="K104" s="25">
        <f>IFERROR(IF(INDEX('Faculties'!$O$91:$O$111,MATCH($F104,'Faculties'!$B$91:$B$111,0))="","Cell will autofill based on response",INDEX('Faculties'!$O$91:$O$111,MATCH($F104,'Faculties'!$B$91:$B$111,0))),"N/A")</f>
        <v/>
      </c>
      <c r="L104" s="25">
        <f>IFERROR(IF(INDEX('CI&amp;S'!$O$10:$O$15,MATCH($F104,'CI&amp;S'!$B$10:$B$15,0))="","Cell will autofill based on response",INDEX('CI&amp;S'!$O$10:$O$15,MATCH($F104,'CI&amp;S'!$B$10:$B$15,0))),"N/A")</f>
        <v/>
      </c>
      <c r="M104" s="25">
        <f>IFERROR(IF(INDEX('CI&amp;S'!$O$22:$O$39,MATCH($F104,'CI&amp;S'!$B$22:$B$39,0))="","Cell will autofill based on response",INDEX('CI&amp;S'!$O$22:$O$39,MATCH($F104,'CI&amp;S'!$B$22:$B$39,0))),"N/A")</f>
        <v/>
      </c>
      <c r="N104" s="25">
        <f>IFERROR(IF(INDEX('CFOG'!$O$10:$O$16,MATCH($F104,'CFOG'!$B$10:$B$16,0))="","Cell will autofill based on response",INDEX('CFOG'!$O$10:$O$16,MATCH($F104,'CFOG'!$B$10:$B$16,0))),"N/A")</f>
        <v/>
      </c>
      <c r="O104" s="25">
        <f>IFERROR(IF(INDEX('CFOG'!$O$23:$O$24,MATCH($F104,'CFOG'!$B$23:$B$24,0))="","Cell will autofill based on response",INDEX('CFOG'!$O$23:$O$24,MATCH($F104,'CFOG'!$B$23:$B$24,0))),"N/A")</f>
        <v/>
      </c>
      <c r="P104" s="25">
        <f>IFERROR(IF(INDEX('ESG'!$O$10:$O$17,MATCH($F104,'ESG'!$B$10:$B$17,0))="","Cell will autofill based on response",INDEX('ESG'!$O$10:$O$17,MATCH($F104,'ESG'!$B$10:$B$17,0))),"N/A")</f>
        <v/>
      </c>
      <c r="Q104" s="25">
        <f>IFERROR(IF(INDEX('CIOG'!$O$10:$O$14,MATCH($F104,'CIOG'!$B$10:$B$14,0))="","Cell will autofill based on response",INDEX('CIOG'!$O$10:$O$14,MATCH($F104,'CIOG'!$B$10:$B$14,0))),"N/A")</f>
        <v/>
      </c>
      <c r="R104" s="25">
        <f>IFERROR(IF(INDEX('MRE'!$O$10:$O$12,MATCH($F104,'MRE'!$B$10:$B$12,0))="","Cell will autofill based on response",INDEX('MRE'!$O$10:$O$12,MATCH($F104,'MRE'!$B$10:$B$12,0))),"N/A")</f>
        <v/>
      </c>
      <c r="S104" s="25">
        <f>IFERROR(IF(INDEX('L&amp;R'!$O$10:$O$11,MATCH($F104,'L&amp;R'!$B$10:$B$11,0))="","Cell will autofill based on response",INDEX('L&amp;R'!$O$10:$O$11,MATCH($F104,'L&amp;R'!$B$10:$B$11,0))),"N/A")</f>
        <v/>
      </c>
    </row>
    <row r="105">
      <c r="A105">
        <f>F105&amp;"|"&amp;G105</f>
        <v/>
      </c>
      <c r="B105" s="29" t="inlineStr"/>
      <c r="C105" s="8" t="inlineStr"/>
      <c r="D105" s="8" t="inlineStr"/>
      <c r="E105" s="8" t="inlineStr"/>
      <c r="F105" s="8" t="inlineStr">
        <is>
          <t>TR3(d)</t>
        </is>
      </c>
      <c r="G105" s="8" t="inlineStr">
        <is>
          <t>Data source and limitations</t>
        </is>
      </c>
      <c r="H105" s="25">
        <f>IFERROR(IF(INDEX('Faculties'!$P$10:$P$30,MATCH($F105,'Faculties'!$B$10:$B$30,0))="","Cell will autofill based on response",INDEX('Faculties'!$P$10:$P$30,MATCH($F105,'Faculties'!$B$10:$B$30,0))),"N/A")</f>
        <v/>
      </c>
      <c r="I105" s="25">
        <f>IFERROR(IF(INDEX('Faculties'!$P$37:$P$57,MATCH($F105,'Faculties'!$B$37:$B$57,0))="","Cell will autofill based on response",INDEX('Faculties'!$P$37:$P$57,MATCH($F105,'Faculties'!$B$37:$B$57,0))),"N/A")</f>
        <v/>
      </c>
      <c r="J105" s="25">
        <f>IFERROR(IF(INDEX('Faculties'!$P$64:$P$84,MATCH($F105,'Faculties'!$B$64:$B$84,0))="","Cell will autofill based on response",INDEX('Faculties'!$P$64:$P$84,MATCH($F105,'Faculties'!$B$64:$B$84,0))),"N/A")</f>
        <v/>
      </c>
      <c r="K105" s="25">
        <f>IFERROR(IF(INDEX('Faculties'!$P$91:$P$111,MATCH($F105,'Faculties'!$B$91:$B$111,0))="","Cell will autofill based on response",INDEX('Faculties'!$P$91:$P$111,MATCH($F105,'Faculties'!$B$91:$B$111,0))),"N/A")</f>
        <v/>
      </c>
      <c r="L105" s="25">
        <f>IFERROR(IF(INDEX('CI&amp;S'!$P$10:$P$15,MATCH($F105,'CI&amp;S'!$B$10:$B$15,0))="","Cell will autofill based on response",INDEX('CI&amp;S'!$P$10:$P$15,MATCH($F105,'CI&amp;S'!$B$10:$B$15,0))),"N/A")</f>
        <v/>
      </c>
      <c r="M105" s="25">
        <f>IFERROR(IF(INDEX('CI&amp;S'!$P$22:$P$39,MATCH($F105,'CI&amp;S'!$B$22:$B$39,0))="","Cell will autofill based on response",INDEX('CI&amp;S'!$P$22:$P$39,MATCH($F105,'CI&amp;S'!$B$22:$B$39,0))),"N/A")</f>
        <v/>
      </c>
      <c r="N105" s="25">
        <f>IFERROR(IF(INDEX('CFOG'!$P$10:$P$16,MATCH($F105,'CFOG'!$B$10:$B$16,0))="","Cell will autofill based on response",INDEX('CFOG'!$P$10:$P$16,MATCH($F105,'CFOG'!$B$10:$B$16,0))),"N/A")</f>
        <v/>
      </c>
      <c r="O105" s="25">
        <f>IFERROR(IF(INDEX('CFOG'!$P$23:$P$24,MATCH($F105,'CFOG'!$B$23:$B$24,0))="","Cell will autofill based on response",INDEX('CFOG'!$P$23:$P$24,MATCH($F105,'CFOG'!$B$23:$B$24,0))),"N/A")</f>
        <v/>
      </c>
      <c r="P105" s="25">
        <f>IFERROR(IF(INDEX('ESG'!$P$10:$P$17,MATCH($F105,'ESG'!$B$10:$B$17,0))="","Cell will autofill based on response",INDEX('ESG'!$P$10:$P$17,MATCH($F105,'ESG'!$B$10:$B$17,0))),"N/A")</f>
        <v/>
      </c>
      <c r="Q105" s="25">
        <f>IFERROR(IF(INDEX('CIOG'!$P$10:$P$14,MATCH($F105,'CIOG'!$B$10:$B$14,0))="","Cell will autofill based on response",INDEX('CIOG'!$P$10:$P$14,MATCH($F105,'CIOG'!$B$10:$B$14,0))),"N/A")</f>
        <v/>
      </c>
      <c r="R105" s="25">
        <f>IFERROR(IF(INDEX('MRE'!$P$10:$P$12,MATCH($F105,'MRE'!$B$10:$B$12,0))="","Cell will autofill based on response",INDEX('MRE'!$P$10:$P$12,MATCH($F105,'MRE'!$B$10:$B$12,0))),"N/A")</f>
        <v/>
      </c>
      <c r="S105" s="25">
        <f>IFERROR(IF(INDEX('L&amp;R'!$P$10:$P$11,MATCH($F105,'L&amp;R'!$B$10:$B$11,0))="","Cell will autofill based on response",INDEX('L&amp;R'!$P$10:$P$11,MATCH($F105,'L&amp;R'!$B$10:$B$11,0))),"N/A")</f>
        <v/>
      </c>
    </row>
    <row r="106">
      <c r="A106">
        <f>F106&amp;"|"&amp;G106</f>
        <v/>
      </c>
      <c r="B106" s="29" t="inlineStr"/>
      <c r="C106" s="8" t="inlineStr"/>
      <c r="D106" s="8" t="inlineStr"/>
      <c r="E106" s="8" t="inlineStr"/>
      <c r="F106" s="8" t="inlineStr">
        <is>
          <t>TR3(d)</t>
        </is>
      </c>
      <c r="G106" s="8" t="inlineStr">
        <is>
          <t>Data owner confirms</t>
        </is>
      </c>
      <c r="H106" s="25">
        <f>IFERROR(IF(INDEX('Faculties'!$Q$10:$Q$30,MATCH($F106,'Faculties'!$B$10:$B$30,0))="","Cell will autofill based on response",INDEX('Faculties'!$Q$10:$Q$30,MATCH($F106,'Faculties'!$B$10:$B$30,0))),"N/A")</f>
        <v/>
      </c>
      <c r="I106" s="25">
        <f>IFERROR(IF(INDEX('Faculties'!$Q$37:$Q$57,MATCH($F106,'Faculties'!$B$37:$B$57,0))="","Cell will autofill based on response",INDEX('Faculties'!$Q$37:$Q$57,MATCH($F106,'Faculties'!$B$37:$B$57,0))),"N/A")</f>
        <v/>
      </c>
      <c r="J106" s="25">
        <f>IFERROR(IF(INDEX('Faculties'!$Q$64:$Q$84,MATCH($F106,'Faculties'!$B$64:$B$84,0))="","Cell will autofill based on response",INDEX('Faculties'!$Q$64:$Q$84,MATCH($F106,'Faculties'!$B$64:$B$84,0))),"N/A")</f>
        <v/>
      </c>
      <c r="K106" s="25">
        <f>IFERROR(IF(INDEX('Faculties'!$Q$91:$Q$111,MATCH($F106,'Faculties'!$B$91:$B$111,0))="","Cell will autofill based on response",INDEX('Faculties'!$Q$91:$Q$111,MATCH($F106,'Faculties'!$B$91:$B$111,0))),"N/A")</f>
        <v/>
      </c>
      <c r="L106" s="25">
        <f>IFERROR(IF(INDEX('CI&amp;S'!$Q$10:$Q$15,MATCH($F106,'CI&amp;S'!$B$10:$B$15,0))="","Cell will autofill based on response",INDEX('CI&amp;S'!$Q$10:$Q$15,MATCH($F106,'CI&amp;S'!$B$10:$B$15,0))),"N/A")</f>
        <v/>
      </c>
      <c r="M106" s="25">
        <f>IFERROR(IF(INDEX('CI&amp;S'!$Q$22:$Q$39,MATCH($F106,'CI&amp;S'!$B$22:$B$39,0))="","Cell will autofill based on response",INDEX('CI&amp;S'!$Q$22:$Q$39,MATCH($F106,'CI&amp;S'!$B$22:$B$39,0))),"N/A")</f>
        <v/>
      </c>
      <c r="N106" s="25">
        <f>IFERROR(IF(INDEX('CFOG'!$Q$10:$Q$16,MATCH($F106,'CFOG'!$B$10:$B$16,0))="","Cell will autofill based on response",INDEX('CFOG'!$Q$10:$Q$16,MATCH($F106,'CFOG'!$B$10:$B$16,0))),"N/A")</f>
        <v/>
      </c>
      <c r="O106" s="25">
        <f>IFERROR(IF(INDEX('CFOG'!$Q$23:$Q$24,MATCH($F106,'CFOG'!$B$23:$B$24,0))="","Cell will autofill based on response",INDEX('CFOG'!$Q$23:$Q$24,MATCH($F106,'CFOG'!$B$23:$B$24,0))),"N/A")</f>
        <v/>
      </c>
      <c r="P106" s="25">
        <f>IFERROR(IF(INDEX('ESG'!$Q$10:$Q$17,MATCH($F106,'ESG'!$B$10:$B$17,0))="","Cell will autofill based on response",INDEX('ESG'!$Q$10:$Q$17,MATCH($F106,'ESG'!$B$10:$B$17,0))),"N/A")</f>
        <v/>
      </c>
      <c r="Q106" s="25">
        <f>IFERROR(IF(INDEX('CIOG'!$Q$10:$Q$14,MATCH($F106,'CIOG'!$B$10:$B$14,0))="","Cell will autofill based on response",INDEX('CIOG'!$Q$10:$Q$14,MATCH($F106,'CIOG'!$B$10:$B$14,0))),"N/A")</f>
        <v/>
      </c>
      <c r="R106" s="25">
        <f>IFERROR(IF(INDEX('MRE'!$Q$10:$Q$12,MATCH($F106,'MRE'!$B$10:$B$12,0))="","Cell will autofill based on response",INDEX('MRE'!$Q$10:$Q$12,MATCH($F106,'MRE'!$B$10:$B$12,0))),"N/A")</f>
        <v/>
      </c>
      <c r="S106" s="25">
        <f>IFERROR(IF(INDEX('L&amp;R'!$Q$10:$Q$11,MATCH($F106,'L&amp;R'!$B$10:$B$11,0))="","Cell will autofill based on response",INDEX('L&amp;R'!$Q$10:$Q$11,MATCH($F106,'L&amp;R'!$B$10:$B$11,0))),"N/A")</f>
        <v/>
      </c>
    </row>
    <row r="107">
      <c r="A107">
        <f>F107&amp;"|"&amp;G107</f>
        <v/>
      </c>
      <c r="B107" s="7" t="inlineStr">
        <is>
          <t>CL1(a)</t>
        </is>
      </c>
      <c r="C107" s="12" t="inlineStr">
        <is>
          <t>Climate leadership</t>
        </is>
      </c>
      <c r="D107" s="12" t="inlineStr">
        <is>
          <t>Annual Greenhouse Gas Inventory (including emissions scopes 1, 2 and 3) demonstrates carbon emission reductions, including maintaining procurement of 100% renewable electricity for all scope 2 sources[1]</t>
        </is>
      </c>
      <c r="E107" s="12" t="inlineStr">
        <is>
          <t>Total scope 1,2 and 3 emissions (tCO2-e); emissions by scope; % reduction from previous baseline; % renewable electircity produced</t>
        </is>
      </c>
      <c r="F107" s="12" t="inlineStr">
        <is>
          <t>CL1(a)</t>
        </is>
      </c>
      <c r="G107" s="12" t="inlineStr">
        <is>
          <t>Confirm end-2026 target status</t>
        </is>
      </c>
      <c r="H107" s="25">
        <f>IFERROR(IF(INDEX('Faculties'!$L$10:$L$30,MATCH($F107,'Faculties'!$B$10:$B$30,0))="","Cell will autofill based on response",INDEX('Faculties'!$L$10:$L$30,MATCH($F107,'Faculties'!$B$10:$B$30,0))),"N/A")</f>
        <v/>
      </c>
      <c r="I107" s="25">
        <f>IFERROR(IF(INDEX('Faculties'!$L$37:$L$57,MATCH($F107,'Faculties'!$B$37:$B$57,0))="","Cell will autofill based on response",INDEX('Faculties'!$L$37:$L$57,MATCH($F107,'Faculties'!$B$37:$B$57,0))),"N/A")</f>
        <v/>
      </c>
      <c r="J107" s="25">
        <f>IFERROR(IF(INDEX('Faculties'!$L$64:$L$84,MATCH($F107,'Faculties'!$B$64:$B$84,0))="","Cell will autofill based on response",INDEX('Faculties'!$L$64:$L$84,MATCH($F107,'Faculties'!$B$64:$B$84,0))),"N/A")</f>
        <v/>
      </c>
      <c r="K107" s="25">
        <f>IFERROR(IF(INDEX('Faculties'!$L$91:$L$111,MATCH($F107,'Faculties'!$B$91:$B$111,0))="","Cell will autofill based on response",INDEX('Faculties'!$L$91:$L$111,MATCH($F107,'Faculties'!$B$91:$B$111,0))),"N/A")</f>
        <v/>
      </c>
      <c r="L107" s="25">
        <f>IFERROR(IF(INDEX('CI&amp;S'!$L$10:$L$15,MATCH($F107,'CI&amp;S'!$B$10:$B$15,0))="","Cell will autofill based on response",INDEX('CI&amp;S'!$L$10:$L$15,MATCH($F107,'CI&amp;S'!$B$10:$B$15,0))),"N/A")</f>
        <v/>
      </c>
      <c r="M107" s="25">
        <f>IFERROR(IF(INDEX('CI&amp;S'!$L$22:$L$39,MATCH($F107,'CI&amp;S'!$B$22:$B$39,0))="","Cell will autofill based on response",INDEX('CI&amp;S'!$L$22:$L$39,MATCH($F107,'CI&amp;S'!$B$22:$B$39,0))),"N/A")</f>
        <v/>
      </c>
      <c r="N107" s="25">
        <f>IFERROR(IF(INDEX('CFOG'!$L$10:$L$16,MATCH($F107,'CFOG'!$B$10:$B$16,0))="","Cell will autofill based on response",INDEX('CFOG'!$L$10:$L$16,MATCH($F107,'CFOG'!$B$10:$B$16,0))),"N/A")</f>
        <v/>
      </c>
      <c r="O107" s="25">
        <f>IFERROR(IF(INDEX('CFOG'!$L$23:$L$24,MATCH($F107,'CFOG'!$B$23:$B$24,0))="","Cell will autofill based on response",INDEX('CFOG'!$L$23:$L$24,MATCH($F107,'CFOG'!$B$23:$B$24,0))),"N/A")</f>
        <v/>
      </c>
      <c r="P107" s="25">
        <f>IFERROR(IF(INDEX('ESG'!$L$10:$L$17,MATCH($F107,'ESG'!$B$10:$B$17,0))="","Cell will autofill based on response",INDEX('ESG'!$L$10:$L$17,MATCH($F107,'ESG'!$B$10:$B$17,0))),"N/A")</f>
        <v/>
      </c>
      <c r="Q107" s="25">
        <f>IFERROR(IF(INDEX('CIOG'!$L$10:$L$14,MATCH($F107,'CIOG'!$B$10:$B$14,0))="","Cell will autofill based on response",INDEX('CIOG'!$L$10:$L$14,MATCH($F107,'CIOG'!$B$10:$B$14,0))),"N/A")</f>
        <v/>
      </c>
      <c r="R107" s="25">
        <f>IFERROR(IF(INDEX('MRE'!$L$10:$L$12,MATCH($F107,'MRE'!$B$10:$B$12,0))="","Cell will autofill based on response",INDEX('MRE'!$L$10:$L$12,MATCH($F107,'MRE'!$B$10:$B$12,0))),"N/A")</f>
        <v/>
      </c>
      <c r="S107" s="25">
        <f>IFERROR(IF(INDEX('L&amp;R'!$L$10:$L$11,MATCH($F107,'L&amp;R'!$B$10:$B$11,0))="","Cell will autofill based on response",INDEX('L&amp;R'!$L$10:$L$11,MATCH($F107,'L&amp;R'!$B$10:$B$11,0))),"N/A")</f>
        <v/>
      </c>
      <c r="U107" s="26">
        <f>COUNTIF($H107:$S107,"Cell will autofill based on response")</f>
        <v/>
      </c>
      <c r="V107" s="26">
        <f>COUNTIF($H107:$S107,"Not yet started")</f>
        <v/>
      </c>
      <c r="W107" s="26">
        <f>COUNTIF($H107:$S107,"Not met")</f>
        <v/>
      </c>
      <c r="X107" s="26">
        <f>COUNTIF($H107:$S107,"Partially met")</f>
        <v/>
      </c>
      <c r="Y107" s="26">
        <f>COUNTIF($H107:$S107,"Met or exceeded")</f>
        <v/>
      </c>
      <c r="Z107" s="26">
        <f>3*Y107+2*X107+W107</f>
        <v/>
      </c>
      <c r="AA107" s="26">
        <f>Y107+X107+W107+V107</f>
        <v/>
      </c>
      <c r="AB107" s="27">
        <f>IF(AA107&gt;0,Z107/AA107,"No valid responses to date")</f>
        <v/>
      </c>
      <c r="AC107" s="26">
        <f>IF(ISNUMBER(AB107),INDEX(Lists!$G$2:$G$5,MATCH(ROUND(AB107,0),Lists!$H$2:$H$5,0)),"")</f>
        <v/>
      </c>
      <c r="AD107" s="28">
        <f>IF(AA107&gt;0,Y107/AA107,"")</f>
        <v/>
      </c>
      <c r="AE107" s="28">
        <f>IF(AA107&gt;0,(Y107+X107)/AA107,"")</f>
        <v/>
      </c>
      <c r="AF107" s="26">
        <f>IF(AA107=0,"",IF(AD107&gt;0.75,"Met or exceeded",IF(AE107&gt;=0.5,"Partially met","Not met")))</f>
        <v/>
      </c>
    </row>
    <row r="108">
      <c r="A108">
        <f>F108&amp;"|"&amp;G108</f>
        <v/>
      </c>
      <c r="B108" s="29" t="inlineStr"/>
      <c r="C108" s="8" t="inlineStr"/>
      <c r="D108" s="8" t="inlineStr"/>
      <c r="E108" s="8" t="inlineStr"/>
      <c r="F108" s="8" t="inlineStr">
        <is>
          <t>CL1(a)</t>
        </is>
      </c>
      <c r="G108" s="8" t="inlineStr">
        <is>
          <t>OPTION 1:  Target-level reporting</t>
        </is>
      </c>
      <c r="H108" s="25">
        <f>IFERROR(IF(INDEX('Faculties'!$M$10:$M$30,MATCH($F108,'Faculties'!$B$10:$B$30,0))="","Cell will autofill based on response",INDEX('Faculties'!$M$10:$M$30,MATCH($F108,'Faculties'!$B$10:$B$30,0))),"N/A")</f>
        <v/>
      </c>
      <c r="I108" s="25">
        <f>IFERROR(IF(INDEX('Faculties'!$M$37:$M$57,MATCH($F108,'Faculties'!$B$37:$B$57,0))="","Cell will autofill based on response",INDEX('Faculties'!$M$37:$M$57,MATCH($F108,'Faculties'!$B$37:$B$57,0))),"N/A")</f>
        <v/>
      </c>
      <c r="J108" s="25">
        <f>IFERROR(IF(INDEX('Faculties'!$M$64:$M$84,MATCH($F108,'Faculties'!$B$64:$B$84,0))="","Cell will autofill based on response",INDEX('Faculties'!$M$64:$M$84,MATCH($F108,'Faculties'!$B$64:$B$84,0))),"N/A")</f>
        <v/>
      </c>
      <c r="K108" s="25">
        <f>IFERROR(IF(INDEX('Faculties'!$M$91:$M$111,MATCH($F108,'Faculties'!$B$91:$B$111,0))="","Cell will autofill based on response",INDEX('Faculties'!$M$91:$M$111,MATCH($F108,'Faculties'!$B$91:$B$111,0))),"N/A")</f>
        <v/>
      </c>
      <c r="L108" s="25">
        <f>IFERROR(IF(INDEX('CI&amp;S'!$M$10:$M$15,MATCH($F108,'CI&amp;S'!$B$10:$B$15,0))="","Cell will autofill based on response",INDEX('CI&amp;S'!$M$10:$M$15,MATCH($F108,'CI&amp;S'!$B$10:$B$15,0))),"N/A")</f>
        <v/>
      </c>
      <c r="M108" s="25">
        <f>IFERROR(IF(INDEX('CI&amp;S'!$M$22:$M$39,MATCH($F108,'CI&amp;S'!$B$22:$B$39,0))="","Cell will autofill based on response",INDEX('CI&amp;S'!$M$22:$M$39,MATCH($F108,'CI&amp;S'!$B$22:$B$39,0))),"N/A")</f>
        <v/>
      </c>
      <c r="N108" s="25">
        <f>IFERROR(IF(INDEX('CFOG'!$M$10:$M$16,MATCH($F108,'CFOG'!$B$10:$B$16,0))="","Cell will autofill based on response",INDEX('CFOG'!$M$10:$M$16,MATCH($F108,'CFOG'!$B$10:$B$16,0))),"N/A")</f>
        <v/>
      </c>
      <c r="O108" s="25">
        <f>IFERROR(IF(INDEX('CFOG'!$M$23:$M$24,MATCH($F108,'CFOG'!$B$23:$B$24,0))="","Cell will autofill based on response",INDEX('CFOG'!$M$23:$M$24,MATCH($F108,'CFOG'!$B$23:$B$24,0))),"N/A")</f>
        <v/>
      </c>
      <c r="P108" s="25">
        <f>IFERROR(IF(INDEX('ESG'!$M$10:$M$17,MATCH($F108,'ESG'!$B$10:$B$17,0))="","Cell will autofill based on response",INDEX('ESG'!$M$10:$M$17,MATCH($F108,'ESG'!$B$10:$B$17,0))),"N/A")</f>
        <v/>
      </c>
      <c r="Q108" s="25">
        <f>IFERROR(IF(INDEX('CIOG'!$M$10:$M$14,MATCH($F108,'CIOG'!$B$10:$B$14,0))="","Cell will autofill based on response",INDEX('CIOG'!$M$10:$M$14,MATCH($F108,'CIOG'!$B$10:$B$14,0))),"N/A")</f>
        <v/>
      </c>
      <c r="R108" s="25">
        <f>IFERROR(IF(INDEX('MRE'!$M$10:$M$12,MATCH($F108,'MRE'!$B$10:$B$12,0))="","Cell will autofill based on response",INDEX('MRE'!$M$10:$M$12,MATCH($F108,'MRE'!$B$10:$B$12,0))),"N/A")</f>
        <v/>
      </c>
      <c r="S108" s="25">
        <f>IFERROR(IF(INDEX('L&amp;R'!$M$10:$M$11,MATCH($F108,'L&amp;R'!$B$10:$B$11,0))="","Cell will autofill based on response",INDEX('L&amp;R'!$M$10:$M$11,MATCH($F108,'L&amp;R'!$B$10:$B$11,0))),"N/A")</f>
        <v/>
      </c>
    </row>
    <row r="109">
      <c r="A109">
        <f>F109&amp;"|"&amp;G109</f>
        <v/>
      </c>
      <c r="B109" s="29" t="inlineStr"/>
      <c r="C109" s="8" t="inlineStr"/>
      <c r="D109" s="8" t="inlineStr"/>
      <c r="E109" s="8" t="inlineStr"/>
      <c r="F109" s="8" t="inlineStr">
        <is>
          <t>CL1(a)</t>
        </is>
      </c>
      <c r="G109" s="8" t="inlineStr">
        <is>
          <t>OPTION 2:  Indicator level reporting</t>
        </is>
      </c>
      <c r="H109" s="25">
        <f>IFERROR(IF(INDEX('Faculties'!$N$10:$N$30,MATCH($F109,'Faculties'!$B$10:$B$30,0))="","Cell will autofill based on response",INDEX('Faculties'!$N$10:$N$30,MATCH($F109,'Faculties'!$B$10:$B$30,0))),"N/A")</f>
        <v/>
      </c>
      <c r="I109" s="25">
        <f>IFERROR(IF(INDEX('Faculties'!$N$37:$N$57,MATCH($F109,'Faculties'!$B$37:$B$57,0))="","Cell will autofill based on response",INDEX('Faculties'!$N$37:$N$57,MATCH($F109,'Faculties'!$B$37:$B$57,0))),"N/A")</f>
        <v/>
      </c>
      <c r="J109" s="25">
        <f>IFERROR(IF(INDEX('Faculties'!$N$64:$N$84,MATCH($F109,'Faculties'!$B$64:$B$84,0))="","Cell will autofill based on response",INDEX('Faculties'!$N$64:$N$84,MATCH($F109,'Faculties'!$B$64:$B$84,0))),"N/A")</f>
        <v/>
      </c>
      <c r="K109" s="25">
        <f>IFERROR(IF(INDEX('Faculties'!$N$91:$N$111,MATCH($F109,'Faculties'!$B$91:$B$111,0))="","Cell will autofill based on response",INDEX('Faculties'!$N$91:$N$111,MATCH($F109,'Faculties'!$B$91:$B$111,0))),"N/A")</f>
        <v/>
      </c>
      <c r="L109" s="25">
        <f>IFERROR(IF(INDEX('CI&amp;S'!$N$10:$N$15,MATCH($F109,'CI&amp;S'!$B$10:$B$15,0))="","Cell will autofill based on response",INDEX('CI&amp;S'!$N$10:$N$15,MATCH($F109,'CI&amp;S'!$B$10:$B$15,0))),"N/A")</f>
        <v/>
      </c>
      <c r="M109" s="25">
        <f>IFERROR(IF(INDEX('CI&amp;S'!$N$22:$N$39,MATCH($F109,'CI&amp;S'!$B$22:$B$39,0))="","Cell will autofill based on response",INDEX('CI&amp;S'!$N$22:$N$39,MATCH($F109,'CI&amp;S'!$B$22:$B$39,0))),"N/A")</f>
        <v/>
      </c>
      <c r="N109" s="25">
        <f>IFERROR(IF(INDEX('CFOG'!$N$10:$N$16,MATCH($F109,'CFOG'!$B$10:$B$16,0))="","Cell will autofill based on response",INDEX('CFOG'!$N$10:$N$16,MATCH($F109,'CFOG'!$B$10:$B$16,0))),"N/A")</f>
        <v/>
      </c>
      <c r="O109" s="25">
        <f>IFERROR(IF(INDEX('CFOG'!$N$23:$N$24,MATCH($F109,'CFOG'!$B$23:$B$24,0))="","Cell will autofill based on response",INDEX('CFOG'!$N$23:$N$24,MATCH($F109,'CFOG'!$B$23:$B$24,0))),"N/A")</f>
        <v/>
      </c>
      <c r="P109" s="25">
        <f>IFERROR(IF(INDEX('ESG'!$N$10:$N$17,MATCH($F109,'ESG'!$B$10:$B$17,0))="","Cell will autofill based on response",INDEX('ESG'!$N$10:$N$17,MATCH($F109,'ESG'!$B$10:$B$17,0))),"N/A")</f>
        <v/>
      </c>
      <c r="Q109" s="25">
        <f>IFERROR(IF(INDEX('CIOG'!$N$10:$N$14,MATCH($F109,'CIOG'!$B$10:$B$14,0))="","Cell will autofill based on response",INDEX('CIOG'!$N$10:$N$14,MATCH($F109,'CIOG'!$B$10:$B$14,0))),"N/A")</f>
        <v/>
      </c>
      <c r="R109" s="25">
        <f>IFERROR(IF(INDEX('MRE'!$N$10:$N$12,MATCH($F109,'MRE'!$B$10:$B$12,0))="","Cell will autofill based on response",INDEX('MRE'!$N$10:$N$12,MATCH($F109,'MRE'!$B$10:$B$12,0))),"N/A")</f>
        <v/>
      </c>
      <c r="S109" s="25">
        <f>IFERROR(IF(INDEX('L&amp;R'!$N$10:$N$11,MATCH($F109,'L&amp;R'!$B$10:$B$11,0))="","Cell will autofill based on response",INDEX('L&amp;R'!$N$10:$N$11,MATCH($F109,'L&amp;R'!$B$10:$B$11,0))),"N/A")</f>
        <v/>
      </c>
    </row>
    <row r="110">
      <c r="A110">
        <f>F110&amp;"|"&amp;G110</f>
        <v/>
      </c>
      <c r="B110" s="29" t="inlineStr"/>
      <c r="C110" s="8" t="inlineStr"/>
      <c r="D110" s="8" t="inlineStr"/>
      <c r="E110" s="8" t="inlineStr"/>
      <c r="F110" s="8" t="inlineStr">
        <is>
          <t>CL1(a)</t>
        </is>
      </c>
      <c r="G110" s="8" t="inlineStr">
        <is>
          <t>Supporting information/comments</t>
        </is>
      </c>
      <c r="H110" s="25">
        <f>IFERROR(IF(INDEX('Faculties'!$O$10:$O$30,MATCH($F110,'Faculties'!$B$10:$B$30,0))="","Cell will autofill based on response",INDEX('Faculties'!$O$10:$O$30,MATCH($F110,'Faculties'!$B$10:$B$30,0))),"N/A")</f>
        <v/>
      </c>
      <c r="I110" s="25">
        <f>IFERROR(IF(INDEX('Faculties'!$O$37:$O$57,MATCH($F110,'Faculties'!$B$37:$B$57,0))="","Cell will autofill based on response",INDEX('Faculties'!$O$37:$O$57,MATCH($F110,'Faculties'!$B$37:$B$57,0))),"N/A")</f>
        <v/>
      </c>
      <c r="J110" s="25">
        <f>IFERROR(IF(INDEX('Faculties'!$O$64:$O$84,MATCH($F110,'Faculties'!$B$64:$B$84,0))="","Cell will autofill based on response",INDEX('Faculties'!$O$64:$O$84,MATCH($F110,'Faculties'!$B$64:$B$84,0))),"N/A")</f>
        <v/>
      </c>
      <c r="K110" s="25">
        <f>IFERROR(IF(INDEX('Faculties'!$O$91:$O$111,MATCH($F110,'Faculties'!$B$91:$B$111,0))="","Cell will autofill based on response",INDEX('Faculties'!$O$91:$O$111,MATCH($F110,'Faculties'!$B$91:$B$111,0))),"N/A")</f>
        <v/>
      </c>
      <c r="L110" s="25">
        <f>IFERROR(IF(INDEX('CI&amp;S'!$O$10:$O$15,MATCH($F110,'CI&amp;S'!$B$10:$B$15,0))="","Cell will autofill based on response",INDEX('CI&amp;S'!$O$10:$O$15,MATCH($F110,'CI&amp;S'!$B$10:$B$15,0))),"N/A")</f>
        <v/>
      </c>
      <c r="M110" s="25">
        <f>IFERROR(IF(INDEX('CI&amp;S'!$O$22:$O$39,MATCH($F110,'CI&amp;S'!$B$22:$B$39,0))="","Cell will autofill based on response",INDEX('CI&amp;S'!$O$22:$O$39,MATCH($F110,'CI&amp;S'!$B$22:$B$39,0))),"N/A")</f>
        <v/>
      </c>
      <c r="N110" s="25">
        <f>IFERROR(IF(INDEX('CFOG'!$O$10:$O$16,MATCH($F110,'CFOG'!$B$10:$B$16,0))="","Cell will autofill based on response",INDEX('CFOG'!$O$10:$O$16,MATCH($F110,'CFOG'!$B$10:$B$16,0))),"N/A")</f>
        <v/>
      </c>
      <c r="O110" s="25">
        <f>IFERROR(IF(INDEX('CFOG'!$O$23:$O$24,MATCH($F110,'CFOG'!$B$23:$B$24,0))="","Cell will autofill based on response",INDEX('CFOG'!$O$23:$O$24,MATCH($F110,'CFOG'!$B$23:$B$24,0))),"N/A")</f>
        <v/>
      </c>
      <c r="P110" s="25">
        <f>IFERROR(IF(INDEX('ESG'!$O$10:$O$17,MATCH($F110,'ESG'!$B$10:$B$17,0))="","Cell will autofill based on response",INDEX('ESG'!$O$10:$O$17,MATCH($F110,'ESG'!$B$10:$B$17,0))),"N/A")</f>
        <v/>
      </c>
      <c r="Q110" s="25">
        <f>IFERROR(IF(INDEX('CIOG'!$O$10:$O$14,MATCH($F110,'CIOG'!$B$10:$B$14,0))="","Cell will autofill based on response",INDEX('CIOG'!$O$10:$O$14,MATCH($F110,'CIOG'!$B$10:$B$14,0))),"N/A")</f>
        <v/>
      </c>
      <c r="R110" s="25">
        <f>IFERROR(IF(INDEX('MRE'!$O$10:$O$12,MATCH($F110,'MRE'!$B$10:$B$12,0))="","Cell will autofill based on response",INDEX('MRE'!$O$10:$O$12,MATCH($F110,'MRE'!$B$10:$B$12,0))),"N/A")</f>
        <v/>
      </c>
      <c r="S110" s="25">
        <f>IFERROR(IF(INDEX('L&amp;R'!$O$10:$O$11,MATCH($F110,'L&amp;R'!$B$10:$B$11,0))="","Cell will autofill based on response",INDEX('L&amp;R'!$O$10:$O$11,MATCH($F110,'L&amp;R'!$B$10:$B$11,0))),"N/A")</f>
        <v/>
      </c>
    </row>
    <row r="111">
      <c r="A111">
        <f>F111&amp;"|"&amp;G111</f>
        <v/>
      </c>
      <c r="B111" s="29" t="inlineStr"/>
      <c r="C111" s="8" t="inlineStr"/>
      <c r="D111" s="8" t="inlineStr"/>
      <c r="E111" s="8" t="inlineStr"/>
      <c r="F111" s="8" t="inlineStr">
        <is>
          <t>CL1(a)</t>
        </is>
      </c>
      <c r="G111" s="8" t="inlineStr">
        <is>
          <t>Data source and limitations</t>
        </is>
      </c>
      <c r="H111" s="25">
        <f>IFERROR(IF(INDEX('Faculties'!$P$10:$P$30,MATCH($F111,'Faculties'!$B$10:$B$30,0))="","Cell will autofill based on response",INDEX('Faculties'!$P$10:$P$30,MATCH($F111,'Faculties'!$B$10:$B$30,0))),"N/A")</f>
        <v/>
      </c>
      <c r="I111" s="25">
        <f>IFERROR(IF(INDEX('Faculties'!$P$37:$P$57,MATCH($F111,'Faculties'!$B$37:$B$57,0))="","Cell will autofill based on response",INDEX('Faculties'!$P$37:$P$57,MATCH($F111,'Faculties'!$B$37:$B$57,0))),"N/A")</f>
        <v/>
      </c>
      <c r="J111" s="25">
        <f>IFERROR(IF(INDEX('Faculties'!$P$64:$P$84,MATCH($F111,'Faculties'!$B$64:$B$84,0))="","Cell will autofill based on response",INDEX('Faculties'!$P$64:$P$84,MATCH($F111,'Faculties'!$B$64:$B$84,0))),"N/A")</f>
        <v/>
      </c>
      <c r="K111" s="25">
        <f>IFERROR(IF(INDEX('Faculties'!$P$91:$P$111,MATCH($F111,'Faculties'!$B$91:$B$111,0))="","Cell will autofill based on response",INDEX('Faculties'!$P$91:$P$111,MATCH($F111,'Faculties'!$B$91:$B$111,0))),"N/A")</f>
        <v/>
      </c>
      <c r="L111" s="25">
        <f>IFERROR(IF(INDEX('CI&amp;S'!$P$10:$P$15,MATCH($F111,'CI&amp;S'!$B$10:$B$15,0))="","Cell will autofill based on response",INDEX('CI&amp;S'!$P$10:$P$15,MATCH($F111,'CI&amp;S'!$B$10:$B$15,0))),"N/A")</f>
        <v/>
      </c>
      <c r="M111" s="25">
        <f>IFERROR(IF(INDEX('CI&amp;S'!$P$22:$P$39,MATCH($F111,'CI&amp;S'!$B$22:$B$39,0))="","Cell will autofill based on response",INDEX('CI&amp;S'!$P$22:$P$39,MATCH($F111,'CI&amp;S'!$B$22:$B$39,0))),"N/A")</f>
        <v/>
      </c>
      <c r="N111" s="25">
        <f>IFERROR(IF(INDEX('CFOG'!$P$10:$P$16,MATCH($F111,'CFOG'!$B$10:$B$16,0))="","Cell will autofill based on response",INDEX('CFOG'!$P$10:$P$16,MATCH($F111,'CFOG'!$B$10:$B$16,0))),"N/A")</f>
        <v/>
      </c>
      <c r="O111" s="25">
        <f>IFERROR(IF(INDEX('CFOG'!$P$23:$P$24,MATCH($F111,'CFOG'!$B$23:$B$24,0))="","Cell will autofill based on response",INDEX('CFOG'!$P$23:$P$24,MATCH($F111,'CFOG'!$B$23:$B$24,0))),"N/A")</f>
        <v/>
      </c>
      <c r="P111" s="25">
        <f>IFERROR(IF(INDEX('ESG'!$P$10:$P$17,MATCH($F111,'ESG'!$B$10:$B$17,0))="","Cell will autofill based on response",INDEX('ESG'!$P$10:$P$17,MATCH($F111,'ESG'!$B$10:$B$17,0))),"N/A")</f>
        <v/>
      </c>
      <c r="Q111" s="25">
        <f>IFERROR(IF(INDEX('CIOG'!$P$10:$P$14,MATCH($F111,'CIOG'!$B$10:$B$14,0))="","Cell will autofill based on response",INDEX('CIOG'!$P$10:$P$14,MATCH($F111,'CIOG'!$B$10:$B$14,0))),"N/A")</f>
        <v/>
      </c>
      <c r="R111" s="25">
        <f>IFERROR(IF(INDEX('MRE'!$P$10:$P$12,MATCH($F111,'MRE'!$B$10:$B$12,0))="","Cell will autofill based on response",INDEX('MRE'!$P$10:$P$12,MATCH($F111,'MRE'!$B$10:$B$12,0))),"N/A")</f>
        <v/>
      </c>
      <c r="S111" s="25">
        <f>IFERROR(IF(INDEX('L&amp;R'!$P$10:$P$11,MATCH($F111,'L&amp;R'!$B$10:$B$11,0))="","Cell will autofill based on response",INDEX('L&amp;R'!$P$10:$P$11,MATCH($F111,'L&amp;R'!$B$10:$B$11,0))),"N/A")</f>
        <v/>
      </c>
    </row>
    <row r="112">
      <c r="A112">
        <f>F112&amp;"|"&amp;G112</f>
        <v/>
      </c>
      <c r="B112" s="29" t="inlineStr"/>
      <c r="C112" s="8" t="inlineStr"/>
      <c r="D112" s="8" t="inlineStr"/>
      <c r="E112" s="8" t="inlineStr"/>
      <c r="F112" s="8" t="inlineStr">
        <is>
          <t>CL1(a)</t>
        </is>
      </c>
      <c r="G112" s="8" t="inlineStr">
        <is>
          <t>Data owner confirms</t>
        </is>
      </c>
      <c r="H112" s="25">
        <f>IFERROR(IF(INDEX('Faculties'!$Q$10:$Q$30,MATCH($F112,'Faculties'!$B$10:$B$30,0))="","Cell will autofill based on response",INDEX('Faculties'!$Q$10:$Q$30,MATCH($F112,'Faculties'!$B$10:$B$30,0))),"N/A")</f>
        <v/>
      </c>
      <c r="I112" s="25">
        <f>IFERROR(IF(INDEX('Faculties'!$Q$37:$Q$57,MATCH($F112,'Faculties'!$B$37:$B$57,0))="","Cell will autofill based on response",INDEX('Faculties'!$Q$37:$Q$57,MATCH($F112,'Faculties'!$B$37:$B$57,0))),"N/A")</f>
        <v/>
      </c>
      <c r="J112" s="25">
        <f>IFERROR(IF(INDEX('Faculties'!$Q$64:$Q$84,MATCH($F112,'Faculties'!$B$64:$B$84,0))="","Cell will autofill based on response",INDEX('Faculties'!$Q$64:$Q$84,MATCH($F112,'Faculties'!$B$64:$B$84,0))),"N/A")</f>
        <v/>
      </c>
      <c r="K112" s="25">
        <f>IFERROR(IF(INDEX('Faculties'!$Q$91:$Q$111,MATCH($F112,'Faculties'!$B$91:$B$111,0))="","Cell will autofill based on response",INDEX('Faculties'!$Q$91:$Q$111,MATCH($F112,'Faculties'!$B$91:$B$111,0))),"N/A")</f>
        <v/>
      </c>
      <c r="L112" s="25">
        <f>IFERROR(IF(INDEX('CI&amp;S'!$Q$10:$Q$15,MATCH($F112,'CI&amp;S'!$B$10:$B$15,0))="","Cell will autofill based on response",INDEX('CI&amp;S'!$Q$10:$Q$15,MATCH($F112,'CI&amp;S'!$B$10:$B$15,0))),"N/A")</f>
        <v/>
      </c>
      <c r="M112" s="25">
        <f>IFERROR(IF(INDEX('CI&amp;S'!$Q$22:$Q$39,MATCH($F112,'CI&amp;S'!$B$22:$B$39,0))="","Cell will autofill based on response",INDEX('CI&amp;S'!$Q$22:$Q$39,MATCH($F112,'CI&amp;S'!$B$22:$B$39,0))),"N/A")</f>
        <v/>
      </c>
      <c r="N112" s="25">
        <f>IFERROR(IF(INDEX('CFOG'!$Q$10:$Q$16,MATCH($F112,'CFOG'!$B$10:$B$16,0))="","Cell will autofill based on response",INDEX('CFOG'!$Q$10:$Q$16,MATCH($F112,'CFOG'!$B$10:$B$16,0))),"N/A")</f>
        <v/>
      </c>
      <c r="O112" s="25">
        <f>IFERROR(IF(INDEX('CFOG'!$Q$23:$Q$24,MATCH($F112,'CFOG'!$B$23:$B$24,0))="","Cell will autofill based on response",INDEX('CFOG'!$Q$23:$Q$24,MATCH($F112,'CFOG'!$B$23:$B$24,0))),"N/A")</f>
        <v/>
      </c>
      <c r="P112" s="25">
        <f>IFERROR(IF(INDEX('ESG'!$Q$10:$Q$17,MATCH($F112,'ESG'!$B$10:$B$17,0))="","Cell will autofill based on response",INDEX('ESG'!$Q$10:$Q$17,MATCH($F112,'ESG'!$B$10:$B$17,0))),"N/A")</f>
        <v/>
      </c>
      <c r="Q112" s="25">
        <f>IFERROR(IF(INDEX('CIOG'!$Q$10:$Q$14,MATCH($F112,'CIOG'!$B$10:$B$14,0))="","Cell will autofill based on response",INDEX('CIOG'!$Q$10:$Q$14,MATCH($F112,'CIOG'!$B$10:$B$14,0))),"N/A")</f>
        <v/>
      </c>
      <c r="R112" s="25">
        <f>IFERROR(IF(INDEX('MRE'!$Q$10:$Q$12,MATCH($F112,'MRE'!$B$10:$B$12,0))="","Cell will autofill based on response",INDEX('MRE'!$Q$10:$Q$12,MATCH($F112,'MRE'!$B$10:$B$12,0))),"N/A")</f>
        <v/>
      </c>
      <c r="S112" s="25">
        <f>IFERROR(IF(INDEX('L&amp;R'!$Q$10:$Q$11,MATCH($F112,'L&amp;R'!$B$10:$B$11,0))="","Cell will autofill based on response",INDEX('L&amp;R'!$Q$10:$Q$11,MATCH($F112,'L&amp;R'!$B$10:$B$11,0))),"N/A")</f>
        <v/>
      </c>
    </row>
    <row r="113">
      <c r="A113">
        <f>F113&amp;"|"&amp;G113</f>
        <v/>
      </c>
      <c r="B113" s="7" t="inlineStr">
        <is>
          <t>CL1(b)</t>
        </is>
      </c>
      <c r="C113" s="12" t="inlineStr">
        <is>
          <t>Climate leadership</t>
        </is>
      </c>
      <c r="D113" s="12" t="inlineStr">
        <is>
          <t>Development of Greenhouse Gas  intensity metrics</t>
        </is>
      </c>
      <c r="E113" s="12" t="inlineStr">
        <is>
          <t>Greenhouse gas emissions by FTE, EFTSL, and Gross floor area (https://www.unimelb.edu.au/sustainabilityreport/2025/data-tables#GHGe-scope)</t>
        </is>
      </c>
      <c r="F113" s="12" t="inlineStr">
        <is>
          <t>CL1(b)</t>
        </is>
      </c>
      <c r="G113" s="12" t="inlineStr">
        <is>
          <t>Confirm end-2026 target status</t>
        </is>
      </c>
      <c r="H113" s="25">
        <f>IFERROR(IF(INDEX('Faculties'!$L$10:$L$30,MATCH($F113,'Faculties'!$B$10:$B$30,0))="","Cell will autofill based on response",INDEX('Faculties'!$L$10:$L$30,MATCH($F113,'Faculties'!$B$10:$B$30,0))),"N/A")</f>
        <v/>
      </c>
      <c r="I113" s="25">
        <f>IFERROR(IF(INDEX('Faculties'!$L$37:$L$57,MATCH($F113,'Faculties'!$B$37:$B$57,0))="","Cell will autofill based on response",INDEX('Faculties'!$L$37:$L$57,MATCH($F113,'Faculties'!$B$37:$B$57,0))),"N/A")</f>
        <v/>
      </c>
      <c r="J113" s="25">
        <f>IFERROR(IF(INDEX('Faculties'!$L$64:$L$84,MATCH($F113,'Faculties'!$B$64:$B$84,0))="","Cell will autofill based on response",INDEX('Faculties'!$L$64:$L$84,MATCH($F113,'Faculties'!$B$64:$B$84,0))),"N/A")</f>
        <v/>
      </c>
      <c r="K113" s="25">
        <f>IFERROR(IF(INDEX('Faculties'!$L$91:$L$111,MATCH($F113,'Faculties'!$B$91:$B$111,0))="","Cell will autofill based on response",INDEX('Faculties'!$L$91:$L$111,MATCH($F113,'Faculties'!$B$91:$B$111,0))),"N/A")</f>
        <v/>
      </c>
      <c r="L113" s="25">
        <f>IFERROR(IF(INDEX('CI&amp;S'!$L$10:$L$15,MATCH($F113,'CI&amp;S'!$B$10:$B$15,0))="","Cell will autofill based on response",INDEX('CI&amp;S'!$L$10:$L$15,MATCH($F113,'CI&amp;S'!$B$10:$B$15,0))),"N/A")</f>
        <v/>
      </c>
      <c r="M113" s="25">
        <f>IFERROR(IF(INDEX('CI&amp;S'!$L$22:$L$39,MATCH($F113,'CI&amp;S'!$B$22:$B$39,0))="","Cell will autofill based on response",INDEX('CI&amp;S'!$L$22:$L$39,MATCH($F113,'CI&amp;S'!$B$22:$B$39,0))),"N/A")</f>
        <v/>
      </c>
      <c r="N113" s="25">
        <f>IFERROR(IF(INDEX('CFOG'!$L$10:$L$16,MATCH($F113,'CFOG'!$B$10:$B$16,0))="","Cell will autofill based on response",INDEX('CFOG'!$L$10:$L$16,MATCH($F113,'CFOG'!$B$10:$B$16,0))),"N/A")</f>
        <v/>
      </c>
      <c r="O113" s="25">
        <f>IFERROR(IF(INDEX('CFOG'!$L$23:$L$24,MATCH($F113,'CFOG'!$B$23:$B$24,0))="","Cell will autofill based on response",INDEX('CFOG'!$L$23:$L$24,MATCH($F113,'CFOG'!$B$23:$B$24,0))),"N/A")</f>
        <v/>
      </c>
      <c r="P113" s="25">
        <f>IFERROR(IF(INDEX('ESG'!$L$10:$L$17,MATCH($F113,'ESG'!$B$10:$B$17,0))="","Cell will autofill based on response",INDEX('ESG'!$L$10:$L$17,MATCH($F113,'ESG'!$B$10:$B$17,0))),"N/A")</f>
        <v/>
      </c>
      <c r="Q113" s="25">
        <f>IFERROR(IF(INDEX('CIOG'!$L$10:$L$14,MATCH($F113,'CIOG'!$B$10:$B$14,0))="","Cell will autofill based on response",INDEX('CIOG'!$L$10:$L$14,MATCH($F113,'CIOG'!$B$10:$B$14,0))),"N/A")</f>
        <v/>
      </c>
      <c r="R113" s="25">
        <f>IFERROR(IF(INDEX('MRE'!$L$10:$L$12,MATCH($F113,'MRE'!$B$10:$B$12,0))="","Cell will autofill based on response",INDEX('MRE'!$L$10:$L$12,MATCH($F113,'MRE'!$B$10:$B$12,0))),"N/A")</f>
        <v/>
      </c>
      <c r="S113" s="25">
        <f>IFERROR(IF(INDEX('L&amp;R'!$L$10:$L$11,MATCH($F113,'L&amp;R'!$B$10:$B$11,0))="","Cell will autofill based on response",INDEX('L&amp;R'!$L$10:$L$11,MATCH($F113,'L&amp;R'!$B$10:$B$11,0))),"N/A")</f>
        <v/>
      </c>
      <c r="U113" s="26">
        <f>COUNTIF($H113:$S113,"Cell will autofill based on response")</f>
        <v/>
      </c>
      <c r="V113" s="26">
        <f>COUNTIF($H113:$S113,"Not yet started")</f>
        <v/>
      </c>
      <c r="W113" s="26">
        <f>COUNTIF($H113:$S113,"Not met")</f>
        <v/>
      </c>
      <c r="X113" s="26">
        <f>COUNTIF($H113:$S113,"Partially met")</f>
        <v/>
      </c>
      <c r="Y113" s="26">
        <f>COUNTIF($H113:$S113,"Met or exceeded")</f>
        <v/>
      </c>
      <c r="Z113" s="26">
        <f>3*Y113+2*X113+W113</f>
        <v/>
      </c>
      <c r="AA113" s="26">
        <f>Y113+X113+W113+V113</f>
        <v/>
      </c>
      <c r="AB113" s="27">
        <f>IF(AA113&gt;0,Z113/AA113,"No valid responses to date")</f>
        <v/>
      </c>
      <c r="AC113" s="26">
        <f>IF(ISNUMBER(AB113),INDEX(Lists!$G$2:$G$5,MATCH(ROUND(AB113,0),Lists!$H$2:$H$5,0)),"")</f>
        <v/>
      </c>
      <c r="AD113" s="28">
        <f>IF(AA113&gt;0,Y113/AA113,"")</f>
        <v/>
      </c>
      <c r="AE113" s="28">
        <f>IF(AA113&gt;0,(Y113+X113)/AA113,"")</f>
        <v/>
      </c>
      <c r="AF113" s="26">
        <f>IF(AA113=0,"",IF(AD113&gt;0.75,"Met or exceeded",IF(AE113&gt;=0.5,"Partially met","Not met")))</f>
        <v/>
      </c>
    </row>
    <row r="114">
      <c r="A114">
        <f>F114&amp;"|"&amp;G114</f>
        <v/>
      </c>
      <c r="B114" s="29" t="inlineStr"/>
      <c r="C114" s="8" t="inlineStr"/>
      <c r="D114" s="8" t="inlineStr"/>
      <c r="E114" s="8" t="inlineStr"/>
      <c r="F114" s="8" t="inlineStr">
        <is>
          <t>CL1(b)</t>
        </is>
      </c>
      <c r="G114" s="8" t="inlineStr">
        <is>
          <t>OPTION 1:  Target-level reporting</t>
        </is>
      </c>
      <c r="H114" s="25">
        <f>IFERROR(IF(INDEX('Faculties'!$M$10:$M$30,MATCH($F114,'Faculties'!$B$10:$B$30,0))="","Cell will autofill based on response",INDEX('Faculties'!$M$10:$M$30,MATCH($F114,'Faculties'!$B$10:$B$30,0))),"N/A")</f>
        <v/>
      </c>
      <c r="I114" s="25">
        <f>IFERROR(IF(INDEX('Faculties'!$M$37:$M$57,MATCH($F114,'Faculties'!$B$37:$B$57,0))="","Cell will autofill based on response",INDEX('Faculties'!$M$37:$M$57,MATCH($F114,'Faculties'!$B$37:$B$57,0))),"N/A")</f>
        <v/>
      </c>
      <c r="J114" s="25">
        <f>IFERROR(IF(INDEX('Faculties'!$M$64:$M$84,MATCH($F114,'Faculties'!$B$64:$B$84,0))="","Cell will autofill based on response",INDEX('Faculties'!$M$64:$M$84,MATCH($F114,'Faculties'!$B$64:$B$84,0))),"N/A")</f>
        <v/>
      </c>
      <c r="K114" s="25">
        <f>IFERROR(IF(INDEX('Faculties'!$M$91:$M$111,MATCH($F114,'Faculties'!$B$91:$B$111,0))="","Cell will autofill based on response",INDEX('Faculties'!$M$91:$M$111,MATCH($F114,'Faculties'!$B$91:$B$111,0))),"N/A")</f>
        <v/>
      </c>
      <c r="L114" s="25">
        <f>IFERROR(IF(INDEX('CI&amp;S'!$M$10:$M$15,MATCH($F114,'CI&amp;S'!$B$10:$B$15,0))="","Cell will autofill based on response",INDEX('CI&amp;S'!$M$10:$M$15,MATCH($F114,'CI&amp;S'!$B$10:$B$15,0))),"N/A")</f>
        <v/>
      </c>
      <c r="M114" s="25">
        <f>IFERROR(IF(INDEX('CI&amp;S'!$M$22:$M$39,MATCH($F114,'CI&amp;S'!$B$22:$B$39,0))="","Cell will autofill based on response",INDEX('CI&amp;S'!$M$22:$M$39,MATCH($F114,'CI&amp;S'!$B$22:$B$39,0))),"N/A")</f>
        <v/>
      </c>
      <c r="N114" s="25">
        <f>IFERROR(IF(INDEX('CFOG'!$M$10:$M$16,MATCH($F114,'CFOG'!$B$10:$B$16,0))="","Cell will autofill based on response",INDEX('CFOG'!$M$10:$M$16,MATCH($F114,'CFOG'!$B$10:$B$16,0))),"N/A")</f>
        <v/>
      </c>
      <c r="O114" s="25">
        <f>IFERROR(IF(INDEX('CFOG'!$M$23:$M$24,MATCH($F114,'CFOG'!$B$23:$B$24,0))="","Cell will autofill based on response",INDEX('CFOG'!$M$23:$M$24,MATCH($F114,'CFOG'!$B$23:$B$24,0))),"N/A")</f>
        <v/>
      </c>
      <c r="P114" s="25">
        <f>IFERROR(IF(INDEX('ESG'!$M$10:$M$17,MATCH($F114,'ESG'!$B$10:$B$17,0))="","Cell will autofill based on response",INDEX('ESG'!$M$10:$M$17,MATCH($F114,'ESG'!$B$10:$B$17,0))),"N/A")</f>
        <v/>
      </c>
      <c r="Q114" s="25">
        <f>IFERROR(IF(INDEX('CIOG'!$M$10:$M$14,MATCH($F114,'CIOG'!$B$10:$B$14,0))="","Cell will autofill based on response",INDEX('CIOG'!$M$10:$M$14,MATCH($F114,'CIOG'!$B$10:$B$14,0))),"N/A")</f>
        <v/>
      </c>
      <c r="R114" s="25">
        <f>IFERROR(IF(INDEX('MRE'!$M$10:$M$12,MATCH($F114,'MRE'!$B$10:$B$12,0))="","Cell will autofill based on response",INDEX('MRE'!$M$10:$M$12,MATCH($F114,'MRE'!$B$10:$B$12,0))),"N/A")</f>
        <v/>
      </c>
      <c r="S114" s="25">
        <f>IFERROR(IF(INDEX('L&amp;R'!$M$10:$M$11,MATCH($F114,'L&amp;R'!$B$10:$B$11,0))="","Cell will autofill based on response",INDEX('L&amp;R'!$M$10:$M$11,MATCH($F114,'L&amp;R'!$B$10:$B$11,0))),"N/A")</f>
        <v/>
      </c>
    </row>
    <row r="115">
      <c r="A115">
        <f>F115&amp;"|"&amp;G115</f>
        <v/>
      </c>
      <c r="B115" s="29" t="inlineStr"/>
      <c r="C115" s="8" t="inlineStr"/>
      <c r="D115" s="8" t="inlineStr"/>
      <c r="E115" s="8" t="inlineStr"/>
      <c r="F115" s="8" t="inlineStr">
        <is>
          <t>CL1(b)</t>
        </is>
      </c>
      <c r="G115" s="8" t="inlineStr">
        <is>
          <t>OPTION 2:  Indicator level reporting</t>
        </is>
      </c>
      <c r="H115" s="25">
        <f>IFERROR(IF(INDEX('Faculties'!$N$10:$N$30,MATCH($F115,'Faculties'!$B$10:$B$30,0))="","Cell will autofill based on response",INDEX('Faculties'!$N$10:$N$30,MATCH($F115,'Faculties'!$B$10:$B$30,0))),"N/A")</f>
        <v/>
      </c>
      <c r="I115" s="25">
        <f>IFERROR(IF(INDEX('Faculties'!$N$37:$N$57,MATCH($F115,'Faculties'!$B$37:$B$57,0))="","Cell will autofill based on response",INDEX('Faculties'!$N$37:$N$57,MATCH($F115,'Faculties'!$B$37:$B$57,0))),"N/A")</f>
        <v/>
      </c>
      <c r="J115" s="25">
        <f>IFERROR(IF(INDEX('Faculties'!$N$64:$N$84,MATCH($F115,'Faculties'!$B$64:$B$84,0))="","Cell will autofill based on response",INDEX('Faculties'!$N$64:$N$84,MATCH($F115,'Faculties'!$B$64:$B$84,0))),"N/A")</f>
        <v/>
      </c>
      <c r="K115" s="25">
        <f>IFERROR(IF(INDEX('Faculties'!$N$91:$N$111,MATCH($F115,'Faculties'!$B$91:$B$111,0))="","Cell will autofill based on response",INDEX('Faculties'!$N$91:$N$111,MATCH($F115,'Faculties'!$B$91:$B$111,0))),"N/A")</f>
        <v/>
      </c>
      <c r="L115" s="25">
        <f>IFERROR(IF(INDEX('CI&amp;S'!$N$10:$N$15,MATCH($F115,'CI&amp;S'!$B$10:$B$15,0))="","Cell will autofill based on response",INDEX('CI&amp;S'!$N$10:$N$15,MATCH($F115,'CI&amp;S'!$B$10:$B$15,0))),"N/A")</f>
        <v/>
      </c>
      <c r="M115" s="25">
        <f>IFERROR(IF(INDEX('CI&amp;S'!$N$22:$N$39,MATCH($F115,'CI&amp;S'!$B$22:$B$39,0))="","Cell will autofill based on response",INDEX('CI&amp;S'!$N$22:$N$39,MATCH($F115,'CI&amp;S'!$B$22:$B$39,0))),"N/A")</f>
        <v/>
      </c>
      <c r="N115" s="25">
        <f>IFERROR(IF(INDEX('CFOG'!$N$10:$N$16,MATCH($F115,'CFOG'!$B$10:$B$16,0))="","Cell will autofill based on response",INDEX('CFOG'!$N$10:$N$16,MATCH($F115,'CFOG'!$B$10:$B$16,0))),"N/A")</f>
        <v/>
      </c>
      <c r="O115" s="25">
        <f>IFERROR(IF(INDEX('CFOG'!$N$23:$N$24,MATCH($F115,'CFOG'!$B$23:$B$24,0))="","Cell will autofill based on response",INDEX('CFOG'!$N$23:$N$24,MATCH($F115,'CFOG'!$B$23:$B$24,0))),"N/A")</f>
        <v/>
      </c>
      <c r="P115" s="25">
        <f>IFERROR(IF(INDEX('ESG'!$N$10:$N$17,MATCH($F115,'ESG'!$B$10:$B$17,0))="","Cell will autofill based on response",INDEX('ESG'!$N$10:$N$17,MATCH($F115,'ESG'!$B$10:$B$17,0))),"N/A")</f>
        <v/>
      </c>
      <c r="Q115" s="25">
        <f>IFERROR(IF(INDEX('CIOG'!$N$10:$N$14,MATCH($F115,'CIOG'!$B$10:$B$14,0))="","Cell will autofill based on response",INDEX('CIOG'!$N$10:$N$14,MATCH($F115,'CIOG'!$B$10:$B$14,0))),"N/A")</f>
        <v/>
      </c>
      <c r="R115" s="25">
        <f>IFERROR(IF(INDEX('MRE'!$N$10:$N$12,MATCH($F115,'MRE'!$B$10:$B$12,0))="","Cell will autofill based on response",INDEX('MRE'!$N$10:$N$12,MATCH($F115,'MRE'!$B$10:$B$12,0))),"N/A")</f>
        <v/>
      </c>
      <c r="S115" s="25">
        <f>IFERROR(IF(INDEX('L&amp;R'!$N$10:$N$11,MATCH($F115,'L&amp;R'!$B$10:$B$11,0))="","Cell will autofill based on response",INDEX('L&amp;R'!$N$10:$N$11,MATCH($F115,'L&amp;R'!$B$10:$B$11,0))),"N/A")</f>
        <v/>
      </c>
    </row>
    <row r="116">
      <c r="A116">
        <f>F116&amp;"|"&amp;G116</f>
        <v/>
      </c>
      <c r="B116" s="29" t="inlineStr"/>
      <c r="C116" s="8" t="inlineStr"/>
      <c r="D116" s="8" t="inlineStr"/>
      <c r="E116" s="8" t="inlineStr"/>
      <c r="F116" s="8" t="inlineStr">
        <is>
          <t>CL1(b)</t>
        </is>
      </c>
      <c r="G116" s="8" t="inlineStr">
        <is>
          <t>Supporting information/comments</t>
        </is>
      </c>
      <c r="H116" s="25">
        <f>IFERROR(IF(INDEX('Faculties'!$O$10:$O$30,MATCH($F116,'Faculties'!$B$10:$B$30,0))="","Cell will autofill based on response",INDEX('Faculties'!$O$10:$O$30,MATCH($F116,'Faculties'!$B$10:$B$30,0))),"N/A")</f>
        <v/>
      </c>
      <c r="I116" s="25">
        <f>IFERROR(IF(INDEX('Faculties'!$O$37:$O$57,MATCH($F116,'Faculties'!$B$37:$B$57,0))="","Cell will autofill based on response",INDEX('Faculties'!$O$37:$O$57,MATCH($F116,'Faculties'!$B$37:$B$57,0))),"N/A")</f>
        <v/>
      </c>
      <c r="J116" s="25">
        <f>IFERROR(IF(INDEX('Faculties'!$O$64:$O$84,MATCH($F116,'Faculties'!$B$64:$B$84,0))="","Cell will autofill based on response",INDEX('Faculties'!$O$64:$O$84,MATCH($F116,'Faculties'!$B$64:$B$84,0))),"N/A")</f>
        <v/>
      </c>
      <c r="K116" s="25">
        <f>IFERROR(IF(INDEX('Faculties'!$O$91:$O$111,MATCH($F116,'Faculties'!$B$91:$B$111,0))="","Cell will autofill based on response",INDEX('Faculties'!$O$91:$O$111,MATCH($F116,'Faculties'!$B$91:$B$111,0))),"N/A")</f>
        <v/>
      </c>
      <c r="L116" s="25">
        <f>IFERROR(IF(INDEX('CI&amp;S'!$O$10:$O$15,MATCH($F116,'CI&amp;S'!$B$10:$B$15,0))="","Cell will autofill based on response",INDEX('CI&amp;S'!$O$10:$O$15,MATCH($F116,'CI&amp;S'!$B$10:$B$15,0))),"N/A")</f>
        <v/>
      </c>
      <c r="M116" s="25">
        <f>IFERROR(IF(INDEX('CI&amp;S'!$O$22:$O$39,MATCH($F116,'CI&amp;S'!$B$22:$B$39,0))="","Cell will autofill based on response",INDEX('CI&amp;S'!$O$22:$O$39,MATCH($F116,'CI&amp;S'!$B$22:$B$39,0))),"N/A")</f>
        <v/>
      </c>
      <c r="N116" s="25">
        <f>IFERROR(IF(INDEX('CFOG'!$O$10:$O$16,MATCH($F116,'CFOG'!$B$10:$B$16,0))="","Cell will autofill based on response",INDEX('CFOG'!$O$10:$O$16,MATCH($F116,'CFOG'!$B$10:$B$16,0))),"N/A")</f>
        <v/>
      </c>
      <c r="O116" s="25">
        <f>IFERROR(IF(INDEX('CFOG'!$O$23:$O$24,MATCH($F116,'CFOG'!$B$23:$B$24,0))="","Cell will autofill based on response",INDEX('CFOG'!$O$23:$O$24,MATCH($F116,'CFOG'!$B$23:$B$24,0))),"N/A")</f>
        <v/>
      </c>
      <c r="P116" s="25">
        <f>IFERROR(IF(INDEX('ESG'!$O$10:$O$17,MATCH($F116,'ESG'!$B$10:$B$17,0))="","Cell will autofill based on response",INDEX('ESG'!$O$10:$O$17,MATCH($F116,'ESG'!$B$10:$B$17,0))),"N/A")</f>
        <v/>
      </c>
      <c r="Q116" s="25">
        <f>IFERROR(IF(INDEX('CIOG'!$O$10:$O$14,MATCH($F116,'CIOG'!$B$10:$B$14,0))="","Cell will autofill based on response",INDEX('CIOG'!$O$10:$O$14,MATCH($F116,'CIOG'!$B$10:$B$14,0))),"N/A")</f>
        <v/>
      </c>
      <c r="R116" s="25">
        <f>IFERROR(IF(INDEX('MRE'!$O$10:$O$12,MATCH($F116,'MRE'!$B$10:$B$12,0))="","Cell will autofill based on response",INDEX('MRE'!$O$10:$O$12,MATCH($F116,'MRE'!$B$10:$B$12,0))),"N/A")</f>
        <v/>
      </c>
      <c r="S116" s="25">
        <f>IFERROR(IF(INDEX('L&amp;R'!$O$10:$O$11,MATCH($F116,'L&amp;R'!$B$10:$B$11,0))="","Cell will autofill based on response",INDEX('L&amp;R'!$O$10:$O$11,MATCH($F116,'L&amp;R'!$B$10:$B$11,0))),"N/A")</f>
        <v/>
      </c>
    </row>
    <row r="117">
      <c r="A117">
        <f>F117&amp;"|"&amp;G117</f>
        <v/>
      </c>
      <c r="B117" s="29" t="inlineStr"/>
      <c r="C117" s="8" t="inlineStr"/>
      <c r="D117" s="8" t="inlineStr"/>
      <c r="E117" s="8" t="inlineStr"/>
      <c r="F117" s="8" t="inlineStr">
        <is>
          <t>CL1(b)</t>
        </is>
      </c>
      <c r="G117" s="8" t="inlineStr">
        <is>
          <t>Data source and limitations</t>
        </is>
      </c>
      <c r="H117" s="25">
        <f>IFERROR(IF(INDEX('Faculties'!$P$10:$P$30,MATCH($F117,'Faculties'!$B$10:$B$30,0))="","Cell will autofill based on response",INDEX('Faculties'!$P$10:$P$30,MATCH($F117,'Faculties'!$B$10:$B$30,0))),"N/A")</f>
        <v/>
      </c>
      <c r="I117" s="25">
        <f>IFERROR(IF(INDEX('Faculties'!$P$37:$P$57,MATCH($F117,'Faculties'!$B$37:$B$57,0))="","Cell will autofill based on response",INDEX('Faculties'!$P$37:$P$57,MATCH($F117,'Faculties'!$B$37:$B$57,0))),"N/A")</f>
        <v/>
      </c>
      <c r="J117" s="25">
        <f>IFERROR(IF(INDEX('Faculties'!$P$64:$P$84,MATCH($F117,'Faculties'!$B$64:$B$84,0))="","Cell will autofill based on response",INDEX('Faculties'!$P$64:$P$84,MATCH($F117,'Faculties'!$B$64:$B$84,0))),"N/A")</f>
        <v/>
      </c>
      <c r="K117" s="25">
        <f>IFERROR(IF(INDEX('Faculties'!$P$91:$P$111,MATCH($F117,'Faculties'!$B$91:$B$111,0))="","Cell will autofill based on response",INDEX('Faculties'!$P$91:$P$111,MATCH($F117,'Faculties'!$B$91:$B$111,0))),"N/A")</f>
        <v/>
      </c>
      <c r="L117" s="25">
        <f>IFERROR(IF(INDEX('CI&amp;S'!$P$10:$P$15,MATCH($F117,'CI&amp;S'!$B$10:$B$15,0))="","Cell will autofill based on response",INDEX('CI&amp;S'!$P$10:$P$15,MATCH($F117,'CI&amp;S'!$B$10:$B$15,0))),"N/A")</f>
        <v/>
      </c>
      <c r="M117" s="25">
        <f>IFERROR(IF(INDEX('CI&amp;S'!$P$22:$P$39,MATCH($F117,'CI&amp;S'!$B$22:$B$39,0))="","Cell will autofill based on response",INDEX('CI&amp;S'!$P$22:$P$39,MATCH($F117,'CI&amp;S'!$B$22:$B$39,0))),"N/A")</f>
        <v/>
      </c>
      <c r="N117" s="25">
        <f>IFERROR(IF(INDEX('CFOG'!$P$10:$P$16,MATCH($F117,'CFOG'!$B$10:$B$16,0))="","Cell will autofill based on response",INDEX('CFOG'!$P$10:$P$16,MATCH($F117,'CFOG'!$B$10:$B$16,0))),"N/A")</f>
        <v/>
      </c>
      <c r="O117" s="25">
        <f>IFERROR(IF(INDEX('CFOG'!$P$23:$P$24,MATCH($F117,'CFOG'!$B$23:$B$24,0))="","Cell will autofill based on response",INDEX('CFOG'!$P$23:$P$24,MATCH($F117,'CFOG'!$B$23:$B$24,0))),"N/A")</f>
        <v/>
      </c>
      <c r="P117" s="25">
        <f>IFERROR(IF(INDEX('ESG'!$P$10:$P$17,MATCH($F117,'ESG'!$B$10:$B$17,0))="","Cell will autofill based on response",INDEX('ESG'!$P$10:$P$17,MATCH($F117,'ESG'!$B$10:$B$17,0))),"N/A")</f>
        <v/>
      </c>
      <c r="Q117" s="25">
        <f>IFERROR(IF(INDEX('CIOG'!$P$10:$P$14,MATCH($F117,'CIOG'!$B$10:$B$14,0))="","Cell will autofill based on response",INDEX('CIOG'!$P$10:$P$14,MATCH($F117,'CIOG'!$B$10:$B$14,0))),"N/A")</f>
        <v/>
      </c>
      <c r="R117" s="25">
        <f>IFERROR(IF(INDEX('MRE'!$P$10:$P$12,MATCH($F117,'MRE'!$B$10:$B$12,0))="","Cell will autofill based on response",INDEX('MRE'!$P$10:$P$12,MATCH($F117,'MRE'!$B$10:$B$12,0))),"N/A")</f>
        <v/>
      </c>
      <c r="S117" s="25">
        <f>IFERROR(IF(INDEX('L&amp;R'!$P$10:$P$11,MATCH($F117,'L&amp;R'!$B$10:$B$11,0))="","Cell will autofill based on response",INDEX('L&amp;R'!$P$10:$P$11,MATCH($F117,'L&amp;R'!$B$10:$B$11,0))),"N/A")</f>
        <v/>
      </c>
    </row>
    <row r="118">
      <c r="A118">
        <f>F118&amp;"|"&amp;G118</f>
        <v/>
      </c>
      <c r="B118" s="29" t="inlineStr"/>
      <c r="C118" s="8" t="inlineStr"/>
      <c r="D118" s="8" t="inlineStr"/>
      <c r="E118" s="8" t="inlineStr"/>
      <c r="F118" s="8" t="inlineStr">
        <is>
          <t>CL1(b)</t>
        </is>
      </c>
      <c r="G118" s="8" t="inlineStr">
        <is>
          <t>Data owner confirms</t>
        </is>
      </c>
      <c r="H118" s="25">
        <f>IFERROR(IF(INDEX('Faculties'!$Q$10:$Q$30,MATCH($F118,'Faculties'!$B$10:$B$30,0))="","Cell will autofill based on response",INDEX('Faculties'!$Q$10:$Q$30,MATCH($F118,'Faculties'!$B$10:$B$30,0))),"N/A")</f>
        <v/>
      </c>
      <c r="I118" s="25">
        <f>IFERROR(IF(INDEX('Faculties'!$Q$37:$Q$57,MATCH($F118,'Faculties'!$B$37:$B$57,0))="","Cell will autofill based on response",INDEX('Faculties'!$Q$37:$Q$57,MATCH($F118,'Faculties'!$B$37:$B$57,0))),"N/A")</f>
        <v/>
      </c>
      <c r="J118" s="25">
        <f>IFERROR(IF(INDEX('Faculties'!$Q$64:$Q$84,MATCH($F118,'Faculties'!$B$64:$B$84,0))="","Cell will autofill based on response",INDEX('Faculties'!$Q$64:$Q$84,MATCH($F118,'Faculties'!$B$64:$B$84,0))),"N/A")</f>
        <v/>
      </c>
      <c r="K118" s="25">
        <f>IFERROR(IF(INDEX('Faculties'!$Q$91:$Q$111,MATCH($F118,'Faculties'!$B$91:$B$111,0))="","Cell will autofill based on response",INDEX('Faculties'!$Q$91:$Q$111,MATCH($F118,'Faculties'!$B$91:$B$111,0))),"N/A")</f>
        <v/>
      </c>
      <c r="L118" s="25">
        <f>IFERROR(IF(INDEX('CI&amp;S'!$Q$10:$Q$15,MATCH($F118,'CI&amp;S'!$B$10:$B$15,0))="","Cell will autofill based on response",INDEX('CI&amp;S'!$Q$10:$Q$15,MATCH($F118,'CI&amp;S'!$B$10:$B$15,0))),"N/A")</f>
        <v/>
      </c>
      <c r="M118" s="25">
        <f>IFERROR(IF(INDEX('CI&amp;S'!$Q$22:$Q$39,MATCH($F118,'CI&amp;S'!$B$22:$B$39,0))="","Cell will autofill based on response",INDEX('CI&amp;S'!$Q$22:$Q$39,MATCH($F118,'CI&amp;S'!$B$22:$B$39,0))),"N/A")</f>
        <v/>
      </c>
      <c r="N118" s="25">
        <f>IFERROR(IF(INDEX('CFOG'!$Q$10:$Q$16,MATCH($F118,'CFOG'!$B$10:$B$16,0))="","Cell will autofill based on response",INDEX('CFOG'!$Q$10:$Q$16,MATCH($F118,'CFOG'!$B$10:$B$16,0))),"N/A")</f>
        <v/>
      </c>
      <c r="O118" s="25">
        <f>IFERROR(IF(INDEX('CFOG'!$Q$23:$Q$24,MATCH($F118,'CFOG'!$B$23:$B$24,0))="","Cell will autofill based on response",INDEX('CFOG'!$Q$23:$Q$24,MATCH($F118,'CFOG'!$B$23:$B$24,0))),"N/A")</f>
        <v/>
      </c>
      <c r="P118" s="25">
        <f>IFERROR(IF(INDEX('ESG'!$Q$10:$Q$17,MATCH($F118,'ESG'!$B$10:$B$17,0))="","Cell will autofill based on response",INDEX('ESG'!$Q$10:$Q$17,MATCH($F118,'ESG'!$B$10:$B$17,0))),"N/A")</f>
        <v/>
      </c>
      <c r="Q118" s="25">
        <f>IFERROR(IF(INDEX('CIOG'!$Q$10:$Q$14,MATCH($F118,'CIOG'!$B$10:$B$14,0))="","Cell will autofill based on response",INDEX('CIOG'!$Q$10:$Q$14,MATCH($F118,'CIOG'!$B$10:$B$14,0))),"N/A")</f>
        <v/>
      </c>
      <c r="R118" s="25">
        <f>IFERROR(IF(INDEX('MRE'!$Q$10:$Q$12,MATCH($F118,'MRE'!$B$10:$B$12,0))="","Cell will autofill based on response",INDEX('MRE'!$Q$10:$Q$12,MATCH($F118,'MRE'!$B$10:$B$12,0))),"N/A")</f>
        <v/>
      </c>
      <c r="S118" s="25">
        <f>IFERROR(IF(INDEX('L&amp;R'!$Q$10:$Q$11,MATCH($F118,'L&amp;R'!$B$10:$B$11,0))="","Cell will autofill based on response",INDEX('L&amp;R'!$Q$10:$Q$11,MATCH($F118,'L&amp;R'!$B$10:$B$11,0))),"N/A")</f>
        <v/>
      </c>
    </row>
    <row r="119">
      <c r="A119">
        <f>F119&amp;"|"&amp;G119</f>
        <v/>
      </c>
      <c r="B119" s="7" t="inlineStr">
        <is>
          <t>CL1(c)</t>
        </is>
      </c>
      <c r="C119" s="12" t="inlineStr">
        <is>
          <t>Climate leadership</t>
        </is>
      </c>
      <c r="D119" s="12" t="inlineStr">
        <is>
          <t>Review of Climate Leadership targets by 2030.[2]</t>
        </is>
      </c>
      <c r="E119" s="12" t="inlineStr"/>
      <c r="F119" s="12" t="inlineStr">
        <is>
          <t>CL1(c)</t>
        </is>
      </c>
      <c r="G119" s="12" t="inlineStr">
        <is>
          <t>Confirm end-2026 target status</t>
        </is>
      </c>
      <c r="H119" s="25">
        <f>IFERROR(IF(INDEX('Faculties'!$L$10:$L$30,MATCH($F119,'Faculties'!$B$10:$B$30,0))="","Cell will autofill based on response",INDEX('Faculties'!$L$10:$L$30,MATCH($F119,'Faculties'!$B$10:$B$30,0))),"N/A")</f>
        <v/>
      </c>
      <c r="I119" s="25">
        <f>IFERROR(IF(INDEX('Faculties'!$L$37:$L$57,MATCH($F119,'Faculties'!$B$37:$B$57,0))="","Cell will autofill based on response",INDEX('Faculties'!$L$37:$L$57,MATCH($F119,'Faculties'!$B$37:$B$57,0))),"N/A")</f>
        <v/>
      </c>
      <c r="J119" s="25">
        <f>IFERROR(IF(INDEX('Faculties'!$L$64:$L$84,MATCH($F119,'Faculties'!$B$64:$B$84,0))="","Cell will autofill based on response",INDEX('Faculties'!$L$64:$L$84,MATCH($F119,'Faculties'!$B$64:$B$84,0))),"N/A")</f>
        <v/>
      </c>
      <c r="K119" s="25">
        <f>IFERROR(IF(INDEX('Faculties'!$L$91:$L$111,MATCH($F119,'Faculties'!$B$91:$B$111,0))="","Cell will autofill based on response",INDEX('Faculties'!$L$91:$L$111,MATCH($F119,'Faculties'!$B$91:$B$111,0))),"N/A")</f>
        <v/>
      </c>
      <c r="L119" s="25">
        <f>IFERROR(IF(INDEX('CI&amp;S'!$L$10:$L$15,MATCH($F119,'CI&amp;S'!$B$10:$B$15,0))="","Cell will autofill based on response",INDEX('CI&amp;S'!$L$10:$L$15,MATCH($F119,'CI&amp;S'!$B$10:$B$15,0))),"N/A")</f>
        <v/>
      </c>
      <c r="M119" s="25">
        <f>IFERROR(IF(INDEX('CI&amp;S'!$L$22:$L$39,MATCH($F119,'CI&amp;S'!$B$22:$B$39,0))="","Cell will autofill based on response",INDEX('CI&amp;S'!$L$22:$L$39,MATCH($F119,'CI&amp;S'!$B$22:$B$39,0))),"N/A")</f>
        <v/>
      </c>
      <c r="N119" s="25">
        <f>IFERROR(IF(INDEX('CFOG'!$L$10:$L$16,MATCH($F119,'CFOG'!$B$10:$B$16,0))="","Cell will autofill based on response",INDEX('CFOG'!$L$10:$L$16,MATCH($F119,'CFOG'!$B$10:$B$16,0))),"N/A")</f>
        <v/>
      </c>
      <c r="O119" s="25">
        <f>IFERROR(IF(INDEX('CFOG'!$L$23:$L$24,MATCH($F119,'CFOG'!$B$23:$B$24,0))="","Cell will autofill based on response",INDEX('CFOG'!$L$23:$L$24,MATCH($F119,'CFOG'!$B$23:$B$24,0))),"N/A")</f>
        <v/>
      </c>
      <c r="P119" s="25">
        <f>IFERROR(IF(INDEX('ESG'!$L$10:$L$17,MATCH($F119,'ESG'!$B$10:$B$17,0))="","Cell will autofill based on response",INDEX('ESG'!$L$10:$L$17,MATCH($F119,'ESG'!$B$10:$B$17,0))),"N/A")</f>
        <v/>
      </c>
      <c r="Q119" s="25">
        <f>IFERROR(IF(INDEX('CIOG'!$L$10:$L$14,MATCH($F119,'CIOG'!$B$10:$B$14,0))="","Cell will autofill based on response",INDEX('CIOG'!$L$10:$L$14,MATCH($F119,'CIOG'!$B$10:$B$14,0))),"N/A")</f>
        <v/>
      </c>
      <c r="R119" s="25">
        <f>IFERROR(IF(INDEX('MRE'!$L$10:$L$12,MATCH($F119,'MRE'!$B$10:$B$12,0))="","Cell will autofill based on response",INDEX('MRE'!$L$10:$L$12,MATCH($F119,'MRE'!$B$10:$B$12,0))),"N/A")</f>
        <v/>
      </c>
      <c r="S119" s="25">
        <f>IFERROR(IF(INDEX('L&amp;R'!$L$10:$L$11,MATCH($F119,'L&amp;R'!$B$10:$B$11,0))="","Cell will autofill based on response",INDEX('L&amp;R'!$L$10:$L$11,MATCH($F119,'L&amp;R'!$B$10:$B$11,0))),"N/A")</f>
        <v/>
      </c>
      <c r="U119" s="26">
        <f>COUNTIF($H119:$S119,"Cell will autofill based on response")</f>
        <v/>
      </c>
      <c r="V119" s="26">
        <f>COUNTIF($H119:$S119,"Not yet started")</f>
        <v/>
      </c>
      <c r="W119" s="26">
        <f>COUNTIF($H119:$S119,"Not met")</f>
        <v/>
      </c>
      <c r="X119" s="26">
        <f>COUNTIF($H119:$S119,"Partially met")</f>
        <v/>
      </c>
      <c r="Y119" s="26">
        <f>COUNTIF($H119:$S119,"Met or exceeded")</f>
        <v/>
      </c>
      <c r="Z119" s="26">
        <f>3*Y119+2*X119+W119</f>
        <v/>
      </c>
      <c r="AA119" s="26">
        <f>Y119+X119+W119+V119</f>
        <v/>
      </c>
      <c r="AB119" s="27">
        <f>IF(AA119&gt;0,Z119/AA119,"No valid responses to date")</f>
        <v/>
      </c>
      <c r="AC119" s="26">
        <f>IF(ISNUMBER(AB119),INDEX(Lists!$G$2:$G$5,MATCH(ROUND(AB119,0),Lists!$H$2:$H$5,0)),"")</f>
        <v/>
      </c>
      <c r="AD119" s="28">
        <f>IF(AA119&gt;0,Y119/AA119,"")</f>
        <v/>
      </c>
      <c r="AE119" s="28">
        <f>IF(AA119&gt;0,(Y119+X119)/AA119,"")</f>
        <v/>
      </c>
      <c r="AF119" s="26">
        <f>IF(AA119=0,"",IF(AD119&gt;0.75,"Met or exceeded",IF(AE119&gt;=0.5,"Partially met","Not met")))</f>
        <v/>
      </c>
    </row>
    <row r="120">
      <c r="A120">
        <f>F120&amp;"|"&amp;G120</f>
        <v/>
      </c>
      <c r="B120" s="29" t="inlineStr"/>
      <c r="C120" s="8" t="inlineStr"/>
      <c r="D120" s="8" t="inlineStr"/>
      <c r="E120" s="8" t="inlineStr"/>
      <c r="F120" s="8" t="inlineStr">
        <is>
          <t>CL1(c)</t>
        </is>
      </c>
      <c r="G120" s="8" t="inlineStr">
        <is>
          <t>OPTION 1:  Target-level reporting</t>
        </is>
      </c>
      <c r="H120" s="25">
        <f>IFERROR(IF(INDEX('Faculties'!$M$10:$M$30,MATCH($F120,'Faculties'!$B$10:$B$30,0))="","Cell will autofill based on response",INDEX('Faculties'!$M$10:$M$30,MATCH($F120,'Faculties'!$B$10:$B$30,0))),"N/A")</f>
        <v/>
      </c>
      <c r="I120" s="25">
        <f>IFERROR(IF(INDEX('Faculties'!$M$37:$M$57,MATCH($F120,'Faculties'!$B$37:$B$57,0))="","Cell will autofill based on response",INDEX('Faculties'!$M$37:$M$57,MATCH($F120,'Faculties'!$B$37:$B$57,0))),"N/A")</f>
        <v/>
      </c>
      <c r="J120" s="25">
        <f>IFERROR(IF(INDEX('Faculties'!$M$64:$M$84,MATCH($F120,'Faculties'!$B$64:$B$84,0))="","Cell will autofill based on response",INDEX('Faculties'!$M$64:$M$84,MATCH($F120,'Faculties'!$B$64:$B$84,0))),"N/A")</f>
        <v/>
      </c>
      <c r="K120" s="25">
        <f>IFERROR(IF(INDEX('Faculties'!$M$91:$M$111,MATCH($F120,'Faculties'!$B$91:$B$111,0))="","Cell will autofill based on response",INDEX('Faculties'!$M$91:$M$111,MATCH($F120,'Faculties'!$B$91:$B$111,0))),"N/A")</f>
        <v/>
      </c>
      <c r="L120" s="25">
        <f>IFERROR(IF(INDEX('CI&amp;S'!$M$10:$M$15,MATCH($F120,'CI&amp;S'!$B$10:$B$15,0))="","Cell will autofill based on response",INDEX('CI&amp;S'!$M$10:$M$15,MATCH($F120,'CI&amp;S'!$B$10:$B$15,0))),"N/A")</f>
        <v/>
      </c>
      <c r="M120" s="25">
        <f>IFERROR(IF(INDEX('CI&amp;S'!$M$22:$M$39,MATCH($F120,'CI&amp;S'!$B$22:$B$39,0))="","Cell will autofill based on response",INDEX('CI&amp;S'!$M$22:$M$39,MATCH($F120,'CI&amp;S'!$B$22:$B$39,0))),"N/A")</f>
        <v/>
      </c>
      <c r="N120" s="25">
        <f>IFERROR(IF(INDEX('CFOG'!$M$10:$M$16,MATCH($F120,'CFOG'!$B$10:$B$16,0))="","Cell will autofill based on response",INDEX('CFOG'!$M$10:$M$16,MATCH($F120,'CFOG'!$B$10:$B$16,0))),"N/A")</f>
        <v/>
      </c>
      <c r="O120" s="25">
        <f>IFERROR(IF(INDEX('CFOG'!$M$23:$M$24,MATCH($F120,'CFOG'!$B$23:$B$24,0))="","Cell will autofill based on response",INDEX('CFOG'!$M$23:$M$24,MATCH($F120,'CFOG'!$B$23:$B$24,0))),"N/A")</f>
        <v/>
      </c>
      <c r="P120" s="25">
        <f>IFERROR(IF(INDEX('ESG'!$M$10:$M$17,MATCH($F120,'ESG'!$B$10:$B$17,0))="","Cell will autofill based on response",INDEX('ESG'!$M$10:$M$17,MATCH($F120,'ESG'!$B$10:$B$17,0))),"N/A")</f>
        <v/>
      </c>
      <c r="Q120" s="25">
        <f>IFERROR(IF(INDEX('CIOG'!$M$10:$M$14,MATCH($F120,'CIOG'!$B$10:$B$14,0))="","Cell will autofill based on response",INDEX('CIOG'!$M$10:$M$14,MATCH($F120,'CIOG'!$B$10:$B$14,0))),"N/A")</f>
        <v/>
      </c>
      <c r="R120" s="25">
        <f>IFERROR(IF(INDEX('MRE'!$M$10:$M$12,MATCH($F120,'MRE'!$B$10:$B$12,0))="","Cell will autofill based on response",INDEX('MRE'!$M$10:$M$12,MATCH($F120,'MRE'!$B$10:$B$12,0))),"N/A")</f>
        <v/>
      </c>
      <c r="S120" s="25">
        <f>IFERROR(IF(INDEX('L&amp;R'!$M$10:$M$11,MATCH($F120,'L&amp;R'!$B$10:$B$11,0))="","Cell will autofill based on response",INDEX('L&amp;R'!$M$10:$M$11,MATCH($F120,'L&amp;R'!$B$10:$B$11,0))),"N/A")</f>
        <v/>
      </c>
    </row>
    <row r="121">
      <c r="A121">
        <f>F121&amp;"|"&amp;G121</f>
        <v/>
      </c>
      <c r="B121" s="29" t="inlineStr"/>
      <c r="C121" s="8" t="inlineStr"/>
      <c r="D121" s="8" t="inlineStr"/>
      <c r="E121" s="8" t="inlineStr"/>
      <c r="F121" s="8" t="inlineStr">
        <is>
          <t>CL1(c)</t>
        </is>
      </c>
      <c r="G121" s="8" t="inlineStr">
        <is>
          <t>OPTION 2:  Indicator level reporting</t>
        </is>
      </c>
      <c r="H121" s="25">
        <f>IFERROR(IF(INDEX('Faculties'!$N$10:$N$30,MATCH($F121,'Faculties'!$B$10:$B$30,0))="","Cell will autofill based on response",INDEX('Faculties'!$N$10:$N$30,MATCH($F121,'Faculties'!$B$10:$B$30,0))),"N/A")</f>
        <v/>
      </c>
      <c r="I121" s="25">
        <f>IFERROR(IF(INDEX('Faculties'!$N$37:$N$57,MATCH($F121,'Faculties'!$B$37:$B$57,0))="","Cell will autofill based on response",INDEX('Faculties'!$N$37:$N$57,MATCH($F121,'Faculties'!$B$37:$B$57,0))),"N/A")</f>
        <v/>
      </c>
      <c r="J121" s="25">
        <f>IFERROR(IF(INDEX('Faculties'!$N$64:$N$84,MATCH($F121,'Faculties'!$B$64:$B$84,0))="","Cell will autofill based on response",INDEX('Faculties'!$N$64:$N$84,MATCH($F121,'Faculties'!$B$64:$B$84,0))),"N/A")</f>
        <v/>
      </c>
      <c r="K121" s="25">
        <f>IFERROR(IF(INDEX('Faculties'!$N$91:$N$111,MATCH($F121,'Faculties'!$B$91:$B$111,0))="","Cell will autofill based on response",INDEX('Faculties'!$N$91:$N$111,MATCH($F121,'Faculties'!$B$91:$B$111,0))),"N/A")</f>
        <v/>
      </c>
      <c r="L121" s="25">
        <f>IFERROR(IF(INDEX('CI&amp;S'!$N$10:$N$15,MATCH($F121,'CI&amp;S'!$B$10:$B$15,0))="","Cell will autofill based on response",INDEX('CI&amp;S'!$N$10:$N$15,MATCH($F121,'CI&amp;S'!$B$10:$B$15,0))),"N/A")</f>
        <v/>
      </c>
      <c r="M121" s="25">
        <f>IFERROR(IF(INDEX('CI&amp;S'!$N$22:$N$39,MATCH($F121,'CI&amp;S'!$B$22:$B$39,0))="","Cell will autofill based on response",INDEX('CI&amp;S'!$N$22:$N$39,MATCH($F121,'CI&amp;S'!$B$22:$B$39,0))),"N/A")</f>
        <v/>
      </c>
      <c r="N121" s="25">
        <f>IFERROR(IF(INDEX('CFOG'!$N$10:$N$16,MATCH($F121,'CFOG'!$B$10:$B$16,0))="","Cell will autofill based on response",INDEX('CFOG'!$N$10:$N$16,MATCH($F121,'CFOG'!$B$10:$B$16,0))),"N/A")</f>
        <v/>
      </c>
      <c r="O121" s="25">
        <f>IFERROR(IF(INDEX('CFOG'!$N$23:$N$24,MATCH($F121,'CFOG'!$B$23:$B$24,0))="","Cell will autofill based on response",INDEX('CFOG'!$N$23:$N$24,MATCH($F121,'CFOG'!$B$23:$B$24,0))),"N/A")</f>
        <v/>
      </c>
      <c r="P121" s="25">
        <f>IFERROR(IF(INDEX('ESG'!$N$10:$N$17,MATCH($F121,'ESG'!$B$10:$B$17,0))="","Cell will autofill based on response",INDEX('ESG'!$N$10:$N$17,MATCH($F121,'ESG'!$B$10:$B$17,0))),"N/A")</f>
        <v/>
      </c>
      <c r="Q121" s="25">
        <f>IFERROR(IF(INDEX('CIOG'!$N$10:$N$14,MATCH($F121,'CIOG'!$B$10:$B$14,0))="","Cell will autofill based on response",INDEX('CIOG'!$N$10:$N$14,MATCH($F121,'CIOG'!$B$10:$B$14,0))),"N/A")</f>
        <v/>
      </c>
      <c r="R121" s="25">
        <f>IFERROR(IF(INDEX('MRE'!$N$10:$N$12,MATCH($F121,'MRE'!$B$10:$B$12,0))="","Cell will autofill based on response",INDEX('MRE'!$N$10:$N$12,MATCH($F121,'MRE'!$B$10:$B$12,0))),"N/A")</f>
        <v/>
      </c>
      <c r="S121" s="25">
        <f>IFERROR(IF(INDEX('L&amp;R'!$N$10:$N$11,MATCH($F121,'L&amp;R'!$B$10:$B$11,0))="","Cell will autofill based on response",INDEX('L&amp;R'!$N$10:$N$11,MATCH($F121,'L&amp;R'!$B$10:$B$11,0))),"N/A")</f>
        <v/>
      </c>
    </row>
    <row r="122">
      <c r="A122">
        <f>F122&amp;"|"&amp;G122</f>
        <v/>
      </c>
      <c r="B122" s="29" t="inlineStr"/>
      <c r="C122" s="8" t="inlineStr"/>
      <c r="D122" s="8" t="inlineStr"/>
      <c r="E122" s="8" t="inlineStr"/>
      <c r="F122" s="8" t="inlineStr">
        <is>
          <t>CL1(c)</t>
        </is>
      </c>
      <c r="G122" s="8" t="inlineStr">
        <is>
          <t>Supporting information/comments</t>
        </is>
      </c>
      <c r="H122" s="25">
        <f>IFERROR(IF(INDEX('Faculties'!$O$10:$O$30,MATCH($F122,'Faculties'!$B$10:$B$30,0))="","Cell will autofill based on response",INDEX('Faculties'!$O$10:$O$30,MATCH($F122,'Faculties'!$B$10:$B$30,0))),"N/A")</f>
        <v/>
      </c>
      <c r="I122" s="25">
        <f>IFERROR(IF(INDEX('Faculties'!$O$37:$O$57,MATCH($F122,'Faculties'!$B$37:$B$57,0))="","Cell will autofill based on response",INDEX('Faculties'!$O$37:$O$57,MATCH($F122,'Faculties'!$B$37:$B$57,0))),"N/A")</f>
        <v/>
      </c>
      <c r="J122" s="25">
        <f>IFERROR(IF(INDEX('Faculties'!$O$64:$O$84,MATCH($F122,'Faculties'!$B$64:$B$84,0))="","Cell will autofill based on response",INDEX('Faculties'!$O$64:$O$84,MATCH($F122,'Faculties'!$B$64:$B$84,0))),"N/A")</f>
        <v/>
      </c>
      <c r="K122" s="25">
        <f>IFERROR(IF(INDEX('Faculties'!$O$91:$O$111,MATCH($F122,'Faculties'!$B$91:$B$111,0))="","Cell will autofill based on response",INDEX('Faculties'!$O$91:$O$111,MATCH($F122,'Faculties'!$B$91:$B$111,0))),"N/A")</f>
        <v/>
      </c>
      <c r="L122" s="25">
        <f>IFERROR(IF(INDEX('CI&amp;S'!$O$10:$O$15,MATCH($F122,'CI&amp;S'!$B$10:$B$15,0))="","Cell will autofill based on response",INDEX('CI&amp;S'!$O$10:$O$15,MATCH($F122,'CI&amp;S'!$B$10:$B$15,0))),"N/A")</f>
        <v/>
      </c>
      <c r="M122" s="25">
        <f>IFERROR(IF(INDEX('CI&amp;S'!$O$22:$O$39,MATCH($F122,'CI&amp;S'!$B$22:$B$39,0))="","Cell will autofill based on response",INDEX('CI&amp;S'!$O$22:$O$39,MATCH($F122,'CI&amp;S'!$B$22:$B$39,0))),"N/A")</f>
        <v/>
      </c>
      <c r="N122" s="25">
        <f>IFERROR(IF(INDEX('CFOG'!$O$10:$O$16,MATCH($F122,'CFOG'!$B$10:$B$16,0))="","Cell will autofill based on response",INDEX('CFOG'!$O$10:$O$16,MATCH($F122,'CFOG'!$B$10:$B$16,0))),"N/A")</f>
        <v/>
      </c>
      <c r="O122" s="25">
        <f>IFERROR(IF(INDEX('CFOG'!$O$23:$O$24,MATCH($F122,'CFOG'!$B$23:$B$24,0))="","Cell will autofill based on response",INDEX('CFOG'!$O$23:$O$24,MATCH($F122,'CFOG'!$B$23:$B$24,0))),"N/A")</f>
        <v/>
      </c>
      <c r="P122" s="25">
        <f>IFERROR(IF(INDEX('ESG'!$O$10:$O$17,MATCH($F122,'ESG'!$B$10:$B$17,0))="","Cell will autofill based on response",INDEX('ESG'!$O$10:$O$17,MATCH($F122,'ESG'!$B$10:$B$17,0))),"N/A")</f>
        <v/>
      </c>
      <c r="Q122" s="25">
        <f>IFERROR(IF(INDEX('CIOG'!$O$10:$O$14,MATCH($F122,'CIOG'!$B$10:$B$14,0))="","Cell will autofill based on response",INDEX('CIOG'!$O$10:$O$14,MATCH($F122,'CIOG'!$B$10:$B$14,0))),"N/A")</f>
        <v/>
      </c>
      <c r="R122" s="25">
        <f>IFERROR(IF(INDEX('MRE'!$O$10:$O$12,MATCH($F122,'MRE'!$B$10:$B$12,0))="","Cell will autofill based on response",INDEX('MRE'!$O$10:$O$12,MATCH($F122,'MRE'!$B$10:$B$12,0))),"N/A")</f>
        <v/>
      </c>
      <c r="S122" s="25">
        <f>IFERROR(IF(INDEX('L&amp;R'!$O$10:$O$11,MATCH($F122,'L&amp;R'!$B$10:$B$11,0))="","Cell will autofill based on response",INDEX('L&amp;R'!$O$10:$O$11,MATCH($F122,'L&amp;R'!$B$10:$B$11,0))),"N/A")</f>
        <v/>
      </c>
    </row>
    <row r="123">
      <c r="A123">
        <f>F123&amp;"|"&amp;G123</f>
        <v/>
      </c>
      <c r="B123" s="29" t="inlineStr"/>
      <c r="C123" s="8" t="inlineStr"/>
      <c r="D123" s="8" t="inlineStr"/>
      <c r="E123" s="8" t="inlineStr"/>
      <c r="F123" s="8" t="inlineStr">
        <is>
          <t>CL1(c)</t>
        </is>
      </c>
      <c r="G123" s="8" t="inlineStr">
        <is>
          <t>Data source and limitations</t>
        </is>
      </c>
      <c r="H123" s="25">
        <f>IFERROR(IF(INDEX('Faculties'!$P$10:$P$30,MATCH($F123,'Faculties'!$B$10:$B$30,0))="","Cell will autofill based on response",INDEX('Faculties'!$P$10:$P$30,MATCH($F123,'Faculties'!$B$10:$B$30,0))),"N/A")</f>
        <v/>
      </c>
      <c r="I123" s="25">
        <f>IFERROR(IF(INDEX('Faculties'!$P$37:$P$57,MATCH($F123,'Faculties'!$B$37:$B$57,0))="","Cell will autofill based on response",INDEX('Faculties'!$P$37:$P$57,MATCH($F123,'Faculties'!$B$37:$B$57,0))),"N/A")</f>
        <v/>
      </c>
      <c r="J123" s="25">
        <f>IFERROR(IF(INDEX('Faculties'!$P$64:$P$84,MATCH($F123,'Faculties'!$B$64:$B$84,0))="","Cell will autofill based on response",INDEX('Faculties'!$P$64:$P$84,MATCH($F123,'Faculties'!$B$64:$B$84,0))),"N/A")</f>
        <v/>
      </c>
      <c r="K123" s="25">
        <f>IFERROR(IF(INDEX('Faculties'!$P$91:$P$111,MATCH($F123,'Faculties'!$B$91:$B$111,0))="","Cell will autofill based on response",INDEX('Faculties'!$P$91:$P$111,MATCH($F123,'Faculties'!$B$91:$B$111,0))),"N/A")</f>
        <v/>
      </c>
      <c r="L123" s="25">
        <f>IFERROR(IF(INDEX('CI&amp;S'!$P$10:$P$15,MATCH($F123,'CI&amp;S'!$B$10:$B$15,0))="","Cell will autofill based on response",INDEX('CI&amp;S'!$P$10:$P$15,MATCH($F123,'CI&amp;S'!$B$10:$B$15,0))),"N/A")</f>
        <v/>
      </c>
      <c r="M123" s="25">
        <f>IFERROR(IF(INDEX('CI&amp;S'!$P$22:$P$39,MATCH($F123,'CI&amp;S'!$B$22:$B$39,0))="","Cell will autofill based on response",INDEX('CI&amp;S'!$P$22:$P$39,MATCH($F123,'CI&amp;S'!$B$22:$B$39,0))),"N/A")</f>
        <v/>
      </c>
      <c r="N123" s="25">
        <f>IFERROR(IF(INDEX('CFOG'!$P$10:$P$16,MATCH($F123,'CFOG'!$B$10:$B$16,0))="","Cell will autofill based on response",INDEX('CFOG'!$P$10:$P$16,MATCH($F123,'CFOG'!$B$10:$B$16,0))),"N/A")</f>
        <v/>
      </c>
      <c r="O123" s="25">
        <f>IFERROR(IF(INDEX('CFOG'!$P$23:$P$24,MATCH($F123,'CFOG'!$B$23:$B$24,0))="","Cell will autofill based on response",INDEX('CFOG'!$P$23:$P$24,MATCH($F123,'CFOG'!$B$23:$B$24,0))),"N/A")</f>
        <v/>
      </c>
      <c r="P123" s="25">
        <f>IFERROR(IF(INDEX('ESG'!$P$10:$P$17,MATCH($F123,'ESG'!$B$10:$B$17,0))="","Cell will autofill based on response",INDEX('ESG'!$P$10:$P$17,MATCH($F123,'ESG'!$B$10:$B$17,0))),"N/A")</f>
        <v/>
      </c>
      <c r="Q123" s="25">
        <f>IFERROR(IF(INDEX('CIOG'!$P$10:$P$14,MATCH($F123,'CIOG'!$B$10:$B$14,0))="","Cell will autofill based on response",INDEX('CIOG'!$P$10:$P$14,MATCH($F123,'CIOG'!$B$10:$B$14,0))),"N/A")</f>
        <v/>
      </c>
      <c r="R123" s="25">
        <f>IFERROR(IF(INDEX('MRE'!$P$10:$P$12,MATCH($F123,'MRE'!$B$10:$B$12,0))="","Cell will autofill based on response",INDEX('MRE'!$P$10:$P$12,MATCH($F123,'MRE'!$B$10:$B$12,0))),"N/A")</f>
        <v/>
      </c>
      <c r="S123" s="25">
        <f>IFERROR(IF(INDEX('L&amp;R'!$P$10:$P$11,MATCH($F123,'L&amp;R'!$B$10:$B$11,0))="","Cell will autofill based on response",INDEX('L&amp;R'!$P$10:$P$11,MATCH($F123,'L&amp;R'!$B$10:$B$11,0))),"N/A")</f>
        <v/>
      </c>
    </row>
    <row r="124">
      <c r="A124">
        <f>F124&amp;"|"&amp;G124</f>
        <v/>
      </c>
      <c r="B124" s="29" t="inlineStr"/>
      <c r="C124" s="8" t="inlineStr"/>
      <c r="D124" s="8" t="inlineStr"/>
      <c r="E124" s="8" t="inlineStr"/>
      <c r="F124" s="8" t="inlineStr">
        <is>
          <t>CL1(c)</t>
        </is>
      </c>
      <c r="G124" s="8" t="inlineStr">
        <is>
          <t>Data owner confirms</t>
        </is>
      </c>
      <c r="H124" s="25">
        <f>IFERROR(IF(INDEX('Faculties'!$Q$10:$Q$30,MATCH($F124,'Faculties'!$B$10:$B$30,0))="","Cell will autofill based on response",INDEX('Faculties'!$Q$10:$Q$30,MATCH($F124,'Faculties'!$B$10:$B$30,0))),"N/A")</f>
        <v/>
      </c>
      <c r="I124" s="25">
        <f>IFERROR(IF(INDEX('Faculties'!$Q$37:$Q$57,MATCH($F124,'Faculties'!$B$37:$B$57,0))="","Cell will autofill based on response",INDEX('Faculties'!$Q$37:$Q$57,MATCH($F124,'Faculties'!$B$37:$B$57,0))),"N/A")</f>
        <v/>
      </c>
      <c r="J124" s="25">
        <f>IFERROR(IF(INDEX('Faculties'!$Q$64:$Q$84,MATCH($F124,'Faculties'!$B$64:$B$84,0))="","Cell will autofill based on response",INDEX('Faculties'!$Q$64:$Q$84,MATCH($F124,'Faculties'!$B$64:$B$84,0))),"N/A")</f>
        <v/>
      </c>
      <c r="K124" s="25">
        <f>IFERROR(IF(INDEX('Faculties'!$Q$91:$Q$111,MATCH($F124,'Faculties'!$B$91:$B$111,0))="","Cell will autofill based on response",INDEX('Faculties'!$Q$91:$Q$111,MATCH($F124,'Faculties'!$B$91:$B$111,0))),"N/A")</f>
        <v/>
      </c>
      <c r="L124" s="25">
        <f>IFERROR(IF(INDEX('CI&amp;S'!$Q$10:$Q$15,MATCH($F124,'CI&amp;S'!$B$10:$B$15,0))="","Cell will autofill based on response",INDEX('CI&amp;S'!$Q$10:$Q$15,MATCH($F124,'CI&amp;S'!$B$10:$B$15,0))),"N/A")</f>
        <v/>
      </c>
      <c r="M124" s="25">
        <f>IFERROR(IF(INDEX('CI&amp;S'!$Q$22:$Q$39,MATCH($F124,'CI&amp;S'!$B$22:$B$39,0))="","Cell will autofill based on response",INDEX('CI&amp;S'!$Q$22:$Q$39,MATCH($F124,'CI&amp;S'!$B$22:$B$39,0))),"N/A")</f>
        <v/>
      </c>
      <c r="N124" s="25">
        <f>IFERROR(IF(INDEX('CFOG'!$Q$10:$Q$16,MATCH($F124,'CFOG'!$B$10:$B$16,0))="","Cell will autofill based on response",INDEX('CFOG'!$Q$10:$Q$16,MATCH($F124,'CFOG'!$B$10:$B$16,0))),"N/A")</f>
        <v/>
      </c>
      <c r="O124" s="25">
        <f>IFERROR(IF(INDEX('CFOG'!$Q$23:$Q$24,MATCH($F124,'CFOG'!$B$23:$B$24,0))="","Cell will autofill based on response",INDEX('CFOG'!$Q$23:$Q$24,MATCH($F124,'CFOG'!$B$23:$B$24,0))),"N/A")</f>
        <v/>
      </c>
      <c r="P124" s="25">
        <f>IFERROR(IF(INDEX('ESG'!$Q$10:$Q$17,MATCH($F124,'ESG'!$B$10:$B$17,0))="","Cell will autofill based on response",INDEX('ESG'!$Q$10:$Q$17,MATCH($F124,'ESG'!$B$10:$B$17,0))),"N/A")</f>
        <v/>
      </c>
      <c r="Q124" s="25">
        <f>IFERROR(IF(INDEX('CIOG'!$Q$10:$Q$14,MATCH($F124,'CIOG'!$B$10:$B$14,0))="","Cell will autofill based on response",INDEX('CIOG'!$Q$10:$Q$14,MATCH($F124,'CIOG'!$B$10:$B$14,0))),"N/A")</f>
        <v/>
      </c>
      <c r="R124" s="25">
        <f>IFERROR(IF(INDEX('MRE'!$Q$10:$Q$12,MATCH($F124,'MRE'!$B$10:$B$12,0))="","Cell will autofill based on response",INDEX('MRE'!$Q$10:$Q$12,MATCH($F124,'MRE'!$B$10:$B$12,0))),"N/A")</f>
        <v/>
      </c>
      <c r="S124" s="25">
        <f>IFERROR(IF(INDEX('L&amp;R'!$Q$10:$Q$11,MATCH($F124,'L&amp;R'!$B$10:$B$11,0))="","Cell will autofill based on response",INDEX('L&amp;R'!$Q$10:$Q$11,MATCH($F124,'L&amp;R'!$B$10:$B$11,0))),"N/A")</f>
        <v/>
      </c>
    </row>
    <row r="125">
      <c r="A125">
        <f>F125&amp;"|"&amp;G125</f>
        <v/>
      </c>
      <c r="B125" s="7" t="inlineStr">
        <is>
          <t>CL2(a)</t>
        </is>
      </c>
      <c r="C125" s="12" t="inlineStr">
        <is>
          <t>Climate leadership</t>
        </is>
      </c>
      <c r="D125" s="12" t="inlineStr">
        <is>
          <t>By 2028, develop and document institutional mapping of research and education activities that are designed to contribute to global decarbonisation</t>
        </is>
      </c>
      <c r="E125" s="12" t="inlineStr">
        <is>
          <t>Please list and describe examples of communications from your Faculty/Portfolio that demonstrate climate action, research and learning and aim to inform policy, sector or community decarbonisation efforts. Could include links, intended audiences and any available evidence of reach or influence.</t>
        </is>
      </c>
      <c r="F125" s="12" t="inlineStr">
        <is>
          <t>CL2(a)</t>
        </is>
      </c>
      <c r="G125" s="12" t="inlineStr">
        <is>
          <t>Confirm end-2026 target status</t>
        </is>
      </c>
      <c r="H125" s="25">
        <f>IFERROR(IF(INDEX('Faculties'!$L$10:$L$30,MATCH($F125,'Faculties'!$B$10:$B$30,0))="","Cell will autofill based on response",INDEX('Faculties'!$L$10:$L$30,MATCH($F125,'Faculties'!$B$10:$B$30,0))),"N/A")</f>
        <v/>
      </c>
      <c r="I125" s="25">
        <f>IFERROR(IF(INDEX('Faculties'!$L$37:$L$57,MATCH($F125,'Faculties'!$B$37:$B$57,0))="","Cell will autofill based on response",INDEX('Faculties'!$L$37:$L$57,MATCH($F125,'Faculties'!$B$37:$B$57,0))),"N/A")</f>
        <v/>
      </c>
      <c r="J125" s="25">
        <f>IFERROR(IF(INDEX('Faculties'!$L$64:$L$84,MATCH($F125,'Faculties'!$B$64:$B$84,0))="","Cell will autofill based on response",INDEX('Faculties'!$L$64:$L$84,MATCH($F125,'Faculties'!$B$64:$B$84,0))),"N/A")</f>
        <v/>
      </c>
      <c r="K125" s="25">
        <f>IFERROR(IF(INDEX('Faculties'!$L$91:$L$111,MATCH($F125,'Faculties'!$B$91:$B$111,0))="","Cell will autofill based on response",INDEX('Faculties'!$L$91:$L$111,MATCH($F125,'Faculties'!$B$91:$B$111,0))),"N/A")</f>
        <v/>
      </c>
      <c r="L125" s="25">
        <f>IFERROR(IF(INDEX('CI&amp;S'!$L$10:$L$15,MATCH($F125,'CI&amp;S'!$B$10:$B$15,0))="","Cell will autofill based on response",INDEX('CI&amp;S'!$L$10:$L$15,MATCH($F125,'CI&amp;S'!$B$10:$B$15,0))),"N/A")</f>
        <v/>
      </c>
      <c r="M125" s="25">
        <f>IFERROR(IF(INDEX('CI&amp;S'!$L$22:$L$39,MATCH($F125,'CI&amp;S'!$B$22:$B$39,0))="","Cell will autofill based on response",INDEX('CI&amp;S'!$L$22:$L$39,MATCH($F125,'CI&amp;S'!$B$22:$B$39,0))),"N/A")</f>
        <v/>
      </c>
      <c r="N125" s="25">
        <f>IFERROR(IF(INDEX('CFOG'!$L$10:$L$16,MATCH($F125,'CFOG'!$B$10:$B$16,0))="","Cell will autofill based on response",INDEX('CFOG'!$L$10:$L$16,MATCH($F125,'CFOG'!$B$10:$B$16,0))),"N/A")</f>
        <v/>
      </c>
      <c r="O125" s="25">
        <f>IFERROR(IF(INDEX('CFOG'!$L$23:$L$24,MATCH($F125,'CFOG'!$B$23:$B$24,0))="","Cell will autofill based on response",INDEX('CFOG'!$L$23:$L$24,MATCH($F125,'CFOG'!$B$23:$B$24,0))),"N/A")</f>
        <v/>
      </c>
      <c r="P125" s="25">
        <f>IFERROR(IF(INDEX('ESG'!$L$10:$L$17,MATCH($F125,'ESG'!$B$10:$B$17,0))="","Cell will autofill based on response",INDEX('ESG'!$L$10:$L$17,MATCH($F125,'ESG'!$B$10:$B$17,0))),"N/A")</f>
        <v/>
      </c>
      <c r="Q125" s="25">
        <f>IFERROR(IF(INDEX('CIOG'!$L$10:$L$14,MATCH($F125,'CIOG'!$B$10:$B$14,0))="","Cell will autofill based on response",INDEX('CIOG'!$L$10:$L$14,MATCH($F125,'CIOG'!$B$10:$B$14,0))),"N/A")</f>
        <v/>
      </c>
      <c r="R125" s="25">
        <f>IFERROR(IF(INDEX('MRE'!$L$10:$L$12,MATCH($F125,'MRE'!$B$10:$B$12,0))="","Cell will autofill based on response",INDEX('MRE'!$L$10:$L$12,MATCH($F125,'MRE'!$B$10:$B$12,0))),"N/A")</f>
        <v/>
      </c>
      <c r="S125" s="25">
        <f>IFERROR(IF(INDEX('L&amp;R'!$L$10:$L$11,MATCH($F125,'L&amp;R'!$B$10:$B$11,0))="","Cell will autofill based on response",INDEX('L&amp;R'!$L$10:$L$11,MATCH($F125,'L&amp;R'!$B$10:$B$11,0))),"N/A")</f>
        <v/>
      </c>
      <c r="U125" s="26">
        <f>COUNTIF($H125:$S125,"Cell will autofill based on response")</f>
        <v/>
      </c>
      <c r="V125" s="26">
        <f>COUNTIF($H125:$S125,"Not yet started")</f>
        <v/>
      </c>
      <c r="W125" s="26">
        <f>COUNTIF($H125:$S125,"Not met")</f>
        <v/>
      </c>
      <c r="X125" s="26">
        <f>COUNTIF($H125:$S125,"Partially met")</f>
        <v/>
      </c>
      <c r="Y125" s="26">
        <f>COUNTIF($H125:$S125,"Met or exceeded")</f>
        <v/>
      </c>
      <c r="Z125" s="26">
        <f>3*Y125+2*X125+W125</f>
        <v/>
      </c>
      <c r="AA125" s="26">
        <f>Y125+X125+W125+V125</f>
        <v/>
      </c>
      <c r="AB125" s="27">
        <f>IF(AA125&gt;0,Z125/AA125,"No valid responses to date")</f>
        <v/>
      </c>
      <c r="AC125" s="26">
        <f>IF(ISNUMBER(AB125),INDEX(Lists!$G$2:$G$5,MATCH(ROUND(AB125,0),Lists!$H$2:$H$5,0)),"")</f>
        <v/>
      </c>
      <c r="AD125" s="28">
        <f>IF(AA125&gt;0,Y125/AA125,"")</f>
        <v/>
      </c>
      <c r="AE125" s="28">
        <f>IF(AA125&gt;0,(Y125+X125)/AA125,"")</f>
        <v/>
      </c>
      <c r="AF125" s="26">
        <f>IF(AA125=0,"",IF(AD125&gt;0.75,"Met or exceeded",IF(AE125&gt;=0.5,"Partially met","Not met")))</f>
        <v/>
      </c>
    </row>
    <row r="126">
      <c r="A126">
        <f>F126&amp;"|"&amp;G126</f>
        <v/>
      </c>
      <c r="B126" s="29" t="inlineStr"/>
      <c r="C126" s="8" t="inlineStr"/>
      <c r="D126" s="8" t="inlineStr"/>
      <c r="E126" s="8" t="inlineStr"/>
      <c r="F126" s="8" t="inlineStr">
        <is>
          <t>CL2(a)</t>
        </is>
      </c>
      <c r="G126" s="8" t="inlineStr">
        <is>
          <t>OPTION 1:  Target-level reporting</t>
        </is>
      </c>
      <c r="H126" s="25">
        <f>IFERROR(IF(INDEX('Faculties'!$M$10:$M$30,MATCH($F126,'Faculties'!$B$10:$B$30,0))="","Cell will autofill based on response",INDEX('Faculties'!$M$10:$M$30,MATCH($F126,'Faculties'!$B$10:$B$30,0))),"N/A")</f>
        <v/>
      </c>
      <c r="I126" s="25">
        <f>IFERROR(IF(INDEX('Faculties'!$M$37:$M$57,MATCH($F126,'Faculties'!$B$37:$B$57,0))="","Cell will autofill based on response",INDEX('Faculties'!$M$37:$M$57,MATCH($F126,'Faculties'!$B$37:$B$57,0))),"N/A")</f>
        <v/>
      </c>
      <c r="J126" s="25">
        <f>IFERROR(IF(INDEX('Faculties'!$M$64:$M$84,MATCH($F126,'Faculties'!$B$64:$B$84,0))="","Cell will autofill based on response",INDEX('Faculties'!$M$64:$M$84,MATCH($F126,'Faculties'!$B$64:$B$84,0))),"N/A")</f>
        <v/>
      </c>
      <c r="K126" s="25">
        <f>IFERROR(IF(INDEX('Faculties'!$M$91:$M$111,MATCH($F126,'Faculties'!$B$91:$B$111,0))="","Cell will autofill based on response",INDEX('Faculties'!$M$91:$M$111,MATCH($F126,'Faculties'!$B$91:$B$111,0))),"N/A")</f>
        <v/>
      </c>
      <c r="L126" s="25">
        <f>IFERROR(IF(INDEX('CI&amp;S'!$M$10:$M$15,MATCH($F126,'CI&amp;S'!$B$10:$B$15,0))="","Cell will autofill based on response",INDEX('CI&amp;S'!$M$10:$M$15,MATCH($F126,'CI&amp;S'!$B$10:$B$15,0))),"N/A")</f>
        <v/>
      </c>
      <c r="M126" s="25">
        <f>IFERROR(IF(INDEX('CI&amp;S'!$M$22:$M$39,MATCH($F126,'CI&amp;S'!$B$22:$B$39,0))="","Cell will autofill based on response",INDEX('CI&amp;S'!$M$22:$M$39,MATCH($F126,'CI&amp;S'!$B$22:$B$39,0))),"N/A")</f>
        <v/>
      </c>
      <c r="N126" s="25">
        <f>IFERROR(IF(INDEX('CFOG'!$M$10:$M$16,MATCH($F126,'CFOG'!$B$10:$B$16,0))="","Cell will autofill based on response",INDEX('CFOG'!$M$10:$M$16,MATCH($F126,'CFOG'!$B$10:$B$16,0))),"N/A")</f>
        <v/>
      </c>
      <c r="O126" s="25">
        <f>IFERROR(IF(INDEX('CFOG'!$M$23:$M$24,MATCH($F126,'CFOG'!$B$23:$B$24,0))="","Cell will autofill based on response",INDEX('CFOG'!$M$23:$M$24,MATCH($F126,'CFOG'!$B$23:$B$24,0))),"N/A")</f>
        <v/>
      </c>
      <c r="P126" s="25">
        <f>IFERROR(IF(INDEX('ESG'!$M$10:$M$17,MATCH($F126,'ESG'!$B$10:$B$17,0))="","Cell will autofill based on response",INDEX('ESG'!$M$10:$M$17,MATCH($F126,'ESG'!$B$10:$B$17,0))),"N/A")</f>
        <v/>
      </c>
      <c r="Q126" s="25">
        <f>IFERROR(IF(INDEX('CIOG'!$M$10:$M$14,MATCH($F126,'CIOG'!$B$10:$B$14,0))="","Cell will autofill based on response",INDEX('CIOG'!$M$10:$M$14,MATCH($F126,'CIOG'!$B$10:$B$14,0))),"N/A")</f>
        <v/>
      </c>
      <c r="R126" s="25">
        <f>IFERROR(IF(INDEX('MRE'!$M$10:$M$12,MATCH($F126,'MRE'!$B$10:$B$12,0))="","Cell will autofill based on response",INDEX('MRE'!$M$10:$M$12,MATCH($F126,'MRE'!$B$10:$B$12,0))),"N/A")</f>
        <v/>
      </c>
      <c r="S126" s="25">
        <f>IFERROR(IF(INDEX('L&amp;R'!$M$10:$M$11,MATCH($F126,'L&amp;R'!$B$10:$B$11,0))="","Cell will autofill based on response",INDEX('L&amp;R'!$M$10:$M$11,MATCH($F126,'L&amp;R'!$B$10:$B$11,0))),"N/A")</f>
        <v/>
      </c>
    </row>
    <row r="127">
      <c r="A127">
        <f>F127&amp;"|"&amp;G127</f>
        <v/>
      </c>
      <c r="B127" s="29" t="inlineStr"/>
      <c r="C127" s="8" t="inlineStr"/>
      <c r="D127" s="8" t="inlineStr"/>
      <c r="E127" s="8" t="inlineStr"/>
      <c r="F127" s="8" t="inlineStr">
        <is>
          <t>CL2(a)</t>
        </is>
      </c>
      <c r="G127" s="8" t="inlineStr">
        <is>
          <t>OPTION 2:  Indicator level reporting</t>
        </is>
      </c>
      <c r="H127" s="25">
        <f>IFERROR(IF(INDEX('Faculties'!$N$10:$N$30,MATCH($F127,'Faculties'!$B$10:$B$30,0))="","Cell will autofill based on response",INDEX('Faculties'!$N$10:$N$30,MATCH($F127,'Faculties'!$B$10:$B$30,0))),"N/A")</f>
        <v/>
      </c>
      <c r="I127" s="25">
        <f>IFERROR(IF(INDEX('Faculties'!$N$37:$N$57,MATCH($F127,'Faculties'!$B$37:$B$57,0))="","Cell will autofill based on response",INDEX('Faculties'!$N$37:$N$57,MATCH($F127,'Faculties'!$B$37:$B$57,0))),"N/A")</f>
        <v/>
      </c>
      <c r="J127" s="25">
        <f>IFERROR(IF(INDEX('Faculties'!$N$64:$N$84,MATCH($F127,'Faculties'!$B$64:$B$84,0))="","Cell will autofill based on response",INDEX('Faculties'!$N$64:$N$84,MATCH($F127,'Faculties'!$B$64:$B$84,0))),"N/A")</f>
        <v/>
      </c>
      <c r="K127" s="25">
        <f>IFERROR(IF(INDEX('Faculties'!$N$91:$N$111,MATCH($F127,'Faculties'!$B$91:$B$111,0))="","Cell will autofill based on response",INDEX('Faculties'!$N$91:$N$111,MATCH($F127,'Faculties'!$B$91:$B$111,0))),"N/A")</f>
        <v/>
      </c>
      <c r="L127" s="25">
        <f>IFERROR(IF(INDEX('CI&amp;S'!$N$10:$N$15,MATCH($F127,'CI&amp;S'!$B$10:$B$15,0))="","Cell will autofill based on response",INDEX('CI&amp;S'!$N$10:$N$15,MATCH($F127,'CI&amp;S'!$B$10:$B$15,0))),"N/A")</f>
        <v/>
      </c>
      <c r="M127" s="25">
        <f>IFERROR(IF(INDEX('CI&amp;S'!$N$22:$N$39,MATCH($F127,'CI&amp;S'!$B$22:$B$39,0))="","Cell will autofill based on response",INDEX('CI&amp;S'!$N$22:$N$39,MATCH($F127,'CI&amp;S'!$B$22:$B$39,0))),"N/A")</f>
        <v/>
      </c>
      <c r="N127" s="25">
        <f>IFERROR(IF(INDEX('CFOG'!$N$10:$N$16,MATCH($F127,'CFOG'!$B$10:$B$16,0))="","Cell will autofill based on response",INDEX('CFOG'!$N$10:$N$16,MATCH($F127,'CFOG'!$B$10:$B$16,0))),"N/A")</f>
        <v/>
      </c>
      <c r="O127" s="25">
        <f>IFERROR(IF(INDEX('CFOG'!$N$23:$N$24,MATCH($F127,'CFOG'!$B$23:$B$24,0))="","Cell will autofill based on response",INDEX('CFOG'!$N$23:$N$24,MATCH($F127,'CFOG'!$B$23:$B$24,0))),"N/A")</f>
        <v/>
      </c>
      <c r="P127" s="25">
        <f>IFERROR(IF(INDEX('ESG'!$N$10:$N$17,MATCH($F127,'ESG'!$B$10:$B$17,0))="","Cell will autofill based on response",INDEX('ESG'!$N$10:$N$17,MATCH($F127,'ESG'!$B$10:$B$17,0))),"N/A")</f>
        <v/>
      </c>
      <c r="Q127" s="25">
        <f>IFERROR(IF(INDEX('CIOG'!$N$10:$N$14,MATCH($F127,'CIOG'!$B$10:$B$14,0))="","Cell will autofill based on response",INDEX('CIOG'!$N$10:$N$14,MATCH($F127,'CIOG'!$B$10:$B$14,0))),"N/A")</f>
        <v/>
      </c>
      <c r="R127" s="25">
        <f>IFERROR(IF(INDEX('MRE'!$N$10:$N$12,MATCH($F127,'MRE'!$B$10:$B$12,0))="","Cell will autofill based on response",INDEX('MRE'!$N$10:$N$12,MATCH($F127,'MRE'!$B$10:$B$12,0))),"N/A")</f>
        <v/>
      </c>
      <c r="S127" s="25">
        <f>IFERROR(IF(INDEX('L&amp;R'!$N$10:$N$11,MATCH($F127,'L&amp;R'!$B$10:$B$11,0))="","Cell will autofill based on response",INDEX('L&amp;R'!$N$10:$N$11,MATCH($F127,'L&amp;R'!$B$10:$B$11,0))),"N/A")</f>
        <v/>
      </c>
    </row>
    <row r="128">
      <c r="A128">
        <f>F128&amp;"|"&amp;G128</f>
        <v/>
      </c>
      <c r="B128" s="29" t="inlineStr"/>
      <c r="C128" s="8" t="inlineStr"/>
      <c r="D128" s="8" t="inlineStr"/>
      <c r="E128" s="8" t="inlineStr"/>
      <c r="F128" s="8" t="inlineStr">
        <is>
          <t>CL2(a)</t>
        </is>
      </c>
      <c r="G128" s="8" t="inlineStr">
        <is>
          <t>Supporting information/comments</t>
        </is>
      </c>
      <c r="H128" s="25">
        <f>IFERROR(IF(INDEX('Faculties'!$O$10:$O$30,MATCH($F128,'Faculties'!$B$10:$B$30,0))="","Cell will autofill based on response",INDEX('Faculties'!$O$10:$O$30,MATCH($F128,'Faculties'!$B$10:$B$30,0))),"N/A")</f>
        <v/>
      </c>
      <c r="I128" s="25">
        <f>IFERROR(IF(INDEX('Faculties'!$O$37:$O$57,MATCH($F128,'Faculties'!$B$37:$B$57,0))="","Cell will autofill based on response",INDEX('Faculties'!$O$37:$O$57,MATCH($F128,'Faculties'!$B$37:$B$57,0))),"N/A")</f>
        <v/>
      </c>
      <c r="J128" s="25">
        <f>IFERROR(IF(INDEX('Faculties'!$O$64:$O$84,MATCH($F128,'Faculties'!$B$64:$B$84,0))="","Cell will autofill based on response",INDEX('Faculties'!$O$64:$O$84,MATCH($F128,'Faculties'!$B$64:$B$84,0))),"N/A")</f>
        <v/>
      </c>
      <c r="K128" s="25">
        <f>IFERROR(IF(INDEX('Faculties'!$O$91:$O$111,MATCH($F128,'Faculties'!$B$91:$B$111,0))="","Cell will autofill based on response",INDEX('Faculties'!$O$91:$O$111,MATCH($F128,'Faculties'!$B$91:$B$111,0))),"N/A")</f>
        <v/>
      </c>
      <c r="L128" s="25">
        <f>IFERROR(IF(INDEX('CI&amp;S'!$O$10:$O$15,MATCH($F128,'CI&amp;S'!$B$10:$B$15,0))="","Cell will autofill based on response",INDEX('CI&amp;S'!$O$10:$O$15,MATCH($F128,'CI&amp;S'!$B$10:$B$15,0))),"N/A")</f>
        <v/>
      </c>
      <c r="M128" s="25">
        <f>IFERROR(IF(INDEX('CI&amp;S'!$O$22:$O$39,MATCH($F128,'CI&amp;S'!$B$22:$B$39,0))="","Cell will autofill based on response",INDEX('CI&amp;S'!$O$22:$O$39,MATCH($F128,'CI&amp;S'!$B$22:$B$39,0))),"N/A")</f>
        <v/>
      </c>
      <c r="N128" s="25">
        <f>IFERROR(IF(INDEX('CFOG'!$O$10:$O$16,MATCH($F128,'CFOG'!$B$10:$B$16,0))="","Cell will autofill based on response",INDEX('CFOG'!$O$10:$O$16,MATCH($F128,'CFOG'!$B$10:$B$16,0))),"N/A")</f>
        <v/>
      </c>
      <c r="O128" s="25">
        <f>IFERROR(IF(INDEX('CFOG'!$O$23:$O$24,MATCH($F128,'CFOG'!$B$23:$B$24,0))="","Cell will autofill based on response",INDEX('CFOG'!$O$23:$O$24,MATCH($F128,'CFOG'!$B$23:$B$24,0))),"N/A")</f>
        <v/>
      </c>
      <c r="P128" s="25">
        <f>IFERROR(IF(INDEX('ESG'!$O$10:$O$17,MATCH($F128,'ESG'!$B$10:$B$17,0))="","Cell will autofill based on response",INDEX('ESG'!$O$10:$O$17,MATCH($F128,'ESG'!$B$10:$B$17,0))),"N/A")</f>
        <v/>
      </c>
      <c r="Q128" s="25">
        <f>IFERROR(IF(INDEX('CIOG'!$O$10:$O$14,MATCH($F128,'CIOG'!$B$10:$B$14,0))="","Cell will autofill based on response",INDEX('CIOG'!$O$10:$O$14,MATCH($F128,'CIOG'!$B$10:$B$14,0))),"N/A")</f>
        <v/>
      </c>
      <c r="R128" s="25">
        <f>IFERROR(IF(INDEX('MRE'!$O$10:$O$12,MATCH($F128,'MRE'!$B$10:$B$12,0))="","Cell will autofill based on response",INDEX('MRE'!$O$10:$O$12,MATCH($F128,'MRE'!$B$10:$B$12,0))),"N/A")</f>
        <v/>
      </c>
      <c r="S128" s="25">
        <f>IFERROR(IF(INDEX('L&amp;R'!$O$10:$O$11,MATCH($F128,'L&amp;R'!$B$10:$B$11,0))="","Cell will autofill based on response",INDEX('L&amp;R'!$O$10:$O$11,MATCH($F128,'L&amp;R'!$B$10:$B$11,0))),"N/A")</f>
        <v/>
      </c>
    </row>
    <row r="129">
      <c r="A129">
        <f>F129&amp;"|"&amp;G129</f>
        <v/>
      </c>
      <c r="B129" s="29" t="inlineStr"/>
      <c r="C129" s="8" t="inlineStr"/>
      <c r="D129" s="8" t="inlineStr"/>
      <c r="E129" s="8" t="inlineStr"/>
      <c r="F129" s="8" t="inlineStr">
        <is>
          <t>CL2(a)</t>
        </is>
      </c>
      <c r="G129" s="8" t="inlineStr">
        <is>
          <t>Data source and limitations</t>
        </is>
      </c>
      <c r="H129" s="25">
        <f>IFERROR(IF(INDEX('Faculties'!$P$10:$P$30,MATCH($F129,'Faculties'!$B$10:$B$30,0))="","Cell will autofill based on response",INDEX('Faculties'!$P$10:$P$30,MATCH($F129,'Faculties'!$B$10:$B$30,0))),"N/A")</f>
        <v/>
      </c>
      <c r="I129" s="25">
        <f>IFERROR(IF(INDEX('Faculties'!$P$37:$P$57,MATCH($F129,'Faculties'!$B$37:$B$57,0))="","Cell will autofill based on response",INDEX('Faculties'!$P$37:$P$57,MATCH($F129,'Faculties'!$B$37:$B$57,0))),"N/A")</f>
        <v/>
      </c>
      <c r="J129" s="25">
        <f>IFERROR(IF(INDEX('Faculties'!$P$64:$P$84,MATCH($F129,'Faculties'!$B$64:$B$84,0))="","Cell will autofill based on response",INDEX('Faculties'!$P$64:$P$84,MATCH($F129,'Faculties'!$B$64:$B$84,0))),"N/A")</f>
        <v/>
      </c>
      <c r="K129" s="25">
        <f>IFERROR(IF(INDEX('Faculties'!$P$91:$P$111,MATCH($F129,'Faculties'!$B$91:$B$111,0))="","Cell will autofill based on response",INDEX('Faculties'!$P$91:$P$111,MATCH($F129,'Faculties'!$B$91:$B$111,0))),"N/A")</f>
        <v/>
      </c>
      <c r="L129" s="25">
        <f>IFERROR(IF(INDEX('CI&amp;S'!$P$10:$P$15,MATCH($F129,'CI&amp;S'!$B$10:$B$15,0))="","Cell will autofill based on response",INDEX('CI&amp;S'!$P$10:$P$15,MATCH($F129,'CI&amp;S'!$B$10:$B$15,0))),"N/A")</f>
        <v/>
      </c>
      <c r="M129" s="25">
        <f>IFERROR(IF(INDEX('CI&amp;S'!$P$22:$P$39,MATCH($F129,'CI&amp;S'!$B$22:$B$39,0))="","Cell will autofill based on response",INDEX('CI&amp;S'!$P$22:$P$39,MATCH($F129,'CI&amp;S'!$B$22:$B$39,0))),"N/A")</f>
        <v/>
      </c>
      <c r="N129" s="25">
        <f>IFERROR(IF(INDEX('CFOG'!$P$10:$P$16,MATCH($F129,'CFOG'!$B$10:$B$16,0))="","Cell will autofill based on response",INDEX('CFOG'!$P$10:$P$16,MATCH($F129,'CFOG'!$B$10:$B$16,0))),"N/A")</f>
        <v/>
      </c>
      <c r="O129" s="25">
        <f>IFERROR(IF(INDEX('CFOG'!$P$23:$P$24,MATCH($F129,'CFOG'!$B$23:$B$24,0))="","Cell will autofill based on response",INDEX('CFOG'!$P$23:$P$24,MATCH($F129,'CFOG'!$B$23:$B$24,0))),"N/A")</f>
        <v/>
      </c>
      <c r="P129" s="25">
        <f>IFERROR(IF(INDEX('ESG'!$P$10:$P$17,MATCH($F129,'ESG'!$B$10:$B$17,0))="","Cell will autofill based on response",INDEX('ESG'!$P$10:$P$17,MATCH($F129,'ESG'!$B$10:$B$17,0))),"N/A")</f>
        <v/>
      </c>
      <c r="Q129" s="25">
        <f>IFERROR(IF(INDEX('CIOG'!$P$10:$P$14,MATCH($F129,'CIOG'!$B$10:$B$14,0))="","Cell will autofill based on response",INDEX('CIOG'!$P$10:$P$14,MATCH($F129,'CIOG'!$B$10:$B$14,0))),"N/A")</f>
        <v/>
      </c>
      <c r="R129" s="25">
        <f>IFERROR(IF(INDEX('MRE'!$P$10:$P$12,MATCH($F129,'MRE'!$B$10:$B$12,0))="","Cell will autofill based on response",INDEX('MRE'!$P$10:$P$12,MATCH($F129,'MRE'!$B$10:$B$12,0))),"N/A")</f>
        <v/>
      </c>
      <c r="S129" s="25">
        <f>IFERROR(IF(INDEX('L&amp;R'!$P$10:$P$11,MATCH($F129,'L&amp;R'!$B$10:$B$11,0))="","Cell will autofill based on response",INDEX('L&amp;R'!$P$10:$P$11,MATCH($F129,'L&amp;R'!$B$10:$B$11,0))),"N/A")</f>
        <v/>
      </c>
    </row>
    <row r="130">
      <c r="A130">
        <f>F130&amp;"|"&amp;G130</f>
        <v/>
      </c>
      <c r="B130" s="29" t="inlineStr"/>
      <c r="C130" s="8" t="inlineStr"/>
      <c r="D130" s="8" t="inlineStr"/>
      <c r="E130" s="8" t="inlineStr"/>
      <c r="F130" s="8" t="inlineStr">
        <is>
          <t>CL2(a)</t>
        </is>
      </c>
      <c r="G130" s="8" t="inlineStr">
        <is>
          <t>Data owner confirms</t>
        </is>
      </c>
      <c r="H130" s="25">
        <f>IFERROR(IF(INDEX('Faculties'!$Q$10:$Q$30,MATCH($F130,'Faculties'!$B$10:$B$30,0))="","Cell will autofill based on response",INDEX('Faculties'!$Q$10:$Q$30,MATCH($F130,'Faculties'!$B$10:$B$30,0))),"N/A")</f>
        <v/>
      </c>
      <c r="I130" s="25">
        <f>IFERROR(IF(INDEX('Faculties'!$Q$37:$Q$57,MATCH($F130,'Faculties'!$B$37:$B$57,0))="","Cell will autofill based on response",INDEX('Faculties'!$Q$37:$Q$57,MATCH($F130,'Faculties'!$B$37:$B$57,0))),"N/A")</f>
        <v/>
      </c>
      <c r="J130" s="25">
        <f>IFERROR(IF(INDEX('Faculties'!$Q$64:$Q$84,MATCH($F130,'Faculties'!$B$64:$B$84,0))="","Cell will autofill based on response",INDEX('Faculties'!$Q$64:$Q$84,MATCH($F130,'Faculties'!$B$64:$B$84,0))),"N/A")</f>
        <v/>
      </c>
      <c r="K130" s="25">
        <f>IFERROR(IF(INDEX('Faculties'!$Q$91:$Q$111,MATCH($F130,'Faculties'!$B$91:$B$111,0))="","Cell will autofill based on response",INDEX('Faculties'!$Q$91:$Q$111,MATCH($F130,'Faculties'!$B$91:$B$111,0))),"N/A")</f>
        <v/>
      </c>
      <c r="L130" s="25">
        <f>IFERROR(IF(INDEX('CI&amp;S'!$Q$10:$Q$15,MATCH($F130,'CI&amp;S'!$B$10:$B$15,0))="","Cell will autofill based on response",INDEX('CI&amp;S'!$Q$10:$Q$15,MATCH($F130,'CI&amp;S'!$B$10:$B$15,0))),"N/A")</f>
        <v/>
      </c>
      <c r="M130" s="25">
        <f>IFERROR(IF(INDEX('CI&amp;S'!$Q$22:$Q$39,MATCH($F130,'CI&amp;S'!$B$22:$B$39,0))="","Cell will autofill based on response",INDEX('CI&amp;S'!$Q$22:$Q$39,MATCH($F130,'CI&amp;S'!$B$22:$B$39,0))),"N/A")</f>
        <v/>
      </c>
      <c r="N130" s="25">
        <f>IFERROR(IF(INDEX('CFOG'!$Q$10:$Q$16,MATCH($F130,'CFOG'!$B$10:$B$16,0))="","Cell will autofill based on response",INDEX('CFOG'!$Q$10:$Q$16,MATCH($F130,'CFOG'!$B$10:$B$16,0))),"N/A")</f>
        <v/>
      </c>
      <c r="O130" s="25">
        <f>IFERROR(IF(INDEX('CFOG'!$Q$23:$Q$24,MATCH($F130,'CFOG'!$B$23:$B$24,0))="","Cell will autofill based on response",INDEX('CFOG'!$Q$23:$Q$24,MATCH($F130,'CFOG'!$B$23:$B$24,0))),"N/A")</f>
        <v/>
      </c>
      <c r="P130" s="25">
        <f>IFERROR(IF(INDEX('ESG'!$Q$10:$Q$17,MATCH($F130,'ESG'!$B$10:$B$17,0))="","Cell will autofill based on response",INDEX('ESG'!$Q$10:$Q$17,MATCH($F130,'ESG'!$B$10:$B$17,0))),"N/A")</f>
        <v/>
      </c>
      <c r="Q130" s="25">
        <f>IFERROR(IF(INDEX('CIOG'!$Q$10:$Q$14,MATCH($F130,'CIOG'!$B$10:$B$14,0))="","Cell will autofill based on response",INDEX('CIOG'!$Q$10:$Q$14,MATCH($F130,'CIOG'!$B$10:$B$14,0))),"N/A")</f>
        <v/>
      </c>
      <c r="R130" s="25">
        <f>IFERROR(IF(INDEX('MRE'!$Q$10:$Q$12,MATCH($F130,'MRE'!$B$10:$B$12,0))="","Cell will autofill based on response",INDEX('MRE'!$Q$10:$Q$12,MATCH($F130,'MRE'!$B$10:$B$12,0))),"N/A")</f>
        <v/>
      </c>
      <c r="S130" s="25">
        <f>IFERROR(IF(INDEX('L&amp;R'!$Q$10:$Q$11,MATCH($F130,'L&amp;R'!$B$10:$B$11,0))="","Cell will autofill based on response",INDEX('L&amp;R'!$Q$10:$Q$11,MATCH($F130,'L&amp;R'!$B$10:$B$11,0))),"N/A")</f>
        <v/>
      </c>
    </row>
    <row r="131">
      <c r="A131">
        <f>F131&amp;"|"&amp;G131</f>
        <v/>
      </c>
      <c r="B131" s="7" t="inlineStr">
        <is>
          <t>CL2(b)</t>
        </is>
      </c>
      <c r="C131" s="12" t="inlineStr">
        <is>
          <t>Climate leadership</t>
        </is>
      </c>
      <c r="D131" s="12" t="inlineStr">
        <is>
          <t>Prioritised pipeline of decarbonisation focused research and education opportunities aligned with University emissions reduction priorities from 2028</t>
        </is>
      </c>
      <c r="E131" s="12" t="inlineStr">
        <is>
          <t>Number of pipelined projects or research transitioned from opportunity to active per year</t>
        </is>
      </c>
      <c r="F131" s="12" t="inlineStr">
        <is>
          <t>CL2(b)</t>
        </is>
      </c>
      <c r="G131" s="12" t="inlineStr">
        <is>
          <t>Confirm end-2026 target status</t>
        </is>
      </c>
      <c r="H131" s="25">
        <f>IFERROR(IF(INDEX('Faculties'!$L$10:$L$30,MATCH($F131,'Faculties'!$B$10:$B$30,0))="","Cell will autofill based on response",INDEX('Faculties'!$L$10:$L$30,MATCH($F131,'Faculties'!$B$10:$B$30,0))),"N/A")</f>
        <v/>
      </c>
      <c r="I131" s="25">
        <f>IFERROR(IF(INDEX('Faculties'!$L$37:$L$57,MATCH($F131,'Faculties'!$B$37:$B$57,0))="","Cell will autofill based on response",INDEX('Faculties'!$L$37:$L$57,MATCH($F131,'Faculties'!$B$37:$B$57,0))),"N/A")</f>
        <v/>
      </c>
      <c r="J131" s="25">
        <f>IFERROR(IF(INDEX('Faculties'!$L$64:$L$84,MATCH($F131,'Faculties'!$B$64:$B$84,0))="","Cell will autofill based on response",INDEX('Faculties'!$L$64:$L$84,MATCH($F131,'Faculties'!$B$64:$B$84,0))),"N/A")</f>
        <v/>
      </c>
      <c r="K131" s="25">
        <f>IFERROR(IF(INDEX('Faculties'!$L$91:$L$111,MATCH($F131,'Faculties'!$B$91:$B$111,0))="","Cell will autofill based on response",INDEX('Faculties'!$L$91:$L$111,MATCH($F131,'Faculties'!$B$91:$B$111,0))),"N/A")</f>
        <v/>
      </c>
      <c r="L131" s="25">
        <f>IFERROR(IF(INDEX('CI&amp;S'!$L$10:$L$15,MATCH($F131,'CI&amp;S'!$B$10:$B$15,0))="","Cell will autofill based on response",INDEX('CI&amp;S'!$L$10:$L$15,MATCH($F131,'CI&amp;S'!$B$10:$B$15,0))),"N/A")</f>
        <v/>
      </c>
      <c r="M131" s="25">
        <f>IFERROR(IF(INDEX('CI&amp;S'!$L$22:$L$39,MATCH($F131,'CI&amp;S'!$B$22:$B$39,0))="","Cell will autofill based on response",INDEX('CI&amp;S'!$L$22:$L$39,MATCH($F131,'CI&amp;S'!$B$22:$B$39,0))),"N/A")</f>
        <v/>
      </c>
      <c r="N131" s="25">
        <f>IFERROR(IF(INDEX('CFOG'!$L$10:$L$16,MATCH($F131,'CFOG'!$B$10:$B$16,0))="","Cell will autofill based on response",INDEX('CFOG'!$L$10:$L$16,MATCH($F131,'CFOG'!$B$10:$B$16,0))),"N/A")</f>
        <v/>
      </c>
      <c r="O131" s="25">
        <f>IFERROR(IF(INDEX('CFOG'!$L$23:$L$24,MATCH($F131,'CFOG'!$B$23:$B$24,0))="","Cell will autofill based on response",INDEX('CFOG'!$L$23:$L$24,MATCH($F131,'CFOG'!$B$23:$B$24,0))),"N/A")</f>
        <v/>
      </c>
      <c r="P131" s="25">
        <f>IFERROR(IF(INDEX('ESG'!$L$10:$L$17,MATCH($F131,'ESG'!$B$10:$B$17,0))="","Cell will autofill based on response",INDEX('ESG'!$L$10:$L$17,MATCH($F131,'ESG'!$B$10:$B$17,0))),"N/A")</f>
        <v/>
      </c>
      <c r="Q131" s="25">
        <f>IFERROR(IF(INDEX('CIOG'!$L$10:$L$14,MATCH($F131,'CIOG'!$B$10:$B$14,0))="","Cell will autofill based on response",INDEX('CIOG'!$L$10:$L$14,MATCH($F131,'CIOG'!$B$10:$B$14,0))),"N/A")</f>
        <v/>
      </c>
      <c r="R131" s="25">
        <f>IFERROR(IF(INDEX('MRE'!$L$10:$L$12,MATCH($F131,'MRE'!$B$10:$B$12,0))="","Cell will autofill based on response",INDEX('MRE'!$L$10:$L$12,MATCH($F131,'MRE'!$B$10:$B$12,0))),"N/A")</f>
        <v/>
      </c>
      <c r="S131" s="25">
        <f>IFERROR(IF(INDEX('L&amp;R'!$L$10:$L$11,MATCH($F131,'L&amp;R'!$B$10:$B$11,0))="","Cell will autofill based on response",INDEX('L&amp;R'!$L$10:$L$11,MATCH($F131,'L&amp;R'!$B$10:$B$11,0))),"N/A")</f>
        <v/>
      </c>
      <c r="U131" s="26">
        <f>COUNTIF($H131:$S131,"Cell will autofill based on response")</f>
        <v/>
      </c>
      <c r="V131" s="26">
        <f>COUNTIF($H131:$S131,"Not yet started")</f>
        <v/>
      </c>
      <c r="W131" s="26">
        <f>COUNTIF($H131:$S131,"Not met")</f>
        <v/>
      </c>
      <c r="X131" s="26">
        <f>COUNTIF($H131:$S131,"Partially met")</f>
        <v/>
      </c>
      <c r="Y131" s="26">
        <f>COUNTIF($H131:$S131,"Met or exceeded")</f>
        <v/>
      </c>
      <c r="Z131" s="26">
        <f>3*Y131+2*X131+W131</f>
        <v/>
      </c>
      <c r="AA131" s="26">
        <f>Y131+X131+W131+V131</f>
        <v/>
      </c>
      <c r="AB131" s="27">
        <f>IF(AA131&gt;0,Z131/AA131,"No valid responses to date")</f>
        <v/>
      </c>
      <c r="AC131" s="26">
        <f>IF(ISNUMBER(AB131),INDEX(Lists!$G$2:$G$5,MATCH(ROUND(AB131,0),Lists!$H$2:$H$5,0)),"")</f>
        <v/>
      </c>
      <c r="AD131" s="28">
        <f>IF(AA131&gt;0,Y131/AA131,"")</f>
        <v/>
      </c>
      <c r="AE131" s="28">
        <f>IF(AA131&gt;0,(Y131+X131)/AA131,"")</f>
        <v/>
      </c>
      <c r="AF131" s="26">
        <f>IF(AA131=0,"",IF(AD131&gt;0.75,"Met or exceeded",IF(AE131&gt;=0.5,"Partially met","Not met")))</f>
        <v/>
      </c>
    </row>
    <row r="132">
      <c r="A132">
        <f>F132&amp;"|"&amp;G132</f>
        <v/>
      </c>
      <c r="B132" s="29" t="inlineStr"/>
      <c r="C132" s="8" t="inlineStr"/>
      <c r="D132" s="8" t="inlineStr"/>
      <c r="E132" s="8" t="inlineStr"/>
      <c r="F132" s="8" t="inlineStr">
        <is>
          <t>CL2(b)</t>
        </is>
      </c>
      <c r="G132" s="8" t="inlineStr">
        <is>
          <t>OPTION 1:  Target-level reporting</t>
        </is>
      </c>
      <c r="H132" s="25">
        <f>IFERROR(IF(INDEX('Faculties'!$M$10:$M$30,MATCH($F132,'Faculties'!$B$10:$B$30,0))="","Cell will autofill based on response",INDEX('Faculties'!$M$10:$M$30,MATCH($F132,'Faculties'!$B$10:$B$30,0))),"N/A")</f>
        <v/>
      </c>
      <c r="I132" s="25">
        <f>IFERROR(IF(INDEX('Faculties'!$M$37:$M$57,MATCH($F132,'Faculties'!$B$37:$B$57,0))="","Cell will autofill based on response",INDEX('Faculties'!$M$37:$M$57,MATCH($F132,'Faculties'!$B$37:$B$57,0))),"N/A")</f>
        <v/>
      </c>
      <c r="J132" s="25">
        <f>IFERROR(IF(INDEX('Faculties'!$M$64:$M$84,MATCH($F132,'Faculties'!$B$64:$B$84,0))="","Cell will autofill based on response",INDEX('Faculties'!$M$64:$M$84,MATCH($F132,'Faculties'!$B$64:$B$84,0))),"N/A")</f>
        <v/>
      </c>
      <c r="K132" s="25">
        <f>IFERROR(IF(INDEX('Faculties'!$M$91:$M$111,MATCH($F132,'Faculties'!$B$91:$B$111,0))="","Cell will autofill based on response",INDEX('Faculties'!$M$91:$M$111,MATCH($F132,'Faculties'!$B$91:$B$111,0))),"N/A")</f>
        <v/>
      </c>
      <c r="L132" s="25">
        <f>IFERROR(IF(INDEX('CI&amp;S'!$M$10:$M$15,MATCH($F132,'CI&amp;S'!$B$10:$B$15,0))="","Cell will autofill based on response",INDEX('CI&amp;S'!$M$10:$M$15,MATCH($F132,'CI&amp;S'!$B$10:$B$15,0))),"N/A")</f>
        <v/>
      </c>
      <c r="M132" s="25">
        <f>IFERROR(IF(INDEX('CI&amp;S'!$M$22:$M$39,MATCH($F132,'CI&amp;S'!$B$22:$B$39,0))="","Cell will autofill based on response",INDEX('CI&amp;S'!$M$22:$M$39,MATCH($F132,'CI&amp;S'!$B$22:$B$39,0))),"N/A")</f>
        <v/>
      </c>
      <c r="N132" s="25">
        <f>IFERROR(IF(INDEX('CFOG'!$M$10:$M$16,MATCH($F132,'CFOG'!$B$10:$B$16,0))="","Cell will autofill based on response",INDEX('CFOG'!$M$10:$M$16,MATCH($F132,'CFOG'!$B$10:$B$16,0))),"N/A")</f>
        <v/>
      </c>
      <c r="O132" s="25">
        <f>IFERROR(IF(INDEX('CFOG'!$M$23:$M$24,MATCH($F132,'CFOG'!$B$23:$B$24,0))="","Cell will autofill based on response",INDEX('CFOG'!$M$23:$M$24,MATCH($F132,'CFOG'!$B$23:$B$24,0))),"N/A")</f>
        <v/>
      </c>
      <c r="P132" s="25">
        <f>IFERROR(IF(INDEX('ESG'!$M$10:$M$17,MATCH($F132,'ESG'!$B$10:$B$17,0))="","Cell will autofill based on response",INDEX('ESG'!$M$10:$M$17,MATCH($F132,'ESG'!$B$10:$B$17,0))),"N/A")</f>
        <v/>
      </c>
      <c r="Q132" s="25">
        <f>IFERROR(IF(INDEX('CIOG'!$M$10:$M$14,MATCH($F132,'CIOG'!$B$10:$B$14,0))="","Cell will autofill based on response",INDEX('CIOG'!$M$10:$M$14,MATCH($F132,'CIOG'!$B$10:$B$14,0))),"N/A")</f>
        <v/>
      </c>
      <c r="R132" s="25">
        <f>IFERROR(IF(INDEX('MRE'!$M$10:$M$12,MATCH($F132,'MRE'!$B$10:$B$12,0))="","Cell will autofill based on response",INDEX('MRE'!$M$10:$M$12,MATCH($F132,'MRE'!$B$10:$B$12,0))),"N/A")</f>
        <v/>
      </c>
      <c r="S132" s="25">
        <f>IFERROR(IF(INDEX('L&amp;R'!$M$10:$M$11,MATCH($F132,'L&amp;R'!$B$10:$B$11,0))="","Cell will autofill based on response",INDEX('L&amp;R'!$M$10:$M$11,MATCH($F132,'L&amp;R'!$B$10:$B$11,0))),"N/A")</f>
        <v/>
      </c>
    </row>
    <row r="133">
      <c r="A133">
        <f>F133&amp;"|"&amp;G133</f>
        <v/>
      </c>
      <c r="B133" s="29" t="inlineStr"/>
      <c r="C133" s="8" t="inlineStr"/>
      <c r="D133" s="8" t="inlineStr"/>
      <c r="E133" s="8" t="inlineStr"/>
      <c r="F133" s="8" t="inlineStr">
        <is>
          <t>CL2(b)</t>
        </is>
      </c>
      <c r="G133" s="8" t="inlineStr">
        <is>
          <t>OPTION 2:  Indicator level reporting</t>
        </is>
      </c>
      <c r="H133" s="25">
        <f>IFERROR(IF(INDEX('Faculties'!$N$10:$N$30,MATCH($F133,'Faculties'!$B$10:$B$30,0))="","Cell will autofill based on response",INDEX('Faculties'!$N$10:$N$30,MATCH($F133,'Faculties'!$B$10:$B$30,0))),"N/A")</f>
        <v/>
      </c>
      <c r="I133" s="25">
        <f>IFERROR(IF(INDEX('Faculties'!$N$37:$N$57,MATCH($F133,'Faculties'!$B$37:$B$57,0))="","Cell will autofill based on response",INDEX('Faculties'!$N$37:$N$57,MATCH($F133,'Faculties'!$B$37:$B$57,0))),"N/A")</f>
        <v/>
      </c>
      <c r="J133" s="25">
        <f>IFERROR(IF(INDEX('Faculties'!$N$64:$N$84,MATCH($F133,'Faculties'!$B$64:$B$84,0))="","Cell will autofill based on response",INDEX('Faculties'!$N$64:$N$84,MATCH($F133,'Faculties'!$B$64:$B$84,0))),"N/A")</f>
        <v/>
      </c>
      <c r="K133" s="25">
        <f>IFERROR(IF(INDEX('Faculties'!$N$91:$N$111,MATCH($F133,'Faculties'!$B$91:$B$111,0))="","Cell will autofill based on response",INDEX('Faculties'!$N$91:$N$111,MATCH($F133,'Faculties'!$B$91:$B$111,0))),"N/A")</f>
        <v/>
      </c>
      <c r="L133" s="25">
        <f>IFERROR(IF(INDEX('CI&amp;S'!$N$10:$N$15,MATCH($F133,'CI&amp;S'!$B$10:$B$15,0))="","Cell will autofill based on response",INDEX('CI&amp;S'!$N$10:$N$15,MATCH($F133,'CI&amp;S'!$B$10:$B$15,0))),"N/A")</f>
        <v/>
      </c>
      <c r="M133" s="25">
        <f>IFERROR(IF(INDEX('CI&amp;S'!$N$22:$N$39,MATCH($F133,'CI&amp;S'!$B$22:$B$39,0))="","Cell will autofill based on response",INDEX('CI&amp;S'!$N$22:$N$39,MATCH($F133,'CI&amp;S'!$B$22:$B$39,0))),"N/A")</f>
        <v/>
      </c>
      <c r="N133" s="25">
        <f>IFERROR(IF(INDEX('CFOG'!$N$10:$N$16,MATCH($F133,'CFOG'!$B$10:$B$16,0))="","Cell will autofill based on response",INDEX('CFOG'!$N$10:$N$16,MATCH($F133,'CFOG'!$B$10:$B$16,0))),"N/A")</f>
        <v/>
      </c>
      <c r="O133" s="25">
        <f>IFERROR(IF(INDEX('CFOG'!$N$23:$N$24,MATCH($F133,'CFOG'!$B$23:$B$24,0))="","Cell will autofill based on response",INDEX('CFOG'!$N$23:$N$24,MATCH($F133,'CFOG'!$B$23:$B$24,0))),"N/A")</f>
        <v/>
      </c>
      <c r="P133" s="25">
        <f>IFERROR(IF(INDEX('ESG'!$N$10:$N$17,MATCH($F133,'ESG'!$B$10:$B$17,0))="","Cell will autofill based on response",INDEX('ESG'!$N$10:$N$17,MATCH($F133,'ESG'!$B$10:$B$17,0))),"N/A")</f>
        <v/>
      </c>
      <c r="Q133" s="25">
        <f>IFERROR(IF(INDEX('CIOG'!$N$10:$N$14,MATCH($F133,'CIOG'!$B$10:$B$14,0))="","Cell will autofill based on response",INDEX('CIOG'!$N$10:$N$14,MATCH($F133,'CIOG'!$B$10:$B$14,0))),"N/A")</f>
        <v/>
      </c>
      <c r="R133" s="25">
        <f>IFERROR(IF(INDEX('MRE'!$N$10:$N$12,MATCH($F133,'MRE'!$B$10:$B$12,0))="","Cell will autofill based on response",INDEX('MRE'!$N$10:$N$12,MATCH($F133,'MRE'!$B$10:$B$12,0))),"N/A")</f>
        <v/>
      </c>
      <c r="S133" s="25">
        <f>IFERROR(IF(INDEX('L&amp;R'!$N$10:$N$11,MATCH($F133,'L&amp;R'!$B$10:$B$11,0))="","Cell will autofill based on response",INDEX('L&amp;R'!$N$10:$N$11,MATCH($F133,'L&amp;R'!$B$10:$B$11,0))),"N/A")</f>
        <v/>
      </c>
    </row>
    <row r="134">
      <c r="A134">
        <f>F134&amp;"|"&amp;G134</f>
        <v/>
      </c>
      <c r="B134" s="29" t="inlineStr"/>
      <c r="C134" s="8" t="inlineStr"/>
      <c r="D134" s="8" t="inlineStr"/>
      <c r="E134" s="8" t="inlineStr"/>
      <c r="F134" s="8" t="inlineStr">
        <is>
          <t>CL2(b)</t>
        </is>
      </c>
      <c r="G134" s="8" t="inlineStr">
        <is>
          <t>Supporting information/comments</t>
        </is>
      </c>
      <c r="H134" s="25">
        <f>IFERROR(IF(INDEX('Faculties'!$O$10:$O$30,MATCH($F134,'Faculties'!$B$10:$B$30,0))="","Cell will autofill based on response",INDEX('Faculties'!$O$10:$O$30,MATCH($F134,'Faculties'!$B$10:$B$30,0))),"N/A")</f>
        <v/>
      </c>
      <c r="I134" s="25">
        <f>IFERROR(IF(INDEX('Faculties'!$O$37:$O$57,MATCH($F134,'Faculties'!$B$37:$B$57,0))="","Cell will autofill based on response",INDEX('Faculties'!$O$37:$O$57,MATCH($F134,'Faculties'!$B$37:$B$57,0))),"N/A")</f>
        <v/>
      </c>
      <c r="J134" s="25">
        <f>IFERROR(IF(INDEX('Faculties'!$O$64:$O$84,MATCH($F134,'Faculties'!$B$64:$B$84,0))="","Cell will autofill based on response",INDEX('Faculties'!$O$64:$O$84,MATCH($F134,'Faculties'!$B$64:$B$84,0))),"N/A")</f>
        <v/>
      </c>
      <c r="K134" s="25">
        <f>IFERROR(IF(INDEX('Faculties'!$O$91:$O$111,MATCH($F134,'Faculties'!$B$91:$B$111,0))="","Cell will autofill based on response",INDEX('Faculties'!$O$91:$O$111,MATCH($F134,'Faculties'!$B$91:$B$111,0))),"N/A")</f>
        <v/>
      </c>
      <c r="L134" s="25">
        <f>IFERROR(IF(INDEX('CI&amp;S'!$O$10:$O$15,MATCH($F134,'CI&amp;S'!$B$10:$B$15,0))="","Cell will autofill based on response",INDEX('CI&amp;S'!$O$10:$O$15,MATCH($F134,'CI&amp;S'!$B$10:$B$15,0))),"N/A")</f>
        <v/>
      </c>
      <c r="M134" s="25">
        <f>IFERROR(IF(INDEX('CI&amp;S'!$O$22:$O$39,MATCH($F134,'CI&amp;S'!$B$22:$B$39,0))="","Cell will autofill based on response",INDEX('CI&amp;S'!$O$22:$O$39,MATCH($F134,'CI&amp;S'!$B$22:$B$39,0))),"N/A")</f>
        <v/>
      </c>
      <c r="N134" s="25">
        <f>IFERROR(IF(INDEX('CFOG'!$O$10:$O$16,MATCH($F134,'CFOG'!$B$10:$B$16,0))="","Cell will autofill based on response",INDEX('CFOG'!$O$10:$O$16,MATCH($F134,'CFOG'!$B$10:$B$16,0))),"N/A")</f>
        <v/>
      </c>
      <c r="O134" s="25">
        <f>IFERROR(IF(INDEX('CFOG'!$O$23:$O$24,MATCH($F134,'CFOG'!$B$23:$B$24,0))="","Cell will autofill based on response",INDEX('CFOG'!$O$23:$O$24,MATCH($F134,'CFOG'!$B$23:$B$24,0))),"N/A")</f>
        <v/>
      </c>
      <c r="P134" s="25">
        <f>IFERROR(IF(INDEX('ESG'!$O$10:$O$17,MATCH($F134,'ESG'!$B$10:$B$17,0))="","Cell will autofill based on response",INDEX('ESG'!$O$10:$O$17,MATCH($F134,'ESG'!$B$10:$B$17,0))),"N/A")</f>
        <v/>
      </c>
      <c r="Q134" s="25">
        <f>IFERROR(IF(INDEX('CIOG'!$O$10:$O$14,MATCH($F134,'CIOG'!$B$10:$B$14,0))="","Cell will autofill based on response",INDEX('CIOG'!$O$10:$O$14,MATCH($F134,'CIOG'!$B$10:$B$14,0))),"N/A")</f>
        <v/>
      </c>
      <c r="R134" s="25">
        <f>IFERROR(IF(INDEX('MRE'!$O$10:$O$12,MATCH($F134,'MRE'!$B$10:$B$12,0))="","Cell will autofill based on response",INDEX('MRE'!$O$10:$O$12,MATCH($F134,'MRE'!$B$10:$B$12,0))),"N/A")</f>
        <v/>
      </c>
      <c r="S134" s="25">
        <f>IFERROR(IF(INDEX('L&amp;R'!$O$10:$O$11,MATCH($F134,'L&amp;R'!$B$10:$B$11,0))="","Cell will autofill based on response",INDEX('L&amp;R'!$O$10:$O$11,MATCH($F134,'L&amp;R'!$B$10:$B$11,0))),"N/A")</f>
        <v/>
      </c>
    </row>
    <row r="135">
      <c r="A135">
        <f>F135&amp;"|"&amp;G135</f>
        <v/>
      </c>
      <c r="B135" s="29" t="inlineStr"/>
      <c r="C135" s="8" t="inlineStr"/>
      <c r="D135" s="8" t="inlineStr"/>
      <c r="E135" s="8" t="inlineStr"/>
      <c r="F135" s="8" t="inlineStr">
        <is>
          <t>CL2(b)</t>
        </is>
      </c>
      <c r="G135" s="8" t="inlineStr">
        <is>
          <t>Data source and limitations</t>
        </is>
      </c>
      <c r="H135" s="25">
        <f>IFERROR(IF(INDEX('Faculties'!$P$10:$P$30,MATCH($F135,'Faculties'!$B$10:$B$30,0))="","Cell will autofill based on response",INDEX('Faculties'!$P$10:$P$30,MATCH($F135,'Faculties'!$B$10:$B$30,0))),"N/A")</f>
        <v/>
      </c>
      <c r="I135" s="25">
        <f>IFERROR(IF(INDEX('Faculties'!$P$37:$P$57,MATCH($F135,'Faculties'!$B$37:$B$57,0))="","Cell will autofill based on response",INDEX('Faculties'!$P$37:$P$57,MATCH($F135,'Faculties'!$B$37:$B$57,0))),"N/A")</f>
        <v/>
      </c>
      <c r="J135" s="25">
        <f>IFERROR(IF(INDEX('Faculties'!$P$64:$P$84,MATCH($F135,'Faculties'!$B$64:$B$84,0))="","Cell will autofill based on response",INDEX('Faculties'!$P$64:$P$84,MATCH($F135,'Faculties'!$B$64:$B$84,0))),"N/A")</f>
        <v/>
      </c>
      <c r="K135" s="25">
        <f>IFERROR(IF(INDEX('Faculties'!$P$91:$P$111,MATCH($F135,'Faculties'!$B$91:$B$111,0))="","Cell will autofill based on response",INDEX('Faculties'!$P$91:$P$111,MATCH($F135,'Faculties'!$B$91:$B$111,0))),"N/A")</f>
        <v/>
      </c>
      <c r="L135" s="25">
        <f>IFERROR(IF(INDEX('CI&amp;S'!$P$10:$P$15,MATCH($F135,'CI&amp;S'!$B$10:$B$15,0))="","Cell will autofill based on response",INDEX('CI&amp;S'!$P$10:$P$15,MATCH($F135,'CI&amp;S'!$B$10:$B$15,0))),"N/A")</f>
        <v/>
      </c>
      <c r="M135" s="25">
        <f>IFERROR(IF(INDEX('CI&amp;S'!$P$22:$P$39,MATCH($F135,'CI&amp;S'!$B$22:$B$39,0))="","Cell will autofill based on response",INDEX('CI&amp;S'!$P$22:$P$39,MATCH($F135,'CI&amp;S'!$B$22:$B$39,0))),"N/A")</f>
        <v/>
      </c>
      <c r="N135" s="25">
        <f>IFERROR(IF(INDEX('CFOG'!$P$10:$P$16,MATCH($F135,'CFOG'!$B$10:$B$16,0))="","Cell will autofill based on response",INDEX('CFOG'!$P$10:$P$16,MATCH($F135,'CFOG'!$B$10:$B$16,0))),"N/A")</f>
        <v/>
      </c>
      <c r="O135" s="25">
        <f>IFERROR(IF(INDEX('CFOG'!$P$23:$P$24,MATCH($F135,'CFOG'!$B$23:$B$24,0))="","Cell will autofill based on response",INDEX('CFOG'!$P$23:$P$24,MATCH($F135,'CFOG'!$B$23:$B$24,0))),"N/A")</f>
        <v/>
      </c>
      <c r="P135" s="25">
        <f>IFERROR(IF(INDEX('ESG'!$P$10:$P$17,MATCH($F135,'ESG'!$B$10:$B$17,0))="","Cell will autofill based on response",INDEX('ESG'!$P$10:$P$17,MATCH($F135,'ESG'!$B$10:$B$17,0))),"N/A")</f>
        <v/>
      </c>
      <c r="Q135" s="25">
        <f>IFERROR(IF(INDEX('CIOG'!$P$10:$P$14,MATCH($F135,'CIOG'!$B$10:$B$14,0))="","Cell will autofill based on response",INDEX('CIOG'!$P$10:$P$14,MATCH($F135,'CIOG'!$B$10:$B$14,0))),"N/A")</f>
        <v/>
      </c>
      <c r="R135" s="25">
        <f>IFERROR(IF(INDEX('MRE'!$P$10:$P$12,MATCH($F135,'MRE'!$B$10:$B$12,0))="","Cell will autofill based on response",INDEX('MRE'!$P$10:$P$12,MATCH($F135,'MRE'!$B$10:$B$12,0))),"N/A")</f>
        <v/>
      </c>
      <c r="S135" s="25">
        <f>IFERROR(IF(INDEX('L&amp;R'!$P$10:$P$11,MATCH($F135,'L&amp;R'!$B$10:$B$11,0))="","Cell will autofill based on response",INDEX('L&amp;R'!$P$10:$P$11,MATCH($F135,'L&amp;R'!$B$10:$B$11,0))),"N/A")</f>
        <v/>
      </c>
    </row>
    <row r="136">
      <c r="A136">
        <f>F136&amp;"|"&amp;G136</f>
        <v/>
      </c>
      <c r="B136" s="29" t="inlineStr"/>
      <c r="C136" s="8" t="inlineStr"/>
      <c r="D136" s="8" t="inlineStr"/>
      <c r="E136" s="8" t="inlineStr"/>
      <c r="F136" s="8" t="inlineStr">
        <is>
          <t>CL2(b)</t>
        </is>
      </c>
      <c r="G136" s="8" t="inlineStr">
        <is>
          <t>Data owner confirms</t>
        </is>
      </c>
      <c r="H136" s="25">
        <f>IFERROR(IF(INDEX('Faculties'!$Q$10:$Q$30,MATCH($F136,'Faculties'!$B$10:$B$30,0))="","Cell will autofill based on response",INDEX('Faculties'!$Q$10:$Q$30,MATCH($F136,'Faculties'!$B$10:$B$30,0))),"N/A")</f>
        <v/>
      </c>
      <c r="I136" s="25">
        <f>IFERROR(IF(INDEX('Faculties'!$Q$37:$Q$57,MATCH($F136,'Faculties'!$B$37:$B$57,0))="","Cell will autofill based on response",INDEX('Faculties'!$Q$37:$Q$57,MATCH($F136,'Faculties'!$B$37:$B$57,0))),"N/A")</f>
        <v/>
      </c>
      <c r="J136" s="25">
        <f>IFERROR(IF(INDEX('Faculties'!$Q$64:$Q$84,MATCH($F136,'Faculties'!$B$64:$B$84,0))="","Cell will autofill based on response",INDEX('Faculties'!$Q$64:$Q$84,MATCH($F136,'Faculties'!$B$64:$B$84,0))),"N/A")</f>
        <v/>
      </c>
      <c r="K136" s="25">
        <f>IFERROR(IF(INDEX('Faculties'!$Q$91:$Q$111,MATCH($F136,'Faculties'!$B$91:$B$111,0))="","Cell will autofill based on response",INDEX('Faculties'!$Q$91:$Q$111,MATCH($F136,'Faculties'!$B$91:$B$111,0))),"N/A")</f>
        <v/>
      </c>
      <c r="L136" s="25">
        <f>IFERROR(IF(INDEX('CI&amp;S'!$Q$10:$Q$15,MATCH($F136,'CI&amp;S'!$B$10:$B$15,0))="","Cell will autofill based on response",INDEX('CI&amp;S'!$Q$10:$Q$15,MATCH($F136,'CI&amp;S'!$B$10:$B$15,0))),"N/A")</f>
        <v/>
      </c>
      <c r="M136" s="25">
        <f>IFERROR(IF(INDEX('CI&amp;S'!$Q$22:$Q$39,MATCH($F136,'CI&amp;S'!$B$22:$B$39,0))="","Cell will autofill based on response",INDEX('CI&amp;S'!$Q$22:$Q$39,MATCH($F136,'CI&amp;S'!$B$22:$B$39,0))),"N/A")</f>
        <v/>
      </c>
      <c r="N136" s="25">
        <f>IFERROR(IF(INDEX('CFOG'!$Q$10:$Q$16,MATCH($F136,'CFOG'!$B$10:$B$16,0))="","Cell will autofill based on response",INDEX('CFOG'!$Q$10:$Q$16,MATCH($F136,'CFOG'!$B$10:$B$16,0))),"N/A")</f>
        <v/>
      </c>
      <c r="O136" s="25">
        <f>IFERROR(IF(INDEX('CFOG'!$Q$23:$Q$24,MATCH($F136,'CFOG'!$B$23:$B$24,0))="","Cell will autofill based on response",INDEX('CFOG'!$Q$23:$Q$24,MATCH($F136,'CFOG'!$B$23:$B$24,0))),"N/A")</f>
        <v/>
      </c>
      <c r="P136" s="25">
        <f>IFERROR(IF(INDEX('ESG'!$Q$10:$Q$17,MATCH($F136,'ESG'!$B$10:$B$17,0))="","Cell will autofill based on response",INDEX('ESG'!$Q$10:$Q$17,MATCH($F136,'ESG'!$B$10:$B$17,0))),"N/A")</f>
        <v/>
      </c>
      <c r="Q136" s="25">
        <f>IFERROR(IF(INDEX('CIOG'!$Q$10:$Q$14,MATCH($F136,'CIOG'!$B$10:$B$14,0))="","Cell will autofill based on response",INDEX('CIOG'!$Q$10:$Q$14,MATCH($F136,'CIOG'!$B$10:$B$14,0))),"N/A")</f>
        <v/>
      </c>
      <c r="R136" s="25">
        <f>IFERROR(IF(INDEX('MRE'!$Q$10:$Q$12,MATCH($F136,'MRE'!$B$10:$B$12,0))="","Cell will autofill based on response",INDEX('MRE'!$Q$10:$Q$12,MATCH($F136,'MRE'!$B$10:$B$12,0))),"N/A")</f>
        <v/>
      </c>
      <c r="S136" s="25">
        <f>IFERROR(IF(INDEX('L&amp;R'!$Q$10:$Q$11,MATCH($F136,'L&amp;R'!$B$10:$B$11,0))="","Cell will autofill based on response",INDEX('L&amp;R'!$Q$10:$Q$11,MATCH($F136,'L&amp;R'!$B$10:$B$11,0))),"N/A")</f>
        <v/>
      </c>
    </row>
    <row r="137">
      <c r="A137">
        <f>F137&amp;"|"&amp;G137</f>
        <v/>
      </c>
      <c r="B137" s="7" t="inlineStr">
        <is>
          <t>CL2(c)</t>
        </is>
      </c>
      <c r="C137" s="12" t="inlineStr">
        <is>
          <t>Climate leadership</t>
        </is>
      </c>
      <c r="D137" s="12" t="inlineStr">
        <is>
          <t>Ongoing communications that evidence the University’s climate action, research and learning to inform policy, sector and community decarbonisation efforts.</t>
        </is>
      </c>
      <c r="E137" s="12" t="inlineStr">
        <is>
          <t>List and describe communications from the faculty in terms of climate action, research and learning to inform policy, sector and community decarbonisation efforts</t>
        </is>
      </c>
      <c r="F137" s="12" t="inlineStr">
        <is>
          <t>CL2(c)</t>
        </is>
      </c>
      <c r="G137" s="12" t="inlineStr">
        <is>
          <t>Confirm end-2026 target status</t>
        </is>
      </c>
      <c r="H137" s="25">
        <f>IFERROR(IF(INDEX('Faculties'!$L$10:$L$30,MATCH($F137,'Faculties'!$B$10:$B$30,0))="","Cell will autofill based on response",INDEX('Faculties'!$L$10:$L$30,MATCH($F137,'Faculties'!$B$10:$B$30,0))),"N/A")</f>
        <v/>
      </c>
      <c r="I137" s="25">
        <f>IFERROR(IF(INDEX('Faculties'!$L$37:$L$57,MATCH($F137,'Faculties'!$B$37:$B$57,0))="","Cell will autofill based on response",INDEX('Faculties'!$L$37:$L$57,MATCH($F137,'Faculties'!$B$37:$B$57,0))),"N/A")</f>
        <v/>
      </c>
      <c r="J137" s="25">
        <f>IFERROR(IF(INDEX('Faculties'!$L$64:$L$84,MATCH($F137,'Faculties'!$B$64:$B$84,0))="","Cell will autofill based on response",INDEX('Faculties'!$L$64:$L$84,MATCH($F137,'Faculties'!$B$64:$B$84,0))),"N/A")</f>
        <v/>
      </c>
      <c r="K137" s="25">
        <f>IFERROR(IF(INDEX('Faculties'!$L$91:$L$111,MATCH($F137,'Faculties'!$B$91:$B$111,0))="","Cell will autofill based on response",INDEX('Faculties'!$L$91:$L$111,MATCH($F137,'Faculties'!$B$91:$B$111,0))),"N/A")</f>
        <v/>
      </c>
      <c r="L137" s="25">
        <f>IFERROR(IF(INDEX('CI&amp;S'!$L$10:$L$15,MATCH($F137,'CI&amp;S'!$B$10:$B$15,0))="","Cell will autofill based on response",INDEX('CI&amp;S'!$L$10:$L$15,MATCH($F137,'CI&amp;S'!$B$10:$B$15,0))),"N/A")</f>
        <v/>
      </c>
      <c r="M137" s="25">
        <f>IFERROR(IF(INDEX('CI&amp;S'!$L$22:$L$39,MATCH($F137,'CI&amp;S'!$B$22:$B$39,0))="","Cell will autofill based on response",INDEX('CI&amp;S'!$L$22:$L$39,MATCH($F137,'CI&amp;S'!$B$22:$B$39,0))),"N/A")</f>
        <v/>
      </c>
      <c r="N137" s="25">
        <f>IFERROR(IF(INDEX('CFOG'!$L$10:$L$16,MATCH($F137,'CFOG'!$B$10:$B$16,0))="","Cell will autofill based on response",INDEX('CFOG'!$L$10:$L$16,MATCH($F137,'CFOG'!$B$10:$B$16,0))),"N/A")</f>
        <v/>
      </c>
      <c r="O137" s="25">
        <f>IFERROR(IF(INDEX('CFOG'!$L$23:$L$24,MATCH($F137,'CFOG'!$B$23:$B$24,0))="","Cell will autofill based on response",INDEX('CFOG'!$L$23:$L$24,MATCH($F137,'CFOG'!$B$23:$B$24,0))),"N/A")</f>
        <v/>
      </c>
      <c r="P137" s="25">
        <f>IFERROR(IF(INDEX('ESG'!$L$10:$L$17,MATCH($F137,'ESG'!$B$10:$B$17,0))="","Cell will autofill based on response",INDEX('ESG'!$L$10:$L$17,MATCH($F137,'ESG'!$B$10:$B$17,0))),"N/A")</f>
        <v/>
      </c>
      <c r="Q137" s="25">
        <f>IFERROR(IF(INDEX('CIOG'!$L$10:$L$14,MATCH($F137,'CIOG'!$B$10:$B$14,0))="","Cell will autofill based on response",INDEX('CIOG'!$L$10:$L$14,MATCH($F137,'CIOG'!$B$10:$B$14,0))),"N/A")</f>
        <v/>
      </c>
      <c r="R137" s="25">
        <f>IFERROR(IF(INDEX('MRE'!$L$10:$L$12,MATCH($F137,'MRE'!$B$10:$B$12,0))="","Cell will autofill based on response",INDEX('MRE'!$L$10:$L$12,MATCH($F137,'MRE'!$B$10:$B$12,0))),"N/A")</f>
        <v/>
      </c>
      <c r="S137" s="25">
        <f>IFERROR(IF(INDEX('L&amp;R'!$L$10:$L$11,MATCH($F137,'L&amp;R'!$B$10:$B$11,0))="","Cell will autofill based on response",INDEX('L&amp;R'!$L$10:$L$11,MATCH($F137,'L&amp;R'!$B$10:$B$11,0))),"N/A")</f>
        <v/>
      </c>
      <c r="U137" s="26">
        <f>COUNTIF($H137:$S137,"Cell will autofill based on response")</f>
        <v/>
      </c>
      <c r="V137" s="26">
        <f>COUNTIF($H137:$S137,"Not yet started")</f>
        <v/>
      </c>
      <c r="W137" s="26">
        <f>COUNTIF($H137:$S137,"Not met")</f>
        <v/>
      </c>
      <c r="X137" s="26">
        <f>COUNTIF($H137:$S137,"Partially met")</f>
        <v/>
      </c>
      <c r="Y137" s="26">
        <f>COUNTIF($H137:$S137,"Met or exceeded")</f>
        <v/>
      </c>
      <c r="Z137" s="26">
        <f>3*Y137+2*X137+W137</f>
        <v/>
      </c>
      <c r="AA137" s="26">
        <f>Y137+X137+W137+V137</f>
        <v/>
      </c>
      <c r="AB137" s="27">
        <f>IF(AA137&gt;0,Z137/AA137,"No valid responses to date")</f>
        <v/>
      </c>
      <c r="AC137" s="26">
        <f>IF(ISNUMBER(AB137),INDEX(Lists!$G$2:$G$5,MATCH(ROUND(AB137,0),Lists!$H$2:$H$5,0)),"")</f>
        <v/>
      </c>
      <c r="AD137" s="28">
        <f>IF(AA137&gt;0,Y137/AA137,"")</f>
        <v/>
      </c>
      <c r="AE137" s="28">
        <f>IF(AA137&gt;0,(Y137+X137)/AA137,"")</f>
        <v/>
      </c>
      <c r="AF137" s="26">
        <f>IF(AA137=0,"",IF(AD137&gt;0.75,"Met or exceeded",IF(AE137&gt;=0.5,"Partially met","Not met")))</f>
        <v/>
      </c>
    </row>
    <row r="138">
      <c r="A138">
        <f>F138&amp;"|"&amp;G138</f>
        <v/>
      </c>
      <c r="B138" s="29" t="inlineStr"/>
      <c r="C138" s="8" t="inlineStr"/>
      <c r="D138" s="8" t="inlineStr"/>
      <c r="E138" s="8" t="inlineStr"/>
      <c r="F138" s="8" t="inlineStr">
        <is>
          <t>CL2(c)</t>
        </is>
      </c>
      <c r="G138" s="8" t="inlineStr">
        <is>
          <t>OPTION 1:  Target-level reporting</t>
        </is>
      </c>
      <c r="H138" s="25">
        <f>IFERROR(IF(INDEX('Faculties'!$M$10:$M$30,MATCH($F138,'Faculties'!$B$10:$B$30,0))="","Cell will autofill based on response",INDEX('Faculties'!$M$10:$M$30,MATCH($F138,'Faculties'!$B$10:$B$30,0))),"N/A")</f>
        <v/>
      </c>
      <c r="I138" s="25">
        <f>IFERROR(IF(INDEX('Faculties'!$M$37:$M$57,MATCH($F138,'Faculties'!$B$37:$B$57,0))="","Cell will autofill based on response",INDEX('Faculties'!$M$37:$M$57,MATCH($F138,'Faculties'!$B$37:$B$57,0))),"N/A")</f>
        <v/>
      </c>
      <c r="J138" s="25">
        <f>IFERROR(IF(INDEX('Faculties'!$M$64:$M$84,MATCH($F138,'Faculties'!$B$64:$B$84,0))="","Cell will autofill based on response",INDEX('Faculties'!$M$64:$M$84,MATCH($F138,'Faculties'!$B$64:$B$84,0))),"N/A")</f>
        <v/>
      </c>
      <c r="K138" s="25">
        <f>IFERROR(IF(INDEX('Faculties'!$M$91:$M$111,MATCH($F138,'Faculties'!$B$91:$B$111,0))="","Cell will autofill based on response",INDEX('Faculties'!$M$91:$M$111,MATCH($F138,'Faculties'!$B$91:$B$111,0))),"N/A")</f>
        <v/>
      </c>
      <c r="L138" s="25">
        <f>IFERROR(IF(INDEX('CI&amp;S'!$M$10:$M$15,MATCH($F138,'CI&amp;S'!$B$10:$B$15,0))="","Cell will autofill based on response",INDEX('CI&amp;S'!$M$10:$M$15,MATCH($F138,'CI&amp;S'!$B$10:$B$15,0))),"N/A")</f>
        <v/>
      </c>
      <c r="M138" s="25">
        <f>IFERROR(IF(INDEX('CI&amp;S'!$M$22:$M$39,MATCH($F138,'CI&amp;S'!$B$22:$B$39,0))="","Cell will autofill based on response",INDEX('CI&amp;S'!$M$22:$M$39,MATCH($F138,'CI&amp;S'!$B$22:$B$39,0))),"N/A")</f>
        <v/>
      </c>
      <c r="N138" s="25">
        <f>IFERROR(IF(INDEX('CFOG'!$M$10:$M$16,MATCH($F138,'CFOG'!$B$10:$B$16,0))="","Cell will autofill based on response",INDEX('CFOG'!$M$10:$M$16,MATCH($F138,'CFOG'!$B$10:$B$16,0))),"N/A")</f>
        <v/>
      </c>
      <c r="O138" s="25">
        <f>IFERROR(IF(INDEX('CFOG'!$M$23:$M$24,MATCH($F138,'CFOG'!$B$23:$B$24,0))="","Cell will autofill based on response",INDEX('CFOG'!$M$23:$M$24,MATCH($F138,'CFOG'!$B$23:$B$24,0))),"N/A")</f>
        <v/>
      </c>
      <c r="P138" s="25">
        <f>IFERROR(IF(INDEX('ESG'!$M$10:$M$17,MATCH($F138,'ESG'!$B$10:$B$17,0))="","Cell will autofill based on response",INDEX('ESG'!$M$10:$M$17,MATCH($F138,'ESG'!$B$10:$B$17,0))),"N/A")</f>
        <v/>
      </c>
      <c r="Q138" s="25">
        <f>IFERROR(IF(INDEX('CIOG'!$M$10:$M$14,MATCH($F138,'CIOG'!$B$10:$B$14,0))="","Cell will autofill based on response",INDEX('CIOG'!$M$10:$M$14,MATCH($F138,'CIOG'!$B$10:$B$14,0))),"N/A")</f>
        <v/>
      </c>
      <c r="R138" s="25">
        <f>IFERROR(IF(INDEX('MRE'!$M$10:$M$12,MATCH($F138,'MRE'!$B$10:$B$12,0))="","Cell will autofill based on response",INDEX('MRE'!$M$10:$M$12,MATCH($F138,'MRE'!$B$10:$B$12,0))),"N/A")</f>
        <v/>
      </c>
      <c r="S138" s="25">
        <f>IFERROR(IF(INDEX('L&amp;R'!$M$10:$M$11,MATCH($F138,'L&amp;R'!$B$10:$B$11,0))="","Cell will autofill based on response",INDEX('L&amp;R'!$M$10:$M$11,MATCH($F138,'L&amp;R'!$B$10:$B$11,0))),"N/A")</f>
        <v/>
      </c>
    </row>
    <row r="139">
      <c r="A139">
        <f>F139&amp;"|"&amp;G139</f>
        <v/>
      </c>
      <c r="B139" s="29" t="inlineStr"/>
      <c r="C139" s="8" t="inlineStr"/>
      <c r="D139" s="8" t="inlineStr"/>
      <c r="E139" s="8" t="inlineStr"/>
      <c r="F139" s="8" t="inlineStr">
        <is>
          <t>CL2(c)</t>
        </is>
      </c>
      <c r="G139" s="8" t="inlineStr">
        <is>
          <t>OPTION 2:  Indicator level reporting</t>
        </is>
      </c>
      <c r="H139" s="25">
        <f>IFERROR(IF(INDEX('Faculties'!$N$10:$N$30,MATCH($F139,'Faculties'!$B$10:$B$30,0))="","Cell will autofill based on response",INDEX('Faculties'!$N$10:$N$30,MATCH($F139,'Faculties'!$B$10:$B$30,0))),"N/A")</f>
        <v/>
      </c>
      <c r="I139" s="25">
        <f>IFERROR(IF(INDEX('Faculties'!$N$37:$N$57,MATCH($F139,'Faculties'!$B$37:$B$57,0))="","Cell will autofill based on response",INDEX('Faculties'!$N$37:$N$57,MATCH($F139,'Faculties'!$B$37:$B$57,0))),"N/A")</f>
        <v/>
      </c>
      <c r="J139" s="25">
        <f>IFERROR(IF(INDEX('Faculties'!$N$64:$N$84,MATCH($F139,'Faculties'!$B$64:$B$84,0))="","Cell will autofill based on response",INDEX('Faculties'!$N$64:$N$84,MATCH($F139,'Faculties'!$B$64:$B$84,0))),"N/A")</f>
        <v/>
      </c>
      <c r="K139" s="25">
        <f>IFERROR(IF(INDEX('Faculties'!$N$91:$N$111,MATCH($F139,'Faculties'!$B$91:$B$111,0))="","Cell will autofill based on response",INDEX('Faculties'!$N$91:$N$111,MATCH($F139,'Faculties'!$B$91:$B$111,0))),"N/A")</f>
        <v/>
      </c>
      <c r="L139" s="25">
        <f>IFERROR(IF(INDEX('CI&amp;S'!$N$10:$N$15,MATCH($F139,'CI&amp;S'!$B$10:$B$15,0))="","Cell will autofill based on response",INDEX('CI&amp;S'!$N$10:$N$15,MATCH($F139,'CI&amp;S'!$B$10:$B$15,0))),"N/A")</f>
        <v/>
      </c>
      <c r="M139" s="25">
        <f>IFERROR(IF(INDEX('CI&amp;S'!$N$22:$N$39,MATCH($F139,'CI&amp;S'!$B$22:$B$39,0))="","Cell will autofill based on response",INDEX('CI&amp;S'!$N$22:$N$39,MATCH($F139,'CI&amp;S'!$B$22:$B$39,0))),"N/A")</f>
        <v/>
      </c>
      <c r="N139" s="25">
        <f>IFERROR(IF(INDEX('CFOG'!$N$10:$N$16,MATCH($F139,'CFOG'!$B$10:$B$16,0))="","Cell will autofill based on response",INDEX('CFOG'!$N$10:$N$16,MATCH($F139,'CFOG'!$B$10:$B$16,0))),"N/A")</f>
        <v/>
      </c>
      <c r="O139" s="25">
        <f>IFERROR(IF(INDEX('CFOG'!$N$23:$N$24,MATCH($F139,'CFOG'!$B$23:$B$24,0))="","Cell will autofill based on response",INDEX('CFOG'!$N$23:$N$24,MATCH($F139,'CFOG'!$B$23:$B$24,0))),"N/A")</f>
        <v/>
      </c>
      <c r="P139" s="25">
        <f>IFERROR(IF(INDEX('ESG'!$N$10:$N$17,MATCH($F139,'ESG'!$B$10:$B$17,0))="","Cell will autofill based on response",INDEX('ESG'!$N$10:$N$17,MATCH($F139,'ESG'!$B$10:$B$17,0))),"N/A")</f>
        <v/>
      </c>
      <c r="Q139" s="25">
        <f>IFERROR(IF(INDEX('CIOG'!$N$10:$N$14,MATCH($F139,'CIOG'!$B$10:$B$14,0))="","Cell will autofill based on response",INDEX('CIOG'!$N$10:$N$14,MATCH($F139,'CIOG'!$B$10:$B$14,0))),"N/A")</f>
        <v/>
      </c>
      <c r="R139" s="25">
        <f>IFERROR(IF(INDEX('MRE'!$N$10:$N$12,MATCH($F139,'MRE'!$B$10:$B$12,0))="","Cell will autofill based on response",INDEX('MRE'!$N$10:$N$12,MATCH($F139,'MRE'!$B$10:$B$12,0))),"N/A")</f>
        <v/>
      </c>
      <c r="S139" s="25">
        <f>IFERROR(IF(INDEX('L&amp;R'!$N$10:$N$11,MATCH($F139,'L&amp;R'!$B$10:$B$11,0))="","Cell will autofill based on response",INDEX('L&amp;R'!$N$10:$N$11,MATCH($F139,'L&amp;R'!$B$10:$B$11,0))),"N/A")</f>
        <v/>
      </c>
    </row>
    <row r="140">
      <c r="A140">
        <f>F140&amp;"|"&amp;G140</f>
        <v/>
      </c>
      <c r="B140" s="29" t="inlineStr"/>
      <c r="C140" s="8" t="inlineStr"/>
      <c r="D140" s="8" t="inlineStr"/>
      <c r="E140" s="8" t="inlineStr"/>
      <c r="F140" s="8" t="inlineStr">
        <is>
          <t>CL2(c)</t>
        </is>
      </c>
      <c r="G140" s="8" t="inlineStr">
        <is>
          <t>Supporting information/comments</t>
        </is>
      </c>
      <c r="H140" s="25">
        <f>IFERROR(IF(INDEX('Faculties'!$O$10:$O$30,MATCH($F140,'Faculties'!$B$10:$B$30,0))="","Cell will autofill based on response",INDEX('Faculties'!$O$10:$O$30,MATCH($F140,'Faculties'!$B$10:$B$30,0))),"N/A")</f>
        <v/>
      </c>
      <c r="I140" s="25">
        <f>IFERROR(IF(INDEX('Faculties'!$O$37:$O$57,MATCH($F140,'Faculties'!$B$37:$B$57,0))="","Cell will autofill based on response",INDEX('Faculties'!$O$37:$O$57,MATCH($F140,'Faculties'!$B$37:$B$57,0))),"N/A")</f>
        <v/>
      </c>
      <c r="J140" s="25">
        <f>IFERROR(IF(INDEX('Faculties'!$O$64:$O$84,MATCH($F140,'Faculties'!$B$64:$B$84,0))="","Cell will autofill based on response",INDEX('Faculties'!$O$64:$O$84,MATCH($F140,'Faculties'!$B$64:$B$84,0))),"N/A")</f>
        <v/>
      </c>
      <c r="K140" s="25">
        <f>IFERROR(IF(INDEX('Faculties'!$O$91:$O$111,MATCH($F140,'Faculties'!$B$91:$B$111,0))="","Cell will autofill based on response",INDEX('Faculties'!$O$91:$O$111,MATCH($F140,'Faculties'!$B$91:$B$111,0))),"N/A")</f>
        <v/>
      </c>
      <c r="L140" s="25">
        <f>IFERROR(IF(INDEX('CI&amp;S'!$O$10:$O$15,MATCH($F140,'CI&amp;S'!$B$10:$B$15,0))="","Cell will autofill based on response",INDEX('CI&amp;S'!$O$10:$O$15,MATCH($F140,'CI&amp;S'!$B$10:$B$15,0))),"N/A")</f>
        <v/>
      </c>
      <c r="M140" s="25">
        <f>IFERROR(IF(INDEX('CI&amp;S'!$O$22:$O$39,MATCH($F140,'CI&amp;S'!$B$22:$B$39,0))="","Cell will autofill based on response",INDEX('CI&amp;S'!$O$22:$O$39,MATCH($F140,'CI&amp;S'!$B$22:$B$39,0))),"N/A")</f>
        <v/>
      </c>
      <c r="N140" s="25">
        <f>IFERROR(IF(INDEX('CFOG'!$O$10:$O$16,MATCH($F140,'CFOG'!$B$10:$B$16,0))="","Cell will autofill based on response",INDEX('CFOG'!$O$10:$O$16,MATCH($F140,'CFOG'!$B$10:$B$16,0))),"N/A")</f>
        <v/>
      </c>
      <c r="O140" s="25">
        <f>IFERROR(IF(INDEX('CFOG'!$O$23:$O$24,MATCH($F140,'CFOG'!$B$23:$B$24,0))="","Cell will autofill based on response",INDEX('CFOG'!$O$23:$O$24,MATCH($F140,'CFOG'!$B$23:$B$24,0))),"N/A")</f>
        <v/>
      </c>
      <c r="P140" s="25">
        <f>IFERROR(IF(INDEX('ESG'!$O$10:$O$17,MATCH($F140,'ESG'!$B$10:$B$17,0))="","Cell will autofill based on response",INDEX('ESG'!$O$10:$O$17,MATCH($F140,'ESG'!$B$10:$B$17,0))),"N/A")</f>
        <v/>
      </c>
      <c r="Q140" s="25">
        <f>IFERROR(IF(INDEX('CIOG'!$O$10:$O$14,MATCH($F140,'CIOG'!$B$10:$B$14,0))="","Cell will autofill based on response",INDEX('CIOG'!$O$10:$O$14,MATCH($F140,'CIOG'!$B$10:$B$14,0))),"N/A")</f>
        <v/>
      </c>
      <c r="R140" s="25">
        <f>IFERROR(IF(INDEX('MRE'!$O$10:$O$12,MATCH($F140,'MRE'!$B$10:$B$12,0))="","Cell will autofill based on response",INDEX('MRE'!$O$10:$O$12,MATCH($F140,'MRE'!$B$10:$B$12,0))),"N/A")</f>
        <v/>
      </c>
      <c r="S140" s="25">
        <f>IFERROR(IF(INDEX('L&amp;R'!$O$10:$O$11,MATCH($F140,'L&amp;R'!$B$10:$B$11,0))="","Cell will autofill based on response",INDEX('L&amp;R'!$O$10:$O$11,MATCH($F140,'L&amp;R'!$B$10:$B$11,0))),"N/A")</f>
        <v/>
      </c>
    </row>
    <row r="141">
      <c r="A141">
        <f>F141&amp;"|"&amp;G141</f>
        <v/>
      </c>
      <c r="B141" s="29" t="inlineStr"/>
      <c r="C141" s="8" t="inlineStr"/>
      <c r="D141" s="8" t="inlineStr"/>
      <c r="E141" s="8" t="inlineStr"/>
      <c r="F141" s="8" t="inlineStr">
        <is>
          <t>CL2(c)</t>
        </is>
      </c>
      <c r="G141" s="8" t="inlineStr">
        <is>
          <t>Data source and limitations</t>
        </is>
      </c>
      <c r="H141" s="25">
        <f>IFERROR(IF(INDEX('Faculties'!$P$10:$P$30,MATCH($F141,'Faculties'!$B$10:$B$30,0))="","Cell will autofill based on response",INDEX('Faculties'!$P$10:$P$30,MATCH($F141,'Faculties'!$B$10:$B$30,0))),"N/A")</f>
        <v/>
      </c>
      <c r="I141" s="25">
        <f>IFERROR(IF(INDEX('Faculties'!$P$37:$P$57,MATCH($F141,'Faculties'!$B$37:$B$57,0))="","Cell will autofill based on response",INDEX('Faculties'!$P$37:$P$57,MATCH($F141,'Faculties'!$B$37:$B$57,0))),"N/A")</f>
        <v/>
      </c>
      <c r="J141" s="25">
        <f>IFERROR(IF(INDEX('Faculties'!$P$64:$P$84,MATCH($F141,'Faculties'!$B$64:$B$84,0))="","Cell will autofill based on response",INDEX('Faculties'!$P$64:$P$84,MATCH($F141,'Faculties'!$B$64:$B$84,0))),"N/A")</f>
        <v/>
      </c>
      <c r="K141" s="25">
        <f>IFERROR(IF(INDEX('Faculties'!$P$91:$P$111,MATCH($F141,'Faculties'!$B$91:$B$111,0))="","Cell will autofill based on response",INDEX('Faculties'!$P$91:$P$111,MATCH($F141,'Faculties'!$B$91:$B$111,0))),"N/A")</f>
        <v/>
      </c>
      <c r="L141" s="25">
        <f>IFERROR(IF(INDEX('CI&amp;S'!$P$10:$P$15,MATCH($F141,'CI&amp;S'!$B$10:$B$15,0))="","Cell will autofill based on response",INDEX('CI&amp;S'!$P$10:$P$15,MATCH($F141,'CI&amp;S'!$B$10:$B$15,0))),"N/A")</f>
        <v/>
      </c>
      <c r="M141" s="25">
        <f>IFERROR(IF(INDEX('CI&amp;S'!$P$22:$P$39,MATCH($F141,'CI&amp;S'!$B$22:$B$39,0))="","Cell will autofill based on response",INDEX('CI&amp;S'!$P$22:$P$39,MATCH($F141,'CI&amp;S'!$B$22:$B$39,0))),"N/A")</f>
        <v/>
      </c>
      <c r="N141" s="25">
        <f>IFERROR(IF(INDEX('CFOG'!$P$10:$P$16,MATCH($F141,'CFOG'!$B$10:$B$16,0))="","Cell will autofill based on response",INDEX('CFOG'!$P$10:$P$16,MATCH($F141,'CFOG'!$B$10:$B$16,0))),"N/A")</f>
        <v/>
      </c>
      <c r="O141" s="25">
        <f>IFERROR(IF(INDEX('CFOG'!$P$23:$P$24,MATCH($F141,'CFOG'!$B$23:$B$24,0))="","Cell will autofill based on response",INDEX('CFOG'!$P$23:$P$24,MATCH($F141,'CFOG'!$B$23:$B$24,0))),"N/A")</f>
        <v/>
      </c>
      <c r="P141" s="25">
        <f>IFERROR(IF(INDEX('ESG'!$P$10:$P$17,MATCH($F141,'ESG'!$B$10:$B$17,0))="","Cell will autofill based on response",INDEX('ESG'!$P$10:$P$17,MATCH($F141,'ESG'!$B$10:$B$17,0))),"N/A")</f>
        <v/>
      </c>
      <c r="Q141" s="25">
        <f>IFERROR(IF(INDEX('CIOG'!$P$10:$P$14,MATCH($F141,'CIOG'!$B$10:$B$14,0))="","Cell will autofill based on response",INDEX('CIOG'!$P$10:$P$14,MATCH($F141,'CIOG'!$B$10:$B$14,0))),"N/A")</f>
        <v/>
      </c>
      <c r="R141" s="25">
        <f>IFERROR(IF(INDEX('MRE'!$P$10:$P$12,MATCH($F141,'MRE'!$B$10:$B$12,0))="","Cell will autofill based on response",INDEX('MRE'!$P$10:$P$12,MATCH($F141,'MRE'!$B$10:$B$12,0))),"N/A")</f>
        <v/>
      </c>
      <c r="S141" s="25">
        <f>IFERROR(IF(INDEX('L&amp;R'!$P$10:$P$11,MATCH($F141,'L&amp;R'!$B$10:$B$11,0))="","Cell will autofill based on response",INDEX('L&amp;R'!$P$10:$P$11,MATCH($F141,'L&amp;R'!$B$10:$B$11,0))),"N/A")</f>
        <v/>
      </c>
    </row>
    <row r="142">
      <c r="A142">
        <f>F142&amp;"|"&amp;G142</f>
        <v/>
      </c>
      <c r="B142" s="29" t="inlineStr"/>
      <c r="C142" s="8" t="inlineStr"/>
      <c r="D142" s="8" t="inlineStr"/>
      <c r="E142" s="8" t="inlineStr"/>
      <c r="F142" s="8" t="inlineStr">
        <is>
          <t>CL2(c)</t>
        </is>
      </c>
      <c r="G142" s="8" t="inlineStr">
        <is>
          <t>Data owner confirms</t>
        </is>
      </c>
      <c r="H142" s="25">
        <f>IFERROR(IF(INDEX('Faculties'!$Q$10:$Q$30,MATCH($F142,'Faculties'!$B$10:$B$30,0))="","Cell will autofill based on response",INDEX('Faculties'!$Q$10:$Q$30,MATCH($F142,'Faculties'!$B$10:$B$30,0))),"N/A")</f>
        <v/>
      </c>
      <c r="I142" s="25">
        <f>IFERROR(IF(INDEX('Faculties'!$Q$37:$Q$57,MATCH($F142,'Faculties'!$B$37:$B$57,0))="","Cell will autofill based on response",INDEX('Faculties'!$Q$37:$Q$57,MATCH($F142,'Faculties'!$B$37:$B$57,0))),"N/A")</f>
        <v/>
      </c>
      <c r="J142" s="25">
        <f>IFERROR(IF(INDEX('Faculties'!$Q$64:$Q$84,MATCH($F142,'Faculties'!$B$64:$B$84,0))="","Cell will autofill based on response",INDEX('Faculties'!$Q$64:$Q$84,MATCH($F142,'Faculties'!$B$64:$B$84,0))),"N/A")</f>
        <v/>
      </c>
      <c r="K142" s="25">
        <f>IFERROR(IF(INDEX('Faculties'!$Q$91:$Q$111,MATCH($F142,'Faculties'!$B$91:$B$111,0))="","Cell will autofill based on response",INDEX('Faculties'!$Q$91:$Q$111,MATCH($F142,'Faculties'!$B$91:$B$111,0))),"N/A")</f>
        <v/>
      </c>
      <c r="L142" s="25">
        <f>IFERROR(IF(INDEX('CI&amp;S'!$Q$10:$Q$15,MATCH($F142,'CI&amp;S'!$B$10:$B$15,0))="","Cell will autofill based on response",INDEX('CI&amp;S'!$Q$10:$Q$15,MATCH($F142,'CI&amp;S'!$B$10:$B$15,0))),"N/A")</f>
        <v/>
      </c>
      <c r="M142" s="25">
        <f>IFERROR(IF(INDEX('CI&amp;S'!$Q$22:$Q$39,MATCH($F142,'CI&amp;S'!$B$22:$B$39,0))="","Cell will autofill based on response",INDEX('CI&amp;S'!$Q$22:$Q$39,MATCH($F142,'CI&amp;S'!$B$22:$B$39,0))),"N/A")</f>
        <v/>
      </c>
      <c r="N142" s="25">
        <f>IFERROR(IF(INDEX('CFOG'!$Q$10:$Q$16,MATCH($F142,'CFOG'!$B$10:$B$16,0))="","Cell will autofill based on response",INDEX('CFOG'!$Q$10:$Q$16,MATCH($F142,'CFOG'!$B$10:$B$16,0))),"N/A")</f>
        <v/>
      </c>
      <c r="O142" s="25">
        <f>IFERROR(IF(INDEX('CFOG'!$Q$23:$Q$24,MATCH($F142,'CFOG'!$B$23:$B$24,0))="","Cell will autofill based on response",INDEX('CFOG'!$Q$23:$Q$24,MATCH($F142,'CFOG'!$B$23:$B$24,0))),"N/A")</f>
        <v/>
      </c>
      <c r="P142" s="25">
        <f>IFERROR(IF(INDEX('ESG'!$Q$10:$Q$17,MATCH($F142,'ESG'!$B$10:$B$17,0))="","Cell will autofill based on response",INDEX('ESG'!$Q$10:$Q$17,MATCH($F142,'ESG'!$B$10:$B$17,0))),"N/A")</f>
        <v/>
      </c>
      <c r="Q142" s="25">
        <f>IFERROR(IF(INDEX('CIOG'!$Q$10:$Q$14,MATCH($F142,'CIOG'!$B$10:$B$14,0))="","Cell will autofill based on response",INDEX('CIOG'!$Q$10:$Q$14,MATCH($F142,'CIOG'!$B$10:$B$14,0))),"N/A")</f>
        <v/>
      </c>
      <c r="R142" s="25">
        <f>IFERROR(IF(INDEX('MRE'!$Q$10:$Q$12,MATCH($F142,'MRE'!$B$10:$B$12,0))="","Cell will autofill based on response",INDEX('MRE'!$Q$10:$Q$12,MATCH($F142,'MRE'!$B$10:$B$12,0))),"N/A")</f>
        <v/>
      </c>
      <c r="S142" s="25">
        <f>IFERROR(IF(INDEX('L&amp;R'!$Q$10:$Q$11,MATCH($F142,'L&amp;R'!$B$10:$B$11,0))="","Cell will autofill based on response",INDEX('L&amp;R'!$Q$10:$Q$11,MATCH($F142,'L&amp;R'!$B$10:$B$11,0))),"N/A")</f>
        <v/>
      </c>
    </row>
    <row r="143">
      <c r="A143">
        <f>F143&amp;"|"&amp;G143</f>
        <v/>
      </c>
      <c r="B143" s="7" t="inlineStr">
        <is>
          <t>CL3(a)</t>
        </is>
      </c>
      <c r="C143" s="12" t="inlineStr">
        <is>
          <t>Climate leadership</t>
        </is>
      </c>
      <c r="D143" s="12" t="inlineStr">
        <is>
          <t>Maturity assessment of the University’s preparedness for climate-related impacts and capability to respond, assessed across relevant organisational functions:
o	Governance and strategy
o	Health and safety
o	Business continuity
o	Emergency management and critical incidence management
o	Estate and buildings
o	Water management
o	Financial planning and reporting.</t>
        </is>
      </c>
      <c r="E143" s="12" t="inlineStr">
        <is>
          <t>Provide update of University maturity assesment. Include maturity ratings, key gaps and priority improvement actions.when available</t>
        </is>
      </c>
      <c r="F143" s="12" t="inlineStr">
        <is>
          <t>CL3(a)</t>
        </is>
      </c>
      <c r="G143" s="12" t="inlineStr">
        <is>
          <t>Confirm end-2026 target status</t>
        </is>
      </c>
      <c r="H143" s="25">
        <f>IFERROR(IF(INDEX('Faculties'!$L$10:$L$30,MATCH($F143,'Faculties'!$B$10:$B$30,0))="","Cell will autofill based on response",INDEX('Faculties'!$L$10:$L$30,MATCH($F143,'Faculties'!$B$10:$B$30,0))),"N/A")</f>
        <v/>
      </c>
      <c r="I143" s="25">
        <f>IFERROR(IF(INDEX('Faculties'!$L$37:$L$57,MATCH($F143,'Faculties'!$B$37:$B$57,0))="","Cell will autofill based on response",INDEX('Faculties'!$L$37:$L$57,MATCH($F143,'Faculties'!$B$37:$B$57,0))),"N/A")</f>
        <v/>
      </c>
      <c r="J143" s="25">
        <f>IFERROR(IF(INDEX('Faculties'!$L$64:$L$84,MATCH($F143,'Faculties'!$B$64:$B$84,0))="","Cell will autofill based on response",INDEX('Faculties'!$L$64:$L$84,MATCH($F143,'Faculties'!$B$64:$B$84,0))),"N/A")</f>
        <v/>
      </c>
      <c r="K143" s="25">
        <f>IFERROR(IF(INDEX('Faculties'!$L$91:$L$111,MATCH($F143,'Faculties'!$B$91:$B$111,0))="","Cell will autofill based on response",INDEX('Faculties'!$L$91:$L$111,MATCH($F143,'Faculties'!$B$91:$B$111,0))),"N/A")</f>
        <v/>
      </c>
      <c r="L143" s="25">
        <f>IFERROR(IF(INDEX('CI&amp;S'!$L$10:$L$15,MATCH($F143,'CI&amp;S'!$B$10:$B$15,0))="","Cell will autofill based on response",INDEX('CI&amp;S'!$L$10:$L$15,MATCH($F143,'CI&amp;S'!$B$10:$B$15,0))),"N/A")</f>
        <v/>
      </c>
      <c r="M143" s="25">
        <f>IFERROR(IF(INDEX('CI&amp;S'!$L$22:$L$39,MATCH($F143,'CI&amp;S'!$B$22:$B$39,0))="","Cell will autofill based on response",INDEX('CI&amp;S'!$L$22:$L$39,MATCH($F143,'CI&amp;S'!$B$22:$B$39,0))),"N/A")</f>
        <v/>
      </c>
      <c r="N143" s="25">
        <f>IFERROR(IF(INDEX('CFOG'!$L$10:$L$16,MATCH($F143,'CFOG'!$B$10:$B$16,0))="","Cell will autofill based on response",INDEX('CFOG'!$L$10:$L$16,MATCH($F143,'CFOG'!$B$10:$B$16,0))),"N/A")</f>
        <v/>
      </c>
      <c r="O143" s="25">
        <f>IFERROR(IF(INDEX('CFOG'!$L$23:$L$24,MATCH($F143,'CFOG'!$B$23:$B$24,0))="","Cell will autofill based on response",INDEX('CFOG'!$L$23:$L$24,MATCH($F143,'CFOG'!$B$23:$B$24,0))),"N/A")</f>
        <v/>
      </c>
      <c r="P143" s="25">
        <f>IFERROR(IF(INDEX('ESG'!$L$10:$L$17,MATCH($F143,'ESG'!$B$10:$B$17,0))="","Cell will autofill based on response",INDEX('ESG'!$L$10:$L$17,MATCH($F143,'ESG'!$B$10:$B$17,0))),"N/A")</f>
        <v/>
      </c>
      <c r="Q143" s="25">
        <f>IFERROR(IF(INDEX('CIOG'!$L$10:$L$14,MATCH($F143,'CIOG'!$B$10:$B$14,0))="","Cell will autofill based on response",INDEX('CIOG'!$L$10:$L$14,MATCH($F143,'CIOG'!$B$10:$B$14,0))),"N/A")</f>
        <v/>
      </c>
      <c r="R143" s="25">
        <f>IFERROR(IF(INDEX('MRE'!$L$10:$L$12,MATCH($F143,'MRE'!$B$10:$B$12,0))="","Cell will autofill based on response",INDEX('MRE'!$L$10:$L$12,MATCH($F143,'MRE'!$B$10:$B$12,0))),"N/A")</f>
        <v/>
      </c>
      <c r="S143" s="25">
        <f>IFERROR(IF(INDEX('L&amp;R'!$L$10:$L$11,MATCH($F143,'L&amp;R'!$B$10:$B$11,0))="","Cell will autofill based on response",INDEX('L&amp;R'!$L$10:$L$11,MATCH($F143,'L&amp;R'!$B$10:$B$11,0))),"N/A")</f>
        <v/>
      </c>
      <c r="U143" s="26">
        <f>COUNTIF($H143:$S143,"Cell will autofill based on response")</f>
        <v/>
      </c>
      <c r="V143" s="26">
        <f>COUNTIF($H143:$S143,"Not yet started")</f>
        <v/>
      </c>
      <c r="W143" s="26">
        <f>COUNTIF($H143:$S143,"Not met")</f>
        <v/>
      </c>
      <c r="X143" s="26">
        <f>COUNTIF($H143:$S143,"Partially met")</f>
        <v/>
      </c>
      <c r="Y143" s="26">
        <f>COUNTIF($H143:$S143,"Met or exceeded")</f>
        <v/>
      </c>
      <c r="Z143" s="26">
        <f>3*Y143+2*X143+W143</f>
        <v/>
      </c>
      <c r="AA143" s="26">
        <f>Y143+X143+W143+V143</f>
        <v/>
      </c>
      <c r="AB143" s="27">
        <f>IF(AA143&gt;0,Z143/AA143,"No valid responses to date")</f>
        <v/>
      </c>
      <c r="AC143" s="26">
        <f>IF(ISNUMBER(AB143),INDEX(Lists!$G$2:$G$5,MATCH(ROUND(AB143,0),Lists!$H$2:$H$5,0)),"")</f>
        <v/>
      </c>
      <c r="AD143" s="28">
        <f>IF(AA143&gt;0,Y143/AA143,"")</f>
        <v/>
      </c>
      <c r="AE143" s="28">
        <f>IF(AA143&gt;0,(Y143+X143)/AA143,"")</f>
        <v/>
      </c>
      <c r="AF143" s="26">
        <f>IF(AA143=0,"",IF(AD143&gt;0.75,"Met or exceeded",IF(AE143&gt;=0.5,"Partially met","Not met")))</f>
        <v/>
      </c>
    </row>
    <row r="144">
      <c r="A144">
        <f>F144&amp;"|"&amp;G144</f>
        <v/>
      </c>
      <c r="B144" s="29" t="inlineStr"/>
      <c r="C144" s="8" t="inlineStr"/>
      <c r="D144" s="8" t="inlineStr"/>
      <c r="E144" s="8" t="inlineStr"/>
      <c r="F144" s="8" t="inlineStr">
        <is>
          <t>CL3(a)</t>
        </is>
      </c>
      <c r="G144" s="8" t="inlineStr">
        <is>
          <t>OPTION 1:  Target-level reporting</t>
        </is>
      </c>
      <c r="H144" s="25">
        <f>IFERROR(IF(INDEX('Faculties'!$M$10:$M$30,MATCH($F144,'Faculties'!$B$10:$B$30,0))="","Cell will autofill based on response",INDEX('Faculties'!$M$10:$M$30,MATCH($F144,'Faculties'!$B$10:$B$30,0))),"N/A")</f>
        <v/>
      </c>
      <c r="I144" s="25">
        <f>IFERROR(IF(INDEX('Faculties'!$M$37:$M$57,MATCH($F144,'Faculties'!$B$37:$B$57,0))="","Cell will autofill based on response",INDEX('Faculties'!$M$37:$M$57,MATCH($F144,'Faculties'!$B$37:$B$57,0))),"N/A")</f>
        <v/>
      </c>
      <c r="J144" s="25">
        <f>IFERROR(IF(INDEX('Faculties'!$M$64:$M$84,MATCH($F144,'Faculties'!$B$64:$B$84,0))="","Cell will autofill based on response",INDEX('Faculties'!$M$64:$M$84,MATCH($F144,'Faculties'!$B$64:$B$84,0))),"N/A")</f>
        <v/>
      </c>
      <c r="K144" s="25">
        <f>IFERROR(IF(INDEX('Faculties'!$M$91:$M$111,MATCH($F144,'Faculties'!$B$91:$B$111,0))="","Cell will autofill based on response",INDEX('Faculties'!$M$91:$M$111,MATCH($F144,'Faculties'!$B$91:$B$111,0))),"N/A")</f>
        <v/>
      </c>
      <c r="L144" s="25">
        <f>IFERROR(IF(INDEX('CI&amp;S'!$M$10:$M$15,MATCH($F144,'CI&amp;S'!$B$10:$B$15,0))="","Cell will autofill based on response",INDEX('CI&amp;S'!$M$10:$M$15,MATCH($F144,'CI&amp;S'!$B$10:$B$15,0))),"N/A")</f>
        <v/>
      </c>
      <c r="M144" s="25">
        <f>IFERROR(IF(INDEX('CI&amp;S'!$M$22:$M$39,MATCH($F144,'CI&amp;S'!$B$22:$B$39,0))="","Cell will autofill based on response",INDEX('CI&amp;S'!$M$22:$M$39,MATCH($F144,'CI&amp;S'!$B$22:$B$39,0))),"N/A")</f>
        <v/>
      </c>
      <c r="N144" s="25">
        <f>IFERROR(IF(INDEX('CFOG'!$M$10:$M$16,MATCH($F144,'CFOG'!$B$10:$B$16,0))="","Cell will autofill based on response",INDEX('CFOG'!$M$10:$M$16,MATCH($F144,'CFOG'!$B$10:$B$16,0))),"N/A")</f>
        <v/>
      </c>
      <c r="O144" s="25">
        <f>IFERROR(IF(INDEX('CFOG'!$M$23:$M$24,MATCH($F144,'CFOG'!$B$23:$B$24,0))="","Cell will autofill based on response",INDEX('CFOG'!$M$23:$M$24,MATCH($F144,'CFOG'!$B$23:$B$24,0))),"N/A")</f>
        <v/>
      </c>
      <c r="P144" s="25">
        <f>IFERROR(IF(INDEX('ESG'!$M$10:$M$17,MATCH($F144,'ESG'!$B$10:$B$17,0))="","Cell will autofill based on response",INDEX('ESG'!$M$10:$M$17,MATCH($F144,'ESG'!$B$10:$B$17,0))),"N/A")</f>
        <v/>
      </c>
      <c r="Q144" s="25">
        <f>IFERROR(IF(INDEX('CIOG'!$M$10:$M$14,MATCH($F144,'CIOG'!$B$10:$B$14,0))="","Cell will autofill based on response",INDEX('CIOG'!$M$10:$M$14,MATCH($F144,'CIOG'!$B$10:$B$14,0))),"N/A")</f>
        <v/>
      </c>
      <c r="R144" s="25">
        <f>IFERROR(IF(INDEX('MRE'!$M$10:$M$12,MATCH($F144,'MRE'!$B$10:$B$12,0))="","Cell will autofill based on response",INDEX('MRE'!$M$10:$M$12,MATCH($F144,'MRE'!$B$10:$B$12,0))),"N/A")</f>
        <v/>
      </c>
      <c r="S144" s="25">
        <f>IFERROR(IF(INDEX('L&amp;R'!$M$10:$M$11,MATCH($F144,'L&amp;R'!$B$10:$B$11,0))="","Cell will autofill based on response",INDEX('L&amp;R'!$M$10:$M$11,MATCH($F144,'L&amp;R'!$B$10:$B$11,0))),"N/A")</f>
        <v/>
      </c>
    </row>
    <row r="145">
      <c r="A145">
        <f>F145&amp;"|"&amp;G145</f>
        <v/>
      </c>
      <c r="B145" s="29" t="inlineStr"/>
      <c r="C145" s="8" t="inlineStr"/>
      <c r="D145" s="8" t="inlineStr"/>
      <c r="E145" s="8" t="inlineStr"/>
      <c r="F145" s="8" t="inlineStr">
        <is>
          <t>CL3(a)</t>
        </is>
      </c>
      <c r="G145" s="8" t="inlineStr">
        <is>
          <t>OPTION 2:  Indicator level reporting</t>
        </is>
      </c>
      <c r="H145" s="25">
        <f>IFERROR(IF(INDEX('Faculties'!$N$10:$N$30,MATCH($F145,'Faculties'!$B$10:$B$30,0))="","Cell will autofill based on response",INDEX('Faculties'!$N$10:$N$30,MATCH($F145,'Faculties'!$B$10:$B$30,0))),"N/A")</f>
        <v/>
      </c>
      <c r="I145" s="25">
        <f>IFERROR(IF(INDEX('Faculties'!$N$37:$N$57,MATCH($F145,'Faculties'!$B$37:$B$57,0))="","Cell will autofill based on response",INDEX('Faculties'!$N$37:$N$57,MATCH($F145,'Faculties'!$B$37:$B$57,0))),"N/A")</f>
        <v/>
      </c>
      <c r="J145" s="25">
        <f>IFERROR(IF(INDEX('Faculties'!$N$64:$N$84,MATCH($F145,'Faculties'!$B$64:$B$84,0))="","Cell will autofill based on response",INDEX('Faculties'!$N$64:$N$84,MATCH($F145,'Faculties'!$B$64:$B$84,0))),"N/A")</f>
        <v/>
      </c>
      <c r="K145" s="25">
        <f>IFERROR(IF(INDEX('Faculties'!$N$91:$N$111,MATCH($F145,'Faculties'!$B$91:$B$111,0))="","Cell will autofill based on response",INDEX('Faculties'!$N$91:$N$111,MATCH($F145,'Faculties'!$B$91:$B$111,0))),"N/A")</f>
        <v/>
      </c>
      <c r="L145" s="25">
        <f>IFERROR(IF(INDEX('CI&amp;S'!$N$10:$N$15,MATCH($F145,'CI&amp;S'!$B$10:$B$15,0))="","Cell will autofill based on response",INDEX('CI&amp;S'!$N$10:$N$15,MATCH($F145,'CI&amp;S'!$B$10:$B$15,0))),"N/A")</f>
        <v/>
      </c>
      <c r="M145" s="25">
        <f>IFERROR(IF(INDEX('CI&amp;S'!$N$22:$N$39,MATCH($F145,'CI&amp;S'!$B$22:$B$39,0))="","Cell will autofill based on response",INDEX('CI&amp;S'!$N$22:$N$39,MATCH($F145,'CI&amp;S'!$B$22:$B$39,0))),"N/A")</f>
        <v/>
      </c>
      <c r="N145" s="25">
        <f>IFERROR(IF(INDEX('CFOG'!$N$10:$N$16,MATCH($F145,'CFOG'!$B$10:$B$16,0))="","Cell will autofill based on response",INDEX('CFOG'!$N$10:$N$16,MATCH($F145,'CFOG'!$B$10:$B$16,0))),"N/A")</f>
        <v/>
      </c>
      <c r="O145" s="25">
        <f>IFERROR(IF(INDEX('CFOG'!$N$23:$N$24,MATCH($F145,'CFOG'!$B$23:$B$24,0))="","Cell will autofill based on response",INDEX('CFOG'!$N$23:$N$24,MATCH($F145,'CFOG'!$B$23:$B$24,0))),"N/A")</f>
        <v/>
      </c>
      <c r="P145" s="25">
        <f>IFERROR(IF(INDEX('ESG'!$N$10:$N$17,MATCH($F145,'ESG'!$B$10:$B$17,0))="","Cell will autofill based on response",INDEX('ESG'!$N$10:$N$17,MATCH($F145,'ESG'!$B$10:$B$17,0))),"N/A")</f>
        <v/>
      </c>
      <c r="Q145" s="25">
        <f>IFERROR(IF(INDEX('CIOG'!$N$10:$N$14,MATCH($F145,'CIOG'!$B$10:$B$14,0))="","Cell will autofill based on response",INDEX('CIOG'!$N$10:$N$14,MATCH($F145,'CIOG'!$B$10:$B$14,0))),"N/A")</f>
        <v/>
      </c>
      <c r="R145" s="25">
        <f>IFERROR(IF(INDEX('MRE'!$N$10:$N$12,MATCH($F145,'MRE'!$B$10:$B$12,0))="","Cell will autofill based on response",INDEX('MRE'!$N$10:$N$12,MATCH($F145,'MRE'!$B$10:$B$12,0))),"N/A")</f>
        <v/>
      </c>
      <c r="S145" s="25">
        <f>IFERROR(IF(INDEX('L&amp;R'!$N$10:$N$11,MATCH($F145,'L&amp;R'!$B$10:$B$11,0))="","Cell will autofill based on response",INDEX('L&amp;R'!$N$10:$N$11,MATCH($F145,'L&amp;R'!$B$10:$B$11,0))),"N/A")</f>
        <v/>
      </c>
    </row>
    <row r="146">
      <c r="A146">
        <f>F146&amp;"|"&amp;G146</f>
        <v/>
      </c>
      <c r="B146" s="29" t="inlineStr"/>
      <c r="C146" s="8" t="inlineStr"/>
      <c r="D146" s="8" t="inlineStr"/>
      <c r="E146" s="8" t="inlineStr"/>
      <c r="F146" s="8" t="inlineStr">
        <is>
          <t>CL3(a)</t>
        </is>
      </c>
      <c r="G146" s="8" t="inlineStr">
        <is>
          <t>Supporting information/comments</t>
        </is>
      </c>
      <c r="H146" s="25">
        <f>IFERROR(IF(INDEX('Faculties'!$O$10:$O$30,MATCH($F146,'Faculties'!$B$10:$B$30,0))="","Cell will autofill based on response",INDEX('Faculties'!$O$10:$O$30,MATCH($F146,'Faculties'!$B$10:$B$30,0))),"N/A")</f>
        <v/>
      </c>
      <c r="I146" s="25">
        <f>IFERROR(IF(INDEX('Faculties'!$O$37:$O$57,MATCH($F146,'Faculties'!$B$37:$B$57,0))="","Cell will autofill based on response",INDEX('Faculties'!$O$37:$O$57,MATCH($F146,'Faculties'!$B$37:$B$57,0))),"N/A")</f>
        <v/>
      </c>
      <c r="J146" s="25">
        <f>IFERROR(IF(INDEX('Faculties'!$O$64:$O$84,MATCH($F146,'Faculties'!$B$64:$B$84,0))="","Cell will autofill based on response",INDEX('Faculties'!$O$64:$O$84,MATCH($F146,'Faculties'!$B$64:$B$84,0))),"N/A")</f>
        <v/>
      </c>
      <c r="K146" s="25">
        <f>IFERROR(IF(INDEX('Faculties'!$O$91:$O$111,MATCH($F146,'Faculties'!$B$91:$B$111,0))="","Cell will autofill based on response",INDEX('Faculties'!$O$91:$O$111,MATCH($F146,'Faculties'!$B$91:$B$111,0))),"N/A")</f>
        <v/>
      </c>
      <c r="L146" s="25">
        <f>IFERROR(IF(INDEX('CI&amp;S'!$O$10:$O$15,MATCH($F146,'CI&amp;S'!$B$10:$B$15,0))="","Cell will autofill based on response",INDEX('CI&amp;S'!$O$10:$O$15,MATCH($F146,'CI&amp;S'!$B$10:$B$15,0))),"N/A")</f>
        <v/>
      </c>
      <c r="M146" s="25">
        <f>IFERROR(IF(INDEX('CI&amp;S'!$O$22:$O$39,MATCH($F146,'CI&amp;S'!$B$22:$B$39,0))="","Cell will autofill based on response",INDEX('CI&amp;S'!$O$22:$O$39,MATCH($F146,'CI&amp;S'!$B$22:$B$39,0))),"N/A")</f>
        <v/>
      </c>
      <c r="N146" s="25">
        <f>IFERROR(IF(INDEX('CFOG'!$O$10:$O$16,MATCH($F146,'CFOG'!$B$10:$B$16,0))="","Cell will autofill based on response",INDEX('CFOG'!$O$10:$O$16,MATCH($F146,'CFOG'!$B$10:$B$16,0))),"N/A")</f>
        <v/>
      </c>
      <c r="O146" s="25">
        <f>IFERROR(IF(INDEX('CFOG'!$O$23:$O$24,MATCH($F146,'CFOG'!$B$23:$B$24,0))="","Cell will autofill based on response",INDEX('CFOG'!$O$23:$O$24,MATCH($F146,'CFOG'!$B$23:$B$24,0))),"N/A")</f>
        <v/>
      </c>
      <c r="P146" s="25">
        <f>IFERROR(IF(INDEX('ESG'!$O$10:$O$17,MATCH($F146,'ESG'!$B$10:$B$17,0))="","Cell will autofill based on response",INDEX('ESG'!$O$10:$O$17,MATCH($F146,'ESG'!$B$10:$B$17,0))),"N/A")</f>
        <v/>
      </c>
      <c r="Q146" s="25">
        <f>IFERROR(IF(INDEX('CIOG'!$O$10:$O$14,MATCH($F146,'CIOG'!$B$10:$B$14,0))="","Cell will autofill based on response",INDEX('CIOG'!$O$10:$O$14,MATCH($F146,'CIOG'!$B$10:$B$14,0))),"N/A")</f>
        <v/>
      </c>
      <c r="R146" s="25">
        <f>IFERROR(IF(INDEX('MRE'!$O$10:$O$12,MATCH($F146,'MRE'!$B$10:$B$12,0))="","Cell will autofill based on response",INDEX('MRE'!$O$10:$O$12,MATCH($F146,'MRE'!$B$10:$B$12,0))),"N/A")</f>
        <v/>
      </c>
      <c r="S146" s="25">
        <f>IFERROR(IF(INDEX('L&amp;R'!$O$10:$O$11,MATCH($F146,'L&amp;R'!$B$10:$B$11,0))="","Cell will autofill based on response",INDEX('L&amp;R'!$O$10:$O$11,MATCH($F146,'L&amp;R'!$B$10:$B$11,0))),"N/A")</f>
        <v/>
      </c>
    </row>
    <row r="147">
      <c r="A147">
        <f>F147&amp;"|"&amp;G147</f>
        <v/>
      </c>
      <c r="B147" s="29" t="inlineStr"/>
      <c r="C147" s="8" t="inlineStr"/>
      <c r="D147" s="8" t="inlineStr"/>
      <c r="E147" s="8" t="inlineStr"/>
      <c r="F147" s="8" t="inlineStr">
        <is>
          <t>CL3(a)</t>
        </is>
      </c>
      <c r="G147" s="8" t="inlineStr">
        <is>
          <t>Data source and limitations</t>
        </is>
      </c>
      <c r="H147" s="25">
        <f>IFERROR(IF(INDEX('Faculties'!$P$10:$P$30,MATCH($F147,'Faculties'!$B$10:$B$30,0))="","Cell will autofill based on response",INDEX('Faculties'!$P$10:$P$30,MATCH($F147,'Faculties'!$B$10:$B$30,0))),"N/A")</f>
        <v/>
      </c>
      <c r="I147" s="25">
        <f>IFERROR(IF(INDEX('Faculties'!$P$37:$P$57,MATCH($F147,'Faculties'!$B$37:$B$57,0))="","Cell will autofill based on response",INDEX('Faculties'!$P$37:$P$57,MATCH($F147,'Faculties'!$B$37:$B$57,0))),"N/A")</f>
        <v/>
      </c>
      <c r="J147" s="25">
        <f>IFERROR(IF(INDEX('Faculties'!$P$64:$P$84,MATCH($F147,'Faculties'!$B$64:$B$84,0))="","Cell will autofill based on response",INDEX('Faculties'!$P$64:$P$84,MATCH($F147,'Faculties'!$B$64:$B$84,0))),"N/A")</f>
        <v/>
      </c>
      <c r="K147" s="25">
        <f>IFERROR(IF(INDEX('Faculties'!$P$91:$P$111,MATCH($F147,'Faculties'!$B$91:$B$111,0))="","Cell will autofill based on response",INDEX('Faculties'!$P$91:$P$111,MATCH($F147,'Faculties'!$B$91:$B$111,0))),"N/A")</f>
        <v/>
      </c>
      <c r="L147" s="25">
        <f>IFERROR(IF(INDEX('CI&amp;S'!$P$10:$P$15,MATCH($F147,'CI&amp;S'!$B$10:$B$15,0))="","Cell will autofill based on response",INDEX('CI&amp;S'!$P$10:$P$15,MATCH($F147,'CI&amp;S'!$B$10:$B$15,0))),"N/A")</f>
        <v/>
      </c>
      <c r="M147" s="25">
        <f>IFERROR(IF(INDEX('CI&amp;S'!$P$22:$P$39,MATCH($F147,'CI&amp;S'!$B$22:$B$39,0))="","Cell will autofill based on response",INDEX('CI&amp;S'!$P$22:$P$39,MATCH($F147,'CI&amp;S'!$B$22:$B$39,0))),"N/A")</f>
        <v/>
      </c>
      <c r="N147" s="25">
        <f>IFERROR(IF(INDEX('CFOG'!$P$10:$P$16,MATCH($F147,'CFOG'!$B$10:$B$16,0))="","Cell will autofill based on response",INDEX('CFOG'!$P$10:$P$16,MATCH($F147,'CFOG'!$B$10:$B$16,0))),"N/A")</f>
        <v/>
      </c>
      <c r="O147" s="25">
        <f>IFERROR(IF(INDEX('CFOG'!$P$23:$P$24,MATCH($F147,'CFOG'!$B$23:$B$24,0))="","Cell will autofill based on response",INDEX('CFOG'!$P$23:$P$24,MATCH($F147,'CFOG'!$B$23:$B$24,0))),"N/A")</f>
        <v/>
      </c>
      <c r="P147" s="25">
        <f>IFERROR(IF(INDEX('ESG'!$P$10:$P$17,MATCH($F147,'ESG'!$B$10:$B$17,0))="","Cell will autofill based on response",INDEX('ESG'!$P$10:$P$17,MATCH($F147,'ESG'!$B$10:$B$17,0))),"N/A")</f>
        <v/>
      </c>
      <c r="Q147" s="25">
        <f>IFERROR(IF(INDEX('CIOG'!$P$10:$P$14,MATCH($F147,'CIOG'!$B$10:$B$14,0))="","Cell will autofill based on response",INDEX('CIOG'!$P$10:$P$14,MATCH($F147,'CIOG'!$B$10:$B$14,0))),"N/A")</f>
        <v/>
      </c>
      <c r="R147" s="25">
        <f>IFERROR(IF(INDEX('MRE'!$P$10:$P$12,MATCH($F147,'MRE'!$B$10:$B$12,0))="","Cell will autofill based on response",INDEX('MRE'!$P$10:$P$12,MATCH($F147,'MRE'!$B$10:$B$12,0))),"N/A")</f>
        <v/>
      </c>
      <c r="S147" s="25">
        <f>IFERROR(IF(INDEX('L&amp;R'!$P$10:$P$11,MATCH($F147,'L&amp;R'!$B$10:$B$11,0))="","Cell will autofill based on response",INDEX('L&amp;R'!$P$10:$P$11,MATCH($F147,'L&amp;R'!$B$10:$B$11,0))),"N/A")</f>
        <v/>
      </c>
    </row>
    <row r="148">
      <c r="A148">
        <f>F148&amp;"|"&amp;G148</f>
        <v/>
      </c>
      <c r="B148" s="29" t="inlineStr"/>
      <c r="C148" s="8" t="inlineStr"/>
      <c r="D148" s="8" t="inlineStr"/>
      <c r="E148" s="8" t="inlineStr"/>
      <c r="F148" s="8" t="inlineStr">
        <is>
          <t>CL3(a)</t>
        </is>
      </c>
      <c r="G148" s="8" t="inlineStr">
        <is>
          <t>Data owner confirms</t>
        </is>
      </c>
      <c r="H148" s="25">
        <f>IFERROR(IF(INDEX('Faculties'!$Q$10:$Q$30,MATCH($F148,'Faculties'!$B$10:$B$30,0))="","Cell will autofill based on response",INDEX('Faculties'!$Q$10:$Q$30,MATCH($F148,'Faculties'!$B$10:$B$30,0))),"N/A")</f>
        <v/>
      </c>
      <c r="I148" s="25">
        <f>IFERROR(IF(INDEX('Faculties'!$Q$37:$Q$57,MATCH($F148,'Faculties'!$B$37:$B$57,0))="","Cell will autofill based on response",INDEX('Faculties'!$Q$37:$Q$57,MATCH($F148,'Faculties'!$B$37:$B$57,0))),"N/A")</f>
        <v/>
      </c>
      <c r="J148" s="25">
        <f>IFERROR(IF(INDEX('Faculties'!$Q$64:$Q$84,MATCH($F148,'Faculties'!$B$64:$B$84,0))="","Cell will autofill based on response",INDEX('Faculties'!$Q$64:$Q$84,MATCH($F148,'Faculties'!$B$64:$B$84,0))),"N/A")</f>
        <v/>
      </c>
      <c r="K148" s="25">
        <f>IFERROR(IF(INDEX('Faculties'!$Q$91:$Q$111,MATCH($F148,'Faculties'!$B$91:$B$111,0))="","Cell will autofill based on response",INDEX('Faculties'!$Q$91:$Q$111,MATCH($F148,'Faculties'!$B$91:$B$111,0))),"N/A")</f>
        <v/>
      </c>
      <c r="L148" s="25">
        <f>IFERROR(IF(INDEX('CI&amp;S'!$Q$10:$Q$15,MATCH($F148,'CI&amp;S'!$B$10:$B$15,0))="","Cell will autofill based on response",INDEX('CI&amp;S'!$Q$10:$Q$15,MATCH($F148,'CI&amp;S'!$B$10:$B$15,0))),"N/A")</f>
        <v/>
      </c>
      <c r="M148" s="25">
        <f>IFERROR(IF(INDEX('CI&amp;S'!$Q$22:$Q$39,MATCH($F148,'CI&amp;S'!$B$22:$B$39,0))="","Cell will autofill based on response",INDEX('CI&amp;S'!$Q$22:$Q$39,MATCH($F148,'CI&amp;S'!$B$22:$B$39,0))),"N/A")</f>
        <v/>
      </c>
      <c r="N148" s="25">
        <f>IFERROR(IF(INDEX('CFOG'!$Q$10:$Q$16,MATCH($F148,'CFOG'!$B$10:$B$16,0))="","Cell will autofill based on response",INDEX('CFOG'!$Q$10:$Q$16,MATCH($F148,'CFOG'!$B$10:$B$16,0))),"N/A")</f>
        <v/>
      </c>
      <c r="O148" s="25">
        <f>IFERROR(IF(INDEX('CFOG'!$Q$23:$Q$24,MATCH($F148,'CFOG'!$B$23:$B$24,0))="","Cell will autofill based on response",INDEX('CFOG'!$Q$23:$Q$24,MATCH($F148,'CFOG'!$B$23:$B$24,0))),"N/A")</f>
        <v/>
      </c>
      <c r="P148" s="25">
        <f>IFERROR(IF(INDEX('ESG'!$Q$10:$Q$17,MATCH($F148,'ESG'!$B$10:$B$17,0))="","Cell will autofill based on response",INDEX('ESG'!$Q$10:$Q$17,MATCH($F148,'ESG'!$B$10:$B$17,0))),"N/A")</f>
        <v/>
      </c>
      <c r="Q148" s="25">
        <f>IFERROR(IF(INDEX('CIOG'!$Q$10:$Q$14,MATCH($F148,'CIOG'!$B$10:$B$14,0))="","Cell will autofill based on response",INDEX('CIOG'!$Q$10:$Q$14,MATCH($F148,'CIOG'!$B$10:$B$14,0))),"N/A")</f>
        <v/>
      </c>
      <c r="R148" s="25">
        <f>IFERROR(IF(INDEX('MRE'!$Q$10:$Q$12,MATCH($F148,'MRE'!$B$10:$B$12,0))="","Cell will autofill based on response",INDEX('MRE'!$Q$10:$Q$12,MATCH($F148,'MRE'!$B$10:$B$12,0))),"N/A")</f>
        <v/>
      </c>
      <c r="S148" s="25">
        <f>IFERROR(IF(INDEX('L&amp;R'!$Q$10:$Q$11,MATCH($F148,'L&amp;R'!$B$10:$B$11,0))="","Cell will autofill based on response",INDEX('L&amp;R'!$Q$10:$Q$11,MATCH($F148,'L&amp;R'!$B$10:$B$11,0))),"N/A")</f>
        <v/>
      </c>
    </row>
    <row r="149">
      <c r="A149">
        <f>F149&amp;"|"&amp;G149</f>
        <v/>
      </c>
      <c r="B149" s="7" t="inlineStr">
        <is>
          <t>NB1(a)</t>
        </is>
      </c>
      <c r="C149" s="12" t="inlineStr">
        <is>
          <t>Nature and biodiversity</t>
        </is>
      </c>
      <c r="D149" s="12" t="inlineStr">
        <is>
          <t>Monitoring of biodiversity metrics from the Biodiversity Baseline Data Project</t>
        </is>
      </c>
      <c r="E149" s="12" t="inlineStr">
        <is>
          <t>7 diversity metrics from https://sustainablecampus.unimelb.edu.au/biodiversity/biodiversity-baseline-data-project#main-content</t>
        </is>
      </c>
      <c r="F149" s="12" t="inlineStr">
        <is>
          <t>NB1(a)</t>
        </is>
      </c>
      <c r="G149" s="12" t="inlineStr">
        <is>
          <t>Confirm end-2026 target status</t>
        </is>
      </c>
      <c r="H149" s="25">
        <f>IFERROR(IF(INDEX('Faculties'!$L$10:$L$30,MATCH($F149,'Faculties'!$B$10:$B$30,0))="","Cell will autofill based on response",INDEX('Faculties'!$L$10:$L$30,MATCH($F149,'Faculties'!$B$10:$B$30,0))),"N/A")</f>
        <v/>
      </c>
      <c r="I149" s="25">
        <f>IFERROR(IF(INDEX('Faculties'!$L$37:$L$57,MATCH($F149,'Faculties'!$B$37:$B$57,0))="","Cell will autofill based on response",INDEX('Faculties'!$L$37:$L$57,MATCH($F149,'Faculties'!$B$37:$B$57,0))),"N/A")</f>
        <v/>
      </c>
      <c r="J149" s="25">
        <f>IFERROR(IF(INDEX('Faculties'!$L$64:$L$84,MATCH($F149,'Faculties'!$B$64:$B$84,0))="","Cell will autofill based on response",INDEX('Faculties'!$L$64:$L$84,MATCH($F149,'Faculties'!$B$64:$B$84,0))),"N/A")</f>
        <v/>
      </c>
      <c r="K149" s="25">
        <f>IFERROR(IF(INDEX('Faculties'!$L$91:$L$111,MATCH($F149,'Faculties'!$B$91:$B$111,0))="","Cell will autofill based on response",INDEX('Faculties'!$L$91:$L$111,MATCH($F149,'Faculties'!$B$91:$B$111,0))),"N/A")</f>
        <v/>
      </c>
      <c r="L149" s="25">
        <f>IFERROR(IF(INDEX('CI&amp;S'!$L$10:$L$15,MATCH($F149,'CI&amp;S'!$B$10:$B$15,0))="","Cell will autofill based on response",INDEX('CI&amp;S'!$L$10:$L$15,MATCH($F149,'CI&amp;S'!$B$10:$B$15,0))),"N/A")</f>
        <v/>
      </c>
      <c r="M149" s="25">
        <f>IFERROR(IF(INDEX('CI&amp;S'!$L$22:$L$39,MATCH($F149,'CI&amp;S'!$B$22:$B$39,0))="","Cell will autofill based on response",INDEX('CI&amp;S'!$L$22:$L$39,MATCH($F149,'CI&amp;S'!$B$22:$B$39,0))),"N/A")</f>
        <v/>
      </c>
      <c r="N149" s="25">
        <f>IFERROR(IF(INDEX('CFOG'!$L$10:$L$16,MATCH($F149,'CFOG'!$B$10:$B$16,0))="","Cell will autofill based on response",INDEX('CFOG'!$L$10:$L$16,MATCH($F149,'CFOG'!$B$10:$B$16,0))),"N/A")</f>
        <v/>
      </c>
      <c r="O149" s="25">
        <f>IFERROR(IF(INDEX('CFOG'!$L$23:$L$24,MATCH($F149,'CFOG'!$B$23:$B$24,0))="","Cell will autofill based on response",INDEX('CFOG'!$L$23:$L$24,MATCH($F149,'CFOG'!$B$23:$B$24,0))),"N/A")</f>
        <v/>
      </c>
      <c r="P149" s="25">
        <f>IFERROR(IF(INDEX('ESG'!$L$10:$L$17,MATCH($F149,'ESG'!$B$10:$B$17,0))="","Cell will autofill based on response",INDEX('ESG'!$L$10:$L$17,MATCH($F149,'ESG'!$B$10:$B$17,0))),"N/A")</f>
        <v/>
      </c>
      <c r="Q149" s="25">
        <f>IFERROR(IF(INDEX('CIOG'!$L$10:$L$14,MATCH($F149,'CIOG'!$B$10:$B$14,0))="","Cell will autofill based on response",INDEX('CIOG'!$L$10:$L$14,MATCH($F149,'CIOG'!$B$10:$B$14,0))),"N/A")</f>
        <v/>
      </c>
      <c r="R149" s="25">
        <f>IFERROR(IF(INDEX('MRE'!$L$10:$L$12,MATCH($F149,'MRE'!$B$10:$B$12,0))="","Cell will autofill based on response",INDEX('MRE'!$L$10:$L$12,MATCH($F149,'MRE'!$B$10:$B$12,0))),"N/A")</f>
        <v/>
      </c>
      <c r="S149" s="25">
        <f>IFERROR(IF(INDEX('L&amp;R'!$L$10:$L$11,MATCH($F149,'L&amp;R'!$B$10:$B$11,0))="","Cell will autofill based on response",INDEX('L&amp;R'!$L$10:$L$11,MATCH($F149,'L&amp;R'!$B$10:$B$11,0))),"N/A")</f>
        <v/>
      </c>
      <c r="U149" s="26">
        <f>COUNTIF($H149:$S149,"Cell will autofill based on response")</f>
        <v/>
      </c>
      <c r="V149" s="26">
        <f>COUNTIF($H149:$S149,"Not yet started")</f>
        <v/>
      </c>
      <c r="W149" s="26">
        <f>COUNTIF($H149:$S149,"Not met")</f>
        <v/>
      </c>
      <c r="X149" s="26">
        <f>COUNTIF($H149:$S149,"Partially met")</f>
        <v/>
      </c>
      <c r="Y149" s="26">
        <f>COUNTIF($H149:$S149,"Met or exceeded")</f>
        <v/>
      </c>
      <c r="Z149" s="26">
        <f>3*Y149+2*X149+W149</f>
        <v/>
      </c>
      <c r="AA149" s="26">
        <f>Y149+X149+W149+V149</f>
        <v/>
      </c>
      <c r="AB149" s="27">
        <f>IF(AA149&gt;0,Z149/AA149,"No valid responses to date")</f>
        <v/>
      </c>
      <c r="AC149" s="26">
        <f>IF(ISNUMBER(AB149),INDEX(Lists!$G$2:$G$5,MATCH(ROUND(AB149,0),Lists!$H$2:$H$5,0)),"")</f>
        <v/>
      </c>
      <c r="AD149" s="28">
        <f>IF(AA149&gt;0,Y149/AA149,"")</f>
        <v/>
      </c>
      <c r="AE149" s="28">
        <f>IF(AA149&gt;0,(Y149+X149)/AA149,"")</f>
        <v/>
      </c>
      <c r="AF149" s="26">
        <f>IF(AA149=0,"",IF(AD149&gt;0.75,"Met or exceeded",IF(AE149&gt;=0.5,"Partially met","Not met")))</f>
        <v/>
      </c>
    </row>
    <row r="150">
      <c r="A150">
        <f>F150&amp;"|"&amp;G150</f>
        <v/>
      </c>
      <c r="B150" s="29" t="inlineStr"/>
      <c r="C150" s="8" t="inlineStr"/>
      <c r="D150" s="8" t="inlineStr"/>
      <c r="E150" s="8" t="inlineStr"/>
      <c r="F150" s="8" t="inlineStr">
        <is>
          <t>NB1(a)</t>
        </is>
      </c>
      <c r="G150" s="8" t="inlineStr">
        <is>
          <t>OPTION 1:  Target-level reporting</t>
        </is>
      </c>
      <c r="H150" s="25">
        <f>IFERROR(IF(INDEX('Faculties'!$M$10:$M$30,MATCH($F150,'Faculties'!$B$10:$B$30,0))="","Cell will autofill based on response",INDEX('Faculties'!$M$10:$M$30,MATCH($F150,'Faculties'!$B$10:$B$30,0))),"N/A")</f>
        <v/>
      </c>
      <c r="I150" s="25">
        <f>IFERROR(IF(INDEX('Faculties'!$M$37:$M$57,MATCH($F150,'Faculties'!$B$37:$B$57,0))="","Cell will autofill based on response",INDEX('Faculties'!$M$37:$M$57,MATCH($F150,'Faculties'!$B$37:$B$57,0))),"N/A")</f>
        <v/>
      </c>
      <c r="J150" s="25">
        <f>IFERROR(IF(INDEX('Faculties'!$M$64:$M$84,MATCH($F150,'Faculties'!$B$64:$B$84,0))="","Cell will autofill based on response",INDEX('Faculties'!$M$64:$M$84,MATCH($F150,'Faculties'!$B$64:$B$84,0))),"N/A")</f>
        <v/>
      </c>
      <c r="K150" s="25">
        <f>IFERROR(IF(INDEX('Faculties'!$M$91:$M$111,MATCH($F150,'Faculties'!$B$91:$B$111,0))="","Cell will autofill based on response",INDEX('Faculties'!$M$91:$M$111,MATCH($F150,'Faculties'!$B$91:$B$111,0))),"N/A")</f>
        <v/>
      </c>
      <c r="L150" s="25">
        <f>IFERROR(IF(INDEX('CI&amp;S'!$M$10:$M$15,MATCH($F150,'CI&amp;S'!$B$10:$B$15,0))="","Cell will autofill based on response",INDEX('CI&amp;S'!$M$10:$M$15,MATCH($F150,'CI&amp;S'!$B$10:$B$15,0))),"N/A")</f>
        <v/>
      </c>
      <c r="M150" s="25">
        <f>IFERROR(IF(INDEX('CI&amp;S'!$M$22:$M$39,MATCH($F150,'CI&amp;S'!$B$22:$B$39,0))="","Cell will autofill based on response",INDEX('CI&amp;S'!$M$22:$M$39,MATCH($F150,'CI&amp;S'!$B$22:$B$39,0))),"N/A")</f>
        <v/>
      </c>
      <c r="N150" s="25">
        <f>IFERROR(IF(INDEX('CFOG'!$M$10:$M$16,MATCH($F150,'CFOG'!$B$10:$B$16,0))="","Cell will autofill based on response",INDEX('CFOG'!$M$10:$M$16,MATCH($F150,'CFOG'!$B$10:$B$16,0))),"N/A")</f>
        <v/>
      </c>
      <c r="O150" s="25">
        <f>IFERROR(IF(INDEX('CFOG'!$M$23:$M$24,MATCH($F150,'CFOG'!$B$23:$B$24,0))="","Cell will autofill based on response",INDEX('CFOG'!$M$23:$M$24,MATCH($F150,'CFOG'!$B$23:$B$24,0))),"N/A")</f>
        <v/>
      </c>
      <c r="P150" s="25">
        <f>IFERROR(IF(INDEX('ESG'!$M$10:$M$17,MATCH($F150,'ESG'!$B$10:$B$17,0))="","Cell will autofill based on response",INDEX('ESG'!$M$10:$M$17,MATCH($F150,'ESG'!$B$10:$B$17,0))),"N/A")</f>
        <v/>
      </c>
      <c r="Q150" s="25">
        <f>IFERROR(IF(INDEX('CIOG'!$M$10:$M$14,MATCH($F150,'CIOG'!$B$10:$B$14,0))="","Cell will autofill based on response",INDEX('CIOG'!$M$10:$M$14,MATCH($F150,'CIOG'!$B$10:$B$14,0))),"N/A")</f>
        <v/>
      </c>
      <c r="R150" s="25">
        <f>IFERROR(IF(INDEX('MRE'!$M$10:$M$12,MATCH($F150,'MRE'!$B$10:$B$12,0))="","Cell will autofill based on response",INDEX('MRE'!$M$10:$M$12,MATCH($F150,'MRE'!$B$10:$B$12,0))),"N/A")</f>
        <v/>
      </c>
      <c r="S150" s="25">
        <f>IFERROR(IF(INDEX('L&amp;R'!$M$10:$M$11,MATCH($F150,'L&amp;R'!$B$10:$B$11,0))="","Cell will autofill based on response",INDEX('L&amp;R'!$M$10:$M$11,MATCH($F150,'L&amp;R'!$B$10:$B$11,0))),"N/A")</f>
        <v/>
      </c>
    </row>
    <row r="151">
      <c r="A151">
        <f>F151&amp;"|"&amp;G151</f>
        <v/>
      </c>
      <c r="B151" s="29" t="inlineStr"/>
      <c r="C151" s="8" t="inlineStr"/>
      <c r="D151" s="8" t="inlineStr"/>
      <c r="E151" s="8" t="inlineStr"/>
      <c r="F151" s="8" t="inlineStr">
        <is>
          <t>NB1(a)</t>
        </is>
      </c>
      <c r="G151" s="8" t="inlineStr">
        <is>
          <t>OPTION 2:  Indicator level reporting</t>
        </is>
      </c>
      <c r="H151" s="25">
        <f>IFERROR(IF(INDEX('Faculties'!$N$10:$N$30,MATCH($F151,'Faculties'!$B$10:$B$30,0))="","Cell will autofill based on response",INDEX('Faculties'!$N$10:$N$30,MATCH($F151,'Faculties'!$B$10:$B$30,0))),"N/A")</f>
        <v/>
      </c>
      <c r="I151" s="25">
        <f>IFERROR(IF(INDEX('Faculties'!$N$37:$N$57,MATCH($F151,'Faculties'!$B$37:$B$57,0))="","Cell will autofill based on response",INDEX('Faculties'!$N$37:$N$57,MATCH($F151,'Faculties'!$B$37:$B$57,0))),"N/A")</f>
        <v/>
      </c>
      <c r="J151" s="25">
        <f>IFERROR(IF(INDEX('Faculties'!$N$64:$N$84,MATCH($F151,'Faculties'!$B$64:$B$84,0))="","Cell will autofill based on response",INDEX('Faculties'!$N$64:$N$84,MATCH($F151,'Faculties'!$B$64:$B$84,0))),"N/A")</f>
        <v/>
      </c>
      <c r="K151" s="25">
        <f>IFERROR(IF(INDEX('Faculties'!$N$91:$N$111,MATCH($F151,'Faculties'!$B$91:$B$111,0))="","Cell will autofill based on response",INDEX('Faculties'!$N$91:$N$111,MATCH($F151,'Faculties'!$B$91:$B$111,0))),"N/A")</f>
        <v/>
      </c>
      <c r="L151" s="25">
        <f>IFERROR(IF(INDEX('CI&amp;S'!$N$10:$N$15,MATCH($F151,'CI&amp;S'!$B$10:$B$15,0))="","Cell will autofill based on response",INDEX('CI&amp;S'!$N$10:$N$15,MATCH($F151,'CI&amp;S'!$B$10:$B$15,0))),"N/A")</f>
        <v/>
      </c>
      <c r="M151" s="25">
        <f>IFERROR(IF(INDEX('CI&amp;S'!$N$22:$N$39,MATCH($F151,'CI&amp;S'!$B$22:$B$39,0))="","Cell will autofill based on response",INDEX('CI&amp;S'!$N$22:$N$39,MATCH($F151,'CI&amp;S'!$B$22:$B$39,0))),"N/A")</f>
        <v/>
      </c>
      <c r="N151" s="25">
        <f>IFERROR(IF(INDEX('CFOG'!$N$10:$N$16,MATCH($F151,'CFOG'!$B$10:$B$16,0))="","Cell will autofill based on response",INDEX('CFOG'!$N$10:$N$16,MATCH($F151,'CFOG'!$B$10:$B$16,0))),"N/A")</f>
        <v/>
      </c>
      <c r="O151" s="25">
        <f>IFERROR(IF(INDEX('CFOG'!$N$23:$N$24,MATCH($F151,'CFOG'!$B$23:$B$24,0))="","Cell will autofill based on response",INDEX('CFOG'!$N$23:$N$24,MATCH($F151,'CFOG'!$B$23:$B$24,0))),"N/A")</f>
        <v/>
      </c>
      <c r="P151" s="25">
        <f>IFERROR(IF(INDEX('ESG'!$N$10:$N$17,MATCH($F151,'ESG'!$B$10:$B$17,0))="","Cell will autofill based on response",INDEX('ESG'!$N$10:$N$17,MATCH($F151,'ESG'!$B$10:$B$17,0))),"N/A")</f>
        <v/>
      </c>
      <c r="Q151" s="25">
        <f>IFERROR(IF(INDEX('CIOG'!$N$10:$N$14,MATCH($F151,'CIOG'!$B$10:$B$14,0))="","Cell will autofill based on response",INDEX('CIOG'!$N$10:$N$14,MATCH($F151,'CIOG'!$B$10:$B$14,0))),"N/A")</f>
        <v/>
      </c>
      <c r="R151" s="25">
        <f>IFERROR(IF(INDEX('MRE'!$N$10:$N$12,MATCH($F151,'MRE'!$B$10:$B$12,0))="","Cell will autofill based on response",INDEX('MRE'!$N$10:$N$12,MATCH($F151,'MRE'!$B$10:$B$12,0))),"N/A")</f>
        <v/>
      </c>
      <c r="S151" s="25">
        <f>IFERROR(IF(INDEX('L&amp;R'!$N$10:$N$11,MATCH($F151,'L&amp;R'!$B$10:$B$11,0))="","Cell will autofill based on response",INDEX('L&amp;R'!$N$10:$N$11,MATCH($F151,'L&amp;R'!$B$10:$B$11,0))),"N/A")</f>
        <v/>
      </c>
    </row>
    <row r="152">
      <c r="A152">
        <f>F152&amp;"|"&amp;G152</f>
        <v/>
      </c>
      <c r="B152" s="29" t="inlineStr"/>
      <c r="C152" s="8" t="inlineStr"/>
      <c r="D152" s="8" t="inlineStr"/>
      <c r="E152" s="8" t="inlineStr"/>
      <c r="F152" s="8" t="inlineStr">
        <is>
          <t>NB1(a)</t>
        </is>
      </c>
      <c r="G152" s="8" t="inlineStr">
        <is>
          <t>Supporting information/comments</t>
        </is>
      </c>
      <c r="H152" s="25">
        <f>IFERROR(IF(INDEX('Faculties'!$O$10:$O$30,MATCH($F152,'Faculties'!$B$10:$B$30,0))="","Cell will autofill based on response",INDEX('Faculties'!$O$10:$O$30,MATCH($F152,'Faculties'!$B$10:$B$30,0))),"N/A")</f>
        <v/>
      </c>
      <c r="I152" s="25">
        <f>IFERROR(IF(INDEX('Faculties'!$O$37:$O$57,MATCH($F152,'Faculties'!$B$37:$B$57,0))="","Cell will autofill based on response",INDEX('Faculties'!$O$37:$O$57,MATCH($F152,'Faculties'!$B$37:$B$57,0))),"N/A")</f>
        <v/>
      </c>
      <c r="J152" s="25">
        <f>IFERROR(IF(INDEX('Faculties'!$O$64:$O$84,MATCH($F152,'Faculties'!$B$64:$B$84,0))="","Cell will autofill based on response",INDEX('Faculties'!$O$64:$O$84,MATCH($F152,'Faculties'!$B$64:$B$84,0))),"N/A")</f>
        <v/>
      </c>
      <c r="K152" s="25">
        <f>IFERROR(IF(INDEX('Faculties'!$O$91:$O$111,MATCH($F152,'Faculties'!$B$91:$B$111,0))="","Cell will autofill based on response",INDEX('Faculties'!$O$91:$O$111,MATCH($F152,'Faculties'!$B$91:$B$111,0))),"N/A")</f>
        <v/>
      </c>
      <c r="L152" s="25">
        <f>IFERROR(IF(INDEX('CI&amp;S'!$O$10:$O$15,MATCH($F152,'CI&amp;S'!$B$10:$B$15,0))="","Cell will autofill based on response",INDEX('CI&amp;S'!$O$10:$O$15,MATCH($F152,'CI&amp;S'!$B$10:$B$15,0))),"N/A")</f>
        <v/>
      </c>
      <c r="M152" s="25">
        <f>IFERROR(IF(INDEX('CI&amp;S'!$O$22:$O$39,MATCH($F152,'CI&amp;S'!$B$22:$B$39,0))="","Cell will autofill based on response",INDEX('CI&amp;S'!$O$22:$O$39,MATCH($F152,'CI&amp;S'!$B$22:$B$39,0))),"N/A")</f>
        <v/>
      </c>
      <c r="N152" s="25">
        <f>IFERROR(IF(INDEX('CFOG'!$O$10:$O$16,MATCH($F152,'CFOG'!$B$10:$B$16,0))="","Cell will autofill based on response",INDEX('CFOG'!$O$10:$O$16,MATCH($F152,'CFOG'!$B$10:$B$16,0))),"N/A")</f>
        <v/>
      </c>
      <c r="O152" s="25">
        <f>IFERROR(IF(INDEX('CFOG'!$O$23:$O$24,MATCH($F152,'CFOG'!$B$23:$B$24,0))="","Cell will autofill based on response",INDEX('CFOG'!$O$23:$O$24,MATCH($F152,'CFOG'!$B$23:$B$24,0))),"N/A")</f>
        <v/>
      </c>
      <c r="P152" s="25">
        <f>IFERROR(IF(INDEX('ESG'!$O$10:$O$17,MATCH($F152,'ESG'!$B$10:$B$17,0))="","Cell will autofill based on response",INDEX('ESG'!$O$10:$O$17,MATCH($F152,'ESG'!$B$10:$B$17,0))),"N/A")</f>
        <v/>
      </c>
      <c r="Q152" s="25">
        <f>IFERROR(IF(INDEX('CIOG'!$O$10:$O$14,MATCH($F152,'CIOG'!$B$10:$B$14,0))="","Cell will autofill based on response",INDEX('CIOG'!$O$10:$O$14,MATCH($F152,'CIOG'!$B$10:$B$14,0))),"N/A")</f>
        <v/>
      </c>
      <c r="R152" s="25">
        <f>IFERROR(IF(INDEX('MRE'!$O$10:$O$12,MATCH($F152,'MRE'!$B$10:$B$12,0))="","Cell will autofill based on response",INDEX('MRE'!$O$10:$O$12,MATCH($F152,'MRE'!$B$10:$B$12,0))),"N/A")</f>
        <v/>
      </c>
      <c r="S152" s="25">
        <f>IFERROR(IF(INDEX('L&amp;R'!$O$10:$O$11,MATCH($F152,'L&amp;R'!$B$10:$B$11,0))="","Cell will autofill based on response",INDEX('L&amp;R'!$O$10:$O$11,MATCH($F152,'L&amp;R'!$B$10:$B$11,0))),"N/A")</f>
        <v/>
      </c>
    </row>
    <row r="153">
      <c r="A153">
        <f>F153&amp;"|"&amp;G153</f>
        <v/>
      </c>
      <c r="B153" s="29" t="inlineStr"/>
      <c r="C153" s="8" t="inlineStr"/>
      <c r="D153" s="8" t="inlineStr"/>
      <c r="E153" s="8" t="inlineStr"/>
      <c r="F153" s="8" t="inlineStr">
        <is>
          <t>NB1(a)</t>
        </is>
      </c>
      <c r="G153" s="8" t="inlineStr">
        <is>
          <t>Data source and limitations</t>
        </is>
      </c>
      <c r="H153" s="25">
        <f>IFERROR(IF(INDEX('Faculties'!$P$10:$P$30,MATCH($F153,'Faculties'!$B$10:$B$30,0))="","Cell will autofill based on response",INDEX('Faculties'!$P$10:$P$30,MATCH($F153,'Faculties'!$B$10:$B$30,0))),"N/A")</f>
        <v/>
      </c>
      <c r="I153" s="25">
        <f>IFERROR(IF(INDEX('Faculties'!$P$37:$P$57,MATCH($F153,'Faculties'!$B$37:$B$57,0))="","Cell will autofill based on response",INDEX('Faculties'!$P$37:$P$57,MATCH($F153,'Faculties'!$B$37:$B$57,0))),"N/A")</f>
        <v/>
      </c>
      <c r="J153" s="25">
        <f>IFERROR(IF(INDEX('Faculties'!$P$64:$P$84,MATCH($F153,'Faculties'!$B$64:$B$84,0))="","Cell will autofill based on response",INDEX('Faculties'!$P$64:$P$84,MATCH($F153,'Faculties'!$B$64:$B$84,0))),"N/A")</f>
        <v/>
      </c>
      <c r="K153" s="25">
        <f>IFERROR(IF(INDEX('Faculties'!$P$91:$P$111,MATCH($F153,'Faculties'!$B$91:$B$111,0))="","Cell will autofill based on response",INDEX('Faculties'!$P$91:$P$111,MATCH($F153,'Faculties'!$B$91:$B$111,0))),"N/A")</f>
        <v/>
      </c>
      <c r="L153" s="25">
        <f>IFERROR(IF(INDEX('CI&amp;S'!$P$10:$P$15,MATCH($F153,'CI&amp;S'!$B$10:$B$15,0))="","Cell will autofill based on response",INDEX('CI&amp;S'!$P$10:$P$15,MATCH($F153,'CI&amp;S'!$B$10:$B$15,0))),"N/A")</f>
        <v/>
      </c>
      <c r="M153" s="25">
        <f>IFERROR(IF(INDEX('CI&amp;S'!$P$22:$P$39,MATCH($F153,'CI&amp;S'!$B$22:$B$39,0))="","Cell will autofill based on response",INDEX('CI&amp;S'!$P$22:$P$39,MATCH($F153,'CI&amp;S'!$B$22:$B$39,0))),"N/A")</f>
        <v/>
      </c>
      <c r="N153" s="25">
        <f>IFERROR(IF(INDEX('CFOG'!$P$10:$P$16,MATCH($F153,'CFOG'!$B$10:$B$16,0))="","Cell will autofill based on response",INDEX('CFOG'!$P$10:$P$16,MATCH($F153,'CFOG'!$B$10:$B$16,0))),"N/A")</f>
        <v/>
      </c>
      <c r="O153" s="25">
        <f>IFERROR(IF(INDEX('CFOG'!$P$23:$P$24,MATCH($F153,'CFOG'!$B$23:$B$24,0))="","Cell will autofill based on response",INDEX('CFOG'!$P$23:$P$24,MATCH($F153,'CFOG'!$B$23:$B$24,0))),"N/A")</f>
        <v/>
      </c>
      <c r="P153" s="25">
        <f>IFERROR(IF(INDEX('ESG'!$P$10:$P$17,MATCH($F153,'ESG'!$B$10:$B$17,0))="","Cell will autofill based on response",INDEX('ESG'!$P$10:$P$17,MATCH($F153,'ESG'!$B$10:$B$17,0))),"N/A")</f>
        <v/>
      </c>
      <c r="Q153" s="25">
        <f>IFERROR(IF(INDEX('CIOG'!$P$10:$P$14,MATCH($F153,'CIOG'!$B$10:$B$14,0))="","Cell will autofill based on response",INDEX('CIOG'!$P$10:$P$14,MATCH($F153,'CIOG'!$B$10:$B$14,0))),"N/A")</f>
        <v/>
      </c>
      <c r="R153" s="25">
        <f>IFERROR(IF(INDEX('MRE'!$P$10:$P$12,MATCH($F153,'MRE'!$B$10:$B$12,0))="","Cell will autofill based on response",INDEX('MRE'!$P$10:$P$12,MATCH($F153,'MRE'!$B$10:$B$12,0))),"N/A")</f>
        <v/>
      </c>
      <c r="S153" s="25">
        <f>IFERROR(IF(INDEX('L&amp;R'!$P$10:$P$11,MATCH($F153,'L&amp;R'!$B$10:$B$11,0))="","Cell will autofill based on response",INDEX('L&amp;R'!$P$10:$P$11,MATCH($F153,'L&amp;R'!$B$10:$B$11,0))),"N/A")</f>
        <v/>
      </c>
    </row>
    <row r="154">
      <c r="A154">
        <f>F154&amp;"|"&amp;G154</f>
        <v/>
      </c>
      <c r="B154" s="29" t="inlineStr"/>
      <c r="C154" s="8" t="inlineStr"/>
      <c r="D154" s="8" t="inlineStr"/>
      <c r="E154" s="8" t="inlineStr"/>
      <c r="F154" s="8" t="inlineStr">
        <is>
          <t>NB1(a)</t>
        </is>
      </c>
      <c r="G154" s="8" t="inlineStr">
        <is>
          <t>Data owner confirms</t>
        </is>
      </c>
      <c r="H154" s="25">
        <f>IFERROR(IF(INDEX('Faculties'!$Q$10:$Q$30,MATCH($F154,'Faculties'!$B$10:$B$30,0))="","Cell will autofill based on response",INDEX('Faculties'!$Q$10:$Q$30,MATCH($F154,'Faculties'!$B$10:$B$30,0))),"N/A")</f>
        <v/>
      </c>
      <c r="I154" s="25">
        <f>IFERROR(IF(INDEX('Faculties'!$Q$37:$Q$57,MATCH($F154,'Faculties'!$B$37:$B$57,0))="","Cell will autofill based on response",INDEX('Faculties'!$Q$37:$Q$57,MATCH($F154,'Faculties'!$B$37:$B$57,0))),"N/A")</f>
        <v/>
      </c>
      <c r="J154" s="25">
        <f>IFERROR(IF(INDEX('Faculties'!$Q$64:$Q$84,MATCH($F154,'Faculties'!$B$64:$B$84,0))="","Cell will autofill based on response",INDEX('Faculties'!$Q$64:$Q$84,MATCH($F154,'Faculties'!$B$64:$B$84,0))),"N/A")</f>
        <v/>
      </c>
      <c r="K154" s="25">
        <f>IFERROR(IF(INDEX('Faculties'!$Q$91:$Q$111,MATCH($F154,'Faculties'!$B$91:$B$111,0))="","Cell will autofill based on response",INDEX('Faculties'!$Q$91:$Q$111,MATCH($F154,'Faculties'!$B$91:$B$111,0))),"N/A")</f>
        <v/>
      </c>
      <c r="L154" s="25">
        <f>IFERROR(IF(INDEX('CI&amp;S'!$Q$10:$Q$15,MATCH($F154,'CI&amp;S'!$B$10:$B$15,0))="","Cell will autofill based on response",INDEX('CI&amp;S'!$Q$10:$Q$15,MATCH($F154,'CI&amp;S'!$B$10:$B$15,0))),"N/A")</f>
        <v/>
      </c>
      <c r="M154" s="25">
        <f>IFERROR(IF(INDEX('CI&amp;S'!$Q$22:$Q$39,MATCH($F154,'CI&amp;S'!$B$22:$B$39,0))="","Cell will autofill based on response",INDEX('CI&amp;S'!$Q$22:$Q$39,MATCH($F154,'CI&amp;S'!$B$22:$B$39,0))),"N/A")</f>
        <v/>
      </c>
      <c r="N154" s="25">
        <f>IFERROR(IF(INDEX('CFOG'!$Q$10:$Q$16,MATCH($F154,'CFOG'!$B$10:$B$16,0))="","Cell will autofill based on response",INDEX('CFOG'!$Q$10:$Q$16,MATCH($F154,'CFOG'!$B$10:$B$16,0))),"N/A")</f>
        <v/>
      </c>
      <c r="O154" s="25">
        <f>IFERROR(IF(INDEX('CFOG'!$Q$23:$Q$24,MATCH($F154,'CFOG'!$B$23:$B$24,0))="","Cell will autofill based on response",INDEX('CFOG'!$Q$23:$Q$24,MATCH($F154,'CFOG'!$B$23:$B$24,0))),"N/A")</f>
        <v/>
      </c>
      <c r="P154" s="25">
        <f>IFERROR(IF(INDEX('ESG'!$Q$10:$Q$17,MATCH($F154,'ESG'!$B$10:$B$17,0))="","Cell will autofill based on response",INDEX('ESG'!$Q$10:$Q$17,MATCH($F154,'ESG'!$B$10:$B$17,0))),"N/A")</f>
        <v/>
      </c>
      <c r="Q154" s="25">
        <f>IFERROR(IF(INDEX('CIOG'!$Q$10:$Q$14,MATCH($F154,'CIOG'!$B$10:$B$14,0))="","Cell will autofill based on response",INDEX('CIOG'!$Q$10:$Q$14,MATCH($F154,'CIOG'!$B$10:$B$14,0))),"N/A")</f>
        <v/>
      </c>
      <c r="R154" s="25">
        <f>IFERROR(IF(INDEX('MRE'!$Q$10:$Q$12,MATCH($F154,'MRE'!$B$10:$B$12,0))="","Cell will autofill based on response",INDEX('MRE'!$Q$10:$Q$12,MATCH($F154,'MRE'!$B$10:$B$12,0))),"N/A")</f>
        <v/>
      </c>
      <c r="S154" s="25">
        <f>IFERROR(IF(INDEX('L&amp;R'!$Q$10:$Q$11,MATCH($F154,'L&amp;R'!$B$10:$B$11,0))="","Cell will autofill based on response",INDEX('L&amp;R'!$Q$10:$Q$11,MATCH($F154,'L&amp;R'!$B$10:$B$11,0))),"N/A")</f>
        <v/>
      </c>
    </row>
    <row r="155">
      <c r="A155">
        <f>F155&amp;"|"&amp;G155</f>
        <v/>
      </c>
      <c r="B155" s="7" t="inlineStr">
        <is>
          <t>NB1(b)</t>
        </is>
      </c>
      <c r="C155" s="12" t="inlineStr">
        <is>
          <t>Nature and biodiversity</t>
        </is>
      </c>
      <c r="D155" s="12" t="inlineStr">
        <is>
          <t>Size, health and diversity of remnant vegetation at the Dookie and Creswick campuses</t>
        </is>
      </c>
      <c r="E155" s="12" t="inlineStr"/>
      <c r="F155" s="12" t="inlineStr">
        <is>
          <t>NB1(b)</t>
        </is>
      </c>
      <c r="G155" s="12" t="inlineStr">
        <is>
          <t>Confirm end-2026 target status</t>
        </is>
      </c>
      <c r="H155" s="25">
        <f>IFERROR(IF(INDEX('Faculties'!$L$10:$L$30,MATCH($F155,'Faculties'!$B$10:$B$30,0))="","Cell will autofill based on response",INDEX('Faculties'!$L$10:$L$30,MATCH($F155,'Faculties'!$B$10:$B$30,0))),"N/A")</f>
        <v/>
      </c>
      <c r="I155" s="25">
        <f>IFERROR(IF(INDEX('Faculties'!$L$37:$L$57,MATCH($F155,'Faculties'!$B$37:$B$57,0))="","Cell will autofill based on response",INDEX('Faculties'!$L$37:$L$57,MATCH($F155,'Faculties'!$B$37:$B$57,0))),"N/A")</f>
        <v/>
      </c>
      <c r="J155" s="25">
        <f>IFERROR(IF(INDEX('Faculties'!$L$64:$L$84,MATCH($F155,'Faculties'!$B$64:$B$84,0))="","Cell will autofill based on response",INDEX('Faculties'!$L$64:$L$84,MATCH($F155,'Faculties'!$B$64:$B$84,0))),"N/A")</f>
        <v/>
      </c>
      <c r="K155" s="25">
        <f>IFERROR(IF(INDEX('Faculties'!$L$91:$L$111,MATCH($F155,'Faculties'!$B$91:$B$111,0))="","Cell will autofill based on response",INDEX('Faculties'!$L$91:$L$111,MATCH($F155,'Faculties'!$B$91:$B$111,0))),"N/A")</f>
        <v/>
      </c>
      <c r="L155" s="25">
        <f>IFERROR(IF(INDEX('CI&amp;S'!$L$10:$L$15,MATCH($F155,'CI&amp;S'!$B$10:$B$15,0))="","Cell will autofill based on response",INDEX('CI&amp;S'!$L$10:$L$15,MATCH($F155,'CI&amp;S'!$B$10:$B$15,0))),"N/A")</f>
        <v/>
      </c>
      <c r="M155" s="25">
        <f>IFERROR(IF(INDEX('CI&amp;S'!$L$22:$L$39,MATCH($F155,'CI&amp;S'!$B$22:$B$39,0))="","Cell will autofill based on response",INDEX('CI&amp;S'!$L$22:$L$39,MATCH($F155,'CI&amp;S'!$B$22:$B$39,0))),"N/A")</f>
        <v/>
      </c>
      <c r="N155" s="25">
        <f>IFERROR(IF(INDEX('CFOG'!$L$10:$L$16,MATCH($F155,'CFOG'!$B$10:$B$16,0))="","Cell will autofill based on response",INDEX('CFOG'!$L$10:$L$16,MATCH($F155,'CFOG'!$B$10:$B$16,0))),"N/A")</f>
        <v/>
      </c>
      <c r="O155" s="25">
        <f>IFERROR(IF(INDEX('CFOG'!$L$23:$L$24,MATCH($F155,'CFOG'!$B$23:$B$24,0))="","Cell will autofill based on response",INDEX('CFOG'!$L$23:$L$24,MATCH($F155,'CFOG'!$B$23:$B$24,0))),"N/A")</f>
        <v/>
      </c>
      <c r="P155" s="25">
        <f>IFERROR(IF(INDEX('ESG'!$L$10:$L$17,MATCH($F155,'ESG'!$B$10:$B$17,0))="","Cell will autofill based on response",INDEX('ESG'!$L$10:$L$17,MATCH($F155,'ESG'!$B$10:$B$17,0))),"N/A")</f>
        <v/>
      </c>
      <c r="Q155" s="25">
        <f>IFERROR(IF(INDEX('CIOG'!$L$10:$L$14,MATCH($F155,'CIOG'!$B$10:$B$14,0))="","Cell will autofill based on response",INDEX('CIOG'!$L$10:$L$14,MATCH($F155,'CIOG'!$B$10:$B$14,0))),"N/A")</f>
        <v/>
      </c>
      <c r="R155" s="25">
        <f>IFERROR(IF(INDEX('MRE'!$L$10:$L$12,MATCH($F155,'MRE'!$B$10:$B$12,0))="","Cell will autofill based on response",INDEX('MRE'!$L$10:$L$12,MATCH($F155,'MRE'!$B$10:$B$12,0))),"N/A")</f>
        <v/>
      </c>
      <c r="S155" s="25">
        <f>IFERROR(IF(INDEX('L&amp;R'!$L$10:$L$11,MATCH($F155,'L&amp;R'!$B$10:$B$11,0))="","Cell will autofill based on response",INDEX('L&amp;R'!$L$10:$L$11,MATCH($F155,'L&amp;R'!$B$10:$B$11,0))),"N/A")</f>
        <v/>
      </c>
      <c r="U155" s="26">
        <f>COUNTIF($H155:$S155,"Cell will autofill based on response")</f>
        <v/>
      </c>
      <c r="V155" s="26">
        <f>COUNTIF($H155:$S155,"Not yet started")</f>
        <v/>
      </c>
      <c r="W155" s="26">
        <f>COUNTIF($H155:$S155,"Not met")</f>
        <v/>
      </c>
      <c r="X155" s="26">
        <f>COUNTIF($H155:$S155,"Partially met")</f>
        <v/>
      </c>
      <c r="Y155" s="26">
        <f>COUNTIF($H155:$S155,"Met or exceeded")</f>
        <v/>
      </c>
      <c r="Z155" s="26">
        <f>3*Y155+2*X155+W155</f>
        <v/>
      </c>
      <c r="AA155" s="26">
        <f>Y155+X155+W155+V155</f>
        <v/>
      </c>
      <c r="AB155" s="27">
        <f>IF(AA155&gt;0,Z155/AA155,"No valid responses to date")</f>
        <v/>
      </c>
      <c r="AC155" s="26">
        <f>IF(ISNUMBER(AB155),INDEX(Lists!$G$2:$G$5,MATCH(ROUND(AB155,0),Lists!$H$2:$H$5,0)),"")</f>
        <v/>
      </c>
      <c r="AD155" s="28">
        <f>IF(AA155&gt;0,Y155/AA155,"")</f>
        <v/>
      </c>
      <c r="AE155" s="28">
        <f>IF(AA155&gt;0,(Y155+X155)/AA155,"")</f>
        <v/>
      </c>
      <c r="AF155" s="26">
        <f>IF(AA155=0,"",IF(AD155&gt;0.75,"Met or exceeded",IF(AE155&gt;=0.5,"Partially met","Not met")))</f>
        <v/>
      </c>
    </row>
    <row r="156">
      <c r="A156">
        <f>F156&amp;"|"&amp;G156</f>
        <v/>
      </c>
      <c r="B156" s="29" t="inlineStr"/>
      <c r="C156" s="8" t="inlineStr"/>
      <c r="D156" s="8" t="inlineStr"/>
      <c r="E156" s="8" t="inlineStr"/>
      <c r="F156" s="8" t="inlineStr">
        <is>
          <t>NB1(b)</t>
        </is>
      </c>
      <c r="G156" s="8" t="inlineStr">
        <is>
          <t>OPTION 1:  Target-level reporting</t>
        </is>
      </c>
      <c r="H156" s="25">
        <f>IFERROR(IF(INDEX('Faculties'!$M$10:$M$30,MATCH($F156,'Faculties'!$B$10:$B$30,0))="","Cell will autofill based on response",INDEX('Faculties'!$M$10:$M$30,MATCH($F156,'Faculties'!$B$10:$B$30,0))),"N/A")</f>
        <v/>
      </c>
      <c r="I156" s="25">
        <f>IFERROR(IF(INDEX('Faculties'!$M$37:$M$57,MATCH($F156,'Faculties'!$B$37:$B$57,0))="","Cell will autofill based on response",INDEX('Faculties'!$M$37:$M$57,MATCH($F156,'Faculties'!$B$37:$B$57,0))),"N/A")</f>
        <v/>
      </c>
      <c r="J156" s="25">
        <f>IFERROR(IF(INDEX('Faculties'!$M$64:$M$84,MATCH($F156,'Faculties'!$B$64:$B$84,0))="","Cell will autofill based on response",INDEX('Faculties'!$M$64:$M$84,MATCH($F156,'Faculties'!$B$64:$B$84,0))),"N/A")</f>
        <v/>
      </c>
      <c r="K156" s="25">
        <f>IFERROR(IF(INDEX('Faculties'!$M$91:$M$111,MATCH($F156,'Faculties'!$B$91:$B$111,0))="","Cell will autofill based on response",INDEX('Faculties'!$M$91:$M$111,MATCH($F156,'Faculties'!$B$91:$B$111,0))),"N/A")</f>
        <v/>
      </c>
      <c r="L156" s="25">
        <f>IFERROR(IF(INDEX('CI&amp;S'!$M$10:$M$15,MATCH($F156,'CI&amp;S'!$B$10:$B$15,0))="","Cell will autofill based on response",INDEX('CI&amp;S'!$M$10:$M$15,MATCH($F156,'CI&amp;S'!$B$10:$B$15,0))),"N/A")</f>
        <v/>
      </c>
      <c r="M156" s="25">
        <f>IFERROR(IF(INDEX('CI&amp;S'!$M$22:$M$39,MATCH($F156,'CI&amp;S'!$B$22:$B$39,0))="","Cell will autofill based on response",INDEX('CI&amp;S'!$M$22:$M$39,MATCH($F156,'CI&amp;S'!$B$22:$B$39,0))),"N/A")</f>
        <v/>
      </c>
      <c r="N156" s="25">
        <f>IFERROR(IF(INDEX('CFOG'!$M$10:$M$16,MATCH($F156,'CFOG'!$B$10:$B$16,0))="","Cell will autofill based on response",INDEX('CFOG'!$M$10:$M$16,MATCH($F156,'CFOG'!$B$10:$B$16,0))),"N/A")</f>
        <v/>
      </c>
      <c r="O156" s="25">
        <f>IFERROR(IF(INDEX('CFOG'!$M$23:$M$24,MATCH($F156,'CFOG'!$B$23:$B$24,0))="","Cell will autofill based on response",INDEX('CFOG'!$M$23:$M$24,MATCH($F156,'CFOG'!$B$23:$B$24,0))),"N/A")</f>
        <v/>
      </c>
      <c r="P156" s="25">
        <f>IFERROR(IF(INDEX('ESG'!$M$10:$M$17,MATCH($F156,'ESG'!$B$10:$B$17,0))="","Cell will autofill based on response",INDEX('ESG'!$M$10:$M$17,MATCH($F156,'ESG'!$B$10:$B$17,0))),"N/A")</f>
        <v/>
      </c>
      <c r="Q156" s="25">
        <f>IFERROR(IF(INDEX('CIOG'!$M$10:$M$14,MATCH($F156,'CIOG'!$B$10:$B$14,0))="","Cell will autofill based on response",INDEX('CIOG'!$M$10:$M$14,MATCH($F156,'CIOG'!$B$10:$B$14,0))),"N/A")</f>
        <v/>
      </c>
      <c r="R156" s="25">
        <f>IFERROR(IF(INDEX('MRE'!$M$10:$M$12,MATCH($F156,'MRE'!$B$10:$B$12,0))="","Cell will autofill based on response",INDEX('MRE'!$M$10:$M$12,MATCH($F156,'MRE'!$B$10:$B$12,0))),"N/A")</f>
        <v/>
      </c>
      <c r="S156" s="25">
        <f>IFERROR(IF(INDEX('L&amp;R'!$M$10:$M$11,MATCH($F156,'L&amp;R'!$B$10:$B$11,0))="","Cell will autofill based on response",INDEX('L&amp;R'!$M$10:$M$11,MATCH($F156,'L&amp;R'!$B$10:$B$11,0))),"N/A")</f>
        <v/>
      </c>
    </row>
    <row r="157">
      <c r="A157">
        <f>F157&amp;"|"&amp;G157</f>
        <v/>
      </c>
      <c r="B157" s="29" t="inlineStr"/>
      <c r="C157" s="8" t="inlineStr"/>
      <c r="D157" s="8" t="inlineStr"/>
      <c r="E157" s="8" t="inlineStr"/>
      <c r="F157" s="8" t="inlineStr">
        <is>
          <t>NB1(b)</t>
        </is>
      </c>
      <c r="G157" s="8" t="inlineStr">
        <is>
          <t>OPTION 2:  Indicator level reporting</t>
        </is>
      </c>
      <c r="H157" s="25">
        <f>IFERROR(IF(INDEX('Faculties'!$N$10:$N$30,MATCH($F157,'Faculties'!$B$10:$B$30,0))="","Cell will autofill based on response",INDEX('Faculties'!$N$10:$N$30,MATCH($F157,'Faculties'!$B$10:$B$30,0))),"N/A")</f>
        <v/>
      </c>
      <c r="I157" s="25">
        <f>IFERROR(IF(INDEX('Faculties'!$N$37:$N$57,MATCH($F157,'Faculties'!$B$37:$B$57,0))="","Cell will autofill based on response",INDEX('Faculties'!$N$37:$N$57,MATCH($F157,'Faculties'!$B$37:$B$57,0))),"N/A")</f>
        <v/>
      </c>
      <c r="J157" s="25">
        <f>IFERROR(IF(INDEX('Faculties'!$N$64:$N$84,MATCH($F157,'Faculties'!$B$64:$B$84,0))="","Cell will autofill based on response",INDEX('Faculties'!$N$64:$N$84,MATCH($F157,'Faculties'!$B$64:$B$84,0))),"N/A")</f>
        <v/>
      </c>
      <c r="K157" s="25">
        <f>IFERROR(IF(INDEX('Faculties'!$N$91:$N$111,MATCH($F157,'Faculties'!$B$91:$B$111,0))="","Cell will autofill based on response",INDEX('Faculties'!$N$91:$N$111,MATCH($F157,'Faculties'!$B$91:$B$111,0))),"N/A")</f>
        <v/>
      </c>
      <c r="L157" s="25">
        <f>IFERROR(IF(INDEX('CI&amp;S'!$N$10:$N$15,MATCH($F157,'CI&amp;S'!$B$10:$B$15,0))="","Cell will autofill based on response",INDEX('CI&amp;S'!$N$10:$N$15,MATCH($F157,'CI&amp;S'!$B$10:$B$15,0))),"N/A")</f>
        <v/>
      </c>
      <c r="M157" s="25">
        <f>IFERROR(IF(INDEX('CI&amp;S'!$N$22:$N$39,MATCH($F157,'CI&amp;S'!$B$22:$B$39,0))="","Cell will autofill based on response",INDEX('CI&amp;S'!$N$22:$N$39,MATCH($F157,'CI&amp;S'!$B$22:$B$39,0))),"N/A")</f>
        <v/>
      </c>
      <c r="N157" s="25">
        <f>IFERROR(IF(INDEX('CFOG'!$N$10:$N$16,MATCH($F157,'CFOG'!$B$10:$B$16,0))="","Cell will autofill based on response",INDEX('CFOG'!$N$10:$N$16,MATCH($F157,'CFOG'!$B$10:$B$16,0))),"N/A")</f>
        <v/>
      </c>
      <c r="O157" s="25">
        <f>IFERROR(IF(INDEX('CFOG'!$N$23:$N$24,MATCH($F157,'CFOG'!$B$23:$B$24,0))="","Cell will autofill based on response",INDEX('CFOG'!$N$23:$N$24,MATCH($F157,'CFOG'!$B$23:$B$24,0))),"N/A")</f>
        <v/>
      </c>
      <c r="P157" s="25">
        <f>IFERROR(IF(INDEX('ESG'!$N$10:$N$17,MATCH($F157,'ESG'!$B$10:$B$17,0))="","Cell will autofill based on response",INDEX('ESG'!$N$10:$N$17,MATCH($F157,'ESG'!$B$10:$B$17,0))),"N/A")</f>
        <v/>
      </c>
      <c r="Q157" s="25">
        <f>IFERROR(IF(INDEX('CIOG'!$N$10:$N$14,MATCH($F157,'CIOG'!$B$10:$B$14,0))="","Cell will autofill based on response",INDEX('CIOG'!$N$10:$N$14,MATCH($F157,'CIOG'!$B$10:$B$14,0))),"N/A")</f>
        <v/>
      </c>
      <c r="R157" s="25">
        <f>IFERROR(IF(INDEX('MRE'!$N$10:$N$12,MATCH($F157,'MRE'!$B$10:$B$12,0))="","Cell will autofill based on response",INDEX('MRE'!$N$10:$N$12,MATCH($F157,'MRE'!$B$10:$B$12,0))),"N/A")</f>
        <v/>
      </c>
      <c r="S157" s="25">
        <f>IFERROR(IF(INDEX('L&amp;R'!$N$10:$N$11,MATCH($F157,'L&amp;R'!$B$10:$B$11,0))="","Cell will autofill based on response",INDEX('L&amp;R'!$N$10:$N$11,MATCH($F157,'L&amp;R'!$B$10:$B$11,0))),"N/A")</f>
        <v/>
      </c>
    </row>
    <row r="158">
      <c r="A158">
        <f>F158&amp;"|"&amp;G158</f>
        <v/>
      </c>
      <c r="B158" s="29" t="inlineStr"/>
      <c r="C158" s="8" t="inlineStr"/>
      <c r="D158" s="8" t="inlineStr"/>
      <c r="E158" s="8" t="inlineStr"/>
      <c r="F158" s="8" t="inlineStr">
        <is>
          <t>NB1(b)</t>
        </is>
      </c>
      <c r="G158" s="8" t="inlineStr">
        <is>
          <t>Supporting information/comments</t>
        </is>
      </c>
      <c r="H158" s="25">
        <f>IFERROR(IF(INDEX('Faculties'!$O$10:$O$30,MATCH($F158,'Faculties'!$B$10:$B$30,0))="","Cell will autofill based on response",INDEX('Faculties'!$O$10:$O$30,MATCH($F158,'Faculties'!$B$10:$B$30,0))),"N/A")</f>
        <v/>
      </c>
      <c r="I158" s="25">
        <f>IFERROR(IF(INDEX('Faculties'!$O$37:$O$57,MATCH($F158,'Faculties'!$B$37:$B$57,0))="","Cell will autofill based on response",INDEX('Faculties'!$O$37:$O$57,MATCH($F158,'Faculties'!$B$37:$B$57,0))),"N/A")</f>
        <v/>
      </c>
      <c r="J158" s="25">
        <f>IFERROR(IF(INDEX('Faculties'!$O$64:$O$84,MATCH($F158,'Faculties'!$B$64:$B$84,0))="","Cell will autofill based on response",INDEX('Faculties'!$O$64:$O$84,MATCH($F158,'Faculties'!$B$64:$B$84,0))),"N/A")</f>
        <v/>
      </c>
      <c r="K158" s="25">
        <f>IFERROR(IF(INDEX('Faculties'!$O$91:$O$111,MATCH($F158,'Faculties'!$B$91:$B$111,0))="","Cell will autofill based on response",INDEX('Faculties'!$O$91:$O$111,MATCH($F158,'Faculties'!$B$91:$B$111,0))),"N/A")</f>
        <v/>
      </c>
      <c r="L158" s="25">
        <f>IFERROR(IF(INDEX('CI&amp;S'!$O$10:$O$15,MATCH($F158,'CI&amp;S'!$B$10:$B$15,0))="","Cell will autofill based on response",INDEX('CI&amp;S'!$O$10:$O$15,MATCH($F158,'CI&amp;S'!$B$10:$B$15,0))),"N/A")</f>
        <v/>
      </c>
      <c r="M158" s="25">
        <f>IFERROR(IF(INDEX('CI&amp;S'!$O$22:$O$39,MATCH($F158,'CI&amp;S'!$B$22:$B$39,0))="","Cell will autofill based on response",INDEX('CI&amp;S'!$O$22:$O$39,MATCH($F158,'CI&amp;S'!$B$22:$B$39,0))),"N/A")</f>
        <v/>
      </c>
      <c r="N158" s="25">
        <f>IFERROR(IF(INDEX('CFOG'!$O$10:$O$16,MATCH($F158,'CFOG'!$B$10:$B$16,0))="","Cell will autofill based on response",INDEX('CFOG'!$O$10:$O$16,MATCH($F158,'CFOG'!$B$10:$B$16,0))),"N/A")</f>
        <v/>
      </c>
      <c r="O158" s="25">
        <f>IFERROR(IF(INDEX('CFOG'!$O$23:$O$24,MATCH($F158,'CFOG'!$B$23:$B$24,0))="","Cell will autofill based on response",INDEX('CFOG'!$O$23:$O$24,MATCH($F158,'CFOG'!$B$23:$B$24,0))),"N/A")</f>
        <v/>
      </c>
      <c r="P158" s="25">
        <f>IFERROR(IF(INDEX('ESG'!$O$10:$O$17,MATCH($F158,'ESG'!$B$10:$B$17,0))="","Cell will autofill based on response",INDEX('ESG'!$O$10:$O$17,MATCH($F158,'ESG'!$B$10:$B$17,0))),"N/A")</f>
        <v/>
      </c>
      <c r="Q158" s="25">
        <f>IFERROR(IF(INDEX('CIOG'!$O$10:$O$14,MATCH($F158,'CIOG'!$B$10:$B$14,0))="","Cell will autofill based on response",INDEX('CIOG'!$O$10:$O$14,MATCH($F158,'CIOG'!$B$10:$B$14,0))),"N/A")</f>
        <v/>
      </c>
      <c r="R158" s="25">
        <f>IFERROR(IF(INDEX('MRE'!$O$10:$O$12,MATCH($F158,'MRE'!$B$10:$B$12,0))="","Cell will autofill based on response",INDEX('MRE'!$O$10:$O$12,MATCH($F158,'MRE'!$B$10:$B$12,0))),"N/A")</f>
        <v/>
      </c>
      <c r="S158" s="25">
        <f>IFERROR(IF(INDEX('L&amp;R'!$O$10:$O$11,MATCH($F158,'L&amp;R'!$B$10:$B$11,0))="","Cell will autofill based on response",INDEX('L&amp;R'!$O$10:$O$11,MATCH($F158,'L&amp;R'!$B$10:$B$11,0))),"N/A")</f>
        <v/>
      </c>
    </row>
    <row r="159">
      <c r="A159">
        <f>F159&amp;"|"&amp;G159</f>
        <v/>
      </c>
      <c r="B159" s="29" t="inlineStr"/>
      <c r="C159" s="8" t="inlineStr"/>
      <c r="D159" s="8" t="inlineStr"/>
      <c r="E159" s="8" t="inlineStr"/>
      <c r="F159" s="8" t="inlineStr">
        <is>
          <t>NB1(b)</t>
        </is>
      </c>
      <c r="G159" s="8" t="inlineStr">
        <is>
          <t>Data source and limitations</t>
        </is>
      </c>
      <c r="H159" s="25">
        <f>IFERROR(IF(INDEX('Faculties'!$P$10:$P$30,MATCH($F159,'Faculties'!$B$10:$B$30,0))="","Cell will autofill based on response",INDEX('Faculties'!$P$10:$P$30,MATCH($F159,'Faculties'!$B$10:$B$30,0))),"N/A")</f>
        <v/>
      </c>
      <c r="I159" s="25">
        <f>IFERROR(IF(INDEX('Faculties'!$P$37:$P$57,MATCH($F159,'Faculties'!$B$37:$B$57,0))="","Cell will autofill based on response",INDEX('Faculties'!$P$37:$P$57,MATCH($F159,'Faculties'!$B$37:$B$57,0))),"N/A")</f>
        <v/>
      </c>
      <c r="J159" s="25">
        <f>IFERROR(IF(INDEX('Faculties'!$P$64:$P$84,MATCH($F159,'Faculties'!$B$64:$B$84,0))="","Cell will autofill based on response",INDEX('Faculties'!$P$64:$P$84,MATCH($F159,'Faculties'!$B$64:$B$84,0))),"N/A")</f>
        <v/>
      </c>
      <c r="K159" s="25">
        <f>IFERROR(IF(INDEX('Faculties'!$P$91:$P$111,MATCH($F159,'Faculties'!$B$91:$B$111,0))="","Cell will autofill based on response",INDEX('Faculties'!$P$91:$P$111,MATCH($F159,'Faculties'!$B$91:$B$111,0))),"N/A")</f>
        <v/>
      </c>
      <c r="L159" s="25">
        <f>IFERROR(IF(INDEX('CI&amp;S'!$P$10:$P$15,MATCH($F159,'CI&amp;S'!$B$10:$B$15,0))="","Cell will autofill based on response",INDEX('CI&amp;S'!$P$10:$P$15,MATCH($F159,'CI&amp;S'!$B$10:$B$15,0))),"N/A")</f>
        <v/>
      </c>
      <c r="M159" s="25">
        <f>IFERROR(IF(INDEX('CI&amp;S'!$P$22:$P$39,MATCH($F159,'CI&amp;S'!$B$22:$B$39,0))="","Cell will autofill based on response",INDEX('CI&amp;S'!$P$22:$P$39,MATCH($F159,'CI&amp;S'!$B$22:$B$39,0))),"N/A")</f>
        <v/>
      </c>
      <c r="N159" s="25">
        <f>IFERROR(IF(INDEX('CFOG'!$P$10:$P$16,MATCH($F159,'CFOG'!$B$10:$B$16,0))="","Cell will autofill based on response",INDEX('CFOG'!$P$10:$P$16,MATCH($F159,'CFOG'!$B$10:$B$16,0))),"N/A")</f>
        <v/>
      </c>
      <c r="O159" s="25">
        <f>IFERROR(IF(INDEX('CFOG'!$P$23:$P$24,MATCH($F159,'CFOG'!$B$23:$B$24,0))="","Cell will autofill based on response",INDEX('CFOG'!$P$23:$P$24,MATCH($F159,'CFOG'!$B$23:$B$24,0))),"N/A")</f>
        <v/>
      </c>
      <c r="P159" s="25">
        <f>IFERROR(IF(INDEX('ESG'!$P$10:$P$17,MATCH($F159,'ESG'!$B$10:$B$17,0))="","Cell will autofill based on response",INDEX('ESG'!$P$10:$P$17,MATCH($F159,'ESG'!$B$10:$B$17,0))),"N/A")</f>
        <v/>
      </c>
      <c r="Q159" s="25">
        <f>IFERROR(IF(INDEX('CIOG'!$P$10:$P$14,MATCH($F159,'CIOG'!$B$10:$B$14,0))="","Cell will autofill based on response",INDEX('CIOG'!$P$10:$P$14,MATCH($F159,'CIOG'!$B$10:$B$14,0))),"N/A")</f>
        <v/>
      </c>
      <c r="R159" s="25">
        <f>IFERROR(IF(INDEX('MRE'!$P$10:$P$12,MATCH($F159,'MRE'!$B$10:$B$12,0))="","Cell will autofill based on response",INDEX('MRE'!$P$10:$P$12,MATCH($F159,'MRE'!$B$10:$B$12,0))),"N/A")</f>
        <v/>
      </c>
      <c r="S159" s="25">
        <f>IFERROR(IF(INDEX('L&amp;R'!$P$10:$P$11,MATCH($F159,'L&amp;R'!$B$10:$B$11,0))="","Cell will autofill based on response",INDEX('L&amp;R'!$P$10:$P$11,MATCH($F159,'L&amp;R'!$B$10:$B$11,0))),"N/A")</f>
        <v/>
      </c>
    </row>
    <row r="160">
      <c r="A160">
        <f>F160&amp;"|"&amp;G160</f>
        <v/>
      </c>
      <c r="B160" s="29" t="inlineStr"/>
      <c r="C160" s="8" t="inlineStr"/>
      <c r="D160" s="8" t="inlineStr"/>
      <c r="E160" s="8" t="inlineStr"/>
      <c r="F160" s="8" t="inlineStr">
        <is>
          <t>NB1(b)</t>
        </is>
      </c>
      <c r="G160" s="8" t="inlineStr">
        <is>
          <t>Data owner confirms</t>
        </is>
      </c>
      <c r="H160" s="25">
        <f>IFERROR(IF(INDEX('Faculties'!$Q$10:$Q$30,MATCH($F160,'Faculties'!$B$10:$B$30,0))="","Cell will autofill based on response",INDEX('Faculties'!$Q$10:$Q$30,MATCH($F160,'Faculties'!$B$10:$B$30,0))),"N/A")</f>
        <v/>
      </c>
      <c r="I160" s="25">
        <f>IFERROR(IF(INDEX('Faculties'!$Q$37:$Q$57,MATCH($F160,'Faculties'!$B$37:$B$57,0))="","Cell will autofill based on response",INDEX('Faculties'!$Q$37:$Q$57,MATCH($F160,'Faculties'!$B$37:$B$57,0))),"N/A")</f>
        <v/>
      </c>
      <c r="J160" s="25">
        <f>IFERROR(IF(INDEX('Faculties'!$Q$64:$Q$84,MATCH($F160,'Faculties'!$B$64:$B$84,0))="","Cell will autofill based on response",INDEX('Faculties'!$Q$64:$Q$84,MATCH($F160,'Faculties'!$B$64:$B$84,0))),"N/A")</f>
        <v/>
      </c>
      <c r="K160" s="25">
        <f>IFERROR(IF(INDEX('Faculties'!$Q$91:$Q$111,MATCH($F160,'Faculties'!$B$91:$B$111,0))="","Cell will autofill based on response",INDEX('Faculties'!$Q$91:$Q$111,MATCH($F160,'Faculties'!$B$91:$B$111,0))),"N/A")</f>
        <v/>
      </c>
      <c r="L160" s="25">
        <f>IFERROR(IF(INDEX('CI&amp;S'!$Q$10:$Q$15,MATCH($F160,'CI&amp;S'!$B$10:$B$15,0))="","Cell will autofill based on response",INDEX('CI&amp;S'!$Q$10:$Q$15,MATCH($F160,'CI&amp;S'!$B$10:$B$15,0))),"N/A")</f>
        <v/>
      </c>
      <c r="M160" s="25">
        <f>IFERROR(IF(INDEX('CI&amp;S'!$Q$22:$Q$39,MATCH($F160,'CI&amp;S'!$B$22:$B$39,0))="","Cell will autofill based on response",INDEX('CI&amp;S'!$Q$22:$Q$39,MATCH($F160,'CI&amp;S'!$B$22:$B$39,0))),"N/A")</f>
        <v/>
      </c>
      <c r="N160" s="25">
        <f>IFERROR(IF(INDEX('CFOG'!$Q$10:$Q$16,MATCH($F160,'CFOG'!$B$10:$B$16,0))="","Cell will autofill based on response",INDEX('CFOG'!$Q$10:$Q$16,MATCH($F160,'CFOG'!$B$10:$B$16,0))),"N/A")</f>
        <v/>
      </c>
      <c r="O160" s="25">
        <f>IFERROR(IF(INDEX('CFOG'!$Q$23:$Q$24,MATCH($F160,'CFOG'!$B$23:$B$24,0))="","Cell will autofill based on response",INDEX('CFOG'!$Q$23:$Q$24,MATCH($F160,'CFOG'!$B$23:$B$24,0))),"N/A")</f>
        <v/>
      </c>
      <c r="P160" s="25">
        <f>IFERROR(IF(INDEX('ESG'!$Q$10:$Q$17,MATCH($F160,'ESG'!$B$10:$B$17,0))="","Cell will autofill based on response",INDEX('ESG'!$Q$10:$Q$17,MATCH($F160,'ESG'!$B$10:$B$17,0))),"N/A")</f>
        <v/>
      </c>
      <c r="Q160" s="25">
        <f>IFERROR(IF(INDEX('CIOG'!$Q$10:$Q$14,MATCH($F160,'CIOG'!$B$10:$B$14,0))="","Cell will autofill based on response",INDEX('CIOG'!$Q$10:$Q$14,MATCH($F160,'CIOG'!$B$10:$B$14,0))),"N/A")</f>
        <v/>
      </c>
      <c r="R160" s="25">
        <f>IFERROR(IF(INDEX('MRE'!$Q$10:$Q$12,MATCH($F160,'MRE'!$B$10:$B$12,0))="","Cell will autofill based on response",INDEX('MRE'!$Q$10:$Q$12,MATCH($F160,'MRE'!$B$10:$B$12,0))),"N/A")</f>
        <v/>
      </c>
      <c r="S160" s="25">
        <f>IFERROR(IF(INDEX('L&amp;R'!$Q$10:$Q$11,MATCH($F160,'L&amp;R'!$B$10:$B$11,0))="","Cell will autofill based on response",INDEX('L&amp;R'!$Q$10:$Q$11,MATCH($F160,'L&amp;R'!$B$10:$B$11,0))),"N/A")</f>
        <v/>
      </c>
    </row>
    <row r="161">
      <c r="A161">
        <f>F161&amp;"|"&amp;G161</f>
        <v/>
      </c>
      <c r="B161" s="7" t="inlineStr">
        <is>
          <t>NB1(c)</t>
        </is>
      </c>
      <c r="C161" s="12" t="inlineStr">
        <is>
          <t>Nature and biodiversity</t>
        </is>
      </c>
      <c r="D161" s="12" t="inlineStr">
        <is>
          <t>Defined quality measurement framework</t>
        </is>
      </c>
      <c r="E161" s="12" t="inlineStr"/>
      <c r="F161" s="12" t="inlineStr">
        <is>
          <t>NB1(c)</t>
        </is>
      </c>
      <c r="G161" s="12" t="inlineStr">
        <is>
          <t>Confirm end-2026 target status</t>
        </is>
      </c>
      <c r="H161" s="25">
        <f>IFERROR(IF(INDEX('Faculties'!$L$10:$L$30,MATCH($F161,'Faculties'!$B$10:$B$30,0))="","Cell will autofill based on response",INDEX('Faculties'!$L$10:$L$30,MATCH($F161,'Faculties'!$B$10:$B$30,0))),"N/A")</f>
        <v/>
      </c>
      <c r="I161" s="25">
        <f>IFERROR(IF(INDEX('Faculties'!$L$37:$L$57,MATCH($F161,'Faculties'!$B$37:$B$57,0))="","Cell will autofill based on response",INDEX('Faculties'!$L$37:$L$57,MATCH($F161,'Faculties'!$B$37:$B$57,0))),"N/A")</f>
        <v/>
      </c>
      <c r="J161" s="25">
        <f>IFERROR(IF(INDEX('Faculties'!$L$64:$L$84,MATCH($F161,'Faculties'!$B$64:$B$84,0))="","Cell will autofill based on response",INDEX('Faculties'!$L$64:$L$84,MATCH($F161,'Faculties'!$B$64:$B$84,0))),"N/A")</f>
        <v/>
      </c>
      <c r="K161" s="25">
        <f>IFERROR(IF(INDEX('Faculties'!$L$91:$L$111,MATCH($F161,'Faculties'!$B$91:$B$111,0))="","Cell will autofill based on response",INDEX('Faculties'!$L$91:$L$111,MATCH($F161,'Faculties'!$B$91:$B$111,0))),"N/A")</f>
        <v/>
      </c>
      <c r="L161" s="25">
        <f>IFERROR(IF(INDEX('CI&amp;S'!$L$10:$L$15,MATCH($F161,'CI&amp;S'!$B$10:$B$15,0))="","Cell will autofill based on response",INDEX('CI&amp;S'!$L$10:$L$15,MATCH($F161,'CI&amp;S'!$B$10:$B$15,0))),"N/A")</f>
        <v/>
      </c>
      <c r="M161" s="25">
        <f>IFERROR(IF(INDEX('CI&amp;S'!$L$22:$L$39,MATCH($F161,'CI&amp;S'!$B$22:$B$39,0))="","Cell will autofill based on response",INDEX('CI&amp;S'!$L$22:$L$39,MATCH($F161,'CI&amp;S'!$B$22:$B$39,0))),"N/A")</f>
        <v/>
      </c>
      <c r="N161" s="25">
        <f>IFERROR(IF(INDEX('CFOG'!$L$10:$L$16,MATCH($F161,'CFOG'!$B$10:$B$16,0))="","Cell will autofill based on response",INDEX('CFOG'!$L$10:$L$16,MATCH($F161,'CFOG'!$B$10:$B$16,0))),"N/A")</f>
        <v/>
      </c>
      <c r="O161" s="25">
        <f>IFERROR(IF(INDEX('CFOG'!$L$23:$L$24,MATCH($F161,'CFOG'!$B$23:$B$24,0))="","Cell will autofill based on response",INDEX('CFOG'!$L$23:$L$24,MATCH($F161,'CFOG'!$B$23:$B$24,0))),"N/A")</f>
        <v/>
      </c>
      <c r="P161" s="25">
        <f>IFERROR(IF(INDEX('ESG'!$L$10:$L$17,MATCH($F161,'ESG'!$B$10:$B$17,0))="","Cell will autofill based on response",INDEX('ESG'!$L$10:$L$17,MATCH($F161,'ESG'!$B$10:$B$17,0))),"N/A")</f>
        <v/>
      </c>
      <c r="Q161" s="25">
        <f>IFERROR(IF(INDEX('CIOG'!$L$10:$L$14,MATCH($F161,'CIOG'!$B$10:$B$14,0))="","Cell will autofill based on response",INDEX('CIOG'!$L$10:$L$14,MATCH($F161,'CIOG'!$B$10:$B$14,0))),"N/A")</f>
        <v/>
      </c>
      <c r="R161" s="25">
        <f>IFERROR(IF(INDEX('MRE'!$L$10:$L$12,MATCH($F161,'MRE'!$B$10:$B$12,0))="","Cell will autofill based on response",INDEX('MRE'!$L$10:$L$12,MATCH($F161,'MRE'!$B$10:$B$12,0))),"N/A")</f>
        <v/>
      </c>
      <c r="S161" s="25">
        <f>IFERROR(IF(INDEX('L&amp;R'!$L$10:$L$11,MATCH($F161,'L&amp;R'!$B$10:$B$11,0))="","Cell will autofill based on response",INDEX('L&amp;R'!$L$10:$L$11,MATCH($F161,'L&amp;R'!$B$10:$B$11,0))),"N/A")</f>
        <v/>
      </c>
      <c r="U161" s="26">
        <f>COUNTIF($H161:$S161,"Cell will autofill based on response")</f>
        <v/>
      </c>
      <c r="V161" s="26">
        <f>COUNTIF($H161:$S161,"Not yet started")</f>
        <v/>
      </c>
      <c r="W161" s="26">
        <f>COUNTIF($H161:$S161,"Not met")</f>
        <v/>
      </c>
      <c r="X161" s="26">
        <f>COUNTIF($H161:$S161,"Partially met")</f>
        <v/>
      </c>
      <c r="Y161" s="26">
        <f>COUNTIF($H161:$S161,"Met or exceeded")</f>
        <v/>
      </c>
      <c r="Z161" s="26">
        <f>3*Y161+2*X161+W161</f>
        <v/>
      </c>
      <c r="AA161" s="26">
        <f>Y161+X161+W161+V161</f>
        <v/>
      </c>
      <c r="AB161" s="27">
        <f>IF(AA161&gt;0,Z161/AA161,"No valid responses to date")</f>
        <v/>
      </c>
      <c r="AC161" s="26">
        <f>IF(ISNUMBER(AB161),INDEX(Lists!$G$2:$G$5,MATCH(ROUND(AB161,0),Lists!$H$2:$H$5,0)),"")</f>
        <v/>
      </c>
      <c r="AD161" s="28">
        <f>IF(AA161&gt;0,Y161/AA161,"")</f>
        <v/>
      </c>
      <c r="AE161" s="28">
        <f>IF(AA161&gt;0,(Y161+X161)/AA161,"")</f>
        <v/>
      </c>
      <c r="AF161" s="26">
        <f>IF(AA161=0,"",IF(AD161&gt;0.75,"Met or exceeded",IF(AE161&gt;=0.5,"Partially met","Not met")))</f>
        <v/>
      </c>
    </row>
    <row r="162">
      <c r="A162">
        <f>F162&amp;"|"&amp;G162</f>
        <v/>
      </c>
      <c r="B162" s="29" t="inlineStr"/>
      <c r="C162" s="8" t="inlineStr"/>
      <c r="D162" s="8" t="inlineStr"/>
      <c r="E162" s="8" t="inlineStr"/>
      <c r="F162" s="8" t="inlineStr">
        <is>
          <t>NB1(c)</t>
        </is>
      </c>
      <c r="G162" s="8" t="inlineStr">
        <is>
          <t>OPTION 1:  Target-level reporting</t>
        </is>
      </c>
      <c r="H162" s="25">
        <f>IFERROR(IF(INDEX('Faculties'!$M$10:$M$30,MATCH($F162,'Faculties'!$B$10:$B$30,0))="","Cell will autofill based on response",INDEX('Faculties'!$M$10:$M$30,MATCH($F162,'Faculties'!$B$10:$B$30,0))),"N/A")</f>
        <v/>
      </c>
      <c r="I162" s="25">
        <f>IFERROR(IF(INDEX('Faculties'!$M$37:$M$57,MATCH($F162,'Faculties'!$B$37:$B$57,0))="","Cell will autofill based on response",INDEX('Faculties'!$M$37:$M$57,MATCH($F162,'Faculties'!$B$37:$B$57,0))),"N/A")</f>
        <v/>
      </c>
      <c r="J162" s="25">
        <f>IFERROR(IF(INDEX('Faculties'!$M$64:$M$84,MATCH($F162,'Faculties'!$B$64:$B$84,0))="","Cell will autofill based on response",INDEX('Faculties'!$M$64:$M$84,MATCH($F162,'Faculties'!$B$64:$B$84,0))),"N/A")</f>
        <v/>
      </c>
      <c r="K162" s="25">
        <f>IFERROR(IF(INDEX('Faculties'!$M$91:$M$111,MATCH($F162,'Faculties'!$B$91:$B$111,0))="","Cell will autofill based on response",INDEX('Faculties'!$M$91:$M$111,MATCH($F162,'Faculties'!$B$91:$B$111,0))),"N/A")</f>
        <v/>
      </c>
      <c r="L162" s="25">
        <f>IFERROR(IF(INDEX('CI&amp;S'!$M$10:$M$15,MATCH($F162,'CI&amp;S'!$B$10:$B$15,0))="","Cell will autofill based on response",INDEX('CI&amp;S'!$M$10:$M$15,MATCH($F162,'CI&amp;S'!$B$10:$B$15,0))),"N/A")</f>
        <v/>
      </c>
      <c r="M162" s="25">
        <f>IFERROR(IF(INDEX('CI&amp;S'!$M$22:$M$39,MATCH($F162,'CI&amp;S'!$B$22:$B$39,0))="","Cell will autofill based on response",INDEX('CI&amp;S'!$M$22:$M$39,MATCH($F162,'CI&amp;S'!$B$22:$B$39,0))),"N/A")</f>
        <v/>
      </c>
      <c r="N162" s="25">
        <f>IFERROR(IF(INDEX('CFOG'!$M$10:$M$16,MATCH($F162,'CFOG'!$B$10:$B$16,0))="","Cell will autofill based on response",INDEX('CFOG'!$M$10:$M$16,MATCH($F162,'CFOG'!$B$10:$B$16,0))),"N/A")</f>
        <v/>
      </c>
      <c r="O162" s="25">
        <f>IFERROR(IF(INDEX('CFOG'!$M$23:$M$24,MATCH($F162,'CFOG'!$B$23:$B$24,0))="","Cell will autofill based on response",INDEX('CFOG'!$M$23:$M$24,MATCH($F162,'CFOG'!$B$23:$B$24,0))),"N/A")</f>
        <v/>
      </c>
      <c r="P162" s="25">
        <f>IFERROR(IF(INDEX('ESG'!$M$10:$M$17,MATCH($F162,'ESG'!$B$10:$B$17,0))="","Cell will autofill based on response",INDEX('ESG'!$M$10:$M$17,MATCH($F162,'ESG'!$B$10:$B$17,0))),"N/A")</f>
        <v/>
      </c>
      <c r="Q162" s="25">
        <f>IFERROR(IF(INDEX('CIOG'!$M$10:$M$14,MATCH($F162,'CIOG'!$B$10:$B$14,0))="","Cell will autofill based on response",INDEX('CIOG'!$M$10:$M$14,MATCH($F162,'CIOG'!$B$10:$B$14,0))),"N/A")</f>
        <v/>
      </c>
      <c r="R162" s="25">
        <f>IFERROR(IF(INDEX('MRE'!$M$10:$M$12,MATCH($F162,'MRE'!$B$10:$B$12,0))="","Cell will autofill based on response",INDEX('MRE'!$M$10:$M$12,MATCH($F162,'MRE'!$B$10:$B$12,0))),"N/A")</f>
        <v/>
      </c>
      <c r="S162" s="25">
        <f>IFERROR(IF(INDEX('L&amp;R'!$M$10:$M$11,MATCH($F162,'L&amp;R'!$B$10:$B$11,0))="","Cell will autofill based on response",INDEX('L&amp;R'!$M$10:$M$11,MATCH($F162,'L&amp;R'!$B$10:$B$11,0))),"N/A")</f>
        <v/>
      </c>
    </row>
    <row r="163">
      <c r="A163">
        <f>F163&amp;"|"&amp;G163</f>
        <v/>
      </c>
      <c r="B163" s="29" t="inlineStr"/>
      <c r="C163" s="8" t="inlineStr"/>
      <c r="D163" s="8" t="inlineStr"/>
      <c r="E163" s="8" t="inlineStr"/>
      <c r="F163" s="8" t="inlineStr">
        <is>
          <t>NB1(c)</t>
        </is>
      </c>
      <c r="G163" s="8" t="inlineStr">
        <is>
          <t>OPTION 2:  Indicator level reporting</t>
        </is>
      </c>
      <c r="H163" s="25">
        <f>IFERROR(IF(INDEX('Faculties'!$N$10:$N$30,MATCH($F163,'Faculties'!$B$10:$B$30,0))="","Cell will autofill based on response",INDEX('Faculties'!$N$10:$N$30,MATCH($F163,'Faculties'!$B$10:$B$30,0))),"N/A")</f>
        <v/>
      </c>
      <c r="I163" s="25">
        <f>IFERROR(IF(INDEX('Faculties'!$N$37:$N$57,MATCH($F163,'Faculties'!$B$37:$B$57,0))="","Cell will autofill based on response",INDEX('Faculties'!$N$37:$N$57,MATCH($F163,'Faculties'!$B$37:$B$57,0))),"N/A")</f>
        <v/>
      </c>
      <c r="J163" s="25">
        <f>IFERROR(IF(INDEX('Faculties'!$N$64:$N$84,MATCH($F163,'Faculties'!$B$64:$B$84,0))="","Cell will autofill based on response",INDEX('Faculties'!$N$64:$N$84,MATCH($F163,'Faculties'!$B$64:$B$84,0))),"N/A")</f>
        <v/>
      </c>
      <c r="K163" s="25">
        <f>IFERROR(IF(INDEX('Faculties'!$N$91:$N$111,MATCH($F163,'Faculties'!$B$91:$B$111,0))="","Cell will autofill based on response",INDEX('Faculties'!$N$91:$N$111,MATCH($F163,'Faculties'!$B$91:$B$111,0))),"N/A")</f>
        <v/>
      </c>
      <c r="L163" s="25">
        <f>IFERROR(IF(INDEX('CI&amp;S'!$N$10:$N$15,MATCH($F163,'CI&amp;S'!$B$10:$B$15,0))="","Cell will autofill based on response",INDEX('CI&amp;S'!$N$10:$N$15,MATCH($F163,'CI&amp;S'!$B$10:$B$15,0))),"N/A")</f>
        <v/>
      </c>
      <c r="M163" s="25">
        <f>IFERROR(IF(INDEX('CI&amp;S'!$N$22:$N$39,MATCH($F163,'CI&amp;S'!$B$22:$B$39,0))="","Cell will autofill based on response",INDEX('CI&amp;S'!$N$22:$N$39,MATCH($F163,'CI&amp;S'!$B$22:$B$39,0))),"N/A")</f>
        <v/>
      </c>
      <c r="N163" s="25">
        <f>IFERROR(IF(INDEX('CFOG'!$N$10:$N$16,MATCH($F163,'CFOG'!$B$10:$B$16,0))="","Cell will autofill based on response",INDEX('CFOG'!$N$10:$N$16,MATCH($F163,'CFOG'!$B$10:$B$16,0))),"N/A")</f>
        <v/>
      </c>
      <c r="O163" s="25">
        <f>IFERROR(IF(INDEX('CFOG'!$N$23:$N$24,MATCH($F163,'CFOG'!$B$23:$B$24,0))="","Cell will autofill based on response",INDEX('CFOG'!$N$23:$N$24,MATCH($F163,'CFOG'!$B$23:$B$24,0))),"N/A")</f>
        <v/>
      </c>
      <c r="P163" s="25">
        <f>IFERROR(IF(INDEX('ESG'!$N$10:$N$17,MATCH($F163,'ESG'!$B$10:$B$17,0))="","Cell will autofill based on response",INDEX('ESG'!$N$10:$N$17,MATCH($F163,'ESG'!$B$10:$B$17,0))),"N/A")</f>
        <v/>
      </c>
      <c r="Q163" s="25">
        <f>IFERROR(IF(INDEX('CIOG'!$N$10:$N$14,MATCH($F163,'CIOG'!$B$10:$B$14,0))="","Cell will autofill based on response",INDEX('CIOG'!$N$10:$N$14,MATCH($F163,'CIOG'!$B$10:$B$14,0))),"N/A")</f>
        <v/>
      </c>
      <c r="R163" s="25">
        <f>IFERROR(IF(INDEX('MRE'!$N$10:$N$12,MATCH($F163,'MRE'!$B$10:$B$12,0))="","Cell will autofill based on response",INDEX('MRE'!$N$10:$N$12,MATCH($F163,'MRE'!$B$10:$B$12,0))),"N/A")</f>
        <v/>
      </c>
      <c r="S163" s="25">
        <f>IFERROR(IF(INDEX('L&amp;R'!$N$10:$N$11,MATCH($F163,'L&amp;R'!$B$10:$B$11,0))="","Cell will autofill based on response",INDEX('L&amp;R'!$N$10:$N$11,MATCH($F163,'L&amp;R'!$B$10:$B$11,0))),"N/A")</f>
        <v/>
      </c>
    </row>
    <row r="164">
      <c r="A164">
        <f>F164&amp;"|"&amp;G164</f>
        <v/>
      </c>
      <c r="B164" s="29" t="inlineStr"/>
      <c r="C164" s="8" t="inlineStr"/>
      <c r="D164" s="8" t="inlineStr"/>
      <c r="E164" s="8" t="inlineStr"/>
      <c r="F164" s="8" t="inlineStr">
        <is>
          <t>NB1(c)</t>
        </is>
      </c>
      <c r="G164" s="8" t="inlineStr">
        <is>
          <t>Supporting information/comments</t>
        </is>
      </c>
      <c r="H164" s="25">
        <f>IFERROR(IF(INDEX('Faculties'!$O$10:$O$30,MATCH($F164,'Faculties'!$B$10:$B$30,0))="","Cell will autofill based on response",INDEX('Faculties'!$O$10:$O$30,MATCH($F164,'Faculties'!$B$10:$B$30,0))),"N/A")</f>
        <v/>
      </c>
      <c r="I164" s="25">
        <f>IFERROR(IF(INDEX('Faculties'!$O$37:$O$57,MATCH($F164,'Faculties'!$B$37:$B$57,0))="","Cell will autofill based on response",INDEX('Faculties'!$O$37:$O$57,MATCH($F164,'Faculties'!$B$37:$B$57,0))),"N/A")</f>
        <v/>
      </c>
      <c r="J164" s="25">
        <f>IFERROR(IF(INDEX('Faculties'!$O$64:$O$84,MATCH($F164,'Faculties'!$B$64:$B$84,0))="","Cell will autofill based on response",INDEX('Faculties'!$O$64:$O$84,MATCH($F164,'Faculties'!$B$64:$B$84,0))),"N/A")</f>
        <v/>
      </c>
      <c r="K164" s="25">
        <f>IFERROR(IF(INDEX('Faculties'!$O$91:$O$111,MATCH($F164,'Faculties'!$B$91:$B$111,0))="","Cell will autofill based on response",INDEX('Faculties'!$O$91:$O$111,MATCH($F164,'Faculties'!$B$91:$B$111,0))),"N/A")</f>
        <v/>
      </c>
      <c r="L164" s="25">
        <f>IFERROR(IF(INDEX('CI&amp;S'!$O$10:$O$15,MATCH($F164,'CI&amp;S'!$B$10:$B$15,0))="","Cell will autofill based on response",INDEX('CI&amp;S'!$O$10:$O$15,MATCH($F164,'CI&amp;S'!$B$10:$B$15,0))),"N/A")</f>
        <v/>
      </c>
      <c r="M164" s="25">
        <f>IFERROR(IF(INDEX('CI&amp;S'!$O$22:$O$39,MATCH($F164,'CI&amp;S'!$B$22:$B$39,0))="","Cell will autofill based on response",INDEX('CI&amp;S'!$O$22:$O$39,MATCH($F164,'CI&amp;S'!$B$22:$B$39,0))),"N/A")</f>
        <v/>
      </c>
      <c r="N164" s="25">
        <f>IFERROR(IF(INDEX('CFOG'!$O$10:$O$16,MATCH($F164,'CFOG'!$B$10:$B$16,0))="","Cell will autofill based on response",INDEX('CFOG'!$O$10:$O$16,MATCH($F164,'CFOG'!$B$10:$B$16,0))),"N/A")</f>
        <v/>
      </c>
      <c r="O164" s="25">
        <f>IFERROR(IF(INDEX('CFOG'!$O$23:$O$24,MATCH($F164,'CFOG'!$B$23:$B$24,0))="","Cell will autofill based on response",INDEX('CFOG'!$O$23:$O$24,MATCH($F164,'CFOG'!$B$23:$B$24,0))),"N/A")</f>
        <v/>
      </c>
      <c r="P164" s="25">
        <f>IFERROR(IF(INDEX('ESG'!$O$10:$O$17,MATCH($F164,'ESG'!$B$10:$B$17,0))="","Cell will autofill based on response",INDEX('ESG'!$O$10:$O$17,MATCH($F164,'ESG'!$B$10:$B$17,0))),"N/A")</f>
        <v/>
      </c>
      <c r="Q164" s="25">
        <f>IFERROR(IF(INDEX('CIOG'!$O$10:$O$14,MATCH($F164,'CIOG'!$B$10:$B$14,0))="","Cell will autofill based on response",INDEX('CIOG'!$O$10:$O$14,MATCH($F164,'CIOG'!$B$10:$B$14,0))),"N/A")</f>
        <v/>
      </c>
      <c r="R164" s="25">
        <f>IFERROR(IF(INDEX('MRE'!$O$10:$O$12,MATCH($F164,'MRE'!$B$10:$B$12,0))="","Cell will autofill based on response",INDEX('MRE'!$O$10:$O$12,MATCH($F164,'MRE'!$B$10:$B$12,0))),"N/A")</f>
        <v/>
      </c>
      <c r="S164" s="25">
        <f>IFERROR(IF(INDEX('L&amp;R'!$O$10:$O$11,MATCH($F164,'L&amp;R'!$B$10:$B$11,0))="","Cell will autofill based on response",INDEX('L&amp;R'!$O$10:$O$11,MATCH($F164,'L&amp;R'!$B$10:$B$11,0))),"N/A")</f>
        <v/>
      </c>
    </row>
    <row r="165">
      <c r="A165">
        <f>F165&amp;"|"&amp;G165</f>
        <v/>
      </c>
      <c r="B165" s="29" t="inlineStr"/>
      <c r="C165" s="8" t="inlineStr"/>
      <c r="D165" s="8" t="inlineStr"/>
      <c r="E165" s="8" t="inlineStr"/>
      <c r="F165" s="8" t="inlineStr">
        <is>
          <t>NB1(c)</t>
        </is>
      </c>
      <c r="G165" s="8" t="inlineStr">
        <is>
          <t>Data source and limitations</t>
        </is>
      </c>
      <c r="H165" s="25">
        <f>IFERROR(IF(INDEX('Faculties'!$P$10:$P$30,MATCH($F165,'Faculties'!$B$10:$B$30,0))="","Cell will autofill based on response",INDEX('Faculties'!$P$10:$P$30,MATCH($F165,'Faculties'!$B$10:$B$30,0))),"N/A")</f>
        <v/>
      </c>
      <c r="I165" s="25">
        <f>IFERROR(IF(INDEX('Faculties'!$P$37:$P$57,MATCH($F165,'Faculties'!$B$37:$B$57,0))="","Cell will autofill based on response",INDEX('Faculties'!$P$37:$P$57,MATCH($F165,'Faculties'!$B$37:$B$57,0))),"N/A")</f>
        <v/>
      </c>
      <c r="J165" s="25">
        <f>IFERROR(IF(INDEX('Faculties'!$P$64:$P$84,MATCH($F165,'Faculties'!$B$64:$B$84,0))="","Cell will autofill based on response",INDEX('Faculties'!$P$64:$P$84,MATCH($F165,'Faculties'!$B$64:$B$84,0))),"N/A")</f>
        <v/>
      </c>
      <c r="K165" s="25">
        <f>IFERROR(IF(INDEX('Faculties'!$P$91:$P$111,MATCH($F165,'Faculties'!$B$91:$B$111,0))="","Cell will autofill based on response",INDEX('Faculties'!$P$91:$P$111,MATCH($F165,'Faculties'!$B$91:$B$111,0))),"N/A")</f>
        <v/>
      </c>
      <c r="L165" s="25">
        <f>IFERROR(IF(INDEX('CI&amp;S'!$P$10:$P$15,MATCH($F165,'CI&amp;S'!$B$10:$B$15,0))="","Cell will autofill based on response",INDEX('CI&amp;S'!$P$10:$P$15,MATCH($F165,'CI&amp;S'!$B$10:$B$15,0))),"N/A")</f>
        <v/>
      </c>
      <c r="M165" s="25">
        <f>IFERROR(IF(INDEX('CI&amp;S'!$P$22:$P$39,MATCH($F165,'CI&amp;S'!$B$22:$B$39,0))="","Cell will autofill based on response",INDEX('CI&amp;S'!$P$22:$P$39,MATCH($F165,'CI&amp;S'!$B$22:$B$39,0))),"N/A")</f>
        <v/>
      </c>
      <c r="N165" s="25">
        <f>IFERROR(IF(INDEX('CFOG'!$P$10:$P$16,MATCH($F165,'CFOG'!$B$10:$B$16,0))="","Cell will autofill based on response",INDEX('CFOG'!$P$10:$P$16,MATCH($F165,'CFOG'!$B$10:$B$16,0))),"N/A")</f>
        <v/>
      </c>
      <c r="O165" s="25">
        <f>IFERROR(IF(INDEX('CFOG'!$P$23:$P$24,MATCH($F165,'CFOG'!$B$23:$B$24,0))="","Cell will autofill based on response",INDEX('CFOG'!$P$23:$P$24,MATCH($F165,'CFOG'!$B$23:$B$24,0))),"N/A")</f>
        <v/>
      </c>
      <c r="P165" s="25">
        <f>IFERROR(IF(INDEX('ESG'!$P$10:$P$17,MATCH($F165,'ESG'!$B$10:$B$17,0))="","Cell will autofill based on response",INDEX('ESG'!$P$10:$P$17,MATCH($F165,'ESG'!$B$10:$B$17,0))),"N/A")</f>
        <v/>
      </c>
      <c r="Q165" s="25">
        <f>IFERROR(IF(INDEX('CIOG'!$P$10:$P$14,MATCH($F165,'CIOG'!$B$10:$B$14,0))="","Cell will autofill based on response",INDEX('CIOG'!$P$10:$P$14,MATCH($F165,'CIOG'!$B$10:$B$14,0))),"N/A")</f>
        <v/>
      </c>
      <c r="R165" s="25">
        <f>IFERROR(IF(INDEX('MRE'!$P$10:$P$12,MATCH($F165,'MRE'!$B$10:$B$12,0))="","Cell will autofill based on response",INDEX('MRE'!$P$10:$P$12,MATCH($F165,'MRE'!$B$10:$B$12,0))),"N/A")</f>
        <v/>
      </c>
      <c r="S165" s="25">
        <f>IFERROR(IF(INDEX('L&amp;R'!$P$10:$P$11,MATCH($F165,'L&amp;R'!$B$10:$B$11,0))="","Cell will autofill based on response",INDEX('L&amp;R'!$P$10:$P$11,MATCH($F165,'L&amp;R'!$B$10:$B$11,0))),"N/A")</f>
        <v/>
      </c>
    </row>
    <row r="166">
      <c r="A166">
        <f>F166&amp;"|"&amp;G166</f>
        <v/>
      </c>
      <c r="B166" s="29" t="inlineStr"/>
      <c r="C166" s="8" t="inlineStr"/>
      <c r="D166" s="8" t="inlineStr"/>
      <c r="E166" s="8" t="inlineStr"/>
      <c r="F166" s="8" t="inlineStr">
        <is>
          <t>NB1(c)</t>
        </is>
      </c>
      <c r="G166" s="8" t="inlineStr">
        <is>
          <t>Data owner confirms</t>
        </is>
      </c>
      <c r="H166" s="25">
        <f>IFERROR(IF(INDEX('Faculties'!$Q$10:$Q$30,MATCH($F166,'Faculties'!$B$10:$B$30,0))="","Cell will autofill based on response",INDEX('Faculties'!$Q$10:$Q$30,MATCH($F166,'Faculties'!$B$10:$B$30,0))),"N/A")</f>
        <v/>
      </c>
      <c r="I166" s="25">
        <f>IFERROR(IF(INDEX('Faculties'!$Q$37:$Q$57,MATCH($F166,'Faculties'!$B$37:$B$57,0))="","Cell will autofill based on response",INDEX('Faculties'!$Q$37:$Q$57,MATCH($F166,'Faculties'!$B$37:$B$57,0))),"N/A")</f>
        <v/>
      </c>
      <c r="J166" s="25">
        <f>IFERROR(IF(INDEX('Faculties'!$Q$64:$Q$84,MATCH($F166,'Faculties'!$B$64:$B$84,0))="","Cell will autofill based on response",INDEX('Faculties'!$Q$64:$Q$84,MATCH($F166,'Faculties'!$B$64:$B$84,0))),"N/A")</f>
        <v/>
      </c>
      <c r="K166" s="25">
        <f>IFERROR(IF(INDEX('Faculties'!$Q$91:$Q$111,MATCH($F166,'Faculties'!$B$91:$B$111,0))="","Cell will autofill based on response",INDEX('Faculties'!$Q$91:$Q$111,MATCH($F166,'Faculties'!$B$91:$B$111,0))),"N/A")</f>
        <v/>
      </c>
      <c r="L166" s="25">
        <f>IFERROR(IF(INDEX('CI&amp;S'!$Q$10:$Q$15,MATCH($F166,'CI&amp;S'!$B$10:$B$15,0))="","Cell will autofill based on response",INDEX('CI&amp;S'!$Q$10:$Q$15,MATCH($F166,'CI&amp;S'!$B$10:$B$15,0))),"N/A")</f>
        <v/>
      </c>
      <c r="M166" s="25">
        <f>IFERROR(IF(INDEX('CI&amp;S'!$Q$22:$Q$39,MATCH($F166,'CI&amp;S'!$B$22:$B$39,0))="","Cell will autofill based on response",INDEX('CI&amp;S'!$Q$22:$Q$39,MATCH($F166,'CI&amp;S'!$B$22:$B$39,0))),"N/A")</f>
        <v/>
      </c>
      <c r="N166" s="25">
        <f>IFERROR(IF(INDEX('CFOG'!$Q$10:$Q$16,MATCH($F166,'CFOG'!$B$10:$B$16,0))="","Cell will autofill based on response",INDEX('CFOG'!$Q$10:$Q$16,MATCH($F166,'CFOG'!$B$10:$B$16,0))),"N/A")</f>
        <v/>
      </c>
      <c r="O166" s="25">
        <f>IFERROR(IF(INDEX('CFOG'!$Q$23:$Q$24,MATCH($F166,'CFOG'!$B$23:$B$24,0))="","Cell will autofill based on response",INDEX('CFOG'!$Q$23:$Q$24,MATCH($F166,'CFOG'!$B$23:$B$24,0))),"N/A")</f>
        <v/>
      </c>
      <c r="P166" s="25">
        <f>IFERROR(IF(INDEX('ESG'!$Q$10:$Q$17,MATCH($F166,'ESG'!$B$10:$B$17,0))="","Cell will autofill based on response",INDEX('ESG'!$Q$10:$Q$17,MATCH($F166,'ESG'!$B$10:$B$17,0))),"N/A")</f>
        <v/>
      </c>
      <c r="Q166" s="25">
        <f>IFERROR(IF(INDEX('CIOG'!$Q$10:$Q$14,MATCH($F166,'CIOG'!$B$10:$B$14,0))="","Cell will autofill based on response",INDEX('CIOG'!$Q$10:$Q$14,MATCH($F166,'CIOG'!$B$10:$B$14,0))),"N/A")</f>
        <v/>
      </c>
      <c r="R166" s="25">
        <f>IFERROR(IF(INDEX('MRE'!$Q$10:$Q$12,MATCH($F166,'MRE'!$B$10:$B$12,0))="","Cell will autofill based on response",INDEX('MRE'!$Q$10:$Q$12,MATCH($F166,'MRE'!$B$10:$B$12,0))),"N/A")</f>
        <v/>
      </c>
      <c r="S166" s="25">
        <f>IFERROR(IF(INDEX('L&amp;R'!$Q$10:$Q$11,MATCH($F166,'L&amp;R'!$B$10:$B$11,0))="","Cell will autofill based on response",INDEX('L&amp;R'!$Q$10:$Q$11,MATCH($F166,'L&amp;R'!$B$10:$B$11,0))),"N/A")</f>
        <v/>
      </c>
    </row>
    <row r="167">
      <c r="A167">
        <f>F167&amp;"|"&amp;G167</f>
        <v/>
      </c>
      <c r="B167" s="7" t="inlineStr">
        <is>
          <t>NB1(d)</t>
        </is>
      </c>
      <c r="C167" s="12" t="inlineStr">
        <is>
          <t>Nature and biodiversity</t>
        </is>
      </c>
      <c r="D167" s="12" t="inlineStr">
        <is>
          <t>Defined and quantified campus connectivity</t>
        </is>
      </c>
      <c r="E167" s="12" t="inlineStr">
        <is>
          <t>Please provide the current definition and quantified assessment of campus ecological connectivity, could include the methodology used, campuses covered, baseline or benchmark values, and any material change over the reporting period.</t>
        </is>
      </c>
      <c r="F167" s="12" t="inlineStr">
        <is>
          <t>NB1(d)</t>
        </is>
      </c>
      <c r="G167" s="12" t="inlineStr">
        <is>
          <t>Confirm end-2026 target status</t>
        </is>
      </c>
      <c r="H167" s="25">
        <f>IFERROR(IF(INDEX('Faculties'!$L$10:$L$30,MATCH($F167,'Faculties'!$B$10:$B$30,0))="","Cell will autofill based on response",INDEX('Faculties'!$L$10:$L$30,MATCH($F167,'Faculties'!$B$10:$B$30,0))),"N/A")</f>
        <v/>
      </c>
      <c r="I167" s="25">
        <f>IFERROR(IF(INDEX('Faculties'!$L$37:$L$57,MATCH($F167,'Faculties'!$B$37:$B$57,0))="","Cell will autofill based on response",INDEX('Faculties'!$L$37:$L$57,MATCH($F167,'Faculties'!$B$37:$B$57,0))),"N/A")</f>
        <v/>
      </c>
      <c r="J167" s="25">
        <f>IFERROR(IF(INDEX('Faculties'!$L$64:$L$84,MATCH($F167,'Faculties'!$B$64:$B$84,0))="","Cell will autofill based on response",INDEX('Faculties'!$L$64:$L$84,MATCH($F167,'Faculties'!$B$64:$B$84,0))),"N/A")</f>
        <v/>
      </c>
      <c r="K167" s="25">
        <f>IFERROR(IF(INDEX('Faculties'!$L$91:$L$111,MATCH($F167,'Faculties'!$B$91:$B$111,0))="","Cell will autofill based on response",INDEX('Faculties'!$L$91:$L$111,MATCH($F167,'Faculties'!$B$91:$B$111,0))),"N/A")</f>
        <v/>
      </c>
      <c r="L167" s="25">
        <f>IFERROR(IF(INDEX('CI&amp;S'!$L$10:$L$15,MATCH($F167,'CI&amp;S'!$B$10:$B$15,0))="","Cell will autofill based on response",INDEX('CI&amp;S'!$L$10:$L$15,MATCH($F167,'CI&amp;S'!$B$10:$B$15,0))),"N/A")</f>
        <v/>
      </c>
      <c r="M167" s="25">
        <f>IFERROR(IF(INDEX('CI&amp;S'!$L$22:$L$39,MATCH($F167,'CI&amp;S'!$B$22:$B$39,0))="","Cell will autofill based on response",INDEX('CI&amp;S'!$L$22:$L$39,MATCH($F167,'CI&amp;S'!$B$22:$B$39,0))),"N/A")</f>
        <v/>
      </c>
      <c r="N167" s="25">
        <f>IFERROR(IF(INDEX('CFOG'!$L$10:$L$16,MATCH($F167,'CFOG'!$B$10:$B$16,0))="","Cell will autofill based on response",INDEX('CFOG'!$L$10:$L$16,MATCH($F167,'CFOG'!$B$10:$B$16,0))),"N/A")</f>
        <v/>
      </c>
      <c r="O167" s="25">
        <f>IFERROR(IF(INDEX('CFOG'!$L$23:$L$24,MATCH($F167,'CFOG'!$B$23:$B$24,0))="","Cell will autofill based on response",INDEX('CFOG'!$L$23:$L$24,MATCH($F167,'CFOG'!$B$23:$B$24,0))),"N/A")</f>
        <v/>
      </c>
      <c r="P167" s="25">
        <f>IFERROR(IF(INDEX('ESG'!$L$10:$L$17,MATCH($F167,'ESG'!$B$10:$B$17,0))="","Cell will autofill based on response",INDEX('ESG'!$L$10:$L$17,MATCH($F167,'ESG'!$B$10:$B$17,0))),"N/A")</f>
        <v/>
      </c>
      <c r="Q167" s="25">
        <f>IFERROR(IF(INDEX('CIOG'!$L$10:$L$14,MATCH($F167,'CIOG'!$B$10:$B$14,0))="","Cell will autofill based on response",INDEX('CIOG'!$L$10:$L$14,MATCH($F167,'CIOG'!$B$10:$B$14,0))),"N/A")</f>
        <v/>
      </c>
      <c r="R167" s="25">
        <f>IFERROR(IF(INDEX('MRE'!$L$10:$L$12,MATCH($F167,'MRE'!$B$10:$B$12,0))="","Cell will autofill based on response",INDEX('MRE'!$L$10:$L$12,MATCH($F167,'MRE'!$B$10:$B$12,0))),"N/A")</f>
        <v/>
      </c>
      <c r="S167" s="25">
        <f>IFERROR(IF(INDEX('L&amp;R'!$L$10:$L$11,MATCH($F167,'L&amp;R'!$B$10:$B$11,0))="","Cell will autofill based on response",INDEX('L&amp;R'!$L$10:$L$11,MATCH($F167,'L&amp;R'!$B$10:$B$11,0))),"N/A")</f>
        <v/>
      </c>
      <c r="U167" s="26">
        <f>COUNTIF($H167:$S167,"Cell will autofill based on response")</f>
        <v/>
      </c>
      <c r="V167" s="26">
        <f>COUNTIF($H167:$S167,"Not yet started")</f>
        <v/>
      </c>
      <c r="W167" s="26">
        <f>COUNTIF($H167:$S167,"Not met")</f>
        <v/>
      </c>
      <c r="X167" s="26">
        <f>COUNTIF($H167:$S167,"Partially met")</f>
        <v/>
      </c>
      <c r="Y167" s="26">
        <f>COUNTIF($H167:$S167,"Met or exceeded")</f>
        <v/>
      </c>
      <c r="Z167" s="26">
        <f>3*Y167+2*X167+W167</f>
        <v/>
      </c>
      <c r="AA167" s="26">
        <f>Y167+X167+W167+V167</f>
        <v/>
      </c>
      <c r="AB167" s="27">
        <f>IF(AA167&gt;0,Z167/AA167,"No valid responses to date")</f>
        <v/>
      </c>
      <c r="AC167" s="26">
        <f>IF(ISNUMBER(AB167),INDEX(Lists!$G$2:$G$5,MATCH(ROUND(AB167,0),Lists!$H$2:$H$5,0)),"")</f>
        <v/>
      </c>
      <c r="AD167" s="28">
        <f>IF(AA167&gt;0,Y167/AA167,"")</f>
        <v/>
      </c>
      <c r="AE167" s="28">
        <f>IF(AA167&gt;0,(Y167+X167)/AA167,"")</f>
        <v/>
      </c>
      <c r="AF167" s="26">
        <f>IF(AA167=0,"",IF(AD167&gt;0.75,"Met or exceeded",IF(AE167&gt;=0.5,"Partially met","Not met")))</f>
        <v/>
      </c>
    </row>
    <row r="168">
      <c r="A168">
        <f>F168&amp;"|"&amp;G168</f>
        <v/>
      </c>
      <c r="B168" s="29" t="inlineStr"/>
      <c r="C168" s="8" t="inlineStr"/>
      <c r="D168" s="8" t="inlineStr"/>
      <c r="E168" s="8" t="inlineStr"/>
      <c r="F168" s="8" t="inlineStr">
        <is>
          <t>NB1(d)</t>
        </is>
      </c>
      <c r="G168" s="8" t="inlineStr">
        <is>
          <t>OPTION 1:  Target-level reporting</t>
        </is>
      </c>
      <c r="H168" s="25">
        <f>IFERROR(IF(INDEX('Faculties'!$M$10:$M$30,MATCH($F168,'Faculties'!$B$10:$B$30,0))="","Cell will autofill based on response",INDEX('Faculties'!$M$10:$M$30,MATCH($F168,'Faculties'!$B$10:$B$30,0))),"N/A")</f>
        <v/>
      </c>
      <c r="I168" s="25">
        <f>IFERROR(IF(INDEX('Faculties'!$M$37:$M$57,MATCH($F168,'Faculties'!$B$37:$B$57,0))="","Cell will autofill based on response",INDEX('Faculties'!$M$37:$M$57,MATCH($F168,'Faculties'!$B$37:$B$57,0))),"N/A")</f>
        <v/>
      </c>
      <c r="J168" s="25">
        <f>IFERROR(IF(INDEX('Faculties'!$M$64:$M$84,MATCH($F168,'Faculties'!$B$64:$B$84,0))="","Cell will autofill based on response",INDEX('Faculties'!$M$64:$M$84,MATCH($F168,'Faculties'!$B$64:$B$84,0))),"N/A")</f>
        <v/>
      </c>
      <c r="K168" s="25">
        <f>IFERROR(IF(INDEX('Faculties'!$M$91:$M$111,MATCH($F168,'Faculties'!$B$91:$B$111,0))="","Cell will autofill based on response",INDEX('Faculties'!$M$91:$M$111,MATCH($F168,'Faculties'!$B$91:$B$111,0))),"N/A")</f>
        <v/>
      </c>
      <c r="L168" s="25">
        <f>IFERROR(IF(INDEX('CI&amp;S'!$M$10:$M$15,MATCH($F168,'CI&amp;S'!$B$10:$B$15,0))="","Cell will autofill based on response",INDEX('CI&amp;S'!$M$10:$M$15,MATCH($F168,'CI&amp;S'!$B$10:$B$15,0))),"N/A")</f>
        <v/>
      </c>
      <c r="M168" s="25">
        <f>IFERROR(IF(INDEX('CI&amp;S'!$M$22:$M$39,MATCH($F168,'CI&amp;S'!$B$22:$B$39,0))="","Cell will autofill based on response",INDEX('CI&amp;S'!$M$22:$M$39,MATCH($F168,'CI&amp;S'!$B$22:$B$39,0))),"N/A")</f>
        <v/>
      </c>
      <c r="N168" s="25">
        <f>IFERROR(IF(INDEX('CFOG'!$M$10:$M$16,MATCH($F168,'CFOG'!$B$10:$B$16,0))="","Cell will autofill based on response",INDEX('CFOG'!$M$10:$M$16,MATCH($F168,'CFOG'!$B$10:$B$16,0))),"N/A")</f>
        <v/>
      </c>
      <c r="O168" s="25">
        <f>IFERROR(IF(INDEX('CFOG'!$M$23:$M$24,MATCH($F168,'CFOG'!$B$23:$B$24,0))="","Cell will autofill based on response",INDEX('CFOG'!$M$23:$M$24,MATCH($F168,'CFOG'!$B$23:$B$24,0))),"N/A")</f>
        <v/>
      </c>
      <c r="P168" s="25">
        <f>IFERROR(IF(INDEX('ESG'!$M$10:$M$17,MATCH($F168,'ESG'!$B$10:$B$17,0))="","Cell will autofill based on response",INDEX('ESG'!$M$10:$M$17,MATCH($F168,'ESG'!$B$10:$B$17,0))),"N/A")</f>
        <v/>
      </c>
      <c r="Q168" s="25">
        <f>IFERROR(IF(INDEX('CIOG'!$M$10:$M$14,MATCH($F168,'CIOG'!$B$10:$B$14,0))="","Cell will autofill based on response",INDEX('CIOG'!$M$10:$M$14,MATCH($F168,'CIOG'!$B$10:$B$14,0))),"N/A")</f>
        <v/>
      </c>
      <c r="R168" s="25">
        <f>IFERROR(IF(INDEX('MRE'!$M$10:$M$12,MATCH($F168,'MRE'!$B$10:$B$12,0))="","Cell will autofill based on response",INDEX('MRE'!$M$10:$M$12,MATCH($F168,'MRE'!$B$10:$B$12,0))),"N/A")</f>
        <v/>
      </c>
      <c r="S168" s="25">
        <f>IFERROR(IF(INDEX('L&amp;R'!$M$10:$M$11,MATCH($F168,'L&amp;R'!$B$10:$B$11,0))="","Cell will autofill based on response",INDEX('L&amp;R'!$M$10:$M$11,MATCH($F168,'L&amp;R'!$B$10:$B$11,0))),"N/A")</f>
        <v/>
      </c>
    </row>
    <row r="169">
      <c r="A169">
        <f>F169&amp;"|"&amp;G169</f>
        <v/>
      </c>
      <c r="B169" s="29" t="inlineStr"/>
      <c r="C169" s="8" t="inlineStr"/>
      <c r="D169" s="8" t="inlineStr"/>
      <c r="E169" s="8" t="inlineStr"/>
      <c r="F169" s="8" t="inlineStr">
        <is>
          <t>NB1(d)</t>
        </is>
      </c>
      <c r="G169" s="8" t="inlineStr">
        <is>
          <t>OPTION 2:  Indicator level reporting</t>
        </is>
      </c>
      <c r="H169" s="25">
        <f>IFERROR(IF(INDEX('Faculties'!$N$10:$N$30,MATCH($F169,'Faculties'!$B$10:$B$30,0))="","Cell will autofill based on response",INDEX('Faculties'!$N$10:$N$30,MATCH($F169,'Faculties'!$B$10:$B$30,0))),"N/A")</f>
        <v/>
      </c>
      <c r="I169" s="25">
        <f>IFERROR(IF(INDEX('Faculties'!$N$37:$N$57,MATCH($F169,'Faculties'!$B$37:$B$57,0))="","Cell will autofill based on response",INDEX('Faculties'!$N$37:$N$57,MATCH($F169,'Faculties'!$B$37:$B$57,0))),"N/A")</f>
        <v/>
      </c>
      <c r="J169" s="25">
        <f>IFERROR(IF(INDEX('Faculties'!$N$64:$N$84,MATCH($F169,'Faculties'!$B$64:$B$84,0))="","Cell will autofill based on response",INDEX('Faculties'!$N$64:$N$84,MATCH($F169,'Faculties'!$B$64:$B$84,0))),"N/A")</f>
        <v/>
      </c>
      <c r="K169" s="25">
        <f>IFERROR(IF(INDEX('Faculties'!$N$91:$N$111,MATCH($F169,'Faculties'!$B$91:$B$111,0))="","Cell will autofill based on response",INDEX('Faculties'!$N$91:$N$111,MATCH($F169,'Faculties'!$B$91:$B$111,0))),"N/A")</f>
        <v/>
      </c>
      <c r="L169" s="25">
        <f>IFERROR(IF(INDEX('CI&amp;S'!$N$10:$N$15,MATCH($F169,'CI&amp;S'!$B$10:$B$15,0))="","Cell will autofill based on response",INDEX('CI&amp;S'!$N$10:$N$15,MATCH($F169,'CI&amp;S'!$B$10:$B$15,0))),"N/A")</f>
        <v/>
      </c>
      <c r="M169" s="25">
        <f>IFERROR(IF(INDEX('CI&amp;S'!$N$22:$N$39,MATCH($F169,'CI&amp;S'!$B$22:$B$39,0))="","Cell will autofill based on response",INDEX('CI&amp;S'!$N$22:$N$39,MATCH($F169,'CI&amp;S'!$B$22:$B$39,0))),"N/A")</f>
        <v/>
      </c>
      <c r="N169" s="25">
        <f>IFERROR(IF(INDEX('CFOG'!$N$10:$N$16,MATCH($F169,'CFOG'!$B$10:$B$16,0))="","Cell will autofill based on response",INDEX('CFOG'!$N$10:$N$16,MATCH($F169,'CFOG'!$B$10:$B$16,0))),"N/A")</f>
        <v/>
      </c>
      <c r="O169" s="25">
        <f>IFERROR(IF(INDEX('CFOG'!$N$23:$N$24,MATCH($F169,'CFOG'!$B$23:$B$24,0))="","Cell will autofill based on response",INDEX('CFOG'!$N$23:$N$24,MATCH($F169,'CFOG'!$B$23:$B$24,0))),"N/A")</f>
        <v/>
      </c>
      <c r="P169" s="25">
        <f>IFERROR(IF(INDEX('ESG'!$N$10:$N$17,MATCH($F169,'ESG'!$B$10:$B$17,0))="","Cell will autofill based on response",INDEX('ESG'!$N$10:$N$17,MATCH($F169,'ESG'!$B$10:$B$17,0))),"N/A")</f>
        <v/>
      </c>
      <c r="Q169" s="25">
        <f>IFERROR(IF(INDEX('CIOG'!$N$10:$N$14,MATCH($F169,'CIOG'!$B$10:$B$14,0))="","Cell will autofill based on response",INDEX('CIOG'!$N$10:$N$14,MATCH($F169,'CIOG'!$B$10:$B$14,0))),"N/A")</f>
        <v/>
      </c>
      <c r="R169" s="25">
        <f>IFERROR(IF(INDEX('MRE'!$N$10:$N$12,MATCH($F169,'MRE'!$B$10:$B$12,0))="","Cell will autofill based on response",INDEX('MRE'!$N$10:$N$12,MATCH($F169,'MRE'!$B$10:$B$12,0))),"N/A")</f>
        <v/>
      </c>
      <c r="S169" s="25">
        <f>IFERROR(IF(INDEX('L&amp;R'!$N$10:$N$11,MATCH($F169,'L&amp;R'!$B$10:$B$11,0))="","Cell will autofill based on response",INDEX('L&amp;R'!$N$10:$N$11,MATCH($F169,'L&amp;R'!$B$10:$B$11,0))),"N/A")</f>
        <v/>
      </c>
    </row>
    <row r="170">
      <c r="A170">
        <f>F170&amp;"|"&amp;G170</f>
        <v/>
      </c>
      <c r="B170" s="29" t="inlineStr"/>
      <c r="C170" s="8" t="inlineStr"/>
      <c r="D170" s="8" t="inlineStr"/>
      <c r="E170" s="8" t="inlineStr"/>
      <c r="F170" s="8" t="inlineStr">
        <is>
          <t>NB1(d)</t>
        </is>
      </c>
      <c r="G170" s="8" t="inlineStr">
        <is>
          <t>Supporting information/comments</t>
        </is>
      </c>
      <c r="H170" s="25">
        <f>IFERROR(IF(INDEX('Faculties'!$O$10:$O$30,MATCH($F170,'Faculties'!$B$10:$B$30,0))="","Cell will autofill based on response",INDEX('Faculties'!$O$10:$O$30,MATCH($F170,'Faculties'!$B$10:$B$30,0))),"N/A")</f>
        <v/>
      </c>
      <c r="I170" s="25">
        <f>IFERROR(IF(INDEX('Faculties'!$O$37:$O$57,MATCH($F170,'Faculties'!$B$37:$B$57,0))="","Cell will autofill based on response",INDEX('Faculties'!$O$37:$O$57,MATCH($F170,'Faculties'!$B$37:$B$57,0))),"N/A")</f>
        <v/>
      </c>
      <c r="J170" s="25">
        <f>IFERROR(IF(INDEX('Faculties'!$O$64:$O$84,MATCH($F170,'Faculties'!$B$64:$B$84,0))="","Cell will autofill based on response",INDEX('Faculties'!$O$64:$O$84,MATCH($F170,'Faculties'!$B$64:$B$84,0))),"N/A")</f>
        <v/>
      </c>
      <c r="K170" s="25">
        <f>IFERROR(IF(INDEX('Faculties'!$O$91:$O$111,MATCH($F170,'Faculties'!$B$91:$B$111,0))="","Cell will autofill based on response",INDEX('Faculties'!$O$91:$O$111,MATCH($F170,'Faculties'!$B$91:$B$111,0))),"N/A")</f>
        <v/>
      </c>
      <c r="L170" s="25">
        <f>IFERROR(IF(INDEX('CI&amp;S'!$O$10:$O$15,MATCH($F170,'CI&amp;S'!$B$10:$B$15,0))="","Cell will autofill based on response",INDEX('CI&amp;S'!$O$10:$O$15,MATCH($F170,'CI&amp;S'!$B$10:$B$15,0))),"N/A")</f>
        <v/>
      </c>
      <c r="M170" s="25">
        <f>IFERROR(IF(INDEX('CI&amp;S'!$O$22:$O$39,MATCH($F170,'CI&amp;S'!$B$22:$B$39,0))="","Cell will autofill based on response",INDEX('CI&amp;S'!$O$22:$O$39,MATCH($F170,'CI&amp;S'!$B$22:$B$39,0))),"N/A")</f>
        <v/>
      </c>
      <c r="N170" s="25">
        <f>IFERROR(IF(INDEX('CFOG'!$O$10:$O$16,MATCH($F170,'CFOG'!$B$10:$B$16,0))="","Cell will autofill based on response",INDEX('CFOG'!$O$10:$O$16,MATCH($F170,'CFOG'!$B$10:$B$16,0))),"N/A")</f>
        <v/>
      </c>
      <c r="O170" s="25">
        <f>IFERROR(IF(INDEX('CFOG'!$O$23:$O$24,MATCH($F170,'CFOG'!$B$23:$B$24,0))="","Cell will autofill based on response",INDEX('CFOG'!$O$23:$O$24,MATCH($F170,'CFOG'!$B$23:$B$24,0))),"N/A")</f>
        <v/>
      </c>
      <c r="P170" s="25">
        <f>IFERROR(IF(INDEX('ESG'!$O$10:$O$17,MATCH($F170,'ESG'!$B$10:$B$17,0))="","Cell will autofill based on response",INDEX('ESG'!$O$10:$O$17,MATCH($F170,'ESG'!$B$10:$B$17,0))),"N/A")</f>
        <v/>
      </c>
      <c r="Q170" s="25">
        <f>IFERROR(IF(INDEX('CIOG'!$O$10:$O$14,MATCH($F170,'CIOG'!$B$10:$B$14,0))="","Cell will autofill based on response",INDEX('CIOG'!$O$10:$O$14,MATCH($F170,'CIOG'!$B$10:$B$14,0))),"N/A")</f>
        <v/>
      </c>
      <c r="R170" s="25">
        <f>IFERROR(IF(INDEX('MRE'!$O$10:$O$12,MATCH($F170,'MRE'!$B$10:$B$12,0))="","Cell will autofill based on response",INDEX('MRE'!$O$10:$O$12,MATCH($F170,'MRE'!$B$10:$B$12,0))),"N/A")</f>
        <v/>
      </c>
      <c r="S170" s="25">
        <f>IFERROR(IF(INDEX('L&amp;R'!$O$10:$O$11,MATCH($F170,'L&amp;R'!$B$10:$B$11,0))="","Cell will autofill based on response",INDEX('L&amp;R'!$O$10:$O$11,MATCH($F170,'L&amp;R'!$B$10:$B$11,0))),"N/A")</f>
        <v/>
      </c>
    </row>
    <row r="171">
      <c r="A171">
        <f>F171&amp;"|"&amp;G171</f>
        <v/>
      </c>
      <c r="B171" s="29" t="inlineStr"/>
      <c r="C171" s="8" t="inlineStr"/>
      <c r="D171" s="8" t="inlineStr"/>
      <c r="E171" s="8" t="inlineStr"/>
      <c r="F171" s="8" t="inlineStr">
        <is>
          <t>NB1(d)</t>
        </is>
      </c>
      <c r="G171" s="8" t="inlineStr">
        <is>
          <t>Data source and limitations</t>
        </is>
      </c>
      <c r="H171" s="25">
        <f>IFERROR(IF(INDEX('Faculties'!$P$10:$P$30,MATCH($F171,'Faculties'!$B$10:$B$30,0))="","Cell will autofill based on response",INDEX('Faculties'!$P$10:$P$30,MATCH($F171,'Faculties'!$B$10:$B$30,0))),"N/A")</f>
        <v/>
      </c>
      <c r="I171" s="25">
        <f>IFERROR(IF(INDEX('Faculties'!$P$37:$P$57,MATCH($F171,'Faculties'!$B$37:$B$57,0))="","Cell will autofill based on response",INDEX('Faculties'!$P$37:$P$57,MATCH($F171,'Faculties'!$B$37:$B$57,0))),"N/A")</f>
        <v/>
      </c>
      <c r="J171" s="25">
        <f>IFERROR(IF(INDEX('Faculties'!$P$64:$P$84,MATCH($F171,'Faculties'!$B$64:$B$84,0))="","Cell will autofill based on response",INDEX('Faculties'!$P$64:$P$84,MATCH($F171,'Faculties'!$B$64:$B$84,0))),"N/A")</f>
        <v/>
      </c>
      <c r="K171" s="25">
        <f>IFERROR(IF(INDEX('Faculties'!$P$91:$P$111,MATCH($F171,'Faculties'!$B$91:$B$111,0))="","Cell will autofill based on response",INDEX('Faculties'!$P$91:$P$111,MATCH($F171,'Faculties'!$B$91:$B$111,0))),"N/A")</f>
        <v/>
      </c>
      <c r="L171" s="25">
        <f>IFERROR(IF(INDEX('CI&amp;S'!$P$10:$P$15,MATCH($F171,'CI&amp;S'!$B$10:$B$15,0))="","Cell will autofill based on response",INDEX('CI&amp;S'!$P$10:$P$15,MATCH($F171,'CI&amp;S'!$B$10:$B$15,0))),"N/A")</f>
        <v/>
      </c>
      <c r="M171" s="25">
        <f>IFERROR(IF(INDEX('CI&amp;S'!$P$22:$P$39,MATCH($F171,'CI&amp;S'!$B$22:$B$39,0))="","Cell will autofill based on response",INDEX('CI&amp;S'!$P$22:$P$39,MATCH($F171,'CI&amp;S'!$B$22:$B$39,0))),"N/A")</f>
        <v/>
      </c>
      <c r="N171" s="25">
        <f>IFERROR(IF(INDEX('CFOG'!$P$10:$P$16,MATCH($F171,'CFOG'!$B$10:$B$16,0))="","Cell will autofill based on response",INDEX('CFOG'!$P$10:$P$16,MATCH($F171,'CFOG'!$B$10:$B$16,0))),"N/A")</f>
        <v/>
      </c>
      <c r="O171" s="25">
        <f>IFERROR(IF(INDEX('CFOG'!$P$23:$P$24,MATCH($F171,'CFOG'!$B$23:$B$24,0))="","Cell will autofill based on response",INDEX('CFOG'!$P$23:$P$24,MATCH($F171,'CFOG'!$B$23:$B$24,0))),"N/A")</f>
        <v/>
      </c>
      <c r="P171" s="25">
        <f>IFERROR(IF(INDEX('ESG'!$P$10:$P$17,MATCH($F171,'ESG'!$B$10:$B$17,0))="","Cell will autofill based on response",INDEX('ESG'!$P$10:$P$17,MATCH($F171,'ESG'!$B$10:$B$17,0))),"N/A")</f>
        <v/>
      </c>
      <c r="Q171" s="25">
        <f>IFERROR(IF(INDEX('CIOG'!$P$10:$P$14,MATCH($F171,'CIOG'!$B$10:$B$14,0))="","Cell will autofill based on response",INDEX('CIOG'!$P$10:$P$14,MATCH($F171,'CIOG'!$B$10:$B$14,0))),"N/A")</f>
        <v/>
      </c>
      <c r="R171" s="25">
        <f>IFERROR(IF(INDEX('MRE'!$P$10:$P$12,MATCH($F171,'MRE'!$B$10:$B$12,0))="","Cell will autofill based on response",INDEX('MRE'!$P$10:$P$12,MATCH($F171,'MRE'!$B$10:$B$12,0))),"N/A")</f>
        <v/>
      </c>
      <c r="S171" s="25">
        <f>IFERROR(IF(INDEX('L&amp;R'!$P$10:$P$11,MATCH($F171,'L&amp;R'!$B$10:$B$11,0))="","Cell will autofill based on response",INDEX('L&amp;R'!$P$10:$P$11,MATCH($F171,'L&amp;R'!$B$10:$B$11,0))),"N/A")</f>
        <v/>
      </c>
    </row>
    <row r="172">
      <c r="A172">
        <f>F172&amp;"|"&amp;G172</f>
        <v/>
      </c>
      <c r="B172" s="29" t="inlineStr"/>
      <c r="C172" s="8" t="inlineStr"/>
      <c r="D172" s="8" t="inlineStr"/>
      <c r="E172" s="8" t="inlineStr"/>
      <c r="F172" s="8" t="inlineStr">
        <is>
          <t>NB1(d)</t>
        </is>
      </c>
      <c r="G172" s="8" t="inlineStr">
        <is>
          <t>Data owner confirms</t>
        </is>
      </c>
      <c r="H172" s="25">
        <f>IFERROR(IF(INDEX('Faculties'!$Q$10:$Q$30,MATCH($F172,'Faculties'!$B$10:$B$30,0))="","Cell will autofill based on response",INDEX('Faculties'!$Q$10:$Q$30,MATCH($F172,'Faculties'!$B$10:$B$30,0))),"N/A")</f>
        <v/>
      </c>
      <c r="I172" s="25">
        <f>IFERROR(IF(INDEX('Faculties'!$Q$37:$Q$57,MATCH($F172,'Faculties'!$B$37:$B$57,0))="","Cell will autofill based on response",INDEX('Faculties'!$Q$37:$Q$57,MATCH($F172,'Faculties'!$B$37:$B$57,0))),"N/A")</f>
        <v/>
      </c>
      <c r="J172" s="25">
        <f>IFERROR(IF(INDEX('Faculties'!$Q$64:$Q$84,MATCH($F172,'Faculties'!$B$64:$B$84,0))="","Cell will autofill based on response",INDEX('Faculties'!$Q$64:$Q$84,MATCH($F172,'Faculties'!$B$64:$B$84,0))),"N/A")</f>
        <v/>
      </c>
      <c r="K172" s="25">
        <f>IFERROR(IF(INDEX('Faculties'!$Q$91:$Q$111,MATCH($F172,'Faculties'!$B$91:$B$111,0))="","Cell will autofill based on response",INDEX('Faculties'!$Q$91:$Q$111,MATCH($F172,'Faculties'!$B$91:$B$111,0))),"N/A")</f>
        <v/>
      </c>
      <c r="L172" s="25">
        <f>IFERROR(IF(INDEX('CI&amp;S'!$Q$10:$Q$15,MATCH($F172,'CI&amp;S'!$B$10:$B$15,0))="","Cell will autofill based on response",INDEX('CI&amp;S'!$Q$10:$Q$15,MATCH($F172,'CI&amp;S'!$B$10:$B$15,0))),"N/A")</f>
        <v/>
      </c>
      <c r="M172" s="25">
        <f>IFERROR(IF(INDEX('CI&amp;S'!$Q$22:$Q$39,MATCH($F172,'CI&amp;S'!$B$22:$B$39,0))="","Cell will autofill based on response",INDEX('CI&amp;S'!$Q$22:$Q$39,MATCH($F172,'CI&amp;S'!$B$22:$B$39,0))),"N/A")</f>
        <v/>
      </c>
      <c r="N172" s="25">
        <f>IFERROR(IF(INDEX('CFOG'!$Q$10:$Q$16,MATCH($F172,'CFOG'!$B$10:$B$16,0))="","Cell will autofill based on response",INDEX('CFOG'!$Q$10:$Q$16,MATCH($F172,'CFOG'!$B$10:$B$16,0))),"N/A")</f>
        <v/>
      </c>
      <c r="O172" s="25">
        <f>IFERROR(IF(INDEX('CFOG'!$Q$23:$Q$24,MATCH($F172,'CFOG'!$B$23:$B$24,0))="","Cell will autofill based on response",INDEX('CFOG'!$Q$23:$Q$24,MATCH($F172,'CFOG'!$B$23:$B$24,0))),"N/A")</f>
        <v/>
      </c>
      <c r="P172" s="25">
        <f>IFERROR(IF(INDEX('ESG'!$Q$10:$Q$17,MATCH($F172,'ESG'!$B$10:$B$17,0))="","Cell will autofill based on response",INDEX('ESG'!$Q$10:$Q$17,MATCH($F172,'ESG'!$B$10:$B$17,0))),"N/A")</f>
        <v/>
      </c>
      <c r="Q172" s="25">
        <f>IFERROR(IF(INDEX('CIOG'!$Q$10:$Q$14,MATCH($F172,'CIOG'!$B$10:$B$14,0))="","Cell will autofill based on response",INDEX('CIOG'!$Q$10:$Q$14,MATCH($F172,'CIOG'!$B$10:$B$14,0))),"N/A")</f>
        <v/>
      </c>
      <c r="R172" s="25">
        <f>IFERROR(IF(INDEX('MRE'!$Q$10:$Q$12,MATCH($F172,'MRE'!$B$10:$B$12,0))="","Cell will autofill based on response",INDEX('MRE'!$Q$10:$Q$12,MATCH($F172,'MRE'!$B$10:$B$12,0))),"N/A")</f>
        <v/>
      </c>
      <c r="S172" s="25">
        <f>IFERROR(IF(INDEX('L&amp;R'!$Q$10:$Q$11,MATCH($F172,'L&amp;R'!$B$10:$B$11,0))="","Cell will autofill based on response",INDEX('L&amp;R'!$Q$10:$Q$11,MATCH($F172,'L&amp;R'!$B$10:$B$11,0))),"N/A")</f>
        <v/>
      </c>
    </row>
    <row r="173">
      <c r="A173">
        <f>F173&amp;"|"&amp;G173</f>
        <v/>
      </c>
      <c r="B173" s="7" t="inlineStr">
        <is>
          <t>NB2(a)</t>
        </is>
      </c>
      <c r="C173" s="12" t="inlineStr">
        <is>
          <t>Nature and biodiversity</t>
        </is>
      </c>
      <c r="D173" s="12" t="inlineStr">
        <is>
          <t>Documented baseline nature footprint analysis</t>
        </is>
      </c>
      <c r="E173" s="12" t="inlineStr">
        <is>
          <t>Impact Encore Measurement</t>
        </is>
      </c>
      <c r="F173" s="12" t="inlineStr">
        <is>
          <t>NB2(a)</t>
        </is>
      </c>
      <c r="G173" s="12" t="inlineStr">
        <is>
          <t>Confirm end-2026 target status</t>
        </is>
      </c>
      <c r="H173" s="25">
        <f>IFERROR(IF(INDEX('Faculties'!$L$10:$L$30,MATCH($F173,'Faculties'!$B$10:$B$30,0))="","Cell will autofill based on response",INDEX('Faculties'!$L$10:$L$30,MATCH($F173,'Faculties'!$B$10:$B$30,0))),"N/A")</f>
        <v/>
      </c>
      <c r="I173" s="25">
        <f>IFERROR(IF(INDEX('Faculties'!$L$37:$L$57,MATCH($F173,'Faculties'!$B$37:$B$57,0))="","Cell will autofill based on response",INDEX('Faculties'!$L$37:$L$57,MATCH($F173,'Faculties'!$B$37:$B$57,0))),"N/A")</f>
        <v/>
      </c>
      <c r="J173" s="25">
        <f>IFERROR(IF(INDEX('Faculties'!$L$64:$L$84,MATCH($F173,'Faculties'!$B$64:$B$84,0))="","Cell will autofill based on response",INDEX('Faculties'!$L$64:$L$84,MATCH($F173,'Faculties'!$B$64:$B$84,0))),"N/A")</f>
        <v/>
      </c>
      <c r="K173" s="25">
        <f>IFERROR(IF(INDEX('Faculties'!$L$91:$L$111,MATCH($F173,'Faculties'!$B$91:$B$111,0))="","Cell will autofill based on response",INDEX('Faculties'!$L$91:$L$111,MATCH($F173,'Faculties'!$B$91:$B$111,0))),"N/A")</f>
        <v/>
      </c>
      <c r="L173" s="25">
        <f>IFERROR(IF(INDEX('CI&amp;S'!$L$10:$L$15,MATCH($F173,'CI&amp;S'!$B$10:$B$15,0))="","Cell will autofill based on response",INDEX('CI&amp;S'!$L$10:$L$15,MATCH($F173,'CI&amp;S'!$B$10:$B$15,0))),"N/A")</f>
        <v/>
      </c>
      <c r="M173" s="25">
        <f>IFERROR(IF(INDEX('CI&amp;S'!$L$22:$L$39,MATCH($F173,'CI&amp;S'!$B$22:$B$39,0))="","Cell will autofill based on response",INDEX('CI&amp;S'!$L$22:$L$39,MATCH($F173,'CI&amp;S'!$B$22:$B$39,0))),"N/A")</f>
        <v/>
      </c>
      <c r="N173" s="25">
        <f>IFERROR(IF(INDEX('CFOG'!$L$10:$L$16,MATCH($F173,'CFOG'!$B$10:$B$16,0))="","Cell will autofill based on response",INDEX('CFOG'!$L$10:$L$16,MATCH($F173,'CFOG'!$B$10:$B$16,0))),"N/A")</f>
        <v/>
      </c>
      <c r="O173" s="25">
        <f>IFERROR(IF(INDEX('CFOG'!$L$23:$L$24,MATCH($F173,'CFOG'!$B$23:$B$24,0))="","Cell will autofill based on response",INDEX('CFOG'!$L$23:$L$24,MATCH($F173,'CFOG'!$B$23:$B$24,0))),"N/A")</f>
        <v/>
      </c>
      <c r="P173" s="25">
        <f>IFERROR(IF(INDEX('ESG'!$L$10:$L$17,MATCH($F173,'ESG'!$B$10:$B$17,0))="","Cell will autofill based on response",INDEX('ESG'!$L$10:$L$17,MATCH($F173,'ESG'!$B$10:$B$17,0))),"N/A")</f>
        <v/>
      </c>
      <c r="Q173" s="25">
        <f>IFERROR(IF(INDEX('CIOG'!$L$10:$L$14,MATCH($F173,'CIOG'!$B$10:$B$14,0))="","Cell will autofill based on response",INDEX('CIOG'!$L$10:$L$14,MATCH($F173,'CIOG'!$B$10:$B$14,0))),"N/A")</f>
        <v/>
      </c>
      <c r="R173" s="25">
        <f>IFERROR(IF(INDEX('MRE'!$L$10:$L$12,MATCH($F173,'MRE'!$B$10:$B$12,0))="","Cell will autofill based on response",INDEX('MRE'!$L$10:$L$12,MATCH($F173,'MRE'!$B$10:$B$12,0))),"N/A")</f>
        <v/>
      </c>
      <c r="S173" s="25">
        <f>IFERROR(IF(INDEX('L&amp;R'!$L$10:$L$11,MATCH($F173,'L&amp;R'!$B$10:$B$11,0))="","Cell will autofill based on response",INDEX('L&amp;R'!$L$10:$L$11,MATCH($F173,'L&amp;R'!$B$10:$B$11,0))),"N/A")</f>
        <v/>
      </c>
      <c r="U173" s="26">
        <f>COUNTIF($H173:$S173,"Cell will autofill based on response")</f>
        <v/>
      </c>
      <c r="V173" s="26">
        <f>COUNTIF($H173:$S173,"Not yet started")</f>
        <v/>
      </c>
      <c r="W173" s="26">
        <f>COUNTIF($H173:$S173,"Not met")</f>
        <v/>
      </c>
      <c r="X173" s="26">
        <f>COUNTIF($H173:$S173,"Partially met")</f>
        <v/>
      </c>
      <c r="Y173" s="26">
        <f>COUNTIF($H173:$S173,"Met or exceeded")</f>
        <v/>
      </c>
      <c r="Z173" s="26">
        <f>3*Y173+2*X173+W173</f>
        <v/>
      </c>
      <c r="AA173" s="26">
        <f>Y173+X173+W173+V173</f>
        <v/>
      </c>
      <c r="AB173" s="27">
        <f>IF(AA173&gt;0,Z173/AA173,"No valid responses to date")</f>
        <v/>
      </c>
      <c r="AC173" s="26">
        <f>IF(ISNUMBER(AB173),INDEX(Lists!$G$2:$G$5,MATCH(ROUND(AB173,0),Lists!$H$2:$H$5,0)),"")</f>
        <v/>
      </c>
      <c r="AD173" s="28">
        <f>IF(AA173&gt;0,Y173/AA173,"")</f>
        <v/>
      </c>
      <c r="AE173" s="28">
        <f>IF(AA173&gt;0,(Y173+X173)/AA173,"")</f>
        <v/>
      </c>
      <c r="AF173" s="26">
        <f>IF(AA173=0,"",IF(AD173&gt;0.75,"Met or exceeded",IF(AE173&gt;=0.5,"Partially met","Not met")))</f>
        <v/>
      </c>
    </row>
    <row r="174">
      <c r="A174">
        <f>F174&amp;"|"&amp;G174</f>
        <v/>
      </c>
      <c r="B174" s="29" t="inlineStr"/>
      <c r="C174" s="8" t="inlineStr"/>
      <c r="D174" s="8" t="inlineStr"/>
      <c r="E174" s="8" t="inlineStr"/>
      <c r="F174" s="8" t="inlineStr">
        <is>
          <t>NB2(a)</t>
        </is>
      </c>
      <c r="G174" s="8" t="inlineStr">
        <is>
          <t>OPTION 1:  Target-level reporting</t>
        </is>
      </c>
      <c r="H174" s="25">
        <f>IFERROR(IF(INDEX('Faculties'!$M$10:$M$30,MATCH($F174,'Faculties'!$B$10:$B$30,0))="","Cell will autofill based on response",INDEX('Faculties'!$M$10:$M$30,MATCH($F174,'Faculties'!$B$10:$B$30,0))),"N/A")</f>
        <v/>
      </c>
      <c r="I174" s="25">
        <f>IFERROR(IF(INDEX('Faculties'!$M$37:$M$57,MATCH($F174,'Faculties'!$B$37:$B$57,0))="","Cell will autofill based on response",INDEX('Faculties'!$M$37:$M$57,MATCH($F174,'Faculties'!$B$37:$B$57,0))),"N/A")</f>
        <v/>
      </c>
      <c r="J174" s="25">
        <f>IFERROR(IF(INDEX('Faculties'!$M$64:$M$84,MATCH($F174,'Faculties'!$B$64:$B$84,0))="","Cell will autofill based on response",INDEX('Faculties'!$M$64:$M$84,MATCH($F174,'Faculties'!$B$64:$B$84,0))),"N/A")</f>
        <v/>
      </c>
      <c r="K174" s="25">
        <f>IFERROR(IF(INDEX('Faculties'!$M$91:$M$111,MATCH($F174,'Faculties'!$B$91:$B$111,0))="","Cell will autofill based on response",INDEX('Faculties'!$M$91:$M$111,MATCH($F174,'Faculties'!$B$91:$B$111,0))),"N/A")</f>
        <v/>
      </c>
      <c r="L174" s="25">
        <f>IFERROR(IF(INDEX('CI&amp;S'!$M$10:$M$15,MATCH($F174,'CI&amp;S'!$B$10:$B$15,0))="","Cell will autofill based on response",INDEX('CI&amp;S'!$M$10:$M$15,MATCH($F174,'CI&amp;S'!$B$10:$B$15,0))),"N/A")</f>
        <v/>
      </c>
      <c r="M174" s="25">
        <f>IFERROR(IF(INDEX('CI&amp;S'!$M$22:$M$39,MATCH($F174,'CI&amp;S'!$B$22:$B$39,0))="","Cell will autofill based on response",INDEX('CI&amp;S'!$M$22:$M$39,MATCH($F174,'CI&amp;S'!$B$22:$B$39,0))),"N/A")</f>
        <v/>
      </c>
      <c r="N174" s="25">
        <f>IFERROR(IF(INDEX('CFOG'!$M$10:$M$16,MATCH($F174,'CFOG'!$B$10:$B$16,0))="","Cell will autofill based on response",INDEX('CFOG'!$M$10:$M$16,MATCH($F174,'CFOG'!$B$10:$B$16,0))),"N/A")</f>
        <v/>
      </c>
      <c r="O174" s="25">
        <f>IFERROR(IF(INDEX('CFOG'!$M$23:$M$24,MATCH($F174,'CFOG'!$B$23:$B$24,0))="","Cell will autofill based on response",INDEX('CFOG'!$M$23:$M$24,MATCH($F174,'CFOG'!$B$23:$B$24,0))),"N/A")</f>
        <v/>
      </c>
      <c r="P174" s="25">
        <f>IFERROR(IF(INDEX('ESG'!$M$10:$M$17,MATCH($F174,'ESG'!$B$10:$B$17,0))="","Cell will autofill based on response",INDEX('ESG'!$M$10:$M$17,MATCH($F174,'ESG'!$B$10:$B$17,0))),"N/A")</f>
        <v/>
      </c>
      <c r="Q174" s="25">
        <f>IFERROR(IF(INDEX('CIOG'!$M$10:$M$14,MATCH($F174,'CIOG'!$B$10:$B$14,0))="","Cell will autofill based on response",INDEX('CIOG'!$M$10:$M$14,MATCH($F174,'CIOG'!$B$10:$B$14,0))),"N/A")</f>
        <v/>
      </c>
      <c r="R174" s="25">
        <f>IFERROR(IF(INDEX('MRE'!$M$10:$M$12,MATCH($F174,'MRE'!$B$10:$B$12,0))="","Cell will autofill based on response",INDEX('MRE'!$M$10:$M$12,MATCH($F174,'MRE'!$B$10:$B$12,0))),"N/A")</f>
        <v/>
      </c>
      <c r="S174" s="25">
        <f>IFERROR(IF(INDEX('L&amp;R'!$M$10:$M$11,MATCH($F174,'L&amp;R'!$B$10:$B$11,0))="","Cell will autofill based on response",INDEX('L&amp;R'!$M$10:$M$11,MATCH($F174,'L&amp;R'!$B$10:$B$11,0))),"N/A")</f>
        <v/>
      </c>
    </row>
    <row r="175">
      <c r="A175">
        <f>F175&amp;"|"&amp;G175</f>
        <v/>
      </c>
      <c r="B175" s="29" t="inlineStr"/>
      <c r="C175" s="8" t="inlineStr"/>
      <c r="D175" s="8" t="inlineStr"/>
      <c r="E175" s="8" t="inlineStr"/>
      <c r="F175" s="8" t="inlineStr">
        <is>
          <t>NB2(a)</t>
        </is>
      </c>
      <c r="G175" s="8" t="inlineStr">
        <is>
          <t>OPTION 2:  Indicator level reporting</t>
        </is>
      </c>
      <c r="H175" s="25">
        <f>IFERROR(IF(INDEX('Faculties'!$N$10:$N$30,MATCH($F175,'Faculties'!$B$10:$B$30,0))="","Cell will autofill based on response",INDEX('Faculties'!$N$10:$N$30,MATCH($F175,'Faculties'!$B$10:$B$30,0))),"N/A")</f>
        <v/>
      </c>
      <c r="I175" s="25">
        <f>IFERROR(IF(INDEX('Faculties'!$N$37:$N$57,MATCH($F175,'Faculties'!$B$37:$B$57,0))="","Cell will autofill based on response",INDEX('Faculties'!$N$37:$N$57,MATCH($F175,'Faculties'!$B$37:$B$57,0))),"N/A")</f>
        <v/>
      </c>
      <c r="J175" s="25">
        <f>IFERROR(IF(INDEX('Faculties'!$N$64:$N$84,MATCH($F175,'Faculties'!$B$64:$B$84,0))="","Cell will autofill based on response",INDEX('Faculties'!$N$64:$N$84,MATCH($F175,'Faculties'!$B$64:$B$84,0))),"N/A")</f>
        <v/>
      </c>
      <c r="K175" s="25">
        <f>IFERROR(IF(INDEX('Faculties'!$N$91:$N$111,MATCH($F175,'Faculties'!$B$91:$B$111,0))="","Cell will autofill based on response",INDEX('Faculties'!$N$91:$N$111,MATCH($F175,'Faculties'!$B$91:$B$111,0))),"N/A")</f>
        <v/>
      </c>
      <c r="L175" s="25">
        <f>IFERROR(IF(INDEX('CI&amp;S'!$N$10:$N$15,MATCH($F175,'CI&amp;S'!$B$10:$B$15,0))="","Cell will autofill based on response",INDEX('CI&amp;S'!$N$10:$N$15,MATCH($F175,'CI&amp;S'!$B$10:$B$15,0))),"N/A")</f>
        <v/>
      </c>
      <c r="M175" s="25">
        <f>IFERROR(IF(INDEX('CI&amp;S'!$N$22:$N$39,MATCH($F175,'CI&amp;S'!$B$22:$B$39,0))="","Cell will autofill based on response",INDEX('CI&amp;S'!$N$22:$N$39,MATCH($F175,'CI&amp;S'!$B$22:$B$39,0))),"N/A")</f>
        <v/>
      </c>
      <c r="N175" s="25">
        <f>IFERROR(IF(INDEX('CFOG'!$N$10:$N$16,MATCH($F175,'CFOG'!$B$10:$B$16,0))="","Cell will autofill based on response",INDEX('CFOG'!$N$10:$N$16,MATCH($F175,'CFOG'!$B$10:$B$16,0))),"N/A")</f>
        <v/>
      </c>
      <c r="O175" s="25">
        <f>IFERROR(IF(INDEX('CFOG'!$N$23:$N$24,MATCH($F175,'CFOG'!$B$23:$B$24,0))="","Cell will autofill based on response",INDEX('CFOG'!$N$23:$N$24,MATCH($F175,'CFOG'!$B$23:$B$24,0))),"N/A")</f>
        <v/>
      </c>
      <c r="P175" s="25">
        <f>IFERROR(IF(INDEX('ESG'!$N$10:$N$17,MATCH($F175,'ESG'!$B$10:$B$17,0))="","Cell will autofill based on response",INDEX('ESG'!$N$10:$N$17,MATCH($F175,'ESG'!$B$10:$B$17,0))),"N/A")</f>
        <v/>
      </c>
      <c r="Q175" s="25">
        <f>IFERROR(IF(INDEX('CIOG'!$N$10:$N$14,MATCH($F175,'CIOG'!$B$10:$B$14,0))="","Cell will autofill based on response",INDEX('CIOG'!$N$10:$N$14,MATCH($F175,'CIOG'!$B$10:$B$14,0))),"N/A")</f>
        <v/>
      </c>
      <c r="R175" s="25">
        <f>IFERROR(IF(INDEX('MRE'!$N$10:$N$12,MATCH($F175,'MRE'!$B$10:$B$12,0))="","Cell will autofill based on response",INDEX('MRE'!$N$10:$N$12,MATCH($F175,'MRE'!$B$10:$B$12,0))),"N/A")</f>
        <v/>
      </c>
      <c r="S175" s="25">
        <f>IFERROR(IF(INDEX('L&amp;R'!$N$10:$N$11,MATCH($F175,'L&amp;R'!$B$10:$B$11,0))="","Cell will autofill based on response",INDEX('L&amp;R'!$N$10:$N$11,MATCH($F175,'L&amp;R'!$B$10:$B$11,0))),"N/A")</f>
        <v/>
      </c>
    </row>
    <row r="176">
      <c r="A176">
        <f>F176&amp;"|"&amp;G176</f>
        <v/>
      </c>
      <c r="B176" s="29" t="inlineStr"/>
      <c r="C176" s="8" t="inlineStr"/>
      <c r="D176" s="8" t="inlineStr"/>
      <c r="E176" s="8" t="inlineStr"/>
      <c r="F176" s="8" t="inlineStr">
        <is>
          <t>NB2(a)</t>
        </is>
      </c>
      <c r="G176" s="8" t="inlineStr">
        <is>
          <t>Supporting information/comments</t>
        </is>
      </c>
      <c r="H176" s="25">
        <f>IFERROR(IF(INDEX('Faculties'!$O$10:$O$30,MATCH($F176,'Faculties'!$B$10:$B$30,0))="","Cell will autofill based on response",INDEX('Faculties'!$O$10:$O$30,MATCH($F176,'Faculties'!$B$10:$B$30,0))),"N/A")</f>
        <v/>
      </c>
      <c r="I176" s="25">
        <f>IFERROR(IF(INDEX('Faculties'!$O$37:$O$57,MATCH($F176,'Faculties'!$B$37:$B$57,0))="","Cell will autofill based on response",INDEX('Faculties'!$O$37:$O$57,MATCH($F176,'Faculties'!$B$37:$B$57,0))),"N/A")</f>
        <v/>
      </c>
      <c r="J176" s="25">
        <f>IFERROR(IF(INDEX('Faculties'!$O$64:$O$84,MATCH($F176,'Faculties'!$B$64:$B$84,0))="","Cell will autofill based on response",INDEX('Faculties'!$O$64:$O$84,MATCH($F176,'Faculties'!$B$64:$B$84,0))),"N/A")</f>
        <v/>
      </c>
      <c r="K176" s="25">
        <f>IFERROR(IF(INDEX('Faculties'!$O$91:$O$111,MATCH($F176,'Faculties'!$B$91:$B$111,0))="","Cell will autofill based on response",INDEX('Faculties'!$O$91:$O$111,MATCH($F176,'Faculties'!$B$91:$B$111,0))),"N/A")</f>
        <v/>
      </c>
      <c r="L176" s="25">
        <f>IFERROR(IF(INDEX('CI&amp;S'!$O$10:$O$15,MATCH($F176,'CI&amp;S'!$B$10:$B$15,0))="","Cell will autofill based on response",INDEX('CI&amp;S'!$O$10:$O$15,MATCH($F176,'CI&amp;S'!$B$10:$B$15,0))),"N/A")</f>
        <v/>
      </c>
      <c r="M176" s="25">
        <f>IFERROR(IF(INDEX('CI&amp;S'!$O$22:$O$39,MATCH($F176,'CI&amp;S'!$B$22:$B$39,0))="","Cell will autofill based on response",INDEX('CI&amp;S'!$O$22:$O$39,MATCH($F176,'CI&amp;S'!$B$22:$B$39,0))),"N/A")</f>
        <v/>
      </c>
      <c r="N176" s="25">
        <f>IFERROR(IF(INDEX('CFOG'!$O$10:$O$16,MATCH($F176,'CFOG'!$B$10:$B$16,0))="","Cell will autofill based on response",INDEX('CFOG'!$O$10:$O$16,MATCH($F176,'CFOG'!$B$10:$B$16,0))),"N/A")</f>
        <v/>
      </c>
      <c r="O176" s="25">
        <f>IFERROR(IF(INDEX('CFOG'!$O$23:$O$24,MATCH($F176,'CFOG'!$B$23:$B$24,0))="","Cell will autofill based on response",INDEX('CFOG'!$O$23:$O$24,MATCH($F176,'CFOG'!$B$23:$B$24,0))),"N/A")</f>
        <v/>
      </c>
      <c r="P176" s="25">
        <f>IFERROR(IF(INDEX('ESG'!$O$10:$O$17,MATCH($F176,'ESG'!$B$10:$B$17,0))="","Cell will autofill based on response",INDEX('ESG'!$O$10:$O$17,MATCH($F176,'ESG'!$B$10:$B$17,0))),"N/A")</f>
        <v/>
      </c>
      <c r="Q176" s="25">
        <f>IFERROR(IF(INDEX('CIOG'!$O$10:$O$14,MATCH($F176,'CIOG'!$B$10:$B$14,0))="","Cell will autofill based on response",INDEX('CIOG'!$O$10:$O$14,MATCH($F176,'CIOG'!$B$10:$B$14,0))),"N/A")</f>
        <v/>
      </c>
      <c r="R176" s="25">
        <f>IFERROR(IF(INDEX('MRE'!$O$10:$O$12,MATCH($F176,'MRE'!$B$10:$B$12,0))="","Cell will autofill based on response",INDEX('MRE'!$O$10:$O$12,MATCH($F176,'MRE'!$B$10:$B$12,0))),"N/A")</f>
        <v/>
      </c>
      <c r="S176" s="25">
        <f>IFERROR(IF(INDEX('L&amp;R'!$O$10:$O$11,MATCH($F176,'L&amp;R'!$B$10:$B$11,0))="","Cell will autofill based on response",INDEX('L&amp;R'!$O$10:$O$11,MATCH($F176,'L&amp;R'!$B$10:$B$11,0))),"N/A")</f>
        <v/>
      </c>
    </row>
    <row r="177">
      <c r="A177">
        <f>F177&amp;"|"&amp;G177</f>
        <v/>
      </c>
      <c r="B177" s="29" t="inlineStr"/>
      <c r="C177" s="8" t="inlineStr"/>
      <c r="D177" s="8" t="inlineStr"/>
      <c r="E177" s="8" t="inlineStr"/>
      <c r="F177" s="8" t="inlineStr">
        <is>
          <t>NB2(a)</t>
        </is>
      </c>
      <c r="G177" s="8" t="inlineStr">
        <is>
          <t>Data source and limitations</t>
        </is>
      </c>
      <c r="H177" s="25">
        <f>IFERROR(IF(INDEX('Faculties'!$P$10:$P$30,MATCH($F177,'Faculties'!$B$10:$B$30,0))="","Cell will autofill based on response",INDEX('Faculties'!$P$10:$P$30,MATCH($F177,'Faculties'!$B$10:$B$30,0))),"N/A")</f>
        <v/>
      </c>
      <c r="I177" s="25">
        <f>IFERROR(IF(INDEX('Faculties'!$P$37:$P$57,MATCH($F177,'Faculties'!$B$37:$B$57,0))="","Cell will autofill based on response",INDEX('Faculties'!$P$37:$P$57,MATCH($F177,'Faculties'!$B$37:$B$57,0))),"N/A")</f>
        <v/>
      </c>
      <c r="J177" s="25">
        <f>IFERROR(IF(INDEX('Faculties'!$P$64:$P$84,MATCH($F177,'Faculties'!$B$64:$B$84,0))="","Cell will autofill based on response",INDEX('Faculties'!$P$64:$P$84,MATCH($F177,'Faculties'!$B$64:$B$84,0))),"N/A")</f>
        <v/>
      </c>
      <c r="K177" s="25">
        <f>IFERROR(IF(INDEX('Faculties'!$P$91:$P$111,MATCH($F177,'Faculties'!$B$91:$B$111,0))="","Cell will autofill based on response",INDEX('Faculties'!$P$91:$P$111,MATCH($F177,'Faculties'!$B$91:$B$111,0))),"N/A")</f>
        <v/>
      </c>
      <c r="L177" s="25">
        <f>IFERROR(IF(INDEX('CI&amp;S'!$P$10:$P$15,MATCH($F177,'CI&amp;S'!$B$10:$B$15,0))="","Cell will autofill based on response",INDEX('CI&amp;S'!$P$10:$P$15,MATCH($F177,'CI&amp;S'!$B$10:$B$15,0))),"N/A")</f>
        <v/>
      </c>
      <c r="M177" s="25">
        <f>IFERROR(IF(INDEX('CI&amp;S'!$P$22:$P$39,MATCH($F177,'CI&amp;S'!$B$22:$B$39,0))="","Cell will autofill based on response",INDEX('CI&amp;S'!$P$22:$P$39,MATCH($F177,'CI&amp;S'!$B$22:$B$39,0))),"N/A")</f>
        <v/>
      </c>
      <c r="N177" s="25">
        <f>IFERROR(IF(INDEX('CFOG'!$P$10:$P$16,MATCH($F177,'CFOG'!$B$10:$B$16,0))="","Cell will autofill based on response",INDEX('CFOG'!$P$10:$P$16,MATCH($F177,'CFOG'!$B$10:$B$16,0))),"N/A")</f>
        <v/>
      </c>
      <c r="O177" s="25">
        <f>IFERROR(IF(INDEX('CFOG'!$P$23:$P$24,MATCH($F177,'CFOG'!$B$23:$B$24,0))="","Cell will autofill based on response",INDEX('CFOG'!$P$23:$P$24,MATCH($F177,'CFOG'!$B$23:$B$24,0))),"N/A")</f>
        <v/>
      </c>
      <c r="P177" s="25">
        <f>IFERROR(IF(INDEX('ESG'!$P$10:$P$17,MATCH($F177,'ESG'!$B$10:$B$17,0))="","Cell will autofill based on response",INDEX('ESG'!$P$10:$P$17,MATCH($F177,'ESG'!$B$10:$B$17,0))),"N/A")</f>
        <v/>
      </c>
      <c r="Q177" s="25">
        <f>IFERROR(IF(INDEX('CIOG'!$P$10:$P$14,MATCH($F177,'CIOG'!$B$10:$B$14,0))="","Cell will autofill based on response",INDEX('CIOG'!$P$10:$P$14,MATCH($F177,'CIOG'!$B$10:$B$14,0))),"N/A")</f>
        <v/>
      </c>
      <c r="R177" s="25">
        <f>IFERROR(IF(INDEX('MRE'!$P$10:$P$12,MATCH($F177,'MRE'!$B$10:$B$12,0))="","Cell will autofill based on response",INDEX('MRE'!$P$10:$P$12,MATCH($F177,'MRE'!$B$10:$B$12,0))),"N/A")</f>
        <v/>
      </c>
      <c r="S177" s="25">
        <f>IFERROR(IF(INDEX('L&amp;R'!$P$10:$P$11,MATCH($F177,'L&amp;R'!$B$10:$B$11,0))="","Cell will autofill based on response",INDEX('L&amp;R'!$P$10:$P$11,MATCH($F177,'L&amp;R'!$B$10:$B$11,0))),"N/A")</f>
        <v/>
      </c>
    </row>
    <row r="178">
      <c r="A178">
        <f>F178&amp;"|"&amp;G178</f>
        <v/>
      </c>
      <c r="B178" s="29" t="inlineStr"/>
      <c r="C178" s="8" t="inlineStr"/>
      <c r="D178" s="8" t="inlineStr"/>
      <c r="E178" s="8" t="inlineStr"/>
      <c r="F178" s="8" t="inlineStr">
        <is>
          <t>NB2(a)</t>
        </is>
      </c>
      <c r="G178" s="8" t="inlineStr">
        <is>
          <t>Data owner confirms</t>
        </is>
      </c>
      <c r="H178" s="25">
        <f>IFERROR(IF(INDEX('Faculties'!$Q$10:$Q$30,MATCH($F178,'Faculties'!$B$10:$B$30,0))="","Cell will autofill based on response",INDEX('Faculties'!$Q$10:$Q$30,MATCH($F178,'Faculties'!$B$10:$B$30,0))),"N/A")</f>
        <v/>
      </c>
      <c r="I178" s="25">
        <f>IFERROR(IF(INDEX('Faculties'!$Q$37:$Q$57,MATCH($F178,'Faculties'!$B$37:$B$57,0))="","Cell will autofill based on response",INDEX('Faculties'!$Q$37:$Q$57,MATCH($F178,'Faculties'!$B$37:$B$57,0))),"N/A")</f>
        <v/>
      </c>
      <c r="J178" s="25">
        <f>IFERROR(IF(INDEX('Faculties'!$Q$64:$Q$84,MATCH($F178,'Faculties'!$B$64:$B$84,0))="","Cell will autofill based on response",INDEX('Faculties'!$Q$64:$Q$84,MATCH($F178,'Faculties'!$B$64:$B$84,0))),"N/A")</f>
        <v/>
      </c>
      <c r="K178" s="25">
        <f>IFERROR(IF(INDEX('Faculties'!$Q$91:$Q$111,MATCH($F178,'Faculties'!$B$91:$B$111,0))="","Cell will autofill based on response",INDEX('Faculties'!$Q$91:$Q$111,MATCH($F178,'Faculties'!$B$91:$B$111,0))),"N/A")</f>
        <v/>
      </c>
      <c r="L178" s="25">
        <f>IFERROR(IF(INDEX('CI&amp;S'!$Q$10:$Q$15,MATCH($F178,'CI&amp;S'!$B$10:$B$15,0))="","Cell will autofill based on response",INDEX('CI&amp;S'!$Q$10:$Q$15,MATCH($F178,'CI&amp;S'!$B$10:$B$15,0))),"N/A")</f>
        <v/>
      </c>
      <c r="M178" s="25">
        <f>IFERROR(IF(INDEX('CI&amp;S'!$Q$22:$Q$39,MATCH($F178,'CI&amp;S'!$B$22:$B$39,0))="","Cell will autofill based on response",INDEX('CI&amp;S'!$Q$22:$Q$39,MATCH($F178,'CI&amp;S'!$B$22:$B$39,0))),"N/A")</f>
        <v/>
      </c>
      <c r="N178" s="25">
        <f>IFERROR(IF(INDEX('CFOG'!$Q$10:$Q$16,MATCH($F178,'CFOG'!$B$10:$B$16,0))="","Cell will autofill based on response",INDEX('CFOG'!$Q$10:$Q$16,MATCH($F178,'CFOG'!$B$10:$B$16,0))),"N/A")</f>
        <v/>
      </c>
      <c r="O178" s="25">
        <f>IFERROR(IF(INDEX('CFOG'!$Q$23:$Q$24,MATCH($F178,'CFOG'!$B$23:$B$24,0))="","Cell will autofill based on response",INDEX('CFOG'!$Q$23:$Q$24,MATCH($F178,'CFOG'!$B$23:$B$24,0))),"N/A")</f>
        <v/>
      </c>
      <c r="P178" s="25">
        <f>IFERROR(IF(INDEX('ESG'!$Q$10:$Q$17,MATCH($F178,'ESG'!$B$10:$B$17,0))="","Cell will autofill based on response",INDEX('ESG'!$Q$10:$Q$17,MATCH($F178,'ESG'!$B$10:$B$17,0))),"N/A")</f>
        <v/>
      </c>
      <c r="Q178" s="25">
        <f>IFERROR(IF(INDEX('CIOG'!$Q$10:$Q$14,MATCH($F178,'CIOG'!$B$10:$B$14,0))="","Cell will autofill based on response",INDEX('CIOG'!$Q$10:$Q$14,MATCH($F178,'CIOG'!$B$10:$B$14,0))),"N/A")</f>
        <v/>
      </c>
      <c r="R178" s="25">
        <f>IFERROR(IF(INDEX('MRE'!$Q$10:$Q$12,MATCH($F178,'MRE'!$B$10:$B$12,0))="","Cell will autofill based on response",INDEX('MRE'!$Q$10:$Q$12,MATCH($F178,'MRE'!$B$10:$B$12,0))),"N/A")</f>
        <v/>
      </c>
      <c r="S178" s="25">
        <f>IFERROR(IF(INDEX('L&amp;R'!$Q$10:$Q$11,MATCH($F178,'L&amp;R'!$B$10:$B$11,0))="","Cell will autofill based on response",INDEX('L&amp;R'!$Q$10:$Q$11,MATCH($F178,'L&amp;R'!$B$10:$B$11,0))),"N/A")</f>
        <v/>
      </c>
    </row>
    <row r="179">
      <c r="A179">
        <f>F179&amp;"|"&amp;G179</f>
        <v/>
      </c>
      <c r="B179" s="7" t="inlineStr">
        <is>
          <t>NB2(b)</t>
        </is>
      </c>
      <c r="C179" s="12" t="inlineStr">
        <is>
          <t>Nature and biodiversity</t>
        </is>
      </c>
      <c r="D179" s="12" t="inlineStr">
        <is>
          <t>Evidence of established framework to monitor and track supply-chain nature impacts over time</t>
        </is>
      </c>
      <c r="E179" s="12" t="inlineStr">
        <is>
          <t>Please describe the framework established to monitor and track supply-chain impacts on nature over time, could include metrics, data sources, governance/ownership, reporting frequency and current implementation status.</t>
        </is>
      </c>
      <c r="F179" s="12" t="inlineStr">
        <is>
          <t>NB2(b)</t>
        </is>
      </c>
      <c r="G179" s="12" t="inlineStr">
        <is>
          <t>Confirm end-2026 target status</t>
        </is>
      </c>
      <c r="H179" s="25">
        <f>IFERROR(IF(INDEX('Faculties'!$L$10:$L$30,MATCH($F179,'Faculties'!$B$10:$B$30,0))="","Cell will autofill based on response",INDEX('Faculties'!$L$10:$L$30,MATCH($F179,'Faculties'!$B$10:$B$30,0))),"N/A")</f>
        <v/>
      </c>
      <c r="I179" s="25">
        <f>IFERROR(IF(INDEX('Faculties'!$L$37:$L$57,MATCH($F179,'Faculties'!$B$37:$B$57,0))="","Cell will autofill based on response",INDEX('Faculties'!$L$37:$L$57,MATCH($F179,'Faculties'!$B$37:$B$57,0))),"N/A")</f>
        <v/>
      </c>
      <c r="J179" s="25">
        <f>IFERROR(IF(INDEX('Faculties'!$L$64:$L$84,MATCH($F179,'Faculties'!$B$64:$B$84,0))="","Cell will autofill based on response",INDEX('Faculties'!$L$64:$L$84,MATCH($F179,'Faculties'!$B$64:$B$84,0))),"N/A")</f>
        <v/>
      </c>
      <c r="K179" s="25">
        <f>IFERROR(IF(INDEX('Faculties'!$L$91:$L$111,MATCH($F179,'Faculties'!$B$91:$B$111,0))="","Cell will autofill based on response",INDEX('Faculties'!$L$91:$L$111,MATCH($F179,'Faculties'!$B$91:$B$111,0))),"N/A")</f>
        <v/>
      </c>
      <c r="L179" s="25">
        <f>IFERROR(IF(INDEX('CI&amp;S'!$L$10:$L$15,MATCH($F179,'CI&amp;S'!$B$10:$B$15,0))="","Cell will autofill based on response",INDEX('CI&amp;S'!$L$10:$L$15,MATCH($F179,'CI&amp;S'!$B$10:$B$15,0))),"N/A")</f>
        <v/>
      </c>
      <c r="M179" s="25">
        <f>IFERROR(IF(INDEX('CI&amp;S'!$L$22:$L$39,MATCH($F179,'CI&amp;S'!$B$22:$B$39,0))="","Cell will autofill based on response",INDEX('CI&amp;S'!$L$22:$L$39,MATCH($F179,'CI&amp;S'!$B$22:$B$39,0))),"N/A")</f>
        <v/>
      </c>
      <c r="N179" s="25">
        <f>IFERROR(IF(INDEX('CFOG'!$L$10:$L$16,MATCH($F179,'CFOG'!$B$10:$B$16,0))="","Cell will autofill based on response",INDEX('CFOG'!$L$10:$L$16,MATCH($F179,'CFOG'!$B$10:$B$16,0))),"N/A")</f>
        <v/>
      </c>
      <c r="O179" s="25">
        <f>IFERROR(IF(INDEX('CFOG'!$L$23:$L$24,MATCH($F179,'CFOG'!$B$23:$B$24,0))="","Cell will autofill based on response",INDEX('CFOG'!$L$23:$L$24,MATCH($F179,'CFOG'!$B$23:$B$24,0))),"N/A")</f>
        <v/>
      </c>
      <c r="P179" s="25">
        <f>IFERROR(IF(INDEX('ESG'!$L$10:$L$17,MATCH($F179,'ESG'!$B$10:$B$17,0))="","Cell will autofill based on response",INDEX('ESG'!$L$10:$L$17,MATCH($F179,'ESG'!$B$10:$B$17,0))),"N/A")</f>
        <v/>
      </c>
      <c r="Q179" s="25">
        <f>IFERROR(IF(INDEX('CIOG'!$L$10:$L$14,MATCH($F179,'CIOG'!$B$10:$B$14,0))="","Cell will autofill based on response",INDEX('CIOG'!$L$10:$L$14,MATCH($F179,'CIOG'!$B$10:$B$14,0))),"N/A")</f>
        <v/>
      </c>
      <c r="R179" s="25">
        <f>IFERROR(IF(INDEX('MRE'!$L$10:$L$12,MATCH($F179,'MRE'!$B$10:$B$12,0))="","Cell will autofill based on response",INDEX('MRE'!$L$10:$L$12,MATCH($F179,'MRE'!$B$10:$B$12,0))),"N/A")</f>
        <v/>
      </c>
      <c r="S179" s="25">
        <f>IFERROR(IF(INDEX('L&amp;R'!$L$10:$L$11,MATCH($F179,'L&amp;R'!$B$10:$B$11,0))="","Cell will autofill based on response",INDEX('L&amp;R'!$L$10:$L$11,MATCH($F179,'L&amp;R'!$B$10:$B$11,0))),"N/A")</f>
        <v/>
      </c>
      <c r="U179" s="26">
        <f>COUNTIF($H179:$S179,"Cell will autofill based on response")</f>
        <v/>
      </c>
      <c r="V179" s="26">
        <f>COUNTIF($H179:$S179,"Not yet started")</f>
        <v/>
      </c>
      <c r="W179" s="26">
        <f>COUNTIF($H179:$S179,"Not met")</f>
        <v/>
      </c>
      <c r="X179" s="26">
        <f>COUNTIF($H179:$S179,"Partially met")</f>
        <v/>
      </c>
      <c r="Y179" s="26">
        <f>COUNTIF($H179:$S179,"Met or exceeded")</f>
        <v/>
      </c>
      <c r="Z179" s="26">
        <f>3*Y179+2*X179+W179</f>
        <v/>
      </c>
      <c r="AA179" s="26">
        <f>Y179+X179+W179+V179</f>
        <v/>
      </c>
      <c r="AB179" s="27">
        <f>IF(AA179&gt;0,Z179/AA179,"No valid responses to date")</f>
        <v/>
      </c>
      <c r="AC179" s="26">
        <f>IF(ISNUMBER(AB179),INDEX(Lists!$G$2:$G$5,MATCH(ROUND(AB179,0),Lists!$H$2:$H$5,0)),"")</f>
        <v/>
      </c>
      <c r="AD179" s="28">
        <f>IF(AA179&gt;0,Y179/AA179,"")</f>
        <v/>
      </c>
      <c r="AE179" s="28">
        <f>IF(AA179&gt;0,(Y179+X179)/AA179,"")</f>
        <v/>
      </c>
      <c r="AF179" s="26">
        <f>IF(AA179=0,"",IF(AD179&gt;0.75,"Met or exceeded",IF(AE179&gt;=0.5,"Partially met","Not met")))</f>
        <v/>
      </c>
    </row>
    <row r="180">
      <c r="A180">
        <f>F180&amp;"|"&amp;G180</f>
        <v/>
      </c>
      <c r="B180" s="29" t="inlineStr"/>
      <c r="C180" s="8" t="inlineStr"/>
      <c r="D180" s="8" t="inlineStr"/>
      <c r="E180" s="8" t="inlineStr"/>
      <c r="F180" s="8" t="inlineStr">
        <is>
          <t>NB2(b)</t>
        </is>
      </c>
      <c r="G180" s="8" t="inlineStr">
        <is>
          <t>OPTION 1:  Target-level reporting</t>
        </is>
      </c>
      <c r="H180" s="25">
        <f>IFERROR(IF(INDEX('Faculties'!$M$10:$M$30,MATCH($F180,'Faculties'!$B$10:$B$30,0))="","Cell will autofill based on response",INDEX('Faculties'!$M$10:$M$30,MATCH($F180,'Faculties'!$B$10:$B$30,0))),"N/A")</f>
        <v/>
      </c>
      <c r="I180" s="25">
        <f>IFERROR(IF(INDEX('Faculties'!$M$37:$M$57,MATCH($F180,'Faculties'!$B$37:$B$57,0))="","Cell will autofill based on response",INDEX('Faculties'!$M$37:$M$57,MATCH($F180,'Faculties'!$B$37:$B$57,0))),"N/A")</f>
        <v/>
      </c>
      <c r="J180" s="25">
        <f>IFERROR(IF(INDEX('Faculties'!$M$64:$M$84,MATCH($F180,'Faculties'!$B$64:$B$84,0))="","Cell will autofill based on response",INDEX('Faculties'!$M$64:$M$84,MATCH($F180,'Faculties'!$B$64:$B$84,0))),"N/A")</f>
        <v/>
      </c>
      <c r="K180" s="25">
        <f>IFERROR(IF(INDEX('Faculties'!$M$91:$M$111,MATCH($F180,'Faculties'!$B$91:$B$111,0))="","Cell will autofill based on response",INDEX('Faculties'!$M$91:$M$111,MATCH($F180,'Faculties'!$B$91:$B$111,0))),"N/A")</f>
        <v/>
      </c>
      <c r="L180" s="25">
        <f>IFERROR(IF(INDEX('CI&amp;S'!$M$10:$M$15,MATCH($F180,'CI&amp;S'!$B$10:$B$15,0))="","Cell will autofill based on response",INDEX('CI&amp;S'!$M$10:$M$15,MATCH($F180,'CI&amp;S'!$B$10:$B$15,0))),"N/A")</f>
        <v/>
      </c>
      <c r="M180" s="25">
        <f>IFERROR(IF(INDEX('CI&amp;S'!$M$22:$M$39,MATCH($F180,'CI&amp;S'!$B$22:$B$39,0))="","Cell will autofill based on response",INDEX('CI&amp;S'!$M$22:$M$39,MATCH($F180,'CI&amp;S'!$B$22:$B$39,0))),"N/A")</f>
        <v/>
      </c>
      <c r="N180" s="25">
        <f>IFERROR(IF(INDEX('CFOG'!$M$10:$M$16,MATCH($F180,'CFOG'!$B$10:$B$16,0))="","Cell will autofill based on response",INDEX('CFOG'!$M$10:$M$16,MATCH($F180,'CFOG'!$B$10:$B$16,0))),"N/A")</f>
        <v/>
      </c>
      <c r="O180" s="25">
        <f>IFERROR(IF(INDEX('CFOG'!$M$23:$M$24,MATCH($F180,'CFOG'!$B$23:$B$24,0))="","Cell will autofill based on response",INDEX('CFOG'!$M$23:$M$24,MATCH($F180,'CFOG'!$B$23:$B$24,0))),"N/A")</f>
        <v/>
      </c>
      <c r="P180" s="25">
        <f>IFERROR(IF(INDEX('ESG'!$M$10:$M$17,MATCH($F180,'ESG'!$B$10:$B$17,0))="","Cell will autofill based on response",INDEX('ESG'!$M$10:$M$17,MATCH($F180,'ESG'!$B$10:$B$17,0))),"N/A")</f>
        <v/>
      </c>
      <c r="Q180" s="25">
        <f>IFERROR(IF(INDEX('CIOG'!$M$10:$M$14,MATCH($F180,'CIOG'!$B$10:$B$14,0))="","Cell will autofill based on response",INDEX('CIOG'!$M$10:$M$14,MATCH($F180,'CIOG'!$B$10:$B$14,0))),"N/A")</f>
        <v/>
      </c>
      <c r="R180" s="25">
        <f>IFERROR(IF(INDEX('MRE'!$M$10:$M$12,MATCH($F180,'MRE'!$B$10:$B$12,0))="","Cell will autofill based on response",INDEX('MRE'!$M$10:$M$12,MATCH($F180,'MRE'!$B$10:$B$12,0))),"N/A")</f>
        <v/>
      </c>
      <c r="S180" s="25">
        <f>IFERROR(IF(INDEX('L&amp;R'!$M$10:$M$11,MATCH($F180,'L&amp;R'!$B$10:$B$11,0))="","Cell will autofill based on response",INDEX('L&amp;R'!$M$10:$M$11,MATCH($F180,'L&amp;R'!$B$10:$B$11,0))),"N/A")</f>
        <v/>
      </c>
    </row>
    <row r="181">
      <c r="A181">
        <f>F181&amp;"|"&amp;G181</f>
        <v/>
      </c>
      <c r="B181" s="29" t="inlineStr"/>
      <c r="C181" s="8" t="inlineStr"/>
      <c r="D181" s="8" t="inlineStr"/>
      <c r="E181" s="8" t="inlineStr"/>
      <c r="F181" s="8" t="inlineStr">
        <is>
          <t>NB2(b)</t>
        </is>
      </c>
      <c r="G181" s="8" t="inlineStr">
        <is>
          <t>OPTION 2:  Indicator level reporting</t>
        </is>
      </c>
      <c r="H181" s="25">
        <f>IFERROR(IF(INDEX('Faculties'!$N$10:$N$30,MATCH($F181,'Faculties'!$B$10:$B$30,0))="","Cell will autofill based on response",INDEX('Faculties'!$N$10:$N$30,MATCH($F181,'Faculties'!$B$10:$B$30,0))),"N/A")</f>
        <v/>
      </c>
      <c r="I181" s="25">
        <f>IFERROR(IF(INDEX('Faculties'!$N$37:$N$57,MATCH($F181,'Faculties'!$B$37:$B$57,0))="","Cell will autofill based on response",INDEX('Faculties'!$N$37:$N$57,MATCH($F181,'Faculties'!$B$37:$B$57,0))),"N/A")</f>
        <v/>
      </c>
      <c r="J181" s="25">
        <f>IFERROR(IF(INDEX('Faculties'!$N$64:$N$84,MATCH($F181,'Faculties'!$B$64:$B$84,0))="","Cell will autofill based on response",INDEX('Faculties'!$N$64:$N$84,MATCH($F181,'Faculties'!$B$64:$B$84,0))),"N/A")</f>
        <v/>
      </c>
      <c r="K181" s="25">
        <f>IFERROR(IF(INDEX('Faculties'!$N$91:$N$111,MATCH($F181,'Faculties'!$B$91:$B$111,0))="","Cell will autofill based on response",INDEX('Faculties'!$N$91:$N$111,MATCH($F181,'Faculties'!$B$91:$B$111,0))),"N/A")</f>
        <v/>
      </c>
      <c r="L181" s="25">
        <f>IFERROR(IF(INDEX('CI&amp;S'!$N$10:$N$15,MATCH($F181,'CI&amp;S'!$B$10:$B$15,0))="","Cell will autofill based on response",INDEX('CI&amp;S'!$N$10:$N$15,MATCH($F181,'CI&amp;S'!$B$10:$B$15,0))),"N/A")</f>
        <v/>
      </c>
      <c r="M181" s="25">
        <f>IFERROR(IF(INDEX('CI&amp;S'!$N$22:$N$39,MATCH($F181,'CI&amp;S'!$B$22:$B$39,0))="","Cell will autofill based on response",INDEX('CI&amp;S'!$N$22:$N$39,MATCH($F181,'CI&amp;S'!$B$22:$B$39,0))),"N/A")</f>
        <v/>
      </c>
      <c r="N181" s="25">
        <f>IFERROR(IF(INDEX('CFOG'!$N$10:$N$16,MATCH($F181,'CFOG'!$B$10:$B$16,0))="","Cell will autofill based on response",INDEX('CFOG'!$N$10:$N$16,MATCH($F181,'CFOG'!$B$10:$B$16,0))),"N/A")</f>
        <v/>
      </c>
      <c r="O181" s="25">
        <f>IFERROR(IF(INDEX('CFOG'!$N$23:$N$24,MATCH($F181,'CFOG'!$B$23:$B$24,0))="","Cell will autofill based on response",INDEX('CFOG'!$N$23:$N$24,MATCH($F181,'CFOG'!$B$23:$B$24,0))),"N/A")</f>
        <v/>
      </c>
      <c r="P181" s="25">
        <f>IFERROR(IF(INDEX('ESG'!$N$10:$N$17,MATCH($F181,'ESG'!$B$10:$B$17,0))="","Cell will autofill based on response",INDEX('ESG'!$N$10:$N$17,MATCH($F181,'ESG'!$B$10:$B$17,0))),"N/A")</f>
        <v/>
      </c>
      <c r="Q181" s="25">
        <f>IFERROR(IF(INDEX('CIOG'!$N$10:$N$14,MATCH($F181,'CIOG'!$B$10:$B$14,0))="","Cell will autofill based on response",INDEX('CIOG'!$N$10:$N$14,MATCH($F181,'CIOG'!$B$10:$B$14,0))),"N/A")</f>
        <v/>
      </c>
      <c r="R181" s="25">
        <f>IFERROR(IF(INDEX('MRE'!$N$10:$N$12,MATCH($F181,'MRE'!$B$10:$B$12,0))="","Cell will autofill based on response",INDEX('MRE'!$N$10:$N$12,MATCH($F181,'MRE'!$B$10:$B$12,0))),"N/A")</f>
        <v/>
      </c>
      <c r="S181" s="25">
        <f>IFERROR(IF(INDEX('L&amp;R'!$N$10:$N$11,MATCH($F181,'L&amp;R'!$B$10:$B$11,0))="","Cell will autofill based on response",INDEX('L&amp;R'!$N$10:$N$11,MATCH($F181,'L&amp;R'!$B$10:$B$11,0))),"N/A")</f>
        <v/>
      </c>
    </row>
    <row r="182">
      <c r="A182">
        <f>F182&amp;"|"&amp;G182</f>
        <v/>
      </c>
      <c r="B182" s="29" t="inlineStr"/>
      <c r="C182" s="8" t="inlineStr"/>
      <c r="D182" s="8" t="inlineStr"/>
      <c r="E182" s="8" t="inlineStr"/>
      <c r="F182" s="8" t="inlineStr">
        <is>
          <t>NB2(b)</t>
        </is>
      </c>
      <c r="G182" s="8" t="inlineStr">
        <is>
          <t>Supporting information/comments</t>
        </is>
      </c>
      <c r="H182" s="25">
        <f>IFERROR(IF(INDEX('Faculties'!$O$10:$O$30,MATCH($F182,'Faculties'!$B$10:$B$30,0))="","Cell will autofill based on response",INDEX('Faculties'!$O$10:$O$30,MATCH($F182,'Faculties'!$B$10:$B$30,0))),"N/A")</f>
        <v/>
      </c>
      <c r="I182" s="25">
        <f>IFERROR(IF(INDEX('Faculties'!$O$37:$O$57,MATCH($F182,'Faculties'!$B$37:$B$57,0))="","Cell will autofill based on response",INDEX('Faculties'!$O$37:$O$57,MATCH($F182,'Faculties'!$B$37:$B$57,0))),"N/A")</f>
        <v/>
      </c>
      <c r="J182" s="25">
        <f>IFERROR(IF(INDEX('Faculties'!$O$64:$O$84,MATCH($F182,'Faculties'!$B$64:$B$84,0))="","Cell will autofill based on response",INDEX('Faculties'!$O$64:$O$84,MATCH($F182,'Faculties'!$B$64:$B$84,0))),"N/A")</f>
        <v/>
      </c>
      <c r="K182" s="25">
        <f>IFERROR(IF(INDEX('Faculties'!$O$91:$O$111,MATCH($F182,'Faculties'!$B$91:$B$111,0))="","Cell will autofill based on response",INDEX('Faculties'!$O$91:$O$111,MATCH($F182,'Faculties'!$B$91:$B$111,0))),"N/A")</f>
        <v/>
      </c>
      <c r="L182" s="25">
        <f>IFERROR(IF(INDEX('CI&amp;S'!$O$10:$O$15,MATCH($F182,'CI&amp;S'!$B$10:$B$15,0))="","Cell will autofill based on response",INDEX('CI&amp;S'!$O$10:$O$15,MATCH($F182,'CI&amp;S'!$B$10:$B$15,0))),"N/A")</f>
        <v/>
      </c>
      <c r="M182" s="25">
        <f>IFERROR(IF(INDEX('CI&amp;S'!$O$22:$O$39,MATCH($F182,'CI&amp;S'!$B$22:$B$39,0))="","Cell will autofill based on response",INDEX('CI&amp;S'!$O$22:$O$39,MATCH($F182,'CI&amp;S'!$B$22:$B$39,0))),"N/A")</f>
        <v/>
      </c>
      <c r="N182" s="25">
        <f>IFERROR(IF(INDEX('CFOG'!$O$10:$O$16,MATCH($F182,'CFOG'!$B$10:$B$16,0))="","Cell will autofill based on response",INDEX('CFOG'!$O$10:$O$16,MATCH($F182,'CFOG'!$B$10:$B$16,0))),"N/A")</f>
        <v/>
      </c>
      <c r="O182" s="25">
        <f>IFERROR(IF(INDEX('CFOG'!$O$23:$O$24,MATCH($F182,'CFOG'!$B$23:$B$24,0))="","Cell will autofill based on response",INDEX('CFOG'!$O$23:$O$24,MATCH($F182,'CFOG'!$B$23:$B$24,0))),"N/A")</f>
        <v/>
      </c>
      <c r="P182" s="25">
        <f>IFERROR(IF(INDEX('ESG'!$O$10:$O$17,MATCH($F182,'ESG'!$B$10:$B$17,0))="","Cell will autofill based on response",INDEX('ESG'!$O$10:$O$17,MATCH($F182,'ESG'!$B$10:$B$17,0))),"N/A")</f>
        <v/>
      </c>
      <c r="Q182" s="25">
        <f>IFERROR(IF(INDEX('CIOG'!$O$10:$O$14,MATCH($F182,'CIOG'!$B$10:$B$14,0))="","Cell will autofill based on response",INDEX('CIOG'!$O$10:$O$14,MATCH($F182,'CIOG'!$B$10:$B$14,0))),"N/A")</f>
        <v/>
      </c>
      <c r="R182" s="25">
        <f>IFERROR(IF(INDEX('MRE'!$O$10:$O$12,MATCH($F182,'MRE'!$B$10:$B$12,0))="","Cell will autofill based on response",INDEX('MRE'!$O$10:$O$12,MATCH($F182,'MRE'!$B$10:$B$12,0))),"N/A")</f>
        <v/>
      </c>
      <c r="S182" s="25">
        <f>IFERROR(IF(INDEX('L&amp;R'!$O$10:$O$11,MATCH($F182,'L&amp;R'!$B$10:$B$11,0))="","Cell will autofill based on response",INDEX('L&amp;R'!$O$10:$O$11,MATCH($F182,'L&amp;R'!$B$10:$B$11,0))),"N/A")</f>
        <v/>
      </c>
    </row>
    <row r="183">
      <c r="A183">
        <f>F183&amp;"|"&amp;G183</f>
        <v/>
      </c>
      <c r="B183" s="29" t="inlineStr"/>
      <c r="C183" s="8" t="inlineStr"/>
      <c r="D183" s="8" t="inlineStr"/>
      <c r="E183" s="8" t="inlineStr"/>
      <c r="F183" s="8" t="inlineStr">
        <is>
          <t>NB2(b)</t>
        </is>
      </c>
      <c r="G183" s="8" t="inlineStr">
        <is>
          <t>Data source and limitations</t>
        </is>
      </c>
      <c r="H183" s="25">
        <f>IFERROR(IF(INDEX('Faculties'!$P$10:$P$30,MATCH($F183,'Faculties'!$B$10:$B$30,0))="","Cell will autofill based on response",INDEX('Faculties'!$P$10:$P$30,MATCH($F183,'Faculties'!$B$10:$B$30,0))),"N/A")</f>
        <v/>
      </c>
      <c r="I183" s="25">
        <f>IFERROR(IF(INDEX('Faculties'!$P$37:$P$57,MATCH($F183,'Faculties'!$B$37:$B$57,0))="","Cell will autofill based on response",INDEX('Faculties'!$P$37:$P$57,MATCH($F183,'Faculties'!$B$37:$B$57,0))),"N/A")</f>
        <v/>
      </c>
      <c r="J183" s="25">
        <f>IFERROR(IF(INDEX('Faculties'!$P$64:$P$84,MATCH($F183,'Faculties'!$B$64:$B$84,0))="","Cell will autofill based on response",INDEX('Faculties'!$P$64:$P$84,MATCH($F183,'Faculties'!$B$64:$B$84,0))),"N/A")</f>
        <v/>
      </c>
      <c r="K183" s="25">
        <f>IFERROR(IF(INDEX('Faculties'!$P$91:$P$111,MATCH($F183,'Faculties'!$B$91:$B$111,0))="","Cell will autofill based on response",INDEX('Faculties'!$P$91:$P$111,MATCH($F183,'Faculties'!$B$91:$B$111,0))),"N/A")</f>
        <v/>
      </c>
      <c r="L183" s="25">
        <f>IFERROR(IF(INDEX('CI&amp;S'!$P$10:$P$15,MATCH($F183,'CI&amp;S'!$B$10:$B$15,0))="","Cell will autofill based on response",INDEX('CI&amp;S'!$P$10:$P$15,MATCH($F183,'CI&amp;S'!$B$10:$B$15,0))),"N/A")</f>
        <v/>
      </c>
      <c r="M183" s="25">
        <f>IFERROR(IF(INDEX('CI&amp;S'!$P$22:$P$39,MATCH($F183,'CI&amp;S'!$B$22:$B$39,0))="","Cell will autofill based on response",INDEX('CI&amp;S'!$P$22:$P$39,MATCH($F183,'CI&amp;S'!$B$22:$B$39,0))),"N/A")</f>
        <v/>
      </c>
      <c r="N183" s="25">
        <f>IFERROR(IF(INDEX('CFOG'!$P$10:$P$16,MATCH($F183,'CFOG'!$B$10:$B$16,0))="","Cell will autofill based on response",INDEX('CFOG'!$P$10:$P$16,MATCH($F183,'CFOG'!$B$10:$B$16,0))),"N/A")</f>
        <v/>
      </c>
      <c r="O183" s="25">
        <f>IFERROR(IF(INDEX('CFOG'!$P$23:$P$24,MATCH($F183,'CFOG'!$B$23:$B$24,0))="","Cell will autofill based on response",INDEX('CFOG'!$P$23:$P$24,MATCH($F183,'CFOG'!$B$23:$B$24,0))),"N/A")</f>
        <v/>
      </c>
      <c r="P183" s="25">
        <f>IFERROR(IF(INDEX('ESG'!$P$10:$P$17,MATCH($F183,'ESG'!$B$10:$B$17,0))="","Cell will autofill based on response",INDEX('ESG'!$P$10:$P$17,MATCH($F183,'ESG'!$B$10:$B$17,0))),"N/A")</f>
        <v/>
      </c>
      <c r="Q183" s="25">
        <f>IFERROR(IF(INDEX('CIOG'!$P$10:$P$14,MATCH($F183,'CIOG'!$B$10:$B$14,0))="","Cell will autofill based on response",INDEX('CIOG'!$P$10:$P$14,MATCH($F183,'CIOG'!$B$10:$B$14,0))),"N/A")</f>
        <v/>
      </c>
      <c r="R183" s="25">
        <f>IFERROR(IF(INDEX('MRE'!$P$10:$P$12,MATCH($F183,'MRE'!$B$10:$B$12,0))="","Cell will autofill based on response",INDEX('MRE'!$P$10:$P$12,MATCH($F183,'MRE'!$B$10:$B$12,0))),"N/A")</f>
        <v/>
      </c>
      <c r="S183" s="25">
        <f>IFERROR(IF(INDEX('L&amp;R'!$P$10:$P$11,MATCH($F183,'L&amp;R'!$B$10:$B$11,0))="","Cell will autofill based on response",INDEX('L&amp;R'!$P$10:$P$11,MATCH($F183,'L&amp;R'!$B$10:$B$11,0))),"N/A")</f>
        <v/>
      </c>
    </row>
    <row r="184">
      <c r="A184">
        <f>F184&amp;"|"&amp;G184</f>
        <v/>
      </c>
      <c r="B184" s="29" t="inlineStr"/>
      <c r="C184" s="8" t="inlineStr"/>
      <c r="D184" s="8" t="inlineStr"/>
      <c r="E184" s="8" t="inlineStr"/>
      <c r="F184" s="8" t="inlineStr">
        <is>
          <t>NB2(b)</t>
        </is>
      </c>
      <c r="G184" s="8" t="inlineStr">
        <is>
          <t>Data owner confirms</t>
        </is>
      </c>
      <c r="H184" s="25">
        <f>IFERROR(IF(INDEX('Faculties'!$Q$10:$Q$30,MATCH($F184,'Faculties'!$B$10:$B$30,0))="","Cell will autofill based on response",INDEX('Faculties'!$Q$10:$Q$30,MATCH($F184,'Faculties'!$B$10:$B$30,0))),"N/A")</f>
        <v/>
      </c>
      <c r="I184" s="25">
        <f>IFERROR(IF(INDEX('Faculties'!$Q$37:$Q$57,MATCH($F184,'Faculties'!$B$37:$B$57,0))="","Cell will autofill based on response",INDEX('Faculties'!$Q$37:$Q$57,MATCH($F184,'Faculties'!$B$37:$B$57,0))),"N/A")</f>
        <v/>
      </c>
      <c r="J184" s="25">
        <f>IFERROR(IF(INDEX('Faculties'!$Q$64:$Q$84,MATCH($F184,'Faculties'!$B$64:$B$84,0))="","Cell will autofill based on response",INDEX('Faculties'!$Q$64:$Q$84,MATCH($F184,'Faculties'!$B$64:$B$84,0))),"N/A")</f>
        <v/>
      </c>
      <c r="K184" s="25">
        <f>IFERROR(IF(INDEX('Faculties'!$Q$91:$Q$111,MATCH($F184,'Faculties'!$B$91:$B$111,0))="","Cell will autofill based on response",INDEX('Faculties'!$Q$91:$Q$111,MATCH($F184,'Faculties'!$B$91:$B$111,0))),"N/A")</f>
        <v/>
      </c>
      <c r="L184" s="25">
        <f>IFERROR(IF(INDEX('CI&amp;S'!$Q$10:$Q$15,MATCH($F184,'CI&amp;S'!$B$10:$B$15,0))="","Cell will autofill based on response",INDEX('CI&amp;S'!$Q$10:$Q$15,MATCH($F184,'CI&amp;S'!$B$10:$B$15,0))),"N/A")</f>
        <v/>
      </c>
      <c r="M184" s="25">
        <f>IFERROR(IF(INDEX('CI&amp;S'!$Q$22:$Q$39,MATCH($F184,'CI&amp;S'!$B$22:$B$39,0))="","Cell will autofill based on response",INDEX('CI&amp;S'!$Q$22:$Q$39,MATCH($F184,'CI&amp;S'!$B$22:$B$39,0))),"N/A")</f>
        <v/>
      </c>
      <c r="N184" s="25">
        <f>IFERROR(IF(INDEX('CFOG'!$Q$10:$Q$16,MATCH($F184,'CFOG'!$B$10:$B$16,0))="","Cell will autofill based on response",INDEX('CFOG'!$Q$10:$Q$16,MATCH($F184,'CFOG'!$B$10:$B$16,0))),"N/A")</f>
        <v/>
      </c>
      <c r="O184" s="25">
        <f>IFERROR(IF(INDEX('CFOG'!$Q$23:$Q$24,MATCH($F184,'CFOG'!$B$23:$B$24,0))="","Cell will autofill based on response",INDEX('CFOG'!$Q$23:$Q$24,MATCH($F184,'CFOG'!$B$23:$B$24,0))),"N/A")</f>
        <v/>
      </c>
      <c r="P184" s="25">
        <f>IFERROR(IF(INDEX('ESG'!$Q$10:$Q$17,MATCH($F184,'ESG'!$B$10:$B$17,0))="","Cell will autofill based on response",INDEX('ESG'!$Q$10:$Q$17,MATCH($F184,'ESG'!$B$10:$B$17,0))),"N/A")</f>
        <v/>
      </c>
      <c r="Q184" s="25">
        <f>IFERROR(IF(INDEX('CIOG'!$Q$10:$Q$14,MATCH($F184,'CIOG'!$B$10:$B$14,0))="","Cell will autofill based on response",INDEX('CIOG'!$Q$10:$Q$14,MATCH($F184,'CIOG'!$B$10:$B$14,0))),"N/A")</f>
        <v/>
      </c>
      <c r="R184" s="25">
        <f>IFERROR(IF(INDEX('MRE'!$Q$10:$Q$12,MATCH($F184,'MRE'!$B$10:$B$12,0))="","Cell will autofill based on response",INDEX('MRE'!$Q$10:$Q$12,MATCH($F184,'MRE'!$B$10:$B$12,0))),"N/A")</f>
        <v/>
      </c>
      <c r="S184" s="25">
        <f>IFERROR(IF(INDEX('L&amp;R'!$Q$10:$Q$11,MATCH($F184,'L&amp;R'!$B$10:$B$11,0))="","Cell will autofill based on response",INDEX('L&amp;R'!$Q$10:$Q$11,MATCH($F184,'L&amp;R'!$B$10:$B$11,0))),"N/A")</f>
        <v/>
      </c>
    </row>
    <row r="185">
      <c r="A185">
        <f>F185&amp;"|"&amp;G185</f>
        <v/>
      </c>
      <c r="B185" s="7" t="inlineStr">
        <is>
          <t>NB2(c)</t>
        </is>
      </c>
      <c r="C185" s="12" t="inlineStr">
        <is>
          <t>Nature and biodiversity</t>
        </is>
      </c>
      <c r="D185" s="12" t="inlineStr">
        <is>
          <t>Evidence of prioritised high risk procurement categories or suppliers for nature impact management</t>
        </is>
      </c>
      <c r="E185" s="12" t="inlineStr">
        <is>
          <t>Please provide the prioritised high-risk procurement categories and/or suppliers identified for nature-impact management, could include the basis for prioritisation and any risk-management, engagement or mitigation actions undertaken or planned.</t>
        </is>
      </c>
      <c r="F185" s="12" t="inlineStr">
        <is>
          <t>NB2(c)</t>
        </is>
      </c>
      <c r="G185" s="12" t="inlineStr">
        <is>
          <t>Confirm end-2026 target status</t>
        </is>
      </c>
      <c r="H185" s="25">
        <f>IFERROR(IF(INDEX('Faculties'!$L$10:$L$30,MATCH($F185,'Faculties'!$B$10:$B$30,0))="","Cell will autofill based on response",INDEX('Faculties'!$L$10:$L$30,MATCH($F185,'Faculties'!$B$10:$B$30,0))),"N/A")</f>
        <v/>
      </c>
      <c r="I185" s="25">
        <f>IFERROR(IF(INDEX('Faculties'!$L$37:$L$57,MATCH($F185,'Faculties'!$B$37:$B$57,0))="","Cell will autofill based on response",INDEX('Faculties'!$L$37:$L$57,MATCH($F185,'Faculties'!$B$37:$B$57,0))),"N/A")</f>
        <v/>
      </c>
      <c r="J185" s="25">
        <f>IFERROR(IF(INDEX('Faculties'!$L$64:$L$84,MATCH($F185,'Faculties'!$B$64:$B$84,0))="","Cell will autofill based on response",INDEX('Faculties'!$L$64:$L$84,MATCH($F185,'Faculties'!$B$64:$B$84,0))),"N/A")</f>
        <v/>
      </c>
      <c r="K185" s="25">
        <f>IFERROR(IF(INDEX('Faculties'!$L$91:$L$111,MATCH($F185,'Faculties'!$B$91:$B$111,0))="","Cell will autofill based on response",INDEX('Faculties'!$L$91:$L$111,MATCH($F185,'Faculties'!$B$91:$B$111,0))),"N/A")</f>
        <v/>
      </c>
      <c r="L185" s="25">
        <f>IFERROR(IF(INDEX('CI&amp;S'!$L$10:$L$15,MATCH($F185,'CI&amp;S'!$B$10:$B$15,0))="","Cell will autofill based on response",INDEX('CI&amp;S'!$L$10:$L$15,MATCH($F185,'CI&amp;S'!$B$10:$B$15,0))),"N/A")</f>
        <v/>
      </c>
      <c r="M185" s="25">
        <f>IFERROR(IF(INDEX('CI&amp;S'!$L$22:$L$39,MATCH($F185,'CI&amp;S'!$B$22:$B$39,0))="","Cell will autofill based on response",INDEX('CI&amp;S'!$L$22:$L$39,MATCH($F185,'CI&amp;S'!$B$22:$B$39,0))),"N/A")</f>
        <v/>
      </c>
      <c r="N185" s="25">
        <f>IFERROR(IF(INDEX('CFOG'!$L$10:$L$16,MATCH($F185,'CFOG'!$B$10:$B$16,0))="","Cell will autofill based on response",INDEX('CFOG'!$L$10:$L$16,MATCH($F185,'CFOG'!$B$10:$B$16,0))),"N/A")</f>
        <v/>
      </c>
      <c r="O185" s="25">
        <f>IFERROR(IF(INDEX('CFOG'!$L$23:$L$24,MATCH($F185,'CFOG'!$B$23:$B$24,0))="","Cell will autofill based on response",INDEX('CFOG'!$L$23:$L$24,MATCH($F185,'CFOG'!$B$23:$B$24,0))),"N/A")</f>
        <v/>
      </c>
      <c r="P185" s="25">
        <f>IFERROR(IF(INDEX('ESG'!$L$10:$L$17,MATCH($F185,'ESG'!$B$10:$B$17,0))="","Cell will autofill based on response",INDEX('ESG'!$L$10:$L$17,MATCH($F185,'ESG'!$B$10:$B$17,0))),"N/A")</f>
        <v/>
      </c>
      <c r="Q185" s="25">
        <f>IFERROR(IF(INDEX('CIOG'!$L$10:$L$14,MATCH($F185,'CIOG'!$B$10:$B$14,0))="","Cell will autofill based on response",INDEX('CIOG'!$L$10:$L$14,MATCH($F185,'CIOG'!$B$10:$B$14,0))),"N/A")</f>
        <v/>
      </c>
      <c r="R185" s="25">
        <f>IFERROR(IF(INDEX('MRE'!$L$10:$L$12,MATCH($F185,'MRE'!$B$10:$B$12,0))="","Cell will autofill based on response",INDEX('MRE'!$L$10:$L$12,MATCH($F185,'MRE'!$B$10:$B$12,0))),"N/A")</f>
        <v/>
      </c>
      <c r="S185" s="25">
        <f>IFERROR(IF(INDEX('L&amp;R'!$L$10:$L$11,MATCH($F185,'L&amp;R'!$B$10:$B$11,0))="","Cell will autofill based on response",INDEX('L&amp;R'!$L$10:$L$11,MATCH($F185,'L&amp;R'!$B$10:$B$11,0))),"N/A")</f>
        <v/>
      </c>
      <c r="U185" s="26">
        <f>COUNTIF($H185:$S185,"Cell will autofill based on response")</f>
        <v/>
      </c>
      <c r="V185" s="26">
        <f>COUNTIF($H185:$S185,"Not yet started")</f>
        <v/>
      </c>
      <c r="W185" s="26">
        <f>COUNTIF($H185:$S185,"Not met")</f>
        <v/>
      </c>
      <c r="X185" s="26">
        <f>COUNTIF($H185:$S185,"Partially met")</f>
        <v/>
      </c>
      <c r="Y185" s="26">
        <f>COUNTIF($H185:$S185,"Met or exceeded")</f>
        <v/>
      </c>
      <c r="Z185" s="26">
        <f>3*Y185+2*X185+W185</f>
        <v/>
      </c>
      <c r="AA185" s="26">
        <f>Y185+X185+W185+V185</f>
        <v/>
      </c>
      <c r="AB185" s="27">
        <f>IF(AA185&gt;0,Z185/AA185,"No valid responses to date")</f>
        <v/>
      </c>
      <c r="AC185" s="26">
        <f>IF(ISNUMBER(AB185),INDEX(Lists!$G$2:$G$5,MATCH(ROUND(AB185,0),Lists!$H$2:$H$5,0)),"")</f>
        <v/>
      </c>
      <c r="AD185" s="28">
        <f>IF(AA185&gt;0,Y185/AA185,"")</f>
        <v/>
      </c>
      <c r="AE185" s="28">
        <f>IF(AA185&gt;0,(Y185+X185)/AA185,"")</f>
        <v/>
      </c>
      <c r="AF185" s="26">
        <f>IF(AA185=0,"",IF(AD185&gt;0.75,"Met or exceeded",IF(AE185&gt;=0.5,"Partially met","Not met")))</f>
        <v/>
      </c>
    </row>
    <row r="186">
      <c r="A186">
        <f>F186&amp;"|"&amp;G186</f>
        <v/>
      </c>
      <c r="B186" s="29" t="inlineStr"/>
      <c r="C186" s="8" t="inlineStr"/>
      <c r="D186" s="8" t="inlineStr"/>
      <c r="E186" s="8" t="inlineStr"/>
      <c r="F186" s="8" t="inlineStr">
        <is>
          <t>NB2(c)</t>
        </is>
      </c>
      <c r="G186" s="8" t="inlineStr">
        <is>
          <t>OPTION 1:  Target-level reporting</t>
        </is>
      </c>
      <c r="H186" s="25">
        <f>IFERROR(IF(INDEX('Faculties'!$M$10:$M$30,MATCH($F186,'Faculties'!$B$10:$B$30,0))="","Cell will autofill based on response",INDEX('Faculties'!$M$10:$M$30,MATCH($F186,'Faculties'!$B$10:$B$30,0))),"N/A")</f>
        <v/>
      </c>
      <c r="I186" s="25">
        <f>IFERROR(IF(INDEX('Faculties'!$M$37:$M$57,MATCH($F186,'Faculties'!$B$37:$B$57,0))="","Cell will autofill based on response",INDEX('Faculties'!$M$37:$M$57,MATCH($F186,'Faculties'!$B$37:$B$57,0))),"N/A")</f>
        <v/>
      </c>
      <c r="J186" s="25">
        <f>IFERROR(IF(INDEX('Faculties'!$M$64:$M$84,MATCH($F186,'Faculties'!$B$64:$B$84,0))="","Cell will autofill based on response",INDEX('Faculties'!$M$64:$M$84,MATCH($F186,'Faculties'!$B$64:$B$84,0))),"N/A")</f>
        <v/>
      </c>
      <c r="K186" s="25">
        <f>IFERROR(IF(INDEX('Faculties'!$M$91:$M$111,MATCH($F186,'Faculties'!$B$91:$B$111,0))="","Cell will autofill based on response",INDEX('Faculties'!$M$91:$M$111,MATCH($F186,'Faculties'!$B$91:$B$111,0))),"N/A")</f>
        <v/>
      </c>
      <c r="L186" s="25">
        <f>IFERROR(IF(INDEX('CI&amp;S'!$M$10:$M$15,MATCH($F186,'CI&amp;S'!$B$10:$B$15,0))="","Cell will autofill based on response",INDEX('CI&amp;S'!$M$10:$M$15,MATCH($F186,'CI&amp;S'!$B$10:$B$15,0))),"N/A")</f>
        <v/>
      </c>
      <c r="M186" s="25">
        <f>IFERROR(IF(INDEX('CI&amp;S'!$M$22:$M$39,MATCH($F186,'CI&amp;S'!$B$22:$B$39,0))="","Cell will autofill based on response",INDEX('CI&amp;S'!$M$22:$M$39,MATCH($F186,'CI&amp;S'!$B$22:$B$39,0))),"N/A")</f>
        <v/>
      </c>
      <c r="N186" s="25">
        <f>IFERROR(IF(INDEX('CFOG'!$M$10:$M$16,MATCH($F186,'CFOG'!$B$10:$B$16,0))="","Cell will autofill based on response",INDEX('CFOG'!$M$10:$M$16,MATCH($F186,'CFOG'!$B$10:$B$16,0))),"N/A")</f>
        <v/>
      </c>
      <c r="O186" s="25">
        <f>IFERROR(IF(INDEX('CFOG'!$M$23:$M$24,MATCH($F186,'CFOG'!$B$23:$B$24,0))="","Cell will autofill based on response",INDEX('CFOG'!$M$23:$M$24,MATCH($F186,'CFOG'!$B$23:$B$24,0))),"N/A")</f>
        <v/>
      </c>
      <c r="P186" s="25">
        <f>IFERROR(IF(INDEX('ESG'!$M$10:$M$17,MATCH($F186,'ESG'!$B$10:$B$17,0))="","Cell will autofill based on response",INDEX('ESG'!$M$10:$M$17,MATCH($F186,'ESG'!$B$10:$B$17,0))),"N/A")</f>
        <v/>
      </c>
      <c r="Q186" s="25">
        <f>IFERROR(IF(INDEX('CIOG'!$M$10:$M$14,MATCH($F186,'CIOG'!$B$10:$B$14,0))="","Cell will autofill based on response",INDEX('CIOG'!$M$10:$M$14,MATCH($F186,'CIOG'!$B$10:$B$14,0))),"N/A")</f>
        <v/>
      </c>
      <c r="R186" s="25">
        <f>IFERROR(IF(INDEX('MRE'!$M$10:$M$12,MATCH($F186,'MRE'!$B$10:$B$12,0))="","Cell will autofill based on response",INDEX('MRE'!$M$10:$M$12,MATCH($F186,'MRE'!$B$10:$B$12,0))),"N/A")</f>
        <v/>
      </c>
      <c r="S186" s="25">
        <f>IFERROR(IF(INDEX('L&amp;R'!$M$10:$M$11,MATCH($F186,'L&amp;R'!$B$10:$B$11,0))="","Cell will autofill based on response",INDEX('L&amp;R'!$M$10:$M$11,MATCH($F186,'L&amp;R'!$B$10:$B$11,0))),"N/A")</f>
        <v/>
      </c>
    </row>
    <row r="187">
      <c r="A187">
        <f>F187&amp;"|"&amp;G187</f>
        <v/>
      </c>
      <c r="B187" s="29" t="inlineStr"/>
      <c r="C187" s="8" t="inlineStr"/>
      <c r="D187" s="8" t="inlineStr"/>
      <c r="E187" s="8" t="inlineStr"/>
      <c r="F187" s="8" t="inlineStr">
        <is>
          <t>NB2(c)</t>
        </is>
      </c>
      <c r="G187" s="8" t="inlineStr">
        <is>
          <t>OPTION 2:  Indicator level reporting</t>
        </is>
      </c>
      <c r="H187" s="25">
        <f>IFERROR(IF(INDEX('Faculties'!$N$10:$N$30,MATCH($F187,'Faculties'!$B$10:$B$30,0))="","Cell will autofill based on response",INDEX('Faculties'!$N$10:$N$30,MATCH($F187,'Faculties'!$B$10:$B$30,0))),"N/A")</f>
        <v/>
      </c>
      <c r="I187" s="25">
        <f>IFERROR(IF(INDEX('Faculties'!$N$37:$N$57,MATCH($F187,'Faculties'!$B$37:$B$57,0))="","Cell will autofill based on response",INDEX('Faculties'!$N$37:$N$57,MATCH($F187,'Faculties'!$B$37:$B$57,0))),"N/A")</f>
        <v/>
      </c>
      <c r="J187" s="25">
        <f>IFERROR(IF(INDEX('Faculties'!$N$64:$N$84,MATCH($F187,'Faculties'!$B$64:$B$84,0))="","Cell will autofill based on response",INDEX('Faculties'!$N$64:$N$84,MATCH($F187,'Faculties'!$B$64:$B$84,0))),"N/A")</f>
        <v/>
      </c>
      <c r="K187" s="25">
        <f>IFERROR(IF(INDEX('Faculties'!$N$91:$N$111,MATCH($F187,'Faculties'!$B$91:$B$111,0))="","Cell will autofill based on response",INDEX('Faculties'!$N$91:$N$111,MATCH($F187,'Faculties'!$B$91:$B$111,0))),"N/A")</f>
        <v/>
      </c>
      <c r="L187" s="25">
        <f>IFERROR(IF(INDEX('CI&amp;S'!$N$10:$N$15,MATCH($F187,'CI&amp;S'!$B$10:$B$15,0))="","Cell will autofill based on response",INDEX('CI&amp;S'!$N$10:$N$15,MATCH($F187,'CI&amp;S'!$B$10:$B$15,0))),"N/A")</f>
        <v/>
      </c>
      <c r="M187" s="25">
        <f>IFERROR(IF(INDEX('CI&amp;S'!$N$22:$N$39,MATCH($F187,'CI&amp;S'!$B$22:$B$39,0))="","Cell will autofill based on response",INDEX('CI&amp;S'!$N$22:$N$39,MATCH($F187,'CI&amp;S'!$B$22:$B$39,0))),"N/A")</f>
        <v/>
      </c>
      <c r="N187" s="25">
        <f>IFERROR(IF(INDEX('CFOG'!$N$10:$N$16,MATCH($F187,'CFOG'!$B$10:$B$16,0))="","Cell will autofill based on response",INDEX('CFOG'!$N$10:$N$16,MATCH($F187,'CFOG'!$B$10:$B$16,0))),"N/A")</f>
        <v/>
      </c>
      <c r="O187" s="25">
        <f>IFERROR(IF(INDEX('CFOG'!$N$23:$N$24,MATCH($F187,'CFOG'!$B$23:$B$24,0))="","Cell will autofill based on response",INDEX('CFOG'!$N$23:$N$24,MATCH($F187,'CFOG'!$B$23:$B$24,0))),"N/A")</f>
        <v/>
      </c>
      <c r="P187" s="25">
        <f>IFERROR(IF(INDEX('ESG'!$N$10:$N$17,MATCH($F187,'ESG'!$B$10:$B$17,0))="","Cell will autofill based on response",INDEX('ESG'!$N$10:$N$17,MATCH($F187,'ESG'!$B$10:$B$17,0))),"N/A")</f>
        <v/>
      </c>
      <c r="Q187" s="25">
        <f>IFERROR(IF(INDEX('CIOG'!$N$10:$N$14,MATCH($F187,'CIOG'!$B$10:$B$14,0))="","Cell will autofill based on response",INDEX('CIOG'!$N$10:$N$14,MATCH($F187,'CIOG'!$B$10:$B$14,0))),"N/A")</f>
        <v/>
      </c>
      <c r="R187" s="25">
        <f>IFERROR(IF(INDEX('MRE'!$N$10:$N$12,MATCH($F187,'MRE'!$B$10:$B$12,0))="","Cell will autofill based on response",INDEX('MRE'!$N$10:$N$12,MATCH($F187,'MRE'!$B$10:$B$12,0))),"N/A")</f>
        <v/>
      </c>
      <c r="S187" s="25">
        <f>IFERROR(IF(INDEX('L&amp;R'!$N$10:$N$11,MATCH($F187,'L&amp;R'!$B$10:$B$11,0))="","Cell will autofill based on response",INDEX('L&amp;R'!$N$10:$N$11,MATCH($F187,'L&amp;R'!$B$10:$B$11,0))),"N/A")</f>
        <v/>
      </c>
    </row>
    <row r="188">
      <c r="A188">
        <f>F188&amp;"|"&amp;G188</f>
        <v/>
      </c>
      <c r="B188" s="29" t="inlineStr"/>
      <c r="C188" s="8" t="inlineStr"/>
      <c r="D188" s="8" t="inlineStr"/>
      <c r="E188" s="8" t="inlineStr"/>
      <c r="F188" s="8" t="inlineStr">
        <is>
          <t>NB2(c)</t>
        </is>
      </c>
      <c r="G188" s="8" t="inlineStr">
        <is>
          <t>Supporting information/comments</t>
        </is>
      </c>
      <c r="H188" s="25">
        <f>IFERROR(IF(INDEX('Faculties'!$O$10:$O$30,MATCH($F188,'Faculties'!$B$10:$B$30,0))="","Cell will autofill based on response",INDEX('Faculties'!$O$10:$O$30,MATCH($F188,'Faculties'!$B$10:$B$30,0))),"N/A")</f>
        <v/>
      </c>
      <c r="I188" s="25">
        <f>IFERROR(IF(INDEX('Faculties'!$O$37:$O$57,MATCH($F188,'Faculties'!$B$37:$B$57,0))="","Cell will autofill based on response",INDEX('Faculties'!$O$37:$O$57,MATCH($F188,'Faculties'!$B$37:$B$57,0))),"N/A")</f>
        <v/>
      </c>
      <c r="J188" s="25">
        <f>IFERROR(IF(INDEX('Faculties'!$O$64:$O$84,MATCH($F188,'Faculties'!$B$64:$B$84,0))="","Cell will autofill based on response",INDEX('Faculties'!$O$64:$O$84,MATCH($F188,'Faculties'!$B$64:$B$84,0))),"N/A")</f>
        <v/>
      </c>
      <c r="K188" s="25">
        <f>IFERROR(IF(INDEX('Faculties'!$O$91:$O$111,MATCH($F188,'Faculties'!$B$91:$B$111,0))="","Cell will autofill based on response",INDEX('Faculties'!$O$91:$O$111,MATCH($F188,'Faculties'!$B$91:$B$111,0))),"N/A")</f>
        <v/>
      </c>
      <c r="L188" s="25">
        <f>IFERROR(IF(INDEX('CI&amp;S'!$O$10:$O$15,MATCH($F188,'CI&amp;S'!$B$10:$B$15,0))="","Cell will autofill based on response",INDEX('CI&amp;S'!$O$10:$O$15,MATCH($F188,'CI&amp;S'!$B$10:$B$15,0))),"N/A")</f>
        <v/>
      </c>
      <c r="M188" s="25">
        <f>IFERROR(IF(INDEX('CI&amp;S'!$O$22:$O$39,MATCH($F188,'CI&amp;S'!$B$22:$B$39,0))="","Cell will autofill based on response",INDEX('CI&amp;S'!$O$22:$O$39,MATCH($F188,'CI&amp;S'!$B$22:$B$39,0))),"N/A")</f>
        <v/>
      </c>
      <c r="N188" s="25">
        <f>IFERROR(IF(INDEX('CFOG'!$O$10:$O$16,MATCH($F188,'CFOG'!$B$10:$B$16,0))="","Cell will autofill based on response",INDEX('CFOG'!$O$10:$O$16,MATCH($F188,'CFOG'!$B$10:$B$16,0))),"N/A")</f>
        <v/>
      </c>
      <c r="O188" s="25">
        <f>IFERROR(IF(INDEX('CFOG'!$O$23:$O$24,MATCH($F188,'CFOG'!$B$23:$B$24,0))="","Cell will autofill based on response",INDEX('CFOG'!$O$23:$O$24,MATCH($F188,'CFOG'!$B$23:$B$24,0))),"N/A")</f>
        <v/>
      </c>
      <c r="P188" s="25">
        <f>IFERROR(IF(INDEX('ESG'!$O$10:$O$17,MATCH($F188,'ESG'!$B$10:$B$17,0))="","Cell will autofill based on response",INDEX('ESG'!$O$10:$O$17,MATCH($F188,'ESG'!$B$10:$B$17,0))),"N/A")</f>
        <v/>
      </c>
      <c r="Q188" s="25">
        <f>IFERROR(IF(INDEX('CIOG'!$O$10:$O$14,MATCH($F188,'CIOG'!$B$10:$B$14,0))="","Cell will autofill based on response",INDEX('CIOG'!$O$10:$O$14,MATCH($F188,'CIOG'!$B$10:$B$14,0))),"N/A")</f>
        <v/>
      </c>
      <c r="R188" s="25">
        <f>IFERROR(IF(INDEX('MRE'!$O$10:$O$12,MATCH($F188,'MRE'!$B$10:$B$12,0))="","Cell will autofill based on response",INDEX('MRE'!$O$10:$O$12,MATCH($F188,'MRE'!$B$10:$B$12,0))),"N/A")</f>
        <v/>
      </c>
      <c r="S188" s="25">
        <f>IFERROR(IF(INDEX('L&amp;R'!$O$10:$O$11,MATCH($F188,'L&amp;R'!$B$10:$B$11,0))="","Cell will autofill based on response",INDEX('L&amp;R'!$O$10:$O$11,MATCH($F188,'L&amp;R'!$B$10:$B$11,0))),"N/A")</f>
        <v/>
      </c>
    </row>
    <row r="189">
      <c r="A189">
        <f>F189&amp;"|"&amp;G189</f>
        <v/>
      </c>
      <c r="B189" s="29" t="inlineStr"/>
      <c r="C189" s="8" t="inlineStr"/>
      <c r="D189" s="8" t="inlineStr"/>
      <c r="E189" s="8" t="inlineStr"/>
      <c r="F189" s="8" t="inlineStr">
        <is>
          <t>NB2(c)</t>
        </is>
      </c>
      <c r="G189" s="8" t="inlineStr">
        <is>
          <t>Data source and limitations</t>
        </is>
      </c>
      <c r="H189" s="25">
        <f>IFERROR(IF(INDEX('Faculties'!$P$10:$P$30,MATCH($F189,'Faculties'!$B$10:$B$30,0))="","Cell will autofill based on response",INDEX('Faculties'!$P$10:$P$30,MATCH($F189,'Faculties'!$B$10:$B$30,0))),"N/A")</f>
        <v/>
      </c>
      <c r="I189" s="25">
        <f>IFERROR(IF(INDEX('Faculties'!$P$37:$P$57,MATCH($F189,'Faculties'!$B$37:$B$57,0))="","Cell will autofill based on response",INDEX('Faculties'!$P$37:$P$57,MATCH($F189,'Faculties'!$B$37:$B$57,0))),"N/A")</f>
        <v/>
      </c>
      <c r="J189" s="25">
        <f>IFERROR(IF(INDEX('Faculties'!$P$64:$P$84,MATCH($F189,'Faculties'!$B$64:$B$84,0))="","Cell will autofill based on response",INDEX('Faculties'!$P$64:$P$84,MATCH($F189,'Faculties'!$B$64:$B$84,0))),"N/A")</f>
        <v/>
      </c>
      <c r="K189" s="25">
        <f>IFERROR(IF(INDEX('Faculties'!$P$91:$P$111,MATCH($F189,'Faculties'!$B$91:$B$111,0))="","Cell will autofill based on response",INDEX('Faculties'!$P$91:$P$111,MATCH($F189,'Faculties'!$B$91:$B$111,0))),"N/A")</f>
        <v/>
      </c>
      <c r="L189" s="25">
        <f>IFERROR(IF(INDEX('CI&amp;S'!$P$10:$P$15,MATCH($F189,'CI&amp;S'!$B$10:$B$15,0))="","Cell will autofill based on response",INDEX('CI&amp;S'!$P$10:$P$15,MATCH($F189,'CI&amp;S'!$B$10:$B$15,0))),"N/A")</f>
        <v/>
      </c>
      <c r="M189" s="25">
        <f>IFERROR(IF(INDEX('CI&amp;S'!$P$22:$P$39,MATCH($F189,'CI&amp;S'!$B$22:$B$39,0))="","Cell will autofill based on response",INDEX('CI&amp;S'!$P$22:$P$39,MATCH($F189,'CI&amp;S'!$B$22:$B$39,0))),"N/A")</f>
        <v/>
      </c>
      <c r="N189" s="25">
        <f>IFERROR(IF(INDEX('CFOG'!$P$10:$P$16,MATCH($F189,'CFOG'!$B$10:$B$16,0))="","Cell will autofill based on response",INDEX('CFOG'!$P$10:$P$16,MATCH($F189,'CFOG'!$B$10:$B$16,0))),"N/A")</f>
        <v/>
      </c>
      <c r="O189" s="25">
        <f>IFERROR(IF(INDEX('CFOG'!$P$23:$P$24,MATCH($F189,'CFOG'!$B$23:$B$24,0))="","Cell will autofill based on response",INDEX('CFOG'!$P$23:$P$24,MATCH($F189,'CFOG'!$B$23:$B$24,0))),"N/A")</f>
        <v/>
      </c>
      <c r="P189" s="25">
        <f>IFERROR(IF(INDEX('ESG'!$P$10:$P$17,MATCH($F189,'ESG'!$B$10:$B$17,0))="","Cell will autofill based on response",INDEX('ESG'!$P$10:$P$17,MATCH($F189,'ESG'!$B$10:$B$17,0))),"N/A")</f>
        <v/>
      </c>
      <c r="Q189" s="25">
        <f>IFERROR(IF(INDEX('CIOG'!$P$10:$P$14,MATCH($F189,'CIOG'!$B$10:$B$14,0))="","Cell will autofill based on response",INDEX('CIOG'!$P$10:$P$14,MATCH($F189,'CIOG'!$B$10:$B$14,0))),"N/A")</f>
        <v/>
      </c>
      <c r="R189" s="25">
        <f>IFERROR(IF(INDEX('MRE'!$P$10:$P$12,MATCH($F189,'MRE'!$B$10:$B$12,0))="","Cell will autofill based on response",INDEX('MRE'!$P$10:$P$12,MATCH($F189,'MRE'!$B$10:$B$12,0))),"N/A")</f>
        <v/>
      </c>
      <c r="S189" s="25">
        <f>IFERROR(IF(INDEX('L&amp;R'!$P$10:$P$11,MATCH($F189,'L&amp;R'!$B$10:$B$11,0))="","Cell will autofill based on response",INDEX('L&amp;R'!$P$10:$P$11,MATCH($F189,'L&amp;R'!$B$10:$B$11,0))),"N/A")</f>
        <v/>
      </c>
    </row>
    <row r="190">
      <c r="A190">
        <f>F190&amp;"|"&amp;G190</f>
        <v/>
      </c>
      <c r="B190" s="29" t="inlineStr"/>
      <c r="C190" s="8" t="inlineStr"/>
      <c r="D190" s="8" t="inlineStr"/>
      <c r="E190" s="8" t="inlineStr"/>
      <c r="F190" s="8" t="inlineStr">
        <is>
          <t>NB2(c)</t>
        </is>
      </c>
      <c r="G190" s="8" t="inlineStr">
        <is>
          <t>Data owner confirms</t>
        </is>
      </c>
      <c r="H190" s="25">
        <f>IFERROR(IF(INDEX('Faculties'!$Q$10:$Q$30,MATCH($F190,'Faculties'!$B$10:$B$30,0))="","Cell will autofill based on response",INDEX('Faculties'!$Q$10:$Q$30,MATCH($F190,'Faculties'!$B$10:$B$30,0))),"N/A")</f>
        <v/>
      </c>
      <c r="I190" s="25">
        <f>IFERROR(IF(INDEX('Faculties'!$Q$37:$Q$57,MATCH($F190,'Faculties'!$B$37:$B$57,0))="","Cell will autofill based on response",INDEX('Faculties'!$Q$37:$Q$57,MATCH($F190,'Faculties'!$B$37:$B$57,0))),"N/A")</f>
        <v/>
      </c>
      <c r="J190" s="25">
        <f>IFERROR(IF(INDEX('Faculties'!$Q$64:$Q$84,MATCH($F190,'Faculties'!$B$64:$B$84,0))="","Cell will autofill based on response",INDEX('Faculties'!$Q$64:$Q$84,MATCH($F190,'Faculties'!$B$64:$B$84,0))),"N/A")</f>
        <v/>
      </c>
      <c r="K190" s="25">
        <f>IFERROR(IF(INDEX('Faculties'!$Q$91:$Q$111,MATCH($F190,'Faculties'!$B$91:$B$111,0))="","Cell will autofill based on response",INDEX('Faculties'!$Q$91:$Q$111,MATCH($F190,'Faculties'!$B$91:$B$111,0))),"N/A")</f>
        <v/>
      </c>
      <c r="L190" s="25">
        <f>IFERROR(IF(INDEX('CI&amp;S'!$Q$10:$Q$15,MATCH($F190,'CI&amp;S'!$B$10:$B$15,0))="","Cell will autofill based on response",INDEX('CI&amp;S'!$Q$10:$Q$15,MATCH($F190,'CI&amp;S'!$B$10:$B$15,0))),"N/A")</f>
        <v/>
      </c>
      <c r="M190" s="25">
        <f>IFERROR(IF(INDEX('CI&amp;S'!$Q$22:$Q$39,MATCH($F190,'CI&amp;S'!$B$22:$B$39,0))="","Cell will autofill based on response",INDEX('CI&amp;S'!$Q$22:$Q$39,MATCH($F190,'CI&amp;S'!$B$22:$B$39,0))),"N/A")</f>
        <v/>
      </c>
      <c r="N190" s="25">
        <f>IFERROR(IF(INDEX('CFOG'!$Q$10:$Q$16,MATCH($F190,'CFOG'!$B$10:$B$16,0))="","Cell will autofill based on response",INDEX('CFOG'!$Q$10:$Q$16,MATCH($F190,'CFOG'!$B$10:$B$16,0))),"N/A")</f>
        <v/>
      </c>
      <c r="O190" s="25">
        <f>IFERROR(IF(INDEX('CFOG'!$Q$23:$Q$24,MATCH($F190,'CFOG'!$B$23:$B$24,0))="","Cell will autofill based on response",INDEX('CFOG'!$Q$23:$Q$24,MATCH($F190,'CFOG'!$B$23:$B$24,0))),"N/A")</f>
        <v/>
      </c>
      <c r="P190" s="25">
        <f>IFERROR(IF(INDEX('ESG'!$Q$10:$Q$17,MATCH($F190,'ESG'!$B$10:$B$17,0))="","Cell will autofill based on response",INDEX('ESG'!$Q$10:$Q$17,MATCH($F190,'ESG'!$B$10:$B$17,0))),"N/A")</f>
        <v/>
      </c>
      <c r="Q190" s="25">
        <f>IFERROR(IF(INDEX('CIOG'!$Q$10:$Q$14,MATCH($F190,'CIOG'!$B$10:$B$14,0))="","Cell will autofill based on response",INDEX('CIOG'!$Q$10:$Q$14,MATCH($F190,'CIOG'!$B$10:$B$14,0))),"N/A")</f>
        <v/>
      </c>
      <c r="R190" s="25">
        <f>IFERROR(IF(INDEX('MRE'!$Q$10:$Q$12,MATCH($F190,'MRE'!$B$10:$B$12,0))="","Cell will autofill based on response",INDEX('MRE'!$Q$10:$Q$12,MATCH($F190,'MRE'!$B$10:$B$12,0))),"N/A")</f>
        <v/>
      </c>
      <c r="S190" s="25">
        <f>IFERROR(IF(INDEX('L&amp;R'!$Q$10:$Q$11,MATCH($F190,'L&amp;R'!$B$10:$B$11,0))="","Cell will autofill based on response",INDEX('L&amp;R'!$Q$10:$Q$11,MATCH($F190,'L&amp;R'!$B$10:$B$11,0))),"N/A")</f>
        <v/>
      </c>
    </row>
    <row r="191">
      <c r="A191">
        <f>F191&amp;"|"&amp;G191</f>
        <v/>
      </c>
      <c r="B191" s="7" t="inlineStr">
        <is>
          <t>AI1(a)</t>
        </is>
      </c>
      <c r="C191" s="12" t="inlineStr">
        <is>
          <t>Responsible AI</t>
        </is>
      </c>
      <c r="D191" s="12" t="inlineStr">
        <is>
          <t>Established measurement of estimated operational impacts and opportunities (eg operational impacts could include energy, water, emissions and intensity measures)</t>
        </is>
      </c>
      <c r="E191" s="12" t="inlineStr"/>
      <c r="F191" s="12" t="inlineStr">
        <is>
          <t>AI1(a)</t>
        </is>
      </c>
      <c r="G191" s="12" t="inlineStr">
        <is>
          <t>Confirm end-2026 target status</t>
        </is>
      </c>
      <c r="H191" s="25">
        <f>IFERROR(IF(INDEX('Faculties'!$L$10:$L$30,MATCH($F191,'Faculties'!$B$10:$B$30,0))="","Cell will autofill based on response",INDEX('Faculties'!$L$10:$L$30,MATCH($F191,'Faculties'!$B$10:$B$30,0))),"N/A")</f>
        <v/>
      </c>
      <c r="I191" s="25">
        <f>IFERROR(IF(INDEX('Faculties'!$L$37:$L$57,MATCH($F191,'Faculties'!$B$37:$B$57,0))="","Cell will autofill based on response",INDEX('Faculties'!$L$37:$L$57,MATCH($F191,'Faculties'!$B$37:$B$57,0))),"N/A")</f>
        <v/>
      </c>
      <c r="J191" s="25">
        <f>IFERROR(IF(INDEX('Faculties'!$L$64:$L$84,MATCH($F191,'Faculties'!$B$64:$B$84,0))="","Cell will autofill based on response",INDEX('Faculties'!$L$64:$L$84,MATCH($F191,'Faculties'!$B$64:$B$84,0))),"N/A")</f>
        <v/>
      </c>
      <c r="K191" s="25">
        <f>IFERROR(IF(INDEX('Faculties'!$L$91:$L$111,MATCH($F191,'Faculties'!$B$91:$B$111,0))="","Cell will autofill based on response",INDEX('Faculties'!$L$91:$L$111,MATCH($F191,'Faculties'!$B$91:$B$111,0))),"N/A")</f>
        <v/>
      </c>
      <c r="L191" s="25">
        <f>IFERROR(IF(INDEX('CI&amp;S'!$L$10:$L$15,MATCH($F191,'CI&amp;S'!$B$10:$B$15,0))="","Cell will autofill based on response",INDEX('CI&amp;S'!$L$10:$L$15,MATCH($F191,'CI&amp;S'!$B$10:$B$15,0))),"N/A")</f>
        <v/>
      </c>
      <c r="M191" s="25">
        <f>IFERROR(IF(INDEX('CI&amp;S'!$L$22:$L$39,MATCH($F191,'CI&amp;S'!$B$22:$B$39,0))="","Cell will autofill based on response",INDEX('CI&amp;S'!$L$22:$L$39,MATCH($F191,'CI&amp;S'!$B$22:$B$39,0))),"N/A")</f>
        <v/>
      </c>
      <c r="N191" s="25">
        <f>IFERROR(IF(INDEX('CFOG'!$L$10:$L$16,MATCH($F191,'CFOG'!$B$10:$B$16,0))="","Cell will autofill based on response",INDEX('CFOG'!$L$10:$L$16,MATCH($F191,'CFOG'!$B$10:$B$16,0))),"N/A")</f>
        <v/>
      </c>
      <c r="O191" s="25">
        <f>IFERROR(IF(INDEX('CFOG'!$L$23:$L$24,MATCH($F191,'CFOG'!$B$23:$B$24,0))="","Cell will autofill based on response",INDEX('CFOG'!$L$23:$L$24,MATCH($F191,'CFOG'!$B$23:$B$24,0))),"N/A")</f>
        <v/>
      </c>
      <c r="P191" s="25">
        <f>IFERROR(IF(INDEX('ESG'!$L$10:$L$17,MATCH($F191,'ESG'!$B$10:$B$17,0))="","Cell will autofill based on response",INDEX('ESG'!$L$10:$L$17,MATCH($F191,'ESG'!$B$10:$B$17,0))),"N/A")</f>
        <v/>
      </c>
      <c r="Q191" s="25">
        <f>IFERROR(IF(INDEX('CIOG'!$L$10:$L$14,MATCH($F191,'CIOG'!$B$10:$B$14,0))="","Cell will autofill based on response",INDEX('CIOG'!$L$10:$L$14,MATCH($F191,'CIOG'!$B$10:$B$14,0))),"N/A")</f>
        <v/>
      </c>
      <c r="R191" s="25">
        <f>IFERROR(IF(INDEX('MRE'!$L$10:$L$12,MATCH($F191,'MRE'!$B$10:$B$12,0))="","Cell will autofill based on response",INDEX('MRE'!$L$10:$L$12,MATCH($F191,'MRE'!$B$10:$B$12,0))),"N/A")</f>
        <v/>
      </c>
      <c r="S191" s="25">
        <f>IFERROR(IF(INDEX('L&amp;R'!$L$10:$L$11,MATCH($F191,'L&amp;R'!$B$10:$B$11,0))="","Cell will autofill based on response",INDEX('L&amp;R'!$L$10:$L$11,MATCH($F191,'L&amp;R'!$B$10:$B$11,0))),"N/A")</f>
        <v/>
      </c>
      <c r="U191" s="26">
        <f>COUNTIF($H191:$S191,"Cell will autofill based on response")</f>
        <v/>
      </c>
      <c r="V191" s="26">
        <f>COUNTIF($H191:$S191,"Not yet started")</f>
        <v/>
      </c>
      <c r="W191" s="26">
        <f>COUNTIF($H191:$S191,"Not met")</f>
        <v/>
      </c>
      <c r="X191" s="26">
        <f>COUNTIF($H191:$S191,"Partially met")</f>
        <v/>
      </c>
      <c r="Y191" s="26">
        <f>COUNTIF($H191:$S191,"Met or exceeded")</f>
        <v/>
      </c>
      <c r="Z191" s="26">
        <f>3*Y191+2*X191+W191</f>
        <v/>
      </c>
      <c r="AA191" s="26">
        <f>Y191+X191+W191+V191</f>
        <v/>
      </c>
      <c r="AB191" s="27">
        <f>IF(AA191&gt;0,Z191/AA191,"No valid responses to date")</f>
        <v/>
      </c>
      <c r="AC191" s="26">
        <f>IF(ISNUMBER(AB191),INDEX(Lists!$G$2:$G$5,MATCH(ROUND(AB191,0),Lists!$H$2:$H$5,0)),"")</f>
        <v/>
      </c>
      <c r="AD191" s="28">
        <f>IF(AA191&gt;0,Y191/AA191,"")</f>
        <v/>
      </c>
      <c r="AE191" s="28">
        <f>IF(AA191&gt;0,(Y191+X191)/AA191,"")</f>
        <v/>
      </c>
      <c r="AF191" s="26">
        <f>IF(AA191=0,"",IF(AD191&gt;0.75,"Met or exceeded",IF(AE191&gt;=0.5,"Partially met","Not met")))</f>
        <v/>
      </c>
    </row>
    <row r="192">
      <c r="A192">
        <f>F192&amp;"|"&amp;G192</f>
        <v/>
      </c>
      <c r="B192" s="29" t="inlineStr"/>
      <c r="C192" s="8" t="inlineStr"/>
      <c r="D192" s="8" t="inlineStr"/>
      <c r="E192" s="8" t="inlineStr"/>
      <c r="F192" s="8" t="inlineStr">
        <is>
          <t>AI1(a)</t>
        </is>
      </c>
      <c r="G192" s="8" t="inlineStr">
        <is>
          <t>OPTION 1:  Target-level reporting</t>
        </is>
      </c>
      <c r="H192" s="25">
        <f>IFERROR(IF(INDEX('Faculties'!$M$10:$M$30,MATCH($F192,'Faculties'!$B$10:$B$30,0))="","Cell will autofill based on response",INDEX('Faculties'!$M$10:$M$30,MATCH($F192,'Faculties'!$B$10:$B$30,0))),"N/A")</f>
        <v/>
      </c>
      <c r="I192" s="25">
        <f>IFERROR(IF(INDEX('Faculties'!$M$37:$M$57,MATCH($F192,'Faculties'!$B$37:$B$57,0))="","Cell will autofill based on response",INDEX('Faculties'!$M$37:$M$57,MATCH($F192,'Faculties'!$B$37:$B$57,0))),"N/A")</f>
        <v/>
      </c>
      <c r="J192" s="25">
        <f>IFERROR(IF(INDEX('Faculties'!$M$64:$M$84,MATCH($F192,'Faculties'!$B$64:$B$84,0))="","Cell will autofill based on response",INDEX('Faculties'!$M$64:$M$84,MATCH($F192,'Faculties'!$B$64:$B$84,0))),"N/A")</f>
        <v/>
      </c>
      <c r="K192" s="25">
        <f>IFERROR(IF(INDEX('Faculties'!$M$91:$M$111,MATCH($F192,'Faculties'!$B$91:$B$111,0))="","Cell will autofill based on response",INDEX('Faculties'!$M$91:$M$111,MATCH($F192,'Faculties'!$B$91:$B$111,0))),"N/A")</f>
        <v/>
      </c>
      <c r="L192" s="25">
        <f>IFERROR(IF(INDEX('CI&amp;S'!$M$10:$M$15,MATCH($F192,'CI&amp;S'!$B$10:$B$15,0))="","Cell will autofill based on response",INDEX('CI&amp;S'!$M$10:$M$15,MATCH($F192,'CI&amp;S'!$B$10:$B$15,0))),"N/A")</f>
        <v/>
      </c>
      <c r="M192" s="25">
        <f>IFERROR(IF(INDEX('CI&amp;S'!$M$22:$M$39,MATCH($F192,'CI&amp;S'!$B$22:$B$39,0))="","Cell will autofill based on response",INDEX('CI&amp;S'!$M$22:$M$39,MATCH($F192,'CI&amp;S'!$B$22:$B$39,0))),"N/A")</f>
        <v/>
      </c>
      <c r="N192" s="25">
        <f>IFERROR(IF(INDEX('CFOG'!$M$10:$M$16,MATCH($F192,'CFOG'!$B$10:$B$16,0))="","Cell will autofill based on response",INDEX('CFOG'!$M$10:$M$16,MATCH($F192,'CFOG'!$B$10:$B$16,0))),"N/A")</f>
        <v/>
      </c>
      <c r="O192" s="25">
        <f>IFERROR(IF(INDEX('CFOG'!$M$23:$M$24,MATCH($F192,'CFOG'!$B$23:$B$24,0))="","Cell will autofill based on response",INDEX('CFOG'!$M$23:$M$24,MATCH($F192,'CFOG'!$B$23:$B$24,0))),"N/A")</f>
        <v/>
      </c>
      <c r="P192" s="25">
        <f>IFERROR(IF(INDEX('ESG'!$M$10:$M$17,MATCH($F192,'ESG'!$B$10:$B$17,0))="","Cell will autofill based on response",INDEX('ESG'!$M$10:$M$17,MATCH($F192,'ESG'!$B$10:$B$17,0))),"N/A")</f>
        <v/>
      </c>
      <c r="Q192" s="25">
        <f>IFERROR(IF(INDEX('CIOG'!$M$10:$M$14,MATCH($F192,'CIOG'!$B$10:$B$14,0))="","Cell will autofill based on response",INDEX('CIOG'!$M$10:$M$14,MATCH($F192,'CIOG'!$B$10:$B$14,0))),"N/A")</f>
        <v/>
      </c>
      <c r="R192" s="25">
        <f>IFERROR(IF(INDEX('MRE'!$M$10:$M$12,MATCH($F192,'MRE'!$B$10:$B$12,0))="","Cell will autofill based on response",INDEX('MRE'!$M$10:$M$12,MATCH($F192,'MRE'!$B$10:$B$12,0))),"N/A")</f>
        <v/>
      </c>
      <c r="S192" s="25">
        <f>IFERROR(IF(INDEX('L&amp;R'!$M$10:$M$11,MATCH($F192,'L&amp;R'!$B$10:$B$11,0))="","Cell will autofill based on response",INDEX('L&amp;R'!$M$10:$M$11,MATCH($F192,'L&amp;R'!$B$10:$B$11,0))),"N/A")</f>
        <v/>
      </c>
    </row>
    <row r="193">
      <c r="A193">
        <f>F193&amp;"|"&amp;G193</f>
        <v/>
      </c>
      <c r="B193" s="29" t="inlineStr"/>
      <c r="C193" s="8" t="inlineStr"/>
      <c r="D193" s="8" t="inlineStr"/>
      <c r="E193" s="8" t="inlineStr"/>
      <c r="F193" s="8" t="inlineStr">
        <is>
          <t>AI1(a)</t>
        </is>
      </c>
      <c r="G193" s="8" t="inlineStr">
        <is>
          <t>OPTION 2:  Indicator level reporting</t>
        </is>
      </c>
      <c r="H193" s="25">
        <f>IFERROR(IF(INDEX('Faculties'!$N$10:$N$30,MATCH($F193,'Faculties'!$B$10:$B$30,0))="","Cell will autofill based on response",INDEX('Faculties'!$N$10:$N$30,MATCH($F193,'Faculties'!$B$10:$B$30,0))),"N/A")</f>
        <v/>
      </c>
      <c r="I193" s="25">
        <f>IFERROR(IF(INDEX('Faculties'!$N$37:$N$57,MATCH($F193,'Faculties'!$B$37:$B$57,0))="","Cell will autofill based on response",INDEX('Faculties'!$N$37:$N$57,MATCH($F193,'Faculties'!$B$37:$B$57,0))),"N/A")</f>
        <v/>
      </c>
      <c r="J193" s="25">
        <f>IFERROR(IF(INDEX('Faculties'!$N$64:$N$84,MATCH($F193,'Faculties'!$B$64:$B$84,0))="","Cell will autofill based on response",INDEX('Faculties'!$N$64:$N$84,MATCH($F193,'Faculties'!$B$64:$B$84,0))),"N/A")</f>
        <v/>
      </c>
      <c r="K193" s="25">
        <f>IFERROR(IF(INDEX('Faculties'!$N$91:$N$111,MATCH($F193,'Faculties'!$B$91:$B$111,0))="","Cell will autofill based on response",INDEX('Faculties'!$N$91:$N$111,MATCH($F193,'Faculties'!$B$91:$B$111,0))),"N/A")</f>
        <v/>
      </c>
      <c r="L193" s="25">
        <f>IFERROR(IF(INDEX('CI&amp;S'!$N$10:$N$15,MATCH($F193,'CI&amp;S'!$B$10:$B$15,0))="","Cell will autofill based on response",INDEX('CI&amp;S'!$N$10:$N$15,MATCH($F193,'CI&amp;S'!$B$10:$B$15,0))),"N/A")</f>
        <v/>
      </c>
      <c r="M193" s="25">
        <f>IFERROR(IF(INDEX('CI&amp;S'!$N$22:$N$39,MATCH($F193,'CI&amp;S'!$B$22:$B$39,0))="","Cell will autofill based on response",INDEX('CI&amp;S'!$N$22:$N$39,MATCH($F193,'CI&amp;S'!$B$22:$B$39,0))),"N/A")</f>
        <v/>
      </c>
      <c r="N193" s="25">
        <f>IFERROR(IF(INDEX('CFOG'!$N$10:$N$16,MATCH($F193,'CFOG'!$B$10:$B$16,0))="","Cell will autofill based on response",INDEX('CFOG'!$N$10:$N$16,MATCH($F193,'CFOG'!$B$10:$B$16,0))),"N/A")</f>
        <v/>
      </c>
      <c r="O193" s="25">
        <f>IFERROR(IF(INDEX('CFOG'!$N$23:$N$24,MATCH($F193,'CFOG'!$B$23:$B$24,0))="","Cell will autofill based on response",INDEX('CFOG'!$N$23:$N$24,MATCH($F193,'CFOG'!$B$23:$B$24,0))),"N/A")</f>
        <v/>
      </c>
      <c r="P193" s="25">
        <f>IFERROR(IF(INDEX('ESG'!$N$10:$N$17,MATCH($F193,'ESG'!$B$10:$B$17,0))="","Cell will autofill based on response",INDEX('ESG'!$N$10:$N$17,MATCH($F193,'ESG'!$B$10:$B$17,0))),"N/A")</f>
        <v/>
      </c>
      <c r="Q193" s="25">
        <f>IFERROR(IF(INDEX('CIOG'!$N$10:$N$14,MATCH($F193,'CIOG'!$B$10:$B$14,0))="","Cell will autofill based on response",INDEX('CIOG'!$N$10:$N$14,MATCH($F193,'CIOG'!$B$10:$B$14,0))),"N/A")</f>
        <v/>
      </c>
      <c r="R193" s="25">
        <f>IFERROR(IF(INDEX('MRE'!$N$10:$N$12,MATCH($F193,'MRE'!$B$10:$B$12,0))="","Cell will autofill based on response",INDEX('MRE'!$N$10:$N$12,MATCH($F193,'MRE'!$B$10:$B$12,0))),"N/A")</f>
        <v/>
      </c>
      <c r="S193" s="25">
        <f>IFERROR(IF(INDEX('L&amp;R'!$N$10:$N$11,MATCH($F193,'L&amp;R'!$B$10:$B$11,0))="","Cell will autofill based on response",INDEX('L&amp;R'!$N$10:$N$11,MATCH($F193,'L&amp;R'!$B$10:$B$11,0))),"N/A")</f>
        <v/>
      </c>
    </row>
    <row r="194">
      <c r="A194">
        <f>F194&amp;"|"&amp;G194</f>
        <v/>
      </c>
      <c r="B194" s="29" t="inlineStr"/>
      <c r="C194" s="8" t="inlineStr"/>
      <c r="D194" s="8" t="inlineStr"/>
      <c r="E194" s="8" t="inlineStr"/>
      <c r="F194" s="8" t="inlineStr">
        <is>
          <t>AI1(a)</t>
        </is>
      </c>
      <c r="G194" s="8" t="inlineStr">
        <is>
          <t>Supporting information/comments</t>
        </is>
      </c>
      <c r="H194" s="25">
        <f>IFERROR(IF(INDEX('Faculties'!$O$10:$O$30,MATCH($F194,'Faculties'!$B$10:$B$30,0))="","Cell will autofill based on response",INDEX('Faculties'!$O$10:$O$30,MATCH($F194,'Faculties'!$B$10:$B$30,0))),"N/A")</f>
        <v/>
      </c>
      <c r="I194" s="25">
        <f>IFERROR(IF(INDEX('Faculties'!$O$37:$O$57,MATCH($F194,'Faculties'!$B$37:$B$57,0))="","Cell will autofill based on response",INDEX('Faculties'!$O$37:$O$57,MATCH($F194,'Faculties'!$B$37:$B$57,0))),"N/A")</f>
        <v/>
      </c>
      <c r="J194" s="25">
        <f>IFERROR(IF(INDEX('Faculties'!$O$64:$O$84,MATCH($F194,'Faculties'!$B$64:$B$84,0))="","Cell will autofill based on response",INDEX('Faculties'!$O$64:$O$84,MATCH($F194,'Faculties'!$B$64:$B$84,0))),"N/A")</f>
        <v/>
      </c>
      <c r="K194" s="25">
        <f>IFERROR(IF(INDEX('Faculties'!$O$91:$O$111,MATCH($F194,'Faculties'!$B$91:$B$111,0))="","Cell will autofill based on response",INDEX('Faculties'!$O$91:$O$111,MATCH($F194,'Faculties'!$B$91:$B$111,0))),"N/A")</f>
        <v/>
      </c>
      <c r="L194" s="25">
        <f>IFERROR(IF(INDEX('CI&amp;S'!$O$10:$O$15,MATCH($F194,'CI&amp;S'!$B$10:$B$15,0))="","Cell will autofill based on response",INDEX('CI&amp;S'!$O$10:$O$15,MATCH($F194,'CI&amp;S'!$B$10:$B$15,0))),"N/A")</f>
        <v/>
      </c>
      <c r="M194" s="25">
        <f>IFERROR(IF(INDEX('CI&amp;S'!$O$22:$O$39,MATCH($F194,'CI&amp;S'!$B$22:$B$39,0))="","Cell will autofill based on response",INDEX('CI&amp;S'!$O$22:$O$39,MATCH($F194,'CI&amp;S'!$B$22:$B$39,0))),"N/A")</f>
        <v/>
      </c>
      <c r="N194" s="25">
        <f>IFERROR(IF(INDEX('CFOG'!$O$10:$O$16,MATCH($F194,'CFOG'!$B$10:$B$16,0))="","Cell will autofill based on response",INDEX('CFOG'!$O$10:$O$16,MATCH($F194,'CFOG'!$B$10:$B$16,0))),"N/A")</f>
        <v/>
      </c>
      <c r="O194" s="25">
        <f>IFERROR(IF(INDEX('CFOG'!$O$23:$O$24,MATCH($F194,'CFOG'!$B$23:$B$24,0))="","Cell will autofill based on response",INDEX('CFOG'!$O$23:$O$24,MATCH($F194,'CFOG'!$B$23:$B$24,0))),"N/A")</f>
        <v/>
      </c>
      <c r="P194" s="25">
        <f>IFERROR(IF(INDEX('ESG'!$O$10:$O$17,MATCH($F194,'ESG'!$B$10:$B$17,0))="","Cell will autofill based on response",INDEX('ESG'!$O$10:$O$17,MATCH($F194,'ESG'!$B$10:$B$17,0))),"N/A")</f>
        <v/>
      </c>
      <c r="Q194" s="25">
        <f>IFERROR(IF(INDEX('CIOG'!$O$10:$O$14,MATCH($F194,'CIOG'!$B$10:$B$14,0))="","Cell will autofill based on response",INDEX('CIOG'!$O$10:$O$14,MATCH($F194,'CIOG'!$B$10:$B$14,0))),"N/A")</f>
        <v/>
      </c>
      <c r="R194" s="25">
        <f>IFERROR(IF(INDEX('MRE'!$O$10:$O$12,MATCH($F194,'MRE'!$B$10:$B$12,0))="","Cell will autofill based on response",INDEX('MRE'!$O$10:$O$12,MATCH($F194,'MRE'!$B$10:$B$12,0))),"N/A")</f>
        <v/>
      </c>
      <c r="S194" s="25">
        <f>IFERROR(IF(INDEX('L&amp;R'!$O$10:$O$11,MATCH($F194,'L&amp;R'!$B$10:$B$11,0))="","Cell will autofill based on response",INDEX('L&amp;R'!$O$10:$O$11,MATCH($F194,'L&amp;R'!$B$10:$B$11,0))),"N/A")</f>
        <v/>
      </c>
    </row>
    <row r="195">
      <c r="A195">
        <f>F195&amp;"|"&amp;G195</f>
        <v/>
      </c>
      <c r="B195" s="29" t="inlineStr"/>
      <c r="C195" s="8" t="inlineStr"/>
      <c r="D195" s="8" t="inlineStr"/>
      <c r="E195" s="8" t="inlineStr"/>
      <c r="F195" s="8" t="inlineStr">
        <is>
          <t>AI1(a)</t>
        </is>
      </c>
      <c r="G195" s="8" t="inlineStr">
        <is>
          <t>Data source and limitations</t>
        </is>
      </c>
      <c r="H195" s="25">
        <f>IFERROR(IF(INDEX('Faculties'!$P$10:$P$30,MATCH($F195,'Faculties'!$B$10:$B$30,0))="","Cell will autofill based on response",INDEX('Faculties'!$P$10:$P$30,MATCH($F195,'Faculties'!$B$10:$B$30,0))),"N/A")</f>
        <v/>
      </c>
      <c r="I195" s="25">
        <f>IFERROR(IF(INDEX('Faculties'!$P$37:$P$57,MATCH($F195,'Faculties'!$B$37:$B$57,0))="","Cell will autofill based on response",INDEX('Faculties'!$P$37:$P$57,MATCH($F195,'Faculties'!$B$37:$B$57,0))),"N/A")</f>
        <v/>
      </c>
      <c r="J195" s="25">
        <f>IFERROR(IF(INDEX('Faculties'!$P$64:$P$84,MATCH($F195,'Faculties'!$B$64:$B$84,0))="","Cell will autofill based on response",INDEX('Faculties'!$P$64:$P$84,MATCH($F195,'Faculties'!$B$64:$B$84,0))),"N/A")</f>
        <v/>
      </c>
      <c r="K195" s="25">
        <f>IFERROR(IF(INDEX('Faculties'!$P$91:$P$111,MATCH($F195,'Faculties'!$B$91:$B$111,0))="","Cell will autofill based on response",INDEX('Faculties'!$P$91:$P$111,MATCH($F195,'Faculties'!$B$91:$B$111,0))),"N/A")</f>
        <v/>
      </c>
      <c r="L195" s="25">
        <f>IFERROR(IF(INDEX('CI&amp;S'!$P$10:$P$15,MATCH($F195,'CI&amp;S'!$B$10:$B$15,0))="","Cell will autofill based on response",INDEX('CI&amp;S'!$P$10:$P$15,MATCH($F195,'CI&amp;S'!$B$10:$B$15,0))),"N/A")</f>
        <v/>
      </c>
      <c r="M195" s="25">
        <f>IFERROR(IF(INDEX('CI&amp;S'!$P$22:$P$39,MATCH($F195,'CI&amp;S'!$B$22:$B$39,0))="","Cell will autofill based on response",INDEX('CI&amp;S'!$P$22:$P$39,MATCH($F195,'CI&amp;S'!$B$22:$B$39,0))),"N/A")</f>
        <v/>
      </c>
      <c r="N195" s="25">
        <f>IFERROR(IF(INDEX('CFOG'!$P$10:$P$16,MATCH($F195,'CFOG'!$B$10:$B$16,0))="","Cell will autofill based on response",INDEX('CFOG'!$P$10:$P$16,MATCH($F195,'CFOG'!$B$10:$B$16,0))),"N/A")</f>
        <v/>
      </c>
      <c r="O195" s="25">
        <f>IFERROR(IF(INDEX('CFOG'!$P$23:$P$24,MATCH($F195,'CFOG'!$B$23:$B$24,0))="","Cell will autofill based on response",INDEX('CFOG'!$P$23:$P$24,MATCH($F195,'CFOG'!$B$23:$B$24,0))),"N/A")</f>
        <v/>
      </c>
      <c r="P195" s="25">
        <f>IFERROR(IF(INDEX('ESG'!$P$10:$P$17,MATCH($F195,'ESG'!$B$10:$B$17,0))="","Cell will autofill based on response",INDEX('ESG'!$P$10:$P$17,MATCH($F195,'ESG'!$B$10:$B$17,0))),"N/A")</f>
        <v/>
      </c>
      <c r="Q195" s="25">
        <f>IFERROR(IF(INDEX('CIOG'!$P$10:$P$14,MATCH($F195,'CIOG'!$B$10:$B$14,0))="","Cell will autofill based on response",INDEX('CIOG'!$P$10:$P$14,MATCH($F195,'CIOG'!$B$10:$B$14,0))),"N/A")</f>
        <v/>
      </c>
      <c r="R195" s="25">
        <f>IFERROR(IF(INDEX('MRE'!$P$10:$P$12,MATCH($F195,'MRE'!$B$10:$B$12,0))="","Cell will autofill based on response",INDEX('MRE'!$P$10:$P$12,MATCH($F195,'MRE'!$B$10:$B$12,0))),"N/A")</f>
        <v/>
      </c>
      <c r="S195" s="25">
        <f>IFERROR(IF(INDEX('L&amp;R'!$P$10:$P$11,MATCH($F195,'L&amp;R'!$B$10:$B$11,0))="","Cell will autofill based on response",INDEX('L&amp;R'!$P$10:$P$11,MATCH($F195,'L&amp;R'!$B$10:$B$11,0))),"N/A")</f>
        <v/>
      </c>
    </row>
    <row r="196">
      <c r="A196">
        <f>F196&amp;"|"&amp;G196</f>
        <v/>
      </c>
      <c r="B196" s="29" t="inlineStr"/>
      <c r="C196" s="8" t="inlineStr"/>
      <c r="D196" s="8" t="inlineStr"/>
      <c r="E196" s="8" t="inlineStr"/>
      <c r="F196" s="8" t="inlineStr">
        <is>
          <t>AI1(a)</t>
        </is>
      </c>
      <c r="G196" s="8" t="inlineStr">
        <is>
          <t>Data owner confirms</t>
        </is>
      </c>
      <c r="H196" s="25">
        <f>IFERROR(IF(INDEX('Faculties'!$Q$10:$Q$30,MATCH($F196,'Faculties'!$B$10:$B$30,0))="","Cell will autofill based on response",INDEX('Faculties'!$Q$10:$Q$30,MATCH($F196,'Faculties'!$B$10:$B$30,0))),"N/A")</f>
        <v/>
      </c>
      <c r="I196" s="25">
        <f>IFERROR(IF(INDEX('Faculties'!$Q$37:$Q$57,MATCH($F196,'Faculties'!$B$37:$B$57,0))="","Cell will autofill based on response",INDEX('Faculties'!$Q$37:$Q$57,MATCH($F196,'Faculties'!$B$37:$B$57,0))),"N/A")</f>
        <v/>
      </c>
      <c r="J196" s="25">
        <f>IFERROR(IF(INDEX('Faculties'!$Q$64:$Q$84,MATCH($F196,'Faculties'!$B$64:$B$84,0))="","Cell will autofill based on response",INDEX('Faculties'!$Q$64:$Q$84,MATCH($F196,'Faculties'!$B$64:$B$84,0))),"N/A")</f>
        <v/>
      </c>
      <c r="K196" s="25">
        <f>IFERROR(IF(INDEX('Faculties'!$Q$91:$Q$111,MATCH($F196,'Faculties'!$B$91:$B$111,0))="","Cell will autofill based on response",INDEX('Faculties'!$Q$91:$Q$111,MATCH($F196,'Faculties'!$B$91:$B$111,0))),"N/A")</f>
        <v/>
      </c>
      <c r="L196" s="25">
        <f>IFERROR(IF(INDEX('CI&amp;S'!$Q$10:$Q$15,MATCH($F196,'CI&amp;S'!$B$10:$B$15,0))="","Cell will autofill based on response",INDEX('CI&amp;S'!$Q$10:$Q$15,MATCH($F196,'CI&amp;S'!$B$10:$B$15,0))),"N/A")</f>
        <v/>
      </c>
      <c r="M196" s="25">
        <f>IFERROR(IF(INDEX('CI&amp;S'!$Q$22:$Q$39,MATCH($F196,'CI&amp;S'!$B$22:$B$39,0))="","Cell will autofill based on response",INDEX('CI&amp;S'!$Q$22:$Q$39,MATCH($F196,'CI&amp;S'!$B$22:$B$39,0))),"N/A")</f>
        <v/>
      </c>
      <c r="N196" s="25">
        <f>IFERROR(IF(INDEX('CFOG'!$Q$10:$Q$16,MATCH($F196,'CFOG'!$B$10:$B$16,0))="","Cell will autofill based on response",INDEX('CFOG'!$Q$10:$Q$16,MATCH($F196,'CFOG'!$B$10:$B$16,0))),"N/A")</f>
        <v/>
      </c>
      <c r="O196" s="25">
        <f>IFERROR(IF(INDEX('CFOG'!$Q$23:$Q$24,MATCH($F196,'CFOG'!$B$23:$B$24,0))="","Cell will autofill based on response",INDEX('CFOG'!$Q$23:$Q$24,MATCH($F196,'CFOG'!$B$23:$B$24,0))),"N/A")</f>
        <v/>
      </c>
      <c r="P196" s="25">
        <f>IFERROR(IF(INDEX('ESG'!$Q$10:$Q$17,MATCH($F196,'ESG'!$B$10:$B$17,0))="","Cell will autofill based on response",INDEX('ESG'!$Q$10:$Q$17,MATCH($F196,'ESG'!$B$10:$B$17,0))),"N/A")</f>
        <v/>
      </c>
      <c r="Q196" s="25">
        <f>IFERROR(IF(INDEX('CIOG'!$Q$10:$Q$14,MATCH($F196,'CIOG'!$B$10:$B$14,0))="","Cell will autofill based on response",INDEX('CIOG'!$Q$10:$Q$14,MATCH($F196,'CIOG'!$B$10:$B$14,0))),"N/A")</f>
        <v/>
      </c>
      <c r="R196" s="25">
        <f>IFERROR(IF(INDEX('MRE'!$Q$10:$Q$12,MATCH($F196,'MRE'!$B$10:$B$12,0))="","Cell will autofill based on response",INDEX('MRE'!$Q$10:$Q$12,MATCH($F196,'MRE'!$B$10:$B$12,0))),"N/A")</f>
        <v/>
      </c>
      <c r="S196" s="25">
        <f>IFERROR(IF(INDEX('L&amp;R'!$Q$10:$Q$11,MATCH($F196,'L&amp;R'!$B$10:$B$11,0))="","Cell will autofill based on response",INDEX('L&amp;R'!$Q$10:$Q$11,MATCH($F196,'L&amp;R'!$B$10:$B$11,0))),"N/A")</f>
        <v/>
      </c>
    </row>
    <row r="197">
      <c r="A197">
        <f>F197&amp;"|"&amp;G197</f>
        <v/>
      </c>
      <c r="B197" s="7" t="inlineStr">
        <is>
          <t>AI1(b)</t>
        </is>
      </c>
      <c r="C197" s="12" t="inlineStr">
        <is>
          <t>Responsible AI</t>
        </is>
      </c>
      <c r="D197" s="12" t="inlineStr">
        <is>
          <t>Case studies of sustainability and AI-related education, research and collaboration activities.</t>
        </is>
      </c>
      <c r="E197" s="12" t="inlineStr">
        <is>
          <t>Please provide case studies from your Faculty/Portfolio of sustainability and AI-related education, research or collaboration activities, describing the activity, participants or partners, sustainability issue addressed and key outcomes or lessons.</t>
        </is>
      </c>
      <c r="F197" s="12" t="inlineStr">
        <is>
          <t>AI1(b)</t>
        </is>
      </c>
      <c r="G197" s="12" t="inlineStr">
        <is>
          <t>Confirm end-2026 target status</t>
        </is>
      </c>
      <c r="H197" s="25">
        <f>IFERROR(IF(INDEX('Faculties'!$L$10:$L$30,MATCH($F197,'Faculties'!$B$10:$B$30,0))="","Cell will autofill based on response",INDEX('Faculties'!$L$10:$L$30,MATCH($F197,'Faculties'!$B$10:$B$30,0))),"N/A")</f>
        <v/>
      </c>
      <c r="I197" s="25">
        <f>IFERROR(IF(INDEX('Faculties'!$L$37:$L$57,MATCH($F197,'Faculties'!$B$37:$B$57,0))="","Cell will autofill based on response",INDEX('Faculties'!$L$37:$L$57,MATCH($F197,'Faculties'!$B$37:$B$57,0))),"N/A")</f>
        <v/>
      </c>
      <c r="J197" s="25">
        <f>IFERROR(IF(INDEX('Faculties'!$L$64:$L$84,MATCH($F197,'Faculties'!$B$64:$B$84,0))="","Cell will autofill based on response",INDEX('Faculties'!$L$64:$L$84,MATCH($F197,'Faculties'!$B$64:$B$84,0))),"N/A")</f>
        <v/>
      </c>
      <c r="K197" s="25">
        <f>IFERROR(IF(INDEX('Faculties'!$L$91:$L$111,MATCH($F197,'Faculties'!$B$91:$B$111,0))="","Cell will autofill based on response",INDEX('Faculties'!$L$91:$L$111,MATCH($F197,'Faculties'!$B$91:$B$111,0))),"N/A")</f>
        <v/>
      </c>
      <c r="L197" s="25">
        <f>IFERROR(IF(INDEX('CI&amp;S'!$L$10:$L$15,MATCH($F197,'CI&amp;S'!$B$10:$B$15,0))="","Cell will autofill based on response",INDEX('CI&amp;S'!$L$10:$L$15,MATCH($F197,'CI&amp;S'!$B$10:$B$15,0))),"N/A")</f>
        <v/>
      </c>
      <c r="M197" s="25">
        <f>IFERROR(IF(INDEX('CI&amp;S'!$L$22:$L$39,MATCH($F197,'CI&amp;S'!$B$22:$B$39,0))="","Cell will autofill based on response",INDEX('CI&amp;S'!$L$22:$L$39,MATCH($F197,'CI&amp;S'!$B$22:$B$39,0))),"N/A")</f>
        <v/>
      </c>
      <c r="N197" s="25">
        <f>IFERROR(IF(INDEX('CFOG'!$L$10:$L$16,MATCH($F197,'CFOG'!$B$10:$B$16,0))="","Cell will autofill based on response",INDEX('CFOG'!$L$10:$L$16,MATCH($F197,'CFOG'!$B$10:$B$16,0))),"N/A")</f>
        <v/>
      </c>
      <c r="O197" s="25">
        <f>IFERROR(IF(INDEX('CFOG'!$L$23:$L$24,MATCH($F197,'CFOG'!$B$23:$B$24,0))="","Cell will autofill based on response",INDEX('CFOG'!$L$23:$L$24,MATCH($F197,'CFOG'!$B$23:$B$24,0))),"N/A")</f>
        <v/>
      </c>
      <c r="P197" s="25">
        <f>IFERROR(IF(INDEX('ESG'!$L$10:$L$17,MATCH($F197,'ESG'!$B$10:$B$17,0))="","Cell will autofill based on response",INDEX('ESG'!$L$10:$L$17,MATCH($F197,'ESG'!$B$10:$B$17,0))),"N/A")</f>
        <v/>
      </c>
      <c r="Q197" s="25">
        <f>IFERROR(IF(INDEX('CIOG'!$L$10:$L$14,MATCH($F197,'CIOG'!$B$10:$B$14,0))="","Cell will autofill based on response",INDEX('CIOG'!$L$10:$L$14,MATCH($F197,'CIOG'!$B$10:$B$14,0))),"N/A")</f>
        <v/>
      </c>
      <c r="R197" s="25">
        <f>IFERROR(IF(INDEX('MRE'!$L$10:$L$12,MATCH($F197,'MRE'!$B$10:$B$12,0))="","Cell will autofill based on response",INDEX('MRE'!$L$10:$L$12,MATCH($F197,'MRE'!$B$10:$B$12,0))),"N/A")</f>
        <v/>
      </c>
      <c r="S197" s="25">
        <f>IFERROR(IF(INDEX('L&amp;R'!$L$10:$L$11,MATCH($F197,'L&amp;R'!$B$10:$B$11,0))="","Cell will autofill based on response",INDEX('L&amp;R'!$L$10:$L$11,MATCH($F197,'L&amp;R'!$B$10:$B$11,0))),"N/A")</f>
        <v/>
      </c>
      <c r="U197" s="26">
        <f>COUNTIF($H197:$S197,"Cell will autofill based on response")</f>
        <v/>
      </c>
      <c r="V197" s="26">
        <f>COUNTIF($H197:$S197,"Not yet started")</f>
        <v/>
      </c>
      <c r="W197" s="26">
        <f>COUNTIF($H197:$S197,"Not met")</f>
        <v/>
      </c>
      <c r="X197" s="26">
        <f>COUNTIF($H197:$S197,"Partially met")</f>
        <v/>
      </c>
      <c r="Y197" s="26">
        <f>COUNTIF($H197:$S197,"Met or exceeded")</f>
        <v/>
      </c>
      <c r="Z197" s="26">
        <f>3*Y197+2*X197+W197</f>
        <v/>
      </c>
      <c r="AA197" s="26">
        <f>Y197+X197+W197+V197</f>
        <v/>
      </c>
      <c r="AB197" s="27">
        <f>IF(AA197&gt;0,Z197/AA197,"No valid responses to date")</f>
        <v/>
      </c>
      <c r="AC197" s="26">
        <f>IF(ISNUMBER(AB197),INDEX(Lists!$G$2:$G$5,MATCH(ROUND(AB197,0),Lists!$H$2:$H$5,0)),"")</f>
        <v/>
      </c>
      <c r="AD197" s="28">
        <f>IF(AA197&gt;0,Y197/AA197,"")</f>
        <v/>
      </c>
      <c r="AE197" s="28">
        <f>IF(AA197&gt;0,(Y197+X197)/AA197,"")</f>
        <v/>
      </c>
      <c r="AF197" s="26">
        <f>IF(AA197=0,"",IF(AD197&gt;0.75,"Met or exceeded",IF(AE197&gt;=0.5,"Partially met","Not met")))</f>
        <v/>
      </c>
    </row>
    <row r="198">
      <c r="A198">
        <f>F198&amp;"|"&amp;G198</f>
        <v/>
      </c>
      <c r="B198" s="29" t="inlineStr"/>
      <c r="C198" s="8" t="inlineStr"/>
      <c r="D198" s="8" t="inlineStr"/>
      <c r="E198" s="8" t="inlineStr"/>
      <c r="F198" s="8" t="inlineStr">
        <is>
          <t>AI1(b)</t>
        </is>
      </c>
      <c r="G198" s="8" t="inlineStr">
        <is>
          <t>OPTION 1:  Target-level reporting</t>
        </is>
      </c>
      <c r="H198" s="25">
        <f>IFERROR(IF(INDEX('Faculties'!$M$10:$M$30,MATCH($F198,'Faculties'!$B$10:$B$30,0))="","Cell will autofill based on response",INDEX('Faculties'!$M$10:$M$30,MATCH($F198,'Faculties'!$B$10:$B$30,0))),"N/A")</f>
        <v/>
      </c>
      <c r="I198" s="25">
        <f>IFERROR(IF(INDEX('Faculties'!$M$37:$M$57,MATCH($F198,'Faculties'!$B$37:$B$57,0))="","Cell will autofill based on response",INDEX('Faculties'!$M$37:$M$57,MATCH($F198,'Faculties'!$B$37:$B$57,0))),"N/A")</f>
        <v/>
      </c>
      <c r="J198" s="25">
        <f>IFERROR(IF(INDEX('Faculties'!$M$64:$M$84,MATCH($F198,'Faculties'!$B$64:$B$84,0))="","Cell will autofill based on response",INDEX('Faculties'!$M$64:$M$84,MATCH($F198,'Faculties'!$B$64:$B$84,0))),"N/A")</f>
        <v/>
      </c>
      <c r="K198" s="25">
        <f>IFERROR(IF(INDEX('Faculties'!$M$91:$M$111,MATCH($F198,'Faculties'!$B$91:$B$111,0))="","Cell will autofill based on response",INDEX('Faculties'!$M$91:$M$111,MATCH($F198,'Faculties'!$B$91:$B$111,0))),"N/A")</f>
        <v/>
      </c>
      <c r="L198" s="25">
        <f>IFERROR(IF(INDEX('CI&amp;S'!$M$10:$M$15,MATCH($F198,'CI&amp;S'!$B$10:$B$15,0))="","Cell will autofill based on response",INDEX('CI&amp;S'!$M$10:$M$15,MATCH($F198,'CI&amp;S'!$B$10:$B$15,0))),"N/A")</f>
        <v/>
      </c>
      <c r="M198" s="25">
        <f>IFERROR(IF(INDEX('CI&amp;S'!$M$22:$M$39,MATCH($F198,'CI&amp;S'!$B$22:$B$39,0))="","Cell will autofill based on response",INDEX('CI&amp;S'!$M$22:$M$39,MATCH($F198,'CI&amp;S'!$B$22:$B$39,0))),"N/A")</f>
        <v/>
      </c>
      <c r="N198" s="25">
        <f>IFERROR(IF(INDEX('CFOG'!$M$10:$M$16,MATCH($F198,'CFOG'!$B$10:$B$16,0))="","Cell will autofill based on response",INDEX('CFOG'!$M$10:$M$16,MATCH($F198,'CFOG'!$B$10:$B$16,0))),"N/A")</f>
        <v/>
      </c>
      <c r="O198" s="25">
        <f>IFERROR(IF(INDEX('CFOG'!$M$23:$M$24,MATCH($F198,'CFOG'!$B$23:$B$24,0))="","Cell will autofill based on response",INDEX('CFOG'!$M$23:$M$24,MATCH($F198,'CFOG'!$B$23:$B$24,0))),"N/A")</f>
        <v/>
      </c>
      <c r="P198" s="25">
        <f>IFERROR(IF(INDEX('ESG'!$M$10:$M$17,MATCH($F198,'ESG'!$B$10:$B$17,0))="","Cell will autofill based on response",INDEX('ESG'!$M$10:$M$17,MATCH($F198,'ESG'!$B$10:$B$17,0))),"N/A")</f>
        <v/>
      </c>
      <c r="Q198" s="25">
        <f>IFERROR(IF(INDEX('CIOG'!$M$10:$M$14,MATCH($F198,'CIOG'!$B$10:$B$14,0))="","Cell will autofill based on response",INDEX('CIOG'!$M$10:$M$14,MATCH($F198,'CIOG'!$B$10:$B$14,0))),"N/A")</f>
        <v/>
      </c>
      <c r="R198" s="25">
        <f>IFERROR(IF(INDEX('MRE'!$M$10:$M$12,MATCH($F198,'MRE'!$B$10:$B$12,0))="","Cell will autofill based on response",INDEX('MRE'!$M$10:$M$12,MATCH($F198,'MRE'!$B$10:$B$12,0))),"N/A")</f>
        <v/>
      </c>
      <c r="S198" s="25">
        <f>IFERROR(IF(INDEX('L&amp;R'!$M$10:$M$11,MATCH($F198,'L&amp;R'!$B$10:$B$11,0))="","Cell will autofill based on response",INDEX('L&amp;R'!$M$10:$M$11,MATCH($F198,'L&amp;R'!$B$10:$B$11,0))),"N/A")</f>
        <v/>
      </c>
    </row>
    <row r="199">
      <c r="A199">
        <f>F199&amp;"|"&amp;G199</f>
        <v/>
      </c>
      <c r="B199" s="29" t="inlineStr"/>
      <c r="C199" s="8" t="inlineStr"/>
      <c r="D199" s="8" t="inlineStr"/>
      <c r="E199" s="8" t="inlineStr"/>
      <c r="F199" s="8" t="inlineStr">
        <is>
          <t>AI1(b)</t>
        </is>
      </c>
      <c r="G199" s="8" t="inlineStr">
        <is>
          <t>OPTION 2:  Indicator level reporting</t>
        </is>
      </c>
      <c r="H199" s="25">
        <f>IFERROR(IF(INDEX('Faculties'!$N$10:$N$30,MATCH($F199,'Faculties'!$B$10:$B$30,0))="","Cell will autofill based on response",INDEX('Faculties'!$N$10:$N$30,MATCH($F199,'Faculties'!$B$10:$B$30,0))),"N/A")</f>
        <v/>
      </c>
      <c r="I199" s="25">
        <f>IFERROR(IF(INDEX('Faculties'!$N$37:$N$57,MATCH($F199,'Faculties'!$B$37:$B$57,0))="","Cell will autofill based on response",INDEX('Faculties'!$N$37:$N$57,MATCH($F199,'Faculties'!$B$37:$B$57,0))),"N/A")</f>
        <v/>
      </c>
      <c r="J199" s="25">
        <f>IFERROR(IF(INDEX('Faculties'!$N$64:$N$84,MATCH($F199,'Faculties'!$B$64:$B$84,0))="","Cell will autofill based on response",INDEX('Faculties'!$N$64:$N$84,MATCH($F199,'Faculties'!$B$64:$B$84,0))),"N/A")</f>
        <v/>
      </c>
      <c r="K199" s="25">
        <f>IFERROR(IF(INDEX('Faculties'!$N$91:$N$111,MATCH($F199,'Faculties'!$B$91:$B$111,0))="","Cell will autofill based on response",INDEX('Faculties'!$N$91:$N$111,MATCH($F199,'Faculties'!$B$91:$B$111,0))),"N/A")</f>
        <v/>
      </c>
      <c r="L199" s="25">
        <f>IFERROR(IF(INDEX('CI&amp;S'!$N$10:$N$15,MATCH($F199,'CI&amp;S'!$B$10:$B$15,0))="","Cell will autofill based on response",INDEX('CI&amp;S'!$N$10:$N$15,MATCH($F199,'CI&amp;S'!$B$10:$B$15,0))),"N/A")</f>
        <v/>
      </c>
      <c r="M199" s="25">
        <f>IFERROR(IF(INDEX('CI&amp;S'!$N$22:$N$39,MATCH($F199,'CI&amp;S'!$B$22:$B$39,0))="","Cell will autofill based on response",INDEX('CI&amp;S'!$N$22:$N$39,MATCH($F199,'CI&amp;S'!$B$22:$B$39,0))),"N/A")</f>
        <v/>
      </c>
      <c r="N199" s="25">
        <f>IFERROR(IF(INDEX('CFOG'!$N$10:$N$16,MATCH($F199,'CFOG'!$B$10:$B$16,0))="","Cell will autofill based on response",INDEX('CFOG'!$N$10:$N$16,MATCH($F199,'CFOG'!$B$10:$B$16,0))),"N/A")</f>
        <v/>
      </c>
      <c r="O199" s="25">
        <f>IFERROR(IF(INDEX('CFOG'!$N$23:$N$24,MATCH($F199,'CFOG'!$B$23:$B$24,0))="","Cell will autofill based on response",INDEX('CFOG'!$N$23:$N$24,MATCH($F199,'CFOG'!$B$23:$B$24,0))),"N/A")</f>
        <v/>
      </c>
      <c r="P199" s="25">
        <f>IFERROR(IF(INDEX('ESG'!$N$10:$N$17,MATCH($F199,'ESG'!$B$10:$B$17,0))="","Cell will autofill based on response",INDEX('ESG'!$N$10:$N$17,MATCH($F199,'ESG'!$B$10:$B$17,0))),"N/A")</f>
        <v/>
      </c>
      <c r="Q199" s="25">
        <f>IFERROR(IF(INDEX('CIOG'!$N$10:$N$14,MATCH($F199,'CIOG'!$B$10:$B$14,0))="","Cell will autofill based on response",INDEX('CIOG'!$N$10:$N$14,MATCH($F199,'CIOG'!$B$10:$B$14,0))),"N/A")</f>
        <v/>
      </c>
      <c r="R199" s="25">
        <f>IFERROR(IF(INDEX('MRE'!$N$10:$N$12,MATCH($F199,'MRE'!$B$10:$B$12,0))="","Cell will autofill based on response",INDEX('MRE'!$N$10:$N$12,MATCH($F199,'MRE'!$B$10:$B$12,0))),"N/A")</f>
        <v/>
      </c>
      <c r="S199" s="25">
        <f>IFERROR(IF(INDEX('L&amp;R'!$N$10:$N$11,MATCH($F199,'L&amp;R'!$B$10:$B$11,0))="","Cell will autofill based on response",INDEX('L&amp;R'!$N$10:$N$11,MATCH($F199,'L&amp;R'!$B$10:$B$11,0))),"N/A")</f>
        <v/>
      </c>
    </row>
    <row r="200">
      <c r="A200">
        <f>F200&amp;"|"&amp;G200</f>
        <v/>
      </c>
      <c r="B200" s="29" t="inlineStr"/>
      <c r="C200" s="8" t="inlineStr"/>
      <c r="D200" s="8" t="inlineStr"/>
      <c r="E200" s="8" t="inlineStr"/>
      <c r="F200" s="8" t="inlineStr">
        <is>
          <t>AI1(b)</t>
        </is>
      </c>
      <c r="G200" s="8" t="inlineStr">
        <is>
          <t>Supporting information/comments</t>
        </is>
      </c>
      <c r="H200" s="25">
        <f>IFERROR(IF(INDEX('Faculties'!$O$10:$O$30,MATCH($F200,'Faculties'!$B$10:$B$30,0))="","Cell will autofill based on response",INDEX('Faculties'!$O$10:$O$30,MATCH($F200,'Faculties'!$B$10:$B$30,0))),"N/A")</f>
        <v/>
      </c>
      <c r="I200" s="25">
        <f>IFERROR(IF(INDEX('Faculties'!$O$37:$O$57,MATCH($F200,'Faculties'!$B$37:$B$57,0))="","Cell will autofill based on response",INDEX('Faculties'!$O$37:$O$57,MATCH($F200,'Faculties'!$B$37:$B$57,0))),"N/A")</f>
        <v/>
      </c>
      <c r="J200" s="25">
        <f>IFERROR(IF(INDEX('Faculties'!$O$64:$O$84,MATCH($F200,'Faculties'!$B$64:$B$84,0))="","Cell will autofill based on response",INDEX('Faculties'!$O$64:$O$84,MATCH($F200,'Faculties'!$B$64:$B$84,0))),"N/A")</f>
        <v/>
      </c>
      <c r="K200" s="25">
        <f>IFERROR(IF(INDEX('Faculties'!$O$91:$O$111,MATCH($F200,'Faculties'!$B$91:$B$111,0))="","Cell will autofill based on response",INDEX('Faculties'!$O$91:$O$111,MATCH($F200,'Faculties'!$B$91:$B$111,0))),"N/A")</f>
        <v/>
      </c>
      <c r="L200" s="25">
        <f>IFERROR(IF(INDEX('CI&amp;S'!$O$10:$O$15,MATCH($F200,'CI&amp;S'!$B$10:$B$15,0))="","Cell will autofill based on response",INDEX('CI&amp;S'!$O$10:$O$15,MATCH($F200,'CI&amp;S'!$B$10:$B$15,0))),"N/A")</f>
        <v/>
      </c>
      <c r="M200" s="25">
        <f>IFERROR(IF(INDEX('CI&amp;S'!$O$22:$O$39,MATCH($F200,'CI&amp;S'!$B$22:$B$39,0))="","Cell will autofill based on response",INDEX('CI&amp;S'!$O$22:$O$39,MATCH($F200,'CI&amp;S'!$B$22:$B$39,0))),"N/A")</f>
        <v/>
      </c>
      <c r="N200" s="25">
        <f>IFERROR(IF(INDEX('CFOG'!$O$10:$O$16,MATCH($F200,'CFOG'!$B$10:$B$16,0))="","Cell will autofill based on response",INDEX('CFOG'!$O$10:$O$16,MATCH($F200,'CFOG'!$B$10:$B$16,0))),"N/A")</f>
        <v/>
      </c>
      <c r="O200" s="25">
        <f>IFERROR(IF(INDEX('CFOG'!$O$23:$O$24,MATCH($F200,'CFOG'!$B$23:$B$24,0))="","Cell will autofill based on response",INDEX('CFOG'!$O$23:$O$24,MATCH($F200,'CFOG'!$B$23:$B$24,0))),"N/A")</f>
        <v/>
      </c>
      <c r="P200" s="25">
        <f>IFERROR(IF(INDEX('ESG'!$O$10:$O$17,MATCH($F200,'ESG'!$B$10:$B$17,0))="","Cell will autofill based on response",INDEX('ESG'!$O$10:$O$17,MATCH($F200,'ESG'!$B$10:$B$17,0))),"N/A")</f>
        <v/>
      </c>
      <c r="Q200" s="25">
        <f>IFERROR(IF(INDEX('CIOG'!$O$10:$O$14,MATCH($F200,'CIOG'!$B$10:$B$14,0))="","Cell will autofill based on response",INDEX('CIOG'!$O$10:$O$14,MATCH($F200,'CIOG'!$B$10:$B$14,0))),"N/A")</f>
        <v/>
      </c>
      <c r="R200" s="25">
        <f>IFERROR(IF(INDEX('MRE'!$O$10:$O$12,MATCH($F200,'MRE'!$B$10:$B$12,0))="","Cell will autofill based on response",INDEX('MRE'!$O$10:$O$12,MATCH($F200,'MRE'!$B$10:$B$12,0))),"N/A")</f>
        <v/>
      </c>
      <c r="S200" s="25">
        <f>IFERROR(IF(INDEX('L&amp;R'!$O$10:$O$11,MATCH($F200,'L&amp;R'!$B$10:$B$11,0))="","Cell will autofill based on response",INDEX('L&amp;R'!$O$10:$O$11,MATCH($F200,'L&amp;R'!$B$10:$B$11,0))),"N/A")</f>
        <v/>
      </c>
    </row>
    <row r="201">
      <c r="A201">
        <f>F201&amp;"|"&amp;G201</f>
        <v/>
      </c>
      <c r="B201" s="29" t="inlineStr"/>
      <c r="C201" s="8" t="inlineStr"/>
      <c r="D201" s="8" t="inlineStr"/>
      <c r="E201" s="8" t="inlineStr"/>
      <c r="F201" s="8" t="inlineStr">
        <is>
          <t>AI1(b)</t>
        </is>
      </c>
      <c r="G201" s="8" t="inlineStr">
        <is>
          <t>Data source and limitations</t>
        </is>
      </c>
      <c r="H201" s="25">
        <f>IFERROR(IF(INDEX('Faculties'!$P$10:$P$30,MATCH($F201,'Faculties'!$B$10:$B$30,0))="","Cell will autofill based on response",INDEX('Faculties'!$P$10:$P$30,MATCH($F201,'Faculties'!$B$10:$B$30,0))),"N/A")</f>
        <v/>
      </c>
      <c r="I201" s="25">
        <f>IFERROR(IF(INDEX('Faculties'!$P$37:$P$57,MATCH($F201,'Faculties'!$B$37:$B$57,0))="","Cell will autofill based on response",INDEX('Faculties'!$P$37:$P$57,MATCH($F201,'Faculties'!$B$37:$B$57,0))),"N/A")</f>
        <v/>
      </c>
      <c r="J201" s="25">
        <f>IFERROR(IF(INDEX('Faculties'!$P$64:$P$84,MATCH($F201,'Faculties'!$B$64:$B$84,0))="","Cell will autofill based on response",INDEX('Faculties'!$P$64:$P$84,MATCH($F201,'Faculties'!$B$64:$B$84,0))),"N/A")</f>
        <v/>
      </c>
      <c r="K201" s="25">
        <f>IFERROR(IF(INDEX('Faculties'!$P$91:$P$111,MATCH($F201,'Faculties'!$B$91:$B$111,0))="","Cell will autofill based on response",INDEX('Faculties'!$P$91:$P$111,MATCH($F201,'Faculties'!$B$91:$B$111,0))),"N/A")</f>
        <v/>
      </c>
      <c r="L201" s="25">
        <f>IFERROR(IF(INDEX('CI&amp;S'!$P$10:$P$15,MATCH($F201,'CI&amp;S'!$B$10:$B$15,0))="","Cell will autofill based on response",INDEX('CI&amp;S'!$P$10:$P$15,MATCH($F201,'CI&amp;S'!$B$10:$B$15,0))),"N/A")</f>
        <v/>
      </c>
      <c r="M201" s="25">
        <f>IFERROR(IF(INDEX('CI&amp;S'!$P$22:$P$39,MATCH($F201,'CI&amp;S'!$B$22:$B$39,0))="","Cell will autofill based on response",INDEX('CI&amp;S'!$P$22:$P$39,MATCH($F201,'CI&amp;S'!$B$22:$B$39,0))),"N/A")</f>
        <v/>
      </c>
      <c r="N201" s="25">
        <f>IFERROR(IF(INDEX('CFOG'!$P$10:$P$16,MATCH($F201,'CFOG'!$B$10:$B$16,0))="","Cell will autofill based on response",INDEX('CFOG'!$P$10:$P$16,MATCH($F201,'CFOG'!$B$10:$B$16,0))),"N/A")</f>
        <v/>
      </c>
      <c r="O201" s="25">
        <f>IFERROR(IF(INDEX('CFOG'!$P$23:$P$24,MATCH($F201,'CFOG'!$B$23:$B$24,0))="","Cell will autofill based on response",INDEX('CFOG'!$P$23:$P$24,MATCH($F201,'CFOG'!$B$23:$B$24,0))),"N/A")</f>
        <v/>
      </c>
      <c r="P201" s="25">
        <f>IFERROR(IF(INDEX('ESG'!$P$10:$P$17,MATCH($F201,'ESG'!$B$10:$B$17,0))="","Cell will autofill based on response",INDEX('ESG'!$P$10:$P$17,MATCH($F201,'ESG'!$B$10:$B$17,0))),"N/A")</f>
        <v/>
      </c>
      <c r="Q201" s="25">
        <f>IFERROR(IF(INDEX('CIOG'!$P$10:$P$14,MATCH($F201,'CIOG'!$B$10:$B$14,0))="","Cell will autofill based on response",INDEX('CIOG'!$P$10:$P$14,MATCH($F201,'CIOG'!$B$10:$B$14,0))),"N/A")</f>
        <v/>
      </c>
      <c r="R201" s="25">
        <f>IFERROR(IF(INDEX('MRE'!$P$10:$P$12,MATCH($F201,'MRE'!$B$10:$B$12,0))="","Cell will autofill based on response",INDEX('MRE'!$P$10:$P$12,MATCH($F201,'MRE'!$B$10:$B$12,0))),"N/A")</f>
        <v/>
      </c>
      <c r="S201" s="25">
        <f>IFERROR(IF(INDEX('L&amp;R'!$P$10:$P$11,MATCH($F201,'L&amp;R'!$B$10:$B$11,0))="","Cell will autofill based on response",INDEX('L&amp;R'!$P$10:$P$11,MATCH($F201,'L&amp;R'!$B$10:$B$11,0))),"N/A")</f>
        <v/>
      </c>
    </row>
    <row r="202">
      <c r="A202">
        <f>F202&amp;"|"&amp;G202</f>
        <v/>
      </c>
      <c r="B202" s="29" t="inlineStr"/>
      <c r="C202" s="8" t="inlineStr"/>
      <c r="D202" s="8" t="inlineStr"/>
      <c r="E202" s="8" t="inlineStr"/>
      <c r="F202" s="8" t="inlineStr">
        <is>
          <t>AI1(b)</t>
        </is>
      </c>
      <c r="G202" s="8" t="inlineStr">
        <is>
          <t>Data owner confirms</t>
        </is>
      </c>
      <c r="H202" s="25">
        <f>IFERROR(IF(INDEX('Faculties'!$Q$10:$Q$30,MATCH($F202,'Faculties'!$B$10:$B$30,0))="","Cell will autofill based on response",INDEX('Faculties'!$Q$10:$Q$30,MATCH($F202,'Faculties'!$B$10:$B$30,0))),"N/A")</f>
        <v/>
      </c>
      <c r="I202" s="25">
        <f>IFERROR(IF(INDEX('Faculties'!$Q$37:$Q$57,MATCH($F202,'Faculties'!$B$37:$B$57,0))="","Cell will autofill based on response",INDEX('Faculties'!$Q$37:$Q$57,MATCH($F202,'Faculties'!$B$37:$B$57,0))),"N/A")</f>
        <v/>
      </c>
      <c r="J202" s="25">
        <f>IFERROR(IF(INDEX('Faculties'!$Q$64:$Q$84,MATCH($F202,'Faculties'!$B$64:$B$84,0))="","Cell will autofill based on response",INDEX('Faculties'!$Q$64:$Q$84,MATCH($F202,'Faculties'!$B$64:$B$84,0))),"N/A")</f>
        <v/>
      </c>
      <c r="K202" s="25">
        <f>IFERROR(IF(INDEX('Faculties'!$Q$91:$Q$111,MATCH($F202,'Faculties'!$B$91:$B$111,0))="","Cell will autofill based on response",INDEX('Faculties'!$Q$91:$Q$111,MATCH($F202,'Faculties'!$B$91:$B$111,0))),"N/A")</f>
        <v/>
      </c>
      <c r="L202" s="25">
        <f>IFERROR(IF(INDEX('CI&amp;S'!$Q$10:$Q$15,MATCH($F202,'CI&amp;S'!$B$10:$B$15,0))="","Cell will autofill based on response",INDEX('CI&amp;S'!$Q$10:$Q$15,MATCH($F202,'CI&amp;S'!$B$10:$B$15,0))),"N/A")</f>
        <v/>
      </c>
      <c r="M202" s="25">
        <f>IFERROR(IF(INDEX('CI&amp;S'!$Q$22:$Q$39,MATCH($F202,'CI&amp;S'!$B$22:$B$39,0))="","Cell will autofill based on response",INDEX('CI&amp;S'!$Q$22:$Q$39,MATCH($F202,'CI&amp;S'!$B$22:$B$39,0))),"N/A")</f>
        <v/>
      </c>
      <c r="N202" s="25">
        <f>IFERROR(IF(INDEX('CFOG'!$Q$10:$Q$16,MATCH($F202,'CFOG'!$B$10:$B$16,0))="","Cell will autofill based on response",INDEX('CFOG'!$Q$10:$Q$16,MATCH($F202,'CFOG'!$B$10:$B$16,0))),"N/A")</f>
        <v/>
      </c>
      <c r="O202" s="25">
        <f>IFERROR(IF(INDEX('CFOG'!$Q$23:$Q$24,MATCH($F202,'CFOG'!$B$23:$B$24,0))="","Cell will autofill based on response",INDEX('CFOG'!$Q$23:$Q$24,MATCH($F202,'CFOG'!$B$23:$B$24,0))),"N/A")</f>
        <v/>
      </c>
      <c r="P202" s="25">
        <f>IFERROR(IF(INDEX('ESG'!$Q$10:$Q$17,MATCH($F202,'ESG'!$B$10:$B$17,0))="","Cell will autofill based on response",INDEX('ESG'!$Q$10:$Q$17,MATCH($F202,'ESG'!$B$10:$B$17,0))),"N/A")</f>
        <v/>
      </c>
      <c r="Q202" s="25">
        <f>IFERROR(IF(INDEX('CIOG'!$Q$10:$Q$14,MATCH($F202,'CIOG'!$B$10:$B$14,0))="","Cell will autofill based on response",INDEX('CIOG'!$Q$10:$Q$14,MATCH($F202,'CIOG'!$B$10:$B$14,0))),"N/A")</f>
        <v/>
      </c>
      <c r="R202" s="25">
        <f>IFERROR(IF(INDEX('MRE'!$Q$10:$Q$12,MATCH($F202,'MRE'!$B$10:$B$12,0))="","Cell will autofill based on response",INDEX('MRE'!$Q$10:$Q$12,MATCH($F202,'MRE'!$B$10:$B$12,0))),"N/A")</f>
        <v/>
      </c>
      <c r="S202" s="25">
        <f>IFERROR(IF(INDEX('L&amp;R'!$Q$10:$Q$11,MATCH($F202,'L&amp;R'!$B$10:$B$11,0))="","Cell will autofill based on response",INDEX('L&amp;R'!$Q$10:$Q$11,MATCH($F202,'L&amp;R'!$B$10:$B$11,0))),"N/A")</f>
        <v/>
      </c>
    </row>
    <row r="203">
      <c r="A203">
        <f>F203&amp;"|"&amp;G203</f>
        <v/>
      </c>
      <c r="B203" s="7" t="inlineStr">
        <is>
          <t>EI1(a)</t>
        </is>
      </c>
      <c r="C203" s="12" t="inlineStr">
        <is>
          <t>Estate and infrastructure</t>
        </is>
      </c>
      <c r="D203" s="12" t="inlineStr">
        <is>
          <t>Evidence of increased maturity of estate and infrastructure planning, development and operations to support the other priority areas in Sustainability 2030</t>
        </is>
      </c>
      <c r="E203" s="12" t="inlineStr">
        <is>
          <t>Case study evidence of increased sustainability maturity in estate and infrastructure planning, development and operations, could include examples of changes to standards, processes, governance, decision-making or project requirements that support Sustainability 2030 priority areas.</t>
        </is>
      </c>
      <c r="F203" s="12" t="inlineStr">
        <is>
          <t>EI1(a)</t>
        </is>
      </c>
      <c r="G203" s="12" t="inlineStr">
        <is>
          <t>Confirm end-2026 target status</t>
        </is>
      </c>
      <c r="H203" s="25">
        <f>IFERROR(IF(INDEX('Faculties'!$L$10:$L$30,MATCH($F203,'Faculties'!$B$10:$B$30,0))="","Cell will autofill based on response",INDEX('Faculties'!$L$10:$L$30,MATCH($F203,'Faculties'!$B$10:$B$30,0))),"N/A")</f>
        <v/>
      </c>
      <c r="I203" s="25">
        <f>IFERROR(IF(INDEX('Faculties'!$L$37:$L$57,MATCH($F203,'Faculties'!$B$37:$B$57,0))="","Cell will autofill based on response",INDEX('Faculties'!$L$37:$L$57,MATCH($F203,'Faculties'!$B$37:$B$57,0))),"N/A")</f>
        <v/>
      </c>
      <c r="J203" s="25">
        <f>IFERROR(IF(INDEX('Faculties'!$L$64:$L$84,MATCH($F203,'Faculties'!$B$64:$B$84,0))="","Cell will autofill based on response",INDEX('Faculties'!$L$64:$L$84,MATCH($F203,'Faculties'!$B$64:$B$84,0))),"N/A")</f>
        <v/>
      </c>
      <c r="K203" s="25">
        <f>IFERROR(IF(INDEX('Faculties'!$L$91:$L$111,MATCH($F203,'Faculties'!$B$91:$B$111,0))="","Cell will autofill based on response",INDEX('Faculties'!$L$91:$L$111,MATCH($F203,'Faculties'!$B$91:$B$111,0))),"N/A")</f>
        <v/>
      </c>
      <c r="L203" s="25">
        <f>IFERROR(IF(INDEX('CI&amp;S'!$L$10:$L$15,MATCH($F203,'CI&amp;S'!$B$10:$B$15,0))="","Cell will autofill based on response",INDEX('CI&amp;S'!$L$10:$L$15,MATCH($F203,'CI&amp;S'!$B$10:$B$15,0))),"N/A")</f>
        <v/>
      </c>
      <c r="M203" s="25">
        <f>IFERROR(IF(INDEX('CI&amp;S'!$L$22:$L$39,MATCH($F203,'CI&amp;S'!$B$22:$B$39,0))="","Cell will autofill based on response",INDEX('CI&amp;S'!$L$22:$L$39,MATCH($F203,'CI&amp;S'!$B$22:$B$39,0))),"N/A")</f>
        <v/>
      </c>
      <c r="N203" s="25">
        <f>IFERROR(IF(INDEX('CFOG'!$L$10:$L$16,MATCH($F203,'CFOG'!$B$10:$B$16,0))="","Cell will autofill based on response",INDEX('CFOG'!$L$10:$L$16,MATCH($F203,'CFOG'!$B$10:$B$16,0))),"N/A")</f>
        <v/>
      </c>
      <c r="O203" s="25">
        <f>IFERROR(IF(INDEX('CFOG'!$L$23:$L$24,MATCH($F203,'CFOG'!$B$23:$B$24,0))="","Cell will autofill based on response",INDEX('CFOG'!$L$23:$L$24,MATCH($F203,'CFOG'!$B$23:$B$24,0))),"N/A")</f>
        <v/>
      </c>
      <c r="P203" s="25">
        <f>IFERROR(IF(INDEX('ESG'!$L$10:$L$17,MATCH($F203,'ESG'!$B$10:$B$17,0))="","Cell will autofill based on response",INDEX('ESG'!$L$10:$L$17,MATCH($F203,'ESG'!$B$10:$B$17,0))),"N/A")</f>
        <v/>
      </c>
      <c r="Q203" s="25">
        <f>IFERROR(IF(INDEX('CIOG'!$L$10:$L$14,MATCH($F203,'CIOG'!$B$10:$B$14,0))="","Cell will autofill based on response",INDEX('CIOG'!$L$10:$L$14,MATCH($F203,'CIOG'!$B$10:$B$14,0))),"N/A")</f>
        <v/>
      </c>
      <c r="R203" s="25">
        <f>IFERROR(IF(INDEX('MRE'!$L$10:$L$12,MATCH($F203,'MRE'!$B$10:$B$12,0))="","Cell will autofill based on response",INDEX('MRE'!$L$10:$L$12,MATCH($F203,'MRE'!$B$10:$B$12,0))),"N/A")</f>
        <v/>
      </c>
      <c r="S203" s="25">
        <f>IFERROR(IF(INDEX('L&amp;R'!$L$10:$L$11,MATCH($F203,'L&amp;R'!$B$10:$B$11,0))="","Cell will autofill based on response",INDEX('L&amp;R'!$L$10:$L$11,MATCH($F203,'L&amp;R'!$B$10:$B$11,0))),"N/A")</f>
        <v/>
      </c>
      <c r="U203" s="26">
        <f>COUNTIF($H203:$S203,"Cell will autofill based on response")</f>
        <v/>
      </c>
      <c r="V203" s="26">
        <f>COUNTIF($H203:$S203,"Not yet started")</f>
        <v/>
      </c>
      <c r="W203" s="26">
        <f>COUNTIF($H203:$S203,"Not met")</f>
        <v/>
      </c>
      <c r="X203" s="26">
        <f>COUNTIF($H203:$S203,"Partially met")</f>
        <v/>
      </c>
      <c r="Y203" s="26">
        <f>COUNTIF($H203:$S203,"Met or exceeded")</f>
        <v/>
      </c>
      <c r="Z203" s="26">
        <f>3*Y203+2*X203+W203</f>
        <v/>
      </c>
      <c r="AA203" s="26">
        <f>Y203+X203+W203+V203</f>
        <v/>
      </c>
      <c r="AB203" s="27">
        <f>IF(AA203&gt;0,Z203/AA203,"No valid responses to date")</f>
        <v/>
      </c>
      <c r="AC203" s="26">
        <f>IF(ISNUMBER(AB203),INDEX(Lists!$G$2:$G$5,MATCH(ROUND(AB203,0),Lists!$H$2:$H$5,0)),"")</f>
        <v/>
      </c>
      <c r="AD203" s="28">
        <f>IF(AA203&gt;0,Y203/AA203,"")</f>
        <v/>
      </c>
      <c r="AE203" s="28">
        <f>IF(AA203&gt;0,(Y203+X203)/AA203,"")</f>
        <v/>
      </c>
      <c r="AF203" s="26">
        <f>IF(AA203=0,"",IF(AD203&gt;0.75,"Met or exceeded",IF(AE203&gt;=0.5,"Partially met","Not met")))</f>
        <v/>
      </c>
    </row>
    <row r="204">
      <c r="A204">
        <f>F204&amp;"|"&amp;G204</f>
        <v/>
      </c>
      <c r="B204" s="29" t="inlineStr"/>
      <c r="C204" s="8" t="inlineStr"/>
      <c r="D204" s="8" t="inlineStr"/>
      <c r="E204" s="8" t="inlineStr"/>
      <c r="F204" s="8" t="inlineStr">
        <is>
          <t>EI1(a)</t>
        </is>
      </c>
      <c r="G204" s="8" t="inlineStr">
        <is>
          <t>OPTION 1:  Target-level reporting</t>
        </is>
      </c>
      <c r="H204" s="25">
        <f>IFERROR(IF(INDEX('Faculties'!$M$10:$M$30,MATCH($F204,'Faculties'!$B$10:$B$30,0))="","Cell will autofill based on response",INDEX('Faculties'!$M$10:$M$30,MATCH($F204,'Faculties'!$B$10:$B$30,0))),"N/A")</f>
        <v/>
      </c>
      <c r="I204" s="25">
        <f>IFERROR(IF(INDEX('Faculties'!$M$37:$M$57,MATCH($F204,'Faculties'!$B$37:$B$57,0))="","Cell will autofill based on response",INDEX('Faculties'!$M$37:$M$57,MATCH($F204,'Faculties'!$B$37:$B$57,0))),"N/A")</f>
        <v/>
      </c>
      <c r="J204" s="25">
        <f>IFERROR(IF(INDEX('Faculties'!$M$64:$M$84,MATCH($F204,'Faculties'!$B$64:$B$84,0))="","Cell will autofill based on response",INDEX('Faculties'!$M$64:$M$84,MATCH($F204,'Faculties'!$B$64:$B$84,0))),"N/A")</f>
        <v/>
      </c>
      <c r="K204" s="25">
        <f>IFERROR(IF(INDEX('Faculties'!$M$91:$M$111,MATCH($F204,'Faculties'!$B$91:$B$111,0))="","Cell will autofill based on response",INDEX('Faculties'!$M$91:$M$111,MATCH($F204,'Faculties'!$B$91:$B$111,0))),"N/A")</f>
        <v/>
      </c>
      <c r="L204" s="25">
        <f>IFERROR(IF(INDEX('CI&amp;S'!$M$10:$M$15,MATCH($F204,'CI&amp;S'!$B$10:$B$15,0))="","Cell will autofill based on response",INDEX('CI&amp;S'!$M$10:$M$15,MATCH($F204,'CI&amp;S'!$B$10:$B$15,0))),"N/A")</f>
        <v/>
      </c>
      <c r="M204" s="25">
        <f>IFERROR(IF(INDEX('CI&amp;S'!$M$22:$M$39,MATCH($F204,'CI&amp;S'!$B$22:$B$39,0))="","Cell will autofill based on response",INDEX('CI&amp;S'!$M$22:$M$39,MATCH($F204,'CI&amp;S'!$B$22:$B$39,0))),"N/A")</f>
        <v/>
      </c>
      <c r="N204" s="25">
        <f>IFERROR(IF(INDEX('CFOG'!$M$10:$M$16,MATCH($F204,'CFOG'!$B$10:$B$16,0))="","Cell will autofill based on response",INDEX('CFOG'!$M$10:$M$16,MATCH($F204,'CFOG'!$B$10:$B$16,0))),"N/A")</f>
        <v/>
      </c>
      <c r="O204" s="25">
        <f>IFERROR(IF(INDEX('CFOG'!$M$23:$M$24,MATCH($F204,'CFOG'!$B$23:$B$24,0))="","Cell will autofill based on response",INDEX('CFOG'!$M$23:$M$24,MATCH($F204,'CFOG'!$B$23:$B$24,0))),"N/A")</f>
        <v/>
      </c>
      <c r="P204" s="25">
        <f>IFERROR(IF(INDEX('ESG'!$M$10:$M$17,MATCH($F204,'ESG'!$B$10:$B$17,0))="","Cell will autofill based on response",INDEX('ESG'!$M$10:$M$17,MATCH($F204,'ESG'!$B$10:$B$17,0))),"N/A")</f>
        <v/>
      </c>
      <c r="Q204" s="25">
        <f>IFERROR(IF(INDEX('CIOG'!$M$10:$M$14,MATCH($F204,'CIOG'!$B$10:$B$14,0))="","Cell will autofill based on response",INDEX('CIOG'!$M$10:$M$14,MATCH($F204,'CIOG'!$B$10:$B$14,0))),"N/A")</f>
        <v/>
      </c>
      <c r="R204" s="25">
        <f>IFERROR(IF(INDEX('MRE'!$M$10:$M$12,MATCH($F204,'MRE'!$B$10:$B$12,0))="","Cell will autofill based on response",INDEX('MRE'!$M$10:$M$12,MATCH($F204,'MRE'!$B$10:$B$12,0))),"N/A")</f>
        <v/>
      </c>
      <c r="S204" s="25">
        <f>IFERROR(IF(INDEX('L&amp;R'!$M$10:$M$11,MATCH($F204,'L&amp;R'!$B$10:$B$11,0))="","Cell will autofill based on response",INDEX('L&amp;R'!$M$10:$M$11,MATCH($F204,'L&amp;R'!$B$10:$B$11,0))),"N/A")</f>
        <v/>
      </c>
    </row>
    <row r="205">
      <c r="A205">
        <f>F205&amp;"|"&amp;G205</f>
        <v/>
      </c>
      <c r="B205" s="29" t="inlineStr"/>
      <c r="C205" s="8" t="inlineStr"/>
      <c r="D205" s="8" t="inlineStr"/>
      <c r="E205" s="8" t="inlineStr"/>
      <c r="F205" s="8" t="inlineStr">
        <is>
          <t>EI1(a)</t>
        </is>
      </c>
      <c r="G205" s="8" t="inlineStr">
        <is>
          <t>OPTION 2:  Indicator level reporting</t>
        </is>
      </c>
      <c r="H205" s="25">
        <f>IFERROR(IF(INDEX('Faculties'!$N$10:$N$30,MATCH($F205,'Faculties'!$B$10:$B$30,0))="","Cell will autofill based on response",INDEX('Faculties'!$N$10:$N$30,MATCH($F205,'Faculties'!$B$10:$B$30,0))),"N/A")</f>
        <v/>
      </c>
      <c r="I205" s="25">
        <f>IFERROR(IF(INDEX('Faculties'!$N$37:$N$57,MATCH($F205,'Faculties'!$B$37:$B$57,0))="","Cell will autofill based on response",INDEX('Faculties'!$N$37:$N$57,MATCH($F205,'Faculties'!$B$37:$B$57,0))),"N/A")</f>
        <v/>
      </c>
      <c r="J205" s="25">
        <f>IFERROR(IF(INDEX('Faculties'!$N$64:$N$84,MATCH($F205,'Faculties'!$B$64:$B$84,0))="","Cell will autofill based on response",INDEX('Faculties'!$N$64:$N$84,MATCH($F205,'Faculties'!$B$64:$B$84,0))),"N/A")</f>
        <v/>
      </c>
      <c r="K205" s="25">
        <f>IFERROR(IF(INDEX('Faculties'!$N$91:$N$111,MATCH($F205,'Faculties'!$B$91:$B$111,0))="","Cell will autofill based on response",INDEX('Faculties'!$N$91:$N$111,MATCH($F205,'Faculties'!$B$91:$B$111,0))),"N/A")</f>
        <v/>
      </c>
      <c r="L205" s="25">
        <f>IFERROR(IF(INDEX('CI&amp;S'!$N$10:$N$15,MATCH($F205,'CI&amp;S'!$B$10:$B$15,0))="","Cell will autofill based on response",INDEX('CI&amp;S'!$N$10:$N$15,MATCH($F205,'CI&amp;S'!$B$10:$B$15,0))),"N/A")</f>
        <v/>
      </c>
      <c r="M205" s="25">
        <f>IFERROR(IF(INDEX('CI&amp;S'!$N$22:$N$39,MATCH($F205,'CI&amp;S'!$B$22:$B$39,0))="","Cell will autofill based on response",INDEX('CI&amp;S'!$N$22:$N$39,MATCH($F205,'CI&amp;S'!$B$22:$B$39,0))),"N/A")</f>
        <v/>
      </c>
      <c r="N205" s="25">
        <f>IFERROR(IF(INDEX('CFOG'!$N$10:$N$16,MATCH($F205,'CFOG'!$B$10:$B$16,0))="","Cell will autofill based on response",INDEX('CFOG'!$N$10:$N$16,MATCH($F205,'CFOG'!$B$10:$B$16,0))),"N/A")</f>
        <v/>
      </c>
      <c r="O205" s="25">
        <f>IFERROR(IF(INDEX('CFOG'!$N$23:$N$24,MATCH($F205,'CFOG'!$B$23:$B$24,0))="","Cell will autofill based on response",INDEX('CFOG'!$N$23:$N$24,MATCH($F205,'CFOG'!$B$23:$B$24,0))),"N/A")</f>
        <v/>
      </c>
      <c r="P205" s="25">
        <f>IFERROR(IF(INDEX('ESG'!$N$10:$N$17,MATCH($F205,'ESG'!$B$10:$B$17,0))="","Cell will autofill based on response",INDEX('ESG'!$N$10:$N$17,MATCH($F205,'ESG'!$B$10:$B$17,0))),"N/A")</f>
        <v/>
      </c>
      <c r="Q205" s="25">
        <f>IFERROR(IF(INDEX('CIOG'!$N$10:$N$14,MATCH($F205,'CIOG'!$B$10:$B$14,0))="","Cell will autofill based on response",INDEX('CIOG'!$N$10:$N$14,MATCH($F205,'CIOG'!$B$10:$B$14,0))),"N/A")</f>
        <v/>
      </c>
      <c r="R205" s="25">
        <f>IFERROR(IF(INDEX('MRE'!$N$10:$N$12,MATCH($F205,'MRE'!$B$10:$B$12,0))="","Cell will autofill based on response",INDEX('MRE'!$N$10:$N$12,MATCH($F205,'MRE'!$B$10:$B$12,0))),"N/A")</f>
        <v/>
      </c>
      <c r="S205" s="25">
        <f>IFERROR(IF(INDEX('L&amp;R'!$N$10:$N$11,MATCH($F205,'L&amp;R'!$B$10:$B$11,0))="","Cell will autofill based on response",INDEX('L&amp;R'!$N$10:$N$11,MATCH($F205,'L&amp;R'!$B$10:$B$11,0))),"N/A")</f>
        <v/>
      </c>
    </row>
    <row r="206">
      <c r="A206">
        <f>F206&amp;"|"&amp;G206</f>
        <v/>
      </c>
      <c r="B206" s="29" t="inlineStr"/>
      <c r="C206" s="8" t="inlineStr"/>
      <c r="D206" s="8" t="inlineStr"/>
      <c r="E206" s="8" t="inlineStr"/>
      <c r="F206" s="8" t="inlineStr">
        <is>
          <t>EI1(a)</t>
        </is>
      </c>
      <c r="G206" s="8" t="inlineStr">
        <is>
          <t>Supporting information/comments</t>
        </is>
      </c>
      <c r="H206" s="25">
        <f>IFERROR(IF(INDEX('Faculties'!$O$10:$O$30,MATCH($F206,'Faculties'!$B$10:$B$30,0))="","Cell will autofill based on response",INDEX('Faculties'!$O$10:$O$30,MATCH($F206,'Faculties'!$B$10:$B$30,0))),"N/A")</f>
        <v/>
      </c>
      <c r="I206" s="25">
        <f>IFERROR(IF(INDEX('Faculties'!$O$37:$O$57,MATCH($F206,'Faculties'!$B$37:$B$57,0))="","Cell will autofill based on response",INDEX('Faculties'!$O$37:$O$57,MATCH($F206,'Faculties'!$B$37:$B$57,0))),"N/A")</f>
        <v/>
      </c>
      <c r="J206" s="25">
        <f>IFERROR(IF(INDEX('Faculties'!$O$64:$O$84,MATCH($F206,'Faculties'!$B$64:$B$84,0))="","Cell will autofill based on response",INDEX('Faculties'!$O$64:$O$84,MATCH($F206,'Faculties'!$B$64:$B$84,0))),"N/A")</f>
        <v/>
      </c>
      <c r="K206" s="25">
        <f>IFERROR(IF(INDEX('Faculties'!$O$91:$O$111,MATCH($F206,'Faculties'!$B$91:$B$111,0))="","Cell will autofill based on response",INDEX('Faculties'!$O$91:$O$111,MATCH($F206,'Faculties'!$B$91:$B$111,0))),"N/A")</f>
        <v/>
      </c>
      <c r="L206" s="25">
        <f>IFERROR(IF(INDEX('CI&amp;S'!$O$10:$O$15,MATCH($F206,'CI&amp;S'!$B$10:$B$15,0))="","Cell will autofill based on response",INDEX('CI&amp;S'!$O$10:$O$15,MATCH($F206,'CI&amp;S'!$B$10:$B$15,0))),"N/A")</f>
        <v/>
      </c>
      <c r="M206" s="25">
        <f>IFERROR(IF(INDEX('CI&amp;S'!$O$22:$O$39,MATCH($F206,'CI&amp;S'!$B$22:$B$39,0))="","Cell will autofill based on response",INDEX('CI&amp;S'!$O$22:$O$39,MATCH($F206,'CI&amp;S'!$B$22:$B$39,0))),"N/A")</f>
        <v/>
      </c>
      <c r="N206" s="25">
        <f>IFERROR(IF(INDEX('CFOG'!$O$10:$O$16,MATCH($F206,'CFOG'!$B$10:$B$16,0))="","Cell will autofill based on response",INDEX('CFOG'!$O$10:$O$16,MATCH($F206,'CFOG'!$B$10:$B$16,0))),"N/A")</f>
        <v/>
      </c>
      <c r="O206" s="25">
        <f>IFERROR(IF(INDEX('CFOG'!$O$23:$O$24,MATCH($F206,'CFOG'!$B$23:$B$24,0))="","Cell will autofill based on response",INDEX('CFOG'!$O$23:$O$24,MATCH($F206,'CFOG'!$B$23:$B$24,0))),"N/A")</f>
        <v/>
      </c>
      <c r="P206" s="25">
        <f>IFERROR(IF(INDEX('ESG'!$O$10:$O$17,MATCH($F206,'ESG'!$B$10:$B$17,0))="","Cell will autofill based on response",INDEX('ESG'!$O$10:$O$17,MATCH($F206,'ESG'!$B$10:$B$17,0))),"N/A")</f>
        <v/>
      </c>
      <c r="Q206" s="25">
        <f>IFERROR(IF(INDEX('CIOG'!$O$10:$O$14,MATCH($F206,'CIOG'!$B$10:$B$14,0))="","Cell will autofill based on response",INDEX('CIOG'!$O$10:$O$14,MATCH($F206,'CIOG'!$B$10:$B$14,0))),"N/A")</f>
        <v/>
      </c>
      <c r="R206" s="25">
        <f>IFERROR(IF(INDEX('MRE'!$O$10:$O$12,MATCH($F206,'MRE'!$B$10:$B$12,0))="","Cell will autofill based on response",INDEX('MRE'!$O$10:$O$12,MATCH($F206,'MRE'!$B$10:$B$12,0))),"N/A")</f>
        <v/>
      </c>
      <c r="S206" s="25">
        <f>IFERROR(IF(INDEX('L&amp;R'!$O$10:$O$11,MATCH($F206,'L&amp;R'!$B$10:$B$11,0))="","Cell will autofill based on response",INDEX('L&amp;R'!$O$10:$O$11,MATCH($F206,'L&amp;R'!$B$10:$B$11,0))),"N/A")</f>
        <v/>
      </c>
    </row>
    <row r="207">
      <c r="A207">
        <f>F207&amp;"|"&amp;G207</f>
        <v/>
      </c>
      <c r="B207" s="29" t="inlineStr"/>
      <c r="C207" s="8" t="inlineStr"/>
      <c r="D207" s="8" t="inlineStr"/>
      <c r="E207" s="8" t="inlineStr"/>
      <c r="F207" s="8" t="inlineStr">
        <is>
          <t>EI1(a)</t>
        </is>
      </c>
      <c r="G207" s="8" t="inlineStr">
        <is>
          <t>Data source and limitations</t>
        </is>
      </c>
      <c r="H207" s="25">
        <f>IFERROR(IF(INDEX('Faculties'!$P$10:$P$30,MATCH($F207,'Faculties'!$B$10:$B$30,0))="","Cell will autofill based on response",INDEX('Faculties'!$P$10:$P$30,MATCH($F207,'Faculties'!$B$10:$B$30,0))),"N/A")</f>
        <v/>
      </c>
      <c r="I207" s="25">
        <f>IFERROR(IF(INDEX('Faculties'!$P$37:$P$57,MATCH($F207,'Faculties'!$B$37:$B$57,0))="","Cell will autofill based on response",INDEX('Faculties'!$P$37:$P$57,MATCH($F207,'Faculties'!$B$37:$B$57,0))),"N/A")</f>
        <v/>
      </c>
      <c r="J207" s="25">
        <f>IFERROR(IF(INDEX('Faculties'!$P$64:$P$84,MATCH($F207,'Faculties'!$B$64:$B$84,0))="","Cell will autofill based on response",INDEX('Faculties'!$P$64:$P$84,MATCH($F207,'Faculties'!$B$64:$B$84,0))),"N/A")</f>
        <v/>
      </c>
      <c r="K207" s="25">
        <f>IFERROR(IF(INDEX('Faculties'!$P$91:$P$111,MATCH($F207,'Faculties'!$B$91:$B$111,0))="","Cell will autofill based on response",INDEX('Faculties'!$P$91:$P$111,MATCH($F207,'Faculties'!$B$91:$B$111,0))),"N/A")</f>
        <v/>
      </c>
      <c r="L207" s="25">
        <f>IFERROR(IF(INDEX('CI&amp;S'!$P$10:$P$15,MATCH($F207,'CI&amp;S'!$B$10:$B$15,0))="","Cell will autofill based on response",INDEX('CI&amp;S'!$P$10:$P$15,MATCH($F207,'CI&amp;S'!$B$10:$B$15,0))),"N/A")</f>
        <v/>
      </c>
      <c r="M207" s="25">
        <f>IFERROR(IF(INDEX('CI&amp;S'!$P$22:$P$39,MATCH($F207,'CI&amp;S'!$B$22:$B$39,0))="","Cell will autofill based on response",INDEX('CI&amp;S'!$P$22:$P$39,MATCH($F207,'CI&amp;S'!$B$22:$B$39,0))),"N/A")</f>
        <v/>
      </c>
      <c r="N207" s="25">
        <f>IFERROR(IF(INDEX('CFOG'!$P$10:$P$16,MATCH($F207,'CFOG'!$B$10:$B$16,0))="","Cell will autofill based on response",INDEX('CFOG'!$P$10:$P$16,MATCH($F207,'CFOG'!$B$10:$B$16,0))),"N/A")</f>
        <v/>
      </c>
      <c r="O207" s="25">
        <f>IFERROR(IF(INDEX('CFOG'!$P$23:$P$24,MATCH($F207,'CFOG'!$B$23:$B$24,0))="","Cell will autofill based on response",INDEX('CFOG'!$P$23:$P$24,MATCH($F207,'CFOG'!$B$23:$B$24,0))),"N/A")</f>
        <v/>
      </c>
      <c r="P207" s="25">
        <f>IFERROR(IF(INDEX('ESG'!$P$10:$P$17,MATCH($F207,'ESG'!$B$10:$B$17,0))="","Cell will autofill based on response",INDEX('ESG'!$P$10:$P$17,MATCH($F207,'ESG'!$B$10:$B$17,0))),"N/A")</f>
        <v/>
      </c>
      <c r="Q207" s="25">
        <f>IFERROR(IF(INDEX('CIOG'!$P$10:$P$14,MATCH($F207,'CIOG'!$B$10:$B$14,0))="","Cell will autofill based on response",INDEX('CIOG'!$P$10:$P$14,MATCH($F207,'CIOG'!$B$10:$B$14,0))),"N/A")</f>
        <v/>
      </c>
      <c r="R207" s="25">
        <f>IFERROR(IF(INDEX('MRE'!$P$10:$P$12,MATCH($F207,'MRE'!$B$10:$B$12,0))="","Cell will autofill based on response",INDEX('MRE'!$P$10:$P$12,MATCH($F207,'MRE'!$B$10:$B$12,0))),"N/A")</f>
        <v/>
      </c>
      <c r="S207" s="25">
        <f>IFERROR(IF(INDEX('L&amp;R'!$P$10:$P$11,MATCH($F207,'L&amp;R'!$B$10:$B$11,0))="","Cell will autofill based on response",INDEX('L&amp;R'!$P$10:$P$11,MATCH($F207,'L&amp;R'!$B$10:$B$11,0))),"N/A")</f>
        <v/>
      </c>
    </row>
    <row r="208">
      <c r="A208">
        <f>F208&amp;"|"&amp;G208</f>
        <v/>
      </c>
      <c r="B208" s="29" t="inlineStr"/>
      <c r="C208" s="8" t="inlineStr"/>
      <c r="D208" s="8" t="inlineStr"/>
      <c r="E208" s="8" t="inlineStr"/>
      <c r="F208" s="8" t="inlineStr">
        <is>
          <t>EI1(a)</t>
        </is>
      </c>
      <c r="G208" s="8" t="inlineStr">
        <is>
          <t>Data owner confirms</t>
        </is>
      </c>
      <c r="H208" s="25">
        <f>IFERROR(IF(INDEX('Faculties'!$Q$10:$Q$30,MATCH($F208,'Faculties'!$B$10:$B$30,0))="","Cell will autofill based on response",INDEX('Faculties'!$Q$10:$Q$30,MATCH($F208,'Faculties'!$B$10:$B$30,0))),"N/A")</f>
        <v/>
      </c>
      <c r="I208" s="25">
        <f>IFERROR(IF(INDEX('Faculties'!$Q$37:$Q$57,MATCH($F208,'Faculties'!$B$37:$B$57,0))="","Cell will autofill based on response",INDEX('Faculties'!$Q$37:$Q$57,MATCH($F208,'Faculties'!$B$37:$B$57,0))),"N/A")</f>
        <v/>
      </c>
      <c r="J208" s="25">
        <f>IFERROR(IF(INDEX('Faculties'!$Q$64:$Q$84,MATCH($F208,'Faculties'!$B$64:$B$84,0))="","Cell will autofill based on response",INDEX('Faculties'!$Q$64:$Q$84,MATCH($F208,'Faculties'!$B$64:$B$84,0))),"N/A")</f>
        <v/>
      </c>
      <c r="K208" s="25">
        <f>IFERROR(IF(INDEX('Faculties'!$Q$91:$Q$111,MATCH($F208,'Faculties'!$B$91:$B$111,0))="","Cell will autofill based on response",INDEX('Faculties'!$Q$91:$Q$111,MATCH($F208,'Faculties'!$B$91:$B$111,0))),"N/A")</f>
        <v/>
      </c>
      <c r="L208" s="25">
        <f>IFERROR(IF(INDEX('CI&amp;S'!$Q$10:$Q$15,MATCH($F208,'CI&amp;S'!$B$10:$B$15,0))="","Cell will autofill based on response",INDEX('CI&amp;S'!$Q$10:$Q$15,MATCH($F208,'CI&amp;S'!$B$10:$B$15,0))),"N/A")</f>
        <v/>
      </c>
      <c r="M208" s="25">
        <f>IFERROR(IF(INDEX('CI&amp;S'!$Q$22:$Q$39,MATCH($F208,'CI&amp;S'!$B$22:$B$39,0))="","Cell will autofill based on response",INDEX('CI&amp;S'!$Q$22:$Q$39,MATCH($F208,'CI&amp;S'!$B$22:$B$39,0))),"N/A")</f>
        <v/>
      </c>
      <c r="N208" s="25">
        <f>IFERROR(IF(INDEX('CFOG'!$Q$10:$Q$16,MATCH($F208,'CFOG'!$B$10:$B$16,0))="","Cell will autofill based on response",INDEX('CFOG'!$Q$10:$Q$16,MATCH($F208,'CFOG'!$B$10:$B$16,0))),"N/A")</f>
        <v/>
      </c>
      <c r="O208" s="25">
        <f>IFERROR(IF(INDEX('CFOG'!$Q$23:$Q$24,MATCH($F208,'CFOG'!$B$23:$B$24,0))="","Cell will autofill based on response",INDEX('CFOG'!$Q$23:$Q$24,MATCH($F208,'CFOG'!$B$23:$B$24,0))),"N/A")</f>
        <v/>
      </c>
      <c r="P208" s="25">
        <f>IFERROR(IF(INDEX('ESG'!$Q$10:$Q$17,MATCH($F208,'ESG'!$B$10:$B$17,0))="","Cell will autofill based on response",INDEX('ESG'!$Q$10:$Q$17,MATCH($F208,'ESG'!$B$10:$B$17,0))),"N/A")</f>
        <v/>
      </c>
      <c r="Q208" s="25">
        <f>IFERROR(IF(INDEX('CIOG'!$Q$10:$Q$14,MATCH($F208,'CIOG'!$B$10:$B$14,0))="","Cell will autofill based on response",INDEX('CIOG'!$Q$10:$Q$14,MATCH($F208,'CIOG'!$B$10:$B$14,0))),"N/A")</f>
        <v/>
      </c>
      <c r="R208" s="25">
        <f>IFERROR(IF(INDEX('MRE'!$Q$10:$Q$12,MATCH($F208,'MRE'!$B$10:$B$12,0))="","Cell will autofill based on response",INDEX('MRE'!$Q$10:$Q$12,MATCH($F208,'MRE'!$B$10:$B$12,0))),"N/A")</f>
        <v/>
      </c>
      <c r="S208" s="25">
        <f>IFERROR(IF(INDEX('L&amp;R'!$Q$10:$Q$11,MATCH($F208,'L&amp;R'!$B$10:$B$11,0))="","Cell will autofill based on response",INDEX('L&amp;R'!$Q$10:$Q$11,MATCH($F208,'L&amp;R'!$B$10:$B$11,0))),"N/A")</f>
        <v/>
      </c>
    </row>
    <row r="209">
      <c r="A209">
        <f>F209&amp;"|"&amp;G209</f>
        <v/>
      </c>
      <c r="B209" s="7" t="inlineStr">
        <is>
          <t>EI1(b)</t>
        </is>
      </c>
      <c r="C209" s="12" t="inlineStr">
        <is>
          <t>Estate and infrastructure</t>
        </is>
      </c>
      <c r="D209" s="12" t="inlineStr">
        <is>
          <t>Estimated sustainability impacts of the University’s estate and infrastructure capital plan to inform progress towards emissions reduction targets and other priority areas (to the extent enabled by available information)</t>
        </is>
      </c>
      <c r="E209" s="12" t="inlineStr">
        <is>
          <t>Please provide any available information on sustainability impacts associated with estate and infrastructure projects or capital works relevant to your Faculty/Portfolio. This could include impacts related to emissions and other Sustainability 2030 priority areas.</t>
        </is>
      </c>
      <c r="F209" s="12" t="inlineStr">
        <is>
          <t>EI1(b)</t>
        </is>
      </c>
      <c r="G209" s="12" t="inlineStr">
        <is>
          <t>Confirm end-2026 target status</t>
        </is>
      </c>
      <c r="H209" s="25">
        <f>IFERROR(IF(INDEX('Faculties'!$L$10:$L$30,MATCH($F209,'Faculties'!$B$10:$B$30,0))="","Cell will autofill based on response",INDEX('Faculties'!$L$10:$L$30,MATCH($F209,'Faculties'!$B$10:$B$30,0))),"N/A")</f>
        <v/>
      </c>
      <c r="I209" s="25">
        <f>IFERROR(IF(INDEX('Faculties'!$L$37:$L$57,MATCH($F209,'Faculties'!$B$37:$B$57,0))="","Cell will autofill based on response",INDEX('Faculties'!$L$37:$L$57,MATCH($F209,'Faculties'!$B$37:$B$57,0))),"N/A")</f>
        <v/>
      </c>
      <c r="J209" s="25">
        <f>IFERROR(IF(INDEX('Faculties'!$L$64:$L$84,MATCH($F209,'Faculties'!$B$64:$B$84,0))="","Cell will autofill based on response",INDEX('Faculties'!$L$64:$L$84,MATCH($F209,'Faculties'!$B$64:$B$84,0))),"N/A")</f>
        <v/>
      </c>
      <c r="K209" s="25">
        <f>IFERROR(IF(INDEX('Faculties'!$L$91:$L$111,MATCH($F209,'Faculties'!$B$91:$B$111,0))="","Cell will autofill based on response",INDEX('Faculties'!$L$91:$L$111,MATCH($F209,'Faculties'!$B$91:$B$111,0))),"N/A")</f>
        <v/>
      </c>
      <c r="L209" s="25">
        <f>IFERROR(IF(INDEX('CI&amp;S'!$L$10:$L$15,MATCH($F209,'CI&amp;S'!$B$10:$B$15,0))="","Cell will autofill based on response",INDEX('CI&amp;S'!$L$10:$L$15,MATCH($F209,'CI&amp;S'!$B$10:$B$15,0))),"N/A")</f>
        <v/>
      </c>
      <c r="M209" s="25">
        <f>IFERROR(IF(INDEX('CI&amp;S'!$L$22:$L$39,MATCH($F209,'CI&amp;S'!$B$22:$B$39,0))="","Cell will autofill based on response",INDEX('CI&amp;S'!$L$22:$L$39,MATCH($F209,'CI&amp;S'!$B$22:$B$39,0))),"N/A")</f>
        <v/>
      </c>
      <c r="N209" s="25">
        <f>IFERROR(IF(INDEX('CFOG'!$L$10:$L$16,MATCH($F209,'CFOG'!$B$10:$B$16,0))="","Cell will autofill based on response",INDEX('CFOG'!$L$10:$L$16,MATCH($F209,'CFOG'!$B$10:$B$16,0))),"N/A")</f>
        <v/>
      </c>
      <c r="O209" s="25">
        <f>IFERROR(IF(INDEX('CFOG'!$L$23:$L$24,MATCH($F209,'CFOG'!$B$23:$B$24,0))="","Cell will autofill based on response",INDEX('CFOG'!$L$23:$L$24,MATCH($F209,'CFOG'!$B$23:$B$24,0))),"N/A")</f>
        <v/>
      </c>
      <c r="P209" s="25">
        <f>IFERROR(IF(INDEX('ESG'!$L$10:$L$17,MATCH($F209,'ESG'!$B$10:$B$17,0))="","Cell will autofill based on response",INDEX('ESG'!$L$10:$L$17,MATCH($F209,'ESG'!$B$10:$B$17,0))),"N/A")</f>
        <v/>
      </c>
      <c r="Q209" s="25">
        <f>IFERROR(IF(INDEX('CIOG'!$L$10:$L$14,MATCH($F209,'CIOG'!$B$10:$B$14,0))="","Cell will autofill based on response",INDEX('CIOG'!$L$10:$L$14,MATCH($F209,'CIOG'!$B$10:$B$14,0))),"N/A")</f>
        <v/>
      </c>
      <c r="R209" s="25">
        <f>IFERROR(IF(INDEX('MRE'!$L$10:$L$12,MATCH($F209,'MRE'!$B$10:$B$12,0))="","Cell will autofill based on response",INDEX('MRE'!$L$10:$L$12,MATCH($F209,'MRE'!$B$10:$B$12,0))),"N/A")</f>
        <v/>
      </c>
      <c r="S209" s="25">
        <f>IFERROR(IF(INDEX('L&amp;R'!$L$10:$L$11,MATCH($F209,'L&amp;R'!$B$10:$B$11,0))="","Cell will autofill based on response",INDEX('L&amp;R'!$L$10:$L$11,MATCH($F209,'L&amp;R'!$B$10:$B$11,0))),"N/A")</f>
        <v/>
      </c>
      <c r="U209" s="26">
        <f>COUNTIF($H209:$S209,"Cell will autofill based on response")</f>
        <v/>
      </c>
      <c r="V209" s="26">
        <f>COUNTIF($H209:$S209,"Not yet started")</f>
        <v/>
      </c>
      <c r="W209" s="26">
        <f>COUNTIF($H209:$S209,"Not met")</f>
        <v/>
      </c>
      <c r="X209" s="26">
        <f>COUNTIF($H209:$S209,"Partially met")</f>
        <v/>
      </c>
      <c r="Y209" s="26">
        <f>COUNTIF($H209:$S209,"Met or exceeded")</f>
        <v/>
      </c>
      <c r="Z209" s="26">
        <f>3*Y209+2*X209+W209</f>
        <v/>
      </c>
      <c r="AA209" s="26">
        <f>Y209+X209+W209+V209</f>
        <v/>
      </c>
      <c r="AB209" s="27">
        <f>IF(AA209&gt;0,Z209/AA209,"No valid responses to date")</f>
        <v/>
      </c>
      <c r="AC209" s="26">
        <f>IF(ISNUMBER(AB209),INDEX(Lists!$G$2:$G$5,MATCH(ROUND(AB209,0),Lists!$H$2:$H$5,0)),"")</f>
        <v/>
      </c>
      <c r="AD209" s="28">
        <f>IF(AA209&gt;0,Y209/AA209,"")</f>
        <v/>
      </c>
      <c r="AE209" s="28">
        <f>IF(AA209&gt;0,(Y209+X209)/AA209,"")</f>
        <v/>
      </c>
      <c r="AF209" s="26">
        <f>IF(AA209=0,"",IF(AD209&gt;0.75,"Met or exceeded",IF(AE209&gt;=0.5,"Partially met","Not met")))</f>
        <v/>
      </c>
    </row>
    <row r="210">
      <c r="A210">
        <f>F210&amp;"|"&amp;G210</f>
        <v/>
      </c>
      <c r="B210" s="29" t="inlineStr"/>
      <c r="C210" s="8" t="inlineStr"/>
      <c r="D210" s="8" t="inlineStr"/>
      <c r="E210" s="8" t="inlineStr"/>
      <c r="F210" s="8" t="inlineStr">
        <is>
          <t>EI1(b)</t>
        </is>
      </c>
      <c r="G210" s="8" t="inlineStr">
        <is>
          <t>OPTION 1:  Target-level reporting</t>
        </is>
      </c>
      <c r="H210" s="25">
        <f>IFERROR(IF(INDEX('Faculties'!$M$10:$M$30,MATCH($F210,'Faculties'!$B$10:$B$30,0))="","Cell will autofill based on response",INDEX('Faculties'!$M$10:$M$30,MATCH($F210,'Faculties'!$B$10:$B$30,0))),"N/A")</f>
        <v/>
      </c>
      <c r="I210" s="25">
        <f>IFERROR(IF(INDEX('Faculties'!$M$37:$M$57,MATCH($F210,'Faculties'!$B$37:$B$57,0))="","Cell will autofill based on response",INDEX('Faculties'!$M$37:$M$57,MATCH($F210,'Faculties'!$B$37:$B$57,0))),"N/A")</f>
        <v/>
      </c>
      <c r="J210" s="25">
        <f>IFERROR(IF(INDEX('Faculties'!$M$64:$M$84,MATCH($F210,'Faculties'!$B$64:$B$84,0))="","Cell will autofill based on response",INDEX('Faculties'!$M$64:$M$84,MATCH($F210,'Faculties'!$B$64:$B$84,0))),"N/A")</f>
        <v/>
      </c>
      <c r="K210" s="25">
        <f>IFERROR(IF(INDEX('Faculties'!$M$91:$M$111,MATCH($F210,'Faculties'!$B$91:$B$111,0))="","Cell will autofill based on response",INDEX('Faculties'!$M$91:$M$111,MATCH($F210,'Faculties'!$B$91:$B$111,0))),"N/A")</f>
        <v/>
      </c>
      <c r="L210" s="25">
        <f>IFERROR(IF(INDEX('CI&amp;S'!$M$10:$M$15,MATCH($F210,'CI&amp;S'!$B$10:$B$15,0))="","Cell will autofill based on response",INDEX('CI&amp;S'!$M$10:$M$15,MATCH($F210,'CI&amp;S'!$B$10:$B$15,0))),"N/A")</f>
        <v/>
      </c>
      <c r="M210" s="25">
        <f>IFERROR(IF(INDEX('CI&amp;S'!$M$22:$M$39,MATCH($F210,'CI&amp;S'!$B$22:$B$39,0))="","Cell will autofill based on response",INDEX('CI&amp;S'!$M$22:$M$39,MATCH($F210,'CI&amp;S'!$B$22:$B$39,0))),"N/A")</f>
        <v/>
      </c>
      <c r="N210" s="25">
        <f>IFERROR(IF(INDEX('CFOG'!$M$10:$M$16,MATCH($F210,'CFOG'!$B$10:$B$16,0))="","Cell will autofill based on response",INDEX('CFOG'!$M$10:$M$16,MATCH($F210,'CFOG'!$B$10:$B$16,0))),"N/A")</f>
        <v/>
      </c>
      <c r="O210" s="25">
        <f>IFERROR(IF(INDEX('CFOG'!$M$23:$M$24,MATCH($F210,'CFOG'!$B$23:$B$24,0))="","Cell will autofill based on response",INDEX('CFOG'!$M$23:$M$24,MATCH($F210,'CFOG'!$B$23:$B$24,0))),"N/A")</f>
        <v/>
      </c>
      <c r="P210" s="25">
        <f>IFERROR(IF(INDEX('ESG'!$M$10:$M$17,MATCH($F210,'ESG'!$B$10:$B$17,0))="","Cell will autofill based on response",INDEX('ESG'!$M$10:$M$17,MATCH($F210,'ESG'!$B$10:$B$17,0))),"N/A")</f>
        <v/>
      </c>
      <c r="Q210" s="25">
        <f>IFERROR(IF(INDEX('CIOG'!$M$10:$M$14,MATCH($F210,'CIOG'!$B$10:$B$14,0))="","Cell will autofill based on response",INDEX('CIOG'!$M$10:$M$14,MATCH($F210,'CIOG'!$B$10:$B$14,0))),"N/A")</f>
        <v/>
      </c>
      <c r="R210" s="25">
        <f>IFERROR(IF(INDEX('MRE'!$M$10:$M$12,MATCH($F210,'MRE'!$B$10:$B$12,0))="","Cell will autofill based on response",INDEX('MRE'!$M$10:$M$12,MATCH($F210,'MRE'!$B$10:$B$12,0))),"N/A")</f>
        <v/>
      </c>
      <c r="S210" s="25">
        <f>IFERROR(IF(INDEX('L&amp;R'!$M$10:$M$11,MATCH($F210,'L&amp;R'!$B$10:$B$11,0))="","Cell will autofill based on response",INDEX('L&amp;R'!$M$10:$M$11,MATCH($F210,'L&amp;R'!$B$10:$B$11,0))),"N/A")</f>
        <v/>
      </c>
    </row>
    <row r="211">
      <c r="A211">
        <f>F211&amp;"|"&amp;G211</f>
        <v/>
      </c>
      <c r="B211" s="29" t="inlineStr"/>
      <c r="C211" s="8" t="inlineStr"/>
      <c r="D211" s="8" t="inlineStr"/>
      <c r="E211" s="8" t="inlineStr"/>
      <c r="F211" s="8" t="inlineStr">
        <is>
          <t>EI1(b)</t>
        </is>
      </c>
      <c r="G211" s="8" t="inlineStr">
        <is>
          <t>OPTION 2:  Indicator level reporting</t>
        </is>
      </c>
      <c r="H211" s="25">
        <f>IFERROR(IF(INDEX('Faculties'!$N$10:$N$30,MATCH($F211,'Faculties'!$B$10:$B$30,0))="","Cell will autofill based on response",INDEX('Faculties'!$N$10:$N$30,MATCH($F211,'Faculties'!$B$10:$B$30,0))),"N/A")</f>
        <v/>
      </c>
      <c r="I211" s="25">
        <f>IFERROR(IF(INDEX('Faculties'!$N$37:$N$57,MATCH($F211,'Faculties'!$B$37:$B$57,0))="","Cell will autofill based on response",INDEX('Faculties'!$N$37:$N$57,MATCH($F211,'Faculties'!$B$37:$B$57,0))),"N/A")</f>
        <v/>
      </c>
      <c r="J211" s="25">
        <f>IFERROR(IF(INDEX('Faculties'!$N$64:$N$84,MATCH($F211,'Faculties'!$B$64:$B$84,0))="","Cell will autofill based on response",INDEX('Faculties'!$N$64:$N$84,MATCH($F211,'Faculties'!$B$64:$B$84,0))),"N/A")</f>
        <v/>
      </c>
      <c r="K211" s="25">
        <f>IFERROR(IF(INDEX('Faculties'!$N$91:$N$111,MATCH($F211,'Faculties'!$B$91:$B$111,0))="","Cell will autofill based on response",INDEX('Faculties'!$N$91:$N$111,MATCH($F211,'Faculties'!$B$91:$B$111,0))),"N/A")</f>
        <v/>
      </c>
      <c r="L211" s="25">
        <f>IFERROR(IF(INDEX('CI&amp;S'!$N$10:$N$15,MATCH($F211,'CI&amp;S'!$B$10:$B$15,0))="","Cell will autofill based on response",INDEX('CI&amp;S'!$N$10:$N$15,MATCH($F211,'CI&amp;S'!$B$10:$B$15,0))),"N/A")</f>
        <v/>
      </c>
      <c r="M211" s="25">
        <f>IFERROR(IF(INDEX('CI&amp;S'!$N$22:$N$39,MATCH($F211,'CI&amp;S'!$B$22:$B$39,0))="","Cell will autofill based on response",INDEX('CI&amp;S'!$N$22:$N$39,MATCH($F211,'CI&amp;S'!$B$22:$B$39,0))),"N/A")</f>
        <v/>
      </c>
      <c r="N211" s="25">
        <f>IFERROR(IF(INDEX('CFOG'!$N$10:$N$16,MATCH($F211,'CFOG'!$B$10:$B$16,0))="","Cell will autofill based on response",INDEX('CFOG'!$N$10:$N$16,MATCH($F211,'CFOG'!$B$10:$B$16,0))),"N/A")</f>
        <v/>
      </c>
      <c r="O211" s="25">
        <f>IFERROR(IF(INDEX('CFOG'!$N$23:$N$24,MATCH($F211,'CFOG'!$B$23:$B$24,0))="","Cell will autofill based on response",INDEX('CFOG'!$N$23:$N$24,MATCH($F211,'CFOG'!$B$23:$B$24,0))),"N/A")</f>
        <v/>
      </c>
      <c r="P211" s="25">
        <f>IFERROR(IF(INDEX('ESG'!$N$10:$N$17,MATCH($F211,'ESG'!$B$10:$B$17,0))="","Cell will autofill based on response",INDEX('ESG'!$N$10:$N$17,MATCH($F211,'ESG'!$B$10:$B$17,0))),"N/A")</f>
        <v/>
      </c>
      <c r="Q211" s="25">
        <f>IFERROR(IF(INDEX('CIOG'!$N$10:$N$14,MATCH($F211,'CIOG'!$B$10:$B$14,0))="","Cell will autofill based on response",INDEX('CIOG'!$N$10:$N$14,MATCH($F211,'CIOG'!$B$10:$B$14,0))),"N/A")</f>
        <v/>
      </c>
      <c r="R211" s="25">
        <f>IFERROR(IF(INDEX('MRE'!$N$10:$N$12,MATCH($F211,'MRE'!$B$10:$B$12,0))="","Cell will autofill based on response",INDEX('MRE'!$N$10:$N$12,MATCH($F211,'MRE'!$B$10:$B$12,0))),"N/A")</f>
        <v/>
      </c>
      <c r="S211" s="25">
        <f>IFERROR(IF(INDEX('L&amp;R'!$N$10:$N$11,MATCH($F211,'L&amp;R'!$B$10:$B$11,0))="","Cell will autofill based on response",INDEX('L&amp;R'!$N$10:$N$11,MATCH($F211,'L&amp;R'!$B$10:$B$11,0))),"N/A")</f>
        <v/>
      </c>
    </row>
    <row r="212">
      <c r="A212">
        <f>F212&amp;"|"&amp;G212</f>
        <v/>
      </c>
      <c r="B212" s="29" t="inlineStr"/>
      <c r="C212" s="8" t="inlineStr"/>
      <c r="D212" s="8" t="inlineStr"/>
      <c r="E212" s="8" t="inlineStr"/>
      <c r="F212" s="8" t="inlineStr">
        <is>
          <t>EI1(b)</t>
        </is>
      </c>
      <c r="G212" s="8" t="inlineStr">
        <is>
          <t>Supporting information/comments</t>
        </is>
      </c>
      <c r="H212" s="25">
        <f>IFERROR(IF(INDEX('Faculties'!$O$10:$O$30,MATCH($F212,'Faculties'!$B$10:$B$30,0))="","Cell will autofill based on response",INDEX('Faculties'!$O$10:$O$30,MATCH($F212,'Faculties'!$B$10:$B$30,0))),"N/A")</f>
        <v/>
      </c>
      <c r="I212" s="25">
        <f>IFERROR(IF(INDEX('Faculties'!$O$37:$O$57,MATCH($F212,'Faculties'!$B$37:$B$57,0))="","Cell will autofill based on response",INDEX('Faculties'!$O$37:$O$57,MATCH($F212,'Faculties'!$B$37:$B$57,0))),"N/A")</f>
        <v/>
      </c>
      <c r="J212" s="25">
        <f>IFERROR(IF(INDEX('Faculties'!$O$64:$O$84,MATCH($F212,'Faculties'!$B$64:$B$84,0))="","Cell will autofill based on response",INDEX('Faculties'!$O$64:$O$84,MATCH($F212,'Faculties'!$B$64:$B$84,0))),"N/A")</f>
        <v/>
      </c>
      <c r="K212" s="25">
        <f>IFERROR(IF(INDEX('Faculties'!$O$91:$O$111,MATCH($F212,'Faculties'!$B$91:$B$111,0))="","Cell will autofill based on response",INDEX('Faculties'!$O$91:$O$111,MATCH($F212,'Faculties'!$B$91:$B$111,0))),"N/A")</f>
        <v/>
      </c>
      <c r="L212" s="25">
        <f>IFERROR(IF(INDEX('CI&amp;S'!$O$10:$O$15,MATCH($F212,'CI&amp;S'!$B$10:$B$15,0))="","Cell will autofill based on response",INDEX('CI&amp;S'!$O$10:$O$15,MATCH($F212,'CI&amp;S'!$B$10:$B$15,0))),"N/A")</f>
        <v/>
      </c>
      <c r="M212" s="25">
        <f>IFERROR(IF(INDEX('CI&amp;S'!$O$22:$O$39,MATCH($F212,'CI&amp;S'!$B$22:$B$39,0))="","Cell will autofill based on response",INDEX('CI&amp;S'!$O$22:$O$39,MATCH($F212,'CI&amp;S'!$B$22:$B$39,0))),"N/A")</f>
        <v/>
      </c>
      <c r="N212" s="25">
        <f>IFERROR(IF(INDEX('CFOG'!$O$10:$O$16,MATCH($F212,'CFOG'!$B$10:$B$16,0))="","Cell will autofill based on response",INDEX('CFOG'!$O$10:$O$16,MATCH($F212,'CFOG'!$B$10:$B$16,0))),"N/A")</f>
        <v/>
      </c>
      <c r="O212" s="25">
        <f>IFERROR(IF(INDEX('CFOG'!$O$23:$O$24,MATCH($F212,'CFOG'!$B$23:$B$24,0))="","Cell will autofill based on response",INDEX('CFOG'!$O$23:$O$24,MATCH($F212,'CFOG'!$B$23:$B$24,0))),"N/A")</f>
        <v/>
      </c>
      <c r="P212" s="25">
        <f>IFERROR(IF(INDEX('ESG'!$O$10:$O$17,MATCH($F212,'ESG'!$B$10:$B$17,0))="","Cell will autofill based on response",INDEX('ESG'!$O$10:$O$17,MATCH($F212,'ESG'!$B$10:$B$17,0))),"N/A")</f>
        <v/>
      </c>
      <c r="Q212" s="25">
        <f>IFERROR(IF(INDEX('CIOG'!$O$10:$O$14,MATCH($F212,'CIOG'!$B$10:$B$14,0))="","Cell will autofill based on response",INDEX('CIOG'!$O$10:$O$14,MATCH($F212,'CIOG'!$B$10:$B$14,0))),"N/A")</f>
        <v/>
      </c>
      <c r="R212" s="25">
        <f>IFERROR(IF(INDEX('MRE'!$O$10:$O$12,MATCH($F212,'MRE'!$B$10:$B$12,0))="","Cell will autofill based on response",INDEX('MRE'!$O$10:$O$12,MATCH($F212,'MRE'!$B$10:$B$12,0))),"N/A")</f>
        <v/>
      </c>
      <c r="S212" s="25">
        <f>IFERROR(IF(INDEX('L&amp;R'!$O$10:$O$11,MATCH($F212,'L&amp;R'!$B$10:$B$11,0))="","Cell will autofill based on response",INDEX('L&amp;R'!$O$10:$O$11,MATCH($F212,'L&amp;R'!$B$10:$B$11,0))),"N/A")</f>
        <v/>
      </c>
    </row>
    <row r="213">
      <c r="A213">
        <f>F213&amp;"|"&amp;G213</f>
        <v/>
      </c>
      <c r="B213" s="29" t="inlineStr"/>
      <c r="C213" s="8" t="inlineStr"/>
      <c r="D213" s="8" t="inlineStr"/>
      <c r="E213" s="8" t="inlineStr"/>
      <c r="F213" s="8" t="inlineStr">
        <is>
          <t>EI1(b)</t>
        </is>
      </c>
      <c r="G213" s="8" t="inlineStr">
        <is>
          <t>Data source and limitations</t>
        </is>
      </c>
      <c r="H213" s="25">
        <f>IFERROR(IF(INDEX('Faculties'!$P$10:$P$30,MATCH($F213,'Faculties'!$B$10:$B$30,0))="","Cell will autofill based on response",INDEX('Faculties'!$P$10:$P$30,MATCH($F213,'Faculties'!$B$10:$B$30,0))),"N/A")</f>
        <v/>
      </c>
      <c r="I213" s="25">
        <f>IFERROR(IF(INDEX('Faculties'!$P$37:$P$57,MATCH($F213,'Faculties'!$B$37:$B$57,0))="","Cell will autofill based on response",INDEX('Faculties'!$P$37:$P$57,MATCH($F213,'Faculties'!$B$37:$B$57,0))),"N/A")</f>
        <v/>
      </c>
      <c r="J213" s="25">
        <f>IFERROR(IF(INDEX('Faculties'!$P$64:$P$84,MATCH($F213,'Faculties'!$B$64:$B$84,0))="","Cell will autofill based on response",INDEX('Faculties'!$P$64:$P$84,MATCH($F213,'Faculties'!$B$64:$B$84,0))),"N/A")</f>
        <v/>
      </c>
      <c r="K213" s="25">
        <f>IFERROR(IF(INDEX('Faculties'!$P$91:$P$111,MATCH($F213,'Faculties'!$B$91:$B$111,0))="","Cell will autofill based on response",INDEX('Faculties'!$P$91:$P$111,MATCH($F213,'Faculties'!$B$91:$B$111,0))),"N/A")</f>
        <v/>
      </c>
      <c r="L213" s="25">
        <f>IFERROR(IF(INDEX('CI&amp;S'!$P$10:$P$15,MATCH($F213,'CI&amp;S'!$B$10:$B$15,0))="","Cell will autofill based on response",INDEX('CI&amp;S'!$P$10:$P$15,MATCH($F213,'CI&amp;S'!$B$10:$B$15,0))),"N/A")</f>
        <v/>
      </c>
      <c r="M213" s="25">
        <f>IFERROR(IF(INDEX('CI&amp;S'!$P$22:$P$39,MATCH($F213,'CI&amp;S'!$B$22:$B$39,0))="","Cell will autofill based on response",INDEX('CI&amp;S'!$P$22:$P$39,MATCH($F213,'CI&amp;S'!$B$22:$B$39,0))),"N/A")</f>
        <v/>
      </c>
      <c r="N213" s="25">
        <f>IFERROR(IF(INDEX('CFOG'!$P$10:$P$16,MATCH($F213,'CFOG'!$B$10:$B$16,0))="","Cell will autofill based on response",INDEX('CFOG'!$P$10:$P$16,MATCH($F213,'CFOG'!$B$10:$B$16,0))),"N/A")</f>
        <v/>
      </c>
      <c r="O213" s="25">
        <f>IFERROR(IF(INDEX('CFOG'!$P$23:$P$24,MATCH($F213,'CFOG'!$B$23:$B$24,0))="","Cell will autofill based on response",INDEX('CFOG'!$P$23:$P$24,MATCH($F213,'CFOG'!$B$23:$B$24,0))),"N/A")</f>
        <v/>
      </c>
      <c r="P213" s="25">
        <f>IFERROR(IF(INDEX('ESG'!$P$10:$P$17,MATCH($F213,'ESG'!$B$10:$B$17,0))="","Cell will autofill based on response",INDEX('ESG'!$P$10:$P$17,MATCH($F213,'ESG'!$B$10:$B$17,0))),"N/A")</f>
        <v/>
      </c>
      <c r="Q213" s="25">
        <f>IFERROR(IF(INDEX('CIOG'!$P$10:$P$14,MATCH($F213,'CIOG'!$B$10:$B$14,0))="","Cell will autofill based on response",INDEX('CIOG'!$P$10:$P$14,MATCH($F213,'CIOG'!$B$10:$B$14,0))),"N/A")</f>
        <v/>
      </c>
      <c r="R213" s="25">
        <f>IFERROR(IF(INDEX('MRE'!$P$10:$P$12,MATCH($F213,'MRE'!$B$10:$B$12,0))="","Cell will autofill based on response",INDEX('MRE'!$P$10:$P$12,MATCH($F213,'MRE'!$B$10:$B$12,0))),"N/A")</f>
        <v/>
      </c>
      <c r="S213" s="25">
        <f>IFERROR(IF(INDEX('L&amp;R'!$P$10:$P$11,MATCH($F213,'L&amp;R'!$B$10:$B$11,0))="","Cell will autofill based on response",INDEX('L&amp;R'!$P$10:$P$11,MATCH($F213,'L&amp;R'!$B$10:$B$11,0))),"N/A")</f>
        <v/>
      </c>
    </row>
    <row r="214">
      <c r="A214">
        <f>F214&amp;"|"&amp;G214</f>
        <v/>
      </c>
      <c r="B214" s="29" t="inlineStr"/>
      <c r="C214" s="8" t="inlineStr"/>
      <c r="D214" s="8" t="inlineStr"/>
      <c r="E214" s="8" t="inlineStr"/>
      <c r="F214" s="8" t="inlineStr">
        <is>
          <t>EI1(b)</t>
        </is>
      </c>
      <c r="G214" s="8" t="inlineStr">
        <is>
          <t>Data owner confirms</t>
        </is>
      </c>
      <c r="H214" s="25">
        <f>IFERROR(IF(INDEX('Faculties'!$Q$10:$Q$30,MATCH($F214,'Faculties'!$B$10:$B$30,0))="","Cell will autofill based on response",INDEX('Faculties'!$Q$10:$Q$30,MATCH($F214,'Faculties'!$B$10:$B$30,0))),"N/A")</f>
        <v/>
      </c>
      <c r="I214" s="25">
        <f>IFERROR(IF(INDEX('Faculties'!$Q$37:$Q$57,MATCH($F214,'Faculties'!$B$37:$B$57,0))="","Cell will autofill based on response",INDEX('Faculties'!$Q$37:$Q$57,MATCH($F214,'Faculties'!$B$37:$B$57,0))),"N/A")</f>
        <v/>
      </c>
      <c r="J214" s="25">
        <f>IFERROR(IF(INDEX('Faculties'!$Q$64:$Q$84,MATCH($F214,'Faculties'!$B$64:$B$84,0))="","Cell will autofill based on response",INDEX('Faculties'!$Q$64:$Q$84,MATCH($F214,'Faculties'!$B$64:$B$84,0))),"N/A")</f>
        <v/>
      </c>
      <c r="K214" s="25">
        <f>IFERROR(IF(INDEX('Faculties'!$Q$91:$Q$111,MATCH($F214,'Faculties'!$B$91:$B$111,0))="","Cell will autofill based on response",INDEX('Faculties'!$Q$91:$Q$111,MATCH($F214,'Faculties'!$B$91:$B$111,0))),"N/A")</f>
        <v/>
      </c>
      <c r="L214" s="25">
        <f>IFERROR(IF(INDEX('CI&amp;S'!$Q$10:$Q$15,MATCH($F214,'CI&amp;S'!$B$10:$B$15,0))="","Cell will autofill based on response",INDEX('CI&amp;S'!$Q$10:$Q$15,MATCH($F214,'CI&amp;S'!$B$10:$B$15,0))),"N/A")</f>
        <v/>
      </c>
      <c r="M214" s="25">
        <f>IFERROR(IF(INDEX('CI&amp;S'!$Q$22:$Q$39,MATCH($F214,'CI&amp;S'!$B$22:$B$39,0))="","Cell will autofill based on response",INDEX('CI&amp;S'!$Q$22:$Q$39,MATCH($F214,'CI&amp;S'!$B$22:$B$39,0))),"N/A")</f>
        <v/>
      </c>
      <c r="N214" s="25">
        <f>IFERROR(IF(INDEX('CFOG'!$Q$10:$Q$16,MATCH($F214,'CFOG'!$B$10:$B$16,0))="","Cell will autofill based on response",INDEX('CFOG'!$Q$10:$Q$16,MATCH($F214,'CFOG'!$B$10:$B$16,0))),"N/A")</f>
        <v/>
      </c>
      <c r="O214" s="25">
        <f>IFERROR(IF(INDEX('CFOG'!$Q$23:$Q$24,MATCH($F214,'CFOG'!$B$23:$B$24,0))="","Cell will autofill based on response",INDEX('CFOG'!$Q$23:$Q$24,MATCH($F214,'CFOG'!$B$23:$B$24,0))),"N/A")</f>
        <v/>
      </c>
      <c r="P214" s="25">
        <f>IFERROR(IF(INDEX('ESG'!$Q$10:$Q$17,MATCH($F214,'ESG'!$B$10:$B$17,0))="","Cell will autofill based on response",INDEX('ESG'!$Q$10:$Q$17,MATCH($F214,'ESG'!$B$10:$B$17,0))),"N/A")</f>
        <v/>
      </c>
      <c r="Q214" s="25">
        <f>IFERROR(IF(INDEX('CIOG'!$Q$10:$Q$14,MATCH($F214,'CIOG'!$B$10:$B$14,0))="","Cell will autofill based on response",INDEX('CIOG'!$Q$10:$Q$14,MATCH($F214,'CIOG'!$B$10:$B$14,0))),"N/A")</f>
        <v/>
      </c>
      <c r="R214" s="25">
        <f>IFERROR(IF(INDEX('MRE'!$Q$10:$Q$12,MATCH($F214,'MRE'!$B$10:$B$12,0))="","Cell will autofill based on response",INDEX('MRE'!$Q$10:$Q$12,MATCH($F214,'MRE'!$B$10:$B$12,0))),"N/A")</f>
        <v/>
      </c>
      <c r="S214" s="25">
        <f>IFERROR(IF(INDEX('L&amp;R'!$Q$10:$Q$11,MATCH($F214,'L&amp;R'!$B$10:$B$11,0))="","Cell will autofill based on response",INDEX('L&amp;R'!$Q$10:$Q$11,MATCH($F214,'L&amp;R'!$B$10:$B$11,0))),"N/A")</f>
        <v/>
      </c>
    </row>
    <row r="215">
      <c r="A215">
        <f>F215&amp;"|"&amp;G215</f>
        <v/>
      </c>
      <c r="B215" s="7" t="inlineStr">
        <is>
          <t>EI1(c)</t>
        </is>
      </c>
      <c r="C215" s="12" t="inlineStr">
        <is>
          <t>Estate and infrastructure</t>
        </is>
      </c>
      <c r="D215" s="12" t="inlineStr">
        <is>
          <t>Reporting on relevant activities and impacts for the University’s major estate and infrastructure projects and programs aligned with the other priority areas in Sustainability 2030</t>
        </is>
      </c>
      <c r="E215" s="12" t="inlineStr">
        <is>
          <t>Please provide an update on sustainability-related activities and impacts for major estate and infrastructure projects or programs relevant to your Faculty/Portfolio. This could include key initiatives, relevant performance measures and alignment with Sustainability 2030 priority areas.</t>
        </is>
      </c>
      <c r="F215" s="12" t="inlineStr">
        <is>
          <t>EI1(c)</t>
        </is>
      </c>
      <c r="G215" s="12" t="inlineStr">
        <is>
          <t>Confirm end-2026 target status</t>
        </is>
      </c>
      <c r="H215" s="25">
        <f>IFERROR(IF(INDEX('Faculties'!$L$10:$L$30,MATCH($F215,'Faculties'!$B$10:$B$30,0))="","Cell will autofill based on response",INDEX('Faculties'!$L$10:$L$30,MATCH($F215,'Faculties'!$B$10:$B$30,0))),"N/A")</f>
        <v/>
      </c>
      <c r="I215" s="25">
        <f>IFERROR(IF(INDEX('Faculties'!$L$37:$L$57,MATCH($F215,'Faculties'!$B$37:$B$57,0))="","Cell will autofill based on response",INDEX('Faculties'!$L$37:$L$57,MATCH($F215,'Faculties'!$B$37:$B$57,0))),"N/A")</f>
        <v/>
      </c>
      <c r="J215" s="25">
        <f>IFERROR(IF(INDEX('Faculties'!$L$64:$L$84,MATCH($F215,'Faculties'!$B$64:$B$84,0))="","Cell will autofill based on response",INDEX('Faculties'!$L$64:$L$84,MATCH($F215,'Faculties'!$B$64:$B$84,0))),"N/A")</f>
        <v/>
      </c>
      <c r="K215" s="25">
        <f>IFERROR(IF(INDEX('Faculties'!$L$91:$L$111,MATCH($F215,'Faculties'!$B$91:$B$111,0))="","Cell will autofill based on response",INDEX('Faculties'!$L$91:$L$111,MATCH($F215,'Faculties'!$B$91:$B$111,0))),"N/A")</f>
        <v/>
      </c>
      <c r="L215" s="25">
        <f>IFERROR(IF(INDEX('CI&amp;S'!$L$10:$L$15,MATCH($F215,'CI&amp;S'!$B$10:$B$15,0))="","Cell will autofill based on response",INDEX('CI&amp;S'!$L$10:$L$15,MATCH($F215,'CI&amp;S'!$B$10:$B$15,0))),"N/A")</f>
        <v/>
      </c>
      <c r="M215" s="25">
        <f>IFERROR(IF(INDEX('CI&amp;S'!$L$22:$L$39,MATCH($F215,'CI&amp;S'!$B$22:$B$39,0))="","Cell will autofill based on response",INDEX('CI&amp;S'!$L$22:$L$39,MATCH($F215,'CI&amp;S'!$B$22:$B$39,0))),"N/A")</f>
        <v/>
      </c>
      <c r="N215" s="25">
        <f>IFERROR(IF(INDEX('CFOG'!$L$10:$L$16,MATCH($F215,'CFOG'!$B$10:$B$16,0))="","Cell will autofill based on response",INDEX('CFOG'!$L$10:$L$16,MATCH($F215,'CFOG'!$B$10:$B$16,0))),"N/A")</f>
        <v/>
      </c>
      <c r="O215" s="25">
        <f>IFERROR(IF(INDEX('CFOG'!$L$23:$L$24,MATCH($F215,'CFOG'!$B$23:$B$24,0))="","Cell will autofill based on response",INDEX('CFOG'!$L$23:$L$24,MATCH($F215,'CFOG'!$B$23:$B$24,0))),"N/A")</f>
        <v/>
      </c>
      <c r="P215" s="25">
        <f>IFERROR(IF(INDEX('ESG'!$L$10:$L$17,MATCH($F215,'ESG'!$B$10:$B$17,0))="","Cell will autofill based on response",INDEX('ESG'!$L$10:$L$17,MATCH($F215,'ESG'!$B$10:$B$17,0))),"N/A")</f>
        <v/>
      </c>
      <c r="Q215" s="25">
        <f>IFERROR(IF(INDEX('CIOG'!$L$10:$L$14,MATCH($F215,'CIOG'!$B$10:$B$14,0))="","Cell will autofill based on response",INDEX('CIOG'!$L$10:$L$14,MATCH($F215,'CIOG'!$B$10:$B$14,0))),"N/A")</f>
        <v/>
      </c>
      <c r="R215" s="25">
        <f>IFERROR(IF(INDEX('MRE'!$L$10:$L$12,MATCH($F215,'MRE'!$B$10:$B$12,0))="","Cell will autofill based on response",INDEX('MRE'!$L$10:$L$12,MATCH($F215,'MRE'!$B$10:$B$12,0))),"N/A")</f>
        <v/>
      </c>
      <c r="S215" s="25">
        <f>IFERROR(IF(INDEX('L&amp;R'!$L$10:$L$11,MATCH($F215,'L&amp;R'!$B$10:$B$11,0))="","Cell will autofill based on response",INDEX('L&amp;R'!$L$10:$L$11,MATCH($F215,'L&amp;R'!$B$10:$B$11,0))),"N/A")</f>
        <v/>
      </c>
      <c r="U215" s="26">
        <f>COUNTIF($H215:$S215,"Cell will autofill based on response")</f>
        <v/>
      </c>
      <c r="V215" s="26">
        <f>COUNTIF($H215:$S215,"Not yet started")</f>
        <v/>
      </c>
      <c r="W215" s="26">
        <f>COUNTIF($H215:$S215,"Not met")</f>
        <v/>
      </c>
      <c r="X215" s="26">
        <f>COUNTIF($H215:$S215,"Partially met")</f>
        <v/>
      </c>
      <c r="Y215" s="26">
        <f>COUNTIF($H215:$S215,"Met or exceeded")</f>
        <v/>
      </c>
      <c r="Z215" s="26">
        <f>3*Y215+2*X215+W215</f>
        <v/>
      </c>
      <c r="AA215" s="26">
        <f>Y215+X215+W215+V215</f>
        <v/>
      </c>
      <c r="AB215" s="27">
        <f>IF(AA215&gt;0,Z215/AA215,"No valid responses to date")</f>
        <v/>
      </c>
      <c r="AC215" s="26">
        <f>IF(ISNUMBER(AB215),INDEX(Lists!$G$2:$G$5,MATCH(ROUND(AB215,0),Lists!$H$2:$H$5,0)),"")</f>
        <v/>
      </c>
      <c r="AD215" s="28">
        <f>IF(AA215&gt;0,Y215/AA215,"")</f>
        <v/>
      </c>
      <c r="AE215" s="28">
        <f>IF(AA215&gt;0,(Y215+X215)/AA215,"")</f>
        <v/>
      </c>
      <c r="AF215" s="26">
        <f>IF(AA215=0,"",IF(AD215&gt;0.75,"Met or exceeded",IF(AE215&gt;=0.5,"Partially met","Not met")))</f>
        <v/>
      </c>
    </row>
    <row r="216">
      <c r="A216">
        <f>F216&amp;"|"&amp;G216</f>
        <v/>
      </c>
      <c r="B216" s="29" t="inlineStr"/>
      <c r="C216" s="8" t="inlineStr"/>
      <c r="D216" s="8" t="inlineStr"/>
      <c r="E216" s="8" t="inlineStr"/>
      <c r="F216" s="8" t="inlineStr">
        <is>
          <t>EI1(c)</t>
        </is>
      </c>
      <c r="G216" s="8" t="inlineStr">
        <is>
          <t>OPTION 1:  Target-level reporting</t>
        </is>
      </c>
      <c r="H216" s="25">
        <f>IFERROR(IF(INDEX('Faculties'!$M$10:$M$30,MATCH($F216,'Faculties'!$B$10:$B$30,0))="","Cell will autofill based on response",INDEX('Faculties'!$M$10:$M$30,MATCH($F216,'Faculties'!$B$10:$B$30,0))),"N/A")</f>
        <v/>
      </c>
      <c r="I216" s="25">
        <f>IFERROR(IF(INDEX('Faculties'!$M$37:$M$57,MATCH($F216,'Faculties'!$B$37:$B$57,0))="","Cell will autofill based on response",INDEX('Faculties'!$M$37:$M$57,MATCH($F216,'Faculties'!$B$37:$B$57,0))),"N/A")</f>
        <v/>
      </c>
      <c r="J216" s="25">
        <f>IFERROR(IF(INDEX('Faculties'!$M$64:$M$84,MATCH($F216,'Faculties'!$B$64:$B$84,0))="","Cell will autofill based on response",INDEX('Faculties'!$M$64:$M$84,MATCH($F216,'Faculties'!$B$64:$B$84,0))),"N/A")</f>
        <v/>
      </c>
      <c r="K216" s="25">
        <f>IFERROR(IF(INDEX('Faculties'!$M$91:$M$111,MATCH($F216,'Faculties'!$B$91:$B$111,0))="","Cell will autofill based on response",INDEX('Faculties'!$M$91:$M$111,MATCH($F216,'Faculties'!$B$91:$B$111,0))),"N/A")</f>
        <v/>
      </c>
      <c r="L216" s="25">
        <f>IFERROR(IF(INDEX('CI&amp;S'!$M$10:$M$15,MATCH($F216,'CI&amp;S'!$B$10:$B$15,0))="","Cell will autofill based on response",INDEX('CI&amp;S'!$M$10:$M$15,MATCH($F216,'CI&amp;S'!$B$10:$B$15,0))),"N/A")</f>
        <v/>
      </c>
      <c r="M216" s="25">
        <f>IFERROR(IF(INDEX('CI&amp;S'!$M$22:$M$39,MATCH($F216,'CI&amp;S'!$B$22:$B$39,0))="","Cell will autofill based on response",INDEX('CI&amp;S'!$M$22:$M$39,MATCH($F216,'CI&amp;S'!$B$22:$B$39,0))),"N/A")</f>
        <v/>
      </c>
      <c r="N216" s="25">
        <f>IFERROR(IF(INDEX('CFOG'!$M$10:$M$16,MATCH($F216,'CFOG'!$B$10:$B$16,0))="","Cell will autofill based on response",INDEX('CFOG'!$M$10:$M$16,MATCH($F216,'CFOG'!$B$10:$B$16,0))),"N/A")</f>
        <v/>
      </c>
      <c r="O216" s="25">
        <f>IFERROR(IF(INDEX('CFOG'!$M$23:$M$24,MATCH($F216,'CFOG'!$B$23:$B$24,0))="","Cell will autofill based on response",INDEX('CFOG'!$M$23:$M$24,MATCH($F216,'CFOG'!$B$23:$B$24,0))),"N/A")</f>
        <v/>
      </c>
      <c r="P216" s="25">
        <f>IFERROR(IF(INDEX('ESG'!$M$10:$M$17,MATCH($F216,'ESG'!$B$10:$B$17,0))="","Cell will autofill based on response",INDEX('ESG'!$M$10:$M$17,MATCH($F216,'ESG'!$B$10:$B$17,0))),"N/A")</f>
        <v/>
      </c>
      <c r="Q216" s="25">
        <f>IFERROR(IF(INDEX('CIOG'!$M$10:$M$14,MATCH($F216,'CIOG'!$B$10:$B$14,0))="","Cell will autofill based on response",INDEX('CIOG'!$M$10:$M$14,MATCH($F216,'CIOG'!$B$10:$B$14,0))),"N/A")</f>
        <v/>
      </c>
      <c r="R216" s="25">
        <f>IFERROR(IF(INDEX('MRE'!$M$10:$M$12,MATCH($F216,'MRE'!$B$10:$B$12,0))="","Cell will autofill based on response",INDEX('MRE'!$M$10:$M$12,MATCH($F216,'MRE'!$B$10:$B$12,0))),"N/A")</f>
        <v/>
      </c>
      <c r="S216" s="25">
        <f>IFERROR(IF(INDEX('L&amp;R'!$M$10:$M$11,MATCH($F216,'L&amp;R'!$B$10:$B$11,0))="","Cell will autofill based on response",INDEX('L&amp;R'!$M$10:$M$11,MATCH($F216,'L&amp;R'!$B$10:$B$11,0))),"N/A")</f>
        <v/>
      </c>
    </row>
    <row r="217">
      <c r="A217">
        <f>F217&amp;"|"&amp;G217</f>
        <v/>
      </c>
      <c r="B217" s="29" t="inlineStr"/>
      <c r="C217" s="8" t="inlineStr"/>
      <c r="D217" s="8" t="inlineStr"/>
      <c r="E217" s="8" t="inlineStr"/>
      <c r="F217" s="8" t="inlineStr">
        <is>
          <t>EI1(c)</t>
        </is>
      </c>
      <c r="G217" s="8" t="inlineStr">
        <is>
          <t>OPTION 2:  Indicator level reporting</t>
        </is>
      </c>
      <c r="H217" s="25">
        <f>IFERROR(IF(INDEX('Faculties'!$N$10:$N$30,MATCH($F217,'Faculties'!$B$10:$B$30,0))="","Cell will autofill based on response",INDEX('Faculties'!$N$10:$N$30,MATCH($F217,'Faculties'!$B$10:$B$30,0))),"N/A")</f>
        <v/>
      </c>
      <c r="I217" s="25">
        <f>IFERROR(IF(INDEX('Faculties'!$N$37:$N$57,MATCH($F217,'Faculties'!$B$37:$B$57,0))="","Cell will autofill based on response",INDEX('Faculties'!$N$37:$N$57,MATCH($F217,'Faculties'!$B$37:$B$57,0))),"N/A")</f>
        <v/>
      </c>
      <c r="J217" s="25">
        <f>IFERROR(IF(INDEX('Faculties'!$N$64:$N$84,MATCH($F217,'Faculties'!$B$64:$B$84,0))="","Cell will autofill based on response",INDEX('Faculties'!$N$64:$N$84,MATCH($F217,'Faculties'!$B$64:$B$84,0))),"N/A")</f>
        <v/>
      </c>
      <c r="K217" s="25">
        <f>IFERROR(IF(INDEX('Faculties'!$N$91:$N$111,MATCH($F217,'Faculties'!$B$91:$B$111,0))="","Cell will autofill based on response",INDEX('Faculties'!$N$91:$N$111,MATCH($F217,'Faculties'!$B$91:$B$111,0))),"N/A")</f>
        <v/>
      </c>
      <c r="L217" s="25">
        <f>IFERROR(IF(INDEX('CI&amp;S'!$N$10:$N$15,MATCH($F217,'CI&amp;S'!$B$10:$B$15,0))="","Cell will autofill based on response",INDEX('CI&amp;S'!$N$10:$N$15,MATCH($F217,'CI&amp;S'!$B$10:$B$15,0))),"N/A")</f>
        <v/>
      </c>
      <c r="M217" s="25">
        <f>IFERROR(IF(INDEX('CI&amp;S'!$N$22:$N$39,MATCH($F217,'CI&amp;S'!$B$22:$B$39,0))="","Cell will autofill based on response",INDEX('CI&amp;S'!$N$22:$N$39,MATCH($F217,'CI&amp;S'!$B$22:$B$39,0))),"N/A")</f>
        <v/>
      </c>
      <c r="N217" s="25">
        <f>IFERROR(IF(INDEX('CFOG'!$N$10:$N$16,MATCH($F217,'CFOG'!$B$10:$B$16,0))="","Cell will autofill based on response",INDEX('CFOG'!$N$10:$N$16,MATCH($F217,'CFOG'!$B$10:$B$16,0))),"N/A")</f>
        <v/>
      </c>
      <c r="O217" s="25">
        <f>IFERROR(IF(INDEX('CFOG'!$N$23:$N$24,MATCH($F217,'CFOG'!$B$23:$B$24,0))="","Cell will autofill based on response",INDEX('CFOG'!$N$23:$N$24,MATCH($F217,'CFOG'!$B$23:$B$24,0))),"N/A")</f>
        <v/>
      </c>
      <c r="P217" s="25">
        <f>IFERROR(IF(INDEX('ESG'!$N$10:$N$17,MATCH($F217,'ESG'!$B$10:$B$17,0))="","Cell will autofill based on response",INDEX('ESG'!$N$10:$N$17,MATCH($F217,'ESG'!$B$10:$B$17,0))),"N/A")</f>
        <v/>
      </c>
      <c r="Q217" s="25">
        <f>IFERROR(IF(INDEX('CIOG'!$N$10:$N$14,MATCH($F217,'CIOG'!$B$10:$B$14,0))="","Cell will autofill based on response",INDEX('CIOG'!$N$10:$N$14,MATCH($F217,'CIOG'!$B$10:$B$14,0))),"N/A")</f>
        <v/>
      </c>
      <c r="R217" s="25">
        <f>IFERROR(IF(INDEX('MRE'!$N$10:$N$12,MATCH($F217,'MRE'!$B$10:$B$12,0))="","Cell will autofill based on response",INDEX('MRE'!$N$10:$N$12,MATCH($F217,'MRE'!$B$10:$B$12,0))),"N/A")</f>
        <v/>
      </c>
      <c r="S217" s="25">
        <f>IFERROR(IF(INDEX('L&amp;R'!$N$10:$N$11,MATCH($F217,'L&amp;R'!$B$10:$B$11,0))="","Cell will autofill based on response",INDEX('L&amp;R'!$N$10:$N$11,MATCH($F217,'L&amp;R'!$B$10:$B$11,0))),"N/A")</f>
        <v/>
      </c>
    </row>
    <row r="218">
      <c r="A218">
        <f>F218&amp;"|"&amp;G218</f>
        <v/>
      </c>
      <c r="B218" s="29" t="inlineStr"/>
      <c r="C218" s="8" t="inlineStr"/>
      <c r="D218" s="8" t="inlineStr"/>
      <c r="E218" s="8" t="inlineStr"/>
      <c r="F218" s="8" t="inlineStr">
        <is>
          <t>EI1(c)</t>
        </is>
      </c>
      <c r="G218" s="8" t="inlineStr">
        <is>
          <t>Supporting information/comments</t>
        </is>
      </c>
      <c r="H218" s="25">
        <f>IFERROR(IF(INDEX('Faculties'!$O$10:$O$30,MATCH($F218,'Faculties'!$B$10:$B$30,0))="","Cell will autofill based on response",INDEX('Faculties'!$O$10:$O$30,MATCH($F218,'Faculties'!$B$10:$B$30,0))),"N/A")</f>
        <v/>
      </c>
      <c r="I218" s="25">
        <f>IFERROR(IF(INDEX('Faculties'!$O$37:$O$57,MATCH($F218,'Faculties'!$B$37:$B$57,0))="","Cell will autofill based on response",INDEX('Faculties'!$O$37:$O$57,MATCH($F218,'Faculties'!$B$37:$B$57,0))),"N/A")</f>
        <v/>
      </c>
      <c r="J218" s="25">
        <f>IFERROR(IF(INDEX('Faculties'!$O$64:$O$84,MATCH($F218,'Faculties'!$B$64:$B$84,0))="","Cell will autofill based on response",INDEX('Faculties'!$O$64:$O$84,MATCH($F218,'Faculties'!$B$64:$B$84,0))),"N/A")</f>
        <v/>
      </c>
      <c r="K218" s="25">
        <f>IFERROR(IF(INDEX('Faculties'!$O$91:$O$111,MATCH($F218,'Faculties'!$B$91:$B$111,0))="","Cell will autofill based on response",INDEX('Faculties'!$O$91:$O$111,MATCH($F218,'Faculties'!$B$91:$B$111,0))),"N/A")</f>
        <v/>
      </c>
      <c r="L218" s="25">
        <f>IFERROR(IF(INDEX('CI&amp;S'!$O$10:$O$15,MATCH($F218,'CI&amp;S'!$B$10:$B$15,0))="","Cell will autofill based on response",INDEX('CI&amp;S'!$O$10:$O$15,MATCH($F218,'CI&amp;S'!$B$10:$B$15,0))),"N/A")</f>
        <v/>
      </c>
      <c r="M218" s="25">
        <f>IFERROR(IF(INDEX('CI&amp;S'!$O$22:$O$39,MATCH($F218,'CI&amp;S'!$B$22:$B$39,0))="","Cell will autofill based on response",INDEX('CI&amp;S'!$O$22:$O$39,MATCH($F218,'CI&amp;S'!$B$22:$B$39,0))),"N/A")</f>
        <v/>
      </c>
      <c r="N218" s="25">
        <f>IFERROR(IF(INDEX('CFOG'!$O$10:$O$16,MATCH($F218,'CFOG'!$B$10:$B$16,0))="","Cell will autofill based on response",INDEX('CFOG'!$O$10:$O$16,MATCH($F218,'CFOG'!$B$10:$B$16,0))),"N/A")</f>
        <v/>
      </c>
      <c r="O218" s="25">
        <f>IFERROR(IF(INDEX('CFOG'!$O$23:$O$24,MATCH($F218,'CFOG'!$B$23:$B$24,0))="","Cell will autofill based on response",INDEX('CFOG'!$O$23:$O$24,MATCH($F218,'CFOG'!$B$23:$B$24,0))),"N/A")</f>
        <v/>
      </c>
      <c r="P218" s="25">
        <f>IFERROR(IF(INDEX('ESG'!$O$10:$O$17,MATCH($F218,'ESG'!$B$10:$B$17,0))="","Cell will autofill based on response",INDEX('ESG'!$O$10:$O$17,MATCH($F218,'ESG'!$B$10:$B$17,0))),"N/A")</f>
        <v/>
      </c>
      <c r="Q218" s="25">
        <f>IFERROR(IF(INDEX('CIOG'!$O$10:$O$14,MATCH($F218,'CIOG'!$B$10:$B$14,0))="","Cell will autofill based on response",INDEX('CIOG'!$O$10:$O$14,MATCH($F218,'CIOG'!$B$10:$B$14,0))),"N/A")</f>
        <v/>
      </c>
      <c r="R218" s="25">
        <f>IFERROR(IF(INDEX('MRE'!$O$10:$O$12,MATCH($F218,'MRE'!$B$10:$B$12,0))="","Cell will autofill based on response",INDEX('MRE'!$O$10:$O$12,MATCH($F218,'MRE'!$B$10:$B$12,0))),"N/A")</f>
        <v/>
      </c>
      <c r="S218" s="25">
        <f>IFERROR(IF(INDEX('L&amp;R'!$O$10:$O$11,MATCH($F218,'L&amp;R'!$B$10:$B$11,0))="","Cell will autofill based on response",INDEX('L&amp;R'!$O$10:$O$11,MATCH($F218,'L&amp;R'!$B$10:$B$11,0))),"N/A")</f>
        <v/>
      </c>
    </row>
    <row r="219">
      <c r="A219">
        <f>F219&amp;"|"&amp;G219</f>
        <v/>
      </c>
      <c r="B219" s="29" t="inlineStr"/>
      <c r="C219" s="8" t="inlineStr"/>
      <c r="D219" s="8" t="inlineStr"/>
      <c r="E219" s="8" t="inlineStr"/>
      <c r="F219" s="8" t="inlineStr">
        <is>
          <t>EI1(c)</t>
        </is>
      </c>
      <c r="G219" s="8" t="inlineStr">
        <is>
          <t>Data source and limitations</t>
        </is>
      </c>
      <c r="H219" s="25">
        <f>IFERROR(IF(INDEX('Faculties'!$P$10:$P$30,MATCH($F219,'Faculties'!$B$10:$B$30,0))="","Cell will autofill based on response",INDEX('Faculties'!$P$10:$P$30,MATCH($F219,'Faculties'!$B$10:$B$30,0))),"N/A")</f>
        <v/>
      </c>
      <c r="I219" s="25">
        <f>IFERROR(IF(INDEX('Faculties'!$P$37:$P$57,MATCH($F219,'Faculties'!$B$37:$B$57,0))="","Cell will autofill based on response",INDEX('Faculties'!$P$37:$P$57,MATCH($F219,'Faculties'!$B$37:$B$57,0))),"N/A")</f>
        <v/>
      </c>
      <c r="J219" s="25">
        <f>IFERROR(IF(INDEX('Faculties'!$P$64:$P$84,MATCH($F219,'Faculties'!$B$64:$B$84,0))="","Cell will autofill based on response",INDEX('Faculties'!$P$64:$P$84,MATCH($F219,'Faculties'!$B$64:$B$84,0))),"N/A")</f>
        <v/>
      </c>
      <c r="K219" s="25">
        <f>IFERROR(IF(INDEX('Faculties'!$P$91:$P$111,MATCH($F219,'Faculties'!$B$91:$B$111,0))="","Cell will autofill based on response",INDEX('Faculties'!$P$91:$P$111,MATCH($F219,'Faculties'!$B$91:$B$111,0))),"N/A")</f>
        <v/>
      </c>
      <c r="L219" s="25">
        <f>IFERROR(IF(INDEX('CI&amp;S'!$P$10:$P$15,MATCH($F219,'CI&amp;S'!$B$10:$B$15,0))="","Cell will autofill based on response",INDEX('CI&amp;S'!$P$10:$P$15,MATCH($F219,'CI&amp;S'!$B$10:$B$15,0))),"N/A")</f>
        <v/>
      </c>
      <c r="M219" s="25">
        <f>IFERROR(IF(INDEX('CI&amp;S'!$P$22:$P$39,MATCH($F219,'CI&amp;S'!$B$22:$B$39,0))="","Cell will autofill based on response",INDEX('CI&amp;S'!$P$22:$P$39,MATCH($F219,'CI&amp;S'!$B$22:$B$39,0))),"N/A")</f>
        <v/>
      </c>
      <c r="N219" s="25">
        <f>IFERROR(IF(INDEX('CFOG'!$P$10:$P$16,MATCH($F219,'CFOG'!$B$10:$B$16,0))="","Cell will autofill based on response",INDEX('CFOG'!$P$10:$P$16,MATCH($F219,'CFOG'!$B$10:$B$16,0))),"N/A")</f>
        <v/>
      </c>
      <c r="O219" s="25">
        <f>IFERROR(IF(INDEX('CFOG'!$P$23:$P$24,MATCH($F219,'CFOG'!$B$23:$B$24,0))="","Cell will autofill based on response",INDEX('CFOG'!$P$23:$P$24,MATCH($F219,'CFOG'!$B$23:$B$24,0))),"N/A")</f>
        <v/>
      </c>
      <c r="P219" s="25">
        <f>IFERROR(IF(INDEX('ESG'!$P$10:$P$17,MATCH($F219,'ESG'!$B$10:$B$17,0))="","Cell will autofill based on response",INDEX('ESG'!$P$10:$P$17,MATCH($F219,'ESG'!$B$10:$B$17,0))),"N/A")</f>
        <v/>
      </c>
      <c r="Q219" s="25">
        <f>IFERROR(IF(INDEX('CIOG'!$P$10:$P$14,MATCH($F219,'CIOG'!$B$10:$B$14,0))="","Cell will autofill based on response",INDEX('CIOG'!$P$10:$P$14,MATCH($F219,'CIOG'!$B$10:$B$14,0))),"N/A")</f>
        <v/>
      </c>
      <c r="R219" s="25">
        <f>IFERROR(IF(INDEX('MRE'!$P$10:$P$12,MATCH($F219,'MRE'!$B$10:$B$12,0))="","Cell will autofill based on response",INDEX('MRE'!$P$10:$P$12,MATCH($F219,'MRE'!$B$10:$B$12,0))),"N/A")</f>
        <v/>
      </c>
      <c r="S219" s="25">
        <f>IFERROR(IF(INDEX('L&amp;R'!$P$10:$P$11,MATCH($F219,'L&amp;R'!$B$10:$B$11,0))="","Cell will autofill based on response",INDEX('L&amp;R'!$P$10:$P$11,MATCH($F219,'L&amp;R'!$B$10:$B$11,0))),"N/A")</f>
        <v/>
      </c>
    </row>
    <row r="220">
      <c r="A220">
        <f>F220&amp;"|"&amp;G220</f>
        <v/>
      </c>
      <c r="B220" s="29" t="inlineStr"/>
      <c r="C220" s="8" t="inlineStr"/>
      <c r="D220" s="8" t="inlineStr"/>
      <c r="E220" s="8" t="inlineStr"/>
      <c r="F220" s="8" t="inlineStr">
        <is>
          <t>EI1(c)</t>
        </is>
      </c>
      <c r="G220" s="8" t="inlineStr">
        <is>
          <t>Data owner confirms</t>
        </is>
      </c>
      <c r="H220" s="25">
        <f>IFERROR(IF(INDEX('Faculties'!$Q$10:$Q$30,MATCH($F220,'Faculties'!$B$10:$B$30,0))="","Cell will autofill based on response",INDEX('Faculties'!$Q$10:$Q$30,MATCH($F220,'Faculties'!$B$10:$B$30,0))),"N/A")</f>
        <v/>
      </c>
      <c r="I220" s="25">
        <f>IFERROR(IF(INDEX('Faculties'!$Q$37:$Q$57,MATCH($F220,'Faculties'!$B$37:$B$57,0))="","Cell will autofill based on response",INDEX('Faculties'!$Q$37:$Q$57,MATCH($F220,'Faculties'!$B$37:$B$57,0))),"N/A")</f>
        <v/>
      </c>
      <c r="J220" s="25">
        <f>IFERROR(IF(INDEX('Faculties'!$Q$64:$Q$84,MATCH($F220,'Faculties'!$B$64:$B$84,0))="","Cell will autofill based on response",INDEX('Faculties'!$Q$64:$Q$84,MATCH($F220,'Faculties'!$B$64:$B$84,0))),"N/A")</f>
        <v/>
      </c>
      <c r="K220" s="25">
        <f>IFERROR(IF(INDEX('Faculties'!$Q$91:$Q$111,MATCH($F220,'Faculties'!$B$91:$B$111,0))="","Cell will autofill based on response",INDEX('Faculties'!$Q$91:$Q$111,MATCH($F220,'Faculties'!$B$91:$B$111,0))),"N/A")</f>
        <v/>
      </c>
      <c r="L220" s="25">
        <f>IFERROR(IF(INDEX('CI&amp;S'!$Q$10:$Q$15,MATCH($F220,'CI&amp;S'!$B$10:$B$15,0))="","Cell will autofill based on response",INDEX('CI&amp;S'!$Q$10:$Q$15,MATCH($F220,'CI&amp;S'!$B$10:$B$15,0))),"N/A")</f>
        <v/>
      </c>
      <c r="M220" s="25">
        <f>IFERROR(IF(INDEX('CI&amp;S'!$Q$22:$Q$39,MATCH($F220,'CI&amp;S'!$B$22:$B$39,0))="","Cell will autofill based on response",INDEX('CI&amp;S'!$Q$22:$Q$39,MATCH($F220,'CI&amp;S'!$B$22:$B$39,0))),"N/A")</f>
        <v/>
      </c>
      <c r="N220" s="25">
        <f>IFERROR(IF(INDEX('CFOG'!$Q$10:$Q$16,MATCH($F220,'CFOG'!$B$10:$B$16,0))="","Cell will autofill based on response",INDEX('CFOG'!$Q$10:$Q$16,MATCH($F220,'CFOG'!$B$10:$B$16,0))),"N/A")</f>
        <v/>
      </c>
      <c r="O220" s="25">
        <f>IFERROR(IF(INDEX('CFOG'!$Q$23:$Q$24,MATCH($F220,'CFOG'!$B$23:$B$24,0))="","Cell will autofill based on response",INDEX('CFOG'!$Q$23:$Q$24,MATCH($F220,'CFOG'!$B$23:$B$24,0))),"N/A")</f>
        <v/>
      </c>
      <c r="P220" s="25">
        <f>IFERROR(IF(INDEX('ESG'!$Q$10:$Q$17,MATCH($F220,'ESG'!$B$10:$B$17,0))="","Cell will autofill based on response",INDEX('ESG'!$Q$10:$Q$17,MATCH($F220,'ESG'!$B$10:$B$17,0))),"N/A")</f>
        <v/>
      </c>
      <c r="Q220" s="25">
        <f>IFERROR(IF(INDEX('CIOG'!$Q$10:$Q$14,MATCH($F220,'CIOG'!$B$10:$B$14,0))="","Cell will autofill based on response",INDEX('CIOG'!$Q$10:$Q$14,MATCH($F220,'CIOG'!$B$10:$B$14,0))),"N/A")</f>
        <v/>
      </c>
      <c r="R220" s="25">
        <f>IFERROR(IF(INDEX('MRE'!$Q$10:$Q$12,MATCH($F220,'MRE'!$B$10:$B$12,0))="","Cell will autofill based on response",INDEX('MRE'!$Q$10:$Q$12,MATCH($F220,'MRE'!$B$10:$B$12,0))),"N/A")</f>
        <v/>
      </c>
      <c r="S220" s="25">
        <f>IFERROR(IF(INDEX('L&amp;R'!$Q$10:$Q$11,MATCH($F220,'L&amp;R'!$B$10:$B$11,0))="","Cell will autofill based on response",INDEX('L&amp;R'!$Q$10:$Q$11,MATCH($F220,'L&amp;R'!$B$10:$B$11,0))),"N/A")</f>
        <v/>
      </c>
    </row>
    <row r="221">
      <c r="A221">
        <f>F221&amp;"|"&amp;G221</f>
        <v/>
      </c>
      <c r="B221" s="7" t="inlineStr">
        <is>
          <t>EI1(d)</t>
        </is>
      </c>
      <c r="C221" s="12" t="inlineStr">
        <is>
          <t>Estate and infrastructure</t>
        </is>
      </c>
      <c r="D221" s="12" t="inlineStr">
        <is>
          <t>Evidence of understanding and integration of Indigenous approaches to sustainability in estate planning and development programs and projects.</t>
        </is>
      </c>
      <c r="E221" s="12" t="inlineStr">
        <is>
          <t>Please provide examples showing how Indigenous approaches, knowledges or perspectives on sustainability have informed estate planning, development programs or projects relevant to your Faculty/Portfolio. This could include how Indigenous stakeholders were engaged and what changed as a result.</t>
        </is>
      </c>
      <c r="F221" s="12" t="inlineStr">
        <is>
          <t>EI1(d)</t>
        </is>
      </c>
      <c r="G221" s="12" t="inlineStr">
        <is>
          <t>Confirm end-2026 target status</t>
        </is>
      </c>
      <c r="H221" s="25">
        <f>IFERROR(IF(INDEX('Faculties'!$L$10:$L$30,MATCH($F221,'Faculties'!$B$10:$B$30,0))="","Cell will autofill based on response",INDEX('Faculties'!$L$10:$L$30,MATCH($F221,'Faculties'!$B$10:$B$30,0))),"N/A")</f>
        <v/>
      </c>
      <c r="I221" s="25">
        <f>IFERROR(IF(INDEX('Faculties'!$L$37:$L$57,MATCH($F221,'Faculties'!$B$37:$B$57,0))="","Cell will autofill based on response",INDEX('Faculties'!$L$37:$L$57,MATCH($F221,'Faculties'!$B$37:$B$57,0))),"N/A")</f>
        <v/>
      </c>
      <c r="J221" s="25">
        <f>IFERROR(IF(INDEX('Faculties'!$L$64:$L$84,MATCH($F221,'Faculties'!$B$64:$B$84,0))="","Cell will autofill based on response",INDEX('Faculties'!$L$64:$L$84,MATCH($F221,'Faculties'!$B$64:$B$84,0))),"N/A")</f>
        <v/>
      </c>
      <c r="K221" s="25">
        <f>IFERROR(IF(INDEX('Faculties'!$L$91:$L$111,MATCH($F221,'Faculties'!$B$91:$B$111,0))="","Cell will autofill based on response",INDEX('Faculties'!$L$91:$L$111,MATCH($F221,'Faculties'!$B$91:$B$111,0))),"N/A")</f>
        <v/>
      </c>
      <c r="L221" s="25">
        <f>IFERROR(IF(INDEX('CI&amp;S'!$L$10:$L$15,MATCH($F221,'CI&amp;S'!$B$10:$B$15,0))="","Cell will autofill based on response",INDEX('CI&amp;S'!$L$10:$L$15,MATCH($F221,'CI&amp;S'!$B$10:$B$15,0))),"N/A")</f>
        <v/>
      </c>
      <c r="M221" s="25">
        <f>IFERROR(IF(INDEX('CI&amp;S'!$L$22:$L$39,MATCH($F221,'CI&amp;S'!$B$22:$B$39,0))="","Cell will autofill based on response",INDEX('CI&amp;S'!$L$22:$L$39,MATCH($F221,'CI&amp;S'!$B$22:$B$39,0))),"N/A")</f>
        <v/>
      </c>
      <c r="N221" s="25">
        <f>IFERROR(IF(INDEX('CFOG'!$L$10:$L$16,MATCH($F221,'CFOG'!$B$10:$B$16,0))="","Cell will autofill based on response",INDEX('CFOG'!$L$10:$L$16,MATCH($F221,'CFOG'!$B$10:$B$16,0))),"N/A")</f>
        <v/>
      </c>
      <c r="O221" s="25">
        <f>IFERROR(IF(INDEX('CFOG'!$L$23:$L$24,MATCH($F221,'CFOG'!$B$23:$B$24,0))="","Cell will autofill based on response",INDEX('CFOG'!$L$23:$L$24,MATCH($F221,'CFOG'!$B$23:$B$24,0))),"N/A")</f>
        <v/>
      </c>
      <c r="P221" s="25">
        <f>IFERROR(IF(INDEX('ESG'!$L$10:$L$17,MATCH($F221,'ESG'!$B$10:$B$17,0))="","Cell will autofill based on response",INDEX('ESG'!$L$10:$L$17,MATCH($F221,'ESG'!$B$10:$B$17,0))),"N/A")</f>
        <v/>
      </c>
      <c r="Q221" s="25">
        <f>IFERROR(IF(INDEX('CIOG'!$L$10:$L$14,MATCH($F221,'CIOG'!$B$10:$B$14,0))="","Cell will autofill based on response",INDEX('CIOG'!$L$10:$L$14,MATCH($F221,'CIOG'!$B$10:$B$14,0))),"N/A")</f>
        <v/>
      </c>
      <c r="R221" s="25">
        <f>IFERROR(IF(INDEX('MRE'!$L$10:$L$12,MATCH($F221,'MRE'!$B$10:$B$12,0))="","Cell will autofill based on response",INDEX('MRE'!$L$10:$L$12,MATCH($F221,'MRE'!$B$10:$B$12,0))),"N/A")</f>
        <v/>
      </c>
      <c r="S221" s="25">
        <f>IFERROR(IF(INDEX('L&amp;R'!$L$10:$L$11,MATCH($F221,'L&amp;R'!$B$10:$B$11,0))="","Cell will autofill based on response",INDEX('L&amp;R'!$L$10:$L$11,MATCH($F221,'L&amp;R'!$B$10:$B$11,0))),"N/A")</f>
        <v/>
      </c>
      <c r="U221" s="26">
        <f>COUNTIF($H221:$S221,"Cell will autofill based on response")</f>
        <v/>
      </c>
      <c r="V221" s="26">
        <f>COUNTIF($H221:$S221,"Not yet started")</f>
        <v/>
      </c>
      <c r="W221" s="26">
        <f>COUNTIF($H221:$S221,"Not met")</f>
        <v/>
      </c>
      <c r="X221" s="26">
        <f>COUNTIF($H221:$S221,"Partially met")</f>
        <v/>
      </c>
      <c r="Y221" s="26">
        <f>COUNTIF($H221:$S221,"Met or exceeded")</f>
        <v/>
      </c>
      <c r="Z221" s="26">
        <f>3*Y221+2*X221+W221</f>
        <v/>
      </c>
      <c r="AA221" s="26">
        <f>Y221+X221+W221+V221</f>
        <v/>
      </c>
      <c r="AB221" s="27">
        <f>IF(AA221&gt;0,Z221/AA221,"No valid responses to date")</f>
        <v/>
      </c>
      <c r="AC221" s="26">
        <f>IF(ISNUMBER(AB221),INDEX(Lists!$G$2:$G$5,MATCH(ROUND(AB221,0),Lists!$H$2:$H$5,0)),"")</f>
        <v/>
      </c>
      <c r="AD221" s="28">
        <f>IF(AA221&gt;0,Y221/AA221,"")</f>
        <v/>
      </c>
      <c r="AE221" s="28">
        <f>IF(AA221&gt;0,(Y221+X221)/AA221,"")</f>
        <v/>
      </c>
      <c r="AF221" s="26">
        <f>IF(AA221=0,"",IF(AD221&gt;0.75,"Met or exceeded",IF(AE221&gt;=0.5,"Partially met","Not met")))</f>
        <v/>
      </c>
    </row>
    <row r="222">
      <c r="A222">
        <f>F222&amp;"|"&amp;G222</f>
        <v/>
      </c>
      <c r="B222" s="29" t="inlineStr"/>
      <c r="C222" s="8" t="inlineStr"/>
      <c r="D222" s="8" t="inlineStr"/>
      <c r="E222" s="8" t="inlineStr"/>
      <c r="F222" s="8" t="inlineStr">
        <is>
          <t>EI1(d)</t>
        </is>
      </c>
      <c r="G222" s="8" t="inlineStr">
        <is>
          <t>OPTION 1:  Target-level reporting</t>
        </is>
      </c>
      <c r="H222" s="25">
        <f>IFERROR(IF(INDEX('Faculties'!$M$10:$M$30,MATCH($F222,'Faculties'!$B$10:$B$30,0))="","Cell will autofill based on response",INDEX('Faculties'!$M$10:$M$30,MATCH($F222,'Faculties'!$B$10:$B$30,0))),"N/A")</f>
        <v/>
      </c>
      <c r="I222" s="25">
        <f>IFERROR(IF(INDEX('Faculties'!$M$37:$M$57,MATCH($F222,'Faculties'!$B$37:$B$57,0))="","Cell will autofill based on response",INDEX('Faculties'!$M$37:$M$57,MATCH($F222,'Faculties'!$B$37:$B$57,0))),"N/A")</f>
        <v/>
      </c>
      <c r="J222" s="25">
        <f>IFERROR(IF(INDEX('Faculties'!$M$64:$M$84,MATCH($F222,'Faculties'!$B$64:$B$84,0))="","Cell will autofill based on response",INDEX('Faculties'!$M$64:$M$84,MATCH($F222,'Faculties'!$B$64:$B$84,0))),"N/A")</f>
        <v/>
      </c>
      <c r="K222" s="25">
        <f>IFERROR(IF(INDEX('Faculties'!$M$91:$M$111,MATCH($F222,'Faculties'!$B$91:$B$111,0))="","Cell will autofill based on response",INDEX('Faculties'!$M$91:$M$111,MATCH($F222,'Faculties'!$B$91:$B$111,0))),"N/A")</f>
        <v/>
      </c>
      <c r="L222" s="25">
        <f>IFERROR(IF(INDEX('CI&amp;S'!$M$10:$M$15,MATCH($F222,'CI&amp;S'!$B$10:$B$15,0))="","Cell will autofill based on response",INDEX('CI&amp;S'!$M$10:$M$15,MATCH($F222,'CI&amp;S'!$B$10:$B$15,0))),"N/A")</f>
        <v/>
      </c>
      <c r="M222" s="25">
        <f>IFERROR(IF(INDEX('CI&amp;S'!$M$22:$M$39,MATCH($F222,'CI&amp;S'!$B$22:$B$39,0))="","Cell will autofill based on response",INDEX('CI&amp;S'!$M$22:$M$39,MATCH($F222,'CI&amp;S'!$B$22:$B$39,0))),"N/A")</f>
        <v/>
      </c>
      <c r="N222" s="25">
        <f>IFERROR(IF(INDEX('CFOG'!$M$10:$M$16,MATCH($F222,'CFOG'!$B$10:$B$16,0))="","Cell will autofill based on response",INDEX('CFOG'!$M$10:$M$16,MATCH($F222,'CFOG'!$B$10:$B$16,0))),"N/A")</f>
        <v/>
      </c>
      <c r="O222" s="25">
        <f>IFERROR(IF(INDEX('CFOG'!$M$23:$M$24,MATCH($F222,'CFOG'!$B$23:$B$24,0))="","Cell will autofill based on response",INDEX('CFOG'!$M$23:$M$24,MATCH($F222,'CFOG'!$B$23:$B$24,0))),"N/A")</f>
        <v/>
      </c>
      <c r="P222" s="25">
        <f>IFERROR(IF(INDEX('ESG'!$M$10:$M$17,MATCH($F222,'ESG'!$B$10:$B$17,0))="","Cell will autofill based on response",INDEX('ESG'!$M$10:$M$17,MATCH($F222,'ESG'!$B$10:$B$17,0))),"N/A")</f>
        <v/>
      </c>
      <c r="Q222" s="25">
        <f>IFERROR(IF(INDEX('CIOG'!$M$10:$M$14,MATCH($F222,'CIOG'!$B$10:$B$14,0))="","Cell will autofill based on response",INDEX('CIOG'!$M$10:$M$14,MATCH($F222,'CIOG'!$B$10:$B$14,0))),"N/A")</f>
        <v/>
      </c>
      <c r="R222" s="25">
        <f>IFERROR(IF(INDEX('MRE'!$M$10:$M$12,MATCH($F222,'MRE'!$B$10:$B$12,0))="","Cell will autofill based on response",INDEX('MRE'!$M$10:$M$12,MATCH($F222,'MRE'!$B$10:$B$12,0))),"N/A")</f>
        <v/>
      </c>
      <c r="S222" s="25">
        <f>IFERROR(IF(INDEX('L&amp;R'!$M$10:$M$11,MATCH($F222,'L&amp;R'!$B$10:$B$11,0))="","Cell will autofill based on response",INDEX('L&amp;R'!$M$10:$M$11,MATCH($F222,'L&amp;R'!$B$10:$B$11,0))),"N/A")</f>
        <v/>
      </c>
    </row>
    <row r="223">
      <c r="A223">
        <f>F223&amp;"|"&amp;G223</f>
        <v/>
      </c>
      <c r="B223" s="29" t="inlineStr"/>
      <c r="C223" s="8" t="inlineStr"/>
      <c r="D223" s="8" t="inlineStr"/>
      <c r="E223" s="8" t="inlineStr"/>
      <c r="F223" s="8" t="inlineStr">
        <is>
          <t>EI1(d)</t>
        </is>
      </c>
      <c r="G223" s="8" t="inlineStr">
        <is>
          <t>OPTION 2:  Indicator level reporting</t>
        </is>
      </c>
      <c r="H223" s="25">
        <f>IFERROR(IF(INDEX('Faculties'!$N$10:$N$30,MATCH($F223,'Faculties'!$B$10:$B$30,0))="","Cell will autofill based on response",INDEX('Faculties'!$N$10:$N$30,MATCH($F223,'Faculties'!$B$10:$B$30,0))),"N/A")</f>
        <v/>
      </c>
      <c r="I223" s="25">
        <f>IFERROR(IF(INDEX('Faculties'!$N$37:$N$57,MATCH($F223,'Faculties'!$B$37:$B$57,0))="","Cell will autofill based on response",INDEX('Faculties'!$N$37:$N$57,MATCH($F223,'Faculties'!$B$37:$B$57,0))),"N/A")</f>
        <v/>
      </c>
      <c r="J223" s="25">
        <f>IFERROR(IF(INDEX('Faculties'!$N$64:$N$84,MATCH($F223,'Faculties'!$B$64:$B$84,0))="","Cell will autofill based on response",INDEX('Faculties'!$N$64:$N$84,MATCH($F223,'Faculties'!$B$64:$B$84,0))),"N/A")</f>
        <v/>
      </c>
      <c r="K223" s="25">
        <f>IFERROR(IF(INDEX('Faculties'!$N$91:$N$111,MATCH($F223,'Faculties'!$B$91:$B$111,0))="","Cell will autofill based on response",INDEX('Faculties'!$N$91:$N$111,MATCH($F223,'Faculties'!$B$91:$B$111,0))),"N/A")</f>
        <v/>
      </c>
      <c r="L223" s="25">
        <f>IFERROR(IF(INDEX('CI&amp;S'!$N$10:$N$15,MATCH($F223,'CI&amp;S'!$B$10:$B$15,0))="","Cell will autofill based on response",INDEX('CI&amp;S'!$N$10:$N$15,MATCH($F223,'CI&amp;S'!$B$10:$B$15,0))),"N/A")</f>
        <v/>
      </c>
      <c r="M223" s="25">
        <f>IFERROR(IF(INDEX('CI&amp;S'!$N$22:$N$39,MATCH($F223,'CI&amp;S'!$B$22:$B$39,0))="","Cell will autofill based on response",INDEX('CI&amp;S'!$N$22:$N$39,MATCH($F223,'CI&amp;S'!$B$22:$B$39,0))),"N/A")</f>
        <v/>
      </c>
      <c r="N223" s="25">
        <f>IFERROR(IF(INDEX('CFOG'!$N$10:$N$16,MATCH($F223,'CFOG'!$B$10:$B$16,0))="","Cell will autofill based on response",INDEX('CFOG'!$N$10:$N$16,MATCH($F223,'CFOG'!$B$10:$B$16,0))),"N/A")</f>
        <v/>
      </c>
      <c r="O223" s="25">
        <f>IFERROR(IF(INDEX('CFOG'!$N$23:$N$24,MATCH($F223,'CFOG'!$B$23:$B$24,0))="","Cell will autofill based on response",INDEX('CFOG'!$N$23:$N$24,MATCH($F223,'CFOG'!$B$23:$B$24,0))),"N/A")</f>
        <v/>
      </c>
      <c r="P223" s="25">
        <f>IFERROR(IF(INDEX('ESG'!$N$10:$N$17,MATCH($F223,'ESG'!$B$10:$B$17,0))="","Cell will autofill based on response",INDEX('ESG'!$N$10:$N$17,MATCH($F223,'ESG'!$B$10:$B$17,0))),"N/A")</f>
        <v/>
      </c>
      <c r="Q223" s="25">
        <f>IFERROR(IF(INDEX('CIOG'!$N$10:$N$14,MATCH($F223,'CIOG'!$B$10:$B$14,0))="","Cell will autofill based on response",INDEX('CIOG'!$N$10:$N$14,MATCH($F223,'CIOG'!$B$10:$B$14,0))),"N/A")</f>
        <v/>
      </c>
      <c r="R223" s="25">
        <f>IFERROR(IF(INDEX('MRE'!$N$10:$N$12,MATCH($F223,'MRE'!$B$10:$B$12,0))="","Cell will autofill based on response",INDEX('MRE'!$N$10:$N$12,MATCH($F223,'MRE'!$B$10:$B$12,0))),"N/A")</f>
        <v/>
      </c>
      <c r="S223" s="25">
        <f>IFERROR(IF(INDEX('L&amp;R'!$N$10:$N$11,MATCH($F223,'L&amp;R'!$B$10:$B$11,0))="","Cell will autofill based on response",INDEX('L&amp;R'!$N$10:$N$11,MATCH($F223,'L&amp;R'!$B$10:$B$11,0))),"N/A")</f>
        <v/>
      </c>
    </row>
    <row r="224">
      <c r="A224">
        <f>F224&amp;"|"&amp;G224</f>
        <v/>
      </c>
      <c r="B224" s="29" t="inlineStr"/>
      <c r="C224" s="8" t="inlineStr"/>
      <c r="D224" s="8" t="inlineStr"/>
      <c r="E224" s="8" t="inlineStr"/>
      <c r="F224" s="8" t="inlineStr">
        <is>
          <t>EI1(d)</t>
        </is>
      </c>
      <c r="G224" s="8" t="inlineStr">
        <is>
          <t>Supporting information/comments</t>
        </is>
      </c>
      <c r="H224" s="25">
        <f>IFERROR(IF(INDEX('Faculties'!$O$10:$O$30,MATCH($F224,'Faculties'!$B$10:$B$30,0))="","Cell will autofill based on response",INDEX('Faculties'!$O$10:$O$30,MATCH($F224,'Faculties'!$B$10:$B$30,0))),"N/A")</f>
        <v/>
      </c>
      <c r="I224" s="25">
        <f>IFERROR(IF(INDEX('Faculties'!$O$37:$O$57,MATCH($F224,'Faculties'!$B$37:$B$57,0))="","Cell will autofill based on response",INDEX('Faculties'!$O$37:$O$57,MATCH($F224,'Faculties'!$B$37:$B$57,0))),"N/A")</f>
        <v/>
      </c>
      <c r="J224" s="25">
        <f>IFERROR(IF(INDEX('Faculties'!$O$64:$O$84,MATCH($F224,'Faculties'!$B$64:$B$84,0))="","Cell will autofill based on response",INDEX('Faculties'!$O$64:$O$84,MATCH($F224,'Faculties'!$B$64:$B$84,0))),"N/A")</f>
        <v/>
      </c>
      <c r="K224" s="25">
        <f>IFERROR(IF(INDEX('Faculties'!$O$91:$O$111,MATCH($F224,'Faculties'!$B$91:$B$111,0))="","Cell will autofill based on response",INDEX('Faculties'!$O$91:$O$111,MATCH($F224,'Faculties'!$B$91:$B$111,0))),"N/A")</f>
        <v/>
      </c>
      <c r="L224" s="25">
        <f>IFERROR(IF(INDEX('CI&amp;S'!$O$10:$O$15,MATCH($F224,'CI&amp;S'!$B$10:$B$15,0))="","Cell will autofill based on response",INDEX('CI&amp;S'!$O$10:$O$15,MATCH($F224,'CI&amp;S'!$B$10:$B$15,0))),"N/A")</f>
        <v/>
      </c>
      <c r="M224" s="25">
        <f>IFERROR(IF(INDEX('CI&amp;S'!$O$22:$O$39,MATCH($F224,'CI&amp;S'!$B$22:$B$39,0))="","Cell will autofill based on response",INDEX('CI&amp;S'!$O$22:$O$39,MATCH($F224,'CI&amp;S'!$B$22:$B$39,0))),"N/A")</f>
        <v/>
      </c>
      <c r="N224" s="25">
        <f>IFERROR(IF(INDEX('CFOG'!$O$10:$O$16,MATCH($F224,'CFOG'!$B$10:$B$16,0))="","Cell will autofill based on response",INDEX('CFOG'!$O$10:$O$16,MATCH($F224,'CFOG'!$B$10:$B$16,0))),"N/A")</f>
        <v/>
      </c>
      <c r="O224" s="25">
        <f>IFERROR(IF(INDEX('CFOG'!$O$23:$O$24,MATCH($F224,'CFOG'!$B$23:$B$24,0))="","Cell will autofill based on response",INDEX('CFOG'!$O$23:$O$24,MATCH($F224,'CFOG'!$B$23:$B$24,0))),"N/A")</f>
        <v/>
      </c>
      <c r="P224" s="25">
        <f>IFERROR(IF(INDEX('ESG'!$O$10:$O$17,MATCH($F224,'ESG'!$B$10:$B$17,0))="","Cell will autofill based on response",INDEX('ESG'!$O$10:$O$17,MATCH($F224,'ESG'!$B$10:$B$17,0))),"N/A")</f>
        <v/>
      </c>
      <c r="Q224" s="25">
        <f>IFERROR(IF(INDEX('CIOG'!$O$10:$O$14,MATCH($F224,'CIOG'!$B$10:$B$14,0))="","Cell will autofill based on response",INDEX('CIOG'!$O$10:$O$14,MATCH($F224,'CIOG'!$B$10:$B$14,0))),"N/A")</f>
        <v/>
      </c>
      <c r="R224" s="25">
        <f>IFERROR(IF(INDEX('MRE'!$O$10:$O$12,MATCH($F224,'MRE'!$B$10:$B$12,0))="","Cell will autofill based on response",INDEX('MRE'!$O$10:$O$12,MATCH($F224,'MRE'!$B$10:$B$12,0))),"N/A")</f>
        <v/>
      </c>
      <c r="S224" s="25">
        <f>IFERROR(IF(INDEX('L&amp;R'!$O$10:$O$11,MATCH($F224,'L&amp;R'!$B$10:$B$11,0))="","Cell will autofill based on response",INDEX('L&amp;R'!$O$10:$O$11,MATCH($F224,'L&amp;R'!$B$10:$B$11,0))),"N/A")</f>
        <v/>
      </c>
    </row>
    <row r="225">
      <c r="A225">
        <f>F225&amp;"|"&amp;G225</f>
        <v/>
      </c>
      <c r="B225" s="29" t="inlineStr"/>
      <c r="C225" s="8" t="inlineStr"/>
      <c r="D225" s="8" t="inlineStr"/>
      <c r="E225" s="8" t="inlineStr"/>
      <c r="F225" s="8" t="inlineStr">
        <is>
          <t>EI1(d)</t>
        </is>
      </c>
      <c r="G225" s="8" t="inlineStr">
        <is>
          <t>Data source and limitations</t>
        </is>
      </c>
      <c r="H225" s="25">
        <f>IFERROR(IF(INDEX('Faculties'!$P$10:$P$30,MATCH($F225,'Faculties'!$B$10:$B$30,0))="","Cell will autofill based on response",INDEX('Faculties'!$P$10:$P$30,MATCH($F225,'Faculties'!$B$10:$B$30,0))),"N/A")</f>
        <v/>
      </c>
      <c r="I225" s="25">
        <f>IFERROR(IF(INDEX('Faculties'!$P$37:$P$57,MATCH($F225,'Faculties'!$B$37:$B$57,0))="","Cell will autofill based on response",INDEX('Faculties'!$P$37:$P$57,MATCH($F225,'Faculties'!$B$37:$B$57,0))),"N/A")</f>
        <v/>
      </c>
      <c r="J225" s="25">
        <f>IFERROR(IF(INDEX('Faculties'!$P$64:$P$84,MATCH($F225,'Faculties'!$B$64:$B$84,0))="","Cell will autofill based on response",INDEX('Faculties'!$P$64:$P$84,MATCH($F225,'Faculties'!$B$64:$B$84,0))),"N/A")</f>
        <v/>
      </c>
      <c r="K225" s="25">
        <f>IFERROR(IF(INDEX('Faculties'!$P$91:$P$111,MATCH($F225,'Faculties'!$B$91:$B$111,0))="","Cell will autofill based on response",INDEX('Faculties'!$P$91:$P$111,MATCH($F225,'Faculties'!$B$91:$B$111,0))),"N/A")</f>
        <v/>
      </c>
      <c r="L225" s="25">
        <f>IFERROR(IF(INDEX('CI&amp;S'!$P$10:$P$15,MATCH($F225,'CI&amp;S'!$B$10:$B$15,0))="","Cell will autofill based on response",INDEX('CI&amp;S'!$P$10:$P$15,MATCH($F225,'CI&amp;S'!$B$10:$B$15,0))),"N/A")</f>
        <v/>
      </c>
      <c r="M225" s="25">
        <f>IFERROR(IF(INDEX('CI&amp;S'!$P$22:$P$39,MATCH($F225,'CI&amp;S'!$B$22:$B$39,0))="","Cell will autofill based on response",INDEX('CI&amp;S'!$P$22:$P$39,MATCH($F225,'CI&amp;S'!$B$22:$B$39,0))),"N/A")</f>
        <v/>
      </c>
      <c r="N225" s="25">
        <f>IFERROR(IF(INDEX('CFOG'!$P$10:$P$16,MATCH($F225,'CFOG'!$B$10:$B$16,0))="","Cell will autofill based on response",INDEX('CFOG'!$P$10:$P$16,MATCH($F225,'CFOG'!$B$10:$B$16,0))),"N/A")</f>
        <v/>
      </c>
      <c r="O225" s="25">
        <f>IFERROR(IF(INDEX('CFOG'!$P$23:$P$24,MATCH($F225,'CFOG'!$B$23:$B$24,0))="","Cell will autofill based on response",INDEX('CFOG'!$P$23:$P$24,MATCH($F225,'CFOG'!$B$23:$B$24,0))),"N/A")</f>
        <v/>
      </c>
      <c r="P225" s="25">
        <f>IFERROR(IF(INDEX('ESG'!$P$10:$P$17,MATCH($F225,'ESG'!$B$10:$B$17,0))="","Cell will autofill based on response",INDEX('ESG'!$P$10:$P$17,MATCH($F225,'ESG'!$B$10:$B$17,0))),"N/A")</f>
        <v/>
      </c>
      <c r="Q225" s="25">
        <f>IFERROR(IF(INDEX('CIOG'!$P$10:$P$14,MATCH($F225,'CIOG'!$B$10:$B$14,0))="","Cell will autofill based on response",INDEX('CIOG'!$P$10:$P$14,MATCH($F225,'CIOG'!$B$10:$B$14,0))),"N/A")</f>
        <v/>
      </c>
      <c r="R225" s="25">
        <f>IFERROR(IF(INDEX('MRE'!$P$10:$P$12,MATCH($F225,'MRE'!$B$10:$B$12,0))="","Cell will autofill based on response",INDEX('MRE'!$P$10:$P$12,MATCH($F225,'MRE'!$B$10:$B$12,0))),"N/A")</f>
        <v/>
      </c>
      <c r="S225" s="25">
        <f>IFERROR(IF(INDEX('L&amp;R'!$P$10:$P$11,MATCH($F225,'L&amp;R'!$B$10:$B$11,0))="","Cell will autofill based on response",INDEX('L&amp;R'!$P$10:$P$11,MATCH($F225,'L&amp;R'!$B$10:$B$11,0))),"N/A")</f>
        <v/>
      </c>
    </row>
    <row r="226">
      <c r="A226">
        <f>F226&amp;"|"&amp;G226</f>
        <v/>
      </c>
      <c r="B226" s="29" t="inlineStr"/>
      <c r="C226" s="8" t="inlineStr"/>
      <c r="D226" s="8" t="inlineStr"/>
      <c r="E226" s="8" t="inlineStr"/>
      <c r="F226" s="8" t="inlineStr">
        <is>
          <t>EI1(d)</t>
        </is>
      </c>
      <c r="G226" s="8" t="inlineStr">
        <is>
          <t>Data owner confirms</t>
        </is>
      </c>
      <c r="H226" s="25">
        <f>IFERROR(IF(INDEX('Faculties'!$Q$10:$Q$30,MATCH($F226,'Faculties'!$B$10:$B$30,0))="","Cell will autofill based on response",INDEX('Faculties'!$Q$10:$Q$30,MATCH($F226,'Faculties'!$B$10:$B$30,0))),"N/A")</f>
        <v/>
      </c>
      <c r="I226" s="25">
        <f>IFERROR(IF(INDEX('Faculties'!$Q$37:$Q$57,MATCH($F226,'Faculties'!$B$37:$B$57,0))="","Cell will autofill based on response",INDEX('Faculties'!$Q$37:$Q$57,MATCH($F226,'Faculties'!$B$37:$B$57,0))),"N/A")</f>
        <v/>
      </c>
      <c r="J226" s="25">
        <f>IFERROR(IF(INDEX('Faculties'!$Q$64:$Q$84,MATCH($F226,'Faculties'!$B$64:$B$84,0))="","Cell will autofill based on response",INDEX('Faculties'!$Q$64:$Q$84,MATCH($F226,'Faculties'!$B$64:$B$84,0))),"N/A")</f>
        <v/>
      </c>
      <c r="K226" s="25">
        <f>IFERROR(IF(INDEX('Faculties'!$Q$91:$Q$111,MATCH($F226,'Faculties'!$B$91:$B$111,0))="","Cell will autofill based on response",INDEX('Faculties'!$Q$91:$Q$111,MATCH($F226,'Faculties'!$B$91:$B$111,0))),"N/A")</f>
        <v/>
      </c>
      <c r="L226" s="25">
        <f>IFERROR(IF(INDEX('CI&amp;S'!$Q$10:$Q$15,MATCH($F226,'CI&amp;S'!$B$10:$B$15,0))="","Cell will autofill based on response",INDEX('CI&amp;S'!$Q$10:$Q$15,MATCH($F226,'CI&amp;S'!$B$10:$B$15,0))),"N/A")</f>
        <v/>
      </c>
      <c r="M226" s="25">
        <f>IFERROR(IF(INDEX('CI&amp;S'!$Q$22:$Q$39,MATCH($F226,'CI&amp;S'!$B$22:$B$39,0))="","Cell will autofill based on response",INDEX('CI&amp;S'!$Q$22:$Q$39,MATCH($F226,'CI&amp;S'!$B$22:$B$39,0))),"N/A")</f>
        <v/>
      </c>
      <c r="N226" s="25">
        <f>IFERROR(IF(INDEX('CFOG'!$Q$10:$Q$16,MATCH($F226,'CFOG'!$B$10:$B$16,0))="","Cell will autofill based on response",INDEX('CFOG'!$Q$10:$Q$16,MATCH($F226,'CFOG'!$B$10:$B$16,0))),"N/A")</f>
        <v/>
      </c>
      <c r="O226" s="25">
        <f>IFERROR(IF(INDEX('CFOG'!$Q$23:$Q$24,MATCH($F226,'CFOG'!$B$23:$B$24,0))="","Cell will autofill based on response",INDEX('CFOG'!$Q$23:$Q$24,MATCH($F226,'CFOG'!$B$23:$B$24,0))),"N/A")</f>
        <v/>
      </c>
      <c r="P226" s="25">
        <f>IFERROR(IF(INDEX('ESG'!$Q$10:$Q$17,MATCH($F226,'ESG'!$B$10:$B$17,0))="","Cell will autofill based on response",INDEX('ESG'!$Q$10:$Q$17,MATCH($F226,'ESG'!$B$10:$B$17,0))),"N/A")</f>
        <v/>
      </c>
      <c r="Q226" s="25">
        <f>IFERROR(IF(INDEX('CIOG'!$Q$10:$Q$14,MATCH($F226,'CIOG'!$B$10:$B$14,0))="","Cell will autofill based on response",INDEX('CIOG'!$Q$10:$Q$14,MATCH($F226,'CIOG'!$B$10:$B$14,0))),"N/A")</f>
        <v/>
      </c>
      <c r="R226" s="25">
        <f>IFERROR(IF(INDEX('MRE'!$Q$10:$Q$12,MATCH($F226,'MRE'!$B$10:$B$12,0))="","Cell will autofill based on response",INDEX('MRE'!$Q$10:$Q$12,MATCH($F226,'MRE'!$B$10:$B$12,0))),"N/A")</f>
        <v/>
      </c>
      <c r="S226" s="25">
        <f>IFERROR(IF(INDEX('L&amp;R'!$Q$10:$Q$11,MATCH($F226,'L&amp;R'!$B$10:$B$11,0))="","Cell will autofill based on response",INDEX('L&amp;R'!$Q$10:$Q$11,MATCH($F226,'L&amp;R'!$B$10:$B$11,0))),"N/A")</f>
        <v/>
      </c>
    </row>
    <row r="227">
      <c r="A227">
        <f>F227&amp;"|"&amp;G227</f>
        <v/>
      </c>
      <c r="B227" s="7" t="inlineStr">
        <is>
          <t>CE1(a)</t>
        </is>
      </c>
      <c r="C227" s="12" t="inlineStr">
        <is>
          <t>Circular economy</t>
        </is>
      </c>
      <c r="D227" s="12" t="inlineStr">
        <is>
          <t>Comparison of year-to-year tonnes of waste (absolute).</t>
        </is>
      </c>
      <c r="E227" s="12" t="inlineStr">
        <is>
          <t>tonnes of waste; % change against previous baseline</t>
        </is>
      </c>
      <c r="F227" s="12" t="inlineStr">
        <is>
          <t>CE1(a)</t>
        </is>
      </c>
      <c r="G227" s="12" t="inlineStr">
        <is>
          <t>Confirm end-2026 target status</t>
        </is>
      </c>
      <c r="H227" s="25">
        <f>IFERROR(IF(INDEX('Faculties'!$L$10:$L$30,MATCH($F227,'Faculties'!$B$10:$B$30,0))="","Cell will autofill based on response",INDEX('Faculties'!$L$10:$L$30,MATCH($F227,'Faculties'!$B$10:$B$30,0))),"N/A")</f>
        <v/>
      </c>
      <c r="I227" s="25">
        <f>IFERROR(IF(INDEX('Faculties'!$L$37:$L$57,MATCH($F227,'Faculties'!$B$37:$B$57,0))="","Cell will autofill based on response",INDEX('Faculties'!$L$37:$L$57,MATCH($F227,'Faculties'!$B$37:$B$57,0))),"N/A")</f>
        <v/>
      </c>
      <c r="J227" s="25">
        <f>IFERROR(IF(INDEX('Faculties'!$L$64:$L$84,MATCH($F227,'Faculties'!$B$64:$B$84,0))="","Cell will autofill based on response",INDEX('Faculties'!$L$64:$L$84,MATCH($F227,'Faculties'!$B$64:$B$84,0))),"N/A")</f>
        <v/>
      </c>
      <c r="K227" s="25">
        <f>IFERROR(IF(INDEX('Faculties'!$L$91:$L$111,MATCH($F227,'Faculties'!$B$91:$B$111,0))="","Cell will autofill based on response",INDEX('Faculties'!$L$91:$L$111,MATCH($F227,'Faculties'!$B$91:$B$111,0))),"N/A")</f>
        <v/>
      </c>
      <c r="L227" s="25">
        <f>IFERROR(IF(INDEX('CI&amp;S'!$L$10:$L$15,MATCH($F227,'CI&amp;S'!$B$10:$B$15,0))="","Cell will autofill based on response",INDEX('CI&amp;S'!$L$10:$L$15,MATCH($F227,'CI&amp;S'!$B$10:$B$15,0))),"N/A")</f>
        <v/>
      </c>
      <c r="M227" s="25">
        <f>IFERROR(IF(INDEX('CI&amp;S'!$L$22:$L$39,MATCH($F227,'CI&amp;S'!$B$22:$B$39,0))="","Cell will autofill based on response",INDEX('CI&amp;S'!$L$22:$L$39,MATCH($F227,'CI&amp;S'!$B$22:$B$39,0))),"N/A")</f>
        <v/>
      </c>
      <c r="N227" s="25">
        <f>IFERROR(IF(INDEX('CFOG'!$L$10:$L$16,MATCH($F227,'CFOG'!$B$10:$B$16,0))="","Cell will autofill based on response",INDEX('CFOG'!$L$10:$L$16,MATCH($F227,'CFOG'!$B$10:$B$16,0))),"N/A")</f>
        <v/>
      </c>
      <c r="O227" s="25">
        <f>IFERROR(IF(INDEX('CFOG'!$L$23:$L$24,MATCH($F227,'CFOG'!$B$23:$B$24,0))="","Cell will autofill based on response",INDEX('CFOG'!$L$23:$L$24,MATCH($F227,'CFOG'!$B$23:$B$24,0))),"N/A")</f>
        <v/>
      </c>
      <c r="P227" s="25">
        <f>IFERROR(IF(INDEX('ESG'!$L$10:$L$17,MATCH($F227,'ESG'!$B$10:$B$17,0))="","Cell will autofill based on response",INDEX('ESG'!$L$10:$L$17,MATCH($F227,'ESG'!$B$10:$B$17,0))),"N/A")</f>
        <v/>
      </c>
      <c r="Q227" s="25">
        <f>IFERROR(IF(INDEX('CIOG'!$L$10:$L$14,MATCH($F227,'CIOG'!$B$10:$B$14,0))="","Cell will autofill based on response",INDEX('CIOG'!$L$10:$L$14,MATCH($F227,'CIOG'!$B$10:$B$14,0))),"N/A")</f>
        <v/>
      </c>
      <c r="R227" s="25">
        <f>IFERROR(IF(INDEX('MRE'!$L$10:$L$12,MATCH($F227,'MRE'!$B$10:$B$12,0))="","Cell will autofill based on response",INDEX('MRE'!$L$10:$L$12,MATCH($F227,'MRE'!$B$10:$B$12,0))),"N/A")</f>
        <v/>
      </c>
      <c r="S227" s="25">
        <f>IFERROR(IF(INDEX('L&amp;R'!$L$10:$L$11,MATCH($F227,'L&amp;R'!$B$10:$B$11,0))="","Cell will autofill based on response",INDEX('L&amp;R'!$L$10:$L$11,MATCH($F227,'L&amp;R'!$B$10:$B$11,0))),"N/A")</f>
        <v/>
      </c>
      <c r="U227" s="26">
        <f>COUNTIF($H227:$S227,"Cell will autofill based on response")</f>
        <v/>
      </c>
      <c r="V227" s="26">
        <f>COUNTIF($H227:$S227,"Not yet started")</f>
        <v/>
      </c>
      <c r="W227" s="26">
        <f>COUNTIF($H227:$S227,"Not met")</f>
        <v/>
      </c>
      <c r="X227" s="26">
        <f>COUNTIF($H227:$S227,"Partially met")</f>
        <v/>
      </c>
      <c r="Y227" s="26">
        <f>COUNTIF($H227:$S227,"Met or exceeded")</f>
        <v/>
      </c>
      <c r="Z227" s="26">
        <f>3*Y227+2*X227+W227</f>
        <v/>
      </c>
      <c r="AA227" s="26">
        <f>Y227+X227+W227+V227</f>
        <v/>
      </c>
      <c r="AB227" s="27">
        <f>IF(AA227&gt;0,Z227/AA227,"No valid responses to date")</f>
        <v/>
      </c>
      <c r="AC227" s="26">
        <f>IF(ISNUMBER(AB227),INDEX(Lists!$G$2:$G$5,MATCH(ROUND(AB227,0),Lists!$H$2:$H$5,0)),"")</f>
        <v/>
      </c>
      <c r="AD227" s="28">
        <f>IF(AA227&gt;0,Y227/AA227,"")</f>
        <v/>
      </c>
      <c r="AE227" s="28">
        <f>IF(AA227&gt;0,(Y227+X227)/AA227,"")</f>
        <v/>
      </c>
      <c r="AF227" s="26">
        <f>IF(AA227=0,"",IF(AD227&gt;0.75,"Met or exceeded",IF(AE227&gt;=0.5,"Partially met","Not met")))</f>
        <v/>
      </c>
    </row>
    <row r="228">
      <c r="A228">
        <f>F228&amp;"|"&amp;G228</f>
        <v/>
      </c>
      <c r="B228" s="29" t="inlineStr"/>
      <c r="C228" s="8" t="inlineStr"/>
      <c r="D228" s="8" t="inlineStr"/>
      <c r="E228" s="8" t="inlineStr"/>
      <c r="F228" s="8" t="inlineStr">
        <is>
          <t>CE1(a)</t>
        </is>
      </c>
      <c r="G228" s="8" t="inlineStr">
        <is>
          <t>OPTION 1:  Target-level reporting</t>
        </is>
      </c>
      <c r="H228" s="25">
        <f>IFERROR(IF(INDEX('Faculties'!$M$10:$M$30,MATCH($F228,'Faculties'!$B$10:$B$30,0))="","Cell will autofill based on response",INDEX('Faculties'!$M$10:$M$30,MATCH($F228,'Faculties'!$B$10:$B$30,0))),"N/A")</f>
        <v/>
      </c>
      <c r="I228" s="25">
        <f>IFERROR(IF(INDEX('Faculties'!$M$37:$M$57,MATCH($F228,'Faculties'!$B$37:$B$57,0))="","Cell will autofill based on response",INDEX('Faculties'!$M$37:$M$57,MATCH($F228,'Faculties'!$B$37:$B$57,0))),"N/A")</f>
        <v/>
      </c>
      <c r="J228" s="25">
        <f>IFERROR(IF(INDEX('Faculties'!$M$64:$M$84,MATCH($F228,'Faculties'!$B$64:$B$84,0))="","Cell will autofill based on response",INDEX('Faculties'!$M$64:$M$84,MATCH($F228,'Faculties'!$B$64:$B$84,0))),"N/A")</f>
        <v/>
      </c>
      <c r="K228" s="25">
        <f>IFERROR(IF(INDEX('Faculties'!$M$91:$M$111,MATCH($F228,'Faculties'!$B$91:$B$111,0))="","Cell will autofill based on response",INDEX('Faculties'!$M$91:$M$111,MATCH($F228,'Faculties'!$B$91:$B$111,0))),"N/A")</f>
        <v/>
      </c>
      <c r="L228" s="25">
        <f>IFERROR(IF(INDEX('CI&amp;S'!$M$10:$M$15,MATCH($F228,'CI&amp;S'!$B$10:$B$15,0))="","Cell will autofill based on response",INDEX('CI&amp;S'!$M$10:$M$15,MATCH($F228,'CI&amp;S'!$B$10:$B$15,0))),"N/A")</f>
        <v/>
      </c>
      <c r="M228" s="25">
        <f>IFERROR(IF(INDEX('CI&amp;S'!$M$22:$M$39,MATCH($F228,'CI&amp;S'!$B$22:$B$39,0))="","Cell will autofill based on response",INDEX('CI&amp;S'!$M$22:$M$39,MATCH($F228,'CI&amp;S'!$B$22:$B$39,0))),"N/A")</f>
        <v/>
      </c>
      <c r="N228" s="25">
        <f>IFERROR(IF(INDEX('CFOG'!$M$10:$M$16,MATCH($F228,'CFOG'!$B$10:$B$16,0))="","Cell will autofill based on response",INDEX('CFOG'!$M$10:$M$16,MATCH($F228,'CFOG'!$B$10:$B$16,0))),"N/A")</f>
        <v/>
      </c>
      <c r="O228" s="25">
        <f>IFERROR(IF(INDEX('CFOG'!$M$23:$M$24,MATCH($F228,'CFOG'!$B$23:$B$24,0))="","Cell will autofill based on response",INDEX('CFOG'!$M$23:$M$24,MATCH($F228,'CFOG'!$B$23:$B$24,0))),"N/A")</f>
        <v/>
      </c>
      <c r="P228" s="25">
        <f>IFERROR(IF(INDEX('ESG'!$M$10:$M$17,MATCH($F228,'ESG'!$B$10:$B$17,0))="","Cell will autofill based on response",INDEX('ESG'!$M$10:$M$17,MATCH($F228,'ESG'!$B$10:$B$17,0))),"N/A")</f>
        <v/>
      </c>
      <c r="Q228" s="25">
        <f>IFERROR(IF(INDEX('CIOG'!$M$10:$M$14,MATCH($F228,'CIOG'!$B$10:$B$14,0))="","Cell will autofill based on response",INDEX('CIOG'!$M$10:$M$14,MATCH($F228,'CIOG'!$B$10:$B$14,0))),"N/A")</f>
        <v/>
      </c>
      <c r="R228" s="25">
        <f>IFERROR(IF(INDEX('MRE'!$M$10:$M$12,MATCH($F228,'MRE'!$B$10:$B$12,0))="","Cell will autofill based on response",INDEX('MRE'!$M$10:$M$12,MATCH($F228,'MRE'!$B$10:$B$12,0))),"N/A")</f>
        <v/>
      </c>
      <c r="S228" s="25">
        <f>IFERROR(IF(INDEX('L&amp;R'!$M$10:$M$11,MATCH($F228,'L&amp;R'!$B$10:$B$11,0))="","Cell will autofill based on response",INDEX('L&amp;R'!$M$10:$M$11,MATCH($F228,'L&amp;R'!$B$10:$B$11,0))),"N/A")</f>
        <v/>
      </c>
    </row>
    <row r="229">
      <c r="A229">
        <f>F229&amp;"|"&amp;G229</f>
        <v/>
      </c>
      <c r="B229" s="29" t="inlineStr"/>
      <c r="C229" s="8" t="inlineStr"/>
      <c r="D229" s="8" t="inlineStr"/>
      <c r="E229" s="8" t="inlineStr"/>
      <c r="F229" s="8" t="inlineStr">
        <is>
          <t>CE1(a)</t>
        </is>
      </c>
      <c r="G229" s="8" t="inlineStr">
        <is>
          <t>OPTION 2:  Indicator level reporting</t>
        </is>
      </c>
      <c r="H229" s="25">
        <f>IFERROR(IF(INDEX('Faculties'!$N$10:$N$30,MATCH($F229,'Faculties'!$B$10:$B$30,0))="","Cell will autofill based on response",INDEX('Faculties'!$N$10:$N$30,MATCH($F229,'Faculties'!$B$10:$B$30,0))),"N/A")</f>
        <v/>
      </c>
      <c r="I229" s="25">
        <f>IFERROR(IF(INDEX('Faculties'!$N$37:$N$57,MATCH($F229,'Faculties'!$B$37:$B$57,0))="","Cell will autofill based on response",INDEX('Faculties'!$N$37:$N$57,MATCH($F229,'Faculties'!$B$37:$B$57,0))),"N/A")</f>
        <v/>
      </c>
      <c r="J229" s="25">
        <f>IFERROR(IF(INDEX('Faculties'!$N$64:$N$84,MATCH($F229,'Faculties'!$B$64:$B$84,0))="","Cell will autofill based on response",INDEX('Faculties'!$N$64:$N$84,MATCH($F229,'Faculties'!$B$64:$B$84,0))),"N/A")</f>
        <v/>
      </c>
      <c r="K229" s="25">
        <f>IFERROR(IF(INDEX('Faculties'!$N$91:$N$111,MATCH($F229,'Faculties'!$B$91:$B$111,0))="","Cell will autofill based on response",INDEX('Faculties'!$N$91:$N$111,MATCH($F229,'Faculties'!$B$91:$B$111,0))),"N/A")</f>
        <v/>
      </c>
      <c r="L229" s="25">
        <f>IFERROR(IF(INDEX('CI&amp;S'!$N$10:$N$15,MATCH($F229,'CI&amp;S'!$B$10:$B$15,0))="","Cell will autofill based on response",INDEX('CI&amp;S'!$N$10:$N$15,MATCH($F229,'CI&amp;S'!$B$10:$B$15,0))),"N/A")</f>
        <v/>
      </c>
      <c r="M229" s="25">
        <f>IFERROR(IF(INDEX('CI&amp;S'!$N$22:$N$39,MATCH($F229,'CI&amp;S'!$B$22:$B$39,0))="","Cell will autofill based on response",INDEX('CI&amp;S'!$N$22:$N$39,MATCH($F229,'CI&amp;S'!$B$22:$B$39,0))),"N/A")</f>
        <v/>
      </c>
      <c r="N229" s="25">
        <f>IFERROR(IF(INDEX('CFOG'!$N$10:$N$16,MATCH($F229,'CFOG'!$B$10:$B$16,0))="","Cell will autofill based on response",INDEX('CFOG'!$N$10:$N$16,MATCH($F229,'CFOG'!$B$10:$B$16,0))),"N/A")</f>
        <v/>
      </c>
      <c r="O229" s="25">
        <f>IFERROR(IF(INDEX('CFOG'!$N$23:$N$24,MATCH($F229,'CFOG'!$B$23:$B$24,0))="","Cell will autofill based on response",INDEX('CFOG'!$N$23:$N$24,MATCH($F229,'CFOG'!$B$23:$B$24,0))),"N/A")</f>
        <v/>
      </c>
      <c r="P229" s="25">
        <f>IFERROR(IF(INDEX('ESG'!$N$10:$N$17,MATCH($F229,'ESG'!$B$10:$B$17,0))="","Cell will autofill based on response",INDEX('ESG'!$N$10:$N$17,MATCH($F229,'ESG'!$B$10:$B$17,0))),"N/A")</f>
        <v/>
      </c>
      <c r="Q229" s="25">
        <f>IFERROR(IF(INDEX('CIOG'!$N$10:$N$14,MATCH($F229,'CIOG'!$B$10:$B$14,0))="","Cell will autofill based on response",INDEX('CIOG'!$N$10:$N$14,MATCH($F229,'CIOG'!$B$10:$B$14,0))),"N/A")</f>
        <v/>
      </c>
      <c r="R229" s="25">
        <f>IFERROR(IF(INDEX('MRE'!$N$10:$N$12,MATCH($F229,'MRE'!$B$10:$B$12,0))="","Cell will autofill based on response",INDEX('MRE'!$N$10:$N$12,MATCH($F229,'MRE'!$B$10:$B$12,0))),"N/A")</f>
        <v/>
      </c>
      <c r="S229" s="25">
        <f>IFERROR(IF(INDEX('L&amp;R'!$N$10:$N$11,MATCH($F229,'L&amp;R'!$B$10:$B$11,0))="","Cell will autofill based on response",INDEX('L&amp;R'!$N$10:$N$11,MATCH($F229,'L&amp;R'!$B$10:$B$11,0))),"N/A")</f>
        <v/>
      </c>
    </row>
    <row r="230">
      <c r="A230">
        <f>F230&amp;"|"&amp;G230</f>
        <v/>
      </c>
      <c r="B230" s="29" t="inlineStr"/>
      <c r="C230" s="8" t="inlineStr"/>
      <c r="D230" s="8" t="inlineStr"/>
      <c r="E230" s="8" t="inlineStr"/>
      <c r="F230" s="8" t="inlineStr">
        <is>
          <t>CE1(a)</t>
        </is>
      </c>
      <c r="G230" s="8" t="inlineStr">
        <is>
          <t>Supporting information/comments</t>
        </is>
      </c>
      <c r="H230" s="25">
        <f>IFERROR(IF(INDEX('Faculties'!$O$10:$O$30,MATCH($F230,'Faculties'!$B$10:$B$30,0))="","Cell will autofill based on response",INDEX('Faculties'!$O$10:$O$30,MATCH($F230,'Faculties'!$B$10:$B$30,0))),"N/A")</f>
        <v/>
      </c>
      <c r="I230" s="25">
        <f>IFERROR(IF(INDEX('Faculties'!$O$37:$O$57,MATCH($F230,'Faculties'!$B$37:$B$57,0))="","Cell will autofill based on response",INDEX('Faculties'!$O$37:$O$57,MATCH($F230,'Faculties'!$B$37:$B$57,0))),"N/A")</f>
        <v/>
      </c>
      <c r="J230" s="25">
        <f>IFERROR(IF(INDEX('Faculties'!$O$64:$O$84,MATCH($F230,'Faculties'!$B$64:$B$84,0))="","Cell will autofill based on response",INDEX('Faculties'!$O$64:$O$84,MATCH($F230,'Faculties'!$B$64:$B$84,0))),"N/A")</f>
        <v/>
      </c>
      <c r="K230" s="25">
        <f>IFERROR(IF(INDEX('Faculties'!$O$91:$O$111,MATCH($F230,'Faculties'!$B$91:$B$111,0))="","Cell will autofill based on response",INDEX('Faculties'!$O$91:$O$111,MATCH($F230,'Faculties'!$B$91:$B$111,0))),"N/A")</f>
        <v/>
      </c>
      <c r="L230" s="25">
        <f>IFERROR(IF(INDEX('CI&amp;S'!$O$10:$O$15,MATCH($F230,'CI&amp;S'!$B$10:$B$15,0))="","Cell will autofill based on response",INDEX('CI&amp;S'!$O$10:$O$15,MATCH($F230,'CI&amp;S'!$B$10:$B$15,0))),"N/A")</f>
        <v/>
      </c>
      <c r="M230" s="25">
        <f>IFERROR(IF(INDEX('CI&amp;S'!$O$22:$O$39,MATCH($F230,'CI&amp;S'!$B$22:$B$39,0))="","Cell will autofill based on response",INDEX('CI&amp;S'!$O$22:$O$39,MATCH($F230,'CI&amp;S'!$B$22:$B$39,0))),"N/A")</f>
        <v/>
      </c>
      <c r="N230" s="25">
        <f>IFERROR(IF(INDEX('CFOG'!$O$10:$O$16,MATCH($F230,'CFOG'!$B$10:$B$16,0))="","Cell will autofill based on response",INDEX('CFOG'!$O$10:$O$16,MATCH($F230,'CFOG'!$B$10:$B$16,0))),"N/A")</f>
        <v/>
      </c>
      <c r="O230" s="25">
        <f>IFERROR(IF(INDEX('CFOG'!$O$23:$O$24,MATCH($F230,'CFOG'!$B$23:$B$24,0))="","Cell will autofill based on response",INDEX('CFOG'!$O$23:$O$24,MATCH($F230,'CFOG'!$B$23:$B$24,0))),"N/A")</f>
        <v/>
      </c>
      <c r="P230" s="25">
        <f>IFERROR(IF(INDEX('ESG'!$O$10:$O$17,MATCH($F230,'ESG'!$B$10:$B$17,0))="","Cell will autofill based on response",INDEX('ESG'!$O$10:$O$17,MATCH($F230,'ESG'!$B$10:$B$17,0))),"N/A")</f>
        <v/>
      </c>
      <c r="Q230" s="25">
        <f>IFERROR(IF(INDEX('CIOG'!$O$10:$O$14,MATCH($F230,'CIOG'!$B$10:$B$14,0))="","Cell will autofill based on response",INDEX('CIOG'!$O$10:$O$14,MATCH($F230,'CIOG'!$B$10:$B$14,0))),"N/A")</f>
        <v/>
      </c>
      <c r="R230" s="25">
        <f>IFERROR(IF(INDEX('MRE'!$O$10:$O$12,MATCH($F230,'MRE'!$B$10:$B$12,0))="","Cell will autofill based on response",INDEX('MRE'!$O$10:$O$12,MATCH($F230,'MRE'!$B$10:$B$12,0))),"N/A")</f>
        <v/>
      </c>
      <c r="S230" s="25">
        <f>IFERROR(IF(INDEX('L&amp;R'!$O$10:$O$11,MATCH($F230,'L&amp;R'!$B$10:$B$11,0))="","Cell will autofill based on response",INDEX('L&amp;R'!$O$10:$O$11,MATCH($F230,'L&amp;R'!$B$10:$B$11,0))),"N/A")</f>
        <v/>
      </c>
    </row>
    <row r="231">
      <c r="A231">
        <f>F231&amp;"|"&amp;G231</f>
        <v/>
      </c>
      <c r="B231" s="29" t="inlineStr"/>
      <c r="C231" s="8" t="inlineStr"/>
      <c r="D231" s="8" t="inlineStr"/>
      <c r="E231" s="8" t="inlineStr"/>
      <c r="F231" s="8" t="inlineStr">
        <is>
          <t>CE1(a)</t>
        </is>
      </c>
      <c r="G231" s="8" t="inlineStr">
        <is>
          <t>Data source and limitations</t>
        </is>
      </c>
      <c r="H231" s="25">
        <f>IFERROR(IF(INDEX('Faculties'!$P$10:$P$30,MATCH($F231,'Faculties'!$B$10:$B$30,0))="","Cell will autofill based on response",INDEX('Faculties'!$P$10:$P$30,MATCH($F231,'Faculties'!$B$10:$B$30,0))),"N/A")</f>
        <v/>
      </c>
      <c r="I231" s="25">
        <f>IFERROR(IF(INDEX('Faculties'!$P$37:$P$57,MATCH($F231,'Faculties'!$B$37:$B$57,0))="","Cell will autofill based on response",INDEX('Faculties'!$P$37:$P$57,MATCH($F231,'Faculties'!$B$37:$B$57,0))),"N/A")</f>
        <v/>
      </c>
      <c r="J231" s="25">
        <f>IFERROR(IF(INDEX('Faculties'!$P$64:$P$84,MATCH($F231,'Faculties'!$B$64:$B$84,0))="","Cell will autofill based on response",INDEX('Faculties'!$P$64:$P$84,MATCH($F231,'Faculties'!$B$64:$B$84,0))),"N/A")</f>
        <v/>
      </c>
      <c r="K231" s="25">
        <f>IFERROR(IF(INDEX('Faculties'!$P$91:$P$111,MATCH($F231,'Faculties'!$B$91:$B$111,0))="","Cell will autofill based on response",INDEX('Faculties'!$P$91:$P$111,MATCH($F231,'Faculties'!$B$91:$B$111,0))),"N/A")</f>
        <v/>
      </c>
      <c r="L231" s="25">
        <f>IFERROR(IF(INDEX('CI&amp;S'!$P$10:$P$15,MATCH($F231,'CI&amp;S'!$B$10:$B$15,0))="","Cell will autofill based on response",INDEX('CI&amp;S'!$P$10:$P$15,MATCH($F231,'CI&amp;S'!$B$10:$B$15,0))),"N/A")</f>
        <v/>
      </c>
      <c r="M231" s="25">
        <f>IFERROR(IF(INDEX('CI&amp;S'!$P$22:$P$39,MATCH($F231,'CI&amp;S'!$B$22:$B$39,0))="","Cell will autofill based on response",INDEX('CI&amp;S'!$P$22:$P$39,MATCH($F231,'CI&amp;S'!$B$22:$B$39,0))),"N/A")</f>
        <v/>
      </c>
      <c r="N231" s="25">
        <f>IFERROR(IF(INDEX('CFOG'!$P$10:$P$16,MATCH($F231,'CFOG'!$B$10:$B$16,0))="","Cell will autofill based on response",INDEX('CFOG'!$P$10:$P$16,MATCH($F231,'CFOG'!$B$10:$B$16,0))),"N/A")</f>
        <v/>
      </c>
      <c r="O231" s="25">
        <f>IFERROR(IF(INDEX('CFOG'!$P$23:$P$24,MATCH($F231,'CFOG'!$B$23:$B$24,0))="","Cell will autofill based on response",INDEX('CFOG'!$P$23:$P$24,MATCH($F231,'CFOG'!$B$23:$B$24,0))),"N/A")</f>
        <v/>
      </c>
      <c r="P231" s="25">
        <f>IFERROR(IF(INDEX('ESG'!$P$10:$P$17,MATCH($F231,'ESG'!$B$10:$B$17,0))="","Cell will autofill based on response",INDEX('ESG'!$P$10:$P$17,MATCH($F231,'ESG'!$B$10:$B$17,0))),"N/A")</f>
        <v/>
      </c>
      <c r="Q231" s="25">
        <f>IFERROR(IF(INDEX('CIOG'!$P$10:$P$14,MATCH($F231,'CIOG'!$B$10:$B$14,0))="","Cell will autofill based on response",INDEX('CIOG'!$P$10:$P$14,MATCH($F231,'CIOG'!$B$10:$B$14,0))),"N/A")</f>
        <v/>
      </c>
      <c r="R231" s="25">
        <f>IFERROR(IF(INDEX('MRE'!$P$10:$P$12,MATCH($F231,'MRE'!$B$10:$B$12,0))="","Cell will autofill based on response",INDEX('MRE'!$P$10:$P$12,MATCH($F231,'MRE'!$B$10:$B$12,0))),"N/A")</f>
        <v/>
      </c>
      <c r="S231" s="25">
        <f>IFERROR(IF(INDEX('L&amp;R'!$P$10:$P$11,MATCH($F231,'L&amp;R'!$B$10:$B$11,0))="","Cell will autofill based on response",INDEX('L&amp;R'!$P$10:$P$11,MATCH($F231,'L&amp;R'!$B$10:$B$11,0))),"N/A")</f>
        <v/>
      </c>
    </row>
    <row r="232">
      <c r="A232">
        <f>F232&amp;"|"&amp;G232</f>
        <v/>
      </c>
      <c r="B232" s="29" t="inlineStr"/>
      <c r="C232" s="8" t="inlineStr"/>
      <c r="D232" s="8" t="inlineStr"/>
      <c r="E232" s="8" t="inlineStr"/>
      <c r="F232" s="8" t="inlineStr">
        <is>
          <t>CE1(a)</t>
        </is>
      </c>
      <c r="G232" s="8" t="inlineStr">
        <is>
          <t>Data owner confirms</t>
        </is>
      </c>
      <c r="H232" s="25">
        <f>IFERROR(IF(INDEX('Faculties'!$Q$10:$Q$30,MATCH($F232,'Faculties'!$B$10:$B$30,0))="","Cell will autofill based on response",INDEX('Faculties'!$Q$10:$Q$30,MATCH($F232,'Faculties'!$B$10:$B$30,0))),"N/A")</f>
        <v/>
      </c>
      <c r="I232" s="25">
        <f>IFERROR(IF(INDEX('Faculties'!$Q$37:$Q$57,MATCH($F232,'Faculties'!$B$37:$B$57,0))="","Cell will autofill based on response",INDEX('Faculties'!$Q$37:$Q$57,MATCH($F232,'Faculties'!$B$37:$B$57,0))),"N/A")</f>
        <v/>
      </c>
      <c r="J232" s="25">
        <f>IFERROR(IF(INDEX('Faculties'!$Q$64:$Q$84,MATCH($F232,'Faculties'!$B$64:$B$84,0))="","Cell will autofill based on response",INDEX('Faculties'!$Q$64:$Q$84,MATCH($F232,'Faculties'!$B$64:$B$84,0))),"N/A")</f>
        <v/>
      </c>
      <c r="K232" s="25">
        <f>IFERROR(IF(INDEX('Faculties'!$Q$91:$Q$111,MATCH($F232,'Faculties'!$B$91:$B$111,0))="","Cell will autofill based on response",INDEX('Faculties'!$Q$91:$Q$111,MATCH($F232,'Faculties'!$B$91:$B$111,0))),"N/A")</f>
        <v/>
      </c>
      <c r="L232" s="25">
        <f>IFERROR(IF(INDEX('CI&amp;S'!$Q$10:$Q$15,MATCH($F232,'CI&amp;S'!$B$10:$B$15,0))="","Cell will autofill based on response",INDEX('CI&amp;S'!$Q$10:$Q$15,MATCH($F232,'CI&amp;S'!$B$10:$B$15,0))),"N/A")</f>
        <v/>
      </c>
      <c r="M232" s="25">
        <f>IFERROR(IF(INDEX('CI&amp;S'!$Q$22:$Q$39,MATCH($F232,'CI&amp;S'!$B$22:$B$39,0))="","Cell will autofill based on response",INDEX('CI&amp;S'!$Q$22:$Q$39,MATCH($F232,'CI&amp;S'!$B$22:$B$39,0))),"N/A")</f>
        <v/>
      </c>
      <c r="N232" s="25">
        <f>IFERROR(IF(INDEX('CFOG'!$Q$10:$Q$16,MATCH($F232,'CFOG'!$B$10:$B$16,0))="","Cell will autofill based on response",INDEX('CFOG'!$Q$10:$Q$16,MATCH($F232,'CFOG'!$B$10:$B$16,0))),"N/A")</f>
        <v/>
      </c>
      <c r="O232" s="25">
        <f>IFERROR(IF(INDEX('CFOG'!$Q$23:$Q$24,MATCH($F232,'CFOG'!$B$23:$B$24,0))="","Cell will autofill based on response",INDEX('CFOG'!$Q$23:$Q$24,MATCH($F232,'CFOG'!$B$23:$B$24,0))),"N/A")</f>
        <v/>
      </c>
      <c r="P232" s="25">
        <f>IFERROR(IF(INDEX('ESG'!$Q$10:$Q$17,MATCH($F232,'ESG'!$B$10:$B$17,0))="","Cell will autofill based on response",INDEX('ESG'!$Q$10:$Q$17,MATCH($F232,'ESG'!$B$10:$B$17,0))),"N/A")</f>
        <v/>
      </c>
      <c r="Q232" s="25">
        <f>IFERROR(IF(INDEX('CIOG'!$Q$10:$Q$14,MATCH($F232,'CIOG'!$B$10:$B$14,0))="","Cell will autofill based on response",INDEX('CIOG'!$Q$10:$Q$14,MATCH($F232,'CIOG'!$B$10:$B$14,0))),"N/A")</f>
        <v/>
      </c>
      <c r="R232" s="25">
        <f>IFERROR(IF(INDEX('MRE'!$Q$10:$Q$12,MATCH($F232,'MRE'!$B$10:$B$12,0))="","Cell will autofill based on response",INDEX('MRE'!$Q$10:$Q$12,MATCH($F232,'MRE'!$B$10:$B$12,0))),"N/A")</f>
        <v/>
      </c>
      <c r="S232" s="25">
        <f>IFERROR(IF(INDEX('L&amp;R'!$Q$10:$Q$11,MATCH($F232,'L&amp;R'!$B$10:$B$11,0))="","Cell will autofill based on response",INDEX('L&amp;R'!$Q$10:$Q$11,MATCH($F232,'L&amp;R'!$B$10:$B$11,0))),"N/A")</f>
        <v/>
      </c>
    </row>
    <row r="233">
      <c r="A233">
        <f>F233&amp;"|"&amp;G233</f>
        <v/>
      </c>
      <c r="B233" s="7" t="inlineStr">
        <is>
          <t>CE2(a)</t>
        </is>
      </c>
      <c r="C233" s="12" t="inlineStr">
        <is>
          <t>Circular economy</t>
        </is>
      </c>
      <c r="D233" s="12" t="inlineStr">
        <is>
          <t>Comparison of year-to-year tonnes of recyclables (absolute).</t>
        </is>
      </c>
      <c r="E233" s="12" t="inlineStr">
        <is>
          <t>waste diversion rate; tonnes diverted from landfill; % change against previous baseline</t>
        </is>
      </c>
      <c r="F233" s="12" t="inlineStr">
        <is>
          <t>CE2(a)</t>
        </is>
      </c>
      <c r="G233" s="12" t="inlineStr">
        <is>
          <t>Confirm end-2026 target status</t>
        </is>
      </c>
      <c r="H233" s="25">
        <f>IFERROR(IF(INDEX('Faculties'!$L$10:$L$30,MATCH($F233,'Faculties'!$B$10:$B$30,0))="","Cell will autofill based on response",INDEX('Faculties'!$L$10:$L$30,MATCH($F233,'Faculties'!$B$10:$B$30,0))),"N/A")</f>
        <v/>
      </c>
      <c r="I233" s="25">
        <f>IFERROR(IF(INDEX('Faculties'!$L$37:$L$57,MATCH($F233,'Faculties'!$B$37:$B$57,0))="","Cell will autofill based on response",INDEX('Faculties'!$L$37:$L$57,MATCH($F233,'Faculties'!$B$37:$B$57,0))),"N/A")</f>
        <v/>
      </c>
      <c r="J233" s="25">
        <f>IFERROR(IF(INDEX('Faculties'!$L$64:$L$84,MATCH($F233,'Faculties'!$B$64:$B$84,0))="","Cell will autofill based on response",INDEX('Faculties'!$L$64:$L$84,MATCH($F233,'Faculties'!$B$64:$B$84,0))),"N/A")</f>
        <v/>
      </c>
      <c r="K233" s="25">
        <f>IFERROR(IF(INDEX('Faculties'!$L$91:$L$111,MATCH($F233,'Faculties'!$B$91:$B$111,0))="","Cell will autofill based on response",INDEX('Faculties'!$L$91:$L$111,MATCH($F233,'Faculties'!$B$91:$B$111,0))),"N/A")</f>
        <v/>
      </c>
      <c r="L233" s="25">
        <f>IFERROR(IF(INDEX('CI&amp;S'!$L$10:$L$15,MATCH($F233,'CI&amp;S'!$B$10:$B$15,0))="","Cell will autofill based on response",INDEX('CI&amp;S'!$L$10:$L$15,MATCH($F233,'CI&amp;S'!$B$10:$B$15,0))),"N/A")</f>
        <v/>
      </c>
      <c r="M233" s="25">
        <f>IFERROR(IF(INDEX('CI&amp;S'!$L$22:$L$39,MATCH($F233,'CI&amp;S'!$B$22:$B$39,0))="","Cell will autofill based on response",INDEX('CI&amp;S'!$L$22:$L$39,MATCH($F233,'CI&amp;S'!$B$22:$B$39,0))),"N/A")</f>
        <v/>
      </c>
      <c r="N233" s="25">
        <f>IFERROR(IF(INDEX('CFOG'!$L$10:$L$16,MATCH($F233,'CFOG'!$B$10:$B$16,0))="","Cell will autofill based on response",INDEX('CFOG'!$L$10:$L$16,MATCH($F233,'CFOG'!$B$10:$B$16,0))),"N/A")</f>
        <v/>
      </c>
      <c r="O233" s="25">
        <f>IFERROR(IF(INDEX('CFOG'!$L$23:$L$24,MATCH($F233,'CFOG'!$B$23:$B$24,0))="","Cell will autofill based on response",INDEX('CFOG'!$L$23:$L$24,MATCH($F233,'CFOG'!$B$23:$B$24,0))),"N/A")</f>
        <v/>
      </c>
      <c r="P233" s="25">
        <f>IFERROR(IF(INDEX('ESG'!$L$10:$L$17,MATCH($F233,'ESG'!$B$10:$B$17,0))="","Cell will autofill based on response",INDEX('ESG'!$L$10:$L$17,MATCH($F233,'ESG'!$B$10:$B$17,0))),"N/A")</f>
        <v/>
      </c>
      <c r="Q233" s="25">
        <f>IFERROR(IF(INDEX('CIOG'!$L$10:$L$14,MATCH($F233,'CIOG'!$B$10:$B$14,0))="","Cell will autofill based on response",INDEX('CIOG'!$L$10:$L$14,MATCH($F233,'CIOG'!$B$10:$B$14,0))),"N/A")</f>
        <v/>
      </c>
      <c r="R233" s="25">
        <f>IFERROR(IF(INDEX('MRE'!$L$10:$L$12,MATCH($F233,'MRE'!$B$10:$B$12,0))="","Cell will autofill based on response",INDEX('MRE'!$L$10:$L$12,MATCH($F233,'MRE'!$B$10:$B$12,0))),"N/A")</f>
        <v/>
      </c>
      <c r="S233" s="25">
        <f>IFERROR(IF(INDEX('L&amp;R'!$L$10:$L$11,MATCH($F233,'L&amp;R'!$B$10:$B$11,0))="","Cell will autofill based on response",INDEX('L&amp;R'!$L$10:$L$11,MATCH($F233,'L&amp;R'!$B$10:$B$11,0))),"N/A")</f>
        <v/>
      </c>
      <c r="U233" s="26">
        <f>COUNTIF($H233:$S233,"Cell will autofill based on response")</f>
        <v/>
      </c>
      <c r="V233" s="26">
        <f>COUNTIF($H233:$S233,"Not yet started")</f>
        <v/>
      </c>
      <c r="W233" s="26">
        <f>COUNTIF($H233:$S233,"Not met")</f>
        <v/>
      </c>
      <c r="X233" s="26">
        <f>COUNTIF($H233:$S233,"Partially met")</f>
        <v/>
      </c>
      <c r="Y233" s="26">
        <f>COUNTIF($H233:$S233,"Met or exceeded")</f>
        <v/>
      </c>
      <c r="Z233" s="26">
        <f>3*Y233+2*X233+W233</f>
        <v/>
      </c>
      <c r="AA233" s="26">
        <f>Y233+X233+W233+V233</f>
        <v/>
      </c>
      <c r="AB233" s="27">
        <f>IF(AA233&gt;0,Z233/AA233,"No valid responses to date")</f>
        <v/>
      </c>
      <c r="AC233" s="26">
        <f>IF(ISNUMBER(AB233),INDEX(Lists!$G$2:$G$5,MATCH(ROUND(AB233,0),Lists!$H$2:$H$5,0)),"")</f>
        <v/>
      </c>
      <c r="AD233" s="28">
        <f>IF(AA233&gt;0,Y233/AA233,"")</f>
        <v/>
      </c>
      <c r="AE233" s="28">
        <f>IF(AA233&gt;0,(Y233+X233)/AA233,"")</f>
        <v/>
      </c>
      <c r="AF233" s="26">
        <f>IF(AA233=0,"",IF(AD233&gt;0.75,"Met or exceeded",IF(AE233&gt;=0.5,"Partially met","Not met")))</f>
        <v/>
      </c>
    </row>
    <row r="234">
      <c r="A234">
        <f>F234&amp;"|"&amp;G234</f>
        <v/>
      </c>
      <c r="B234" s="29" t="inlineStr"/>
      <c r="C234" s="8" t="inlineStr"/>
      <c r="D234" s="8" t="inlineStr"/>
      <c r="E234" s="8" t="inlineStr"/>
      <c r="F234" s="8" t="inlineStr">
        <is>
          <t>CE2(a)</t>
        </is>
      </c>
      <c r="G234" s="8" t="inlineStr">
        <is>
          <t>OPTION 1:  Target-level reporting</t>
        </is>
      </c>
      <c r="H234" s="25">
        <f>IFERROR(IF(INDEX('Faculties'!$M$10:$M$30,MATCH($F234,'Faculties'!$B$10:$B$30,0))="","Cell will autofill based on response",INDEX('Faculties'!$M$10:$M$30,MATCH($F234,'Faculties'!$B$10:$B$30,0))),"N/A")</f>
        <v/>
      </c>
      <c r="I234" s="25">
        <f>IFERROR(IF(INDEX('Faculties'!$M$37:$M$57,MATCH($F234,'Faculties'!$B$37:$B$57,0))="","Cell will autofill based on response",INDEX('Faculties'!$M$37:$M$57,MATCH($F234,'Faculties'!$B$37:$B$57,0))),"N/A")</f>
        <v/>
      </c>
      <c r="J234" s="25">
        <f>IFERROR(IF(INDEX('Faculties'!$M$64:$M$84,MATCH($F234,'Faculties'!$B$64:$B$84,0))="","Cell will autofill based on response",INDEX('Faculties'!$M$64:$M$84,MATCH($F234,'Faculties'!$B$64:$B$84,0))),"N/A")</f>
        <v/>
      </c>
      <c r="K234" s="25">
        <f>IFERROR(IF(INDEX('Faculties'!$M$91:$M$111,MATCH($F234,'Faculties'!$B$91:$B$111,0))="","Cell will autofill based on response",INDEX('Faculties'!$M$91:$M$111,MATCH($F234,'Faculties'!$B$91:$B$111,0))),"N/A")</f>
        <v/>
      </c>
      <c r="L234" s="25">
        <f>IFERROR(IF(INDEX('CI&amp;S'!$M$10:$M$15,MATCH($F234,'CI&amp;S'!$B$10:$B$15,0))="","Cell will autofill based on response",INDEX('CI&amp;S'!$M$10:$M$15,MATCH($F234,'CI&amp;S'!$B$10:$B$15,0))),"N/A")</f>
        <v/>
      </c>
      <c r="M234" s="25">
        <f>IFERROR(IF(INDEX('CI&amp;S'!$M$22:$M$39,MATCH($F234,'CI&amp;S'!$B$22:$B$39,0))="","Cell will autofill based on response",INDEX('CI&amp;S'!$M$22:$M$39,MATCH($F234,'CI&amp;S'!$B$22:$B$39,0))),"N/A")</f>
        <v/>
      </c>
      <c r="N234" s="25">
        <f>IFERROR(IF(INDEX('CFOG'!$M$10:$M$16,MATCH($F234,'CFOG'!$B$10:$B$16,0))="","Cell will autofill based on response",INDEX('CFOG'!$M$10:$M$16,MATCH($F234,'CFOG'!$B$10:$B$16,0))),"N/A")</f>
        <v/>
      </c>
      <c r="O234" s="25">
        <f>IFERROR(IF(INDEX('CFOG'!$M$23:$M$24,MATCH($F234,'CFOG'!$B$23:$B$24,0))="","Cell will autofill based on response",INDEX('CFOG'!$M$23:$M$24,MATCH($F234,'CFOG'!$B$23:$B$24,0))),"N/A")</f>
        <v/>
      </c>
      <c r="P234" s="25">
        <f>IFERROR(IF(INDEX('ESG'!$M$10:$M$17,MATCH($F234,'ESG'!$B$10:$B$17,0))="","Cell will autofill based on response",INDEX('ESG'!$M$10:$M$17,MATCH($F234,'ESG'!$B$10:$B$17,0))),"N/A")</f>
        <v/>
      </c>
      <c r="Q234" s="25">
        <f>IFERROR(IF(INDEX('CIOG'!$M$10:$M$14,MATCH($F234,'CIOG'!$B$10:$B$14,0))="","Cell will autofill based on response",INDEX('CIOG'!$M$10:$M$14,MATCH($F234,'CIOG'!$B$10:$B$14,0))),"N/A")</f>
        <v/>
      </c>
      <c r="R234" s="25">
        <f>IFERROR(IF(INDEX('MRE'!$M$10:$M$12,MATCH($F234,'MRE'!$B$10:$B$12,0))="","Cell will autofill based on response",INDEX('MRE'!$M$10:$M$12,MATCH($F234,'MRE'!$B$10:$B$12,0))),"N/A")</f>
        <v/>
      </c>
      <c r="S234" s="25">
        <f>IFERROR(IF(INDEX('L&amp;R'!$M$10:$M$11,MATCH($F234,'L&amp;R'!$B$10:$B$11,0))="","Cell will autofill based on response",INDEX('L&amp;R'!$M$10:$M$11,MATCH($F234,'L&amp;R'!$B$10:$B$11,0))),"N/A")</f>
        <v/>
      </c>
    </row>
    <row r="235">
      <c r="A235">
        <f>F235&amp;"|"&amp;G235</f>
        <v/>
      </c>
      <c r="B235" s="29" t="inlineStr"/>
      <c r="C235" s="8" t="inlineStr"/>
      <c r="D235" s="8" t="inlineStr"/>
      <c r="E235" s="8" t="inlineStr"/>
      <c r="F235" s="8" t="inlineStr">
        <is>
          <t>CE2(a)</t>
        </is>
      </c>
      <c r="G235" s="8" t="inlineStr">
        <is>
          <t>OPTION 2:  Indicator level reporting</t>
        </is>
      </c>
      <c r="H235" s="25">
        <f>IFERROR(IF(INDEX('Faculties'!$N$10:$N$30,MATCH($F235,'Faculties'!$B$10:$B$30,0))="","Cell will autofill based on response",INDEX('Faculties'!$N$10:$N$30,MATCH($F235,'Faculties'!$B$10:$B$30,0))),"N/A")</f>
        <v/>
      </c>
      <c r="I235" s="25">
        <f>IFERROR(IF(INDEX('Faculties'!$N$37:$N$57,MATCH($F235,'Faculties'!$B$37:$B$57,0))="","Cell will autofill based on response",INDEX('Faculties'!$N$37:$N$57,MATCH($F235,'Faculties'!$B$37:$B$57,0))),"N/A")</f>
        <v/>
      </c>
      <c r="J235" s="25">
        <f>IFERROR(IF(INDEX('Faculties'!$N$64:$N$84,MATCH($F235,'Faculties'!$B$64:$B$84,0))="","Cell will autofill based on response",INDEX('Faculties'!$N$64:$N$84,MATCH($F235,'Faculties'!$B$64:$B$84,0))),"N/A")</f>
        <v/>
      </c>
      <c r="K235" s="25">
        <f>IFERROR(IF(INDEX('Faculties'!$N$91:$N$111,MATCH($F235,'Faculties'!$B$91:$B$111,0))="","Cell will autofill based on response",INDEX('Faculties'!$N$91:$N$111,MATCH($F235,'Faculties'!$B$91:$B$111,0))),"N/A")</f>
        <v/>
      </c>
      <c r="L235" s="25">
        <f>IFERROR(IF(INDEX('CI&amp;S'!$N$10:$N$15,MATCH($F235,'CI&amp;S'!$B$10:$B$15,0))="","Cell will autofill based on response",INDEX('CI&amp;S'!$N$10:$N$15,MATCH($F235,'CI&amp;S'!$B$10:$B$15,0))),"N/A")</f>
        <v/>
      </c>
      <c r="M235" s="25">
        <f>IFERROR(IF(INDEX('CI&amp;S'!$N$22:$N$39,MATCH($F235,'CI&amp;S'!$B$22:$B$39,0))="","Cell will autofill based on response",INDEX('CI&amp;S'!$N$22:$N$39,MATCH($F235,'CI&amp;S'!$B$22:$B$39,0))),"N/A")</f>
        <v/>
      </c>
      <c r="N235" s="25">
        <f>IFERROR(IF(INDEX('CFOG'!$N$10:$N$16,MATCH($F235,'CFOG'!$B$10:$B$16,0))="","Cell will autofill based on response",INDEX('CFOG'!$N$10:$N$16,MATCH($F235,'CFOG'!$B$10:$B$16,0))),"N/A")</f>
        <v/>
      </c>
      <c r="O235" s="25">
        <f>IFERROR(IF(INDEX('CFOG'!$N$23:$N$24,MATCH($F235,'CFOG'!$B$23:$B$24,0))="","Cell will autofill based on response",INDEX('CFOG'!$N$23:$N$24,MATCH($F235,'CFOG'!$B$23:$B$24,0))),"N/A")</f>
        <v/>
      </c>
      <c r="P235" s="25">
        <f>IFERROR(IF(INDEX('ESG'!$N$10:$N$17,MATCH($F235,'ESG'!$B$10:$B$17,0))="","Cell will autofill based on response",INDEX('ESG'!$N$10:$N$17,MATCH($F235,'ESG'!$B$10:$B$17,0))),"N/A")</f>
        <v/>
      </c>
      <c r="Q235" s="25">
        <f>IFERROR(IF(INDEX('CIOG'!$N$10:$N$14,MATCH($F235,'CIOG'!$B$10:$B$14,0))="","Cell will autofill based on response",INDEX('CIOG'!$N$10:$N$14,MATCH($F235,'CIOG'!$B$10:$B$14,0))),"N/A")</f>
        <v/>
      </c>
      <c r="R235" s="25">
        <f>IFERROR(IF(INDEX('MRE'!$N$10:$N$12,MATCH($F235,'MRE'!$B$10:$B$12,0))="","Cell will autofill based on response",INDEX('MRE'!$N$10:$N$12,MATCH($F235,'MRE'!$B$10:$B$12,0))),"N/A")</f>
        <v/>
      </c>
      <c r="S235" s="25">
        <f>IFERROR(IF(INDEX('L&amp;R'!$N$10:$N$11,MATCH($F235,'L&amp;R'!$B$10:$B$11,0))="","Cell will autofill based on response",INDEX('L&amp;R'!$N$10:$N$11,MATCH($F235,'L&amp;R'!$B$10:$B$11,0))),"N/A")</f>
        <v/>
      </c>
    </row>
    <row r="236">
      <c r="A236">
        <f>F236&amp;"|"&amp;G236</f>
        <v/>
      </c>
      <c r="B236" s="29" t="inlineStr"/>
      <c r="C236" s="8" t="inlineStr"/>
      <c r="D236" s="8" t="inlineStr"/>
      <c r="E236" s="8" t="inlineStr"/>
      <c r="F236" s="8" t="inlineStr">
        <is>
          <t>CE2(a)</t>
        </is>
      </c>
      <c r="G236" s="8" t="inlineStr">
        <is>
          <t>Supporting information/comments</t>
        </is>
      </c>
      <c r="H236" s="25">
        <f>IFERROR(IF(INDEX('Faculties'!$O$10:$O$30,MATCH($F236,'Faculties'!$B$10:$B$30,0))="","Cell will autofill based on response",INDEX('Faculties'!$O$10:$O$30,MATCH($F236,'Faculties'!$B$10:$B$30,0))),"N/A")</f>
        <v/>
      </c>
      <c r="I236" s="25">
        <f>IFERROR(IF(INDEX('Faculties'!$O$37:$O$57,MATCH($F236,'Faculties'!$B$37:$B$57,0))="","Cell will autofill based on response",INDEX('Faculties'!$O$37:$O$57,MATCH($F236,'Faculties'!$B$37:$B$57,0))),"N/A")</f>
        <v/>
      </c>
      <c r="J236" s="25">
        <f>IFERROR(IF(INDEX('Faculties'!$O$64:$O$84,MATCH($F236,'Faculties'!$B$64:$B$84,0))="","Cell will autofill based on response",INDEX('Faculties'!$O$64:$O$84,MATCH($F236,'Faculties'!$B$64:$B$84,0))),"N/A")</f>
        <v/>
      </c>
      <c r="K236" s="25">
        <f>IFERROR(IF(INDEX('Faculties'!$O$91:$O$111,MATCH($F236,'Faculties'!$B$91:$B$111,0))="","Cell will autofill based on response",INDEX('Faculties'!$O$91:$O$111,MATCH($F236,'Faculties'!$B$91:$B$111,0))),"N/A")</f>
        <v/>
      </c>
      <c r="L236" s="25">
        <f>IFERROR(IF(INDEX('CI&amp;S'!$O$10:$O$15,MATCH($F236,'CI&amp;S'!$B$10:$B$15,0))="","Cell will autofill based on response",INDEX('CI&amp;S'!$O$10:$O$15,MATCH($F236,'CI&amp;S'!$B$10:$B$15,0))),"N/A")</f>
        <v/>
      </c>
      <c r="M236" s="25">
        <f>IFERROR(IF(INDEX('CI&amp;S'!$O$22:$O$39,MATCH($F236,'CI&amp;S'!$B$22:$B$39,0))="","Cell will autofill based on response",INDEX('CI&amp;S'!$O$22:$O$39,MATCH($F236,'CI&amp;S'!$B$22:$B$39,0))),"N/A")</f>
        <v/>
      </c>
      <c r="N236" s="25">
        <f>IFERROR(IF(INDEX('CFOG'!$O$10:$O$16,MATCH($F236,'CFOG'!$B$10:$B$16,0))="","Cell will autofill based on response",INDEX('CFOG'!$O$10:$O$16,MATCH($F236,'CFOG'!$B$10:$B$16,0))),"N/A")</f>
        <v/>
      </c>
      <c r="O236" s="25">
        <f>IFERROR(IF(INDEX('CFOG'!$O$23:$O$24,MATCH($F236,'CFOG'!$B$23:$B$24,0))="","Cell will autofill based on response",INDEX('CFOG'!$O$23:$O$24,MATCH($F236,'CFOG'!$B$23:$B$24,0))),"N/A")</f>
        <v/>
      </c>
      <c r="P236" s="25">
        <f>IFERROR(IF(INDEX('ESG'!$O$10:$O$17,MATCH($F236,'ESG'!$B$10:$B$17,0))="","Cell will autofill based on response",INDEX('ESG'!$O$10:$O$17,MATCH($F236,'ESG'!$B$10:$B$17,0))),"N/A")</f>
        <v/>
      </c>
      <c r="Q236" s="25">
        <f>IFERROR(IF(INDEX('CIOG'!$O$10:$O$14,MATCH($F236,'CIOG'!$B$10:$B$14,0))="","Cell will autofill based on response",INDEX('CIOG'!$O$10:$O$14,MATCH($F236,'CIOG'!$B$10:$B$14,0))),"N/A")</f>
        <v/>
      </c>
      <c r="R236" s="25">
        <f>IFERROR(IF(INDEX('MRE'!$O$10:$O$12,MATCH($F236,'MRE'!$B$10:$B$12,0))="","Cell will autofill based on response",INDEX('MRE'!$O$10:$O$12,MATCH($F236,'MRE'!$B$10:$B$12,0))),"N/A")</f>
        <v/>
      </c>
      <c r="S236" s="25">
        <f>IFERROR(IF(INDEX('L&amp;R'!$O$10:$O$11,MATCH($F236,'L&amp;R'!$B$10:$B$11,0))="","Cell will autofill based on response",INDEX('L&amp;R'!$O$10:$O$11,MATCH($F236,'L&amp;R'!$B$10:$B$11,0))),"N/A")</f>
        <v/>
      </c>
    </row>
    <row r="237">
      <c r="A237">
        <f>F237&amp;"|"&amp;G237</f>
        <v/>
      </c>
      <c r="B237" s="29" t="inlineStr"/>
      <c r="C237" s="8" t="inlineStr"/>
      <c r="D237" s="8" t="inlineStr"/>
      <c r="E237" s="8" t="inlineStr"/>
      <c r="F237" s="8" t="inlineStr">
        <is>
          <t>CE2(a)</t>
        </is>
      </c>
      <c r="G237" s="8" t="inlineStr">
        <is>
          <t>Data source and limitations</t>
        </is>
      </c>
      <c r="H237" s="25">
        <f>IFERROR(IF(INDEX('Faculties'!$P$10:$P$30,MATCH($F237,'Faculties'!$B$10:$B$30,0))="","Cell will autofill based on response",INDEX('Faculties'!$P$10:$P$30,MATCH($F237,'Faculties'!$B$10:$B$30,0))),"N/A")</f>
        <v/>
      </c>
      <c r="I237" s="25">
        <f>IFERROR(IF(INDEX('Faculties'!$P$37:$P$57,MATCH($F237,'Faculties'!$B$37:$B$57,0))="","Cell will autofill based on response",INDEX('Faculties'!$P$37:$P$57,MATCH($F237,'Faculties'!$B$37:$B$57,0))),"N/A")</f>
        <v/>
      </c>
      <c r="J237" s="25">
        <f>IFERROR(IF(INDEX('Faculties'!$P$64:$P$84,MATCH($F237,'Faculties'!$B$64:$B$84,0))="","Cell will autofill based on response",INDEX('Faculties'!$P$64:$P$84,MATCH($F237,'Faculties'!$B$64:$B$84,0))),"N/A")</f>
        <v/>
      </c>
      <c r="K237" s="25">
        <f>IFERROR(IF(INDEX('Faculties'!$P$91:$P$111,MATCH($F237,'Faculties'!$B$91:$B$111,0))="","Cell will autofill based on response",INDEX('Faculties'!$P$91:$P$111,MATCH($F237,'Faculties'!$B$91:$B$111,0))),"N/A")</f>
        <v/>
      </c>
      <c r="L237" s="25">
        <f>IFERROR(IF(INDEX('CI&amp;S'!$P$10:$P$15,MATCH($F237,'CI&amp;S'!$B$10:$B$15,0))="","Cell will autofill based on response",INDEX('CI&amp;S'!$P$10:$P$15,MATCH($F237,'CI&amp;S'!$B$10:$B$15,0))),"N/A")</f>
        <v/>
      </c>
      <c r="M237" s="25">
        <f>IFERROR(IF(INDEX('CI&amp;S'!$P$22:$P$39,MATCH($F237,'CI&amp;S'!$B$22:$B$39,0))="","Cell will autofill based on response",INDEX('CI&amp;S'!$P$22:$P$39,MATCH($F237,'CI&amp;S'!$B$22:$B$39,0))),"N/A")</f>
        <v/>
      </c>
      <c r="N237" s="25">
        <f>IFERROR(IF(INDEX('CFOG'!$P$10:$P$16,MATCH($F237,'CFOG'!$B$10:$B$16,0))="","Cell will autofill based on response",INDEX('CFOG'!$P$10:$P$16,MATCH($F237,'CFOG'!$B$10:$B$16,0))),"N/A")</f>
        <v/>
      </c>
      <c r="O237" s="25">
        <f>IFERROR(IF(INDEX('CFOG'!$P$23:$P$24,MATCH($F237,'CFOG'!$B$23:$B$24,0))="","Cell will autofill based on response",INDEX('CFOG'!$P$23:$P$24,MATCH($F237,'CFOG'!$B$23:$B$24,0))),"N/A")</f>
        <v/>
      </c>
      <c r="P237" s="25">
        <f>IFERROR(IF(INDEX('ESG'!$P$10:$P$17,MATCH($F237,'ESG'!$B$10:$B$17,0))="","Cell will autofill based on response",INDEX('ESG'!$P$10:$P$17,MATCH($F237,'ESG'!$B$10:$B$17,0))),"N/A")</f>
        <v/>
      </c>
      <c r="Q237" s="25">
        <f>IFERROR(IF(INDEX('CIOG'!$P$10:$P$14,MATCH($F237,'CIOG'!$B$10:$B$14,0))="","Cell will autofill based on response",INDEX('CIOG'!$P$10:$P$14,MATCH($F237,'CIOG'!$B$10:$B$14,0))),"N/A")</f>
        <v/>
      </c>
      <c r="R237" s="25">
        <f>IFERROR(IF(INDEX('MRE'!$P$10:$P$12,MATCH($F237,'MRE'!$B$10:$B$12,0))="","Cell will autofill based on response",INDEX('MRE'!$P$10:$P$12,MATCH($F237,'MRE'!$B$10:$B$12,0))),"N/A")</f>
        <v/>
      </c>
      <c r="S237" s="25">
        <f>IFERROR(IF(INDEX('L&amp;R'!$P$10:$P$11,MATCH($F237,'L&amp;R'!$B$10:$B$11,0))="","Cell will autofill based on response",INDEX('L&amp;R'!$P$10:$P$11,MATCH($F237,'L&amp;R'!$B$10:$B$11,0))),"N/A")</f>
        <v/>
      </c>
    </row>
    <row r="238">
      <c r="A238">
        <f>F238&amp;"|"&amp;G238</f>
        <v/>
      </c>
      <c r="B238" s="29" t="inlineStr"/>
      <c r="C238" s="8" t="inlineStr"/>
      <c r="D238" s="8" t="inlineStr"/>
      <c r="E238" s="8" t="inlineStr"/>
      <c r="F238" s="8" t="inlineStr">
        <is>
          <t>CE2(a)</t>
        </is>
      </c>
      <c r="G238" s="8" t="inlineStr">
        <is>
          <t>Data owner confirms</t>
        </is>
      </c>
      <c r="H238" s="25">
        <f>IFERROR(IF(INDEX('Faculties'!$Q$10:$Q$30,MATCH($F238,'Faculties'!$B$10:$B$30,0))="","Cell will autofill based on response",INDEX('Faculties'!$Q$10:$Q$30,MATCH($F238,'Faculties'!$B$10:$B$30,0))),"N/A")</f>
        <v/>
      </c>
      <c r="I238" s="25">
        <f>IFERROR(IF(INDEX('Faculties'!$Q$37:$Q$57,MATCH($F238,'Faculties'!$B$37:$B$57,0))="","Cell will autofill based on response",INDEX('Faculties'!$Q$37:$Q$57,MATCH($F238,'Faculties'!$B$37:$B$57,0))),"N/A")</f>
        <v/>
      </c>
      <c r="J238" s="25">
        <f>IFERROR(IF(INDEX('Faculties'!$Q$64:$Q$84,MATCH($F238,'Faculties'!$B$64:$B$84,0))="","Cell will autofill based on response",INDEX('Faculties'!$Q$64:$Q$84,MATCH($F238,'Faculties'!$B$64:$B$84,0))),"N/A")</f>
        <v/>
      </c>
      <c r="K238" s="25">
        <f>IFERROR(IF(INDEX('Faculties'!$Q$91:$Q$111,MATCH($F238,'Faculties'!$B$91:$B$111,0))="","Cell will autofill based on response",INDEX('Faculties'!$Q$91:$Q$111,MATCH($F238,'Faculties'!$B$91:$B$111,0))),"N/A")</f>
        <v/>
      </c>
      <c r="L238" s="25">
        <f>IFERROR(IF(INDEX('CI&amp;S'!$Q$10:$Q$15,MATCH($F238,'CI&amp;S'!$B$10:$B$15,0))="","Cell will autofill based on response",INDEX('CI&amp;S'!$Q$10:$Q$15,MATCH($F238,'CI&amp;S'!$B$10:$B$15,0))),"N/A")</f>
        <v/>
      </c>
      <c r="M238" s="25">
        <f>IFERROR(IF(INDEX('CI&amp;S'!$Q$22:$Q$39,MATCH($F238,'CI&amp;S'!$B$22:$B$39,0))="","Cell will autofill based on response",INDEX('CI&amp;S'!$Q$22:$Q$39,MATCH($F238,'CI&amp;S'!$B$22:$B$39,0))),"N/A")</f>
        <v/>
      </c>
      <c r="N238" s="25">
        <f>IFERROR(IF(INDEX('CFOG'!$Q$10:$Q$16,MATCH($F238,'CFOG'!$B$10:$B$16,0))="","Cell will autofill based on response",INDEX('CFOG'!$Q$10:$Q$16,MATCH($F238,'CFOG'!$B$10:$B$16,0))),"N/A")</f>
        <v/>
      </c>
      <c r="O238" s="25">
        <f>IFERROR(IF(INDEX('CFOG'!$Q$23:$Q$24,MATCH($F238,'CFOG'!$B$23:$B$24,0))="","Cell will autofill based on response",INDEX('CFOG'!$Q$23:$Q$24,MATCH($F238,'CFOG'!$B$23:$B$24,0))),"N/A")</f>
        <v/>
      </c>
      <c r="P238" s="25">
        <f>IFERROR(IF(INDEX('ESG'!$Q$10:$Q$17,MATCH($F238,'ESG'!$B$10:$B$17,0))="","Cell will autofill based on response",INDEX('ESG'!$Q$10:$Q$17,MATCH($F238,'ESG'!$B$10:$B$17,0))),"N/A")</f>
        <v/>
      </c>
      <c r="Q238" s="25">
        <f>IFERROR(IF(INDEX('CIOG'!$Q$10:$Q$14,MATCH($F238,'CIOG'!$B$10:$B$14,0))="","Cell will autofill based on response",INDEX('CIOG'!$Q$10:$Q$14,MATCH($F238,'CIOG'!$B$10:$B$14,0))),"N/A")</f>
        <v/>
      </c>
      <c r="R238" s="25">
        <f>IFERROR(IF(INDEX('MRE'!$Q$10:$Q$12,MATCH($F238,'MRE'!$B$10:$B$12,0))="","Cell will autofill based on response",INDEX('MRE'!$Q$10:$Q$12,MATCH($F238,'MRE'!$B$10:$B$12,0))),"N/A")</f>
        <v/>
      </c>
      <c r="S238" s="25">
        <f>IFERROR(IF(INDEX('L&amp;R'!$Q$10:$Q$11,MATCH($F238,'L&amp;R'!$B$10:$B$11,0))="","Cell will autofill based on response",INDEX('L&amp;R'!$Q$10:$Q$11,MATCH($F238,'L&amp;R'!$B$10:$B$11,0))),"N/A")</f>
        <v/>
      </c>
    </row>
    <row r="239">
      <c r="A239">
        <f>F239&amp;"|"&amp;G239</f>
        <v/>
      </c>
      <c r="B239" s="7" t="inlineStr">
        <is>
          <t>RP1(a)</t>
        </is>
      </c>
      <c r="C239" s="12" t="inlineStr">
        <is>
          <t>Responsible procurement</t>
        </is>
      </c>
      <c r="D239" s="12" t="inlineStr">
        <is>
          <t>Case studies of maturity improvement related to responsible procurement process and systems.</t>
        </is>
      </c>
      <c r="E239" s="12" t="inlineStr">
        <is>
          <t>Maturity score if framework established; % procurement staff trained</t>
        </is>
      </c>
      <c r="F239" s="12" t="inlineStr">
        <is>
          <t>RP1(a)</t>
        </is>
      </c>
      <c r="G239" s="12" t="inlineStr">
        <is>
          <t>Confirm end-2026 target status</t>
        </is>
      </c>
      <c r="H239" s="25">
        <f>IFERROR(IF(INDEX('Faculties'!$L$10:$L$30,MATCH($F239,'Faculties'!$B$10:$B$30,0))="","Cell will autofill based on response",INDEX('Faculties'!$L$10:$L$30,MATCH($F239,'Faculties'!$B$10:$B$30,0))),"N/A")</f>
        <v/>
      </c>
      <c r="I239" s="25">
        <f>IFERROR(IF(INDEX('Faculties'!$L$37:$L$57,MATCH($F239,'Faculties'!$B$37:$B$57,0))="","Cell will autofill based on response",INDEX('Faculties'!$L$37:$L$57,MATCH($F239,'Faculties'!$B$37:$B$57,0))),"N/A")</f>
        <v/>
      </c>
      <c r="J239" s="25">
        <f>IFERROR(IF(INDEX('Faculties'!$L$64:$L$84,MATCH($F239,'Faculties'!$B$64:$B$84,0))="","Cell will autofill based on response",INDEX('Faculties'!$L$64:$L$84,MATCH($F239,'Faculties'!$B$64:$B$84,0))),"N/A")</f>
        <v/>
      </c>
      <c r="K239" s="25">
        <f>IFERROR(IF(INDEX('Faculties'!$L$91:$L$111,MATCH($F239,'Faculties'!$B$91:$B$111,0))="","Cell will autofill based on response",INDEX('Faculties'!$L$91:$L$111,MATCH($F239,'Faculties'!$B$91:$B$111,0))),"N/A")</f>
        <v/>
      </c>
      <c r="L239" s="25">
        <f>IFERROR(IF(INDEX('CI&amp;S'!$L$10:$L$15,MATCH($F239,'CI&amp;S'!$B$10:$B$15,0))="","Cell will autofill based on response",INDEX('CI&amp;S'!$L$10:$L$15,MATCH($F239,'CI&amp;S'!$B$10:$B$15,0))),"N/A")</f>
        <v/>
      </c>
      <c r="M239" s="25">
        <f>IFERROR(IF(INDEX('CI&amp;S'!$L$22:$L$39,MATCH($F239,'CI&amp;S'!$B$22:$B$39,0))="","Cell will autofill based on response",INDEX('CI&amp;S'!$L$22:$L$39,MATCH($F239,'CI&amp;S'!$B$22:$B$39,0))),"N/A")</f>
        <v/>
      </c>
      <c r="N239" s="25">
        <f>IFERROR(IF(INDEX('CFOG'!$L$10:$L$16,MATCH($F239,'CFOG'!$B$10:$B$16,0))="","Cell will autofill based on response",INDEX('CFOG'!$L$10:$L$16,MATCH($F239,'CFOG'!$B$10:$B$16,0))),"N/A")</f>
        <v/>
      </c>
      <c r="O239" s="25">
        <f>IFERROR(IF(INDEX('CFOG'!$L$23:$L$24,MATCH($F239,'CFOG'!$B$23:$B$24,0))="","Cell will autofill based on response",INDEX('CFOG'!$L$23:$L$24,MATCH($F239,'CFOG'!$B$23:$B$24,0))),"N/A")</f>
        <v/>
      </c>
      <c r="P239" s="25">
        <f>IFERROR(IF(INDEX('ESG'!$L$10:$L$17,MATCH($F239,'ESG'!$B$10:$B$17,0))="","Cell will autofill based on response",INDEX('ESG'!$L$10:$L$17,MATCH($F239,'ESG'!$B$10:$B$17,0))),"N/A")</f>
        <v/>
      </c>
      <c r="Q239" s="25">
        <f>IFERROR(IF(INDEX('CIOG'!$L$10:$L$14,MATCH($F239,'CIOG'!$B$10:$B$14,0))="","Cell will autofill based on response",INDEX('CIOG'!$L$10:$L$14,MATCH($F239,'CIOG'!$B$10:$B$14,0))),"N/A")</f>
        <v/>
      </c>
      <c r="R239" s="25">
        <f>IFERROR(IF(INDEX('MRE'!$L$10:$L$12,MATCH($F239,'MRE'!$B$10:$B$12,0))="","Cell will autofill based on response",INDEX('MRE'!$L$10:$L$12,MATCH($F239,'MRE'!$B$10:$B$12,0))),"N/A")</f>
        <v/>
      </c>
      <c r="S239" s="25">
        <f>IFERROR(IF(INDEX('L&amp;R'!$L$10:$L$11,MATCH($F239,'L&amp;R'!$B$10:$B$11,0))="","Cell will autofill based on response",INDEX('L&amp;R'!$L$10:$L$11,MATCH($F239,'L&amp;R'!$B$10:$B$11,0))),"N/A")</f>
        <v/>
      </c>
      <c r="U239" s="26">
        <f>COUNTIF($H239:$S239,"Cell will autofill based on response")</f>
        <v/>
      </c>
      <c r="V239" s="26">
        <f>COUNTIF($H239:$S239,"Not yet started")</f>
        <v/>
      </c>
      <c r="W239" s="26">
        <f>COUNTIF($H239:$S239,"Not met")</f>
        <v/>
      </c>
      <c r="X239" s="26">
        <f>COUNTIF($H239:$S239,"Partially met")</f>
        <v/>
      </c>
      <c r="Y239" s="26">
        <f>COUNTIF($H239:$S239,"Met or exceeded")</f>
        <v/>
      </c>
      <c r="Z239" s="26">
        <f>3*Y239+2*X239+W239</f>
        <v/>
      </c>
      <c r="AA239" s="26">
        <f>Y239+X239+W239+V239</f>
        <v/>
      </c>
      <c r="AB239" s="27">
        <f>IF(AA239&gt;0,Z239/AA239,"No valid responses to date")</f>
        <v/>
      </c>
      <c r="AC239" s="26">
        <f>IF(ISNUMBER(AB239),INDEX(Lists!$G$2:$G$5,MATCH(ROUND(AB239,0),Lists!$H$2:$H$5,0)),"")</f>
        <v/>
      </c>
      <c r="AD239" s="28">
        <f>IF(AA239&gt;0,Y239/AA239,"")</f>
        <v/>
      </c>
      <c r="AE239" s="28">
        <f>IF(AA239&gt;0,(Y239+X239)/AA239,"")</f>
        <v/>
      </c>
      <c r="AF239" s="26">
        <f>IF(AA239=0,"",IF(AD239&gt;0.75,"Met or exceeded",IF(AE239&gt;=0.5,"Partially met","Not met")))</f>
        <v/>
      </c>
    </row>
    <row r="240">
      <c r="A240">
        <f>F240&amp;"|"&amp;G240</f>
        <v/>
      </c>
      <c r="B240" s="29" t="inlineStr"/>
      <c r="C240" s="8" t="inlineStr"/>
      <c r="D240" s="8" t="inlineStr"/>
      <c r="E240" s="8" t="inlineStr"/>
      <c r="F240" s="8" t="inlineStr">
        <is>
          <t>RP1(a)</t>
        </is>
      </c>
      <c r="G240" s="8" t="inlineStr">
        <is>
          <t>OPTION 1:  Target-level reporting</t>
        </is>
      </c>
      <c r="H240" s="25">
        <f>IFERROR(IF(INDEX('Faculties'!$M$10:$M$30,MATCH($F240,'Faculties'!$B$10:$B$30,0))="","Cell will autofill based on response",INDEX('Faculties'!$M$10:$M$30,MATCH($F240,'Faculties'!$B$10:$B$30,0))),"N/A")</f>
        <v/>
      </c>
      <c r="I240" s="25">
        <f>IFERROR(IF(INDEX('Faculties'!$M$37:$M$57,MATCH($F240,'Faculties'!$B$37:$B$57,0))="","Cell will autofill based on response",INDEX('Faculties'!$M$37:$M$57,MATCH($F240,'Faculties'!$B$37:$B$57,0))),"N/A")</f>
        <v/>
      </c>
      <c r="J240" s="25">
        <f>IFERROR(IF(INDEX('Faculties'!$M$64:$M$84,MATCH($F240,'Faculties'!$B$64:$B$84,0))="","Cell will autofill based on response",INDEX('Faculties'!$M$64:$M$84,MATCH($F240,'Faculties'!$B$64:$B$84,0))),"N/A")</f>
        <v/>
      </c>
      <c r="K240" s="25">
        <f>IFERROR(IF(INDEX('Faculties'!$M$91:$M$111,MATCH($F240,'Faculties'!$B$91:$B$111,0))="","Cell will autofill based on response",INDEX('Faculties'!$M$91:$M$111,MATCH($F240,'Faculties'!$B$91:$B$111,0))),"N/A")</f>
        <v/>
      </c>
      <c r="L240" s="25">
        <f>IFERROR(IF(INDEX('CI&amp;S'!$M$10:$M$15,MATCH($F240,'CI&amp;S'!$B$10:$B$15,0))="","Cell will autofill based on response",INDEX('CI&amp;S'!$M$10:$M$15,MATCH($F240,'CI&amp;S'!$B$10:$B$15,0))),"N/A")</f>
        <v/>
      </c>
      <c r="M240" s="25">
        <f>IFERROR(IF(INDEX('CI&amp;S'!$M$22:$M$39,MATCH($F240,'CI&amp;S'!$B$22:$B$39,0))="","Cell will autofill based on response",INDEX('CI&amp;S'!$M$22:$M$39,MATCH($F240,'CI&amp;S'!$B$22:$B$39,0))),"N/A")</f>
        <v/>
      </c>
      <c r="N240" s="25">
        <f>IFERROR(IF(INDEX('CFOG'!$M$10:$M$16,MATCH($F240,'CFOG'!$B$10:$B$16,0))="","Cell will autofill based on response",INDEX('CFOG'!$M$10:$M$16,MATCH($F240,'CFOG'!$B$10:$B$16,0))),"N/A")</f>
        <v/>
      </c>
      <c r="O240" s="25">
        <f>IFERROR(IF(INDEX('CFOG'!$M$23:$M$24,MATCH($F240,'CFOG'!$B$23:$B$24,0))="","Cell will autofill based on response",INDEX('CFOG'!$M$23:$M$24,MATCH($F240,'CFOG'!$B$23:$B$24,0))),"N/A")</f>
        <v/>
      </c>
      <c r="P240" s="25">
        <f>IFERROR(IF(INDEX('ESG'!$M$10:$M$17,MATCH($F240,'ESG'!$B$10:$B$17,0))="","Cell will autofill based on response",INDEX('ESG'!$M$10:$M$17,MATCH($F240,'ESG'!$B$10:$B$17,0))),"N/A")</f>
        <v/>
      </c>
      <c r="Q240" s="25">
        <f>IFERROR(IF(INDEX('CIOG'!$M$10:$M$14,MATCH($F240,'CIOG'!$B$10:$B$14,0))="","Cell will autofill based on response",INDEX('CIOG'!$M$10:$M$14,MATCH($F240,'CIOG'!$B$10:$B$14,0))),"N/A")</f>
        <v/>
      </c>
      <c r="R240" s="25">
        <f>IFERROR(IF(INDEX('MRE'!$M$10:$M$12,MATCH($F240,'MRE'!$B$10:$B$12,0))="","Cell will autofill based on response",INDEX('MRE'!$M$10:$M$12,MATCH($F240,'MRE'!$B$10:$B$12,0))),"N/A")</f>
        <v/>
      </c>
      <c r="S240" s="25">
        <f>IFERROR(IF(INDEX('L&amp;R'!$M$10:$M$11,MATCH($F240,'L&amp;R'!$B$10:$B$11,0))="","Cell will autofill based on response",INDEX('L&amp;R'!$M$10:$M$11,MATCH($F240,'L&amp;R'!$B$10:$B$11,0))),"N/A")</f>
        <v/>
      </c>
    </row>
    <row r="241">
      <c r="A241">
        <f>F241&amp;"|"&amp;G241</f>
        <v/>
      </c>
      <c r="B241" s="29" t="inlineStr"/>
      <c r="C241" s="8" t="inlineStr"/>
      <c r="D241" s="8" t="inlineStr"/>
      <c r="E241" s="8" t="inlineStr"/>
      <c r="F241" s="8" t="inlineStr">
        <is>
          <t>RP1(a)</t>
        </is>
      </c>
      <c r="G241" s="8" t="inlineStr">
        <is>
          <t>OPTION 2:  Indicator level reporting</t>
        </is>
      </c>
      <c r="H241" s="25">
        <f>IFERROR(IF(INDEX('Faculties'!$N$10:$N$30,MATCH($F241,'Faculties'!$B$10:$B$30,0))="","Cell will autofill based on response",INDEX('Faculties'!$N$10:$N$30,MATCH($F241,'Faculties'!$B$10:$B$30,0))),"N/A")</f>
        <v/>
      </c>
      <c r="I241" s="25">
        <f>IFERROR(IF(INDEX('Faculties'!$N$37:$N$57,MATCH($F241,'Faculties'!$B$37:$B$57,0))="","Cell will autofill based on response",INDEX('Faculties'!$N$37:$N$57,MATCH($F241,'Faculties'!$B$37:$B$57,0))),"N/A")</f>
        <v/>
      </c>
      <c r="J241" s="25">
        <f>IFERROR(IF(INDEX('Faculties'!$N$64:$N$84,MATCH($F241,'Faculties'!$B$64:$B$84,0))="","Cell will autofill based on response",INDEX('Faculties'!$N$64:$N$84,MATCH($F241,'Faculties'!$B$64:$B$84,0))),"N/A")</f>
        <v/>
      </c>
      <c r="K241" s="25">
        <f>IFERROR(IF(INDEX('Faculties'!$N$91:$N$111,MATCH($F241,'Faculties'!$B$91:$B$111,0))="","Cell will autofill based on response",INDEX('Faculties'!$N$91:$N$111,MATCH($F241,'Faculties'!$B$91:$B$111,0))),"N/A")</f>
        <v/>
      </c>
      <c r="L241" s="25">
        <f>IFERROR(IF(INDEX('CI&amp;S'!$N$10:$N$15,MATCH($F241,'CI&amp;S'!$B$10:$B$15,0))="","Cell will autofill based on response",INDEX('CI&amp;S'!$N$10:$N$15,MATCH($F241,'CI&amp;S'!$B$10:$B$15,0))),"N/A")</f>
        <v/>
      </c>
      <c r="M241" s="25">
        <f>IFERROR(IF(INDEX('CI&amp;S'!$N$22:$N$39,MATCH($F241,'CI&amp;S'!$B$22:$B$39,0))="","Cell will autofill based on response",INDEX('CI&amp;S'!$N$22:$N$39,MATCH($F241,'CI&amp;S'!$B$22:$B$39,0))),"N/A")</f>
        <v/>
      </c>
      <c r="N241" s="25">
        <f>IFERROR(IF(INDEX('CFOG'!$N$10:$N$16,MATCH($F241,'CFOG'!$B$10:$B$16,0))="","Cell will autofill based on response",INDEX('CFOG'!$N$10:$N$16,MATCH($F241,'CFOG'!$B$10:$B$16,0))),"N/A")</f>
        <v/>
      </c>
      <c r="O241" s="25">
        <f>IFERROR(IF(INDEX('CFOG'!$N$23:$N$24,MATCH($F241,'CFOG'!$B$23:$B$24,0))="","Cell will autofill based on response",INDEX('CFOG'!$N$23:$N$24,MATCH($F241,'CFOG'!$B$23:$B$24,0))),"N/A")</f>
        <v/>
      </c>
      <c r="P241" s="25">
        <f>IFERROR(IF(INDEX('ESG'!$N$10:$N$17,MATCH($F241,'ESG'!$B$10:$B$17,0))="","Cell will autofill based on response",INDEX('ESG'!$N$10:$N$17,MATCH($F241,'ESG'!$B$10:$B$17,0))),"N/A")</f>
        <v/>
      </c>
      <c r="Q241" s="25">
        <f>IFERROR(IF(INDEX('CIOG'!$N$10:$N$14,MATCH($F241,'CIOG'!$B$10:$B$14,0))="","Cell will autofill based on response",INDEX('CIOG'!$N$10:$N$14,MATCH($F241,'CIOG'!$B$10:$B$14,0))),"N/A")</f>
        <v/>
      </c>
      <c r="R241" s="25">
        <f>IFERROR(IF(INDEX('MRE'!$N$10:$N$12,MATCH($F241,'MRE'!$B$10:$B$12,0))="","Cell will autofill based on response",INDEX('MRE'!$N$10:$N$12,MATCH($F241,'MRE'!$B$10:$B$12,0))),"N/A")</f>
        <v/>
      </c>
      <c r="S241" s="25">
        <f>IFERROR(IF(INDEX('L&amp;R'!$N$10:$N$11,MATCH($F241,'L&amp;R'!$B$10:$B$11,0))="","Cell will autofill based on response",INDEX('L&amp;R'!$N$10:$N$11,MATCH($F241,'L&amp;R'!$B$10:$B$11,0))),"N/A")</f>
        <v/>
      </c>
    </row>
    <row r="242">
      <c r="A242">
        <f>F242&amp;"|"&amp;G242</f>
        <v/>
      </c>
      <c r="B242" s="29" t="inlineStr"/>
      <c r="C242" s="8" t="inlineStr"/>
      <c r="D242" s="8" t="inlineStr"/>
      <c r="E242" s="8" t="inlineStr"/>
      <c r="F242" s="8" t="inlineStr">
        <is>
          <t>RP1(a)</t>
        </is>
      </c>
      <c r="G242" s="8" t="inlineStr">
        <is>
          <t>Supporting information/comments</t>
        </is>
      </c>
      <c r="H242" s="25">
        <f>IFERROR(IF(INDEX('Faculties'!$O$10:$O$30,MATCH($F242,'Faculties'!$B$10:$B$30,0))="","Cell will autofill based on response",INDEX('Faculties'!$O$10:$O$30,MATCH($F242,'Faculties'!$B$10:$B$30,0))),"N/A")</f>
        <v/>
      </c>
      <c r="I242" s="25">
        <f>IFERROR(IF(INDEX('Faculties'!$O$37:$O$57,MATCH($F242,'Faculties'!$B$37:$B$57,0))="","Cell will autofill based on response",INDEX('Faculties'!$O$37:$O$57,MATCH($F242,'Faculties'!$B$37:$B$57,0))),"N/A")</f>
        <v/>
      </c>
      <c r="J242" s="25">
        <f>IFERROR(IF(INDEX('Faculties'!$O$64:$O$84,MATCH($F242,'Faculties'!$B$64:$B$84,0))="","Cell will autofill based on response",INDEX('Faculties'!$O$64:$O$84,MATCH($F242,'Faculties'!$B$64:$B$84,0))),"N/A")</f>
        <v/>
      </c>
      <c r="K242" s="25">
        <f>IFERROR(IF(INDEX('Faculties'!$O$91:$O$111,MATCH($F242,'Faculties'!$B$91:$B$111,0))="","Cell will autofill based on response",INDEX('Faculties'!$O$91:$O$111,MATCH($F242,'Faculties'!$B$91:$B$111,0))),"N/A")</f>
        <v/>
      </c>
      <c r="L242" s="25">
        <f>IFERROR(IF(INDEX('CI&amp;S'!$O$10:$O$15,MATCH($F242,'CI&amp;S'!$B$10:$B$15,0))="","Cell will autofill based on response",INDEX('CI&amp;S'!$O$10:$O$15,MATCH($F242,'CI&amp;S'!$B$10:$B$15,0))),"N/A")</f>
        <v/>
      </c>
      <c r="M242" s="25">
        <f>IFERROR(IF(INDEX('CI&amp;S'!$O$22:$O$39,MATCH($F242,'CI&amp;S'!$B$22:$B$39,0))="","Cell will autofill based on response",INDEX('CI&amp;S'!$O$22:$O$39,MATCH($F242,'CI&amp;S'!$B$22:$B$39,0))),"N/A")</f>
        <v/>
      </c>
      <c r="N242" s="25">
        <f>IFERROR(IF(INDEX('CFOG'!$O$10:$O$16,MATCH($F242,'CFOG'!$B$10:$B$16,0))="","Cell will autofill based on response",INDEX('CFOG'!$O$10:$O$16,MATCH($F242,'CFOG'!$B$10:$B$16,0))),"N/A")</f>
        <v/>
      </c>
      <c r="O242" s="25">
        <f>IFERROR(IF(INDEX('CFOG'!$O$23:$O$24,MATCH($F242,'CFOG'!$B$23:$B$24,0))="","Cell will autofill based on response",INDEX('CFOG'!$O$23:$O$24,MATCH($F242,'CFOG'!$B$23:$B$24,0))),"N/A")</f>
        <v/>
      </c>
      <c r="P242" s="25">
        <f>IFERROR(IF(INDEX('ESG'!$O$10:$O$17,MATCH($F242,'ESG'!$B$10:$B$17,0))="","Cell will autofill based on response",INDEX('ESG'!$O$10:$O$17,MATCH($F242,'ESG'!$B$10:$B$17,0))),"N/A")</f>
        <v/>
      </c>
      <c r="Q242" s="25">
        <f>IFERROR(IF(INDEX('CIOG'!$O$10:$O$14,MATCH($F242,'CIOG'!$B$10:$B$14,0))="","Cell will autofill based on response",INDEX('CIOG'!$O$10:$O$14,MATCH($F242,'CIOG'!$B$10:$B$14,0))),"N/A")</f>
        <v/>
      </c>
      <c r="R242" s="25">
        <f>IFERROR(IF(INDEX('MRE'!$O$10:$O$12,MATCH($F242,'MRE'!$B$10:$B$12,0))="","Cell will autofill based on response",INDEX('MRE'!$O$10:$O$12,MATCH($F242,'MRE'!$B$10:$B$12,0))),"N/A")</f>
        <v/>
      </c>
      <c r="S242" s="25">
        <f>IFERROR(IF(INDEX('L&amp;R'!$O$10:$O$11,MATCH($F242,'L&amp;R'!$B$10:$B$11,0))="","Cell will autofill based on response",INDEX('L&amp;R'!$O$10:$O$11,MATCH($F242,'L&amp;R'!$B$10:$B$11,0))),"N/A")</f>
        <v/>
      </c>
    </row>
    <row r="243">
      <c r="A243">
        <f>F243&amp;"|"&amp;G243</f>
        <v/>
      </c>
      <c r="B243" s="29" t="inlineStr"/>
      <c r="C243" s="8" t="inlineStr"/>
      <c r="D243" s="8" t="inlineStr"/>
      <c r="E243" s="8" t="inlineStr"/>
      <c r="F243" s="8" t="inlineStr">
        <is>
          <t>RP1(a)</t>
        </is>
      </c>
      <c r="G243" s="8" t="inlineStr">
        <is>
          <t>Data source and limitations</t>
        </is>
      </c>
      <c r="H243" s="25">
        <f>IFERROR(IF(INDEX('Faculties'!$P$10:$P$30,MATCH($F243,'Faculties'!$B$10:$B$30,0))="","Cell will autofill based on response",INDEX('Faculties'!$P$10:$P$30,MATCH($F243,'Faculties'!$B$10:$B$30,0))),"N/A")</f>
        <v/>
      </c>
      <c r="I243" s="25">
        <f>IFERROR(IF(INDEX('Faculties'!$P$37:$P$57,MATCH($F243,'Faculties'!$B$37:$B$57,0))="","Cell will autofill based on response",INDEX('Faculties'!$P$37:$P$57,MATCH($F243,'Faculties'!$B$37:$B$57,0))),"N/A")</f>
        <v/>
      </c>
      <c r="J243" s="25">
        <f>IFERROR(IF(INDEX('Faculties'!$P$64:$P$84,MATCH($F243,'Faculties'!$B$64:$B$84,0))="","Cell will autofill based on response",INDEX('Faculties'!$P$64:$P$84,MATCH($F243,'Faculties'!$B$64:$B$84,0))),"N/A")</f>
        <v/>
      </c>
      <c r="K243" s="25">
        <f>IFERROR(IF(INDEX('Faculties'!$P$91:$P$111,MATCH($F243,'Faculties'!$B$91:$B$111,0))="","Cell will autofill based on response",INDEX('Faculties'!$P$91:$P$111,MATCH($F243,'Faculties'!$B$91:$B$111,0))),"N/A")</f>
        <v/>
      </c>
      <c r="L243" s="25">
        <f>IFERROR(IF(INDEX('CI&amp;S'!$P$10:$P$15,MATCH($F243,'CI&amp;S'!$B$10:$B$15,0))="","Cell will autofill based on response",INDEX('CI&amp;S'!$P$10:$P$15,MATCH($F243,'CI&amp;S'!$B$10:$B$15,0))),"N/A")</f>
        <v/>
      </c>
      <c r="M243" s="25">
        <f>IFERROR(IF(INDEX('CI&amp;S'!$P$22:$P$39,MATCH($F243,'CI&amp;S'!$B$22:$B$39,0))="","Cell will autofill based on response",INDEX('CI&amp;S'!$P$22:$P$39,MATCH($F243,'CI&amp;S'!$B$22:$B$39,0))),"N/A")</f>
        <v/>
      </c>
      <c r="N243" s="25">
        <f>IFERROR(IF(INDEX('CFOG'!$P$10:$P$16,MATCH($F243,'CFOG'!$B$10:$B$16,0))="","Cell will autofill based on response",INDEX('CFOG'!$P$10:$P$16,MATCH($F243,'CFOG'!$B$10:$B$16,0))),"N/A")</f>
        <v/>
      </c>
      <c r="O243" s="25">
        <f>IFERROR(IF(INDEX('CFOG'!$P$23:$P$24,MATCH($F243,'CFOG'!$B$23:$B$24,0))="","Cell will autofill based on response",INDEX('CFOG'!$P$23:$P$24,MATCH($F243,'CFOG'!$B$23:$B$24,0))),"N/A")</f>
        <v/>
      </c>
      <c r="P243" s="25">
        <f>IFERROR(IF(INDEX('ESG'!$P$10:$P$17,MATCH($F243,'ESG'!$B$10:$B$17,0))="","Cell will autofill based on response",INDEX('ESG'!$P$10:$P$17,MATCH($F243,'ESG'!$B$10:$B$17,0))),"N/A")</f>
        <v/>
      </c>
      <c r="Q243" s="25">
        <f>IFERROR(IF(INDEX('CIOG'!$P$10:$P$14,MATCH($F243,'CIOG'!$B$10:$B$14,0))="","Cell will autofill based on response",INDEX('CIOG'!$P$10:$P$14,MATCH($F243,'CIOG'!$B$10:$B$14,0))),"N/A")</f>
        <v/>
      </c>
      <c r="R243" s="25">
        <f>IFERROR(IF(INDEX('MRE'!$P$10:$P$12,MATCH($F243,'MRE'!$B$10:$B$12,0))="","Cell will autofill based on response",INDEX('MRE'!$P$10:$P$12,MATCH($F243,'MRE'!$B$10:$B$12,0))),"N/A")</f>
        <v/>
      </c>
      <c r="S243" s="25">
        <f>IFERROR(IF(INDEX('L&amp;R'!$P$10:$P$11,MATCH($F243,'L&amp;R'!$B$10:$B$11,0))="","Cell will autofill based on response",INDEX('L&amp;R'!$P$10:$P$11,MATCH($F243,'L&amp;R'!$B$10:$B$11,0))),"N/A")</f>
        <v/>
      </c>
    </row>
    <row r="244">
      <c r="A244">
        <f>F244&amp;"|"&amp;G244</f>
        <v/>
      </c>
      <c r="B244" s="29" t="inlineStr"/>
      <c r="C244" s="8" t="inlineStr"/>
      <c r="D244" s="8" t="inlineStr"/>
      <c r="E244" s="8" t="inlineStr"/>
      <c r="F244" s="8" t="inlineStr">
        <is>
          <t>RP1(a)</t>
        </is>
      </c>
      <c r="G244" s="8" t="inlineStr">
        <is>
          <t>Data owner confirms</t>
        </is>
      </c>
      <c r="H244" s="25">
        <f>IFERROR(IF(INDEX('Faculties'!$Q$10:$Q$30,MATCH($F244,'Faculties'!$B$10:$B$30,0))="","Cell will autofill based on response",INDEX('Faculties'!$Q$10:$Q$30,MATCH($F244,'Faculties'!$B$10:$B$30,0))),"N/A")</f>
        <v/>
      </c>
      <c r="I244" s="25">
        <f>IFERROR(IF(INDEX('Faculties'!$Q$37:$Q$57,MATCH($F244,'Faculties'!$B$37:$B$57,0))="","Cell will autofill based on response",INDEX('Faculties'!$Q$37:$Q$57,MATCH($F244,'Faculties'!$B$37:$B$57,0))),"N/A")</f>
        <v/>
      </c>
      <c r="J244" s="25">
        <f>IFERROR(IF(INDEX('Faculties'!$Q$64:$Q$84,MATCH($F244,'Faculties'!$B$64:$B$84,0))="","Cell will autofill based on response",INDEX('Faculties'!$Q$64:$Q$84,MATCH($F244,'Faculties'!$B$64:$B$84,0))),"N/A")</f>
        <v/>
      </c>
      <c r="K244" s="25">
        <f>IFERROR(IF(INDEX('Faculties'!$Q$91:$Q$111,MATCH($F244,'Faculties'!$B$91:$B$111,0))="","Cell will autofill based on response",INDEX('Faculties'!$Q$91:$Q$111,MATCH($F244,'Faculties'!$B$91:$B$111,0))),"N/A")</f>
        <v/>
      </c>
      <c r="L244" s="25">
        <f>IFERROR(IF(INDEX('CI&amp;S'!$Q$10:$Q$15,MATCH($F244,'CI&amp;S'!$B$10:$B$15,0))="","Cell will autofill based on response",INDEX('CI&amp;S'!$Q$10:$Q$15,MATCH($F244,'CI&amp;S'!$B$10:$B$15,0))),"N/A")</f>
        <v/>
      </c>
      <c r="M244" s="25">
        <f>IFERROR(IF(INDEX('CI&amp;S'!$Q$22:$Q$39,MATCH($F244,'CI&amp;S'!$B$22:$B$39,0))="","Cell will autofill based on response",INDEX('CI&amp;S'!$Q$22:$Q$39,MATCH($F244,'CI&amp;S'!$B$22:$B$39,0))),"N/A")</f>
        <v/>
      </c>
      <c r="N244" s="25">
        <f>IFERROR(IF(INDEX('CFOG'!$Q$10:$Q$16,MATCH($F244,'CFOG'!$B$10:$B$16,0))="","Cell will autofill based on response",INDEX('CFOG'!$Q$10:$Q$16,MATCH($F244,'CFOG'!$B$10:$B$16,0))),"N/A")</f>
        <v/>
      </c>
      <c r="O244" s="25">
        <f>IFERROR(IF(INDEX('CFOG'!$Q$23:$Q$24,MATCH($F244,'CFOG'!$B$23:$B$24,0))="","Cell will autofill based on response",INDEX('CFOG'!$Q$23:$Q$24,MATCH($F244,'CFOG'!$B$23:$B$24,0))),"N/A")</f>
        <v/>
      </c>
      <c r="P244" s="25">
        <f>IFERROR(IF(INDEX('ESG'!$Q$10:$Q$17,MATCH($F244,'ESG'!$B$10:$B$17,0))="","Cell will autofill based on response",INDEX('ESG'!$Q$10:$Q$17,MATCH($F244,'ESG'!$B$10:$B$17,0))),"N/A")</f>
        <v/>
      </c>
      <c r="Q244" s="25">
        <f>IFERROR(IF(INDEX('CIOG'!$Q$10:$Q$14,MATCH($F244,'CIOG'!$B$10:$B$14,0))="","Cell will autofill based on response",INDEX('CIOG'!$Q$10:$Q$14,MATCH($F244,'CIOG'!$B$10:$B$14,0))),"N/A")</f>
        <v/>
      </c>
      <c r="R244" s="25">
        <f>IFERROR(IF(INDEX('MRE'!$Q$10:$Q$12,MATCH($F244,'MRE'!$B$10:$B$12,0))="","Cell will autofill based on response",INDEX('MRE'!$Q$10:$Q$12,MATCH($F244,'MRE'!$B$10:$B$12,0))),"N/A")</f>
        <v/>
      </c>
      <c r="S244" s="25">
        <f>IFERROR(IF(INDEX('L&amp;R'!$Q$10:$Q$11,MATCH($F244,'L&amp;R'!$B$10:$B$11,0))="","Cell will autofill based on response",INDEX('L&amp;R'!$Q$10:$Q$11,MATCH($F244,'L&amp;R'!$B$10:$B$11,0))),"N/A")</f>
        <v/>
      </c>
    </row>
    <row r="245">
      <c r="A245">
        <f>F245&amp;"|"&amp;G245</f>
        <v/>
      </c>
      <c r="B245" s="7" t="inlineStr">
        <is>
          <t>RP2(a)</t>
        </is>
      </c>
      <c r="C245" s="12" t="inlineStr">
        <is>
          <t>Responsible procurement</t>
        </is>
      </c>
      <c r="D245" s="12" t="inlineStr">
        <is>
          <t>Percentage of Indigenous spend of total addressable procurement spend</t>
        </is>
      </c>
      <c r="E245" s="12" t="inlineStr">
        <is>
          <t>Percentage of Indigenous spend of total addressable procurement spend</t>
        </is>
      </c>
      <c r="F245" s="12" t="inlineStr">
        <is>
          <t>RP2(a)</t>
        </is>
      </c>
      <c r="G245" s="12" t="inlineStr">
        <is>
          <t>Confirm end-2026 target status</t>
        </is>
      </c>
      <c r="H245" s="25">
        <f>IFERROR(IF(INDEX('Faculties'!$L$10:$L$30,MATCH($F245,'Faculties'!$B$10:$B$30,0))="","Cell will autofill based on response",INDEX('Faculties'!$L$10:$L$30,MATCH($F245,'Faculties'!$B$10:$B$30,0))),"N/A")</f>
        <v/>
      </c>
      <c r="I245" s="25">
        <f>IFERROR(IF(INDEX('Faculties'!$L$37:$L$57,MATCH($F245,'Faculties'!$B$37:$B$57,0))="","Cell will autofill based on response",INDEX('Faculties'!$L$37:$L$57,MATCH($F245,'Faculties'!$B$37:$B$57,0))),"N/A")</f>
        <v/>
      </c>
      <c r="J245" s="25">
        <f>IFERROR(IF(INDEX('Faculties'!$L$64:$L$84,MATCH($F245,'Faculties'!$B$64:$B$84,0))="","Cell will autofill based on response",INDEX('Faculties'!$L$64:$L$84,MATCH($F245,'Faculties'!$B$64:$B$84,0))),"N/A")</f>
        <v/>
      </c>
      <c r="K245" s="25">
        <f>IFERROR(IF(INDEX('Faculties'!$L$91:$L$111,MATCH($F245,'Faculties'!$B$91:$B$111,0))="","Cell will autofill based on response",INDEX('Faculties'!$L$91:$L$111,MATCH($F245,'Faculties'!$B$91:$B$111,0))),"N/A")</f>
        <v/>
      </c>
      <c r="L245" s="25">
        <f>IFERROR(IF(INDEX('CI&amp;S'!$L$10:$L$15,MATCH($F245,'CI&amp;S'!$B$10:$B$15,0))="","Cell will autofill based on response",INDEX('CI&amp;S'!$L$10:$L$15,MATCH($F245,'CI&amp;S'!$B$10:$B$15,0))),"N/A")</f>
        <v/>
      </c>
      <c r="M245" s="25">
        <f>IFERROR(IF(INDEX('CI&amp;S'!$L$22:$L$39,MATCH($F245,'CI&amp;S'!$B$22:$B$39,0))="","Cell will autofill based on response",INDEX('CI&amp;S'!$L$22:$L$39,MATCH($F245,'CI&amp;S'!$B$22:$B$39,0))),"N/A")</f>
        <v/>
      </c>
      <c r="N245" s="25">
        <f>IFERROR(IF(INDEX('CFOG'!$L$10:$L$16,MATCH($F245,'CFOG'!$B$10:$B$16,0))="","Cell will autofill based on response",INDEX('CFOG'!$L$10:$L$16,MATCH($F245,'CFOG'!$B$10:$B$16,0))),"N/A")</f>
        <v/>
      </c>
      <c r="O245" s="25">
        <f>IFERROR(IF(INDEX('CFOG'!$L$23:$L$24,MATCH($F245,'CFOG'!$B$23:$B$24,0))="","Cell will autofill based on response",INDEX('CFOG'!$L$23:$L$24,MATCH($F245,'CFOG'!$B$23:$B$24,0))),"N/A")</f>
        <v/>
      </c>
      <c r="P245" s="25">
        <f>IFERROR(IF(INDEX('ESG'!$L$10:$L$17,MATCH($F245,'ESG'!$B$10:$B$17,0))="","Cell will autofill based on response",INDEX('ESG'!$L$10:$L$17,MATCH($F245,'ESG'!$B$10:$B$17,0))),"N/A")</f>
        <v/>
      </c>
      <c r="Q245" s="25">
        <f>IFERROR(IF(INDEX('CIOG'!$L$10:$L$14,MATCH($F245,'CIOG'!$B$10:$B$14,0))="","Cell will autofill based on response",INDEX('CIOG'!$L$10:$L$14,MATCH($F245,'CIOG'!$B$10:$B$14,0))),"N/A")</f>
        <v/>
      </c>
      <c r="R245" s="25">
        <f>IFERROR(IF(INDEX('MRE'!$L$10:$L$12,MATCH($F245,'MRE'!$B$10:$B$12,0))="","Cell will autofill based on response",INDEX('MRE'!$L$10:$L$12,MATCH($F245,'MRE'!$B$10:$B$12,0))),"N/A")</f>
        <v/>
      </c>
      <c r="S245" s="25">
        <f>IFERROR(IF(INDEX('L&amp;R'!$L$10:$L$11,MATCH($F245,'L&amp;R'!$B$10:$B$11,0))="","Cell will autofill based on response",INDEX('L&amp;R'!$L$10:$L$11,MATCH($F245,'L&amp;R'!$B$10:$B$11,0))),"N/A")</f>
        <v/>
      </c>
      <c r="U245" s="26">
        <f>COUNTIF($H245:$S245,"Cell will autofill based on response")</f>
        <v/>
      </c>
      <c r="V245" s="26">
        <f>COUNTIF($H245:$S245,"Not yet started")</f>
        <v/>
      </c>
      <c r="W245" s="26">
        <f>COUNTIF($H245:$S245,"Not met")</f>
        <v/>
      </c>
      <c r="X245" s="26">
        <f>COUNTIF($H245:$S245,"Partially met")</f>
        <v/>
      </c>
      <c r="Y245" s="26">
        <f>COUNTIF($H245:$S245,"Met or exceeded")</f>
        <v/>
      </c>
      <c r="Z245" s="26">
        <f>3*Y245+2*X245+W245</f>
        <v/>
      </c>
      <c r="AA245" s="26">
        <f>Y245+X245+W245+V245</f>
        <v/>
      </c>
      <c r="AB245" s="27">
        <f>IF(AA245&gt;0,Z245/AA245,"No valid responses to date")</f>
        <v/>
      </c>
      <c r="AC245" s="26">
        <f>IF(ISNUMBER(AB245),INDEX(Lists!$G$2:$G$5,MATCH(ROUND(AB245,0),Lists!$H$2:$H$5,0)),"")</f>
        <v/>
      </c>
      <c r="AD245" s="28">
        <f>IF(AA245&gt;0,Y245/AA245,"")</f>
        <v/>
      </c>
      <c r="AE245" s="28">
        <f>IF(AA245&gt;0,(Y245+X245)/AA245,"")</f>
        <v/>
      </c>
      <c r="AF245" s="26">
        <f>IF(AA245=0,"",IF(AD245&gt;0.75,"Met or exceeded",IF(AE245&gt;=0.5,"Partially met","Not met")))</f>
        <v/>
      </c>
    </row>
    <row r="246">
      <c r="A246">
        <f>F246&amp;"|"&amp;G246</f>
        <v/>
      </c>
      <c r="B246" s="29" t="inlineStr"/>
      <c r="C246" s="8" t="inlineStr"/>
      <c r="D246" s="8" t="inlineStr"/>
      <c r="E246" s="8" t="inlineStr"/>
      <c r="F246" s="8" t="inlineStr">
        <is>
          <t>RP2(a)</t>
        </is>
      </c>
      <c r="G246" s="8" t="inlineStr">
        <is>
          <t>OPTION 1:  Target-level reporting</t>
        </is>
      </c>
      <c r="H246" s="25">
        <f>IFERROR(IF(INDEX('Faculties'!$M$10:$M$30,MATCH($F246,'Faculties'!$B$10:$B$30,0))="","Cell will autofill based on response",INDEX('Faculties'!$M$10:$M$30,MATCH($F246,'Faculties'!$B$10:$B$30,0))),"N/A")</f>
        <v/>
      </c>
      <c r="I246" s="25">
        <f>IFERROR(IF(INDEX('Faculties'!$M$37:$M$57,MATCH($F246,'Faculties'!$B$37:$B$57,0))="","Cell will autofill based on response",INDEX('Faculties'!$M$37:$M$57,MATCH($F246,'Faculties'!$B$37:$B$57,0))),"N/A")</f>
        <v/>
      </c>
      <c r="J246" s="25">
        <f>IFERROR(IF(INDEX('Faculties'!$M$64:$M$84,MATCH($F246,'Faculties'!$B$64:$B$84,0))="","Cell will autofill based on response",INDEX('Faculties'!$M$64:$M$84,MATCH($F246,'Faculties'!$B$64:$B$84,0))),"N/A")</f>
        <v/>
      </c>
      <c r="K246" s="25">
        <f>IFERROR(IF(INDEX('Faculties'!$M$91:$M$111,MATCH($F246,'Faculties'!$B$91:$B$111,0))="","Cell will autofill based on response",INDEX('Faculties'!$M$91:$M$111,MATCH($F246,'Faculties'!$B$91:$B$111,0))),"N/A")</f>
        <v/>
      </c>
      <c r="L246" s="25">
        <f>IFERROR(IF(INDEX('CI&amp;S'!$M$10:$M$15,MATCH($F246,'CI&amp;S'!$B$10:$B$15,0))="","Cell will autofill based on response",INDEX('CI&amp;S'!$M$10:$M$15,MATCH($F246,'CI&amp;S'!$B$10:$B$15,0))),"N/A")</f>
        <v/>
      </c>
      <c r="M246" s="25">
        <f>IFERROR(IF(INDEX('CI&amp;S'!$M$22:$M$39,MATCH($F246,'CI&amp;S'!$B$22:$B$39,0))="","Cell will autofill based on response",INDEX('CI&amp;S'!$M$22:$M$39,MATCH($F246,'CI&amp;S'!$B$22:$B$39,0))),"N/A")</f>
        <v/>
      </c>
      <c r="N246" s="25">
        <f>IFERROR(IF(INDEX('CFOG'!$M$10:$M$16,MATCH($F246,'CFOG'!$B$10:$B$16,0))="","Cell will autofill based on response",INDEX('CFOG'!$M$10:$M$16,MATCH($F246,'CFOG'!$B$10:$B$16,0))),"N/A")</f>
        <v/>
      </c>
      <c r="O246" s="25">
        <f>IFERROR(IF(INDEX('CFOG'!$M$23:$M$24,MATCH($F246,'CFOG'!$B$23:$B$24,0))="","Cell will autofill based on response",INDEX('CFOG'!$M$23:$M$24,MATCH($F246,'CFOG'!$B$23:$B$24,0))),"N/A")</f>
        <v/>
      </c>
      <c r="P246" s="25">
        <f>IFERROR(IF(INDEX('ESG'!$M$10:$M$17,MATCH($F246,'ESG'!$B$10:$B$17,0))="","Cell will autofill based on response",INDEX('ESG'!$M$10:$M$17,MATCH($F246,'ESG'!$B$10:$B$17,0))),"N/A")</f>
        <v/>
      </c>
      <c r="Q246" s="25">
        <f>IFERROR(IF(INDEX('CIOG'!$M$10:$M$14,MATCH($F246,'CIOG'!$B$10:$B$14,0))="","Cell will autofill based on response",INDEX('CIOG'!$M$10:$M$14,MATCH($F246,'CIOG'!$B$10:$B$14,0))),"N/A")</f>
        <v/>
      </c>
      <c r="R246" s="25">
        <f>IFERROR(IF(INDEX('MRE'!$M$10:$M$12,MATCH($F246,'MRE'!$B$10:$B$12,0))="","Cell will autofill based on response",INDEX('MRE'!$M$10:$M$12,MATCH($F246,'MRE'!$B$10:$B$12,0))),"N/A")</f>
        <v/>
      </c>
      <c r="S246" s="25">
        <f>IFERROR(IF(INDEX('L&amp;R'!$M$10:$M$11,MATCH($F246,'L&amp;R'!$B$10:$B$11,0))="","Cell will autofill based on response",INDEX('L&amp;R'!$M$10:$M$11,MATCH($F246,'L&amp;R'!$B$10:$B$11,0))),"N/A")</f>
        <v/>
      </c>
    </row>
    <row r="247">
      <c r="A247">
        <f>F247&amp;"|"&amp;G247</f>
        <v/>
      </c>
      <c r="B247" s="29" t="inlineStr"/>
      <c r="C247" s="8" t="inlineStr"/>
      <c r="D247" s="8" t="inlineStr"/>
      <c r="E247" s="8" t="inlineStr"/>
      <c r="F247" s="8" t="inlineStr">
        <is>
          <t>RP2(a)</t>
        </is>
      </c>
      <c r="G247" s="8" t="inlineStr">
        <is>
          <t>OPTION 2:  Indicator level reporting</t>
        </is>
      </c>
      <c r="H247" s="25">
        <f>IFERROR(IF(INDEX('Faculties'!$N$10:$N$30,MATCH($F247,'Faculties'!$B$10:$B$30,0))="","Cell will autofill based on response",INDEX('Faculties'!$N$10:$N$30,MATCH($F247,'Faculties'!$B$10:$B$30,0))),"N/A")</f>
        <v/>
      </c>
      <c r="I247" s="25">
        <f>IFERROR(IF(INDEX('Faculties'!$N$37:$N$57,MATCH($F247,'Faculties'!$B$37:$B$57,0))="","Cell will autofill based on response",INDEX('Faculties'!$N$37:$N$57,MATCH($F247,'Faculties'!$B$37:$B$57,0))),"N/A")</f>
        <v/>
      </c>
      <c r="J247" s="25">
        <f>IFERROR(IF(INDEX('Faculties'!$N$64:$N$84,MATCH($F247,'Faculties'!$B$64:$B$84,0))="","Cell will autofill based on response",INDEX('Faculties'!$N$64:$N$84,MATCH($F247,'Faculties'!$B$64:$B$84,0))),"N/A")</f>
        <v/>
      </c>
      <c r="K247" s="25">
        <f>IFERROR(IF(INDEX('Faculties'!$N$91:$N$111,MATCH($F247,'Faculties'!$B$91:$B$111,0))="","Cell will autofill based on response",INDEX('Faculties'!$N$91:$N$111,MATCH($F247,'Faculties'!$B$91:$B$111,0))),"N/A")</f>
        <v/>
      </c>
      <c r="L247" s="25">
        <f>IFERROR(IF(INDEX('CI&amp;S'!$N$10:$N$15,MATCH($F247,'CI&amp;S'!$B$10:$B$15,0))="","Cell will autofill based on response",INDEX('CI&amp;S'!$N$10:$N$15,MATCH($F247,'CI&amp;S'!$B$10:$B$15,0))),"N/A")</f>
        <v/>
      </c>
      <c r="M247" s="25">
        <f>IFERROR(IF(INDEX('CI&amp;S'!$N$22:$N$39,MATCH($F247,'CI&amp;S'!$B$22:$B$39,0))="","Cell will autofill based on response",INDEX('CI&amp;S'!$N$22:$N$39,MATCH($F247,'CI&amp;S'!$B$22:$B$39,0))),"N/A")</f>
        <v/>
      </c>
      <c r="N247" s="25">
        <f>IFERROR(IF(INDEX('CFOG'!$N$10:$N$16,MATCH($F247,'CFOG'!$B$10:$B$16,0))="","Cell will autofill based on response",INDEX('CFOG'!$N$10:$N$16,MATCH($F247,'CFOG'!$B$10:$B$16,0))),"N/A")</f>
        <v/>
      </c>
      <c r="O247" s="25">
        <f>IFERROR(IF(INDEX('CFOG'!$N$23:$N$24,MATCH($F247,'CFOG'!$B$23:$B$24,0))="","Cell will autofill based on response",INDEX('CFOG'!$N$23:$N$24,MATCH($F247,'CFOG'!$B$23:$B$24,0))),"N/A")</f>
        <v/>
      </c>
      <c r="P247" s="25">
        <f>IFERROR(IF(INDEX('ESG'!$N$10:$N$17,MATCH($F247,'ESG'!$B$10:$B$17,0))="","Cell will autofill based on response",INDEX('ESG'!$N$10:$N$17,MATCH($F247,'ESG'!$B$10:$B$17,0))),"N/A")</f>
        <v/>
      </c>
      <c r="Q247" s="25">
        <f>IFERROR(IF(INDEX('CIOG'!$N$10:$N$14,MATCH($F247,'CIOG'!$B$10:$B$14,0))="","Cell will autofill based on response",INDEX('CIOG'!$N$10:$N$14,MATCH($F247,'CIOG'!$B$10:$B$14,0))),"N/A")</f>
        <v/>
      </c>
      <c r="R247" s="25">
        <f>IFERROR(IF(INDEX('MRE'!$N$10:$N$12,MATCH($F247,'MRE'!$B$10:$B$12,0))="","Cell will autofill based on response",INDEX('MRE'!$N$10:$N$12,MATCH($F247,'MRE'!$B$10:$B$12,0))),"N/A")</f>
        <v/>
      </c>
      <c r="S247" s="25">
        <f>IFERROR(IF(INDEX('L&amp;R'!$N$10:$N$11,MATCH($F247,'L&amp;R'!$B$10:$B$11,0))="","Cell will autofill based on response",INDEX('L&amp;R'!$N$10:$N$11,MATCH($F247,'L&amp;R'!$B$10:$B$11,0))),"N/A")</f>
        <v/>
      </c>
    </row>
    <row r="248">
      <c r="A248">
        <f>F248&amp;"|"&amp;G248</f>
        <v/>
      </c>
      <c r="B248" s="29" t="inlineStr"/>
      <c r="C248" s="8" t="inlineStr"/>
      <c r="D248" s="8" t="inlineStr"/>
      <c r="E248" s="8" t="inlineStr"/>
      <c r="F248" s="8" t="inlineStr">
        <is>
          <t>RP2(a)</t>
        </is>
      </c>
      <c r="G248" s="8" t="inlineStr">
        <is>
          <t>Supporting information/comments</t>
        </is>
      </c>
      <c r="H248" s="25">
        <f>IFERROR(IF(INDEX('Faculties'!$O$10:$O$30,MATCH($F248,'Faculties'!$B$10:$B$30,0))="","Cell will autofill based on response",INDEX('Faculties'!$O$10:$O$30,MATCH($F248,'Faculties'!$B$10:$B$30,0))),"N/A")</f>
        <v/>
      </c>
      <c r="I248" s="25">
        <f>IFERROR(IF(INDEX('Faculties'!$O$37:$O$57,MATCH($F248,'Faculties'!$B$37:$B$57,0))="","Cell will autofill based on response",INDEX('Faculties'!$O$37:$O$57,MATCH($F248,'Faculties'!$B$37:$B$57,0))),"N/A")</f>
        <v/>
      </c>
      <c r="J248" s="25">
        <f>IFERROR(IF(INDEX('Faculties'!$O$64:$O$84,MATCH($F248,'Faculties'!$B$64:$B$84,0))="","Cell will autofill based on response",INDEX('Faculties'!$O$64:$O$84,MATCH($F248,'Faculties'!$B$64:$B$84,0))),"N/A")</f>
        <v/>
      </c>
      <c r="K248" s="25">
        <f>IFERROR(IF(INDEX('Faculties'!$O$91:$O$111,MATCH($F248,'Faculties'!$B$91:$B$111,0))="","Cell will autofill based on response",INDEX('Faculties'!$O$91:$O$111,MATCH($F248,'Faculties'!$B$91:$B$111,0))),"N/A")</f>
        <v/>
      </c>
      <c r="L248" s="25">
        <f>IFERROR(IF(INDEX('CI&amp;S'!$O$10:$O$15,MATCH($F248,'CI&amp;S'!$B$10:$B$15,0))="","Cell will autofill based on response",INDEX('CI&amp;S'!$O$10:$O$15,MATCH($F248,'CI&amp;S'!$B$10:$B$15,0))),"N/A")</f>
        <v/>
      </c>
      <c r="M248" s="25">
        <f>IFERROR(IF(INDEX('CI&amp;S'!$O$22:$O$39,MATCH($F248,'CI&amp;S'!$B$22:$B$39,0))="","Cell will autofill based on response",INDEX('CI&amp;S'!$O$22:$O$39,MATCH($F248,'CI&amp;S'!$B$22:$B$39,0))),"N/A")</f>
        <v/>
      </c>
      <c r="N248" s="25">
        <f>IFERROR(IF(INDEX('CFOG'!$O$10:$O$16,MATCH($F248,'CFOG'!$B$10:$B$16,0))="","Cell will autofill based on response",INDEX('CFOG'!$O$10:$O$16,MATCH($F248,'CFOG'!$B$10:$B$16,0))),"N/A")</f>
        <v/>
      </c>
      <c r="O248" s="25">
        <f>IFERROR(IF(INDEX('CFOG'!$O$23:$O$24,MATCH($F248,'CFOG'!$B$23:$B$24,0))="","Cell will autofill based on response",INDEX('CFOG'!$O$23:$O$24,MATCH($F248,'CFOG'!$B$23:$B$24,0))),"N/A")</f>
        <v/>
      </c>
      <c r="P248" s="25">
        <f>IFERROR(IF(INDEX('ESG'!$O$10:$O$17,MATCH($F248,'ESG'!$B$10:$B$17,0))="","Cell will autofill based on response",INDEX('ESG'!$O$10:$O$17,MATCH($F248,'ESG'!$B$10:$B$17,0))),"N/A")</f>
        <v/>
      </c>
      <c r="Q248" s="25">
        <f>IFERROR(IF(INDEX('CIOG'!$O$10:$O$14,MATCH($F248,'CIOG'!$B$10:$B$14,0))="","Cell will autofill based on response",INDEX('CIOG'!$O$10:$O$14,MATCH($F248,'CIOG'!$B$10:$B$14,0))),"N/A")</f>
        <v/>
      </c>
      <c r="R248" s="25">
        <f>IFERROR(IF(INDEX('MRE'!$O$10:$O$12,MATCH($F248,'MRE'!$B$10:$B$12,0))="","Cell will autofill based on response",INDEX('MRE'!$O$10:$O$12,MATCH($F248,'MRE'!$B$10:$B$12,0))),"N/A")</f>
        <v/>
      </c>
      <c r="S248" s="25">
        <f>IFERROR(IF(INDEX('L&amp;R'!$O$10:$O$11,MATCH($F248,'L&amp;R'!$B$10:$B$11,0))="","Cell will autofill based on response",INDEX('L&amp;R'!$O$10:$O$11,MATCH($F248,'L&amp;R'!$B$10:$B$11,0))),"N/A")</f>
        <v/>
      </c>
    </row>
    <row r="249">
      <c r="A249">
        <f>F249&amp;"|"&amp;G249</f>
        <v/>
      </c>
      <c r="B249" s="29" t="inlineStr"/>
      <c r="C249" s="8" t="inlineStr"/>
      <c r="D249" s="8" t="inlineStr"/>
      <c r="E249" s="8" t="inlineStr"/>
      <c r="F249" s="8" t="inlineStr">
        <is>
          <t>RP2(a)</t>
        </is>
      </c>
      <c r="G249" s="8" t="inlineStr">
        <is>
          <t>Data source and limitations</t>
        </is>
      </c>
      <c r="H249" s="25">
        <f>IFERROR(IF(INDEX('Faculties'!$P$10:$P$30,MATCH($F249,'Faculties'!$B$10:$B$30,0))="","Cell will autofill based on response",INDEX('Faculties'!$P$10:$P$30,MATCH($F249,'Faculties'!$B$10:$B$30,0))),"N/A")</f>
        <v/>
      </c>
      <c r="I249" s="25">
        <f>IFERROR(IF(INDEX('Faculties'!$P$37:$P$57,MATCH($F249,'Faculties'!$B$37:$B$57,0))="","Cell will autofill based on response",INDEX('Faculties'!$P$37:$P$57,MATCH($F249,'Faculties'!$B$37:$B$57,0))),"N/A")</f>
        <v/>
      </c>
      <c r="J249" s="25">
        <f>IFERROR(IF(INDEX('Faculties'!$P$64:$P$84,MATCH($F249,'Faculties'!$B$64:$B$84,0))="","Cell will autofill based on response",INDEX('Faculties'!$P$64:$P$84,MATCH($F249,'Faculties'!$B$64:$B$84,0))),"N/A")</f>
        <v/>
      </c>
      <c r="K249" s="25">
        <f>IFERROR(IF(INDEX('Faculties'!$P$91:$P$111,MATCH($F249,'Faculties'!$B$91:$B$111,0))="","Cell will autofill based on response",INDEX('Faculties'!$P$91:$P$111,MATCH($F249,'Faculties'!$B$91:$B$111,0))),"N/A")</f>
        <v/>
      </c>
      <c r="L249" s="25">
        <f>IFERROR(IF(INDEX('CI&amp;S'!$P$10:$P$15,MATCH($F249,'CI&amp;S'!$B$10:$B$15,0))="","Cell will autofill based on response",INDEX('CI&amp;S'!$P$10:$P$15,MATCH($F249,'CI&amp;S'!$B$10:$B$15,0))),"N/A")</f>
        <v/>
      </c>
      <c r="M249" s="25">
        <f>IFERROR(IF(INDEX('CI&amp;S'!$P$22:$P$39,MATCH($F249,'CI&amp;S'!$B$22:$B$39,0))="","Cell will autofill based on response",INDEX('CI&amp;S'!$P$22:$P$39,MATCH($F249,'CI&amp;S'!$B$22:$B$39,0))),"N/A")</f>
        <v/>
      </c>
      <c r="N249" s="25">
        <f>IFERROR(IF(INDEX('CFOG'!$P$10:$P$16,MATCH($F249,'CFOG'!$B$10:$B$16,0))="","Cell will autofill based on response",INDEX('CFOG'!$P$10:$P$16,MATCH($F249,'CFOG'!$B$10:$B$16,0))),"N/A")</f>
        <v/>
      </c>
      <c r="O249" s="25">
        <f>IFERROR(IF(INDEX('CFOG'!$P$23:$P$24,MATCH($F249,'CFOG'!$B$23:$B$24,0))="","Cell will autofill based on response",INDEX('CFOG'!$P$23:$P$24,MATCH($F249,'CFOG'!$B$23:$B$24,0))),"N/A")</f>
        <v/>
      </c>
      <c r="P249" s="25">
        <f>IFERROR(IF(INDEX('ESG'!$P$10:$P$17,MATCH($F249,'ESG'!$B$10:$B$17,0))="","Cell will autofill based on response",INDEX('ESG'!$P$10:$P$17,MATCH($F249,'ESG'!$B$10:$B$17,0))),"N/A")</f>
        <v/>
      </c>
      <c r="Q249" s="25">
        <f>IFERROR(IF(INDEX('CIOG'!$P$10:$P$14,MATCH($F249,'CIOG'!$B$10:$B$14,0))="","Cell will autofill based on response",INDEX('CIOG'!$P$10:$P$14,MATCH($F249,'CIOG'!$B$10:$B$14,0))),"N/A")</f>
        <v/>
      </c>
      <c r="R249" s="25">
        <f>IFERROR(IF(INDEX('MRE'!$P$10:$P$12,MATCH($F249,'MRE'!$B$10:$B$12,0))="","Cell will autofill based on response",INDEX('MRE'!$P$10:$P$12,MATCH($F249,'MRE'!$B$10:$B$12,0))),"N/A")</f>
        <v/>
      </c>
      <c r="S249" s="25">
        <f>IFERROR(IF(INDEX('L&amp;R'!$P$10:$P$11,MATCH($F249,'L&amp;R'!$B$10:$B$11,0))="","Cell will autofill based on response",INDEX('L&amp;R'!$P$10:$P$11,MATCH($F249,'L&amp;R'!$B$10:$B$11,0))),"N/A")</f>
        <v/>
      </c>
    </row>
    <row r="250">
      <c r="A250">
        <f>F250&amp;"|"&amp;G250</f>
        <v/>
      </c>
      <c r="B250" s="29" t="inlineStr"/>
      <c r="C250" s="8" t="inlineStr"/>
      <c r="D250" s="8" t="inlineStr"/>
      <c r="E250" s="8" t="inlineStr"/>
      <c r="F250" s="8" t="inlineStr">
        <is>
          <t>RP2(a)</t>
        </is>
      </c>
      <c r="G250" s="8" t="inlineStr">
        <is>
          <t>Data owner confirms</t>
        </is>
      </c>
      <c r="H250" s="25">
        <f>IFERROR(IF(INDEX('Faculties'!$Q$10:$Q$30,MATCH($F250,'Faculties'!$B$10:$B$30,0))="","Cell will autofill based on response",INDEX('Faculties'!$Q$10:$Q$30,MATCH($F250,'Faculties'!$B$10:$B$30,0))),"N/A")</f>
        <v/>
      </c>
      <c r="I250" s="25">
        <f>IFERROR(IF(INDEX('Faculties'!$Q$37:$Q$57,MATCH($F250,'Faculties'!$B$37:$B$57,0))="","Cell will autofill based on response",INDEX('Faculties'!$Q$37:$Q$57,MATCH($F250,'Faculties'!$B$37:$B$57,0))),"N/A")</f>
        <v/>
      </c>
      <c r="J250" s="25">
        <f>IFERROR(IF(INDEX('Faculties'!$Q$64:$Q$84,MATCH($F250,'Faculties'!$B$64:$B$84,0))="","Cell will autofill based on response",INDEX('Faculties'!$Q$64:$Q$84,MATCH($F250,'Faculties'!$B$64:$B$84,0))),"N/A")</f>
        <v/>
      </c>
      <c r="K250" s="25">
        <f>IFERROR(IF(INDEX('Faculties'!$Q$91:$Q$111,MATCH($F250,'Faculties'!$B$91:$B$111,0))="","Cell will autofill based on response",INDEX('Faculties'!$Q$91:$Q$111,MATCH($F250,'Faculties'!$B$91:$B$111,0))),"N/A")</f>
        <v/>
      </c>
      <c r="L250" s="25">
        <f>IFERROR(IF(INDEX('CI&amp;S'!$Q$10:$Q$15,MATCH($F250,'CI&amp;S'!$B$10:$B$15,0))="","Cell will autofill based on response",INDEX('CI&amp;S'!$Q$10:$Q$15,MATCH($F250,'CI&amp;S'!$B$10:$B$15,0))),"N/A")</f>
        <v/>
      </c>
      <c r="M250" s="25">
        <f>IFERROR(IF(INDEX('CI&amp;S'!$Q$22:$Q$39,MATCH($F250,'CI&amp;S'!$B$22:$B$39,0))="","Cell will autofill based on response",INDEX('CI&amp;S'!$Q$22:$Q$39,MATCH($F250,'CI&amp;S'!$B$22:$B$39,0))),"N/A")</f>
        <v/>
      </c>
      <c r="N250" s="25">
        <f>IFERROR(IF(INDEX('CFOG'!$Q$10:$Q$16,MATCH($F250,'CFOG'!$B$10:$B$16,0))="","Cell will autofill based on response",INDEX('CFOG'!$Q$10:$Q$16,MATCH($F250,'CFOG'!$B$10:$B$16,0))),"N/A")</f>
        <v/>
      </c>
      <c r="O250" s="25">
        <f>IFERROR(IF(INDEX('CFOG'!$Q$23:$Q$24,MATCH($F250,'CFOG'!$B$23:$B$24,0))="","Cell will autofill based on response",INDEX('CFOG'!$Q$23:$Q$24,MATCH($F250,'CFOG'!$B$23:$B$24,0))),"N/A")</f>
        <v/>
      </c>
      <c r="P250" s="25">
        <f>IFERROR(IF(INDEX('ESG'!$Q$10:$Q$17,MATCH($F250,'ESG'!$B$10:$B$17,0))="","Cell will autofill based on response",INDEX('ESG'!$Q$10:$Q$17,MATCH($F250,'ESG'!$B$10:$B$17,0))),"N/A")</f>
        <v/>
      </c>
      <c r="Q250" s="25">
        <f>IFERROR(IF(INDEX('CIOG'!$Q$10:$Q$14,MATCH($F250,'CIOG'!$B$10:$B$14,0))="","Cell will autofill based on response",INDEX('CIOG'!$Q$10:$Q$14,MATCH($F250,'CIOG'!$B$10:$B$14,0))),"N/A")</f>
        <v/>
      </c>
      <c r="R250" s="25">
        <f>IFERROR(IF(INDEX('MRE'!$Q$10:$Q$12,MATCH($F250,'MRE'!$B$10:$B$12,0))="","Cell will autofill based on response",INDEX('MRE'!$Q$10:$Q$12,MATCH($F250,'MRE'!$B$10:$B$12,0))),"N/A")</f>
        <v/>
      </c>
      <c r="S250" s="25">
        <f>IFERROR(IF(INDEX('L&amp;R'!$Q$10:$Q$11,MATCH($F250,'L&amp;R'!$B$10:$B$11,0))="","Cell will autofill based on response",INDEX('L&amp;R'!$Q$10:$Q$11,MATCH($F250,'L&amp;R'!$B$10:$B$11,0))),"N/A")</f>
        <v/>
      </c>
    </row>
    <row r="251">
      <c r="A251">
        <f>F251&amp;"|"&amp;G251</f>
        <v/>
      </c>
      <c r="B251" s="7" t="inlineStr">
        <is>
          <t>RP2(b)</t>
        </is>
      </c>
      <c r="C251" s="12" t="inlineStr">
        <is>
          <t>Responsible procurement</t>
        </is>
      </c>
      <c r="D251" s="12" t="inlineStr">
        <is>
          <t>Percentage of social spend of total addressable procurement spend.</t>
        </is>
      </c>
      <c r="E251" s="12" t="inlineStr">
        <is>
          <t>Percentage of social spend of total addressable procurement spend.</t>
        </is>
      </c>
      <c r="F251" s="12" t="inlineStr">
        <is>
          <t>RP2(b)</t>
        </is>
      </c>
      <c r="G251" s="12" t="inlineStr">
        <is>
          <t>Confirm end-2026 target status</t>
        </is>
      </c>
      <c r="H251" s="25">
        <f>IFERROR(IF(INDEX('Faculties'!$L$10:$L$30,MATCH($F251,'Faculties'!$B$10:$B$30,0))="","Cell will autofill based on response",INDEX('Faculties'!$L$10:$L$30,MATCH($F251,'Faculties'!$B$10:$B$30,0))),"N/A")</f>
        <v/>
      </c>
      <c r="I251" s="25">
        <f>IFERROR(IF(INDEX('Faculties'!$L$37:$L$57,MATCH($F251,'Faculties'!$B$37:$B$57,0))="","Cell will autofill based on response",INDEX('Faculties'!$L$37:$L$57,MATCH($F251,'Faculties'!$B$37:$B$57,0))),"N/A")</f>
        <v/>
      </c>
      <c r="J251" s="25">
        <f>IFERROR(IF(INDEX('Faculties'!$L$64:$L$84,MATCH($F251,'Faculties'!$B$64:$B$84,0))="","Cell will autofill based on response",INDEX('Faculties'!$L$64:$L$84,MATCH($F251,'Faculties'!$B$64:$B$84,0))),"N/A")</f>
        <v/>
      </c>
      <c r="K251" s="25">
        <f>IFERROR(IF(INDEX('Faculties'!$L$91:$L$111,MATCH($F251,'Faculties'!$B$91:$B$111,0))="","Cell will autofill based on response",INDEX('Faculties'!$L$91:$L$111,MATCH($F251,'Faculties'!$B$91:$B$111,0))),"N/A")</f>
        <v/>
      </c>
      <c r="L251" s="25">
        <f>IFERROR(IF(INDEX('CI&amp;S'!$L$10:$L$15,MATCH($F251,'CI&amp;S'!$B$10:$B$15,0))="","Cell will autofill based on response",INDEX('CI&amp;S'!$L$10:$L$15,MATCH($F251,'CI&amp;S'!$B$10:$B$15,0))),"N/A")</f>
        <v/>
      </c>
      <c r="M251" s="25">
        <f>IFERROR(IF(INDEX('CI&amp;S'!$L$22:$L$39,MATCH($F251,'CI&amp;S'!$B$22:$B$39,0))="","Cell will autofill based on response",INDEX('CI&amp;S'!$L$22:$L$39,MATCH($F251,'CI&amp;S'!$B$22:$B$39,0))),"N/A")</f>
        <v/>
      </c>
      <c r="N251" s="25">
        <f>IFERROR(IF(INDEX('CFOG'!$L$10:$L$16,MATCH($F251,'CFOG'!$B$10:$B$16,0))="","Cell will autofill based on response",INDEX('CFOG'!$L$10:$L$16,MATCH($F251,'CFOG'!$B$10:$B$16,0))),"N/A")</f>
        <v/>
      </c>
      <c r="O251" s="25">
        <f>IFERROR(IF(INDEX('CFOG'!$L$23:$L$24,MATCH($F251,'CFOG'!$B$23:$B$24,0))="","Cell will autofill based on response",INDEX('CFOG'!$L$23:$L$24,MATCH($F251,'CFOG'!$B$23:$B$24,0))),"N/A")</f>
        <v/>
      </c>
      <c r="P251" s="25">
        <f>IFERROR(IF(INDEX('ESG'!$L$10:$L$17,MATCH($F251,'ESG'!$B$10:$B$17,0))="","Cell will autofill based on response",INDEX('ESG'!$L$10:$L$17,MATCH($F251,'ESG'!$B$10:$B$17,0))),"N/A")</f>
        <v/>
      </c>
      <c r="Q251" s="25">
        <f>IFERROR(IF(INDEX('CIOG'!$L$10:$L$14,MATCH($F251,'CIOG'!$B$10:$B$14,0))="","Cell will autofill based on response",INDEX('CIOG'!$L$10:$L$14,MATCH($F251,'CIOG'!$B$10:$B$14,0))),"N/A")</f>
        <v/>
      </c>
      <c r="R251" s="25">
        <f>IFERROR(IF(INDEX('MRE'!$L$10:$L$12,MATCH($F251,'MRE'!$B$10:$B$12,0))="","Cell will autofill based on response",INDEX('MRE'!$L$10:$L$12,MATCH($F251,'MRE'!$B$10:$B$12,0))),"N/A")</f>
        <v/>
      </c>
      <c r="S251" s="25">
        <f>IFERROR(IF(INDEX('L&amp;R'!$L$10:$L$11,MATCH($F251,'L&amp;R'!$B$10:$B$11,0))="","Cell will autofill based on response",INDEX('L&amp;R'!$L$10:$L$11,MATCH($F251,'L&amp;R'!$B$10:$B$11,0))),"N/A")</f>
        <v/>
      </c>
      <c r="U251" s="26">
        <f>COUNTIF($H251:$S251,"Cell will autofill based on response")</f>
        <v/>
      </c>
      <c r="V251" s="26">
        <f>COUNTIF($H251:$S251,"Not yet started")</f>
        <v/>
      </c>
      <c r="W251" s="26">
        <f>COUNTIF($H251:$S251,"Not met")</f>
        <v/>
      </c>
      <c r="X251" s="26">
        <f>COUNTIF($H251:$S251,"Partially met")</f>
        <v/>
      </c>
      <c r="Y251" s="26">
        <f>COUNTIF($H251:$S251,"Met or exceeded")</f>
        <v/>
      </c>
      <c r="Z251" s="26">
        <f>3*Y251+2*X251+W251</f>
        <v/>
      </c>
      <c r="AA251" s="26">
        <f>Y251+X251+W251+V251</f>
        <v/>
      </c>
      <c r="AB251" s="27">
        <f>IF(AA251&gt;0,Z251/AA251,"No valid responses to date")</f>
        <v/>
      </c>
      <c r="AC251" s="26">
        <f>IF(ISNUMBER(AB251),INDEX(Lists!$G$2:$G$5,MATCH(ROUND(AB251,0),Lists!$H$2:$H$5,0)),"")</f>
        <v/>
      </c>
      <c r="AD251" s="28">
        <f>IF(AA251&gt;0,Y251/AA251,"")</f>
        <v/>
      </c>
      <c r="AE251" s="28">
        <f>IF(AA251&gt;0,(Y251+X251)/AA251,"")</f>
        <v/>
      </c>
      <c r="AF251" s="26">
        <f>IF(AA251=0,"",IF(AD251&gt;0.75,"Met or exceeded",IF(AE251&gt;=0.5,"Partially met","Not met")))</f>
        <v/>
      </c>
    </row>
    <row r="252">
      <c r="A252">
        <f>F252&amp;"|"&amp;G252</f>
        <v/>
      </c>
      <c r="B252" s="29" t="inlineStr"/>
      <c r="C252" s="8" t="inlineStr"/>
      <c r="D252" s="8" t="inlineStr"/>
      <c r="E252" s="8" t="inlineStr"/>
      <c r="F252" s="8" t="inlineStr">
        <is>
          <t>RP2(b)</t>
        </is>
      </c>
      <c r="G252" s="8" t="inlineStr">
        <is>
          <t>OPTION 1:  Target-level reporting</t>
        </is>
      </c>
      <c r="H252" s="25">
        <f>IFERROR(IF(INDEX('Faculties'!$M$10:$M$30,MATCH($F252,'Faculties'!$B$10:$B$30,0))="","Cell will autofill based on response",INDEX('Faculties'!$M$10:$M$30,MATCH($F252,'Faculties'!$B$10:$B$30,0))),"N/A")</f>
        <v/>
      </c>
      <c r="I252" s="25">
        <f>IFERROR(IF(INDEX('Faculties'!$M$37:$M$57,MATCH($F252,'Faculties'!$B$37:$B$57,0))="","Cell will autofill based on response",INDEX('Faculties'!$M$37:$M$57,MATCH($F252,'Faculties'!$B$37:$B$57,0))),"N/A")</f>
        <v/>
      </c>
      <c r="J252" s="25">
        <f>IFERROR(IF(INDEX('Faculties'!$M$64:$M$84,MATCH($F252,'Faculties'!$B$64:$B$84,0))="","Cell will autofill based on response",INDEX('Faculties'!$M$64:$M$84,MATCH($F252,'Faculties'!$B$64:$B$84,0))),"N/A")</f>
        <v/>
      </c>
      <c r="K252" s="25">
        <f>IFERROR(IF(INDEX('Faculties'!$M$91:$M$111,MATCH($F252,'Faculties'!$B$91:$B$111,0))="","Cell will autofill based on response",INDEX('Faculties'!$M$91:$M$111,MATCH($F252,'Faculties'!$B$91:$B$111,0))),"N/A")</f>
        <v/>
      </c>
      <c r="L252" s="25">
        <f>IFERROR(IF(INDEX('CI&amp;S'!$M$10:$M$15,MATCH($F252,'CI&amp;S'!$B$10:$B$15,0))="","Cell will autofill based on response",INDEX('CI&amp;S'!$M$10:$M$15,MATCH($F252,'CI&amp;S'!$B$10:$B$15,0))),"N/A")</f>
        <v/>
      </c>
      <c r="M252" s="25">
        <f>IFERROR(IF(INDEX('CI&amp;S'!$M$22:$M$39,MATCH($F252,'CI&amp;S'!$B$22:$B$39,0))="","Cell will autofill based on response",INDEX('CI&amp;S'!$M$22:$M$39,MATCH($F252,'CI&amp;S'!$B$22:$B$39,0))),"N/A")</f>
        <v/>
      </c>
      <c r="N252" s="25">
        <f>IFERROR(IF(INDEX('CFOG'!$M$10:$M$16,MATCH($F252,'CFOG'!$B$10:$B$16,0))="","Cell will autofill based on response",INDEX('CFOG'!$M$10:$M$16,MATCH($F252,'CFOG'!$B$10:$B$16,0))),"N/A")</f>
        <v/>
      </c>
      <c r="O252" s="25">
        <f>IFERROR(IF(INDEX('CFOG'!$M$23:$M$24,MATCH($F252,'CFOG'!$B$23:$B$24,0))="","Cell will autofill based on response",INDEX('CFOG'!$M$23:$M$24,MATCH($F252,'CFOG'!$B$23:$B$24,0))),"N/A")</f>
        <v/>
      </c>
      <c r="P252" s="25">
        <f>IFERROR(IF(INDEX('ESG'!$M$10:$M$17,MATCH($F252,'ESG'!$B$10:$B$17,0))="","Cell will autofill based on response",INDEX('ESG'!$M$10:$M$17,MATCH($F252,'ESG'!$B$10:$B$17,0))),"N/A")</f>
        <v/>
      </c>
      <c r="Q252" s="25">
        <f>IFERROR(IF(INDEX('CIOG'!$M$10:$M$14,MATCH($F252,'CIOG'!$B$10:$B$14,0))="","Cell will autofill based on response",INDEX('CIOG'!$M$10:$M$14,MATCH($F252,'CIOG'!$B$10:$B$14,0))),"N/A")</f>
        <v/>
      </c>
      <c r="R252" s="25">
        <f>IFERROR(IF(INDEX('MRE'!$M$10:$M$12,MATCH($F252,'MRE'!$B$10:$B$12,0))="","Cell will autofill based on response",INDEX('MRE'!$M$10:$M$12,MATCH($F252,'MRE'!$B$10:$B$12,0))),"N/A")</f>
        <v/>
      </c>
      <c r="S252" s="25">
        <f>IFERROR(IF(INDEX('L&amp;R'!$M$10:$M$11,MATCH($F252,'L&amp;R'!$B$10:$B$11,0))="","Cell will autofill based on response",INDEX('L&amp;R'!$M$10:$M$11,MATCH($F252,'L&amp;R'!$B$10:$B$11,0))),"N/A")</f>
        <v/>
      </c>
    </row>
    <row r="253">
      <c r="A253">
        <f>F253&amp;"|"&amp;G253</f>
        <v/>
      </c>
      <c r="B253" s="29" t="inlineStr"/>
      <c r="C253" s="8" t="inlineStr"/>
      <c r="D253" s="8" t="inlineStr"/>
      <c r="E253" s="8" t="inlineStr"/>
      <c r="F253" s="8" t="inlineStr">
        <is>
          <t>RP2(b)</t>
        </is>
      </c>
      <c r="G253" s="8" t="inlineStr">
        <is>
          <t>OPTION 2:  Indicator level reporting</t>
        </is>
      </c>
      <c r="H253" s="25">
        <f>IFERROR(IF(INDEX('Faculties'!$N$10:$N$30,MATCH($F253,'Faculties'!$B$10:$B$30,0))="","Cell will autofill based on response",INDEX('Faculties'!$N$10:$N$30,MATCH($F253,'Faculties'!$B$10:$B$30,0))),"N/A")</f>
        <v/>
      </c>
      <c r="I253" s="25">
        <f>IFERROR(IF(INDEX('Faculties'!$N$37:$N$57,MATCH($F253,'Faculties'!$B$37:$B$57,0))="","Cell will autofill based on response",INDEX('Faculties'!$N$37:$N$57,MATCH($F253,'Faculties'!$B$37:$B$57,0))),"N/A")</f>
        <v/>
      </c>
      <c r="J253" s="25">
        <f>IFERROR(IF(INDEX('Faculties'!$N$64:$N$84,MATCH($F253,'Faculties'!$B$64:$B$84,0))="","Cell will autofill based on response",INDEX('Faculties'!$N$64:$N$84,MATCH($F253,'Faculties'!$B$64:$B$84,0))),"N/A")</f>
        <v/>
      </c>
      <c r="K253" s="25">
        <f>IFERROR(IF(INDEX('Faculties'!$N$91:$N$111,MATCH($F253,'Faculties'!$B$91:$B$111,0))="","Cell will autofill based on response",INDEX('Faculties'!$N$91:$N$111,MATCH($F253,'Faculties'!$B$91:$B$111,0))),"N/A")</f>
        <v/>
      </c>
      <c r="L253" s="25">
        <f>IFERROR(IF(INDEX('CI&amp;S'!$N$10:$N$15,MATCH($F253,'CI&amp;S'!$B$10:$B$15,0))="","Cell will autofill based on response",INDEX('CI&amp;S'!$N$10:$N$15,MATCH($F253,'CI&amp;S'!$B$10:$B$15,0))),"N/A")</f>
        <v/>
      </c>
      <c r="M253" s="25">
        <f>IFERROR(IF(INDEX('CI&amp;S'!$N$22:$N$39,MATCH($F253,'CI&amp;S'!$B$22:$B$39,0))="","Cell will autofill based on response",INDEX('CI&amp;S'!$N$22:$N$39,MATCH($F253,'CI&amp;S'!$B$22:$B$39,0))),"N/A")</f>
        <v/>
      </c>
      <c r="N253" s="25">
        <f>IFERROR(IF(INDEX('CFOG'!$N$10:$N$16,MATCH($F253,'CFOG'!$B$10:$B$16,0))="","Cell will autofill based on response",INDEX('CFOG'!$N$10:$N$16,MATCH($F253,'CFOG'!$B$10:$B$16,0))),"N/A")</f>
        <v/>
      </c>
      <c r="O253" s="25">
        <f>IFERROR(IF(INDEX('CFOG'!$N$23:$N$24,MATCH($F253,'CFOG'!$B$23:$B$24,0))="","Cell will autofill based on response",INDEX('CFOG'!$N$23:$N$24,MATCH($F253,'CFOG'!$B$23:$B$24,0))),"N/A")</f>
        <v/>
      </c>
      <c r="P253" s="25">
        <f>IFERROR(IF(INDEX('ESG'!$N$10:$N$17,MATCH($F253,'ESG'!$B$10:$B$17,0))="","Cell will autofill based on response",INDEX('ESG'!$N$10:$N$17,MATCH($F253,'ESG'!$B$10:$B$17,0))),"N/A")</f>
        <v/>
      </c>
      <c r="Q253" s="25">
        <f>IFERROR(IF(INDEX('CIOG'!$N$10:$N$14,MATCH($F253,'CIOG'!$B$10:$B$14,0))="","Cell will autofill based on response",INDEX('CIOG'!$N$10:$N$14,MATCH($F253,'CIOG'!$B$10:$B$14,0))),"N/A")</f>
        <v/>
      </c>
      <c r="R253" s="25">
        <f>IFERROR(IF(INDEX('MRE'!$N$10:$N$12,MATCH($F253,'MRE'!$B$10:$B$12,0))="","Cell will autofill based on response",INDEX('MRE'!$N$10:$N$12,MATCH($F253,'MRE'!$B$10:$B$12,0))),"N/A")</f>
        <v/>
      </c>
      <c r="S253" s="25">
        <f>IFERROR(IF(INDEX('L&amp;R'!$N$10:$N$11,MATCH($F253,'L&amp;R'!$B$10:$B$11,0))="","Cell will autofill based on response",INDEX('L&amp;R'!$N$10:$N$11,MATCH($F253,'L&amp;R'!$B$10:$B$11,0))),"N/A")</f>
        <v/>
      </c>
    </row>
    <row r="254">
      <c r="A254">
        <f>F254&amp;"|"&amp;G254</f>
        <v/>
      </c>
      <c r="B254" s="29" t="inlineStr"/>
      <c r="C254" s="8" t="inlineStr"/>
      <c r="D254" s="8" t="inlineStr"/>
      <c r="E254" s="8" t="inlineStr"/>
      <c r="F254" s="8" t="inlineStr">
        <is>
          <t>RP2(b)</t>
        </is>
      </c>
      <c r="G254" s="8" t="inlineStr">
        <is>
          <t>Supporting information/comments</t>
        </is>
      </c>
      <c r="H254" s="25">
        <f>IFERROR(IF(INDEX('Faculties'!$O$10:$O$30,MATCH($F254,'Faculties'!$B$10:$B$30,0))="","Cell will autofill based on response",INDEX('Faculties'!$O$10:$O$30,MATCH($F254,'Faculties'!$B$10:$B$30,0))),"N/A")</f>
        <v/>
      </c>
      <c r="I254" s="25">
        <f>IFERROR(IF(INDEX('Faculties'!$O$37:$O$57,MATCH($F254,'Faculties'!$B$37:$B$57,0))="","Cell will autofill based on response",INDEX('Faculties'!$O$37:$O$57,MATCH($F254,'Faculties'!$B$37:$B$57,0))),"N/A")</f>
        <v/>
      </c>
      <c r="J254" s="25">
        <f>IFERROR(IF(INDEX('Faculties'!$O$64:$O$84,MATCH($F254,'Faculties'!$B$64:$B$84,0))="","Cell will autofill based on response",INDEX('Faculties'!$O$64:$O$84,MATCH($F254,'Faculties'!$B$64:$B$84,0))),"N/A")</f>
        <v/>
      </c>
      <c r="K254" s="25">
        <f>IFERROR(IF(INDEX('Faculties'!$O$91:$O$111,MATCH($F254,'Faculties'!$B$91:$B$111,0))="","Cell will autofill based on response",INDEX('Faculties'!$O$91:$O$111,MATCH($F254,'Faculties'!$B$91:$B$111,0))),"N/A")</f>
        <v/>
      </c>
      <c r="L254" s="25">
        <f>IFERROR(IF(INDEX('CI&amp;S'!$O$10:$O$15,MATCH($F254,'CI&amp;S'!$B$10:$B$15,0))="","Cell will autofill based on response",INDEX('CI&amp;S'!$O$10:$O$15,MATCH($F254,'CI&amp;S'!$B$10:$B$15,0))),"N/A")</f>
        <v/>
      </c>
      <c r="M254" s="25">
        <f>IFERROR(IF(INDEX('CI&amp;S'!$O$22:$O$39,MATCH($F254,'CI&amp;S'!$B$22:$B$39,0))="","Cell will autofill based on response",INDEX('CI&amp;S'!$O$22:$O$39,MATCH($F254,'CI&amp;S'!$B$22:$B$39,0))),"N/A")</f>
        <v/>
      </c>
      <c r="N254" s="25">
        <f>IFERROR(IF(INDEX('CFOG'!$O$10:$O$16,MATCH($F254,'CFOG'!$B$10:$B$16,0))="","Cell will autofill based on response",INDEX('CFOG'!$O$10:$O$16,MATCH($F254,'CFOG'!$B$10:$B$16,0))),"N/A")</f>
        <v/>
      </c>
      <c r="O254" s="25">
        <f>IFERROR(IF(INDEX('CFOG'!$O$23:$O$24,MATCH($F254,'CFOG'!$B$23:$B$24,0))="","Cell will autofill based on response",INDEX('CFOG'!$O$23:$O$24,MATCH($F254,'CFOG'!$B$23:$B$24,0))),"N/A")</f>
        <v/>
      </c>
      <c r="P254" s="25">
        <f>IFERROR(IF(INDEX('ESG'!$O$10:$O$17,MATCH($F254,'ESG'!$B$10:$B$17,0))="","Cell will autofill based on response",INDEX('ESG'!$O$10:$O$17,MATCH($F254,'ESG'!$B$10:$B$17,0))),"N/A")</f>
        <v/>
      </c>
      <c r="Q254" s="25">
        <f>IFERROR(IF(INDEX('CIOG'!$O$10:$O$14,MATCH($F254,'CIOG'!$B$10:$B$14,0))="","Cell will autofill based on response",INDEX('CIOG'!$O$10:$O$14,MATCH($F254,'CIOG'!$B$10:$B$14,0))),"N/A")</f>
        <v/>
      </c>
      <c r="R254" s="25">
        <f>IFERROR(IF(INDEX('MRE'!$O$10:$O$12,MATCH($F254,'MRE'!$B$10:$B$12,0))="","Cell will autofill based on response",INDEX('MRE'!$O$10:$O$12,MATCH($F254,'MRE'!$B$10:$B$12,0))),"N/A")</f>
        <v/>
      </c>
      <c r="S254" s="25">
        <f>IFERROR(IF(INDEX('L&amp;R'!$O$10:$O$11,MATCH($F254,'L&amp;R'!$B$10:$B$11,0))="","Cell will autofill based on response",INDEX('L&amp;R'!$O$10:$O$11,MATCH($F254,'L&amp;R'!$B$10:$B$11,0))),"N/A")</f>
        <v/>
      </c>
    </row>
    <row r="255">
      <c r="A255">
        <f>F255&amp;"|"&amp;G255</f>
        <v/>
      </c>
      <c r="B255" s="29" t="inlineStr"/>
      <c r="C255" s="8" t="inlineStr"/>
      <c r="D255" s="8" t="inlineStr"/>
      <c r="E255" s="8" t="inlineStr"/>
      <c r="F255" s="8" t="inlineStr">
        <is>
          <t>RP2(b)</t>
        </is>
      </c>
      <c r="G255" s="8" t="inlineStr">
        <is>
          <t>Data source and limitations</t>
        </is>
      </c>
      <c r="H255" s="25">
        <f>IFERROR(IF(INDEX('Faculties'!$P$10:$P$30,MATCH($F255,'Faculties'!$B$10:$B$30,0))="","Cell will autofill based on response",INDEX('Faculties'!$P$10:$P$30,MATCH($F255,'Faculties'!$B$10:$B$30,0))),"N/A")</f>
        <v/>
      </c>
      <c r="I255" s="25">
        <f>IFERROR(IF(INDEX('Faculties'!$P$37:$P$57,MATCH($F255,'Faculties'!$B$37:$B$57,0))="","Cell will autofill based on response",INDEX('Faculties'!$P$37:$P$57,MATCH($F255,'Faculties'!$B$37:$B$57,0))),"N/A")</f>
        <v/>
      </c>
      <c r="J255" s="25">
        <f>IFERROR(IF(INDEX('Faculties'!$P$64:$P$84,MATCH($F255,'Faculties'!$B$64:$B$84,0))="","Cell will autofill based on response",INDEX('Faculties'!$P$64:$P$84,MATCH($F255,'Faculties'!$B$64:$B$84,0))),"N/A")</f>
        <v/>
      </c>
      <c r="K255" s="25">
        <f>IFERROR(IF(INDEX('Faculties'!$P$91:$P$111,MATCH($F255,'Faculties'!$B$91:$B$111,0))="","Cell will autofill based on response",INDEX('Faculties'!$P$91:$P$111,MATCH($F255,'Faculties'!$B$91:$B$111,0))),"N/A")</f>
        <v/>
      </c>
      <c r="L255" s="25">
        <f>IFERROR(IF(INDEX('CI&amp;S'!$P$10:$P$15,MATCH($F255,'CI&amp;S'!$B$10:$B$15,0))="","Cell will autofill based on response",INDEX('CI&amp;S'!$P$10:$P$15,MATCH($F255,'CI&amp;S'!$B$10:$B$15,0))),"N/A")</f>
        <v/>
      </c>
      <c r="M255" s="25">
        <f>IFERROR(IF(INDEX('CI&amp;S'!$P$22:$P$39,MATCH($F255,'CI&amp;S'!$B$22:$B$39,0))="","Cell will autofill based on response",INDEX('CI&amp;S'!$P$22:$P$39,MATCH($F255,'CI&amp;S'!$B$22:$B$39,0))),"N/A")</f>
        <v/>
      </c>
      <c r="N255" s="25">
        <f>IFERROR(IF(INDEX('CFOG'!$P$10:$P$16,MATCH($F255,'CFOG'!$B$10:$B$16,0))="","Cell will autofill based on response",INDEX('CFOG'!$P$10:$P$16,MATCH($F255,'CFOG'!$B$10:$B$16,0))),"N/A")</f>
        <v/>
      </c>
      <c r="O255" s="25">
        <f>IFERROR(IF(INDEX('CFOG'!$P$23:$P$24,MATCH($F255,'CFOG'!$B$23:$B$24,0))="","Cell will autofill based on response",INDEX('CFOG'!$P$23:$P$24,MATCH($F255,'CFOG'!$B$23:$B$24,0))),"N/A")</f>
        <v/>
      </c>
      <c r="P255" s="25">
        <f>IFERROR(IF(INDEX('ESG'!$P$10:$P$17,MATCH($F255,'ESG'!$B$10:$B$17,0))="","Cell will autofill based on response",INDEX('ESG'!$P$10:$P$17,MATCH($F255,'ESG'!$B$10:$B$17,0))),"N/A")</f>
        <v/>
      </c>
      <c r="Q255" s="25">
        <f>IFERROR(IF(INDEX('CIOG'!$P$10:$P$14,MATCH($F255,'CIOG'!$B$10:$B$14,0))="","Cell will autofill based on response",INDEX('CIOG'!$P$10:$P$14,MATCH($F255,'CIOG'!$B$10:$B$14,0))),"N/A")</f>
        <v/>
      </c>
      <c r="R255" s="25">
        <f>IFERROR(IF(INDEX('MRE'!$P$10:$P$12,MATCH($F255,'MRE'!$B$10:$B$12,0))="","Cell will autofill based on response",INDEX('MRE'!$P$10:$P$12,MATCH($F255,'MRE'!$B$10:$B$12,0))),"N/A")</f>
        <v/>
      </c>
      <c r="S255" s="25">
        <f>IFERROR(IF(INDEX('L&amp;R'!$P$10:$P$11,MATCH($F255,'L&amp;R'!$B$10:$B$11,0))="","Cell will autofill based on response",INDEX('L&amp;R'!$P$10:$P$11,MATCH($F255,'L&amp;R'!$B$10:$B$11,0))),"N/A")</f>
        <v/>
      </c>
    </row>
    <row r="256">
      <c r="A256">
        <f>F256&amp;"|"&amp;G256</f>
        <v/>
      </c>
      <c r="B256" s="29" t="inlineStr"/>
      <c r="C256" s="8" t="inlineStr"/>
      <c r="D256" s="8" t="inlineStr"/>
      <c r="E256" s="8" t="inlineStr"/>
      <c r="F256" s="8" t="inlineStr">
        <is>
          <t>RP2(b)</t>
        </is>
      </c>
      <c r="G256" s="8" t="inlineStr">
        <is>
          <t>Data owner confirms</t>
        </is>
      </c>
      <c r="H256" s="25">
        <f>IFERROR(IF(INDEX('Faculties'!$Q$10:$Q$30,MATCH($F256,'Faculties'!$B$10:$B$30,0))="","Cell will autofill based on response",INDEX('Faculties'!$Q$10:$Q$30,MATCH($F256,'Faculties'!$B$10:$B$30,0))),"N/A")</f>
        <v/>
      </c>
      <c r="I256" s="25">
        <f>IFERROR(IF(INDEX('Faculties'!$Q$37:$Q$57,MATCH($F256,'Faculties'!$B$37:$B$57,0))="","Cell will autofill based on response",INDEX('Faculties'!$Q$37:$Q$57,MATCH($F256,'Faculties'!$B$37:$B$57,0))),"N/A")</f>
        <v/>
      </c>
      <c r="J256" s="25">
        <f>IFERROR(IF(INDEX('Faculties'!$Q$64:$Q$84,MATCH($F256,'Faculties'!$B$64:$B$84,0))="","Cell will autofill based on response",INDEX('Faculties'!$Q$64:$Q$84,MATCH($F256,'Faculties'!$B$64:$B$84,0))),"N/A")</f>
        <v/>
      </c>
      <c r="K256" s="25">
        <f>IFERROR(IF(INDEX('Faculties'!$Q$91:$Q$111,MATCH($F256,'Faculties'!$B$91:$B$111,0))="","Cell will autofill based on response",INDEX('Faculties'!$Q$91:$Q$111,MATCH($F256,'Faculties'!$B$91:$B$111,0))),"N/A")</f>
        <v/>
      </c>
      <c r="L256" s="25">
        <f>IFERROR(IF(INDEX('CI&amp;S'!$Q$10:$Q$15,MATCH($F256,'CI&amp;S'!$B$10:$B$15,0))="","Cell will autofill based on response",INDEX('CI&amp;S'!$Q$10:$Q$15,MATCH($F256,'CI&amp;S'!$B$10:$B$15,0))),"N/A")</f>
        <v/>
      </c>
      <c r="M256" s="25">
        <f>IFERROR(IF(INDEX('CI&amp;S'!$Q$22:$Q$39,MATCH($F256,'CI&amp;S'!$B$22:$B$39,0))="","Cell will autofill based on response",INDEX('CI&amp;S'!$Q$22:$Q$39,MATCH($F256,'CI&amp;S'!$B$22:$B$39,0))),"N/A")</f>
        <v/>
      </c>
      <c r="N256" s="25">
        <f>IFERROR(IF(INDEX('CFOG'!$Q$10:$Q$16,MATCH($F256,'CFOG'!$B$10:$B$16,0))="","Cell will autofill based on response",INDEX('CFOG'!$Q$10:$Q$16,MATCH($F256,'CFOG'!$B$10:$B$16,0))),"N/A")</f>
        <v/>
      </c>
      <c r="O256" s="25">
        <f>IFERROR(IF(INDEX('CFOG'!$Q$23:$Q$24,MATCH($F256,'CFOG'!$B$23:$B$24,0))="","Cell will autofill based on response",INDEX('CFOG'!$Q$23:$Q$24,MATCH($F256,'CFOG'!$B$23:$B$24,0))),"N/A")</f>
        <v/>
      </c>
      <c r="P256" s="25">
        <f>IFERROR(IF(INDEX('ESG'!$Q$10:$Q$17,MATCH($F256,'ESG'!$B$10:$B$17,0))="","Cell will autofill based on response",INDEX('ESG'!$Q$10:$Q$17,MATCH($F256,'ESG'!$B$10:$B$17,0))),"N/A")</f>
        <v/>
      </c>
      <c r="Q256" s="25">
        <f>IFERROR(IF(INDEX('CIOG'!$Q$10:$Q$14,MATCH($F256,'CIOG'!$B$10:$B$14,0))="","Cell will autofill based on response",INDEX('CIOG'!$Q$10:$Q$14,MATCH($F256,'CIOG'!$B$10:$B$14,0))),"N/A")</f>
        <v/>
      </c>
      <c r="R256" s="25">
        <f>IFERROR(IF(INDEX('MRE'!$Q$10:$Q$12,MATCH($F256,'MRE'!$B$10:$B$12,0))="","Cell will autofill based on response",INDEX('MRE'!$Q$10:$Q$12,MATCH($F256,'MRE'!$B$10:$B$12,0))),"N/A")</f>
        <v/>
      </c>
      <c r="S256" s="25">
        <f>IFERROR(IF(INDEX('L&amp;R'!$Q$10:$Q$11,MATCH($F256,'L&amp;R'!$B$10:$B$11,0))="","Cell will autofill based on response",INDEX('L&amp;R'!$Q$10:$Q$11,MATCH($F256,'L&amp;R'!$B$10:$B$11,0))),"N/A")</f>
        <v/>
      </c>
    </row>
    <row r="257">
      <c r="A257">
        <f>F257&amp;"|"&amp;G257</f>
        <v/>
      </c>
      <c r="B257" s="7" t="inlineStr">
        <is>
          <t>MS1(a)</t>
        </is>
      </c>
      <c r="C257" s="12" t="inlineStr">
        <is>
          <t>Modern slavery and human rights</t>
        </is>
      </c>
      <c r="D257" s="12" t="inlineStr">
        <is>
          <t>Annual progress reporting via the Modern Slavery Statement</t>
        </is>
      </c>
      <c r="E257" s="12" t="inlineStr">
        <is>
          <t>Annual Modern Slavery Statement, with case studies</t>
        </is>
      </c>
      <c r="F257" s="12" t="inlineStr">
        <is>
          <t>MS1(a)</t>
        </is>
      </c>
      <c r="G257" s="12" t="inlineStr">
        <is>
          <t>Confirm end-2026 target status</t>
        </is>
      </c>
      <c r="H257" s="25">
        <f>IFERROR(IF(INDEX('Faculties'!$L$10:$L$30,MATCH($F257,'Faculties'!$B$10:$B$30,0))="","Cell will autofill based on response",INDEX('Faculties'!$L$10:$L$30,MATCH($F257,'Faculties'!$B$10:$B$30,0))),"N/A")</f>
        <v/>
      </c>
      <c r="I257" s="25">
        <f>IFERROR(IF(INDEX('Faculties'!$L$37:$L$57,MATCH($F257,'Faculties'!$B$37:$B$57,0))="","Cell will autofill based on response",INDEX('Faculties'!$L$37:$L$57,MATCH($F257,'Faculties'!$B$37:$B$57,0))),"N/A")</f>
        <v/>
      </c>
      <c r="J257" s="25">
        <f>IFERROR(IF(INDEX('Faculties'!$L$64:$L$84,MATCH($F257,'Faculties'!$B$64:$B$84,0))="","Cell will autofill based on response",INDEX('Faculties'!$L$64:$L$84,MATCH($F257,'Faculties'!$B$64:$B$84,0))),"N/A")</f>
        <v/>
      </c>
      <c r="K257" s="25">
        <f>IFERROR(IF(INDEX('Faculties'!$L$91:$L$111,MATCH($F257,'Faculties'!$B$91:$B$111,0))="","Cell will autofill based on response",INDEX('Faculties'!$L$91:$L$111,MATCH($F257,'Faculties'!$B$91:$B$111,0))),"N/A")</f>
        <v/>
      </c>
      <c r="L257" s="25">
        <f>IFERROR(IF(INDEX('CI&amp;S'!$L$10:$L$15,MATCH($F257,'CI&amp;S'!$B$10:$B$15,0))="","Cell will autofill based on response",INDEX('CI&amp;S'!$L$10:$L$15,MATCH($F257,'CI&amp;S'!$B$10:$B$15,0))),"N/A")</f>
        <v/>
      </c>
      <c r="M257" s="25">
        <f>IFERROR(IF(INDEX('CI&amp;S'!$L$22:$L$39,MATCH($F257,'CI&amp;S'!$B$22:$B$39,0))="","Cell will autofill based on response",INDEX('CI&amp;S'!$L$22:$L$39,MATCH($F257,'CI&amp;S'!$B$22:$B$39,0))),"N/A")</f>
        <v/>
      </c>
      <c r="N257" s="25">
        <f>IFERROR(IF(INDEX('CFOG'!$L$10:$L$16,MATCH($F257,'CFOG'!$B$10:$B$16,0))="","Cell will autofill based on response",INDEX('CFOG'!$L$10:$L$16,MATCH($F257,'CFOG'!$B$10:$B$16,0))),"N/A")</f>
        <v/>
      </c>
      <c r="O257" s="25">
        <f>IFERROR(IF(INDEX('CFOG'!$L$23:$L$24,MATCH($F257,'CFOG'!$B$23:$B$24,0))="","Cell will autofill based on response",INDEX('CFOG'!$L$23:$L$24,MATCH($F257,'CFOG'!$B$23:$B$24,0))),"N/A")</f>
        <v/>
      </c>
      <c r="P257" s="25">
        <f>IFERROR(IF(INDEX('ESG'!$L$10:$L$17,MATCH($F257,'ESG'!$B$10:$B$17,0))="","Cell will autofill based on response",INDEX('ESG'!$L$10:$L$17,MATCH($F257,'ESG'!$B$10:$B$17,0))),"N/A")</f>
        <v/>
      </c>
      <c r="Q257" s="25">
        <f>IFERROR(IF(INDEX('CIOG'!$L$10:$L$14,MATCH($F257,'CIOG'!$B$10:$B$14,0))="","Cell will autofill based on response",INDEX('CIOG'!$L$10:$L$14,MATCH($F257,'CIOG'!$B$10:$B$14,0))),"N/A")</f>
        <v/>
      </c>
      <c r="R257" s="25">
        <f>IFERROR(IF(INDEX('MRE'!$L$10:$L$12,MATCH($F257,'MRE'!$B$10:$B$12,0))="","Cell will autofill based on response",INDEX('MRE'!$L$10:$L$12,MATCH($F257,'MRE'!$B$10:$B$12,0))),"N/A")</f>
        <v/>
      </c>
      <c r="S257" s="25">
        <f>IFERROR(IF(INDEX('L&amp;R'!$L$10:$L$11,MATCH($F257,'L&amp;R'!$B$10:$B$11,0))="","Cell will autofill based on response",INDEX('L&amp;R'!$L$10:$L$11,MATCH($F257,'L&amp;R'!$B$10:$B$11,0))),"N/A")</f>
        <v/>
      </c>
      <c r="U257" s="26">
        <f>COUNTIF($H257:$S257,"Cell will autofill based on response")</f>
        <v/>
      </c>
      <c r="V257" s="26">
        <f>COUNTIF($H257:$S257,"Not yet started")</f>
        <v/>
      </c>
      <c r="W257" s="26">
        <f>COUNTIF($H257:$S257,"Not met")</f>
        <v/>
      </c>
      <c r="X257" s="26">
        <f>COUNTIF($H257:$S257,"Partially met")</f>
        <v/>
      </c>
      <c r="Y257" s="26">
        <f>COUNTIF($H257:$S257,"Met or exceeded")</f>
        <v/>
      </c>
      <c r="Z257" s="26">
        <f>3*Y257+2*X257+W257</f>
        <v/>
      </c>
      <c r="AA257" s="26">
        <f>Y257+X257+W257+V257</f>
        <v/>
      </c>
      <c r="AB257" s="27">
        <f>IF(AA257&gt;0,Z257/AA257,"No valid responses to date")</f>
        <v/>
      </c>
      <c r="AC257" s="26">
        <f>IF(ISNUMBER(AB257),INDEX(Lists!$G$2:$G$5,MATCH(ROUND(AB257,0),Lists!$H$2:$H$5,0)),"")</f>
        <v/>
      </c>
      <c r="AD257" s="28">
        <f>IF(AA257&gt;0,Y257/AA257,"")</f>
        <v/>
      </c>
      <c r="AE257" s="28">
        <f>IF(AA257&gt;0,(Y257+X257)/AA257,"")</f>
        <v/>
      </c>
      <c r="AF257" s="26">
        <f>IF(AA257=0,"",IF(AD257&gt;0.75,"Met or exceeded",IF(AE257&gt;=0.5,"Partially met","Not met")))</f>
        <v/>
      </c>
    </row>
    <row r="258">
      <c r="A258">
        <f>F258&amp;"|"&amp;G258</f>
        <v/>
      </c>
      <c r="B258" s="29" t="inlineStr"/>
      <c r="C258" s="8" t="inlineStr"/>
      <c r="D258" s="8" t="inlineStr"/>
      <c r="E258" s="8" t="inlineStr"/>
      <c r="F258" s="8" t="inlineStr">
        <is>
          <t>MS1(a)</t>
        </is>
      </c>
      <c r="G258" s="8" t="inlineStr">
        <is>
          <t>OPTION 1:  Target-level reporting</t>
        </is>
      </c>
      <c r="H258" s="25">
        <f>IFERROR(IF(INDEX('Faculties'!$M$10:$M$30,MATCH($F258,'Faculties'!$B$10:$B$30,0))="","Cell will autofill based on response",INDEX('Faculties'!$M$10:$M$30,MATCH($F258,'Faculties'!$B$10:$B$30,0))),"N/A")</f>
        <v/>
      </c>
      <c r="I258" s="25">
        <f>IFERROR(IF(INDEX('Faculties'!$M$37:$M$57,MATCH($F258,'Faculties'!$B$37:$B$57,0))="","Cell will autofill based on response",INDEX('Faculties'!$M$37:$M$57,MATCH($F258,'Faculties'!$B$37:$B$57,0))),"N/A")</f>
        <v/>
      </c>
      <c r="J258" s="25">
        <f>IFERROR(IF(INDEX('Faculties'!$M$64:$M$84,MATCH($F258,'Faculties'!$B$64:$B$84,0))="","Cell will autofill based on response",INDEX('Faculties'!$M$64:$M$84,MATCH($F258,'Faculties'!$B$64:$B$84,0))),"N/A")</f>
        <v/>
      </c>
      <c r="K258" s="25">
        <f>IFERROR(IF(INDEX('Faculties'!$M$91:$M$111,MATCH($F258,'Faculties'!$B$91:$B$111,0))="","Cell will autofill based on response",INDEX('Faculties'!$M$91:$M$111,MATCH($F258,'Faculties'!$B$91:$B$111,0))),"N/A")</f>
        <v/>
      </c>
      <c r="L258" s="25">
        <f>IFERROR(IF(INDEX('CI&amp;S'!$M$10:$M$15,MATCH($F258,'CI&amp;S'!$B$10:$B$15,0))="","Cell will autofill based on response",INDEX('CI&amp;S'!$M$10:$M$15,MATCH($F258,'CI&amp;S'!$B$10:$B$15,0))),"N/A")</f>
        <v/>
      </c>
      <c r="M258" s="25">
        <f>IFERROR(IF(INDEX('CI&amp;S'!$M$22:$M$39,MATCH($F258,'CI&amp;S'!$B$22:$B$39,0))="","Cell will autofill based on response",INDEX('CI&amp;S'!$M$22:$M$39,MATCH($F258,'CI&amp;S'!$B$22:$B$39,0))),"N/A")</f>
        <v/>
      </c>
      <c r="N258" s="25">
        <f>IFERROR(IF(INDEX('CFOG'!$M$10:$M$16,MATCH($F258,'CFOG'!$B$10:$B$16,0))="","Cell will autofill based on response",INDEX('CFOG'!$M$10:$M$16,MATCH($F258,'CFOG'!$B$10:$B$16,0))),"N/A")</f>
        <v/>
      </c>
      <c r="O258" s="25">
        <f>IFERROR(IF(INDEX('CFOG'!$M$23:$M$24,MATCH($F258,'CFOG'!$B$23:$B$24,0))="","Cell will autofill based on response",INDEX('CFOG'!$M$23:$M$24,MATCH($F258,'CFOG'!$B$23:$B$24,0))),"N/A")</f>
        <v/>
      </c>
      <c r="P258" s="25">
        <f>IFERROR(IF(INDEX('ESG'!$M$10:$M$17,MATCH($F258,'ESG'!$B$10:$B$17,0))="","Cell will autofill based on response",INDEX('ESG'!$M$10:$M$17,MATCH($F258,'ESG'!$B$10:$B$17,0))),"N/A")</f>
        <v/>
      </c>
      <c r="Q258" s="25">
        <f>IFERROR(IF(INDEX('CIOG'!$M$10:$M$14,MATCH($F258,'CIOG'!$B$10:$B$14,0))="","Cell will autofill based on response",INDEX('CIOG'!$M$10:$M$14,MATCH($F258,'CIOG'!$B$10:$B$14,0))),"N/A")</f>
        <v/>
      </c>
      <c r="R258" s="25">
        <f>IFERROR(IF(INDEX('MRE'!$M$10:$M$12,MATCH($F258,'MRE'!$B$10:$B$12,0))="","Cell will autofill based on response",INDEX('MRE'!$M$10:$M$12,MATCH($F258,'MRE'!$B$10:$B$12,0))),"N/A")</f>
        <v/>
      </c>
      <c r="S258" s="25">
        <f>IFERROR(IF(INDEX('L&amp;R'!$M$10:$M$11,MATCH($F258,'L&amp;R'!$B$10:$B$11,0))="","Cell will autofill based on response",INDEX('L&amp;R'!$M$10:$M$11,MATCH($F258,'L&amp;R'!$B$10:$B$11,0))),"N/A")</f>
        <v/>
      </c>
    </row>
    <row r="259">
      <c r="A259">
        <f>F259&amp;"|"&amp;G259</f>
        <v/>
      </c>
      <c r="B259" s="29" t="inlineStr"/>
      <c r="C259" s="8" t="inlineStr"/>
      <c r="D259" s="8" t="inlineStr"/>
      <c r="E259" s="8" t="inlineStr"/>
      <c r="F259" s="8" t="inlineStr">
        <is>
          <t>MS1(a)</t>
        </is>
      </c>
      <c r="G259" s="8" t="inlineStr">
        <is>
          <t>OPTION 2:  Indicator level reporting</t>
        </is>
      </c>
      <c r="H259" s="25">
        <f>IFERROR(IF(INDEX('Faculties'!$N$10:$N$30,MATCH($F259,'Faculties'!$B$10:$B$30,0))="","Cell will autofill based on response",INDEX('Faculties'!$N$10:$N$30,MATCH($F259,'Faculties'!$B$10:$B$30,0))),"N/A")</f>
        <v/>
      </c>
      <c r="I259" s="25">
        <f>IFERROR(IF(INDEX('Faculties'!$N$37:$N$57,MATCH($F259,'Faculties'!$B$37:$B$57,0))="","Cell will autofill based on response",INDEX('Faculties'!$N$37:$N$57,MATCH($F259,'Faculties'!$B$37:$B$57,0))),"N/A")</f>
        <v/>
      </c>
      <c r="J259" s="25">
        <f>IFERROR(IF(INDEX('Faculties'!$N$64:$N$84,MATCH($F259,'Faculties'!$B$64:$B$84,0))="","Cell will autofill based on response",INDEX('Faculties'!$N$64:$N$84,MATCH($F259,'Faculties'!$B$64:$B$84,0))),"N/A")</f>
        <v/>
      </c>
      <c r="K259" s="25">
        <f>IFERROR(IF(INDEX('Faculties'!$N$91:$N$111,MATCH($F259,'Faculties'!$B$91:$B$111,0))="","Cell will autofill based on response",INDEX('Faculties'!$N$91:$N$111,MATCH($F259,'Faculties'!$B$91:$B$111,0))),"N/A")</f>
        <v/>
      </c>
      <c r="L259" s="25">
        <f>IFERROR(IF(INDEX('CI&amp;S'!$N$10:$N$15,MATCH($F259,'CI&amp;S'!$B$10:$B$15,0))="","Cell will autofill based on response",INDEX('CI&amp;S'!$N$10:$N$15,MATCH($F259,'CI&amp;S'!$B$10:$B$15,0))),"N/A")</f>
        <v/>
      </c>
      <c r="M259" s="25">
        <f>IFERROR(IF(INDEX('CI&amp;S'!$N$22:$N$39,MATCH($F259,'CI&amp;S'!$B$22:$B$39,0))="","Cell will autofill based on response",INDEX('CI&amp;S'!$N$22:$N$39,MATCH($F259,'CI&amp;S'!$B$22:$B$39,0))),"N/A")</f>
        <v/>
      </c>
      <c r="N259" s="25">
        <f>IFERROR(IF(INDEX('CFOG'!$N$10:$N$16,MATCH($F259,'CFOG'!$B$10:$B$16,0))="","Cell will autofill based on response",INDEX('CFOG'!$N$10:$N$16,MATCH($F259,'CFOG'!$B$10:$B$16,0))),"N/A")</f>
        <v/>
      </c>
      <c r="O259" s="25">
        <f>IFERROR(IF(INDEX('CFOG'!$N$23:$N$24,MATCH($F259,'CFOG'!$B$23:$B$24,0))="","Cell will autofill based on response",INDEX('CFOG'!$N$23:$N$24,MATCH($F259,'CFOG'!$B$23:$B$24,0))),"N/A")</f>
        <v/>
      </c>
      <c r="P259" s="25">
        <f>IFERROR(IF(INDEX('ESG'!$N$10:$N$17,MATCH($F259,'ESG'!$B$10:$B$17,0))="","Cell will autofill based on response",INDEX('ESG'!$N$10:$N$17,MATCH($F259,'ESG'!$B$10:$B$17,0))),"N/A")</f>
        <v/>
      </c>
      <c r="Q259" s="25">
        <f>IFERROR(IF(INDEX('CIOG'!$N$10:$N$14,MATCH($F259,'CIOG'!$B$10:$B$14,0))="","Cell will autofill based on response",INDEX('CIOG'!$N$10:$N$14,MATCH($F259,'CIOG'!$B$10:$B$14,0))),"N/A")</f>
        <v/>
      </c>
      <c r="R259" s="25">
        <f>IFERROR(IF(INDEX('MRE'!$N$10:$N$12,MATCH($F259,'MRE'!$B$10:$B$12,0))="","Cell will autofill based on response",INDEX('MRE'!$N$10:$N$12,MATCH($F259,'MRE'!$B$10:$B$12,0))),"N/A")</f>
        <v/>
      </c>
      <c r="S259" s="25">
        <f>IFERROR(IF(INDEX('L&amp;R'!$N$10:$N$11,MATCH($F259,'L&amp;R'!$B$10:$B$11,0))="","Cell will autofill based on response",INDEX('L&amp;R'!$N$10:$N$11,MATCH($F259,'L&amp;R'!$B$10:$B$11,0))),"N/A")</f>
        <v/>
      </c>
    </row>
    <row r="260">
      <c r="A260">
        <f>F260&amp;"|"&amp;G260</f>
        <v/>
      </c>
      <c r="B260" s="29" t="inlineStr"/>
      <c r="C260" s="8" t="inlineStr"/>
      <c r="D260" s="8" t="inlineStr"/>
      <c r="E260" s="8" t="inlineStr"/>
      <c r="F260" s="8" t="inlineStr">
        <is>
          <t>MS1(a)</t>
        </is>
      </c>
      <c r="G260" s="8" t="inlineStr">
        <is>
          <t>Supporting information/comments</t>
        </is>
      </c>
      <c r="H260" s="25">
        <f>IFERROR(IF(INDEX('Faculties'!$O$10:$O$30,MATCH($F260,'Faculties'!$B$10:$B$30,0))="","Cell will autofill based on response",INDEX('Faculties'!$O$10:$O$30,MATCH($F260,'Faculties'!$B$10:$B$30,0))),"N/A")</f>
        <v/>
      </c>
      <c r="I260" s="25">
        <f>IFERROR(IF(INDEX('Faculties'!$O$37:$O$57,MATCH($F260,'Faculties'!$B$37:$B$57,0))="","Cell will autofill based on response",INDEX('Faculties'!$O$37:$O$57,MATCH($F260,'Faculties'!$B$37:$B$57,0))),"N/A")</f>
        <v/>
      </c>
      <c r="J260" s="25">
        <f>IFERROR(IF(INDEX('Faculties'!$O$64:$O$84,MATCH($F260,'Faculties'!$B$64:$B$84,0))="","Cell will autofill based on response",INDEX('Faculties'!$O$64:$O$84,MATCH($F260,'Faculties'!$B$64:$B$84,0))),"N/A")</f>
        <v/>
      </c>
      <c r="K260" s="25">
        <f>IFERROR(IF(INDEX('Faculties'!$O$91:$O$111,MATCH($F260,'Faculties'!$B$91:$B$111,0))="","Cell will autofill based on response",INDEX('Faculties'!$O$91:$O$111,MATCH($F260,'Faculties'!$B$91:$B$111,0))),"N/A")</f>
        <v/>
      </c>
      <c r="L260" s="25">
        <f>IFERROR(IF(INDEX('CI&amp;S'!$O$10:$O$15,MATCH($F260,'CI&amp;S'!$B$10:$B$15,0))="","Cell will autofill based on response",INDEX('CI&amp;S'!$O$10:$O$15,MATCH($F260,'CI&amp;S'!$B$10:$B$15,0))),"N/A")</f>
        <v/>
      </c>
      <c r="M260" s="25">
        <f>IFERROR(IF(INDEX('CI&amp;S'!$O$22:$O$39,MATCH($F260,'CI&amp;S'!$B$22:$B$39,0))="","Cell will autofill based on response",INDEX('CI&amp;S'!$O$22:$O$39,MATCH($F260,'CI&amp;S'!$B$22:$B$39,0))),"N/A")</f>
        <v/>
      </c>
      <c r="N260" s="25">
        <f>IFERROR(IF(INDEX('CFOG'!$O$10:$O$16,MATCH($F260,'CFOG'!$B$10:$B$16,0))="","Cell will autofill based on response",INDEX('CFOG'!$O$10:$O$16,MATCH($F260,'CFOG'!$B$10:$B$16,0))),"N/A")</f>
        <v/>
      </c>
      <c r="O260" s="25">
        <f>IFERROR(IF(INDEX('CFOG'!$O$23:$O$24,MATCH($F260,'CFOG'!$B$23:$B$24,0))="","Cell will autofill based on response",INDEX('CFOG'!$O$23:$O$24,MATCH($F260,'CFOG'!$B$23:$B$24,0))),"N/A")</f>
        <v/>
      </c>
      <c r="P260" s="25">
        <f>IFERROR(IF(INDEX('ESG'!$O$10:$O$17,MATCH($F260,'ESG'!$B$10:$B$17,0))="","Cell will autofill based on response",INDEX('ESG'!$O$10:$O$17,MATCH($F260,'ESG'!$B$10:$B$17,0))),"N/A")</f>
        <v/>
      </c>
      <c r="Q260" s="25">
        <f>IFERROR(IF(INDEX('CIOG'!$O$10:$O$14,MATCH($F260,'CIOG'!$B$10:$B$14,0))="","Cell will autofill based on response",INDEX('CIOG'!$O$10:$O$14,MATCH($F260,'CIOG'!$B$10:$B$14,0))),"N/A")</f>
        <v/>
      </c>
      <c r="R260" s="25">
        <f>IFERROR(IF(INDEX('MRE'!$O$10:$O$12,MATCH($F260,'MRE'!$B$10:$B$12,0))="","Cell will autofill based on response",INDEX('MRE'!$O$10:$O$12,MATCH($F260,'MRE'!$B$10:$B$12,0))),"N/A")</f>
        <v/>
      </c>
      <c r="S260" s="25">
        <f>IFERROR(IF(INDEX('L&amp;R'!$O$10:$O$11,MATCH($F260,'L&amp;R'!$B$10:$B$11,0))="","Cell will autofill based on response",INDEX('L&amp;R'!$O$10:$O$11,MATCH($F260,'L&amp;R'!$B$10:$B$11,0))),"N/A")</f>
        <v/>
      </c>
    </row>
    <row r="261">
      <c r="A261">
        <f>F261&amp;"|"&amp;G261</f>
        <v/>
      </c>
      <c r="B261" s="29" t="inlineStr"/>
      <c r="C261" s="8" t="inlineStr"/>
      <c r="D261" s="8" t="inlineStr"/>
      <c r="E261" s="8" t="inlineStr"/>
      <c r="F261" s="8" t="inlineStr">
        <is>
          <t>MS1(a)</t>
        </is>
      </c>
      <c r="G261" s="8" t="inlineStr">
        <is>
          <t>Data source and limitations</t>
        </is>
      </c>
      <c r="H261" s="25">
        <f>IFERROR(IF(INDEX('Faculties'!$P$10:$P$30,MATCH($F261,'Faculties'!$B$10:$B$30,0))="","Cell will autofill based on response",INDEX('Faculties'!$P$10:$P$30,MATCH($F261,'Faculties'!$B$10:$B$30,0))),"N/A")</f>
        <v/>
      </c>
      <c r="I261" s="25">
        <f>IFERROR(IF(INDEX('Faculties'!$P$37:$P$57,MATCH($F261,'Faculties'!$B$37:$B$57,0))="","Cell will autofill based on response",INDEX('Faculties'!$P$37:$P$57,MATCH($F261,'Faculties'!$B$37:$B$57,0))),"N/A")</f>
        <v/>
      </c>
      <c r="J261" s="25">
        <f>IFERROR(IF(INDEX('Faculties'!$P$64:$P$84,MATCH($F261,'Faculties'!$B$64:$B$84,0))="","Cell will autofill based on response",INDEX('Faculties'!$P$64:$P$84,MATCH($F261,'Faculties'!$B$64:$B$84,0))),"N/A")</f>
        <v/>
      </c>
      <c r="K261" s="25">
        <f>IFERROR(IF(INDEX('Faculties'!$P$91:$P$111,MATCH($F261,'Faculties'!$B$91:$B$111,0))="","Cell will autofill based on response",INDEX('Faculties'!$P$91:$P$111,MATCH($F261,'Faculties'!$B$91:$B$111,0))),"N/A")</f>
        <v/>
      </c>
      <c r="L261" s="25">
        <f>IFERROR(IF(INDEX('CI&amp;S'!$P$10:$P$15,MATCH($F261,'CI&amp;S'!$B$10:$B$15,0))="","Cell will autofill based on response",INDEX('CI&amp;S'!$P$10:$P$15,MATCH($F261,'CI&amp;S'!$B$10:$B$15,0))),"N/A")</f>
        <v/>
      </c>
      <c r="M261" s="25">
        <f>IFERROR(IF(INDEX('CI&amp;S'!$P$22:$P$39,MATCH($F261,'CI&amp;S'!$B$22:$B$39,0))="","Cell will autofill based on response",INDEX('CI&amp;S'!$P$22:$P$39,MATCH($F261,'CI&amp;S'!$B$22:$B$39,0))),"N/A")</f>
        <v/>
      </c>
      <c r="N261" s="25">
        <f>IFERROR(IF(INDEX('CFOG'!$P$10:$P$16,MATCH($F261,'CFOG'!$B$10:$B$16,0))="","Cell will autofill based on response",INDEX('CFOG'!$P$10:$P$16,MATCH($F261,'CFOG'!$B$10:$B$16,0))),"N/A")</f>
        <v/>
      </c>
      <c r="O261" s="25">
        <f>IFERROR(IF(INDEX('CFOG'!$P$23:$P$24,MATCH($F261,'CFOG'!$B$23:$B$24,0))="","Cell will autofill based on response",INDEX('CFOG'!$P$23:$P$24,MATCH($F261,'CFOG'!$B$23:$B$24,0))),"N/A")</f>
        <v/>
      </c>
      <c r="P261" s="25">
        <f>IFERROR(IF(INDEX('ESG'!$P$10:$P$17,MATCH($F261,'ESG'!$B$10:$B$17,0))="","Cell will autofill based on response",INDEX('ESG'!$P$10:$P$17,MATCH($F261,'ESG'!$B$10:$B$17,0))),"N/A")</f>
        <v/>
      </c>
      <c r="Q261" s="25">
        <f>IFERROR(IF(INDEX('CIOG'!$P$10:$P$14,MATCH($F261,'CIOG'!$B$10:$B$14,0))="","Cell will autofill based on response",INDEX('CIOG'!$P$10:$P$14,MATCH($F261,'CIOG'!$B$10:$B$14,0))),"N/A")</f>
        <v/>
      </c>
      <c r="R261" s="25">
        <f>IFERROR(IF(INDEX('MRE'!$P$10:$P$12,MATCH($F261,'MRE'!$B$10:$B$12,0))="","Cell will autofill based on response",INDEX('MRE'!$P$10:$P$12,MATCH($F261,'MRE'!$B$10:$B$12,0))),"N/A")</f>
        <v/>
      </c>
      <c r="S261" s="25">
        <f>IFERROR(IF(INDEX('L&amp;R'!$P$10:$P$11,MATCH($F261,'L&amp;R'!$B$10:$B$11,0))="","Cell will autofill based on response",INDEX('L&amp;R'!$P$10:$P$11,MATCH($F261,'L&amp;R'!$B$10:$B$11,0))),"N/A")</f>
        <v/>
      </c>
    </row>
    <row r="262">
      <c r="A262">
        <f>F262&amp;"|"&amp;G262</f>
        <v/>
      </c>
      <c r="B262" s="29" t="inlineStr"/>
      <c r="C262" s="8" t="inlineStr"/>
      <c r="D262" s="8" t="inlineStr"/>
      <c r="E262" s="8" t="inlineStr"/>
      <c r="F262" s="8" t="inlineStr">
        <is>
          <t>MS1(a)</t>
        </is>
      </c>
      <c r="G262" s="8" t="inlineStr">
        <is>
          <t>Data owner confirms</t>
        </is>
      </c>
      <c r="H262" s="25">
        <f>IFERROR(IF(INDEX('Faculties'!$Q$10:$Q$30,MATCH($F262,'Faculties'!$B$10:$B$30,0))="","Cell will autofill based on response",INDEX('Faculties'!$Q$10:$Q$30,MATCH($F262,'Faculties'!$B$10:$B$30,0))),"N/A")</f>
        <v/>
      </c>
      <c r="I262" s="25">
        <f>IFERROR(IF(INDEX('Faculties'!$Q$37:$Q$57,MATCH($F262,'Faculties'!$B$37:$B$57,0))="","Cell will autofill based on response",INDEX('Faculties'!$Q$37:$Q$57,MATCH($F262,'Faculties'!$B$37:$B$57,0))),"N/A")</f>
        <v/>
      </c>
      <c r="J262" s="25">
        <f>IFERROR(IF(INDEX('Faculties'!$Q$64:$Q$84,MATCH($F262,'Faculties'!$B$64:$B$84,0))="","Cell will autofill based on response",INDEX('Faculties'!$Q$64:$Q$84,MATCH($F262,'Faculties'!$B$64:$B$84,0))),"N/A")</f>
        <v/>
      </c>
      <c r="K262" s="25">
        <f>IFERROR(IF(INDEX('Faculties'!$Q$91:$Q$111,MATCH($F262,'Faculties'!$B$91:$B$111,0))="","Cell will autofill based on response",INDEX('Faculties'!$Q$91:$Q$111,MATCH($F262,'Faculties'!$B$91:$B$111,0))),"N/A")</f>
        <v/>
      </c>
      <c r="L262" s="25">
        <f>IFERROR(IF(INDEX('CI&amp;S'!$Q$10:$Q$15,MATCH($F262,'CI&amp;S'!$B$10:$B$15,0))="","Cell will autofill based on response",INDEX('CI&amp;S'!$Q$10:$Q$15,MATCH($F262,'CI&amp;S'!$B$10:$B$15,0))),"N/A")</f>
        <v/>
      </c>
      <c r="M262" s="25">
        <f>IFERROR(IF(INDEX('CI&amp;S'!$Q$22:$Q$39,MATCH($F262,'CI&amp;S'!$B$22:$B$39,0))="","Cell will autofill based on response",INDEX('CI&amp;S'!$Q$22:$Q$39,MATCH($F262,'CI&amp;S'!$B$22:$B$39,0))),"N/A")</f>
        <v/>
      </c>
      <c r="N262" s="25">
        <f>IFERROR(IF(INDEX('CFOG'!$Q$10:$Q$16,MATCH($F262,'CFOG'!$B$10:$B$16,0))="","Cell will autofill based on response",INDEX('CFOG'!$Q$10:$Q$16,MATCH($F262,'CFOG'!$B$10:$B$16,0))),"N/A")</f>
        <v/>
      </c>
      <c r="O262" s="25">
        <f>IFERROR(IF(INDEX('CFOG'!$Q$23:$Q$24,MATCH($F262,'CFOG'!$B$23:$B$24,0))="","Cell will autofill based on response",INDEX('CFOG'!$Q$23:$Q$24,MATCH($F262,'CFOG'!$B$23:$B$24,0))),"N/A")</f>
        <v/>
      </c>
      <c r="P262" s="25">
        <f>IFERROR(IF(INDEX('ESG'!$Q$10:$Q$17,MATCH($F262,'ESG'!$B$10:$B$17,0))="","Cell will autofill based on response",INDEX('ESG'!$Q$10:$Q$17,MATCH($F262,'ESG'!$B$10:$B$17,0))),"N/A")</f>
        <v/>
      </c>
      <c r="Q262" s="25">
        <f>IFERROR(IF(INDEX('CIOG'!$Q$10:$Q$14,MATCH($F262,'CIOG'!$B$10:$B$14,0))="","Cell will autofill based on response",INDEX('CIOG'!$Q$10:$Q$14,MATCH($F262,'CIOG'!$B$10:$B$14,0))),"N/A")</f>
        <v/>
      </c>
      <c r="R262" s="25">
        <f>IFERROR(IF(INDEX('MRE'!$Q$10:$Q$12,MATCH($F262,'MRE'!$B$10:$B$12,0))="","Cell will autofill based on response",INDEX('MRE'!$Q$10:$Q$12,MATCH($F262,'MRE'!$B$10:$B$12,0))),"N/A")</f>
        <v/>
      </c>
      <c r="S262" s="25">
        <f>IFERROR(IF(INDEX('L&amp;R'!$Q$10:$Q$11,MATCH($F262,'L&amp;R'!$B$10:$B$11,0))="","Cell will autofill based on response",INDEX('L&amp;R'!$Q$10:$Q$11,MATCH($F262,'L&amp;R'!$B$10:$B$11,0))),"N/A")</f>
        <v/>
      </c>
    </row>
    <row r="263">
      <c r="A263">
        <f>F263&amp;"|"&amp;G263</f>
        <v/>
      </c>
      <c r="B263" s="7" t="inlineStr">
        <is>
          <t>RI1(a)</t>
        </is>
      </c>
      <c r="C263" s="12" t="inlineStr">
        <is>
          <t>Responsible investments</t>
        </is>
      </c>
      <c r="D263" s="12" t="inlineStr">
        <is>
          <t>Annual monitoring and reporting on the investment portfolio’s net zero transition progress, including tracking the percentage of assets under management (AUM) managed by investment managers aligned with (or committed to) net zero by 2050</t>
        </is>
      </c>
      <c r="E263" s="12" t="inlineStr">
        <is>
          <t>Percentage of AUM managed by investment managers aligned with net zero by 2050</t>
        </is>
      </c>
      <c r="F263" s="12" t="inlineStr">
        <is>
          <t>RI1(a)</t>
        </is>
      </c>
      <c r="G263" s="12" t="inlineStr">
        <is>
          <t>Confirm end-2026 target status</t>
        </is>
      </c>
      <c r="H263" s="25">
        <f>IFERROR(IF(INDEX('Faculties'!$L$10:$L$30,MATCH($F263,'Faculties'!$B$10:$B$30,0))="","Cell will autofill based on response",INDEX('Faculties'!$L$10:$L$30,MATCH($F263,'Faculties'!$B$10:$B$30,0))),"N/A")</f>
        <v/>
      </c>
      <c r="I263" s="25">
        <f>IFERROR(IF(INDEX('Faculties'!$L$37:$L$57,MATCH($F263,'Faculties'!$B$37:$B$57,0))="","Cell will autofill based on response",INDEX('Faculties'!$L$37:$L$57,MATCH($F263,'Faculties'!$B$37:$B$57,0))),"N/A")</f>
        <v/>
      </c>
      <c r="J263" s="25">
        <f>IFERROR(IF(INDEX('Faculties'!$L$64:$L$84,MATCH($F263,'Faculties'!$B$64:$B$84,0))="","Cell will autofill based on response",INDEX('Faculties'!$L$64:$L$84,MATCH($F263,'Faculties'!$B$64:$B$84,0))),"N/A")</f>
        <v/>
      </c>
      <c r="K263" s="25">
        <f>IFERROR(IF(INDEX('Faculties'!$L$91:$L$111,MATCH($F263,'Faculties'!$B$91:$B$111,0))="","Cell will autofill based on response",INDEX('Faculties'!$L$91:$L$111,MATCH($F263,'Faculties'!$B$91:$B$111,0))),"N/A")</f>
        <v/>
      </c>
      <c r="L263" s="25">
        <f>IFERROR(IF(INDEX('CI&amp;S'!$L$10:$L$15,MATCH($F263,'CI&amp;S'!$B$10:$B$15,0))="","Cell will autofill based on response",INDEX('CI&amp;S'!$L$10:$L$15,MATCH($F263,'CI&amp;S'!$B$10:$B$15,0))),"N/A")</f>
        <v/>
      </c>
      <c r="M263" s="25">
        <f>IFERROR(IF(INDEX('CI&amp;S'!$L$22:$L$39,MATCH($F263,'CI&amp;S'!$B$22:$B$39,0))="","Cell will autofill based on response",INDEX('CI&amp;S'!$L$22:$L$39,MATCH($F263,'CI&amp;S'!$B$22:$B$39,0))),"N/A")</f>
        <v/>
      </c>
      <c r="N263" s="25">
        <f>IFERROR(IF(INDEX('CFOG'!$L$10:$L$16,MATCH($F263,'CFOG'!$B$10:$B$16,0))="","Cell will autofill based on response",INDEX('CFOG'!$L$10:$L$16,MATCH($F263,'CFOG'!$B$10:$B$16,0))),"N/A")</f>
        <v/>
      </c>
      <c r="O263" s="25">
        <f>IFERROR(IF(INDEX('CFOG'!$L$23:$L$24,MATCH($F263,'CFOG'!$B$23:$B$24,0))="","Cell will autofill based on response",INDEX('CFOG'!$L$23:$L$24,MATCH($F263,'CFOG'!$B$23:$B$24,0))),"N/A")</f>
        <v/>
      </c>
      <c r="P263" s="25">
        <f>IFERROR(IF(INDEX('ESG'!$L$10:$L$17,MATCH($F263,'ESG'!$B$10:$B$17,0))="","Cell will autofill based on response",INDEX('ESG'!$L$10:$L$17,MATCH($F263,'ESG'!$B$10:$B$17,0))),"N/A")</f>
        <v/>
      </c>
      <c r="Q263" s="25">
        <f>IFERROR(IF(INDEX('CIOG'!$L$10:$L$14,MATCH($F263,'CIOG'!$B$10:$B$14,0))="","Cell will autofill based on response",INDEX('CIOG'!$L$10:$L$14,MATCH($F263,'CIOG'!$B$10:$B$14,0))),"N/A")</f>
        <v/>
      </c>
      <c r="R263" s="25">
        <f>IFERROR(IF(INDEX('MRE'!$L$10:$L$12,MATCH($F263,'MRE'!$B$10:$B$12,0))="","Cell will autofill based on response",INDEX('MRE'!$L$10:$L$12,MATCH($F263,'MRE'!$B$10:$B$12,0))),"N/A")</f>
        <v/>
      </c>
      <c r="S263" s="25">
        <f>IFERROR(IF(INDEX('L&amp;R'!$L$10:$L$11,MATCH($F263,'L&amp;R'!$B$10:$B$11,0))="","Cell will autofill based on response",INDEX('L&amp;R'!$L$10:$L$11,MATCH($F263,'L&amp;R'!$B$10:$B$11,0))),"N/A")</f>
        <v/>
      </c>
      <c r="U263" s="26">
        <f>COUNTIF($H263:$S263,"Cell will autofill based on response")</f>
        <v/>
      </c>
      <c r="V263" s="26">
        <f>COUNTIF($H263:$S263,"Not yet started")</f>
        <v/>
      </c>
      <c r="W263" s="26">
        <f>COUNTIF($H263:$S263,"Not met")</f>
        <v/>
      </c>
      <c r="X263" s="26">
        <f>COUNTIF($H263:$S263,"Partially met")</f>
        <v/>
      </c>
      <c r="Y263" s="26">
        <f>COUNTIF($H263:$S263,"Met or exceeded")</f>
        <v/>
      </c>
      <c r="Z263" s="26">
        <f>3*Y263+2*X263+W263</f>
        <v/>
      </c>
      <c r="AA263" s="26">
        <f>Y263+X263+W263+V263</f>
        <v/>
      </c>
      <c r="AB263" s="27">
        <f>IF(AA263&gt;0,Z263/AA263,"No valid responses to date")</f>
        <v/>
      </c>
      <c r="AC263" s="26">
        <f>IF(ISNUMBER(AB263),INDEX(Lists!$G$2:$G$5,MATCH(ROUND(AB263,0),Lists!$H$2:$H$5,0)),"")</f>
        <v/>
      </c>
      <c r="AD263" s="28">
        <f>IF(AA263&gt;0,Y263/AA263,"")</f>
        <v/>
      </c>
      <c r="AE263" s="28">
        <f>IF(AA263&gt;0,(Y263+X263)/AA263,"")</f>
        <v/>
      </c>
      <c r="AF263" s="26">
        <f>IF(AA263=0,"",IF(AD263&gt;0.75,"Met or exceeded",IF(AE263&gt;=0.5,"Partially met","Not met")))</f>
        <v/>
      </c>
    </row>
    <row r="264">
      <c r="A264">
        <f>F264&amp;"|"&amp;G264</f>
        <v/>
      </c>
      <c r="B264" s="29" t="inlineStr"/>
      <c r="C264" s="8" t="inlineStr"/>
      <c r="D264" s="8" t="inlineStr"/>
      <c r="E264" s="8" t="inlineStr"/>
      <c r="F264" s="8" t="inlineStr">
        <is>
          <t>RI1(a)</t>
        </is>
      </c>
      <c r="G264" s="8" t="inlineStr">
        <is>
          <t>OPTION 1:  Target-level reporting</t>
        </is>
      </c>
      <c r="H264" s="25">
        <f>IFERROR(IF(INDEX('Faculties'!$M$10:$M$30,MATCH($F264,'Faculties'!$B$10:$B$30,0))="","Cell will autofill based on response",INDEX('Faculties'!$M$10:$M$30,MATCH($F264,'Faculties'!$B$10:$B$30,0))),"N/A")</f>
        <v/>
      </c>
      <c r="I264" s="25">
        <f>IFERROR(IF(INDEX('Faculties'!$M$37:$M$57,MATCH($F264,'Faculties'!$B$37:$B$57,0))="","Cell will autofill based on response",INDEX('Faculties'!$M$37:$M$57,MATCH($F264,'Faculties'!$B$37:$B$57,0))),"N/A")</f>
        <v/>
      </c>
      <c r="J264" s="25">
        <f>IFERROR(IF(INDEX('Faculties'!$M$64:$M$84,MATCH($F264,'Faculties'!$B$64:$B$84,0))="","Cell will autofill based on response",INDEX('Faculties'!$M$64:$M$84,MATCH($F264,'Faculties'!$B$64:$B$84,0))),"N/A")</f>
        <v/>
      </c>
      <c r="K264" s="25">
        <f>IFERROR(IF(INDEX('Faculties'!$M$91:$M$111,MATCH($F264,'Faculties'!$B$91:$B$111,0))="","Cell will autofill based on response",INDEX('Faculties'!$M$91:$M$111,MATCH($F264,'Faculties'!$B$91:$B$111,0))),"N/A")</f>
        <v/>
      </c>
      <c r="L264" s="25">
        <f>IFERROR(IF(INDEX('CI&amp;S'!$M$10:$M$15,MATCH($F264,'CI&amp;S'!$B$10:$B$15,0))="","Cell will autofill based on response",INDEX('CI&amp;S'!$M$10:$M$15,MATCH($F264,'CI&amp;S'!$B$10:$B$15,0))),"N/A")</f>
        <v/>
      </c>
      <c r="M264" s="25">
        <f>IFERROR(IF(INDEX('CI&amp;S'!$M$22:$M$39,MATCH($F264,'CI&amp;S'!$B$22:$B$39,0))="","Cell will autofill based on response",INDEX('CI&amp;S'!$M$22:$M$39,MATCH($F264,'CI&amp;S'!$B$22:$B$39,0))),"N/A")</f>
        <v/>
      </c>
      <c r="N264" s="25">
        <f>IFERROR(IF(INDEX('CFOG'!$M$10:$M$16,MATCH($F264,'CFOG'!$B$10:$B$16,0))="","Cell will autofill based on response",INDEX('CFOG'!$M$10:$M$16,MATCH($F264,'CFOG'!$B$10:$B$16,0))),"N/A")</f>
        <v/>
      </c>
      <c r="O264" s="25">
        <f>IFERROR(IF(INDEX('CFOG'!$M$23:$M$24,MATCH($F264,'CFOG'!$B$23:$B$24,0))="","Cell will autofill based on response",INDEX('CFOG'!$M$23:$M$24,MATCH($F264,'CFOG'!$B$23:$B$24,0))),"N/A")</f>
        <v/>
      </c>
      <c r="P264" s="25">
        <f>IFERROR(IF(INDEX('ESG'!$M$10:$M$17,MATCH($F264,'ESG'!$B$10:$B$17,0))="","Cell will autofill based on response",INDEX('ESG'!$M$10:$M$17,MATCH($F264,'ESG'!$B$10:$B$17,0))),"N/A")</f>
        <v/>
      </c>
      <c r="Q264" s="25">
        <f>IFERROR(IF(INDEX('CIOG'!$M$10:$M$14,MATCH($F264,'CIOG'!$B$10:$B$14,0))="","Cell will autofill based on response",INDEX('CIOG'!$M$10:$M$14,MATCH($F264,'CIOG'!$B$10:$B$14,0))),"N/A")</f>
        <v/>
      </c>
      <c r="R264" s="25">
        <f>IFERROR(IF(INDEX('MRE'!$M$10:$M$12,MATCH($F264,'MRE'!$B$10:$B$12,0))="","Cell will autofill based on response",INDEX('MRE'!$M$10:$M$12,MATCH($F264,'MRE'!$B$10:$B$12,0))),"N/A")</f>
        <v/>
      </c>
      <c r="S264" s="25">
        <f>IFERROR(IF(INDEX('L&amp;R'!$M$10:$M$11,MATCH($F264,'L&amp;R'!$B$10:$B$11,0))="","Cell will autofill based on response",INDEX('L&amp;R'!$M$10:$M$11,MATCH($F264,'L&amp;R'!$B$10:$B$11,0))),"N/A")</f>
        <v/>
      </c>
    </row>
    <row r="265">
      <c r="A265">
        <f>F265&amp;"|"&amp;G265</f>
        <v/>
      </c>
      <c r="B265" s="29" t="inlineStr"/>
      <c r="C265" s="8" t="inlineStr"/>
      <c r="D265" s="8" t="inlineStr"/>
      <c r="E265" s="8" t="inlineStr"/>
      <c r="F265" s="8" t="inlineStr">
        <is>
          <t>RI1(a)</t>
        </is>
      </c>
      <c r="G265" s="8" t="inlineStr">
        <is>
          <t>OPTION 2:  Indicator level reporting</t>
        </is>
      </c>
      <c r="H265" s="25">
        <f>IFERROR(IF(INDEX('Faculties'!$N$10:$N$30,MATCH($F265,'Faculties'!$B$10:$B$30,0))="","Cell will autofill based on response",INDEX('Faculties'!$N$10:$N$30,MATCH($F265,'Faculties'!$B$10:$B$30,0))),"N/A")</f>
        <v/>
      </c>
      <c r="I265" s="25">
        <f>IFERROR(IF(INDEX('Faculties'!$N$37:$N$57,MATCH($F265,'Faculties'!$B$37:$B$57,0))="","Cell will autofill based on response",INDEX('Faculties'!$N$37:$N$57,MATCH($F265,'Faculties'!$B$37:$B$57,0))),"N/A")</f>
        <v/>
      </c>
      <c r="J265" s="25">
        <f>IFERROR(IF(INDEX('Faculties'!$N$64:$N$84,MATCH($F265,'Faculties'!$B$64:$B$84,0))="","Cell will autofill based on response",INDEX('Faculties'!$N$64:$N$84,MATCH($F265,'Faculties'!$B$64:$B$84,0))),"N/A")</f>
        <v/>
      </c>
      <c r="K265" s="25">
        <f>IFERROR(IF(INDEX('Faculties'!$N$91:$N$111,MATCH($F265,'Faculties'!$B$91:$B$111,0))="","Cell will autofill based on response",INDEX('Faculties'!$N$91:$N$111,MATCH($F265,'Faculties'!$B$91:$B$111,0))),"N/A")</f>
        <v/>
      </c>
      <c r="L265" s="25">
        <f>IFERROR(IF(INDEX('CI&amp;S'!$N$10:$N$15,MATCH($F265,'CI&amp;S'!$B$10:$B$15,0))="","Cell will autofill based on response",INDEX('CI&amp;S'!$N$10:$N$15,MATCH($F265,'CI&amp;S'!$B$10:$B$15,0))),"N/A")</f>
        <v/>
      </c>
      <c r="M265" s="25">
        <f>IFERROR(IF(INDEX('CI&amp;S'!$N$22:$N$39,MATCH($F265,'CI&amp;S'!$B$22:$B$39,0))="","Cell will autofill based on response",INDEX('CI&amp;S'!$N$22:$N$39,MATCH($F265,'CI&amp;S'!$B$22:$B$39,0))),"N/A")</f>
        <v/>
      </c>
      <c r="N265" s="25">
        <f>IFERROR(IF(INDEX('CFOG'!$N$10:$N$16,MATCH($F265,'CFOG'!$B$10:$B$16,0))="","Cell will autofill based on response",INDEX('CFOG'!$N$10:$N$16,MATCH($F265,'CFOG'!$B$10:$B$16,0))),"N/A")</f>
        <v/>
      </c>
      <c r="O265" s="25">
        <f>IFERROR(IF(INDEX('CFOG'!$N$23:$N$24,MATCH($F265,'CFOG'!$B$23:$B$24,0))="","Cell will autofill based on response",INDEX('CFOG'!$N$23:$N$24,MATCH($F265,'CFOG'!$B$23:$B$24,0))),"N/A")</f>
        <v/>
      </c>
      <c r="P265" s="25">
        <f>IFERROR(IF(INDEX('ESG'!$N$10:$N$17,MATCH($F265,'ESG'!$B$10:$B$17,0))="","Cell will autofill based on response",INDEX('ESG'!$N$10:$N$17,MATCH($F265,'ESG'!$B$10:$B$17,0))),"N/A")</f>
        <v/>
      </c>
      <c r="Q265" s="25">
        <f>IFERROR(IF(INDEX('CIOG'!$N$10:$N$14,MATCH($F265,'CIOG'!$B$10:$B$14,0))="","Cell will autofill based on response",INDEX('CIOG'!$N$10:$N$14,MATCH($F265,'CIOG'!$B$10:$B$14,0))),"N/A")</f>
        <v/>
      </c>
      <c r="R265" s="25">
        <f>IFERROR(IF(INDEX('MRE'!$N$10:$N$12,MATCH($F265,'MRE'!$B$10:$B$12,0))="","Cell will autofill based on response",INDEX('MRE'!$N$10:$N$12,MATCH($F265,'MRE'!$B$10:$B$12,0))),"N/A")</f>
        <v/>
      </c>
      <c r="S265" s="25">
        <f>IFERROR(IF(INDEX('L&amp;R'!$N$10:$N$11,MATCH($F265,'L&amp;R'!$B$10:$B$11,0))="","Cell will autofill based on response",INDEX('L&amp;R'!$N$10:$N$11,MATCH($F265,'L&amp;R'!$B$10:$B$11,0))),"N/A")</f>
        <v/>
      </c>
    </row>
    <row r="266">
      <c r="A266">
        <f>F266&amp;"|"&amp;G266</f>
        <v/>
      </c>
      <c r="B266" s="29" t="inlineStr"/>
      <c r="C266" s="8" t="inlineStr"/>
      <c r="D266" s="8" t="inlineStr"/>
      <c r="E266" s="8" t="inlineStr"/>
      <c r="F266" s="8" t="inlineStr">
        <is>
          <t>RI1(a)</t>
        </is>
      </c>
      <c r="G266" s="8" t="inlineStr">
        <is>
          <t>Supporting information/comments</t>
        </is>
      </c>
      <c r="H266" s="25">
        <f>IFERROR(IF(INDEX('Faculties'!$O$10:$O$30,MATCH($F266,'Faculties'!$B$10:$B$30,0))="","Cell will autofill based on response",INDEX('Faculties'!$O$10:$O$30,MATCH($F266,'Faculties'!$B$10:$B$30,0))),"N/A")</f>
        <v/>
      </c>
      <c r="I266" s="25">
        <f>IFERROR(IF(INDEX('Faculties'!$O$37:$O$57,MATCH($F266,'Faculties'!$B$37:$B$57,0))="","Cell will autofill based on response",INDEX('Faculties'!$O$37:$O$57,MATCH($F266,'Faculties'!$B$37:$B$57,0))),"N/A")</f>
        <v/>
      </c>
      <c r="J266" s="25">
        <f>IFERROR(IF(INDEX('Faculties'!$O$64:$O$84,MATCH($F266,'Faculties'!$B$64:$B$84,0))="","Cell will autofill based on response",INDEX('Faculties'!$O$64:$O$84,MATCH($F266,'Faculties'!$B$64:$B$84,0))),"N/A")</f>
        <v/>
      </c>
      <c r="K266" s="25">
        <f>IFERROR(IF(INDEX('Faculties'!$O$91:$O$111,MATCH($F266,'Faculties'!$B$91:$B$111,0))="","Cell will autofill based on response",INDEX('Faculties'!$O$91:$O$111,MATCH($F266,'Faculties'!$B$91:$B$111,0))),"N/A")</f>
        <v/>
      </c>
      <c r="L266" s="25">
        <f>IFERROR(IF(INDEX('CI&amp;S'!$O$10:$O$15,MATCH($F266,'CI&amp;S'!$B$10:$B$15,0))="","Cell will autofill based on response",INDEX('CI&amp;S'!$O$10:$O$15,MATCH($F266,'CI&amp;S'!$B$10:$B$15,0))),"N/A")</f>
        <v/>
      </c>
      <c r="M266" s="25">
        <f>IFERROR(IF(INDEX('CI&amp;S'!$O$22:$O$39,MATCH($F266,'CI&amp;S'!$B$22:$B$39,0))="","Cell will autofill based on response",INDEX('CI&amp;S'!$O$22:$O$39,MATCH($F266,'CI&amp;S'!$B$22:$B$39,0))),"N/A")</f>
        <v/>
      </c>
      <c r="N266" s="25">
        <f>IFERROR(IF(INDEX('CFOG'!$O$10:$O$16,MATCH($F266,'CFOG'!$B$10:$B$16,0))="","Cell will autofill based on response",INDEX('CFOG'!$O$10:$O$16,MATCH($F266,'CFOG'!$B$10:$B$16,0))),"N/A")</f>
        <v/>
      </c>
      <c r="O266" s="25">
        <f>IFERROR(IF(INDEX('CFOG'!$O$23:$O$24,MATCH($F266,'CFOG'!$B$23:$B$24,0))="","Cell will autofill based on response",INDEX('CFOG'!$O$23:$O$24,MATCH($F266,'CFOG'!$B$23:$B$24,0))),"N/A")</f>
        <v/>
      </c>
      <c r="P266" s="25">
        <f>IFERROR(IF(INDEX('ESG'!$O$10:$O$17,MATCH($F266,'ESG'!$B$10:$B$17,0))="","Cell will autofill based on response",INDEX('ESG'!$O$10:$O$17,MATCH($F266,'ESG'!$B$10:$B$17,0))),"N/A")</f>
        <v/>
      </c>
      <c r="Q266" s="25">
        <f>IFERROR(IF(INDEX('CIOG'!$O$10:$O$14,MATCH($F266,'CIOG'!$B$10:$B$14,0))="","Cell will autofill based on response",INDEX('CIOG'!$O$10:$O$14,MATCH($F266,'CIOG'!$B$10:$B$14,0))),"N/A")</f>
        <v/>
      </c>
      <c r="R266" s="25">
        <f>IFERROR(IF(INDEX('MRE'!$O$10:$O$12,MATCH($F266,'MRE'!$B$10:$B$12,0))="","Cell will autofill based on response",INDEX('MRE'!$O$10:$O$12,MATCH($F266,'MRE'!$B$10:$B$12,0))),"N/A")</f>
        <v/>
      </c>
      <c r="S266" s="25">
        <f>IFERROR(IF(INDEX('L&amp;R'!$O$10:$O$11,MATCH($F266,'L&amp;R'!$B$10:$B$11,0))="","Cell will autofill based on response",INDEX('L&amp;R'!$O$10:$O$11,MATCH($F266,'L&amp;R'!$B$10:$B$11,0))),"N/A")</f>
        <v/>
      </c>
    </row>
    <row r="267">
      <c r="A267">
        <f>F267&amp;"|"&amp;G267</f>
        <v/>
      </c>
      <c r="B267" s="29" t="inlineStr"/>
      <c r="C267" s="8" t="inlineStr"/>
      <c r="D267" s="8" t="inlineStr"/>
      <c r="E267" s="8" t="inlineStr"/>
      <c r="F267" s="8" t="inlineStr">
        <is>
          <t>RI1(a)</t>
        </is>
      </c>
      <c r="G267" s="8" t="inlineStr">
        <is>
          <t>Data source and limitations</t>
        </is>
      </c>
      <c r="H267" s="25">
        <f>IFERROR(IF(INDEX('Faculties'!$P$10:$P$30,MATCH($F267,'Faculties'!$B$10:$B$30,0))="","Cell will autofill based on response",INDEX('Faculties'!$P$10:$P$30,MATCH($F267,'Faculties'!$B$10:$B$30,0))),"N/A")</f>
        <v/>
      </c>
      <c r="I267" s="25">
        <f>IFERROR(IF(INDEX('Faculties'!$P$37:$P$57,MATCH($F267,'Faculties'!$B$37:$B$57,0))="","Cell will autofill based on response",INDEX('Faculties'!$P$37:$P$57,MATCH($F267,'Faculties'!$B$37:$B$57,0))),"N/A")</f>
        <v/>
      </c>
      <c r="J267" s="25">
        <f>IFERROR(IF(INDEX('Faculties'!$P$64:$P$84,MATCH($F267,'Faculties'!$B$64:$B$84,0))="","Cell will autofill based on response",INDEX('Faculties'!$P$64:$P$84,MATCH($F267,'Faculties'!$B$64:$B$84,0))),"N/A")</f>
        <v/>
      </c>
      <c r="K267" s="25">
        <f>IFERROR(IF(INDEX('Faculties'!$P$91:$P$111,MATCH($F267,'Faculties'!$B$91:$B$111,0))="","Cell will autofill based on response",INDEX('Faculties'!$P$91:$P$111,MATCH($F267,'Faculties'!$B$91:$B$111,0))),"N/A")</f>
        <v/>
      </c>
      <c r="L267" s="25">
        <f>IFERROR(IF(INDEX('CI&amp;S'!$P$10:$P$15,MATCH($F267,'CI&amp;S'!$B$10:$B$15,0))="","Cell will autofill based on response",INDEX('CI&amp;S'!$P$10:$P$15,MATCH($F267,'CI&amp;S'!$B$10:$B$15,0))),"N/A")</f>
        <v/>
      </c>
      <c r="M267" s="25">
        <f>IFERROR(IF(INDEX('CI&amp;S'!$P$22:$P$39,MATCH($F267,'CI&amp;S'!$B$22:$B$39,0))="","Cell will autofill based on response",INDEX('CI&amp;S'!$P$22:$P$39,MATCH($F267,'CI&amp;S'!$B$22:$B$39,0))),"N/A")</f>
        <v/>
      </c>
      <c r="N267" s="25">
        <f>IFERROR(IF(INDEX('CFOG'!$P$10:$P$16,MATCH($F267,'CFOG'!$B$10:$B$16,0))="","Cell will autofill based on response",INDEX('CFOG'!$P$10:$P$16,MATCH($F267,'CFOG'!$B$10:$B$16,0))),"N/A")</f>
        <v/>
      </c>
      <c r="O267" s="25">
        <f>IFERROR(IF(INDEX('CFOG'!$P$23:$P$24,MATCH($F267,'CFOG'!$B$23:$B$24,0))="","Cell will autofill based on response",INDEX('CFOG'!$P$23:$P$24,MATCH($F267,'CFOG'!$B$23:$B$24,0))),"N/A")</f>
        <v/>
      </c>
      <c r="P267" s="25">
        <f>IFERROR(IF(INDEX('ESG'!$P$10:$P$17,MATCH($F267,'ESG'!$B$10:$B$17,0))="","Cell will autofill based on response",INDEX('ESG'!$P$10:$P$17,MATCH($F267,'ESG'!$B$10:$B$17,0))),"N/A")</f>
        <v/>
      </c>
      <c r="Q267" s="25">
        <f>IFERROR(IF(INDEX('CIOG'!$P$10:$P$14,MATCH($F267,'CIOG'!$B$10:$B$14,0))="","Cell will autofill based on response",INDEX('CIOG'!$P$10:$P$14,MATCH($F267,'CIOG'!$B$10:$B$14,0))),"N/A")</f>
        <v/>
      </c>
      <c r="R267" s="25">
        <f>IFERROR(IF(INDEX('MRE'!$P$10:$P$12,MATCH($F267,'MRE'!$B$10:$B$12,0))="","Cell will autofill based on response",INDEX('MRE'!$P$10:$P$12,MATCH($F267,'MRE'!$B$10:$B$12,0))),"N/A")</f>
        <v/>
      </c>
      <c r="S267" s="25">
        <f>IFERROR(IF(INDEX('L&amp;R'!$P$10:$P$11,MATCH($F267,'L&amp;R'!$B$10:$B$11,0))="","Cell will autofill based on response",INDEX('L&amp;R'!$P$10:$P$11,MATCH($F267,'L&amp;R'!$B$10:$B$11,0))),"N/A")</f>
        <v/>
      </c>
    </row>
    <row r="268">
      <c r="A268">
        <f>F268&amp;"|"&amp;G268</f>
        <v/>
      </c>
      <c r="B268" s="29" t="inlineStr"/>
      <c r="C268" s="8" t="inlineStr"/>
      <c r="D268" s="8" t="inlineStr"/>
      <c r="E268" s="8" t="inlineStr"/>
      <c r="F268" s="8" t="inlineStr">
        <is>
          <t>RI1(a)</t>
        </is>
      </c>
      <c r="G268" s="8" t="inlineStr">
        <is>
          <t>Data owner confirms</t>
        </is>
      </c>
      <c r="H268" s="25">
        <f>IFERROR(IF(INDEX('Faculties'!$Q$10:$Q$30,MATCH($F268,'Faculties'!$B$10:$B$30,0))="","Cell will autofill based on response",INDEX('Faculties'!$Q$10:$Q$30,MATCH($F268,'Faculties'!$B$10:$B$30,0))),"N/A")</f>
        <v/>
      </c>
      <c r="I268" s="25">
        <f>IFERROR(IF(INDEX('Faculties'!$Q$37:$Q$57,MATCH($F268,'Faculties'!$B$37:$B$57,0))="","Cell will autofill based on response",INDEX('Faculties'!$Q$37:$Q$57,MATCH($F268,'Faculties'!$B$37:$B$57,0))),"N/A")</f>
        <v/>
      </c>
      <c r="J268" s="25">
        <f>IFERROR(IF(INDEX('Faculties'!$Q$64:$Q$84,MATCH($F268,'Faculties'!$B$64:$B$84,0))="","Cell will autofill based on response",INDEX('Faculties'!$Q$64:$Q$84,MATCH($F268,'Faculties'!$B$64:$B$84,0))),"N/A")</f>
        <v/>
      </c>
      <c r="K268" s="25">
        <f>IFERROR(IF(INDEX('Faculties'!$Q$91:$Q$111,MATCH($F268,'Faculties'!$B$91:$B$111,0))="","Cell will autofill based on response",INDEX('Faculties'!$Q$91:$Q$111,MATCH($F268,'Faculties'!$B$91:$B$111,0))),"N/A")</f>
        <v/>
      </c>
      <c r="L268" s="25">
        <f>IFERROR(IF(INDEX('CI&amp;S'!$Q$10:$Q$15,MATCH($F268,'CI&amp;S'!$B$10:$B$15,0))="","Cell will autofill based on response",INDEX('CI&amp;S'!$Q$10:$Q$15,MATCH($F268,'CI&amp;S'!$B$10:$B$15,0))),"N/A")</f>
        <v/>
      </c>
      <c r="M268" s="25">
        <f>IFERROR(IF(INDEX('CI&amp;S'!$Q$22:$Q$39,MATCH($F268,'CI&amp;S'!$B$22:$B$39,0))="","Cell will autofill based on response",INDEX('CI&amp;S'!$Q$22:$Q$39,MATCH($F268,'CI&amp;S'!$B$22:$B$39,0))),"N/A")</f>
        <v/>
      </c>
      <c r="N268" s="25">
        <f>IFERROR(IF(INDEX('CFOG'!$Q$10:$Q$16,MATCH($F268,'CFOG'!$B$10:$B$16,0))="","Cell will autofill based on response",INDEX('CFOG'!$Q$10:$Q$16,MATCH($F268,'CFOG'!$B$10:$B$16,0))),"N/A")</f>
        <v/>
      </c>
      <c r="O268" s="25">
        <f>IFERROR(IF(INDEX('CFOG'!$Q$23:$Q$24,MATCH($F268,'CFOG'!$B$23:$B$24,0))="","Cell will autofill based on response",INDEX('CFOG'!$Q$23:$Q$24,MATCH($F268,'CFOG'!$B$23:$B$24,0))),"N/A")</f>
        <v/>
      </c>
      <c r="P268" s="25">
        <f>IFERROR(IF(INDEX('ESG'!$Q$10:$Q$17,MATCH($F268,'ESG'!$B$10:$B$17,0))="","Cell will autofill based on response",INDEX('ESG'!$Q$10:$Q$17,MATCH($F268,'ESG'!$B$10:$B$17,0))),"N/A")</f>
        <v/>
      </c>
      <c r="Q268" s="25">
        <f>IFERROR(IF(INDEX('CIOG'!$Q$10:$Q$14,MATCH($F268,'CIOG'!$B$10:$B$14,0))="","Cell will autofill based on response",INDEX('CIOG'!$Q$10:$Q$14,MATCH($F268,'CIOG'!$B$10:$B$14,0))),"N/A")</f>
        <v/>
      </c>
      <c r="R268" s="25">
        <f>IFERROR(IF(INDEX('MRE'!$Q$10:$Q$12,MATCH($F268,'MRE'!$B$10:$B$12,0))="","Cell will autofill based on response",INDEX('MRE'!$Q$10:$Q$12,MATCH($F268,'MRE'!$B$10:$B$12,0))),"N/A")</f>
        <v/>
      </c>
      <c r="S268" s="25">
        <f>IFERROR(IF(INDEX('L&amp;R'!$Q$10:$Q$11,MATCH($F268,'L&amp;R'!$B$10:$B$11,0))="","Cell will autofill based on response",INDEX('L&amp;R'!$Q$10:$Q$11,MATCH($F268,'L&amp;R'!$B$10:$B$11,0))),"N/A")</f>
        <v/>
      </c>
    </row>
    <row r="269">
      <c r="A269">
        <f>F269&amp;"|"&amp;G269</f>
        <v/>
      </c>
      <c r="B269" s="7" t="inlineStr">
        <is>
          <t>RI1(b)</t>
        </is>
      </c>
      <c r="C269" s="12" t="inlineStr">
        <is>
          <t>Responsible investments</t>
        </is>
      </c>
      <c r="D269" s="12" t="inlineStr">
        <is>
          <t>Continuous improvement of the reporting of the University’s sustainability-related investment profile metrics, could include investment in climate mitigation and transition solutions, and compliance with related obligations (eg UNPRI).</t>
        </is>
      </c>
      <c r="E269" s="12" t="inlineStr">
        <is>
          <t>Report on relevant sustainability-related investment portfolio metrics and report on how the University has complied with its related obligations</t>
        </is>
      </c>
      <c r="F269" s="12" t="inlineStr">
        <is>
          <t>RI1(b)</t>
        </is>
      </c>
      <c r="G269" s="12" t="inlineStr">
        <is>
          <t>Confirm end-2026 target status</t>
        </is>
      </c>
      <c r="H269" s="25">
        <f>IFERROR(IF(INDEX('Faculties'!$L$10:$L$30,MATCH($F269,'Faculties'!$B$10:$B$30,0))="","Cell will autofill based on response",INDEX('Faculties'!$L$10:$L$30,MATCH($F269,'Faculties'!$B$10:$B$30,0))),"N/A")</f>
        <v/>
      </c>
      <c r="I269" s="25">
        <f>IFERROR(IF(INDEX('Faculties'!$L$37:$L$57,MATCH($F269,'Faculties'!$B$37:$B$57,0))="","Cell will autofill based on response",INDEX('Faculties'!$L$37:$L$57,MATCH($F269,'Faculties'!$B$37:$B$57,0))),"N/A")</f>
        <v/>
      </c>
      <c r="J269" s="25">
        <f>IFERROR(IF(INDEX('Faculties'!$L$64:$L$84,MATCH($F269,'Faculties'!$B$64:$B$84,0))="","Cell will autofill based on response",INDEX('Faculties'!$L$64:$L$84,MATCH($F269,'Faculties'!$B$64:$B$84,0))),"N/A")</f>
        <v/>
      </c>
      <c r="K269" s="25">
        <f>IFERROR(IF(INDEX('Faculties'!$L$91:$L$111,MATCH($F269,'Faculties'!$B$91:$B$111,0))="","Cell will autofill based on response",INDEX('Faculties'!$L$91:$L$111,MATCH($F269,'Faculties'!$B$91:$B$111,0))),"N/A")</f>
        <v/>
      </c>
      <c r="L269" s="25">
        <f>IFERROR(IF(INDEX('CI&amp;S'!$L$10:$L$15,MATCH($F269,'CI&amp;S'!$B$10:$B$15,0))="","Cell will autofill based on response",INDEX('CI&amp;S'!$L$10:$L$15,MATCH($F269,'CI&amp;S'!$B$10:$B$15,0))),"N/A")</f>
        <v/>
      </c>
      <c r="M269" s="25">
        <f>IFERROR(IF(INDEX('CI&amp;S'!$L$22:$L$39,MATCH($F269,'CI&amp;S'!$B$22:$B$39,0))="","Cell will autofill based on response",INDEX('CI&amp;S'!$L$22:$L$39,MATCH($F269,'CI&amp;S'!$B$22:$B$39,0))),"N/A")</f>
        <v/>
      </c>
      <c r="N269" s="25">
        <f>IFERROR(IF(INDEX('CFOG'!$L$10:$L$16,MATCH($F269,'CFOG'!$B$10:$B$16,0))="","Cell will autofill based on response",INDEX('CFOG'!$L$10:$L$16,MATCH($F269,'CFOG'!$B$10:$B$16,0))),"N/A")</f>
        <v/>
      </c>
      <c r="O269" s="25">
        <f>IFERROR(IF(INDEX('CFOG'!$L$23:$L$24,MATCH($F269,'CFOG'!$B$23:$B$24,0))="","Cell will autofill based on response",INDEX('CFOG'!$L$23:$L$24,MATCH($F269,'CFOG'!$B$23:$B$24,0))),"N/A")</f>
        <v/>
      </c>
      <c r="P269" s="25">
        <f>IFERROR(IF(INDEX('ESG'!$L$10:$L$17,MATCH($F269,'ESG'!$B$10:$B$17,0))="","Cell will autofill based on response",INDEX('ESG'!$L$10:$L$17,MATCH($F269,'ESG'!$B$10:$B$17,0))),"N/A")</f>
        <v/>
      </c>
      <c r="Q269" s="25">
        <f>IFERROR(IF(INDEX('CIOG'!$L$10:$L$14,MATCH($F269,'CIOG'!$B$10:$B$14,0))="","Cell will autofill based on response",INDEX('CIOG'!$L$10:$L$14,MATCH($F269,'CIOG'!$B$10:$B$14,0))),"N/A")</f>
        <v/>
      </c>
      <c r="R269" s="25">
        <f>IFERROR(IF(INDEX('MRE'!$L$10:$L$12,MATCH($F269,'MRE'!$B$10:$B$12,0))="","Cell will autofill based on response",INDEX('MRE'!$L$10:$L$12,MATCH($F269,'MRE'!$B$10:$B$12,0))),"N/A")</f>
        <v/>
      </c>
      <c r="S269" s="25">
        <f>IFERROR(IF(INDEX('L&amp;R'!$L$10:$L$11,MATCH($F269,'L&amp;R'!$B$10:$B$11,0))="","Cell will autofill based on response",INDEX('L&amp;R'!$L$10:$L$11,MATCH($F269,'L&amp;R'!$B$10:$B$11,0))),"N/A")</f>
        <v/>
      </c>
      <c r="U269" s="26">
        <f>COUNTIF($H269:$S269,"Cell will autofill based on response")</f>
        <v/>
      </c>
      <c r="V269" s="26">
        <f>COUNTIF($H269:$S269,"Not yet started")</f>
        <v/>
      </c>
      <c r="W269" s="26">
        <f>COUNTIF($H269:$S269,"Not met")</f>
        <v/>
      </c>
      <c r="X269" s="26">
        <f>COUNTIF($H269:$S269,"Partially met")</f>
        <v/>
      </c>
      <c r="Y269" s="26">
        <f>COUNTIF($H269:$S269,"Met or exceeded")</f>
        <v/>
      </c>
      <c r="Z269" s="26">
        <f>3*Y269+2*X269+W269</f>
        <v/>
      </c>
      <c r="AA269" s="26">
        <f>Y269+X269+W269+V269</f>
        <v/>
      </c>
      <c r="AB269" s="27">
        <f>IF(AA269&gt;0,Z269/AA269,"No valid responses to date")</f>
        <v/>
      </c>
      <c r="AC269" s="26">
        <f>IF(ISNUMBER(AB269),INDEX(Lists!$G$2:$G$5,MATCH(ROUND(AB269,0),Lists!$H$2:$H$5,0)),"")</f>
        <v/>
      </c>
      <c r="AD269" s="28">
        <f>IF(AA269&gt;0,Y269/AA269,"")</f>
        <v/>
      </c>
      <c r="AE269" s="28">
        <f>IF(AA269&gt;0,(Y269+X269)/AA269,"")</f>
        <v/>
      </c>
      <c r="AF269" s="26">
        <f>IF(AA269=0,"",IF(AD269&gt;0.75,"Met or exceeded",IF(AE269&gt;=0.5,"Partially met","Not met")))</f>
        <v/>
      </c>
    </row>
    <row r="270">
      <c r="A270">
        <f>F270&amp;"|"&amp;G270</f>
        <v/>
      </c>
      <c r="B270" s="29" t="inlineStr"/>
      <c r="C270" s="8" t="inlineStr"/>
      <c r="D270" s="8" t="inlineStr"/>
      <c r="E270" s="8" t="inlineStr"/>
      <c r="F270" s="8" t="inlineStr">
        <is>
          <t>RI1(b)</t>
        </is>
      </c>
      <c r="G270" s="8" t="inlineStr">
        <is>
          <t>OPTION 1:  Target-level reporting</t>
        </is>
      </c>
      <c r="H270" s="25">
        <f>IFERROR(IF(INDEX('Faculties'!$M$10:$M$30,MATCH($F270,'Faculties'!$B$10:$B$30,0))="","Cell will autofill based on response",INDEX('Faculties'!$M$10:$M$30,MATCH($F270,'Faculties'!$B$10:$B$30,0))),"N/A")</f>
        <v/>
      </c>
      <c r="I270" s="25">
        <f>IFERROR(IF(INDEX('Faculties'!$M$37:$M$57,MATCH($F270,'Faculties'!$B$37:$B$57,0))="","Cell will autofill based on response",INDEX('Faculties'!$M$37:$M$57,MATCH($F270,'Faculties'!$B$37:$B$57,0))),"N/A")</f>
        <v/>
      </c>
      <c r="J270" s="25">
        <f>IFERROR(IF(INDEX('Faculties'!$M$64:$M$84,MATCH($F270,'Faculties'!$B$64:$B$84,0))="","Cell will autofill based on response",INDEX('Faculties'!$M$64:$M$84,MATCH($F270,'Faculties'!$B$64:$B$84,0))),"N/A")</f>
        <v/>
      </c>
      <c r="K270" s="25">
        <f>IFERROR(IF(INDEX('Faculties'!$M$91:$M$111,MATCH($F270,'Faculties'!$B$91:$B$111,0))="","Cell will autofill based on response",INDEX('Faculties'!$M$91:$M$111,MATCH($F270,'Faculties'!$B$91:$B$111,0))),"N/A")</f>
        <v/>
      </c>
      <c r="L270" s="25">
        <f>IFERROR(IF(INDEX('CI&amp;S'!$M$10:$M$15,MATCH($F270,'CI&amp;S'!$B$10:$B$15,0))="","Cell will autofill based on response",INDEX('CI&amp;S'!$M$10:$M$15,MATCH($F270,'CI&amp;S'!$B$10:$B$15,0))),"N/A")</f>
        <v/>
      </c>
      <c r="M270" s="25">
        <f>IFERROR(IF(INDEX('CI&amp;S'!$M$22:$M$39,MATCH($F270,'CI&amp;S'!$B$22:$B$39,0))="","Cell will autofill based on response",INDEX('CI&amp;S'!$M$22:$M$39,MATCH($F270,'CI&amp;S'!$B$22:$B$39,0))),"N/A")</f>
        <v/>
      </c>
      <c r="N270" s="25">
        <f>IFERROR(IF(INDEX('CFOG'!$M$10:$M$16,MATCH($F270,'CFOG'!$B$10:$B$16,0))="","Cell will autofill based on response",INDEX('CFOG'!$M$10:$M$16,MATCH($F270,'CFOG'!$B$10:$B$16,0))),"N/A")</f>
        <v/>
      </c>
      <c r="O270" s="25">
        <f>IFERROR(IF(INDEX('CFOG'!$M$23:$M$24,MATCH($F270,'CFOG'!$B$23:$B$24,0))="","Cell will autofill based on response",INDEX('CFOG'!$M$23:$M$24,MATCH($F270,'CFOG'!$B$23:$B$24,0))),"N/A")</f>
        <v/>
      </c>
      <c r="P270" s="25">
        <f>IFERROR(IF(INDEX('ESG'!$M$10:$M$17,MATCH($F270,'ESG'!$B$10:$B$17,0))="","Cell will autofill based on response",INDEX('ESG'!$M$10:$M$17,MATCH($F270,'ESG'!$B$10:$B$17,0))),"N/A")</f>
        <v/>
      </c>
      <c r="Q270" s="25">
        <f>IFERROR(IF(INDEX('CIOG'!$M$10:$M$14,MATCH($F270,'CIOG'!$B$10:$B$14,0))="","Cell will autofill based on response",INDEX('CIOG'!$M$10:$M$14,MATCH($F270,'CIOG'!$B$10:$B$14,0))),"N/A")</f>
        <v/>
      </c>
      <c r="R270" s="25">
        <f>IFERROR(IF(INDEX('MRE'!$M$10:$M$12,MATCH($F270,'MRE'!$B$10:$B$12,0))="","Cell will autofill based on response",INDEX('MRE'!$M$10:$M$12,MATCH($F270,'MRE'!$B$10:$B$12,0))),"N/A")</f>
        <v/>
      </c>
      <c r="S270" s="25">
        <f>IFERROR(IF(INDEX('L&amp;R'!$M$10:$M$11,MATCH($F270,'L&amp;R'!$B$10:$B$11,0))="","Cell will autofill based on response",INDEX('L&amp;R'!$M$10:$M$11,MATCH($F270,'L&amp;R'!$B$10:$B$11,0))),"N/A")</f>
        <v/>
      </c>
    </row>
    <row r="271">
      <c r="A271">
        <f>F271&amp;"|"&amp;G271</f>
        <v/>
      </c>
      <c r="B271" s="29" t="inlineStr"/>
      <c r="C271" s="8" t="inlineStr"/>
      <c r="D271" s="8" t="inlineStr"/>
      <c r="E271" s="8" t="inlineStr"/>
      <c r="F271" s="8" t="inlineStr">
        <is>
          <t>RI1(b)</t>
        </is>
      </c>
      <c r="G271" s="8" t="inlineStr">
        <is>
          <t>OPTION 2:  Indicator level reporting</t>
        </is>
      </c>
      <c r="H271" s="25">
        <f>IFERROR(IF(INDEX('Faculties'!$N$10:$N$30,MATCH($F271,'Faculties'!$B$10:$B$30,0))="","Cell will autofill based on response",INDEX('Faculties'!$N$10:$N$30,MATCH($F271,'Faculties'!$B$10:$B$30,0))),"N/A")</f>
        <v/>
      </c>
      <c r="I271" s="25">
        <f>IFERROR(IF(INDEX('Faculties'!$N$37:$N$57,MATCH($F271,'Faculties'!$B$37:$B$57,0))="","Cell will autofill based on response",INDEX('Faculties'!$N$37:$N$57,MATCH($F271,'Faculties'!$B$37:$B$57,0))),"N/A")</f>
        <v/>
      </c>
      <c r="J271" s="25">
        <f>IFERROR(IF(INDEX('Faculties'!$N$64:$N$84,MATCH($F271,'Faculties'!$B$64:$B$84,0))="","Cell will autofill based on response",INDEX('Faculties'!$N$64:$N$84,MATCH($F271,'Faculties'!$B$64:$B$84,0))),"N/A")</f>
        <v/>
      </c>
      <c r="K271" s="25">
        <f>IFERROR(IF(INDEX('Faculties'!$N$91:$N$111,MATCH($F271,'Faculties'!$B$91:$B$111,0))="","Cell will autofill based on response",INDEX('Faculties'!$N$91:$N$111,MATCH($F271,'Faculties'!$B$91:$B$111,0))),"N/A")</f>
        <v/>
      </c>
      <c r="L271" s="25">
        <f>IFERROR(IF(INDEX('CI&amp;S'!$N$10:$N$15,MATCH($F271,'CI&amp;S'!$B$10:$B$15,0))="","Cell will autofill based on response",INDEX('CI&amp;S'!$N$10:$N$15,MATCH($F271,'CI&amp;S'!$B$10:$B$15,0))),"N/A")</f>
        <v/>
      </c>
      <c r="M271" s="25">
        <f>IFERROR(IF(INDEX('CI&amp;S'!$N$22:$N$39,MATCH($F271,'CI&amp;S'!$B$22:$B$39,0))="","Cell will autofill based on response",INDEX('CI&amp;S'!$N$22:$N$39,MATCH($F271,'CI&amp;S'!$B$22:$B$39,0))),"N/A")</f>
        <v/>
      </c>
      <c r="N271" s="25">
        <f>IFERROR(IF(INDEX('CFOG'!$N$10:$N$16,MATCH($F271,'CFOG'!$B$10:$B$16,0))="","Cell will autofill based on response",INDEX('CFOG'!$N$10:$N$16,MATCH($F271,'CFOG'!$B$10:$B$16,0))),"N/A")</f>
        <v/>
      </c>
      <c r="O271" s="25">
        <f>IFERROR(IF(INDEX('CFOG'!$N$23:$N$24,MATCH($F271,'CFOG'!$B$23:$B$24,0))="","Cell will autofill based on response",INDEX('CFOG'!$N$23:$N$24,MATCH($F271,'CFOG'!$B$23:$B$24,0))),"N/A")</f>
        <v/>
      </c>
      <c r="P271" s="25">
        <f>IFERROR(IF(INDEX('ESG'!$N$10:$N$17,MATCH($F271,'ESG'!$B$10:$B$17,0))="","Cell will autofill based on response",INDEX('ESG'!$N$10:$N$17,MATCH($F271,'ESG'!$B$10:$B$17,0))),"N/A")</f>
        <v/>
      </c>
      <c r="Q271" s="25">
        <f>IFERROR(IF(INDEX('CIOG'!$N$10:$N$14,MATCH($F271,'CIOG'!$B$10:$B$14,0))="","Cell will autofill based on response",INDEX('CIOG'!$N$10:$N$14,MATCH($F271,'CIOG'!$B$10:$B$14,0))),"N/A")</f>
        <v/>
      </c>
      <c r="R271" s="25">
        <f>IFERROR(IF(INDEX('MRE'!$N$10:$N$12,MATCH($F271,'MRE'!$B$10:$B$12,0))="","Cell will autofill based on response",INDEX('MRE'!$N$10:$N$12,MATCH($F271,'MRE'!$B$10:$B$12,0))),"N/A")</f>
        <v/>
      </c>
      <c r="S271" s="25">
        <f>IFERROR(IF(INDEX('L&amp;R'!$N$10:$N$11,MATCH($F271,'L&amp;R'!$B$10:$B$11,0))="","Cell will autofill based on response",INDEX('L&amp;R'!$N$10:$N$11,MATCH($F271,'L&amp;R'!$B$10:$B$11,0))),"N/A")</f>
        <v/>
      </c>
    </row>
    <row r="272">
      <c r="A272">
        <f>F272&amp;"|"&amp;G272</f>
        <v/>
      </c>
      <c r="B272" s="29" t="inlineStr"/>
      <c r="C272" s="8" t="inlineStr"/>
      <c r="D272" s="8" t="inlineStr"/>
      <c r="E272" s="8" t="inlineStr"/>
      <c r="F272" s="8" t="inlineStr">
        <is>
          <t>RI1(b)</t>
        </is>
      </c>
      <c r="G272" s="8" t="inlineStr">
        <is>
          <t>Supporting information/comments</t>
        </is>
      </c>
      <c r="H272" s="25">
        <f>IFERROR(IF(INDEX('Faculties'!$O$10:$O$30,MATCH($F272,'Faculties'!$B$10:$B$30,0))="","Cell will autofill based on response",INDEX('Faculties'!$O$10:$O$30,MATCH($F272,'Faculties'!$B$10:$B$30,0))),"N/A")</f>
        <v/>
      </c>
      <c r="I272" s="25">
        <f>IFERROR(IF(INDEX('Faculties'!$O$37:$O$57,MATCH($F272,'Faculties'!$B$37:$B$57,0))="","Cell will autofill based on response",INDEX('Faculties'!$O$37:$O$57,MATCH($F272,'Faculties'!$B$37:$B$57,0))),"N/A")</f>
        <v/>
      </c>
      <c r="J272" s="25">
        <f>IFERROR(IF(INDEX('Faculties'!$O$64:$O$84,MATCH($F272,'Faculties'!$B$64:$B$84,0))="","Cell will autofill based on response",INDEX('Faculties'!$O$64:$O$84,MATCH($F272,'Faculties'!$B$64:$B$84,0))),"N/A")</f>
        <v/>
      </c>
      <c r="K272" s="25">
        <f>IFERROR(IF(INDEX('Faculties'!$O$91:$O$111,MATCH($F272,'Faculties'!$B$91:$B$111,0))="","Cell will autofill based on response",INDEX('Faculties'!$O$91:$O$111,MATCH($F272,'Faculties'!$B$91:$B$111,0))),"N/A")</f>
        <v/>
      </c>
      <c r="L272" s="25">
        <f>IFERROR(IF(INDEX('CI&amp;S'!$O$10:$O$15,MATCH($F272,'CI&amp;S'!$B$10:$B$15,0))="","Cell will autofill based on response",INDEX('CI&amp;S'!$O$10:$O$15,MATCH($F272,'CI&amp;S'!$B$10:$B$15,0))),"N/A")</f>
        <v/>
      </c>
      <c r="M272" s="25">
        <f>IFERROR(IF(INDEX('CI&amp;S'!$O$22:$O$39,MATCH($F272,'CI&amp;S'!$B$22:$B$39,0))="","Cell will autofill based on response",INDEX('CI&amp;S'!$O$22:$O$39,MATCH($F272,'CI&amp;S'!$B$22:$B$39,0))),"N/A")</f>
        <v/>
      </c>
      <c r="N272" s="25">
        <f>IFERROR(IF(INDEX('CFOG'!$O$10:$O$16,MATCH($F272,'CFOG'!$B$10:$B$16,0))="","Cell will autofill based on response",INDEX('CFOG'!$O$10:$O$16,MATCH($F272,'CFOG'!$B$10:$B$16,0))),"N/A")</f>
        <v/>
      </c>
      <c r="O272" s="25">
        <f>IFERROR(IF(INDEX('CFOG'!$O$23:$O$24,MATCH($F272,'CFOG'!$B$23:$B$24,0))="","Cell will autofill based on response",INDEX('CFOG'!$O$23:$O$24,MATCH($F272,'CFOG'!$B$23:$B$24,0))),"N/A")</f>
        <v/>
      </c>
      <c r="P272" s="25">
        <f>IFERROR(IF(INDEX('ESG'!$O$10:$O$17,MATCH($F272,'ESG'!$B$10:$B$17,0))="","Cell will autofill based on response",INDEX('ESG'!$O$10:$O$17,MATCH($F272,'ESG'!$B$10:$B$17,0))),"N/A")</f>
        <v/>
      </c>
      <c r="Q272" s="25">
        <f>IFERROR(IF(INDEX('CIOG'!$O$10:$O$14,MATCH($F272,'CIOG'!$B$10:$B$14,0))="","Cell will autofill based on response",INDEX('CIOG'!$O$10:$O$14,MATCH($F272,'CIOG'!$B$10:$B$14,0))),"N/A")</f>
        <v/>
      </c>
      <c r="R272" s="25">
        <f>IFERROR(IF(INDEX('MRE'!$O$10:$O$12,MATCH($F272,'MRE'!$B$10:$B$12,0))="","Cell will autofill based on response",INDEX('MRE'!$O$10:$O$12,MATCH($F272,'MRE'!$B$10:$B$12,0))),"N/A")</f>
        <v/>
      </c>
      <c r="S272" s="25">
        <f>IFERROR(IF(INDEX('L&amp;R'!$O$10:$O$11,MATCH($F272,'L&amp;R'!$B$10:$B$11,0))="","Cell will autofill based on response",INDEX('L&amp;R'!$O$10:$O$11,MATCH($F272,'L&amp;R'!$B$10:$B$11,0))),"N/A")</f>
        <v/>
      </c>
    </row>
    <row r="273">
      <c r="A273">
        <f>F273&amp;"|"&amp;G273</f>
        <v/>
      </c>
      <c r="B273" s="29" t="inlineStr"/>
      <c r="C273" s="8" t="inlineStr"/>
      <c r="D273" s="8" t="inlineStr"/>
      <c r="E273" s="8" t="inlineStr"/>
      <c r="F273" s="8" t="inlineStr">
        <is>
          <t>RI1(b)</t>
        </is>
      </c>
      <c r="G273" s="8" t="inlineStr">
        <is>
          <t>Data source and limitations</t>
        </is>
      </c>
      <c r="H273" s="25">
        <f>IFERROR(IF(INDEX('Faculties'!$P$10:$P$30,MATCH($F273,'Faculties'!$B$10:$B$30,0))="","Cell will autofill based on response",INDEX('Faculties'!$P$10:$P$30,MATCH($F273,'Faculties'!$B$10:$B$30,0))),"N/A")</f>
        <v/>
      </c>
      <c r="I273" s="25">
        <f>IFERROR(IF(INDEX('Faculties'!$P$37:$P$57,MATCH($F273,'Faculties'!$B$37:$B$57,0))="","Cell will autofill based on response",INDEX('Faculties'!$P$37:$P$57,MATCH($F273,'Faculties'!$B$37:$B$57,0))),"N/A")</f>
        <v/>
      </c>
      <c r="J273" s="25">
        <f>IFERROR(IF(INDEX('Faculties'!$P$64:$P$84,MATCH($F273,'Faculties'!$B$64:$B$84,0))="","Cell will autofill based on response",INDEX('Faculties'!$P$64:$P$84,MATCH($F273,'Faculties'!$B$64:$B$84,0))),"N/A")</f>
        <v/>
      </c>
      <c r="K273" s="25">
        <f>IFERROR(IF(INDEX('Faculties'!$P$91:$P$111,MATCH($F273,'Faculties'!$B$91:$B$111,0))="","Cell will autofill based on response",INDEX('Faculties'!$P$91:$P$111,MATCH($F273,'Faculties'!$B$91:$B$111,0))),"N/A")</f>
        <v/>
      </c>
      <c r="L273" s="25">
        <f>IFERROR(IF(INDEX('CI&amp;S'!$P$10:$P$15,MATCH($F273,'CI&amp;S'!$B$10:$B$15,0))="","Cell will autofill based on response",INDEX('CI&amp;S'!$P$10:$P$15,MATCH($F273,'CI&amp;S'!$B$10:$B$15,0))),"N/A")</f>
        <v/>
      </c>
      <c r="M273" s="25">
        <f>IFERROR(IF(INDEX('CI&amp;S'!$P$22:$P$39,MATCH($F273,'CI&amp;S'!$B$22:$B$39,0))="","Cell will autofill based on response",INDEX('CI&amp;S'!$P$22:$P$39,MATCH($F273,'CI&amp;S'!$B$22:$B$39,0))),"N/A")</f>
        <v/>
      </c>
      <c r="N273" s="25">
        <f>IFERROR(IF(INDEX('CFOG'!$P$10:$P$16,MATCH($F273,'CFOG'!$B$10:$B$16,0))="","Cell will autofill based on response",INDEX('CFOG'!$P$10:$P$16,MATCH($F273,'CFOG'!$B$10:$B$16,0))),"N/A")</f>
        <v/>
      </c>
      <c r="O273" s="25">
        <f>IFERROR(IF(INDEX('CFOG'!$P$23:$P$24,MATCH($F273,'CFOG'!$B$23:$B$24,0))="","Cell will autofill based on response",INDEX('CFOG'!$P$23:$P$24,MATCH($F273,'CFOG'!$B$23:$B$24,0))),"N/A")</f>
        <v/>
      </c>
      <c r="P273" s="25">
        <f>IFERROR(IF(INDEX('ESG'!$P$10:$P$17,MATCH($F273,'ESG'!$B$10:$B$17,0))="","Cell will autofill based on response",INDEX('ESG'!$P$10:$P$17,MATCH($F273,'ESG'!$B$10:$B$17,0))),"N/A")</f>
        <v/>
      </c>
      <c r="Q273" s="25">
        <f>IFERROR(IF(INDEX('CIOG'!$P$10:$P$14,MATCH($F273,'CIOG'!$B$10:$B$14,0))="","Cell will autofill based on response",INDEX('CIOG'!$P$10:$P$14,MATCH($F273,'CIOG'!$B$10:$B$14,0))),"N/A")</f>
        <v/>
      </c>
      <c r="R273" s="25">
        <f>IFERROR(IF(INDEX('MRE'!$P$10:$P$12,MATCH($F273,'MRE'!$B$10:$B$12,0))="","Cell will autofill based on response",INDEX('MRE'!$P$10:$P$12,MATCH($F273,'MRE'!$B$10:$B$12,0))),"N/A")</f>
        <v/>
      </c>
      <c r="S273" s="25">
        <f>IFERROR(IF(INDEX('L&amp;R'!$P$10:$P$11,MATCH($F273,'L&amp;R'!$B$10:$B$11,0))="","Cell will autofill based on response",INDEX('L&amp;R'!$P$10:$P$11,MATCH($F273,'L&amp;R'!$B$10:$B$11,0))),"N/A")</f>
        <v/>
      </c>
    </row>
    <row r="274">
      <c r="A274">
        <f>F274&amp;"|"&amp;G274</f>
        <v/>
      </c>
      <c r="B274" s="29" t="inlineStr"/>
      <c r="C274" s="8" t="inlineStr"/>
      <c r="D274" s="8" t="inlineStr"/>
      <c r="E274" s="8" t="inlineStr"/>
      <c r="F274" s="8" t="inlineStr">
        <is>
          <t>RI1(b)</t>
        </is>
      </c>
      <c r="G274" s="8" t="inlineStr">
        <is>
          <t>Data owner confirms</t>
        </is>
      </c>
      <c r="H274" s="25">
        <f>IFERROR(IF(INDEX('Faculties'!$Q$10:$Q$30,MATCH($F274,'Faculties'!$B$10:$B$30,0))="","Cell will autofill based on response",INDEX('Faculties'!$Q$10:$Q$30,MATCH($F274,'Faculties'!$B$10:$B$30,0))),"N/A")</f>
        <v/>
      </c>
      <c r="I274" s="25">
        <f>IFERROR(IF(INDEX('Faculties'!$Q$37:$Q$57,MATCH($F274,'Faculties'!$B$37:$B$57,0))="","Cell will autofill based on response",INDEX('Faculties'!$Q$37:$Q$57,MATCH($F274,'Faculties'!$B$37:$B$57,0))),"N/A")</f>
        <v/>
      </c>
      <c r="J274" s="25">
        <f>IFERROR(IF(INDEX('Faculties'!$Q$64:$Q$84,MATCH($F274,'Faculties'!$B$64:$B$84,0))="","Cell will autofill based on response",INDEX('Faculties'!$Q$64:$Q$84,MATCH($F274,'Faculties'!$B$64:$B$84,0))),"N/A")</f>
        <v/>
      </c>
      <c r="K274" s="25">
        <f>IFERROR(IF(INDEX('Faculties'!$Q$91:$Q$111,MATCH($F274,'Faculties'!$B$91:$B$111,0))="","Cell will autofill based on response",INDEX('Faculties'!$Q$91:$Q$111,MATCH($F274,'Faculties'!$B$91:$B$111,0))),"N/A")</f>
        <v/>
      </c>
      <c r="L274" s="25">
        <f>IFERROR(IF(INDEX('CI&amp;S'!$Q$10:$Q$15,MATCH($F274,'CI&amp;S'!$B$10:$B$15,0))="","Cell will autofill based on response",INDEX('CI&amp;S'!$Q$10:$Q$15,MATCH($F274,'CI&amp;S'!$B$10:$B$15,0))),"N/A")</f>
        <v/>
      </c>
      <c r="M274" s="25">
        <f>IFERROR(IF(INDEX('CI&amp;S'!$Q$22:$Q$39,MATCH($F274,'CI&amp;S'!$B$22:$B$39,0))="","Cell will autofill based on response",INDEX('CI&amp;S'!$Q$22:$Q$39,MATCH($F274,'CI&amp;S'!$B$22:$B$39,0))),"N/A")</f>
        <v/>
      </c>
      <c r="N274" s="25">
        <f>IFERROR(IF(INDEX('CFOG'!$Q$10:$Q$16,MATCH($F274,'CFOG'!$B$10:$B$16,0))="","Cell will autofill based on response",INDEX('CFOG'!$Q$10:$Q$16,MATCH($F274,'CFOG'!$B$10:$B$16,0))),"N/A")</f>
        <v/>
      </c>
      <c r="O274" s="25">
        <f>IFERROR(IF(INDEX('CFOG'!$Q$23:$Q$24,MATCH($F274,'CFOG'!$B$23:$B$24,0))="","Cell will autofill based on response",INDEX('CFOG'!$Q$23:$Q$24,MATCH($F274,'CFOG'!$B$23:$B$24,0))),"N/A")</f>
        <v/>
      </c>
      <c r="P274" s="25">
        <f>IFERROR(IF(INDEX('ESG'!$Q$10:$Q$17,MATCH($F274,'ESG'!$B$10:$B$17,0))="","Cell will autofill based on response",INDEX('ESG'!$Q$10:$Q$17,MATCH($F274,'ESG'!$B$10:$B$17,0))),"N/A")</f>
        <v/>
      </c>
      <c r="Q274" s="25">
        <f>IFERROR(IF(INDEX('CIOG'!$Q$10:$Q$14,MATCH($F274,'CIOG'!$B$10:$B$14,0))="","Cell will autofill based on response",INDEX('CIOG'!$Q$10:$Q$14,MATCH($F274,'CIOG'!$B$10:$B$14,0))),"N/A")</f>
        <v/>
      </c>
      <c r="R274" s="25">
        <f>IFERROR(IF(INDEX('MRE'!$Q$10:$Q$12,MATCH($F274,'MRE'!$B$10:$B$12,0))="","Cell will autofill based on response",INDEX('MRE'!$Q$10:$Q$12,MATCH($F274,'MRE'!$B$10:$B$12,0))),"N/A")</f>
        <v/>
      </c>
      <c r="S274" s="25">
        <f>IFERROR(IF(INDEX('L&amp;R'!$Q$10:$Q$11,MATCH($F274,'L&amp;R'!$B$10:$B$11,0))="","Cell will autofill based on response",INDEX('L&amp;R'!$Q$10:$Q$11,MATCH($F274,'L&amp;R'!$B$10:$B$11,0))),"N/A")</f>
        <v/>
      </c>
    </row>
    <row r="275">
      <c r="A275">
        <f>F275&amp;"|"&amp;G275</f>
        <v/>
      </c>
      <c r="B275" s="7" t="inlineStr">
        <is>
          <t>EN1(a)</t>
        </is>
      </c>
      <c r="C275" s="12" t="inlineStr">
        <is>
          <t>Enablers</t>
        </is>
      </c>
      <c r="D275" s="12" t="inlineStr">
        <is>
          <t>Evidence of sustainability outcomes informed by Indigenous knowledges</t>
        </is>
      </c>
      <c r="E275" s="12" t="inlineStr">
        <is>
          <t>Please provide examples or case studies from your Faculty/Portfolio of sustainability outcomes informed by Indigenous knowledges. Describe the activity or decision, how Indigenous knowledges were incorporated or co-created, who was involved, and the resulting sustainability outcome.</t>
        </is>
      </c>
      <c r="F275" s="12" t="inlineStr">
        <is>
          <t>EN1(a)</t>
        </is>
      </c>
      <c r="G275" s="12" t="inlineStr">
        <is>
          <t>Confirm end-2026 target status</t>
        </is>
      </c>
      <c r="H275" s="25">
        <f>IFERROR(IF(INDEX('Faculties'!$L$10:$L$30,MATCH($F275,'Faculties'!$B$10:$B$30,0))="","Cell will autofill based on response",INDEX('Faculties'!$L$10:$L$30,MATCH($F275,'Faculties'!$B$10:$B$30,0))),"N/A")</f>
        <v/>
      </c>
      <c r="I275" s="25">
        <f>IFERROR(IF(INDEX('Faculties'!$L$37:$L$57,MATCH($F275,'Faculties'!$B$37:$B$57,0))="","Cell will autofill based on response",INDEX('Faculties'!$L$37:$L$57,MATCH($F275,'Faculties'!$B$37:$B$57,0))),"N/A")</f>
        <v/>
      </c>
      <c r="J275" s="25">
        <f>IFERROR(IF(INDEX('Faculties'!$L$64:$L$84,MATCH($F275,'Faculties'!$B$64:$B$84,0))="","Cell will autofill based on response",INDEX('Faculties'!$L$64:$L$84,MATCH($F275,'Faculties'!$B$64:$B$84,0))),"N/A")</f>
        <v/>
      </c>
      <c r="K275" s="25">
        <f>IFERROR(IF(INDEX('Faculties'!$L$91:$L$111,MATCH($F275,'Faculties'!$B$91:$B$111,0))="","Cell will autofill based on response",INDEX('Faculties'!$L$91:$L$111,MATCH($F275,'Faculties'!$B$91:$B$111,0))),"N/A")</f>
        <v/>
      </c>
      <c r="L275" s="25">
        <f>IFERROR(IF(INDEX('CI&amp;S'!$L$10:$L$15,MATCH($F275,'CI&amp;S'!$B$10:$B$15,0))="","Cell will autofill based on response",INDEX('CI&amp;S'!$L$10:$L$15,MATCH($F275,'CI&amp;S'!$B$10:$B$15,0))),"N/A")</f>
        <v/>
      </c>
      <c r="M275" s="25">
        <f>IFERROR(IF(INDEX('CI&amp;S'!$L$22:$L$39,MATCH($F275,'CI&amp;S'!$B$22:$B$39,0))="","Cell will autofill based on response",INDEX('CI&amp;S'!$L$22:$L$39,MATCH($F275,'CI&amp;S'!$B$22:$B$39,0))),"N/A")</f>
        <v/>
      </c>
      <c r="N275" s="25">
        <f>IFERROR(IF(INDEX('CFOG'!$L$10:$L$16,MATCH($F275,'CFOG'!$B$10:$B$16,0))="","Cell will autofill based on response",INDEX('CFOG'!$L$10:$L$16,MATCH($F275,'CFOG'!$B$10:$B$16,0))),"N/A")</f>
        <v/>
      </c>
      <c r="O275" s="25">
        <f>IFERROR(IF(INDEX('CFOG'!$L$23:$L$24,MATCH($F275,'CFOG'!$B$23:$B$24,0))="","Cell will autofill based on response",INDEX('CFOG'!$L$23:$L$24,MATCH($F275,'CFOG'!$B$23:$B$24,0))),"N/A")</f>
        <v/>
      </c>
      <c r="P275" s="25">
        <f>IFERROR(IF(INDEX('ESG'!$L$10:$L$17,MATCH($F275,'ESG'!$B$10:$B$17,0))="","Cell will autofill based on response",INDEX('ESG'!$L$10:$L$17,MATCH($F275,'ESG'!$B$10:$B$17,0))),"N/A")</f>
        <v/>
      </c>
      <c r="Q275" s="25">
        <f>IFERROR(IF(INDEX('CIOG'!$L$10:$L$14,MATCH($F275,'CIOG'!$B$10:$B$14,0))="","Cell will autofill based on response",INDEX('CIOG'!$L$10:$L$14,MATCH($F275,'CIOG'!$B$10:$B$14,0))),"N/A")</f>
        <v/>
      </c>
      <c r="R275" s="25">
        <f>IFERROR(IF(INDEX('MRE'!$L$10:$L$12,MATCH($F275,'MRE'!$B$10:$B$12,0))="","Cell will autofill based on response",INDEX('MRE'!$L$10:$L$12,MATCH($F275,'MRE'!$B$10:$B$12,0))),"N/A")</f>
        <v/>
      </c>
      <c r="S275" s="25">
        <f>IFERROR(IF(INDEX('L&amp;R'!$L$10:$L$11,MATCH($F275,'L&amp;R'!$B$10:$B$11,0))="","Cell will autofill based on response",INDEX('L&amp;R'!$L$10:$L$11,MATCH($F275,'L&amp;R'!$B$10:$B$11,0))),"N/A")</f>
        <v/>
      </c>
      <c r="U275" s="26">
        <f>COUNTIF($H275:$S275,"Cell will autofill based on response")</f>
        <v/>
      </c>
      <c r="V275" s="26">
        <f>COUNTIF($H275:$S275,"Not yet started")</f>
        <v/>
      </c>
      <c r="W275" s="26">
        <f>COUNTIF($H275:$S275,"Not met")</f>
        <v/>
      </c>
      <c r="X275" s="26">
        <f>COUNTIF($H275:$S275,"Partially met")</f>
        <v/>
      </c>
      <c r="Y275" s="26">
        <f>COUNTIF($H275:$S275,"Met or exceeded")</f>
        <v/>
      </c>
      <c r="Z275" s="26">
        <f>3*Y275+2*X275+W275</f>
        <v/>
      </c>
      <c r="AA275" s="26">
        <f>Y275+X275+W275+V275</f>
        <v/>
      </c>
      <c r="AB275" s="27">
        <f>IF(AA275&gt;0,Z275/AA275,"No valid responses to date")</f>
        <v/>
      </c>
      <c r="AC275" s="26">
        <f>IF(ISNUMBER(AB275),INDEX(Lists!$G$2:$G$5,MATCH(ROUND(AB275,0),Lists!$H$2:$H$5,0)),"")</f>
        <v/>
      </c>
      <c r="AD275" s="28">
        <f>IF(AA275&gt;0,Y275/AA275,"")</f>
        <v/>
      </c>
      <c r="AE275" s="28">
        <f>IF(AA275&gt;0,(Y275+X275)/AA275,"")</f>
        <v/>
      </c>
      <c r="AF275" s="26">
        <f>IF(AA275=0,"",IF(AD275&gt;0.75,"Met or exceeded",IF(AE275&gt;=0.5,"Partially met","Not met")))</f>
        <v/>
      </c>
    </row>
    <row r="276">
      <c r="A276">
        <f>F276&amp;"|"&amp;G276</f>
        <v/>
      </c>
      <c r="B276" s="29" t="inlineStr"/>
      <c r="C276" s="8" t="inlineStr"/>
      <c r="D276" s="8" t="inlineStr"/>
      <c r="E276" s="8" t="inlineStr"/>
      <c r="F276" s="8" t="inlineStr">
        <is>
          <t>EN1(a)</t>
        </is>
      </c>
      <c r="G276" s="8" t="inlineStr">
        <is>
          <t>OPTION 1:  Target-level reporting</t>
        </is>
      </c>
      <c r="H276" s="25">
        <f>IFERROR(IF(INDEX('Faculties'!$M$10:$M$30,MATCH($F276,'Faculties'!$B$10:$B$30,0))="","Cell will autofill based on response",INDEX('Faculties'!$M$10:$M$30,MATCH($F276,'Faculties'!$B$10:$B$30,0))),"N/A")</f>
        <v/>
      </c>
      <c r="I276" s="25">
        <f>IFERROR(IF(INDEX('Faculties'!$M$37:$M$57,MATCH($F276,'Faculties'!$B$37:$B$57,0))="","Cell will autofill based on response",INDEX('Faculties'!$M$37:$M$57,MATCH($F276,'Faculties'!$B$37:$B$57,0))),"N/A")</f>
        <v/>
      </c>
      <c r="J276" s="25">
        <f>IFERROR(IF(INDEX('Faculties'!$M$64:$M$84,MATCH($F276,'Faculties'!$B$64:$B$84,0))="","Cell will autofill based on response",INDEX('Faculties'!$M$64:$M$84,MATCH($F276,'Faculties'!$B$64:$B$84,0))),"N/A")</f>
        <v/>
      </c>
      <c r="K276" s="25">
        <f>IFERROR(IF(INDEX('Faculties'!$M$91:$M$111,MATCH($F276,'Faculties'!$B$91:$B$111,0))="","Cell will autofill based on response",INDEX('Faculties'!$M$91:$M$111,MATCH($F276,'Faculties'!$B$91:$B$111,0))),"N/A")</f>
        <v/>
      </c>
      <c r="L276" s="25">
        <f>IFERROR(IF(INDEX('CI&amp;S'!$M$10:$M$15,MATCH($F276,'CI&amp;S'!$B$10:$B$15,0))="","Cell will autofill based on response",INDEX('CI&amp;S'!$M$10:$M$15,MATCH($F276,'CI&amp;S'!$B$10:$B$15,0))),"N/A")</f>
        <v/>
      </c>
      <c r="M276" s="25">
        <f>IFERROR(IF(INDEX('CI&amp;S'!$M$22:$M$39,MATCH($F276,'CI&amp;S'!$B$22:$B$39,0))="","Cell will autofill based on response",INDEX('CI&amp;S'!$M$22:$M$39,MATCH($F276,'CI&amp;S'!$B$22:$B$39,0))),"N/A")</f>
        <v/>
      </c>
      <c r="N276" s="25">
        <f>IFERROR(IF(INDEX('CFOG'!$M$10:$M$16,MATCH($F276,'CFOG'!$B$10:$B$16,0))="","Cell will autofill based on response",INDEX('CFOG'!$M$10:$M$16,MATCH($F276,'CFOG'!$B$10:$B$16,0))),"N/A")</f>
        <v/>
      </c>
      <c r="O276" s="25">
        <f>IFERROR(IF(INDEX('CFOG'!$M$23:$M$24,MATCH($F276,'CFOG'!$B$23:$B$24,0))="","Cell will autofill based on response",INDEX('CFOG'!$M$23:$M$24,MATCH($F276,'CFOG'!$B$23:$B$24,0))),"N/A")</f>
        <v/>
      </c>
      <c r="P276" s="25">
        <f>IFERROR(IF(INDEX('ESG'!$M$10:$M$17,MATCH($F276,'ESG'!$B$10:$B$17,0))="","Cell will autofill based on response",INDEX('ESG'!$M$10:$M$17,MATCH($F276,'ESG'!$B$10:$B$17,0))),"N/A")</f>
        <v/>
      </c>
      <c r="Q276" s="25">
        <f>IFERROR(IF(INDEX('CIOG'!$M$10:$M$14,MATCH($F276,'CIOG'!$B$10:$B$14,0))="","Cell will autofill based on response",INDEX('CIOG'!$M$10:$M$14,MATCH($F276,'CIOG'!$B$10:$B$14,0))),"N/A")</f>
        <v/>
      </c>
      <c r="R276" s="25">
        <f>IFERROR(IF(INDEX('MRE'!$M$10:$M$12,MATCH($F276,'MRE'!$B$10:$B$12,0))="","Cell will autofill based on response",INDEX('MRE'!$M$10:$M$12,MATCH($F276,'MRE'!$B$10:$B$12,0))),"N/A")</f>
        <v/>
      </c>
      <c r="S276" s="25">
        <f>IFERROR(IF(INDEX('L&amp;R'!$M$10:$M$11,MATCH($F276,'L&amp;R'!$B$10:$B$11,0))="","Cell will autofill based on response",INDEX('L&amp;R'!$M$10:$M$11,MATCH($F276,'L&amp;R'!$B$10:$B$11,0))),"N/A")</f>
        <v/>
      </c>
    </row>
    <row r="277">
      <c r="A277">
        <f>F277&amp;"|"&amp;G277</f>
        <v/>
      </c>
      <c r="B277" s="29" t="inlineStr"/>
      <c r="C277" s="8" t="inlineStr"/>
      <c r="D277" s="8" t="inlineStr"/>
      <c r="E277" s="8" t="inlineStr"/>
      <c r="F277" s="8" t="inlineStr">
        <is>
          <t>EN1(a)</t>
        </is>
      </c>
      <c r="G277" s="8" t="inlineStr">
        <is>
          <t>OPTION 2:  Indicator level reporting</t>
        </is>
      </c>
      <c r="H277" s="25">
        <f>IFERROR(IF(INDEX('Faculties'!$N$10:$N$30,MATCH($F277,'Faculties'!$B$10:$B$30,0))="","Cell will autofill based on response",INDEX('Faculties'!$N$10:$N$30,MATCH($F277,'Faculties'!$B$10:$B$30,0))),"N/A")</f>
        <v/>
      </c>
      <c r="I277" s="25">
        <f>IFERROR(IF(INDEX('Faculties'!$N$37:$N$57,MATCH($F277,'Faculties'!$B$37:$B$57,0))="","Cell will autofill based on response",INDEX('Faculties'!$N$37:$N$57,MATCH($F277,'Faculties'!$B$37:$B$57,0))),"N/A")</f>
        <v/>
      </c>
      <c r="J277" s="25">
        <f>IFERROR(IF(INDEX('Faculties'!$N$64:$N$84,MATCH($F277,'Faculties'!$B$64:$B$84,0))="","Cell will autofill based on response",INDEX('Faculties'!$N$64:$N$84,MATCH($F277,'Faculties'!$B$64:$B$84,0))),"N/A")</f>
        <v/>
      </c>
      <c r="K277" s="25">
        <f>IFERROR(IF(INDEX('Faculties'!$N$91:$N$111,MATCH($F277,'Faculties'!$B$91:$B$111,0))="","Cell will autofill based on response",INDEX('Faculties'!$N$91:$N$111,MATCH($F277,'Faculties'!$B$91:$B$111,0))),"N/A")</f>
        <v/>
      </c>
      <c r="L277" s="25">
        <f>IFERROR(IF(INDEX('CI&amp;S'!$N$10:$N$15,MATCH($F277,'CI&amp;S'!$B$10:$B$15,0))="","Cell will autofill based on response",INDEX('CI&amp;S'!$N$10:$N$15,MATCH($F277,'CI&amp;S'!$B$10:$B$15,0))),"N/A")</f>
        <v/>
      </c>
      <c r="M277" s="25">
        <f>IFERROR(IF(INDEX('CI&amp;S'!$N$22:$N$39,MATCH($F277,'CI&amp;S'!$B$22:$B$39,0))="","Cell will autofill based on response",INDEX('CI&amp;S'!$N$22:$N$39,MATCH($F277,'CI&amp;S'!$B$22:$B$39,0))),"N/A")</f>
        <v/>
      </c>
      <c r="N277" s="25">
        <f>IFERROR(IF(INDEX('CFOG'!$N$10:$N$16,MATCH($F277,'CFOG'!$B$10:$B$16,0))="","Cell will autofill based on response",INDEX('CFOG'!$N$10:$N$16,MATCH($F277,'CFOG'!$B$10:$B$16,0))),"N/A")</f>
        <v/>
      </c>
      <c r="O277" s="25">
        <f>IFERROR(IF(INDEX('CFOG'!$N$23:$N$24,MATCH($F277,'CFOG'!$B$23:$B$24,0))="","Cell will autofill based on response",INDEX('CFOG'!$N$23:$N$24,MATCH($F277,'CFOG'!$B$23:$B$24,0))),"N/A")</f>
        <v/>
      </c>
      <c r="P277" s="25">
        <f>IFERROR(IF(INDEX('ESG'!$N$10:$N$17,MATCH($F277,'ESG'!$B$10:$B$17,0))="","Cell will autofill based on response",INDEX('ESG'!$N$10:$N$17,MATCH($F277,'ESG'!$B$10:$B$17,0))),"N/A")</f>
        <v/>
      </c>
      <c r="Q277" s="25">
        <f>IFERROR(IF(INDEX('CIOG'!$N$10:$N$14,MATCH($F277,'CIOG'!$B$10:$B$14,0))="","Cell will autofill based on response",INDEX('CIOG'!$N$10:$N$14,MATCH($F277,'CIOG'!$B$10:$B$14,0))),"N/A")</f>
        <v/>
      </c>
      <c r="R277" s="25">
        <f>IFERROR(IF(INDEX('MRE'!$N$10:$N$12,MATCH($F277,'MRE'!$B$10:$B$12,0))="","Cell will autofill based on response",INDEX('MRE'!$N$10:$N$12,MATCH($F277,'MRE'!$B$10:$B$12,0))),"N/A")</f>
        <v/>
      </c>
      <c r="S277" s="25">
        <f>IFERROR(IF(INDEX('L&amp;R'!$N$10:$N$11,MATCH($F277,'L&amp;R'!$B$10:$B$11,0))="","Cell will autofill based on response",INDEX('L&amp;R'!$N$10:$N$11,MATCH($F277,'L&amp;R'!$B$10:$B$11,0))),"N/A")</f>
        <v/>
      </c>
    </row>
    <row r="278">
      <c r="A278">
        <f>F278&amp;"|"&amp;G278</f>
        <v/>
      </c>
      <c r="B278" s="29" t="inlineStr"/>
      <c r="C278" s="8" t="inlineStr"/>
      <c r="D278" s="8" t="inlineStr"/>
      <c r="E278" s="8" t="inlineStr"/>
      <c r="F278" s="8" t="inlineStr">
        <is>
          <t>EN1(a)</t>
        </is>
      </c>
      <c r="G278" s="8" t="inlineStr">
        <is>
          <t>Supporting information/comments</t>
        </is>
      </c>
      <c r="H278" s="25">
        <f>IFERROR(IF(INDEX('Faculties'!$O$10:$O$30,MATCH($F278,'Faculties'!$B$10:$B$30,0))="","Cell will autofill based on response",INDEX('Faculties'!$O$10:$O$30,MATCH($F278,'Faculties'!$B$10:$B$30,0))),"N/A")</f>
        <v/>
      </c>
      <c r="I278" s="25">
        <f>IFERROR(IF(INDEX('Faculties'!$O$37:$O$57,MATCH($F278,'Faculties'!$B$37:$B$57,0))="","Cell will autofill based on response",INDEX('Faculties'!$O$37:$O$57,MATCH($F278,'Faculties'!$B$37:$B$57,0))),"N/A")</f>
        <v/>
      </c>
      <c r="J278" s="25">
        <f>IFERROR(IF(INDEX('Faculties'!$O$64:$O$84,MATCH($F278,'Faculties'!$B$64:$B$84,0))="","Cell will autofill based on response",INDEX('Faculties'!$O$64:$O$84,MATCH($F278,'Faculties'!$B$64:$B$84,0))),"N/A")</f>
        <v/>
      </c>
      <c r="K278" s="25">
        <f>IFERROR(IF(INDEX('Faculties'!$O$91:$O$111,MATCH($F278,'Faculties'!$B$91:$B$111,0))="","Cell will autofill based on response",INDEX('Faculties'!$O$91:$O$111,MATCH($F278,'Faculties'!$B$91:$B$111,0))),"N/A")</f>
        <v/>
      </c>
      <c r="L278" s="25">
        <f>IFERROR(IF(INDEX('CI&amp;S'!$O$10:$O$15,MATCH($F278,'CI&amp;S'!$B$10:$B$15,0))="","Cell will autofill based on response",INDEX('CI&amp;S'!$O$10:$O$15,MATCH($F278,'CI&amp;S'!$B$10:$B$15,0))),"N/A")</f>
        <v/>
      </c>
      <c r="M278" s="25">
        <f>IFERROR(IF(INDEX('CI&amp;S'!$O$22:$O$39,MATCH($F278,'CI&amp;S'!$B$22:$B$39,0))="","Cell will autofill based on response",INDEX('CI&amp;S'!$O$22:$O$39,MATCH($F278,'CI&amp;S'!$B$22:$B$39,0))),"N/A")</f>
        <v/>
      </c>
      <c r="N278" s="25">
        <f>IFERROR(IF(INDEX('CFOG'!$O$10:$O$16,MATCH($F278,'CFOG'!$B$10:$B$16,0))="","Cell will autofill based on response",INDEX('CFOG'!$O$10:$O$16,MATCH($F278,'CFOG'!$B$10:$B$16,0))),"N/A")</f>
        <v/>
      </c>
      <c r="O278" s="25">
        <f>IFERROR(IF(INDEX('CFOG'!$O$23:$O$24,MATCH($F278,'CFOG'!$B$23:$B$24,0))="","Cell will autofill based on response",INDEX('CFOG'!$O$23:$O$24,MATCH($F278,'CFOG'!$B$23:$B$24,0))),"N/A")</f>
        <v/>
      </c>
      <c r="P278" s="25">
        <f>IFERROR(IF(INDEX('ESG'!$O$10:$O$17,MATCH($F278,'ESG'!$B$10:$B$17,0))="","Cell will autofill based on response",INDEX('ESG'!$O$10:$O$17,MATCH($F278,'ESG'!$B$10:$B$17,0))),"N/A")</f>
        <v/>
      </c>
      <c r="Q278" s="25">
        <f>IFERROR(IF(INDEX('CIOG'!$O$10:$O$14,MATCH($F278,'CIOG'!$B$10:$B$14,0))="","Cell will autofill based on response",INDEX('CIOG'!$O$10:$O$14,MATCH($F278,'CIOG'!$B$10:$B$14,0))),"N/A")</f>
        <v/>
      </c>
      <c r="R278" s="25">
        <f>IFERROR(IF(INDEX('MRE'!$O$10:$O$12,MATCH($F278,'MRE'!$B$10:$B$12,0))="","Cell will autofill based on response",INDEX('MRE'!$O$10:$O$12,MATCH($F278,'MRE'!$B$10:$B$12,0))),"N/A")</f>
        <v/>
      </c>
      <c r="S278" s="25">
        <f>IFERROR(IF(INDEX('L&amp;R'!$O$10:$O$11,MATCH($F278,'L&amp;R'!$B$10:$B$11,0))="","Cell will autofill based on response",INDEX('L&amp;R'!$O$10:$O$11,MATCH($F278,'L&amp;R'!$B$10:$B$11,0))),"N/A")</f>
        <v/>
      </c>
    </row>
    <row r="279">
      <c r="A279">
        <f>F279&amp;"|"&amp;G279</f>
        <v/>
      </c>
      <c r="B279" s="29" t="inlineStr"/>
      <c r="C279" s="8" t="inlineStr"/>
      <c r="D279" s="8" t="inlineStr"/>
      <c r="E279" s="8" t="inlineStr"/>
      <c r="F279" s="8" t="inlineStr">
        <is>
          <t>EN1(a)</t>
        </is>
      </c>
      <c r="G279" s="8" t="inlineStr">
        <is>
          <t>Data source and limitations</t>
        </is>
      </c>
      <c r="H279" s="25">
        <f>IFERROR(IF(INDEX('Faculties'!$P$10:$P$30,MATCH($F279,'Faculties'!$B$10:$B$30,0))="","Cell will autofill based on response",INDEX('Faculties'!$P$10:$P$30,MATCH($F279,'Faculties'!$B$10:$B$30,0))),"N/A")</f>
        <v/>
      </c>
      <c r="I279" s="25">
        <f>IFERROR(IF(INDEX('Faculties'!$P$37:$P$57,MATCH($F279,'Faculties'!$B$37:$B$57,0))="","Cell will autofill based on response",INDEX('Faculties'!$P$37:$P$57,MATCH($F279,'Faculties'!$B$37:$B$57,0))),"N/A")</f>
        <v/>
      </c>
      <c r="J279" s="25">
        <f>IFERROR(IF(INDEX('Faculties'!$P$64:$P$84,MATCH($F279,'Faculties'!$B$64:$B$84,0))="","Cell will autofill based on response",INDEX('Faculties'!$P$64:$P$84,MATCH($F279,'Faculties'!$B$64:$B$84,0))),"N/A")</f>
        <v/>
      </c>
      <c r="K279" s="25">
        <f>IFERROR(IF(INDEX('Faculties'!$P$91:$P$111,MATCH($F279,'Faculties'!$B$91:$B$111,0))="","Cell will autofill based on response",INDEX('Faculties'!$P$91:$P$111,MATCH($F279,'Faculties'!$B$91:$B$111,0))),"N/A")</f>
        <v/>
      </c>
      <c r="L279" s="25">
        <f>IFERROR(IF(INDEX('CI&amp;S'!$P$10:$P$15,MATCH($F279,'CI&amp;S'!$B$10:$B$15,0))="","Cell will autofill based on response",INDEX('CI&amp;S'!$P$10:$P$15,MATCH($F279,'CI&amp;S'!$B$10:$B$15,0))),"N/A")</f>
        <v/>
      </c>
      <c r="M279" s="25">
        <f>IFERROR(IF(INDEX('CI&amp;S'!$P$22:$P$39,MATCH($F279,'CI&amp;S'!$B$22:$B$39,0))="","Cell will autofill based on response",INDEX('CI&amp;S'!$P$22:$P$39,MATCH($F279,'CI&amp;S'!$B$22:$B$39,0))),"N/A")</f>
        <v/>
      </c>
      <c r="N279" s="25">
        <f>IFERROR(IF(INDEX('CFOG'!$P$10:$P$16,MATCH($F279,'CFOG'!$B$10:$B$16,0))="","Cell will autofill based on response",INDEX('CFOG'!$P$10:$P$16,MATCH($F279,'CFOG'!$B$10:$B$16,0))),"N/A")</f>
        <v/>
      </c>
      <c r="O279" s="25">
        <f>IFERROR(IF(INDEX('CFOG'!$P$23:$P$24,MATCH($F279,'CFOG'!$B$23:$B$24,0))="","Cell will autofill based on response",INDEX('CFOG'!$P$23:$P$24,MATCH($F279,'CFOG'!$B$23:$B$24,0))),"N/A")</f>
        <v/>
      </c>
      <c r="P279" s="25">
        <f>IFERROR(IF(INDEX('ESG'!$P$10:$P$17,MATCH($F279,'ESG'!$B$10:$B$17,0))="","Cell will autofill based on response",INDEX('ESG'!$P$10:$P$17,MATCH($F279,'ESG'!$B$10:$B$17,0))),"N/A")</f>
        <v/>
      </c>
      <c r="Q279" s="25">
        <f>IFERROR(IF(INDEX('CIOG'!$P$10:$P$14,MATCH($F279,'CIOG'!$B$10:$B$14,0))="","Cell will autofill based on response",INDEX('CIOG'!$P$10:$P$14,MATCH($F279,'CIOG'!$B$10:$B$14,0))),"N/A")</f>
        <v/>
      </c>
      <c r="R279" s="25">
        <f>IFERROR(IF(INDEX('MRE'!$P$10:$P$12,MATCH($F279,'MRE'!$B$10:$B$12,0))="","Cell will autofill based on response",INDEX('MRE'!$P$10:$P$12,MATCH($F279,'MRE'!$B$10:$B$12,0))),"N/A")</f>
        <v/>
      </c>
      <c r="S279" s="25">
        <f>IFERROR(IF(INDEX('L&amp;R'!$P$10:$P$11,MATCH($F279,'L&amp;R'!$B$10:$B$11,0))="","Cell will autofill based on response",INDEX('L&amp;R'!$P$10:$P$11,MATCH($F279,'L&amp;R'!$B$10:$B$11,0))),"N/A")</f>
        <v/>
      </c>
    </row>
    <row r="280">
      <c r="A280">
        <f>F280&amp;"|"&amp;G280</f>
        <v/>
      </c>
      <c r="B280" s="29" t="inlineStr"/>
      <c r="C280" s="8" t="inlineStr"/>
      <c r="D280" s="8" t="inlineStr"/>
      <c r="E280" s="8" t="inlineStr"/>
      <c r="F280" s="8" t="inlineStr">
        <is>
          <t>EN1(a)</t>
        </is>
      </c>
      <c r="G280" s="8" t="inlineStr">
        <is>
          <t>Data owner confirms</t>
        </is>
      </c>
      <c r="H280" s="25">
        <f>IFERROR(IF(INDEX('Faculties'!$Q$10:$Q$30,MATCH($F280,'Faculties'!$B$10:$B$30,0))="","Cell will autofill based on response",INDEX('Faculties'!$Q$10:$Q$30,MATCH($F280,'Faculties'!$B$10:$B$30,0))),"N/A")</f>
        <v/>
      </c>
      <c r="I280" s="25">
        <f>IFERROR(IF(INDEX('Faculties'!$Q$37:$Q$57,MATCH($F280,'Faculties'!$B$37:$B$57,0))="","Cell will autofill based on response",INDEX('Faculties'!$Q$37:$Q$57,MATCH($F280,'Faculties'!$B$37:$B$57,0))),"N/A")</f>
        <v/>
      </c>
      <c r="J280" s="25">
        <f>IFERROR(IF(INDEX('Faculties'!$Q$64:$Q$84,MATCH($F280,'Faculties'!$B$64:$B$84,0))="","Cell will autofill based on response",INDEX('Faculties'!$Q$64:$Q$84,MATCH($F280,'Faculties'!$B$64:$B$84,0))),"N/A")</f>
        <v/>
      </c>
      <c r="K280" s="25">
        <f>IFERROR(IF(INDEX('Faculties'!$Q$91:$Q$111,MATCH($F280,'Faculties'!$B$91:$B$111,0))="","Cell will autofill based on response",INDEX('Faculties'!$Q$91:$Q$111,MATCH($F280,'Faculties'!$B$91:$B$111,0))),"N/A")</f>
        <v/>
      </c>
      <c r="L280" s="25">
        <f>IFERROR(IF(INDEX('CI&amp;S'!$Q$10:$Q$15,MATCH($F280,'CI&amp;S'!$B$10:$B$15,0))="","Cell will autofill based on response",INDEX('CI&amp;S'!$Q$10:$Q$15,MATCH($F280,'CI&amp;S'!$B$10:$B$15,0))),"N/A")</f>
        <v/>
      </c>
      <c r="M280" s="25">
        <f>IFERROR(IF(INDEX('CI&amp;S'!$Q$22:$Q$39,MATCH($F280,'CI&amp;S'!$B$22:$B$39,0))="","Cell will autofill based on response",INDEX('CI&amp;S'!$Q$22:$Q$39,MATCH($F280,'CI&amp;S'!$B$22:$B$39,0))),"N/A")</f>
        <v/>
      </c>
      <c r="N280" s="25">
        <f>IFERROR(IF(INDEX('CFOG'!$Q$10:$Q$16,MATCH($F280,'CFOG'!$B$10:$B$16,0))="","Cell will autofill based on response",INDEX('CFOG'!$Q$10:$Q$16,MATCH($F280,'CFOG'!$B$10:$B$16,0))),"N/A")</f>
        <v/>
      </c>
      <c r="O280" s="25">
        <f>IFERROR(IF(INDEX('CFOG'!$Q$23:$Q$24,MATCH($F280,'CFOG'!$B$23:$B$24,0))="","Cell will autofill based on response",INDEX('CFOG'!$Q$23:$Q$24,MATCH($F280,'CFOG'!$B$23:$B$24,0))),"N/A")</f>
        <v/>
      </c>
      <c r="P280" s="25">
        <f>IFERROR(IF(INDEX('ESG'!$Q$10:$Q$17,MATCH($F280,'ESG'!$B$10:$B$17,0))="","Cell will autofill based on response",INDEX('ESG'!$Q$10:$Q$17,MATCH($F280,'ESG'!$B$10:$B$17,0))),"N/A")</f>
        <v/>
      </c>
      <c r="Q280" s="25">
        <f>IFERROR(IF(INDEX('CIOG'!$Q$10:$Q$14,MATCH($F280,'CIOG'!$B$10:$B$14,0))="","Cell will autofill based on response",INDEX('CIOG'!$Q$10:$Q$14,MATCH($F280,'CIOG'!$B$10:$B$14,0))),"N/A")</f>
        <v/>
      </c>
      <c r="R280" s="25">
        <f>IFERROR(IF(INDEX('MRE'!$Q$10:$Q$12,MATCH($F280,'MRE'!$B$10:$B$12,0))="","Cell will autofill based on response",INDEX('MRE'!$Q$10:$Q$12,MATCH($F280,'MRE'!$B$10:$B$12,0))),"N/A")</f>
        <v/>
      </c>
      <c r="S280" s="25">
        <f>IFERROR(IF(INDEX('L&amp;R'!$Q$10:$Q$11,MATCH($F280,'L&amp;R'!$B$10:$B$11,0))="","Cell will autofill based on response",INDEX('L&amp;R'!$Q$10:$Q$11,MATCH($F280,'L&amp;R'!$B$10:$B$11,0))),"N/A")</f>
        <v/>
      </c>
    </row>
    <row r="281">
      <c r="A281">
        <f>F281&amp;"|"&amp;G281</f>
        <v/>
      </c>
      <c r="B281" s="7" t="inlineStr">
        <is>
          <t>EN1(b)</t>
        </is>
      </c>
      <c r="C281" s="12" t="inlineStr">
        <is>
          <t>Enablers</t>
        </is>
      </c>
      <c r="D281" s="12" t="inlineStr">
        <is>
          <t>Living laboratories enabling applied learning, research and operational sustainability outcomes</t>
        </is>
      </c>
      <c r="E281" s="12" t="inlineStr">
        <is>
          <t>Comment on living labs in the Faculty - outputs, outcomes, and impact</t>
        </is>
      </c>
      <c r="F281" s="12" t="inlineStr">
        <is>
          <t>EN1(b)</t>
        </is>
      </c>
      <c r="G281" s="12" t="inlineStr">
        <is>
          <t>Confirm end-2026 target status</t>
        </is>
      </c>
      <c r="H281" s="25">
        <f>IFERROR(IF(INDEX('Faculties'!$L$10:$L$30,MATCH($F281,'Faculties'!$B$10:$B$30,0))="","Cell will autofill based on response",INDEX('Faculties'!$L$10:$L$30,MATCH($F281,'Faculties'!$B$10:$B$30,0))),"N/A")</f>
        <v/>
      </c>
      <c r="I281" s="25">
        <f>IFERROR(IF(INDEX('Faculties'!$L$37:$L$57,MATCH($F281,'Faculties'!$B$37:$B$57,0))="","Cell will autofill based on response",INDEX('Faculties'!$L$37:$L$57,MATCH($F281,'Faculties'!$B$37:$B$57,0))),"N/A")</f>
        <v/>
      </c>
      <c r="J281" s="25">
        <f>IFERROR(IF(INDEX('Faculties'!$L$64:$L$84,MATCH($F281,'Faculties'!$B$64:$B$84,0))="","Cell will autofill based on response",INDEX('Faculties'!$L$64:$L$84,MATCH($F281,'Faculties'!$B$64:$B$84,0))),"N/A")</f>
        <v/>
      </c>
      <c r="K281" s="25">
        <f>IFERROR(IF(INDEX('Faculties'!$L$91:$L$111,MATCH($F281,'Faculties'!$B$91:$B$111,0))="","Cell will autofill based on response",INDEX('Faculties'!$L$91:$L$111,MATCH($F281,'Faculties'!$B$91:$B$111,0))),"N/A")</f>
        <v/>
      </c>
      <c r="L281" s="25">
        <f>IFERROR(IF(INDEX('CI&amp;S'!$L$10:$L$15,MATCH($F281,'CI&amp;S'!$B$10:$B$15,0))="","Cell will autofill based on response",INDEX('CI&amp;S'!$L$10:$L$15,MATCH($F281,'CI&amp;S'!$B$10:$B$15,0))),"N/A")</f>
        <v/>
      </c>
      <c r="M281" s="25">
        <f>IFERROR(IF(INDEX('CI&amp;S'!$L$22:$L$39,MATCH($F281,'CI&amp;S'!$B$22:$B$39,0))="","Cell will autofill based on response",INDEX('CI&amp;S'!$L$22:$L$39,MATCH($F281,'CI&amp;S'!$B$22:$B$39,0))),"N/A")</f>
        <v/>
      </c>
      <c r="N281" s="25">
        <f>IFERROR(IF(INDEX('CFOG'!$L$10:$L$16,MATCH($F281,'CFOG'!$B$10:$B$16,0))="","Cell will autofill based on response",INDEX('CFOG'!$L$10:$L$16,MATCH($F281,'CFOG'!$B$10:$B$16,0))),"N/A")</f>
        <v/>
      </c>
      <c r="O281" s="25">
        <f>IFERROR(IF(INDEX('CFOG'!$L$23:$L$24,MATCH($F281,'CFOG'!$B$23:$B$24,0))="","Cell will autofill based on response",INDEX('CFOG'!$L$23:$L$24,MATCH($F281,'CFOG'!$B$23:$B$24,0))),"N/A")</f>
        <v/>
      </c>
      <c r="P281" s="25">
        <f>IFERROR(IF(INDEX('ESG'!$L$10:$L$17,MATCH($F281,'ESG'!$B$10:$B$17,0))="","Cell will autofill based on response",INDEX('ESG'!$L$10:$L$17,MATCH($F281,'ESG'!$B$10:$B$17,0))),"N/A")</f>
        <v/>
      </c>
      <c r="Q281" s="25">
        <f>IFERROR(IF(INDEX('CIOG'!$L$10:$L$14,MATCH($F281,'CIOG'!$B$10:$B$14,0))="","Cell will autofill based on response",INDEX('CIOG'!$L$10:$L$14,MATCH($F281,'CIOG'!$B$10:$B$14,0))),"N/A")</f>
        <v/>
      </c>
      <c r="R281" s="25">
        <f>IFERROR(IF(INDEX('MRE'!$L$10:$L$12,MATCH($F281,'MRE'!$B$10:$B$12,0))="","Cell will autofill based on response",INDEX('MRE'!$L$10:$L$12,MATCH($F281,'MRE'!$B$10:$B$12,0))),"N/A")</f>
        <v/>
      </c>
      <c r="S281" s="25">
        <f>IFERROR(IF(INDEX('L&amp;R'!$L$10:$L$11,MATCH($F281,'L&amp;R'!$B$10:$B$11,0))="","Cell will autofill based on response",INDEX('L&amp;R'!$L$10:$L$11,MATCH($F281,'L&amp;R'!$B$10:$B$11,0))),"N/A")</f>
        <v/>
      </c>
      <c r="U281" s="26">
        <f>COUNTIF($H281:$S281,"Cell will autofill based on response")</f>
        <v/>
      </c>
      <c r="V281" s="26">
        <f>COUNTIF($H281:$S281,"Not yet started")</f>
        <v/>
      </c>
      <c r="W281" s="26">
        <f>COUNTIF($H281:$S281,"Not met")</f>
        <v/>
      </c>
      <c r="X281" s="26">
        <f>COUNTIF($H281:$S281,"Partially met")</f>
        <v/>
      </c>
      <c r="Y281" s="26">
        <f>COUNTIF($H281:$S281,"Met or exceeded")</f>
        <v/>
      </c>
      <c r="Z281" s="26">
        <f>3*Y281+2*X281+W281</f>
        <v/>
      </c>
      <c r="AA281" s="26">
        <f>Y281+X281+W281+V281</f>
        <v/>
      </c>
      <c r="AB281" s="27">
        <f>IF(AA281&gt;0,Z281/AA281,"No valid responses to date")</f>
        <v/>
      </c>
      <c r="AC281" s="26">
        <f>IF(ISNUMBER(AB281),INDEX(Lists!$G$2:$G$5,MATCH(ROUND(AB281,0),Lists!$H$2:$H$5,0)),"")</f>
        <v/>
      </c>
      <c r="AD281" s="28">
        <f>IF(AA281&gt;0,Y281/AA281,"")</f>
        <v/>
      </c>
      <c r="AE281" s="28">
        <f>IF(AA281&gt;0,(Y281+X281)/AA281,"")</f>
        <v/>
      </c>
      <c r="AF281" s="26">
        <f>IF(AA281=0,"",IF(AD281&gt;0.75,"Met or exceeded",IF(AE281&gt;=0.5,"Partially met","Not met")))</f>
        <v/>
      </c>
    </row>
    <row r="282">
      <c r="A282">
        <f>F282&amp;"|"&amp;G282</f>
        <v/>
      </c>
      <c r="B282" s="29" t="inlineStr"/>
      <c r="C282" s="8" t="inlineStr"/>
      <c r="D282" s="8" t="inlineStr"/>
      <c r="E282" s="8" t="inlineStr"/>
      <c r="F282" s="8" t="inlineStr">
        <is>
          <t>EN1(b)</t>
        </is>
      </c>
      <c r="G282" s="8" t="inlineStr">
        <is>
          <t>OPTION 1:  Target-level reporting</t>
        </is>
      </c>
      <c r="H282" s="25">
        <f>IFERROR(IF(INDEX('Faculties'!$M$10:$M$30,MATCH($F282,'Faculties'!$B$10:$B$30,0))="","Cell will autofill based on response",INDEX('Faculties'!$M$10:$M$30,MATCH($F282,'Faculties'!$B$10:$B$30,0))),"N/A")</f>
        <v/>
      </c>
      <c r="I282" s="25">
        <f>IFERROR(IF(INDEX('Faculties'!$M$37:$M$57,MATCH($F282,'Faculties'!$B$37:$B$57,0))="","Cell will autofill based on response",INDEX('Faculties'!$M$37:$M$57,MATCH($F282,'Faculties'!$B$37:$B$57,0))),"N/A")</f>
        <v/>
      </c>
      <c r="J282" s="25">
        <f>IFERROR(IF(INDEX('Faculties'!$M$64:$M$84,MATCH($F282,'Faculties'!$B$64:$B$84,0))="","Cell will autofill based on response",INDEX('Faculties'!$M$64:$M$84,MATCH($F282,'Faculties'!$B$64:$B$84,0))),"N/A")</f>
        <v/>
      </c>
      <c r="K282" s="25">
        <f>IFERROR(IF(INDEX('Faculties'!$M$91:$M$111,MATCH($F282,'Faculties'!$B$91:$B$111,0))="","Cell will autofill based on response",INDEX('Faculties'!$M$91:$M$111,MATCH($F282,'Faculties'!$B$91:$B$111,0))),"N/A")</f>
        <v/>
      </c>
      <c r="L282" s="25">
        <f>IFERROR(IF(INDEX('CI&amp;S'!$M$10:$M$15,MATCH($F282,'CI&amp;S'!$B$10:$B$15,0))="","Cell will autofill based on response",INDEX('CI&amp;S'!$M$10:$M$15,MATCH($F282,'CI&amp;S'!$B$10:$B$15,0))),"N/A")</f>
        <v/>
      </c>
      <c r="M282" s="25">
        <f>IFERROR(IF(INDEX('CI&amp;S'!$M$22:$M$39,MATCH($F282,'CI&amp;S'!$B$22:$B$39,0))="","Cell will autofill based on response",INDEX('CI&amp;S'!$M$22:$M$39,MATCH($F282,'CI&amp;S'!$B$22:$B$39,0))),"N/A")</f>
        <v/>
      </c>
      <c r="N282" s="25">
        <f>IFERROR(IF(INDEX('CFOG'!$M$10:$M$16,MATCH($F282,'CFOG'!$B$10:$B$16,0))="","Cell will autofill based on response",INDEX('CFOG'!$M$10:$M$16,MATCH($F282,'CFOG'!$B$10:$B$16,0))),"N/A")</f>
        <v/>
      </c>
      <c r="O282" s="25">
        <f>IFERROR(IF(INDEX('CFOG'!$M$23:$M$24,MATCH($F282,'CFOG'!$B$23:$B$24,0))="","Cell will autofill based on response",INDEX('CFOG'!$M$23:$M$24,MATCH($F282,'CFOG'!$B$23:$B$24,0))),"N/A")</f>
        <v/>
      </c>
      <c r="P282" s="25">
        <f>IFERROR(IF(INDEX('ESG'!$M$10:$M$17,MATCH($F282,'ESG'!$B$10:$B$17,0))="","Cell will autofill based on response",INDEX('ESG'!$M$10:$M$17,MATCH($F282,'ESG'!$B$10:$B$17,0))),"N/A")</f>
        <v/>
      </c>
      <c r="Q282" s="25">
        <f>IFERROR(IF(INDEX('CIOG'!$M$10:$M$14,MATCH($F282,'CIOG'!$B$10:$B$14,0))="","Cell will autofill based on response",INDEX('CIOG'!$M$10:$M$14,MATCH($F282,'CIOG'!$B$10:$B$14,0))),"N/A")</f>
        <v/>
      </c>
      <c r="R282" s="25">
        <f>IFERROR(IF(INDEX('MRE'!$M$10:$M$12,MATCH($F282,'MRE'!$B$10:$B$12,0))="","Cell will autofill based on response",INDEX('MRE'!$M$10:$M$12,MATCH($F282,'MRE'!$B$10:$B$12,0))),"N/A")</f>
        <v/>
      </c>
      <c r="S282" s="25">
        <f>IFERROR(IF(INDEX('L&amp;R'!$M$10:$M$11,MATCH($F282,'L&amp;R'!$B$10:$B$11,0))="","Cell will autofill based on response",INDEX('L&amp;R'!$M$10:$M$11,MATCH($F282,'L&amp;R'!$B$10:$B$11,0))),"N/A")</f>
        <v/>
      </c>
    </row>
    <row r="283">
      <c r="A283">
        <f>F283&amp;"|"&amp;G283</f>
        <v/>
      </c>
      <c r="B283" s="29" t="inlineStr"/>
      <c r="C283" s="8" t="inlineStr"/>
      <c r="D283" s="8" t="inlineStr"/>
      <c r="E283" s="8" t="inlineStr"/>
      <c r="F283" s="8" t="inlineStr">
        <is>
          <t>EN1(b)</t>
        </is>
      </c>
      <c r="G283" s="8" t="inlineStr">
        <is>
          <t>OPTION 2:  Indicator level reporting</t>
        </is>
      </c>
      <c r="H283" s="25">
        <f>IFERROR(IF(INDEX('Faculties'!$N$10:$N$30,MATCH($F283,'Faculties'!$B$10:$B$30,0))="","Cell will autofill based on response",INDEX('Faculties'!$N$10:$N$30,MATCH($F283,'Faculties'!$B$10:$B$30,0))),"N/A")</f>
        <v/>
      </c>
      <c r="I283" s="25">
        <f>IFERROR(IF(INDEX('Faculties'!$N$37:$N$57,MATCH($F283,'Faculties'!$B$37:$B$57,0))="","Cell will autofill based on response",INDEX('Faculties'!$N$37:$N$57,MATCH($F283,'Faculties'!$B$37:$B$57,0))),"N/A")</f>
        <v/>
      </c>
      <c r="J283" s="25">
        <f>IFERROR(IF(INDEX('Faculties'!$N$64:$N$84,MATCH($F283,'Faculties'!$B$64:$B$84,0))="","Cell will autofill based on response",INDEX('Faculties'!$N$64:$N$84,MATCH($F283,'Faculties'!$B$64:$B$84,0))),"N/A")</f>
        <v/>
      </c>
      <c r="K283" s="25">
        <f>IFERROR(IF(INDEX('Faculties'!$N$91:$N$111,MATCH($F283,'Faculties'!$B$91:$B$111,0))="","Cell will autofill based on response",INDEX('Faculties'!$N$91:$N$111,MATCH($F283,'Faculties'!$B$91:$B$111,0))),"N/A")</f>
        <v/>
      </c>
      <c r="L283" s="25">
        <f>IFERROR(IF(INDEX('CI&amp;S'!$N$10:$N$15,MATCH($F283,'CI&amp;S'!$B$10:$B$15,0))="","Cell will autofill based on response",INDEX('CI&amp;S'!$N$10:$N$15,MATCH($F283,'CI&amp;S'!$B$10:$B$15,0))),"N/A")</f>
        <v/>
      </c>
      <c r="M283" s="25">
        <f>IFERROR(IF(INDEX('CI&amp;S'!$N$22:$N$39,MATCH($F283,'CI&amp;S'!$B$22:$B$39,0))="","Cell will autofill based on response",INDEX('CI&amp;S'!$N$22:$N$39,MATCH($F283,'CI&amp;S'!$B$22:$B$39,0))),"N/A")</f>
        <v/>
      </c>
      <c r="N283" s="25">
        <f>IFERROR(IF(INDEX('CFOG'!$N$10:$N$16,MATCH($F283,'CFOG'!$B$10:$B$16,0))="","Cell will autofill based on response",INDEX('CFOG'!$N$10:$N$16,MATCH($F283,'CFOG'!$B$10:$B$16,0))),"N/A")</f>
        <v/>
      </c>
      <c r="O283" s="25">
        <f>IFERROR(IF(INDEX('CFOG'!$N$23:$N$24,MATCH($F283,'CFOG'!$B$23:$B$24,0))="","Cell will autofill based on response",INDEX('CFOG'!$N$23:$N$24,MATCH($F283,'CFOG'!$B$23:$B$24,0))),"N/A")</f>
        <v/>
      </c>
      <c r="P283" s="25">
        <f>IFERROR(IF(INDEX('ESG'!$N$10:$N$17,MATCH($F283,'ESG'!$B$10:$B$17,0))="","Cell will autofill based on response",INDEX('ESG'!$N$10:$N$17,MATCH($F283,'ESG'!$B$10:$B$17,0))),"N/A")</f>
        <v/>
      </c>
      <c r="Q283" s="25">
        <f>IFERROR(IF(INDEX('CIOG'!$N$10:$N$14,MATCH($F283,'CIOG'!$B$10:$B$14,0))="","Cell will autofill based on response",INDEX('CIOG'!$N$10:$N$14,MATCH($F283,'CIOG'!$B$10:$B$14,0))),"N/A")</f>
        <v/>
      </c>
      <c r="R283" s="25">
        <f>IFERROR(IF(INDEX('MRE'!$N$10:$N$12,MATCH($F283,'MRE'!$B$10:$B$12,0))="","Cell will autofill based on response",INDEX('MRE'!$N$10:$N$12,MATCH($F283,'MRE'!$B$10:$B$12,0))),"N/A")</f>
        <v/>
      </c>
      <c r="S283" s="25">
        <f>IFERROR(IF(INDEX('L&amp;R'!$N$10:$N$11,MATCH($F283,'L&amp;R'!$B$10:$B$11,0))="","Cell will autofill based on response",INDEX('L&amp;R'!$N$10:$N$11,MATCH($F283,'L&amp;R'!$B$10:$B$11,0))),"N/A")</f>
        <v/>
      </c>
    </row>
    <row r="284">
      <c r="A284">
        <f>F284&amp;"|"&amp;G284</f>
        <v/>
      </c>
      <c r="B284" s="29" t="inlineStr"/>
      <c r="C284" s="8" t="inlineStr"/>
      <c r="D284" s="8" t="inlineStr"/>
      <c r="E284" s="8" t="inlineStr"/>
      <c r="F284" s="8" t="inlineStr">
        <is>
          <t>EN1(b)</t>
        </is>
      </c>
      <c r="G284" s="8" t="inlineStr">
        <is>
          <t>Supporting information/comments</t>
        </is>
      </c>
      <c r="H284" s="25">
        <f>IFERROR(IF(INDEX('Faculties'!$O$10:$O$30,MATCH($F284,'Faculties'!$B$10:$B$30,0))="","Cell will autofill based on response",INDEX('Faculties'!$O$10:$O$30,MATCH($F284,'Faculties'!$B$10:$B$30,0))),"N/A")</f>
        <v/>
      </c>
      <c r="I284" s="25">
        <f>IFERROR(IF(INDEX('Faculties'!$O$37:$O$57,MATCH($F284,'Faculties'!$B$37:$B$57,0))="","Cell will autofill based on response",INDEX('Faculties'!$O$37:$O$57,MATCH($F284,'Faculties'!$B$37:$B$57,0))),"N/A")</f>
        <v/>
      </c>
      <c r="J284" s="25">
        <f>IFERROR(IF(INDEX('Faculties'!$O$64:$O$84,MATCH($F284,'Faculties'!$B$64:$B$84,0))="","Cell will autofill based on response",INDEX('Faculties'!$O$64:$O$84,MATCH($F284,'Faculties'!$B$64:$B$84,0))),"N/A")</f>
        <v/>
      </c>
      <c r="K284" s="25">
        <f>IFERROR(IF(INDEX('Faculties'!$O$91:$O$111,MATCH($F284,'Faculties'!$B$91:$B$111,0))="","Cell will autofill based on response",INDEX('Faculties'!$O$91:$O$111,MATCH($F284,'Faculties'!$B$91:$B$111,0))),"N/A")</f>
        <v/>
      </c>
      <c r="L284" s="25">
        <f>IFERROR(IF(INDEX('CI&amp;S'!$O$10:$O$15,MATCH($F284,'CI&amp;S'!$B$10:$B$15,0))="","Cell will autofill based on response",INDEX('CI&amp;S'!$O$10:$O$15,MATCH($F284,'CI&amp;S'!$B$10:$B$15,0))),"N/A")</f>
        <v/>
      </c>
      <c r="M284" s="25">
        <f>IFERROR(IF(INDEX('CI&amp;S'!$O$22:$O$39,MATCH($F284,'CI&amp;S'!$B$22:$B$39,0))="","Cell will autofill based on response",INDEX('CI&amp;S'!$O$22:$O$39,MATCH($F284,'CI&amp;S'!$B$22:$B$39,0))),"N/A")</f>
        <v/>
      </c>
      <c r="N284" s="25">
        <f>IFERROR(IF(INDEX('CFOG'!$O$10:$O$16,MATCH($F284,'CFOG'!$B$10:$B$16,0))="","Cell will autofill based on response",INDEX('CFOG'!$O$10:$O$16,MATCH($F284,'CFOG'!$B$10:$B$16,0))),"N/A")</f>
        <v/>
      </c>
      <c r="O284" s="25">
        <f>IFERROR(IF(INDEX('CFOG'!$O$23:$O$24,MATCH($F284,'CFOG'!$B$23:$B$24,0))="","Cell will autofill based on response",INDEX('CFOG'!$O$23:$O$24,MATCH($F284,'CFOG'!$B$23:$B$24,0))),"N/A")</f>
        <v/>
      </c>
      <c r="P284" s="25">
        <f>IFERROR(IF(INDEX('ESG'!$O$10:$O$17,MATCH($F284,'ESG'!$B$10:$B$17,0))="","Cell will autofill based on response",INDEX('ESG'!$O$10:$O$17,MATCH($F284,'ESG'!$B$10:$B$17,0))),"N/A")</f>
        <v/>
      </c>
      <c r="Q284" s="25">
        <f>IFERROR(IF(INDEX('CIOG'!$O$10:$O$14,MATCH($F284,'CIOG'!$B$10:$B$14,0))="","Cell will autofill based on response",INDEX('CIOG'!$O$10:$O$14,MATCH($F284,'CIOG'!$B$10:$B$14,0))),"N/A")</f>
        <v/>
      </c>
      <c r="R284" s="25">
        <f>IFERROR(IF(INDEX('MRE'!$O$10:$O$12,MATCH($F284,'MRE'!$B$10:$B$12,0))="","Cell will autofill based on response",INDEX('MRE'!$O$10:$O$12,MATCH($F284,'MRE'!$B$10:$B$12,0))),"N/A")</f>
        <v/>
      </c>
      <c r="S284" s="25">
        <f>IFERROR(IF(INDEX('L&amp;R'!$O$10:$O$11,MATCH($F284,'L&amp;R'!$B$10:$B$11,0))="","Cell will autofill based on response",INDEX('L&amp;R'!$O$10:$O$11,MATCH($F284,'L&amp;R'!$B$10:$B$11,0))),"N/A")</f>
        <v/>
      </c>
    </row>
    <row r="285">
      <c r="A285">
        <f>F285&amp;"|"&amp;G285</f>
        <v/>
      </c>
      <c r="B285" s="29" t="inlineStr"/>
      <c r="C285" s="8" t="inlineStr"/>
      <c r="D285" s="8" t="inlineStr"/>
      <c r="E285" s="8" t="inlineStr"/>
      <c r="F285" s="8" t="inlineStr">
        <is>
          <t>EN1(b)</t>
        </is>
      </c>
      <c r="G285" s="8" t="inlineStr">
        <is>
          <t>Data source and limitations</t>
        </is>
      </c>
      <c r="H285" s="25">
        <f>IFERROR(IF(INDEX('Faculties'!$P$10:$P$30,MATCH($F285,'Faculties'!$B$10:$B$30,0))="","Cell will autofill based on response",INDEX('Faculties'!$P$10:$P$30,MATCH($F285,'Faculties'!$B$10:$B$30,0))),"N/A")</f>
        <v/>
      </c>
      <c r="I285" s="25">
        <f>IFERROR(IF(INDEX('Faculties'!$P$37:$P$57,MATCH($F285,'Faculties'!$B$37:$B$57,0))="","Cell will autofill based on response",INDEX('Faculties'!$P$37:$P$57,MATCH($F285,'Faculties'!$B$37:$B$57,0))),"N/A")</f>
        <v/>
      </c>
      <c r="J285" s="25">
        <f>IFERROR(IF(INDEX('Faculties'!$P$64:$P$84,MATCH($F285,'Faculties'!$B$64:$B$84,0))="","Cell will autofill based on response",INDEX('Faculties'!$P$64:$P$84,MATCH($F285,'Faculties'!$B$64:$B$84,0))),"N/A")</f>
        <v/>
      </c>
      <c r="K285" s="25">
        <f>IFERROR(IF(INDEX('Faculties'!$P$91:$P$111,MATCH($F285,'Faculties'!$B$91:$B$111,0))="","Cell will autofill based on response",INDEX('Faculties'!$P$91:$P$111,MATCH($F285,'Faculties'!$B$91:$B$111,0))),"N/A")</f>
        <v/>
      </c>
      <c r="L285" s="25">
        <f>IFERROR(IF(INDEX('CI&amp;S'!$P$10:$P$15,MATCH($F285,'CI&amp;S'!$B$10:$B$15,0))="","Cell will autofill based on response",INDEX('CI&amp;S'!$P$10:$P$15,MATCH($F285,'CI&amp;S'!$B$10:$B$15,0))),"N/A")</f>
        <v/>
      </c>
      <c r="M285" s="25">
        <f>IFERROR(IF(INDEX('CI&amp;S'!$P$22:$P$39,MATCH($F285,'CI&amp;S'!$B$22:$B$39,0))="","Cell will autofill based on response",INDEX('CI&amp;S'!$P$22:$P$39,MATCH($F285,'CI&amp;S'!$B$22:$B$39,0))),"N/A")</f>
        <v/>
      </c>
      <c r="N285" s="25">
        <f>IFERROR(IF(INDEX('CFOG'!$P$10:$P$16,MATCH($F285,'CFOG'!$B$10:$B$16,0))="","Cell will autofill based on response",INDEX('CFOG'!$P$10:$P$16,MATCH($F285,'CFOG'!$B$10:$B$16,0))),"N/A")</f>
        <v/>
      </c>
      <c r="O285" s="25">
        <f>IFERROR(IF(INDEX('CFOG'!$P$23:$P$24,MATCH($F285,'CFOG'!$B$23:$B$24,0))="","Cell will autofill based on response",INDEX('CFOG'!$P$23:$P$24,MATCH($F285,'CFOG'!$B$23:$B$24,0))),"N/A")</f>
        <v/>
      </c>
      <c r="P285" s="25">
        <f>IFERROR(IF(INDEX('ESG'!$P$10:$P$17,MATCH($F285,'ESG'!$B$10:$B$17,0))="","Cell will autofill based on response",INDEX('ESG'!$P$10:$P$17,MATCH($F285,'ESG'!$B$10:$B$17,0))),"N/A")</f>
        <v/>
      </c>
      <c r="Q285" s="25">
        <f>IFERROR(IF(INDEX('CIOG'!$P$10:$P$14,MATCH($F285,'CIOG'!$B$10:$B$14,0))="","Cell will autofill based on response",INDEX('CIOG'!$P$10:$P$14,MATCH($F285,'CIOG'!$B$10:$B$14,0))),"N/A")</f>
        <v/>
      </c>
      <c r="R285" s="25">
        <f>IFERROR(IF(INDEX('MRE'!$P$10:$P$12,MATCH($F285,'MRE'!$B$10:$B$12,0))="","Cell will autofill based on response",INDEX('MRE'!$P$10:$P$12,MATCH($F285,'MRE'!$B$10:$B$12,0))),"N/A")</f>
        <v/>
      </c>
      <c r="S285" s="25">
        <f>IFERROR(IF(INDEX('L&amp;R'!$P$10:$P$11,MATCH($F285,'L&amp;R'!$B$10:$B$11,0))="","Cell will autofill based on response",INDEX('L&amp;R'!$P$10:$P$11,MATCH($F285,'L&amp;R'!$B$10:$B$11,0))),"N/A")</f>
        <v/>
      </c>
    </row>
    <row r="286">
      <c r="A286">
        <f>F286&amp;"|"&amp;G286</f>
        <v/>
      </c>
      <c r="B286" s="29" t="inlineStr"/>
      <c r="C286" s="8" t="inlineStr"/>
      <c r="D286" s="8" t="inlineStr"/>
      <c r="E286" s="8" t="inlineStr"/>
      <c r="F286" s="8" t="inlineStr">
        <is>
          <t>EN1(b)</t>
        </is>
      </c>
      <c r="G286" s="8" t="inlineStr">
        <is>
          <t>Data owner confirms</t>
        </is>
      </c>
      <c r="H286" s="25">
        <f>IFERROR(IF(INDEX('Faculties'!$Q$10:$Q$30,MATCH($F286,'Faculties'!$B$10:$B$30,0))="","Cell will autofill based on response",INDEX('Faculties'!$Q$10:$Q$30,MATCH($F286,'Faculties'!$B$10:$B$30,0))),"N/A")</f>
        <v/>
      </c>
      <c r="I286" s="25">
        <f>IFERROR(IF(INDEX('Faculties'!$Q$37:$Q$57,MATCH($F286,'Faculties'!$B$37:$B$57,0))="","Cell will autofill based on response",INDEX('Faculties'!$Q$37:$Q$57,MATCH($F286,'Faculties'!$B$37:$B$57,0))),"N/A")</f>
        <v/>
      </c>
      <c r="J286" s="25">
        <f>IFERROR(IF(INDEX('Faculties'!$Q$64:$Q$84,MATCH($F286,'Faculties'!$B$64:$B$84,0))="","Cell will autofill based on response",INDEX('Faculties'!$Q$64:$Q$84,MATCH($F286,'Faculties'!$B$64:$B$84,0))),"N/A")</f>
        <v/>
      </c>
      <c r="K286" s="25">
        <f>IFERROR(IF(INDEX('Faculties'!$Q$91:$Q$111,MATCH($F286,'Faculties'!$B$91:$B$111,0))="","Cell will autofill based on response",INDEX('Faculties'!$Q$91:$Q$111,MATCH($F286,'Faculties'!$B$91:$B$111,0))),"N/A")</f>
        <v/>
      </c>
      <c r="L286" s="25">
        <f>IFERROR(IF(INDEX('CI&amp;S'!$Q$10:$Q$15,MATCH($F286,'CI&amp;S'!$B$10:$B$15,0))="","Cell will autofill based on response",INDEX('CI&amp;S'!$Q$10:$Q$15,MATCH($F286,'CI&amp;S'!$B$10:$B$15,0))),"N/A")</f>
        <v/>
      </c>
      <c r="M286" s="25">
        <f>IFERROR(IF(INDEX('CI&amp;S'!$Q$22:$Q$39,MATCH($F286,'CI&amp;S'!$B$22:$B$39,0))="","Cell will autofill based on response",INDEX('CI&amp;S'!$Q$22:$Q$39,MATCH($F286,'CI&amp;S'!$B$22:$B$39,0))),"N/A")</f>
        <v/>
      </c>
      <c r="N286" s="25">
        <f>IFERROR(IF(INDEX('CFOG'!$Q$10:$Q$16,MATCH($F286,'CFOG'!$B$10:$B$16,0))="","Cell will autofill based on response",INDEX('CFOG'!$Q$10:$Q$16,MATCH($F286,'CFOG'!$B$10:$B$16,0))),"N/A")</f>
        <v/>
      </c>
      <c r="O286" s="25">
        <f>IFERROR(IF(INDEX('CFOG'!$Q$23:$Q$24,MATCH($F286,'CFOG'!$B$23:$B$24,0))="","Cell will autofill based on response",INDEX('CFOG'!$Q$23:$Q$24,MATCH($F286,'CFOG'!$B$23:$B$24,0))),"N/A")</f>
        <v/>
      </c>
      <c r="P286" s="25">
        <f>IFERROR(IF(INDEX('ESG'!$Q$10:$Q$17,MATCH($F286,'ESG'!$B$10:$B$17,0))="","Cell will autofill based on response",INDEX('ESG'!$Q$10:$Q$17,MATCH($F286,'ESG'!$B$10:$B$17,0))),"N/A")</f>
        <v/>
      </c>
      <c r="Q286" s="25">
        <f>IFERROR(IF(INDEX('CIOG'!$Q$10:$Q$14,MATCH($F286,'CIOG'!$B$10:$B$14,0))="","Cell will autofill based on response",INDEX('CIOG'!$Q$10:$Q$14,MATCH($F286,'CIOG'!$B$10:$B$14,0))),"N/A")</f>
        <v/>
      </c>
      <c r="R286" s="25">
        <f>IFERROR(IF(INDEX('MRE'!$Q$10:$Q$12,MATCH($F286,'MRE'!$B$10:$B$12,0))="","Cell will autofill based on response",INDEX('MRE'!$Q$10:$Q$12,MATCH($F286,'MRE'!$B$10:$B$12,0))),"N/A")</f>
        <v/>
      </c>
      <c r="S286" s="25">
        <f>IFERROR(IF(INDEX('L&amp;R'!$Q$10:$Q$11,MATCH($F286,'L&amp;R'!$B$10:$B$11,0))="","Cell will autofill based on response",INDEX('L&amp;R'!$Q$10:$Q$11,MATCH($F286,'L&amp;R'!$B$10:$B$11,0))),"N/A")</f>
        <v/>
      </c>
    </row>
    <row r="287">
      <c r="A287">
        <f>F287&amp;"|"&amp;G287</f>
        <v/>
      </c>
      <c r="B287" s="7" t="inlineStr">
        <is>
          <t>EN1(c)</t>
        </is>
      </c>
      <c r="C287" s="12" t="inlineStr">
        <is>
          <t>Enablers</t>
        </is>
      </c>
      <c r="D287" s="12" t="inlineStr">
        <is>
          <t>Coordinated internal engagement and external partnerships contributing to delivery of sustainability outcomes across priority areas.</t>
        </is>
      </c>
      <c r="E287" s="12" t="inlineStr">
        <is>
          <t>Please provide examples of internal engagement or external partnerships involving your Faculty/Portfolio that contributed to Sustainability 2030 outcomes, could include the priority area addressed, participating groups/partners, nature of the collaboration and key outcomes.</t>
        </is>
      </c>
      <c r="F287" s="12" t="inlineStr">
        <is>
          <t>EN1(c)</t>
        </is>
      </c>
      <c r="G287" s="12" t="inlineStr">
        <is>
          <t>Confirm end-2026 target status</t>
        </is>
      </c>
      <c r="H287" s="25">
        <f>IFERROR(IF(INDEX('Faculties'!$L$10:$L$30,MATCH($F287,'Faculties'!$B$10:$B$30,0))="","Cell will autofill based on response",INDEX('Faculties'!$L$10:$L$30,MATCH($F287,'Faculties'!$B$10:$B$30,0))),"N/A")</f>
        <v/>
      </c>
      <c r="I287" s="25">
        <f>IFERROR(IF(INDEX('Faculties'!$L$37:$L$57,MATCH($F287,'Faculties'!$B$37:$B$57,0))="","Cell will autofill based on response",INDEX('Faculties'!$L$37:$L$57,MATCH($F287,'Faculties'!$B$37:$B$57,0))),"N/A")</f>
        <v/>
      </c>
      <c r="J287" s="25">
        <f>IFERROR(IF(INDEX('Faculties'!$L$64:$L$84,MATCH($F287,'Faculties'!$B$64:$B$84,0))="","Cell will autofill based on response",INDEX('Faculties'!$L$64:$L$84,MATCH($F287,'Faculties'!$B$64:$B$84,0))),"N/A")</f>
        <v/>
      </c>
      <c r="K287" s="25">
        <f>IFERROR(IF(INDEX('Faculties'!$L$91:$L$111,MATCH($F287,'Faculties'!$B$91:$B$111,0))="","Cell will autofill based on response",INDEX('Faculties'!$L$91:$L$111,MATCH($F287,'Faculties'!$B$91:$B$111,0))),"N/A")</f>
        <v/>
      </c>
      <c r="L287" s="25">
        <f>IFERROR(IF(INDEX('CI&amp;S'!$L$10:$L$15,MATCH($F287,'CI&amp;S'!$B$10:$B$15,0))="","Cell will autofill based on response",INDEX('CI&amp;S'!$L$10:$L$15,MATCH($F287,'CI&amp;S'!$B$10:$B$15,0))),"N/A")</f>
        <v/>
      </c>
      <c r="M287" s="25">
        <f>IFERROR(IF(INDEX('CI&amp;S'!$L$22:$L$39,MATCH($F287,'CI&amp;S'!$B$22:$B$39,0))="","Cell will autofill based on response",INDEX('CI&amp;S'!$L$22:$L$39,MATCH($F287,'CI&amp;S'!$B$22:$B$39,0))),"N/A")</f>
        <v/>
      </c>
      <c r="N287" s="25">
        <f>IFERROR(IF(INDEX('CFOG'!$L$10:$L$16,MATCH($F287,'CFOG'!$B$10:$B$16,0))="","Cell will autofill based on response",INDEX('CFOG'!$L$10:$L$16,MATCH($F287,'CFOG'!$B$10:$B$16,0))),"N/A")</f>
        <v/>
      </c>
      <c r="O287" s="25">
        <f>IFERROR(IF(INDEX('CFOG'!$L$23:$L$24,MATCH($F287,'CFOG'!$B$23:$B$24,0))="","Cell will autofill based on response",INDEX('CFOG'!$L$23:$L$24,MATCH($F287,'CFOG'!$B$23:$B$24,0))),"N/A")</f>
        <v/>
      </c>
      <c r="P287" s="25">
        <f>IFERROR(IF(INDEX('ESG'!$L$10:$L$17,MATCH($F287,'ESG'!$B$10:$B$17,0))="","Cell will autofill based on response",INDEX('ESG'!$L$10:$L$17,MATCH($F287,'ESG'!$B$10:$B$17,0))),"N/A")</f>
        <v/>
      </c>
      <c r="Q287" s="25">
        <f>IFERROR(IF(INDEX('CIOG'!$L$10:$L$14,MATCH($F287,'CIOG'!$B$10:$B$14,0))="","Cell will autofill based on response",INDEX('CIOG'!$L$10:$L$14,MATCH($F287,'CIOG'!$B$10:$B$14,0))),"N/A")</f>
        <v/>
      </c>
      <c r="R287" s="25">
        <f>IFERROR(IF(INDEX('MRE'!$L$10:$L$12,MATCH($F287,'MRE'!$B$10:$B$12,0))="","Cell will autofill based on response",INDEX('MRE'!$L$10:$L$12,MATCH($F287,'MRE'!$B$10:$B$12,0))),"N/A")</f>
        <v/>
      </c>
      <c r="S287" s="25">
        <f>IFERROR(IF(INDEX('L&amp;R'!$L$10:$L$11,MATCH($F287,'L&amp;R'!$B$10:$B$11,0))="","Cell will autofill based on response",INDEX('L&amp;R'!$L$10:$L$11,MATCH($F287,'L&amp;R'!$B$10:$B$11,0))),"N/A")</f>
        <v/>
      </c>
      <c r="U287" s="26">
        <f>COUNTIF($H287:$S287,"Cell will autofill based on response")</f>
        <v/>
      </c>
      <c r="V287" s="26">
        <f>COUNTIF($H287:$S287,"Not yet started")</f>
        <v/>
      </c>
      <c r="W287" s="26">
        <f>COUNTIF($H287:$S287,"Not met")</f>
        <v/>
      </c>
      <c r="X287" s="26">
        <f>COUNTIF($H287:$S287,"Partially met")</f>
        <v/>
      </c>
      <c r="Y287" s="26">
        <f>COUNTIF($H287:$S287,"Met or exceeded")</f>
        <v/>
      </c>
      <c r="Z287" s="26">
        <f>3*Y287+2*X287+W287</f>
        <v/>
      </c>
      <c r="AA287" s="26">
        <f>Y287+X287+W287+V287</f>
        <v/>
      </c>
      <c r="AB287" s="27">
        <f>IF(AA287&gt;0,Z287/AA287,"No valid responses to date")</f>
        <v/>
      </c>
      <c r="AC287" s="26">
        <f>IF(ISNUMBER(AB287),INDEX(Lists!$G$2:$G$5,MATCH(ROUND(AB287,0),Lists!$H$2:$H$5,0)),"")</f>
        <v/>
      </c>
      <c r="AD287" s="28">
        <f>IF(AA287&gt;0,Y287/AA287,"")</f>
        <v/>
      </c>
      <c r="AE287" s="28">
        <f>IF(AA287&gt;0,(Y287+X287)/AA287,"")</f>
        <v/>
      </c>
      <c r="AF287" s="26">
        <f>IF(AA287=0,"",IF(AD287&gt;0.75,"Met or exceeded",IF(AE287&gt;=0.5,"Partially met","Not met")))</f>
        <v/>
      </c>
    </row>
    <row r="288">
      <c r="A288">
        <f>F288&amp;"|"&amp;G288</f>
        <v/>
      </c>
      <c r="B288" s="29" t="inlineStr"/>
      <c r="C288" s="8" t="inlineStr"/>
      <c r="D288" s="8" t="inlineStr"/>
      <c r="E288" s="8" t="inlineStr"/>
      <c r="F288" s="8" t="inlineStr">
        <is>
          <t>EN1(c)</t>
        </is>
      </c>
      <c r="G288" s="8" t="inlineStr">
        <is>
          <t>OPTION 1:  Target-level reporting</t>
        </is>
      </c>
      <c r="H288" s="25">
        <f>IFERROR(IF(INDEX('Faculties'!$M$10:$M$30,MATCH($F288,'Faculties'!$B$10:$B$30,0))="","Cell will autofill based on response",INDEX('Faculties'!$M$10:$M$30,MATCH($F288,'Faculties'!$B$10:$B$30,0))),"N/A")</f>
        <v/>
      </c>
      <c r="I288" s="25">
        <f>IFERROR(IF(INDEX('Faculties'!$M$37:$M$57,MATCH($F288,'Faculties'!$B$37:$B$57,0))="","Cell will autofill based on response",INDEX('Faculties'!$M$37:$M$57,MATCH($F288,'Faculties'!$B$37:$B$57,0))),"N/A")</f>
        <v/>
      </c>
      <c r="J288" s="25">
        <f>IFERROR(IF(INDEX('Faculties'!$M$64:$M$84,MATCH($F288,'Faculties'!$B$64:$B$84,0))="","Cell will autofill based on response",INDEX('Faculties'!$M$64:$M$84,MATCH($F288,'Faculties'!$B$64:$B$84,0))),"N/A")</f>
        <v/>
      </c>
      <c r="K288" s="25">
        <f>IFERROR(IF(INDEX('Faculties'!$M$91:$M$111,MATCH($F288,'Faculties'!$B$91:$B$111,0))="","Cell will autofill based on response",INDEX('Faculties'!$M$91:$M$111,MATCH($F288,'Faculties'!$B$91:$B$111,0))),"N/A")</f>
        <v/>
      </c>
      <c r="L288" s="25">
        <f>IFERROR(IF(INDEX('CI&amp;S'!$M$10:$M$15,MATCH($F288,'CI&amp;S'!$B$10:$B$15,0))="","Cell will autofill based on response",INDEX('CI&amp;S'!$M$10:$M$15,MATCH($F288,'CI&amp;S'!$B$10:$B$15,0))),"N/A")</f>
        <v/>
      </c>
      <c r="M288" s="25">
        <f>IFERROR(IF(INDEX('CI&amp;S'!$M$22:$M$39,MATCH($F288,'CI&amp;S'!$B$22:$B$39,0))="","Cell will autofill based on response",INDEX('CI&amp;S'!$M$22:$M$39,MATCH($F288,'CI&amp;S'!$B$22:$B$39,0))),"N/A")</f>
        <v/>
      </c>
      <c r="N288" s="25">
        <f>IFERROR(IF(INDEX('CFOG'!$M$10:$M$16,MATCH($F288,'CFOG'!$B$10:$B$16,0))="","Cell will autofill based on response",INDEX('CFOG'!$M$10:$M$16,MATCH($F288,'CFOG'!$B$10:$B$16,0))),"N/A")</f>
        <v/>
      </c>
      <c r="O288" s="25">
        <f>IFERROR(IF(INDEX('CFOG'!$M$23:$M$24,MATCH($F288,'CFOG'!$B$23:$B$24,0))="","Cell will autofill based on response",INDEX('CFOG'!$M$23:$M$24,MATCH($F288,'CFOG'!$B$23:$B$24,0))),"N/A")</f>
        <v/>
      </c>
      <c r="P288" s="25">
        <f>IFERROR(IF(INDEX('ESG'!$M$10:$M$17,MATCH($F288,'ESG'!$B$10:$B$17,0))="","Cell will autofill based on response",INDEX('ESG'!$M$10:$M$17,MATCH($F288,'ESG'!$B$10:$B$17,0))),"N/A")</f>
        <v/>
      </c>
      <c r="Q288" s="25">
        <f>IFERROR(IF(INDEX('CIOG'!$M$10:$M$14,MATCH($F288,'CIOG'!$B$10:$B$14,0))="","Cell will autofill based on response",INDEX('CIOG'!$M$10:$M$14,MATCH($F288,'CIOG'!$B$10:$B$14,0))),"N/A")</f>
        <v/>
      </c>
      <c r="R288" s="25">
        <f>IFERROR(IF(INDEX('MRE'!$M$10:$M$12,MATCH($F288,'MRE'!$B$10:$B$12,0))="","Cell will autofill based on response",INDEX('MRE'!$M$10:$M$12,MATCH($F288,'MRE'!$B$10:$B$12,0))),"N/A")</f>
        <v/>
      </c>
      <c r="S288" s="25">
        <f>IFERROR(IF(INDEX('L&amp;R'!$M$10:$M$11,MATCH($F288,'L&amp;R'!$B$10:$B$11,0))="","Cell will autofill based on response",INDEX('L&amp;R'!$M$10:$M$11,MATCH($F288,'L&amp;R'!$B$10:$B$11,0))),"N/A")</f>
        <v/>
      </c>
    </row>
    <row r="289">
      <c r="A289">
        <f>F289&amp;"|"&amp;G289</f>
        <v/>
      </c>
      <c r="B289" s="29" t="inlineStr"/>
      <c r="C289" s="8" t="inlineStr"/>
      <c r="D289" s="8" t="inlineStr"/>
      <c r="E289" s="8" t="inlineStr"/>
      <c r="F289" s="8" t="inlineStr">
        <is>
          <t>EN1(c)</t>
        </is>
      </c>
      <c r="G289" s="8" t="inlineStr">
        <is>
          <t>OPTION 2:  Indicator level reporting</t>
        </is>
      </c>
      <c r="H289" s="25">
        <f>IFERROR(IF(INDEX('Faculties'!$N$10:$N$30,MATCH($F289,'Faculties'!$B$10:$B$30,0))="","Cell will autofill based on response",INDEX('Faculties'!$N$10:$N$30,MATCH($F289,'Faculties'!$B$10:$B$30,0))),"N/A")</f>
        <v/>
      </c>
      <c r="I289" s="25">
        <f>IFERROR(IF(INDEX('Faculties'!$N$37:$N$57,MATCH($F289,'Faculties'!$B$37:$B$57,0))="","Cell will autofill based on response",INDEX('Faculties'!$N$37:$N$57,MATCH($F289,'Faculties'!$B$37:$B$57,0))),"N/A")</f>
        <v/>
      </c>
      <c r="J289" s="25">
        <f>IFERROR(IF(INDEX('Faculties'!$N$64:$N$84,MATCH($F289,'Faculties'!$B$64:$B$84,0))="","Cell will autofill based on response",INDEX('Faculties'!$N$64:$N$84,MATCH($F289,'Faculties'!$B$64:$B$84,0))),"N/A")</f>
        <v/>
      </c>
      <c r="K289" s="25">
        <f>IFERROR(IF(INDEX('Faculties'!$N$91:$N$111,MATCH($F289,'Faculties'!$B$91:$B$111,0))="","Cell will autofill based on response",INDEX('Faculties'!$N$91:$N$111,MATCH($F289,'Faculties'!$B$91:$B$111,0))),"N/A")</f>
        <v/>
      </c>
      <c r="L289" s="25">
        <f>IFERROR(IF(INDEX('CI&amp;S'!$N$10:$N$15,MATCH($F289,'CI&amp;S'!$B$10:$B$15,0))="","Cell will autofill based on response",INDEX('CI&amp;S'!$N$10:$N$15,MATCH($F289,'CI&amp;S'!$B$10:$B$15,0))),"N/A")</f>
        <v/>
      </c>
      <c r="M289" s="25">
        <f>IFERROR(IF(INDEX('CI&amp;S'!$N$22:$N$39,MATCH($F289,'CI&amp;S'!$B$22:$B$39,0))="","Cell will autofill based on response",INDEX('CI&amp;S'!$N$22:$N$39,MATCH($F289,'CI&amp;S'!$B$22:$B$39,0))),"N/A")</f>
        <v/>
      </c>
      <c r="N289" s="25">
        <f>IFERROR(IF(INDEX('CFOG'!$N$10:$N$16,MATCH($F289,'CFOG'!$B$10:$B$16,0))="","Cell will autofill based on response",INDEX('CFOG'!$N$10:$N$16,MATCH($F289,'CFOG'!$B$10:$B$16,0))),"N/A")</f>
        <v/>
      </c>
      <c r="O289" s="25">
        <f>IFERROR(IF(INDEX('CFOG'!$N$23:$N$24,MATCH($F289,'CFOG'!$B$23:$B$24,0))="","Cell will autofill based on response",INDEX('CFOG'!$N$23:$N$24,MATCH($F289,'CFOG'!$B$23:$B$24,0))),"N/A")</f>
        <v/>
      </c>
      <c r="P289" s="25">
        <f>IFERROR(IF(INDEX('ESG'!$N$10:$N$17,MATCH($F289,'ESG'!$B$10:$B$17,0))="","Cell will autofill based on response",INDEX('ESG'!$N$10:$N$17,MATCH($F289,'ESG'!$B$10:$B$17,0))),"N/A")</f>
        <v/>
      </c>
      <c r="Q289" s="25">
        <f>IFERROR(IF(INDEX('CIOG'!$N$10:$N$14,MATCH($F289,'CIOG'!$B$10:$B$14,0))="","Cell will autofill based on response",INDEX('CIOG'!$N$10:$N$14,MATCH($F289,'CIOG'!$B$10:$B$14,0))),"N/A")</f>
        <v/>
      </c>
      <c r="R289" s="25">
        <f>IFERROR(IF(INDEX('MRE'!$N$10:$N$12,MATCH($F289,'MRE'!$B$10:$B$12,0))="","Cell will autofill based on response",INDEX('MRE'!$N$10:$N$12,MATCH($F289,'MRE'!$B$10:$B$12,0))),"N/A")</f>
        <v/>
      </c>
      <c r="S289" s="25">
        <f>IFERROR(IF(INDEX('L&amp;R'!$N$10:$N$11,MATCH($F289,'L&amp;R'!$B$10:$B$11,0))="","Cell will autofill based on response",INDEX('L&amp;R'!$N$10:$N$11,MATCH($F289,'L&amp;R'!$B$10:$B$11,0))),"N/A")</f>
        <v/>
      </c>
    </row>
    <row r="290">
      <c r="A290">
        <f>F290&amp;"|"&amp;G290</f>
        <v/>
      </c>
      <c r="B290" s="29" t="inlineStr"/>
      <c r="C290" s="8" t="inlineStr"/>
      <c r="D290" s="8" t="inlineStr"/>
      <c r="E290" s="8" t="inlineStr"/>
      <c r="F290" s="8" t="inlineStr">
        <is>
          <t>EN1(c)</t>
        </is>
      </c>
      <c r="G290" s="8" t="inlineStr">
        <is>
          <t>Supporting information/comments</t>
        </is>
      </c>
      <c r="H290" s="25">
        <f>IFERROR(IF(INDEX('Faculties'!$O$10:$O$30,MATCH($F290,'Faculties'!$B$10:$B$30,0))="","Cell will autofill based on response",INDEX('Faculties'!$O$10:$O$30,MATCH($F290,'Faculties'!$B$10:$B$30,0))),"N/A")</f>
        <v/>
      </c>
      <c r="I290" s="25">
        <f>IFERROR(IF(INDEX('Faculties'!$O$37:$O$57,MATCH($F290,'Faculties'!$B$37:$B$57,0))="","Cell will autofill based on response",INDEX('Faculties'!$O$37:$O$57,MATCH($F290,'Faculties'!$B$37:$B$57,0))),"N/A")</f>
        <v/>
      </c>
      <c r="J290" s="25">
        <f>IFERROR(IF(INDEX('Faculties'!$O$64:$O$84,MATCH($F290,'Faculties'!$B$64:$B$84,0))="","Cell will autofill based on response",INDEX('Faculties'!$O$64:$O$84,MATCH($F290,'Faculties'!$B$64:$B$84,0))),"N/A")</f>
        <v/>
      </c>
      <c r="K290" s="25">
        <f>IFERROR(IF(INDEX('Faculties'!$O$91:$O$111,MATCH($F290,'Faculties'!$B$91:$B$111,0))="","Cell will autofill based on response",INDEX('Faculties'!$O$91:$O$111,MATCH($F290,'Faculties'!$B$91:$B$111,0))),"N/A")</f>
        <v/>
      </c>
      <c r="L290" s="25">
        <f>IFERROR(IF(INDEX('CI&amp;S'!$O$10:$O$15,MATCH($F290,'CI&amp;S'!$B$10:$B$15,0))="","Cell will autofill based on response",INDEX('CI&amp;S'!$O$10:$O$15,MATCH($F290,'CI&amp;S'!$B$10:$B$15,0))),"N/A")</f>
        <v/>
      </c>
      <c r="M290" s="25">
        <f>IFERROR(IF(INDEX('CI&amp;S'!$O$22:$O$39,MATCH($F290,'CI&amp;S'!$B$22:$B$39,0))="","Cell will autofill based on response",INDEX('CI&amp;S'!$O$22:$O$39,MATCH($F290,'CI&amp;S'!$B$22:$B$39,0))),"N/A")</f>
        <v/>
      </c>
      <c r="N290" s="25">
        <f>IFERROR(IF(INDEX('CFOG'!$O$10:$O$16,MATCH($F290,'CFOG'!$B$10:$B$16,0))="","Cell will autofill based on response",INDEX('CFOG'!$O$10:$O$16,MATCH($F290,'CFOG'!$B$10:$B$16,0))),"N/A")</f>
        <v/>
      </c>
      <c r="O290" s="25">
        <f>IFERROR(IF(INDEX('CFOG'!$O$23:$O$24,MATCH($F290,'CFOG'!$B$23:$B$24,0))="","Cell will autofill based on response",INDEX('CFOG'!$O$23:$O$24,MATCH($F290,'CFOG'!$B$23:$B$24,0))),"N/A")</f>
        <v/>
      </c>
      <c r="P290" s="25">
        <f>IFERROR(IF(INDEX('ESG'!$O$10:$O$17,MATCH($F290,'ESG'!$B$10:$B$17,0))="","Cell will autofill based on response",INDEX('ESG'!$O$10:$O$17,MATCH($F290,'ESG'!$B$10:$B$17,0))),"N/A")</f>
        <v/>
      </c>
      <c r="Q290" s="25">
        <f>IFERROR(IF(INDEX('CIOG'!$O$10:$O$14,MATCH($F290,'CIOG'!$B$10:$B$14,0))="","Cell will autofill based on response",INDEX('CIOG'!$O$10:$O$14,MATCH($F290,'CIOG'!$B$10:$B$14,0))),"N/A")</f>
        <v/>
      </c>
      <c r="R290" s="25">
        <f>IFERROR(IF(INDEX('MRE'!$O$10:$O$12,MATCH($F290,'MRE'!$B$10:$B$12,0))="","Cell will autofill based on response",INDEX('MRE'!$O$10:$O$12,MATCH($F290,'MRE'!$B$10:$B$12,0))),"N/A")</f>
        <v/>
      </c>
      <c r="S290" s="25">
        <f>IFERROR(IF(INDEX('L&amp;R'!$O$10:$O$11,MATCH($F290,'L&amp;R'!$B$10:$B$11,0))="","Cell will autofill based on response",INDEX('L&amp;R'!$O$10:$O$11,MATCH($F290,'L&amp;R'!$B$10:$B$11,0))),"N/A")</f>
        <v/>
      </c>
    </row>
    <row r="291">
      <c r="A291">
        <f>F291&amp;"|"&amp;G291</f>
        <v/>
      </c>
      <c r="B291" s="29" t="inlineStr"/>
      <c r="C291" s="8" t="inlineStr"/>
      <c r="D291" s="8" t="inlineStr"/>
      <c r="E291" s="8" t="inlineStr"/>
      <c r="F291" s="8" t="inlineStr">
        <is>
          <t>EN1(c)</t>
        </is>
      </c>
      <c r="G291" s="8" t="inlineStr">
        <is>
          <t>Data source and limitations</t>
        </is>
      </c>
      <c r="H291" s="25">
        <f>IFERROR(IF(INDEX('Faculties'!$P$10:$P$30,MATCH($F291,'Faculties'!$B$10:$B$30,0))="","Cell will autofill based on response",INDEX('Faculties'!$P$10:$P$30,MATCH($F291,'Faculties'!$B$10:$B$30,0))),"N/A")</f>
        <v/>
      </c>
      <c r="I291" s="25">
        <f>IFERROR(IF(INDEX('Faculties'!$P$37:$P$57,MATCH($F291,'Faculties'!$B$37:$B$57,0))="","Cell will autofill based on response",INDEX('Faculties'!$P$37:$P$57,MATCH($F291,'Faculties'!$B$37:$B$57,0))),"N/A")</f>
        <v/>
      </c>
      <c r="J291" s="25">
        <f>IFERROR(IF(INDEX('Faculties'!$P$64:$P$84,MATCH($F291,'Faculties'!$B$64:$B$84,0))="","Cell will autofill based on response",INDEX('Faculties'!$P$64:$P$84,MATCH($F291,'Faculties'!$B$64:$B$84,0))),"N/A")</f>
        <v/>
      </c>
      <c r="K291" s="25">
        <f>IFERROR(IF(INDEX('Faculties'!$P$91:$P$111,MATCH($F291,'Faculties'!$B$91:$B$111,0))="","Cell will autofill based on response",INDEX('Faculties'!$P$91:$P$111,MATCH($F291,'Faculties'!$B$91:$B$111,0))),"N/A")</f>
        <v/>
      </c>
      <c r="L291" s="25">
        <f>IFERROR(IF(INDEX('CI&amp;S'!$P$10:$P$15,MATCH($F291,'CI&amp;S'!$B$10:$B$15,0))="","Cell will autofill based on response",INDEX('CI&amp;S'!$P$10:$P$15,MATCH($F291,'CI&amp;S'!$B$10:$B$15,0))),"N/A")</f>
        <v/>
      </c>
      <c r="M291" s="25">
        <f>IFERROR(IF(INDEX('CI&amp;S'!$P$22:$P$39,MATCH($F291,'CI&amp;S'!$B$22:$B$39,0))="","Cell will autofill based on response",INDEX('CI&amp;S'!$P$22:$P$39,MATCH($F291,'CI&amp;S'!$B$22:$B$39,0))),"N/A")</f>
        <v/>
      </c>
      <c r="N291" s="25">
        <f>IFERROR(IF(INDEX('CFOG'!$P$10:$P$16,MATCH($F291,'CFOG'!$B$10:$B$16,0))="","Cell will autofill based on response",INDEX('CFOG'!$P$10:$P$16,MATCH($F291,'CFOG'!$B$10:$B$16,0))),"N/A")</f>
        <v/>
      </c>
      <c r="O291" s="25">
        <f>IFERROR(IF(INDEX('CFOG'!$P$23:$P$24,MATCH($F291,'CFOG'!$B$23:$B$24,0))="","Cell will autofill based on response",INDEX('CFOG'!$P$23:$P$24,MATCH($F291,'CFOG'!$B$23:$B$24,0))),"N/A")</f>
        <v/>
      </c>
      <c r="P291" s="25">
        <f>IFERROR(IF(INDEX('ESG'!$P$10:$P$17,MATCH($F291,'ESG'!$B$10:$B$17,0))="","Cell will autofill based on response",INDEX('ESG'!$P$10:$P$17,MATCH($F291,'ESG'!$B$10:$B$17,0))),"N/A")</f>
        <v/>
      </c>
      <c r="Q291" s="25">
        <f>IFERROR(IF(INDEX('CIOG'!$P$10:$P$14,MATCH($F291,'CIOG'!$B$10:$B$14,0))="","Cell will autofill based on response",INDEX('CIOG'!$P$10:$P$14,MATCH($F291,'CIOG'!$B$10:$B$14,0))),"N/A")</f>
        <v/>
      </c>
      <c r="R291" s="25">
        <f>IFERROR(IF(INDEX('MRE'!$P$10:$P$12,MATCH($F291,'MRE'!$B$10:$B$12,0))="","Cell will autofill based on response",INDEX('MRE'!$P$10:$P$12,MATCH($F291,'MRE'!$B$10:$B$12,0))),"N/A")</f>
        <v/>
      </c>
      <c r="S291" s="25">
        <f>IFERROR(IF(INDEX('L&amp;R'!$P$10:$P$11,MATCH($F291,'L&amp;R'!$B$10:$B$11,0))="","Cell will autofill based on response",INDEX('L&amp;R'!$P$10:$P$11,MATCH($F291,'L&amp;R'!$B$10:$B$11,0))),"N/A")</f>
        <v/>
      </c>
    </row>
    <row r="292">
      <c r="A292">
        <f>F292&amp;"|"&amp;G292</f>
        <v/>
      </c>
      <c r="B292" s="29" t="inlineStr"/>
      <c r="C292" s="8" t="inlineStr"/>
      <c r="D292" s="8" t="inlineStr"/>
      <c r="E292" s="8" t="inlineStr"/>
      <c r="F292" s="8" t="inlineStr">
        <is>
          <t>EN1(c)</t>
        </is>
      </c>
      <c r="G292" s="8" t="inlineStr">
        <is>
          <t>Data owner confirms</t>
        </is>
      </c>
      <c r="H292" s="25">
        <f>IFERROR(IF(INDEX('Faculties'!$Q$10:$Q$30,MATCH($F292,'Faculties'!$B$10:$B$30,0))="","Cell will autofill based on response",INDEX('Faculties'!$Q$10:$Q$30,MATCH($F292,'Faculties'!$B$10:$B$30,0))),"N/A")</f>
        <v/>
      </c>
      <c r="I292" s="25">
        <f>IFERROR(IF(INDEX('Faculties'!$Q$37:$Q$57,MATCH($F292,'Faculties'!$B$37:$B$57,0))="","Cell will autofill based on response",INDEX('Faculties'!$Q$37:$Q$57,MATCH($F292,'Faculties'!$B$37:$B$57,0))),"N/A")</f>
        <v/>
      </c>
      <c r="J292" s="25">
        <f>IFERROR(IF(INDEX('Faculties'!$Q$64:$Q$84,MATCH($F292,'Faculties'!$B$64:$B$84,0))="","Cell will autofill based on response",INDEX('Faculties'!$Q$64:$Q$84,MATCH($F292,'Faculties'!$B$64:$B$84,0))),"N/A")</f>
        <v/>
      </c>
      <c r="K292" s="25">
        <f>IFERROR(IF(INDEX('Faculties'!$Q$91:$Q$111,MATCH($F292,'Faculties'!$B$91:$B$111,0))="","Cell will autofill based on response",INDEX('Faculties'!$Q$91:$Q$111,MATCH($F292,'Faculties'!$B$91:$B$111,0))),"N/A")</f>
        <v/>
      </c>
      <c r="L292" s="25">
        <f>IFERROR(IF(INDEX('CI&amp;S'!$Q$10:$Q$15,MATCH($F292,'CI&amp;S'!$B$10:$B$15,0))="","Cell will autofill based on response",INDEX('CI&amp;S'!$Q$10:$Q$15,MATCH($F292,'CI&amp;S'!$B$10:$B$15,0))),"N/A")</f>
        <v/>
      </c>
      <c r="M292" s="25">
        <f>IFERROR(IF(INDEX('CI&amp;S'!$Q$22:$Q$39,MATCH($F292,'CI&amp;S'!$B$22:$B$39,0))="","Cell will autofill based on response",INDEX('CI&amp;S'!$Q$22:$Q$39,MATCH($F292,'CI&amp;S'!$B$22:$B$39,0))),"N/A")</f>
        <v/>
      </c>
      <c r="N292" s="25">
        <f>IFERROR(IF(INDEX('CFOG'!$Q$10:$Q$16,MATCH($F292,'CFOG'!$B$10:$B$16,0))="","Cell will autofill based on response",INDEX('CFOG'!$Q$10:$Q$16,MATCH($F292,'CFOG'!$B$10:$B$16,0))),"N/A")</f>
        <v/>
      </c>
      <c r="O292" s="25">
        <f>IFERROR(IF(INDEX('CFOG'!$Q$23:$Q$24,MATCH($F292,'CFOG'!$B$23:$B$24,0))="","Cell will autofill based on response",INDEX('CFOG'!$Q$23:$Q$24,MATCH($F292,'CFOG'!$B$23:$B$24,0))),"N/A")</f>
        <v/>
      </c>
      <c r="P292" s="25">
        <f>IFERROR(IF(INDEX('ESG'!$Q$10:$Q$17,MATCH($F292,'ESG'!$B$10:$B$17,0))="","Cell will autofill based on response",INDEX('ESG'!$Q$10:$Q$17,MATCH($F292,'ESG'!$B$10:$B$17,0))),"N/A")</f>
        <v/>
      </c>
      <c r="Q292" s="25">
        <f>IFERROR(IF(INDEX('CIOG'!$Q$10:$Q$14,MATCH($F292,'CIOG'!$B$10:$B$14,0))="","Cell will autofill based on response",INDEX('CIOG'!$Q$10:$Q$14,MATCH($F292,'CIOG'!$B$10:$B$14,0))),"N/A")</f>
        <v/>
      </c>
      <c r="R292" s="25">
        <f>IFERROR(IF(INDEX('MRE'!$Q$10:$Q$12,MATCH($F292,'MRE'!$B$10:$B$12,0))="","Cell will autofill based on response",INDEX('MRE'!$Q$10:$Q$12,MATCH($F292,'MRE'!$B$10:$B$12,0))),"N/A")</f>
        <v/>
      </c>
      <c r="S292" s="25">
        <f>IFERROR(IF(INDEX('L&amp;R'!$Q$10:$Q$11,MATCH($F292,'L&amp;R'!$B$10:$B$11,0))="","Cell will autofill based on response",INDEX('L&amp;R'!$Q$10:$Q$11,MATCH($F292,'L&amp;R'!$B$10:$B$11,0))),"N/A")</f>
        <v/>
      </c>
    </row>
    <row r="293">
      <c r="A293">
        <f>F293&amp;"|"&amp;G293</f>
        <v/>
      </c>
      <c r="B293" s="7" t="inlineStr">
        <is>
          <t>EN1(d)</t>
        </is>
      </c>
      <c r="C293" s="12" t="inlineStr">
        <is>
          <t>Enablers</t>
        </is>
      </c>
      <c r="D293" s="12" t="inlineStr">
        <is>
          <t>Sustainability objectives integrated into governance and decision‑making processes, supported by transparent reporting.</t>
        </is>
      </c>
      <c r="E293" s="12" t="inlineStr">
        <is>
          <t>Please provide evidence of how sustainability objectives are integrated into governance and decision-making within your Faculty/Portfolio, could include relevant committees, policies, planning or approval processes, accountability mechanisms and examples of transparent reporting.</t>
        </is>
      </c>
      <c r="F293" s="12" t="inlineStr">
        <is>
          <t>EN1(d)</t>
        </is>
      </c>
      <c r="G293" s="12" t="inlineStr">
        <is>
          <t>Confirm end-2026 target status</t>
        </is>
      </c>
      <c r="H293" s="25">
        <f>IFERROR(IF(INDEX('Faculties'!$L$10:$L$30,MATCH($F293,'Faculties'!$B$10:$B$30,0))="","Cell will autofill based on response",INDEX('Faculties'!$L$10:$L$30,MATCH($F293,'Faculties'!$B$10:$B$30,0))),"N/A")</f>
        <v/>
      </c>
      <c r="I293" s="25">
        <f>IFERROR(IF(INDEX('Faculties'!$L$37:$L$57,MATCH($F293,'Faculties'!$B$37:$B$57,0))="","Cell will autofill based on response",INDEX('Faculties'!$L$37:$L$57,MATCH($F293,'Faculties'!$B$37:$B$57,0))),"N/A")</f>
        <v/>
      </c>
      <c r="J293" s="25">
        <f>IFERROR(IF(INDEX('Faculties'!$L$64:$L$84,MATCH($F293,'Faculties'!$B$64:$B$84,0))="","Cell will autofill based on response",INDEX('Faculties'!$L$64:$L$84,MATCH($F293,'Faculties'!$B$64:$B$84,0))),"N/A")</f>
        <v/>
      </c>
      <c r="K293" s="25">
        <f>IFERROR(IF(INDEX('Faculties'!$L$91:$L$111,MATCH($F293,'Faculties'!$B$91:$B$111,0))="","Cell will autofill based on response",INDEX('Faculties'!$L$91:$L$111,MATCH($F293,'Faculties'!$B$91:$B$111,0))),"N/A")</f>
        <v/>
      </c>
      <c r="L293" s="25">
        <f>IFERROR(IF(INDEX('CI&amp;S'!$L$10:$L$15,MATCH($F293,'CI&amp;S'!$B$10:$B$15,0))="","Cell will autofill based on response",INDEX('CI&amp;S'!$L$10:$L$15,MATCH($F293,'CI&amp;S'!$B$10:$B$15,0))),"N/A")</f>
        <v/>
      </c>
      <c r="M293" s="25">
        <f>IFERROR(IF(INDEX('CI&amp;S'!$L$22:$L$39,MATCH($F293,'CI&amp;S'!$B$22:$B$39,0))="","Cell will autofill based on response",INDEX('CI&amp;S'!$L$22:$L$39,MATCH($F293,'CI&amp;S'!$B$22:$B$39,0))),"N/A")</f>
        <v/>
      </c>
      <c r="N293" s="25">
        <f>IFERROR(IF(INDEX('CFOG'!$L$10:$L$16,MATCH($F293,'CFOG'!$B$10:$B$16,0))="","Cell will autofill based on response",INDEX('CFOG'!$L$10:$L$16,MATCH($F293,'CFOG'!$B$10:$B$16,0))),"N/A")</f>
        <v/>
      </c>
      <c r="O293" s="25">
        <f>IFERROR(IF(INDEX('CFOG'!$L$23:$L$24,MATCH($F293,'CFOG'!$B$23:$B$24,0))="","Cell will autofill based on response",INDEX('CFOG'!$L$23:$L$24,MATCH($F293,'CFOG'!$B$23:$B$24,0))),"N/A")</f>
        <v/>
      </c>
      <c r="P293" s="25">
        <f>IFERROR(IF(INDEX('ESG'!$L$10:$L$17,MATCH($F293,'ESG'!$B$10:$B$17,0))="","Cell will autofill based on response",INDEX('ESG'!$L$10:$L$17,MATCH($F293,'ESG'!$B$10:$B$17,0))),"N/A")</f>
        <v/>
      </c>
      <c r="Q293" s="25">
        <f>IFERROR(IF(INDEX('CIOG'!$L$10:$L$14,MATCH($F293,'CIOG'!$B$10:$B$14,0))="","Cell will autofill based on response",INDEX('CIOG'!$L$10:$L$14,MATCH($F293,'CIOG'!$B$10:$B$14,0))),"N/A")</f>
        <v/>
      </c>
      <c r="R293" s="25">
        <f>IFERROR(IF(INDEX('MRE'!$L$10:$L$12,MATCH($F293,'MRE'!$B$10:$B$12,0))="","Cell will autofill based on response",INDEX('MRE'!$L$10:$L$12,MATCH($F293,'MRE'!$B$10:$B$12,0))),"N/A")</f>
        <v/>
      </c>
      <c r="S293" s="25">
        <f>IFERROR(IF(INDEX('L&amp;R'!$L$10:$L$11,MATCH($F293,'L&amp;R'!$B$10:$B$11,0))="","Cell will autofill based on response",INDEX('L&amp;R'!$L$10:$L$11,MATCH($F293,'L&amp;R'!$B$10:$B$11,0))),"N/A")</f>
        <v/>
      </c>
      <c r="U293" s="26">
        <f>COUNTIF($H293:$S293,"Cell will autofill based on response")</f>
        <v/>
      </c>
      <c r="V293" s="26">
        <f>COUNTIF($H293:$S293,"Not yet started")</f>
        <v/>
      </c>
      <c r="W293" s="26">
        <f>COUNTIF($H293:$S293,"Not met")</f>
        <v/>
      </c>
      <c r="X293" s="26">
        <f>COUNTIF($H293:$S293,"Partially met")</f>
        <v/>
      </c>
      <c r="Y293" s="26">
        <f>COUNTIF($H293:$S293,"Met or exceeded")</f>
        <v/>
      </c>
      <c r="Z293" s="26">
        <f>3*Y293+2*X293+W293</f>
        <v/>
      </c>
      <c r="AA293" s="26">
        <f>Y293+X293+W293+V293</f>
        <v/>
      </c>
      <c r="AB293" s="27">
        <f>IF(AA293&gt;0,Z293/AA293,"No valid responses to date")</f>
        <v/>
      </c>
      <c r="AC293" s="26">
        <f>IF(ISNUMBER(AB293),INDEX(Lists!$G$2:$G$5,MATCH(ROUND(AB293,0),Lists!$H$2:$H$5,0)),"")</f>
        <v/>
      </c>
      <c r="AD293" s="28">
        <f>IF(AA293&gt;0,Y293/AA293,"")</f>
        <v/>
      </c>
      <c r="AE293" s="28">
        <f>IF(AA293&gt;0,(Y293+X293)/AA293,"")</f>
        <v/>
      </c>
      <c r="AF293" s="26">
        <f>IF(AA293=0,"",IF(AD293&gt;0.75,"Met or exceeded",IF(AE293&gt;=0.5,"Partially met","Not met")))</f>
        <v/>
      </c>
    </row>
    <row r="294">
      <c r="A294">
        <f>F294&amp;"|"&amp;G294</f>
        <v/>
      </c>
      <c r="B294" s="29" t="inlineStr"/>
      <c r="C294" s="8" t="inlineStr"/>
      <c r="D294" s="8" t="inlineStr"/>
      <c r="E294" s="8" t="inlineStr"/>
      <c r="F294" s="8" t="inlineStr">
        <is>
          <t>EN1(d)</t>
        </is>
      </c>
      <c r="G294" s="8" t="inlineStr">
        <is>
          <t>OPTION 1:  Target-level reporting</t>
        </is>
      </c>
      <c r="H294" s="25">
        <f>IFERROR(IF(INDEX('Faculties'!$M$10:$M$30,MATCH($F294,'Faculties'!$B$10:$B$30,0))="","Cell will autofill based on response",INDEX('Faculties'!$M$10:$M$30,MATCH($F294,'Faculties'!$B$10:$B$30,0))),"N/A")</f>
        <v/>
      </c>
      <c r="I294" s="25">
        <f>IFERROR(IF(INDEX('Faculties'!$M$37:$M$57,MATCH($F294,'Faculties'!$B$37:$B$57,0))="","Cell will autofill based on response",INDEX('Faculties'!$M$37:$M$57,MATCH($F294,'Faculties'!$B$37:$B$57,0))),"N/A")</f>
        <v/>
      </c>
      <c r="J294" s="25">
        <f>IFERROR(IF(INDEX('Faculties'!$M$64:$M$84,MATCH($F294,'Faculties'!$B$64:$B$84,0))="","Cell will autofill based on response",INDEX('Faculties'!$M$64:$M$84,MATCH($F294,'Faculties'!$B$64:$B$84,0))),"N/A")</f>
        <v/>
      </c>
      <c r="K294" s="25">
        <f>IFERROR(IF(INDEX('Faculties'!$M$91:$M$111,MATCH($F294,'Faculties'!$B$91:$B$111,0))="","Cell will autofill based on response",INDEX('Faculties'!$M$91:$M$111,MATCH($F294,'Faculties'!$B$91:$B$111,0))),"N/A")</f>
        <v/>
      </c>
      <c r="L294" s="25">
        <f>IFERROR(IF(INDEX('CI&amp;S'!$M$10:$M$15,MATCH($F294,'CI&amp;S'!$B$10:$B$15,0))="","Cell will autofill based on response",INDEX('CI&amp;S'!$M$10:$M$15,MATCH($F294,'CI&amp;S'!$B$10:$B$15,0))),"N/A")</f>
        <v/>
      </c>
      <c r="M294" s="25">
        <f>IFERROR(IF(INDEX('CI&amp;S'!$M$22:$M$39,MATCH($F294,'CI&amp;S'!$B$22:$B$39,0))="","Cell will autofill based on response",INDEX('CI&amp;S'!$M$22:$M$39,MATCH($F294,'CI&amp;S'!$B$22:$B$39,0))),"N/A")</f>
        <v/>
      </c>
      <c r="N294" s="25">
        <f>IFERROR(IF(INDEX('CFOG'!$M$10:$M$16,MATCH($F294,'CFOG'!$B$10:$B$16,0))="","Cell will autofill based on response",INDEX('CFOG'!$M$10:$M$16,MATCH($F294,'CFOG'!$B$10:$B$16,0))),"N/A")</f>
        <v/>
      </c>
      <c r="O294" s="25">
        <f>IFERROR(IF(INDEX('CFOG'!$M$23:$M$24,MATCH($F294,'CFOG'!$B$23:$B$24,0))="","Cell will autofill based on response",INDEX('CFOG'!$M$23:$M$24,MATCH($F294,'CFOG'!$B$23:$B$24,0))),"N/A")</f>
        <v/>
      </c>
      <c r="P294" s="25">
        <f>IFERROR(IF(INDEX('ESG'!$M$10:$M$17,MATCH($F294,'ESG'!$B$10:$B$17,0))="","Cell will autofill based on response",INDEX('ESG'!$M$10:$M$17,MATCH($F294,'ESG'!$B$10:$B$17,0))),"N/A")</f>
        <v/>
      </c>
      <c r="Q294" s="25">
        <f>IFERROR(IF(INDEX('CIOG'!$M$10:$M$14,MATCH($F294,'CIOG'!$B$10:$B$14,0))="","Cell will autofill based on response",INDEX('CIOG'!$M$10:$M$14,MATCH($F294,'CIOG'!$B$10:$B$14,0))),"N/A")</f>
        <v/>
      </c>
      <c r="R294" s="25">
        <f>IFERROR(IF(INDEX('MRE'!$M$10:$M$12,MATCH($F294,'MRE'!$B$10:$B$12,0))="","Cell will autofill based on response",INDEX('MRE'!$M$10:$M$12,MATCH($F294,'MRE'!$B$10:$B$12,0))),"N/A")</f>
        <v/>
      </c>
      <c r="S294" s="25">
        <f>IFERROR(IF(INDEX('L&amp;R'!$M$10:$M$11,MATCH($F294,'L&amp;R'!$B$10:$B$11,0))="","Cell will autofill based on response",INDEX('L&amp;R'!$M$10:$M$11,MATCH($F294,'L&amp;R'!$B$10:$B$11,0))),"N/A")</f>
        <v/>
      </c>
    </row>
    <row r="295">
      <c r="A295">
        <f>F295&amp;"|"&amp;G295</f>
        <v/>
      </c>
      <c r="B295" s="29" t="inlineStr"/>
      <c r="C295" s="8" t="inlineStr"/>
      <c r="D295" s="8" t="inlineStr"/>
      <c r="E295" s="8" t="inlineStr"/>
      <c r="F295" s="8" t="inlineStr">
        <is>
          <t>EN1(d)</t>
        </is>
      </c>
      <c r="G295" s="8" t="inlineStr">
        <is>
          <t>OPTION 2:  Indicator level reporting</t>
        </is>
      </c>
      <c r="H295" s="25">
        <f>IFERROR(IF(INDEX('Faculties'!$N$10:$N$30,MATCH($F295,'Faculties'!$B$10:$B$30,0))="","Cell will autofill based on response",INDEX('Faculties'!$N$10:$N$30,MATCH($F295,'Faculties'!$B$10:$B$30,0))),"N/A")</f>
        <v/>
      </c>
      <c r="I295" s="25">
        <f>IFERROR(IF(INDEX('Faculties'!$N$37:$N$57,MATCH($F295,'Faculties'!$B$37:$B$57,0))="","Cell will autofill based on response",INDEX('Faculties'!$N$37:$N$57,MATCH($F295,'Faculties'!$B$37:$B$57,0))),"N/A")</f>
        <v/>
      </c>
      <c r="J295" s="25">
        <f>IFERROR(IF(INDEX('Faculties'!$N$64:$N$84,MATCH($F295,'Faculties'!$B$64:$B$84,0))="","Cell will autofill based on response",INDEX('Faculties'!$N$64:$N$84,MATCH($F295,'Faculties'!$B$64:$B$84,0))),"N/A")</f>
        <v/>
      </c>
      <c r="K295" s="25">
        <f>IFERROR(IF(INDEX('Faculties'!$N$91:$N$111,MATCH($F295,'Faculties'!$B$91:$B$111,0))="","Cell will autofill based on response",INDEX('Faculties'!$N$91:$N$111,MATCH($F295,'Faculties'!$B$91:$B$111,0))),"N/A")</f>
        <v/>
      </c>
      <c r="L295" s="25">
        <f>IFERROR(IF(INDEX('CI&amp;S'!$N$10:$N$15,MATCH($F295,'CI&amp;S'!$B$10:$B$15,0))="","Cell will autofill based on response",INDEX('CI&amp;S'!$N$10:$N$15,MATCH($F295,'CI&amp;S'!$B$10:$B$15,0))),"N/A")</f>
        <v/>
      </c>
      <c r="M295" s="25">
        <f>IFERROR(IF(INDEX('CI&amp;S'!$N$22:$N$39,MATCH($F295,'CI&amp;S'!$B$22:$B$39,0))="","Cell will autofill based on response",INDEX('CI&amp;S'!$N$22:$N$39,MATCH($F295,'CI&amp;S'!$B$22:$B$39,0))),"N/A")</f>
        <v/>
      </c>
      <c r="N295" s="25">
        <f>IFERROR(IF(INDEX('CFOG'!$N$10:$N$16,MATCH($F295,'CFOG'!$B$10:$B$16,0))="","Cell will autofill based on response",INDEX('CFOG'!$N$10:$N$16,MATCH($F295,'CFOG'!$B$10:$B$16,0))),"N/A")</f>
        <v/>
      </c>
      <c r="O295" s="25">
        <f>IFERROR(IF(INDEX('CFOG'!$N$23:$N$24,MATCH($F295,'CFOG'!$B$23:$B$24,0))="","Cell will autofill based on response",INDEX('CFOG'!$N$23:$N$24,MATCH($F295,'CFOG'!$B$23:$B$24,0))),"N/A")</f>
        <v/>
      </c>
      <c r="P295" s="25">
        <f>IFERROR(IF(INDEX('ESG'!$N$10:$N$17,MATCH($F295,'ESG'!$B$10:$B$17,0))="","Cell will autofill based on response",INDEX('ESG'!$N$10:$N$17,MATCH($F295,'ESG'!$B$10:$B$17,0))),"N/A")</f>
        <v/>
      </c>
      <c r="Q295" s="25">
        <f>IFERROR(IF(INDEX('CIOG'!$N$10:$N$14,MATCH($F295,'CIOG'!$B$10:$B$14,0))="","Cell will autofill based on response",INDEX('CIOG'!$N$10:$N$14,MATCH($F295,'CIOG'!$B$10:$B$14,0))),"N/A")</f>
        <v/>
      </c>
      <c r="R295" s="25">
        <f>IFERROR(IF(INDEX('MRE'!$N$10:$N$12,MATCH($F295,'MRE'!$B$10:$B$12,0))="","Cell will autofill based on response",INDEX('MRE'!$N$10:$N$12,MATCH($F295,'MRE'!$B$10:$B$12,0))),"N/A")</f>
        <v/>
      </c>
      <c r="S295" s="25">
        <f>IFERROR(IF(INDEX('L&amp;R'!$N$10:$N$11,MATCH($F295,'L&amp;R'!$B$10:$B$11,0))="","Cell will autofill based on response",INDEX('L&amp;R'!$N$10:$N$11,MATCH($F295,'L&amp;R'!$B$10:$B$11,0))),"N/A")</f>
        <v/>
      </c>
    </row>
    <row r="296">
      <c r="A296">
        <f>F296&amp;"|"&amp;G296</f>
        <v/>
      </c>
      <c r="B296" s="29" t="inlineStr"/>
      <c r="C296" s="8" t="inlineStr"/>
      <c r="D296" s="8" t="inlineStr"/>
      <c r="E296" s="8" t="inlineStr"/>
      <c r="F296" s="8" t="inlineStr">
        <is>
          <t>EN1(d)</t>
        </is>
      </c>
      <c r="G296" s="8" t="inlineStr">
        <is>
          <t>Supporting information/comments</t>
        </is>
      </c>
      <c r="H296" s="25">
        <f>IFERROR(IF(INDEX('Faculties'!$O$10:$O$30,MATCH($F296,'Faculties'!$B$10:$B$30,0))="","Cell will autofill based on response",INDEX('Faculties'!$O$10:$O$30,MATCH($F296,'Faculties'!$B$10:$B$30,0))),"N/A")</f>
        <v/>
      </c>
      <c r="I296" s="25">
        <f>IFERROR(IF(INDEX('Faculties'!$O$37:$O$57,MATCH($F296,'Faculties'!$B$37:$B$57,0))="","Cell will autofill based on response",INDEX('Faculties'!$O$37:$O$57,MATCH($F296,'Faculties'!$B$37:$B$57,0))),"N/A")</f>
        <v/>
      </c>
      <c r="J296" s="25">
        <f>IFERROR(IF(INDEX('Faculties'!$O$64:$O$84,MATCH($F296,'Faculties'!$B$64:$B$84,0))="","Cell will autofill based on response",INDEX('Faculties'!$O$64:$O$84,MATCH($F296,'Faculties'!$B$64:$B$84,0))),"N/A")</f>
        <v/>
      </c>
      <c r="K296" s="25">
        <f>IFERROR(IF(INDEX('Faculties'!$O$91:$O$111,MATCH($F296,'Faculties'!$B$91:$B$111,0))="","Cell will autofill based on response",INDEX('Faculties'!$O$91:$O$111,MATCH($F296,'Faculties'!$B$91:$B$111,0))),"N/A")</f>
        <v/>
      </c>
      <c r="L296" s="25">
        <f>IFERROR(IF(INDEX('CI&amp;S'!$O$10:$O$15,MATCH($F296,'CI&amp;S'!$B$10:$B$15,0))="","Cell will autofill based on response",INDEX('CI&amp;S'!$O$10:$O$15,MATCH($F296,'CI&amp;S'!$B$10:$B$15,0))),"N/A")</f>
        <v/>
      </c>
      <c r="M296" s="25">
        <f>IFERROR(IF(INDEX('CI&amp;S'!$O$22:$O$39,MATCH($F296,'CI&amp;S'!$B$22:$B$39,0))="","Cell will autofill based on response",INDEX('CI&amp;S'!$O$22:$O$39,MATCH($F296,'CI&amp;S'!$B$22:$B$39,0))),"N/A")</f>
        <v/>
      </c>
      <c r="N296" s="25">
        <f>IFERROR(IF(INDEX('CFOG'!$O$10:$O$16,MATCH($F296,'CFOG'!$B$10:$B$16,0))="","Cell will autofill based on response",INDEX('CFOG'!$O$10:$O$16,MATCH($F296,'CFOG'!$B$10:$B$16,0))),"N/A")</f>
        <v/>
      </c>
      <c r="O296" s="25">
        <f>IFERROR(IF(INDEX('CFOG'!$O$23:$O$24,MATCH($F296,'CFOG'!$B$23:$B$24,0))="","Cell will autofill based on response",INDEX('CFOG'!$O$23:$O$24,MATCH($F296,'CFOG'!$B$23:$B$24,0))),"N/A")</f>
        <v/>
      </c>
      <c r="P296" s="25">
        <f>IFERROR(IF(INDEX('ESG'!$O$10:$O$17,MATCH($F296,'ESG'!$B$10:$B$17,0))="","Cell will autofill based on response",INDEX('ESG'!$O$10:$O$17,MATCH($F296,'ESG'!$B$10:$B$17,0))),"N/A")</f>
        <v/>
      </c>
      <c r="Q296" s="25">
        <f>IFERROR(IF(INDEX('CIOG'!$O$10:$O$14,MATCH($F296,'CIOG'!$B$10:$B$14,0))="","Cell will autofill based on response",INDEX('CIOG'!$O$10:$O$14,MATCH($F296,'CIOG'!$B$10:$B$14,0))),"N/A")</f>
        <v/>
      </c>
      <c r="R296" s="25">
        <f>IFERROR(IF(INDEX('MRE'!$O$10:$O$12,MATCH($F296,'MRE'!$B$10:$B$12,0))="","Cell will autofill based on response",INDEX('MRE'!$O$10:$O$12,MATCH($F296,'MRE'!$B$10:$B$12,0))),"N/A")</f>
        <v/>
      </c>
      <c r="S296" s="25">
        <f>IFERROR(IF(INDEX('L&amp;R'!$O$10:$O$11,MATCH($F296,'L&amp;R'!$B$10:$B$11,0))="","Cell will autofill based on response",INDEX('L&amp;R'!$O$10:$O$11,MATCH($F296,'L&amp;R'!$B$10:$B$11,0))),"N/A")</f>
        <v/>
      </c>
    </row>
    <row r="297">
      <c r="A297">
        <f>F297&amp;"|"&amp;G297</f>
        <v/>
      </c>
      <c r="B297" s="29" t="inlineStr"/>
      <c r="C297" s="8" t="inlineStr"/>
      <c r="D297" s="8" t="inlineStr"/>
      <c r="E297" s="8" t="inlineStr"/>
      <c r="F297" s="8" t="inlineStr">
        <is>
          <t>EN1(d)</t>
        </is>
      </c>
      <c r="G297" s="8" t="inlineStr">
        <is>
          <t>Data source and limitations</t>
        </is>
      </c>
      <c r="H297" s="25">
        <f>IFERROR(IF(INDEX('Faculties'!$P$10:$P$30,MATCH($F297,'Faculties'!$B$10:$B$30,0))="","Cell will autofill based on response",INDEX('Faculties'!$P$10:$P$30,MATCH($F297,'Faculties'!$B$10:$B$30,0))),"N/A")</f>
        <v/>
      </c>
      <c r="I297" s="25">
        <f>IFERROR(IF(INDEX('Faculties'!$P$37:$P$57,MATCH($F297,'Faculties'!$B$37:$B$57,0))="","Cell will autofill based on response",INDEX('Faculties'!$P$37:$P$57,MATCH($F297,'Faculties'!$B$37:$B$57,0))),"N/A")</f>
        <v/>
      </c>
      <c r="J297" s="25">
        <f>IFERROR(IF(INDEX('Faculties'!$P$64:$P$84,MATCH($F297,'Faculties'!$B$64:$B$84,0))="","Cell will autofill based on response",INDEX('Faculties'!$P$64:$P$84,MATCH($F297,'Faculties'!$B$64:$B$84,0))),"N/A")</f>
        <v/>
      </c>
      <c r="K297" s="25">
        <f>IFERROR(IF(INDEX('Faculties'!$P$91:$P$111,MATCH($F297,'Faculties'!$B$91:$B$111,0))="","Cell will autofill based on response",INDEX('Faculties'!$P$91:$P$111,MATCH($F297,'Faculties'!$B$91:$B$111,0))),"N/A")</f>
        <v/>
      </c>
      <c r="L297" s="25">
        <f>IFERROR(IF(INDEX('CI&amp;S'!$P$10:$P$15,MATCH($F297,'CI&amp;S'!$B$10:$B$15,0))="","Cell will autofill based on response",INDEX('CI&amp;S'!$P$10:$P$15,MATCH($F297,'CI&amp;S'!$B$10:$B$15,0))),"N/A")</f>
        <v/>
      </c>
      <c r="M297" s="25">
        <f>IFERROR(IF(INDEX('CI&amp;S'!$P$22:$P$39,MATCH($F297,'CI&amp;S'!$B$22:$B$39,0))="","Cell will autofill based on response",INDEX('CI&amp;S'!$P$22:$P$39,MATCH($F297,'CI&amp;S'!$B$22:$B$39,0))),"N/A")</f>
        <v/>
      </c>
      <c r="N297" s="25">
        <f>IFERROR(IF(INDEX('CFOG'!$P$10:$P$16,MATCH($F297,'CFOG'!$B$10:$B$16,0))="","Cell will autofill based on response",INDEX('CFOG'!$P$10:$P$16,MATCH($F297,'CFOG'!$B$10:$B$16,0))),"N/A")</f>
        <v/>
      </c>
      <c r="O297" s="25">
        <f>IFERROR(IF(INDEX('CFOG'!$P$23:$P$24,MATCH($F297,'CFOG'!$B$23:$B$24,0))="","Cell will autofill based on response",INDEX('CFOG'!$P$23:$P$24,MATCH($F297,'CFOG'!$B$23:$B$24,0))),"N/A")</f>
        <v/>
      </c>
      <c r="P297" s="25">
        <f>IFERROR(IF(INDEX('ESG'!$P$10:$P$17,MATCH($F297,'ESG'!$B$10:$B$17,0))="","Cell will autofill based on response",INDEX('ESG'!$P$10:$P$17,MATCH($F297,'ESG'!$B$10:$B$17,0))),"N/A")</f>
        <v/>
      </c>
      <c r="Q297" s="25">
        <f>IFERROR(IF(INDEX('CIOG'!$P$10:$P$14,MATCH($F297,'CIOG'!$B$10:$B$14,0))="","Cell will autofill based on response",INDEX('CIOG'!$P$10:$P$14,MATCH($F297,'CIOG'!$B$10:$B$14,0))),"N/A")</f>
        <v/>
      </c>
      <c r="R297" s="25">
        <f>IFERROR(IF(INDEX('MRE'!$P$10:$P$12,MATCH($F297,'MRE'!$B$10:$B$12,0))="","Cell will autofill based on response",INDEX('MRE'!$P$10:$P$12,MATCH($F297,'MRE'!$B$10:$B$12,0))),"N/A")</f>
        <v/>
      </c>
      <c r="S297" s="25">
        <f>IFERROR(IF(INDEX('L&amp;R'!$P$10:$P$11,MATCH($F297,'L&amp;R'!$B$10:$B$11,0))="","Cell will autofill based on response",INDEX('L&amp;R'!$P$10:$P$11,MATCH($F297,'L&amp;R'!$B$10:$B$11,0))),"N/A")</f>
        <v/>
      </c>
    </row>
    <row r="298">
      <c r="A298">
        <f>F298&amp;"|"&amp;G298</f>
        <v/>
      </c>
      <c r="B298" s="29" t="inlineStr"/>
      <c r="C298" s="8" t="inlineStr"/>
      <c r="D298" s="8" t="inlineStr"/>
      <c r="E298" s="8" t="inlineStr"/>
      <c r="F298" s="8" t="inlineStr">
        <is>
          <t>EN1(d)</t>
        </is>
      </c>
      <c r="G298" s="8" t="inlineStr">
        <is>
          <t>Data owner confirms</t>
        </is>
      </c>
      <c r="H298" s="25">
        <f>IFERROR(IF(INDEX('Faculties'!$Q$10:$Q$30,MATCH($F298,'Faculties'!$B$10:$B$30,0))="","Cell will autofill based on response",INDEX('Faculties'!$Q$10:$Q$30,MATCH($F298,'Faculties'!$B$10:$B$30,0))),"N/A")</f>
        <v/>
      </c>
      <c r="I298" s="25">
        <f>IFERROR(IF(INDEX('Faculties'!$Q$37:$Q$57,MATCH($F298,'Faculties'!$B$37:$B$57,0))="","Cell will autofill based on response",INDEX('Faculties'!$Q$37:$Q$57,MATCH($F298,'Faculties'!$B$37:$B$57,0))),"N/A")</f>
        <v/>
      </c>
      <c r="J298" s="25">
        <f>IFERROR(IF(INDEX('Faculties'!$Q$64:$Q$84,MATCH($F298,'Faculties'!$B$64:$B$84,0))="","Cell will autofill based on response",INDEX('Faculties'!$Q$64:$Q$84,MATCH($F298,'Faculties'!$B$64:$B$84,0))),"N/A")</f>
        <v/>
      </c>
      <c r="K298" s="25">
        <f>IFERROR(IF(INDEX('Faculties'!$Q$91:$Q$111,MATCH($F298,'Faculties'!$B$91:$B$111,0))="","Cell will autofill based on response",INDEX('Faculties'!$Q$91:$Q$111,MATCH($F298,'Faculties'!$B$91:$B$111,0))),"N/A")</f>
        <v/>
      </c>
      <c r="L298" s="25">
        <f>IFERROR(IF(INDEX('CI&amp;S'!$Q$10:$Q$15,MATCH($F298,'CI&amp;S'!$B$10:$B$15,0))="","Cell will autofill based on response",INDEX('CI&amp;S'!$Q$10:$Q$15,MATCH($F298,'CI&amp;S'!$B$10:$B$15,0))),"N/A")</f>
        <v/>
      </c>
      <c r="M298" s="25">
        <f>IFERROR(IF(INDEX('CI&amp;S'!$Q$22:$Q$39,MATCH($F298,'CI&amp;S'!$B$22:$B$39,0))="","Cell will autofill based on response",INDEX('CI&amp;S'!$Q$22:$Q$39,MATCH($F298,'CI&amp;S'!$B$22:$B$39,0))),"N/A")</f>
        <v/>
      </c>
      <c r="N298" s="25">
        <f>IFERROR(IF(INDEX('CFOG'!$Q$10:$Q$16,MATCH($F298,'CFOG'!$B$10:$B$16,0))="","Cell will autofill based on response",INDEX('CFOG'!$Q$10:$Q$16,MATCH($F298,'CFOG'!$B$10:$B$16,0))),"N/A")</f>
        <v/>
      </c>
      <c r="O298" s="25">
        <f>IFERROR(IF(INDEX('CFOG'!$Q$23:$Q$24,MATCH($F298,'CFOG'!$B$23:$B$24,0))="","Cell will autofill based on response",INDEX('CFOG'!$Q$23:$Q$24,MATCH($F298,'CFOG'!$B$23:$B$24,0))),"N/A")</f>
        <v/>
      </c>
      <c r="P298" s="25">
        <f>IFERROR(IF(INDEX('ESG'!$Q$10:$Q$17,MATCH($F298,'ESG'!$B$10:$B$17,0))="","Cell will autofill based on response",INDEX('ESG'!$Q$10:$Q$17,MATCH($F298,'ESG'!$B$10:$B$17,0))),"N/A")</f>
        <v/>
      </c>
      <c r="Q298" s="25">
        <f>IFERROR(IF(INDEX('CIOG'!$Q$10:$Q$14,MATCH($F298,'CIOG'!$B$10:$B$14,0))="","Cell will autofill based on response",INDEX('CIOG'!$Q$10:$Q$14,MATCH($F298,'CIOG'!$B$10:$B$14,0))),"N/A")</f>
        <v/>
      </c>
      <c r="R298" s="25">
        <f>IFERROR(IF(INDEX('MRE'!$Q$10:$Q$12,MATCH($F298,'MRE'!$B$10:$B$12,0))="","Cell will autofill based on response",INDEX('MRE'!$Q$10:$Q$12,MATCH($F298,'MRE'!$B$10:$B$12,0))),"N/A")</f>
        <v/>
      </c>
      <c r="S298" s="25">
        <f>IFERROR(IF(INDEX('L&amp;R'!$Q$10:$Q$11,MATCH($F298,'L&amp;R'!$B$10:$B$11,0))="","Cell will autofill based on response",INDEX('L&amp;R'!$Q$10:$Q$11,MATCH($F298,'L&amp;R'!$B$10:$B$11,0))),"N/A")</f>
        <v/>
      </c>
    </row>
  </sheetData>
  <autoFilter ref="B10:AF298"/>
  <mergeCells count="1">
    <mergeCell ref="D4:N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O54"/>
  <sheetViews>
    <sheetView showGridLines="0" workbookViewId="0">
      <pane xSplit="2" ySplit="6" topLeftCell="C7" activePane="bottomRight" state="frozen"/>
      <selection pane="topRight"/>
      <selection pane="bottomLeft"/>
      <selection pane="bottomRight" activeCell="A1" sqref="A1"/>
    </sheetView>
  </sheetViews>
  <sheetFormatPr baseColWidth="8" defaultRowHeight="15"/>
  <cols>
    <col width="10"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s>
  <sheetData>
    <row r="1">
      <c r="A1" s="1" t="inlineStr">
        <is>
          <t>↑</t>
        </is>
      </c>
      <c r="B1" s="2" t="inlineStr">
        <is>
          <t>End-2026 target status assessment and reporting</t>
        </is>
      </c>
    </row>
    <row r="2">
      <c r="B2" s="3" t="inlineStr">
        <is>
          <t>0.5 Target Check</t>
        </is>
      </c>
    </row>
    <row r="3">
      <c r="B3" t="inlineStr">
        <is>
          <t>Which units were asked to report on each indicator (Yes = indicator appears in that unit's tab). Feeds T2.</t>
        </is>
      </c>
    </row>
    <row r="6">
      <c r="B6" s="6" t="inlineStr">
        <is>
          <t>Target list</t>
        </is>
      </c>
      <c r="C6" s="6" t="inlineStr">
        <is>
          <t>ABP</t>
        </is>
      </c>
      <c r="D6" s="6" t="inlineStr">
        <is>
          <t>ARTS</t>
        </is>
      </c>
      <c r="E6" s="6" t="inlineStr">
        <is>
          <t>FBE</t>
        </is>
      </c>
      <c r="F6" s="6" t="inlineStr">
        <is>
          <t>SCI</t>
        </is>
      </c>
      <c r="G6" s="6" t="inlineStr">
        <is>
          <t>CI&amp;S – Estate Planning &amp; Development</t>
        </is>
      </c>
      <c r="H6" s="6" t="inlineStr">
        <is>
          <t>CI&amp;S – Sustainability Strategy</t>
        </is>
      </c>
      <c r="I6" s="6" t="inlineStr">
        <is>
          <t>CFOG – Procurement</t>
        </is>
      </c>
      <c r="J6" s="6" t="inlineStr">
        <is>
          <t>CFOG – Treasury &amp; Investments</t>
        </is>
      </c>
      <c r="K6" s="6" t="inlineStr">
        <is>
          <t>ESG – Campus Operations &amp; Sustainability Delivery</t>
        </is>
      </c>
      <c r="L6" s="6" t="inlineStr">
        <is>
          <t>CIOG – Responsible AI &amp; digital</t>
        </is>
      </c>
      <c r="M6" s="6" t="inlineStr">
        <is>
          <t>MRE – Research</t>
        </is>
      </c>
      <c r="N6" s="6" t="inlineStr">
        <is>
          <t>Legal &amp; Risk – Risk &amp; resilience</t>
        </is>
      </c>
      <c r="O6" s="6" t="inlineStr">
        <is>
          <t>No. of units requested</t>
        </is>
      </c>
    </row>
    <row r="7">
      <c r="B7" s="7" t="inlineStr">
        <is>
          <t>EE1(a)</t>
        </is>
      </c>
      <c r="C7" s="14">
        <f>IF('A1. Data scoring'!H11&lt;&gt;"N/A","Yes","No")</f>
        <v/>
      </c>
      <c r="D7" s="14">
        <f>IF('A1. Data scoring'!I11&lt;&gt;"N/A","Yes","No")</f>
        <v/>
      </c>
      <c r="E7" s="14">
        <f>IF('A1. Data scoring'!J11&lt;&gt;"N/A","Yes","No")</f>
        <v/>
      </c>
      <c r="F7" s="14">
        <f>IF('A1. Data scoring'!K11&lt;&gt;"N/A","Yes","No")</f>
        <v/>
      </c>
      <c r="G7" s="14">
        <f>IF('A1. Data scoring'!L11&lt;&gt;"N/A","Yes","No")</f>
        <v/>
      </c>
      <c r="H7" s="14">
        <f>IF('A1. Data scoring'!M11&lt;&gt;"N/A","Yes","No")</f>
        <v/>
      </c>
      <c r="I7" s="14">
        <f>IF('A1. Data scoring'!N11&lt;&gt;"N/A","Yes","No")</f>
        <v/>
      </c>
      <c r="J7" s="14">
        <f>IF('A1. Data scoring'!O11&lt;&gt;"N/A","Yes","No")</f>
        <v/>
      </c>
      <c r="K7" s="14">
        <f>IF('A1. Data scoring'!P11&lt;&gt;"N/A","Yes","No")</f>
        <v/>
      </c>
      <c r="L7" s="14">
        <f>IF('A1. Data scoring'!Q11&lt;&gt;"N/A","Yes","No")</f>
        <v/>
      </c>
      <c r="M7" s="14">
        <f>IF('A1. Data scoring'!R11&lt;&gt;"N/A","Yes","No")</f>
        <v/>
      </c>
      <c r="N7" s="14">
        <f>IF('A1. Data scoring'!S11&lt;&gt;"N/A","Yes","No")</f>
        <v/>
      </c>
      <c r="O7" s="8">
        <f>COUNTIF(C7:N7,"Yes")</f>
        <v/>
      </c>
    </row>
    <row r="8">
      <c r="B8" s="7" t="inlineStr">
        <is>
          <t>EE1(b)</t>
        </is>
      </c>
      <c r="C8" s="14">
        <f>IF('A1. Data scoring'!H17&lt;&gt;"N/A","Yes","No")</f>
        <v/>
      </c>
      <c r="D8" s="14">
        <f>IF('A1. Data scoring'!I17&lt;&gt;"N/A","Yes","No")</f>
        <v/>
      </c>
      <c r="E8" s="14">
        <f>IF('A1. Data scoring'!J17&lt;&gt;"N/A","Yes","No")</f>
        <v/>
      </c>
      <c r="F8" s="14">
        <f>IF('A1. Data scoring'!K17&lt;&gt;"N/A","Yes","No")</f>
        <v/>
      </c>
      <c r="G8" s="14">
        <f>IF('A1. Data scoring'!L17&lt;&gt;"N/A","Yes","No")</f>
        <v/>
      </c>
      <c r="H8" s="14">
        <f>IF('A1. Data scoring'!M17&lt;&gt;"N/A","Yes","No")</f>
        <v/>
      </c>
      <c r="I8" s="14">
        <f>IF('A1. Data scoring'!N17&lt;&gt;"N/A","Yes","No")</f>
        <v/>
      </c>
      <c r="J8" s="14">
        <f>IF('A1. Data scoring'!O17&lt;&gt;"N/A","Yes","No")</f>
        <v/>
      </c>
      <c r="K8" s="14">
        <f>IF('A1. Data scoring'!P17&lt;&gt;"N/A","Yes","No")</f>
        <v/>
      </c>
      <c r="L8" s="14">
        <f>IF('A1. Data scoring'!Q17&lt;&gt;"N/A","Yes","No")</f>
        <v/>
      </c>
      <c r="M8" s="14">
        <f>IF('A1. Data scoring'!R17&lt;&gt;"N/A","Yes","No")</f>
        <v/>
      </c>
      <c r="N8" s="14">
        <f>IF('A1. Data scoring'!S17&lt;&gt;"N/A","Yes","No")</f>
        <v/>
      </c>
      <c r="O8" s="8">
        <f>COUNTIF(C8:N8,"Yes")</f>
        <v/>
      </c>
    </row>
    <row r="9">
      <c r="B9" s="7" t="inlineStr">
        <is>
          <t>EE1(c)</t>
        </is>
      </c>
      <c r="C9" s="14">
        <f>IF('A1. Data scoring'!H23&lt;&gt;"N/A","Yes","No")</f>
        <v/>
      </c>
      <c r="D9" s="14">
        <f>IF('A1. Data scoring'!I23&lt;&gt;"N/A","Yes","No")</f>
        <v/>
      </c>
      <c r="E9" s="14">
        <f>IF('A1. Data scoring'!J23&lt;&gt;"N/A","Yes","No")</f>
        <v/>
      </c>
      <c r="F9" s="14">
        <f>IF('A1. Data scoring'!K23&lt;&gt;"N/A","Yes","No")</f>
        <v/>
      </c>
      <c r="G9" s="14">
        <f>IF('A1. Data scoring'!L23&lt;&gt;"N/A","Yes","No")</f>
        <v/>
      </c>
      <c r="H9" s="14">
        <f>IF('A1. Data scoring'!M23&lt;&gt;"N/A","Yes","No")</f>
        <v/>
      </c>
      <c r="I9" s="14">
        <f>IF('A1. Data scoring'!N23&lt;&gt;"N/A","Yes","No")</f>
        <v/>
      </c>
      <c r="J9" s="14">
        <f>IF('A1. Data scoring'!O23&lt;&gt;"N/A","Yes","No")</f>
        <v/>
      </c>
      <c r="K9" s="14">
        <f>IF('A1. Data scoring'!P23&lt;&gt;"N/A","Yes","No")</f>
        <v/>
      </c>
      <c r="L9" s="14">
        <f>IF('A1. Data scoring'!Q23&lt;&gt;"N/A","Yes","No")</f>
        <v/>
      </c>
      <c r="M9" s="14">
        <f>IF('A1. Data scoring'!R23&lt;&gt;"N/A","Yes","No")</f>
        <v/>
      </c>
      <c r="N9" s="14">
        <f>IF('A1. Data scoring'!S23&lt;&gt;"N/A","Yes","No")</f>
        <v/>
      </c>
      <c r="O9" s="8">
        <f>COUNTIF(C9:N9,"Yes")</f>
        <v/>
      </c>
    </row>
    <row r="10">
      <c r="B10" s="7" t="inlineStr">
        <is>
          <t>EE1(d)</t>
        </is>
      </c>
      <c r="C10" s="14">
        <f>IF('A1. Data scoring'!H29&lt;&gt;"N/A","Yes","No")</f>
        <v/>
      </c>
      <c r="D10" s="14">
        <f>IF('A1. Data scoring'!I29&lt;&gt;"N/A","Yes","No")</f>
        <v/>
      </c>
      <c r="E10" s="14">
        <f>IF('A1. Data scoring'!J29&lt;&gt;"N/A","Yes","No")</f>
        <v/>
      </c>
      <c r="F10" s="14">
        <f>IF('A1. Data scoring'!K29&lt;&gt;"N/A","Yes","No")</f>
        <v/>
      </c>
      <c r="G10" s="14">
        <f>IF('A1. Data scoring'!L29&lt;&gt;"N/A","Yes","No")</f>
        <v/>
      </c>
      <c r="H10" s="14">
        <f>IF('A1. Data scoring'!M29&lt;&gt;"N/A","Yes","No")</f>
        <v/>
      </c>
      <c r="I10" s="14">
        <f>IF('A1. Data scoring'!N29&lt;&gt;"N/A","Yes","No")</f>
        <v/>
      </c>
      <c r="J10" s="14">
        <f>IF('A1. Data scoring'!O29&lt;&gt;"N/A","Yes","No")</f>
        <v/>
      </c>
      <c r="K10" s="14">
        <f>IF('A1. Data scoring'!P29&lt;&gt;"N/A","Yes","No")</f>
        <v/>
      </c>
      <c r="L10" s="14">
        <f>IF('A1. Data scoring'!Q29&lt;&gt;"N/A","Yes","No")</f>
        <v/>
      </c>
      <c r="M10" s="14">
        <f>IF('A1. Data scoring'!R29&lt;&gt;"N/A","Yes","No")</f>
        <v/>
      </c>
      <c r="N10" s="14">
        <f>IF('A1. Data scoring'!S29&lt;&gt;"N/A","Yes","No")</f>
        <v/>
      </c>
      <c r="O10" s="8">
        <f>COUNTIF(C10:N10,"Yes")</f>
        <v/>
      </c>
    </row>
    <row r="11">
      <c r="B11" s="7" t="inlineStr">
        <is>
          <t>TR1(a)</t>
        </is>
      </c>
      <c r="C11" s="14">
        <f>IF('A1. Data scoring'!H35&lt;&gt;"N/A","Yes","No")</f>
        <v/>
      </c>
      <c r="D11" s="14">
        <f>IF('A1. Data scoring'!I35&lt;&gt;"N/A","Yes","No")</f>
        <v/>
      </c>
      <c r="E11" s="14">
        <f>IF('A1. Data scoring'!J35&lt;&gt;"N/A","Yes","No")</f>
        <v/>
      </c>
      <c r="F11" s="14">
        <f>IF('A1. Data scoring'!K35&lt;&gt;"N/A","Yes","No")</f>
        <v/>
      </c>
      <c r="G11" s="14">
        <f>IF('A1. Data scoring'!L35&lt;&gt;"N/A","Yes","No")</f>
        <v/>
      </c>
      <c r="H11" s="14">
        <f>IF('A1. Data scoring'!M35&lt;&gt;"N/A","Yes","No")</f>
        <v/>
      </c>
      <c r="I11" s="14">
        <f>IF('A1. Data scoring'!N35&lt;&gt;"N/A","Yes","No")</f>
        <v/>
      </c>
      <c r="J11" s="14">
        <f>IF('A1. Data scoring'!O35&lt;&gt;"N/A","Yes","No")</f>
        <v/>
      </c>
      <c r="K11" s="14">
        <f>IF('A1. Data scoring'!P35&lt;&gt;"N/A","Yes","No")</f>
        <v/>
      </c>
      <c r="L11" s="14">
        <f>IF('A1. Data scoring'!Q35&lt;&gt;"N/A","Yes","No")</f>
        <v/>
      </c>
      <c r="M11" s="14">
        <f>IF('A1. Data scoring'!R35&lt;&gt;"N/A","Yes","No")</f>
        <v/>
      </c>
      <c r="N11" s="14">
        <f>IF('A1. Data scoring'!S35&lt;&gt;"N/A","Yes","No")</f>
        <v/>
      </c>
      <c r="O11" s="8">
        <f>COUNTIF(C11:N11,"Yes")</f>
        <v/>
      </c>
    </row>
    <row r="12">
      <c r="B12" s="7" t="inlineStr">
        <is>
          <t>TR1(b)</t>
        </is>
      </c>
      <c r="C12" s="14">
        <f>IF('A1. Data scoring'!H41&lt;&gt;"N/A","Yes","No")</f>
        <v/>
      </c>
      <c r="D12" s="14">
        <f>IF('A1. Data scoring'!I41&lt;&gt;"N/A","Yes","No")</f>
        <v/>
      </c>
      <c r="E12" s="14">
        <f>IF('A1. Data scoring'!J41&lt;&gt;"N/A","Yes","No")</f>
        <v/>
      </c>
      <c r="F12" s="14">
        <f>IF('A1. Data scoring'!K41&lt;&gt;"N/A","Yes","No")</f>
        <v/>
      </c>
      <c r="G12" s="14">
        <f>IF('A1. Data scoring'!L41&lt;&gt;"N/A","Yes","No")</f>
        <v/>
      </c>
      <c r="H12" s="14">
        <f>IF('A1. Data scoring'!M41&lt;&gt;"N/A","Yes","No")</f>
        <v/>
      </c>
      <c r="I12" s="14">
        <f>IF('A1. Data scoring'!N41&lt;&gt;"N/A","Yes","No")</f>
        <v/>
      </c>
      <c r="J12" s="14">
        <f>IF('A1. Data scoring'!O41&lt;&gt;"N/A","Yes","No")</f>
        <v/>
      </c>
      <c r="K12" s="14">
        <f>IF('A1. Data scoring'!P41&lt;&gt;"N/A","Yes","No")</f>
        <v/>
      </c>
      <c r="L12" s="14">
        <f>IF('A1. Data scoring'!Q41&lt;&gt;"N/A","Yes","No")</f>
        <v/>
      </c>
      <c r="M12" s="14">
        <f>IF('A1. Data scoring'!R41&lt;&gt;"N/A","Yes","No")</f>
        <v/>
      </c>
      <c r="N12" s="14">
        <f>IF('A1. Data scoring'!S41&lt;&gt;"N/A","Yes","No")</f>
        <v/>
      </c>
      <c r="O12" s="8">
        <f>COUNTIF(C12:N12,"Yes")</f>
        <v/>
      </c>
    </row>
    <row r="13">
      <c r="B13" s="7" t="inlineStr">
        <is>
          <t>TR1(c)</t>
        </is>
      </c>
      <c r="C13" s="14">
        <f>IF('A1. Data scoring'!H47&lt;&gt;"N/A","Yes","No")</f>
        <v/>
      </c>
      <c r="D13" s="14">
        <f>IF('A1. Data scoring'!I47&lt;&gt;"N/A","Yes","No")</f>
        <v/>
      </c>
      <c r="E13" s="14">
        <f>IF('A1. Data scoring'!J47&lt;&gt;"N/A","Yes","No")</f>
        <v/>
      </c>
      <c r="F13" s="14">
        <f>IF('A1. Data scoring'!K47&lt;&gt;"N/A","Yes","No")</f>
        <v/>
      </c>
      <c r="G13" s="14">
        <f>IF('A1. Data scoring'!L47&lt;&gt;"N/A","Yes","No")</f>
        <v/>
      </c>
      <c r="H13" s="14">
        <f>IF('A1. Data scoring'!M47&lt;&gt;"N/A","Yes","No")</f>
        <v/>
      </c>
      <c r="I13" s="14">
        <f>IF('A1. Data scoring'!N47&lt;&gt;"N/A","Yes","No")</f>
        <v/>
      </c>
      <c r="J13" s="14">
        <f>IF('A1. Data scoring'!O47&lt;&gt;"N/A","Yes","No")</f>
        <v/>
      </c>
      <c r="K13" s="14">
        <f>IF('A1. Data scoring'!P47&lt;&gt;"N/A","Yes","No")</f>
        <v/>
      </c>
      <c r="L13" s="14">
        <f>IF('A1. Data scoring'!Q47&lt;&gt;"N/A","Yes","No")</f>
        <v/>
      </c>
      <c r="M13" s="14">
        <f>IF('A1. Data scoring'!R47&lt;&gt;"N/A","Yes","No")</f>
        <v/>
      </c>
      <c r="N13" s="14">
        <f>IF('A1. Data scoring'!S47&lt;&gt;"N/A","Yes","No")</f>
        <v/>
      </c>
      <c r="O13" s="8">
        <f>COUNTIF(C13:N13,"Yes")</f>
        <v/>
      </c>
    </row>
    <row r="14">
      <c r="B14" s="7" t="inlineStr">
        <is>
          <t>TR1(d)</t>
        </is>
      </c>
      <c r="C14" s="14">
        <f>IF('A1. Data scoring'!H53&lt;&gt;"N/A","Yes","No")</f>
        <v/>
      </c>
      <c r="D14" s="14">
        <f>IF('A1. Data scoring'!I53&lt;&gt;"N/A","Yes","No")</f>
        <v/>
      </c>
      <c r="E14" s="14">
        <f>IF('A1. Data scoring'!J53&lt;&gt;"N/A","Yes","No")</f>
        <v/>
      </c>
      <c r="F14" s="14">
        <f>IF('A1. Data scoring'!K53&lt;&gt;"N/A","Yes","No")</f>
        <v/>
      </c>
      <c r="G14" s="14">
        <f>IF('A1. Data scoring'!L53&lt;&gt;"N/A","Yes","No")</f>
        <v/>
      </c>
      <c r="H14" s="14">
        <f>IF('A1. Data scoring'!M53&lt;&gt;"N/A","Yes","No")</f>
        <v/>
      </c>
      <c r="I14" s="14">
        <f>IF('A1. Data scoring'!N53&lt;&gt;"N/A","Yes","No")</f>
        <v/>
      </c>
      <c r="J14" s="14">
        <f>IF('A1. Data scoring'!O53&lt;&gt;"N/A","Yes","No")</f>
        <v/>
      </c>
      <c r="K14" s="14">
        <f>IF('A1. Data scoring'!P53&lt;&gt;"N/A","Yes","No")</f>
        <v/>
      </c>
      <c r="L14" s="14">
        <f>IF('A1. Data scoring'!Q53&lt;&gt;"N/A","Yes","No")</f>
        <v/>
      </c>
      <c r="M14" s="14">
        <f>IF('A1. Data scoring'!R53&lt;&gt;"N/A","Yes","No")</f>
        <v/>
      </c>
      <c r="N14" s="14">
        <f>IF('A1. Data scoring'!S53&lt;&gt;"N/A","Yes","No")</f>
        <v/>
      </c>
      <c r="O14" s="8">
        <f>COUNTIF(C14:N14,"Yes")</f>
        <v/>
      </c>
    </row>
    <row r="15">
      <c r="B15" s="7" t="inlineStr">
        <is>
          <t>TR2(a)</t>
        </is>
      </c>
      <c r="C15" s="14">
        <f>IF('A1. Data scoring'!H59&lt;&gt;"N/A","Yes","No")</f>
        <v/>
      </c>
      <c r="D15" s="14">
        <f>IF('A1. Data scoring'!I59&lt;&gt;"N/A","Yes","No")</f>
        <v/>
      </c>
      <c r="E15" s="14">
        <f>IF('A1. Data scoring'!J59&lt;&gt;"N/A","Yes","No")</f>
        <v/>
      </c>
      <c r="F15" s="14">
        <f>IF('A1. Data scoring'!K59&lt;&gt;"N/A","Yes","No")</f>
        <v/>
      </c>
      <c r="G15" s="14">
        <f>IF('A1. Data scoring'!L59&lt;&gt;"N/A","Yes","No")</f>
        <v/>
      </c>
      <c r="H15" s="14">
        <f>IF('A1. Data scoring'!M59&lt;&gt;"N/A","Yes","No")</f>
        <v/>
      </c>
      <c r="I15" s="14">
        <f>IF('A1. Data scoring'!N59&lt;&gt;"N/A","Yes","No")</f>
        <v/>
      </c>
      <c r="J15" s="14">
        <f>IF('A1. Data scoring'!O59&lt;&gt;"N/A","Yes","No")</f>
        <v/>
      </c>
      <c r="K15" s="14">
        <f>IF('A1. Data scoring'!P59&lt;&gt;"N/A","Yes","No")</f>
        <v/>
      </c>
      <c r="L15" s="14">
        <f>IF('A1. Data scoring'!Q59&lt;&gt;"N/A","Yes","No")</f>
        <v/>
      </c>
      <c r="M15" s="14">
        <f>IF('A1. Data scoring'!R59&lt;&gt;"N/A","Yes","No")</f>
        <v/>
      </c>
      <c r="N15" s="14">
        <f>IF('A1. Data scoring'!S59&lt;&gt;"N/A","Yes","No")</f>
        <v/>
      </c>
      <c r="O15" s="8">
        <f>COUNTIF(C15:N15,"Yes")</f>
        <v/>
      </c>
    </row>
    <row r="16">
      <c r="B16" s="7" t="inlineStr">
        <is>
          <t>TR2(b)</t>
        </is>
      </c>
      <c r="C16" s="14">
        <f>IF('A1. Data scoring'!H65&lt;&gt;"N/A","Yes","No")</f>
        <v/>
      </c>
      <c r="D16" s="14">
        <f>IF('A1. Data scoring'!I65&lt;&gt;"N/A","Yes","No")</f>
        <v/>
      </c>
      <c r="E16" s="14">
        <f>IF('A1. Data scoring'!J65&lt;&gt;"N/A","Yes","No")</f>
        <v/>
      </c>
      <c r="F16" s="14">
        <f>IF('A1. Data scoring'!K65&lt;&gt;"N/A","Yes","No")</f>
        <v/>
      </c>
      <c r="G16" s="14">
        <f>IF('A1. Data scoring'!L65&lt;&gt;"N/A","Yes","No")</f>
        <v/>
      </c>
      <c r="H16" s="14">
        <f>IF('A1. Data scoring'!M65&lt;&gt;"N/A","Yes","No")</f>
        <v/>
      </c>
      <c r="I16" s="14">
        <f>IF('A1. Data scoring'!N65&lt;&gt;"N/A","Yes","No")</f>
        <v/>
      </c>
      <c r="J16" s="14">
        <f>IF('A1. Data scoring'!O65&lt;&gt;"N/A","Yes","No")</f>
        <v/>
      </c>
      <c r="K16" s="14">
        <f>IF('A1. Data scoring'!P65&lt;&gt;"N/A","Yes","No")</f>
        <v/>
      </c>
      <c r="L16" s="14">
        <f>IF('A1. Data scoring'!Q65&lt;&gt;"N/A","Yes","No")</f>
        <v/>
      </c>
      <c r="M16" s="14">
        <f>IF('A1. Data scoring'!R65&lt;&gt;"N/A","Yes","No")</f>
        <v/>
      </c>
      <c r="N16" s="14">
        <f>IF('A1. Data scoring'!S65&lt;&gt;"N/A","Yes","No")</f>
        <v/>
      </c>
      <c r="O16" s="8">
        <f>COUNTIF(C16:N16,"Yes")</f>
        <v/>
      </c>
    </row>
    <row r="17">
      <c r="B17" s="7" t="inlineStr">
        <is>
          <t>TR2(c)</t>
        </is>
      </c>
      <c r="C17" s="14">
        <f>IF('A1. Data scoring'!H71&lt;&gt;"N/A","Yes","No")</f>
        <v/>
      </c>
      <c r="D17" s="14">
        <f>IF('A1. Data scoring'!I71&lt;&gt;"N/A","Yes","No")</f>
        <v/>
      </c>
      <c r="E17" s="14">
        <f>IF('A1. Data scoring'!J71&lt;&gt;"N/A","Yes","No")</f>
        <v/>
      </c>
      <c r="F17" s="14">
        <f>IF('A1. Data scoring'!K71&lt;&gt;"N/A","Yes","No")</f>
        <v/>
      </c>
      <c r="G17" s="14">
        <f>IF('A1. Data scoring'!L71&lt;&gt;"N/A","Yes","No")</f>
        <v/>
      </c>
      <c r="H17" s="14">
        <f>IF('A1. Data scoring'!M71&lt;&gt;"N/A","Yes","No")</f>
        <v/>
      </c>
      <c r="I17" s="14">
        <f>IF('A1. Data scoring'!N71&lt;&gt;"N/A","Yes","No")</f>
        <v/>
      </c>
      <c r="J17" s="14">
        <f>IF('A1. Data scoring'!O71&lt;&gt;"N/A","Yes","No")</f>
        <v/>
      </c>
      <c r="K17" s="14">
        <f>IF('A1. Data scoring'!P71&lt;&gt;"N/A","Yes","No")</f>
        <v/>
      </c>
      <c r="L17" s="14">
        <f>IF('A1. Data scoring'!Q71&lt;&gt;"N/A","Yes","No")</f>
        <v/>
      </c>
      <c r="M17" s="14">
        <f>IF('A1. Data scoring'!R71&lt;&gt;"N/A","Yes","No")</f>
        <v/>
      </c>
      <c r="N17" s="14">
        <f>IF('A1. Data scoring'!S71&lt;&gt;"N/A","Yes","No")</f>
        <v/>
      </c>
      <c r="O17" s="8">
        <f>COUNTIF(C17:N17,"Yes")</f>
        <v/>
      </c>
    </row>
    <row r="18">
      <c r="B18" s="7" t="inlineStr">
        <is>
          <t>TR2(d)</t>
        </is>
      </c>
      <c r="C18" s="14">
        <f>IF('A1. Data scoring'!H77&lt;&gt;"N/A","Yes","No")</f>
        <v/>
      </c>
      <c r="D18" s="14">
        <f>IF('A1. Data scoring'!I77&lt;&gt;"N/A","Yes","No")</f>
        <v/>
      </c>
      <c r="E18" s="14">
        <f>IF('A1. Data scoring'!J77&lt;&gt;"N/A","Yes","No")</f>
        <v/>
      </c>
      <c r="F18" s="14">
        <f>IF('A1. Data scoring'!K77&lt;&gt;"N/A","Yes","No")</f>
        <v/>
      </c>
      <c r="G18" s="14">
        <f>IF('A1. Data scoring'!L77&lt;&gt;"N/A","Yes","No")</f>
        <v/>
      </c>
      <c r="H18" s="14">
        <f>IF('A1. Data scoring'!M77&lt;&gt;"N/A","Yes","No")</f>
        <v/>
      </c>
      <c r="I18" s="14">
        <f>IF('A1. Data scoring'!N77&lt;&gt;"N/A","Yes","No")</f>
        <v/>
      </c>
      <c r="J18" s="14">
        <f>IF('A1. Data scoring'!O77&lt;&gt;"N/A","Yes","No")</f>
        <v/>
      </c>
      <c r="K18" s="14">
        <f>IF('A1. Data scoring'!P77&lt;&gt;"N/A","Yes","No")</f>
        <v/>
      </c>
      <c r="L18" s="14">
        <f>IF('A1. Data scoring'!Q77&lt;&gt;"N/A","Yes","No")</f>
        <v/>
      </c>
      <c r="M18" s="14">
        <f>IF('A1. Data scoring'!R77&lt;&gt;"N/A","Yes","No")</f>
        <v/>
      </c>
      <c r="N18" s="14">
        <f>IF('A1. Data scoring'!S77&lt;&gt;"N/A","Yes","No")</f>
        <v/>
      </c>
      <c r="O18" s="8">
        <f>COUNTIF(C18:N18,"Yes")</f>
        <v/>
      </c>
    </row>
    <row r="19">
      <c r="B19" s="7" t="inlineStr">
        <is>
          <t>TR3(a)</t>
        </is>
      </c>
      <c r="C19" s="14">
        <f>IF('A1. Data scoring'!H83&lt;&gt;"N/A","Yes","No")</f>
        <v/>
      </c>
      <c r="D19" s="14">
        <f>IF('A1. Data scoring'!I83&lt;&gt;"N/A","Yes","No")</f>
        <v/>
      </c>
      <c r="E19" s="14">
        <f>IF('A1. Data scoring'!J83&lt;&gt;"N/A","Yes","No")</f>
        <v/>
      </c>
      <c r="F19" s="14">
        <f>IF('A1. Data scoring'!K83&lt;&gt;"N/A","Yes","No")</f>
        <v/>
      </c>
      <c r="G19" s="14">
        <f>IF('A1. Data scoring'!L83&lt;&gt;"N/A","Yes","No")</f>
        <v/>
      </c>
      <c r="H19" s="14">
        <f>IF('A1. Data scoring'!M83&lt;&gt;"N/A","Yes","No")</f>
        <v/>
      </c>
      <c r="I19" s="14">
        <f>IF('A1. Data scoring'!N83&lt;&gt;"N/A","Yes","No")</f>
        <v/>
      </c>
      <c r="J19" s="14">
        <f>IF('A1. Data scoring'!O83&lt;&gt;"N/A","Yes","No")</f>
        <v/>
      </c>
      <c r="K19" s="14">
        <f>IF('A1. Data scoring'!P83&lt;&gt;"N/A","Yes","No")</f>
        <v/>
      </c>
      <c r="L19" s="14">
        <f>IF('A1. Data scoring'!Q83&lt;&gt;"N/A","Yes","No")</f>
        <v/>
      </c>
      <c r="M19" s="14">
        <f>IF('A1. Data scoring'!R83&lt;&gt;"N/A","Yes","No")</f>
        <v/>
      </c>
      <c r="N19" s="14">
        <f>IF('A1. Data scoring'!S83&lt;&gt;"N/A","Yes","No")</f>
        <v/>
      </c>
      <c r="O19" s="8">
        <f>COUNTIF(C19:N19,"Yes")</f>
        <v/>
      </c>
    </row>
    <row r="20">
      <c r="B20" s="7" t="inlineStr">
        <is>
          <t>TR3(b)</t>
        </is>
      </c>
      <c r="C20" s="14">
        <f>IF('A1. Data scoring'!H89&lt;&gt;"N/A","Yes","No")</f>
        <v/>
      </c>
      <c r="D20" s="14">
        <f>IF('A1. Data scoring'!I89&lt;&gt;"N/A","Yes","No")</f>
        <v/>
      </c>
      <c r="E20" s="14">
        <f>IF('A1. Data scoring'!J89&lt;&gt;"N/A","Yes","No")</f>
        <v/>
      </c>
      <c r="F20" s="14">
        <f>IF('A1. Data scoring'!K89&lt;&gt;"N/A","Yes","No")</f>
        <v/>
      </c>
      <c r="G20" s="14">
        <f>IF('A1. Data scoring'!L89&lt;&gt;"N/A","Yes","No")</f>
        <v/>
      </c>
      <c r="H20" s="14">
        <f>IF('A1. Data scoring'!M89&lt;&gt;"N/A","Yes","No")</f>
        <v/>
      </c>
      <c r="I20" s="14">
        <f>IF('A1. Data scoring'!N89&lt;&gt;"N/A","Yes","No")</f>
        <v/>
      </c>
      <c r="J20" s="14">
        <f>IF('A1. Data scoring'!O89&lt;&gt;"N/A","Yes","No")</f>
        <v/>
      </c>
      <c r="K20" s="14">
        <f>IF('A1. Data scoring'!P89&lt;&gt;"N/A","Yes","No")</f>
        <v/>
      </c>
      <c r="L20" s="14">
        <f>IF('A1. Data scoring'!Q89&lt;&gt;"N/A","Yes","No")</f>
        <v/>
      </c>
      <c r="M20" s="14">
        <f>IF('A1. Data scoring'!R89&lt;&gt;"N/A","Yes","No")</f>
        <v/>
      </c>
      <c r="N20" s="14">
        <f>IF('A1. Data scoring'!S89&lt;&gt;"N/A","Yes","No")</f>
        <v/>
      </c>
      <c r="O20" s="8">
        <f>COUNTIF(C20:N20,"Yes")</f>
        <v/>
      </c>
    </row>
    <row r="21">
      <c r="B21" s="7" t="inlineStr">
        <is>
          <t>TR3(c)</t>
        </is>
      </c>
      <c r="C21" s="14">
        <f>IF('A1. Data scoring'!H95&lt;&gt;"N/A","Yes","No")</f>
        <v/>
      </c>
      <c r="D21" s="14">
        <f>IF('A1. Data scoring'!I95&lt;&gt;"N/A","Yes","No")</f>
        <v/>
      </c>
      <c r="E21" s="14">
        <f>IF('A1. Data scoring'!J95&lt;&gt;"N/A","Yes","No")</f>
        <v/>
      </c>
      <c r="F21" s="14">
        <f>IF('A1. Data scoring'!K95&lt;&gt;"N/A","Yes","No")</f>
        <v/>
      </c>
      <c r="G21" s="14">
        <f>IF('A1. Data scoring'!L95&lt;&gt;"N/A","Yes","No")</f>
        <v/>
      </c>
      <c r="H21" s="14">
        <f>IF('A1. Data scoring'!M95&lt;&gt;"N/A","Yes","No")</f>
        <v/>
      </c>
      <c r="I21" s="14">
        <f>IF('A1. Data scoring'!N95&lt;&gt;"N/A","Yes","No")</f>
        <v/>
      </c>
      <c r="J21" s="14">
        <f>IF('A1. Data scoring'!O95&lt;&gt;"N/A","Yes","No")</f>
        <v/>
      </c>
      <c r="K21" s="14">
        <f>IF('A1. Data scoring'!P95&lt;&gt;"N/A","Yes","No")</f>
        <v/>
      </c>
      <c r="L21" s="14">
        <f>IF('A1. Data scoring'!Q95&lt;&gt;"N/A","Yes","No")</f>
        <v/>
      </c>
      <c r="M21" s="14">
        <f>IF('A1. Data scoring'!R95&lt;&gt;"N/A","Yes","No")</f>
        <v/>
      </c>
      <c r="N21" s="14">
        <f>IF('A1. Data scoring'!S95&lt;&gt;"N/A","Yes","No")</f>
        <v/>
      </c>
      <c r="O21" s="8">
        <f>COUNTIF(C21:N21,"Yes")</f>
        <v/>
      </c>
    </row>
    <row r="22">
      <c r="B22" s="7" t="inlineStr">
        <is>
          <t>TR3(d)</t>
        </is>
      </c>
      <c r="C22" s="14">
        <f>IF('A1. Data scoring'!H101&lt;&gt;"N/A","Yes","No")</f>
        <v/>
      </c>
      <c r="D22" s="14">
        <f>IF('A1. Data scoring'!I101&lt;&gt;"N/A","Yes","No")</f>
        <v/>
      </c>
      <c r="E22" s="14">
        <f>IF('A1. Data scoring'!J101&lt;&gt;"N/A","Yes","No")</f>
        <v/>
      </c>
      <c r="F22" s="14">
        <f>IF('A1. Data scoring'!K101&lt;&gt;"N/A","Yes","No")</f>
        <v/>
      </c>
      <c r="G22" s="14">
        <f>IF('A1. Data scoring'!L101&lt;&gt;"N/A","Yes","No")</f>
        <v/>
      </c>
      <c r="H22" s="14">
        <f>IF('A1. Data scoring'!M101&lt;&gt;"N/A","Yes","No")</f>
        <v/>
      </c>
      <c r="I22" s="14">
        <f>IF('A1. Data scoring'!N101&lt;&gt;"N/A","Yes","No")</f>
        <v/>
      </c>
      <c r="J22" s="14">
        <f>IF('A1. Data scoring'!O101&lt;&gt;"N/A","Yes","No")</f>
        <v/>
      </c>
      <c r="K22" s="14">
        <f>IF('A1. Data scoring'!P101&lt;&gt;"N/A","Yes","No")</f>
        <v/>
      </c>
      <c r="L22" s="14">
        <f>IF('A1. Data scoring'!Q101&lt;&gt;"N/A","Yes","No")</f>
        <v/>
      </c>
      <c r="M22" s="14">
        <f>IF('A1. Data scoring'!R101&lt;&gt;"N/A","Yes","No")</f>
        <v/>
      </c>
      <c r="N22" s="14">
        <f>IF('A1. Data scoring'!S101&lt;&gt;"N/A","Yes","No")</f>
        <v/>
      </c>
      <c r="O22" s="8">
        <f>COUNTIF(C22:N22,"Yes")</f>
        <v/>
      </c>
    </row>
    <row r="23">
      <c r="B23" s="7" t="inlineStr">
        <is>
          <t>CL1(a)</t>
        </is>
      </c>
      <c r="C23" s="14">
        <f>IF('A1. Data scoring'!H107&lt;&gt;"N/A","Yes","No")</f>
        <v/>
      </c>
      <c r="D23" s="14">
        <f>IF('A1. Data scoring'!I107&lt;&gt;"N/A","Yes","No")</f>
        <v/>
      </c>
      <c r="E23" s="14">
        <f>IF('A1. Data scoring'!J107&lt;&gt;"N/A","Yes","No")</f>
        <v/>
      </c>
      <c r="F23" s="14">
        <f>IF('A1. Data scoring'!K107&lt;&gt;"N/A","Yes","No")</f>
        <v/>
      </c>
      <c r="G23" s="14">
        <f>IF('A1. Data scoring'!L107&lt;&gt;"N/A","Yes","No")</f>
        <v/>
      </c>
      <c r="H23" s="14">
        <f>IF('A1. Data scoring'!M107&lt;&gt;"N/A","Yes","No")</f>
        <v/>
      </c>
      <c r="I23" s="14">
        <f>IF('A1. Data scoring'!N107&lt;&gt;"N/A","Yes","No")</f>
        <v/>
      </c>
      <c r="J23" s="14">
        <f>IF('A1. Data scoring'!O107&lt;&gt;"N/A","Yes","No")</f>
        <v/>
      </c>
      <c r="K23" s="14">
        <f>IF('A1. Data scoring'!P107&lt;&gt;"N/A","Yes","No")</f>
        <v/>
      </c>
      <c r="L23" s="14">
        <f>IF('A1. Data scoring'!Q107&lt;&gt;"N/A","Yes","No")</f>
        <v/>
      </c>
      <c r="M23" s="14">
        <f>IF('A1. Data scoring'!R107&lt;&gt;"N/A","Yes","No")</f>
        <v/>
      </c>
      <c r="N23" s="14">
        <f>IF('A1. Data scoring'!S107&lt;&gt;"N/A","Yes","No")</f>
        <v/>
      </c>
      <c r="O23" s="8">
        <f>COUNTIF(C23:N23,"Yes")</f>
        <v/>
      </c>
    </row>
    <row r="24">
      <c r="B24" s="7" t="inlineStr">
        <is>
          <t>CL1(b)</t>
        </is>
      </c>
      <c r="C24" s="14">
        <f>IF('A1. Data scoring'!H113&lt;&gt;"N/A","Yes","No")</f>
        <v/>
      </c>
      <c r="D24" s="14">
        <f>IF('A1. Data scoring'!I113&lt;&gt;"N/A","Yes","No")</f>
        <v/>
      </c>
      <c r="E24" s="14">
        <f>IF('A1. Data scoring'!J113&lt;&gt;"N/A","Yes","No")</f>
        <v/>
      </c>
      <c r="F24" s="14">
        <f>IF('A1. Data scoring'!K113&lt;&gt;"N/A","Yes","No")</f>
        <v/>
      </c>
      <c r="G24" s="14">
        <f>IF('A1. Data scoring'!L113&lt;&gt;"N/A","Yes","No")</f>
        <v/>
      </c>
      <c r="H24" s="14">
        <f>IF('A1. Data scoring'!M113&lt;&gt;"N/A","Yes","No")</f>
        <v/>
      </c>
      <c r="I24" s="14">
        <f>IF('A1. Data scoring'!N113&lt;&gt;"N/A","Yes","No")</f>
        <v/>
      </c>
      <c r="J24" s="14">
        <f>IF('A1. Data scoring'!O113&lt;&gt;"N/A","Yes","No")</f>
        <v/>
      </c>
      <c r="K24" s="14">
        <f>IF('A1. Data scoring'!P113&lt;&gt;"N/A","Yes","No")</f>
        <v/>
      </c>
      <c r="L24" s="14">
        <f>IF('A1. Data scoring'!Q113&lt;&gt;"N/A","Yes","No")</f>
        <v/>
      </c>
      <c r="M24" s="14">
        <f>IF('A1. Data scoring'!R113&lt;&gt;"N/A","Yes","No")</f>
        <v/>
      </c>
      <c r="N24" s="14">
        <f>IF('A1. Data scoring'!S113&lt;&gt;"N/A","Yes","No")</f>
        <v/>
      </c>
      <c r="O24" s="8">
        <f>COUNTIF(C24:N24,"Yes")</f>
        <v/>
      </c>
    </row>
    <row r="25">
      <c r="B25" s="7" t="inlineStr">
        <is>
          <t>CL1(c)</t>
        </is>
      </c>
      <c r="C25" s="14">
        <f>IF('A1. Data scoring'!H119&lt;&gt;"N/A","Yes","No")</f>
        <v/>
      </c>
      <c r="D25" s="14">
        <f>IF('A1. Data scoring'!I119&lt;&gt;"N/A","Yes","No")</f>
        <v/>
      </c>
      <c r="E25" s="14">
        <f>IF('A1. Data scoring'!J119&lt;&gt;"N/A","Yes","No")</f>
        <v/>
      </c>
      <c r="F25" s="14">
        <f>IF('A1. Data scoring'!K119&lt;&gt;"N/A","Yes","No")</f>
        <v/>
      </c>
      <c r="G25" s="14">
        <f>IF('A1. Data scoring'!L119&lt;&gt;"N/A","Yes","No")</f>
        <v/>
      </c>
      <c r="H25" s="14">
        <f>IF('A1. Data scoring'!M119&lt;&gt;"N/A","Yes","No")</f>
        <v/>
      </c>
      <c r="I25" s="14">
        <f>IF('A1. Data scoring'!N119&lt;&gt;"N/A","Yes","No")</f>
        <v/>
      </c>
      <c r="J25" s="14">
        <f>IF('A1. Data scoring'!O119&lt;&gt;"N/A","Yes","No")</f>
        <v/>
      </c>
      <c r="K25" s="14">
        <f>IF('A1. Data scoring'!P119&lt;&gt;"N/A","Yes","No")</f>
        <v/>
      </c>
      <c r="L25" s="14">
        <f>IF('A1. Data scoring'!Q119&lt;&gt;"N/A","Yes","No")</f>
        <v/>
      </c>
      <c r="M25" s="14">
        <f>IF('A1. Data scoring'!R119&lt;&gt;"N/A","Yes","No")</f>
        <v/>
      </c>
      <c r="N25" s="14">
        <f>IF('A1. Data scoring'!S119&lt;&gt;"N/A","Yes","No")</f>
        <v/>
      </c>
      <c r="O25" s="8">
        <f>COUNTIF(C25:N25,"Yes")</f>
        <v/>
      </c>
    </row>
    <row r="26">
      <c r="B26" s="7" t="inlineStr">
        <is>
          <t>CL2(a)</t>
        </is>
      </c>
      <c r="C26" s="14">
        <f>IF('A1. Data scoring'!H125&lt;&gt;"N/A","Yes","No")</f>
        <v/>
      </c>
      <c r="D26" s="14">
        <f>IF('A1. Data scoring'!I125&lt;&gt;"N/A","Yes","No")</f>
        <v/>
      </c>
      <c r="E26" s="14">
        <f>IF('A1. Data scoring'!J125&lt;&gt;"N/A","Yes","No")</f>
        <v/>
      </c>
      <c r="F26" s="14">
        <f>IF('A1. Data scoring'!K125&lt;&gt;"N/A","Yes","No")</f>
        <v/>
      </c>
      <c r="G26" s="14">
        <f>IF('A1. Data scoring'!L125&lt;&gt;"N/A","Yes","No")</f>
        <v/>
      </c>
      <c r="H26" s="14">
        <f>IF('A1. Data scoring'!M125&lt;&gt;"N/A","Yes","No")</f>
        <v/>
      </c>
      <c r="I26" s="14">
        <f>IF('A1. Data scoring'!N125&lt;&gt;"N/A","Yes","No")</f>
        <v/>
      </c>
      <c r="J26" s="14">
        <f>IF('A1. Data scoring'!O125&lt;&gt;"N/A","Yes","No")</f>
        <v/>
      </c>
      <c r="K26" s="14">
        <f>IF('A1. Data scoring'!P125&lt;&gt;"N/A","Yes","No")</f>
        <v/>
      </c>
      <c r="L26" s="14">
        <f>IF('A1. Data scoring'!Q125&lt;&gt;"N/A","Yes","No")</f>
        <v/>
      </c>
      <c r="M26" s="14">
        <f>IF('A1. Data scoring'!R125&lt;&gt;"N/A","Yes","No")</f>
        <v/>
      </c>
      <c r="N26" s="14">
        <f>IF('A1. Data scoring'!S125&lt;&gt;"N/A","Yes","No")</f>
        <v/>
      </c>
      <c r="O26" s="8">
        <f>COUNTIF(C26:N26,"Yes")</f>
        <v/>
      </c>
    </row>
    <row r="27">
      <c r="B27" s="7" t="inlineStr">
        <is>
          <t>CL2(b)</t>
        </is>
      </c>
      <c r="C27" s="14">
        <f>IF('A1. Data scoring'!H131&lt;&gt;"N/A","Yes","No")</f>
        <v/>
      </c>
      <c r="D27" s="14">
        <f>IF('A1. Data scoring'!I131&lt;&gt;"N/A","Yes","No")</f>
        <v/>
      </c>
      <c r="E27" s="14">
        <f>IF('A1. Data scoring'!J131&lt;&gt;"N/A","Yes","No")</f>
        <v/>
      </c>
      <c r="F27" s="14">
        <f>IF('A1. Data scoring'!K131&lt;&gt;"N/A","Yes","No")</f>
        <v/>
      </c>
      <c r="G27" s="14">
        <f>IF('A1. Data scoring'!L131&lt;&gt;"N/A","Yes","No")</f>
        <v/>
      </c>
      <c r="H27" s="14">
        <f>IF('A1. Data scoring'!M131&lt;&gt;"N/A","Yes","No")</f>
        <v/>
      </c>
      <c r="I27" s="14">
        <f>IF('A1. Data scoring'!N131&lt;&gt;"N/A","Yes","No")</f>
        <v/>
      </c>
      <c r="J27" s="14">
        <f>IF('A1. Data scoring'!O131&lt;&gt;"N/A","Yes","No")</f>
        <v/>
      </c>
      <c r="K27" s="14">
        <f>IF('A1. Data scoring'!P131&lt;&gt;"N/A","Yes","No")</f>
        <v/>
      </c>
      <c r="L27" s="14">
        <f>IF('A1. Data scoring'!Q131&lt;&gt;"N/A","Yes","No")</f>
        <v/>
      </c>
      <c r="M27" s="14">
        <f>IF('A1. Data scoring'!R131&lt;&gt;"N/A","Yes","No")</f>
        <v/>
      </c>
      <c r="N27" s="14">
        <f>IF('A1. Data scoring'!S131&lt;&gt;"N/A","Yes","No")</f>
        <v/>
      </c>
      <c r="O27" s="8">
        <f>COUNTIF(C27:N27,"Yes")</f>
        <v/>
      </c>
    </row>
    <row r="28">
      <c r="B28" s="7" t="inlineStr">
        <is>
          <t>CL2(c)</t>
        </is>
      </c>
      <c r="C28" s="14">
        <f>IF('A1. Data scoring'!H137&lt;&gt;"N/A","Yes","No")</f>
        <v/>
      </c>
      <c r="D28" s="14">
        <f>IF('A1. Data scoring'!I137&lt;&gt;"N/A","Yes","No")</f>
        <v/>
      </c>
      <c r="E28" s="14">
        <f>IF('A1. Data scoring'!J137&lt;&gt;"N/A","Yes","No")</f>
        <v/>
      </c>
      <c r="F28" s="14">
        <f>IF('A1. Data scoring'!K137&lt;&gt;"N/A","Yes","No")</f>
        <v/>
      </c>
      <c r="G28" s="14">
        <f>IF('A1. Data scoring'!L137&lt;&gt;"N/A","Yes","No")</f>
        <v/>
      </c>
      <c r="H28" s="14">
        <f>IF('A1. Data scoring'!M137&lt;&gt;"N/A","Yes","No")</f>
        <v/>
      </c>
      <c r="I28" s="14">
        <f>IF('A1. Data scoring'!N137&lt;&gt;"N/A","Yes","No")</f>
        <v/>
      </c>
      <c r="J28" s="14">
        <f>IF('A1. Data scoring'!O137&lt;&gt;"N/A","Yes","No")</f>
        <v/>
      </c>
      <c r="K28" s="14">
        <f>IF('A1. Data scoring'!P137&lt;&gt;"N/A","Yes","No")</f>
        <v/>
      </c>
      <c r="L28" s="14">
        <f>IF('A1. Data scoring'!Q137&lt;&gt;"N/A","Yes","No")</f>
        <v/>
      </c>
      <c r="M28" s="14">
        <f>IF('A1. Data scoring'!R137&lt;&gt;"N/A","Yes","No")</f>
        <v/>
      </c>
      <c r="N28" s="14">
        <f>IF('A1. Data scoring'!S137&lt;&gt;"N/A","Yes","No")</f>
        <v/>
      </c>
      <c r="O28" s="8">
        <f>COUNTIF(C28:N28,"Yes")</f>
        <v/>
      </c>
    </row>
    <row r="29">
      <c r="B29" s="7" t="inlineStr">
        <is>
          <t>CL3(a)</t>
        </is>
      </c>
      <c r="C29" s="14">
        <f>IF('A1. Data scoring'!H143&lt;&gt;"N/A","Yes","No")</f>
        <v/>
      </c>
      <c r="D29" s="14">
        <f>IF('A1. Data scoring'!I143&lt;&gt;"N/A","Yes","No")</f>
        <v/>
      </c>
      <c r="E29" s="14">
        <f>IF('A1. Data scoring'!J143&lt;&gt;"N/A","Yes","No")</f>
        <v/>
      </c>
      <c r="F29" s="14">
        <f>IF('A1. Data scoring'!K143&lt;&gt;"N/A","Yes","No")</f>
        <v/>
      </c>
      <c r="G29" s="14">
        <f>IF('A1. Data scoring'!L143&lt;&gt;"N/A","Yes","No")</f>
        <v/>
      </c>
      <c r="H29" s="14">
        <f>IF('A1. Data scoring'!M143&lt;&gt;"N/A","Yes","No")</f>
        <v/>
      </c>
      <c r="I29" s="14">
        <f>IF('A1. Data scoring'!N143&lt;&gt;"N/A","Yes","No")</f>
        <v/>
      </c>
      <c r="J29" s="14">
        <f>IF('A1. Data scoring'!O143&lt;&gt;"N/A","Yes","No")</f>
        <v/>
      </c>
      <c r="K29" s="14">
        <f>IF('A1. Data scoring'!P143&lt;&gt;"N/A","Yes","No")</f>
        <v/>
      </c>
      <c r="L29" s="14">
        <f>IF('A1. Data scoring'!Q143&lt;&gt;"N/A","Yes","No")</f>
        <v/>
      </c>
      <c r="M29" s="14">
        <f>IF('A1. Data scoring'!R143&lt;&gt;"N/A","Yes","No")</f>
        <v/>
      </c>
      <c r="N29" s="14">
        <f>IF('A1. Data scoring'!S143&lt;&gt;"N/A","Yes","No")</f>
        <v/>
      </c>
      <c r="O29" s="8">
        <f>COUNTIF(C29:N29,"Yes")</f>
        <v/>
      </c>
    </row>
    <row r="30">
      <c r="B30" s="7" t="inlineStr">
        <is>
          <t>NB1(a)</t>
        </is>
      </c>
      <c r="C30" s="14">
        <f>IF('A1. Data scoring'!H149&lt;&gt;"N/A","Yes","No")</f>
        <v/>
      </c>
      <c r="D30" s="14">
        <f>IF('A1. Data scoring'!I149&lt;&gt;"N/A","Yes","No")</f>
        <v/>
      </c>
      <c r="E30" s="14">
        <f>IF('A1. Data scoring'!J149&lt;&gt;"N/A","Yes","No")</f>
        <v/>
      </c>
      <c r="F30" s="14">
        <f>IF('A1. Data scoring'!K149&lt;&gt;"N/A","Yes","No")</f>
        <v/>
      </c>
      <c r="G30" s="14">
        <f>IF('A1. Data scoring'!L149&lt;&gt;"N/A","Yes","No")</f>
        <v/>
      </c>
      <c r="H30" s="14">
        <f>IF('A1. Data scoring'!M149&lt;&gt;"N/A","Yes","No")</f>
        <v/>
      </c>
      <c r="I30" s="14">
        <f>IF('A1. Data scoring'!N149&lt;&gt;"N/A","Yes","No")</f>
        <v/>
      </c>
      <c r="J30" s="14">
        <f>IF('A1. Data scoring'!O149&lt;&gt;"N/A","Yes","No")</f>
        <v/>
      </c>
      <c r="K30" s="14">
        <f>IF('A1. Data scoring'!P149&lt;&gt;"N/A","Yes","No")</f>
        <v/>
      </c>
      <c r="L30" s="14">
        <f>IF('A1. Data scoring'!Q149&lt;&gt;"N/A","Yes","No")</f>
        <v/>
      </c>
      <c r="M30" s="14">
        <f>IF('A1. Data scoring'!R149&lt;&gt;"N/A","Yes","No")</f>
        <v/>
      </c>
      <c r="N30" s="14">
        <f>IF('A1. Data scoring'!S149&lt;&gt;"N/A","Yes","No")</f>
        <v/>
      </c>
      <c r="O30" s="8">
        <f>COUNTIF(C30:N30,"Yes")</f>
        <v/>
      </c>
    </row>
    <row r="31">
      <c r="B31" s="7" t="inlineStr">
        <is>
          <t>NB1(b)</t>
        </is>
      </c>
      <c r="C31" s="14">
        <f>IF('A1. Data scoring'!H155&lt;&gt;"N/A","Yes","No")</f>
        <v/>
      </c>
      <c r="D31" s="14">
        <f>IF('A1. Data scoring'!I155&lt;&gt;"N/A","Yes","No")</f>
        <v/>
      </c>
      <c r="E31" s="14">
        <f>IF('A1. Data scoring'!J155&lt;&gt;"N/A","Yes","No")</f>
        <v/>
      </c>
      <c r="F31" s="14">
        <f>IF('A1. Data scoring'!K155&lt;&gt;"N/A","Yes","No")</f>
        <v/>
      </c>
      <c r="G31" s="14">
        <f>IF('A1. Data scoring'!L155&lt;&gt;"N/A","Yes","No")</f>
        <v/>
      </c>
      <c r="H31" s="14">
        <f>IF('A1. Data scoring'!M155&lt;&gt;"N/A","Yes","No")</f>
        <v/>
      </c>
      <c r="I31" s="14">
        <f>IF('A1. Data scoring'!N155&lt;&gt;"N/A","Yes","No")</f>
        <v/>
      </c>
      <c r="J31" s="14">
        <f>IF('A1. Data scoring'!O155&lt;&gt;"N/A","Yes","No")</f>
        <v/>
      </c>
      <c r="K31" s="14">
        <f>IF('A1. Data scoring'!P155&lt;&gt;"N/A","Yes","No")</f>
        <v/>
      </c>
      <c r="L31" s="14">
        <f>IF('A1. Data scoring'!Q155&lt;&gt;"N/A","Yes","No")</f>
        <v/>
      </c>
      <c r="M31" s="14">
        <f>IF('A1. Data scoring'!R155&lt;&gt;"N/A","Yes","No")</f>
        <v/>
      </c>
      <c r="N31" s="14">
        <f>IF('A1. Data scoring'!S155&lt;&gt;"N/A","Yes","No")</f>
        <v/>
      </c>
      <c r="O31" s="8">
        <f>COUNTIF(C31:N31,"Yes")</f>
        <v/>
      </c>
    </row>
    <row r="32">
      <c r="B32" s="7" t="inlineStr">
        <is>
          <t>NB1(c)</t>
        </is>
      </c>
      <c r="C32" s="14">
        <f>IF('A1. Data scoring'!H161&lt;&gt;"N/A","Yes","No")</f>
        <v/>
      </c>
      <c r="D32" s="14">
        <f>IF('A1. Data scoring'!I161&lt;&gt;"N/A","Yes","No")</f>
        <v/>
      </c>
      <c r="E32" s="14">
        <f>IF('A1. Data scoring'!J161&lt;&gt;"N/A","Yes","No")</f>
        <v/>
      </c>
      <c r="F32" s="14">
        <f>IF('A1. Data scoring'!K161&lt;&gt;"N/A","Yes","No")</f>
        <v/>
      </c>
      <c r="G32" s="14">
        <f>IF('A1. Data scoring'!L161&lt;&gt;"N/A","Yes","No")</f>
        <v/>
      </c>
      <c r="H32" s="14">
        <f>IF('A1. Data scoring'!M161&lt;&gt;"N/A","Yes","No")</f>
        <v/>
      </c>
      <c r="I32" s="14">
        <f>IF('A1. Data scoring'!N161&lt;&gt;"N/A","Yes","No")</f>
        <v/>
      </c>
      <c r="J32" s="14">
        <f>IF('A1. Data scoring'!O161&lt;&gt;"N/A","Yes","No")</f>
        <v/>
      </c>
      <c r="K32" s="14">
        <f>IF('A1. Data scoring'!P161&lt;&gt;"N/A","Yes","No")</f>
        <v/>
      </c>
      <c r="L32" s="14">
        <f>IF('A1. Data scoring'!Q161&lt;&gt;"N/A","Yes","No")</f>
        <v/>
      </c>
      <c r="M32" s="14">
        <f>IF('A1. Data scoring'!R161&lt;&gt;"N/A","Yes","No")</f>
        <v/>
      </c>
      <c r="N32" s="14">
        <f>IF('A1. Data scoring'!S161&lt;&gt;"N/A","Yes","No")</f>
        <v/>
      </c>
      <c r="O32" s="8">
        <f>COUNTIF(C32:N32,"Yes")</f>
        <v/>
      </c>
    </row>
    <row r="33">
      <c r="B33" s="7" t="inlineStr">
        <is>
          <t>NB1(d)</t>
        </is>
      </c>
      <c r="C33" s="14">
        <f>IF('A1. Data scoring'!H167&lt;&gt;"N/A","Yes","No")</f>
        <v/>
      </c>
      <c r="D33" s="14">
        <f>IF('A1. Data scoring'!I167&lt;&gt;"N/A","Yes","No")</f>
        <v/>
      </c>
      <c r="E33" s="14">
        <f>IF('A1. Data scoring'!J167&lt;&gt;"N/A","Yes","No")</f>
        <v/>
      </c>
      <c r="F33" s="14">
        <f>IF('A1. Data scoring'!K167&lt;&gt;"N/A","Yes","No")</f>
        <v/>
      </c>
      <c r="G33" s="14">
        <f>IF('A1. Data scoring'!L167&lt;&gt;"N/A","Yes","No")</f>
        <v/>
      </c>
      <c r="H33" s="14">
        <f>IF('A1. Data scoring'!M167&lt;&gt;"N/A","Yes","No")</f>
        <v/>
      </c>
      <c r="I33" s="14">
        <f>IF('A1. Data scoring'!N167&lt;&gt;"N/A","Yes","No")</f>
        <v/>
      </c>
      <c r="J33" s="14">
        <f>IF('A1. Data scoring'!O167&lt;&gt;"N/A","Yes","No")</f>
        <v/>
      </c>
      <c r="K33" s="14">
        <f>IF('A1. Data scoring'!P167&lt;&gt;"N/A","Yes","No")</f>
        <v/>
      </c>
      <c r="L33" s="14">
        <f>IF('A1. Data scoring'!Q167&lt;&gt;"N/A","Yes","No")</f>
        <v/>
      </c>
      <c r="M33" s="14">
        <f>IF('A1. Data scoring'!R167&lt;&gt;"N/A","Yes","No")</f>
        <v/>
      </c>
      <c r="N33" s="14">
        <f>IF('A1. Data scoring'!S167&lt;&gt;"N/A","Yes","No")</f>
        <v/>
      </c>
      <c r="O33" s="8">
        <f>COUNTIF(C33:N33,"Yes")</f>
        <v/>
      </c>
    </row>
    <row r="34">
      <c r="B34" s="7" t="inlineStr">
        <is>
          <t>NB2(a)</t>
        </is>
      </c>
      <c r="C34" s="14">
        <f>IF('A1. Data scoring'!H173&lt;&gt;"N/A","Yes","No")</f>
        <v/>
      </c>
      <c r="D34" s="14">
        <f>IF('A1. Data scoring'!I173&lt;&gt;"N/A","Yes","No")</f>
        <v/>
      </c>
      <c r="E34" s="14">
        <f>IF('A1. Data scoring'!J173&lt;&gt;"N/A","Yes","No")</f>
        <v/>
      </c>
      <c r="F34" s="14">
        <f>IF('A1. Data scoring'!K173&lt;&gt;"N/A","Yes","No")</f>
        <v/>
      </c>
      <c r="G34" s="14">
        <f>IF('A1. Data scoring'!L173&lt;&gt;"N/A","Yes","No")</f>
        <v/>
      </c>
      <c r="H34" s="14">
        <f>IF('A1. Data scoring'!M173&lt;&gt;"N/A","Yes","No")</f>
        <v/>
      </c>
      <c r="I34" s="14">
        <f>IF('A1. Data scoring'!N173&lt;&gt;"N/A","Yes","No")</f>
        <v/>
      </c>
      <c r="J34" s="14">
        <f>IF('A1. Data scoring'!O173&lt;&gt;"N/A","Yes","No")</f>
        <v/>
      </c>
      <c r="K34" s="14">
        <f>IF('A1. Data scoring'!P173&lt;&gt;"N/A","Yes","No")</f>
        <v/>
      </c>
      <c r="L34" s="14">
        <f>IF('A1. Data scoring'!Q173&lt;&gt;"N/A","Yes","No")</f>
        <v/>
      </c>
      <c r="M34" s="14">
        <f>IF('A1. Data scoring'!R173&lt;&gt;"N/A","Yes","No")</f>
        <v/>
      </c>
      <c r="N34" s="14">
        <f>IF('A1. Data scoring'!S173&lt;&gt;"N/A","Yes","No")</f>
        <v/>
      </c>
      <c r="O34" s="8">
        <f>COUNTIF(C34:N34,"Yes")</f>
        <v/>
      </c>
    </row>
    <row r="35">
      <c r="B35" s="7" t="inlineStr">
        <is>
          <t>NB2(b)</t>
        </is>
      </c>
      <c r="C35" s="14">
        <f>IF('A1. Data scoring'!H179&lt;&gt;"N/A","Yes","No")</f>
        <v/>
      </c>
      <c r="D35" s="14">
        <f>IF('A1. Data scoring'!I179&lt;&gt;"N/A","Yes","No")</f>
        <v/>
      </c>
      <c r="E35" s="14">
        <f>IF('A1. Data scoring'!J179&lt;&gt;"N/A","Yes","No")</f>
        <v/>
      </c>
      <c r="F35" s="14">
        <f>IF('A1. Data scoring'!K179&lt;&gt;"N/A","Yes","No")</f>
        <v/>
      </c>
      <c r="G35" s="14">
        <f>IF('A1. Data scoring'!L179&lt;&gt;"N/A","Yes","No")</f>
        <v/>
      </c>
      <c r="H35" s="14">
        <f>IF('A1. Data scoring'!M179&lt;&gt;"N/A","Yes","No")</f>
        <v/>
      </c>
      <c r="I35" s="14">
        <f>IF('A1. Data scoring'!N179&lt;&gt;"N/A","Yes","No")</f>
        <v/>
      </c>
      <c r="J35" s="14">
        <f>IF('A1. Data scoring'!O179&lt;&gt;"N/A","Yes","No")</f>
        <v/>
      </c>
      <c r="K35" s="14">
        <f>IF('A1. Data scoring'!P179&lt;&gt;"N/A","Yes","No")</f>
        <v/>
      </c>
      <c r="L35" s="14">
        <f>IF('A1. Data scoring'!Q179&lt;&gt;"N/A","Yes","No")</f>
        <v/>
      </c>
      <c r="M35" s="14">
        <f>IF('A1. Data scoring'!R179&lt;&gt;"N/A","Yes","No")</f>
        <v/>
      </c>
      <c r="N35" s="14">
        <f>IF('A1. Data scoring'!S179&lt;&gt;"N/A","Yes","No")</f>
        <v/>
      </c>
      <c r="O35" s="8">
        <f>COUNTIF(C35:N35,"Yes")</f>
        <v/>
      </c>
    </row>
    <row r="36">
      <c r="B36" s="7" t="inlineStr">
        <is>
          <t>NB2(c)</t>
        </is>
      </c>
      <c r="C36" s="14">
        <f>IF('A1. Data scoring'!H185&lt;&gt;"N/A","Yes","No")</f>
        <v/>
      </c>
      <c r="D36" s="14">
        <f>IF('A1. Data scoring'!I185&lt;&gt;"N/A","Yes","No")</f>
        <v/>
      </c>
      <c r="E36" s="14">
        <f>IF('A1. Data scoring'!J185&lt;&gt;"N/A","Yes","No")</f>
        <v/>
      </c>
      <c r="F36" s="14">
        <f>IF('A1. Data scoring'!K185&lt;&gt;"N/A","Yes","No")</f>
        <v/>
      </c>
      <c r="G36" s="14">
        <f>IF('A1. Data scoring'!L185&lt;&gt;"N/A","Yes","No")</f>
        <v/>
      </c>
      <c r="H36" s="14">
        <f>IF('A1. Data scoring'!M185&lt;&gt;"N/A","Yes","No")</f>
        <v/>
      </c>
      <c r="I36" s="14">
        <f>IF('A1. Data scoring'!N185&lt;&gt;"N/A","Yes","No")</f>
        <v/>
      </c>
      <c r="J36" s="14">
        <f>IF('A1. Data scoring'!O185&lt;&gt;"N/A","Yes","No")</f>
        <v/>
      </c>
      <c r="K36" s="14">
        <f>IF('A1. Data scoring'!P185&lt;&gt;"N/A","Yes","No")</f>
        <v/>
      </c>
      <c r="L36" s="14">
        <f>IF('A1. Data scoring'!Q185&lt;&gt;"N/A","Yes","No")</f>
        <v/>
      </c>
      <c r="M36" s="14">
        <f>IF('A1. Data scoring'!R185&lt;&gt;"N/A","Yes","No")</f>
        <v/>
      </c>
      <c r="N36" s="14">
        <f>IF('A1. Data scoring'!S185&lt;&gt;"N/A","Yes","No")</f>
        <v/>
      </c>
      <c r="O36" s="8">
        <f>COUNTIF(C36:N36,"Yes")</f>
        <v/>
      </c>
    </row>
    <row r="37">
      <c r="B37" s="7" t="inlineStr">
        <is>
          <t>AI1(a)</t>
        </is>
      </c>
      <c r="C37" s="14">
        <f>IF('A1. Data scoring'!H191&lt;&gt;"N/A","Yes","No")</f>
        <v/>
      </c>
      <c r="D37" s="14">
        <f>IF('A1. Data scoring'!I191&lt;&gt;"N/A","Yes","No")</f>
        <v/>
      </c>
      <c r="E37" s="14">
        <f>IF('A1. Data scoring'!J191&lt;&gt;"N/A","Yes","No")</f>
        <v/>
      </c>
      <c r="F37" s="14">
        <f>IF('A1. Data scoring'!K191&lt;&gt;"N/A","Yes","No")</f>
        <v/>
      </c>
      <c r="G37" s="14">
        <f>IF('A1. Data scoring'!L191&lt;&gt;"N/A","Yes","No")</f>
        <v/>
      </c>
      <c r="H37" s="14">
        <f>IF('A1. Data scoring'!M191&lt;&gt;"N/A","Yes","No")</f>
        <v/>
      </c>
      <c r="I37" s="14">
        <f>IF('A1. Data scoring'!N191&lt;&gt;"N/A","Yes","No")</f>
        <v/>
      </c>
      <c r="J37" s="14">
        <f>IF('A1. Data scoring'!O191&lt;&gt;"N/A","Yes","No")</f>
        <v/>
      </c>
      <c r="K37" s="14">
        <f>IF('A1. Data scoring'!P191&lt;&gt;"N/A","Yes","No")</f>
        <v/>
      </c>
      <c r="L37" s="14">
        <f>IF('A1. Data scoring'!Q191&lt;&gt;"N/A","Yes","No")</f>
        <v/>
      </c>
      <c r="M37" s="14">
        <f>IF('A1. Data scoring'!R191&lt;&gt;"N/A","Yes","No")</f>
        <v/>
      </c>
      <c r="N37" s="14">
        <f>IF('A1. Data scoring'!S191&lt;&gt;"N/A","Yes","No")</f>
        <v/>
      </c>
      <c r="O37" s="8">
        <f>COUNTIF(C37:N37,"Yes")</f>
        <v/>
      </c>
    </row>
    <row r="38">
      <c r="B38" s="7" t="inlineStr">
        <is>
          <t>AI1(b)</t>
        </is>
      </c>
      <c r="C38" s="14">
        <f>IF('A1. Data scoring'!H197&lt;&gt;"N/A","Yes","No")</f>
        <v/>
      </c>
      <c r="D38" s="14">
        <f>IF('A1. Data scoring'!I197&lt;&gt;"N/A","Yes","No")</f>
        <v/>
      </c>
      <c r="E38" s="14">
        <f>IF('A1. Data scoring'!J197&lt;&gt;"N/A","Yes","No")</f>
        <v/>
      </c>
      <c r="F38" s="14">
        <f>IF('A1. Data scoring'!K197&lt;&gt;"N/A","Yes","No")</f>
        <v/>
      </c>
      <c r="G38" s="14">
        <f>IF('A1. Data scoring'!L197&lt;&gt;"N/A","Yes","No")</f>
        <v/>
      </c>
      <c r="H38" s="14">
        <f>IF('A1. Data scoring'!M197&lt;&gt;"N/A","Yes","No")</f>
        <v/>
      </c>
      <c r="I38" s="14">
        <f>IF('A1. Data scoring'!N197&lt;&gt;"N/A","Yes","No")</f>
        <v/>
      </c>
      <c r="J38" s="14">
        <f>IF('A1. Data scoring'!O197&lt;&gt;"N/A","Yes","No")</f>
        <v/>
      </c>
      <c r="K38" s="14">
        <f>IF('A1. Data scoring'!P197&lt;&gt;"N/A","Yes","No")</f>
        <v/>
      </c>
      <c r="L38" s="14">
        <f>IF('A1. Data scoring'!Q197&lt;&gt;"N/A","Yes","No")</f>
        <v/>
      </c>
      <c r="M38" s="14">
        <f>IF('A1. Data scoring'!R197&lt;&gt;"N/A","Yes","No")</f>
        <v/>
      </c>
      <c r="N38" s="14">
        <f>IF('A1. Data scoring'!S197&lt;&gt;"N/A","Yes","No")</f>
        <v/>
      </c>
      <c r="O38" s="8">
        <f>COUNTIF(C38:N38,"Yes")</f>
        <v/>
      </c>
    </row>
    <row r="39">
      <c r="B39" s="7" t="inlineStr">
        <is>
          <t>EI1(a)</t>
        </is>
      </c>
      <c r="C39" s="14">
        <f>IF('A1. Data scoring'!H203&lt;&gt;"N/A","Yes","No")</f>
        <v/>
      </c>
      <c r="D39" s="14">
        <f>IF('A1. Data scoring'!I203&lt;&gt;"N/A","Yes","No")</f>
        <v/>
      </c>
      <c r="E39" s="14">
        <f>IF('A1. Data scoring'!J203&lt;&gt;"N/A","Yes","No")</f>
        <v/>
      </c>
      <c r="F39" s="14">
        <f>IF('A1. Data scoring'!K203&lt;&gt;"N/A","Yes","No")</f>
        <v/>
      </c>
      <c r="G39" s="14">
        <f>IF('A1. Data scoring'!L203&lt;&gt;"N/A","Yes","No")</f>
        <v/>
      </c>
      <c r="H39" s="14">
        <f>IF('A1. Data scoring'!M203&lt;&gt;"N/A","Yes","No")</f>
        <v/>
      </c>
      <c r="I39" s="14">
        <f>IF('A1. Data scoring'!N203&lt;&gt;"N/A","Yes","No")</f>
        <v/>
      </c>
      <c r="J39" s="14">
        <f>IF('A1. Data scoring'!O203&lt;&gt;"N/A","Yes","No")</f>
        <v/>
      </c>
      <c r="K39" s="14">
        <f>IF('A1. Data scoring'!P203&lt;&gt;"N/A","Yes","No")</f>
        <v/>
      </c>
      <c r="L39" s="14">
        <f>IF('A1. Data scoring'!Q203&lt;&gt;"N/A","Yes","No")</f>
        <v/>
      </c>
      <c r="M39" s="14">
        <f>IF('A1. Data scoring'!R203&lt;&gt;"N/A","Yes","No")</f>
        <v/>
      </c>
      <c r="N39" s="14">
        <f>IF('A1. Data scoring'!S203&lt;&gt;"N/A","Yes","No")</f>
        <v/>
      </c>
      <c r="O39" s="8">
        <f>COUNTIF(C39:N39,"Yes")</f>
        <v/>
      </c>
    </row>
    <row r="40">
      <c r="B40" s="7" t="inlineStr">
        <is>
          <t>EI1(b)</t>
        </is>
      </c>
      <c r="C40" s="14">
        <f>IF('A1. Data scoring'!H209&lt;&gt;"N/A","Yes","No")</f>
        <v/>
      </c>
      <c r="D40" s="14">
        <f>IF('A1. Data scoring'!I209&lt;&gt;"N/A","Yes","No")</f>
        <v/>
      </c>
      <c r="E40" s="14">
        <f>IF('A1. Data scoring'!J209&lt;&gt;"N/A","Yes","No")</f>
        <v/>
      </c>
      <c r="F40" s="14">
        <f>IF('A1. Data scoring'!K209&lt;&gt;"N/A","Yes","No")</f>
        <v/>
      </c>
      <c r="G40" s="14">
        <f>IF('A1. Data scoring'!L209&lt;&gt;"N/A","Yes","No")</f>
        <v/>
      </c>
      <c r="H40" s="14">
        <f>IF('A1. Data scoring'!M209&lt;&gt;"N/A","Yes","No")</f>
        <v/>
      </c>
      <c r="I40" s="14">
        <f>IF('A1. Data scoring'!N209&lt;&gt;"N/A","Yes","No")</f>
        <v/>
      </c>
      <c r="J40" s="14">
        <f>IF('A1. Data scoring'!O209&lt;&gt;"N/A","Yes","No")</f>
        <v/>
      </c>
      <c r="K40" s="14">
        <f>IF('A1. Data scoring'!P209&lt;&gt;"N/A","Yes","No")</f>
        <v/>
      </c>
      <c r="L40" s="14">
        <f>IF('A1. Data scoring'!Q209&lt;&gt;"N/A","Yes","No")</f>
        <v/>
      </c>
      <c r="M40" s="14">
        <f>IF('A1. Data scoring'!R209&lt;&gt;"N/A","Yes","No")</f>
        <v/>
      </c>
      <c r="N40" s="14">
        <f>IF('A1. Data scoring'!S209&lt;&gt;"N/A","Yes","No")</f>
        <v/>
      </c>
      <c r="O40" s="8">
        <f>COUNTIF(C40:N40,"Yes")</f>
        <v/>
      </c>
    </row>
    <row r="41">
      <c r="B41" s="7" t="inlineStr">
        <is>
          <t>EI1(c)</t>
        </is>
      </c>
      <c r="C41" s="14">
        <f>IF('A1. Data scoring'!H215&lt;&gt;"N/A","Yes","No")</f>
        <v/>
      </c>
      <c r="D41" s="14">
        <f>IF('A1. Data scoring'!I215&lt;&gt;"N/A","Yes","No")</f>
        <v/>
      </c>
      <c r="E41" s="14">
        <f>IF('A1. Data scoring'!J215&lt;&gt;"N/A","Yes","No")</f>
        <v/>
      </c>
      <c r="F41" s="14">
        <f>IF('A1. Data scoring'!K215&lt;&gt;"N/A","Yes","No")</f>
        <v/>
      </c>
      <c r="G41" s="14">
        <f>IF('A1. Data scoring'!L215&lt;&gt;"N/A","Yes","No")</f>
        <v/>
      </c>
      <c r="H41" s="14">
        <f>IF('A1. Data scoring'!M215&lt;&gt;"N/A","Yes","No")</f>
        <v/>
      </c>
      <c r="I41" s="14">
        <f>IF('A1. Data scoring'!N215&lt;&gt;"N/A","Yes","No")</f>
        <v/>
      </c>
      <c r="J41" s="14">
        <f>IF('A1. Data scoring'!O215&lt;&gt;"N/A","Yes","No")</f>
        <v/>
      </c>
      <c r="K41" s="14">
        <f>IF('A1. Data scoring'!P215&lt;&gt;"N/A","Yes","No")</f>
        <v/>
      </c>
      <c r="L41" s="14">
        <f>IF('A1. Data scoring'!Q215&lt;&gt;"N/A","Yes","No")</f>
        <v/>
      </c>
      <c r="M41" s="14">
        <f>IF('A1. Data scoring'!R215&lt;&gt;"N/A","Yes","No")</f>
        <v/>
      </c>
      <c r="N41" s="14">
        <f>IF('A1. Data scoring'!S215&lt;&gt;"N/A","Yes","No")</f>
        <v/>
      </c>
      <c r="O41" s="8">
        <f>COUNTIF(C41:N41,"Yes")</f>
        <v/>
      </c>
    </row>
    <row r="42">
      <c r="B42" s="7" t="inlineStr">
        <is>
          <t>EI1(d)</t>
        </is>
      </c>
      <c r="C42" s="14">
        <f>IF('A1. Data scoring'!H221&lt;&gt;"N/A","Yes","No")</f>
        <v/>
      </c>
      <c r="D42" s="14">
        <f>IF('A1. Data scoring'!I221&lt;&gt;"N/A","Yes","No")</f>
        <v/>
      </c>
      <c r="E42" s="14">
        <f>IF('A1. Data scoring'!J221&lt;&gt;"N/A","Yes","No")</f>
        <v/>
      </c>
      <c r="F42" s="14">
        <f>IF('A1. Data scoring'!K221&lt;&gt;"N/A","Yes","No")</f>
        <v/>
      </c>
      <c r="G42" s="14">
        <f>IF('A1. Data scoring'!L221&lt;&gt;"N/A","Yes","No")</f>
        <v/>
      </c>
      <c r="H42" s="14">
        <f>IF('A1. Data scoring'!M221&lt;&gt;"N/A","Yes","No")</f>
        <v/>
      </c>
      <c r="I42" s="14">
        <f>IF('A1. Data scoring'!N221&lt;&gt;"N/A","Yes","No")</f>
        <v/>
      </c>
      <c r="J42" s="14">
        <f>IF('A1. Data scoring'!O221&lt;&gt;"N/A","Yes","No")</f>
        <v/>
      </c>
      <c r="K42" s="14">
        <f>IF('A1. Data scoring'!P221&lt;&gt;"N/A","Yes","No")</f>
        <v/>
      </c>
      <c r="L42" s="14">
        <f>IF('A1. Data scoring'!Q221&lt;&gt;"N/A","Yes","No")</f>
        <v/>
      </c>
      <c r="M42" s="14">
        <f>IF('A1. Data scoring'!R221&lt;&gt;"N/A","Yes","No")</f>
        <v/>
      </c>
      <c r="N42" s="14">
        <f>IF('A1. Data scoring'!S221&lt;&gt;"N/A","Yes","No")</f>
        <v/>
      </c>
      <c r="O42" s="8">
        <f>COUNTIF(C42:N42,"Yes")</f>
        <v/>
      </c>
    </row>
    <row r="43">
      <c r="B43" s="7" t="inlineStr">
        <is>
          <t>CE1(a)</t>
        </is>
      </c>
      <c r="C43" s="14">
        <f>IF('A1. Data scoring'!H227&lt;&gt;"N/A","Yes","No")</f>
        <v/>
      </c>
      <c r="D43" s="14">
        <f>IF('A1. Data scoring'!I227&lt;&gt;"N/A","Yes","No")</f>
        <v/>
      </c>
      <c r="E43" s="14">
        <f>IF('A1. Data scoring'!J227&lt;&gt;"N/A","Yes","No")</f>
        <v/>
      </c>
      <c r="F43" s="14">
        <f>IF('A1. Data scoring'!K227&lt;&gt;"N/A","Yes","No")</f>
        <v/>
      </c>
      <c r="G43" s="14">
        <f>IF('A1. Data scoring'!L227&lt;&gt;"N/A","Yes","No")</f>
        <v/>
      </c>
      <c r="H43" s="14">
        <f>IF('A1. Data scoring'!M227&lt;&gt;"N/A","Yes","No")</f>
        <v/>
      </c>
      <c r="I43" s="14">
        <f>IF('A1. Data scoring'!N227&lt;&gt;"N/A","Yes","No")</f>
        <v/>
      </c>
      <c r="J43" s="14">
        <f>IF('A1. Data scoring'!O227&lt;&gt;"N/A","Yes","No")</f>
        <v/>
      </c>
      <c r="K43" s="14">
        <f>IF('A1. Data scoring'!P227&lt;&gt;"N/A","Yes","No")</f>
        <v/>
      </c>
      <c r="L43" s="14">
        <f>IF('A1. Data scoring'!Q227&lt;&gt;"N/A","Yes","No")</f>
        <v/>
      </c>
      <c r="M43" s="14">
        <f>IF('A1. Data scoring'!R227&lt;&gt;"N/A","Yes","No")</f>
        <v/>
      </c>
      <c r="N43" s="14">
        <f>IF('A1. Data scoring'!S227&lt;&gt;"N/A","Yes","No")</f>
        <v/>
      </c>
      <c r="O43" s="8">
        <f>COUNTIF(C43:N43,"Yes")</f>
        <v/>
      </c>
    </row>
    <row r="44">
      <c r="B44" s="7" t="inlineStr">
        <is>
          <t>CE2(a)</t>
        </is>
      </c>
      <c r="C44" s="14">
        <f>IF('A1. Data scoring'!H233&lt;&gt;"N/A","Yes","No")</f>
        <v/>
      </c>
      <c r="D44" s="14">
        <f>IF('A1. Data scoring'!I233&lt;&gt;"N/A","Yes","No")</f>
        <v/>
      </c>
      <c r="E44" s="14">
        <f>IF('A1. Data scoring'!J233&lt;&gt;"N/A","Yes","No")</f>
        <v/>
      </c>
      <c r="F44" s="14">
        <f>IF('A1. Data scoring'!K233&lt;&gt;"N/A","Yes","No")</f>
        <v/>
      </c>
      <c r="G44" s="14">
        <f>IF('A1. Data scoring'!L233&lt;&gt;"N/A","Yes","No")</f>
        <v/>
      </c>
      <c r="H44" s="14">
        <f>IF('A1. Data scoring'!M233&lt;&gt;"N/A","Yes","No")</f>
        <v/>
      </c>
      <c r="I44" s="14">
        <f>IF('A1. Data scoring'!N233&lt;&gt;"N/A","Yes","No")</f>
        <v/>
      </c>
      <c r="J44" s="14">
        <f>IF('A1. Data scoring'!O233&lt;&gt;"N/A","Yes","No")</f>
        <v/>
      </c>
      <c r="K44" s="14">
        <f>IF('A1. Data scoring'!P233&lt;&gt;"N/A","Yes","No")</f>
        <v/>
      </c>
      <c r="L44" s="14">
        <f>IF('A1. Data scoring'!Q233&lt;&gt;"N/A","Yes","No")</f>
        <v/>
      </c>
      <c r="M44" s="14">
        <f>IF('A1. Data scoring'!R233&lt;&gt;"N/A","Yes","No")</f>
        <v/>
      </c>
      <c r="N44" s="14">
        <f>IF('A1. Data scoring'!S233&lt;&gt;"N/A","Yes","No")</f>
        <v/>
      </c>
      <c r="O44" s="8">
        <f>COUNTIF(C44:N44,"Yes")</f>
        <v/>
      </c>
    </row>
    <row r="45">
      <c r="B45" s="7" t="inlineStr">
        <is>
          <t>RP1(a)</t>
        </is>
      </c>
      <c r="C45" s="14">
        <f>IF('A1. Data scoring'!H239&lt;&gt;"N/A","Yes","No")</f>
        <v/>
      </c>
      <c r="D45" s="14">
        <f>IF('A1. Data scoring'!I239&lt;&gt;"N/A","Yes","No")</f>
        <v/>
      </c>
      <c r="E45" s="14">
        <f>IF('A1. Data scoring'!J239&lt;&gt;"N/A","Yes","No")</f>
        <v/>
      </c>
      <c r="F45" s="14">
        <f>IF('A1. Data scoring'!K239&lt;&gt;"N/A","Yes","No")</f>
        <v/>
      </c>
      <c r="G45" s="14">
        <f>IF('A1. Data scoring'!L239&lt;&gt;"N/A","Yes","No")</f>
        <v/>
      </c>
      <c r="H45" s="14">
        <f>IF('A1. Data scoring'!M239&lt;&gt;"N/A","Yes","No")</f>
        <v/>
      </c>
      <c r="I45" s="14">
        <f>IF('A1. Data scoring'!N239&lt;&gt;"N/A","Yes","No")</f>
        <v/>
      </c>
      <c r="J45" s="14">
        <f>IF('A1. Data scoring'!O239&lt;&gt;"N/A","Yes","No")</f>
        <v/>
      </c>
      <c r="K45" s="14">
        <f>IF('A1. Data scoring'!P239&lt;&gt;"N/A","Yes","No")</f>
        <v/>
      </c>
      <c r="L45" s="14">
        <f>IF('A1. Data scoring'!Q239&lt;&gt;"N/A","Yes","No")</f>
        <v/>
      </c>
      <c r="M45" s="14">
        <f>IF('A1. Data scoring'!R239&lt;&gt;"N/A","Yes","No")</f>
        <v/>
      </c>
      <c r="N45" s="14">
        <f>IF('A1. Data scoring'!S239&lt;&gt;"N/A","Yes","No")</f>
        <v/>
      </c>
      <c r="O45" s="8">
        <f>COUNTIF(C45:N45,"Yes")</f>
        <v/>
      </c>
    </row>
    <row r="46">
      <c r="B46" s="7" t="inlineStr">
        <is>
          <t>RP2(a)</t>
        </is>
      </c>
      <c r="C46" s="14">
        <f>IF('A1. Data scoring'!H245&lt;&gt;"N/A","Yes","No")</f>
        <v/>
      </c>
      <c r="D46" s="14">
        <f>IF('A1. Data scoring'!I245&lt;&gt;"N/A","Yes","No")</f>
        <v/>
      </c>
      <c r="E46" s="14">
        <f>IF('A1. Data scoring'!J245&lt;&gt;"N/A","Yes","No")</f>
        <v/>
      </c>
      <c r="F46" s="14">
        <f>IF('A1. Data scoring'!K245&lt;&gt;"N/A","Yes","No")</f>
        <v/>
      </c>
      <c r="G46" s="14">
        <f>IF('A1. Data scoring'!L245&lt;&gt;"N/A","Yes","No")</f>
        <v/>
      </c>
      <c r="H46" s="14">
        <f>IF('A1. Data scoring'!M245&lt;&gt;"N/A","Yes","No")</f>
        <v/>
      </c>
      <c r="I46" s="14">
        <f>IF('A1. Data scoring'!N245&lt;&gt;"N/A","Yes","No")</f>
        <v/>
      </c>
      <c r="J46" s="14">
        <f>IF('A1. Data scoring'!O245&lt;&gt;"N/A","Yes","No")</f>
        <v/>
      </c>
      <c r="K46" s="14">
        <f>IF('A1. Data scoring'!P245&lt;&gt;"N/A","Yes","No")</f>
        <v/>
      </c>
      <c r="L46" s="14">
        <f>IF('A1. Data scoring'!Q245&lt;&gt;"N/A","Yes","No")</f>
        <v/>
      </c>
      <c r="M46" s="14">
        <f>IF('A1. Data scoring'!R245&lt;&gt;"N/A","Yes","No")</f>
        <v/>
      </c>
      <c r="N46" s="14">
        <f>IF('A1. Data scoring'!S245&lt;&gt;"N/A","Yes","No")</f>
        <v/>
      </c>
      <c r="O46" s="8">
        <f>COUNTIF(C46:N46,"Yes")</f>
        <v/>
      </c>
    </row>
    <row r="47">
      <c r="B47" s="7" t="inlineStr">
        <is>
          <t>RP2(b)</t>
        </is>
      </c>
      <c r="C47" s="14">
        <f>IF('A1. Data scoring'!H251&lt;&gt;"N/A","Yes","No")</f>
        <v/>
      </c>
      <c r="D47" s="14">
        <f>IF('A1. Data scoring'!I251&lt;&gt;"N/A","Yes","No")</f>
        <v/>
      </c>
      <c r="E47" s="14">
        <f>IF('A1. Data scoring'!J251&lt;&gt;"N/A","Yes","No")</f>
        <v/>
      </c>
      <c r="F47" s="14">
        <f>IF('A1. Data scoring'!K251&lt;&gt;"N/A","Yes","No")</f>
        <v/>
      </c>
      <c r="G47" s="14">
        <f>IF('A1. Data scoring'!L251&lt;&gt;"N/A","Yes","No")</f>
        <v/>
      </c>
      <c r="H47" s="14">
        <f>IF('A1. Data scoring'!M251&lt;&gt;"N/A","Yes","No")</f>
        <v/>
      </c>
      <c r="I47" s="14">
        <f>IF('A1. Data scoring'!N251&lt;&gt;"N/A","Yes","No")</f>
        <v/>
      </c>
      <c r="J47" s="14">
        <f>IF('A1. Data scoring'!O251&lt;&gt;"N/A","Yes","No")</f>
        <v/>
      </c>
      <c r="K47" s="14">
        <f>IF('A1. Data scoring'!P251&lt;&gt;"N/A","Yes","No")</f>
        <v/>
      </c>
      <c r="L47" s="14">
        <f>IF('A1. Data scoring'!Q251&lt;&gt;"N/A","Yes","No")</f>
        <v/>
      </c>
      <c r="M47" s="14">
        <f>IF('A1. Data scoring'!R251&lt;&gt;"N/A","Yes","No")</f>
        <v/>
      </c>
      <c r="N47" s="14">
        <f>IF('A1. Data scoring'!S251&lt;&gt;"N/A","Yes","No")</f>
        <v/>
      </c>
      <c r="O47" s="8">
        <f>COUNTIF(C47:N47,"Yes")</f>
        <v/>
      </c>
    </row>
    <row r="48">
      <c r="B48" s="7" t="inlineStr">
        <is>
          <t>MS1(a)</t>
        </is>
      </c>
      <c r="C48" s="14">
        <f>IF('A1. Data scoring'!H257&lt;&gt;"N/A","Yes","No")</f>
        <v/>
      </c>
      <c r="D48" s="14">
        <f>IF('A1. Data scoring'!I257&lt;&gt;"N/A","Yes","No")</f>
        <v/>
      </c>
      <c r="E48" s="14">
        <f>IF('A1. Data scoring'!J257&lt;&gt;"N/A","Yes","No")</f>
        <v/>
      </c>
      <c r="F48" s="14">
        <f>IF('A1. Data scoring'!K257&lt;&gt;"N/A","Yes","No")</f>
        <v/>
      </c>
      <c r="G48" s="14">
        <f>IF('A1. Data scoring'!L257&lt;&gt;"N/A","Yes","No")</f>
        <v/>
      </c>
      <c r="H48" s="14">
        <f>IF('A1. Data scoring'!M257&lt;&gt;"N/A","Yes","No")</f>
        <v/>
      </c>
      <c r="I48" s="14">
        <f>IF('A1. Data scoring'!N257&lt;&gt;"N/A","Yes","No")</f>
        <v/>
      </c>
      <c r="J48" s="14">
        <f>IF('A1. Data scoring'!O257&lt;&gt;"N/A","Yes","No")</f>
        <v/>
      </c>
      <c r="K48" s="14">
        <f>IF('A1. Data scoring'!P257&lt;&gt;"N/A","Yes","No")</f>
        <v/>
      </c>
      <c r="L48" s="14">
        <f>IF('A1. Data scoring'!Q257&lt;&gt;"N/A","Yes","No")</f>
        <v/>
      </c>
      <c r="M48" s="14">
        <f>IF('A1. Data scoring'!R257&lt;&gt;"N/A","Yes","No")</f>
        <v/>
      </c>
      <c r="N48" s="14">
        <f>IF('A1. Data scoring'!S257&lt;&gt;"N/A","Yes","No")</f>
        <v/>
      </c>
      <c r="O48" s="8">
        <f>COUNTIF(C48:N48,"Yes")</f>
        <v/>
      </c>
    </row>
    <row r="49">
      <c r="B49" s="7" t="inlineStr">
        <is>
          <t>RI1(a)</t>
        </is>
      </c>
      <c r="C49" s="14">
        <f>IF('A1. Data scoring'!H263&lt;&gt;"N/A","Yes","No")</f>
        <v/>
      </c>
      <c r="D49" s="14">
        <f>IF('A1. Data scoring'!I263&lt;&gt;"N/A","Yes","No")</f>
        <v/>
      </c>
      <c r="E49" s="14">
        <f>IF('A1. Data scoring'!J263&lt;&gt;"N/A","Yes","No")</f>
        <v/>
      </c>
      <c r="F49" s="14">
        <f>IF('A1. Data scoring'!K263&lt;&gt;"N/A","Yes","No")</f>
        <v/>
      </c>
      <c r="G49" s="14">
        <f>IF('A1. Data scoring'!L263&lt;&gt;"N/A","Yes","No")</f>
        <v/>
      </c>
      <c r="H49" s="14">
        <f>IF('A1. Data scoring'!M263&lt;&gt;"N/A","Yes","No")</f>
        <v/>
      </c>
      <c r="I49" s="14">
        <f>IF('A1. Data scoring'!N263&lt;&gt;"N/A","Yes","No")</f>
        <v/>
      </c>
      <c r="J49" s="14">
        <f>IF('A1. Data scoring'!O263&lt;&gt;"N/A","Yes","No")</f>
        <v/>
      </c>
      <c r="K49" s="14">
        <f>IF('A1. Data scoring'!P263&lt;&gt;"N/A","Yes","No")</f>
        <v/>
      </c>
      <c r="L49" s="14">
        <f>IF('A1. Data scoring'!Q263&lt;&gt;"N/A","Yes","No")</f>
        <v/>
      </c>
      <c r="M49" s="14">
        <f>IF('A1. Data scoring'!R263&lt;&gt;"N/A","Yes","No")</f>
        <v/>
      </c>
      <c r="N49" s="14">
        <f>IF('A1. Data scoring'!S263&lt;&gt;"N/A","Yes","No")</f>
        <v/>
      </c>
      <c r="O49" s="8">
        <f>COUNTIF(C49:N49,"Yes")</f>
        <v/>
      </c>
    </row>
    <row r="50">
      <c r="B50" s="7" t="inlineStr">
        <is>
          <t>RI1(b)</t>
        </is>
      </c>
      <c r="C50" s="14">
        <f>IF('A1. Data scoring'!H269&lt;&gt;"N/A","Yes","No")</f>
        <v/>
      </c>
      <c r="D50" s="14">
        <f>IF('A1. Data scoring'!I269&lt;&gt;"N/A","Yes","No")</f>
        <v/>
      </c>
      <c r="E50" s="14">
        <f>IF('A1. Data scoring'!J269&lt;&gt;"N/A","Yes","No")</f>
        <v/>
      </c>
      <c r="F50" s="14">
        <f>IF('A1. Data scoring'!K269&lt;&gt;"N/A","Yes","No")</f>
        <v/>
      </c>
      <c r="G50" s="14">
        <f>IF('A1. Data scoring'!L269&lt;&gt;"N/A","Yes","No")</f>
        <v/>
      </c>
      <c r="H50" s="14">
        <f>IF('A1. Data scoring'!M269&lt;&gt;"N/A","Yes","No")</f>
        <v/>
      </c>
      <c r="I50" s="14">
        <f>IF('A1. Data scoring'!N269&lt;&gt;"N/A","Yes","No")</f>
        <v/>
      </c>
      <c r="J50" s="14">
        <f>IF('A1. Data scoring'!O269&lt;&gt;"N/A","Yes","No")</f>
        <v/>
      </c>
      <c r="K50" s="14">
        <f>IF('A1. Data scoring'!P269&lt;&gt;"N/A","Yes","No")</f>
        <v/>
      </c>
      <c r="L50" s="14">
        <f>IF('A1. Data scoring'!Q269&lt;&gt;"N/A","Yes","No")</f>
        <v/>
      </c>
      <c r="M50" s="14">
        <f>IF('A1. Data scoring'!R269&lt;&gt;"N/A","Yes","No")</f>
        <v/>
      </c>
      <c r="N50" s="14">
        <f>IF('A1. Data scoring'!S269&lt;&gt;"N/A","Yes","No")</f>
        <v/>
      </c>
      <c r="O50" s="8">
        <f>COUNTIF(C50:N50,"Yes")</f>
        <v/>
      </c>
    </row>
    <row r="51">
      <c r="B51" s="7" t="inlineStr">
        <is>
          <t>EN1(a)</t>
        </is>
      </c>
      <c r="C51" s="14">
        <f>IF('A1. Data scoring'!H275&lt;&gt;"N/A","Yes","No")</f>
        <v/>
      </c>
      <c r="D51" s="14">
        <f>IF('A1. Data scoring'!I275&lt;&gt;"N/A","Yes","No")</f>
        <v/>
      </c>
      <c r="E51" s="14">
        <f>IF('A1. Data scoring'!J275&lt;&gt;"N/A","Yes","No")</f>
        <v/>
      </c>
      <c r="F51" s="14">
        <f>IF('A1. Data scoring'!K275&lt;&gt;"N/A","Yes","No")</f>
        <v/>
      </c>
      <c r="G51" s="14">
        <f>IF('A1. Data scoring'!L275&lt;&gt;"N/A","Yes","No")</f>
        <v/>
      </c>
      <c r="H51" s="14">
        <f>IF('A1. Data scoring'!M275&lt;&gt;"N/A","Yes","No")</f>
        <v/>
      </c>
      <c r="I51" s="14">
        <f>IF('A1. Data scoring'!N275&lt;&gt;"N/A","Yes","No")</f>
        <v/>
      </c>
      <c r="J51" s="14">
        <f>IF('A1. Data scoring'!O275&lt;&gt;"N/A","Yes","No")</f>
        <v/>
      </c>
      <c r="K51" s="14">
        <f>IF('A1. Data scoring'!P275&lt;&gt;"N/A","Yes","No")</f>
        <v/>
      </c>
      <c r="L51" s="14">
        <f>IF('A1. Data scoring'!Q275&lt;&gt;"N/A","Yes","No")</f>
        <v/>
      </c>
      <c r="M51" s="14">
        <f>IF('A1. Data scoring'!R275&lt;&gt;"N/A","Yes","No")</f>
        <v/>
      </c>
      <c r="N51" s="14">
        <f>IF('A1. Data scoring'!S275&lt;&gt;"N/A","Yes","No")</f>
        <v/>
      </c>
      <c r="O51" s="8">
        <f>COUNTIF(C51:N51,"Yes")</f>
        <v/>
      </c>
    </row>
    <row r="52">
      <c r="B52" s="7" t="inlineStr">
        <is>
          <t>EN1(b)</t>
        </is>
      </c>
      <c r="C52" s="14">
        <f>IF('A1. Data scoring'!H281&lt;&gt;"N/A","Yes","No")</f>
        <v/>
      </c>
      <c r="D52" s="14">
        <f>IF('A1. Data scoring'!I281&lt;&gt;"N/A","Yes","No")</f>
        <v/>
      </c>
      <c r="E52" s="14">
        <f>IF('A1. Data scoring'!J281&lt;&gt;"N/A","Yes","No")</f>
        <v/>
      </c>
      <c r="F52" s="14">
        <f>IF('A1. Data scoring'!K281&lt;&gt;"N/A","Yes","No")</f>
        <v/>
      </c>
      <c r="G52" s="14">
        <f>IF('A1. Data scoring'!L281&lt;&gt;"N/A","Yes","No")</f>
        <v/>
      </c>
      <c r="H52" s="14">
        <f>IF('A1. Data scoring'!M281&lt;&gt;"N/A","Yes","No")</f>
        <v/>
      </c>
      <c r="I52" s="14">
        <f>IF('A1. Data scoring'!N281&lt;&gt;"N/A","Yes","No")</f>
        <v/>
      </c>
      <c r="J52" s="14">
        <f>IF('A1. Data scoring'!O281&lt;&gt;"N/A","Yes","No")</f>
        <v/>
      </c>
      <c r="K52" s="14">
        <f>IF('A1. Data scoring'!P281&lt;&gt;"N/A","Yes","No")</f>
        <v/>
      </c>
      <c r="L52" s="14">
        <f>IF('A1. Data scoring'!Q281&lt;&gt;"N/A","Yes","No")</f>
        <v/>
      </c>
      <c r="M52" s="14">
        <f>IF('A1. Data scoring'!R281&lt;&gt;"N/A","Yes","No")</f>
        <v/>
      </c>
      <c r="N52" s="14">
        <f>IF('A1. Data scoring'!S281&lt;&gt;"N/A","Yes","No")</f>
        <v/>
      </c>
      <c r="O52" s="8">
        <f>COUNTIF(C52:N52,"Yes")</f>
        <v/>
      </c>
    </row>
    <row r="53">
      <c r="B53" s="7" t="inlineStr">
        <is>
          <t>EN1(c)</t>
        </is>
      </c>
      <c r="C53" s="14">
        <f>IF('A1. Data scoring'!H287&lt;&gt;"N/A","Yes","No")</f>
        <v/>
      </c>
      <c r="D53" s="14">
        <f>IF('A1. Data scoring'!I287&lt;&gt;"N/A","Yes","No")</f>
        <v/>
      </c>
      <c r="E53" s="14">
        <f>IF('A1. Data scoring'!J287&lt;&gt;"N/A","Yes","No")</f>
        <v/>
      </c>
      <c r="F53" s="14">
        <f>IF('A1. Data scoring'!K287&lt;&gt;"N/A","Yes","No")</f>
        <v/>
      </c>
      <c r="G53" s="14">
        <f>IF('A1. Data scoring'!L287&lt;&gt;"N/A","Yes","No")</f>
        <v/>
      </c>
      <c r="H53" s="14">
        <f>IF('A1. Data scoring'!M287&lt;&gt;"N/A","Yes","No")</f>
        <v/>
      </c>
      <c r="I53" s="14">
        <f>IF('A1. Data scoring'!N287&lt;&gt;"N/A","Yes","No")</f>
        <v/>
      </c>
      <c r="J53" s="14">
        <f>IF('A1. Data scoring'!O287&lt;&gt;"N/A","Yes","No")</f>
        <v/>
      </c>
      <c r="K53" s="14">
        <f>IF('A1. Data scoring'!P287&lt;&gt;"N/A","Yes","No")</f>
        <v/>
      </c>
      <c r="L53" s="14">
        <f>IF('A1. Data scoring'!Q287&lt;&gt;"N/A","Yes","No")</f>
        <v/>
      </c>
      <c r="M53" s="14">
        <f>IF('A1. Data scoring'!R287&lt;&gt;"N/A","Yes","No")</f>
        <v/>
      </c>
      <c r="N53" s="14">
        <f>IF('A1. Data scoring'!S287&lt;&gt;"N/A","Yes","No")</f>
        <v/>
      </c>
      <c r="O53" s="8">
        <f>COUNTIF(C53:N53,"Yes")</f>
        <v/>
      </c>
    </row>
    <row r="54">
      <c r="B54" s="7" t="inlineStr">
        <is>
          <t>EN1(d)</t>
        </is>
      </c>
      <c r="C54" s="14">
        <f>IF('A1. Data scoring'!H293&lt;&gt;"N/A","Yes","No")</f>
        <v/>
      </c>
      <c r="D54" s="14">
        <f>IF('A1. Data scoring'!I293&lt;&gt;"N/A","Yes","No")</f>
        <v/>
      </c>
      <c r="E54" s="14">
        <f>IF('A1. Data scoring'!J293&lt;&gt;"N/A","Yes","No")</f>
        <v/>
      </c>
      <c r="F54" s="14">
        <f>IF('A1. Data scoring'!K293&lt;&gt;"N/A","Yes","No")</f>
        <v/>
      </c>
      <c r="G54" s="14">
        <f>IF('A1. Data scoring'!L293&lt;&gt;"N/A","Yes","No")</f>
        <v/>
      </c>
      <c r="H54" s="14">
        <f>IF('A1. Data scoring'!M293&lt;&gt;"N/A","Yes","No")</f>
        <v/>
      </c>
      <c r="I54" s="14">
        <f>IF('A1. Data scoring'!N293&lt;&gt;"N/A","Yes","No")</f>
        <v/>
      </c>
      <c r="J54" s="14">
        <f>IF('A1. Data scoring'!O293&lt;&gt;"N/A","Yes","No")</f>
        <v/>
      </c>
      <c r="K54" s="14">
        <f>IF('A1. Data scoring'!P293&lt;&gt;"N/A","Yes","No")</f>
        <v/>
      </c>
      <c r="L54" s="14">
        <f>IF('A1. Data scoring'!Q293&lt;&gt;"N/A","Yes","No")</f>
        <v/>
      </c>
      <c r="M54" s="14">
        <f>IF('A1. Data scoring'!R293&lt;&gt;"N/A","Yes","No")</f>
        <v/>
      </c>
      <c r="N54" s="14">
        <f>IF('A1. Data scoring'!S293&lt;&gt;"N/A","Yes","No")</f>
        <v/>
      </c>
      <c r="O54" s="8">
        <f>COUNTIF(C54:N54,"Yes")</f>
        <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O310"/>
  <sheetViews>
    <sheetView showGridLines="0" workbookViewId="0">
      <pane xSplit="4" ySplit="7" topLeftCell="E8" activePane="bottomRight" state="frozen"/>
      <selection pane="topRight"/>
      <selection pane="bottomLeft"/>
      <selection pane="bottomRight" activeCell="A1" sqref="A1"/>
    </sheetView>
  </sheetViews>
  <sheetFormatPr baseColWidth="8" defaultRowHeight="15"/>
  <cols>
    <col width="4" customWidth="1" min="1" max="1"/>
    <col width="9" customWidth="1" min="2" max="2"/>
    <col width="34" customWidth="1" min="3" max="3"/>
    <col width="26" customWidth="1" min="4" max="4"/>
    <col width="30" customWidth="1" min="5" max="5"/>
    <col width="30" customWidth="1" min="6" max="6"/>
    <col width="30" customWidth="1" min="7" max="7"/>
    <col width="30" customWidth="1" min="8" max="8"/>
    <col width="30" customWidth="1" min="9" max="9"/>
    <col width="30" customWidth="1" min="10" max="10"/>
    <col width="30" customWidth="1" min="11" max="11"/>
    <col width="30" customWidth="1" min="12" max="12"/>
    <col width="16" customWidth="1" min="13" max="13"/>
    <col width="16" customWidth="1" min="14" max="14"/>
    <col width="40" customWidth="1" min="15" max="15"/>
  </cols>
  <sheetData>
    <row r="1">
      <c r="A1" s="1" t="inlineStr">
        <is>
          <t>↑</t>
        </is>
      </c>
      <c r="B1" s="2" t="inlineStr">
        <is>
          <t>End-2026 target status assessment and reporting</t>
        </is>
      </c>
    </row>
    <row r="2">
      <c r="B2" s="3" t="inlineStr">
        <is>
          <t>T1. Manual target review</t>
        </is>
      </c>
    </row>
    <row r="4" ht="30" customHeight="1">
      <c r="C4" s="15" t="inlineStr">
        <is>
          <t>Description</t>
        </is>
      </c>
      <c r="D4" s="23" t="inlineStr">
        <is>
          <t>Review of individual unit responses for every indicator – only the units asked about each indicator are shown. Values come from A1 (do not type in grey cells); record your review in the 'Reviewer notes' column. Use T2 to focus on a single indicator.</t>
        </is>
      </c>
    </row>
    <row r="5"/>
    <row r="7">
      <c r="B7" s="6" t="inlineStr">
        <is>
          <t>Ref.</t>
        </is>
      </c>
      <c r="C7" s="6" t="inlineStr">
        <is>
          <t>Indicator</t>
        </is>
      </c>
      <c r="D7" s="6" t="inlineStr">
        <is>
          <t>Target progress</t>
        </is>
      </c>
      <c r="E7" s="6" t="inlineStr">
        <is>
          <t>Unit 1</t>
        </is>
      </c>
      <c r="F7" s="6" t="inlineStr">
        <is>
          <t>Unit 2</t>
        </is>
      </c>
      <c r="G7" s="6" t="inlineStr">
        <is>
          <t>Unit 3</t>
        </is>
      </c>
      <c r="H7" s="6" t="inlineStr">
        <is>
          <t>Unit 4</t>
        </is>
      </c>
      <c r="I7" s="6" t="inlineStr">
        <is>
          <t>Unit 5</t>
        </is>
      </c>
      <c r="J7" s="6" t="inlineStr">
        <is>
          <t>Unit 6</t>
        </is>
      </c>
      <c r="K7" s="6" t="inlineStr">
        <is>
          <t>Unit 7</t>
        </is>
      </c>
      <c r="L7" s="6" t="inlineStr">
        <is>
          <t>Unit 8</t>
        </is>
      </c>
      <c r="M7" s="6" t="inlineStr">
        <is>
          <t>Target score (text)</t>
        </is>
      </c>
      <c r="N7" s="6" t="inlineStr">
        <is>
          <t>Threshold status (SR25 rule)</t>
        </is>
      </c>
      <c r="O7" s="6" t="inlineStr">
        <is>
          <t>Reviewer notes</t>
        </is>
      </c>
    </row>
    <row r="8">
      <c r="B8" s="7" t="inlineStr">
        <is>
          <t>EE1(a)</t>
        </is>
      </c>
      <c r="C8" s="12" t="inlineStr">
        <is>
          <t>Evidence of innovative approaches to sustainability teaching and learning</t>
        </is>
      </c>
      <c r="D8" s="30" t="inlineStr">
        <is>
          <t>Unit</t>
        </is>
      </c>
      <c r="E8" s="30" t="inlineStr">
        <is>
          <t>ABP</t>
        </is>
      </c>
      <c r="F8" s="30" t="inlineStr">
        <is>
          <t>ARTS</t>
        </is>
      </c>
      <c r="G8" s="30" t="inlineStr">
        <is>
          <t>FBE</t>
        </is>
      </c>
      <c r="H8" s="30" t="inlineStr">
        <is>
          <t>SCI</t>
        </is>
      </c>
      <c r="I8" s="30" t="inlineStr">
        <is>
          <t>CI&amp;S – Sustainability Strategy</t>
        </is>
      </c>
      <c r="M8" s="31">
        <f>'A1. Data scoring'!AC11</f>
        <v/>
      </c>
      <c r="N8" s="31">
        <f>'A1. Data scoring'!AF11</f>
        <v/>
      </c>
      <c r="O8" s="8" t="n"/>
    </row>
    <row r="9" ht="18" customHeight="1">
      <c r="B9" s="32" t="inlineStr">
        <is>
          <t>EE1(a)</t>
        </is>
      </c>
      <c r="D9" s="29" t="inlineStr">
        <is>
          <t>Confirm end-2026 target status</t>
        </is>
      </c>
      <c r="E9" s="33">
        <f>'A1. Data scoring'!H11</f>
        <v/>
      </c>
      <c r="F9" s="33">
        <f>'A1. Data scoring'!I11</f>
        <v/>
      </c>
      <c r="G9" s="33">
        <f>'A1. Data scoring'!J11</f>
        <v/>
      </c>
      <c r="H9" s="33">
        <f>'A1. Data scoring'!K11</f>
        <v/>
      </c>
      <c r="I9" s="33">
        <f>'A1. Data scoring'!M11</f>
        <v/>
      </c>
      <c r="O9" s="34" t="n"/>
    </row>
    <row r="10" ht="60" customHeight="1">
      <c r="B10" s="32" t="inlineStr">
        <is>
          <t>EE1(a)</t>
        </is>
      </c>
      <c r="D10" s="29" t="inlineStr">
        <is>
          <t>OPTION 1:  Target-level reporting</t>
        </is>
      </c>
      <c r="E10" s="33">
        <f>'A1. Data scoring'!H12</f>
        <v/>
      </c>
      <c r="F10" s="33">
        <f>'A1. Data scoring'!I12</f>
        <v/>
      </c>
      <c r="G10" s="33">
        <f>'A1. Data scoring'!J12</f>
        <v/>
      </c>
      <c r="H10" s="33">
        <f>'A1. Data scoring'!K12</f>
        <v/>
      </c>
      <c r="I10" s="33">
        <f>'A1. Data scoring'!M12</f>
        <v/>
      </c>
      <c r="O10" s="34" t="n"/>
    </row>
    <row r="11" ht="60" customHeight="1">
      <c r="B11" s="32" t="inlineStr">
        <is>
          <t>EE1(a)</t>
        </is>
      </c>
      <c r="D11" s="29" t="inlineStr">
        <is>
          <t>OPTION 2:  Indicator level reporting</t>
        </is>
      </c>
      <c r="E11" s="33">
        <f>'A1. Data scoring'!H13</f>
        <v/>
      </c>
      <c r="F11" s="33">
        <f>'A1. Data scoring'!I13</f>
        <v/>
      </c>
      <c r="G11" s="33">
        <f>'A1. Data scoring'!J13</f>
        <v/>
      </c>
      <c r="H11" s="33">
        <f>'A1. Data scoring'!K13</f>
        <v/>
      </c>
      <c r="I11" s="33">
        <f>'A1. Data scoring'!M13</f>
        <v/>
      </c>
      <c r="O11" s="34" t="n"/>
    </row>
    <row r="12" ht="18" customHeight="1">
      <c r="B12" s="32" t="inlineStr">
        <is>
          <t>EE1(a)</t>
        </is>
      </c>
      <c r="D12" s="29" t="inlineStr">
        <is>
          <t>Supporting information/comments</t>
        </is>
      </c>
      <c r="E12" s="33">
        <f>'A1. Data scoring'!H14</f>
        <v/>
      </c>
      <c r="F12" s="33">
        <f>'A1. Data scoring'!I14</f>
        <v/>
      </c>
      <c r="G12" s="33">
        <f>'A1. Data scoring'!J14</f>
        <v/>
      </c>
      <c r="H12" s="33">
        <f>'A1. Data scoring'!K14</f>
        <v/>
      </c>
      <c r="I12" s="33">
        <f>'A1. Data scoring'!M14</f>
        <v/>
      </c>
      <c r="O12" s="34" t="n"/>
    </row>
    <row r="13" ht="18" customHeight="1">
      <c r="B13" s="32" t="inlineStr">
        <is>
          <t>EE1(a)</t>
        </is>
      </c>
      <c r="D13" s="29" t="inlineStr">
        <is>
          <t>Data source and limitations</t>
        </is>
      </c>
      <c r="E13" s="33">
        <f>'A1. Data scoring'!H15</f>
        <v/>
      </c>
      <c r="F13" s="33">
        <f>'A1. Data scoring'!I15</f>
        <v/>
      </c>
      <c r="G13" s="33">
        <f>'A1. Data scoring'!J15</f>
        <v/>
      </c>
      <c r="H13" s="33">
        <f>'A1. Data scoring'!K15</f>
        <v/>
      </c>
      <c r="I13" s="33">
        <f>'A1. Data scoring'!M15</f>
        <v/>
      </c>
      <c r="O13" s="34" t="n"/>
    </row>
    <row r="14" ht="18" customHeight="1">
      <c r="B14" s="32" t="inlineStr">
        <is>
          <t>EE1(a)</t>
        </is>
      </c>
      <c r="D14" s="29" t="inlineStr">
        <is>
          <t>Data owner confirms</t>
        </is>
      </c>
      <c r="E14" s="33">
        <f>'A1. Data scoring'!H16</f>
        <v/>
      </c>
      <c r="F14" s="33">
        <f>'A1. Data scoring'!I16</f>
        <v/>
      </c>
      <c r="G14" s="33">
        <f>'A1. Data scoring'!J16</f>
        <v/>
      </c>
      <c r="H14" s="33">
        <f>'A1. Data scoring'!K16</f>
        <v/>
      </c>
      <c r="I14" s="33">
        <f>'A1. Data scoring'!M16</f>
        <v/>
      </c>
      <c r="O14" s="35" t="n"/>
    </row>
    <row r="16">
      <c r="B16" s="7" t="inlineStr">
        <is>
          <t>EE1(b)</t>
        </is>
      </c>
      <c r="C16" s="12" t="inlineStr">
        <is>
          <t>Pilots of possible approaches for understanding and developing students’ sustainability self-efficacy</t>
        </is>
      </c>
      <c r="D16" s="30" t="inlineStr">
        <is>
          <t>Unit</t>
        </is>
      </c>
      <c r="E16" s="30" t="inlineStr">
        <is>
          <t>ABP</t>
        </is>
      </c>
      <c r="F16" s="30" t="inlineStr">
        <is>
          <t>ARTS</t>
        </is>
      </c>
      <c r="G16" s="30" t="inlineStr">
        <is>
          <t>FBE</t>
        </is>
      </c>
      <c r="H16" s="30" t="inlineStr">
        <is>
          <t>SCI</t>
        </is>
      </c>
      <c r="I16" s="30" t="inlineStr">
        <is>
          <t>CI&amp;S – Sustainability Strategy</t>
        </is>
      </c>
      <c r="M16" s="31">
        <f>'A1. Data scoring'!AC17</f>
        <v/>
      </c>
      <c r="N16" s="31">
        <f>'A1. Data scoring'!AF17</f>
        <v/>
      </c>
      <c r="O16" s="8" t="n"/>
    </row>
    <row r="17" ht="18" customHeight="1">
      <c r="B17" s="32" t="inlineStr">
        <is>
          <t>EE1(b)</t>
        </is>
      </c>
      <c r="D17" s="29" t="inlineStr">
        <is>
          <t>Confirm end-2026 target status</t>
        </is>
      </c>
      <c r="E17" s="33">
        <f>'A1. Data scoring'!H17</f>
        <v/>
      </c>
      <c r="F17" s="33">
        <f>'A1. Data scoring'!I17</f>
        <v/>
      </c>
      <c r="G17" s="33">
        <f>'A1. Data scoring'!J17</f>
        <v/>
      </c>
      <c r="H17" s="33">
        <f>'A1. Data scoring'!K17</f>
        <v/>
      </c>
      <c r="I17" s="33">
        <f>'A1. Data scoring'!M17</f>
        <v/>
      </c>
      <c r="O17" s="34" t="n"/>
    </row>
    <row r="18" ht="60" customHeight="1">
      <c r="B18" s="32" t="inlineStr">
        <is>
          <t>EE1(b)</t>
        </is>
      </c>
      <c r="D18" s="29" t="inlineStr">
        <is>
          <t>OPTION 1:  Target-level reporting</t>
        </is>
      </c>
      <c r="E18" s="33">
        <f>'A1. Data scoring'!H18</f>
        <v/>
      </c>
      <c r="F18" s="33">
        <f>'A1. Data scoring'!I18</f>
        <v/>
      </c>
      <c r="G18" s="33">
        <f>'A1. Data scoring'!J18</f>
        <v/>
      </c>
      <c r="H18" s="33">
        <f>'A1. Data scoring'!K18</f>
        <v/>
      </c>
      <c r="I18" s="33">
        <f>'A1. Data scoring'!M18</f>
        <v/>
      </c>
      <c r="O18" s="34" t="n"/>
    </row>
    <row r="19" ht="60" customHeight="1">
      <c r="B19" s="32" t="inlineStr">
        <is>
          <t>EE1(b)</t>
        </is>
      </c>
      <c r="D19" s="29" t="inlineStr">
        <is>
          <t>OPTION 2:  Indicator level reporting</t>
        </is>
      </c>
      <c r="E19" s="33">
        <f>'A1. Data scoring'!H19</f>
        <v/>
      </c>
      <c r="F19" s="33">
        <f>'A1. Data scoring'!I19</f>
        <v/>
      </c>
      <c r="G19" s="33">
        <f>'A1. Data scoring'!J19</f>
        <v/>
      </c>
      <c r="H19" s="33">
        <f>'A1. Data scoring'!K19</f>
        <v/>
      </c>
      <c r="I19" s="33">
        <f>'A1. Data scoring'!M19</f>
        <v/>
      </c>
      <c r="O19" s="34" t="n"/>
    </row>
    <row r="20" ht="18" customHeight="1">
      <c r="B20" s="32" t="inlineStr">
        <is>
          <t>EE1(b)</t>
        </is>
      </c>
      <c r="D20" s="29" t="inlineStr">
        <is>
          <t>Supporting information/comments</t>
        </is>
      </c>
      <c r="E20" s="33">
        <f>'A1. Data scoring'!H20</f>
        <v/>
      </c>
      <c r="F20" s="33">
        <f>'A1. Data scoring'!I20</f>
        <v/>
      </c>
      <c r="G20" s="33">
        <f>'A1. Data scoring'!J20</f>
        <v/>
      </c>
      <c r="H20" s="33">
        <f>'A1. Data scoring'!K20</f>
        <v/>
      </c>
      <c r="I20" s="33">
        <f>'A1. Data scoring'!M20</f>
        <v/>
      </c>
      <c r="O20" s="34" t="n"/>
    </row>
    <row r="21" ht="18" customHeight="1">
      <c r="B21" s="32" t="inlineStr">
        <is>
          <t>EE1(b)</t>
        </is>
      </c>
      <c r="D21" s="29" t="inlineStr">
        <is>
          <t>Data source and limitations</t>
        </is>
      </c>
      <c r="E21" s="33">
        <f>'A1. Data scoring'!H21</f>
        <v/>
      </c>
      <c r="F21" s="33">
        <f>'A1. Data scoring'!I21</f>
        <v/>
      </c>
      <c r="G21" s="33">
        <f>'A1. Data scoring'!J21</f>
        <v/>
      </c>
      <c r="H21" s="33">
        <f>'A1. Data scoring'!K21</f>
        <v/>
      </c>
      <c r="I21" s="33">
        <f>'A1. Data scoring'!M21</f>
        <v/>
      </c>
      <c r="O21" s="34" t="n"/>
    </row>
    <row r="22" ht="18" customHeight="1">
      <c r="B22" s="32" t="inlineStr">
        <is>
          <t>EE1(b)</t>
        </is>
      </c>
      <c r="D22" s="29" t="inlineStr">
        <is>
          <t>Data owner confirms</t>
        </is>
      </c>
      <c r="E22" s="33">
        <f>'A1. Data scoring'!H22</f>
        <v/>
      </c>
      <c r="F22" s="33">
        <f>'A1. Data scoring'!I22</f>
        <v/>
      </c>
      <c r="G22" s="33">
        <f>'A1. Data scoring'!J22</f>
        <v/>
      </c>
      <c r="H22" s="33">
        <f>'A1. Data scoring'!K22</f>
        <v/>
      </c>
      <c r="I22" s="33">
        <f>'A1. Data scoring'!M22</f>
        <v/>
      </c>
      <c r="O22" s="35" t="n"/>
    </row>
    <row r="24">
      <c r="B24" s="7" t="inlineStr">
        <is>
          <t>EE1(c)</t>
        </is>
      </c>
      <c r="C24" s="12" t="inlineStr">
        <is>
          <t>Evidence of sustainability focused experiential and co curricular learning (eg Wattle Fellowship; Melbourne Plus)</t>
        </is>
      </c>
      <c r="D24" s="30" t="inlineStr">
        <is>
          <t>Unit</t>
        </is>
      </c>
      <c r="E24" s="30" t="inlineStr">
        <is>
          <t>ABP</t>
        </is>
      </c>
      <c r="F24" s="30" t="inlineStr">
        <is>
          <t>ARTS</t>
        </is>
      </c>
      <c r="G24" s="30" t="inlineStr">
        <is>
          <t>FBE</t>
        </is>
      </c>
      <c r="H24" s="30" t="inlineStr">
        <is>
          <t>SCI</t>
        </is>
      </c>
      <c r="I24" s="30" t="inlineStr">
        <is>
          <t>CI&amp;S – Sustainability Strategy</t>
        </is>
      </c>
      <c r="M24" s="31">
        <f>'A1. Data scoring'!AC23</f>
        <v/>
      </c>
      <c r="N24" s="31">
        <f>'A1. Data scoring'!AF23</f>
        <v/>
      </c>
      <c r="O24" s="8" t="n"/>
    </row>
    <row r="25" ht="18" customHeight="1">
      <c r="B25" s="32" t="inlineStr">
        <is>
          <t>EE1(c)</t>
        </is>
      </c>
      <c r="D25" s="29" t="inlineStr">
        <is>
          <t>Confirm end-2026 target status</t>
        </is>
      </c>
      <c r="E25" s="33">
        <f>'A1. Data scoring'!H23</f>
        <v/>
      </c>
      <c r="F25" s="33">
        <f>'A1. Data scoring'!I23</f>
        <v/>
      </c>
      <c r="G25" s="33">
        <f>'A1. Data scoring'!J23</f>
        <v/>
      </c>
      <c r="H25" s="33">
        <f>'A1. Data scoring'!K23</f>
        <v/>
      </c>
      <c r="I25" s="33">
        <f>'A1. Data scoring'!M23</f>
        <v/>
      </c>
      <c r="O25" s="34" t="n"/>
    </row>
    <row r="26" ht="60" customHeight="1">
      <c r="B26" s="32" t="inlineStr">
        <is>
          <t>EE1(c)</t>
        </is>
      </c>
      <c r="D26" s="29" t="inlineStr">
        <is>
          <t>OPTION 1:  Target-level reporting</t>
        </is>
      </c>
      <c r="E26" s="33">
        <f>'A1. Data scoring'!H24</f>
        <v/>
      </c>
      <c r="F26" s="33">
        <f>'A1. Data scoring'!I24</f>
        <v/>
      </c>
      <c r="G26" s="33">
        <f>'A1. Data scoring'!J24</f>
        <v/>
      </c>
      <c r="H26" s="33">
        <f>'A1. Data scoring'!K24</f>
        <v/>
      </c>
      <c r="I26" s="33">
        <f>'A1. Data scoring'!M24</f>
        <v/>
      </c>
      <c r="O26" s="34" t="n"/>
    </row>
    <row r="27" ht="60" customHeight="1">
      <c r="B27" s="32" t="inlineStr">
        <is>
          <t>EE1(c)</t>
        </is>
      </c>
      <c r="D27" s="29" t="inlineStr">
        <is>
          <t>OPTION 2:  Indicator level reporting</t>
        </is>
      </c>
      <c r="E27" s="33">
        <f>'A1. Data scoring'!H25</f>
        <v/>
      </c>
      <c r="F27" s="33">
        <f>'A1. Data scoring'!I25</f>
        <v/>
      </c>
      <c r="G27" s="33">
        <f>'A1. Data scoring'!J25</f>
        <v/>
      </c>
      <c r="H27" s="33">
        <f>'A1. Data scoring'!K25</f>
        <v/>
      </c>
      <c r="I27" s="33">
        <f>'A1. Data scoring'!M25</f>
        <v/>
      </c>
      <c r="O27" s="34" t="n"/>
    </row>
    <row r="28" ht="18" customHeight="1">
      <c r="B28" s="32" t="inlineStr">
        <is>
          <t>EE1(c)</t>
        </is>
      </c>
      <c r="D28" s="29" t="inlineStr">
        <is>
          <t>Supporting information/comments</t>
        </is>
      </c>
      <c r="E28" s="33">
        <f>'A1. Data scoring'!H26</f>
        <v/>
      </c>
      <c r="F28" s="33">
        <f>'A1. Data scoring'!I26</f>
        <v/>
      </c>
      <c r="G28" s="33">
        <f>'A1. Data scoring'!J26</f>
        <v/>
      </c>
      <c r="H28" s="33">
        <f>'A1. Data scoring'!K26</f>
        <v/>
      </c>
      <c r="I28" s="33">
        <f>'A1. Data scoring'!M26</f>
        <v/>
      </c>
      <c r="O28" s="34" t="n"/>
    </row>
    <row r="29" ht="18" customHeight="1">
      <c r="B29" s="32" t="inlineStr">
        <is>
          <t>EE1(c)</t>
        </is>
      </c>
      <c r="D29" s="29" t="inlineStr">
        <is>
          <t>Data source and limitations</t>
        </is>
      </c>
      <c r="E29" s="33">
        <f>'A1. Data scoring'!H27</f>
        <v/>
      </c>
      <c r="F29" s="33">
        <f>'A1. Data scoring'!I27</f>
        <v/>
      </c>
      <c r="G29" s="33">
        <f>'A1. Data scoring'!J27</f>
        <v/>
      </c>
      <c r="H29" s="33">
        <f>'A1. Data scoring'!K27</f>
        <v/>
      </c>
      <c r="I29" s="33">
        <f>'A1. Data scoring'!M27</f>
        <v/>
      </c>
      <c r="O29" s="34" t="n"/>
    </row>
    <row r="30" ht="18" customHeight="1">
      <c r="B30" s="32" t="inlineStr">
        <is>
          <t>EE1(c)</t>
        </is>
      </c>
      <c r="D30" s="29" t="inlineStr">
        <is>
          <t>Data owner confirms</t>
        </is>
      </c>
      <c r="E30" s="33">
        <f>'A1. Data scoring'!H28</f>
        <v/>
      </c>
      <c r="F30" s="33">
        <f>'A1. Data scoring'!I28</f>
        <v/>
      </c>
      <c r="G30" s="33">
        <f>'A1. Data scoring'!J28</f>
        <v/>
      </c>
      <c r="H30" s="33">
        <f>'A1. Data scoring'!K28</f>
        <v/>
      </c>
      <c r="I30" s="33">
        <f>'A1. Data scoring'!M28</f>
        <v/>
      </c>
      <c r="O30" s="35" t="n"/>
    </row>
    <row r="32">
      <c r="B32" s="7" t="inlineStr">
        <is>
          <t>EE1(d)</t>
        </is>
      </c>
      <c r="C32" s="12" t="inlineStr">
        <is>
          <t>Alumni profiles demonstrating how graduates contribute to sustainability through their careers or communities.</t>
        </is>
      </c>
      <c r="D32" s="30" t="inlineStr">
        <is>
          <t>Unit</t>
        </is>
      </c>
      <c r="E32" s="30" t="inlineStr">
        <is>
          <t>ABP</t>
        </is>
      </c>
      <c r="F32" s="30" t="inlineStr">
        <is>
          <t>ARTS</t>
        </is>
      </c>
      <c r="G32" s="30" t="inlineStr">
        <is>
          <t>FBE</t>
        </is>
      </c>
      <c r="H32" s="30" t="inlineStr">
        <is>
          <t>SCI</t>
        </is>
      </c>
      <c r="I32" s="30" t="inlineStr">
        <is>
          <t>CI&amp;S – Sustainability Strategy</t>
        </is>
      </c>
      <c r="M32" s="31">
        <f>'A1. Data scoring'!AC29</f>
        <v/>
      </c>
      <c r="N32" s="31">
        <f>'A1. Data scoring'!AF29</f>
        <v/>
      </c>
      <c r="O32" s="8" t="n"/>
    </row>
    <row r="33" ht="18" customHeight="1">
      <c r="B33" s="32" t="inlineStr">
        <is>
          <t>EE1(d)</t>
        </is>
      </c>
      <c r="D33" s="29" t="inlineStr">
        <is>
          <t>Confirm end-2026 target status</t>
        </is>
      </c>
      <c r="E33" s="33">
        <f>'A1. Data scoring'!H29</f>
        <v/>
      </c>
      <c r="F33" s="33">
        <f>'A1. Data scoring'!I29</f>
        <v/>
      </c>
      <c r="G33" s="33">
        <f>'A1. Data scoring'!J29</f>
        <v/>
      </c>
      <c r="H33" s="33">
        <f>'A1. Data scoring'!K29</f>
        <v/>
      </c>
      <c r="I33" s="33">
        <f>'A1. Data scoring'!M29</f>
        <v/>
      </c>
      <c r="O33" s="34" t="n"/>
    </row>
    <row r="34" ht="60" customHeight="1">
      <c r="B34" s="32" t="inlineStr">
        <is>
          <t>EE1(d)</t>
        </is>
      </c>
      <c r="D34" s="29" t="inlineStr">
        <is>
          <t>OPTION 1:  Target-level reporting</t>
        </is>
      </c>
      <c r="E34" s="33">
        <f>'A1. Data scoring'!H30</f>
        <v/>
      </c>
      <c r="F34" s="33">
        <f>'A1. Data scoring'!I30</f>
        <v/>
      </c>
      <c r="G34" s="33">
        <f>'A1. Data scoring'!J30</f>
        <v/>
      </c>
      <c r="H34" s="33">
        <f>'A1. Data scoring'!K30</f>
        <v/>
      </c>
      <c r="I34" s="33">
        <f>'A1. Data scoring'!M30</f>
        <v/>
      </c>
      <c r="O34" s="34" t="n"/>
    </row>
    <row r="35" ht="60" customHeight="1">
      <c r="B35" s="32" t="inlineStr">
        <is>
          <t>EE1(d)</t>
        </is>
      </c>
      <c r="D35" s="29" t="inlineStr">
        <is>
          <t>OPTION 2:  Indicator level reporting</t>
        </is>
      </c>
      <c r="E35" s="33">
        <f>'A1. Data scoring'!H31</f>
        <v/>
      </c>
      <c r="F35" s="33">
        <f>'A1. Data scoring'!I31</f>
        <v/>
      </c>
      <c r="G35" s="33">
        <f>'A1. Data scoring'!J31</f>
        <v/>
      </c>
      <c r="H35" s="33">
        <f>'A1. Data scoring'!K31</f>
        <v/>
      </c>
      <c r="I35" s="33">
        <f>'A1. Data scoring'!M31</f>
        <v/>
      </c>
      <c r="O35" s="34" t="n"/>
    </row>
    <row r="36" ht="18" customHeight="1">
      <c r="B36" s="32" t="inlineStr">
        <is>
          <t>EE1(d)</t>
        </is>
      </c>
      <c r="D36" s="29" t="inlineStr">
        <is>
          <t>Supporting information/comments</t>
        </is>
      </c>
      <c r="E36" s="33">
        <f>'A1. Data scoring'!H32</f>
        <v/>
      </c>
      <c r="F36" s="33">
        <f>'A1. Data scoring'!I32</f>
        <v/>
      </c>
      <c r="G36" s="33">
        <f>'A1. Data scoring'!J32</f>
        <v/>
      </c>
      <c r="H36" s="33">
        <f>'A1. Data scoring'!K32</f>
        <v/>
      </c>
      <c r="I36" s="33">
        <f>'A1. Data scoring'!M32</f>
        <v/>
      </c>
      <c r="O36" s="34" t="n"/>
    </row>
    <row r="37" ht="18" customHeight="1">
      <c r="B37" s="32" t="inlineStr">
        <is>
          <t>EE1(d)</t>
        </is>
      </c>
      <c r="D37" s="29" t="inlineStr">
        <is>
          <t>Data source and limitations</t>
        </is>
      </c>
      <c r="E37" s="33">
        <f>'A1. Data scoring'!H33</f>
        <v/>
      </c>
      <c r="F37" s="33">
        <f>'A1. Data scoring'!I33</f>
        <v/>
      </c>
      <c r="G37" s="33">
        <f>'A1. Data scoring'!J33</f>
        <v/>
      </c>
      <c r="H37" s="33">
        <f>'A1. Data scoring'!K33</f>
        <v/>
      </c>
      <c r="I37" s="33">
        <f>'A1. Data scoring'!M33</f>
        <v/>
      </c>
      <c r="O37" s="34" t="n"/>
    </row>
    <row r="38" ht="18" customHeight="1">
      <c r="B38" s="32" t="inlineStr">
        <is>
          <t>EE1(d)</t>
        </is>
      </c>
      <c r="D38" s="29" t="inlineStr">
        <is>
          <t>Data owner confirms</t>
        </is>
      </c>
      <c r="E38" s="33">
        <f>'A1. Data scoring'!H34</f>
        <v/>
      </c>
      <c r="F38" s="33">
        <f>'A1. Data scoring'!I34</f>
        <v/>
      </c>
      <c r="G38" s="33">
        <f>'A1. Data scoring'!J34</f>
        <v/>
      </c>
      <c r="H38" s="33">
        <f>'A1. Data scoring'!K34</f>
        <v/>
      </c>
      <c r="I38" s="33">
        <f>'A1. Data scoring'!M34</f>
        <v/>
      </c>
      <c r="O38" s="35" t="n"/>
    </row>
    <row r="40">
      <c r="B40" s="7" t="inlineStr">
        <is>
          <t>TR1(a)</t>
        </is>
      </c>
      <c r="C40" s="12" t="inlineStr">
        <is>
          <t>Expert-reviewed evidence of researchers contributing to operational sustainability priorities through partnerships, advisory input, living labs, applied projects or decision-support</t>
        </is>
      </c>
      <c r="D40" s="30" t="inlineStr">
        <is>
          <t>Unit</t>
        </is>
      </c>
      <c r="E40" s="30" t="inlineStr">
        <is>
          <t>ABP</t>
        </is>
      </c>
      <c r="F40" s="30" t="inlineStr">
        <is>
          <t>ARTS</t>
        </is>
      </c>
      <c r="G40" s="30" t="inlineStr">
        <is>
          <t>FBE</t>
        </is>
      </c>
      <c r="H40" s="30" t="inlineStr">
        <is>
          <t>SCI</t>
        </is>
      </c>
      <c r="I40" s="30" t="inlineStr">
        <is>
          <t>CI&amp;S – Sustainability Strategy</t>
        </is>
      </c>
      <c r="M40" s="31">
        <f>'A1. Data scoring'!AC35</f>
        <v/>
      </c>
      <c r="N40" s="31">
        <f>'A1. Data scoring'!AF35</f>
        <v/>
      </c>
      <c r="O40" s="8" t="n"/>
    </row>
    <row r="41" ht="18" customHeight="1">
      <c r="B41" s="32" t="inlineStr">
        <is>
          <t>TR1(a)</t>
        </is>
      </c>
      <c r="D41" s="29" t="inlineStr">
        <is>
          <t>Confirm end-2026 target status</t>
        </is>
      </c>
      <c r="E41" s="33">
        <f>'A1. Data scoring'!H35</f>
        <v/>
      </c>
      <c r="F41" s="33">
        <f>'A1. Data scoring'!I35</f>
        <v/>
      </c>
      <c r="G41" s="33">
        <f>'A1. Data scoring'!J35</f>
        <v/>
      </c>
      <c r="H41" s="33">
        <f>'A1. Data scoring'!K35</f>
        <v/>
      </c>
      <c r="I41" s="33">
        <f>'A1. Data scoring'!M35</f>
        <v/>
      </c>
      <c r="O41" s="34" t="n"/>
    </row>
    <row r="42" ht="60" customHeight="1">
      <c r="B42" s="32" t="inlineStr">
        <is>
          <t>TR1(a)</t>
        </is>
      </c>
      <c r="D42" s="29" t="inlineStr">
        <is>
          <t>OPTION 1:  Target-level reporting</t>
        </is>
      </c>
      <c r="E42" s="33">
        <f>'A1. Data scoring'!H36</f>
        <v/>
      </c>
      <c r="F42" s="33">
        <f>'A1. Data scoring'!I36</f>
        <v/>
      </c>
      <c r="G42" s="33">
        <f>'A1. Data scoring'!J36</f>
        <v/>
      </c>
      <c r="H42" s="33">
        <f>'A1. Data scoring'!K36</f>
        <v/>
      </c>
      <c r="I42" s="33">
        <f>'A1. Data scoring'!M36</f>
        <v/>
      </c>
      <c r="O42" s="34" t="n"/>
    </row>
    <row r="43" ht="60" customHeight="1">
      <c r="B43" s="32" t="inlineStr">
        <is>
          <t>TR1(a)</t>
        </is>
      </c>
      <c r="D43" s="29" t="inlineStr">
        <is>
          <t>OPTION 2:  Indicator level reporting</t>
        </is>
      </c>
      <c r="E43" s="33">
        <f>'A1. Data scoring'!H37</f>
        <v/>
      </c>
      <c r="F43" s="33">
        <f>'A1. Data scoring'!I37</f>
        <v/>
      </c>
      <c r="G43" s="33">
        <f>'A1. Data scoring'!J37</f>
        <v/>
      </c>
      <c r="H43" s="33">
        <f>'A1. Data scoring'!K37</f>
        <v/>
      </c>
      <c r="I43" s="33">
        <f>'A1. Data scoring'!M37</f>
        <v/>
      </c>
      <c r="O43" s="34" t="n"/>
    </row>
    <row r="44" ht="18" customHeight="1">
      <c r="B44" s="32" t="inlineStr">
        <is>
          <t>TR1(a)</t>
        </is>
      </c>
      <c r="D44" s="29" t="inlineStr">
        <is>
          <t>Supporting information/comments</t>
        </is>
      </c>
      <c r="E44" s="33">
        <f>'A1. Data scoring'!H38</f>
        <v/>
      </c>
      <c r="F44" s="33">
        <f>'A1. Data scoring'!I38</f>
        <v/>
      </c>
      <c r="G44" s="33">
        <f>'A1. Data scoring'!J38</f>
        <v/>
      </c>
      <c r="H44" s="33">
        <f>'A1. Data scoring'!K38</f>
        <v/>
      </c>
      <c r="I44" s="33">
        <f>'A1. Data scoring'!M38</f>
        <v/>
      </c>
      <c r="O44" s="34" t="n"/>
    </row>
    <row r="45" ht="18" customHeight="1">
      <c r="B45" s="32" t="inlineStr">
        <is>
          <t>TR1(a)</t>
        </is>
      </c>
      <c r="D45" s="29" t="inlineStr">
        <is>
          <t>Data source and limitations</t>
        </is>
      </c>
      <c r="E45" s="33">
        <f>'A1. Data scoring'!H39</f>
        <v/>
      </c>
      <c r="F45" s="33">
        <f>'A1. Data scoring'!I39</f>
        <v/>
      </c>
      <c r="G45" s="33">
        <f>'A1. Data scoring'!J39</f>
        <v/>
      </c>
      <c r="H45" s="33">
        <f>'A1. Data scoring'!K39</f>
        <v/>
      </c>
      <c r="I45" s="33">
        <f>'A1. Data scoring'!M39</f>
        <v/>
      </c>
      <c r="O45" s="34" t="n"/>
    </row>
    <row r="46" ht="18" customHeight="1">
      <c r="B46" s="32" t="inlineStr">
        <is>
          <t>TR1(a)</t>
        </is>
      </c>
      <c r="D46" s="29" t="inlineStr">
        <is>
          <t>Data owner confirms</t>
        </is>
      </c>
      <c r="E46" s="33">
        <f>'A1. Data scoring'!H40</f>
        <v/>
      </c>
      <c r="F46" s="33">
        <f>'A1. Data scoring'!I40</f>
        <v/>
      </c>
      <c r="G46" s="33">
        <f>'A1. Data scoring'!J40</f>
        <v/>
      </c>
      <c r="H46" s="33">
        <f>'A1. Data scoring'!K40</f>
        <v/>
      </c>
      <c r="I46" s="33">
        <f>'A1. Data scoring'!M40</f>
        <v/>
      </c>
      <c r="O46" s="35" t="n"/>
    </row>
    <row r="48">
      <c r="B48" s="7" t="inlineStr">
        <is>
          <t>TR1(b)</t>
        </is>
      </c>
      <c r="C48" s="12" t="inlineStr">
        <is>
          <t>Evidence of institutional pathways that enable ongoing collaboration between academic and professional staff</t>
        </is>
      </c>
      <c r="D48" s="30" t="inlineStr">
        <is>
          <t>Unit</t>
        </is>
      </c>
      <c r="E48" s="30" t="inlineStr">
        <is>
          <t>ABP</t>
        </is>
      </c>
      <c r="F48" s="30" t="inlineStr">
        <is>
          <t>ARTS</t>
        </is>
      </c>
      <c r="G48" s="30" t="inlineStr">
        <is>
          <t>FBE</t>
        </is>
      </c>
      <c r="H48" s="30" t="inlineStr">
        <is>
          <t>SCI</t>
        </is>
      </c>
      <c r="M48" s="31">
        <f>'A1. Data scoring'!AC41</f>
        <v/>
      </c>
      <c r="N48" s="31">
        <f>'A1. Data scoring'!AF41</f>
        <v/>
      </c>
      <c r="O48" s="8" t="n"/>
    </row>
    <row r="49" ht="18" customHeight="1">
      <c r="B49" s="32" t="inlineStr">
        <is>
          <t>TR1(b)</t>
        </is>
      </c>
      <c r="D49" s="29" t="inlineStr">
        <is>
          <t>Confirm end-2026 target status</t>
        </is>
      </c>
      <c r="E49" s="33">
        <f>'A1. Data scoring'!H41</f>
        <v/>
      </c>
      <c r="F49" s="33">
        <f>'A1. Data scoring'!I41</f>
        <v/>
      </c>
      <c r="G49" s="33">
        <f>'A1. Data scoring'!J41</f>
        <v/>
      </c>
      <c r="H49" s="33">
        <f>'A1. Data scoring'!K41</f>
        <v/>
      </c>
      <c r="O49" s="34" t="n"/>
    </row>
    <row r="50" ht="60" customHeight="1">
      <c r="B50" s="32" t="inlineStr">
        <is>
          <t>TR1(b)</t>
        </is>
      </c>
      <c r="D50" s="29" t="inlineStr">
        <is>
          <t>OPTION 1:  Target-level reporting</t>
        </is>
      </c>
      <c r="E50" s="33">
        <f>'A1. Data scoring'!H42</f>
        <v/>
      </c>
      <c r="F50" s="33">
        <f>'A1. Data scoring'!I42</f>
        <v/>
      </c>
      <c r="G50" s="33">
        <f>'A1. Data scoring'!J42</f>
        <v/>
      </c>
      <c r="H50" s="33">
        <f>'A1. Data scoring'!K42</f>
        <v/>
      </c>
      <c r="O50" s="34" t="n"/>
    </row>
    <row r="51" ht="60" customHeight="1">
      <c r="B51" s="32" t="inlineStr">
        <is>
          <t>TR1(b)</t>
        </is>
      </c>
      <c r="D51" s="29" t="inlineStr">
        <is>
          <t>OPTION 2:  Indicator level reporting</t>
        </is>
      </c>
      <c r="E51" s="33">
        <f>'A1. Data scoring'!H43</f>
        <v/>
      </c>
      <c r="F51" s="33">
        <f>'A1. Data scoring'!I43</f>
        <v/>
      </c>
      <c r="G51" s="33">
        <f>'A1. Data scoring'!J43</f>
        <v/>
      </c>
      <c r="H51" s="33">
        <f>'A1. Data scoring'!K43</f>
        <v/>
      </c>
      <c r="O51" s="34" t="n"/>
    </row>
    <row r="52" ht="18" customHeight="1">
      <c r="B52" s="32" t="inlineStr">
        <is>
          <t>TR1(b)</t>
        </is>
      </c>
      <c r="D52" s="29" t="inlineStr">
        <is>
          <t>Supporting information/comments</t>
        </is>
      </c>
      <c r="E52" s="33">
        <f>'A1. Data scoring'!H44</f>
        <v/>
      </c>
      <c r="F52" s="33">
        <f>'A1. Data scoring'!I44</f>
        <v/>
      </c>
      <c r="G52" s="33">
        <f>'A1. Data scoring'!J44</f>
        <v/>
      </c>
      <c r="H52" s="33">
        <f>'A1. Data scoring'!K44</f>
        <v/>
      </c>
      <c r="O52" s="34" t="n"/>
    </row>
    <row r="53" ht="18" customHeight="1">
      <c r="B53" s="32" t="inlineStr">
        <is>
          <t>TR1(b)</t>
        </is>
      </c>
      <c r="D53" s="29" t="inlineStr">
        <is>
          <t>Data source and limitations</t>
        </is>
      </c>
      <c r="E53" s="33">
        <f>'A1. Data scoring'!H45</f>
        <v/>
      </c>
      <c r="F53" s="33">
        <f>'A1. Data scoring'!I45</f>
        <v/>
      </c>
      <c r="G53" s="33">
        <f>'A1. Data scoring'!J45</f>
        <v/>
      </c>
      <c r="H53" s="33">
        <f>'A1. Data scoring'!K45</f>
        <v/>
      </c>
      <c r="O53" s="34" t="n"/>
    </row>
    <row r="54" ht="18" customHeight="1">
      <c r="B54" s="32" t="inlineStr">
        <is>
          <t>TR1(b)</t>
        </is>
      </c>
      <c r="D54" s="29" t="inlineStr">
        <is>
          <t>Data owner confirms</t>
        </is>
      </c>
      <c r="E54" s="33">
        <f>'A1. Data scoring'!H46</f>
        <v/>
      </c>
      <c r="F54" s="33">
        <f>'A1. Data scoring'!I46</f>
        <v/>
      </c>
      <c r="G54" s="33">
        <f>'A1. Data scoring'!J46</f>
        <v/>
      </c>
      <c r="H54" s="33">
        <f>'A1. Data scoring'!K46</f>
        <v/>
      </c>
      <c r="O54" s="35" t="n"/>
    </row>
    <row r="56">
      <c r="B56" s="7" t="inlineStr">
        <is>
          <t>TR1(c)</t>
        </is>
      </c>
      <c r="C56" s="12" t="inlineStr">
        <is>
          <t>Expert assessment of the quality, relevance and continuity of these collaborations</t>
        </is>
      </c>
      <c r="D56" s="30" t="inlineStr">
        <is>
          <t>Unit</t>
        </is>
      </c>
      <c r="E56" s="30" t="inlineStr">
        <is>
          <t>ABP</t>
        </is>
      </c>
      <c r="F56" s="30" t="inlineStr">
        <is>
          <t>ARTS</t>
        </is>
      </c>
      <c r="G56" s="30" t="inlineStr">
        <is>
          <t>FBE</t>
        </is>
      </c>
      <c r="H56" s="30" t="inlineStr">
        <is>
          <t>SCI</t>
        </is>
      </c>
      <c r="M56" s="31">
        <f>'A1. Data scoring'!AC47</f>
        <v/>
      </c>
      <c r="N56" s="31">
        <f>'A1. Data scoring'!AF47</f>
        <v/>
      </c>
      <c r="O56" s="8" t="n"/>
    </row>
    <row r="57" ht="18" customHeight="1">
      <c r="B57" s="32" t="inlineStr">
        <is>
          <t>TR1(c)</t>
        </is>
      </c>
      <c r="D57" s="29" t="inlineStr">
        <is>
          <t>Confirm end-2026 target status</t>
        </is>
      </c>
      <c r="E57" s="33">
        <f>'A1. Data scoring'!H47</f>
        <v/>
      </c>
      <c r="F57" s="33">
        <f>'A1. Data scoring'!I47</f>
        <v/>
      </c>
      <c r="G57" s="33">
        <f>'A1. Data scoring'!J47</f>
        <v/>
      </c>
      <c r="H57" s="33">
        <f>'A1. Data scoring'!K47</f>
        <v/>
      </c>
      <c r="O57" s="34" t="n"/>
    </row>
    <row r="58" ht="60" customHeight="1">
      <c r="B58" s="32" t="inlineStr">
        <is>
          <t>TR1(c)</t>
        </is>
      </c>
      <c r="D58" s="29" t="inlineStr">
        <is>
          <t>OPTION 1:  Target-level reporting</t>
        </is>
      </c>
      <c r="E58" s="33">
        <f>'A1. Data scoring'!H48</f>
        <v/>
      </c>
      <c r="F58" s="33">
        <f>'A1. Data scoring'!I48</f>
        <v/>
      </c>
      <c r="G58" s="33">
        <f>'A1. Data scoring'!J48</f>
        <v/>
      </c>
      <c r="H58" s="33">
        <f>'A1. Data scoring'!K48</f>
        <v/>
      </c>
      <c r="O58" s="34" t="n"/>
    </row>
    <row r="59" ht="60" customHeight="1">
      <c r="B59" s="32" t="inlineStr">
        <is>
          <t>TR1(c)</t>
        </is>
      </c>
      <c r="D59" s="29" t="inlineStr">
        <is>
          <t>OPTION 2:  Indicator level reporting</t>
        </is>
      </c>
      <c r="E59" s="33">
        <f>'A1. Data scoring'!H49</f>
        <v/>
      </c>
      <c r="F59" s="33">
        <f>'A1. Data scoring'!I49</f>
        <v/>
      </c>
      <c r="G59" s="33">
        <f>'A1. Data scoring'!J49</f>
        <v/>
      </c>
      <c r="H59" s="33">
        <f>'A1. Data scoring'!K49</f>
        <v/>
      </c>
      <c r="O59" s="34" t="n"/>
    </row>
    <row r="60" ht="18" customHeight="1">
      <c r="B60" s="32" t="inlineStr">
        <is>
          <t>TR1(c)</t>
        </is>
      </c>
      <c r="D60" s="29" t="inlineStr">
        <is>
          <t>Supporting information/comments</t>
        </is>
      </c>
      <c r="E60" s="33">
        <f>'A1. Data scoring'!H50</f>
        <v/>
      </c>
      <c r="F60" s="33">
        <f>'A1. Data scoring'!I50</f>
        <v/>
      </c>
      <c r="G60" s="33">
        <f>'A1. Data scoring'!J50</f>
        <v/>
      </c>
      <c r="H60" s="33">
        <f>'A1. Data scoring'!K50</f>
        <v/>
      </c>
      <c r="O60" s="34" t="n"/>
    </row>
    <row r="61" ht="18" customHeight="1">
      <c r="B61" s="32" t="inlineStr">
        <is>
          <t>TR1(c)</t>
        </is>
      </c>
      <c r="D61" s="29" t="inlineStr">
        <is>
          <t>Data source and limitations</t>
        </is>
      </c>
      <c r="E61" s="33">
        <f>'A1. Data scoring'!H51</f>
        <v/>
      </c>
      <c r="F61" s="33">
        <f>'A1. Data scoring'!I51</f>
        <v/>
      </c>
      <c r="G61" s="33">
        <f>'A1. Data scoring'!J51</f>
        <v/>
      </c>
      <c r="H61" s="33">
        <f>'A1. Data scoring'!K51</f>
        <v/>
      </c>
      <c r="O61" s="34" t="n"/>
    </row>
    <row r="62" ht="18" customHeight="1">
      <c r="B62" s="32" t="inlineStr">
        <is>
          <t>TR1(c)</t>
        </is>
      </c>
      <c r="D62" s="29" t="inlineStr">
        <is>
          <t>Data owner confirms</t>
        </is>
      </c>
      <c r="E62" s="33">
        <f>'A1. Data scoring'!H52</f>
        <v/>
      </c>
      <c r="F62" s="33">
        <f>'A1. Data scoring'!I52</f>
        <v/>
      </c>
      <c r="G62" s="33">
        <f>'A1. Data scoring'!J52</f>
        <v/>
      </c>
      <c r="H62" s="33">
        <f>'A1. Data scoring'!K52</f>
        <v/>
      </c>
      <c r="O62" s="35" t="n"/>
    </row>
    <row r="64">
      <c r="B64" s="7" t="inlineStr">
        <is>
          <t>TR1(d)</t>
        </is>
      </c>
      <c r="C64" s="12" t="inlineStr">
        <is>
          <t>Periodic feedback from participants on the effectiveness and mutual benefit of collaboration mechanisms.</t>
        </is>
      </c>
      <c r="D64" s="30" t="inlineStr">
        <is>
          <t>Unit</t>
        </is>
      </c>
      <c r="E64" s="30" t="inlineStr">
        <is>
          <t>ABP</t>
        </is>
      </c>
      <c r="F64" s="30" t="inlineStr">
        <is>
          <t>ARTS</t>
        </is>
      </c>
      <c r="G64" s="30" t="inlineStr">
        <is>
          <t>FBE</t>
        </is>
      </c>
      <c r="H64" s="30" t="inlineStr">
        <is>
          <t>SCI</t>
        </is>
      </c>
      <c r="M64" s="31">
        <f>'A1. Data scoring'!AC53</f>
        <v/>
      </c>
      <c r="N64" s="31">
        <f>'A1. Data scoring'!AF53</f>
        <v/>
      </c>
      <c r="O64" s="8" t="n"/>
    </row>
    <row r="65" ht="18" customHeight="1">
      <c r="B65" s="32" t="inlineStr">
        <is>
          <t>TR1(d)</t>
        </is>
      </c>
      <c r="D65" s="29" t="inlineStr">
        <is>
          <t>Confirm end-2026 target status</t>
        </is>
      </c>
      <c r="E65" s="33">
        <f>'A1. Data scoring'!H53</f>
        <v/>
      </c>
      <c r="F65" s="33">
        <f>'A1. Data scoring'!I53</f>
        <v/>
      </c>
      <c r="G65" s="33">
        <f>'A1. Data scoring'!J53</f>
        <v/>
      </c>
      <c r="H65" s="33">
        <f>'A1. Data scoring'!K53</f>
        <v/>
      </c>
      <c r="O65" s="34" t="n"/>
    </row>
    <row r="66" ht="60" customHeight="1">
      <c r="B66" s="32" t="inlineStr">
        <is>
          <t>TR1(d)</t>
        </is>
      </c>
      <c r="D66" s="29" t="inlineStr">
        <is>
          <t>OPTION 1:  Target-level reporting</t>
        </is>
      </c>
      <c r="E66" s="33">
        <f>'A1. Data scoring'!H54</f>
        <v/>
      </c>
      <c r="F66" s="33">
        <f>'A1. Data scoring'!I54</f>
        <v/>
      </c>
      <c r="G66" s="33">
        <f>'A1. Data scoring'!J54</f>
        <v/>
      </c>
      <c r="H66" s="33">
        <f>'A1. Data scoring'!K54</f>
        <v/>
      </c>
      <c r="O66" s="34" t="n"/>
    </row>
    <row r="67" ht="60" customHeight="1">
      <c r="B67" s="32" t="inlineStr">
        <is>
          <t>TR1(d)</t>
        </is>
      </c>
      <c r="D67" s="29" t="inlineStr">
        <is>
          <t>OPTION 2:  Indicator level reporting</t>
        </is>
      </c>
      <c r="E67" s="33">
        <f>'A1. Data scoring'!H55</f>
        <v/>
      </c>
      <c r="F67" s="33">
        <f>'A1. Data scoring'!I55</f>
        <v/>
      </c>
      <c r="G67" s="33">
        <f>'A1. Data scoring'!J55</f>
        <v/>
      </c>
      <c r="H67" s="33">
        <f>'A1. Data scoring'!K55</f>
        <v/>
      </c>
      <c r="O67" s="34" t="n"/>
    </row>
    <row r="68" ht="18" customHeight="1">
      <c r="B68" s="32" t="inlineStr">
        <is>
          <t>TR1(d)</t>
        </is>
      </c>
      <c r="D68" s="29" t="inlineStr">
        <is>
          <t>Supporting information/comments</t>
        </is>
      </c>
      <c r="E68" s="33">
        <f>'A1. Data scoring'!H56</f>
        <v/>
      </c>
      <c r="F68" s="33">
        <f>'A1. Data scoring'!I56</f>
        <v/>
      </c>
      <c r="G68" s="33">
        <f>'A1. Data scoring'!J56</f>
        <v/>
      </c>
      <c r="H68" s="33">
        <f>'A1. Data scoring'!K56</f>
        <v/>
      </c>
      <c r="O68" s="34" t="n"/>
    </row>
    <row r="69" ht="18" customHeight="1">
      <c r="B69" s="32" t="inlineStr">
        <is>
          <t>TR1(d)</t>
        </is>
      </c>
      <c r="D69" s="29" t="inlineStr">
        <is>
          <t>Data source and limitations</t>
        </is>
      </c>
      <c r="E69" s="33">
        <f>'A1. Data scoring'!H57</f>
        <v/>
      </c>
      <c r="F69" s="33">
        <f>'A1. Data scoring'!I57</f>
        <v/>
      </c>
      <c r="G69" s="33">
        <f>'A1. Data scoring'!J57</f>
        <v/>
      </c>
      <c r="H69" s="33">
        <f>'A1. Data scoring'!K57</f>
        <v/>
      </c>
      <c r="O69" s="34" t="n"/>
    </row>
    <row r="70" ht="18" customHeight="1">
      <c r="B70" s="32" t="inlineStr">
        <is>
          <t>TR1(d)</t>
        </is>
      </c>
      <c r="D70" s="29" t="inlineStr">
        <is>
          <t>Data owner confirms</t>
        </is>
      </c>
      <c r="E70" s="33">
        <f>'A1. Data scoring'!H58</f>
        <v/>
      </c>
      <c r="F70" s="33">
        <f>'A1. Data scoring'!I58</f>
        <v/>
      </c>
      <c r="G70" s="33">
        <f>'A1. Data scoring'!J58</f>
        <v/>
      </c>
      <c r="H70" s="33">
        <f>'A1. Data scoring'!K58</f>
        <v/>
      </c>
      <c r="O70" s="35" t="n"/>
    </row>
    <row r="72">
      <c r="B72" s="7" t="inlineStr">
        <is>
          <t>TR2(a)</t>
        </is>
      </c>
      <c r="C72" s="12" t="inlineStr">
        <is>
          <t>Evidence of sustainability-related research impact across diverse pathways, could include policy, industry, community, practice, cultural and institutional outcomes</t>
        </is>
      </c>
      <c r="D72" s="30" t="inlineStr">
        <is>
          <t>Unit</t>
        </is>
      </c>
      <c r="E72" s="30" t="inlineStr">
        <is>
          <t>ABP</t>
        </is>
      </c>
      <c r="F72" s="30" t="inlineStr">
        <is>
          <t>ARTS</t>
        </is>
      </c>
      <c r="G72" s="30" t="inlineStr">
        <is>
          <t>FBE</t>
        </is>
      </c>
      <c r="H72" s="30" t="inlineStr">
        <is>
          <t>SCI</t>
        </is>
      </c>
      <c r="M72" s="31">
        <f>'A1. Data scoring'!AC59</f>
        <v/>
      </c>
      <c r="N72" s="31">
        <f>'A1. Data scoring'!AF59</f>
        <v/>
      </c>
      <c r="O72" s="8" t="n"/>
    </row>
    <row r="73" ht="18" customHeight="1">
      <c r="B73" s="32" t="inlineStr">
        <is>
          <t>TR2(a)</t>
        </is>
      </c>
      <c r="D73" s="29" t="inlineStr">
        <is>
          <t>Confirm end-2026 target status</t>
        </is>
      </c>
      <c r="E73" s="33">
        <f>'A1. Data scoring'!H59</f>
        <v/>
      </c>
      <c r="F73" s="33">
        <f>'A1. Data scoring'!I59</f>
        <v/>
      </c>
      <c r="G73" s="33">
        <f>'A1. Data scoring'!J59</f>
        <v/>
      </c>
      <c r="H73" s="33">
        <f>'A1. Data scoring'!K59</f>
        <v/>
      </c>
      <c r="O73" s="34" t="n"/>
    </row>
    <row r="74" ht="60" customHeight="1">
      <c r="B74" s="32" t="inlineStr">
        <is>
          <t>TR2(a)</t>
        </is>
      </c>
      <c r="D74" s="29" t="inlineStr">
        <is>
          <t>OPTION 1:  Target-level reporting</t>
        </is>
      </c>
      <c r="E74" s="33">
        <f>'A1. Data scoring'!H60</f>
        <v/>
      </c>
      <c r="F74" s="33">
        <f>'A1. Data scoring'!I60</f>
        <v/>
      </c>
      <c r="G74" s="33">
        <f>'A1. Data scoring'!J60</f>
        <v/>
      </c>
      <c r="H74" s="33">
        <f>'A1. Data scoring'!K60</f>
        <v/>
      </c>
      <c r="O74" s="34" t="n"/>
    </row>
    <row r="75" ht="60" customHeight="1">
      <c r="B75" s="32" t="inlineStr">
        <is>
          <t>TR2(a)</t>
        </is>
      </c>
      <c r="D75" s="29" t="inlineStr">
        <is>
          <t>OPTION 2:  Indicator level reporting</t>
        </is>
      </c>
      <c r="E75" s="33">
        <f>'A1. Data scoring'!H61</f>
        <v/>
      </c>
      <c r="F75" s="33">
        <f>'A1. Data scoring'!I61</f>
        <v/>
      </c>
      <c r="G75" s="33">
        <f>'A1. Data scoring'!J61</f>
        <v/>
      </c>
      <c r="H75" s="33">
        <f>'A1. Data scoring'!K61</f>
        <v/>
      </c>
      <c r="O75" s="34" t="n"/>
    </row>
    <row r="76" ht="18" customHeight="1">
      <c r="B76" s="32" t="inlineStr">
        <is>
          <t>TR2(a)</t>
        </is>
      </c>
      <c r="D76" s="29" t="inlineStr">
        <is>
          <t>Supporting information/comments</t>
        </is>
      </c>
      <c r="E76" s="33">
        <f>'A1. Data scoring'!H62</f>
        <v/>
      </c>
      <c r="F76" s="33">
        <f>'A1. Data scoring'!I62</f>
        <v/>
      </c>
      <c r="G76" s="33">
        <f>'A1. Data scoring'!J62</f>
        <v/>
      </c>
      <c r="H76" s="33">
        <f>'A1. Data scoring'!K62</f>
        <v/>
      </c>
      <c r="O76" s="34" t="n"/>
    </row>
    <row r="77" ht="18" customHeight="1">
      <c r="B77" s="32" t="inlineStr">
        <is>
          <t>TR2(a)</t>
        </is>
      </c>
      <c r="D77" s="29" t="inlineStr">
        <is>
          <t>Data source and limitations</t>
        </is>
      </c>
      <c r="E77" s="33">
        <f>'A1. Data scoring'!H63</f>
        <v/>
      </c>
      <c r="F77" s="33">
        <f>'A1. Data scoring'!I63</f>
        <v/>
      </c>
      <c r="G77" s="33">
        <f>'A1. Data scoring'!J63</f>
        <v/>
      </c>
      <c r="H77" s="33">
        <f>'A1. Data scoring'!K63</f>
        <v/>
      </c>
      <c r="O77" s="34" t="n"/>
    </row>
    <row r="78" ht="18" customHeight="1">
      <c r="B78" s="32" t="inlineStr">
        <is>
          <t>TR2(a)</t>
        </is>
      </c>
      <c r="D78" s="29" t="inlineStr">
        <is>
          <t>Data owner confirms</t>
        </is>
      </c>
      <c r="E78" s="33">
        <f>'A1. Data scoring'!H64</f>
        <v/>
      </c>
      <c r="F78" s="33">
        <f>'A1. Data scoring'!I64</f>
        <v/>
      </c>
      <c r="G78" s="33">
        <f>'A1. Data scoring'!J64</f>
        <v/>
      </c>
      <c r="H78" s="33">
        <f>'A1. Data scoring'!K64</f>
        <v/>
      </c>
      <c r="O78" s="35" t="n"/>
    </row>
    <row r="80">
      <c r="B80" s="7" t="inlineStr">
        <is>
          <t>TR2(c)</t>
        </is>
      </c>
      <c r="C80" s="12" t="inlineStr">
        <is>
          <t>Expert-reviewed summary of sustainability-related research outputs, outcomes and influence using available institutional evidence sources</t>
        </is>
      </c>
      <c r="D80" s="30" t="inlineStr">
        <is>
          <t>Unit</t>
        </is>
      </c>
      <c r="E80" s="30" t="inlineStr">
        <is>
          <t>MRE – Research</t>
        </is>
      </c>
      <c r="M80" s="31">
        <f>'A1. Data scoring'!AC71</f>
        <v/>
      </c>
      <c r="N80" s="31">
        <f>'A1. Data scoring'!AF71</f>
        <v/>
      </c>
      <c r="O80" s="8" t="n"/>
    </row>
    <row r="81" ht="18" customHeight="1">
      <c r="B81" s="32" t="inlineStr">
        <is>
          <t>TR2(c)</t>
        </is>
      </c>
      <c r="D81" s="29" t="inlineStr">
        <is>
          <t>Confirm end-2026 target status</t>
        </is>
      </c>
      <c r="E81" s="33">
        <f>'A1. Data scoring'!R71</f>
        <v/>
      </c>
      <c r="O81" s="34" t="n"/>
    </row>
    <row r="82" ht="60" customHeight="1">
      <c r="B82" s="32" t="inlineStr">
        <is>
          <t>TR2(c)</t>
        </is>
      </c>
      <c r="D82" s="29" t="inlineStr">
        <is>
          <t>OPTION 1:  Target-level reporting</t>
        </is>
      </c>
      <c r="E82" s="33">
        <f>'A1. Data scoring'!R72</f>
        <v/>
      </c>
      <c r="O82" s="34" t="n"/>
    </row>
    <row r="83" ht="60" customHeight="1">
      <c r="B83" s="32" t="inlineStr">
        <is>
          <t>TR2(c)</t>
        </is>
      </c>
      <c r="D83" s="29" t="inlineStr">
        <is>
          <t>OPTION 2:  Indicator level reporting</t>
        </is>
      </c>
      <c r="E83" s="33">
        <f>'A1. Data scoring'!R73</f>
        <v/>
      </c>
      <c r="O83" s="34" t="n"/>
    </row>
    <row r="84" ht="18" customHeight="1">
      <c r="B84" s="32" t="inlineStr">
        <is>
          <t>TR2(c)</t>
        </is>
      </c>
      <c r="D84" s="29" t="inlineStr">
        <is>
          <t>Supporting information/comments</t>
        </is>
      </c>
      <c r="E84" s="33">
        <f>'A1. Data scoring'!R74</f>
        <v/>
      </c>
      <c r="O84" s="34" t="n"/>
    </row>
    <row r="85" ht="18" customHeight="1">
      <c r="B85" s="32" t="inlineStr">
        <is>
          <t>TR2(c)</t>
        </is>
      </c>
      <c r="D85" s="29" t="inlineStr">
        <is>
          <t>Data source and limitations</t>
        </is>
      </c>
      <c r="E85" s="33">
        <f>'A1. Data scoring'!R75</f>
        <v/>
      </c>
      <c r="O85" s="34" t="n"/>
    </row>
    <row r="86" ht="18" customHeight="1">
      <c r="B86" s="32" t="inlineStr">
        <is>
          <t>TR2(c)</t>
        </is>
      </c>
      <c r="D86" s="29" t="inlineStr">
        <is>
          <t>Data owner confirms</t>
        </is>
      </c>
      <c r="E86" s="33">
        <f>'A1. Data scoring'!R76</f>
        <v/>
      </c>
      <c r="O86" s="35" t="n"/>
    </row>
    <row r="88">
      <c r="B88" s="7" t="inlineStr">
        <is>
          <t>TR2(d)</t>
        </is>
      </c>
      <c r="C88" s="12" t="inlineStr">
        <is>
          <t>Case-based evidence demonstrating how research has contributed to meaningful sustainability outcomes.</t>
        </is>
      </c>
      <c r="D88" s="30" t="inlineStr">
        <is>
          <t>Unit</t>
        </is>
      </c>
      <c r="E88" s="30" t="inlineStr">
        <is>
          <t>ABP</t>
        </is>
      </c>
      <c r="F88" s="30" t="inlineStr">
        <is>
          <t>ARTS</t>
        </is>
      </c>
      <c r="G88" s="30" t="inlineStr">
        <is>
          <t>FBE</t>
        </is>
      </c>
      <c r="H88" s="30" t="inlineStr">
        <is>
          <t>SCI</t>
        </is>
      </c>
      <c r="I88" s="30" t="inlineStr">
        <is>
          <t>CI&amp;S – Sustainability Strategy</t>
        </is>
      </c>
      <c r="M88" s="31">
        <f>'A1. Data scoring'!AC77</f>
        <v/>
      </c>
      <c r="N88" s="31">
        <f>'A1. Data scoring'!AF77</f>
        <v/>
      </c>
      <c r="O88" s="8" t="n"/>
    </row>
    <row r="89" ht="18" customHeight="1">
      <c r="B89" s="32" t="inlineStr">
        <is>
          <t>TR2(d)</t>
        </is>
      </c>
      <c r="D89" s="29" t="inlineStr">
        <is>
          <t>Confirm end-2026 target status</t>
        </is>
      </c>
      <c r="E89" s="33">
        <f>'A1. Data scoring'!H77</f>
        <v/>
      </c>
      <c r="F89" s="33">
        <f>'A1. Data scoring'!I77</f>
        <v/>
      </c>
      <c r="G89" s="33">
        <f>'A1. Data scoring'!J77</f>
        <v/>
      </c>
      <c r="H89" s="33">
        <f>'A1. Data scoring'!K77</f>
        <v/>
      </c>
      <c r="I89" s="33">
        <f>'A1. Data scoring'!M77</f>
        <v/>
      </c>
      <c r="O89" s="34" t="n"/>
    </row>
    <row r="90" ht="60" customHeight="1">
      <c r="B90" s="32" t="inlineStr">
        <is>
          <t>TR2(d)</t>
        </is>
      </c>
      <c r="D90" s="29" t="inlineStr">
        <is>
          <t>OPTION 1:  Target-level reporting</t>
        </is>
      </c>
      <c r="E90" s="33">
        <f>'A1. Data scoring'!H78</f>
        <v/>
      </c>
      <c r="F90" s="33">
        <f>'A1. Data scoring'!I78</f>
        <v/>
      </c>
      <c r="G90" s="33">
        <f>'A1. Data scoring'!J78</f>
        <v/>
      </c>
      <c r="H90" s="33">
        <f>'A1. Data scoring'!K78</f>
        <v/>
      </c>
      <c r="I90" s="33">
        <f>'A1. Data scoring'!M78</f>
        <v/>
      </c>
      <c r="O90" s="34" t="n"/>
    </row>
    <row r="91" ht="60" customHeight="1">
      <c r="B91" s="32" t="inlineStr">
        <is>
          <t>TR2(d)</t>
        </is>
      </c>
      <c r="D91" s="29" t="inlineStr">
        <is>
          <t>OPTION 2:  Indicator level reporting</t>
        </is>
      </c>
      <c r="E91" s="33">
        <f>'A1. Data scoring'!H79</f>
        <v/>
      </c>
      <c r="F91" s="33">
        <f>'A1. Data scoring'!I79</f>
        <v/>
      </c>
      <c r="G91" s="33">
        <f>'A1. Data scoring'!J79</f>
        <v/>
      </c>
      <c r="H91" s="33">
        <f>'A1. Data scoring'!K79</f>
        <v/>
      </c>
      <c r="I91" s="33">
        <f>'A1. Data scoring'!M79</f>
        <v/>
      </c>
      <c r="O91" s="34" t="n"/>
    </row>
    <row r="92" ht="18" customHeight="1">
      <c r="B92" s="32" t="inlineStr">
        <is>
          <t>TR2(d)</t>
        </is>
      </c>
      <c r="D92" s="29" t="inlineStr">
        <is>
          <t>Supporting information/comments</t>
        </is>
      </c>
      <c r="E92" s="33">
        <f>'A1. Data scoring'!H80</f>
        <v/>
      </c>
      <c r="F92" s="33">
        <f>'A1. Data scoring'!I80</f>
        <v/>
      </c>
      <c r="G92" s="33">
        <f>'A1. Data scoring'!J80</f>
        <v/>
      </c>
      <c r="H92" s="33">
        <f>'A1. Data scoring'!K80</f>
        <v/>
      </c>
      <c r="I92" s="33">
        <f>'A1. Data scoring'!M80</f>
        <v/>
      </c>
      <c r="O92" s="34" t="n"/>
    </row>
    <row r="93" ht="18" customHeight="1">
      <c r="B93" s="32" t="inlineStr">
        <is>
          <t>TR2(d)</t>
        </is>
      </c>
      <c r="D93" s="29" t="inlineStr">
        <is>
          <t>Data source and limitations</t>
        </is>
      </c>
      <c r="E93" s="33">
        <f>'A1. Data scoring'!H81</f>
        <v/>
      </c>
      <c r="F93" s="33">
        <f>'A1. Data scoring'!I81</f>
        <v/>
      </c>
      <c r="G93" s="33">
        <f>'A1. Data scoring'!J81</f>
        <v/>
      </c>
      <c r="H93" s="33">
        <f>'A1. Data scoring'!K81</f>
        <v/>
      </c>
      <c r="I93" s="33">
        <f>'A1. Data scoring'!M81</f>
        <v/>
      </c>
      <c r="O93" s="34" t="n"/>
    </row>
    <row r="94" ht="18" customHeight="1">
      <c r="B94" s="32" t="inlineStr">
        <is>
          <t>TR2(d)</t>
        </is>
      </c>
      <c r="D94" s="29" t="inlineStr">
        <is>
          <t>Data owner confirms</t>
        </is>
      </c>
      <c r="E94" s="33">
        <f>'A1. Data scoring'!H82</f>
        <v/>
      </c>
      <c r="F94" s="33">
        <f>'A1. Data scoring'!I82</f>
        <v/>
      </c>
      <c r="G94" s="33">
        <f>'A1. Data scoring'!J82</f>
        <v/>
      </c>
      <c r="H94" s="33">
        <f>'A1. Data scoring'!K82</f>
        <v/>
      </c>
      <c r="I94" s="33">
        <f>'A1. Data scoring'!M82</f>
        <v/>
      </c>
      <c r="O94" s="35" t="n"/>
    </row>
    <row r="96">
      <c r="B96" s="7" t="inlineStr">
        <is>
          <t>TR3(a)</t>
        </is>
      </c>
      <c r="C96" s="12" t="inlineStr">
        <is>
          <t>Evidence that sustainability considerations are integrated into relevant research systems, planning processes, guidance, training, induction or support services</t>
        </is>
      </c>
      <c r="D96" s="30" t="inlineStr">
        <is>
          <t>Unit</t>
        </is>
      </c>
      <c r="E96" s="30" t="inlineStr">
        <is>
          <t>ABP</t>
        </is>
      </c>
      <c r="F96" s="30" t="inlineStr">
        <is>
          <t>ARTS</t>
        </is>
      </c>
      <c r="G96" s="30" t="inlineStr">
        <is>
          <t>FBE</t>
        </is>
      </c>
      <c r="H96" s="30" t="inlineStr">
        <is>
          <t>SCI</t>
        </is>
      </c>
      <c r="I96" s="30" t="inlineStr">
        <is>
          <t>CI&amp;S – Sustainability Strategy</t>
        </is>
      </c>
      <c r="M96" s="31">
        <f>'A1. Data scoring'!AC83</f>
        <v/>
      </c>
      <c r="N96" s="31">
        <f>'A1. Data scoring'!AF83</f>
        <v/>
      </c>
      <c r="O96" s="8" t="n"/>
    </row>
    <row r="97" ht="18" customHeight="1">
      <c r="B97" s="32" t="inlineStr">
        <is>
          <t>TR3(a)</t>
        </is>
      </c>
      <c r="D97" s="29" t="inlineStr">
        <is>
          <t>Confirm end-2026 target status</t>
        </is>
      </c>
      <c r="E97" s="33">
        <f>'A1. Data scoring'!H83</f>
        <v/>
      </c>
      <c r="F97" s="33">
        <f>'A1. Data scoring'!I83</f>
        <v/>
      </c>
      <c r="G97" s="33">
        <f>'A1. Data scoring'!J83</f>
        <v/>
      </c>
      <c r="H97" s="33">
        <f>'A1. Data scoring'!K83</f>
        <v/>
      </c>
      <c r="I97" s="33">
        <f>'A1. Data scoring'!M83</f>
        <v/>
      </c>
      <c r="O97" s="34" t="n"/>
    </row>
    <row r="98" ht="60" customHeight="1">
      <c r="B98" s="32" t="inlineStr">
        <is>
          <t>TR3(a)</t>
        </is>
      </c>
      <c r="D98" s="29" t="inlineStr">
        <is>
          <t>OPTION 1:  Target-level reporting</t>
        </is>
      </c>
      <c r="E98" s="33">
        <f>'A1. Data scoring'!H84</f>
        <v/>
      </c>
      <c r="F98" s="33">
        <f>'A1. Data scoring'!I84</f>
        <v/>
      </c>
      <c r="G98" s="33">
        <f>'A1. Data scoring'!J84</f>
        <v/>
      </c>
      <c r="H98" s="33">
        <f>'A1. Data scoring'!K84</f>
        <v/>
      </c>
      <c r="I98" s="33">
        <f>'A1. Data scoring'!M84</f>
        <v/>
      </c>
      <c r="O98" s="34" t="n"/>
    </row>
    <row r="99" ht="60" customHeight="1">
      <c r="B99" s="32" t="inlineStr">
        <is>
          <t>TR3(a)</t>
        </is>
      </c>
      <c r="D99" s="29" t="inlineStr">
        <is>
          <t>OPTION 2:  Indicator level reporting</t>
        </is>
      </c>
      <c r="E99" s="33">
        <f>'A1. Data scoring'!H85</f>
        <v/>
      </c>
      <c r="F99" s="33">
        <f>'A1. Data scoring'!I85</f>
        <v/>
      </c>
      <c r="G99" s="33">
        <f>'A1. Data scoring'!J85</f>
        <v/>
      </c>
      <c r="H99" s="33">
        <f>'A1. Data scoring'!K85</f>
        <v/>
      </c>
      <c r="I99" s="33">
        <f>'A1. Data scoring'!M85</f>
        <v/>
      </c>
      <c r="O99" s="34" t="n"/>
    </row>
    <row r="100" ht="18" customHeight="1">
      <c r="B100" s="32" t="inlineStr">
        <is>
          <t>TR3(a)</t>
        </is>
      </c>
      <c r="D100" s="29" t="inlineStr">
        <is>
          <t>Supporting information/comments</t>
        </is>
      </c>
      <c r="E100" s="33">
        <f>'A1. Data scoring'!H86</f>
        <v/>
      </c>
      <c r="F100" s="33">
        <f>'A1. Data scoring'!I86</f>
        <v/>
      </c>
      <c r="G100" s="33">
        <f>'A1. Data scoring'!J86</f>
        <v/>
      </c>
      <c r="H100" s="33">
        <f>'A1. Data scoring'!K86</f>
        <v/>
      </c>
      <c r="I100" s="33">
        <f>'A1. Data scoring'!M86</f>
        <v/>
      </c>
      <c r="O100" s="34" t="n"/>
    </row>
    <row r="101" ht="18" customHeight="1">
      <c r="B101" s="32" t="inlineStr">
        <is>
          <t>TR3(a)</t>
        </is>
      </c>
      <c r="D101" s="29" t="inlineStr">
        <is>
          <t>Data source and limitations</t>
        </is>
      </c>
      <c r="E101" s="33">
        <f>'A1. Data scoring'!H87</f>
        <v/>
      </c>
      <c r="F101" s="33">
        <f>'A1. Data scoring'!I87</f>
        <v/>
      </c>
      <c r="G101" s="33">
        <f>'A1. Data scoring'!J87</f>
        <v/>
      </c>
      <c r="H101" s="33">
        <f>'A1. Data scoring'!K87</f>
        <v/>
      </c>
      <c r="I101" s="33">
        <f>'A1. Data scoring'!M87</f>
        <v/>
      </c>
      <c r="O101" s="34" t="n"/>
    </row>
    <row r="102" ht="18" customHeight="1">
      <c r="B102" s="32" t="inlineStr">
        <is>
          <t>TR3(a)</t>
        </is>
      </c>
      <c r="D102" s="29" t="inlineStr">
        <is>
          <t>Data owner confirms</t>
        </is>
      </c>
      <c r="E102" s="33">
        <f>'A1. Data scoring'!H88</f>
        <v/>
      </c>
      <c r="F102" s="33">
        <f>'A1. Data scoring'!I88</f>
        <v/>
      </c>
      <c r="G102" s="33">
        <f>'A1. Data scoring'!J88</f>
        <v/>
      </c>
      <c r="H102" s="33">
        <f>'A1. Data scoring'!K88</f>
        <v/>
      </c>
      <c r="I102" s="33">
        <f>'A1. Data scoring'!M88</f>
        <v/>
      </c>
      <c r="O102" s="35" t="n"/>
    </row>
    <row r="104">
      <c r="B104" s="7" t="inlineStr">
        <is>
          <t>TR3(b)</t>
        </is>
      </c>
      <c r="C104" s="12" t="inlineStr">
        <is>
          <t>Demonstrated examples of more sustainable research practices in laboratories, fieldwork, procurement, travel or infrastructure use</t>
        </is>
      </c>
      <c r="D104" s="30" t="inlineStr">
        <is>
          <t>Unit</t>
        </is>
      </c>
      <c r="E104" s="30" t="inlineStr">
        <is>
          <t>ABP</t>
        </is>
      </c>
      <c r="F104" s="30" t="inlineStr">
        <is>
          <t>ARTS</t>
        </is>
      </c>
      <c r="G104" s="30" t="inlineStr">
        <is>
          <t>FBE</t>
        </is>
      </c>
      <c r="H104" s="30" t="inlineStr">
        <is>
          <t>SCI</t>
        </is>
      </c>
      <c r="I104" s="30" t="inlineStr">
        <is>
          <t>CI&amp;S – Sustainability Strategy</t>
        </is>
      </c>
      <c r="J104" s="30" t="inlineStr">
        <is>
          <t>CFOG – Procurement</t>
        </is>
      </c>
      <c r="M104" s="31">
        <f>'A1. Data scoring'!AC89</f>
        <v/>
      </c>
      <c r="N104" s="31">
        <f>'A1. Data scoring'!AF89</f>
        <v/>
      </c>
      <c r="O104" s="8" t="n"/>
    </row>
    <row r="105" ht="18" customHeight="1">
      <c r="B105" s="32" t="inlineStr">
        <is>
          <t>TR3(b)</t>
        </is>
      </c>
      <c r="D105" s="29" t="inlineStr">
        <is>
          <t>Confirm end-2026 target status</t>
        </is>
      </c>
      <c r="E105" s="33">
        <f>'A1. Data scoring'!H89</f>
        <v/>
      </c>
      <c r="F105" s="33">
        <f>'A1. Data scoring'!I89</f>
        <v/>
      </c>
      <c r="G105" s="33">
        <f>'A1. Data scoring'!J89</f>
        <v/>
      </c>
      <c r="H105" s="33">
        <f>'A1. Data scoring'!K89</f>
        <v/>
      </c>
      <c r="I105" s="33">
        <f>'A1. Data scoring'!M89</f>
        <v/>
      </c>
      <c r="J105" s="33">
        <f>'A1. Data scoring'!N89</f>
        <v/>
      </c>
      <c r="O105" s="34" t="n"/>
    </row>
    <row r="106" ht="60" customHeight="1">
      <c r="B106" s="32" t="inlineStr">
        <is>
          <t>TR3(b)</t>
        </is>
      </c>
      <c r="D106" s="29" t="inlineStr">
        <is>
          <t>OPTION 1:  Target-level reporting</t>
        </is>
      </c>
      <c r="E106" s="33">
        <f>'A1. Data scoring'!H90</f>
        <v/>
      </c>
      <c r="F106" s="33">
        <f>'A1. Data scoring'!I90</f>
        <v/>
      </c>
      <c r="G106" s="33">
        <f>'A1. Data scoring'!J90</f>
        <v/>
      </c>
      <c r="H106" s="33">
        <f>'A1. Data scoring'!K90</f>
        <v/>
      </c>
      <c r="I106" s="33">
        <f>'A1. Data scoring'!M90</f>
        <v/>
      </c>
      <c r="J106" s="33">
        <f>'A1. Data scoring'!N90</f>
        <v/>
      </c>
      <c r="O106" s="34" t="n"/>
    </row>
    <row r="107" ht="60" customHeight="1">
      <c r="B107" s="32" t="inlineStr">
        <is>
          <t>TR3(b)</t>
        </is>
      </c>
      <c r="D107" s="29" t="inlineStr">
        <is>
          <t>OPTION 2:  Indicator level reporting</t>
        </is>
      </c>
      <c r="E107" s="33">
        <f>'A1. Data scoring'!H91</f>
        <v/>
      </c>
      <c r="F107" s="33">
        <f>'A1. Data scoring'!I91</f>
        <v/>
      </c>
      <c r="G107" s="33">
        <f>'A1. Data scoring'!J91</f>
        <v/>
      </c>
      <c r="H107" s="33">
        <f>'A1. Data scoring'!K91</f>
        <v/>
      </c>
      <c r="I107" s="33">
        <f>'A1. Data scoring'!M91</f>
        <v/>
      </c>
      <c r="J107" s="33">
        <f>'A1. Data scoring'!N91</f>
        <v/>
      </c>
      <c r="O107" s="34" t="n"/>
    </row>
    <row r="108" ht="18" customHeight="1">
      <c r="B108" s="32" t="inlineStr">
        <is>
          <t>TR3(b)</t>
        </is>
      </c>
      <c r="D108" s="29" t="inlineStr">
        <is>
          <t>Supporting information/comments</t>
        </is>
      </c>
      <c r="E108" s="33">
        <f>'A1. Data scoring'!H92</f>
        <v/>
      </c>
      <c r="F108" s="33">
        <f>'A1. Data scoring'!I92</f>
        <v/>
      </c>
      <c r="G108" s="33">
        <f>'A1. Data scoring'!J92</f>
        <v/>
      </c>
      <c r="H108" s="33">
        <f>'A1. Data scoring'!K92</f>
        <v/>
      </c>
      <c r="I108" s="33">
        <f>'A1. Data scoring'!M92</f>
        <v/>
      </c>
      <c r="J108" s="33">
        <f>'A1. Data scoring'!N92</f>
        <v/>
      </c>
      <c r="O108" s="34" t="n"/>
    </row>
    <row r="109" ht="18" customHeight="1">
      <c r="B109" s="32" t="inlineStr">
        <is>
          <t>TR3(b)</t>
        </is>
      </c>
      <c r="D109" s="29" t="inlineStr">
        <is>
          <t>Data source and limitations</t>
        </is>
      </c>
      <c r="E109" s="33">
        <f>'A1. Data scoring'!H93</f>
        <v/>
      </c>
      <c r="F109" s="33">
        <f>'A1. Data scoring'!I93</f>
        <v/>
      </c>
      <c r="G109" s="33">
        <f>'A1. Data scoring'!J93</f>
        <v/>
      </c>
      <c r="H109" s="33">
        <f>'A1. Data scoring'!K93</f>
        <v/>
      </c>
      <c r="I109" s="33">
        <f>'A1. Data scoring'!M93</f>
        <v/>
      </c>
      <c r="J109" s="33">
        <f>'A1. Data scoring'!N93</f>
        <v/>
      </c>
      <c r="O109" s="34" t="n"/>
    </row>
    <row r="110" ht="18" customHeight="1">
      <c r="B110" s="32" t="inlineStr">
        <is>
          <t>TR3(b)</t>
        </is>
      </c>
      <c r="D110" s="29" t="inlineStr">
        <is>
          <t>Data owner confirms</t>
        </is>
      </c>
      <c r="E110" s="33">
        <f>'A1. Data scoring'!H94</f>
        <v/>
      </c>
      <c r="F110" s="33">
        <f>'A1. Data scoring'!I94</f>
        <v/>
      </c>
      <c r="G110" s="33">
        <f>'A1. Data scoring'!J94</f>
        <v/>
      </c>
      <c r="H110" s="33">
        <f>'A1. Data scoring'!K94</f>
        <v/>
      </c>
      <c r="I110" s="33">
        <f>'A1. Data scoring'!M94</f>
        <v/>
      </c>
      <c r="J110" s="33">
        <f>'A1. Data scoring'!N94</f>
        <v/>
      </c>
      <c r="O110" s="35" t="n"/>
    </row>
    <row r="112">
      <c r="B112" s="7" t="inlineStr">
        <is>
          <t>TR3(c)</t>
        </is>
      </c>
      <c r="C112" s="12" t="inlineStr">
        <is>
          <t>Evidence of progress in sustainability-related research culture, capability and awareness, informed by periodic staff and graduate researcher surveys</t>
        </is>
      </c>
      <c r="D112" s="30" t="inlineStr">
        <is>
          <t>Unit</t>
        </is>
      </c>
      <c r="E112" s="30" t="inlineStr">
        <is>
          <t>ABP</t>
        </is>
      </c>
      <c r="F112" s="30" t="inlineStr">
        <is>
          <t>ARTS</t>
        </is>
      </c>
      <c r="G112" s="30" t="inlineStr">
        <is>
          <t>FBE</t>
        </is>
      </c>
      <c r="H112" s="30" t="inlineStr">
        <is>
          <t>SCI</t>
        </is>
      </c>
      <c r="M112" s="31">
        <f>'A1. Data scoring'!AC95</f>
        <v/>
      </c>
      <c r="N112" s="31">
        <f>'A1. Data scoring'!AF95</f>
        <v/>
      </c>
      <c r="O112" s="8" t="n"/>
    </row>
    <row r="113" ht="18" customHeight="1">
      <c r="B113" s="32" t="inlineStr">
        <is>
          <t>TR3(c)</t>
        </is>
      </c>
      <c r="D113" s="29" t="inlineStr">
        <is>
          <t>Confirm end-2026 target status</t>
        </is>
      </c>
      <c r="E113" s="33">
        <f>'A1. Data scoring'!H95</f>
        <v/>
      </c>
      <c r="F113" s="33">
        <f>'A1. Data scoring'!I95</f>
        <v/>
      </c>
      <c r="G113" s="33">
        <f>'A1. Data scoring'!J95</f>
        <v/>
      </c>
      <c r="H113" s="33">
        <f>'A1. Data scoring'!K95</f>
        <v/>
      </c>
      <c r="O113" s="34" t="n"/>
    </row>
    <row r="114" ht="60" customHeight="1">
      <c r="B114" s="32" t="inlineStr">
        <is>
          <t>TR3(c)</t>
        </is>
      </c>
      <c r="D114" s="29" t="inlineStr">
        <is>
          <t>OPTION 1:  Target-level reporting</t>
        </is>
      </c>
      <c r="E114" s="33">
        <f>'A1. Data scoring'!H96</f>
        <v/>
      </c>
      <c r="F114" s="33">
        <f>'A1. Data scoring'!I96</f>
        <v/>
      </c>
      <c r="G114" s="33">
        <f>'A1. Data scoring'!J96</f>
        <v/>
      </c>
      <c r="H114" s="33">
        <f>'A1. Data scoring'!K96</f>
        <v/>
      </c>
      <c r="O114" s="34" t="n"/>
    </row>
    <row r="115" ht="60" customHeight="1">
      <c r="B115" s="32" t="inlineStr">
        <is>
          <t>TR3(c)</t>
        </is>
      </c>
      <c r="D115" s="29" t="inlineStr">
        <is>
          <t>OPTION 2:  Indicator level reporting</t>
        </is>
      </c>
      <c r="E115" s="33">
        <f>'A1. Data scoring'!H97</f>
        <v/>
      </c>
      <c r="F115" s="33">
        <f>'A1. Data scoring'!I97</f>
        <v/>
      </c>
      <c r="G115" s="33">
        <f>'A1. Data scoring'!J97</f>
        <v/>
      </c>
      <c r="H115" s="33">
        <f>'A1. Data scoring'!K97</f>
        <v/>
      </c>
      <c r="O115" s="34" t="n"/>
    </row>
    <row r="116" ht="18" customHeight="1">
      <c r="B116" s="32" t="inlineStr">
        <is>
          <t>TR3(c)</t>
        </is>
      </c>
      <c r="D116" s="29" t="inlineStr">
        <is>
          <t>Supporting information/comments</t>
        </is>
      </c>
      <c r="E116" s="33">
        <f>'A1. Data scoring'!H98</f>
        <v/>
      </c>
      <c r="F116" s="33">
        <f>'A1. Data scoring'!I98</f>
        <v/>
      </c>
      <c r="G116" s="33">
        <f>'A1. Data scoring'!J98</f>
        <v/>
      </c>
      <c r="H116" s="33">
        <f>'A1. Data scoring'!K98</f>
        <v/>
      </c>
      <c r="O116" s="34" t="n"/>
    </row>
    <row r="117" ht="18" customHeight="1">
      <c r="B117" s="32" t="inlineStr">
        <is>
          <t>TR3(c)</t>
        </is>
      </c>
      <c r="D117" s="29" t="inlineStr">
        <is>
          <t>Data source and limitations</t>
        </is>
      </c>
      <c r="E117" s="33">
        <f>'A1. Data scoring'!H99</f>
        <v/>
      </c>
      <c r="F117" s="33">
        <f>'A1. Data scoring'!I99</f>
        <v/>
      </c>
      <c r="G117" s="33">
        <f>'A1. Data scoring'!J99</f>
        <v/>
      </c>
      <c r="H117" s="33">
        <f>'A1. Data scoring'!K99</f>
        <v/>
      </c>
      <c r="O117" s="34" t="n"/>
    </row>
    <row r="118" ht="18" customHeight="1">
      <c r="B118" s="32" t="inlineStr">
        <is>
          <t>TR3(c)</t>
        </is>
      </c>
      <c r="D118" s="29" t="inlineStr">
        <is>
          <t>Data owner confirms</t>
        </is>
      </c>
      <c r="E118" s="33">
        <f>'A1. Data scoring'!H100</f>
        <v/>
      </c>
      <c r="F118" s="33">
        <f>'A1. Data scoring'!I100</f>
        <v/>
      </c>
      <c r="G118" s="33">
        <f>'A1. Data scoring'!J100</f>
        <v/>
      </c>
      <c r="H118" s="33">
        <f>'A1. Data scoring'!K100</f>
        <v/>
      </c>
      <c r="O118" s="35" t="n"/>
    </row>
    <row r="120">
      <c r="B120" s="7" t="inlineStr">
        <is>
          <t>TR3(d)</t>
        </is>
      </c>
      <c r="C120" s="12" t="inlineStr">
        <is>
          <t>Expert assessment of progress in embedding sustainable research practices across the institution.</t>
        </is>
      </c>
      <c r="D120" s="30" t="inlineStr">
        <is>
          <t>Unit</t>
        </is>
      </c>
      <c r="E120" s="30" t="inlineStr">
        <is>
          <t>ABP</t>
        </is>
      </c>
      <c r="F120" s="30" t="inlineStr">
        <is>
          <t>ARTS</t>
        </is>
      </c>
      <c r="G120" s="30" t="inlineStr">
        <is>
          <t>FBE</t>
        </is>
      </c>
      <c r="H120" s="30" t="inlineStr">
        <is>
          <t>SCI</t>
        </is>
      </c>
      <c r="M120" s="31">
        <f>'A1. Data scoring'!AC101</f>
        <v/>
      </c>
      <c r="N120" s="31">
        <f>'A1. Data scoring'!AF101</f>
        <v/>
      </c>
      <c r="O120" s="8" t="n"/>
    </row>
    <row r="121" ht="18" customHeight="1">
      <c r="B121" s="32" t="inlineStr">
        <is>
          <t>TR3(d)</t>
        </is>
      </c>
      <c r="D121" s="29" t="inlineStr">
        <is>
          <t>Confirm end-2026 target status</t>
        </is>
      </c>
      <c r="E121" s="33">
        <f>'A1. Data scoring'!H101</f>
        <v/>
      </c>
      <c r="F121" s="33">
        <f>'A1. Data scoring'!I101</f>
        <v/>
      </c>
      <c r="G121" s="33">
        <f>'A1. Data scoring'!J101</f>
        <v/>
      </c>
      <c r="H121" s="33">
        <f>'A1. Data scoring'!K101</f>
        <v/>
      </c>
      <c r="O121" s="34" t="n"/>
    </row>
    <row r="122" ht="60" customHeight="1">
      <c r="B122" s="32" t="inlineStr">
        <is>
          <t>TR3(d)</t>
        </is>
      </c>
      <c r="D122" s="29" t="inlineStr">
        <is>
          <t>OPTION 1:  Target-level reporting</t>
        </is>
      </c>
      <c r="E122" s="33">
        <f>'A1. Data scoring'!H102</f>
        <v/>
      </c>
      <c r="F122" s="33">
        <f>'A1. Data scoring'!I102</f>
        <v/>
      </c>
      <c r="G122" s="33">
        <f>'A1. Data scoring'!J102</f>
        <v/>
      </c>
      <c r="H122" s="33">
        <f>'A1. Data scoring'!K102</f>
        <v/>
      </c>
      <c r="O122" s="34" t="n"/>
    </row>
    <row r="123" ht="60" customHeight="1">
      <c r="B123" s="32" t="inlineStr">
        <is>
          <t>TR3(d)</t>
        </is>
      </c>
      <c r="D123" s="29" t="inlineStr">
        <is>
          <t>OPTION 2:  Indicator level reporting</t>
        </is>
      </c>
      <c r="E123" s="33">
        <f>'A1. Data scoring'!H103</f>
        <v/>
      </c>
      <c r="F123" s="33">
        <f>'A1. Data scoring'!I103</f>
        <v/>
      </c>
      <c r="G123" s="33">
        <f>'A1. Data scoring'!J103</f>
        <v/>
      </c>
      <c r="H123" s="33">
        <f>'A1. Data scoring'!K103</f>
        <v/>
      </c>
      <c r="O123" s="34" t="n"/>
    </row>
    <row r="124" ht="18" customHeight="1">
      <c r="B124" s="32" t="inlineStr">
        <is>
          <t>TR3(d)</t>
        </is>
      </c>
      <c r="D124" s="29" t="inlineStr">
        <is>
          <t>Supporting information/comments</t>
        </is>
      </c>
      <c r="E124" s="33">
        <f>'A1. Data scoring'!H104</f>
        <v/>
      </c>
      <c r="F124" s="33">
        <f>'A1. Data scoring'!I104</f>
        <v/>
      </c>
      <c r="G124" s="33">
        <f>'A1. Data scoring'!J104</f>
        <v/>
      </c>
      <c r="H124" s="33">
        <f>'A1. Data scoring'!K104</f>
        <v/>
      </c>
      <c r="O124" s="34" t="n"/>
    </row>
    <row r="125" ht="18" customHeight="1">
      <c r="B125" s="32" t="inlineStr">
        <is>
          <t>TR3(d)</t>
        </is>
      </c>
      <c r="D125" s="29" t="inlineStr">
        <is>
          <t>Data source and limitations</t>
        </is>
      </c>
      <c r="E125" s="33">
        <f>'A1. Data scoring'!H105</f>
        <v/>
      </c>
      <c r="F125" s="33">
        <f>'A1. Data scoring'!I105</f>
        <v/>
      </c>
      <c r="G125" s="33">
        <f>'A1. Data scoring'!J105</f>
        <v/>
      </c>
      <c r="H125" s="33">
        <f>'A1. Data scoring'!K105</f>
        <v/>
      </c>
      <c r="O125" s="34" t="n"/>
    </row>
    <row r="126" ht="18" customHeight="1">
      <c r="B126" s="32" t="inlineStr">
        <is>
          <t>TR3(d)</t>
        </is>
      </c>
      <c r="D126" s="29" t="inlineStr">
        <is>
          <t>Data owner confirms</t>
        </is>
      </c>
      <c r="E126" s="33">
        <f>'A1. Data scoring'!H106</f>
        <v/>
      </c>
      <c r="F126" s="33">
        <f>'A1. Data scoring'!I106</f>
        <v/>
      </c>
      <c r="G126" s="33">
        <f>'A1. Data scoring'!J106</f>
        <v/>
      </c>
      <c r="H126" s="33">
        <f>'A1. Data scoring'!K106</f>
        <v/>
      </c>
      <c r="O126" s="35" t="n"/>
    </row>
    <row r="128">
      <c r="B128" s="7" t="inlineStr">
        <is>
          <t>CL1(c)</t>
        </is>
      </c>
      <c r="C128" s="12" t="inlineStr">
        <is>
          <t>Review of Climate Leadership targets by 2030.[2]</t>
        </is>
      </c>
      <c r="D128" s="30" t="inlineStr">
        <is>
          <t>Unit</t>
        </is>
      </c>
      <c r="E128" s="30" t="inlineStr">
        <is>
          <t>CI&amp;S – Sustainability Strategy</t>
        </is>
      </c>
      <c r="M128" s="31">
        <f>'A1. Data scoring'!AC119</f>
        <v/>
      </c>
      <c r="N128" s="31">
        <f>'A1. Data scoring'!AF119</f>
        <v/>
      </c>
      <c r="O128" s="8" t="n"/>
    </row>
    <row r="129" ht="18" customHeight="1">
      <c r="B129" s="32" t="inlineStr">
        <is>
          <t>CL1(c)</t>
        </is>
      </c>
      <c r="D129" s="29" t="inlineStr">
        <is>
          <t>Confirm end-2026 target status</t>
        </is>
      </c>
      <c r="E129" s="33">
        <f>'A1. Data scoring'!M119</f>
        <v/>
      </c>
      <c r="O129" s="34" t="n"/>
    </row>
    <row r="130" ht="60" customHeight="1">
      <c r="B130" s="32" t="inlineStr">
        <is>
          <t>CL1(c)</t>
        </is>
      </c>
      <c r="D130" s="29" t="inlineStr">
        <is>
          <t>OPTION 1:  Target-level reporting</t>
        </is>
      </c>
      <c r="E130" s="33">
        <f>'A1. Data scoring'!M120</f>
        <v/>
      </c>
      <c r="O130" s="34" t="n"/>
    </row>
    <row r="131" ht="60" customHeight="1">
      <c r="B131" s="32" t="inlineStr">
        <is>
          <t>CL1(c)</t>
        </is>
      </c>
      <c r="D131" s="29" t="inlineStr">
        <is>
          <t>OPTION 2:  Indicator level reporting</t>
        </is>
      </c>
      <c r="E131" s="33">
        <f>'A1. Data scoring'!M121</f>
        <v/>
      </c>
      <c r="O131" s="34" t="n"/>
    </row>
    <row r="132" ht="18" customHeight="1">
      <c r="B132" s="32" t="inlineStr">
        <is>
          <t>CL1(c)</t>
        </is>
      </c>
      <c r="D132" s="29" t="inlineStr">
        <is>
          <t>Supporting information/comments</t>
        </is>
      </c>
      <c r="E132" s="33">
        <f>'A1. Data scoring'!M122</f>
        <v/>
      </c>
      <c r="O132" s="34" t="n"/>
    </row>
    <row r="133" ht="18" customHeight="1">
      <c r="B133" s="32" t="inlineStr">
        <is>
          <t>CL1(c)</t>
        </is>
      </c>
      <c r="D133" s="29" t="inlineStr">
        <is>
          <t>Data source and limitations</t>
        </is>
      </c>
      <c r="E133" s="33">
        <f>'A1. Data scoring'!M123</f>
        <v/>
      </c>
      <c r="O133" s="34" t="n"/>
    </row>
    <row r="134" ht="18" customHeight="1">
      <c r="B134" s="32" t="inlineStr">
        <is>
          <t>CL1(c)</t>
        </is>
      </c>
      <c r="D134" s="29" t="inlineStr">
        <is>
          <t>Data owner confirms</t>
        </is>
      </c>
      <c r="E134" s="33">
        <f>'A1. Data scoring'!M124</f>
        <v/>
      </c>
      <c r="O134" s="35" t="n"/>
    </row>
    <row r="136">
      <c r="B136" s="7" t="inlineStr">
        <is>
          <t>CL2(a)</t>
        </is>
      </c>
      <c r="C136" s="12" t="inlineStr">
        <is>
          <t>By 2028, develop and document institutional mapping of research and education activities that are designed to contribute to global decarbonisation</t>
        </is>
      </c>
      <c r="D136" s="30" t="inlineStr">
        <is>
          <t>Unit</t>
        </is>
      </c>
      <c r="E136" s="30" t="inlineStr">
        <is>
          <t>ABP</t>
        </is>
      </c>
      <c r="F136" s="30" t="inlineStr">
        <is>
          <t>ARTS</t>
        </is>
      </c>
      <c r="G136" s="30" t="inlineStr">
        <is>
          <t>FBE</t>
        </is>
      </c>
      <c r="H136" s="30" t="inlineStr">
        <is>
          <t>SCI</t>
        </is>
      </c>
      <c r="I136" s="30" t="inlineStr">
        <is>
          <t>CI&amp;S – Sustainability Strategy</t>
        </is>
      </c>
      <c r="M136" s="31">
        <f>'A1. Data scoring'!AC125</f>
        <v/>
      </c>
      <c r="N136" s="31">
        <f>'A1. Data scoring'!AF125</f>
        <v/>
      </c>
      <c r="O136" s="8" t="n"/>
    </row>
    <row r="137" ht="18" customHeight="1">
      <c r="B137" s="32" t="inlineStr">
        <is>
          <t>CL2(a)</t>
        </is>
      </c>
      <c r="D137" s="29" t="inlineStr">
        <is>
          <t>Confirm end-2026 target status</t>
        </is>
      </c>
      <c r="E137" s="33">
        <f>'A1. Data scoring'!H125</f>
        <v/>
      </c>
      <c r="F137" s="33">
        <f>'A1. Data scoring'!I125</f>
        <v/>
      </c>
      <c r="G137" s="33">
        <f>'A1. Data scoring'!J125</f>
        <v/>
      </c>
      <c r="H137" s="33">
        <f>'A1. Data scoring'!K125</f>
        <v/>
      </c>
      <c r="I137" s="33">
        <f>'A1. Data scoring'!M125</f>
        <v/>
      </c>
      <c r="O137" s="34" t="n"/>
    </row>
    <row r="138" ht="60" customHeight="1">
      <c r="B138" s="32" t="inlineStr">
        <is>
          <t>CL2(a)</t>
        </is>
      </c>
      <c r="D138" s="29" t="inlineStr">
        <is>
          <t>OPTION 1:  Target-level reporting</t>
        </is>
      </c>
      <c r="E138" s="33">
        <f>'A1. Data scoring'!H126</f>
        <v/>
      </c>
      <c r="F138" s="33">
        <f>'A1. Data scoring'!I126</f>
        <v/>
      </c>
      <c r="G138" s="33">
        <f>'A1. Data scoring'!J126</f>
        <v/>
      </c>
      <c r="H138" s="33">
        <f>'A1. Data scoring'!K126</f>
        <v/>
      </c>
      <c r="I138" s="33">
        <f>'A1. Data scoring'!M126</f>
        <v/>
      </c>
      <c r="O138" s="34" t="n"/>
    </row>
    <row r="139" ht="60" customHeight="1">
      <c r="B139" s="32" t="inlineStr">
        <is>
          <t>CL2(a)</t>
        </is>
      </c>
      <c r="D139" s="29" t="inlineStr">
        <is>
          <t>OPTION 2:  Indicator level reporting</t>
        </is>
      </c>
      <c r="E139" s="33">
        <f>'A1. Data scoring'!H127</f>
        <v/>
      </c>
      <c r="F139" s="33">
        <f>'A1. Data scoring'!I127</f>
        <v/>
      </c>
      <c r="G139" s="33">
        <f>'A1. Data scoring'!J127</f>
        <v/>
      </c>
      <c r="H139" s="33">
        <f>'A1. Data scoring'!K127</f>
        <v/>
      </c>
      <c r="I139" s="33">
        <f>'A1. Data scoring'!M127</f>
        <v/>
      </c>
      <c r="O139" s="34" t="n"/>
    </row>
    <row r="140" ht="18" customHeight="1">
      <c r="B140" s="32" t="inlineStr">
        <is>
          <t>CL2(a)</t>
        </is>
      </c>
      <c r="D140" s="29" t="inlineStr">
        <is>
          <t>Supporting information/comments</t>
        </is>
      </c>
      <c r="E140" s="33">
        <f>'A1. Data scoring'!H128</f>
        <v/>
      </c>
      <c r="F140" s="33">
        <f>'A1. Data scoring'!I128</f>
        <v/>
      </c>
      <c r="G140" s="33">
        <f>'A1. Data scoring'!J128</f>
        <v/>
      </c>
      <c r="H140" s="33">
        <f>'A1. Data scoring'!K128</f>
        <v/>
      </c>
      <c r="I140" s="33">
        <f>'A1. Data scoring'!M128</f>
        <v/>
      </c>
      <c r="O140" s="34" t="n"/>
    </row>
    <row r="141" ht="18" customHeight="1">
      <c r="B141" s="32" t="inlineStr">
        <is>
          <t>CL2(a)</t>
        </is>
      </c>
      <c r="D141" s="29" t="inlineStr">
        <is>
          <t>Data source and limitations</t>
        </is>
      </c>
      <c r="E141" s="33">
        <f>'A1. Data scoring'!H129</f>
        <v/>
      </c>
      <c r="F141" s="33">
        <f>'A1. Data scoring'!I129</f>
        <v/>
      </c>
      <c r="G141" s="33">
        <f>'A1. Data scoring'!J129</f>
        <v/>
      </c>
      <c r="H141" s="33">
        <f>'A1. Data scoring'!K129</f>
        <v/>
      </c>
      <c r="I141" s="33">
        <f>'A1. Data scoring'!M129</f>
        <v/>
      </c>
      <c r="O141" s="34" t="n"/>
    </row>
    <row r="142" ht="18" customHeight="1">
      <c r="B142" s="32" t="inlineStr">
        <is>
          <t>CL2(a)</t>
        </is>
      </c>
      <c r="D142" s="29" t="inlineStr">
        <is>
          <t>Data owner confirms</t>
        </is>
      </c>
      <c r="E142" s="33">
        <f>'A1. Data scoring'!H130</f>
        <v/>
      </c>
      <c r="F142" s="33">
        <f>'A1. Data scoring'!I130</f>
        <v/>
      </c>
      <c r="G142" s="33">
        <f>'A1. Data scoring'!J130</f>
        <v/>
      </c>
      <c r="H142" s="33">
        <f>'A1. Data scoring'!K130</f>
        <v/>
      </c>
      <c r="I142" s="33">
        <f>'A1. Data scoring'!M130</f>
        <v/>
      </c>
      <c r="O142" s="35" t="n"/>
    </row>
    <row r="144">
      <c r="B144" s="7" t="inlineStr">
        <is>
          <t>CL2(c)</t>
        </is>
      </c>
      <c r="C144" s="12" t="inlineStr">
        <is>
          <t>Ongoing communications that evidence the University’s climate action, research and learning to inform policy, sector and community decarbonisation efforts.</t>
        </is>
      </c>
      <c r="D144" s="30" t="inlineStr">
        <is>
          <t>Unit</t>
        </is>
      </c>
      <c r="E144" s="30" t="inlineStr">
        <is>
          <t>ABP</t>
        </is>
      </c>
      <c r="F144" s="30" t="inlineStr">
        <is>
          <t>ARTS</t>
        </is>
      </c>
      <c r="G144" s="30" t="inlineStr">
        <is>
          <t>FBE</t>
        </is>
      </c>
      <c r="H144" s="30" t="inlineStr">
        <is>
          <t>SCI</t>
        </is>
      </c>
      <c r="M144" s="31">
        <f>'A1. Data scoring'!AC137</f>
        <v/>
      </c>
      <c r="N144" s="31">
        <f>'A1. Data scoring'!AF137</f>
        <v/>
      </c>
      <c r="O144" s="8" t="n"/>
    </row>
    <row r="145" ht="18" customHeight="1">
      <c r="B145" s="32" t="inlineStr">
        <is>
          <t>CL2(c)</t>
        </is>
      </c>
      <c r="D145" s="29" t="inlineStr">
        <is>
          <t>Confirm end-2026 target status</t>
        </is>
      </c>
      <c r="E145" s="33">
        <f>'A1. Data scoring'!H137</f>
        <v/>
      </c>
      <c r="F145" s="33">
        <f>'A1. Data scoring'!I137</f>
        <v/>
      </c>
      <c r="G145" s="33">
        <f>'A1. Data scoring'!J137</f>
        <v/>
      </c>
      <c r="H145" s="33">
        <f>'A1. Data scoring'!K137</f>
        <v/>
      </c>
      <c r="O145" s="34" t="n"/>
    </row>
    <row r="146" ht="60" customHeight="1">
      <c r="B146" s="32" t="inlineStr">
        <is>
          <t>CL2(c)</t>
        </is>
      </c>
      <c r="D146" s="29" t="inlineStr">
        <is>
          <t>OPTION 1:  Target-level reporting</t>
        </is>
      </c>
      <c r="E146" s="33">
        <f>'A1. Data scoring'!H138</f>
        <v/>
      </c>
      <c r="F146" s="33">
        <f>'A1. Data scoring'!I138</f>
        <v/>
      </c>
      <c r="G146" s="33">
        <f>'A1. Data scoring'!J138</f>
        <v/>
      </c>
      <c r="H146" s="33">
        <f>'A1. Data scoring'!K138</f>
        <v/>
      </c>
      <c r="O146" s="34" t="n"/>
    </row>
    <row r="147" ht="60" customHeight="1">
      <c r="B147" s="32" t="inlineStr">
        <is>
          <t>CL2(c)</t>
        </is>
      </c>
      <c r="D147" s="29" t="inlineStr">
        <is>
          <t>OPTION 2:  Indicator level reporting</t>
        </is>
      </c>
      <c r="E147" s="33">
        <f>'A1. Data scoring'!H139</f>
        <v/>
      </c>
      <c r="F147" s="33">
        <f>'A1. Data scoring'!I139</f>
        <v/>
      </c>
      <c r="G147" s="33">
        <f>'A1. Data scoring'!J139</f>
        <v/>
      </c>
      <c r="H147" s="33">
        <f>'A1. Data scoring'!K139</f>
        <v/>
      </c>
      <c r="O147" s="34" t="n"/>
    </row>
    <row r="148" ht="18" customHeight="1">
      <c r="B148" s="32" t="inlineStr">
        <is>
          <t>CL2(c)</t>
        </is>
      </c>
      <c r="D148" s="29" t="inlineStr">
        <is>
          <t>Supporting information/comments</t>
        </is>
      </c>
      <c r="E148" s="33">
        <f>'A1. Data scoring'!H140</f>
        <v/>
      </c>
      <c r="F148" s="33">
        <f>'A1. Data scoring'!I140</f>
        <v/>
      </c>
      <c r="G148" s="33">
        <f>'A1. Data scoring'!J140</f>
        <v/>
      </c>
      <c r="H148" s="33">
        <f>'A1. Data scoring'!K140</f>
        <v/>
      </c>
      <c r="O148" s="34" t="n"/>
    </row>
    <row r="149" ht="18" customHeight="1">
      <c r="B149" s="32" t="inlineStr">
        <is>
          <t>CL2(c)</t>
        </is>
      </c>
      <c r="D149" s="29" t="inlineStr">
        <is>
          <t>Data source and limitations</t>
        </is>
      </c>
      <c r="E149" s="33">
        <f>'A1. Data scoring'!H141</f>
        <v/>
      </c>
      <c r="F149" s="33">
        <f>'A1. Data scoring'!I141</f>
        <v/>
      </c>
      <c r="G149" s="33">
        <f>'A1. Data scoring'!J141</f>
        <v/>
      </c>
      <c r="H149" s="33">
        <f>'A1. Data scoring'!K141</f>
        <v/>
      </c>
      <c r="O149" s="34" t="n"/>
    </row>
    <row r="150" ht="18" customHeight="1">
      <c r="B150" s="32" t="inlineStr">
        <is>
          <t>CL2(c)</t>
        </is>
      </c>
      <c r="D150" s="29" t="inlineStr">
        <is>
          <t>Data owner confirms</t>
        </is>
      </c>
      <c r="E150" s="33">
        <f>'A1. Data scoring'!H142</f>
        <v/>
      </c>
      <c r="F150" s="33">
        <f>'A1. Data scoring'!I142</f>
        <v/>
      </c>
      <c r="G150" s="33">
        <f>'A1. Data scoring'!J142</f>
        <v/>
      </c>
      <c r="H150" s="33">
        <f>'A1. Data scoring'!K142</f>
        <v/>
      </c>
      <c r="O150" s="35" t="n"/>
    </row>
    <row r="152">
      <c r="B152" s="7" t="inlineStr">
        <is>
          <t>CL3(a)</t>
        </is>
      </c>
      <c r="C152" s="12" t="inlineStr">
        <is>
          <t>Maturity assessment of the University’s preparedness for climate-related impacts and capability to respond, assessed across relevant organisational functions:
o	Governance and strategy
o	Health and safety
o	Business continuity
o	Emergency management and critical incidence management
o	Estate and buildings
o	Water management
o	Financial planning and reporting.</t>
        </is>
      </c>
      <c r="D152" s="30" t="inlineStr">
        <is>
          <t>Unit</t>
        </is>
      </c>
      <c r="E152" s="30" t="inlineStr">
        <is>
          <t>CI&amp;S – Estate Planning &amp; Development</t>
        </is>
      </c>
      <c r="F152" s="30" t="inlineStr">
        <is>
          <t>Legal &amp; Risk – Risk &amp; resilience</t>
        </is>
      </c>
      <c r="M152" s="31">
        <f>'A1. Data scoring'!AC143</f>
        <v/>
      </c>
      <c r="N152" s="31">
        <f>'A1. Data scoring'!AF143</f>
        <v/>
      </c>
      <c r="O152" s="8" t="n"/>
    </row>
    <row r="153" ht="18" customHeight="1">
      <c r="B153" s="32" t="inlineStr">
        <is>
          <t>CL3(a)</t>
        </is>
      </c>
      <c r="D153" s="29" t="inlineStr">
        <is>
          <t>Confirm end-2026 target status</t>
        </is>
      </c>
      <c r="E153" s="33">
        <f>'A1. Data scoring'!L143</f>
        <v/>
      </c>
      <c r="F153" s="33">
        <f>'A1. Data scoring'!S143</f>
        <v/>
      </c>
      <c r="O153" s="34" t="n"/>
    </row>
    <row r="154" ht="60" customHeight="1">
      <c r="B154" s="32" t="inlineStr">
        <is>
          <t>CL3(a)</t>
        </is>
      </c>
      <c r="D154" s="29" t="inlineStr">
        <is>
          <t>OPTION 1:  Target-level reporting</t>
        </is>
      </c>
      <c r="E154" s="33">
        <f>'A1. Data scoring'!L144</f>
        <v/>
      </c>
      <c r="F154" s="33">
        <f>'A1. Data scoring'!S144</f>
        <v/>
      </c>
      <c r="O154" s="34" t="n"/>
    </row>
    <row r="155" ht="60" customHeight="1">
      <c r="B155" s="32" t="inlineStr">
        <is>
          <t>CL3(a)</t>
        </is>
      </c>
      <c r="D155" s="29" t="inlineStr">
        <is>
          <t>OPTION 2:  Indicator level reporting</t>
        </is>
      </c>
      <c r="E155" s="33">
        <f>'A1. Data scoring'!L145</f>
        <v/>
      </c>
      <c r="F155" s="33">
        <f>'A1. Data scoring'!S145</f>
        <v/>
      </c>
      <c r="O155" s="34" t="n"/>
    </row>
    <row r="156" ht="18" customHeight="1">
      <c r="B156" s="32" t="inlineStr">
        <is>
          <t>CL3(a)</t>
        </is>
      </c>
      <c r="D156" s="29" t="inlineStr">
        <is>
          <t>Supporting information/comments</t>
        </is>
      </c>
      <c r="E156" s="33">
        <f>'A1. Data scoring'!L146</f>
        <v/>
      </c>
      <c r="F156" s="33">
        <f>'A1. Data scoring'!S146</f>
        <v/>
      </c>
      <c r="O156" s="34" t="n"/>
    </row>
    <row r="157" ht="18" customHeight="1">
      <c r="B157" s="32" t="inlineStr">
        <is>
          <t>CL3(a)</t>
        </is>
      </c>
      <c r="D157" s="29" t="inlineStr">
        <is>
          <t>Data source and limitations</t>
        </is>
      </c>
      <c r="E157" s="33">
        <f>'A1. Data scoring'!L147</f>
        <v/>
      </c>
      <c r="F157" s="33">
        <f>'A1. Data scoring'!S147</f>
        <v/>
      </c>
      <c r="O157" s="34" t="n"/>
    </row>
    <row r="158" ht="18" customHeight="1">
      <c r="B158" s="32" t="inlineStr">
        <is>
          <t>CL3(a)</t>
        </is>
      </c>
      <c r="D158" s="29" t="inlineStr">
        <is>
          <t>Data owner confirms</t>
        </is>
      </c>
      <c r="E158" s="33">
        <f>'A1. Data scoring'!L148</f>
        <v/>
      </c>
      <c r="F158" s="33">
        <f>'A1. Data scoring'!S148</f>
        <v/>
      </c>
      <c r="O158" s="35" t="n"/>
    </row>
    <row r="160">
      <c r="B160" s="7" t="inlineStr">
        <is>
          <t>NB1(b)</t>
        </is>
      </c>
      <c r="C160" s="12" t="inlineStr">
        <is>
          <t>Size, health and diversity of remnant vegetation at the Dookie and Creswick campuses</t>
        </is>
      </c>
      <c r="D160" s="30" t="inlineStr">
        <is>
          <t>Unit</t>
        </is>
      </c>
      <c r="E160" s="30" t="inlineStr">
        <is>
          <t>ESG – Campus Operations &amp; Sustainability Delivery</t>
        </is>
      </c>
      <c r="M160" s="31">
        <f>'A1. Data scoring'!AC155</f>
        <v/>
      </c>
      <c r="N160" s="31">
        <f>'A1. Data scoring'!AF155</f>
        <v/>
      </c>
      <c r="O160" s="8" t="n"/>
    </row>
    <row r="161" ht="18" customHeight="1">
      <c r="B161" s="32" t="inlineStr">
        <is>
          <t>NB1(b)</t>
        </is>
      </c>
      <c r="D161" s="29" t="inlineStr">
        <is>
          <t>Confirm end-2026 target status</t>
        </is>
      </c>
      <c r="E161" s="33">
        <f>'A1. Data scoring'!P155</f>
        <v/>
      </c>
      <c r="O161" s="34" t="n"/>
    </row>
    <row r="162" ht="60" customHeight="1">
      <c r="B162" s="32" t="inlineStr">
        <is>
          <t>NB1(b)</t>
        </is>
      </c>
      <c r="D162" s="29" t="inlineStr">
        <is>
          <t>OPTION 1:  Target-level reporting</t>
        </is>
      </c>
      <c r="E162" s="33">
        <f>'A1. Data scoring'!P156</f>
        <v/>
      </c>
      <c r="O162" s="34" t="n"/>
    </row>
    <row r="163" ht="60" customHeight="1">
      <c r="B163" s="32" t="inlineStr">
        <is>
          <t>NB1(b)</t>
        </is>
      </c>
      <c r="D163" s="29" t="inlineStr">
        <is>
          <t>OPTION 2:  Indicator level reporting</t>
        </is>
      </c>
      <c r="E163" s="33">
        <f>'A1. Data scoring'!P157</f>
        <v/>
      </c>
      <c r="O163" s="34" t="n"/>
    </row>
    <row r="164" ht="18" customHeight="1">
      <c r="B164" s="32" t="inlineStr">
        <is>
          <t>NB1(b)</t>
        </is>
      </c>
      <c r="D164" s="29" t="inlineStr">
        <is>
          <t>Supporting information/comments</t>
        </is>
      </c>
      <c r="E164" s="33">
        <f>'A1. Data scoring'!P158</f>
        <v/>
      </c>
      <c r="O164" s="34" t="n"/>
    </row>
    <row r="165" ht="18" customHeight="1">
      <c r="B165" s="32" t="inlineStr">
        <is>
          <t>NB1(b)</t>
        </is>
      </c>
      <c r="D165" s="29" t="inlineStr">
        <is>
          <t>Data source and limitations</t>
        </is>
      </c>
      <c r="E165" s="33">
        <f>'A1. Data scoring'!P159</f>
        <v/>
      </c>
      <c r="O165" s="34" t="n"/>
    </row>
    <row r="166" ht="18" customHeight="1">
      <c r="B166" s="32" t="inlineStr">
        <is>
          <t>NB1(b)</t>
        </is>
      </c>
      <c r="D166" s="29" t="inlineStr">
        <is>
          <t>Data owner confirms</t>
        </is>
      </c>
      <c r="E166" s="33">
        <f>'A1. Data scoring'!P160</f>
        <v/>
      </c>
      <c r="O166" s="35" t="n"/>
    </row>
    <row r="168">
      <c r="B168" s="7" t="inlineStr">
        <is>
          <t>NB1(c)</t>
        </is>
      </c>
      <c r="C168" s="12" t="inlineStr">
        <is>
          <t>Defined quality measurement framework</t>
        </is>
      </c>
      <c r="D168" s="30" t="inlineStr">
        <is>
          <t>Unit</t>
        </is>
      </c>
      <c r="E168" s="30" t="inlineStr">
        <is>
          <t>ESG – Campus Operations &amp; Sustainability Delivery</t>
        </is>
      </c>
      <c r="M168" s="31">
        <f>'A1. Data scoring'!AC161</f>
        <v/>
      </c>
      <c r="N168" s="31">
        <f>'A1. Data scoring'!AF161</f>
        <v/>
      </c>
      <c r="O168" s="8" t="n"/>
    </row>
    <row r="169" ht="18" customHeight="1">
      <c r="B169" s="32" t="inlineStr">
        <is>
          <t>NB1(c)</t>
        </is>
      </c>
      <c r="D169" s="29" t="inlineStr">
        <is>
          <t>Confirm end-2026 target status</t>
        </is>
      </c>
      <c r="E169" s="33">
        <f>'A1. Data scoring'!P161</f>
        <v/>
      </c>
      <c r="O169" s="34" t="n"/>
    </row>
    <row r="170" ht="60" customHeight="1">
      <c r="B170" s="32" t="inlineStr">
        <is>
          <t>NB1(c)</t>
        </is>
      </c>
      <c r="D170" s="29" t="inlineStr">
        <is>
          <t>OPTION 1:  Target-level reporting</t>
        </is>
      </c>
      <c r="E170" s="33">
        <f>'A1. Data scoring'!P162</f>
        <v/>
      </c>
      <c r="O170" s="34" t="n"/>
    </row>
    <row r="171" ht="60" customHeight="1">
      <c r="B171" s="32" t="inlineStr">
        <is>
          <t>NB1(c)</t>
        </is>
      </c>
      <c r="D171" s="29" t="inlineStr">
        <is>
          <t>OPTION 2:  Indicator level reporting</t>
        </is>
      </c>
      <c r="E171" s="33">
        <f>'A1. Data scoring'!P163</f>
        <v/>
      </c>
      <c r="O171" s="34" t="n"/>
    </row>
    <row r="172" ht="18" customHeight="1">
      <c r="B172" s="32" t="inlineStr">
        <is>
          <t>NB1(c)</t>
        </is>
      </c>
      <c r="D172" s="29" t="inlineStr">
        <is>
          <t>Supporting information/comments</t>
        </is>
      </c>
      <c r="E172" s="33">
        <f>'A1. Data scoring'!P164</f>
        <v/>
      </c>
      <c r="O172" s="34" t="n"/>
    </row>
    <row r="173" ht="18" customHeight="1">
      <c r="B173" s="32" t="inlineStr">
        <is>
          <t>NB1(c)</t>
        </is>
      </c>
      <c r="D173" s="29" t="inlineStr">
        <is>
          <t>Data source and limitations</t>
        </is>
      </c>
      <c r="E173" s="33">
        <f>'A1. Data scoring'!P165</f>
        <v/>
      </c>
      <c r="O173" s="34" t="n"/>
    </row>
    <row r="174" ht="18" customHeight="1">
      <c r="B174" s="32" t="inlineStr">
        <is>
          <t>NB1(c)</t>
        </is>
      </c>
      <c r="D174" s="29" t="inlineStr">
        <is>
          <t>Data owner confirms</t>
        </is>
      </c>
      <c r="E174" s="33">
        <f>'A1. Data scoring'!P166</f>
        <v/>
      </c>
      <c r="O174" s="35" t="n"/>
    </row>
    <row r="176">
      <c r="B176" s="7" t="inlineStr">
        <is>
          <t>NB1(d)</t>
        </is>
      </c>
      <c r="C176" s="12" t="inlineStr">
        <is>
          <t>Defined and quantified campus connectivity</t>
        </is>
      </c>
      <c r="D176" s="30" t="inlineStr">
        <is>
          <t>Unit</t>
        </is>
      </c>
      <c r="E176" s="30" t="inlineStr">
        <is>
          <t>ESG – Campus Operations &amp; Sustainability Delivery</t>
        </is>
      </c>
      <c r="M176" s="31">
        <f>'A1. Data scoring'!AC167</f>
        <v/>
      </c>
      <c r="N176" s="31">
        <f>'A1. Data scoring'!AF167</f>
        <v/>
      </c>
      <c r="O176" s="8" t="n"/>
    </row>
    <row r="177" ht="18" customHeight="1">
      <c r="B177" s="32" t="inlineStr">
        <is>
          <t>NB1(d)</t>
        </is>
      </c>
      <c r="D177" s="29" t="inlineStr">
        <is>
          <t>Confirm end-2026 target status</t>
        </is>
      </c>
      <c r="E177" s="33">
        <f>'A1. Data scoring'!P167</f>
        <v/>
      </c>
      <c r="O177" s="34" t="n"/>
    </row>
    <row r="178" ht="60" customHeight="1">
      <c r="B178" s="32" t="inlineStr">
        <is>
          <t>NB1(d)</t>
        </is>
      </c>
      <c r="D178" s="29" t="inlineStr">
        <is>
          <t>OPTION 1:  Target-level reporting</t>
        </is>
      </c>
      <c r="E178" s="33">
        <f>'A1. Data scoring'!P168</f>
        <v/>
      </c>
      <c r="O178" s="34" t="n"/>
    </row>
    <row r="179" ht="60" customHeight="1">
      <c r="B179" s="32" t="inlineStr">
        <is>
          <t>NB1(d)</t>
        </is>
      </c>
      <c r="D179" s="29" t="inlineStr">
        <is>
          <t>OPTION 2:  Indicator level reporting</t>
        </is>
      </c>
      <c r="E179" s="33">
        <f>'A1. Data scoring'!P169</f>
        <v/>
      </c>
      <c r="O179" s="34" t="n"/>
    </row>
    <row r="180" ht="18" customHeight="1">
      <c r="B180" s="32" t="inlineStr">
        <is>
          <t>NB1(d)</t>
        </is>
      </c>
      <c r="D180" s="29" t="inlineStr">
        <is>
          <t>Supporting information/comments</t>
        </is>
      </c>
      <c r="E180" s="33">
        <f>'A1. Data scoring'!P170</f>
        <v/>
      </c>
      <c r="O180" s="34" t="n"/>
    </row>
    <row r="181" ht="18" customHeight="1">
      <c r="B181" s="32" t="inlineStr">
        <is>
          <t>NB1(d)</t>
        </is>
      </c>
      <c r="D181" s="29" t="inlineStr">
        <is>
          <t>Data source and limitations</t>
        </is>
      </c>
      <c r="E181" s="33">
        <f>'A1. Data scoring'!P171</f>
        <v/>
      </c>
      <c r="O181" s="34" t="n"/>
    </row>
    <row r="182" ht="18" customHeight="1">
      <c r="B182" s="32" t="inlineStr">
        <is>
          <t>NB1(d)</t>
        </is>
      </c>
      <c r="D182" s="29" t="inlineStr">
        <is>
          <t>Data owner confirms</t>
        </is>
      </c>
      <c r="E182" s="33">
        <f>'A1. Data scoring'!P172</f>
        <v/>
      </c>
      <c r="O182" s="35" t="n"/>
    </row>
    <row r="184">
      <c r="B184" s="7" t="inlineStr">
        <is>
          <t>NB2(a)</t>
        </is>
      </c>
      <c r="C184" s="12" t="inlineStr">
        <is>
          <t>Documented baseline nature footprint analysis</t>
        </is>
      </c>
      <c r="D184" s="30" t="inlineStr">
        <is>
          <t>Unit</t>
        </is>
      </c>
      <c r="E184" s="30" t="inlineStr">
        <is>
          <t>MRE – Research</t>
        </is>
      </c>
      <c r="M184" s="31">
        <f>'A1. Data scoring'!AC173</f>
        <v/>
      </c>
      <c r="N184" s="31">
        <f>'A1. Data scoring'!AF173</f>
        <v/>
      </c>
      <c r="O184" s="8" t="n"/>
    </row>
    <row r="185" ht="18" customHeight="1">
      <c r="B185" s="32" t="inlineStr">
        <is>
          <t>NB2(a)</t>
        </is>
      </c>
      <c r="D185" s="29" t="inlineStr">
        <is>
          <t>Confirm end-2026 target status</t>
        </is>
      </c>
      <c r="E185" s="33">
        <f>'A1. Data scoring'!R173</f>
        <v/>
      </c>
      <c r="O185" s="34" t="n"/>
    </row>
    <row r="186" ht="60" customHeight="1">
      <c r="B186" s="32" t="inlineStr">
        <is>
          <t>NB2(a)</t>
        </is>
      </c>
      <c r="D186" s="29" t="inlineStr">
        <is>
          <t>OPTION 1:  Target-level reporting</t>
        </is>
      </c>
      <c r="E186" s="33">
        <f>'A1. Data scoring'!R174</f>
        <v/>
      </c>
      <c r="O186" s="34" t="n"/>
    </row>
    <row r="187" ht="60" customHeight="1">
      <c r="B187" s="32" t="inlineStr">
        <is>
          <t>NB2(a)</t>
        </is>
      </c>
      <c r="D187" s="29" t="inlineStr">
        <is>
          <t>OPTION 2:  Indicator level reporting</t>
        </is>
      </c>
      <c r="E187" s="33">
        <f>'A1. Data scoring'!R175</f>
        <v/>
      </c>
      <c r="O187" s="34" t="n"/>
    </row>
    <row r="188" ht="18" customHeight="1">
      <c r="B188" s="32" t="inlineStr">
        <is>
          <t>NB2(a)</t>
        </is>
      </c>
      <c r="D188" s="29" t="inlineStr">
        <is>
          <t>Supporting information/comments</t>
        </is>
      </c>
      <c r="E188" s="33">
        <f>'A1. Data scoring'!R176</f>
        <v/>
      </c>
      <c r="O188" s="34" t="n"/>
    </row>
    <row r="189" ht="18" customHeight="1">
      <c r="B189" s="32" t="inlineStr">
        <is>
          <t>NB2(a)</t>
        </is>
      </c>
      <c r="D189" s="29" t="inlineStr">
        <is>
          <t>Data source and limitations</t>
        </is>
      </c>
      <c r="E189" s="33">
        <f>'A1. Data scoring'!R177</f>
        <v/>
      </c>
      <c r="O189" s="34" t="n"/>
    </row>
    <row r="190" ht="18" customHeight="1">
      <c r="B190" s="32" t="inlineStr">
        <is>
          <t>NB2(a)</t>
        </is>
      </c>
      <c r="D190" s="29" t="inlineStr">
        <is>
          <t>Data owner confirms</t>
        </is>
      </c>
      <c r="E190" s="33">
        <f>'A1. Data scoring'!R178</f>
        <v/>
      </c>
      <c r="O190" s="35" t="n"/>
    </row>
    <row r="192">
      <c r="B192" s="7" t="inlineStr">
        <is>
          <t>NB2(b)</t>
        </is>
      </c>
      <c r="C192" s="12" t="inlineStr">
        <is>
          <t>Evidence of established framework to monitor and track supply-chain nature impacts over time</t>
        </is>
      </c>
      <c r="D192" s="30" t="inlineStr">
        <is>
          <t>Unit</t>
        </is>
      </c>
      <c r="E192" s="30" t="inlineStr">
        <is>
          <t>ESG – Campus Operations &amp; Sustainability Delivery</t>
        </is>
      </c>
      <c r="M192" s="31">
        <f>'A1. Data scoring'!AC179</f>
        <v/>
      </c>
      <c r="N192" s="31">
        <f>'A1. Data scoring'!AF179</f>
        <v/>
      </c>
      <c r="O192" s="8" t="n"/>
    </row>
    <row r="193" ht="18" customHeight="1">
      <c r="B193" s="32" t="inlineStr">
        <is>
          <t>NB2(b)</t>
        </is>
      </c>
      <c r="D193" s="29" t="inlineStr">
        <is>
          <t>Confirm end-2026 target status</t>
        </is>
      </c>
      <c r="E193" s="33">
        <f>'A1. Data scoring'!P179</f>
        <v/>
      </c>
      <c r="O193" s="34" t="n"/>
    </row>
    <row r="194" ht="60" customHeight="1">
      <c r="B194" s="32" t="inlineStr">
        <is>
          <t>NB2(b)</t>
        </is>
      </c>
      <c r="D194" s="29" t="inlineStr">
        <is>
          <t>OPTION 1:  Target-level reporting</t>
        </is>
      </c>
      <c r="E194" s="33">
        <f>'A1. Data scoring'!P180</f>
        <v/>
      </c>
      <c r="O194" s="34" t="n"/>
    </row>
    <row r="195" ht="60" customHeight="1">
      <c r="B195" s="32" t="inlineStr">
        <is>
          <t>NB2(b)</t>
        </is>
      </c>
      <c r="D195" s="29" t="inlineStr">
        <is>
          <t>OPTION 2:  Indicator level reporting</t>
        </is>
      </c>
      <c r="E195" s="33">
        <f>'A1. Data scoring'!P181</f>
        <v/>
      </c>
      <c r="O195" s="34" t="n"/>
    </row>
    <row r="196" ht="18" customHeight="1">
      <c r="B196" s="32" t="inlineStr">
        <is>
          <t>NB2(b)</t>
        </is>
      </c>
      <c r="D196" s="29" t="inlineStr">
        <is>
          <t>Supporting information/comments</t>
        </is>
      </c>
      <c r="E196" s="33">
        <f>'A1. Data scoring'!P182</f>
        <v/>
      </c>
      <c r="O196" s="34" t="n"/>
    </row>
    <row r="197" ht="18" customHeight="1">
      <c r="B197" s="32" t="inlineStr">
        <is>
          <t>NB2(b)</t>
        </is>
      </c>
      <c r="D197" s="29" t="inlineStr">
        <is>
          <t>Data source and limitations</t>
        </is>
      </c>
      <c r="E197" s="33">
        <f>'A1. Data scoring'!P183</f>
        <v/>
      </c>
      <c r="O197" s="34" t="n"/>
    </row>
    <row r="198" ht="18" customHeight="1">
      <c r="B198" s="32" t="inlineStr">
        <is>
          <t>NB2(b)</t>
        </is>
      </c>
      <c r="D198" s="29" t="inlineStr">
        <is>
          <t>Data owner confirms</t>
        </is>
      </c>
      <c r="E198" s="33">
        <f>'A1. Data scoring'!P184</f>
        <v/>
      </c>
      <c r="O198" s="35" t="n"/>
    </row>
    <row r="200">
      <c r="B200" s="7" t="inlineStr">
        <is>
          <t>NB2(c)</t>
        </is>
      </c>
      <c r="C200" s="12" t="inlineStr">
        <is>
          <t>Evidence of prioritised high risk procurement categories or suppliers for nature impact management</t>
        </is>
      </c>
      <c r="D200" s="30" t="inlineStr">
        <is>
          <t>Unit</t>
        </is>
      </c>
      <c r="E200" s="30" t="inlineStr">
        <is>
          <t>CFOG – Procurement</t>
        </is>
      </c>
      <c r="F200" s="30" t="inlineStr">
        <is>
          <t>ESG – Campus Operations &amp; Sustainability Delivery</t>
        </is>
      </c>
      <c r="M200" s="31">
        <f>'A1. Data scoring'!AC185</f>
        <v/>
      </c>
      <c r="N200" s="31">
        <f>'A1. Data scoring'!AF185</f>
        <v/>
      </c>
      <c r="O200" s="8" t="n"/>
    </row>
    <row r="201" ht="18" customHeight="1">
      <c r="B201" s="32" t="inlineStr">
        <is>
          <t>NB2(c)</t>
        </is>
      </c>
      <c r="D201" s="29" t="inlineStr">
        <is>
          <t>Confirm end-2026 target status</t>
        </is>
      </c>
      <c r="E201" s="33">
        <f>'A1. Data scoring'!N185</f>
        <v/>
      </c>
      <c r="F201" s="33">
        <f>'A1. Data scoring'!P185</f>
        <v/>
      </c>
      <c r="O201" s="34" t="n"/>
    </row>
    <row r="202" ht="60" customHeight="1">
      <c r="B202" s="32" t="inlineStr">
        <is>
          <t>NB2(c)</t>
        </is>
      </c>
      <c r="D202" s="29" t="inlineStr">
        <is>
          <t>OPTION 1:  Target-level reporting</t>
        </is>
      </c>
      <c r="E202" s="33">
        <f>'A1. Data scoring'!N186</f>
        <v/>
      </c>
      <c r="F202" s="33">
        <f>'A1. Data scoring'!P186</f>
        <v/>
      </c>
      <c r="O202" s="34" t="n"/>
    </row>
    <row r="203" ht="60" customHeight="1">
      <c r="B203" s="32" t="inlineStr">
        <is>
          <t>NB2(c)</t>
        </is>
      </c>
      <c r="D203" s="29" t="inlineStr">
        <is>
          <t>OPTION 2:  Indicator level reporting</t>
        </is>
      </c>
      <c r="E203" s="33">
        <f>'A1. Data scoring'!N187</f>
        <v/>
      </c>
      <c r="F203" s="33">
        <f>'A1. Data scoring'!P187</f>
        <v/>
      </c>
      <c r="O203" s="34" t="n"/>
    </row>
    <row r="204" ht="18" customHeight="1">
      <c r="B204" s="32" t="inlineStr">
        <is>
          <t>NB2(c)</t>
        </is>
      </c>
      <c r="D204" s="29" t="inlineStr">
        <is>
          <t>Supporting information/comments</t>
        </is>
      </c>
      <c r="E204" s="33">
        <f>'A1. Data scoring'!N188</f>
        <v/>
      </c>
      <c r="F204" s="33">
        <f>'A1. Data scoring'!P188</f>
        <v/>
      </c>
      <c r="O204" s="34" t="n"/>
    </row>
    <row r="205" ht="18" customHeight="1">
      <c r="B205" s="32" t="inlineStr">
        <is>
          <t>NB2(c)</t>
        </is>
      </c>
      <c r="D205" s="29" t="inlineStr">
        <is>
          <t>Data source and limitations</t>
        </is>
      </c>
      <c r="E205" s="33">
        <f>'A1. Data scoring'!N189</f>
        <v/>
      </c>
      <c r="F205" s="33">
        <f>'A1. Data scoring'!P189</f>
        <v/>
      </c>
      <c r="O205" s="34" t="n"/>
    </row>
    <row r="206" ht="18" customHeight="1">
      <c r="B206" s="32" t="inlineStr">
        <is>
          <t>NB2(c)</t>
        </is>
      </c>
      <c r="D206" s="29" t="inlineStr">
        <is>
          <t>Data owner confirms</t>
        </is>
      </c>
      <c r="E206" s="33">
        <f>'A1. Data scoring'!N190</f>
        <v/>
      </c>
      <c r="F206" s="33">
        <f>'A1. Data scoring'!P190</f>
        <v/>
      </c>
      <c r="O206" s="35" t="n"/>
    </row>
    <row r="208">
      <c r="B208" s="7" t="inlineStr">
        <is>
          <t>AI1(a)</t>
        </is>
      </c>
      <c r="C208" s="12" t="inlineStr">
        <is>
          <t>Established measurement of estimated operational impacts and opportunities (eg operational impacts could include energy, water, emissions and intensity measures)</t>
        </is>
      </c>
      <c r="D208" s="30" t="inlineStr">
        <is>
          <t>Unit</t>
        </is>
      </c>
      <c r="E208" s="30" t="inlineStr">
        <is>
          <t>CI&amp;S – Sustainability Strategy</t>
        </is>
      </c>
      <c r="F208" s="30" t="inlineStr">
        <is>
          <t>CIOG – Responsible AI &amp; digital</t>
        </is>
      </c>
      <c r="M208" s="31">
        <f>'A1. Data scoring'!AC191</f>
        <v/>
      </c>
      <c r="N208" s="31">
        <f>'A1. Data scoring'!AF191</f>
        <v/>
      </c>
      <c r="O208" s="8" t="n"/>
    </row>
    <row r="209" ht="18" customHeight="1">
      <c r="B209" s="32" t="inlineStr">
        <is>
          <t>AI1(a)</t>
        </is>
      </c>
      <c r="D209" s="29" t="inlineStr">
        <is>
          <t>Confirm end-2026 target status</t>
        </is>
      </c>
      <c r="E209" s="33">
        <f>'A1. Data scoring'!M191</f>
        <v/>
      </c>
      <c r="F209" s="33">
        <f>'A1. Data scoring'!Q191</f>
        <v/>
      </c>
      <c r="O209" s="34" t="n"/>
    </row>
    <row r="210" ht="60" customHeight="1">
      <c r="B210" s="32" t="inlineStr">
        <is>
          <t>AI1(a)</t>
        </is>
      </c>
      <c r="D210" s="29" t="inlineStr">
        <is>
          <t>OPTION 1:  Target-level reporting</t>
        </is>
      </c>
      <c r="E210" s="33">
        <f>'A1. Data scoring'!M192</f>
        <v/>
      </c>
      <c r="F210" s="33">
        <f>'A1. Data scoring'!Q192</f>
        <v/>
      </c>
      <c r="O210" s="34" t="n"/>
    </row>
    <row r="211" ht="60" customHeight="1">
      <c r="B211" s="32" t="inlineStr">
        <is>
          <t>AI1(a)</t>
        </is>
      </c>
      <c r="D211" s="29" t="inlineStr">
        <is>
          <t>OPTION 2:  Indicator level reporting</t>
        </is>
      </c>
      <c r="E211" s="33">
        <f>'A1. Data scoring'!M193</f>
        <v/>
      </c>
      <c r="F211" s="33">
        <f>'A1. Data scoring'!Q193</f>
        <v/>
      </c>
      <c r="O211" s="34" t="n"/>
    </row>
    <row r="212" ht="18" customHeight="1">
      <c r="B212" s="32" t="inlineStr">
        <is>
          <t>AI1(a)</t>
        </is>
      </c>
      <c r="D212" s="29" t="inlineStr">
        <is>
          <t>Supporting information/comments</t>
        </is>
      </c>
      <c r="E212" s="33">
        <f>'A1. Data scoring'!M194</f>
        <v/>
      </c>
      <c r="F212" s="33">
        <f>'A1. Data scoring'!Q194</f>
        <v/>
      </c>
      <c r="O212" s="34" t="n"/>
    </row>
    <row r="213" ht="18" customHeight="1">
      <c r="B213" s="32" t="inlineStr">
        <is>
          <t>AI1(a)</t>
        </is>
      </c>
      <c r="D213" s="29" t="inlineStr">
        <is>
          <t>Data source and limitations</t>
        </is>
      </c>
      <c r="E213" s="33">
        <f>'A1. Data scoring'!M195</f>
        <v/>
      </c>
      <c r="F213" s="33">
        <f>'A1. Data scoring'!Q195</f>
        <v/>
      </c>
      <c r="O213" s="34" t="n"/>
    </row>
    <row r="214" ht="18" customHeight="1">
      <c r="B214" s="32" t="inlineStr">
        <is>
          <t>AI1(a)</t>
        </is>
      </c>
      <c r="D214" s="29" t="inlineStr">
        <is>
          <t>Data owner confirms</t>
        </is>
      </c>
      <c r="E214" s="33">
        <f>'A1. Data scoring'!M196</f>
        <v/>
      </c>
      <c r="F214" s="33">
        <f>'A1. Data scoring'!Q196</f>
        <v/>
      </c>
      <c r="O214" s="35" t="n"/>
    </row>
    <row r="216">
      <c r="B216" s="7" t="inlineStr">
        <is>
          <t>AI1(b)</t>
        </is>
      </c>
      <c r="C216" s="12" t="inlineStr">
        <is>
          <t>Case studies of sustainability and AI-related education, research and collaboration activities.</t>
        </is>
      </c>
      <c r="D216" s="30" t="inlineStr">
        <is>
          <t>Unit</t>
        </is>
      </c>
      <c r="E216" s="30" t="inlineStr">
        <is>
          <t>CI&amp;S – Sustainability Strategy</t>
        </is>
      </c>
      <c r="F216" s="30" t="inlineStr">
        <is>
          <t>CIOG – Responsible AI &amp; digital</t>
        </is>
      </c>
      <c r="M216" s="31">
        <f>'A1. Data scoring'!AC197</f>
        <v/>
      </c>
      <c r="N216" s="31">
        <f>'A1. Data scoring'!AF197</f>
        <v/>
      </c>
      <c r="O216" s="8" t="n"/>
    </row>
    <row r="217" ht="18" customHeight="1">
      <c r="B217" s="32" t="inlineStr">
        <is>
          <t>AI1(b)</t>
        </is>
      </c>
      <c r="D217" s="29" t="inlineStr">
        <is>
          <t>Confirm end-2026 target status</t>
        </is>
      </c>
      <c r="E217" s="33">
        <f>'A1. Data scoring'!M197</f>
        <v/>
      </c>
      <c r="F217" s="33">
        <f>'A1. Data scoring'!Q197</f>
        <v/>
      </c>
      <c r="O217" s="34" t="n"/>
    </row>
    <row r="218" ht="60" customHeight="1">
      <c r="B218" s="32" t="inlineStr">
        <is>
          <t>AI1(b)</t>
        </is>
      </c>
      <c r="D218" s="29" t="inlineStr">
        <is>
          <t>OPTION 1:  Target-level reporting</t>
        </is>
      </c>
      <c r="E218" s="33">
        <f>'A1. Data scoring'!M198</f>
        <v/>
      </c>
      <c r="F218" s="33">
        <f>'A1. Data scoring'!Q198</f>
        <v/>
      </c>
      <c r="O218" s="34" t="n"/>
    </row>
    <row r="219" ht="60" customHeight="1">
      <c r="B219" s="32" t="inlineStr">
        <is>
          <t>AI1(b)</t>
        </is>
      </c>
      <c r="D219" s="29" t="inlineStr">
        <is>
          <t>OPTION 2:  Indicator level reporting</t>
        </is>
      </c>
      <c r="E219" s="33">
        <f>'A1. Data scoring'!M199</f>
        <v/>
      </c>
      <c r="F219" s="33">
        <f>'A1. Data scoring'!Q199</f>
        <v/>
      </c>
      <c r="O219" s="34" t="n"/>
    </row>
    <row r="220" ht="18" customHeight="1">
      <c r="B220" s="32" t="inlineStr">
        <is>
          <t>AI1(b)</t>
        </is>
      </c>
      <c r="D220" s="29" t="inlineStr">
        <is>
          <t>Supporting information/comments</t>
        </is>
      </c>
      <c r="E220" s="33">
        <f>'A1. Data scoring'!M200</f>
        <v/>
      </c>
      <c r="F220" s="33">
        <f>'A1. Data scoring'!Q200</f>
        <v/>
      </c>
      <c r="O220" s="34" t="n"/>
    </row>
    <row r="221" ht="18" customHeight="1">
      <c r="B221" s="32" t="inlineStr">
        <is>
          <t>AI1(b)</t>
        </is>
      </c>
      <c r="D221" s="29" t="inlineStr">
        <is>
          <t>Data source and limitations</t>
        </is>
      </c>
      <c r="E221" s="33">
        <f>'A1. Data scoring'!M201</f>
        <v/>
      </c>
      <c r="F221" s="33">
        <f>'A1. Data scoring'!Q201</f>
        <v/>
      </c>
      <c r="O221" s="34" t="n"/>
    </row>
    <row r="222" ht="18" customHeight="1">
      <c r="B222" s="32" t="inlineStr">
        <is>
          <t>AI1(b)</t>
        </is>
      </c>
      <c r="D222" s="29" t="inlineStr">
        <is>
          <t>Data owner confirms</t>
        </is>
      </c>
      <c r="E222" s="33">
        <f>'A1. Data scoring'!M202</f>
        <v/>
      </c>
      <c r="F222" s="33">
        <f>'A1. Data scoring'!Q202</f>
        <v/>
      </c>
      <c r="O222" s="35" t="n"/>
    </row>
    <row r="224">
      <c r="B224" s="7" t="inlineStr">
        <is>
          <t>EI1(a)</t>
        </is>
      </c>
      <c r="C224" s="12" t="inlineStr">
        <is>
          <t>Evidence of increased maturity of estate and infrastructure planning, development and operations to support the other priority areas in Sustainability 2030</t>
        </is>
      </c>
      <c r="D224" s="30" t="inlineStr">
        <is>
          <t>Unit</t>
        </is>
      </c>
      <c r="E224" s="30" t="inlineStr">
        <is>
          <t>CI&amp;S – Estate Planning &amp; Development</t>
        </is>
      </c>
      <c r="M224" s="31">
        <f>'A1. Data scoring'!AC203</f>
        <v/>
      </c>
      <c r="N224" s="31">
        <f>'A1. Data scoring'!AF203</f>
        <v/>
      </c>
      <c r="O224" s="8" t="n"/>
    </row>
    <row r="225" ht="18" customHeight="1">
      <c r="B225" s="32" t="inlineStr">
        <is>
          <t>EI1(a)</t>
        </is>
      </c>
      <c r="D225" s="29" t="inlineStr">
        <is>
          <t>Confirm end-2026 target status</t>
        </is>
      </c>
      <c r="E225" s="33">
        <f>'A1. Data scoring'!L203</f>
        <v/>
      </c>
      <c r="O225" s="34" t="n"/>
    </row>
    <row r="226" ht="60" customHeight="1">
      <c r="B226" s="32" t="inlineStr">
        <is>
          <t>EI1(a)</t>
        </is>
      </c>
      <c r="D226" s="29" t="inlineStr">
        <is>
          <t>OPTION 1:  Target-level reporting</t>
        </is>
      </c>
      <c r="E226" s="33">
        <f>'A1. Data scoring'!L204</f>
        <v/>
      </c>
      <c r="O226" s="34" t="n"/>
    </row>
    <row r="227" ht="60" customHeight="1">
      <c r="B227" s="32" t="inlineStr">
        <is>
          <t>EI1(a)</t>
        </is>
      </c>
      <c r="D227" s="29" t="inlineStr">
        <is>
          <t>OPTION 2:  Indicator level reporting</t>
        </is>
      </c>
      <c r="E227" s="33">
        <f>'A1. Data scoring'!L205</f>
        <v/>
      </c>
      <c r="O227" s="34" t="n"/>
    </row>
    <row r="228" ht="18" customHeight="1">
      <c r="B228" s="32" t="inlineStr">
        <is>
          <t>EI1(a)</t>
        </is>
      </c>
      <c r="D228" s="29" t="inlineStr">
        <is>
          <t>Supporting information/comments</t>
        </is>
      </c>
      <c r="E228" s="33">
        <f>'A1. Data scoring'!L206</f>
        <v/>
      </c>
      <c r="O228" s="34" t="n"/>
    </row>
    <row r="229" ht="18" customHeight="1">
      <c r="B229" s="32" t="inlineStr">
        <is>
          <t>EI1(a)</t>
        </is>
      </c>
      <c r="D229" s="29" t="inlineStr">
        <is>
          <t>Data source and limitations</t>
        </is>
      </c>
      <c r="E229" s="33">
        <f>'A1. Data scoring'!L207</f>
        <v/>
      </c>
      <c r="O229" s="34" t="n"/>
    </row>
    <row r="230" ht="18" customHeight="1">
      <c r="B230" s="32" t="inlineStr">
        <is>
          <t>EI1(a)</t>
        </is>
      </c>
      <c r="D230" s="29" t="inlineStr">
        <is>
          <t>Data owner confirms</t>
        </is>
      </c>
      <c r="E230" s="33">
        <f>'A1. Data scoring'!L208</f>
        <v/>
      </c>
      <c r="O230" s="35" t="n"/>
    </row>
    <row r="232">
      <c r="B232" s="7" t="inlineStr">
        <is>
          <t>EI1(b)</t>
        </is>
      </c>
      <c r="C232" s="12" t="inlineStr">
        <is>
          <t>Estimated sustainability impacts of the University’s estate and infrastructure capital plan to inform progress towards emissions reduction targets and other priority areas (to the extent enabled by available information)</t>
        </is>
      </c>
      <c r="D232" s="30" t="inlineStr">
        <is>
          <t>Unit</t>
        </is>
      </c>
      <c r="E232" s="30" t="inlineStr">
        <is>
          <t>CI&amp;S – Estate Planning &amp; Development</t>
        </is>
      </c>
      <c r="M232" s="31">
        <f>'A1. Data scoring'!AC209</f>
        <v/>
      </c>
      <c r="N232" s="31">
        <f>'A1. Data scoring'!AF209</f>
        <v/>
      </c>
      <c r="O232" s="8" t="n"/>
    </row>
    <row r="233" ht="18" customHeight="1">
      <c r="B233" s="32" t="inlineStr">
        <is>
          <t>EI1(b)</t>
        </is>
      </c>
      <c r="D233" s="29" t="inlineStr">
        <is>
          <t>Confirm end-2026 target status</t>
        </is>
      </c>
      <c r="E233" s="33">
        <f>'A1. Data scoring'!L209</f>
        <v/>
      </c>
      <c r="O233" s="34" t="n"/>
    </row>
    <row r="234" ht="60" customHeight="1">
      <c r="B234" s="32" t="inlineStr">
        <is>
          <t>EI1(b)</t>
        </is>
      </c>
      <c r="D234" s="29" t="inlineStr">
        <is>
          <t>OPTION 1:  Target-level reporting</t>
        </is>
      </c>
      <c r="E234" s="33">
        <f>'A1. Data scoring'!L210</f>
        <v/>
      </c>
      <c r="O234" s="34" t="n"/>
    </row>
    <row r="235" ht="60" customHeight="1">
      <c r="B235" s="32" t="inlineStr">
        <is>
          <t>EI1(b)</t>
        </is>
      </c>
      <c r="D235" s="29" t="inlineStr">
        <is>
          <t>OPTION 2:  Indicator level reporting</t>
        </is>
      </c>
      <c r="E235" s="33">
        <f>'A1. Data scoring'!L211</f>
        <v/>
      </c>
      <c r="O235" s="34" t="n"/>
    </row>
    <row r="236" ht="18" customHeight="1">
      <c r="B236" s="32" t="inlineStr">
        <is>
          <t>EI1(b)</t>
        </is>
      </c>
      <c r="D236" s="29" t="inlineStr">
        <is>
          <t>Supporting information/comments</t>
        </is>
      </c>
      <c r="E236" s="33">
        <f>'A1. Data scoring'!L212</f>
        <v/>
      </c>
      <c r="O236" s="34" t="n"/>
    </row>
    <row r="237" ht="18" customHeight="1">
      <c r="B237" s="32" t="inlineStr">
        <is>
          <t>EI1(b)</t>
        </is>
      </c>
      <c r="D237" s="29" t="inlineStr">
        <is>
          <t>Data source and limitations</t>
        </is>
      </c>
      <c r="E237" s="33">
        <f>'A1. Data scoring'!L213</f>
        <v/>
      </c>
      <c r="O237" s="34" t="n"/>
    </row>
    <row r="238" ht="18" customHeight="1">
      <c r="B238" s="32" t="inlineStr">
        <is>
          <t>EI1(b)</t>
        </is>
      </c>
      <c r="D238" s="29" t="inlineStr">
        <is>
          <t>Data owner confirms</t>
        </is>
      </c>
      <c r="E238" s="33">
        <f>'A1. Data scoring'!L214</f>
        <v/>
      </c>
      <c r="O238" s="35" t="n"/>
    </row>
    <row r="240">
      <c r="B240" s="7" t="inlineStr">
        <is>
          <t>EI1(c)</t>
        </is>
      </c>
      <c r="C240" s="12" t="inlineStr">
        <is>
          <t>Reporting on relevant activities and impacts for the University’s major estate and infrastructure projects and programs aligned with the other priority areas in Sustainability 2030</t>
        </is>
      </c>
      <c r="D240" s="30" t="inlineStr">
        <is>
          <t>Unit</t>
        </is>
      </c>
      <c r="E240" s="30" t="inlineStr">
        <is>
          <t>CI&amp;S – Estate Planning &amp; Development</t>
        </is>
      </c>
      <c r="M240" s="31">
        <f>'A1. Data scoring'!AC215</f>
        <v/>
      </c>
      <c r="N240" s="31">
        <f>'A1. Data scoring'!AF215</f>
        <v/>
      </c>
      <c r="O240" s="8" t="n"/>
    </row>
    <row r="241" ht="18" customHeight="1">
      <c r="B241" s="32" t="inlineStr">
        <is>
          <t>EI1(c)</t>
        </is>
      </c>
      <c r="D241" s="29" t="inlineStr">
        <is>
          <t>Confirm end-2026 target status</t>
        </is>
      </c>
      <c r="E241" s="33">
        <f>'A1. Data scoring'!L215</f>
        <v/>
      </c>
      <c r="O241" s="34" t="n"/>
    </row>
    <row r="242" ht="60" customHeight="1">
      <c r="B242" s="32" t="inlineStr">
        <is>
          <t>EI1(c)</t>
        </is>
      </c>
      <c r="D242" s="29" t="inlineStr">
        <is>
          <t>OPTION 1:  Target-level reporting</t>
        </is>
      </c>
      <c r="E242" s="33">
        <f>'A1. Data scoring'!L216</f>
        <v/>
      </c>
      <c r="O242" s="34" t="n"/>
    </row>
    <row r="243" ht="60" customHeight="1">
      <c r="B243" s="32" t="inlineStr">
        <is>
          <t>EI1(c)</t>
        </is>
      </c>
      <c r="D243" s="29" t="inlineStr">
        <is>
          <t>OPTION 2:  Indicator level reporting</t>
        </is>
      </c>
      <c r="E243" s="33">
        <f>'A1. Data scoring'!L217</f>
        <v/>
      </c>
      <c r="O243" s="34" t="n"/>
    </row>
    <row r="244" ht="18" customHeight="1">
      <c r="B244" s="32" t="inlineStr">
        <is>
          <t>EI1(c)</t>
        </is>
      </c>
      <c r="D244" s="29" t="inlineStr">
        <is>
          <t>Supporting information/comments</t>
        </is>
      </c>
      <c r="E244" s="33">
        <f>'A1. Data scoring'!L218</f>
        <v/>
      </c>
      <c r="O244" s="34" t="n"/>
    </row>
    <row r="245" ht="18" customHeight="1">
      <c r="B245" s="32" t="inlineStr">
        <is>
          <t>EI1(c)</t>
        </is>
      </c>
      <c r="D245" s="29" t="inlineStr">
        <is>
          <t>Data source and limitations</t>
        </is>
      </c>
      <c r="E245" s="33">
        <f>'A1. Data scoring'!L219</f>
        <v/>
      </c>
      <c r="O245" s="34" t="n"/>
    </row>
    <row r="246" ht="18" customHeight="1">
      <c r="B246" s="32" t="inlineStr">
        <is>
          <t>EI1(c)</t>
        </is>
      </c>
      <c r="D246" s="29" t="inlineStr">
        <is>
          <t>Data owner confirms</t>
        </is>
      </c>
      <c r="E246" s="33">
        <f>'A1. Data scoring'!L220</f>
        <v/>
      </c>
      <c r="O246" s="35" t="n"/>
    </row>
    <row r="248">
      <c r="B248" s="7" t="inlineStr">
        <is>
          <t>EI1(d)</t>
        </is>
      </c>
      <c r="C248" s="12" t="inlineStr">
        <is>
          <t>Evidence of understanding and integration of Indigenous approaches to sustainability in estate planning and development programs and projects.</t>
        </is>
      </c>
      <c r="D248" s="30" t="inlineStr">
        <is>
          <t>Unit</t>
        </is>
      </c>
      <c r="E248" s="30" t="inlineStr">
        <is>
          <t>CI&amp;S – Estate Planning &amp; Development</t>
        </is>
      </c>
      <c r="M248" s="31">
        <f>'A1. Data scoring'!AC221</f>
        <v/>
      </c>
      <c r="N248" s="31">
        <f>'A1. Data scoring'!AF221</f>
        <v/>
      </c>
      <c r="O248" s="8" t="n"/>
    </row>
    <row r="249" ht="18" customHeight="1">
      <c r="B249" s="32" t="inlineStr">
        <is>
          <t>EI1(d)</t>
        </is>
      </c>
      <c r="D249" s="29" t="inlineStr">
        <is>
          <t>Confirm end-2026 target status</t>
        </is>
      </c>
      <c r="E249" s="33">
        <f>'A1. Data scoring'!L221</f>
        <v/>
      </c>
      <c r="O249" s="34" t="n"/>
    </row>
    <row r="250" ht="60" customHeight="1">
      <c r="B250" s="32" t="inlineStr">
        <is>
          <t>EI1(d)</t>
        </is>
      </c>
      <c r="D250" s="29" t="inlineStr">
        <is>
          <t>OPTION 1:  Target-level reporting</t>
        </is>
      </c>
      <c r="E250" s="33">
        <f>'A1. Data scoring'!L222</f>
        <v/>
      </c>
      <c r="O250" s="34" t="n"/>
    </row>
    <row r="251" ht="60" customHeight="1">
      <c r="B251" s="32" t="inlineStr">
        <is>
          <t>EI1(d)</t>
        </is>
      </c>
      <c r="D251" s="29" t="inlineStr">
        <is>
          <t>OPTION 2:  Indicator level reporting</t>
        </is>
      </c>
      <c r="E251" s="33">
        <f>'A1. Data scoring'!L223</f>
        <v/>
      </c>
      <c r="O251" s="34" t="n"/>
    </row>
    <row r="252" ht="18" customHeight="1">
      <c r="B252" s="32" t="inlineStr">
        <is>
          <t>EI1(d)</t>
        </is>
      </c>
      <c r="D252" s="29" t="inlineStr">
        <is>
          <t>Supporting information/comments</t>
        </is>
      </c>
      <c r="E252" s="33">
        <f>'A1. Data scoring'!L224</f>
        <v/>
      </c>
      <c r="O252" s="34" t="n"/>
    </row>
    <row r="253" ht="18" customHeight="1">
      <c r="B253" s="32" t="inlineStr">
        <is>
          <t>EI1(d)</t>
        </is>
      </c>
      <c r="D253" s="29" t="inlineStr">
        <is>
          <t>Data source and limitations</t>
        </is>
      </c>
      <c r="E253" s="33">
        <f>'A1. Data scoring'!L225</f>
        <v/>
      </c>
      <c r="O253" s="34" t="n"/>
    </row>
    <row r="254" ht="18" customHeight="1">
      <c r="B254" s="32" t="inlineStr">
        <is>
          <t>EI1(d)</t>
        </is>
      </c>
      <c r="D254" s="29" t="inlineStr">
        <is>
          <t>Data owner confirms</t>
        </is>
      </c>
      <c r="E254" s="33">
        <f>'A1. Data scoring'!L226</f>
        <v/>
      </c>
      <c r="O254" s="35" t="n"/>
    </row>
    <row r="256">
      <c r="B256" s="7" t="inlineStr">
        <is>
          <t>RP1(a)</t>
        </is>
      </c>
      <c r="C256" s="12" t="inlineStr">
        <is>
          <t>Case studies of maturity improvement related to responsible procurement process and systems.</t>
        </is>
      </c>
      <c r="D256" s="30" t="inlineStr">
        <is>
          <t>Unit</t>
        </is>
      </c>
      <c r="E256" s="30" t="inlineStr">
        <is>
          <t>CFOG – Procurement</t>
        </is>
      </c>
      <c r="M256" s="31">
        <f>'A1. Data scoring'!AC239</f>
        <v/>
      </c>
      <c r="N256" s="31">
        <f>'A1. Data scoring'!AF239</f>
        <v/>
      </c>
      <c r="O256" s="8" t="n"/>
    </row>
    <row r="257" ht="18" customHeight="1">
      <c r="B257" s="32" t="inlineStr">
        <is>
          <t>RP1(a)</t>
        </is>
      </c>
      <c r="D257" s="29" t="inlineStr">
        <is>
          <t>Confirm end-2026 target status</t>
        </is>
      </c>
      <c r="E257" s="33">
        <f>'A1. Data scoring'!N239</f>
        <v/>
      </c>
      <c r="O257" s="34" t="n"/>
    </row>
    <row r="258" ht="60" customHeight="1">
      <c r="B258" s="32" t="inlineStr">
        <is>
          <t>RP1(a)</t>
        </is>
      </c>
      <c r="D258" s="29" t="inlineStr">
        <is>
          <t>OPTION 1:  Target-level reporting</t>
        </is>
      </c>
      <c r="E258" s="33">
        <f>'A1. Data scoring'!N240</f>
        <v/>
      </c>
      <c r="O258" s="34" t="n"/>
    </row>
    <row r="259" ht="60" customHeight="1">
      <c r="B259" s="32" t="inlineStr">
        <is>
          <t>RP1(a)</t>
        </is>
      </c>
      <c r="D259" s="29" t="inlineStr">
        <is>
          <t>OPTION 2:  Indicator level reporting</t>
        </is>
      </c>
      <c r="E259" s="33">
        <f>'A1. Data scoring'!N241</f>
        <v/>
      </c>
      <c r="O259" s="34" t="n"/>
    </row>
    <row r="260" ht="18" customHeight="1">
      <c r="B260" s="32" t="inlineStr">
        <is>
          <t>RP1(a)</t>
        </is>
      </c>
      <c r="D260" s="29" t="inlineStr">
        <is>
          <t>Supporting information/comments</t>
        </is>
      </c>
      <c r="E260" s="33">
        <f>'A1. Data scoring'!N242</f>
        <v/>
      </c>
      <c r="O260" s="34" t="n"/>
    </row>
    <row r="261" ht="18" customHeight="1">
      <c r="B261" s="32" t="inlineStr">
        <is>
          <t>RP1(a)</t>
        </is>
      </c>
      <c r="D261" s="29" t="inlineStr">
        <is>
          <t>Data source and limitations</t>
        </is>
      </c>
      <c r="E261" s="33">
        <f>'A1. Data scoring'!N243</f>
        <v/>
      </c>
      <c r="O261" s="34" t="n"/>
    </row>
    <row r="262" ht="18" customHeight="1">
      <c r="B262" s="32" t="inlineStr">
        <is>
          <t>RP1(a)</t>
        </is>
      </c>
      <c r="D262" s="29" t="inlineStr">
        <is>
          <t>Data owner confirms</t>
        </is>
      </c>
      <c r="E262" s="33">
        <f>'A1. Data scoring'!N244</f>
        <v/>
      </c>
      <c r="O262" s="35" t="n"/>
    </row>
    <row r="264">
      <c r="B264" s="7" t="inlineStr">
        <is>
          <t>MS1(a)</t>
        </is>
      </c>
      <c r="C264" s="12" t="inlineStr">
        <is>
          <t>Annual progress reporting via the Modern Slavery Statement</t>
        </is>
      </c>
      <c r="D264" s="30" t="inlineStr">
        <is>
          <t>Unit</t>
        </is>
      </c>
      <c r="E264" s="30" t="inlineStr">
        <is>
          <t>CI&amp;S – Sustainability Strategy</t>
        </is>
      </c>
      <c r="F264" s="30" t="inlineStr">
        <is>
          <t>CFOG – Procurement</t>
        </is>
      </c>
      <c r="M264" s="31">
        <f>'A1. Data scoring'!AC257</f>
        <v/>
      </c>
      <c r="N264" s="31">
        <f>'A1. Data scoring'!AF257</f>
        <v/>
      </c>
      <c r="O264" s="8" t="n"/>
    </row>
    <row r="265" ht="18" customHeight="1">
      <c r="B265" s="32" t="inlineStr">
        <is>
          <t>MS1(a)</t>
        </is>
      </c>
      <c r="D265" s="29" t="inlineStr">
        <is>
          <t>Confirm end-2026 target status</t>
        </is>
      </c>
      <c r="E265" s="33">
        <f>'A1. Data scoring'!M257</f>
        <v/>
      </c>
      <c r="F265" s="33">
        <f>'A1. Data scoring'!N257</f>
        <v/>
      </c>
      <c r="O265" s="34" t="n"/>
    </row>
    <row r="266" ht="60" customHeight="1">
      <c r="B266" s="32" t="inlineStr">
        <is>
          <t>MS1(a)</t>
        </is>
      </c>
      <c r="D266" s="29" t="inlineStr">
        <is>
          <t>OPTION 1:  Target-level reporting</t>
        </is>
      </c>
      <c r="E266" s="33">
        <f>'A1. Data scoring'!M258</f>
        <v/>
      </c>
      <c r="F266" s="33">
        <f>'A1. Data scoring'!N258</f>
        <v/>
      </c>
      <c r="O266" s="34" t="n"/>
    </row>
    <row r="267" ht="60" customHeight="1">
      <c r="B267" s="32" t="inlineStr">
        <is>
          <t>MS1(a)</t>
        </is>
      </c>
      <c r="D267" s="29" t="inlineStr">
        <is>
          <t>OPTION 2:  Indicator level reporting</t>
        </is>
      </c>
      <c r="E267" s="33">
        <f>'A1. Data scoring'!M259</f>
        <v/>
      </c>
      <c r="F267" s="33">
        <f>'A1. Data scoring'!N259</f>
        <v/>
      </c>
      <c r="O267" s="34" t="n"/>
    </row>
    <row r="268" ht="18" customHeight="1">
      <c r="B268" s="32" t="inlineStr">
        <is>
          <t>MS1(a)</t>
        </is>
      </c>
      <c r="D268" s="29" t="inlineStr">
        <is>
          <t>Supporting information/comments</t>
        </is>
      </c>
      <c r="E268" s="33">
        <f>'A1. Data scoring'!M260</f>
        <v/>
      </c>
      <c r="F268" s="33">
        <f>'A1. Data scoring'!N260</f>
        <v/>
      </c>
      <c r="O268" s="34" t="n"/>
    </row>
    <row r="269" ht="18" customHeight="1">
      <c r="B269" s="32" t="inlineStr">
        <is>
          <t>MS1(a)</t>
        </is>
      </c>
      <c r="D269" s="29" t="inlineStr">
        <is>
          <t>Data source and limitations</t>
        </is>
      </c>
      <c r="E269" s="33">
        <f>'A1. Data scoring'!M261</f>
        <v/>
      </c>
      <c r="F269" s="33">
        <f>'A1. Data scoring'!N261</f>
        <v/>
      </c>
      <c r="O269" s="34" t="n"/>
    </row>
    <row r="270" ht="18" customHeight="1">
      <c r="B270" s="32" t="inlineStr">
        <is>
          <t>MS1(a)</t>
        </is>
      </c>
      <c r="D270" s="29" t="inlineStr">
        <is>
          <t>Data owner confirms</t>
        </is>
      </c>
      <c r="E270" s="33">
        <f>'A1. Data scoring'!M262</f>
        <v/>
      </c>
      <c r="F270" s="33">
        <f>'A1. Data scoring'!N262</f>
        <v/>
      </c>
      <c r="O270" s="35" t="n"/>
    </row>
    <row r="272">
      <c r="B272" s="7" t="inlineStr">
        <is>
          <t>RI1(b)</t>
        </is>
      </c>
      <c r="C272" s="12" t="inlineStr">
        <is>
          <t>Continuous improvement of the reporting of the University’s sustainability-related investment profile metrics, could include investment in climate mitigation and transition solutions, and compliance with related obligations (eg UNPRI).</t>
        </is>
      </c>
      <c r="D272" s="30" t="inlineStr">
        <is>
          <t>Unit</t>
        </is>
      </c>
      <c r="E272" s="30" t="inlineStr">
        <is>
          <t>CI&amp;S – Sustainability Strategy</t>
        </is>
      </c>
      <c r="F272" s="30" t="inlineStr">
        <is>
          <t>CFOG – Treasury &amp; Investments</t>
        </is>
      </c>
      <c r="M272" s="31">
        <f>'A1. Data scoring'!AC269</f>
        <v/>
      </c>
      <c r="N272" s="31">
        <f>'A1. Data scoring'!AF269</f>
        <v/>
      </c>
      <c r="O272" s="8" t="n"/>
    </row>
    <row r="273" ht="18" customHeight="1">
      <c r="B273" s="32" t="inlineStr">
        <is>
          <t>RI1(b)</t>
        </is>
      </c>
      <c r="D273" s="29" t="inlineStr">
        <is>
          <t>Confirm end-2026 target status</t>
        </is>
      </c>
      <c r="E273" s="33">
        <f>'A1. Data scoring'!M269</f>
        <v/>
      </c>
      <c r="F273" s="33">
        <f>'A1. Data scoring'!O269</f>
        <v/>
      </c>
      <c r="O273" s="34" t="n"/>
    </row>
    <row r="274" ht="60" customHeight="1">
      <c r="B274" s="32" t="inlineStr">
        <is>
          <t>RI1(b)</t>
        </is>
      </c>
      <c r="D274" s="29" t="inlineStr">
        <is>
          <t>OPTION 1:  Target-level reporting</t>
        </is>
      </c>
      <c r="E274" s="33">
        <f>'A1. Data scoring'!M270</f>
        <v/>
      </c>
      <c r="F274" s="33">
        <f>'A1. Data scoring'!O270</f>
        <v/>
      </c>
      <c r="O274" s="34" t="n"/>
    </row>
    <row r="275" ht="60" customHeight="1">
      <c r="B275" s="32" t="inlineStr">
        <is>
          <t>RI1(b)</t>
        </is>
      </c>
      <c r="D275" s="29" t="inlineStr">
        <is>
          <t>OPTION 2:  Indicator level reporting</t>
        </is>
      </c>
      <c r="E275" s="33">
        <f>'A1. Data scoring'!M271</f>
        <v/>
      </c>
      <c r="F275" s="33">
        <f>'A1. Data scoring'!O271</f>
        <v/>
      </c>
      <c r="O275" s="34" t="n"/>
    </row>
    <row r="276" ht="18" customHeight="1">
      <c r="B276" s="32" t="inlineStr">
        <is>
          <t>RI1(b)</t>
        </is>
      </c>
      <c r="D276" s="29" t="inlineStr">
        <is>
          <t>Supporting information/comments</t>
        </is>
      </c>
      <c r="E276" s="33">
        <f>'A1. Data scoring'!M272</f>
        <v/>
      </c>
      <c r="F276" s="33">
        <f>'A1. Data scoring'!O272</f>
        <v/>
      </c>
      <c r="O276" s="34" t="n"/>
    </row>
    <row r="277" ht="18" customHeight="1">
      <c r="B277" s="32" t="inlineStr">
        <is>
          <t>RI1(b)</t>
        </is>
      </c>
      <c r="D277" s="29" t="inlineStr">
        <is>
          <t>Data source and limitations</t>
        </is>
      </c>
      <c r="E277" s="33">
        <f>'A1. Data scoring'!M273</f>
        <v/>
      </c>
      <c r="F277" s="33">
        <f>'A1. Data scoring'!O273</f>
        <v/>
      </c>
      <c r="O277" s="34" t="n"/>
    </row>
    <row r="278" ht="18" customHeight="1">
      <c r="B278" s="32" t="inlineStr">
        <is>
          <t>RI1(b)</t>
        </is>
      </c>
      <c r="D278" s="29" t="inlineStr">
        <is>
          <t>Data owner confirms</t>
        </is>
      </c>
      <c r="E278" s="33">
        <f>'A1. Data scoring'!M274</f>
        <v/>
      </c>
      <c r="F278" s="33">
        <f>'A1. Data scoring'!O274</f>
        <v/>
      </c>
      <c r="O278" s="35" t="n"/>
    </row>
    <row r="280">
      <c r="B280" s="7" t="inlineStr">
        <is>
          <t>EN1(a)</t>
        </is>
      </c>
      <c r="C280" s="12" t="inlineStr">
        <is>
          <t>Evidence of sustainability outcomes informed by Indigenous knowledges</t>
        </is>
      </c>
      <c r="D280" s="30" t="inlineStr">
        <is>
          <t>Unit</t>
        </is>
      </c>
      <c r="E280" s="30" t="inlineStr">
        <is>
          <t>ABP</t>
        </is>
      </c>
      <c r="F280" s="30" t="inlineStr">
        <is>
          <t>ARTS</t>
        </is>
      </c>
      <c r="G280" s="30" t="inlineStr">
        <is>
          <t>FBE</t>
        </is>
      </c>
      <c r="H280" s="30" t="inlineStr">
        <is>
          <t>SCI</t>
        </is>
      </c>
      <c r="M280" s="31">
        <f>'A1. Data scoring'!AC275</f>
        <v/>
      </c>
      <c r="N280" s="31">
        <f>'A1. Data scoring'!AF275</f>
        <v/>
      </c>
      <c r="O280" s="8" t="n"/>
    </row>
    <row r="281" ht="18" customHeight="1">
      <c r="B281" s="32" t="inlineStr">
        <is>
          <t>EN1(a)</t>
        </is>
      </c>
      <c r="D281" s="29" t="inlineStr">
        <is>
          <t>Confirm end-2026 target status</t>
        </is>
      </c>
      <c r="E281" s="33">
        <f>'A1. Data scoring'!H275</f>
        <v/>
      </c>
      <c r="F281" s="33">
        <f>'A1. Data scoring'!I275</f>
        <v/>
      </c>
      <c r="G281" s="33">
        <f>'A1. Data scoring'!J275</f>
        <v/>
      </c>
      <c r="H281" s="33">
        <f>'A1. Data scoring'!K275</f>
        <v/>
      </c>
      <c r="O281" s="34" t="n"/>
    </row>
    <row r="282" ht="60" customHeight="1">
      <c r="B282" s="32" t="inlineStr">
        <is>
          <t>EN1(a)</t>
        </is>
      </c>
      <c r="D282" s="29" t="inlineStr">
        <is>
          <t>OPTION 1:  Target-level reporting</t>
        </is>
      </c>
      <c r="E282" s="33">
        <f>'A1. Data scoring'!H276</f>
        <v/>
      </c>
      <c r="F282" s="33">
        <f>'A1. Data scoring'!I276</f>
        <v/>
      </c>
      <c r="G282" s="33">
        <f>'A1. Data scoring'!J276</f>
        <v/>
      </c>
      <c r="H282" s="33">
        <f>'A1. Data scoring'!K276</f>
        <v/>
      </c>
      <c r="O282" s="34" t="n"/>
    </row>
    <row r="283" ht="60" customHeight="1">
      <c r="B283" s="32" t="inlineStr">
        <is>
          <t>EN1(a)</t>
        </is>
      </c>
      <c r="D283" s="29" t="inlineStr">
        <is>
          <t>OPTION 2:  Indicator level reporting</t>
        </is>
      </c>
      <c r="E283" s="33">
        <f>'A1. Data scoring'!H277</f>
        <v/>
      </c>
      <c r="F283" s="33">
        <f>'A1. Data scoring'!I277</f>
        <v/>
      </c>
      <c r="G283" s="33">
        <f>'A1. Data scoring'!J277</f>
        <v/>
      </c>
      <c r="H283" s="33">
        <f>'A1. Data scoring'!K277</f>
        <v/>
      </c>
      <c r="O283" s="34" t="n"/>
    </row>
    <row r="284" ht="18" customHeight="1">
      <c r="B284" s="32" t="inlineStr">
        <is>
          <t>EN1(a)</t>
        </is>
      </c>
      <c r="D284" s="29" t="inlineStr">
        <is>
          <t>Supporting information/comments</t>
        </is>
      </c>
      <c r="E284" s="33">
        <f>'A1. Data scoring'!H278</f>
        <v/>
      </c>
      <c r="F284" s="33">
        <f>'A1. Data scoring'!I278</f>
        <v/>
      </c>
      <c r="G284" s="33">
        <f>'A1. Data scoring'!J278</f>
        <v/>
      </c>
      <c r="H284" s="33">
        <f>'A1. Data scoring'!K278</f>
        <v/>
      </c>
      <c r="O284" s="34" t="n"/>
    </row>
    <row r="285" ht="18" customHeight="1">
      <c r="B285" s="32" t="inlineStr">
        <is>
          <t>EN1(a)</t>
        </is>
      </c>
      <c r="D285" s="29" t="inlineStr">
        <is>
          <t>Data source and limitations</t>
        </is>
      </c>
      <c r="E285" s="33">
        <f>'A1. Data scoring'!H279</f>
        <v/>
      </c>
      <c r="F285" s="33">
        <f>'A1. Data scoring'!I279</f>
        <v/>
      </c>
      <c r="G285" s="33">
        <f>'A1. Data scoring'!J279</f>
        <v/>
      </c>
      <c r="H285" s="33">
        <f>'A1. Data scoring'!K279</f>
        <v/>
      </c>
      <c r="O285" s="34" t="n"/>
    </row>
    <row r="286" ht="18" customHeight="1">
      <c r="B286" s="32" t="inlineStr">
        <is>
          <t>EN1(a)</t>
        </is>
      </c>
      <c r="D286" s="29" t="inlineStr">
        <is>
          <t>Data owner confirms</t>
        </is>
      </c>
      <c r="E286" s="33">
        <f>'A1. Data scoring'!H280</f>
        <v/>
      </c>
      <c r="F286" s="33">
        <f>'A1. Data scoring'!I280</f>
        <v/>
      </c>
      <c r="G286" s="33">
        <f>'A1. Data scoring'!J280</f>
        <v/>
      </c>
      <c r="H286" s="33">
        <f>'A1. Data scoring'!K280</f>
        <v/>
      </c>
      <c r="O286" s="35" t="n"/>
    </row>
    <row r="288">
      <c r="B288" s="7" t="inlineStr">
        <is>
          <t>EN1(b)</t>
        </is>
      </c>
      <c r="C288" s="12" t="inlineStr">
        <is>
          <t>Living laboratories enabling applied learning, research and operational sustainability outcomes</t>
        </is>
      </c>
      <c r="D288" s="30" t="inlineStr">
        <is>
          <t>Unit</t>
        </is>
      </c>
      <c r="E288" s="30" t="inlineStr">
        <is>
          <t>ABP</t>
        </is>
      </c>
      <c r="F288" s="30" t="inlineStr">
        <is>
          <t>ARTS</t>
        </is>
      </c>
      <c r="G288" s="30" t="inlineStr">
        <is>
          <t>FBE</t>
        </is>
      </c>
      <c r="H288" s="30" t="inlineStr">
        <is>
          <t>SCI</t>
        </is>
      </c>
      <c r="I288" s="30" t="inlineStr">
        <is>
          <t>CI&amp;S – Sustainability Strategy</t>
        </is>
      </c>
      <c r="M288" s="31">
        <f>'A1. Data scoring'!AC281</f>
        <v/>
      </c>
      <c r="N288" s="31">
        <f>'A1. Data scoring'!AF281</f>
        <v/>
      </c>
      <c r="O288" s="8" t="n"/>
    </row>
    <row r="289" ht="18" customHeight="1">
      <c r="B289" s="32" t="inlineStr">
        <is>
          <t>EN1(b)</t>
        </is>
      </c>
      <c r="D289" s="29" t="inlineStr">
        <is>
          <t>Confirm end-2026 target status</t>
        </is>
      </c>
      <c r="E289" s="33">
        <f>'A1. Data scoring'!H281</f>
        <v/>
      </c>
      <c r="F289" s="33">
        <f>'A1. Data scoring'!I281</f>
        <v/>
      </c>
      <c r="G289" s="33">
        <f>'A1. Data scoring'!J281</f>
        <v/>
      </c>
      <c r="H289" s="33">
        <f>'A1. Data scoring'!K281</f>
        <v/>
      </c>
      <c r="I289" s="33">
        <f>'A1. Data scoring'!M281</f>
        <v/>
      </c>
      <c r="O289" s="34" t="n"/>
    </row>
    <row r="290" ht="60" customHeight="1">
      <c r="B290" s="32" t="inlineStr">
        <is>
          <t>EN1(b)</t>
        </is>
      </c>
      <c r="D290" s="29" t="inlineStr">
        <is>
          <t>OPTION 1:  Target-level reporting</t>
        </is>
      </c>
      <c r="E290" s="33">
        <f>'A1. Data scoring'!H282</f>
        <v/>
      </c>
      <c r="F290" s="33">
        <f>'A1. Data scoring'!I282</f>
        <v/>
      </c>
      <c r="G290" s="33">
        <f>'A1. Data scoring'!J282</f>
        <v/>
      </c>
      <c r="H290" s="33">
        <f>'A1. Data scoring'!K282</f>
        <v/>
      </c>
      <c r="I290" s="33">
        <f>'A1. Data scoring'!M282</f>
        <v/>
      </c>
      <c r="O290" s="34" t="n"/>
    </row>
    <row r="291" ht="60" customHeight="1">
      <c r="B291" s="32" t="inlineStr">
        <is>
          <t>EN1(b)</t>
        </is>
      </c>
      <c r="D291" s="29" t="inlineStr">
        <is>
          <t>OPTION 2:  Indicator level reporting</t>
        </is>
      </c>
      <c r="E291" s="33">
        <f>'A1. Data scoring'!H283</f>
        <v/>
      </c>
      <c r="F291" s="33">
        <f>'A1. Data scoring'!I283</f>
        <v/>
      </c>
      <c r="G291" s="33">
        <f>'A1. Data scoring'!J283</f>
        <v/>
      </c>
      <c r="H291" s="33">
        <f>'A1. Data scoring'!K283</f>
        <v/>
      </c>
      <c r="I291" s="33">
        <f>'A1. Data scoring'!M283</f>
        <v/>
      </c>
      <c r="O291" s="34" t="n"/>
    </row>
    <row r="292" ht="18" customHeight="1">
      <c r="B292" s="32" t="inlineStr">
        <is>
          <t>EN1(b)</t>
        </is>
      </c>
      <c r="D292" s="29" t="inlineStr">
        <is>
          <t>Supporting information/comments</t>
        </is>
      </c>
      <c r="E292" s="33">
        <f>'A1. Data scoring'!H284</f>
        <v/>
      </c>
      <c r="F292" s="33">
        <f>'A1. Data scoring'!I284</f>
        <v/>
      </c>
      <c r="G292" s="33">
        <f>'A1. Data scoring'!J284</f>
        <v/>
      </c>
      <c r="H292" s="33">
        <f>'A1. Data scoring'!K284</f>
        <v/>
      </c>
      <c r="I292" s="33">
        <f>'A1. Data scoring'!M284</f>
        <v/>
      </c>
      <c r="O292" s="34" t="n"/>
    </row>
    <row r="293" ht="18" customHeight="1">
      <c r="B293" s="32" t="inlineStr">
        <is>
          <t>EN1(b)</t>
        </is>
      </c>
      <c r="D293" s="29" t="inlineStr">
        <is>
          <t>Data source and limitations</t>
        </is>
      </c>
      <c r="E293" s="33">
        <f>'A1. Data scoring'!H285</f>
        <v/>
      </c>
      <c r="F293" s="33">
        <f>'A1. Data scoring'!I285</f>
        <v/>
      </c>
      <c r="G293" s="33">
        <f>'A1. Data scoring'!J285</f>
        <v/>
      </c>
      <c r="H293" s="33">
        <f>'A1. Data scoring'!K285</f>
        <v/>
      </c>
      <c r="I293" s="33">
        <f>'A1. Data scoring'!M285</f>
        <v/>
      </c>
      <c r="O293" s="34" t="n"/>
    </row>
    <row r="294" ht="18" customHeight="1">
      <c r="B294" s="32" t="inlineStr">
        <is>
          <t>EN1(b)</t>
        </is>
      </c>
      <c r="D294" s="29" t="inlineStr">
        <is>
          <t>Data owner confirms</t>
        </is>
      </c>
      <c r="E294" s="33">
        <f>'A1. Data scoring'!H286</f>
        <v/>
      </c>
      <c r="F294" s="33">
        <f>'A1. Data scoring'!I286</f>
        <v/>
      </c>
      <c r="G294" s="33">
        <f>'A1. Data scoring'!J286</f>
        <v/>
      </c>
      <c r="H294" s="33">
        <f>'A1. Data scoring'!K286</f>
        <v/>
      </c>
      <c r="I294" s="33">
        <f>'A1. Data scoring'!M286</f>
        <v/>
      </c>
      <c r="O294" s="35" t="n"/>
    </row>
    <row r="296">
      <c r="B296" s="7" t="inlineStr">
        <is>
          <t>EN1(c)</t>
        </is>
      </c>
      <c r="C296" s="12" t="inlineStr">
        <is>
          <t>Coordinated internal engagement and external partnerships contributing to delivery of sustainability outcomes across priority areas.</t>
        </is>
      </c>
      <c r="D296" s="30" t="inlineStr">
        <is>
          <t>Unit</t>
        </is>
      </c>
      <c r="E296" s="30" t="inlineStr">
        <is>
          <t>ABP</t>
        </is>
      </c>
      <c r="F296" s="30" t="inlineStr">
        <is>
          <t>ARTS</t>
        </is>
      </c>
      <c r="G296" s="30" t="inlineStr">
        <is>
          <t>FBE</t>
        </is>
      </c>
      <c r="H296" s="30" t="inlineStr">
        <is>
          <t>SCI</t>
        </is>
      </c>
      <c r="I296" s="30" t="inlineStr">
        <is>
          <t>CI&amp;S – Sustainability Strategy</t>
        </is>
      </c>
      <c r="J296" s="30" t="inlineStr">
        <is>
          <t>CFOG – Procurement</t>
        </is>
      </c>
      <c r="K296" s="30" t="inlineStr">
        <is>
          <t>ESG – Campus Operations &amp; Sustainability Delivery</t>
        </is>
      </c>
      <c r="L296" s="30" t="inlineStr">
        <is>
          <t>CIOG – Responsible AI &amp; digital</t>
        </is>
      </c>
      <c r="M296" s="31">
        <f>'A1. Data scoring'!AC287</f>
        <v/>
      </c>
      <c r="N296" s="31">
        <f>'A1. Data scoring'!AF287</f>
        <v/>
      </c>
      <c r="O296" s="8" t="n"/>
    </row>
    <row r="297" ht="18" customHeight="1">
      <c r="B297" s="32" t="inlineStr">
        <is>
          <t>EN1(c)</t>
        </is>
      </c>
      <c r="D297" s="29" t="inlineStr">
        <is>
          <t>Confirm end-2026 target status</t>
        </is>
      </c>
      <c r="E297" s="33">
        <f>'A1. Data scoring'!H287</f>
        <v/>
      </c>
      <c r="F297" s="33">
        <f>'A1. Data scoring'!I287</f>
        <v/>
      </c>
      <c r="G297" s="33">
        <f>'A1. Data scoring'!J287</f>
        <v/>
      </c>
      <c r="H297" s="33">
        <f>'A1. Data scoring'!K287</f>
        <v/>
      </c>
      <c r="I297" s="33">
        <f>'A1. Data scoring'!M287</f>
        <v/>
      </c>
      <c r="J297" s="33">
        <f>'A1. Data scoring'!N287</f>
        <v/>
      </c>
      <c r="K297" s="33">
        <f>'A1. Data scoring'!P287</f>
        <v/>
      </c>
      <c r="L297" s="33">
        <f>'A1. Data scoring'!Q287</f>
        <v/>
      </c>
      <c r="O297" s="34" t="n"/>
    </row>
    <row r="298" ht="60" customHeight="1">
      <c r="B298" s="32" t="inlineStr">
        <is>
          <t>EN1(c)</t>
        </is>
      </c>
      <c r="D298" s="29" t="inlineStr">
        <is>
          <t>OPTION 1:  Target-level reporting</t>
        </is>
      </c>
      <c r="E298" s="33">
        <f>'A1. Data scoring'!H288</f>
        <v/>
      </c>
      <c r="F298" s="33">
        <f>'A1. Data scoring'!I288</f>
        <v/>
      </c>
      <c r="G298" s="33">
        <f>'A1. Data scoring'!J288</f>
        <v/>
      </c>
      <c r="H298" s="33">
        <f>'A1. Data scoring'!K288</f>
        <v/>
      </c>
      <c r="I298" s="33">
        <f>'A1. Data scoring'!M288</f>
        <v/>
      </c>
      <c r="J298" s="33">
        <f>'A1. Data scoring'!N288</f>
        <v/>
      </c>
      <c r="K298" s="33">
        <f>'A1. Data scoring'!P288</f>
        <v/>
      </c>
      <c r="L298" s="33">
        <f>'A1. Data scoring'!Q288</f>
        <v/>
      </c>
      <c r="O298" s="34" t="n"/>
    </row>
    <row r="299" ht="60" customHeight="1">
      <c r="B299" s="32" t="inlineStr">
        <is>
          <t>EN1(c)</t>
        </is>
      </c>
      <c r="D299" s="29" t="inlineStr">
        <is>
          <t>OPTION 2:  Indicator level reporting</t>
        </is>
      </c>
      <c r="E299" s="33">
        <f>'A1. Data scoring'!H289</f>
        <v/>
      </c>
      <c r="F299" s="33">
        <f>'A1. Data scoring'!I289</f>
        <v/>
      </c>
      <c r="G299" s="33">
        <f>'A1. Data scoring'!J289</f>
        <v/>
      </c>
      <c r="H299" s="33">
        <f>'A1. Data scoring'!K289</f>
        <v/>
      </c>
      <c r="I299" s="33">
        <f>'A1. Data scoring'!M289</f>
        <v/>
      </c>
      <c r="J299" s="33">
        <f>'A1. Data scoring'!N289</f>
        <v/>
      </c>
      <c r="K299" s="33">
        <f>'A1. Data scoring'!P289</f>
        <v/>
      </c>
      <c r="L299" s="33">
        <f>'A1. Data scoring'!Q289</f>
        <v/>
      </c>
      <c r="O299" s="34" t="n"/>
    </row>
    <row r="300" ht="18" customHeight="1">
      <c r="B300" s="32" t="inlineStr">
        <is>
          <t>EN1(c)</t>
        </is>
      </c>
      <c r="D300" s="29" t="inlineStr">
        <is>
          <t>Supporting information/comments</t>
        </is>
      </c>
      <c r="E300" s="33">
        <f>'A1. Data scoring'!H290</f>
        <v/>
      </c>
      <c r="F300" s="33">
        <f>'A1. Data scoring'!I290</f>
        <v/>
      </c>
      <c r="G300" s="33">
        <f>'A1. Data scoring'!J290</f>
        <v/>
      </c>
      <c r="H300" s="33">
        <f>'A1. Data scoring'!K290</f>
        <v/>
      </c>
      <c r="I300" s="33">
        <f>'A1. Data scoring'!M290</f>
        <v/>
      </c>
      <c r="J300" s="33">
        <f>'A1. Data scoring'!N290</f>
        <v/>
      </c>
      <c r="K300" s="33">
        <f>'A1. Data scoring'!P290</f>
        <v/>
      </c>
      <c r="L300" s="33">
        <f>'A1. Data scoring'!Q290</f>
        <v/>
      </c>
      <c r="O300" s="34" t="n"/>
    </row>
    <row r="301" ht="18" customHeight="1">
      <c r="B301" s="32" t="inlineStr">
        <is>
          <t>EN1(c)</t>
        </is>
      </c>
      <c r="D301" s="29" t="inlineStr">
        <is>
          <t>Data source and limitations</t>
        </is>
      </c>
      <c r="E301" s="33">
        <f>'A1. Data scoring'!H291</f>
        <v/>
      </c>
      <c r="F301" s="33">
        <f>'A1. Data scoring'!I291</f>
        <v/>
      </c>
      <c r="G301" s="33">
        <f>'A1. Data scoring'!J291</f>
        <v/>
      </c>
      <c r="H301" s="33">
        <f>'A1. Data scoring'!K291</f>
        <v/>
      </c>
      <c r="I301" s="33">
        <f>'A1. Data scoring'!M291</f>
        <v/>
      </c>
      <c r="J301" s="33">
        <f>'A1. Data scoring'!N291</f>
        <v/>
      </c>
      <c r="K301" s="33">
        <f>'A1. Data scoring'!P291</f>
        <v/>
      </c>
      <c r="L301" s="33">
        <f>'A1. Data scoring'!Q291</f>
        <v/>
      </c>
      <c r="O301" s="34" t="n"/>
    </row>
    <row r="302" ht="18" customHeight="1">
      <c r="B302" s="32" t="inlineStr">
        <is>
          <t>EN1(c)</t>
        </is>
      </c>
      <c r="D302" s="29" t="inlineStr">
        <is>
          <t>Data owner confirms</t>
        </is>
      </c>
      <c r="E302" s="33">
        <f>'A1. Data scoring'!H292</f>
        <v/>
      </c>
      <c r="F302" s="33">
        <f>'A1. Data scoring'!I292</f>
        <v/>
      </c>
      <c r="G302" s="33">
        <f>'A1. Data scoring'!J292</f>
        <v/>
      </c>
      <c r="H302" s="33">
        <f>'A1. Data scoring'!K292</f>
        <v/>
      </c>
      <c r="I302" s="33">
        <f>'A1. Data scoring'!M292</f>
        <v/>
      </c>
      <c r="J302" s="33">
        <f>'A1. Data scoring'!N292</f>
        <v/>
      </c>
      <c r="K302" s="33">
        <f>'A1. Data scoring'!P292</f>
        <v/>
      </c>
      <c r="L302" s="33">
        <f>'A1. Data scoring'!Q292</f>
        <v/>
      </c>
      <c r="O302" s="35" t="n"/>
    </row>
    <row r="304">
      <c r="B304" s="7" t="inlineStr">
        <is>
          <t>EN1(d)</t>
        </is>
      </c>
      <c r="C304" s="12" t="inlineStr">
        <is>
          <t>Sustainability objectives integrated into governance and decision‑making processes, supported by transparent reporting.</t>
        </is>
      </c>
      <c r="D304" s="30" t="inlineStr">
        <is>
          <t>Unit</t>
        </is>
      </c>
      <c r="E304" s="30" t="inlineStr">
        <is>
          <t>ABP</t>
        </is>
      </c>
      <c r="F304" s="30" t="inlineStr">
        <is>
          <t>ARTS</t>
        </is>
      </c>
      <c r="G304" s="30" t="inlineStr">
        <is>
          <t>FBE</t>
        </is>
      </c>
      <c r="H304" s="30" t="inlineStr">
        <is>
          <t>SCI</t>
        </is>
      </c>
      <c r="I304" s="30" t="inlineStr">
        <is>
          <t>CI&amp;S – Sustainability Strategy</t>
        </is>
      </c>
      <c r="J304" s="30" t="inlineStr">
        <is>
          <t>CFOG – Procurement</t>
        </is>
      </c>
      <c r="K304" s="30" t="inlineStr">
        <is>
          <t>ESG – Campus Operations &amp; Sustainability Delivery</t>
        </is>
      </c>
      <c r="L304" s="30" t="inlineStr">
        <is>
          <t>CIOG – Responsible AI &amp; digital</t>
        </is>
      </c>
      <c r="M304" s="31">
        <f>'A1. Data scoring'!AC293</f>
        <v/>
      </c>
      <c r="N304" s="31">
        <f>'A1. Data scoring'!AF293</f>
        <v/>
      </c>
      <c r="O304" s="8" t="n"/>
    </row>
    <row r="305" ht="18" customHeight="1">
      <c r="B305" s="32" t="inlineStr">
        <is>
          <t>EN1(d)</t>
        </is>
      </c>
      <c r="D305" s="29" t="inlineStr">
        <is>
          <t>Confirm end-2026 target status</t>
        </is>
      </c>
      <c r="E305" s="33">
        <f>'A1. Data scoring'!H293</f>
        <v/>
      </c>
      <c r="F305" s="33">
        <f>'A1. Data scoring'!I293</f>
        <v/>
      </c>
      <c r="G305" s="33">
        <f>'A1. Data scoring'!J293</f>
        <v/>
      </c>
      <c r="H305" s="33">
        <f>'A1. Data scoring'!K293</f>
        <v/>
      </c>
      <c r="I305" s="33">
        <f>'A1. Data scoring'!M293</f>
        <v/>
      </c>
      <c r="J305" s="33">
        <f>'A1. Data scoring'!N293</f>
        <v/>
      </c>
      <c r="K305" s="33">
        <f>'A1. Data scoring'!P293</f>
        <v/>
      </c>
      <c r="L305" s="33">
        <f>'A1. Data scoring'!Q293</f>
        <v/>
      </c>
      <c r="O305" s="34" t="n"/>
    </row>
    <row r="306" ht="60" customHeight="1">
      <c r="B306" s="32" t="inlineStr">
        <is>
          <t>EN1(d)</t>
        </is>
      </c>
      <c r="D306" s="29" t="inlineStr">
        <is>
          <t>OPTION 1:  Target-level reporting</t>
        </is>
      </c>
      <c r="E306" s="33">
        <f>'A1. Data scoring'!H294</f>
        <v/>
      </c>
      <c r="F306" s="33">
        <f>'A1. Data scoring'!I294</f>
        <v/>
      </c>
      <c r="G306" s="33">
        <f>'A1. Data scoring'!J294</f>
        <v/>
      </c>
      <c r="H306" s="33">
        <f>'A1. Data scoring'!K294</f>
        <v/>
      </c>
      <c r="I306" s="33">
        <f>'A1. Data scoring'!M294</f>
        <v/>
      </c>
      <c r="J306" s="33">
        <f>'A1. Data scoring'!N294</f>
        <v/>
      </c>
      <c r="K306" s="33">
        <f>'A1. Data scoring'!P294</f>
        <v/>
      </c>
      <c r="L306" s="33">
        <f>'A1. Data scoring'!Q294</f>
        <v/>
      </c>
      <c r="O306" s="34" t="n"/>
    </row>
    <row r="307" ht="60" customHeight="1">
      <c r="B307" s="32" t="inlineStr">
        <is>
          <t>EN1(d)</t>
        </is>
      </c>
      <c r="D307" s="29" t="inlineStr">
        <is>
          <t>OPTION 2:  Indicator level reporting</t>
        </is>
      </c>
      <c r="E307" s="33">
        <f>'A1. Data scoring'!H295</f>
        <v/>
      </c>
      <c r="F307" s="33">
        <f>'A1. Data scoring'!I295</f>
        <v/>
      </c>
      <c r="G307" s="33">
        <f>'A1. Data scoring'!J295</f>
        <v/>
      </c>
      <c r="H307" s="33">
        <f>'A1. Data scoring'!K295</f>
        <v/>
      </c>
      <c r="I307" s="33">
        <f>'A1. Data scoring'!M295</f>
        <v/>
      </c>
      <c r="J307" s="33">
        <f>'A1. Data scoring'!N295</f>
        <v/>
      </c>
      <c r="K307" s="33">
        <f>'A1. Data scoring'!P295</f>
        <v/>
      </c>
      <c r="L307" s="33">
        <f>'A1. Data scoring'!Q295</f>
        <v/>
      </c>
      <c r="O307" s="34" t="n"/>
    </row>
    <row r="308" ht="18" customHeight="1">
      <c r="B308" s="32" t="inlineStr">
        <is>
          <t>EN1(d)</t>
        </is>
      </c>
      <c r="D308" s="29" t="inlineStr">
        <is>
          <t>Supporting information/comments</t>
        </is>
      </c>
      <c r="E308" s="33">
        <f>'A1. Data scoring'!H296</f>
        <v/>
      </c>
      <c r="F308" s="33">
        <f>'A1. Data scoring'!I296</f>
        <v/>
      </c>
      <c r="G308" s="33">
        <f>'A1. Data scoring'!J296</f>
        <v/>
      </c>
      <c r="H308" s="33">
        <f>'A1. Data scoring'!K296</f>
        <v/>
      </c>
      <c r="I308" s="33">
        <f>'A1. Data scoring'!M296</f>
        <v/>
      </c>
      <c r="J308" s="33">
        <f>'A1. Data scoring'!N296</f>
        <v/>
      </c>
      <c r="K308" s="33">
        <f>'A1. Data scoring'!P296</f>
        <v/>
      </c>
      <c r="L308" s="33">
        <f>'A1. Data scoring'!Q296</f>
        <v/>
      </c>
      <c r="O308" s="34" t="n"/>
    </row>
    <row r="309" ht="18" customHeight="1">
      <c r="B309" s="32" t="inlineStr">
        <is>
          <t>EN1(d)</t>
        </is>
      </c>
      <c r="D309" s="29" t="inlineStr">
        <is>
          <t>Data source and limitations</t>
        </is>
      </c>
      <c r="E309" s="33">
        <f>'A1. Data scoring'!H297</f>
        <v/>
      </c>
      <c r="F309" s="33">
        <f>'A1. Data scoring'!I297</f>
        <v/>
      </c>
      <c r="G309" s="33">
        <f>'A1. Data scoring'!J297</f>
        <v/>
      </c>
      <c r="H309" s="33">
        <f>'A1. Data scoring'!K297</f>
        <v/>
      </c>
      <c r="I309" s="33">
        <f>'A1. Data scoring'!M297</f>
        <v/>
      </c>
      <c r="J309" s="33">
        <f>'A1. Data scoring'!N297</f>
        <v/>
      </c>
      <c r="K309" s="33">
        <f>'A1. Data scoring'!P297</f>
        <v/>
      </c>
      <c r="L309" s="33">
        <f>'A1. Data scoring'!Q297</f>
        <v/>
      </c>
      <c r="O309" s="34" t="n"/>
    </row>
    <row r="310" ht="18" customHeight="1">
      <c r="B310" s="32" t="inlineStr">
        <is>
          <t>EN1(d)</t>
        </is>
      </c>
      <c r="D310" s="29" t="inlineStr">
        <is>
          <t>Data owner confirms</t>
        </is>
      </c>
      <c r="E310" s="33">
        <f>'A1. Data scoring'!H298</f>
        <v/>
      </c>
      <c r="F310" s="33">
        <f>'A1. Data scoring'!I298</f>
        <v/>
      </c>
      <c r="G310" s="33">
        <f>'A1. Data scoring'!J298</f>
        <v/>
      </c>
      <c r="H310" s="33">
        <f>'A1. Data scoring'!K298</f>
        <v/>
      </c>
      <c r="I310" s="33">
        <f>'A1. Data scoring'!M298</f>
        <v/>
      </c>
      <c r="J310" s="33">
        <f>'A1. Data scoring'!N298</f>
        <v/>
      </c>
      <c r="K310" s="33">
        <f>'A1. Data scoring'!P298</f>
        <v/>
      </c>
      <c r="L310" s="33">
        <f>'A1. Data scoring'!Q298</f>
        <v/>
      </c>
      <c r="O310" s="35" t="n"/>
    </row>
  </sheetData>
  <autoFilter ref="B7:O312"/>
  <mergeCells count="77">
    <mergeCell ref="O80:O86"/>
    <mergeCell ref="O64:O70"/>
    <mergeCell ref="C185:C190"/>
    <mergeCell ref="O248:O254"/>
    <mergeCell ref="C225:C230"/>
    <mergeCell ref="C265:C270"/>
    <mergeCell ref="O232:O238"/>
    <mergeCell ref="C177:C182"/>
    <mergeCell ref="C41:C46"/>
    <mergeCell ref="O144:O150"/>
    <mergeCell ref="O272:O278"/>
    <mergeCell ref="O48:O54"/>
    <mergeCell ref="O224:O230"/>
    <mergeCell ref="C201:C206"/>
    <mergeCell ref="C105:C110"/>
    <mergeCell ref="O208:O214"/>
    <mergeCell ref="C129:C134"/>
    <mergeCell ref="C17:C22"/>
    <mergeCell ref="O24:O30"/>
    <mergeCell ref="O16:O22"/>
    <mergeCell ref="O88:O94"/>
    <mergeCell ref="C49:C54"/>
    <mergeCell ref="O264:O270"/>
    <mergeCell ref="C97:C102"/>
    <mergeCell ref="C281:C286"/>
    <mergeCell ref="C113:C118"/>
    <mergeCell ref="C65:C70"/>
    <mergeCell ref="D4:J5"/>
    <mergeCell ref="O72:O78"/>
    <mergeCell ref="C193:C198"/>
    <mergeCell ref="C273:C278"/>
    <mergeCell ref="O240:O246"/>
    <mergeCell ref="O96:O102"/>
    <mergeCell ref="O136:O142"/>
    <mergeCell ref="C257:C262"/>
    <mergeCell ref="C297:C302"/>
    <mergeCell ref="C153:C158"/>
    <mergeCell ref="O304:O310"/>
    <mergeCell ref="O120:O126"/>
    <mergeCell ref="C241:C246"/>
    <mergeCell ref="O176:O182"/>
    <mergeCell ref="O288:O294"/>
    <mergeCell ref="C209:C214"/>
    <mergeCell ref="O184:O190"/>
    <mergeCell ref="C249:C254"/>
    <mergeCell ref="O216:O222"/>
    <mergeCell ref="O112:O118"/>
    <mergeCell ref="O296:O302"/>
    <mergeCell ref="C57:C62"/>
    <mergeCell ref="O280:O286"/>
    <mergeCell ref="O56:O62"/>
    <mergeCell ref="C33:C38"/>
    <mergeCell ref="C73:C78"/>
    <mergeCell ref="O32:O38"/>
    <mergeCell ref="O40:O46"/>
    <mergeCell ref="C25:C30"/>
    <mergeCell ref="C9:C14"/>
    <mergeCell ref="O152:O158"/>
    <mergeCell ref="C169:C174"/>
    <mergeCell ref="C233:C238"/>
    <mergeCell ref="O160:O166"/>
    <mergeCell ref="O200:O206"/>
    <mergeCell ref="C81:C86"/>
    <mergeCell ref="C161:C166"/>
    <mergeCell ref="C217:C222"/>
    <mergeCell ref="O128:O134"/>
    <mergeCell ref="O168:O174"/>
    <mergeCell ref="C289:C294"/>
    <mergeCell ref="C145:C150"/>
    <mergeCell ref="O192:O198"/>
    <mergeCell ref="C89:C94"/>
    <mergeCell ref="C137:C142"/>
    <mergeCell ref="O104:O110"/>
    <mergeCell ref="O8:O14"/>
    <mergeCell ref="C121:C126"/>
    <mergeCell ref="C305:C310"/>
    <mergeCell ref="O256:O262"/>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21"/>
  <sheetViews>
    <sheetView showGridLines="0" workbookViewId="0">
      <pane xSplit="2" ySplit="14" topLeftCell="C15" activePane="bottomRight" state="frozen"/>
      <selection pane="topRight"/>
      <selection pane="bottomLeft"/>
      <selection pane="bottomRight" activeCell="A1" sqref="A1"/>
    </sheetView>
  </sheetViews>
  <sheetFormatPr baseColWidth="8" defaultRowHeight="15"/>
  <cols>
    <col width="26" customWidth="1" min="2" max="2"/>
    <col width="30" customWidth="1" min="3" max="3"/>
    <col width="30" customWidth="1" min="4" max="4"/>
    <col width="30" customWidth="1" min="5" max="5"/>
    <col width="30"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30" customWidth="1" min="14" max="14"/>
  </cols>
  <sheetData>
    <row r="1">
      <c r="A1" s="1" t="inlineStr">
        <is>
          <t>↑</t>
        </is>
      </c>
      <c r="B1" s="2" t="inlineStr">
        <is>
          <t>End-2026 target status assessment and reporting</t>
        </is>
      </c>
    </row>
    <row r="2">
      <c r="B2" s="3" t="inlineStr">
        <is>
          <t>T2. Single target review</t>
        </is>
      </c>
    </row>
    <row r="4">
      <c r="B4" s="15" t="inlineStr">
        <is>
          <t>Target selected</t>
        </is>
      </c>
      <c r="C4" s="36" t="inlineStr">
        <is>
          <t>EE1(a)</t>
        </is>
      </c>
      <c r="D4" t="inlineStr">
        <is>
          <t>← select an indicator ref from the dropdown</t>
        </is>
      </c>
    </row>
    <row r="5" ht="45" customHeight="1">
      <c r="B5" s="37" t="inlineStr">
        <is>
          <t>Priority area</t>
        </is>
      </c>
      <c r="C5" s="38">
        <f>IFERROR(INDEX('1. Requirements matrix'!$D$6:$D$53,MATCH($C$4,'1. Requirements matrix'!$B$6:$B$53,0)),"")</f>
        <v/>
      </c>
    </row>
    <row r="6" ht="45" customHeight="1">
      <c r="B6" s="37" t="inlineStr">
        <is>
          <t>Target</t>
        </is>
      </c>
      <c r="C6" s="38">
        <f>IFERROR(INDEX('1. Requirements matrix'!$E$6:$E$53,MATCH($C$4,'1. Requirements matrix'!$B$6:$B$53,0)),"")</f>
        <v/>
      </c>
    </row>
    <row r="7" ht="45" customHeight="1">
      <c r="B7" s="37" t="inlineStr">
        <is>
          <t>Indicator</t>
        </is>
      </c>
      <c r="C7" s="38">
        <f>IFERROR(INDEX('1. Requirements matrix'!$F$6:$F$53,MATCH($C$4,'1. Requirements matrix'!$B$6:$B$53,0)),"")</f>
        <v/>
      </c>
    </row>
    <row r="8" ht="45" customHeight="1">
      <c r="B8" s="37" t="inlineStr">
        <is>
          <t>Reporting requirement</t>
        </is>
      </c>
      <c r="C8" s="38">
        <f>IFERROR(INDEX('1. Requirements matrix'!$G$6:$G$53,MATCH($C$4,'1. Requirements matrix'!$B$6:$B$53,0)),"")</f>
        <v/>
      </c>
    </row>
    <row r="9" ht="45" customHeight="1">
      <c r="B9" s="37" t="inlineStr">
        <is>
          <t>Request issued to</t>
        </is>
      </c>
      <c r="C9" s="38">
        <f>IFERROR(INDEX('1. Requirements matrix'!$I$6:$I$53,MATCH($C$4,'1. Requirements matrix'!$B$6:$B$53,0)),"")</f>
        <v/>
      </c>
    </row>
    <row r="11">
      <c r="B11" s="39" t="inlineStr">
        <is>
          <t>Target score (text)</t>
        </is>
      </c>
      <c r="D11" s="39" t="inlineStr">
        <is>
          <t>Threshold status (SR25 rule)</t>
        </is>
      </c>
      <c r="F11" s="39" t="inlineStr">
        <is>
          <t>% met</t>
        </is>
      </c>
      <c r="H11" s="39" t="inlineStr">
        <is>
          <t>Total valid responses</t>
        </is>
      </c>
      <c r="J11" s="39" t="inlineStr">
        <is>
          <t>Requested, no response received</t>
        </is>
      </c>
    </row>
    <row r="12">
      <c r="B12" s="40">
        <f>IFERROR(INDEX('A1. Data scoring'!$AC$11:$AC$298,MATCH($C$4&amp;"|"&amp;"Confirm end-2026 target status",'A1. Data scoring'!$A$11:$A$298,0)),"")</f>
        <v/>
      </c>
      <c r="D12" s="40">
        <f>IFERROR(INDEX('A1. Data scoring'!$AF$11:$AF$298,MATCH($C$4&amp;"|"&amp;"Confirm end-2026 target status",'A1. Data scoring'!$A$11:$A$298,0)),"")</f>
        <v/>
      </c>
      <c r="F12" s="41">
        <f>IFERROR(INDEX('A1. Data scoring'!$AD$11:$AD$298,MATCH($C$4&amp;"|"&amp;"Confirm end-2026 target status",'A1. Data scoring'!$A$11:$A$298,0)),"")</f>
        <v/>
      </c>
      <c r="H12" s="40">
        <f>IFERROR(INDEX('A1. Data scoring'!$AA$11:$AA$298,MATCH($C$4&amp;"|"&amp;"Confirm end-2026 target status",'A1. Data scoring'!$A$11:$A$298,0)),"")</f>
        <v/>
      </c>
      <c r="J12" s="40">
        <f>IFERROR(INDEX('A1. Data scoring'!$U$11:$U$298,MATCH($C$4&amp;"|"&amp;"Confirm end-2026 target status",'A1. Data scoring'!$A$11:$A$298,0)),"")</f>
        <v/>
      </c>
    </row>
    <row r="14">
      <c r="B14" s="6" t="inlineStr">
        <is>
          <t>Target progress</t>
        </is>
      </c>
      <c r="C14" s="6" t="inlineStr">
        <is>
          <t>ABP</t>
        </is>
      </c>
      <c r="D14" s="6" t="inlineStr">
        <is>
          <t>ARTS</t>
        </is>
      </c>
      <c r="E14" s="6" t="inlineStr">
        <is>
          <t>FBE</t>
        </is>
      </c>
      <c r="F14" s="6" t="inlineStr">
        <is>
          <t>SCI</t>
        </is>
      </c>
      <c r="G14" s="6" t="inlineStr">
        <is>
          <t>CI&amp;S – Estate Planning &amp; Development</t>
        </is>
      </c>
      <c r="H14" s="6" t="inlineStr">
        <is>
          <t>CI&amp;S – Sustainability Strategy</t>
        </is>
      </c>
      <c r="I14" s="6" t="inlineStr">
        <is>
          <t>CFOG – Procurement</t>
        </is>
      </c>
      <c r="J14" s="6" t="inlineStr">
        <is>
          <t>CFOG – Treasury &amp; Investments</t>
        </is>
      </c>
      <c r="K14" s="6" t="inlineStr">
        <is>
          <t>ESG – Campus Operations &amp; Sustainability Delivery</t>
        </is>
      </c>
      <c r="L14" s="6" t="inlineStr">
        <is>
          <t>CIOG – Responsible AI &amp; digital</t>
        </is>
      </c>
      <c r="M14" s="6" t="inlineStr">
        <is>
          <t>MRE – Research</t>
        </is>
      </c>
      <c r="N14" s="6" t="inlineStr">
        <is>
          <t>Legal &amp; Risk – Risk &amp; resilience</t>
        </is>
      </c>
    </row>
    <row r="15">
      <c r="B15" s="30" t="inlineStr">
        <is>
          <t>Requested?</t>
        </is>
      </c>
      <c r="C15" s="42">
        <f>IFERROR(INDEX('0.5 Target Check'!C$7:C$54,MATCH($C$4,'0.5 Target Check'!$B$7:$B$54,0)),"")</f>
        <v/>
      </c>
      <c r="D15" s="42">
        <f>IFERROR(INDEX('0.5 Target Check'!D$7:D$54,MATCH($C$4,'0.5 Target Check'!$B$7:$B$54,0)),"")</f>
        <v/>
      </c>
      <c r="E15" s="42">
        <f>IFERROR(INDEX('0.5 Target Check'!E$7:E$54,MATCH($C$4,'0.5 Target Check'!$B$7:$B$54,0)),"")</f>
        <v/>
      </c>
      <c r="F15" s="42">
        <f>IFERROR(INDEX('0.5 Target Check'!F$7:F$54,MATCH($C$4,'0.5 Target Check'!$B$7:$B$54,0)),"")</f>
        <v/>
      </c>
      <c r="G15" s="42">
        <f>IFERROR(INDEX('0.5 Target Check'!G$7:G$54,MATCH($C$4,'0.5 Target Check'!$B$7:$B$54,0)),"")</f>
        <v/>
      </c>
      <c r="H15" s="42">
        <f>IFERROR(INDEX('0.5 Target Check'!H$7:H$54,MATCH($C$4,'0.5 Target Check'!$B$7:$B$54,0)),"")</f>
        <v/>
      </c>
      <c r="I15" s="42">
        <f>IFERROR(INDEX('0.5 Target Check'!I$7:I$54,MATCH($C$4,'0.5 Target Check'!$B$7:$B$54,0)),"")</f>
        <v/>
      </c>
      <c r="J15" s="42">
        <f>IFERROR(INDEX('0.5 Target Check'!J$7:J$54,MATCH($C$4,'0.5 Target Check'!$B$7:$B$54,0)),"")</f>
        <v/>
      </c>
      <c r="K15" s="42">
        <f>IFERROR(INDEX('0.5 Target Check'!K$7:K$54,MATCH($C$4,'0.5 Target Check'!$B$7:$B$54,0)),"")</f>
        <v/>
      </c>
      <c r="L15" s="42">
        <f>IFERROR(INDEX('0.5 Target Check'!L$7:L$54,MATCH($C$4,'0.5 Target Check'!$B$7:$B$54,0)),"")</f>
        <v/>
      </c>
      <c r="M15" s="42">
        <f>IFERROR(INDEX('0.5 Target Check'!M$7:M$54,MATCH($C$4,'0.5 Target Check'!$B$7:$B$54,0)),"")</f>
        <v/>
      </c>
      <c r="N15" s="42">
        <f>IFERROR(INDEX('0.5 Target Check'!N$7:N$54,MATCH($C$4,'0.5 Target Check'!$B$7:$B$54,0)),"")</f>
        <v/>
      </c>
    </row>
    <row r="16" ht="45" customHeight="1">
      <c r="B16" s="7" t="inlineStr">
        <is>
          <t>Confirm end-2026 target status</t>
        </is>
      </c>
      <c r="C16" s="8">
        <f>IFERROR(INDEX('A1. Data scoring'!H$11:H$298,MATCH($C$4&amp;"|"&amp;$B16,'A1. Data scoring'!$A$11:$A$298,0)),"")</f>
        <v/>
      </c>
      <c r="D16" s="8">
        <f>IFERROR(INDEX('A1. Data scoring'!I$11:I$298,MATCH($C$4&amp;"|"&amp;$B16,'A1. Data scoring'!$A$11:$A$298,0)),"")</f>
        <v/>
      </c>
      <c r="E16" s="8">
        <f>IFERROR(INDEX('A1. Data scoring'!J$11:J$298,MATCH($C$4&amp;"|"&amp;$B16,'A1. Data scoring'!$A$11:$A$298,0)),"")</f>
        <v/>
      </c>
      <c r="F16" s="8">
        <f>IFERROR(INDEX('A1. Data scoring'!K$11:K$298,MATCH($C$4&amp;"|"&amp;$B16,'A1. Data scoring'!$A$11:$A$298,0)),"")</f>
        <v/>
      </c>
      <c r="G16" s="8">
        <f>IFERROR(INDEX('A1. Data scoring'!L$11:L$298,MATCH($C$4&amp;"|"&amp;$B16,'A1. Data scoring'!$A$11:$A$298,0)),"")</f>
        <v/>
      </c>
      <c r="H16" s="8">
        <f>IFERROR(INDEX('A1. Data scoring'!M$11:M$298,MATCH($C$4&amp;"|"&amp;$B16,'A1. Data scoring'!$A$11:$A$298,0)),"")</f>
        <v/>
      </c>
      <c r="I16" s="8">
        <f>IFERROR(INDEX('A1. Data scoring'!N$11:N$298,MATCH($C$4&amp;"|"&amp;$B16,'A1. Data scoring'!$A$11:$A$298,0)),"")</f>
        <v/>
      </c>
      <c r="J16" s="8">
        <f>IFERROR(INDEX('A1. Data scoring'!O$11:O$298,MATCH($C$4&amp;"|"&amp;$B16,'A1. Data scoring'!$A$11:$A$298,0)),"")</f>
        <v/>
      </c>
      <c r="K16" s="8">
        <f>IFERROR(INDEX('A1. Data scoring'!P$11:P$298,MATCH($C$4&amp;"|"&amp;$B16,'A1. Data scoring'!$A$11:$A$298,0)),"")</f>
        <v/>
      </c>
      <c r="L16" s="8">
        <f>IFERROR(INDEX('A1. Data scoring'!Q$11:Q$298,MATCH($C$4&amp;"|"&amp;$B16,'A1. Data scoring'!$A$11:$A$298,0)),"")</f>
        <v/>
      </c>
      <c r="M16" s="8">
        <f>IFERROR(INDEX('A1. Data scoring'!R$11:R$298,MATCH($C$4&amp;"|"&amp;$B16,'A1. Data scoring'!$A$11:$A$298,0)),"")</f>
        <v/>
      </c>
      <c r="N16" s="8">
        <f>IFERROR(INDEX('A1. Data scoring'!S$11:S$298,MATCH($C$4&amp;"|"&amp;$B16,'A1. Data scoring'!$A$11:$A$298,0)),"")</f>
        <v/>
      </c>
    </row>
    <row r="17" ht="120" customHeight="1">
      <c r="B17" s="7" t="inlineStr">
        <is>
          <t>OPTION 1:  Target-level reporting</t>
        </is>
      </c>
      <c r="C17" s="8">
        <f>IFERROR(INDEX('A1. Data scoring'!H$11:H$298,MATCH($C$4&amp;"|"&amp;$B17,'A1. Data scoring'!$A$11:$A$298,0)),"")</f>
        <v/>
      </c>
      <c r="D17" s="8">
        <f>IFERROR(INDEX('A1. Data scoring'!I$11:I$298,MATCH($C$4&amp;"|"&amp;$B17,'A1. Data scoring'!$A$11:$A$298,0)),"")</f>
        <v/>
      </c>
      <c r="E17" s="8">
        <f>IFERROR(INDEX('A1. Data scoring'!J$11:J$298,MATCH($C$4&amp;"|"&amp;$B17,'A1. Data scoring'!$A$11:$A$298,0)),"")</f>
        <v/>
      </c>
      <c r="F17" s="8">
        <f>IFERROR(INDEX('A1. Data scoring'!K$11:K$298,MATCH($C$4&amp;"|"&amp;$B17,'A1. Data scoring'!$A$11:$A$298,0)),"")</f>
        <v/>
      </c>
      <c r="G17" s="8">
        <f>IFERROR(INDEX('A1. Data scoring'!L$11:L$298,MATCH($C$4&amp;"|"&amp;$B17,'A1. Data scoring'!$A$11:$A$298,0)),"")</f>
        <v/>
      </c>
      <c r="H17" s="8">
        <f>IFERROR(INDEX('A1. Data scoring'!M$11:M$298,MATCH($C$4&amp;"|"&amp;$B17,'A1. Data scoring'!$A$11:$A$298,0)),"")</f>
        <v/>
      </c>
      <c r="I17" s="8">
        <f>IFERROR(INDEX('A1. Data scoring'!N$11:N$298,MATCH($C$4&amp;"|"&amp;$B17,'A1. Data scoring'!$A$11:$A$298,0)),"")</f>
        <v/>
      </c>
      <c r="J17" s="8">
        <f>IFERROR(INDEX('A1. Data scoring'!O$11:O$298,MATCH($C$4&amp;"|"&amp;$B17,'A1. Data scoring'!$A$11:$A$298,0)),"")</f>
        <v/>
      </c>
      <c r="K17" s="8">
        <f>IFERROR(INDEX('A1. Data scoring'!P$11:P$298,MATCH($C$4&amp;"|"&amp;$B17,'A1. Data scoring'!$A$11:$A$298,0)),"")</f>
        <v/>
      </c>
      <c r="L17" s="8">
        <f>IFERROR(INDEX('A1. Data scoring'!Q$11:Q$298,MATCH($C$4&amp;"|"&amp;$B17,'A1. Data scoring'!$A$11:$A$298,0)),"")</f>
        <v/>
      </c>
      <c r="M17" s="8">
        <f>IFERROR(INDEX('A1. Data scoring'!R$11:R$298,MATCH($C$4&amp;"|"&amp;$B17,'A1. Data scoring'!$A$11:$A$298,0)),"")</f>
        <v/>
      </c>
      <c r="N17" s="8">
        <f>IFERROR(INDEX('A1. Data scoring'!S$11:S$298,MATCH($C$4&amp;"|"&amp;$B17,'A1. Data scoring'!$A$11:$A$298,0)),"")</f>
        <v/>
      </c>
    </row>
    <row r="18" ht="120" customHeight="1">
      <c r="B18" s="7" t="inlineStr">
        <is>
          <t>OPTION 2:  Indicator level reporting</t>
        </is>
      </c>
      <c r="C18" s="8">
        <f>IFERROR(INDEX('A1. Data scoring'!H$11:H$298,MATCH($C$4&amp;"|"&amp;$B18,'A1. Data scoring'!$A$11:$A$298,0)),"")</f>
        <v/>
      </c>
      <c r="D18" s="8">
        <f>IFERROR(INDEX('A1. Data scoring'!I$11:I$298,MATCH($C$4&amp;"|"&amp;$B18,'A1. Data scoring'!$A$11:$A$298,0)),"")</f>
        <v/>
      </c>
      <c r="E18" s="8">
        <f>IFERROR(INDEX('A1. Data scoring'!J$11:J$298,MATCH($C$4&amp;"|"&amp;$B18,'A1. Data scoring'!$A$11:$A$298,0)),"")</f>
        <v/>
      </c>
      <c r="F18" s="8">
        <f>IFERROR(INDEX('A1. Data scoring'!K$11:K$298,MATCH($C$4&amp;"|"&amp;$B18,'A1. Data scoring'!$A$11:$A$298,0)),"")</f>
        <v/>
      </c>
      <c r="G18" s="8">
        <f>IFERROR(INDEX('A1. Data scoring'!L$11:L$298,MATCH($C$4&amp;"|"&amp;$B18,'A1. Data scoring'!$A$11:$A$298,0)),"")</f>
        <v/>
      </c>
      <c r="H18" s="8">
        <f>IFERROR(INDEX('A1. Data scoring'!M$11:M$298,MATCH($C$4&amp;"|"&amp;$B18,'A1. Data scoring'!$A$11:$A$298,0)),"")</f>
        <v/>
      </c>
      <c r="I18" s="8">
        <f>IFERROR(INDEX('A1. Data scoring'!N$11:N$298,MATCH($C$4&amp;"|"&amp;$B18,'A1. Data scoring'!$A$11:$A$298,0)),"")</f>
        <v/>
      </c>
      <c r="J18" s="8">
        <f>IFERROR(INDEX('A1. Data scoring'!O$11:O$298,MATCH($C$4&amp;"|"&amp;$B18,'A1. Data scoring'!$A$11:$A$298,0)),"")</f>
        <v/>
      </c>
      <c r="K18" s="8">
        <f>IFERROR(INDEX('A1. Data scoring'!P$11:P$298,MATCH($C$4&amp;"|"&amp;$B18,'A1. Data scoring'!$A$11:$A$298,0)),"")</f>
        <v/>
      </c>
      <c r="L18" s="8">
        <f>IFERROR(INDEX('A1. Data scoring'!Q$11:Q$298,MATCH($C$4&amp;"|"&amp;$B18,'A1. Data scoring'!$A$11:$A$298,0)),"")</f>
        <v/>
      </c>
      <c r="M18" s="8">
        <f>IFERROR(INDEX('A1. Data scoring'!R$11:R$298,MATCH($C$4&amp;"|"&amp;$B18,'A1. Data scoring'!$A$11:$A$298,0)),"")</f>
        <v/>
      </c>
      <c r="N18" s="8">
        <f>IFERROR(INDEX('A1. Data scoring'!S$11:S$298,MATCH($C$4&amp;"|"&amp;$B18,'A1. Data scoring'!$A$11:$A$298,0)),"")</f>
        <v/>
      </c>
    </row>
    <row r="19" ht="45" customHeight="1">
      <c r="B19" s="7" t="inlineStr">
        <is>
          <t>Supporting information/comments</t>
        </is>
      </c>
      <c r="C19" s="8">
        <f>IFERROR(INDEX('A1. Data scoring'!H$11:H$298,MATCH($C$4&amp;"|"&amp;$B19,'A1. Data scoring'!$A$11:$A$298,0)),"")</f>
        <v/>
      </c>
      <c r="D19" s="8">
        <f>IFERROR(INDEX('A1. Data scoring'!I$11:I$298,MATCH($C$4&amp;"|"&amp;$B19,'A1. Data scoring'!$A$11:$A$298,0)),"")</f>
        <v/>
      </c>
      <c r="E19" s="8">
        <f>IFERROR(INDEX('A1. Data scoring'!J$11:J$298,MATCH($C$4&amp;"|"&amp;$B19,'A1. Data scoring'!$A$11:$A$298,0)),"")</f>
        <v/>
      </c>
      <c r="F19" s="8">
        <f>IFERROR(INDEX('A1. Data scoring'!K$11:K$298,MATCH($C$4&amp;"|"&amp;$B19,'A1. Data scoring'!$A$11:$A$298,0)),"")</f>
        <v/>
      </c>
      <c r="G19" s="8">
        <f>IFERROR(INDEX('A1. Data scoring'!L$11:L$298,MATCH($C$4&amp;"|"&amp;$B19,'A1. Data scoring'!$A$11:$A$298,0)),"")</f>
        <v/>
      </c>
      <c r="H19" s="8">
        <f>IFERROR(INDEX('A1. Data scoring'!M$11:M$298,MATCH($C$4&amp;"|"&amp;$B19,'A1. Data scoring'!$A$11:$A$298,0)),"")</f>
        <v/>
      </c>
      <c r="I19" s="8">
        <f>IFERROR(INDEX('A1. Data scoring'!N$11:N$298,MATCH($C$4&amp;"|"&amp;$B19,'A1. Data scoring'!$A$11:$A$298,0)),"")</f>
        <v/>
      </c>
      <c r="J19" s="8">
        <f>IFERROR(INDEX('A1. Data scoring'!O$11:O$298,MATCH($C$4&amp;"|"&amp;$B19,'A1. Data scoring'!$A$11:$A$298,0)),"")</f>
        <v/>
      </c>
      <c r="K19" s="8">
        <f>IFERROR(INDEX('A1. Data scoring'!P$11:P$298,MATCH($C$4&amp;"|"&amp;$B19,'A1. Data scoring'!$A$11:$A$298,0)),"")</f>
        <v/>
      </c>
      <c r="L19" s="8">
        <f>IFERROR(INDEX('A1. Data scoring'!Q$11:Q$298,MATCH($C$4&amp;"|"&amp;$B19,'A1. Data scoring'!$A$11:$A$298,0)),"")</f>
        <v/>
      </c>
      <c r="M19" s="8">
        <f>IFERROR(INDEX('A1. Data scoring'!R$11:R$298,MATCH($C$4&amp;"|"&amp;$B19,'A1. Data scoring'!$A$11:$A$298,0)),"")</f>
        <v/>
      </c>
      <c r="N19" s="8">
        <f>IFERROR(INDEX('A1. Data scoring'!S$11:S$298,MATCH($C$4&amp;"|"&amp;$B19,'A1. Data scoring'!$A$11:$A$298,0)),"")</f>
        <v/>
      </c>
    </row>
    <row r="20" ht="45" customHeight="1">
      <c r="B20" s="7" t="inlineStr">
        <is>
          <t>Data source and limitations</t>
        </is>
      </c>
      <c r="C20" s="8">
        <f>IFERROR(INDEX('A1. Data scoring'!H$11:H$298,MATCH($C$4&amp;"|"&amp;$B20,'A1. Data scoring'!$A$11:$A$298,0)),"")</f>
        <v/>
      </c>
      <c r="D20" s="8">
        <f>IFERROR(INDEX('A1. Data scoring'!I$11:I$298,MATCH($C$4&amp;"|"&amp;$B20,'A1. Data scoring'!$A$11:$A$298,0)),"")</f>
        <v/>
      </c>
      <c r="E20" s="8">
        <f>IFERROR(INDEX('A1. Data scoring'!J$11:J$298,MATCH($C$4&amp;"|"&amp;$B20,'A1. Data scoring'!$A$11:$A$298,0)),"")</f>
        <v/>
      </c>
      <c r="F20" s="8">
        <f>IFERROR(INDEX('A1. Data scoring'!K$11:K$298,MATCH($C$4&amp;"|"&amp;$B20,'A1. Data scoring'!$A$11:$A$298,0)),"")</f>
        <v/>
      </c>
      <c r="G20" s="8">
        <f>IFERROR(INDEX('A1. Data scoring'!L$11:L$298,MATCH($C$4&amp;"|"&amp;$B20,'A1. Data scoring'!$A$11:$A$298,0)),"")</f>
        <v/>
      </c>
      <c r="H20" s="8">
        <f>IFERROR(INDEX('A1. Data scoring'!M$11:M$298,MATCH($C$4&amp;"|"&amp;$B20,'A1. Data scoring'!$A$11:$A$298,0)),"")</f>
        <v/>
      </c>
      <c r="I20" s="8">
        <f>IFERROR(INDEX('A1. Data scoring'!N$11:N$298,MATCH($C$4&amp;"|"&amp;$B20,'A1. Data scoring'!$A$11:$A$298,0)),"")</f>
        <v/>
      </c>
      <c r="J20" s="8">
        <f>IFERROR(INDEX('A1. Data scoring'!O$11:O$298,MATCH($C$4&amp;"|"&amp;$B20,'A1. Data scoring'!$A$11:$A$298,0)),"")</f>
        <v/>
      </c>
      <c r="K20" s="8">
        <f>IFERROR(INDEX('A1. Data scoring'!P$11:P$298,MATCH($C$4&amp;"|"&amp;$B20,'A1. Data scoring'!$A$11:$A$298,0)),"")</f>
        <v/>
      </c>
      <c r="L20" s="8">
        <f>IFERROR(INDEX('A1. Data scoring'!Q$11:Q$298,MATCH($C$4&amp;"|"&amp;$B20,'A1. Data scoring'!$A$11:$A$298,0)),"")</f>
        <v/>
      </c>
      <c r="M20" s="8">
        <f>IFERROR(INDEX('A1. Data scoring'!R$11:R$298,MATCH($C$4&amp;"|"&amp;$B20,'A1. Data scoring'!$A$11:$A$298,0)),"")</f>
        <v/>
      </c>
      <c r="N20" s="8">
        <f>IFERROR(INDEX('A1. Data scoring'!S$11:S$298,MATCH($C$4&amp;"|"&amp;$B20,'A1. Data scoring'!$A$11:$A$298,0)),"")</f>
        <v/>
      </c>
    </row>
    <row r="21" ht="45" customHeight="1">
      <c r="B21" s="7" t="inlineStr">
        <is>
          <t>Data owner confirms</t>
        </is>
      </c>
      <c r="C21" s="8">
        <f>IFERROR(INDEX('A1. Data scoring'!H$11:H$298,MATCH($C$4&amp;"|"&amp;$B21,'A1. Data scoring'!$A$11:$A$298,0)),"")</f>
        <v/>
      </c>
      <c r="D21" s="8">
        <f>IFERROR(INDEX('A1. Data scoring'!I$11:I$298,MATCH($C$4&amp;"|"&amp;$B21,'A1. Data scoring'!$A$11:$A$298,0)),"")</f>
        <v/>
      </c>
      <c r="E21" s="8">
        <f>IFERROR(INDEX('A1. Data scoring'!J$11:J$298,MATCH($C$4&amp;"|"&amp;$B21,'A1. Data scoring'!$A$11:$A$298,0)),"")</f>
        <v/>
      </c>
      <c r="F21" s="8">
        <f>IFERROR(INDEX('A1. Data scoring'!K$11:K$298,MATCH($C$4&amp;"|"&amp;$B21,'A1. Data scoring'!$A$11:$A$298,0)),"")</f>
        <v/>
      </c>
      <c r="G21" s="8">
        <f>IFERROR(INDEX('A1. Data scoring'!L$11:L$298,MATCH($C$4&amp;"|"&amp;$B21,'A1. Data scoring'!$A$11:$A$298,0)),"")</f>
        <v/>
      </c>
      <c r="H21" s="8">
        <f>IFERROR(INDEX('A1. Data scoring'!M$11:M$298,MATCH($C$4&amp;"|"&amp;$B21,'A1. Data scoring'!$A$11:$A$298,0)),"")</f>
        <v/>
      </c>
      <c r="I21" s="8">
        <f>IFERROR(INDEX('A1. Data scoring'!N$11:N$298,MATCH($C$4&amp;"|"&amp;$B21,'A1. Data scoring'!$A$11:$A$298,0)),"")</f>
        <v/>
      </c>
      <c r="J21" s="8">
        <f>IFERROR(INDEX('A1. Data scoring'!O$11:O$298,MATCH($C$4&amp;"|"&amp;$B21,'A1. Data scoring'!$A$11:$A$298,0)),"")</f>
        <v/>
      </c>
      <c r="K21" s="8">
        <f>IFERROR(INDEX('A1. Data scoring'!P$11:P$298,MATCH($C$4&amp;"|"&amp;$B21,'A1. Data scoring'!$A$11:$A$298,0)),"")</f>
        <v/>
      </c>
      <c r="L21" s="8">
        <f>IFERROR(INDEX('A1. Data scoring'!Q$11:Q$298,MATCH($C$4&amp;"|"&amp;$B21,'A1. Data scoring'!$A$11:$A$298,0)),"")</f>
        <v/>
      </c>
      <c r="M21" s="8">
        <f>IFERROR(INDEX('A1. Data scoring'!R$11:R$298,MATCH($C$4&amp;"|"&amp;$B21,'A1. Data scoring'!$A$11:$A$298,0)),"")</f>
        <v/>
      </c>
      <c r="N21" s="8">
        <f>IFERROR(INDEX('A1. Data scoring'!S$11:S$298,MATCH($C$4&amp;"|"&amp;$B21,'A1. Data scoring'!$A$11:$A$298,0)),"")</f>
        <v/>
      </c>
    </row>
  </sheetData>
  <mergeCells count="5">
    <mergeCell ref="C6:H6"/>
    <mergeCell ref="C5:H5"/>
    <mergeCell ref="C9:H9"/>
    <mergeCell ref="C8:H8"/>
    <mergeCell ref="C7:H7"/>
  </mergeCells>
  <dataValidations count="1">
    <dataValidation sqref="C4" showDropDown="0" showInputMessage="0" showErrorMessage="0" allowBlank="1" errorTitle="Invalid entry" error="Please select from the dropdown" type="list">
      <formula1>='1. Requirements matrix'!$B$6:$B$53</formula1>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25"/>
  <sheetViews>
    <sheetView showGridLines="0" workbookViewId="0">
      <selection activeCell="A1" sqref="A1"/>
    </sheetView>
  </sheetViews>
  <sheetFormatPr baseColWidth="8" defaultRowHeight="15"/>
  <cols>
    <col width="9" customWidth="1" min="2" max="2"/>
    <col width="36" customWidth="1" min="3" max="3"/>
    <col width="50" customWidth="1" min="4" max="4"/>
    <col width="60" customWidth="1" min="5" max="5"/>
    <col width="12" customWidth="1" min="6" max="6"/>
    <col width="28" customWidth="1" min="7" max="7"/>
  </cols>
  <sheetData>
    <row r="1">
      <c r="A1" s="1" t="inlineStr">
        <is>
          <t>↑</t>
        </is>
      </c>
      <c r="B1" s="2" t="inlineStr">
        <is>
          <t>End-2026 target status assessment and reporting</t>
        </is>
      </c>
    </row>
    <row r="2">
      <c r="B2" s="3" t="inlineStr">
        <is>
          <t>Faculty request wording log</t>
        </is>
      </c>
    </row>
    <row r="3" ht="45" customHeight="1">
      <c r="B3" s="23" t="inlineStr">
        <is>
          <t>Faculty requests were rewritten in the SR25 style (specific ask, scope, what SST already holds or will collect elsewhere, and a pointer to the faculty's own end-2025 response). The original S2030 Qual-sheet wording is kept here; central-unit requests still use the original wording.</t>
        </is>
      </c>
    </row>
    <row r="5">
      <c r="B5" s="6" t="inlineStr">
        <is>
          <t>Ref</t>
        </is>
      </c>
      <c r="C5" s="6" t="inlineStr">
        <is>
          <t>Indicator</t>
        </is>
      </c>
      <c r="D5" s="6" t="inlineStr">
        <is>
          <t>Original wording (S2030 Qual sheet)</t>
        </is>
      </c>
      <c r="E5" s="6" t="inlineStr">
        <is>
          <t>SR26 faculty request (before faculty-specific opening line)</t>
        </is>
      </c>
      <c r="F5" s="6" t="inlineStr">
        <is>
          <t>Related SR25 ref</t>
        </is>
      </c>
      <c r="G5" s="6" t="inlineStr">
        <is>
          <t>Faculty-specific opening line</t>
        </is>
      </c>
    </row>
    <row r="6" ht="130" customHeight="1">
      <c r="B6" s="7" t="inlineStr">
        <is>
          <t>EE1(a)</t>
        </is>
      </c>
      <c r="C6" s="8" t="inlineStr">
        <is>
          <t>Evidence of innovative approaches to sustainability teaching and learning</t>
        </is>
      </c>
      <c r="D6" s="8" t="inlineStr">
        <is>
          <t>Please describe any innovative approaches used within your Faculty/Portfolio to embed sustainability in teaching and learning. This could include examples of subjects, curriculum design, pedagogies, assessment approaches or learning resources. Please provide links or supporting evidence where available.</t>
        </is>
      </c>
      <c r="E6" s="8" t="inlineStr">
        <is>
          <t>Please provide one or two examples from 2026 of innovative approaches your faculty has used to embed sustainability in teaching and learning (e.g. new or redesigned subjects, curriculum design, pedagogies, assessment approaches or learning resources). Include links to subject pages or resources where available.
A full list of subjects is not required.</t>
        </is>
      </c>
      <c r="F6" s="8" t="inlineStr">
        <is>
          <t>4a(ii)</t>
        </is>
      </c>
      <c r="G6" s="8" t="inlineStr">
        <is>
          <t>Points to the faculty's end-2025 response and rating</t>
        </is>
      </c>
    </row>
    <row r="7" ht="130" customHeight="1">
      <c r="B7" s="7" t="inlineStr">
        <is>
          <t>EE1(b)</t>
        </is>
      </c>
      <c r="C7" s="8" t="inlineStr">
        <is>
          <t>Pilots of possible approaches for understanding and developing students’ sustainability self-efficacy</t>
        </is>
      </c>
      <c r="D7" s="8" t="inlineStr">
        <is>
          <t>Please describe any pilots or trials undertaken within your Faculty/Portfolio to understand or strengthen students’ sustainability self-efficacy. This could include the approach used, participating cohorts, what was assessed or learned, and any planned next steps.</t>
        </is>
      </c>
      <c r="E7" s="8" t="inlineStr">
        <is>
          <t>Has your faculty piloted or trialled any approach in 2026 to understand or build students' confidence and capability to act on sustainability (sustainability self-efficacy)? If yes, briefly describe the approach, participating cohort, what was learned and next steps. If not, please respond 'none in 2026' – this is a new indicator and a nil response is useful.
We are aware of the Sustainability Strengths Compass Living Lab project (CLLAP) and will collect it separately.</t>
        </is>
      </c>
      <c r="F7" s="8" t="inlineStr">
        <is>
          <t>N/A – new indicator</t>
        </is>
      </c>
      <c r="G7" s="8" t="inlineStr">
        <is>
          <t>None (new indicator)</t>
        </is>
      </c>
    </row>
    <row r="8" ht="130" customHeight="1">
      <c r="B8" s="7" t="inlineStr">
        <is>
          <t>EE1(c)</t>
        </is>
      </c>
      <c r="C8" s="8" t="inlineStr">
        <is>
          <t>Evidence of sustainability focused experiential and co curricular learning (eg Wattle Fellowship; Melbourne Plus)</t>
        </is>
      </c>
      <c r="D8" s="8" t="inlineStr">
        <is>
          <t>Please provide examples of sustainability-focused experiential or co-curricular learning offered or supported by your Faculty/Portfolio (e.g. Wattle Fellowship, Melbourne Plus or similar), could include participation where available and a brief description of the learning experience and outcomes.</t>
        </is>
      </c>
      <c r="E8" s="8" t="inlineStr">
        <is>
          <t>Please list any sustainability-focused experiential or co-curricular learning opportunities your faculty offered or supported in 2026 (e.g. industry or community projects, fieldwork, internships, student challenges), with approximate student participation where known and a one-line description of outcomes.
We will collect Wattle Fellowship and Melbourne Plus information centrally – please only include these if your faculty ran a specific activity.</t>
        </is>
      </c>
      <c r="F8" s="8" t="inlineStr">
        <is>
          <t>N/A – new indicator</t>
        </is>
      </c>
      <c r="G8" s="8" t="inlineStr">
        <is>
          <t>None (new indicator)</t>
        </is>
      </c>
    </row>
    <row r="9" ht="130" customHeight="1">
      <c r="B9" s="7" t="inlineStr">
        <is>
          <t>EE1(d)</t>
        </is>
      </c>
      <c r="C9" s="8" t="inlineStr">
        <is>
          <t>Alumni profiles demonstrating how graduates contribute to sustainability through their careers or communities.</t>
        </is>
      </c>
      <c r="D9" s="8" t="inlineStr">
        <is>
          <t>Please provide examples or profiles of graduates or alumni from your Faculty who demonstrate how they apply sustainability knowledge, skills or capabilities through their careers, communities or other activities. Where available, include any evidence used by the Faculty to understand graduate outcomes related to sustainability.</t>
        </is>
      </c>
      <c r="E9" s="8" t="inlineStr">
        <is>
          <t>Please nominate up to two alumni from your faculty whose careers or community work demonstrate how they apply sustainability knowledge and skills (name, course and graduating year, a short summary, a link to a profile if available, and whether consent to be featured is likely). If your faculty tracks sustainability-related graduate outcomes in any way, please briefly describe how.</t>
        </is>
      </c>
      <c r="F9" s="8" t="inlineStr">
        <is>
          <t>4b(i)</t>
        </is>
      </c>
      <c r="G9" s="8" t="inlineStr">
        <is>
          <t>Points to the faculty's end-2025 response and rating</t>
        </is>
      </c>
    </row>
    <row r="10" ht="130" customHeight="1">
      <c r="B10" s="7" t="inlineStr">
        <is>
          <t>TR1(a)</t>
        </is>
      </c>
      <c r="C10" s="8" t="inlineStr">
        <is>
          <t>Expert-reviewed evidence of researchers contributing to operational sustainability priorities through partnerships, advisory input, living labs, applied projects or decision-support</t>
        </is>
      </c>
      <c r="D10" s="8" t="inlineStr">
        <is>
          <t>Please provide examples of researchers within your Faculty/Portfolio contributing to University operational sustainability priorities through partnerships, advisory input, living labs, applied projects or decision-support. Briefly describe the operational challenge, researcher contribution and resulting or expected outcome.</t>
        </is>
      </c>
      <c r="E10" s="8" t="inlineStr">
        <is>
          <t>Please provide up to two examples from 2026 of researchers in your faculty contributing to the University's own operational sustainability challenges (e.g. advising on campus energy, biodiversity, waste or buildings; applied projects; decision-support tools). For each, briefly describe the operational challenge, the researcher's contribution, the University team involved and the result.
We will collect Campus Living Lab Accelerator Program (CLLAP) projects separately from CI&amp;S – please include other examples only.</t>
        </is>
      </c>
      <c r="F10" s="8" t="inlineStr">
        <is>
          <t>2a</t>
        </is>
      </c>
      <c r="G10" s="8" t="inlineStr">
        <is>
          <t>Points to the faculty's end-2025 response and rating</t>
        </is>
      </c>
    </row>
    <row r="11" ht="130" customHeight="1">
      <c r="B11" s="7" t="inlineStr">
        <is>
          <t>TR1(b)</t>
        </is>
      </c>
      <c r="C11" s="8" t="inlineStr">
        <is>
          <t>Evidence of institutional pathways that enable ongoing collaboration between academic and professional staff</t>
        </is>
      </c>
      <c r="D11" s="8" t="inlineStr">
        <is>
          <t>Please describe any pathways, mechanisms or processes within your Faculty/Portfolio that enable ongoing collaboration between academic and professional staff on operational sustainability challenges, could include formal programs, governance arrangements, funding mechanisms or coordination channels.</t>
        </is>
      </c>
      <c r="E11" s="8" t="inlineStr">
        <is>
          <t>Does your faculty have any mechanism that supports ongoing collaboration between academic and professional staff on operational sustainability (e.g. a sustainability committee with mixed membership, seed funding, a coordination role or a regular forum)? If yes, briefly describe it and how often it operates. If not, please say so.</t>
        </is>
      </c>
      <c r="F11" s="8" t="inlineStr">
        <is>
          <t>N/A – new indicator</t>
        </is>
      </c>
      <c r="G11" s="8" t="inlineStr">
        <is>
          <t>None (new indicator)</t>
        </is>
      </c>
    </row>
    <row r="12" ht="130" customHeight="1">
      <c r="B12" s="7" t="inlineStr">
        <is>
          <t>TR1(c)</t>
        </is>
      </c>
      <c r="C12" s="8" t="inlineStr">
        <is>
          <t>Expert assessment of the quality, relevance and continuity of these collaborations</t>
        </is>
      </c>
      <c r="D12" s="8" t="inlineStr">
        <is>
          <t>Please provide an assessment of the quality, relevance and continuity of sustainability-related collaborations involving your Faculty/Portfolio, could include evidence of whether collaborations are sustained, useful to operational priorities and producing relevant outcomes.</t>
        </is>
      </c>
      <c r="E12" s="8" t="inlineStr">
        <is>
          <t>For the collaborations described in TR1(a)–(b), please give a short assessment (a paragraph is sufficient) of their quality, relevance and continuity: are they ongoing, useful to the University's operational priorities, and producing outcomes?</t>
        </is>
      </c>
      <c r="F12" s="8" t="inlineStr">
        <is>
          <t>N/A – new indicator</t>
        </is>
      </c>
      <c r="G12" s="8" t="inlineStr">
        <is>
          <t>None (new indicator)</t>
        </is>
      </c>
    </row>
    <row r="13" ht="130" customHeight="1">
      <c r="B13" s="7" t="inlineStr">
        <is>
          <t>TR1(d)</t>
        </is>
      </c>
      <c r="C13" s="8" t="inlineStr">
        <is>
          <t>Periodic feedback from participants on the effectiveness and mutual benefit of collaboration mechanisms.</t>
        </is>
      </c>
      <c r="D13" s="8" t="inlineStr">
        <is>
          <t>Please provide any participant feedback or other evidence from your Faculty/Portfolio on the effectiveness and mutual benefit of collaboration mechanisms between researchers and operational teams, could include key findings and any improvements identified.</t>
        </is>
      </c>
      <c r="E13" s="8" t="inlineStr">
        <is>
          <t>Has your faculty collected any feedback from participants (researchers or operational staff) on how well these collaboration mechanisms work and whether they are mutually beneficial? If yes, summarise key findings and any improvements identified; if not, please say so.</t>
        </is>
      </c>
      <c r="F13" s="8" t="inlineStr">
        <is>
          <t>N/A – new indicator</t>
        </is>
      </c>
      <c r="G13" s="8" t="inlineStr">
        <is>
          <t>None (new indicator)</t>
        </is>
      </c>
    </row>
    <row r="14" ht="130" customHeight="1">
      <c r="B14" s="7" t="inlineStr">
        <is>
          <t>TR2(a)</t>
        </is>
      </c>
      <c r="C14" s="8" t="inlineStr">
        <is>
          <t>Evidence of sustainability-related research impact across diverse pathways, could include policy, industry, community, practice, cultural and institutional outcomes</t>
        </is>
      </c>
      <c r="D14" s="8" t="inlineStr">
        <is>
          <t>Please provide examples of sustainability-related research impact from your Faculty/Portfolio across policy, industry, community, practice, cultural or institutional pathways. For key examples, briefly describe the research contribution, partner/user and resulting outcome or influence.</t>
        </is>
      </c>
      <c r="E14" s="8" t="inlineStr">
        <is>
          <t>Please provide one or two examples from 2026 of sustainability-related research from your faculty that has had impact beyond academia – on policy, industry, community, practice, cultural or institutional outcomes. For each, briefly describe the research, the partner or user, and the resulting change or influence, with links (e.g. Pursuit articles, policy submissions, reports).
We will source University-wide research metrics (e.g. SDG-mapped publications via SciVal) from MRE – publication counts are not required.</t>
        </is>
      </c>
      <c r="F14" s="8" t="inlineStr">
        <is>
          <t>5b(i)</t>
        </is>
      </c>
      <c r="G14" s="8" t="inlineStr">
        <is>
          <t>Points to the faculty's end-2025 response and rating</t>
        </is>
      </c>
    </row>
    <row r="15" ht="130" customHeight="1">
      <c r="B15" s="7" t="inlineStr">
        <is>
          <t>TR2(d)</t>
        </is>
      </c>
      <c r="C15" s="8" t="inlineStr">
        <is>
          <t>Case-based evidence demonstrating how research has contributed to meaningful sustainability outcomes.</t>
        </is>
      </c>
      <c r="D15" s="8" t="inlineStr">
        <is>
          <t>Please provide case studies from your Faculty/Portfolio demonstrating how research has contributed to meaningful sustainability outcomes. Briefly describe the research, stakeholders involved, pathway to impact and evidence of the resulting sustainability outcome.</t>
        </is>
      </c>
      <c r="E15" s="8" t="inlineStr">
        <is>
          <t>Please provide one case study (up to 300 words) of a research project from your faculty that has contributed to a meaningful sustainability outcome: the research, stakeholders involved, pathway to impact and evidence of the outcome. This can be one of the examples from TR2(a), developed in more detail.
We are also seeking examples from Melbourne Climate Futures, the Melbourne Biodiversity Institute and Strategic Communications.</t>
        </is>
      </c>
      <c r="F15" s="8" t="inlineStr">
        <is>
          <t>5b(i)</t>
        </is>
      </c>
      <c r="G15" s="8" t="inlineStr">
        <is>
          <t>Points to the faculty's end-2025 response and rating</t>
        </is>
      </c>
    </row>
    <row r="16" ht="130" customHeight="1">
      <c r="B16" s="7" t="inlineStr">
        <is>
          <t>TR3(a)</t>
        </is>
      </c>
      <c r="C16" s="8" t="inlineStr">
        <is>
          <t>Evidence that sustainability considerations are integrated into relevant research systems, planning processes, guidance, training, induction or support services</t>
        </is>
      </c>
      <c r="D16" s="8" t="inlineStr">
        <is>
          <t>Please describe how sustainability considerations are integrated into research systems, planning processes, guidance, training, induction or support services within your Faculty/Portfolio, could include examples of any new or improved processes.</t>
        </is>
      </c>
      <c r="E16" s="8" t="inlineStr">
        <is>
          <t>Please describe how sustainability considerations are built into your faculty's research systems or support – e.g. research planning or approval processes, guidance, graduate researcher induction or training, grant development support. Please highlight any new or improved process introduced in 2026.</t>
        </is>
      </c>
      <c r="F16" s="8" t="inlineStr">
        <is>
          <t>5c(ii)</t>
        </is>
      </c>
      <c r="G16" s="8" t="inlineStr">
        <is>
          <t>Points to the faculty's end-2025 response and rating</t>
        </is>
      </c>
    </row>
    <row r="17" ht="130" customHeight="1">
      <c r="B17" s="7" t="inlineStr">
        <is>
          <t>TR3(b)</t>
        </is>
      </c>
      <c r="C17" s="8" t="inlineStr">
        <is>
          <t>Demonstrated examples of more sustainable research practices in laboratories, fieldwork, procurement, travel or infrastructure use</t>
        </is>
      </c>
      <c r="D17" s="8" t="inlineStr">
        <is>
          <t>Please describe any efforts within your Faculty/Portfolio to make research practices more sustainable, could include examples from laboratories, fieldwork, procurement, research travel or infrastructure use. Where available, provide evidence of uptake, resource savings, emissions reductions or other outcomes.</t>
        </is>
      </c>
      <c r="E17" s="8" t="inlineStr">
        <is>
          <t>Are there any efforts within the faculty to make research practices more sustainable (e.g. green lab certification, equipment sharing, reduced research travel, sustainable fieldwork, sustainable procurement of research consumables)? If so, please describe up to two examples and any evidence of uptake, resource savings or emissions reductions.</t>
        </is>
      </c>
      <c r="F17" s="8" t="inlineStr">
        <is>
          <t>5c(ii)</t>
        </is>
      </c>
      <c r="G17" s="8" t="inlineStr">
        <is>
          <t>Points to the faculty's end-2025 response and rating</t>
        </is>
      </c>
    </row>
    <row r="18" ht="130" customHeight="1">
      <c r="B18" s="7" t="inlineStr">
        <is>
          <t>TR3(c)</t>
        </is>
      </c>
      <c r="C18" s="8" t="inlineStr">
        <is>
          <t>Evidence of progress in sustainability-related research culture, capability and awareness, informed by periodic staff and graduate researcher surveys</t>
        </is>
      </c>
      <c r="D18" s="8" t="inlineStr">
        <is>
          <t>Please provide evidence of progress in sustainability-related research culture, capability and awareness within your Faculty/Portfolio. This could include relevant staff and/or graduate researcher survey findings, participation in capability-building activities, or other indicators of change over time.</t>
        </is>
      </c>
      <c r="E18" s="8" t="inlineStr">
        <is>
          <t>Does your faculty have any evidence of change in sustainability-related research culture, capability or awareness – e.g. results from staff or graduate researcher surveys, or participation in capability-building events or training? Please provide a brief summary and the source. If no evidence is available, please say so.</t>
        </is>
      </c>
      <c r="F18" s="8" t="inlineStr">
        <is>
          <t>N/A – new indicator</t>
        </is>
      </c>
      <c r="G18" s="8" t="inlineStr">
        <is>
          <t>None (new indicator)</t>
        </is>
      </c>
    </row>
    <row r="19" ht="130" customHeight="1">
      <c r="B19" s="7" t="inlineStr">
        <is>
          <t>TR3(d)</t>
        </is>
      </c>
      <c r="C19" s="8" t="inlineStr">
        <is>
          <t>Expert assessment of progress in embedding sustainable research practices across the institution.</t>
        </is>
      </c>
      <c r="D19" s="8" t="inlineStr">
        <is>
          <t>Faculty/Portfolio’s assessment of progress in embedding sustainable research practices, highlighting areas of strong progress, remaining gaps and priority actions for further improvement.</t>
        </is>
      </c>
      <c r="E19" s="8" t="inlineStr">
        <is>
          <t>Drawing on your responses to TR3(a)–(c), please provide a short overall assessment (2–3 sentences) of your faculty's progress in embedding sustainable research practices: where progress is strongest, the main gaps, and priority actions for 2027.</t>
        </is>
      </c>
      <c r="F19" s="8" t="inlineStr">
        <is>
          <t>N/A – new indicator</t>
        </is>
      </c>
      <c r="G19" s="8" t="inlineStr">
        <is>
          <t>None (new indicator)</t>
        </is>
      </c>
    </row>
    <row r="20" ht="130" customHeight="1">
      <c r="B20" s="7" t="inlineStr">
        <is>
          <t>CL2(a)</t>
        </is>
      </c>
      <c r="C20" s="8" t="inlineStr">
        <is>
          <t>By 2028, develop and document institutional mapping of research and education activities that are designed to contribute to global decarbonisation</t>
        </is>
      </c>
      <c r="D20" s="8" t="inlineStr">
        <is>
          <t>Please list and describe examples of communications from your Faculty/Portfolio that demonstrate climate action, research and learning and aim to inform policy, sector or community decarbonisation efforts. Could include links, intended audiences and any available evidence of reach or influence.</t>
        </is>
      </c>
      <c r="E20" s="8" t="inlineStr">
        <is>
          <t>Please list up to three examples of 2026 communications from your faculty that showcase climate action, research or learning and aim to inform policy, sector or community decarbonisation (e.g. policy submissions, public events, media, reports). Include links, the intended audience and any reach data you have.
This will also contribute to the University's mapping of decarbonisation-related research and education (due by 2028).</t>
        </is>
      </c>
      <c r="F20" s="8" t="inlineStr">
        <is>
          <t>N/A – new indicator</t>
        </is>
      </c>
      <c r="G20" s="8" t="inlineStr">
        <is>
          <t>None (new indicator)</t>
        </is>
      </c>
    </row>
    <row r="21" ht="130" customHeight="1">
      <c r="B21" s="7" t="inlineStr">
        <is>
          <t>CL2(c)</t>
        </is>
      </c>
      <c r="C21" s="8" t="inlineStr">
        <is>
          <t>Ongoing communications that evidence the University’s climate action, research and learning to inform policy, sector and community decarbonisation efforts.</t>
        </is>
      </c>
      <c r="D21" s="8" t="inlineStr">
        <is>
          <t>List and describe communications from the faculty in terms of climate action, research and learning to inform policy, sector and community decarbonisation efforts</t>
        </is>
      </c>
      <c r="E21" s="8" t="inlineStr">
        <is>
          <t>If not already covered in CL2(a), please list any ongoing channels or programs (e.g. event series, newsletters, podcasts, policy engagement) through which your faculty regularly communicates climate research and learning to policy, sector or community audiences. You may respond 'see CL2(a)' if already covered.
We will also engage Melbourne Climate Futures and the Melbourne Energy Institute.</t>
        </is>
      </c>
      <c r="F21" s="8" t="inlineStr">
        <is>
          <t>N/A – new indicator</t>
        </is>
      </c>
      <c r="G21" s="8" t="inlineStr">
        <is>
          <t>None (new indicator)</t>
        </is>
      </c>
    </row>
    <row r="22" ht="130" customHeight="1">
      <c r="B22" s="7" t="inlineStr">
        <is>
          <t>EN1(a)</t>
        </is>
      </c>
      <c r="C22" s="8" t="inlineStr">
        <is>
          <t>Evidence of sustainability outcomes informed by Indigenous knowledges</t>
        </is>
      </c>
      <c r="D22" s="8" t="inlineStr">
        <is>
          <t>Please provide examples or case studies from your Faculty/Portfolio of sustainability outcomes informed by Indigenous knowledges. Describe the activity or decision, how Indigenous knowledges were incorporated or co-created, who was involved, and the resulting sustainability outcome.</t>
        </is>
      </c>
      <c r="E22" s="8" t="inlineStr">
        <is>
          <t>Please provide one case study of an activity in your faculty (education, research, engagement or operations) where Indigenous knowledges informed a sustainability outcome. Describe the activity, how Indigenous knowledges were incorporated or co-created and with whom, and the result. Please confirm that appropriate permissions are in place for sharing.</t>
        </is>
      </c>
      <c r="F22" s="8" t="inlineStr">
        <is>
          <t>6a</t>
        </is>
      </c>
      <c r="G22" s="8" t="inlineStr">
        <is>
          <t>Points to the faculty's end-2025 response and rating</t>
        </is>
      </c>
    </row>
    <row r="23" ht="130" customHeight="1">
      <c r="B23" s="7" t="inlineStr">
        <is>
          <t>EN1(b)</t>
        </is>
      </c>
      <c r="C23" s="8" t="inlineStr">
        <is>
          <t>Living laboratories enabling applied learning, research and operational sustainability outcomes</t>
        </is>
      </c>
      <c r="D23" s="8" t="inlineStr">
        <is>
          <t>Comment on living labs in the Faculty - outputs, outcomes, and impact</t>
        </is>
      </c>
      <c r="E23" s="8" t="inlineStr">
        <is>
          <t>Please provide a case study of a living lab which operates within your faculty, including a description of its activities, who is involved (students, researchers, operational staff) and its outputs, outcomes or impact in 2026.
Please note we will approach living labs funded through the Campus Living Lab Accelerator Program (CLLAP) separately.</t>
        </is>
      </c>
      <c r="F23" s="8" t="inlineStr">
        <is>
          <t>2a</t>
        </is>
      </c>
      <c r="G23" s="8" t="inlineStr">
        <is>
          <t>Points to the faculty's end-2025 response and rating</t>
        </is>
      </c>
    </row>
    <row r="24" ht="130" customHeight="1">
      <c r="B24" s="7" t="inlineStr">
        <is>
          <t>EN1(c)</t>
        </is>
      </c>
      <c r="C24" s="8" t="inlineStr">
        <is>
          <t>Coordinated internal engagement and external partnerships contributing to delivery of sustainability outcomes across priority areas.</t>
        </is>
      </c>
      <c r="D24" s="8" t="inlineStr">
        <is>
          <t>Please provide examples of internal engagement or external partnerships involving your Faculty/Portfolio that contributed to Sustainability 2030 outcomes, could include the priority area addressed, participating groups/partners, nature of the collaboration and key outcomes.</t>
        </is>
      </c>
      <c r="E24" s="8" t="inlineStr">
        <is>
          <t>Please list the key sustainability-focused communities of practice, internal networks or external partnerships active in your faculty in 2026 (name, partners, priority area), and provide a short description of one that has contributed to a Sustainability 2030 outcome.</t>
        </is>
      </c>
      <c r="F24" s="8" t="inlineStr">
        <is>
          <t>3a(ii)</t>
        </is>
      </c>
      <c r="G24" s="8" t="inlineStr">
        <is>
          <t>Points to the faculty's end-2025 response and rating</t>
        </is>
      </c>
    </row>
    <row r="25" ht="130" customHeight="1">
      <c r="B25" s="7" t="inlineStr">
        <is>
          <t>EN1(d)</t>
        </is>
      </c>
      <c r="C25" s="8" t="inlineStr">
        <is>
          <t>Sustainability objectives integrated into governance and decision‑making processes, supported by transparent reporting.</t>
        </is>
      </c>
      <c r="D25" s="8" t="inlineStr">
        <is>
          <t>Please provide evidence of how sustainability objectives are integrated into governance and decision-making within your Faculty/Portfolio, could include relevant committees, policies, planning or approval processes, accountability mechanisms and examples of transparent reporting.</t>
        </is>
      </c>
      <c r="E25" s="8" t="inlineStr">
        <is>
          <t>Please describe how sustainability is built into your faculty's governance and decision-making – e.g. a sustainability committee or Associate Dean (Sustainability) role, a faculty sustainability action plan, sustainability criteria in planning or approvals, and how progress is reported (e.g. to the Faculty Executive). Please link the action plan if one exists.</t>
        </is>
      </c>
      <c r="F25" s="8" t="inlineStr">
        <is>
          <t>N/A – new indicator</t>
        </is>
      </c>
      <c r="G25" s="8" t="inlineStr">
        <is>
          <t>None (new indicator)</t>
        </is>
      </c>
    </row>
  </sheetData>
  <mergeCells count="1">
    <mergeCell ref="B3:G3"/>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J21"/>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c r="A1" s="1" t="inlineStr">
        <is>
          <t>↑</t>
        </is>
      </c>
      <c r="B1" s="2" t="inlineStr">
        <is>
          <t>End-2026 target status assessment and reporting</t>
        </is>
      </c>
    </row>
    <row r="2">
      <c r="B2" s="3" t="inlineStr">
        <is>
          <t>Highlighted stories (optional)</t>
        </is>
      </c>
    </row>
    <row r="5">
      <c r="B5" s="15" t="inlineStr">
        <is>
          <t>How to use this spreadsheet</t>
        </is>
      </c>
      <c r="C5" s="23" t="inlineStr">
        <is>
          <t>Please share up to 3 stories from 2026 which highlight your faculty's/portfolio's sustainability progress and/or impact. These stories can directly relate to Sustainability 2030 targets and indicators, or sustainability more generally. Due: Friday 4 December 2026 (TBC) (early submission helps us develop case studies).</t>
        </is>
      </c>
    </row>
    <row r="6"/>
    <row r="8">
      <c r="B8" s="43" t="inlineStr">
        <is>
          <t>Faculty/Portfolio</t>
        </is>
      </c>
      <c r="C8" s="43" t="inlineStr">
        <is>
          <t>Title</t>
        </is>
      </c>
      <c r="D8" s="43" t="inlineStr">
        <is>
          <t>Description</t>
        </is>
      </c>
      <c r="E8" s="43" t="inlineStr">
        <is>
          <t>Related Sustainability 2030 targets (optional)</t>
        </is>
      </c>
      <c r="F8" s="43" t="inlineStr">
        <is>
          <t>Images and other media</t>
        </is>
      </c>
      <c r="G8" s="43" t="inlineStr">
        <is>
          <t>Links and supporting documentation</t>
        </is>
      </c>
      <c r="H8" s="43" t="inlineStr">
        <is>
          <t>SST: shortlisted for case study?</t>
        </is>
      </c>
      <c r="I8" s="43" t="inlineStr">
        <is>
          <t>SST: permission to publish confirmed?</t>
        </is>
      </c>
      <c r="J8" s="43" t="inlineStr">
        <is>
          <t>SST notes</t>
        </is>
      </c>
    </row>
    <row r="9" ht="90" customHeight="1">
      <c r="B9" s="33" t="inlineStr"/>
      <c r="C9" s="33" t="inlineStr"/>
      <c r="D9" s="33"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E9" s="33" t="inlineStr"/>
      <c r="F9" s="33" t="inlineStr">
        <is>
          <t>(link to OneDrive/SharePoint files or published online content preferred)</t>
        </is>
      </c>
      <c r="G9" s="33" t="inlineStr"/>
      <c r="H9" s="33" t="inlineStr"/>
      <c r="I9" s="33" t="inlineStr"/>
      <c r="J9" s="33" t="inlineStr"/>
    </row>
    <row r="10" ht="120" customHeight="1">
      <c r="B10" s="8" t="n"/>
      <c r="C10" s="8" t="n"/>
      <c r="D10" s="8" t="n"/>
      <c r="E10" s="8" t="n"/>
      <c r="F10" s="8" t="n"/>
      <c r="G10" s="8" t="n"/>
      <c r="H10" s="8" t="n"/>
      <c r="I10" s="8" t="n"/>
      <c r="J10" s="8" t="n"/>
    </row>
    <row r="11" ht="120" customHeight="1">
      <c r="B11" s="8" t="n"/>
      <c r="C11" s="8" t="n"/>
      <c r="D11" s="8" t="n"/>
      <c r="E11" s="8" t="n"/>
      <c r="F11" s="8" t="n"/>
      <c r="G11" s="8" t="n"/>
      <c r="H11" s="8" t="n"/>
      <c r="I11" s="8" t="n"/>
      <c r="J11" s="8" t="n"/>
    </row>
    <row r="12" ht="120" customHeight="1">
      <c r="B12" s="8" t="n"/>
      <c r="C12" s="8" t="n"/>
      <c r="D12" s="8" t="n"/>
      <c r="E12" s="8" t="n"/>
      <c r="F12" s="8" t="n"/>
      <c r="G12" s="8" t="n"/>
      <c r="H12" s="8" t="n"/>
      <c r="I12" s="8" t="n"/>
      <c r="J12" s="8" t="n"/>
    </row>
    <row r="13" ht="120" customHeight="1">
      <c r="B13" s="8" t="n"/>
      <c r="C13" s="8" t="n"/>
      <c r="D13" s="8" t="n"/>
      <c r="E13" s="8" t="n"/>
      <c r="F13" s="8" t="n"/>
      <c r="G13" s="8" t="n"/>
      <c r="H13" s="8" t="n"/>
      <c r="I13" s="8" t="n"/>
      <c r="J13" s="8" t="n"/>
    </row>
    <row r="14" ht="120" customHeight="1">
      <c r="B14" s="8" t="n"/>
      <c r="C14" s="8" t="n"/>
      <c r="D14" s="8" t="n"/>
      <c r="E14" s="8" t="n"/>
      <c r="F14" s="8" t="n"/>
      <c r="G14" s="8" t="n"/>
      <c r="H14" s="8" t="n"/>
      <c r="I14" s="8" t="n"/>
      <c r="J14" s="8" t="n"/>
    </row>
    <row r="15" ht="120" customHeight="1">
      <c r="B15" s="8" t="n"/>
      <c r="C15" s="8" t="n"/>
      <c r="D15" s="8" t="n"/>
      <c r="E15" s="8" t="n"/>
      <c r="F15" s="8" t="n"/>
      <c r="G15" s="8" t="n"/>
      <c r="H15" s="8" t="n"/>
      <c r="I15" s="8" t="n"/>
      <c r="J15" s="8" t="n"/>
    </row>
    <row r="16" ht="120" customHeight="1">
      <c r="B16" s="8" t="n"/>
      <c r="C16" s="8" t="n"/>
      <c r="D16" s="8" t="n"/>
      <c r="E16" s="8" t="n"/>
      <c r="F16" s="8" t="n"/>
      <c r="G16" s="8" t="n"/>
      <c r="H16" s="8" t="n"/>
      <c r="I16" s="8" t="n"/>
      <c r="J16" s="8" t="n"/>
    </row>
    <row r="17" ht="120" customHeight="1">
      <c r="B17" s="8" t="n"/>
      <c r="C17" s="8" t="n"/>
      <c r="D17" s="8" t="n"/>
      <c r="E17" s="8" t="n"/>
      <c r="F17" s="8" t="n"/>
      <c r="G17" s="8" t="n"/>
      <c r="H17" s="8" t="n"/>
      <c r="I17" s="8" t="n"/>
      <c r="J17" s="8" t="n"/>
    </row>
    <row r="18" ht="120" customHeight="1">
      <c r="B18" s="8" t="n"/>
      <c r="C18" s="8" t="n"/>
      <c r="D18" s="8" t="n"/>
      <c r="E18" s="8" t="n"/>
      <c r="F18" s="8" t="n"/>
      <c r="G18" s="8" t="n"/>
      <c r="H18" s="8" t="n"/>
      <c r="I18" s="8" t="n"/>
      <c r="J18" s="8" t="n"/>
    </row>
    <row r="19" ht="120" customHeight="1">
      <c r="B19" s="8" t="n"/>
      <c r="C19" s="8" t="n"/>
      <c r="D19" s="8" t="n"/>
      <c r="E19" s="8" t="n"/>
      <c r="F19" s="8" t="n"/>
      <c r="G19" s="8" t="n"/>
      <c r="H19" s="8" t="n"/>
      <c r="I19" s="8" t="n"/>
      <c r="J19" s="8" t="n"/>
    </row>
    <row r="20" ht="120" customHeight="1">
      <c r="B20" s="8" t="n"/>
      <c r="C20" s="8" t="n"/>
      <c r="D20" s="8" t="n"/>
      <c r="E20" s="8" t="n"/>
      <c r="F20" s="8" t="n"/>
      <c r="G20" s="8" t="n"/>
      <c r="H20" s="8" t="n"/>
      <c r="I20" s="8" t="n"/>
      <c r="J20" s="8" t="n"/>
    </row>
    <row r="21" ht="120" customHeight="1">
      <c r="B21" s="8" t="n"/>
      <c r="C21" s="8" t="n"/>
      <c r="D21" s="8" t="n"/>
      <c r="E21" s="8" t="n"/>
      <c r="F21" s="8" t="n"/>
      <c r="G21" s="8" t="n"/>
      <c r="H21" s="8" t="n"/>
      <c r="I21" s="8" t="n"/>
      <c r="J21" s="8" t="n"/>
    </row>
  </sheetData>
  <mergeCells count="1">
    <mergeCell ref="C5:F6"/>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S20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10" customWidth="1" min="2" max="2"/>
    <col width="9" customWidth="1" min="3" max="3"/>
    <col width="30" customWidth="1" min="4" max="4"/>
    <col width="18" customWidth="1" min="5" max="5"/>
    <col width="40" customWidth="1" min="6" max="6"/>
    <col width="36" customWidth="1" min="7" max="7"/>
    <col width="30" customWidth="1" min="8" max="8"/>
    <col width="16" customWidth="1" min="9" max="9"/>
    <col width="12" customWidth="1" min="10" max="10"/>
    <col width="16" customWidth="1" min="11" max="11"/>
    <col width="30" customWidth="1" min="12" max="12"/>
    <col width="22" customWidth="1" min="13" max="13"/>
    <col width="11" customWidth="1" min="14" max="14"/>
    <col width="13" customWidth="1" min="15" max="15"/>
    <col width="14" customWidth="1" min="16" max="16"/>
    <col width="18" customWidth="1" min="17" max="17"/>
    <col width="11" customWidth="1" min="18" max="18"/>
    <col width="26" customWidth="1" min="19" max="19"/>
  </cols>
  <sheetData>
    <row r="1">
      <c r="A1" s="1" t="inlineStr">
        <is>
          <t>↑</t>
        </is>
      </c>
      <c r="B1" s="2" t="inlineStr">
        <is>
          <t>End-2026 target status assessment and reporting</t>
        </is>
      </c>
    </row>
    <row r="2">
      <c r="B2" s="3" t="inlineStr">
        <is>
          <t>Evidence register</t>
        </is>
      </c>
    </row>
    <row r="3">
      <c r="B3" s="9" t="inlineStr">
        <is>
          <t>Every material figure or claim needs a named owner, definition, source, reporting boundary, period, quality note and confirmation record (SR26 approach – Data quality).</t>
        </is>
      </c>
    </row>
    <row r="5">
      <c r="B5" s="6" t="inlineStr">
        <is>
          <t>Evidence ID</t>
        </is>
      </c>
      <c r="C5" s="6" t="inlineStr">
        <is>
          <t>Ref</t>
        </is>
      </c>
      <c r="D5" s="6" t="inlineStr">
        <is>
          <t>Indicator</t>
        </is>
      </c>
      <c r="E5" s="6" t="inlineStr">
        <is>
          <t>Faculty/Portfolio</t>
        </is>
      </c>
      <c r="F5" s="6" t="inlineStr">
        <is>
          <t>Claim / figure used in report</t>
        </is>
      </c>
      <c r="G5" s="6" t="inlineStr">
        <is>
          <t>Evidence description</t>
        </is>
      </c>
      <c r="H5" s="6" t="inlineStr">
        <is>
          <t>Link / file location</t>
        </is>
      </c>
      <c r="I5" s="6" t="inlineStr">
        <is>
          <t>Source system</t>
        </is>
      </c>
      <c r="J5" s="6" t="inlineStr">
        <is>
          <t>Reporting period</t>
        </is>
      </c>
      <c r="K5" s="6" t="inlineStr">
        <is>
          <t>Reporting boundary</t>
        </is>
      </c>
      <c r="L5" s="6" t="inlineStr">
        <is>
          <t>Limitations / quality note</t>
        </is>
      </c>
      <c r="M5" s="6" t="inlineStr">
        <is>
          <t>Data owner (name, role)</t>
        </is>
      </c>
      <c r="N5" s="6" t="inlineStr">
        <is>
          <t>Owner confirmed?</t>
        </is>
      </c>
      <c r="O5" s="6" t="inlineStr">
        <is>
          <t>Confirmation date</t>
        </is>
      </c>
      <c r="P5" s="6" t="inlineStr">
        <is>
          <t>SST reviewer</t>
        </is>
      </c>
      <c r="Q5" s="6" t="inlineStr">
        <is>
          <t>Report section</t>
        </is>
      </c>
      <c r="R5" s="6" t="inlineStr">
        <is>
          <t>Databook aligned?</t>
        </is>
      </c>
      <c r="S5" s="6" t="inlineStr">
        <is>
          <t>Status / notes</t>
        </is>
      </c>
    </row>
    <row r="6">
      <c r="B6" s="8">
        <f>IF(C6="","","EV-"&amp;TEXT(ROW()-5,"000"))</f>
        <v/>
      </c>
      <c r="C6" s="8" t="n"/>
      <c r="D6" s="8" t="n"/>
      <c r="E6" s="8" t="n"/>
      <c r="F6" s="8" t="n"/>
      <c r="G6" s="8" t="n"/>
      <c r="H6" s="8" t="n"/>
      <c r="I6" s="8" t="n"/>
      <c r="J6" s="8" t="n"/>
      <c r="K6" s="8" t="n"/>
      <c r="L6" s="8" t="n"/>
      <c r="M6" s="8" t="n"/>
      <c r="N6" s="8" t="n"/>
      <c r="O6" s="8" t="n"/>
      <c r="P6" s="8" t="n"/>
      <c r="Q6" s="8" t="n"/>
      <c r="R6" s="8" t="n"/>
      <c r="S6" s="8" t="n"/>
    </row>
    <row r="7">
      <c r="B7" s="8">
        <f>IF(C7="","","EV-"&amp;TEXT(ROW()-5,"000"))</f>
        <v/>
      </c>
      <c r="C7" s="8" t="n"/>
      <c r="D7" s="8" t="n"/>
      <c r="E7" s="8" t="n"/>
      <c r="F7" s="8" t="n"/>
      <c r="G7" s="8" t="n"/>
      <c r="H7" s="8" t="n"/>
      <c r="I7" s="8" t="n"/>
      <c r="J7" s="8" t="n"/>
      <c r="K7" s="8" t="n"/>
      <c r="L7" s="8" t="n"/>
      <c r="M7" s="8" t="n"/>
      <c r="N7" s="8" t="n"/>
      <c r="O7" s="8" t="n"/>
      <c r="P7" s="8" t="n"/>
      <c r="Q7" s="8" t="n"/>
      <c r="R7" s="8" t="n"/>
      <c r="S7" s="8" t="n"/>
    </row>
    <row r="8">
      <c r="B8" s="8">
        <f>IF(C8="","","EV-"&amp;TEXT(ROW()-5,"000"))</f>
        <v/>
      </c>
      <c r="C8" s="8" t="n"/>
      <c r="D8" s="8" t="n"/>
      <c r="E8" s="8" t="n"/>
      <c r="F8" s="8" t="n"/>
      <c r="G8" s="8" t="n"/>
      <c r="H8" s="8" t="n"/>
      <c r="I8" s="8" t="n"/>
      <c r="J8" s="8" t="n"/>
      <c r="K8" s="8" t="n"/>
      <c r="L8" s="8" t="n"/>
      <c r="M8" s="8" t="n"/>
      <c r="N8" s="8" t="n"/>
      <c r="O8" s="8" t="n"/>
      <c r="P8" s="8" t="n"/>
      <c r="Q8" s="8" t="n"/>
      <c r="R8" s="8" t="n"/>
      <c r="S8" s="8" t="n"/>
    </row>
    <row r="9">
      <c r="B9" s="8">
        <f>IF(C9="","","EV-"&amp;TEXT(ROW()-5,"000"))</f>
        <v/>
      </c>
      <c r="C9" s="8" t="n"/>
      <c r="D9" s="8" t="n"/>
      <c r="E9" s="8" t="n"/>
      <c r="F9" s="8" t="n"/>
      <c r="G9" s="8" t="n"/>
      <c r="H9" s="8" t="n"/>
      <c r="I9" s="8" t="n"/>
      <c r="J9" s="8" t="n"/>
      <c r="K9" s="8" t="n"/>
      <c r="L9" s="8" t="n"/>
      <c r="M9" s="8" t="n"/>
      <c r="N9" s="8" t="n"/>
      <c r="O9" s="8" t="n"/>
      <c r="P9" s="8" t="n"/>
      <c r="Q9" s="8" t="n"/>
      <c r="R9" s="8" t="n"/>
      <c r="S9" s="8" t="n"/>
    </row>
    <row r="10">
      <c r="B10" s="8">
        <f>IF(C10="","","EV-"&amp;TEXT(ROW()-5,"000"))</f>
        <v/>
      </c>
      <c r="C10" s="8" t="n"/>
      <c r="D10" s="8" t="n"/>
      <c r="E10" s="8" t="n"/>
      <c r="F10" s="8" t="n"/>
      <c r="G10" s="8" t="n"/>
      <c r="H10" s="8" t="n"/>
      <c r="I10" s="8" t="n"/>
      <c r="J10" s="8" t="n"/>
      <c r="K10" s="8" t="n"/>
      <c r="L10" s="8" t="n"/>
      <c r="M10" s="8" t="n"/>
      <c r="N10" s="8" t="n"/>
      <c r="O10" s="8" t="n"/>
      <c r="P10" s="8" t="n"/>
      <c r="Q10" s="8" t="n"/>
      <c r="R10" s="8" t="n"/>
      <c r="S10" s="8" t="n"/>
    </row>
    <row r="11">
      <c r="B11" s="8">
        <f>IF(C11="","","EV-"&amp;TEXT(ROW()-5,"000"))</f>
        <v/>
      </c>
      <c r="C11" s="8" t="n"/>
      <c r="D11" s="8" t="n"/>
      <c r="E11" s="8" t="n"/>
      <c r="F11" s="8" t="n"/>
      <c r="G11" s="8" t="n"/>
      <c r="H11" s="8" t="n"/>
      <c r="I11" s="8" t="n"/>
      <c r="J11" s="8" t="n"/>
      <c r="K11" s="8" t="n"/>
      <c r="L11" s="8" t="n"/>
      <c r="M11" s="8" t="n"/>
      <c r="N11" s="8" t="n"/>
      <c r="O11" s="8" t="n"/>
      <c r="P11" s="8" t="n"/>
      <c r="Q11" s="8" t="n"/>
      <c r="R11" s="8" t="n"/>
      <c r="S11" s="8" t="n"/>
    </row>
    <row r="12">
      <c r="B12" s="8">
        <f>IF(C12="","","EV-"&amp;TEXT(ROW()-5,"000"))</f>
        <v/>
      </c>
      <c r="C12" s="8" t="n"/>
      <c r="D12" s="8" t="n"/>
      <c r="E12" s="8" t="n"/>
      <c r="F12" s="8" t="n"/>
      <c r="G12" s="8" t="n"/>
      <c r="H12" s="8" t="n"/>
      <c r="I12" s="8" t="n"/>
      <c r="J12" s="8" t="n"/>
      <c r="K12" s="8" t="n"/>
      <c r="L12" s="8" t="n"/>
      <c r="M12" s="8" t="n"/>
      <c r="N12" s="8" t="n"/>
      <c r="O12" s="8" t="n"/>
      <c r="P12" s="8" t="n"/>
      <c r="Q12" s="8" t="n"/>
      <c r="R12" s="8" t="n"/>
      <c r="S12" s="8" t="n"/>
    </row>
    <row r="13">
      <c r="B13" s="8">
        <f>IF(C13="","","EV-"&amp;TEXT(ROW()-5,"000"))</f>
        <v/>
      </c>
      <c r="C13" s="8" t="n"/>
      <c r="D13" s="8" t="n"/>
      <c r="E13" s="8" t="n"/>
      <c r="F13" s="8" t="n"/>
      <c r="G13" s="8" t="n"/>
      <c r="H13" s="8" t="n"/>
      <c r="I13" s="8" t="n"/>
      <c r="J13" s="8" t="n"/>
      <c r="K13" s="8" t="n"/>
      <c r="L13" s="8" t="n"/>
      <c r="M13" s="8" t="n"/>
      <c r="N13" s="8" t="n"/>
      <c r="O13" s="8" t="n"/>
      <c r="P13" s="8" t="n"/>
      <c r="Q13" s="8" t="n"/>
      <c r="R13" s="8" t="n"/>
      <c r="S13" s="8" t="n"/>
    </row>
    <row r="14">
      <c r="B14" s="8">
        <f>IF(C14="","","EV-"&amp;TEXT(ROW()-5,"000"))</f>
        <v/>
      </c>
      <c r="C14" s="8" t="n"/>
      <c r="D14" s="8" t="n"/>
      <c r="E14" s="8" t="n"/>
      <c r="F14" s="8" t="n"/>
      <c r="G14" s="8" t="n"/>
      <c r="H14" s="8" t="n"/>
      <c r="I14" s="8" t="n"/>
      <c r="J14" s="8" t="n"/>
      <c r="K14" s="8" t="n"/>
      <c r="L14" s="8" t="n"/>
      <c r="M14" s="8" t="n"/>
      <c r="N14" s="8" t="n"/>
      <c r="O14" s="8" t="n"/>
      <c r="P14" s="8" t="n"/>
      <c r="Q14" s="8" t="n"/>
      <c r="R14" s="8" t="n"/>
      <c r="S14" s="8" t="n"/>
    </row>
    <row r="15">
      <c r="B15" s="8">
        <f>IF(C15="","","EV-"&amp;TEXT(ROW()-5,"000"))</f>
        <v/>
      </c>
      <c r="C15" s="8" t="n"/>
      <c r="D15" s="8" t="n"/>
      <c r="E15" s="8" t="n"/>
      <c r="F15" s="8" t="n"/>
      <c r="G15" s="8" t="n"/>
      <c r="H15" s="8" t="n"/>
      <c r="I15" s="8" t="n"/>
      <c r="J15" s="8" t="n"/>
      <c r="K15" s="8" t="n"/>
      <c r="L15" s="8" t="n"/>
      <c r="M15" s="8" t="n"/>
      <c r="N15" s="8" t="n"/>
      <c r="O15" s="8" t="n"/>
      <c r="P15" s="8" t="n"/>
      <c r="Q15" s="8" t="n"/>
      <c r="R15" s="8" t="n"/>
      <c r="S15" s="8" t="n"/>
    </row>
    <row r="16">
      <c r="B16" s="8">
        <f>IF(C16="","","EV-"&amp;TEXT(ROW()-5,"000"))</f>
        <v/>
      </c>
      <c r="C16" s="8" t="n"/>
      <c r="D16" s="8" t="n"/>
      <c r="E16" s="8" t="n"/>
      <c r="F16" s="8" t="n"/>
      <c r="G16" s="8" t="n"/>
      <c r="H16" s="8" t="n"/>
      <c r="I16" s="8" t="n"/>
      <c r="J16" s="8" t="n"/>
      <c r="K16" s="8" t="n"/>
      <c r="L16" s="8" t="n"/>
      <c r="M16" s="8" t="n"/>
      <c r="N16" s="8" t="n"/>
      <c r="O16" s="8" t="n"/>
      <c r="P16" s="8" t="n"/>
      <c r="Q16" s="8" t="n"/>
      <c r="R16" s="8" t="n"/>
      <c r="S16" s="8" t="n"/>
    </row>
    <row r="17">
      <c r="B17" s="8">
        <f>IF(C17="","","EV-"&amp;TEXT(ROW()-5,"000"))</f>
        <v/>
      </c>
      <c r="C17" s="8" t="n"/>
      <c r="D17" s="8" t="n"/>
      <c r="E17" s="8" t="n"/>
      <c r="F17" s="8" t="n"/>
      <c r="G17" s="8" t="n"/>
      <c r="H17" s="8" t="n"/>
      <c r="I17" s="8" t="n"/>
      <c r="J17" s="8" t="n"/>
      <c r="K17" s="8" t="n"/>
      <c r="L17" s="8" t="n"/>
      <c r="M17" s="8" t="n"/>
      <c r="N17" s="8" t="n"/>
      <c r="O17" s="8" t="n"/>
      <c r="P17" s="8" t="n"/>
      <c r="Q17" s="8" t="n"/>
      <c r="R17" s="8" t="n"/>
      <c r="S17" s="8" t="n"/>
    </row>
    <row r="18">
      <c r="B18" s="8">
        <f>IF(C18="","","EV-"&amp;TEXT(ROW()-5,"000"))</f>
        <v/>
      </c>
      <c r="C18" s="8" t="n"/>
      <c r="D18" s="8" t="n"/>
      <c r="E18" s="8" t="n"/>
      <c r="F18" s="8" t="n"/>
      <c r="G18" s="8" t="n"/>
      <c r="H18" s="8" t="n"/>
      <c r="I18" s="8" t="n"/>
      <c r="J18" s="8" t="n"/>
      <c r="K18" s="8" t="n"/>
      <c r="L18" s="8" t="n"/>
      <c r="M18" s="8" t="n"/>
      <c r="N18" s="8" t="n"/>
      <c r="O18" s="8" t="n"/>
      <c r="P18" s="8" t="n"/>
      <c r="Q18" s="8" t="n"/>
      <c r="R18" s="8" t="n"/>
      <c r="S18" s="8" t="n"/>
    </row>
    <row r="19">
      <c r="B19" s="8">
        <f>IF(C19="","","EV-"&amp;TEXT(ROW()-5,"000"))</f>
        <v/>
      </c>
      <c r="C19" s="8" t="n"/>
      <c r="D19" s="8" t="n"/>
      <c r="E19" s="8" t="n"/>
      <c r="F19" s="8" t="n"/>
      <c r="G19" s="8" t="n"/>
      <c r="H19" s="8" t="n"/>
      <c r="I19" s="8" t="n"/>
      <c r="J19" s="8" t="n"/>
      <c r="K19" s="8" t="n"/>
      <c r="L19" s="8" t="n"/>
      <c r="M19" s="8" t="n"/>
      <c r="N19" s="8" t="n"/>
      <c r="O19" s="8" t="n"/>
      <c r="P19" s="8" t="n"/>
      <c r="Q19" s="8" t="n"/>
      <c r="R19" s="8" t="n"/>
      <c r="S19" s="8" t="n"/>
    </row>
    <row r="20">
      <c r="B20" s="8">
        <f>IF(C20="","","EV-"&amp;TEXT(ROW()-5,"000"))</f>
        <v/>
      </c>
      <c r="C20" s="8" t="n"/>
      <c r="D20" s="8" t="n"/>
      <c r="E20" s="8" t="n"/>
      <c r="F20" s="8" t="n"/>
      <c r="G20" s="8" t="n"/>
      <c r="H20" s="8" t="n"/>
      <c r="I20" s="8" t="n"/>
      <c r="J20" s="8" t="n"/>
      <c r="K20" s="8" t="n"/>
      <c r="L20" s="8" t="n"/>
      <c r="M20" s="8" t="n"/>
      <c r="N20" s="8" t="n"/>
      <c r="O20" s="8" t="n"/>
      <c r="P20" s="8" t="n"/>
      <c r="Q20" s="8" t="n"/>
      <c r="R20" s="8" t="n"/>
      <c r="S20" s="8" t="n"/>
    </row>
    <row r="21">
      <c r="B21" s="8">
        <f>IF(C21="","","EV-"&amp;TEXT(ROW()-5,"000"))</f>
        <v/>
      </c>
      <c r="C21" s="8" t="n"/>
      <c r="D21" s="8" t="n"/>
      <c r="E21" s="8" t="n"/>
      <c r="F21" s="8" t="n"/>
      <c r="G21" s="8" t="n"/>
      <c r="H21" s="8" t="n"/>
      <c r="I21" s="8" t="n"/>
      <c r="J21" s="8" t="n"/>
      <c r="K21" s="8" t="n"/>
      <c r="L21" s="8" t="n"/>
      <c r="M21" s="8" t="n"/>
      <c r="N21" s="8" t="n"/>
      <c r="O21" s="8" t="n"/>
      <c r="P21" s="8" t="n"/>
      <c r="Q21" s="8" t="n"/>
      <c r="R21" s="8" t="n"/>
      <c r="S21" s="8" t="n"/>
    </row>
    <row r="22">
      <c r="B22" s="8">
        <f>IF(C22="","","EV-"&amp;TEXT(ROW()-5,"000"))</f>
        <v/>
      </c>
      <c r="C22" s="8" t="n"/>
      <c r="D22" s="8" t="n"/>
      <c r="E22" s="8" t="n"/>
      <c r="F22" s="8" t="n"/>
      <c r="G22" s="8" t="n"/>
      <c r="H22" s="8" t="n"/>
      <c r="I22" s="8" t="n"/>
      <c r="J22" s="8" t="n"/>
      <c r="K22" s="8" t="n"/>
      <c r="L22" s="8" t="n"/>
      <c r="M22" s="8" t="n"/>
      <c r="N22" s="8" t="n"/>
      <c r="O22" s="8" t="n"/>
      <c r="P22" s="8" t="n"/>
      <c r="Q22" s="8" t="n"/>
      <c r="R22" s="8" t="n"/>
      <c r="S22" s="8" t="n"/>
    </row>
    <row r="23">
      <c r="B23" s="8">
        <f>IF(C23="","","EV-"&amp;TEXT(ROW()-5,"000"))</f>
        <v/>
      </c>
      <c r="C23" s="8" t="n"/>
      <c r="D23" s="8" t="n"/>
      <c r="E23" s="8" t="n"/>
      <c r="F23" s="8" t="n"/>
      <c r="G23" s="8" t="n"/>
      <c r="H23" s="8" t="n"/>
      <c r="I23" s="8" t="n"/>
      <c r="J23" s="8" t="n"/>
      <c r="K23" s="8" t="n"/>
      <c r="L23" s="8" t="n"/>
      <c r="M23" s="8" t="n"/>
      <c r="N23" s="8" t="n"/>
      <c r="O23" s="8" t="n"/>
      <c r="P23" s="8" t="n"/>
      <c r="Q23" s="8" t="n"/>
      <c r="R23" s="8" t="n"/>
      <c r="S23" s="8" t="n"/>
    </row>
    <row r="24">
      <c r="B24" s="8">
        <f>IF(C24="","","EV-"&amp;TEXT(ROW()-5,"000"))</f>
        <v/>
      </c>
      <c r="C24" s="8" t="n"/>
      <c r="D24" s="8" t="n"/>
      <c r="E24" s="8" t="n"/>
      <c r="F24" s="8" t="n"/>
      <c r="G24" s="8" t="n"/>
      <c r="H24" s="8" t="n"/>
      <c r="I24" s="8" t="n"/>
      <c r="J24" s="8" t="n"/>
      <c r="K24" s="8" t="n"/>
      <c r="L24" s="8" t="n"/>
      <c r="M24" s="8" t="n"/>
      <c r="N24" s="8" t="n"/>
      <c r="O24" s="8" t="n"/>
      <c r="P24" s="8" t="n"/>
      <c r="Q24" s="8" t="n"/>
      <c r="R24" s="8" t="n"/>
      <c r="S24" s="8" t="n"/>
    </row>
    <row r="25">
      <c r="B25" s="8">
        <f>IF(C25="","","EV-"&amp;TEXT(ROW()-5,"000"))</f>
        <v/>
      </c>
      <c r="C25" s="8" t="n"/>
      <c r="D25" s="8" t="n"/>
      <c r="E25" s="8" t="n"/>
      <c r="F25" s="8" t="n"/>
      <c r="G25" s="8" t="n"/>
      <c r="H25" s="8" t="n"/>
      <c r="I25" s="8" t="n"/>
      <c r="J25" s="8" t="n"/>
      <c r="K25" s="8" t="n"/>
      <c r="L25" s="8" t="n"/>
      <c r="M25" s="8" t="n"/>
      <c r="N25" s="8" t="n"/>
      <c r="O25" s="8" t="n"/>
      <c r="P25" s="8" t="n"/>
      <c r="Q25" s="8" t="n"/>
      <c r="R25" s="8" t="n"/>
      <c r="S25" s="8" t="n"/>
    </row>
    <row r="26">
      <c r="B26" s="8">
        <f>IF(C26="","","EV-"&amp;TEXT(ROW()-5,"000"))</f>
        <v/>
      </c>
      <c r="C26" s="8" t="n"/>
      <c r="D26" s="8" t="n"/>
      <c r="E26" s="8" t="n"/>
      <c r="F26" s="8" t="n"/>
      <c r="G26" s="8" t="n"/>
      <c r="H26" s="8" t="n"/>
      <c r="I26" s="8" t="n"/>
      <c r="J26" s="8" t="n"/>
      <c r="K26" s="8" t="n"/>
      <c r="L26" s="8" t="n"/>
      <c r="M26" s="8" t="n"/>
      <c r="N26" s="8" t="n"/>
      <c r="O26" s="8" t="n"/>
      <c r="P26" s="8" t="n"/>
      <c r="Q26" s="8" t="n"/>
      <c r="R26" s="8" t="n"/>
      <c r="S26" s="8" t="n"/>
    </row>
    <row r="27">
      <c r="B27" s="8">
        <f>IF(C27="","","EV-"&amp;TEXT(ROW()-5,"000"))</f>
        <v/>
      </c>
      <c r="C27" s="8" t="n"/>
      <c r="D27" s="8" t="n"/>
      <c r="E27" s="8" t="n"/>
      <c r="F27" s="8" t="n"/>
      <c r="G27" s="8" t="n"/>
      <c r="H27" s="8" t="n"/>
      <c r="I27" s="8" t="n"/>
      <c r="J27" s="8" t="n"/>
      <c r="K27" s="8" t="n"/>
      <c r="L27" s="8" t="n"/>
      <c r="M27" s="8" t="n"/>
      <c r="N27" s="8" t="n"/>
      <c r="O27" s="8" t="n"/>
      <c r="P27" s="8" t="n"/>
      <c r="Q27" s="8" t="n"/>
      <c r="R27" s="8" t="n"/>
      <c r="S27" s="8" t="n"/>
    </row>
    <row r="28">
      <c r="B28" s="8">
        <f>IF(C28="","","EV-"&amp;TEXT(ROW()-5,"000"))</f>
        <v/>
      </c>
      <c r="C28" s="8" t="n"/>
      <c r="D28" s="8" t="n"/>
      <c r="E28" s="8" t="n"/>
      <c r="F28" s="8" t="n"/>
      <c r="G28" s="8" t="n"/>
      <c r="H28" s="8" t="n"/>
      <c r="I28" s="8" t="n"/>
      <c r="J28" s="8" t="n"/>
      <c r="K28" s="8" t="n"/>
      <c r="L28" s="8" t="n"/>
      <c r="M28" s="8" t="n"/>
      <c r="N28" s="8" t="n"/>
      <c r="O28" s="8" t="n"/>
      <c r="P28" s="8" t="n"/>
      <c r="Q28" s="8" t="n"/>
      <c r="R28" s="8" t="n"/>
      <c r="S28" s="8" t="n"/>
    </row>
    <row r="29">
      <c r="B29" s="8">
        <f>IF(C29="","","EV-"&amp;TEXT(ROW()-5,"000"))</f>
        <v/>
      </c>
      <c r="C29" s="8" t="n"/>
      <c r="D29" s="8" t="n"/>
      <c r="E29" s="8" t="n"/>
      <c r="F29" s="8" t="n"/>
      <c r="G29" s="8" t="n"/>
      <c r="H29" s="8" t="n"/>
      <c r="I29" s="8" t="n"/>
      <c r="J29" s="8" t="n"/>
      <c r="K29" s="8" t="n"/>
      <c r="L29" s="8" t="n"/>
      <c r="M29" s="8" t="n"/>
      <c r="N29" s="8" t="n"/>
      <c r="O29" s="8" t="n"/>
      <c r="P29" s="8" t="n"/>
      <c r="Q29" s="8" t="n"/>
      <c r="R29" s="8" t="n"/>
      <c r="S29" s="8" t="n"/>
    </row>
    <row r="30">
      <c r="B30" s="8">
        <f>IF(C30="","","EV-"&amp;TEXT(ROW()-5,"000"))</f>
        <v/>
      </c>
      <c r="C30" s="8" t="n"/>
      <c r="D30" s="8" t="n"/>
      <c r="E30" s="8" t="n"/>
      <c r="F30" s="8" t="n"/>
      <c r="G30" s="8" t="n"/>
      <c r="H30" s="8" t="n"/>
      <c r="I30" s="8" t="n"/>
      <c r="J30" s="8" t="n"/>
      <c r="K30" s="8" t="n"/>
      <c r="L30" s="8" t="n"/>
      <c r="M30" s="8" t="n"/>
      <c r="N30" s="8" t="n"/>
      <c r="O30" s="8" t="n"/>
      <c r="P30" s="8" t="n"/>
      <c r="Q30" s="8" t="n"/>
      <c r="R30" s="8" t="n"/>
      <c r="S30" s="8" t="n"/>
    </row>
    <row r="31">
      <c r="B31" s="8">
        <f>IF(C31="","","EV-"&amp;TEXT(ROW()-5,"000"))</f>
        <v/>
      </c>
      <c r="C31" s="8" t="n"/>
      <c r="D31" s="8" t="n"/>
      <c r="E31" s="8" t="n"/>
      <c r="F31" s="8" t="n"/>
      <c r="G31" s="8" t="n"/>
      <c r="H31" s="8" t="n"/>
      <c r="I31" s="8" t="n"/>
      <c r="J31" s="8" t="n"/>
      <c r="K31" s="8" t="n"/>
      <c r="L31" s="8" t="n"/>
      <c r="M31" s="8" t="n"/>
      <c r="N31" s="8" t="n"/>
      <c r="O31" s="8" t="n"/>
      <c r="P31" s="8" t="n"/>
      <c r="Q31" s="8" t="n"/>
      <c r="R31" s="8" t="n"/>
      <c r="S31" s="8" t="n"/>
    </row>
    <row r="32">
      <c r="B32" s="8">
        <f>IF(C32="","","EV-"&amp;TEXT(ROW()-5,"000"))</f>
        <v/>
      </c>
      <c r="C32" s="8" t="n"/>
      <c r="D32" s="8" t="n"/>
      <c r="E32" s="8" t="n"/>
      <c r="F32" s="8" t="n"/>
      <c r="G32" s="8" t="n"/>
      <c r="H32" s="8" t="n"/>
      <c r="I32" s="8" t="n"/>
      <c r="J32" s="8" t="n"/>
      <c r="K32" s="8" t="n"/>
      <c r="L32" s="8" t="n"/>
      <c r="M32" s="8" t="n"/>
      <c r="N32" s="8" t="n"/>
      <c r="O32" s="8" t="n"/>
      <c r="P32" s="8" t="n"/>
      <c r="Q32" s="8" t="n"/>
      <c r="R32" s="8" t="n"/>
      <c r="S32" s="8" t="n"/>
    </row>
    <row r="33">
      <c r="B33" s="8">
        <f>IF(C33="","","EV-"&amp;TEXT(ROW()-5,"000"))</f>
        <v/>
      </c>
      <c r="C33" s="8" t="n"/>
      <c r="D33" s="8" t="n"/>
      <c r="E33" s="8" t="n"/>
      <c r="F33" s="8" t="n"/>
      <c r="G33" s="8" t="n"/>
      <c r="H33" s="8" t="n"/>
      <c r="I33" s="8" t="n"/>
      <c r="J33" s="8" t="n"/>
      <c r="K33" s="8" t="n"/>
      <c r="L33" s="8" t="n"/>
      <c r="M33" s="8" t="n"/>
      <c r="N33" s="8" t="n"/>
      <c r="O33" s="8" t="n"/>
      <c r="P33" s="8" t="n"/>
      <c r="Q33" s="8" t="n"/>
      <c r="R33" s="8" t="n"/>
      <c r="S33" s="8" t="n"/>
    </row>
    <row r="34">
      <c r="B34" s="8">
        <f>IF(C34="","","EV-"&amp;TEXT(ROW()-5,"000"))</f>
        <v/>
      </c>
      <c r="C34" s="8" t="n"/>
      <c r="D34" s="8" t="n"/>
      <c r="E34" s="8" t="n"/>
      <c r="F34" s="8" t="n"/>
      <c r="G34" s="8" t="n"/>
      <c r="H34" s="8" t="n"/>
      <c r="I34" s="8" t="n"/>
      <c r="J34" s="8" t="n"/>
      <c r="K34" s="8" t="n"/>
      <c r="L34" s="8" t="n"/>
      <c r="M34" s="8" t="n"/>
      <c r="N34" s="8" t="n"/>
      <c r="O34" s="8" t="n"/>
      <c r="P34" s="8" t="n"/>
      <c r="Q34" s="8" t="n"/>
      <c r="R34" s="8" t="n"/>
      <c r="S34" s="8" t="n"/>
    </row>
    <row r="35">
      <c r="B35" s="8">
        <f>IF(C35="","","EV-"&amp;TEXT(ROW()-5,"000"))</f>
        <v/>
      </c>
      <c r="C35" s="8" t="n"/>
      <c r="D35" s="8" t="n"/>
      <c r="E35" s="8" t="n"/>
      <c r="F35" s="8" t="n"/>
      <c r="G35" s="8" t="n"/>
      <c r="H35" s="8" t="n"/>
      <c r="I35" s="8" t="n"/>
      <c r="J35" s="8" t="n"/>
      <c r="K35" s="8" t="n"/>
      <c r="L35" s="8" t="n"/>
      <c r="M35" s="8" t="n"/>
      <c r="N35" s="8" t="n"/>
      <c r="O35" s="8" t="n"/>
      <c r="P35" s="8" t="n"/>
      <c r="Q35" s="8" t="n"/>
      <c r="R35" s="8" t="n"/>
      <c r="S35" s="8" t="n"/>
    </row>
    <row r="36">
      <c r="B36" s="8">
        <f>IF(C36="","","EV-"&amp;TEXT(ROW()-5,"000"))</f>
        <v/>
      </c>
      <c r="C36" s="8" t="n"/>
      <c r="D36" s="8" t="n"/>
      <c r="E36" s="8" t="n"/>
      <c r="F36" s="8" t="n"/>
      <c r="G36" s="8" t="n"/>
      <c r="H36" s="8" t="n"/>
      <c r="I36" s="8" t="n"/>
      <c r="J36" s="8" t="n"/>
      <c r="K36" s="8" t="n"/>
      <c r="L36" s="8" t="n"/>
      <c r="M36" s="8" t="n"/>
      <c r="N36" s="8" t="n"/>
      <c r="O36" s="8" t="n"/>
      <c r="P36" s="8" t="n"/>
      <c r="Q36" s="8" t="n"/>
      <c r="R36" s="8" t="n"/>
      <c r="S36" s="8" t="n"/>
    </row>
    <row r="37">
      <c r="B37" s="8">
        <f>IF(C37="","","EV-"&amp;TEXT(ROW()-5,"000"))</f>
        <v/>
      </c>
      <c r="C37" s="8" t="n"/>
      <c r="D37" s="8" t="n"/>
      <c r="E37" s="8" t="n"/>
      <c r="F37" s="8" t="n"/>
      <c r="G37" s="8" t="n"/>
      <c r="H37" s="8" t="n"/>
      <c r="I37" s="8" t="n"/>
      <c r="J37" s="8" t="n"/>
      <c r="K37" s="8" t="n"/>
      <c r="L37" s="8" t="n"/>
      <c r="M37" s="8" t="n"/>
      <c r="N37" s="8" t="n"/>
      <c r="O37" s="8" t="n"/>
      <c r="P37" s="8" t="n"/>
      <c r="Q37" s="8" t="n"/>
      <c r="R37" s="8" t="n"/>
      <c r="S37" s="8" t="n"/>
    </row>
    <row r="38">
      <c r="B38" s="8">
        <f>IF(C38="","","EV-"&amp;TEXT(ROW()-5,"000"))</f>
        <v/>
      </c>
      <c r="C38" s="8" t="n"/>
      <c r="D38" s="8" t="n"/>
      <c r="E38" s="8" t="n"/>
      <c r="F38" s="8" t="n"/>
      <c r="G38" s="8" t="n"/>
      <c r="H38" s="8" t="n"/>
      <c r="I38" s="8" t="n"/>
      <c r="J38" s="8" t="n"/>
      <c r="K38" s="8" t="n"/>
      <c r="L38" s="8" t="n"/>
      <c r="M38" s="8" t="n"/>
      <c r="N38" s="8" t="n"/>
      <c r="O38" s="8" t="n"/>
      <c r="P38" s="8" t="n"/>
      <c r="Q38" s="8" t="n"/>
      <c r="R38" s="8" t="n"/>
      <c r="S38" s="8" t="n"/>
    </row>
    <row r="39">
      <c r="B39" s="8">
        <f>IF(C39="","","EV-"&amp;TEXT(ROW()-5,"000"))</f>
        <v/>
      </c>
      <c r="C39" s="8" t="n"/>
      <c r="D39" s="8" t="n"/>
      <c r="E39" s="8" t="n"/>
      <c r="F39" s="8" t="n"/>
      <c r="G39" s="8" t="n"/>
      <c r="H39" s="8" t="n"/>
      <c r="I39" s="8" t="n"/>
      <c r="J39" s="8" t="n"/>
      <c r="K39" s="8" t="n"/>
      <c r="L39" s="8" t="n"/>
      <c r="M39" s="8" t="n"/>
      <c r="N39" s="8" t="n"/>
      <c r="O39" s="8" t="n"/>
      <c r="P39" s="8" t="n"/>
      <c r="Q39" s="8" t="n"/>
      <c r="R39" s="8" t="n"/>
      <c r="S39" s="8" t="n"/>
    </row>
    <row r="40">
      <c r="B40" s="8">
        <f>IF(C40="","","EV-"&amp;TEXT(ROW()-5,"000"))</f>
        <v/>
      </c>
      <c r="C40" s="8" t="n"/>
      <c r="D40" s="8" t="n"/>
      <c r="E40" s="8" t="n"/>
      <c r="F40" s="8" t="n"/>
      <c r="G40" s="8" t="n"/>
      <c r="H40" s="8" t="n"/>
      <c r="I40" s="8" t="n"/>
      <c r="J40" s="8" t="n"/>
      <c r="K40" s="8" t="n"/>
      <c r="L40" s="8" t="n"/>
      <c r="M40" s="8" t="n"/>
      <c r="N40" s="8" t="n"/>
      <c r="O40" s="8" t="n"/>
      <c r="P40" s="8" t="n"/>
      <c r="Q40" s="8" t="n"/>
      <c r="R40" s="8" t="n"/>
      <c r="S40" s="8" t="n"/>
    </row>
    <row r="41">
      <c r="B41" s="8">
        <f>IF(C41="","","EV-"&amp;TEXT(ROW()-5,"000"))</f>
        <v/>
      </c>
      <c r="C41" s="8" t="n"/>
      <c r="D41" s="8" t="n"/>
      <c r="E41" s="8" t="n"/>
      <c r="F41" s="8" t="n"/>
      <c r="G41" s="8" t="n"/>
      <c r="H41" s="8" t="n"/>
      <c r="I41" s="8" t="n"/>
      <c r="J41" s="8" t="n"/>
      <c r="K41" s="8" t="n"/>
      <c r="L41" s="8" t="n"/>
      <c r="M41" s="8" t="n"/>
      <c r="N41" s="8" t="n"/>
      <c r="O41" s="8" t="n"/>
      <c r="P41" s="8" t="n"/>
      <c r="Q41" s="8" t="n"/>
      <c r="R41" s="8" t="n"/>
      <c r="S41" s="8" t="n"/>
    </row>
    <row r="42">
      <c r="B42" s="8">
        <f>IF(C42="","","EV-"&amp;TEXT(ROW()-5,"000"))</f>
        <v/>
      </c>
      <c r="C42" s="8" t="n"/>
      <c r="D42" s="8" t="n"/>
      <c r="E42" s="8" t="n"/>
      <c r="F42" s="8" t="n"/>
      <c r="G42" s="8" t="n"/>
      <c r="H42" s="8" t="n"/>
      <c r="I42" s="8" t="n"/>
      <c r="J42" s="8" t="n"/>
      <c r="K42" s="8" t="n"/>
      <c r="L42" s="8" t="n"/>
      <c r="M42" s="8" t="n"/>
      <c r="N42" s="8" t="n"/>
      <c r="O42" s="8" t="n"/>
      <c r="P42" s="8" t="n"/>
      <c r="Q42" s="8" t="n"/>
      <c r="R42" s="8" t="n"/>
      <c r="S42" s="8" t="n"/>
    </row>
    <row r="43">
      <c r="B43" s="8">
        <f>IF(C43="","","EV-"&amp;TEXT(ROW()-5,"000"))</f>
        <v/>
      </c>
      <c r="C43" s="8" t="n"/>
      <c r="D43" s="8" t="n"/>
      <c r="E43" s="8" t="n"/>
      <c r="F43" s="8" t="n"/>
      <c r="G43" s="8" t="n"/>
      <c r="H43" s="8" t="n"/>
      <c r="I43" s="8" t="n"/>
      <c r="J43" s="8" t="n"/>
      <c r="K43" s="8" t="n"/>
      <c r="L43" s="8" t="n"/>
      <c r="M43" s="8" t="n"/>
      <c r="N43" s="8" t="n"/>
      <c r="O43" s="8" t="n"/>
      <c r="P43" s="8" t="n"/>
      <c r="Q43" s="8" t="n"/>
      <c r="R43" s="8" t="n"/>
      <c r="S43" s="8" t="n"/>
    </row>
    <row r="44">
      <c r="B44" s="8">
        <f>IF(C44="","","EV-"&amp;TEXT(ROW()-5,"000"))</f>
        <v/>
      </c>
      <c r="C44" s="8" t="n"/>
      <c r="D44" s="8" t="n"/>
      <c r="E44" s="8" t="n"/>
      <c r="F44" s="8" t="n"/>
      <c r="G44" s="8" t="n"/>
      <c r="H44" s="8" t="n"/>
      <c r="I44" s="8" t="n"/>
      <c r="J44" s="8" t="n"/>
      <c r="K44" s="8" t="n"/>
      <c r="L44" s="8" t="n"/>
      <c r="M44" s="8" t="n"/>
      <c r="N44" s="8" t="n"/>
      <c r="O44" s="8" t="n"/>
      <c r="P44" s="8" t="n"/>
      <c r="Q44" s="8" t="n"/>
      <c r="R44" s="8" t="n"/>
      <c r="S44" s="8" t="n"/>
    </row>
    <row r="45">
      <c r="B45" s="8">
        <f>IF(C45="","","EV-"&amp;TEXT(ROW()-5,"000"))</f>
        <v/>
      </c>
      <c r="C45" s="8" t="n"/>
      <c r="D45" s="8" t="n"/>
      <c r="E45" s="8" t="n"/>
      <c r="F45" s="8" t="n"/>
      <c r="G45" s="8" t="n"/>
      <c r="H45" s="8" t="n"/>
      <c r="I45" s="8" t="n"/>
      <c r="J45" s="8" t="n"/>
      <c r="K45" s="8" t="n"/>
      <c r="L45" s="8" t="n"/>
      <c r="M45" s="8" t="n"/>
      <c r="N45" s="8" t="n"/>
      <c r="O45" s="8" t="n"/>
      <c r="P45" s="8" t="n"/>
      <c r="Q45" s="8" t="n"/>
      <c r="R45" s="8" t="n"/>
      <c r="S45" s="8" t="n"/>
    </row>
    <row r="46">
      <c r="B46" s="8">
        <f>IF(C46="","","EV-"&amp;TEXT(ROW()-5,"000"))</f>
        <v/>
      </c>
      <c r="C46" s="8" t="n"/>
      <c r="D46" s="8" t="n"/>
      <c r="E46" s="8" t="n"/>
      <c r="F46" s="8" t="n"/>
      <c r="G46" s="8" t="n"/>
      <c r="H46" s="8" t="n"/>
      <c r="I46" s="8" t="n"/>
      <c r="J46" s="8" t="n"/>
      <c r="K46" s="8" t="n"/>
      <c r="L46" s="8" t="n"/>
      <c r="M46" s="8" t="n"/>
      <c r="N46" s="8" t="n"/>
      <c r="O46" s="8" t="n"/>
      <c r="P46" s="8" t="n"/>
      <c r="Q46" s="8" t="n"/>
      <c r="R46" s="8" t="n"/>
      <c r="S46" s="8" t="n"/>
    </row>
    <row r="47">
      <c r="B47" s="8">
        <f>IF(C47="","","EV-"&amp;TEXT(ROW()-5,"000"))</f>
        <v/>
      </c>
      <c r="C47" s="8" t="n"/>
      <c r="D47" s="8" t="n"/>
      <c r="E47" s="8" t="n"/>
      <c r="F47" s="8" t="n"/>
      <c r="G47" s="8" t="n"/>
      <c r="H47" s="8" t="n"/>
      <c r="I47" s="8" t="n"/>
      <c r="J47" s="8" t="n"/>
      <c r="K47" s="8" t="n"/>
      <c r="L47" s="8" t="n"/>
      <c r="M47" s="8" t="n"/>
      <c r="N47" s="8" t="n"/>
      <c r="O47" s="8" t="n"/>
      <c r="P47" s="8" t="n"/>
      <c r="Q47" s="8" t="n"/>
      <c r="R47" s="8" t="n"/>
      <c r="S47" s="8" t="n"/>
    </row>
    <row r="48">
      <c r="B48" s="8">
        <f>IF(C48="","","EV-"&amp;TEXT(ROW()-5,"000"))</f>
        <v/>
      </c>
      <c r="C48" s="8" t="n"/>
      <c r="D48" s="8" t="n"/>
      <c r="E48" s="8" t="n"/>
      <c r="F48" s="8" t="n"/>
      <c r="G48" s="8" t="n"/>
      <c r="H48" s="8" t="n"/>
      <c r="I48" s="8" t="n"/>
      <c r="J48" s="8" t="n"/>
      <c r="K48" s="8" t="n"/>
      <c r="L48" s="8" t="n"/>
      <c r="M48" s="8" t="n"/>
      <c r="N48" s="8" t="n"/>
      <c r="O48" s="8" t="n"/>
      <c r="P48" s="8" t="n"/>
      <c r="Q48" s="8" t="n"/>
      <c r="R48" s="8" t="n"/>
      <c r="S48" s="8" t="n"/>
    </row>
    <row r="49">
      <c r="B49" s="8">
        <f>IF(C49="","","EV-"&amp;TEXT(ROW()-5,"000"))</f>
        <v/>
      </c>
      <c r="C49" s="8" t="n"/>
      <c r="D49" s="8" t="n"/>
      <c r="E49" s="8" t="n"/>
      <c r="F49" s="8" t="n"/>
      <c r="G49" s="8" t="n"/>
      <c r="H49" s="8" t="n"/>
      <c r="I49" s="8" t="n"/>
      <c r="J49" s="8" t="n"/>
      <c r="K49" s="8" t="n"/>
      <c r="L49" s="8" t="n"/>
      <c r="M49" s="8" t="n"/>
      <c r="N49" s="8" t="n"/>
      <c r="O49" s="8" t="n"/>
      <c r="P49" s="8" t="n"/>
      <c r="Q49" s="8" t="n"/>
      <c r="R49" s="8" t="n"/>
      <c r="S49" s="8" t="n"/>
    </row>
    <row r="50">
      <c r="B50" s="8">
        <f>IF(C50="","","EV-"&amp;TEXT(ROW()-5,"000"))</f>
        <v/>
      </c>
      <c r="C50" s="8" t="n"/>
      <c r="D50" s="8" t="n"/>
      <c r="E50" s="8" t="n"/>
      <c r="F50" s="8" t="n"/>
      <c r="G50" s="8" t="n"/>
      <c r="H50" s="8" t="n"/>
      <c r="I50" s="8" t="n"/>
      <c r="J50" s="8" t="n"/>
      <c r="K50" s="8" t="n"/>
      <c r="L50" s="8" t="n"/>
      <c r="M50" s="8" t="n"/>
      <c r="N50" s="8" t="n"/>
      <c r="O50" s="8" t="n"/>
      <c r="P50" s="8" t="n"/>
      <c r="Q50" s="8" t="n"/>
      <c r="R50" s="8" t="n"/>
      <c r="S50" s="8" t="n"/>
    </row>
    <row r="51">
      <c r="B51" s="8">
        <f>IF(C51="","","EV-"&amp;TEXT(ROW()-5,"000"))</f>
        <v/>
      </c>
      <c r="C51" s="8" t="n"/>
      <c r="D51" s="8" t="n"/>
      <c r="E51" s="8" t="n"/>
      <c r="F51" s="8" t="n"/>
      <c r="G51" s="8" t="n"/>
      <c r="H51" s="8" t="n"/>
      <c r="I51" s="8" t="n"/>
      <c r="J51" s="8" t="n"/>
      <c r="K51" s="8" t="n"/>
      <c r="L51" s="8" t="n"/>
      <c r="M51" s="8" t="n"/>
      <c r="N51" s="8" t="n"/>
      <c r="O51" s="8" t="n"/>
      <c r="P51" s="8" t="n"/>
      <c r="Q51" s="8" t="n"/>
      <c r="R51" s="8" t="n"/>
      <c r="S51" s="8" t="n"/>
    </row>
    <row r="52">
      <c r="B52" s="8">
        <f>IF(C52="","","EV-"&amp;TEXT(ROW()-5,"000"))</f>
        <v/>
      </c>
      <c r="C52" s="8" t="n"/>
      <c r="D52" s="8" t="n"/>
      <c r="E52" s="8" t="n"/>
      <c r="F52" s="8" t="n"/>
      <c r="G52" s="8" t="n"/>
      <c r="H52" s="8" t="n"/>
      <c r="I52" s="8" t="n"/>
      <c r="J52" s="8" t="n"/>
      <c r="K52" s="8" t="n"/>
      <c r="L52" s="8" t="n"/>
      <c r="M52" s="8" t="n"/>
      <c r="N52" s="8" t="n"/>
      <c r="O52" s="8" t="n"/>
      <c r="P52" s="8" t="n"/>
      <c r="Q52" s="8" t="n"/>
      <c r="R52" s="8" t="n"/>
      <c r="S52" s="8" t="n"/>
    </row>
    <row r="53">
      <c r="B53" s="8">
        <f>IF(C53="","","EV-"&amp;TEXT(ROW()-5,"000"))</f>
        <v/>
      </c>
      <c r="C53" s="8" t="n"/>
      <c r="D53" s="8" t="n"/>
      <c r="E53" s="8" t="n"/>
      <c r="F53" s="8" t="n"/>
      <c r="G53" s="8" t="n"/>
      <c r="H53" s="8" t="n"/>
      <c r="I53" s="8" t="n"/>
      <c r="J53" s="8" t="n"/>
      <c r="K53" s="8" t="n"/>
      <c r="L53" s="8" t="n"/>
      <c r="M53" s="8" t="n"/>
      <c r="N53" s="8" t="n"/>
      <c r="O53" s="8" t="n"/>
      <c r="P53" s="8" t="n"/>
      <c r="Q53" s="8" t="n"/>
      <c r="R53" s="8" t="n"/>
      <c r="S53" s="8" t="n"/>
    </row>
    <row r="54">
      <c r="B54" s="8">
        <f>IF(C54="","","EV-"&amp;TEXT(ROW()-5,"000"))</f>
        <v/>
      </c>
      <c r="C54" s="8" t="n"/>
      <c r="D54" s="8" t="n"/>
      <c r="E54" s="8" t="n"/>
      <c r="F54" s="8" t="n"/>
      <c r="G54" s="8" t="n"/>
      <c r="H54" s="8" t="n"/>
      <c r="I54" s="8" t="n"/>
      <c r="J54" s="8" t="n"/>
      <c r="K54" s="8" t="n"/>
      <c r="L54" s="8" t="n"/>
      <c r="M54" s="8" t="n"/>
      <c r="N54" s="8" t="n"/>
      <c r="O54" s="8" t="n"/>
      <c r="P54" s="8" t="n"/>
      <c r="Q54" s="8" t="n"/>
      <c r="R54" s="8" t="n"/>
      <c r="S54" s="8" t="n"/>
    </row>
    <row r="55">
      <c r="B55" s="8">
        <f>IF(C55="","","EV-"&amp;TEXT(ROW()-5,"000"))</f>
        <v/>
      </c>
      <c r="C55" s="8" t="n"/>
      <c r="D55" s="8" t="n"/>
      <c r="E55" s="8" t="n"/>
      <c r="F55" s="8" t="n"/>
      <c r="G55" s="8" t="n"/>
      <c r="H55" s="8" t="n"/>
      <c r="I55" s="8" t="n"/>
      <c r="J55" s="8" t="n"/>
      <c r="K55" s="8" t="n"/>
      <c r="L55" s="8" t="n"/>
      <c r="M55" s="8" t="n"/>
      <c r="N55" s="8" t="n"/>
      <c r="O55" s="8" t="n"/>
      <c r="P55" s="8" t="n"/>
      <c r="Q55" s="8" t="n"/>
      <c r="R55" s="8" t="n"/>
      <c r="S55" s="8" t="n"/>
    </row>
    <row r="56">
      <c r="B56" s="8">
        <f>IF(C56="","","EV-"&amp;TEXT(ROW()-5,"000"))</f>
        <v/>
      </c>
      <c r="C56" s="8" t="n"/>
      <c r="D56" s="8" t="n"/>
      <c r="E56" s="8" t="n"/>
      <c r="F56" s="8" t="n"/>
      <c r="G56" s="8" t="n"/>
      <c r="H56" s="8" t="n"/>
      <c r="I56" s="8" t="n"/>
      <c r="J56" s="8" t="n"/>
      <c r="K56" s="8" t="n"/>
      <c r="L56" s="8" t="n"/>
      <c r="M56" s="8" t="n"/>
      <c r="N56" s="8" t="n"/>
      <c r="O56" s="8" t="n"/>
      <c r="P56" s="8" t="n"/>
      <c r="Q56" s="8" t="n"/>
      <c r="R56" s="8" t="n"/>
      <c r="S56" s="8" t="n"/>
    </row>
    <row r="57">
      <c r="B57" s="8">
        <f>IF(C57="","","EV-"&amp;TEXT(ROW()-5,"000"))</f>
        <v/>
      </c>
      <c r="C57" s="8" t="n"/>
      <c r="D57" s="8" t="n"/>
      <c r="E57" s="8" t="n"/>
      <c r="F57" s="8" t="n"/>
      <c r="G57" s="8" t="n"/>
      <c r="H57" s="8" t="n"/>
      <c r="I57" s="8" t="n"/>
      <c r="J57" s="8" t="n"/>
      <c r="K57" s="8" t="n"/>
      <c r="L57" s="8" t="n"/>
      <c r="M57" s="8" t="n"/>
      <c r="N57" s="8" t="n"/>
      <c r="O57" s="8" t="n"/>
      <c r="P57" s="8" t="n"/>
      <c r="Q57" s="8" t="n"/>
      <c r="R57" s="8" t="n"/>
      <c r="S57" s="8" t="n"/>
    </row>
    <row r="58">
      <c r="B58" s="8">
        <f>IF(C58="","","EV-"&amp;TEXT(ROW()-5,"000"))</f>
        <v/>
      </c>
      <c r="C58" s="8" t="n"/>
      <c r="D58" s="8" t="n"/>
      <c r="E58" s="8" t="n"/>
      <c r="F58" s="8" t="n"/>
      <c r="G58" s="8" t="n"/>
      <c r="H58" s="8" t="n"/>
      <c r="I58" s="8" t="n"/>
      <c r="J58" s="8" t="n"/>
      <c r="K58" s="8" t="n"/>
      <c r="L58" s="8" t="n"/>
      <c r="M58" s="8" t="n"/>
      <c r="N58" s="8" t="n"/>
      <c r="O58" s="8" t="n"/>
      <c r="P58" s="8" t="n"/>
      <c r="Q58" s="8" t="n"/>
      <c r="R58" s="8" t="n"/>
      <c r="S58" s="8" t="n"/>
    </row>
    <row r="59">
      <c r="B59" s="8">
        <f>IF(C59="","","EV-"&amp;TEXT(ROW()-5,"000"))</f>
        <v/>
      </c>
      <c r="C59" s="8" t="n"/>
      <c r="D59" s="8" t="n"/>
      <c r="E59" s="8" t="n"/>
      <c r="F59" s="8" t="n"/>
      <c r="G59" s="8" t="n"/>
      <c r="H59" s="8" t="n"/>
      <c r="I59" s="8" t="n"/>
      <c r="J59" s="8" t="n"/>
      <c r="K59" s="8" t="n"/>
      <c r="L59" s="8" t="n"/>
      <c r="M59" s="8" t="n"/>
      <c r="N59" s="8" t="n"/>
      <c r="O59" s="8" t="n"/>
      <c r="P59" s="8" t="n"/>
      <c r="Q59" s="8" t="n"/>
      <c r="R59" s="8" t="n"/>
      <c r="S59" s="8" t="n"/>
    </row>
    <row r="60">
      <c r="B60" s="8">
        <f>IF(C60="","","EV-"&amp;TEXT(ROW()-5,"000"))</f>
        <v/>
      </c>
      <c r="C60" s="8" t="n"/>
      <c r="D60" s="8" t="n"/>
      <c r="E60" s="8" t="n"/>
      <c r="F60" s="8" t="n"/>
      <c r="G60" s="8" t="n"/>
      <c r="H60" s="8" t="n"/>
      <c r="I60" s="8" t="n"/>
      <c r="J60" s="8" t="n"/>
      <c r="K60" s="8" t="n"/>
      <c r="L60" s="8" t="n"/>
      <c r="M60" s="8" t="n"/>
      <c r="N60" s="8" t="n"/>
      <c r="O60" s="8" t="n"/>
      <c r="P60" s="8" t="n"/>
      <c r="Q60" s="8" t="n"/>
      <c r="R60" s="8" t="n"/>
      <c r="S60" s="8" t="n"/>
    </row>
    <row r="61">
      <c r="B61" s="8">
        <f>IF(C61="","","EV-"&amp;TEXT(ROW()-5,"000"))</f>
        <v/>
      </c>
      <c r="C61" s="8" t="n"/>
      <c r="D61" s="8" t="n"/>
      <c r="E61" s="8" t="n"/>
      <c r="F61" s="8" t="n"/>
      <c r="G61" s="8" t="n"/>
      <c r="H61" s="8" t="n"/>
      <c r="I61" s="8" t="n"/>
      <c r="J61" s="8" t="n"/>
      <c r="K61" s="8" t="n"/>
      <c r="L61" s="8" t="n"/>
      <c r="M61" s="8" t="n"/>
      <c r="N61" s="8" t="n"/>
      <c r="O61" s="8" t="n"/>
      <c r="P61" s="8" t="n"/>
      <c r="Q61" s="8" t="n"/>
      <c r="R61" s="8" t="n"/>
      <c r="S61" s="8" t="n"/>
    </row>
    <row r="62">
      <c r="B62" s="8">
        <f>IF(C62="","","EV-"&amp;TEXT(ROW()-5,"000"))</f>
        <v/>
      </c>
      <c r="C62" s="8" t="n"/>
      <c r="D62" s="8" t="n"/>
      <c r="E62" s="8" t="n"/>
      <c r="F62" s="8" t="n"/>
      <c r="G62" s="8" t="n"/>
      <c r="H62" s="8" t="n"/>
      <c r="I62" s="8" t="n"/>
      <c r="J62" s="8" t="n"/>
      <c r="K62" s="8" t="n"/>
      <c r="L62" s="8" t="n"/>
      <c r="M62" s="8" t="n"/>
      <c r="N62" s="8" t="n"/>
      <c r="O62" s="8" t="n"/>
      <c r="P62" s="8" t="n"/>
      <c r="Q62" s="8" t="n"/>
      <c r="R62" s="8" t="n"/>
      <c r="S62" s="8" t="n"/>
    </row>
    <row r="63">
      <c r="B63" s="8">
        <f>IF(C63="","","EV-"&amp;TEXT(ROW()-5,"000"))</f>
        <v/>
      </c>
      <c r="C63" s="8" t="n"/>
      <c r="D63" s="8" t="n"/>
      <c r="E63" s="8" t="n"/>
      <c r="F63" s="8" t="n"/>
      <c r="G63" s="8" t="n"/>
      <c r="H63" s="8" t="n"/>
      <c r="I63" s="8" t="n"/>
      <c r="J63" s="8" t="n"/>
      <c r="K63" s="8" t="n"/>
      <c r="L63" s="8" t="n"/>
      <c r="M63" s="8" t="n"/>
      <c r="N63" s="8" t="n"/>
      <c r="O63" s="8" t="n"/>
      <c r="P63" s="8" t="n"/>
      <c r="Q63" s="8" t="n"/>
      <c r="R63" s="8" t="n"/>
      <c r="S63" s="8" t="n"/>
    </row>
    <row r="64">
      <c r="B64" s="8">
        <f>IF(C64="","","EV-"&amp;TEXT(ROW()-5,"000"))</f>
        <v/>
      </c>
      <c r="C64" s="8" t="n"/>
      <c r="D64" s="8" t="n"/>
      <c r="E64" s="8" t="n"/>
      <c r="F64" s="8" t="n"/>
      <c r="G64" s="8" t="n"/>
      <c r="H64" s="8" t="n"/>
      <c r="I64" s="8" t="n"/>
      <c r="J64" s="8" t="n"/>
      <c r="K64" s="8" t="n"/>
      <c r="L64" s="8" t="n"/>
      <c r="M64" s="8" t="n"/>
      <c r="N64" s="8" t="n"/>
      <c r="O64" s="8" t="n"/>
      <c r="P64" s="8" t="n"/>
      <c r="Q64" s="8" t="n"/>
      <c r="R64" s="8" t="n"/>
      <c r="S64" s="8" t="n"/>
    </row>
    <row r="65">
      <c r="B65" s="8">
        <f>IF(C65="","","EV-"&amp;TEXT(ROW()-5,"000"))</f>
        <v/>
      </c>
      <c r="C65" s="8" t="n"/>
      <c r="D65" s="8" t="n"/>
      <c r="E65" s="8" t="n"/>
      <c r="F65" s="8" t="n"/>
      <c r="G65" s="8" t="n"/>
      <c r="H65" s="8" t="n"/>
      <c r="I65" s="8" t="n"/>
      <c r="J65" s="8" t="n"/>
      <c r="K65" s="8" t="n"/>
      <c r="L65" s="8" t="n"/>
      <c r="M65" s="8" t="n"/>
      <c r="N65" s="8" t="n"/>
      <c r="O65" s="8" t="n"/>
      <c r="P65" s="8" t="n"/>
      <c r="Q65" s="8" t="n"/>
      <c r="R65" s="8" t="n"/>
      <c r="S65" s="8" t="n"/>
    </row>
    <row r="66">
      <c r="B66" s="8">
        <f>IF(C66="","","EV-"&amp;TEXT(ROW()-5,"000"))</f>
        <v/>
      </c>
      <c r="C66" s="8" t="n"/>
      <c r="D66" s="8" t="n"/>
      <c r="E66" s="8" t="n"/>
      <c r="F66" s="8" t="n"/>
      <c r="G66" s="8" t="n"/>
      <c r="H66" s="8" t="n"/>
      <c r="I66" s="8" t="n"/>
      <c r="J66" s="8" t="n"/>
      <c r="K66" s="8" t="n"/>
      <c r="L66" s="8" t="n"/>
      <c r="M66" s="8" t="n"/>
      <c r="N66" s="8" t="n"/>
      <c r="O66" s="8" t="n"/>
      <c r="P66" s="8" t="n"/>
      <c r="Q66" s="8" t="n"/>
      <c r="R66" s="8" t="n"/>
      <c r="S66" s="8" t="n"/>
    </row>
    <row r="67">
      <c r="B67" s="8">
        <f>IF(C67="","","EV-"&amp;TEXT(ROW()-5,"000"))</f>
        <v/>
      </c>
      <c r="C67" s="8" t="n"/>
      <c r="D67" s="8" t="n"/>
      <c r="E67" s="8" t="n"/>
      <c r="F67" s="8" t="n"/>
      <c r="G67" s="8" t="n"/>
      <c r="H67" s="8" t="n"/>
      <c r="I67" s="8" t="n"/>
      <c r="J67" s="8" t="n"/>
      <c r="K67" s="8" t="n"/>
      <c r="L67" s="8" t="n"/>
      <c r="M67" s="8" t="n"/>
      <c r="N67" s="8" t="n"/>
      <c r="O67" s="8" t="n"/>
      <c r="P67" s="8" t="n"/>
      <c r="Q67" s="8" t="n"/>
      <c r="R67" s="8" t="n"/>
      <c r="S67" s="8" t="n"/>
    </row>
    <row r="68">
      <c r="B68" s="8">
        <f>IF(C68="","","EV-"&amp;TEXT(ROW()-5,"000"))</f>
        <v/>
      </c>
      <c r="C68" s="8" t="n"/>
      <c r="D68" s="8" t="n"/>
      <c r="E68" s="8" t="n"/>
      <c r="F68" s="8" t="n"/>
      <c r="G68" s="8" t="n"/>
      <c r="H68" s="8" t="n"/>
      <c r="I68" s="8" t="n"/>
      <c r="J68" s="8" t="n"/>
      <c r="K68" s="8" t="n"/>
      <c r="L68" s="8" t="n"/>
      <c r="M68" s="8" t="n"/>
      <c r="N68" s="8" t="n"/>
      <c r="O68" s="8" t="n"/>
      <c r="P68" s="8" t="n"/>
      <c r="Q68" s="8" t="n"/>
      <c r="R68" s="8" t="n"/>
      <c r="S68" s="8" t="n"/>
    </row>
    <row r="69">
      <c r="B69" s="8">
        <f>IF(C69="","","EV-"&amp;TEXT(ROW()-5,"000"))</f>
        <v/>
      </c>
      <c r="C69" s="8" t="n"/>
      <c r="D69" s="8" t="n"/>
      <c r="E69" s="8" t="n"/>
      <c r="F69" s="8" t="n"/>
      <c r="G69" s="8" t="n"/>
      <c r="H69" s="8" t="n"/>
      <c r="I69" s="8" t="n"/>
      <c r="J69" s="8" t="n"/>
      <c r="K69" s="8" t="n"/>
      <c r="L69" s="8" t="n"/>
      <c r="M69" s="8" t="n"/>
      <c r="N69" s="8" t="n"/>
      <c r="O69" s="8" t="n"/>
      <c r="P69" s="8" t="n"/>
      <c r="Q69" s="8" t="n"/>
      <c r="R69" s="8" t="n"/>
      <c r="S69" s="8" t="n"/>
    </row>
    <row r="70">
      <c r="B70" s="8">
        <f>IF(C70="","","EV-"&amp;TEXT(ROW()-5,"000"))</f>
        <v/>
      </c>
      <c r="C70" s="8" t="n"/>
      <c r="D70" s="8" t="n"/>
      <c r="E70" s="8" t="n"/>
      <c r="F70" s="8" t="n"/>
      <c r="G70" s="8" t="n"/>
      <c r="H70" s="8" t="n"/>
      <c r="I70" s="8" t="n"/>
      <c r="J70" s="8" t="n"/>
      <c r="K70" s="8" t="n"/>
      <c r="L70" s="8" t="n"/>
      <c r="M70" s="8" t="n"/>
      <c r="N70" s="8" t="n"/>
      <c r="O70" s="8" t="n"/>
      <c r="P70" s="8" t="n"/>
      <c r="Q70" s="8" t="n"/>
      <c r="R70" s="8" t="n"/>
      <c r="S70" s="8" t="n"/>
    </row>
    <row r="71">
      <c r="B71" s="8">
        <f>IF(C71="","","EV-"&amp;TEXT(ROW()-5,"000"))</f>
        <v/>
      </c>
      <c r="C71" s="8" t="n"/>
      <c r="D71" s="8" t="n"/>
      <c r="E71" s="8" t="n"/>
      <c r="F71" s="8" t="n"/>
      <c r="G71" s="8" t="n"/>
      <c r="H71" s="8" t="n"/>
      <c r="I71" s="8" t="n"/>
      <c r="J71" s="8" t="n"/>
      <c r="K71" s="8" t="n"/>
      <c r="L71" s="8" t="n"/>
      <c r="M71" s="8" t="n"/>
      <c r="N71" s="8" t="n"/>
      <c r="O71" s="8" t="n"/>
      <c r="P71" s="8" t="n"/>
      <c r="Q71" s="8" t="n"/>
      <c r="R71" s="8" t="n"/>
      <c r="S71" s="8" t="n"/>
    </row>
    <row r="72">
      <c r="B72" s="8">
        <f>IF(C72="","","EV-"&amp;TEXT(ROW()-5,"000"))</f>
        <v/>
      </c>
      <c r="C72" s="8" t="n"/>
      <c r="D72" s="8" t="n"/>
      <c r="E72" s="8" t="n"/>
      <c r="F72" s="8" t="n"/>
      <c r="G72" s="8" t="n"/>
      <c r="H72" s="8" t="n"/>
      <c r="I72" s="8" t="n"/>
      <c r="J72" s="8" t="n"/>
      <c r="K72" s="8" t="n"/>
      <c r="L72" s="8" t="n"/>
      <c r="M72" s="8" t="n"/>
      <c r="N72" s="8" t="n"/>
      <c r="O72" s="8" t="n"/>
      <c r="P72" s="8" t="n"/>
      <c r="Q72" s="8" t="n"/>
      <c r="R72" s="8" t="n"/>
      <c r="S72" s="8" t="n"/>
    </row>
    <row r="73">
      <c r="B73" s="8">
        <f>IF(C73="","","EV-"&amp;TEXT(ROW()-5,"000"))</f>
        <v/>
      </c>
      <c r="C73" s="8" t="n"/>
      <c r="D73" s="8" t="n"/>
      <c r="E73" s="8" t="n"/>
      <c r="F73" s="8" t="n"/>
      <c r="G73" s="8" t="n"/>
      <c r="H73" s="8" t="n"/>
      <c r="I73" s="8" t="n"/>
      <c r="J73" s="8" t="n"/>
      <c r="K73" s="8" t="n"/>
      <c r="L73" s="8" t="n"/>
      <c r="M73" s="8" t="n"/>
      <c r="N73" s="8" t="n"/>
      <c r="O73" s="8" t="n"/>
      <c r="P73" s="8" t="n"/>
      <c r="Q73" s="8" t="n"/>
      <c r="R73" s="8" t="n"/>
      <c r="S73" s="8" t="n"/>
    </row>
    <row r="74">
      <c r="B74" s="8">
        <f>IF(C74="","","EV-"&amp;TEXT(ROW()-5,"000"))</f>
        <v/>
      </c>
      <c r="C74" s="8" t="n"/>
      <c r="D74" s="8" t="n"/>
      <c r="E74" s="8" t="n"/>
      <c r="F74" s="8" t="n"/>
      <c r="G74" s="8" t="n"/>
      <c r="H74" s="8" t="n"/>
      <c r="I74" s="8" t="n"/>
      <c r="J74" s="8" t="n"/>
      <c r="K74" s="8" t="n"/>
      <c r="L74" s="8" t="n"/>
      <c r="M74" s="8" t="n"/>
      <c r="N74" s="8" t="n"/>
      <c r="O74" s="8" t="n"/>
      <c r="P74" s="8" t="n"/>
      <c r="Q74" s="8" t="n"/>
      <c r="R74" s="8" t="n"/>
      <c r="S74" s="8" t="n"/>
    </row>
    <row r="75">
      <c r="B75" s="8">
        <f>IF(C75="","","EV-"&amp;TEXT(ROW()-5,"000"))</f>
        <v/>
      </c>
      <c r="C75" s="8" t="n"/>
      <c r="D75" s="8" t="n"/>
      <c r="E75" s="8" t="n"/>
      <c r="F75" s="8" t="n"/>
      <c r="G75" s="8" t="n"/>
      <c r="H75" s="8" t="n"/>
      <c r="I75" s="8" t="n"/>
      <c r="J75" s="8" t="n"/>
      <c r="K75" s="8" t="n"/>
      <c r="L75" s="8" t="n"/>
      <c r="M75" s="8" t="n"/>
      <c r="N75" s="8" t="n"/>
      <c r="O75" s="8" t="n"/>
      <c r="P75" s="8" t="n"/>
      <c r="Q75" s="8" t="n"/>
      <c r="R75" s="8" t="n"/>
      <c r="S75" s="8" t="n"/>
    </row>
    <row r="76">
      <c r="B76" s="8">
        <f>IF(C76="","","EV-"&amp;TEXT(ROW()-5,"000"))</f>
        <v/>
      </c>
      <c r="C76" s="8" t="n"/>
      <c r="D76" s="8" t="n"/>
      <c r="E76" s="8" t="n"/>
      <c r="F76" s="8" t="n"/>
      <c r="G76" s="8" t="n"/>
      <c r="H76" s="8" t="n"/>
      <c r="I76" s="8" t="n"/>
      <c r="J76" s="8" t="n"/>
      <c r="K76" s="8" t="n"/>
      <c r="L76" s="8" t="n"/>
      <c r="M76" s="8" t="n"/>
      <c r="N76" s="8" t="n"/>
      <c r="O76" s="8" t="n"/>
      <c r="P76" s="8" t="n"/>
      <c r="Q76" s="8" t="n"/>
      <c r="R76" s="8" t="n"/>
      <c r="S76" s="8" t="n"/>
    </row>
    <row r="77">
      <c r="B77" s="8">
        <f>IF(C77="","","EV-"&amp;TEXT(ROW()-5,"000"))</f>
        <v/>
      </c>
      <c r="C77" s="8" t="n"/>
      <c r="D77" s="8" t="n"/>
      <c r="E77" s="8" t="n"/>
      <c r="F77" s="8" t="n"/>
      <c r="G77" s="8" t="n"/>
      <c r="H77" s="8" t="n"/>
      <c r="I77" s="8" t="n"/>
      <c r="J77" s="8" t="n"/>
      <c r="K77" s="8" t="n"/>
      <c r="L77" s="8" t="n"/>
      <c r="M77" s="8" t="n"/>
      <c r="N77" s="8" t="n"/>
      <c r="O77" s="8" t="n"/>
      <c r="P77" s="8" t="n"/>
      <c r="Q77" s="8" t="n"/>
      <c r="R77" s="8" t="n"/>
      <c r="S77" s="8" t="n"/>
    </row>
    <row r="78">
      <c r="B78" s="8">
        <f>IF(C78="","","EV-"&amp;TEXT(ROW()-5,"000"))</f>
        <v/>
      </c>
      <c r="C78" s="8" t="n"/>
      <c r="D78" s="8" t="n"/>
      <c r="E78" s="8" t="n"/>
      <c r="F78" s="8" t="n"/>
      <c r="G78" s="8" t="n"/>
      <c r="H78" s="8" t="n"/>
      <c r="I78" s="8" t="n"/>
      <c r="J78" s="8" t="n"/>
      <c r="K78" s="8" t="n"/>
      <c r="L78" s="8" t="n"/>
      <c r="M78" s="8" t="n"/>
      <c r="N78" s="8" t="n"/>
      <c r="O78" s="8" t="n"/>
      <c r="P78" s="8" t="n"/>
      <c r="Q78" s="8" t="n"/>
      <c r="R78" s="8" t="n"/>
      <c r="S78" s="8" t="n"/>
    </row>
    <row r="79">
      <c r="B79" s="8">
        <f>IF(C79="","","EV-"&amp;TEXT(ROW()-5,"000"))</f>
        <v/>
      </c>
      <c r="C79" s="8" t="n"/>
      <c r="D79" s="8" t="n"/>
      <c r="E79" s="8" t="n"/>
      <c r="F79" s="8" t="n"/>
      <c r="G79" s="8" t="n"/>
      <c r="H79" s="8" t="n"/>
      <c r="I79" s="8" t="n"/>
      <c r="J79" s="8" t="n"/>
      <c r="K79" s="8" t="n"/>
      <c r="L79" s="8" t="n"/>
      <c r="M79" s="8" t="n"/>
      <c r="N79" s="8" t="n"/>
      <c r="O79" s="8" t="n"/>
      <c r="P79" s="8" t="n"/>
      <c r="Q79" s="8" t="n"/>
      <c r="R79" s="8" t="n"/>
      <c r="S79" s="8" t="n"/>
    </row>
    <row r="80">
      <c r="B80" s="8">
        <f>IF(C80="","","EV-"&amp;TEXT(ROW()-5,"000"))</f>
        <v/>
      </c>
      <c r="C80" s="8" t="n"/>
      <c r="D80" s="8" t="n"/>
      <c r="E80" s="8" t="n"/>
      <c r="F80" s="8" t="n"/>
      <c r="G80" s="8" t="n"/>
      <c r="H80" s="8" t="n"/>
      <c r="I80" s="8" t="n"/>
      <c r="J80" s="8" t="n"/>
      <c r="K80" s="8" t="n"/>
      <c r="L80" s="8" t="n"/>
      <c r="M80" s="8" t="n"/>
      <c r="N80" s="8" t="n"/>
      <c r="O80" s="8" t="n"/>
      <c r="P80" s="8" t="n"/>
      <c r="Q80" s="8" t="n"/>
      <c r="R80" s="8" t="n"/>
      <c r="S80" s="8" t="n"/>
    </row>
    <row r="81">
      <c r="B81" s="8">
        <f>IF(C81="","","EV-"&amp;TEXT(ROW()-5,"000"))</f>
        <v/>
      </c>
      <c r="C81" s="8" t="n"/>
      <c r="D81" s="8" t="n"/>
      <c r="E81" s="8" t="n"/>
      <c r="F81" s="8" t="n"/>
      <c r="G81" s="8" t="n"/>
      <c r="H81" s="8" t="n"/>
      <c r="I81" s="8" t="n"/>
      <c r="J81" s="8" t="n"/>
      <c r="K81" s="8" t="n"/>
      <c r="L81" s="8" t="n"/>
      <c r="M81" s="8" t="n"/>
      <c r="N81" s="8" t="n"/>
      <c r="O81" s="8" t="n"/>
      <c r="P81" s="8" t="n"/>
      <c r="Q81" s="8" t="n"/>
      <c r="R81" s="8" t="n"/>
      <c r="S81" s="8" t="n"/>
    </row>
    <row r="82">
      <c r="B82" s="8">
        <f>IF(C82="","","EV-"&amp;TEXT(ROW()-5,"000"))</f>
        <v/>
      </c>
      <c r="C82" s="8" t="n"/>
      <c r="D82" s="8" t="n"/>
      <c r="E82" s="8" t="n"/>
      <c r="F82" s="8" t="n"/>
      <c r="G82" s="8" t="n"/>
      <c r="H82" s="8" t="n"/>
      <c r="I82" s="8" t="n"/>
      <c r="J82" s="8" t="n"/>
      <c r="K82" s="8" t="n"/>
      <c r="L82" s="8" t="n"/>
      <c r="M82" s="8" t="n"/>
      <c r="N82" s="8" t="n"/>
      <c r="O82" s="8" t="n"/>
      <c r="P82" s="8" t="n"/>
      <c r="Q82" s="8" t="n"/>
      <c r="R82" s="8" t="n"/>
      <c r="S82" s="8" t="n"/>
    </row>
    <row r="83">
      <c r="B83" s="8">
        <f>IF(C83="","","EV-"&amp;TEXT(ROW()-5,"000"))</f>
        <v/>
      </c>
      <c r="C83" s="8" t="n"/>
      <c r="D83" s="8" t="n"/>
      <c r="E83" s="8" t="n"/>
      <c r="F83" s="8" t="n"/>
      <c r="G83" s="8" t="n"/>
      <c r="H83" s="8" t="n"/>
      <c r="I83" s="8" t="n"/>
      <c r="J83" s="8" t="n"/>
      <c r="K83" s="8" t="n"/>
      <c r="L83" s="8" t="n"/>
      <c r="M83" s="8" t="n"/>
      <c r="N83" s="8" t="n"/>
      <c r="O83" s="8" t="n"/>
      <c r="P83" s="8" t="n"/>
      <c r="Q83" s="8" t="n"/>
      <c r="R83" s="8" t="n"/>
      <c r="S83" s="8" t="n"/>
    </row>
    <row r="84">
      <c r="B84" s="8">
        <f>IF(C84="","","EV-"&amp;TEXT(ROW()-5,"000"))</f>
        <v/>
      </c>
      <c r="C84" s="8" t="n"/>
      <c r="D84" s="8" t="n"/>
      <c r="E84" s="8" t="n"/>
      <c r="F84" s="8" t="n"/>
      <c r="G84" s="8" t="n"/>
      <c r="H84" s="8" t="n"/>
      <c r="I84" s="8" t="n"/>
      <c r="J84" s="8" t="n"/>
      <c r="K84" s="8" t="n"/>
      <c r="L84" s="8" t="n"/>
      <c r="M84" s="8" t="n"/>
      <c r="N84" s="8" t="n"/>
      <c r="O84" s="8" t="n"/>
      <c r="P84" s="8" t="n"/>
      <c r="Q84" s="8" t="n"/>
      <c r="R84" s="8" t="n"/>
      <c r="S84" s="8" t="n"/>
    </row>
    <row r="85">
      <c r="B85" s="8">
        <f>IF(C85="","","EV-"&amp;TEXT(ROW()-5,"000"))</f>
        <v/>
      </c>
      <c r="C85" s="8" t="n"/>
      <c r="D85" s="8" t="n"/>
      <c r="E85" s="8" t="n"/>
      <c r="F85" s="8" t="n"/>
      <c r="G85" s="8" t="n"/>
      <c r="H85" s="8" t="n"/>
      <c r="I85" s="8" t="n"/>
      <c r="J85" s="8" t="n"/>
      <c r="K85" s="8" t="n"/>
      <c r="L85" s="8" t="n"/>
      <c r="M85" s="8" t="n"/>
      <c r="N85" s="8" t="n"/>
      <c r="O85" s="8" t="n"/>
      <c r="P85" s="8" t="n"/>
      <c r="Q85" s="8" t="n"/>
      <c r="R85" s="8" t="n"/>
      <c r="S85" s="8" t="n"/>
    </row>
    <row r="86">
      <c r="B86" s="8">
        <f>IF(C86="","","EV-"&amp;TEXT(ROW()-5,"000"))</f>
        <v/>
      </c>
      <c r="C86" s="8" t="n"/>
      <c r="D86" s="8" t="n"/>
      <c r="E86" s="8" t="n"/>
      <c r="F86" s="8" t="n"/>
      <c r="G86" s="8" t="n"/>
      <c r="H86" s="8" t="n"/>
      <c r="I86" s="8" t="n"/>
      <c r="J86" s="8" t="n"/>
      <c r="K86" s="8" t="n"/>
      <c r="L86" s="8" t="n"/>
      <c r="M86" s="8" t="n"/>
      <c r="N86" s="8" t="n"/>
      <c r="O86" s="8" t="n"/>
      <c r="P86" s="8" t="n"/>
      <c r="Q86" s="8" t="n"/>
      <c r="R86" s="8" t="n"/>
      <c r="S86" s="8" t="n"/>
    </row>
    <row r="87">
      <c r="B87" s="8">
        <f>IF(C87="","","EV-"&amp;TEXT(ROW()-5,"000"))</f>
        <v/>
      </c>
      <c r="C87" s="8" t="n"/>
      <c r="D87" s="8" t="n"/>
      <c r="E87" s="8" t="n"/>
      <c r="F87" s="8" t="n"/>
      <c r="G87" s="8" t="n"/>
      <c r="H87" s="8" t="n"/>
      <c r="I87" s="8" t="n"/>
      <c r="J87" s="8" t="n"/>
      <c r="K87" s="8" t="n"/>
      <c r="L87" s="8" t="n"/>
      <c r="M87" s="8" t="n"/>
      <c r="N87" s="8" t="n"/>
      <c r="O87" s="8" t="n"/>
      <c r="P87" s="8" t="n"/>
      <c r="Q87" s="8" t="n"/>
      <c r="R87" s="8" t="n"/>
      <c r="S87" s="8" t="n"/>
    </row>
    <row r="88">
      <c r="B88" s="8">
        <f>IF(C88="","","EV-"&amp;TEXT(ROW()-5,"000"))</f>
        <v/>
      </c>
      <c r="C88" s="8" t="n"/>
      <c r="D88" s="8" t="n"/>
      <c r="E88" s="8" t="n"/>
      <c r="F88" s="8" t="n"/>
      <c r="G88" s="8" t="n"/>
      <c r="H88" s="8" t="n"/>
      <c r="I88" s="8" t="n"/>
      <c r="J88" s="8" t="n"/>
      <c r="K88" s="8" t="n"/>
      <c r="L88" s="8" t="n"/>
      <c r="M88" s="8" t="n"/>
      <c r="N88" s="8" t="n"/>
      <c r="O88" s="8" t="n"/>
      <c r="P88" s="8" t="n"/>
      <c r="Q88" s="8" t="n"/>
      <c r="R88" s="8" t="n"/>
      <c r="S88" s="8" t="n"/>
    </row>
    <row r="89">
      <c r="B89" s="8">
        <f>IF(C89="","","EV-"&amp;TEXT(ROW()-5,"000"))</f>
        <v/>
      </c>
      <c r="C89" s="8" t="n"/>
      <c r="D89" s="8" t="n"/>
      <c r="E89" s="8" t="n"/>
      <c r="F89" s="8" t="n"/>
      <c r="G89" s="8" t="n"/>
      <c r="H89" s="8" t="n"/>
      <c r="I89" s="8" t="n"/>
      <c r="J89" s="8" t="n"/>
      <c r="K89" s="8" t="n"/>
      <c r="L89" s="8" t="n"/>
      <c r="M89" s="8" t="n"/>
      <c r="N89" s="8" t="n"/>
      <c r="O89" s="8" t="n"/>
      <c r="P89" s="8" t="n"/>
      <c r="Q89" s="8" t="n"/>
      <c r="R89" s="8" t="n"/>
      <c r="S89" s="8" t="n"/>
    </row>
    <row r="90">
      <c r="B90" s="8">
        <f>IF(C90="","","EV-"&amp;TEXT(ROW()-5,"000"))</f>
        <v/>
      </c>
      <c r="C90" s="8" t="n"/>
      <c r="D90" s="8" t="n"/>
      <c r="E90" s="8" t="n"/>
      <c r="F90" s="8" t="n"/>
      <c r="G90" s="8" t="n"/>
      <c r="H90" s="8" t="n"/>
      <c r="I90" s="8" t="n"/>
      <c r="J90" s="8" t="n"/>
      <c r="K90" s="8" t="n"/>
      <c r="L90" s="8" t="n"/>
      <c r="M90" s="8" t="n"/>
      <c r="N90" s="8" t="n"/>
      <c r="O90" s="8" t="n"/>
      <c r="P90" s="8" t="n"/>
      <c r="Q90" s="8" t="n"/>
      <c r="R90" s="8" t="n"/>
      <c r="S90" s="8" t="n"/>
    </row>
    <row r="91">
      <c r="B91" s="8">
        <f>IF(C91="","","EV-"&amp;TEXT(ROW()-5,"000"))</f>
        <v/>
      </c>
      <c r="C91" s="8" t="n"/>
      <c r="D91" s="8" t="n"/>
      <c r="E91" s="8" t="n"/>
      <c r="F91" s="8" t="n"/>
      <c r="G91" s="8" t="n"/>
      <c r="H91" s="8" t="n"/>
      <c r="I91" s="8" t="n"/>
      <c r="J91" s="8" t="n"/>
      <c r="K91" s="8" t="n"/>
      <c r="L91" s="8" t="n"/>
      <c r="M91" s="8" t="n"/>
      <c r="N91" s="8" t="n"/>
      <c r="O91" s="8" t="n"/>
      <c r="P91" s="8" t="n"/>
      <c r="Q91" s="8" t="n"/>
      <c r="R91" s="8" t="n"/>
      <c r="S91" s="8" t="n"/>
    </row>
    <row r="92">
      <c r="B92" s="8">
        <f>IF(C92="","","EV-"&amp;TEXT(ROW()-5,"000"))</f>
        <v/>
      </c>
      <c r="C92" s="8" t="n"/>
      <c r="D92" s="8" t="n"/>
      <c r="E92" s="8" t="n"/>
      <c r="F92" s="8" t="n"/>
      <c r="G92" s="8" t="n"/>
      <c r="H92" s="8" t="n"/>
      <c r="I92" s="8" t="n"/>
      <c r="J92" s="8" t="n"/>
      <c r="K92" s="8" t="n"/>
      <c r="L92" s="8" t="n"/>
      <c r="M92" s="8" t="n"/>
      <c r="N92" s="8" t="n"/>
      <c r="O92" s="8" t="n"/>
      <c r="P92" s="8" t="n"/>
      <c r="Q92" s="8" t="n"/>
      <c r="R92" s="8" t="n"/>
      <c r="S92" s="8" t="n"/>
    </row>
    <row r="93">
      <c r="B93" s="8">
        <f>IF(C93="","","EV-"&amp;TEXT(ROW()-5,"000"))</f>
        <v/>
      </c>
      <c r="C93" s="8" t="n"/>
      <c r="D93" s="8" t="n"/>
      <c r="E93" s="8" t="n"/>
      <c r="F93" s="8" t="n"/>
      <c r="G93" s="8" t="n"/>
      <c r="H93" s="8" t="n"/>
      <c r="I93" s="8" t="n"/>
      <c r="J93" s="8" t="n"/>
      <c r="K93" s="8" t="n"/>
      <c r="L93" s="8" t="n"/>
      <c r="M93" s="8" t="n"/>
      <c r="N93" s="8" t="n"/>
      <c r="O93" s="8" t="n"/>
      <c r="P93" s="8" t="n"/>
      <c r="Q93" s="8" t="n"/>
      <c r="R93" s="8" t="n"/>
      <c r="S93" s="8" t="n"/>
    </row>
    <row r="94">
      <c r="B94" s="8">
        <f>IF(C94="","","EV-"&amp;TEXT(ROW()-5,"000"))</f>
        <v/>
      </c>
      <c r="C94" s="8" t="n"/>
      <c r="D94" s="8" t="n"/>
      <c r="E94" s="8" t="n"/>
      <c r="F94" s="8" t="n"/>
      <c r="G94" s="8" t="n"/>
      <c r="H94" s="8" t="n"/>
      <c r="I94" s="8" t="n"/>
      <c r="J94" s="8" t="n"/>
      <c r="K94" s="8" t="n"/>
      <c r="L94" s="8" t="n"/>
      <c r="M94" s="8" t="n"/>
      <c r="N94" s="8" t="n"/>
      <c r="O94" s="8" t="n"/>
      <c r="P94" s="8" t="n"/>
      <c r="Q94" s="8" t="n"/>
      <c r="R94" s="8" t="n"/>
      <c r="S94" s="8" t="n"/>
    </row>
    <row r="95">
      <c r="B95" s="8">
        <f>IF(C95="","","EV-"&amp;TEXT(ROW()-5,"000"))</f>
        <v/>
      </c>
      <c r="C95" s="8" t="n"/>
      <c r="D95" s="8" t="n"/>
      <c r="E95" s="8" t="n"/>
      <c r="F95" s="8" t="n"/>
      <c r="G95" s="8" t="n"/>
      <c r="H95" s="8" t="n"/>
      <c r="I95" s="8" t="n"/>
      <c r="J95" s="8" t="n"/>
      <c r="K95" s="8" t="n"/>
      <c r="L95" s="8" t="n"/>
      <c r="M95" s="8" t="n"/>
      <c r="N95" s="8" t="n"/>
      <c r="O95" s="8" t="n"/>
      <c r="P95" s="8" t="n"/>
      <c r="Q95" s="8" t="n"/>
      <c r="R95" s="8" t="n"/>
      <c r="S95" s="8" t="n"/>
    </row>
    <row r="96">
      <c r="B96" s="8">
        <f>IF(C96="","","EV-"&amp;TEXT(ROW()-5,"000"))</f>
        <v/>
      </c>
      <c r="C96" s="8" t="n"/>
      <c r="D96" s="8" t="n"/>
      <c r="E96" s="8" t="n"/>
      <c r="F96" s="8" t="n"/>
      <c r="G96" s="8" t="n"/>
      <c r="H96" s="8" t="n"/>
      <c r="I96" s="8" t="n"/>
      <c r="J96" s="8" t="n"/>
      <c r="K96" s="8" t="n"/>
      <c r="L96" s="8" t="n"/>
      <c r="M96" s="8" t="n"/>
      <c r="N96" s="8" t="n"/>
      <c r="O96" s="8" t="n"/>
      <c r="P96" s="8" t="n"/>
      <c r="Q96" s="8" t="n"/>
      <c r="R96" s="8" t="n"/>
      <c r="S96" s="8" t="n"/>
    </row>
    <row r="97">
      <c r="B97" s="8">
        <f>IF(C97="","","EV-"&amp;TEXT(ROW()-5,"000"))</f>
        <v/>
      </c>
      <c r="C97" s="8" t="n"/>
      <c r="D97" s="8" t="n"/>
      <c r="E97" s="8" t="n"/>
      <c r="F97" s="8" t="n"/>
      <c r="G97" s="8" t="n"/>
      <c r="H97" s="8" t="n"/>
      <c r="I97" s="8" t="n"/>
      <c r="J97" s="8" t="n"/>
      <c r="K97" s="8" t="n"/>
      <c r="L97" s="8" t="n"/>
      <c r="M97" s="8" t="n"/>
      <c r="N97" s="8" t="n"/>
      <c r="O97" s="8" t="n"/>
      <c r="P97" s="8" t="n"/>
      <c r="Q97" s="8" t="n"/>
      <c r="R97" s="8" t="n"/>
      <c r="S97" s="8" t="n"/>
    </row>
    <row r="98">
      <c r="B98" s="8">
        <f>IF(C98="","","EV-"&amp;TEXT(ROW()-5,"000"))</f>
        <v/>
      </c>
      <c r="C98" s="8" t="n"/>
      <c r="D98" s="8" t="n"/>
      <c r="E98" s="8" t="n"/>
      <c r="F98" s="8" t="n"/>
      <c r="G98" s="8" t="n"/>
      <c r="H98" s="8" t="n"/>
      <c r="I98" s="8" t="n"/>
      <c r="J98" s="8" t="n"/>
      <c r="K98" s="8" t="n"/>
      <c r="L98" s="8" t="n"/>
      <c r="M98" s="8" t="n"/>
      <c r="N98" s="8" t="n"/>
      <c r="O98" s="8" t="n"/>
      <c r="P98" s="8" t="n"/>
      <c r="Q98" s="8" t="n"/>
      <c r="R98" s="8" t="n"/>
      <c r="S98" s="8" t="n"/>
    </row>
    <row r="99">
      <c r="B99" s="8">
        <f>IF(C99="","","EV-"&amp;TEXT(ROW()-5,"000"))</f>
        <v/>
      </c>
      <c r="C99" s="8" t="n"/>
      <c r="D99" s="8" t="n"/>
      <c r="E99" s="8" t="n"/>
      <c r="F99" s="8" t="n"/>
      <c r="G99" s="8" t="n"/>
      <c r="H99" s="8" t="n"/>
      <c r="I99" s="8" t="n"/>
      <c r="J99" s="8" t="n"/>
      <c r="K99" s="8" t="n"/>
      <c r="L99" s="8" t="n"/>
      <c r="M99" s="8" t="n"/>
      <c r="N99" s="8" t="n"/>
      <c r="O99" s="8" t="n"/>
      <c r="P99" s="8" t="n"/>
      <c r="Q99" s="8" t="n"/>
      <c r="R99" s="8" t="n"/>
      <c r="S99" s="8" t="n"/>
    </row>
    <row r="100">
      <c r="B100" s="8">
        <f>IF(C100="","","EV-"&amp;TEXT(ROW()-5,"000"))</f>
        <v/>
      </c>
      <c r="C100" s="8" t="n"/>
      <c r="D100" s="8" t="n"/>
      <c r="E100" s="8" t="n"/>
      <c r="F100" s="8" t="n"/>
      <c r="G100" s="8" t="n"/>
      <c r="H100" s="8" t="n"/>
      <c r="I100" s="8" t="n"/>
      <c r="J100" s="8" t="n"/>
      <c r="K100" s="8" t="n"/>
      <c r="L100" s="8" t="n"/>
      <c r="M100" s="8" t="n"/>
      <c r="N100" s="8" t="n"/>
      <c r="O100" s="8" t="n"/>
      <c r="P100" s="8" t="n"/>
      <c r="Q100" s="8" t="n"/>
      <c r="R100" s="8" t="n"/>
      <c r="S100" s="8" t="n"/>
    </row>
    <row r="101">
      <c r="B101" s="8">
        <f>IF(C101="","","EV-"&amp;TEXT(ROW()-5,"000"))</f>
        <v/>
      </c>
      <c r="C101" s="8" t="n"/>
      <c r="D101" s="8" t="n"/>
      <c r="E101" s="8" t="n"/>
      <c r="F101" s="8" t="n"/>
      <c r="G101" s="8" t="n"/>
      <c r="H101" s="8" t="n"/>
      <c r="I101" s="8" t="n"/>
      <c r="J101" s="8" t="n"/>
      <c r="K101" s="8" t="n"/>
      <c r="L101" s="8" t="n"/>
      <c r="M101" s="8" t="n"/>
      <c r="N101" s="8" t="n"/>
      <c r="O101" s="8" t="n"/>
      <c r="P101" s="8" t="n"/>
      <c r="Q101" s="8" t="n"/>
      <c r="R101" s="8" t="n"/>
      <c r="S101" s="8" t="n"/>
    </row>
    <row r="102">
      <c r="B102" s="8">
        <f>IF(C102="","","EV-"&amp;TEXT(ROW()-5,"000"))</f>
        <v/>
      </c>
      <c r="C102" s="8" t="n"/>
      <c r="D102" s="8" t="n"/>
      <c r="E102" s="8" t="n"/>
      <c r="F102" s="8" t="n"/>
      <c r="G102" s="8" t="n"/>
      <c r="H102" s="8" t="n"/>
      <c r="I102" s="8" t="n"/>
      <c r="J102" s="8" t="n"/>
      <c r="K102" s="8" t="n"/>
      <c r="L102" s="8" t="n"/>
      <c r="M102" s="8" t="n"/>
      <c r="N102" s="8" t="n"/>
      <c r="O102" s="8" t="n"/>
      <c r="P102" s="8" t="n"/>
      <c r="Q102" s="8" t="n"/>
      <c r="R102" s="8" t="n"/>
      <c r="S102" s="8" t="n"/>
    </row>
    <row r="103">
      <c r="B103" s="8">
        <f>IF(C103="","","EV-"&amp;TEXT(ROW()-5,"000"))</f>
        <v/>
      </c>
      <c r="C103" s="8" t="n"/>
      <c r="D103" s="8" t="n"/>
      <c r="E103" s="8" t="n"/>
      <c r="F103" s="8" t="n"/>
      <c r="G103" s="8" t="n"/>
      <c r="H103" s="8" t="n"/>
      <c r="I103" s="8" t="n"/>
      <c r="J103" s="8" t="n"/>
      <c r="K103" s="8" t="n"/>
      <c r="L103" s="8" t="n"/>
      <c r="M103" s="8" t="n"/>
      <c r="N103" s="8" t="n"/>
      <c r="O103" s="8" t="n"/>
      <c r="P103" s="8" t="n"/>
      <c r="Q103" s="8" t="n"/>
      <c r="R103" s="8" t="n"/>
      <c r="S103" s="8" t="n"/>
    </row>
    <row r="104">
      <c r="B104" s="8">
        <f>IF(C104="","","EV-"&amp;TEXT(ROW()-5,"000"))</f>
        <v/>
      </c>
      <c r="C104" s="8" t="n"/>
      <c r="D104" s="8" t="n"/>
      <c r="E104" s="8" t="n"/>
      <c r="F104" s="8" t="n"/>
      <c r="G104" s="8" t="n"/>
      <c r="H104" s="8" t="n"/>
      <c r="I104" s="8" t="n"/>
      <c r="J104" s="8" t="n"/>
      <c r="K104" s="8" t="n"/>
      <c r="L104" s="8" t="n"/>
      <c r="M104" s="8" t="n"/>
      <c r="N104" s="8" t="n"/>
      <c r="O104" s="8" t="n"/>
      <c r="P104" s="8" t="n"/>
      <c r="Q104" s="8" t="n"/>
      <c r="R104" s="8" t="n"/>
      <c r="S104" s="8" t="n"/>
    </row>
    <row r="105">
      <c r="B105" s="8">
        <f>IF(C105="","","EV-"&amp;TEXT(ROW()-5,"000"))</f>
        <v/>
      </c>
      <c r="C105" s="8" t="n"/>
      <c r="D105" s="8" t="n"/>
      <c r="E105" s="8" t="n"/>
      <c r="F105" s="8" t="n"/>
      <c r="G105" s="8" t="n"/>
      <c r="H105" s="8" t="n"/>
      <c r="I105" s="8" t="n"/>
      <c r="J105" s="8" t="n"/>
      <c r="K105" s="8" t="n"/>
      <c r="L105" s="8" t="n"/>
      <c r="M105" s="8" t="n"/>
      <c r="N105" s="8" t="n"/>
      <c r="O105" s="8" t="n"/>
      <c r="P105" s="8" t="n"/>
      <c r="Q105" s="8" t="n"/>
      <c r="R105" s="8" t="n"/>
      <c r="S105" s="8" t="n"/>
    </row>
    <row r="106">
      <c r="B106" s="8">
        <f>IF(C106="","","EV-"&amp;TEXT(ROW()-5,"000"))</f>
        <v/>
      </c>
      <c r="C106" s="8" t="n"/>
      <c r="D106" s="8" t="n"/>
      <c r="E106" s="8" t="n"/>
      <c r="F106" s="8" t="n"/>
      <c r="G106" s="8" t="n"/>
      <c r="H106" s="8" t="n"/>
      <c r="I106" s="8" t="n"/>
      <c r="J106" s="8" t="n"/>
      <c r="K106" s="8" t="n"/>
      <c r="L106" s="8" t="n"/>
      <c r="M106" s="8" t="n"/>
      <c r="N106" s="8" t="n"/>
      <c r="O106" s="8" t="n"/>
      <c r="P106" s="8" t="n"/>
      <c r="Q106" s="8" t="n"/>
      <c r="R106" s="8" t="n"/>
      <c r="S106" s="8" t="n"/>
    </row>
    <row r="107">
      <c r="B107" s="8">
        <f>IF(C107="","","EV-"&amp;TEXT(ROW()-5,"000"))</f>
        <v/>
      </c>
      <c r="C107" s="8" t="n"/>
      <c r="D107" s="8" t="n"/>
      <c r="E107" s="8" t="n"/>
      <c r="F107" s="8" t="n"/>
      <c r="G107" s="8" t="n"/>
      <c r="H107" s="8" t="n"/>
      <c r="I107" s="8" t="n"/>
      <c r="J107" s="8" t="n"/>
      <c r="K107" s="8" t="n"/>
      <c r="L107" s="8" t="n"/>
      <c r="M107" s="8" t="n"/>
      <c r="N107" s="8" t="n"/>
      <c r="O107" s="8" t="n"/>
      <c r="P107" s="8" t="n"/>
      <c r="Q107" s="8" t="n"/>
      <c r="R107" s="8" t="n"/>
      <c r="S107" s="8" t="n"/>
    </row>
    <row r="108">
      <c r="B108" s="8">
        <f>IF(C108="","","EV-"&amp;TEXT(ROW()-5,"000"))</f>
        <v/>
      </c>
      <c r="C108" s="8" t="n"/>
      <c r="D108" s="8" t="n"/>
      <c r="E108" s="8" t="n"/>
      <c r="F108" s="8" t="n"/>
      <c r="G108" s="8" t="n"/>
      <c r="H108" s="8" t="n"/>
      <c r="I108" s="8" t="n"/>
      <c r="J108" s="8" t="n"/>
      <c r="K108" s="8" t="n"/>
      <c r="L108" s="8" t="n"/>
      <c r="M108" s="8" t="n"/>
      <c r="N108" s="8" t="n"/>
      <c r="O108" s="8" t="n"/>
      <c r="P108" s="8" t="n"/>
      <c r="Q108" s="8" t="n"/>
      <c r="R108" s="8" t="n"/>
      <c r="S108" s="8" t="n"/>
    </row>
    <row r="109">
      <c r="B109" s="8">
        <f>IF(C109="","","EV-"&amp;TEXT(ROW()-5,"000"))</f>
        <v/>
      </c>
      <c r="C109" s="8" t="n"/>
      <c r="D109" s="8" t="n"/>
      <c r="E109" s="8" t="n"/>
      <c r="F109" s="8" t="n"/>
      <c r="G109" s="8" t="n"/>
      <c r="H109" s="8" t="n"/>
      <c r="I109" s="8" t="n"/>
      <c r="J109" s="8" t="n"/>
      <c r="K109" s="8" t="n"/>
      <c r="L109" s="8" t="n"/>
      <c r="M109" s="8" t="n"/>
      <c r="N109" s="8" t="n"/>
      <c r="O109" s="8" t="n"/>
      <c r="P109" s="8" t="n"/>
      <c r="Q109" s="8" t="n"/>
      <c r="R109" s="8" t="n"/>
      <c r="S109" s="8" t="n"/>
    </row>
    <row r="110">
      <c r="B110" s="8">
        <f>IF(C110="","","EV-"&amp;TEXT(ROW()-5,"000"))</f>
        <v/>
      </c>
      <c r="C110" s="8" t="n"/>
      <c r="D110" s="8" t="n"/>
      <c r="E110" s="8" t="n"/>
      <c r="F110" s="8" t="n"/>
      <c r="G110" s="8" t="n"/>
      <c r="H110" s="8" t="n"/>
      <c r="I110" s="8" t="n"/>
      <c r="J110" s="8" t="n"/>
      <c r="K110" s="8" t="n"/>
      <c r="L110" s="8" t="n"/>
      <c r="M110" s="8" t="n"/>
      <c r="N110" s="8" t="n"/>
      <c r="O110" s="8" t="n"/>
      <c r="P110" s="8" t="n"/>
      <c r="Q110" s="8" t="n"/>
      <c r="R110" s="8" t="n"/>
      <c r="S110" s="8" t="n"/>
    </row>
    <row r="111">
      <c r="B111" s="8">
        <f>IF(C111="","","EV-"&amp;TEXT(ROW()-5,"000"))</f>
        <v/>
      </c>
      <c r="C111" s="8" t="n"/>
      <c r="D111" s="8" t="n"/>
      <c r="E111" s="8" t="n"/>
      <c r="F111" s="8" t="n"/>
      <c r="G111" s="8" t="n"/>
      <c r="H111" s="8" t="n"/>
      <c r="I111" s="8" t="n"/>
      <c r="J111" s="8" t="n"/>
      <c r="K111" s="8" t="n"/>
      <c r="L111" s="8" t="n"/>
      <c r="M111" s="8" t="n"/>
      <c r="N111" s="8" t="n"/>
      <c r="O111" s="8" t="n"/>
      <c r="P111" s="8" t="n"/>
      <c r="Q111" s="8" t="n"/>
      <c r="R111" s="8" t="n"/>
      <c r="S111" s="8" t="n"/>
    </row>
    <row r="112">
      <c r="B112" s="8">
        <f>IF(C112="","","EV-"&amp;TEXT(ROW()-5,"000"))</f>
        <v/>
      </c>
      <c r="C112" s="8" t="n"/>
      <c r="D112" s="8" t="n"/>
      <c r="E112" s="8" t="n"/>
      <c r="F112" s="8" t="n"/>
      <c r="G112" s="8" t="n"/>
      <c r="H112" s="8" t="n"/>
      <c r="I112" s="8" t="n"/>
      <c r="J112" s="8" t="n"/>
      <c r="K112" s="8" t="n"/>
      <c r="L112" s="8" t="n"/>
      <c r="M112" s="8" t="n"/>
      <c r="N112" s="8" t="n"/>
      <c r="O112" s="8" t="n"/>
      <c r="P112" s="8" t="n"/>
      <c r="Q112" s="8" t="n"/>
      <c r="R112" s="8" t="n"/>
      <c r="S112" s="8" t="n"/>
    </row>
    <row r="113">
      <c r="B113" s="8">
        <f>IF(C113="","","EV-"&amp;TEXT(ROW()-5,"000"))</f>
        <v/>
      </c>
      <c r="C113" s="8" t="n"/>
      <c r="D113" s="8" t="n"/>
      <c r="E113" s="8" t="n"/>
      <c r="F113" s="8" t="n"/>
      <c r="G113" s="8" t="n"/>
      <c r="H113" s="8" t="n"/>
      <c r="I113" s="8" t="n"/>
      <c r="J113" s="8" t="n"/>
      <c r="K113" s="8" t="n"/>
      <c r="L113" s="8" t="n"/>
      <c r="M113" s="8" t="n"/>
      <c r="N113" s="8" t="n"/>
      <c r="O113" s="8" t="n"/>
      <c r="P113" s="8" t="n"/>
      <c r="Q113" s="8" t="n"/>
      <c r="R113" s="8" t="n"/>
      <c r="S113" s="8" t="n"/>
    </row>
    <row r="114">
      <c r="B114" s="8">
        <f>IF(C114="","","EV-"&amp;TEXT(ROW()-5,"000"))</f>
        <v/>
      </c>
      <c r="C114" s="8" t="n"/>
      <c r="D114" s="8" t="n"/>
      <c r="E114" s="8" t="n"/>
      <c r="F114" s="8" t="n"/>
      <c r="G114" s="8" t="n"/>
      <c r="H114" s="8" t="n"/>
      <c r="I114" s="8" t="n"/>
      <c r="J114" s="8" t="n"/>
      <c r="K114" s="8" t="n"/>
      <c r="L114" s="8" t="n"/>
      <c r="M114" s="8" t="n"/>
      <c r="N114" s="8" t="n"/>
      <c r="O114" s="8" t="n"/>
      <c r="P114" s="8" t="n"/>
      <c r="Q114" s="8" t="n"/>
      <c r="R114" s="8" t="n"/>
      <c r="S114" s="8" t="n"/>
    </row>
    <row r="115">
      <c r="B115" s="8">
        <f>IF(C115="","","EV-"&amp;TEXT(ROW()-5,"000"))</f>
        <v/>
      </c>
      <c r="C115" s="8" t="n"/>
      <c r="D115" s="8" t="n"/>
      <c r="E115" s="8" t="n"/>
      <c r="F115" s="8" t="n"/>
      <c r="G115" s="8" t="n"/>
      <c r="H115" s="8" t="n"/>
      <c r="I115" s="8" t="n"/>
      <c r="J115" s="8" t="n"/>
      <c r="K115" s="8" t="n"/>
      <c r="L115" s="8" t="n"/>
      <c r="M115" s="8" t="n"/>
      <c r="N115" s="8" t="n"/>
      <c r="O115" s="8" t="n"/>
      <c r="P115" s="8" t="n"/>
      <c r="Q115" s="8" t="n"/>
      <c r="R115" s="8" t="n"/>
      <c r="S115" s="8" t="n"/>
    </row>
    <row r="116">
      <c r="B116" s="8">
        <f>IF(C116="","","EV-"&amp;TEXT(ROW()-5,"000"))</f>
        <v/>
      </c>
      <c r="C116" s="8" t="n"/>
      <c r="D116" s="8" t="n"/>
      <c r="E116" s="8" t="n"/>
      <c r="F116" s="8" t="n"/>
      <c r="G116" s="8" t="n"/>
      <c r="H116" s="8" t="n"/>
      <c r="I116" s="8" t="n"/>
      <c r="J116" s="8" t="n"/>
      <c r="K116" s="8" t="n"/>
      <c r="L116" s="8" t="n"/>
      <c r="M116" s="8" t="n"/>
      <c r="N116" s="8" t="n"/>
      <c r="O116" s="8" t="n"/>
      <c r="P116" s="8" t="n"/>
      <c r="Q116" s="8" t="n"/>
      <c r="R116" s="8" t="n"/>
      <c r="S116" s="8" t="n"/>
    </row>
    <row r="117">
      <c r="B117" s="8">
        <f>IF(C117="","","EV-"&amp;TEXT(ROW()-5,"000"))</f>
        <v/>
      </c>
      <c r="C117" s="8" t="n"/>
      <c r="D117" s="8" t="n"/>
      <c r="E117" s="8" t="n"/>
      <c r="F117" s="8" t="n"/>
      <c r="G117" s="8" t="n"/>
      <c r="H117" s="8" t="n"/>
      <c r="I117" s="8" t="n"/>
      <c r="J117" s="8" t="n"/>
      <c r="K117" s="8" t="n"/>
      <c r="L117" s="8" t="n"/>
      <c r="M117" s="8" t="n"/>
      <c r="N117" s="8" t="n"/>
      <c r="O117" s="8" t="n"/>
      <c r="P117" s="8" t="n"/>
      <c r="Q117" s="8" t="n"/>
      <c r="R117" s="8" t="n"/>
      <c r="S117" s="8" t="n"/>
    </row>
    <row r="118">
      <c r="B118" s="8">
        <f>IF(C118="","","EV-"&amp;TEXT(ROW()-5,"000"))</f>
        <v/>
      </c>
      <c r="C118" s="8" t="n"/>
      <c r="D118" s="8" t="n"/>
      <c r="E118" s="8" t="n"/>
      <c r="F118" s="8" t="n"/>
      <c r="G118" s="8" t="n"/>
      <c r="H118" s="8" t="n"/>
      <c r="I118" s="8" t="n"/>
      <c r="J118" s="8" t="n"/>
      <c r="K118" s="8" t="n"/>
      <c r="L118" s="8" t="n"/>
      <c r="M118" s="8" t="n"/>
      <c r="N118" s="8" t="n"/>
      <c r="O118" s="8" t="n"/>
      <c r="P118" s="8" t="n"/>
      <c r="Q118" s="8" t="n"/>
      <c r="R118" s="8" t="n"/>
      <c r="S118" s="8" t="n"/>
    </row>
    <row r="119">
      <c r="B119" s="8">
        <f>IF(C119="","","EV-"&amp;TEXT(ROW()-5,"000"))</f>
        <v/>
      </c>
      <c r="C119" s="8" t="n"/>
      <c r="D119" s="8" t="n"/>
      <c r="E119" s="8" t="n"/>
      <c r="F119" s="8" t="n"/>
      <c r="G119" s="8" t="n"/>
      <c r="H119" s="8" t="n"/>
      <c r="I119" s="8" t="n"/>
      <c r="J119" s="8" t="n"/>
      <c r="K119" s="8" t="n"/>
      <c r="L119" s="8" t="n"/>
      <c r="M119" s="8" t="n"/>
      <c r="N119" s="8" t="n"/>
      <c r="O119" s="8" t="n"/>
      <c r="P119" s="8" t="n"/>
      <c r="Q119" s="8" t="n"/>
      <c r="R119" s="8" t="n"/>
      <c r="S119" s="8" t="n"/>
    </row>
    <row r="120">
      <c r="B120" s="8">
        <f>IF(C120="","","EV-"&amp;TEXT(ROW()-5,"000"))</f>
        <v/>
      </c>
      <c r="C120" s="8" t="n"/>
      <c r="D120" s="8" t="n"/>
      <c r="E120" s="8" t="n"/>
      <c r="F120" s="8" t="n"/>
      <c r="G120" s="8" t="n"/>
      <c r="H120" s="8" t="n"/>
      <c r="I120" s="8" t="n"/>
      <c r="J120" s="8" t="n"/>
      <c r="K120" s="8" t="n"/>
      <c r="L120" s="8" t="n"/>
      <c r="M120" s="8" t="n"/>
      <c r="N120" s="8" t="n"/>
      <c r="O120" s="8" t="n"/>
      <c r="P120" s="8" t="n"/>
      <c r="Q120" s="8" t="n"/>
      <c r="R120" s="8" t="n"/>
      <c r="S120" s="8" t="n"/>
    </row>
    <row r="121">
      <c r="B121" s="8">
        <f>IF(C121="","","EV-"&amp;TEXT(ROW()-5,"000"))</f>
        <v/>
      </c>
      <c r="C121" s="8" t="n"/>
      <c r="D121" s="8" t="n"/>
      <c r="E121" s="8" t="n"/>
      <c r="F121" s="8" t="n"/>
      <c r="G121" s="8" t="n"/>
      <c r="H121" s="8" t="n"/>
      <c r="I121" s="8" t="n"/>
      <c r="J121" s="8" t="n"/>
      <c r="K121" s="8" t="n"/>
      <c r="L121" s="8" t="n"/>
      <c r="M121" s="8" t="n"/>
      <c r="N121" s="8" t="n"/>
      <c r="O121" s="8" t="n"/>
      <c r="P121" s="8" t="n"/>
      <c r="Q121" s="8" t="n"/>
      <c r="R121" s="8" t="n"/>
      <c r="S121" s="8" t="n"/>
    </row>
    <row r="122">
      <c r="B122" s="8">
        <f>IF(C122="","","EV-"&amp;TEXT(ROW()-5,"000"))</f>
        <v/>
      </c>
      <c r="C122" s="8" t="n"/>
      <c r="D122" s="8" t="n"/>
      <c r="E122" s="8" t="n"/>
      <c r="F122" s="8" t="n"/>
      <c r="G122" s="8" t="n"/>
      <c r="H122" s="8" t="n"/>
      <c r="I122" s="8" t="n"/>
      <c r="J122" s="8" t="n"/>
      <c r="K122" s="8" t="n"/>
      <c r="L122" s="8" t="n"/>
      <c r="M122" s="8" t="n"/>
      <c r="N122" s="8" t="n"/>
      <c r="O122" s="8" t="n"/>
      <c r="P122" s="8" t="n"/>
      <c r="Q122" s="8" t="n"/>
      <c r="R122" s="8" t="n"/>
      <c r="S122" s="8" t="n"/>
    </row>
    <row r="123">
      <c r="B123" s="8">
        <f>IF(C123="","","EV-"&amp;TEXT(ROW()-5,"000"))</f>
        <v/>
      </c>
      <c r="C123" s="8" t="n"/>
      <c r="D123" s="8" t="n"/>
      <c r="E123" s="8" t="n"/>
      <c r="F123" s="8" t="n"/>
      <c r="G123" s="8" t="n"/>
      <c r="H123" s="8" t="n"/>
      <c r="I123" s="8" t="n"/>
      <c r="J123" s="8" t="n"/>
      <c r="K123" s="8" t="n"/>
      <c r="L123" s="8" t="n"/>
      <c r="M123" s="8" t="n"/>
      <c r="N123" s="8" t="n"/>
      <c r="O123" s="8" t="n"/>
      <c r="P123" s="8" t="n"/>
      <c r="Q123" s="8" t="n"/>
      <c r="R123" s="8" t="n"/>
      <c r="S123" s="8" t="n"/>
    </row>
    <row r="124">
      <c r="B124" s="8">
        <f>IF(C124="","","EV-"&amp;TEXT(ROW()-5,"000"))</f>
        <v/>
      </c>
      <c r="C124" s="8" t="n"/>
      <c r="D124" s="8" t="n"/>
      <c r="E124" s="8" t="n"/>
      <c r="F124" s="8" t="n"/>
      <c r="G124" s="8" t="n"/>
      <c r="H124" s="8" t="n"/>
      <c r="I124" s="8" t="n"/>
      <c r="J124" s="8" t="n"/>
      <c r="K124" s="8" t="n"/>
      <c r="L124" s="8" t="n"/>
      <c r="M124" s="8" t="n"/>
      <c r="N124" s="8" t="n"/>
      <c r="O124" s="8" t="n"/>
      <c r="P124" s="8" t="n"/>
      <c r="Q124" s="8" t="n"/>
      <c r="R124" s="8" t="n"/>
      <c r="S124" s="8" t="n"/>
    </row>
    <row r="125">
      <c r="B125" s="8">
        <f>IF(C125="","","EV-"&amp;TEXT(ROW()-5,"000"))</f>
        <v/>
      </c>
      <c r="C125" s="8" t="n"/>
      <c r="D125" s="8" t="n"/>
      <c r="E125" s="8" t="n"/>
      <c r="F125" s="8" t="n"/>
      <c r="G125" s="8" t="n"/>
      <c r="H125" s="8" t="n"/>
      <c r="I125" s="8" t="n"/>
      <c r="J125" s="8" t="n"/>
      <c r="K125" s="8" t="n"/>
      <c r="L125" s="8" t="n"/>
      <c r="M125" s="8" t="n"/>
      <c r="N125" s="8" t="n"/>
      <c r="O125" s="8" t="n"/>
      <c r="P125" s="8" t="n"/>
      <c r="Q125" s="8" t="n"/>
      <c r="R125" s="8" t="n"/>
      <c r="S125" s="8" t="n"/>
    </row>
    <row r="126">
      <c r="B126" s="8">
        <f>IF(C126="","","EV-"&amp;TEXT(ROW()-5,"000"))</f>
        <v/>
      </c>
      <c r="C126" s="8" t="n"/>
      <c r="D126" s="8" t="n"/>
      <c r="E126" s="8" t="n"/>
      <c r="F126" s="8" t="n"/>
      <c r="G126" s="8" t="n"/>
      <c r="H126" s="8" t="n"/>
      <c r="I126" s="8" t="n"/>
      <c r="J126" s="8" t="n"/>
      <c r="K126" s="8" t="n"/>
      <c r="L126" s="8" t="n"/>
      <c r="M126" s="8" t="n"/>
      <c r="N126" s="8" t="n"/>
      <c r="O126" s="8" t="n"/>
      <c r="P126" s="8" t="n"/>
      <c r="Q126" s="8" t="n"/>
      <c r="R126" s="8" t="n"/>
      <c r="S126" s="8" t="n"/>
    </row>
    <row r="127">
      <c r="B127" s="8">
        <f>IF(C127="","","EV-"&amp;TEXT(ROW()-5,"000"))</f>
        <v/>
      </c>
      <c r="C127" s="8" t="n"/>
      <c r="D127" s="8" t="n"/>
      <c r="E127" s="8" t="n"/>
      <c r="F127" s="8" t="n"/>
      <c r="G127" s="8" t="n"/>
      <c r="H127" s="8" t="n"/>
      <c r="I127" s="8" t="n"/>
      <c r="J127" s="8" t="n"/>
      <c r="K127" s="8" t="n"/>
      <c r="L127" s="8" t="n"/>
      <c r="M127" s="8" t="n"/>
      <c r="N127" s="8" t="n"/>
      <c r="O127" s="8" t="n"/>
      <c r="P127" s="8" t="n"/>
      <c r="Q127" s="8" t="n"/>
      <c r="R127" s="8" t="n"/>
      <c r="S127" s="8" t="n"/>
    </row>
    <row r="128">
      <c r="B128" s="8">
        <f>IF(C128="","","EV-"&amp;TEXT(ROW()-5,"000"))</f>
        <v/>
      </c>
      <c r="C128" s="8" t="n"/>
      <c r="D128" s="8" t="n"/>
      <c r="E128" s="8" t="n"/>
      <c r="F128" s="8" t="n"/>
      <c r="G128" s="8" t="n"/>
      <c r="H128" s="8" t="n"/>
      <c r="I128" s="8" t="n"/>
      <c r="J128" s="8" t="n"/>
      <c r="K128" s="8" t="n"/>
      <c r="L128" s="8" t="n"/>
      <c r="M128" s="8" t="n"/>
      <c r="N128" s="8" t="n"/>
      <c r="O128" s="8" t="n"/>
      <c r="P128" s="8" t="n"/>
      <c r="Q128" s="8" t="n"/>
      <c r="R128" s="8" t="n"/>
      <c r="S128" s="8" t="n"/>
    </row>
    <row r="129">
      <c r="B129" s="8">
        <f>IF(C129="","","EV-"&amp;TEXT(ROW()-5,"000"))</f>
        <v/>
      </c>
      <c r="C129" s="8" t="n"/>
      <c r="D129" s="8" t="n"/>
      <c r="E129" s="8" t="n"/>
      <c r="F129" s="8" t="n"/>
      <c r="G129" s="8" t="n"/>
      <c r="H129" s="8" t="n"/>
      <c r="I129" s="8" t="n"/>
      <c r="J129" s="8" t="n"/>
      <c r="K129" s="8" t="n"/>
      <c r="L129" s="8" t="n"/>
      <c r="M129" s="8" t="n"/>
      <c r="N129" s="8" t="n"/>
      <c r="O129" s="8" t="n"/>
      <c r="P129" s="8" t="n"/>
      <c r="Q129" s="8" t="n"/>
      <c r="R129" s="8" t="n"/>
      <c r="S129" s="8" t="n"/>
    </row>
    <row r="130">
      <c r="B130" s="8">
        <f>IF(C130="","","EV-"&amp;TEXT(ROW()-5,"000"))</f>
        <v/>
      </c>
      <c r="C130" s="8" t="n"/>
      <c r="D130" s="8" t="n"/>
      <c r="E130" s="8" t="n"/>
      <c r="F130" s="8" t="n"/>
      <c r="G130" s="8" t="n"/>
      <c r="H130" s="8" t="n"/>
      <c r="I130" s="8" t="n"/>
      <c r="J130" s="8" t="n"/>
      <c r="K130" s="8" t="n"/>
      <c r="L130" s="8" t="n"/>
      <c r="M130" s="8" t="n"/>
      <c r="N130" s="8" t="n"/>
      <c r="O130" s="8" t="n"/>
      <c r="P130" s="8" t="n"/>
      <c r="Q130" s="8" t="n"/>
      <c r="R130" s="8" t="n"/>
      <c r="S130" s="8" t="n"/>
    </row>
    <row r="131">
      <c r="B131" s="8">
        <f>IF(C131="","","EV-"&amp;TEXT(ROW()-5,"000"))</f>
        <v/>
      </c>
      <c r="C131" s="8" t="n"/>
      <c r="D131" s="8" t="n"/>
      <c r="E131" s="8" t="n"/>
      <c r="F131" s="8" t="n"/>
      <c r="G131" s="8" t="n"/>
      <c r="H131" s="8" t="n"/>
      <c r="I131" s="8" t="n"/>
      <c r="J131" s="8" t="n"/>
      <c r="K131" s="8" t="n"/>
      <c r="L131" s="8" t="n"/>
      <c r="M131" s="8" t="n"/>
      <c r="N131" s="8" t="n"/>
      <c r="O131" s="8" t="n"/>
      <c r="P131" s="8" t="n"/>
      <c r="Q131" s="8" t="n"/>
      <c r="R131" s="8" t="n"/>
      <c r="S131" s="8" t="n"/>
    </row>
    <row r="132">
      <c r="B132" s="8">
        <f>IF(C132="","","EV-"&amp;TEXT(ROW()-5,"000"))</f>
        <v/>
      </c>
      <c r="C132" s="8" t="n"/>
      <c r="D132" s="8" t="n"/>
      <c r="E132" s="8" t="n"/>
      <c r="F132" s="8" t="n"/>
      <c r="G132" s="8" t="n"/>
      <c r="H132" s="8" t="n"/>
      <c r="I132" s="8" t="n"/>
      <c r="J132" s="8" t="n"/>
      <c r="K132" s="8" t="n"/>
      <c r="L132" s="8" t="n"/>
      <c r="M132" s="8" t="n"/>
      <c r="N132" s="8" t="n"/>
      <c r="O132" s="8" t="n"/>
      <c r="P132" s="8" t="n"/>
      <c r="Q132" s="8" t="n"/>
      <c r="R132" s="8" t="n"/>
      <c r="S132" s="8" t="n"/>
    </row>
    <row r="133">
      <c r="B133" s="8">
        <f>IF(C133="","","EV-"&amp;TEXT(ROW()-5,"000"))</f>
        <v/>
      </c>
      <c r="C133" s="8" t="n"/>
      <c r="D133" s="8" t="n"/>
      <c r="E133" s="8" t="n"/>
      <c r="F133" s="8" t="n"/>
      <c r="G133" s="8" t="n"/>
      <c r="H133" s="8" t="n"/>
      <c r="I133" s="8" t="n"/>
      <c r="J133" s="8" t="n"/>
      <c r="K133" s="8" t="n"/>
      <c r="L133" s="8" t="n"/>
      <c r="M133" s="8" t="n"/>
      <c r="N133" s="8" t="n"/>
      <c r="O133" s="8" t="n"/>
      <c r="P133" s="8" t="n"/>
      <c r="Q133" s="8" t="n"/>
      <c r="R133" s="8" t="n"/>
      <c r="S133" s="8" t="n"/>
    </row>
    <row r="134">
      <c r="B134" s="8">
        <f>IF(C134="","","EV-"&amp;TEXT(ROW()-5,"000"))</f>
        <v/>
      </c>
      <c r="C134" s="8" t="n"/>
      <c r="D134" s="8" t="n"/>
      <c r="E134" s="8" t="n"/>
      <c r="F134" s="8" t="n"/>
      <c r="G134" s="8" t="n"/>
      <c r="H134" s="8" t="n"/>
      <c r="I134" s="8" t="n"/>
      <c r="J134" s="8" t="n"/>
      <c r="K134" s="8" t="n"/>
      <c r="L134" s="8" t="n"/>
      <c r="M134" s="8" t="n"/>
      <c r="N134" s="8" t="n"/>
      <c r="O134" s="8" t="n"/>
      <c r="P134" s="8" t="n"/>
      <c r="Q134" s="8" t="n"/>
      <c r="R134" s="8" t="n"/>
      <c r="S134" s="8" t="n"/>
    </row>
    <row r="135">
      <c r="B135" s="8">
        <f>IF(C135="","","EV-"&amp;TEXT(ROW()-5,"000"))</f>
        <v/>
      </c>
      <c r="C135" s="8" t="n"/>
      <c r="D135" s="8" t="n"/>
      <c r="E135" s="8" t="n"/>
      <c r="F135" s="8" t="n"/>
      <c r="G135" s="8" t="n"/>
      <c r="H135" s="8" t="n"/>
      <c r="I135" s="8" t="n"/>
      <c r="J135" s="8" t="n"/>
      <c r="K135" s="8" t="n"/>
      <c r="L135" s="8" t="n"/>
      <c r="M135" s="8" t="n"/>
      <c r="N135" s="8" t="n"/>
      <c r="O135" s="8" t="n"/>
      <c r="P135" s="8" t="n"/>
      <c r="Q135" s="8" t="n"/>
      <c r="R135" s="8" t="n"/>
      <c r="S135" s="8" t="n"/>
    </row>
    <row r="136">
      <c r="B136" s="8">
        <f>IF(C136="","","EV-"&amp;TEXT(ROW()-5,"000"))</f>
        <v/>
      </c>
      <c r="C136" s="8" t="n"/>
      <c r="D136" s="8" t="n"/>
      <c r="E136" s="8" t="n"/>
      <c r="F136" s="8" t="n"/>
      <c r="G136" s="8" t="n"/>
      <c r="H136" s="8" t="n"/>
      <c r="I136" s="8" t="n"/>
      <c r="J136" s="8" t="n"/>
      <c r="K136" s="8" t="n"/>
      <c r="L136" s="8" t="n"/>
      <c r="M136" s="8" t="n"/>
      <c r="N136" s="8" t="n"/>
      <c r="O136" s="8" t="n"/>
      <c r="P136" s="8" t="n"/>
      <c r="Q136" s="8" t="n"/>
      <c r="R136" s="8" t="n"/>
      <c r="S136" s="8" t="n"/>
    </row>
    <row r="137">
      <c r="B137" s="8">
        <f>IF(C137="","","EV-"&amp;TEXT(ROW()-5,"000"))</f>
        <v/>
      </c>
      <c r="C137" s="8" t="n"/>
      <c r="D137" s="8" t="n"/>
      <c r="E137" s="8" t="n"/>
      <c r="F137" s="8" t="n"/>
      <c r="G137" s="8" t="n"/>
      <c r="H137" s="8" t="n"/>
      <c r="I137" s="8" t="n"/>
      <c r="J137" s="8" t="n"/>
      <c r="K137" s="8" t="n"/>
      <c r="L137" s="8" t="n"/>
      <c r="M137" s="8" t="n"/>
      <c r="N137" s="8" t="n"/>
      <c r="O137" s="8" t="n"/>
      <c r="P137" s="8" t="n"/>
      <c r="Q137" s="8" t="n"/>
      <c r="R137" s="8" t="n"/>
      <c r="S137" s="8" t="n"/>
    </row>
    <row r="138">
      <c r="B138" s="8">
        <f>IF(C138="","","EV-"&amp;TEXT(ROW()-5,"000"))</f>
        <v/>
      </c>
      <c r="C138" s="8" t="n"/>
      <c r="D138" s="8" t="n"/>
      <c r="E138" s="8" t="n"/>
      <c r="F138" s="8" t="n"/>
      <c r="G138" s="8" t="n"/>
      <c r="H138" s="8" t="n"/>
      <c r="I138" s="8" t="n"/>
      <c r="J138" s="8" t="n"/>
      <c r="K138" s="8" t="n"/>
      <c r="L138" s="8" t="n"/>
      <c r="M138" s="8" t="n"/>
      <c r="N138" s="8" t="n"/>
      <c r="O138" s="8" t="n"/>
      <c r="P138" s="8" t="n"/>
      <c r="Q138" s="8" t="n"/>
      <c r="R138" s="8" t="n"/>
      <c r="S138" s="8" t="n"/>
    </row>
    <row r="139">
      <c r="B139" s="8">
        <f>IF(C139="","","EV-"&amp;TEXT(ROW()-5,"000"))</f>
        <v/>
      </c>
      <c r="C139" s="8" t="n"/>
      <c r="D139" s="8" t="n"/>
      <c r="E139" s="8" t="n"/>
      <c r="F139" s="8" t="n"/>
      <c r="G139" s="8" t="n"/>
      <c r="H139" s="8" t="n"/>
      <c r="I139" s="8" t="n"/>
      <c r="J139" s="8" t="n"/>
      <c r="K139" s="8" t="n"/>
      <c r="L139" s="8" t="n"/>
      <c r="M139" s="8" t="n"/>
      <c r="N139" s="8" t="n"/>
      <c r="O139" s="8" t="n"/>
      <c r="P139" s="8" t="n"/>
      <c r="Q139" s="8" t="n"/>
      <c r="R139" s="8" t="n"/>
      <c r="S139" s="8" t="n"/>
    </row>
    <row r="140">
      <c r="B140" s="8">
        <f>IF(C140="","","EV-"&amp;TEXT(ROW()-5,"000"))</f>
        <v/>
      </c>
      <c r="C140" s="8" t="n"/>
      <c r="D140" s="8" t="n"/>
      <c r="E140" s="8" t="n"/>
      <c r="F140" s="8" t="n"/>
      <c r="G140" s="8" t="n"/>
      <c r="H140" s="8" t="n"/>
      <c r="I140" s="8" t="n"/>
      <c r="J140" s="8" t="n"/>
      <c r="K140" s="8" t="n"/>
      <c r="L140" s="8" t="n"/>
      <c r="M140" s="8" t="n"/>
      <c r="N140" s="8" t="n"/>
      <c r="O140" s="8" t="n"/>
      <c r="P140" s="8" t="n"/>
      <c r="Q140" s="8" t="n"/>
      <c r="R140" s="8" t="n"/>
      <c r="S140" s="8" t="n"/>
    </row>
    <row r="141">
      <c r="B141" s="8">
        <f>IF(C141="","","EV-"&amp;TEXT(ROW()-5,"000"))</f>
        <v/>
      </c>
      <c r="C141" s="8" t="n"/>
      <c r="D141" s="8" t="n"/>
      <c r="E141" s="8" t="n"/>
      <c r="F141" s="8" t="n"/>
      <c r="G141" s="8" t="n"/>
      <c r="H141" s="8" t="n"/>
      <c r="I141" s="8" t="n"/>
      <c r="J141" s="8" t="n"/>
      <c r="K141" s="8" t="n"/>
      <c r="L141" s="8" t="n"/>
      <c r="M141" s="8" t="n"/>
      <c r="N141" s="8" t="n"/>
      <c r="O141" s="8" t="n"/>
      <c r="P141" s="8" t="n"/>
      <c r="Q141" s="8" t="n"/>
      <c r="R141" s="8" t="n"/>
      <c r="S141" s="8" t="n"/>
    </row>
    <row r="142">
      <c r="B142" s="8">
        <f>IF(C142="","","EV-"&amp;TEXT(ROW()-5,"000"))</f>
        <v/>
      </c>
      <c r="C142" s="8" t="n"/>
      <c r="D142" s="8" t="n"/>
      <c r="E142" s="8" t="n"/>
      <c r="F142" s="8" t="n"/>
      <c r="G142" s="8" t="n"/>
      <c r="H142" s="8" t="n"/>
      <c r="I142" s="8" t="n"/>
      <c r="J142" s="8" t="n"/>
      <c r="K142" s="8" t="n"/>
      <c r="L142" s="8" t="n"/>
      <c r="M142" s="8" t="n"/>
      <c r="N142" s="8" t="n"/>
      <c r="O142" s="8" t="n"/>
      <c r="P142" s="8" t="n"/>
      <c r="Q142" s="8" t="n"/>
      <c r="R142" s="8" t="n"/>
      <c r="S142" s="8" t="n"/>
    </row>
    <row r="143">
      <c r="B143" s="8">
        <f>IF(C143="","","EV-"&amp;TEXT(ROW()-5,"000"))</f>
        <v/>
      </c>
      <c r="C143" s="8" t="n"/>
      <c r="D143" s="8" t="n"/>
      <c r="E143" s="8" t="n"/>
      <c r="F143" s="8" t="n"/>
      <c r="G143" s="8" t="n"/>
      <c r="H143" s="8" t="n"/>
      <c r="I143" s="8" t="n"/>
      <c r="J143" s="8" t="n"/>
      <c r="K143" s="8" t="n"/>
      <c r="L143" s="8" t="n"/>
      <c r="M143" s="8" t="n"/>
      <c r="N143" s="8" t="n"/>
      <c r="O143" s="8" t="n"/>
      <c r="P143" s="8" t="n"/>
      <c r="Q143" s="8" t="n"/>
      <c r="R143" s="8" t="n"/>
      <c r="S143" s="8" t="n"/>
    </row>
    <row r="144">
      <c r="B144" s="8">
        <f>IF(C144="","","EV-"&amp;TEXT(ROW()-5,"000"))</f>
        <v/>
      </c>
      <c r="C144" s="8" t="n"/>
      <c r="D144" s="8" t="n"/>
      <c r="E144" s="8" t="n"/>
      <c r="F144" s="8" t="n"/>
      <c r="G144" s="8" t="n"/>
      <c r="H144" s="8" t="n"/>
      <c r="I144" s="8" t="n"/>
      <c r="J144" s="8" t="n"/>
      <c r="K144" s="8" t="n"/>
      <c r="L144" s="8" t="n"/>
      <c r="M144" s="8" t="n"/>
      <c r="N144" s="8" t="n"/>
      <c r="O144" s="8" t="n"/>
      <c r="P144" s="8" t="n"/>
      <c r="Q144" s="8" t="n"/>
      <c r="R144" s="8" t="n"/>
      <c r="S144" s="8" t="n"/>
    </row>
    <row r="145">
      <c r="B145" s="8">
        <f>IF(C145="","","EV-"&amp;TEXT(ROW()-5,"000"))</f>
        <v/>
      </c>
      <c r="C145" s="8" t="n"/>
      <c r="D145" s="8" t="n"/>
      <c r="E145" s="8" t="n"/>
      <c r="F145" s="8" t="n"/>
      <c r="G145" s="8" t="n"/>
      <c r="H145" s="8" t="n"/>
      <c r="I145" s="8" t="n"/>
      <c r="J145" s="8" t="n"/>
      <c r="K145" s="8" t="n"/>
      <c r="L145" s="8" t="n"/>
      <c r="M145" s="8" t="n"/>
      <c r="N145" s="8" t="n"/>
      <c r="O145" s="8" t="n"/>
      <c r="P145" s="8" t="n"/>
      <c r="Q145" s="8" t="n"/>
      <c r="R145" s="8" t="n"/>
      <c r="S145" s="8" t="n"/>
    </row>
    <row r="146">
      <c r="B146" s="8">
        <f>IF(C146="","","EV-"&amp;TEXT(ROW()-5,"000"))</f>
        <v/>
      </c>
      <c r="C146" s="8" t="n"/>
      <c r="D146" s="8" t="n"/>
      <c r="E146" s="8" t="n"/>
      <c r="F146" s="8" t="n"/>
      <c r="G146" s="8" t="n"/>
      <c r="H146" s="8" t="n"/>
      <c r="I146" s="8" t="n"/>
      <c r="J146" s="8" t="n"/>
      <c r="K146" s="8" t="n"/>
      <c r="L146" s="8" t="n"/>
      <c r="M146" s="8" t="n"/>
      <c r="N146" s="8" t="n"/>
      <c r="O146" s="8" t="n"/>
      <c r="P146" s="8" t="n"/>
      <c r="Q146" s="8" t="n"/>
      <c r="R146" s="8" t="n"/>
      <c r="S146" s="8" t="n"/>
    </row>
    <row r="147">
      <c r="B147" s="8">
        <f>IF(C147="","","EV-"&amp;TEXT(ROW()-5,"000"))</f>
        <v/>
      </c>
      <c r="C147" s="8" t="n"/>
      <c r="D147" s="8" t="n"/>
      <c r="E147" s="8" t="n"/>
      <c r="F147" s="8" t="n"/>
      <c r="G147" s="8" t="n"/>
      <c r="H147" s="8" t="n"/>
      <c r="I147" s="8" t="n"/>
      <c r="J147" s="8" t="n"/>
      <c r="K147" s="8" t="n"/>
      <c r="L147" s="8" t="n"/>
      <c r="M147" s="8" t="n"/>
      <c r="N147" s="8" t="n"/>
      <c r="O147" s="8" t="n"/>
      <c r="P147" s="8" t="n"/>
      <c r="Q147" s="8" t="n"/>
      <c r="R147" s="8" t="n"/>
      <c r="S147" s="8" t="n"/>
    </row>
    <row r="148">
      <c r="B148" s="8">
        <f>IF(C148="","","EV-"&amp;TEXT(ROW()-5,"000"))</f>
        <v/>
      </c>
      <c r="C148" s="8" t="n"/>
      <c r="D148" s="8" t="n"/>
      <c r="E148" s="8" t="n"/>
      <c r="F148" s="8" t="n"/>
      <c r="G148" s="8" t="n"/>
      <c r="H148" s="8" t="n"/>
      <c r="I148" s="8" t="n"/>
      <c r="J148" s="8" t="n"/>
      <c r="K148" s="8" t="n"/>
      <c r="L148" s="8" t="n"/>
      <c r="M148" s="8" t="n"/>
      <c r="N148" s="8" t="n"/>
      <c r="O148" s="8" t="n"/>
      <c r="P148" s="8" t="n"/>
      <c r="Q148" s="8" t="n"/>
      <c r="R148" s="8" t="n"/>
      <c r="S148" s="8" t="n"/>
    </row>
    <row r="149">
      <c r="B149" s="8">
        <f>IF(C149="","","EV-"&amp;TEXT(ROW()-5,"000"))</f>
        <v/>
      </c>
      <c r="C149" s="8" t="n"/>
      <c r="D149" s="8" t="n"/>
      <c r="E149" s="8" t="n"/>
      <c r="F149" s="8" t="n"/>
      <c r="G149" s="8" t="n"/>
      <c r="H149" s="8" t="n"/>
      <c r="I149" s="8" t="n"/>
      <c r="J149" s="8" t="n"/>
      <c r="K149" s="8" t="n"/>
      <c r="L149" s="8" t="n"/>
      <c r="M149" s="8" t="n"/>
      <c r="N149" s="8" t="n"/>
      <c r="O149" s="8" t="n"/>
      <c r="P149" s="8" t="n"/>
      <c r="Q149" s="8" t="n"/>
      <c r="R149" s="8" t="n"/>
      <c r="S149" s="8" t="n"/>
    </row>
    <row r="150">
      <c r="B150" s="8">
        <f>IF(C150="","","EV-"&amp;TEXT(ROW()-5,"000"))</f>
        <v/>
      </c>
      <c r="C150" s="8" t="n"/>
      <c r="D150" s="8" t="n"/>
      <c r="E150" s="8" t="n"/>
      <c r="F150" s="8" t="n"/>
      <c r="G150" s="8" t="n"/>
      <c r="H150" s="8" t="n"/>
      <c r="I150" s="8" t="n"/>
      <c r="J150" s="8" t="n"/>
      <c r="K150" s="8" t="n"/>
      <c r="L150" s="8" t="n"/>
      <c r="M150" s="8" t="n"/>
      <c r="N150" s="8" t="n"/>
      <c r="O150" s="8" t="n"/>
      <c r="P150" s="8" t="n"/>
      <c r="Q150" s="8" t="n"/>
      <c r="R150" s="8" t="n"/>
      <c r="S150" s="8" t="n"/>
    </row>
    <row r="151">
      <c r="B151" s="8">
        <f>IF(C151="","","EV-"&amp;TEXT(ROW()-5,"000"))</f>
        <v/>
      </c>
      <c r="C151" s="8" t="n"/>
      <c r="D151" s="8" t="n"/>
      <c r="E151" s="8" t="n"/>
      <c r="F151" s="8" t="n"/>
      <c r="G151" s="8" t="n"/>
      <c r="H151" s="8" t="n"/>
      <c r="I151" s="8" t="n"/>
      <c r="J151" s="8" t="n"/>
      <c r="K151" s="8" t="n"/>
      <c r="L151" s="8" t="n"/>
      <c r="M151" s="8" t="n"/>
      <c r="N151" s="8" t="n"/>
      <c r="O151" s="8" t="n"/>
      <c r="P151" s="8" t="n"/>
      <c r="Q151" s="8" t="n"/>
      <c r="R151" s="8" t="n"/>
      <c r="S151" s="8" t="n"/>
    </row>
    <row r="152">
      <c r="B152" s="8">
        <f>IF(C152="","","EV-"&amp;TEXT(ROW()-5,"000"))</f>
        <v/>
      </c>
      <c r="C152" s="8" t="n"/>
      <c r="D152" s="8" t="n"/>
      <c r="E152" s="8" t="n"/>
      <c r="F152" s="8" t="n"/>
      <c r="G152" s="8" t="n"/>
      <c r="H152" s="8" t="n"/>
      <c r="I152" s="8" t="n"/>
      <c r="J152" s="8" t="n"/>
      <c r="K152" s="8" t="n"/>
      <c r="L152" s="8" t="n"/>
      <c r="M152" s="8" t="n"/>
      <c r="N152" s="8" t="n"/>
      <c r="O152" s="8" t="n"/>
      <c r="P152" s="8" t="n"/>
      <c r="Q152" s="8" t="n"/>
      <c r="R152" s="8" t="n"/>
      <c r="S152" s="8" t="n"/>
    </row>
    <row r="153">
      <c r="B153" s="8">
        <f>IF(C153="","","EV-"&amp;TEXT(ROW()-5,"000"))</f>
        <v/>
      </c>
      <c r="C153" s="8" t="n"/>
      <c r="D153" s="8" t="n"/>
      <c r="E153" s="8" t="n"/>
      <c r="F153" s="8" t="n"/>
      <c r="G153" s="8" t="n"/>
      <c r="H153" s="8" t="n"/>
      <c r="I153" s="8" t="n"/>
      <c r="J153" s="8" t="n"/>
      <c r="K153" s="8" t="n"/>
      <c r="L153" s="8" t="n"/>
      <c r="M153" s="8" t="n"/>
      <c r="N153" s="8" t="n"/>
      <c r="O153" s="8" t="n"/>
      <c r="P153" s="8" t="n"/>
      <c r="Q153" s="8" t="n"/>
      <c r="R153" s="8" t="n"/>
      <c r="S153" s="8" t="n"/>
    </row>
    <row r="154">
      <c r="B154" s="8">
        <f>IF(C154="","","EV-"&amp;TEXT(ROW()-5,"000"))</f>
        <v/>
      </c>
      <c r="C154" s="8" t="n"/>
      <c r="D154" s="8" t="n"/>
      <c r="E154" s="8" t="n"/>
      <c r="F154" s="8" t="n"/>
      <c r="G154" s="8" t="n"/>
      <c r="H154" s="8" t="n"/>
      <c r="I154" s="8" t="n"/>
      <c r="J154" s="8" t="n"/>
      <c r="K154" s="8" t="n"/>
      <c r="L154" s="8" t="n"/>
      <c r="M154" s="8" t="n"/>
      <c r="N154" s="8" t="n"/>
      <c r="O154" s="8" t="n"/>
      <c r="P154" s="8" t="n"/>
      <c r="Q154" s="8" t="n"/>
      <c r="R154" s="8" t="n"/>
      <c r="S154" s="8" t="n"/>
    </row>
    <row r="155">
      <c r="B155" s="8">
        <f>IF(C155="","","EV-"&amp;TEXT(ROW()-5,"000"))</f>
        <v/>
      </c>
      <c r="C155" s="8" t="n"/>
      <c r="D155" s="8" t="n"/>
      <c r="E155" s="8" t="n"/>
      <c r="F155" s="8" t="n"/>
      <c r="G155" s="8" t="n"/>
      <c r="H155" s="8" t="n"/>
      <c r="I155" s="8" t="n"/>
      <c r="J155" s="8" t="n"/>
      <c r="K155" s="8" t="n"/>
      <c r="L155" s="8" t="n"/>
      <c r="M155" s="8" t="n"/>
      <c r="N155" s="8" t="n"/>
      <c r="O155" s="8" t="n"/>
      <c r="P155" s="8" t="n"/>
      <c r="Q155" s="8" t="n"/>
      <c r="R155" s="8" t="n"/>
      <c r="S155" s="8" t="n"/>
    </row>
    <row r="156">
      <c r="B156" s="8">
        <f>IF(C156="","","EV-"&amp;TEXT(ROW()-5,"000"))</f>
        <v/>
      </c>
      <c r="C156" s="8" t="n"/>
      <c r="D156" s="8" t="n"/>
      <c r="E156" s="8" t="n"/>
      <c r="F156" s="8" t="n"/>
      <c r="G156" s="8" t="n"/>
      <c r="H156" s="8" t="n"/>
      <c r="I156" s="8" t="n"/>
      <c r="J156" s="8" t="n"/>
      <c r="K156" s="8" t="n"/>
      <c r="L156" s="8" t="n"/>
      <c r="M156" s="8" t="n"/>
      <c r="N156" s="8" t="n"/>
      <c r="O156" s="8" t="n"/>
      <c r="P156" s="8" t="n"/>
      <c r="Q156" s="8" t="n"/>
      <c r="R156" s="8" t="n"/>
      <c r="S156" s="8" t="n"/>
    </row>
    <row r="157">
      <c r="B157" s="8">
        <f>IF(C157="","","EV-"&amp;TEXT(ROW()-5,"000"))</f>
        <v/>
      </c>
      <c r="C157" s="8" t="n"/>
      <c r="D157" s="8" t="n"/>
      <c r="E157" s="8" t="n"/>
      <c r="F157" s="8" t="n"/>
      <c r="G157" s="8" t="n"/>
      <c r="H157" s="8" t="n"/>
      <c r="I157" s="8" t="n"/>
      <c r="J157" s="8" t="n"/>
      <c r="K157" s="8" t="n"/>
      <c r="L157" s="8" t="n"/>
      <c r="M157" s="8" t="n"/>
      <c r="N157" s="8" t="n"/>
      <c r="O157" s="8" t="n"/>
      <c r="P157" s="8" t="n"/>
      <c r="Q157" s="8" t="n"/>
      <c r="R157" s="8" t="n"/>
      <c r="S157" s="8" t="n"/>
    </row>
    <row r="158">
      <c r="B158" s="8">
        <f>IF(C158="","","EV-"&amp;TEXT(ROW()-5,"000"))</f>
        <v/>
      </c>
      <c r="C158" s="8" t="n"/>
      <c r="D158" s="8" t="n"/>
      <c r="E158" s="8" t="n"/>
      <c r="F158" s="8" t="n"/>
      <c r="G158" s="8" t="n"/>
      <c r="H158" s="8" t="n"/>
      <c r="I158" s="8" t="n"/>
      <c r="J158" s="8" t="n"/>
      <c r="K158" s="8" t="n"/>
      <c r="L158" s="8" t="n"/>
      <c r="M158" s="8" t="n"/>
      <c r="N158" s="8" t="n"/>
      <c r="O158" s="8" t="n"/>
      <c r="P158" s="8" t="n"/>
      <c r="Q158" s="8" t="n"/>
      <c r="R158" s="8" t="n"/>
      <c r="S158" s="8" t="n"/>
    </row>
    <row r="159">
      <c r="B159" s="8">
        <f>IF(C159="","","EV-"&amp;TEXT(ROW()-5,"000"))</f>
        <v/>
      </c>
      <c r="C159" s="8" t="n"/>
      <c r="D159" s="8" t="n"/>
      <c r="E159" s="8" t="n"/>
      <c r="F159" s="8" t="n"/>
      <c r="G159" s="8" t="n"/>
      <c r="H159" s="8" t="n"/>
      <c r="I159" s="8" t="n"/>
      <c r="J159" s="8" t="n"/>
      <c r="K159" s="8" t="n"/>
      <c r="L159" s="8" t="n"/>
      <c r="M159" s="8" t="n"/>
      <c r="N159" s="8" t="n"/>
      <c r="O159" s="8" t="n"/>
      <c r="P159" s="8" t="n"/>
      <c r="Q159" s="8" t="n"/>
      <c r="R159" s="8" t="n"/>
      <c r="S159" s="8" t="n"/>
    </row>
    <row r="160">
      <c r="B160" s="8">
        <f>IF(C160="","","EV-"&amp;TEXT(ROW()-5,"000"))</f>
        <v/>
      </c>
      <c r="C160" s="8" t="n"/>
      <c r="D160" s="8" t="n"/>
      <c r="E160" s="8" t="n"/>
      <c r="F160" s="8" t="n"/>
      <c r="G160" s="8" t="n"/>
      <c r="H160" s="8" t="n"/>
      <c r="I160" s="8" t="n"/>
      <c r="J160" s="8" t="n"/>
      <c r="K160" s="8" t="n"/>
      <c r="L160" s="8" t="n"/>
      <c r="M160" s="8" t="n"/>
      <c r="N160" s="8" t="n"/>
      <c r="O160" s="8" t="n"/>
      <c r="P160" s="8" t="n"/>
      <c r="Q160" s="8" t="n"/>
      <c r="R160" s="8" t="n"/>
      <c r="S160" s="8" t="n"/>
    </row>
    <row r="161">
      <c r="B161" s="8">
        <f>IF(C161="","","EV-"&amp;TEXT(ROW()-5,"000"))</f>
        <v/>
      </c>
      <c r="C161" s="8" t="n"/>
      <c r="D161" s="8" t="n"/>
      <c r="E161" s="8" t="n"/>
      <c r="F161" s="8" t="n"/>
      <c r="G161" s="8" t="n"/>
      <c r="H161" s="8" t="n"/>
      <c r="I161" s="8" t="n"/>
      <c r="J161" s="8" t="n"/>
      <c r="K161" s="8" t="n"/>
      <c r="L161" s="8" t="n"/>
      <c r="M161" s="8" t="n"/>
      <c r="N161" s="8" t="n"/>
      <c r="O161" s="8" t="n"/>
      <c r="P161" s="8" t="n"/>
      <c r="Q161" s="8" t="n"/>
      <c r="R161" s="8" t="n"/>
      <c r="S161" s="8" t="n"/>
    </row>
    <row r="162">
      <c r="B162" s="8">
        <f>IF(C162="","","EV-"&amp;TEXT(ROW()-5,"000"))</f>
        <v/>
      </c>
      <c r="C162" s="8" t="n"/>
      <c r="D162" s="8" t="n"/>
      <c r="E162" s="8" t="n"/>
      <c r="F162" s="8" t="n"/>
      <c r="G162" s="8" t="n"/>
      <c r="H162" s="8" t="n"/>
      <c r="I162" s="8" t="n"/>
      <c r="J162" s="8" t="n"/>
      <c r="K162" s="8" t="n"/>
      <c r="L162" s="8" t="n"/>
      <c r="M162" s="8" t="n"/>
      <c r="N162" s="8" t="n"/>
      <c r="O162" s="8" t="n"/>
      <c r="P162" s="8" t="n"/>
      <c r="Q162" s="8" t="n"/>
      <c r="R162" s="8" t="n"/>
      <c r="S162" s="8" t="n"/>
    </row>
    <row r="163">
      <c r="B163" s="8">
        <f>IF(C163="","","EV-"&amp;TEXT(ROW()-5,"000"))</f>
        <v/>
      </c>
      <c r="C163" s="8" t="n"/>
      <c r="D163" s="8" t="n"/>
      <c r="E163" s="8" t="n"/>
      <c r="F163" s="8" t="n"/>
      <c r="G163" s="8" t="n"/>
      <c r="H163" s="8" t="n"/>
      <c r="I163" s="8" t="n"/>
      <c r="J163" s="8" t="n"/>
      <c r="K163" s="8" t="n"/>
      <c r="L163" s="8" t="n"/>
      <c r="M163" s="8" t="n"/>
      <c r="N163" s="8" t="n"/>
      <c r="O163" s="8" t="n"/>
      <c r="P163" s="8" t="n"/>
      <c r="Q163" s="8" t="n"/>
      <c r="R163" s="8" t="n"/>
      <c r="S163" s="8" t="n"/>
    </row>
    <row r="164">
      <c r="B164" s="8">
        <f>IF(C164="","","EV-"&amp;TEXT(ROW()-5,"000"))</f>
        <v/>
      </c>
      <c r="C164" s="8" t="n"/>
      <c r="D164" s="8" t="n"/>
      <c r="E164" s="8" t="n"/>
      <c r="F164" s="8" t="n"/>
      <c r="G164" s="8" t="n"/>
      <c r="H164" s="8" t="n"/>
      <c r="I164" s="8" t="n"/>
      <c r="J164" s="8" t="n"/>
      <c r="K164" s="8" t="n"/>
      <c r="L164" s="8" t="n"/>
      <c r="M164" s="8" t="n"/>
      <c r="N164" s="8" t="n"/>
      <c r="O164" s="8" t="n"/>
      <c r="P164" s="8" t="n"/>
      <c r="Q164" s="8" t="n"/>
      <c r="R164" s="8" t="n"/>
      <c r="S164" s="8" t="n"/>
    </row>
    <row r="165">
      <c r="B165" s="8">
        <f>IF(C165="","","EV-"&amp;TEXT(ROW()-5,"000"))</f>
        <v/>
      </c>
      <c r="C165" s="8" t="n"/>
      <c r="D165" s="8" t="n"/>
      <c r="E165" s="8" t="n"/>
      <c r="F165" s="8" t="n"/>
      <c r="G165" s="8" t="n"/>
      <c r="H165" s="8" t="n"/>
      <c r="I165" s="8" t="n"/>
      <c r="J165" s="8" t="n"/>
      <c r="K165" s="8" t="n"/>
      <c r="L165" s="8" t="n"/>
      <c r="M165" s="8" t="n"/>
      <c r="N165" s="8" t="n"/>
      <c r="O165" s="8" t="n"/>
      <c r="P165" s="8" t="n"/>
      <c r="Q165" s="8" t="n"/>
      <c r="R165" s="8" t="n"/>
      <c r="S165" s="8" t="n"/>
    </row>
    <row r="166">
      <c r="B166" s="8">
        <f>IF(C166="","","EV-"&amp;TEXT(ROW()-5,"000"))</f>
        <v/>
      </c>
      <c r="C166" s="8" t="n"/>
      <c r="D166" s="8" t="n"/>
      <c r="E166" s="8" t="n"/>
      <c r="F166" s="8" t="n"/>
      <c r="G166" s="8" t="n"/>
      <c r="H166" s="8" t="n"/>
      <c r="I166" s="8" t="n"/>
      <c r="J166" s="8" t="n"/>
      <c r="K166" s="8" t="n"/>
      <c r="L166" s="8" t="n"/>
      <c r="M166" s="8" t="n"/>
      <c r="N166" s="8" t="n"/>
      <c r="O166" s="8" t="n"/>
      <c r="P166" s="8" t="n"/>
      <c r="Q166" s="8" t="n"/>
      <c r="R166" s="8" t="n"/>
      <c r="S166" s="8" t="n"/>
    </row>
    <row r="167">
      <c r="B167" s="8">
        <f>IF(C167="","","EV-"&amp;TEXT(ROW()-5,"000"))</f>
        <v/>
      </c>
      <c r="C167" s="8" t="n"/>
      <c r="D167" s="8" t="n"/>
      <c r="E167" s="8" t="n"/>
      <c r="F167" s="8" t="n"/>
      <c r="G167" s="8" t="n"/>
      <c r="H167" s="8" t="n"/>
      <c r="I167" s="8" t="n"/>
      <c r="J167" s="8" t="n"/>
      <c r="K167" s="8" t="n"/>
      <c r="L167" s="8" t="n"/>
      <c r="M167" s="8" t="n"/>
      <c r="N167" s="8" t="n"/>
      <c r="O167" s="8" t="n"/>
      <c r="P167" s="8" t="n"/>
      <c r="Q167" s="8" t="n"/>
      <c r="R167" s="8" t="n"/>
      <c r="S167" s="8" t="n"/>
    </row>
    <row r="168">
      <c r="B168" s="8">
        <f>IF(C168="","","EV-"&amp;TEXT(ROW()-5,"000"))</f>
        <v/>
      </c>
      <c r="C168" s="8" t="n"/>
      <c r="D168" s="8" t="n"/>
      <c r="E168" s="8" t="n"/>
      <c r="F168" s="8" t="n"/>
      <c r="G168" s="8" t="n"/>
      <c r="H168" s="8" t="n"/>
      <c r="I168" s="8" t="n"/>
      <c r="J168" s="8" t="n"/>
      <c r="K168" s="8" t="n"/>
      <c r="L168" s="8" t="n"/>
      <c r="M168" s="8" t="n"/>
      <c r="N168" s="8" t="n"/>
      <c r="O168" s="8" t="n"/>
      <c r="P168" s="8" t="n"/>
      <c r="Q168" s="8" t="n"/>
      <c r="R168" s="8" t="n"/>
      <c r="S168" s="8" t="n"/>
    </row>
    <row r="169">
      <c r="B169" s="8">
        <f>IF(C169="","","EV-"&amp;TEXT(ROW()-5,"000"))</f>
        <v/>
      </c>
      <c r="C169" s="8" t="n"/>
      <c r="D169" s="8" t="n"/>
      <c r="E169" s="8" t="n"/>
      <c r="F169" s="8" t="n"/>
      <c r="G169" s="8" t="n"/>
      <c r="H169" s="8" t="n"/>
      <c r="I169" s="8" t="n"/>
      <c r="J169" s="8" t="n"/>
      <c r="K169" s="8" t="n"/>
      <c r="L169" s="8" t="n"/>
      <c r="M169" s="8" t="n"/>
      <c r="N169" s="8" t="n"/>
      <c r="O169" s="8" t="n"/>
      <c r="P169" s="8" t="n"/>
      <c r="Q169" s="8" t="n"/>
      <c r="R169" s="8" t="n"/>
      <c r="S169" s="8" t="n"/>
    </row>
    <row r="170">
      <c r="B170" s="8">
        <f>IF(C170="","","EV-"&amp;TEXT(ROW()-5,"000"))</f>
        <v/>
      </c>
      <c r="C170" s="8" t="n"/>
      <c r="D170" s="8" t="n"/>
      <c r="E170" s="8" t="n"/>
      <c r="F170" s="8" t="n"/>
      <c r="G170" s="8" t="n"/>
      <c r="H170" s="8" t="n"/>
      <c r="I170" s="8" t="n"/>
      <c r="J170" s="8" t="n"/>
      <c r="K170" s="8" t="n"/>
      <c r="L170" s="8" t="n"/>
      <c r="M170" s="8" t="n"/>
      <c r="N170" s="8" t="n"/>
      <c r="O170" s="8" t="n"/>
      <c r="P170" s="8" t="n"/>
      <c r="Q170" s="8" t="n"/>
      <c r="R170" s="8" t="n"/>
      <c r="S170" s="8" t="n"/>
    </row>
    <row r="171">
      <c r="B171" s="8">
        <f>IF(C171="","","EV-"&amp;TEXT(ROW()-5,"000"))</f>
        <v/>
      </c>
      <c r="C171" s="8" t="n"/>
      <c r="D171" s="8" t="n"/>
      <c r="E171" s="8" t="n"/>
      <c r="F171" s="8" t="n"/>
      <c r="G171" s="8" t="n"/>
      <c r="H171" s="8" t="n"/>
      <c r="I171" s="8" t="n"/>
      <c r="J171" s="8" t="n"/>
      <c r="K171" s="8" t="n"/>
      <c r="L171" s="8" t="n"/>
      <c r="M171" s="8" t="n"/>
      <c r="N171" s="8" t="n"/>
      <c r="O171" s="8" t="n"/>
      <c r="P171" s="8" t="n"/>
      <c r="Q171" s="8" t="n"/>
      <c r="R171" s="8" t="n"/>
      <c r="S171" s="8" t="n"/>
    </row>
    <row r="172">
      <c r="B172" s="8">
        <f>IF(C172="","","EV-"&amp;TEXT(ROW()-5,"000"))</f>
        <v/>
      </c>
      <c r="C172" s="8" t="n"/>
      <c r="D172" s="8" t="n"/>
      <c r="E172" s="8" t="n"/>
      <c r="F172" s="8" t="n"/>
      <c r="G172" s="8" t="n"/>
      <c r="H172" s="8" t="n"/>
      <c r="I172" s="8" t="n"/>
      <c r="J172" s="8" t="n"/>
      <c r="K172" s="8" t="n"/>
      <c r="L172" s="8" t="n"/>
      <c r="M172" s="8" t="n"/>
      <c r="N172" s="8" t="n"/>
      <c r="O172" s="8" t="n"/>
      <c r="P172" s="8" t="n"/>
      <c r="Q172" s="8" t="n"/>
      <c r="R172" s="8" t="n"/>
      <c r="S172" s="8" t="n"/>
    </row>
    <row r="173">
      <c r="B173" s="8">
        <f>IF(C173="","","EV-"&amp;TEXT(ROW()-5,"000"))</f>
        <v/>
      </c>
      <c r="C173" s="8" t="n"/>
      <c r="D173" s="8" t="n"/>
      <c r="E173" s="8" t="n"/>
      <c r="F173" s="8" t="n"/>
      <c r="G173" s="8" t="n"/>
      <c r="H173" s="8" t="n"/>
      <c r="I173" s="8" t="n"/>
      <c r="J173" s="8" t="n"/>
      <c r="K173" s="8" t="n"/>
      <c r="L173" s="8" t="n"/>
      <c r="M173" s="8" t="n"/>
      <c r="N173" s="8" t="n"/>
      <c r="O173" s="8" t="n"/>
      <c r="P173" s="8" t="n"/>
      <c r="Q173" s="8" t="n"/>
      <c r="R173" s="8" t="n"/>
      <c r="S173" s="8" t="n"/>
    </row>
    <row r="174">
      <c r="B174" s="8">
        <f>IF(C174="","","EV-"&amp;TEXT(ROW()-5,"000"))</f>
        <v/>
      </c>
      <c r="C174" s="8" t="n"/>
      <c r="D174" s="8" t="n"/>
      <c r="E174" s="8" t="n"/>
      <c r="F174" s="8" t="n"/>
      <c r="G174" s="8" t="n"/>
      <c r="H174" s="8" t="n"/>
      <c r="I174" s="8" t="n"/>
      <c r="J174" s="8" t="n"/>
      <c r="K174" s="8" t="n"/>
      <c r="L174" s="8" t="n"/>
      <c r="M174" s="8" t="n"/>
      <c r="N174" s="8" t="n"/>
      <c r="O174" s="8" t="n"/>
      <c r="P174" s="8" t="n"/>
      <c r="Q174" s="8" t="n"/>
      <c r="R174" s="8" t="n"/>
      <c r="S174" s="8" t="n"/>
    </row>
    <row r="175">
      <c r="B175" s="8">
        <f>IF(C175="","","EV-"&amp;TEXT(ROW()-5,"000"))</f>
        <v/>
      </c>
      <c r="C175" s="8" t="n"/>
      <c r="D175" s="8" t="n"/>
      <c r="E175" s="8" t="n"/>
      <c r="F175" s="8" t="n"/>
      <c r="G175" s="8" t="n"/>
      <c r="H175" s="8" t="n"/>
      <c r="I175" s="8" t="n"/>
      <c r="J175" s="8" t="n"/>
      <c r="K175" s="8" t="n"/>
      <c r="L175" s="8" t="n"/>
      <c r="M175" s="8" t="n"/>
      <c r="N175" s="8" t="n"/>
      <c r="O175" s="8" t="n"/>
      <c r="P175" s="8" t="n"/>
      <c r="Q175" s="8" t="n"/>
      <c r="R175" s="8" t="n"/>
      <c r="S175" s="8" t="n"/>
    </row>
    <row r="176">
      <c r="B176" s="8">
        <f>IF(C176="","","EV-"&amp;TEXT(ROW()-5,"000"))</f>
        <v/>
      </c>
      <c r="C176" s="8" t="n"/>
      <c r="D176" s="8" t="n"/>
      <c r="E176" s="8" t="n"/>
      <c r="F176" s="8" t="n"/>
      <c r="G176" s="8" t="n"/>
      <c r="H176" s="8" t="n"/>
      <c r="I176" s="8" t="n"/>
      <c r="J176" s="8" t="n"/>
      <c r="K176" s="8" t="n"/>
      <c r="L176" s="8" t="n"/>
      <c r="M176" s="8" t="n"/>
      <c r="N176" s="8" t="n"/>
      <c r="O176" s="8" t="n"/>
      <c r="P176" s="8" t="n"/>
      <c r="Q176" s="8" t="n"/>
      <c r="R176" s="8" t="n"/>
      <c r="S176" s="8" t="n"/>
    </row>
    <row r="177">
      <c r="B177" s="8">
        <f>IF(C177="","","EV-"&amp;TEXT(ROW()-5,"000"))</f>
        <v/>
      </c>
      <c r="C177" s="8" t="n"/>
      <c r="D177" s="8" t="n"/>
      <c r="E177" s="8" t="n"/>
      <c r="F177" s="8" t="n"/>
      <c r="G177" s="8" t="n"/>
      <c r="H177" s="8" t="n"/>
      <c r="I177" s="8" t="n"/>
      <c r="J177" s="8" t="n"/>
      <c r="K177" s="8" t="n"/>
      <c r="L177" s="8" t="n"/>
      <c r="M177" s="8" t="n"/>
      <c r="N177" s="8" t="n"/>
      <c r="O177" s="8" t="n"/>
      <c r="P177" s="8" t="n"/>
      <c r="Q177" s="8" t="n"/>
      <c r="R177" s="8" t="n"/>
      <c r="S177" s="8" t="n"/>
    </row>
    <row r="178">
      <c r="B178" s="8">
        <f>IF(C178="","","EV-"&amp;TEXT(ROW()-5,"000"))</f>
        <v/>
      </c>
      <c r="C178" s="8" t="n"/>
      <c r="D178" s="8" t="n"/>
      <c r="E178" s="8" t="n"/>
      <c r="F178" s="8" t="n"/>
      <c r="G178" s="8" t="n"/>
      <c r="H178" s="8" t="n"/>
      <c r="I178" s="8" t="n"/>
      <c r="J178" s="8" t="n"/>
      <c r="K178" s="8" t="n"/>
      <c r="L178" s="8" t="n"/>
      <c r="M178" s="8" t="n"/>
      <c r="N178" s="8" t="n"/>
      <c r="O178" s="8" t="n"/>
      <c r="P178" s="8" t="n"/>
      <c r="Q178" s="8" t="n"/>
      <c r="R178" s="8" t="n"/>
      <c r="S178" s="8" t="n"/>
    </row>
    <row r="179">
      <c r="B179" s="8">
        <f>IF(C179="","","EV-"&amp;TEXT(ROW()-5,"000"))</f>
        <v/>
      </c>
      <c r="C179" s="8" t="n"/>
      <c r="D179" s="8" t="n"/>
      <c r="E179" s="8" t="n"/>
      <c r="F179" s="8" t="n"/>
      <c r="G179" s="8" t="n"/>
      <c r="H179" s="8" t="n"/>
      <c r="I179" s="8" t="n"/>
      <c r="J179" s="8" t="n"/>
      <c r="K179" s="8" t="n"/>
      <c r="L179" s="8" t="n"/>
      <c r="M179" s="8" t="n"/>
      <c r="N179" s="8" t="n"/>
      <c r="O179" s="8" t="n"/>
      <c r="P179" s="8" t="n"/>
      <c r="Q179" s="8" t="n"/>
      <c r="R179" s="8" t="n"/>
      <c r="S179" s="8" t="n"/>
    </row>
    <row r="180">
      <c r="B180" s="8">
        <f>IF(C180="","","EV-"&amp;TEXT(ROW()-5,"000"))</f>
        <v/>
      </c>
      <c r="C180" s="8" t="n"/>
      <c r="D180" s="8" t="n"/>
      <c r="E180" s="8" t="n"/>
      <c r="F180" s="8" t="n"/>
      <c r="G180" s="8" t="n"/>
      <c r="H180" s="8" t="n"/>
      <c r="I180" s="8" t="n"/>
      <c r="J180" s="8" t="n"/>
      <c r="K180" s="8" t="n"/>
      <c r="L180" s="8" t="n"/>
      <c r="M180" s="8" t="n"/>
      <c r="N180" s="8" t="n"/>
      <c r="O180" s="8" t="n"/>
      <c r="P180" s="8" t="n"/>
      <c r="Q180" s="8" t="n"/>
      <c r="R180" s="8" t="n"/>
      <c r="S180" s="8" t="n"/>
    </row>
    <row r="181">
      <c r="B181" s="8">
        <f>IF(C181="","","EV-"&amp;TEXT(ROW()-5,"000"))</f>
        <v/>
      </c>
      <c r="C181" s="8" t="n"/>
      <c r="D181" s="8" t="n"/>
      <c r="E181" s="8" t="n"/>
      <c r="F181" s="8" t="n"/>
      <c r="G181" s="8" t="n"/>
      <c r="H181" s="8" t="n"/>
      <c r="I181" s="8" t="n"/>
      <c r="J181" s="8" t="n"/>
      <c r="K181" s="8" t="n"/>
      <c r="L181" s="8" t="n"/>
      <c r="M181" s="8" t="n"/>
      <c r="N181" s="8" t="n"/>
      <c r="O181" s="8" t="n"/>
      <c r="P181" s="8" t="n"/>
      <c r="Q181" s="8" t="n"/>
      <c r="R181" s="8" t="n"/>
      <c r="S181" s="8" t="n"/>
    </row>
    <row r="182">
      <c r="B182" s="8">
        <f>IF(C182="","","EV-"&amp;TEXT(ROW()-5,"000"))</f>
        <v/>
      </c>
      <c r="C182" s="8" t="n"/>
      <c r="D182" s="8" t="n"/>
      <c r="E182" s="8" t="n"/>
      <c r="F182" s="8" t="n"/>
      <c r="G182" s="8" t="n"/>
      <c r="H182" s="8" t="n"/>
      <c r="I182" s="8" t="n"/>
      <c r="J182" s="8" t="n"/>
      <c r="K182" s="8" t="n"/>
      <c r="L182" s="8" t="n"/>
      <c r="M182" s="8" t="n"/>
      <c r="N182" s="8" t="n"/>
      <c r="O182" s="8" t="n"/>
      <c r="P182" s="8" t="n"/>
      <c r="Q182" s="8" t="n"/>
      <c r="R182" s="8" t="n"/>
      <c r="S182" s="8" t="n"/>
    </row>
    <row r="183">
      <c r="B183" s="8">
        <f>IF(C183="","","EV-"&amp;TEXT(ROW()-5,"000"))</f>
        <v/>
      </c>
      <c r="C183" s="8" t="n"/>
      <c r="D183" s="8" t="n"/>
      <c r="E183" s="8" t="n"/>
      <c r="F183" s="8" t="n"/>
      <c r="G183" s="8" t="n"/>
      <c r="H183" s="8" t="n"/>
      <c r="I183" s="8" t="n"/>
      <c r="J183" s="8" t="n"/>
      <c r="K183" s="8" t="n"/>
      <c r="L183" s="8" t="n"/>
      <c r="M183" s="8" t="n"/>
      <c r="N183" s="8" t="n"/>
      <c r="O183" s="8" t="n"/>
      <c r="P183" s="8" t="n"/>
      <c r="Q183" s="8" t="n"/>
      <c r="R183" s="8" t="n"/>
      <c r="S183" s="8" t="n"/>
    </row>
    <row r="184">
      <c r="B184" s="8">
        <f>IF(C184="","","EV-"&amp;TEXT(ROW()-5,"000"))</f>
        <v/>
      </c>
      <c r="C184" s="8" t="n"/>
      <c r="D184" s="8" t="n"/>
      <c r="E184" s="8" t="n"/>
      <c r="F184" s="8" t="n"/>
      <c r="G184" s="8" t="n"/>
      <c r="H184" s="8" t="n"/>
      <c r="I184" s="8" t="n"/>
      <c r="J184" s="8" t="n"/>
      <c r="K184" s="8" t="n"/>
      <c r="L184" s="8" t="n"/>
      <c r="M184" s="8" t="n"/>
      <c r="N184" s="8" t="n"/>
      <c r="O184" s="8" t="n"/>
      <c r="P184" s="8" t="n"/>
      <c r="Q184" s="8" t="n"/>
      <c r="R184" s="8" t="n"/>
      <c r="S184" s="8" t="n"/>
    </row>
    <row r="185">
      <c r="B185" s="8">
        <f>IF(C185="","","EV-"&amp;TEXT(ROW()-5,"000"))</f>
        <v/>
      </c>
      <c r="C185" s="8" t="n"/>
      <c r="D185" s="8" t="n"/>
      <c r="E185" s="8" t="n"/>
      <c r="F185" s="8" t="n"/>
      <c r="G185" s="8" t="n"/>
      <c r="H185" s="8" t="n"/>
      <c r="I185" s="8" t="n"/>
      <c r="J185" s="8" t="n"/>
      <c r="K185" s="8" t="n"/>
      <c r="L185" s="8" t="n"/>
      <c r="M185" s="8" t="n"/>
      <c r="N185" s="8" t="n"/>
      <c r="O185" s="8" t="n"/>
      <c r="P185" s="8" t="n"/>
      <c r="Q185" s="8" t="n"/>
      <c r="R185" s="8" t="n"/>
      <c r="S185" s="8" t="n"/>
    </row>
    <row r="186">
      <c r="B186" s="8">
        <f>IF(C186="","","EV-"&amp;TEXT(ROW()-5,"000"))</f>
        <v/>
      </c>
      <c r="C186" s="8" t="n"/>
      <c r="D186" s="8" t="n"/>
      <c r="E186" s="8" t="n"/>
      <c r="F186" s="8" t="n"/>
      <c r="G186" s="8" t="n"/>
      <c r="H186" s="8" t="n"/>
      <c r="I186" s="8" t="n"/>
      <c r="J186" s="8" t="n"/>
      <c r="K186" s="8" t="n"/>
      <c r="L186" s="8" t="n"/>
      <c r="M186" s="8" t="n"/>
      <c r="N186" s="8" t="n"/>
      <c r="O186" s="8" t="n"/>
      <c r="P186" s="8" t="n"/>
      <c r="Q186" s="8" t="n"/>
      <c r="R186" s="8" t="n"/>
      <c r="S186" s="8" t="n"/>
    </row>
    <row r="187">
      <c r="B187" s="8">
        <f>IF(C187="","","EV-"&amp;TEXT(ROW()-5,"000"))</f>
        <v/>
      </c>
      <c r="C187" s="8" t="n"/>
      <c r="D187" s="8" t="n"/>
      <c r="E187" s="8" t="n"/>
      <c r="F187" s="8" t="n"/>
      <c r="G187" s="8" t="n"/>
      <c r="H187" s="8" t="n"/>
      <c r="I187" s="8" t="n"/>
      <c r="J187" s="8" t="n"/>
      <c r="K187" s="8" t="n"/>
      <c r="L187" s="8" t="n"/>
      <c r="M187" s="8" t="n"/>
      <c r="N187" s="8" t="n"/>
      <c r="O187" s="8" t="n"/>
      <c r="P187" s="8" t="n"/>
      <c r="Q187" s="8" t="n"/>
      <c r="R187" s="8" t="n"/>
      <c r="S187" s="8" t="n"/>
    </row>
    <row r="188">
      <c r="B188" s="8">
        <f>IF(C188="","","EV-"&amp;TEXT(ROW()-5,"000"))</f>
        <v/>
      </c>
      <c r="C188" s="8" t="n"/>
      <c r="D188" s="8" t="n"/>
      <c r="E188" s="8" t="n"/>
      <c r="F188" s="8" t="n"/>
      <c r="G188" s="8" t="n"/>
      <c r="H188" s="8" t="n"/>
      <c r="I188" s="8" t="n"/>
      <c r="J188" s="8" t="n"/>
      <c r="K188" s="8" t="n"/>
      <c r="L188" s="8" t="n"/>
      <c r="M188" s="8" t="n"/>
      <c r="N188" s="8" t="n"/>
      <c r="O188" s="8" t="n"/>
      <c r="P188" s="8" t="n"/>
      <c r="Q188" s="8" t="n"/>
      <c r="R188" s="8" t="n"/>
      <c r="S188" s="8" t="n"/>
    </row>
    <row r="189">
      <c r="B189" s="8">
        <f>IF(C189="","","EV-"&amp;TEXT(ROW()-5,"000"))</f>
        <v/>
      </c>
      <c r="C189" s="8" t="n"/>
      <c r="D189" s="8" t="n"/>
      <c r="E189" s="8" t="n"/>
      <c r="F189" s="8" t="n"/>
      <c r="G189" s="8" t="n"/>
      <c r="H189" s="8" t="n"/>
      <c r="I189" s="8" t="n"/>
      <c r="J189" s="8" t="n"/>
      <c r="K189" s="8" t="n"/>
      <c r="L189" s="8" t="n"/>
      <c r="M189" s="8" t="n"/>
      <c r="N189" s="8" t="n"/>
      <c r="O189" s="8" t="n"/>
      <c r="P189" s="8" t="n"/>
      <c r="Q189" s="8" t="n"/>
      <c r="R189" s="8" t="n"/>
      <c r="S189" s="8" t="n"/>
    </row>
    <row r="190">
      <c r="B190" s="8">
        <f>IF(C190="","","EV-"&amp;TEXT(ROW()-5,"000"))</f>
        <v/>
      </c>
      <c r="C190" s="8" t="n"/>
      <c r="D190" s="8" t="n"/>
      <c r="E190" s="8" t="n"/>
      <c r="F190" s="8" t="n"/>
      <c r="G190" s="8" t="n"/>
      <c r="H190" s="8" t="n"/>
      <c r="I190" s="8" t="n"/>
      <c r="J190" s="8" t="n"/>
      <c r="K190" s="8" t="n"/>
      <c r="L190" s="8" t="n"/>
      <c r="M190" s="8" t="n"/>
      <c r="N190" s="8" t="n"/>
      <c r="O190" s="8" t="n"/>
      <c r="P190" s="8" t="n"/>
      <c r="Q190" s="8" t="n"/>
      <c r="R190" s="8" t="n"/>
      <c r="S190" s="8" t="n"/>
    </row>
    <row r="191">
      <c r="B191" s="8">
        <f>IF(C191="","","EV-"&amp;TEXT(ROW()-5,"000"))</f>
        <v/>
      </c>
      <c r="C191" s="8" t="n"/>
      <c r="D191" s="8" t="n"/>
      <c r="E191" s="8" t="n"/>
      <c r="F191" s="8" t="n"/>
      <c r="G191" s="8" t="n"/>
      <c r="H191" s="8" t="n"/>
      <c r="I191" s="8" t="n"/>
      <c r="J191" s="8" t="n"/>
      <c r="K191" s="8" t="n"/>
      <c r="L191" s="8" t="n"/>
      <c r="M191" s="8" t="n"/>
      <c r="N191" s="8" t="n"/>
      <c r="O191" s="8" t="n"/>
      <c r="P191" s="8" t="n"/>
      <c r="Q191" s="8" t="n"/>
      <c r="R191" s="8" t="n"/>
      <c r="S191" s="8" t="n"/>
    </row>
    <row r="192">
      <c r="B192" s="8">
        <f>IF(C192="","","EV-"&amp;TEXT(ROW()-5,"000"))</f>
        <v/>
      </c>
      <c r="C192" s="8" t="n"/>
      <c r="D192" s="8" t="n"/>
      <c r="E192" s="8" t="n"/>
      <c r="F192" s="8" t="n"/>
      <c r="G192" s="8" t="n"/>
      <c r="H192" s="8" t="n"/>
      <c r="I192" s="8" t="n"/>
      <c r="J192" s="8" t="n"/>
      <c r="K192" s="8" t="n"/>
      <c r="L192" s="8" t="n"/>
      <c r="M192" s="8" t="n"/>
      <c r="N192" s="8" t="n"/>
      <c r="O192" s="8" t="n"/>
      <c r="P192" s="8" t="n"/>
      <c r="Q192" s="8" t="n"/>
      <c r="R192" s="8" t="n"/>
      <c r="S192" s="8" t="n"/>
    </row>
    <row r="193">
      <c r="B193" s="8">
        <f>IF(C193="","","EV-"&amp;TEXT(ROW()-5,"000"))</f>
        <v/>
      </c>
      <c r="C193" s="8" t="n"/>
      <c r="D193" s="8" t="n"/>
      <c r="E193" s="8" t="n"/>
      <c r="F193" s="8" t="n"/>
      <c r="G193" s="8" t="n"/>
      <c r="H193" s="8" t="n"/>
      <c r="I193" s="8" t="n"/>
      <c r="J193" s="8" t="n"/>
      <c r="K193" s="8" t="n"/>
      <c r="L193" s="8" t="n"/>
      <c r="M193" s="8" t="n"/>
      <c r="N193" s="8" t="n"/>
      <c r="O193" s="8" t="n"/>
      <c r="P193" s="8" t="n"/>
      <c r="Q193" s="8" t="n"/>
      <c r="R193" s="8" t="n"/>
      <c r="S193" s="8" t="n"/>
    </row>
    <row r="194">
      <c r="B194" s="8">
        <f>IF(C194="","","EV-"&amp;TEXT(ROW()-5,"000"))</f>
        <v/>
      </c>
      <c r="C194" s="8" t="n"/>
      <c r="D194" s="8" t="n"/>
      <c r="E194" s="8" t="n"/>
      <c r="F194" s="8" t="n"/>
      <c r="G194" s="8" t="n"/>
      <c r="H194" s="8" t="n"/>
      <c r="I194" s="8" t="n"/>
      <c r="J194" s="8" t="n"/>
      <c r="K194" s="8" t="n"/>
      <c r="L194" s="8" t="n"/>
      <c r="M194" s="8" t="n"/>
      <c r="N194" s="8" t="n"/>
      <c r="O194" s="8" t="n"/>
      <c r="P194" s="8" t="n"/>
      <c r="Q194" s="8" t="n"/>
      <c r="R194" s="8" t="n"/>
      <c r="S194" s="8" t="n"/>
    </row>
    <row r="195">
      <c r="B195" s="8">
        <f>IF(C195="","","EV-"&amp;TEXT(ROW()-5,"000"))</f>
        <v/>
      </c>
      <c r="C195" s="8" t="n"/>
      <c r="D195" s="8" t="n"/>
      <c r="E195" s="8" t="n"/>
      <c r="F195" s="8" t="n"/>
      <c r="G195" s="8" t="n"/>
      <c r="H195" s="8" t="n"/>
      <c r="I195" s="8" t="n"/>
      <c r="J195" s="8" t="n"/>
      <c r="K195" s="8" t="n"/>
      <c r="L195" s="8" t="n"/>
      <c r="M195" s="8" t="n"/>
      <c r="N195" s="8" t="n"/>
      <c r="O195" s="8" t="n"/>
      <c r="P195" s="8" t="n"/>
      <c r="Q195" s="8" t="n"/>
      <c r="R195" s="8" t="n"/>
      <c r="S195" s="8" t="n"/>
    </row>
    <row r="196">
      <c r="B196" s="8">
        <f>IF(C196="","","EV-"&amp;TEXT(ROW()-5,"000"))</f>
        <v/>
      </c>
      <c r="C196" s="8" t="n"/>
      <c r="D196" s="8" t="n"/>
      <c r="E196" s="8" t="n"/>
      <c r="F196" s="8" t="n"/>
      <c r="G196" s="8" t="n"/>
      <c r="H196" s="8" t="n"/>
      <c r="I196" s="8" t="n"/>
      <c r="J196" s="8" t="n"/>
      <c r="K196" s="8" t="n"/>
      <c r="L196" s="8" t="n"/>
      <c r="M196" s="8" t="n"/>
      <c r="N196" s="8" t="n"/>
      <c r="O196" s="8" t="n"/>
      <c r="P196" s="8" t="n"/>
      <c r="Q196" s="8" t="n"/>
      <c r="R196" s="8" t="n"/>
      <c r="S196" s="8" t="n"/>
    </row>
    <row r="197">
      <c r="B197" s="8">
        <f>IF(C197="","","EV-"&amp;TEXT(ROW()-5,"000"))</f>
        <v/>
      </c>
      <c r="C197" s="8" t="n"/>
      <c r="D197" s="8" t="n"/>
      <c r="E197" s="8" t="n"/>
      <c r="F197" s="8" t="n"/>
      <c r="G197" s="8" t="n"/>
      <c r="H197" s="8" t="n"/>
      <c r="I197" s="8" t="n"/>
      <c r="J197" s="8" t="n"/>
      <c r="K197" s="8" t="n"/>
      <c r="L197" s="8" t="n"/>
      <c r="M197" s="8" t="n"/>
      <c r="N197" s="8" t="n"/>
      <c r="O197" s="8" t="n"/>
      <c r="P197" s="8" t="n"/>
      <c r="Q197" s="8" t="n"/>
      <c r="R197" s="8" t="n"/>
      <c r="S197" s="8" t="n"/>
    </row>
    <row r="198">
      <c r="B198" s="8">
        <f>IF(C198="","","EV-"&amp;TEXT(ROW()-5,"000"))</f>
        <v/>
      </c>
      <c r="C198" s="8" t="n"/>
      <c r="D198" s="8" t="n"/>
      <c r="E198" s="8" t="n"/>
      <c r="F198" s="8" t="n"/>
      <c r="G198" s="8" t="n"/>
      <c r="H198" s="8" t="n"/>
      <c r="I198" s="8" t="n"/>
      <c r="J198" s="8" t="n"/>
      <c r="K198" s="8" t="n"/>
      <c r="L198" s="8" t="n"/>
      <c r="M198" s="8" t="n"/>
      <c r="N198" s="8" t="n"/>
      <c r="O198" s="8" t="n"/>
      <c r="P198" s="8" t="n"/>
      <c r="Q198" s="8" t="n"/>
      <c r="R198" s="8" t="n"/>
      <c r="S198" s="8" t="n"/>
    </row>
    <row r="199">
      <c r="B199" s="8">
        <f>IF(C199="","","EV-"&amp;TEXT(ROW()-5,"000"))</f>
        <v/>
      </c>
      <c r="C199" s="8" t="n"/>
      <c r="D199" s="8" t="n"/>
      <c r="E199" s="8" t="n"/>
      <c r="F199" s="8" t="n"/>
      <c r="G199" s="8" t="n"/>
      <c r="H199" s="8" t="n"/>
      <c r="I199" s="8" t="n"/>
      <c r="J199" s="8" t="n"/>
      <c r="K199" s="8" t="n"/>
      <c r="L199" s="8" t="n"/>
      <c r="M199" s="8" t="n"/>
      <c r="N199" s="8" t="n"/>
      <c r="O199" s="8" t="n"/>
      <c r="P199" s="8" t="n"/>
      <c r="Q199" s="8" t="n"/>
      <c r="R199" s="8" t="n"/>
      <c r="S199" s="8" t="n"/>
    </row>
    <row r="200">
      <c r="B200" s="8">
        <f>IF(C200="","","EV-"&amp;TEXT(ROW()-5,"000"))</f>
        <v/>
      </c>
      <c r="C200" s="8" t="n"/>
      <c r="D200" s="8" t="n"/>
      <c r="E200" s="8" t="n"/>
      <c r="F200" s="8" t="n"/>
      <c r="G200" s="8" t="n"/>
      <c r="H200" s="8" t="n"/>
      <c r="I200" s="8" t="n"/>
      <c r="J200" s="8" t="n"/>
      <c r="K200" s="8" t="n"/>
      <c r="L200" s="8" t="n"/>
      <c r="M200" s="8" t="n"/>
      <c r="N200" s="8" t="n"/>
      <c r="O200" s="8" t="n"/>
      <c r="P200" s="8" t="n"/>
      <c r="Q200" s="8" t="n"/>
      <c r="R200" s="8" t="n"/>
      <c r="S200" s="8" t="n"/>
    </row>
    <row r="201">
      <c r="B201" s="8">
        <f>IF(C201="","","EV-"&amp;TEXT(ROW()-5,"000"))</f>
        <v/>
      </c>
      <c r="C201" s="8" t="n"/>
      <c r="D201" s="8" t="n"/>
      <c r="E201" s="8" t="n"/>
      <c r="F201" s="8" t="n"/>
      <c r="G201" s="8" t="n"/>
      <c r="H201" s="8" t="n"/>
      <c r="I201" s="8" t="n"/>
      <c r="J201" s="8" t="n"/>
      <c r="K201" s="8" t="n"/>
      <c r="L201" s="8" t="n"/>
      <c r="M201" s="8" t="n"/>
      <c r="N201" s="8" t="n"/>
      <c r="O201" s="8" t="n"/>
      <c r="P201" s="8" t="n"/>
      <c r="Q201" s="8" t="n"/>
      <c r="R201" s="8" t="n"/>
      <c r="S201" s="8" t="n"/>
    </row>
    <row r="202">
      <c r="B202" s="8">
        <f>IF(C202="","","EV-"&amp;TEXT(ROW()-5,"000"))</f>
        <v/>
      </c>
      <c r="C202" s="8" t="n"/>
      <c r="D202" s="8" t="n"/>
      <c r="E202" s="8" t="n"/>
      <c r="F202" s="8" t="n"/>
      <c r="G202" s="8" t="n"/>
      <c r="H202" s="8" t="n"/>
      <c r="I202" s="8" t="n"/>
      <c r="J202" s="8" t="n"/>
      <c r="K202" s="8" t="n"/>
      <c r="L202" s="8" t="n"/>
      <c r="M202" s="8" t="n"/>
      <c r="N202" s="8" t="n"/>
      <c r="O202" s="8" t="n"/>
      <c r="P202" s="8" t="n"/>
      <c r="Q202" s="8" t="n"/>
      <c r="R202" s="8" t="n"/>
      <c r="S202" s="8" t="n"/>
    </row>
    <row r="203">
      <c r="B203" s="8">
        <f>IF(C203="","","EV-"&amp;TEXT(ROW()-5,"000"))</f>
        <v/>
      </c>
      <c r="C203" s="8" t="n"/>
      <c r="D203" s="8" t="n"/>
      <c r="E203" s="8" t="n"/>
      <c r="F203" s="8" t="n"/>
      <c r="G203" s="8" t="n"/>
      <c r="H203" s="8" t="n"/>
      <c r="I203" s="8" t="n"/>
      <c r="J203" s="8" t="n"/>
      <c r="K203" s="8" t="n"/>
      <c r="L203" s="8" t="n"/>
      <c r="M203" s="8" t="n"/>
      <c r="N203" s="8" t="n"/>
      <c r="O203" s="8" t="n"/>
      <c r="P203" s="8" t="n"/>
      <c r="Q203" s="8" t="n"/>
      <c r="R203" s="8" t="n"/>
      <c r="S203" s="8" t="n"/>
    </row>
    <row r="204">
      <c r="B204" s="8">
        <f>IF(C204="","","EV-"&amp;TEXT(ROW()-5,"000"))</f>
        <v/>
      </c>
      <c r="C204" s="8" t="n"/>
      <c r="D204" s="8" t="n"/>
      <c r="E204" s="8" t="n"/>
      <c r="F204" s="8" t="n"/>
      <c r="G204" s="8" t="n"/>
      <c r="H204" s="8" t="n"/>
      <c r="I204" s="8" t="n"/>
      <c r="J204" s="8" t="n"/>
      <c r="K204" s="8" t="n"/>
      <c r="L204" s="8" t="n"/>
      <c r="M204" s="8" t="n"/>
      <c r="N204" s="8" t="n"/>
      <c r="O204" s="8" t="n"/>
      <c r="P204" s="8" t="n"/>
      <c r="Q204" s="8" t="n"/>
      <c r="R204" s="8" t="n"/>
      <c r="S204" s="8" t="n"/>
    </row>
    <row r="205">
      <c r="B205" s="8">
        <f>IF(C205="","","EV-"&amp;TEXT(ROW()-5,"000"))</f>
        <v/>
      </c>
      <c r="C205" s="8" t="n"/>
      <c r="D205" s="8" t="n"/>
      <c r="E205" s="8" t="n"/>
      <c r="F205" s="8" t="n"/>
      <c r="G205" s="8" t="n"/>
      <c r="H205" s="8" t="n"/>
      <c r="I205" s="8" t="n"/>
      <c r="J205" s="8" t="n"/>
      <c r="K205" s="8" t="n"/>
      <c r="L205" s="8" t="n"/>
      <c r="M205" s="8" t="n"/>
      <c r="N205" s="8" t="n"/>
      <c r="O205" s="8" t="n"/>
      <c r="P205" s="8" t="n"/>
      <c r="Q205" s="8" t="n"/>
      <c r="R205" s="8" t="n"/>
      <c r="S205" s="8" t="n"/>
    </row>
  </sheetData>
  <dataValidations count="2">
    <dataValidation sqref="N6:N205" showDropDown="0" showInputMessage="0" showErrorMessage="0" allowBlank="1" errorTitle="Invalid entry" error="Please select from the dropdown" type="list">
      <formula1>=Lists!$E$2:$E$4</formula1>
    </dataValidation>
    <dataValidation sqref="R6:R205" showDropDown="0" showInputMessage="0" showErrorMessage="0" allowBlank="1" errorTitle="Invalid entry" error="Please select from the dropdown" type="list">
      <formula1>=Lists!$E$2:$E$4</formula1>
    </dataValidation>
  </dataValidation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H15"/>
  <sheetViews>
    <sheetView showGridLines="0" workbookViewId="0">
      <selection activeCell="A1" sqref="A1"/>
    </sheetView>
  </sheetViews>
  <sheetFormatPr baseColWidth="8" defaultRowHeight="15"/>
  <cols>
    <col width="4" customWidth="1" min="1" max="1"/>
    <col width="5" customWidth="1" min="2" max="2"/>
    <col width="12" customWidth="1" min="3" max="3"/>
    <col width="70" customWidth="1" min="4" max="4"/>
    <col width="24" customWidth="1" min="5" max="5"/>
    <col width="18" customWidth="1" min="6" max="6"/>
    <col width="26" customWidth="1" min="7" max="7"/>
    <col width="10" customWidth="1" min="8" max="8"/>
  </cols>
  <sheetData>
    <row r="1">
      <c r="A1" s="1" t="inlineStr">
        <is>
          <t>↑</t>
        </is>
      </c>
      <c r="B1" s="2" t="inlineStr">
        <is>
          <t>End-2026 target status assessment and reporting</t>
        </is>
      </c>
    </row>
    <row r="2">
      <c r="B2" s="3" t="inlineStr">
        <is>
          <t>Issues log</t>
        </is>
      </c>
    </row>
    <row r="4">
      <c r="B4" s="6" t="inlineStr">
        <is>
          <t>#</t>
        </is>
      </c>
      <c r="C4" s="6" t="inlineStr">
        <is>
          <t>Date raised</t>
        </is>
      </c>
      <c r="D4" s="6" t="inlineStr">
        <is>
          <t>Issue / question</t>
        </is>
      </c>
      <c r="E4" s="6" t="inlineStr">
        <is>
          <t>Ref / unit</t>
        </is>
      </c>
      <c r="F4" s="6" t="inlineStr">
        <is>
          <t>Owner</t>
        </is>
      </c>
      <c r="G4" s="6" t="inlineStr">
        <is>
          <t>Proposed action</t>
        </is>
      </c>
      <c r="H4" s="6" t="inlineStr">
        <is>
          <t>Status</t>
        </is>
      </c>
    </row>
    <row r="5">
      <c r="B5" s="8" t="n">
        <v>1</v>
      </c>
      <c r="C5" s="17" t="n">
        <v>46300</v>
      </c>
      <c r="D5" s="8" t="inlineStr">
        <is>
          <t>Climate resilience maturity (CL3(a)) and Estate &amp; infrastructure indicators – confirm owner and request with Gerard.</t>
        </is>
      </c>
      <c r="E5" s="8" t="inlineStr">
        <is>
          <t>CL3(a); EI1(a)–(d)</t>
        </is>
      </c>
      <c r="F5" s="8" t="inlineStr">
        <is>
          <t>Stefanus</t>
        </is>
      </c>
      <c r="G5" s="8" t="inlineStr">
        <is>
          <t>Meet Gerard</t>
        </is>
      </c>
      <c r="H5" s="8" t="inlineStr">
        <is>
          <t>Open</t>
        </is>
      </c>
    </row>
    <row r="6">
      <c r="B6" s="8" t="n">
        <v>2</v>
      </c>
      <c r="C6" s="17" t="n">
        <v>46300</v>
      </c>
      <c r="D6" s="8" t="inlineStr">
        <is>
          <t>Confirm whether CGOP, CDEP and CDSS structures have changed since the 2025 master spreadsheet stakeholder mapping.</t>
        </is>
      </c>
      <c r="E6" s="8" t="inlineStr">
        <is>
          <t>Stakeholder map</t>
        </is>
      </c>
      <c r="F6" s="8" t="inlineStr">
        <is>
          <t>Stefanus</t>
        </is>
      </c>
      <c r="G6" s="8" t="inlineStr">
        <is>
          <t>Confirm with team</t>
        </is>
      </c>
      <c r="H6" s="8" t="inlineStr">
        <is>
          <t>Open</t>
        </is>
      </c>
    </row>
    <row r="7">
      <c r="B7" s="8" t="n">
        <v>3</v>
      </c>
      <c r="C7" s="17" t="n">
        <v>46300</v>
      </c>
      <c r="D7" s="8" t="inlineStr">
        <is>
          <t>Business Services split into CIOG (AI) and ESG (nature &amp; biodiversity, waste &amp; circular economy, part of quant. climate leadership) – confirm contacts.</t>
        </is>
      </c>
      <c r="E7" s="8" t="inlineStr">
        <is>
          <t>CIOG; ESG</t>
        </is>
      </c>
      <c r="F7" s="8" t="inlineStr">
        <is>
          <t>TBC</t>
        </is>
      </c>
      <c r="G7" s="8" t="inlineStr">
        <is>
          <t>Confirm contacts</t>
        </is>
      </c>
      <c r="H7" s="8" t="inlineStr">
        <is>
          <t>Open</t>
        </is>
      </c>
    </row>
    <row r="8">
      <c r="B8" s="8" t="n">
        <v>4</v>
      </c>
      <c r="C8" s="17" t="n">
        <v>46300</v>
      </c>
      <c r="D8" s="8" t="inlineStr">
        <is>
          <t>Procurement sits with CFOG (RP1(a) procurement case studies routed to CFOG – Procurement although the Qual sheet names no stakeholder); estate planning centralised in CI&amp;S – requests issued centrally, not to faculties.</t>
        </is>
      </c>
      <c r="E8" s="8" t="inlineStr">
        <is>
          <t>CFOG; CI&amp;S</t>
        </is>
      </c>
      <c r="F8" s="8" t="inlineStr">
        <is>
          <t>—</t>
        </is>
      </c>
      <c r="G8" s="8" t="inlineStr">
        <is>
          <t>Noted</t>
        </is>
      </c>
      <c r="H8" s="8" t="inlineStr">
        <is>
          <t>Closed</t>
        </is>
      </c>
    </row>
    <row r="9">
      <c r="B9" s="8" t="n">
        <v>5</v>
      </c>
      <c r="C9" s="17" t="n">
        <v>46300</v>
      </c>
      <c r="D9" s="8" t="inlineStr">
        <is>
          <t>Chancellery units had SR25 requests but no SR26 qualitative indicator names them – confirm if requests are needed.</t>
        </is>
      </c>
      <c r="E9" s="8" t="inlineStr">
        <is>
          <t>Stakeholder map</t>
        </is>
      </c>
      <c r="F9" s="8" t="inlineStr">
        <is>
          <t>TBC</t>
        </is>
      </c>
      <c r="G9" s="8" t="inlineStr">
        <is>
          <t>Decide</t>
        </is>
      </c>
      <c r="H9" s="8" t="inlineStr">
        <is>
          <t>Open</t>
        </is>
      </c>
    </row>
    <row r="10">
      <c r="B10" s="8" t="n">
        <v>6</v>
      </c>
      <c r="C10" s="17" t="n">
        <v>46300</v>
      </c>
      <c r="D10" s="8" t="inlineStr">
        <is>
          <t>Legal &amp; Risk asked for climate resilience maturity CL3(a), following SR25 (8a(i)/(ii): University Risk 16 Climate Change; flood emergency response plans). CL3(a) is also with CI&amp;S (Gerard) – agree who leads.</t>
        </is>
      </c>
      <c r="E10" s="8" t="inlineStr">
        <is>
          <t>CL3(a); L&amp;R; CI&amp;S</t>
        </is>
      </c>
      <c r="F10" s="8" t="inlineStr">
        <is>
          <t>Stefanus</t>
        </is>
      </c>
      <c r="G10" s="8" t="inlineStr">
        <is>
          <t>Confirm with Gerard</t>
        </is>
      </c>
      <c r="H10" s="8" t="inlineStr">
        <is>
          <t>Open</t>
        </is>
      </c>
    </row>
    <row r="11">
      <c r="B11" s="8" t="n">
        <v>7</v>
      </c>
      <c r="C11" s="17" t="n">
        <v>46300</v>
      </c>
      <c r="D11" s="8" t="inlineStr">
        <is>
          <t>TR2(b) 'Documented progress of strategic initiatives, incl. Impact Accelerators' reuses the TR2(d) case-study wording and has no stakeholder in the Qual sheet – left as-is.</t>
        </is>
      </c>
      <c r="E11" s="8" t="inlineStr">
        <is>
          <t>TR2(b)</t>
        </is>
      </c>
      <c r="F11" s="8" t="inlineStr">
        <is>
          <t>TBC</t>
        </is>
      </c>
      <c r="G11" s="8" t="inlineStr">
        <is>
          <t>Review wording/owner</t>
        </is>
      </c>
      <c r="H11" s="8" t="inlineStr">
        <is>
          <t>Open</t>
        </is>
      </c>
    </row>
    <row r="12">
      <c r="B12" s="8" t="n">
        <v>8</v>
      </c>
      <c r="C12" s="17" t="n">
        <v>46300</v>
      </c>
      <c r="D12" s="8" t="inlineStr">
        <is>
          <t>Several rows in the Qual sheet are quantitative (GHG inventory, intensity, waste, procurement spend %, AUM %, biodiversity metrics) and have no stakeholder – routed to the Databook mapping tab, not requested from units.</t>
        </is>
      </c>
      <c r="E12" s="8" t="inlineStr">
        <is>
          <t>CL1(a)-(b); CL2(b); NB1(a); CE1-2; RP2; RI1(a)</t>
        </is>
      </c>
      <c r="F12" s="8" t="inlineStr">
        <is>
          <t>TBC</t>
        </is>
      </c>
      <c r="G12" s="8" t="inlineStr">
        <is>
          <t>Confirm Databook coverage</t>
        </is>
      </c>
      <c r="H12" s="8" t="inlineStr">
        <is>
          <t>Open</t>
        </is>
      </c>
    </row>
    <row r="13">
      <c r="B13" s="8" t="n">
        <v>9</v>
      </c>
      <c r="C13" s="17" t="n">
        <v>46300</v>
      </c>
      <c r="D13" s="8" t="inlineStr">
        <is>
          <t>Target status rating (Met/Partially met/Not met) retained pending revamp of the traffic-light framework.</t>
        </is>
      </c>
      <c r="E13" s="8" t="inlineStr">
        <is>
          <t>All</t>
        </is>
      </c>
      <c r="F13" s="8" t="inlineStr">
        <is>
          <t>Director, Sustainability</t>
        </is>
      </c>
      <c r="G13" s="8" t="inlineStr">
        <is>
          <t>Update templates once agreed</t>
        </is>
      </c>
      <c r="H13" s="8" t="inlineStr">
        <is>
          <t>Open</t>
        </is>
      </c>
    </row>
    <row r="14">
      <c r="B14" s="8" t="n">
        <v>10</v>
      </c>
      <c r="C14" s="17" t="n">
        <v>46300</v>
      </c>
      <c r="D14" s="8" t="inlineStr">
        <is>
          <t>Due dates are placeholders based on the SR26 approach timeline (stories early Dec; requests due January).</t>
        </is>
      </c>
      <c r="E14" s="8" t="inlineStr">
        <is>
          <t>All</t>
        </is>
      </c>
      <c r="F14" s="8" t="inlineStr">
        <is>
          <t>TBC</t>
        </is>
      </c>
      <c r="G14" s="8" t="inlineStr">
        <is>
          <t>Confirm dates</t>
        </is>
      </c>
      <c r="H14" s="8" t="inlineStr">
        <is>
          <t>Open</t>
        </is>
      </c>
    </row>
    <row r="15">
      <c r="B15" s="8" t="n">
        <v>11</v>
      </c>
      <c r="C15" s="17" t="n">
        <v>46300</v>
      </c>
      <c r="D15" s="8" t="inlineStr">
        <is>
          <t>20 indicators are requested from each faculty (SR25 sent 10). Monitor burden in pilot.</t>
        </is>
      </c>
      <c r="E15" s="8" t="inlineStr">
        <is>
          <t>Faculties</t>
        </is>
      </c>
      <c r="F15" s="8" t="inlineStr">
        <is>
          <t>TBC</t>
        </is>
      </c>
      <c r="G15" s="8" t="inlineStr">
        <is>
          <t>Review after pilot</t>
        </is>
      </c>
      <c r="H15" s="8" t="inlineStr">
        <is>
          <t>Open</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C30"/>
  <sheetViews>
    <sheetView showGridLines="0" workbookViewId="0">
      <selection activeCell="A1" sqref="A1"/>
    </sheetView>
  </sheetViews>
  <sheetFormatPr baseColWidth="8" defaultRowHeight="15"/>
  <cols>
    <col width="4" customWidth="1" min="1" max="1"/>
    <col width="26" customWidth="1" min="2" max="2"/>
    <col width="110" customWidth="1" min="3" max="3"/>
  </cols>
  <sheetData>
    <row r="1">
      <c r="A1" s="1" t="inlineStr">
        <is>
          <t>↑</t>
        </is>
      </c>
      <c r="B1" s="2" t="inlineStr">
        <is>
          <t>2026 Sustainability Report</t>
        </is>
      </c>
    </row>
    <row r="2">
      <c r="B2" s="3" t="inlineStr">
        <is>
          <t>P0. Project overview</t>
        </is>
      </c>
    </row>
    <row r="4">
      <c r="B4" s="11" t="inlineStr">
        <is>
          <t>1. Purpose</t>
        </is>
      </c>
    </row>
    <row r="5" ht="30" customHeight="1">
      <c r="B5" s="4" t="inlineStr">
        <is>
          <t>This workbook</t>
        </is>
      </c>
      <c r="C5" s="5" t="inlineStr">
        <is>
          <t>Single working file for SR26 data collection and project delivery: requirements, requests, responses, scoring, evidence, plus project plan, timeline, comms/web to-do list and content-contributor checklist (P-tabs).</t>
        </is>
      </c>
    </row>
    <row r="6" ht="30" customHeight="1">
      <c r="B6" s="4" t="inlineStr">
        <is>
          <t>SR26 in one line</t>
        </is>
      </c>
      <c r="C6" s="5" t="inlineStr">
        <is>
          <t>Transition-year report covering CY2026: distinguish activity under the former Sustainability Plan 2030 from foundations and early actions after the Sustainability 2030 launch (~20 Oct 2026 TBC). No published traffic lights in 2026.</t>
        </is>
      </c>
    </row>
    <row r="8">
      <c r="B8" s="11" t="inlineStr">
        <is>
          <t>2. Lessons from SR25 and actions for SR26</t>
        </is>
      </c>
    </row>
    <row r="9" ht="30" customHeight="1">
      <c r="B9" s="4" t="inlineStr">
        <is>
          <t>Keep tailored data requests</t>
        </is>
      </c>
      <c r="C9" s="5" t="inlineStr">
        <is>
          <t>SR25 streamlined requests achieved a 100% response rate → keep targeted, faculty-specific requests (see Request wording log); avoid complex requests.</t>
        </is>
      </c>
    </row>
    <row r="10" ht="20" customHeight="1">
      <c r="B10" s="4" t="inlineStr">
        <is>
          <t>Keep independent senior review</t>
        </is>
      </c>
      <c r="C10" s="5" t="inlineStr">
        <is>
          <t>Retain Target Status Review Group as the Sustainability Reporting Review Group (~15 Feb 2027).</t>
        </is>
      </c>
    </row>
    <row r="11" ht="30" customHeight="1">
      <c r="B11" s="4" t="inlineStr">
        <is>
          <t>Strengthen data controls</t>
        </is>
      </c>
      <c r="C11" s="5" t="inlineStr">
        <is>
          <t>Central Evidence register, data owner confirmation (columns Q–R on every request), data source records, Databook alignment.</t>
        </is>
      </c>
    </row>
    <row r="12" ht="20" customHeight="1">
      <c r="B12" s="4" t="inlineStr">
        <is>
          <t>Integrate with Annual Report</t>
        </is>
      </c>
      <c r="C12" s="5" t="inlineStr">
        <is>
          <t>Engage Annual Report team in October; shared dependency map; late operational data (Feb–Mar) on a later pathway.</t>
        </is>
      </c>
    </row>
    <row r="13" ht="20" customHeight="1">
      <c r="B13" s="4" t="inlineStr">
        <is>
          <t>Agree comms roles early</t>
        </is>
      </c>
      <c r="C13" s="5" t="inlineStr">
        <is>
          <t>RASCI with Strategic Communications, comms, digital and design at project start (P2).</t>
        </is>
      </c>
    </row>
    <row r="14" ht="20" customHeight="1">
      <c r="B14" s="4" t="inlineStr">
        <is>
          <t>Plan web and close from the outset</t>
        </is>
      </c>
      <c r="C14" s="5" t="inlineStr">
        <is>
          <t>Year-specific report URL, central landing page, analytics measures agreed before launch, formal retrospective (P3, P2).</t>
        </is>
      </c>
    </row>
    <row r="15" ht="30" customHeight="1">
      <c r="B15" s="4" t="inlineStr">
        <is>
          <t>Simpler project management</t>
        </is>
      </c>
      <c r="C15" s="5" t="inlineStr">
        <is>
          <t>This simplified tracker; induction walkthrough; direct messages for assigned tasks, group channel for shared updates; blocker escalation as a standing meeting item.</t>
        </is>
      </c>
    </row>
    <row r="16" ht="30" customHeight="1">
      <c r="B16" s="4" t="inlineStr">
        <is>
          <t>Follow up non-approval</t>
        </is>
      </c>
      <c r="C16" s="5" t="inlineStr">
        <is>
          <t>SR25: FBE filled in the template but did not approve; Science disagreed with metrics → track 'Owner confirmed' in the Request tracker and chase; offer January support meetings.</t>
        </is>
      </c>
    </row>
    <row r="18">
      <c r="B18" s="11" t="inlineStr">
        <is>
          <t>3. How to use this workbook</t>
        </is>
      </c>
    </row>
    <row r="19" ht="30" customHeight="1">
      <c r="B19" s="4" t="inlineStr">
        <is>
          <t>Records management</t>
        </is>
      </c>
      <c r="C19" s="5" t="inlineStr">
        <is>
          <t>Save on the Sustainability Strategy Team SharePoint (Sustainability report 2026 &gt; Report development). One document owner per working file; notify collaborators when a new version is saved. Avoid extra sub-folders in the data folder.</t>
        </is>
      </c>
    </row>
    <row r="20" ht="30" customHeight="1">
      <c r="B20" s="4" t="inlineStr">
        <is>
          <t>Responses</t>
        </is>
      </c>
      <c r="C20" s="5" t="inlineStr">
        <is>
          <t>Paste returned responses into the Faculties / central-unit tabs without inserting rows inside a block (A1/0.5/T2 formulas look up by Ref).</t>
        </is>
      </c>
    </row>
    <row r="21" ht="20" customHeight="1">
      <c r="B21" s="4" t="inlineStr">
        <is>
          <t>Regenerating</t>
        </is>
      </c>
      <c r="C21" s="5" t="inlineStr">
        <is>
          <t>Templates are generated by build.py – update settings there to add faculties/units, then re-run.</t>
        </is>
      </c>
    </row>
    <row r="23">
      <c r="B23" s="11" t="inlineStr">
        <is>
          <t>4. Key reference documents</t>
        </is>
      </c>
    </row>
    <row r="24" ht="20" customHeight="1">
      <c r="B24" s="4" t="inlineStr">
        <is>
          <t>SR26 approach</t>
        </is>
      </c>
      <c r="C24" s="5" t="inlineStr">
        <is>
          <t>2026 Sustainability reporting approach &amp; target status assessment framework – DRAFT Sep 2026</t>
        </is>
      </c>
    </row>
    <row r="25" ht="45" customHeight="1">
      <c r="B25" s="4" t="inlineStr">
        <is>
          <t>SR25 documents</t>
        </is>
      </c>
      <c r="C25" s="5" t="inlineStr">
        <is>
          <t>SR25 Reporting framework (Jan 2026); Faculty/portfolio engagement plan and comms 2025-26; 2025 end-year reporting master spreadsheet V0.2; Target status review process doc (Jan 2026); Target status assessment (final 18.3.26); SR25 Final (Word); SR25 Project close report and key lessons learnt</t>
        </is>
      </c>
    </row>
    <row r="26" ht="20" customHeight="1">
      <c r="B26" s="4" t="inlineStr">
        <is>
          <t>Targets</t>
        </is>
      </c>
      <c r="C26" s="5" t="inlineStr">
        <is>
          <t>Sustainability 2030 Updated Targets (Not for distribution) – Qual and Quan worksheets</t>
        </is>
      </c>
    </row>
    <row r="28">
      <c r="B28" s="11" t="inlineStr">
        <is>
          <t>5. Team processes</t>
        </is>
      </c>
    </row>
    <row r="29" ht="20" customHeight="1">
      <c r="B29" s="4" t="inlineStr">
        <is>
          <t>Meetings</t>
        </is>
      </c>
      <c r="C29" s="5" t="inlineStr">
        <is>
          <t>Weekly production meeting (SST + comms/design); standing items: progress, blockers/escalation, decisions.</t>
        </is>
      </c>
    </row>
    <row r="30" ht="20" customHeight="1">
      <c r="B30" s="4" t="inlineStr">
        <is>
          <t>Communication</t>
        </is>
      </c>
      <c r="C30" s="5" t="inlineStr">
        <is>
          <t>Direct messages for individual tasks; group channel for shared updates.</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29"/>
  <sheetViews>
    <sheetView showGridLines="0" workbookViewId="0">
      <selection activeCell="A1" sqref="A1"/>
    </sheetView>
  </sheetViews>
  <sheetFormatPr baseColWidth="8" defaultRowHeight="15"/>
  <cols>
    <col width="4" customWidth="1" min="1" max="1"/>
    <col width="26" customWidth="1" min="2" max="2"/>
    <col width="110" customWidth="1" min="3" max="3"/>
  </cols>
  <sheetData>
    <row r="1">
      <c r="A1" s="1" t="inlineStr">
        <is>
          <t>↑</t>
        </is>
      </c>
      <c r="B1" s="2" t="inlineStr">
        <is>
          <t>2026 Sustainability Report</t>
        </is>
      </c>
    </row>
    <row r="2">
      <c r="B2" s="3" t="inlineStr">
        <is>
          <t>P1. SR26 Project plan on a page</t>
        </is>
      </c>
    </row>
    <row r="4">
      <c r="B4" s="11" t="inlineStr">
        <is>
          <t>Project plan on a page</t>
        </is>
      </c>
    </row>
    <row r="5" ht="20" customHeight="1">
      <c r="B5" s="4" t="inlineStr">
        <is>
          <t>Version control</t>
        </is>
      </c>
      <c r="C5" s="5" t="inlineStr">
        <is>
          <t>DRAFT v0.1 – based on SR26 approach (Sep 2026)</t>
        </is>
      </c>
    </row>
    <row r="6" ht="30" customHeight="1">
      <c r="B6" s="4" t="inlineStr">
        <is>
          <t>Context</t>
        </is>
      </c>
      <c r="C6" s="5" t="inlineStr">
        <is>
          <t>The annual Sustainability Report is the University's core public account of sustainability progress. SR26 is a transition report following the refreshed Sustainability 2030 launch (~20 Oct 2026).</t>
        </is>
      </c>
    </row>
    <row r="7" ht="60" customHeight="1">
      <c r="B7" s="4" t="inlineStr">
        <is>
          <t>Objectives / principles</t>
        </is>
      </c>
      <c r="C7" s="5" t="inlineStr">
        <is>
          <t>Accurate and transparent (clear transition-year framing) • Fit-for-purpose (request only what is necessary, available and usable) • Evidence-led (each request linked to an indicator, report use and evidence) • Integrated (Databook is the primary quantitative source) • Reusable (templates and roles for 2027+) • Accessible (one web page per priority area: narrative + case studies) • Credible (independent review; traffic-light ratings deferred to 2027 reporting)</t>
        </is>
      </c>
    </row>
    <row r="8" ht="30" customHeight="1">
      <c r="B8" s="4" t="inlineStr">
        <is>
          <t>Reporting model</t>
        </is>
      </c>
      <c r="C8" s="5" t="inlineStr">
        <is>
          <t>Webpages by priority area; transition-year framing; no published traffic lights (internal ratings only); Databook for quantitative data; targeted qualitative requests; early case-study pipeline; Sustainability Reporting Review Group.</t>
        </is>
      </c>
    </row>
    <row r="9" ht="20" customHeight="1">
      <c r="B9" s="4" t="inlineStr">
        <is>
          <t>Workstreams</t>
        </is>
      </c>
      <c r="C9" s="5" t="inlineStr">
        <is>
          <t>Governance • Data collection &amp; analysis (this workbook) • Content development • Communications &amp; web build</t>
        </is>
      </c>
    </row>
    <row r="10" ht="60" customHeight="1">
      <c r="B10" s="4" t="inlineStr">
        <is>
          <t>Key stakeholders</t>
        </is>
      </c>
      <c r="C10" s="5" t="inlineStr">
        <is>
          <t>Director, Sustainability (decision owner) • COO • VCAG • University Executive • University Council • Investment Management Committee • Sustainability Reporting Review Group • Associate Deans Sustainability • Priority-area working groups • Central data owners (CI&amp;S, CFOG, ESG, CIOG, MRE, Legal &amp; Risk) • Strategic Communications, digital &amp; design • University Annual Report team</t>
        </is>
      </c>
    </row>
    <row r="11" ht="30" customHeight="1">
      <c r="B11" s="4" t="inlineStr">
        <is>
          <t>Phases</t>
        </is>
      </c>
      <c r="C11" s="5" t="inlineStr">
        <is>
          <t>Sep–Oct 2026 Set-up • Oct 2026 Process design &amp; launch • Nov–Dec 2026 Evidence collection • Jan 2027 Drafting &amp; validation • Feb–May 2027 Review &amp; governance • May–Jun 2027 Publication &amp; close-out</t>
        </is>
      </c>
    </row>
    <row r="12" ht="30" customHeight="1">
      <c r="B12" s="4" t="inlineStr">
        <is>
          <t>Outputs</t>
        </is>
      </c>
      <c r="C12" s="5" t="inlineStr">
        <is>
          <t>Requirements matrix • Request templates • Evidence register • Case-study pipeline • Draft report &amp; issues paper • VCAG/UE/Council papers • Report website • Retrospective</t>
        </is>
      </c>
    </row>
    <row r="13" ht="30" customHeight="1">
      <c r="B13" s="4" t="inlineStr">
        <is>
          <t>Success measures</t>
        </is>
      </c>
      <c r="C13" s="5" t="inlineStr">
        <is>
          <t>Response rate • Reporting burden • Project effort • Data-quality issues • Web sessions, users and views • Stakeholder feedback</t>
        </is>
      </c>
    </row>
    <row r="15">
      <c r="B15" s="11" t="inlineStr">
        <is>
          <t>Key risks and controls</t>
        </is>
      </c>
    </row>
    <row r="16" ht="20" customHeight="1">
      <c r="B16" s="4" t="inlineStr">
        <is>
          <t>Full-year implication</t>
        </is>
      </c>
      <c r="C16" s="5" t="inlineStr">
        <is>
          <t>Report implies a full year of progress against targets launched 20 Oct → explicit transition-year framing.</t>
        </is>
      </c>
    </row>
    <row r="17" ht="30" customHeight="1">
      <c r="B17" s="4" t="inlineStr">
        <is>
          <t>Onerous requests</t>
        </is>
      </c>
      <c r="C17" s="5" t="inlineStr">
        <is>
          <t>Requests onerous or non-comparable → necessity and usability test; pilot templates; don't ask for data areas can't hold.</t>
        </is>
      </c>
    </row>
    <row r="18" ht="30" customHeight="1">
      <c r="B18" s="4" t="inlineStr">
        <is>
          <t>Databook overlap</t>
        </is>
      </c>
      <c r="C18" s="5" t="inlineStr">
        <is>
          <t>Databook and narrative requests overlap/conflict → one requirements matrix and evidence register; one source of truth per indicator.</t>
        </is>
      </c>
    </row>
    <row r="19" ht="20" customHeight="1">
      <c r="B19" s="4" t="inlineStr">
        <is>
          <t>New working groups</t>
        </is>
      </c>
      <c r="C19" s="5" t="inlineStr">
        <is>
          <t>Asked to evidence delivery before established → maturity-based 2026 request.</t>
        </is>
      </c>
    </row>
    <row r="20" ht="20" customHeight="1">
      <c r="B20" s="4" t="inlineStr">
        <is>
          <t>Case studies dominate</t>
        </is>
      </c>
      <c r="C20" s="5" t="inlineStr">
        <is>
          <t>→ selection criteria: relevance, evidence, outcome, transferability, balance, permission.</t>
        </is>
      </c>
    </row>
    <row r="21" ht="20" customHeight="1">
      <c r="B21" s="4" t="inlineStr">
        <is>
          <t>Late responses</t>
        </is>
      </c>
      <c r="C21" s="5" t="inlineStr">
        <is>
          <t>→ issue requirements early, support meetings, senior sponsorship, escalate gaps.</t>
        </is>
      </c>
    </row>
    <row r="22" ht="20" customHeight="1">
      <c r="B22" s="4" t="inlineStr">
        <is>
          <t>Review group role</t>
        </is>
      </c>
      <c r="C22" s="5" t="inlineStr">
        <is>
          <t>Unclear without traffic lights → approve review criteria and decision rights in advance.</t>
        </is>
      </c>
    </row>
    <row r="23" ht="20" customHeight="1">
      <c r="B23" s="4" t="inlineStr">
        <is>
          <t>Annual Report divergence</t>
        </is>
      </c>
      <c r="C23" s="5" t="inlineStr">
        <is>
          <t>→ engage in October; shared dependency/data map; reconcile shared figures.</t>
        </is>
      </c>
    </row>
    <row r="25">
      <c r="B25" s="11" t="inlineStr">
        <is>
          <t>Decisions required (from SR26 approach)</t>
        </is>
      </c>
    </row>
    <row r="26" ht="20" customHeight="1">
      <c r="B26" s="4" t="inlineStr">
        <is>
          <t>1. Transition-year model</t>
        </is>
      </c>
      <c r="C26" s="5" t="inlineStr">
        <is>
          <t>Director, Sustainability – Approved (internal traffic lights: sub-decision)</t>
        </is>
      </c>
    </row>
    <row r="27" ht="20" customHeight="1">
      <c r="B27" s="4" t="inlineStr">
        <is>
          <t>2. Evidence &amp; engagement model</t>
        </is>
      </c>
      <c r="C27" s="5" t="inlineStr">
        <is>
          <t>Director, Sustainability – Pending (awaiting Stefanus' WIP)</t>
        </is>
      </c>
    </row>
    <row r="28" ht="20" customHeight="1">
      <c r="B28" s="4" t="inlineStr">
        <is>
          <t>3. Assurance &amp; governance pathway</t>
        </is>
      </c>
      <c r="C28" s="5" t="inlineStr">
        <is>
          <t>Director, Sustainability – Closed</t>
        </is>
      </c>
    </row>
    <row r="29" ht="20" customHeight="1">
      <c r="B29" s="4" t="inlineStr">
        <is>
          <t>4. Modern slavery timeline alignment</t>
        </is>
      </c>
      <c r="C29" s="5" t="inlineStr">
        <is>
          <t>Director, Sustainability (and Head of Procurement) – Open, watch item</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BG49"/>
  <sheetViews>
    <sheetView showGridLines="0" workbookViewId="0">
      <pane xSplit="3" ySplit="9" topLeftCell="D10" activePane="bottomRight" state="frozen"/>
      <selection pane="topRight"/>
      <selection pane="bottomLeft"/>
      <selection pane="bottomRight" activeCell="A1" sqref="A1"/>
    </sheetView>
  </sheetViews>
  <sheetFormatPr baseColWidth="8" defaultRowHeight="15"/>
  <cols>
    <col width="4" customWidth="1" min="1" max="1"/>
    <col width="52" customWidth="1" min="2" max="2"/>
    <col width="22" customWidth="1" min="3" max="3"/>
    <col width="11" customWidth="1" min="4" max="4"/>
    <col width="11" customWidth="1" min="5" max="5"/>
    <col width="14" customWidth="1" min="6" max="6"/>
    <col width="16" customWidth="1" min="7" max="7"/>
    <col width="12" customWidth="1" min="8" max="8"/>
    <col width="14" customWidth="1" min="9" max="9"/>
    <col width="10" customWidth="1" min="10" max="10"/>
    <col width="14" customWidth="1" min="11" max="11"/>
    <col width="3.2" customWidth="1" min="12" max="12"/>
    <col width="3.2" customWidth="1" min="13" max="13"/>
    <col width="3.2" customWidth="1" min="14" max="14"/>
    <col width="3.2" customWidth="1" min="15" max="15"/>
    <col width="3.2" customWidth="1" min="16" max="16"/>
    <col width="3.2" customWidth="1" min="17" max="17"/>
    <col width="3.2" customWidth="1" min="18" max="18"/>
    <col width="3.2" customWidth="1" min="19" max="19"/>
    <col width="3.2" customWidth="1" min="20" max="20"/>
    <col width="3.2" customWidth="1" min="21" max="21"/>
    <col width="3.2" customWidth="1" min="22" max="22"/>
    <col width="3.2" customWidth="1" min="23" max="23"/>
    <col width="3.2" customWidth="1" min="24" max="24"/>
    <col width="3.2" customWidth="1" min="25" max="25"/>
    <col width="3.2" customWidth="1" min="26" max="26"/>
    <col width="3.2" customWidth="1" min="27" max="27"/>
    <col width="3.2" customWidth="1" min="28" max="28"/>
    <col width="3.2" customWidth="1" min="29" max="29"/>
    <col width="3.2" customWidth="1" min="30" max="30"/>
    <col width="3.2" customWidth="1" min="31" max="31"/>
    <col width="3.2" customWidth="1" min="32" max="32"/>
    <col width="3.2" customWidth="1" min="33" max="33"/>
    <col width="3.2" customWidth="1" min="34" max="34"/>
    <col width="3.2" customWidth="1" min="35" max="35"/>
    <col width="3.2" customWidth="1" min="36" max="36"/>
    <col width="3.2" customWidth="1" min="37" max="37"/>
    <col width="3.2" customWidth="1" min="38" max="38"/>
    <col width="3.2" customWidth="1" min="39" max="39"/>
    <col width="3.2" customWidth="1" min="40" max="40"/>
    <col width="3.2" customWidth="1" min="41" max="41"/>
    <col width="3.2" customWidth="1" min="42" max="42"/>
    <col width="3.2" customWidth="1" min="43" max="43"/>
    <col width="3.2" customWidth="1" min="44" max="44"/>
    <col width="3.2" customWidth="1" min="45" max="45"/>
    <col width="3.2" customWidth="1" min="46" max="46"/>
    <col width="3.2" customWidth="1" min="47" max="47"/>
    <col width="3.2" customWidth="1" min="48" max="48"/>
    <col width="3.2" customWidth="1" min="49" max="49"/>
    <col width="3.2" customWidth="1" min="50" max="50"/>
    <col width="3.2" customWidth="1" min="51" max="51"/>
    <col width="3.2" customWidth="1" min="52" max="52"/>
    <col width="3.2" customWidth="1" min="53" max="53"/>
    <col width="3.2" customWidth="1" min="54" max="54"/>
    <col width="3.2" customWidth="1" min="55" max="55"/>
    <col width="3.2" customWidth="1" min="56" max="56"/>
    <col width="3.2" customWidth="1" min="57" max="57"/>
    <col width="3.2" customWidth="1" min="58" max="58"/>
    <col width="3.2" customWidth="1" min="59" max="59"/>
  </cols>
  <sheetData>
    <row r="1">
      <c r="A1" s="1" t="inlineStr">
        <is>
          <t>↑</t>
        </is>
      </c>
      <c r="B1" s="2" t="inlineStr">
        <is>
          <t>2026 Sustainability Report</t>
        </is>
      </c>
    </row>
    <row r="2">
      <c r="B2" s="3" t="inlineStr">
        <is>
          <t>P2. Timeline, RASCI &amp; task register</t>
        </is>
      </c>
    </row>
    <row r="3">
      <c r="B3" s="9" t="inlineStr">
        <is>
          <t>Indicative dates from the SR26 approach – confirm governance dates with governance offices. Gantt bars fill automatically from Start/End.</t>
        </is>
      </c>
    </row>
    <row r="8">
      <c r="L8" s="15" t="inlineStr">
        <is>
          <t>Sep</t>
        </is>
      </c>
      <c r="M8" s="15" t="inlineStr"/>
      <c r="N8" s="15" t="inlineStr"/>
      <c r="O8" s="15" t="inlineStr"/>
      <c r="P8" s="15" t="inlineStr">
        <is>
          <t>Oct</t>
        </is>
      </c>
      <c r="Q8" s="15" t="inlineStr"/>
      <c r="R8" s="15" t="inlineStr"/>
      <c r="S8" s="15" t="inlineStr"/>
      <c r="T8" s="15" t="inlineStr">
        <is>
          <t>Nov</t>
        </is>
      </c>
      <c r="U8" s="15" t="inlineStr"/>
      <c r="V8" s="15" t="inlineStr"/>
      <c r="W8" s="15" t="inlineStr"/>
      <c r="X8" s="15" t="inlineStr"/>
      <c r="Y8" s="15" t="inlineStr">
        <is>
          <t>Dec</t>
        </is>
      </c>
      <c r="Z8" s="15" t="inlineStr"/>
      <c r="AA8" s="15" t="inlineStr"/>
      <c r="AB8" s="15" t="inlineStr"/>
      <c r="AC8" s="15" t="inlineStr">
        <is>
          <t>Jan</t>
        </is>
      </c>
      <c r="AD8" s="15" t="inlineStr"/>
      <c r="AE8" s="15" t="inlineStr"/>
      <c r="AF8" s="15" t="inlineStr"/>
      <c r="AG8" s="15" t="inlineStr">
        <is>
          <t>Feb</t>
        </is>
      </c>
      <c r="AH8" s="15" t="inlineStr"/>
      <c r="AI8" s="15" t="inlineStr"/>
      <c r="AJ8" s="15" t="inlineStr"/>
      <c r="AK8" s="15" t="inlineStr">
        <is>
          <t>Mar</t>
        </is>
      </c>
      <c r="AL8" s="15" t="inlineStr"/>
      <c r="AM8" s="15" t="inlineStr"/>
      <c r="AN8" s="15" t="inlineStr"/>
      <c r="AO8" s="15" t="inlineStr"/>
      <c r="AP8" s="15" t="inlineStr">
        <is>
          <t>Apr</t>
        </is>
      </c>
      <c r="AQ8" s="15" t="inlineStr"/>
      <c r="AR8" s="15" t="inlineStr"/>
      <c r="AS8" s="15" t="inlineStr"/>
      <c r="AT8" s="15" t="inlineStr">
        <is>
          <t>May</t>
        </is>
      </c>
      <c r="AU8" s="15" t="inlineStr"/>
      <c r="AV8" s="15" t="inlineStr"/>
      <c r="AW8" s="15" t="inlineStr"/>
      <c r="AX8" s="15" t="inlineStr"/>
      <c r="AY8" s="15" t="inlineStr">
        <is>
          <t>Jun</t>
        </is>
      </c>
      <c r="AZ8" s="15" t="inlineStr"/>
      <c r="BA8" s="15" t="inlineStr"/>
      <c r="BB8" s="15" t="inlineStr"/>
      <c r="BC8" s="15" t="inlineStr">
        <is>
          <t>Jul</t>
        </is>
      </c>
      <c r="BD8" s="15" t="inlineStr"/>
      <c r="BE8" s="15" t="inlineStr"/>
      <c r="BF8" s="15" t="inlineStr"/>
      <c r="BG8" s="15" t="inlineStr">
        <is>
          <t>Aug</t>
        </is>
      </c>
    </row>
    <row r="9">
      <c r="B9" s="6" t="inlineStr">
        <is>
          <t>Phase / key activity</t>
        </is>
      </c>
      <c r="C9" s="6" t="inlineStr">
        <is>
          <t>Key milestone</t>
        </is>
      </c>
      <c r="D9" s="6" t="inlineStr">
        <is>
          <t>Start</t>
        </is>
      </c>
      <c r="E9" s="6" t="inlineStr">
        <is>
          <t>End</t>
        </is>
      </c>
      <c r="F9" s="6" t="inlineStr">
        <is>
          <t>R</t>
        </is>
      </c>
      <c r="G9" s="6" t="inlineStr">
        <is>
          <t>A</t>
        </is>
      </c>
      <c r="H9" s="6" t="inlineStr">
        <is>
          <t>S</t>
        </is>
      </c>
      <c r="I9" s="6" t="inlineStr">
        <is>
          <t>C/I</t>
        </is>
      </c>
      <c r="J9" s="6" t="inlineStr">
        <is>
          <t>Priority</t>
        </is>
      </c>
      <c r="K9" s="6" t="inlineStr">
        <is>
          <t>Status</t>
        </is>
      </c>
      <c r="L9" s="44" t="n">
        <v>46272</v>
      </c>
      <c r="M9" s="44" t="n">
        <v>46279</v>
      </c>
      <c r="N9" s="44" t="n">
        <v>46286</v>
      </c>
      <c r="O9" s="44" t="n">
        <v>46293</v>
      </c>
      <c r="P9" s="44" t="n">
        <v>46300</v>
      </c>
      <c r="Q9" s="44" t="n">
        <v>46307</v>
      </c>
      <c r="R9" s="44" t="n">
        <v>46314</v>
      </c>
      <c r="S9" s="44" t="n">
        <v>46321</v>
      </c>
      <c r="T9" s="44" t="n">
        <v>46328</v>
      </c>
      <c r="U9" s="44" t="n">
        <v>46335</v>
      </c>
      <c r="V9" s="44" t="n">
        <v>46342</v>
      </c>
      <c r="W9" s="44" t="n">
        <v>46349</v>
      </c>
      <c r="X9" s="44" t="n">
        <v>46356</v>
      </c>
      <c r="Y9" s="44" t="n">
        <v>46363</v>
      </c>
      <c r="Z9" s="44" t="n">
        <v>46370</v>
      </c>
      <c r="AA9" s="44" t="n">
        <v>46377</v>
      </c>
      <c r="AB9" s="44" t="n">
        <v>46384</v>
      </c>
      <c r="AC9" s="44" t="n">
        <v>46391</v>
      </c>
      <c r="AD9" s="44" t="n">
        <v>46398</v>
      </c>
      <c r="AE9" s="44" t="n">
        <v>46405</v>
      </c>
      <c r="AF9" s="44" t="n">
        <v>46412</v>
      </c>
      <c r="AG9" s="44" t="n">
        <v>46419</v>
      </c>
      <c r="AH9" s="44" t="n">
        <v>46426</v>
      </c>
      <c r="AI9" s="44" t="n">
        <v>46433</v>
      </c>
      <c r="AJ9" s="44" t="n">
        <v>46440</v>
      </c>
      <c r="AK9" s="44" t="n">
        <v>46447</v>
      </c>
      <c r="AL9" s="44" t="n">
        <v>46454</v>
      </c>
      <c r="AM9" s="44" t="n">
        <v>46461</v>
      </c>
      <c r="AN9" s="44" t="n">
        <v>46468</v>
      </c>
      <c r="AO9" s="44" t="n">
        <v>46475</v>
      </c>
      <c r="AP9" s="44" t="n">
        <v>46482</v>
      </c>
      <c r="AQ9" s="44" t="n">
        <v>46489</v>
      </c>
      <c r="AR9" s="44" t="n">
        <v>46496</v>
      </c>
      <c r="AS9" s="44" t="n">
        <v>46503</v>
      </c>
      <c r="AT9" s="44" t="n">
        <v>46510</v>
      </c>
      <c r="AU9" s="44" t="n">
        <v>46517</v>
      </c>
      <c r="AV9" s="44" t="n">
        <v>46524</v>
      </c>
      <c r="AW9" s="44" t="n">
        <v>46531</v>
      </c>
      <c r="AX9" s="44" t="n">
        <v>46538</v>
      </c>
      <c r="AY9" s="44" t="n">
        <v>46545</v>
      </c>
      <c r="AZ9" s="44" t="n">
        <v>46552</v>
      </c>
      <c r="BA9" s="44" t="n">
        <v>46559</v>
      </c>
      <c r="BB9" s="44" t="n">
        <v>46566</v>
      </c>
      <c r="BC9" s="44" t="n">
        <v>46573</v>
      </c>
      <c r="BD9" s="44" t="n">
        <v>46580</v>
      </c>
      <c r="BE9" s="44" t="n">
        <v>46587</v>
      </c>
      <c r="BF9" s="44" t="n">
        <v>46594</v>
      </c>
      <c r="BG9" s="44" t="n">
        <v>46601</v>
      </c>
    </row>
    <row r="10">
      <c r="B10" s="45" t="inlineStr">
        <is>
          <t>Project set-up (Sep–Oct 2026)</t>
        </is>
      </c>
      <c r="C10" s="46" t="n"/>
      <c r="D10" s="46" t="n"/>
      <c r="E10" s="46" t="n"/>
      <c r="F10" s="46" t="n"/>
      <c r="G10" s="46" t="n"/>
      <c r="H10" s="46" t="n"/>
      <c r="I10" s="46" t="n"/>
      <c r="J10" s="46" t="n"/>
      <c r="K10" s="46" t="n"/>
      <c r="L10" s="46" t="n"/>
      <c r="M10" s="46" t="n"/>
      <c r="N10" s="46" t="n"/>
      <c r="O10" s="46" t="n"/>
      <c r="P10" s="46" t="n"/>
      <c r="Q10" s="46" t="n"/>
      <c r="R10" s="46" t="n"/>
      <c r="S10" s="46" t="n"/>
      <c r="T10" s="46" t="n"/>
      <c r="U10" s="46" t="n"/>
      <c r="V10" s="46" t="n"/>
      <c r="W10" s="46" t="n"/>
      <c r="X10" s="46" t="n"/>
      <c r="Y10" s="46" t="n"/>
      <c r="Z10" s="46" t="n"/>
      <c r="AA10" s="46" t="n"/>
      <c r="AB10" s="46" t="n"/>
      <c r="AC10" s="46" t="n"/>
      <c r="AD10" s="46" t="n"/>
      <c r="AE10" s="46" t="n"/>
      <c r="AF10" s="46" t="n"/>
      <c r="AG10" s="46" t="n"/>
      <c r="AH10" s="46" t="n"/>
      <c r="AI10" s="46" t="n"/>
      <c r="AJ10" s="46" t="n"/>
      <c r="AK10" s="46" t="n"/>
      <c r="AL10" s="46" t="n"/>
      <c r="AM10" s="46" t="n"/>
      <c r="AN10" s="46" t="n"/>
      <c r="AO10" s="46" t="n"/>
      <c r="AP10" s="46" t="n"/>
      <c r="AQ10" s="46" t="n"/>
      <c r="AR10" s="46" t="n"/>
      <c r="AS10" s="46" t="n"/>
      <c r="AT10" s="46" t="n"/>
      <c r="AU10" s="46" t="n"/>
      <c r="AV10" s="46" t="n"/>
      <c r="AW10" s="46" t="n"/>
      <c r="AX10" s="46" t="n"/>
      <c r="AY10" s="46" t="n"/>
      <c r="AZ10" s="46" t="n"/>
      <c r="BA10" s="46" t="n"/>
      <c r="BB10" s="46" t="n"/>
      <c r="BC10" s="46" t="n"/>
      <c r="BD10" s="46" t="n"/>
      <c r="BE10" s="46" t="n"/>
      <c r="BF10" s="46" t="n"/>
      <c r="BG10" s="46" t="n"/>
    </row>
    <row r="11">
      <c r="B11" s="8" t="inlineStr">
        <is>
          <t>Confirm scope, reporting model, governance pathway and decisions</t>
        </is>
      </c>
      <c r="C11" s="8" t="inlineStr">
        <is>
          <t>Decision log</t>
        </is>
      </c>
      <c r="D11" s="17" t="n">
        <v>46279</v>
      </c>
      <c r="E11" s="17" t="n">
        <v>46311</v>
      </c>
      <c r="F11" s="8" t="inlineStr">
        <is>
          <t>SST</t>
        </is>
      </c>
      <c r="G11" s="8" t="inlineStr">
        <is>
          <t>Director, Sustainability</t>
        </is>
      </c>
      <c r="H11" s="8" t="inlineStr"/>
      <c r="I11" s="8" t="inlineStr">
        <is>
          <t>VCAG (I)</t>
        </is>
      </c>
      <c r="J11" s="8" t="inlineStr">
        <is>
          <t>High</t>
        </is>
      </c>
      <c r="K11" s="8" t="inlineStr">
        <is>
          <t>Not yet started</t>
        </is>
      </c>
      <c r="L11">
        <f>IF(AND(L$9+6&gt;=$D11,L$9&lt;=$E11),1,"")</f>
        <v/>
      </c>
      <c r="M11">
        <f>IF(AND(M$9+6&gt;=$D11,M$9&lt;=$E11),1,"")</f>
        <v/>
      </c>
      <c r="N11">
        <f>IF(AND(N$9+6&gt;=$D11,N$9&lt;=$E11),1,"")</f>
        <v/>
      </c>
      <c r="O11">
        <f>IF(AND(O$9+6&gt;=$D11,O$9&lt;=$E11),1,"")</f>
        <v/>
      </c>
      <c r="P11">
        <f>IF(AND(P$9+6&gt;=$D11,P$9&lt;=$E11),1,"")</f>
        <v/>
      </c>
      <c r="Q11">
        <f>IF(AND(Q$9+6&gt;=$D11,Q$9&lt;=$E11),1,"")</f>
        <v/>
      </c>
      <c r="R11">
        <f>IF(AND(R$9+6&gt;=$D11,R$9&lt;=$E11),1,"")</f>
        <v/>
      </c>
      <c r="S11">
        <f>IF(AND(S$9+6&gt;=$D11,S$9&lt;=$E11),1,"")</f>
        <v/>
      </c>
      <c r="T11">
        <f>IF(AND(T$9+6&gt;=$D11,T$9&lt;=$E11),1,"")</f>
        <v/>
      </c>
      <c r="U11">
        <f>IF(AND(U$9+6&gt;=$D11,U$9&lt;=$E11),1,"")</f>
        <v/>
      </c>
      <c r="V11">
        <f>IF(AND(V$9+6&gt;=$D11,V$9&lt;=$E11),1,"")</f>
        <v/>
      </c>
      <c r="W11">
        <f>IF(AND(W$9+6&gt;=$D11,W$9&lt;=$E11),1,"")</f>
        <v/>
      </c>
      <c r="X11">
        <f>IF(AND(X$9+6&gt;=$D11,X$9&lt;=$E11),1,"")</f>
        <v/>
      </c>
      <c r="Y11">
        <f>IF(AND(Y$9+6&gt;=$D11,Y$9&lt;=$E11),1,"")</f>
        <v/>
      </c>
      <c r="Z11">
        <f>IF(AND(Z$9+6&gt;=$D11,Z$9&lt;=$E11),1,"")</f>
        <v/>
      </c>
      <c r="AA11">
        <f>IF(AND(AA$9+6&gt;=$D11,AA$9&lt;=$E11),1,"")</f>
        <v/>
      </c>
      <c r="AB11">
        <f>IF(AND(AB$9+6&gt;=$D11,AB$9&lt;=$E11),1,"")</f>
        <v/>
      </c>
      <c r="AC11">
        <f>IF(AND(AC$9+6&gt;=$D11,AC$9&lt;=$E11),1,"")</f>
        <v/>
      </c>
      <c r="AD11">
        <f>IF(AND(AD$9+6&gt;=$D11,AD$9&lt;=$E11),1,"")</f>
        <v/>
      </c>
      <c r="AE11">
        <f>IF(AND(AE$9+6&gt;=$D11,AE$9&lt;=$E11),1,"")</f>
        <v/>
      </c>
      <c r="AF11">
        <f>IF(AND(AF$9+6&gt;=$D11,AF$9&lt;=$E11),1,"")</f>
        <v/>
      </c>
      <c r="AG11">
        <f>IF(AND(AG$9+6&gt;=$D11,AG$9&lt;=$E11),1,"")</f>
        <v/>
      </c>
      <c r="AH11">
        <f>IF(AND(AH$9+6&gt;=$D11,AH$9&lt;=$E11),1,"")</f>
        <v/>
      </c>
      <c r="AI11">
        <f>IF(AND(AI$9+6&gt;=$D11,AI$9&lt;=$E11),1,"")</f>
        <v/>
      </c>
      <c r="AJ11">
        <f>IF(AND(AJ$9+6&gt;=$D11,AJ$9&lt;=$E11),1,"")</f>
        <v/>
      </c>
      <c r="AK11">
        <f>IF(AND(AK$9+6&gt;=$D11,AK$9&lt;=$E11),1,"")</f>
        <v/>
      </c>
      <c r="AL11">
        <f>IF(AND(AL$9+6&gt;=$D11,AL$9&lt;=$E11),1,"")</f>
        <v/>
      </c>
      <c r="AM11">
        <f>IF(AND(AM$9+6&gt;=$D11,AM$9&lt;=$E11),1,"")</f>
        <v/>
      </c>
      <c r="AN11">
        <f>IF(AND(AN$9+6&gt;=$D11,AN$9&lt;=$E11),1,"")</f>
        <v/>
      </c>
      <c r="AO11">
        <f>IF(AND(AO$9+6&gt;=$D11,AO$9&lt;=$E11),1,"")</f>
        <v/>
      </c>
      <c r="AP11">
        <f>IF(AND(AP$9+6&gt;=$D11,AP$9&lt;=$E11),1,"")</f>
        <v/>
      </c>
      <c r="AQ11">
        <f>IF(AND(AQ$9+6&gt;=$D11,AQ$9&lt;=$E11),1,"")</f>
        <v/>
      </c>
      <c r="AR11">
        <f>IF(AND(AR$9+6&gt;=$D11,AR$9&lt;=$E11),1,"")</f>
        <v/>
      </c>
      <c r="AS11">
        <f>IF(AND(AS$9+6&gt;=$D11,AS$9&lt;=$E11),1,"")</f>
        <v/>
      </c>
      <c r="AT11">
        <f>IF(AND(AT$9+6&gt;=$D11,AT$9&lt;=$E11),1,"")</f>
        <v/>
      </c>
      <c r="AU11">
        <f>IF(AND(AU$9+6&gt;=$D11,AU$9&lt;=$E11),1,"")</f>
        <v/>
      </c>
      <c r="AV11">
        <f>IF(AND(AV$9+6&gt;=$D11,AV$9&lt;=$E11),1,"")</f>
        <v/>
      </c>
      <c r="AW11">
        <f>IF(AND(AW$9+6&gt;=$D11,AW$9&lt;=$E11),1,"")</f>
        <v/>
      </c>
      <c r="AX11">
        <f>IF(AND(AX$9+6&gt;=$D11,AX$9&lt;=$E11),1,"")</f>
        <v/>
      </c>
      <c r="AY11">
        <f>IF(AND(AY$9+6&gt;=$D11,AY$9&lt;=$E11),1,"")</f>
        <v/>
      </c>
      <c r="AZ11">
        <f>IF(AND(AZ$9+6&gt;=$D11,AZ$9&lt;=$E11),1,"")</f>
        <v/>
      </c>
      <c r="BA11">
        <f>IF(AND(BA$9+6&gt;=$D11,BA$9&lt;=$E11),1,"")</f>
        <v/>
      </c>
      <c r="BB11">
        <f>IF(AND(BB$9+6&gt;=$D11,BB$9&lt;=$E11),1,"")</f>
        <v/>
      </c>
      <c r="BC11">
        <f>IF(AND(BC$9+6&gt;=$D11,BC$9&lt;=$E11),1,"")</f>
        <v/>
      </c>
      <c r="BD11">
        <f>IF(AND(BD$9+6&gt;=$D11,BD$9&lt;=$E11),1,"")</f>
        <v/>
      </c>
      <c r="BE11">
        <f>IF(AND(BE$9+6&gt;=$D11,BE$9&lt;=$E11),1,"")</f>
        <v/>
      </c>
      <c r="BF11">
        <f>IF(AND(BF$9+6&gt;=$D11,BF$9&lt;=$E11),1,"")</f>
        <v/>
      </c>
      <c r="BG11">
        <f>IF(AND(BG$9+6&gt;=$D11,BG$9&lt;=$E11),1,"")</f>
        <v/>
      </c>
    </row>
    <row r="12">
      <c r="B12" s="8" t="inlineStr">
        <is>
          <t>Project charter, schedule, RASCI, decision log, issues register</t>
        </is>
      </c>
      <c r="C12" s="8" t="inlineStr">
        <is>
          <t>Approved by Oct</t>
        </is>
      </c>
      <c r="D12" s="17" t="n">
        <v>46293</v>
      </c>
      <c r="E12" s="17" t="n">
        <v>46318</v>
      </c>
      <c r="F12" s="8" t="inlineStr">
        <is>
          <t>SST</t>
        </is>
      </c>
      <c r="G12" s="8" t="inlineStr">
        <is>
          <t>Director, Sustainability</t>
        </is>
      </c>
      <c r="H12" s="8" t="inlineStr"/>
      <c r="I12" s="8" t="inlineStr">
        <is>
          <t>Comms, design</t>
        </is>
      </c>
      <c r="J12" s="8" t="inlineStr">
        <is>
          <t>High</t>
        </is>
      </c>
      <c r="K12" s="8" t="inlineStr">
        <is>
          <t>Not yet started</t>
        </is>
      </c>
      <c r="L12">
        <f>IF(AND(L$9+6&gt;=$D12,L$9&lt;=$E12),1,"")</f>
        <v/>
      </c>
      <c r="M12">
        <f>IF(AND(M$9+6&gt;=$D12,M$9&lt;=$E12),1,"")</f>
        <v/>
      </c>
      <c r="N12">
        <f>IF(AND(N$9+6&gt;=$D12,N$9&lt;=$E12),1,"")</f>
        <v/>
      </c>
      <c r="O12">
        <f>IF(AND(O$9+6&gt;=$D12,O$9&lt;=$E12),1,"")</f>
        <v/>
      </c>
      <c r="P12">
        <f>IF(AND(P$9+6&gt;=$D12,P$9&lt;=$E12),1,"")</f>
        <v/>
      </c>
      <c r="Q12">
        <f>IF(AND(Q$9+6&gt;=$D12,Q$9&lt;=$E12),1,"")</f>
        <v/>
      </c>
      <c r="R12">
        <f>IF(AND(R$9+6&gt;=$D12,R$9&lt;=$E12),1,"")</f>
        <v/>
      </c>
      <c r="S12">
        <f>IF(AND(S$9+6&gt;=$D12,S$9&lt;=$E12),1,"")</f>
        <v/>
      </c>
      <c r="T12">
        <f>IF(AND(T$9+6&gt;=$D12,T$9&lt;=$E12),1,"")</f>
        <v/>
      </c>
      <c r="U12">
        <f>IF(AND(U$9+6&gt;=$D12,U$9&lt;=$E12),1,"")</f>
        <v/>
      </c>
      <c r="V12">
        <f>IF(AND(V$9+6&gt;=$D12,V$9&lt;=$E12),1,"")</f>
        <v/>
      </c>
      <c r="W12">
        <f>IF(AND(W$9+6&gt;=$D12,W$9&lt;=$E12),1,"")</f>
        <v/>
      </c>
      <c r="X12">
        <f>IF(AND(X$9+6&gt;=$D12,X$9&lt;=$E12),1,"")</f>
        <v/>
      </c>
      <c r="Y12">
        <f>IF(AND(Y$9+6&gt;=$D12,Y$9&lt;=$E12),1,"")</f>
        <v/>
      </c>
      <c r="Z12">
        <f>IF(AND(Z$9+6&gt;=$D12,Z$9&lt;=$E12),1,"")</f>
        <v/>
      </c>
      <c r="AA12">
        <f>IF(AND(AA$9+6&gt;=$D12,AA$9&lt;=$E12),1,"")</f>
        <v/>
      </c>
      <c r="AB12">
        <f>IF(AND(AB$9+6&gt;=$D12,AB$9&lt;=$E12),1,"")</f>
        <v/>
      </c>
      <c r="AC12">
        <f>IF(AND(AC$9+6&gt;=$D12,AC$9&lt;=$E12),1,"")</f>
        <v/>
      </c>
      <c r="AD12">
        <f>IF(AND(AD$9+6&gt;=$D12,AD$9&lt;=$E12),1,"")</f>
        <v/>
      </c>
      <c r="AE12">
        <f>IF(AND(AE$9+6&gt;=$D12,AE$9&lt;=$E12),1,"")</f>
        <v/>
      </c>
      <c r="AF12">
        <f>IF(AND(AF$9+6&gt;=$D12,AF$9&lt;=$E12),1,"")</f>
        <v/>
      </c>
      <c r="AG12">
        <f>IF(AND(AG$9+6&gt;=$D12,AG$9&lt;=$E12),1,"")</f>
        <v/>
      </c>
      <c r="AH12">
        <f>IF(AND(AH$9+6&gt;=$D12,AH$9&lt;=$E12),1,"")</f>
        <v/>
      </c>
      <c r="AI12">
        <f>IF(AND(AI$9+6&gt;=$D12,AI$9&lt;=$E12),1,"")</f>
        <v/>
      </c>
      <c r="AJ12">
        <f>IF(AND(AJ$9+6&gt;=$D12,AJ$9&lt;=$E12),1,"")</f>
        <v/>
      </c>
      <c r="AK12">
        <f>IF(AND(AK$9+6&gt;=$D12,AK$9&lt;=$E12),1,"")</f>
        <v/>
      </c>
      <c r="AL12">
        <f>IF(AND(AL$9+6&gt;=$D12,AL$9&lt;=$E12),1,"")</f>
        <v/>
      </c>
      <c r="AM12">
        <f>IF(AND(AM$9+6&gt;=$D12,AM$9&lt;=$E12),1,"")</f>
        <v/>
      </c>
      <c r="AN12">
        <f>IF(AND(AN$9+6&gt;=$D12,AN$9&lt;=$E12),1,"")</f>
        <v/>
      </c>
      <c r="AO12">
        <f>IF(AND(AO$9+6&gt;=$D12,AO$9&lt;=$E12),1,"")</f>
        <v/>
      </c>
      <c r="AP12">
        <f>IF(AND(AP$9+6&gt;=$D12,AP$9&lt;=$E12),1,"")</f>
        <v/>
      </c>
      <c r="AQ12">
        <f>IF(AND(AQ$9+6&gt;=$D12,AQ$9&lt;=$E12),1,"")</f>
        <v/>
      </c>
      <c r="AR12">
        <f>IF(AND(AR$9+6&gt;=$D12,AR$9&lt;=$E12),1,"")</f>
        <v/>
      </c>
      <c r="AS12">
        <f>IF(AND(AS$9+6&gt;=$D12,AS$9&lt;=$E12),1,"")</f>
        <v/>
      </c>
      <c r="AT12">
        <f>IF(AND(AT$9+6&gt;=$D12,AT$9&lt;=$E12),1,"")</f>
        <v/>
      </c>
      <c r="AU12">
        <f>IF(AND(AU$9+6&gt;=$D12,AU$9&lt;=$E12),1,"")</f>
        <v/>
      </c>
      <c r="AV12">
        <f>IF(AND(AV$9+6&gt;=$D12,AV$9&lt;=$E12),1,"")</f>
        <v/>
      </c>
      <c r="AW12">
        <f>IF(AND(AW$9+6&gt;=$D12,AW$9&lt;=$E12),1,"")</f>
        <v/>
      </c>
      <c r="AX12">
        <f>IF(AND(AX$9+6&gt;=$D12,AX$9&lt;=$E12),1,"")</f>
        <v/>
      </c>
      <c r="AY12">
        <f>IF(AND(AY$9+6&gt;=$D12,AY$9&lt;=$E12),1,"")</f>
        <v/>
      </c>
      <c r="AZ12">
        <f>IF(AND(AZ$9+6&gt;=$D12,AZ$9&lt;=$E12),1,"")</f>
        <v/>
      </c>
      <c r="BA12">
        <f>IF(AND(BA$9+6&gt;=$D12,BA$9&lt;=$E12),1,"")</f>
        <v/>
      </c>
      <c r="BB12">
        <f>IF(AND(BB$9+6&gt;=$D12,BB$9&lt;=$E12),1,"")</f>
        <v/>
      </c>
      <c r="BC12">
        <f>IF(AND(BC$9+6&gt;=$D12,BC$9&lt;=$E12),1,"")</f>
        <v/>
      </c>
      <c r="BD12">
        <f>IF(AND(BD$9+6&gt;=$D12,BD$9&lt;=$E12),1,"")</f>
        <v/>
      </c>
      <c r="BE12">
        <f>IF(AND(BE$9+6&gt;=$D12,BE$9&lt;=$E12),1,"")</f>
        <v/>
      </c>
      <c r="BF12">
        <f>IF(AND(BF$9+6&gt;=$D12,BF$9&lt;=$E12),1,"")</f>
        <v/>
      </c>
      <c r="BG12">
        <f>IF(AND(BG$9+6&gt;=$D12,BG$9&lt;=$E12),1,"")</f>
        <v/>
      </c>
    </row>
    <row r="13">
      <c r="B13" s="8" t="inlineStr">
        <is>
          <t>Map refreshed targets/indicators to Databook, systems, owners</t>
        </is>
      </c>
      <c r="C13" s="8" t="inlineStr">
        <is>
          <t>Requirements matrix</t>
        </is>
      </c>
      <c r="D13" s="17" t="n">
        <v>46286</v>
      </c>
      <c r="E13" s="17" t="n">
        <v>46311</v>
      </c>
      <c r="F13" s="8" t="inlineStr">
        <is>
          <t>Stefanus</t>
        </is>
      </c>
      <c r="G13" s="8" t="inlineStr">
        <is>
          <t>Gerard Healey</t>
        </is>
      </c>
      <c r="H13" s="8" t="inlineStr">
        <is>
          <t>Rose</t>
        </is>
      </c>
      <c r="I13" s="8" t="inlineStr">
        <is>
          <t>Data owners</t>
        </is>
      </c>
      <c r="J13" s="8" t="inlineStr">
        <is>
          <t>High</t>
        </is>
      </c>
      <c r="K13" s="8" t="inlineStr">
        <is>
          <t>Not yet started</t>
        </is>
      </c>
      <c r="L13">
        <f>IF(AND(L$9+6&gt;=$D13,L$9&lt;=$E13),1,"")</f>
        <v/>
      </c>
      <c r="M13">
        <f>IF(AND(M$9+6&gt;=$D13,M$9&lt;=$E13),1,"")</f>
        <v/>
      </c>
      <c r="N13">
        <f>IF(AND(N$9+6&gt;=$D13,N$9&lt;=$E13),1,"")</f>
        <v/>
      </c>
      <c r="O13">
        <f>IF(AND(O$9+6&gt;=$D13,O$9&lt;=$E13),1,"")</f>
        <v/>
      </c>
      <c r="P13">
        <f>IF(AND(P$9+6&gt;=$D13,P$9&lt;=$E13),1,"")</f>
        <v/>
      </c>
      <c r="Q13">
        <f>IF(AND(Q$9+6&gt;=$D13,Q$9&lt;=$E13),1,"")</f>
        <v/>
      </c>
      <c r="R13">
        <f>IF(AND(R$9+6&gt;=$D13,R$9&lt;=$E13),1,"")</f>
        <v/>
      </c>
      <c r="S13">
        <f>IF(AND(S$9+6&gt;=$D13,S$9&lt;=$E13),1,"")</f>
        <v/>
      </c>
      <c r="T13">
        <f>IF(AND(T$9+6&gt;=$D13,T$9&lt;=$E13),1,"")</f>
        <v/>
      </c>
      <c r="U13">
        <f>IF(AND(U$9+6&gt;=$D13,U$9&lt;=$E13),1,"")</f>
        <v/>
      </c>
      <c r="V13">
        <f>IF(AND(V$9+6&gt;=$D13,V$9&lt;=$E13),1,"")</f>
        <v/>
      </c>
      <c r="W13">
        <f>IF(AND(W$9+6&gt;=$D13,W$9&lt;=$E13),1,"")</f>
        <v/>
      </c>
      <c r="X13">
        <f>IF(AND(X$9+6&gt;=$D13,X$9&lt;=$E13),1,"")</f>
        <v/>
      </c>
      <c r="Y13">
        <f>IF(AND(Y$9+6&gt;=$D13,Y$9&lt;=$E13),1,"")</f>
        <v/>
      </c>
      <c r="Z13">
        <f>IF(AND(Z$9+6&gt;=$D13,Z$9&lt;=$E13),1,"")</f>
        <v/>
      </c>
      <c r="AA13">
        <f>IF(AND(AA$9+6&gt;=$D13,AA$9&lt;=$E13),1,"")</f>
        <v/>
      </c>
      <c r="AB13">
        <f>IF(AND(AB$9+6&gt;=$D13,AB$9&lt;=$E13),1,"")</f>
        <v/>
      </c>
      <c r="AC13">
        <f>IF(AND(AC$9+6&gt;=$D13,AC$9&lt;=$E13),1,"")</f>
        <v/>
      </c>
      <c r="AD13">
        <f>IF(AND(AD$9+6&gt;=$D13,AD$9&lt;=$E13),1,"")</f>
        <v/>
      </c>
      <c r="AE13">
        <f>IF(AND(AE$9+6&gt;=$D13,AE$9&lt;=$E13),1,"")</f>
        <v/>
      </c>
      <c r="AF13">
        <f>IF(AND(AF$9+6&gt;=$D13,AF$9&lt;=$E13),1,"")</f>
        <v/>
      </c>
      <c r="AG13">
        <f>IF(AND(AG$9+6&gt;=$D13,AG$9&lt;=$E13),1,"")</f>
        <v/>
      </c>
      <c r="AH13">
        <f>IF(AND(AH$9+6&gt;=$D13,AH$9&lt;=$E13),1,"")</f>
        <v/>
      </c>
      <c r="AI13">
        <f>IF(AND(AI$9+6&gt;=$D13,AI$9&lt;=$E13),1,"")</f>
        <v/>
      </c>
      <c r="AJ13">
        <f>IF(AND(AJ$9+6&gt;=$D13,AJ$9&lt;=$E13),1,"")</f>
        <v/>
      </c>
      <c r="AK13">
        <f>IF(AND(AK$9+6&gt;=$D13,AK$9&lt;=$E13),1,"")</f>
        <v/>
      </c>
      <c r="AL13">
        <f>IF(AND(AL$9+6&gt;=$D13,AL$9&lt;=$E13),1,"")</f>
        <v/>
      </c>
      <c r="AM13">
        <f>IF(AND(AM$9+6&gt;=$D13,AM$9&lt;=$E13),1,"")</f>
        <v/>
      </c>
      <c r="AN13">
        <f>IF(AND(AN$9+6&gt;=$D13,AN$9&lt;=$E13),1,"")</f>
        <v/>
      </c>
      <c r="AO13">
        <f>IF(AND(AO$9+6&gt;=$D13,AO$9&lt;=$E13),1,"")</f>
        <v/>
      </c>
      <c r="AP13">
        <f>IF(AND(AP$9+6&gt;=$D13,AP$9&lt;=$E13),1,"")</f>
        <v/>
      </c>
      <c r="AQ13">
        <f>IF(AND(AQ$9+6&gt;=$D13,AQ$9&lt;=$E13),1,"")</f>
        <v/>
      </c>
      <c r="AR13">
        <f>IF(AND(AR$9+6&gt;=$D13,AR$9&lt;=$E13),1,"")</f>
        <v/>
      </c>
      <c r="AS13">
        <f>IF(AND(AS$9+6&gt;=$D13,AS$9&lt;=$E13),1,"")</f>
        <v/>
      </c>
      <c r="AT13">
        <f>IF(AND(AT$9+6&gt;=$D13,AT$9&lt;=$E13),1,"")</f>
        <v/>
      </c>
      <c r="AU13">
        <f>IF(AND(AU$9+6&gt;=$D13,AU$9&lt;=$E13),1,"")</f>
        <v/>
      </c>
      <c r="AV13">
        <f>IF(AND(AV$9+6&gt;=$D13,AV$9&lt;=$E13),1,"")</f>
        <v/>
      </c>
      <c r="AW13">
        <f>IF(AND(AW$9+6&gt;=$D13,AW$9&lt;=$E13),1,"")</f>
        <v/>
      </c>
      <c r="AX13">
        <f>IF(AND(AX$9+6&gt;=$D13,AX$9&lt;=$E13),1,"")</f>
        <v/>
      </c>
      <c r="AY13">
        <f>IF(AND(AY$9+6&gt;=$D13,AY$9&lt;=$E13),1,"")</f>
        <v/>
      </c>
      <c r="AZ13">
        <f>IF(AND(AZ$9+6&gt;=$D13,AZ$9&lt;=$E13),1,"")</f>
        <v/>
      </c>
      <c r="BA13">
        <f>IF(AND(BA$9+6&gt;=$D13,BA$9&lt;=$E13),1,"")</f>
        <v/>
      </c>
      <c r="BB13">
        <f>IF(AND(BB$9+6&gt;=$D13,BB$9&lt;=$E13),1,"")</f>
        <v/>
      </c>
      <c r="BC13">
        <f>IF(AND(BC$9+6&gt;=$D13,BC$9&lt;=$E13),1,"")</f>
        <v/>
      </c>
      <c r="BD13">
        <f>IF(AND(BD$9+6&gt;=$D13,BD$9&lt;=$E13),1,"")</f>
        <v/>
      </c>
      <c r="BE13">
        <f>IF(AND(BE$9+6&gt;=$D13,BE$9&lt;=$E13),1,"")</f>
        <v/>
      </c>
      <c r="BF13">
        <f>IF(AND(BF$9+6&gt;=$D13,BF$9&lt;=$E13),1,"")</f>
        <v/>
      </c>
      <c r="BG13">
        <f>IF(AND(BG$9+6&gt;=$D13,BG$9&lt;=$E13),1,"")</f>
        <v/>
      </c>
    </row>
    <row r="14">
      <c r="B14" s="8" t="inlineStr">
        <is>
          <t>Confirm stakeholder structure (CGOP/CDEP/CDSS) and owners (Gerard: resilience, estate)</t>
        </is>
      </c>
      <c r="C14" s="8" t="inlineStr">
        <is>
          <t>Stakeholder map</t>
        </is>
      </c>
      <c r="D14" s="17" t="n">
        <v>46300</v>
      </c>
      <c r="E14" s="17" t="n">
        <v>46311</v>
      </c>
      <c r="F14" s="8" t="inlineStr">
        <is>
          <t>Stefanus</t>
        </is>
      </c>
      <c r="G14" s="8" t="inlineStr">
        <is>
          <t>Gerard Healey</t>
        </is>
      </c>
      <c r="H14" s="8" t="inlineStr"/>
      <c r="I14" s="8" t="inlineStr"/>
      <c r="J14" s="8" t="inlineStr">
        <is>
          <t>High</t>
        </is>
      </c>
      <c r="K14" s="8" t="inlineStr">
        <is>
          <t>Not yet started</t>
        </is>
      </c>
      <c r="L14">
        <f>IF(AND(L$9+6&gt;=$D14,L$9&lt;=$E14),1,"")</f>
        <v/>
      </c>
      <c r="M14">
        <f>IF(AND(M$9+6&gt;=$D14,M$9&lt;=$E14),1,"")</f>
        <v/>
      </c>
      <c r="N14">
        <f>IF(AND(N$9+6&gt;=$D14,N$9&lt;=$E14),1,"")</f>
        <v/>
      </c>
      <c r="O14">
        <f>IF(AND(O$9+6&gt;=$D14,O$9&lt;=$E14),1,"")</f>
        <v/>
      </c>
      <c r="P14">
        <f>IF(AND(P$9+6&gt;=$D14,P$9&lt;=$E14),1,"")</f>
        <v/>
      </c>
      <c r="Q14">
        <f>IF(AND(Q$9+6&gt;=$D14,Q$9&lt;=$E14),1,"")</f>
        <v/>
      </c>
      <c r="R14">
        <f>IF(AND(R$9+6&gt;=$D14,R$9&lt;=$E14),1,"")</f>
        <v/>
      </c>
      <c r="S14">
        <f>IF(AND(S$9+6&gt;=$D14,S$9&lt;=$E14),1,"")</f>
        <v/>
      </c>
      <c r="T14">
        <f>IF(AND(T$9+6&gt;=$D14,T$9&lt;=$E14),1,"")</f>
        <v/>
      </c>
      <c r="U14">
        <f>IF(AND(U$9+6&gt;=$D14,U$9&lt;=$E14),1,"")</f>
        <v/>
      </c>
      <c r="V14">
        <f>IF(AND(V$9+6&gt;=$D14,V$9&lt;=$E14),1,"")</f>
        <v/>
      </c>
      <c r="W14">
        <f>IF(AND(W$9+6&gt;=$D14,W$9&lt;=$E14),1,"")</f>
        <v/>
      </c>
      <c r="X14">
        <f>IF(AND(X$9+6&gt;=$D14,X$9&lt;=$E14),1,"")</f>
        <v/>
      </c>
      <c r="Y14">
        <f>IF(AND(Y$9+6&gt;=$D14,Y$9&lt;=$E14),1,"")</f>
        <v/>
      </c>
      <c r="Z14">
        <f>IF(AND(Z$9+6&gt;=$D14,Z$9&lt;=$E14),1,"")</f>
        <v/>
      </c>
      <c r="AA14">
        <f>IF(AND(AA$9+6&gt;=$D14,AA$9&lt;=$E14),1,"")</f>
        <v/>
      </c>
      <c r="AB14">
        <f>IF(AND(AB$9+6&gt;=$D14,AB$9&lt;=$E14),1,"")</f>
        <v/>
      </c>
      <c r="AC14">
        <f>IF(AND(AC$9+6&gt;=$D14,AC$9&lt;=$E14),1,"")</f>
        <v/>
      </c>
      <c r="AD14">
        <f>IF(AND(AD$9+6&gt;=$D14,AD$9&lt;=$E14),1,"")</f>
        <v/>
      </c>
      <c r="AE14">
        <f>IF(AND(AE$9+6&gt;=$D14,AE$9&lt;=$E14),1,"")</f>
        <v/>
      </c>
      <c r="AF14">
        <f>IF(AND(AF$9+6&gt;=$D14,AF$9&lt;=$E14),1,"")</f>
        <v/>
      </c>
      <c r="AG14">
        <f>IF(AND(AG$9+6&gt;=$D14,AG$9&lt;=$E14),1,"")</f>
        <v/>
      </c>
      <c r="AH14">
        <f>IF(AND(AH$9+6&gt;=$D14,AH$9&lt;=$E14),1,"")</f>
        <v/>
      </c>
      <c r="AI14">
        <f>IF(AND(AI$9+6&gt;=$D14,AI$9&lt;=$E14),1,"")</f>
        <v/>
      </c>
      <c r="AJ14">
        <f>IF(AND(AJ$9+6&gt;=$D14,AJ$9&lt;=$E14),1,"")</f>
        <v/>
      </c>
      <c r="AK14">
        <f>IF(AND(AK$9+6&gt;=$D14,AK$9&lt;=$E14),1,"")</f>
        <v/>
      </c>
      <c r="AL14">
        <f>IF(AND(AL$9+6&gt;=$D14,AL$9&lt;=$E14),1,"")</f>
        <v/>
      </c>
      <c r="AM14">
        <f>IF(AND(AM$9+6&gt;=$D14,AM$9&lt;=$E14),1,"")</f>
        <v/>
      </c>
      <c r="AN14">
        <f>IF(AND(AN$9+6&gt;=$D14,AN$9&lt;=$E14),1,"")</f>
        <v/>
      </c>
      <c r="AO14">
        <f>IF(AND(AO$9+6&gt;=$D14,AO$9&lt;=$E14),1,"")</f>
        <v/>
      </c>
      <c r="AP14">
        <f>IF(AND(AP$9+6&gt;=$D14,AP$9&lt;=$E14),1,"")</f>
        <v/>
      </c>
      <c r="AQ14">
        <f>IF(AND(AQ$9+6&gt;=$D14,AQ$9&lt;=$E14),1,"")</f>
        <v/>
      </c>
      <c r="AR14">
        <f>IF(AND(AR$9+6&gt;=$D14,AR$9&lt;=$E14),1,"")</f>
        <v/>
      </c>
      <c r="AS14">
        <f>IF(AND(AS$9+6&gt;=$D14,AS$9&lt;=$E14),1,"")</f>
        <v/>
      </c>
      <c r="AT14">
        <f>IF(AND(AT$9+6&gt;=$D14,AT$9&lt;=$E14),1,"")</f>
        <v/>
      </c>
      <c r="AU14">
        <f>IF(AND(AU$9+6&gt;=$D14,AU$9&lt;=$E14),1,"")</f>
        <v/>
      </c>
      <c r="AV14">
        <f>IF(AND(AV$9+6&gt;=$D14,AV$9&lt;=$E14),1,"")</f>
        <v/>
      </c>
      <c r="AW14">
        <f>IF(AND(AW$9+6&gt;=$D14,AW$9&lt;=$E14),1,"")</f>
        <v/>
      </c>
      <c r="AX14">
        <f>IF(AND(AX$9+6&gt;=$D14,AX$9&lt;=$E14),1,"")</f>
        <v/>
      </c>
      <c r="AY14">
        <f>IF(AND(AY$9+6&gt;=$D14,AY$9&lt;=$E14),1,"")</f>
        <v/>
      </c>
      <c r="AZ14">
        <f>IF(AND(AZ$9+6&gt;=$D14,AZ$9&lt;=$E14),1,"")</f>
        <v/>
      </c>
      <c r="BA14">
        <f>IF(AND(BA$9+6&gt;=$D14,BA$9&lt;=$E14),1,"")</f>
        <v/>
      </c>
      <c r="BB14">
        <f>IF(AND(BB$9+6&gt;=$D14,BB$9&lt;=$E14),1,"")</f>
        <v/>
      </c>
      <c r="BC14">
        <f>IF(AND(BC$9+6&gt;=$D14,BC$9&lt;=$E14),1,"")</f>
        <v/>
      </c>
      <c r="BD14">
        <f>IF(AND(BD$9+6&gt;=$D14,BD$9&lt;=$E14),1,"")</f>
        <v/>
      </c>
      <c r="BE14">
        <f>IF(AND(BE$9+6&gt;=$D14,BE$9&lt;=$E14),1,"")</f>
        <v/>
      </c>
      <c r="BF14">
        <f>IF(AND(BF$9+6&gt;=$D14,BF$9&lt;=$E14),1,"")</f>
        <v/>
      </c>
      <c r="BG14">
        <f>IF(AND(BG$9+6&gt;=$D14,BG$9&lt;=$E14),1,"")</f>
        <v/>
      </c>
    </row>
    <row r="15">
      <c r="B15" s="8" t="inlineStr">
        <is>
          <t>Pilot request templates with 4 faculties (ABP, Arts, FBE, Science)</t>
        </is>
      </c>
      <c r="C15" s="8" t="inlineStr">
        <is>
          <t>Pilot feedback</t>
        </is>
      </c>
      <c r="D15" s="17" t="n">
        <v>46307</v>
      </c>
      <c r="E15" s="17" t="n">
        <v>46325</v>
      </c>
      <c r="F15" s="8" t="inlineStr">
        <is>
          <t>Stefanus</t>
        </is>
      </c>
      <c r="G15" s="8" t="inlineStr">
        <is>
          <t>Gerard Healey</t>
        </is>
      </c>
      <c r="H15" s="8" t="inlineStr"/>
      <c r="I15" s="8" t="inlineStr">
        <is>
          <t>ADs Sustainability</t>
        </is>
      </c>
      <c r="J15" s="8" t="inlineStr">
        <is>
          <t>High</t>
        </is>
      </c>
      <c r="K15" s="8" t="inlineStr">
        <is>
          <t>Not yet started</t>
        </is>
      </c>
      <c r="L15">
        <f>IF(AND(L$9+6&gt;=$D15,L$9&lt;=$E15),1,"")</f>
        <v/>
      </c>
      <c r="M15">
        <f>IF(AND(M$9+6&gt;=$D15,M$9&lt;=$E15),1,"")</f>
        <v/>
      </c>
      <c r="N15">
        <f>IF(AND(N$9+6&gt;=$D15,N$9&lt;=$E15),1,"")</f>
        <v/>
      </c>
      <c r="O15">
        <f>IF(AND(O$9+6&gt;=$D15,O$9&lt;=$E15),1,"")</f>
        <v/>
      </c>
      <c r="P15">
        <f>IF(AND(P$9+6&gt;=$D15,P$9&lt;=$E15),1,"")</f>
        <v/>
      </c>
      <c r="Q15">
        <f>IF(AND(Q$9+6&gt;=$D15,Q$9&lt;=$E15),1,"")</f>
        <v/>
      </c>
      <c r="R15">
        <f>IF(AND(R$9+6&gt;=$D15,R$9&lt;=$E15),1,"")</f>
        <v/>
      </c>
      <c r="S15">
        <f>IF(AND(S$9+6&gt;=$D15,S$9&lt;=$E15),1,"")</f>
        <v/>
      </c>
      <c r="T15">
        <f>IF(AND(T$9+6&gt;=$D15,T$9&lt;=$E15),1,"")</f>
        <v/>
      </c>
      <c r="U15">
        <f>IF(AND(U$9+6&gt;=$D15,U$9&lt;=$E15),1,"")</f>
        <v/>
      </c>
      <c r="V15">
        <f>IF(AND(V$9+6&gt;=$D15,V$9&lt;=$E15),1,"")</f>
        <v/>
      </c>
      <c r="W15">
        <f>IF(AND(W$9+6&gt;=$D15,W$9&lt;=$E15),1,"")</f>
        <v/>
      </c>
      <c r="X15">
        <f>IF(AND(X$9+6&gt;=$D15,X$9&lt;=$E15),1,"")</f>
        <v/>
      </c>
      <c r="Y15">
        <f>IF(AND(Y$9+6&gt;=$D15,Y$9&lt;=$E15),1,"")</f>
        <v/>
      </c>
      <c r="Z15">
        <f>IF(AND(Z$9+6&gt;=$D15,Z$9&lt;=$E15),1,"")</f>
        <v/>
      </c>
      <c r="AA15">
        <f>IF(AND(AA$9+6&gt;=$D15,AA$9&lt;=$E15),1,"")</f>
        <v/>
      </c>
      <c r="AB15">
        <f>IF(AND(AB$9+6&gt;=$D15,AB$9&lt;=$E15),1,"")</f>
        <v/>
      </c>
      <c r="AC15">
        <f>IF(AND(AC$9+6&gt;=$D15,AC$9&lt;=$E15),1,"")</f>
        <v/>
      </c>
      <c r="AD15">
        <f>IF(AND(AD$9+6&gt;=$D15,AD$9&lt;=$E15),1,"")</f>
        <v/>
      </c>
      <c r="AE15">
        <f>IF(AND(AE$9+6&gt;=$D15,AE$9&lt;=$E15),1,"")</f>
        <v/>
      </c>
      <c r="AF15">
        <f>IF(AND(AF$9+6&gt;=$D15,AF$9&lt;=$E15),1,"")</f>
        <v/>
      </c>
      <c r="AG15">
        <f>IF(AND(AG$9+6&gt;=$D15,AG$9&lt;=$E15),1,"")</f>
        <v/>
      </c>
      <c r="AH15">
        <f>IF(AND(AH$9+6&gt;=$D15,AH$9&lt;=$E15),1,"")</f>
        <v/>
      </c>
      <c r="AI15">
        <f>IF(AND(AI$9+6&gt;=$D15,AI$9&lt;=$E15),1,"")</f>
        <v/>
      </c>
      <c r="AJ15">
        <f>IF(AND(AJ$9+6&gt;=$D15,AJ$9&lt;=$E15),1,"")</f>
        <v/>
      </c>
      <c r="AK15">
        <f>IF(AND(AK$9+6&gt;=$D15,AK$9&lt;=$E15),1,"")</f>
        <v/>
      </c>
      <c r="AL15">
        <f>IF(AND(AL$9+6&gt;=$D15,AL$9&lt;=$E15),1,"")</f>
        <v/>
      </c>
      <c r="AM15">
        <f>IF(AND(AM$9+6&gt;=$D15,AM$9&lt;=$E15),1,"")</f>
        <v/>
      </c>
      <c r="AN15">
        <f>IF(AND(AN$9+6&gt;=$D15,AN$9&lt;=$E15),1,"")</f>
        <v/>
      </c>
      <c r="AO15">
        <f>IF(AND(AO$9+6&gt;=$D15,AO$9&lt;=$E15),1,"")</f>
        <v/>
      </c>
      <c r="AP15">
        <f>IF(AND(AP$9+6&gt;=$D15,AP$9&lt;=$E15),1,"")</f>
        <v/>
      </c>
      <c r="AQ15">
        <f>IF(AND(AQ$9+6&gt;=$D15,AQ$9&lt;=$E15),1,"")</f>
        <v/>
      </c>
      <c r="AR15">
        <f>IF(AND(AR$9+6&gt;=$D15,AR$9&lt;=$E15),1,"")</f>
        <v/>
      </c>
      <c r="AS15">
        <f>IF(AND(AS$9+6&gt;=$D15,AS$9&lt;=$E15),1,"")</f>
        <v/>
      </c>
      <c r="AT15">
        <f>IF(AND(AT$9+6&gt;=$D15,AT$9&lt;=$E15),1,"")</f>
        <v/>
      </c>
      <c r="AU15">
        <f>IF(AND(AU$9+6&gt;=$D15,AU$9&lt;=$E15),1,"")</f>
        <v/>
      </c>
      <c r="AV15">
        <f>IF(AND(AV$9+6&gt;=$D15,AV$9&lt;=$E15),1,"")</f>
        <v/>
      </c>
      <c r="AW15">
        <f>IF(AND(AW$9+6&gt;=$D15,AW$9&lt;=$E15),1,"")</f>
        <v/>
      </c>
      <c r="AX15">
        <f>IF(AND(AX$9+6&gt;=$D15,AX$9&lt;=$E15),1,"")</f>
        <v/>
      </c>
      <c r="AY15">
        <f>IF(AND(AY$9+6&gt;=$D15,AY$9&lt;=$E15),1,"")</f>
        <v/>
      </c>
      <c r="AZ15">
        <f>IF(AND(AZ$9+6&gt;=$D15,AZ$9&lt;=$E15),1,"")</f>
        <v/>
      </c>
      <c r="BA15">
        <f>IF(AND(BA$9+6&gt;=$D15,BA$9&lt;=$E15),1,"")</f>
        <v/>
      </c>
      <c r="BB15">
        <f>IF(AND(BB$9+6&gt;=$D15,BB$9&lt;=$E15),1,"")</f>
        <v/>
      </c>
      <c r="BC15">
        <f>IF(AND(BC$9+6&gt;=$D15,BC$9&lt;=$E15),1,"")</f>
        <v/>
      </c>
      <c r="BD15">
        <f>IF(AND(BD$9+6&gt;=$D15,BD$9&lt;=$E15),1,"")</f>
        <v/>
      </c>
      <c r="BE15">
        <f>IF(AND(BE$9+6&gt;=$D15,BE$9&lt;=$E15),1,"")</f>
        <v/>
      </c>
      <c r="BF15">
        <f>IF(AND(BF$9+6&gt;=$D15,BF$9&lt;=$E15),1,"")</f>
        <v/>
      </c>
      <c r="BG15">
        <f>IF(AND(BG$9+6&gt;=$D15,BG$9&lt;=$E15),1,"")</f>
        <v/>
      </c>
    </row>
    <row r="16">
      <c r="B16" s="8" t="inlineStr">
        <is>
          <t>Approve Review Group criteria, decision rights, escalation pathway</t>
        </is>
      </c>
      <c r="C16" s="8" t="inlineStr">
        <is>
          <t>Before collection</t>
        </is>
      </c>
      <c r="D16" s="17" t="n">
        <v>46300</v>
      </c>
      <c r="E16" s="17" t="n">
        <v>46325</v>
      </c>
      <c r="F16" s="8" t="inlineStr">
        <is>
          <t>SST</t>
        </is>
      </c>
      <c r="G16" s="8" t="inlineStr">
        <is>
          <t>Director, Sustainability</t>
        </is>
      </c>
      <c r="H16" s="8" t="inlineStr"/>
      <c r="I16" s="8" t="inlineStr">
        <is>
          <t>Review Group</t>
        </is>
      </c>
      <c r="J16" s="8" t="inlineStr">
        <is>
          <t>Medium</t>
        </is>
      </c>
      <c r="K16" s="8" t="inlineStr">
        <is>
          <t>Not yet started</t>
        </is>
      </c>
      <c r="L16">
        <f>IF(AND(L$9+6&gt;=$D16,L$9&lt;=$E16),1,"")</f>
        <v/>
      </c>
      <c r="M16">
        <f>IF(AND(M$9+6&gt;=$D16,M$9&lt;=$E16),1,"")</f>
        <v/>
      </c>
      <c r="N16">
        <f>IF(AND(N$9+6&gt;=$D16,N$9&lt;=$E16),1,"")</f>
        <v/>
      </c>
      <c r="O16">
        <f>IF(AND(O$9+6&gt;=$D16,O$9&lt;=$E16),1,"")</f>
        <v/>
      </c>
      <c r="P16">
        <f>IF(AND(P$9+6&gt;=$D16,P$9&lt;=$E16),1,"")</f>
        <v/>
      </c>
      <c r="Q16">
        <f>IF(AND(Q$9+6&gt;=$D16,Q$9&lt;=$E16),1,"")</f>
        <v/>
      </c>
      <c r="R16">
        <f>IF(AND(R$9+6&gt;=$D16,R$9&lt;=$E16),1,"")</f>
        <v/>
      </c>
      <c r="S16">
        <f>IF(AND(S$9+6&gt;=$D16,S$9&lt;=$E16),1,"")</f>
        <v/>
      </c>
      <c r="T16">
        <f>IF(AND(T$9+6&gt;=$D16,T$9&lt;=$E16),1,"")</f>
        <v/>
      </c>
      <c r="U16">
        <f>IF(AND(U$9+6&gt;=$D16,U$9&lt;=$E16),1,"")</f>
        <v/>
      </c>
      <c r="V16">
        <f>IF(AND(V$9+6&gt;=$D16,V$9&lt;=$E16),1,"")</f>
        <v/>
      </c>
      <c r="W16">
        <f>IF(AND(W$9+6&gt;=$D16,W$9&lt;=$E16),1,"")</f>
        <v/>
      </c>
      <c r="X16">
        <f>IF(AND(X$9+6&gt;=$D16,X$9&lt;=$E16),1,"")</f>
        <v/>
      </c>
      <c r="Y16">
        <f>IF(AND(Y$9+6&gt;=$D16,Y$9&lt;=$E16),1,"")</f>
        <v/>
      </c>
      <c r="Z16">
        <f>IF(AND(Z$9+6&gt;=$D16,Z$9&lt;=$E16),1,"")</f>
        <v/>
      </c>
      <c r="AA16">
        <f>IF(AND(AA$9+6&gt;=$D16,AA$9&lt;=$E16),1,"")</f>
        <v/>
      </c>
      <c r="AB16">
        <f>IF(AND(AB$9+6&gt;=$D16,AB$9&lt;=$E16),1,"")</f>
        <v/>
      </c>
      <c r="AC16">
        <f>IF(AND(AC$9+6&gt;=$D16,AC$9&lt;=$E16),1,"")</f>
        <v/>
      </c>
      <c r="AD16">
        <f>IF(AND(AD$9+6&gt;=$D16,AD$9&lt;=$E16),1,"")</f>
        <v/>
      </c>
      <c r="AE16">
        <f>IF(AND(AE$9+6&gt;=$D16,AE$9&lt;=$E16),1,"")</f>
        <v/>
      </c>
      <c r="AF16">
        <f>IF(AND(AF$9+6&gt;=$D16,AF$9&lt;=$E16),1,"")</f>
        <v/>
      </c>
      <c r="AG16">
        <f>IF(AND(AG$9+6&gt;=$D16,AG$9&lt;=$E16),1,"")</f>
        <v/>
      </c>
      <c r="AH16">
        <f>IF(AND(AH$9+6&gt;=$D16,AH$9&lt;=$E16),1,"")</f>
        <v/>
      </c>
      <c r="AI16">
        <f>IF(AND(AI$9+6&gt;=$D16,AI$9&lt;=$E16),1,"")</f>
        <v/>
      </c>
      <c r="AJ16">
        <f>IF(AND(AJ$9+6&gt;=$D16,AJ$9&lt;=$E16),1,"")</f>
        <v/>
      </c>
      <c r="AK16">
        <f>IF(AND(AK$9+6&gt;=$D16,AK$9&lt;=$E16),1,"")</f>
        <v/>
      </c>
      <c r="AL16">
        <f>IF(AND(AL$9+6&gt;=$D16,AL$9&lt;=$E16),1,"")</f>
        <v/>
      </c>
      <c r="AM16">
        <f>IF(AND(AM$9+6&gt;=$D16,AM$9&lt;=$E16),1,"")</f>
        <v/>
      </c>
      <c r="AN16">
        <f>IF(AND(AN$9+6&gt;=$D16,AN$9&lt;=$E16),1,"")</f>
        <v/>
      </c>
      <c r="AO16">
        <f>IF(AND(AO$9+6&gt;=$D16,AO$9&lt;=$E16),1,"")</f>
        <v/>
      </c>
      <c r="AP16">
        <f>IF(AND(AP$9+6&gt;=$D16,AP$9&lt;=$E16),1,"")</f>
        <v/>
      </c>
      <c r="AQ16">
        <f>IF(AND(AQ$9+6&gt;=$D16,AQ$9&lt;=$E16),1,"")</f>
        <v/>
      </c>
      <c r="AR16">
        <f>IF(AND(AR$9+6&gt;=$D16,AR$9&lt;=$E16),1,"")</f>
        <v/>
      </c>
      <c r="AS16">
        <f>IF(AND(AS$9+6&gt;=$D16,AS$9&lt;=$E16),1,"")</f>
        <v/>
      </c>
      <c r="AT16">
        <f>IF(AND(AT$9+6&gt;=$D16,AT$9&lt;=$E16),1,"")</f>
        <v/>
      </c>
      <c r="AU16">
        <f>IF(AND(AU$9+6&gt;=$D16,AU$9&lt;=$E16),1,"")</f>
        <v/>
      </c>
      <c r="AV16">
        <f>IF(AND(AV$9+6&gt;=$D16,AV$9&lt;=$E16),1,"")</f>
        <v/>
      </c>
      <c r="AW16">
        <f>IF(AND(AW$9+6&gt;=$D16,AW$9&lt;=$E16),1,"")</f>
        <v/>
      </c>
      <c r="AX16">
        <f>IF(AND(AX$9+6&gt;=$D16,AX$9&lt;=$E16),1,"")</f>
        <v/>
      </c>
      <c r="AY16">
        <f>IF(AND(AY$9+6&gt;=$D16,AY$9&lt;=$E16),1,"")</f>
        <v/>
      </c>
      <c r="AZ16">
        <f>IF(AND(AZ$9+6&gt;=$D16,AZ$9&lt;=$E16),1,"")</f>
        <v/>
      </c>
      <c r="BA16">
        <f>IF(AND(BA$9+6&gt;=$D16,BA$9&lt;=$E16),1,"")</f>
        <v/>
      </c>
      <c r="BB16">
        <f>IF(AND(BB$9+6&gt;=$D16,BB$9&lt;=$E16),1,"")</f>
        <v/>
      </c>
      <c r="BC16">
        <f>IF(AND(BC$9+6&gt;=$D16,BC$9&lt;=$E16),1,"")</f>
        <v/>
      </c>
      <c r="BD16">
        <f>IF(AND(BD$9+6&gt;=$D16,BD$9&lt;=$E16),1,"")</f>
        <v/>
      </c>
      <c r="BE16">
        <f>IF(AND(BE$9+6&gt;=$D16,BE$9&lt;=$E16),1,"")</f>
        <v/>
      </c>
      <c r="BF16">
        <f>IF(AND(BF$9+6&gt;=$D16,BF$9&lt;=$E16),1,"")</f>
        <v/>
      </c>
      <c r="BG16">
        <f>IF(AND(BG$9+6&gt;=$D16,BG$9&lt;=$E16),1,"")</f>
        <v/>
      </c>
    </row>
    <row r="17">
      <c r="B17" s="45" t="inlineStr">
        <is>
          <t>Process design &amp; launch (Oct 2026)</t>
        </is>
      </c>
      <c r="C17" s="46" t="n"/>
      <c r="D17" s="46" t="n"/>
      <c r="E17" s="46" t="n"/>
      <c r="F17" s="46" t="n"/>
      <c r="G17" s="46" t="n"/>
      <c r="H17" s="46" t="n"/>
      <c r="I17" s="46" t="n"/>
      <c r="J17" s="46" t="n"/>
      <c r="K17" s="46" t="n"/>
      <c r="L17" s="46" t="n"/>
      <c r="M17" s="46" t="n"/>
      <c r="N17" s="46" t="n"/>
      <c r="O17" s="46" t="n"/>
      <c r="P17" s="46" t="n"/>
      <c r="Q17" s="46" t="n"/>
      <c r="R17" s="46" t="n"/>
      <c r="S17" s="46" t="n"/>
      <c r="T17" s="46" t="n"/>
      <c r="U17" s="46" t="n"/>
      <c r="V17" s="46" t="n"/>
      <c r="W17" s="46" t="n"/>
      <c r="X17" s="46" t="n"/>
      <c r="Y17" s="46" t="n"/>
      <c r="Z17" s="46" t="n"/>
      <c r="AA17" s="46" t="n"/>
      <c r="AB17" s="46" t="n"/>
      <c r="AC17" s="46" t="n"/>
      <c r="AD17" s="46" t="n"/>
      <c r="AE17" s="46" t="n"/>
      <c r="AF17" s="46" t="n"/>
      <c r="AG17" s="46" t="n"/>
      <c r="AH17" s="46" t="n"/>
      <c r="AI17" s="46" t="n"/>
      <c r="AJ17" s="46" t="n"/>
      <c r="AK17" s="46" t="n"/>
      <c r="AL17" s="46" t="n"/>
      <c r="AM17" s="46" t="n"/>
      <c r="AN17" s="46" t="n"/>
      <c r="AO17" s="46" t="n"/>
      <c r="AP17" s="46" t="n"/>
      <c r="AQ17" s="46" t="n"/>
      <c r="AR17" s="46" t="n"/>
      <c r="AS17" s="46" t="n"/>
      <c r="AT17" s="46" t="n"/>
      <c r="AU17" s="46" t="n"/>
      <c r="AV17" s="46" t="n"/>
      <c r="AW17" s="46" t="n"/>
      <c r="AX17" s="46" t="n"/>
      <c r="AY17" s="46" t="n"/>
      <c r="AZ17" s="46" t="n"/>
      <c r="BA17" s="46" t="n"/>
      <c r="BB17" s="46" t="n"/>
      <c r="BC17" s="46" t="n"/>
      <c r="BD17" s="46" t="n"/>
      <c r="BE17" s="46" t="n"/>
      <c r="BF17" s="46" t="n"/>
      <c r="BG17" s="46" t="n"/>
    </row>
    <row r="18">
      <c r="B18" s="8" t="inlineStr">
        <is>
          <t>Finalise templates and evidence register</t>
        </is>
      </c>
      <c r="C18" s="8" t="inlineStr">
        <is>
          <t>Templates final</t>
        </is>
      </c>
      <c r="D18" s="17" t="n">
        <v>46314</v>
      </c>
      <c r="E18" s="17" t="n">
        <v>46325</v>
      </c>
      <c r="F18" s="8" t="inlineStr">
        <is>
          <t>Stefanus</t>
        </is>
      </c>
      <c r="G18" s="8" t="inlineStr">
        <is>
          <t>Gerard Healey</t>
        </is>
      </c>
      <c r="H18" s="8" t="inlineStr"/>
      <c r="I18" s="8" t="inlineStr"/>
      <c r="J18" s="8" t="inlineStr">
        <is>
          <t>High</t>
        </is>
      </c>
      <c r="K18" s="8" t="inlineStr">
        <is>
          <t>Not yet started</t>
        </is>
      </c>
      <c r="L18">
        <f>IF(AND(L$9+6&gt;=$D18,L$9&lt;=$E18),1,"")</f>
        <v/>
      </c>
      <c r="M18">
        <f>IF(AND(M$9+6&gt;=$D18,M$9&lt;=$E18),1,"")</f>
        <v/>
      </c>
      <c r="N18">
        <f>IF(AND(N$9+6&gt;=$D18,N$9&lt;=$E18),1,"")</f>
        <v/>
      </c>
      <c r="O18">
        <f>IF(AND(O$9+6&gt;=$D18,O$9&lt;=$E18),1,"")</f>
        <v/>
      </c>
      <c r="P18">
        <f>IF(AND(P$9+6&gt;=$D18,P$9&lt;=$E18),1,"")</f>
        <v/>
      </c>
      <c r="Q18">
        <f>IF(AND(Q$9+6&gt;=$D18,Q$9&lt;=$E18),1,"")</f>
        <v/>
      </c>
      <c r="R18">
        <f>IF(AND(R$9+6&gt;=$D18,R$9&lt;=$E18),1,"")</f>
        <v/>
      </c>
      <c r="S18">
        <f>IF(AND(S$9+6&gt;=$D18,S$9&lt;=$E18),1,"")</f>
        <v/>
      </c>
      <c r="T18">
        <f>IF(AND(T$9+6&gt;=$D18,T$9&lt;=$E18),1,"")</f>
        <v/>
      </c>
      <c r="U18">
        <f>IF(AND(U$9+6&gt;=$D18,U$9&lt;=$E18),1,"")</f>
        <v/>
      </c>
      <c r="V18">
        <f>IF(AND(V$9+6&gt;=$D18,V$9&lt;=$E18),1,"")</f>
        <v/>
      </c>
      <c r="W18">
        <f>IF(AND(W$9+6&gt;=$D18,W$9&lt;=$E18),1,"")</f>
        <v/>
      </c>
      <c r="X18">
        <f>IF(AND(X$9+6&gt;=$D18,X$9&lt;=$E18),1,"")</f>
        <v/>
      </c>
      <c r="Y18">
        <f>IF(AND(Y$9+6&gt;=$D18,Y$9&lt;=$E18),1,"")</f>
        <v/>
      </c>
      <c r="Z18">
        <f>IF(AND(Z$9+6&gt;=$D18,Z$9&lt;=$E18),1,"")</f>
        <v/>
      </c>
      <c r="AA18">
        <f>IF(AND(AA$9+6&gt;=$D18,AA$9&lt;=$E18),1,"")</f>
        <v/>
      </c>
      <c r="AB18">
        <f>IF(AND(AB$9+6&gt;=$D18,AB$9&lt;=$E18),1,"")</f>
        <v/>
      </c>
      <c r="AC18">
        <f>IF(AND(AC$9+6&gt;=$D18,AC$9&lt;=$E18),1,"")</f>
        <v/>
      </c>
      <c r="AD18">
        <f>IF(AND(AD$9+6&gt;=$D18,AD$9&lt;=$E18),1,"")</f>
        <v/>
      </c>
      <c r="AE18">
        <f>IF(AND(AE$9+6&gt;=$D18,AE$9&lt;=$E18),1,"")</f>
        <v/>
      </c>
      <c r="AF18">
        <f>IF(AND(AF$9+6&gt;=$D18,AF$9&lt;=$E18),1,"")</f>
        <v/>
      </c>
      <c r="AG18">
        <f>IF(AND(AG$9+6&gt;=$D18,AG$9&lt;=$E18),1,"")</f>
        <v/>
      </c>
      <c r="AH18">
        <f>IF(AND(AH$9+6&gt;=$D18,AH$9&lt;=$E18),1,"")</f>
        <v/>
      </c>
      <c r="AI18">
        <f>IF(AND(AI$9+6&gt;=$D18,AI$9&lt;=$E18),1,"")</f>
        <v/>
      </c>
      <c r="AJ18">
        <f>IF(AND(AJ$9+6&gt;=$D18,AJ$9&lt;=$E18),1,"")</f>
        <v/>
      </c>
      <c r="AK18">
        <f>IF(AND(AK$9+6&gt;=$D18,AK$9&lt;=$E18),1,"")</f>
        <v/>
      </c>
      <c r="AL18">
        <f>IF(AND(AL$9+6&gt;=$D18,AL$9&lt;=$E18),1,"")</f>
        <v/>
      </c>
      <c r="AM18">
        <f>IF(AND(AM$9+6&gt;=$D18,AM$9&lt;=$E18),1,"")</f>
        <v/>
      </c>
      <c r="AN18">
        <f>IF(AND(AN$9+6&gt;=$D18,AN$9&lt;=$E18),1,"")</f>
        <v/>
      </c>
      <c r="AO18">
        <f>IF(AND(AO$9+6&gt;=$D18,AO$9&lt;=$E18),1,"")</f>
        <v/>
      </c>
      <c r="AP18">
        <f>IF(AND(AP$9+6&gt;=$D18,AP$9&lt;=$E18),1,"")</f>
        <v/>
      </c>
      <c r="AQ18">
        <f>IF(AND(AQ$9+6&gt;=$D18,AQ$9&lt;=$E18),1,"")</f>
        <v/>
      </c>
      <c r="AR18">
        <f>IF(AND(AR$9+6&gt;=$D18,AR$9&lt;=$E18),1,"")</f>
        <v/>
      </c>
      <c r="AS18">
        <f>IF(AND(AS$9+6&gt;=$D18,AS$9&lt;=$E18),1,"")</f>
        <v/>
      </c>
      <c r="AT18">
        <f>IF(AND(AT$9+6&gt;=$D18,AT$9&lt;=$E18),1,"")</f>
        <v/>
      </c>
      <c r="AU18">
        <f>IF(AND(AU$9+6&gt;=$D18,AU$9&lt;=$E18),1,"")</f>
        <v/>
      </c>
      <c r="AV18">
        <f>IF(AND(AV$9+6&gt;=$D18,AV$9&lt;=$E18),1,"")</f>
        <v/>
      </c>
      <c r="AW18">
        <f>IF(AND(AW$9+6&gt;=$D18,AW$9&lt;=$E18),1,"")</f>
        <v/>
      </c>
      <c r="AX18">
        <f>IF(AND(AX$9+6&gt;=$D18,AX$9&lt;=$E18),1,"")</f>
        <v/>
      </c>
      <c r="AY18">
        <f>IF(AND(AY$9+6&gt;=$D18,AY$9&lt;=$E18),1,"")</f>
        <v/>
      </c>
      <c r="AZ18">
        <f>IF(AND(AZ$9+6&gt;=$D18,AZ$9&lt;=$E18),1,"")</f>
        <v/>
      </c>
      <c r="BA18">
        <f>IF(AND(BA$9+6&gt;=$D18,BA$9&lt;=$E18),1,"")</f>
        <v/>
      </c>
      <c r="BB18">
        <f>IF(AND(BB$9+6&gt;=$D18,BB$9&lt;=$E18),1,"")</f>
        <v/>
      </c>
      <c r="BC18">
        <f>IF(AND(BC$9+6&gt;=$D18,BC$9&lt;=$E18),1,"")</f>
        <v/>
      </c>
      <c r="BD18">
        <f>IF(AND(BD$9+6&gt;=$D18,BD$9&lt;=$E18),1,"")</f>
        <v/>
      </c>
      <c r="BE18">
        <f>IF(AND(BE$9+6&gt;=$D18,BE$9&lt;=$E18),1,"")</f>
        <v/>
      </c>
      <c r="BF18">
        <f>IF(AND(BF$9+6&gt;=$D18,BF$9&lt;=$E18),1,"")</f>
        <v/>
      </c>
      <c r="BG18">
        <f>IF(AND(BG$9+6&gt;=$D18,BG$9&lt;=$E18),1,"")</f>
        <v/>
      </c>
    </row>
    <row r="19">
      <c r="B19" s="8" t="inlineStr">
        <is>
          <t>Coordinate with University Annual Report team (dependency map)</t>
        </is>
      </c>
      <c r="C19" s="8" t="inlineStr">
        <is>
          <t>Shared data map</t>
        </is>
      </c>
      <c r="D19" s="17" t="n">
        <v>46300</v>
      </c>
      <c r="E19" s="17" t="n">
        <v>46325</v>
      </c>
      <c r="F19" s="8" t="inlineStr">
        <is>
          <t>SST</t>
        </is>
      </c>
      <c r="G19" s="8" t="inlineStr">
        <is>
          <t>Director, Sustainability</t>
        </is>
      </c>
      <c r="H19" s="8" t="inlineStr"/>
      <c r="I19" s="8" t="inlineStr">
        <is>
          <t>Annual Report team</t>
        </is>
      </c>
      <c r="J19" s="8" t="inlineStr">
        <is>
          <t>High</t>
        </is>
      </c>
      <c r="K19" s="8" t="inlineStr">
        <is>
          <t>Not yet started</t>
        </is>
      </c>
      <c r="L19">
        <f>IF(AND(L$9+6&gt;=$D19,L$9&lt;=$E19),1,"")</f>
        <v/>
      </c>
      <c r="M19">
        <f>IF(AND(M$9+6&gt;=$D19,M$9&lt;=$E19),1,"")</f>
        <v/>
      </c>
      <c r="N19">
        <f>IF(AND(N$9+6&gt;=$D19,N$9&lt;=$E19),1,"")</f>
        <v/>
      </c>
      <c r="O19">
        <f>IF(AND(O$9+6&gt;=$D19,O$9&lt;=$E19),1,"")</f>
        <v/>
      </c>
      <c r="P19">
        <f>IF(AND(P$9+6&gt;=$D19,P$9&lt;=$E19),1,"")</f>
        <v/>
      </c>
      <c r="Q19">
        <f>IF(AND(Q$9+6&gt;=$D19,Q$9&lt;=$E19),1,"")</f>
        <v/>
      </c>
      <c r="R19">
        <f>IF(AND(R$9+6&gt;=$D19,R$9&lt;=$E19),1,"")</f>
        <v/>
      </c>
      <c r="S19">
        <f>IF(AND(S$9+6&gt;=$D19,S$9&lt;=$E19),1,"")</f>
        <v/>
      </c>
      <c r="T19">
        <f>IF(AND(T$9+6&gt;=$D19,T$9&lt;=$E19),1,"")</f>
        <v/>
      </c>
      <c r="U19">
        <f>IF(AND(U$9+6&gt;=$D19,U$9&lt;=$E19),1,"")</f>
        <v/>
      </c>
      <c r="V19">
        <f>IF(AND(V$9+6&gt;=$D19,V$9&lt;=$E19),1,"")</f>
        <v/>
      </c>
      <c r="W19">
        <f>IF(AND(W$9+6&gt;=$D19,W$9&lt;=$E19),1,"")</f>
        <v/>
      </c>
      <c r="X19">
        <f>IF(AND(X$9+6&gt;=$D19,X$9&lt;=$E19),1,"")</f>
        <v/>
      </c>
      <c r="Y19">
        <f>IF(AND(Y$9+6&gt;=$D19,Y$9&lt;=$E19),1,"")</f>
        <v/>
      </c>
      <c r="Z19">
        <f>IF(AND(Z$9+6&gt;=$D19,Z$9&lt;=$E19),1,"")</f>
        <v/>
      </c>
      <c r="AA19">
        <f>IF(AND(AA$9+6&gt;=$D19,AA$9&lt;=$E19),1,"")</f>
        <v/>
      </c>
      <c r="AB19">
        <f>IF(AND(AB$9+6&gt;=$D19,AB$9&lt;=$E19),1,"")</f>
        <v/>
      </c>
      <c r="AC19">
        <f>IF(AND(AC$9+6&gt;=$D19,AC$9&lt;=$E19),1,"")</f>
        <v/>
      </c>
      <c r="AD19">
        <f>IF(AND(AD$9+6&gt;=$D19,AD$9&lt;=$E19),1,"")</f>
        <v/>
      </c>
      <c r="AE19">
        <f>IF(AND(AE$9+6&gt;=$D19,AE$9&lt;=$E19),1,"")</f>
        <v/>
      </c>
      <c r="AF19">
        <f>IF(AND(AF$9+6&gt;=$D19,AF$9&lt;=$E19),1,"")</f>
        <v/>
      </c>
      <c r="AG19">
        <f>IF(AND(AG$9+6&gt;=$D19,AG$9&lt;=$E19),1,"")</f>
        <v/>
      </c>
      <c r="AH19">
        <f>IF(AND(AH$9+6&gt;=$D19,AH$9&lt;=$E19),1,"")</f>
        <v/>
      </c>
      <c r="AI19">
        <f>IF(AND(AI$9+6&gt;=$D19,AI$9&lt;=$E19),1,"")</f>
        <v/>
      </c>
      <c r="AJ19">
        <f>IF(AND(AJ$9+6&gt;=$D19,AJ$9&lt;=$E19),1,"")</f>
        <v/>
      </c>
      <c r="AK19">
        <f>IF(AND(AK$9+6&gt;=$D19,AK$9&lt;=$E19),1,"")</f>
        <v/>
      </c>
      <c r="AL19">
        <f>IF(AND(AL$9+6&gt;=$D19,AL$9&lt;=$E19),1,"")</f>
        <v/>
      </c>
      <c r="AM19">
        <f>IF(AND(AM$9+6&gt;=$D19,AM$9&lt;=$E19),1,"")</f>
        <v/>
      </c>
      <c r="AN19">
        <f>IF(AND(AN$9+6&gt;=$D19,AN$9&lt;=$E19),1,"")</f>
        <v/>
      </c>
      <c r="AO19">
        <f>IF(AND(AO$9+6&gt;=$D19,AO$9&lt;=$E19),1,"")</f>
        <v/>
      </c>
      <c r="AP19">
        <f>IF(AND(AP$9+6&gt;=$D19,AP$9&lt;=$E19),1,"")</f>
        <v/>
      </c>
      <c r="AQ19">
        <f>IF(AND(AQ$9+6&gt;=$D19,AQ$9&lt;=$E19),1,"")</f>
        <v/>
      </c>
      <c r="AR19">
        <f>IF(AND(AR$9+6&gt;=$D19,AR$9&lt;=$E19),1,"")</f>
        <v/>
      </c>
      <c r="AS19">
        <f>IF(AND(AS$9+6&gt;=$D19,AS$9&lt;=$E19),1,"")</f>
        <v/>
      </c>
      <c r="AT19">
        <f>IF(AND(AT$9+6&gt;=$D19,AT$9&lt;=$E19),1,"")</f>
        <v/>
      </c>
      <c r="AU19">
        <f>IF(AND(AU$9+6&gt;=$D19,AU$9&lt;=$E19),1,"")</f>
        <v/>
      </c>
      <c r="AV19">
        <f>IF(AND(AV$9+6&gt;=$D19,AV$9&lt;=$E19),1,"")</f>
        <v/>
      </c>
      <c r="AW19">
        <f>IF(AND(AW$9+6&gt;=$D19,AW$9&lt;=$E19),1,"")</f>
        <v/>
      </c>
      <c r="AX19">
        <f>IF(AND(AX$9+6&gt;=$D19,AX$9&lt;=$E19),1,"")</f>
        <v/>
      </c>
      <c r="AY19">
        <f>IF(AND(AY$9+6&gt;=$D19,AY$9&lt;=$E19),1,"")</f>
        <v/>
      </c>
      <c r="AZ19">
        <f>IF(AND(AZ$9+6&gt;=$D19,AZ$9&lt;=$E19),1,"")</f>
        <v/>
      </c>
      <c r="BA19">
        <f>IF(AND(BA$9+6&gt;=$D19,BA$9&lt;=$E19),1,"")</f>
        <v/>
      </c>
      <c r="BB19">
        <f>IF(AND(BB$9+6&gt;=$D19,BB$9&lt;=$E19),1,"")</f>
        <v/>
      </c>
      <c r="BC19">
        <f>IF(AND(BC$9+6&gt;=$D19,BC$9&lt;=$E19),1,"")</f>
        <v/>
      </c>
      <c r="BD19">
        <f>IF(AND(BD$9+6&gt;=$D19,BD$9&lt;=$E19),1,"")</f>
        <v/>
      </c>
      <c r="BE19">
        <f>IF(AND(BE$9+6&gt;=$D19,BE$9&lt;=$E19),1,"")</f>
        <v/>
      </c>
      <c r="BF19">
        <f>IF(AND(BF$9+6&gt;=$D19,BF$9&lt;=$E19),1,"")</f>
        <v/>
      </c>
      <c r="BG19">
        <f>IF(AND(BG$9+6&gt;=$D19,BG$9&lt;=$E19),1,"")</f>
        <v/>
      </c>
    </row>
    <row r="20">
      <c r="B20" s="8" t="inlineStr">
        <is>
          <t>Convene Strategic Comms, digital &amp; design; agree comms RASCI</t>
        </is>
      </c>
      <c r="C20" s="8" t="inlineStr">
        <is>
          <t>Kick-off</t>
        </is>
      </c>
      <c r="D20" s="17" t="n">
        <v>46300</v>
      </c>
      <c r="E20" s="17" t="n">
        <v>46318</v>
      </c>
      <c r="F20" s="8" t="inlineStr">
        <is>
          <t>SST</t>
        </is>
      </c>
      <c r="G20" s="8" t="inlineStr">
        <is>
          <t>Director, Sustainability</t>
        </is>
      </c>
      <c r="H20" s="8" t="inlineStr">
        <is>
          <t>Strategic Comms</t>
        </is>
      </c>
      <c r="I20" s="8" t="inlineStr">
        <is>
          <t>Design, digital</t>
        </is>
      </c>
      <c r="J20" s="8" t="inlineStr">
        <is>
          <t>High</t>
        </is>
      </c>
      <c r="K20" s="8" t="inlineStr">
        <is>
          <t>Not yet started</t>
        </is>
      </c>
      <c r="L20">
        <f>IF(AND(L$9+6&gt;=$D20,L$9&lt;=$E20),1,"")</f>
        <v/>
      </c>
      <c r="M20">
        <f>IF(AND(M$9+6&gt;=$D20,M$9&lt;=$E20),1,"")</f>
        <v/>
      </c>
      <c r="N20">
        <f>IF(AND(N$9+6&gt;=$D20,N$9&lt;=$E20),1,"")</f>
        <v/>
      </c>
      <c r="O20">
        <f>IF(AND(O$9+6&gt;=$D20,O$9&lt;=$E20),1,"")</f>
        <v/>
      </c>
      <c r="P20">
        <f>IF(AND(P$9+6&gt;=$D20,P$9&lt;=$E20),1,"")</f>
        <v/>
      </c>
      <c r="Q20">
        <f>IF(AND(Q$9+6&gt;=$D20,Q$9&lt;=$E20),1,"")</f>
        <v/>
      </c>
      <c r="R20">
        <f>IF(AND(R$9+6&gt;=$D20,R$9&lt;=$E20),1,"")</f>
        <v/>
      </c>
      <c r="S20">
        <f>IF(AND(S$9+6&gt;=$D20,S$9&lt;=$E20),1,"")</f>
        <v/>
      </c>
      <c r="T20">
        <f>IF(AND(T$9+6&gt;=$D20,T$9&lt;=$E20),1,"")</f>
        <v/>
      </c>
      <c r="U20">
        <f>IF(AND(U$9+6&gt;=$D20,U$9&lt;=$E20),1,"")</f>
        <v/>
      </c>
      <c r="V20">
        <f>IF(AND(V$9+6&gt;=$D20,V$9&lt;=$E20),1,"")</f>
        <v/>
      </c>
      <c r="W20">
        <f>IF(AND(W$9+6&gt;=$D20,W$9&lt;=$E20),1,"")</f>
        <v/>
      </c>
      <c r="X20">
        <f>IF(AND(X$9+6&gt;=$D20,X$9&lt;=$E20),1,"")</f>
        <v/>
      </c>
      <c r="Y20">
        <f>IF(AND(Y$9+6&gt;=$D20,Y$9&lt;=$E20),1,"")</f>
        <v/>
      </c>
      <c r="Z20">
        <f>IF(AND(Z$9+6&gt;=$D20,Z$9&lt;=$E20),1,"")</f>
        <v/>
      </c>
      <c r="AA20">
        <f>IF(AND(AA$9+6&gt;=$D20,AA$9&lt;=$E20),1,"")</f>
        <v/>
      </c>
      <c r="AB20">
        <f>IF(AND(AB$9+6&gt;=$D20,AB$9&lt;=$E20),1,"")</f>
        <v/>
      </c>
      <c r="AC20">
        <f>IF(AND(AC$9+6&gt;=$D20,AC$9&lt;=$E20),1,"")</f>
        <v/>
      </c>
      <c r="AD20">
        <f>IF(AND(AD$9+6&gt;=$D20,AD$9&lt;=$E20),1,"")</f>
        <v/>
      </c>
      <c r="AE20">
        <f>IF(AND(AE$9+6&gt;=$D20,AE$9&lt;=$E20),1,"")</f>
        <v/>
      </c>
      <c r="AF20">
        <f>IF(AND(AF$9+6&gt;=$D20,AF$9&lt;=$E20),1,"")</f>
        <v/>
      </c>
      <c r="AG20">
        <f>IF(AND(AG$9+6&gt;=$D20,AG$9&lt;=$E20),1,"")</f>
        <v/>
      </c>
      <c r="AH20">
        <f>IF(AND(AH$9+6&gt;=$D20,AH$9&lt;=$E20),1,"")</f>
        <v/>
      </c>
      <c r="AI20">
        <f>IF(AND(AI$9+6&gt;=$D20,AI$9&lt;=$E20),1,"")</f>
        <v/>
      </c>
      <c r="AJ20">
        <f>IF(AND(AJ$9+6&gt;=$D20,AJ$9&lt;=$E20),1,"")</f>
        <v/>
      </c>
      <c r="AK20">
        <f>IF(AND(AK$9+6&gt;=$D20,AK$9&lt;=$E20),1,"")</f>
        <v/>
      </c>
      <c r="AL20">
        <f>IF(AND(AL$9+6&gt;=$D20,AL$9&lt;=$E20),1,"")</f>
        <v/>
      </c>
      <c r="AM20">
        <f>IF(AND(AM$9+6&gt;=$D20,AM$9&lt;=$E20),1,"")</f>
        <v/>
      </c>
      <c r="AN20">
        <f>IF(AND(AN$9+6&gt;=$D20,AN$9&lt;=$E20),1,"")</f>
        <v/>
      </c>
      <c r="AO20">
        <f>IF(AND(AO$9+6&gt;=$D20,AO$9&lt;=$E20),1,"")</f>
        <v/>
      </c>
      <c r="AP20">
        <f>IF(AND(AP$9+6&gt;=$D20,AP$9&lt;=$E20),1,"")</f>
        <v/>
      </c>
      <c r="AQ20">
        <f>IF(AND(AQ$9+6&gt;=$D20,AQ$9&lt;=$E20),1,"")</f>
        <v/>
      </c>
      <c r="AR20">
        <f>IF(AND(AR$9+6&gt;=$D20,AR$9&lt;=$E20),1,"")</f>
        <v/>
      </c>
      <c r="AS20">
        <f>IF(AND(AS$9+6&gt;=$D20,AS$9&lt;=$E20),1,"")</f>
        <v/>
      </c>
      <c r="AT20">
        <f>IF(AND(AT$9+6&gt;=$D20,AT$9&lt;=$E20),1,"")</f>
        <v/>
      </c>
      <c r="AU20">
        <f>IF(AND(AU$9+6&gt;=$D20,AU$9&lt;=$E20),1,"")</f>
        <v/>
      </c>
      <c r="AV20">
        <f>IF(AND(AV$9+6&gt;=$D20,AV$9&lt;=$E20),1,"")</f>
        <v/>
      </c>
      <c r="AW20">
        <f>IF(AND(AW$9+6&gt;=$D20,AW$9&lt;=$E20),1,"")</f>
        <v/>
      </c>
      <c r="AX20">
        <f>IF(AND(AX$9+6&gt;=$D20,AX$9&lt;=$E20),1,"")</f>
        <v/>
      </c>
      <c r="AY20">
        <f>IF(AND(AY$9+6&gt;=$D20,AY$9&lt;=$E20),1,"")</f>
        <v/>
      </c>
      <c r="AZ20">
        <f>IF(AND(AZ$9+6&gt;=$D20,AZ$9&lt;=$E20),1,"")</f>
        <v/>
      </c>
      <c r="BA20">
        <f>IF(AND(BA$9+6&gt;=$D20,BA$9&lt;=$E20),1,"")</f>
        <v/>
      </c>
      <c r="BB20">
        <f>IF(AND(BB$9+6&gt;=$D20,BB$9&lt;=$E20),1,"")</f>
        <v/>
      </c>
      <c r="BC20">
        <f>IF(AND(BC$9+6&gt;=$D20,BC$9&lt;=$E20),1,"")</f>
        <v/>
      </c>
      <c r="BD20">
        <f>IF(AND(BD$9+6&gt;=$D20,BD$9&lt;=$E20),1,"")</f>
        <v/>
      </c>
      <c r="BE20">
        <f>IF(AND(BE$9+6&gt;=$D20,BE$9&lt;=$E20),1,"")</f>
        <v/>
      </c>
      <c r="BF20">
        <f>IF(AND(BF$9+6&gt;=$D20,BF$9&lt;=$E20),1,"")</f>
        <v/>
      </c>
      <c r="BG20">
        <f>IF(AND(BG$9+6&gt;=$D20,BG$9&lt;=$E20),1,"")</f>
        <v/>
      </c>
    </row>
    <row r="21">
      <c r="B21" s="8" t="inlineStr">
        <is>
          <t>Sustainability 2030 launch</t>
        </is>
      </c>
      <c r="C21" s="8" t="inlineStr">
        <is>
          <t>~20 Oct (TBC)</t>
        </is>
      </c>
      <c r="D21" s="17" t="n">
        <v>46315</v>
      </c>
      <c r="E21" s="17" t="n">
        <v>46315</v>
      </c>
      <c r="F21" s="8" t="inlineStr"/>
      <c r="G21" s="8" t="inlineStr"/>
      <c r="H21" s="8" t="inlineStr"/>
      <c r="I21" s="8" t="inlineStr"/>
      <c r="J21" s="8" t="inlineStr">
        <is>
          <t>Milestone</t>
        </is>
      </c>
      <c r="K21" s="8" t="inlineStr">
        <is>
          <t>Not yet started</t>
        </is>
      </c>
      <c r="L21">
        <f>IF(AND(L$9+6&gt;=$D21,L$9&lt;=$E21),1,"")</f>
        <v/>
      </c>
      <c r="M21">
        <f>IF(AND(M$9+6&gt;=$D21,M$9&lt;=$E21),1,"")</f>
        <v/>
      </c>
      <c r="N21">
        <f>IF(AND(N$9+6&gt;=$D21,N$9&lt;=$E21),1,"")</f>
        <v/>
      </c>
      <c r="O21">
        <f>IF(AND(O$9+6&gt;=$D21,O$9&lt;=$E21),1,"")</f>
        <v/>
      </c>
      <c r="P21">
        <f>IF(AND(P$9+6&gt;=$D21,P$9&lt;=$E21),1,"")</f>
        <v/>
      </c>
      <c r="Q21">
        <f>IF(AND(Q$9+6&gt;=$D21,Q$9&lt;=$E21),1,"")</f>
        <v/>
      </c>
      <c r="R21">
        <f>IF(AND(R$9+6&gt;=$D21,R$9&lt;=$E21),1,"")</f>
        <v/>
      </c>
      <c r="S21">
        <f>IF(AND(S$9+6&gt;=$D21,S$9&lt;=$E21),1,"")</f>
        <v/>
      </c>
      <c r="T21">
        <f>IF(AND(T$9+6&gt;=$D21,T$9&lt;=$E21),1,"")</f>
        <v/>
      </c>
      <c r="U21">
        <f>IF(AND(U$9+6&gt;=$D21,U$9&lt;=$E21),1,"")</f>
        <v/>
      </c>
      <c r="V21">
        <f>IF(AND(V$9+6&gt;=$D21,V$9&lt;=$E21),1,"")</f>
        <v/>
      </c>
      <c r="W21">
        <f>IF(AND(W$9+6&gt;=$D21,W$9&lt;=$E21),1,"")</f>
        <v/>
      </c>
      <c r="X21">
        <f>IF(AND(X$9+6&gt;=$D21,X$9&lt;=$E21),1,"")</f>
        <v/>
      </c>
      <c r="Y21">
        <f>IF(AND(Y$9+6&gt;=$D21,Y$9&lt;=$E21),1,"")</f>
        <v/>
      </c>
      <c r="Z21">
        <f>IF(AND(Z$9+6&gt;=$D21,Z$9&lt;=$E21),1,"")</f>
        <v/>
      </c>
      <c r="AA21">
        <f>IF(AND(AA$9+6&gt;=$D21,AA$9&lt;=$E21),1,"")</f>
        <v/>
      </c>
      <c r="AB21">
        <f>IF(AND(AB$9+6&gt;=$D21,AB$9&lt;=$E21),1,"")</f>
        <v/>
      </c>
      <c r="AC21">
        <f>IF(AND(AC$9+6&gt;=$D21,AC$9&lt;=$E21),1,"")</f>
        <v/>
      </c>
      <c r="AD21">
        <f>IF(AND(AD$9+6&gt;=$D21,AD$9&lt;=$E21),1,"")</f>
        <v/>
      </c>
      <c r="AE21">
        <f>IF(AND(AE$9+6&gt;=$D21,AE$9&lt;=$E21),1,"")</f>
        <v/>
      </c>
      <c r="AF21">
        <f>IF(AND(AF$9+6&gt;=$D21,AF$9&lt;=$E21),1,"")</f>
        <v/>
      </c>
      <c r="AG21">
        <f>IF(AND(AG$9+6&gt;=$D21,AG$9&lt;=$E21),1,"")</f>
        <v/>
      </c>
      <c r="AH21">
        <f>IF(AND(AH$9+6&gt;=$D21,AH$9&lt;=$E21),1,"")</f>
        <v/>
      </c>
      <c r="AI21">
        <f>IF(AND(AI$9+6&gt;=$D21,AI$9&lt;=$E21),1,"")</f>
        <v/>
      </c>
      <c r="AJ21">
        <f>IF(AND(AJ$9+6&gt;=$D21,AJ$9&lt;=$E21),1,"")</f>
        <v/>
      </c>
      <c r="AK21">
        <f>IF(AND(AK$9+6&gt;=$D21,AK$9&lt;=$E21),1,"")</f>
        <v/>
      </c>
      <c r="AL21">
        <f>IF(AND(AL$9+6&gt;=$D21,AL$9&lt;=$E21),1,"")</f>
        <v/>
      </c>
      <c r="AM21">
        <f>IF(AND(AM$9+6&gt;=$D21,AM$9&lt;=$E21),1,"")</f>
        <v/>
      </c>
      <c r="AN21">
        <f>IF(AND(AN$9+6&gt;=$D21,AN$9&lt;=$E21),1,"")</f>
        <v/>
      </c>
      <c r="AO21">
        <f>IF(AND(AO$9+6&gt;=$D21,AO$9&lt;=$E21),1,"")</f>
        <v/>
      </c>
      <c r="AP21">
        <f>IF(AND(AP$9+6&gt;=$D21,AP$9&lt;=$E21),1,"")</f>
        <v/>
      </c>
      <c r="AQ21">
        <f>IF(AND(AQ$9+6&gt;=$D21,AQ$9&lt;=$E21),1,"")</f>
        <v/>
      </c>
      <c r="AR21">
        <f>IF(AND(AR$9+6&gt;=$D21,AR$9&lt;=$E21),1,"")</f>
        <v/>
      </c>
      <c r="AS21">
        <f>IF(AND(AS$9+6&gt;=$D21,AS$9&lt;=$E21),1,"")</f>
        <v/>
      </c>
      <c r="AT21">
        <f>IF(AND(AT$9+6&gt;=$D21,AT$9&lt;=$E21),1,"")</f>
        <v/>
      </c>
      <c r="AU21">
        <f>IF(AND(AU$9+6&gt;=$D21,AU$9&lt;=$E21),1,"")</f>
        <v/>
      </c>
      <c r="AV21">
        <f>IF(AND(AV$9+6&gt;=$D21,AV$9&lt;=$E21),1,"")</f>
        <v/>
      </c>
      <c r="AW21">
        <f>IF(AND(AW$9+6&gt;=$D21,AW$9&lt;=$E21),1,"")</f>
        <v/>
      </c>
      <c r="AX21">
        <f>IF(AND(AX$9+6&gt;=$D21,AX$9&lt;=$E21),1,"")</f>
        <v/>
      </c>
      <c r="AY21">
        <f>IF(AND(AY$9+6&gt;=$D21,AY$9&lt;=$E21),1,"")</f>
        <v/>
      </c>
      <c r="AZ21">
        <f>IF(AND(AZ$9+6&gt;=$D21,AZ$9&lt;=$E21),1,"")</f>
        <v/>
      </c>
      <c r="BA21">
        <f>IF(AND(BA$9+6&gt;=$D21,BA$9&lt;=$E21),1,"")</f>
        <v/>
      </c>
      <c r="BB21">
        <f>IF(AND(BB$9+6&gt;=$D21,BB$9&lt;=$E21),1,"")</f>
        <v/>
      </c>
      <c r="BC21">
        <f>IF(AND(BC$9+6&gt;=$D21,BC$9&lt;=$E21),1,"")</f>
        <v/>
      </c>
      <c r="BD21">
        <f>IF(AND(BD$9+6&gt;=$D21,BD$9&lt;=$E21),1,"")</f>
        <v/>
      </c>
      <c r="BE21">
        <f>IF(AND(BE$9+6&gt;=$D21,BE$9&lt;=$E21),1,"")</f>
        <v/>
      </c>
      <c r="BF21">
        <f>IF(AND(BF$9+6&gt;=$D21,BF$9&lt;=$E21),1,"")</f>
        <v/>
      </c>
      <c r="BG21">
        <f>IF(AND(BG$9+6&gt;=$D21,BG$9&lt;=$E21),1,"")</f>
        <v/>
      </c>
    </row>
    <row r="22">
      <c r="B22" s="8" t="inlineStr">
        <is>
          <t>Brief contributor groups / working groups (after launch)</t>
        </is>
      </c>
      <c r="C22" s="8" t="inlineStr"/>
      <c r="D22" s="17" t="n">
        <v>46315</v>
      </c>
      <c r="E22" s="17" t="n">
        <v>46332</v>
      </c>
      <c r="F22" s="8" t="inlineStr">
        <is>
          <t>SST</t>
        </is>
      </c>
      <c r="G22" s="8" t="inlineStr"/>
      <c r="H22" s="8" t="inlineStr"/>
      <c r="I22" s="8" t="inlineStr">
        <is>
          <t>Working groups</t>
        </is>
      </c>
      <c r="J22" s="8" t="inlineStr">
        <is>
          <t>Medium</t>
        </is>
      </c>
      <c r="K22" s="8" t="inlineStr">
        <is>
          <t>Not yet started</t>
        </is>
      </c>
      <c r="L22">
        <f>IF(AND(L$9+6&gt;=$D22,L$9&lt;=$E22),1,"")</f>
        <v/>
      </c>
      <c r="M22">
        <f>IF(AND(M$9+6&gt;=$D22,M$9&lt;=$E22),1,"")</f>
        <v/>
      </c>
      <c r="N22">
        <f>IF(AND(N$9+6&gt;=$D22,N$9&lt;=$E22),1,"")</f>
        <v/>
      </c>
      <c r="O22">
        <f>IF(AND(O$9+6&gt;=$D22,O$9&lt;=$E22),1,"")</f>
        <v/>
      </c>
      <c r="P22">
        <f>IF(AND(P$9+6&gt;=$D22,P$9&lt;=$E22),1,"")</f>
        <v/>
      </c>
      <c r="Q22">
        <f>IF(AND(Q$9+6&gt;=$D22,Q$9&lt;=$E22),1,"")</f>
        <v/>
      </c>
      <c r="R22">
        <f>IF(AND(R$9+6&gt;=$D22,R$9&lt;=$E22),1,"")</f>
        <v/>
      </c>
      <c r="S22">
        <f>IF(AND(S$9+6&gt;=$D22,S$9&lt;=$E22),1,"")</f>
        <v/>
      </c>
      <c r="T22">
        <f>IF(AND(T$9+6&gt;=$D22,T$9&lt;=$E22),1,"")</f>
        <v/>
      </c>
      <c r="U22">
        <f>IF(AND(U$9+6&gt;=$D22,U$9&lt;=$E22),1,"")</f>
        <v/>
      </c>
      <c r="V22">
        <f>IF(AND(V$9+6&gt;=$D22,V$9&lt;=$E22),1,"")</f>
        <v/>
      </c>
      <c r="W22">
        <f>IF(AND(W$9+6&gt;=$D22,W$9&lt;=$E22),1,"")</f>
        <v/>
      </c>
      <c r="X22">
        <f>IF(AND(X$9+6&gt;=$D22,X$9&lt;=$E22),1,"")</f>
        <v/>
      </c>
      <c r="Y22">
        <f>IF(AND(Y$9+6&gt;=$D22,Y$9&lt;=$E22),1,"")</f>
        <v/>
      </c>
      <c r="Z22">
        <f>IF(AND(Z$9+6&gt;=$D22,Z$9&lt;=$E22),1,"")</f>
        <v/>
      </c>
      <c r="AA22">
        <f>IF(AND(AA$9+6&gt;=$D22,AA$9&lt;=$E22),1,"")</f>
        <v/>
      </c>
      <c r="AB22">
        <f>IF(AND(AB$9+6&gt;=$D22,AB$9&lt;=$E22),1,"")</f>
        <v/>
      </c>
      <c r="AC22">
        <f>IF(AND(AC$9+6&gt;=$D22,AC$9&lt;=$E22),1,"")</f>
        <v/>
      </c>
      <c r="AD22">
        <f>IF(AND(AD$9+6&gt;=$D22,AD$9&lt;=$E22),1,"")</f>
        <v/>
      </c>
      <c r="AE22">
        <f>IF(AND(AE$9+6&gt;=$D22,AE$9&lt;=$E22),1,"")</f>
        <v/>
      </c>
      <c r="AF22">
        <f>IF(AND(AF$9+6&gt;=$D22,AF$9&lt;=$E22),1,"")</f>
        <v/>
      </c>
      <c r="AG22">
        <f>IF(AND(AG$9+6&gt;=$D22,AG$9&lt;=$E22),1,"")</f>
        <v/>
      </c>
      <c r="AH22">
        <f>IF(AND(AH$9+6&gt;=$D22,AH$9&lt;=$E22),1,"")</f>
        <v/>
      </c>
      <c r="AI22">
        <f>IF(AND(AI$9+6&gt;=$D22,AI$9&lt;=$E22),1,"")</f>
        <v/>
      </c>
      <c r="AJ22">
        <f>IF(AND(AJ$9+6&gt;=$D22,AJ$9&lt;=$E22),1,"")</f>
        <v/>
      </c>
      <c r="AK22">
        <f>IF(AND(AK$9+6&gt;=$D22,AK$9&lt;=$E22),1,"")</f>
        <v/>
      </c>
      <c r="AL22">
        <f>IF(AND(AL$9+6&gt;=$D22,AL$9&lt;=$E22),1,"")</f>
        <v/>
      </c>
      <c r="AM22">
        <f>IF(AND(AM$9+6&gt;=$D22,AM$9&lt;=$E22),1,"")</f>
        <v/>
      </c>
      <c r="AN22">
        <f>IF(AND(AN$9+6&gt;=$D22,AN$9&lt;=$E22),1,"")</f>
        <v/>
      </c>
      <c r="AO22">
        <f>IF(AND(AO$9+6&gt;=$D22,AO$9&lt;=$E22),1,"")</f>
        <v/>
      </c>
      <c r="AP22">
        <f>IF(AND(AP$9+6&gt;=$D22,AP$9&lt;=$E22),1,"")</f>
        <v/>
      </c>
      <c r="AQ22">
        <f>IF(AND(AQ$9+6&gt;=$D22,AQ$9&lt;=$E22),1,"")</f>
        <v/>
      </c>
      <c r="AR22">
        <f>IF(AND(AR$9+6&gt;=$D22,AR$9&lt;=$E22),1,"")</f>
        <v/>
      </c>
      <c r="AS22">
        <f>IF(AND(AS$9+6&gt;=$D22,AS$9&lt;=$E22),1,"")</f>
        <v/>
      </c>
      <c r="AT22">
        <f>IF(AND(AT$9+6&gt;=$D22,AT$9&lt;=$E22),1,"")</f>
        <v/>
      </c>
      <c r="AU22">
        <f>IF(AND(AU$9+6&gt;=$D22,AU$9&lt;=$E22),1,"")</f>
        <v/>
      </c>
      <c r="AV22">
        <f>IF(AND(AV$9+6&gt;=$D22,AV$9&lt;=$E22),1,"")</f>
        <v/>
      </c>
      <c r="AW22">
        <f>IF(AND(AW$9+6&gt;=$D22,AW$9&lt;=$E22),1,"")</f>
        <v/>
      </c>
      <c r="AX22">
        <f>IF(AND(AX$9+6&gt;=$D22,AX$9&lt;=$E22),1,"")</f>
        <v/>
      </c>
      <c r="AY22">
        <f>IF(AND(AY$9+6&gt;=$D22,AY$9&lt;=$E22),1,"")</f>
        <v/>
      </c>
      <c r="AZ22">
        <f>IF(AND(AZ$9+6&gt;=$D22,AZ$9&lt;=$E22),1,"")</f>
        <v/>
      </c>
      <c r="BA22">
        <f>IF(AND(BA$9+6&gt;=$D22,BA$9&lt;=$E22),1,"")</f>
        <v/>
      </c>
      <c r="BB22">
        <f>IF(AND(BB$9+6&gt;=$D22,BB$9&lt;=$E22),1,"")</f>
        <v/>
      </c>
      <c r="BC22">
        <f>IF(AND(BC$9+6&gt;=$D22,BC$9&lt;=$E22),1,"")</f>
        <v/>
      </c>
      <c r="BD22">
        <f>IF(AND(BD$9+6&gt;=$D22,BD$9&lt;=$E22),1,"")</f>
        <v/>
      </c>
      <c r="BE22">
        <f>IF(AND(BE$9+6&gt;=$D22,BE$9&lt;=$E22),1,"")</f>
        <v/>
      </c>
      <c r="BF22">
        <f>IF(AND(BF$9+6&gt;=$D22,BF$9&lt;=$E22),1,"")</f>
        <v/>
      </c>
      <c r="BG22">
        <f>IF(AND(BG$9+6&gt;=$D22,BG$9&lt;=$E22),1,"")</f>
        <v/>
      </c>
    </row>
    <row r="23">
      <c r="B23" s="8" t="inlineStr">
        <is>
          <t>Joint ADs Sustainability &amp; ADs T&amp;L session</t>
        </is>
      </c>
      <c r="C23" s="8" t="inlineStr">
        <is>
          <t>Structured prompt in advance</t>
        </is>
      </c>
      <c r="D23" s="17" t="n">
        <v>46314</v>
      </c>
      <c r="E23" s="17" t="n">
        <v>46325</v>
      </c>
      <c r="F23" s="8" t="inlineStr">
        <is>
          <t>SST</t>
        </is>
      </c>
      <c r="G23" s="8" t="inlineStr"/>
      <c r="H23" s="8" t="inlineStr"/>
      <c r="I23" s="8" t="inlineStr">
        <is>
          <t>ADs</t>
        </is>
      </c>
      <c r="J23" s="8" t="inlineStr">
        <is>
          <t>Medium</t>
        </is>
      </c>
      <c r="K23" s="8" t="inlineStr">
        <is>
          <t>Not yet started</t>
        </is>
      </c>
      <c r="L23">
        <f>IF(AND(L$9+6&gt;=$D23,L$9&lt;=$E23),1,"")</f>
        <v/>
      </c>
      <c r="M23">
        <f>IF(AND(M$9+6&gt;=$D23,M$9&lt;=$E23),1,"")</f>
        <v/>
      </c>
      <c r="N23">
        <f>IF(AND(N$9+6&gt;=$D23,N$9&lt;=$E23),1,"")</f>
        <v/>
      </c>
      <c r="O23">
        <f>IF(AND(O$9+6&gt;=$D23,O$9&lt;=$E23),1,"")</f>
        <v/>
      </c>
      <c r="P23">
        <f>IF(AND(P$9+6&gt;=$D23,P$9&lt;=$E23),1,"")</f>
        <v/>
      </c>
      <c r="Q23">
        <f>IF(AND(Q$9+6&gt;=$D23,Q$9&lt;=$E23),1,"")</f>
        <v/>
      </c>
      <c r="R23">
        <f>IF(AND(R$9+6&gt;=$D23,R$9&lt;=$E23),1,"")</f>
        <v/>
      </c>
      <c r="S23">
        <f>IF(AND(S$9+6&gt;=$D23,S$9&lt;=$E23),1,"")</f>
        <v/>
      </c>
      <c r="T23">
        <f>IF(AND(T$9+6&gt;=$D23,T$9&lt;=$E23),1,"")</f>
        <v/>
      </c>
      <c r="U23">
        <f>IF(AND(U$9+6&gt;=$D23,U$9&lt;=$E23),1,"")</f>
        <v/>
      </c>
      <c r="V23">
        <f>IF(AND(V$9+6&gt;=$D23,V$9&lt;=$E23),1,"")</f>
        <v/>
      </c>
      <c r="W23">
        <f>IF(AND(W$9+6&gt;=$D23,W$9&lt;=$E23),1,"")</f>
        <v/>
      </c>
      <c r="X23">
        <f>IF(AND(X$9+6&gt;=$D23,X$9&lt;=$E23),1,"")</f>
        <v/>
      </c>
      <c r="Y23">
        <f>IF(AND(Y$9+6&gt;=$D23,Y$9&lt;=$E23),1,"")</f>
        <v/>
      </c>
      <c r="Z23">
        <f>IF(AND(Z$9+6&gt;=$D23,Z$9&lt;=$E23),1,"")</f>
        <v/>
      </c>
      <c r="AA23">
        <f>IF(AND(AA$9+6&gt;=$D23,AA$9&lt;=$E23),1,"")</f>
        <v/>
      </c>
      <c r="AB23">
        <f>IF(AND(AB$9+6&gt;=$D23,AB$9&lt;=$E23),1,"")</f>
        <v/>
      </c>
      <c r="AC23">
        <f>IF(AND(AC$9+6&gt;=$D23,AC$9&lt;=$E23),1,"")</f>
        <v/>
      </c>
      <c r="AD23">
        <f>IF(AND(AD$9+6&gt;=$D23,AD$9&lt;=$E23),1,"")</f>
        <v/>
      </c>
      <c r="AE23">
        <f>IF(AND(AE$9+6&gt;=$D23,AE$9&lt;=$E23),1,"")</f>
        <v/>
      </c>
      <c r="AF23">
        <f>IF(AND(AF$9+6&gt;=$D23,AF$9&lt;=$E23),1,"")</f>
        <v/>
      </c>
      <c r="AG23">
        <f>IF(AND(AG$9+6&gt;=$D23,AG$9&lt;=$E23),1,"")</f>
        <v/>
      </c>
      <c r="AH23">
        <f>IF(AND(AH$9+6&gt;=$D23,AH$9&lt;=$E23),1,"")</f>
        <v/>
      </c>
      <c r="AI23">
        <f>IF(AND(AI$9+6&gt;=$D23,AI$9&lt;=$E23),1,"")</f>
        <v/>
      </c>
      <c r="AJ23">
        <f>IF(AND(AJ$9+6&gt;=$D23,AJ$9&lt;=$E23),1,"")</f>
        <v/>
      </c>
      <c r="AK23">
        <f>IF(AND(AK$9+6&gt;=$D23,AK$9&lt;=$E23),1,"")</f>
        <v/>
      </c>
      <c r="AL23">
        <f>IF(AND(AL$9+6&gt;=$D23,AL$9&lt;=$E23),1,"")</f>
        <v/>
      </c>
      <c r="AM23">
        <f>IF(AND(AM$9+6&gt;=$D23,AM$9&lt;=$E23),1,"")</f>
        <v/>
      </c>
      <c r="AN23">
        <f>IF(AND(AN$9+6&gt;=$D23,AN$9&lt;=$E23),1,"")</f>
        <v/>
      </c>
      <c r="AO23">
        <f>IF(AND(AO$9+6&gt;=$D23,AO$9&lt;=$E23),1,"")</f>
        <v/>
      </c>
      <c r="AP23">
        <f>IF(AND(AP$9+6&gt;=$D23,AP$9&lt;=$E23),1,"")</f>
        <v/>
      </c>
      <c r="AQ23">
        <f>IF(AND(AQ$9+6&gt;=$D23,AQ$9&lt;=$E23),1,"")</f>
        <v/>
      </c>
      <c r="AR23">
        <f>IF(AND(AR$9+6&gt;=$D23,AR$9&lt;=$E23),1,"")</f>
        <v/>
      </c>
      <c r="AS23">
        <f>IF(AND(AS$9+6&gt;=$D23,AS$9&lt;=$E23),1,"")</f>
        <v/>
      </c>
      <c r="AT23">
        <f>IF(AND(AT$9+6&gt;=$D23,AT$9&lt;=$E23),1,"")</f>
        <v/>
      </c>
      <c r="AU23">
        <f>IF(AND(AU$9+6&gt;=$D23,AU$9&lt;=$E23),1,"")</f>
        <v/>
      </c>
      <c r="AV23">
        <f>IF(AND(AV$9+6&gt;=$D23,AV$9&lt;=$E23),1,"")</f>
        <v/>
      </c>
      <c r="AW23">
        <f>IF(AND(AW$9+6&gt;=$D23,AW$9&lt;=$E23),1,"")</f>
        <v/>
      </c>
      <c r="AX23">
        <f>IF(AND(AX$9+6&gt;=$D23,AX$9&lt;=$E23),1,"")</f>
        <v/>
      </c>
      <c r="AY23">
        <f>IF(AND(AY$9+6&gt;=$D23,AY$9&lt;=$E23),1,"")</f>
        <v/>
      </c>
      <c r="AZ23">
        <f>IF(AND(AZ$9+6&gt;=$D23,AZ$9&lt;=$E23),1,"")</f>
        <v/>
      </c>
      <c r="BA23">
        <f>IF(AND(BA$9+6&gt;=$D23,BA$9&lt;=$E23),1,"")</f>
        <v/>
      </c>
      <c r="BB23">
        <f>IF(AND(BB$9+6&gt;=$D23,BB$9&lt;=$E23),1,"")</f>
        <v/>
      </c>
      <c r="BC23">
        <f>IF(AND(BC$9+6&gt;=$D23,BC$9&lt;=$E23),1,"")</f>
        <v/>
      </c>
      <c r="BD23">
        <f>IF(AND(BD$9+6&gt;=$D23,BD$9&lt;=$E23),1,"")</f>
        <v/>
      </c>
      <c r="BE23">
        <f>IF(AND(BE$9+6&gt;=$D23,BE$9&lt;=$E23),1,"")</f>
        <v/>
      </c>
      <c r="BF23">
        <f>IF(AND(BF$9+6&gt;=$D23,BF$9&lt;=$E23),1,"")</f>
        <v/>
      </c>
      <c r="BG23">
        <f>IF(AND(BG$9+6&gt;=$D23,BG$9&lt;=$E23),1,"")</f>
        <v/>
      </c>
    </row>
    <row r="24">
      <c r="B24" s="8" t="inlineStr">
        <is>
          <t>Open case-study calls (University-wide + faculty networks)</t>
        </is>
      </c>
      <c r="C24" s="8" t="inlineStr">
        <is>
          <t>Close early Dec</t>
        </is>
      </c>
      <c r="D24" s="17" t="n">
        <v>46315</v>
      </c>
      <c r="E24" s="17" t="n">
        <v>46360</v>
      </c>
      <c r="F24" s="8" t="inlineStr">
        <is>
          <t>SST</t>
        </is>
      </c>
      <c r="G24" s="8" t="inlineStr"/>
      <c r="H24" s="8" t="inlineStr">
        <is>
          <t>Comms</t>
        </is>
      </c>
      <c r="I24" s="8" t="inlineStr">
        <is>
          <t>All staff</t>
        </is>
      </c>
      <c r="J24" s="8" t="inlineStr">
        <is>
          <t>Medium</t>
        </is>
      </c>
      <c r="K24" s="8" t="inlineStr">
        <is>
          <t>Not yet started</t>
        </is>
      </c>
      <c r="L24">
        <f>IF(AND(L$9+6&gt;=$D24,L$9&lt;=$E24),1,"")</f>
        <v/>
      </c>
      <c r="M24">
        <f>IF(AND(M$9+6&gt;=$D24,M$9&lt;=$E24),1,"")</f>
        <v/>
      </c>
      <c r="N24">
        <f>IF(AND(N$9+6&gt;=$D24,N$9&lt;=$E24),1,"")</f>
        <v/>
      </c>
      <c r="O24">
        <f>IF(AND(O$9+6&gt;=$D24,O$9&lt;=$E24),1,"")</f>
        <v/>
      </c>
      <c r="P24">
        <f>IF(AND(P$9+6&gt;=$D24,P$9&lt;=$E24),1,"")</f>
        <v/>
      </c>
      <c r="Q24">
        <f>IF(AND(Q$9+6&gt;=$D24,Q$9&lt;=$E24),1,"")</f>
        <v/>
      </c>
      <c r="R24">
        <f>IF(AND(R$9+6&gt;=$D24,R$9&lt;=$E24),1,"")</f>
        <v/>
      </c>
      <c r="S24">
        <f>IF(AND(S$9+6&gt;=$D24,S$9&lt;=$E24),1,"")</f>
        <v/>
      </c>
      <c r="T24">
        <f>IF(AND(T$9+6&gt;=$D24,T$9&lt;=$E24),1,"")</f>
        <v/>
      </c>
      <c r="U24">
        <f>IF(AND(U$9+6&gt;=$D24,U$9&lt;=$E24),1,"")</f>
        <v/>
      </c>
      <c r="V24">
        <f>IF(AND(V$9+6&gt;=$D24,V$9&lt;=$E24),1,"")</f>
        <v/>
      </c>
      <c r="W24">
        <f>IF(AND(W$9+6&gt;=$D24,W$9&lt;=$E24),1,"")</f>
        <v/>
      </c>
      <c r="X24">
        <f>IF(AND(X$9+6&gt;=$D24,X$9&lt;=$E24),1,"")</f>
        <v/>
      </c>
      <c r="Y24">
        <f>IF(AND(Y$9+6&gt;=$D24,Y$9&lt;=$E24),1,"")</f>
        <v/>
      </c>
      <c r="Z24">
        <f>IF(AND(Z$9+6&gt;=$D24,Z$9&lt;=$E24),1,"")</f>
        <v/>
      </c>
      <c r="AA24">
        <f>IF(AND(AA$9+6&gt;=$D24,AA$9&lt;=$E24),1,"")</f>
        <v/>
      </c>
      <c r="AB24">
        <f>IF(AND(AB$9+6&gt;=$D24,AB$9&lt;=$E24),1,"")</f>
        <v/>
      </c>
      <c r="AC24">
        <f>IF(AND(AC$9+6&gt;=$D24,AC$9&lt;=$E24),1,"")</f>
        <v/>
      </c>
      <c r="AD24">
        <f>IF(AND(AD$9+6&gt;=$D24,AD$9&lt;=$E24),1,"")</f>
        <v/>
      </c>
      <c r="AE24">
        <f>IF(AND(AE$9+6&gt;=$D24,AE$9&lt;=$E24),1,"")</f>
        <v/>
      </c>
      <c r="AF24">
        <f>IF(AND(AF$9+6&gt;=$D24,AF$9&lt;=$E24),1,"")</f>
        <v/>
      </c>
      <c r="AG24">
        <f>IF(AND(AG$9+6&gt;=$D24,AG$9&lt;=$E24),1,"")</f>
        <v/>
      </c>
      <c r="AH24">
        <f>IF(AND(AH$9+6&gt;=$D24,AH$9&lt;=$E24),1,"")</f>
        <v/>
      </c>
      <c r="AI24">
        <f>IF(AND(AI$9+6&gt;=$D24,AI$9&lt;=$E24),1,"")</f>
        <v/>
      </c>
      <c r="AJ24">
        <f>IF(AND(AJ$9+6&gt;=$D24,AJ$9&lt;=$E24),1,"")</f>
        <v/>
      </c>
      <c r="AK24">
        <f>IF(AND(AK$9+6&gt;=$D24,AK$9&lt;=$E24),1,"")</f>
        <v/>
      </c>
      <c r="AL24">
        <f>IF(AND(AL$9+6&gt;=$D24,AL$9&lt;=$E24),1,"")</f>
        <v/>
      </c>
      <c r="AM24">
        <f>IF(AND(AM$9+6&gt;=$D24,AM$9&lt;=$E24),1,"")</f>
        <v/>
      </c>
      <c r="AN24">
        <f>IF(AND(AN$9+6&gt;=$D24,AN$9&lt;=$E24),1,"")</f>
        <v/>
      </c>
      <c r="AO24">
        <f>IF(AND(AO$9+6&gt;=$D24,AO$9&lt;=$E24),1,"")</f>
        <v/>
      </c>
      <c r="AP24">
        <f>IF(AND(AP$9+6&gt;=$D24,AP$9&lt;=$E24),1,"")</f>
        <v/>
      </c>
      <c r="AQ24">
        <f>IF(AND(AQ$9+6&gt;=$D24,AQ$9&lt;=$E24),1,"")</f>
        <v/>
      </c>
      <c r="AR24">
        <f>IF(AND(AR$9+6&gt;=$D24,AR$9&lt;=$E24),1,"")</f>
        <v/>
      </c>
      <c r="AS24">
        <f>IF(AND(AS$9+6&gt;=$D24,AS$9&lt;=$E24),1,"")</f>
        <v/>
      </c>
      <c r="AT24">
        <f>IF(AND(AT$9+6&gt;=$D24,AT$9&lt;=$E24),1,"")</f>
        <v/>
      </c>
      <c r="AU24">
        <f>IF(AND(AU$9+6&gt;=$D24,AU$9&lt;=$E24),1,"")</f>
        <v/>
      </c>
      <c r="AV24">
        <f>IF(AND(AV$9+6&gt;=$D24,AV$9&lt;=$E24),1,"")</f>
        <v/>
      </c>
      <c r="AW24">
        <f>IF(AND(AW$9+6&gt;=$D24,AW$9&lt;=$E24),1,"")</f>
        <v/>
      </c>
      <c r="AX24">
        <f>IF(AND(AX$9+6&gt;=$D24,AX$9&lt;=$E24),1,"")</f>
        <v/>
      </c>
      <c r="AY24">
        <f>IF(AND(AY$9+6&gt;=$D24,AY$9&lt;=$E24),1,"")</f>
        <v/>
      </c>
      <c r="AZ24">
        <f>IF(AND(AZ$9+6&gt;=$D24,AZ$9&lt;=$E24),1,"")</f>
        <v/>
      </c>
      <c r="BA24">
        <f>IF(AND(BA$9+6&gt;=$D24,BA$9&lt;=$E24),1,"")</f>
        <v/>
      </c>
      <c r="BB24">
        <f>IF(AND(BB$9+6&gt;=$D24,BB$9&lt;=$E24),1,"")</f>
        <v/>
      </c>
      <c r="BC24">
        <f>IF(AND(BC$9+6&gt;=$D24,BC$9&lt;=$E24),1,"")</f>
        <v/>
      </c>
      <c r="BD24">
        <f>IF(AND(BD$9+6&gt;=$D24,BD$9&lt;=$E24),1,"")</f>
        <v/>
      </c>
      <c r="BE24">
        <f>IF(AND(BE$9+6&gt;=$D24,BE$9&lt;=$E24),1,"")</f>
        <v/>
      </c>
      <c r="BF24">
        <f>IF(AND(BF$9+6&gt;=$D24,BF$9&lt;=$E24),1,"")</f>
        <v/>
      </c>
      <c r="BG24">
        <f>IF(AND(BG$9+6&gt;=$D24,BG$9&lt;=$E24),1,"")</f>
        <v/>
      </c>
    </row>
    <row r="25">
      <c r="B25" s="45" t="inlineStr">
        <is>
          <t>Evidence collection (Nov–Dec 2026)</t>
        </is>
      </c>
      <c r="C25" s="46" t="n"/>
      <c r="D25" s="46" t="n"/>
      <c r="E25" s="46" t="n"/>
      <c r="F25" s="46" t="n"/>
      <c r="G25" s="46" t="n"/>
      <c r="H25" s="46" t="n"/>
      <c r="I25" s="46" t="n"/>
      <c r="J25" s="46" t="n"/>
      <c r="K25" s="46" t="n"/>
      <c r="L25" s="46" t="n"/>
      <c r="M25" s="46" t="n"/>
      <c r="N25" s="46" t="n"/>
      <c r="O25" s="46" t="n"/>
      <c r="P25" s="46" t="n"/>
      <c r="Q25" s="46" t="n"/>
      <c r="R25" s="46" t="n"/>
      <c r="S25" s="46" t="n"/>
      <c r="T25" s="46" t="n"/>
      <c r="U25" s="46" t="n"/>
      <c r="V25" s="46" t="n"/>
      <c r="W25" s="46" t="n"/>
      <c r="X25" s="46" t="n"/>
      <c r="Y25" s="46" t="n"/>
      <c r="Z25" s="46" t="n"/>
      <c r="AA25" s="46" t="n"/>
      <c r="AB25" s="46" t="n"/>
      <c r="AC25" s="46" t="n"/>
      <c r="AD25" s="46" t="n"/>
      <c r="AE25" s="46" t="n"/>
      <c r="AF25" s="46" t="n"/>
      <c r="AG25" s="46" t="n"/>
      <c r="AH25" s="46" t="n"/>
      <c r="AI25" s="46" t="n"/>
      <c r="AJ25" s="46" t="n"/>
      <c r="AK25" s="46" t="n"/>
      <c r="AL25" s="46" t="n"/>
      <c r="AM25" s="46" t="n"/>
      <c r="AN25" s="46" t="n"/>
      <c r="AO25" s="46" t="n"/>
      <c r="AP25" s="46" t="n"/>
      <c r="AQ25" s="46" t="n"/>
      <c r="AR25" s="46" t="n"/>
      <c r="AS25" s="46" t="n"/>
      <c r="AT25" s="46" t="n"/>
      <c r="AU25" s="46" t="n"/>
      <c r="AV25" s="46" t="n"/>
      <c r="AW25" s="46" t="n"/>
      <c r="AX25" s="46" t="n"/>
      <c r="AY25" s="46" t="n"/>
      <c r="AZ25" s="46" t="n"/>
      <c r="BA25" s="46" t="n"/>
      <c r="BB25" s="46" t="n"/>
      <c r="BC25" s="46" t="n"/>
      <c r="BD25" s="46" t="n"/>
      <c r="BE25" s="46" t="n"/>
      <c r="BF25" s="46" t="n"/>
      <c r="BG25" s="46" t="n"/>
    </row>
    <row r="26">
      <c r="B26" s="8" t="inlineStr">
        <is>
          <t>Issue tailored requests (faculties, central units)</t>
        </is>
      </c>
      <c r="C26" s="8" t="inlineStr">
        <is>
          <t>Request tracker</t>
        </is>
      </c>
      <c r="D26" s="17" t="n">
        <v>46328</v>
      </c>
      <c r="E26" s="17" t="n">
        <v>46346</v>
      </c>
      <c r="F26" s="8" t="inlineStr">
        <is>
          <t>SST</t>
        </is>
      </c>
      <c r="G26" s="8" t="inlineStr">
        <is>
          <t>Director, Sustainability</t>
        </is>
      </c>
      <c r="H26" s="8" t="inlineStr">
        <is>
          <t>COO (sponsor)</t>
        </is>
      </c>
      <c r="I26" s="8" t="inlineStr"/>
      <c r="J26" s="8" t="inlineStr">
        <is>
          <t>High</t>
        </is>
      </c>
      <c r="K26" s="8" t="inlineStr">
        <is>
          <t>Not yet started</t>
        </is>
      </c>
      <c r="L26">
        <f>IF(AND(L$9+6&gt;=$D26,L$9&lt;=$E26),1,"")</f>
        <v/>
      </c>
      <c r="M26">
        <f>IF(AND(M$9+6&gt;=$D26,M$9&lt;=$E26),1,"")</f>
        <v/>
      </c>
      <c r="N26">
        <f>IF(AND(N$9+6&gt;=$D26,N$9&lt;=$E26),1,"")</f>
        <v/>
      </c>
      <c r="O26">
        <f>IF(AND(O$9+6&gt;=$D26,O$9&lt;=$E26),1,"")</f>
        <v/>
      </c>
      <c r="P26">
        <f>IF(AND(P$9+6&gt;=$D26,P$9&lt;=$E26),1,"")</f>
        <v/>
      </c>
      <c r="Q26">
        <f>IF(AND(Q$9+6&gt;=$D26,Q$9&lt;=$E26),1,"")</f>
        <v/>
      </c>
      <c r="R26">
        <f>IF(AND(R$9+6&gt;=$D26,R$9&lt;=$E26),1,"")</f>
        <v/>
      </c>
      <c r="S26">
        <f>IF(AND(S$9+6&gt;=$D26,S$9&lt;=$E26),1,"")</f>
        <v/>
      </c>
      <c r="T26">
        <f>IF(AND(T$9+6&gt;=$D26,T$9&lt;=$E26),1,"")</f>
        <v/>
      </c>
      <c r="U26">
        <f>IF(AND(U$9+6&gt;=$D26,U$9&lt;=$E26),1,"")</f>
        <v/>
      </c>
      <c r="V26">
        <f>IF(AND(V$9+6&gt;=$D26,V$9&lt;=$E26),1,"")</f>
        <v/>
      </c>
      <c r="W26">
        <f>IF(AND(W$9+6&gt;=$D26,W$9&lt;=$E26),1,"")</f>
        <v/>
      </c>
      <c r="X26">
        <f>IF(AND(X$9+6&gt;=$D26,X$9&lt;=$E26),1,"")</f>
        <v/>
      </c>
      <c r="Y26">
        <f>IF(AND(Y$9+6&gt;=$D26,Y$9&lt;=$E26),1,"")</f>
        <v/>
      </c>
      <c r="Z26">
        <f>IF(AND(Z$9+6&gt;=$D26,Z$9&lt;=$E26),1,"")</f>
        <v/>
      </c>
      <c r="AA26">
        <f>IF(AND(AA$9+6&gt;=$D26,AA$9&lt;=$E26),1,"")</f>
        <v/>
      </c>
      <c r="AB26">
        <f>IF(AND(AB$9+6&gt;=$D26,AB$9&lt;=$E26),1,"")</f>
        <v/>
      </c>
      <c r="AC26">
        <f>IF(AND(AC$9+6&gt;=$D26,AC$9&lt;=$E26),1,"")</f>
        <v/>
      </c>
      <c r="AD26">
        <f>IF(AND(AD$9+6&gt;=$D26,AD$9&lt;=$E26),1,"")</f>
        <v/>
      </c>
      <c r="AE26">
        <f>IF(AND(AE$9+6&gt;=$D26,AE$9&lt;=$E26),1,"")</f>
        <v/>
      </c>
      <c r="AF26">
        <f>IF(AND(AF$9+6&gt;=$D26,AF$9&lt;=$E26),1,"")</f>
        <v/>
      </c>
      <c r="AG26">
        <f>IF(AND(AG$9+6&gt;=$D26,AG$9&lt;=$E26),1,"")</f>
        <v/>
      </c>
      <c r="AH26">
        <f>IF(AND(AH$9+6&gt;=$D26,AH$9&lt;=$E26),1,"")</f>
        <v/>
      </c>
      <c r="AI26">
        <f>IF(AND(AI$9+6&gt;=$D26,AI$9&lt;=$E26),1,"")</f>
        <v/>
      </c>
      <c r="AJ26">
        <f>IF(AND(AJ$9+6&gt;=$D26,AJ$9&lt;=$E26),1,"")</f>
        <v/>
      </c>
      <c r="AK26">
        <f>IF(AND(AK$9+6&gt;=$D26,AK$9&lt;=$E26),1,"")</f>
        <v/>
      </c>
      <c r="AL26">
        <f>IF(AND(AL$9+6&gt;=$D26,AL$9&lt;=$E26),1,"")</f>
        <v/>
      </c>
      <c r="AM26">
        <f>IF(AND(AM$9+6&gt;=$D26,AM$9&lt;=$E26),1,"")</f>
        <v/>
      </c>
      <c r="AN26">
        <f>IF(AND(AN$9+6&gt;=$D26,AN$9&lt;=$E26),1,"")</f>
        <v/>
      </c>
      <c r="AO26">
        <f>IF(AND(AO$9+6&gt;=$D26,AO$9&lt;=$E26),1,"")</f>
        <v/>
      </c>
      <c r="AP26">
        <f>IF(AND(AP$9+6&gt;=$D26,AP$9&lt;=$E26),1,"")</f>
        <v/>
      </c>
      <c r="AQ26">
        <f>IF(AND(AQ$9+6&gt;=$D26,AQ$9&lt;=$E26),1,"")</f>
        <v/>
      </c>
      <c r="AR26">
        <f>IF(AND(AR$9+6&gt;=$D26,AR$9&lt;=$E26),1,"")</f>
        <v/>
      </c>
      <c r="AS26">
        <f>IF(AND(AS$9+6&gt;=$D26,AS$9&lt;=$E26),1,"")</f>
        <v/>
      </c>
      <c r="AT26">
        <f>IF(AND(AT$9+6&gt;=$D26,AT$9&lt;=$E26),1,"")</f>
        <v/>
      </c>
      <c r="AU26">
        <f>IF(AND(AU$9+6&gt;=$D26,AU$9&lt;=$E26),1,"")</f>
        <v/>
      </c>
      <c r="AV26">
        <f>IF(AND(AV$9+6&gt;=$D26,AV$9&lt;=$E26),1,"")</f>
        <v/>
      </c>
      <c r="AW26">
        <f>IF(AND(AW$9+6&gt;=$D26,AW$9&lt;=$E26),1,"")</f>
        <v/>
      </c>
      <c r="AX26">
        <f>IF(AND(AX$9+6&gt;=$D26,AX$9&lt;=$E26),1,"")</f>
        <v/>
      </c>
      <c r="AY26">
        <f>IF(AND(AY$9+6&gt;=$D26,AY$9&lt;=$E26),1,"")</f>
        <v/>
      </c>
      <c r="AZ26">
        <f>IF(AND(AZ$9+6&gt;=$D26,AZ$9&lt;=$E26),1,"")</f>
        <v/>
      </c>
      <c r="BA26">
        <f>IF(AND(BA$9+6&gt;=$D26,BA$9&lt;=$E26),1,"")</f>
        <v/>
      </c>
      <c r="BB26">
        <f>IF(AND(BB$9+6&gt;=$D26,BB$9&lt;=$E26),1,"")</f>
        <v/>
      </c>
      <c r="BC26">
        <f>IF(AND(BC$9+6&gt;=$D26,BC$9&lt;=$E26),1,"")</f>
        <v/>
      </c>
      <c r="BD26">
        <f>IF(AND(BD$9+6&gt;=$D26,BD$9&lt;=$E26),1,"")</f>
        <v/>
      </c>
      <c r="BE26">
        <f>IF(AND(BE$9+6&gt;=$D26,BE$9&lt;=$E26),1,"")</f>
        <v/>
      </c>
      <c r="BF26">
        <f>IF(AND(BF$9+6&gt;=$D26,BF$9&lt;=$E26),1,"")</f>
        <v/>
      </c>
      <c r="BG26">
        <f>IF(AND(BG$9+6&gt;=$D26,BG$9&lt;=$E26),1,"")</f>
        <v/>
      </c>
    </row>
    <row r="27">
      <c r="B27" s="8" t="inlineStr">
        <is>
          <t>Highlighted stories due</t>
        </is>
      </c>
      <c r="C27" s="8" t="inlineStr">
        <is>
          <t>4 Dec (TBC)</t>
        </is>
      </c>
      <c r="D27" s="17" t="n">
        <v>46360</v>
      </c>
      <c r="E27" s="17" t="n">
        <v>46360</v>
      </c>
      <c r="F27" s="8" t="inlineStr"/>
      <c r="G27" s="8" t="inlineStr"/>
      <c r="H27" s="8" t="inlineStr"/>
      <c r="I27" s="8" t="inlineStr"/>
      <c r="J27" s="8" t="inlineStr">
        <is>
          <t>Milestone</t>
        </is>
      </c>
      <c r="K27" s="8" t="inlineStr">
        <is>
          <t>Not yet started</t>
        </is>
      </c>
      <c r="L27">
        <f>IF(AND(L$9+6&gt;=$D27,L$9&lt;=$E27),1,"")</f>
        <v/>
      </c>
      <c r="M27">
        <f>IF(AND(M$9+6&gt;=$D27,M$9&lt;=$E27),1,"")</f>
        <v/>
      </c>
      <c r="N27">
        <f>IF(AND(N$9+6&gt;=$D27,N$9&lt;=$E27),1,"")</f>
        <v/>
      </c>
      <c r="O27">
        <f>IF(AND(O$9+6&gt;=$D27,O$9&lt;=$E27),1,"")</f>
        <v/>
      </c>
      <c r="P27">
        <f>IF(AND(P$9+6&gt;=$D27,P$9&lt;=$E27),1,"")</f>
        <v/>
      </c>
      <c r="Q27">
        <f>IF(AND(Q$9+6&gt;=$D27,Q$9&lt;=$E27),1,"")</f>
        <v/>
      </c>
      <c r="R27">
        <f>IF(AND(R$9+6&gt;=$D27,R$9&lt;=$E27),1,"")</f>
        <v/>
      </c>
      <c r="S27">
        <f>IF(AND(S$9+6&gt;=$D27,S$9&lt;=$E27),1,"")</f>
        <v/>
      </c>
      <c r="T27">
        <f>IF(AND(T$9+6&gt;=$D27,T$9&lt;=$E27),1,"")</f>
        <v/>
      </c>
      <c r="U27">
        <f>IF(AND(U$9+6&gt;=$D27,U$9&lt;=$E27),1,"")</f>
        <v/>
      </c>
      <c r="V27">
        <f>IF(AND(V$9+6&gt;=$D27,V$9&lt;=$E27),1,"")</f>
        <v/>
      </c>
      <c r="W27">
        <f>IF(AND(W$9+6&gt;=$D27,W$9&lt;=$E27),1,"")</f>
        <v/>
      </c>
      <c r="X27">
        <f>IF(AND(X$9+6&gt;=$D27,X$9&lt;=$E27),1,"")</f>
        <v/>
      </c>
      <c r="Y27">
        <f>IF(AND(Y$9+6&gt;=$D27,Y$9&lt;=$E27),1,"")</f>
        <v/>
      </c>
      <c r="Z27">
        <f>IF(AND(Z$9+6&gt;=$D27,Z$9&lt;=$E27),1,"")</f>
        <v/>
      </c>
      <c r="AA27">
        <f>IF(AND(AA$9+6&gt;=$D27,AA$9&lt;=$E27),1,"")</f>
        <v/>
      </c>
      <c r="AB27">
        <f>IF(AND(AB$9+6&gt;=$D27,AB$9&lt;=$E27),1,"")</f>
        <v/>
      </c>
      <c r="AC27">
        <f>IF(AND(AC$9+6&gt;=$D27,AC$9&lt;=$E27),1,"")</f>
        <v/>
      </c>
      <c r="AD27">
        <f>IF(AND(AD$9+6&gt;=$D27,AD$9&lt;=$E27),1,"")</f>
        <v/>
      </c>
      <c r="AE27">
        <f>IF(AND(AE$9+6&gt;=$D27,AE$9&lt;=$E27),1,"")</f>
        <v/>
      </c>
      <c r="AF27">
        <f>IF(AND(AF$9+6&gt;=$D27,AF$9&lt;=$E27),1,"")</f>
        <v/>
      </c>
      <c r="AG27">
        <f>IF(AND(AG$9+6&gt;=$D27,AG$9&lt;=$E27),1,"")</f>
        <v/>
      </c>
      <c r="AH27">
        <f>IF(AND(AH$9+6&gt;=$D27,AH$9&lt;=$E27),1,"")</f>
        <v/>
      </c>
      <c r="AI27">
        <f>IF(AND(AI$9+6&gt;=$D27,AI$9&lt;=$E27),1,"")</f>
        <v/>
      </c>
      <c r="AJ27">
        <f>IF(AND(AJ$9+6&gt;=$D27,AJ$9&lt;=$E27),1,"")</f>
        <v/>
      </c>
      <c r="AK27">
        <f>IF(AND(AK$9+6&gt;=$D27,AK$9&lt;=$E27),1,"")</f>
        <v/>
      </c>
      <c r="AL27">
        <f>IF(AND(AL$9+6&gt;=$D27,AL$9&lt;=$E27),1,"")</f>
        <v/>
      </c>
      <c r="AM27">
        <f>IF(AND(AM$9+6&gt;=$D27,AM$9&lt;=$E27),1,"")</f>
        <v/>
      </c>
      <c r="AN27">
        <f>IF(AND(AN$9+6&gt;=$D27,AN$9&lt;=$E27),1,"")</f>
        <v/>
      </c>
      <c r="AO27">
        <f>IF(AND(AO$9+6&gt;=$D27,AO$9&lt;=$E27),1,"")</f>
        <v/>
      </c>
      <c r="AP27">
        <f>IF(AND(AP$9+6&gt;=$D27,AP$9&lt;=$E27),1,"")</f>
        <v/>
      </c>
      <c r="AQ27">
        <f>IF(AND(AQ$9+6&gt;=$D27,AQ$9&lt;=$E27),1,"")</f>
        <v/>
      </c>
      <c r="AR27">
        <f>IF(AND(AR$9+6&gt;=$D27,AR$9&lt;=$E27),1,"")</f>
        <v/>
      </c>
      <c r="AS27">
        <f>IF(AND(AS$9+6&gt;=$D27,AS$9&lt;=$E27),1,"")</f>
        <v/>
      </c>
      <c r="AT27">
        <f>IF(AND(AT$9+6&gt;=$D27,AT$9&lt;=$E27),1,"")</f>
        <v/>
      </c>
      <c r="AU27">
        <f>IF(AND(AU$9+6&gt;=$D27,AU$9&lt;=$E27),1,"")</f>
        <v/>
      </c>
      <c r="AV27">
        <f>IF(AND(AV$9+6&gt;=$D27,AV$9&lt;=$E27),1,"")</f>
        <v/>
      </c>
      <c r="AW27">
        <f>IF(AND(AW$9+6&gt;=$D27,AW$9&lt;=$E27),1,"")</f>
        <v/>
      </c>
      <c r="AX27">
        <f>IF(AND(AX$9+6&gt;=$D27,AX$9&lt;=$E27),1,"")</f>
        <v/>
      </c>
      <c r="AY27">
        <f>IF(AND(AY$9+6&gt;=$D27,AY$9&lt;=$E27),1,"")</f>
        <v/>
      </c>
      <c r="AZ27">
        <f>IF(AND(AZ$9+6&gt;=$D27,AZ$9&lt;=$E27),1,"")</f>
        <v/>
      </c>
      <c r="BA27">
        <f>IF(AND(BA$9+6&gt;=$D27,BA$9&lt;=$E27),1,"")</f>
        <v/>
      </c>
      <c r="BB27">
        <f>IF(AND(BB$9+6&gt;=$D27,BB$9&lt;=$E27),1,"")</f>
        <v/>
      </c>
      <c r="BC27">
        <f>IF(AND(BC$9+6&gt;=$D27,BC$9&lt;=$E27),1,"")</f>
        <v/>
      </c>
      <c r="BD27">
        <f>IF(AND(BD$9+6&gt;=$D27,BD$9&lt;=$E27),1,"")</f>
        <v/>
      </c>
      <c r="BE27">
        <f>IF(AND(BE$9+6&gt;=$D27,BE$9&lt;=$E27),1,"")</f>
        <v/>
      </c>
      <c r="BF27">
        <f>IF(AND(BF$9+6&gt;=$D27,BF$9&lt;=$E27),1,"")</f>
        <v/>
      </c>
      <c r="BG27">
        <f>IF(AND(BG$9+6&gt;=$D27,BG$9&lt;=$E27),1,"")</f>
        <v/>
      </c>
    </row>
    <row r="28">
      <c r="B28" s="8" t="inlineStr">
        <is>
          <t>Collect narrative, evidence, case studies; maintain evidence register</t>
        </is>
      </c>
      <c r="C28" s="8" t="inlineStr"/>
      <c r="D28" s="17" t="n">
        <v>46328</v>
      </c>
      <c r="E28" s="17" t="n">
        <v>46416</v>
      </c>
      <c r="F28" s="8" t="inlineStr">
        <is>
          <t>SST</t>
        </is>
      </c>
      <c r="G28" s="8" t="inlineStr"/>
      <c r="H28" s="8" t="inlineStr"/>
      <c r="I28" s="8" t="inlineStr"/>
      <c r="J28" s="8" t="inlineStr">
        <is>
          <t>High</t>
        </is>
      </c>
      <c r="K28" s="8" t="inlineStr">
        <is>
          <t>Not yet started</t>
        </is>
      </c>
      <c r="L28">
        <f>IF(AND(L$9+6&gt;=$D28,L$9&lt;=$E28),1,"")</f>
        <v/>
      </c>
      <c r="M28">
        <f>IF(AND(M$9+6&gt;=$D28,M$9&lt;=$E28),1,"")</f>
        <v/>
      </c>
      <c r="N28">
        <f>IF(AND(N$9+6&gt;=$D28,N$9&lt;=$E28),1,"")</f>
        <v/>
      </c>
      <c r="O28">
        <f>IF(AND(O$9+6&gt;=$D28,O$9&lt;=$E28),1,"")</f>
        <v/>
      </c>
      <c r="P28">
        <f>IF(AND(P$9+6&gt;=$D28,P$9&lt;=$E28),1,"")</f>
        <v/>
      </c>
      <c r="Q28">
        <f>IF(AND(Q$9+6&gt;=$D28,Q$9&lt;=$E28),1,"")</f>
        <v/>
      </c>
      <c r="R28">
        <f>IF(AND(R$9+6&gt;=$D28,R$9&lt;=$E28),1,"")</f>
        <v/>
      </c>
      <c r="S28">
        <f>IF(AND(S$9+6&gt;=$D28,S$9&lt;=$E28),1,"")</f>
        <v/>
      </c>
      <c r="T28">
        <f>IF(AND(T$9+6&gt;=$D28,T$9&lt;=$E28),1,"")</f>
        <v/>
      </c>
      <c r="U28">
        <f>IF(AND(U$9+6&gt;=$D28,U$9&lt;=$E28),1,"")</f>
        <v/>
      </c>
      <c r="V28">
        <f>IF(AND(V$9+6&gt;=$D28,V$9&lt;=$E28),1,"")</f>
        <v/>
      </c>
      <c r="W28">
        <f>IF(AND(W$9+6&gt;=$D28,W$9&lt;=$E28),1,"")</f>
        <v/>
      </c>
      <c r="X28">
        <f>IF(AND(X$9+6&gt;=$D28,X$9&lt;=$E28),1,"")</f>
        <v/>
      </c>
      <c r="Y28">
        <f>IF(AND(Y$9+6&gt;=$D28,Y$9&lt;=$E28),1,"")</f>
        <v/>
      </c>
      <c r="Z28">
        <f>IF(AND(Z$9+6&gt;=$D28,Z$9&lt;=$E28),1,"")</f>
        <v/>
      </c>
      <c r="AA28">
        <f>IF(AND(AA$9+6&gt;=$D28,AA$9&lt;=$E28),1,"")</f>
        <v/>
      </c>
      <c r="AB28">
        <f>IF(AND(AB$9+6&gt;=$D28,AB$9&lt;=$E28),1,"")</f>
        <v/>
      </c>
      <c r="AC28">
        <f>IF(AND(AC$9+6&gt;=$D28,AC$9&lt;=$E28),1,"")</f>
        <v/>
      </c>
      <c r="AD28">
        <f>IF(AND(AD$9+6&gt;=$D28,AD$9&lt;=$E28),1,"")</f>
        <v/>
      </c>
      <c r="AE28">
        <f>IF(AND(AE$9+6&gt;=$D28,AE$9&lt;=$E28),1,"")</f>
        <v/>
      </c>
      <c r="AF28">
        <f>IF(AND(AF$9+6&gt;=$D28,AF$9&lt;=$E28),1,"")</f>
        <v/>
      </c>
      <c r="AG28">
        <f>IF(AND(AG$9+6&gt;=$D28,AG$9&lt;=$E28),1,"")</f>
        <v/>
      </c>
      <c r="AH28">
        <f>IF(AND(AH$9+6&gt;=$D28,AH$9&lt;=$E28),1,"")</f>
        <v/>
      </c>
      <c r="AI28">
        <f>IF(AND(AI$9+6&gt;=$D28,AI$9&lt;=$E28),1,"")</f>
        <v/>
      </c>
      <c r="AJ28">
        <f>IF(AND(AJ$9+6&gt;=$D28,AJ$9&lt;=$E28),1,"")</f>
        <v/>
      </c>
      <c r="AK28">
        <f>IF(AND(AK$9+6&gt;=$D28,AK$9&lt;=$E28),1,"")</f>
        <v/>
      </c>
      <c r="AL28">
        <f>IF(AND(AL$9+6&gt;=$D28,AL$9&lt;=$E28),1,"")</f>
        <v/>
      </c>
      <c r="AM28">
        <f>IF(AND(AM$9+6&gt;=$D28,AM$9&lt;=$E28),1,"")</f>
        <v/>
      </c>
      <c r="AN28">
        <f>IF(AND(AN$9+6&gt;=$D28,AN$9&lt;=$E28),1,"")</f>
        <v/>
      </c>
      <c r="AO28">
        <f>IF(AND(AO$9+6&gt;=$D28,AO$9&lt;=$E28),1,"")</f>
        <v/>
      </c>
      <c r="AP28">
        <f>IF(AND(AP$9+6&gt;=$D28,AP$9&lt;=$E28),1,"")</f>
        <v/>
      </c>
      <c r="AQ28">
        <f>IF(AND(AQ$9+6&gt;=$D28,AQ$9&lt;=$E28),1,"")</f>
        <v/>
      </c>
      <c r="AR28">
        <f>IF(AND(AR$9+6&gt;=$D28,AR$9&lt;=$E28),1,"")</f>
        <v/>
      </c>
      <c r="AS28">
        <f>IF(AND(AS$9+6&gt;=$D28,AS$9&lt;=$E28),1,"")</f>
        <v/>
      </c>
      <c r="AT28">
        <f>IF(AND(AT$9+6&gt;=$D28,AT$9&lt;=$E28),1,"")</f>
        <v/>
      </c>
      <c r="AU28">
        <f>IF(AND(AU$9+6&gt;=$D28,AU$9&lt;=$E28),1,"")</f>
        <v/>
      </c>
      <c r="AV28">
        <f>IF(AND(AV$9+6&gt;=$D28,AV$9&lt;=$E28),1,"")</f>
        <v/>
      </c>
      <c r="AW28">
        <f>IF(AND(AW$9+6&gt;=$D28,AW$9&lt;=$E28),1,"")</f>
        <v/>
      </c>
      <c r="AX28">
        <f>IF(AND(AX$9+6&gt;=$D28,AX$9&lt;=$E28),1,"")</f>
        <v/>
      </c>
      <c r="AY28">
        <f>IF(AND(AY$9+6&gt;=$D28,AY$9&lt;=$E28),1,"")</f>
        <v/>
      </c>
      <c r="AZ28">
        <f>IF(AND(AZ$9+6&gt;=$D28,AZ$9&lt;=$E28),1,"")</f>
        <v/>
      </c>
      <c r="BA28">
        <f>IF(AND(BA$9+6&gt;=$D28,BA$9&lt;=$E28),1,"")</f>
        <v/>
      </c>
      <c r="BB28">
        <f>IF(AND(BB$9+6&gt;=$D28,BB$9&lt;=$E28),1,"")</f>
        <v/>
      </c>
      <c r="BC28">
        <f>IF(AND(BC$9+6&gt;=$D28,BC$9&lt;=$E28),1,"")</f>
        <v/>
      </c>
      <c r="BD28">
        <f>IF(AND(BD$9+6&gt;=$D28,BD$9&lt;=$E28),1,"")</f>
        <v/>
      </c>
      <c r="BE28">
        <f>IF(AND(BE$9+6&gt;=$D28,BE$9&lt;=$E28),1,"")</f>
        <v/>
      </c>
      <c r="BF28">
        <f>IF(AND(BF$9+6&gt;=$D28,BF$9&lt;=$E28),1,"")</f>
        <v/>
      </c>
      <c r="BG28">
        <f>IF(AND(BG$9+6&gt;=$D28,BG$9&lt;=$E28),1,"")</f>
        <v/>
      </c>
    </row>
    <row r="29">
      <c r="B29" s="8" t="inlineStr">
        <is>
          <t>Reminders / chasing</t>
        </is>
      </c>
      <c r="C29" s="8" t="inlineStr"/>
      <c r="D29" s="17" t="n">
        <v>46349</v>
      </c>
      <c r="E29" s="17" t="n">
        <v>46409</v>
      </c>
      <c r="F29" s="8" t="inlineStr">
        <is>
          <t>SST</t>
        </is>
      </c>
      <c r="G29" s="8" t="inlineStr"/>
      <c r="H29" s="8" t="inlineStr"/>
      <c r="I29" s="8" t="inlineStr"/>
      <c r="J29" s="8" t="inlineStr">
        <is>
          <t>Medium</t>
        </is>
      </c>
      <c r="K29" s="8" t="inlineStr">
        <is>
          <t>Not yet started</t>
        </is>
      </c>
      <c r="L29">
        <f>IF(AND(L$9+6&gt;=$D29,L$9&lt;=$E29),1,"")</f>
        <v/>
      </c>
      <c r="M29">
        <f>IF(AND(M$9+6&gt;=$D29,M$9&lt;=$E29),1,"")</f>
        <v/>
      </c>
      <c r="N29">
        <f>IF(AND(N$9+6&gt;=$D29,N$9&lt;=$E29),1,"")</f>
        <v/>
      </c>
      <c r="O29">
        <f>IF(AND(O$9+6&gt;=$D29,O$9&lt;=$E29),1,"")</f>
        <v/>
      </c>
      <c r="P29">
        <f>IF(AND(P$9+6&gt;=$D29,P$9&lt;=$E29),1,"")</f>
        <v/>
      </c>
      <c r="Q29">
        <f>IF(AND(Q$9+6&gt;=$D29,Q$9&lt;=$E29),1,"")</f>
        <v/>
      </c>
      <c r="R29">
        <f>IF(AND(R$9+6&gt;=$D29,R$9&lt;=$E29),1,"")</f>
        <v/>
      </c>
      <c r="S29">
        <f>IF(AND(S$9+6&gt;=$D29,S$9&lt;=$E29),1,"")</f>
        <v/>
      </c>
      <c r="T29">
        <f>IF(AND(T$9+6&gt;=$D29,T$9&lt;=$E29),1,"")</f>
        <v/>
      </c>
      <c r="U29">
        <f>IF(AND(U$9+6&gt;=$D29,U$9&lt;=$E29),1,"")</f>
        <v/>
      </c>
      <c r="V29">
        <f>IF(AND(V$9+6&gt;=$D29,V$9&lt;=$E29),1,"")</f>
        <v/>
      </c>
      <c r="W29">
        <f>IF(AND(W$9+6&gt;=$D29,W$9&lt;=$E29),1,"")</f>
        <v/>
      </c>
      <c r="X29">
        <f>IF(AND(X$9+6&gt;=$D29,X$9&lt;=$E29),1,"")</f>
        <v/>
      </c>
      <c r="Y29">
        <f>IF(AND(Y$9+6&gt;=$D29,Y$9&lt;=$E29),1,"")</f>
        <v/>
      </c>
      <c r="Z29">
        <f>IF(AND(Z$9+6&gt;=$D29,Z$9&lt;=$E29),1,"")</f>
        <v/>
      </c>
      <c r="AA29">
        <f>IF(AND(AA$9+6&gt;=$D29,AA$9&lt;=$E29),1,"")</f>
        <v/>
      </c>
      <c r="AB29">
        <f>IF(AND(AB$9+6&gt;=$D29,AB$9&lt;=$E29),1,"")</f>
        <v/>
      </c>
      <c r="AC29">
        <f>IF(AND(AC$9+6&gt;=$D29,AC$9&lt;=$E29),1,"")</f>
        <v/>
      </c>
      <c r="AD29">
        <f>IF(AND(AD$9+6&gt;=$D29,AD$9&lt;=$E29),1,"")</f>
        <v/>
      </c>
      <c r="AE29">
        <f>IF(AND(AE$9+6&gt;=$D29,AE$9&lt;=$E29),1,"")</f>
        <v/>
      </c>
      <c r="AF29">
        <f>IF(AND(AF$9+6&gt;=$D29,AF$9&lt;=$E29),1,"")</f>
        <v/>
      </c>
      <c r="AG29">
        <f>IF(AND(AG$9+6&gt;=$D29,AG$9&lt;=$E29),1,"")</f>
        <v/>
      </c>
      <c r="AH29">
        <f>IF(AND(AH$9+6&gt;=$D29,AH$9&lt;=$E29),1,"")</f>
        <v/>
      </c>
      <c r="AI29">
        <f>IF(AND(AI$9+6&gt;=$D29,AI$9&lt;=$E29),1,"")</f>
        <v/>
      </c>
      <c r="AJ29">
        <f>IF(AND(AJ$9+6&gt;=$D29,AJ$9&lt;=$E29),1,"")</f>
        <v/>
      </c>
      <c r="AK29">
        <f>IF(AND(AK$9+6&gt;=$D29,AK$9&lt;=$E29),1,"")</f>
        <v/>
      </c>
      <c r="AL29">
        <f>IF(AND(AL$9+6&gt;=$D29,AL$9&lt;=$E29),1,"")</f>
        <v/>
      </c>
      <c r="AM29">
        <f>IF(AND(AM$9+6&gt;=$D29,AM$9&lt;=$E29),1,"")</f>
        <v/>
      </c>
      <c r="AN29">
        <f>IF(AND(AN$9+6&gt;=$D29,AN$9&lt;=$E29),1,"")</f>
        <v/>
      </c>
      <c r="AO29">
        <f>IF(AND(AO$9+6&gt;=$D29,AO$9&lt;=$E29),1,"")</f>
        <v/>
      </c>
      <c r="AP29">
        <f>IF(AND(AP$9+6&gt;=$D29,AP$9&lt;=$E29),1,"")</f>
        <v/>
      </c>
      <c r="AQ29">
        <f>IF(AND(AQ$9+6&gt;=$D29,AQ$9&lt;=$E29),1,"")</f>
        <v/>
      </c>
      <c r="AR29">
        <f>IF(AND(AR$9+6&gt;=$D29,AR$9&lt;=$E29),1,"")</f>
        <v/>
      </c>
      <c r="AS29">
        <f>IF(AND(AS$9+6&gt;=$D29,AS$9&lt;=$E29),1,"")</f>
        <v/>
      </c>
      <c r="AT29">
        <f>IF(AND(AT$9+6&gt;=$D29,AT$9&lt;=$E29),1,"")</f>
        <v/>
      </c>
      <c r="AU29">
        <f>IF(AND(AU$9+6&gt;=$D29,AU$9&lt;=$E29),1,"")</f>
        <v/>
      </c>
      <c r="AV29">
        <f>IF(AND(AV$9+6&gt;=$D29,AV$9&lt;=$E29),1,"")</f>
        <v/>
      </c>
      <c r="AW29">
        <f>IF(AND(AW$9+6&gt;=$D29,AW$9&lt;=$E29),1,"")</f>
        <v/>
      </c>
      <c r="AX29">
        <f>IF(AND(AX$9+6&gt;=$D29,AX$9&lt;=$E29),1,"")</f>
        <v/>
      </c>
      <c r="AY29">
        <f>IF(AND(AY$9+6&gt;=$D29,AY$9&lt;=$E29),1,"")</f>
        <v/>
      </c>
      <c r="AZ29">
        <f>IF(AND(AZ$9+6&gt;=$D29,AZ$9&lt;=$E29),1,"")</f>
        <v/>
      </c>
      <c r="BA29">
        <f>IF(AND(BA$9+6&gt;=$D29,BA$9&lt;=$E29),1,"")</f>
        <v/>
      </c>
      <c r="BB29">
        <f>IF(AND(BB$9+6&gt;=$D29,BB$9&lt;=$E29),1,"")</f>
        <v/>
      </c>
      <c r="BC29">
        <f>IF(AND(BC$9+6&gt;=$D29,BC$9&lt;=$E29),1,"")</f>
        <v/>
      </c>
      <c r="BD29">
        <f>IF(AND(BD$9+6&gt;=$D29,BD$9&lt;=$E29),1,"")</f>
        <v/>
      </c>
      <c r="BE29">
        <f>IF(AND(BE$9+6&gt;=$D29,BE$9&lt;=$E29),1,"")</f>
        <v/>
      </c>
      <c r="BF29">
        <f>IF(AND(BF$9+6&gt;=$D29,BF$9&lt;=$E29),1,"")</f>
        <v/>
      </c>
      <c r="BG29">
        <f>IF(AND(BG$9+6&gt;=$D29,BG$9&lt;=$E29),1,"")</f>
        <v/>
      </c>
    </row>
    <row r="30">
      <c r="B30" s="8" t="inlineStr">
        <is>
          <t>Commence drafting</t>
        </is>
      </c>
      <c r="C30" s="8" t="inlineStr"/>
      <c r="D30" s="17" t="n">
        <v>46357</v>
      </c>
      <c r="E30" s="17" t="n">
        <v>46416</v>
      </c>
      <c r="F30" s="8" t="inlineStr">
        <is>
          <t>SST</t>
        </is>
      </c>
      <c r="G30" s="8" t="inlineStr"/>
      <c r="H30" s="8" t="inlineStr"/>
      <c r="I30" s="8" t="inlineStr"/>
      <c r="J30" s="8" t="inlineStr">
        <is>
          <t>Medium</t>
        </is>
      </c>
      <c r="K30" s="8" t="inlineStr">
        <is>
          <t>Not yet started</t>
        </is>
      </c>
      <c r="L30">
        <f>IF(AND(L$9+6&gt;=$D30,L$9&lt;=$E30),1,"")</f>
        <v/>
      </c>
      <c r="M30">
        <f>IF(AND(M$9+6&gt;=$D30,M$9&lt;=$E30),1,"")</f>
        <v/>
      </c>
      <c r="N30">
        <f>IF(AND(N$9+6&gt;=$D30,N$9&lt;=$E30),1,"")</f>
        <v/>
      </c>
      <c r="O30">
        <f>IF(AND(O$9+6&gt;=$D30,O$9&lt;=$E30),1,"")</f>
        <v/>
      </c>
      <c r="P30">
        <f>IF(AND(P$9+6&gt;=$D30,P$9&lt;=$E30),1,"")</f>
        <v/>
      </c>
      <c r="Q30">
        <f>IF(AND(Q$9+6&gt;=$D30,Q$9&lt;=$E30),1,"")</f>
        <v/>
      </c>
      <c r="R30">
        <f>IF(AND(R$9+6&gt;=$D30,R$9&lt;=$E30),1,"")</f>
        <v/>
      </c>
      <c r="S30">
        <f>IF(AND(S$9+6&gt;=$D30,S$9&lt;=$E30),1,"")</f>
        <v/>
      </c>
      <c r="T30">
        <f>IF(AND(T$9+6&gt;=$D30,T$9&lt;=$E30),1,"")</f>
        <v/>
      </c>
      <c r="U30">
        <f>IF(AND(U$9+6&gt;=$D30,U$9&lt;=$E30),1,"")</f>
        <v/>
      </c>
      <c r="V30">
        <f>IF(AND(V$9+6&gt;=$D30,V$9&lt;=$E30),1,"")</f>
        <v/>
      </c>
      <c r="W30">
        <f>IF(AND(W$9+6&gt;=$D30,W$9&lt;=$E30),1,"")</f>
        <v/>
      </c>
      <c r="X30">
        <f>IF(AND(X$9+6&gt;=$D30,X$9&lt;=$E30),1,"")</f>
        <v/>
      </c>
      <c r="Y30">
        <f>IF(AND(Y$9+6&gt;=$D30,Y$9&lt;=$E30),1,"")</f>
        <v/>
      </c>
      <c r="Z30">
        <f>IF(AND(Z$9+6&gt;=$D30,Z$9&lt;=$E30),1,"")</f>
        <v/>
      </c>
      <c r="AA30">
        <f>IF(AND(AA$9+6&gt;=$D30,AA$9&lt;=$E30),1,"")</f>
        <v/>
      </c>
      <c r="AB30">
        <f>IF(AND(AB$9+6&gt;=$D30,AB$9&lt;=$E30),1,"")</f>
        <v/>
      </c>
      <c r="AC30">
        <f>IF(AND(AC$9+6&gt;=$D30,AC$9&lt;=$E30),1,"")</f>
        <v/>
      </c>
      <c r="AD30">
        <f>IF(AND(AD$9+6&gt;=$D30,AD$9&lt;=$E30),1,"")</f>
        <v/>
      </c>
      <c r="AE30">
        <f>IF(AND(AE$9+6&gt;=$D30,AE$9&lt;=$E30),1,"")</f>
        <v/>
      </c>
      <c r="AF30">
        <f>IF(AND(AF$9+6&gt;=$D30,AF$9&lt;=$E30),1,"")</f>
        <v/>
      </c>
      <c r="AG30">
        <f>IF(AND(AG$9+6&gt;=$D30,AG$9&lt;=$E30),1,"")</f>
        <v/>
      </c>
      <c r="AH30">
        <f>IF(AND(AH$9+6&gt;=$D30,AH$9&lt;=$E30),1,"")</f>
        <v/>
      </c>
      <c r="AI30">
        <f>IF(AND(AI$9+6&gt;=$D30,AI$9&lt;=$E30),1,"")</f>
        <v/>
      </c>
      <c r="AJ30">
        <f>IF(AND(AJ$9+6&gt;=$D30,AJ$9&lt;=$E30),1,"")</f>
        <v/>
      </c>
      <c r="AK30">
        <f>IF(AND(AK$9+6&gt;=$D30,AK$9&lt;=$E30),1,"")</f>
        <v/>
      </c>
      <c r="AL30">
        <f>IF(AND(AL$9+6&gt;=$D30,AL$9&lt;=$E30),1,"")</f>
        <v/>
      </c>
      <c r="AM30">
        <f>IF(AND(AM$9+6&gt;=$D30,AM$9&lt;=$E30),1,"")</f>
        <v/>
      </c>
      <c r="AN30">
        <f>IF(AND(AN$9+6&gt;=$D30,AN$9&lt;=$E30),1,"")</f>
        <v/>
      </c>
      <c r="AO30">
        <f>IF(AND(AO$9+6&gt;=$D30,AO$9&lt;=$E30),1,"")</f>
        <v/>
      </c>
      <c r="AP30">
        <f>IF(AND(AP$9+6&gt;=$D30,AP$9&lt;=$E30),1,"")</f>
        <v/>
      </c>
      <c r="AQ30">
        <f>IF(AND(AQ$9+6&gt;=$D30,AQ$9&lt;=$E30),1,"")</f>
        <v/>
      </c>
      <c r="AR30">
        <f>IF(AND(AR$9+6&gt;=$D30,AR$9&lt;=$E30),1,"")</f>
        <v/>
      </c>
      <c r="AS30">
        <f>IF(AND(AS$9+6&gt;=$D30,AS$9&lt;=$E30),1,"")</f>
        <v/>
      </c>
      <c r="AT30">
        <f>IF(AND(AT$9+6&gt;=$D30,AT$9&lt;=$E30),1,"")</f>
        <v/>
      </c>
      <c r="AU30">
        <f>IF(AND(AU$9+6&gt;=$D30,AU$9&lt;=$E30),1,"")</f>
        <v/>
      </c>
      <c r="AV30">
        <f>IF(AND(AV$9+6&gt;=$D30,AV$9&lt;=$E30),1,"")</f>
        <v/>
      </c>
      <c r="AW30">
        <f>IF(AND(AW$9+6&gt;=$D30,AW$9&lt;=$E30),1,"")</f>
        <v/>
      </c>
      <c r="AX30">
        <f>IF(AND(AX$9+6&gt;=$D30,AX$9&lt;=$E30),1,"")</f>
        <v/>
      </c>
      <c r="AY30">
        <f>IF(AND(AY$9+6&gt;=$D30,AY$9&lt;=$E30),1,"")</f>
        <v/>
      </c>
      <c r="AZ30">
        <f>IF(AND(AZ$9+6&gt;=$D30,AZ$9&lt;=$E30),1,"")</f>
        <v/>
      </c>
      <c r="BA30">
        <f>IF(AND(BA$9+6&gt;=$D30,BA$9&lt;=$E30),1,"")</f>
        <v/>
      </c>
      <c r="BB30">
        <f>IF(AND(BB$9+6&gt;=$D30,BB$9&lt;=$E30),1,"")</f>
        <v/>
      </c>
      <c r="BC30">
        <f>IF(AND(BC$9+6&gt;=$D30,BC$9&lt;=$E30),1,"")</f>
        <v/>
      </c>
      <c r="BD30">
        <f>IF(AND(BD$9+6&gt;=$D30,BD$9&lt;=$E30),1,"")</f>
        <v/>
      </c>
      <c r="BE30">
        <f>IF(AND(BE$9+6&gt;=$D30,BE$9&lt;=$E30),1,"")</f>
        <v/>
      </c>
      <c r="BF30">
        <f>IF(AND(BF$9+6&gt;=$D30,BF$9&lt;=$E30),1,"")</f>
        <v/>
      </c>
      <c r="BG30">
        <f>IF(AND(BG$9+6&gt;=$D30,BG$9&lt;=$E30),1,"")</f>
        <v/>
      </c>
    </row>
    <row r="31">
      <c r="B31" s="45" t="inlineStr">
        <is>
          <t>Drafting &amp; data validation (Jan 2027)</t>
        </is>
      </c>
      <c r="C31" s="46" t="n"/>
      <c r="D31" s="46" t="n"/>
      <c r="E31" s="46" t="n"/>
      <c r="F31" s="46" t="n"/>
      <c r="G31" s="46" t="n"/>
      <c r="H31" s="46" t="n"/>
      <c r="I31" s="46" t="n"/>
      <c r="J31" s="46" t="n"/>
      <c r="K31" s="46" t="n"/>
      <c r="L31" s="46" t="n"/>
      <c r="M31" s="46" t="n"/>
      <c r="N31" s="46" t="n"/>
      <c r="O31" s="46" t="n"/>
      <c r="P31" s="46" t="n"/>
      <c r="Q31" s="46" t="n"/>
      <c r="R31" s="46" t="n"/>
      <c r="S31" s="46" t="n"/>
      <c r="T31" s="46" t="n"/>
      <c r="U31" s="46" t="n"/>
      <c r="V31" s="46" t="n"/>
      <c r="W31" s="46" t="n"/>
      <c r="X31" s="46" t="n"/>
      <c r="Y31" s="46" t="n"/>
      <c r="Z31" s="46" t="n"/>
      <c r="AA31" s="46" t="n"/>
      <c r="AB31" s="46" t="n"/>
      <c r="AC31" s="46" t="n"/>
      <c r="AD31" s="46" t="n"/>
      <c r="AE31" s="46" t="n"/>
      <c r="AF31" s="46" t="n"/>
      <c r="AG31" s="46" t="n"/>
      <c r="AH31" s="46" t="n"/>
      <c r="AI31" s="46" t="n"/>
      <c r="AJ31" s="46" t="n"/>
      <c r="AK31" s="46" t="n"/>
      <c r="AL31" s="46" t="n"/>
      <c r="AM31" s="46" t="n"/>
      <c r="AN31" s="46" t="n"/>
      <c r="AO31" s="46" t="n"/>
      <c r="AP31" s="46" t="n"/>
      <c r="AQ31" s="46" t="n"/>
      <c r="AR31" s="46" t="n"/>
      <c r="AS31" s="46" t="n"/>
      <c r="AT31" s="46" t="n"/>
      <c r="AU31" s="46" t="n"/>
      <c r="AV31" s="46" t="n"/>
      <c r="AW31" s="46" t="n"/>
      <c r="AX31" s="46" t="n"/>
      <c r="AY31" s="46" t="n"/>
      <c r="AZ31" s="46" t="n"/>
      <c r="BA31" s="46" t="n"/>
      <c r="BB31" s="46" t="n"/>
      <c r="BC31" s="46" t="n"/>
      <c r="BD31" s="46" t="n"/>
      <c r="BE31" s="46" t="n"/>
      <c r="BF31" s="46" t="n"/>
      <c r="BG31" s="46" t="n"/>
    </row>
    <row r="32">
      <c r="B32" s="8" t="inlineStr">
        <is>
          <t>Reporting requests due</t>
        </is>
      </c>
      <c r="C32" s="8" t="inlineStr">
        <is>
          <t>15 Jan (TBC)</t>
        </is>
      </c>
      <c r="D32" s="17" t="n">
        <v>46402</v>
      </c>
      <c r="E32" s="17" t="n">
        <v>46402</v>
      </c>
      <c r="F32" s="8" t="inlineStr"/>
      <c r="G32" s="8" t="inlineStr"/>
      <c r="H32" s="8" t="inlineStr"/>
      <c r="I32" s="8" t="inlineStr"/>
      <c r="J32" s="8" t="inlineStr">
        <is>
          <t>Milestone</t>
        </is>
      </c>
      <c r="K32" s="8" t="inlineStr">
        <is>
          <t>Not yet started</t>
        </is>
      </c>
      <c r="L32">
        <f>IF(AND(L$9+6&gt;=$D32,L$9&lt;=$E32),1,"")</f>
        <v/>
      </c>
      <c r="M32">
        <f>IF(AND(M$9+6&gt;=$D32,M$9&lt;=$E32),1,"")</f>
        <v/>
      </c>
      <c r="N32">
        <f>IF(AND(N$9+6&gt;=$D32,N$9&lt;=$E32),1,"")</f>
        <v/>
      </c>
      <c r="O32">
        <f>IF(AND(O$9+6&gt;=$D32,O$9&lt;=$E32),1,"")</f>
        <v/>
      </c>
      <c r="P32">
        <f>IF(AND(P$9+6&gt;=$D32,P$9&lt;=$E32),1,"")</f>
        <v/>
      </c>
      <c r="Q32">
        <f>IF(AND(Q$9+6&gt;=$D32,Q$9&lt;=$E32),1,"")</f>
        <v/>
      </c>
      <c r="R32">
        <f>IF(AND(R$9+6&gt;=$D32,R$9&lt;=$E32),1,"")</f>
        <v/>
      </c>
      <c r="S32">
        <f>IF(AND(S$9+6&gt;=$D32,S$9&lt;=$E32),1,"")</f>
        <v/>
      </c>
      <c r="T32">
        <f>IF(AND(T$9+6&gt;=$D32,T$9&lt;=$E32),1,"")</f>
        <v/>
      </c>
      <c r="U32">
        <f>IF(AND(U$9+6&gt;=$D32,U$9&lt;=$E32),1,"")</f>
        <v/>
      </c>
      <c r="V32">
        <f>IF(AND(V$9+6&gt;=$D32,V$9&lt;=$E32),1,"")</f>
        <v/>
      </c>
      <c r="W32">
        <f>IF(AND(W$9+6&gt;=$D32,W$9&lt;=$E32),1,"")</f>
        <v/>
      </c>
      <c r="X32">
        <f>IF(AND(X$9+6&gt;=$D32,X$9&lt;=$E32),1,"")</f>
        <v/>
      </c>
      <c r="Y32">
        <f>IF(AND(Y$9+6&gt;=$D32,Y$9&lt;=$E32),1,"")</f>
        <v/>
      </c>
      <c r="Z32">
        <f>IF(AND(Z$9+6&gt;=$D32,Z$9&lt;=$E32),1,"")</f>
        <v/>
      </c>
      <c r="AA32">
        <f>IF(AND(AA$9+6&gt;=$D32,AA$9&lt;=$E32),1,"")</f>
        <v/>
      </c>
      <c r="AB32">
        <f>IF(AND(AB$9+6&gt;=$D32,AB$9&lt;=$E32),1,"")</f>
        <v/>
      </c>
      <c r="AC32">
        <f>IF(AND(AC$9+6&gt;=$D32,AC$9&lt;=$E32),1,"")</f>
        <v/>
      </c>
      <c r="AD32">
        <f>IF(AND(AD$9+6&gt;=$D32,AD$9&lt;=$E32),1,"")</f>
        <v/>
      </c>
      <c r="AE32">
        <f>IF(AND(AE$9+6&gt;=$D32,AE$9&lt;=$E32),1,"")</f>
        <v/>
      </c>
      <c r="AF32">
        <f>IF(AND(AF$9+6&gt;=$D32,AF$9&lt;=$E32),1,"")</f>
        <v/>
      </c>
      <c r="AG32">
        <f>IF(AND(AG$9+6&gt;=$D32,AG$9&lt;=$E32),1,"")</f>
        <v/>
      </c>
      <c r="AH32">
        <f>IF(AND(AH$9+6&gt;=$D32,AH$9&lt;=$E32),1,"")</f>
        <v/>
      </c>
      <c r="AI32">
        <f>IF(AND(AI$9+6&gt;=$D32,AI$9&lt;=$E32),1,"")</f>
        <v/>
      </c>
      <c r="AJ32">
        <f>IF(AND(AJ$9+6&gt;=$D32,AJ$9&lt;=$E32),1,"")</f>
        <v/>
      </c>
      <c r="AK32">
        <f>IF(AND(AK$9+6&gt;=$D32,AK$9&lt;=$E32),1,"")</f>
        <v/>
      </c>
      <c r="AL32">
        <f>IF(AND(AL$9+6&gt;=$D32,AL$9&lt;=$E32),1,"")</f>
        <v/>
      </c>
      <c r="AM32">
        <f>IF(AND(AM$9+6&gt;=$D32,AM$9&lt;=$E32),1,"")</f>
        <v/>
      </c>
      <c r="AN32">
        <f>IF(AND(AN$9+6&gt;=$D32,AN$9&lt;=$E32),1,"")</f>
        <v/>
      </c>
      <c r="AO32">
        <f>IF(AND(AO$9+6&gt;=$D32,AO$9&lt;=$E32),1,"")</f>
        <v/>
      </c>
      <c r="AP32">
        <f>IF(AND(AP$9+6&gt;=$D32,AP$9&lt;=$E32),1,"")</f>
        <v/>
      </c>
      <c r="AQ32">
        <f>IF(AND(AQ$9+6&gt;=$D32,AQ$9&lt;=$E32),1,"")</f>
        <v/>
      </c>
      <c r="AR32">
        <f>IF(AND(AR$9+6&gt;=$D32,AR$9&lt;=$E32),1,"")</f>
        <v/>
      </c>
      <c r="AS32">
        <f>IF(AND(AS$9+6&gt;=$D32,AS$9&lt;=$E32),1,"")</f>
        <v/>
      </c>
      <c r="AT32">
        <f>IF(AND(AT$9+6&gt;=$D32,AT$9&lt;=$E32),1,"")</f>
        <v/>
      </c>
      <c r="AU32">
        <f>IF(AND(AU$9+6&gt;=$D32,AU$9&lt;=$E32),1,"")</f>
        <v/>
      </c>
      <c r="AV32">
        <f>IF(AND(AV$9+6&gt;=$D32,AV$9&lt;=$E32),1,"")</f>
        <v/>
      </c>
      <c r="AW32">
        <f>IF(AND(AW$9+6&gt;=$D32,AW$9&lt;=$E32),1,"")</f>
        <v/>
      </c>
      <c r="AX32">
        <f>IF(AND(AX$9+6&gt;=$D32,AX$9&lt;=$E32),1,"")</f>
        <v/>
      </c>
      <c r="AY32">
        <f>IF(AND(AY$9+6&gt;=$D32,AY$9&lt;=$E32),1,"")</f>
        <v/>
      </c>
      <c r="AZ32">
        <f>IF(AND(AZ$9+6&gt;=$D32,AZ$9&lt;=$E32),1,"")</f>
        <v/>
      </c>
      <c r="BA32">
        <f>IF(AND(BA$9+6&gt;=$D32,BA$9&lt;=$E32),1,"")</f>
        <v/>
      </c>
      <c r="BB32">
        <f>IF(AND(BB$9+6&gt;=$D32,BB$9&lt;=$E32),1,"")</f>
        <v/>
      </c>
      <c r="BC32">
        <f>IF(AND(BC$9+6&gt;=$D32,BC$9&lt;=$E32),1,"")</f>
        <v/>
      </c>
      <c r="BD32">
        <f>IF(AND(BD$9+6&gt;=$D32,BD$9&lt;=$E32),1,"")</f>
        <v/>
      </c>
      <c r="BE32">
        <f>IF(AND(BE$9+6&gt;=$D32,BE$9&lt;=$E32),1,"")</f>
        <v/>
      </c>
      <c r="BF32">
        <f>IF(AND(BF$9+6&gt;=$D32,BF$9&lt;=$E32),1,"")</f>
        <v/>
      </c>
      <c r="BG32">
        <f>IF(AND(BG$9+6&gt;=$D32,BG$9&lt;=$E32),1,"")</f>
        <v/>
      </c>
    </row>
    <row r="33">
      <c r="B33" s="8" t="inlineStr">
        <is>
          <t>Targeted support meetings (new owners, complex indicators, late respondents)</t>
        </is>
      </c>
      <c r="C33" s="8" t="inlineStr"/>
      <c r="D33" s="17" t="n">
        <v>46391</v>
      </c>
      <c r="E33" s="17" t="n">
        <v>46409</v>
      </c>
      <c r="F33" s="8" t="inlineStr">
        <is>
          <t>SST</t>
        </is>
      </c>
      <c r="G33" s="8" t="inlineStr"/>
      <c r="H33" s="8" t="inlineStr"/>
      <c r="I33" s="8" t="inlineStr">
        <is>
          <t>Data owners</t>
        </is>
      </c>
      <c r="J33" s="8" t="inlineStr">
        <is>
          <t>Medium</t>
        </is>
      </c>
      <c r="K33" s="8" t="inlineStr">
        <is>
          <t>Not yet started</t>
        </is>
      </c>
      <c r="L33">
        <f>IF(AND(L$9+6&gt;=$D33,L$9&lt;=$E33),1,"")</f>
        <v/>
      </c>
      <c r="M33">
        <f>IF(AND(M$9+6&gt;=$D33,M$9&lt;=$E33),1,"")</f>
        <v/>
      </c>
      <c r="N33">
        <f>IF(AND(N$9+6&gt;=$D33,N$9&lt;=$E33),1,"")</f>
        <v/>
      </c>
      <c r="O33">
        <f>IF(AND(O$9+6&gt;=$D33,O$9&lt;=$E33),1,"")</f>
        <v/>
      </c>
      <c r="P33">
        <f>IF(AND(P$9+6&gt;=$D33,P$9&lt;=$E33),1,"")</f>
        <v/>
      </c>
      <c r="Q33">
        <f>IF(AND(Q$9+6&gt;=$D33,Q$9&lt;=$E33),1,"")</f>
        <v/>
      </c>
      <c r="R33">
        <f>IF(AND(R$9+6&gt;=$D33,R$9&lt;=$E33),1,"")</f>
        <v/>
      </c>
      <c r="S33">
        <f>IF(AND(S$9+6&gt;=$D33,S$9&lt;=$E33),1,"")</f>
        <v/>
      </c>
      <c r="T33">
        <f>IF(AND(T$9+6&gt;=$D33,T$9&lt;=$E33),1,"")</f>
        <v/>
      </c>
      <c r="U33">
        <f>IF(AND(U$9+6&gt;=$D33,U$9&lt;=$E33),1,"")</f>
        <v/>
      </c>
      <c r="V33">
        <f>IF(AND(V$9+6&gt;=$D33,V$9&lt;=$E33),1,"")</f>
        <v/>
      </c>
      <c r="W33">
        <f>IF(AND(W$9+6&gt;=$D33,W$9&lt;=$E33),1,"")</f>
        <v/>
      </c>
      <c r="X33">
        <f>IF(AND(X$9+6&gt;=$D33,X$9&lt;=$E33),1,"")</f>
        <v/>
      </c>
      <c r="Y33">
        <f>IF(AND(Y$9+6&gt;=$D33,Y$9&lt;=$E33),1,"")</f>
        <v/>
      </c>
      <c r="Z33">
        <f>IF(AND(Z$9+6&gt;=$D33,Z$9&lt;=$E33),1,"")</f>
        <v/>
      </c>
      <c r="AA33">
        <f>IF(AND(AA$9+6&gt;=$D33,AA$9&lt;=$E33),1,"")</f>
        <v/>
      </c>
      <c r="AB33">
        <f>IF(AND(AB$9+6&gt;=$D33,AB$9&lt;=$E33),1,"")</f>
        <v/>
      </c>
      <c r="AC33">
        <f>IF(AND(AC$9+6&gt;=$D33,AC$9&lt;=$E33),1,"")</f>
        <v/>
      </c>
      <c r="AD33">
        <f>IF(AND(AD$9+6&gt;=$D33,AD$9&lt;=$E33),1,"")</f>
        <v/>
      </c>
      <c r="AE33">
        <f>IF(AND(AE$9+6&gt;=$D33,AE$9&lt;=$E33),1,"")</f>
        <v/>
      </c>
      <c r="AF33">
        <f>IF(AND(AF$9+6&gt;=$D33,AF$9&lt;=$E33),1,"")</f>
        <v/>
      </c>
      <c r="AG33">
        <f>IF(AND(AG$9+6&gt;=$D33,AG$9&lt;=$E33),1,"")</f>
        <v/>
      </c>
      <c r="AH33">
        <f>IF(AND(AH$9+6&gt;=$D33,AH$9&lt;=$E33),1,"")</f>
        <v/>
      </c>
      <c r="AI33">
        <f>IF(AND(AI$9+6&gt;=$D33,AI$9&lt;=$E33),1,"")</f>
        <v/>
      </c>
      <c r="AJ33">
        <f>IF(AND(AJ$9+6&gt;=$D33,AJ$9&lt;=$E33),1,"")</f>
        <v/>
      </c>
      <c r="AK33">
        <f>IF(AND(AK$9+6&gt;=$D33,AK$9&lt;=$E33),1,"")</f>
        <v/>
      </c>
      <c r="AL33">
        <f>IF(AND(AL$9+6&gt;=$D33,AL$9&lt;=$E33),1,"")</f>
        <v/>
      </c>
      <c r="AM33">
        <f>IF(AND(AM$9+6&gt;=$D33,AM$9&lt;=$E33),1,"")</f>
        <v/>
      </c>
      <c r="AN33">
        <f>IF(AND(AN$9+6&gt;=$D33,AN$9&lt;=$E33),1,"")</f>
        <v/>
      </c>
      <c r="AO33">
        <f>IF(AND(AO$9+6&gt;=$D33,AO$9&lt;=$E33),1,"")</f>
        <v/>
      </c>
      <c r="AP33">
        <f>IF(AND(AP$9+6&gt;=$D33,AP$9&lt;=$E33),1,"")</f>
        <v/>
      </c>
      <c r="AQ33">
        <f>IF(AND(AQ$9+6&gt;=$D33,AQ$9&lt;=$E33),1,"")</f>
        <v/>
      </c>
      <c r="AR33">
        <f>IF(AND(AR$9+6&gt;=$D33,AR$9&lt;=$E33),1,"")</f>
        <v/>
      </c>
      <c r="AS33">
        <f>IF(AND(AS$9+6&gt;=$D33,AS$9&lt;=$E33),1,"")</f>
        <v/>
      </c>
      <c r="AT33">
        <f>IF(AND(AT$9+6&gt;=$D33,AT$9&lt;=$E33),1,"")</f>
        <v/>
      </c>
      <c r="AU33">
        <f>IF(AND(AU$9+6&gt;=$D33,AU$9&lt;=$E33),1,"")</f>
        <v/>
      </c>
      <c r="AV33">
        <f>IF(AND(AV$9+6&gt;=$D33,AV$9&lt;=$E33),1,"")</f>
        <v/>
      </c>
      <c r="AW33">
        <f>IF(AND(AW$9+6&gt;=$D33,AW$9&lt;=$E33),1,"")</f>
        <v/>
      </c>
      <c r="AX33">
        <f>IF(AND(AX$9+6&gt;=$D33,AX$9&lt;=$E33),1,"")</f>
        <v/>
      </c>
      <c r="AY33">
        <f>IF(AND(AY$9+6&gt;=$D33,AY$9&lt;=$E33),1,"")</f>
        <v/>
      </c>
      <c r="AZ33">
        <f>IF(AND(AZ$9+6&gt;=$D33,AZ$9&lt;=$E33),1,"")</f>
        <v/>
      </c>
      <c r="BA33">
        <f>IF(AND(BA$9+6&gt;=$D33,BA$9&lt;=$E33),1,"")</f>
        <v/>
      </c>
      <c r="BB33">
        <f>IF(AND(BB$9+6&gt;=$D33,BB$9&lt;=$E33),1,"")</f>
        <v/>
      </c>
      <c r="BC33">
        <f>IF(AND(BC$9+6&gt;=$D33,BC$9&lt;=$E33),1,"")</f>
        <v/>
      </c>
      <c r="BD33">
        <f>IF(AND(BD$9+6&gt;=$D33,BD$9&lt;=$E33),1,"")</f>
        <v/>
      </c>
      <c r="BE33">
        <f>IF(AND(BE$9+6&gt;=$D33,BE$9&lt;=$E33),1,"")</f>
        <v/>
      </c>
      <c r="BF33">
        <f>IF(AND(BF$9+6&gt;=$D33,BF$9&lt;=$E33),1,"")</f>
        <v/>
      </c>
      <c r="BG33">
        <f>IF(AND(BG$9+6&gt;=$D33,BG$9&lt;=$E33),1,"")</f>
        <v/>
      </c>
    </row>
    <row r="34">
      <c r="B34" s="8" t="inlineStr">
        <is>
          <t>Confirm provisional quantitative data (Databook)</t>
        </is>
      </c>
      <c r="C34" s="8" t="inlineStr"/>
      <c r="D34" s="17" t="n">
        <v>46391</v>
      </c>
      <c r="E34" s="17" t="n">
        <v>46416</v>
      </c>
      <c r="F34" s="8" t="inlineStr">
        <is>
          <t>SST</t>
        </is>
      </c>
      <c r="G34" s="8" t="inlineStr"/>
      <c r="H34" s="8" t="inlineStr">
        <is>
          <t>Data owners</t>
        </is>
      </c>
      <c r="I34" s="8" t="inlineStr"/>
      <c r="J34" s="8" t="inlineStr">
        <is>
          <t>High</t>
        </is>
      </c>
      <c r="K34" s="8" t="inlineStr">
        <is>
          <t>Not yet started</t>
        </is>
      </c>
      <c r="L34">
        <f>IF(AND(L$9+6&gt;=$D34,L$9&lt;=$E34),1,"")</f>
        <v/>
      </c>
      <c r="M34">
        <f>IF(AND(M$9+6&gt;=$D34,M$9&lt;=$E34),1,"")</f>
        <v/>
      </c>
      <c r="N34">
        <f>IF(AND(N$9+6&gt;=$D34,N$9&lt;=$E34),1,"")</f>
        <v/>
      </c>
      <c r="O34">
        <f>IF(AND(O$9+6&gt;=$D34,O$9&lt;=$E34),1,"")</f>
        <v/>
      </c>
      <c r="P34">
        <f>IF(AND(P$9+6&gt;=$D34,P$9&lt;=$E34),1,"")</f>
        <v/>
      </c>
      <c r="Q34">
        <f>IF(AND(Q$9+6&gt;=$D34,Q$9&lt;=$E34),1,"")</f>
        <v/>
      </c>
      <c r="R34">
        <f>IF(AND(R$9+6&gt;=$D34,R$9&lt;=$E34),1,"")</f>
        <v/>
      </c>
      <c r="S34">
        <f>IF(AND(S$9+6&gt;=$D34,S$9&lt;=$E34),1,"")</f>
        <v/>
      </c>
      <c r="T34">
        <f>IF(AND(T$9+6&gt;=$D34,T$9&lt;=$E34),1,"")</f>
        <v/>
      </c>
      <c r="U34">
        <f>IF(AND(U$9+6&gt;=$D34,U$9&lt;=$E34),1,"")</f>
        <v/>
      </c>
      <c r="V34">
        <f>IF(AND(V$9+6&gt;=$D34,V$9&lt;=$E34),1,"")</f>
        <v/>
      </c>
      <c r="W34">
        <f>IF(AND(W$9+6&gt;=$D34,W$9&lt;=$E34),1,"")</f>
        <v/>
      </c>
      <c r="X34">
        <f>IF(AND(X$9+6&gt;=$D34,X$9&lt;=$E34),1,"")</f>
        <v/>
      </c>
      <c r="Y34">
        <f>IF(AND(Y$9+6&gt;=$D34,Y$9&lt;=$E34),1,"")</f>
        <v/>
      </c>
      <c r="Z34">
        <f>IF(AND(Z$9+6&gt;=$D34,Z$9&lt;=$E34),1,"")</f>
        <v/>
      </c>
      <c r="AA34">
        <f>IF(AND(AA$9+6&gt;=$D34,AA$9&lt;=$E34),1,"")</f>
        <v/>
      </c>
      <c r="AB34">
        <f>IF(AND(AB$9+6&gt;=$D34,AB$9&lt;=$E34),1,"")</f>
        <v/>
      </c>
      <c r="AC34">
        <f>IF(AND(AC$9+6&gt;=$D34,AC$9&lt;=$E34),1,"")</f>
        <v/>
      </c>
      <c r="AD34">
        <f>IF(AND(AD$9+6&gt;=$D34,AD$9&lt;=$E34),1,"")</f>
        <v/>
      </c>
      <c r="AE34">
        <f>IF(AND(AE$9+6&gt;=$D34,AE$9&lt;=$E34),1,"")</f>
        <v/>
      </c>
      <c r="AF34">
        <f>IF(AND(AF$9+6&gt;=$D34,AF$9&lt;=$E34),1,"")</f>
        <v/>
      </c>
      <c r="AG34">
        <f>IF(AND(AG$9+6&gt;=$D34,AG$9&lt;=$E34),1,"")</f>
        <v/>
      </c>
      <c r="AH34">
        <f>IF(AND(AH$9+6&gt;=$D34,AH$9&lt;=$E34),1,"")</f>
        <v/>
      </c>
      <c r="AI34">
        <f>IF(AND(AI$9+6&gt;=$D34,AI$9&lt;=$E34),1,"")</f>
        <v/>
      </c>
      <c r="AJ34">
        <f>IF(AND(AJ$9+6&gt;=$D34,AJ$9&lt;=$E34),1,"")</f>
        <v/>
      </c>
      <c r="AK34">
        <f>IF(AND(AK$9+6&gt;=$D34,AK$9&lt;=$E34),1,"")</f>
        <v/>
      </c>
      <c r="AL34">
        <f>IF(AND(AL$9+6&gt;=$D34,AL$9&lt;=$E34),1,"")</f>
        <v/>
      </c>
      <c r="AM34">
        <f>IF(AND(AM$9+6&gt;=$D34,AM$9&lt;=$E34),1,"")</f>
        <v/>
      </c>
      <c r="AN34">
        <f>IF(AND(AN$9+6&gt;=$D34,AN$9&lt;=$E34),1,"")</f>
        <v/>
      </c>
      <c r="AO34">
        <f>IF(AND(AO$9+6&gt;=$D34,AO$9&lt;=$E34),1,"")</f>
        <v/>
      </c>
      <c r="AP34">
        <f>IF(AND(AP$9+6&gt;=$D34,AP$9&lt;=$E34),1,"")</f>
        <v/>
      </c>
      <c r="AQ34">
        <f>IF(AND(AQ$9+6&gt;=$D34,AQ$9&lt;=$E34),1,"")</f>
        <v/>
      </c>
      <c r="AR34">
        <f>IF(AND(AR$9+6&gt;=$D34,AR$9&lt;=$E34),1,"")</f>
        <v/>
      </c>
      <c r="AS34">
        <f>IF(AND(AS$9+6&gt;=$D34,AS$9&lt;=$E34),1,"")</f>
        <v/>
      </c>
      <c r="AT34">
        <f>IF(AND(AT$9+6&gt;=$D34,AT$9&lt;=$E34),1,"")</f>
        <v/>
      </c>
      <c r="AU34">
        <f>IF(AND(AU$9+6&gt;=$D34,AU$9&lt;=$E34),1,"")</f>
        <v/>
      </c>
      <c r="AV34">
        <f>IF(AND(AV$9+6&gt;=$D34,AV$9&lt;=$E34),1,"")</f>
        <v/>
      </c>
      <c r="AW34">
        <f>IF(AND(AW$9+6&gt;=$D34,AW$9&lt;=$E34),1,"")</f>
        <v/>
      </c>
      <c r="AX34">
        <f>IF(AND(AX$9+6&gt;=$D34,AX$9&lt;=$E34),1,"")</f>
        <v/>
      </c>
      <c r="AY34">
        <f>IF(AND(AY$9+6&gt;=$D34,AY$9&lt;=$E34),1,"")</f>
        <v/>
      </c>
      <c r="AZ34">
        <f>IF(AND(AZ$9+6&gt;=$D34,AZ$9&lt;=$E34),1,"")</f>
        <v/>
      </c>
      <c r="BA34">
        <f>IF(AND(BA$9+6&gt;=$D34,BA$9&lt;=$E34),1,"")</f>
        <v/>
      </c>
      <c r="BB34">
        <f>IF(AND(BB$9+6&gt;=$D34,BB$9&lt;=$E34),1,"")</f>
        <v/>
      </c>
      <c r="BC34">
        <f>IF(AND(BC$9+6&gt;=$D34,BC$9&lt;=$E34),1,"")</f>
        <v/>
      </c>
      <c r="BD34">
        <f>IF(AND(BD$9+6&gt;=$D34,BD$9&lt;=$E34),1,"")</f>
        <v/>
      </c>
      <c r="BE34">
        <f>IF(AND(BE$9+6&gt;=$D34,BE$9&lt;=$E34),1,"")</f>
        <v/>
      </c>
      <c r="BF34">
        <f>IF(AND(BF$9+6&gt;=$D34,BF$9&lt;=$E34),1,"")</f>
        <v/>
      </c>
      <c r="BG34">
        <f>IF(AND(BG$9+6&gt;=$D34,BG$9&lt;=$E34),1,"")</f>
        <v/>
      </c>
    </row>
    <row r="35">
      <c r="B35" s="8" t="inlineStr">
        <is>
          <t>Preliminary target status assessment (internal) – A1/T2 tabs</t>
        </is>
      </c>
      <c r="C35" s="8" t="inlineStr"/>
      <c r="D35" s="17" t="n">
        <v>46405</v>
      </c>
      <c r="E35" s="17" t="n">
        <v>46423</v>
      </c>
      <c r="F35" s="8" t="inlineStr">
        <is>
          <t>Rose (TBC)</t>
        </is>
      </c>
      <c r="G35" s="8" t="inlineStr">
        <is>
          <t>Director, Sustainability</t>
        </is>
      </c>
      <c r="H35" s="8" t="inlineStr">
        <is>
          <t>SST</t>
        </is>
      </c>
      <c r="I35" s="8" t="inlineStr"/>
      <c r="J35" s="8" t="inlineStr">
        <is>
          <t>High</t>
        </is>
      </c>
      <c r="K35" s="8" t="inlineStr">
        <is>
          <t>Not yet started</t>
        </is>
      </c>
      <c r="L35">
        <f>IF(AND(L$9+6&gt;=$D35,L$9&lt;=$E35),1,"")</f>
        <v/>
      </c>
      <c r="M35">
        <f>IF(AND(M$9+6&gt;=$D35,M$9&lt;=$E35),1,"")</f>
        <v/>
      </c>
      <c r="N35">
        <f>IF(AND(N$9+6&gt;=$D35,N$9&lt;=$E35),1,"")</f>
        <v/>
      </c>
      <c r="O35">
        <f>IF(AND(O$9+6&gt;=$D35,O$9&lt;=$E35),1,"")</f>
        <v/>
      </c>
      <c r="P35">
        <f>IF(AND(P$9+6&gt;=$D35,P$9&lt;=$E35),1,"")</f>
        <v/>
      </c>
      <c r="Q35">
        <f>IF(AND(Q$9+6&gt;=$D35,Q$9&lt;=$E35),1,"")</f>
        <v/>
      </c>
      <c r="R35">
        <f>IF(AND(R$9+6&gt;=$D35,R$9&lt;=$E35),1,"")</f>
        <v/>
      </c>
      <c r="S35">
        <f>IF(AND(S$9+6&gt;=$D35,S$9&lt;=$E35),1,"")</f>
        <v/>
      </c>
      <c r="T35">
        <f>IF(AND(T$9+6&gt;=$D35,T$9&lt;=$E35),1,"")</f>
        <v/>
      </c>
      <c r="U35">
        <f>IF(AND(U$9+6&gt;=$D35,U$9&lt;=$E35),1,"")</f>
        <v/>
      </c>
      <c r="V35">
        <f>IF(AND(V$9+6&gt;=$D35,V$9&lt;=$E35),1,"")</f>
        <v/>
      </c>
      <c r="W35">
        <f>IF(AND(W$9+6&gt;=$D35,W$9&lt;=$E35),1,"")</f>
        <v/>
      </c>
      <c r="X35">
        <f>IF(AND(X$9+6&gt;=$D35,X$9&lt;=$E35),1,"")</f>
        <v/>
      </c>
      <c r="Y35">
        <f>IF(AND(Y$9+6&gt;=$D35,Y$9&lt;=$E35),1,"")</f>
        <v/>
      </c>
      <c r="Z35">
        <f>IF(AND(Z$9+6&gt;=$D35,Z$9&lt;=$E35),1,"")</f>
        <v/>
      </c>
      <c r="AA35">
        <f>IF(AND(AA$9+6&gt;=$D35,AA$9&lt;=$E35),1,"")</f>
        <v/>
      </c>
      <c r="AB35">
        <f>IF(AND(AB$9+6&gt;=$D35,AB$9&lt;=$E35),1,"")</f>
        <v/>
      </c>
      <c r="AC35">
        <f>IF(AND(AC$9+6&gt;=$D35,AC$9&lt;=$E35),1,"")</f>
        <v/>
      </c>
      <c r="AD35">
        <f>IF(AND(AD$9+6&gt;=$D35,AD$9&lt;=$E35),1,"")</f>
        <v/>
      </c>
      <c r="AE35">
        <f>IF(AND(AE$9+6&gt;=$D35,AE$9&lt;=$E35),1,"")</f>
        <v/>
      </c>
      <c r="AF35">
        <f>IF(AND(AF$9+6&gt;=$D35,AF$9&lt;=$E35),1,"")</f>
        <v/>
      </c>
      <c r="AG35">
        <f>IF(AND(AG$9+6&gt;=$D35,AG$9&lt;=$E35),1,"")</f>
        <v/>
      </c>
      <c r="AH35">
        <f>IF(AND(AH$9+6&gt;=$D35,AH$9&lt;=$E35),1,"")</f>
        <v/>
      </c>
      <c r="AI35">
        <f>IF(AND(AI$9+6&gt;=$D35,AI$9&lt;=$E35),1,"")</f>
        <v/>
      </c>
      <c r="AJ35">
        <f>IF(AND(AJ$9+6&gt;=$D35,AJ$9&lt;=$E35),1,"")</f>
        <v/>
      </c>
      <c r="AK35">
        <f>IF(AND(AK$9+6&gt;=$D35,AK$9&lt;=$E35),1,"")</f>
        <v/>
      </c>
      <c r="AL35">
        <f>IF(AND(AL$9+6&gt;=$D35,AL$9&lt;=$E35),1,"")</f>
        <v/>
      </c>
      <c r="AM35">
        <f>IF(AND(AM$9+6&gt;=$D35,AM$9&lt;=$E35),1,"")</f>
        <v/>
      </c>
      <c r="AN35">
        <f>IF(AND(AN$9+6&gt;=$D35,AN$9&lt;=$E35),1,"")</f>
        <v/>
      </c>
      <c r="AO35">
        <f>IF(AND(AO$9+6&gt;=$D35,AO$9&lt;=$E35),1,"")</f>
        <v/>
      </c>
      <c r="AP35">
        <f>IF(AND(AP$9+6&gt;=$D35,AP$9&lt;=$E35),1,"")</f>
        <v/>
      </c>
      <c r="AQ35">
        <f>IF(AND(AQ$9+6&gt;=$D35,AQ$9&lt;=$E35),1,"")</f>
        <v/>
      </c>
      <c r="AR35">
        <f>IF(AND(AR$9+6&gt;=$D35,AR$9&lt;=$E35),1,"")</f>
        <v/>
      </c>
      <c r="AS35">
        <f>IF(AND(AS$9+6&gt;=$D35,AS$9&lt;=$E35),1,"")</f>
        <v/>
      </c>
      <c r="AT35">
        <f>IF(AND(AT$9+6&gt;=$D35,AT$9&lt;=$E35),1,"")</f>
        <v/>
      </c>
      <c r="AU35">
        <f>IF(AND(AU$9+6&gt;=$D35,AU$9&lt;=$E35),1,"")</f>
        <v/>
      </c>
      <c r="AV35">
        <f>IF(AND(AV$9+6&gt;=$D35,AV$9&lt;=$E35),1,"")</f>
        <v/>
      </c>
      <c r="AW35">
        <f>IF(AND(AW$9+6&gt;=$D35,AW$9&lt;=$E35),1,"")</f>
        <v/>
      </c>
      <c r="AX35">
        <f>IF(AND(AX$9+6&gt;=$D35,AX$9&lt;=$E35),1,"")</f>
        <v/>
      </c>
      <c r="AY35">
        <f>IF(AND(AY$9+6&gt;=$D35,AY$9&lt;=$E35),1,"")</f>
        <v/>
      </c>
      <c r="AZ35">
        <f>IF(AND(AZ$9+6&gt;=$D35,AZ$9&lt;=$E35),1,"")</f>
        <v/>
      </c>
      <c r="BA35">
        <f>IF(AND(BA$9+6&gt;=$D35,BA$9&lt;=$E35),1,"")</f>
        <v/>
      </c>
      <c r="BB35">
        <f>IF(AND(BB$9+6&gt;=$D35,BB$9&lt;=$E35),1,"")</f>
        <v/>
      </c>
      <c r="BC35">
        <f>IF(AND(BC$9+6&gt;=$D35,BC$9&lt;=$E35),1,"")</f>
        <v/>
      </c>
      <c r="BD35">
        <f>IF(AND(BD$9+6&gt;=$D35,BD$9&lt;=$E35),1,"")</f>
        <v/>
      </c>
      <c r="BE35">
        <f>IF(AND(BE$9+6&gt;=$D35,BE$9&lt;=$E35),1,"")</f>
        <v/>
      </c>
      <c r="BF35">
        <f>IF(AND(BF$9+6&gt;=$D35,BF$9&lt;=$E35),1,"")</f>
        <v/>
      </c>
      <c r="BG35">
        <f>IF(AND(BG$9+6&gt;=$D35,BG$9&lt;=$E35),1,"")</f>
        <v/>
      </c>
    </row>
    <row r="36">
      <c r="B36" s="8" t="inlineStr">
        <is>
          <t>Full draft + issues paper; close evidence gaps</t>
        </is>
      </c>
      <c r="C36" s="8" t="inlineStr"/>
      <c r="D36" s="17" t="n">
        <v>46398</v>
      </c>
      <c r="E36" s="17" t="n">
        <v>46423</v>
      </c>
      <c r="F36" s="8" t="inlineStr">
        <is>
          <t>SST</t>
        </is>
      </c>
      <c r="G36" s="8" t="inlineStr">
        <is>
          <t>Director, Sustainability</t>
        </is>
      </c>
      <c r="H36" s="8" t="inlineStr"/>
      <c r="I36" s="8" t="inlineStr"/>
      <c r="J36" s="8" t="inlineStr">
        <is>
          <t>High</t>
        </is>
      </c>
      <c r="K36" s="8" t="inlineStr">
        <is>
          <t>Not yet started</t>
        </is>
      </c>
      <c r="L36">
        <f>IF(AND(L$9+6&gt;=$D36,L$9&lt;=$E36),1,"")</f>
        <v/>
      </c>
      <c r="M36">
        <f>IF(AND(M$9+6&gt;=$D36,M$9&lt;=$E36),1,"")</f>
        <v/>
      </c>
      <c r="N36">
        <f>IF(AND(N$9+6&gt;=$D36,N$9&lt;=$E36),1,"")</f>
        <v/>
      </c>
      <c r="O36">
        <f>IF(AND(O$9+6&gt;=$D36,O$9&lt;=$E36),1,"")</f>
        <v/>
      </c>
      <c r="P36">
        <f>IF(AND(P$9+6&gt;=$D36,P$9&lt;=$E36),1,"")</f>
        <v/>
      </c>
      <c r="Q36">
        <f>IF(AND(Q$9+6&gt;=$D36,Q$9&lt;=$E36),1,"")</f>
        <v/>
      </c>
      <c r="R36">
        <f>IF(AND(R$9+6&gt;=$D36,R$9&lt;=$E36),1,"")</f>
        <v/>
      </c>
      <c r="S36">
        <f>IF(AND(S$9+6&gt;=$D36,S$9&lt;=$E36),1,"")</f>
        <v/>
      </c>
      <c r="T36">
        <f>IF(AND(T$9+6&gt;=$D36,T$9&lt;=$E36),1,"")</f>
        <v/>
      </c>
      <c r="U36">
        <f>IF(AND(U$9+6&gt;=$D36,U$9&lt;=$E36),1,"")</f>
        <v/>
      </c>
      <c r="V36">
        <f>IF(AND(V$9+6&gt;=$D36,V$9&lt;=$E36),1,"")</f>
        <v/>
      </c>
      <c r="W36">
        <f>IF(AND(W$9+6&gt;=$D36,W$9&lt;=$E36),1,"")</f>
        <v/>
      </c>
      <c r="X36">
        <f>IF(AND(X$9+6&gt;=$D36,X$9&lt;=$E36),1,"")</f>
        <v/>
      </c>
      <c r="Y36">
        <f>IF(AND(Y$9+6&gt;=$D36,Y$9&lt;=$E36),1,"")</f>
        <v/>
      </c>
      <c r="Z36">
        <f>IF(AND(Z$9+6&gt;=$D36,Z$9&lt;=$E36),1,"")</f>
        <v/>
      </c>
      <c r="AA36">
        <f>IF(AND(AA$9+6&gt;=$D36,AA$9&lt;=$E36),1,"")</f>
        <v/>
      </c>
      <c r="AB36">
        <f>IF(AND(AB$9+6&gt;=$D36,AB$9&lt;=$E36),1,"")</f>
        <v/>
      </c>
      <c r="AC36">
        <f>IF(AND(AC$9+6&gt;=$D36,AC$9&lt;=$E36),1,"")</f>
        <v/>
      </c>
      <c r="AD36">
        <f>IF(AND(AD$9+6&gt;=$D36,AD$9&lt;=$E36),1,"")</f>
        <v/>
      </c>
      <c r="AE36">
        <f>IF(AND(AE$9+6&gt;=$D36,AE$9&lt;=$E36),1,"")</f>
        <v/>
      </c>
      <c r="AF36">
        <f>IF(AND(AF$9+6&gt;=$D36,AF$9&lt;=$E36),1,"")</f>
        <v/>
      </c>
      <c r="AG36">
        <f>IF(AND(AG$9+6&gt;=$D36,AG$9&lt;=$E36),1,"")</f>
        <v/>
      </c>
      <c r="AH36">
        <f>IF(AND(AH$9+6&gt;=$D36,AH$9&lt;=$E36),1,"")</f>
        <v/>
      </c>
      <c r="AI36">
        <f>IF(AND(AI$9+6&gt;=$D36,AI$9&lt;=$E36),1,"")</f>
        <v/>
      </c>
      <c r="AJ36">
        <f>IF(AND(AJ$9+6&gt;=$D36,AJ$9&lt;=$E36),1,"")</f>
        <v/>
      </c>
      <c r="AK36">
        <f>IF(AND(AK$9+6&gt;=$D36,AK$9&lt;=$E36),1,"")</f>
        <v/>
      </c>
      <c r="AL36">
        <f>IF(AND(AL$9+6&gt;=$D36,AL$9&lt;=$E36),1,"")</f>
        <v/>
      </c>
      <c r="AM36">
        <f>IF(AND(AM$9+6&gt;=$D36,AM$9&lt;=$E36),1,"")</f>
        <v/>
      </c>
      <c r="AN36">
        <f>IF(AND(AN$9+6&gt;=$D36,AN$9&lt;=$E36),1,"")</f>
        <v/>
      </c>
      <c r="AO36">
        <f>IF(AND(AO$9+6&gt;=$D36,AO$9&lt;=$E36),1,"")</f>
        <v/>
      </c>
      <c r="AP36">
        <f>IF(AND(AP$9+6&gt;=$D36,AP$9&lt;=$E36),1,"")</f>
        <v/>
      </c>
      <c r="AQ36">
        <f>IF(AND(AQ$9+6&gt;=$D36,AQ$9&lt;=$E36),1,"")</f>
        <v/>
      </c>
      <c r="AR36">
        <f>IF(AND(AR$9+6&gt;=$D36,AR$9&lt;=$E36),1,"")</f>
        <v/>
      </c>
      <c r="AS36">
        <f>IF(AND(AS$9+6&gt;=$D36,AS$9&lt;=$E36),1,"")</f>
        <v/>
      </c>
      <c r="AT36">
        <f>IF(AND(AT$9+6&gt;=$D36,AT$9&lt;=$E36),1,"")</f>
        <v/>
      </c>
      <c r="AU36">
        <f>IF(AND(AU$9+6&gt;=$D36,AU$9&lt;=$E36),1,"")</f>
        <v/>
      </c>
      <c r="AV36">
        <f>IF(AND(AV$9+6&gt;=$D36,AV$9&lt;=$E36),1,"")</f>
        <v/>
      </c>
      <c r="AW36">
        <f>IF(AND(AW$9+6&gt;=$D36,AW$9&lt;=$E36),1,"")</f>
        <v/>
      </c>
      <c r="AX36">
        <f>IF(AND(AX$9+6&gt;=$D36,AX$9&lt;=$E36),1,"")</f>
        <v/>
      </c>
      <c r="AY36">
        <f>IF(AND(AY$9+6&gt;=$D36,AY$9&lt;=$E36),1,"")</f>
        <v/>
      </c>
      <c r="AZ36">
        <f>IF(AND(AZ$9+6&gt;=$D36,AZ$9&lt;=$E36),1,"")</f>
        <v/>
      </c>
      <c r="BA36">
        <f>IF(AND(BA$9+6&gt;=$D36,BA$9&lt;=$E36),1,"")</f>
        <v/>
      </c>
      <c r="BB36">
        <f>IF(AND(BB$9+6&gt;=$D36,BB$9&lt;=$E36),1,"")</f>
        <v/>
      </c>
      <c r="BC36">
        <f>IF(AND(BC$9+6&gt;=$D36,BC$9&lt;=$E36),1,"")</f>
        <v/>
      </c>
      <c r="BD36">
        <f>IF(AND(BD$9+6&gt;=$D36,BD$9&lt;=$E36),1,"")</f>
        <v/>
      </c>
      <c r="BE36">
        <f>IF(AND(BE$9+6&gt;=$D36,BE$9&lt;=$E36),1,"")</f>
        <v/>
      </c>
      <c r="BF36">
        <f>IF(AND(BF$9+6&gt;=$D36,BF$9&lt;=$E36),1,"")</f>
        <v/>
      </c>
      <c r="BG36">
        <f>IF(AND(BG$9+6&gt;=$D36,BG$9&lt;=$E36),1,"")</f>
        <v/>
      </c>
    </row>
    <row r="37">
      <c r="B37" s="45" t="inlineStr">
        <is>
          <t>Review &amp; governance (Feb–May 2027)</t>
        </is>
      </c>
      <c r="C37" s="46" t="n"/>
      <c r="D37" s="46" t="n"/>
      <c r="E37" s="46" t="n"/>
      <c r="F37" s="46" t="n"/>
      <c r="G37" s="46" t="n"/>
      <c r="H37" s="46" t="n"/>
      <c r="I37" s="46" t="n"/>
      <c r="J37" s="46" t="n"/>
      <c r="K37" s="46" t="n"/>
      <c r="L37" s="46" t="n"/>
      <c r="M37" s="46" t="n"/>
      <c r="N37" s="46" t="n"/>
      <c r="O37" s="46" t="n"/>
      <c r="P37" s="46" t="n"/>
      <c r="Q37" s="46" t="n"/>
      <c r="R37" s="46" t="n"/>
      <c r="S37" s="46" t="n"/>
      <c r="T37" s="46" t="n"/>
      <c r="U37" s="46" t="n"/>
      <c r="V37" s="46" t="n"/>
      <c r="W37" s="46" t="n"/>
      <c r="X37" s="46" t="n"/>
      <c r="Y37" s="46" t="n"/>
      <c r="Z37" s="46" t="n"/>
      <c r="AA37" s="46" t="n"/>
      <c r="AB37" s="46" t="n"/>
      <c r="AC37" s="46" t="n"/>
      <c r="AD37" s="46" t="n"/>
      <c r="AE37" s="46" t="n"/>
      <c r="AF37" s="46" t="n"/>
      <c r="AG37" s="46" t="n"/>
      <c r="AH37" s="46" t="n"/>
      <c r="AI37" s="46" t="n"/>
      <c r="AJ37" s="46" t="n"/>
      <c r="AK37" s="46" t="n"/>
      <c r="AL37" s="46" t="n"/>
      <c r="AM37" s="46" t="n"/>
      <c r="AN37" s="46" t="n"/>
      <c r="AO37" s="46" t="n"/>
      <c r="AP37" s="46" t="n"/>
      <c r="AQ37" s="46" t="n"/>
      <c r="AR37" s="46" t="n"/>
      <c r="AS37" s="46" t="n"/>
      <c r="AT37" s="46" t="n"/>
      <c r="AU37" s="46" t="n"/>
      <c r="AV37" s="46" t="n"/>
      <c r="AW37" s="46" t="n"/>
      <c r="AX37" s="46" t="n"/>
      <c r="AY37" s="46" t="n"/>
      <c r="AZ37" s="46" t="n"/>
      <c r="BA37" s="46" t="n"/>
      <c r="BB37" s="46" t="n"/>
      <c r="BC37" s="46" t="n"/>
      <c r="BD37" s="46" t="n"/>
      <c r="BE37" s="46" t="n"/>
      <c r="BF37" s="46" t="n"/>
      <c r="BG37" s="46" t="n"/>
    </row>
    <row r="38">
      <c r="B38" s="8" t="inlineStr">
        <is>
          <t>VCAG papers due (Review Group findings)</t>
        </is>
      </c>
      <c r="C38" s="8" t="inlineStr">
        <is>
          <t>10 Feb</t>
        </is>
      </c>
      <c r="D38" s="17" t="n">
        <v>46428</v>
      </c>
      <c r="E38" s="17" t="n">
        <v>46428</v>
      </c>
      <c r="F38" s="8" t="inlineStr">
        <is>
          <t>SST</t>
        </is>
      </c>
      <c r="G38" s="8" t="inlineStr">
        <is>
          <t>Director, Sustainability</t>
        </is>
      </c>
      <c r="H38" s="8" t="inlineStr"/>
      <c r="I38" s="8" t="inlineStr"/>
      <c r="J38" s="8" t="inlineStr">
        <is>
          <t>Milestone</t>
        </is>
      </c>
      <c r="K38" s="8" t="inlineStr">
        <is>
          <t>Not yet started</t>
        </is>
      </c>
      <c r="L38">
        <f>IF(AND(L$9+6&gt;=$D38,L$9&lt;=$E38),1,"")</f>
        <v/>
      </c>
      <c r="M38">
        <f>IF(AND(M$9+6&gt;=$D38,M$9&lt;=$E38),1,"")</f>
        <v/>
      </c>
      <c r="N38">
        <f>IF(AND(N$9+6&gt;=$D38,N$9&lt;=$E38),1,"")</f>
        <v/>
      </c>
      <c r="O38">
        <f>IF(AND(O$9+6&gt;=$D38,O$9&lt;=$E38),1,"")</f>
        <v/>
      </c>
      <c r="P38">
        <f>IF(AND(P$9+6&gt;=$D38,P$9&lt;=$E38),1,"")</f>
        <v/>
      </c>
      <c r="Q38">
        <f>IF(AND(Q$9+6&gt;=$D38,Q$9&lt;=$E38),1,"")</f>
        <v/>
      </c>
      <c r="R38">
        <f>IF(AND(R$9+6&gt;=$D38,R$9&lt;=$E38),1,"")</f>
        <v/>
      </c>
      <c r="S38">
        <f>IF(AND(S$9+6&gt;=$D38,S$9&lt;=$E38),1,"")</f>
        <v/>
      </c>
      <c r="T38">
        <f>IF(AND(T$9+6&gt;=$D38,T$9&lt;=$E38),1,"")</f>
        <v/>
      </c>
      <c r="U38">
        <f>IF(AND(U$9+6&gt;=$D38,U$9&lt;=$E38),1,"")</f>
        <v/>
      </c>
      <c r="V38">
        <f>IF(AND(V$9+6&gt;=$D38,V$9&lt;=$E38),1,"")</f>
        <v/>
      </c>
      <c r="W38">
        <f>IF(AND(W$9+6&gt;=$D38,W$9&lt;=$E38),1,"")</f>
        <v/>
      </c>
      <c r="X38">
        <f>IF(AND(X$9+6&gt;=$D38,X$9&lt;=$E38),1,"")</f>
        <v/>
      </c>
      <c r="Y38">
        <f>IF(AND(Y$9+6&gt;=$D38,Y$9&lt;=$E38),1,"")</f>
        <v/>
      </c>
      <c r="Z38">
        <f>IF(AND(Z$9+6&gt;=$D38,Z$9&lt;=$E38),1,"")</f>
        <v/>
      </c>
      <c r="AA38">
        <f>IF(AND(AA$9+6&gt;=$D38,AA$9&lt;=$E38),1,"")</f>
        <v/>
      </c>
      <c r="AB38">
        <f>IF(AND(AB$9+6&gt;=$D38,AB$9&lt;=$E38),1,"")</f>
        <v/>
      </c>
      <c r="AC38">
        <f>IF(AND(AC$9+6&gt;=$D38,AC$9&lt;=$E38),1,"")</f>
        <v/>
      </c>
      <c r="AD38">
        <f>IF(AND(AD$9+6&gt;=$D38,AD$9&lt;=$E38),1,"")</f>
        <v/>
      </c>
      <c r="AE38">
        <f>IF(AND(AE$9+6&gt;=$D38,AE$9&lt;=$E38),1,"")</f>
        <v/>
      </c>
      <c r="AF38">
        <f>IF(AND(AF$9+6&gt;=$D38,AF$9&lt;=$E38),1,"")</f>
        <v/>
      </c>
      <c r="AG38">
        <f>IF(AND(AG$9+6&gt;=$D38,AG$9&lt;=$E38),1,"")</f>
        <v/>
      </c>
      <c r="AH38">
        <f>IF(AND(AH$9+6&gt;=$D38,AH$9&lt;=$E38),1,"")</f>
        <v/>
      </c>
      <c r="AI38">
        <f>IF(AND(AI$9+6&gt;=$D38,AI$9&lt;=$E38),1,"")</f>
        <v/>
      </c>
      <c r="AJ38">
        <f>IF(AND(AJ$9+6&gt;=$D38,AJ$9&lt;=$E38),1,"")</f>
        <v/>
      </c>
      <c r="AK38">
        <f>IF(AND(AK$9+6&gt;=$D38,AK$9&lt;=$E38),1,"")</f>
        <v/>
      </c>
      <c r="AL38">
        <f>IF(AND(AL$9+6&gt;=$D38,AL$9&lt;=$E38),1,"")</f>
        <v/>
      </c>
      <c r="AM38">
        <f>IF(AND(AM$9+6&gt;=$D38,AM$9&lt;=$E38),1,"")</f>
        <v/>
      </c>
      <c r="AN38">
        <f>IF(AND(AN$9+6&gt;=$D38,AN$9&lt;=$E38),1,"")</f>
        <v/>
      </c>
      <c r="AO38">
        <f>IF(AND(AO$9+6&gt;=$D38,AO$9&lt;=$E38),1,"")</f>
        <v/>
      </c>
      <c r="AP38">
        <f>IF(AND(AP$9+6&gt;=$D38,AP$9&lt;=$E38),1,"")</f>
        <v/>
      </c>
      <c r="AQ38">
        <f>IF(AND(AQ$9+6&gt;=$D38,AQ$9&lt;=$E38),1,"")</f>
        <v/>
      </c>
      <c r="AR38">
        <f>IF(AND(AR$9+6&gt;=$D38,AR$9&lt;=$E38),1,"")</f>
        <v/>
      </c>
      <c r="AS38">
        <f>IF(AND(AS$9+6&gt;=$D38,AS$9&lt;=$E38),1,"")</f>
        <v/>
      </c>
      <c r="AT38">
        <f>IF(AND(AT$9+6&gt;=$D38,AT$9&lt;=$E38),1,"")</f>
        <v/>
      </c>
      <c r="AU38">
        <f>IF(AND(AU$9+6&gt;=$D38,AU$9&lt;=$E38),1,"")</f>
        <v/>
      </c>
      <c r="AV38">
        <f>IF(AND(AV$9+6&gt;=$D38,AV$9&lt;=$E38),1,"")</f>
        <v/>
      </c>
      <c r="AW38">
        <f>IF(AND(AW$9+6&gt;=$D38,AW$9&lt;=$E38),1,"")</f>
        <v/>
      </c>
      <c r="AX38">
        <f>IF(AND(AX$9+6&gt;=$D38,AX$9&lt;=$E38),1,"")</f>
        <v/>
      </c>
      <c r="AY38">
        <f>IF(AND(AY$9+6&gt;=$D38,AY$9&lt;=$E38),1,"")</f>
        <v/>
      </c>
      <c r="AZ38">
        <f>IF(AND(AZ$9+6&gt;=$D38,AZ$9&lt;=$E38),1,"")</f>
        <v/>
      </c>
      <c r="BA38">
        <f>IF(AND(BA$9+6&gt;=$D38,BA$9&lt;=$E38),1,"")</f>
        <v/>
      </c>
      <c r="BB38">
        <f>IF(AND(BB$9+6&gt;=$D38,BB$9&lt;=$E38),1,"")</f>
        <v/>
      </c>
      <c r="BC38">
        <f>IF(AND(BC$9+6&gt;=$D38,BC$9&lt;=$E38),1,"")</f>
        <v/>
      </c>
      <c r="BD38">
        <f>IF(AND(BD$9+6&gt;=$D38,BD$9&lt;=$E38),1,"")</f>
        <v/>
      </c>
      <c r="BE38">
        <f>IF(AND(BE$9+6&gt;=$D38,BE$9&lt;=$E38),1,"")</f>
        <v/>
      </c>
      <c r="BF38">
        <f>IF(AND(BF$9+6&gt;=$D38,BF$9&lt;=$E38),1,"")</f>
        <v/>
      </c>
      <c r="BG38">
        <f>IF(AND(BG$9+6&gt;=$D38,BG$9&lt;=$E38),1,"")</f>
        <v/>
      </c>
    </row>
    <row r="39">
      <c r="B39" s="8" t="inlineStr">
        <is>
          <t>Sustainability Reporting Review Group</t>
        </is>
      </c>
      <c r="C39" s="8" t="inlineStr">
        <is>
          <t>~15 Feb (8–10 Feb TBC)</t>
        </is>
      </c>
      <c r="D39" s="17" t="n">
        <v>46426</v>
      </c>
      <c r="E39" s="17" t="n">
        <v>46433</v>
      </c>
      <c r="F39" s="8" t="inlineStr">
        <is>
          <t>Rose (convenor, TBC)</t>
        </is>
      </c>
      <c r="G39" s="8" t="inlineStr"/>
      <c r="H39" s="8" t="inlineStr"/>
      <c r="I39" s="8" t="inlineStr"/>
      <c r="J39" s="8" t="inlineStr">
        <is>
          <t>Milestone</t>
        </is>
      </c>
      <c r="K39" s="8" t="inlineStr">
        <is>
          <t>Not yet started</t>
        </is>
      </c>
      <c r="L39">
        <f>IF(AND(L$9+6&gt;=$D39,L$9&lt;=$E39),1,"")</f>
        <v/>
      </c>
      <c r="M39">
        <f>IF(AND(M$9+6&gt;=$D39,M$9&lt;=$E39),1,"")</f>
        <v/>
      </c>
      <c r="N39">
        <f>IF(AND(N$9+6&gt;=$D39,N$9&lt;=$E39),1,"")</f>
        <v/>
      </c>
      <c r="O39">
        <f>IF(AND(O$9+6&gt;=$D39,O$9&lt;=$E39),1,"")</f>
        <v/>
      </c>
      <c r="P39">
        <f>IF(AND(P$9+6&gt;=$D39,P$9&lt;=$E39),1,"")</f>
        <v/>
      </c>
      <c r="Q39">
        <f>IF(AND(Q$9+6&gt;=$D39,Q$9&lt;=$E39),1,"")</f>
        <v/>
      </c>
      <c r="R39">
        <f>IF(AND(R$9+6&gt;=$D39,R$9&lt;=$E39),1,"")</f>
        <v/>
      </c>
      <c r="S39">
        <f>IF(AND(S$9+6&gt;=$D39,S$9&lt;=$E39),1,"")</f>
        <v/>
      </c>
      <c r="T39">
        <f>IF(AND(T$9+6&gt;=$D39,T$9&lt;=$E39),1,"")</f>
        <v/>
      </c>
      <c r="U39">
        <f>IF(AND(U$9+6&gt;=$D39,U$9&lt;=$E39),1,"")</f>
        <v/>
      </c>
      <c r="V39">
        <f>IF(AND(V$9+6&gt;=$D39,V$9&lt;=$E39),1,"")</f>
        <v/>
      </c>
      <c r="W39">
        <f>IF(AND(W$9+6&gt;=$D39,W$9&lt;=$E39),1,"")</f>
        <v/>
      </c>
      <c r="X39">
        <f>IF(AND(X$9+6&gt;=$D39,X$9&lt;=$E39),1,"")</f>
        <v/>
      </c>
      <c r="Y39">
        <f>IF(AND(Y$9+6&gt;=$D39,Y$9&lt;=$E39),1,"")</f>
        <v/>
      </c>
      <c r="Z39">
        <f>IF(AND(Z$9+6&gt;=$D39,Z$9&lt;=$E39),1,"")</f>
        <v/>
      </c>
      <c r="AA39">
        <f>IF(AND(AA$9+6&gt;=$D39,AA$9&lt;=$E39),1,"")</f>
        <v/>
      </c>
      <c r="AB39">
        <f>IF(AND(AB$9+6&gt;=$D39,AB$9&lt;=$E39),1,"")</f>
        <v/>
      </c>
      <c r="AC39">
        <f>IF(AND(AC$9+6&gt;=$D39,AC$9&lt;=$E39),1,"")</f>
        <v/>
      </c>
      <c r="AD39">
        <f>IF(AND(AD$9+6&gt;=$D39,AD$9&lt;=$E39),1,"")</f>
        <v/>
      </c>
      <c r="AE39">
        <f>IF(AND(AE$9+6&gt;=$D39,AE$9&lt;=$E39),1,"")</f>
        <v/>
      </c>
      <c r="AF39">
        <f>IF(AND(AF$9+6&gt;=$D39,AF$9&lt;=$E39),1,"")</f>
        <v/>
      </c>
      <c r="AG39">
        <f>IF(AND(AG$9+6&gt;=$D39,AG$9&lt;=$E39),1,"")</f>
        <v/>
      </c>
      <c r="AH39">
        <f>IF(AND(AH$9+6&gt;=$D39,AH$9&lt;=$E39),1,"")</f>
        <v/>
      </c>
      <c r="AI39">
        <f>IF(AND(AI$9+6&gt;=$D39,AI$9&lt;=$E39),1,"")</f>
        <v/>
      </c>
      <c r="AJ39">
        <f>IF(AND(AJ$9+6&gt;=$D39,AJ$9&lt;=$E39),1,"")</f>
        <v/>
      </c>
      <c r="AK39">
        <f>IF(AND(AK$9+6&gt;=$D39,AK$9&lt;=$E39),1,"")</f>
        <v/>
      </c>
      <c r="AL39">
        <f>IF(AND(AL$9+6&gt;=$D39,AL$9&lt;=$E39),1,"")</f>
        <v/>
      </c>
      <c r="AM39">
        <f>IF(AND(AM$9+6&gt;=$D39,AM$9&lt;=$E39),1,"")</f>
        <v/>
      </c>
      <c r="AN39">
        <f>IF(AND(AN$9+6&gt;=$D39,AN$9&lt;=$E39),1,"")</f>
        <v/>
      </c>
      <c r="AO39">
        <f>IF(AND(AO$9+6&gt;=$D39,AO$9&lt;=$E39),1,"")</f>
        <v/>
      </c>
      <c r="AP39">
        <f>IF(AND(AP$9+6&gt;=$D39,AP$9&lt;=$E39),1,"")</f>
        <v/>
      </c>
      <c r="AQ39">
        <f>IF(AND(AQ$9+6&gt;=$D39,AQ$9&lt;=$E39),1,"")</f>
        <v/>
      </c>
      <c r="AR39">
        <f>IF(AND(AR$9+6&gt;=$D39,AR$9&lt;=$E39),1,"")</f>
        <v/>
      </c>
      <c r="AS39">
        <f>IF(AND(AS$9+6&gt;=$D39,AS$9&lt;=$E39),1,"")</f>
        <v/>
      </c>
      <c r="AT39">
        <f>IF(AND(AT$9+6&gt;=$D39,AT$9&lt;=$E39),1,"")</f>
        <v/>
      </c>
      <c r="AU39">
        <f>IF(AND(AU$9+6&gt;=$D39,AU$9&lt;=$E39),1,"")</f>
        <v/>
      </c>
      <c r="AV39">
        <f>IF(AND(AV$9+6&gt;=$D39,AV$9&lt;=$E39),1,"")</f>
        <v/>
      </c>
      <c r="AW39">
        <f>IF(AND(AW$9+6&gt;=$D39,AW$9&lt;=$E39),1,"")</f>
        <v/>
      </c>
      <c r="AX39">
        <f>IF(AND(AX$9+6&gt;=$D39,AX$9&lt;=$E39),1,"")</f>
        <v/>
      </c>
      <c r="AY39">
        <f>IF(AND(AY$9+6&gt;=$D39,AY$9&lt;=$E39),1,"")</f>
        <v/>
      </c>
      <c r="AZ39">
        <f>IF(AND(AZ$9+6&gt;=$D39,AZ$9&lt;=$E39),1,"")</f>
        <v/>
      </c>
      <c r="BA39">
        <f>IF(AND(BA$9+6&gt;=$D39,BA$9&lt;=$E39),1,"")</f>
        <v/>
      </c>
      <c r="BB39">
        <f>IF(AND(BB$9+6&gt;=$D39,BB$9&lt;=$E39),1,"")</f>
        <v/>
      </c>
      <c r="BC39">
        <f>IF(AND(BC$9+6&gt;=$D39,BC$9&lt;=$E39),1,"")</f>
        <v/>
      </c>
      <c r="BD39">
        <f>IF(AND(BD$9+6&gt;=$D39,BD$9&lt;=$E39),1,"")</f>
        <v/>
      </c>
      <c r="BE39">
        <f>IF(AND(BE$9+6&gt;=$D39,BE$9&lt;=$E39),1,"")</f>
        <v/>
      </c>
      <c r="BF39">
        <f>IF(AND(BF$9+6&gt;=$D39,BF$9&lt;=$E39),1,"")</f>
        <v/>
      </c>
      <c r="BG39">
        <f>IF(AND(BG$9+6&gt;=$D39,BG$9&lt;=$E39),1,"")</f>
        <v/>
      </c>
    </row>
    <row r="40">
      <c r="B40" s="8" t="inlineStr">
        <is>
          <t>VCAG – notes Review Group findings</t>
        </is>
      </c>
      <c r="C40" s="8" t="inlineStr">
        <is>
          <t>16 Feb</t>
        </is>
      </c>
      <c r="D40" s="17" t="n">
        <v>46434</v>
      </c>
      <c r="E40" s="17" t="n">
        <v>46434</v>
      </c>
      <c r="F40" s="8" t="inlineStr"/>
      <c r="G40" s="8" t="inlineStr"/>
      <c r="H40" s="8" t="inlineStr"/>
      <c r="I40" s="8" t="inlineStr"/>
      <c r="J40" s="8" t="inlineStr">
        <is>
          <t>Milestone</t>
        </is>
      </c>
      <c r="K40" s="8" t="inlineStr">
        <is>
          <t>Not yet started</t>
        </is>
      </c>
      <c r="L40">
        <f>IF(AND(L$9+6&gt;=$D40,L$9&lt;=$E40),1,"")</f>
        <v/>
      </c>
      <c r="M40">
        <f>IF(AND(M$9+6&gt;=$D40,M$9&lt;=$E40),1,"")</f>
        <v/>
      </c>
      <c r="N40">
        <f>IF(AND(N$9+6&gt;=$D40,N$9&lt;=$E40),1,"")</f>
        <v/>
      </c>
      <c r="O40">
        <f>IF(AND(O$9+6&gt;=$D40,O$9&lt;=$E40),1,"")</f>
        <v/>
      </c>
      <c r="P40">
        <f>IF(AND(P$9+6&gt;=$D40,P$9&lt;=$E40),1,"")</f>
        <v/>
      </c>
      <c r="Q40">
        <f>IF(AND(Q$9+6&gt;=$D40,Q$9&lt;=$E40),1,"")</f>
        <v/>
      </c>
      <c r="R40">
        <f>IF(AND(R$9+6&gt;=$D40,R$9&lt;=$E40),1,"")</f>
        <v/>
      </c>
      <c r="S40">
        <f>IF(AND(S$9+6&gt;=$D40,S$9&lt;=$E40),1,"")</f>
        <v/>
      </c>
      <c r="T40">
        <f>IF(AND(T$9+6&gt;=$D40,T$9&lt;=$E40),1,"")</f>
        <v/>
      </c>
      <c r="U40">
        <f>IF(AND(U$9+6&gt;=$D40,U$9&lt;=$E40),1,"")</f>
        <v/>
      </c>
      <c r="V40">
        <f>IF(AND(V$9+6&gt;=$D40,V$9&lt;=$E40),1,"")</f>
        <v/>
      </c>
      <c r="W40">
        <f>IF(AND(W$9+6&gt;=$D40,W$9&lt;=$E40),1,"")</f>
        <v/>
      </c>
      <c r="X40">
        <f>IF(AND(X$9+6&gt;=$D40,X$9&lt;=$E40),1,"")</f>
        <v/>
      </c>
      <c r="Y40">
        <f>IF(AND(Y$9+6&gt;=$D40,Y$9&lt;=$E40),1,"")</f>
        <v/>
      </c>
      <c r="Z40">
        <f>IF(AND(Z$9+6&gt;=$D40,Z$9&lt;=$E40),1,"")</f>
        <v/>
      </c>
      <c r="AA40">
        <f>IF(AND(AA$9+6&gt;=$D40,AA$9&lt;=$E40),1,"")</f>
        <v/>
      </c>
      <c r="AB40">
        <f>IF(AND(AB$9+6&gt;=$D40,AB$9&lt;=$E40),1,"")</f>
        <v/>
      </c>
      <c r="AC40">
        <f>IF(AND(AC$9+6&gt;=$D40,AC$9&lt;=$E40),1,"")</f>
        <v/>
      </c>
      <c r="AD40">
        <f>IF(AND(AD$9+6&gt;=$D40,AD$9&lt;=$E40),1,"")</f>
        <v/>
      </c>
      <c r="AE40">
        <f>IF(AND(AE$9+6&gt;=$D40,AE$9&lt;=$E40),1,"")</f>
        <v/>
      </c>
      <c r="AF40">
        <f>IF(AND(AF$9+6&gt;=$D40,AF$9&lt;=$E40),1,"")</f>
        <v/>
      </c>
      <c r="AG40">
        <f>IF(AND(AG$9+6&gt;=$D40,AG$9&lt;=$E40),1,"")</f>
        <v/>
      </c>
      <c r="AH40">
        <f>IF(AND(AH$9+6&gt;=$D40,AH$9&lt;=$E40),1,"")</f>
        <v/>
      </c>
      <c r="AI40">
        <f>IF(AND(AI$9+6&gt;=$D40,AI$9&lt;=$E40),1,"")</f>
        <v/>
      </c>
      <c r="AJ40">
        <f>IF(AND(AJ$9+6&gt;=$D40,AJ$9&lt;=$E40),1,"")</f>
        <v/>
      </c>
      <c r="AK40">
        <f>IF(AND(AK$9+6&gt;=$D40,AK$9&lt;=$E40),1,"")</f>
        <v/>
      </c>
      <c r="AL40">
        <f>IF(AND(AL$9+6&gt;=$D40,AL$9&lt;=$E40),1,"")</f>
        <v/>
      </c>
      <c r="AM40">
        <f>IF(AND(AM$9+6&gt;=$D40,AM$9&lt;=$E40),1,"")</f>
        <v/>
      </c>
      <c r="AN40">
        <f>IF(AND(AN$9+6&gt;=$D40,AN$9&lt;=$E40),1,"")</f>
        <v/>
      </c>
      <c r="AO40">
        <f>IF(AND(AO$9+6&gt;=$D40,AO$9&lt;=$E40),1,"")</f>
        <v/>
      </c>
      <c r="AP40">
        <f>IF(AND(AP$9+6&gt;=$D40,AP$9&lt;=$E40),1,"")</f>
        <v/>
      </c>
      <c r="AQ40">
        <f>IF(AND(AQ$9+6&gt;=$D40,AQ$9&lt;=$E40),1,"")</f>
        <v/>
      </c>
      <c r="AR40">
        <f>IF(AND(AR$9+6&gt;=$D40,AR$9&lt;=$E40),1,"")</f>
        <v/>
      </c>
      <c r="AS40">
        <f>IF(AND(AS$9+6&gt;=$D40,AS$9&lt;=$E40),1,"")</f>
        <v/>
      </c>
      <c r="AT40">
        <f>IF(AND(AT$9+6&gt;=$D40,AT$9&lt;=$E40),1,"")</f>
        <v/>
      </c>
      <c r="AU40">
        <f>IF(AND(AU$9+6&gt;=$D40,AU$9&lt;=$E40),1,"")</f>
        <v/>
      </c>
      <c r="AV40">
        <f>IF(AND(AV$9+6&gt;=$D40,AV$9&lt;=$E40),1,"")</f>
        <v/>
      </c>
      <c r="AW40">
        <f>IF(AND(AW$9+6&gt;=$D40,AW$9&lt;=$E40),1,"")</f>
        <v/>
      </c>
      <c r="AX40">
        <f>IF(AND(AX$9+6&gt;=$D40,AX$9&lt;=$E40),1,"")</f>
        <v/>
      </c>
      <c r="AY40">
        <f>IF(AND(AY$9+6&gt;=$D40,AY$9&lt;=$E40),1,"")</f>
        <v/>
      </c>
      <c r="AZ40">
        <f>IF(AND(AZ$9+6&gt;=$D40,AZ$9&lt;=$E40),1,"")</f>
        <v/>
      </c>
      <c r="BA40">
        <f>IF(AND(BA$9+6&gt;=$D40,BA$9&lt;=$E40),1,"")</f>
        <v/>
      </c>
      <c r="BB40">
        <f>IF(AND(BB$9+6&gt;=$D40,BB$9&lt;=$E40),1,"")</f>
        <v/>
      </c>
      <c r="BC40">
        <f>IF(AND(BC$9+6&gt;=$D40,BC$9&lt;=$E40),1,"")</f>
        <v/>
      </c>
      <c r="BD40">
        <f>IF(AND(BD$9+6&gt;=$D40,BD$9&lt;=$E40),1,"")</f>
        <v/>
      </c>
      <c r="BE40">
        <f>IF(AND(BE$9+6&gt;=$D40,BE$9&lt;=$E40),1,"")</f>
        <v/>
      </c>
      <c r="BF40">
        <f>IF(AND(BF$9+6&gt;=$D40,BF$9&lt;=$E40),1,"")</f>
        <v/>
      </c>
      <c r="BG40">
        <f>IF(AND(BG$9+6&gt;=$D40,BG$9&lt;=$E40),1,"")</f>
        <v/>
      </c>
    </row>
    <row r="41">
      <c r="B41" s="8" t="inlineStr">
        <is>
          <t>Investment Management Committee – Responsible Investments section</t>
        </is>
      </c>
      <c r="C41" s="8" t="inlineStr">
        <is>
          <t>~25 Feb (papers ~18 Feb)</t>
        </is>
      </c>
      <c r="D41" s="17" t="n">
        <v>46436</v>
      </c>
      <c r="E41" s="17" t="n">
        <v>46443</v>
      </c>
      <c r="F41" s="8" t="inlineStr">
        <is>
          <t>SST</t>
        </is>
      </c>
      <c r="G41" s="8" t="inlineStr"/>
      <c r="H41" s="8" t="inlineStr"/>
      <c r="I41" s="8" t="inlineStr"/>
      <c r="J41" s="8" t="inlineStr">
        <is>
          <t>Milestone</t>
        </is>
      </c>
      <c r="K41" s="8" t="inlineStr">
        <is>
          <t>Not yet started</t>
        </is>
      </c>
      <c r="L41">
        <f>IF(AND(L$9+6&gt;=$D41,L$9&lt;=$E41),1,"")</f>
        <v/>
      </c>
      <c r="M41">
        <f>IF(AND(M$9+6&gt;=$D41,M$9&lt;=$E41),1,"")</f>
        <v/>
      </c>
      <c r="N41">
        <f>IF(AND(N$9+6&gt;=$D41,N$9&lt;=$E41),1,"")</f>
        <v/>
      </c>
      <c r="O41">
        <f>IF(AND(O$9+6&gt;=$D41,O$9&lt;=$E41),1,"")</f>
        <v/>
      </c>
      <c r="P41">
        <f>IF(AND(P$9+6&gt;=$D41,P$9&lt;=$E41),1,"")</f>
        <v/>
      </c>
      <c r="Q41">
        <f>IF(AND(Q$9+6&gt;=$D41,Q$9&lt;=$E41),1,"")</f>
        <v/>
      </c>
      <c r="R41">
        <f>IF(AND(R$9+6&gt;=$D41,R$9&lt;=$E41),1,"")</f>
        <v/>
      </c>
      <c r="S41">
        <f>IF(AND(S$9+6&gt;=$D41,S$9&lt;=$E41),1,"")</f>
        <v/>
      </c>
      <c r="T41">
        <f>IF(AND(T$9+6&gt;=$D41,T$9&lt;=$E41),1,"")</f>
        <v/>
      </c>
      <c r="U41">
        <f>IF(AND(U$9+6&gt;=$D41,U$9&lt;=$E41),1,"")</f>
        <v/>
      </c>
      <c r="V41">
        <f>IF(AND(V$9+6&gt;=$D41,V$9&lt;=$E41),1,"")</f>
        <v/>
      </c>
      <c r="W41">
        <f>IF(AND(W$9+6&gt;=$D41,W$9&lt;=$E41),1,"")</f>
        <v/>
      </c>
      <c r="X41">
        <f>IF(AND(X$9+6&gt;=$D41,X$9&lt;=$E41),1,"")</f>
        <v/>
      </c>
      <c r="Y41">
        <f>IF(AND(Y$9+6&gt;=$D41,Y$9&lt;=$E41),1,"")</f>
        <v/>
      </c>
      <c r="Z41">
        <f>IF(AND(Z$9+6&gt;=$D41,Z$9&lt;=$E41),1,"")</f>
        <v/>
      </c>
      <c r="AA41">
        <f>IF(AND(AA$9+6&gt;=$D41,AA$9&lt;=$E41),1,"")</f>
        <v/>
      </c>
      <c r="AB41">
        <f>IF(AND(AB$9+6&gt;=$D41,AB$9&lt;=$E41),1,"")</f>
        <v/>
      </c>
      <c r="AC41">
        <f>IF(AND(AC$9+6&gt;=$D41,AC$9&lt;=$E41),1,"")</f>
        <v/>
      </c>
      <c r="AD41">
        <f>IF(AND(AD$9+6&gt;=$D41,AD$9&lt;=$E41),1,"")</f>
        <v/>
      </c>
      <c r="AE41">
        <f>IF(AND(AE$9+6&gt;=$D41,AE$9&lt;=$E41),1,"")</f>
        <v/>
      </c>
      <c r="AF41">
        <f>IF(AND(AF$9+6&gt;=$D41,AF$9&lt;=$E41),1,"")</f>
        <v/>
      </c>
      <c r="AG41">
        <f>IF(AND(AG$9+6&gt;=$D41,AG$9&lt;=$E41),1,"")</f>
        <v/>
      </c>
      <c r="AH41">
        <f>IF(AND(AH$9+6&gt;=$D41,AH$9&lt;=$E41),1,"")</f>
        <v/>
      </c>
      <c r="AI41">
        <f>IF(AND(AI$9+6&gt;=$D41,AI$9&lt;=$E41),1,"")</f>
        <v/>
      </c>
      <c r="AJ41">
        <f>IF(AND(AJ$9+6&gt;=$D41,AJ$9&lt;=$E41),1,"")</f>
        <v/>
      </c>
      <c r="AK41">
        <f>IF(AND(AK$9+6&gt;=$D41,AK$9&lt;=$E41),1,"")</f>
        <v/>
      </c>
      <c r="AL41">
        <f>IF(AND(AL$9+6&gt;=$D41,AL$9&lt;=$E41),1,"")</f>
        <v/>
      </c>
      <c r="AM41">
        <f>IF(AND(AM$9+6&gt;=$D41,AM$9&lt;=$E41),1,"")</f>
        <v/>
      </c>
      <c r="AN41">
        <f>IF(AND(AN$9+6&gt;=$D41,AN$9&lt;=$E41),1,"")</f>
        <v/>
      </c>
      <c r="AO41">
        <f>IF(AND(AO$9+6&gt;=$D41,AO$9&lt;=$E41),1,"")</f>
        <v/>
      </c>
      <c r="AP41">
        <f>IF(AND(AP$9+6&gt;=$D41,AP$9&lt;=$E41),1,"")</f>
        <v/>
      </c>
      <c r="AQ41">
        <f>IF(AND(AQ$9+6&gt;=$D41,AQ$9&lt;=$E41),1,"")</f>
        <v/>
      </c>
      <c r="AR41">
        <f>IF(AND(AR$9+6&gt;=$D41,AR$9&lt;=$E41),1,"")</f>
        <v/>
      </c>
      <c r="AS41">
        <f>IF(AND(AS$9+6&gt;=$D41,AS$9&lt;=$E41),1,"")</f>
        <v/>
      </c>
      <c r="AT41">
        <f>IF(AND(AT$9+6&gt;=$D41,AT$9&lt;=$E41),1,"")</f>
        <v/>
      </c>
      <c r="AU41">
        <f>IF(AND(AU$9+6&gt;=$D41,AU$9&lt;=$E41),1,"")</f>
        <v/>
      </c>
      <c r="AV41">
        <f>IF(AND(AV$9+6&gt;=$D41,AV$9&lt;=$E41),1,"")</f>
        <v/>
      </c>
      <c r="AW41">
        <f>IF(AND(AW$9+6&gt;=$D41,AW$9&lt;=$E41),1,"")</f>
        <v/>
      </c>
      <c r="AX41">
        <f>IF(AND(AX$9+6&gt;=$D41,AX$9&lt;=$E41),1,"")</f>
        <v/>
      </c>
      <c r="AY41">
        <f>IF(AND(AY$9+6&gt;=$D41,AY$9&lt;=$E41),1,"")</f>
        <v/>
      </c>
      <c r="AZ41">
        <f>IF(AND(AZ$9+6&gt;=$D41,AZ$9&lt;=$E41),1,"")</f>
        <v/>
      </c>
      <c r="BA41">
        <f>IF(AND(BA$9+6&gt;=$D41,BA$9&lt;=$E41),1,"")</f>
        <v/>
      </c>
      <c r="BB41">
        <f>IF(AND(BB$9+6&gt;=$D41,BB$9&lt;=$E41),1,"")</f>
        <v/>
      </c>
      <c r="BC41">
        <f>IF(AND(BC$9+6&gt;=$D41,BC$9&lt;=$E41),1,"")</f>
        <v/>
      </c>
      <c r="BD41">
        <f>IF(AND(BD$9+6&gt;=$D41,BD$9&lt;=$E41),1,"")</f>
        <v/>
      </c>
      <c r="BE41">
        <f>IF(AND(BE$9+6&gt;=$D41,BE$9&lt;=$E41),1,"")</f>
        <v/>
      </c>
      <c r="BF41">
        <f>IF(AND(BF$9+6&gt;=$D41,BF$9&lt;=$E41),1,"")</f>
        <v/>
      </c>
      <c r="BG41">
        <f>IF(AND(BG$9+6&gt;=$D41,BG$9&lt;=$E41),1,"")</f>
        <v/>
      </c>
    </row>
    <row r="42">
      <c r="B42" s="8" t="inlineStr">
        <is>
          <t>Full-report finalisation; Strategic Comms review; reconcile Annual Report data</t>
        </is>
      </c>
      <c r="C42" s="8" t="inlineStr"/>
      <c r="D42" s="17" t="n">
        <v>46434</v>
      </c>
      <c r="E42" s="17" t="n">
        <v>46444</v>
      </c>
      <c r="F42" s="8" t="inlineStr">
        <is>
          <t>SST</t>
        </is>
      </c>
      <c r="G42" s="8" t="inlineStr"/>
      <c r="H42" s="8" t="inlineStr">
        <is>
          <t>Strategic Comms</t>
        </is>
      </c>
      <c r="I42" s="8" t="inlineStr"/>
      <c r="J42" s="8" t="inlineStr">
        <is>
          <t>High</t>
        </is>
      </c>
      <c r="K42" s="8" t="inlineStr">
        <is>
          <t>Not yet started</t>
        </is>
      </c>
      <c r="L42">
        <f>IF(AND(L$9+6&gt;=$D42,L$9&lt;=$E42),1,"")</f>
        <v/>
      </c>
      <c r="M42">
        <f>IF(AND(M$9+6&gt;=$D42,M$9&lt;=$E42),1,"")</f>
        <v/>
      </c>
      <c r="N42">
        <f>IF(AND(N$9+6&gt;=$D42,N$9&lt;=$E42),1,"")</f>
        <v/>
      </c>
      <c r="O42">
        <f>IF(AND(O$9+6&gt;=$D42,O$9&lt;=$E42),1,"")</f>
        <v/>
      </c>
      <c r="P42">
        <f>IF(AND(P$9+6&gt;=$D42,P$9&lt;=$E42),1,"")</f>
        <v/>
      </c>
      <c r="Q42">
        <f>IF(AND(Q$9+6&gt;=$D42,Q$9&lt;=$E42),1,"")</f>
        <v/>
      </c>
      <c r="R42">
        <f>IF(AND(R$9+6&gt;=$D42,R$9&lt;=$E42),1,"")</f>
        <v/>
      </c>
      <c r="S42">
        <f>IF(AND(S$9+6&gt;=$D42,S$9&lt;=$E42),1,"")</f>
        <v/>
      </c>
      <c r="T42">
        <f>IF(AND(T$9+6&gt;=$D42,T$9&lt;=$E42),1,"")</f>
        <v/>
      </c>
      <c r="U42">
        <f>IF(AND(U$9+6&gt;=$D42,U$9&lt;=$E42),1,"")</f>
        <v/>
      </c>
      <c r="V42">
        <f>IF(AND(V$9+6&gt;=$D42,V$9&lt;=$E42),1,"")</f>
        <v/>
      </c>
      <c r="W42">
        <f>IF(AND(W$9+6&gt;=$D42,W$9&lt;=$E42),1,"")</f>
        <v/>
      </c>
      <c r="X42">
        <f>IF(AND(X$9+6&gt;=$D42,X$9&lt;=$E42),1,"")</f>
        <v/>
      </c>
      <c r="Y42">
        <f>IF(AND(Y$9+6&gt;=$D42,Y$9&lt;=$E42),1,"")</f>
        <v/>
      </c>
      <c r="Z42">
        <f>IF(AND(Z$9+6&gt;=$D42,Z$9&lt;=$E42),1,"")</f>
        <v/>
      </c>
      <c r="AA42">
        <f>IF(AND(AA$9+6&gt;=$D42,AA$9&lt;=$E42),1,"")</f>
        <v/>
      </c>
      <c r="AB42">
        <f>IF(AND(AB$9+6&gt;=$D42,AB$9&lt;=$E42),1,"")</f>
        <v/>
      </c>
      <c r="AC42">
        <f>IF(AND(AC$9+6&gt;=$D42,AC$9&lt;=$E42),1,"")</f>
        <v/>
      </c>
      <c r="AD42">
        <f>IF(AND(AD$9+6&gt;=$D42,AD$9&lt;=$E42),1,"")</f>
        <v/>
      </c>
      <c r="AE42">
        <f>IF(AND(AE$9+6&gt;=$D42,AE$9&lt;=$E42),1,"")</f>
        <v/>
      </c>
      <c r="AF42">
        <f>IF(AND(AF$9+6&gt;=$D42,AF$9&lt;=$E42),1,"")</f>
        <v/>
      </c>
      <c r="AG42">
        <f>IF(AND(AG$9+6&gt;=$D42,AG$9&lt;=$E42),1,"")</f>
        <v/>
      </c>
      <c r="AH42">
        <f>IF(AND(AH$9+6&gt;=$D42,AH$9&lt;=$E42),1,"")</f>
        <v/>
      </c>
      <c r="AI42">
        <f>IF(AND(AI$9+6&gt;=$D42,AI$9&lt;=$E42),1,"")</f>
        <v/>
      </c>
      <c r="AJ42">
        <f>IF(AND(AJ$9+6&gt;=$D42,AJ$9&lt;=$E42),1,"")</f>
        <v/>
      </c>
      <c r="AK42">
        <f>IF(AND(AK$9+6&gt;=$D42,AK$9&lt;=$E42),1,"")</f>
        <v/>
      </c>
      <c r="AL42">
        <f>IF(AND(AL$9+6&gt;=$D42,AL$9&lt;=$E42),1,"")</f>
        <v/>
      </c>
      <c r="AM42">
        <f>IF(AND(AM$9+6&gt;=$D42,AM$9&lt;=$E42),1,"")</f>
        <v/>
      </c>
      <c r="AN42">
        <f>IF(AND(AN$9+6&gt;=$D42,AN$9&lt;=$E42),1,"")</f>
        <v/>
      </c>
      <c r="AO42">
        <f>IF(AND(AO$9+6&gt;=$D42,AO$9&lt;=$E42),1,"")</f>
        <v/>
      </c>
      <c r="AP42">
        <f>IF(AND(AP$9+6&gt;=$D42,AP$9&lt;=$E42),1,"")</f>
        <v/>
      </c>
      <c r="AQ42">
        <f>IF(AND(AQ$9+6&gt;=$D42,AQ$9&lt;=$E42),1,"")</f>
        <v/>
      </c>
      <c r="AR42">
        <f>IF(AND(AR$9+6&gt;=$D42,AR$9&lt;=$E42),1,"")</f>
        <v/>
      </c>
      <c r="AS42">
        <f>IF(AND(AS$9+6&gt;=$D42,AS$9&lt;=$E42),1,"")</f>
        <v/>
      </c>
      <c r="AT42">
        <f>IF(AND(AT$9+6&gt;=$D42,AT$9&lt;=$E42),1,"")</f>
        <v/>
      </c>
      <c r="AU42">
        <f>IF(AND(AU$9+6&gt;=$D42,AU$9&lt;=$E42),1,"")</f>
        <v/>
      </c>
      <c r="AV42">
        <f>IF(AND(AV$9+6&gt;=$D42,AV$9&lt;=$E42),1,"")</f>
        <v/>
      </c>
      <c r="AW42">
        <f>IF(AND(AW$9+6&gt;=$D42,AW$9&lt;=$E42),1,"")</f>
        <v/>
      </c>
      <c r="AX42">
        <f>IF(AND(AX$9+6&gt;=$D42,AX$9&lt;=$E42),1,"")</f>
        <v/>
      </c>
      <c r="AY42">
        <f>IF(AND(AY$9+6&gt;=$D42,AY$9&lt;=$E42),1,"")</f>
        <v/>
      </c>
      <c r="AZ42">
        <f>IF(AND(AZ$9+6&gt;=$D42,AZ$9&lt;=$E42),1,"")</f>
        <v/>
      </c>
      <c r="BA42">
        <f>IF(AND(BA$9+6&gt;=$D42,BA$9&lt;=$E42),1,"")</f>
        <v/>
      </c>
      <c r="BB42">
        <f>IF(AND(BB$9+6&gt;=$D42,BB$9&lt;=$E42),1,"")</f>
        <v/>
      </c>
      <c r="BC42">
        <f>IF(AND(BC$9+6&gt;=$D42,BC$9&lt;=$E42),1,"")</f>
        <v/>
      </c>
      <c r="BD42">
        <f>IF(AND(BD$9+6&gt;=$D42,BD$9&lt;=$E42),1,"")</f>
        <v/>
      </c>
      <c r="BE42">
        <f>IF(AND(BE$9+6&gt;=$D42,BE$9&lt;=$E42),1,"")</f>
        <v/>
      </c>
      <c r="BF42">
        <f>IF(AND(BF$9+6&gt;=$D42,BF$9&lt;=$E42),1,"")</f>
        <v/>
      </c>
      <c r="BG42">
        <f>IF(AND(BG$9+6&gt;=$D42,BG$9&lt;=$E42),1,"")</f>
        <v/>
      </c>
    </row>
    <row r="43">
      <c r="B43" s="8" t="inlineStr">
        <is>
          <t>VCAG – notes full report</t>
        </is>
      </c>
      <c r="C43" s="8" t="inlineStr">
        <is>
          <t>~2 Mar (papers ~25 Feb)</t>
        </is>
      </c>
      <c r="D43" s="17" t="n">
        <v>46448</v>
      </c>
      <c r="E43" s="17" t="n">
        <v>46448</v>
      </c>
      <c r="F43" s="8" t="inlineStr"/>
      <c r="G43" s="8" t="inlineStr"/>
      <c r="H43" s="8" t="inlineStr"/>
      <c r="I43" s="8" t="inlineStr"/>
      <c r="J43" s="8" t="inlineStr">
        <is>
          <t>Milestone</t>
        </is>
      </c>
      <c r="K43" s="8" t="inlineStr">
        <is>
          <t>Not yet started</t>
        </is>
      </c>
      <c r="L43">
        <f>IF(AND(L$9+6&gt;=$D43,L$9&lt;=$E43),1,"")</f>
        <v/>
      </c>
      <c r="M43">
        <f>IF(AND(M$9+6&gt;=$D43,M$9&lt;=$E43),1,"")</f>
        <v/>
      </c>
      <c r="N43">
        <f>IF(AND(N$9+6&gt;=$D43,N$9&lt;=$E43),1,"")</f>
        <v/>
      </c>
      <c r="O43">
        <f>IF(AND(O$9+6&gt;=$D43,O$9&lt;=$E43),1,"")</f>
        <v/>
      </c>
      <c r="P43">
        <f>IF(AND(P$9+6&gt;=$D43,P$9&lt;=$E43),1,"")</f>
        <v/>
      </c>
      <c r="Q43">
        <f>IF(AND(Q$9+6&gt;=$D43,Q$9&lt;=$E43),1,"")</f>
        <v/>
      </c>
      <c r="R43">
        <f>IF(AND(R$9+6&gt;=$D43,R$9&lt;=$E43),1,"")</f>
        <v/>
      </c>
      <c r="S43">
        <f>IF(AND(S$9+6&gt;=$D43,S$9&lt;=$E43),1,"")</f>
        <v/>
      </c>
      <c r="T43">
        <f>IF(AND(T$9+6&gt;=$D43,T$9&lt;=$E43),1,"")</f>
        <v/>
      </c>
      <c r="U43">
        <f>IF(AND(U$9+6&gt;=$D43,U$9&lt;=$E43),1,"")</f>
        <v/>
      </c>
      <c r="V43">
        <f>IF(AND(V$9+6&gt;=$D43,V$9&lt;=$E43),1,"")</f>
        <v/>
      </c>
      <c r="W43">
        <f>IF(AND(W$9+6&gt;=$D43,W$9&lt;=$E43),1,"")</f>
        <v/>
      </c>
      <c r="X43">
        <f>IF(AND(X$9+6&gt;=$D43,X$9&lt;=$E43),1,"")</f>
        <v/>
      </c>
      <c r="Y43">
        <f>IF(AND(Y$9+6&gt;=$D43,Y$9&lt;=$E43),1,"")</f>
        <v/>
      </c>
      <c r="Z43">
        <f>IF(AND(Z$9+6&gt;=$D43,Z$9&lt;=$E43),1,"")</f>
        <v/>
      </c>
      <c r="AA43">
        <f>IF(AND(AA$9+6&gt;=$D43,AA$9&lt;=$E43),1,"")</f>
        <v/>
      </c>
      <c r="AB43">
        <f>IF(AND(AB$9+6&gt;=$D43,AB$9&lt;=$E43),1,"")</f>
        <v/>
      </c>
      <c r="AC43">
        <f>IF(AND(AC$9+6&gt;=$D43,AC$9&lt;=$E43),1,"")</f>
        <v/>
      </c>
      <c r="AD43">
        <f>IF(AND(AD$9+6&gt;=$D43,AD$9&lt;=$E43),1,"")</f>
        <v/>
      </c>
      <c r="AE43">
        <f>IF(AND(AE$9+6&gt;=$D43,AE$9&lt;=$E43),1,"")</f>
        <v/>
      </c>
      <c r="AF43">
        <f>IF(AND(AF$9+6&gt;=$D43,AF$9&lt;=$E43),1,"")</f>
        <v/>
      </c>
      <c r="AG43">
        <f>IF(AND(AG$9+6&gt;=$D43,AG$9&lt;=$E43),1,"")</f>
        <v/>
      </c>
      <c r="AH43">
        <f>IF(AND(AH$9+6&gt;=$D43,AH$9&lt;=$E43),1,"")</f>
        <v/>
      </c>
      <c r="AI43">
        <f>IF(AND(AI$9+6&gt;=$D43,AI$9&lt;=$E43),1,"")</f>
        <v/>
      </c>
      <c r="AJ43">
        <f>IF(AND(AJ$9+6&gt;=$D43,AJ$9&lt;=$E43),1,"")</f>
        <v/>
      </c>
      <c r="AK43">
        <f>IF(AND(AK$9+6&gt;=$D43,AK$9&lt;=$E43),1,"")</f>
        <v/>
      </c>
      <c r="AL43">
        <f>IF(AND(AL$9+6&gt;=$D43,AL$9&lt;=$E43),1,"")</f>
        <v/>
      </c>
      <c r="AM43">
        <f>IF(AND(AM$9+6&gt;=$D43,AM$9&lt;=$E43),1,"")</f>
        <v/>
      </c>
      <c r="AN43">
        <f>IF(AND(AN$9+6&gt;=$D43,AN$9&lt;=$E43),1,"")</f>
        <v/>
      </c>
      <c r="AO43">
        <f>IF(AND(AO$9+6&gt;=$D43,AO$9&lt;=$E43),1,"")</f>
        <v/>
      </c>
      <c r="AP43">
        <f>IF(AND(AP$9+6&gt;=$D43,AP$9&lt;=$E43),1,"")</f>
        <v/>
      </c>
      <c r="AQ43">
        <f>IF(AND(AQ$9+6&gt;=$D43,AQ$9&lt;=$E43),1,"")</f>
        <v/>
      </c>
      <c r="AR43">
        <f>IF(AND(AR$9+6&gt;=$D43,AR$9&lt;=$E43),1,"")</f>
        <v/>
      </c>
      <c r="AS43">
        <f>IF(AND(AS$9+6&gt;=$D43,AS$9&lt;=$E43),1,"")</f>
        <v/>
      </c>
      <c r="AT43">
        <f>IF(AND(AT$9+6&gt;=$D43,AT$9&lt;=$E43),1,"")</f>
        <v/>
      </c>
      <c r="AU43">
        <f>IF(AND(AU$9+6&gt;=$D43,AU$9&lt;=$E43),1,"")</f>
        <v/>
      </c>
      <c r="AV43">
        <f>IF(AND(AV$9+6&gt;=$D43,AV$9&lt;=$E43),1,"")</f>
        <v/>
      </c>
      <c r="AW43">
        <f>IF(AND(AW$9+6&gt;=$D43,AW$9&lt;=$E43),1,"")</f>
        <v/>
      </c>
      <c r="AX43">
        <f>IF(AND(AX$9+6&gt;=$D43,AX$9&lt;=$E43),1,"")</f>
        <v/>
      </c>
      <c r="AY43">
        <f>IF(AND(AY$9+6&gt;=$D43,AY$9&lt;=$E43),1,"")</f>
        <v/>
      </c>
      <c r="AZ43">
        <f>IF(AND(AZ$9+6&gt;=$D43,AZ$9&lt;=$E43),1,"")</f>
        <v/>
      </c>
      <c r="BA43">
        <f>IF(AND(BA$9+6&gt;=$D43,BA$9&lt;=$E43),1,"")</f>
        <v/>
      </c>
      <c r="BB43">
        <f>IF(AND(BB$9+6&gt;=$D43,BB$9&lt;=$E43),1,"")</f>
        <v/>
      </c>
      <c r="BC43">
        <f>IF(AND(BC$9+6&gt;=$D43,BC$9&lt;=$E43),1,"")</f>
        <v/>
      </c>
      <c r="BD43">
        <f>IF(AND(BD$9+6&gt;=$D43,BD$9&lt;=$E43),1,"")</f>
        <v/>
      </c>
      <c r="BE43">
        <f>IF(AND(BE$9+6&gt;=$D43,BE$9&lt;=$E43),1,"")</f>
        <v/>
      </c>
      <c r="BF43">
        <f>IF(AND(BF$9+6&gt;=$D43,BF$9&lt;=$E43),1,"")</f>
        <v/>
      </c>
      <c r="BG43">
        <f>IF(AND(BG$9+6&gt;=$D43,BG$9&lt;=$E43),1,"")</f>
        <v/>
      </c>
    </row>
    <row r="44">
      <c r="B44" s="8" t="inlineStr">
        <is>
          <t>University Executive – notes report</t>
        </is>
      </c>
      <c r="C44" s="8" t="inlineStr">
        <is>
          <t>~25 Mar (papers ~12 Mar)</t>
        </is>
      </c>
      <c r="D44" s="17" t="n">
        <v>46471</v>
      </c>
      <c r="E44" s="17" t="n">
        <v>46471</v>
      </c>
      <c r="F44" s="8" t="inlineStr"/>
      <c r="G44" s="8" t="inlineStr"/>
      <c r="H44" s="8" t="inlineStr"/>
      <c r="I44" s="8" t="inlineStr"/>
      <c r="J44" s="8" t="inlineStr">
        <is>
          <t>Milestone</t>
        </is>
      </c>
      <c r="K44" s="8" t="inlineStr">
        <is>
          <t>Not yet started</t>
        </is>
      </c>
      <c r="L44">
        <f>IF(AND(L$9+6&gt;=$D44,L$9&lt;=$E44),1,"")</f>
        <v/>
      </c>
      <c r="M44">
        <f>IF(AND(M$9+6&gt;=$D44,M$9&lt;=$E44),1,"")</f>
        <v/>
      </c>
      <c r="N44">
        <f>IF(AND(N$9+6&gt;=$D44,N$9&lt;=$E44),1,"")</f>
        <v/>
      </c>
      <c r="O44">
        <f>IF(AND(O$9+6&gt;=$D44,O$9&lt;=$E44),1,"")</f>
        <v/>
      </c>
      <c r="P44">
        <f>IF(AND(P$9+6&gt;=$D44,P$9&lt;=$E44),1,"")</f>
        <v/>
      </c>
      <c r="Q44">
        <f>IF(AND(Q$9+6&gt;=$D44,Q$9&lt;=$E44),1,"")</f>
        <v/>
      </c>
      <c r="R44">
        <f>IF(AND(R$9+6&gt;=$D44,R$9&lt;=$E44),1,"")</f>
        <v/>
      </c>
      <c r="S44">
        <f>IF(AND(S$9+6&gt;=$D44,S$9&lt;=$E44),1,"")</f>
        <v/>
      </c>
      <c r="T44">
        <f>IF(AND(T$9+6&gt;=$D44,T$9&lt;=$E44),1,"")</f>
        <v/>
      </c>
      <c r="U44">
        <f>IF(AND(U$9+6&gt;=$D44,U$9&lt;=$E44),1,"")</f>
        <v/>
      </c>
      <c r="V44">
        <f>IF(AND(V$9+6&gt;=$D44,V$9&lt;=$E44),1,"")</f>
        <v/>
      </c>
      <c r="W44">
        <f>IF(AND(W$9+6&gt;=$D44,W$9&lt;=$E44),1,"")</f>
        <v/>
      </c>
      <c r="X44">
        <f>IF(AND(X$9+6&gt;=$D44,X$9&lt;=$E44),1,"")</f>
        <v/>
      </c>
      <c r="Y44">
        <f>IF(AND(Y$9+6&gt;=$D44,Y$9&lt;=$E44),1,"")</f>
        <v/>
      </c>
      <c r="Z44">
        <f>IF(AND(Z$9+6&gt;=$D44,Z$9&lt;=$E44),1,"")</f>
        <v/>
      </c>
      <c r="AA44">
        <f>IF(AND(AA$9+6&gt;=$D44,AA$9&lt;=$E44),1,"")</f>
        <v/>
      </c>
      <c r="AB44">
        <f>IF(AND(AB$9+6&gt;=$D44,AB$9&lt;=$E44),1,"")</f>
        <v/>
      </c>
      <c r="AC44">
        <f>IF(AND(AC$9+6&gt;=$D44,AC$9&lt;=$E44),1,"")</f>
        <v/>
      </c>
      <c r="AD44">
        <f>IF(AND(AD$9+6&gt;=$D44,AD$9&lt;=$E44),1,"")</f>
        <v/>
      </c>
      <c r="AE44">
        <f>IF(AND(AE$9+6&gt;=$D44,AE$9&lt;=$E44),1,"")</f>
        <v/>
      </c>
      <c r="AF44">
        <f>IF(AND(AF$9+6&gt;=$D44,AF$9&lt;=$E44),1,"")</f>
        <v/>
      </c>
      <c r="AG44">
        <f>IF(AND(AG$9+6&gt;=$D44,AG$9&lt;=$E44),1,"")</f>
        <v/>
      </c>
      <c r="AH44">
        <f>IF(AND(AH$9+6&gt;=$D44,AH$9&lt;=$E44),1,"")</f>
        <v/>
      </c>
      <c r="AI44">
        <f>IF(AND(AI$9+6&gt;=$D44,AI$9&lt;=$E44),1,"")</f>
        <v/>
      </c>
      <c r="AJ44">
        <f>IF(AND(AJ$9+6&gt;=$D44,AJ$9&lt;=$E44),1,"")</f>
        <v/>
      </c>
      <c r="AK44">
        <f>IF(AND(AK$9+6&gt;=$D44,AK$9&lt;=$E44),1,"")</f>
        <v/>
      </c>
      <c r="AL44">
        <f>IF(AND(AL$9+6&gt;=$D44,AL$9&lt;=$E44),1,"")</f>
        <v/>
      </c>
      <c r="AM44">
        <f>IF(AND(AM$9+6&gt;=$D44,AM$9&lt;=$E44),1,"")</f>
        <v/>
      </c>
      <c r="AN44">
        <f>IF(AND(AN$9+6&gt;=$D44,AN$9&lt;=$E44),1,"")</f>
        <v/>
      </c>
      <c r="AO44">
        <f>IF(AND(AO$9+6&gt;=$D44,AO$9&lt;=$E44),1,"")</f>
        <v/>
      </c>
      <c r="AP44">
        <f>IF(AND(AP$9+6&gt;=$D44,AP$9&lt;=$E44),1,"")</f>
        <v/>
      </c>
      <c r="AQ44">
        <f>IF(AND(AQ$9+6&gt;=$D44,AQ$9&lt;=$E44),1,"")</f>
        <v/>
      </c>
      <c r="AR44">
        <f>IF(AND(AR$9+6&gt;=$D44,AR$9&lt;=$E44),1,"")</f>
        <v/>
      </c>
      <c r="AS44">
        <f>IF(AND(AS$9+6&gt;=$D44,AS$9&lt;=$E44),1,"")</f>
        <v/>
      </c>
      <c r="AT44">
        <f>IF(AND(AT$9+6&gt;=$D44,AT$9&lt;=$E44),1,"")</f>
        <v/>
      </c>
      <c r="AU44">
        <f>IF(AND(AU$9+6&gt;=$D44,AU$9&lt;=$E44),1,"")</f>
        <v/>
      </c>
      <c r="AV44">
        <f>IF(AND(AV$9+6&gt;=$D44,AV$9&lt;=$E44),1,"")</f>
        <v/>
      </c>
      <c r="AW44">
        <f>IF(AND(AW$9+6&gt;=$D44,AW$9&lt;=$E44),1,"")</f>
        <v/>
      </c>
      <c r="AX44">
        <f>IF(AND(AX$9+6&gt;=$D44,AX$9&lt;=$E44),1,"")</f>
        <v/>
      </c>
      <c r="AY44">
        <f>IF(AND(AY$9+6&gt;=$D44,AY$9&lt;=$E44),1,"")</f>
        <v/>
      </c>
      <c r="AZ44">
        <f>IF(AND(AZ$9+6&gt;=$D44,AZ$9&lt;=$E44),1,"")</f>
        <v/>
      </c>
      <c r="BA44">
        <f>IF(AND(BA$9+6&gt;=$D44,BA$9&lt;=$E44),1,"")</f>
        <v/>
      </c>
      <c r="BB44">
        <f>IF(AND(BB$9+6&gt;=$D44,BB$9&lt;=$E44),1,"")</f>
        <v/>
      </c>
      <c r="BC44">
        <f>IF(AND(BC$9+6&gt;=$D44,BC$9&lt;=$E44),1,"")</f>
        <v/>
      </c>
      <c r="BD44">
        <f>IF(AND(BD$9+6&gt;=$D44,BD$9&lt;=$E44),1,"")</f>
        <v/>
      </c>
      <c r="BE44">
        <f>IF(AND(BE$9+6&gt;=$D44,BE$9&lt;=$E44),1,"")</f>
        <v/>
      </c>
      <c r="BF44">
        <f>IF(AND(BF$9+6&gt;=$D44,BF$9&lt;=$E44),1,"")</f>
        <v/>
      </c>
      <c r="BG44">
        <f>IF(AND(BG$9+6&gt;=$D44,BG$9&lt;=$E44),1,"")</f>
        <v/>
      </c>
    </row>
    <row r="45">
      <c r="B45" s="8" t="inlineStr">
        <is>
          <t>University Council – approves report</t>
        </is>
      </c>
      <c r="C45" s="8" t="inlineStr">
        <is>
          <t>~6 May (papers ~10 Apr)</t>
        </is>
      </c>
      <c r="D45" s="17" t="n">
        <v>46513</v>
      </c>
      <c r="E45" s="17" t="n">
        <v>46513</v>
      </c>
      <c r="F45" s="8" t="inlineStr"/>
      <c r="G45" s="8" t="inlineStr"/>
      <c r="H45" s="8" t="inlineStr"/>
      <c r="I45" s="8" t="inlineStr"/>
      <c r="J45" s="8" t="inlineStr">
        <is>
          <t>Milestone</t>
        </is>
      </c>
      <c r="K45" s="8" t="inlineStr">
        <is>
          <t>Not yet started</t>
        </is>
      </c>
      <c r="L45">
        <f>IF(AND(L$9+6&gt;=$D45,L$9&lt;=$E45),1,"")</f>
        <v/>
      </c>
      <c r="M45">
        <f>IF(AND(M$9+6&gt;=$D45,M$9&lt;=$E45),1,"")</f>
        <v/>
      </c>
      <c r="N45">
        <f>IF(AND(N$9+6&gt;=$D45,N$9&lt;=$E45),1,"")</f>
        <v/>
      </c>
      <c r="O45">
        <f>IF(AND(O$9+6&gt;=$D45,O$9&lt;=$E45),1,"")</f>
        <v/>
      </c>
      <c r="P45">
        <f>IF(AND(P$9+6&gt;=$D45,P$9&lt;=$E45),1,"")</f>
        <v/>
      </c>
      <c r="Q45">
        <f>IF(AND(Q$9+6&gt;=$D45,Q$9&lt;=$E45),1,"")</f>
        <v/>
      </c>
      <c r="R45">
        <f>IF(AND(R$9+6&gt;=$D45,R$9&lt;=$E45),1,"")</f>
        <v/>
      </c>
      <c r="S45">
        <f>IF(AND(S$9+6&gt;=$D45,S$9&lt;=$E45),1,"")</f>
        <v/>
      </c>
      <c r="T45">
        <f>IF(AND(T$9+6&gt;=$D45,T$9&lt;=$E45),1,"")</f>
        <v/>
      </c>
      <c r="U45">
        <f>IF(AND(U$9+6&gt;=$D45,U$9&lt;=$E45),1,"")</f>
        <v/>
      </c>
      <c r="V45">
        <f>IF(AND(V$9+6&gt;=$D45,V$9&lt;=$E45),1,"")</f>
        <v/>
      </c>
      <c r="W45">
        <f>IF(AND(W$9+6&gt;=$D45,W$9&lt;=$E45),1,"")</f>
        <v/>
      </c>
      <c r="X45">
        <f>IF(AND(X$9+6&gt;=$D45,X$9&lt;=$E45),1,"")</f>
        <v/>
      </c>
      <c r="Y45">
        <f>IF(AND(Y$9+6&gt;=$D45,Y$9&lt;=$E45),1,"")</f>
        <v/>
      </c>
      <c r="Z45">
        <f>IF(AND(Z$9+6&gt;=$D45,Z$9&lt;=$E45),1,"")</f>
        <v/>
      </c>
      <c r="AA45">
        <f>IF(AND(AA$9+6&gt;=$D45,AA$9&lt;=$E45),1,"")</f>
        <v/>
      </c>
      <c r="AB45">
        <f>IF(AND(AB$9+6&gt;=$D45,AB$9&lt;=$E45),1,"")</f>
        <v/>
      </c>
      <c r="AC45">
        <f>IF(AND(AC$9+6&gt;=$D45,AC$9&lt;=$E45),1,"")</f>
        <v/>
      </c>
      <c r="AD45">
        <f>IF(AND(AD$9+6&gt;=$D45,AD$9&lt;=$E45),1,"")</f>
        <v/>
      </c>
      <c r="AE45">
        <f>IF(AND(AE$9+6&gt;=$D45,AE$9&lt;=$E45),1,"")</f>
        <v/>
      </c>
      <c r="AF45">
        <f>IF(AND(AF$9+6&gt;=$D45,AF$9&lt;=$E45),1,"")</f>
        <v/>
      </c>
      <c r="AG45">
        <f>IF(AND(AG$9+6&gt;=$D45,AG$9&lt;=$E45),1,"")</f>
        <v/>
      </c>
      <c r="AH45">
        <f>IF(AND(AH$9+6&gt;=$D45,AH$9&lt;=$E45),1,"")</f>
        <v/>
      </c>
      <c r="AI45">
        <f>IF(AND(AI$9+6&gt;=$D45,AI$9&lt;=$E45),1,"")</f>
        <v/>
      </c>
      <c r="AJ45">
        <f>IF(AND(AJ$9+6&gt;=$D45,AJ$9&lt;=$E45),1,"")</f>
        <v/>
      </c>
      <c r="AK45">
        <f>IF(AND(AK$9+6&gt;=$D45,AK$9&lt;=$E45),1,"")</f>
        <v/>
      </c>
      <c r="AL45">
        <f>IF(AND(AL$9+6&gt;=$D45,AL$9&lt;=$E45),1,"")</f>
        <v/>
      </c>
      <c r="AM45">
        <f>IF(AND(AM$9+6&gt;=$D45,AM$9&lt;=$E45),1,"")</f>
        <v/>
      </c>
      <c r="AN45">
        <f>IF(AND(AN$9+6&gt;=$D45,AN$9&lt;=$E45),1,"")</f>
        <v/>
      </c>
      <c r="AO45">
        <f>IF(AND(AO$9+6&gt;=$D45,AO$9&lt;=$E45),1,"")</f>
        <v/>
      </c>
      <c r="AP45">
        <f>IF(AND(AP$9+6&gt;=$D45,AP$9&lt;=$E45),1,"")</f>
        <v/>
      </c>
      <c r="AQ45">
        <f>IF(AND(AQ$9+6&gt;=$D45,AQ$9&lt;=$E45),1,"")</f>
        <v/>
      </c>
      <c r="AR45">
        <f>IF(AND(AR$9+6&gt;=$D45,AR$9&lt;=$E45),1,"")</f>
        <v/>
      </c>
      <c r="AS45">
        <f>IF(AND(AS$9+6&gt;=$D45,AS$9&lt;=$E45),1,"")</f>
        <v/>
      </c>
      <c r="AT45">
        <f>IF(AND(AT$9+6&gt;=$D45,AT$9&lt;=$E45),1,"")</f>
        <v/>
      </c>
      <c r="AU45">
        <f>IF(AND(AU$9+6&gt;=$D45,AU$9&lt;=$E45),1,"")</f>
        <v/>
      </c>
      <c r="AV45">
        <f>IF(AND(AV$9+6&gt;=$D45,AV$9&lt;=$E45),1,"")</f>
        <v/>
      </c>
      <c r="AW45">
        <f>IF(AND(AW$9+6&gt;=$D45,AW$9&lt;=$E45),1,"")</f>
        <v/>
      </c>
      <c r="AX45">
        <f>IF(AND(AX$9+6&gt;=$D45,AX$9&lt;=$E45),1,"")</f>
        <v/>
      </c>
      <c r="AY45">
        <f>IF(AND(AY$9+6&gt;=$D45,AY$9&lt;=$E45),1,"")</f>
        <v/>
      </c>
      <c r="AZ45">
        <f>IF(AND(AZ$9+6&gt;=$D45,AZ$9&lt;=$E45),1,"")</f>
        <v/>
      </c>
      <c r="BA45">
        <f>IF(AND(BA$9+6&gt;=$D45,BA$9&lt;=$E45),1,"")</f>
        <v/>
      </c>
      <c r="BB45">
        <f>IF(AND(BB$9+6&gt;=$D45,BB$9&lt;=$E45),1,"")</f>
        <v/>
      </c>
      <c r="BC45">
        <f>IF(AND(BC$9+6&gt;=$D45,BC$9&lt;=$E45),1,"")</f>
        <v/>
      </c>
      <c r="BD45">
        <f>IF(AND(BD$9+6&gt;=$D45,BD$9&lt;=$E45),1,"")</f>
        <v/>
      </c>
      <c r="BE45">
        <f>IF(AND(BE$9+6&gt;=$D45,BE$9&lt;=$E45),1,"")</f>
        <v/>
      </c>
      <c r="BF45">
        <f>IF(AND(BF$9+6&gt;=$D45,BF$9&lt;=$E45),1,"")</f>
        <v/>
      </c>
      <c r="BG45">
        <f>IF(AND(BG$9+6&gt;=$D45,BG$9&lt;=$E45),1,"")</f>
        <v/>
      </c>
    </row>
    <row r="46">
      <c r="B46" s="45" t="inlineStr">
        <is>
          <t>Publication &amp; close-out (May–Jun 2027)</t>
        </is>
      </c>
      <c r="C46" s="46" t="n"/>
      <c r="D46" s="46" t="n"/>
      <c r="E46" s="46" t="n"/>
      <c r="F46" s="46" t="n"/>
      <c r="G46" s="46" t="n"/>
      <c r="H46" s="46" t="n"/>
      <c r="I46" s="46" t="n"/>
      <c r="J46" s="46" t="n"/>
      <c r="K46" s="46" t="n"/>
      <c r="L46" s="46" t="n"/>
      <c r="M46" s="46" t="n"/>
      <c r="N46" s="46" t="n"/>
      <c r="O46" s="46" t="n"/>
      <c r="P46" s="46" t="n"/>
      <c r="Q46" s="46" t="n"/>
      <c r="R46" s="46" t="n"/>
      <c r="S46" s="46" t="n"/>
      <c r="T46" s="46" t="n"/>
      <c r="U46" s="46" t="n"/>
      <c r="V46" s="46" t="n"/>
      <c r="W46" s="46" t="n"/>
      <c r="X46" s="46" t="n"/>
      <c r="Y46" s="46" t="n"/>
      <c r="Z46" s="46" t="n"/>
      <c r="AA46" s="46" t="n"/>
      <c r="AB46" s="46" t="n"/>
      <c r="AC46" s="46" t="n"/>
      <c r="AD46" s="46" t="n"/>
      <c r="AE46" s="46" t="n"/>
      <c r="AF46" s="46" t="n"/>
      <c r="AG46" s="46" t="n"/>
      <c r="AH46" s="46" t="n"/>
      <c r="AI46" s="46" t="n"/>
      <c r="AJ46" s="46" t="n"/>
      <c r="AK46" s="46" t="n"/>
      <c r="AL46" s="46" t="n"/>
      <c r="AM46" s="46" t="n"/>
      <c r="AN46" s="46" t="n"/>
      <c r="AO46" s="46" t="n"/>
      <c r="AP46" s="46" t="n"/>
      <c r="AQ46" s="46" t="n"/>
      <c r="AR46" s="46" t="n"/>
      <c r="AS46" s="46" t="n"/>
      <c r="AT46" s="46" t="n"/>
      <c r="AU46" s="46" t="n"/>
      <c r="AV46" s="46" t="n"/>
      <c r="AW46" s="46" t="n"/>
      <c r="AX46" s="46" t="n"/>
      <c r="AY46" s="46" t="n"/>
      <c r="AZ46" s="46" t="n"/>
      <c r="BA46" s="46" t="n"/>
      <c r="BB46" s="46" t="n"/>
      <c r="BC46" s="46" t="n"/>
      <c r="BD46" s="46" t="n"/>
      <c r="BE46" s="46" t="n"/>
      <c r="BF46" s="46" t="n"/>
      <c r="BG46" s="46" t="n"/>
    </row>
    <row r="47">
      <c r="B47" s="8" t="inlineStr">
        <is>
          <t>Web build; QA, accessibility and web checks; agree analytics measures</t>
        </is>
      </c>
      <c r="C47" s="8" t="inlineStr">
        <is>
          <t>Before launch</t>
        </is>
      </c>
      <c r="D47" s="17" t="n">
        <v>46447</v>
      </c>
      <c r="E47" s="17" t="n">
        <v>46535</v>
      </c>
      <c r="F47" s="8" t="inlineStr">
        <is>
          <t>Comms/digital</t>
        </is>
      </c>
      <c r="G47" s="8" t="inlineStr"/>
      <c r="H47" s="8" t="inlineStr">
        <is>
          <t>SST</t>
        </is>
      </c>
      <c r="I47" s="8" t="inlineStr"/>
      <c r="J47" s="8" t="inlineStr">
        <is>
          <t>High</t>
        </is>
      </c>
      <c r="K47" s="8" t="inlineStr">
        <is>
          <t>Not yet started</t>
        </is>
      </c>
      <c r="L47">
        <f>IF(AND(L$9+6&gt;=$D47,L$9&lt;=$E47),1,"")</f>
        <v/>
      </c>
      <c r="M47">
        <f>IF(AND(M$9+6&gt;=$D47,M$9&lt;=$E47),1,"")</f>
        <v/>
      </c>
      <c r="N47">
        <f>IF(AND(N$9+6&gt;=$D47,N$9&lt;=$E47),1,"")</f>
        <v/>
      </c>
      <c r="O47">
        <f>IF(AND(O$9+6&gt;=$D47,O$9&lt;=$E47),1,"")</f>
        <v/>
      </c>
      <c r="P47">
        <f>IF(AND(P$9+6&gt;=$D47,P$9&lt;=$E47),1,"")</f>
        <v/>
      </c>
      <c r="Q47">
        <f>IF(AND(Q$9+6&gt;=$D47,Q$9&lt;=$E47),1,"")</f>
        <v/>
      </c>
      <c r="R47">
        <f>IF(AND(R$9+6&gt;=$D47,R$9&lt;=$E47),1,"")</f>
        <v/>
      </c>
      <c r="S47">
        <f>IF(AND(S$9+6&gt;=$D47,S$9&lt;=$E47),1,"")</f>
        <v/>
      </c>
      <c r="T47">
        <f>IF(AND(T$9+6&gt;=$D47,T$9&lt;=$E47),1,"")</f>
        <v/>
      </c>
      <c r="U47">
        <f>IF(AND(U$9+6&gt;=$D47,U$9&lt;=$E47),1,"")</f>
        <v/>
      </c>
      <c r="V47">
        <f>IF(AND(V$9+6&gt;=$D47,V$9&lt;=$E47),1,"")</f>
        <v/>
      </c>
      <c r="W47">
        <f>IF(AND(W$9+6&gt;=$D47,W$9&lt;=$E47),1,"")</f>
        <v/>
      </c>
      <c r="X47">
        <f>IF(AND(X$9+6&gt;=$D47,X$9&lt;=$E47),1,"")</f>
        <v/>
      </c>
      <c r="Y47">
        <f>IF(AND(Y$9+6&gt;=$D47,Y$9&lt;=$E47),1,"")</f>
        <v/>
      </c>
      <c r="Z47">
        <f>IF(AND(Z$9+6&gt;=$D47,Z$9&lt;=$E47),1,"")</f>
        <v/>
      </c>
      <c r="AA47">
        <f>IF(AND(AA$9+6&gt;=$D47,AA$9&lt;=$E47),1,"")</f>
        <v/>
      </c>
      <c r="AB47">
        <f>IF(AND(AB$9+6&gt;=$D47,AB$9&lt;=$E47),1,"")</f>
        <v/>
      </c>
      <c r="AC47">
        <f>IF(AND(AC$9+6&gt;=$D47,AC$9&lt;=$E47),1,"")</f>
        <v/>
      </c>
      <c r="AD47">
        <f>IF(AND(AD$9+6&gt;=$D47,AD$9&lt;=$E47),1,"")</f>
        <v/>
      </c>
      <c r="AE47">
        <f>IF(AND(AE$9+6&gt;=$D47,AE$9&lt;=$E47),1,"")</f>
        <v/>
      </c>
      <c r="AF47">
        <f>IF(AND(AF$9+6&gt;=$D47,AF$9&lt;=$E47),1,"")</f>
        <v/>
      </c>
      <c r="AG47">
        <f>IF(AND(AG$9+6&gt;=$D47,AG$9&lt;=$E47),1,"")</f>
        <v/>
      </c>
      <c r="AH47">
        <f>IF(AND(AH$9+6&gt;=$D47,AH$9&lt;=$E47),1,"")</f>
        <v/>
      </c>
      <c r="AI47">
        <f>IF(AND(AI$9+6&gt;=$D47,AI$9&lt;=$E47),1,"")</f>
        <v/>
      </c>
      <c r="AJ47">
        <f>IF(AND(AJ$9+6&gt;=$D47,AJ$9&lt;=$E47),1,"")</f>
        <v/>
      </c>
      <c r="AK47">
        <f>IF(AND(AK$9+6&gt;=$D47,AK$9&lt;=$E47),1,"")</f>
        <v/>
      </c>
      <c r="AL47">
        <f>IF(AND(AL$9+6&gt;=$D47,AL$9&lt;=$E47),1,"")</f>
        <v/>
      </c>
      <c r="AM47">
        <f>IF(AND(AM$9+6&gt;=$D47,AM$9&lt;=$E47),1,"")</f>
        <v/>
      </c>
      <c r="AN47">
        <f>IF(AND(AN$9+6&gt;=$D47,AN$9&lt;=$E47),1,"")</f>
        <v/>
      </c>
      <c r="AO47">
        <f>IF(AND(AO$9+6&gt;=$D47,AO$9&lt;=$E47),1,"")</f>
        <v/>
      </c>
      <c r="AP47">
        <f>IF(AND(AP$9+6&gt;=$D47,AP$9&lt;=$E47),1,"")</f>
        <v/>
      </c>
      <c r="AQ47">
        <f>IF(AND(AQ$9+6&gt;=$D47,AQ$9&lt;=$E47),1,"")</f>
        <v/>
      </c>
      <c r="AR47">
        <f>IF(AND(AR$9+6&gt;=$D47,AR$9&lt;=$E47),1,"")</f>
        <v/>
      </c>
      <c r="AS47">
        <f>IF(AND(AS$9+6&gt;=$D47,AS$9&lt;=$E47),1,"")</f>
        <v/>
      </c>
      <c r="AT47">
        <f>IF(AND(AT$9+6&gt;=$D47,AT$9&lt;=$E47),1,"")</f>
        <v/>
      </c>
      <c r="AU47">
        <f>IF(AND(AU$9+6&gt;=$D47,AU$9&lt;=$E47),1,"")</f>
        <v/>
      </c>
      <c r="AV47">
        <f>IF(AND(AV$9+6&gt;=$D47,AV$9&lt;=$E47),1,"")</f>
        <v/>
      </c>
      <c r="AW47">
        <f>IF(AND(AW$9+6&gt;=$D47,AW$9&lt;=$E47),1,"")</f>
        <v/>
      </c>
      <c r="AX47">
        <f>IF(AND(AX$9+6&gt;=$D47,AX$9&lt;=$E47),1,"")</f>
        <v/>
      </c>
      <c r="AY47">
        <f>IF(AND(AY$9+6&gt;=$D47,AY$9&lt;=$E47),1,"")</f>
        <v/>
      </c>
      <c r="AZ47">
        <f>IF(AND(AZ$9+6&gt;=$D47,AZ$9&lt;=$E47),1,"")</f>
        <v/>
      </c>
      <c r="BA47">
        <f>IF(AND(BA$9+6&gt;=$D47,BA$9&lt;=$E47),1,"")</f>
        <v/>
      </c>
      <c r="BB47">
        <f>IF(AND(BB$9+6&gt;=$D47,BB$9&lt;=$E47),1,"")</f>
        <v/>
      </c>
      <c r="BC47">
        <f>IF(AND(BC$9+6&gt;=$D47,BC$9&lt;=$E47),1,"")</f>
        <v/>
      </c>
      <c r="BD47">
        <f>IF(AND(BD$9+6&gt;=$D47,BD$9&lt;=$E47),1,"")</f>
        <v/>
      </c>
      <c r="BE47">
        <f>IF(AND(BE$9+6&gt;=$D47,BE$9&lt;=$E47),1,"")</f>
        <v/>
      </c>
      <c r="BF47">
        <f>IF(AND(BF$9+6&gt;=$D47,BF$9&lt;=$E47),1,"")</f>
        <v/>
      </c>
      <c r="BG47">
        <f>IF(AND(BG$9+6&gt;=$D47,BG$9&lt;=$E47),1,"")</f>
        <v/>
      </c>
    </row>
    <row r="48">
      <c r="B48" s="8" t="inlineStr">
        <is>
          <t>Publish report (year-specific URL + landing page)</t>
        </is>
      </c>
      <c r="C48" s="8" t="inlineStr">
        <is>
          <t>June</t>
        </is>
      </c>
      <c r="D48" s="17" t="n">
        <v>46539</v>
      </c>
      <c r="E48" s="17" t="n">
        <v>46568</v>
      </c>
      <c r="F48" s="8" t="inlineStr">
        <is>
          <t>Comms/digital</t>
        </is>
      </c>
      <c r="G48" s="8" t="inlineStr">
        <is>
          <t>Director, Sustainability</t>
        </is>
      </c>
      <c r="H48" s="8" t="inlineStr"/>
      <c r="I48" s="8" t="inlineStr"/>
      <c r="J48" s="8" t="inlineStr">
        <is>
          <t>Milestone</t>
        </is>
      </c>
      <c r="K48" s="8" t="inlineStr">
        <is>
          <t>Not yet started</t>
        </is>
      </c>
      <c r="L48">
        <f>IF(AND(L$9+6&gt;=$D48,L$9&lt;=$E48),1,"")</f>
        <v/>
      </c>
      <c r="M48">
        <f>IF(AND(M$9+6&gt;=$D48,M$9&lt;=$E48),1,"")</f>
        <v/>
      </c>
      <c r="N48">
        <f>IF(AND(N$9+6&gt;=$D48,N$9&lt;=$E48),1,"")</f>
        <v/>
      </c>
      <c r="O48">
        <f>IF(AND(O$9+6&gt;=$D48,O$9&lt;=$E48),1,"")</f>
        <v/>
      </c>
      <c r="P48">
        <f>IF(AND(P$9+6&gt;=$D48,P$9&lt;=$E48),1,"")</f>
        <v/>
      </c>
      <c r="Q48">
        <f>IF(AND(Q$9+6&gt;=$D48,Q$9&lt;=$E48),1,"")</f>
        <v/>
      </c>
      <c r="R48">
        <f>IF(AND(R$9+6&gt;=$D48,R$9&lt;=$E48),1,"")</f>
        <v/>
      </c>
      <c r="S48">
        <f>IF(AND(S$9+6&gt;=$D48,S$9&lt;=$E48),1,"")</f>
        <v/>
      </c>
      <c r="T48">
        <f>IF(AND(T$9+6&gt;=$D48,T$9&lt;=$E48),1,"")</f>
        <v/>
      </c>
      <c r="U48">
        <f>IF(AND(U$9+6&gt;=$D48,U$9&lt;=$E48),1,"")</f>
        <v/>
      </c>
      <c r="V48">
        <f>IF(AND(V$9+6&gt;=$D48,V$9&lt;=$E48),1,"")</f>
        <v/>
      </c>
      <c r="W48">
        <f>IF(AND(W$9+6&gt;=$D48,W$9&lt;=$E48),1,"")</f>
        <v/>
      </c>
      <c r="X48">
        <f>IF(AND(X$9+6&gt;=$D48,X$9&lt;=$E48),1,"")</f>
        <v/>
      </c>
      <c r="Y48">
        <f>IF(AND(Y$9+6&gt;=$D48,Y$9&lt;=$E48),1,"")</f>
        <v/>
      </c>
      <c r="Z48">
        <f>IF(AND(Z$9+6&gt;=$D48,Z$9&lt;=$E48),1,"")</f>
        <v/>
      </c>
      <c r="AA48">
        <f>IF(AND(AA$9+6&gt;=$D48,AA$9&lt;=$E48),1,"")</f>
        <v/>
      </c>
      <c r="AB48">
        <f>IF(AND(AB$9+6&gt;=$D48,AB$9&lt;=$E48),1,"")</f>
        <v/>
      </c>
      <c r="AC48">
        <f>IF(AND(AC$9+6&gt;=$D48,AC$9&lt;=$E48),1,"")</f>
        <v/>
      </c>
      <c r="AD48">
        <f>IF(AND(AD$9+6&gt;=$D48,AD$9&lt;=$E48),1,"")</f>
        <v/>
      </c>
      <c r="AE48">
        <f>IF(AND(AE$9+6&gt;=$D48,AE$9&lt;=$E48),1,"")</f>
        <v/>
      </c>
      <c r="AF48">
        <f>IF(AND(AF$9+6&gt;=$D48,AF$9&lt;=$E48),1,"")</f>
        <v/>
      </c>
      <c r="AG48">
        <f>IF(AND(AG$9+6&gt;=$D48,AG$9&lt;=$E48),1,"")</f>
        <v/>
      </c>
      <c r="AH48">
        <f>IF(AND(AH$9+6&gt;=$D48,AH$9&lt;=$E48),1,"")</f>
        <v/>
      </c>
      <c r="AI48">
        <f>IF(AND(AI$9+6&gt;=$D48,AI$9&lt;=$E48),1,"")</f>
        <v/>
      </c>
      <c r="AJ48">
        <f>IF(AND(AJ$9+6&gt;=$D48,AJ$9&lt;=$E48),1,"")</f>
        <v/>
      </c>
      <c r="AK48">
        <f>IF(AND(AK$9+6&gt;=$D48,AK$9&lt;=$E48),1,"")</f>
        <v/>
      </c>
      <c r="AL48">
        <f>IF(AND(AL$9+6&gt;=$D48,AL$9&lt;=$E48),1,"")</f>
        <v/>
      </c>
      <c r="AM48">
        <f>IF(AND(AM$9+6&gt;=$D48,AM$9&lt;=$E48),1,"")</f>
        <v/>
      </c>
      <c r="AN48">
        <f>IF(AND(AN$9+6&gt;=$D48,AN$9&lt;=$E48),1,"")</f>
        <v/>
      </c>
      <c r="AO48">
        <f>IF(AND(AO$9+6&gt;=$D48,AO$9&lt;=$E48),1,"")</f>
        <v/>
      </c>
      <c r="AP48">
        <f>IF(AND(AP$9+6&gt;=$D48,AP$9&lt;=$E48),1,"")</f>
        <v/>
      </c>
      <c r="AQ48">
        <f>IF(AND(AQ$9+6&gt;=$D48,AQ$9&lt;=$E48),1,"")</f>
        <v/>
      </c>
      <c r="AR48">
        <f>IF(AND(AR$9+6&gt;=$D48,AR$9&lt;=$E48),1,"")</f>
        <v/>
      </c>
      <c r="AS48">
        <f>IF(AND(AS$9+6&gt;=$D48,AS$9&lt;=$E48),1,"")</f>
        <v/>
      </c>
      <c r="AT48">
        <f>IF(AND(AT$9+6&gt;=$D48,AT$9&lt;=$E48),1,"")</f>
        <v/>
      </c>
      <c r="AU48">
        <f>IF(AND(AU$9+6&gt;=$D48,AU$9&lt;=$E48),1,"")</f>
        <v/>
      </c>
      <c r="AV48">
        <f>IF(AND(AV$9+6&gt;=$D48,AV$9&lt;=$E48),1,"")</f>
        <v/>
      </c>
      <c r="AW48">
        <f>IF(AND(AW$9+6&gt;=$D48,AW$9&lt;=$E48),1,"")</f>
        <v/>
      </c>
      <c r="AX48">
        <f>IF(AND(AX$9+6&gt;=$D48,AX$9&lt;=$E48),1,"")</f>
        <v/>
      </c>
      <c r="AY48">
        <f>IF(AND(AY$9+6&gt;=$D48,AY$9&lt;=$E48),1,"")</f>
        <v/>
      </c>
      <c r="AZ48">
        <f>IF(AND(AZ$9+6&gt;=$D48,AZ$9&lt;=$E48),1,"")</f>
        <v/>
      </c>
      <c r="BA48">
        <f>IF(AND(BA$9+6&gt;=$D48,BA$9&lt;=$E48),1,"")</f>
        <v/>
      </c>
      <c r="BB48">
        <f>IF(AND(BB$9+6&gt;=$D48,BB$9&lt;=$E48),1,"")</f>
        <v/>
      </c>
      <c r="BC48">
        <f>IF(AND(BC$9+6&gt;=$D48,BC$9&lt;=$E48),1,"")</f>
        <v/>
      </c>
      <c r="BD48">
        <f>IF(AND(BD$9+6&gt;=$D48,BD$9&lt;=$E48),1,"")</f>
        <v/>
      </c>
      <c r="BE48">
        <f>IF(AND(BE$9+6&gt;=$D48,BE$9&lt;=$E48),1,"")</f>
        <v/>
      </c>
      <c r="BF48">
        <f>IF(AND(BF$9+6&gt;=$D48,BF$9&lt;=$E48),1,"")</f>
        <v/>
      </c>
      <c r="BG48">
        <f>IF(AND(BG$9+6&gt;=$D48,BG$9&lt;=$E48),1,"")</f>
        <v/>
      </c>
    </row>
    <row r="49">
      <c r="B49" s="8" t="inlineStr">
        <is>
          <t>Monitor engagement; project retrospective; improvements for 2027 cycle</t>
        </is>
      </c>
      <c r="C49" s="8" t="inlineStr"/>
      <c r="D49" s="17" t="n">
        <v>46539</v>
      </c>
      <c r="E49" s="17" t="n">
        <v>46598</v>
      </c>
      <c r="F49" s="8" t="inlineStr">
        <is>
          <t>SST</t>
        </is>
      </c>
      <c r="G49" s="8" t="inlineStr"/>
      <c r="H49" s="8" t="inlineStr">
        <is>
          <t>Comms, design</t>
        </is>
      </c>
      <c r="I49" s="8" t="inlineStr"/>
      <c r="J49" s="8" t="inlineStr">
        <is>
          <t>Medium</t>
        </is>
      </c>
      <c r="K49" s="8" t="inlineStr">
        <is>
          <t>Not yet started</t>
        </is>
      </c>
      <c r="L49">
        <f>IF(AND(L$9+6&gt;=$D49,L$9&lt;=$E49),1,"")</f>
        <v/>
      </c>
      <c r="M49">
        <f>IF(AND(M$9+6&gt;=$D49,M$9&lt;=$E49),1,"")</f>
        <v/>
      </c>
      <c r="N49">
        <f>IF(AND(N$9+6&gt;=$D49,N$9&lt;=$E49),1,"")</f>
        <v/>
      </c>
      <c r="O49">
        <f>IF(AND(O$9+6&gt;=$D49,O$9&lt;=$E49),1,"")</f>
        <v/>
      </c>
      <c r="P49">
        <f>IF(AND(P$9+6&gt;=$D49,P$9&lt;=$E49),1,"")</f>
        <v/>
      </c>
      <c r="Q49">
        <f>IF(AND(Q$9+6&gt;=$D49,Q$9&lt;=$E49),1,"")</f>
        <v/>
      </c>
      <c r="R49">
        <f>IF(AND(R$9+6&gt;=$D49,R$9&lt;=$E49),1,"")</f>
        <v/>
      </c>
      <c r="S49">
        <f>IF(AND(S$9+6&gt;=$D49,S$9&lt;=$E49),1,"")</f>
        <v/>
      </c>
      <c r="T49">
        <f>IF(AND(T$9+6&gt;=$D49,T$9&lt;=$E49),1,"")</f>
        <v/>
      </c>
      <c r="U49">
        <f>IF(AND(U$9+6&gt;=$D49,U$9&lt;=$E49),1,"")</f>
        <v/>
      </c>
      <c r="V49">
        <f>IF(AND(V$9+6&gt;=$D49,V$9&lt;=$E49),1,"")</f>
        <v/>
      </c>
      <c r="W49">
        <f>IF(AND(W$9+6&gt;=$D49,W$9&lt;=$E49),1,"")</f>
        <v/>
      </c>
      <c r="X49">
        <f>IF(AND(X$9+6&gt;=$D49,X$9&lt;=$E49),1,"")</f>
        <v/>
      </c>
      <c r="Y49">
        <f>IF(AND(Y$9+6&gt;=$D49,Y$9&lt;=$E49),1,"")</f>
        <v/>
      </c>
      <c r="Z49">
        <f>IF(AND(Z$9+6&gt;=$D49,Z$9&lt;=$E49),1,"")</f>
        <v/>
      </c>
      <c r="AA49">
        <f>IF(AND(AA$9+6&gt;=$D49,AA$9&lt;=$E49),1,"")</f>
        <v/>
      </c>
      <c r="AB49">
        <f>IF(AND(AB$9+6&gt;=$D49,AB$9&lt;=$E49),1,"")</f>
        <v/>
      </c>
      <c r="AC49">
        <f>IF(AND(AC$9+6&gt;=$D49,AC$9&lt;=$E49),1,"")</f>
        <v/>
      </c>
      <c r="AD49">
        <f>IF(AND(AD$9+6&gt;=$D49,AD$9&lt;=$E49),1,"")</f>
        <v/>
      </c>
      <c r="AE49">
        <f>IF(AND(AE$9+6&gt;=$D49,AE$9&lt;=$E49),1,"")</f>
        <v/>
      </c>
      <c r="AF49">
        <f>IF(AND(AF$9+6&gt;=$D49,AF$9&lt;=$E49),1,"")</f>
        <v/>
      </c>
      <c r="AG49">
        <f>IF(AND(AG$9+6&gt;=$D49,AG$9&lt;=$E49),1,"")</f>
        <v/>
      </c>
      <c r="AH49">
        <f>IF(AND(AH$9+6&gt;=$D49,AH$9&lt;=$E49),1,"")</f>
        <v/>
      </c>
      <c r="AI49">
        <f>IF(AND(AI$9+6&gt;=$D49,AI$9&lt;=$E49),1,"")</f>
        <v/>
      </c>
      <c r="AJ49">
        <f>IF(AND(AJ$9+6&gt;=$D49,AJ$9&lt;=$E49),1,"")</f>
        <v/>
      </c>
      <c r="AK49">
        <f>IF(AND(AK$9+6&gt;=$D49,AK$9&lt;=$E49),1,"")</f>
        <v/>
      </c>
      <c r="AL49">
        <f>IF(AND(AL$9+6&gt;=$D49,AL$9&lt;=$E49),1,"")</f>
        <v/>
      </c>
      <c r="AM49">
        <f>IF(AND(AM$9+6&gt;=$D49,AM$9&lt;=$E49),1,"")</f>
        <v/>
      </c>
      <c r="AN49">
        <f>IF(AND(AN$9+6&gt;=$D49,AN$9&lt;=$E49),1,"")</f>
        <v/>
      </c>
      <c r="AO49">
        <f>IF(AND(AO$9+6&gt;=$D49,AO$9&lt;=$E49),1,"")</f>
        <v/>
      </c>
      <c r="AP49">
        <f>IF(AND(AP$9+6&gt;=$D49,AP$9&lt;=$E49),1,"")</f>
        <v/>
      </c>
      <c r="AQ49">
        <f>IF(AND(AQ$9+6&gt;=$D49,AQ$9&lt;=$E49),1,"")</f>
        <v/>
      </c>
      <c r="AR49">
        <f>IF(AND(AR$9+6&gt;=$D49,AR$9&lt;=$E49),1,"")</f>
        <v/>
      </c>
      <c r="AS49">
        <f>IF(AND(AS$9+6&gt;=$D49,AS$9&lt;=$E49),1,"")</f>
        <v/>
      </c>
      <c r="AT49">
        <f>IF(AND(AT$9+6&gt;=$D49,AT$9&lt;=$E49),1,"")</f>
        <v/>
      </c>
      <c r="AU49">
        <f>IF(AND(AU$9+6&gt;=$D49,AU$9&lt;=$E49),1,"")</f>
        <v/>
      </c>
      <c r="AV49">
        <f>IF(AND(AV$9+6&gt;=$D49,AV$9&lt;=$E49),1,"")</f>
        <v/>
      </c>
      <c r="AW49">
        <f>IF(AND(AW$9+6&gt;=$D49,AW$9&lt;=$E49),1,"")</f>
        <v/>
      </c>
      <c r="AX49">
        <f>IF(AND(AX$9+6&gt;=$D49,AX$9&lt;=$E49),1,"")</f>
        <v/>
      </c>
      <c r="AY49">
        <f>IF(AND(AY$9+6&gt;=$D49,AY$9&lt;=$E49),1,"")</f>
        <v/>
      </c>
      <c r="AZ49">
        <f>IF(AND(AZ$9+6&gt;=$D49,AZ$9&lt;=$E49),1,"")</f>
        <v/>
      </c>
      <c r="BA49">
        <f>IF(AND(BA$9+6&gt;=$D49,BA$9&lt;=$E49),1,"")</f>
        <v/>
      </c>
      <c r="BB49">
        <f>IF(AND(BB$9+6&gt;=$D49,BB$9&lt;=$E49),1,"")</f>
        <v/>
      </c>
      <c r="BC49">
        <f>IF(AND(BC$9+6&gt;=$D49,BC$9&lt;=$E49),1,"")</f>
        <v/>
      </c>
      <c r="BD49">
        <f>IF(AND(BD$9+6&gt;=$D49,BD$9&lt;=$E49),1,"")</f>
        <v/>
      </c>
      <c r="BE49">
        <f>IF(AND(BE$9+6&gt;=$D49,BE$9&lt;=$E49),1,"")</f>
        <v/>
      </c>
      <c r="BF49">
        <f>IF(AND(BF$9+6&gt;=$D49,BF$9&lt;=$E49),1,"")</f>
        <v/>
      </c>
      <c r="BG49">
        <f>IF(AND(BG$9+6&gt;=$D49,BG$9&lt;=$E49),1,"")</f>
        <v/>
      </c>
    </row>
  </sheetData>
  <conditionalFormatting sqref="L10:BG49">
    <cfRule type="cellIs" priority="1" operator="equal" dxfId="0">
      <formula>1</formula>
    </cfRule>
  </conditionalFormatting>
  <conditionalFormatting sqref="L9:BG9">
    <cfRule type="cellIs" priority="2" operator="between" dxfId="1">
      <formula>TODAY()-6</formula>
      <formula>TODAY()</formula>
    </cfRule>
  </conditionalFormatting>
  <dataValidations count="1">
    <dataValidation sqref="K10:K49" showDropDown="0" showInputMessage="0" showErrorMessage="0" allowBlank="1" errorTitle="Invalid entry" error="Please select from the dropdown" type="list">
      <formula1>"Not yet started,In progress,Complete,On hold,N/A"</formula1>
    </dataValidation>
  </dataValidation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J59"/>
  <sheetViews>
    <sheetView showGridLines="0" workbookViewId="0">
      <selection activeCell="A1" sqref="A1"/>
    </sheetView>
  </sheetViews>
  <sheetFormatPr baseColWidth="8" defaultRowHeight="15"/>
  <cols>
    <col width="4" customWidth="1" min="1" max="1"/>
    <col width="26" customWidth="1" min="2" max="2"/>
    <col width="30" customWidth="1" min="3" max="3"/>
    <col width="14" customWidth="1" min="4" max="4"/>
    <col width="12" customWidth="1" min="5" max="5"/>
    <col width="14" customWidth="1" min="6" max="6"/>
    <col width="20" customWidth="1" min="7" max="7"/>
    <col width="50" customWidth="1" min="8" max="8"/>
    <col width="11" customWidth="1" min="9" max="9"/>
    <col width="36" customWidth="1" min="10" max="10"/>
  </cols>
  <sheetData>
    <row r="1">
      <c r="A1" s="1" t="inlineStr">
        <is>
          <t>↑</t>
        </is>
      </c>
      <c r="B1" s="2" t="inlineStr">
        <is>
          <t>2026 Sustainability Report</t>
        </is>
      </c>
    </row>
    <row r="2">
      <c r="B2" s="3" t="inlineStr">
        <is>
          <t>P3. Comms + web build to-do list</t>
        </is>
      </c>
    </row>
    <row r="4">
      <c r="B4" t="inlineStr">
        <is>
          <t>Track comms, web build and design tasks. Priority: Low / Medium / High / Urgent.</t>
        </is>
      </c>
    </row>
    <row r="6">
      <c r="B6" s="6" t="inlineStr">
        <is>
          <t>Report component or page</t>
        </is>
      </c>
      <c r="C6" s="6" t="inlineStr">
        <is>
          <t>Case study/content name</t>
        </is>
      </c>
      <c r="D6" s="6" t="inlineStr">
        <is>
          <t>Lead</t>
        </is>
      </c>
      <c r="E6" s="6" t="inlineStr">
        <is>
          <t>Priority level</t>
        </is>
      </c>
      <c r="F6" s="6" t="inlineStr">
        <is>
          <t>Agreed deadline</t>
        </is>
      </c>
      <c r="G6" s="6" t="inlineStr">
        <is>
          <t>Action needed</t>
        </is>
      </c>
      <c r="H6" s="6" t="inlineStr">
        <is>
          <t>Details</t>
        </is>
      </c>
      <c r="I6" s="6" t="inlineStr">
        <is>
          <t>Complete? (Y/N)</t>
        </is>
      </c>
      <c r="J6" s="6" t="inlineStr">
        <is>
          <t>Updates/blockers/FYI</t>
        </is>
      </c>
    </row>
    <row r="7">
      <c r="B7" s="8" t="inlineStr">
        <is>
          <t>Web – whole report</t>
        </is>
      </c>
      <c r="C7" s="8" t="inlineStr">
        <is>
          <t>Year-specific report URL</t>
        </is>
      </c>
      <c r="D7" s="8" t="inlineStr">
        <is>
          <t>Comms/digital</t>
        </is>
      </c>
      <c r="E7" s="8" t="inlineStr">
        <is>
          <t>High</t>
        </is>
      </c>
      <c r="F7" s="8" t="inlineStr"/>
      <c r="G7" s="8" t="inlineStr">
        <is>
          <t>Set up</t>
        </is>
      </c>
      <c r="H7" s="8" t="inlineStr">
        <is>
          <t>Use a year-specific URL (e.g. /sustainabilityreport/2026) and retain the central reports landing page (SR25 lesson).</t>
        </is>
      </c>
      <c r="I7" s="8" t="inlineStr"/>
      <c r="J7" s="8" t="inlineStr"/>
    </row>
    <row r="8">
      <c r="B8" s="8" t="inlineStr">
        <is>
          <t>Web – whole report</t>
        </is>
      </c>
      <c r="C8" s="8" t="inlineStr">
        <is>
          <t>Analytics measures</t>
        </is>
      </c>
      <c r="D8" s="8" t="inlineStr">
        <is>
          <t>Comms/digital</t>
        </is>
      </c>
      <c r="E8" s="8" t="inlineStr">
        <is>
          <t>High</t>
        </is>
      </c>
      <c r="F8" s="8" t="inlineStr"/>
      <c r="G8" s="8" t="inlineStr">
        <is>
          <t>Agree before launch</t>
        </is>
      </c>
      <c r="H8" s="8" t="inlineStr">
        <is>
          <t>Agree web sessions, users and views measures before launch so project close can report them.</t>
        </is>
      </c>
      <c r="I8" s="8" t="inlineStr"/>
      <c r="J8" s="8" t="inlineStr"/>
    </row>
    <row r="9">
      <c r="B9" s="8" t="inlineStr">
        <is>
          <t>Web – whole report</t>
        </is>
      </c>
      <c r="C9" s="8" t="inlineStr">
        <is>
          <t>Accessibility &amp; reviewer workflow testing</t>
        </is>
      </c>
      <c r="D9" s="8" t="inlineStr">
        <is>
          <t>Comms/digital</t>
        </is>
      </c>
      <c r="E9" s="8" t="inlineStr">
        <is>
          <t>High</t>
        </is>
      </c>
      <c r="F9" s="8" t="inlineStr"/>
      <c r="G9" s="8" t="inlineStr">
        <is>
          <t>Test</t>
        </is>
      </c>
      <c r="H9" s="8" t="inlineStr">
        <is>
          <t>Navigation, links, mobile usability, accessibility, reviewer workflows – before governance approval.</t>
        </is>
      </c>
      <c r="I9" s="8" t="inlineStr"/>
      <c r="J9" s="8" t="inlineStr"/>
    </row>
    <row r="10">
      <c r="B10" s="8" t="inlineStr">
        <is>
          <t>Report introduction</t>
        </is>
      </c>
      <c r="C10" s="8" t="inlineStr">
        <is>
          <t>Transition-year framing</t>
        </is>
      </c>
      <c r="D10" s="8" t="inlineStr">
        <is>
          <t>SST</t>
        </is>
      </c>
      <c r="E10" s="8" t="inlineStr">
        <is>
          <t>High</t>
        </is>
      </c>
      <c r="F10" s="8" t="inlineStr"/>
      <c r="G10" s="8" t="inlineStr">
        <is>
          <t>Draft</t>
        </is>
      </c>
      <c r="H10" s="8" t="inlineStr">
        <is>
          <t>Explain former SP2030 vs Sustainability 2030 (launched ~20 Oct 2026).</t>
        </is>
      </c>
      <c r="I10" s="8" t="inlineStr"/>
      <c r="J10" s="8" t="inlineStr"/>
    </row>
    <row r="11">
      <c r="B11" s="8" t="inlineStr">
        <is>
          <t>Whole report</t>
        </is>
      </c>
      <c r="C11" s="8" t="inlineStr">
        <is>
          <t>Whole-report review</t>
        </is>
      </c>
      <c r="D11" s="8" t="inlineStr">
        <is>
          <t>Strategic Comms</t>
        </is>
      </c>
      <c r="E11" s="8" t="inlineStr">
        <is>
          <t>High</t>
        </is>
      </c>
      <c r="F11" s="8" t="inlineStr"/>
      <c r="G11" s="8" t="inlineStr">
        <is>
          <t>Schedule</t>
        </is>
      </c>
      <c r="H11" s="8" t="inlineStr">
        <is>
          <t>Schedule early enough for material changes.</t>
        </is>
      </c>
      <c r="I11" s="8" t="inlineStr"/>
      <c r="J11" s="8" t="inlineStr"/>
    </row>
    <row r="12">
      <c r="B12" s="8" t="n"/>
      <c r="C12" s="8" t="n"/>
      <c r="D12" s="8" t="n"/>
      <c r="E12" s="8" t="n"/>
      <c r="F12" s="8" t="n"/>
      <c r="G12" s="8" t="n"/>
      <c r="H12" s="8" t="n"/>
      <c r="I12" s="8" t="n"/>
      <c r="J12" s="8" t="n"/>
    </row>
    <row r="13">
      <c r="B13" s="8" t="n"/>
      <c r="C13" s="8" t="n"/>
      <c r="D13" s="8" t="n"/>
      <c r="E13" s="8" t="n"/>
      <c r="F13" s="8" t="n"/>
      <c r="G13" s="8" t="n"/>
      <c r="H13" s="8" t="n"/>
      <c r="I13" s="8" t="n"/>
      <c r="J13" s="8" t="n"/>
    </row>
    <row r="14">
      <c r="B14" s="8" t="n"/>
      <c r="C14" s="8" t="n"/>
      <c r="D14" s="8" t="n"/>
      <c r="E14" s="8" t="n"/>
      <c r="F14" s="8" t="n"/>
      <c r="G14" s="8" t="n"/>
      <c r="H14" s="8" t="n"/>
      <c r="I14" s="8" t="n"/>
      <c r="J14" s="8" t="n"/>
    </row>
    <row r="15">
      <c r="B15" s="8" t="n"/>
      <c r="C15" s="8" t="n"/>
      <c r="D15" s="8" t="n"/>
      <c r="E15" s="8" t="n"/>
      <c r="F15" s="8" t="n"/>
      <c r="G15" s="8" t="n"/>
      <c r="H15" s="8" t="n"/>
      <c r="I15" s="8" t="n"/>
      <c r="J15" s="8" t="n"/>
    </row>
    <row r="16">
      <c r="B16" s="8" t="n"/>
      <c r="C16" s="8" t="n"/>
      <c r="D16" s="8" t="n"/>
      <c r="E16" s="8" t="n"/>
      <c r="F16" s="8" t="n"/>
      <c r="G16" s="8" t="n"/>
      <c r="H16" s="8" t="n"/>
      <c r="I16" s="8" t="n"/>
      <c r="J16" s="8" t="n"/>
    </row>
    <row r="17">
      <c r="B17" s="8" t="n"/>
      <c r="C17" s="8" t="n"/>
      <c r="D17" s="8" t="n"/>
      <c r="E17" s="8" t="n"/>
      <c r="F17" s="8" t="n"/>
      <c r="G17" s="8" t="n"/>
      <c r="H17" s="8" t="n"/>
      <c r="I17" s="8" t="n"/>
      <c r="J17" s="8" t="n"/>
    </row>
    <row r="18">
      <c r="B18" s="8" t="n"/>
      <c r="C18" s="8" t="n"/>
      <c r="D18" s="8" t="n"/>
      <c r="E18" s="8" t="n"/>
      <c r="F18" s="8" t="n"/>
      <c r="G18" s="8" t="n"/>
      <c r="H18" s="8" t="n"/>
      <c r="I18" s="8" t="n"/>
      <c r="J18" s="8" t="n"/>
    </row>
    <row r="19">
      <c r="B19" s="8" t="n"/>
      <c r="C19" s="8" t="n"/>
      <c r="D19" s="8" t="n"/>
      <c r="E19" s="8" t="n"/>
      <c r="F19" s="8" t="n"/>
      <c r="G19" s="8" t="n"/>
      <c r="H19" s="8" t="n"/>
      <c r="I19" s="8" t="n"/>
      <c r="J19" s="8" t="n"/>
    </row>
    <row r="20">
      <c r="B20" s="8" t="n"/>
      <c r="C20" s="8" t="n"/>
      <c r="D20" s="8" t="n"/>
      <c r="E20" s="8" t="n"/>
      <c r="F20" s="8" t="n"/>
      <c r="G20" s="8" t="n"/>
      <c r="H20" s="8" t="n"/>
      <c r="I20" s="8" t="n"/>
      <c r="J20" s="8" t="n"/>
    </row>
    <row r="21">
      <c r="B21" s="8" t="n"/>
      <c r="C21" s="8" t="n"/>
      <c r="D21" s="8" t="n"/>
      <c r="E21" s="8" t="n"/>
      <c r="F21" s="8" t="n"/>
      <c r="G21" s="8" t="n"/>
      <c r="H21" s="8" t="n"/>
      <c r="I21" s="8" t="n"/>
      <c r="J21" s="8" t="n"/>
    </row>
    <row r="22">
      <c r="B22" s="8" t="n"/>
      <c r="C22" s="8" t="n"/>
      <c r="D22" s="8" t="n"/>
      <c r="E22" s="8" t="n"/>
      <c r="F22" s="8" t="n"/>
      <c r="G22" s="8" t="n"/>
      <c r="H22" s="8" t="n"/>
      <c r="I22" s="8" t="n"/>
      <c r="J22" s="8" t="n"/>
    </row>
    <row r="23">
      <c r="B23" s="8" t="n"/>
      <c r="C23" s="8" t="n"/>
      <c r="D23" s="8" t="n"/>
      <c r="E23" s="8" t="n"/>
      <c r="F23" s="8" t="n"/>
      <c r="G23" s="8" t="n"/>
      <c r="H23" s="8" t="n"/>
      <c r="I23" s="8" t="n"/>
      <c r="J23" s="8" t="n"/>
    </row>
    <row r="24">
      <c r="B24" s="8" t="n"/>
      <c r="C24" s="8" t="n"/>
      <c r="D24" s="8" t="n"/>
      <c r="E24" s="8" t="n"/>
      <c r="F24" s="8" t="n"/>
      <c r="G24" s="8" t="n"/>
      <c r="H24" s="8" t="n"/>
      <c r="I24" s="8" t="n"/>
      <c r="J24" s="8" t="n"/>
    </row>
    <row r="25">
      <c r="B25" s="8" t="n"/>
      <c r="C25" s="8" t="n"/>
      <c r="D25" s="8" t="n"/>
      <c r="E25" s="8" t="n"/>
      <c r="F25" s="8" t="n"/>
      <c r="G25" s="8" t="n"/>
      <c r="H25" s="8" t="n"/>
      <c r="I25" s="8" t="n"/>
      <c r="J25" s="8" t="n"/>
    </row>
    <row r="26">
      <c r="B26" s="8" t="n"/>
      <c r="C26" s="8" t="n"/>
      <c r="D26" s="8" t="n"/>
      <c r="E26" s="8" t="n"/>
      <c r="F26" s="8" t="n"/>
      <c r="G26" s="8" t="n"/>
      <c r="H26" s="8" t="n"/>
      <c r="I26" s="8" t="n"/>
      <c r="J26" s="8" t="n"/>
    </row>
    <row r="27">
      <c r="B27" s="8" t="n"/>
      <c r="C27" s="8" t="n"/>
      <c r="D27" s="8" t="n"/>
      <c r="E27" s="8" t="n"/>
      <c r="F27" s="8" t="n"/>
      <c r="G27" s="8" t="n"/>
      <c r="H27" s="8" t="n"/>
      <c r="I27" s="8" t="n"/>
      <c r="J27" s="8" t="n"/>
    </row>
    <row r="28">
      <c r="B28" s="8" t="n"/>
      <c r="C28" s="8" t="n"/>
      <c r="D28" s="8" t="n"/>
      <c r="E28" s="8" t="n"/>
      <c r="F28" s="8" t="n"/>
      <c r="G28" s="8" t="n"/>
      <c r="H28" s="8" t="n"/>
      <c r="I28" s="8" t="n"/>
      <c r="J28" s="8" t="n"/>
    </row>
    <row r="29">
      <c r="B29" s="8" t="n"/>
      <c r="C29" s="8" t="n"/>
      <c r="D29" s="8" t="n"/>
      <c r="E29" s="8" t="n"/>
      <c r="F29" s="8" t="n"/>
      <c r="G29" s="8" t="n"/>
      <c r="H29" s="8" t="n"/>
      <c r="I29" s="8" t="n"/>
      <c r="J29" s="8" t="n"/>
    </row>
    <row r="30">
      <c r="B30" s="8" t="n"/>
      <c r="C30" s="8" t="n"/>
      <c r="D30" s="8" t="n"/>
      <c r="E30" s="8" t="n"/>
      <c r="F30" s="8" t="n"/>
      <c r="G30" s="8" t="n"/>
      <c r="H30" s="8" t="n"/>
      <c r="I30" s="8" t="n"/>
      <c r="J30" s="8" t="n"/>
    </row>
    <row r="31">
      <c r="B31" s="8" t="n"/>
      <c r="C31" s="8" t="n"/>
      <c r="D31" s="8" t="n"/>
      <c r="E31" s="8" t="n"/>
      <c r="F31" s="8" t="n"/>
      <c r="G31" s="8" t="n"/>
      <c r="H31" s="8" t="n"/>
      <c r="I31" s="8" t="n"/>
      <c r="J31" s="8" t="n"/>
    </row>
    <row r="32">
      <c r="B32" s="8" t="n"/>
      <c r="C32" s="8" t="n"/>
      <c r="D32" s="8" t="n"/>
      <c r="E32" s="8" t="n"/>
      <c r="F32" s="8" t="n"/>
      <c r="G32" s="8" t="n"/>
      <c r="H32" s="8" t="n"/>
      <c r="I32" s="8" t="n"/>
      <c r="J32" s="8" t="n"/>
    </row>
    <row r="33">
      <c r="B33" s="8" t="n"/>
      <c r="C33" s="8" t="n"/>
      <c r="D33" s="8" t="n"/>
      <c r="E33" s="8" t="n"/>
      <c r="F33" s="8" t="n"/>
      <c r="G33" s="8" t="n"/>
      <c r="H33" s="8" t="n"/>
      <c r="I33" s="8" t="n"/>
      <c r="J33" s="8" t="n"/>
    </row>
    <row r="34">
      <c r="B34" s="8" t="n"/>
      <c r="C34" s="8" t="n"/>
      <c r="D34" s="8" t="n"/>
      <c r="E34" s="8" t="n"/>
      <c r="F34" s="8" t="n"/>
      <c r="G34" s="8" t="n"/>
      <c r="H34" s="8" t="n"/>
      <c r="I34" s="8" t="n"/>
      <c r="J34" s="8" t="n"/>
    </row>
    <row r="35">
      <c r="B35" s="8" t="n"/>
      <c r="C35" s="8" t="n"/>
      <c r="D35" s="8" t="n"/>
      <c r="E35" s="8" t="n"/>
      <c r="F35" s="8" t="n"/>
      <c r="G35" s="8" t="n"/>
      <c r="H35" s="8" t="n"/>
      <c r="I35" s="8" t="n"/>
      <c r="J35" s="8" t="n"/>
    </row>
    <row r="36">
      <c r="B36" s="8" t="n"/>
      <c r="C36" s="8" t="n"/>
      <c r="D36" s="8" t="n"/>
      <c r="E36" s="8" t="n"/>
      <c r="F36" s="8" t="n"/>
      <c r="G36" s="8" t="n"/>
      <c r="H36" s="8" t="n"/>
      <c r="I36" s="8" t="n"/>
      <c r="J36" s="8" t="n"/>
    </row>
    <row r="37">
      <c r="B37" s="8" t="n"/>
      <c r="C37" s="8" t="n"/>
      <c r="D37" s="8" t="n"/>
      <c r="E37" s="8" t="n"/>
      <c r="F37" s="8" t="n"/>
      <c r="G37" s="8" t="n"/>
      <c r="H37" s="8" t="n"/>
      <c r="I37" s="8" t="n"/>
      <c r="J37" s="8" t="n"/>
    </row>
    <row r="38">
      <c r="B38" s="8" t="n"/>
      <c r="C38" s="8" t="n"/>
      <c r="D38" s="8" t="n"/>
      <c r="E38" s="8" t="n"/>
      <c r="F38" s="8" t="n"/>
      <c r="G38" s="8" t="n"/>
      <c r="H38" s="8" t="n"/>
      <c r="I38" s="8" t="n"/>
      <c r="J38" s="8" t="n"/>
    </row>
    <row r="39">
      <c r="B39" s="8" t="n"/>
      <c r="C39" s="8" t="n"/>
      <c r="D39" s="8" t="n"/>
      <c r="E39" s="8" t="n"/>
      <c r="F39" s="8" t="n"/>
      <c r="G39" s="8" t="n"/>
      <c r="H39" s="8" t="n"/>
      <c r="I39" s="8" t="n"/>
      <c r="J39" s="8" t="n"/>
    </row>
    <row r="40">
      <c r="B40" s="8" t="n"/>
      <c r="C40" s="8" t="n"/>
      <c r="D40" s="8" t="n"/>
      <c r="E40" s="8" t="n"/>
      <c r="F40" s="8" t="n"/>
      <c r="G40" s="8" t="n"/>
      <c r="H40" s="8" t="n"/>
      <c r="I40" s="8" t="n"/>
      <c r="J40" s="8" t="n"/>
    </row>
    <row r="41">
      <c r="B41" s="8" t="n"/>
      <c r="C41" s="8" t="n"/>
      <c r="D41" s="8" t="n"/>
      <c r="E41" s="8" t="n"/>
      <c r="F41" s="8" t="n"/>
      <c r="G41" s="8" t="n"/>
      <c r="H41" s="8" t="n"/>
      <c r="I41" s="8" t="n"/>
      <c r="J41" s="8" t="n"/>
    </row>
    <row r="42">
      <c r="B42" s="8" t="n"/>
      <c r="C42" s="8" t="n"/>
      <c r="D42" s="8" t="n"/>
      <c r="E42" s="8" t="n"/>
      <c r="F42" s="8" t="n"/>
      <c r="G42" s="8" t="n"/>
      <c r="H42" s="8" t="n"/>
      <c r="I42" s="8" t="n"/>
      <c r="J42" s="8" t="n"/>
    </row>
    <row r="43">
      <c r="B43" s="8" t="n"/>
      <c r="C43" s="8" t="n"/>
      <c r="D43" s="8" t="n"/>
      <c r="E43" s="8" t="n"/>
      <c r="F43" s="8" t="n"/>
      <c r="G43" s="8" t="n"/>
      <c r="H43" s="8" t="n"/>
      <c r="I43" s="8" t="n"/>
      <c r="J43" s="8" t="n"/>
    </row>
    <row r="44">
      <c r="B44" s="8" t="n"/>
      <c r="C44" s="8" t="n"/>
      <c r="D44" s="8" t="n"/>
      <c r="E44" s="8" t="n"/>
      <c r="F44" s="8" t="n"/>
      <c r="G44" s="8" t="n"/>
      <c r="H44" s="8" t="n"/>
      <c r="I44" s="8" t="n"/>
      <c r="J44" s="8" t="n"/>
    </row>
    <row r="45">
      <c r="B45" s="8" t="n"/>
      <c r="C45" s="8" t="n"/>
      <c r="D45" s="8" t="n"/>
      <c r="E45" s="8" t="n"/>
      <c r="F45" s="8" t="n"/>
      <c r="G45" s="8" t="n"/>
      <c r="H45" s="8" t="n"/>
      <c r="I45" s="8" t="n"/>
      <c r="J45" s="8" t="n"/>
    </row>
    <row r="46">
      <c r="B46" s="8" t="n"/>
      <c r="C46" s="8" t="n"/>
      <c r="D46" s="8" t="n"/>
      <c r="E46" s="8" t="n"/>
      <c r="F46" s="8" t="n"/>
      <c r="G46" s="8" t="n"/>
      <c r="H46" s="8" t="n"/>
      <c r="I46" s="8" t="n"/>
      <c r="J46" s="8" t="n"/>
    </row>
    <row r="47">
      <c r="B47" s="8" t="n"/>
      <c r="C47" s="8" t="n"/>
      <c r="D47" s="8" t="n"/>
      <c r="E47" s="8" t="n"/>
      <c r="F47" s="8" t="n"/>
      <c r="G47" s="8" t="n"/>
      <c r="H47" s="8" t="n"/>
      <c r="I47" s="8" t="n"/>
      <c r="J47" s="8" t="n"/>
    </row>
    <row r="48">
      <c r="B48" s="8" t="n"/>
      <c r="C48" s="8" t="n"/>
      <c r="D48" s="8" t="n"/>
      <c r="E48" s="8" t="n"/>
      <c r="F48" s="8" t="n"/>
      <c r="G48" s="8" t="n"/>
      <c r="H48" s="8" t="n"/>
      <c r="I48" s="8" t="n"/>
      <c r="J48" s="8" t="n"/>
    </row>
    <row r="49">
      <c r="B49" s="8" t="n"/>
      <c r="C49" s="8" t="n"/>
      <c r="D49" s="8" t="n"/>
      <c r="E49" s="8" t="n"/>
      <c r="F49" s="8" t="n"/>
      <c r="G49" s="8" t="n"/>
      <c r="H49" s="8" t="n"/>
      <c r="I49" s="8" t="n"/>
      <c r="J49" s="8" t="n"/>
    </row>
    <row r="50">
      <c r="B50" s="8" t="n"/>
      <c r="C50" s="8" t="n"/>
      <c r="D50" s="8" t="n"/>
      <c r="E50" s="8" t="n"/>
      <c r="F50" s="8" t="n"/>
      <c r="G50" s="8" t="n"/>
      <c r="H50" s="8" t="n"/>
      <c r="I50" s="8" t="n"/>
      <c r="J50" s="8" t="n"/>
    </row>
    <row r="51">
      <c r="B51" s="8" t="n"/>
      <c r="C51" s="8" t="n"/>
      <c r="D51" s="8" t="n"/>
      <c r="E51" s="8" t="n"/>
      <c r="F51" s="8" t="n"/>
      <c r="G51" s="8" t="n"/>
      <c r="H51" s="8" t="n"/>
      <c r="I51" s="8" t="n"/>
      <c r="J51" s="8" t="n"/>
    </row>
    <row r="52">
      <c r="B52" s="8" t="n"/>
      <c r="C52" s="8" t="n"/>
      <c r="D52" s="8" t="n"/>
      <c r="E52" s="8" t="n"/>
      <c r="F52" s="8" t="n"/>
      <c r="G52" s="8" t="n"/>
      <c r="H52" s="8" t="n"/>
      <c r="I52" s="8" t="n"/>
      <c r="J52" s="8" t="n"/>
    </row>
    <row r="53">
      <c r="B53" s="8" t="n"/>
      <c r="C53" s="8" t="n"/>
      <c r="D53" s="8" t="n"/>
      <c r="E53" s="8" t="n"/>
      <c r="F53" s="8" t="n"/>
      <c r="G53" s="8" t="n"/>
      <c r="H53" s="8" t="n"/>
      <c r="I53" s="8" t="n"/>
      <c r="J53" s="8" t="n"/>
    </row>
    <row r="54">
      <c r="B54" s="8" t="n"/>
      <c r="C54" s="8" t="n"/>
      <c r="D54" s="8" t="n"/>
      <c r="E54" s="8" t="n"/>
      <c r="F54" s="8" t="n"/>
      <c r="G54" s="8" t="n"/>
      <c r="H54" s="8" t="n"/>
      <c r="I54" s="8" t="n"/>
      <c r="J54" s="8" t="n"/>
    </row>
    <row r="55">
      <c r="B55" s="8" t="n"/>
      <c r="C55" s="8" t="n"/>
      <c r="D55" s="8" t="n"/>
      <c r="E55" s="8" t="n"/>
      <c r="F55" s="8" t="n"/>
      <c r="G55" s="8" t="n"/>
      <c r="H55" s="8" t="n"/>
      <c r="I55" s="8" t="n"/>
      <c r="J55" s="8" t="n"/>
    </row>
    <row r="56">
      <c r="B56" s="8" t="n"/>
      <c r="C56" s="8" t="n"/>
      <c r="D56" s="8" t="n"/>
      <c r="E56" s="8" t="n"/>
      <c r="F56" s="8" t="n"/>
      <c r="G56" s="8" t="n"/>
      <c r="H56" s="8" t="n"/>
      <c r="I56" s="8" t="n"/>
      <c r="J56" s="8" t="n"/>
    </row>
    <row r="57">
      <c r="B57" s="8" t="n"/>
      <c r="C57" s="8" t="n"/>
      <c r="D57" s="8" t="n"/>
      <c r="E57" s="8" t="n"/>
      <c r="F57" s="8" t="n"/>
      <c r="G57" s="8" t="n"/>
      <c r="H57" s="8" t="n"/>
      <c r="I57" s="8" t="n"/>
      <c r="J57" s="8" t="n"/>
    </row>
    <row r="58">
      <c r="B58" s="8" t="n"/>
      <c r="C58" s="8" t="n"/>
      <c r="D58" s="8" t="n"/>
      <c r="E58" s="8" t="n"/>
      <c r="F58" s="8" t="n"/>
      <c r="G58" s="8" t="n"/>
      <c r="H58" s="8" t="n"/>
      <c r="I58" s="8" t="n"/>
      <c r="J58" s="8" t="n"/>
    </row>
    <row r="59">
      <c r="B59" s="8" t="n"/>
      <c r="C59" s="8" t="n"/>
      <c r="D59" s="8" t="n"/>
      <c r="E59" s="8" t="n"/>
      <c r="F59" s="8" t="n"/>
      <c r="G59" s="8" t="n"/>
      <c r="H59" s="8" t="n"/>
      <c r="I59" s="8" t="n"/>
      <c r="J59" s="8" t="n"/>
    </row>
  </sheetData>
  <dataValidations count="2">
    <dataValidation sqref="E7:E59" showDropDown="0" showInputMessage="0" showErrorMessage="0" allowBlank="1" errorTitle="Invalid entry" error="Please select from the dropdown" type="list">
      <formula1>"Low,Medium,High,Urgent"</formula1>
    </dataValidation>
    <dataValidation sqref="I7:I59" showDropDown="0" showInputMessage="0" showErrorMessage="0" allowBlank="1" errorTitle="Invalid entry" error="Please select from the dropdown" type="list">
      <formula1>"Y,N"</formula1>
    </dataValidation>
  </dataValidation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U66"/>
  <sheetViews>
    <sheetView showGridLines="0" workbookViewId="0">
      <pane xSplit="3" ySplit="6" topLeftCell="D7" activePane="bottomRight" state="frozen"/>
      <selection pane="topRight"/>
      <selection pane="bottomLeft"/>
      <selection pane="bottomRight" activeCell="A1" sqref="A1"/>
    </sheetView>
  </sheetViews>
  <sheetFormatPr baseColWidth="8" defaultRowHeight="15"/>
  <cols>
    <col width="4" customWidth="1" min="1" max="1"/>
    <col width="24" customWidth="1" min="2" max="2"/>
    <col width="34" customWidth="1" min="3" max="3"/>
    <col width="18"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s>
  <sheetData>
    <row r="1">
      <c r="A1" s="1" t="inlineStr">
        <is>
          <t>↑</t>
        </is>
      </c>
      <c r="B1" s="2" t="inlineStr">
        <is>
          <t>2026 Sustainability Report</t>
        </is>
      </c>
    </row>
    <row r="2">
      <c r="B2" s="3" t="inlineStr">
        <is>
          <t>P4. Content contributor checklist</t>
        </is>
      </c>
    </row>
    <row r="4">
      <c r="B4" t="inlineStr">
        <is>
          <t>Stakeholder management for report content: review by contributors, images, credits and captions, post-launch follow-up.</t>
        </is>
      </c>
    </row>
    <row r="6">
      <c r="B6" s="6" t="inlineStr">
        <is>
          <t>Report section</t>
        </is>
      </c>
      <c r="C6" s="6" t="inlineStr">
        <is>
          <t>Case study</t>
        </is>
      </c>
      <c r="D6" s="6" t="inlineStr">
        <is>
          <t>Activity areas</t>
        </is>
      </c>
      <c r="E6" s="6" t="inlineStr">
        <is>
          <t>Review required? (Y/N)</t>
        </is>
      </c>
      <c r="F6" s="6" t="inlineStr">
        <is>
          <t>Content contributors</t>
        </is>
      </c>
      <c r="G6" s="6" t="inlineStr">
        <is>
          <t>Project team liaison</t>
        </is>
      </c>
      <c r="H6" s="6" t="inlineStr">
        <is>
          <t>Sent for review (date)</t>
        </is>
      </c>
      <c r="I6" s="6" t="inlineStr">
        <is>
          <t>Changes required? (Y/N)</t>
        </is>
      </c>
      <c r="J6" s="6" t="inlineStr">
        <is>
          <t>SR26 draft updated? (Y/N)</t>
        </is>
      </c>
      <c r="K6" s="6" t="inlineStr">
        <is>
          <t>SR26 website updated? (Y/N)</t>
        </is>
      </c>
      <c r="L6" s="6" t="inlineStr">
        <is>
          <t>Images shared? (Y/N)</t>
        </is>
      </c>
      <c r="M6" s="6" t="inlineStr">
        <is>
          <t>Image URL</t>
        </is>
      </c>
      <c r="N6" s="6" t="inlineStr">
        <is>
          <t>Known image gap</t>
        </is>
      </c>
      <c r="O6" s="6" t="inlineStr">
        <is>
          <t>Credit noted?</t>
        </is>
      </c>
      <c r="P6" s="6" t="inlineStr">
        <is>
          <t>Caption text</t>
        </is>
      </c>
      <c r="Q6" s="6" t="inlineStr">
        <is>
          <t>Permission to publish confirmed?</t>
        </is>
      </c>
      <c r="R6" s="6" t="inlineStr">
        <is>
          <t>Post-launch: send to</t>
        </is>
      </c>
      <c r="S6" s="6" t="inlineStr">
        <is>
          <t>CC</t>
        </is>
      </c>
      <c r="T6" s="6" t="inlineStr">
        <is>
          <t>Sent (date)</t>
        </is>
      </c>
      <c r="U6" s="6" t="inlineStr">
        <is>
          <t>Complete? (Y/N)</t>
        </is>
      </c>
    </row>
    <row r="7">
      <c r="B7" s="8" t="n"/>
      <c r="C7" s="8" t="n"/>
      <c r="D7" s="8" t="n"/>
      <c r="E7" s="8" t="n"/>
      <c r="F7" s="8" t="n"/>
      <c r="G7" s="8" t="n"/>
      <c r="H7" s="8" t="n"/>
      <c r="I7" s="8" t="n"/>
      <c r="J7" s="8" t="n"/>
      <c r="K7" s="8" t="n"/>
      <c r="L7" s="8" t="n"/>
      <c r="M7" s="8" t="n"/>
      <c r="N7" s="8" t="n"/>
      <c r="O7" s="8" t="n"/>
      <c r="P7" s="8" t="n"/>
      <c r="Q7" s="8" t="n"/>
      <c r="R7" s="8" t="n"/>
      <c r="S7" s="8" t="n"/>
      <c r="T7" s="8" t="n"/>
      <c r="U7" s="8" t="n"/>
    </row>
    <row r="8">
      <c r="B8" s="8" t="n"/>
      <c r="C8" s="8" t="n"/>
      <c r="D8" s="8" t="n"/>
      <c r="E8" s="8" t="n"/>
      <c r="F8" s="8" t="n"/>
      <c r="G8" s="8" t="n"/>
      <c r="H8" s="8" t="n"/>
      <c r="I8" s="8" t="n"/>
      <c r="J8" s="8" t="n"/>
      <c r="K8" s="8" t="n"/>
      <c r="L8" s="8" t="n"/>
      <c r="M8" s="8" t="n"/>
      <c r="N8" s="8" t="n"/>
      <c r="O8" s="8" t="n"/>
      <c r="P8" s="8" t="n"/>
      <c r="Q8" s="8" t="n"/>
      <c r="R8" s="8" t="n"/>
      <c r="S8" s="8" t="n"/>
      <c r="T8" s="8" t="n"/>
      <c r="U8" s="8" t="n"/>
    </row>
    <row r="9">
      <c r="B9" s="8" t="n"/>
      <c r="C9" s="8" t="n"/>
      <c r="D9" s="8" t="n"/>
      <c r="E9" s="8" t="n"/>
      <c r="F9" s="8" t="n"/>
      <c r="G9" s="8" t="n"/>
      <c r="H9" s="8" t="n"/>
      <c r="I9" s="8" t="n"/>
      <c r="J9" s="8" t="n"/>
      <c r="K9" s="8" t="n"/>
      <c r="L9" s="8" t="n"/>
      <c r="M9" s="8" t="n"/>
      <c r="N9" s="8" t="n"/>
      <c r="O9" s="8" t="n"/>
      <c r="P9" s="8" t="n"/>
      <c r="Q9" s="8" t="n"/>
      <c r="R9" s="8" t="n"/>
      <c r="S9" s="8" t="n"/>
      <c r="T9" s="8" t="n"/>
      <c r="U9" s="8" t="n"/>
    </row>
    <row r="10">
      <c r="B10" s="8" t="n"/>
      <c r="C10" s="8" t="n"/>
      <c r="D10" s="8" t="n"/>
      <c r="E10" s="8" t="n"/>
      <c r="F10" s="8" t="n"/>
      <c r="G10" s="8" t="n"/>
      <c r="H10" s="8" t="n"/>
      <c r="I10" s="8" t="n"/>
      <c r="J10" s="8" t="n"/>
      <c r="K10" s="8" t="n"/>
      <c r="L10" s="8" t="n"/>
      <c r="M10" s="8" t="n"/>
      <c r="N10" s="8" t="n"/>
      <c r="O10" s="8" t="n"/>
      <c r="P10" s="8" t="n"/>
      <c r="Q10" s="8" t="n"/>
      <c r="R10" s="8" t="n"/>
      <c r="S10" s="8" t="n"/>
      <c r="T10" s="8" t="n"/>
      <c r="U10" s="8" t="n"/>
    </row>
    <row r="11">
      <c r="B11" s="8" t="n"/>
      <c r="C11" s="8" t="n"/>
      <c r="D11" s="8" t="n"/>
      <c r="E11" s="8" t="n"/>
      <c r="F11" s="8" t="n"/>
      <c r="G11" s="8" t="n"/>
      <c r="H11" s="8" t="n"/>
      <c r="I11" s="8" t="n"/>
      <c r="J11" s="8" t="n"/>
      <c r="K11" s="8" t="n"/>
      <c r="L11" s="8" t="n"/>
      <c r="M11" s="8" t="n"/>
      <c r="N11" s="8" t="n"/>
      <c r="O11" s="8" t="n"/>
      <c r="P11" s="8" t="n"/>
      <c r="Q11" s="8" t="n"/>
      <c r="R11" s="8" t="n"/>
      <c r="S11" s="8" t="n"/>
      <c r="T11" s="8" t="n"/>
      <c r="U11" s="8" t="n"/>
    </row>
    <row r="12">
      <c r="B12" s="8" t="n"/>
      <c r="C12" s="8" t="n"/>
      <c r="D12" s="8" t="n"/>
      <c r="E12" s="8" t="n"/>
      <c r="F12" s="8" t="n"/>
      <c r="G12" s="8" t="n"/>
      <c r="H12" s="8" t="n"/>
      <c r="I12" s="8" t="n"/>
      <c r="J12" s="8" t="n"/>
      <c r="K12" s="8" t="n"/>
      <c r="L12" s="8" t="n"/>
      <c r="M12" s="8" t="n"/>
      <c r="N12" s="8" t="n"/>
      <c r="O12" s="8" t="n"/>
      <c r="P12" s="8" t="n"/>
      <c r="Q12" s="8" t="n"/>
      <c r="R12" s="8" t="n"/>
      <c r="S12" s="8" t="n"/>
      <c r="T12" s="8" t="n"/>
      <c r="U12" s="8" t="n"/>
    </row>
    <row r="13">
      <c r="B13" s="8" t="n"/>
      <c r="C13" s="8" t="n"/>
      <c r="D13" s="8" t="n"/>
      <c r="E13" s="8" t="n"/>
      <c r="F13" s="8" t="n"/>
      <c r="G13" s="8" t="n"/>
      <c r="H13" s="8" t="n"/>
      <c r="I13" s="8" t="n"/>
      <c r="J13" s="8" t="n"/>
      <c r="K13" s="8" t="n"/>
      <c r="L13" s="8" t="n"/>
      <c r="M13" s="8" t="n"/>
      <c r="N13" s="8" t="n"/>
      <c r="O13" s="8" t="n"/>
      <c r="P13" s="8" t="n"/>
      <c r="Q13" s="8" t="n"/>
      <c r="R13" s="8" t="n"/>
      <c r="S13" s="8" t="n"/>
      <c r="T13" s="8" t="n"/>
      <c r="U13" s="8" t="n"/>
    </row>
    <row r="14">
      <c r="B14" s="8" t="n"/>
      <c r="C14" s="8" t="n"/>
      <c r="D14" s="8" t="n"/>
      <c r="E14" s="8" t="n"/>
      <c r="F14" s="8" t="n"/>
      <c r="G14" s="8" t="n"/>
      <c r="H14" s="8" t="n"/>
      <c r="I14" s="8" t="n"/>
      <c r="J14" s="8" t="n"/>
      <c r="K14" s="8" t="n"/>
      <c r="L14" s="8" t="n"/>
      <c r="M14" s="8" t="n"/>
      <c r="N14" s="8" t="n"/>
      <c r="O14" s="8" t="n"/>
      <c r="P14" s="8" t="n"/>
      <c r="Q14" s="8" t="n"/>
      <c r="R14" s="8" t="n"/>
      <c r="S14" s="8" t="n"/>
      <c r="T14" s="8" t="n"/>
      <c r="U14" s="8" t="n"/>
    </row>
    <row r="15">
      <c r="B15" s="8" t="n"/>
      <c r="C15" s="8" t="n"/>
      <c r="D15" s="8" t="n"/>
      <c r="E15" s="8" t="n"/>
      <c r="F15" s="8" t="n"/>
      <c r="G15" s="8" t="n"/>
      <c r="H15" s="8" t="n"/>
      <c r="I15" s="8" t="n"/>
      <c r="J15" s="8" t="n"/>
      <c r="K15" s="8" t="n"/>
      <c r="L15" s="8" t="n"/>
      <c r="M15" s="8" t="n"/>
      <c r="N15" s="8" t="n"/>
      <c r="O15" s="8" t="n"/>
      <c r="P15" s="8" t="n"/>
      <c r="Q15" s="8" t="n"/>
      <c r="R15" s="8" t="n"/>
      <c r="S15" s="8" t="n"/>
      <c r="T15" s="8" t="n"/>
      <c r="U15" s="8" t="n"/>
    </row>
    <row r="16">
      <c r="B16" s="8" t="n"/>
      <c r="C16" s="8" t="n"/>
      <c r="D16" s="8" t="n"/>
      <c r="E16" s="8" t="n"/>
      <c r="F16" s="8" t="n"/>
      <c r="G16" s="8" t="n"/>
      <c r="H16" s="8" t="n"/>
      <c r="I16" s="8" t="n"/>
      <c r="J16" s="8" t="n"/>
      <c r="K16" s="8" t="n"/>
      <c r="L16" s="8" t="n"/>
      <c r="M16" s="8" t="n"/>
      <c r="N16" s="8" t="n"/>
      <c r="O16" s="8" t="n"/>
      <c r="P16" s="8" t="n"/>
      <c r="Q16" s="8" t="n"/>
      <c r="R16" s="8" t="n"/>
      <c r="S16" s="8" t="n"/>
      <c r="T16" s="8" t="n"/>
      <c r="U16" s="8" t="n"/>
    </row>
    <row r="17">
      <c r="B17" s="8" t="n"/>
      <c r="C17" s="8" t="n"/>
      <c r="D17" s="8" t="n"/>
      <c r="E17" s="8" t="n"/>
      <c r="F17" s="8" t="n"/>
      <c r="G17" s="8" t="n"/>
      <c r="H17" s="8" t="n"/>
      <c r="I17" s="8" t="n"/>
      <c r="J17" s="8" t="n"/>
      <c r="K17" s="8" t="n"/>
      <c r="L17" s="8" t="n"/>
      <c r="M17" s="8" t="n"/>
      <c r="N17" s="8" t="n"/>
      <c r="O17" s="8" t="n"/>
      <c r="P17" s="8" t="n"/>
      <c r="Q17" s="8" t="n"/>
      <c r="R17" s="8" t="n"/>
      <c r="S17" s="8" t="n"/>
      <c r="T17" s="8" t="n"/>
      <c r="U17" s="8" t="n"/>
    </row>
    <row r="18">
      <c r="B18" s="8" t="n"/>
      <c r="C18" s="8" t="n"/>
      <c r="D18" s="8" t="n"/>
      <c r="E18" s="8" t="n"/>
      <c r="F18" s="8" t="n"/>
      <c r="G18" s="8" t="n"/>
      <c r="H18" s="8" t="n"/>
      <c r="I18" s="8" t="n"/>
      <c r="J18" s="8" t="n"/>
      <c r="K18" s="8" t="n"/>
      <c r="L18" s="8" t="n"/>
      <c r="M18" s="8" t="n"/>
      <c r="N18" s="8" t="n"/>
      <c r="O18" s="8" t="n"/>
      <c r="P18" s="8" t="n"/>
      <c r="Q18" s="8" t="n"/>
      <c r="R18" s="8" t="n"/>
      <c r="S18" s="8" t="n"/>
      <c r="T18" s="8" t="n"/>
      <c r="U18" s="8" t="n"/>
    </row>
    <row r="19">
      <c r="B19" s="8" t="n"/>
      <c r="C19" s="8" t="n"/>
      <c r="D19" s="8" t="n"/>
      <c r="E19" s="8" t="n"/>
      <c r="F19" s="8" t="n"/>
      <c r="G19" s="8" t="n"/>
      <c r="H19" s="8" t="n"/>
      <c r="I19" s="8" t="n"/>
      <c r="J19" s="8" t="n"/>
      <c r="K19" s="8" t="n"/>
      <c r="L19" s="8" t="n"/>
      <c r="M19" s="8" t="n"/>
      <c r="N19" s="8" t="n"/>
      <c r="O19" s="8" t="n"/>
      <c r="P19" s="8" t="n"/>
      <c r="Q19" s="8" t="n"/>
      <c r="R19" s="8" t="n"/>
      <c r="S19" s="8" t="n"/>
      <c r="T19" s="8" t="n"/>
      <c r="U19" s="8" t="n"/>
    </row>
    <row r="20">
      <c r="B20" s="8" t="n"/>
      <c r="C20" s="8" t="n"/>
      <c r="D20" s="8" t="n"/>
      <c r="E20" s="8" t="n"/>
      <c r="F20" s="8" t="n"/>
      <c r="G20" s="8" t="n"/>
      <c r="H20" s="8" t="n"/>
      <c r="I20" s="8" t="n"/>
      <c r="J20" s="8" t="n"/>
      <c r="K20" s="8" t="n"/>
      <c r="L20" s="8" t="n"/>
      <c r="M20" s="8" t="n"/>
      <c r="N20" s="8" t="n"/>
      <c r="O20" s="8" t="n"/>
      <c r="P20" s="8" t="n"/>
      <c r="Q20" s="8" t="n"/>
      <c r="R20" s="8" t="n"/>
      <c r="S20" s="8" t="n"/>
      <c r="T20" s="8" t="n"/>
      <c r="U20" s="8" t="n"/>
    </row>
    <row r="21">
      <c r="B21" s="8" t="n"/>
      <c r="C21" s="8" t="n"/>
      <c r="D21" s="8" t="n"/>
      <c r="E21" s="8" t="n"/>
      <c r="F21" s="8" t="n"/>
      <c r="G21" s="8" t="n"/>
      <c r="H21" s="8" t="n"/>
      <c r="I21" s="8" t="n"/>
      <c r="J21" s="8" t="n"/>
      <c r="K21" s="8" t="n"/>
      <c r="L21" s="8" t="n"/>
      <c r="M21" s="8" t="n"/>
      <c r="N21" s="8" t="n"/>
      <c r="O21" s="8" t="n"/>
      <c r="P21" s="8" t="n"/>
      <c r="Q21" s="8" t="n"/>
      <c r="R21" s="8" t="n"/>
      <c r="S21" s="8" t="n"/>
      <c r="T21" s="8" t="n"/>
      <c r="U21" s="8" t="n"/>
    </row>
    <row r="22">
      <c r="B22" s="8" t="n"/>
      <c r="C22" s="8" t="n"/>
      <c r="D22" s="8" t="n"/>
      <c r="E22" s="8" t="n"/>
      <c r="F22" s="8" t="n"/>
      <c r="G22" s="8" t="n"/>
      <c r="H22" s="8" t="n"/>
      <c r="I22" s="8" t="n"/>
      <c r="J22" s="8" t="n"/>
      <c r="K22" s="8" t="n"/>
      <c r="L22" s="8" t="n"/>
      <c r="M22" s="8" t="n"/>
      <c r="N22" s="8" t="n"/>
      <c r="O22" s="8" t="n"/>
      <c r="P22" s="8" t="n"/>
      <c r="Q22" s="8" t="n"/>
      <c r="R22" s="8" t="n"/>
      <c r="S22" s="8" t="n"/>
      <c r="T22" s="8" t="n"/>
      <c r="U22" s="8" t="n"/>
    </row>
    <row r="23">
      <c r="B23" s="8" t="n"/>
      <c r="C23" s="8" t="n"/>
      <c r="D23" s="8" t="n"/>
      <c r="E23" s="8" t="n"/>
      <c r="F23" s="8" t="n"/>
      <c r="G23" s="8" t="n"/>
      <c r="H23" s="8" t="n"/>
      <c r="I23" s="8" t="n"/>
      <c r="J23" s="8" t="n"/>
      <c r="K23" s="8" t="n"/>
      <c r="L23" s="8" t="n"/>
      <c r="M23" s="8" t="n"/>
      <c r="N23" s="8" t="n"/>
      <c r="O23" s="8" t="n"/>
      <c r="P23" s="8" t="n"/>
      <c r="Q23" s="8" t="n"/>
      <c r="R23" s="8" t="n"/>
      <c r="S23" s="8" t="n"/>
      <c r="T23" s="8" t="n"/>
      <c r="U23" s="8" t="n"/>
    </row>
    <row r="24">
      <c r="B24" s="8" t="n"/>
      <c r="C24" s="8" t="n"/>
      <c r="D24" s="8" t="n"/>
      <c r="E24" s="8" t="n"/>
      <c r="F24" s="8" t="n"/>
      <c r="G24" s="8" t="n"/>
      <c r="H24" s="8" t="n"/>
      <c r="I24" s="8" t="n"/>
      <c r="J24" s="8" t="n"/>
      <c r="K24" s="8" t="n"/>
      <c r="L24" s="8" t="n"/>
      <c r="M24" s="8" t="n"/>
      <c r="N24" s="8" t="n"/>
      <c r="O24" s="8" t="n"/>
      <c r="P24" s="8" t="n"/>
      <c r="Q24" s="8" t="n"/>
      <c r="R24" s="8" t="n"/>
      <c r="S24" s="8" t="n"/>
      <c r="T24" s="8" t="n"/>
      <c r="U24" s="8" t="n"/>
    </row>
    <row r="25">
      <c r="B25" s="8" t="n"/>
      <c r="C25" s="8" t="n"/>
      <c r="D25" s="8" t="n"/>
      <c r="E25" s="8" t="n"/>
      <c r="F25" s="8" t="n"/>
      <c r="G25" s="8" t="n"/>
      <c r="H25" s="8" t="n"/>
      <c r="I25" s="8" t="n"/>
      <c r="J25" s="8" t="n"/>
      <c r="K25" s="8" t="n"/>
      <c r="L25" s="8" t="n"/>
      <c r="M25" s="8" t="n"/>
      <c r="N25" s="8" t="n"/>
      <c r="O25" s="8" t="n"/>
      <c r="P25" s="8" t="n"/>
      <c r="Q25" s="8" t="n"/>
      <c r="R25" s="8" t="n"/>
      <c r="S25" s="8" t="n"/>
      <c r="T25" s="8" t="n"/>
      <c r="U25" s="8" t="n"/>
    </row>
    <row r="26">
      <c r="B26" s="8" t="n"/>
      <c r="C26" s="8" t="n"/>
      <c r="D26" s="8" t="n"/>
      <c r="E26" s="8" t="n"/>
      <c r="F26" s="8" t="n"/>
      <c r="G26" s="8" t="n"/>
      <c r="H26" s="8" t="n"/>
      <c r="I26" s="8" t="n"/>
      <c r="J26" s="8" t="n"/>
      <c r="K26" s="8" t="n"/>
      <c r="L26" s="8" t="n"/>
      <c r="M26" s="8" t="n"/>
      <c r="N26" s="8" t="n"/>
      <c r="O26" s="8" t="n"/>
      <c r="P26" s="8" t="n"/>
      <c r="Q26" s="8" t="n"/>
      <c r="R26" s="8" t="n"/>
      <c r="S26" s="8" t="n"/>
      <c r="T26" s="8" t="n"/>
      <c r="U26" s="8" t="n"/>
    </row>
    <row r="27">
      <c r="B27" s="8" t="n"/>
      <c r="C27" s="8" t="n"/>
      <c r="D27" s="8" t="n"/>
      <c r="E27" s="8" t="n"/>
      <c r="F27" s="8" t="n"/>
      <c r="G27" s="8" t="n"/>
      <c r="H27" s="8" t="n"/>
      <c r="I27" s="8" t="n"/>
      <c r="J27" s="8" t="n"/>
      <c r="K27" s="8" t="n"/>
      <c r="L27" s="8" t="n"/>
      <c r="M27" s="8" t="n"/>
      <c r="N27" s="8" t="n"/>
      <c r="O27" s="8" t="n"/>
      <c r="P27" s="8" t="n"/>
      <c r="Q27" s="8" t="n"/>
      <c r="R27" s="8" t="n"/>
      <c r="S27" s="8" t="n"/>
      <c r="T27" s="8" t="n"/>
      <c r="U27" s="8" t="n"/>
    </row>
    <row r="28">
      <c r="B28" s="8" t="n"/>
      <c r="C28" s="8" t="n"/>
      <c r="D28" s="8" t="n"/>
      <c r="E28" s="8" t="n"/>
      <c r="F28" s="8" t="n"/>
      <c r="G28" s="8" t="n"/>
      <c r="H28" s="8" t="n"/>
      <c r="I28" s="8" t="n"/>
      <c r="J28" s="8" t="n"/>
      <c r="K28" s="8" t="n"/>
      <c r="L28" s="8" t="n"/>
      <c r="M28" s="8" t="n"/>
      <c r="N28" s="8" t="n"/>
      <c r="O28" s="8" t="n"/>
      <c r="P28" s="8" t="n"/>
      <c r="Q28" s="8" t="n"/>
      <c r="R28" s="8" t="n"/>
      <c r="S28" s="8" t="n"/>
      <c r="T28" s="8" t="n"/>
      <c r="U28" s="8" t="n"/>
    </row>
    <row r="29">
      <c r="B29" s="8" t="n"/>
      <c r="C29" s="8" t="n"/>
      <c r="D29" s="8" t="n"/>
      <c r="E29" s="8" t="n"/>
      <c r="F29" s="8" t="n"/>
      <c r="G29" s="8" t="n"/>
      <c r="H29" s="8" t="n"/>
      <c r="I29" s="8" t="n"/>
      <c r="J29" s="8" t="n"/>
      <c r="K29" s="8" t="n"/>
      <c r="L29" s="8" t="n"/>
      <c r="M29" s="8" t="n"/>
      <c r="N29" s="8" t="n"/>
      <c r="O29" s="8" t="n"/>
      <c r="P29" s="8" t="n"/>
      <c r="Q29" s="8" t="n"/>
      <c r="R29" s="8" t="n"/>
      <c r="S29" s="8" t="n"/>
      <c r="T29" s="8" t="n"/>
      <c r="U29" s="8" t="n"/>
    </row>
    <row r="30">
      <c r="B30" s="8" t="n"/>
      <c r="C30" s="8" t="n"/>
      <c r="D30" s="8" t="n"/>
      <c r="E30" s="8" t="n"/>
      <c r="F30" s="8" t="n"/>
      <c r="G30" s="8" t="n"/>
      <c r="H30" s="8" t="n"/>
      <c r="I30" s="8" t="n"/>
      <c r="J30" s="8" t="n"/>
      <c r="K30" s="8" t="n"/>
      <c r="L30" s="8" t="n"/>
      <c r="M30" s="8" t="n"/>
      <c r="N30" s="8" t="n"/>
      <c r="O30" s="8" t="n"/>
      <c r="P30" s="8" t="n"/>
      <c r="Q30" s="8" t="n"/>
      <c r="R30" s="8" t="n"/>
      <c r="S30" s="8" t="n"/>
      <c r="T30" s="8" t="n"/>
      <c r="U30" s="8" t="n"/>
    </row>
    <row r="31">
      <c r="B31" s="8" t="n"/>
      <c r="C31" s="8" t="n"/>
      <c r="D31" s="8" t="n"/>
      <c r="E31" s="8" t="n"/>
      <c r="F31" s="8" t="n"/>
      <c r="G31" s="8" t="n"/>
      <c r="H31" s="8" t="n"/>
      <c r="I31" s="8" t="n"/>
      <c r="J31" s="8" t="n"/>
      <c r="K31" s="8" t="n"/>
      <c r="L31" s="8" t="n"/>
      <c r="M31" s="8" t="n"/>
      <c r="N31" s="8" t="n"/>
      <c r="O31" s="8" t="n"/>
      <c r="P31" s="8" t="n"/>
      <c r="Q31" s="8" t="n"/>
      <c r="R31" s="8" t="n"/>
      <c r="S31" s="8" t="n"/>
      <c r="T31" s="8" t="n"/>
      <c r="U31" s="8" t="n"/>
    </row>
    <row r="32">
      <c r="B32" s="8" t="n"/>
      <c r="C32" s="8" t="n"/>
      <c r="D32" s="8" t="n"/>
      <c r="E32" s="8" t="n"/>
      <c r="F32" s="8" t="n"/>
      <c r="G32" s="8" t="n"/>
      <c r="H32" s="8" t="n"/>
      <c r="I32" s="8" t="n"/>
      <c r="J32" s="8" t="n"/>
      <c r="K32" s="8" t="n"/>
      <c r="L32" s="8" t="n"/>
      <c r="M32" s="8" t="n"/>
      <c r="N32" s="8" t="n"/>
      <c r="O32" s="8" t="n"/>
      <c r="P32" s="8" t="n"/>
      <c r="Q32" s="8" t="n"/>
      <c r="R32" s="8" t="n"/>
      <c r="S32" s="8" t="n"/>
      <c r="T32" s="8" t="n"/>
      <c r="U32" s="8" t="n"/>
    </row>
    <row r="33">
      <c r="B33" s="8" t="n"/>
      <c r="C33" s="8" t="n"/>
      <c r="D33" s="8" t="n"/>
      <c r="E33" s="8" t="n"/>
      <c r="F33" s="8" t="n"/>
      <c r="G33" s="8" t="n"/>
      <c r="H33" s="8" t="n"/>
      <c r="I33" s="8" t="n"/>
      <c r="J33" s="8" t="n"/>
      <c r="K33" s="8" t="n"/>
      <c r="L33" s="8" t="n"/>
      <c r="M33" s="8" t="n"/>
      <c r="N33" s="8" t="n"/>
      <c r="O33" s="8" t="n"/>
      <c r="P33" s="8" t="n"/>
      <c r="Q33" s="8" t="n"/>
      <c r="R33" s="8" t="n"/>
      <c r="S33" s="8" t="n"/>
      <c r="T33" s="8" t="n"/>
      <c r="U33" s="8" t="n"/>
    </row>
    <row r="34">
      <c r="B34" s="8" t="n"/>
      <c r="C34" s="8" t="n"/>
      <c r="D34" s="8" t="n"/>
      <c r="E34" s="8" t="n"/>
      <c r="F34" s="8" t="n"/>
      <c r="G34" s="8" t="n"/>
      <c r="H34" s="8" t="n"/>
      <c r="I34" s="8" t="n"/>
      <c r="J34" s="8" t="n"/>
      <c r="K34" s="8" t="n"/>
      <c r="L34" s="8" t="n"/>
      <c r="M34" s="8" t="n"/>
      <c r="N34" s="8" t="n"/>
      <c r="O34" s="8" t="n"/>
      <c r="P34" s="8" t="n"/>
      <c r="Q34" s="8" t="n"/>
      <c r="R34" s="8" t="n"/>
      <c r="S34" s="8" t="n"/>
      <c r="T34" s="8" t="n"/>
      <c r="U34" s="8" t="n"/>
    </row>
    <row r="35">
      <c r="B35" s="8" t="n"/>
      <c r="C35" s="8" t="n"/>
      <c r="D35" s="8" t="n"/>
      <c r="E35" s="8" t="n"/>
      <c r="F35" s="8" t="n"/>
      <c r="G35" s="8" t="n"/>
      <c r="H35" s="8" t="n"/>
      <c r="I35" s="8" t="n"/>
      <c r="J35" s="8" t="n"/>
      <c r="K35" s="8" t="n"/>
      <c r="L35" s="8" t="n"/>
      <c r="M35" s="8" t="n"/>
      <c r="N35" s="8" t="n"/>
      <c r="O35" s="8" t="n"/>
      <c r="P35" s="8" t="n"/>
      <c r="Q35" s="8" t="n"/>
      <c r="R35" s="8" t="n"/>
      <c r="S35" s="8" t="n"/>
      <c r="T35" s="8" t="n"/>
      <c r="U35" s="8" t="n"/>
    </row>
    <row r="36">
      <c r="B36" s="8" t="n"/>
      <c r="C36" s="8" t="n"/>
      <c r="D36" s="8" t="n"/>
      <c r="E36" s="8" t="n"/>
      <c r="F36" s="8" t="n"/>
      <c r="G36" s="8" t="n"/>
      <c r="H36" s="8" t="n"/>
      <c r="I36" s="8" t="n"/>
      <c r="J36" s="8" t="n"/>
      <c r="K36" s="8" t="n"/>
      <c r="L36" s="8" t="n"/>
      <c r="M36" s="8" t="n"/>
      <c r="N36" s="8" t="n"/>
      <c r="O36" s="8" t="n"/>
      <c r="P36" s="8" t="n"/>
      <c r="Q36" s="8" t="n"/>
      <c r="R36" s="8" t="n"/>
      <c r="S36" s="8" t="n"/>
      <c r="T36" s="8" t="n"/>
      <c r="U36" s="8" t="n"/>
    </row>
    <row r="37">
      <c r="B37" s="8" t="n"/>
      <c r="C37" s="8" t="n"/>
      <c r="D37" s="8" t="n"/>
      <c r="E37" s="8" t="n"/>
      <c r="F37" s="8" t="n"/>
      <c r="G37" s="8" t="n"/>
      <c r="H37" s="8" t="n"/>
      <c r="I37" s="8" t="n"/>
      <c r="J37" s="8" t="n"/>
      <c r="K37" s="8" t="n"/>
      <c r="L37" s="8" t="n"/>
      <c r="M37" s="8" t="n"/>
      <c r="N37" s="8" t="n"/>
      <c r="O37" s="8" t="n"/>
      <c r="P37" s="8" t="n"/>
      <c r="Q37" s="8" t="n"/>
      <c r="R37" s="8" t="n"/>
      <c r="S37" s="8" t="n"/>
      <c r="T37" s="8" t="n"/>
      <c r="U37" s="8" t="n"/>
    </row>
    <row r="38">
      <c r="B38" s="8" t="n"/>
      <c r="C38" s="8" t="n"/>
      <c r="D38" s="8" t="n"/>
      <c r="E38" s="8" t="n"/>
      <c r="F38" s="8" t="n"/>
      <c r="G38" s="8" t="n"/>
      <c r="H38" s="8" t="n"/>
      <c r="I38" s="8" t="n"/>
      <c r="J38" s="8" t="n"/>
      <c r="K38" s="8" t="n"/>
      <c r="L38" s="8" t="n"/>
      <c r="M38" s="8" t="n"/>
      <c r="N38" s="8" t="n"/>
      <c r="O38" s="8" t="n"/>
      <c r="P38" s="8" t="n"/>
      <c r="Q38" s="8" t="n"/>
      <c r="R38" s="8" t="n"/>
      <c r="S38" s="8" t="n"/>
      <c r="T38" s="8" t="n"/>
      <c r="U38" s="8" t="n"/>
    </row>
    <row r="39">
      <c r="B39" s="8" t="n"/>
      <c r="C39" s="8" t="n"/>
      <c r="D39" s="8" t="n"/>
      <c r="E39" s="8" t="n"/>
      <c r="F39" s="8" t="n"/>
      <c r="G39" s="8" t="n"/>
      <c r="H39" s="8" t="n"/>
      <c r="I39" s="8" t="n"/>
      <c r="J39" s="8" t="n"/>
      <c r="K39" s="8" t="n"/>
      <c r="L39" s="8" t="n"/>
      <c r="M39" s="8" t="n"/>
      <c r="N39" s="8" t="n"/>
      <c r="O39" s="8" t="n"/>
      <c r="P39" s="8" t="n"/>
      <c r="Q39" s="8" t="n"/>
      <c r="R39" s="8" t="n"/>
      <c r="S39" s="8" t="n"/>
      <c r="T39" s="8" t="n"/>
      <c r="U39" s="8" t="n"/>
    </row>
    <row r="40">
      <c r="B40" s="8" t="n"/>
      <c r="C40" s="8" t="n"/>
      <c r="D40" s="8" t="n"/>
      <c r="E40" s="8" t="n"/>
      <c r="F40" s="8" t="n"/>
      <c r="G40" s="8" t="n"/>
      <c r="H40" s="8" t="n"/>
      <c r="I40" s="8" t="n"/>
      <c r="J40" s="8" t="n"/>
      <c r="K40" s="8" t="n"/>
      <c r="L40" s="8" t="n"/>
      <c r="M40" s="8" t="n"/>
      <c r="N40" s="8" t="n"/>
      <c r="O40" s="8" t="n"/>
      <c r="P40" s="8" t="n"/>
      <c r="Q40" s="8" t="n"/>
      <c r="R40" s="8" t="n"/>
      <c r="S40" s="8" t="n"/>
      <c r="T40" s="8" t="n"/>
      <c r="U40" s="8" t="n"/>
    </row>
    <row r="41">
      <c r="B41" s="8" t="n"/>
      <c r="C41" s="8" t="n"/>
      <c r="D41" s="8" t="n"/>
      <c r="E41" s="8" t="n"/>
      <c r="F41" s="8" t="n"/>
      <c r="G41" s="8" t="n"/>
      <c r="H41" s="8" t="n"/>
      <c r="I41" s="8" t="n"/>
      <c r="J41" s="8" t="n"/>
      <c r="K41" s="8" t="n"/>
      <c r="L41" s="8" t="n"/>
      <c r="M41" s="8" t="n"/>
      <c r="N41" s="8" t="n"/>
      <c r="O41" s="8" t="n"/>
      <c r="P41" s="8" t="n"/>
      <c r="Q41" s="8" t="n"/>
      <c r="R41" s="8" t="n"/>
      <c r="S41" s="8" t="n"/>
      <c r="T41" s="8" t="n"/>
      <c r="U41" s="8" t="n"/>
    </row>
    <row r="42">
      <c r="B42" s="8" t="n"/>
      <c r="C42" s="8" t="n"/>
      <c r="D42" s="8" t="n"/>
      <c r="E42" s="8" t="n"/>
      <c r="F42" s="8" t="n"/>
      <c r="G42" s="8" t="n"/>
      <c r="H42" s="8" t="n"/>
      <c r="I42" s="8" t="n"/>
      <c r="J42" s="8" t="n"/>
      <c r="K42" s="8" t="n"/>
      <c r="L42" s="8" t="n"/>
      <c r="M42" s="8" t="n"/>
      <c r="N42" s="8" t="n"/>
      <c r="O42" s="8" t="n"/>
      <c r="P42" s="8" t="n"/>
      <c r="Q42" s="8" t="n"/>
      <c r="R42" s="8" t="n"/>
      <c r="S42" s="8" t="n"/>
      <c r="T42" s="8" t="n"/>
      <c r="U42" s="8" t="n"/>
    </row>
    <row r="43">
      <c r="B43" s="8" t="n"/>
      <c r="C43" s="8" t="n"/>
      <c r="D43" s="8" t="n"/>
      <c r="E43" s="8" t="n"/>
      <c r="F43" s="8" t="n"/>
      <c r="G43" s="8" t="n"/>
      <c r="H43" s="8" t="n"/>
      <c r="I43" s="8" t="n"/>
      <c r="J43" s="8" t="n"/>
      <c r="K43" s="8" t="n"/>
      <c r="L43" s="8" t="n"/>
      <c r="M43" s="8" t="n"/>
      <c r="N43" s="8" t="n"/>
      <c r="O43" s="8" t="n"/>
      <c r="P43" s="8" t="n"/>
      <c r="Q43" s="8" t="n"/>
      <c r="R43" s="8" t="n"/>
      <c r="S43" s="8" t="n"/>
      <c r="T43" s="8" t="n"/>
      <c r="U43" s="8" t="n"/>
    </row>
    <row r="44">
      <c r="B44" s="8" t="n"/>
      <c r="C44" s="8" t="n"/>
      <c r="D44" s="8" t="n"/>
      <c r="E44" s="8" t="n"/>
      <c r="F44" s="8" t="n"/>
      <c r="G44" s="8" t="n"/>
      <c r="H44" s="8" t="n"/>
      <c r="I44" s="8" t="n"/>
      <c r="J44" s="8" t="n"/>
      <c r="K44" s="8" t="n"/>
      <c r="L44" s="8" t="n"/>
      <c r="M44" s="8" t="n"/>
      <c r="N44" s="8" t="n"/>
      <c r="O44" s="8" t="n"/>
      <c r="P44" s="8" t="n"/>
      <c r="Q44" s="8" t="n"/>
      <c r="R44" s="8" t="n"/>
      <c r="S44" s="8" t="n"/>
      <c r="T44" s="8" t="n"/>
      <c r="U44" s="8" t="n"/>
    </row>
    <row r="45">
      <c r="B45" s="8" t="n"/>
      <c r="C45" s="8" t="n"/>
      <c r="D45" s="8" t="n"/>
      <c r="E45" s="8" t="n"/>
      <c r="F45" s="8" t="n"/>
      <c r="G45" s="8" t="n"/>
      <c r="H45" s="8" t="n"/>
      <c r="I45" s="8" t="n"/>
      <c r="J45" s="8" t="n"/>
      <c r="K45" s="8" t="n"/>
      <c r="L45" s="8" t="n"/>
      <c r="M45" s="8" t="n"/>
      <c r="N45" s="8" t="n"/>
      <c r="O45" s="8" t="n"/>
      <c r="P45" s="8" t="n"/>
      <c r="Q45" s="8" t="n"/>
      <c r="R45" s="8" t="n"/>
      <c r="S45" s="8" t="n"/>
      <c r="T45" s="8" t="n"/>
      <c r="U45" s="8" t="n"/>
    </row>
    <row r="46">
      <c r="B46" s="8" t="n"/>
      <c r="C46" s="8" t="n"/>
      <c r="D46" s="8" t="n"/>
      <c r="E46" s="8" t="n"/>
      <c r="F46" s="8" t="n"/>
      <c r="G46" s="8" t="n"/>
      <c r="H46" s="8" t="n"/>
      <c r="I46" s="8" t="n"/>
      <c r="J46" s="8" t="n"/>
      <c r="K46" s="8" t="n"/>
      <c r="L46" s="8" t="n"/>
      <c r="M46" s="8" t="n"/>
      <c r="N46" s="8" t="n"/>
      <c r="O46" s="8" t="n"/>
      <c r="P46" s="8" t="n"/>
      <c r="Q46" s="8" t="n"/>
      <c r="R46" s="8" t="n"/>
      <c r="S46" s="8" t="n"/>
      <c r="T46" s="8" t="n"/>
      <c r="U46" s="8" t="n"/>
    </row>
    <row r="47">
      <c r="B47" s="8" t="n"/>
      <c r="C47" s="8" t="n"/>
      <c r="D47" s="8" t="n"/>
      <c r="E47" s="8" t="n"/>
      <c r="F47" s="8" t="n"/>
      <c r="G47" s="8" t="n"/>
      <c r="H47" s="8" t="n"/>
      <c r="I47" s="8" t="n"/>
      <c r="J47" s="8" t="n"/>
      <c r="K47" s="8" t="n"/>
      <c r="L47" s="8" t="n"/>
      <c r="M47" s="8" t="n"/>
      <c r="N47" s="8" t="n"/>
      <c r="O47" s="8" t="n"/>
      <c r="P47" s="8" t="n"/>
      <c r="Q47" s="8" t="n"/>
      <c r="R47" s="8" t="n"/>
      <c r="S47" s="8" t="n"/>
      <c r="T47" s="8" t="n"/>
      <c r="U47" s="8" t="n"/>
    </row>
    <row r="48">
      <c r="B48" s="8" t="n"/>
      <c r="C48" s="8" t="n"/>
      <c r="D48" s="8" t="n"/>
      <c r="E48" s="8" t="n"/>
      <c r="F48" s="8" t="n"/>
      <c r="G48" s="8" t="n"/>
      <c r="H48" s="8" t="n"/>
      <c r="I48" s="8" t="n"/>
      <c r="J48" s="8" t="n"/>
      <c r="K48" s="8" t="n"/>
      <c r="L48" s="8" t="n"/>
      <c r="M48" s="8" t="n"/>
      <c r="N48" s="8" t="n"/>
      <c r="O48" s="8" t="n"/>
      <c r="P48" s="8" t="n"/>
      <c r="Q48" s="8" t="n"/>
      <c r="R48" s="8" t="n"/>
      <c r="S48" s="8" t="n"/>
      <c r="T48" s="8" t="n"/>
      <c r="U48" s="8" t="n"/>
    </row>
    <row r="49">
      <c r="B49" s="8" t="n"/>
      <c r="C49" s="8" t="n"/>
      <c r="D49" s="8" t="n"/>
      <c r="E49" s="8" t="n"/>
      <c r="F49" s="8" t="n"/>
      <c r="G49" s="8" t="n"/>
      <c r="H49" s="8" t="n"/>
      <c r="I49" s="8" t="n"/>
      <c r="J49" s="8" t="n"/>
      <c r="K49" s="8" t="n"/>
      <c r="L49" s="8" t="n"/>
      <c r="M49" s="8" t="n"/>
      <c r="N49" s="8" t="n"/>
      <c r="O49" s="8" t="n"/>
      <c r="P49" s="8" t="n"/>
      <c r="Q49" s="8" t="n"/>
      <c r="R49" s="8" t="n"/>
      <c r="S49" s="8" t="n"/>
      <c r="T49" s="8" t="n"/>
      <c r="U49" s="8" t="n"/>
    </row>
    <row r="50">
      <c r="B50" s="8" t="n"/>
      <c r="C50" s="8" t="n"/>
      <c r="D50" s="8" t="n"/>
      <c r="E50" s="8" t="n"/>
      <c r="F50" s="8" t="n"/>
      <c r="G50" s="8" t="n"/>
      <c r="H50" s="8" t="n"/>
      <c r="I50" s="8" t="n"/>
      <c r="J50" s="8" t="n"/>
      <c r="K50" s="8" t="n"/>
      <c r="L50" s="8" t="n"/>
      <c r="M50" s="8" t="n"/>
      <c r="N50" s="8" t="n"/>
      <c r="O50" s="8" t="n"/>
      <c r="P50" s="8" t="n"/>
      <c r="Q50" s="8" t="n"/>
      <c r="R50" s="8" t="n"/>
      <c r="S50" s="8" t="n"/>
      <c r="T50" s="8" t="n"/>
      <c r="U50" s="8" t="n"/>
    </row>
    <row r="51">
      <c r="B51" s="8" t="n"/>
      <c r="C51" s="8" t="n"/>
      <c r="D51" s="8" t="n"/>
      <c r="E51" s="8" t="n"/>
      <c r="F51" s="8" t="n"/>
      <c r="G51" s="8" t="n"/>
      <c r="H51" s="8" t="n"/>
      <c r="I51" s="8" t="n"/>
      <c r="J51" s="8" t="n"/>
      <c r="K51" s="8" t="n"/>
      <c r="L51" s="8" t="n"/>
      <c r="M51" s="8" t="n"/>
      <c r="N51" s="8" t="n"/>
      <c r="O51" s="8" t="n"/>
      <c r="P51" s="8" t="n"/>
      <c r="Q51" s="8" t="n"/>
      <c r="R51" s="8" t="n"/>
      <c r="S51" s="8" t="n"/>
      <c r="T51" s="8" t="n"/>
      <c r="U51" s="8" t="n"/>
    </row>
    <row r="52">
      <c r="B52" s="8" t="n"/>
      <c r="C52" s="8" t="n"/>
      <c r="D52" s="8" t="n"/>
      <c r="E52" s="8" t="n"/>
      <c r="F52" s="8" t="n"/>
      <c r="G52" s="8" t="n"/>
      <c r="H52" s="8" t="n"/>
      <c r="I52" s="8" t="n"/>
      <c r="J52" s="8" t="n"/>
      <c r="K52" s="8" t="n"/>
      <c r="L52" s="8" t="n"/>
      <c r="M52" s="8" t="n"/>
      <c r="N52" s="8" t="n"/>
      <c r="O52" s="8" t="n"/>
      <c r="P52" s="8" t="n"/>
      <c r="Q52" s="8" t="n"/>
      <c r="R52" s="8" t="n"/>
      <c r="S52" s="8" t="n"/>
      <c r="T52" s="8" t="n"/>
      <c r="U52" s="8" t="n"/>
    </row>
    <row r="53">
      <c r="B53" s="8" t="n"/>
      <c r="C53" s="8" t="n"/>
      <c r="D53" s="8" t="n"/>
      <c r="E53" s="8" t="n"/>
      <c r="F53" s="8" t="n"/>
      <c r="G53" s="8" t="n"/>
      <c r="H53" s="8" t="n"/>
      <c r="I53" s="8" t="n"/>
      <c r="J53" s="8" t="n"/>
      <c r="K53" s="8" t="n"/>
      <c r="L53" s="8" t="n"/>
      <c r="M53" s="8" t="n"/>
      <c r="N53" s="8" t="n"/>
      <c r="O53" s="8" t="n"/>
      <c r="P53" s="8" t="n"/>
      <c r="Q53" s="8" t="n"/>
      <c r="R53" s="8" t="n"/>
      <c r="S53" s="8" t="n"/>
      <c r="T53" s="8" t="n"/>
      <c r="U53" s="8" t="n"/>
    </row>
    <row r="54">
      <c r="B54" s="8" t="n"/>
      <c r="C54" s="8" t="n"/>
      <c r="D54" s="8" t="n"/>
      <c r="E54" s="8" t="n"/>
      <c r="F54" s="8" t="n"/>
      <c r="G54" s="8" t="n"/>
      <c r="H54" s="8" t="n"/>
      <c r="I54" s="8" t="n"/>
      <c r="J54" s="8" t="n"/>
      <c r="K54" s="8" t="n"/>
      <c r="L54" s="8" t="n"/>
      <c r="M54" s="8" t="n"/>
      <c r="N54" s="8" t="n"/>
      <c r="O54" s="8" t="n"/>
      <c r="P54" s="8" t="n"/>
      <c r="Q54" s="8" t="n"/>
      <c r="R54" s="8" t="n"/>
      <c r="S54" s="8" t="n"/>
      <c r="T54" s="8" t="n"/>
      <c r="U54" s="8" t="n"/>
    </row>
    <row r="55">
      <c r="B55" s="8" t="n"/>
      <c r="C55" s="8" t="n"/>
      <c r="D55" s="8" t="n"/>
      <c r="E55" s="8" t="n"/>
      <c r="F55" s="8" t="n"/>
      <c r="G55" s="8" t="n"/>
      <c r="H55" s="8" t="n"/>
      <c r="I55" s="8" t="n"/>
      <c r="J55" s="8" t="n"/>
      <c r="K55" s="8" t="n"/>
      <c r="L55" s="8" t="n"/>
      <c r="M55" s="8" t="n"/>
      <c r="N55" s="8" t="n"/>
      <c r="O55" s="8" t="n"/>
      <c r="P55" s="8" t="n"/>
      <c r="Q55" s="8" t="n"/>
      <c r="R55" s="8" t="n"/>
      <c r="S55" s="8" t="n"/>
      <c r="T55" s="8" t="n"/>
      <c r="U55" s="8" t="n"/>
    </row>
    <row r="56">
      <c r="B56" s="8" t="n"/>
      <c r="C56" s="8" t="n"/>
      <c r="D56" s="8" t="n"/>
      <c r="E56" s="8" t="n"/>
      <c r="F56" s="8" t="n"/>
      <c r="G56" s="8" t="n"/>
      <c r="H56" s="8" t="n"/>
      <c r="I56" s="8" t="n"/>
      <c r="J56" s="8" t="n"/>
      <c r="K56" s="8" t="n"/>
      <c r="L56" s="8" t="n"/>
      <c r="M56" s="8" t="n"/>
      <c r="N56" s="8" t="n"/>
      <c r="O56" s="8" t="n"/>
      <c r="P56" s="8" t="n"/>
      <c r="Q56" s="8" t="n"/>
      <c r="R56" s="8" t="n"/>
      <c r="S56" s="8" t="n"/>
      <c r="T56" s="8" t="n"/>
      <c r="U56" s="8" t="n"/>
    </row>
    <row r="57">
      <c r="B57" s="8" t="n"/>
      <c r="C57" s="8" t="n"/>
      <c r="D57" s="8" t="n"/>
      <c r="E57" s="8" t="n"/>
      <c r="F57" s="8" t="n"/>
      <c r="G57" s="8" t="n"/>
      <c r="H57" s="8" t="n"/>
      <c r="I57" s="8" t="n"/>
      <c r="J57" s="8" t="n"/>
      <c r="K57" s="8" t="n"/>
      <c r="L57" s="8" t="n"/>
      <c r="M57" s="8" t="n"/>
      <c r="N57" s="8" t="n"/>
      <c r="O57" s="8" t="n"/>
      <c r="P57" s="8" t="n"/>
      <c r="Q57" s="8" t="n"/>
      <c r="R57" s="8" t="n"/>
      <c r="S57" s="8" t="n"/>
      <c r="T57" s="8" t="n"/>
      <c r="U57" s="8" t="n"/>
    </row>
    <row r="58">
      <c r="B58" s="8" t="n"/>
      <c r="C58" s="8" t="n"/>
      <c r="D58" s="8" t="n"/>
      <c r="E58" s="8" t="n"/>
      <c r="F58" s="8" t="n"/>
      <c r="G58" s="8" t="n"/>
      <c r="H58" s="8" t="n"/>
      <c r="I58" s="8" t="n"/>
      <c r="J58" s="8" t="n"/>
      <c r="K58" s="8" t="n"/>
      <c r="L58" s="8" t="n"/>
      <c r="M58" s="8" t="n"/>
      <c r="N58" s="8" t="n"/>
      <c r="O58" s="8" t="n"/>
      <c r="P58" s="8" t="n"/>
      <c r="Q58" s="8" t="n"/>
      <c r="R58" s="8" t="n"/>
      <c r="S58" s="8" t="n"/>
      <c r="T58" s="8" t="n"/>
      <c r="U58" s="8" t="n"/>
    </row>
    <row r="59">
      <c r="B59" s="8" t="n"/>
      <c r="C59" s="8" t="n"/>
      <c r="D59" s="8" t="n"/>
      <c r="E59" s="8" t="n"/>
      <c r="F59" s="8" t="n"/>
      <c r="G59" s="8" t="n"/>
      <c r="H59" s="8" t="n"/>
      <c r="I59" s="8" t="n"/>
      <c r="J59" s="8" t="n"/>
      <c r="K59" s="8" t="n"/>
      <c r="L59" s="8" t="n"/>
      <c r="M59" s="8" t="n"/>
      <c r="N59" s="8" t="n"/>
      <c r="O59" s="8" t="n"/>
      <c r="P59" s="8" t="n"/>
      <c r="Q59" s="8" t="n"/>
      <c r="R59" s="8" t="n"/>
      <c r="S59" s="8" t="n"/>
      <c r="T59" s="8" t="n"/>
      <c r="U59" s="8" t="n"/>
    </row>
    <row r="60">
      <c r="B60" s="8" t="n"/>
      <c r="C60" s="8" t="n"/>
      <c r="D60" s="8" t="n"/>
      <c r="E60" s="8" t="n"/>
      <c r="F60" s="8" t="n"/>
      <c r="G60" s="8" t="n"/>
      <c r="H60" s="8" t="n"/>
      <c r="I60" s="8" t="n"/>
      <c r="J60" s="8" t="n"/>
      <c r="K60" s="8" t="n"/>
      <c r="L60" s="8" t="n"/>
      <c r="M60" s="8" t="n"/>
      <c r="N60" s="8" t="n"/>
      <c r="O60" s="8" t="n"/>
      <c r="P60" s="8" t="n"/>
      <c r="Q60" s="8" t="n"/>
      <c r="R60" s="8" t="n"/>
      <c r="S60" s="8" t="n"/>
      <c r="T60" s="8" t="n"/>
      <c r="U60" s="8" t="n"/>
    </row>
    <row r="61">
      <c r="B61" s="8" t="n"/>
      <c r="C61" s="8" t="n"/>
      <c r="D61" s="8" t="n"/>
      <c r="E61" s="8" t="n"/>
      <c r="F61" s="8" t="n"/>
      <c r="G61" s="8" t="n"/>
      <c r="H61" s="8" t="n"/>
      <c r="I61" s="8" t="n"/>
      <c r="J61" s="8" t="n"/>
      <c r="K61" s="8" t="n"/>
      <c r="L61" s="8" t="n"/>
      <c r="M61" s="8" t="n"/>
      <c r="N61" s="8" t="n"/>
      <c r="O61" s="8" t="n"/>
      <c r="P61" s="8" t="n"/>
      <c r="Q61" s="8" t="n"/>
      <c r="R61" s="8" t="n"/>
      <c r="S61" s="8" t="n"/>
      <c r="T61" s="8" t="n"/>
      <c r="U61" s="8" t="n"/>
    </row>
    <row r="62">
      <c r="B62" s="8" t="n"/>
      <c r="C62" s="8" t="n"/>
      <c r="D62" s="8" t="n"/>
      <c r="E62" s="8" t="n"/>
      <c r="F62" s="8" t="n"/>
      <c r="G62" s="8" t="n"/>
      <c r="H62" s="8" t="n"/>
      <c r="I62" s="8" t="n"/>
      <c r="J62" s="8" t="n"/>
      <c r="K62" s="8" t="n"/>
      <c r="L62" s="8" t="n"/>
      <c r="M62" s="8" t="n"/>
      <c r="N62" s="8" t="n"/>
      <c r="O62" s="8" t="n"/>
      <c r="P62" s="8" t="n"/>
      <c r="Q62" s="8" t="n"/>
      <c r="R62" s="8" t="n"/>
      <c r="S62" s="8" t="n"/>
      <c r="T62" s="8" t="n"/>
      <c r="U62" s="8" t="n"/>
    </row>
    <row r="63">
      <c r="B63" s="8" t="n"/>
      <c r="C63" s="8" t="n"/>
      <c r="D63" s="8" t="n"/>
      <c r="E63" s="8" t="n"/>
      <c r="F63" s="8" t="n"/>
      <c r="G63" s="8" t="n"/>
      <c r="H63" s="8" t="n"/>
      <c r="I63" s="8" t="n"/>
      <c r="J63" s="8" t="n"/>
      <c r="K63" s="8" t="n"/>
      <c r="L63" s="8" t="n"/>
      <c r="M63" s="8" t="n"/>
      <c r="N63" s="8" t="n"/>
      <c r="O63" s="8" t="n"/>
      <c r="P63" s="8" t="n"/>
      <c r="Q63" s="8" t="n"/>
      <c r="R63" s="8" t="n"/>
      <c r="S63" s="8" t="n"/>
      <c r="T63" s="8" t="n"/>
      <c r="U63" s="8" t="n"/>
    </row>
    <row r="64">
      <c r="B64" s="8" t="n"/>
      <c r="C64" s="8" t="n"/>
      <c r="D64" s="8" t="n"/>
      <c r="E64" s="8" t="n"/>
      <c r="F64" s="8" t="n"/>
      <c r="G64" s="8" t="n"/>
      <c r="H64" s="8" t="n"/>
      <c r="I64" s="8" t="n"/>
      <c r="J64" s="8" t="n"/>
      <c r="K64" s="8" t="n"/>
      <c r="L64" s="8" t="n"/>
      <c r="M64" s="8" t="n"/>
      <c r="N64" s="8" t="n"/>
      <c r="O64" s="8" t="n"/>
      <c r="P64" s="8" t="n"/>
      <c r="Q64" s="8" t="n"/>
      <c r="R64" s="8" t="n"/>
      <c r="S64" s="8" t="n"/>
      <c r="T64" s="8" t="n"/>
      <c r="U64" s="8" t="n"/>
    </row>
    <row r="65">
      <c r="B65" s="8" t="n"/>
      <c r="C65" s="8" t="n"/>
      <c r="D65" s="8" t="n"/>
      <c r="E65" s="8" t="n"/>
      <c r="F65" s="8" t="n"/>
      <c r="G65" s="8" t="n"/>
      <c r="H65" s="8" t="n"/>
      <c r="I65" s="8" t="n"/>
      <c r="J65" s="8" t="n"/>
      <c r="K65" s="8" t="n"/>
      <c r="L65" s="8" t="n"/>
      <c r="M65" s="8" t="n"/>
      <c r="N65" s="8" t="n"/>
      <c r="O65" s="8" t="n"/>
      <c r="P65" s="8" t="n"/>
      <c r="Q65" s="8" t="n"/>
      <c r="R65" s="8" t="n"/>
      <c r="S65" s="8" t="n"/>
      <c r="T65" s="8" t="n"/>
      <c r="U65" s="8" t="n"/>
    </row>
    <row r="66">
      <c r="B66" s="8" t="n"/>
      <c r="C66" s="8" t="n"/>
      <c r="D66" s="8" t="n"/>
      <c r="E66" s="8" t="n"/>
      <c r="F66" s="8" t="n"/>
      <c r="G66" s="8" t="n"/>
      <c r="H66" s="8" t="n"/>
      <c r="I66" s="8" t="n"/>
      <c r="J66" s="8" t="n"/>
      <c r="K66" s="8" t="n"/>
      <c r="L66" s="8" t="n"/>
      <c r="M66" s="8" t="n"/>
      <c r="N66" s="8" t="n"/>
      <c r="O66" s="8" t="n"/>
      <c r="P66" s="8" t="n"/>
      <c r="Q66" s="8" t="n"/>
      <c r="R66" s="8" t="n"/>
      <c r="S66" s="8" t="n"/>
      <c r="T66" s="8" t="n"/>
      <c r="U66" s="8" t="n"/>
    </row>
  </sheetData>
  <dataValidations count="8">
    <dataValidation sqref="B7:B66" showDropDown="0" showInputMessage="0" showErrorMessage="0" allowBlank="1" errorTitle="Invalid entry" error="Please select from the dropdown" type="list">
      <formula1>=Lists!$K$2:$K$14</formula1>
    </dataValidation>
    <dataValidation sqref="E7:E66" showDropDown="0" showInputMessage="0" showErrorMessage="0" allowBlank="1" errorTitle="Invalid entry" error="Please select from the dropdown" type="list">
      <formula1>"Y,N"</formula1>
    </dataValidation>
    <dataValidation sqref="I7:I66" showDropDown="0" showInputMessage="0" showErrorMessage="0" allowBlank="1" errorTitle="Invalid entry" error="Please select from the dropdown" type="list">
      <formula1>"Y,N"</formula1>
    </dataValidation>
    <dataValidation sqref="J7:J66" showDropDown="0" showInputMessage="0" showErrorMessage="0" allowBlank="1" errorTitle="Invalid entry" error="Please select from the dropdown" type="list">
      <formula1>"Y,N"</formula1>
    </dataValidation>
    <dataValidation sqref="K7:K66" showDropDown="0" showInputMessage="0" showErrorMessage="0" allowBlank="1" errorTitle="Invalid entry" error="Please select from the dropdown" type="list">
      <formula1>"Y,N"</formula1>
    </dataValidation>
    <dataValidation sqref="L7:L66" showDropDown="0" showInputMessage="0" showErrorMessage="0" allowBlank="1" errorTitle="Invalid entry" error="Please select from the dropdown" type="list">
      <formula1>"Y,N"</formula1>
    </dataValidation>
    <dataValidation sqref="Q7:Q66" showDropDown="0" showInputMessage="0" showErrorMessage="0" allowBlank="1" errorTitle="Invalid entry" error="Please select from the dropdown" type="list">
      <formula1>"Y,N"</formula1>
    </dataValidation>
    <dataValidation sqref="U7:U66" showDropDown="0" showInputMessage="0" showErrorMessage="0" allowBlank="1" errorTitle="Invalid entry" error="Please select from the dropdown" type="list">
      <formula1>"Y,N"</formula1>
    </dataValidation>
  </dataValidation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19"/>
  <sheetViews>
    <sheetView showGridLines="0" workbookViewId="0">
      <selection activeCell="A1" sqref="A1"/>
    </sheetView>
  </sheetViews>
  <sheetFormatPr baseColWidth="8" defaultRowHeight="15"/>
  <cols>
    <col width="4" customWidth="1" min="1" max="1"/>
    <col width="8" customWidth="1" min="2" max="2"/>
    <col width="26" customWidth="1" min="3" max="3"/>
    <col width="30" customWidth="1" min="4" max="4"/>
    <col width="36" customWidth="1" min="5" max="5"/>
    <col width="40" customWidth="1" min="6" max="6"/>
    <col width="50" customWidth="1" min="7" max="7"/>
    <col width="10" customWidth="1" min="8" max="8"/>
    <col width="30" customWidth="1" min="9" max="9"/>
  </cols>
  <sheetData>
    <row r="1">
      <c r="A1" s="1" t="inlineStr">
        <is>
          <t>↑</t>
        </is>
      </c>
      <c r="B1" s="2" t="inlineStr">
        <is>
          <t>2026 Sustainability Report</t>
        </is>
      </c>
    </row>
    <row r="2">
      <c r="B2" s="3" t="inlineStr">
        <is>
          <t>P5. SR26 page index (URLs)</t>
        </is>
      </c>
    </row>
    <row r="5">
      <c r="B5" s="6" t="inlineStr">
        <is>
          <t>Ref</t>
        </is>
      </c>
      <c r="C5" s="6" t="inlineStr">
        <is>
          <t>Sustainability 2030 component</t>
        </is>
      </c>
      <c r="D5" s="6" t="inlineStr">
        <is>
          <t>Page name</t>
        </is>
      </c>
      <c r="E5" s="6" t="inlineStr">
        <is>
          <t>Story / case study</t>
        </is>
      </c>
      <c r="F5" s="6" t="inlineStr">
        <is>
          <t>SR26 link</t>
        </is>
      </c>
      <c r="G5" s="6" t="inlineStr">
        <is>
          <t>Page description</t>
        </is>
      </c>
      <c r="H5" s="6" t="inlineStr">
        <is>
          <t>Character count</t>
        </is>
      </c>
      <c r="I5" s="6" t="inlineStr">
        <is>
          <t>SR25 equivalent page</t>
        </is>
      </c>
    </row>
    <row r="6">
      <c r="B6" s="12" t="inlineStr">
        <is>
          <t>FM01</t>
        </is>
      </c>
      <c r="C6" s="8" t="inlineStr">
        <is>
          <t>N/A</t>
        </is>
      </c>
      <c r="D6" s="8" t="inlineStr">
        <is>
          <t>Landing page</t>
        </is>
      </c>
      <c r="E6" s="8" t="inlineStr"/>
      <c r="F6" s="8" t="inlineStr"/>
      <c r="G6" s="8" t="inlineStr"/>
      <c r="H6" s="8">
        <f>LEN(G6)</f>
        <v/>
      </c>
      <c r="I6" s="8" t="inlineStr"/>
    </row>
    <row r="7">
      <c r="B7" s="12" t="inlineStr">
        <is>
          <t>FM02</t>
        </is>
      </c>
      <c r="C7" s="8" t="inlineStr">
        <is>
          <t>N/A</t>
        </is>
      </c>
      <c r="D7" s="8" t="inlineStr">
        <is>
          <t>Overview (transition year)</t>
        </is>
      </c>
      <c r="E7" s="8" t="inlineStr"/>
      <c r="F7" s="8" t="inlineStr"/>
      <c r="G7" s="8" t="inlineStr"/>
      <c r="H7" s="8">
        <f>LEN(G7)</f>
        <v/>
      </c>
      <c r="I7" s="8" t="inlineStr"/>
    </row>
    <row r="8">
      <c r="B8" s="12" t="inlineStr">
        <is>
          <t>FM03</t>
        </is>
      </c>
      <c r="C8" s="8" t="inlineStr">
        <is>
          <t>N/A</t>
        </is>
      </c>
      <c r="D8" s="8" t="inlineStr">
        <is>
          <t>Our impact</t>
        </is>
      </c>
      <c r="E8" s="8" t="inlineStr"/>
      <c r="F8" s="8" t="inlineStr"/>
      <c r="G8" s="8" t="inlineStr"/>
      <c r="H8" s="8">
        <f>LEN(G8)</f>
        <v/>
      </c>
      <c r="I8" s="8" t="inlineStr"/>
    </row>
    <row r="9">
      <c r="B9" s="12" t="inlineStr">
        <is>
          <t>PA01</t>
        </is>
      </c>
      <c r="C9" s="8" t="inlineStr">
        <is>
          <t>Education and research</t>
        </is>
      </c>
      <c r="D9" s="8" t="inlineStr">
        <is>
          <t>Exceptional education</t>
        </is>
      </c>
      <c r="E9" s="8" t="inlineStr"/>
      <c r="F9" s="8" t="inlineStr"/>
      <c r="G9" s="8" t="inlineStr"/>
      <c r="H9" s="8">
        <f>LEN(G9)</f>
        <v/>
      </c>
      <c r="I9" s="8" t="inlineStr"/>
    </row>
    <row r="10">
      <c r="B10" s="12" t="inlineStr">
        <is>
          <t>PA02</t>
        </is>
      </c>
      <c r="C10" s="8" t="inlineStr">
        <is>
          <t>Education and research</t>
        </is>
      </c>
      <c r="D10" s="8" t="inlineStr">
        <is>
          <t>Transformational research</t>
        </is>
      </c>
      <c r="E10" s="8" t="inlineStr"/>
      <c r="F10" s="8" t="inlineStr"/>
      <c r="G10" s="8" t="inlineStr"/>
      <c r="H10" s="8">
        <f>LEN(G10)</f>
        <v/>
      </c>
      <c r="I10" s="8" t="inlineStr"/>
    </row>
    <row r="11">
      <c r="B11" s="12" t="inlineStr">
        <is>
          <t>PA03</t>
        </is>
      </c>
      <c r="C11" s="8" t="inlineStr">
        <is>
          <t>Sustainability leadership</t>
        </is>
      </c>
      <c r="D11" s="8" t="inlineStr">
        <is>
          <t>Climate leadership</t>
        </is>
      </c>
      <c r="E11" s="8" t="inlineStr"/>
      <c r="F11" s="8" t="inlineStr"/>
      <c r="G11" s="8" t="inlineStr"/>
      <c r="H11" s="8">
        <f>LEN(G11)</f>
        <v/>
      </c>
      <c r="I11" s="8" t="inlineStr"/>
    </row>
    <row r="12">
      <c r="B12" s="12" t="inlineStr">
        <is>
          <t>PA04</t>
        </is>
      </c>
      <c r="C12" s="8" t="inlineStr">
        <is>
          <t>Sustainability leadership</t>
        </is>
      </c>
      <c r="D12" s="8" t="inlineStr">
        <is>
          <t>Nature and biodiversity</t>
        </is>
      </c>
      <c r="E12" s="8" t="inlineStr"/>
      <c r="F12" s="8" t="inlineStr"/>
      <c r="G12" s="8" t="inlineStr"/>
      <c r="H12" s="8">
        <f>LEN(G12)</f>
        <v/>
      </c>
      <c r="I12" s="8" t="inlineStr"/>
    </row>
    <row r="13">
      <c r="B13" s="12" t="inlineStr">
        <is>
          <t>PA05</t>
        </is>
      </c>
      <c r="C13" s="8" t="inlineStr">
        <is>
          <t>Sustainability leadership</t>
        </is>
      </c>
      <c r="D13" s="8" t="inlineStr">
        <is>
          <t>Responsible AI</t>
        </is>
      </c>
      <c r="E13" s="8" t="inlineStr"/>
      <c r="F13" s="8" t="inlineStr"/>
      <c r="G13" s="8" t="inlineStr"/>
      <c r="H13" s="8">
        <f>LEN(G13)</f>
        <v/>
      </c>
      <c r="I13" s="8" t="inlineStr"/>
    </row>
    <row r="14">
      <c r="B14" s="12" t="inlineStr">
        <is>
          <t>PA06</t>
        </is>
      </c>
      <c r="C14" s="8" t="inlineStr">
        <is>
          <t>Resilient University</t>
        </is>
      </c>
      <c r="D14" s="8" t="inlineStr">
        <is>
          <t>Estate and infrastructure</t>
        </is>
      </c>
      <c r="E14" s="8" t="inlineStr"/>
      <c r="F14" s="8" t="inlineStr"/>
      <c r="G14" s="8" t="inlineStr"/>
      <c r="H14" s="8">
        <f>LEN(G14)</f>
        <v/>
      </c>
      <c r="I14" s="8" t="inlineStr"/>
    </row>
    <row r="15">
      <c r="B15" s="12" t="inlineStr">
        <is>
          <t>PA07</t>
        </is>
      </c>
      <c r="C15" s="8" t="inlineStr">
        <is>
          <t>Resilient University</t>
        </is>
      </c>
      <c r="D15" s="8" t="inlineStr">
        <is>
          <t>Circular economy</t>
        </is>
      </c>
      <c r="E15" s="8" t="inlineStr"/>
      <c r="F15" s="8" t="inlineStr"/>
      <c r="G15" s="8" t="inlineStr"/>
      <c r="H15" s="8">
        <f>LEN(G15)</f>
        <v/>
      </c>
      <c r="I15" s="8" t="inlineStr"/>
    </row>
    <row r="16">
      <c r="B16" s="12" t="inlineStr">
        <is>
          <t>PA08</t>
        </is>
      </c>
      <c r="C16" s="8" t="inlineStr">
        <is>
          <t>Resilient University</t>
        </is>
      </c>
      <c r="D16" s="8" t="inlineStr">
        <is>
          <t>Responsible procurement</t>
        </is>
      </c>
      <c r="E16" s="8" t="inlineStr"/>
      <c r="F16" s="8" t="inlineStr"/>
      <c r="G16" s="8" t="inlineStr"/>
      <c r="H16" s="8">
        <f>LEN(G16)</f>
        <v/>
      </c>
      <c r="I16" s="8" t="inlineStr"/>
    </row>
    <row r="17">
      <c r="B17" s="12" t="inlineStr">
        <is>
          <t>PA09</t>
        </is>
      </c>
      <c r="C17" s="8" t="inlineStr">
        <is>
          <t>Resilient University</t>
        </is>
      </c>
      <c r="D17" s="8" t="inlineStr">
        <is>
          <t>Modern slavery and human rights</t>
        </is>
      </c>
      <c r="E17" s="8" t="inlineStr"/>
      <c r="F17" s="8" t="inlineStr"/>
      <c r="G17" s="8" t="inlineStr"/>
      <c r="H17" s="8">
        <f>LEN(G17)</f>
        <v/>
      </c>
      <c r="I17" s="8" t="inlineStr"/>
    </row>
    <row r="18">
      <c r="B18" s="12" t="inlineStr">
        <is>
          <t>PA10</t>
        </is>
      </c>
      <c r="C18" s="8" t="inlineStr">
        <is>
          <t>Resilient University</t>
        </is>
      </c>
      <c r="D18" s="8" t="inlineStr">
        <is>
          <t>Responsible investments</t>
        </is>
      </c>
      <c r="E18" s="8" t="inlineStr"/>
      <c r="F18" s="8" t="inlineStr"/>
      <c r="G18" s="8" t="inlineStr"/>
      <c r="H18" s="8">
        <f>LEN(G18)</f>
        <v/>
      </c>
      <c r="I18" s="8" t="inlineStr"/>
    </row>
    <row r="19">
      <c r="B19" s="12" t="inlineStr">
        <is>
          <t>PA11</t>
        </is>
      </c>
      <c r="C19" s="8" t="inlineStr">
        <is>
          <t>Enablers</t>
        </is>
      </c>
      <c r="D19" s="8" t="inlineStr">
        <is>
          <t>Enablers</t>
        </is>
      </c>
      <c r="E19" s="8" t="inlineStr"/>
      <c r="F19" s="8" t="inlineStr"/>
      <c r="G19" s="8" t="inlineStr"/>
      <c r="H19" s="8">
        <f>LEN(G19)</f>
        <v/>
      </c>
      <c r="I19" s="8" t="inlineStr"/>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B1:K14"/>
  <sheetViews>
    <sheetView workbookViewId="0">
      <selection activeCell="A1" sqref="A1"/>
    </sheetView>
  </sheetViews>
  <sheetFormatPr baseColWidth="8" defaultRowHeight="15"/>
  <sheetData>
    <row r="1">
      <c r="B1" t="inlineStr">
        <is>
          <t>End 2026 target status</t>
        </is>
      </c>
      <c r="C1" t="inlineStr">
        <is>
          <t>Data owner confirms</t>
        </is>
      </c>
      <c r="D1" t="inlineStr">
        <is>
          <t>Request status</t>
        </is>
      </c>
      <c r="E1" t="inlineStr">
        <is>
          <t>Y/N</t>
        </is>
      </c>
      <c r="G1" t="inlineStr">
        <is>
          <t>Target status</t>
        </is>
      </c>
      <c r="H1" t="inlineStr">
        <is>
          <t>Score</t>
        </is>
      </c>
      <c r="I1" t="inlineStr">
        <is>
          <t>Response count</t>
        </is>
      </c>
      <c r="K1" t="inlineStr">
        <is>
          <t>Report section</t>
        </is>
      </c>
    </row>
    <row r="2">
      <c r="B2" t="inlineStr">
        <is>
          <t>Please select from dropdown</t>
        </is>
      </c>
      <c r="C2" t="inlineStr">
        <is>
          <t>Yes</t>
        </is>
      </c>
      <c r="D2" t="inlineStr">
        <is>
          <t>Not sent</t>
        </is>
      </c>
      <c r="E2" t="inlineStr">
        <is>
          <t>Yes</t>
        </is>
      </c>
      <c r="G2" t="inlineStr">
        <is>
          <t>Met or exceeded</t>
        </is>
      </c>
      <c r="H2" t="n">
        <v>3</v>
      </c>
      <c r="I2" t="n">
        <v>1</v>
      </c>
      <c r="K2" t="inlineStr">
        <is>
          <t>Report introduction</t>
        </is>
      </c>
    </row>
    <row r="3">
      <c r="B3" t="inlineStr">
        <is>
          <t>Met or exceeded</t>
        </is>
      </c>
      <c r="C3" t="inlineStr">
        <is>
          <t>No</t>
        </is>
      </c>
      <c r="D3" t="inlineStr">
        <is>
          <t>Sent</t>
        </is>
      </c>
      <c r="E3" t="inlineStr">
        <is>
          <t>No</t>
        </is>
      </c>
      <c r="G3" t="inlineStr">
        <is>
          <t>Partially met</t>
        </is>
      </c>
      <c r="H3" t="n">
        <v>2</v>
      </c>
      <c r="I3" t="n">
        <v>1</v>
      </c>
      <c r="K3" t="inlineStr">
        <is>
          <t>Our impact</t>
        </is>
      </c>
    </row>
    <row r="4">
      <c r="B4" t="inlineStr">
        <is>
          <t>Partially met</t>
        </is>
      </c>
      <c r="C4" t="inlineStr">
        <is>
          <t>Partially – see comments</t>
        </is>
      </c>
      <c r="D4" t="inlineStr">
        <is>
          <t>Chased</t>
        </is>
      </c>
      <c r="E4" t="inlineStr">
        <is>
          <t>TBC</t>
        </is>
      </c>
      <c r="G4" t="inlineStr">
        <is>
          <t>Not met</t>
        </is>
      </c>
      <c r="H4" t="n">
        <v>1</v>
      </c>
      <c r="I4" t="n">
        <v>1</v>
      </c>
      <c r="K4" t="inlineStr">
        <is>
          <t>Exceptional education</t>
        </is>
      </c>
    </row>
    <row r="5">
      <c r="B5" t="inlineStr">
        <is>
          <t>Not met</t>
        </is>
      </c>
      <c r="D5" t="inlineStr">
        <is>
          <t>Support meeting</t>
        </is>
      </c>
      <c r="G5" t="inlineStr">
        <is>
          <t>Not yet started</t>
        </is>
      </c>
      <c r="H5" t="n">
        <v>0</v>
      </c>
      <c r="I5" t="n">
        <v>1</v>
      </c>
      <c r="K5" t="inlineStr">
        <is>
          <t>Transformational research</t>
        </is>
      </c>
    </row>
    <row r="6">
      <c r="B6" t="inlineStr">
        <is>
          <t>Not yet started</t>
        </is>
      </c>
      <c r="D6" t="inlineStr">
        <is>
          <t>Received</t>
        </is>
      </c>
      <c r="K6" t="inlineStr">
        <is>
          <t>Climate leadership</t>
        </is>
      </c>
    </row>
    <row r="7">
      <c r="B7" t="inlineStr">
        <is>
          <t>Not applicable</t>
        </is>
      </c>
      <c r="D7" t="inlineStr">
        <is>
          <t>Under review</t>
        </is>
      </c>
      <c r="K7" t="inlineStr">
        <is>
          <t>Nature and biodiversity</t>
        </is>
      </c>
    </row>
    <row r="8">
      <c r="D8" t="inlineStr">
        <is>
          <t>Complete</t>
        </is>
      </c>
      <c r="K8" t="inlineStr">
        <is>
          <t>Responsible AI</t>
        </is>
      </c>
    </row>
    <row r="9">
      <c r="D9" t="inlineStr">
        <is>
          <t>Not required</t>
        </is>
      </c>
      <c r="K9" t="inlineStr">
        <is>
          <t>Estate and infrastructure</t>
        </is>
      </c>
    </row>
    <row r="10">
      <c r="K10" t="inlineStr">
        <is>
          <t>Circular economy</t>
        </is>
      </c>
    </row>
    <row r="11">
      <c r="K11" t="inlineStr">
        <is>
          <t>Responsible procurement</t>
        </is>
      </c>
    </row>
    <row r="12">
      <c r="K12" t="inlineStr">
        <is>
          <t>Modern slavery and human rights</t>
        </is>
      </c>
    </row>
    <row r="13">
      <c r="K13" t="inlineStr">
        <is>
          <t>Responsible investments</t>
        </is>
      </c>
    </row>
    <row r="14">
      <c r="K14" t="inlineStr">
        <is>
          <t>Enablers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2026-10-06T01:41:06Z</dcterms:created>
  <dcterms:modified xmlns:dcterms="http://purl.org/dc/terms/" xmlns:xsi="http://www.w3.org/2001/XMLSchema-instance" xsi:type="dcterms:W3CDTF">2026-10-06T01:41:21Z</dcterms:modified>
</cp:coreProperties>
</file>