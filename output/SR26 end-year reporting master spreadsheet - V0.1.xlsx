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A1. Data scoring" sheetId="12" state="visible" r:id="rId12"/>
    <sheet xmlns:r="http://schemas.openxmlformats.org/officeDocument/2006/relationships" name="0.5 Target Check" sheetId="13" state="visible" r:id="rId13"/>
    <sheet xmlns:r="http://schemas.openxmlformats.org/officeDocument/2006/relationships" name="T2. Single target review" sheetId="14" state="visible" r:id="rId14"/>
    <sheet xmlns:r="http://schemas.openxmlformats.org/officeDocument/2006/relationships" name="Request wording log" sheetId="15" state="visible" r:id="rId15"/>
    <sheet xmlns:r="http://schemas.openxmlformats.org/officeDocument/2006/relationships" name="Highlighted stories" sheetId="16" state="visible" r:id="rId16"/>
    <sheet xmlns:r="http://schemas.openxmlformats.org/officeDocument/2006/relationships" name="Evidence register" sheetId="17" state="visible" r:id="rId17"/>
    <sheet xmlns:r="http://schemas.openxmlformats.org/officeDocument/2006/relationships" name="Issues log" sheetId="18" state="visible" r:id="rId18"/>
    <sheet xmlns:r="http://schemas.openxmlformats.org/officeDocument/2006/relationships" name="Lists" sheetId="19" state="hidden" r:id="rId19"/>
  </sheets>
  <definedNames>
    <definedName name="_xlnm._FilterDatabase" localSheetId="1" hidden="1">'1. Requirements matrix'!$B$5:$P$53</definedName>
    <definedName name="_xlnm._FilterDatabase" localSheetId="11" hidden="1">'A1. Data scoring'!$B$10:$AE$298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b val="1"/>
      <sz val="14"/>
    </font>
    <font>
      <name val="Aptos"/>
      <b val="1"/>
      <color rgb="00002060"/>
      <sz val="13"/>
    </font>
  </fonts>
  <fills count="9">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17" fillId="0" borderId="0" pivotButton="0" quotePrefix="0" xfId="0"/>
    <xf numFmtId="0" fontId="8" fillId="7" borderId="1" applyAlignment="1" pivotButton="0" quotePrefix="0" xfId="0">
      <alignment vertical="top"/>
    </xf>
    <xf numFmtId="0" fontId="8" fillId="6" borderId="1" applyAlignment="1" pivotButton="0" quotePrefix="0" xfId="0">
      <alignment vertical="top" wrapText="1"/>
    </xf>
    <xf numFmtId="2" fontId="8" fillId="6" borderId="1" applyAlignment="1" pivotButton="0" quotePrefix="0" xfId="0">
      <alignment vertical="top" wrapText="1"/>
    </xf>
    <xf numFmtId="9" fontId="8" fillId="6" borderId="1" applyAlignment="1" pivotButton="0" quotePrefix="0" xfId="0">
      <alignment vertical="top" wrapText="1"/>
    </xf>
    <xf numFmtId="0" fontId="7" fillId="0" borderId="1" applyAlignment="1" pivotButton="0" quotePrefix="0" xfId="0">
      <alignment vertical="top" wrapText="1"/>
    </xf>
    <xf numFmtId="0" fontId="18" fillId="4" borderId="2" pivotButton="0" quotePrefix="0" xfId="0"/>
    <xf numFmtId="0" fontId="4" fillId="2" borderId="1" pivotButton="0" quotePrefix="0" xfId="0"/>
    <xf numFmtId="0" fontId="0" fillId="0" borderId="1" applyAlignment="1" pivotButton="0" quotePrefix="0" xfId="0">
      <alignment vertical="top" wrapText="1"/>
    </xf>
    <xf numFmtId="0" fontId="11" fillId="0" borderId="0" applyAlignment="1" pivotButton="0" quotePrefix="0" xfId="0">
      <alignment vertical="top" wrapText="1"/>
    </xf>
    <xf numFmtId="0" fontId="19" fillId="0" borderId="0" pivotButton="0" quotePrefix="0" xfId="0"/>
    <xf numFmtId="9" fontId="19" fillId="0" borderId="0" pivotButton="0" quotePrefix="0" xfId="0"/>
    <xf numFmtId="0" fontId="7" fillId="8" borderId="1" applyAlignment="1" pivotButton="0" quotePrefix="0" xfId="0">
      <alignment vertical="top" wrapText="1"/>
    </xf>
    <xf numFmtId="0" fontId="8"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8"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5 central units (CI&amp;S, CFOG, ESG, CIOG, MRE).</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315"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12" customWidth="1" min="16" max="16"/>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H15" s="8" t="inlineStr"/>
      <c r="I15" s="8" t="inlineStr">
        <is>
          <t>TBC – no owner identified</t>
        </is>
      </c>
      <c r="J15" s="8" t="inlineStr"/>
      <c r="K15" s="8" t="inlineStr">
        <is>
          <t>Both</t>
        </is>
      </c>
      <c r="L15" s="8" t="inlineStr">
        <is>
          <t>No</t>
        </is>
      </c>
      <c r="M15" s="8" t="inlineStr">
        <is>
          <t>documented progress imply that university have good governance over the management of initiatives and therefore could provide percentage of milestone completion</t>
        </is>
      </c>
      <c r="N15" s="8" t="inlineStr"/>
      <c r="O15" s="8" t="inlineStr">
        <is>
          <t>Databook / central data owner</t>
        </is>
      </c>
      <c r="P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currently mapped to the SDGs using SciVal</t>
        </is>
      </c>
      <c r="H16" s="8" t="inlineStr">
        <is>
          <t>MRE</t>
        </is>
      </c>
      <c r="I16" s="8" t="inlineStr">
        <is>
          <t>MRE</t>
        </is>
      </c>
      <c r="J16" s="8" t="inlineStr"/>
      <c r="K16" s="8" t="inlineStr">
        <is>
          <t>Both</t>
        </is>
      </c>
      <c r="L16" s="8" t="inlineStr">
        <is>
          <t>No</t>
        </is>
      </c>
      <c r="M16" s="8" t="inlineStr"/>
      <c r="N16" s="8" t="inlineStr"/>
      <c r="O16" s="8" t="inlineStr">
        <is>
          <t>Tailored request</t>
        </is>
      </c>
      <c r="P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7" s="8" t="inlineStr">
        <is>
          <t>Faculties, CI&amp;S</t>
        </is>
      </c>
      <c r="I17" s="8" t="inlineStr">
        <is>
          <t>Faculties (pilot), CI&amp;S</t>
        </is>
      </c>
      <c r="J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7" s="8" t="inlineStr">
        <is>
          <t>Both</t>
        </is>
      </c>
      <c r="L17" s="8" t="inlineStr">
        <is>
          <t>No</t>
        </is>
      </c>
      <c r="M17" s="8" t="inlineStr"/>
      <c r="N17" s="8" t="inlineStr">
        <is>
          <t>5b(i)</t>
        </is>
      </c>
      <c r="O17" s="8" t="inlineStr">
        <is>
          <t>Tailored request</t>
        </is>
      </c>
      <c r="P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Please describe how sustainability considerations are integrated into research systems, planning processes, guidance, training, induction or support services within your Faculty/Portfolio, could include examples of any new or improved processes.</t>
        </is>
      </c>
      <c r="H18" s="8" t="inlineStr">
        <is>
          <t>Faculties, CI&amp;S</t>
        </is>
      </c>
      <c r="I18" s="8" t="inlineStr">
        <is>
          <t>Faculties (pilot), CI&amp;S</t>
        </is>
      </c>
      <c r="J18" s="8" t="inlineStr"/>
      <c r="K18" s="8" t="inlineStr">
        <is>
          <t>Both</t>
        </is>
      </c>
      <c r="L18" s="8" t="inlineStr">
        <is>
          <t>No</t>
        </is>
      </c>
      <c r="M18" s="8" t="inlineStr"/>
      <c r="N18" s="8" t="inlineStr">
        <is>
          <t>5c(ii)</t>
        </is>
      </c>
      <c r="O18" s="8" t="inlineStr">
        <is>
          <t>Tailored request</t>
        </is>
      </c>
      <c r="P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9" s="8" t="inlineStr">
        <is>
          <t>Faculties, CI&amp;S, CFOG</t>
        </is>
      </c>
      <c r="I19" s="8" t="inlineStr">
        <is>
          <t>Faculties (pilot), CI&amp;S, CFOG</t>
        </is>
      </c>
      <c r="J19" s="8" t="inlineStr"/>
      <c r="K19" s="8" t="inlineStr">
        <is>
          <t>Both</t>
        </is>
      </c>
      <c r="L19" s="8" t="inlineStr">
        <is>
          <t>No</t>
        </is>
      </c>
      <c r="M19" s="8" t="inlineStr"/>
      <c r="N19" s="8" t="inlineStr">
        <is>
          <t>5c(ii)</t>
        </is>
      </c>
      <c r="O19" s="8" t="inlineStr">
        <is>
          <t>Tailored request</t>
        </is>
      </c>
      <c r="P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20" s="8" t="inlineStr">
        <is>
          <t>Faculties</t>
        </is>
      </c>
      <c r="I20" s="8" t="inlineStr">
        <is>
          <t>Faculties (pilot)</t>
        </is>
      </c>
      <c r="J20" s="8" t="inlineStr">
        <is>
          <t>Melbourne Research and Enterprise (Nishi Raja-Stranger; Ivan Marusic) - MRE will be a key reporter for all research targets.</t>
        </is>
      </c>
      <c r="K20" s="8" t="inlineStr">
        <is>
          <t>Both</t>
        </is>
      </c>
      <c r="L20" s="8" t="inlineStr">
        <is>
          <t>No</t>
        </is>
      </c>
      <c r="M20" s="8" t="inlineStr"/>
      <c r="N20" s="8" t="inlineStr"/>
      <c r="O20" s="8" t="inlineStr">
        <is>
          <t>Tailored request</t>
        </is>
      </c>
      <c r="P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Faculty/Portfolio’s assessment of progress in embedding sustainable research practices, highlighting areas of strong progress, remaining gaps and priority actions for further improvement.</t>
        </is>
      </c>
      <c r="H21" s="8" t="inlineStr">
        <is>
          <t>Faculties</t>
        </is>
      </c>
      <c r="I21" s="8" t="inlineStr">
        <is>
          <t>Faculties (pilot)</t>
        </is>
      </c>
      <c r="J21" s="8" t="inlineStr"/>
      <c r="K21" s="8" t="inlineStr">
        <is>
          <t>Both</t>
        </is>
      </c>
      <c r="L21" s="8" t="inlineStr">
        <is>
          <t>No</t>
        </is>
      </c>
      <c r="M21" s="8" t="inlineStr"/>
      <c r="N21" s="8" t="inlineStr"/>
      <c r="O21" s="8" t="inlineStr">
        <is>
          <t>Tailored request</t>
        </is>
      </c>
      <c r="P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Total scope 1,2 and 3 emissions (tCO2-e); emissions by scope; % reduction from previous baseline; % renewable electircity produced</t>
        </is>
      </c>
      <c r="H22" s="8" t="inlineStr"/>
      <c r="I22" s="8" t="inlineStr">
        <is>
          <t>TBC – no owner identified</t>
        </is>
      </c>
      <c r="J22" s="8" t="inlineStr"/>
      <c r="K22" s="8" t="inlineStr">
        <is>
          <t>Both</t>
        </is>
      </c>
      <c r="L22" s="8" t="inlineStr">
        <is>
          <t>No</t>
        </is>
      </c>
      <c r="M22" s="8" t="inlineStr">
        <is>
          <t>Directly measures progress against the stated emission reduction targets and allows annual comparison against the baseline and trajectory</t>
        </is>
      </c>
      <c r="N22" s="8" t="inlineStr"/>
      <c r="O22" s="8" t="inlineStr">
        <is>
          <t>Databook / central data owner</t>
        </is>
      </c>
      <c r="P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Greenhouse gas emissions by FTE, EFTSL, and Gross floor area (https://www.unimelb.edu.au/sustainabilityreport/2025/data-tables#GHGe-scope)</t>
        </is>
      </c>
      <c r="H23" s="8" t="inlineStr"/>
      <c r="I23" s="8" t="inlineStr">
        <is>
          <t>TBC – no owner identified</t>
        </is>
      </c>
      <c r="J23" s="8" t="inlineStr"/>
      <c r="K23" s="8" t="inlineStr">
        <is>
          <t>Both</t>
        </is>
      </c>
      <c r="L23" s="8" t="inlineStr">
        <is>
          <t>Yes</t>
        </is>
      </c>
      <c r="M23" s="8" t="inlineStr">
        <is>
          <t>Quantiative indicator</t>
        </is>
      </c>
      <c r="N23" s="8" t="inlineStr"/>
      <c r="O23" s="8" t="inlineStr">
        <is>
          <t>Databook / central data owner</t>
        </is>
      </c>
      <c r="P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c r="H24" s="8" t="inlineStr">
        <is>
          <t>CI&amp;S</t>
        </is>
      </c>
      <c r="I24" s="8" t="inlineStr">
        <is>
          <t>CI&amp;S</t>
        </is>
      </c>
      <c r="J24" s="8" t="inlineStr"/>
      <c r="K24" s="8" t="inlineStr">
        <is>
          <t>Both</t>
        </is>
      </c>
      <c r="L24" s="8" t="inlineStr">
        <is>
          <t>Yes</t>
        </is>
      </c>
      <c r="M24" s="8" t="inlineStr">
        <is>
          <t>Need to review again on 2030. The climate target itself is still two months old</t>
        </is>
      </c>
      <c r="N24" s="8" t="inlineStr"/>
      <c r="O24" s="8" t="inlineStr">
        <is>
          <t>Tailored request</t>
        </is>
      </c>
      <c r="P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5" s="8" t="inlineStr">
        <is>
          <t>Faculties, CI&amp;S</t>
        </is>
      </c>
      <c r="I25" s="8" t="inlineStr">
        <is>
          <t>Faculties (pilot), CI&amp;S</t>
        </is>
      </c>
      <c r="J25" s="8" t="inlineStr"/>
      <c r="K25" s="8" t="inlineStr">
        <is>
          <t>Both</t>
        </is>
      </c>
      <c r="L25" s="8" t="inlineStr">
        <is>
          <t>No</t>
        </is>
      </c>
      <c r="M25" s="8" t="inlineStr"/>
      <c r="N25" s="8" t="inlineStr"/>
      <c r="O25" s="8" t="inlineStr">
        <is>
          <t>Tailored request</t>
        </is>
      </c>
      <c r="P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Number of pipelined projects or research transitioned from opportunity to active per year</t>
        </is>
      </c>
      <c r="H26" s="8" t="inlineStr"/>
      <c r="I26" s="8" t="inlineStr">
        <is>
          <t>TBC – no owner identified</t>
        </is>
      </c>
      <c r="J26" s="8" t="inlineStr"/>
      <c r="K26" s="8" t="inlineStr">
        <is>
          <t>Both</t>
        </is>
      </c>
      <c r="L26" s="8" t="inlineStr">
        <is>
          <t>No</t>
        </is>
      </c>
      <c r="M26" s="8" t="inlineStr">
        <is>
          <t>Pipeline can be quantitatively tracked through volume and progression, but since the target is prioritised pipeline, showing number of sucessful pipeline transitioned is more desirable</t>
        </is>
      </c>
      <c r="N26" s="8" t="inlineStr"/>
      <c r="O26" s="8" t="inlineStr">
        <is>
          <t>Databook / central data owner</t>
        </is>
      </c>
      <c r="P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List and describe communications from the faculty in terms of climate action, research and learning to inform policy, sector and community decarbonisation efforts</t>
        </is>
      </c>
      <c r="H27" s="8" t="inlineStr">
        <is>
          <t>Faculties,</t>
        </is>
      </c>
      <c r="I27" s="8" t="inlineStr">
        <is>
          <t>Faculties (pilot)</t>
        </is>
      </c>
      <c r="J27" s="8" t="inlineStr"/>
      <c r="K27" s="8" t="inlineStr">
        <is>
          <t>Both</t>
        </is>
      </c>
      <c r="L27" s="8" t="inlineStr">
        <is>
          <t>No</t>
        </is>
      </c>
      <c r="M27" s="8" t="inlineStr"/>
      <c r="N27" s="8" t="inlineStr"/>
      <c r="O27" s="8" t="inlineStr">
        <is>
          <t>Tailored request</t>
        </is>
      </c>
      <c r="P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Provide update of University maturity assesment. Include maturity ratings, key gaps and priority improvement actions.when available</t>
        </is>
      </c>
      <c r="H28" s="8" t="inlineStr">
        <is>
          <t>CI&amp;S</t>
        </is>
      </c>
      <c r="I28" s="8" t="inlineStr">
        <is>
          <t>CI&amp;S</t>
        </is>
      </c>
      <c r="J28" s="8" t="inlineStr"/>
      <c r="K28" s="8" t="inlineStr">
        <is>
          <t>Both</t>
        </is>
      </c>
      <c r="L28" s="8" t="inlineStr">
        <is>
          <t>No</t>
        </is>
      </c>
      <c r="M28" s="8" t="inlineStr">
        <is>
          <t>Could check with Gerard. Gerard is the one who manage this indicator</t>
        </is>
      </c>
      <c r="N28" s="8" t="inlineStr"/>
      <c r="O28" s="8" t="inlineStr">
        <is>
          <t>Tailored request</t>
        </is>
      </c>
      <c r="P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7 diversity metrics from https://sustainablecampus.unimelb.edu.au/biodiversity/biodiversity-baseline-data-project#main-content</t>
        </is>
      </c>
      <c r="H29" s="8" t="inlineStr"/>
      <c r="I29" s="8" t="inlineStr">
        <is>
          <t>TBC – no owner identified</t>
        </is>
      </c>
      <c r="J29" s="8" t="inlineStr"/>
      <c r="K29" s="8" t="inlineStr">
        <is>
          <t>Both</t>
        </is>
      </c>
      <c r="L29" s="8" t="inlineStr">
        <is>
          <t>No</t>
        </is>
      </c>
      <c r="M29" s="8" t="inlineStr">
        <is>
          <t>Quantitative indicator</t>
        </is>
      </c>
      <c r="N29" s="8" t="inlineStr"/>
      <c r="O29" s="8" t="inlineStr">
        <is>
          <t>Databook / central data owner</t>
        </is>
      </c>
      <c r="P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c r="H30" s="8" t="inlineStr">
        <is>
          <t>Rachel</t>
        </is>
      </c>
      <c r="I30" s="8" t="inlineStr">
        <is>
          <t>ESG</t>
        </is>
      </c>
      <c r="J30" s="8" t="inlineStr"/>
      <c r="K30" s="8" t="inlineStr">
        <is>
          <t>Internal</t>
        </is>
      </c>
      <c r="L30" s="8" t="inlineStr">
        <is>
          <t>No</t>
        </is>
      </c>
      <c r="M30" s="8" t="inlineStr">
        <is>
          <t>Havent been previously disclose publicly</t>
        </is>
      </c>
      <c r="N30" s="8" t="inlineStr"/>
      <c r="O30" s="8" t="inlineStr">
        <is>
          <t>Tailored request</t>
        </is>
      </c>
      <c r="P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c r="H31" s="8" t="inlineStr">
        <is>
          <t>ESG</t>
        </is>
      </c>
      <c r="I31" s="8" t="inlineStr">
        <is>
          <t>ESG</t>
        </is>
      </c>
      <c r="J31" s="8" t="inlineStr"/>
      <c r="K31" s="8" t="inlineStr">
        <is>
          <t>Both</t>
        </is>
      </c>
      <c r="L31" s="8" t="inlineStr">
        <is>
          <t>No</t>
        </is>
      </c>
      <c r="M31" s="8" t="inlineStr">
        <is>
          <t>Follow up with Rachel</t>
        </is>
      </c>
      <c r="N31" s="8" t="inlineStr"/>
      <c r="O31" s="8" t="inlineStr">
        <is>
          <t>Tailored request</t>
        </is>
      </c>
      <c r="P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Please provide the current definition and quantified assessment of campus ecological connectivity, could include the methodology used, campuses covered, baseline or benchmark values, and any material change over the reporting period.</t>
        </is>
      </c>
      <c r="H32" s="8" t="inlineStr">
        <is>
          <t>ESG</t>
        </is>
      </c>
      <c r="I32" s="8" t="inlineStr">
        <is>
          <t>ESG</t>
        </is>
      </c>
      <c r="J32" s="8" t="inlineStr"/>
      <c r="K32" s="8" t="inlineStr">
        <is>
          <t>Both</t>
        </is>
      </c>
      <c r="L32" s="8" t="inlineStr">
        <is>
          <t>No</t>
        </is>
      </c>
      <c r="M32" s="8" t="inlineStr"/>
      <c r="N32" s="8" t="inlineStr"/>
      <c r="O32" s="8" t="inlineStr">
        <is>
          <t>Tailored request</t>
        </is>
      </c>
      <c r="P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Impact Encore Measurement</t>
        </is>
      </c>
      <c r="H33" s="8" t="inlineStr">
        <is>
          <t>MBI</t>
        </is>
      </c>
      <c r="I33" s="8" t="inlineStr">
        <is>
          <t>MRE</t>
        </is>
      </c>
      <c r="J33" s="8" t="inlineStr"/>
      <c r="K33" s="8" t="inlineStr">
        <is>
          <t>Both</t>
        </is>
      </c>
      <c r="L33" s="8" t="inlineStr">
        <is>
          <t>No</t>
        </is>
      </c>
      <c r="M33" s="8" t="inlineStr"/>
      <c r="N33" s="8" t="inlineStr"/>
      <c r="O33" s="8" t="inlineStr">
        <is>
          <t>Tailored request</t>
        </is>
      </c>
      <c r="P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Please describe the framework established to monitor and track supply-chain impacts on nature over time, could include metrics, data sources, governance/ownership, reporting frequency and current implementation status.</t>
        </is>
      </c>
      <c r="H34" s="8" t="inlineStr">
        <is>
          <t>ESG</t>
        </is>
      </c>
      <c r="I34" s="8" t="inlineStr">
        <is>
          <t>ESG</t>
        </is>
      </c>
      <c r="J34" s="8" t="inlineStr">
        <is>
          <t>Melbourne Biodiversity Institute (MBI) - Brendan Wintle and August Wylynko</t>
        </is>
      </c>
      <c r="K34" s="8" t="inlineStr">
        <is>
          <t>Both</t>
        </is>
      </c>
      <c r="L34" s="8" t="inlineStr">
        <is>
          <t>No</t>
        </is>
      </c>
      <c r="M34" s="8" t="inlineStr"/>
      <c r="N34" s="8" t="inlineStr"/>
      <c r="O34" s="8" t="inlineStr">
        <is>
          <t>Tailored request</t>
        </is>
      </c>
      <c r="P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Please provide the prioritised high-risk procurement categories and/or suppliers identified for nature-impact management, could include the basis for prioritisation and any risk-management, engagement or mitigation actions undertaken or planned.</t>
        </is>
      </c>
      <c r="H35" s="8" t="inlineStr">
        <is>
          <t>ESG, CFOG</t>
        </is>
      </c>
      <c r="I35" s="8" t="inlineStr">
        <is>
          <t>CFOG, ESG</t>
        </is>
      </c>
      <c r="J35" s="8" t="inlineStr">
        <is>
          <t>MBI</t>
        </is>
      </c>
      <c r="K35" s="8" t="inlineStr">
        <is>
          <t>Both</t>
        </is>
      </c>
      <c r="L35" s="8" t="inlineStr">
        <is>
          <t>No</t>
        </is>
      </c>
      <c r="M35" s="8" t="inlineStr"/>
      <c r="N35" s="8" t="inlineStr"/>
      <c r="O35" s="8" t="inlineStr">
        <is>
          <t>Tailored request</t>
        </is>
      </c>
      <c r="P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c r="H36" s="8" t="inlineStr">
        <is>
          <t>CI&amp;S, CIOG</t>
        </is>
      </c>
      <c r="I36" s="8" t="inlineStr">
        <is>
          <t>CI&amp;S, CIOG</t>
        </is>
      </c>
      <c r="J36" s="8" t="inlineStr"/>
      <c r="K36" s="8" t="inlineStr">
        <is>
          <t>Both</t>
        </is>
      </c>
      <c r="L36" s="8" t="inlineStr">
        <is>
          <t>Yes</t>
        </is>
      </c>
      <c r="M36" s="8" t="inlineStr">
        <is>
          <t>Rose &amp; Sally currently actively managing this target and indicator. High level overview on 2026, will work on the detailed measurement next year</t>
        </is>
      </c>
      <c r="N36" s="8" t="inlineStr"/>
      <c r="O36" s="8" t="inlineStr">
        <is>
          <t>Tailored request</t>
        </is>
      </c>
      <c r="P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Please provide case studies from your Faculty/Portfolio of sustainability and AI-related education, research or collaboration activities, describing the activity, participants or partners, sustainability issue addressed and key outcomes or lessons.</t>
        </is>
      </c>
      <c r="H37" s="8" t="inlineStr">
        <is>
          <t>CI&amp;S, CIOG</t>
        </is>
      </c>
      <c r="I37" s="8" t="inlineStr">
        <is>
          <t>CI&amp;S, CIOG</t>
        </is>
      </c>
      <c r="J37" s="8" t="inlineStr">
        <is>
          <t>AI Steering Committee - developing AI roadmap, which includes responsible AI as a key pillar.</t>
        </is>
      </c>
      <c r="K37" s="8" t="inlineStr">
        <is>
          <t>Both</t>
        </is>
      </c>
      <c r="L37" s="8" t="inlineStr">
        <is>
          <t>No</t>
        </is>
      </c>
      <c r="M37" s="8" t="inlineStr"/>
      <c r="N37" s="8" t="inlineStr"/>
      <c r="O37" s="8" t="inlineStr">
        <is>
          <t>Tailored request</t>
        </is>
      </c>
      <c r="P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8" s="8" t="inlineStr">
        <is>
          <t>CI&amp;S</t>
        </is>
      </c>
      <c r="I38" s="8" t="inlineStr">
        <is>
          <t>CI&amp;S</t>
        </is>
      </c>
      <c r="J38" s="8" t="inlineStr">
        <is>
          <t>CI&amp;S - Estate Planning and Development teams</t>
        </is>
      </c>
      <c r="K38" s="8" t="inlineStr">
        <is>
          <t>Both</t>
        </is>
      </c>
      <c r="L38" s="8" t="inlineStr">
        <is>
          <t>No</t>
        </is>
      </c>
      <c r="M38" s="8" t="inlineStr">
        <is>
          <t>Facilitated by Gerard</t>
        </is>
      </c>
      <c r="N38" s="8" t="inlineStr"/>
      <c r="O38" s="8" t="inlineStr">
        <is>
          <t>Tailored request</t>
        </is>
      </c>
      <c r="P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9" s="8" t="inlineStr">
        <is>
          <t>CI&amp;S</t>
        </is>
      </c>
      <c r="I39" s="8" t="inlineStr">
        <is>
          <t>CI&amp;S</t>
        </is>
      </c>
      <c r="J39" s="8" t="inlineStr">
        <is>
          <t>CI&amp;S - Estate Planning and Development teams</t>
        </is>
      </c>
      <c r="K39" s="8" t="inlineStr">
        <is>
          <t>Both</t>
        </is>
      </c>
      <c r="L39" s="8" t="inlineStr">
        <is>
          <t>No</t>
        </is>
      </c>
      <c r="M39" s="8" t="inlineStr"/>
      <c r="N39" s="8" t="inlineStr"/>
      <c r="O39" s="8" t="inlineStr">
        <is>
          <t>Tailored request</t>
        </is>
      </c>
      <c r="P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40" s="8" t="inlineStr">
        <is>
          <t>CI&amp;S</t>
        </is>
      </c>
      <c r="I40" s="8" t="inlineStr">
        <is>
          <t>CI&amp;S</t>
        </is>
      </c>
      <c r="J40" s="8" t="inlineStr">
        <is>
          <t>CI&amp;S - Estate Planning and Development teams</t>
        </is>
      </c>
      <c r="K40" s="8" t="inlineStr">
        <is>
          <t>Both</t>
        </is>
      </c>
      <c r="L40" s="8" t="inlineStr">
        <is>
          <t>No</t>
        </is>
      </c>
      <c r="M40" s="8" t="inlineStr"/>
      <c r="N40" s="8" t="inlineStr"/>
      <c r="O40" s="8" t="inlineStr">
        <is>
          <t>Tailored request</t>
        </is>
      </c>
      <c r="P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41" s="8" t="inlineStr">
        <is>
          <t>CI&amp;S</t>
        </is>
      </c>
      <c r="I41" s="8" t="inlineStr">
        <is>
          <t>CI&amp;S</t>
        </is>
      </c>
      <c r="J41" s="8" t="inlineStr">
        <is>
          <t>CI&amp;S - Estate Planning and Development teams</t>
        </is>
      </c>
      <c r="K41" s="8" t="inlineStr">
        <is>
          <t>Both</t>
        </is>
      </c>
      <c r="L41" s="8" t="inlineStr">
        <is>
          <t>No</t>
        </is>
      </c>
      <c r="M41" s="8" t="inlineStr"/>
      <c r="N41" s="8" t="inlineStr"/>
      <c r="O41" s="8" t="inlineStr">
        <is>
          <t>Tailored request</t>
        </is>
      </c>
      <c r="P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tonnes of waste; % change against previous baseline</t>
        </is>
      </c>
      <c r="H42" s="8" t="inlineStr"/>
      <c r="I42" s="8" t="inlineStr">
        <is>
          <t>TBC – no owner identified</t>
        </is>
      </c>
      <c r="J42" s="8" t="inlineStr"/>
      <c r="K42" s="8" t="inlineStr">
        <is>
          <t>Both</t>
        </is>
      </c>
      <c r="L42" s="8" t="inlineStr">
        <is>
          <t>No</t>
        </is>
      </c>
      <c r="M42" s="8" t="inlineStr">
        <is>
          <t>Quantitative indicator</t>
        </is>
      </c>
      <c r="N42" s="8" t="inlineStr"/>
      <c r="O42" s="8" t="inlineStr">
        <is>
          <t>Databook / central data owner</t>
        </is>
      </c>
      <c r="P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waste diversion rate; tonnes diverted from landfill; % change against previous baseline</t>
        </is>
      </c>
      <c r="H43" s="8" t="inlineStr"/>
      <c r="I43" s="8" t="inlineStr">
        <is>
          <t>TBC – no owner identified</t>
        </is>
      </c>
      <c r="J43" s="8" t="inlineStr"/>
      <c r="K43" s="8" t="inlineStr">
        <is>
          <t>Both</t>
        </is>
      </c>
      <c r="L43" s="8" t="inlineStr">
        <is>
          <t>No</t>
        </is>
      </c>
      <c r="M43" s="8" t="inlineStr">
        <is>
          <t>Quantitative indicator</t>
        </is>
      </c>
      <c r="N43" s="8" t="inlineStr"/>
      <c r="O43" s="8" t="inlineStr">
        <is>
          <t>Databook / central data owner</t>
        </is>
      </c>
      <c r="P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Maturity score if framework established; % procurement staff trained</t>
        </is>
      </c>
      <c r="H44" s="8" t="inlineStr"/>
      <c r="I44" s="8" t="inlineStr">
        <is>
          <t>CFOG</t>
        </is>
      </c>
      <c r="J44" s="8" t="inlineStr"/>
      <c r="K44" s="8" t="inlineStr">
        <is>
          <t>Both</t>
        </is>
      </c>
      <c r="L44" s="8" t="inlineStr">
        <is>
          <t>No</t>
        </is>
      </c>
      <c r="M44" s="8" t="inlineStr">
        <is>
          <t>Quantitative metrics could support qualitative case studies to demonstrate system/process improvements</t>
        </is>
      </c>
      <c r="N44" s="8" t="inlineStr"/>
      <c r="O44" s="8" t="inlineStr">
        <is>
          <t>Tailored request</t>
        </is>
      </c>
      <c r="P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Percentage of Indigenous spend of total addressable procurement spend</t>
        </is>
      </c>
      <c r="H45" s="8" t="inlineStr"/>
      <c r="I45" s="8" t="inlineStr">
        <is>
          <t>TBC – no owner identified</t>
        </is>
      </c>
      <c r="J45" s="8" t="inlineStr"/>
      <c r="K45" s="8" t="inlineStr">
        <is>
          <t>Both</t>
        </is>
      </c>
      <c r="L45" s="8" t="inlineStr">
        <is>
          <t>No</t>
        </is>
      </c>
      <c r="M45" s="8" t="inlineStr">
        <is>
          <t>Quantitative indicator</t>
        </is>
      </c>
      <c r="N45" s="8" t="inlineStr"/>
      <c r="O45" s="8" t="inlineStr">
        <is>
          <t>Databook / central data owner</t>
        </is>
      </c>
      <c r="P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Percentage of social spend of total addressable procurement spend.</t>
        </is>
      </c>
      <c r="H46" s="8" t="inlineStr"/>
      <c r="I46" s="8" t="inlineStr">
        <is>
          <t>TBC – no owner identified</t>
        </is>
      </c>
      <c r="J46" s="8" t="inlineStr"/>
      <c r="K46" s="8" t="inlineStr">
        <is>
          <t>Both</t>
        </is>
      </c>
      <c r="L46" s="8" t="inlineStr">
        <is>
          <t>No</t>
        </is>
      </c>
      <c r="M46" s="8" t="inlineStr">
        <is>
          <t>Quantitative indicator</t>
        </is>
      </c>
      <c r="N46" s="8" t="inlineStr"/>
      <c r="O46" s="8" t="inlineStr">
        <is>
          <t>Databook / central data owner</t>
        </is>
      </c>
      <c r="P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Annual Modern Slavery Statement, with case studies</t>
        </is>
      </c>
      <c r="H47" s="8" t="inlineStr">
        <is>
          <t>CFOG, CI&amp;S</t>
        </is>
      </c>
      <c r="I47" s="8" t="inlineStr">
        <is>
          <t>CI&amp;S, CFOG</t>
        </is>
      </c>
      <c r="J47" s="8" t="inlineStr">
        <is>
          <t>CFOG - Procurement; Modern Slavery Working Group (existing).</t>
        </is>
      </c>
      <c r="K47" s="8" t="inlineStr">
        <is>
          <t>External</t>
        </is>
      </c>
      <c r="L47" s="8" t="inlineStr">
        <is>
          <t>No</t>
        </is>
      </c>
      <c r="M47" s="8" t="inlineStr"/>
      <c r="N47" s="8" t="inlineStr"/>
      <c r="O47" s="8" t="inlineStr">
        <is>
          <t>Tailored request</t>
        </is>
      </c>
      <c r="P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Percentage of AUM managed by investment managers aligned with net zero by 2050</t>
        </is>
      </c>
      <c r="H48" s="8" t="inlineStr"/>
      <c r="I48" s="8" t="inlineStr">
        <is>
          <t>TBC – no owner identified</t>
        </is>
      </c>
      <c r="J48" s="8" t="inlineStr"/>
      <c r="K48" s="8" t="inlineStr">
        <is>
          <t>Both</t>
        </is>
      </c>
      <c r="L48" s="8" t="inlineStr">
        <is>
          <t>No</t>
        </is>
      </c>
      <c r="M48" s="8" t="inlineStr">
        <is>
          <t>Quantitative indicator</t>
        </is>
      </c>
      <c r="N48" s="8" t="inlineStr"/>
      <c r="O48" s="8" t="inlineStr">
        <is>
          <t>Databook / central data owner</t>
        </is>
      </c>
      <c r="P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Report on relevant sustainability-related investment portfolio metrics and report on how the University has complied with its related obligations</t>
        </is>
      </c>
      <c r="H49" s="8" t="inlineStr">
        <is>
          <t>CFOG, CI&amp;S</t>
        </is>
      </c>
      <c r="I49" s="8" t="inlineStr">
        <is>
          <t>CI&amp;S, CFOG</t>
        </is>
      </c>
      <c r="J49" s="8" t="inlineStr"/>
      <c r="K49" s="8" t="inlineStr">
        <is>
          <t>Both</t>
        </is>
      </c>
      <c r="L49" s="8" t="inlineStr">
        <is>
          <t>No</t>
        </is>
      </c>
      <c r="M49" s="8" t="inlineStr"/>
      <c r="N49" s="8" t="inlineStr"/>
      <c r="O49" s="8" t="inlineStr">
        <is>
          <t>Tailored request</t>
        </is>
      </c>
      <c r="P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50" s="8" t="inlineStr">
        <is>
          <t>Faculties</t>
        </is>
      </c>
      <c r="I50" s="8" t="inlineStr">
        <is>
          <t>Faculties (pilot)</t>
        </is>
      </c>
      <c r="J50" s="8" t="inlineStr">
        <is>
          <t>For discussion - it would be good to chat about the nuances of this one</t>
        </is>
      </c>
      <c r="K50" s="8" t="inlineStr">
        <is>
          <t>Both</t>
        </is>
      </c>
      <c r="L50" s="8" t="inlineStr">
        <is>
          <t>No</t>
        </is>
      </c>
      <c r="M50" s="8" t="inlineStr"/>
      <c r="N50" s="8" t="inlineStr">
        <is>
          <t>6a</t>
        </is>
      </c>
      <c r="O50" s="8" t="inlineStr">
        <is>
          <t>Tailored request</t>
        </is>
      </c>
      <c r="P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Comment on living labs in the Faculty - outputs, outcomes, and impact</t>
        </is>
      </c>
      <c r="H51" s="8" t="inlineStr">
        <is>
          <t>Faculties, CI&amp;S</t>
        </is>
      </c>
      <c r="I51" s="8" t="inlineStr">
        <is>
          <t>Faculties (pilot), CI&amp;S</t>
        </is>
      </c>
      <c r="J51" s="8" t="inlineStr">
        <is>
          <t>SST is a key data owner: Can report on projects and outcomes from the Campus Living Lab Accelerator Program. Also will gather case studies from individual projects (4)</t>
        </is>
      </c>
      <c r="K51" s="8" t="inlineStr">
        <is>
          <t>Both</t>
        </is>
      </c>
      <c r="L51" s="8" t="inlineStr">
        <is>
          <t>No</t>
        </is>
      </c>
      <c r="M51" s="8" t="inlineStr"/>
      <c r="N51" s="8" t="inlineStr">
        <is>
          <t>2a</t>
        </is>
      </c>
      <c r="O51" s="8" t="inlineStr">
        <is>
          <t>Tailored request</t>
        </is>
      </c>
      <c r="P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52" s="8" t="inlineStr">
        <is>
          <t>Faculties, CIOG, CFOG, CI&amp;S, ESG</t>
        </is>
      </c>
      <c r="I52" s="8" t="inlineStr">
        <is>
          <t>Faculties (pilot), CI&amp;S, CFOG, ESG, CIOG</t>
        </is>
      </c>
      <c r="J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52" s="8" t="inlineStr">
        <is>
          <t>Both</t>
        </is>
      </c>
      <c r="L52" s="8" t="inlineStr">
        <is>
          <t>No</t>
        </is>
      </c>
      <c r="M52" s="8" t="inlineStr"/>
      <c r="N52" s="8" t="inlineStr">
        <is>
          <t>3a(ii)</t>
        </is>
      </c>
      <c r="O52" s="8" t="inlineStr">
        <is>
          <t>Tailored request</t>
        </is>
      </c>
      <c r="P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53" s="8" t="inlineStr">
        <is>
          <t>Faculties, CIOG, CFOG, CI&amp;S, ESG</t>
        </is>
      </c>
      <c r="I53" s="8" t="inlineStr">
        <is>
          <t>Faculties (pilot), CI&amp;S, CFOG, ESG, CIOG</t>
        </is>
      </c>
      <c r="J53" s="8" t="inlineStr">
        <is>
          <t>Reporting working group set up - talking about potential alignment with ASRS in future. Collaboration of SST, FBE (Accounting) and the Finance team in CFOG. Sally is the key contact for more info.</t>
        </is>
      </c>
      <c r="K53" s="8" t="inlineStr">
        <is>
          <t>Both</t>
        </is>
      </c>
      <c r="L53" s="8" t="inlineStr">
        <is>
          <t>No</t>
        </is>
      </c>
      <c r="M53" s="8" t="inlineStr"/>
      <c r="N53" s="8" t="inlineStr"/>
      <c r="O53" s="8" t="inlineStr">
        <is>
          <t>Tailored request</t>
        </is>
      </c>
      <c r="P53" s="8" t="inlineStr"/>
    </row>
  </sheetData>
  <autoFilter ref="B5:P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Chancellery</t>
        </is>
      </c>
      <c r="C16" s="8" t="inlineStr">
        <is>
          <t>Advancement, Communications &amp; Marketing; Global, Culture &amp; Engagement; Education (incl. SASS); Indigenous</t>
        </is>
      </c>
      <c r="D16" s="8" t="inlineStr">
        <is>
          <t>Chancellery tab</t>
        </is>
      </c>
      <c r="E16" s="8" t="inlineStr">
        <is>
          <t>—</t>
        </is>
      </c>
      <c r="F16" s="8" t="inlineStr">
        <is>
          <t>TBC</t>
        </is>
      </c>
      <c r="G16" s="8" t="inlineStr">
        <is>
          <t>No SR26 qualitative indicator currently names these units. SASS (Melbourne Plus) referenced for EE1(c). Confirm whether requests are needed.</t>
        </is>
      </c>
    </row>
    <row r="17">
      <c r="B17" s="8" t="inlineStr">
        <is>
          <t>Legal &amp; Risk</t>
        </is>
      </c>
      <c r="C17" s="8" t="inlineStr">
        <is>
          <t>Legal and Risk</t>
        </is>
      </c>
      <c r="D17" s="8" t="inlineStr">
        <is>
          <t>Legal and Risk tab</t>
        </is>
      </c>
      <c r="E17" s="8" t="inlineStr">
        <is>
          <t>—</t>
        </is>
      </c>
      <c r="F17" s="8" t="inlineStr">
        <is>
          <t>TBC</t>
        </is>
      </c>
      <c r="G17" s="8" t="inlineStr">
        <is>
          <t>No SR26 indicator currently assigned – may be relevant to climate resilience maturity (CL3(a)). TBC.</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0"/>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COUNTIF($N$10:$N$20,"Not sent")</f>
        <v/>
      </c>
      <c r="E6">
        <f>COUNTIF($N$10:$N$20,"Sent")</f>
        <v/>
      </c>
      <c r="G6">
        <f>COUNTIF($N$10:$N$20,"Chased")</f>
        <v/>
      </c>
      <c r="I6">
        <f>COUNTIF($N$10:$N$20,"Support meeting")</f>
        <v/>
      </c>
      <c r="L6" s="16">
        <f>IFERROR((COUNTIF($N$10:$N$20,"Received")+COUNTIF($N$10:$N$20,"Under review")+COUNTIF($N$10:$N$20,"Complete"))/(COUNTA($N$10:$N$20)-COUNTIF($N$10:$N$20,"Not required")),0)</f>
        <v/>
      </c>
      <c r="N6">
        <f>COUNTIF($M$10:$M$20,"Yes")&amp;" / "&amp;COUNTA($C$10:$C$20)</f>
        <v/>
      </c>
    </row>
    <row r="7">
      <c r="C7" s="15" t="inlineStr">
        <is>
          <t>Received</t>
        </is>
      </c>
      <c r="E7" s="15" t="inlineStr">
        <is>
          <t>Under review</t>
        </is>
      </c>
      <c r="G7" s="15" t="inlineStr">
        <is>
          <t>Complete</t>
        </is>
      </c>
      <c r="I7" s="15" t="inlineStr">
        <is>
          <t>Not required</t>
        </is>
      </c>
    </row>
    <row r="8">
      <c r="C8">
        <f>COUNTIF($N$10:$N$20,"Received")</f>
        <v/>
      </c>
      <c r="E8">
        <f>COUNTIF($N$10:$N$20,"Under review")</f>
        <v/>
      </c>
      <c r="G8">
        <f>COUNTIF($N$10:$N$20,"Complete")</f>
        <v/>
      </c>
      <c r="I8">
        <f>COUNTIF($N$10:$N$20,"Not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sheetData>
  <dataValidations count="2">
    <dataValidation sqref="N10:N20" showDropDown="0" showInputMessage="0" showErrorMessage="0" allowBlank="1" errorTitle="Invalid entry" error="Please select from the dropdown" type="list">
      <formula1>=Lists!$D$2:$D$9</formula1>
    </dataValidation>
    <dataValidation sqref="M10:M20"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use this to inform the Exceptional education section of the 2026 Sustainability Report (transition year), and to establish a baseline for reporting against Sustainability 2030 from 2027. Strong examples may be followed up as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We will use this to inform the Exceptional education section of the 2026 Sustainability Report (transition year), and to establish a baseline for reporting against Sustainability 2030 from 2027. Strong examples may be followed up as case studies.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use this to inform the Exceptional education section of the 2026 Sustainability Report (transition year), and to establish a baseline for reporting against Sustainability 2030 from 2027. Strong examples may be followed up as case studies.</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this to inform the Exceptional education section of the 2026 Sustainability Report (transition year), and to establish a baseline for reporting against Sustainability 2030 from 2027. Strong examples may be followed up as case studies.</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use this to inform the Transformational research section of the 2026 Sustainability Report (transition year), and to establish a baseline for reporting against Sustainability 2030 from 2027. Strong examples may be followed up as case studies.</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use this to inform the Transformational research section of the 2026 Sustainability Report (transition year), and to establish a baseline for reporting against Sustainability 2030 from 2027. Strong examples may be followed up as case studies.</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this to inform the Transformational research section of the 2026 Sustainability Report (transition year), and to establish a baseline for reporting against Sustainability 2030 from 2027. Strong examples may be followed up as case studies.</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this to inform the Transformational research section of the 2026 Sustainability Report (transition year), and to establish a baseline for reporting against Sustainability 2030 from 2027. Strong examples may be followed up as case studies.</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use this to inform the Transformational research section of the 2026 Sustainability Report (transition year), and to establish a baseline for reporting against Sustainability 2030 from 2027. Strong examples may be followed up as case studies.</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use this to inform the Transformational research section of the 2026 Sustainability Report (transition year), and to establish a baseline for reporting against Sustainability 2030 from 2027. Strong examples may be followed up as case studies.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use this to inform the Transformational research section of the 2026 Sustainability Report (transition year), and to establish a baseline for reporting against Sustainability 2030 from 2027. Strong examples may be followed up as case studies.</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use this to inform the Transformational research section of the 2026 Sustainability Report (transition year), and to establish a baseline for reporting against Sustainability 2030 from 2027. Strong examples may be followed up as case studies.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this to inform the Transformational research section of the 2026 Sustainability Report (transition year), and to establish a baseline for reporting against Sustainability 2030 from 2027. Strong examples may be followed up as case studies.</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this to inform the Transformational research section of the 2026 Sustainability Report (transition year), and to establish a baseline for reporting against Sustainability 2030 from 2027. Strong examples may be followed up as case studies.</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this to inform the Climate leadership section of the 2026 Sustainability Report (transition year), and to establish a baseline for reporting against Sustainability 2030 from 2027. Strong examples may be followed up as case studies.</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use this to inform the Climate leadership section of the 2026 Sustainability Report (transition year), and to establish a baseline for reporting against Sustainability 2030 from 2027. Strong examples may be followed up as case studies.</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use this to inform the Enablers section of the 2026 Sustainability Report (transition year), and to establish a baseline for reporting against Sustainability 2030 from 2027. Strong examples may be followed up as case studies.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use this to inform the Enablers section of the 2026 Sustainability Report (transition year), and to establish a baseline for reporting against Sustainability 2030 from 2027. Strong examples may be followed up as case studies.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use this to inform the Enablers section of the 2026 Sustainability Report (transition year), and to establish a baseline for reporting against Sustainability 2030 from 2027. Strong examples may be followed up as case studies.</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use this to inform the Enablers section of the 2026 Sustainability Report (transition year), and to establish a baseline for reporting against Sustainability 2030 from 2027. Strong examples may be followed up as case studies.</t>
        </is>
      </c>
      <c r="H29" s="8" t="inlineStr">
        <is>
          <t>N/A – new indicator</t>
        </is>
      </c>
      <c r="I29" s="8" t="inlineStr"/>
      <c r="J29" s="8" t="inlineStr"/>
      <c r="K29" s="8" t="inlineStr"/>
      <c r="L29" s="8" t="n"/>
      <c r="M29" s="8" t="n"/>
      <c r="N29" s="8" t="n"/>
      <c r="O29" s="8" t="n"/>
      <c r="P29" s="8" t="n"/>
      <c r="Q29" s="8" t="n"/>
      <c r="R29" s="8" t="n"/>
    </row>
    <row r="32">
      <c r="B32" s="18" t="inlineStr">
        <is>
          <t>1.2  ARTS – Faculty of Arts</t>
        </is>
      </c>
    </row>
    <row r="34">
      <c r="C34" s="19" t="inlineStr">
        <is>
          <t>Sustainability 2030 target and indicator</t>
        </is>
      </c>
      <c r="H34" s="19" t="inlineStr">
        <is>
          <t>End-2025 reporting (for reference – click [+] above to expand)</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use this to inform the Exceptional education section of the 2026 Sustainability Report (transition year), and to establish a baseline for reporting against Sustainability 2030 from 2027. Strong examples may be followed up as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We will use this to inform the Exceptional education section of the 2026 Sustainability Report (transition year), and to establish a baseline for reporting against Sustainability 2030 from 2027. Strong examples may be followed up as case studies.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use this to inform the Exceptional education section of the 2026 Sustainability Report (transition year), and to establish a baseline for reporting against Sustainability 2030 from 2027. Strong examples may be followed up as case studies.</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this to inform the Exceptional education section of the 2026 Sustainability Report (transition year), and to establish a baseline for reporting against Sustainability 2030 from 2027. Strong examples may be followed up as case studies.</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use this to inform the Transformational research section of the 2026 Sustainability Report (transition year), and to establish a baseline for reporting against Sustainability 2030 from 2027. Strong examples may be followed up as case studies.</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use this to inform the Transformational research section of the 2026 Sustainability Report (transition year), and to establish a baseline for reporting against Sustainability 2030 from 2027. Strong examples may be followed up as case studies.</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this to inform the Transformational research section of the 2026 Sustainability Report (transition year), and to establish a baseline for reporting against Sustainability 2030 from 2027. Strong examples may be followed up as case studies.</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this to inform the Transformational research section of the 2026 Sustainability Report (transition year), and to establish a baseline for reporting against Sustainability 2030 from 2027. Strong examples may be followed up as case studies.</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use this to inform the Transformational research section of the 2026 Sustainability Report (transition year), and to establish a baseline for reporting against Sustainability 2030 from 2027. Strong examples may be followed up as case studies.</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use this to inform the Transformational research section of the 2026 Sustainability Report (transition year), and to establish a baseline for reporting against Sustainability 2030 from 2027. Strong examples may be followed up as case studies.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use this to inform the Transformational research section of the 2026 Sustainability Report (transition year), and to establish a baseline for reporting against Sustainability 2030 from 2027. Strong examples may be followed up as case studies.</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use this to inform the Transformational research section of the 2026 Sustainability Report (transition year), and to establish a baseline for reporting against Sustainability 2030 from 2027. Strong examples may be followed up as case studies.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this to inform the Transformational research section of the 2026 Sustainability Report (transition year), and to establish a baseline for reporting against Sustainability 2030 from 2027. Strong examples may be followed up as case studies.</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this to inform the Transformational research section of the 2026 Sustainability Report (transition year), and to establish a baseline for reporting against Sustainability 2030 from 2027. Strong examples may be followed up as case studies.</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this to inform the Climate leadership section of the 2026 Sustainability Report (transition year), and to establish a baseline for reporting against Sustainability 2030 from 2027. Strong examples may be followed up as case studies.</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use this to inform the Climate leadership section of the 2026 Sustainability Report (transition year), and to establish a baseline for reporting against Sustainability 2030 from 2027. Strong examples may be followed up as case studies.</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use this to inform the Enablers section of the 2026 Sustainability Report (transition year), and to establish a baseline for reporting against Sustainability 2030 from 2027. Strong examples may be followed up as case studies.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use this to inform the Enablers section of the 2026 Sustainability Report (transition year), and to establish a baseline for reporting against Sustainability 2030 from 2027. Strong examples may be followed up as case studies.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use this to inform the Enablers section of the 2026 Sustainability Report (transition year), and to establish a baseline for reporting against Sustainability 2030 from 2027. Strong examples may be followed up as case studies.</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use this to inform the Enablers section of the 2026 Sustainability Report (transition year), and to establish a baseline for reporting against Sustainability 2030 from 2027. Strong examples may be followed up as case studies.</t>
        </is>
      </c>
      <c r="H56" s="8" t="inlineStr">
        <is>
          <t>N/A – new indicator</t>
        </is>
      </c>
      <c r="I56" s="8" t="inlineStr"/>
      <c r="J56" s="8" t="inlineStr"/>
      <c r="K56" s="8" t="inlineStr"/>
      <c r="L56" s="8" t="n"/>
      <c r="M56" s="8" t="n"/>
      <c r="N56" s="8" t="n"/>
      <c r="O56" s="8" t="n"/>
      <c r="P56" s="8" t="n"/>
      <c r="Q56" s="8" t="n"/>
      <c r="R56" s="8" t="n"/>
    </row>
    <row r="59">
      <c r="B59" s="18" t="inlineStr">
        <is>
          <t>1.3  FBE – Faculty of Business and Economics</t>
        </is>
      </c>
    </row>
    <row r="61">
      <c r="C61" s="19" t="inlineStr">
        <is>
          <t>Sustainability 2030 target and indicator</t>
        </is>
      </c>
      <c r="H61" s="19" t="inlineStr">
        <is>
          <t>End-2025 reporting (for reference – click [+] above to expand)</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use this to inform the Exceptional education section of the 2026 Sustainability Report (transition year), and to establish a baseline for reporting against Sustainability 2030 from 2027. Strong examples may be followed up as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We will use this to inform the Exceptional education section of the 2026 Sustainability Report (transition year), and to establish a baseline for reporting against Sustainability 2030 from 2027. Strong examples may be followed up as case studies.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use this to inform the Exceptional education section of the 2026 Sustainability Report (transition year), and to establish a baseline for reporting against Sustainability 2030 from 2027. Strong examples may be followed up as case studies.</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this to inform the Exceptional education section of the 2026 Sustainability Report (transition year), and to establish a baseline for reporting against Sustainability 2030 from 2027. Strong examples may be followed up as case studies.</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use this to inform the Transformational research section of the 2026 Sustainability Report (transition year), and to establish a baseline for reporting against Sustainability 2030 from 2027. Strong examples may be followed up as case studies.</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use this to inform the Transformational research section of the 2026 Sustainability Report (transition year), and to establish a baseline for reporting against Sustainability 2030 from 2027. Strong examples may be followed up as case studies.</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this to inform the Transformational research section of the 2026 Sustainability Report (transition year), and to establish a baseline for reporting against Sustainability 2030 from 2027. Strong examples may be followed up as case studies.</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this to inform the Transformational research section of the 2026 Sustainability Report (transition year), and to establish a baseline for reporting against Sustainability 2030 from 2027. Strong examples may be followed up as case studies.</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use this to inform the Transformational research section of the 2026 Sustainability Report (transition year), and to establish a baseline for reporting against Sustainability 2030 from 2027. Strong examples may be followed up as case studies.</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use this to inform the Transformational research section of the 2026 Sustainability Report (transition year), and to establish a baseline for reporting against Sustainability 2030 from 2027. Strong examples may be followed up as case studies.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use this to inform the Transformational research section of the 2026 Sustainability Report (transition year), and to establish a baseline for reporting against Sustainability 2030 from 2027. Strong examples may be followed up as case studies.</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use this to inform the Transformational research section of the 2026 Sustainability Report (transition year), and to establish a baseline for reporting against Sustainability 2030 from 2027. Strong examples may be followed up as case studies.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this to inform the Transformational research section of the 2026 Sustainability Report (transition year), and to establish a baseline for reporting against Sustainability 2030 from 2027. Strong examples may be followed up as case studies.</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this to inform the Transformational research section of the 2026 Sustainability Report (transition year), and to establish a baseline for reporting against Sustainability 2030 from 2027. Strong examples may be followed up as case studies.</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this to inform the Climate leadership section of the 2026 Sustainability Report (transition year), and to establish a baseline for reporting against Sustainability 2030 from 2027. Strong examples may be followed up as case studies.</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use this to inform the Climate leadership section of the 2026 Sustainability Report (transition year), and to establish a baseline for reporting against Sustainability 2030 from 2027. Strong examples may be followed up as case studies.</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use this to inform the Enablers section of the 2026 Sustainability Report (transition year), and to establish a baseline for reporting against Sustainability 2030 from 2027. Strong examples may be followed up as case studies.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use this to inform the Enablers section of the 2026 Sustainability Report (transition year), and to establish a baseline for reporting against Sustainability 2030 from 2027. Strong examples may be followed up as case studies.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use this to inform the Enablers section of the 2026 Sustainability Report (transition year), and to establish a baseline for reporting against Sustainability 2030 from 2027. Strong examples may be followed up as case studies.</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use this to inform the Enablers section of the 2026 Sustainability Report (transition year), and to establish a baseline for reporting against Sustainability 2030 from 2027. Strong examples may be followed up as case studies.</t>
        </is>
      </c>
      <c r="H83" s="8" t="inlineStr">
        <is>
          <t>N/A – new indicator</t>
        </is>
      </c>
      <c r="I83" s="8" t="inlineStr"/>
      <c r="J83" s="8" t="inlineStr"/>
      <c r="K83" s="8" t="inlineStr"/>
      <c r="L83" s="8" t="n"/>
      <c r="M83" s="8" t="n"/>
      <c r="N83" s="8" t="n"/>
      <c r="O83" s="8" t="n"/>
      <c r="P83" s="8" t="n"/>
      <c r="Q83" s="8" t="n"/>
      <c r="R83" s="8" t="n"/>
    </row>
    <row r="86">
      <c r="B86" s="18" t="inlineStr">
        <is>
          <t>1.4  SCI – Faculty of Science</t>
        </is>
      </c>
    </row>
    <row r="88">
      <c r="C88" s="19" t="inlineStr">
        <is>
          <t>Sustainability 2030 target and indicator</t>
        </is>
      </c>
      <c r="H88" s="19" t="inlineStr">
        <is>
          <t>End-2025 reporting (for reference – click [+] above to expand)</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use this to inform the Exceptional education section of the 2026 Sustainability Report (transition year), and to establish a baseline for reporting against Sustainability 2030 from 2027. Strong examples may be followed up as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We will use this to inform the Exceptional education section of the 2026 Sustainability Report (transition year), and to establish a baseline for reporting against Sustainability 2030 from 2027. Strong examples may be followed up as case studies.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use this to inform the Exceptional education section of the 2026 Sustainability Report (transition year), and to establish a baseline for reporting against Sustainability 2030 from 2027. Strong examples may be followed up as case studies.</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this to inform the Exceptional education section of the 2026 Sustainability Report (transition year), and to establish a baseline for reporting against Sustainability 2030 from 2027. Strong examples may be followed up as case studies.</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use this to inform the Transformational research section of the 2026 Sustainability Report (transition year), and to establish a baseline for reporting against Sustainability 2030 from 2027. Strong examples may be followed up as case studies.</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use this to inform the Transformational research section of the 2026 Sustainability Report (transition year), and to establish a baseline for reporting against Sustainability 2030 from 2027. Strong examples may be followed up as case studies.</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this to inform the Transformational research section of the 2026 Sustainability Report (transition year), and to establish a baseline for reporting against Sustainability 2030 from 2027. Strong examples may be followed up as case studies.</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this to inform the Transformational research section of the 2026 Sustainability Report (transition year), and to establish a baseline for reporting against Sustainability 2030 from 2027. Strong examples may be followed up as case studies.</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use this to inform the Transformational research section of the 2026 Sustainability Report (transition year), and to establish a baseline for reporting against Sustainability 2030 from 2027. Strong examples may be followed up as case studies.</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use this to inform the Transformational research section of the 2026 Sustainability Report (transition year), and to establish a baseline for reporting against Sustainability 2030 from 2027. Strong examples may be followed up as case studies.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use this to inform the Transformational research section of the 2026 Sustainability Report (transition year), and to establish a baseline for reporting against Sustainability 2030 from 2027. Strong examples may be followed up as case studies.</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use this to inform the Transformational research section of the 2026 Sustainability Report (transition year), and to establish a baseline for reporting against Sustainability 2030 from 2027. Strong examples may be followed up as case studies.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this to inform the Transformational research section of the 2026 Sustainability Report (transition year), and to establish a baseline for reporting against Sustainability 2030 from 2027. Strong examples may be followed up as case studies.</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this to inform the Transformational research section of the 2026 Sustainability Report (transition year), and to establish a baseline for reporting against Sustainability 2030 from 2027. Strong examples may be followed up as case studies.</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this to inform the Climate leadership section of the 2026 Sustainability Report (transition year), and to establish a baseline for reporting against Sustainability 2030 from 2027. Strong examples may be followed up as case studies.</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use this to inform the Climate leadership section of the 2026 Sustainability Report (transition year), and to establish a baseline for reporting against Sustainability 2030 from 2027. Strong examples may be followed up as case studies.</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use this to inform the Enablers section of the 2026 Sustainability Report (transition year), and to establish a baseline for reporting against Sustainability 2030 from 2027. Strong examples may be followed up as case studies.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use this to inform the Enablers section of the 2026 Sustainability Report (transition year), and to establish a baseline for reporting against Sustainability 2030 from 2027. Strong examples may be followed up as case studies.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use this to inform the Enablers section of the 2026 Sustainability Report (transition year), and to establish a baseline for reporting against Sustainability 2030 from 2027. Strong examples may be followed up as case studies.</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use this to inform the Enablers section of the 2026 Sustainability Report (transition year), and to establish a baseline for reporting against Sustainability 2030 from 2027. Strong examples may be followed up as case studies.</t>
        </is>
      </c>
      <c r="H110" s="8" t="inlineStr">
        <is>
          <t>N/A – new indicator</t>
        </is>
      </c>
      <c r="I110" s="8" t="inlineStr"/>
      <c r="J110" s="8" t="inlineStr"/>
      <c r="K110" s="8" t="inlineStr"/>
      <c r="L110" s="8" t="n"/>
      <c r="M110" s="8" t="n"/>
      <c r="N110" s="8" t="n"/>
      <c r="O110" s="8" t="n"/>
      <c r="P110" s="8" t="n"/>
      <c r="Q110" s="8" t="n"/>
      <c r="R110" s="8" t="n"/>
    </row>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use this to inform the Climate leadership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this to inform the Estate and infrastructure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this to inform the Estate and infrastructure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use this to inform the Estate and infrastructure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use this to inform the Estate and infrastructure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7">
      <c r="B17" s="18" t="inlineStr">
        <is>
          <t>1.2  CI&amp;S – Sustainability Strategy (incl. CLLAP)</t>
        </is>
      </c>
    </row>
    <row r="19">
      <c r="C19" s="19" t="inlineStr">
        <is>
          <t>Sustainability 2030 target and indicator</t>
        </is>
      </c>
      <c r="H19" s="19" t="inlineStr">
        <is>
          <t>End-2025 reporting (for reference – click [+] above to expand)</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use this to inform the Exceptional education section of the 2026 Sustainability Report (transition year), and to establish a baseline for reporting against Sustainability 2030 from 2027. Strong examples may be followed up as case studies.</t>
        </is>
      </c>
      <c r="H22" s="8" t="inlineStr"/>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We will use this to inform the Exceptional education section of the 2026 Sustainability Report (transition year), and to establish a baseline for reporting against Sustainability 2030 from 2027. Strong examples may be followed up as case studies.</t>
        </is>
      </c>
      <c r="H23" s="8" t="inlineStr"/>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use this to inform the Exceptional education section of the 2026 Sustainability Report (transition year), and to establish a baseline for reporting against Sustainability 2030 from 2027. Strong examples may be followed up as case studies.</t>
        </is>
      </c>
      <c r="H24" s="8" t="inlineStr"/>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this to inform the Exceptional education section of the 2026 Sustainability Report (transition year), and to establish a baseline for reporting against Sustainability 2030 from 2027. Strong examples may be followed up as case studies.</t>
        </is>
      </c>
      <c r="H25" s="8" t="inlineStr"/>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use this to inform the Transformational research section of the 2026 Sustainability Report (transition year), and to establish a baseline for reporting against Sustainability 2030 from 2027. Strong examples may be followed up as case studies.</t>
        </is>
      </c>
      <c r="H26" s="8" t="inlineStr"/>
      <c r="I26" s="8" t="inlineStr"/>
      <c r="J26" s="8" t="inlineStr"/>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use this to inform the Transformational research section of the 2026 Sustainability Report (transition year), and to establish a baseline for reporting against Sustainability 2030 from 2027. Strong examples may be followed up as case studies.</t>
        </is>
      </c>
      <c r="H27" s="8" t="inlineStr"/>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use this to inform the Transformational research section of the 2026 Sustainability Report (transition year), and to establish a baseline for reporting against Sustainability 2030 from 2027. Strong examples may be followed up as case studies.</t>
        </is>
      </c>
      <c r="H28" s="8" t="inlineStr"/>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use this to inform the Transformational research section of the 2026 Sustainability Report (transition year), and to establish a baseline for reporting against Sustainability 2030 from 2027. Strong examples may be followed up as case studies.</t>
        </is>
      </c>
      <c r="H29" s="8" t="inlineStr"/>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We will use this to inform the Climate leadership section of the 2026 Sustainability Report (transition year), and to establish a baseline for reporting against Sustainability 2030 from 2027. Strong examples may be followed up as case studies.</t>
        </is>
      </c>
      <c r="H30" s="8" t="inlineStr"/>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this to inform the Climate leadership section of the 2026 Sustainability Report (transition year), and to establish a baseline for reporting against Sustainability 2030 from 2027. Strong examples may be followed up as case studies.</t>
        </is>
      </c>
      <c r="H31" s="8" t="inlineStr"/>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use this to inform the Responsible AI section of the 2026 Sustainability Report (transition year), and to establish a baseline for reporting against Sustainability 2030 from 2027. Strong examples may be followed up as case studies.</t>
        </is>
      </c>
      <c r="H32" s="8" t="inlineStr"/>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use this to inform the Responsible AI section of the 2026 Sustainability Report (transition year), and to establish a baseline for reporting against Sustainability 2030 from 2027. Strong examples may be followed up as case studies.</t>
        </is>
      </c>
      <c r="H33" s="8" t="inlineStr"/>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Annual Modern Slavery Statement, with case studies</t>
        </is>
      </c>
      <c r="G34" s="8" t="inlineStr">
        <is>
          <t>We will use this to inform the Modern slavery and human rights section of the 2026 Sustainability Report (transition year), and to establish a baseline for reporting against Sustainability 2030 from 2027. Strong examples may be followed up as case studies.</t>
        </is>
      </c>
      <c r="H34" s="8" t="inlineStr"/>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Report on relevant sustainability-related investment portfolio metrics and report on how the University has complied with its related obligations</t>
        </is>
      </c>
      <c r="G35" s="8" t="inlineStr">
        <is>
          <t>We will use this to inform the Responsible investments section of the 2026 Sustainability Report (transition year), and to establish a baseline for reporting against Sustainability 2030 from 2027. Strong examples may be followed up as case studies.</t>
        </is>
      </c>
      <c r="H35" s="8" t="inlineStr"/>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Comment on living labs in the Faculty - outputs, outcomes, and impact</t>
        </is>
      </c>
      <c r="G36" s="8" t="inlineStr">
        <is>
          <t>We will use this to inform the Enablers section of the 2026 Sustainability Report (transition year), and to establish a baseline for reporting against Sustainability 2030 from 2027. Strong examples may be followed up as case studies.</t>
        </is>
      </c>
      <c r="H36" s="8" t="inlineStr"/>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use this to inform the Enablers section of the 2026 Sustainability Report (transition year), and to establish a baseline for reporting against Sustainability 2030 from 2027. Strong examples may be followed up as case studies.</t>
        </is>
      </c>
      <c r="H37" s="8" t="inlineStr"/>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use this to inform the Enablers section of the 2026 Sustainability Report (transition year), and to establish a baseline for reporting against Sustainability 2030 from 2027. Strong examples may be followed up as case studies.</t>
        </is>
      </c>
      <c r="H38" s="8" t="inlineStr"/>
      <c r="I38" s="8" t="inlineStr"/>
      <c r="J38" s="8" t="inlineStr"/>
      <c r="K38" s="8" t="inlineStr"/>
      <c r="L38" s="8" t="n"/>
      <c r="M38" s="8" t="n"/>
      <c r="N38" s="8" t="n"/>
      <c r="O38" s="8" t="n"/>
      <c r="P38" s="8" t="n"/>
      <c r="Q38" s="8" t="n"/>
      <c r="R38" s="8" t="n"/>
    </row>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use this to inform the Transformational research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Maturity score if framework established; % procurement staff trained</t>
        </is>
      </c>
      <c r="G12" s="8" t="inlineStr">
        <is>
          <t>We will use this to inform the Responsible procurement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Annual Modern Slavery Statement, with case studies</t>
        </is>
      </c>
      <c r="G13" s="8" t="inlineStr">
        <is>
          <t>We will use this to inform the Modern slavery and human rights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use this to inform the Enablers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use this to inform the Enablers section of the 2026 Sustainability Report (transition year), and to establish a baseline for reporting against Sustainability 2030 from 2027. Strong examples may be followed up as case studies.</t>
        </is>
      </c>
      <c r="H15" s="8" t="inlineStr"/>
      <c r="I15" s="8" t="inlineStr"/>
      <c r="J15" s="8" t="inlineStr"/>
      <c r="K15" s="8" t="inlineStr"/>
      <c r="L15" s="8" t="n"/>
      <c r="M15" s="8" t="n"/>
      <c r="N15" s="8" t="n"/>
      <c r="O15" s="8" t="n"/>
      <c r="P15" s="8" t="n"/>
      <c r="Q15" s="8" t="n"/>
      <c r="R15" s="8" t="n"/>
    </row>
    <row r="18">
      <c r="B18" s="18" t="inlineStr">
        <is>
          <t>1.2  CFOG – Treasury &amp; Investments</t>
        </is>
      </c>
    </row>
    <row r="20">
      <c r="C20" s="19" t="inlineStr">
        <is>
          <t>Sustainability 2030 target and indicator</t>
        </is>
      </c>
      <c r="H20" s="19" t="inlineStr">
        <is>
          <t>End-2025 reporting (for reference – click [+] above to expand)</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Report on relevant sustainability-related investment portfolio metrics and report on how the University has complied with its related obligations</t>
        </is>
      </c>
      <c r="G23" s="8" t="inlineStr">
        <is>
          <t>We will use this to inform the Responsible investments section of the 2026 Sustainability Report (transition year), and to establish a baseline for reporting against Sustainability 2030 from 2027. Strong examples may be followed up as case studies.</t>
        </is>
      </c>
      <c r="H23" s="8" t="inlineStr"/>
      <c r="I23" s="8" t="inlineStr"/>
      <c r="J23" s="8" t="inlineStr"/>
      <c r="K23" s="8" t="inlineStr"/>
      <c r="L23" s="8" t="n"/>
      <c r="M23" s="8" t="n"/>
      <c r="N23" s="8" t="n"/>
      <c r="O23" s="8" t="n"/>
      <c r="P23" s="8" t="n"/>
      <c r="Q23" s="8" t="n"/>
      <c r="R23" s="8" t="n"/>
    </row>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6"/>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(Reporting request TBC)</t>
        </is>
      </c>
      <c r="G10" s="8" t="inlineStr">
        <is>
          <t>For internal management reporting only – this information will not be published.</t>
        </is>
      </c>
      <c r="H10" s="8" t="inlineStr"/>
      <c r="I10" s="8" t="inlineStr"/>
      <c r="J10" s="8" t="inlineStr"/>
      <c r="K10" s="8" t="inlineStr"/>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(Reporting request TBC)</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Please provide the current definition and quantified assessment of campus ecological connectivity, could include the methodology used, campuses covered, baseline or benchmark values, and any material change over the reporting period.</t>
        </is>
      </c>
      <c r="G12" s="8" t="inlineStr">
        <is>
          <t>We will use this to inform the Nature and biodiversity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use this to inform the Nature and biodiversity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use this to inform the Nature and biodiversity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use this to inform the Enablers section of the 2026 Sustainability Report (transition year), and to establish a baseline for reporting against Sustainability 2030 from 2027. Strong examples may be followed up as case studies.</t>
        </is>
      </c>
      <c r="H15" s="8" t="inlineStr"/>
      <c r="I15" s="8" t="inlineStr"/>
      <c r="J15" s="8" t="inlineStr"/>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use this to inform the Enablers section of the 2026 Sustainability Report (transition year), and to establish a baseline for reporting against Sustainability 2030 from 2027. Strong examples may be followed up as case studies.</t>
        </is>
      </c>
      <c r="H16" s="8" t="inlineStr"/>
      <c r="I16" s="8" t="inlineStr"/>
      <c r="J16" s="8" t="inlineStr"/>
      <c r="K16" s="8" t="inlineStr"/>
      <c r="L16" s="8" t="n"/>
      <c r="M16" s="8" t="n"/>
      <c r="N16" s="8" t="n"/>
      <c r="O16" s="8" t="n"/>
      <c r="P16" s="8" t="n"/>
      <c r="Q16" s="8" t="n"/>
      <c r="R16" s="8" t="n"/>
    </row>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use this to inform the Responsible AI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use this to inform the Responsible AI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use this to inform the Enablers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use this to inform the Enablers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currently mapped to the SDGs using SciVal</t>
        </is>
      </c>
      <c r="G10" s="8" t="inlineStr">
        <is>
          <t>We will use this to inform the Transformational research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29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 t="inlineStr">
        <is>
          <t>↑</t>
        </is>
      </c>
      <c r="B1" s="2" t="inlineStr">
        <is>
          <t>End-2026 target status assessment and reporting</t>
        </is>
      </c>
    </row>
    <row r="2">
      <c r="B2" s="3" t="inlineStr">
        <is>
          <t>A1. Data scoring summary tab</t>
        </is>
      </c>
    </row>
    <row r="4">
      <c r="C4" s="15" t="inlineStr">
        <is>
          <t>Description</t>
        </is>
      </c>
      <c r="D4" s="23"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24" t="inlineStr">
        <is>
          <t>Faculty</t>
        </is>
      </c>
      <c r="I9" s="24" t="inlineStr">
        <is>
          <t>Faculty</t>
        </is>
      </c>
      <c r="J9" s="24" t="inlineStr">
        <is>
          <t>Faculty</t>
        </is>
      </c>
      <c r="K9" s="24" t="inlineStr">
        <is>
          <t>Faculty</t>
        </is>
      </c>
      <c r="L9" s="24" t="inlineStr">
        <is>
          <t>Central</t>
        </is>
      </c>
      <c r="M9" s="24" t="inlineStr">
        <is>
          <t>Central</t>
        </is>
      </c>
      <c r="N9" s="24" t="inlineStr">
        <is>
          <t>Central</t>
        </is>
      </c>
      <c r="O9" s="24" t="inlineStr">
        <is>
          <t>Central</t>
        </is>
      </c>
      <c r="P9" s="24" t="inlineStr">
        <is>
          <t>Central</t>
        </is>
      </c>
      <c r="Q9" s="24" t="inlineStr">
        <is>
          <t>Central</t>
        </is>
      </c>
      <c r="R9" s="24"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n"/>
      <c r="T10" s="6" t="inlineStr">
        <is>
          <t>Requested, no response received</t>
        </is>
      </c>
      <c r="U10" s="6" t="inlineStr">
        <is>
          <t>Not yet started</t>
        </is>
      </c>
      <c r="V10" s="6" t="inlineStr">
        <is>
          <t>Not met</t>
        </is>
      </c>
      <c r="W10" s="6" t="inlineStr">
        <is>
          <t>Partially met</t>
        </is>
      </c>
      <c r="X10" s="6" t="inlineStr">
        <is>
          <t>Met or exceeded</t>
        </is>
      </c>
      <c r="Y10" s="6" t="inlineStr">
        <is>
          <t>Total score</t>
        </is>
      </c>
      <c r="Z10" s="6" t="inlineStr">
        <is>
          <t>Total valid responses</t>
        </is>
      </c>
      <c r="AA10" s="6" t="inlineStr">
        <is>
          <t>Target score (average)</t>
        </is>
      </c>
      <c r="AB10" s="6" t="inlineStr">
        <is>
          <t>Target score (text)</t>
        </is>
      </c>
      <c r="AC10" s="6" t="inlineStr">
        <is>
          <t>% met</t>
        </is>
      </c>
      <c r="AD10" s="6" t="inlineStr">
        <is>
          <t>% met or partially met</t>
        </is>
      </c>
      <c r="AE10" s="6" t="inlineStr">
        <is>
          <t>Threshold status (SR25 rule)</t>
        </is>
      </c>
    </row>
    <row r="11">
      <c r="A11">
        <f>F11&amp;"|"&amp;G11</f>
        <v/>
      </c>
      <c r="B11" s="7" t="inlineStr">
        <is>
          <t>EE1(a)</t>
        </is>
      </c>
      <c r="C11" s="12" t="inlineStr">
        <is>
          <t>Exceptional education</t>
        </is>
      </c>
      <c r="D11" s="12" t="inlineStr">
        <is>
          <t>Evidence of innovative approaches to sustainability teaching and learning</t>
        </is>
      </c>
      <c r="E11"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12" t="inlineStr">
        <is>
          <t>EE1(a)</t>
        </is>
      </c>
      <c r="G11" s="12" t="inlineStr">
        <is>
          <t>Confirm end-2026 target status</t>
        </is>
      </c>
      <c r="H11" s="25">
        <f>IFERROR(IF(INDEX('Faculties'!$L$10:$L$29,MATCH($F11,'Faculties'!$B$10:$B$29,0))="","Cell will autofill based on response",INDEX('Faculties'!$L$10:$L$29,MATCH($F11,'Faculties'!$B$10:$B$29,0))),"N/A")</f>
        <v/>
      </c>
      <c r="I11" s="25">
        <f>IFERROR(IF(INDEX('Faculties'!$L$37:$L$56,MATCH($F11,'Faculties'!$B$37:$B$56,0))="","Cell will autofill based on response",INDEX('Faculties'!$L$37:$L$56,MATCH($F11,'Faculties'!$B$37:$B$56,0))),"N/A")</f>
        <v/>
      </c>
      <c r="J11" s="25">
        <f>IFERROR(IF(INDEX('Faculties'!$L$64:$L$83,MATCH($F11,'Faculties'!$B$64:$B$83,0))="","Cell will autofill based on response",INDEX('Faculties'!$L$64:$L$83,MATCH($F11,'Faculties'!$B$64:$B$83,0))),"N/A")</f>
        <v/>
      </c>
      <c r="K11" s="25">
        <f>IFERROR(IF(INDEX('Faculties'!$L$91:$L$110,MATCH($F11,'Faculties'!$B$91:$B$110,0))="","Cell will autofill based on response",INDEX('Faculties'!$L$91:$L$110,MATCH($F11,'Faculties'!$B$91:$B$110,0))),"N/A")</f>
        <v/>
      </c>
      <c r="L11" s="25">
        <f>IFERROR(IF(INDEX('CI&amp;S'!$L$10:$L$14,MATCH($F11,'CI&amp;S'!$B$10:$B$14,0))="","Cell will autofill based on response",INDEX('CI&amp;S'!$L$10:$L$14,MATCH($F11,'CI&amp;S'!$B$10:$B$14,0))),"N/A")</f>
        <v/>
      </c>
      <c r="M11" s="25">
        <f>IFERROR(IF(INDEX('CI&amp;S'!$L$22:$L$38,MATCH($F11,'CI&amp;S'!$B$22:$B$38,0))="","Cell will autofill based on response",INDEX('CI&amp;S'!$L$22:$L$38,MATCH($F11,'CI&amp;S'!$B$22:$B$38,0))),"N/A")</f>
        <v/>
      </c>
      <c r="N11" s="25">
        <f>IFERROR(IF(INDEX('CFOG'!$L$10:$L$15,MATCH($F11,'CFOG'!$B$10:$B$15,0))="","Cell will autofill based on response",INDEX('CFOG'!$L$10:$L$15,MATCH($F11,'CFOG'!$B$10:$B$15,0))),"N/A")</f>
        <v/>
      </c>
      <c r="O11" s="25">
        <f>IFERROR(IF(INDEX('CFOG'!$L$23:$L$23,MATCH($F11,'CFOG'!$B$23:$B$23,0))="","Cell will autofill based on response",INDEX('CFOG'!$L$23:$L$23,MATCH($F11,'CFOG'!$B$23:$B$23,0))),"N/A")</f>
        <v/>
      </c>
      <c r="P11" s="25">
        <f>IFERROR(IF(INDEX('ESG'!$L$10:$L$16,MATCH($F11,'ESG'!$B$10:$B$16,0))="","Cell will autofill based on response",INDEX('ESG'!$L$10:$L$16,MATCH($F11,'ESG'!$B$10:$B$16,0))),"N/A")</f>
        <v/>
      </c>
      <c r="Q11" s="25">
        <f>IFERROR(IF(INDEX('CIOG'!$L$10:$L$13,MATCH($F11,'CIOG'!$B$10:$B$13,0))="","Cell will autofill based on response",INDEX('CIOG'!$L$10:$L$13,MATCH($F11,'CIOG'!$B$10:$B$13,0))),"N/A")</f>
        <v/>
      </c>
      <c r="R11" s="25">
        <f>IFERROR(IF(INDEX('MRE'!$L$10:$L$11,MATCH($F11,'MRE'!$B$10:$B$11,0))="","Cell will autofill based on response",INDEX('MRE'!$L$10:$L$11,MATCH($F11,'MRE'!$B$10:$B$11,0))),"N/A")</f>
        <v/>
      </c>
      <c r="T11" s="26">
        <f>COUNTIF($H11:$R11,"Cell will autofill based on response")</f>
        <v/>
      </c>
      <c r="U11" s="26">
        <f>COUNTIF($H11:$R11,"Not yet started")</f>
        <v/>
      </c>
      <c r="V11" s="26">
        <f>COUNTIF($H11:$R11,"Not met")</f>
        <v/>
      </c>
      <c r="W11" s="26">
        <f>COUNTIF($H11:$R11,"Partially met")</f>
        <v/>
      </c>
      <c r="X11" s="26">
        <f>COUNTIF($H11:$R11,"Met or exceeded")</f>
        <v/>
      </c>
      <c r="Y11" s="26">
        <f>3*X11+2*W11+V11</f>
        <v/>
      </c>
      <c r="Z11" s="26">
        <f>X11+W11+V11+U11</f>
        <v/>
      </c>
      <c r="AA11" s="27">
        <f>IF(Z11&gt;0,Y11/Z11,"No valid responses to date")</f>
        <v/>
      </c>
      <c r="AB11" s="26">
        <f>IF(ISNUMBER(AA11),INDEX(Lists!$G$2:$G$5,MATCH(ROUND(AA11,0),Lists!$H$2:$H$5,0)),"")</f>
        <v/>
      </c>
      <c r="AC11" s="28">
        <f>IF(Z11&gt;0,X11/Z11,"")</f>
        <v/>
      </c>
      <c r="AD11" s="28">
        <f>IF(Z11&gt;0,(X11+W11)/Z11,"")</f>
        <v/>
      </c>
      <c r="AE11" s="26">
        <f>IF(Z11=0,"",IF(AC11&gt;0.75,"Met or exceeded",IF(AD11&gt;=0.5,"Partially met","Not met")))</f>
        <v/>
      </c>
    </row>
    <row r="12">
      <c r="A12">
        <f>F12&amp;"|"&amp;G12</f>
        <v/>
      </c>
      <c r="B12" s="29" t="inlineStr"/>
      <c r="C12" s="8" t="inlineStr"/>
      <c r="D12" s="8" t="inlineStr"/>
      <c r="E12" s="8" t="inlineStr"/>
      <c r="F12" s="8" t="inlineStr">
        <is>
          <t>EE1(a)</t>
        </is>
      </c>
      <c r="G12" s="8" t="inlineStr">
        <is>
          <t>OPTION 1:  Target-level reporting</t>
        </is>
      </c>
      <c r="H12" s="25">
        <f>IFERROR(IF(INDEX('Faculties'!$M$10:$M$29,MATCH($F12,'Faculties'!$B$10:$B$29,0))="","Cell will autofill based on response",INDEX('Faculties'!$M$10:$M$29,MATCH($F12,'Faculties'!$B$10:$B$29,0))),"N/A")</f>
        <v/>
      </c>
      <c r="I12" s="25">
        <f>IFERROR(IF(INDEX('Faculties'!$M$37:$M$56,MATCH($F12,'Faculties'!$B$37:$B$56,0))="","Cell will autofill based on response",INDEX('Faculties'!$M$37:$M$56,MATCH($F12,'Faculties'!$B$37:$B$56,0))),"N/A")</f>
        <v/>
      </c>
      <c r="J12" s="25">
        <f>IFERROR(IF(INDEX('Faculties'!$M$64:$M$83,MATCH($F12,'Faculties'!$B$64:$B$83,0))="","Cell will autofill based on response",INDEX('Faculties'!$M$64:$M$83,MATCH($F12,'Faculties'!$B$64:$B$83,0))),"N/A")</f>
        <v/>
      </c>
      <c r="K12" s="25">
        <f>IFERROR(IF(INDEX('Faculties'!$M$91:$M$110,MATCH($F12,'Faculties'!$B$91:$B$110,0))="","Cell will autofill based on response",INDEX('Faculties'!$M$91:$M$110,MATCH($F12,'Faculties'!$B$91:$B$110,0))),"N/A")</f>
        <v/>
      </c>
      <c r="L12" s="25">
        <f>IFERROR(IF(INDEX('CI&amp;S'!$M$10:$M$14,MATCH($F12,'CI&amp;S'!$B$10:$B$14,0))="","Cell will autofill based on response",INDEX('CI&amp;S'!$M$10:$M$14,MATCH($F12,'CI&amp;S'!$B$10:$B$14,0))),"N/A")</f>
        <v/>
      </c>
      <c r="M12" s="25">
        <f>IFERROR(IF(INDEX('CI&amp;S'!$M$22:$M$38,MATCH($F12,'CI&amp;S'!$B$22:$B$38,0))="","Cell will autofill based on response",INDEX('CI&amp;S'!$M$22:$M$38,MATCH($F12,'CI&amp;S'!$B$22:$B$38,0))),"N/A")</f>
        <v/>
      </c>
      <c r="N12" s="25">
        <f>IFERROR(IF(INDEX('CFOG'!$M$10:$M$15,MATCH($F12,'CFOG'!$B$10:$B$15,0))="","Cell will autofill based on response",INDEX('CFOG'!$M$10:$M$15,MATCH($F12,'CFOG'!$B$10:$B$15,0))),"N/A")</f>
        <v/>
      </c>
      <c r="O12" s="25">
        <f>IFERROR(IF(INDEX('CFOG'!$M$23:$M$23,MATCH($F12,'CFOG'!$B$23:$B$23,0))="","Cell will autofill based on response",INDEX('CFOG'!$M$23:$M$23,MATCH($F12,'CFOG'!$B$23:$B$23,0))),"N/A")</f>
        <v/>
      </c>
      <c r="P12" s="25">
        <f>IFERROR(IF(INDEX('ESG'!$M$10:$M$16,MATCH($F12,'ESG'!$B$10:$B$16,0))="","Cell will autofill based on response",INDEX('ESG'!$M$10:$M$16,MATCH($F12,'ESG'!$B$10:$B$16,0))),"N/A")</f>
        <v/>
      </c>
      <c r="Q12" s="25">
        <f>IFERROR(IF(INDEX('CIOG'!$M$10:$M$13,MATCH($F12,'CIOG'!$B$10:$B$13,0))="","Cell will autofill based on response",INDEX('CIOG'!$M$10:$M$13,MATCH($F12,'CIOG'!$B$10:$B$13,0))),"N/A")</f>
        <v/>
      </c>
      <c r="R12" s="25">
        <f>IFERROR(IF(INDEX('MRE'!$M$10:$M$11,MATCH($F12,'MRE'!$B$10:$B$11,0))="","Cell will autofill based on response",INDEX('MRE'!$M$10:$M$11,MATCH($F12,'MRE'!$B$10:$B$11,0))),"N/A")</f>
        <v/>
      </c>
    </row>
    <row r="13">
      <c r="A13">
        <f>F13&amp;"|"&amp;G13</f>
        <v/>
      </c>
      <c r="B13" s="29" t="inlineStr"/>
      <c r="C13" s="8" t="inlineStr"/>
      <c r="D13" s="8" t="inlineStr"/>
      <c r="E13" s="8" t="inlineStr"/>
      <c r="F13" s="8" t="inlineStr">
        <is>
          <t>EE1(a)</t>
        </is>
      </c>
      <c r="G13" s="8" t="inlineStr">
        <is>
          <t>OPTION 2:  Indicator level reporting</t>
        </is>
      </c>
      <c r="H13" s="25">
        <f>IFERROR(IF(INDEX('Faculties'!$N$10:$N$29,MATCH($F13,'Faculties'!$B$10:$B$29,0))="","Cell will autofill based on response",INDEX('Faculties'!$N$10:$N$29,MATCH($F13,'Faculties'!$B$10:$B$29,0))),"N/A")</f>
        <v/>
      </c>
      <c r="I13" s="25">
        <f>IFERROR(IF(INDEX('Faculties'!$N$37:$N$56,MATCH($F13,'Faculties'!$B$37:$B$56,0))="","Cell will autofill based on response",INDEX('Faculties'!$N$37:$N$56,MATCH($F13,'Faculties'!$B$37:$B$56,0))),"N/A")</f>
        <v/>
      </c>
      <c r="J13" s="25">
        <f>IFERROR(IF(INDEX('Faculties'!$N$64:$N$83,MATCH($F13,'Faculties'!$B$64:$B$83,0))="","Cell will autofill based on response",INDEX('Faculties'!$N$64:$N$83,MATCH($F13,'Faculties'!$B$64:$B$83,0))),"N/A")</f>
        <v/>
      </c>
      <c r="K13" s="25">
        <f>IFERROR(IF(INDEX('Faculties'!$N$91:$N$110,MATCH($F13,'Faculties'!$B$91:$B$110,0))="","Cell will autofill based on response",INDEX('Faculties'!$N$91:$N$110,MATCH($F13,'Faculties'!$B$91:$B$110,0))),"N/A")</f>
        <v/>
      </c>
      <c r="L13" s="25">
        <f>IFERROR(IF(INDEX('CI&amp;S'!$N$10:$N$14,MATCH($F13,'CI&amp;S'!$B$10:$B$14,0))="","Cell will autofill based on response",INDEX('CI&amp;S'!$N$10:$N$14,MATCH($F13,'CI&amp;S'!$B$10:$B$14,0))),"N/A")</f>
        <v/>
      </c>
      <c r="M13" s="25">
        <f>IFERROR(IF(INDEX('CI&amp;S'!$N$22:$N$38,MATCH($F13,'CI&amp;S'!$B$22:$B$38,0))="","Cell will autofill based on response",INDEX('CI&amp;S'!$N$22:$N$38,MATCH($F13,'CI&amp;S'!$B$22:$B$38,0))),"N/A")</f>
        <v/>
      </c>
      <c r="N13" s="25">
        <f>IFERROR(IF(INDEX('CFOG'!$N$10:$N$15,MATCH($F13,'CFOG'!$B$10:$B$15,0))="","Cell will autofill based on response",INDEX('CFOG'!$N$10:$N$15,MATCH($F13,'CFOG'!$B$10:$B$15,0))),"N/A")</f>
        <v/>
      </c>
      <c r="O13" s="25">
        <f>IFERROR(IF(INDEX('CFOG'!$N$23:$N$23,MATCH($F13,'CFOG'!$B$23:$B$23,0))="","Cell will autofill based on response",INDEX('CFOG'!$N$23:$N$23,MATCH($F13,'CFOG'!$B$23:$B$23,0))),"N/A")</f>
        <v/>
      </c>
      <c r="P13" s="25">
        <f>IFERROR(IF(INDEX('ESG'!$N$10:$N$16,MATCH($F13,'ESG'!$B$10:$B$16,0))="","Cell will autofill based on response",INDEX('ESG'!$N$10:$N$16,MATCH($F13,'ESG'!$B$10:$B$16,0))),"N/A")</f>
        <v/>
      </c>
      <c r="Q13" s="25">
        <f>IFERROR(IF(INDEX('CIOG'!$N$10:$N$13,MATCH($F13,'CIOG'!$B$10:$B$13,0))="","Cell will autofill based on response",INDEX('CIOG'!$N$10:$N$13,MATCH($F13,'CIOG'!$B$10:$B$13,0))),"N/A")</f>
        <v/>
      </c>
      <c r="R13" s="25">
        <f>IFERROR(IF(INDEX('MRE'!$N$10:$N$11,MATCH($F13,'MRE'!$B$10:$B$11,0))="","Cell will autofill based on response",INDEX('MRE'!$N$10:$N$11,MATCH($F13,'MRE'!$B$10:$B$11,0))),"N/A")</f>
        <v/>
      </c>
    </row>
    <row r="14">
      <c r="A14">
        <f>F14&amp;"|"&amp;G14</f>
        <v/>
      </c>
      <c r="B14" s="29" t="inlineStr"/>
      <c r="C14" s="8" t="inlineStr"/>
      <c r="D14" s="8" t="inlineStr"/>
      <c r="E14" s="8" t="inlineStr"/>
      <c r="F14" s="8" t="inlineStr">
        <is>
          <t>EE1(a)</t>
        </is>
      </c>
      <c r="G14" s="8" t="inlineStr">
        <is>
          <t>Supporting information/comments</t>
        </is>
      </c>
      <c r="H14" s="25">
        <f>IFERROR(IF(INDEX('Faculties'!$O$10:$O$29,MATCH($F14,'Faculties'!$B$10:$B$29,0))="","Cell will autofill based on response",INDEX('Faculties'!$O$10:$O$29,MATCH($F14,'Faculties'!$B$10:$B$29,0))),"N/A")</f>
        <v/>
      </c>
      <c r="I14" s="25">
        <f>IFERROR(IF(INDEX('Faculties'!$O$37:$O$56,MATCH($F14,'Faculties'!$B$37:$B$56,0))="","Cell will autofill based on response",INDEX('Faculties'!$O$37:$O$56,MATCH($F14,'Faculties'!$B$37:$B$56,0))),"N/A")</f>
        <v/>
      </c>
      <c r="J14" s="25">
        <f>IFERROR(IF(INDEX('Faculties'!$O$64:$O$83,MATCH($F14,'Faculties'!$B$64:$B$83,0))="","Cell will autofill based on response",INDEX('Faculties'!$O$64:$O$83,MATCH($F14,'Faculties'!$B$64:$B$83,0))),"N/A")</f>
        <v/>
      </c>
      <c r="K14" s="25">
        <f>IFERROR(IF(INDEX('Faculties'!$O$91:$O$110,MATCH($F14,'Faculties'!$B$91:$B$110,0))="","Cell will autofill based on response",INDEX('Faculties'!$O$91:$O$110,MATCH($F14,'Faculties'!$B$91:$B$110,0))),"N/A")</f>
        <v/>
      </c>
      <c r="L14" s="25">
        <f>IFERROR(IF(INDEX('CI&amp;S'!$O$10:$O$14,MATCH($F14,'CI&amp;S'!$B$10:$B$14,0))="","Cell will autofill based on response",INDEX('CI&amp;S'!$O$10:$O$14,MATCH($F14,'CI&amp;S'!$B$10:$B$14,0))),"N/A")</f>
        <v/>
      </c>
      <c r="M14" s="25">
        <f>IFERROR(IF(INDEX('CI&amp;S'!$O$22:$O$38,MATCH($F14,'CI&amp;S'!$B$22:$B$38,0))="","Cell will autofill based on response",INDEX('CI&amp;S'!$O$22:$O$38,MATCH($F14,'CI&amp;S'!$B$22:$B$38,0))),"N/A")</f>
        <v/>
      </c>
      <c r="N14" s="25">
        <f>IFERROR(IF(INDEX('CFOG'!$O$10:$O$15,MATCH($F14,'CFOG'!$B$10:$B$15,0))="","Cell will autofill based on response",INDEX('CFOG'!$O$10:$O$15,MATCH($F14,'CFOG'!$B$10:$B$15,0))),"N/A")</f>
        <v/>
      </c>
      <c r="O14" s="25">
        <f>IFERROR(IF(INDEX('CFOG'!$O$23:$O$23,MATCH($F14,'CFOG'!$B$23:$B$23,0))="","Cell will autofill based on response",INDEX('CFOG'!$O$23:$O$23,MATCH($F14,'CFOG'!$B$23:$B$23,0))),"N/A")</f>
        <v/>
      </c>
      <c r="P14" s="25">
        <f>IFERROR(IF(INDEX('ESG'!$O$10:$O$16,MATCH($F14,'ESG'!$B$10:$B$16,0))="","Cell will autofill based on response",INDEX('ESG'!$O$10:$O$16,MATCH($F14,'ESG'!$B$10:$B$16,0))),"N/A")</f>
        <v/>
      </c>
      <c r="Q14" s="25">
        <f>IFERROR(IF(INDEX('CIOG'!$O$10:$O$13,MATCH($F14,'CIOG'!$B$10:$B$13,0))="","Cell will autofill based on response",INDEX('CIOG'!$O$10:$O$13,MATCH($F14,'CIOG'!$B$10:$B$13,0))),"N/A")</f>
        <v/>
      </c>
      <c r="R14" s="25">
        <f>IFERROR(IF(INDEX('MRE'!$O$10:$O$11,MATCH($F14,'MRE'!$B$10:$B$11,0))="","Cell will autofill based on response",INDEX('MRE'!$O$10:$O$11,MATCH($F14,'MRE'!$B$10:$B$11,0))),"N/A")</f>
        <v/>
      </c>
    </row>
    <row r="15">
      <c r="A15">
        <f>F15&amp;"|"&amp;G15</f>
        <v/>
      </c>
      <c r="B15" s="29" t="inlineStr"/>
      <c r="C15" s="8" t="inlineStr"/>
      <c r="D15" s="8" t="inlineStr"/>
      <c r="E15" s="8" t="inlineStr"/>
      <c r="F15" s="8" t="inlineStr">
        <is>
          <t>EE1(a)</t>
        </is>
      </c>
      <c r="G15" s="8" t="inlineStr">
        <is>
          <t>Data source and limitations</t>
        </is>
      </c>
      <c r="H15" s="25">
        <f>IFERROR(IF(INDEX('Faculties'!$P$10:$P$29,MATCH($F15,'Faculties'!$B$10:$B$29,0))="","Cell will autofill based on response",INDEX('Faculties'!$P$10:$P$29,MATCH($F15,'Faculties'!$B$10:$B$29,0))),"N/A")</f>
        <v/>
      </c>
      <c r="I15" s="25">
        <f>IFERROR(IF(INDEX('Faculties'!$P$37:$P$56,MATCH($F15,'Faculties'!$B$37:$B$56,0))="","Cell will autofill based on response",INDEX('Faculties'!$P$37:$P$56,MATCH($F15,'Faculties'!$B$37:$B$56,0))),"N/A")</f>
        <v/>
      </c>
      <c r="J15" s="25">
        <f>IFERROR(IF(INDEX('Faculties'!$P$64:$P$83,MATCH($F15,'Faculties'!$B$64:$B$83,0))="","Cell will autofill based on response",INDEX('Faculties'!$P$64:$P$83,MATCH($F15,'Faculties'!$B$64:$B$83,0))),"N/A")</f>
        <v/>
      </c>
      <c r="K15" s="25">
        <f>IFERROR(IF(INDEX('Faculties'!$P$91:$P$110,MATCH($F15,'Faculties'!$B$91:$B$110,0))="","Cell will autofill based on response",INDEX('Faculties'!$P$91:$P$110,MATCH($F15,'Faculties'!$B$91:$B$110,0))),"N/A")</f>
        <v/>
      </c>
      <c r="L15" s="25">
        <f>IFERROR(IF(INDEX('CI&amp;S'!$P$10:$P$14,MATCH($F15,'CI&amp;S'!$B$10:$B$14,0))="","Cell will autofill based on response",INDEX('CI&amp;S'!$P$10:$P$14,MATCH($F15,'CI&amp;S'!$B$10:$B$14,0))),"N/A")</f>
        <v/>
      </c>
      <c r="M15" s="25">
        <f>IFERROR(IF(INDEX('CI&amp;S'!$P$22:$P$38,MATCH($F15,'CI&amp;S'!$B$22:$B$38,0))="","Cell will autofill based on response",INDEX('CI&amp;S'!$P$22:$P$38,MATCH($F15,'CI&amp;S'!$B$22:$B$38,0))),"N/A")</f>
        <v/>
      </c>
      <c r="N15" s="25">
        <f>IFERROR(IF(INDEX('CFOG'!$P$10:$P$15,MATCH($F15,'CFOG'!$B$10:$B$15,0))="","Cell will autofill based on response",INDEX('CFOG'!$P$10:$P$15,MATCH($F15,'CFOG'!$B$10:$B$15,0))),"N/A")</f>
        <v/>
      </c>
      <c r="O15" s="25">
        <f>IFERROR(IF(INDEX('CFOG'!$P$23:$P$23,MATCH($F15,'CFOG'!$B$23:$B$23,0))="","Cell will autofill based on response",INDEX('CFOG'!$P$23:$P$23,MATCH($F15,'CFOG'!$B$23:$B$23,0))),"N/A")</f>
        <v/>
      </c>
      <c r="P15" s="25">
        <f>IFERROR(IF(INDEX('ESG'!$P$10:$P$16,MATCH($F15,'ESG'!$B$10:$B$16,0))="","Cell will autofill based on response",INDEX('ESG'!$P$10:$P$16,MATCH($F15,'ESG'!$B$10:$B$16,0))),"N/A")</f>
        <v/>
      </c>
      <c r="Q15" s="25">
        <f>IFERROR(IF(INDEX('CIOG'!$P$10:$P$13,MATCH($F15,'CIOG'!$B$10:$B$13,0))="","Cell will autofill based on response",INDEX('CIOG'!$P$10:$P$13,MATCH($F15,'CIOG'!$B$10:$B$13,0))),"N/A")</f>
        <v/>
      </c>
      <c r="R15" s="25">
        <f>IFERROR(IF(INDEX('MRE'!$P$10:$P$11,MATCH($F15,'MRE'!$B$10:$B$11,0))="","Cell will autofill based on response",INDEX('MRE'!$P$10:$P$11,MATCH($F15,'MRE'!$B$10:$B$11,0))),"N/A")</f>
        <v/>
      </c>
    </row>
    <row r="16">
      <c r="A16">
        <f>F16&amp;"|"&amp;G16</f>
        <v/>
      </c>
      <c r="B16" s="29" t="inlineStr"/>
      <c r="C16" s="8" t="inlineStr"/>
      <c r="D16" s="8" t="inlineStr"/>
      <c r="E16" s="8" t="inlineStr"/>
      <c r="F16" s="8" t="inlineStr">
        <is>
          <t>EE1(a)</t>
        </is>
      </c>
      <c r="G16" s="8" t="inlineStr">
        <is>
          <t>Data owner confirms</t>
        </is>
      </c>
      <c r="H16" s="25">
        <f>IFERROR(IF(INDEX('Faculties'!$Q$10:$Q$29,MATCH($F16,'Faculties'!$B$10:$B$29,0))="","Cell will autofill based on response",INDEX('Faculties'!$Q$10:$Q$29,MATCH($F16,'Faculties'!$B$10:$B$29,0))),"N/A")</f>
        <v/>
      </c>
      <c r="I16" s="25">
        <f>IFERROR(IF(INDEX('Faculties'!$Q$37:$Q$56,MATCH($F16,'Faculties'!$B$37:$B$56,0))="","Cell will autofill based on response",INDEX('Faculties'!$Q$37:$Q$56,MATCH($F16,'Faculties'!$B$37:$B$56,0))),"N/A")</f>
        <v/>
      </c>
      <c r="J16" s="25">
        <f>IFERROR(IF(INDEX('Faculties'!$Q$64:$Q$83,MATCH($F16,'Faculties'!$B$64:$B$83,0))="","Cell will autofill based on response",INDEX('Faculties'!$Q$64:$Q$83,MATCH($F16,'Faculties'!$B$64:$B$83,0))),"N/A")</f>
        <v/>
      </c>
      <c r="K16" s="25">
        <f>IFERROR(IF(INDEX('Faculties'!$Q$91:$Q$110,MATCH($F16,'Faculties'!$B$91:$B$110,0))="","Cell will autofill based on response",INDEX('Faculties'!$Q$91:$Q$110,MATCH($F16,'Faculties'!$B$91:$B$110,0))),"N/A")</f>
        <v/>
      </c>
      <c r="L16" s="25">
        <f>IFERROR(IF(INDEX('CI&amp;S'!$Q$10:$Q$14,MATCH($F16,'CI&amp;S'!$B$10:$B$14,0))="","Cell will autofill based on response",INDEX('CI&amp;S'!$Q$10:$Q$14,MATCH($F16,'CI&amp;S'!$B$10:$B$14,0))),"N/A")</f>
        <v/>
      </c>
      <c r="M16" s="25">
        <f>IFERROR(IF(INDEX('CI&amp;S'!$Q$22:$Q$38,MATCH($F16,'CI&amp;S'!$B$22:$B$38,0))="","Cell will autofill based on response",INDEX('CI&amp;S'!$Q$22:$Q$38,MATCH($F16,'CI&amp;S'!$B$22:$B$38,0))),"N/A")</f>
        <v/>
      </c>
      <c r="N16" s="25">
        <f>IFERROR(IF(INDEX('CFOG'!$Q$10:$Q$15,MATCH($F16,'CFOG'!$B$10:$B$15,0))="","Cell will autofill based on response",INDEX('CFOG'!$Q$10:$Q$15,MATCH($F16,'CFOG'!$B$10:$B$15,0))),"N/A")</f>
        <v/>
      </c>
      <c r="O16" s="25">
        <f>IFERROR(IF(INDEX('CFOG'!$Q$23:$Q$23,MATCH($F16,'CFOG'!$B$23:$B$23,0))="","Cell will autofill based on response",INDEX('CFOG'!$Q$23:$Q$23,MATCH($F16,'CFOG'!$B$23:$B$23,0))),"N/A")</f>
        <v/>
      </c>
      <c r="P16" s="25">
        <f>IFERROR(IF(INDEX('ESG'!$Q$10:$Q$16,MATCH($F16,'ESG'!$B$10:$B$16,0))="","Cell will autofill based on response",INDEX('ESG'!$Q$10:$Q$16,MATCH($F16,'ESG'!$B$10:$B$16,0))),"N/A")</f>
        <v/>
      </c>
      <c r="Q16" s="25">
        <f>IFERROR(IF(INDEX('CIOG'!$Q$10:$Q$13,MATCH($F16,'CIOG'!$B$10:$B$13,0))="","Cell will autofill based on response",INDEX('CIOG'!$Q$10:$Q$13,MATCH($F16,'CIOG'!$B$10:$B$13,0))),"N/A")</f>
        <v/>
      </c>
      <c r="R16" s="25">
        <f>IFERROR(IF(INDEX('MRE'!$Q$10:$Q$11,MATCH($F16,'MRE'!$B$10:$B$11,0))="","Cell will autofill based on response",INDEX('MRE'!$Q$10:$Q$11,MATCH($F16,'MRE'!$B$10:$B$11,0))),"N/A")</f>
        <v/>
      </c>
    </row>
    <row r="17">
      <c r="A17">
        <f>F17&amp;"|"&amp;G17</f>
        <v/>
      </c>
      <c r="B17" s="7" t="inlineStr">
        <is>
          <t>EE1(b)</t>
        </is>
      </c>
      <c r="C17" s="12" t="inlineStr">
        <is>
          <t>Exceptional education</t>
        </is>
      </c>
      <c r="D17" s="12" t="inlineStr">
        <is>
          <t>Pilots of possible approaches for understanding and developing students’ sustainability self-efficacy</t>
        </is>
      </c>
      <c r="E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12" t="inlineStr">
        <is>
          <t>EE1(b)</t>
        </is>
      </c>
      <c r="G17" s="12" t="inlineStr">
        <is>
          <t>Confirm end-2026 target status</t>
        </is>
      </c>
      <c r="H17" s="25">
        <f>IFERROR(IF(INDEX('Faculties'!$L$10:$L$29,MATCH($F17,'Faculties'!$B$10:$B$29,0))="","Cell will autofill based on response",INDEX('Faculties'!$L$10:$L$29,MATCH($F17,'Faculties'!$B$10:$B$29,0))),"N/A")</f>
        <v/>
      </c>
      <c r="I17" s="25">
        <f>IFERROR(IF(INDEX('Faculties'!$L$37:$L$56,MATCH($F17,'Faculties'!$B$37:$B$56,0))="","Cell will autofill based on response",INDEX('Faculties'!$L$37:$L$56,MATCH($F17,'Faculties'!$B$37:$B$56,0))),"N/A")</f>
        <v/>
      </c>
      <c r="J17" s="25">
        <f>IFERROR(IF(INDEX('Faculties'!$L$64:$L$83,MATCH($F17,'Faculties'!$B$64:$B$83,0))="","Cell will autofill based on response",INDEX('Faculties'!$L$64:$L$83,MATCH($F17,'Faculties'!$B$64:$B$83,0))),"N/A")</f>
        <v/>
      </c>
      <c r="K17" s="25">
        <f>IFERROR(IF(INDEX('Faculties'!$L$91:$L$110,MATCH($F17,'Faculties'!$B$91:$B$110,0))="","Cell will autofill based on response",INDEX('Faculties'!$L$91:$L$110,MATCH($F17,'Faculties'!$B$91:$B$110,0))),"N/A")</f>
        <v/>
      </c>
      <c r="L17" s="25">
        <f>IFERROR(IF(INDEX('CI&amp;S'!$L$10:$L$14,MATCH($F17,'CI&amp;S'!$B$10:$B$14,0))="","Cell will autofill based on response",INDEX('CI&amp;S'!$L$10:$L$14,MATCH($F17,'CI&amp;S'!$B$10:$B$14,0))),"N/A")</f>
        <v/>
      </c>
      <c r="M17" s="25">
        <f>IFERROR(IF(INDEX('CI&amp;S'!$L$22:$L$38,MATCH($F17,'CI&amp;S'!$B$22:$B$38,0))="","Cell will autofill based on response",INDEX('CI&amp;S'!$L$22:$L$38,MATCH($F17,'CI&amp;S'!$B$22:$B$38,0))),"N/A")</f>
        <v/>
      </c>
      <c r="N17" s="25">
        <f>IFERROR(IF(INDEX('CFOG'!$L$10:$L$15,MATCH($F17,'CFOG'!$B$10:$B$15,0))="","Cell will autofill based on response",INDEX('CFOG'!$L$10:$L$15,MATCH($F17,'CFOG'!$B$10:$B$15,0))),"N/A")</f>
        <v/>
      </c>
      <c r="O17" s="25">
        <f>IFERROR(IF(INDEX('CFOG'!$L$23:$L$23,MATCH($F17,'CFOG'!$B$23:$B$23,0))="","Cell will autofill based on response",INDEX('CFOG'!$L$23:$L$23,MATCH($F17,'CFOG'!$B$23:$B$23,0))),"N/A")</f>
        <v/>
      </c>
      <c r="P17" s="25">
        <f>IFERROR(IF(INDEX('ESG'!$L$10:$L$16,MATCH($F17,'ESG'!$B$10:$B$16,0))="","Cell will autofill based on response",INDEX('ESG'!$L$10:$L$16,MATCH($F17,'ESG'!$B$10:$B$16,0))),"N/A")</f>
        <v/>
      </c>
      <c r="Q17" s="25">
        <f>IFERROR(IF(INDEX('CIOG'!$L$10:$L$13,MATCH($F17,'CIOG'!$B$10:$B$13,0))="","Cell will autofill based on response",INDEX('CIOG'!$L$10:$L$13,MATCH($F17,'CIOG'!$B$10:$B$13,0))),"N/A")</f>
        <v/>
      </c>
      <c r="R17" s="25">
        <f>IFERROR(IF(INDEX('MRE'!$L$10:$L$11,MATCH($F17,'MRE'!$B$10:$B$11,0))="","Cell will autofill based on response",INDEX('MRE'!$L$10:$L$11,MATCH($F17,'MRE'!$B$10:$B$11,0))),"N/A")</f>
        <v/>
      </c>
      <c r="T17" s="26">
        <f>COUNTIF($H17:$R17,"Cell will autofill based on response")</f>
        <v/>
      </c>
      <c r="U17" s="26">
        <f>COUNTIF($H17:$R17,"Not yet started")</f>
        <v/>
      </c>
      <c r="V17" s="26">
        <f>COUNTIF($H17:$R17,"Not met")</f>
        <v/>
      </c>
      <c r="W17" s="26">
        <f>COUNTIF($H17:$R17,"Partially met")</f>
        <v/>
      </c>
      <c r="X17" s="26">
        <f>COUNTIF($H17:$R17,"Met or exceeded")</f>
        <v/>
      </c>
      <c r="Y17" s="26">
        <f>3*X17+2*W17+V17</f>
        <v/>
      </c>
      <c r="Z17" s="26">
        <f>X17+W17+V17+U17</f>
        <v/>
      </c>
      <c r="AA17" s="27">
        <f>IF(Z17&gt;0,Y17/Z17,"No valid responses to date")</f>
        <v/>
      </c>
      <c r="AB17" s="26">
        <f>IF(ISNUMBER(AA17),INDEX(Lists!$G$2:$G$5,MATCH(ROUND(AA17,0),Lists!$H$2:$H$5,0)),"")</f>
        <v/>
      </c>
      <c r="AC17" s="28">
        <f>IF(Z17&gt;0,X17/Z17,"")</f>
        <v/>
      </c>
      <c r="AD17" s="28">
        <f>IF(Z17&gt;0,(X17+W17)/Z17,"")</f>
        <v/>
      </c>
      <c r="AE17" s="26">
        <f>IF(Z17=0,"",IF(AC17&gt;0.75,"Met or exceeded",IF(AD17&gt;=0.5,"Partially met","Not met")))</f>
        <v/>
      </c>
    </row>
    <row r="18">
      <c r="A18">
        <f>F18&amp;"|"&amp;G18</f>
        <v/>
      </c>
      <c r="B18" s="29" t="inlineStr"/>
      <c r="C18" s="8" t="inlineStr"/>
      <c r="D18" s="8" t="inlineStr"/>
      <c r="E18" s="8" t="inlineStr"/>
      <c r="F18" s="8" t="inlineStr">
        <is>
          <t>EE1(b)</t>
        </is>
      </c>
      <c r="G18" s="8" t="inlineStr">
        <is>
          <t>OPTION 1:  Target-level reporting</t>
        </is>
      </c>
      <c r="H18" s="25">
        <f>IFERROR(IF(INDEX('Faculties'!$M$10:$M$29,MATCH($F18,'Faculties'!$B$10:$B$29,0))="","Cell will autofill based on response",INDEX('Faculties'!$M$10:$M$29,MATCH($F18,'Faculties'!$B$10:$B$29,0))),"N/A")</f>
        <v/>
      </c>
      <c r="I18" s="25">
        <f>IFERROR(IF(INDEX('Faculties'!$M$37:$M$56,MATCH($F18,'Faculties'!$B$37:$B$56,0))="","Cell will autofill based on response",INDEX('Faculties'!$M$37:$M$56,MATCH($F18,'Faculties'!$B$37:$B$56,0))),"N/A")</f>
        <v/>
      </c>
      <c r="J18" s="25">
        <f>IFERROR(IF(INDEX('Faculties'!$M$64:$M$83,MATCH($F18,'Faculties'!$B$64:$B$83,0))="","Cell will autofill based on response",INDEX('Faculties'!$M$64:$M$83,MATCH($F18,'Faculties'!$B$64:$B$83,0))),"N/A")</f>
        <v/>
      </c>
      <c r="K18" s="25">
        <f>IFERROR(IF(INDEX('Faculties'!$M$91:$M$110,MATCH($F18,'Faculties'!$B$91:$B$110,0))="","Cell will autofill based on response",INDEX('Faculties'!$M$91:$M$110,MATCH($F18,'Faculties'!$B$91:$B$110,0))),"N/A")</f>
        <v/>
      </c>
      <c r="L18" s="25">
        <f>IFERROR(IF(INDEX('CI&amp;S'!$M$10:$M$14,MATCH($F18,'CI&amp;S'!$B$10:$B$14,0))="","Cell will autofill based on response",INDEX('CI&amp;S'!$M$10:$M$14,MATCH($F18,'CI&amp;S'!$B$10:$B$14,0))),"N/A")</f>
        <v/>
      </c>
      <c r="M18" s="25">
        <f>IFERROR(IF(INDEX('CI&amp;S'!$M$22:$M$38,MATCH($F18,'CI&amp;S'!$B$22:$B$38,0))="","Cell will autofill based on response",INDEX('CI&amp;S'!$M$22:$M$38,MATCH($F18,'CI&amp;S'!$B$22:$B$38,0))),"N/A")</f>
        <v/>
      </c>
      <c r="N18" s="25">
        <f>IFERROR(IF(INDEX('CFOG'!$M$10:$M$15,MATCH($F18,'CFOG'!$B$10:$B$15,0))="","Cell will autofill based on response",INDEX('CFOG'!$M$10:$M$15,MATCH($F18,'CFOG'!$B$10:$B$15,0))),"N/A")</f>
        <v/>
      </c>
      <c r="O18" s="25">
        <f>IFERROR(IF(INDEX('CFOG'!$M$23:$M$23,MATCH($F18,'CFOG'!$B$23:$B$23,0))="","Cell will autofill based on response",INDEX('CFOG'!$M$23:$M$23,MATCH($F18,'CFOG'!$B$23:$B$23,0))),"N/A")</f>
        <v/>
      </c>
      <c r="P18" s="25">
        <f>IFERROR(IF(INDEX('ESG'!$M$10:$M$16,MATCH($F18,'ESG'!$B$10:$B$16,0))="","Cell will autofill based on response",INDEX('ESG'!$M$10:$M$16,MATCH($F18,'ESG'!$B$10:$B$16,0))),"N/A")</f>
        <v/>
      </c>
      <c r="Q18" s="25">
        <f>IFERROR(IF(INDEX('CIOG'!$M$10:$M$13,MATCH($F18,'CIOG'!$B$10:$B$13,0))="","Cell will autofill based on response",INDEX('CIOG'!$M$10:$M$13,MATCH($F18,'CIOG'!$B$10:$B$13,0))),"N/A")</f>
        <v/>
      </c>
      <c r="R18" s="25">
        <f>IFERROR(IF(INDEX('MRE'!$M$10:$M$11,MATCH($F18,'MRE'!$B$10:$B$11,0))="","Cell will autofill based on response",INDEX('MRE'!$M$10:$M$11,MATCH($F18,'MRE'!$B$10:$B$11,0))),"N/A")</f>
        <v/>
      </c>
    </row>
    <row r="19">
      <c r="A19">
        <f>F19&amp;"|"&amp;G19</f>
        <v/>
      </c>
      <c r="B19" s="29" t="inlineStr"/>
      <c r="C19" s="8" t="inlineStr"/>
      <c r="D19" s="8" t="inlineStr"/>
      <c r="E19" s="8" t="inlineStr"/>
      <c r="F19" s="8" t="inlineStr">
        <is>
          <t>EE1(b)</t>
        </is>
      </c>
      <c r="G19" s="8" t="inlineStr">
        <is>
          <t>OPTION 2:  Indicator level reporting</t>
        </is>
      </c>
      <c r="H19" s="25">
        <f>IFERROR(IF(INDEX('Faculties'!$N$10:$N$29,MATCH($F19,'Faculties'!$B$10:$B$29,0))="","Cell will autofill based on response",INDEX('Faculties'!$N$10:$N$29,MATCH($F19,'Faculties'!$B$10:$B$29,0))),"N/A")</f>
        <v/>
      </c>
      <c r="I19" s="25">
        <f>IFERROR(IF(INDEX('Faculties'!$N$37:$N$56,MATCH($F19,'Faculties'!$B$37:$B$56,0))="","Cell will autofill based on response",INDEX('Faculties'!$N$37:$N$56,MATCH($F19,'Faculties'!$B$37:$B$56,0))),"N/A")</f>
        <v/>
      </c>
      <c r="J19" s="25">
        <f>IFERROR(IF(INDEX('Faculties'!$N$64:$N$83,MATCH($F19,'Faculties'!$B$64:$B$83,0))="","Cell will autofill based on response",INDEX('Faculties'!$N$64:$N$83,MATCH($F19,'Faculties'!$B$64:$B$83,0))),"N/A")</f>
        <v/>
      </c>
      <c r="K19" s="25">
        <f>IFERROR(IF(INDEX('Faculties'!$N$91:$N$110,MATCH($F19,'Faculties'!$B$91:$B$110,0))="","Cell will autofill based on response",INDEX('Faculties'!$N$91:$N$110,MATCH($F19,'Faculties'!$B$91:$B$110,0))),"N/A")</f>
        <v/>
      </c>
      <c r="L19" s="25">
        <f>IFERROR(IF(INDEX('CI&amp;S'!$N$10:$N$14,MATCH($F19,'CI&amp;S'!$B$10:$B$14,0))="","Cell will autofill based on response",INDEX('CI&amp;S'!$N$10:$N$14,MATCH($F19,'CI&amp;S'!$B$10:$B$14,0))),"N/A")</f>
        <v/>
      </c>
      <c r="M19" s="25">
        <f>IFERROR(IF(INDEX('CI&amp;S'!$N$22:$N$38,MATCH($F19,'CI&amp;S'!$B$22:$B$38,0))="","Cell will autofill based on response",INDEX('CI&amp;S'!$N$22:$N$38,MATCH($F19,'CI&amp;S'!$B$22:$B$38,0))),"N/A")</f>
        <v/>
      </c>
      <c r="N19" s="25">
        <f>IFERROR(IF(INDEX('CFOG'!$N$10:$N$15,MATCH($F19,'CFOG'!$B$10:$B$15,0))="","Cell will autofill based on response",INDEX('CFOG'!$N$10:$N$15,MATCH($F19,'CFOG'!$B$10:$B$15,0))),"N/A")</f>
        <v/>
      </c>
      <c r="O19" s="25">
        <f>IFERROR(IF(INDEX('CFOG'!$N$23:$N$23,MATCH($F19,'CFOG'!$B$23:$B$23,0))="","Cell will autofill based on response",INDEX('CFOG'!$N$23:$N$23,MATCH($F19,'CFOG'!$B$23:$B$23,0))),"N/A")</f>
        <v/>
      </c>
      <c r="P19" s="25">
        <f>IFERROR(IF(INDEX('ESG'!$N$10:$N$16,MATCH($F19,'ESG'!$B$10:$B$16,0))="","Cell will autofill based on response",INDEX('ESG'!$N$10:$N$16,MATCH($F19,'ESG'!$B$10:$B$16,0))),"N/A")</f>
        <v/>
      </c>
      <c r="Q19" s="25">
        <f>IFERROR(IF(INDEX('CIOG'!$N$10:$N$13,MATCH($F19,'CIOG'!$B$10:$B$13,0))="","Cell will autofill based on response",INDEX('CIOG'!$N$10:$N$13,MATCH($F19,'CIOG'!$B$10:$B$13,0))),"N/A")</f>
        <v/>
      </c>
      <c r="R19" s="25">
        <f>IFERROR(IF(INDEX('MRE'!$N$10:$N$11,MATCH($F19,'MRE'!$B$10:$B$11,0))="","Cell will autofill based on response",INDEX('MRE'!$N$10:$N$11,MATCH($F19,'MRE'!$B$10:$B$11,0))),"N/A")</f>
        <v/>
      </c>
    </row>
    <row r="20">
      <c r="A20">
        <f>F20&amp;"|"&amp;G20</f>
        <v/>
      </c>
      <c r="B20" s="29" t="inlineStr"/>
      <c r="C20" s="8" t="inlineStr"/>
      <c r="D20" s="8" t="inlineStr"/>
      <c r="E20" s="8" t="inlineStr"/>
      <c r="F20" s="8" t="inlineStr">
        <is>
          <t>EE1(b)</t>
        </is>
      </c>
      <c r="G20" s="8" t="inlineStr">
        <is>
          <t>Supporting information/comments</t>
        </is>
      </c>
      <c r="H20" s="25">
        <f>IFERROR(IF(INDEX('Faculties'!$O$10:$O$29,MATCH($F20,'Faculties'!$B$10:$B$29,0))="","Cell will autofill based on response",INDEX('Faculties'!$O$10:$O$29,MATCH($F20,'Faculties'!$B$10:$B$29,0))),"N/A")</f>
        <v/>
      </c>
      <c r="I20" s="25">
        <f>IFERROR(IF(INDEX('Faculties'!$O$37:$O$56,MATCH($F20,'Faculties'!$B$37:$B$56,0))="","Cell will autofill based on response",INDEX('Faculties'!$O$37:$O$56,MATCH($F20,'Faculties'!$B$37:$B$56,0))),"N/A")</f>
        <v/>
      </c>
      <c r="J20" s="25">
        <f>IFERROR(IF(INDEX('Faculties'!$O$64:$O$83,MATCH($F20,'Faculties'!$B$64:$B$83,0))="","Cell will autofill based on response",INDEX('Faculties'!$O$64:$O$83,MATCH($F20,'Faculties'!$B$64:$B$83,0))),"N/A")</f>
        <v/>
      </c>
      <c r="K20" s="25">
        <f>IFERROR(IF(INDEX('Faculties'!$O$91:$O$110,MATCH($F20,'Faculties'!$B$91:$B$110,0))="","Cell will autofill based on response",INDEX('Faculties'!$O$91:$O$110,MATCH($F20,'Faculties'!$B$91:$B$110,0))),"N/A")</f>
        <v/>
      </c>
      <c r="L20" s="25">
        <f>IFERROR(IF(INDEX('CI&amp;S'!$O$10:$O$14,MATCH($F20,'CI&amp;S'!$B$10:$B$14,0))="","Cell will autofill based on response",INDEX('CI&amp;S'!$O$10:$O$14,MATCH($F20,'CI&amp;S'!$B$10:$B$14,0))),"N/A")</f>
        <v/>
      </c>
      <c r="M20" s="25">
        <f>IFERROR(IF(INDEX('CI&amp;S'!$O$22:$O$38,MATCH($F20,'CI&amp;S'!$B$22:$B$38,0))="","Cell will autofill based on response",INDEX('CI&amp;S'!$O$22:$O$38,MATCH($F20,'CI&amp;S'!$B$22:$B$38,0))),"N/A")</f>
        <v/>
      </c>
      <c r="N20" s="25">
        <f>IFERROR(IF(INDEX('CFOG'!$O$10:$O$15,MATCH($F20,'CFOG'!$B$10:$B$15,0))="","Cell will autofill based on response",INDEX('CFOG'!$O$10:$O$15,MATCH($F20,'CFOG'!$B$10:$B$15,0))),"N/A")</f>
        <v/>
      </c>
      <c r="O20" s="25">
        <f>IFERROR(IF(INDEX('CFOG'!$O$23:$O$23,MATCH($F20,'CFOG'!$B$23:$B$23,0))="","Cell will autofill based on response",INDEX('CFOG'!$O$23:$O$23,MATCH($F20,'CFOG'!$B$23:$B$23,0))),"N/A")</f>
        <v/>
      </c>
      <c r="P20" s="25">
        <f>IFERROR(IF(INDEX('ESG'!$O$10:$O$16,MATCH($F20,'ESG'!$B$10:$B$16,0))="","Cell will autofill based on response",INDEX('ESG'!$O$10:$O$16,MATCH($F20,'ESG'!$B$10:$B$16,0))),"N/A")</f>
        <v/>
      </c>
      <c r="Q20" s="25">
        <f>IFERROR(IF(INDEX('CIOG'!$O$10:$O$13,MATCH($F20,'CIOG'!$B$10:$B$13,0))="","Cell will autofill based on response",INDEX('CIOG'!$O$10:$O$13,MATCH($F20,'CIOG'!$B$10:$B$13,0))),"N/A")</f>
        <v/>
      </c>
      <c r="R20" s="25">
        <f>IFERROR(IF(INDEX('MRE'!$O$10:$O$11,MATCH($F20,'MRE'!$B$10:$B$11,0))="","Cell will autofill based on response",INDEX('MRE'!$O$10:$O$11,MATCH($F20,'MRE'!$B$10:$B$11,0))),"N/A")</f>
        <v/>
      </c>
    </row>
    <row r="21">
      <c r="A21">
        <f>F21&amp;"|"&amp;G21</f>
        <v/>
      </c>
      <c r="B21" s="29" t="inlineStr"/>
      <c r="C21" s="8" t="inlineStr"/>
      <c r="D21" s="8" t="inlineStr"/>
      <c r="E21" s="8" t="inlineStr"/>
      <c r="F21" s="8" t="inlineStr">
        <is>
          <t>EE1(b)</t>
        </is>
      </c>
      <c r="G21" s="8" t="inlineStr">
        <is>
          <t>Data source and limitations</t>
        </is>
      </c>
      <c r="H21" s="25">
        <f>IFERROR(IF(INDEX('Faculties'!$P$10:$P$29,MATCH($F21,'Faculties'!$B$10:$B$29,0))="","Cell will autofill based on response",INDEX('Faculties'!$P$10:$P$29,MATCH($F21,'Faculties'!$B$10:$B$29,0))),"N/A")</f>
        <v/>
      </c>
      <c r="I21" s="25">
        <f>IFERROR(IF(INDEX('Faculties'!$P$37:$P$56,MATCH($F21,'Faculties'!$B$37:$B$56,0))="","Cell will autofill based on response",INDEX('Faculties'!$P$37:$P$56,MATCH($F21,'Faculties'!$B$37:$B$56,0))),"N/A")</f>
        <v/>
      </c>
      <c r="J21" s="25">
        <f>IFERROR(IF(INDEX('Faculties'!$P$64:$P$83,MATCH($F21,'Faculties'!$B$64:$B$83,0))="","Cell will autofill based on response",INDEX('Faculties'!$P$64:$P$83,MATCH($F21,'Faculties'!$B$64:$B$83,0))),"N/A")</f>
        <v/>
      </c>
      <c r="K21" s="25">
        <f>IFERROR(IF(INDEX('Faculties'!$P$91:$P$110,MATCH($F21,'Faculties'!$B$91:$B$110,0))="","Cell will autofill based on response",INDEX('Faculties'!$P$91:$P$110,MATCH($F21,'Faculties'!$B$91:$B$110,0))),"N/A")</f>
        <v/>
      </c>
      <c r="L21" s="25">
        <f>IFERROR(IF(INDEX('CI&amp;S'!$P$10:$P$14,MATCH($F21,'CI&amp;S'!$B$10:$B$14,0))="","Cell will autofill based on response",INDEX('CI&amp;S'!$P$10:$P$14,MATCH($F21,'CI&amp;S'!$B$10:$B$14,0))),"N/A")</f>
        <v/>
      </c>
      <c r="M21" s="25">
        <f>IFERROR(IF(INDEX('CI&amp;S'!$P$22:$P$38,MATCH($F21,'CI&amp;S'!$B$22:$B$38,0))="","Cell will autofill based on response",INDEX('CI&amp;S'!$P$22:$P$38,MATCH($F21,'CI&amp;S'!$B$22:$B$38,0))),"N/A")</f>
        <v/>
      </c>
      <c r="N21" s="25">
        <f>IFERROR(IF(INDEX('CFOG'!$P$10:$P$15,MATCH($F21,'CFOG'!$B$10:$B$15,0))="","Cell will autofill based on response",INDEX('CFOG'!$P$10:$P$15,MATCH($F21,'CFOG'!$B$10:$B$15,0))),"N/A")</f>
        <v/>
      </c>
      <c r="O21" s="25">
        <f>IFERROR(IF(INDEX('CFOG'!$P$23:$P$23,MATCH($F21,'CFOG'!$B$23:$B$23,0))="","Cell will autofill based on response",INDEX('CFOG'!$P$23:$P$23,MATCH($F21,'CFOG'!$B$23:$B$23,0))),"N/A")</f>
        <v/>
      </c>
      <c r="P21" s="25">
        <f>IFERROR(IF(INDEX('ESG'!$P$10:$P$16,MATCH($F21,'ESG'!$B$10:$B$16,0))="","Cell will autofill based on response",INDEX('ESG'!$P$10:$P$16,MATCH($F21,'ESG'!$B$10:$B$16,0))),"N/A")</f>
        <v/>
      </c>
      <c r="Q21" s="25">
        <f>IFERROR(IF(INDEX('CIOG'!$P$10:$P$13,MATCH($F21,'CIOG'!$B$10:$B$13,0))="","Cell will autofill based on response",INDEX('CIOG'!$P$10:$P$13,MATCH($F21,'CIOG'!$B$10:$B$13,0))),"N/A")</f>
        <v/>
      </c>
      <c r="R21" s="25">
        <f>IFERROR(IF(INDEX('MRE'!$P$10:$P$11,MATCH($F21,'MRE'!$B$10:$B$11,0))="","Cell will autofill based on response",INDEX('MRE'!$P$10:$P$11,MATCH($F21,'MRE'!$B$10:$B$11,0))),"N/A")</f>
        <v/>
      </c>
    </row>
    <row r="22">
      <c r="A22">
        <f>F22&amp;"|"&amp;G22</f>
        <v/>
      </c>
      <c r="B22" s="29" t="inlineStr"/>
      <c r="C22" s="8" t="inlineStr"/>
      <c r="D22" s="8" t="inlineStr"/>
      <c r="E22" s="8" t="inlineStr"/>
      <c r="F22" s="8" t="inlineStr">
        <is>
          <t>EE1(b)</t>
        </is>
      </c>
      <c r="G22" s="8" t="inlineStr">
        <is>
          <t>Data owner confirms</t>
        </is>
      </c>
      <c r="H22" s="25">
        <f>IFERROR(IF(INDEX('Faculties'!$Q$10:$Q$29,MATCH($F22,'Faculties'!$B$10:$B$29,0))="","Cell will autofill based on response",INDEX('Faculties'!$Q$10:$Q$29,MATCH($F22,'Faculties'!$B$10:$B$29,0))),"N/A")</f>
        <v/>
      </c>
      <c r="I22" s="25">
        <f>IFERROR(IF(INDEX('Faculties'!$Q$37:$Q$56,MATCH($F22,'Faculties'!$B$37:$B$56,0))="","Cell will autofill based on response",INDEX('Faculties'!$Q$37:$Q$56,MATCH($F22,'Faculties'!$B$37:$B$56,0))),"N/A")</f>
        <v/>
      </c>
      <c r="J22" s="25">
        <f>IFERROR(IF(INDEX('Faculties'!$Q$64:$Q$83,MATCH($F22,'Faculties'!$B$64:$B$83,0))="","Cell will autofill based on response",INDEX('Faculties'!$Q$64:$Q$83,MATCH($F22,'Faculties'!$B$64:$B$83,0))),"N/A")</f>
        <v/>
      </c>
      <c r="K22" s="25">
        <f>IFERROR(IF(INDEX('Faculties'!$Q$91:$Q$110,MATCH($F22,'Faculties'!$B$91:$B$110,0))="","Cell will autofill based on response",INDEX('Faculties'!$Q$91:$Q$110,MATCH($F22,'Faculties'!$B$91:$B$110,0))),"N/A")</f>
        <v/>
      </c>
      <c r="L22" s="25">
        <f>IFERROR(IF(INDEX('CI&amp;S'!$Q$10:$Q$14,MATCH($F22,'CI&amp;S'!$B$10:$B$14,0))="","Cell will autofill based on response",INDEX('CI&amp;S'!$Q$10:$Q$14,MATCH($F22,'CI&amp;S'!$B$10:$B$14,0))),"N/A")</f>
        <v/>
      </c>
      <c r="M22" s="25">
        <f>IFERROR(IF(INDEX('CI&amp;S'!$Q$22:$Q$38,MATCH($F22,'CI&amp;S'!$B$22:$B$38,0))="","Cell will autofill based on response",INDEX('CI&amp;S'!$Q$22:$Q$38,MATCH($F22,'CI&amp;S'!$B$22:$B$38,0))),"N/A")</f>
        <v/>
      </c>
      <c r="N22" s="25">
        <f>IFERROR(IF(INDEX('CFOG'!$Q$10:$Q$15,MATCH($F22,'CFOG'!$B$10:$B$15,0))="","Cell will autofill based on response",INDEX('CFOG'!$Q$10:$Q$15,MATCH($F22,'CFOG'!$B$10:$B$15,0))),"N/A")</f>
        <v/>
      </c>
      <c r="O22" s="25">
        <f>IFERROR(IF(INDEX('CFOG'!$Q$23:$Q$23,MATCH($F22,'CFOG'!$B$23:$B$23,0))="","Cell will autofill based on response",INDEX('CFOG'!$Q$23:$Q$23,MATCH($F22,'CFOG'!$B$23:$B$23,0))),"N/A")</f>
        <v/>
      </c>
      <c r="P22" s="25">
        <f>IFERROR(IF(INDEX('ESG'!$Q$10:$Q$16,MATCH($F22,'ESG'!$B$10:$B$16,0))="","Cell will autofill based on response",INDEX('ESG'!$Q$10:$Q$16,MATCH($F22,'ESG'!$B$10:$B$16,0))),"N/A")</f>
        <v/>
      </c>
      <c r="Q22" s="25">
        <f>IFERROR(IF(INDEX('CIOG'!$Q$10:$Q$13,MATCH($F22,'CIOG'!$B$10:$B$13,0))="","Cell will autofill based on response",INDEX('CIOG'!$Q$10:$Q$13,MATCH($F22,'CIOG'!$B$10:$B$13,0))),"N/A")</f>
        <v/>
      </c>
      <c r="R22" s="25">
        <f>IFERROR(IF(INDEX('MRE'!$Q$10:$Q$11,MATCH($F22,'MRE'!$B$10:$B$11,0))="","Cell will autofill based on response",INDEX('MRE'!$Q$10:$Q$11,MATCH($F22,'MRE'!$B$10:$B$11,0))),"N/A")</f>
        <v/>
      </c>
    </row>
    <row r="23">
      <c r="A23">
        <f>F23&amp;"|"&amp;G23</f>
        <v/>
      </c>
      <c r="B23" s="7" t="inlineStr">
        <is>
          <t>EE1(c)</t>
        </is>
      </c>
      <c r="C23" s="12" t="inlineStr">
        <is>
          <t>Exceptional education</t>
        </is>
      </c>
      <c r="D23" s="12" t="inlineStr">
        <is>
          <t>Evidence of sustainability focused experiential and co curricular learning (eg Wattle Fellowship; Melbourne Plus)</t>
        </is>
      </c>
      <c r="E23"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12" t="inlineStr">
        <is>
          <t>EE1(c)</t>
        </is>
      </c>
      <c r="G23" s="12" t="inlineStr">
        <is>
          <t>Confirm end-2026 target status</t>
        </is>
      </c>
      <c r="H23" s="25">
        <f>IFERROR(IF(INDEX('Faculties'!$L$10:$L$29,MATCH($F23,'Faculties'!$B$10:$B$29,0))="","Cell will autofill based on response",INDEX('Faculties'!$L$10:$L$29,MATCH($F23,'Faculties'!$B$10:$B$29,0))),"N/A")</f>
        <v/>
      </c>
      <c r="I23" s="25">
        <f>IFERROR(IF(INDEX('Faculties'!$L$37:$L$56,MATCH($F23,'Faculties'!$B$37:$B$56,0))="","Cell will autofill based on response",INDEX('Faculties'!$L$37:$L$56,MATCH($F23,'Faculties'!$B$37:$B$56,0))),"N/A")</f>
        <v/>
      </c>
      <c r="J23" s="25">
        <f>IFERROR(IF(INDEX('Faculties'!$L$64:$L$83,MATCH($F23,'Faculties'!$B$64:$B$83,0))="","Cell will autofill based on response",INDEX('Faculties'!$L$64:$L$83,MATCH($F23,'Faculties'!$B$64:$B$83,0))),"N/A")</f>
        <v/>
      </c>
      <c r="K23" s="25">
        <f>IFERROR(IF(INDEX('Faculties'!$L$91:$L$110,MATCH($F23,'Faculties'!$B$91:$B$110,0))="","Cell will autofill based on response",INDEX('Faculties'!$L$91:$L$110,MATCH($F23,'Faculties'!$B$91:$B$110,0))),"N/A")</f>
        <v/>
      </c>
      <c r="L23" s="25">
        <f>IFERROR(IF(INDEX('CI&amp;S'!$L$10:$L$14,MATCH($F23,'CI&amp;S'!$B$10:$B$14,0))="","Cell will autofill based on response",INDEX('CI&amp;S'!$L$10:$L$14,MATCH($F23,'CI&amp;S'!$B$10:$B$14,0))),"N/A")</f>
        <v/>
      </c>
      <c r="M23" s="25">
        <f>IFERROR(IF(INDEX('CI&amp;S'!$L$22:$L$38,MATCH($F23,'CI&amp;S'!$B$22:$B$38,0))="","Cell will autofill based on response",INDEX('CI&amp;S'!$L$22:$L$38,MATCH($F23,'CI&amp;S'!$B$22:$B$38,0))),"N/A")</f>
        <v/>
      </c>
      <c r="N23" s="25">
        <f>IFERROR(IF(INDEX('CFOG'!$L$10:$L$15,MATCH($F23,'CFOG'!$B$10:$B$15,0))="","Cell will autofill based on response",INDEX('CFOG'!$L$10:$L$15,MATCH($F23,'CFOG'!$B$10:$B$15,0))),"N/A")</f>
        <v/>
      </c>
      <c r="O23" s="25">
        <f>IFERROR(IF(INDEX('CFOG'!$L$23:$L$23,MATCH($F23,'CFOG'!$B$23:$B$23,0))="","Cell will autofill based on response",INDEX('CFOG'!$L$23:$L$23,MATCH($F23,'CFOG'!$B$23:$B$23,0))),"N/A")</f>
        <v/>
      </c>
      <c r="P23" s="25">
        <f>IFERROR(IF(INDEX('ESG'!$L$10:$L$16,MATCH($F23,'ESG'!$B$10:$B$16,0))="","Cell will autofill based on response",INDEX('ESG'!$L$10:$L$16,MATCH($F23,'ESG'!$B$10:$B$16,0))),"N/A")</f>
        <v/>
      </c>
      <c r="Q23" s="25">
        <f>IFERROR(IF(INDEX('CIOG'!$L$10:$L$13,MATCH($F23,'CIOG'!$B$10:$B$13,0))="","Cell will autofill based on response",INDEX('CIOG'!$L$10:$L$13,MATCH($F23,'CIOG'!$B$10:$B$13,0))),"N/A")</f>
        <v/>
      </c>
      <c r="R23" s="25">
        <f>IFERROR(IF(INDEX('MRE'!$L$10:$L$11,MATCH($F23,'MRE'!$B$10:$B$11,0))="","Cell will autofill based on response",INDEX('MRE'!$L$10:$L$11,MATCH($F23,'MRE'!$B$10:$B$11,0))),"N/A")</f>
        <v/>
      </c>
      <c r="T23" s="26">
        <f>COUNTIF($H23:$R23,"Cell will autofill based on response")</f>
        <v/>
      </c>
      <c r="U23" s="26">
        <f>COUNTIF($H23:$R23,"Not yet started")</f>
        <v/>
      </c>
      <c r="V23" s="26">
        <f>COUNTIF($H23:$R23,"Not met")</f>
        <v/>
      </c>
      <c r="W23" s="26">
        <f>COUNTIF($H23:$R23,"Partially met")</f>
        <v/>
      </c>
      <c r="X23" s="26">
        <f>COUNTIF($H23:$R23,"Met or exceeded")</f>
        <v/>
      </c>
      <c r="Y23" s="26">
        <f>3*X23+2*W23+V23</f>
        <v/>
      </c>
      <c r="Z23" s="26">
        <f>X23+W23+V23+U23</f>
        <v/>
      </c>
      <c r="AA23" s="27">
        <f>IF(Z23&gt;0,Y23/Z23,"No valid responses to date")</f>
        <v/>
      </c>
      <c r="AB23" s="26">
        <f>IF(ISNUMBER(AA23),INDEX(Lists!$G$2:$G$5,MATCH(ROUND(AA23,0),Lists!$H$2:$H$5,0)),"")</f>
        <v/>
      </c>
      <c r="AC23" s="28">
        <f>IF(Z23&gt;0,X23/Z23,"")</f>
        <v/>
      </c>
      <c r="AD23" s="28">
        <f>IF(Z23&gt;0,(X23+W23)/Z23,"")</f>
        <v/>
      </c>
      <c r="AE23" s="26">
        <f>IF(Z23=0,"",IF(AC23&gt;0.75,"Met or exceeded",IF(AD23&gt;=0.5,"Partially met","Not met")))</f>
        <v/>
      </c>
    </row>
    <row r="24">
      <c r="A24">
        <f>F24&amp;"|"&amp;G24</f>
        <v/>
      </c>
      <c r="B24" s="29" t="inlineStr"/>
      <c r="C24" s="8" t="inlineStr"/>
      <c r="D24" s="8" t="inlineStr"/>
      <c r="E24" s="8" t="inlineStr"/>
      <c r="F24" s="8" t="inlineStr">
        <is>
          <t>EE1(c)</t>
        </is>
      </c>
      <c r="G24" s="8" t="inlineStr">
        <is>
          <t>OPTION 1:  Target-level reporting</t>
        </is>
      </c>
      <c r="H24" s="25">
        <f>IFERROR(IF(INDEX('Faculties'!$M$10:$M$29,MATCH($F24,'Faculties'!$B$10:$B$29,0))="","Cell will autofill based on response",INDEX('Faculties'!$M$10:$M$29,MATCH($F24,'Faculties'!$B$10:$B$29,0))),"N/A")</f>
        <v/>
      </c>
      <c r="I24" s="25">
        <f>IFERROR(IF(INDEX('Faculties'!$M$37:$M$56,MATCH($F24,'Faculties'!$B$37:$B$56,0))="","Cell will autofill based on response",INDEX('Faculties'!$M$37:$M$56,MATCH($F24,'Faculties'!$B$37:$B$56,0))),"N/A")</f>
        <v/>
      </c>
      <c r="J24" s="25">
        <f>IFERROR(IF(INDEX('Faculties'!$M$64:$M$83,MATCH($F24,'Faculties'!$B$64:$B$83,0))="","Cell will autofill based on response",INDEX('Faculties'!$M$64:$M$83,MATCH($F24,'Faculties'!$B$64:$B$83,0))),"N/A")</f>
        <v/>
      </c>
      <c r="K24" s="25">
        <f>IFERROR(IF(INDEX('Faculties'!$M$91:$M$110,MATCH($F24,'Faculties'!$B$91:$B$110,0))="","Cell will autofill based on response",INDEX('Faculties'!$M$91:$M$110,MATCH($F24,'Faculties'!$B$91:$B$110,0))),"N/A")</f>
        <v/>
      </c>
      <c r="L24" s="25">
        <f>IFERROR(IF(INDEX('CI&amp;S'!$M$10:$M$14,MATCH($F24,'CI&amp;S'!$B$10:$B$14,0))="","Cell will autofill based on response",INDEX('CI&amp;S'!$M$10:$M$14,MATCH($F24,'CI&amp;S'!$B$10:$B$14,0))),"N/A")</f>
        <v/>
      </c>
      <c r="M24" s="25">
        <f>IFERROR(IF(INDEX('CI&amp;S'!$M$22:$M$38,MATCH($F24,'CI&amp;S'!$B$22:$B$38,0))="","Cell will autofill based on response",INDEX('CI&amp;S'!$M$22:$M$38,MATCH($F24,'CI&amp;S'!$B$22:$B$38,0))),"N/A")</f>
        <v/>
      </c>
      <c r="N24" s="25">
        <f>IFERROR(IF(INDEX('CFOG'!$M$10:$M$15,MATCH($F24,'CFOG'!$B$10:$B$15,0))="","Cell will autofill based on response",INDEX('CFOG'!$M$10:$M$15,MATCH($F24,'CFOG'!$B$10:$B$15,0))),"N/A")</f>
        <v/>
      </c>
      <c r="O24" s="25">
        <f>IFERROR(IF(INDEX('CFOG'!$M$23:$M$23,MATCH($F24,'CFOG'!$B$23:$B$23,0))="","Cell will autofill based on response",INDEX('CFOG'!$M$23:$M$23,MATCH($F24,'CFOG'!$B$23:$B$23,0))),"N/A")</f>
        <v/>
      </c>
      <c r="P24" s="25">
        <f>IFERROR(IF(INDEX('ESG'!$M$10:$M$16,MATCH($F24,'ESG'!$B$10:$B$16,0))="","Cell will autofill based on response",INDEX('ESG'!$M$10:$M$16,MATCH($F24,'ESG'!$B$10:$B$16,0))),"N/A")</f>
        <v/>
      </c>
      <c r="Q24" s="25">
        <f>IFERROR(IF(INDEX('CIOG'!$M$10:$M$13,MATCH($F24,'CIOG'!$B$10:$B$13,0))="","Cell will autofill based on response",INDEX('CIOG'!$M$10:$M$13,MATCH($F24,'CIOG'!$B$10:$B$13,0))),"N/A")</f>
        <v/>
      </c>
      <c r="R24" s="25">
        <f>IFERROR(IF(INDEX('MRE'!$M$10:$M$11,MATCH($F24,'MRE'!$B$10:$B$11,0))="","Cell will autofill based on response",INDEX('MRE'!$M$10:$M$11,MATCH($F24,'MRE'!$B$10:$B$11,0))),"N/A")</f>
        <v/>
      </c>
    </row>
    <row r="25">
      <c r="A25">
        <f>F25&amp;"|"&amp;G25</f>
        <v/>
      </c>
      <c r="B25" s="29" t="inlineStr"/>
      <c r="C25" s="8" t="inlineStr"/>
      <c r="D25" s="8" t="inlineStr"/>
      <c r="E25" s="8" t="inlineStr"/>
      <c r="F25" s="8" t="inlineStr">
        <is>
          <t>EE1(c)</t>
        </is>
      </c>
      <c r="G25" s="8" t="inlineStr">
        <is>
          <t>OPTION 2:  Indicator level reporting</t>
        </is>
      </c>
      <c r="H25" s="25">
        <f>IFERROR(IF(INDEX('Faculties'!$N$10:$N$29,MATCH($F25,'Faculties'!$B$10:$B$29,0))="","Cell will autofill based on response",INDEX('Faculties'!$N$10:$N$29,MATCH($F25,'Faculties'!$B$10:$B$29,0))),"N/A")</f>
        <v/>
      </c>
      <c r="I25" s="25">
        <f>IFERROR(IF(INDEX('Faculties'!$N$37:$N$56,MATCH($F25,'Faculties'!$B$37:$B$56,0))="","Cell will autofill based on response",INDEX('Faculties'!$N$37:$N$56,MATCH($F25,'Faculties'!$B$37:$B$56,0))),"N/A")</f>
        <v/>
      </c>
      <c r="J25" s="25">
        <f>IFERROR(IF(INDEX('Faculties'!$N$64:$N$83,MATCH($F25,'Faculties'!$B$64:$B$83,0))="","Cell will autofill based on response",INDEX('Faculties'!$N$64:$N$83,MATCH($F25,'Faculties'!$B$64:$B$83,0))),"N/A")</f>
        <v/>
      </c>
      <c r="K25" s="25">
        <f>IFERROR(IF(INDEX('Faculties'!$N$91:$N$110,MATCH($F25,'Faculties'!$B$91:$B$110,0))="","Cell will autofill based on response",INDEX('Faculties'!$N$91:$N$110,MATCH($F25,'Faculties'!$B$91:$B$110,0))),"N/A")</f>
        <v/>
      </c>
      <c r="L25" s="25">
        <f>IFERROR(IF(INDEX('CI&amp;S'!$N$10:$N$14,MATCH($F25,'CI&amp;S'!$B$10:$B$14,0))="","Cell will autofill based on response",INDEX('CI&amp;S'!$N$10:$N$14,MATCH($F25,'CI&amp;S'!$B$10:$B$14,0))),"N/A")</f>
        <v/>
      </c>
      <c r="M25" s="25">
        <f>IFERROR(IF(INDEX('CI&amp;S'!$N$22:$N$38,MATCH($F25,'CI&amp;S'!$B$22:$B$38,0))="","Cell will autofill based on response",INDEX('CI&amp;S'!$N$22:$N$38,MATCH($F25,'CI&amp;S'!$B$22:$B$38,0))),"N/A")</f>
        <v/>
      </c>
      <c r="N25" s="25">
        <f>IFERROR(IF(INDEX('CFOG'!$N$10:$N$15,MATCH($F25,'CFOG'!$B$10:$B$15,0))="","Cell will autofill based on response",INDEX('CFOG'!$N$10:$N$15,MATCH($F25,'CFOG'!$B$10:$B$15,0))),"N/A")</f>
        <v/>
      </c>
      <c r="O25" s="25">
        <f>IFERROR(IF(INDEX('CFOG'!$N$23:$N$23,MATCH($F25,'CFOG'!$B$23:$B$23,0))="","Cell will autofill based on response",INDEX('CFOG'!$N$23:$N$23,MATCH($F25,'CFOG'!$B$23:$B$23,0))),"N/A")</f>
        <v/>
      </c>
      <c r="P25" s="25">
        <f>IFERROR(IF(INDEX('ESG'!$N$10:$N$16,MATCH($F25,'ESG'!$B$10:$B$16,0))="","Cell will autofill based on response",INDEX('ESG'!$N$10:$N$16,MATCH($F25,'ESG'!$B$10:$B$16,0))),"N/A")</f>
        <v/>
      </c>
      <c r="Q25" s="25">
        <f>IFERROR(IF(INDEX('CIOG'!$N$10:$N$13,MATCH($F25,'CIOG'!$B$10:$B$13,0))="","Cell will autofill based on response",INDEX('CIOG'!$N$10:$N$13,MATCH($F25,'CIOG'!$B$10:$B$13,0))),"N/A")</f>
        <v/>
      </c>
      <c r="R25" s="25">
        <f>IFERROR(IF(INDEX('MRE'!$N$10:$N$11,MATCH($F25,'MRE'!$B$10:$B$11,0))="","Cell will autofill based on response",INDEX('MRE'!$N$10:$N$11,MATCH($F25,'MRE'!$B$10:$B$11,0))),"N/A")</f>
        <v/>
      </c>
    </row>
    <row r="26">
      <c r="A26">
        <f>F26&amp;"|"&amp;G26</f>
        <v/>
      </c>
      <c r="B26" s="29" t="inlineStr"/>
      <c r="C26" s="8" t="inlineStr"/>
      <c r="D26" s="8" t="inlineStr"/>
      <c r="E26" s="8" t="inlineStr"/>
      <c r="F26" s="8" t="inlineStr">
        <is>
          <t>EE1(c)</t>
        </is>
      </c>
      <c r="G26" s="8" t="inlineStr">
        <is>
          <t>Supporting information/comments</t>
        </is>
      </c>
      <c r="H26" s="25">
        <f>IFERROR(IF(INDEX('Faculties'!$O$10:$O$29,MATCH($F26,'Faculties'!$B$10:$B$29,0))="","Cell will autofill based on response",INDEX('Faculties'!$O$10:$O$29,MATCH($F26,'Faculties'!$B$10:$B$29,0))),"N/A")</f>
        <v/>
      </c>
      <c r="I26" s="25">
        <f>IFERROR(IF(INDEX('Faculties'!$O$37:$O$56,MATCH($F26,'Faculties'!$B$37:$B$56,0))="","Cell will autofill based on response",INDEX('Faculties'!$O$37:$O$56,MATCH($F26,'Faculties'!$B$37:$B$56,0))),"N/A")</f>
        <v/>
      </c>
      <c r="J26" s="25">
        <f>IFERROR(IF(INDEX('Faculties'!$O$64:$O$83,MATCH($F26,'Faculties'!$B$64:$B$83,0))="","Cell will autofill based on response",INDEX('Faculties'!$O$64:$O$83,MATCH($F26,'Faculties'!$B$64:$B$83,0))),"N/A")</f>
        <v/>
      </c>
      <c r="K26" s="25">
        <f>IFERROR(IF(INDEX('Faculties'!$O$91:$O$110,MATCH($F26,'Faculties'!$B$91:$B$110,0))="","Cell will autofill based on response",INDEX('Faculties'!$O$91:$O$110,MATCH($F26,'Faculties'!$B$91:$B$110,0))),"N/A")</f>
        <v/>
      </c>
      <c r="L26" s="25">
        <f>IFERROR(IF(INDEX('CI&amp;S'!$O$10:$O$14,MATCH($F26,'CI&amp;S'!$B$10:$B$14,0))="","Cell will autofill based on response",INDEX('CI&amp;S'!$O$10:$O$14,MATCH($F26,'CI&amp;S'!$B$10:$B$14,0))),"N/A")</f>
        <v/>
      </c>
      <c r="M26" s="25">
        <f>IFERROR(IF(INDEX('CI&amp;S'!$O$22:$O$38,MATCH($F26,'CI&amp;S'!$B$22:$B$38,0))="","Cell will autofill based on response",INDEX('CI&amp;S'!$O$22:$O$38,MATCH($F26,'CI&amp;S'!$B$22:$B$38,0))),"N/A")</f>
        <v/>
      </c>
      <c r="N26" s="25">
        <f>IFERROR(IF(INDEX('CFOG'!$O$10:$O$15,MATCH($F26,'CFOG'!$B$10:$B$15,0))="","Cell will autofill based on response",INDEX('CFOG'!$O$10:$O$15,MATCH($F26,'CFOG'!$B$10:$B$15,0))),"N/A")</f>
        <v/>
      </c>
      <c r="O26" s="25">
        <f>IFERROR(IF(INDEX('CFOG'!$O$23:$O$23,MATCH($F26,'CFOG'!$B$23:$B$23,0))="","Cell will autofill based on response",INDEX('CFOG'!$O$23:$O$23,MATCH($F26,'CFOG'!$B$23:$B$23,0))),"N/A")</f>
        <v/>
      </c>
      <c r="P26" s="25">
        <f>IFERROR(IF(INDEX('ESG'!$O$10:$O$16,MATCH($F26,'ESG'!$B$10:$B$16,0))="","Cell will autofill based on response",INDEX('ESG'!$O$10:$O$16,MATCH($F26,'ESG'!$B$10:$B$16,0))),"N/A")</f>
        <v/>
      </c>
      <c r="Q26" s="25">
        <f>IFERROR(IF(INDEX('CIOG'!$O$10:$O$13,MATCH($F26,'CIOG'!$B$10:$B$13,0))="","Cell will autofill based on response",INDEX('CIOG'!$O$10:$O$13,MATCH($F26,'CIOG'!$B$10:$B$13,0))),"N/A")</f>
        <v/>
      </c>
      <c r="R26" s="25">
        <f>IFERROR(IF(INDEX('MRE'!$O$10:$O$11,MATCH($F26,'MRE'!$B$10:$B$11,0))="","Cell will autofill based on response",INDEX('MRE'!$O$10:$O$11,MATCH($F26,'MRE'!$B$10:$B$11,0))),"N/A")</f>
        <v/>
      </c>
    </row>
    <row r="27">
      <c r="A27">
        <f>F27&amp;"|"&amp;G27</f>
        <v/>
      </c>
      <c r="B27" s="29" t="inlineStr"/>
      <c r="C27" s="8" t="inlineStr"/>
      <c r="D27" s="8" t="inlineStr"/>
      <c r="E27" s="8" t="inlineStr"/>
      <c r="F27" s="8" t="inlineStr">
        <is>
          <t>EE1(c)</t>
        </is>
      </c>
      <c r="G27" s="8" t="inlineStr">
        <is>
          <t>Data source and limitations</t>
        </is>
      </c>
      <c r="H27" s="25">
        <f>IFERROR(IF(INDEX('Faculties'!$P$10:$P$29,MATCH($F27,'Faculties'!$B$10:$B$29,0))="","Cell will autofill based on response",INDEX('Faculties'!$P$10:$P$29,MATCH($F27,'Faculties'!$B$10:$B$29,0))),"N/A")</f>
        <v/>
      </c>
      <c r="I27" s="25">
        <f>IFERROR(IF(INDEX('Faculties'!$P$37:$P$56,MATCH($F27,'Faculties'!$B$37:$B$56,0))="","Cell will autofill based on response",INDEX('Faculties'!$P$37:$P$56,MATCH($F27,'Faculties'!$B$37:$B$56,0))),"N/A")</f>
        <v/>
      </c>
      <c r="J27" s="25">
        <f>IFERROR(IF(INDEX('Faculties'!$P$64:$P$83,MATCH($F27,'Faculties'!$B$64:$B$83,0))="","Cell will autofill based on response",INDEX('Faculties'!$P$64:$P$83,MATCH($F27,'Faculties'!$B$64:$B$83,0))),"N/A")</f>
        <v/>
      </c>
      <c r="K27" s="25">
        <f>IFERROR(IF(INDEX('Faculties'!$P$91:$P$110,MATCH($F27,'Faculties'!$B$91:$B$110,0))="","Cell will autofill based on response",INDEX('Faculties'!$P$91:$P$110,MATCH($F27,'Faculties'!$B$91:$B$110,0))),"N/A")</f>
        <v/>
      </c>
      <c r="L27" s="25">
        <f>IFERROR(IF(INDEX('CI&amp;S'!$P$10:$P$14,MATCH($F27,'CI&amp;S'!$B$10:$B$14,0))="","Cell will autofill based on response",INDEX('CI&amp;S'!$P$10:$P$14,MATCH($F27,'CI&amp;S'!$B$10:$B$14,0))),"N/A")</f>
        <v/>
      </c>
      <c r="M27" s="25">
        <f>IFERROR(IF(INDEX('CI&amp;S'!$P$22:$P$38,MATCH($F27,'CI&amp;S'!$B$22:$B$38,0))="","Cell will autofill based on response",INDEX('CI&amp;S'!$P$22:$P$38,MATCH($F27,'CI&amp;S'!$B$22:$B$38,0))),"N/A")</f>
        <v/>
      </c>
      <c r="N27" s="25">
        <f>IFERROR(IF(INDEX('CFOG'!$P$10:$P$15,MATCH($F27,'CFOG'!$B$10:$B$15,0))="","Cell will autofill based on response",INDEX('CFOG'!$P$10:$P$15,MATCH($F27,'CFOG'!$B$10:$B$15,0))),"N/A")</f>
        <v/>
      </c>
      <c r="O27" s="25">
        <f>IFERROR(IF(INDEX('CFOG'!$P$23:$P$23,MATCH($F27,'CFOG'!$B$23:$B$23,0))="","Cell will autofill based on response",INDEX('CFOG'!$P$23:$P$23,MATCH($F27,'CFOG'!$B$23:$B$23,0))),"N/A")</f>
        <v/>
      </c>
      <c r="P27" s="25">
        <f>IFERROR(IF(INDEX('ESG'!$P$10:$P$16,MATCH($F27,'ESG'!$B$10:$B$16,0))="","Cell will autofill based on response",INDEX('ESG'!$P$10:$P$16,MATCH($F27,'ESG'!$B$10:$B$16,0))),"N/A")</f>
        <v/>
      </c>
      <c r="Q27" s="25">
        <f>IFERROR(IF(INDEX('CIOG'!$P$10:$P$13,MATCH($F27,'CIOG'!$B$10:$B$13,0))="","Cell will autofill based on response",INDEX('CIOG'!$P$10:$P$13,MATCH($F27,'CIOG'!$B$10:$B$13,0))),"N/A")</f>
        <v/>
      </c>
      <c r="R27" s="25">
        <f>IFERROR(IF(INDEX('MRE'!$P$10:$P$11,MATCH($F27,'MRE'!$B$10:$B$11,0))="","Cell will autofill based on response",INDEX('MRE'!$P$10:$P$11,MATCH($F27,'MRE'!$B$10:$B$11,0))),"N/A")</f>
        <v/>
      </c>
    </row>
    <row r="28">
      <c r="A28">
        <f>F28&amp;"|"&amp;G28</f>
        <v/>
      </c>
      <c r="B28" s="29" t="inlineStr"/>
      <c r="C28" s="8" t="inlineStr"/>
      <c r="D28" s="8" t="inlineStr"/>
      <c r="E28" s="8" t="inlineStr"/>
      <c r="F28" s="8" t="inlineStr">
        <is>
          <t>EE1(c)</t>
        </is>
      </c>
      <c r="G28" s="8" t="inlineStr">
        <is>
          <t>Data owner confirms</t>
        </is>
      </c>
      <c r="H28" s="25">
        <f>IFERROR(IF(INDEX('Faculties'!$Q$10:$Q$29,MATCH($F28,'Faculties'!$B$10:$B$29,0))="","Cell will autofill based on response",INDEX('Faculties'!$Q$10:$Q$29,MATCH($F28,'Faculties'!$B$10:$B$29,0))),"N/A")</f>
        <v/>
      </c>
      <c r="I28" s="25">
        <f>IFERROR(IF(INDEX('Faculties'!$Q$37:$Q$56,MATCH($F28,'Faculties'!$B$37:$B$56,0))="","Cell will autofill based on response",INDEX('Faculties'!$Q$37:$Q$56,MATCH($F28,'Faculties'!$B$37:$B$56,0))),"N/A")</f>
        <v/>
      </c>
      <c r="J28" s="25">
        <f>IFERROR(IF(INDEX('Faculties'!$Q$64:$Q$83,MATCH($F28,'Faculties'!$B$64:$B$83,0))="","Cell will autofill based on response",INDEX('Faculties'!$Q$64:$Q$83,MATCH($F28,'Faculties'!$B$64:$B$83,0))),"N/A")</f>
        <v/>
      </c>
      <c r="K28" s="25">
        <f>IFERROR(IF(INDEX('Faculties'!$Q$91:$Q$110,MATCH($F28,'Faculties'!$B$91:$B$110,0))="","Cell will autofill based on response",INDEX('Faculties'!$Q$91:$Q$110,MATCH($F28,'Faculties'!$B$91:$B$110,0))),"N/A")</f>
        <v/>
      </c>
      <c r="L28" s="25">
        <f>IFERROR(IF(INDEX('CI&amp;S'!$Q$10:$Q$14,MATCH($F28,'CI&amp;S'!$B$10:$B$14,0))="","Cell will autofill based on response",INDEX('CI&amp;S'!$Q$10:$Q$14,MATCH($F28,'CI&amp;S'!$B$10:$B$14,0))),"N/A")</f>
        <v/>
      </c>
      <c r="M28" s="25">
        <f>IFERROR(IF(INDEX('CI&amp;S'!$Q$22:$Q$38,MATCH($F28,'CI&amp;S'!$B$22:$B$38,0))="","Cell will autofill based on response",INDEX('CI&amp;S'!$Q$22:$Q$38,MATCH($F28,'CI&amp;S'!$B$22:$B$38,0))),"N/A")</f>
        <v/>
      </c>
      <c r="N28" s="25">
        <f>IFERROR(IF(INDEX('CFOG'!$Q$10:$Q$15,MATCH($F28,'CFOG'!$B$10:$B$15,0))="","Cell will autofill based on response",INDEX('CFOG'!$Q$10:$Q$15,MATCH($F28,'CFOG'!$B$10:$B$15,0))),"N/A")</f>
        <v/>
      </c>
      <c r="O28" s="25">
        <f>IFERROR(IF(INDEX('CFOG'!$Q$23:$Q$23,MATCH($F28,'CFOG'!$B$23:$B$23,0))="","Cell will autofill based on response",INDEX('CFOG'!$Q$23:$Q$23,MATCH($F28,'CFOG'!$B$23:$B$23,0))),"N/A")</f>
        <v/>
      </c>
      <c r="P28" s="25">
        <f>IFERROR(IF(INDEX('ESG'!$Q$10:$Q$16,MATCH($F28,'ESG'!$B$10:$B$16,0))="","Cell will autofill based on response",INDEX('ESG'!$Q$10:$Q$16,MATCH($F28,'ESG'!$B$10:$B$16,0))),"N/A")</f>
        <v/>
      </c>
      <c r="Q28" s="25">
        <f>IFERROR(IF(INDEX('CIOG'!$Q$10:$Q$13,MATCH($F28,'CIOG'!$B$10:$B$13,0))="","Cell will autofill based on response",INDEX('CIOG'!$Q$10:$Q$13,MATCH($F28,'CIOG'!$B$10:$B$13,0))),"N/A")</f>
        <v/>
      </c>
      <c r="R28" s="25">
        <f>IFERROR(IF(INDEX('MRE'!$Q$10:$Q$11,MATCH($F28,'MRE'!$B$10:$B$11,0))="","Cell will autofill based on response",INDEX('MRE'!$Q$10:$Q$11,MATCH($F28,'MRE'!$B$10:$B$11,0))),"N/A")</f>
        <v/>
      </c>
    </row>
    <row r="29">
      <c r="A29">
        <f>F29&amp;"|"&amp;G29</f>
        <v/>
      </c>
      <c r="B29" s="7" t="inlineStr">
        <is>
          <t>EE1(d)</t>
        </is>
      </c>
      <c r="C29" s="12" t="inlineStr">
        <is>
          <t>Exceptional education</t>
        </is>
      </c>
      <c r="D29" s="12" t="inlineStr">
        <is>
          <t>Alumni profiles demonstrating how graduates contribute to sustainability through their careers or communities.</t>
        </is>
      </c>
      <c r="E29" s="12"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12" t="inlineStr">
        <is>
          <t>EE1(d)</t>
        </is>
      </c>
      <c r="G29" s="12" t="inlineStr">
        <is>
          <t>Confirm end-2026 target status</t>
        </is>
      </c>
      <c r="H29" s="25">
        <f>IFERROR(IF(INDEX('Faculties'!$L$10:$L$29,MATCH($F29,'Faculties'!$B$10:$B$29,0))="","Cell will autofill based on response",INDEX('Faculties'!$L$10:$L$29,MATCH($F29,'Faculties'!$B$10:$B$29,0))),"N/A")</f>
        <v/>
      </c>
      <c r="I29" s="25">
        <f>IFERROR(IF(INDEX('Faculties'!$L$37:$L$56,MATCH($F29,'Faculties'!$B$37:$B$56,0))="","Cell will autofill based on response",INDEX('Faculties'!$L$37:$L$56,MATCH($F29,'Faculties'!$B$37:$B$56,0))),"N/A")</f>
        <v/>
      </c>
      <c r="J29" s="25">
        <f>IFERROR(IF(INDEX('Faculties'!$L$64:$L$83,MATCH($F29,'Faculties'!$B$64:$B$83,0))="","Cell will autofill based on response",INDEX('Faculties'!$L$64:$L$83,MATCH($F29,'Faculties'!$B$64:$B$83,0))),"N/A")</f>
        <v/>
      </c>
      <c r="K29" s="25">
        <f>IFERROR(IF(INDEX('Faculties'!$L$91:$L$110,MATCH($F29,'Faculties'!$B$91:$B$110,0))="","Cell will autofill based on response",INDEX('Faculties'!$L$91:$L$110,MATCH($F29,'Faculties'!$B$91:$B$110,0))),"N/A")</f>
        <v/>
      </c>
      <c r="L29" s="25">
        <f>IFERROR(IF(INDEX('CI&amp;S'!$L$10:$L$14,MATCH($F29,'CI&amp;S'!$B$10:$B$14,0))="","Cell will autofill based on response",INDEX('CI&amp;S'!$L$10:$L$14,MATCH($F29,'CI&amp;S'!$B$10:$B$14,0))),"N/A")</f>
        <v/>
      </c>
      <c r="M29" s="25">
        <f>IFERROR(IF(INDEX('CI&amp;S'!$L$22:$L$38,MATCH($F29,'CI&amp;S'!$B$22:$B$38,0))="","Cell will autofill based on response",INDEX('CI&amp;S'!$L$22:$L$38,MATCH($F29,'CI&amp;S'!$B$22:$B$38,0))),"N/A")</f>
        <v/>
      </c>
      <c r="N29" s="25">
        <f>IFERROR(IF(INDEX('CFOG'!$L$10:$L$15,MATCH($F29,'CFOG'!$B$10:$B$15,0))="","Cell will autofill based on response",INDEX('CFOG'!$L$10:$L$15,MATCH($F29,'CFOG'!$B$10:$B$15,0))),"N/A")</f>
        <v/>
      </c>
      <c r="O29" s="25">
        <f>IFERROR(IF(INDEX('CFOG'!$L$23:$L$23,MATCH($F29,'CFOG'!$B$23:$B$23,0))="","Cell will autofill based on response",INDEX('CFOG'!$L$23:$L$23,MATCH($F29,'CFOG'!$B$23:$B$23,0))),"N/A")</f>
        <v/>
      </c>
      <c r="P29" s="25">
        <f>IFERROR(IF(INDEX('ESG'!$L$10:$L$16,MATCH($F29,'ESG'!$B$10:$B$16,0))="","Cell will autofill based on response",INDEX('ESG'!$L$10:$L$16,MATCH($F29,'ESG'!$B$10:$B$16,0))),"N/A")</f>
        <v/>
      </c>
      <c r="Q29" s="25">
        <f>IFERROR(IF(INDEX('CIOG'!$L$10:$L$13,MATCH($F29,'CIOG'!$B$10:$B$13,0))="","Cell will autofill based on response",INDEX('CIOG'!$L$10:$L$13,MATCH($F29,'CIOG'!$B$10:$B$13,0))),"N/A")</f>
        <v/>
      </c>
      <c r="R29" s="25">
        <f>IFERROR(IF(INDEX('MRE'!$L$10:$L$11,MATCH($F29,'MRE'!$B$10:$B$11,0))="","Cell will autofill based on response",INDEX('MRE'!$L$10:$L$11,MATCH($F29,'MRE'!$B$10:$B$11,0))),"N/A")</f>
        <v/>
      </c>
      <c r="T29" s="26">
        <f>COUNTIF($H29:$R29,"Cell will autofill based on response")</f>
        <v/>
      </c>
      <c r="U29" s="26">
        <f>COUNTIF($H29:$R29,"Not yet started")</f>
        <v/>
      </c>
      <c r="V29" s="26">
        <f>COUNTIF($H29:$R29,"Not met")</f>
        <v/>
      </c>
      <c r="W29" s="26">
        <f>COUNTIF($H29:$R29,"Partially met")</f>
        <v/>
      </c>
      <c r="X29" s="26">
        <f>COUNTIF($H29:$R29,"Met or exceeded")</f>
        <v/>
      </c>
      <c r="Y29" s="26">
        <f>3*X29+2*W29+V29</f>
        <v/>
      </c>
      <c r="Z29" s="26">
        <f>X29+W29+V29+U29</f>
        <v/>
      </c>
      <c r="AA29" s="27">
        <f>IF(Z29&gt;0,Y29/Z29,"No valid responses to date")</f>
        <v/>
      </c>
      <c r="AB29" s="26">
        <f>IF(ISNUMBER(AA29),INDEX(Lists!$G$2:$G$5,MATCH(ROUND(AA29,0),Lists!$H$2:$H$5,0)),"")</f>
        <v/>
      </c>
      <c r="AC29" s="28">
        <f>IF(Z29&gt;0,X29/Z29,"")</f>
        <v/>
      </c>
      <c r="AD29" s="28">
        <f>IF(Z29&gt;0,(X29+W29)/Z29,"")</f>
        <v/>
      </c>
      <c r="AE29" s="26">
        <f>IF(Z29=0,"",IF(AC29&gt;0.75,"Met or exceeded",IF(AD29&gt;=0.5,"Partially met","Not met")))</f>
        <v/>
      </c>
    </row>
    <row r="30">
      <c r="A30">
        <f>F30&amp;"|"&amp;G30</f>
        <v/>
      </c>
      <c r="B30" s="29" t="inlineStr"/>
      <c r="C30" s="8" t="inlineStr"/>
      <c r="D30" s="8" t="inlineStr"/>
      <c r="E30" s="8" t="inlineStr"/>
      <c r="F30" s="8" t="inlineStr">
        <is>
          <t>EE1(d)</t>
        </is>
      </c>
      <c r="G30" s="8" t="inlineStr">
        <is>
          <t>OPTION 1:  Target-level reporting</t>
        </is>
      </c>
      <c r="H30" s="25">
        <f>IFERROR(IF(INDEX('Faculties'!$M$10:$M$29,MATCH($F30,'Faculties'!$B$10:$B$29,0))="","Cell will autofill based on response",INDEX('Faculties'!$M$10:$M$29,MATCH($F30,'Faculties'!$B$10:$B$29,0))),"N/A")</f>
        <v/>
      </c>
      <c r="I30" s="25">
        <f>IFERROR(IF(INDEX('Faculties'!$M$37:$M$56,MATCH($F30,'Faculties'!$B$37:$B$56,0))="","Cell will autofill based on response",INDEX('Faculties'!$M$37:$M$56,MATCH($F30,'Faculties'!$B$37:$B$56,0))),"N/A")</f>
        <v/>
      </c>
      <c r="J30" s="25">
        <f>IFERROR(IF(INDEX('Faculties'!$M$64:$M$83,MATCH($F30,'Faculties'!$B$64:$B$83,0))="","Cell will autofill based on response",INDEX('Faculties'!$M$64:$M$83,MATCH($F30,'Faculties'!$B$64:$B$83,0))),"N/A")</f>
        <v/>
      </c>
      <c r="K30" s="25">
        <f>IFERROR(IF(INDEX('Faculties'!$M$91:$M$110,MATCH($F30,'Faculties'!$B$91:$B$110,0))="","Cell will autofill based on response",INDEX('Faculties'!$M$91:$M$110,MATCH($F30,'Faculties'!$B$91:$B$110,0))),"N/A")</f>
        <v/>
      </c>
      <c r="L30" s="25">
        <f>IFERROR(IF(INDEX('CI&amp;S'!$M$10:$M$14,MATCH($F30,'CI&amp;S'!$B$10:$B$14,0))="","Cell will autofill based on response",INDEX('CI&amp;S'!$M$10:$M$14,MATCH($F30,'CI&amp;S'!$B$10:$B$14,0))),"N/A")</f>
        <v/>
      </c>
      <c r="M30" s="25">
        <f>IFERROR(IF(INDEX('CI&amp;S'!$M$22:$M$38,MATCH($F30,'CI&amp;S'!$B$22:$B$38,0))="","Cell will autofill based on response",INDEX('CI&amp;S'!$M$22:$M$38,MATCH($F30,'CI&amp;S'!$B$22:$B$38,0))),"N/A")</f>
        <v/>
      </c>
      <c r="N30" s="25">
        <f>IFERROR(IF(INDEX('CFOG'!$M$10:$M$15,MATCH($F30,'CFOG'!$B$10:$B$15,0))="","Cell will autofill based on response",INDEX('CFOG'!$M$10:$M$15,MATCH($F30,'CFOG'!$B$10:$B$15,0))),"N/A")</f>
        <v/>
      </c>
      <c r="O30" s="25">
        <f>IFERROR(IF(INDEX('CFOG'!$M$23:$M$23,MATCH($F30,'CFOG'!$B$23:$B$23,0))="","Cell will autofill based on response",INDEX('CFOG'!$M$23:$M$23,MATCH($F30,'CFOG'!$B$23:$B$23,0))),"N/A")</f>
        <v/>
      </c>
      <c r="P30" s="25">
        <f>IFERROR(IF(INDEX('ESG'!$M$10:$M$16,MATCH($F30,'ESG'!$B$10:$B$16,0))="","Cell will autofill based on response",INDEX('ESG'!$M$10:$M$16,MATCH($F30,'ESG'!$B$10:$B$16,0))),"N/A")</f>
        <v/>
      </c>
      <c r="Q30" s="25">
        <f>IFERROR(IF(INDEX('CIOG'!$M$10:$M$13,MATCH($F30,'CIOG'!$B$10:$B$13,0))="","Cell will autofill based on response",INDEX('CIOG'!$M$10:$M$13,MATCH($F30,'CIOG'!$B$10:$B$13,0))),"N/A")</f>
        <v/>
      </c>
      <c r="R30" s="25">
        <f>IFERROR(IF(INDEX('MRE'!$M$10:$M$11,MATCH($F30,'MRE'!$B$10:$B$11,0))="","Cell will autofill based on response",INDEX('MRE'!$M$10:$M$11,MATCH($F30,'MRE'!$B$10:$B$11,0))),"N/A")</f>
        <v/>
      </c>
    </row>
    <row r="31">
      <c r="A31">
        <f>F31&amp;"|"&amp;G31</f>
        <v/>
      </c>
      <c r="B31" s="29" t="inlineStr"/>
      <c r="C31" s="8" t="inlineStr"/>
      <c r="D31" s="8" t="inlineStr"/>
      <c r="E31" s="8" t="inlineStr"/>
      <c r="F31" s="8" t="inlineStr">
        <is>
          <t>EE1(d)</t>
        </is>
      </c>
      <c r="G31" s="8" t="inlineStr">
        <is>
          <t>OPTION 2:  Indicator level reporting</t>
        </is>
      </c>
      <c r="H31" s="25">
        <f>IFERROR(IF(INDEX('Faculties'!$N$10:$N$29,MATCH($F31,'Faculties'!$B$10:$B$29,0))="","Cell will autofill based on response",INDEX('Faculties'!$N$10:$N$29,MATCH($F31,'Faculties'!$B$10:$B$29,0))),"N/A")</f>
        <v/>
      </c>
      <c r="I31" s="25">
        <f>IFERROR(IF(INDEX('Faculties'!$N$37:$N$56,MATCH($F31,'Faculties'!$B$37:$B$56,0))="","Cell will autofill based on response",INDEX('Faculties'!$N$37:$N$56,MATCH($F31,'Faculties'!$B$37:$B$56,0))),"N/A")</f>
        <v/>
      </c>
      <c r="J31" s="25">
        <f>IFERROR(IF(INDEX('Faculties'!$N$64:$N$83,MATCH($F31,'Faculties'!$B$64:$B$83,0))="","Cell will autofill based on response",INDEX('Faculties'!$N$64:$N$83,MATCH($F31,'Faculties'!$B$64:$B$83,0))),"N/A")</f>
        <v/>
      </c>
      <c r="K31" s="25">
        <f>IFERROR(IF(INDEX('Faculties'!$N$91:$N$110,MATCH($F31,'Faculties'!$B$91:$B$110,0))="","Cell will autofill based on response",INDEX('Faculties'!$N$91:$N$110,MATCH($F31,'Faculties'!$B$91:$B$110,0))),"N/A")</f>
        <v/>
      </c>
      <c r="L31" s="25">
        <f>IFERROR(IF(INDEX('CI&amp;S'!$N$10:$N$14,MATCH($F31,'CI&amp;S'!$B$10:$B$14,0))="","Cell will autofill based on response",INDEX('CI&amp;S'!$N$10:$N$14,MATCH($F31,'CI&amp;S'!$B$10:$B$14,0))),"N/A")</f>
        <v/>
      </c>
      <c r="M31" s="25">
        <f>IFERROR(IF(INDEX('CI&amp;S'!$N$22:$N$38,MATCH($F31,'CI&amp;S'!$B$22:$B$38,0))="","Cell will autofill based on response",INDEX('CI&amp;S'!$N$22:$N$38,MATCH($F31,'CI&amp;S'!$B$22:$B$38,0))),"N/A")</f>
        <v/>
      </c>
      <c r="N31" s="25">
        <f>IFERROR(IF(INDEX('CFOG'!$N$10:$N$15,MATCH($F31,'CFOG'!$B$10:$B$15,0))="","Cell will autofill based on response",INDEX('CFOG'!$N$10:$N$15,MATCH($F31,'CFOG'!$B$10:$B$15,0))),"N/A")</f>
        <v/>
      </c>
      <c r="O31" s="25">
        <f>IFERROR(IF(INDEX('CFOG'!$N$23:$N$23,MATCH($F31,'CFOG'!$B$23:$B$23,0))="","Cell will autofill based on response",INDEX('CFOG'!$N$23:$N$23,MATCH($F31,'CFOG'!$B$23:$B$23,0))),"N/A")</f>
        <v/>
      </c>
      <c r="P31" s="25">
        <f>IFERROR(IF(INDEX('ESG'!$N$10:$N$16,MATCH($F31,'ESG'!$B$10:$B$16,0))="","Cell will autofill based on response",INDEX('ESG'!$N$10:$N$16,MATCH($F31,'ESG'!$B$10:$B$16,0))),"N/A")</f>
        <v/>
      </c>
      <c r="Q31" s="25">
        <f>IFERROR(IF(INDEX('CIOG'!$N$10:$N$13,MATCH($F31,'CIOG'!$B$10:$B$13,0))="","Cell will autofill based on response",INDEX('CIOG'!$N$10:$N$13,MATCH($F31,'CIOG'!$B$10:$B$13,0))),"N/A")</f>
        <v/>
      </c>
      <c r="R31" s="25">
        <f>IFERROR(IF(INDEX('MRE'!$N$10:$N$11,MATCH($F31,'MRE'!$B$10:$B$11,0))="","Cell will autofill based on response",INDEX('MRE'!$N$10:$N$11,MATCH($F31,'MRE'!$B$10:$B$11,0))),"N/A")</f>
        <v/>
      </c>
    </row>
    <row r="32">
      <c r="A32">
        <f>F32&amp;"|"&amp;G32</f>
        <v/>
      </c>
      <c r="B32" s="29" t="inlineStr"/>
      <c r="C32" s="8" t="inlineStr"/>
      <c r="D32" s="8" t="inlineStr"/>
      <c r="E32" s="8" t="inlineStr"/>
      <c r="F32" s="8" t="inlineStr">
        <is>
          <t>EE1(d)</t>
        </is>
      </c>
      <c r="G32" s="8" t="inlineStr">
        <is>
          <t>Supporting information/comments</t>
        </is>
      </c>
      <c r="H32" s="25">
        <f>IFERROR(IF(INDEX('Faculties'!$O$10:$O$29,MATCH($F32,'Faculties'!$B$10:$B$29,0))="","Cell will autofill based on response",INDEX('Faculties'!$O$10:$O$29,MATCH($F32,'Faculties'!$B$10:$B$29,0))),"N/A")</f>
        <v/>
      </c>
      <c r="I32" s="25">
        <f>IFERROR(IF(INDEX('Faculties'!$O$37:$O$56,MATCH($F32,'Faculties'!$B$37:$B$56,0))="","Cell will autofill based on response",INDEX('Faculties'!$O$37:$O$56,MATCH($F32,'Faculties'!$B$37:$B$56,0))),"N/A")</f>
        <v/>
      </c>
      <c r="J32" s="25">
        <f>IFERROR(IF(INDEX('Faculties'!$O$64:$O$83,MATCH($F32,'Faculties'!$B$64:$B$83,0))="","Cell will autofill based on response",INDEX('Faculties'!$O$64:$O$83,MATCH($F32,'Faculties'!$B$64:$B$83,0))),"N/A")</f>
        <v/>
      </c>
      <c r="K32" s="25">
        <f>IFERROR(IF(INDEX('Faculties'!$O$91:$O$110,MATCH($F32,'Faculties'!$B$91:$B$110,0))="","Cell will autofill based on response",INDEX('Faculties'!$O$91:$O$110,MATCH($F32,'Faculties'!$B$91:$B$110,0))),"N/A")</f>
        <v/>
      </c>
      <c r="L32" s="25">
        <f>IFERROR(IF(INDEX('CI&amp;S'!$O$10:$O$14,MATCH($F32,'CI&amp;S'!$B$10:$B$14,0))="","Cell will autofill based on response",INDEX('CI&amp;S'!$O$10:$O$14,MATCH($F32,'CI&amp;S'!$B$10:$B$14,0))),"N/A")</f>
        <v/>
      </c>
      <c r="M32" s="25">
        <f>IFERROR(IF(INDEX('CI&amp;S'!$O$22:$O$38,MATCH($F32,'CI&amp;S'!$B$22:$B$38,0))="","Cell will autofill based on response",INDEX('CI&amp;S'!$O$22:$O$38,MATCH($F32,'CI&amp;S'!$B$22:$B$38,0))),"N/A")</f>
        <v/>
      </c>
      <c r="N32" s="25">
        <f>IFERROR(IF(INDEX('CFOG'!$O$10:$O$15,MATCH($F32,'CFOG'!$B$10:$B$15,0))="","Cell will autofill based on response",INDEX('CFOG'!$O$10:$O$15,MATCH($F32,'CFOG'!$B$10:$B$15,0))),"N/A")</f>
        <v/>
      </c>
      <c r="O32" s="25">
        <f>IFERROR(IF(INDEX('CFOG'!$O$23:$O$23,MATCH($F32,'CFOG'!$B$23:$B$23,0))="","Cell will autofill based on response",INDEX('CFOG'!$O$23:$O$23,MATCH($F32,'CFOG'!$B$23:$B$23,0))),"N/A")</f>
        <v/>
      </c>
      <c r="P32" s="25">
        <f>IFERROR(IF(INDEX('ESG'!$O$10:$O$16,MATCH($F32,'ESG'!$B$10:$B$16,0))="","Cell will autofill based on response",INDEX('ESG'!$O$10:$O$16,MATCH($F32,'ESG'!$B$10:$B$16,0))),"N/A")</f>
        <v/>
      </c>
      <c r="Q32" s="25">
        <f>IFERROR(IF(INDEX('CIOG'!$O$10:$O$13,MATCH($F32,'CIOG'!$B$10:$B$13,0))="","Cell will autofill based on response",INDEX('CIOG'!$O$10:$O$13,MATCH($F32,'CIOG'!$B$10:$B$13,0))),"N/A")</f>
        <v/>
      </c>
      <c r="R32" s="25">
        <f>IFERROR(IF(INDEX('MRE'!$O$10:$O$11,MATCH($F32,'MRE'!$B$10:$B$11,0))="","Cell will autofill based on response",INDEX('MRE'!$O$10:$O$11,MATCH($F32,'MRE'!$B$10:$B$11,0))),"N/A")</f>
        <v/>
      </c>
    </row>
    <row r="33">
      <c r="A33">
        <f>F33&amp;"|"&amp;G33</f>
        <v/>
      </c>
      <c r="B33" s="29" t="inlineStr"/>
      <c r="C33" s="8" t="inlineStr"/>
      <c r="D33" s="8" t="inlineStr"/>
      <c r="E33" s="8" t="inlineStr"/>
      <c r="F33" s="8" t="inlineStr">
        <is>
          <t>EE1(d)</t>
        </is>
      </c>
      <c r="G33" s="8" t="inlineStr">
        <is>
          <t>Data source and limitations</t>
        </is>
      </c>
      <c r="H33" s="25">
        <f>IFERROR(IF(INDEX('Faculties'!$P$10:$P$29,MATCH($F33,'Faculties'!$B$10:$B$29,0))="","Cell will autofill based on response",INDEX('Faculties'!$P$10:$P$29,MATCH($F33,'Faculties'!$B$10:$B$29,0))),"N/A")</f>
        <v/>
      </c>
      <c r="I33" s="25">
        <f>IFERROR(IF(INDEX('Faculties'!$P$37:$P$56,MATCH($F33,'Faculties'!$B$37:$B$56,0))="","Cell will autofill based on response",INDEX('Faculties'!$P$37:$P$56,MATCH($F33,'Faculties'!$B$37:$B$56,0))),"N/A")</f>
        <v/>
      </c>
      <c r="J33" s="25">
        <f>IFERROR(IF(INDEX('Faculties'!$P$64:$P$83,MATCH($F33,'Faculties'!$B$64:$B$83,0))="","Cell will autofill based on response",INDEX('Faculties'!$P$64:$P$83,MATCH($F33,'Faculties'!$B$64:$B$83,0))),"N/A")</f>
        <v/>
      </c>
      <c r="K33" s="25">
        <f>IFERROR(IF(INDEX('Faculties'!$P$91:$P$110,MATCH($F33,'Faculties'!$B$91:$B$110,0))="","Cell will autofill based on response",INDEX('Faculties'!$P$91:$P$110,MATCH($F33,'Faculties'!$B$91:$B$110,0))),"N/A")</f>
        <v/>
      </c>
      <c r="L33" s="25">
        <f>IFERROR(IF(INDEX('CI&amp;S'!$P$10:$P$14,MATCH($F33,'CI&amp;S'!$B$10:$B$14,0))="","Cell will autofill based on response",INDEX('CI&amp;S'!$P$10:$P$14,MATCH($F33,'CI&amp;S'!$B$10:$B$14,0))),"N/A")</f>
        <v/>
      </c>
      <c r="M33" s="25">
        <f>IFERROR(IF(INDEX('CI&amp;S'!$P$22:$P$38,MATCH($F33,'CI&amp;S'!$B$22:$B$38,0))="","Cell will autofill based on response",INDEX('CI&amp;S'!$P$22:$P$38,MATCH($F33,'CI&amp;S'!$B$22:$B$38,0))),"N/A")</f>
        <v/>
      </c>
      <c r="N33" s="25">
        <f>IFERROR(IF(INDEX('CFOG'!$P$10:$P$15,MATCH($F33,'CFOG'!$B$10:$B$15,0))="","Cell will autofill based on response",INDEX('CFOG'!$P$10:$P$15,MATCH($F33,'CFOG'!$B$10:$B$15,0))),"N/A")</f>
        <v/>
      </c>
      <c r="O33" s="25">
        <f>IFERROR(IF(INDEX('CFOG'!$P$23:$P$23,MATCH($F33,'CFOG'!$B$23:$B$23,0))="","Cell will autofill based on response",INDEX('CFOG'!$P$23:$P$23,MATCH($F33,'CFOG'!$B$23:$B$23,0))),"N/A")</f>
        <v/>
      </c>
      <c r="P33" s="25">
        <f>IFERROR(IF(INDEX('ESG'!$P$10:$P$16,MATCH($F33,'ESG'!$B$10:$B$16,0))="","Cell will autofill based on response",INDEX('ESG'!$P$10:$P$16,MATCH($F33,'ESG'!$B$10:$B$16,0))),"N/A")</f>
        <v/>
      </c>
      <c r="Q33" s="25">
        <f>IFERROR(IF(INDEX('CIOG'!$P$10:$P$13,MATCH($F33,'CIOG'!$B$10:$B$13,0))="","Cell will autofill based on response",INDEX('CIOG'!$P$10:$P$13,MATCH($F33,'CIOG'!$B$10:$B$13,0))),"N/A")</f>
        <v/>
      </c>
      <c r="R33" s="25">
        <f>IFERROR(IF(INDEX('MRE'!$P$10:$P$11,MATCH($F33,'MRE'!$B$10:$B$11,0))="","Cell will autofill based on response",INDEX('MRE'!$P$10:$P$11,MATCH($F33,'MRE'!$B$10:$B$11,0))),"N/A")</f>
        <v/>
      </c>
    </row>
    <row r="34">
      <c r="A34">
        <f>F34&amp;"|"&amp;G34</f>
        <v/>
      </c>
      <c r="B34" s="29" t="inlineStr"/>
      <c r="C34" s="8" t="inlineStr"/>
      <c r="D34" s="8" t="inlineStr"/>
      <c r="E34" s="8" t="inlineStr"/>
      <c r="F34" s="8" t="inlineStr">
        <is>
          <t>EE1(d)</t>
        </is>
      </c>
      <c r="G34" s="8" t="inlineStr">
        <is>
          <t>Data owner confirms</t>
        </is>
      </c>
      <c r="H34" s="25">
        <f>IFERROR(IF(INDEX('Faculties'!$Q$10:$Q$29,MATCH($F34,'Faculties'!$B$10:$B$29,0))="","Cell will autofill based on response",INDEX('Faculties'!$Q$10:$Q$29,MATCH($F34,'Faculties'!$B$10:$B$29,0))),"N/A")</f>
        <v/>
      </c>
      <c r="I34" s="25">
        <f>IFERROR(IF(INDEX('Faculties'!$Q$37:$Q$56,MATCH($F34,'Faculties'!$B$37:$B$56,0))="","Cell will autofill based on response",INDEX('Faculties'!$Q$37:$Q$56,MATCH($F34,'Faculties'!$B$37:$B$56,0))),"N/A")</f>
        <v/>
      </c>
      <c r="J34" s="25">
        <f>IFERROR(IF(INDEX('Faculties'!$Q$64:$Q$83,MATCH($F34,'Faculties'!$B$64:$B$83,0))="","Cell will autofill based on response",INDEX('Faculties'!$Q$64:$Q$83,MATCH($F34,'Faculties'!$B$64:$B$83,0))),"N/A")</f>
        <v/>
      </c>
      <c r="K34" s="25">
        <f>IFERROR(IF(INDEX('Faculties'!$Q$91:$Q$110,MATCH($F34,'Faculties'!$B$91:$B$110,0))="","Cell will autofill based on response",INDEX('Faculties'!$Q$91:$Q$110,MATCH($F34,'Faculties'!$B$91:$B$110,0))),"N/A")</f>
        <v/>
      </c>
      <c r="L34" s="25">
        <f>IFERROR(IF(INDEX('CI&amp;S'!$Q$10:$Q$14,MATCH($F34,'CI&amp;S'!$B$10:$B$14,0))="","Cell will autofill based on response",INDEX('CI&amp;S'!$Q$10:$Q$14,MATCH($F34,'CI&amp;S'!$B$10:$B$14,0))),"N/A")</f>
        <v/>
      </c>
      <c r="M34" s="25">
        <f>IFERROR(IF(INDEX('CI&amp;S'!$Q$22:$Q$38,MATCH($F34,'CI&amp;S'!$B$22:$B$38,0))="","Cell will autofill based on response",INDEX('CI&amp;S'!$Q$22:$Q$38,MATCH($F34,'CI&amp;S'!$B$22:$B$38,0))),"N/A")</f>
        <v/>
      </c>
      <c r="N34" s="25">
        <f>IFERROR(IF(INDEX('CFOG'!$Q$10:$Q$15,MATCH($F34,'CFOG'!$B$10:$B$15,0))="","Cell will autofill based on response",INDEX('CFOG'!$Q$10:$Q$15,MATCH($F34,'CFOG'!$B$10:$B$15,0))),"N/A")</f>
        <v/>
      </c>
      <c r="O34" s="25">
        <f>IFERROR(IF(INDEX('CFOG'!$Q$23:$Q$23,MATCH($F34,'CFOG'!$B$23:$B$23,0))="","Cell will autofill based on response",INDEX('CFOG'!$Q$23:$Q$23,MATCH($F34,'CFOG'!$B$23:$B$23,0))),"N/A")</f>
        <v/>
      </c>
      <c r="P34" s="25">
        <f>IFERROR(IF(INDEX('ESG'!$Q$10:$Q$16,MATCH($F34,'ESG'!$B$10:$B$16,0))="","Cell will autofill based on response",INDEX('ESG'!$Q$10:$Q$16,MATCH($F34,'ESG'!$B$10:$B$16,0))),"N/A")</f>
        <v/>
      </c>
      <c r="Q34" s="25">
        <f>IFERROR(IF(INDEX('CIOG'!$Q$10:$Q$13,MATCH($F34,'CIOG'!$B$10:$B$13,0))="","Cell will autofill based on response",INDEX('CIOG'!$Q$10:$Q$13,MATCH($F34,'CIOG'!$B$10:$B$13,0))),"N/A")</f>
        <v/>
      </c>
      <c r="R34" s="25">
        <f>IFERROR(IF(INDEX('MRE'!$Q$10:$Q$11,MATCH($F34,'MRE'!$B$10:$B$11,0))="","Cell will autofill based on response",INDEX('MRE'!$Q$10:$Q$11,MATCH($F34,'MRE'!$B$10:$B$11,0))),"N/A")</f>
        <v/>
      </c>
    </row>
    <row r="35">
      <c r="A35">
        <f>F35&amp;"|"&amp;G35</f>
        <v/>
      </c>
      <c r="B35" s="7" t="inlineStr">
        <is>
          <t>TR1(a)</t>
        </is>
      </c>
      <c r="C35" s="12" t="inlineStr">
        <is>
          <t>Transformational research</t>
        </is>
      </c>
      <c r="D35" s="12" t="inlineStr">
        <is>
          <t>Expert-reviewed evidence of researchers contributing to operational sustainability priorities through partnerships, advisory input, living labs, applied projects or decision-support</t>
        </is>
      </c>
      <c r="E35" s="12"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12" t="inlineStr">
        <is>
          <t>TR1(a)</t>
        </is>
      </c>
      <c r="G35" s="12" t="inlineStr">
        <is>
          <t>Confirm end-2026 target status</t>
        </is>
      </c>
      <c r="H35" s="25">
        <f>IFERROR(IF(INDEX('Faculties'!$L$10:$L$29,MATCH($F35,'Faculties'!$B$10:$B$29,0))="","Cell will autofill based on response",INDEX('Faculties'!$L$10:$L$29,MATCH($F35,'Faculties'!$B$10:$B$29,0))),"N/A")</f>
        <v/>
      </c>
      <c r="I35" s="25">
        <f>IFERROR(IF(INDEX('Faculties'!$L$37:$L$56,MATCH($F35,'Faculties'!$B$37:$B$56,0))="","Cell will autofill based on response",INDEX('Faculties'!$L$37:$L$56,MATCH($F35,'Faculties'!$B$37:$B$56,0))),"N/A")</f>
        <v/>
      </c>
      <c r="J35" s="25">
        <f>IFERROR(IF(INDEX('Faculties'!$L$64:$L$83,MATCH($F35,'Faculties'!$B$64:$B$83,0))="","Cell will autofill based on response",INDEX('Faculties'!$L$64:$L$83,MATCH($F35,'Faculties'!$B$64:$B$83,0))),"N/A")</f>
        <v/>
      </c>
      <c r="K35" s="25">
        <f>IFERROR(IF(INDEX('Faculties'!$L$91:$L$110,MATCH($F35,'Faculties'!$B$91:$B$110,0))="","Cell will autofill based on response",INDEX('Faculties'!$L$91:$L$110,MATCH($F35,'Faculties'!$B$91:$B$110,0))),"N/A")</f>
        <v/>
      </c>
      <c r="L35" s="25">
        <f>IFERROR(IF(INDEX('CI&amp;S'!$L$10:$L$14,MATCH($F35,'CI&amp;S'!$B$10:$B$14,0))="","Cell will autofill based on response",INDEX('CI&amp;S'!$L$10:$L$14,MATCH($F35,'CI&amp;S'!$B$10:$B$14,0))),"N/A")</f>
        <v/>
      </c>
      <c r="M35" s="25">
        <f>IFERROR(IF(INDEX('CI&amp;S'!$L$22:$L$38,MATCH($F35,'CI&amp;S'!$B$22:$B$38,0))="","Cell will autofill based on response",INDEX('CI&amp;S'!$L$22:$L$38,MATCH($F35,'CI&amp;S'!$B$22:$B$38,0))),"N/A")</f>
        <v/>
      </c>
      <c r="N35" s="25">
        <f>IFERROR(IF(INDEX('CFOG'!$L$10:$L$15,MATCH($F35,'CFOG'!$B$10:$B$15,0))="","Cell will autofill based on response",INDEX('CFOG'!$L$10:$L$15,MATCH($F35,'CFOG'!$B$10:$B$15,0))),"N/A")</f>
        <v/>
      </c>
      <c r="O35" s="25">
        <f>IFERROR(IF(INDEX('CFOG'!$L$23:$L$23,MATCH($F35,'CFOG'!$B$23:$B$23,0))="","Cell will autofill based on response",INDEX('CFOG'!$L$23:$L$23,MATCH($F35,'CFOG'!$B$23:$B$23,0))),"N/A")</f>
        <v/>
      </c>
      <c r="P35" s="25">
        <f>IFERROR(IF(INDEX('ESG'!$L$10:$L$16,MATCH($F35,'ESG'!$B$10:$B$16,0))="","Cell will autofill based on response",INDEX('ESG'!$L$10:$L$16,MATCH($F35,'ESG'!$B$10:$B$16,0))),"N/A")</f>
        <v/>
      </c>
      <c r="Q35" s="25">
        <f>IFERROR(IF(INDEX('CIOG'!$L$10:$L$13,MATCH($F35,'CIOG'!$B$10:$B$13,0))="","Cell will autofill based on response",INDEX('CIOG'!$L$10:$L$13,MATCH($F35,'CIOG'!$B$10:$B$13,0))),"N/A")</f>
        <v/>
      </c>
      <c r="R35" s="25">
        <f>IFERROR(IF(INDEX('MRE'!$L$10:$L$11,MATCH($F35,'MRE'!$B$10:$B$11,0))="","Cell will autofill based on response",INDEX('MRE'!$L$10:$L$11,MATCH($F35,'MRE'!$B$10:$B$11,0))),"N/A")</f>
        <v/>
      </c>
      <c r="T35" s="26">
        <f>COUNTIF($H35:$R35,"Cell will autofill based on response")</f>
        <v/>
      </c>
      <c r="U35" s="26">
        <f>COUNTIF($H35:$R35,"Not yet started")</f>
        <v/>
      </c>
      <c r="V35" s="26">
        <f>COUNTIF($H35:$R35,"Not met")</f>
        <v/>
      </c>
      <c r="W35" s="26">
        <f>COUNTIF($H35:$R35,"Partially met")</f>
        <v/>
      </c>
      <c r="X35" s="26">
        <f>COUNTIF($H35:$R35,"Met or exceeded")</f>
        <v/>
      </c>
      <c r="Y35" s="26">
        <f>3*X35+2*W35+V35</f>
        <v/>
      </c>
      <c r="Z35" s="26">
        <f>X35+W35+V35+U35</f>
        <v/>
      </c>
      <c r="AA35" s="27">
        <f>IF(Z35&gt;0,Y35/Z35,"No valid responses to date")</f>
        <v/>
      </c>
      <c r="AB35" s="26">
        <f>IF(ISNUMBER(AA35),INDEX(Lists!$G$2:$G$5,MATCH(ROUND(AA35,0),Lists!$H$2:$H$5,0)),"")</f>
        <v/>
      </c>
      <c r="AC35" s="28">
        <f>IF(Z35&gt;0,X35/Z35,"")</f>
        <v/>
      </c>
      <c r="AD35" s="28">
        <f>IF(Z35&gt;0,(X35+W35)/Z35,"")</f>
        <v/>
      </c>
      <c r="AE35" s="26">
        <f>IF(Z35=0,"",IF(AC35&gt;0.75,"Met or exceeded",IF(AD35&gt;=0.5,"Partially met","Not met")))</f>
        <v/>
      </c>
    </row>
    <row r="36">
      <c r="A36">
        <f>F36&amp;"|"&amp;G36</f>
        <v/>
      </c>
      <c r="B36" s="29" t="inlineStr"/>
      <c r="C36" s="8" t="inlineStr"/>
      <c r="D36" s="8" t="inlineStr"/>
      <c r="E36" s="8" t="inlineStr"/>
      <c r="F36" s="8" t="inlineStr">
        <is>
          <t>TR1(a)</t>
        </is>
      </c>
      <c r="G36" s="8" t="inlineStr">
        <is>
          <t>OPTION 1:  Target-level reporting</t>
        </is>
      </c>
      <c r="H36" s="25">
        <f>IFERROR(IF(INDEX('Faculties'!$M$10:$M$29,MATCH($F36,'Faculties'!$B$10:$B$29,0))="","Cell will autofill based on response",INDEX('Faculties'!$M$10:$M$29,MATCH($F36,'Faculties'!$B$10:$B$29,0))),"N/A")</f>
        <v/>
      </c>
      <c r="I36" s="25">
        <f>IFERROR(IF(INDEX('Faculties'!$M$37:$M$56,MATCH($F36,'Faculties'!$B$37:$B$56,0))="","Cell will autofill based on response",INDEX('Faculties'!$M$37:$M$56,MATCH($F36,'Faculties'!$B$37:$B$56,0))),"N/A")</f>
        <v/>
      </c>
      <c r="J36" s="25">
        <f>IFERROR(IF(INDEX('Faculties'!$M$64:$M$83,MATCH($F36,'Faculties'!$B$64:$B$83,0))="","Cell will autofill based on response",INDEX('Faculties'!$M$64:$M$83,MATCH($F36,'Faculties'!$B$64:$B$83,0))),"N/A")</f>
        <v/>
      </c>
      <c r="K36" s="25">
        <f>IFERROR(IF(INDEX('Faculties'!$M$91:$M$110,MATCH($F36,'Faculties'!$B$91:$B$110,0))="","Cell will autofill based on response",INDEX('Faculties'!$M$91:$M$110,MATCH($F36,'Faculties'!$B$91:$B$110,0))),"N/A")</f>
        <v/>
      </c>
      <c r="L36" s="25">
        <f>IFERROR(IF(INDEX('CI&amp;S'!$M$10:$M$14,MATCH($F36,'CI&amp;S'!$B$10:$B$14,0))="","Cell will autofill based on response",INDEX('CI&amp;S'!$M$10:$M$14,MATCH($F36,'CI&amp;S'!$B$10:$B$14,0))),"N/A")</f>
        <v/>
      </c>
      <c r="M36" s="25">
        <f>IFERROR(IF(INDEX('CI&amp;S'!$M$22:$M$38,MATCH($F36,'CI&amp;S'!$B$22:$B$38,0))="","Cell will autofill based on response",INDEX('CI&amp;S'!$M$22:$M$38,MATCH($F36,'CI&amp;S'!$B$22:$B$38,0))),"N/A")</f>
        <v/>
      </c>
      <c r="N36" s="25">
        <f>IFERROR(IF(INDEX('CFOG'!$M$10:$M$15,MATCH($F36,'CFOG'!$B$10:$B$15,0))="","Cell will autofill based on response",INDEX('CFOG'!$M$10:$M$15,MATCH($F36,'CFOG'!$B$10:$B$15,0))),"N/A")</f>
        <v/>
      </c>
      <c r="O36" s="25">
        <f>IFERROR(IF(INDEX('CFOG'!$M$23:$M$23,MATCH($F36,'CFOG'!$B$23:$B$23,0))="","Cell will autofill based on response",INDEX('CFOG'!$M$23:$M$23,MATCH($F36,'CFOG'!$B$23:$B$23,0))),"N/A")</f>
        <v/>
      </c>
      <c r="P36" s="25">
        <f>IFERROR(IF(INDEX('ESG'!$M$10:$M$16,MATCH($F36,'ESG'!$B$10:$B$16,0))="","Cell will autofill based on response",INDEX('ESG'!$M$10:$M$16,MATCH($F36,'ESG'!$B$10:$B$16,0))),"N/A")</f>
        <v/>
      </c>
      <c r="Q36" s="25">
        <f>IFERROR(IF(INDEX('CIOG'!$M$10:$M$13,MATCH($F36,'CIOG'!$B$10:$B$13,0))="","Cell will autofill based on response",INDEX('CIOG'!$M$10:$M$13,MATCH($F36,'CIOG'!$B$10:$B$13,0))),"N/A")</f>
        <v/>
      </c>
      <c r="R36" s="25">
        <f>IFERROR(IF(INDEX('MRE'!$M$10:$M$11,MATCH($F36,'MRE'!$B$10:$B$11,0))="","Cell will autofill based on response",INDEX('MRE'!$M$10:$M$11,MATCH($F36,'MRE'!$B$10:$B$11,0))),"N/A")</f>
        <v/>
      </c>
    </row>
    <row r="37">
      <c r="A37">
        <f>F37&amp;"|"&amp;G37</f>
        <v/>
      </c>
      <c r="B37" s="29" t="inlineStr"/>
      <c r="C37" s="8" t="inlineStr"/>
      <c r="D37" s="8" t="inlineStr"/>
      <c r="E37" s="8" t="inlineStr"/>
      <c r="F37" s="8" t="inlineStr">
        <is>
          <t>TR1(a)</t>
        </is>
      </c>
      <c r="G37" s="8" t="inlineStr">
        <is>
          <t>OPTION 2:  Indicator level reporting</t>
        </is>
      </c>
      <c r="H37" s="25">
        <f>IFERROR(IF(INDEX('Faculties'!$N$10:$N$29,MATCH($F37,'Faculties'!$B$10:$B$29,0))="","Cell will autofill based on response",INDEX('Faculties'!$N$10:$N$29,MATCH($F37,'Faculties'!$B$10:$B$29,0))),"N/A")</f>
        <v/>
      </c>
      <c r="I37" s="25">
        <f>IFERROR(IF(INDEX('Faculties'!$N$37:$N$56,MATCH($F37,'Faculties'!$B$37:$B$56,0))="","Cell will autofill based on response",INDEX('Faculties'!$N$37:$N$56,MATCH($F37,'Faculties'!$B$37:$B$56,0))),"N/A")</f>
        <v/>
      </c>
      <c r="J37" s="25">
        <f>IFERROR(IF(INDEX('Faculties'!$N$64:$N$83,MATCH($F37,'Faculties'!$B$64:$B$83,0))="","Cell will autofill based on response",INDEX('Faculties'!$N$64:$N$83,MATCH($F37,'Faculties'!$B$64:$B$83,0))),"N/A")</f>
        <v/>
      </c>
      <c r="K37" s="25">
        <f>IFERROR(IF(INDEX('Faculties'!$N$91:$N$110,MATCH($F37,'Faculties'!$B$91:$B$110,0))="","Cell will autofill based on response",INDEX('Faculties'!$N$91:$N$110,MATCH($F37,'Faculties'!$B$91:$B$110,0))),"N/A")</f>
        <v/>
      </c>
      <c r="L37" s="25">
        <f>IFERROR(IF(INDEX('CI&amp;S'!$N$10:$N$14,MATCH($F37,'CI&amp;S'!$B$10:$B$14,0))="","Cell will autofill based on response",INDEX('CI&amp;S'!$N$10:$N$14,MATCH($F37,'CI&amp;S'!$B$10:$B$14,0))),"N/A")</f>
        <v/>
      </c>
      <c r="M37" s="25">
        <f>IFERROR(IF(INDEX('CI&amp;S'!$N$22:$N$38,MATCH($F37,'CI&amp;S'!$B$22:$B$38,0))="","Cell will autofill based on response",INDEX('CI&amp;S'!$N$22:$N$38,MATCH($F37,'CI&amp;S'!$B$22:$B$38,0))),"N/A")</f>
        <v/>
      </c>
      <c r="N37" s="25">
        <f>IFERROR(IF(INDEX('CFOG'!$N$10:$N$15,MATCH($F37,'CFOG'!$B$10:$B$15,0))="","Cell will autofill based on response",INDEX('CFOG'!$N$10:$N$15,MATCH($F37,'CFOG'!$B$10:$B$15,0))),"N/A")</f>
        <v/>
      </c>
      <c r="O37" s="25">
        <f>IFERROR(IF(INDEX('CFOG'!$N$23:$N$23,MATCH($F37,'CFOG'!$B$23:$B$23,0))="","Cell will autofill based on response",INDEX('CFOG'!$N$23:$N$23,MATCH($F37,'CFOG'!$B$23:$B$23,0))),"N/A")</f>
        <v/>
      </c>
      <c r="P37" s="25">
        <f>IFERROR(IF(INDEX('ESG'!$N$10:$N$16,MATCH($F37,'ESG'!$B$10:$B$16,0))="","Cell will autofill based on response",INDEX('ESG'!$N$10:$N$16,MATCH($F37,'ESG'!$B$10:$B$16,0))),"N/A")</f>
        <v/>
      </c>
      <c r="Q37" s="25">
        <f>IFERROR(IF(INDEX('CIOG'!$N$10:$N$13,MATCH($F37,'CIOG'!$B$10:$B$13,0))="","Cell will autofill based on response",INDEX('CIOG'!$N$10:$N$13,MATCH($F37,'CIOG'!$B$10:$B$13,0))),"N/A")</f>
        <v/>
      </c>
      <c r="R37" s="25">
        <f>IFERROR(IF(INDEX('MRE'!$N$10:$N$11,MATCH($F37,'MRE'!$B$10:$B$11,0))="","Cell will autofill based on response",INDEX('MRE'!$N$10:$N$11,MATCH($F37,'MRE'!$B$10:$B$11,0))),"N/A")</f>
        <v/>
      </c>
    </row>
    <row r="38">
      <c r="A38">
        <f>F38&amp;"|"&amp;G38</f>
        <v/>
      </c>
      <c r="B38" s="29" t="inlineStr"/>
      <c r="C38" s="8" t="inlineStr"/>
      <c r="D38" s="8" t="inlineStr"/>
      <c r="E38" s="8" t="inlineStr"/>
      <c r="F38" s="8" t="inlineStr">
        <is>
          <t>TR1(a)</t>
        </is>
      </c>
      <c r="G38" s="8" t="inlineStr">
        <is>
          <t>Supporting information/comments</t>
        </is>
      </c>
      <c r="H38" s="25">
        <f>IFERROR(IF(INDEX('Faculties'!$O$10:$O$29,MATCH($F38,'Faculties'!$B$10:$B$29,0))="","Cell will autofill based on response",INDEX('Faculties'!$O$10:$O$29,MATCH($F38,'Faculties'!$B$10:$B$29,0))),"N/A")</f>
        <v/>
      </c>
      <c r="I38" s="25">
        <f>IFERROR(IF(INDEX('Faculties'!$O$37:$O$56,MATCH($F38,'Faculties'!$B$37:$B$56,0))="","Cell will autofill based on response",INDEX('Faculties'!$O$37:$O$56,MATCH($F38,'Faculties'!$B$37:$B$56,0))),"N/A")</f>
        <v/>
      </c>
      <c r="J38" s="25">
        <f>IFERROR(IF(INDEX('Faculties'!$O$64:$O$83,MATCH($F38,'Faculties'!$B$64:$B$83,0))="","Cell will autofill based on response",INDEX('Faculties'!$O$64:$O$83,MATCH($F38,'Faculties'!$B$64:$B$83,0))),"N/A")</f>
        <v/>
      </c>
      <c r="K38" s="25">
        <f>IFERROR(IF(INDEX('Faculties'!$O$91:$O$110,MATCH($F38,'Faculties'!$B$91:$B$110,0))="","Cell will autofill based on response",INDEX('Faculties'!$O$91:$O$110,MATCH($F38,'Faculties'!$B$91:$B$110,0))),"N/A")</f>
        <v/>
      </c>
      <c r="L38" s="25">
        <f>IFERROR(IF(INDEX('CI&amp;S'!$O$10:$O$14,MATCH($F38,'CI&amp;S'!$B$10:$B$14,0))="","Cell will autofill based on response",INDEX('CI&amp;S'!$O$10:$O$14,MATCH($F38,'CI&amp;S'!$B$10:$B$14,0))),"N/A")</f>
        <v/>
      </c>
      <c r="M38" s="25">
        <f>IFERROR(IF(INDEX('CI&amp;S'!$O$22:$O$38,MATCH($F38,'CI&amp;S'!$B$22:$B$38,0))="","Cell will autofill based on response",INDEX('CI&amp;S'!$O$22:$O$38,MATCH($F38,'CI&amp;S'!$B$22:$B$38,0))),"N/A")</f>
        <v/>
      </c>
      <c r="N38" s="25">
        <f>IFERROR(IF(INDEX('CFOG'!$O$10:$O$15,MATCH($F38,'CFOG'!$B$10:$B$15,0))="","Cell will autofill based on response",INDEX('CFOG'!$O$10:$O$15,MATCH($F38,'CFOG'!$B$10:$B$15,0))),"N/A")</f>
        <v/>
      </c>
      <c r="O38" s="25">
        <f>IFERROR(IF(INDEX('CFOG'!$O$23:$O$23,MATCH($F38,'CFOG'!$B$23:$B$23,0))="","Cell will autofill based on response",INDEX('CFOG'!$O$23:$O$23,MATCH($F38,'CFOG'!$B$23:$B$23,0))),"N/A")</f>
        <v/>
      </c>
      <c r="P38" s="25">
        <f>IFERROR(IF(INDEX('ESG'!$O$10:$O$16,MATCH($F38,'ESG'!$B$10:$B$16,0))="","Cell will autofill based on response",INDEX('ESG'!$O$10:$O$16,MATCH($F38,'ESG'!$B$10:$B$16,0))),"N/A")</f>
        <v/>
      </c>
      <c r="Q38" s="25">
        <f>IFERROR(IF(INDEX('CIOG'!$O$10:$O$13,MATCH($F38,'CIOG'!$B$10:$B$13,0))="","Cell will autofill based on response",INDEX('CIOG'!$O$10:$O$13,MATCH($F38,'CIOG'!$B$10:$B$13,0))),"N/A")</f>
        <v/>
      </c>
      <c r="R38" s="25">
        <f>IFERROR(IF(INDEX('MRE'!$O$10:$O$11,MATCH($F38,'MRE'!$B$10:$B$11,0))="","Cell will autofill based on response",INDEX('MRE'!$O$10:$O$11,MATCH($F38,'MRE'!$B$10:$B$11,0))),"N/A")</f>
        <v/>
      </c>
    </row>
    <row r="39">
      <c r="A39">
        <f>F39&amp;"|"&amp;G39</f>
        <v/>
      </c>
      <c r="B39" s="29" t="inlineStr"/>
      <c r="C39" s="8" t="inlineStr"/>
      <c r="D39" s="8" t="inlineStr"/>
      <c r="E39" s="8" t="inlineStr"/>
      <c r="F39" s="8" t="inlineStr">
        <is>
          <t>TR1(a)</t>
        </is>
      </c>
      <c r="G39" s="8" t="inlineStr">
        <is>
          <t>Data source and limitations</t>
        </is>
      </c>
      <c r="H39" s="25">
        <f>IFERROR(IF(INDEX('Faculties'!$P$10:$P$29,MATCH($F39,'Faculties'!$B$10:$B$29,0))="","Cell will autofill based on response",INDEX('Faculties'!$P$10:$P$29,MATCH($F39,'Faculties'!$B$10:$B$29,0))),"N/A")</f>
        <v/>
      </c>
      <c r="I39" s="25">
        <f>IFERROR(IF(INDEX('Faculties'!$P$37:$P$56,MATCH($F39,'Faculties'!$B$37:$B$56,0))="","Cell will autofill based on response",INDEX('Faculties'!$P$37:$P$56,MATCH($F39,'Faculties'!$B$37:$B$56,0))),"N/A")</f>
        <v/>
      </c>
      <c r="J39" s="25">
        <f>IFERROR(IF(INDEX('Faculties'!$P$64:$P$83,MATCH($F39,'Faculties'!$B$64:$B$83,0))="","Cell will autofill based on response",INDEX('Faculties'!$P$64:$P$83,MATCH($F39,'Faculties'!$B$64:$B$83,0))),"N/A")</f>
        <v/>
      </c>
      <c r="K39" s="25">
        <f>IFERROR(IF(INDEX('Faculties'!$P$91:$P$110,MATCH($F39,'Faculties'!$B$91:$B$110,0))="","Cell will autofill based on response",INDEX('Faculties'!$P$91:$P$110,MATCH($F39,'Faculties'!$B$91:$B$110,0))),"N/A")</f>
        <v/>
      </c>
      <c r="L39" s="25">
        <f>IFERROR(IF(INDEX('CI&amp;S'!$P$10:$P$14,MATCH($F39,'CI&amp;S'!$B$10:$B$14,0))="","Cell will autofill based on response",INDEX('CI&amp;S'!$P$10:$P$14,MATCH($F39,'CI&amp;S'!$B$10:$B$14,0))),"N/A")</f>
        <v/>
      </c>
      <c r="M39" s="25">
        <f>IFERROR(IF(INDEX('CI&amp;S'!$P$22:$P$38,MATCH($F39,'CI&amp;S'!$B$22:$B$38,0))="","Cell will autofill based on response",INDEX('CI&amp;S'!$P$22:$P$38,MATCH($F39,'CI&amp;S'!$B$22:$B$38,0))),"N/A")</f>
        <v/>
      </c>
      <c r="N39" s="25">
        <f>IFERROR(IF(INDEX('CFOG'!$P$10:$P$15,MATCH($F39,'CFOG'!$B$10:$B$15,0))="","Cell will autofill based on response",INDEX('CFOG'!$P$10:$P$15,MATCH($F39,'CFOG'!$B$10:$B$15,0))),"N/A")</f>
        <v/>
      </c>
      <c r="O39" s="25">
        <f>IFERROR(IF(INDEX('CFOG'!$P$23:$P$23,MATCH($F39,'CFOG'!$B$23:$B$23,0))="","Cell will autofill based on response",INDEX('CFOG'!$P$23:$P$23,MATCH($F39,'CFOG'!$B$23:$B$23,0))),"N/A")</f>
        <v/>
      </c>
      <c r="P39" s="25">
        <f>IFERROR(IF(INDEX('ESG'!$P$10:$P$16,MATCH($F39,'ESG'!$B$10:$B$16,0))="","Cell will autofill based on response",INDEX('ESG'!$P$10:$P$16,MATCH($F39,'ESG'!$B$10:$B$16,0))),"N/A")</f>
        <v/>
      </c>
      <c r="Q39" s="25">
        <f>IFERROR(IF(INDEX('CIOG'!$P$10:$P$13,MATCH($F39,'CIOG'!$B$10:$B$13,0))="","Cell will autofill based on response",INDEX('CIOG'!$P$10:$P$13,MATCH($F39,'CIOG'!$B$10:$B$13,0))),"N/A")</f>
        <v/>
      </c>
      <c r="R39" s="25">
        <f>IFERROR(IF(INDEX('MRE'!$P$10:$P$11,MATCH($F39,'MRE'!$B$10:$B$11,0))="","Cell will autofill based on response",INDEX('MRE'!$P$10:$P$11,MATCH($F39,'MRE'!$B$10:$B$11,0))),"N/A")</f>
        <v/>
      </c>
    </row>
    <row r="40">
      <c r="A40">
        <f>F40&amp;"|"&amp;G40</f>
        <v/>
      </c>
      <c r="B40" s="29" t="inlineStr"/>
      <c r="C40" s="8" t="inlineStr"/>
      <c r="D40" s="8" t="inlineStr"/>
      <c r="E40" s="8" t="inlineStr"/>
      <c r="F40" s="8" t="inlineStr">
        <is>
          <t>TR1(a)</t>
        </is>
      </c>
      <c r="G40" s="8" t="inlineStr">
        <is>
          <t>Data owner confirms</t>
        </is>
      </c>
      <c r="H40" s="25">
        <f>IFERROR(IF(INDEX('Faculties'!$Q$10:$Q$29,MATCH($F40,'Faculties'!$B$10:$B$29,0))="","Cell will autofill based on response",INDEX('Faculties'!$Q$10:$Q$29,MATCH($F40,'Faculties'!$B$10:$B$29,0))),"N/A")</f>
        <v/>
      </c>
      <c r="I40" s="25">
        <f>IFERROR(IF(INDEX('Faculties'!$Q$37:$Q$56,MATCH($F40,'Faculties'!$B$37:$B$56,0))="","Cell will autofill based on response",INDEX('Faculties'!$Q$37:$Q$56,MATCH($F40,'Faculties'!$B$37:$B$56,0))),"N/A")</f>
        <v/>
      </c>
      <c r="J40" s="25">
        <f>IFERROR(IF(INDEX('Faculties'!$Q$64:$Q$83,MATCH($F40,'Faculties'!$B$64:$B$83,0))="","Cell will autofill based on response",INDEX('Faculties'!$Q$64:$Q$83,MATCH($F40,'Faculties'!$B$64:$B$83,0))),"N/A")</f>
        <v/>
      </c>
      <c r="K40" s="25">
        <f>IFERROR(IF(INDEX('Faculties'!$Q$91:$Q$110,MATCH($F40,'Faculties'!$B$91:$B$110,0))="","Cell will autofill based on response",INDEX('Faculties'!$Q$91:$Q$110,MATCH($F40,'Faculties'!$B$91:$B$110,0))),"N/A")</f>
        <v/>
      </c>
      <c r="L40" s="25">
        <f>IFERROR(IF(INDEX('CI&amp;S'!$Q$10:$Q$14,MATCH($F40,'CI&amp;S'!$B$10:$B$14,0))="","Cell will autofill based on response",INDEX('CI&amp;S'!$Q$10:$Q$14,MATCH($F40,'CI&amp;S'!$B$10:$B$14,0))),"N/A")</f>
        <v/>
      </c>
      <c r="M40" s="25">
        <f>IFERROR(IF(INDEX('CI&amp;S'!$Q$22:$Q$38,MATCH($F40,'CI&amp;S'!$B$22:$B$38,0))="","Cell will autofill based on response",INDEX('CI&amp;S'!$Q$22:$Q$38,MATCH($F40,'CI&amp;S'!$B$22:$B$38,0))),"N/A")</f>
        <v/>
      </c>
      <c r="N40" s="25">
        <f>IFERROR(IF(INDEX('CFOG'!$Q$10:$Q$15,MATCH($F40,'CFOG'!$B$10:$B$15,0))="","Cell will autofill based on response",INDEX('CFOG'!$Q$10:$Q$15,MATCH($F40,'CFOG'!$B$10:$B$15,0))),"N/A")</f>
        <v/>
      </c>
      <c r="O40" s="25">
        <f>IFERROR(IF(INDEX('CFOG'!$Q$23:$Q$23,MATCH($F40,'CFOG'!$B$23:$B$23,0))="","Cell will autofill based on response",INDEX('CFOG'!$Q$23:$Q$23,MATCH($F40,'CFOG'!$B$23:$B$23,0))),"N/A")</f>
        <v/>
      </c>
      <c r="P40" s="25">
        <f>IFERROR(IF(INDEX('ESG'!$Q$10:$Q$16,MATCH($F40,'ESG'!$B$10:$B$16,0))="","Cell will autofill based on response",INDEX('ESG'!$Q$10:$Q$16,MATCH($F40,'ESG'!$B$10:$B$16,0))),"N/A")</f>
        <v/>
      </c>
      <c r="Q40" s="25">
        <f>IFERROR(IF(INDEX('CIOG'!$Q$10:$Q$13,MATCH($F40,'CIOG'!$B$10:$B$13,0))="","Cell will autofill based on response",INDEX('CIOG'!$Q$10:$Q$13,MATCH($F40,'CIOG'!$B$10:$B$13,0))),"N/A")</f>
        <v/>
      </c>
      <c r="R40" s="25">
        <f>IFERROR(IF(INDEX('MRE'!$Q$10:$Q$11,MATCH($F40,'MRE'!$B$10:$B$11,0))="","Cell will autofill based on response",INDEX('MRE'!$Q$10:$Q$11,MATCH($F40,'MRE'!$B$10:$B$11,0))),"N/A")</f>
        <v/>
      </c>
    </row>
    <row r="41">
      <c r="A41">
        <f>F41&amp;"|"&amp;G41</f>
        <v/>
      </c>
      <c r="B41" s="7" t="inlineStr">
        <is>
          <t>TR1(b)</t>
        </is>
      </c>
      <c r="C41" s="12" t="inlineStr">
        <is>
          <t>Transformational research</t>
        </is>
      </c>
      <c r="D41" s="12" t="inlineStr">
        <is>
          <t>Evidence of institutional pathways that enable ongoing collaboration between academic and professional staff</t>
        </is>
      </c>
      <c r="E41"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12" t="inlineStr">
        <is>
          <t>TR1(b)</t>
        </is>
      </c>
      <c r="G41" s="12" t="inlineStr">
        <is>
          <t>Confirm end-2026 target status</t>
        </is>
      </c>
      <c r="H41" s="25">
        <f>IFERROR(IF(INDEX('Faculties'!$L$10:$L$29,MATCH($F41,'Faculties'!$B$10:$B$29,0))="","Cell will autofill based on response",INDEX('Faculties'!$L$10:$L$29,MATCH($F41,'Faculties'!$B$10:$B$29,0))),"N/A")</f>
        <v/>
      </c>
      <c r="I41" s="25">
        <f>IFERROR(IF(INDEX('Faculties'!$L$37:$L$56,MATCH($F41,'Faculties'!$B$37:$B$56,0))="","Cell will autofill based on response",INDEX('Faculties'!$L$37:$L$56,MATCH($F41,'Faculties'!$B$37:$B$56,0))),"N/A")</f>
        <v/>
      </c>
      <c r="J41" s="25">
        <f>IFERROR(IF(INDEX('Faculties'!$L$64:$L$83,MATCH($F41,'Faculties'!$B$64:$B$83,0))="","Cell will autofill based on response",INDEX('Faculties'!$L$64:$L$83,MATCH($F41,'Faculties'!$B$64:$B$83,0))),"N/A")</f>
        <v/>
      </c>
      <c r="K41" s="25">
        <f>IFERROR(IF(INDEX('Faculties'!$L$91:$L$110,MATCH($F41,'Faculties'!$B$91:$B$110,0))="","Cell will autofill based on response",INDEX('Faculties'!$L$91:$L$110,MATCH($F41,'Faculties'!$B$91:$B$110,0))),"N/A")</f>
        <v/>
      </c>
      <c r="L41" s="25">
        <f>IFERROR(IF(INDEX('CI&amp;S'!$L$10:$L$14,MATCH($F41,'CI&amp;S'!$B$10:$B$14,0))="","Cell will autofill based on response",INDEX('CI&amp;S'!$L$10:$L$14,MATCH($F41,'CI&amp;S'!$B$10:$B$14,0))),"N/A")</f>
        <v/>
      </c>
      <c r="M41" s="25">
        <f>IFERROR(IF(INDEX('CI&amp;S'!$L$22:$L$38,MATCH($F41,'CI&amp;S'!$B$22:$B$38,0))="","Cell will autofill based on response",INDEX('CI&amp;S'!$L$22:$L$38,MATCH($F41,'CI&amp;S'!$B$22:$B$38,0))),"N/A")</f>
        <v/>
      </c>
      <c r="N41" s="25">
        <f>IFERROR(IF(INDEX('CFOG'!$L$10:$L$15,MATCH($F41,'CFOG'!$B$10:$B$15,0))="","Cell will autofill based on response",INDEX('CFOG'!$L$10:$L$15,MATCH($F41,'CFOG'!$B$10:$B$15,0))),"N/A")</f>
        <v/>
      </c>
      <c r="O41" s="25">
        <f>IFERROR(IF(INDEX('CFOG'!$L$23:$L$23,MATCH($F41,'CFOG'!$B$23:$B$23,0))="","Cell will autofill based on response",INDEX('CFOG'!$L$23:$L$23,MATCH($F41,'CFOG'!$B$23:$B$23,0))),"N/A")</f>
        <v/>
      </c>
      <c r="P41" s="25">
        <f>IFERROR(IF(INDEX('ESG'!$L$10:$L$16,MATCH($F41,'ESG'!$B$10:$B$16,0))="","Cell will autofill based on response",INDEX('ESG'!$L$10:$L$16,MATCH($F41,'ESG'!$B$10:$B$16,0))),"N/A")</f>
        <v/>
      </c>
      <c r="Q41" s="25">
        <f>IFERROR(IF(INDEX('CIOG'!$L$10:$L$13,MATCH($F41,'CIOG'!$B$10:$B$13,0))="","Cell will autofill based on response",INDEX('CIOG'!$L$10:$L$13,MATCH($F41,'CIOG'!$B$10:$B$13,0))),"N/A")</f>
        <v/>
      </c>
      <c r="R41" s="25">
        <f>IFERROR(IF(INDEX('MRE'!$L$10:$L$11,MATCH($F41,'MRE'!$B$10:$B$11,0))="","Cell will autofill based on response",INDEX('MRE'!$L$10:$L$11,MATCH($F41,'MRE'!$B$10:$B$11,0))),"N/A")</f>
        <v/>
      </c>
      <c r="T41" s="26">
        <f>COUNTIF($H41:$R41,"Cell will autofill based on response")</f>
        <v/>
      </c>
      <c r="U41" s="26">
        <f>COUNTIF($H41:$R41,"Not yet started")</f>
        <v/>
      </c>
      <c r="V41" s="26">
        <f>COUNTIF($H41:$R41,"Not met")</f>
        <v/>
      </c>
      <c r="W41" s="26">
        <f>COUNTIF($H41:$R41,"Partially met")</f>
        <v/>
      </c>
      <c r="X41" s="26">
        <f>COUNTIF($H41:$R41,"Met or exceeded")</f>
        <v/>
      </c>
      <c r="Y41" s="26">
        <f>3*X41+2*W41+V41</f>
        <v/>
      </c>
      <c r="Z41" s="26">
        <f>X41+W41+V41+U41</f>
        <v/>
      </c>
      <c r="AA41" s="27">
        <f>IF(Z41&gt;0,Y41/Z41,"No valid responses to date")</f>
        <v/>
      </c>
      <c r="AB41" s="26">
        <f>IF(ISNUMBER(AA41),INDEX(Lists!$G$2:$G$5,MATCH(ROUND(AA41,0),Lists!$H$2:$H$5,0)),"")</f>
        <v/>
      </c>
      <c r="AC41" s="28">
        <f>IF(Z41&gt;0,X41/Z41,"")</f>
        <v/>
      </c>
      <c r="AD41" s="28">
        <f>IF(Z41&gt;0,(X41+W41)/Z41,"")</f>
        <v/>
      </c>
      <c r="AE41" s="26">
        <f>IF(Z41=0,"",IF(AC41&gt;0.75,"Met or exceeded",IF(AD41&gt;=0.5,"Partially met","Not met")))</f>
        <v/>
      </c>
    </row>
    <row r="42">
      <c r="A42">
        <f>F42&amp;"|"&amp;G42</f>
        <v/>
      </c>
      <c r="B42" s="29" t="inlineStr"/>
      <c r="C42" s="8" t="inlineStr"/>
      <c r="D42" s="8" t="inlineStr"/>
      <c r="E42" s="8" t="inlineStr"/>
      <c r="F42" s="8" t="inlineStr">
        <is>
          <t>TR1(b)</t>
        </is>
      </c>
      <c r="G42" s="8" t="inlineStr">
        <is>
          <t>OPTION 1:  Target-level reporting</t>
        </is>
      </c>
      <c r="H42" s="25">
        <f>IFERROR(IF(INDEX('Faculties'!$M$10:$M$29,MATCH($F42,'Faculties'!$B$10:$B$29,0))="","Cell will autofill based on response",INDEX('Faculties'!$M$10:$M$29,MATCH($F42,'Faculties'!$B$10:$B$29,0))),"N/A")</f>
        <v/>
      </c>
      <c r="I42" s="25">
        <f>IFERROR(IF(INDEX('Faculties'!$M$37:$M$56,MATCH($F42,'Faculties'!$B$37:$B$56,0))="","Cell will autofill based on response",INDEX('Faculties'!$M$37:$M$56,MATCH($F42,'Faculties'!$B$37:$B$56,0))),"N/A")</f>
        <v/>
      </c>
      <c r="J42" s="25">
        <f>IFERROR(IF(INDEX('Faculties'!$M$64:$M$83,MATCH($F42,'Faculties'!$B$64:$B$83,0))="","Cell will autofill based on response",INDEX('Faculties'!$M$64:$M$83,MATCH($F42,'Faculties'!$B$64:$B$83,0))),"N/A")</f>
        <v/>
      </c>
      <c r="K42" s="25">
        <f>IFERROR(IF(INDEX('Faculties'!$M$91:$M$110,MATCH($F42,'Faculties'!$B$91:$B$110,0))="","Cell will autofill based on response",INDEX('Faculties'!$M$91:$M$110,MATCH($F42,'Faculties'!$B$91:$B$110,0))),"N/A")</f>
        <v/>
      </c>
      <c r="L42" s="25">
        <f>IFERROR(IF(INDEX('CI&amp;S'!$M$10:$M$14,MATCH($F42,'CI&amp;S'!$B$10:$B$14,0))="","Cell will autofill based on response",INDEX('CI&amp;S'!$M$10:$M$14,MATCH($F42,'CI&amp;S'!$B$10:$B$14,0))),"N/A")</f>
        <v/>
      </c>
      <c r="M42" s="25">
        <f>IFERROR(IF(INDEX('CI&amp;S'!$M$22:$M$38,MATCH($F42,'CI&amp;S'!$B$22:$B$38,0))="","Cell will autofill based on response",INDEX('CI&amp;S'!$M$22:$M$38,MATCH($F42,'CI&amp;S'!$B$22:$B$38,0))),"N/A")</f>
        <v/>
      </c>
      <c r="N42" s="25">
        <f>IFERROR(IF(INDEX('CFOG'!$M$10:$M$15,MATCH($F42,'CFOG'!$B$10:$B$15,0))="","Cell will autofill based on response",INDEX('CFOG'!$M$10:$M$15,MATCH($F42,'CFOG'!$B$10:$B$15,0))),"N/A")</f>
        <v/>
      </c>
      <c r="O42" s="25">
        <f>IFERROR(IF(INDEX('CFOG'!$M$23:$M$23,MATCH($F42,'CFOG'!$B$23:$B$23,0))="","Cell will autofill based on response",INDEX('CFOG'!$M$23:$M$23,MATCH($F42,'CFOG'!$B$23:$B$23,0))),"N/A")</f>
        <v/>
      </c>
      <c r="P42" s="25">
        <f>IFERROR(IF(INDEX('ESG'!$M$10:$M$16,MATCH($F42,'ESG'!$B$10:$B$16,0))="","Cell will autofill based on response",INDEX('ESG'!$M$10:$M$16,MATCH($F42,'ESG'!$B$10:$B$16,0))),"N/A")</f>
        <v/>
      </c>
      <c r="Q42" s="25">
        <f>IFERROR(IF(INDEX('CIOG'!$M$10:$M$13,MATCH($F42,'CIOG'!$B$10:$B$13,0))="","Cell will autofill based on response",INDEX('CIOG'!$M$10:$M$13,MATCH($F42,'CIOG'!$B$10:$B$13,0))),"N/A")</f>
        <v/>
      </c>
      <c r="R42" s="25">
        <f>IFERROR(IF(INDEX('MRE'!$M$10:$M$11,MATCH($F42,'MRE'!$B$10:$B$11,0))="","Cell will autofill based on response",INDEX('MRE'!$M$10:$M$11,MATCH($F42,'MRE'!$B$10:$B$11,0))),"N/A")</f>
        <v/>
      </c>
    </row>
    <row r="43">
      <c r="A43">
        <f>F43&amp;"|"&amp;G43</f>
        <v/>
      </c>
      <c r="B43" s="29" t="inlineStr"/>
      <c r="C43" s="8" t="inlineStr"/>
      <c r="D43" s="8" t="inlineStr"/>
      <c r="E43" s="8" t="inlineStr"/>
      <c r="F43" s="8" t="inlineStr">
        <is>
          <t>TR1(b)</t>
        </is>
      </c>
      <c r="G43" s="8" t="inlineStr">
        <is>
          <t>OPTION 2:  Indicator level reporting</t>
        </is>
      </c>
      <c r="H43" s="25">
        <f>IFERROR(IF(INDEX('Faculties'!$N$10:$N$29,MATCH($F43,'Faculties'!$B$10:$B$29,0))="","Cell will autofill based on response",INDEX('Faculties'!$N$10:$N$29,MATCH($F43,'Faculties'!$B$10:$B$29,0))),"N/A")</f>
        <v/>
      </c>
      <c r="I43" s="25">
        <f>IFERROR(IF(INDEX('Faculties'!$N$37:$N$56,MATCH($F43,'Faculties'!$B$37:$B$56,0))="","Cell will autofill based on response",INDEX('Faculties'!$N$37:$N$56,MATCH($F43,'Faculties'!$B$37:$B$56,0))),"N/A")</f>
        <v/>
      </c>
      <c r="J43" s="25">
        <f>IFERROR(IF(INDEX('Faculties'!$N$64:$N$83,MATCH($F43,'Faculties'!$B$64:$B$83,0))="","Cell will autofill based on response",INDEX('Faculties'!$N$64:$N$83,MATCH($F43,'Faculties'!$B$64:$B$83,0))),"N/A")</f>
        <v/>
      </c>
      <c r="K43" s="25">
        <f>IFERROR(IF(INDEX('Faculties'!$N$91:$N$110,MATCH($F43,'Faculties'!$B$91:$B$110,0))="","Cell will autofill based on response",INDEX('Faculties'!$N$91:$N$110,MATCH($F43,'Faculties'!$B$91:$B$110,0))),"N/A")</f>
        <v/>
      </c>
      <c r="L43" s="25">
        <f>IFERROR(IF(INDEX('CI&amp;S'!$N$10:$N$14,MATCH($F43,'CI&amp;S'!$B$10:$B$14,0))="","Cell will autofill based on response",INDEX('CI&amp;S'!$N$10:$N$14,MATCH($F43,'CI&amp;S'!$B$10:$B$14,0))),"N/A")</f>
        <v/>
      </c>
      <c r="M43" s="25">
        <f>IFERROR(IF(INDEX('CI&amp;S'!$N$22:$N$38,MATCH($F43,'CI&amp;S'!$B$22:$B$38,0))="","Cell will autofill based on response",INDEX('CI&amp;S'!$N$22:$N$38,MATCH($F43,'CI&amp;S'!$B$22:$B$38,0))),"N/A")</f>
        <v/>
      </c>
      <c r="N43" s="25">
        <f>IFERROR(IF(INDEX('CFOG'!$N$10:$N$15,MATCH($F43,'CFOG'!$B$10:$B$15,0))="","Cell will autofill based on response",INDEX('CFOG'!$N$10:$N$15,MATCH($F43,'CFOG'!$B$10:$B$15,0))),"N/A")</f>
        <v/>
      </c>
      <c r="O43" s="25">
        <f>IFERROR(IF(INDEX('CFOG'!$N$23:$N$23,MATCH($F43,'CFOG'!$B$23:$B$23,0))="","Cell will autofill based on response",INDEX('CFOG'!$N$23:$N$23,MATCH($F43,'CFOG'!$B$23:$B$23,0))),"N/A")</f>
        <v/>
      </c>
      <c r="P43" s="25">
        <f>IFERROR(IF(INDEX('ESG'!$N$10:$N$16,MATCH($F43,'ESG'!$B$10:$B$16,0))="","Cell will autofill based on response",INDEX('ESG'!$N$10:$N$16,MATCH($F43,'ESG'!$B$10:$B$16,0))),"N/A")</f>
        <v/>
      </c>
      <c r="Q43" s="25">
        <f>IFERROR(IF(INDEX('CIOG'!$N$10:$N$13,MATCH($F43,'CIOG'!$B$10:$B$13,0))="","Cell will autofill based on response",INDEX('CIOG'!$N$10:$N$13,MATCH($F43,'CIOG'!$B$10:$B$13,0))),"N/A")</f>
        <v/>
      </c>
      <c r="R43" s="25">
        <f>IFERROR(IF(INDEX('MRE'!$N$10:$N$11,MATCH($F43,'MRE'!$B$10:$B$11,0))="","Cell will autofill based on response",INDEX('MRE'!$N$10:$N$11,MATCH($F43,'MRE'!$B$10:$B$11,0))),"N/A")</f>
        <v/>
      </c>
    </row>
    <row r="44">
      <c r="A44">
        <f>F44&amp;"|"&amp;G44</f>
        <v/>
      </c>
      <c r="B44" s="29" t="inlineStr"/>
      <c r="C44" s="8" t="inlineStr"/>
      <c r="D44" s="8" t="inlineStr"/>
      <c r="E44" s="8" t="inlineStr"/>
      <c r="F44" s="8" t="inlineStr">
        <is>
          <t>TR1(b)</t>
        </is>
      </c>
      <c r="G44" s="8" t="inlineStr">
        <is>
          <t>Supporting information/comments</t>
        </is>
      </c>
      <c r="H44" s="25">
        <f>IFERROR(IF(INDEX('Faculties'!$O$10:$O$29,MATCH($F44,'Faculties'!$B$10:$B$29,0))="","Cell will autofill based on response",INDEX('Faculties'!$O$10:$O$29,MATCH($F44,'Faculties'!$B$10:$B$29,0))),"N/A")</f>
        <v/>
      </c>
      <c r="I44" s="25">
        <f>IFERROR(IF(INDEX('Faculties'!$O$37:$O$56,MATCH($F44,'Faculties'!$B$37:$B$56,0))="","Cell will autofill based on response",INDEX('Faculties'!$O$37:$O$56,MATCH($F44,'Faculties'!$B$37:$B$56,0))),"N/A")</f>
        <v/>
      </c>
      <c r="J44" s="25">
        <f>IFERROR(IF(INDEX('Faculties'!$O$64:$O$83,MATCH($F44,'Faculties'!$B$64:$B$83,0))="","Cell will autofill based on response",INDEX('Faculties'!$O$64:$O$83,MATCH($F44,'Faculties'!$B$64:$B$83,0))),"N/A")</f>
        <v/>
      </c>
      <c r="K44" s="25">
        <f>IFERROR(IF(INDEX('Faculties'!$O$91:$O$110,MATCH($F44,'Faculties'!$B$91:$B$110,0))="","Cell will autofill based on response",INDEX('Faculties'!$O$91:$O$110,MATCH($F44,'Faculties'!$B$91:$B$110,0))),"N/A")</f>
        <v/>
      </c>
      <c r="L44" s="25">
        <f>IFERROR(IF(INDEX('CI&amp;S'!$O$10:$O$14,MATCH($F44,'CI&amp;S'!$B$10:$B$14,0))="","Cell will autofill based on response",INDEX('CI&amp;S'!$O$10:$O$14,MATCH($F44,'CI&amp;S'!$B$10:$B$14,0))),"N/A")</f>
        <v/>
      </c>
      <c r="M44" s="25">
        <f>IFERROR(IF(INDEX('CI&amp;S'!$O$22:$O$38,MATCH($F44,'CI&amp;S'!$B$22:$B$38,0))="","Cell will autofill based on response",INDEX('CI&amp;S'!$O$22:$O$38,MATCH($F44,'CI&amp;S'!$B$22:$B$38,0))),"N/A")</f>
        <v/>
      </c>
      <c r="N44" s="25">
        <f>IFERROR(IF(INDEX('CFOG'!$O$10:$O$15,MATCH($F44,'CFOG'!$B$10:$B$15,0))="","Cell will autofill based on response",INDEX('CFOG'!$O$10:$O$15,MATCH($F44,'CFOG'!$B$10:$B$15,0))),"N/A")</f>
        <v/>
      </c>
      <c r="O44" s="25">
        <f>IFERROR(IF(INDEX('CFOG'!$O$23:$O$23,MATCH($F44,'CFOG'!$B$23:$B$23,0))="","Cell will autofill based on response",INDEX('CFOG'!$O$23:$O$23,MATCH($F44,'CFOG'!$B$23:$B$23,0))),"N/A")</f>
        <v/>
      </c>
      <c r="P44" s="25">
        <f>IFERROR(IF(INDEX('ESG'!$O$10:$O$16,MATCH($F44,'ESG'!$B$10:$B$16,0))="","Cell will autofill based on response",INDEX('ESG'!$O$10:$O$16,MATCH($F44,'ESG'!$B$10:$B$16,0))),"N/A")</f>
        <v/>
      </c>
      <c r="Q44" s="25">
        <f>IFERROR(IF(INDEX('CIOG'!$O$10:$O$13,MATCH($F44,'CIOG'!$B$10:$B$13,0))="","Cell will autofill based on response",INDEX('CIOG'!$O$10:$O$13,MATCH($F44,'CIOG'!$B$10:$B$13,0))),"N/A")</f>
        <v/>
      </c>
      <c r="R44" s="25">
        <f>IFERROR(IF(INDEX('MRE'!$O$10:$O$11,MATCH($F44,'MRE'!$B$10:$B$11,0))="","Cell will autofill based on response",INDEX('MRE'!$O$10:$O$11,MATCH($F44,'MRE'!$B$10:$B$11,0))),"N/A")</f>
        <v/>
      </c>
    </row>
    <row r="45">
      <c r="A45">
        <f>F45&amp;"|"&amp;G45</f>
        <v/>
      </c>
      <c r="B45" s="29" t="inlineStr"/>
      <c r="C45" s="8" t="inlineStr"/>
      <c r="D45" s="8" t="inlineStr"/>
      <c r="E45" s="8" t="inlineStr"/>
      <c r="F45" s="8" t="inlineStr">
        <is>
          <t>TR1(b)</t>
        </is>
      </c>
      <c r="G45" s="8" t="inlineStr">
        <is>
          <t>Data source and limitations</t>
        </is>
      </c>
      <c r="H45" s="25">
        <f>IFERROR(IF(INDEX('Faculties'!$P$10:$P$29,MATCH($F45,'Faculties'!$B$10:$B$29,0))="","Cell will autofill based on response",INDEX('Faculties'!$P$10:$P$29,MATCH($F45,'Faculties'!$B$10:$B$29,0))),"N/A")</f>
        <v/>
      </c>
      <c r="I45" s="25">
        <f>IFERROR(IF(INDEX('Faculties'!$P$37:$P$56,MATCH($F45,'Faculties'!$B$37:$B$56,0))="","Cell will autofill based on response",INDEX('Faculties'!$P$37:$P$56,MATCH($F45,'Faculties'!$B$37:$B$56,0))),"N/A")</f>
        <v/>
      </c>
      <c r="J45" s="25">
        <f>IFERROR(IF(INDEX('Faculties'!$P$64:$P$83,MATCH($F45,'Faculties'!$B$64:$B$83,0))="","Cell will autofill based on response",INDEX('Faculties'!$P$64:$P$83,MATCH($F45,'Faculties'!$B$64:$B$83,0))),"N/A")</f>
        <v/>
      </c>
      <c r="K45" s="25">
        <f>IFERROR(IF(INDEX('Faculties'!$P$91:$P$110,MATCH($F45,'Faculties'!$B$91:$B$110,0))="","Cell will autofill based on response",INDEX('Faculties'!$P$91:$P$110,MATCH($F45,'Faculties'!$B$91:$B$110,0))),"N/A")</f>
        <v/>
      </c>
      <c r="L45" s="25">
        <f>IFERROR(IF(INDEX('CI&amp;S'!$P$10:$P$14,MATCH($F45,'CI&amp;S'!$B$10:$B$14,0))="","Cell will autofill based on response",INDEX('CI&amp;S'!$P$10:$P$14,MATCH($F45,'CI&amp;S'!$B$10:$B$14,0))),"N/A")</f>
        <v/>
      </c>
      <c r="M45" s="25">
        <f>IFERROR(IF(INDEX('CI&amp;S'!$P$22:$P$38,MATCH($F45,'CI&amp;S'!$B$22:$B$38,0))="","Cell will autofill based on response",INDEX('CI&amp;S'!$P$22:$P$38,MATCH($F45,'CI&amp;S'!$B$22:$B$38,0))),"N/A")</f>
        <v/>
      </c>
      <c r="N45" s="25">
        <f>IFERROR(IF(INDEX('CFOG'!$P$10:$P$15,MATCH($F45,'CFOG'!$B$10:$B$15,0))="","Cell will autofill based on response",INDEX('CFOG'!$P$10:$P$15,MATCH($F45,'CFOG'!$B$10:$B$15,0))),"N/A")</f>
        <v/>
      </c>
      <c r="O45" s="25">
        <f>IFERROR(IF(INDEX('CFOG'!$P$23:$P$23,MATCH($F45,'CFOG'!$B$23:$B$23,0))="","Cell will autofill based on response",INDEX('CFOG'!$P$23:$P$23,MATCH($F45,'CFOG'!$B$23:$B$23,0))),"N/A")</f>
        <v/>
      </c>
      <c r="P45" s="25">
        <f>IFERROR(IF(INDEX('ESG'!$P$10:$P$16,MATCH($F45,'ESG'!$B$10:$B$16,0))="","Cell will autofill based on response",INDEX('ESG'!$P$10:$P$16,MATCH($F45,'ESG'!$B$10:$B$16,0))),"N/A")</f>
        <v/>
      </c>
      <c r="Q45" s="25">
        <f>IFERROR(IF(INDEX('CIOG'!$P$10:$P$13,MATCH($F45,'CIOG'!$B$10:$B$13,0))="","Cell will autofill based on response",INDEX('CIOG'!$P$10:$P$13,MATCH($F45,'CIOG'!$B$10:$B$13,0))),"N/A")</f>
        <v/>
      </c>
      <c r="R45" s="25">
        <f>IFERROR(IF(INDEX('MRE'!$P$10:$P$11,MATCH($F45,'MRE'!$B$10:$B$11,0))="","Cell will autofill based on response",INDEX('MRE'!$P$10:$P$11,MATCH($F45,'MRE'!$B$10:$B$11,0))),"N/A")</f>
        <v/>
      </c>
    </row>
    <row r="46">
      <c r="A46">
        <f>F46&amp;"|"&amp;G46</f>
        <v/>
      </c>
      <c r="B46" s="29" t="inlineStr"/>
      <c r="C46" s="8" t="inlineStr"/>
      <c r="D46" s="8" t="inlineStr"/>
      <c r="E46" s="8" t="inlineStr"/>
      <c r="F46" s="8" t="inlineStr">
        <is>
          <t>TR1(b)</t>
        </is>
      </c>
      <c r="G46" s="8" t="inlineStr">
        <is>
          <t>Data owner confirms</t>
        </is>
      </c>
      <c r="H46" s="25">
        <f>IFERROR(IF(INDEX('Faculties'!$Q$10:$Q$29,MATCH($F46,'Faculties'!$B$10:$B$29,0))="","Cell will autofill based on response",INDEX('Faculties'!$Q$10:$Q$29,MATCH($F46,'Faculties'!$B$10:$B$29,0))),"N/A")</f>
        <v/>
      </c>
      <c r="I46" s="25">
        <f>IFERROR(IF(INDEX('Faculties'!$Q$37:$Q$56,MATCH($F46,'Faculties'!$B$37:$B$56,0))="","Cell will autofill based on response",INDEX('Faculties'!$Q$37:$Q$56,MATCH($F46,'Faculties'!$B$37:$B$56,0))),"N/A")</f>
        <v/>
      </c>
      <c r="J46" s="25">
        <f>IFERROR(IF(INDEX('Faculties'!$Q$64:$Q$83,MATCH($F46,'Faculties'!$B$64:$B$83,0))="","Cell will autofill based on response",INDEX('Faculties'!$Q$64:$Q$83,MATCH($F46,'Faculties'!$B$64:$B$83,0))),"N/A")</f>
        <v/>
      </c>
      <c r="K46" s="25">
        <f>IFERROR(IF(INDEX('Faculties'!$Q$91:$Q$110,MATCH($F46,'Faculties'!$B$91:$B$110,0))="","Cell will autofill based on response",INDEX('Faculties'!$Q$91:$Q$110,MATCH($F46,'Faculties'!$B$91:$B$110,0))),"N/A")</f>
        <v/>
      </c>
      <c r="L46" s="25">
        <f>IFERROR(IF(INDEX('CI&amp;S'!$Q$10:$Q$14,MATCH($F46,'CI&amp;S'!$B$10:$B$14,0))="","Cell will autofill based on response",INDEX('CI&amp;S'!$Q$10:$Q$14,MATCH($F46,'CI&amp;S'!$B$10:$B$14,0))),"N/A")</f>
        <v/>
      </c>
      <c r="M46" s="25">
        <f>IFERROR(IF(INDEX('CI&amp;S'!$Q$22:$Q$38,MATCH($F46,'CI&amp;S'!$B$22:$B$38,0))="","Cell will autofill based on response",INDEX('CI&amp;S'!$Q$22:$Q$38,MATCH($F46,'CI&amp;S'!$B$22:$B$38,0))),"N/A")</f>
        <v/>
      </c>
      <c r="N46" s="25">
        <f>IFERROR(IF(INDEX('CFOG'!$Q$10:$Q$15,MATCH($F46,'CFOG'!$B$10:$B$15,0))="","Cell will autofill based on response",INDEX('CFOG'!$Q$10:$Q$15,MATCH($F46,'CFOG'!$B$10:$B$15,0))),"N/A")</f>
        <v/>
      </c>
      <c r="O46" s="25">
        <f>IFERROR(IF(INDEX('CFOG'!$Q$23:$Q$23,MATCH($F46,'CFOG'!$B$23:$B$23,0))="","Cell will autofill based on response",INDEX('CFOG'!$Q$23:$Q$23,MATCH($F46,'CFOG'!$B$23:$B$23,0))),"N/A")</f>
        <v/>
      </c>
      <c r="P46" s="25">
        <f>IFERROR(IF(INDEX('ESG'!$Q$10:$Q$16,MATCH($F46,'ESG'!$B$10:$B$16,0))="","Cell will autofill based on response",INDEX('ESG'!$Q$10:$Q$16,MATCH($F46,'ESG'!$B$10:$B$16,0))),"N/A")</f>
        <v/>
      </c>
      <c r="Q46" s="25">
        <f>IFERROR(IF(INDEX('CIOG'!$Q$10:$Q$13,MATCH($F46,'CIOG'!$B$10:$B$13,0))="","Cell will autofill based on response",INDEX('CIOG'!$Q$10:$Q$13,MATCH($F46,'CIOG'!$B$10:$B$13,0))),"N/A")</f>
        <v/>
      </c>
      <c r="R46" s="25">
        <f>IFERROR(IF(INDEX('MRE'!$Q$10:$Q$11,MATCH($F46,'MRE'!$B$10:$B$11,0))="","Cell will autofill based on response",INDEX('MRE'!$Q$10:$Q$11,MATCH($F46,'MRE'!$B$10:$B$11,0))),"N/A")</f>
        <v/>
      </c>
    </row>
    <row r="47">
      <c r="A47">
        <f>F47&amp;"|"&amp;G47</f>
        <v/>
      </c>
      <c r="B47" s="7" t="inlineStr">
        <is>
          <t>TR1(c)</t>
        </is>
      </c>
      <c r="C47" s="12" t="inlineStr">
        <is>
          <t>Transformational research</t>
        </is>
      </c>
      <c r="D47" s="12" t="inlineStr">
        <is>
          <t>Expert assessment of the quality, relevance and continuity of these collaborations</t>
        </is>
      </c>
      <c r="E4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12" t="inlineStr">
        <is>
          <t>TR1(c)</t>
        </is>
      </c>
      <c r="G47" s="12" t="inlineStr">
        <is>
          <t>Confirm end-2026 target status</t>
        </is>
      </c>
      <c r="H47" s="25">
        <f>IFERROR(IF(INDEX('Faculties'!$L$10:$L$29,MATCH($F47,'Faculties'!$B$10:$B$29,0))="","Cell will autofill based on response",INDEX('Faculties'!$L$10:$L$29,MATCH($F47,'Faculties'!$B$10:$B$29,0))),"N/A")</f>
        <v/>
      </c>
      <c r="I47" s="25">
        <f>IFERROR(IF(INDEX('Faculties'!$L$37:$L$56,MATCH($F47,'Faculties'!$B$37:$B$56,0))="","Cell will autofill based on response",INDEX('Faculties'!$L$37:$L$56,MATCH($F47,'Faculties'!$B$37:$B$56,0))),"N/A")</f>
        <v/>
      </c>
      <c r="J47" s="25">
        <f>IFERROR(IF(INDEX('Faculties'!$L$64:$L$83,MATCH($F47,'Faculties'!$B$64:$B$83,0))="","Cell will autofill based on response",INDEX('Faculties'!$L$64:$L$83,MATCH($F47,'Faculties'!$B$64:$B$83,0))),"N/A")</f>
        <v/>
      </c>
      <c r="K47" s="25">
        <f>IFERROR(IF(INDEX('Faculties'!$L$91:$L$110,MATCH($F47,'Faculties'!$B$91:$B$110,0))="","Cell will autofill based on response",INDEX('Faculties'!$L$91:$L$110,MATCH($F47,'Faculties'!$B$91:$B$110,0))),"N/A")</f>
        <v/>
      </c>
      <c r="L47" s="25">
        <f>IFERROR(IF(INDEX('CI&amp;S'!$L$10:$L$14,MATCH($F47,'CI&amp;S'!$B$10:$B$14,0))="","Cell will autofill based on response",INDEX('CI&amp;S'!$L$10:$L$14,MATCH($F47,'CI&amp;S'!$B$10:$B$14,0))),"N/A")</f>
        <v/>
      </c>
      <c r="M47" s="25">
        <f>IFERROR(IF(INDEX('CI&amp;S'!$L$22:$L$38,MATCH($F47,'CI&amp;S'!$B$22:$B$38,0))="","Cell will autofill based on response",INDEX('CI&amp;S'!$L$22:$L$38,MATCH($F47,'CI&amp;S'!$B$22:$B$38,0))),"N/A")</f>
        <v/>
      </c>
      <c r="N47" s="25">
        <f>IFERROR(IF(INDEX('CFOG'!$L$10:$L$15,MATCH($F47,'CFOG'!$B$10:$B$15,0))="","Cell will autofill based on response",INDEX('CFOG'!$L$10:$L$15,MATCH($F47,'CFOG'!$B$10:$B$15,0))),"N/A")</f>
        <v/>
      </c>
      <c r="O47" s="25">
        <f>IFERROR(IF(INDEX('CFOG'!$L$23:$L$23,MATCH($F47,'CFOG'!$B$23:$B$23,0))="","Cell will autofill based on response",INDEX('CFOG'!$L$23:$L$23,MATCH($F47,'CFOG'!$B$23:$B$23,0))),"N/A")</f>
        <v/>
      </c>
      <c r="P47" s="25">
        <f>IFERROR(IF(INDEX('ESG'!$L$10:$L$16,MATCH($F47,'ESG'!$B$10:$B$16,0))="","Cell will autofill based on response",INDEX('ESG'!$L$10:$L$16,MATCH($F47,'ESG'!$B$10:$B$16,0))),"N/A")</f>
        <v/>
      </c>
      <c r="Q47" s="25">
        <f>IFERROR(IF(INDEX('CIOG'!$L$10:$L$13,MATCH($F47,'CIOG'!$B$10:$B$13,0))="","Cell will autofill based on response",INDEX('CIOG'!$L$10:$L$13,MATCH($F47,'CIOG'!$B$10:$B$13,0))),"N/A")</f>
        <v/>
      </c>
      <c r="R47" s="25">
        <f>IFERROR(IF(INDEX('MRE'!$L$10:$L$11,MATCH($F47,'MRE'!$B$10:$B$11,0))="","Cell will autofill based on response",INDEX('MRE'!$L$10:$L$11,MATCH($F47,'MRE'!$B$10:$B$11,0))),"N/A")</f>
        <v/>
      </c>
      <c r="T47" s="26">
        <f>COUNTIF($H47:$R47,"Cell will autofill based on response")</f>
        <v/>
      </c>
      <c r="U47" s="26">
        <f>COUNTIF($H47:$R47,"Not yet started")</f>
        <v/>
      </c>
      <c r="V47" s="26">
        <f>COUNTIF($H47:$R47,"Not met")</f>
        <v/>
      </c>
      <c r="W47" s="26">
        <f>COUNTIF($H47:$R47,"Partially met")</f>
        <v/>
      </c>
      <c r="X47" s="26">
        <f>COUNTIF($H47:$R47,"Met or exceeded")</f>
        <v/>
      </c>
      <c r="Y47" s="26">
        <f>3*X47+2*W47+V47</f>
        <v/>
      </c>
      <c r="Z47" s="26">
        <f>X47+W47+V47+U47</f>
        <v/>
      </c>
      <c r="AA47" s="27">
        <f>IF(Z47&gt;0,Y47/Z47,"No valid responses to date")</f>
        <v/>
      </c>
      <c r="AB47" s="26">
        <f>IF(ISNUMBER(AA47),INDEX(Lists!$G$2:$G$5,MATCH(ROUND(AA47,0),Lists!$H$2:$H$5,0)),"")</f>
        <v/>
      </c>
      <c r="AC47" s="28">
        <f>IF(Z47&gt;0,X47/Z47,"")</f>
        <v/>
      </c>
      <c r="AD47" s="28">
        <f>IF(Z47&gt;0,(X47+W47)/Z47,"")</f>
        <v/>
      </c>
      <c r="AE47" s="26">
        <f>IF(Z47=0,"",IF(AC47&gt;0.75,"Met or exceeded",IF(AD47&gt;=0.5,"Partially met","Not met")))</f>
        <v/>
      </c>
    </row>
    <row r="48">
      <c r="A48">
        <f>F48&amp;"|"&amp;G48</f>
        <v/>
      </c>
      <c r="B48" s="29" t="inlineStr"/>
      <c r="C48" s="8" t="inlineStr"/>
      <c r="D48" s="8" t="inlineStr"/>
      <c r="E48" s="8" t="inlineStr"/>
      <c r="F48" s="8" t="inlineStr">
        <is>
          <t>TR1(c)</t>
        </is>
      </c>
      <c r="G48" s="8" t="inlineStr">
        <is>
          <t>OPTION 1:  Target-level reporting</t>
        </is>
      </c>
      <c r="H48" s="25">
        <f>IFERROR(IF(INDEX('Faculties'!$M$10:$M$29,MATCH($F48,'Faculties'!$B$10:$B$29,0))="","Cell will autofill based on response",INDEX('Faculties'!$M$10:$M$29,MATCH($F48,'Faculties'!$B$10:$B$29,0))),"N/A")</f>
        <v/>
      </c>
      <c r="I48" s="25">
        <f>IFERROR(IF(INDEX('Faculties'!$M$37:$M$56,MATCH($F48,'Faculties'!$B$37:$B$56,0))="","Cell will autofill based on response",INDEX('Faculties'!$M$37:$M$56,MATCH($F48,'Faculties'!$B$37:$B$56,0))),"N/A")</f>
        <v/>
      </c>
      <c r="J48" s="25">
        <f>IFERROR(IF(INDEX('Faculties'!$M$64:$M$83,MATCH($F48,'Faculties'!$B$64:$B$83,0))="","Cell will autofill based on response",INDEX('Faculties'!$M$64:$M$83,MATCH($F48,'Faculties'!$B$64:$B$83,0))),"N/A")</f>
        <v/>
      </c>
      <c r="K48" s="25">
        <f>IFERROR(IF(INDEX('Faculties'!$M$91:$M$110,MATCH($F48,'Faculties'!$B$91:$B$110,0))="","Cell will autofill based on response",INDEX('Faculties'!$M$91:$M$110,MATCH($F48,'Faculties'!$B$91:$B$110,0))),"N/A")</f>
        <v/>
      </c>
      <c r="L48" s="25">
        <f>IFERROR(IF(INDEX('CI&amp;S'!$M$10:$M$14,MATCH($F48,'CI&amp;S'!$B$10:$B$14,0))="","Cell will autofill based on response",INDEX('CI&amp;S'!$M$10:$M$14,MATCH($F48,'CI&amp;S'!$B$10:$B$14,0))),"N/A")</f>
        <v/>
      </c>
      <c r="M48" s="25">
        <f>IFERROR(IF(INDEX('CI&amp;S'!$M$22:$M$38,MATCH($F48,'CI&amp;S'!$B$22:$B$38,0))="","Cell will autofill based on response",INDEX('CI&amp;S'!$M$22:$M$38,MATCH($F48,'CI&amp;S'!$B$22:$B$38,0))),"N/A")</f>
        <v/>
      </c>
      <c r="N48" s="25">
        <f>IFERROR(IF(INDEX('CFOG'!$M$10:$M$15,MATCH($F48,'CFOG'!$B$10:$B$15,0))="","Cell will autofill based on response",INDEX('CFOG'!$M$10:$M$15,MATCH($F48,'CFOG'!$B$10:$B$15,0))),"N/A")</f>
        <v/>
      </c>
      <c r="O48" s="25">
        <f>IFERROR(IF(INDEX('CFOG'!$M$23:$M$23,MATCH($F48,'CFOG'!$B$23:$B$23,0))="","Cell will autofill based on response",INDEX('CFOG'!$M$23:$M$23,MATCH($F48,'CFOG'!$B$23:$B$23,0))),"N/A")</f>
        <v/>
      </c>
      <c r="P48" s="25">
        <f>IFERROR(IF(INDEX('ESG'!$M$10:$M$16,MATCH($F48,'ESG'!$B$10:$B$16,0))="","Cell will autofill based on response",INDEX('ESG'!$M$10:$M$16,MATCH($F48,'ESG'!$B$10:$B$16,0))),"N/A")</f>
        <v/>
      </c>
      <c r="Q48" s="25">
        <f>IFERROR(IF(INDEX('CIOG'!$M$10:$M$13,MATCH($F48,'CIOG'!$B$10:$B$13,0))="","Cell will autofill based on response",INDEX('CIOG'!$M$10:$M$13,MATCH($F48,'CIOG'!$B$10:$B$13,0))),"N/A")</f>
        <v/>
      </c>
      <c r="R48" s="25">
        <f>IFERROR(IF(INDEX('MRE'!$M$10:$M$11,MATCH($F48,'MRE'!$B$10:$B$11,0))="","Cell will autofill based on response",INDEX('MRE'!$M$10:$M$11,MATCH($F48,'MRE'!$B$10:$B$11,0))),"N/A")</f>
        <v/>
      </c>
    </row>
    <row r="49">
      <c r="A49">
        <f>F49&amp;"|"&amp;G49</f>
        <v/>
      </c>
      <c r="B49" s="29" t="inlineStr"/>
      <c r="C49" s="8" t="inlineStr"/>
      <c r="D49" s="8" t="inlineStr"/>
      <c r="E49" s="8" t="inlineStr"/>
      <c r="F49" s="8" t="inlineStr">
        <is>
          <t>TR1(c)</t>
        </is>
      </c>
      <c r="G49" s="8" t="inlineStr">
        <is>
          <t>OPTION 2:  Indicator level reporting</t>
        </is>
      </c>
      <c r="H49" s="25">
        <f>IFERROR(IF(INDEX('Faculties'!$N$10:$N$29,MATCH($F49,'Faculties'!$B$10:$B$29,0))="","Cell will autofill based on response",INDEX('Faculties'!$N$10:$N$29,MATCH($F49,'Faculties'!$B$10:$B$29,0))),"N/A")</f>
        <v/>
      </c>
      <c r="I49" s="25">
        <f>IFERROR(IF(INDEX('Faculties'!$N$37:$N$56,MATCH($F49,'Faculties'!$B$37:$B$56,0))="","Cell will autofill based on response",INDEX('Faculties'!$N$37:$N$56,MATCH($F49,'Faculties'!$B$37:$B$56,0))),"N/A")</f>
        <v/>
      </c>
      <c r="J49" s="25">
        <f>IFERROR(IF(INDEX('Faculties'!$N$64:$N$83,MATCH($F49,'Faculties'!$B$64:$B$83,0))="","Cell will autofill based on response",INDEX('Faculties'!$N$64:$N$83,MATCH($F49,'Faculties'!$B$64:$B$83,0))),"N/A")</f>
        <v/>
      </c>
      <c r="K49" s="25">
        <f>IFERROR(IF(INDEX('Faculties'!$N$91:$N$110,MATCH($F49,'Faculties'!$B$91:$B$110,0))="","Cell will autofill based on response",INDEX('Faculties'!$N$91:$N$110,MATCH($F49,'Faculties'!$B$91:$B$110,0))),"N/A")</f>
        <v/>
      </c>
      <c r="L49" s="25">
        <f>IFERROR(IF(INDEX('CI&amp;S'!$N$10:$N$14,MATCH($F49,'CI&amp;S'!$B$10:$B$14,0))="","Cell will autofill based on response",INDEX('CI&amp;S'!$N$10:$N$14,MATCH($F49,'CI&amp;S'!$B$10:$B$14,0))),"N/A")</f>
        <v/>
      </c>
      <c r="M49" s="25">
        <f>IFERROR(IF(INDEX('CI&amp;S'!$N$22:$N$38,MATCH($F49,'CI&amp;S'!$B$22:$B$38,0))="","Cell will autofill based on response",INDEX('CI&amp;S'!$N$22:$N$38,MATCH($F49,'CI&amp;S'!$B$22:$B$38,0))),"N/A")</f>
        <v/>
      </c>
      <c r="N49" s="25">
        <f>IFERROR(IF(INDEX('CFOG'!$N$10:$N$15,MATCH($F49,'CFOG'!$B$10:$B$15,0))="","Cell will autofill based on response",INDEX('CFOG'!$N$10:$N$15,MATCH($F49,'CFOG'!$B$10:$B$15,0))),"N/A")</f>
        <v/>
      </c>
      <c r="O49" s="25">
        <f>IFERROR(IF(INDEX('CFOG'!$N$23:$N$23,MATCH($F49,'CFOG'!$B$23:$B$23,0))="","Cell will autofill based on response",INDEX('CFOG'!$N$23:$N$23,MATCH($F49,'CFOG'!$B$23:$B$23,0))),"N/A")</f>
        <v/>
      </c>
      <c r="P49" s="25">
        <f>IFERROR(IF(INDEX('ESG'!$N$10:$N$16,MATCH($F49,'ESG'!$B$10:$B$16,0))="","Cell will autofill based on response",INDEX('ESG'!$N$10:$N$16,MATCH($F49,'ESG'!$B$10:$B$16,0))),"N/A")</f>
        <v/>
      </c>
      <c r="Q49" s="25">
        <f>IFERROR(IF(INDEX('CIOG'!$N$10:$N$13,MATCH($F49,'CIOG'!$B$10:$B$13,0))="","Cell will autofill based on response",INDEX('CIOG'!$N$10:$N$13,MATCH($F49,'CIOG'!$B$10:$B$13,0))),"N/A")</f>
        <v/>
      </c>
      <c r="R49" s="25">
        <f>IFERROR(IF(INDEX('MRE'!$N$10:$N$11,MATCH($F49,'MRE'!$B$10:$B$11,0))="","Cell will autofill based on response",INDEX('MRE'!$N$10:$N$11,MATCH($F49,'MRE'!$B$10:$B$11,0))),"N/A")</f>
        <v/>
      </c>
    </row>
    <row r="50">
      <c r="A50">
        <f>F50&amp;"|"&amp;G50</f>
        <v/>
      </c>
      <c r="B50" s="29" t="inlineStr"/>
      <c r="C50" s="8" t="inlineStr"/>
      <c r="D50" s="8" t="inlineStr"/>
      <c r="E50" s="8" t="inlineStr"/>
      <c r="F50" s="8" t="inlineStr">
        <is>
          <t>TR1(c)</t>
        </is>
      </c>
      <c r="G50" s="8" t="inlineStr">
        <is>
          <t>Supporting information/comments</t>
        </is>
      </c>
      <c r="H50" s="25">
        <f>IFERROR(IF(INDEX('Faculties'!$O$10:$O$29,MATCH($F50,'Faculties'!$B$10:$B$29,0))="","Cell will autofill based on response",INDEX('Faculties'!$O$10:$O$29,MATCH($F50,'Faculties'!$B$10:$B$29,0))),"N/A")</f>
        <v/>
      </c>
      <c r="I50" s="25">
        <f>IFERROR(IF(INDEX('Faculties'!$O$37:$O$56,MATCH($F50,'Faculties'!$B$37:$B$56,0))="","Cell will autofill based on response",INDEX('Faculties'!$O$37:$O$56,MATCH($F50,'Faculties'!$B$37:$B$56,0))),"N/A")</f>
        <v/>
      </c>
      <c r="J50" s="25">
        <f>IFERROR(IF(INDEX('Faculties'!$O$64:$O$83,MATCH($F50,'Faculties'!$B$64:$B$83,0))="","Cell will autofill based on response",INDEX('Faculties'!$O$64:$O$83,MATCH($F50,'Faculties'!$B$64:$B$83,0))),"N/A")</f>
        <v/>
      </c>
      <c r="K50" s="25">
        <f>IFERROR(IF(INDEX('Faculties'!$O$91:$O$110,MATCH($F50,'Faculties'!$B$91:$B$110,0))="","Cell will autofill based on response",INDEX('Faculties'!$O$91:$O$110,MATCH($F50,'Faculties'!$B$91:$B$110,0))),"N/A")</f>
        <v/>
      </c>
      <c r="L50" s="25">
        <f>IFERROR(IF(INDEX('CI&amp;S'!$O$10:$O$14,MATCH($F50,'CI&amp;S'!$B$10:$B$14,0))="","Cell will autofill based on response",INDEX('CI&amp;S'!$O$10:$O$14,MATCH($F50,'CI&amp;S'!$B$10:$B$14,0))),"N/A")</f>
        <v/>
      </c>
      <c r="M50" s="25">
        <f>IFERROR(IF(INDEX('CI&amp;S'!$O$22:$O$38,MATCH($F50,'CI&amp;S'!$B$22:$B$38,0))="","Cell will autofill based on response",INDEX('CI&amp;S'!$O$22:$O$38,MATCH($F50,'CI&amp;S'!$B$22:$B$38,0))),"N/A")</f>
        <v/>
      </c>
      <c r="N50" s="25">
        <f>IFERROR(IF(INDEX('CFOG'!$O$10:$O$15,MATCH($F50,'CFOG'!$B$10:$B$15,0))="","Cell will autofill based on response",INDEX('CFOG'!$O$10:$O$15,MATCH($F50,'CFOG'!$B$10:$B$15,0))),"N/A")</f>
        <v/>
      </c>
      <c r="O50" s="25">
        <f>IFERROR(IF(INDEX('CFOG'!$O$23:$O$23,MATCH($F50,'CFOG'!$B$23:$B$23,0))="","Cell will autofill based on response",INDEX('CFOG'!$O$23:$O$23,MATCH($F50,'CFOG'!$B$23:$B$23,0))),"N/A")</f>
        <v/>
      </c>
      <c r="P50" s="25">
        <f>IFERROR(IF(INDEX('ESG'!$O$10:$O$16,MATCH($F50,'ESG'!$B$10:$B$16,0))="","Cell will autofill based on response",INDEX('ESG'!$O$10:$O$16,MATCH($F50,'ESG'!$B$10:$B$16,0))),"N/A")</f>
        <v/>
      </c>
      <c r="Q50" s="25">
        <f>IFERROR(IF(INDEX('CIOG'!$O$10:$O$13,MATCH($F50,'CIOG'!$B$10:$B$13,0))="","Cell will autofill based on response",INDEX('CIOG'!$O$10:$O$13,MATCH($F50,'CIOG'!$B$10:$B$13,0))),"N/A")</f>
        <v/>
      </c>
      <c r="R50" s="25">
        <f>IFERROR(IF(INDEX('MRE'!$O$10:$O$11,MATCH($F50,'MRE'!$B$10:$B$11,0))="","Cell will autofill based on response",INDEX('MRE'!$O$10:$O$11,MATCH($F50,'MRE'!$B$10:$B$11,0))),"N/A")</f>
        <v/>
      </c>
    </row>
    <row r="51">
      <c r="A51">
        <f>F51&amp;"|"&amp;G51</f>
        <v/>
      </c>
      <c r="B51" s="29" t="inlineStr"/>
      <c r="C51" s="8" t="inlineStr"/>
      <c r="D51" s="8" t="inlineStr"/>
      <c r="E51" s="8" t="inlineStr"/>
      <c r="F51" s="8" t="inlineStr">
        <is>
          <t>TR1(c)</t>
        </is>
      </c>
      <c r="G51" s="8" t="inlineStr">
        <is>
          <t>Data source and limitations</t>
        </is>
      </c>
      <c r="H51" s="25">
        <f>IFERROR(IF(INDEX('Faculties'!$P$10:$P$29,MATCH($F51,'Faculties'!$B$10:$B$29,0))="","Cell will autofill based on response",INDEX('Faculties'!$P$10:$P$29,MATCH($F51,'Faculties'!$B$10:$B$29,0))),"N/A")</f>
        <v/>
      </c>
      <c r="I51" s="25">
        <f>IFERROR(IF(INDEX('Faculties'!$P$37:$P$56,MATCH($F51,'Faculties'!$B$37:$B$56,0))="","Cell will autofill based on response",INDEX('Faculties'!$P$37:$P$56,MATCH($F51,'Faculties'!$B$37:$B$56,0))),"N/A")</f>
        <v/>
      </c>
      <c r="J51" s="25">
        <f>IFERROR(IF(INDEX('Faculties'!$P$64:$P$83,MATCH($F51,'Faculties'!$B$64:$B$83,0))="","Cell will autofill based on response",INDEX('Faculties'!$P$64:$P$83,MATCH($F51,'Faculties'!$B$64:$B$83,0))),"N/A")</f>
        <v/>
      </c>
      <c r="K51" s="25">
        <f>IFERROR(IF(INDEX('Faculties'!$P$91:$P$110,MATCH($F51,'Faculties'!$B$91:$B$110,0))="","Cell will autofill based on response",INDEX('Faculties'!$P$91:$P$110,MATCH($F51,'Faculties'!$B$91:$B$110,0))),"N/A")</f>
        <v/>
      </c>
      <c r="L51" s="25">
        <f>IFERROR(IF(INDEX('CI&amp;S'!$P$10:$P$14,MATCH($F51,'CI&amp;S'!$B$10:$B$14,0))="","Cell will autofill based on response",INDEX('CI&amp;S'!$P$10:$P$14,MATCH($F51,'CI&amp;S'!$B$10:$B$14,0))),"N/A")</f>
        <v/>
      </c>
      <c r="M51" s="25">
        <f>IFERROR(IF(INDEX('CI&amp;S'!$P$22:$P$38,MATCH($F51,'CI&amp;S'!$B$22:$B$38,0))="","Cell will autofill based on response",INDEX('CI&amp;S'!$P$22:$P$38,MATCH($F51,'CI&amp;S'!$B$22:$B$38,0))),"N/A")</f>
        <v/>
      </c>
      <c r="N51" s="25">
        <f>IFERROR(IF(INDEX('CFOG'!$P$10:$P$15,MATCH($F51,'CFOG'!$B$10:$B$15,0))="","Cell will autofill based on response",INDEX('CFOG'!$P$10:$P$15,MATCH($F51,'CFOG'!$B$10:$B$15,0))),"N/A")</f>
        <v/>
      </c>
      <c r="O51" s="25">
        <f>IFERROR(IF(INDEX('CFOG'!$P$23:$P$23,MATCH($F51,'CFOG'!$B$23:$B$23,0))="","Cell will autofill based on response",INDEX('CFOG'!$P$23:$P$23,MATCH($F51,'CFOG'!$B$23:$B$23,0))),"N/A")</f>
        <v/>
      </c>
      <c r="P51" s="25">
        <f>IFERROR(IF(INDEX('ESG'!$P$10:$P$16,MATCH($F51,'ESG'!$B$10:$B$16,0))="","Cell will autofill based on response",INDEX('ESG'!$P$10:$P$16,MATCH($F51,'ESG'!$B$10:$B$16,0))),"N/A")</f>
        <v/>
      </c>
      <c r="Q51" s="25">
        <f>IFERROR(IF(INDEX('CIOG'!$P$10:$P$13,MATCH($F51,'CIOG'!$B$10:$B$13,0))="","Cell will autofill based on response",INDEX('CIOG'!$P$10:$P$13,MATCH($F51,'CIOG'!$B$10:$B$13,0))),"N/A")</f>
        <v/>
      </c>
      <c r="R51" s="25">
        <f>IFERROR(IF(INDEX('MRE'!$P$10:$P$11,MATCH($F51,'MRE'!$B$10:$B$11,0))="","Cell will autofill based on response",INDEX('MRE'!$P$10:$P$11,MATCH($F51,'MRE'!$B$10:$B$11,0))),"N/A")</f>
        <v/>
      </c>
    </row>
    <row r="52">
      <c r="A52">
        <f>F52&amp;"|"&amp;G52</f>
        <v/>
      </c>
      <c r="B52" s="29" t="inlineStr"/>
      <c r="C52" s="8" t="inlineStr"/>
      <c r="D52" s="8" t="inlineStr"/>
      <c r="E52" s="8" t="inlineStr"/>
      <c r="F52" s="8" t="inlineStr">
        <is>
          <t>TR1(c)</t>
        </is>
      </c>
      <c r="G52" s="8" t="inlineStr">
        <is>
          <t>Data owner confirms</t>
        </is>
      </c>
      <c r="H52" s="25">
        <f>IFERROR(IF(INDEX('Faculties'!$Q$10:$Q$29,MATCH($F52,'Faculties'!$B$10:$B$29,0))="","Cell will autofill based on response",INDEX('Faculties'!$Q$10:$Q$29,MATCH($F52,'Faculties'!$B$10:$B$29,0))),"N/A")</f>
        <v/>
      </c>
      <c r="I52" s="25">
        <f>IFERROR(IF(INDEX('Faculties'!$Q$37:$Q$56,MATCH($F52,'Faculties'!$B$37:$B$56,0))="","Cell will autofill based on response",INDEX('Faculties'!$Q$37:$Q$56,MATCH($F52,'Faculties'!$B$37:$B$56,0))),"N/A")</f>
        <v/>
      </c>
      <c r="J52" s="25">
        <f>IFERROR(IF(INDEX('Faculties'!$Q$64:$Q$83,MATCH($F52,'Faculties'!$B$64:$B$83,0))="","Cell will autofill based on response",INDEX('Faculties'!$Q$64:$Q$83,MATCH($F52,'Faculties'!$B$64:$B$83,0))),"N/A")</f>
        <v/>
      </c>
      <c r="K52" s="25">
        <f>IFERROR(IF(INDEX('Faculties'!$Q$91:$Q$110,MATCH($F52,'Faculties'!$B$91:$B$110,0))="","Cell will autofill based on response",INDEX('Faculties'!$Q$91:$Q$110,MATCH($F52,'Faculties'!$B$91:$B$110,0))),"N/A")</f>
        <v/>
      </c>
      <c r="L52" s="25">
        <f>IFERROR(IF(INDEX('CI&amp;S'!$Q$10:$Q$14,MATCH($F52,'CI&amp;S'!$B$10:$B$14,0))="","Cell will autofill based on response",INDEX('CI&amp;S'!$Q$10:$Q$14,MATCH($F52,'CI&amp;S'!$B$10:$B$14,0))),"N/A")</f>
        <v/>
      </c>
      <c r="M52" s="25">
        <f>IFERROR(IF(INDEX('CI&amp;S'!$Q$22:$Q$38,MATCH($F52,'CI&amp;S'!$B$22:$B$38,0))="","Cell will autofill based on response",INDEX('CI&amp;S'!$Q$22:$Q$38,MATCH($F52,'CI&amp;S'!$B$22:$B$38,0))),"N/A")</f>
        <v/>
      </c>
      <c r="N52" s="25">
        <f>IFERROR(IF(INDEX('CFOG'!$Q$10:$Q$15,MATCH($F52,'CFOG'!$B$10:$B$15,0))="","Cell will autofill based on response",INDEX('CFOG'!$Q$10:$Q$15,MATCH($F52,'CFOG'!$B$10:$B$15,0))),"N/A")</f>
        <v/>
      </c>
      <c r="O52" s="25">
        <f>IFERROR(IF(INDEX('CFOG'!$Q$23:$Q$23,MATCH($F52,'CFOG'!$B$23:$B$23,0))="","Cell will autofill based on response",INDEX('CFOG'!$Q$23:$Q$23,MATCH($F52,'CFOG'!$B$23:$B$23,0))),"N/A")</f>
        <v/>
      </c>
      <c r="P52" s="25">
        <f>IFERROR(IF(INDEX('ESG'!$Q$10:$Q$16,MATCH($F52,'ESG'!$B$10:$B$16,0))="","Cell will autofill based on response",INDEX('ESG'!$Q$10:$Q$16,MATCH($F52,'ESG'!$B$10:$B$16,0))),"N/A")</f>
        <v/>
      </c>
      <c r="Q52" s="25">
        <f>IFERROR(IF(INDEX('CIOG'!$Q$10:$Q$13,MATCH($F52,'CIOG'!$B$10:$B$13,0))="","Cell will autofill based on response",INDEX('CIOG'!$Q$10:$Q$13,MATCH($F52,'CIOG'!$B$10:$B$13,0))),"N/A")</f>
        <v/>
      </c>
      <c r="R52" s="25">
        <f>IFERROR(IF(INDEX('MRE'!$Q$10:$Q$11,MATCH($F52,'MRE'!$B$10:$B$11,0))="","Cell will autofill based on response",INDEX('MRE'!$Q$10:$Q$11,MATCH($F52,'MRE'!$B$10:$B$11,0))),"N/A")</f>
        <v/>
      </c>
    </row>
    <row r="53">
      <c r="A53">
        <f>F53&amp;"|"&amp;G53</f>
        <v/>
      </c>
      <c r="B53" s="7" t="inlineStr">
        <is>
          <t>TR1(d)</t>
        </is>
      </c>
      <c r="C53" s="12" t="inlineStr">
        <is>
          <t>Transformational research</t>
        </is>
      </c>
      <c r="D53" s="12" t="inlineStr">
        <is>
          <t>Periodic feedback from participants on the effectiveness and mutual benefit of collaboration mechanisms.</t>
        </is>
      </c>
      <c r="E53"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12" t="inlineStr">
        <is>
          <t>TR1(d)</t>
        </is>
      </c>
      <c r="G53" s="12" t="inlineStr">
        <is>
          <t>Confirm end-2026 target status</t>
        </is>
      </c>
      <c r="H53" s="25">
        <f>IFERROR(IF(INDEX('Faculties'!$L$10:$L$29,MATCH($F53,'Faculties'!$B$10:$B$29,0))="","Cell will autofill based on response",INDEX('Faculties'!$L$10:$L$29,MATCH($F53,'Faculties'!$B$10:$B$29,0))),"N/A")</f>
        <v/>
      </c>
      <c r="I53" s="25">
        <f>IFERROR(IF(INDEX('Faculties'!$L$37:$L$56,MATCH($F53,'Faculties'!$B$37:$B$56,0))="","Cell will autofill based on response",INDEX('Faculties'!$L$37:$L$56,MATCH($F53,'Faculties'!$B$37:$B$56,0))),"N/A")</f>
        <v/>
      </c>
      <c r="J53" s="25">
        <f>IFERROR(IF(INDEX('Faculties'!$L$64:$L$83,MATCH($F53,'Faculties'!$B$64:$B$83,0))="","Cell will autofill based on response",INDEX('Faculties'!$L$64:$L$83,MATCH($F53,'Faculties'!$B$64:$B$83,0))),"N/A")</f>
        <v/>
      </c>
      <c r="K53" s="25">
        <f>IFERROR(IF(INDEX('Faculties'!$L$91:$L$110,MATCH($F53,'Faculties'!$B$91:$B$110,0))="","Cell will autofill based on response",INDEX('Faculties'!$L$91:$L$110,MATCH($F53,'Faculties'!$B$91:$B$110,0))),"N/A")</f>
        <v/>
      </c>
      <c r="L53" s="25">
        <f>IFERROR(IF(INDEX('CI&amp;S'!$L$10:$L$14,MATCH($F53,'CI&amp;S'!$B$10:$B$14,0))="","Cell will autofill based on response",INDEX('CI&amp;S'!$L$10:$L$14,MATCH($F53,'CI&amp;S'!$B$10:$B$14,0))),"N/A")</f>
        <v/>
      </c>
      <c r="M53" s="25">
        <f>IFERROR(IF(INDEX('CI&amp;S'!$L$22:$L$38,MATCH($F53,'CI&amp;S'!$B$22:$B$38,0))="","Cell will autofill based on response",INDEX('CI&amp;S'!$L$22:$L$38,MATCH($F53,'CI&amp;S'!$B$22:$B$38,0))),"N/A")</f>
        <v/>
      </c>
      <c r="N53" s="25">
        <f>IFERROR(IF(INDEX('CFOG'!$L$10:$L$15,MATCH($F53,'CFOG'!$B$10:$B$15,0))="","Cell will autofill based on response",INDEX('CFOG'!$L$10:$L$15,MATCH($F53,'CFOG'!$B$10:$B$15,0))),"N/A")</f>
        <v/>
      </c>
      <c r="O53" s="25">
        <f>IFERROR(IF(INDEX('CFOG'!$L$23:$L$23,MATCH($F53,'CFOG'!$B$23:$B$23,0))="","Cell will autofill based on response",INDEX('CFOG'!$L$23:$L$23,MATCH($F53,'CFOG'!$B$23:$B$23,0))),"N/A")</f>
        <v/>
      </c>
      <c r="P53" s="25">
        <f>IFERROR(IF(INDEX('ESG'!$L$10:$L$16,MATCH($F53,'ESG'!$B$10:$B$16,0))="","Cell will autofill based on response",INDEX('ESG'!$L$10:$L$16,MATCH($F53,'ESG'!$B$10:$B$16,0))),"N/A")</f>
        <v/>
      </c>
      <c r="Q53" s="25">
        <f>IFERROR(IF(INDEX('CIOG'!$L$10:$L$13,MATCH($F53,'CIOG'!$B$10:$B$13,0))="","Cell will autofill based on response",INDEX('CIOG'!$L$10:$L$13,MATCH($F53,'CIOG'!$B$10:$B$13,0))),"N/A")</f>
        <v/>
      </c>
      <c r="R53" s="25">
        <f>IFERROR(IF(INDEX('MRE'!$L$10:$L$11,MATCH($F53,'MRE'!$B$10:$B$11,0))="","Cell will autofill based on response",INDEX('MRE'!$L$10:$L$11,MATCH($F53,'MRE'!$B$10:$B$11,0))),"N/A")</f>
        <v/>
      </c>
      <c r="T53" s="26">
        <f>COUNTIF($H53:$R53,"Cell will autofill based on response")</f>
        <v/>
      </c>
      <c r="U53" s="26">
        <f>COUNTIF($H53:$R53,"Not yet started")</f>
        <v/>
      </c>
      <c r="V53" s="26">
        <f>COUNTIF($H53:$R53,"Not met")</f>
        <v/>
      </c>
      <c r="W53" s="26">
        <f>COUNTIF($H53:$R53,"Partially met")</f>
        <v/>
      </c>
      <c r="X53" s="26">
        <f>COUNTIF($H53:$R53,"Met or exceeded")</f>
        <v/>
      </c>
      <c r="Y53" s="26">
        <f>3*X53+2*W53+V53</f>
        <v/>
      </c>
      <c r="Z53" s="26">
        <f>X53+W53+V53+U53</f>
        <v/>
      </c>
      <c r="AA53" s="27">
        <f>IF(Z53&gt;0,Y53/Z53,"No valid responses to date")</f>
        <v/>
      </c>
      <c r="AB53" s="26">
        <f>IF(ISNUMBER(AA53),INDEX(Lists!$G$2:$G$5,MATCH(ROUND(AA53,0),Lists!$H$2:$H$5,0)),"")</f>
        <v/>
      </c>
      <c r="AC53" s="28">
        <f>IF(Z53&gt;0,X53/Z53,"")</f>
        <v/>
      </c>
      <c r="AD53" s="28">
        <f>IF(Z53&gt;0,(X53+W53)/Z53,"")</f>
        <v/>
      </c>
      <c r="AE53" s="26">
        <f>IF(Z53=0,"",IF(AC53&gt;0.75,"Met or exceeded",IF(AD53&gt;=0.5,"Partially met","Not met")))</f>
        <v/>
      </c>
    </row>
    <row r="54">
      <c r="A54">
        <f>F54&amp;"|"&amp;G54</f>
        <v/>
      </c>
      <c r="B54" s="29" t="inlineStr"/>
      <c r="C54" s="8" t="inlineStr"/>
      <c r="D54" s="8" t="inlineStr"/>
      <c r="E54" s="8" t="inlineStr"/>
      <c r="F54" s="8" t="inlineStr">
        <is>
          <t>TR1(d)</t>
        </is>
      </c>
      <c r="G54" s="8" t="inlineStr">
        <is>
          <t>OPTION 1:  Target-level reporting</t>
        </is>
      </c>
      <c r="H54" s="25">
        <f>IFERROR(IF(INDEX('Faculties'!$M$10:$M$29,MATCH($F54,'Faculties'!$B$10:$B$29,0))="","Cell will autofill based on response",INDEX('Faculties'!$M$10:$M$29,MATCH($F54,'Faculties'!$B$10:$B$29,0))),"N/A")</f>
        <v/>
      </c>
      <c r="I54" s="25">
        <f>IFERROR(IF(INDEX('Faculties'!$M$37:$M$56,MATCH($F54,'Faculties'!$B$37:$B$56,0))="","Cell will autofill based on response",INDEX('Faculties'!$M$37:$M$56,MATCH($F54,'Faculties'!$B$37:$B$56,0))),"N/A")</f>
        <v/>
      </c>
      <c r="J54" s="25">
        <f>IFERROR(IF(INDEX('Faculties'!$M$64:$M$83,MATCH($F54,'Faculties'!$B$64:$B$83,0))="","Cell will autofill based on response",INDEX('Faculties'!$M$64:$M$83,MATCH($F54,'Faculties'!$B$64:$B$83,0))),"N/A")</f>
        <v/>
      </c>
      <c r="K54" s="25">
        <f>IFERROR(IF(INDEX('Faculties'!$M$91:$M$110,MATCH($F54,'Faculties'!$B$91:$B$110,0))="","Cell will autofill based on response",INDEX('Faculties'!$M$91:$M$110,MATCH($F54,'Faculties'!$B$91:$B$110,0))),"N/A")</f>
        <v/>
      </c>
      <c r="L54" s="25">
        <f>IFERROR(IF(INDEX('CI&amp;S'!$M$10:$M$14,MATCH($F54,'CI&amp;S'!$B$10:$B$14,0))="","Cell will autofill based on response",INDEX('CI&amp;S'!$M$10:$M$14,MATCH($F54,'CI&amp;S'!$B$10:$B$14,0))),"N/A")</f>
        <v/>
      </c>
      <c r="M54" s="25">
        <f>IFERROR(IF(INDEX('CI&amp;S'!$M$22:$M$38,MATCH($F54,'CI&amp;S'!$B$22:$B$38,0))="","Cell will autofill based on response",INDEX('CI&amp;S'!$M$22:$M$38,MATCH($F54,'CI&amp;S'!$B$22:$B$38,0))),"N/A")</f>
        <v/>
      </c>
      <c r="N54" s="25">
        <f>IFERROR(IF(INDEX('CFOG'!$M$10:$M$15,MATCH($F54,'CFOG'!$B$10:$B$15,0))="","Cell will autofill based on response",INDEX('CFOG'!$M$10:$M$15,MATCH($F54,'CFOG'!$B$10:$B$15,0))),"N/A")</f>
        <v/>
      </c>
      <c r="O54" s="25">
        <f>IFERROR(IF(INDEX('CFOG'!$M$23:$M$23,MATCH($F54,'CFOG'!$B$23:$B$23,0))="","Cell will autofill based on response",INDEX('CFOG'!$M$23:$M$23,MATCH($F54,'CFOG'!$B$23:$B$23,0))),"N/A")</f>
        <v/>
      </c>
      <c r="P54" s="25">
        <f>IFERROR(IF(INDEX('ESG'!$M$10:$M$16,MATCH($F54,'ESG'!$B$10:$B$16,0))="","Cell will autofill based on response",INDEX('ESG'!$M$10:$M$16,MATCH($F54,'ESG'!$B$10:$B$16,0))),"N/A")</f>
        <v/>
      </c>
      <c r="Q54" s="25">
        <f>IFERROR(IF(INDEX('CIOG'!$M$10:$M$13,MATCH($F54,'CIOG'!$B$10:$B$13,0))="","Cell will autofill based on response",INDEX('CIOG'!$M$10:$M$13,MATCH($F54,'CIOG'!$B$10:$B$13,0))),"N/A")</f>
        <v/>
      </c>
      <c r="R54" s="25">
        <f>IFERROR(IF(INDEX('MRE'!$M$10:$M$11,MATCH($F54,'MRE'!$B$10:$B$11,0))="","Cell will autofill based on response",INDEX('MRE'!$M$10:$M$11,MATCH($F54,'MRE'!$B$10:$B$11,0))),"N/A")</f>
        <v/>
      </c>
    </row>
    <row r="55">
      <c r="A55">
        <f>F55&amp;"|"&amp;G55</f>
        <v/>
      </c>
      <c r="B55" s="29" t="inlineStr"/>
      <c r="C55" s="8" t="inlineStr"/>
      <c r="D55" s="8" t="inlineStr"/>
      <c r="E55" s="8" t="inlineStr"/>
      <c r="F55" s="8" t="inlineStr">
        <is>
          <t>TR1(d)</t>
        </is>
      </c>
      <c r="G55" s="8" t="inlineStr">
        <is>
          <t>OPTION 2:  Indicator level reporting</t>
        </is>
      </c>
      <c r="H55" s="25">
        <f>IFERROR(IF(INDEX('Faculties'!$N$10:$N$29,MATCH($F55,'Faculties'!$B$10:$B$29,0))="","Cell will autofill based on response",INDEX('Faculties'!$N$10:$N$29,MATCH($F55,'Faculties'!$B$10:$B$29,0))),"N/A")</f>
        <v/>
      </c>
      <c r="I55" s="25">
        <f>IFERROR(IF(INDEX('Faculties'!$N$37:$N$56,MATCH($F55,'Faculties'!$B$37:$B$56,0))="","Cell will autofill based on response",INDEX('Faculties'!$N$37:$N$56,MATCH($F55,'Faculties'!$B$37:$B$56,0))),"N/A")</f>
        <v/>
      </c>
      <c r="J55" s="25">
        <f>IFERROR(IF(INDEX('Faculties'!$N$64:$N$83,MATCH($F55,'Faculties'!$B$64:$B$83,0))="","Cell will autofill based on response",INDEX('Faculties'!$N$64:$N$83,MATCH($F55,'Faculties'!$B$64:$B$83,0))),"N/A")</f>
        <v/>
      </c>
      <c r="K55" s="25">
        <f>IFERROR(IF(INDEX('Faculties'!$N$91:$N$110,MATCH($F55,'Faculties'!$B$91:$B$110,0))="","Cell will autofill based on response",INDEX('Faculties'!$N$91:$N$110,MATCH($F55,'Faculties'!$B$91:$B$110,0))),"N/A")</f>
        <v/>
      </c>
      <c r="L55" s="25">
        <f>IFERROR(IF(INDEX('CI&amp;S'!$N$10:$N$14,MATCH($F55,'CI&amp;S'!$B$10:$B$14,0))="","Cell will autofill based on response",INDEX('CI&amp;S'!$N$10:$N$14,MATCH($F55,'CI&amp;S'!$B$10:$B$14,0))),"N/A")</f>
        <v/>
      </c>
      <c r="M55" s="25">
        <f>IFERROR(IF(INDEX('CI&amp;S'!$N$22:$N$38,MATCH($F55,'CI&amp;S'!$B$22:$B$38,0))="","Cell will autofill based on response",INDEX('CI&amp;S'!$N$22:$N$38,MATCH($F55,'CI&amp;S'!$B$22:$B$38,0))),"N/A")</f>
        <v/>
      </c>
      <c r="N55" s="25">
        <f>IFERROR(IF(INDEX('CFOG'!$N$10:$N$15,MATCH($F55,'CFOG'!$B$10:$B$15,0))="","Cell will autofill based on response",INDEX('CFOG'!$N$10:$N$15,MATCH($F55,'CFOG'!$B$10:$B$15,0))),"N/A")</f>
        <v/>
      </c>
      <c r="O55" s="25">
        <f>IFERROR(IF(INDEX('CFOG'!$N$23:$N$23,MATCH($F55,'CFOG'!$B$23:$B$23,0))="","Cell will autofill based on response",INDEX('CFOG'!$N$23:$N$23,MATCH($F55,'CFOG'!$B$23:$B$23,0))),"N/A")</f>
        <v/>
      </c>
      <c r="P55" s="25">
        <f>IFERROR(IF(INDEX('ESG'!$N$10:$N$16,MATCH($F55,'ESG'!$B$10:$B$16,0))="","Cell will autofill based on response",INDEX('ESG'!$N$10:$N$16,MATCH($F55,'ESG'!$B$10:$B$16,0))),"N/A")</f>
        <v/>
      </c>
      <c r="Q55" s="25">
        <f>IFERROR(IF(INDEX('CIOG'!$N$10:$N$13,MATCH($F55,'CIOG'!$B$10:$B$13,0))="","Cell will autofill based on response",INDEX('CIOG'!$N$10:$N$13,MATCH($F55,'CIOG'!$B$10:$B$13,0))),"N/A")</f>
        <v/>
      </c>
      <c r="R55" s="25">
        <f>IFERROR(IF(INDEX('MRE'!$N$10:$N$11,MATCH($F55,'MRE'!$B$10:$B$11,0))="","Cell will autofill based on response",INDEX('MRE'!$N$10:$N$11,MATCH($F55,'MRE'!$B$10:$B$11,0))),"N/A")</f>
        <v/>
      </c>
    </row>
    <row r="56">
      <c r="A56">
        <f>F56&amp;"|"&amp;G56</f>
        <v/>
      </c>
      <c r="B56" s="29" t="inlineStr"/>
      <c r="C56" s="8" t="inlineStr"/>
      <c r="D56" s="8" t="inlineStr"/>
      <c r="E56" s="8" t="inlineStr"/>
      <c r="F56" s="8" t="inlineStr">
        <is>
          <t>TR1(d)</t>
        </is>
      </c>
      <c r="G56" s="8" t="inlineStr">
        <is>
          <t>Supporting information/comments</t>
        </is>
      </c>
      <c r="H56" s="25">
        <f>IFERROR(IF(INDEX('Faculties'!$O$10:$O$29,MATCH($F56,'Faculties'!$B$10:$B$29,0))="","Cell will autofill based on response",INDEX('Faculties'!$O$10:$O$29,MATCH($F56,'Faculties'!$B$10:$B$29,0))),"N/A")</f>
        <v/>
      </c>
      <c r="I56" s="25">
        <f>IFERROR(IF(INDEX('Faculties'!$O$37:$O$56,MATCH($F56,'Faculties'!$B$37:$B$56,0))="","Cell will autofill based on response",INDEX('Faculties'!$O$37:$O$56,MATCH($F56,'Faculties'!$B$37:$B$56,0))),"N/A")</f>
        <v/>
      </c>
      <c r="J56" s="25">
        <f>IFERROR(IF(INDEX('Faculties'!$O$64:$O$83,MATCH($F56,'Faculties'!$B$64:$B$83,0))="","Cell will autofill based on response",INDEX('Faculties'!$O$64:$O$83,MATCH($F56,'Faculties'!$B$64:$B$83,0))),"N/A")</f>
        <v/>
      </c>
      <c r="K56" s="25">
        <f>IFERROR(IF(INDEX('Faculties'!$O$91:$O$110,MATCH($F56,'Faculties'!$B$91:$B$110,0))="","Cell will autofill based on response",INDEX('Faculties'!$O$91:$O$110,MATCH($F56,'Faculties'!$B$91:$B$110,0))),"N/A")</f>
        <v/>
      </c>
      <c r="L56" s="25">
        <f>IFERROR(IF(INDEX('CI&amp;S'!$O$10:$O$14,MATCH($F56,'CI&amp;S'!$B$10:$B$14,0))="","Cell will autofill based on response",INDEX('CI&amp;S'!$O$10:$O$14,MATCH($F56,'CI&amp;S'!$B$10:$B$14,0))),"N/A")</f>
        <v/>
      </c>
      <c r="M56" s="25">
        <f>IFERROR(IF(INDEX('CI&amp;S'!$O$22:$O$38,MATCH($F56,'CI&amp;S'!$B$22:$B$38,0))="","Cell will autofill based on response",INDEX('CI&amp;S'!$O$22:$O$38,MATCH($F56,'CI&amp;S'!$B$22:$B$38,0))),"N/A")</f>
        <v/>
      </c>
      <c r="N56" s="25">
        <f>IFERROR(IF(INDEX('CFOG'!$O$10:$O$15,MATCH($F56,'CFOG'!$B$10:$B$15,0))="","Cell will autofill based on response",INDEX('CFOG'!$O$10:$O$15,MATCH($F56,'CFOG'!$B$10:$B$15,0))),"N/A")</f>
        <v/>
      </c>
      <c r="O56" s="25">
        <f>IFERROR(IF(INDEX('CFOG'!$O$23:$O$23,MATCH($F56,'CFOG'!$B$23:$B$23,0))="","Cell will autofill based on response",INDEX('CFOG'!$O$23:$O$23,MATCH($F56,'CFOG'!$B$23:$B$23,0))),"N/A")</f>
        <v/>
      </c>
      <c r="P56" s="25">
        <f>IFERROR(IF(INDEX('ESG'!$O$10:$O$16,MATCH($F56,'ESG'!$B$10:$B$16,0))="","Cell will autofill based on response",INDEX('ESG'!$O$10:$O$16,MATCH($F56,'ESG'!$B$10:$B$16,0))),"N/A")</f>
        <v/>
      </c>
      <c r="Q56" s="25">
        <f>IFERROR(IF(INDEX('CIOG'!$O$10:$O$13,MATCH($F56,'CIOG'!$B$10:$B$13,0))="","Cell will autofill based on response",INDEX('CIOG'!$O$10:$O$13,MATCH($F56,'CIOG'!$B$10:$B$13,0))),"N/A")</f>
        <v/>
      </c>
      <c r="R56" s="25">
        <f>IFERROR(IF(INDEX('MRE'!$O$10:$O$11,MATCH($F56,'MRE'!$B$10:$B$11,0))="","Cell will autofill based on response",INDEX('MRE'!$O$10:$O$11,MATCH($F56,'MRE'!$B$10:$B$11,0))),"N/A")</f>
        <v/>
      </c>
    </row>
    <row r="57">
      <c r="A57">
        <f>F57&amp;"|"&amp;G57</f>
        <v/>
      </c>
      <c r="B57" s="29" t="inlineStr"/>
      <c r="C57" s="8" t="inlineStr"/>
      <c r="D57" s="8" t="inlineStr"/>
      <c r="E57" s="8" t="inlineStr"/>
      <c r="F57" s="8" t="inlineStr">
        <is>
          <t>TR1(d)</t>
        </is>
      </c>
      <c r="G57" s="8" t="inlineStr">
        <is>
          <t>Data source and limitations</t>
        </is>
      </c>
      <c r="H57" s="25">
        <f>IFERROR(IF(INDEX('Faculties'!$P$10:$P$29,MATCH($F57,'Faculties'!$B$10:$B$29,0))="","Cell will autofill based on response",INDEX('Faculties'!$P$10:$P$29,MATCH($F57,'Faculties'!$B$10:$B$29,0))),"N/A")</f>
        <v/>
      </c>
      <c r="I57" s="25">
        <f>IFERROR(IF(INDEX('Faculties'!$P$37:$P$56,MATCH($F57,'Faculties'!$B$37:$B$56,0))="","Cell will autofill based on response",INDEX('Faculties'!$P$37:$P$56,MATCH($F57,'Faculties'!$B$37:$B$56,0))),"N/A")</f>
        <v/>
      </c>
      <c r="J57" s="25">
        <f>IFERROR(IF(INDEX('Faculties'!$P$64:$P$83,MATCH($F57,'Faculties'!$B$64:$B$83,0))="","Cell will autofill based on response",INDEX('Faculties'!$P$64:$P$83,MATCH($F57,'Faculties'!$B$64:$B$83,0))),"N/A")</f>
        <v/>
      </c>
      <c r="K57" s="25">
        <f>IFERROR(IF(INDEX('Faculties'!$P$91:$P$110,MATCH($F57,'Faculties'!$B$91:$B$110,0))="","Cell will autofill based on response",INDEX('Faculties'!$P$91:$P$110,MATCH($F57,'Faculties'!$B$91:$B$110,0))),"N/A")</f>
        <v/>
      </c>
      <c r="L57" s="25">
        <f>IFERROR(IF(INDEX('CI&amp;S'!$P$10:$P$14,MATCH($F57,'CI&amp;S'!$B$10:$B$14,0))="","Cell will autofill based on response",INDEX('CI&amp;S'!$P$10:$P$14,MATCH($F57,'CI&amp;S'!$B$10:$B$14,0))),"N/A")</f>
        <v/>
      </c>
      <c r="M57" s="25">
        <f>IFERROR(IF(INDEX('CI&amp;S'!$P$22:$P$38,MATCH($F57,'CI&amp;S'!$B$22:$B$38,0))="","Cell will autofill based on response",INDEX('CI&amp;S'!$P$22:$P$38,MATCH($F57,'CI&amp;S'!$B$22:$B$38,0))),"N/A")</f>
        <v/>
      </c>
      <c r="N57" s="25">
        <f>IFERROR(IF(INDEX('CFOG'!$P$10:$P$15,MATCH($F57,'CFOG'!$B$10:$B$15,0))="","Cell will autofill based on response",INDEX('CFOG'!$P$10:$P$15,MATCH($F57,'CFOG'!$B$10:$B$15,0))),"N/A")</f>
        <v/>
      </c>
      <c r="O57" s="25">
        <f>IFERROR(IF(INDEX('CFOG'!$P$23:$P$23,MATCH($F57,'CFOG'!$B$23:$B$23,0))="","Cell will autofill based on response",INDEX('CFOG'!$P$23:$P$23,MATCH($F57,'CFOG'!$B$23:$B$23,0))),"N/A")</f>
        <v/>
      </c>
      <c r="P57" s="25">
        <f>IFERROR(IF(INDEX('ESG'!$P$10:$P$16,MATCH($F57,'ESG'!$B$10:$B$16,0))="","Cell will autofill based on response",INDEX('ESG'!$P$10:$P$16,MATCH($F57,'ESG'!$B$10:$B$16,0))),"N/A")</f>
        <v/>
      </c>
      <c r="Q57" s="25">
        <f>IFERROR(IF(INDEX('CIOG'!$P$10:$P$13,MATCH($F57,'CIOG'!$B$10:$B$13,0))="","Cell will autofill based on response",INDEX('CIOG'!$P$10:$P$13,MATCH($F57,'CIOG'!$B$10:$B$13,0))),"N/A")</f>
        <v/>
      </c>
      <c r="R57" s="25">
        <f>IFERROR(IF(INDEX('MRE'!$P$10:$P$11,MATCH($F57,'MRE'!$B$10:$B$11,0))="","Cell will autofill based on response",INDEX('MRE'!$P$10:$P$11,MATCH($F57,'MRE'!$B$10:$B$11,0))),"N/A")</f>
        <v/>
      </c>
    </row>
    <row r="58">
      <c r="A58">
        <f>F58&amp;"|"&amp;G58</f>
        <v/>
      </c>
      <c r="B58" s="29" t="inlineStr"/>
      <c r="C58" s="8" t="inlineStr"/>
      <c r="D58" s="8" t="inlineStr"/>
      <c r="E58" s="8" t="inlineStr"/>
      <c r="F58" s="8" t="inlineStr">
        <is>
          <t>TR1(d)</t>
        </is>
      </c>
      <c r="G58" s="8" t="inlineStr">
        <is>
          <t>Data owner confirms</t>
        </is>
      </c>
      <c r="H58" s="25">
        <f>IFERROR(IF(INDEX('Faculties'!$Q$10:$Q$29,MATCH($F58,'Faculties'!$B$10:$B$29,0))="","Cell will autofill based on response",INDEX('Faculties'!$Q$10:$Q$29,MATCH($F58,'Faculties'!$B$10:$B$29,0))),"N/A")</f>
        <v/>
      </c>
      <c r="I58" s="25">
        <f>IFERROR(IF(INDEX('Faculties'!$Q$37:$Q$56,MATCH($F58,'Faculties'!$B$37:$B$56,0))="","Cell will autofill based on response",INDEX('Faculties'!$Q$37:$Q$56,MATCH($F58,'Faculties'!$B$37:$B$56,0))),"N/A")</f>
        <v/>
      </c>
      <c r="J58" s="25">
        <f>IFERROR(IF(INDEX('Faculties'!$Q$64:$Q$83,MATCH($F58,'Faculties'!$B$64:$B$83,0))="","Cell will autofill based on response",INDEX('Faculties'!$Q$64:$Q$83,MATCH($F58,'Faculties'!$B$64:$B$83,0))),"N/A")</f>
        <v/>
      </c>
      <c r="K58" s="25">
        <f>IFERROR(IF(INDEX('Faculties'!$Q$91:$Q$110,MATCH($F58,'Faculties'!$B$91:$B$110,0))="","Cell will autofill based on response",INDEX('Faculties'!$Q$91:$Q$110,MATCH($F58,'Faculties'!$B$91:$B$110,0))),"N/A")</f>
        <v/>
      </c>
      <c r="L58" s="25">
        <f>IFERROR(IF(INDEX('CI&amp;S'!$Q$10:$Q$14,MATCH($F58,'CI&amp;S'!$B$10:$B$14,0))="","Cell will autofill based on response",INDEX('CI&amp;S'!$Q$10:$Q$14,MATCH($F58,'CI&amp;S'!$B$10:$B$14,0))),"N/A")</f>
        <v/>
      </c>
      <c r="M58" s="25">
        <f>IFERROR(IF(INDEX('CI&amp;S'!$Q$22:$Q$38,MATCH($F58,'CI&amp;S'!$B$22:$B$38,0))="","Cell will autofill based on response",INDEX('CI&amp;S'!$Q$22:$Q$38,MATCH($F58,'CI&amp;S'!$B$22:$B$38,0))),"N/A")</f>
        <v/>
      </c>
      <c r="N58" s="25">
        <f>IFERROR(IF(INDEX('CFOG'!$Q$10:$Q$15,MATCH($F58,'CFOG'!$B$10:$B$15,0))="","Cell will autofill based on response",INDEX('CFOG'!$Q$10:$Q$15,MATCH($F58,'CFOG'!$B$10:$B$15,0))),"N/A")</f>
        <v/>
      </c>
      <c r="O58" s="25">
        <f>IFERROR(IF(INDEX('CFOG'!$Q$23:$Q$23,MATCH($F58,'CFOG'!$B$23:$B$23,0))="","Cell will autofill based on response",INDEX('CFOG'!$Q$23:$Q$23,MATCH($F58,'CFOG'!$B$23:$B$23,0))),"N/A")</f>
        <v/>
      </c>
      <c r="P58" s="25">
        <f>IFERROR(IF(INDEX('ESG'!$Q$10:$Q$16,MATCH($F58,'ESG'!$B$10:$B$16,0))="","Cell will autofill based on response",INDEX('ESG'!$Q$10:$Q$16,MATCH($F58,'ESG'!$B$10:$B$16,0))),"N/A")</f>
        <v/>
      </c>
      <c r="Q58" s="25">
        <f>IFERROR(IF(INDEX('CIOG'!$Q$10:$Q$13,MATCH($F58,'CIOG'!$B$10:$B$13,0))="","Cell will autofill based on response",INDEX('CIOG'!$Q$10:$Q$13,MATCH($F58,'CIOG'!$B$10:$B$13,0))),"N/A")</f>
        <v/>
      </c>
      <c r="R58" s="25">
        <f>IFERROR(IF(INDEX('MRE'!$Q$10:$Q$11,MATCH($F58,'MRE'!$B$10:$B$11,0))="","Cell will autofill based on response",INDEX('MRE'!$Q$10:$Q$11,MATCH($F58,'MRE'!$B$10:$B$11,0))),"N/A")</f>
        <v/>
      </c>
    </row>
    <row r="59">
      <c r="A59">
        <f>F59&amp;"|"&amp;G59</f>
        <v/>
      </c>
      <c r="B59" s="7" t="inlineStr">
        <is>
          <t>TR2(a)</t>
        </is>
      </c>
      <c r="C59" s="12" t="inlineStr">
        <is>
          <t>Transformational research</t>
        </is>
      </c>
      <c r="D59" s="12" t="inlineStr">
        <is>
          <t>Evidence of sustainability-related research impact across diverse pathways, could include policy, industry, community, practice, cultural and institutional outcomes</t>
        </is>
      </c>
      <c r="E59" s="12"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12" t="inlineStr">
        <is>
          <t>TR2(a)</t>
        </is>
      </c>
      <c r="G59" s="12" t="inlineStr">
        <is>
          <t>Confirm end-2026 target status</t>
        </is>
      </c>
      <c r="H59" s="25">
        <f>IFERROR(IF(INDEX('Faculties'!$L$10:$L$29,MATCH($F59,'Faculties'!$B$10:$B$29,0))="","Cell will autofill based on response",INDEX('Faculties'!$L$10:$L$29,MATCH($F59,'Faculties'!$B$10:$B$29,0))),"N/A")</f>
        <v/>
      </c>
      <c r="I59" s="25">
        <f>IFERROR(IF(INDEX('Faculties'!$L$37:$L$56,MATCH($F59,'Faculties'!$B$37:$B$56,0))="","Cell will autofill based on response",INDEX('Faculties'!$L$37:$L$56,MATCH($F59,'Faculties'!$B$37:$B$56,0))),"N/A")</f>
        <v/>
      </c>
      <c r="J59" s="25">
        <f>IFERROR(IF(INDEX('Faculties'!$L$64:$L$83,MATCH($F59,'Faculties'!$B$64:$B$83,0))="","Cell will autofill based on response",INDEX('Faculties'!$L$64:$L$83,MATCH($F59,'Faculties'!$B$64:$B$83,0))),"N/A")</f>
        <v/>
      </c>
      <c r="K59" s="25">
        <f>IFERROR(IF(INDEX('Faculties'!$L$91:$L$110,MATCH($F59,'Faculties'!$B$91:$B$110,0))="","Cell will autofill based on response",INDEX('Faculties'!$L$91:$L$110,MATCH($F59,'Faculties'!$B$91:$B$110,0))),"N/A")</f>
        <v/>
      </c>
      <c r="L59" s="25">
        <f>IFERROR(IF(INDEX('CI&amp;S'!$L$10:$L$14,MATCH($F59,'CI&amp;S'!$B$10:$B$14,0))="","Cell will autofill based on response",INDEX('CI&amp;S'!$L$10:$L$14,MATCH($F59,'CI&amp;S'!$B$10:$B$14,0))),"N/A")</f>
        <v/>
      </c>
      <c r="M59" s="25">
        <f>IFERROR(IF(INDEX('CI&amp;S'!$L$22:$L$38,MATCH($F59,'CI&amp;S'!$B$22:$B$38,0))="","Cell will autofill based on response",INDEX('CI&amp;S'!$L$22:$L$38,MATCH($F59,'CI&amp;S'!$B$22:$B$38,0))),"N/A")</f>
        <v/>
      </c>
      <c r="N59" s="25">
        <f>IFERROR(IF(INDEX('CFOG'!$L$10:$L$15,MATCH($F59,'CFOG'!$B$10:$B$15,0))="","Cell will autofill based on response",INDEX('CFOG'!$L$10:$L$15,MATCH($F59,'CFOG'!$B$10:$B$15,0))),"N/A")</f>
        <v/>
      </c>
      <c r="O59" s="25">
        <f>IFERROR(IF(INDEX('CFOG'!$L$23:$L$23,MATCH($F59,'CFOG'!$B$23:$B$23,0))="","Cell will autofill based on response",INDEX('CFOG'!$L$23:$L$23,MATCH($F59,'CFOG'!$B$23:$B$23,0))),"N/A")</f>
        <v/>
      </c>
      <c r="P59" s="25">
        <f>IFERROR(IF(INDEX('ESG'!$L$10:$L$16,MATCH($F59,'ESG'!$B$10:$B$16,0))="","Cell will autofill based on response",INDEX('ESG'!$L$10:$L$16,MATCH($F59,'ESG'!$B$10:$B$16,0))),"N/A")</f>
        <v/>
      </c>
      <c r="Q59" s="25">
        <f>IFERROR(IF(INDEX('CIOG'!$L$10:$L$13,MATCH($F59,'CIOG'!$B$10:$B$13,0))="","Cell will autofill based on response",INDEX('CIOG'!$L$10:$L$13,MATCH($F59,'CIOG'!$B$10:$B$13,0))),"N/A")</f>
        <v/>
      </c>
      <c r="R59" s="25">
        <f>IFERROR(IF(INDEX('MRE'!$L$10:$L$11,MATCH($F59,'MRE'!$B$10:$B$11,0))="","Cell will autofill based on response",INDEX('MRE'!$L$10:$L$11,MATCH($F59,'MRE'!$B$10:$B$11,0))),"N/A")</f>
        <v/>
      </c>
      <c r="T59" s="26">
        <f>COUNTIF($H59:$R59,"Cell will autofill based on response")</f>
        <v/>
      </c>
      <c r="U59" s="26">
        <f>COUNTIF($H59:$R59,"Not yet started")</f>
        <v/>
      </c>
      <c r="V59" s="26">
        <f>COUNTIF($H59:$R59,"Not met")</f>
        <v/>
      </c>
      <c r="W59" s="26">
        <f>COUNTIF($H59:$R59,"Partially met")</f>
        <v/>
      </c>
      <c r="X59" s="26">
        <f>COUNTIF($H59:$R59,"Met or exceeded")</f>
        <v/>
      </c>
      <c r="Y59" s="26">
        <f>3*X59+2*W59+V59</f>
        <v/>
      </c>
      <c r="Z59" s="26">
        <f>X59+W59+V59+U59</f>
        <v/>
      </c>
      <c r="AA59" s="27">
        <f>IF(Z59&gt;0,Y59/Z59,"No valid responses to date")</f>
        <v/>
      </c>
      <c r="AB59" s="26">
        <f>IF(ISNUMBER(AA59),INDEX(Lists!$G$2:$G$5,MATCH(ROUND(AA59,0),Lists!$H$2:$H$5,0)),"")</f>
        <v/>
      </c>
      <c r="AC59" s="28">
        <f>IF(Z59&gt;0,X59/Z59,"")</f>
        <v/>
      </c>
      <c r="AD59" s="28">
        <f>IF(Z59&gt;0,(X59+W59)/Z59,"")</f>
        <v/>
      </c>
      <c r="AE59" s="26">
        <f>IF(Z59=0,"",IF(AC59&gt;0.75,"Met or exceeded",IF(AD59&gt;=0.5,"Partially met","Not met")))</f>
        <v/>
      </c>
    </row>
    <row r="60">
      <c r="A60">
        <f>F60&amp;"|"&amp;G60</f>
        <v/>
      </c>
      <c r="B60" s="29" t="inlineStr"/>
      <c r="C60" s="8" t="inlineStr"/>
      <c r="D60" s="8" t="inlineStr"/>
      <c r="E60" s="8" t="inlineStr"/>
      <c r="F60" s="8" t="inlineStr">
        <is>
          <t>TR2(a)</t>
        </is>
      </c>
      <c r="G60" s="8" t="inlineStr">
        <is>
          <t>OPTION 1:  Target-level reporting</t>
        </is>
      </c>
      <c r="H60" s="25">
        <f>IFERROR(IF(INDEX('Faculties'!$M$10:$M$29,MATCH($F60,'Faculties'!$B$10:$B$29,0))="","Cell will autofill based on response",INDEX('Faculties'!$M$10:$M$29,MATCH($F60,'Faculties'!$B$10:$B$29,0))),"N/A")</f>
        <v/>
      </c>
      <c r="I60" s="25">
        <f>IFERROR(IF(INDEX('Faculties'!$M$37:$M$56,MATCH($F60,'Faculties'!$B$37:$B$56,0))="","Cell will autofill based on response",INDEX('Faculties'!$M$37:$M$56,MATCH($F60,'Faculties'!$B$37:$B$56,0))),"N/A")</f>
        <v/>
      </c>
      <c r="J60" s="25">
        <f>IFERROR(IF(INDEX('Faculties'!$M$64:$M$83,MATCH($F60,'Faculties'!$B$64:$B$83,0))="","Cell will autofill based on response",INDEX('Faculties'!$M$64:$M$83,MATCH($F60,'Faculties'!$B$64:$B$83,0))),"N/A")</f>
        <v/>
      </c>
      <c r="K60" s="25">
        <f>IFERROR(IF(INDEX('Faculties'!$M$91:$M$110,MATCH($F60,'Faculties'!$B$91:$B$110,0))="","Cell will autofill based on response",INDEX('Faculties'!$M$91:$M$110,MATCH($F60,'Faculties'!$B$91:$B$110,0))),"N/A")</f>
        <v/>
      </c>
      <c r="L60" s="25">
        <f>IFERROR(IF(INDEX('CI&amp;S'!$M$10:$M$14,MATCH($F60,'CI&amp;S'!$B$10:$B$14,0))="","Cell will autofill based on response",INDEX('CI&amp;S'!$M$10:$M$14,MATCH($F60,'CI&amp;S'!$B$10:$B$14,0))),"N/A")</f>
        <v/>
      </c>
      <c r="M60" s="25">
        <f>IFERROR(IF(INDEX('CI&amp;S'!$M$22:$M$38,MATCH($F60,'CI&amp;S'!$B$22:$B$38,0))="","Cell will autofill based on response",INDEX('CI&amp;S'!$M$22:$M$38,MATCH($F60,'CI&amp;S'!$B$22:$B$38,0))),"N/A")</f>
        <v/>
      </c>
      <c r="N60" s="25">
        <f>IFERROR(IF(INDEX('CFOG'!$M$10:$M$15,MATCH($F60,'CFOG'!$B$10:$B$15,0))="","Cell will autofill based on response",INDEX('CFOG'!$M$10:$M$15,MATCH($F60,'CFOG'!$B$10:$B$15,0))),"N/A")</f>
        <v/>
      </c>
      <c r="O60" s="25">
        <f>IFERROR(IF(INDEX('CFOG'!$M$23:$M$23,MATCH($F60,'CFOG'!$B$23:$B$23,0))="","Cell will autofill based on response",INDEX('CFOG'!$M$23:$M$23,MATCH($F60,'CFOG'!$B$23:$B$23,0))),"N/A")</f>
        <v/>
      </c>
      <c r="P60" s="25">
        <f>IFERROR(IF(INDEX('ESG'!$M$10:$M$16,MATCH($F60,'ESG'!$B$10:$B$16,0))="","Cell will autofill based on response",INDEX('ESG'!$M$10:$M$16,MATCH($F60,'ESG'!$B$10:$B$16,0))),"N/A")</f>
        <v/>
      </c>
      <c r="Q60" s="25">
        <f>IFERROR(IF(INDEX('CIOG'!$M$10:$M$13,MATCH($F60,'CIOG'!$B$10:$B$13,0))="","Cell will autofill based on response",INDEX('CIOG'!$M$10:$M$13,MATCH($F60,'CIOG'!$B$10:$B$13,0))),"N/A")</f>
        <v/>
      </c>
      <c r="R60" s="25">
        <f>IFERROR(IF(INDEX('MRE'!$M$10:$M$11,MATCH($F60,'MRE'!$B$10:$B$11,0))="","Cell will autofill based on response",INDEX('MRE'!$M$10:$M$11,MATCH($F60,'MRE'!$B$10:$B$11,0))),"N/A")</f>
        <v/>
      </c>
    </row>
    <row r="61">
      <c r="A61">
        <f>F61&amp;"|"&amp;G61</f>
        <v/>
      </c>
      <c r="B61" s="29" t="inlineStr"/>
      <c r="C61" s="8" t="inlineStr"/>
      <c r="D61" s="8" t="inlineStr"/>
      <c r="E61" s="8" t="inlineStr"/>
      <c r="F61" s="8" t="inlineStr">
        <is>
          <t>TR2(a)</t>
        </is>
      </c>
      <c r="G61" s="8" t="inlineStr">
        <is>
          <t>OPTION 2:  Indicator level reporting</t>
        </is>
      </c>
      <c r="H61" s="25">
        <f>IFERROR(IF(INDEX('Faculties'!$N$10:$N$29,MATCH($F61,'Faculties'!$B$10:$B$29,0))="","Cell will autofill based on response",INDEX('Faculties'!$N$10:$N$29,MATCH($F61,'Faculties'!$B$10:$B$29,0))),"N/A")</f>
        <v/>
      </c>
      <c r="I61" s="25">
        <f>IFERROR(IF(INDEX('Faculties'!$N$37:$N$56,MATCH($F61,'Faculties'!$B$37:$B$56,0))="","Cell will autofill based on response",INDEX('Faculties'!$N$37:$N$56,MATCH($F61,'Faculties'!$B$37:$B$56,0))),"N/A")</f>
        <v/>
      </c>
      <c r="J61" s="25">
        <f>IFERROR(IF(INDEX('Faculties'!$N$64:$N$83,MATCH($F61,'Faculties'!$B$64:$B$83,0))="","Cell will autofill based on response",INDEX('Faculties'!$N$64:$N$83,MATCH($F61,'Faculties'!$B$64:$B$83,0))),"N/A")</f>
        <v/>
      </c>
      <c r="K61" s="25">
        <f>IFERROR(IF(INDEX('Faculties'!$N$91:$N$110,MATCH($F61,'Faculties'!$B$91:$B$110,0))="","Cell will autofill based on response",INDEX('Faculties'!$N$91:$N$110,MATCH($F61,'Faculties'!$B$91:$B$110,0))),"N/A")</f>
        <v/>
      </c>
      <c r="L61" s="25">
        <f>IFERROR(IF(INDEX('CI&amp;S'!$N$10:$N$14,MATCH($F61,'CI&amp;S'!$B$10:$B$14,0))="","Cell will autofill based on response",INDEX('CI&amp;S'!$N$10:$N$14,MATCH($F61,'CI&amp;S'!$B$10:$B$14,0))),"N/A")</f>
        <v/>
      </c>
      <c r="M61" s="25">
        <f>IFERROR(IF(INDEX('CI&amp;S'!$N$22:$N$38,MATCH($F61,'CI&amp;S'!$B$22:$B$38,0))="","Cell will autofill based on response",INDEX('CI&amp;S'!$N$22:$N$38,MATCH($F61,'CI&amp;S'!$B$22:$B$38,0))),"N/A")</f>
        <v/>
      </c>
      <c r="N61" s="25">
        <f>IFERROR(IF(INDEX('CFOG'!$N$10:$N$15,MATCH($F61,'CFOG'!$B$10:$B$15,0))="","Cell will autofill based on response",INDEX('CFOG'!$N$10:$N$15,MATCH($F61,'CFOG'!$B$10:$B$15,0))),"N/A")</f>
        <v/>
      </c>
      <c r="O61" s="25">
        <f>IFERROR(IF(INDEX('CFOG'!$N$23:$N$23,MATCH($F61,'CFOG'!$B$23:$B$23,0))="","Cell will autofill based on response",INDEX('CFOG'!$N$23:$N$23,MATCH($F61,'CFOG'!$B$23:$B$23,0))),"N/A")</f>
        <v/>
      </c>
      <c r="P61" s="25">
        <f>IFERROR(IF(INDEX('ESG'!$N$10:$N$16,MATCH($F61,'ESG'!$B$10:$B$16,0))="","Cell will autofill based on response",INDEX('ESG'!$N$10:$N$16,MATCH($F61,'ESG'!$B$10:$B$16,0))),"N/A")</f>
        <v/>
      </c>
      <c r="Q61" s="25">
        <f>IFERROR(IF(INDEX('CIOG'!$N$10:$N$13,MATCH($F61,'CIOG'!$B$10:$B$13,0))="","Cell will autofill based on response",INDEX('CIOG'!$N$10:$N$13,MATCH($F61,'CIOG'!$B$10:$B$13,0))),"N/A")</f>
        <v/>
      </c>
      <c r="R61" s="25">
        <f>IFERROR(IF(INDEX('MRE'!$N$10:$N$11,MATCH($F61,'MRE'!$B$10:$B$11,0))="","Cell will autofill based on response",INDEX('MRE'!$N$10:$N$11,MATCH($F61,'MRE'!$B$10:$B$11,0))),"N/A")</f>
        <v/>
      </c>
    </row>
    <row r="62">
      <c r="A62">
        <f>F62&amp;"|"&amp;G62</f>
        <v/>
      </c>
      <c r="B62" s="29" t="inlineStr"/>
      <c r="C62" s="8" t="inlineStr"/>
      <c r="D62" s="8" t="inlineStr"/>
      <c r="E62" s="8" t="inlineStr"/>
      <c r="F62" s="8" t="inlineStr">
        <is>
          <t>TR2(a)</t>
        </is>
      </c>
      <c r="G62" s="8" t="inlineStr">
        <is>
          <t>Supporting information/comments</t>
        </is>
      </c>
      <c r="H62" s="25">
        <f>IFERROR(IF(INDEX('Faculties'!$O$10:$O$29,MATCH($F62,'Faculties'!$B$10:$B$29,0))="","Cell will autofill based on response",INDEX('Faculties'!$O$10:$O$29,MATCH($F62,'Faculties'!$B$10:$B$29,0))),"N/A")</f>
        <v/>
      </c>
      <c r="I62" s="25">
        <f>IFERROR(IF(INDEX('Faculties'!$O$37:$O$56,MATCH($F62,'Faculties'!$B$37:$B$56,0))="","Cell will autofill based on response",INDEX('Faculties'!$O$37:$O$56,MATCH($F62,'Faculties'!$B$37:$B$56,0))),"N/A")</f>
        <v/>
      </c>
      <c r="J62" s="25">
        <f>IFERROR(IF(INDEX('Faculties'!$O$64:$O$83,MATCH($F62,'Faculties'!$B$64:$B$83,0))="","Cell will autofill based on response",INDEX('Faculties'!$O$64:$O$83,MATCH($F62,'Faculties'!$B$64:$B$83,0))),"N/A")</f>
        <v/>
      </c>
      <c r="K62" s="25">
        <f>IFERROR(IF(INDEX('Faculties'!$O$91:$O$110,MATCH($F62,'Faculties'!$B$91:$B$110,0))="","Cell will autofill based on response",INDEX('Faculties'!$O$91:$O$110,MATCH($F62,'Faculties'!$B$91:$B$110,0))),"N/A")</f>
        <v/>
      </c>
      <c r="L62" s="25">
        <f>IFERROR(IF(INDEX('CI&amp;S'!$O$10:$O$14,MATCH($F62,'CI&amp;S'!$B$10:$B$14,0))="","Cell will autofill based on response",INDEX('CI&amp;S'!$O$10:$O$14,MATCH($F62,'CI&amp;S'!$B$10:$B$14,0))),"N/A")</f>
        <v/>
      </c>
      <c r="M62" s="25">
        <f>IFERROR(IF(INDEX('CI&amp;S'!$O$22:$O$38,MATCH($F62,'CI&amp;S'!$B$22:$B$38,0))="","Cell will autofill based on response",INDEX('CI&amp;S'!$O$22:$O$38,MATCH($F62,'CI&amp;S'!$B$22:$B$38,0))),"N/A")</f>
        <v/>
      </c>
      <c r="N62" s="25">
        <f>IFERROR(IF(INDEX('CFOG'!$O$10:$O$15,MATCH($F62,'CFOG'!$B$10:$B$15,0))="","Cell will autofill based on response",INDEX('CFOG'!$O$10:$O$15,MATCH($F62,'CFOG'!$B$10:$B$15,0))),"N/A")</f>
        <v/>
      </c>
      <c r="O62" s="25">
        <f>IFERROR(IF(INDEX('CFOG'!$O$23:$O$23,MATCH($F62,'CFOG'!$B$23:$B$23,0))="","Cell will autofill based on response",INDEX('CFOG'!$O$23:$O$23,MATCH($F62,'CFOG'!$B$23:$B$23,0))),"N/A")</f>
        <v/>
      </c>
      <c r="P62" s="25">
        <f>IFERROR(IF(INDEX('ESG'!$O$10:$O$16,MATCH($F62,'ESG'!$B$10:$B$16,0))="","Cell will autofill based on response",INDEX('ESG'!$O$10:$O$16,MATCH($F62,'ESG'!$B$10:$B$16,0))),"N/A")</f>
        <v/>
      </c>
      <c r="Q62" s="25">
        <f>IFERROR(IF(INDEX('CIOG'!$O$10:$O$13,MATCH($F62,'CIOG'!$B$10:$B$13,0))="","Cell will autofill based on response",INDEX('CIOG'!$O$10:$O$13,MATCH($F62,'CIOG'!$B$10:$B$13,0))),"N/A")</f>
        <v/>
      </c>
      <c r="R62" s="25">
        <f>IFERROR(IF(INDEX('MRE'!$O$10:$O$11,MATCH($F62,'MRE'!$B$10:$B$11,0))="","Cell will autofill based on response",INDEX('MRE'!$O$10:$O$11,MATCH($F62,'MRE'!$B$10:$B$11,0))),"N/A")</f>
        <v/>
      </c>
    </row>
    <row r="63">
      <c r="A63">
        <f>F63&amp;"|"&amp;G63</f>
        <v/>
      </c>
      <c r="B63" s="29" t="inlineStr"/>
      <c r="C63" s="8" t="inlineStr"/>
      <c r="D63" s="8" t="inlineStr"/>
      <c r="E63" s="8" t="inlineStr"/>
      <c r="F63" s="8" t="inlineStr">
        <is>
          <t>TR2(a)</t>
        </is>
      </c>
      <c r="G63" s="8" t="inlineStr">
        <is>
          <t>Data source and limitations</t>
        </is>
      </c>
      <c r="H63" s="25">
        <f>IFERROR(IF(INDEX('Faculties'!$P$10:$P$29,MATCH($F63,'Faculties'!$B$10:$B$29,0))="","Cell will autofill based on response",INDEX('Faculties'!$P$10:$P$29,MATCH($F63,'Faculties'!$B$10:$B$29,0))),"N/A")</f>
        <v/>
      </c>
      <c r="I63" s="25">
        <f>IFERROR(IF(INDEX('Faculties'!$P$37:$P$56,MATCH($F63,'Faculties'!$B$37:$B$56,0))="","Cell will autofill based on response",INDEX('Faculties'!$P$37:$P$56,MATCH($F63,'Faculties'!$B$37:$B$56,0))),"N/A")</f>
        <v/>
      </c>
      <c r="J63" s="25">
        <f>IFERROR(IF(INDEX('Faculties'!$P$64:$P$83,MATCH($F63,'Faculties'!$B$64:$B$83,0))="","Cell will autofill based on response",INDEX('Faculties'!$P$64:$P$83,MATCH($F63,'Faculties'!$B$64:$B$83,0))),"N/A")</f>
        <v/>
      </c>
      <c r="K63" s="25">
        <f>IFERROR(IF(INDEX('Faculties'!$P$91:$P$110,MATCH($F63,'Faculties'!$B$91:$B$110,0))="","Cell will autofill based on response",INDEX('Faculties'!$P$91:$P$110,MATCH($F63,'Faculties'!$B$91:$B$110,0))),"N/A")</f>
        <v/>
      </c>
      <c r="L63" s="25">
        <f>IFERROR(IF(INDEX('CI&amp;S'!$P$10:$P$14,MATCH($F63,'CI&amp;S'!$B$10:$B$14,0))="","Cell will autofill based on response",INDEX('CI&amp;S'!$P$10:$P$14,MATCH($F63,'CI&amp;S'!$B$10:$B$14,0))),"N/A")</f>
        <v/>
      </c>
      <c r="M63" s="25">
        <f>IFERROR(IF(INDEX('CI&amp;S'!$P$22:$P$38,MATCH($F63,'CI&amp;S'!$B$22:$B$38,0))="","Cell will autofill based on response",INDEX('CI&amp;S'!$P$22:$P$38,MATCH($F63,'CI&amp;S'!$B$22:$B$38,0))),"N/A")</f>
        <v/>
      </c>
      <c r="N63" s="25">
        <f>IFERROR(IF(INDEX('CFOG'!$P$10:$P$15,MATCH($F63,'CFOG'!$B$10:$B$15,0))="","Cell will autofill based on response",INDEX('CFOG'!$P$10:$P$15,MATCH($F63,'CFOG'!$B$10:$B$15,0))),"N/A")</f>
        <v/>
      </c>
      <c r="O63" s="25">
        <f>IFERROR(IF(INDEX('CFOG'!$P$23:$P$23,MATCH($F63,'CFOG'!$B$23:$B$23,0))="","Cell will autofill based on response",INDEX('CFOG'!$P$23:$P$23,MATCH($F63,'CFOG'!$B$23:$B$23,0))),"N/A")</f>
        <v/>
      </c>
      <c r="P63" s="25">
        <f>IFERROR(IF(INDEX('ESG'!$P$10:$P$16,MATCH($F63,'ESG'!$B$10:$B$16,0))="","Cell will autofill based on response",INDEX('ESG'!$P$10:$P$16,MATCH($F63,'ESG'!$B$10:$B$16,0))),"N/A")</f>
        <v/>
      </c>
      <c r="Q63" s="25">
        <f>IFERROR(IF(INDEX('CIOG'!$P$10:$P$13,MATCH($F63,'CIOG'!$B$10:$B$13,0))="","Cell will autofill based on response",INDEX('CIOG'!$P$10:$P$13,MATCH($F63,'CIOG'!$B$10:$B$13,0))),"N/A")</f>
        <v/>
      </c>
      <c r="R63" s="25">
        <f>IFERROR(IF(INDEX('MRE'!$P$10:$P$11,MATCH($F63,'MRE'!$B$10:$B$11,0))="","Cell will autofill based on response",INDEX('MRE'!$P$10:$P$11,MATCH($F63,'MRE'!$B$10:$B$11,0))),"N/A")</f>
        <v/>
      </c>
    </row>
    <row r="64">
      <c r="A64">
        <f>F64&amp;"|"&amp;G64</f>
        <v/>
      </c>
      <c r="B64" s="29" t="inlineStr"/>
      <c r="C64" s="8" t="inlineStr"/>
      <c r="D64" s="8" t="inlineStr"/>
      <c r="E64" s="8" t="inlineStr"/>
      <c r="F64" s="8" t="inlineStr">
        <is>
          <t>TR2(a)</t>
        </is>
      </c>
      <c r="G64" s="8" t="inlineStr">
        <is>
          <t>Data owner confirms</t>
        </is>
      </c>
      <c r="H64" s="25">
        <f>IFERROR(IF(INDEX('Faculties'!$Q$10:$Q$29,MATCH($F64,'Faculties'!$B$10:$B$29,0))="","Cell will autofill based on response",INDEX('Faculties'!$Q$10:$Q$29,MATCH($F64,'Faculties'!$B$10:$B$29,0))),"N/A")</f>
        <v/>
      </c>
      <c r="I64" s="25">
        <f>IFERROR(IF(INDEX('Faculties'!$Q$37:$Q$56,MATCH($F64,'Faculties'!$B$37:$B$56,0))="","Cell will autofill based on response",INDEX('Faculties'!$Q$37:$Q$56,MATCH($F64,'Faculties'!$B$37:$B$56,0))),"N/A")</f>
        <v/>
      </c>
      <c r="J64" s="25">
        <f>IFERROR(IF(INDEX('Faculties'!$Q$64:$Q$83,MATCH($F64,'Faculties'!$B$64:$B$83,0))="","Cell will autofill based on response",INDEX('Faculties'!$Q$64:$Q$83,MATCH($F64,'Faculties'!$B$64:$B$83,0))),"N/A")</f>
        <v/>
      </c>
      <c r="K64" s="25">
        <f>IFERROR(IF(INDEX('Faculties'!$Q$91:$Q$110,MATCH($F64,'Faculties'!$B$91:$B$110,0))="","Cell will autofill based on response",INDEX('Faculties'!$Q$91:$Q$110,MATCH($F64,'Faculties'!$B$91:$B$110,0))),"N/A")</f>
        <v/>
      </c>
      <c r="L64" s="25">
        <f>IFERROR(IF(INDEX('CI&amp;S'!$Q$10:$Q$14,MATCH($F64,'CI&amp;S'!$B$10:$B$14,0))="","Cell will autofill based on response",INDEX('CI&amp;S'!$Q$10:$Q$14,MATCH($F64,'CI&amp;S'!$B$10:$B$14,0))),"N/A")</f>
        <v/>
      </c>
      <c r="M64" s="25">
        <f>IFERROR(IF(INDEX('CI&amp;S'!$Q$22:$Q$38,MATCH($F64,'CI&amp;S'!$B$22:$B$38,0))="","Cell will autofill based on response",INDEX('CI&amp;S'!$Q$22:$Q$38,MATCH($F64,'CI&amp;S'!$B$22:$B$38,0))),"N/A")</f>
        <v/>
      </c>
      <c r="N64" s="25">
        <f>IFERROR(IF(INDEX('CFOG'!$Q$10:$Q$15,MATCH($F64,'CFOG'!$B$10:$B$15,0))="","Cell will autofill based on response",INDEX('CFOG'!$Q$10:$Q$15,MATCH($F64,'CFOG'!$B$10:$B$15,0))),"N/A")</f>
        <v/>
      </c>
      <c r="O64" s="25">
        <f>IFERROR(IF(INDEX('CFOG'!$Q$23:$Q$23,MATCH($F64,'CFOG'!$B$23:$B$23,0))="","Cell will autofill based on response",INDEX('CFOG'!$Q$23:$Q$23,MATCH($F64,'CFOG'!$B$23:$B$23,0))),"N/A")</f>
        <v/>
      </c>
      <c r="P64" s="25">
        <f>IFERROR(IF(INDEX('ESG'!$Q$10:$Q$16,MATCH($F64,'ESG'!$B$10:$B$16,0))="","Cell will autofill based on response",INDEX('ESG'!$Q$10:$Q$16,MATCH($F64,'ESG'!$B$10:$B$16,0))),"N/A")</f>
        <v/>
      </c>
      <c r="Q64" s="25">
        <f>IFERROR(IF(INDEX('CIOG'!$Q$10:$Q$13,MATCH($F64,'CIOG'!$B$10:$B$13,0))="","Cell will autofill based on response",INDEX('CIOG'!$Q$10:$Q$13,MATCH($F64,'CIOG'!$B$10:$B$13,0))),"N/A")</f>
        <v/>
      </c>
      <c r="R64" s="25">
        <f>IFERROR(IF(INDEX('MRE'!$Q$10:$Q$11,MATCH($F64,'MRE'!$B$10:$B$11,0))="","Cell will autofill based on response",INDEX('MRE'!$Q$10:$Q$11,MATCH($F64,'MRE'!$B$10:$B$11,0))),"N/A")</f>
        <v/>
      </c>
    </row>
    <row r="65">
      <c r="A65">
        <f>F65&amp;"|"&amp;G65</f>
        <v/>
      </c>
      <c r="B65" s="7" t="inlineStr">
        <is>
          <t>TR2(b)</t>
        </is>
      </c>
      <c r="C65" s="12" t="inlineStr">
        <is>
          <t>Transformational research</t>
        </is>
      </c>
      <c r="D65" s="12" t="inlineStr">
        <is>
          <t>Documented progress of relevant strategic initiatives, including Impact Accelerators</t>
        </is>
      </c>
      <c r="E65" s="12"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F65" s="12" t="inlineStr">
        <is>
          <t>TR2(b)</t>
        </is>
      </c>
      <c r="G65" s="12" t="inlineStr">
        <is>
          <t>Confirm end-2026 target status</t>
        </is>
      </c>
      <c r="H65" s="25">
        <f>IFERROR(IF(INDEX('Faculties'!$L$10:$L$29,MATCH($F65,'Faculties'!$B$10:$B$29,0))="","Cell will autofill based on response",INDEX('Faculties'!$L$10:$L$29,MATCH($F65,'Faculties'!$B$10:$B$29,0))),"N/A")</f>
        <v/>
      </c>
      <c r="I65" s="25">
        <f>IFERROR(IF(INDEX('Faculties'!$L$37:$L$56,MATCH($F65,'Faculties'!$B$37:$B$56,0))="","Cell will autofill based on response",INDEX('Faculties'!$L$37:$L$56,MATCH($F65,'Faculties'!$B$37:$B$56,0))),"N/A")</f>
        <v/>
      </c>
      <c r="J65" s="25">
        <f>IFERROR(IF(INDEX('Faculties'!$L$64:$L$83,MATCH($F65,'Faculties'!$B$64:$B$83,0))="","Cell will autofill based on response",INDEX('Faculties'!$L$64:$L$83,MATCH($F65,'Faculties'!$B$64:$B$83,0))),"N/A")</f>
        <v/>
      </c>
      <c r="K65" s="25">
        <f>IFERROR(IF(INDEX('Faculties'!$L$91:$L$110,MATCH($F65,'Faculties'!$B$91:$B$110,0))="","Cell will autofill based on response",INDEX('Faculties'!$L$91:$L$110,MATCH($F65,'Faculties'!$B$91:$B$110,0))),"N/A")</f>
        <v/>
      </c>
      <c r="L65" s="25">
        <f>IFERROR(IF(INDEX('CI&amp;S'!$L$10:$L$14,MATCH($F65,'CI&amp;S'!$B$10:$B$14,0))="","Cell will autofill based on response",INDEX('CI&amp;S'!$L$10:$L$14,MATCH($F65,'CI&amp;S'!$B$10:$B$14,0))),"N/A")</f>
        <v/>
      </c>
      <c r="M65" s="25">
        <f>IFERROR(IF(INDEX('CI&amp;S'!$L$22:$L$38,MATCH($F65,'CI&amp;S'!$B$22:$B$38,0))="","Cell will autofill based on response",INDEX('CI&amp;S'!$L$22:$L$38,MATCH($F65,'CI&amp;S'!$B$22:$B$38,0))),"N/A")</f>
        <v/>
      </c>
      <c r="N65" s="25">
        <f>IFERROR(IF(INDEX('CFOG'!$L$10:$L$15,MATCH($F65,'CFOG'!$B$10:$B$15,0))="","Cell will autofill based on response",INDEX('CFOG'!$L$10:$L$15,MATCH($F65,'CFOG'!$B$10:$B$15,0))),"N/A")</f>
        <v/>
      </c>
      <c r="O65" s="25">
        <f>IFERROR(IF(INDEX('CFOG'!$L$23:$L$23,MATCH($F65,'CFOG'!$B$23:$B$23,0))="","Cell will autofill based on response",INDEX('CFOG'!$L$23:$L$23,MATCH($F65,'CFOG'!$B$23:$B$23,0))),"N/A")</f>
        <v/>
      </c>
      <c r="P65" s="25">
        <f>IFERROR(IF(INDEX('ESG'!$L$10:$L$16,MATCH($F65,'ESG'!$B$10:$B$16,0))="","Cell will autofill based on response",INDEX('ESG'!$L$10:$L$16,MATCH($F65,'ESG'!$B$10:$B$16,0))),"N/A")</f>
        <v/>
      </c>
      <c r="Q65" s="25">
        <f>IFERROR(IF(INDEX('CIOG'!$L$10:$L$13,MATCH($F65,'CIOG'!$B$10:$B$13,0))="","Cell will autofill based on response",INDEX('CIOG'!$L$10:$L$13,MATCH($F65,'CIOG'!$B$10:$B$13,0))),"N/A")</f>
        <v/>
      </c>
      <c r="R65" s="25">
        <f>IFERROR(IF(INDEX('MRE'!$L$10:$L$11,MATCH($F65,'MRE'!$B$10:$B$11,0))="","Cell will autofill based on response",INDEX('MRE'!$L$10:$L$11,MATCH($F65,'MRE'!$B$10:$B$11,0))),"N/A")</f>
        <v/>
      </c>
      <c r="T65" s="26">
        <f>COUNTIF($H65:$R65,"Cell will autofill based on response")</f>
        <v/>
      </c>
      <c r="U65" s="26">
        <f>COUNTIF($H65:$R65,"Not yet started")</f>
        <v/>
      </c>
      <c r="V65" s="26">
        <f>COUNTIF($H65:$R65,"Not met")</f>
        <v/>
      </c>
      <c r="W65" s="26">
        <f>COUNTIF($H65:$R65,"Partially met")</f>
        <v/>
      </c>
      <c r="X65" s="26">
        <f>COUNTIF($H65:$R65,"Met or exceeded")</f>
        <v/>
      </c>
      <c r="Y65" s="26">
        <f>3*X65+2*W65+V65</f>
        <v/>
      </c>
      <c r="Z65" s="26">
        <f>X65+W65+V65+U65</f>
        <v/>
      </c>
      <c r="AA65" s="27">
        <f>IF(Z65&gt;0,Y65/Z65,"No valid responses to date")</f>
        <v/>
      </c>
      <c r="AB65" s="26">
        <f>IF(ISNUMBER(AA65),INDEX(Lists!$G$2:$G$5,MATCH(ROUND(AA65,0),Lists!$H$2:$H$5,0)),"")</f>
        <v/>
      </c>
      <c r="AC65" s="28">
        <f>IF(Z65&gt;0,X65/Z65,"")</f>
        <v/>
      </c>
      <c r="AD65" s="28">
        <f>IF(Z65&gt;0,(X65+W65)/Z65,"")</f>
        <v/>
      </c>
      <c r="AE65" s="26">
        <f>IF(Z65=0,"",IF(AC65&gt;0.75,"Met or exceeded",IF(AD65&gt;=0.5,"Partially met","Not met")))</f>
        <v/>
      </c>
    </row>
    <row r="66">
      <c r="A66">
        <f>F66&amp;"|"&amp;G66</f>
        <v/>
      </c>
      <c r="B66" s="29" t="inlineStr"/>
      <c r="C66" s="8" t="inlineStr"/>
      <c r="D66" s="8" t="inlineStr"/>
      <c r="E66" s="8" t="inlineStr"/>
      <c r="F66" s="8" t="inlineStr">
        <is>
          <t>TR2(b)</t>
        </is>
      </c>
      <c r="G66" s="8" t="inlineStr">
        <is>
          <t>OPTION 1:  Target-level reporting</t>
        </is>
      </c>
      <c r="H66" s="25">
        <f>IFERROR(IF(INDEX('Faculties'!$M$10:$M$29,MATCH($F66,'Faculties'!$B$10:$B$29,0))="","Cell will autofill based on response",INDEX('Faculties'!$M$10:$M$29,MATCH($F66,'Faculties'!$B$10:$B$29,0))),"N/A")</f>
        <v/>
      </c>
      <c r="I66" s="25">
        <f>IFERROR(IF(INDEX('Faculties'!$M$37:$M$56,MATCH($F66,'Faculties'!$B$37:$B$56,0))="","Cell will autofill based on response",INDEX('Faculties'!$M$37:$M$56,MATCH($F66,'Faculties'!$B$37:$B$56,0))),"N/A")</f>
        <v/>
      </c>
      <c r="J66" s="25">
        <f>IFERROR(IF(INDEX('Faculties'!$M$64:$M$83,MATCH($F66,'Faculties'!$B$64:$B$83,0))="","Cell will autofill based on response",INDEX('Faculties'!$M$64:$M$83,MATCH($F66,'Faculties'!$B$64:$B$83,0))),"N/A")</f>
        <v/>
      </c>
      <c r="K66" s="25">
        <f>IFERROR(IF(INDEX('Faculties'!$M$91:$M$110,MATCH($F66,'Faculties'!$B$91:$B$110,0))="","Cell will autofill based on response",INDEX('Faculties'!$M$91:$M$110,MATCH($F66,'Faculties'!$B$91:$B$110,0))),"N/A")</f>
        <v/>
      </c>
      <c r="L66" s="25">
        <f>IFERROR(IF(INDEX('CI&amp;S'!$M$10:$M$14,MATCH($F66,'CI&amp;S'!$B$10:$B$14,0))="","Cell will autofill based on response",INDEX('CI&amp;S'!$M$10:$M$14,MATCH($F66,'CI&amp;S'!$B$10:$B$14,0))),"N/A")</f>
        <v/>
      </c>
      <c r="M66" s="25">
        <f>IFERROR(IF(INDEX('CI&amp;S'!$M$22:$M$38,MATCH($F66,'CI&amp;S'!$B$22:$B$38,0))="","Cell will autofill based on response",INDEX('CI&amp;S'!$M$22:$M$38,MATCH($F66,'CI&amp;S'!$B$22:$B$38,0))),"N/A")</f>
        <v/>
      </c>
      <c r="N66" s="25">
        <f>IFERROR(IF(INDEX('CFOG'!$M$10:$M$15,MATCH($F66,'CFOG'!$B$10:$B$15,0))="","Cell will autofill based on response",INDEX('CFOG'!$M$10:$M$15,MATCH($F66,'CFOG'!$B$10:$B$15,0))),"N/A")</f>
        <v/>
      </c>
      <c r="O66" s="25">
        <f>IFERROR(IF(INDEX('CFOG'!$M$23:$M$23,MATCH($F66,'CFOG'!$B$23:$B$23,0))="","Cell will autofill based on response",INDEX('CFOG'!$M$23:$M$23,MATCH($F66,'CFOG'!$B$23:$B$23,0))),"N/A")</f>
        <v/>
      </c>
      <c r="P66" s="25">
        <f>IFERROR(IF(INDEX('ESG'!$M$10:$M$16,MATCH($F66,'ESG'!$B$10:$B$16,0))="","Cell will autofill based on response",INDEX('ESG'!$M$10:$M$16,MATCH($F66,'ESG'!$B$10:$B$16,0))),"N/A")</f>
        <v/>
      </c>
      <c r="Q66" s="25">
        <f>IFERROR(IF(INDEX('CIOG'!$M$10:$M$13,MATCH($F66,'CIOG'!$B$10:$B$13,0))="","Cell will autofill based on response",INDEX('CIOG'!$M$10:$M$13,MATCH($F66,'CIOG'!$B$10:$B$13,0))),"N/A")</f>
        <v/>
      </c>
      <c r="R66" s="25">
        <f>IFERROR(IF(INDEX('MRE'!$M$10:$M$11,MATCH($F66,'MRE'!$B$10:$B$11,0))="","Cell will autofill based on response",INDEX('MRE'!$M$10:$M$11,MATCH($F66,'MRE'!$B$10:$B$11,0))),"N/A")</f>
        <v/>
      </c>
    </row>
    <row r="67">
      <c r="A67">
        <f>F67&amp;"|"&amp;G67</f>
        <v/>
      </c>
      <c r="B67" s="29" t="inlineStr"/>
      <c r="C67" s="8" t="inlineStr"/>
      <c r="D67" s="8" t="inlineStr"/>
      <c r="E67" s="8" t="inlineStr"/>
      <c r="F67" s="8" t="inlineStr">
        <is>
          <t>TR2(b)</t>
        </is>
      </c>
      <c r="G67" s="8" t="inlineStr">
        <is>
          <t>OPTION 2:  Indicator level reporting</t>
        </is>
      </c>
      <c r="H67" s="25">
        <f>IFERROR(IF(INDEX('Faculties'!$N$10:$N$29,MATCH($F67,'Faculties'!$B$10:$B$29,0))="","Cell will autofill based on response",INDEX('Faculties'!$N$10:$N$29,MATCH($F67,'Faculties'!$B$10:$B$29,0))),"N/A")</f>
        <v/>
      </c>
      <c r="I67" s="25">
        <f>IFERROR(IF(INDEX('Faculties'!$N$37:$N$56,MATCH($F67,'Faculties'!$B$37:$B$56,0))="","Cell will autofill based on response",INDEX('Faculties'!$N$37:$N$56,MATCH($F67,'Faculties'!$B$37:$B$56,0))),"N/A")</f>
        <v/>
      </c>
      <c r="J67" s="25">
        <f>IFERROR(IF(INDEX('Faculties'!$N$64:$N$83,MATCH($F67,'Faculties'!$B$64:$B$83,0))="","Cell will autofill based on response",INDEX('Faculties'!$N$64:$N$83,MATCH($F67,'Faculties'!$B$64:$B$83,0))),"N/A")</f>
        <v/>
      </c>
      <c r="K67" s="25">
        <f>IFERROR(IF(INDEX('Faculties'!$N$91:$N$110,MATCH($F67,'Faculties'!$B$91:$B$110,0))="","Cell will autofill based on response",INDEX('Faculties'!$N$91:$N$110,MATCH($F67,'Faculties'!$B$91:$B$110,0))),"N/A")</f>
        <v/>
      </c>
      <c r="L67" s="25">
        <f>IFERROR(IF(INDEX('CI&amp;S'!$N$10:$N$14,MATCH($F67,'CI&amp;S'!$B$10:$B$14,0))="","Cell will autofill based on response",INDEX('CI&amp;S'!$N$10:$N$14,MATCH($F67,'CI&amp;S'!$B$10:$B$14,0))),"N/A")</f>
        <v/>
      </c>
      <c r="M67" s="25">
        <f>IFERROR(IF(INDEX('CI&amp;S'!$N$22:$N$38,MATCH($F67,'CI&amp;S'!$B$22:$B$38,0))="","Cell will autofill based on response",INDEX('CI&amp;S'!$N$22:$N$38,MATCH($F67,'CI&amp;S'!$B$22:$B$38,0))),"N/A")</f>
        <v/>
      </c>
      <c r="N67" s="25">
        <f>IFERROR(IF(INDEX('CFOG'!$N$10:$N$15,MATCH($F67,'CFOG'!$B$10:$B$15,0))="","Cell will autofill based on response",INDEX('CFOG'!$N$10:$N$15,MATCH($F67,'CFOG'!$B$10:$B$15,0))),"N/A")</f>
        <v/>
      </c>
      <c r="O67" s="25">
        <f>IFERROR(IF(INDEX('CFOG'!$N$23:$N$23,MATCH($F67,'CFOG'!$B$23:$B$23,0))="","Cell will autofill based on response",INDEX('CFOG'!$N$23:$N$23,MATCH($F67,'CFOG'!$B$23:$B$23,0))),"N/A")</f>
        <v/>
      </c>
      <c r="P67" s="25">
        <f>IFERROR(IF(INDEX('ESG'!$N$10:$N$16,MATCH($F67,'ESG'!$B$10:$B$16,0))="","Cell will autofill based on response",INDEX('ESG'!$N$10:$N$16,MATCH($F67,'ESG'!$B$10:$B$16,0))),"N/A")</f>
        <v/>
      </c>
      <c r="Q67" s="25">
        <f>IFERROR(IF(INDEX('CIOG'!$N$10:$N$13,MATCH($F67,'CIOG'!$B$10:$B$13,0))="","Cell will autofill based on response",INDEX('CIOG'!$N$10:$N$13,MATCH($F67,'CIOG'!$B$10:$B$13,0))),"N/A")</f>
        <v/>
      </c>
      <c r="R67" s="25">
        <f>IFERROR(IF(INDEX('MRE'!$N$10:$N$11,MATCH($F67,'MRE'!$B$10:$B$11,0))="","Cell will autofill based on response",INDEX('MRE'!$N$10:$N$11,MATCH($F67,'MRE'!$B$10:$B$11,0))),"N/A")</f>
        <v/>
      </c>
    </row>
    <row r="68">
      <c r="A68">
        <f>F68&amp;"|"&amp;G68</f>
        <v/>
      </c>
      <c r="B68" s="29" t="inlineStr"/>
      <c r="C68" s="8" t="inlineStr"/>
      <c r="D68" s="8" t="inlineStr"/>
      <c r="E68" s="8" t="inlineStr"/>
      <c r="F68" s="8" t="inlineStr">
        <is>
          <t>TR2(b)</t>
        </is>
      </c>
      <c r="G68" s="8" t="inlineStr">
        <is>
          <t>Supporting information/comments</t>
        </is>
      </c>
      <c r="H68" s="25">
        <f>IFERROR(IF(INDEX('Faculties'!$O$10:$O$29,MATCH($F68,'Faculties'!$B$10:$B$29,0))="","Cell will autofill based on response",INDEX('Faculties'!$O$10:$O$29,MATCH($F68,'Faculties'!$B$10:$B$29,0))),"N/A")</f>
        <v/>
      </c>
      <c r="I68" s="25">
        <f>IFERROR(IF(INDEX('Faculties'!$O$37:$O$56,MATCH($F68,'Faculties'!$B$37:$B$56,0))="","Cell will autofill based on response",INDEX('Faculties'!$O$37:$O$56,MATCH($F68,'Faculties'!$B$37:$B$56,0))),"N/A")</f>
        <v/>
      </c>
      <c r="J68" s="25">
        <f>IFERROR(IF(INDEX('Faculties'!$O$64:$O$83,MATCH($F68,'Faculties'!$B$64:$B$83,0))="","Cell will autofill based on response",INDEX('Faculties'!$O$64:$O$83,MATCH($F68,'Faculties'!$B$64:$B$83,0))),"N/A")</f>
        <v/>
      </c>
      <c r="K68" s="25">
        <f>IFERROR(IF(INDEX('Faculties'!$O$91:$O$110,MATCH($F68,'Faculties'!$B$91:$B$110,0))="","Cell will autofill based on response",INDEX('Faculties'!$O$91:$O$110,MATCH($F68,'Faculties'!$B$91:$B$110,0))),"N/A")</f>
        <v/>
      </c>
      <c r="L68" s="25">
        <f>IFERROR(IF(INDEX('CI&amp;S'!$O$10:$O$14,MATCH($F68,'CI&amp;S'!$B$10:$B$14,0))="","Cell will autofill based on response",INDEX('CI&amp;S'!$O$10:$O$14,MATCH($F68,'CI&amp;S'!$B$10:$B$14,0))),"N/A")</f>
        <v/>
      </c>
      <c r="M68" s="25">
        <f>IFERROR(IF(INDEX('CI&amp;S'!$O$22:$O$38,MATCH($F68,'CI&amp;S'!$B$22:$B$38,0))="","Cell will autofill based on response",INDEX('CI&amp;S'!$O$22:$O$38,MATCH($F68,'CI&amp;S'!$B$22:$B$38,0))),"N/A")</f>
        <v/>
      </c>
      <c r="N68" s="25">
        <f>IFERROR(IF(INDEX('CFOG'!$O$10:$O$15,MATCH($F68,'CFOG'!$B$10:$B$15,0))="","Cell will autofill based on response",INDEX('CFOG'!$O$10:$O$15,MATCH($F68,'CFOG'!$B$10:$B$15,0))),"N/A")</f>
        <v/>
      </c>
      <c r="O68" s="25">
        <f>IFERROR(IF(INDEX('CFOG'!$O$23:$O$23,MATCH($F68,'CFOG'!$B$23:$B$23,0))="","Cell will autofill based on response",INDEX('CFOG'!$O$23:$O$23,MATCH($F68,'CFOG'!$B$23:$B$23,0))),"N/A")</f>
        <v/>
      </c>
      <c r="P68" s="25">
        <f>IFERROR(IF(INDEX('ESG'!$O$10:$O$16,MATCH($F68,'ESG'!$B$10:$B$16,0))="","Cell will autofill based on response",INDEX('ESG'!$O$10:$O$16,MATCH($F68,'ESG'!$B$10:$B$16,0))),"N/A")</f>
        <v/>
      </c>
      <c r="Q68" s="25">
        <f>IFERROR(IF(INDEX('CIOG'!$O$10:$O$13,MATCH($F68,'CIOG'!$B$10:$B$13,0))="","Cell will autofill based on response",INDEX('CIOG'!$O$10:$O$13,MATCH($F68,'CIOG'!$B$10:$B$13,0))),"N/A")</f>
        <v/>
      </c>
      <c r="R68" s="25">
        <f>IFERROR(IF(INDEX('MRE'!$O$10:$O$11,MATCH($F68,'MRE'!$B$10:$B$11,0))="","Cell will autofill based on response",INDEX('MRE'!$O$10:$O$11,MATCH($F68,'MRE'!$B$10:$B$11,0))),"N/A")</f>
        <v/>
      </c>
    </row>
    <row r="69">
      <c r="A69">
        <f>F69&amp;"|"&amp;G69</f>
        <v/>
      </c>
      <c r="B69" s="29" t="inlineStr"/>
      <c r="C69" s="8" t="inlineStr"/>
      <c r="D69" s="8" t="inlineStr"/>
      <c r="E69" s="8" t="inlineStr"/>
      <c r="F69" s="8" t="inlineStr">
        <is>
          <t>TR2(b)</t>
        </is>
      </c>
      <c r="G69" s="8" t="inlineStr">
        <is>
          <t>Data source and limitations</t>
        </is>
      </c>
      <c r="H69" s="25">
        <f>IFERROR(IF(INDEX('Faculties'!$P$10:$P$29,MATCH($F69,'Faculties'!$B$10:$B$29,0))="","Cell will autofill based on response",INDEX('Faculties'!$P$10:$P$29,MATCH($F69,'Faculties'!$B$10:$B$29,0))),"N/A")</f>
        <v/>
      </c>
      <c r="I69" s="25">
        <f>IFERROR(IF(INDEX('Faculties'!$P$37:$P$56,MATCH($F69,'Faculties'!$B$37:$B$56,0))="","Cell will autofill based on response",INDEX('Faculties'!$P$37:$P$56,MATCH($F69,'Faculties'!$B$37:$B$56,0))),"N/A")</f>
        <v/>
      </c>
      <c r="J69" s="25">
        <f>IFERROR(IF(INDEX('Faculties'!$P$64:$P$83,MATCH($F69,'Faculties'!$B$64:$B$83,0))="","Cell will autofill based on response",INDEX('Faculties'!$P$64:$P$83,MATCH($F69,'Faculties'!$B$64:$B$83,0))),"N/A")</f>
        <v/>
      </c>
      <c r="K69" s="25">
        <f>IFERROR(IF(INDEX('Faculties'!$P$91:$P$110,MATCH($F69,'Faculties'!$B$91:$B$110,0))="","Cell will autofill based on response",INDEX('Faculties'!$P$91:$P$110,MATCH($F69,'Faculties'!$B$91:$B$110,0))),"N/A")</f>
        <v/>
      </c>
      <c r="L69" s="25">
        <f>IFERROR(IF(INDEX('CI&amp;S'!$P$10:$P$14,MATCH($F69,'CI&amp;S'!$B$10:$B$14,0))="","Cell will autofill based on response",INDEX('CI&amp;S'!$P$10:$P$14,MATCH($F69,'CI&amp;S'!$B$10:$B$14,0))),"N/A")</f>
        <v/>
      </c>
      <c r="M69" s="25">
        <f>IFERROR(IF(INDEX('CI&amp;S'!$P$22:$P$38,MATCH($F69,'CI&amp;S'!$B$22:$B$38,0))="","Cell will autofill based on response",INDEX('CI&amp;S'!$P$22:$P$38,MATCH($F69,'CI&amp;S'!$B$22:$B$38,0))),"N/A")</f>
        <v/>
      </c>
      <c r="N69" s="25">
        <f>IFERROR(IF(INDEX('CFOG'!$P$10:$P$15,MATCH($F69,'CFOG'!$B$10:$B$15,0))="","Cell will autofill based on response",INDEX('CFOG'!$P$10:$P$15,MATCH($F69,'CFOG'!$B$10:$B$15,0))),"N/A")</f>
        <v/>
      </c>
      <c r="O69" s="25">
        <f>IFERROR(IF(INDEX('CFOG'!$P$23:$P$23,MATCH($F69,'CFOG'!$B$23:$B$23,0))="","Cell will autofill based on response",INDEX('CFOG'!$P$23:$P$23,MATCH($F69,'CFOG'!$B$23:$B$23,0))),"N/A")</f>
        <v/>
      </c>
      <c r="P69" s="25">
        <f>IFERROR(IF(INDEX('ESG'!$P$10:$P$16,MATCH($F69,'ESG'!$B$10:$B$16,0))="","Cell will autofill based on response",INDEX('ESG'!$P$10:$P$16,MATCH($F69,'ESG'!$B$10:$B$16,0))),"N/A")</f>
        <v/>
      </c>
      <c r="Q69" s="25">
        <f>IFERROR(IF(INDEX('CIOG'!$P$10:$P$13,MATCH($F69,'CIOG'!$B$10:$B$13,0))="","Cell will autofill based on response",INDEX('CIOG'!$P$10:$P$13,MATCH($F69,'CIOG'!$B$10:$B$13,0))),"N/A")</f>
        <v/>
      </c>
      <c r="R69" s="25">
        <f>IFERROR(IF(INDEX('MRE'!$P$10:$P$11,MATCH($F69,'MRE'!$B$10:$B$11,0))="","Cell will autofill based on response",INDEX('MRE'!$P$10:$P$11,MATCH($F69,'MRE'!$B$10:$B$11,0))),"N/A")</f>
        <v/>
      </c>
    </row>
    <row r="70">
      <c r="A70">
        <f>F70&amp;"|"&amp;G70</f>
        <v/>
      </c>
      <c r="B70" s="29" t="inlineStr"/>
      <c r="C70" s="8" t="inlineStr"/>
      <c r="D70" s="8" t="inlineStr"/>
      <c r="E70" s="8" t="inlineStr"/>
      <c r="F70" s="8" t="inlineStr">
        <is>
          <t>TR2(b)</t>
        </is>
      </c>
      <c r="G70" s="8" t="inlineStr">
        <is>
          <t>Data owner confirms</t>
        </is>
      </c>
      <c r="H70" s="25">
        <f>IFERROR(IF(INDEX('Faculties'!$Q$10:$Q$29,MATCH($F70,'Faculties'!$B$10:$B$29,0))="","Cell will autofill based on response",INDEX('Faculties'!$Q$10:$Q$29,MATCH($F70,'Faculties'!$B$10:$B$29,0))),"N/A")</f>
        <v/>
      </c>
      <c r="I70" s="25">
        <f>IFERROR(IF(INDEX('Faculties'!$Q$37:$Q$56,MATCH($F70,'Faculties'!$B$37:$B$56,0))="","Cell will autofill based on response",INDEX('Faculties'!$Q$37:$Q$56,MATCH($F70,'Faculties'!$B$37:$B$56,0))),"N/A")</f>
        <v/>
      </c>
      <c r="J70" s="25">
        <f>IFERROR(IF(INDEX('Faculties'!$Q$64:$Q$83,MATCH($F70,'Faculties'!$B$64:$B$83,0))="","Cell will autofill based on response",INDEX('Faculties'!$Q$64:$Q$83,MATCH($F70,'Faculties'!$B$64:$B$83,0))),"N/A")</f>
        <v/>
      </c>
      <c r="K70" s="25">
        <f>IFERROR(IF(INDEX('Faculties'!$Q$91:$Q$110,MATCH($F70,'Faculties'!$B$91:$B$110,0))="","Cell will autofill based on response",INDEX('Faculties'!$Q$91:$Q$110,MATCH($F70,'Faculties'!$B$91:$B$110,0))),"N/A")</f>
        <v/>
      </c>
      <c r="L70" s="25">
        <f>IFERROR(IF(INDEX('CI&amp;S'!$Q$10:$Q$14,MATCH($F70,'CI&amp;S'!$B$10:$B$14,0))="","Cell will autofill based on response",INDEX('CI&amp;S'!$Q$10:$Q$14,MATCH($F70,'CI&amp;S'!$B$10:$B$14,0))),"N/A")</f>
        <v/>
      </c>
      <c r="M70" s="25">
        <f>IFERROR(IF(INDEX('CI&amp;S'!$Q$22:$Q$38,MATCH($F70,'CI&amp;S'!$B$22:$B$38,0))="","Cell will autofill based on response",INDEX('CI&amp;S'!$Q$22:$Q$38,MATCH($F70,'CI&amp;S'!$B$22:$B$38,0))),"N/A")</f>
        <v/>
      </c>
      <c r="N70" s="25">
        <f>IFERROR(IF(INDEX('CFOG'!$Q$10:$Q$15,MATCH($F70,'CFOG'!$B$10:$B$15,0))="","Cell will autofill based on response",INDEX('CFOG'!$Q$10:$Q$15,MATCH($F70,'CFOG'!$B$10:$B$15,0))),"N/A")</f>
        <v/>
      </c>
      <c r="O70" s="25">
        <f>IFERROR(IF(INDEX('CFOG'!$Q$23:$Q$23,MATCH($F70,'CFOG'!$B$23:$B$23,0))="","Cell will autofill based on response",INDEX('CFOG'!$Q$23:$Q$23,MATCH($F70,'CFOG'!$B$23:$B$23,0))),"N/A")</f>
        <v/>
      </c>
      <c r="P70" s="25">
        <f>IFERROR(IF(INDEX('ESG'!$Q$10:$Q$16,MATCH($F70,'ESG'!$B$10:$B$16,0))="","Cell will autofill based on response",INDEX('ESG'!$Q$10:$Q$16,MATCH($F70,'ESG'!$B$10:$B$16,0))),"N/A")</f>
        <v/>
      </c>
      <c r="Q70" s="25">
        <f>IFERROR(IF(INDEX('CIOG'!$Q$10:$Q$13,MATCH($F70,'CIOG'!$B$10:$B$13,0))="","Cell will autofill based on response",INDEX('CIOG'!$Q$10:$Q$13,MATCH($F70,'CIOG'!$B$10:$B$13,0))),"N/A")</f>
        <v/>
      </c>
      <c r="R70" s="25">
        <f>IFERROR(IF(INDEX('MRE'!$Q$10:$Q$11,MATCH($F70,'MRE'!$B$10:$B$11,0))="","Cell will autofill based on response",INDEX('MRE'!$Q$10:$Q$11,MATCH($F70,'MRE'!$B$10:$B$11,0))),"N/A")</f>
        <v/>
      </c>
    </row>
    <row r="71">
      <c r="A71">
        <f>F71&amp;"|"&amp;G71</f>
        <v/>
      </c>
      <c r="B71" s="7" t="inlineStr">
        <is>
          <t>TR2(c)</t>
        </is>
      </c>
      <c r="C71" s="12" t="inlineStr">
        <is>
          <t>Transformational research</t>
        </is>
      </c>
      <c r="D71" s="12" t="inlineStr">
        <is>
          <t>Expert-reviewed summary of sustainability-related research outputs, outcomes and influence using available institutional evidence sources</t>
        </is>
      </c>
      <c r="E71" s="12" t="inlineStr">
        <is>
          <t>currently mapped to the SDGs using SciVal</t>
        </is>
      </c>
      <c r="F71" s="12" t="inlineStr">
        <is>
          <t>TR2(c)</t>
        </is>
      </c>
      <c r="G71" s="12" t="inlineStr">
        <is>
          <t>Confirm end-2026 target status</t>
        </is>
      </c>
      <c r="H71" s="25">
        <f>IFERROR(IF(INDEX('Faculties'!$L$10:$L$29,MATCH($F71,'Faculties'!$B$10:$B$29,0))="","Cell will autofill based on response",INDEX('Faculties'!$L$10:$L$29,MATCH($F71,'Faculties'!$B$10:$B$29,0))),"N/A")</f>
        <v/>
      </c>
      <c r="I71" s="25">
        <f>IFERROR(IF(INDEX('Faculties'!$L$37:$L$56,MATCH($F71,'Faculties'!$B$37:$B$56,0))="","Cell will autofill based on response",INDEX('Faculties'!$L$37:$L$56,MATCH($F71,'Faculties'!$B$37:$B$56,0))),"N/A")</f>
        <v/>
      </c>
      <c r="J71" s="25">
        <f>IFERROR(IF(INDEX('Faculties'!$L$64:$L$83,MATCH($F71,'Faculties'!$B$64:$B$83,0))="","Cell will autofill based on response",INDEX('Faculties'!$L$64:$L$83,MATCH($F71,'Faculties'!$B$64:$B$83,0))),"N/A")</f>
        <v/>
      </c>
      <c r="K71" s="25">
        <f>IFERROR(IF(INDEX('Faculties'!$L$91:$L$110,MATCH($F71,'Faculties'!$B$91:$B$110,0))="","Cell will autofill based on response",INDEX('Faculties'!$L$91:$L$110,MATCH($F71,'Faculties'!$B$91:$B$110,0))),"N/A")</f>
        <v/>
      </c>
      <c r="L71" s="25">
        <f>IFERROR(IF(INDEX('CI&amp;S'!$L$10:$L$14,MATCH($F71,'CI&amp;S'!$B$10:$B$14,0))="","Cell will autofill based on response",INDEX('CI&amp;S'!$L$10:$L$14,MATCH($F71,'CI&amp;S'!$B$10:$B$14,0))),"N/A")</f>
        <v/>
      </c>
      <c r="M71" s="25">
        <f>IFERROR(IF(INDEX('CI&amp;S'!$L$22:$L$38,MATCH($F71,'CI&amp;S'!$B$22:$B$38,0))="","Cell will autofill based on response",INDEX('CI&amp;S'!$L$22:$L$38,MATCH($F71,'CI&amp;S'!$B$22:$B$38,0))),"N/A")</f>
        <v/>
      </c>
      <c r="N71" s="25">
        <f>IFERROR(IF(INDEX('CFOG'!$L$10:$L$15,MATCH($F71,'CFOG'!$B$10:$B$15,0))="","Cell will autofill based on response",INDEX('CFOG'!$L$10:$L$15,MATCH($F71,'CFOG'!$B$10:$B$15,0))),"N/A")</f>
        <v/>
      </c>
      <c r="O71" s="25">
        <f>IFERROR(IF(INDEX('CFOG'!$L$23:$L$23,MATCH($F71,'CFOG'!$B$23:$B$23,0))="","Cell will autofill based on response",INDEX('CFOG'!$L$23:$L$23,MATCH($F71,'CFOG'!$B$23:$B$23,0))),"N/A")</f>
        <v/>
      </c>
      <c r="P71" s="25">
        <f>IFERROR(IF(INDEX('ESG'!$L$10:$L$16,MATCH($F71,'ESG'!$B$10:$B$16,0))="","Cell will autofill based on response",INDEX('ESG'!$L$10:$L$16,MATCH($F71,'ESG'!$B$10:$B$16,0))),"N/A")</f>
        <v/>
      </c>
      <c r="Q71" s="25">
        <f>IFERROR(IF(INDEX('CIOG'!$L$10:$L$13,MATCH($F71,'CIOG'!$B$10:$B$13,0))="","Cell will autofill based on response",INDEX('CIOG'!$L$10:$L$13,MATCH($F71,'CIOG'!$B$10:$B$13,0))),"N/A")</f>
        <v/>
      </c>
      <c r="R71" s="25">
        <f>IFERROR(IF(INDEX('MRE'!$L$10:$L$11,MATCH($F71,'MRE'!$B$10:$B$11,0))="","Cell will autofill based on response",INDEX('MRE'!$L$10:$L$11,MATCH($F71,'MRE'!$B$10:$B$11,0))),"N/A")</f>
        <v/>
      </c>
      <c r="T71" s="26">
        <f>COUNTIF($H71:$R71,"Cell will autofill based on response")</f>
        <v/>
      </c>
      <c r="U71" s="26">
        <f>COUNTIF($H71:$R71,"Not yet started")</f>
        <v/>
      </c>
      <c r="V71" s="26">
        <f>COUNTIF($H71:$R71,"Not met")</f>
        <v/>
      </c>
      <c r="W71" s="26">
        <f>COUNTIF($H71:$R71,"Partially met")</f>
        <v/>
      </c>
      <c r="X71" s="26">
        <f>COUNTIF($H71:$R71,"Met or exceeded")</f>
        <v/>
      </c>
      <c r="Y71" s="26">
        <f>3*X71+2*W71+V71</f>
        <v/>
      </c>
      <c r="Z71" s="26">
        <f>X71+W71+V71+U71</f>
        <v/>
      </c>
      <c r="AA71" s="27">
        <f>IF(Z71&gt;0,Y71/Z71,"No valid responses to date")</f>
        <v/>
      </c>
      <c r="AB71" s="26">
        <f>IF(ISNUMBER(AA71),INDEX(Lists!$G$2:$G$5,MATCH(ROUND(AA71,0),Lists!$H$2:$H$5,0)),"")</f>
        <v/>
      </c>
      <c r="AC71" s="28">
        <f>IF(Z71&gt;0,X71/Z71,"")</f>
        <v/>
      </c>
      <c r="AD71" s="28">
        <f>IF(Z71&gt;0,(X71+W71)/Z71,"")</f>
        <v/>
      </c>
      <c r="AE71" s="26">
        <f>IF(Z71=0,"",IF(AC71&gt;0.75,"Met or exceeded",IF(AD71&gt;=0.5,"Partially met","Not met")))</f>
        <v/>
      </c>
    </row>
    <row r="72">
      <c r="A72">
        <f>F72&amp;"|"&amp;G72</f>
        <v/>
      </c>
      <c r="B72" s="29" t="inlineStr"/>
      <c r="C72" s="8" t="inlineStr"/>
      <c r="D72" s="8" t="inlineStr"/>
      <c r="E72" s="8" t="inlineStr"/>
      <c r="F72" s="8" t="inlineStr">
        <is>
          <t>TR2(c)</t>
        </is>
      </c>
      <c r="G72" s="8" t="inlineStr">
        <is>
          <t>OPTION 1:  Target-level reporting</t>
        </is>
      </c>
      <c r="H72" s="25">
        <f>IFERROR(IF(INDEX('Faculties'!$M$10:$M$29,MATCH($F72,'Faculties'!$B$10:$B$29,0))="","Cell will autofill based on response",INDEX('Faculties'!$M$10:$M$29,MATCH($F72,'Faculties'!$B$10:$B$29,0))),"N/A")</f>
        <v/>
      </c>
      <c r="I72" s="25">
        <f>IFERROR(IF(INDEX('Faculties'!$M$37:$M$56,MATCH($F72,'Faculties'!$B$37:$B$56,0))="","Cell will autofill based on response",INDEX('Faculties'!$M$37:$M$56,MATCH($F72,'Faculties'!$B$37:$B$56,0))),"N/A")</f>
        <v/>
      </c>
      <c r="J72" s="25">
        <f>IFERROR(IF(INDEX('Faculties'!$M$64:$M$83,MATCH($F72,'Faculties'!$B$64:$B$83,0))="","Cell will autofill based on response",INDEX('Faculties'!$M$64:$M$83,MATCH($F72,'Faculties'!$B$64:$B$83,0))),"N/A")</f>
        <v/>
      </c>
      <c r="K72" s="25">
        <f>IFERROR(IF(INDEX('Faculties'!$M$91:$M$110,MATCH($F72,'Faculties'!$B$91:$B$110,0))="","Cell will autofill based on response",INDEX('Faculties'!$M$91:$M$110,MATCH($F72,'Faculties'!$B$91:$B$110,0))),"N/A")</f>
        <v/>
      </c>
      <c r="L72" s="25">
        <f>IFERROR(IF(INDEX('CI&amp;S'!$M$10:$M$14,MATCH($F72,'CI&amp;S'!$B$10:$B$14,0))="","Cell will autofill based on response",INDEX('CI&amp;S'!$M$10:$M$14,MATCH($F72,'CI&amp;S'!$B$10:$B$14,0))),"N/A")</f>
        <v/>
      </c>
      <c r="M72" s="25">
        <f>IFERROR(IF(INDEX('CI&amp;S'!$M$22:$M$38,MATCH($F72,'CI&amp;S'!$B$22:$B$38,0))="","Cell will autofill based on response",INDEX('CI&amp;S'!$M$22:$M$38,MATCH($F72,'CI&amp;S'!$B$22:$B$38,0))),"N/A")</f>
        <v/>
      </c>
      <c r="N72" s="25">
        <f>IFERROR(IF(INDEX('CFOG'!$M$10:$M$15,MATCH($F72,'CFOG'!$B$10:$B$15,0))="","Cell will autofill based on response",INDEX('CFOG'!$M$10:$M$15,MATCH($F72,'CFOG'!$B$10:$B$15,0))),"N/A")</f>
        <v/>
      </c>
      <c r="O72" s="25">
        <f>IFERROR(IF(INDEX('CFOG'!$M$23:$M$23,MATCH($F72,'CFOG'!$B$23:$B$23,0))="","Cell will autofill based on response",INDEX('CFOG'!$M$23:$M$23,MATCH($F72,'CFOG'!$B$23:$B$23,0))),"N/A")</f>
        <v/>
      </c>
      <c r="P72" s="25">
        <f>IFERROR(IF(INDEX('ESG'!$M$10:$M$16,MATCH($F72,'ESG'!$B$10:$B$16,0))="","Cell will autofill based on response",INDEX('ESG'!$M$10:$M$16,MATCH($F72,'ESG'!$B$10:$B$16,0))),"N/A")</f>
        <v/>
      </c>
      <c r="Q72" s="25">
        <f>IFERROR(IF(INDEX('CIOG'!$M$10:$M$13,MATCH($F72,'CIOG'!$B$10:$B$13,0))="","Cell will autofill based on response",INDEX('CIOG'!$M$10:$M$13,MATCH($F72,'CIOG'!$B$10:$B$13,0))),"N/A")</f>
        <v/>
      </c>
      <c r="R72" s="25">
        <f>IFERROR(IF(INDEX('MRE'!$M$10:$M$11,MATCH($F72,'MRE'!$B$10:$B$11,0))="","Cell will autofill based on response",INDEX('MRE'!$M$10:$M$11,MATCH($F72,'MRE'!$B$10:$B$11,0))),"N/A")</f>
        <v/>
      </c>
    </row>
    <row r="73">
      <c r="A73">
        <f>F73&amp;"|"&amp;G73</f>
        <v/>
      </c>
      <c r="B73" s="29" t="inlineStr"/>
      <c r="C73" s="8" t="inlineStr"/>
      <c r="D73" s="8" t="inlineStr"/>
      <c r="E73" s="8" t="inlineStr"/>
      <c r="F73" s="8" t="inlineStr">
        <is>
          <t>TR2(c)</t>
        </is>
      </c>
      <c r="G73" s="8" t="inlineStr">
        <is>
          <t>OPTION 2:  Indicator level reporting</t>
        </is>
      </c>
      <c r="H73" s="25">
        <f>IFERROR(IF(INDEX('Faculties'!$N$10:$N$29,MATCH($F73,'Faculties'!$B$10:$B$29,0))="","Cell will autofill based on response",INDEX('Faculties'!$N$10:$N$29,MATCH($F73,'Faculties'!$B$10:$B$29,0))),"N/A")</f>
        <v/>
      </c>
      <c r="I73" s="25">
        <f>IFERROR(IF(INDEX('Faculties'!$N$37:$N$56,MATCH($F73,'Faculties'!$B$37:$B$56,0))="","Cell will autofill based on response",INDEX('Faculties'!$N$37:$N$56,MATCH($F73,'Faculties'!$B$37:$B$56,0))),"N/A")</f>
        <v/>
      </c>
      <c r="J73" s="25">
        <f>IFERROR(IF(INDEX('Faculties'!$N$64:$N$83,MATCH($F73,'Faculties'!$B$64:$B$83,0))="","Cell will autofill based on response",INDEX('Faculties'!$N$64:$N$83,MATCH($F73,'Faculties'!$B$64:$B$83,0))),"N/A")</f>
        <v/>
      </c>
      <c r="K73" s="25">
        <f>IFERROR(IF(INDEX('Faculties'!$N$91:$N$110,MATCH($F73,'Faculties'!$B$91:$B$110,0))="","Cell will autofill based on response",INDEX('Faculties'!$N$91:$N$110,MATCH($F73,'Faculties'!$B$91:$B$110,0))),"N/A")</f>
        <v/>
      </c>
      <c r="L73" s="25">
        <f>IFERROR(IF(INDEX('CI&amp;S'!$N$10:$N$14,MATCH($F73,'CI&amp;S'!$B$10:$B$14,0))="","Cell will autofill based on response",INDEX('CI&amp;S'!$N$10:$N$14,MATCH($F73,'CI&amp;S'!$B$10:$B$14,0))),"N/A")</f>
        <v/>
      </c>
      <c r="M73" s="25">
        <f>IFERROR(IF(INDEX('CI&amp;S'!$N$22:$N$38,MATCH($F73,'CI&amp;S'!$B$22:$B$38,0))="","Cell will autofill based on response",INDEX('CI&amp;S'!$N$22:$N$38,MATCH($F73,'CI&amp;S'!$B$22:$B$38,0))),"N/A")</f>
        <v/>
      </c>
      <c r="N73" s="25">
        <f>IFERROR(IF(INDEX('CFOG'!$N$10:$N$15,MATCH($F73,'CFOG'!$B$10:$B$15,0))="","Cell will autofill based on response",INDEX('CFOG'!$N$10:$N$15,MATCH($F73,'CFOG'!$B$10:$B$15,0))),"N/A")</f>
        <v/>
      </c>
      <c r="O73" s="25">
        <f>IFERROR(IF(INDEX('CFOG'!$N$23:$N$23,MATCH($F73,'CFOG'!$B$23:$B$23,0))="","Cell will autofill based on response",INDEX('CFOG'!$N$23:$N$23,MATCH($F73,'CFOG'!$B$23:$B$23,0))),"N/A")</f>
        <v/>
      </c>
      <c r="P73" s="25">
        <f>IFERROR(IF(INDEX('ESG'!$N$10:$N$16,MATCH($F73,'ESG'!$B$10:$B$16,0))="","Cell will autofill based on response",INDEX('ESG'!$N$10:$N$16,MATCH($F73,'ESG'!$B$10:$B$16,0))),"N/A")</f>
        <v/>
      </c>
      <c r="Q73" s="25">
        <f>IFERROR(IF(INDEX('CIOG'!$N$10:$N$13,MATCH($F73,'CIOG'!$B$10:$B$13,0))="","Cell will autofill based on response",INDEX('CIOG'!$N$10:$N$13,MATCH($F73,'CIOG'!$B$10:$B$13,0))),"N/A")</f>
        <v/>
      </c>
      <c r="R73" s="25">
        <f>IFERROR(IF(INDEX('MRE'!$N$10:$N$11,MATCH($F73,'MRE'!$B$10:$B$11,0))="","Cell will autofill based on response",INDEX('MRE'!$N$10:$N$11,MATCH($F73,'MRE'!$B$10:$B$11,0))),"N/A")</f>
        <v/>
      </c>
    </row>
    <row r="74">
      <c r="A74">
        <f>F74&amp;"|"&amp;G74</f>
        <v/>
      </c>
      <c r="B74" s="29" t="inlineStr"/>
      <c r="C74" s="8" t="inlineStr"/>
      <c r="D74" s="8" t="inlineStr"/>
      <c r="E74" s="8" t="inlineStr"/>
      <c r="F74" s="8" t="inlineStr">
        <is>
          <t>TR2(c)</t>
        </is>
      </c>
      <c r="G74" s="8" t="inlineStr">
        <is>
          <t>Supporting information/comments</t>
        </is>
      </c>
      <c r="H74" s="25">
        <f>IFERROR(IF(INDEX('Faculties'!$O$10:$O$29,MATCH($F74,'Faculties'!$B$10:$B$29,0))="","Cell will autofill based on response",INDEX('Faculties'!$O$10:$O$29,MATCH($F74,'Faculties'!$B$10:$B$29,0))),"N/A")</f>
        <v/>
      </c>
      <c r="I74" s="25">
        <f>IFERROR(IF(INDEX('Faculties'!$O$37:$O$56,MATCH($F74,'Faculties'!$B$37:$B$56,0))="","Cell will autofill based on response",INDEX('Faculties'!$O$37:$O$56,MATCH($F74,'Faculties'!$B$37:$B$56,0))),"N/A")</f>
        <v/>
      </c>
      <c r="J74" s="25">
        <f>IFERROR(IF(INDEX('Faculties'!$O$64:$O$83,MATCH($F74,'Faculties'!$B$64:$B$83,0))="","Cell will autofill based on response",INDEX('Faculties'!$O$64:$O$83,MATCH($F74,'Faculties'!$B$64:$B$83,0))),"N/A")</f>
        <v/>
      </c>
      <c r="K74" s="25">
        <f>IFERROR(IF(INDEX('Faculties'!$O$91:$O$110,MATCH($F74,'Faculties'!$B$91:$B$110,0))="","Cell will autofill based on response",INDEX('Faculties'!$O$91:$O$110,MATCH($F74,'Faculties'!$B$91:$B$110,0))),"N/A")</f>
        <v/>
      </c>
      <c r="L74" s="25">
        <f>IFERROR(IF(INDEX('CI&amp;S'!$O$10:$O$14,MATCH($F74,'CI&amp;S'!$B$10:$B$14,0))="","Cell will autofill based on response",INDEX('CI&amp;S'!$O$10:$O$14,MATCH($F74,'CI&amp;S'!$B$10:$B$14,0))),"N/A")</f>
        <v/>
      </c>
      <c r="M74" s="25">
        <f>IFERROR(IF(INDEX('CI&amp;S'!$O$22:$O$38,MATCH($F74,'CI&amp;S'!$B$22:$B$38,0))="","Cell will autofill based on response",INDEX('CI&amp;S'!$O$22:$O$38,MATCH($F74,'CI&amp;S'!$B$22:$B$38,0))),"N/A")</f>
        <v/>
      </c>
      <c r="N74" s="25">
        <f>IFERROR(IF(INDEX('CFOG'!$O$10:$O$15,MATCH($F74,'CFOG'!$B$10:$B$15,0))="","Cell will autofill based on response",INDEX('CFOG'!$O$10:$O$15,MATCH($F74,'CFOG'!$B$10:$B$15,0))),"N/A")</f>
        <v/>
      </c>
      <c r="O74" s="25">
        <f>IFERROR(IF(INDEX('CFOG'!$O$23:$O$23,MATCH($F74,'CFOG'!$B$23:$B$23,0))="","Cell will autofill based on response",INDEX('CFOG'!$O$23:$O$23,MATCH($F74,'CFOG'!$B$23:$B$23,0))),"N/A")</f>
        <v/>
      </c>
      <c r="P74" s="25">
        <f>IFERROR(IF(INDEX('ESG'!$O$10:$O$16,MATCH($F74,'ESG'!$B$10:$B$16,0))="","Cell will autofill based on response",INDEX('ESG'!$O$10:$O$16,MATCH($F74,'ESG'!$B$10:$B$16,0))),"N/A")</f>
        <v/>
      </c>
      <c r="Q74" s="25">
        <f>IFERROR(IF(INDEX('CIOG'!$O$10:$O$13,MATCH($F74,'CIOG'!$B$10:$B$13,0))="","Cell will autofill based on response",INDEX('CIOG'!$O$10:$O$13,MATCH($F74,'CIOG'!$B$10:$B$13,0))),"N/A")</f>
        <v/>
      </c>
      <c r="R74" s="25">
        <f>IFERROR(IF(INDEX('MRE'!$O$10:$O$11,MATCH($F74,'MRE'!$B$10:$B$11,0))="","Cell will autofill based on response",INDEX('MRE'!$O$10:$O$11,MATCH($F74,'MRE'!$B$10:$B$11,0))),"N/A")</f>
        <v/>
      </c>
    </row>
    <row r="75">
      <c r="A75">
        <f>F75&amp;"|"&amp;G75</f>
        <v/>
      </c>
      <c r="B75" s="29" t="inlineStr"/>
      <c r="C75" s="8" t="inlineStr"/>
      <c r="D75" s="8" t="inlineStr"/>
      <c r="E75" s="8" t="inlineStr"/>
      <c r="F75" s="8" t="inlineStr">
        <is>
          <t>TR2(c)</t>
        </is>
      </c>
      <c r="G75" s="8" t="inlineStr">
        <is>
          <t>Data source and limitations</t>
        </is>
      </c>
      <c r="H75" s="25">
        <f>IFERROR(IF(INDEX('Faculties'!$P$10:$P$29,MATCH($F75,'Faculties'!$B$10:$B$29,0))="","Cell will autofill based on response",INDEX('Faculties'!$P$10:$P$29,MATCH($F75,'Faculties'!$B$10:$B$29,0))),"N/A")</f>
        <v/>
      </c>
      <c r="I75" s="25">
        <f>IFERROR(IF(INDEX('Faculties'!$P$37:$P$56,MATCH($F75,'Faculties'!$B$37:$B$56,0))="","Cell will autofill based on response",INDEX('Faculties'!$P$37:$P$56,MATCH($F75,'Faculties'!$B$37:$B$56,0))),"N/A")</f>
        <v/>
      </c>
      <c r="J75" s="25">
        <f>IFERROR(IF(INDEX('Faculties'!$P$64:$P$83,MATCH($F75,'Faculties'!$B$64:$B$83,0))="","Cell will autofill based on response",INDEX('Faculties'!$P$64:$P$83,MATCH($F75,'Faculties'!$B$64:$B$83,0))),"N/A")</f>
        <v/>
      </c>
      <c r="K75" s="25">
        <f>IFERROR(IF(INDEX('Faculties'!$P$91:$P$110,MATCH($F75,'Faculties'!$B$91:$B$110,0))="","Cell will autofill based on response",INDEX('Faculties'!$P$91:$P$110,MATCH($F75,'Faculties'!$B$91:$B$110,0))),"N/A")</f>
        <v/>
      </c>
      <c r="L75" s="25">
        <f>IFERROR(IF(INDEX('CI&amp;S'!$P$10:$P$14,MATCH($F75,'CI&amp;S'!$B$10:$B$14,0))="","Cell will autofill based on response",INDEX('CI&amp;S'!$P$10:$P$14,MATCH($F75,'CI&amp;S'!$B$10:$B$14,0))),"N/A")</f>
        <v/>
      </c>
      <c r="M75" s="25">
        <f>IFERROR(IF(INDEX('CI&amp;S'!$P$22:$P$38,MATCH($F75,'CI&amp;S'!$B$22:$B$38,0))="","Cell will autofill based on response",INDEX('CI&amp;S'!$P$22:$P$38,MATCH($F75,'CI&amp;S'!$B$22:$B$38,0))),"N/A")</f>
        <v/>
      </c>
      <c r="N75" s="25">
        <f>IFERROR(IF(INDEX('CFOG'!$P$10:$P$15,MATCH($F75,'CFOG'!$B$10:$B$15,0))="","Cell will autofill based on response",INDEX('CFOG'!$P$10:$P$15,MATCH($F75,'CFOG'!$B$10:$B$15,0))),"N/A")</f>
        <v/>
      </c>
      <c r="O75" s="25">
        <f>IFERROR(IF(INDEX('CFOG'!$P$23:$P$23,MATCH($F75,'CFOG'!$B$23:$B$23,0))="","Cell will autofill based on response",INDEX('CFOG'!$P$23:$P$23,MATCH($F75,'CFOG'!$B$23:$B$23,0))),"N/A")</f>
        <v/>
      </c>
      <c r="P75" s="25">
        <f>IFERROR(IF(INDEX('ESG'!$P$10:$P$16,MATCH($F75,'ESG'!$B$10:$B$16,0))="","Cell will autofill based on response",INDEX('ESG'!$P$10:$P$16,MATCH($F75,'ESG'!$B$10:$B$16,0))),"N/A")</f>
        <v/>
      </c>
      <c r="Q75" s="25">
        <f>IFERROR(IF(INDEX('CIOG'!$P$10:$P$13,MATCH($F75,'CIOG'!$B$10:$B$13,0))="","Cell will autofill based on response",INDEX('CIOG'!$P$10:$P$13,MATCH($F75,'CIOG'!$B$10:$B$13,0))),"N/A")</f>
        <v/>
      </c>
      <c r="R75" s="25">
        <f>IFERROR(IF(INDEX('MRE'!$P$10:$P$11,MATCH($F75,'MRE'!$B$10:$B$11,0))="","Cell will autofill based on response",INDEX('MRE'!$P$10:$P$11,MATCH($F75,'MRE'!$B$10:$B$11,0))),"N/A")</f>
        <v/>
      </c>
    </row>
    <row r="76">
      <c r="A76">
        <f>F76&amp;"|"&amp;G76</f>
        <v/>
      </c>
      <c r="B76" s="29" t="inlineStr"/>
      <c r="C76" s="8" t="inlineStr"/>
      <c r="D76" s="8" t="inlineStr"/>
      <c r="E76" s="8" t="inlineStr"/>
      <c r="F76" s="8" t="inlineStr">
        <is>
          <t>TR2(c)</t>
        </is>
      </c>
      <c r="G76" s="8" t="inlineStr">
        <is>
          <t>Data owner confirms</t>
        </is>
      </c>
      <c r="H76" s="25">
        <f>IFERROR(IF(INDEX('Faculties'!$Q$10:$Q$29,MATCH($F76,'Faculties'!$B$10:$B$29,0))="","Cell will autofill based on response",INDEX('Faculties'!$Q$10:$Q$29,MATCH($F76,'Faculties'!$B$10:$B$29,0))),"N/A")</f>
        <v/>
      </c>
      <c r="I76" s="25">
        <f>IFERROR(IF(INDEX('Faculties'!$Q$37:$Q$56,MATCH($F76,'Faculties'!$B$37:$B$56,0))="","Cell will autofill based on response",INDEX('Faculties'!$Q$37:$Q$56,MATCH($F76,'Faculties'!$B$37:$B$56,0))),"N/A")</f>
        <v/>
      </c>
      <c r="J76" s="25">
        <f>IFERROR(IF(INDEX('Faculties'!$Q$64:$Q$83,MATCH($F76,'Faculties'!$B$64:$B$83,0))="","Cell will autofill based on response",INDEX('Faculties'!$Q$64:$Q$83,MATCH($F76,'Faculties'!$B$64:$B$83,0))),"N/A")</f>
        <v/>
      </c>
      <c r="K76" s="25">
        <f>IFERROR(IF(INDEX('Faculties'!$Q$91:$Q$110,MATCH($F76,'Faculties'!$B$91:$B$110,0))="","Cell will autofill based on response",INDEX('Faculties'!$Q$91:$Q$110,MATCH($F76,'Faculties'!$B$91:$B$110,0))),"N/A")</f>
        <v/>
      </c>
      <c r="L76" s="25">
        <f>IFERROR(IF(INDEX('CI&amp;S'!$Q$10:$Q$14,MATCH($F76,'CI&amp;S'!$B$10:$B$14,0))="","Cell will autofill based on response",INDEX('CI&amp;S'!$Q$10:$Q$14,MATCH($F76,'CI&amp;S'!$B$10:$B$14,0))),"N/A")</f>
        <v/>
      </c>
      <c r="M76" s="25">
        <f>IFERROR(IF(INDEX('CI&amp;S'!$Q$22:$Q$38,MATCH($F76,'CI&amp;S'!$B$22:$B$38,0))="","Cell will autofill based on response",INDEX('CI&amp;S'!$Q$22:$Q$38,MATCH($F76,'CI&amp;S'!$B$22:$B$38,0))),"N/A")</f>
        <v/>
      </c>
      <c r="N76" s="25">
        <f>IFERROR(IF(INDEX('CFOG'!$Q$10:$Q$15,MATCH($F76,'CFOG'!$B$10:$B$15,0))="","Cell will autofill based on response",INDEX('CFOG'!$Q$10:$Q$15,MATCH($F76,'CFOG'!$B$10:$B$15,0))),"N/A")</f>
        <v/>
      </c>
      <c r="O76" s="25">
        <f>IFERROR(IF(INDEX('CFOG'!$Q$23:$Q$23,MATCH($F76,'CFOG'!$B$23:$B$23,0))="","Cell will autofill based on response",INDEX('CFOG'!$Q$23:$Q$23,MATCH($F76,'CFOG'!$B$23:$B$23,0))),"N/A")</f>
        <v/>
      </c>
      <c r="P76" s="25">
        <f>IFERROR(IF(INDEX('ESG'!$Q$10:$Q$16,MATCH($F76,'ESG'!$B$10:$B$16,0))="","Cell will autofill based on response",INDEX('ESG'!$Q$10:$Q$16,MATCH($F76,'ESG'!$B$10:$B$16,0))),"N/A")</f>
        <v/>
      </c>
      <c r="Q76" s="25">
        <f>IFERROR(IF(INDEX('CIOG'!$Q$10:$Q$13,MATCH($F76,'CIOG'!$B$10:$B$13,0))="","Cell will autofill based on response",INDEX('CIOG'!$Q$10:$Q$13,MATCH($F76,'CIOG'!$B$10:$B$13,0))),"N/A")</f>
        <v/>
      </c>
      <c r="R76" s="25">
        <f>IFERROR(IF(INDEX('MRE'!$Q$10:$Q$11,MATCH($F76,'MRE'!$B$10:$B$11,0))="","Cell will autofill based on response",INDEX('MRE'!$Q$10:$Q$11,MATCH($F76,'MRE'!$B$10:$B$11,0))),"N/A")</f>
        <v/>
      </c>
    </row>
    <row r="77">
      <c r="A77">
        <f>F77&amp;"|"&amp;G77</f>
        <v/>
      </c>
      <c r="B77" s="7" t="inlineStr">
        <is>
          <t>TR2(d)</t>
        </is>
      </c>
      <c r="C77" s="12" t="inlineStr">
        <is>
          <t>Transformational research</t>
        </is>
      </c>
      <c r="D77" s="12" t="inlineStr">
        <is>
          <t>Case-based evidence demonstrating how research has contributed to meaningful sustainability outcomes.</t>
        </is>
      </c>
      <c r="E77"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7" s="12" t="inlineStr">
        <is>
          <t>TR2(d)</t>
        </is>
      </c>
      <c r="G77" s="12" t="inlineStr">
        <is>
          <t>Confirm end-2026 target status</t>
        </is>
      </c>
      <c r="H77" s="25">
        <f>IFERROR(IF(INDEX('Faculties'!$L$10:$L$29,MATCH($F77,'Faculties'!$B$10:$B$29,0))="","Cell will autofill based on response",INDEX('Faculties'!$L$10:$L$29,MATCH($F77,'Faculties'!$B$10:$B$29,0))),"N/A")</f>
        <v/>
      </c>
      <c r="I77" s="25">
        <f>IFERROR(IF(INDEX('Faculties'!$L$37:$L$56,MATCH($F77,'Faculties'!$B$37:$B$56,0))="","Cell will autofill based on response",INDEX('Faculties'!$L$37:$L$56,MATCH($F77,'Faculties'!$B$37:$B$56,0))),"N/A")</f>
        <v/>
      </c>
      <c r="J77" s="25">
        <f>IFERROR(IF(INDEX('Faculties'!$L$64:$L$83,MATCH($F77,'Faculties'!$B$64:$B$83,0))="","Cell will autofill based on response",INDEX('Faculties'!$L$64:$L$83,MATCH($F77,'Faculties'!$B$64:$B$83,0))),"N/A")</f>
        <v/>
      </c>
      <c r="K77" s="25">
        <f>IFERROR(IF(INDEX('Faculties'!$L$91:$L$110,MATCH($F77,'Faculties'!$B$91:$B$110,0))="","Cell will autofill based on response",INDEX('Faculties'!$L$91:$L$110,MATCH($F77,'Faculties'!$B$91:$B$110,0))),"N/A")</f>
        <v/>
      </c>
      <c r="L77" s="25">
        <f>IFERROR(IF(INDEX('CI&amp;S'!$L$10:$L$14,MATCH($F77,'CI&amp;S'!$B$10:$B$14,0))="","Cell will autofill based on response",INDEX('CI&amp;S'!$L$10:$L$14,MATCH($F77,'CI&amp;S'!$B$10:$B$14,0))),"N/A")</f>
        <v/>
      </c>
      <c r="M77" s="25">
        <f>IFERROR(IF(INDEX('CI&amp;S'!$L$22:$L$38,MATCH($F77,'CI&amp;S'!$B$22:$B$38,0))="","Cell will autofill based on response",INDEX('CI&amp;S'!$L$22:$L$38,MATCH($F77,'CI&amp;S'!$B$22:$B$38,0))),"N/A")</f>
        <v/>
      </c>
      <c r="N77" s="25">
        <f>IFERROR(IF(INDEX('CFOG'!$L$10:$L$15,MATCH($F77,'CFOG'!$B$10:$B$15,0))="","Cell will autofill based on response",INDEX('CFOG'!$L$10:$L$15,MATCH($F77,'CFOG'!$B$10:$B$15,0))),"N/A")</f>
        <v/>
      </c>
      <c r="O77" s="25">
        <f>IFERROR(IF(INDEX('CFOG'!$L$23:$L$23,MATCH($F77,'CFOG'!$B$23:$B$23,0))="","Cell will autofill based on response",INDEX('CFOG'!$L$23:$L$23,MATCH($F77,'CFOG'!$B$23:$B$23,0))),"N/A")</f>
        <v/>
      </c>
      <c r="P77" s="25">
        <f>IFERROR(IF(INDEX('ESG'!$L$10:$L$16,MATCH($F77,'ESG'!$B$10:$B$16,0))="","Cell will autofill based on response",INDEX('ESG'!$L$10:$L$16,MATCH($F77,'ESG'!$B$10:$B$16,0))),"N/A")</f>
        <v/>
      </c>
      <c r="Q77" s="25">
        <f>IFERROR(IF(INDEX('CIOG'!$L$10:$L$13,MATCH($F77,'CIOG'!$B$10:$B$13,0))="","Cell will autofill based on response",INDEX('CIOG'!$L$10:$L$13,MATCH($F77,'CIOG'!$B$10:$B$13,0))),"N/A")</f>
        <v/>
      </c>
      <c r="R77" s="25">
        <f>IFERROR(IF(INDEX('MRE'!$L$10:$L$11,MATCH($F77,'MRE'!$B$10:$B$11,0))="","Cell will autofill based on response",INDEX('MRE'!$L$10:$L$11,MATCH($F77,'MRE'!$B$10:$B$11,0))),"N/A")</f>
        <v/>
      </c>
      <c r="T77" s="26">
        <f>COUNTIF($H77:$R77,"Cell will autofill based on response")</f>
        <v/>
      </c>
      <c r="U77" s="26">
        <f>COUNTIF($H77:$R77,"Not yet started")</f>
        <v/>
      </c>
      <c r="V77" s="26">
        <f>COUNTIF($H77:$R77,"Not met")</f>
        <v/>
      </c>
      <c r="W77" s="26">
        <f>COUNTIF($H77:$R77,"Partially met")</f>
        <v/>
      </c>
      <c r="X77" s="26">
        <f>COUNTIF($H77:$R77,"Met or exceeded")</f>
        <v/>
      </c>
      <c r="Y77" s="26">
        <f>3*X77+2*W77+V77</f>
        <v/>
      </c>
      <c r="Z77" s="26">
        <f>X77+W77+V77+U77</f>
        <v/>
      </c>
      <c r="AA77" s="27">
        <f>IF(Z77&gt;0,Y77/Z77,"No valid responses to date")</f>
        <v/>
      </c>
      <c r="AB77" s="26">
        <f>IF(ISNUMBER(AA77),INDEX(Lists!$G$2:$G$5,MATCH(ROUND(AA77,0),Lists!$H$2:$H$5,0)),"")</f>
        <v/>
      </c>
      <c r="AC77" s="28">
        <f>IF(Z77&gt;0,X77/Z77,"")</f>
        <v/>
      </c>
      <c r="AD77" s="28">
        <f>IF(Z77&gt;0,(X77+W77)/Z77,"")</f>
        <v/>
      </c>
      <c r="AE77" s="26">
        <f>IF(Z77=0,"",IF(AC77&gt;0.75,"Met or exceeded",IF(AD77&gt;=0.5,"Partially met","Not met")))</f>
        <v/>
      </c>
    </row>
    <row r="78">
      <c r="A78">
        <f>F78&amp;"|"&amp;G78</f>
        <v/>
      </c>
      <c r="B78" s="29" t="inlineStr"/>
      <c r="C78" s="8" t="inlineStr"/>
      <c r="D78" s="8" t="inlineStr"/>
      <c r="E78" s="8" t="inlineStr"/>
      <c r="F78" s="8" t="inlineStr">
        <is>
          <t>TR2(d)</t>
        </is>
      </c>
      <c r="G78" s="8" t="inlineStr">
        <is>
          <t>OPTION 1:  Target-level reporting</t>
        </is>
      </c>
      <c r="H78" s="25">
        <f>IFERROR(IF(INDEX('Faculties'!$M$10:$M$29,MATCH($F78,'Faculties'!$B$10:$B$29,0))="","Cell will autofill based on response",INDEX('Faculties'!$M$10:$M$29,MATCH($F78,'Faculties'!$B$10:$B$29,0))),"N/A")</f>
        <v/>
      </c>
      <c r="I78" s="25">
        <f>IFERROR(IF(INDEX('Faculties'!$M$37:$M$56,MATCH($F78,'Faculties'!$B$37:$B$56,0))="","Cell will autofill based on response",INDEX('Faculties'!$M$37:$M$56,MATCH($F78,'Faculties'!$B$37:$B$56,0))),"N/A")</f>
        <v/>
      </c>
      <c r="J78" s="25">
        <f>IFERROR(IF(INDEX('Faculties'!$M$64:$M$83,MATCH($F78,'Faculties'!$B$64:$B$83,0))="","Cell will autofill based on response",INDEX('Faculties'!$M$64:$M$83,MATCH($F78,'Faculties'!$B$64:$B$83,0))),"N/A")</f>
        <v/>
      </c>
      <c r="K78" s="25">
        <f>IFERROR(IF(INDEX('Faculties'!$M$91:$M$110,MATCH($F78,'Faculties'!$B$91:$B$110,0))="","Cell will autofill based on response",INDEX('Faculties'!$M$91:$M$110,MATCH($F78,'Faculties'!$B$91:$B$110,0))),"N/A")</f>
        <v/>
      </c>
      <c r="L78" s="25">
        <f>IFERROR(IF(INDEX('CI&amp;S'!$M$10:$M$14,MATCH($F78,'CI&amp;S'!$B$10:$B$14,0))="","Cell will autofill based on response",INDEX('CI&amp;S'!$M$10:$M$14,MATCH($F78,'CI&amp;S'!$B$10:$B$14,0))),"N/A")</f>
        <v/>
      </c>
      <c r="M78" s="25">
        <f>IFERROR(IF(INDEX('CI&amp;S'!$M$22:$M$38,MATCH($F78,'CI&amp;S'!$B$22:$B$38,0))="","Cell will autofill based on response",INDEX('CI&amp;S'!$M$22:$M$38,MATCH($F78,'CI&amp;S'!$B$22:$B$38,0))),"N/A")</f>
        <v/>
      </c>
      <c r="N78" s="25">
        <f>IFERROR(IF(INDEX('CFOG'!$M$10:$M$15,MATCH($F78,'CFOG'!$B$10:$B$15,0))="","Cell will autofill based on response",INDEX('CFOG'!$M$10:$M$15,MATCH($F78,'CFOG'!$B$10:$B$15,0))),"N/A")</f>
        <v/>
      </c>
      <c r="O78" s="25">
        <f>IFERROR(IF(INDEX('CFOG'!$M$23:$M$23,MATCH($F78,'CFOG'!$B$23:$B$23,0))="","Cell will autofill based on response",INDEX('CFOG'!$M$23:$M$23,MATCH($F78,'CFOG'!$B$23:$B$23,0))),"N/A")</f>
        <v/>
      </c>
      <c r="P78" s="25">
        <f>IFERROR(IF(INDEX('ESG'!$M$10:$M$16,MATCH($F78,'ESG'!$B$10:$B$16,0))="","Cell will autofill based on response",INDEX('ESG'!$M$10:$M$16,MATCH($F78,'ESG'!$B$10:$B$16,0))),"N/A")</f>
        <v/>
      </c>
      <c r="Q78" s="25">
        <f>IFERROR(IF(INDEX('CIOG'!$M$10:$M$13,MATCH($F78,'CIOG'!$B$10:$B$13,0))="","Cell will autofill based on response",INDEX('CIOG'!$M$10:$M$13,MATCH($F78,'CIOG'!$B$10:$B$13,0))),"N/A")</f>
        <v/>
      </c>
      <c r="R78" s="25">
        <f>IFERROR(IF(INDEX('MRE'!$M$10:$M$11,MATCH($F78,'MRE'!$B$10:$B$11,0))="","Cell will autofill based on response",INDEX('MRE'!$M$10:$M$11,MATCH($F78,'MRE'!$B$10:$B$11,0))),"N/A")</f>
        <v/>
      </c>
    </row>
    <row r="79">
      <c r="A79">
        <f>F79&amp;"|"&amp;G79</f>
        <v/>
      </c>
      <c r="B79" s="29" t="inlineStr"/>
      <c r="C79" s="8" t="inlineStr"/>
      <c r="D79" s="8" t="inlineStr"/>
      <c r="E79" s="8" t="inlineStr"/>
      <c r="F79" s="8" t="inlineStr">
        <is>
          <t>TR2(d)</t>
        </is>
      </c>
      <c r="G79" s="8" t="inlineStr">
        <is>
          <t>OPTION 2:  Indicator level reporting</t>
        </is>
      </c>
      <c r="H79" s="25">
        <f>IFERROR(IF(INDEX('Faculties'!$N$10:$N$29,MATCH($F79,'Faculties'!$B$10:$B$29,0))="","Cell will autofill based on response",INDEX('Faculties'!$N$10:$N$29,MATCH($F79,'Faculties'!$B$10:$B$29,0))),"N/A")</f>
        <v/>
      </c>
      <c r="I79" s="25">
        <f>IFERROR(IF(INDEX('Faculties'!$N$37:$N$56,MATCH($F79,'Faculties'!$B$37:$B$56,0))="","Cell will autofill based on response",INDEX('Faculties'!$N$37:$N$56,MATCH($F79,'Faculties'!$B$37:$B$56,0))),"N/A")</f>
        <v/>
      </c>
      <c r="J79" s="25">
        <f>IFERROR(IF(INDEX('Faculties'!$N$64:$N$83,MATCH($F79,'Faculties'!$B$64:$B$83,0))="","Cell will autofill based on response",INDEX('Faculties'!$N$64:$N$83,MATCH($F79,'Faculties'!$B$64:$B$83,0))),"N/A")</f>
        <v/>
      </c>
      <c r="K79" s="25">
        <f>IFERROR(IF(INDEX('Faculties'!$N$91:$N$110,MATCH($F79,'Faculties'!$B$91:$B$110,0))="","Cell will autofill based on response",INDEX('Faculties'!$N$91:$N$110,MATCH($F79,'Faculties'!$B$91:$B$110,0))),"N/A")</f>
        <v/>
      </c>
      <c r="L79" s="25">
        <f>IFERROR(IF(INDEX('CI&amp;S'!$N$10:$N$14,MATCH($F79,'CI&amp;S'!$B$10:$B$14,0))="","Cell will autofill based on response",INDEX('CI&amp;S'!$N$10:$N$14,MATCH($F79,'CI&amp;S'!$B$10:$B$14,0))),"N/A")</f>
        <v/>
      </c>
      <c r="M79" s="25">
        <f>IFERROR(IF(INDEX('CI&amp;S'!$N$22:$N$38,MATCH($F79,'CI&amp;S'!$B$22:$B$38,0))="","Cell will autofill based on response",INDEX('CI&amp;S'!$N$22:$N$38,MATCH($F79,'CI&amp;S'!$B$22:$B$38,0))),"N/A")</f>
        <v/>
      </c>
      <c r="N79" s="25">
        <f>IFERROR(IF(INDEX('CFOG'!$N$10:$N$15,MATCH($F79,'CFOG'!$B$10:$B$15,0))="","Cell will autofill based on response",INDEX('CFOG'!$N$10:$N$15,MATCH($F79,'CFOG'!$B$10:$B$15,0))),"N/A")</f>
        <v/>
      </c>
      <c r="O79" s="25">
        <f>IFERROR(IF(INDEX('CFOG'!$N$23:$N$23,MATCH($F79,'CFOG'!$B$23:$B$23,0))="","Cell will autofill based on response",INDEX('CFOG'!$N$23:$N$23,MATCH($F79,'CFOG'!$B$23:$B$23,0))),"N/A")</f>
        <v/>
      </c>
      <c r="P79" s="25">
        <f>IFERROR(IF(INDEX('ESG'!$N$10:$N$16,MATCH($F79,'ESG'!$B$10:$B$16,0))="","Cell will autofill based on response",INDEX('ESG'!$N$10:$N$16,MATCH($F79,'ESG'!$B$10:$B$16,0))),"N/A")</f>
        <v/>
      </c>
      <c r="Q79" s="25">
        <f>IFERROR(IF(INDEX('CIOG'!$N$10:$N$13,MATCH($F79,'CIOG'!$B$10:$B$13,0))="","Cell will autofill based on response",INDEX('CIOG'!$N$10:$N$13,MATCH($F79,'CIOG'!$B$10:$B$13,0))),"N/A")</f>
        <v/>
      </c>
      <c r="R79" s="25">
        <f>IFERROR(IF(INDEX('MRE'!$N$10:$N$11,MATCH($F79,'MRE'!$B$10:$B$11,0))="","Cell will autofill based on response",INDEX('MRE'!$N$10:$N$11,MATCH($F79,'MRE'!$B$10:$B$11,0))),"N/A")</f>
        <v/>
      </c>
    </row>
    <row r="80">
      <c r="A80">
        <f>F80&amp;"|"&amp;G80</f>
        <v/>
      </c>
      <c r="B80" s="29" t="inlineStr"/>
      <c r="C80" s="8" t="inlineStr"/>
      <c r="D80" s="8" t="inlineStr"/>
      <c r="E80" s="8" t="inlineStr"/>
      <c r="F80" s="8" t="inlineStr">
        <is>
          <t>TR2(d)</t>
        </is>
      </c>
      <c r="G80" s="8" t="inlineStr">
        <is>
          <t>Supporting information/comments</t>
        </is>
      </c>
      <c r="H80" s="25">
        <f>IFERROR(IF(INDEX('Faculties'!$O$10:$O$29,MATCH($F80,'Faculties'!$B$10:$B$29,0))="","Cell will autofill based on response",INDEX('Faculties'!$O$10:$O$29,MATCH($F80,'Faculties'!$B$10:$B$29,0))),"N/A")</f>
        <v/>
      </c>
      <c r="I80" s="25">
        <f>IFERROR(IF(INDEX('Faculties'!$O$37:$O$56,MATCH($F80,'Faculties'!$B$37:$B$56,0))="","Cell will autofill based on response",INDEX('Faculties'!$O$37:$O$56,MATCH($F80,'Faculties'!$B$37:$B$56,0))),"N/A")</f>
        <v/>
      </c>
      <c r="J80" s="25">
        <f>IFERROR(IF(INDEX('Faculties'!$O$64:$O$83,MATCH($F80,'Faculties'!$B$64:$B$83,0))="","Cell will autofill based on response",INDEX('Faculties'!$O$64:$O$83,MATCH($F80,'Faculties'!$B$64:$B$83,0))),"N/A")</f>
        <v/>
      </c>
      <c r="K80" s="25">
        <f>IFERROR(IF(INDEX('Faculties'!$O$91:$O$110,MATCH($F80,'Faculties'!$B$91:$B$110,0))="","Cell will autofill based on response",INDEX('Faculties'!$O$91:$O$110,MATCH($F80,'Faculties'!$B$91:$B$110,0))),"N/A")</f>
        <v/>
      </c>
      <c r="L80" s="25">
        <f>IFERROR(IF(INDEX('CI&amp;S'!$O$10:$O$14,MATCH($F80,'CI&amp;S'!$B$10:$B$14,0))="","Cell will autofill based on response",INDEX('CI&amp;S'!$O$10:$O$14,MATCH($F80,'CI&amp;S'!$B$10:$B$14,0))),"N/A")</f>
        <v/>
      </c>
      <c r="M80" s="25">
        <f>IFERROR(IF(INDEX('CI&amp;S'!$O$22:$O$38,MATCH($F80,'CI&amp;S'!$B$22:$B$38,0))="","Cell will autofill based on response",INDEX('CI&amp;S'!$O$22:$O$38,MATCH($F80,'CI&amp;S'!$B$22:$B$38,0))),"N/A")</f>
        <v/>
      </c>
      <c r="N80" s="25">
        <f>IFERROR(IF(INDEX('CFOG'!$O$10:$O$15,MATCH($F80,'CFOG'!$B$10:$B$15,0))="","Cell will autofill based on response",INDEX('CFOG'!$O$10:$O$15,MATCH($F80,'CFOG'!$B$10:$B$15,0))),"N/A")</f>
        <v/>
      </c>
      <c r="O80" s="25">
        <f>IFERROR(IF(INDEX('CFOG'!$O$23:$O$23,MATCH($F80,'CFOG'!$B$23:$B$23,0))="","Cell will autofill based on response",INDEX('CFOG'!$O$23:$O$23,MATCH($F80,'CFOG'!$B$23:$B$23,0))),"N/A")</f>
        <v/>
      </c>
      <c r="P80" s="25">
        <f>IFERROR(IF(INDEX('ESG'!$O$10:$O$16,MATCH($F80,'ESG'!$B$10:$B$16,0))="","Cell will autofill based on response",INDEX('ESG'!$O$10:$O$16,MATCH($F80,'ESG'!$B$10:$B$16,0))),"N/A")</f>
        <v/>
      </c>
      <c r="Q80" s="25">
        <f>IFERROR(IF(INDEX('CIOG'!$O$10:$O$13,MATCH($F80,'CIOG'!$B$10:$B$13,0))="","Cell will autofill based on response",INDEX('CIOG'!$O$10:$O$13,MATCH($F80,'CIOG'!$B$10:$B$13,0))),"N/A")</f>
        <v/>
      </c>
      <c r="R80" s="25">
        <f>IFERROR(IF(INDEX('MRE'!$O$10:$O$11,MATCH($F80,'MRE'!$B$10:$B$11,0))="","Cell will autofill based on response",INDEX('MRE'!$O$10:$O$11,MATCH($F80,'MRE'!$B$10:$B$11,0))),"N/A")</f>
        <v/>
      </c>
    </row>
    <row r="81">
      <c r="A81">
        <f>F81&amp;"|"&amp;G81</f>
        <v/>
      </c>
      <c r="B81" s="29" t="inlineStr"/>
      <c r="C81" s="8" t="inlineStr"/>
      <c r="D81" s="8" t="inlineStr"/>
      <c r="E81" s="8" t="inlineStr"/>
      <c r="F81" s="8" t="inlineStr">
        <is>
          <t>TR2(d)</t>
        </is>
      </c>
      <c r="G81" s="8" t="inlineStr">
        <is>
          <t>Data source and limitations</t>
        </is>
      </c>
      <c r="H81" s="25">
        <f>IFERROR(IF(INDEX('Faculties'!$P$10:$P$29,MATCH($F81,'Faculties'!$B$10:$B$29,0))="","Cell will autofill based on response",INDEX('Faculties'!$P$10:$P$29,MATCH($F81,'Faculties'!$B$10:$B$29,0))),"N/A")</f>
        <v/>
      </c>
      <c r="I81" s="25">
        <f>IFERROR(IF(INDEX('Faculties'!$P$37:$P$56,MATCH($F81,'Faculties'!$B$37:$B$56,0))="","Cell will autofill based on response",INDEX('Faculties'!$P$37:$P$56,MATCH($F81,'Faculties'!$B$37:$B$56,0))),"N/A")</f>
        <v/>
      </c>
      <c r="J81" s="25">
        <f>IFERROR(IF(INDEX('Faculties'!$P$64:$P$83,MATCH($F81,'Faculties'!$B$64:$B$83,0))="","Cell will autofill based on response",INDEX('Faculties'!$P$64:$P$83,MATCH($F81,'Faculties'!$B$64:$B$83,0))),"N/A")</f>
        <v/>
      </c>
      <c r="K81" s="25">
        <f>IFERROR(IF(INDEX('Faculties'!$P$91:$P$110,MATCH($F81,'Faculties'!$B$91:$B$110,0))="","Cell will autofill based on response",INDEX('Faculties'!$P$91:$P$110,MATCH($F81,'Faculties'!$B$91:$B$110,0))),"N/A")</f>
        <v/>
      </c>
      <c r="L81" s="25">
        <f>IFERROR(IF(INDEX('CI&amp;S'!$P$10:$P$14,MATCH($F81,'CI&amp;S'!$B$10:$B$14,0))="","Cell will autofill based on response",INDEX('CI&amp;S'!$P$10:$P$14,MATCH($F81,'CI&amp;S'!$B$10:$B$14,0))),"N/A")</f>
        <v/>
      </c>
      <c r="M81" s="25">
        <f>IFERROR(IF(INDEX('CI&amp;S'!$P$22:$P$38,MATCH($F81,'CI&amp;S'!$B$22:$B$38,0))="","Cell will autofill based on response",INDEX('CI&amp;S'!$P$22:$P$38,MATCH($F81,'CI&amp;S'!$B$22:$B$38,0))),"N/A")</f>
        <v/>
      </c>
      <c r="N81" s="25">
        <f>IFERROR(IF(INDEX('CFOG'!$P$10:$P$15,MATCH($F81,'CFOG'!$B$10:$B$15,0))="","Cell will autofill based on response",INDEX('CFOG'!$P$10:$P$15,MATCH($F81,'CFOG'!$B$10:$B$15,0))),"N/A")</f>
        <v/>
      </c>
      <c r="O81" s="25">
        <f>IFERROR(IF(INDEX('CFOG'!$P$23:$P$23,MATCH($F81,'CFOG'!$B$23:$B$23,0))="","Cell will autofill based on response",INDEX('CFOG'!$P$23:$P$23,MATCH($F81,'CFOG'!$B$23:$B$23,0))),"N/A")</f>
        <v/>
      </c>
      <c r="P81" s="25">
        <f>IFERROR(IF(INDEX('ESG'!$P$10:$P$16,MATCH($F81,'ESG'!$B$10:$B$16,0))="","Cell will autofill based on response",INDEX('ESG'!$P$10:$P$16,MATCH($F81,'ESG'!$B$10:$B$16,0))),"N/A")</f>
        <v/>
      </c>
      <c r="Q81" s="25">
        <f>IFERROR(IF(INDEX('CIOG'!$P$10:$P$13,MATCH($F81,'CIOG'!$B$10:$B$13,0))="","Cell will autofill based on response",INDEX('CIOG'!$P$10:$P$13,MATCH($F81,'CIOG'!$B$10:$B$13,0))),"N/A")</f>
        <v/>
      </c>
      <c r="R81" s="25">
        <f>IFERROR(IF(INDEX('MRE'!$P$10:$P$11,MATCH($F81,'MRE'!$B$10:$B$11,0))="","Cell will autofill based on response",INDEX('MRE'!$P$10:$P$11,MATCH($F81,'MRE'!$B$10:$B$11,0))),"N/A")</f>
        <v/>
      </c>
    </row>
    <row r="82">
      <c r="A82">
        <f>F82&amp;"|"&amp;G82</f>
        <v/>
      </c>
      <c r="B82" s="29" t="inlineStr"/>
      <c r="C82" s="8" t="inlineStr"/>
      <c r="D82" s="8" t="inlineStr"/>
      <c r="E82" s="8" t="inlineStr"/>
      <c r="F82" s="8" t="inlineStr">
        <is>
          <t>TR2(d)</t>
        </is>
      </c>
      <c r="G82" s="8" t="inlineStr">
        <is>
          <t>Data owner confirms</t>
        </is>
      </c>
      <c r="H82" s="25">
        <f>IFERROR(IF(INDEX('Faculties'!$Q$10:$Q$29,MATCH($F82,'Faculties'!$B$10:$B$29,0))="","Cell will autofill based on response",INDEX('Faculties'!$Q$10:$Q$29,MATCH($F82,'Faculties'!$B$10:$B$29,0))),"N/A")</f>
        <v/>
      </c>
      <c r="I82" s="25">
        <f>IFERROR(IF(INDEX('Faculties'!$Q$37:$Q$56,MATCH($F82,'Faculties'!$B$37:$B$56,0))="","Cell will autofill based on response",INDEX('Faculties'!$Q$37:$Q$56,MATCH($F82,'Faculties'!$B$37:$B$56,0))),"N/A")</f>
        <v/>
      </c>
      <c r="J82" s="25">
        <f>IFERROR(IF(INDEX('Faculties'!$Q$64:$Q$83,MATCH($F82,'Faculties'!$B$64:$B$83,0))="","Cell will autofill based on response",INDEX('Faculties'!$Q$64:$Q$83,MATCH($F82,'Faculties'!$B$64:$B$83,0))),"N/A")</f>
        <v/>
      </c>
      <c r="K82" s="25">
        <f>IFERROR(IF(INDEX('Faculties'!$Q$91:$Q$110,MATCH($F82,'Faculties'!$B$91:$B$110,0))="","Cell will autofill based on response",INDEX('Faculties'!$Q$91:$Q$110,MATCH($F82,'Faculties'!$B$91:$B$110,0))),"N/A")</f>
        <v/>
      </c>
      <c r="L82" s="25">
        <f>IFERROR(IF(INDEX('CI&amp;S'!$Q$10:$Q$14,MATCH($F82,'CI&amp;S'!$B$10:$B$14,0))="","Cell will autofill based on response",INDEX('CI&amp;S'!$Q$10:$Q$14,MATCH($F82,'CI&amp;S'!$B$10:$B$14,0))),"N/A")</f>
        <v/>
      </c>
      <c r="M82" s="25">
        <f>IFERROR(IF(INDEX('CI&amp;S'!$Q$22:$Q$38,MATCH($F82,'CI&amp;S'!$B$22:$B$38,0))="","Cell will autofill based on response",INDEX('CI&amp;S'!$Q$22:$Q$38,MATCH($F82,'CI&amp;S'!$B$22:$B$38,0))),"N/A")</f>
        <v/>
      </c>
      <c r="N82" s="25">
        <f>IFERROR(IF(INDEX('CFOG'!$Q$10:$Q$15,MATCH($F82,'CFOG'!$B$10:$B$15,0))="","Cell will autofill based on response",INDEX('CFOG'!$Q$10:$Q$15,MATCH($F82,'CFOG'!$B$10:$B$15,0))),"N/A")</f>
        <v/>
      </c>
      <c r="O82" s="25">
        <f>IFERROR(IF(INDEX('CFOG'!$Q$23:$Q$23,MATCH($F82,'CFOG'!$B$23:$B$23,0))="","Cell will autofill based on response",INDEX('CFOG'!$Q$23:$Q$23,MATCH($F82,'CFOG'!$B$23:$B$23,0))),"N/A")</f>
        <v/>
      </c>
      <c r="P82" s="25">
        <f>IFERROR(IF(INDEX('ESG'!$Q$10:$Q$16,MATCH($F82,'ESG'!$B$10:$B$16,0))="","Cell will autofill based on response",INDEX('ESG'!$Q$10:$Q$16,MATCH($F82,'ESG'!$B$10:$B$16,0))),"N/A")</f>
        <v/>
      </c>
      <c r="Q82" s="25">
        <f>IFERROR(IF(INDEX('CIOG'!$Q$10:$Q$13,MATCH($F82,'CIOG'!$B$10:$B$13,0))="","Cell will autofill based on response",INDEX('CIOG'!$Q$10:$Q$13,MATCH($F82,'CIOG'!$B$10:$B$13,0))),"N/A")</f>
        <v/>
      </c>
      <c r="R82" s="25">
        <f>IFERROR(IF(INDEX('MRE'!$Q$10:$Q$11,MATCH($F82,'MRE'!$B$10:$B$11,0))="","Cell will autofill based on response",INDEX('MRE'!$Q$10:$Q$11,MATCH($F82,'MRE'!$B$10:$B$11,0))),"N/A")</f>
        <v/>
      </c>
    </row>
    <row r="83">
      <c r="A83">
        <f>F83&amp;"|"&amp;G83</f>
        <v/>
      </c>
      <c r="B83" s="7" t="inlineStr">
        <is>
          <t>TR3(a)</t>
        </is>
      </c>
      <c r="C83" s="12" t="inlineStr">
        <is>
          <t>Transformational research</t>
        </is>
      </c>
      <c r="D83" s="12" t="inlineStr">
        <is>
          <t>Evidence that sustainability considerations are integrated into relevant research systems, planning processes, guidance, training, induction or support services</t>
        </is>
      </c>
      <c r="E83" s="12" t="inlineStr">
        <is>
          <t>Please describe how sustainability considerations are integrated into research systems, planning processes, guidance, training, induction or support services within your Faculty/Portfolio, could include examples of any new or improved processes.</t>
        </is>
      </c>
      <c r="F83" s="12" t="inlineStr">
        <is>
          <t>TR3(a)</t>
        </is>
      </c>
      <c r="G83" s="12" t="inlineStr">
        <is>
          <t>Confirm end-2026 target status</t>
        </is>
      </c>
      <c r="H83" s="25">
        <f>IFERROR(IF(INDEX('Faculties'!$L$10:$L$29,MATCH($F83,'Faculties'!$B$10:$B$29,0))="","Cell will autofill based on response",INDEX('Faculties'!$L$10:$L$29,MATCH($F83,'Faculties'!$B$10:$B$29,0))),"N/A")</f>
        <v/>
      </c>
      <c r="I83" s="25">
        <f>IFERROR(IF(INDEX('Faculties'!$L$37:$L$56,MATCH($F83,'Faculties'!$B$37:$B$56,0))="","Cell will autofill based on response",INDEX('Faculties'!$L$37:$L$56,MATCH($F83,'Faculties'!$B$37:$B$56,0))),"N/A")</f>
        <v/>
      </c>
      <c r="J83" s="25">
        <f>IFERROR(IF(INDEX('Faculties'!$L$64:$L$83,MATCH($F83,'Faculties'!$B$64:$B$83,0))="","Cell will autofill based on response",INDEX('Faculties'!$L$64:$L$83,MATCH($F83,'Faculties'!$B$64:$B$83,0))),"N/A")</f>
        <v/>
      </c>
      <c r="K83" s="25">
        <f>IFERROR(IF(INDEX('Faculties'!$L$91:$L$110,MATCH($F83,'Faculties'!$B$91:$B$110,0))="","Cell will autofill based on response",INDEX('Faculties'!$L$91:$L$110,MATCH($F83,'Faculties'!$B$91:$B$110,0))),"N/A")</f>
        <v/>
      </c>
      <c r="L83" s="25">
        <f>IFERROR(IF(INDEX('CI&amp;S'!$L$10:$L$14,MATCH($F83,'CI&amp;S'!$B$10:$B$14,0))="","Cell will autofill based on response",INDEX('CI&amp;S'!$L$10:$L$14,MATCH($F83,'CI&amp;S'!$B$10:$B$14,0))),"N/A")</f>
        <v/>
      </c>
      <c r="M83" s="25">
        <f>IFERROR(IF(INDEX('CI&amp;S'!$L$22:$L$38,MATCH($F83,'CI&amp;S'!$B$22:$B$38,0))="","Cell will autofill based on response",INDEX('CI&amp;S'!$L$22:$L$38,MATCH($F83,'CI&amp;S'!$B$22:$B$38,0))),"N/A")</f>
        <v/>
      </c>
      <c r="N83" s="25">
        <f>IFERROR(IF(INDEX('CFOG'!$L$10:$L$15,MATCH($F83,'CFOG'!$B$10:$B$15,0))="","Cell will autofill based on response",INDEX('CFOG'!$L$10:$L$15,MATCH($F83,'CFOG'!$B$10:$B$15,0))),"N/A")</f>
        <v/>
      </c>
      <c r="O83" s="25">
        <f>IFERROR(IF(INDEX('CFOG'!$L$23:$L$23,MATCH($F83,'CFOG'!$B$23:$B$23,0))="","Cell will autofill based on response",INDEX('CFOG'!$L$23:$L$23,MATCH($F83,'CFOG'!$B$23:$B$23,0))),"N/A")</f>
        <v/>
      </c>
      <c r="P83" s="25">
        <f>IFERROR(IF(INDEX('ESG'!$L$10:$L$16,MATCH($F83,'ESG'!$B$10:$B$16,0))="","Cell will autofill based on response",INDEX('ESG'!$L$10:$L$16,MATCH($F83,'ESG'!$B$10:$B$16,0))),"N/A")</f>
        <v/>
      </c>
      <c r="Q83" s="25">
        <f>IFERROR(IF(INDEX('CIOG'!$L$10:$L$13,MATCH($F83,'CIOG'!$B$10:$B$13,0))="","Cell will autofill based on response",INDEX('CIOG'!$L$10:$L$13,MATCH($F83,'CIOG'!$B$10:$B$13,0))),"N/A")</f>
        <v/>
      </c>
      <c r="R83" s="25">
        <f>IFERROR(IF(INDEX('MRE'!$L$10:$L$11,MATCH($F83,'MRE'!$B$10:$B$11,0))="","Cell will autofill based on response",INDEX('MRE'!$L$10:$L$11,MATCH($F83,'MRE'!$B$10:$B$11,0))),"N/A")</f>
        <v/>
      </c>
      <c r="T83" s="26">
        <f>COUNTIF($H83:$R83,"Cell will autofill based on response")</f>
        <v/>
      </c>
      <c r="U83" s="26">
        <f>COUNTIF($H83:$R83,"Not yet started")</f>
        <v/>
      </c>
      <c r="V83" s="26">
        <f>COUNTIF($H83:$R83,"Not met")</f>
        <v/>
      </c>
      <c r="W83" s="26">
        <f>COUNTIF($H83:$R83,"Partially met")</f>
        <v/>
      </c>
      <c r="X83" s="26">
        <f>COUNTIF($H83:$R83,"Met or exceeded")</f>
        <v/>
      </c>
      <c r="Y83" s="26">
        <f>3*X83+2*W83+V83</f>
        <v/>
      </c>
      <c r="Z83" s="26">
        <f>X83+W83+V83+U83</f>
        <v/>
      </c>
      <c r="AA83" s="27">
        <f>IF(Z83&gt;0,Y83/Z83,"No valid responses to date")</f>
        <v/>
      </c>
      <c r="AB83" s="26">
        <f>IF(ISNUMBER(AA83),INDEX(Lists!$G$2:$G$5,MATCH(ROUND(AA83,0),Lists!$H$2:$H$5,0)),"")</f>
        <v/>
      </c>
      <c r="AC83" s="28">
        <f>IF(Z83&gt;0,X83/Z83,"")</f>
        <v/>
      </c>
      <c r="AD83" s="28">
        <f>IF(Z83&gt;0,(X83+W83)/Z83,"")</f>
        <v/>
      </c>
      <c r="AE83" s="26">
        <f>IF(Z83=0,"",IF(AC83&gt;0.75,"Met or exceeded",IF(AD83&gt;=0.5,"Partially met","Not met")))</f>
        <v/>
      </c>
    </row>
    <row r="84">
      <c r="A84">
        <f>F84&amp;"|"&amp;G84</f>
        <v/>
      </c>
      <c r="B84" s="29" t="inlineStr"/>
      <c r="C84" s="8" t="inlineStr"/>
      <c r="D84" s="8" t="inlineStr"/>
      <c r="E84" s="8" t="inlineStr"/>
      <c r="F84" s="8" t="inlineStr">
        <is>
          <t>TR3(a)</t>
        </is>
      </c>
      <c r="G84" s="8" t="inlineStr">
        <is>
          <t>OPTION 1:  Target-level reporting</t>
        </is>
      </c>
      <c r="H84" s="25">
        <f>IFERROR(IF(INDEX('Faculties'!$M$10:$M$29,MATCH($F84,'Faculties'!$B$10:$B$29,0))="","Cell will autofill based on response",INDEX('Faculties'!$M$10:$M$29,MATCH($F84,'Faculties'!$B$10:$B$29,0))),"N/A")</f>
        <v/>
      </c>
      <c r="I84" s="25">
        <f>IFERROR(IF(INDEX('Faculties'!$M$37:$M$56,MATCH($F84,'Faculties'!$B$37:$B$56,0))="","Cell will autofill based on response",INDEX('Faculties'!$M$37:$M$56,MATCH($F84,'Faculties'!$B$37:$B$56,0))),"N/A")</f>
        <v/>
      </c>
      <c r="J84" s="25">
        <f>IFERROR(IF(INDEX('Faculties'!$M$64:$M$83,MATCH($F84,'Faculties'!$B$64:$B$83,0))="","Cell will autofill based on response",INDEX('Faculties'!$M$64:$M$83,MATCH($F84,'Faculties'!$B$64:$B$83,0))),"N/A")</f>
        <v/>
      </c>
      <c r="K84" s="25">
        <f>IFERROR(IF(INDEX('Faculties'!$M$91:$M$110,MATCH($F84,'Faculties'!$B$91:$B$110,0))="","Cell will autofill based on response",INDEX('Faculties'!$M$91:$M$110,MATCH($F84,'Faculties'!$B$91:$B$110,0))),"N/A")</f>
        <v/>
      </c>
      <c r="L84" s="25">
        <f>IFERROR(IF(INDEX('CI&amp;S'!$M$10:$M$14,MATCH($F84,'CI&amp;S'!$B$10:$B$14,0))="","Cell will autofill based on response",INDEX('CI&amp;S'!$M$10:$M$14,MATCH($F84,'CI&amp;S'!$B$10:$B$14,0))),"N/A")</f>
        <v/>
      </c>
      <c r="M84" s="25">
        <f>IFERROR(IF(INDEX('CI&amp;S'!$M$22:$M$38,MATCH($F84,'CI&amp;S'!$B$22:$B$38,0))="","Cell will autofill based on response",INDEX('CI&amp;S'!$M$22:$M$38,MATCH($F84,'CI&amp;S'!$B$22:$B$38,0))),"N/A")</f>
        <v/>
      </c>
      <c r="N84" s="25">
        <f>IFERROR(IF(INDEX('CFOG'!$M$10:$M$15,MATCH($F84,'CFOG'!$B$10:$B$15,0))="","Cell will autofill based on response",INDEX('CFOG'!$M$10:$M$15,MATCH($F84,'CFOG'!$B$10:$B$15,0))),"N/A")</f>
        <v/>
      </c>
      <c r="O84" s="25">
        <f>IFERROR(IF(INDEX('CFOG'!$M$23:$M$23,MATCH($F84,'CFOG'!$B$23:$B$23,0))="","Cell will autofill based on response",INDEX('CFOG'!$M$23:$M$23,MATCH($F84,'CFOG'!$B$23:$B$23,0))),"N/A")</f>
        <v/>
      </c>
      <c r="P84" s="25">
        <f>IFERROR(IF(INDEX('ESG'!$M$10:$M$16,MATCH($F84,'ESG'!$B$10:$B$16,0))="","Cell will autofill based on response",INDEX('ESG'!$M$10:$M$16,MATCH($F84,'ESG'!$B$10:$B$16,0))),"N/A")</f>
        <v/>
      </c>
      <c r="Q84" s="25">
        <f>IFERROR(IF(INDEX('CIOG'!$M$10:$M$13,MATCH($F84,'CIOG'!$B$10:$B$13,0))="","Cell will autofill based on response",INDEX('CIOG'!$M$10:$M$13,MATCH($F84,'CIOG'!$B$10:$B$13,0))),"N/A")</f>
        <v/>
      </c>
      <c r="R84" s="25">
        <f>IFERROR(IF(INDEX('MRE'!$M$10:$M$11,MATCH($F84,'MRE'!$B$10:$B$11,0))="","Cell will autofill based on response",INDEX('MRE'!$M$10:$M$11,MATCH($F84,'MRE'!$B$10:$B$11,0))),"N/A")</f>
        <v/>
      </c>
    </row>
    <row r="85">
      <c r="A85">
        <f>F85&amp;"|"&amp;G85</f>
        <v/>
      </c>
      <c r="B85" s="29" t="inlineStr"/>
      <c r="C85" s="8" t="inlineStr"/>
      <c r="D85" s="8" t="inlineStr"/>
      <c r="E85" s="8" t="inlineStr"/>
      <c r="F85" s="8" t="inlineStr">
        <is>
          <t>TR3(a)</t>
        </is>
      </c>
      <c r="G85" s="8" t="inlineStr">
        <is>
          <t>OPTION 2:  Indicator level reporting</t>
        </is>
      </c>
      <c r="H85" s="25">
        <f>IFERROR(IF(INDEX('Faculties'!$N$10:$N$29,MATCH($F85,'Faculties'!$B$10:$B$29,0))="","Cell will autofill based on response",INDEX('Faculties'!$N$10:$N$29,MATCH($F85,'Faculties'!$B$10:$B$29,0))),"N/A")</f>
        <v/>
      </c>
      <c r="I85" s="25">
        <f>IFERROR(IF(INDEX('Faculties'!$N$37:$N$56,MATCH($F85,'Faculties'!$B$37:$B$56,0))="","Cell will autofill based on response",INDEX('Faculties'!$N$37:$N$56,MATCH($F85,'Faculties'!$B$37:$B$56,0))),"N/A")</f>
        <v/>
      </c>
      <c r="J85" s="25">
        <f>IFERROR(IF(INDEX('Faculties'!$N$64:$N$83,MATCH($F85,'Faculties'!$B$64:$B$83,0))="","Cell will autofill based on response",INDEX('Faculties'!$N$64:$N$83,MATCH($F85,'Faculties'!$B$64:$B$83,0))),"N/A")</f>
        <v/>
      </c>
      <c r="K85" s="25">
        <f>IFERROR(IF(INDEX('Faculties'!$N$91:$N$110,MATCH($F85,'Faculties'!$B$91:$B$110,0))="","Cell will autofill based on response",INDEX('Faculties'!$N$91:$N$110,MATCH($F85,'Faculties'!$B$91:$B$110,0))),"N/A")</f>
        <v/>
      </c>
      <c r="L85" s="25">
        <f>IFERROR(IF(INDEX('CI&amp;S'!$N$10:$N$14,MATCH($F85,'CI&amp;S'!$B$10:$B$14,0))="","Cell will autofill based on response",INDEX('CI&amp;S'!$N$10:$N$14,MATCH($F85,'CI&amp;S'!$B$10:$B$14,0))),"N/A")</f>
        <v/>
      </c>
      <c r="M85" s="25">
        <f>IFERROR(IF(INDEX('CI&amp;S'!$N$22:$N$38,MATCH($F85,'CI&amp;S'!$B$22:$B$38,0))="","Cell will autofill based on response",INDEX('CI&amp;S'!$N$22:$N$38,MATCH($F85,'CI&amp;S'!$B$22:$B$38,0))),"N/A")</f>
        <v/>
      </c>
      <c r="N85" s="25">
        <f>IFERROR(IF(INDEX('CFOG'!$N$10:$N$15,MATCH($F85,'CFOG'!$B$10:$B$15,0))="","Cell will autofill based on response",INDEX('CFOG'!$N$10:$N$15,MATCH($F85,'CFOG'!$B$10:$B$15,0))),"N/A")</f>
        <v/>
      </c>
      <c r="O85" s="25">
        <f>IFERROR(IF(INDEX('CFOG'!$N$23:$N$23,MATCH($F85,'CFOG'!$B$23:$B$23,0))="","Cell will autofill based on response",INDEX('CFOG'!$N$23:$N$23,MATCH($F85,'CFOG'!$B$23:$B$23,0))),"N/A")</f>
        <v/>
      </c>
      <c r="P85" s="25">
        <f>IFERROR(IF(INDEX('ESG'!$N$10:$N$16,MATCH($F85,'ESG'!$B$10:$B$16,0))="","Cell will autofill based on response",INDEX('ESG'!$N$10:$N$16,MATCH($F85,'ESG'!$B$10:$B$16,0))),"N/A")</f>
        <v/>
      </c>
      <c r="Q85" s="25">
        <f>IFERROR(IF(INDEX('CIOG'!$N$10:$N$13,MATCH($F85,'CIOG'!$B$10:$B$13,0))="","Cell will autofill based on response",INDEX('CIOG'!$N$10:$N$13,MATCH($F85,'CIOG'!$B$10:$B$13,0))),"N/A")</f>
        <v/>
      </c>
      <c r="R85" s="25">
        <f>IFERROR(IF(INDEX('MRE'!$N$10:$N$11,MATCH($F85,'MRE'!$B$10:$B$11,0))="","Cell will autofill based on response",INDEX('MRE'!$N$10:$N$11,MATCH($F85,'MRE'!$B$10:$B$11,0))),"N/A")</f>
        <v/>
      </c>
    </row>
    <row r="86">
      <c r="A86">
        <f>F86&amp;"|"&amp;G86</f>
        <v/>
      </c>
      <c r="B86" s="29" t="inlineStr"/>
      <c r="C86" s="8" t="inlineStr"/>
      <c r="D86" s="8" t="inlineStr"/>
      <c r="E86" s="8" t="inlineStr"/>
      <c r="F86" s="8" t="inlineStr">
        <is>
          <t>TR3(a)</t>
        </is>
      </c>
      <c r="G86" s="8" t="inlineStr">
        <is>
          <t>Supporting information/comments</t>
        </is>
      </c>
      <c r="H86" s="25">
        <f>IFERROR(IF(INDEX('Faculties'!$O$10:$O$29,MATCH($F86,'Faculties'!$B$10:$B$29,0))="","Cell will autofill based on response",INDEX('Faculties'!$O$10:$O$29,MATCH($F86,'Faculties'!$B$10:$B$29,0))),"N/A")</f>
        <v/>
      </c>
      <c r="I86" s="25">
        <f>IFERROR(IF(INDEX('Faculties'!$O$37:$O$56,MATCH($F86,'Faculties'!$B$37:$B$56,0))="","Cell will autofill based on response",INDEX('Faculties'!$O$37:$O$56,MATCH($F86,'Faculties'!$B$37:$B$56,0))),"N/A")</f>
        <v/>
      </c>
      <c r="J86" s="25">
        <f>IFERROR(IF(INDEX('Faculties'!$O$64:$O$83,MATCH($F86,'Faculties'!$B$64:$B$83,0))="","Cell will autofill based on response",INDEX('Faculties'!$O$64:$O$83,MATCH($F86,'Faculties'!$B$64:$B$83,0))),"N/A")</f>
        <v/>
      </c>
      <c r="K86" s="25">
        <f>IFERROR(IF(INDEX('Faculties'!$O$91:$O$110,MATCH($F86,'Faculties'!$B$91:$B$110,0))="","Cell will autofill based on response",INDEX('Faculties'!$O$91:$O$110,MATCH($F86,'Faculties'!$B$91:$B$110,0))),"N/A")</f>
        <v/>
      </c>
      <c r="L86" s="25">
        <f>IFERROR(IF(INDEX('CI&amp;S'!$O$10:$O$14,MATCH($F86,'CI&amp;S'!$B$10:$B$14,0))="","Cell will autofill based on response",INDEX('CI&amp;S'!$O$10:$O$14,MATCH($F86,'CI&amp;S'!$B$10:$B$14,0))),"N/A")</f>
        <v/>
      </c>
      <c r="M86" s="25">
        <f>IFERROR(IF(INDEX('CI&amp;S'!$O$22:$O$38,MATCH($F86,'CI&amp;S'!$B$22:$B$38,0))="","Cell will autofill based on response",INDEX('CI&amp;S'!$O$22:$O$38,MATCH($F86,'CI&amp;S'!$B$22:$B$38,0))),"N/A")</f>
        <v/>
      </c>
      <c r="N86" s="25">
        <f>IFERROR(IF(INDEX('CFOG'!$O$10:$O$15,MATCH($F86,'CFOG'!$B$10:$B$15,0))="","Cell will autofill based on response",INDEX('CFOG'!$O$10:$O$15,MATCH($F86,'CFOG'!$B$10:$B$15,0))),"N/A")</f>
        <v/>
      </c>
      <c r="O86" s="25">
        <f>IFERROR(IF(INDEX('CFOG'!$O$23:$O$23,MATCH($F86,'CFOG'!$B$23:$B$23,0))="","Cell will autofill based on response",INDEX('CFOG'!$O$23:$O$23,MATCH($F86,'CFOG'!$B$23:$B$23,0))),"N/A")</f>
        <v/>
      </c>
      <c r="P86" s="25">
        <f>IFERROR(IF(INDEX('ESG'!$O$10:$O$16,MATCH($F86,'ESG'!$B$10:$B$16,0))="","Cell will autofill based on response",INDEX('ESG'!$O$10:$O$16,MATCH($F86,'ESG'!$B$10:$B$16,0))),"N/A")</f>
        <v/>
      </c>
      <c r="Q86" s="25">
        <f>IFERROR(IF(INDEX('CIOG'!$O$10:$O$13,MATCH($F86,'CIOG'!$B$10:$B$13,0))="","Cell will autofill based on response",INDEX('CIOG'!$O$10:$O$13,MATCH($F86,'CIOG'!$B$10:$B$13,0))),"N/A")</f>
        <v/>
      </c>
      <c r="R86" s="25">
        <f>IFERROR(IF(INDEX('MRE'!$O$10:$O$11,MATCH($F86,'MRE'!$B$10:$B$11,0))="","Cell will autofill based on response",INDEX('MRE'!$O$10:$O$11,MATCH($F86,'MRE'!$B$10:$B$11,0))),"N/A")</f>
        <v/>
      </c>
    </row>
    <row r="87">
      <c r="A87">
        <f>F87&amp;"|"&amp;G87</f>
        <v/>
      </c>
      <c r="B87" s="29" t="inlineStr"/>
      <c r="C87" s="8" t="inlineStr"/>
      <c r="D87" s="8" t="inlineStr"/>
      <c r="E87" s="8" t="inlineStr"/>
      <c r="F87" s="8" t="inlineStr">
        <is>
          <t>TR3(a)</t>
        </is>
      </c>
      <c r="G87" s="8" t="inlineStr">
        <is>
          <t>Data source and limitations</t>
        </is>
      </c>
      <c r="H87" s="25">
        <f>IFERROR(IF(INDEX('Faculties'!$P$10:$P$29,MATCH($F87,'Faculties'!$B$10:$B$29,0))="","Cell will autofill based on response",INDEX('Faculties'!$P$10:$P$29,MATCH($F87,'Faculties'!$B$10:$B$29,0))),"N/A")</f>
        <v/>
      </c>
      <c r="I87" s="25">
        <f>IFERROR(IF(INDEX('Faculties'!$P$37:$P$56,MATCH($F87,'Faculties'!$B$37:$B$56,0))="","Cell will autofill based on response",INDEX('Faculties'!$P$37:$P$56,MATCH($F87,'Faculties'!$B$37:$B$56,0))),"N/A")</f>
        <v/>
      </c>
      <c r="J87" s="25">
        <f>IFERROR(IF(INDEX('Faculties'!$P$64:$P$83,MATCH($F87,'Faculties'!$B$64:$B$83,0))="","Cell will autofill based on response",INDEX('Faculties'!$P$64:$P$83,MATCH($F87,'Faculties'!$B$64:$B$83,0))),"N/A")</f>
        <v/>
      </c>
      <c r="K87" s="25">
        <f>IFERROR(IF(INDEX('Faculties'!$P$91:$P$110,MATCH($F87,'Faculties'!$B$91:$B$110,0))="","Cell will autofill based on response",INDEX('Faculties'!$P$91:$P$110,MATCH($F87,'Faculties'!$B$91:$B$110,0))),"N/A")</f>
        <v/>
      </c>
      <c r="L87" s="25">
        <f>IFERROR(IF(INDEX('CI&amp;S'!$P$10:$P$14,MATCH($F87,'CI&amp;S'!$B$10:$B$14,0))="","Cell will autofill based on response",INDEX('CI&amp;S'!$P$10:$P$14,MATCH($F87,'CI&amp;S'!$B$10:$B$14,0))),"N/A")</f>
        <v/>
      </c>
      <c r="M87" s="25">
        <f>IFERROR(IF(INDEX('CI&amp;S'!$P$22:$P$38,MATCH($F87,'CI&amp;S'!$B$22:$B$38,0))="","Cell will autofill based on response",INDEX('CI&amp;S'!$P$22:$P$38,MATCH($F87,'CI&amp;S'!$B$22:$B$38,0))),"N/A")</f>
        <v/>
      </c>
      <c r="N87" s="25">
        <f>IFERROR(IF(INDEX('CFOG'!$P$10:$P$15,MATCH($F87,'CFOG'!$B$10:$B$15,0))="","Cell will autofill based on response",INDEX('CFOG'!$P$10:$P$15,MATCH($F87,'CFOG'!$B$10:$B$15,0))),"N/A")</f>
        <v/>
      </c>
      <c r="O87" s="25">
        <f>IFERROR(IF(INDEX('CFOG'!$P$23:$P$23,MATCH($F87,'CFOG'!$B$23:$B$23,0))="","Cell will autofill based on response",INDEX('CFOG'!$P$23:$P$23,MATCH($F87,'CFOG'!$B$23:$B$23,0))),"N/A")</f>
        <v/>
      </c>
      <c r="P87" s="25">
        <f>IFERROR(IF(INDEX('ESG'!$P$10:$P$16,MATCH($F87,'ESG'!$B$10:$B$16,0))="","Cell will autofill based on response",INDEX('ESG'!$P$10:$P$16,MATCH($F87,'ESG'!$B$10:$B$16,0))),"N/A")</f>
        <v/>
      </c>
      <c r="Q87" s="25">
        <f>IFERROR(IF(INDEX('CIOG'!$P$10:$P$13,MATCH($F87,'CIOG'!$B$10:$B$13,0))="","Cell will autofill based on response",INDEX('CIOG'!$P$10:$P$13,MATCH($F87,'CIOG'!$B$10:$B$13,0))),"N/A")</f>
        <v/>
      </c>
      <c r="R87" s="25">
        <f>IFERROR(IF(INDEX('MRE'!$P$10:$P$11,MATCH($F87,'MRE'!$B$10:$B$11,0))="","Cell will autofill based on response",INDEX('MRE'!$P$10:$P$11,MATCH($F87,'MRE'!$B$10:$B$11,0))),"N/A")</f>
        <v/>
      </c>
    </row>
    <row r="88">
      <c r="A88">
        <f>F88&amp;"|"&amp;G88</f>
        <v/>
      </c>
      <c r="B88" s="29" t="inlineStr"/>
      <c r="C88" s="8" t="inlineStr"/>
      <c r="D88" s="8" t="inlineStr"/>
      <c r="E88" s="8" t="inlineStr"/>
      <c r="F88" s="8" t="inlineStr">
        <is>
          <t>TR3(a)</t>
        </is>
      </c>
      <c r="G88" s="8" t="inlineStr">
        <is>
          <t>Data owner confirms</t>
        </is>
      </c>
      <c r="H88" s="25">
        <f>IFERROR(IF(INDEX('Faculties'!$Q$10:$Q$29,MATCH($F88,'Faculties'!$B$10:$B$29,0))="","Cell will autofill based on response",INDEX('Faculties'!$Q$10:$Q$29,MATCH($F88,'Faculties'!$B$10:$B$29,0))),"N/A")</f>
        <v/>
      </c>
      <c r="I88" s="25">
        <f>IFERROR(IF(INDEX('Faculties'!$Q$37:$Q$56,MATCH($F88,'Faculties'!$B$37:$B$56,0))="","Cell will autofill based on response",INDEX('Faculties'!$Q$37:$Q$56,MATCH($F88,'Faculties'!$B$37:$B$56,0))),"N/A")</f>
        <v/>
      </c>
      <c r="J88" s="25">
        <f>IFERROR(IF(INDEX('Faculties'!$Q$64:$Q$83,MATCH($F88,'Faculties'!$B$64:$B$83,0))="","Cell will autofill based on response",INDEX('Faculties'!$Q$64:$Q$83,MATCH($F88,'Faculties'!$B$64:$B$83,0))),"N/A")</f>
        <v/>
      </c>
      <c r="K88" s="25">
        <f>IFERROR(IF(INDEX('Faculties'!$Q$91:$Q$110,MATCH($F88,'Faculties'!$B$91:$B$110,0))="","Cell will autofill based on response",INDEX('Faculties'!$Q$91:$Q$110,MATCH($F88,'Faculties'!$B$91:$B$110,0))),"N/A")</f>
        <v/>
      </c>
      <c r="L88" s="25">
        <f>IFERROR(IF(INDEX('CI&amp;S'!$Q$10:$Q$14,MATCH($F88,'CI&amp;S'!$B$10:$B$14,0))="","Cell will autofill based on response",INDEX('CI&amp;S'!$Q$10:$Q$14,MATCH($F88,'CI&amp;S'!$B$10:$B$14,0))),"N/A")</f>
        <v/>
      </c>
      <c r="M88" s="25">
        <f>IFERROR(IF(INDEX('CI&amp;S'!$Q$22:$Q$38,MATCH($F88,'CI&amp;S'!$B$22:$B$38,0))="","Cell will autofill based on response",INDEX('CI&amp;S'!$Q$22:$Q$38,MATCH($F88,'CI&amp;S'!$B$22:$B$38,0))),"N/A")</f>
        <v/>
      </c>
      <c r="N88" s="25">
        <f>IFERROR(IF(INDEX('CFOG'!$Q$10:$Q$15,MATCH($F88,'CFOG'!$B$10:$B$15,0))="","Cell will autofill based on response",INDEX('CFOG'!$Q$10:$Q$15,MATCH($F88,'CFOG'!$B$10:$B$15,0))),"N/A")</f>
        <v/>
      </c>
      <c r="O88" s="25">
        <f>IFERROR(IF(INDEX('CFOG'!$Q$23:$Q$23,MATCH($F88,'CFOG'!$B$23:$B$23,0))="","Cell will autofill based on response",INDEX('CFOG'!$Q$23:$Q$23,MATCH($F88,'CFOG'!$B$23:$B$23,0))),"N/A")</f>
        <v/>
      </c>
      <c r="P88" s="25">
        <f>IFERROR(IF(INDEX('ESG'!$Q$10:$Q$16,MATCH($F88,'ESG'!$B$10:$B$16,0))="","Cell will autofill based on response",INDEX('ESG'!$Q$10:$Q$16,MATCH($F88,'ESG'!$B$10:$B$16,0))),"N/A")</f>
        <v/>
      </c>
      <c r="Q88" s="25">
        <f>IFERROR(IF(INDEX('CIOG'!$Q$10:$Q$13,MATCH($F88,'CIOG'!$B$10:$B$13,0))="","Cell will autofill based on response",INDEX('CIOG'!$Q$10:$Q$13,MATCH($F88,'CIOG'!$B$10:$B$13,0))),"N/A")</f>
        <v/>
      </c>
      <c r="R88" s="25">
        <f>IFERROR(IF(INDEX('MRE'!$Q$10:$Q$11,MATCH($F88,'MRE'!$B$10:$B$11,0))="","Cell will autofill based on response",INDEX('MRE'!$Q$10:$Q$11,MATCH($F88,'MRE'!$B$10:$B$11,0))),"N/A")</f>
        <v/>
      </c>
    </row>
    <row r="89">
      <c r="A89">
        <f>F89&amp;"|"&amp;G89</f>
        <v/>
      </c>
      <c r="B89" s="7" t="inlineStr">
        <is>
          <t>TR3(b)</t>
        </is>
      </c>
      <c r="C89" s="12" t="inlineStr">
        <is>
          <t>Transformational research</t>
        </is>
      </c>
      <c r="D89" s="12" t="inlineStr">
        <is>
          <t>Demonstrated examples of more sustainable research practices in laboratories, fieldwork, procurement, travel or infrastructure use</t>
        </is>
      </c>
      <c r="E89"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9" s="12" t="inlineStr">
        <is>
          <t>TR3(b)</t>
        </is>
      </c>
      <c r="G89" s="12" t="inlineStr">
        <is>
          <t>Confirm end-2026 target status</t>
        </is>
      </c>
      <c r="H89" s="25">
        <f>IFERROR(IF(INDEX('Faculties'!$L$10:$L$29,MATCH($F89,'Faculties'!$B$10:$B$29,0))="","Cell will autofill based on response",INDEX('Faculties'!$L$10:$L$29,MATCH($F89,'Faculties'!$B$10:$B$29,0))),"N/A")</f>
        <v/>
      </c>
      <c r="I89" s="25">
        <f>IFERROR(IF(INDEX('Faculties'!$L$37:$L$56,MATCH($F89,'Faculties'!$B$37:$B$56,0))="","Cell will autofill based on response",INDEX('Faculties'!$L$37:$L$56,MATCH($F89,'Faculties'!$B$37:$B$56,0))),"N/A")</f>
        <v/>
      </c>
      <c r="J89" s="25">
        <f>IFERROR(IF(INDEX('Faculties'!$L$64:$L$83,MATCH($F89,'Faculties'!$B$64:$B$83,0))="","Cell will autofill based on response",INDEX('Faculties'!$L$64:$L$83,MATCH($F89,'Faculties'!$B$64:$B$83,0))),"N/A")</f>
        <v/>
      </c>
      <c r="K89" s="25">
        <f>IFERROR(IF(INDEX('Faculties'!$L$91:$L$110,MATCH($F89,'Faculties'!$B$91:$B$110,0))="","Cell will autofill based on response",INDEX('Faculties'!$L$91:$L$110,MATCH($F89,'Faculties'!$B$91:$B$110,0))),"N/A")</f>
        <v/>
      </c>
      <c r="L89" s="25">
        <f>IFERROR(IF(INDEX('CI&amp;S'!$L$10:$L$14,MATCH($F89,'CI&amp;S'!$B$10:$B$14,0))="","Cell will autofill based on response",INDEX('CI&amp;S'!$L$10:$L$14,MATCH($F89,'CI&amp;S'!$B$10:$B$14,0))),"N/A")</f>
        <v/>
      </c>
      <c r="M89" s="25">
        <f>IFERROR(IF(INDEX('CI&amp;S'!$L$22:$L$38,MATCH($F89,'CI&amp;S'!$B$22:$B$38,0))="","Cell will autofill based on response",INDEX('CI&amp;S'!$L$22:$L$38,MATCH($F89,'CI&amp;S'!$B$22:$B$38,0))),"N/A")</f>
        <v/>
      </c>
      <c r="N89" s="25">
        <f>IFERROR(IF(INDEX('CFOG'!$L$10:$L$15,MATCH($F89,'CFOG'!$B$10:$B$15,0))="","Cell will autofill based on response",INDEX('CFOG'!$L$10:$L$15,MATCH($F89,'CFOG'!$B$10:$B$15,0))),"N/A")</f>
        <v/>
      </c>
      <c r="O89" s="25">
        <f>IFERROR(IF(INDEX('CFOG'!$L$23:$L$23,MATCH($F89,'CFOG'!$B$23:$B$23,0))="","Cell will autofill based on response",INDEX('CFOG'!$L$23:$L$23,MATCH($F89,'CFOG'!$B$23:$B$23,0))),"N/A")</f>
        <v/>
      </c>
      <c r="P89" s="25">
        <f>IFERROR(IF(INDEX('ESG'!$L$10:$L$16,MATCH($F89,'ESG'!$B$10:$B$16,0))="","Cell will autofill based on response",INDEX('ESG'!$L$10:$L$16,MATCH($F89,'ESG'!$B$10:$B$16,0))),"N/A")</f>
        <v/>
      </c>
      <c r="Q89" s="25">
        <f>IFERROR(IF(INDEX('CIOG'!$L$10:$L$13,MATCH($F89,'CIOG'!$B$10:$B$13,0))="","Cell will autofill based on response",INDEX('CIOG'!$L$10:$L$13,MATCH($F89,'CIOG'!$B$10:$B$13,0))),"N/A")</f>
        <v/>
      </c>
      <c r="R89" s="25">
        <f>IFERROR(IF(INDEX('MRE'!$L$10:$L$11,MATCH($F89,'MRE'!$B$10:$B$11,0))="","Cell will autofill based on response",INDEX('MRE'!$L$10:$L$11,MATCH($F89,'MRE'!$B$10:$B$11,0))),"N/A")</f>
        <v/>
      </c>
      <c r="T89" s="26">
        <f>COUNTIF($H89:$R89,"Cell will autofill based on response")</f>
        <v/>
      </c>
      <c r="U89" s="26">
        <f>COUNTIF($H89:$R89,"Not yet started")</f>
        <v/>
      </c>
      <c r="V89" s="26">
        <f>COUNTIF($H89:$R89,"Not met")</f>
        <v/>
      </c>
      <c r="W89" s="26">
        <f>COUNTIF($H89:$R89,"Partially met")</f>
        <v/>
      </c>
      <c r="X89" s="26">
        <f>COUNTIF($H89:$R89,"Met or exceeded")</f>
        <v/>
      </c>
      <c r="Y89" s="26">
        <f>3*X89+2*W89+V89</f>
        <v/>
      </c>
      <c r="Z89" s="26">
        <f>X89+W89+V89+U89</f>
        <v/>
      </c>
      <c r="AA89" s="27">
        <f>IF(Z89&gt;0,Y89/Z89,"No valid responses to date")</f>
        <v/>
      </c>
      <c r="AB89" s="26">
        <f>IF(ISNUMBER(AA89),INDEX(Lists!$G$2:$G$5,MATCH(ROUND(AA89,0),Lists!$H$2:$H$5,0)),"")</f>
        <v/>
      </c>
      <c r="AC89" s="28">
        <f>IF(Z89&gt;0,X89/Z89,"")</f>
        <v/>
      </c>
      <c r="AD89" s="28">
        <f>IF(Z89&gt;0,(X89+W89)/Z89,"")</f>
        <v/>
      </c>
      <c r="AE89" s="26">
        <f>IF(Z89=0,"",IF(AC89&gt;0.75,"Met or exceeded",IF(AD89&gt;=0.5,"Partially met","Not met")))</f>
        <v/>
      </c>
    </row>
    <row r="90">
      <c r="A90">
        <f>F90&amp;"|"&amp;G90</f>
        <v/>
      </c>
      <c r="B90" s="29" t="inlineStr"/>
      <c r="C90" s="8" t="inlineStr"/>
      <c r="D90" s="8" t="inlineStr"/>
      <c r="E90" s="8" t="inlineStr"/>
      <c r="F90" s="8" t="inlineStr">
        <is>
          <t>TR3(b)</t>
        </is>
      </c>
      <c r="G90" s="8" t="inlineStr">
        <is>
          <t>OPTION 1:  Target-level reporting</t>
        </is>
      </c>
      <c r="H90" s="25">
        <f>IFERROR(IF(INDEX('Faculties'!$M$10:$M$29,MATCH($F90,'Faculties'!$B$10:$B$29,0))="","Cell will autofill based on response",INDEX('Faculties'!$M$10:$M$29,MATCH($F90,'Faculties'!$B$10:$B$29,0))),"N/A")</f>
        <v/>
      </c>
      <c r="I90" s="25">
        <f>IFERROR(IF(INDEX('Faculties'!$M$37:$M$56,MATCH($F90,'Faculties'!$B$37:$B$56,0))="","Cell will autofill based on response",INDEX('Faculties'!$M$37:$M$56,MATCH($F90,'Faculties'!$B$37:$B$56,0))),"N/A")</f>
        <v/>
      </c>
      <c r="J90" s="25">
        <f>IFERROR(IF(INDEX('Faculties'!$M$64:$M$83,MATCH($F90,'Faculties'!$B$64:$B$83,0))="","Cell will autofill based on response",INDEX('Faculties'!$M$64:$M$83,MATCH($F90,'Faculties'!$B$64:$B$83,0))),"N/A")</f>
        <v/>
      </c>
      <c r="K90" s="25">
        <f>IFERROR(IF(INDEX('Faculties'!$M$91:$M$110,MATCH($F90,'Faculties'!$B$91:$B$110,0))="","Cell will autofill based on response",INDEX('Faculties'!$M$91:$M$110,MATCH($F90,'Faculties'!$B$91:$B$110,0))),"N/A")</f>
        <v/>
      </c>
      <c r="L90" s="25">
        <f>IFERROR(IF(INDEX('CI&amp;S'!$M$10:$M$14,MATCH($F90,'CI&amp;S'!$B$10:$B$14,0))="","Cell will autofill based on response",INDEX('CI&amp;S'!$M$10:$M$14,MATCH($F90,'CI&amp;S'!$B$10:$B$14,0))),"N/A")</f>
        <v/>
      </c>
      <c r="M90" s="25">
        <f>IFERROR(IF(INDEX('CI&amp;S'!$M$22:$M$38,MATCH($F90,'CI&amp;S'!$B$22:$B$38,0))="","Cell will autofill based on response",INDEX('CI&amp;S'!$M$22:$M$38,MATCH($F90,'CI&amp;S'!$B$22:$B$38,0))),"N/A")</f>
        <v/>
      </c>
      <c r="N90" s="25">
        <f>IFERROR(IF(INDEX('CFOG'!$M$10:$M$15,MATCH($F90,'CFOG'!$B$10:$B$15,0))="","Cell will autofill based on response",INDEX('CFOG'!$M$10:$M$15,MATCH($F90,'CFOG'!$B$10:$B$15,0))),"N/A")</f>
        <v/>
      </c>
      <c r="O90" s="25">
        <f>IFERROR(IF(INDEX('CFOG'!$M$23:$M$23,MATCH($F90,'CFOG'!$B$23:$B$23,0))="","Cell will autofill based on response",INDEX('CFOG'!$M$23:$M$23,MATCH($F90,'CFOG'!$B$23:$B$23,0))),"N/A")</f>
        <v/>
      </c>
      <c r="P90" s="25">
        <f>IFERROR(IF(INDEX('ESG'!$M$10:$M$16,MATCH($F90,'ESG'!$B$10:$B$16,0))="","Cell will autofill based on response",INDEX('ESG'!$M$10:$M$16,MATCH($F90,'ESG'!$B$10:$B$16,0))),"N/A")</f>
        <v/>
      </c>
      <c r="Q90" s="25">
        <f>IFERROR(IF(INDEX('CIOG'!$M$10:$M$13,MATCH($F90,'CIOG'!$B$10:$B$13,0))="","Cell will autofill based on response",INDEX('CIOG'!$M$10:$M$13,MATCH($F90,'CIOG'!$B$10:$B$13,0))),"N/A")</f>
        <v/>
      </c>
      <c r="R90" s="25">
        <f>IFERROR(IF(INDEX('MRE'!$M$10:$M$11,MATCH($F90,'MRE'!$B$10:$B$11,0))="","Cell will autofill based on response",INDEX('MRE'!$M$10:$M$11,MATCH($F90,'MRE'!$B$10:$B$11,0))),"N/A")</f>
        <v/>
      </c>
    </row>
    <row r="91">
      <c r="A91">
        <f>F91&amp;"|"&amp;G91</f>
        <v/>
      </c>
      <c r="B91" s="29" t="inlineStr"/>
      <c r="C91" s="8" t="inlineStr"/>
      <c r="D91" s="8" t="inlineStr"/>
      <c r="E91" s="8" t="inlineStr"/>
      <c r="F91" s="8" t="inlineStr">
        <is>
          <t>TR3(b)</t>
        </is>
      </c>
      <c r="G91" s="8" t="inlineStr">
        <is>
          <t>OPTION 2:  Indicator level reporting</t>
        </is>
      </c>
      <c r="H91" s="25">
        <f>IFERROR(IF(INDEX('Faculties'!$N$10:$N$29,MATCH($F91,'Faculties'!$B$10:$B$29,0))="","Cell will autofill based on response",INDEX('Faculties'!$N$10:$N$29,MATCH($F91,'Faculties'!$B$10:$B$29,0))),"N/A")</f>
        <v/>
      </c>
      <c r="I91" s="25">
        <f>IFERROR(IF(INDEX('Faculties'!$N$37:$N$56,MATCH($F91,'Faculties'!$B$37:$B$56,0))="","Cell will autofill based on response",INDEX('Faculties'!$N$37:$N$56,MATCH($F91,'Faculties'!$B$37:$B$56,0))),"N/A")</f>
        <v/>
      </c>
      <c r="J91" s="25">
        <f>IFERROR(IF(INDEX('Faculties'!$N$64:$N$83,MATCH($F91,'Faculties'!$B$64:$B$83,0))="","Cell will autofill based on response",INDEX('Faculties'!$N$64:$N$83,MATCH($F91,'Faculties'!$B$64:$B$83,0))),"N/A")</f>
        <v/>
      </c>
      <c r="K91" s="25">
        <f>IFERROR(IF(INDEX('Faculties'!$N$91:$N$110,MATCH($F91,'Faculties'!$B$91:$B$110,0))="","Cell will autofill based on response",INDEX('Faculties'!$N$91:$N$110,MATCH($F91,'Faculties'!$B$91:$B$110,0))),"N/A")</f>
        <v/>
      </c>
      <c r="L91" s="25">
        <f>IFERROR(IF(INDEX('CI&amp;S'!$N$10:$N$14,MATCH($F91,'CI&amp;S'!$B$10:$B$14,0))="","Cell will autofill based on response",INDEX('CI&amp;S'!$N$10:$N$14,MATCH($F91,'CI&amp;S'!$B$10:$B$14,0))),"N/A")</f>
        <v/>
      </c>
      <c r="M91" s="25">
        <f>IFERROR(IF(INDEX('CI&amp;S'!$N$22:$N$38,MATCH($F91,'CI&amp;S'!$B$22:$B$38,0))="","Cell will autofill based on response",INDEX('CI&amp;S'!$N$22:$N$38,MATCH($F91,'CI&amp;S'!$B$22:$B$38,0))),"N/A")</f>
        <v/>
      </c>
      <c r="N91" s="25">
        <f>IFERROR(IF(INDEX('CFOG'!$N$10:$N$15,MATCH($F91,'CFOG'!$B$10:$B$15,0))="","Cell will autofill based on response",INDEX('CFOG'!$N$10:$N$15,MATCH($F91,'CFOG'!$B$10:$B$15,0))),"N/A")</f>
        <v/>
      </c>
      <c r="O91" s="25">
        <f>IFERROR(IF(INDEX('CFOG'!$N$23:$N$23,MATCH($F91,'CFOG'!$B$23:$B$23,0))="","Cell will autofill based on response",INDEX('CFOG'!$N$23:$N$23,MATCH($F91,'CFOG'!$B$23:$B$23,0))),"N/A")</f>
        <v/>
      </c>
      <c r="P91" s="25">
        <f>IFERROR(IF(INDEX('ESG'!$N$10:$N$16,MATCH($F91,'ESG'!$B$10:$B$16,0))="","Cell will autofill based on response",INDEX('ESG'!$N$10:$N$16,MATCH($F91,'ESG'!$B$10:$B$16,0))),"N/A")</f>
        <v/>
      </c>
      <c r="Q91" s="25">
        <f>IFERROR(IF(INDEX('CIOG'!$N$10:$N$13,MATCH($F91,'CIOG'!$B$10:$B$13,0))="","Cell will autofill based on response",INDEX('CIOG'!$N$10:$N$13,MATCH($F91,'CIOG'!$B$10:$B$13,0))),"N/A")</f>
        <v/>
      </c>
      <c r="R91" s="25">
        <f>IFERROR(IF(INDEX('MRE'!$N$10:$N$11,MATCH($F91,'MRE'!$B$10:$B$11,0))="","Cell will autofill based on response",INDEX('MRE'!$N$10:$N$11,MATCH($F91,'MRE'!$B$10:$B$11,0))),"N/A")</f>
        <v/>
      </c>
    </row>
    <row r="92">
      <c r="A92">
        <f>F92&amp;"|"&amp;G92</f>
        <v/>
      </c>
      <c r="B92" s="29" t="inlineStr"/>
      <c r="C92" s="8" t="inlineStr"/>
      <c r="D92" s="8" t="inlineStr"/>
      <c r="E92" s="8" t="inlineStr"/>
      <c r="F92" s="8" t="inlineStr">
        <is>
          <t>TR3(b)</t>
        </is>
      </c>
      <c r="G92" s="8" t="inlineStr">
        <is>
          <t>Supporting information/comments</t>
        </is>
      </c>
      <c r="H92" s="25">
        <f>IFERROR(IF(INDEX('Faculties'!$O$10:$O$29,MATCH($F92,'Faculties'!$B$10:$B$29,0))="","Cell will autofill based on response",INDEX('Faculties'!$O$10:$O$29,MATCH($F92,'Faculties'!$B$10:$B$29,0))),"N/A")</f>
        <v/>
      </c>
      <c r="I92" s="25">
        <f>IFERROR(IF(INDEX('Faculties'!$O$37:$O$56,MATCH($F92,'Faculties'!$B$37:$B$56,0))="","Cell will autofill based on response",INDEX('Faculties'!$O$37:$O$56,MATCH($F92,'Faculties'!$B$37:$B$56,0))),"N/A")</f>
        <v/>
      </c>
      <c r="J92" s="25">
        <f>IFERROR(IF(INDEX('Faculties'!$O$64:$O$83,MATCH($F92,'Faculties'!$B$64:$B$83,0))="","Cell will autofill based on response",INDEX('Faculties'!$O$64:$O$83,MATCH($F92,'Faculties'!$B$64:$B$83,0))),"N/A")</f>
        <v/>
      </c>
      <c r="K92" s="25">
        <f>IFERROR(IF(INDEX('Faculties'!$O$91:$O$110,MATCH($F92,'Faculties'!$B$91:$B$110,0))="","Cell will autofill based on response",INDEX('Faculties'!$O$91:$O$110,MATCH($F92,'Faculties'!$B$91:$B$110,0))),"N/A")</f>
        <v/>
      </c>
      <c r="L92" s="25">
        <f>IFERROR(IF(INDEX('CI&amp;S'!$O$10:$O$14,MATCH($F92,'CI&amp;S'!$B$10:$B$14,0))="","Cell will autofill based on response",INDEX('CI&amp;S'!$O$10:$O$14,MATCH($F92,'CI&amp;S'!$B$10:$B$14,0))),"N/A")</f>
        <v/>
      </c>
      <c r="M92" s="25">
        <f>IFERROR(IF(INDEX('CI&amp;S'!$O$22:$O$38,MATCH($F92,'CI&amp;S'!$B$22:$B$38,0))="","Cell will autofill based on response",INDEX('CI&amp;S'!$O$22:$O$38,MATCH($F92,'CI&amp;S'!$B$22:$B$38,0))),"N/A")</f>
        <v/>
      </c>
      <c r="N92" s="25">
        <f>IFERROR(IF(INDEX('CFOG'!$O$10:$O$15,MATCH($F92,'CFOG'!$B$10:$B$15,0))="","Cell will autofill based on response",INDEX('CFOG'!$O$10:$O$15,MATCH($F92,'CFOG'!$B$10:$B$15,0))),"N/A")</f>
        <v/>
      </c>
      <c r="O92" s="25">
        <f>IFERROR(IF(INDEX('CFOG'!$O$23:$O$23,MATCH($F92,'CFOG'!$B$23:$B$23,0))="","Cell will autofill based on response",INDEX('CFOG'!$O$23:$O$23,MATCH($F92,'CFOG'!$B$23:$B$23,0))),"N/A")</f>
        <v/>
      </c>
      <c r="P92" s="25">
        <f>IFERROR(IF(INDEX('ESG'!$O$10:$O$16,MATCH($F92,'ESG'!$B$10:$B$16,0))="","Cell will autofill based on response",INDEX('ESG'!$O$10:$O$16,MATCH($F92,'ESG'!$B$10:$B$16,0))),"N/A")</f>
        <v/>
      </c>
      <c r="Q92" s="25">
        <f>IFERROR(IF(INDEX('CIOG'!$O$10:$O$13,MATCH($F92,'CIOG'!$B$10:$B$13,0))="","Cell will autofill based on response",INDEX('CIOG'!$O$10:$O$13,MATCH($F92,'CIOG'!$B$10:$B$13,0))),"N/A")</f>
        <v/>
      </c>
      <c r="R92" s="25">
        <f>IFERROR(IF(INDEX('MRE'!$O$10:$O$11,MATCH($F92,'MRE'!$B$10:$B$11,0))="","Cell will autofill based on response",INDEX('MRE'!$O$10:$O$11,MATCH($F92,'MRE'!$B$10:$B$11,0))),"N/A")</f>
        <v/>
      </c>
    </row>
    <row r="93">
      <c r="A93">
        <f>F93&amp;"|"&amp;G93</f>
        <v/>
      </c>
      <c r="B93" s="29" t="inlineStr"/>
      <c r="C93" s="8" t="inlineStr"/>
      <c r="D93" s="8" t="inlineStr"/>
      <c r="E93" s="8" t="inlineStr"/>
      <c r="F93" s="8" t="inlineStr">
        <is>
          <t>TR3(b)</t>
        </is>
      </c>
      <c r="G93" s="8" t="inlineStr">
        <is>
          <t>Data source and limitations</t>
        </is>
      </c>
      <c r="H93" s="25">
        <f>IFERROR(IF(INDEX('Faculties'!$P$10:$P$29,MATCH($F93,'Faculties'!$B$10:$B$29,0))="","Cell will autofill based on response",INDEX('Faculties'!$P$10:$P$29,MATCH($F93,'Faculties'!$B$10:$B$29,0))),"N/A")</f>
        <v/>
      </c>
      <c r="I93" s="25">
        <f>IFERROR(IF(INDEX('Faculties'!$P$37:$P$56,MATCH($F93,'Faculties'!$B$37:$B$56,0))="","Cell will autofill based on response",INDEX('Faculties'!$P$37:$P$56,MATCH($F93,'Faculties'!$B$37:$B$56,0))),"N/A")</f>
        <v/>
      </c>
      <c r="J93" s="25">
        <f>IFERROR(IF(INDEX('Faculties'!$P$64:$P$83,MATCH($F93,'Faculties'!$B$64:$B$83,0))="","Cell will autofill based on response",INDEX('Faculties'!$P$64:$P$83,MATCH($F93,'Faculties'!$B$64:$B$83,0))),"N/A")</f>
        <v/>
      </c>
      <c r="K93" s="25">
        <f>IFERROR(IF(INDEX('Faculties'!$P$91:$P$110,MATCH($F93,'Faculties'!$B$91:$B$110,0))="","Cell will autofill based on response",INDEX('Faculties'!$P$91:$P$110,MATCH($F93,'Faculties'!$B$91:$B$110,0))),"N/A")</f>
        <v/>
      </c>
      <c r="L93" s="25">
        <f>IFERROR(IF(INDEX('CI&amp;S'!$P$10:$P$14,MATCH($F93,'CI&amp;S'!$B$10:$B$14,0))="","Cell will autofill based on response",INDEX('CI&amp;S'!$P$10:$P$14,MATCH($F93,'CI&amp;S'!$B$10:$B$14,0))),"N/A")</f>
        <v/>
      </c>
      <c r="M93" s="25">
        <f>IFERROR(IF(INDEX('CI&amp;S'!$P$22:$P$38,MATCH($F93,'CI&amp;S'!$B$22:$B$38,0))="","Cell will autofill based on response",INDEX('CI&amp;S'!$P$22:$P$38,MATCH($F93,'CI&amp;S'!$B$22:$B$38,0))),"N/A")</f>
        <v/>
      </c>
      <c r="N93" s="25">
        <f>IFERROR(IF(INDEX('CFOG'!$P$10:$P$15,MATCH($F93,'CFOG'!$B$10:$B$15,0))="","Cell will autofill based on response",INDEX('CFOG'!$P$10:$P$15,MATCH($F93,'CFOG'!$B$10:$B$15,0))),"N/A")</f>
        <v/>
      </c>
      <c r="O93" s="25">
        <f>IFERROR(IF(INDEX('CFOG'!$P$23:$P$23,MATCH($F93,'CFOG'!$B$23:$B$23,0))="","Cell will autofill based on response",INDEX('CFOG'!$P$23:$P$23,MATCH($F93,'CFOG'!$B$23:$B$23,0))),"N/A")</f>
        <v/>
      </c>
      <c r="P93" s="25">
        <f>IFERROR(IF(INDEX('ESG'!$P$10:$P$16,MATCH($F93,'ESG'!$B$10:$B$16,0))="","Cell will autofill based on response",INDEX('ESG'!$P$10:$P$16,MATCH($F93,'ESG'!$B$10:$B$16,0))),"N/A")</f>
        <v/>
      </c>
      <c r="Q93" s="25">
        <f>IFERROR(IF(INDEX('CIOG'!$P$10:$P$13,MATCH($F93,'CIOG'!$B$10:$B$13,0))="","Cell will autofill based on response",INDEX('CIOG'!$P$10:$P$13,MATCH($F93,'CIOG'!$B$10:$B$13,0))),"N/A")</f>
        <v/>
      </c>
      <c r="R93" s="25">
        <f>IFERROR(IF(INDEX('MRE'!$P$10:$P$11,MATCH($F93,'MRE'!$B$10:$B$11,0))="","Cell will autofill based on response",INDEX('MRE'!$P$10:$P$11,MATCH($F93,'MRE'!$B$10:$B$11,0))),"N/A")</f>
        <v/>
      </c>
    </row>
    <row r="94">
      <c r="A94">
        <f>F94&amp;"|"&amp;G94</f>
        <v/>
      </c>
      <c r="B94" s="29" t="inlineStr"/>
      <c r="C94" s="8" t="inlineStr"/>
      <c r="D94" s="8" t="inlineStr"/>
      <c r="E94" s="8" t="inlineStr"/>
      <c r="F94" s="8" t="inlineStr">
        <is>
          <t>TR3(b)</t>
        </is>
      </c>
      <c r="G94" s="8" t="inlineStr">
        <is>
          <t>Data owner confirms</t>
        </is>
      </c>
      <c r="H94" s="25">
        <f>IFERROR(IF(INDEX('Faculties'!$Q$10:$Q$29,MATCH($F94,'Faculties'!$B$10:$B$29,0))="","Cell will autofill based on response",INDEX('Faculties'!$Q$10:$Q$29,MATCH($F94,'Faculties'!$B$10:$B$29,0))),"N/A")</f>
        <v/>
      </c>
      <c r="I94" s="25">
        <f>IFERROR(IF(INDEX('Faculties'!$Q$37:$Q$56,MATCH($F94,'Faculties'!$B$37:$B$56,0))="","Cell will autofill based on response",INDEX('Faculties'!$Q$37:$Q$56,MATCH($F94,'Faculties'!$B$37:$B$56,0))),"N/A")</f>
        <v/>
      </c>
      <c r="J94" s="25">
        <f>IFERROR(IF(INDEX('Faculties'!$Q$64:$Q$83,MATCH($F94,'Faculties'!$B$64:$B$83,0))="","Cell will autofill based on response",INDEX('Faculties'!$Q$64:$Q$83,MATCH($F94,'Faculties'!$B$64:$B$83,0))),"N/A")</f>
        <v/>
      </c>
      <c r="K94" s="25">
        <f>IFERROR(IF(INDEX('Faculties'!$Q$91:$Q$110,MATCH($F94,'Faculties'!$B$91:$B$110,0))="","Cell will autofill based on response",INDEX('Faculties'!$Q$91:$Q$110,MATCH($F94,'Faculties'!$B$91:$B$110,0))),"N/A")</f>
        <v/>
      </c>
      <c r="L94" s="25">
        <f>IFERROR(IF(INDEX('CI&amp;S'!$Q$10:$Q$14,MATCH($F94,'CI&amp;S'!$B$10:$B$14,0))="","Cell will autofill based on response",INDEX('CI&amp;S'!$Q$10:$Q$14,MATCH($F94,'CI&amp;S'!$B$10:$B$14,0))),"N/A")</f>
        <v/>
      </c>
      <c r="M94" s="25">
        <f>IFERROR(IF(INDEX('CI&amp;S'!$Q$22:$Q$38,MATCH($F94,'CI&amp;S'!$B$22:$B$38,0))="","Cell will autofill based on response",INDEX('CI&amp;S'!$Q$22:$Q$38,MATCH($F94,'CI&amp;S'!$B$22:$B$38,0))),"N/A")</f>
        <v/>
      </c>
      <c r="N94" s="25">
        <f>IFERROR(IF(INDEX('CFOG'!$Q$10:$Q$15,MATCH($F94,'CFOG'!$B$10:$B$15,0))="","Cell will autofill based on response",INDEX('CFOG'!$Q$10:$Q$15,MATCH($F94,'CFOG'!$B$10:$B$15,0))),"N/A")</f>
        <v/>
      </c>
      <c r="O94" s="25">
        <f>IFERROR(IF(INDEX('CFOG'!$Q$23:$Q$23,MATCH($F94,'CFOG'!$B$23:$B$23,0))="","Cell will autofill based on response",INDEX('CFOG'!$Q$23:$Q$23,MATCH($F94,'CFOG'!$B$23:$B$23,0))),"N/A")</f>
        <v/>
      </c>
      <c r="P94" s="25">
        <f>IFERROR(IF(INDEX('ESG'!$Q$10:$Q$16,MATCH($F94,'ESG'!$B$10:$B$16,0))="","Cell will autofill based on response",INDEX('ESG'!$Q$10:$Q$16,MATCH($F94,'ESG'!$B$10:$B$16,0))),"N/A")</f>
        <v/>
      </c>
      <c r="Q94" s="25">
        <f>IFERROR(IF(INDEX('CIOG'!$Q$10:$Q$13,MATCH($F94,'CIOG'!$B$10:$B$13,0))="","Cell will autofill based on response",INDEX('CIOG'!$Q$10:$Q$13,MATCH($F94,'CIOG'!$B$10:$B$13,0))),"N/A")</f>
        <v/>
      </c>
      <c r="R94" s="25">
        <f>IFERROR(IF(INDEX('MRE'!$Q$10:$Q$11,MATCH($F94,'MRE'!$B$10:$B$11,0))="","Cell will autofill based on response",INDEX('MRE'!$Q$10:$Q$11,MATCH($F94,'MRE'!$B$10:$B$11,0))),"N/A")</f>
        <v/>
      </c>
    </row>
    <row r="95">
      <c r="A95">
        <f>F95&amp;"|"&amp;G95</f>
        <v/>
      </c>
      <c r="B95" s="7" t="inlineStr">
        <is>
          <t>TR3(c)</t>
        </is>
      </c>
      <c r="C95" s="12" t="inlineStr">
        <is>
          <t>Transformational research</t>
        </is>
      </c>
      <c r="D95" s="12" t="inlineStr">
        <is>
          <t>Evidence of progress in sustainability-related research culture, capability and awareness, informed by periodic staff and graduate researcher surveys</t>
        </is>
      </c>
      <c r="E95"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95" s="12" t="inlineStr">
        <is>
          <t>TR3(c)</t>
        </is>
      </c>
      <c r="G95" s="12" t="inlineStr">
        <is>
          <t>Confirm end-2026 target status</t>
        </is>
      </c>
      <c r="H95" s="25">
        <f>IFERROR(IF(INDEX('Faculties'!$L$10:$L$29,MATCH($F95,'Faculties'!$B$10:$B$29,0))="","Cell will autofill based on response",INDEX('Faculties'!$L$10:$L$29,MATCH($F95,'Faculties'!$B$10:$B$29,0))),"N/A")</f>
        <v/>
      </c>
      <c r="I95" s="25">
        <f>IFERROR(IF(INDEX('Faculties'!$L$37:$L$56,MATCH($F95,'Faculties'!$B$37:$B$56,0))="","Cell will autofill based on response",INDEX('Faculties'!$L$37:$L$56,MATCH($F95,'Faculties'!$B$37:$B$56,0))),"N/A")</f>
        <v/>
      </c>
      <c r="J95" s="25">
        <f>IFERROR(IF(INDEX('Faculties'!$L$64:$L$83,MATCH($F95,'Faculties'!$B$64:$B$83,0))="","Cell will autofill based on response",INDEX('Faculties'!$L$64:$L$83,MATCH($F95,'Faculties'!$B$64:$B$83,0))),"N/A")</f>
        <v/>
      </c>
      <c r="K95" s="25">
        <f>IFERROR(IF(INDEX('Faculties'!$L$91:$L$110,MATCH($F95,'Faculties'!$B$91:$B$110,0))="","Cell will autofill based on response",INDEX('Faculties'!$L$91:$L$110,MATCH($F95,'Faculties'!$B$91:$B$110,0))),"N/A")</f>
        <v/>
      </c>
      <c r="L95" s="25">
        <f>IFERROR(IF(INDEX('CI&amp;S'!$L$10:$L$14,MATCH($F95,'CI&amp;S'!$B$10:$B$14,0))="","Cell will autofill based on response",INDEX('CI&amp;S'!$L$10:$L$14,MATCH($F95,'CI&amp;S'!$B$10:$B$14,0))),"N/A")</f>
        <v/>
      </c>
      <c r="M95" s="25">
        <f>IFERROR(IF(INDEX('CI&amp;S'!$L$22:$L$38,MATCH($F95,'CI&amp;S'!$B$22:$B$38,0))="","Cell will autofill based on response",INDEX('CI&amp;S'!$L$22:$L$38,MATCH($F95,'CI&amp;S'!$B$22:$B$38,0))),"N/A")</f>
        <v/>
      </c>
      <c r="N95" s="25">
        <f>IFERROR(IF(INDEX('CFOG'!$L$10:$L$15,MATCH($F95,'CFOG'!$B$10:$B$15,0))="","Cell will autofill based on response",INDEX('CFOG'!$L$10:$L$15,MATCH($F95,'CFOG'!$B$10:$B$15,0))),"N/A")</f>
        <v/>
      </c>
      <c r="O95" s="25">
        <f>IFERROR(IF(INDEX('CFOG'!$L$23:$L$23,MATCH($F95,'CFOG'!$B$23:$B$23,0))="","Cell will autofill based on response",INDEX('CFOG'!$L$23:$L$23,MATCH($F95,'CFOG'!$B$23:$B$23,0))),"N/A")</f>
        <v/>
      </c>
      <c r="P95" s="25">
        <f>IFERROR(IF(INDEX('ESG'!$L$10:$L$16,MATCH($F95,'ESG'!$B$10:$B$16,0))="","Cell will autofill based on response",INDEX('ESG'!$L$10:$L$16,MATCH($F95,'ESG'!$B$10:$B$16,0))),"N/A")</f>
        <v/>
      </c>
      <c r="Q95" s="25">
        <f>IFERROR(IF(INDEX('CIOG'!$L$10:$L$13,MATCH($F95,'CIOG'!$B$10:$B$13,0))="","Cell will autofill based on response",INDEX('CIOG'!$L$10:$L$13,MATCH($F95,'CIOG'!$B$10:$B$13,0))),"N/A")</f>
        <v/>
      </c>
      <c r="R95" s="25">
        <f>IFERROR(IF(INDEX('MRE'!$L$10:$L$11,MATCH($F95,'MRE'!$B$10:$B$11,0))="","Cell will autofill based on response",INDEX('MRE'!$L$10:$L$11,MATCH($F95,'MRE'!$B$10:$B$11,0))),"N/A")</f>
        <v/>
      </c>
      <c r="T95" s="26">
        <f>COUNTIF($H95:$R95,"Cell will autofill based on response")</f>
        <v/>
      </c>
      <c r="U95" s="26">
        <f>COUNTIF($H95:$R95,"Not yet started")</f>
        <v/>
      </c>
      <c r="V95" s="26">
        <f>COUNTIF($H95:$R95,"Not met")</f>
        <v/>
      </c>
      <c r="W95" s="26">
        <f>COUNTIF($H95:$R95,"Partially met")</f>
        <v/>
      </c>
      <c r="X95" s="26">
        <f>COUNTIF($H95:$R95,"Met or exceeded")</f>
        <v/>
      </c>
      <c r="Y95" s="26">
        <f>3*X95+2*W95+V95</f>
        <v/>
      </c>
      <c r="Z95" s="26">
        <f>X95+W95+V95+U95</f>
        <v/>
      </c>
      <c r="AA95" s="27">
        <f>IF(Z95&gt;0,Y95/Z95,"No valid responses to date")</f>
        <v/>
      </c>
      <c r="AB95" s="26">
        <f>IF(ISNUMBER(AA95),INDEX(Lists!$G$2:$G$5,MATCH(ROUND(AA95,0),Lists!$H$2:$H$5,0)),"")</f>
        <v/>
      </c>
      <c r="AC95" s="28">
        <f>IF(Z95&gt;0,X95/Z95,"")</f>
        <v/>
      </c>
      <c r="AD95" s="28">
        <f>IF(Z95&gt;0,(X95+W95)/Z95,"")</f>
        <v/>
      </c>
      <c r="AE95" s="26">
        <f>IF(Z95=0,"",IF(AC95&gt;0.75,"Met or exceeded",IF(AD95&gt;=0.5,"Partially met","Not met")))</f>
        <v/>
      </c>
    </row>
    <row r="96">
      <c r="A96">
        <f>F96&amp;"|"&amp;G96</f>
        <v/>
      </c>
      <c r="B96" s="29" t="inlineStr"/>
      <c r="C96" s="8" t="inlineStr"/>
      <c r="D96" s="8" t="inlineStr"/>
      <c r="E96" s="8" t="inlineStr"/>
      <c r="F96" s="8" t="inlineStr">
        <is>
          <t>TR3(c)</t>
        </is>
      </c>
      <c r="G96" s="8" t="inlineStr">
        <is>
          <t>OPTION 1:  Target-level reporting</t>
        </is>
      </c>
      <c r="H96" s="25">
        <f>IFERROR(IF(INDEX('Faculties'!$M$10:$M$29,MATCH($F96,'Faculties'!$B$10:$B$29,0))="","Cell will autofill based on response",INDEX('Faculties'!$M$10:$M$29,MATCH($F96,'Faculties'!$B$10:$B$29,0))),"N/A")</f>
        <v/>
      </c>
      <c r="I96" s="25">
        <f>IFERROR(IF(INDEX('Faculties'!$M$37:$M$56,MATCH($F96,'Faculties'!$B$37:$B$56,0))="","Cell will autofill based on response",INDEX('Faculties'!$M$37:$M$56,MATCH($F96,'Faculties'!$B$37:$B$56,0))),"N/A")</f>
        <v/>
      </c>
      <c r="J96" s="25">
        <f>IFERROR(IF(INDEX('Faculties'!$M$64:$M$83,MATCH($F96,'Faculties'!$B$64:$B$83,0))="","Cell will autofill based on response",INDEX('Faculties'!$M$64:$M$83,MATCH($F96,'Faculties'!$B$64:$B$83,0))),"N/A")</f>
        <v/>
      </c>
      <c r="K96" s="25">
        <f>IFERROR(IF(INDEX('Faculties'!$M$91:$M$110,MATCH($F96,'Faculties'!$B$91:$B$110,0))="","Cell will autofill based on response",INDEX('Faculties'!$M$91:$M$110,MATCH($F96,'Faculties'!$B$91:$B$110,0))),"N/A")</f>
        <v/>
      </c>
      <c r="L96" s="25">
        <f>IFERROR(IF(INDEX('CI&amp;S'!$M$10:$M$14,MATCH($F96,'CI&amp;S'!$B$10:$B$14,0))="","Cell will autofill based on response",INDEX('CI&amp;S'!$M$10:$M$14,MATCH($F96,'CI&amp;S'!$B$10:$B$14,0))),"N/A")</f>
        <v/>
      </c>
      <c r="M96" s="25">
        <f>IFERROR(IF(INDEX('CI&amp;S'!$M$22:$M$38,MATCH($F96,'CI&amp;S'!$B$22:$B$38,0))="","Cell will autofill based on response",INDEX('CI&amp;S'!$M$22:$M$38,MATCH($F96,'CI&amp;S'!$B$22:$B$38,0))),"N/A")</f>
        <v/>
      </c>
      <c r="N96" s="25">
        <f>IFERROR(IF(INDEX('CFOG'!$M$10:$M$15,MATCH($F96,'CFOG'!$B$10:$B$15,0))="","Cell will autofill based on response",INDEX('CFOG'!$M$10:$M$15,MATCH($F96,'CFOG'!$B$10:$B$15,0))),"N/A")</f>
        <v/>
      </c>
      <c r="O96" s="25">
        <f>IFERROR(IF(INDEX('CFOG'!$M$23:$M$23,MATCH($F96,'CFOG'!$B$23:$B$23,0))="","Cell will autofill based on response",INDEX('CFOG'!$M$23:$M$23,MATCH($F96,'CFOG'!$B$23:$B$23,0))),"N/A")</f>
        <v/>
      </c>
      <c r="P96" s="25">
        <f>IFERROR(IF(INDEX('ESG'!$M$10:$M$16,MATCH($F96,'ESG'!$B$10:$B$16,0))="","Cell will autofill based on response",INDEX('ESG'!$M$10:$M$16,MATCH($F96,'ESG'!$B$10:$B$16,0))),"N/A")</f>
        <v/>
      </c>
      <c r="Q96" s="25">
        <f>IFERROR(IF(INDEX('CIOG'!$M$10:$M$13,MATCH($F96,'CIOG'!$B$10:$B$13,0))="","Cell will autofill based on response",INDEX('CIOG'!$M$10:$M$13,MATCH($F96,'CIOG'!$B$10:$B$13,0))),"N/A")</f>
        <v/>
      </c>
      <c r="R96" s="25">
        <f>IFERROR(IF(INDEX('MRE'!$M$10:$M$11,MATCH($F96,'MRE'!$B$10:$B$11,0))="","Cell will autofill based on response",INDEX('MRE'!$M$10:$M$11,MATCH($F96,'MRE'!$B$10:$B$11,0))),"N/A")</f>
        <v/>
      </c>
    </row>
    <row r="97">
      <c r="A97">
        <f>F97&amp;"|"&amp;G97</f>
        <v/>
      </c>
      <c r="B97" s="29" t="inlineStr"/>
      <c r="C97" s="8" t="inlineStr"/>
      <c r="D97" s="8" t="inlineStr"/>
      <c r="E97" s="8" t="inlineStr"/>
      <c r="F97" s="8" t="inlineStr">
        <is>
          <t>TR3(c)</t>
        </is>
      </c>
      <c r="G97" s="8" t="inlineStr">
        <is>
          <t>OPTION 2:  Indicator level reporting</t>
        </is>
      </c>
      <c r="H97" s="25">
        <f>IFERROR(IF(INDEX('Faculties'!$N$10:$N$29,MATCH($F97,'Faculties'!$B$10:$B$29,0))="","Cell will autofill based on response",INDEX('Faculties'!$N$10:$N$29,MATCH($F97,'Faculties'!$B$10:$B$29,0))),"N/A")</f>
        <v/>
      </c>
      <c r="I97" s="25">
        <f>IFERROR(IF(INDEX('Faculties'!$N$37:$N$56,MATCH($F97,'Faculties'!$B$37:$B$56,0))="","Cell will autofill based on response",INDEX('Faculties'!$N$37:$N$56,MATCH($F97,'Faculties'!$B$37:$B$56,0))),"N/A")</f>
        <v/>
      </c>
      <c r="J97" s="25">
        <f>IFERROR(IF(INDEX('Faculties'!$N$64:$N$83,MATCH($F97,'Faculties'!$B$64:$B$83,0))="","Cell will autofill based on response",INDEX('Faculties'!$N$64:$N$83,MATCH($F97,'Faculties'!$B$64:$B$83,0))),"N/A")</f>
        <v/>
      </c>
      <c r="K97" s="25">
        <f>IFERROR(IF(INDEX('Faculties'!$N$91:$N$110,MATCH($F97,'Faculties'!$B$91:$B$110,0))="","Cell will autofill based on response",INDEX('Faculties'!$N$91:$N$110,MATCH($F97,'Faculties'!$B$91:$B$110,0))),"N/A")</f>
        <v/>
      </c>
      <c r="L97" s="25">
        <f>IFERROR(IF(INDEX('CI&amp;S'!$N$10:$N$14,MATCH($F97,'CI&amp;S'!$B$10:$B$14,0))="","Cell will autofill based on response",INDEX('CI&amp;S'!$N$10:$N$14,MATCH($F97,'CI&amp;S'!$B$10:$B$14,0))),"N/A")</f>
        <v/>
      </c>
      <c r="M97" s="25">
        <f>IFERROR(IF(INDEX('CI&amp;S'!$N$22:$N$38,MATCH($F97,'CI&amp;S'!$B$22:$B$38,0))="","Cell will autofill based on response",INDEX('CI&amp;S'!$N$22:$N$38,MATCH($F97,'CI&amp;S'!$B$22:$B$38,0))),"N/A")</f>
        <v/>
      </c>
      <c r="N97" s="25">
        <f>IFERROR(IF(INDEX('CFOG'!$N$10:$N$15,MATCH($F97,'CFOG'!$B$10:$B$15,0))="","Cell will autofill based on response",INDEX('CFOG'!$N$10:$N$15,MATCH($F97,'CFOG'!$B$10:$B$15,0))),"N/A")</f>
        <v/>
      </c>
      <c r="O97" s="25">
        <f>IFERROR(IF(INDEX('CFOG'!$N$23:$N$23,MATCH($F97,'CFOG'!$B$23:$B$23,0))="","Cell will autofill based on response",INDEX('CFOG'!$N$23:$N$23,MATCH($F97,'CFOG'!$B$23:$B$23,0))),"N/A")</f>
        <v/>
      </c>
      <c r="P97" s="25">
        <f>IFERROR(IF(INDEX('ESG'!$N$10:$N$16,MATCH($F97,'ESG'!$B$10:$B$16,0))="","Cell will autofill based on response",INDEX('ESG'!$N$10:$N$16,MATCH($F97,'ESG'!$B$10:$B$16,0))),"N/A")</f>
        <v/>
      </c>
      <c r="Q97" s="25">
        <f>IFERROR(IF(INDEX('CIOG'!$N$10:$N$13,MATCH($F97,'CIOG'!$B$10:$B$13,0))="","Cell will autofill based on response",INDEX('CIOG'!$N$10:$N$13,MATCH($F97,'CIOG'!$B$10:$B$13,0))),"N/A")</f>
        <v/>
      </c>
      <c r="R97" s="25">
        <f>IFERROR(IF(INDEX('MRE'!$N$10:$N$11,MATCH($F97,'MRE'!$B$10:$B$11,0))="","Cell will autofill based on response",INDEX('MRE'!$N$10:$N$11,MATCH($F97,'MRE'!$B$10:$B$11,0))),"N/A")</f>
        <v/>
      </c>
    </row>
    <row r="98">
      <c r="A98">
        <f>F98&amp;"|"&amp;G98</f>
        <v/>
      </c>
      <c r="B98" s="29" t="inlineStr"/>
      <c r="C98" s="8" t="inlineStr"/>
      <c r="D98" s="8" t="inlineStr"/>
      <c r="E98" s="8" t="inlineStr"/>
      <c r="F98" s="8" t="inlineStr">
        <is>
          <t>TR3(c)</t>
        </is>
      </c>
      <c r="G98" s="8" t="inlineStr">
        <is>
          <t>Supporting information/comments</t>
        </is>
      </c>
      <c r="H98" s="25">
        <f>IFERROR(IF(INDEX('Faculties'!$O$10:$O$29,MATCH($F98,'Faculties'!$B$10:$B$29,0))="","Cell will autofill based on response",INDEX('Faculties'!$O$10:$O$29,MATCH($F98,'Faculties'!$B$10:$B$29,0))),"N/A")</f>
        <v/>
      </c>
      <c r="I98" s="25">
        <f>IFERROR(IF(INDEX('Faculties'!$O$37:$O$56,MATCH($F98,'Faculties'!$B$37:$B$56,0))="","Cell will autofill based on response",INDEX('Faculties'!$O$37:$O$56,MATCH($F98,'Faculties'!$B$37:$B$56,0))),"N/A")</f>
        <v/>
      </c>
      <c r="J98" s="25">
        <f>IFERROR(IF(INDEX('Faculties'!$O$64:$O$83,MATCH($F98,'Faculties'!$B$64:$B$83,0))="","Cell will autofill based on response",INDEX('Faculties'!$O$64:$O$83,MATCH($F98,'Faculties'!$B$64:$B$83,0))),"N/A")</f>
        <v/>
      </c>
      <c r="K98" s="25">
        <f>IFERROR(IF(INDEX('Faculties'!$O$91:$O$110,MATCH($F98,'Faculties'!$B$91:$B$110,0))="","Cell will autofill based on response",INDEX('Faculties'!$O$91:$O$110,MATCH($F98,'Faculties'!$B$91:$B$110,0))),"N/A")</f>
        <v/>
      </c>
      <c r="L98" s="25">
        <f>IFERROR(IF(INDEX('CI&amp;S'!$O$10:$O$14,MATCH($F98,'CI&amp;S'!$B$10:$B$14,0))="","Cell will autofill based on response",INDEX('CI&amp;S'!$O$10:$O$14,MATCH($F98,'CI&amp;S'!$B$10:$B$14,0))),"N/A")</f>
        <v/>
      </c>
      <c r="M98" s="25">
        <f>IFERROR(IF(INDEX('CI&amp;S'!$O$22:$O$38,MATCH($F98,'CI&amp;S'!$B$22:$B$38,0))="","Cell will autofill based on response",INDEX('CI&amp;S'!$O$22:$O$38,MATCH($F98,'CI&amp;S'!$B$22:$B$38,0))),"N/A")</f>
        <v/>
      </c>
      <c r="N98" s="25">
        <f>IFERROR(IF(INDEX('CFOG'!$O$10:$O$15,MATCH($F98,'CFOG'!$B$10:$B$15,0))="","Cell will autofill based on response",INDEX('CFOG'!$O$10:$O$15,MATCH($F98,'CFOG'!$B$10:$B$15,0))),"N/A")</f>
        <v/>
      </c>
      <c r="O98" s="25">
        <f>IFERROR(IF(INDEX('CFOG'!$O$23:$O$23,MATCH($F98,'CFOG'!$B$23:$B$23,0))="","Cell will autofill based on response",INDEX('CFOG'!$O$23:$O$23,MATCH($F98,'CFOG'!$B$23:$B$23,0))),"N/A")</f>
        <v/>
      </c>
      <c r="P98" s="25">
        <f>IFERROR(IF(INDEX('ESG'!$O$10:$O$16,MATCH($F98,'ESG'!$B$10:$B$16,0))="","Cell will autofill based on response",INDEX('ESG'!$O$10:$O$16,MATCH($F98,'ESG'!$B$10:$B$16,0))),"N/A")</f>
        <v/>
      </c>
      <c r="Q98" s="25">
        <f>IFERROR(IF(INDEX('CIOG'!$O$10:$O$13,MATCH($F98,'CIOG'!$B$10:$B$13,0))="","Cell will autofill based on response",INDEX('CIOG'!$O$10:$O$13,MATCH($F98,'CIOG'!$B$10:$B$13,0))),"N/A")</f>
        <v/>
      </c>
      <c r="R98" s="25">
        <f>IFERROR(IF(INDEX('MRE'!$O$10:$O$11,MATCH($F98,'MRE'!$B$10:$B$11,0))="","Cell will autofill based on response",INDEX('MRE'!$O$10:$O$11,MATCH($F98,'MRE'!$B$10:$B$11,0))),"N/A")</f>
        <v/>
      </c>
    </row>
    <row r="99">
      <c r="A99">
        <f>F99&amp;"|"&amp;G99</f>
        <v/>
      </c>
      <c r="B99" s="29" t="inlineStr"/>
      <c r="C99" s="8" t="inlineStr"/>
      <c r="D99" s="8" t="inlineStr"/>
      <c r="E99" s="8" t="inlineStr"/>
      <c r="F99" s="8" t="inlineStr">
        <is>
          <t>TR3(c)</t>
        </is>
      </c>
      <c r="G99" s="8" t="inlineStr">
        <is>
          <t>Data source and limitations</t>
        </is>
      </c>
      <c r="H99" s="25">
        <f>IFERROR(IF(INDEX('Faculties'!$P$10:$P$29,MATCH($F99,'Faculties'!$B$10:$B$29,0))="","Cell will autofill based on response",INDEX('Faculties'!$P$10:$P$29,MATCH($F99,'Faculties'!$B$10:$B$29,0))),"N/A")</f>
        <v/>
      </c>
      <c r="I99" s="25">
        <f>IFERROR(IF(INDEX('Faculties'!$P$37:$P$56,MATCH($F99,'Faculties'!$B$37:$B$56,0))="","Cell will autofill based on response",INDEX('Faculties'!$P$37:$P$56,MATCH($F99,'Faculties'!$B$37:$B$56,0))),"N/A")</f>
        <v/>
      </c>
      <c r="J99" s="25">
        <f>IFERROR(IF(INDEX('Faculties'!$P$64:$P$83,MATCH($F99,'Faculties'!$B$64:$B$83,0))="","Cell will autofill based on response",INDEX('Faculties'!$P$64:$P$83,MATCH($F99,'Faculties'!$B$64:$B$83,0))),"N/A")</f>
        <v/>
      </c>
      <c r="K99" s="25">
        <f>IFERROR(IF(INDEX('Faculties'!$P$91:$P$110,MATCH($F99,'Faculties'!$B$91:$B$110,0))="","Cell will autofill based on response",INDEX('Faculties'!$P$91:$P$110,MATCH($F99,'Faculties'!$B$91:$B$110,0))),"N/A")</f>
        <v/>
      </c>
      <c r="L99" s="25">
        <f>IFERROR(IF(INDEX('CI&amp;S'!$P$10:$P$14,MATCH($F99,'CI&amp;S'!$B$10:$B$14,0))="","Cell will autofill based on response",INDEX('CI&amp;S'!$P$10:$P$14,MATCH($F99,'CI&amp;S'!$B$10:$B$14,0))),"N/A")</f>
        <v/>
      </c>
      <c r="M99" s="25">
        <f>IFERROR(IF(INDEX('CI&amp;S'!$P$22:$P$38,MATCH($F99,'CI&amp;S'!$B$22:$B$38,0))="","Cell will autofill based on response",INDEX('CI&amp;S'!$P$22:$P$38,MATCH($F99,'CI&amp;S'!$B$22:$B$38,0))),"N/A")</f>
        <v/>
      </c>
      <c r="N99" s="25">
        <f>IFERROR(IF(INDEX('CFOG'!$P$10:$P$15,MATCH($F99,'CFOG'!$B$10:$B$15,0))="","Cell will autofill based on response",INDEX('CFOG'!$P$10:$P$15,MATCH($F99,'CFOG'!$B$10:$B$15,0))),"N/A")</f>
        <v/>
      </c>
      <c r="O99" s="25">
        <f>IFERROR(IF(INDEX('CFOG'!$P$23:$P$23,MATCH($F99,'CFOG'!$B$23:$B$23,0))="","Cell will autofill based on response",INDEX('CFOG'!$P$23:$P$23,MATCH($F99,'CFOG'!$B$23:$B$23,0))),"N/A")</f>
        <v/>
      </c>
      <c r="P99" s="25">
        <f>IFERROR(IF(INDEX('ESG'!$P$10:$P$16,MATCH($F99,'ESG'!$B$10:$B$16,0))="","Cell will autofill based on response",INDEX('ESG'!$P$10:$P$16,MATCH($F99,'ESG'!$B$10:$B$16,0))),"N/A")</f>
        <v/>
      </c>
      <c r="Q99" s="25">
        <f>IFERROR(IF(INDEX('CIOG'!$P$10:$P$13,MATCH($F99,'CIOG'!$B$10:$B$13,0))="","Cell will autofill based on response",INDEX('CIOG'!$P$10:$P$13,MATCH($F99,'CIOG'!$B$10:$B$13,0))),"N/A")</f>
        <v/>
      </c>
      <c r="R99" s="25">
        <f>IFERROR(IF(INDEX('MRE'!$P$10:$P$11,MATCH($F99,'MRE'!$B$10:$B$11,0))="","Cell will autofill based on response",INDEX('MRE'!$P$10:$P$11,MATCH($F99,'MRE'!$B$10:$B$11,0))),"N/A")</f>
        <v/>
      </c>
    </row>
    <row r="100">
      <c r="A100">
        <f>F100&amp;"|"&amp;G100</f>
        <v/>
      </c>
      <c r="B100" s="29" t="inlineStr"/>
      <c r="C100" s="8" t="inlineStr"/>
      <c r="D100" s="8" t="inlineStr"/>
      <c r="E100" s="8" t="inlineStr"/>
      <c r="F100" s="8" t="inlineStr">
        <is>
          <t>TR3(c)</t>
        </is>
      </c>
      <c r="G100" s="8" t="inlineStr">
        <is>
          <t>Data owner confirms</t>
        </is>
      </c>
      <c r="H100" s="25">
        <f>IFERROR(IF(INDEX('Faculties'!$Q$10:$Q$29,MATCH($F100,'Faculties'!$B$10:$B$29,0))="","Cell will autofill based on response",INDEX('Faculties'!$Q$10:$Q$29,MATCH($F100,'Faculties'!$B$10:$B$29,0))),"N/A")</f>
        <v/>
      </c>
      <c r="I100" s="25">
        <f>IFERROR(IF(INDEX('Faculties'!$Q$37:$Q$56,MATCH($F100,'Faculties'!$B$37:$B$56,0))="","Cell will autofill based on response",INDEX('Faculties'!$Q$37:$Q$56,MATCH($F100,'Faculties'!$B$37:$B$56,0))),"N/A")</f>
        <v/>
      </c>
      <c r="J100" s="25">
        <f>IFERROR(IF(INDEX('Faculties'!$Q$64:$Q$83,MATCH($F100,'Faculties'!$B$64:$B$83,0))="","Cell will autofill based on response",INDEX('Faculties'!$Q$64:$Q$83,MATCH($F100,'Faculties'!$B$64:$B$83,0))),"N/A")</f>
        <v/>
      </c>
      <c r="K100" s="25">
        <f>IFERROR(IF(INDEX('Faculties'!$Q$91:$Q$110,MATCH($F100,'Faculties'!$B$91:$B$110,0))="","Cell will autofill based on response",INDEX('Faculties'!$Q$91:$Q$110,MATCH($F100,'Faculties'!$B$91:$B$110,0))),"N/A")</f>
        <v/>
      </c>
      <c r="L100" s="25">
        <f>IFERROR(IF(INDEX('CI&amp;S'!$Q$10:$Q$14,MATCH($F100,'CI&amp;S'!$B$10:$B$14,0))="","Cell will autofill based on response",INDEX('CI&amp;S'!$Q$10:$Q$14,MATCH($F100,'CI&amp;S'!$B$10:$B$14,0))),"N/A")</f>
        <v/>
      </c>
      <c r="M100" s="25">
        <f>IFERROR(IF(INDEX('CI&amp;S'!$Q$22:$Q$38,MATCH($F100,'CI&amp;S'!$B$22:$B$38,0))="","Cell will autofill based on response",INDEX('CI&amp;S'!$Q$22:$Q$38,MATCH($F100,'CI&amp;S'!$B$22:$B$38,0))),"N/A")</f>
        <v/>
      </c>
      <c r="N100" s="25">
        <f>IFERROR(IF(INDEX('CFOG'!$Q$10:$Q$15,MATCH($F100,'CFOG'!$B$10:$B$15,0))="","Cell will autofill based on response",INDEX('CFOG'!$Q$10:$Q$15,MATCH($F100,'CFOG'!$B$10:$B$15,0))),"N/A")</f>
        <v/>
      </c>
      <c r="O100" s="25">
        <f>IFERROR(IF(INDEX('CFOG'!$Q$23:$Q$23,MATCH($F100,'CFOG'!$B$23:$B$23,0))="","Cell will autofill based on response",INDEX('CFOG'!$Q$23:$Q$23,MATCH($F100,'CFOG'!$B$23:$B$23,0))),"N/A")</f>
        <v/>
      </c>
      <c r="P100" s="25">
        <f>IFERROR(IF(INDEX('ESG'!$Q$10:$Q$16,MATCH($F100,'ESG'!$B$10:$B$16,0))="","Cell will autofill based on response",INDEX('ESG'!$Q$10:$Q$16,MATCH($F100,'ESG'!$B$10:$B$16,0))),"N/A")</f>
        <v/>
      </c>
      <c r="Q100" s="25">
        <f>IFERROR(IF(INDEX('CIOG'!$Q$10:$Q$13,MATCH($F100,'CIOG'!$B$10:$B$13,0))="","Cell will autofill based on response",INDEX('CIOG'!$Q$10:$Q$13,MATCH($F100,'CIOG'!$B$10:$B$13,0))),"N/A")</f>
        <v/>
      </c>
      <c r="R100" s="25">
        <f>IFERROR(IF(INDEX('MRE'!$Q$10:$Q$11,MATCH($F100,'MRE'!$B$10:$B$11,0))="","Cell will autofill based on response",INDEX('MRE'!$Q$10:$Q$11,MATCH($F100,'MRE'!$B$10:$B$11,0))),"N/A")</f>
        <v/>
      </c>
    </row>
    <row r="101">
      <c r="A101">
        <f>F101&amp;"|"&amp;G101</f>
        <v/>
      </c>
      <c r="B101" s="7" t="inlineStr">
        <is>
          <t>TR3(d)</t>
        </is>
      </c>
      <c r="C101" s="12" t="inlineStr">
        <is>
          <t>Transformational research</t>
        </is>
      </c>
      <c r="D101" s="12" t="inlineStr">
        <is>
          <t>Expert assessment of progress in embedding sustainable research practices across the institution.</t>
        </is>
      </c>
      <c r="E101" s="12" t="inlineStr">
        <is>
          <t>Faculty/Portfolio’s assessment of progress in embedding sustainable research practices, highlighting areas of strong progress, remaining gaps and priority actions for further improvement.</t>
        </is>
      </c>
      <c r="F101" s="12" t="inlineStr">
        <is>
          <t>TR3(d)</t>
        </is>
      </c>
      <c r="G101" s="12" t="inlineStr">
        <is>
          <t>Confirm end-2026 target status</t>
        </is>
      </c>
      <c r="H101" s="25">
        <f>IFERROR(IF(INDEX('Faculties'!$L$10:$L$29,MATCH($F101,'Faculties'!$B$10:$B$29,0))="","Cell will autofill based on response",INDEX('Faculties'!$L$10:$L$29,MATCH($F101,'Faculties'!$B$10:$B$29,0))),"N/A")</f>
        <v/>
      </c>
      <c r="I101" s="25">
        <f>IFERROR(IF(INDEX('Faculties'!$L$37:$L$56,MATCH($F101,'Faculties'!$B$37:$B$56,0))="","Cell will autofill based on response",INDEX('Faculties'!$L$37:$L$56,MATCH($F101,'Faculties'!$B$37:$B$56,0))),"N/A")</f>
        <v/>
      </c>
      <c r="J101" s="25">
        <f>IFERROR(IF(INDEX('Faculties'!$L$64:$L$83,MATCH($F101,'Faculties'!$B$64:$B$83,0))="","Cell will autofill based on response",INDEX('Faculties'!$L$64:$L$83,MATCH($F101,'Faculties'!$B$64:$B$83,0))),"N/A")</f>
        <v/>
      </c>
      <c r="K101" s="25">
        <f>IFERROR(IF(INDEX('Faculties'!$L$91:$L$110,MATCH($F101,'Faculties'!$B$91:$B$110,0))="","Cell will autofill based on response",INDEX('Faculties'!$L$91:$L$110,MATCH($F101,'Faculties'!$B$91:$B$110,0))),"N/A")</f>
        <v/>
      </c>
      <c r="L101" s="25">
        <f>IFERROR(IF(INDEX('CI&amp;S'!$L$10:$L$14,MATCH($F101,'CI&amp;S'!$B$10:$B$14,0))="","Cell will autofill based on response",INDEX('CI&amp;S'!$L$10:$L$14,MATCH($F101,'CI&amp;S'!$B$10:$B$14,0))),"N/A")</f>
        <v/>
      </c>
      <c r="M101" s="25">
        <f>IFERROR(IF(INDEX('CI&amp;S'!$L$22:$L$38,MATCH($F101,'CI&amp;S'!$B$22:$B$38,0))="","Cell will autofill based on response",INDEX('CI&amp;S'!$L$22:$L$38,MATCH($F101,'CI&amp;S'!$B$22:$B$38,0))),"N/A")</f>
        <v/>
      </c>
      <c r="N101" s="25">
        <f>IFERROR(IF(INDEX('CFOG'!$L$10:$L$15,MATCH($F101,'CFOG'!$B$10:$B$15,0))="","Cell will autofill based on response",INDEX('CFOG'!$L$10:$L$15,MATCH($F101,'CFOG'!$B$10:$B$15,0))),"N/A")</f>
        <v/>
      </c>
      <c r="O101" s="25">
        <f>IFERROR(IF(INDEX('CFOG'!$L$23:$L$23,MATCH($F101,'CFOG'!$B$23:$B$23,0))="","Cell will autofill based on response",INDEX('CFOG'!$L$23:$L$23,MATCH($F101,'CFOG'!$B$23:$B$23,0))),"N/A")</f>
        <v/>
      </c>
      <c r="P101" s="25">
        <f>IFERROR(IF(INDEX('ESG'!$L$10:$L$16,MATCH($F101,'ESG'!$B$10:$B$16,0))="","Cell will autofill based on response",INDEX('ESG'!$L$10:$L$16,MATCH($F101,'ESG'!$B$10:$B$16,0))),"N/A")</f>
        <v/>
      </c>
      <c r="Q101" s="25">
        <f>IFERROR(IF(INDEX('CIOG'!$L$10:$L$13,MATCH($F101,'CIOG'!$B$10:$B$13,0))="","Cell will autofill based on response",INDEX('CIOG'!$L$10:$L$13,MATCH($F101,'CIOG'!$B$10:$B$13,0))),"N/A")</f>
        <v/>
      </c>
      <c r="R101" s="25">
        <f>IFERROR(IF(INDEX('MRE'!$L$10:$L$11,MATCH($F101,'MRE'!$B$10:$B$11,0))="","Cell will autofill based on response",INDEX('MRE'!$L$10:$L$11,MATCH($F101,'MRE'!$B$10:$B$11,0))),"N/A")</f>
        <v/>
      </c>
      <c r="T101" s="26">
        <f>COUNTIF($H101:$R101,"Cell will autofill based on response")</f>
        <v/>
      </c>
      <c r="U101" s="26">
        <f>COUNTIF($H101:$R101,"Not yet started")</f>
        <v/>
      </c>
      <c r="V101" s="26">
        <f>COUNTIF($H101:$R101,"Not met")</f>
        <v/>
      </c>
      <c r="W101" s="26">
        <f>COUNTIF($H101:$R101,"Partially met")</f>
        <v/>
      </c>
      <c r="X101" s="26">
        <f>COUNTIF($H101:$R101,"Met or exceeded")</f>
        <v/>
      </c>
      <c r="Y101" s="26">
        <f>3*X101+2*W101+V101</f>
        <v/>
      </c>
      <c r="Z101" s="26">
        <f>X101+W101+V101+U101</f>
        <v/>
      </c>
      <c r="AA101" s="27">
        <f>IF(Z101&gt;0,Y101/Z101,"No valid responses to date")</f>
        <v/>
      </c>
      <c r="AB101" s="26">
        <f>IF(ISNUMBER(AA101),INDEX(Lists!$G$2:$G$5,MATCH(ROUND(AA101,0),Lists!$H$2:$H$5,0)),"")</f>
        <v/>
      </c>
      <c r="AC101" s="28">
        <f>IF(Z101&gt;0,X101/Z101,"")</f>
        <v/>
      </c>
      <c r="AD101" s="28">
        <f>IF(Z101&gt;0,(X101+W101)/Z101,"")</f>
        <v/>
      </c>
      <c r="AE101" s="26">
        <f>IF(Z101=0,"",IF(AC101&gt;0.75,"Met or exceeded",IF(AD101&gt;=0.5,"Partially met","Not met")))</f>
        <v/>
      </c>
    </row>
    <row r="102">
      <c r="A102">
        <f>F102&amp;"|"&amp;G102</f>
        <v/>
      </c>
      <c r="B102" s="29" t="inlineStr"/>
      <c r="C102" s="8" t="inlineStr"/>
      <c r="D102" s="8" t="inlineStr"/>
      <c r="E102" s="8" t="inlineStr"/>
      <c r="F102" s="8" t="inlineStr">
        <is>
          <t>TR3(d)</t>
        </is>
      </c>
      <c r="G102" s="8" t="inlineStr">
        <is>
          <t>OPTION 1:  Target-level reporting</t>
        </is>
      </c>
      <c r="H102" s="25">
        <f>IFERROR(IF(INDEX('Faculties'!$M$10:$M$29,MATCH($F102,'Faculties'!$B$10:$B$29,0))="","Cell will autofill based on response",INDEX('Faculties'!$M$10:$M$29,MATCH($F102,'Faculties'!$B$10:$B$29,0))),"N/A")</f>
        <v/>
      </c>
      <c r="I102" s="25">
        <f>IFERROR(IF(INDEX('Faculties'!$M$37:$M$56,MATCH($F102,'Faculties'!$B$37:$B$56,0))="","Cell will autofill based on response",INDEX('Faculties'!$M$37:$M$56,MATCH($F102,'Faculties'!$B$37:$B$56,0))),"N/A")</f>
        <v/>
      </c>
      <c r="J102" s="25">
        <f>IFERROR(IF(INDEX('Faculties'!$M$64:$M$83,MATCH($F102,'Faculties'!$B$64:$B$83,0))="","Cell will autofill based on response",INDEX('Faculties'!$M$64:$M$83,MATCH($F102,'Faculties'!$B$64:$B$83,0))),"N/A")</f>
        <v/>
      </c>
      <c r="K102" s="25">
        <f>IFERROR(IF(INDEX('Faculties'!$M$91:$M$110,MATCH($F102,'Faculties'!$B$91:$B$110,0))="","Cell will autofill based on response",INDEX('Faculties'!$M$91:$M$110,MATCH($F102,'Faculties'!$B$91:$B$110,0))),"N/A")</f>
        <v/>
      </c>
      <c r="L102" s="25">
        <f>IFERROR(IF(INDEX('CI&amp;S'!$M$10:$M$14,MATCH($F102,'CI&amp;S'!$B$10:$B$14,0))="","Cell will autofill based on response",INDEX('CI&amp;S'!$M$10:$M$14,MATCH($F102,'CI&amp;S'!$B$10:$B$14,0))),"N/A")</f>
        <v/>
      </c>
      <c r="M102" s="25">
        <f>IFERROR(IF(INDEX('CI&amp;S'!$M$22:$M$38,MATCH($F102,'CI&amp;S'!$B$22:$B$38,0))="","Cell will autofill based on response",INDEX('CI&amp;S'!$M$22:$M$38,MATCH($F102,'CI&amp;S'!$B$22:$B$38,0))),"N/A")</f>
        <v/>
      </c>
      <c r="N102" s="25">
        <f>IFERROR(IF(INDEX('CFOG'!$M$10:$M$15,MATCH($F102,'CFOG'!$B$10:$B$15,0))="","Cell will autofill based on response",INDEX('CFOG'!$M$10:$M$15,MATCH($F102,'CFOG'!$B$10:$B$15,0))),"N/A")</f>
        <v/>
      </c>
      <c r="O102" s="25">
        <f>IFERROR(IF(INDEX('CFOG'!$M$23:$M$23,MATCH($F102,'CFOG'!$B$23:$B$23,0))="","Cell will autofill based on response",INDEX('CFOG'!$M$23:$M$23,MATCH($F102,'CFOG'!$B$23:$B$23,0))),"N/A")</f>
        <v/>
      </c>
      <c r="P102" s="25">
        <f>IFERROR(IF(INDEX('ESG'!$M$10:$M$16,MATCH($F102,'ESG'!$B$10:$B$16,0))="","Cell will autofill based on response",INDEX('ESG'!$M$10:$M$16,MATCH($F102,'ESG'!$B$10:$B$16,0))),"N/A")</f>
        <v/>
      </c>
      <c r="Q102" s="25">
        <f>IFERROR(IF(INDEX('CIOG'!$M$10:$M$13,MATCH($F102,'CIOG'!$B$10:$B$13,0))="","Cell will autofill based on response",INDEX('CIOG'!$M$10:$M$13,MATCH($F102,'CIOG'!$B$10:$B$13,0))),"N/A")</f>
        <v/>
      </c>
      <c r="R102" s="25">
        <f>IFERROR(IF(INDEX('MRE'!$M$10:$M$11,MATCH($F102,'MRE'!$B$10:$B$11,0))="","Cell will autofill based on response",INDEX('MRE'!$M$10:$M$11,MATCH($F102,'MRE'!$B$10:$B$11,0))),"N/A")</f>
        <v/>
      </c>
    </row>
    <row r="103">
      <c r="A103">
        <f>F103&amp;"|"&amp;G103</f>
        <v/>
      </c>
      <c r="B103" s="29" t="inlineStr"/>
      <c r="C103" s="8" t="inlineStr"/>
      <c r="D103" s="8" t="inlineStr"/>
      <c r="E103" s="8" t="inlineStr"/>
      <c r="F103" s="8" t="inlineStr">
        <is>
          <t>TR3(d)</t>
        </is>
      </c>
      <c r="G103" s="8" t="inlineStr">
        <is>
          <t>OPTION 2:  Indicator level reporting</t>
        </is>
      </c>
      <c r="H103" s="25">
        <f>IFERROR(IF(INDEX('Faculties'!$N$10:$N$29,MATCH($F103,'Faculties'!$B$10:$B$29,0))="","Cell will autofill based on response",INDEX('Faculties'!$N$10:$N$29,MATCH($F103,'Faculties'!$B$10:$B$29,0))),"N/A")</f>
        <v/>
      </c>
      <c r="I103" s="25">
        <f>IFERROR(IF(INDEX('Faculties'!$N$37:$N$56,MATCH($F103,'Faculties'!$B$37:$B$56,0))="","Cell will autofill based on response",INDEX('Faculties'!$N$37:$N$56,MATCH($F103,'Faculties'!$B$37:$B$56,0))),"N/A")</f>
        <v/>
      </c>
      <c r="J103" s="25">
        <f>IFERROR(IF(INDEX('Faculties'!$N$64:$N$83,MATCH($F103,'Faculties'!$B$64:$B$83,0))="","Cell will autofill based on response",INDEX('Faculties'!$N$64:$N$83,MATCH($F103,'Faculties'!$B$64:$B$83,0))),"N/A")</f>
        <v/>
      </c>
      <c r="K103" s="25">
        <f>IFERROR(IF(INDEX('Faculties'!$N$91:$N$110,MATCH($F103,'Faculties'!$B$91:$B$110,0))="","Cell will autofill based on response",INDEX('Faculties'!$N$91:$N$110,MATCH($F103,'Faculties'!$B$91:$B$110,0))),"N/A")</f>
        <v/>
      </c>
      <c r="L103" s="25">
        <f>IFERROR(IF(INDEX('CI&amp;S'!$N$10:$N$14,MATCH($F103,'CI&amp;S'!$B$10:$B$14,0))="","Cell will autofill based on response",INDEX('CI&amp;S'!$N$10:$N$14,MATCH($F103,'CI&amp;S'!$B$10:$B$14,0))),"N/A")</f>
        <v/>
      </c>
      <c r="M103" s="25">
        <f>IFERROR(IF(INDEX('CI&amp;S'!$N$22:$N$38,MATCH($F103,'CI&amp;S'!$B$22:$B$38,0))="","Cell will autofill based on response",INDEX('CI&amp;S'!$N$22:$N$38,MATCH($F103,'CI&amp;S'!$B$22:$B$38,0))),"N/A")</f>
        <v/>
      </c>
      <c r="N103" s="25">
        <f>IFERROR(IF(INDEX('CFOG'!$N$10:$N$15,MATCH($F103,'CFOG'!$B$10:$B$15,0))="","Cell will autofill based on response",INDEX('CFOG'!$N$10:$N$15,MATCH($F103,'CFOG'!$B$10:$B$15,0))),"N/A")</f>
        <v/>
      </c>
      <c r="O103" s="25">
        <f>IFERROR(IF(INDEX('CFOG'!$N$23:$N$23,MATCH($F103,'CFOG'!$B$23:$B$23,0))="","Cell will autofill based on response",INDEX('CFOG'!$N$23:$N$23,MATCH($F103,'CFOG'!$B$23:$B$23,0))),"N/A")</f>
        <v/>
      </c>
      <c r="P103" s="25">
        <f>IFERROR(IF(INDEX('ESG'!$N$10:$N$16,MATCH($F103,'ESG'!$B$10:$B$16,0))="","Cell will autofill based on response",INDEX('ESG'!$N$10:$N$16,MATCH($F103,'ESG'!$B$10:$B$16,0))),"N/A")</f>
        <v/>
      </c>
      <c r="Q103" s="25">
        <f>IFERROR(IF(INDEX('CIOG'!$N$10:$N$13,MATCH($F103,'CIOG'!$B$10:$B$13,0))="","Cell will autofill based on response",INDEX('CIOG'!$N$10:$N$13,MATCH($F103,'CIOG'!$B$10:$B$13,0))),"N/A")</f>
        <v/>
      </c>
      <c r="R103" s="25">
        <f>IFERROR(IF(INDEX('MRE'!$N$10:$N$11,MATCH($F103,'MRE'!$B$10:$B$11,0))="","Cell will autofill based on response",INDEX('MRE'!$N$10:$N$11,MATCH($F103,'MRE'!$B$10:$B$11,0))),"N/A")</f>
        <v/>
      </c>
    </row>
    <row r="104">
      <c r="A104">
        <f>F104&amp;"|"&amp;G104</f>
        <v/>
      </c>
      <c r="B104" s="29" t="inlineStr"/>
      <c r="C104" s="8" t="inlineStr"/>
      <c r="D104" s="8" t="inlineStr"/>
      <c r="E104" s="8" t="inlineStr"/>
      <c r="F104" s="8" t="inlineStr">
        <is>
          <t>TR3(d)</t>
        </is>
      </c>
      <c r="G104" s="8" t="inlineStr">
        <is>
          <t>Supporting information/comments</t>
        </is>
      </c>
      <c r="H104" s="25">
        <f>IFERROR(IF(INDEX('Faculties'!$O$10:$O$29,MATCH($F104,'Faculties'!$B$10:$B$29,0))="","Cell will autofill based on response",INDEX('Faculties'!$O$10:$O$29,MATCH($F104,'Faculties'!$B$10:$B$29,0))),"N/A")</f>
        <v/>
      </c>
      <c r="I104" s="25">
        <f>IFERROR(IF(INDEX('Faculties'!$O$37:$O$56,MATCH($F104,'Faculties'!$B$37:$B$56,0))="","Cell will autofill based on response",INDEX('Faculties'!$O$37:$O$56,MATCH($F104,'Faculties'!$B$37:$B$56,0))),"N/A")</f>
        <v/>
      </c>
      <c r="J104" s="25">
        <f>IFERROR(IF(INDEX('Faculties'!$O$64:$O$83,MATCH($F104,'Faculties'!$B$64:$B$83,0))="","Cell will autofill based on response",INDEX('Faculties'!$O$64:$O$83,MATCH($F104,'Faculties'!$B$64:$B$83,0))),"N/A")</f>
        <v/>
      </c>
      <c r="K104" s="25">
        <f>IFERROR(IF(INDEX('Faculties'!$O$91:$O$110,MATCH($F104,'Faculties'!$B$91:$B$110,0))="","Cell will autofill based on response",INDEX('Faculties'!$O$91:$O$110,MATCH($F104,'Faculties'!$B$91:$B$110,0))),"N/A")</f>
        <v/>
      </c>
      <c r="L104" s="25">
        <f>IFERROR(IF(INDEX('CI&amp;S'!$O$10:$O$14,MATCH($F104,'CI&amp;S'!$B$10:$B$14,0))="","Cell will autofill based on response",INDEX('CI&amp;S'!$O$10:$O$14,MATCH($F104,'CI&amp;S'!$B$10:$B$14,0))),"N/A")</f>
        <v/>
      </c>
      <c r="M104" s="25">
        <f>IFERROR(IF(INDEX('CI&amp;S'!$O$22:$O$38,MATCH($F104,'CI&amp;S'!$B$22:$B$38,0))="","Cell will autofill based on response",INDEX('CI&amp;S'!$O$22:$O$38,MATCH($F104,'CI&amp;S'!$B$22:$B$38,0))),"N/A")</f>
        <v/>
      </c>
      <c r="N104" s="25">
        <f>IFERROR(IF(INDEX('CFOG'!$O$10:$O$15,MATCH($F104,'CFOG'!$B$10:$B$15,0))="","Cell will autofill based on response",INDEX('CFOG'!$O$10:$O$15,MATCH($F104,'CFOG'!$B$10:$B$15,0))),"N/A")</f>
        <v/>
      </c>
      <c r="O104" s="25">
        <f>IFERROR(IF(INDEX('CFOG'!$O$23:$O$23,MATCH($F104,'CFOG'!$B$23:$B$23,0))="","Cell will autofill based on response",INDEX('CFOG'!$O$23:$O$23,MATCH($F104,'CFOG'!$B$23:$B$23,0))),"N/A")</f>
        <v/>
      </c>
      <c r="P104" s="25">
        <f>IFERROR(IF(INDEX('ESG'!$O$10:$O$16,MATCH($F104,'ESG'!$B$10:$B$16,0))="","Cell will autofill based on response",INDEX('ESG'!$O$10:$O$16,MATCH($F104,'ESG'!$B$10:$B$16,0))),"N/A")</f>
        <v/>
      </c>
      <c r="Q104" s="25">
        <f>IFERROR(IF(INDEX('CIOG'!$O$10:$O$13,MATCH($F104,'CIOG'!$B$10:$B$13,0))="","Cell will autofill based on response",INDEX('CIOG'!$O$10:$O$13,MATCH($F104,'CIOG'!$B$10:$B$13,0))),"N/A")</f>
        <v/>
      </c>
      <c r="R104" s="25">
        <f>IFERROR(IF(INDEX('MRE'!$O$10:$O$11,MATCH($F104,'MRE'!$B$10:$B$11,0))="","Cell will autofill based on response",INDEX('MRE'!$O$10:$O$11,MATCH($F104,'MRE'!$B$10:$B$11,0))),"N/A")</f>
        <v/>
      </c>
    </row>
    <row r="105">
      <c r="A105">
        <f>F105&amp;"|"&amp;G105</f>
        <v/>
      </c>
      <c r="B105" s="29" t="inlineStr"/>
      <c r="C105" s="8" t="inlineStr"/>
      <c r="D105" s="8" t="inlineStr"/>
      <c r="E105" s="8" t="inlineStr"/>
      <c r="F105" s="8" t="inlineStr">
        <is>
          <t>TR3(d)</t>
        </is>
      </c>
      <c r="G105" s="8" t="inlineStr">
        <is>
          <t>Data source and limitations</t>
        </is>
      </c>
      <c r="H105" s="25">
        <f>IFERROR(IF(INDEX('Faculties'!$P$10:$P$29,MATCH($F105,'Faculties'!$B$10:$B$29,0))="","Cell will autofill based on response",INDEX('Faculties'!$P$10:$P$29,MATCH($F105,'Faculties'!$B$10:$B$29,0))),"N/A")</f>
        <v/>
      </c>
      <c r="I105" s="25">
        <f>IFERROR(IF(INDEX('Faculties'!$P$37:$P$56,MATCH($F105,'Faculties'!$B$37:$B$56,0))="","Cell will autofill based on response",INDEX('Faculties'!$P$37:$P$56,MATCH($F105,'Faculties'!$B$37:$B$56,0))),"N/A")</f>
        <v/>
      </c>
      <c r="J105" s="25">
        <f>IFERROR(IF(INDEX('Faculties'!$P$64:$P$83,MATCH($F105,'Faculties'!$B$64:$B$83,0))="","Cell will autofill based on response",INDEX('Faculties'!$P$64:$P$83,MATCH($F105,'Faculties'!$B$64:$B$83,0))),"N/A")</f>
        <v/>
      </c>
      <c r="K105" s="25">
        <f>IFERROR(IF(INDEX('Faculties'!$P$91:$P$110,MATCH($F105,'Faculties'!$B$91:$B$110,0))="","Cell will autofill based on response",INDEX('Faculties'!$P$91:$P$110,MATCH($F105,'Faculties'!$B$91:$B$110,0))),"N/A")</f>
        <v/>
      </c>
      <c r="L105" s="25">
        <f>IFERROR(IF(INDEX('CI&amp;S'!$P$10:$P$14,MATCH($F105,'CI&amp;S'!$B$10:$B$14,0))="","Cell will autofill based on response",INDEX('CI&amp;S'!$P$10:$P$14,MATCH($F105,'CI&amp;S'!$B$10:$B$14,0))),"N/A")</f>
        <v/>
      </c>
      <c r="M105" s="25">
        <f>IFERROR(IF(INDEX('CI&amp;S'!$P$22:$P$38,MATCH($F105,'CI&amp;S'!$B$22:$B$38,0))="","Cell will autofill based on response",INDEX('CI&amp;S'!$P$22:$P$38,MATCH($F105,'CI&amp;S'!$B$22:$B$38,0))),"N/A")</f>
        <v/>
      </c>
      <c r="N105" s="25">
        <f>IFERROR(IF(INDEX('CFOG'!$P$10:$P$15,MATCH($F105,'CFOG'!$B$10:$B$15,0))="","Cell will autofill based on response",INDEX('CFOG'!$P$10:$P$15,MATCH($F105,'CFOG'!$B$10:$B$15,0))),"N/A")</f>
        <v/>
      </c>
      <c r="O105" s="25">
        <f>IFERROR(IF(INDEX('CFOG'!$P$23:$P$23,MATCH($F105,'CFOG'!$B$23:$B$23,0))="","Cell will autofill based on response",INDEX('CFOG'!$P$23:$P$23,MATCH($F105,'CFOG'!$B$23:$B$23,0))),"N/A")</f>
        <v/>
      </c>
      <c r="P105" s="25">
        <f>IFERROR(IF(INDEX('ESG'!$P$10:$P$16,MATCH($F105,'ESG'!$B$10:$B$16,0))="","Cell will autofill based on response",INDEX('ESG'!$P$10:$P$16,MATCH($F105,'ESG'!$B$10:$B$16,0))),"N/A")</f>
        <v/>
      </c>
      <c r="Q105" s="25">
        <f>IFERROR(IF(INDEX('CIOG'!$P$10:$P$13,MATCH($F105,'CIOG'!$B$10:$B$13,0))="","Cell will autofill based on response",INDEX('CIOG'!$P$10:$P$13,MATCH($F105,'CIOG'!$B$10:$B$13,0))),"N/A")</f>
        <v/>
      </c>
      <c r="R105" s="25">
        <f>IFERROR(IF(INDEX('MRE'!$P$10:$P$11,MATCH($F105,'MRE'!$B$10:$B$11,0))="","Cell will autofill based on response",INDEX('MRE'!$P$10:$P$11,MATCH($F105,'MRE'!$B$10:$B$11,0))),"N/A")</f>
        <v/>
      </c>
    </row>
    <row r="106">
      <c r="A106">
        <f>F106&amp;"|"&amp;G106</f>
        <v/>
      </c>
      <c r="B106" s="29" t="inlineStr"/>
      <c r="C106" s="8" t="inlineStr"/>
      <c r="D106" s="8" t="inlineStr"/>
      <c r="E106" s="8" t="inlineStr"/>
      <c r="F106" s="8" t="inlineStr">
        <is>
          <t>TR3(d)</t>
        </is>
      </c>
      <c r="G106" s="8" t="inlineStr">
        <is>
          <t>Data owner confirms</t>
        </is>
      </c>
      <c r="H106" s="25">
        <f>IFERROR(IF(INDEX('Faculties'!$Q$10:$Q$29,MATCH($F106,'Faculties'!$B$10:$B$29,0))="","Cell will autofill based on response",INDEX('Faculties'!$Q$10:$Q$29,MATCH($F106,'Faculties'!$B$10:$B$29,0))),"N/A")</f>
        <v/>
      </c>
      <c r="I106" s="25">
        <f>IFERROR(IF(INDEX('Faculties'!$Q$37:$Q$56,MATCH($F106,'Faculties'!$B$37:$B$56,0))="","Cell will autofill based on response",INDEX('Faculties'!$Q$37:$Q$56,MATCH($F106,'Faculties'!$B$37:$B$56,0))),"N/A")</f>
        <v/>
      </c>
      <c r="J106" s="25">
        <f>IFERROR(IF(INDEX('Faculties'!$Q$64:$Q$83,MATCH($F106,'Faculties'!$B$64:$B$83,0))="","Cell will autofill based on response",INDEX('Faculties'!$Q$64:$Q$83,MATCH($F106,'Faculties'!$B$64:$B$83,0))),"N/A")</f>
        <v/>
      </c>
      <c r="K106" s="25">
        <f>IFERROR(IF(INDEX('Faculties'!$Q$91:$Q$110,MATCH($F106,'Faculties'!$B$91:$B$110,0))="","Cell will autofill based on response",INDEX('Faculties'!$Q$91:$Q$110,MATCH($F106,'Faculties'!$B$91:$B$110,0))),"N/A")</f>
        <v/>
      </c>
      <c r="L106" s="25">
        <f>IFERROR(IF(INDEX('CI&amp;S'!$Q$10:$Q$14,MATCH($F106,'CI&amp;S'!$B$10:$B$14,0))="","Cell will autofill based on response",INDEX('CI&amp;S'!$Q$10:$Q$14,MATCH($F106,'CI&amp;S'!$B$10:$B$14,0))),"N/A")</f>
        <v/>
      </c>
      <c r="M106" s="25">
        <f>IFERROR(IF(INDEX('CI&amp;S'!$Q$22:$Q$38,MATCH($F106,'CI&amp;S'!$B$22:$B$38,0))="","Cell will autofill based on response",INDEX('CI&amp;S'!$Q$22:$Q$38,MATCH($F106,'CI&amp;S'!$B$22:$B$38,0))),"N/A")</f>
        <v/>
      </c>
      <c r="N106" s="25">
        <f>IFERROR(IF(INDEX('CFOG'!$Q$10:$Q$15,MATCH($F106,'CFOG'!$B$10:$B$15,0))="","Cell will autofill based on response",INDEX('CFOG'!$Q$10:$Q$15,MATCH($F106,'CFOG'!$B$10:$B$15,0))),"N/A")</f>
        <v/>
      </c>
      <c r="O106" s="25">
        <f>IFERROR(IF(INDEX('CFOG'!$Q$23:$Q$23,MATCH($F106,'CFOG'!$B$23:$B$23,0))="","Cell will autofill based on response",INDEX('CFOG'!$Q$23:$Q$23,MATCH($F106,'CFOG'!$B$23:$B$23,0))),"N/A")</f>
        <v/>
      </c>
      <c r="P106" s="25">
        <f>IFERROR(IF(INDEX('ESG'!$Q$10:$Q$16,MATCH($F106,'ESG'!$B$10:$B$16,0))="","Cell will autofill based on response",INDEX('ESG'!$Q$10:$Q$16,MATCH($F106,'ESG'!$B$10:$B$16,0))),"N/A")</f>
        <v/>
      </c>
      <c r="Q106" s="25">
        <f>IFERROR(IF(INDEX('CIOG'!$Q$10:$Q$13,MATCH($F106,'CIOG'!$B$10:$B$13,0))="","Cell will autofill based on response",INDEX('CIOG'!$Q$10:$Q$13,MATCH($F106,'CIOG'!$B$10:$B$13,0))),"N/A")</f>
        <v/>
      </c>
      <c r="R106" s="25">
        <f>IFERROR(IF(INDEX('MRE'!$Q$10:$Q$11,MATCH($F106,'MRE'!$B$10:$B$11,0))="","Cell will autofill based on response",INDEX('MRE'!$Q$10:$Q$11,MATCH($F106,'MRE'!$B$10:$B$11,0))),"N/A")</f>
        <v/>
      </c>
    </row>
    <row r="107">
      <c r="A107">
        <f>F107&amp;"|"&amp;G107</f>
        <v/>
      </c>
      <c r="B107" s="7" t="inlineStr">
        <is>
          <t>CL1(a)</t>
        </is>
      </c>
      <c r="C107" s="12" t="inlineStr">
        <is>
          <t>Climate leadership</t>
        </is>
      </c>
      <c r="D107" s="12" t="inlineStr">
        <is>
          <t>Annual Greenhouse Gas Inventory (including emissions scopes 1, 2 and 3) demonstrates carbon emission reductions, including maintaining procurement of 100% renewable electricity for all scope 2 sources[1]</t>
        </is>
      </c>
      <c r="E107" s="12" t="inlineStr">
        <is>
          <t>Total scope 1,2 and 3 emissions (tCO2-e); emissions by scope; % reduction from previous baseline; % renewable electircity produced</t>
        </is>
      </c>
      <c r="F107" s="12" t="inlineStr">
        <is>
          <t>CL1(a)</t>
        </is>
      </c>
      <c r="G107" s="12" t="inlineStr">
        <is>
          <t>Confirm end-2026 target status</t>
        </is>
      </c>
      <c r="H107" s="25">
        <f>IFERROR(IF(INDEX('Faculties'!$L$10:$L$29,MATCH($F107,'Faculties'!$B$10:$B$29,0))="","Cell will autofill based on response",INDEX('Faculties'!$L$10:$L$29,MATCH($F107,'Faculties'!$B$10:$B$29,0))),"N/A")</f>
        <v/>
      </c>
      <c r="I107" s="25">
        <f>IFERROR(IF(INDEX('Faculties'!$L$37:$L$56,MATCH($F107,'Faculties'!$B$37:$B$56,0))="","Cell will autofill based on response",INDEX('Faculties'!$L$37:$L$56,MATCH($F107,'Faculties'!$B$37:$B$56,0))),"N/A")</f>
        <v/>
      </c>
      <c r="J107" s="25">
        <f>IFERROR(IF(INDEX('Faculties'!$L$64:$L$83,MATCH($F107,'Faculties'!$B$64:$B$83,0))="","Cell will autofill based on response",INDEX('Faculties'!$L$64:$L$83,MATCH($F107,'Faculties'!$B$64:$B$83,0))),"N/A")</f>
        <v/>
      </c>
      <c r="K107" s="25">
        <f>IFERROR(IF(INDEX('Faculties'!$L$91:$L$110,MATCH($F107,'Faculties'!$B$91:$B$110,0))="","Cell will autofill based on response",INDEX('Faculties'!$L$91:$L$110,MATCH($F107,'Faculties'!$B$91:$B$110,0))),"N/A")</f>
        <v/>
      </c>
      <c r="L107" s="25">
        <f>IFERROR(IF(INDEX('CI&amp;S'!$L$10:$L$14,MATCH($F107,'CI&amp;S'!$B$10:$B$14,0))="","Cell will autofill based on response",INDEX('CI&amp;S'!$L$10:$L$14,MATCH($F107,'CI&amp;S'!$B$10:$B$14,0))),"N/A")</f>
        <v/>
      </c>
      <c r="M107" s="25">
        <f>IFERROR(IF(INDEX('CI&amp;S'!$L$22:$L$38,MATCH($F107,'CI&amp;S'!$B$22:$B$38,0))="","Cell will autofill based on response",INDEX('CI&amp;S'!$L$22:$L$38,MATCH($F107,'CI&amp;S'!$B$22:$B$38,0))),"N/A")</f>
        <v/>
      </c>
      <c r="N107" s="25">
        <f>IFERROR(IF(INDEX('CFOG'!$L$10:$L$15,MATCH($F107,'CFOG'!$B$10:$B$15,0))="","Cell will autofill based on response",INDEX('CFOG'!$L$10:$L$15,MATCH($F107,'CFOG'!$B$10:$B$15,0))),"N/A")</f>
        <v/>
      </c>
      <c r="O107" s="25">
        <f>IFERROR(IF(INDEX('CFOG'!$L$23:$L$23,MATCH($F107,'CFOG'!$B$23:$B$23,0))="","Cell will autofill based on response",INDEX('CFOG'!$L$23:$L$23,MATCH($F107,'CFOG'!$B$23:$B$23,0))),"N/A")</f>
        <v/>
      </c>
      <c r="P107" s="25">
        <f>IFERROR(IF(INDEX('ESG'!$L$10:$L$16,MATCH($F107,'ESG'!$B$10:$B$16,0))="","Cell will autofill based on response",INDEX('ESG'!$L$10:$L$16,MATCH($F107,'ESG'!$B$10:$B$16,0))),"N/A")</f>
        <v/>
      </c>
      <c r="Q107" s="25">
        <f>IFERROR(IF(INDEX('CIOG'!$L$10:$L$13,MATCH($F107,'CIOG'!$B$10:$B$13,0))="","Cell will autofill based on response",INDEX('CIOG'!$L$10:$L$13,MATCH($F107,'CIOG'!$B$10:$B$13,0))),"N/A")</f>
        <v/>
      </c>
      <c r="R107" s="25">
        <f>IFERROR(IF(INDEX('MRE'!$L$10:$L$11,MATCH($F107,'MRE'!$B$10:$B$11,0))="","Cell will autofill based on response",INDEX('MRE'!$L$10:$L$11,MATCH($F107,'MRE'!$B$10:$B$11,0))),"N/A")</f>
        <v/>
      </c>
      <c r="T107" s="26">
        <f>COUNTIF($H107:$R107,"Cell will autofill based on response")</f>
        <v/>
      </c>
      <c r="U107" s="26">
        <f>COUNTIF($H107:$R107,"Not yet started")</f>
        <v/>
      </c>
      <c r="V107" s="26">
        <f>COUNTIF($H107:$R107,"Not met")</f>
        <v/>
      </c>
      <c r="W107" s="26">
        <f>COUNTIF($H107:$R107,"Partially met")</f>
        <v/>
      </c>
      <c r="X107" s="26">
        <f>COUNTIF($H107:$R107,"Met or exceeded")</f>
        <v/>
      </c>
      <c r="Y107" s="26">
        <f>3*X107+2*W107+V107</f>
        <v/>
      </c>
      <c r="Z107" s="26">
        <f>X107+W107+V107+U107</f>
        <v/>
      </c>
      <c r="AA107" s="27">
        <f>IF(Z107&gt;0,Y107/Z107,"No valid responses to date")</f>
        <v/>
      </c>
      <c r="AB107" s="26">
        <f>IF(ISNUMBER(AA107),INDEX(Lists!$G$2:$G$5,MATCH(ROUND(AA107,0),Lists!$H$2:$H$5,0)),"")</f>
        <v/>
      </c>
      <c r="AC107" s="28">
        <f>IF(Z107&gt;0,X107/Z107,"")</f>
        <v/>
      </c>
      <c r="AD107" s="28">
        <f>IF(Z107&gt;0,(X107+W107)/Z107,"")</f>
        <v/>
      </c>
      <c r="AE107" s="26">
        <f>IF(Z107=0,"",IF(AC107&gt;0.75,"Met or exceeded",IF(AD107&gt;=0.5,"Partially met","Not met")))</f>
        <v/>
      </c>
    </row>
    <row r="108">
      <c r="A108">
        <f>F108&amp;"|"&amp;G108</f>
        <v/>
      </c>
      <c r="B108" s="29" t="inlineStr"/>
      <c r="C108" s="8" t="inlineStr"/>
      <c r="D108" s="8" t="inlineStr"/>
      <c r="E108" s="8" t="inlineStr"/>
      <c r="F108" s="8" t="inlineStr">
        <is>
          <t>CL1(a)</t>
        </is>
      </c>
      <c r="G108" s="8" t="inlineStr">
        <is>
          <t>OPTION 1:  Target-level reporting</t>
        </is>
      </c>
      <c r="H108" s="25">
        <f>IFERROR(IF(INDEX('Faculties'!$M$10:$M$29,MATCH($F108,'Faculties'!$B$10:$B$29,0))="","Cell will autofill based on response",INDEX('Faculties'!$M$10:$M$29,MATCH($F108,'Faculties'!$B$10:$B$29,0))),"N/A")</f>
        <v/>
      </c>
      <c r="I108" s="25">
        <f>IFERROR(IF(INDEX('Faculties'!$M$37:$M$56,MATCH($F108,'Faculties'!$B$37:$B$56,0))="","Cell will autofill based on response",INDEX('Faculties'!$M$37:$M$56,MATCH($F108,'Faculties'!$B$37:$B$56,0))),"N/A")</f>
        <v/>
      </c>
      <c r="J108" s="25">
        <f>IFERROR(IF(INDEX('Faculties'!$M$64:$M$83,MATCH($F108,'Faculties'!$B$64:$B$83,0))="","Cell will autofill based on response",INDEX('Faculties'!$M$64:$M$83,MATCH($F108,'Faculties'!$B$64:$B$83,0))),"N/A")</f>
        <v/>
      </c>
      <c r="K108" s="25">
        <f>IFERROR(IF(INDEX('Faculties'!$M$91:$M$110,MATCH($F108,'Faculties'!$B$91:$B$110,0))="","Cell will autofill based on response",INDEX('Faculties'!$M$91:$M$110,MATCH($F108,'Faculties'!$B$91:$B$110,0))),"N/A")</f>
        <v/>
      </c>
      <c r="L108" s="25">
        <f>IFERROR(IF(INDEX('CI&amp;S'!$M$10:$M$14,MATCH($F108,'CI&amp;S'!$B$10:$B$14,0))="","Cell will autofill based on response",INDEX('CI&amp;S'!$M$10:$M$14,MATCH($F108,'CI&amp;S'!$B$10:$B$14,0))),"N/A")</f>
        <v/>
      </c>
      <c r="M108" s="25">
        <f>IFERROR(IF(INDEX('CI&amp;S'!$M$22:$M$38,MATCH($F108,'CI&amp;S'!$B$22:$B$38,0))="","Cell will autofill based on response",INDEX('CI&amp;S'!$M$22:$M$38,MATCH($F108,'CI&amp;S'!$B$22:$B$38,0))),"N/A")</f>
        <v/>
      </c>
      <c r="N108" s="25">
        <f>IFERROR(IF(INDEX('CFOG'!$M$10:$M$15,MATCH($F108,'CFOG'!$B$10:$B$15,0))="","Cell will autofill based on response",INDEX('CFOG'!$M$10:$M$15,MATCH($F108,'CFOG'!$B$10:$B$15,0))),"N/A")</f>
        <v/>
      </c>
      <c r="O108" s="25">
        <f>IFERROR(IF(INDEX('CFOG'!$M$23:$M$23,MATCH($F108,'CFOG'!$B$23:$B$23,0))="","Cell will autofill based on response",INDEX('CFOG'!$M$23:$M$23,MATCH($F108,'CFOG'!$B$23:$B$23,0))),"N/A")</f>
        <v/>
      </c>
      <c r="P108" s="25">
        <f>IFERROR(IF(INDEX('ESG'!$M$10:$M$16,MATCH($F108,'ESG'!$B$10:$B$16,0))="","Cell will autofill based on response",INDEX('ESG'!$M$10:$M$16,MATCH($F108,'ESG'!$B$10:$B$16,0))),"N/A")</f>
        <v/>
      </c>
      <c r="Q108" s="25">
        <f>IFERROR(IF(INDEX('CIOG'!$M$10:$M$13,MATCH($F108,'CIOG'!$B$10:$B$13,0))="","Cell will autofill based on response",INDEX('CIOG'!$M$10:$M$13,MATCH($F108,'CIOG'!$B$10:$B$13,0))),"N/A")</f>
        <v/>
      </c>
      <c r="R108" s="25">
        <f>IFERROR(IF(INDEX('MRE'!$M$10:$M$11,MATCH($F108,'MRE'!$B$10:$B$11,0))="","Cell will autofill based on response",INDEX('MRE'!$M$10:$M$11,MATCH($F108,'MRE'!$B$10:$B$11,0))),"N/A")</f>
        <v/>
      </c>
    </row>
    <row r="109">
      <c r="A109">
        <f>F109&amp;"|"&amp;G109</f>
        <v/>
      </c>
      <c r="B109" s="29" t="inlineStr"/>
      <c r="C109" s="8" t="inlineStr"/>
      <c r="D109" s="8" t="inlineStr"/>
      <c r="E109" s="8" t="inlineStr"/>
      <c r="F109" s="8" t="inlineStr">
        <is>
          <t>CL1(a)</t>
        </is>
      </c>
      <c r="G109" s="8" t="inlineStr">
        <is>
          <t>OPTION 2:  Indicator level reporting</t>
        </is>
      </c>
      <c r="H109" s="25">
        <f>IFERROR(IF(INDEX('Faculties'!$N$10:$N$29,MATCH($F109,'Faculties'!$B$10:$B$29,0))="","Cell will autofill based on response",INDEX('Faculties'!$N$10:$N$29,MATCH($F109,'Faculties'!$B$10:$B$29,0))),"N/A")</f>
        <v/>
      </c>
      <c r="I109" s="25">
        <f>IFERROR(IF(INDEX('Faculties'!$N$37:$N$56,MATCH($F109,'Faculties'!$B$37:$B$56,0))="","Cell will autofill based on response",INDEX('Faculties'!$N$37:$N$56,MATCH($F109,'Faculties'!$B$37:$B$56,0))),"N/A")</f>
        <v/>
      </c>
      <c r="J109" s="25">
        <f>IFERROR(IF(INDEX('Faculties'!$N$64:$N$83,MATCH($F109,'Faculties'!$B$64:$B$83,0))="","Cell will autofill based on response",INDEX('Faculties'!$N$64:$N$83,MATCH($F109,'Faculties'!$B$64:$B$83,0))),"N/A")</f>
        <v/>
      </c>
      <c r="K109" s="25">
        <f>IFERROR(IF(INDEX('Faculties'!$N$91:$N$110,MATCH($F109,'Faculties'!$B$91:$B$110,0))="","Cell will autofill based on response",INDEX('Faculties'!$N$91:$N$110,MATCH($F109,'Faculties'!$B$91:$B$110,0))),"N/A")</f>
        <v/>
      </c>
      <c r="L109" s="25">
        <f>IFERROR(IF(INDEX('CI&amp;S'!$N$10:$N$14,MATCH($F109,'CI&amp;S'!$B$10:$B$14,0))="","Cell will autofill based on response",INDEX('CI&amp;S'!$N$10:$N$14,MATCH($F109,'CI&amp;S'!$B$10:$B$14,0))),"N/A")</f>
        <v/>
      </c>
      <c r="M109" s="25">
        <f>IFERROR(IF(INDEX('CI&amp;S'!$N$22:$N$38,MATCH($F109,'CI&amp;S'!$B$22:$B$38,0))="","Cell will autofill based on response",INDEX('CI&amp;S'!$N$22:$N$38,MATCH($F109,'CI&amp;S'!$B$22:$B$38,0))),"N/A")</f>
        <v/>
      </c>
      <c r="N109" s="25">
        <f>IFERROR(IF(INDEX('CFOG'!$N$10:$N$15,MATCH($F109,'CFOG'!$B$10:$B$15,0))="","Cell will autofill based on response",INDEX('CFOG'!$N$10:$N$15,MATCH($F109,'CFOG'!$B$10:$B$15,0))),"N/A")</f>
        <v/>
      </c>
      <c r="O109" s="25">
        <f>IFERROR(IF(INDEX('CFOG'!$N$23:$N$23,MATCH($F109,'CFOG'!$B$23:$B$23,0))="","Cell will autofill based on response",INDEX('CFOG'!$N$23:$N$23,MATCH($F109,'CFOG'!$B$23:$B$23,0))),"N/A")</f>
        <v/>
      </c>
      <c r="P109" s="25">
        <f>IFERROR(IF(INDEX('ESG'!$N$10:$N$16,MATCH($F109,'ESG'!$B$10:$B$16,0))="","Cell will autofill based on response",INDEX('ESG'!$N$10:$N$16,MATCH($F109,'ESG'!$B$10:$B$16,0))),"N/A")</f>
        <v/>
      </c>
      <c r="Q109" s="25">
        <f>IFERROR(IF(INDEX('CIOG'!$N$10:$N$13,MATCH($F109,'CIOG'!$B$10:$B$13,0))="","Cell will autofill based on response",INDEX('CIOG'!$N$10:$N$13,MATCH($F109,'CIOG'!$B$10:$B$13,0))),"N/A")</f>
        <v/>
      </c>
      <c r="R109" s="25">
        <f>IFERROR(IF(INDEX('MRE'!$N$10:$N$11,MATCH($F109,'MRE'!$B$10:$B$11,0))="","Cell will autofill based on response",INDEX('MRE'!$N$10:$N$11,MATCH($F109,'MRE'!$B$10:$B$11,0))),"N/A")</f>
        <v/>
      </c>
    </row>
    <row r="110">
      <c r="A110">
        <f>F110&amp;"|"&amp;G110</f>
        <v/>
      </c>
      <c r="B110" s="29" t="inlineStr"/>
      <c r="C110" s="8" t="inlineStr"/>
      <c r="D110" s="8" t="inlineStr"/>
      <c r="E110" s="8" t="inlineStr"/>
      <c r="F110" s="8" t="inlineStr">
        <is>
          <t>CL1(a)</t>
        </is>
      </c>
      <c r="G110" s="8" t="inlineStr">
        <is>
          <t>Supporting information/comments</t>
        </is>
      </c>
      <c r="H110" s="25">
        <f>IFERROR(IF(INDEX('Faculties'!$O$10:$O$29,MATCH($F110,'Faculties'!$B$10:$B$29,0))="","Cell will autofill based on response",INDEX('Faculties'!$O$10:$O$29,MATCH($F110,'Faculties'!$B$10:$B$29,0))),"N/A")</f>
        <v/>
      </c>
      <c r="I110" s="25">
        <f>IFERROR(IF(INDEX('Faculties'!$O$37:$O$56,MATCH($F110,'Faculties'!$B$37:$B$56,0))="","Cell will autofill based on response",INDEX('Faculties'!$O$37:$O$56,MATCH($F110,'Faculties'!$B$37:$B$56,0))),"N/A")</f>
        <v/>
      </c>
      <c r="J110" s="25">
        <f>IFERROR(IF(INDEX('Faculties'!$O$64:$O$83,MATCH($F110,'Faculties'!$B$64:$B$83,0))="","Cell will autofill based on response",INDEX('Faculties'!$O$64:$O$83,MATCH($F110,'Faculties'!$B$64:$B$83,0))),"N/A")</f>
        <v/>
      </c>
      <c r="K110" s="25">
        <f>IFERROR(IF(INDEX('Faculties'!$O$91:$O$110,MATCH($F110,'Faculties'!$B$91:$B$110,0))="","Cell will autofill based on response",INDEX('Faculties'!$O$91:$O$110,MATCH($F110,'Faculties'!$B$91:$B$110,0))),"N/A")</f>
        <v/>
      </c>
      <c r="L110" s="25">
        <f>IFERROR(IF(INDEX('CI&amp;S'!$O$10:$O$14,MATCH($F110,'CI&amp;S'!$B$10:$B$14,0))="","Cell will autofill based on response",INDEX('CI&amp;S'!$O$10:$O$14,MATCH($F110,'CI&amp;S'!$B$10:$B$14,0))),"N/A")</f>
        <v/>
      </c>
      <c r="M110" s="25">
        <f>IFERROR(IF(INDEX('CI&amp;S'!$O$22:$O$38,MATCH($F110,'CI&amp;S'!$B$22:$B$38,0))="","Cell will autofill based on response",INDEX('CI&amp;S'!$O$22:$O$38,MATCH($F110,'CI&amp;S'!$B$22:$B$38,0))),"N/A")</f>
        <v/>
      </c>
      <c r="N110" s="25">
        <f>IFERROR(IF(INDEX('CFOG'!$O$10:$O$15,MATCH($F110,'CFOG'!$B$10:$B$15,0))="","Cell will autofill based on response",INDEX('CFOG'!$O$10:$O$15,MATCH($F110,'CFOG'!$B$10:$B$15,0))),"N/A")</f>
        <v/>
      </c>
      <c r="O110" s="25">
        <f>IFERROR(IF(INDEX('CFOG'!$O$23:$O$23,MATCH($F110,'CFOG'!$B$23:$B$23,0))="","Cell will autofill based on response",INDEX('CFOG'!$O$23:$O$23,MATCH($F110,'CFOG'!$B$23:$B$23,0))),"N/A")</f>
        <v/>
      </c>
      <c r="P110" s="25">
        <f>IFERROR(IF(INDEX('ESG'!$O$10:$O$16,MATCH($F110,'ESG'!$B$10:$B$16,0))="","Cell will autofill based on response",INDEX('ESG'!$O$10:$O$16,MATCH($F110,'ESG'!$B$10:$B$16,0))),"N/A")</f>
        <v/>
      </c>
      <c r="Q110" s="25">
        <f>IFERROR(IF(INDEX('CIOG'!$O$10:$O$13,MATCH($F110,'CIOG'!$B$10:$B$13,0))="","Cell will autofill based on response",INDEX('CIOG'!$O$10:$O$13,MATCH($F110,'CIOG'!$B$10:$B$13,0))),"N/A")</f>
        <v/>
      </c>
      <c r="R110" s="25">
        <f>IFERROR(IF(INDEX('MRE'!$O$10:$O$11,MATCH($F110,'MRE'!$B$10:$B$11,0))="","Cell will autofill based on response",INDEX('MRE'!$O$10:$O$11,MATCH($F110,'MRE'!$B$10:$B$11,0))),"N/A")</f>
        <v/>
      </c>
    </row>
    <row r="111">
      <c r="A111">
        <f>F111&amp;"|"&amp;G111</f>
        <v/>
      </c>
      <c r="B111" s="29" t="inlineStr"/>
      <c r="C111" s="8" t="inlineStr"/>
      <c r="D111" s="8" t="inlineStr"/>
      <c r="E111" s="8" t="inlineStr"/>
      <c r="F111" s="8" t="inlineStr">
        <is>
          <t>CL1(a)</t>
        </is>
      </c>
      <c r="G111" s="8" t="inlineStr">
        <is>
          <t>Data source and limitations</t>
        </is>
      </c>
      <c r="H111" s="25">
        <f>IFERROR(IF(INDEX('Faculties'!$P$10:$P$29,MATCH($F111,'Faculties'!$B$10:$B$29,0))="","Cell will autofill based on response",INDEX('Faculties'!$P$10:$P$29,MATCH($F111,'Faculties'!$B$10:$B$29,0))),"N/A")</f>
        <v/>
      </c>
      <c r="I111" s="25">
        <f>IFERROR(IF(INDEX('Faculties'!$P$37:$P$56,MATCH($F111,'Faculties'!$B$37:$B$56,0))="","Cell will autofill based on response",INDEX('Faculties'!$P$37:$P$56,MATCH($F111,'Faculties'!$B$37:$B$56,0))),"N/A")</f>
        <v/>
      </c>
      <c r="J111" s="25">
        <f>IFERROR(IF(INDEX('Faculties'!$P$64:$P$83,MATCH($F111,'Faculties'!$B$64:$B$83,0))="","Cell will autofill based on response",INDEX('Faculties'!$P$64:$P$83,MATCH($F111,'Faculties'!$B$64:$B$83,0))),"N/A")</f>
        <v/>
      </c>
      <c r="K111" s="25">
        <f>IFERROR(IF(INDEX('Faculties'!$P$91:$P$110,MATCH($F111,'Faculties'!$B$91:$B$110,0))="","Cell will autofill based on response",INDEX('Faculties'!$P$91:$P$110,MATCH($F111,'Faculties'!$B$91:$B$110,0))),"N/A")</f>
        <v/>
      </c>
      <c r="L111" s="25">
        <f>IFERROR(IF(INDEX('CI&amp;S'!$P$10:$P$14,MATCH($F111,'CI&amp;S'!$B$10:$B$14,0))="","Cell will autofill based on response",INDEX('CI&amp;S'!$P$10:$P$14,MATCH($F111,'CI&amp;S'!$B$10:$B$14,0))),"N/A")</f>
        <v/>
      </c>
      <c r="M111" s="25">
        <f>IFERROR(IF(INDEX('CI&amp;S'!$P$22:$P$38,MATCH($F111,'CI&amp;S'!$B$22:$B$38,0))="","Cell will autofill based on response",INDEX('CI&amp;S'!$P$22:$P$38,MATCH($F111,'CI&amp;S'!$B$22:$B$38,0))),"N/A")</f>
        <v/>
      </c>
      <c r="N111" s="25">
        <f>IFERROR(IF(INDEX('CFOG'!$P$10:$P$15,MATCH($F111,'CFOG'!$B$10:$B$15,0))="","Cell will autofill based on response",INDEX('CFOG'!$P$10:$P$15,MATCH($F111,'CFOG'!$B$10:$B$15,0))),"N/A")</f>
        <v/>
      </c>
      <c r="O111" s="25">
        <f>IFERROR(IF(INDEX('CFOG'!$P$23:$P$23,MATCH($F111,'CFOG'!$B$23:$B$23,0))="","Cell will autofill based on response",INDEX('CFOG'!$P$23:$P$23,MATCH($F111,'CFOG'!$B$23:$B$23,0))),"N/A")</f>
        <v/>
      </c>
      <c r="P111" s="25">
        <f>IFERROR(IF(INDEX('ESG'!$P$10:$P$16,MATCH($F111,'ESG'!$B$10:$B$16,0))="","Cell will autofill based on response",INDEX('ESG'!$P$10:$P$16,MATCH($F111,'ESG'!$B$10:$B$16,0))),"N/A")</f>
        <v/>
      </c>
      <c r="Q111" s="25">
        <f>IFERROR(IF(INDEX('CIOG'!$P$10:$P$13,MATCH($F111,'CIOG'!$B$10:$B$13,0))="","Cell will autofill based on response",INDEX('CIOG'!$P$10:$P$13,MATCH($F111,'CIOG'!$B$10:$B$13,0))),"N/A")</f>
        <v/>
      </c>
      <c r="R111" s="25">
        <f>IFERROR(IF(INDEX('MRE'!$P$10:$P$11,MATCH($F111,'MRE'!$B$10:$B$11,0))="","Cell will autofill based on response",INDEX('MRE'!$P$10:$P$11,MATCH($F111,'MRE'!$B$10:$B$11,0))),"N/A")</f>
        <v/>
      </c>
    </row>
    <row r="112">
      <c r="A112">
        <f>F112&amp;"|"&amp;G112</f>
        <v/>
      </c>
      <c r="B112" s="29" t="inlineStr"/>
      <c r="C112" s="8" t="inlineStr"/>
      <c r="D112" s="8" t="inlineStr"/>
      <c r="E112" s="8" t="inlineStr"/>
      <c r="F112" s="8" t="inlineStr">
        <is>
          <t>CL1(a)</t>
        </is>
      </c>
      <c r="G112" s="8" t="inlineStr">
        <is>
          <t>Data owner confirms</t>
        </is>
      </c>
      <c r="H112" s="25">
        <f>IFERROR(IF(INDEX('Faculties'!$Q$10:$Q$29,MATCH($F112,'Faculties'!$B$10:$B$29,0))="","Cell will autofill based on response",INDEX('Faculties'!$Q$10:$Q$29,MATCH($F112,'Faculties'!$B$10:$B$29,0))),"N/A")</f>
        <v/>
      </c>
      <c r="I112" s="25">
        <f>IFERROR(IF(INDEX('Faculties'!$Q$37:$Q$56,MATCH($F112,'Faculties'!$B$37:$B$56,0))="","Cell will autofill based on response",INDEX('Faculties'!$Q$37:$Q$56,MATCH($F112,'Faculties'!$B$37:$B$56,0))),"N/A")</f>
        <v/>
      </c>
      <c r="J112" s="25">
        <f>IFERROR(IF(INDEX('Faculties'!$Q$64:$Q$83,MATCH($F112,'Faculties'!$B$64:$B$83,0))="","Cell will autofill based on response",INDEX('Faculties'!$Q$64:$Q$83,MATCH($F112,'Faculties'!$B$64:$B$83,0))),"N/A")</f>
        <v/>
      </c>
      <c r="K112" s="25">
        <f>IFERROR(IF(INDEX('Faculties'!$Q$91:$Q$110,MATCH($F112,'Faculties'!$B$91:$B$110,0))="","Cell will autofill based on response",INDEX('Faculties'!$Q$91:$Q$110,MATCH($F112,'Faculties'!$B$91:$B$110,0))),"N/A")</f>
        <v/>
      </c>
      <c r="L112" s="25">
        <f>IFERROR(IF(INDEX('CI&amp;S'!$Q$10:$Q$14,MATCH($F112,'CI&amp;S'!$B$10:$B$14,0))="","Cell will autofill based on response",INDEX('CI&amp;S'!$Q$10:$Q$14,MATCH($F112,'CI&amp;S'!$B$10:$B$14,0))),"N/A")</f>
        <v/>
      </c>
      <c r="M112" s="25">
        <f>IFERROR(IF(INDEX('CI&amp;S'!$Q$22:$Q$38,MATCH($F112,'CI&amp;S'!$B$22:$B$38,0))="","Cell will autofill based on response",INDEX('CI&amp;S'!$Q$22:$Q$38,MATCH($F112,'CI&amp;S'!$B$22:$B$38,0))),"N/A")</f>
        <v/>
      </c>
      <c r="N112" s="25">
        <f>IFERROR(IF(INDEX('CFOG'!$Q$10:$Q$15,MATCH($F112,'CFOG'!$B$10:$B$15,0))="","Cell will autofill based on response",INDEX('CFOG'!$Q$10:$Q$15,MATCH($F112,'CFOG'!$B$10:$B$15,0))),"N/A")</f>
        <v/>
      </c>
      <c r="O112" s="25">
        <f>IFERROR(IF(INDEX('CFOG'!$Q$23:$Q$23,MATCH($F112,'CFOG'!$B$23:$B$23,0))="","Cell will autofill based on response",INDEX('CFOG'!$Q$23:$Q$23,MATCH($F112,'CFOG'!$B$23:$B$23,0))),"N/A")</f>
        <v/>
      </c>
      <c r="P112" s="25">
        <f>IFERROR(IF(INDEX('ESG'!$Q$10:$Q$16,MATCH($F112,'ESG'!$B$10:$B$16,0))="","Cell will autofill based on response",INDEX('ESG'!$Q$10:$Q$16,MATCH($F112,'ESG'!$B$10:$B$16,0))),"N/A")</f>
        <v/>
      </c>
      <c r="Q112" s="25">
        <f>IFERROR(IF(INDEX('CIOG'!$Q$10:$Q$13,MATCH($F112,'CIOG'!$B$10:$B$13,0))="","Cell will autofill based on response",INDEX('CIOG'!$Q$10:$Q$13,MATCH($F112,'CIOG'!$B$10:$B$13,0))),"N/A")</f>
        <v/>
      </c>
      <c r="R112" s="25">
        <f>IFERROR(IF(INDEX('MRE'!$Q$10:$Q$11,MATCH($F112,'MRE'!$B$10:$B$11,0))="","Cell will autofill based on response",INDEX('MRE'!$Q$10:$Q$11,MATCH($F112,'MRE'!$B$10:$B$11,0))),"N/A")</f>
        <v/>
      </c>
    </row>
    <row r="113">
      <c r="A113">
        <f>F113&amp;"|"&amp;G113</f>
        <v/>
      </c>
      <c r="B113" s="7" t="inlineStr">
        <is>
          <t>CL1(b)</t>
        </is>
      </c>
      <c r="C113" s="12" t="inlineStr">
        <is>
          <t>Climate leadership</t>
        </is>
      </c>
      <c r="D113" s="12" t="inlineStr">
        <is>
          <t>Development of Greenhouse Gas  intensity metrics</t>
        </is>
      </c>
      <c r="E113" s="12" t="inlineStr">
        <is>
          <t>Greenhouse gas emissions by FTE, EFTSL, and Gross floor area (https://www.unimelb.edu.au/sustainabilityreport/2025/data-tables#GHGe-scope)</t>
        </is>
      </c>
      <c r="F113" s="12" t="inlineStr">
        <is>
          <t>CL1(b)</t>
        </is>
      </c>
      <c r="G113" s="12" t="inlineStr">
        <is>
          <t>Confirm end-2026 target status</t>
        </is>
      </c>
      <c r="H113" s="25">
        <f>IFERROR(IF(INDEX('Faculties'!$L$10:$L$29,MATCH($F113,'Faculties'!$B$10:$B$29,0))="","Cell will autofill based on response",INDEX('Faculties'!$L$10:$L$29,MATCH($F113,'Faculties'!$B$10:$B$29,0))),"N/A")</f>
        <v/>
      </c>
      <c r="I113" s="25">
        <f>IFERROR(IF(INDEX('Faculties'!$L$37:$L$56,MATCH($F113,'Faculties'!$B$37:$B$56,0))="","Cell will autofill based on response",INDEX('Faculties'!$L$37:$L$56,MATCH($F113,'Faculties'!$B$37:$B$56,0))),"N/A")</f>
        <v/>
      </c>
      <c r="J113" s="25">
        <f>IFERROR(IF(INDEX('Faculties'!$L$64:$L$83,MATCH($F113,'Faculties'!$B$64:$B$83,0))="","Cell will autofill based on response",INDEX('Faculties'!$L$64:$L$83,MATCH($F113,'Faculties'!$B$64:$B$83,0))),"N/A")</f>
        <v/>
      </c>
      <c r="K113" s="25">
        <f>IFERROR(IF(INDEX('Faculties'!$L$91:$L$110,MATCH($F113,'Faculties'!$B$91:$B$110,0))="","Cell will autofill based on response",INDEX('Faculties'!$L$91:$L$110,MATCH($F113,'Faculties'!$B$91:$B$110,0))),"N/A")</f>
        <v/>
      </c>
      <c r="L113" s="25">
        <f>IFERROR(IF(INDEX('CI&amp;S'!$L$10:$L$14,MATCH($F113,'CI&amp;S'!$B$10:$B$14,0))="","Cell will autofill based on response",INDEX('CI&amp;S'!$L$10:$L$14,MATCH($F113,'CI&amp;S'!$B$10:$B$14,0))),"N/A")</f>
        <v/>
      </c>
      <c r="M113" s="25">
        <f>IFERROR(IF(INDEX('CI&amp;S'!$L$22:$L$38,MATCH($F113,'CI&amp;S'!$B$22:$B$38,0))="","Cell will autofill based on response",INDEX('CI&amp;S'!$L$22:$L$38,MATCH($F113,'CI&amp;S'!$B$22:$B$38,0))),"N/A")</f>
        <v/>
      </c>
      <c r="N113" s="25">
        <f>IFERROR(IF(INDEX('CFOG'!$L$10:$L$15,MATCH($F113,'CFOG'!$B$10:$B$15,0))="","Cell will autofill based on response",INDEX('CFOG'!$L$10:$L$15,MATCH($F113,'CFOG'!$B$10:$B$15,0))),"N/A")</f>
        <v/>
      </c>
      <c r="O113" s="25">
        <f>IFERROR(IF(INDEX('CFOG'!$L$23:$L$23,MATCH($F113,'CFOG'!$B$23:$B$23,0))="","Cell will autofill based on response",INDEX('CFOG'!$L$23:$L$23,MATCH($F113,'CFOG'!$B$23:$B$23,0))),"N/A")</f>
        <v/>
      </c>
      <c r="P113" s="25">
        <f>IFERROR(IF(INDEX('ESG'!$L$10:$L$16,MATCH($F113,'ESG'!$B$10:$B$16,0))="","Cell will autofill based on response",INDEX('ESG'!$L$10:$L$16,MATCH($F113,'ESG'!$B$10:$B$16,0))),"N/A")</f>
        <v/>
      </c>
      <c r="Q113" s="25">
        <f>IFERROR(IF(INDEX('CIOG'!$L$10:$L$13,MATCH($F113,'CIOG'!$B$10:$B$13,0))="","Cell will autofill based on response",INDEX('CIOG'!$L$10:$L$13,MATCH($F113,'CIOG'!$B$10:$B$13,0))),"N/A")</f>
        <v/>
      </c>
      <c r="R113" s="25">
        <f>IFERROR(IF(INDEX('MRE'!$L$10:$L$11,MATCH($F113,'MRE'!$B$10:$B$11,0))="","Cell will autofill based on response",INDEX('MRE'!$L$10:$L$11,MATCH($F113,'MRE'!$B$10:$B$11,0))),"N/A")</f>
        <v/>
      </c>
      <c r="T113" s="26">
        <f>COUNTIF($H113:$R113,"Cell will autofill based on response")</f>
        <v/>
      </c>
      <c r="U113" s="26">
        <f>COUNTIF($H113:$R113,"Not yet started")</f>
        <v/>
      </c>
      <c r="V113" s="26">
        <f>COUNTIF($H113:$R113,"Not met")</f>
        <v/>
      </c>
      <c r="W113" s="26">
        <f>COUNTIF($H113:$R113,"Partially met")</f>
        <v/>
      </c>
      <c r="X113" s="26">
        <f>COUNTIF($H113:$R113,"Met or exceeded")</f>
        <v/>
      </c>
      <c r="Y113" s="26">
        <f>3*X113+2*W113+V113</f>
        <v/>
      </c>
      <c r="Z113" s="26">
        <f>X113+W113+V113+U113</f>
        <v/>
      </c>
      <c r="AA113" s="27">
        <f>IF(Z113&gt;0,Y113/Z113,"No valid responses to date")</f>
        <v/>
      </c>
      <c r="AB113" s="26">
        <f>IF(ISNUMBER(AA113),INDEX(Lists!$G$2:$G$5,MATCH(ROUND(AA113,0),Lists!$H$2:$H$5,0)),"")</f>
        <v/>
      </c>
      <c r="AC113" s="28">
        <f>IF(Z113&gt;0,X113/Z113,"")</f>
        <v/>
      </c>
      <c r="AD113" s="28">
        <f>IF(Z113&gt;0,(X113+W113)/Z113,"")</f>
        <v/>
      </c>
      <c r="AE113" s="26">
        <f>IF(Z113=0,"",IF(AC113&gt;0.75,"Met or exceeded",IF(AD113&gt;=0.5,"Partially met","Not met")))</f>
        <v/>
      </c>
    </row>
    <row r="114">
      <c r="A114">
        <f>F114&amp;"|"&amp;G114</f>
        <v/>
      </c>
      <c r="B114" s="29" t="inlineStr"/>
      <c r="C114" s="8" t="inlineStr"/>
      <c r="D114" s="8" t="inlineStr"/>
      <c r="E114" s="8" t="inlineStr"/>
      <c r="F114" s="8" t="inlineStr">
        <is>
          <t>CL1(b)</t>
        </is>
      </c>
      <c r="G114" s="8" t="inlineStr">
        <is>
          <t>OPTION 1:  Target-level reporting</t>
        </is>
      </c>
      <c r="H114" s="25">
        <f>IFERROR(IF(INDEX('Faculties'!$M$10:$M$29,MATCH($F114,'Faculties'!$B$10:$B$29,0))="","Cell will autofill based on response",INDEX('Faculties'!$M$10:$M$29,MATCH($F114,'Faculties'!$B$10:$B$29,0))),"N/A")</f>
        <v/>
      </c>
      <c r="I114" s="25">
        <f>IFERROR(IF(INDEX('Faculties'!$M$37:$M$56,MATCH($F114,'Faculties'!$B$37:$B$56,0))="","Cell will autofill based on response",INDEX('Faculties'!$M$37:$M$56,MATCH($F114,'Faculties'!$B$37:$B$56,0))),"N/A")</f>
        <v/>
      </c>
      <c r="J114" s="25">
        <f>IFERROR(IF(INDEX('Faculties'!$M$64:$M$83,MATCH($F114,'Faculties'!$B$64:$B$83,0))="","Cell will autofill based on response",INDEX('Faculties'!$M$64:$M$83,MATCH($F114,'Faculties'!$B$64:$B$83,0))),"N/A")</f>
        <v/>
      </c>
      <c r="K114" s="25">
        <f>IFERROR(IF(INDEX('Faculties'!$M$91:$M$110,MATCH($F114,'Faculties'!$B$91:$B$110,0))="","Cell will autofill based on response",INDEX('Faculties'!$M$91:$M$110,MATCH($F114,'Faculties'!$B$91:$B$110,0))),"N/A")</f>
        <v/>
      </c>
      <c r="L114" s="25">
        <f>IFERROR(IF(INDEX('CI&amp;S'!$M$10:$M$14,MATCH($F114,'CI&amp;S'!$B$10:$B$14,0))="","Cell will autofill based on response",INDEX('CI&amp;S'!$M$10:$M$14,MATCH($F114,'CI&amp;S'!$B$10:$B$14,0))),"N/A")</f>
        <v/>
      </c>
      <c r="M114" s="25">
        <f>IFERROR(IF(INDEX('CI&amp;S'!$M$22:$M$38,MATCH($F114,'CI&amp;S'!$B$22:$B$38,0))="","Cell will autofill based on response",INDEX('CI&amp;S'!$M$22:$M$38,MATCH($F114,'CI&amp;S'!$B$22:$B$38,0))),"N/A")</f>
        <v/>
      </c>
      <c r="N114" s="25">
        <f>IFERROR(IF(INDEX('CFOG'!$M$10:$M$15,MATCH($F114,'CFOG'!$B$10:$B$15,0))="","Cell will autofill based on response",INDEX('CFOG'!$M$10:$M$15,MATCH($F114,'CFOG'!$B$10:$B$15,0))),"N/A")</f>
        <v/>
      </c>
      <c r="O114" s="25">
        <f>IFERROR(IF(INDEX('CFOG'!$M$23:$M$23,MATCH($F114,'CFOG'!$B$23:$B$23,0))="","Cell will autofill based on response",INDEX('CFOG'!$M$23:$M$23,MATCH($F114,'CFOG'!$B$23:$B$23,0))),"N/A")</f>
        <v/>
      </c>
      <c r="P114" s="25">
        <f>IFERROR(IF(INDEX('ESG'!$M$10:$M$16,MATCH($F114,'ESG'!$B$10:$B$16,0))="","Cell will autofill based on response",INDEX('ESG'!$M$10:$M$16,MATCH($F114,'ESG'!$B$10:$B$16,0))),"N/A")</f>
        <v/>
      </c>
      <c r="Q114" s="25">
        <f>IFERROR(IF(INDEX('CIOG'!$M$10:$M$13,MATCH($F114,'CIOG'!$B$10:$B$13,0))="","Cell will autofill based on response",INDEX('CIOG'!$M$10:$M$13,MATCH($F114,'CIOG'!$B$10:$B$13,0))),"N/A")</f>
        <v/>
      </c>
      <c r="R114" s="25">
        <f>IFERROR(IF(INDEX('MRE'!$M$10:$M$11,MATCH($F114,'MRE'!$B$10:$B$11,0))="","Cell will autofill based on response",INDEX('MRE'!$M$10:$M$11,MATCH($F114,'MRE'!$B$10:$B$11,0))),"N/A")</f>
        <v/>
      </c>
    </row>
    <row r="115">
      <c r="A115">
        <f>F115&amp;"|"&amp;G115</f>
        <v/>
      </c>
      <c r="B115" s="29" t="inlineStr"/>
      <c r="C115" s="8" t="inlineStr"/>
      <c r="D115" s="8" t="inlineStr"/>
      <c r="E115" s="8" t="inlineStr"/>
      <c r="F115" s="8" t="inlineStr">
        <is>
          <t>CL1(b)</t>
        </is>
      </c>
      <c r="G115" s="8" t="inlineStr">
        <is>
          <t>OPTION 2:  Indicator level reporting</t>
        </is>
      </c>
      <c r="H115" s="25">
        <f>IFERROR(IF(INDEX('Faculties'!$N$10:$N$29,MATCH($F115,'Faculties'!$B$10:$B$29,0))="","Cell will autofill based on response",INDEX('Faculties'!$N$10:$N$29,MATCH($F115,'Faculties'!$B$10:$B$29,0))),"N/A")</f>
        <v/>
      </c>
      <c r="I115" s="25">
        <f>IFERROR(IF(INDEX('Faculties'!$N$37:$N$56,MATCH($F115,'Faculties'!$B$37:$B$56,0))="","Cell will autofill based on response",INDEX('Faculties'!$N$37:$N$56,MATCH($F115,'Faculties'!$B$37:$B$56,0))),"N/A")</f>
        <v/>
      </c>
      <c r="J115" s="25">
        <f>IFERROR(IF(INDEX('Faculties'!$N$64:$N$83,MATCH($F115,'Faculties'!$B$64:$B$83,0))="","Cell will autofill based on response",INDEX('Faculties'!$N$64:$N$83,MATCH($F115,'Faculties'!$B$64:$B$83,0))),"N/A")</f>
        <v/>
      </c>
      <c r="K115" s="25">
        <f>IFERROR(IF(INDEX('Faculties'!$N$91:$N$110,MATCH($F115,'Faculties'!$B$91:$B$110,0))="","Cell will autofill based on response",INDEX('Faculties'!$N$91:$N$110,MATCH($F115,'Faculties'!$B$91:$B$110,0))),"N/A")</f>
        <v/>
      </c>
      <c r="L115" s="25">
        <f>IFERROR(IF(INDEX('CI&amp;S'!$N$10:$N$14,MATCH($F115,'CI&amp;S'!$B$10:$B$14,0))="","Cell will autofill based on response",INDEX('CI&amp;S'!$N$10:$N$14,MATCH($F115,'CI&amp;S'!$B$10:$B$14,0))),"N/A")</f>
        <v/>
      </c>
      <c r="M115" s="25">
        <f>IFERROR(IF(INDEX('CI&amp;S'!$N$22:$N$38,MATCH($F115,'CI&amp;S'!$B$22:$B$38,0))="","Cell will autofill based on response",INDEX('CI&amp;S'!$N$22:$N$38,MATCH($F115,'CI&amp;S'!$B$22:$B$38,0))),"N/A")</f>
        <v/>
      </c>
      <c r="N115" s="25">
        <f>IFERROR(IF(INDEX('CFOG'!$N$10:$N$15,MATCH($F115,'CFOG'!$B$10:$B$15,0))="","Cell will autofill based on response",INDEX('CFOG'!$N$10:$N$15,MATCH($F115,'CFOG'!$B$10:$B$15,0))),"N/A")</f>
        <v/>
      </c>
      <c r="O115" s="25">
        <f>IFERROR(IF(INDEX('CFOG'!$N$23:$N$23,MATCH($F115,'CFOG'!$B$23:$B$23,0))="","Cell will autofill based on response",INDEX('CFOG'!$N$23:$N$23,MATCH($F115,'CFOG'!$B$23:$B$23,0))),"N/A")</f>
        <v/>
      </c>
      <c r="P115" s="25">
        <f>IFERROR(IF(INDEX('ESG'!$N$10:$N$16,MATCH($F115,'ESG'!$B$10:$B$16,0))="","Cell will autofill based on response",INDEX('ESG'!$N$10:$N$16,MATCH($F115,'ESG'!$B$10:$B$16,0))),"N/A")</f>
        <v/>
      </c>
      <c r="Q115" s="25">
        <f>IFERROR(IF(INDEX('CIOG'!$N$10:$N$13,MATCH($F115,'CIOG'!$B$10:$B$13,0))="","Cell will autofill based on response",INDEX('CIOG'!$N$10:$N$13,MATCH($F115,'CIOG'!$B$10:$B$13,0))),"N/A")</f>
        <v/>
      </c>
      <c r="R115" s="25">
        <f>IFERROR(IF(INDEX('MRE'!$N$10:$N$11,MATCH($F115,'MRE'!$B$10:$B$11,0))="","Cell will autofill based on response",INDEX('MRE'!$N$10:$N$11,MATCH($F115,'MRE'!$B$10:$B$11,0))),"N/A")</f>
        <v/>
      </c>
    </row>
    <row r="116">
      <c r="A116">
        <f>F116&amp;"|"&amp;G116</f>
        <v/>
      </c>
      <c r="B116" s="29" t="inlineStr"/>
      <c r="C116" s="8" t="inlineStr"/>
      <c r="D116" s="8" t="inlineStr"/>
      <c r="E116" s="8" t="inlineStr"/>
      <c r="F116" s="8" t="inlineStr">
        <is>
          <t>CL1(b)</t>
        </is>
      </c>
      <c r="G116" s="8" t="inlineStr">
        <is>
          <t>Supporting information/comments</t>
        </is>
      </c>
      <c r="H116" s="25">
        <f>IFERROR(IF(INDEX('Faculties'!$O$10:$O$29,MATCH($F116,'Faculties'!$B$10:$B$29,0))="","Cell will autofill based on response",INDEX('Faculties'!$O$10:$O$29,MATCH($F116,'Faculties'!$B$10:$B$29,0))),"N/A")</f>
        <v/>
      </c>
      <c r="I116" s="25">
        <f>IFERROR(IF(INDEX('Faculties'!$O$37:$O$56,MATCH($F116,'Faculties'!$B$37:$B$56,0))="","Cell will autofill based on response",INDEX('Faculties'!$O$37:$O$56,MATCH($F116,'Faculties'!$B$37:$B$56,0))),"N/A")</f>
        <v/>
      </c>
      <c r="J116" s="25">
        <f>IFERROR(IF(INDEX('Faculties'!$O$64:$O$83,MATCH($F116,'Faculties'!$B$64:$B$83,0))="","Cell will autofill based on response",INDEX('Faculties'!$O$64:$O$83,MATCH($F116,'Faculties'!$B$64:$B$83,0))),"N/A")</f>
        <v/>
      </c>
      <c r="K116" s="25">
        <f>IFERROR(IF(INDEX('Faculties'!$O$91:$O$110,MATCH($F116,'Faculties'!$B$91:$B$110,0))="","Cell will autofill based on response",INDEX('Faculties'!$O$91:$O$110,MATCH($F116,'Faculties'!$B$91:$B$110,0))),"N/A")</f>
        <v/>
      </c>
      <c r="L116" s="25">
        <f>IFERROR(IF(INDEX('CI&amp;S'!$O$10:$O$14,MATCH($F116,'CI&amp;S'!$B$10:$B$14,0))="","Cell will autofill based on response",INDEX('CI&amp;S'!$O$10:$O$14,MATCH($F116,'CI&amp;S'!$B$10:$B$14,0))),"N/A")</f>
        <v/>
      </c>
      <c r="M116" s="25">
        <f>IFERROR(IF(INDEX('CI&amp;S'!$O$22:$O$38,MATCH($F116,'CI&amp;S'!$B$22:$B$38,0))="","Cell will autofill based on response",INDEX('CI&amp;S'!$O$22:$O$38,MATCH($F116,'CI&amp;S'!$B$22:$B$38,0))),"N/A")</f>
        <v/>
      </c>
      <c r="N116" s="25">
        <f>IFERROR(IF(INDEX('CFOG'!$O$10:$O$15,MATCH($F116,'CFOG'!$B$10:$B$15,0))="","Cell will autofill based on response",INDEX('CFOG'!$O$10:$O$15,MATCH($F116,'CFOG'!$B$10:$B$15,0))),"N/A")</f>
        <v/>
      </c>
      <c r="O116" s="25">
        <f>IFERROR(IF(INDEX('CFOG'!$O$23:$O$23,MATCH($F116,'CFOG'!$B$23:$B$23,0))="","Cell will autofill based on response",INDEX('CFOG'!$O$23:$O$23,MATCH($F116,'CFOG'!$B$23:$B$23,0))),"N/A")</f>
        <v/>
      </c>
      <c r="P116" s="25">
        <f>IFERROR(IF(INDEX('ESG'!$O$10:$O$16,MATCH($F116,'ESG'!$B$10:$B$16,0))="","Cell will autofill based on response",INDEX('ESG'!$O$10:$O$16,MATCH($F116,'ESG'!$B$10:$B$16,0))),"N/A")</f>
        <v/>
      </c>
      <c r="Q116" s="25">
        <f>IFERROR(IF(INDEX('CIOG'!$O$10:$O$13,MATCH($F116,'CIOG'!$B$10:$B$13,0))="","Cell will autofill based on response",INDEX('CIOG'!$O$10:$O$13,MATCH($F116,'CIOG'!$B$10:$B$13,0))),"N/A")</f>
        <v/>
      </c>
      <c r="R116" s="25">
        <f>IFERROR(IF(INDEX('MRE'!$O$10:$O$11,MATCH($F116,'MRE'!$B$10:$B$11,0))="","Cell will autofill based on response",INDEX('MRE'!$O$10:$O$11,MATCH($F116,'MRE'!$B$10:$B$11,0))),"N/A")</f>
        <v/>
      </c>
    </row>
    <row r="117">
      <c r="A117">
        <f>F117&amp;"|"&amp;G117</f>
        <v/>
      </c>
      <c r="B117" s="29" t="inlineStr"/>
      <c r="C117" s="8" t="inlineStr"/>
      <c r="D117" s="8" t="inlineStr"/>
      <c r="E117" s="8" t="inlineStr"/>
      <c r="F117" s="8" t="inlineStr">
        <is>
          <t>CL1(b)</t>
        </is>
      </c>
      <c r="G117" s="8" t="inlineStr">
        <is>
          <t>Data source and limitations</t>
        </is>
      </c>
      <c r="H117" s="25">
        <f>IFERROR(IF(INDEX('Faculties'!$P$10:$P$29,MATCH($F117,'Faculties'!$B$10:$B$29,0))="","Cell will autofill based on response",INDEX('Faculties'!$P$10:$P$29,MATCH($F117,'Faculties'!$B$10:$B$29,0))),"N/A")</f>
        <v/>
      </c>
      <c r="I117" s="25">
        <f>IFERROR(IF(INDEX('Faculties'!$P$37:$P$56,MATCH($F117,'Faculties'!$B$37:$B$56,0))="","Cell will autofill based on response",INDEX('Faculties'!$P$37:$P$56,MATCH($F117,'Faculties'!$B$37:$B$56,0))),"N/A")</f>
        <v/>
      </c>
      <c r="J117" s="25">
        <f>IFERROR(IF(INDEX('Faculties'!$P$64:$P$83,MATCH($F117,'Faculties'!$B$64:$B$83,0))="","Cell will autofill based on response",INDEX('Faculties'!$P$64:$P$83,MATCH($F117,'Faculties'!$B$64:$B$83,0))),"N/A")</f>
        <v/>
      </c>
      <c r="K117" s="25">
        <f>IFERROR(IF(INDEX('Faculties'!$P$91:$P$110,MATCH($F117,'Faculties'!$B$91:$B$110,0))="","Cell will autofill based on response",INDEX('Faculties'!$P$91:$P$110,MATCH($F117,'Faculties'!$B$91:$B$110,0))),"N/A")</f>
        <v/>
      </c>
      <c r="L117" s="25">
        <f>IFERROR(IF(INDEX('CI&amp;S'!$P$10:$P$14,MATCH($F117,'CI&amp;S'!$B$10:$B$14,0))="","Cell will autofill based on response",INDEX('CI&amp;S'!$P$10:$P$14,MATCH($F117,'CI&amp;S'!$B$10:$B$14,0))),"N/A")</f>
        <v/>
      </c>
      <c r="M117" s="25">
        <f>IFERROR(IF(INDEX('CI&amp;S'!$P$22:$P$38,MATCH($F117,'CI&amp;S'!$B$22:$B$38,0))="","Cell will autofill based on response",INDEX('CI&amp;S'!$P$22:$P$38,MATCH($F117,'CI&amp;S'!$B$22:$B$38,0))),"N/A")</f>
        <v/>
      </c>
      <c r="N117" s="25">
        <f>IFERROR(IF(INDEX('CFOG'!$P$10:$P$15,MATCH($F117,'CFOG'!$B$10:$B$15,0))="","Cell will autofill based on response",INDEX('CFOG'!$P$10:$P$15,MATCH($F117,'CFOG'!$B$10:$B$15,0))),"N/A")</f>
        <v/>
      </c>
      <c r="O117" s="25">
        <f>IFERROR(IF(INDEX('CFOG'!$P$23:$P$23,MATCH($F117,'CFOG'!$B$23:$B$23,0))="","Cell will autofill based on response",INDEX('CFOG'!$P$23:$P$23,MATCH($F117,'CFOG'!$B$23:$B$23,0))),"N/A")</f>
        <v/>
      </c>
      <c r="P117" s="25">
        <f>IFERROR(IF(INDEX('ESG'!$P$10:$P$16,MATCH($F117,'ESG'!$B$10:$B$16,0))="","Cell will autofill based on response",INDEX('ESG'!$P$10:$P$16,MATCH($F117,'ESG'!$B$10:$B$16,0))),"N/A")</f>
        <v/>
      </c>
      <c r="Q117" s="25">
        <f>IFERROR(IF(INDEX('CIOG'!$P$10:$P$13,MATCH($F117,'CIOG'!$B$10:$B$13,0))="","Cell will autofill based on response",INDEX('CIOG'!$P$10:$P$13,MATCH($F117,'CIOG'!$B$10:$B$13,0))),"N/A")</f>
        <v/>
      </c>
      <c r="R117" s="25">
        <f>IFERROR(IF(INDEX('MRE'!$P$10:$P$11,MATCH($F117,'MRE'!$B$10:$B$11,0))="","Cell will autofill based on response",INDEX('MRE'!$P$10:$P$11,MATCH($F117,'MRE'!$B$10:$B$11,0))),"N/A")</f>
        <v/>
      </c>
    </row>
    <row r="118">
      <c r="A118">
        <f>F118&amp;"|"&amp;G118</f>
        <v/>
      </c>
      <c r="B118" s="29" t="inlineStr"/>
      <c r="C118" s="8" t="inlineStr"/>
      <c r="D118" s="8" t="inlineStr"/>
      <c r="E118" s="8" t="inlineStr"/>
      <c r="F118" s="8" t="inlineStr">
        <is>
          <t>CL1(b)</t>
        </is>
      </c>
      <c r="G118" s="8" t="inlineStr">
        <is>
          <t>Data owner confirms</t>
        </is>
      </c>
      <c r="H118" s="25">
        <f>IFERROR(IF(INDEX('Faculties'!$Q$10:$Q$29,MATCH($F118,'Faculties'!$B$10:$B$29,0))="","Cell will autofill based on response",INDEX('Faculties'!$Q$10:$Q$29,MATCH($F118,'Faculties'!$B$10:$B$29,0))),"N/A")</f>
        <v/>
      </c>
      <c r="I118" s="25">
        <f>IFERROR(IF(INDEX('Faculties'!$Q$37:$Q$56,MATCH($F118,'Faculties'!$B$37:$B$56,0))="","Cell will autofill based on response",INDEX('Faculties'!$Q$37:$Q$56,MATCH($F118,'Faculties'!$B$37:$B$56,0))),"N/A")</f>
        <v/>
      </c>
      <c r="J118" s="25">
        <f>IFERROR(IF(INDEX('Faculties'!$Q$64:$Q$83,MATCH($F118,'Faculties'!$B$64:$B$83,0))="","Cell will autofill based on response",INDEX('Faculties'!$Q$64:$Q$83,MATCH($F118,'Faculties'!$B$64:$B$83,0))),"N/A")</f>
        <v/>
      </c>
      <c r="K118" s="25">
        <f>IFERROR(IF(INDEX('Faculties'!$Q$91:$Q$110,MATCH($F118,'Faculties'!$B$91:$B$110,0))="","Cell will autofill based on response",INDEX('Faculties'!$Q$91:$Q$110,MATCH($F118,'Faculties'!$B$91:$B$110,0))),"N/A")</f>
        <v/>
      </c>
      <c r="L118" s="25">
        <f>IFERROR(IF(INDEX('CI&amp;S'!$Q$10:$Q$14,MATCH($F118,'CI&amp;S'!$B$10:$B$14,0))="","Cell will autofill based on response",INDEX('CI&amp;S'!$Q$10:$Q$14,MATCH($F118,'CI&amp;S'!$B$10:$B$14,0))),"N/A")</f>
        <v/>
      </c>
      <c r="M118" s="25">
        <f>IFERROR(IF(INDEX('CI&amp;S'!$Q$22:$Q$38,MATCH($F118,'CI&amp;S'!$B$22:$B$38,0))="","Cell will autofill based on response",INDEX('CI&amp;S'!$Q$22:$Q$38,MATCH($F118,'CI&amp;S'!$B$22:$B$38,0))),"N/A")</f>
        <v/>
      </c>
      <c r="N118" s="25">
        <f>IFERROR(IF(INDEX('CFOG'!$Q$10:$Q$15,MATCH($F118,'CFOG'!$B$10:$B$15,0))="","Cell will autofill based on response",INDEX('CFOG'!$Q$10:$Q$15,MATCH($F118,'CFOG'!$B$10:$B$15,0))),"N/A")</f>
        <v/>
      </c>
      <c r="O118" s="25">
        <f>IFERROR(IF(INDEX('CFOG'!$Q$23:$Q$23,MATCH($F118,'CFOG'!$B$23:$B$23,0))="","Cell will autofill based on response",INDEX('CFOG'!$Q$23:$Q$23,MATCH($F118,'CFOG'!$B$23:$B$23,0))),"N/A")</f>
        <v/>
      </c>
      <c r="P118" s="25">
        <f>IFERROR(IF(INDEX('ESG'!$Q$10:$Q$16,MATCH($F118,'ESG'!$B$10:$B$16,0))="","Cell will autofill based on response",INDEX('ESG'!$Q$10:$Q$16,MATCH($F118,'ESG'!$B$10:$B$16,0))),"N/A")</f>
        <v/>
      </c>
      <c r="Q118" s="25">
        <f>IFERROR(IF(INDEX('CIOG'!$Q$10:$Q$13,MATCH($F118,'CIOG'!$B$10:$B$13,0))="","Cell will autofill based on response",INDEX('CIOG'!$Q$10:$Q$13,MATCH($F118,'CIOG'!$B$10:$B$13,0))),"N/A")</f>
        <v/>
      </c>
      <c r="R118" s="25">
        <f>IFERROR(IF(INDEX('MRE'!$Q$10:$Q$11,MATCH($F118,'MRE'!$B$10:$B$11,0))="","Cell will autofill based on response",INDEX('MRE'!$Q$10:$Q$11,MATCH($F118,'MRE'!$B$10:$B$11,0))),"N/A")</f>
        <v/>
      </c>
    </row>
    <row r="119">
      <c r="A119">
        <f>F119&amp;"|"&amp;G119</f>
        <v/>
      </c>
      <c r="B119" s="7" t="inlineStr">
        <is>
          <t>CL1(c)</t>
        </is>
      </c>
      <c r="C119" s="12" t="inlineStr">
        <is>
          <t>Climate leadership</t>
        </is>
      </c>
      <c r="D119" s="12" t="inlineStr">
        <is>
          <t>Review of Climate Leadership targets by 2030.[2]</t>
        </is>
      </c>
      <c r="E119" s="12" t="inlineStr"/>
      <c r="F119" s="12" t="inlineStr">
        <is>
          <t>CL1(c)</t>
        </is>
      </c>
      <c r="G119" s="12" t="inlineStr">
        <is>
          <t>Confirm end-2026 target status</t>
        </is>
      </c>
      <c r="H119" s="25">
        <f>IFERROR(IF(INDEX('Faculties'!$L$10:$L$29,MATCH($F119,'Faculties'!$B$10:$B$29,0))="","Cell will autofill based on response",INDEX('Faculties'!$L$10:$L$29,MATCH($F119,'Faculties'!$B$10:$B$29,0))),"N/A")</f>
        <v/>
      </c>
      <c r="I119" s="25">
        <f>IFERROR(IF(INDEX('Faculties'!$L$37:$L$56,MATCH($F119,'Faculties'!$B$37:$B$56,0))="","Cell will autofill based on response",INDEX('Faculties'!$L$37:$L$56,MATCH($F119,'Faculties'!$B$37:$B$56,0))),"N/A")</f>
        <v/>
      </c>
      <c r="J119" s="25">
        <f>IFERROR(IF(INDEX('Faculties'!$L$64:$L$83,MATCH($F119,'Faculties'!$B$64:$B$83,0))="","Cell will autofill based on response",INDEX('Faculties'!$L$64:$L$83,MATCH($F119,'Faculties'!$B$64:$B$83,0))),"N/A")</f>
        <v/>
      </c>
      <c r="K119" s="25">
        <f>IFERROR(IF(INDEX('Faculties'!$L$91:$L$110,MATCH($F119,'Faculties'!$B$91:$B$110,0))="","Cell will autofill based on response",INDEX('Faculties'!$L$91:$L$110,MATCH($F119,'Faculties'!$B$91:$B$110,0))),"N/A")</f>
        <v/>
      </c>
      <c r="L119" s="25">
        <f>IFERROR(IF(INDEX('CI&amp;S'!$L$10:$L$14,MATCH($F119,'CI&amp;S'!$B$10:$B$14,0))="","Cell will autofill based on response",INDEX('CI&amp;S'!$L$10:$L$14,MATCH($F119,'CI&amp;S'!$B$10:$B$14,0))),"N/A")</f>
        <v/>
      </c>
      <c r="M119" s="25">
        <f>IFERROR(IF(INDEX('CI&amp;S'!$L$22:$L$38,MATCH($F119,'CI&amp;S'!$B$22:$B$38,0))="","Cell will autofill based on response",INDEX('CI&amp;S'!$L$22:$L$38,MATCH($F119,'CI&amp;S'!$B$22:$B$38,0))),"N/A")</f>
        <v/>
      </c>
      <c r="N119" s="25">
        <f>IFERROR(IF(INDEX('CFOG'!$L$10:$L$15,MATCH($F119,'CFOG'!$B$10:$B$15,0))="","Cell will autofill based on response",INDEX('CFOG'!$L$10:$L$15,MATCH($F119,'CFOG'!$B$10:$B$15,0))),"N/A")</f>
        <v/>
      </c>
      <c r="O119" s="25">
        <f>IFERROR(IF(INDEX('CFOG'!$L$23:$L$23,MATCH($F119,'CFOG'!$B$23:$B$23,0))="","Cell will autofill based on response",INDEX('CFOG'!$L$23:$L$23,MATCH($F119,'CFOG'!$B$23:$B$23,0))),"N/A")</f>
        <v/>
      </c>
      <c r="P119" s="25">
        <f>IFERROR(IF(INDEX('ESG'!$L$10:$L$16,MATCH($F119,'ESG'!$B$10:$B$16,0))="","Cell will autofill based on response",INDEX('ESG'!$L$10:$L$16,MATCH($F119,'ESG'!$B$10:$B$16,0))),"N/A")</f>
        <v/>
      </c>
      <c r="Q119" s="25">
        <f>IFERROR(IF(INDEX('CIOG'!$L$10:$L$13,MATCH($F119,'CIOG'!$B$10:$B$13,0))="","Cell will autofill based on response",INDEX('CIOG'!$L$10:$L$13,MATCH($F119,'CIOG'!$B$10:$B$13,0))),"N/A")</f>
        <v/>
      </c>
      <c r="R119" s="25">
        <f>IFERROR(IF(INDEX('MRE'!$L$10:$L$11,MATCH($F119,'MRE'!$B$10:$B$11,0))="","Cell will autofill based on response",INDEX('MRE'!$L$10:$L$11,MATCH($F119,'MRE'!$B$10:$B$11,0))),"N/A")</f>
        <v/>
      </c>
      <c r="T119" s="26">
        <f>COUNTIF($H119:$R119,"Cell will autofill based on response")</f>
        <v/>
      </c>
      <c r="U119" s="26">
        <f>COUNTIF($H119:$R119,"Not yet started")</f>
        <v/>
      </c>
      <c r="V119" s="26">
        <f>COUNTIF($H119:$R119,"Not met")</f>
        <v/>
      </c>
      <c r="W119" s="26">
        <f>COUNTIF($H119:$R119,"Partially met")</f>
        <v/>
      </c>
      <c r="X119" s="26">
        <f>COUNTIF($H119:$R119,"Met or exceeded")</f>
        <v/>
      </c>
      <c r="Y119" s="26">
        <f>3*X119+2*W119+V119</f>
        <v/>
      </c>
      <c r="Z119" s="26">
        <f>X119+W119+V119+U119</f>
        <v/>
      </c>
      <c r="AA119" s="27">
        <f>IF(Z119&gt;0,Y119/Z119,"No valid responses to date")</f>
        <v/>
      </c>
      <c r="AB119" s="26">
        <f>IF(ISNUMBER(AA119),INDEX(Lists!$G$2:$G$5,MATCH(ROUND(AA119,0),Lists!$H$2:$H$5,0)),"")</f>
        <v/>
      </c>
      <c r="AC119" s="28">
        <f>IF(Z119&gt;0,X119/Z119,"")</f>
        <v/>
      </c>
      <c r="AD119" s="28">
        <f>IF(Z119&gt;0,(X119+W119)/Z119,"")</f>
        <v/>
      </c>
      <c r="AE119" s="26">
        <f>IF(Z119=0,"",IF(AC119&gt;0.75,"Met or exceeded",IF(AD119&gt;=0.5,"Partially met","Not met")))</f>
        <v/>
      </c>
    </row>
    <row r="120">
      <c r="A120">
        <f>F120&amp;"|"&amp;G120</f>
        <v/>
      </c>
      <c r="B120" s="29" t="inlineStr"/>
      <c r="C120" s="8" t="inlineStr"/>
      <c r="D120" s="8" t="inlineStr"/>
      <c r="E120" s="8" t="inlineStr"/>
      <c r="F120" s="8" t="inlineStr">
        <is>
          <t>CL1(c)</t>
        </is>
      </c>
      <c r="G120" s="8" t="inlineStr">
        <is>
          <t>OPTION 1:  Target-level reporting</t>
        </is>
      </c>
      <c r="H120" s="25">
        <f>IFERROR(IF(INDEX('Faculties'!$M$10:$M$29,MATCH($F120,'Faculties'!$B$10:$B$29,0))="","Cell will autofill based on response",INDEX('Faculties'!$M$10:$M$29,MATCH($F120,'Faculties'!$B$10:$B$29,0))),"N/A")</f>
        <v/>
      </c>
      <c r="I120" s="25">
        <f>IFERROR(IF(INDEX('Faculties'!$M$37:$M$56,MATCH($F120,'Faculties'!$B$37:$B$56,0))="","Cell will autofill based on response",INDEX('Faculties'!$M$37:$M$56,MATCH($F120,'Faculties'!$B$37:$B$56,0))),"N/A")</f>
        <v/>
      </c>
      <c r="J120" s="25">
        <f>IFERROR(IF(INDEX('Faculties'!$M$64:$M$83,MATCH($F120,'Faculties'!$B$64:$B$83,0))="","Cell will autofill based on response",INDEX('Faculties'!$M$64:$M$83,MATCH($F120,'Faculties'!$B$64:$B$83,0))),"N/A")</f>
        <v/>
      </c>
      <c r="K120" s="25">
        <f>IFERROR(IF(INDEX('Faculties'!$M$91:$M$110,MATCH($F120,'Faculties'!$B$91:$B$110,0))="","Cell will autofill based on response",INDEX('Faculties'!$M$91:$M$110,MATCH($F120,'Faculties'!$B$91:$B$110,0))),"N/A")</f>
        <v/>
      </c>
      <c r="L120" s="25">
        <f>IFERROR(IF(INDEX('CI&amp;S'!$M$10:$M$14,MATCH($F120,'CI&amp;S'!$B$10:$B$14,0))="","Cell will autofill based on response",INDEX('CI&amp;S'!$M$10:$M$14,MATCH($F120,'CI&amp;S'!$B$10:$B$14,0))),"N/A")</f>
        <v/>
      </c>
      <c r="M120" s="25">
        <f>IFERROR(IF(INDEX('CI&amp;S'!$M$22:$M$38,MATCH($F120,'CI&amp;S'!$B$22:$B$38,0))="","Cell will autofill based on response",INDEX('CI&amp;S'!$M$22:$M$38,MATCH($F120,'CI&amp;S'!$B$22:$B$38,0))),"N/A")</f>
        <v/>
      </c>
      <c r="N120" s="25">
        <f>IFERROR(IF(INDEX('CFOG'!$M$10:$M$15,MATCH($F120,'CFOG'!$B$10:$B$15,0))="","Cell will autofill based on response",INDEX('CFOG'!$M$10:$M$15,MATCH($F120,'CFOG'!$B$10:$B$15,0))),"N/A")</f>
        <v/>
      </c>
      <c r="O120" s="25">
        <f>IFERROR(IF(INDEX('CFOG'!$M$23:$M$23,MATCH($F120,'CFOG'!$B$23:$B$23,0))="","Cell will autofill based on response",INDEX('CFOG'!$M$23:$M$23,MATCH($F120,'CFOG'!$B$23:$B$23,0))),"N/A")</f>
        <v/>
      </c>
      <c r="P120" s="25">
        <f>IFERROR(IF(INDEX('ESG'!$M$10:$M$16,MATCH($F120,'ESG'!$B$10:$B$16,0))="","Cell will autofill based on response",INDEX('ESG'!$M$10:$M$16,MATCH($F120,'ESG'!$B$10:$B$16,0))),"N/A")</f>
        <v/>
      </c>
      <c r="Q120" s="25">
        <f>IFERROR(IF(INDEX('CIOG'!$M$10:$M$13,MATCH($F120,'CIOG'!$B$10:$B$13,0))="","Cell will autofill based on response",INDEX('CIOG'!$M$10:$M$13,MATCH($F120,'CIOG'!$B$10:$B$13,0))),"N/A")</f>
        <v/>
      </c>
      <c r="R120" s="25">
        <f>IFERROR(IF(INDEX('MRE'!$M$10:$M$11,MATCH($F120,'MRE'!$B$10:$B$11,0))="","Cell will autofill based on response",INDEX('MRE'!$M$10:$M$11,MATCH($F120,'MRE'!$B$10:$B$11,0))),"N/A")</f>
        <v/>
      </c>
    </row>
    <row r="121">
      <c r="A121">
        <f>F121&amp;"|"&amp;G121</f>
        <v/>
      </c>
      <c r="B121" s="29" t="inlineStr"/>
      <c r="C121" s="8" t="inlineStr"/>
      <c r="D121" s="8" t="inlineStr"/>
      <c r="E121" s="8" t="inlineStr"/>
      <c r="F121" s="8" t="inlineStr">
        <is>
          <t>CL1(c)</t>
        </is>
      </c>
      <c r="G121" s="8" t="inlineStr">
        <is>
          <t>OPTION 2:  Indicator level reporting</t>
        </is>
      </c>
      <c r="H121" s="25">
        <f>IFERROR(IF(INDEX('Faculties'!$N$10:$N$29,MATCH($F121,'Faculties'!$B$10:$B$29,0))="","Cell will autofill based on response",INDEX('Faculties'!$N$10:$N$29,MATCH($F121,'Faculties'!$B$10:$B$29,0))),"N/A")</f>
        <v/>
      </c>
      <c r="I121" s="25">
        <f>IFERROR(IF(INDEX('Faculties'!$N$37:$N$56,MATCH($F121,'Faculties'!$B$37:$B$56,0))="","Cell will autofill based on response",INDEX('Faculties'!$N$37:$N$56,MATCH($F121,'Faculties'!$B$37:$B$56,0))),"N/A")</f>
        <v/>
      </c>
      <c r="J121" s="25">
        <f>IFERROR(IF(INDEX('Faculties'!$N$64:$N$83,MATCH($F121,'Faculties'!$B$64:$B$83,0))="","Cell will autofill based on response",INDEX('Faculties'!$N$64:$N$83,MATCH($F121,'Faculties'!$B$64:$B$83,0))),"N/A")</f>
        <v/>
      </c>
      <c r="K121" s="25">
        <f>IFERROR(IF(INDEX('Faculties'!$N$91:$N$110,MATCH($F121,'Faculties'!$B$91:$B$110,0))="","Cell will autofill based on response",INDEX('Faculties'!$N$91:$N$110,MATCH($F121,'Faculties'!$B$91:$B$110,0))),"N/A")</f>
        <v/>
      </c>
      <c r="L121" s="25">
        <f>IFERROR(IF(INDEX('CI&amp;S'!$N$10:$N$14,MATCH($F121,'CI&amp;S'!$B$10:$B$14,0))="","Cell will autofill based on response",INDEX('CI&amp;S'!$N$10:$N$14,MATCH($F121,'CI&amp;S'!$B$10:$B$14,0))),"N/A")</f>
        <v/>
      </c>
      <c r="M121" s="25">
        <f>IFERROR(IF(INDEX('CI&amp;S'!$N$22:$N$38,MATCH($F121,'CI&amp;S'!$B$22:$B$38,0))="","Cell will autofill based on response",INDEX('CI&amp;S'!$N$22:$N$38,MATCH($F121,'CI&amp;S'!$B$22:$B$38,0))),"N/A")</f>
        <v/>
      </c>
      <c r="N121" s="25">
        <f>IFERROR(IF(INDEX('CFOG'!$N$10:$N$15,MATCH($F121,'CFOG'!$B$10:$B$15,0))="","Cell will autofill based on response",INDEX('CFOG'!$N$10:$N$15,MATCH($F121,'CFOG'!$B$10:$B$15,0))),"N/A")</f>
        <v/>
      </c>
      <c r="O121" s="25">
        <f>IFERROR(IF(INDEX('CFOG'!$N$23:$N$23,MATCH($F121,'CFOG'!$B$23:$B$23,0))="","Cell will autofill based on response",INDEX('CFOG'!$N$23:$N$23,MATCH($F121,'CFOG'!$B$23:$B$23,0))),"N/A")</f>
        <v/>
      </c>
      <c r="P121" s="25">
        <f>IFERROR(IF(INDEX('ESG'!$N$10:$N$16,MATCH($F121,'ESG'!$B$10:$B$16,0))="","Cell will autofill based on response",INDEX('ESG'!$N$10:$N$16,MATCH($F121,'ESG'!$B$10:$B$16,0))),"N/A")</f>
        <v/>
      </c>
      <c r="Q121" s="25">
        <f>IFERROR(IF(INDEX('CIOG'!$N$10:$N$13,MATCH($F121,'CIOG'!$B$10:$B$13,0))="","Cell will autofill based on response",INDEX('CIOG'!$N$10:$N$13,MATCH($F121,'CIOG'!$B$10:$B$13,0))),"N/A")</f>
        <v/>
      </c>
      <c r="R121" s="25">
        <f>IFERROR(IF(INDEX('MRE'!$N$10:$N$11,MATCH($F121,'MRE'!$B$10:$B$11,0))="","Cell will autofill based on response",INDEX('MRE'!$N$10:$N$11,MATCH($F121,'MRE'!$B$10:$B$11,0))),"N/A")</f>
        <v/>
      </c>
    </row>
    <row r="122">
      <c r="A122">
        <f>F122&amp;"|"&amp;G122</f>
        <v/>
      </c>
      <c r="B122" s="29" t="inlineStr"/>
      <c r="C122" s="8" t="inlineStr"/>
      <c r="D122" s="8" t="inlineStr"/>
      <c r="E122" s="8" t="inlineStr"/>
      <c r="F122" s="8" t="inlineStr">
        <is>
          <t>CL1(c)</t>
        </is>
      </c>
      <c r="G122" s="8" t="inlineStr">
        <is>
          <t>Supporting information/comments</t>
        </is>
      </c>
      <c r="H122" s="25">
        <f>IFERROR(IF(INDEX('Faculties'!$O$10:$O$29,MATCH($F122,'Faculties'!$B$10:$B$29,0))="","Cell will autofill based on response",INDEX('Faculties'!$O$10:$O$29,MATCH($F122,'Faculties'!$B$10:$B$29,0))),"N/A")</f>
        <v/>
      </c>
      <c r="I122" s="25">
        <f>IFERROR(IF(INDEX('Faculties'!$O$37:$O$56,MATCH($F122,'Faculties'!$B$37:$B$56,0))="","Cell will autofill based on response",INDEX('Faculties'!$O$37:$O$56,MATCH($F122,'Faculties'!$B$37:$B$56,0))),"N/A")</f>
        <v/>
      </c>
      <c r="J122" s="25">
        <f>IFERROR(IF(INDEX('Faculties'!$O$64:$O$83,MATCH($F122,'Faculties'!$B$64:$B$83,0))="","Cell will autofill based on response",INDEX('Faculties'!$O$64:$O$83,MATCH($F122,'Faculties'!$B$64:$B$83,0))),"N/A")</f>
        <v/>
      </c>
      <c r="K122" s="25">
        <f>IFERROR(IF(INDEX('Faculties'!$O$91:$O$110,MATCH($F122,'Faculties'!$B$91:$B$110,0))="","Cell will autofill based on response",INDEX('Faculties'!$O$91:$O$110,MATCH($F122,'Faculties'!$B$91:$B$110,0))),"N/A")</f>
        <v/>
      </c>
      <c r="L122" s="25">
        <f>IFERROR(IF(INDEX('CI&amp;S'!$O$10:$O$14,MATCH($F122,'CI&amp;S'!$B$10:$B$14,0))="","Cell will autofill based on response",INDEX('CI&amp;S'!$O$10:$O$14,MATCH($F122,'CI&amp;S'!$B$10:$B$14,0))),"N/A")</f>
        <v/>
      </c>
      <c r="M122" s="25">
        <f>IFERROR(IF(INDEX('CI&amp;S'!$O$22:$O$38,MATCH($F122,'CI&amp;S'!$B$22:$B$38,0))="","Cell will autofill based on response",INDEX('CI&amp;S'!$O$22:$O$38,MATCH($F122,'CI&amp;S'!$B$22:$B$38,0))),"N/A")</f>
        <v/>
      </c>
      <c r="N122" s="25">
        <f>IFERROR(IF(INDEX('CFOG'!$O$10:$O$15,MATCH($F122,'CFOG'!$B$10:$B$15,0))="","Cell will autofill based on response",INDEX('CFOG'!$O$10:$O$15,MATCH($F122,'CFOG'!$B$10:$B$15,0))),"N/A")</f>
        <v/>
      </c>
      <c r="O122" s="25">
        <f>IFERROR(IF(INDEX('CFOG'!$O$23:$O$23,MATCH($F122,'CFOG'!$B$23:$B$23,0))="","Cell will autofill based on response",INDEX('CFOG'!$O$23:$O$23,MATCH($F122,'CFOG'!$B$23:$B$23,0))),"N/A")</f>
        <v/>
      </c>
      <c r="P122" s="25">
        <f>IFERROR(IF(INDEX('ESG'!$O$10:$O$16,MATCH($F122,'ESG'!$B$10:$B$16,0))="","Cell will autofill based on response",INDEX('ESG'!$O$10:$O$16,MATCH($F122,'ESG'!$B$10:$B$16,0))),"N/A")</f>
        <v/>
      </c>
      <c r="Q122" s="25">
        <f>IFERROR(IF(INDEX('CIOG'!$O$10:$O$13,MATCH($F122,'CIOG'!$B$10:$B$13,0))="","Cell will autofill based on response",INDEX('CIOG'!$O$10:$O$13,MATCH($F122,'CIOG'!$B$10:$B$13,0))),"N/A")</f>
        <v/>
      </c>
      <c r="R122" s="25">
        <f>IFERROR(IF(INDEX('MRE'!$O$10:$O$11,MATCH($F122,'MRE'!$B$10:$B$11,0))="","Cell will autofill based on response",INDEX('MRE'!$O$10:$O$11,MATCH($F122,'MRE'!$B$10:$B$11,0))),"N/A")</f>
        <v/>
      </c>
    </row>
    <row r="123">
      <c r="A123">
        <f>F123&amp;"|"&amp;G123</f>
        <v/>
      </c>
      <c r="B123" s="29" t="inlineStr"/>
      <c r="C123" s="8" t="inlineStr"/>
      <c r="D123" s="8" t="inlineStr"/>
      <c r="E123" s="8" t="inlineStr"/>
      <c r="F123" s="8" t="inlineStr">
        <is>
          <t>CL1(c)</t>
        </is>
      </c>
      <c r="G123" s="8" t="inlineStr">
        <is>
          <t>Data source and limitations</t>
        </is>
      </c>
      <c r="H123" s="25">
        <f>IFERROR(IF(INDEX('Faculties'!$P$10:$P$29,MATCH($F123,'Faculties'!$B$10:$B$29,0))="","Cell will autofill based on response",INDEX('Faculties'!$P$10:$P$29,MATCH($F123,'Faculties'!$B$10:$B$29,0))),"N/A")</f>
        <v/>
      </c>
      <c r="I123" s="25">
        <f>IFERROR(IF(INDEX('Faculties'!$P$37:$P$56,MATCH($F123,'Faculties'!$B$37:$B$56,0))="","Cell will autofill based on response",INDEX('Faculties'!$P$37:$P$56,MATCH($F123,'Faculties'!$B$37:$B$56,0))),"N/A")</f>
        <v/>
      </c>
      <c r="J123" s="25">
        <f>IFERROR(IF(INDEX('Faculties'!$P$64:$P$83,MATCH($F123,'Faculties'!$B$64:$B$83,0))="","Cell will autofill based on response",INDEX('Faculties'!$P$64:$P$83,MATCH($F123,'Faculties'!$B$64:$B$83,0))),"N/A")</f>
        <v/>
      </c>
      <c r="K123" s="25">
        <f>IFERROR(IF(INDEX('Faculties'!$P$91:$P$110,MATCH($F123,'Faculties'!$B$91:$B$110,0))="","Cell will autofill based on response",INDEX('Faculties'!$P$91:$P$110,MATCH($F123,'Faculties'!$B$91:$B$110,0))),"N/A")</f>
        <v/>
      </c>
      <c r="L123" s="25">
        <f>IFERROR(IF(INDEX('CI&amp;S'!$P$10:$P$14,MATCH($F123,'CI&amp;S'!$B$10:$B$14,0))="","Cell will autofill based on response",INDEX('CI&amp;S'!$P$10:$P$14,MATCH($F123,'CI&amp;S'!$B$10:$B$14,0))),"N/A")</f>
        <v/>
      </c>
      <c r="M123" s="25">
        <f>IFERROR(IF(INDEX('CI&amp;S'!$P$22:$P$38,MATCH($F123,'CI&amp;S'!$B$22:$B$38,0))="","Cell will autofill based on response",INDEX('CI&amp;S'!$P$22:$P$38,MATCH($F123,'CI&amp;S'!$B$22:$B$38,0))),"N/A")</f>
        <v/>
      </c>
      <c r="N123" s="25">
        <f>IFERROR(IF(INDEX('CFOG'!$P$10:$P$15,MATCH($F123,'CFOG'!$B$10:$B$15,0))="","Cell will autofill based on response",INDEX('CFOG'!$P$10:$P$15,MATCH($F123,'CFOG'!$B$10:$B$15,0))),"N/A")</f>
        <v/>
      </c>
      <c r="O123" s="25">
        <f>IFERROR(IF(INDEX('CFOG'!$P$23:$P$23,MATCH($F123,'CFOG'!$B$23:$B$23,0))="","Cell will autofill based on response",INDEX('CFOG'!$P$23:$P$23,MATCH($F123,'CFOG'!$B$23:$B$23,0))),"N/A")</f>
        <v/>
      </c>
      <c r="P123" s="25">
        <f>IFERROR(IF(INDEX('ESG'!$P$10:$P$16,MATCH($F123,'ESG'!$B$10:$B$16,0))="","Cell will autofill based on response",INDEX('ESG'!$P$10:$P$16,MATCH($F123,'ESG'!$B$10:$B$16,0))),"N/A")</f>
        <v/>
      </c>
      <c r="Q123" s="25">
        <f>IFERROR(IF(INDEX('CIOG'!$P$10:$P$13,MATCH($F123,'CIOG'!$B$10:$B$13,0))="","Cell will autofill based on response",INDEX('CIOG'!$P$10:$P$13,MATCH($F123,'CIOG'!$B$10:$B$13,0))),"N/A")</f>
        <v/>
      </c>
      <c r="R123" s="25">
        <f>IFERROR(IF(INDEX('MRE'!$P$10:$P$11,MATCH($F123,'MRE'!$B$10:$B$11,0))="","Cell will autofill based on response",INDEX('MRE'!$P$10:$P$11,MATCH($F123,'MRE'!$B$10:$B$11,0))),"N/A")</f>
        <v/>
      </c>
    </row>
    <row r="124">
      <c r="A124">
        <f>F124&amp;"|"&amp;G124</f>
        <v/>
      </c>
      <c r="B124" s="29" t="inlineStr"/>
      <c r="C124" s="8" t="inlineStr"/>
      <c r="D124" s="8" t="inlineStr"/>
      <c r="E124" s="8" t="inlineStr"/>
      <c r="F124" s="8" t="inlineStr">
        <is>
          <t>CL1(c)</t>
        </is>
      </c>
      <c r="G124" s="8" t="inlineStr">
        <is>
          <t>Data owner confirms</t>
        </is>
      </c>
      <c r="H124" s="25">
        <f>IFERROR(IF(INDEX('Faculties'!$Q$10:$Q$29,MATCH($F124,'Faculties'!$B$10:$B$29,0))="","Cell will autofill based on response",INDEX('Faculties'!$Q$10:$Q$29,MATCH($F124,'Faculties'!$B$10:$B$29,0))),"N/A")</f>
        <v/>
      </c>
      <c r="I124" s="25">
        <f>IFERROR(IF(INDEX('Faculties'!$Q$37:$Q$56,MATCH($F124,'Faculties'!$B$37:$B$56,0))="","Cell will autofill based on response",INDEX('Faculties'!$Q$37:$Q$56,MATCH($F124,'Faculties'!$B$37:$B$56,0))),"N/A")</f>
        <v/>
      </c>
      <c r="J124" s="25">
        <f>IFERROR(IF(INDEX('Faculties'!$Q$64:$Q$83,MATCH($F124,'Faculties'!$B$64:$B$83,0))="","Cell will autofill based on response",INDEX('Faculties'!$Q$64:$Q$83,MATCH($F124,'Faculties'!$B$64:$B$83,0))),"N/A")</f>
        <v/>
      </c>
      <c r="K124" s="25">
        <f>IFERROR(IF(INDEX('Faculties'!$Q$91:$Q$110,MATCH($F124,'Faculties'!$B$91:$B$110,0))="","Cell will autofill based on response",INDEX('Faculties'!$Q$91:$Q$110,MATCH($F124,'Faculties'!$B$91:$B$110,0))),"N/A")</f>
        <v/>
      </c>
      <c r="L124" s="25">
        <f>IFERROR(IF(INDEX('CI&amp;S'!$Q$10:$Q$14,MATCH($F124,'CI&amp;S'!$B$10:$B$14,0))="","Cell will autofill based on response",INDEX('CI&amp;S'!$Q$10:$Q$14,MATCH($F124,'CI&amp;S'!$B$10:$B$14,0))),"N/A")</f>
        <v/>
      </c>
      <c r="M124" s="25">
        <f>IFERROR(IF(INDEX('CI&amp;S'!$Q$22:$Q$38,MATCH($F124,'CI&amp;S'!$B$22:$B$38,0))="","Cell will autofill based on response",INDEX('CI&amp;S'!$Q$22:$Q$38,MATCH($F124,'CI&amp;S'!$B$22:$B$38,0))),"N/A")</f>
        <v/>
      </c>
      <c r="N124" s="25">
        <f>IFERROR(IF(INDEX('CFOG'!$Q$10:$Q$15,MATCH($F124,'CFOG'!$B$10:$B$15,0))="","Cell will autofill based on response",INDEX('CFOG'!$Q$10:$Q$15,MATCH($F124,'CFOG'!$B$10:$B$15,0))),"N/A")</f>
        <v/>
      </c>
      <c r="O124" s="25">
        <f>IFERROR(IF(INDEX('CFOG'!$Q$23:$Q$23,MATCH($F124,'CFOG'!$B$23:$B$23,0))="","Cell will autofill based on response",INDEX('CFOG'!$Q$23:$Q$23,MATCH($F124,'CFOG'!$B$23:$B$23,0))),"N/A")</f>
        <v/>
      </c>
      <c r="P124" s="25">
        <f>IFERROR(IF(INDEX('ESG'!$Q$10:$Q$16,MATCH($F124,'ESG'!$B$10:$B$16,0))="","Cell will autofill based on response",INDEX('ESG'!$Q$10:$Q$16,MATCH($F124,'ESG'!$B$10:$B$16,0))),"N/A")</f>
        <v/>
      </c>
      <c r="Q124" s="25">
        <f>IFERROR(IF(INDEX('CIOG'!$Q$10:$Q$13,MATCH($F124,'CIOG'!$B$10:$B$13,0))="","Cell will autofill based on response",INDEX('CIOG'!$Q$10:$Q$13,MATCH($F124,'CIOG'!$B$10:$B$13,0))),"N/A")</f>
        <v/>
      </c>
      <c r="R124" s="25">
        <f>IFERROR(IF(INDEX('MRE'!$Q$10:$Q$11,MATCH($F124,'MRE'!$B$10:$B$11,0))="","Cell will autofill based on response",INDEX('MRE'!$Q$10:$Q$11,MATCH($F124,'MRE'!$B$10:$B$11,0))),"N/A")</f>
        <v/>
      </c>
    </row>
    <row r="125">
      <c r="A125">
        <f>F125&amp;"|"&amp;G125</f>
        <v/>
      </c>
      <c r="B125" s="7" t="inlineStr">
        <is>
          <t>CL2(a)</t>
        </is>
      </c>
      <c r="C125" s="12" t="inlineStr">
        <is>
          <t>Climate leadership</t>
        </is>
      </c>
      <c r="D125" s="12" t="inlineStr">
        <is>
          <t>By 2028, develop and document institutional mapping of research and education activities that are designed to contribute to global decarbonisation</t>
        </is>
      </c>
      <c r="E125"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25" s="12" t="inlineStr">
        <is>
          <t>CL2(a)</t>
        </is>
      </c>
      <c r="G125" s="12" t="inlineStr">
        <is>
          <t>Confirm end-2026 target status</t>
        </is>
      </c>
      <c r="H125" s="25">
        <f>IFERROR(IF(INDEX('Faculties'!$L$10:$L$29,MATCH($F125,'Faculties'!$B$10:$B$29,0))="","Cell will autofill based on response",INDEX('Faculties'!$L$10:$L$29,MATCH($F125,'Faculties'!$B$10:$B$29,0))),"N/A")</f>
        <v/>
      </c>
      <c r="I125" s="25">
        <f>IFERROR(IF(INDEX('Faculties'!$L$37:$L$56,MATCH($F125,'Faculties'!$B$37:$B$56,0))="","Cell will autofill based on response",INDEX('Faculties'!$L$37:$L$56,MATCH($F125,'Faculties'!$B$37:$B$56,0))),"N/A")</f>
        <v/>
      </c>
      <c r="J125" s="25">
        <f>IFERROR(IF(INDEX('Faculties'!$L$64:$L$83,MATCH($F125,'Faculties'!$B$64:$B$83,0))="","Cell will autofill based on response",INDEX('Faculties'!$L$64:$L$83,MATCH($F125,'Faculties'!$B$64:$B$83,0))),"N/A")</f>
        <v/>
      </c>
      <c r="K125" s="25">
        <f>IFERROR(IF(INDEX('Faculties'!$L$91:$L$110,MATCH($F125,'Faculties'!$B$91:$B$110,0))="","Cell will autofill based on response",INDEX('Faculties'!$L$91:$L$110,MATCH($F125,'Faculties'!$B$91:$B$110,0))),"N/A")</f>
        <v/>
      </c>
      <c r="L125" s="25">
        <f>IFERROR(IF(INDEX('CI&amp;S'!$L$10:$L$14,MATCH($F125,'CI&amp;S'!$B$10:$B$14,0))="","Cell will autofill based on response",INDEX('CI&amp;S'!$L$10:$L$14,MATCH($F125,'CI&amp;S'!$B$10:$B$14,0))),"N/A")</f>
        <v/>
      </c>
      <c r="M125" s="25">
        <f>IFERROR(IF(INDEX('CI&amp;S'!$L$22:$L$38,MATCH($F125,'CI&amp;S'!$B$22:$B$38,0))="","Cell will autofill based on response",INDEX('CI&amp;S'!$L$22:$L$38,MATCH($F125,'CI&amp;S'!$B$22:$B$38,0))),"N/A")</f>
        <v/>
      </c>
      <c r="N125" s="25">
        <f>IFERROR(IF(INDEX('CFOG'!$L$10:$L$15,MATCH($F125,'CFOG'!$B$10:$B$15,0))="","Cell will autofill based on response",INDEX('CFOG'!$L$10:$L$15,MATCH($F125,'CFOG'!$B$10:$B$15,0))),"N/A")</f>
        <v/>
      </c>
      <c r="O125" s="25">
        <f>IFERROR(IF(INDEX('CFOG'!$L$23:$L$23,MATCH($F125,'CFOG'!$B$23:$B$23,0))="","Cell will autofill based on response",INDEX('CFOG'!$L$23:$L$23,MATCH($F125,'CFOG'!$B$23:$B$23,0))),"N/A")</f>
        <v/>
      </c>
      <c r="P125" s="25">
        <f>IFERROR(IF(INDEX('ESG'!$L$10:$L$16,MATCH($F125,'ESG'!$B$10:$B$16,0))="","Cell will autofill based on response",INDEX('ESG'!$L$10:$L$16,MATCH($F125,'ESG'!$B$10:$B$16,0))),"N/A")</f>
        <v/>
      </c>
      <c r="Q125" s="25">
        <f>IFERROR(IF(INDEX('CIOG'!$L$10:$L$13,MATCH($F125,'CIOG'!$B$10:$B$13,0))="","Cell will autofill based on response",INDEX('CIOG'!$L$10:$L$13,MATCH($F125,'CIOG'!$B$10:$B$13,0))),"N/A")</f>
        <v/>
      </c>
      <c r="R125" s="25">
        <f>IFERROR(IF(INDEX('MRE'!$L$10:$L$11,MATCH($F125,'MRE'!$B$10:$B$11,0))="","Cell will autofill based on response",INDEX('MRE'!$L$10:$L$11,MATCH($F125,'MRE'!$B$10:$B$11,0))),"N/A")</f>
        <v/>
      </c>
      <c r="T125" s="26">
        <f>COUNTIF($H125:$R125,"Cell will autofill based on response")</f>
        <v/>
      </c>
      <c r="U125" s="26">
        <f>COUNTIF($H125:$R125,"Not yet started")</f>
        <v/>
      </c>
      <c r="V125" s="26">
        <f>COUNTIF($H125:$R125,"Not met")</f>
        <v/>
      </c>
      <c r="W125" s="26">
        <f>COUNTIF($H125:$R125,"Partially met")</f>
        <v/>
      </c>
      <c r="X125" s="26">
        <f>COUNTIF($H125:$R125,"Met or exceeded")</f>
        <v/>
      </c>
      <c r="Y125" s="26">
        <f>3*X125+2*W125+V125</f>
        <v/>
      </c>
      <c r="Z125" s="26">
        <f>X125+W125+V125+U125</f>
        <v/>
      </c>
      <c r="AA125" s="27">
        <f>IF(Z125&gt;0,Y125/Z125,"No valid responses to date")</f>
        <v/>
      </c>
      <c r="AB125" s="26">
        <f>IF(ISNUMBER(AA125),INDEX(Lists!$G$2:$G$5,MATCH(ROUND(AA125,0),Lists!$H$2:$H$5,0)),"")</f>
        <v/>
      </c>
      <c r="AC125" s="28">
        <f>IF(Z125&gt;0,X125/Z125,"")</f>
        <v/>
      </c>
      <c r="AD125" s="28">
        <f>IF(Z125&gt;0,(X125+W125)/Z125,"")</f>
        <v/>
      </c>
      <c r="AE125" s="26">
        <f>IF(Z125=0,"",IF(AC125&gt;0.75,"Met or exceeded",IF(AD125&gt;=0.5,"Partially met","Not met")))</f>
        <v/>
      </c>
    </row>
    <row r="126">
      <c r="A126">
        <f>F126&amp;"|"&amp;G126</f>
        <v/>
      </c>
      <c r="B126" s="29" t="inlineStr"/>
      <c r="C126" s="8" t="inlineStr"/>
      <c r="D126" s="8" t="inlineStr"/>
      <c r="E126" s="8" t="inlineStr"/>
      <c r="F126" s="8" t="inlineStr">
        <is>
          <t>CL2(a)</t>
        </is>
      </c>
      <c r="G126" s="8" t="inlineStr">
        <is>
          <t>OPTION 1:  Target-level reporting</t>
        </is>
      </c>
      <c r="H126" s="25">
        <f>IFERROR(IF(INDEX('Faculties'!$M$10:$M$29,MATCH($F126,'Faculties'!$B$10:$B$29,0))="","Cell will autofill based on response",INDEX('Faculties'!$M$10:$M$29,MATCH($F126,'Faculties'!$B$10:$B$29,0))),"N/A")</f>
        <v/>
      </c>
      <c r="I126" s="25">
        <f>IFERROR(IF(INDEX('Faculties'!$M$37:$M$56,MATCH($F126,'Faculties'!$B$37:$B$56,0))="","Cell will autofill based on response",INDEX('Faculties'!$M$37:$M$56,MATCH($F126,'Faculties'!$B$37:$B$56,0))),"N/A")</f>
        <v/>
      </c>
      <c r="J126" s="25">
        <f>IFERROR(IF(INDEX('Faculties'!$M$64:$M$83,MATCH($F126,'Faculties'!$B$64:$B$83,0))="","Cell will autofill based on response",INDEX('Faculties'!$M$64:$M$83,MATCH($F126,'Faculties'!$B$64:$B$83,0))),"N/A")</f>
        <v/>
      </c>
      <c r="K126" s="25">
        <f>IFERROR(IF(INDEX('Faculties'!$M$91:$M$110,MATCH($F126,'Faculties'!$B$91:$B$110,0))="","Cell will autofill based on response",INDEX('Faculties'!$M$91:$M$110,MATCH($F126,'Faculties'!$B$91:$B$110,0))),"N/A")</f>
        <v/>
      </c>
      <c r="L126" s="25">
        <f>IFERROR(IF(INDEX('CI&amp;S'!$M$10:$M$14,MATCH($F126,'CI&amp;S'!$B$10:$B$14,0))="","Cell will autofill based on response",INDEX('CI&amp;S'!$M$10:$M$14,MATCH($F126,'CI&amp;S'!$B$10:$B$14,0))),"N/A")</f>
        <v/>
      </c>
      <c r="M126" s="25">
        <f>IFERROR(IF(INDEX('CI&amp;S'!$M$22:$M$38,MATCH($F126,'CI&amp;S'!$B$22:$B$38,0))="","Cell will autofill based on response",INDEX('CI&amp;S'!$M$22:$M$38,MATCH($F126,'CI&amp;S'!$B$22:$B$38,0))),"N/A")</f>
        <v/>
      </c>
      <c r="N126" s="25">
        <f>IFERROR(IF(INDEX('CFOG'!$M$10:$M$15,MATCH($F126,'CFOG'!$B$10:$B$15,0))="","Cell will autofill based on response",INDEX('CFOG'!$M$10:$M$15,MATCH($F126,'CFOG'!$B$10:$B$15,0))),"N/A")</f>
        <v/>
      </c>
      <c r="O126" s="25">
        <f>IFERROR(IF(INDEX('CFOG'!$M$23:$M$23,MATCH($F126,'CFOG'!$B$23:$B$23,0))="","Cell will autofill based on response",INDEX('CFOG'!$M$23:$M$23,MATCH($F126,'CFOG'!$B$23:$B$23,0))),"N/A")</f>
        <v/>
      </c>
      <c r="P126" s="25">
        <f>IFERROR(IF(INDEX('ESG'!$M$10:$M$16,MATCH($F126,'ESG'!$B$10:$B$16,0))="","Cell will autofill based on response",INDEX('ESG'!$M$10:$M$16,MATCH($F126,'ESG'!$B$10:$B$16,0))),"N/A")</f>
        <v/>
      </c>
      <c r="Q126" s="25">
        <f>IFERROR(IF(INDEX('CIOG'!$M$10:$M$13,MATCH($F126,'CIOG'!$B$10:$B$13,0))="","Cell will autofill based on response",INDEX('CIOG'!$M$10:$M$13,MATCH($F126,'CIOG'!$B$10:$B$13,0))),"N/A")</f>
        <v/>
      </c>
      <c r="R126" s="25">
        <f>IFERROR(IF(INDEX('MRE'!$M$10:$M$11,MATCH($F126,'MRE'!$B$10:$B$11,0))="","Cell will autofill based on response",INDEX('MRE'!$M$10:$M$11,MATCH($F126,'MRE'!$B$10:$B$11,0))),"N/A")</f>
        <v/>
      </c>
    </row>
    <row r="127">
      <c r="A127">
        <f>F127&amp;"|"&amp;G127</f>
        <v/>
      </c>
      <c r="B127" s="29" t="inlineStr"/>
      <c r="C127" s="8" t="inlineStr"/>
      <c r="D127" s="8" t="inlineStr"/>
      <c r="E127" s="8" t="inlineStr"/>
      <c r="F127" s="8" t="inlineStr">
        <is>
          <t>CL2(a)</t>
        </is>
      </c>
      <c r="G127" s="8" t="inlineStr">
        <is>
          <t>OPTION 2:  Indicator level reporting</t>
        </is>
      </c>
      <c r="H127" s="25">
        <f>IFERROR(IF(INDEX('Faculties'!$N$10:$N$29,MATCH($F127,'Faculties'!$B$10:$B$29,0))="","Cell will autofill based on response",INDEX('Faculties'!$N$10:$N$29,MATCH($F127,'Faculties'!$B$10:$B$29,0))),"N/A")</f>
        <v/>
      </c>
      <c r="I127" s="25">
        <f>IFERROR(IF(INDEX('Faculties'!$N$37:$N$56,MATCH($F127,'Faculties'!$B$37:$B$56,0))="","Cell will autofill based on response",INDEX('Faculties'!$N$37:$N$56,MATCH($F127,'Faculties'!$B$37:$B$56,0))),"N/A")</f>
        <v/>
      </c>
      <c r="J127" s="25">
        <f>IFERROR(IF(INDEX('Faculties'!$N$64:$N$83,MATCH($F127,'Faculties'!$B$64:$B$83,0))="","Cell will autofill based on response",INDEX('Faculties'!$N$64:$N$83,MATCH($F127,'Faculties'!$B$64:$B$83,0))),"N/A")</f>
        <v/>
      </c>
      <c r="K127" s="25">
        <f>IFERROR(IF(INDEX('Faculties'!$N$91:$N$110,MATCH($F127,'Faculties'!$B$91:$B$110,0))="","Cell will autofill based on response",INDEX('Faculties'!$N$91:$N$110,MATCH($F127,'Faculties'!$B$91:$B$110,0))),"N/A")</f>
        <v/>
      </c>
      <c r="L127" s="25">
        <f>IFERROR(IF(INDEX('CI&amp;S'!$N$10:$N$14,MATCH($F127,'CI&amp;S'!$B$10:$B$14,0))="","Cell will autofill based on response",INDEX('CI&amp;S'!$N$10:$N$14,MATCH($F127,'CI&amp;S'!$B$10:$B$14,0))),"N/A")</f>
        <v/>
      </c>
      <c r="M127" s="25">
        <f>IFERROR(IF(INDEX('CI&amp;S'!$N$22:$N$38,MATCH($F127,'CI&amp;S'!$B$22:$B$38,0))="","Cell will autofill based on response",INDEX('CI&amp;S'!$N$22:$N$38,MATCH($F127,'CI&amp;S'!$B$22:$B$38,0))),"N/A")</f>
        <v/>
      </c>
      <c r="N127" s="25">
        <f>IFERROR(IF(INDEX('CFOG'!$N$10:$N$15,MATCH($F127,'CFOG'!$B$10:$B$15,0))="","Cell will autofill based on response",INDEX('CFOG'!$N$10:$N$15,MATCH($F127,'CFOG'!$B$10:$B$15,0))),"N/A")</f>
        <v/>
      </c>
      <c r="O127" s="25">
        <f>IFERROR(IF(INDEX('CFOG'!$N$23:$N$23,MATCH($F127,'CFOG'!$B$23:$B$23,0))="","Cell will autofill based on response",INDEX('CFOG'!$N$23:$N$23,MATCH($F127,'CFOG'!$B$23:$B$23,0))),"N/A")</f>
        <v/>
      </c>
      <c r="P127" s="25">
        <f>IFERROR(IF(INDEX('ESG'!$N$10:$N$16,MATCH($F127,'ESG'!$B$10:$B$16,0))="","Cell will autofill based on response",INDEX('ESG'!$N$10:$N$16,MATCH($F127,'ESG'!$B$10:$B$16,0))),"N/A")</f>
        <v/>
      </c>
      <c r="Q127" s="25">
        <f>IFERROR(IF(INDEX('CIOG'!$N$10:$N$13,MATCH($F127,'CIOG'!$B$10:$B$13,0))="","Cell will autofill based on response",INDEX('CIOG'!$N$10:$N$13,MATCH($F127,'CIOG'!$B$10:$B$13,0))),"N/A")</f>
        <v/>
      </c>
      <c r="R127" s="25">
        <f>IFERROR(IF(INDEX('MRE'!$N$10:$N$11,MATCH($F127,'MRE'!$B$10:$B$11,0))="","Cell will autofill based on response",INDEX('MRE'!$N$10:$N$11,MATCH($F127,'MRE'!$B$10:$B$11,0))),"N/A")</f>
        <v/>
      </c>
    </row>
    <row r="128">
      <c r="A128">
        <f>F128&amp;"|"&amp;G128</f>
        <v/>
      </c>
      <c r="B128" s="29" t="inlineStr"/>
      <c r="C128" s="8" t="inlineStr"/>
      <c r="D128" s="8" t="inlineStr"/>
      <c r="E128" s="8" t="inlineStr"/>
      <c r="F128" s="8" t="inlineStr">
        <is>
          <t>CL2(a)</t>
        </is>
      </c>
      <c r="G128" s="8" t="inlineStr">
        <is>
          <t>Supporting information/comments</t>
        </is>
      </c>
      <c r="H128" s="25">
        <f>IFERROR(IF(INDEX('Faculties'!$O$10:$O$29,MATCH($F128,'Faculties'!$B$10:$B$29,0))="","Cell will autofill based on response",INDEX('Faculties'!$O$10:$O$29,MATCH($F128,'Faculties'!$B$10:$B$29,0))),"N/A")</f>
        <v/>
      </c>
      <c r="I128" s="25">
        <f>IFERROR(IF(INDEX('Faculties'!$O$37:$O$56,MATCH($F128,'Faculties'!$B$37:$B$56,0))="","Cell will autofill based on response",INDEX('Faculties'!$O$37:$O$56,MATCH($F128,'Faculties'!$B$37:$B$56,0))),"N/A")</f>
        <v/>
      </c>
      <c r="J128" s="25">
        <f>IFERROR(IF(INDEX('Faculties'!$O$64:$O$83,MATCH($F128,'Faculties'!$B$64:$B$83,0))="","Cell will autofill based on response",INDEX('Faculties'!$O$64:$O$83,MATCH($F128,'Faculties'!$B$64:$B$83,0))),"N/A")</f>
        <v/>
      </c>
      <c r="K128" s="25">
        <f>IFERROR(IF(INDEX('Faculties'!$O$91:$O$110,MATCH($F128,'Faculties'!$B$91:$B$110,0))="","Cell will autofill based on response",INDEX('Faculties'!$O$91:$O$110,MATCH($F128,'Faculties'!$B$91:$B$110,0))),"N/A")</f>
        <v/>
      </c>
      <c r="L128" s="25">
        <f>IFERROR(IF(INDEX('CI&amp;S'!$O$10:$O$14,MATCH($F128,'CI&amp;S'!$B$10:$B$14,0))="","Cell will autofill based on response",INDEX('CI&amp;S'!$O$10:$O$14,MATCH($F128,'CI&amp;S'!$B$10:$B$14,0))),"N/A")</f>
        <v/>
      </c>
      <c r="M128" s="25">
        <f>IFERROR(IF(INDEX('CI&amp;S'!$O$22:$O$38,MATCH($F128,'CI&amp;S'!$B$22:$B$38,0))="","Cell will autofill based on response",INDEX('CI&amp;S'!$O$22:$O$38,MATCH($F128,'CI&amp;S'!$B$22:$B$38,0))),"N/A")</f>
        <v/>
      </c>
      <c r="N128" s="25">
        <f>IFERROR(IF(INDEX('CFOG'!$O$10:$O$15,MATCH($F128,'CFOG'!$B$10:$B$15,0))="","Cell will autofill based on response",INDEX('CFOG'!$O$10:$O$15,MATCH($F128,'CFOG'!$B$10:$B$15,0))),"N/A")</f>
        <v/>
      </c>
      <c r="O128" s="25">
        <f>IFERROR(IF(INDEX('CFOG'!$O$23:$O$23,MATCH($F128,'CFOG'!$B$23:$B$23,0))="","Cell will autofill based on response",INDEX('CFOG'!$O$23:$O$23,MATCH($F128,'CFOG'!$B$23:$B$23,0))),"N/A")</f>
        <v/>
      </c>
      <c r="P128" s="25">
        <f>IFERROR(IF(INDEX('ESG'!$O$10:$O$16,MATCH($F128,'ESG'!$B$10:$B$16,0))="","Cell will autofill based on response",INDEX('ESG'!$O$10:$O$16,MATCH($F128,'ESG'!$B$10:$B$16,0))),"N/A")</f>
        <v/>
      </c>
      <c r="Q128" s="25">
        <f>IFERROR(IF(INDEX('CIOG'!$O$10:$O$13,MATCH($F128,'CIOG'!$B$10:$B$13,0))="","Cell will autofill based on response",INDEX('CIOG'!$O$10:$O$13,MATCH($F128,'CIOG'!$B$10:$B$13,0))),"N/A")</f>
        <v/>
      </c>
      <c r="R128" s="25">
        <f>IFERROR(IF(INDEX('MRE'!$O$10:$O$11,MATCH($F128,'MRE'!$B$10:$B$11,0))="","Cell will autofill based on response",INDEX('MRE'!$O$10:$O$11,MATCH($F128,'MRE'!$B$10:$B$11,0))),"N/A")</f>
        <v/>
      </c>
    </row>
    <row r="129">
      <c r="A129">
        <f>F129&amp;"|"&amp;G129</f>
        <v/>
      </c>
      <c r="B129" s="29" t="inlineStr"/>
      <c r="C129" s="8" t="inlineStr"/>
      <c r="D129" s="8" t="inlineStr"/>
      <c r="E129" s="8" t="inlineStr"/>
      <c r="F129" s="8" t="inlineStr">
        <is>
          <t>CL2(a)</t>
        </is>
      </c>
      <c r="G129" s="8" t="inlineStr">
        <is>
          <t>Data source and limitations</t>
        </is>
      </c>
      <c r="H129" s="25">
        <f>IFERROR(IF(INDEX('Faculties'!$P$10:$P$29,MATCH($F129,'Faculties'!$B$10:$B$29,0))="","Cell will autofill based on response",INDEX('Faculties'!$P$10:$P$29,MATCH($F129,'Faculties'!$B$10:$B$29,0))),"N/A")</f>
        <v/>
      </c>
      <c r="I129" s="25">
        <f>IFERROR(IF(INDEX('Faculties'!$P$37:$P$56,MATCH($F129,'Faculties'!$B$37:$B$56,0))="","Cell will autofill based on response",INDEX('Faculties'!$P$37:$P$56,MATCH($F129,'Faculties'!$B$37:$B$56,0))),"N/A")</f>
        <v/>
      </c>
      <c r="J129" s="25">
        <f>IFERROR(IF(INDEX('Faculties'!$P$64:$P$83,MATCH($F129,'Faculties'!$B$64:$B$83,0))="","Cell will autofill based on response",INDEX('Faculties'!$P$64:$P$83,MATCH($F129,'Faculties'!$B$64:$B$83,0))),"N/A")</f>
        <v/>
      </c>
      <c r="K129" s="25">
        <f>IFERROR(IF(INDEX('Faculties'!$P$91:$P$110,MATCH($F129,'Faculties'!$B$91:$B$110,0))="","Cell will autofill based on response",INDEX('Faculties'!$P$91:$P$110,MATCH($F129,'Faculties'!$B$91:$B$110,0))),"N/A")</f>
        <v/>
      </c>
      <c r="L129" s="25">
        <f>IFERROR(IF(INDEX('CI&amp;S'!$P$10:$P$14,MATCH($F129,'CI&amp;S'!$B$10:$B$14,0))="","Cell will autofill based on response",INDEX('CI&amp;S'!$P$10:$P$14,MATCH($F129,'CI&amp;S'!$B$10:$B$14,0))),"N/A")</f>
        <v/>
      </c>
      <c r="M129" s="25">
        <f>IFERROR(IF(INDEX('CI&amp;S'!$P$22:$P$38,MATCH($F129,'CI&amp;S'!$B$22:$B$38,0))="","Cell will autofill based on response",INDEX('CI&amp;S'!$P$22:$P$38,MATCH($F129,'CI&amp;S'!$B$22:$B$38,0))),"N/A")</f>
        <v/>
      </c>
      <c r="N129" s="25">
        <f>IFERROR(IF(INDEX('CFOG'!$P$10:$P$15,MATCH($F129,'CFOG'!$B$10:$B$15,0))="","Cell will autofill based on response",INDEX('CFOG'!$P$10:$P$15,MATCH($F129,'CFOG'!$B$10:$B$15,0))),"N/A")</f>
        <v/>
      </c>
      <c r="O129" s="25">
        <f>IFERROR(IF(INDEX('CFOG'!$P$23:$P$23,MATCH($F129,'CFOG'!$B$23:$B$23,0))="","Cell will autofill based on response",INDEX('CFOG'!$P$23:$P$23,MATCH($F129,'CFOG'!$B$23:$B$23,0))),"N/A")</f>
        <v/>
      </c>
      <c r="P129" s="25">
        <f>IFERROR(IF(INDEX('ESG'!$P$10:$P$16,MATCH($F129,'ESG'!$B$10:$B$16,0))="","Cell will autofill based on response",INDEX('ESG'!$P$10:$P$16,MATCH($F129,'ESG'!$B$10:$B$16,0))),"N/A")</f>
        <v/>
      </c>
      <c r="Q129" s="25">
        <f>IFERROR(IF(INDEX('CIOG'!$P$10:$P$13,MATCH($F129,'CIOG'!$B$10:$B$13,0))="","Cell will autofill based on response",INDEX('CIOG'!$P$10:$P$13,MATCH($F129,'CIOG'!$B$10:$B$13,0))),"N/A")</f>
        <v/>
      </c>
      <c r="R129" s="25">
        <f>IFERROR(IF(INDEX('MRE'!$P$10:$P$11,MATCH($F129,'MRE'!$B$10:$B$11,0))="","Cell will autofill based on response",INDEX('MRE'!$P$10:$P$11,MATCH($F129,'MRE'!$B$10:$B$11,0))),"N/A")</f>
        <v/>
      </c>
    </row>
    <row r="130">
      <c r="A130">
        <f>F130&amp;"|"&amp;G130</f>
        <v/>
      </c>
      <c r="B130" s="29" t="inlineStr"/>
      <c r="C130" s="8" t="inlineStr"/>
      <c r="D130" s="8" t="inlineStr"/>
      <c r="E130" s="8" t="inlineStr"/>
      <c r="F130" s="8" t="inlineStr">
        <is>
          <t>CL2(a)</t>
        </is>
      </c>
      <c r="G130" s="8" t="inlineStr">
        <is>
          <t>Data owner confirms</t>
        </is>
      </c>
      <c r="H130" s="25">
        <f>IFERROR(IF(INDEX('Faculties'!$Q$10:$Q$29,MATCH($F130,'Faculties'!$B$10:$B$29,0))="","Cell will autofill based on response",INDEX('Faculties'!$Q$10:$Q$29,MATCH($F130,'Faculties'!$B$10:$B$29,0))),"N/A")</f>
        <v/>
      </c>
      <c r="I130" s="25">
        <f>IFERROR(IF(INDEX('Faculties'!$Q$37:$Q$56,MATCH($F130,'Faculties'!$B$37:$B$56,0))="","Cell will autofill based on response",INDEX('Faculties'!$Q$37:$Q$56,MATCH($F130,'Faculties'!$B$37:$B$56,0))),"N/A")</f>
        <v/>
      </c>
      <c r="J130" s="25">
        <f>IFERROR(IF(INDEX('Faculties'!$Q$64:$Q$83,MATCH($F130,'Faculties'!$B$64:$B$83,0))="","Cell will autofill based on response",INDEX('Faculties'!$Q$64:$Q$83,MATCH($F130,'Faculties'!$B$64:$B$83,0))),"N/A")</f>
        <v/>
      </c>
      <c r="K130" s="25">
        <f>IFERROR(IF(INDEX('Faculties'!$Q$91:$Q$110,MATCH($F130,'Faculties'!$B$91:$B$110,0))="","Cell will autofill based on response",INDEX('Faculties'!$Q$91:$Q$110,MATCH($F130,'Faculties'!$B$91:$B$110,0))),"N/A")</f>
        <v/>
      </c>
      <c r="L130" s="25">
        <f>IFERROR(IF(INDEX('CI&amp;S'!$Q$10:$Q$14,MATCH($F130,'CI&amp;S'!$B$10:$B$14,0))="","Cell will autofill based on response",INDEX('CI&amp;S'!$Q$10:$Q$14,MATCH($F130,'CI&amp;S'!$B$10:$B$14,0))),"N/A")</f>
        <v/>
      </c>
      <c r="M130" s="25">
        <f>IFERROR(IF(INDEX('CI&amp;S'!$Q$22:$Q$38,MATCH($F130,'CI&amp;S'!$B$22:$B$38,0))="","Cell will autofill based on response",INDEX('CI&amp;S'!$Q$22:$Q$38,MATCH($F130,'CI&amp;S'!$B$22:$B$38,0))),"N/A")</f>
        <v/>
      </c>
      <c r="N130" s="25">
        <f>IFERROR(IF(INDEX('CFOG'!$Q$10:$Q$15,MATCH($F130,'CFOG'!$B$10:$B$15,0))="","Cell will autofill based on response",INDEX('CFOG'!$Q$10:$Q$15,MATCH($F130,'CFOG'!$B$10:$B$15,0))),"N/A")</f>
        <v/>
      </c>
      <c r="O130" s="25">
        <f>IFERROR(IF(INDEX('CFOG'!$Q$23:$Q$23,MATCH($F130,'CFOG'!$B$23:$B$23,0))="","Cell will autofill based on response",INDEX('CFOG'!$Q$23:$Q$23,MATCH($F130,'CFOG'!$B$23:$B$23,0))),"N/A")</f>
        <v/>
      </c>
      <c r="P130" s="25">
        <f>IFERROR(IF(INDEX('ESG'!$Q$10:$Q$16,MATCH($F130,'ESG'!$B$10:$B$16,0))="","Cell will autofill based on response",INDEX('ESG'!$Q$10:$Q$16,MATCH($F130,'ESG'!$B$10:$B$16,0))),"N/A")</f>
        <v/>
      </c>
      <c r="Q130" s="25">
        <f>IFERROR(IF(INDEX('CIOG'!$Q$10:$Q$13,MATCH($F130,'CIOG'!$B$10:$B$13,0))="","Cell will autofill based on response",INDEX('CIOG'!$Q$10:$Q$13,MATCH($F130,'CIOG'!$B$10:$B$13,0))),"N/A")</f>
        <v/>
      </c>
      <c r="R130" s="25">
        <f>IFERROR(IF(INDEX('MRE'!$Q$10:$Q$11,MATCH($F130,'MRE'!$B$10:$B$11,0))="","Cell will autofill based on response",INDEX('MRE'!$Q$10:$Q$11,MATCH($F130,'MRE'!$B$10:$B$11,0))),"N/A")</f>
        <v/>
      </c>
    </row>
    <row r="131">
      <c r="A131">
        <f>F131&amp;"|"&amp;G131</f>
        <v/>
      </c>
      <c r="B131" s="7" t="inlineStr">
        <is>
          <t>CL2(b)</t>
        </is>
      </c>
      <c r="C131" s="12" t="inlineStr">
        <is>
          <t>Climate leadership</t>
        </is>
      </c>
      <c r="D131" s="12" t="inlineStr">
        <is>
          <t>Prioritised pipeline of decarbonisation focused research and education opportunities aligned with University emissions reduction priorities from 2028</t>
        </is>
      </c>
      <c r="E131" s="12" t="inlineStr">
        <is>
          <t>Number of pipelined projects or research transitioned from opportunity to active per year</t>
        </is>
      </c>
      <c r="F131" s="12" t="inlineStr">
        <is>
          <t>CL2(b)</t>
        </is>
      </c>
      <c r="G131" s="12" t="inlineStr">
        <is>
          <t>Confirm end-2026 target status</t>
        </is>
      </c>
      <c r="H131" s="25">
        <f>IFERROR(IF(INDEX('Faculties'!$L$10:$L$29,MATCH($F131,'Faculties'!$B$10:$B$29,0))="","Cell will autofill based on response",INDEX('Faculties'!$L$10:$L$29,MATCH($F131,'Faculties'!$B$10:$B$29,0))),"N/A")</f>
        <v/>
      </c>
      <c r="I131" s="25">
        <f>IFERROR(IF(INDEX('Faculties'!$L$37:$L$56,MATCH($F131,'Faculties'!$B$37:$B$56,0))="","Cell will autofill based on response",INDEX('Faculties'!$L$37:$L$56,MATCH($F131,'Faculties'!$B$37:$B$56,0))),"N/A")</f>
        <v/>
      </c>
      <c r="J131" s="25">
        <f>IFERROR(IF(INDEX('Faculties'!$L$64:$L$83,MATCH($F131,'Faculties'!$B$64:$B$83,0))="","Cell will autofill based on response",INDEX('Faculties'!$L$64:$L$83,MATCH($F131,'Faculties'!$B$64:$B$83,0))),"N/A")</f>
        <v/>
      </c>
      <c r="K131" s="25">
        <f>IFERROR(IF(INDEX('Faculties'!$L$91:$L$110,MATCH($F131,'Faculties'!$B$91:$B$110,0))="","Cell will autofill based on response",INDEX('Faculties'!$L$91:$L$110,MATCH($F131,'Faculties'!$B$91:$B$110,0))),"N/A")</f>
        <v/>
      </c>
      <c r="L131" s="25">
        <f>IFERROR(IF(INDEX('CI&amp;S'!$L$10:$L$14,MATCH($F131,'CI&amp;S'!$B$10:$B$14,0))="","Cell will autofill based on response",INDEX('CI&amp;S'!$L$10:$L$14,MATCH($F131,'CI&amp;S'!$B$10:$B$14,0))),"N/A")</f>
        <v/>
      </c>
      <c r="M131" s="25">
        <f>IFERROR(IF(INDEX('CI&amp;S'!$L$22:$L$38,MATCH($F131,'CI&amp;S'!$B$22:$B$38,0))="","Cell will autofill based on response",INDEX('CI&amp;S'!$L$22:$L$38,MATCH($F131,'CI&amp;S'!$B$22:$B$38,0))),"N/A")</f>
        <v/>
      </c>
      <c r="N131" s="25">
        <f>IFERROR(IF(INDEX('CFOG'!$L$10:$L$15,MATCH($F131,'CFOG'!$B$10:$B$15,0))="","Cell will autofill based on response",INDEX('CFOG'!$L$10:$L$15,MATCH($F131,'CFOG'!$B$10:$B$15,0))),"N/A")</f>
        <v/>
      </c>
      <c r="O131" s="25">
        <f>IFERROR(IF(INDEX('CFOG'!$L$23:$L$23,MATCH($F131,'CFOG'!$B$23:$B$23,0))="","Cell will autofill based on response",INDEX('CFOG'!$L$23:$L$23,MATCH($F131,'CFOG'!$B$23:$B$23,0))),"N/A")</f>
        <v/>
      </c>
      <c r="P131" s="25">
        <f>IFERROR(IF(INDEX('ESG'!$L$10:$L$16,MATCH($F131,'ESG'!$B$10:$B$16,0))="","Cell will autofill based on response",INDEX('ESG'!$L$10:$L$16,MATCH($F131,'ESG'!$B$10:$B$16,0))),"N/A")</f>
        <v/>
      </c>
      <c r="Q131" s="25">
        <f>IFERROR(IF(INDEX('CIOG'!$L$10:$L$13,MATCH($F131,'CIOG'!$B$10:$B$13,0))="","Cell will autofill based on response",INDEX('CIOG'!$L$10:$L$13,MATCH($F131,'CIOG'!$B$10:$B$13,0))),"N/A")</f>
        <v/>
      </c>
      <c r="R131" s="25">
        <f>IFERROR(IF(INDEX('MRE'!$L$10:$L$11,MATCH($F131,'MRE'!$B$10:$B$11,0))="","Cell will autofill based on response",INDEX('MRE'!$L$10:$L$11,MATCH($F131,'MRE'!$B$10:$B$11,0))),"N/A")</f>
        <v/>
      </c>
      <c r="T131" s="26">
        <f>COUNTIF($H131:$R131,"Cell will autofill based on response")</f>
        <v/>
      </c>
      <c r="U131" s="26">
        <f>COUNTIF($H131:$R131,"Not yet started")</f>
        <v/>
      </c>
      <c r="V131" s="26">
        <f>COUNTIF($H131:$R131,"Not met")</f>
        <v/>
      </c>
      <c r="W131" s="26">
        <f>COUNTIF($H131:$R131,"Partially met")</f>
        <v/>
      </c>
      <c r="X131" s="26">
        <f>COUNTIF($H131:$R131,"Met or exceeded")</f>
        <v/>
      </c>
      <c r="Y131" s="26">
        <f>3*X131+2*W131+V131</f>
        <v/>
      </c>
      <c r="Z131" s="26">
        <f>X131+W131+V131+U131</f>
        <v/>
      </c>
      <c r="AA131" s="27">
        <f>IF(Z131&gt;0,Y131/Z131,"No valid responses to date")</f>
        <v/>
      </c>
      <c r="AB131" s="26">
        <f>IF(ISNUMBER(AA131),INDEX(Lists!$G$2:$G$5,MATCH(ROUND(AA131,0),Lists!$H$2:$H$5,0)),"")</f>
        <v/>
      </c>
      <c r="AC131" s="28">
        <f>IF(Z131&gt;0,X131/Z131,"")</f>
        <v/>
      </c>
      <c r="AD131" s="28">
        <f>IF(Z131&gt;0,(X131+W131)/Z131,"")</f>
        <v/>
      </c>
      <c r="AE131" s="26">
        <f>IF(Z131=0,"",IF(AC131&gt;0.75,"Met or exceeded",IF(AD131&gt;=0.5,"Partially met","Not met")))</f>
        <v/>
      </c>
    </row>
    <row r="132">
      <c r="A132">
        <f>F132&amp;"|"&amp;G132</f>
        <v/>
      </c>
      <c r="B132" s="29" t="inlineStr"/>
      <c r="C132" s="8" t="inlineStr"/>
      <c r="D132" s="8" t="inlineStr"/>
      <c r="E132" s="8" t="inlineStr"/>
      <c r="F132" s="8" t="inlineStr">
        <is>
          <t>CL2(b)</t>
        </is>
      </c>
      <c r="G132" s="8" t="inlineStr">
        <is>
          <t>OPTION 1:  Target-level reporting</t>
        </is>
      </c>
      <c r="H132" s="25">
        <f>IFERROR(IF(INDEX('Faculties'!$M$10:$M$29,MATCH($F132,'Faculties'!$B$10:$B$29,0))="","Cell will autofill based on response",INDEX('Faculties'!$M$10:$M$29,MATCH($F132,'Faculties'!$B$10:$B$29,0))),"N/A")</f>
        <v/>
      </c>
      <c r="I132" s="25">
        <f>IFERROR(IF(INDEX('Faculties'!$M$37:$M$56,MATCH($F132,'Faculties'!$B$37:$B$56,0))="","Cell will autofill based on response",INDEX('Faculties'!$M$37:$M$56,MATCH($F132,'Faculties'!$B$37:$B$56,0))),"N/A")</f>
        <v/>
      </c>
      <c r="J132" s="25">
        <f>IFERROR(IF(INDEX('Faculties'!$M$64:$M$83,MATCH($F132,'Faculties'!$B$64:$B$83,0))="","Cell will autofill based on response",INDEX('Faculties'!$M$64:$M$83,MATCH($F132,'Faculties'!$B$64:$B$83,0))),"N/A")</f>
        <v/>
      </c>
      <c r="K132" s="25">
        <f>IFERROR(IF(INDEX('Faculties'!$M$91:$M$110,MATCH($F132,'Faculties'!$B$91:$B$110,0))="","Cell will autofill based on response",INDEX('Faculties'!$M$91:$M$110,MATCH($F132,'Faculties'!$B$91:$B$110,0))),"N/A")</f>
        <v/>
      </c>
      <c r="L132" s="25">
        <f>IFERROR(IF(INDEX('CI&amp;S'!$M$10:$M$14,MATCH($F132,'CI&amp;S'!$B$10:$B$14,0))="","Cell will autofill based on response",INDEX('CI&amp;S'!$M$10:$M$14,MATCH($F132,'CI&amp;S'!$B$10:$B$14,0))),"N/A")</f>
        <v/>
      </c>
      <c r="M132" s="25">
        <f>IFERROR(IF(INDEX('CI&amp;S'!$M$22:$M$38,MATCH($F132,'CI&amp;S'!$B$22:$B$38,0))="","Cell will autofill based on response",INDEX('CI&amp;S'!$M$22:$M$38,MATCH($F132,'CI&amp;S'!$B$22:$B$38,0))),"N/A")</f>
        <v/>
      </c>
      <c r="N132" s="25">
        <f>IFERROR(IF(INDEX('CFOG'!$M$10:$M$15,MATCH($F132,'CFOG'!$B$10:$B$15,0))="","Cell will autofill based on response",INDEX('CFOG'!$M$10:$M$15,MATCH($F132,'CFOG'!$B$10:$B$15,0))),"N/A")</f>
        <v/>
      </c>
      <c r="O132" s="25">
        <f>IFERROR(IF(INDEX('CFOG'!$M$23:$M$23,MATCH($F132,'CFOG'!$B$23:$B$23,0))="","Cell will autofill based on response",INDEX('CFOG'!$M$23:$M$23,MATCH($F132,'CFOG'!$B$23:$B$23,0))),"N/A")</f>
        <v/>
      </c>
      <c r="P132" s="25">
        <f>IFERROR(IF(INDEX('ESG'!$M$10:$M$16,MATCH($F132,'ESG'!$B$10:$B$16,0))="","Cell will autofill based on response",INDEX('ESG'!$M$10:$M$16,MATCH($F132,'ESG'!$B$10:$B$16,0))),"N/A")</f>
        <v/>
      </c>
      <c r="Q132" s="25">
        <f>IFERROR(IF(INDEX('CIOG'!$M$10:$M$13,MATCH($F132,'CIOG'!$B$10:$B$13,0))="","Cell will autofill based on response",INDEX('CIOG'!$M$10:$M$13,MATCH($F132,'CIOG'!$B$10:$B$13,0))),"N/A")</f>
        <v/>
      </c>
      <c r="R132" s="25">
        <f>IFERROR(IF(INDEX('MRE'!$M$10:$M$11,MATCH($F132,'MRE'!$B$10:$B$11,0))="","Cell will autofill based on response",INDEX('MRE'!$M$10:$M$11,MATCH($F132,'MRE'!$B$10:$B$11,0))),"N/A")</f>
        <v/>
      </c>
    </row>
    <row r="133">
      <c r="A133">
        <f>F133&amp;"|"&amp;G133</f>
        <v/>
      </c>
      <c r="B133" s="29" t="inlineStr"/>
      <c r="C133" s="8" t="inlineStr"/>
      <c r="D133" s="8" t="inlineStr"/>
      <c r="E133" s="8" t="inlineStr"/>
      <c r="F133" s="8" t="inlineStr">
        <is>
          <t>CL2(b)</t>
        </is>
      </c>
      <c r="G133" s="8" t="inlineStr">
        <is>
          <t>OPTION 2:  Indicator level reporting</t>
        </is>
      </c>
      <c r="H133" s="25">
        <f>IFERROR(IF(INDEX('Faculties'!$N$10:$N$29,MATCH($F133,'Faculties'!$B$10:$B$29,0))="","Cell will autofill based on response",INDEX('Faculties'!$N$10:$N$29,MATCH($F133,'Faculties'!$B$10:$B$29,0))),"N/A")</f>
        <v/>
      </c>
      <c r="I133" s="25">
        <f>IFERROR(IF(INDEX('Faculties'!$N$37:$N$56,MATCH($F133,'Faculties'!$B$37:$B$56,0))="","Cell will autofill based on response",INDEX('Faculties'!$N$37:$N$56,MATCH($F133,'Faculties'!$B$37:$B$56,0))),"N/A")</f>
        <v/>
      </c>
      <c r="J133" s="25">
        <f>IFERROR(IF(INDEX('Faculties'!$N$64:$N$83,MATCH($F133,'Faculties'!$B$64:$B$83,0))="","Cell will autofill based on response",INDEX('Faculties'!$N$64:$N$83,MATCH($F133,'Faculties'!$B$64:$B$83,0))),"N/A")</f>
        <v/>
      </c>
      <c r="K133" s="25">
        <f>IFERROR(IF(INDEX('Faculties'!$N$91:$N$110,MATCH($F133,'Faculties'!$B$91:$B$110,0))="","Cell will autofill based on response",INDEX('Faculties'!$N$91:$N$110,MATCH($F133,'Faculties'!$B$91:$B$110,0))),"N/A")</f>
        <v/>
      </c>
      <c r="L133" s="25">
        <f>IFERROR(IF(INDEX('CI&amp;S'!$N$10:$N$14,MATCH($F133,'CI&amp;S'!$B$10:$B$14,0))="","Cell will autofill based on response",INDEX('CI&amp;S'!$N$10:$N$14,MATCH($F133,'CI&amp;S'!$B$10:$B$14,0))),"N/A")</f>
        <v/>
      </c>
      <c r="M133" s="25">
        <f>IFERROR(IF(INDEX('CI&amp;S'!$N$22:$N$38,MATCH($F133,'CI&amp;S'!$B$22:$B$38,0))="","Cell will autofill based on response",INDEX('CI&amp;S'!$N$22:$N$38,MATCH($F133,'CI&amp;S'!$B$22:$B$38,0))),"N/A")</f>
        <v/>
      </c>
      <c r="N133" s="25">
        <f>IFERROR(IF(INDEX('CFOG'!$N$10:$N$15,MATCH($F133,'CFOG'!$B$10:$B$15,0))="","Cell will autofill based on response",INDEX('CFOG'!$N$10:$N$15,MATCH($F133,'CFOG'!$B$10:$B$15,0))),"N/A")</f>
        <v/>
      </c>
      <c r="O133" s="25">
        <f>IFERROR(IF(INDEX('CFOG'!$N$23:$N$23,MATCH($F133,'CFOG'!$B$23:$B$23,0))="","Cell will autofill based on response",INDEX('CFOG'!$N$23:$N$23,MATCH($F133,'CFOG'!$B$23:$B$23,0))),"N/A")</f>
        <v/>
      </c>
      <c r="P133" s="25">
        <f>IFERROR(IF(INDEX('ESG'!$N$10:$N$16,MATCH($F133,'ESG'!$B$10:$B$16,0))="","Cell will autofill based on response",INDEX('ESG'!$N$10:$N$16,MATCH($F133,'ESG'!$B$10:$B$16,0))),"N/A")</f>
        <v/>
      </c>
      <c r="Q133" s="25">
        <f>IFERROR(IF(INDEX('CIOG'!$N$10:$N$13,MATCH($F133,'CIOG'!$B$10:$B$13,0))="","Cell will autofill based on response",INDEX('CIOG'!$N$10:$N$13,MATCH($F133,'CIOG'!$B$10:$B$13,0))),"N/A")</f>
        <v/>
      </c>
      <c r="R133" s="25">
        <f>IFERROR(IF(INDEX('MRE'!$N$10:$N$11,MATCH($F133,'MRE'!$B$10:$B$11,0))="","Cell will autofill based on response",INDEX('MRE'!$N$10:$N$11,MATCH($F133,'MRE'!$B$10:$B$11,0))),"N/A")</f>
        <v/>
      </c>
    </row>
    <row r="134">
      <c r="A134">
        <f>F134&amp;"|"&amp;G134</f>
        <v/>
      </c>
      <c r="B134" s="29" t="inlineStr"/>
      <c r="C134" s="8" t="inlineStr"/>
      <c r="D134" s="8" t="inlineStr"/>
      <c r="E134" s="8" t="inlineStr"/>
      <c r="F134" s="8" t="inlineStr">
        <is>
          <t>CL2(b)</t>
        </is>
      </c>
      <c r="G134" s="8" t="inlineStr">
        <is>
          <t>Supporting information/comments</t>
        </is>
      </c>
      <c r="H134" s="25">
        <f>IFERROR(IF(INDEX('Faculties'!$O$10:$O$29,MATCH($F134,'Faculties'!$B$10:$B$29,0))="","Cell will autofill based on response",INDEX('Faculties'!$O$10:$O$29,MATCH($F134,'Faculties'!$B$10:$B$29,0))),"N/A")</f>
        <v/>
      </c>
      <c r="I134" s="25">
        <f>IFERROR(IF(INDEX('Faculties'!$O$37:$O$56,MATCH($F134,'Faculties'!$B$37:$B$56,0))="","Cell will autofill based on response",INDEX('Faculties'!$O$37:$O$56,MATCH($F134,'Faculties'!$B$37:$B$56,0))),"N/A")</f>
        <v/>
      </c>
      <c r="J134" s="25">
        <f>IFERROR(IF(INDEX('Faculties'!$O$64:$O$83,MATCH($F134,'Faculties'!$B$64:$B$83,0))="","Cell will autofill based on response",INDEX('Faculties'!$O$64:$O$83,MATCH($F134,'Faculties'!$B$64:$B$83,0))),"N/A")</f>
        <v/>
      </c>
      <c r="K134" s="25">
        <f>IFERROR(IF(INDEX('Faculties'!$O$91:$O$110,MATCH($F134,'Faculties'!$B$91:$B$110,0))="","Cell will autofill based on response",INDEX('Faculties'!$O$91:$O$110,MATCH($F134,'Faculties'!$B$91:$B$110,0))),"N/A")</f>
        <v/>
      </c>
      <c r="L134" s="25">
        <f>IFERROR(IF(INDEX('CI&amp;S'!$O$10:$O$14,MATCH($F134,'CI&amp;S'!$B$10:$B$14,0))="","Cell will autofill based on response",INDEX('CI&amp;S'!$O$10:$O$14,MATCH($F134,'CI&amp;S'!$B$10:$B$14,0))),"N/A")</f>
        <v/>
      </c>
      <c r="M134" s="25">
        <f>IFERROR(IF(INDEX('CI&amp;S'!$O$22:$O$38,MATCH($F134,'CI&amp;S'!$B$22:$B$38,0))="","Cell will autofill based on response",INDEX('CI&amp;S'!$O$22:$O$38,MATCH($F134,'CI&amp;S'!$B$22:$B$38,0))),"N/A")</f>
        <v/>
      </c>
      <c r="N134" s="25">
        <f>IFERROR(IF(INDEX('CFOG'!$O$10:$O$15,MATCH($F134,'CFOG'!$B$10:$B$15,0))="","Cell will autofill based on response",INDEX('CFOG'!$O$10:$O$15,MATCH($F134,'CFOG'!$B$10:$B$15,0))),"N/A")</f>
        <v/>
      </c>
      <c r="O134" s="25">
        <f>IFERROR(IF(INDEX('CFOG'!$O$23:$O$23,MATCH($F134,'CFOG'!$B$23:$B$23,0))="","Cell will autofill based on response",INDEX('CFOG'!$O$23:$O$23,MATCH($F134,'CFOG'!$B$23:$B$23,0))),"N/A")</f>
        <v/>
      </c>
      <c r="P134" s="25">
        <f>IFERROR(IF(INDEX('ESG'!$O$10:$O$16,MATCH($F134,'ESG'!$B$10:$B$16,0))="","Cell will autofill based on response",INDEX('ESG'!$O$10:$O$16,MATCH($F134,'ESG'!$B$10:$B$16,0))),"N/A")</f>
        <v/>
      </c>
      <c r="Q134" s="25">
        <f>IFERROR(IF(INDEX('CIOG'!$O$10:$O$13,MATCH($F134,'CIOG'!$B$10:$B$13,0))="","Cell will autofill based on response",INDEX('CIOG'!$O$10:$O$13,MATCH($F134,'CIOG'!$B$10:$B$13,0))),"N/A")</f>
        <v/>
      </c>
      <c r="R134" s="25">
        <f>IFERROR(IF(INDEX('MRE'!$O$10:$O$11,MATCH($F134,'MRE'!$B$10:$B$11,0))="","Cell will autofill based on response",INDEX('MRE'!$O$10:$O$11,MATCH($F134,'MRE'!$B$10:$B$11,0))),"N/A")</f>
        <v/>
      </c>
    </row>
    <row r="135">
      <c r="A135">
        <f>F135&amp;"|"&amp;G135</f>
        <v/>
      </c>
      <c r="B135" s="29" t="inlineStr"/>
      <c r="C135" s="8" t="inlineStr"/>
      <c r="D135" s="8" t="inlineStr"/>
      <c r="E135" s="8" t="inlineStr"/>
      <c r="F135" s="8" t="inlineStr">
        <is>
          <t>CL2(b)</t>
        </is>
      </c>
      <c r="G135" s="8" t="inlineStr">
        <is>
          <t>Data source and limitations</t>
        </is>
      </c>
      <c r="H135" s="25">
        <f>IFERROR(IF(INDEX('Faculties'!$P$10:$P$29,MATCH($F135,'Faculties'!$B$10:$B$29,0))="","Cell will autofill based on response",INDEX('Faculties'!$P$10:$P$29,MATCH($F135,'Faculties'!$B$10:$B$29,0))),"N/A")</f>
        <v/>
      </c>
      <c r="I135" s="25">
        <f>IFERROR(IF(INDEX('Faculties'!$P$37:$P$56,MATCH($F135,'Faculties'!$B$37:$B$56,0))="","Cell will autofill based on response",INDEX('Faculties'!$P$37:$P$56,MATCH($F135,'Faculties'!$B$37:$B$56,0))),"N/A")</f>
        <v/>
      </c>
      <c r="J135" s="25">
        <f>IFERROR(IF(INDEX('Faculties'!$P$64:$P$83,MATCH($F135,'Faculties'!$B$64:$B$83,0))="","Cell will autofill based on response",INDEX('Faculties'!$P$64:$P$83,MATCH($F135,'Faculties'!$B$64:$B$83,0))),"N/A")</f>
        <v/>
      </c>
      <c r="K135" s="25">
        <f>IFERROR(IF(INDEX('Faculties'!$P$91:$P$110,MATCH($F135,'Faculties'!$B$91:$B$110,0))="","Cell will autofill based on response",INDEX('Faculties'!$P$91:$P$110,MATCH($F135,'Faculties'!$B$91:$B$110,0))),"N/A")</f>
        <v/>
      </c>
      <c r="L135" s="25">
        <f>IFERROR(IF(INDEX('CI&amp;S'!$P$10:$P$14,MATCH($F135,'CI&amp;S'!$B$10:$B$14,0))="","Cell will autofill based on response",INDEX('CI&amp;S'!$P$10:$P$14,MATCH($F135,'CI&amp;S'!$B$10:$B$14,0))),"N/A")</f>
        <v/>
      </c>
      <c r="M135" s="25">
        <f>IFERROR(IF(INDEX('CI&amp;S'!$P$22:$P$38,MATCH($F135,'CI&amp;S'!$B$22:$B$38,0))="","Cell will autofill based on response",INDEX('CI&amp;S'!$P$22:$P$38,MATCH($F135,'CI&amp;S'!$B$22:$B$38,0))),"N/A")</f>
        <v/>
      </c>
      <c r="N135" s="25">
        <f>IFERROR(IF(INDEX('CFOG'!$P$10:$P$15,MATCH($F135,'CFOG'!$B$10:$B$15,0))="","Cell will autofill based on response",INDEX('CFOG'!$P$10:$P$15,MATCH($F135,'CFOG'!$B$10:$B$15,0))),"N/A")</f>
        <v/>
      </c>
      <c r="O135" s="25">
        <f>IFERROR(IF(INDEX('CFOG'!$P$23:$P$23,MATCH($F135,'CFOG'!$B$23:$B$23,0))="","Cell will autofill based on response",INDEX('CFOG'!$P$23:$P$23,MATCH($F135,'CFOG'!$B$23:$B$23,0))),"N/A")</f>
        <v/>
      </c>
      <c r="P135" s="25">
        <f>IFERROR(IF(INDEX('ESG'!$P$10:$P$16,MATCH($F135,'ESG'!$B$10:$B$16,0))="","Cell will autofill based on response",INDEX('ESG'!$P$10:$P$16,MATCH($F135,'ESG'!$B$10:$B$16,0))),"N/A")</f>
        <v/>
      </c>
      <c r="Q135" s="25">
        <f>IFERROR(IF(INDEX('CIOG'!$P$10:$P$13,MATCH($F135,'CIOG'!$B$10:$B$13,0))="","Cell will autofill based on response",INDEX('CIOG'!$P$10:$P$13,MATCH($F135,'CIOG'!$B$10:$B$13,0))),"N/A")</f>
        <v/>
      </c>
      <c r="R135" s="25">
        <f>IFERROR(IF(INDEX('MRE'!$P$10:$P$11,MATCH($F135,'MRE'!$B$10:$B$11,0))="","Cell will autofill based on response",INDEX('MRE'!$P$10:$P$11,MATCH($F135,'MRE'!$B$10:$B$11,0))),"N/A")</f>
        <v/>
      </c>
    </row>
    <row r="136">
      <c r="A136">
        <f>F136&amp;"|"&amp;G136</f>
        <v/>
      </c>
      <c r="B136" s="29" t="inlineStr"/>
      <c r="C136" s="8" t="inlineStr"/>
      <c r="D136" s="8" t="inlineStr"/>
      <c r="E136" s="8" t="inlineStr"/>
      <c r="F136" s="8" t="inlineStr">
        <is>
          <t>CL2(b)</t>
        </is>
      </c>
      <c r="G136" s="8" t="inlineStr">
        <is>
          <t>Data owner confirms</t>
        </is>
      </c>
      <c r="H136" s="25">
        <f>IFERROR(IF(INDEX('Faculties'!$Q$10:$Q$29,MATCH($F136,'Faculties'!$B$10:$B$29,0))="","Cell will autofill based on response",INDEX('Faculties'!$Q$10:$Q$29,MATCH($F136,'Faculties'!$B$10:$B$29,0))),"N/A")</f>
        <v/>
      </c>
      <c r="I136" s="25">
        <f>IFERROR(IF(INDEX('Faculties'!$Q$37:$Q$56,MATCH($F136,'Faculties'!$B$37:$B$56,0))="","Cell will autofill based on response",INDEX('Faculties'!$Q$37:$Q$56,MATCH($F136,'Faculties'!$B$37:$B$56,0))),"N/A")</f>
        <v/>
      </c>
      <c r="J136" s="25">
        <f>IFERROR(IF(INDEX('Faculties'!$Q$64:$Q$83,MATCH($F136,'Faculties'!$B$64:$B$83,0))="","Cell will autofill based on response",INDEX('Faculties'!$Q$64:$Q$83,MATCH($F136,'Faculties'!$B$64:$B$83,0))),"N/A")</f>
        <v/>
      </c>
      <c r="K136" s="25">
        <f>IFERROR(IF(INDEX('Faculties'!$Q$91:$Q$110,MATCH($F136,'Faculties'!$B$91:$B$110,0))="","Cell will autofill based on response",INDEX('Faculties'!$Q$91:$Q$110,MATCH($F136,'Faculties'!$B$91:$B$110,0))),"N/A")</f>
        <v/>
      </c>
      <c r="L136" s="25">
        <f>IFERROR(IF(INDEX('CI&amp;S'!$Q$10:$Q$14,MATCH($F136,'CI&amp;S'!$B$10:$B$14,0))="","Cell will autofill based on response",INDEX('CI&amp;S'!$Q$10:$Q$14,MATCH($F136,'CI&amp;S'!$B$10:$B$14,0))),"N/A")</f>
        <v/>
      </c>
      <c r="M136" s="25">
        <f>IFERROR(IF(INDEX('CI&amp;S'!$Q$22:$Q$38,MATCH($F136,'CI&amp;S'!$B$22:$B$38,0))="","Cell will autofill based on response",INDEX('CI&amp;S'!$Q$22:$Q$38,MATCH($F136,'CI&amp;S'!$B$22:$B$38,0))),"N/A")</f>
        <v/>
      </c>
      <c r="N136" s="25">
        <f>IFERROR(IF(INDEX('CFOG'!$Q$10:$Q$15,MATCH($F136,'CFOG'!$B$10:$B$15,0))="","Cell will autofill based on response",INDEX('CFOG'!$Q$10:$Q$15,MATCH($F136,'CFOG'!$B$10:$B$15,0))),"N/A")</f>
        <v/>
      </c>
      <c r="O136" s="25">
        <f>IFERROR(IF(INDEX('CFOG'!$Q$23:$Q$23,MATCH($F136,'CFOG'!$B$23:$B$23,0))="","Cell will autofill based on response",INDEX('CFOG'!$Q$23:$Q$23,MATCH($F136,'CFOG'!$B$23:$B$23,0))),"N/A")</f>
        <v/>
      </c>
      <c r="P136" s="25">
        <f>IFERROR(IF(INDEX('ESG'!$Q$10:$Q$16,MATCH($F136,'ESG'!$B$10:$B$16,0))="","Cell will autofill based on response",INDEX('ESG'!$Q$10:$Q$16,MATCH($F136,'ESG'!$B$10:$B$16,0))),"N/A")</f>
        <v/>
      </c>
      <c r="Q136" s="25">
        <f>IFERROR(IF(INDEX('CIOG'!$Q$10:$Q$13,MATCH($F136,'CIOG'!$B$10:$B$13,0))="","Cell will autofill based on response",INDEX('CIOG'!$Q$10:$Q$13,MATCH($F136,'CIOG'!$B$10:$B$13,0))),"N/A")</f>
        <v/>
      </c>
      <c r="R136" s="25">
        <f>IFERROR(IF(INDEX('MRE'!$Q$10:$Q$11,MATCH($F136,'MRE'!$B$10:$B$11,0))="","Cell will autofill based on response",INDEX('MRE'!$Q$10:$Q$11,MATCH($F136,'MRE'!$B$10:$B$11,0))),"N/A")</f>
        <v/>
      </c>
    </row>
    <row r="137">
      <c r="A137">
        <f>F137&amp;"|"&amp;G137</f>
        <v/>
      </c>
      <c r="B137" s="7" t="inlineStr">
        <is>
          <t>CL2(c)</t>
        </is>
      </c>
      <c r="C137" s="12" t="inlineStr">
        <is>
          <t>Climate leadership</t>
        </is>
      </c>
      <c r="D137" s="12" t="inlineStr">
        <is>
          <t>Ongoing communications that evidence the University’s climate action, research and learning to inform policy, sector and community decarbonisation efforts.</t>
        </is>
      </c>
      <c r="E137" s="12" t="inlineStr">
        <is>
          <t>List and describe communications from the faculty in terms of climate action, research and learning to inform policy, sector and community decarbonisation efforts</t>
        </is>
      </c>
      <c r="F137" s="12" t="inlineStr">
        <is>
          <t>CL2(c)</t>
        </is>
      </c>
      <c r="G137" s="12" t="inlineStr">
        <is>
          <t>Confirm end-2026 target status</t>
        </is>
      </c>
      <c r="H137" s="25">
        <f>IFERROR(IF(INDEX('Faculties'!$L$10:$L$29,MATCH($F137,'Faculties'!$B$10:$B$29,0))="","Cell will autofill based on response",INDEX('Faculties'!$L$10:$L$29,MATCH($F137,'Faculties'!$B$10:$B$29,0))),"N/A")</f>
        <v/>
      </c>
      <c r="I137" s="25">
        <f>IFERROR(IF(INDEX('Faculties'!$L$37:$L$56,MATCH($F137,'Faculties'!$B$37:$B$56,0))="","Cell will autofill based on response",INDEX('Faculties'!$L$37:$L$56,MATCH($F137,'Faculties'!$B$37:$B$56,0))),"N/A")</f>
        <v/>
      </c>
      <c r="J137" s="25">
        <f>IFERROR(IF(INDEX('Faculties'!$L$64:$L$83,MATCH($F137,'Faculties'!$B$64:$B$83,0))="","Cell will autofill based on response",INDEX('Faculties'!$L$64:$L$83,MATCH($F137,'Faculties'!$B$64:$B$83,0))),"N/A")</f>
        <v/>
      </c>
      <c r="K137" s="25">
        <f>IFERROR(IF(INDEX('Faculties'!$L$91:$L$110,MATCH($F137,'Faculties'!$B$91:$B$110,0))="","Cell will autofill based on response",INDEX('Faculties'!$L$91:$L$110,MATCH($F137,'Faculties'!$B$91:$B$110,0))),"N/A")</f>
        <v/>
      </c>
      <c r="L137" s="25">
        <f>IFERROR(IF(INDEX('CI&amp;S'!$L$10:$L$14,MATCH($F137,'CI&amp;S'!$B$10:$B$14,0))="","Cell will autofill based on response",INDEX('CI&amp;S'!$L$10:$L$14,MATCH($F137,'CI&amp;S'!$B$10:$B$14,0))),"N/A")</f>
        <v/>
      </c>
      <c r="M137" s="25">
        <f>IFERROR(IF(INDEX('CI&amp;S'!$L$22:$L$38,MATCH($F137,'CI&amp;S'!$B$22:$B$38,0))="","Cell will autofill based on response",INDEX('CI&amp;S'!$L$22:$L$38,MATCH($F137,'CI&amp;S'!$B$22:$B$38,0))),"N/A")</f>
        <v/>
      </c>
      <c r="N137" s="25">
        <f>IFERROR(IF(INDEX('CFOG'!$L$10:$L$15,MATCH($F137,'CFOG'!$B$10:$B$15,0))="","Cell will autofill based on response",INDEX('CFOG'!$L$10:$L$15,MATCH($F137,'CFOG'!$B$10:$B$15,0))),"N/A")</f>
        <v/>
      </c>
      <c r="O137" s="25">
        <f>IFERROR(IF(INDEX('CFOG'!$L$23:$L$23,MATCH($F137,'CFOG'!$B$23:$B$23,0))="","Cell will autofill based on response",INDEX('CFOG'!$L$23:$L$23,MATCH($F137,'CFOG'!$B$23:$B$23,0))),"N/A")</f>
        <v/>
      </c>
      <c r="P137" s="25">
        <f>IFERROR(IF(INDEX('ESG'!$L$10:$L$16,MATCH($F137,'ESG'!$B$10:$B$16,0))="","Cell will autofill based on response",INDEX('ESG'!$L$10:$L$16,MATCH($F137,'ESG'!$B$10:$B$16,0))),"N/A")</f>
        <v/>
      </c>
      <c r="Q137" s="25">
        <f>IFERROR(IF(INDEX('CIOG'!$L$10:$L$13,MATCH($F137,'CIOG'!$B$10:$B$13,0))="","Cell will autofill based on response",INDEX('CIOG'!$L$10:$L$13,MATCH($F137,'CIOG'!$B$10:$B$13,0))),"N/A")</f>
        <v/>
      </c>
      <c r="R137" s="25">
        <f>IFERROR(IF(INDEX('MRE'!$L$10:$L$11,MATCH($F137,'MRE'!$B$10:$B$11,0))="","Cell will autofill based on response",INDEX('MRE'!$L$10:$L$11,MATCH($F137,'MRE'!$B$10:$B$11,0))),"N/A")</f>
        <v/>
      </c>
      <c r="T137" s="26">
        <f>COUNTIF($H137:$R137,"Cell will autofill based on response")</f>
        <v/>
      </c>
      <c r="U137" s="26">
        <f>COUNTIF($H137:$R137,"Not yet started")</f>
        <v/>
      </c>
      <c r="V137" s="26">
        <f>COUNTIF($H137:$R137,"Not met")</f>
        <v/>
      </c>
      <c r="W137" s="26">
        <f>COUNTIF($H137:$R137,"Partially met")</f>
        <v/>
      </c>
      <c r="X137" s="26">
        <f>COUNTIF($H137:$R137,"Met or exceeded")</f>
        <v/>
      </c>
      <c r="Y137" s="26">
        <f>3*X137+2*W137+V137</f>
        <v/>
      </c>
      <c r="Z137" s="26">
        <f>X137+W137+V137+U137</f>
        <v/>
      </c>
      <c r="AA137" s="27">
        <f>IF(Z137&gt;0,Y137/Z137,"No valid responses to date")</f>
        <v/>
      </c>
      <c r="AB137" s="26">
        <f>IF(ISNUMBER(AA137),INDEX(Lists!$G$2:$G$5,MATCH(ROUND(AA137,0),Lists!$H$2:$H$5,0)),"")</f>
        <v/>
      </c>
      <c r="AC137" s="28">
        <f>IF(Z137&gt;0,X137/Z137,"")</f>
        <v/>
      </c>
      <c r="AD137" s="28">
        <f>IF(Z137&gt;0,(X137+W137)/Z137,"")</f>
        <v/>
      </c>
      <c r="AE137" s="26">
        <f>IF(Z137=0,"",IF(AC137&gt;0.75,"Met or exceeded",IF(AD137&gt;=0.5,"Partially met","Not met")))</f>
        <v/>
      </c>
    </row>
    <row r="138">
      <c r="A138">
        <f>F138&amp;"|"&amp;G138</f>
        <v/>
      </c>
      <c r="B138" s="29" t="inlineStr"/>
      <c r="C138" s="8" t="inlineStr"/>
      <c r="D138" s="8" t="inlineStr"/>
      <c r="E138" s="8" t="inlineStr"/>
      <c r="F138" s="8" t="inlineStr">
        <is>
          <t>CL2(c)</t>
        </is>
      </c>
      <c r="G138" s="8" t="inlineStr">
        <is>
          <t>OPTION 1:  Target-level reporting</t>
        </is>
      </c>
      <c r="H138" s="25">
        <f>IFERROR(IF(INDEX('Faculties'!$M$10:$M$29,MATCH($F138,'Faculties'!$B$10:$B$29,0))="","Cell will autofill based on response",INDEX('Faculties'!$M$10:$M$29,MATCH($F138,'Faculties'!$B$10:$B$29,0))),"N/A")</f>
        <v/>
      </c>
      <c r="I138" s="25">
        <f>IFERROR(IF(INDEX('Faculties'!$M$37:$M$56,MATCH($F138,'Faculties'!$B$37:$B$56,0))="","Cell will autofill based on response",INDEX('Faculties'!$M$37:$M$56,MATCH($F138,'Faculties'!$B$37:$B$56,0))),"N/A")</f>
        <v/>
      </c>
      <c r="J138" s="25">
        <f>IFERROR(IF(INDEX('Faculties'!$M$64:$M$83,MATCH($F138,'Faculties'!$B$64:$B$83,0))="","Cell will autofill based on response",INDEX('Faculties'!$M$64:$M$83,MATCH($F138,'Faculties'!$B$64:$B$83,0))),"N/A")</f>
        <v/>
      </c>
      <c r="K138" s="25">
        <f>IFERROR(IF(INDEX('Faculties'!$M$91:$M$110,MATCH($F138,'Faculties'!$B$91:$B$110,0))="","Cell will autofill based on response",INDEX('Faculties'!$M$91:$M$110,MATCH($F138,'Faculties'!$B$91:$B$110,0))),"N/A")</f>
        <v/>
      </c>
      <c r="L138" s="25">
        <f>IFERROR(IF(INDEX('CI&amp;S'!$M$10:$M$14,MATCH($F138,'CI&amp;S'!$B$10:$B$14,0))="","Cell will autofill based on response",INDEX('CI&amp;S'!$M$10:$M$14,MATCH($F138,'CI&amp;S'!$B$10:$B$14,0))),"N/A")</f>
        <v/>
      </c>
      <c r="M138" s="25">
        <f>IFERROR(IF(INDEX('CI&amp;S'!$M$22:$M$38,MATCH($F138,'CI&amp;S'!$B$22:$B$38,0))="","Cell will autofill based on response",INDEX('CI&amp;S'!$M$22:$M$38,MATCH($F138,'CI&amp;S'!$B$22:$B$38,0))),"N/A")</f>
        <v/>
      </c>
      <c r="N138" s="25">
        <f>IFERROR(IF(INDEX('CFOG'!$M$10:$M$15,MATCH($F138,'CFOG'!$B$10:$B$15,0))="","Cell will autofill based on response",INDEX('CFOG'!$M$10:$M$15,MATCH($F138,'CFOG'!$B$10:$B$15,0))),"N/A")</f>
        <v/>
      </c>
      <c r="O138" s="25">
        <f>IFERROR(IF(INDEX('CFOG'!$M$23:$M$23,MATCH($F138,'CFOG'!$B$23:$B$23,0))="","Cell will autofill based on response",INDEX('CFOG'!$M$23:$M$23,MATCH($F138,'CFOG'!$B$23:$B$23,0))),"N/A")</f>
        <v/>
      </c>
      <c r="P138" s="25">
        <f>IFERROR(IF(INDEX('ESG'!$M$10:$M$16,MATCH($F138,'ESG'!$B$10:$B$16,0))="","Cell will autofill based on response",INDEX('ESG'!$M$10:$M$16,MATCH($F138,'ESG'!$B$10:$B$16,0))),"N/A")</f>
        <v/>
      </c>
      <c r="Q138" s="25">
        <f>IFERROR(IF(INDEX('CIOG'!$M$10:$M$13,MATCH($F138,'CIOG'!$B$10:$B$13,0))="","Cell will autofill based on response",INDEX('CIOG'!$M$10:$M$13,MATCH($F138,'CIOG'!$B$10:$B$13,0))),"N/A")</f>
        <v/>
      </c>
      <c r="R138" s="25">
        <f>IFERROR(IF(INDEX('MRE'!$M$10:$M$11,MATCH($F138,'MRE'!$B$10:$B$11,0))="","Cell will autofill based on response",INDEX('MRE'!$M$10:$M$11,MATCH($F138,'MRE'!$B$10:$B$11,0))),"N/A")</f>
        <v/>
      </c>
    </row>
    <row r="139">
      <c r="A139">
        <f>F139&amp;"|"&amp;G139</f>
        <v/>
      </c>
      <c r="B139" s="29" t="inlineStr"/>
      <c r="C139" s="8" t="inlineStr"/>
      <c r="D139" s="8" t="inlineStr"/>
      <c r="E139" s="8" t="inlineStr"/>
      <c r="F139" s="8" t="inlineStr">
        <is>
          <t>CL2(c)</t>
        </is>
      </c>
      <c r="G139" s="8" t="inlineStr">
        <is>
          <t>OPTION 2:  Indicator level reporting</t>
        </is>
      </c>
      <c r="H139" s="25">
        <f>IFERROR(IF(INDEX('Faculties'!$N$10:$N$29,MATCH($F139,'Faculties'!$B$10:$B$29,0))="","Cell will autofill based on response",INDEX('Faculties'!$N$10:$N$29,MATCH($F139,'Faculties'!$B$10:$B$29,0))),"N/A")</f>
        <v/>
      </c>
      <c r="I139" s="25">
        <f>IFERROR(IF(INDEX('Faculties'!$N$37:$N$56,MATCH($F139,'Faculties'!$B$37:$B$56,0))="","Cell will autofill based on response",INDEX('Faculties'!$N$37:$N$56,MATCH($F139,'Faculties'!$B$37:$B$56,0))),"N/A")</f>
        <v/>
      </c>
      <c r="J139" s="25">
        <f>IFERROR(IF(INDEX('Faculties'!$N$64:$N$83,MATCH($F139,'Faculties'!$B$64:$B$83,0))="","Cell will autofill based on response",INDEX('Faculties'!$N$64:$N$83,MATCH($F139,'Faculties'!$B$64:$B$83,0))),"N/A")</f>
        <v/>
      </c>
      <c r="K139" s="25">
        <f>IFERROR(IF(INDEX('Faculties'!$N$91:$N$110,MATCH($F139,'Faculties'!$B$91:$B$110,0))="","Cell will autofill based on response",INDEX('Faculties'!$N$91:$N$110,MATCH($F139,'Faculties'!$B$91:$B$110,0))),"N/A")</f>
        <v/>
      </c>
      <c r="L139" s="25">
        <f>IFERROR(IF(INDEX('CI&amp;S'!$N$10:$N$14,MATCH($F139,'CI&amp;S'!$B$10:$B$14,0))="","Cell will autofill based on response",INDEX('CI&amp;S'!$N$10:$N$14,MATCH($F139,'CI&amp;S'!$B$10:$B$14,0))),"N/A")</f>
        <v/>
      </c>
      <c r="M139" s="25">
        <f>IFERROR(IF(INDEX('CI&amp;S'!$N$22:$N$38,MATCH($F139,'CI&amp;S'!$B$22:$B$38,0))="","Cell will autofill based on response",INDEX('CI&amp;S'!$N$22:$N$38,MATCH($F139,'CI&amp;S'!$B$22:$B$38,0))),"N/A")</f>
        <v/>
      </c>
      <c r="N139" s="25">
        <f>IFERROR(IF(INDEX('CFOG'!$N$10:$N$15,MATCH($F139,'CFOG'!$B$10:$B$15,0))="","Cell will autofill based on response",INDEX('CFOG'!$N$10:$N$15,MATCH($F139,'CFOG'!$B$10:$B$15,0))),"N/A")</f>
        <v/>
      </c>
      <c r="O139" s="25">
        <f>IFERROR(IF(INDEX('CFOG'!$N$23:$N$23,MATCH($F139,'CFOG'!$B$23:$B$23,0))="","Cell will autofill based on response",INDEX('CFOG'!$N$23:$N$23,MATCH($F139,'CFOG'!$B$23:$B$23,0))),"N/A")</f>
        <v/>
      </c>
      <c r="P139" s="25">
        <f>IFERROR(IF(INDEX('ESG'!$N$10:$N$16,MATCH($F139,'ESG'!$B$10:$B$16,0))="","Cell will autofill based on response",INDEX('ESG'!$N$10:$N$16,MATCH($F139,'ESG'!$B$10:$B$16,0))),"N/A")</f>
        <v/>
      </c>
      <c r="Q139" s="25">
        <f>IFERROR(IF(INDEX('CIOG'!$N$10:$N$13,MATCH($F139,'CIOG'!$B$10:$B$13,0))="","Cell will autofill based on response",INDEX('CIOG'!$N$10:$N$13,MATCH($F139,'CIOG'!$B$10:$B$13,0))),"N/A")</f>
        <v/>
      </c>
      <c r="R139" s="25">
        <f>IFERROR(IF(INDEX('MRE'!$N$10:$N$11,MATCH($F139,'MRE'!$B$10:$B$11,0))="","Cell will autofill based on response",INDEX('MRE'!$N$10:$N$11,MATCH($F139,'MRE'!$B$10:$B$11,0))),"N/A")</f>
        <v/>
      </c>
    </row>
    <row r="140">
      <c r="A140">
        <f>F140&amp;"|"&amp;G140</f>
        <v/>
      </c>
      <c r="B140" s="29" t="inlineStr"/>
      <c r="C140" s="8" t="inlineStr"/>
      <c r="D140" s="8" t="inlineStr"/>
      <c r="E140" s="8" t="inlineStr"/>
      <c r="F140" s="8" t="inlineStr">
        <is>
          <t>CL2(c)</t>
        </is>
      </c>
      <c r="G140" s="8" t="inlineStr">
        <is>
          <t>Supporting information/comments</t>
        </is>
      </c>
      <c r="H140" s="25">
        <f>IFERROR(IF(INDEX('Faculties'!$O$10:$O$29,MATCH($F140,'Faculties'!$B$10:$B$29,0))="","Cell will autofill based on response",INDEX('Faculties'!$O$10:$O$29,MATCH($F140,'Faculties'!$B$10:$B$29,0))),"N/A")</f>
        <v/>
      </c>
      <c r="I140" s="25">
        <f>IFERROR(IF(INDEX('Faculties'!$O$37:$O$56,MATCH($F140,'Faculties'!$B$37:$B$56,0))="","Cell will autofill based on response",INDEX('Faculties'!$O$37:$O$56,MATCH($F140,'Faculties'!$B$37:$B$56,0))),"N/A")</f>
        <v/>
      </c>
      <c r="J140" s="25">
        <f>IFERROR(IF(INDEX('Faculties'!$O$64:$O$83,MATCH($F140,'Faculties'!$B$64:$B$83,0))="","Cell will autofill based on response",INDEX('Faculties'!$O$64:$O$83,MATCH($F140,'Faculties'!$B$64:$B$83,0))),"N/A")</f>
        <v/>
      </c>
      <c r="K140" s="25">
        <f>IFERROR(IF(INDEX('Faculties'!$O$91:$O$110,MATCH($F140,'Faculties'!$B$91:$B$110,0))="","Cell will autofill based on response",INDEX('Faculties'!$O$91:$O$110,MATCH($F140,'Faculties'!$B$91:$B$110,0))),"N/A")</f>
        <v/>
      </c>
      <c r="L140" s="25">
        <f>IFERROR(IF(INDEX('CI&amp;S'!$O$10:$O$14,MATCH($F140,'CI&amp;S'!$B$10:$B$14,0))="","Cell will autofill based on response",INDEX('CI&amp;S'!$O$10:$O$14,MATCH($F140,'CI&amp;S'!$B$10:$B$14,0))),"N/A")</f>
        <v/>
      </c>
      <c r="M140" s="25">
        <f>IFERROR(IF(INDEX('CI&amp;S'!$O$22:$O$38,MATCH($F140,'CI&amp;S'!$B$22:$B$38,0))="","Cell will autofill based on response",INDEX('CI&amp;S'!$O$22:$O$38,MATCH($F140,'CI&amp;S'!$B$22:$B$38,0))),"N/A")</f>
        <v/>
      </c>
      <c r="N140" s="25">
        <f>IFERROR(IF(INDEX('CFOG'!$O$10:$O$15,MATCH($F140,'CFOG'!$B$10:$B$15,0))="","Cell will autofill based on response",INDEX('CFOG'!$O$10:$O$15,MATCH($F140,'CFOG'!$B$10:$B$15,0))),"N/A")</f>
        <v/>
      </c>
      <c r="O140" s="25">
        <f>IFERROR(IF(INDEX('CFOG'!$O$23:$O$23,MATCH($F140,'CFOG'!$B$23:$B$23,0))="","Cell will autofill based on response",INDEX('CFOG'!$O$23:$O$23,MATCH($F140,'CFOG'!$B$23:$B$23,0))),"N/A")</f>
        <v/>
      </c>
      <c r="P140" s="25">
        <f>IFERROR(IF(INDEX('ESG'!$O$10:$O$16,MATCH($F140,'ESG'!$B$10:$B$16,0))="","Cell will autofill based on response",INDEX('ESG'!$O$10:$O$16,MATCH($F140,'ESG'!$B$10:$B$16,0))),"N/A")</f>
        <v/>
      </c>
      <c r="Q140" s="25">
        <f>IFERROR(IF(INDEX('CIOG'!$O$10:$O$13,MATCH($F140,'CIOG'!$B$10:$B$13,0))="","Cell will autofill based on response",INDEX('CIOG'!$O$10:$O$13,MATCH($F140,'CIOG'!$B$10:$B$13,0))),"N/A")</f>
        <v/>
      </c>
      <c r="R140" s="25">
        <f>IFERROR(IF(INDEX('MRE'!$O$10:$O$11,MATCH($F140,'MRE'!$B$10:$B$11,0))="","Cell will autofill based on response",INDEX('MRE'!$O$10:$O$11,MATCH($F140,'MRE'!$B$10:$B$11,0))),"N/A")</f>
        <v/>
      </c>
    </row>
    <row r="141">
      <c r="A141">
        <f>F141&amp;"|"&amp;G141</f>
        <v/>
      </c>
      <c r="B141" s="29" t="inlineStr"/>
      <c r="C141" s="8" t="inlineStr"/>
      <c r="D141" s="8" t="inlineStr"/>
      <c r="E141" s="8" t="inlineStr"/>
      <c r="F141" s="8" t="inlineStr">
        <is>
          <t>CL2(c)</t>
        </is>
      </c>
      <c r="G141" s="8" t="inlineStr">
        <is>
          <t>Data source and limitations</t>
        </is>
      </c>
      <c r="H141" s="25">
        <f>IFERROR(IF(INDEX('Faculties'!$P$10:$P$29,MATCH($F141,'Faculties'!$B$10:$B$29,0))="","Cell will autofill based on response",INDEX('Faculties'!$P$10:$P$29,MATCH($F141,'Faculties'!$B$10:$B$29,0))),"N/A")</f>
        <v/>
      </c>
      <c r="I141" s="25">
        <f>IFERROR(IF(INDEX('Faculties'!$P$37:$P$56,MATCH($F141,'Faculties'!$B$37:$B$56,0))="","Cell will autofill based on response",INDEX('Faculties'!$P$37:$P$56,MATCH($F141,'Faculties'!$B$37:$B$56,0))),"N/A")</f>
        <v/>
      </c>
      <c r="J141" s="25">
        <f>IFERROR(IF(INDEX('Faculties'!$P$64:$P$83,MATCH($F141,'Faculties'!$B$64:$B$83,0))="","Cell will autofill based on response",INDEX('Faculties'!$P$64:$P$83,MATCH($F141,'Faculties'!$B$64:$B$83,0))),"N/A")</f>
        <v/>
      </c>
      <c r="K141" s="25">
        <f>IFERROR(IF(INDEX('Faculties'!$P$91:$P$110,MATCH($F141,'Faculties'!$B$91:$B$110,0))="","Cell will autofill based on response",INDEX('Faculties'!$P$91:$P$110,MATCH($F141,'Faculties'!$B$91:$B$110,0))),"N/A")</f>
        <v/>
      </c>
      <c r="L141" s="25">
        <f>IFERROR(IF(INDEX('CI&amp;S'!$P$10:$P$14,MATCH($F141,'CI&amp;S'!$B$10:$B$14,0))="","Cell will autofill based on response",INDEX('CI&amp;S'!$P$10:$P$14,MATCH($F141,'CI&amp;S'!$B$10:$B$14,0))),"N/A")</f>
        <v/>
      </c>
      <c r="M141" s="25">
        <f>IFERROR(IF(INDEX('CI&amp;S'!$P$22:$P$38,MATCH($F141,'CI&amp;S'!$B$22:$B$38,0))="","Cell will autofill based on response",INDEX('CI&amp;S'!$P$22:$P$38,MATCH($F141,'CI&amp;S'!$B$22:$B$38,0))),"N/A")</f>
        <v/>
      </c>
      <c r="N141" s="25">
        <f>IFERROR(IF(INDEX('CFOG'!$P$10:$P$15,MATCH($F141,'CFOG'!$B$10:$B$15,0))="","Cell will autofill based on response",INDEX('CFOG'!$P$10:$P$15,MATCH($F141,'CFOG'!$B$10:$B$15,0))),"N/A")</f>
        <v/>
      </c>
      <c r="O141" s="25">
        <f>IFERROR(IF(INDEX('CFOG'!$P$23:$P$23,MATCH($F141,'CFOG'!$B$23:$B$23,0))="","Cell will autofill based on response",INDEX('CFOG'!$P$23:$P$23,MATCH($F141,'CFOG'!$B$23:$B$23,0))),"N/A")</f>
        <v/>
      </c>
      <c r="P141" s="25">
        <f>IFERROR(IF(INDEX('ESG'!$P$10:$P$16,MATCH($F141,'ESG'!$B$10:$B$16,0))="","Cell will autofill based on response",INDEX('ESG'!$P$10:$P$16,MATCH($F141,'ESG'!$B$10:$B$16,0))),"N/A")</f>
        <v/>
      </c>
      <c r="Q141" s="25">
        <f>IFERROR(IF(INDEX('CIOG'!$P$10:$P$13,MATCH($F141,'CIOG'!$B$10:$B$13,0))="","Cell will autofill based on response",INDEX('CIOG'!$P$10:$P$13,MATCH($F141,'CIOG'!$B$10:$B$13,0))),"N/A")</f>
        <v/>
      </c>
      <c r="R141" s="25">
        <f>IFERROR(IF(INDEX('MRE'!$P$10:$P$11,MATCH($F141,'MRE'!$B$10:$B$11,0))="","Cell will autofill based on response",INDEX('MRE'!$P$10:$P$11,MATCH($F141,'MRE'!$B$10:$B$11,0))),"N/A")</f>
        <v/>
      </c>
    </row>
    <row r="142">
      <c r="A142">
        <f>F142&amp;"|"&amp;G142</f>
        <v/>
      </c>
      <c r="B142" s="29" t="inlineStr"/>
      <c r="C142" s="8" t="inlineStr"/>
      <c r="D142" s="8" t="inlineStr"/>
      <c r="E142" s="8" t="inlineStr"/>
      <c r="F142" s="8" t="inlineStr">
        <is>
          <t>CL2(c)</t>
        </is>
      </c>
      <c r="G142" s="8" t="inlineStr">
        <is>
          <t>Data owner confirms</t>
        </is>
      </c>
      <c r="H142" s="25">
        <f>IFERROR(IF(INDEX('Faculties'!$Q$10:$Q$29,MATCH($F142,'Faculties'!$B$10:$B$29,0))="","Cell will autofill based on response",INDEX('Faculties'!$Q$10:$Q$29,MATCH($F142,'Faculties'!$B$10:$B$29,0))),"N/A")</f>
        <v/>
      </c>
      <c r="I142" s="25">
        <f>IFERROR(IF(INDEX('Faculties'!$Q$37:$Q$56,MATCH($F142,'Faculties'!$B$37:$B$56,0))="","Cell will autofill based on response",INDEX('Faculties'!$Q$37:$Q$56,MATCH($F142,'Faculties'!$B$37:$B$56,0))),"N/A")</f>
        <v/>
      </c>
      <c r="J142" s="25">
        <f>IFERROR(IF(INDEX('Faculties'!$Q$64:$Q$83,MATCH($F142,'Faculties'!$B$64:$B$83,0))="","Cell will autofill based on response",INDEX('Faculties'!$Q$64:$Q$83,MATCH($F142,'Faculties'!$B$64:$B$83,0))),"N/A")</f>
        <v/>
      </c>
      <c r="K142" s="25">
        <f>IFERROR(IF(INDEX('Faculties'!$Q$91:$Q$110,MATCH($F142,'Faculties'!$B$91:$B$110,0))="","Cell will autofill based on response",INDEX('Faculties'!$Q$91:$Q$110,MATCH($F142,'Faculties'!$B$91:$B$110,0))),"N/A")</f>
        <v/>
      </c>
      <c r="L142" s="25">
        <f>IFERROR(IF(INDEX('CI&amp;S'!$Q$10:$Q$14,MATCH($F142,'CI&amp;S'!$B$10:$B$14,0))="","Cell will autofill based on response",INDEX('CI&amp;S'!$Q$10:$Q$14,MATCH($F142,'CI&amp;S'!$B$10:$B$14,0))),"N/A")</f>
        <v/>
      </c>
      <c r="M142" s="25">
        <f>IFERROR(IF(INDEX('CI&amp;S'!$Q$22:$Q$38,MATCH($F142,'CI&amp;S'!$B$22:$B$38,0))="","Cell will autofill based on response",INDEX('CI&amp;S'!$Q$22:$Q$38,MATCH($F142,'CI&amp;S'!$B$22:$B$38,0))),"N/A")</f>
        <v/>
      </c>
      <c r="N142" s="25">
        <f>IFERROR(IF(INDEX('CFOG'!$Q$10:$Q$15,MATCH($F142,'CFOG'!$B$10:$B$15,0))="","Cell will autofill based on response",INDEX('CFOG'!$Q$10:$Q$15,MATCH($F142,'CFOG'!$B$10:$B$15,0))),"N/A")</f>
        <v/>
      </c>
      <c r="O142" s="25">
        <f>IFERROR(IF(INDEX('CFOG'!$Q$23:$Q$23,MATCH($F142,'CFOG'!$B$23:$B$23,0))="","Cell will autofill based on response",INDEX('CFOG'!$Q$23:$Q$23,MATCH($F142,'CFOG'!$B$23:$B$23,0))),"N/A")</f>
        <v/>
      </c>
      <c r="P142" s="25">
        <f>IFERROR(IF(INDEX('ESG'!$Q$10:$Q$16,MATCH($F142,'ESG'!$B$10:$B$16,0))="","Cell will autofill based on response",INDEX('ESG'!$Q$10:$Q$16,MATCH($F142,'ESG'!$B$10:$B$16,0))),"N/A")</f>
        <v/>
      </c>
      <c r="Q142" s="25">
        <f>IFERROR(IF(INDEX('CIOG'!$Q$10:$Q$13,MATCH($F142,'CIOG'!$B$10:$B$13,0))="","Cell will autofill based on response",INDEX('CIOG'!$Q$10:$Q$13,MATCH($F142,'CIOG'!$B$10:$B$13,0))),"N/A")</f>
        <v/>
      </c>
      <c r="R142" s="25">
        <f>IFERROR(IF(INDEX('MRE'!$Q$10:$Q$11,MATCH($F142,'MRE'!$B$10:$B$11,0))="","Cell will autofill based on response",INDEX('MRE'!$Q$10:$Q$11,MATCH($F142,'MRE'!$B$10:$B$11,0))),"N/A")</f>
        <v/>
      </c>
    </row>
    <row r="143">
      <c r="A143">
        <f>F143&amp;"|"&amp;G143</f>
        <v/>
      </c>
      <c r="B143" s="7" t="inlineStr">
        <is>
          <t>CL3(a)</t>
        </is>
      </c>
      <c r="C143" s="12" t="inlineStr">
        <is>
          <t>Climate leadership</t>
        </is>
      </c>
      <c r="D143"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43" s="12" t="inlineStr">
        <is>
          <t>Provide update of University maturity assesment. Include maturity ratings, key gaps and priority improvement actions.when available</t>
        </is>
      </c>
      <c r="F143" s="12" t="inlineStr">
        <is>
          <t>CL3(a)</t>
        </is>
      </c>
      <c r="G143" s="12" t="inlineStr">
        <is>
          <t>Confirm end-2026 target status</t>
        </is>
      </c>
      <c r="H143" s="25">
        <f>IFERROR(IF(INDEX('Faculties'!$L$10:$L$29,MATCH($F143,'Faculties'!$B$10:$B$29,0))="","Cell will autofill based on response",INDEX('Faculties'!$L$10:$L$29,MATCH($F143,'Faculties'!$B$10:$B$29,0))),"N/A")</f>
        <v/>
      </c>
      <c r="I143" s="25">
        <f>IFERROR(IF(INDEX('Faculties'!$L$37:$L$56,MATCH($F143,'Faculties'!$B$37:$B$56,0))="","Cell will autofill based on response",INDEX('Faculties'!$L$37:$L$56,MATCH($F143,'Faculties'!$B$37:$B$56,0))),"N/A")</f>
        <v/>
      </c>
      <c r="J143" s="25">
        <f>IFERROR(IF(INDEX('Faculties'!$L$64:$L$83,MATCH($F143,'Faculties'!$B$64:$B$83,0))="","Cell will autofill based on response",INDEX('Faculties'!$L$64:$L$83,MATCH($F143,'Faculties'!$B$64:$B$83,0))),"N/A")</f>
        <v/>
      </c>
      <c r="K143" s="25">
        <f>IFERROR(IF(INDEX('Faculties'!$L$91:$L$110,MATCH($F143,'Faculties'!$B$91:$B$110,0))="","Cell will autofill based on response",INDEX('Faculties'!$L$91:$L$110,MATCH($F143,'Faculties'!$B$91:$B$110,0))),"N/A")</f>
        <v/>
      </c>
      <c r="L143" s="25">
        <f>IFERROR(IF(INDEX('CI&amp;S'!$L$10:$L$14,MATCH($F143,'CI&amp;S'!$B$10:$B$14,0))="","Cell will autofill based on response",INDEX('CI&amp;S'!$L$10:$L$14,MATCH($F143,'CI&amp;S'!$B$10:$B$14,0))),"N/A")</f>
        <v/>
      </c>
      <c r="M143" s="25">
        <f>IFERROR(IF(INDEX('CI&amp;S'!$L$22:$L$38,MATCH($F143,'CI&amp;S'!$B$22:$B$38,0))="","Cell will autofill based on response",INDEX('CI&amp;S'!$L$22:$L$38,MATCH($F143,'CI&amp;S'!$B$22:$B$38,0))),"N/A")</f>
        <v/>
      </c>
      <c r="N143" s="25">
        <f>IFERROR(IF(INDEX('CFOG'!$L$10:$L$15,MATCH($F143,'CFOG'!$B$10:$B$15,0))="","Cell will autofill based on response",INDEX('CFOG'!$L$10:$L$15,MATCH($F143,'CFOG'!$B$10:$B$15,0))),"N/A")</f>
        <v/>
      </c>
      <c r="O143" s="25">
        <f>IFERROR(IF(INDEX('CFOG'!$L$23:$L$23,MATCH($F143,'CFOG'!$B$23:$B$23,0))="","Cell will autofill based on response",INDEX('CFOG'!$L$23:$L$23,MATCH($F143,'CFOG'!$B$23:$B$23,0))),"N/A")</f>
        <v/>
      </c>
      <c r="P143" s="25">
        <f>IFERROR(IF(INDEX('ESG'!$L$10:$L$16,MATCH($F143,'ESG'!$B$10:$B$16,0))="","Cell will autofill based on response",INDEX('ESG'!$L$10:$L$16,MATCH($F143,'ESG'!$B$10:$B$16,0))),"N/A")</f>
        <v/>
      </c>
      <c r="Q143" s="25">
        <f>IFERROR(IF(INDEX('CIOG'!$L$10:$L$13,MATCH($F143,'CIOG'!$B$10:$B$13,0))="","Cell will autofill based on response",INDEX('CIOG'!$L$10:$L$13,MATCH($F143,'CIOG'!$B$10:$B$13,0))),"N/A")</f>
        <v/>
      </c>
      <c r="R143" s="25">
        <f>IFERROR(IF(INDEX('MRE'!$L$10:$L$11,MATCH($F143,'MRE'!$B$10:$B$11,0))="","Cell will autofill based on response",INDEX('MRE'!$L$10:$L$11,MATCH($F143,'MRE'!$B$10:$B$11,0))),"N/A")</f>
        <v/>
      </c>
      <c r="T143" s="26">
        <f>COUNTIF($H143:$R143,"Cell will autofill based on response")</f>
        <v/>
      </c>
      <c r="U143" s="26">
        <f>COUNTIF($H143:$R143,"Not yet started")</f>
        <v/>
      </c>
      <c r="V143" s="26">
        <f>COUNTIF($H143:$R143,"Not met")</f>
        <v/>
      </c>
      <c r="W143" s="26">
        <f>COUNTIF($H143:$R143,"Partially met")</f>
        <v/>
      </c>
      <c r="X143" s="26">
        <f>COUNTIF($H143:$R143,"Met or exceeded")</f>
        <v/>
      </c>
      <c r="Y143" s="26">
        <f>3*X143+2*W143+V143</f>
        <v/>
      </c>
      <c r="Z143" s="26">
        <f>X143+W143+V143+U143</f>
        <v/>
      </c>
      <c r="AA143" s="27">
        <f>IF(Z143&gt;0,Y143/Z143,"No valid responses to date")</f>
        <v/>
      </c>
      <c r="AB143" s="26">
        <f>IF(ISNUMBER(AA143),INDEX(Lists!$G$2:$G$5,MATCH(ROUND(AA143,0),Lists!$H$2:$H$5,0)),"")</f>
        <v/>
      </c>
      <c r="AC143" s="28">
        <f>IF(Z143&gt;0,X143/Z143,"")</f>
        <v/>
      </c>
      <c r="AD143" s="28">
        <f>IF(Z143&gt;0,(X143+W143)/Z143,"")</f>
        <v/>
      </c>
      <c r="AE143" s="26">
        <f>IF(Z143=0,"",IF(AC143&gt;0.75,"Met or exceeded",IF(AD143&gt;=0.5,"Partially met","Not met")))</f>
        <v/>
      </c>
    </row>
    <row r="144">
      <c r="A144">
        <f>F144&amp;"|"&amp;G144</f>
        <v/>
      </c>
      <c r="B144" s="29" t="inlineStr"/>
      <c r="C144" s="8" t="inlineStr"/>
      <c r="D144" s="8" t="inlineStr"/>
      <c r="E144" s="8" t="inlineStr"/>
      <c r="F144" s="8" t="inlineStr">
        <is>
          <t>CL3(a)</t>
        </is>
      </c>
      <c r="G144" s="8" t="inlineStr">
        <is>
          <t>OPTION 1:  Target-level reporting</t>
        </is>
      </c>
      <c r="H144" s="25">
        <f>IFERROR(IF(INDEX('Faculties'!$M$10:$M$29,MATCH($F144,'Faculties'!$B$10:$B$29,0))="","Cell will autofill based on response",INDEX('Faculties'!$M$10:$M$29,MATCH($F144,'Faculties'!$B$10:$B$29,0))),"N/A")</f>
        <v/>
      </c>
      <c r="I144" s="25">
        <f>IFERROR(IF(INDEX('Faculties'!$M$37:$M$56,MATCH($F144,'Faculties'!$B$37:$B$56,0))="","Cell will autofill based on response",INDEX('Faculties'!$M$37:$M$56,MATCH($F144,'Faculties'!$B$37:$B$56,0))),"N/A")</f>
        <v/>
      </c>
      <c r="J144" s="25">
        <f>IFERROR(IF(INDEX('Faculties'!$M$64:$M$83,MATCH($F144,'Faculties'!$B$64:$B$83,0))="","Cell will autofill based on response",INDEX('Faculties'!$M$64:$M$83,MATCH($F144,'Faculties'!$B$64:$B$83,0))),"N/A")</f>
        <v/>
      </c>
      <c r="K144" s="25">
        <f>IFERROR(IF(INDEX('Faculties'!$M$91:$M$110,MATCH($F144,'Faculties'!$B$91:$B$110,0))="","Cell will autofill based on response",INDEX('Faculties'!$M$91:$M$110,MATCH($F144,'Faculties'!$B$91:$B$110,0))),"N/A")</f>
        <v/>
      </c>
      <c r="L144" s="25">
        <f>IFERROR(IF(INDEX('CI&amp;S'!$M$10:$M$14,MATCH($F144,'CI&amp;S'!$B$10:$B$14,0))="","Cell will autofill based on response",INDEX('CI&amp;S'!$M$10:$M$14,MATCH($F144,'CI&amp;S'!$B$10:$B$14,0))),"N/A")</f>
        <v/>
      </c>
      <c r="M144" s="25">
        <f>IFERROR(IF(INDEX('CI&amp;S'!$M$22:$M$38,MATCH($F144,'CI&amp;S'!$B$22:$B$38,0))="","Cell will autofill based on response",INDEX('CI&amp;S'!$M$22:$M$38,MATCH($F144,'CI&amp;S'!$B$22:$B$38,0))),"N/A")</f>
        <v/>
      </c>
      <c r="N144" s="25">
        <f>IFERROR(IF(INDEX('CFOG'!$M$10:$M$15,MATCH($F144,'CFOG'!$B$10:$B$15,0))="","Cell will autofill based on response",INDEX('CFOG'!$M$10:$M$15,MATCH($F144,'CFOG'!$B$10:$B$15,0))),"N/A")</f>
        <v/>
      </c>
      <c r="O144" s="25">
        <f>IFERROR(IF(INDEX('CFOG'!$M$23:$M$23,MATCH($F144,'CFOG'!$B$23:$B$23,0))="","Cell will autofill based on response",INDEX('CFOG'!$M$23:$M$23,MATCH($F144,'CFOG'!$B$23:$B$23,0))),"N/A")</f>
        <v/>
      </c>
      <c r="P144" s="25">
        <f>IFERROR(IF(INDEX('ESG'!$M$10:$M$16,MATCH($F144,'ESG'!$B$10:$B$16,0))="","Cell will autofill based on response",INDEX('ESG'!$M$10:$M$16,MATCH($F144,'ESG'!$B$10:$B$16,0))),"N/A")</f>
        <v/>
      </c>
      <c r="Q144" s="25">
        <f>IFERROR(IF(INDEX('CIOG'!$M$10:$M$13,MATCH($F144,'CIOG'!$B$10:$B$13,0))="","Cell will autofill based on response",INDEX('CIOG'!$M$10:$M$13,MATCH($F144,'CIOG'!$B$10:$B$13,0))),"N/A")</f>
        <v/>
      </c>
      <c r="R144" s="25">
        <f>IFERROR(IF(INDEX('MRE'!$M$10:$M$11,MATCH($F144,'MRE'!$B$10:$B$11,0))="","Cell will autofill based on response",INDEX('MRE'!$M$10:$M$11,MATCH($F144,'MRE'!$B$10:$B$11,0))),"N/A")</f>
        <v/>
      </c>
    </row>
    <row r="145">
      <c r="A145">
        <f>F145&amp;"|"&amp;G145</f>
        <v/>
      </c>
      <c r="B145" s="29" t="inlineStr"/>
      <c r="C145" s="8" t="inlineStr"/>
      <c r="D145" s="8" t="inlineStr"/>
      <c r="E145" s="8" t="inlineStr"/>
      <c r="F145" s="8" t="inlineStr">
        <is>
          <t>CL3(a)</t>
        </is>
      </c>
      <c r="G145" s="8" t="inlineStr">
        <is>
          <t>OPTION 2:  Indicator level reporting</t>
        </is>
      </c>
      <c r="H145" s="25">
        <f>IFERROR(IF(INDEX('Faculties'!$N$10:$N$29,MATCH($F145,'Faculties'!$B$10:$B$29,0))="","Cell will autofill based on response",INDEX('Faculties'!$N$10:$N$29,MATCH($F145,'Faculties'!$B$10:$B$29,0))),"N/A")</f>
        <v/>
      </c>
      <c r="I145" s="25">
        <f>IFERROR(IF(INDEX('Faculties'!$N$37:$N$56,MATCH($F145,'Faculties'!$B$37:$B$56,0))="","Cell will autofill based on response",INDEX('Faculties'!$N$37:$N$56,MATCH($F145,'Faculties'!$B$37:$B$56,0))),"N/A")</f>
        <v/>
      </c>
      <c r="J145" s="25">
        <f>IFERROR(IF(INDEX('Faculties'!$N$64:$N$83,MATCH($F145,'Faculties'!$B$64:$B$83,0))="","Cell will autofill based on response",INDEX('Faculties'!$N$64:$N$83,MATCH($F145,'Faculties'!$B$64:$B$83,0))),"N/A")</f>
        <v/>
      </c>
      <c r="K145" s="25">
        <f>IFERROR(IF(INDEX('Faculties'!$N$91:$N$110,MATCH($F145,'Faculties'!$B$91:$B$110,0))="","Cell will autofill based on response",INDEX('Faculties'!$N$91:$N$110,MATCH($F145,'Faculties'!$B$91:$B$110,0))),"N/A")</f>
        <v/>
      </c>
      <c r="L145" s="25">
        <f>IFERROR(IF(INDEX('CI&amp;S'!$N$10:$N$14,MATCH($F145,'CI&amp;S'!$B$10:$B$14,0))="","Cell will autofill based on response",INDEX('CI&amp;S'!$N$10:$N$14,MATCH($F145,'CI&amp;S'!$B$10:$B$14,0))),"N/A")</f>
        <v/>
      </c>
      <c r="M145" s="25">
        <f>IFERROR(IF(INDEX('CI&amp;S'!$N$22:$N$38,MATCH($F145,'CI&amp;S'!$B$22:$B$38,0))="","Cell will autofill based on response",INDEX('CI&amp;S'!$N$22:$N$38,MATCH($F145,'CI&amp;S'!$B$22:$B$38,0))),"N/A")</f>
        <v/>
      </c>
      <c r="N145" s="25">
        <f>IFERROR(IF(INDEX('CFOG'!$N$10:$N$15,MATCH($F145,'CFOG'!$B$10:$B$15,0))="","Cell will autofill based on response",INDEX('CFOG'!$N$10:$N$15,MATCH($F145,'CFOG'!$B$10:$B$15,0))),"N/A")</f>
        <v/>
      </c>
      <c r="O145" s="25">
        <f>IFERROR(IF(INDEX('CFOG'!$N$23:$N$23,MATCH($F145,'CFOG'!$B$23:$B$23,0))="","Cell will autofill based on response",INDEX('CFOG'!$N$23:$N$23,MATCH($F145,'CFOG'!$B$23:$B$23,0))),"N/A")</f>
        <v/>
      </c>
      <c r="P145" s="25">
        <f>IFERROR(IF(INDEX('ESG'!$N$10:$N$16,MATCH($F145,'ESG'!$B$10:$B$16,0))="","Cell will autofill based on response",INDEX('ESG'!$N$10:$N$16,MATCH($F145,'ESG'!$B$10:$B$16,0))),"N/A")</f>
        <v/>
      </c>
      <c r="Q145" s="25">
        <f>IFERROR(IF(INDEX('CIOG'!$N$10:$N$13,MATCH($F145,'CIOG'!$B$10:$B$13,0))="","Cell will autofill based on response",INDEX('CIOG'!$N$10:$N$13,MATCH($F145,'CIOG'!$B$10:$B$13,0))),"N/A")</f>
        <v/>
      </c>
      <c r="R145" s="25">
        <f>IFERROR(IF(INDEX('MRE'!$N$10:$N$11,MATCH($F145,'MRE'!$B$10:$B$11,0))="","Cell will autofill based on response",INDEX('MRE'!$N$10:$N$11,MATCH($F145,'MRE'!$B$10:$B$11,0))),"N/A")</f>
        <v/>
      </c>
    </row>
    <row r="146">
      <c r="A146">
        <f>F146&amp;"|"&amp;G146</f>
        <v/>
      </c>
      <c r="B146" s="29" t="inlineStr"/>
      <c r="C146" s="8" t="inlineStr"/>
      <c r="D146" s="8" t="inlineStr"/>
      <c r="E146" s="8" t="inlineStr"/>
      <c r="F146" s="8" t="inlineStr">
        <is>
          <t>CL3(a)</t>
        </is>
      </c>
      <c r="G146" s="8" t="inlineStr">
        <is>
          <t>Supporting information/comments</t>
        </is>
      </c>
      <c r="H146" s="25">
        <f>IFERROR(IF(INDEX('Faculties'!$O$10:$O$29,MATCH($F146,'Faculties'!$B$10:$B$29,0))="","Cell will autofill based on response",INDEX('Faculties'!$O$10:$O$29,MATCH($F146,'Faculties'!$B$10:$B$29,0))),"N/A")</f>
        <v/>
      </c>
      <c r="I146" s="25">
        <f>IFERROR(IF(INDEX('Faculties'!$O$37:$O$56,MATCH($F146,'Faculties'!$B$37:$B$56,0))="","Cell will autofill based on response",INDEX('Faculties'!$O$37:$O$56,MATCH($F146,'Faculties'!$B$37:$B$56,0))),"N/A")</f>
        <v/>
      </c>
      <c r="J146" s="25">
        <f>IFERROR(IF(INDEX('Faculties'!$O$64:$O$83,MATCH($F146,'Faculties'!$B$64:$B$83,0))="","Cell will autofill based on response",INDEX('Faculties'!$O$64:$O$83,MATCH($F146,'Faculties'!$B$64:$B$83,0))),"N/A")</f>
        <v/>
      </c>
      <c r="K146" s="25">
        <f>IFERROR(IF(INDEX('Faculties'!$O$91:$O$110,MATCH($F146,'Faculties'!$B$91:$B$110,0))="","Cell will autofill based on response",INDEX('Faculties'!$O$91:$O$110,MATCH($F146,'Faculties'!$B$91:$B$110,0))),"N/A")</f>
        <v/>
      </c>
      <c r="L146" s="25">
        <f>IFERROR(IF(INDEX('CI&amp;S'!$O$10:$O$14,MATCH($F146,'CI&amp;S'!$B$10:$B$14,0))="","Cell will autofill based on response",INDEX('CI&amp;S'!$O$10:$O$14,MATCH($F146,'CI&amp;S'!$B$10:$B$14,0))),"N/A")</f>
        <v/>
      </c>
      <c r="M146" s="25">
        <f>IFERROR(IF(INDEX('CI&amp;S'!$O$22:$O$38,MATCH($F146,'CI&amp;S'!$B$22:$B$38,0))="","Cell will autofill based on response",INDEX('CI&amp;S'!$O$22:$O$38,MATCH($F146,'CI&amp;S'!$B$22:$B$38,0))),"N/A")</f>
        <v/>
      </c>
      <c r="N146" s="25">
        <f>IFERROR(IF(INDEX('CFOG'!$O$10:$O$15,MATCH($F146,'CFOG'!$B$10:$B$15,0))="","Cell will autofill based on response",INDEX('CFOG'!$O$10:$O$15,MATCH($F146,'CFOG'!$B$10:$B$15,0))),"N/A")</f>
        <v/>
      </c>
      <c r="O146" s="25">
        <f>IFERROR(IF(INDEX('CFOG'!$O$23:$O$23,MATCH($F146,'CFOG'!$B$23:$B$23,0))="","Cell will autofill based on response",INDEX('CFOG'!$O$23:$O$23,MATCH($F146,'CFOG'!$B$23:$B$23,0))),"N/A")</f>
        <v/>
      </c>
      <c r="P146" s="25">
        <f>IFERROR(IF(INDEX('ESG'!$O$10:$O$16,MATCH($F146,'ESG'!$B$10:$B$16,0))="","Cell will autofill based on response",INDEX('ESG'!$O$10:$O$16,MATCH($F146,'ESG'!$B$10:$B$16,0))),"N/A")</f>
        <v/>
      </c>
      <c r="Q146" s="25">
        <f>IFERROR(IF(INDEX('CIOG'!$O$10:$O$13,MATCH($F146,'CIOG'!$B$10:$B$13,0))="","Cell will autofill based on response",INDEX('CIOG'!$O$10:$O$13,MATCH($F146,'CIOG'!$B$10:$B$13,0))),"N/A")</f>
        <v/>
      </c>
      <c r="R146" s="25">
        <f>IFERROR(IF(INDEX('MRE'!$O$10:$O$11,MATCH($F146,'MRE'!$B$10:$B$11,0))="","Cell will autofill based on response",INDEX('MRE'!$O$10:$O$11,MATCH($F146,'MRE'!$B$10:$B$11,0))),"N/A")</f>
        <v/>
      </c>
    </row>
    <row r="147">
      <c r="A147">
        <f>F147&amp;"|"&amp;G147</f>
        <v/>
      </c>
      <c r="B147" s="29" t="inlineStr"/>
      <c r="C147" s="8" t="inlineStr"/>
      <c r="D147" s="8" t="inlineStr"/>
      <c r="E147" s="8" t="inlineStr"/>
      <c r="F147" s="8" t="inlineStr">
        <is>
          <t>CL3(a)</t>
        </is>
      </c>
      <c r="G147" s="8" t="inlineStr">
        <is>
          <t>Data source and limitations</t>
        </is>
      </c>
      <c r="H147" s="25">
        <f>IFERROR(IF(INDEX('Faculties'!$P$10:$P$29,MATCH($F147,'Faculties'!$B$10:$B$29,0))="","Cell will autofill based on response",INDEX('Faculties'!$P$10:$P$29,MATCH($F147,'Faculties'!$B$10:$B$29,0))),"N/A")</f>
        <v/>
      </c>
      <c r="I147" s="25">
        <f>IFERROR(IF(INDEX('Faculties'!$P$37:$P$56,MATCH($F147,'Faculties'!$B$37:$B$56,0))="","Cell will autofill based on response",INDEX('Faculties'!$P$37:$P$56,MATCH($F147,'Faculties'!$B$37:$B$56,0))),"N/A")</f>
        <v/>
      </c>
      <c r="J147" s="25">
        <f>IFERROR(IF(INDEX('Faculties'!$P$64:$P$83,MATCH($F147,'Faculties'!$B$64:$B$83,0))="","Cell will autofill based on response",INDEX('Faculties'!$P$64:$P$83,MATCH($F147,'Faculties'!$B$64:$B$83,0))),"N/A")</f>
        <v/>
      </c>
      <c r="K147" s="25">
        <f>IFERROR(IF(INDEX('Faculties'!$P$91:$P$110,MATCH($F147,'Faculties'!$B$91:$B$110,0))="","Cell will autofill based on response",INDEX('Faculties'!$P$91:$P$110,MATCH($F147,'Faculties'!$B$91:$B$110,0))),"N/A")</f>
        <v/>
      </c>
      <c r="L147" s="25">
        <f>IFERROR(IF(INDEX('CI&amp;S'!$P$10:$P$14,MATCH($F147,'CI&amp;S'!$B$10:$B$14,0))="","Cell will autofill based on response",INDEX('CI&amp;S'!$P$10:$P$14,MATCH($F147,'CI&amp;S'!$B$10:$B$14,0))),"N/A")</f>
        <v/>
      </c>
      <c r="M147" s="25">
        <f>IFERROR(IF(INDEX('CI&amp;S'!$P$22:$P$38,MATCH($F147,'CI&amp;S'!$B$22:$B$38,0))="","Cell will autofill based on response",INDEX('CI&amp;S'!$P$22:$P$38,MATCH($F147,'CI&amp;S'!$B$22:$B$38,0))),"N/A")</f>
        <v/>
      </c>
      <c r="N147" s="25">
        <f>IFERROR(IF(INDEX('CFOG'!$P$10:$P$15,MATCH($F147,'CFOG'!$B$10:$B$15,0))="","Cell will autofill based on response",INDEX('CFOG'!$P$10:$P$15,MATCH($F147,'CFOG'!$B$10:$B$15,0))),"N/A")</f>
        <v/>
      </c>
      <c r="O147" s="25">
        <f>IFERROR(IF(INDEX('CFOG'!$P$23:$P$23,MATCH($F147,'CFOG'!$B$23:$B$23,0))="","Cell will autofill based on response",INDEX('CFOG'!$P$23:$P$23,MATCH($F147,'CFOG'!$B$23:$B$23,0))),"N/A")</f>
        <v/>
      </c>
      <c r="P147" s="25">
        <f>IFERROR(IF(INDEX('ESG'!$P$10:$P$16,MATCH($F147,'ESG'!$B$10:$B$16,0))="","Cell will autofill based on response",INDEX('ESG'!$P$10:$P$16,MATCH($F147,'ESG'!$B$10:$B$16,0))),"N/A")</f>
        <v/>
      </c>
      <c r="Q147" s="25">
        <f>IFERROR(IF(INDEX('CIOG'!$P$10:$P$13,MATCH($F147,'CIOG'!$B$10:$B$13,0))="","Cell will autofill based on response",INDEX('CIOG'!$P$10:$P$13,MATCH($F147,'CIOG'!$B$10:$B$13,0))),"N/A")</f>
        <v/>
      </c>
      <c r="R147" s="25">
        <f>IFERROR(IF(INDEX('MRE'!$P$10:$P$11,MATCH($F147,'MRE'!$B$10:$B$11,0))="","Cell will autofill based on response",INDEX('MRE'!$P$10:$P$11,MATCH($F147,'MRE'!$B$10:$B$11,0))),"N/A")</f>
        <v/>
      </c>
    </row>
    <row r="148">
      <c r="A148">
        <f>F148&amp;"|"&amp;G148</f>
        <v/>
      </c>
      <c r="B148" s="29" t="inlineStr"/>
      <c r="C148" s="8" t="inlineStr"/>
      <c r="D148" s="8" t="inlineStr"/>
      <c r="E148" s="8" t="inlineStr"/>
      <c r="F148" s="8" t="inlineStr">
        <is>
          <t>CL3(a)</t>
        </is>
      </c>
      <c r="G148" s="8" t="inlineStr">
        <is>
          <t>Data owner confirms</t>
        </is>
      </c>
      <c r="H148" s="25">
        <f>IFERROR(IF(INDEX('Faculties'!$Q$10:$Q$29,MATCH($F148,'Faculties'!$B$10:$B$29,0))="","Cell will autofill based on response",INDEX('Faculties'!$Q$10:$Q$29,MATCH($F148,'Faculties'!$B$10:$B$29,0))),"N/A")</f>
        <v/>
      </c>
      <c r="I148" s="25">
        <f>IFERROR(IF(INDEX('Faculties'!$Q$37:$Q$56,MATCH($F148,'Faculties'!$B$37:$B$56,0))="","Cell will autofill based on response",INDEX('Faculties'!$Q$37:$Q$56,MATCH($F148,'Faculties'!$B$37:$B$56,0))),"N/A")</f>
        <v/>
      </c>
      <c r="J148" s="25">
        <f>IFERROR(IF(INDEX('Faculties'!$Q$64:$Q$83,MATCH($F148,'Faculties'!$B$64:$B$83,0))="","Cell will autofill based on response",INDEX('Faculties'!$Q$64:$Q$83,MATCH($F148,'Faculties'!$B$64:$B$83,0))),"N/A")</f>
        <v/>
      </c>
      <c r="K148" s="25">
        <f>IFERROR(IF(INDEX('Faculties'!$Q$91:$Q$110,MATCH($F148,'Faculties'!$B$91:$B$110,0))="","Cell will autofill based on response",INDEX('Faculties'!$Q$91:$Q$110,MATCH($F148,'Faculties'!$B$91:$B$110,0))),"N/A")</f>
        <v/>
      </c>
      <c r="L148" s="25">
        <f>IFERROR(IF(INDEX('CI&amp;S'!$Q$10:$Q$14,MATCH($F148,'CI&amp;S'!$B$10:$B$14,0))="","Cell will autofill based on response",INDEX('CI&amp;S'!$Q$10:$Q$14,MATCH($F148,'CI&amp;S'!$B$10:$B$14,0))),"N/A")</f>
        <v/>
      </c>
      <c r="M148" s="25">
        <f>IFERROR(IF(INDEX('CI&amp;S'!$Q$22:$Q$38,MATCH($F148,'CI&amp;S'!$B$22:$B$38,0))="","Cell will autofill based on response",INDEX('CI&amp;S'!$Q$22:$Q$38,MATCH($F148,'CI&amp;S'!$B$22:$B$38,0))),"N/A")</f>
        <v/>
      </c>
      <c r="N148" s="25">
        <f>IFERROR(IF(INDEX('CFOG'!$Q$10:$Q$15,MATCH($F148,'CFOG'!$B$10:$B$15,0))="","Cell will autofill based on response",INDEX('CFOG'!$Q$10:$Q$15,MATCH($F148,'CFOG'!$B$10:$B$15,0))),"N/A")</f>
        <v/>
      </c>
      <c r="O148" s="25">
        <f>IFERROR(IF(INDEX('CFOG'!$Q$23:$Q$23,MATCH($F148,'CFOG'!$B$23:$B$23,0))="","Cell will autofill based on response",INDEX('CFOG'!$Q$23:$Q$23,MATCH($F148,'CFOG'!$B$23:$B$23,0))),"N/A")</f>
        <v/>
      </c>
      <c r="P148" s="25">
        <f>IFERROR(IF(INDEX('ESG'!$Q$10:$Q$16,MATCH($F148,'ESG'!$B$10:$B$16,0))="","Cell will autofill based on response",INDEX('ESG'!$Q$10:$Q$16,MATCH($F148,'ESG'!$B$10:$B$16,0))),"N/A")</f>
        <v/>
      </c>
      <c r="Q148" s="25">
        <f>IFERROR(IF(INDEX('CIOG'!$Q$10:$Q$13,MATCH($F148,'CIOG'!$B$10:$B$13,0))="","Cell will autofill based on response",INDEX('CIOG'!$Q$10:$Q$13,MATCH($F148,'CIOG'!$B$10:$B$13,0))),"N/A")</f>
        <v/>
      </c>
      <c r="R148" s="25">
        <f>IFERROR(IF(INDEX('MRE'!$Q$10:$Q$11,MATCH($F148,'MRE'!$B$10:$B$11,0))="","Cell will autofill based on response",INDEX('MRE'!$Q$10:$Q$11,MATCH($F148,'MRE'!$B$10:$B$11,0))),"N/A")</f>
        <v/>
      </c>
    </row>
    <row r="149">
      <c r="A149">
        <f>F149&amp;"|"&amp;G149</f>
        <v/>
      </c>
      <c r="B149" s="7" t="inlineStr">
        <is>
          <t>NB1(a)</t>
        </is>
      </c>
      <c r="C149" s="12" t="inlineStr">
        <is>
          <t>Nature and biodiversity</t>
        </is>
      </c>
      <c r="D149" s="12" t="inlineStr">
        <is>
          <t>Monitoring of biodiversity metrics from the Biodiversity Baseline Data Project</t>
        </is>
      </c>
      <c r="E149" s="12" t="inlineStr">
        <is>
          <t>7 diversity metrics from https://sustainablecampus.unimelb.edu.au/biodiversity/biodiversity-baseline-data-project#main-content</t>
        </is>
      </c>
      <c r="F149" s="12" t="inlineStr">
        <is>
          <t>NB1(a)</t>
        </is>
      </c>
      <c r="G149" s="12" t="inlineStr">
        <is>
          <t>Confirm end-2026 target status</t>
        </is>
      </c>
      <c r="H149" s="25">
        <f>IFERROR(IF(INDEX('Faculties'!$L$10:$L$29,MATCH($F149,'Faculties'!$B$10:$B$29,0))="","Cell will autofill based on response",INDEX('Faculties'!$L$10:$L$29,MATCH($F149,'Faculties'!$B$10:$B$29,0))),"N/A")</f>
        <v/>
      </c>
      <c r="I149" s="25">
        <f>IFERROR(IF(INDEX('Faculties'!$L$37:$L$56,MATCH($F149,'Faculties'!$B$37:$B$56,0))="","Cell will autofill based on response",INDEX('Faculties'!$L$37:$L$56,MATCH($F149,'Faculties'!$B$37:$B$56,0))),"N/A")</f>
        <v/>
      </c>
      <c r="J149" s="25">
        <f>IFERROR(IF(INDEX('Faculties'!$L$64:$L$83,MATCH($F149,'Faculties'!$B$64:$B$83,0))="","Cell will autofill based on response",INDEX('Faculties'!$L$64:$L$83,MATCH($F149,'Faculties'!$B$64:$B$83,0))),"N/A")</f>
        <v/>
      </c>
      <c r="K149" s="25">
        <f>IFERROR(IF(INDEX('Faculties'!$L$91:$L$110,MATCH($F149,'Faculties'!$B$91:$B$110,0))="","Cell will autofill based on response",INDEX('Faculties'!$L$91:$L$110,MATCH($F149,'Faculties'!$B$91:$B$110,0))),"N/A")</f>
        <v/>
      </c>
      <c r="L149" s="25">
        <f>IFERROR(IF(INDEX('CI&amp;S'!$L$10:$L$14,MATCH($F149,'CI&amp;S'!$B$10:$B$14,0))="","Cell will autofill based on response",INDEX('CI&amp;S'!$L$10:$L$14,MATCH($F149,'CI&amp;S'!$B$10:$B$14,0))),"N/A")</f>
        <v/>
      </c>
      <c r="M149" s="25">
        <f>IFERROR(IF(INDEX('CI&amp;S'!$L$22:$L$38,MATCH($F149,'CI&amp;S'!$B$22:$B$38,0))="","Cell will autofill based on response",INDEX('CI&amp;S'!$L$22:$L$38,MATCH($F149,'CI&amp;S'!$B$22:$B$38,0))),"N/A")</f>
        <v/>
      </c>
      <c r="N149" s="25">
        <f>IFERROR(IF(INDEX('CFOG'!$L$10:$L$15,MATCH($F149,'CFOG'!$B$10:$B$15,0))="","Cell will autofill based on response",INDEX('CFOG'!$L$10:$L$15,MATCH($F149,'CFOG'!$B$10:$B$15,0))),"N/A")</f>
        <v/>
      </c>
      <c r="O149" s="25">
        <f>IFERROR(IF(INDEX('CFOG'!$L$23:$L$23,MATCH($F149,'CFOG'!$B$23:$B$23,0))="","Cell will autofill based on response",INDEX('CFOG'!$L$23:$L$23,MATCH($F149,'CFOG'!$B$23:$B$23,0))),"N/A")</f>
        <v/>
      </c>
      <c r="P149" s="25">
        <f>IFERROR(IF(INDEX('ESG'!$L$10:$L$16,MATCH($F149,'ESG'!$B$10:$B$16,0))="","Cell will autofill based on response",INDEX('ESG'!$L$10:$L$16,MATCH($F149,'ESG'!$B$10:$B$16,0))),"N/A")</f>
        <v/>
      </c>
      <c r="Q149" s="25">
        <f>IFERROR(IF(INDEX('CIOG'!$L$10:$L$13,MATCH($F149,'CIOG'!$B$10:$B$13,0))="","Cell will autofill based on response",INDEX('CIOG'!$L$10:$L$13,MATCH($F149,'CIOG'!$B$10:$B$13,0))),"N/A")</f>
        <v/>
      </c>
      <c r="R149" s="25">
        <f>IFERROR(IF(INDEX('MRE'!$L$10:$L$11,MATCH($F149,'MRE'!$B$10:$B$11,0))="","Cell will autofill based on response",INDEX('MRE'!$L$10:$L$11,MATCH($F149,'MRE'!$B$10:$B$11,0))),"N/A")</f>
        <v/>
      </c>
      <c r="T149" s="26">
        <f>COUNTIF($H149:$R149,"Cell will autofill based on response")</f>
        <v/>
      </c>
      <c r="U149" s="26">
        <f>COUNTIF($H149:$R149,"Not yet started")</f>
        <v/>
      </c>
      <c r="V149" s="26">
        <f>COUNTIF($H149:$R149,"Not met")</f>
        <v/>
      </c>
      <c r="W149" s="26">
        <f>COUNTIF($H149:$R149,"Partially met")</f>
        <v/>
      </c>
      <c r="X149" s="26">
        <f>COUNTIF($H149:$R149,"Met or exceeded")</f>
        <v/>
      </c>
      <c r="Y149" s="26">
        <f>3*X149+2*W149+V149</f>
        <v/>
      </c>
      <c r="Z149" s="26">
        <f>X149+W149+V149+U149</f>
        <v/>
      </c>
      <c r="AA149" s="27">
        <f>IF(Z149&gt;0,Y149/Z149,"No valid responses to date")</f>
        <v/>
      </c>
      <c r="AB149" s="26">
        <f>IF(ISNUMBER(AA149),INDEX(Lists!$G$2:$G$5,MATCH(ROUND(AA149,0),Lists!$H$2:$H$5,0)),"")</f>
        <v/>
      </c>
      <c r="AC149" s="28">
        <f>IF(Z149&gt;0,X149/Z149,"")</f>
        <v/>
      </c>
      <c r="AD149" s="28">
        <f>IF(Z149&gt;0,(X149+W149)/Z149,"")</f>
        <v/>
      </c>
      <c r="AE149" s="26">
        <f>IF(Z149=0,"",IF(AC149&gt;0.75,"Met or exceeded",IF(AD149&gt;=0.5,"Partially met","Not met")))</f>
        <v/>
      </c>
    </row>
    <row r="150">
      <c r="A150">
        <f>F150&amp;"|"&amp;G150</f>
        <v/>
      </c>
      <c r="B150" s="29" t="inlineStr"/>
      <c r="C150" s="8" t="inlineStr"/>
      <c r="D150" s="8" t="inlineStr"/>
      <c r="E150" s="8" t="inlineStr"/>
      <c r="F150" s="8" t="inlineStr">
        <is>
          <t>NB1(a)</t>
        </is>
      </c>
      <c r="G150" s="8" t="inlineStr">
        <is>
          <t>OPTION 1:  Target-level reporting</t>
        </is>
      </c>
      <c r="H150" s="25">
        <f>IFERROR(IF(INDEX('Faculties'!$M$10:$M$29,MATCH($F150,'Faculties'!$B$10:$B$29,0))="","Cell will autofill based on response",INDEX('Faculties'!$M$10:$M$29,MATCH($F150,'Faculties'!$B$10:$B$29,0))),"N/A")</f>
        <v/>
      </c>
      <c r="I150" s="25">
        <f>IFERROR(IF(INDEX('Faculties'!$M$37:$M$56,MATCH($F150,'Faculties'!$B$37:$B$56,0))="","Cell will autofill based on response",INDEX('Faculties'!$M$37:$M$56,MATCH($F150,'Faculties'!$B$37:$B$56,0))),"N/A")</f>
        <v/>
      </c>
      <c r="J150" s="25">
        <f>IFERROR(IF(INDEX('Faculties'!$M$64:$M$83,MATCH($F150,'Faculties'!$B$64:$B$83,0))="","Cell will autofill based on response",INDEX('Faculties'!$M$64:$M$83,MATCH($F150,'Faculties'!$B$64:$B$83,0))),"N/A")</f>
        <v/>
      </c>
      <c r="K150" s="25">
        <f>IFERROR(IF(INDEX('Faculties'!$M$91:$M$110,MATCH($F150,'Faculties'!$B$91:$B$110,0))="","Cell will autofill based on response",INDEX('Faculties'!$M$91:$M$110,MATCH($F150,'Faculties'!$B$91:$B$110,0))),"N/A")</f>
        <v/>
      </c>
      <c r="L150" s="25">
        <f>IFERROR(IF(INDEX('CI&amp;S'!$M$10:$M$14,MATCH($F150,'CI&amp;S'!$B$10:$B$14,0))="","Cell will autofill based on response",INDEX('CI&amp;S'!$M$10:$M$14,MATCH($F150,'CI&amp;S'!$B$10:$B$14,0))),"N/A")</f>
        <v/>
      </c>
      <c r="M150" s="25">
        <f>IFERROR(IF(INDEX('CI&amp;S'!$M$22:$M$38,MATCH($F150,'CI&amp;S'!$B$22:$B$38,0))="","Cell will autofill based on response",INDEX('CI&amp;S'!$M$22:$M$38,MATCH($F150,'CI&amp;S'!$B$22:$B$38,0))),"N/A")</f>
        <v/>
      </c>
      <c r="N150" s="25">
        <f>IFERROR(IF(INDEX('CFOG'!$M$10:$M$15,MATCH($F150,'CFOG'!$B$10:$B$15,0))="","Cell will autofill based on response",INDEX('CFOG'!$M$10:$M$15,MATCH($F150,'CFOG'!$B$10:$B$15,0))),"N/A")</f>
        <v/>
      </c>
      <c r="O150" s="25">
        <f>IFERROR(IF(INDEX('CFOG'!$M$23:$M$23,MATCH($F150,'CFOG'!$B$23:$B$23,0))="","Cell will autofill based on response",INDEX('CFOG'!$M$23:$M$23,MATCH($F150,'CFOG'!$B$23:$B$23,0))),"N/A")</f>
        <v/>
      </c>
      <c r="P150" s="25">
        <f>IFERROR(IF(INDEX('ESG'!$M$10:$M$16,MATCH($F150,'ESG'!$B$10:$B$16,0))="","Cell will autofill based on response",INDEX('ESG'!$M$10:$M$16,MATCH($F150,'ESG'!$B$10:$B$16,0))),"N/A")</f>
        <v/>
      </c>
      <c r="Q150" s="25">
        <f>IFERROR(IF(INDEX('CIOG'!$M$10:$M$13,MATCH($F150,'CIOG'!$B$10:$B$13,0))="","Cell will autofill based on response",INDEX('CIOG'!$M$10:$M$13,MATCH($F150,'CIOG'!$B$10:$B$13,0))),"N/A")</f>
        <v/>
      </c>
      <c r="R150" s="25">
        <f>IFERROR(IF(INDEX('MRE'!$M$10:$M$11,MATCH($F150,'MRE'!$B$10:$B$11,0))="","Cell will autofill based on response",INDEX('MRE'!$M$10:$M$11,MATCH($F150,'MRE'!$B$10:$B$11,0))),"N/A")</f>
        <v/>
      </c>
    </row>
    <row r="151">
      <c r="A151">
        <f>F151&amp;"|"&amp;G151</f>
        <v/>
      </c>
      <c r="B151" s="29" t="inlineStr"/>
      <c r="C151" s="8" t="inlineStr"/>
      <c r="D151" s="8" t="inlineStr"/>
      <c r="E151" s="8" t="inlineStr"/>
      <c r="F151" s="8" t="inlineStr">
        <is>
          <t>NB1(a)</t>
        </is>
      </c>
      <c r="G151" s="8" t="inlineStr">
        <is>
          <t>OPTION 2:  Indicator level reporting</t>
        </is>
      </c>
      <c r="H151" s="25">
        <f>IFERROR(IF(INDEX('Faculties'!$N$10:$N$29,MATCH($F151,'Faculties'!$B$10:$B$29,0))="","Cell will autofill based on response",INDEX('Faculties'!$N$10:$N$29,MATCH($F151,'Faculties'!$B$10:$B$29,0))),"N/A")</f>
        <v/>
      </c>
      <c r="I151" s="25">
        <f>IFERROR(IF(INDEX('Faculties'!$N$37:$N$56,MATCH($F151,'Faculties'!$B$37:$B$56,0))="","Cell will autofill based on response",INDEX('Faculties'!$N$37:$N$56,MATCH($F151,'Faculties'!$B$37:$B$56,0))),"N/A")</f>
        <v/>
      </c>
      <c r="J151" s="25">
        <f>IFERROR(IF(INDEX('Faculties'!$N$64:$N$83,MATCH($F151,'Faculties'!$B$64:$B$83,0))="","Cell will autofill based on response",INDEX('Faculties'!$N$64:$N$83,MATCH($F151,'Faculties'!$B$64:$B$83,0))),"N/A")</f>
        <v/>
      </c>
      <c r="K151" s="25">
        <f>IFERROR(IF(INDEX('Faculties'!$N$91:$N$110,MATCH($F151,'Faculties'!$B$91:$B$110,0))="","Cell will autofill based on response",INDEX('Faculties'!$N$91:$N$110,MATCH($F151,'Faculties'!$B$91:$B$110,0))),"N/A")</f>
        <v/>
      </c>
      <c r="L151" s="25">
        <f>IFERROR(IF(INDEX('CI&amp;S'!$N$10:$N$14,MATCH($F151,'CI&amp;S'!$B$10:$B$14,0))="","Cell will autofill based on response",INDEX('CI&amp;S'!$N$10:$N$14,MATCH($F151,'CI&amp;S'!$B$10:$B$14,0))),"N/A")</f>
        <v/>
      </c>
      <c r="M151" s="25">
        <f>IFERROR(IF(INDEX('CI&amp;S'!$N$22:$N$38,MATCH($F151,'CI&amp;S'!$B$22:$B$38,0))="","Cell will autofill based on response",INDEX('CI&amp;S'!$N$22:$N$38,MATCH($F151,'CI&amp;S'!$B$22:$B$38,0))),"N/A")</f>
        <v/>
      </c>
      <c r="N151" s="25">
        <f>IFERROR(IF(INDEX('CFOG'!$N$10:$N$15,MATCH($F151,'CFOG'!$B$10:$B$15,0))="","Cell will autofill based on response",INDEX('CFOG'!$N$10:$N$15,MATCH($F151,'CFOG'!$B$10:$B$15,0))),"N/A")</f>
        <v/>
      </c>
      <c r="O151" s="25">
        <f>IFERROR(IF(INDEX('CFOG'!$N$23:$N$23,MATCH($F151,'CFOG'!$B$23:$B$23,0))="","Cell will autofill based on response",INDEX('CFOG'!$N$23:$N$23,MATCH($F151,'CFOG'!$B$23:$B$23,0))),"N/A")</f>
        <v/>
      </c>
      <c r="P151" s="25">
        <f>IFERROR(IF(INDEX('ESG'!$N$10:$N$16,MATCH($F151,'ESG'!$B$10:$B$16,0))="","Cell will autofill based on response",INDEX('ESG'!$N$10:$N$16,MATCH($F151,'ESG'!$B$10:$B$16,0))),"N/A")</f>
        <v/>
      </c>
      <c r="Q151" s="25">
        <f>IFERROR(IF(INDEX('CIOG'!$N$10:$N$13,MATCH($F151,'CIOG'!$B$10:$B$13,0))="","Cell will autofill based on response",INDEX('CIOG'!$N$10:$N$13,MATCH($F151,'CIOG'!$B$10:$B$13,0))),"N/A")</f>
        <v/>
      </c>
      <c r="R151" s="25">
        <f>IFERROR(IF(INDEX('MRE'!$N$10:$N$11,MATCH($F151,'MRE'!$B$10:$B$11,0))="","Cell will autofill based on response",INDEX('MRE'!$N$10:$N$11,MATCH($F151,'MRE'!$B$10:$B$11,0))),"N/A")</f>
        <v/>
      </c>
    </row>
    <row r="152">
      <c r="A152">
        <f>F152&amp;"|"&amp;G152</f>
        <v/>
      </c>
      <c r="B152" s="29" t="inlineStr"/>
      <c r="C152" s="8" t="inlineStr"/>
      <c r="D152" s="8" t="inlineStr"/>
      <c r="E152" s="8" t="inlineStr"/>
      <c r="F152" s="8" t="inlineStr">
        <is>
          <t>NB1(a)</t>
        </is>
      </c>
      <c r="G152" s="8" t="inlineStr">
        <is>
          <t>Supporting information/comments</t>
        </is>
      </c>
      <c r="H152" s="25">
        <f>IFERROR(IF(INDEX('Faculties'!$O$10:$O$29,MATCH($F152,'Faculties'!$B$10:$B$29,0))="","Cell will autofill based on response",INDEX('Faculties'!$O$10:$O$29,MATCH($F152,'Faculties'!$B$10:$B$29,0))),"N/A")</f>
        <v/>
      </c>
      <c r="I152" s="25">
        <f>IFERROR(IF(INDEX('Faculties'!$O$37:$O$56,MATCH($F152,'Faculties'!$B$37:$B$56,0))="","Cell will autofill based on response",INDEX('Faculties'!$O$37:$O$56,MATCH($F152,'Faculties'!$B$37:$B$56,0))),"N/A")</f>
        <v/>
      </c>
      <c r="J152" s="25">
        <f>IFERROR(IF(INDEX('Faculties'!$O$64:$O$83,MATCH($F152,'Faculties'!$B$64:$B$83,0))="","Cell will autofill based on response",INDEX('Faculties'!$O$64:$O$83,MATCH($F152,'Faculties'!$B$64:$B$83,0))),"N/A")</f>
        <v/>
      </c>
      <c r="K152" s="25">
        <f>IFERROR(IF(INDEX('Faculties'!$O$91:$O$110,MATCH($F152,'Faculties'!$B$91:$B$110,0))="","Cell will autofill based on response",INDEX('Faculties'!$O$91:$O$110,MATCH($F152,'Faculties'!$B$91:$B$110,0))),"N/A")</f>
        <v/>
      </c>
      <c r="L152" s="25">
        <f>IFERROR(IF(INDEX('CI&amp;S'!$O$10:$O$14,MATCH($F152,'CI&amp;S'!$B$10:$B$14,0))="","Cell will autofill based on response",INDEX('CI&amp;S'!$O$10:$O$14,MATCH($F152,'CI&amp;S'!$B$10:$B$14,0))),"N/A")</f>
        <v/>
      </c>
      <c r="M152" s="25">
        <f>IFERROR(IF(INDEX('CI&amp;S'!$O$22:$O$38,MATCH($F152,'CI&amp;S'!$B$22:$B$38,0))="","Cell will autofill based on response",INDEX('CI&amp;S'!$O$22:$O$38,MATCH($F152,'CI&amp;S'!$B$22:$B$38,0))),"N/A")</f>
        <v/>
      </c>
      <c r="N152" s="25">
        <f>IFERROR(IF(INDEX('CFOG'!$O$10:$O$15,MATCH($F152,'CFOG'!$B$10:$B$15,0))="","Cell will autofill based on response",INDEX('CFOG'!$O$10:$O$15,MATCH($F152,'CFOG'!$B$10:$B$15,0))),"N/A")</f>
        <v/>
      </c>
      <c r="O152" s="25">
        <f>IFERROR(IF(INDEX('CFOG'!$O$23:$O$23,MATCH($F152,'CFOG'!$B$23:$B$23,0))="","Cell will autofill based on response",INDEX('CFOG'!$O$23:$O$23,MATCH($F152,'CFOG'!$B$23:$B$23,0))),"N/A")</f>
        <v/>
      </c>
      <c r="P152" s="25">
        <f>IFERROR(IF(INDEX('ESG'!$O$10:$O$16,MATCH($F152,'ESG'!$B$10:$B$16,0))="","Cell will autofill based on response",INDEX('ESG'!$O$10:$O$16,MATCH($F152,'ESG'!$B$10:$B$16,0))),"N/A")</f>
        <v/>
      </c>
      <c r="Q152" s="25">
        <f>IFERROR(IF(INDEX('CIOG'!$O$10:$O$13,MATCH($F152,'CIOG'!$B$10:$B$13,0))="","Cell will autofill based on response",INDEX('CIOG'!$O$10:$O$13,MATCH($F152,'CIOG'!$B$10:$B$13,0))),"N/A")</f>
        <v/>
      </c>
      <c r="R152" s="25">
        <f>IFERROR(IF(INDEX('MRE'!$O$10:$O$11,MATCH($F152,'MRE'!$B$10:$B$11,0))="","Cell will autofill based on response",INDEX('MRE'!$O$10:$O$11,MATCH($F152,'MRE'!$B$10:$B$11,0))),"N/A")</f>
        <v/>
      </c>
    </row>
    <row r="153">
      <c r="A153">
        <f>F153&amp;"|"&amp;G153</f>
        <v/>
      </c>
      <c r="B153" s="29" t="inlineStr"/>
      <c r="C153" s="8" t="inlineStr"/>
      <c r="D153" s="8" t="inlineStr"/>
      <c r="E153" s="8" t="inlineStr"/>
      <c r="F153" s="8" t="inlineStr">
        <is>
          <t>NB1(a)</t>
        </is>
      </c>
      <c r="G153" s="8" t="inlineStr">
        <is>
          <t>Data source and limitations</t>
        </is>
      </c>
      <c r="H153" s="25">
        <f>IFERROR(IF(INDEX('Faculties'!$P$10:$P$29,MATCH($F153,'Faculties'!$B$10:$B$29,0))="","Cell will autofill based on response",INDEX('Faculties'!$P$10:$P$29,MATCH($F153,'Faculties'!$B$10:$B$29,0))),"N/A")</f>
        <v/>
      </c>
      <c r="I153" s="25">
        <f>IFERROR(IF(INDEX('Faculties'!$P$37:$P$56,MATCH($F153,'Faculties'!$B$37:$B$56,0))="","Cell will autofill based on response",INDEX('Faculties'!$P$37:$P$56,MATCH($F153,'Faculties'!$B$37:$B$56,0))),"N/A")</f>
        <v/>
      </c>
      <c r="J153" s="25">
        <f>IFERROR(IF(INDEX('Faculties'!$P$64:$P$83,MATCH($F153,'Faculties'!$B$64:$B$83,0))="","Cell will autofill based on response",INDEX('Faculties'!$P$64:$P$83,MATCH($F153,'Faculties'!$B$64:$B$83,0))),"N/A")</f>
        <v/>
      </c>
      <c r="K153" s="25">
        <f>IFERROR(IF(INDEX('Faculties'!$P$91:$P$110,MATCH($F153,'Faculties'!$B$91:$B$110,0))="","Cell will autofill based on response",INDEX('Faculties'!$P$91:$P$110,MATCH($F153,'Faculties'!$B$91:$B$110,0))),"N/A")</f>
        <v/>
      </c>
      <c r="L153" s="25">
        <f>IFERROR(IF(INDEX('CI&amp;S'!$P$10:$P$14,MATCH($F153,'CI&amp;S'!$B$10:$B$14,0))="","Cell will autofill based on response",INDEX('CI&amp;S'!$P$10:$P$14,MATCH($F153,'CI&amp;S'!$B$10:$B$14,0))),"N/A")</f>
        <v/>
      </c>
      <c r="M153" s="25">
        <f>IFERROR(IF(INDEX('CI&amp;S'!$P$22:$P$38,MATCH($F153,'CI&amp;S'!$B$22:$B$38,0))="","Cell will autofill based on response",INDEX('CI&amp;S'!$P$22:$P$38,MATCH($F153,'CI&amp;S'!$B$22:$B$38,0))),"N/A")</f>
        <v/>
      </c>
      <c r="N153" s="25">
        <f>IFERROR(IF(INDEX('CFOG'!$P$10:$P$15,MATCH($F153,'CFOG'!$B$10:$B$15,0))="","Cell will autofill based on response",INDEX('CFOG'!$P$10:$P$15,MATCH($F153,'CFOG'!$B$10:$B$15,0))),"N/A")</f>
        <v/>
      </c>
      <c r="O153" s="25">
        <f>IFERROR(IF(INDEX('CFOG'!$P$23:$P$23,MATCH($F153,'CFOG'!$B$23:$B$23,0))="","Cell will autofill based on response",INDEX('CFOG'!$P$23:$P$23,MATCH($F153,'CFOG'!$B$23:$B$23,0))),"N/A")</f>
        <v/>
      </c>
      <c r="P153" s="25">
        <f>IFERROR(IF(INDEX('ESG'!$P$10:$P$16,MATCH($F153,'ESG'!$B$10:$B$16,0))="","Cell will autofill based on response",INDEX('ESG'!$P$10:$P$16,MATCH($F153,'ESG'!$B$10:$B$16,0))),"N/A")</f>
        <v/>
      </c>
      <c r="Q153" s="25">
        <f>IFERROR(IF(INDEX('CIOG'!$P$10:$P$13,MATCH($F153,'CIOG'!$B$10:$B$13,0))="","Cell will autofill based on response",INDEX('CIOG'!$P$10:$P$13,MATCH($F153,'CIOG'!$B$10:$B$13,0))),"N/A")</f>
        <v/>
      </c>
      <c r="R153" s="25">
        <f>IFERROR(IF(INDEX('MRE'!$P$10:$P$11,MATCH($F153,'MRE'!$B$10:$B$11,0))="","Cell will autofill based on response",INDEX('MRE'!$P$10:$P$11,MATCH($F153,'MRE'!$B$10:$B$11,0))),"N/A")</f>
        <v/>
      </c>
    </row>
    <row r="154">
      <c r="A154">
        <f>F154&amp;"|"&amp;G154</f>
        <v/>
      </c>
      <c r="B154" s="29" t="inlineStr"/>
      <c r="C154" s="8" t="inlineStr"/>
      <c r="D154" s="8" t="inlineStr"/>
      <c r="E154" s="8" t="inlineStr"/>
      <c r="F154" s="8" t="inlineStr">
        <is>
          <t>NB1(a)</t>
        </is>
      </c>
      <c r="G154" s="8" t="inlineStr">
        <is>
          <t>Data owner confirms</t>
        </is>
      </c>
      <c r="H154" s="25">
        <f>IFERROR(IF(INDEX('Faculties'!$Q$10:$Q$29,MATCH($F154,'Faculties'!$B$10:$B$29,0))="","Cell will autofill based on response",INDEX('Faculties'!$Q$10:$Q$29,MATCH($F154,'Faculties'!$B$10:$B$29,0))),"N/A")</f>
        <v/>
      </c>
      <c r="I154" s="25">
        <f>IFERROR(IF(INDEX('Faculties'!$Q$37:$Q$56,MATCH($F154,'Faculties'!$B$37:$B$56,0))="","Cell will autofill based on response",INDEX('Faculties'!$Q$37:$Q$56,MATCH($F154,'Faculties'!$B$37:$B$56,0))),"N/A")</f>
        <v/>
      </c>
      <c r="J154" s="25">
        <f>IFERROR(IF(INDEX('Faculties'!$Q$64:$Q$83,MATCH($F154,'Faculties'!$B$64:$B$83,0))="","Cell will autofill based on response",INDEX('Faculties'!$Q$64:$Q$83,MATCH($F154,'Faculties'!$B$64:$B$83,0))),"N/A")</f>
        <v/>
      </c>
      <c r="K154" s="25">
        <f>IFERROR(IF(INDEX('Faculties'!$Q$91:$Q$110,MATCH($F154,'Faculties'!$B$91:$B$110,0))="","Cell will autofill based on response",INDEX('Faculties'!$Q$91:$Q$110,MATCH($F154,'Faculties'!$B$91:$B$110,0))),"N/A")</f>
        <v/>
      </c>
      <c r="L154" s="25">
        <f>IFERROR(IF(INDEX('CI&amp;S'!$Q$10:$Q$14,MATCH($F154,'CI&amp;S'!$B$10:$B$14,0))="","Cell will autofill based on response",INDEX('CI&amp;S'!$Q$10:$Q$14,MATCH($F154,'CI&amp;S'!$B$10:$B$14,0))),"N/A")</f>
        <v/>
      </c>
      <c r="M154" s="25">
        <f>IFERROR(IF(INDEX('CI&amp;S'!$Q$22:$Q$38,MATCH($F154,'CI&amp;S'!$B$22:$B$38,0))="","Cell will autofill based on response",INDEX('CI&amp;S'!$Q$22:$Q$38,MATCH($F154,'CI&amp;S'!$B$22:$B$38,0))),"N/A")</f>
        <v/>
      </c>
      <c r="N154" s="25">
        <f>IFERROR(IF(INDEX('CFOG'!$Q$10:$Q$15,MATCH($F154,'CFOG'!$B$10:$B$15,0))="","Cell will autofill based on response",INDEX('CFOG'!$Q$10:$Q$15,MATCH($F154,'CFOG'!$B$10:$B$15,0))),"N/A")</f>
        <v/>
      </c>
      <c r="O154" s="25">
        <f>IFERROR(IF(INDEX('CFOG'!$Q$23:$Q$23,MATCH($F154,'CFOG'!$B$23:$B$23,0))="","Cell will autofill based on response",INDEX('CFOG'!$Q$23:$Q$23,MATCH($F154,'CFOG'!$B$23:$B$23,0))),"N/A")</f>
        <v/>
      </c>
      <c r="P154" s="25">
        <f>IFERROR(IF(INDEX('ESG'!$Q$10:$Q$16,MATCH($F154,'ESG'!$B$10:$B$16,0))="","Cell will autofill based on response",INDEX('ESG'!$Q$10:$Q$16,MATCH($F154,'ESG'!$B$10:$B$16,0))),"N/A")</f>
        <v/>
      </c>
      <c r="Q154" s="25">
        <f>IFERROR(IF(INDEX('CIOG'!$Q$10:$Q$13,MATCH($F154,'CIOG'!$B$10:$B$13,0))="","Cell will autofill based on response",INDEX('CIOG'!$Q$10:$Q$13,MATCH($F154,'CIOG'!$B$10:$B$13,0))),"N/A")</f>
        <v/>
      </c>
      <c r="R154" s="25">
        <f>IFERROR(IF(INDEX('MRE'!$Q$10:$Q$11,MATCH($F154,'MRE'!$B$10:$B$11,0))="","Cell will autofill based on response",INDEX('MRE'!$Q$10:$Q$11,MATCH($F154,'MRE'!$B$10:$B$11,0))),"N/A")</f>
        <v/>
      </c>
    </row>
    <row r="155">
      <c r="A155">
        <f>F155&amp;"|"&amp;G155</f>
        <v/>
      </c>
      <c r="B155" s="7" t="inlineStr">
        <is>
          <t>NB1(b)</t>
        </is>
      </c>
      <c r="C155" s="12" t="inlineStr">
        <is>
          <t>Nature and biodiversity</t>
        </is>
      </c>
      <c r="D155" s="12" t="inlineStr">
        <is>
          <t>Size, health and diversity of remnant vegetation at the Dookie and Creswick campuses</t>
        </is>
      </c>
      <c r="E155" s="12" t="inlineStr"/>
      <c r="F155" s="12" t="inlineStr">
        <is>
          <t>NB1(b)</t>
        </is>
      </c>
      <c r="G155" s="12" t="inlineStr">
        <is>
          <t>Confirm end-2026 target status</t>
        </is>
      </c>
      <c r="H155" s="25">
        <f>IFERROR(IF(INDEX('Faculties'!$L$10:$L$29,MATCH($F155,'Faculties'!$B$10:$B$29,0))="","Cell will autofill based on response",INDEX('Faculties'!$L$10:$L$29,MATCH($F155,'Faculties'!$B$10:$B$29,0))),"N/A")</f>
        <v/>
      </c>
      <c r="I155" s="25">
        <f>IFERROR(IF(INDEX('Faculties'!$L$37:$L$56,MATCH($F155,'Faculties'!$B$37:$B$56,0))="","Cell will autofill based on response",INDEX('Faculties'!$L$37:$L$56,MATCH($F155,'Faculties'!$B$37:$B$56,0))),"N/A")</f>
        <v/>
      </c>
      <c r="J155" s="25">
        <f>IFERROR(IF(INDEX('Faculties'!$L$64:$L$83,MATCH($F155,'Faculties'!$B$64:$B$83,0))="","Cell will autofill based on response",INDEX('Faculties'!$L$64:$L$83,MATCH($F155,'Faculties'!$B$64:$B$83,0))),"N/A")</f>
        <v/>
      </c>
      <c r="K155" s="25">
        <f>IFERROR(IF(INDEX('Faculties'!$L$91:$L$110,MATCH($F155,'Faculties'!$B$91:$B$110,0))="","Cell will autofill based on response",INDEX('Faculties'!$L$91:$L$110,MATCH($F155,'Faculties'!$B$91:$B$110,0))),"N/A")</f>
        <v/>
      </c>
      <c r="L155" s="25">
        <f>IFERROR(IF(INDEX('CI&amp;S'!$L$10:$L$14,MATCH($F155,'CI&amp;S'!$B$10:$B$14,0))="","Cell will autofill based on response",INDEX('CI&amp;S'!$L$10:$L$14,MATCH($F155,'CI&amp;S'!$B$10:$B$14,0))),"N/A")</f>
        <v/>
      </c>
      <c r="M155" s="25">
        <f>IFERROR(IF(INDEX('CI&amp;S'!$L$22:$L$38,MATCH($F155,'CI&amp;S'!$B$22:$B$38,0))="","Cell will autofill based on response",INDEX('CI&amp;S'!$L$22:$L$38,MATCH($F155,'CI&amp;S'!$B$22:$B$38,0))),"N/A")</f>
        <v/>
      </c>
      <c r="N155" s="25">
        <f>IFERROR(IF(INDEX('CFOG'!$L$10:$L$15,MATCH($F155,'CFOG'!$B$10:$B$15,0))="","Cell will autofill based on response",INDEX('CFOG'!$L$10:$L$15,MATCH($F155,'CFOG'!$B$10:$B$15,0))),"N/A")</f>
        <v/>
      </c>
      <c r="O155" s="25">
        <f>IFERROR(IF(INDEX('CFOG'!$L$23:$L$23,MATCH($F155,'CFOG'!$B$23:$B$23,0))="","Cell will autofill based on response",INDEX('CFOG'!$L$23:$L$23,MATCH($F155,'CFOG'!$B$23:$B$23,0))),"N/A")</f>
        <v/>
      </c>
      <c r="P155" s="25">
        <f>IFERROR(IF(INDEX('ESG'!$L$10:$L$16,MATCH($F155,'ESG'!$B$10:$B$16,0))="","Cell will autofill based on response",INDEX('ESG'!$L$10:$L$16,MATCH($F155,'ESG'!$B$10:$B$16,0))),"N/A")</f>
        <v/>
      </c>
      <c r="Q155" s="25">
        <f>IFERROR(IF(INDEX('CIOG'!$L$10:$L$13,MATCH($F155,'CIOG'!$B$10:$B$13,0))="","Cell will autofill based on response",INDEX('CIOG'!$L$10:$L$13,MATCH($F155,'CIOG'!$B$10:$B$13,0))),"N/A")</f>
        <v/>
      </c>
      <c r="R155" s="25">
        <f>IFERROR(IF(INDEX('MRE'!$L$10:$L$11,MATCH($F155,'MRE'!$B$10:$B$11,0))="","Cell will autofill based on response",INDEX('MRE'!$L$10:$L$11,MATCH($F155,'MRE'!$B$10:$B$11,0))),"N/A")</f>
        <v/>
      </c>
      <c r="T155" s="26">
        <f>COUNTIF($H155:$R155,"Cell will autofill based on response")</f>
        <v/>
      </c>
      <c r="U155" s="26">
        <f>COUNTIF($H155:$R155,"Not yet started")</f>
        <v/>
      </c>
      <c r="V155" s="26">
        <f>COUNTIF($H155:$R155,"Not met")</f>
        <v/>
      </c>
      <c r="W155" s="26">
        <f>COUNTIF($H155:$R155,"Partially met")</f>
        <v/>
      </c>
      <c r="X155" s="26">
        <f>COUNTIF($H155:$R155,"Met or exceeded")</f>
        <v/>
      </c>
      <c r="Y155" s="26">
        <f>3*X155+2*W155+V155</f>
        <v/>
      </c>
      <c r="Z155" s="26">
        <f>X155+W155+V155+U155</f>
        <v/>
      </c>
      <c r="AA155" s="27">
        <f>IF(Z155&gt;0,Y155/Z155,"No valid responses to date")</f>
        <v/>
      </c>
      <c r="AB155" s="26">
        <f>IF(ISNUMBER(AA155),INDEX(Lists!$G$2:$G$5,MATCH(ROUND(AA155,0),Lists!$H$2:$H$5,0)),"")</f>
        <v/>
      </c>
      <c r="AC155" s="28">
        <f>IF(Z155&gt;0,X155/Z155,"")</f>
        <v/>
      </c>
      <c r="AD155" s="28">
        <f>IF(Z155&gt;0,(X155+W155)/Z155,"")</f>
        <v/>
      </c>
      <c r="AE155" s="26">
        <f>IF(Z155=0,"",IF(AC155&gt;0.75,"Met or exceeded",IF(AD155&gt;=0.5,"Partially met","Not met")))</f>
        <v/>
      </c>
    </row>
    <row r="156">
      <c r="A156">
        <f>F156&amp;"|"&amp;G156</f>
        <v/>
      </c>
      <c r="B156" s="29" t="inlineStr"/>
      <c r="C156" s="8" t="inlineStr"/>
      <c r="D156" s="8" t="inlineStr"/>
      <c r="E156" s="8" t="inlineStr"/>
      <c r="F156" s="8" t="inlineStr">
        <is>
          <t>NB1(b)</t>
        </is>
      </c>
      <c r="G156" s="8" t="inlineStr">
        <is>
          <t>OPTION 1:  Target-level reporting</t>
        </is>
      </c>
      <c r="H156" s="25">
        <f>IFERROR(IF(INDEX('Faculties'!$M$10:$M$29,MATCH($F156,'Faculties'!$B$10:$B$29,0))="","Cell will autofill based on response",INDEX('Faculties'!$M$10:$M$29,MATCH($F156,'Faculties'!$B$10:$B$29,0))),"N/A")</f>
        <v/>
      </c>
      <c r="I156" s="25">
        <f>IFERROR(IF(INDEX('Faculties'!$M$37:$M$56,MATCH($F156,'Faculties'!$B$37:$B$56,0))="","Cell will autofill based on response",INDEX('Faculties'!$M$37:$M$56,MATCH($F156,'Faculties'!$B$37:$B$56,0))),"N/A")</f>
        <v/>
      </c>
      <c r="J156" s="25">
        <f>IFERROR(IF(INDEX('Faculties'!$M$64:$M$83,MATCH($F156,'Faculties'!$B$64:$B$83,0))="","Cell will autofill based on response",INDEX('Faculties'!$M$64:$M$83,MATCH($F156,'Faculties'!$B$64:$B$83,0))),"N/A")</f>
        <v/>
      </c>
      <c r="K156" s="25">
        <f>IFERROR(IF(INDEX('Faculties'!$M$91:$M$110,MATCH($F156,'Faculties'!$B$91:$B$110,0))="","Cell will autofill based on response",INDEX('Faculties'!$M$91:$M$110,MATCH($F156,'Faculties'!$B$91:$B$110,0))),"N/A")</f>
        <v/>
      </c>
      <c r="L156" s="25">
        <f>IFERROR(IF(INDEX('CI&amp;S'!$M$10:$M$14,MATCH($F156,'CI&amp;S'!$B$10:$B$14,0))="","Cell will autofill based on response",INDEX('CI&amp;S'!$M$10:$M$14,MATCH($F156,'CI&amp;S'!$B$10:$B$14,0))),"N/A")</f>
        <v/>
      </c>
      <c r="M156" s="25">
        <f>IFERROR(IF(INDEX('CI&amp;S'!$M$22:$M$38,MATCH($F156,'CI&amp;S'!$B$22:$B$38,0))="","Cell will autofill based on response",INDEX('CI&amp;S'!$M$22:$M$38,MATCH($F156,'CI&amp;S'!$B$22:$B$38,0))),"N/A")</f>
        <v/>
      </c>
      <c r="N156" s="25">
        <f>IFERROR(IF(INDEX('CFOG'!$M$10:$M$15,MATCH($F156,'CFOG'!$B$10:$B$15,0))="","Cell will autofill based on response",INDEX('CFOG'!$M$10:$M$15,MATCH($F156,'CFOG'!$B$10:$B$15,0))),"N/A")</f>
        <v/>
      </c>
      <c r="O156" s="25">
        <f>IFERROR(IF(INDEX('CFOG'!$M$23:$M$23,MATCH($F156,'CFOG'!$B$23:$B$23,0))="","Cell will autofill based on response",INDEX('CFOG'!$M$23:$M$23,MATCH($F156,'CFOG'!$B$23:$B$23,0))),"N/A")</f>
        <v/>
      </c>
      <c r="P156" s="25">
        <f>IFERROR(IF(INDEX('ESG'!$M$10:$M$16,MATCH($F156,'ESG'!$B$10:$B$16,0))="","Cell will autofill based on response",INDEX('ESG'!$M$10:$M$16,MATCH($F156,'ESG'!$B$10:$B$16,0))),"N/A")</f>
        <v/>
      </c>
      <c r="Q156" s="25">
        <f>IFERROR(IF(INDEX('CIOG'!$M$10:$M$13,MATCH($F156,'CIOG'!$B$10:$B$13,0))="","Cell will autofill based on response",INDEX('CIOG'!$M$10:$M$13,MATCH($F156,'CIOG'!$B$10:$B$13,0))),"N/A")</f>
        <v/>
      </c>
      <c r="R156" s="25">
        <f>IFERROR(IF(INDEX('MRE'!$M$10:$M$11,MATCH($F156,'MRE'!$B$10:$B$11,0))="","Cell will autofill based on response",INDEX('MRE'!$M$10:$M$11,MATCH($F156,'MRE'!$B$10:$B$11,0))),"N/A")</f>
        <v/>
      </c>
    </row>
    <row r="157">
      <c r="A157">
        <f>F157&amp;"|"&amp;G157</f>
        <v/>
      </c>
      <c r="B157" s="29" t="inlineStr"/>
      <c r="C157" s="8" t="inlineStr"/>
      <c r="D157" s="8" t="inlineStr"/>
      <c r="E157" s="8" t="inlineStr"/>
      <c r="F157" s="8" t="inlineStr">
        <is>
          <t>NB1(b)</t>
        </is>
      </c>
      <c r="G157" s="8" t="inlineStr">
        <is>
          <t>OPTION 2:  Indicator level reporting</t>
        </is>
      </c>
      <c r="H157" s="25">
        <f>IFERROR(IF(INDEX('Faculties'!$N$10:$N$29,MATCH($F157,'Faculties'!$B$10:$B$29,0))="","Cell will autofill based on response",INDEX('Faculties'!$N$10:$N$29,MATCH($F157,'Faculties'!$B$10:$B$29,0))),"N/A")</f>
        <v/>
      </c>
      <c r="I157" s="25">
        <f>IFERROR(IF(INDEX('Faculties'!$N$37:$N$56,MATCH($F157,'Faculties'!$B$37:$B$56,0))="","Cell will autofill based on response",INDEX('Faculties'!$N$37:$N$56,MATCH($F157,'Faculties'!$B$37:$B$56,0))),"N/A")</f>
        <v/>
      </c>
      <c r="J157" s="25">
        <f>IFERROR(IF(INDEX('Faculties'!$N$64:$N$83,MATCH($F157,'Faculties'!$B$64:$B$83,0))="","Cell will autofill based on response",INDEX('Faculties'!$N$64:$N$83,MATCH($F157,'Faculties'!$B$64:$B$83,0))),"N/A")</f>
        <v/>
      </c>
      <c r="K157" s="25">
        <f>IFERROR(IF(INDEX('Faculties'!$N$91:$N$110,MATCH($F157,'Faculties'!$B$91:$B$110,0))="","Cell will autofill based on response",INDEX('Faculties'!$N$91:$N$110,MATCH($F157,'Faculties'!$B$91:$B$110,0))),"N/A")</f>
        <v/>
      </c>
      <c r="L157" s="25">
        <f>IFERROR(IF(INDEX('CI&amp;S'!$N$10:$N$14,MATCH($F157,'CI&amp;S'!$B$10:$B$14,0))="","Cell will autofill based on response",INDEX('CI&amp;S'!$N$10:$N$14,MATCH($F157,'CI&amp;S'!$B$10:$B$14,0))),"N/A")</f>
        <v/>
      </c>
      <c r="M157" s="25">
        <f>IFERROR(IF(INDEX('CI&amp;S'!$N$22:$N$38,MATCH($F157,'CI&amp;S'!$B$22:$B$38,0))="","Cell will autofill based on response",INDEX('CI&amp;S'!$N$22:$N$38,MATCH($F157,'CI&amp;S'!$B$22:$B$38,0))),"N/A")</f>
        <v/>
      </c>
      <c r="N157" s="25">
        <f>IFERROR(IF(INDEX('CFOG'!$N$10:$N$15,MATCH($F157,'CFOG'!$B$10:$B$15,0))="","Cell will autofill based on response",INDEX('CFOG'!$N$10:$N$15,MATCH($F157,'CFOG'!$B$10:$B$15,0))),"N/A")</f>
        <v/>
      </c>
      <c r="O157" s="25">
        <f>IFERROR(IF(INDEX('CFOG'!$N$23:$N$23,MATCH($F157,'CFOG'!$B$23:$B$23,0))="","Cell will autofill based on response",INDEX('CFOG'!$N$23:$N$23,MATCH($F157,'CFOG'!$B$23:$B$23,0))),"N/A")</f>
        <v/>
      </c>
      <c r="P157" s="25">
        <f>IFERROR(IF(INDEX('ESG'!$N$10:$N$16,MATCH($F157,'ESG'!$B$10:$B$16,0))="","Cell will autofill based on response",INDEX('ESG'!$N$10:$N$16,MATCH($F157,'ESG'!$B$10:$B$16,0))),"N/A")</f>
        <v/>
      </c>
      <c r="Q157" s="25">
        <f>IFERROR(IF(INDEX('CIOG'!$N$10:$N$13,MATCH($F157,'CIOG'!$B$10:$B$13,0))="","Cell will autofill based on response",INDEX('CIOG'!$N$10:$N$13,MATCH($F157,'CIOG'!$B$10:$B$13,0))),"N/A")</f>
        <v/>
      </c>
      <c r="R157" s="25">
        <f>IFERROR(IF(INDEX('MRE'!$N$10:$N$11,MATCH($F157,'MRE'!$B$10:$B$11,0))="","Cell will autofill based on response",INDEX('MRE'!$N$10:$N$11,MATCH($F157,'MRE'!$B$10:$B$11,0))),"N/A")</f>
        <v/>
      </c>
    </row>
    <row r="158">
      <c r="A158">
        <f>F158&amp;"|"&amp;G158</f>
        <v/>
      </c>
      <c r="B158" s="29" t="inlineStr"/>
      <c r="C158" s="8" t="inlineStr"/>
      <c r="D158" s="8" t="inlineStr"/>
      <c r="E158" s="8" t="inlineStr"/>
      <c r="F158" s="8" t="inlineStr">
        <is>
          <t>NB1(b)</t>
        </is>
      </c>
      <c r="G158" s="8" t="inlineStr">
        <is>
          <t>Supporting information/comments</t>
        </is>
      </c>
      <c r="H158" s="25">
        <f>IFERROR(IF(INDEX('Faculties'!$O$10:$O$29,MATCH($F158,'Faculties'!$B$10:$B$29,0))="","Cell will autofill based on response",INDEX('Faculties'!$O$10:$O$29,MATCH($F158,'Faculties'!$B$10:$B$29,0))),"N/A")</f>
        <v/>
      </c>
      <c r="I158" s="25">
        <f>IFERROR(IF(INDEX('Faculties'!$O$37:$O$56,MATCH($F158,'Faculties'!$B$37:$B$56,0))="","Cell will autofill based on response",INDEX('Faculties'!$O$37:$O$56,MATCH($F158,'Faculties'!$B$37:$B$56,0))),"N/A")</f>
        <v/>
      </c>
      <c r="J158" s="25">
        <f>IFERROR(IF(INDEX('Faculties'!$O$64:$O$83,MATCH($F158,'Faculties'!$B$64:$B$83,0))="","Cell will autofill based on response",INDEX('Faculties'!$O$64:$O$83,MATCH($F158,'Faculties'!$B$64:$B$83,0))),"N/A")</f>
        <v/>
      </c>
      <c r="K158" s="25">
        <f>IFERROR(IF(INDEX('Faculties'!$O$91:$O$110,MATCH($F158,'Faculties'!$B$91:$B$110,0))="","Cell will autofill based on response",INDEX('Faculties'!$O$91:$O$110,MATCH($F158,'Faculties'!$B$91:$B$110,0))),"N/A")</f>
        <v/>
      </c>
      <c r="L158" s="25">
        <f>IFERROR(IF(INDEX('CI&amp;S'!$O$10:$O$14,MATCH($F158,'CI&amp;S'!$B$10:$B$14,0))="","Cell will autofill based on response",INDEX('CI&amp;S'!$O$10:$O$14,MATCH($F158,'CI&amp;S'!$B$10:$B$14,0))),"N/A")</f>
        <v/>
      </c>
      <c r="M158" s="25">
        <f>IFERROR(IF(INDEX('CI&amp;S'!$O$22:$O$38,MATCH($F158,'CI&amp;S'!$B$22:$B$38,0))="","Cell will autofill based on response",INDEX('CI&amp;S'!$O$22:$O$38,MATCH($F158,'CI&amp;S'!$B$22:$B$38,0))),"N/A")</f>
        <v/>
      </c>
      <c r="N158" s="25">
        <f>IFERROR(IF(INDEX('CFOG'!$O$10:$O$15,MATCH($F158,'CFOG'!$B$10:$B$15,0))="","Cell will autofill based on response",INDEX('CFOG'!$O$10:$O$15,MATCH($F158,'CFOG'!$B$10:$B$15,0))),"N/A")</f>
        <v/>
      </c>
      <c r="O158" s="25">
        <f>IFERROR(IF(INDEX('CFOG'!$O$23:$O$23,MATCH($F158,'CFOG'!$B$23:$B$23,0))="","Cell will autofill based on response",INDEX('CFOG'!$O$23:$O$23,MATCH($F158,'CFOG'!$B$23:$B$23,0))),"N/A")</f>
        <v/>
      </c>
      <c r="P158" s="25">
        <f>IFERROR(IF(INDEX('ESG'!$O$10:$O$16,MATCH($F158,'ESG'!$B$10:$B$16,0))="","Cell will autofill based on response",INDEX('ESG'!$O$10:$O$16,MATCH($F158,'ESG'!$B$10:$B$16,0))),"N/A")</f>
        <v/>
      </c>
      <c r="Q158" s="25">
        <f>IFERROR(IF(INDEX('CIOG'!$O$10:$O$13,MATCH($F158,'CIOG'!$B$10:$B$13,0))="","Cell will autofill based on response",INDEX('CIOG'!$O$10:$O$13,MATCH($F158,'CIOG'!$B$10:$B$13,0))),"N/A")</f>
        <v/>
      </c>
      <c r="R158" s="25">
        <f>IFERROR(IF(INDEX('MRE'!$O$10:$O$11,MATCH($F158,'MRE'!$B$10:$B$11,0))="","Cell will autofill based on response",INDEX('MRE'!$O$10:$O$11,MATCH($F158,'MRE'!$B$10:$B$11,0))),"N/A")</f>
        <v/>
      </c>
    </row>
    <row r="159">
      <c r="A159">
        <f>F159&amp;"|"&amp;G159</f>
        <v/>
      </c>
      <c r="B159" s="29" t="inlineStr"/>
      <c r="C159" s="8" t="inlineStr"/>
      <c r="D159" s="8" t="inlineStr"/>
      <c r="E159" s="8" t="inlineStr"/>
      <c r="F159" s="8" t="inlineStr">
        <is>
          <t>NB1(b)</t>
        </is>
      </c>
      <c r="G159" s="8" t="inlineStr">
        <is>
          <t>Data source and limitations</t>
        </is>
      </c>
      <c r="H159" s="25">
        <f>IFERROR(IF(INDEX('Faculties'!$P$10:$P$29,MATCH($F159,'Faculties'!$B$10:$B$29,0))="","Cell will autofill based on response",INDEX('Faculties'!$P$10:$P$29,MATCH($F159,'Faculties'!$B$10:$B$29,0))),"N/A")</f>
        <v/>
      </c>
      <c r="I159" s="25">
        <f>IFERROR(IF(INDEX('Faculties'!$P$37:$P$56,MATCH($F159,'Faculties'!$B$37:$B$56,0))="","Cell will autofill based on response",INDEX('Faculties'!$P$37:$P$56,MATCH($F159,'Faculties'!$B$37:$B$56,0))),"N/A")</f>
        <v/>
      </c>
      <c r="J159" s="25">
        <f>IFERROR(IF(INDEX('Faculties'!$P$64:$P$83,MATCH($F159,'Faculties'!$B$64:$B$83,0))="","Cell will autofill based on response",INDEX('Faculties'!$P$64:$P$83,MATCH($F159,'Faculties'!$B$64:$B$83,0))),"N/A")</f>
        <v/>
      </c>
      <c r="K159" s="25">
        <f>IFERROR(IF(INDEX('Faculties'!$P$91:$P$110,MATCH($F159,'Faculties'!$B$91:$B$110,0))="","Cell will autofill based on response",INDEX('Faculties'!$P$91:$P$110,MATCH($F159,'Faculties'!$B$91:$B$110,0))),"N/A")</f>
        <v/>
      </c>
      <c r="L159" s="25">
        <f>IFERROR(IF(INDEX('CI&amp;S'!$P$10:$P$14,MATCH($F159,'CI&amp;S'!$B$10:$B$14,0))="","Cell will autofill based on response",INDEX('CI&amp;S'!$P$10:$P$14,MATCH($F159,'CI&amp;S'!$B$10:$B$14,0))),"N/A")</f>
        <v/>
      </c>
      <c r="M159" s="25">
        <f>IFERROR(IF(INDEX('CI&amp;S'!$P$22:$P$38,MATCH($F159,'CI&amp;S'!$B$22:$B$38,0))="","Cell will autofill based on response",INDEX('CI&amp;S'!$P$22:$P$38,MATCH($F159,'CI&amp;S'!$B$22:$B$38,0))),"N/A")</f>
        <v/>
      </c>
      <c r="N159" s="25">
        <f>IFERROR(IF(INDEX('CFOG'!$P$10:$P$15,MATCH($F159,'CFOG'!$B$10:$B$15,0))="","Cell will autofill based on response",INDEX('CFOG'!$P$10:$P$15,MATCH($F159,'CFOG'!$B$10:$B$15,0))),"N/A")</f>
        <v/>
      </c>
      <c r="O159" s="25">
        <f>IFERROR(IF(INDEX('CFOG'!$P$23:$P$23,MATCH($F159,'CFOG'!$B$23:$B$23,0))="","Cell will autofill based on response",INDEX('CFOG'!$P$23:$P$23,MATCH($F159,'CFOG'!$B$23:$B$23,0))),"N/A")</f>
        <v/>
      </c>
      <c r="P159" s="25">
        <f>IFERROR(IF(INDEX('ESG'!$P$10:$P$16,MATCH($F159,'ESG'!$B$10:$B$16,0))="","Cell will autofill based on response",INDEX('ESG'!$P$10:$P$16,MATCH($F159,'ESG'!$B$10:$B$16,0))),"N/A")</f>
        <v/>
      </c>
      <c r="Q159" s="25">
        <f>IFERROR(IF(INDEX('CIOG'!$P$10:$P$13,MATCH($F159,'CIOG'!$B$10:$B$13,0))="","Cell will autofill based on response",INDEX('CIOG'!$P$10:$P$13,MATCH($F159,'CIOG'!$B$10:$B$13,0))),"N/A")</f>
        <v/>
      </c>
      <c r="R159" s="25">
        <f>IFERROR(IF(INDEX('MRE'!$P$10:$P$11,MATCH($F159,'MRE'!$B$10:$B$11,0))="","Cell will autofill based on response",INDEX('MRE'!$P$10:$P$11,MATCH($F159,'MRE'!$B$10:$B$11,0))),"N/A")</f>
        <v/>
      </c>
    </row>
    <row r="160">
      <c r="A160">
        <f>F160&amp;"|"&amp;G160</f>
        <v/>
      </c>
      <c r="B160" s="29" t="inlineStr"/>
      <c r="C160" s="8" t="inlineStr"/>
      <c r="D160" s="8" t="inlineStr"/>
      <c r="E160" s="8" t="inlineStr"/>
      <c r="F160" s="8" t="inlineStr">
        <is>
          <t>NB1(b)</t>
        </is>
      </c>
      <c r="G160" s="8" t="inlineStr">
        <is>
          <t>Data owner confirms</t>
        </is>
      </c>
      <c r="H160" s="25">
        <f>IFERROR(IF(INDEX('Faculties'!$Q$10:$Q$29,MATCH($F160,'Faculties'!$B$10:$B$29,0))="","Cell will autofill based on response",INDEX('Faculties'!$Q$10:$Q$29,MATCH($F160,'Faculties'!$B$10:$B$29,0))),"N/A")</f>
        <v/>
      </c>
      <c r="I160" s="25">
        <f>IFERROR(IF(INDEX('Faculties'!$Q$37:$Q$56,MATCH($F160,'Faculties'!$B$37:$B$56,0))="","Cell will autofill based on response",INDEX('Faculties'!$Q$37:$Q$56,MATCH($F160,'Faculties'!$B$37:$B$56,0))),"N/A")</f>
        <v/>
      </c>
      <c r="J160" s="25">
        <f>IFERROR(IF(INDEX('Faculties'!$Q$64:$Q$83,MATCH($F160,'Faculties'!$B$64:$B$83,0))="","Cell will autofill based on response",INDEX('Faculties'!$Q$64:$Q$83,MATCH($F160,'Faculties'!$B$64:$B$83,0))),"N/A")</f>
        <v/>
      </c>
      <c r="K160" s="25">
        <f>IFERROR(IF(INDEX('Faculties'!$Q$91:$Q$110,MATCH($F160,'Faculties'!$B$91:$B$110,0))="","Cell will autofill based on response",INDEX('Faculties'!$Q$91:$Q$110,MATCH($F160,'Faculties'!$B$91:$B$110,0))),"N/A")</f>
        <v/>
      </c>
      <c r="L160" s="25">
        <f>IFERROR(IF(INDEX('CI&amp;S'!$Q$10:$Q$14,MATCH($F160,'CI&amp;S'!$B$10:$B$14,0))="","Cell will autofill based on response",INDEX('CI&amp;S'!$Q$10:$Q$14,MATCH($F160,'CI&amp;S'!$B$10:$B$14,0))),"N/A")</f>
        <v/>
      </c>
      <c r="M160" s="25">
        <f>IFERROR(IF(INDEX('CI&amp;S'!$Q$22:$Q$38,MATCH($F160,'CI&amp;S'!$B$22:$B$38,0))="","Cell will autofill based on response",INDEX('CI&amp;S'!$Q$22:$Q$38,MATCH($F160,'CI&amp;S'!$B$22:$B$38,0))),"N/A")</f>
        <v/>
      </c>
      <c r="N160" s="25">
        <f>IFERROR(IF(INDEX('CFOG'!$Q$10:$Q$15,MATCH($F160,'CFOG'!$B$10:$B$15,0))="","Cell will autofill based on response",INDEX('CFOG'!$Q$10:$Q$15,MATCH($F160,'CFOG'!$B$10:$B$15,0))),"N/A")</f>
        <v/>
      </c>
      <c r="O160" s="25">
        <f>IFERROR(IF(INDEX('CFOG'!$Q$23:$Q$23,MATCH($F160,'CFOG'!$B$23:$B$23,0))="","Cell will autofill based on response",INDEX('CFOG'!$Q$23:$Q$23,MATCH($F160,'CFOG'!$B$23:$B$23,0))),"N/A")</f>
        <v/>
      </c>
      <c r="P160" s="25">
        <f>IFERROR(IF(INDEX('ESG'!$Q$10:$Q$16,MATCH($F160,'ESG'!$B$10:$B$16,0))="","Cell will autofill based on response",INDEX('ESG'!$Q$10:$Q$16,MATCH($F160,'ESG'!$B$10:$B$16,0))),"N/A")</f>
        <v/>
      </c>
      <c r="Q160" s="25">
        <f>IFERROR(IF(INDEX('CIOG'!$Q$10:$Q$13,MATCH($F160,'CIOG'!$B$10:$B$13,0))="","Cell will autofill based on response",INDEX('CIOG'!$Q$10:$Q$13,MATCH($F160,'CIOG'!$B$10:$B$13,0))),"N/A")</f>
        <v/>
      </c>
      <c r="R160" s="25">
        <f>IFERROR(IF(INDEX('MRE'!$Q$10:$Q$11,MATCH($F160,'MRE'!$B$10:$B$11,0))="","Cell will autofill based on response",INDEX('MRE'!$Q$10:$Q$11,MATCH($F160,'MRE'!$B$10:$B$11,0))),"N/A")</f>
        <v/>
      </c>
    </row>
    <row r="161">
      <c r="A161">
        <f>F161&amp;"|"&amp;G161</f>
        <v/>
      </c>
      <c r="B161" s="7" t="inlineStr">
        <is>
          <t>NB1(c)</t>
        </is>
      </c>
      <c r="C161" s="12" t="inlineStr">
        <is>
          <t>Nature and biodiversity</t>
        </is>
      </c>
      <c r="D161" s="12" t="inlineStr">
        <is>
          <t>Defined quality measurement framework</t>
        </is>
      </c>
      <c r="E161" s="12" t="inlineStr"/>
      <c r="F161" s="12" t="inlineStr">
        <is>
          <t>NB1(c)</t>
        </is>
      </c>
      <c r="G161" s="12" t="inlineStr">
        <is>
          <t>Confirm end-2026 target status</t>
        </is>
      </c>
      <c r="H161" s="25">
        <f>IFERROR(IF(INDEX('Faculties'!$L$10:$L$29,MATCH($F161,'Faculties'!$B$10:$B$29,0))="","Cell will autofill based on response",INDEX('Faculties'!$L$10:$L$29,MATCH($F161,'Faculties'!$B$10:$B$29,0))),"N/A")</f>
        <v/>
      </c>
      <c r="I161" s="25">
        <f>IFERROR(IF(INDEX('Faculties'!$L$37:$L$56,MATCH($F161,'Faculties'!$B$37:$B$56,0))="","Cell will autofill based on response",INDEX('Faculties'!$L$37:$L$56,MATCH($F161,'Faculties'!$B$37:$B$56,0))),"N/A")</f>
        <v/>
      </c>
      <c r="J161" s="25">
        <f>IFERROR(IF(INDEX('Faculties'!$L$64:$L$83,MATCH($F161,'Faculties'!$B$64:$B$83,0))="","Cell will autofill based on response",INDEX('Faculties'!$L$64:$L$83,MATCH($F161,'Faculties'!$B$64:$B$83,0))),"N/A")</f>
        <v/>
      </c>
      <c r="K161" s="25">
        <f>IFERROR(IF(INDEX('Faculties'!$L$91:$L$110,MATCH($F161,'Faculties'!$B$91:$B$110,0))="","Cell will autofill based on response",INDEX('Faculties'!$L$91:$L$110,MATCH($F161,'Faculties'!$B$91:$B$110,0))),"N/A")</f>
        <v/>
      </c>
      <c r="L161" s="25">
        <f>IFERROR(IF(INDEX('CI&amp;S'!$L$10:$L$14,MATCH($F161,'CI&amp;S'!$B$10:$B$14,0))="","Cell will autofill based on response",INDEX('CI&amp;S'!$L$10:$L$14,MATCH($F161,'CI&amp;S'!$B$10:$B$14,0))),"N/A")</f>
        <v/>
      </c>
      <c r="M161" s="25">
        <f>IFERROR(IF(INDEX('CI&amp;S'!$L$22:$L$38,MATCH($F161,'CI&amp;S'!$B$22:$B$38,0))="","Cell will autofill based on response",INDEX('CI&amp;S'!$L$22:$L$38,MATCH($F161,'CI&amp;S'!$B$22:$B$38,0))),"N/A")</f>
        <v/>
      </c>
      <c r="N161" s="25">
        <f>IFERROR(IF(INDEX('CFOG'!$L$10:$L$15,MATCH($F161,'CFOG'!$B$10:$B$15,0))="","Cell will autofill based on response",INDEX('CFOG'!$L$10:$L$15,MATCH($F161,'CFOG'!$B$10:$B$15,0))),"N/A")</f>
        <v/>
      </c>
      <c r="O161" s="25">
        <f>IFERROR(IF(INDEX('CFOG'!$L$23:$L$23,MATCH($F161,'CFOG'!$B$23:$B$23,0))="","Cell will autofill based on response",INDEX('CFOG'!$L$23:$L$23,MATCH($F161,'CFOG'!$B$23:$B$23,0))),"N/A")</f>
        <v/>
      </c>
      <c r="P161" s="25">
        <f>IFERROR(IF(INDEX('ESG'!$L$10:$L$16,MATCH($F161,'ESG'!$B$10:$B$16,0))="","Cell will autofill based on response",INDEX('ESG'!$L$10:$L$16,MATCH($F161,'ESG'!$B$10:$B$16,0))),"N/A")</f>
        <v/>
      </c>
      <c r="Q161" s="25">
        <f>IFERROR(IF(INDEX('CIOG'!$L$10:$L$13,MATCH($F161,'CIOG'!$B$10:$B$13,0))="","Cell will autofill based on response",INDEX('CIOG'!$L$10:$L$13,MATCH($F161,'CIOG'!$B$10:$B$13,0))),"N/A")</f>
        <v/>
      </c>
      <c r="R161" s="25">
        <f>IFERROR(IF(INDEX('MRE'!$L$10:$L$11,MATCH($F161,'MRE'!$B$10:$B$11,0))="","Cell will autofill based on response",INDEX('MRE'!$L$10:$L$11,MATCH($F161,'MRE'!$B$10:$B$11,0))),"N/A")</f>
        <v/>
      </c>
      <c r="T161" s="26">
        <f>COUNTIF($H161:$R161,"Cell will autofill based on response")</f>
        <v/>
      </c>
      <c r="U161" s="26">
        <f>COUNTIF($H161:$R161,"Not yet started")</f>
        <v/>
      </c>
      <c r="V161" s="26">
        <f>COUNTIF($H161:$R161,"Not met")</f>
        <v/>
      </c>
      <c r="W161" s="26">
        <f>COUNTIF($H161:$R161,"Partially met")</f>
        <v/>
      </c>
      <c r="X161" s="26">
        <f>COUNTIF($H161:$R161,"Met or exceeded")</f>
        <v/>
      </c>
      <c r="Y161" s="26">
        <f>3*X161+2*W161+V161</f>
        <v/>
      </c>
      <c r="Z161" s="26">
        <f>X161+W161+V161+U161</f>
        <v/>
      </c>
      <c r="AA161" s="27">
        <f>IF(Z161&gt;0,Y161/Z161,"No valid responses to date")</f>
        <v/>
      </c>
      <c r="AB161" s="26">
        <f>IF(ISNUMBER(AA161),INDEX(Lists!$G$2:$G$5,MATCH(ROUND(AA161,0),Lists!$H$2:$H$5,0)),"")</f>
        <v/>
      </c>
      <c r="AC161" s="28">
        <f>IF(Z161&gt;0,X161/Z161,"")</f>
        <v/>
      </c>
      <c r="AD161" s="28">
        <f>IF(Z161&gt;0,(X161+W161)/Z161,"")</f>
        <v/>
      </c>
      <c r="AE161" s="26">
        <f>IF(Z161=0,"",IF(AC161&gt;0.75,"Met or exceeded",IF(AD161&gt;=0.5,"Partially met","Not met")))</f>
        <v/>
      </c>
    </row>
    <row r="162">
      <c r="A162">
        <f>F162&amp;"|"&amp;G162</f>
        <v/>
      </c>
      <c r="B162" s="29" t="inlineStr"/>
      <c r="C162" s="8" t="inlineStr"/>
      <c r="D162" s="8" t="inlineStr"/>
      <c r="E162" s="8" t="inlineStr"/>
      <c r="F162" s="8" t="inlineStr">
        <is>
          <t>NB1(c)</t>
        </is>
      </c>
      <c r="G162" s="8" t="inlineStr">
        <is>
          <t>OPTION 1:  Target-level reporting</t>
        </is>
      </c>
      <c r="H162" s="25">
        <f>IFERROR(IF(INDEX('Faculties'!$M$10:$M$29,MATCH($F162,'Faculties'!$B$10:$B$29,0))="","Cell will autofill based on response",INDEX('Faculties'!$M$10:$M$29,MATCH($F162,'Faculties'!$B$10:$B$29,0))),"N/A")</f>
        <v/>
      </c>
      <c r="I162" s="25">
        <f>IFERROR(IF(INDEX('Faculties'!$M$37:$M$56,MATCH($F162,'Faculties'!$B$37:$B$56,0))="","Cell will autofill based on response",INDEX('Faculties'!$M$37:$M$56,MATCH($F162,'Faculties'!$B$37:$B$56,0))),"N/A")</f>
        <v/>
      </c>
      <c r="J162" s="25">
        <f>IFERROR(IF(INDEX('Faculties'!$M$64:$M$83,MATCH($F162,'Faculties'!$B$64:$B$83,0))="","Cell will autofill based on response",INDEX('Faculties'!$M$64:$M$83,MATCH($F162,'Faculties'!$B$64:$B$83,0))),"N/A")</f>
        <v/>
      </c>
      <c r="K162" s="25">
        <f>IFERROR(IF(INDEX('Faculties'!$M$91:$M$110,MATCH($F162,'Faculties'!$B$91:$B$110,0))="","Cell will autofill based on response",INDEX('Faculties'!$M$91:$M$110,MATCH($F162,'Faculties'!$B$91:$B$110,0))),"N/A")</f>
        <v/>
      </c>
      <c r="L162" s="25">
        <f>IFERROR(IF(INDEX('CI&amp;S'!$M$10:$M$14,MATCH($F162,'CI&amp;S'!$B$10:$B$14,0))="","Cell will autofill based on response",INDEX('CI&amp;S'!$M$10:$M$14,MATCH($F162,'CI&amp;S'!$B$10:$B$14,0))),"N/A")</f>
        <v/>
      </c>
      <c r="M162" s="25">
        <f>IFERROR(IF(INDEX('CI&amp;S'!$M$22:$M$38,MATCH($F162,'CI&amp;S'!$B$22:$B$38,0))="","Cell will autofill based on response",INDEX('CI&amp;S'!$M$22:$M$38,MATCH($F162,'CI&amp;S'!$B$22:$B$38,0))),"N/A")</f>
        <v/>
      </c>
      <c r="N162" s="25">
        <f>IFERROR(IF(INDEX('CFOG'!$M$10:$M$15,MATCH($F162,'CFOG'!$B$10:$B$15,0))="","Cell will autofill based on response",INDEX('CFOG'!$M$10:$M$15,MATCH($F162,'CFOG'!$B$10:$B$15,0))),"N/A")</f>
        <v/>
      </c>
      <c r="O162" s="25">
        <f>IFERROR(IF(INDEX('CFOG'!$M$23:$M$23,MATCH($F162,'CFOG'!$B$23:$B$23,0))="","Cell will autofill based on response",INDEX('CFOG'!$M$23:$M$23,MATCH($F162,'CFOG'!$B$23:$B$23,0))),"N/A")</f>
        <v/>
      </c>
      <c r="P162" s="25">
        <f>IFERROR(IF(INDEX('ESG'!$M$10:$M$16,MATCH($F162,'ESG'!$B$10:$B$16,0))="","Cell will autofill based on response",INDEX('ESG'!$M$10:$M$16,MATCH($F162,'ESG'!$B$10:$B$16,0))),"N/A")</f>
        <v/>
      </c>
      <c r="Q162" s="25">
        <f>IFERROR(IF(INDEX('CIOG'!$M$10:$M$13,MATCH($F162,'CIOG'!$B$10:$B$13,0))="","Cell will autofill based on response",INDEX('CIOG'!$M$10:$M$13,MATCH($F162,'CIOG'!$B$10:$B$13,0))),"N/A")</f>
        <v/>
      </c>
      <c r="R162" s="25">
        <f>IFERROR(IF(INDEX('MRE'!$M$10:$M$11,MATCH($F162,'MRE'!$B$10:$B$11,0))="","Cell will autofill based on response",INDEX('MRE'!$M$10:$M$11,MATCH($F162,'MRE'!$B$10:$B$11,0))),"N/A")</f>
        <v/>
      </c>
    </row>
    <row r="163">
      <c r="A163">
        <f>F163&amp;"|"&amp;G163</f>
        <v/>
      </c>
      <c r="B163" s="29" t="inlineStr"/>
      <c r="C163" s="8" t="inlineStr"/>
      <c r="D163" s="8" t="inlineStr"/>
      <c r="E163" s="8" t="inlineStr"/>
      <c r="F163" s="8" t="inlineStr">
        <is>
          <t>NB1(c)</t>
        </is>
      </c>
      <c r="G163" s="8" t="inlineStr">
        <is>
          <t>OPTION 2:  Indicator level reporting</t>
        </is>
      </c>
      <c r="H163" s="25">
        <f>IFERROR(IF(INDEX('Faculties'!$N$10:$N$29,MATCH($F163,'Faculties'!$B$10:$B$29,0))="","Cell will autofill based on response",INDEX('Faculties'!$N$10:$N$29,MATCH($F163,'Faculties'!$B$10:$B$29,0))),"N/A")</f>
        <v/>
      </c>
      <c r="I163" s="25">
        <f>IFERROR(IF(INDEX('Faculties'!$N$37:$N$56,MATCH($F163,'Faculties'!$B$37:$B$56,0))="","Cell will autofill based on response",INDEX('Faculties'!$N$37:$N$56,MATCH($F163,'Faculties'!$B$37:$B$56,0))),"N/A")</f>
        <v/>
      </c>
      <c r="J163" s="25">
        <f>IFERROR(IF(INDEX('Faculties'!$N$64:$N$83,MATCH($F163,'Faculties'!$B$64:$B$83,0))="","Cell will autofill based on response",INDEX('Faculties'!$N$64:$N$83,MATCH($F163,'Faculties'!$B$64:$B$83,0))),"N/A")</f>
        <v/>
      </c>
      <c r="K163" s="25">
        <f>IFERROR(IF(INDEX('Faculties'!$N$91:$N$110,MATCH($F163,'Faculties'!$B$91:$B$110,0))="","Cell will autofill based on response",INDEX('Faculties'!$N$91:$N$110,MATCH($F163,'Faculties'!$B$91:$B$110,0))),"N/A")</f>
        <v/>
      </c>
      <c r="L163" s="25">
        <f>IFERROR(IF(INDEX('CI&amp;S'!$N$10:$N$14,MATCH($F163,'CI&amp;S'!$B$10:$B$14,0))="","Cell will autofill based on response",INDEX('CI&amp;S'!$N$10:$N$14,MATCH($F163,'CI&amp;S'!$B$10:$B$14,0))),"N/A")</f>
        <v/>
      </c>
      <c r="M163" s="25">
        <f>IFERROR(IF(INDEX('CI&amp;S'!$N$22:$N$38,MATCH($F163,'CI&amp;S'!$B$22:$B$38,0))="","Cell will autofill based on response",INDEX('CI&amp;S'!$N$22:$N$38,MATCH($F163,'CI&amp;S'!$B$22:$B$38,0))),"N/A")</f>
        <v/>
      </c>
      <c r="N163" s="25">
        <f>IFERROR(IF(INDEX('CFOG'!$N$10:$N$15,MATCH($F163,'CFOG'!$B$10:$B$15,0))="","Cell will autofill based on response",INDEX('CFOG'!$N$10:$N$15,MATCH($F163,'CFOG'!$B$10:$B$15,0))),"N/A")</f>
        <v/>
      </c>
      <c r="O163" s="25">
        <f>IFERROR(IF(INDEX('CFOG'!$N$23:$N$23,MATCH($F163,'CFOG'!$B$23:$B$23,0))="","Cell will autofill based on response",INDEX('CFOG'!$N$23:$N$23,MATCH($F163,'CFOG'!$B$23:$B$23,0))),"N/A")</f>
        <v/>
      </c>
      <c r="P163" s="25">
        <f>IFERROR(IF(INDEX('ESG'!$N$10:$N$16,MATCH($F163,'ESG'!$B$10:$B$16,0))="","Cell will autofill based on response",INDEX('ESG'!$N$10:$N$16,MATCH($F163,'ESG'!$B$10:$B$16,0))),"N/A")</f>
        <v/>
      </c>
      <c r="Q163" s="25">
        <f>IFERROR(IF(INDEX('CIOG'!$N$10:$N$13,MATCH($F163,'CIOG'!$B$10:$B$13,0))="","Cell will autofill based on response",INDEX('CIOG'!$N$10:$N$13,MATCH($F163,'CIOG'!$B$10:$B$13,0))),"N/A")</f>
        <v/>
      </c>
      <c r="R163" s="25">
        <f>IFERROR(IF(INDEX('MRE'!$N$10:$N$11,MATCH($F163,'MRE'!$B$10:$B$11,0))="","Cell will autofill based on response",INDEX('MRE'!$N$10:$N$11,MATCH($F163,'MRE'!$B$10:$B$11,0))),"N/A")</f>
        <v/>
      </c>
    </row>
    <row r="164">
      <c r="A164">
        <f>F164&amp;"|"&amp;G164</f>
        <v/>
      </c>
      <c r="B164" s="29" t="inlineStr"/>
      <c r="C164" s="8" t="inlineStr"/>
      <c r="D164" s="8" t="inlineStr"/>
      <c r="E164" s="8" t="inlineStr"/>
      <c r="F164" s="8" t="inlineStr">
        <is>
          <t>NB1(c)</t>
        </is>
      </c>
      <c r="G164" s="8" t="inlineStr">
        <is>
          <t>Supporting information/comments</t>
        </is>
      </c>
      <c r="H164" s="25">
        <f>IFERROR(IF(INDEX('Faculties'!$O$10:$O$29,MATCH($F164,'Faculties'!$B$10:$B$29,0))="","Cell will autofill based on response",INDEX('Faculties'!$O$10:$O$29,MATCH($F164,'Faculties'!$B$10:$B$29,0))),"N/A")</f>
        <v/>
      </c>
      <c r="I164" s="25">
        <f>IFERROR(IF(INDEX('Faculties'!$O$37:$O$56,MATCH($F164,'Faculties'!$B$37:$B$56,0))="","Cell will autofill based on response",INDEX('Faculties'!$O$37:$O$56,MATCH($F164,'Faculties'!$B$37:$B$56,0))),"N/A")</f>
        <v/>
      </c>
      <c r="J164" s="25">
        <f>IFERROR(IF(INDEX('Faculties'!$O$64:$O$83,MATCH($F164,'Faculties'!$B$64:$B$83,0))="","Cell will autofill based on response",INDEX('Faculties'!$O$64:$O$83,MATCH($F164,'Faculties'!$B$64:$B$83,0))),"N/A")</f>
        <v/>
      </c>
      <c r="K164" s="25">
        <f>IFERROR(IF(INDEX('Faculties'!$O$91:$O$110,MATCH($F164,'Faculties'!$B$91:$B$110,0))="","Cell will autofill based on response",INDEX('Faculties'!$O$91:$O$110,MATCH($F164,'Faculties'!$B$91:$B$110,0))),"N/A")</f>
        <v/>
      </c>
      <c r="L164" s="25">
        <f>IFERROR(IF(INDEX('CI&amp;S'!$O$10:$O$14,MATCH($F164,'CI&amp;S'!$B$10:$B$14,0))="","Cell will autofill based on response",INDEX('CI&amp;S'!$O$10:$O$14,MATCH($F164,'CI&amp;S'!$B$10:$B$14,0))),"N/A")</f>
        <v/>
      </c>
      <c r="M164" s="25">
        <f>IFERROR(IF(INDEX('CI&amp;S'!$O$22:$O$38,MATCH($F164,'CI&amp;S'!$B$22:$B$38,0))="","Cell will autofill based on response",INDEX('CI&amp;S'!$O$22:$O$38,MATCH($F164,'CI&amp;S'!$B$22:$B$38,0))),"N/A")</f>
        <v/>
      </c>
      <c r="N164" s="25">
        <f>IFERROR(IF(INDEX('CFOG'!$O$10:$O$15,MATCH($F164,'CFOG'!$B$10:$B$15,0))="","Cell will autofill based on response",INDEX('CFOG'!$O$10:$O$15,MATCH($F164,'CFOG'!$B$10:$B$15,0))),"N/A")</f>
        <v/>
      </c>
      <c r="O164" s="25">
        <f>IFERROR(IF(INDEX('CFOG'!$O$23:$O$23,MATCH($F164,'CFOG'!$B$23:$B$23,0))="","Cell will autofill based on response",INDEX('CFOG'!$O$23:$O$23,MATCH($F164,'CFOG'!$B$23:$B$23,0))),"N/A")</f>
        <v/>
      </c>
      <c r="P164" s="25">
        <f>IFERROR(IF(INDEX('ESG'!$O$10:$O$16,MATCH($F164,'ESG'!$B$10:$B$16,0))="","Cell will autofill based on response",INDEX('ESG'!$O$10:$O$16,MATCH($F164,'ESG'!$B$10:$B$16,0))),"N/A")</f>
        <v/>
      </c>
      <c r="Q164" s="25">
        <f>IFERROR(IF(INDEX('CIOG'!$O$10:$O$13,MATCH($F164,'CIOG'!$B$10:$B$13,0))="","Cell will autofill based on response",INDEX('CIOG'!$O$10:$O$13,MATCH($F164,'CIOG'!$B$10:$B$13,0))),"N/A")</f>
        <v/>
      </c>
      <c r="R164" s="25">
        <f>IFERROR(IF(INDEX('MRE'!$O$10:$O$11,MATCH($F164,'MRE'!$B$10:$B$11,0))="","Cell will autofill based on response",INDEX('MRE'!$O$10:$O$11,MATCH($F164,'MRE'!$B$10:$B$11,0))),"N/A")</f>
        <v/>
      </c>
    </row>
    <row r="165">
      <c r="A165">
        <f>F165&amp;"|"&amp;G165</f>
        <v/>
      </c>
      <c r="B165" s="29" t="inlineStr"/>
      <c r="C165" s="8" t="inlineStr"/>
      <c r="D165" s="8" t="inlineStr"/>
      <c r="E165" s="8" t="inlineStr"/>
      <c r="F165" s="8" t="inlineStr">
        <is>
          <t>NB1(c)</t>
        </is>
      </c>
      <c r="G165" s="8" t="inlineStr">
        <is>
          <t>Data source and limitations</t>
        </is>
      </c>
      <c r="H165" s="25">
        <f>IFERROR(IF(INDEX('Faculties'!$P$10:$P$29,MATCH($F165,'Faculties'!$B$10:$B$29,0))="","Cell will autofill based on response",INDEX('Faculties'!$P$10:$P$29,MATCH($F165,'Faculties'!$B$10:$B$29,0))),"N/A")</f>
        <v/>
      </c>
      <c r="I165" s="25">
        <f>IFERROR(IF(INDEX('Faculties'!$P$37:$P$56,MATCH($F165,'Faculties'!$B$37:$B$56,0))="","Cell will autofill based on response",INDEX('Faculties'!$P$37:$P$56,MATCH($F165,'Faculties'!$B$37:$B$56,0))),"N/A")</f>
        <v/>
      </c>
      <c r="J165" s="25">
        <f>IFERROR(IF(INDEX('Faculties'!$P$64:$P$83,MATCH($F165,'Faculties'!$B$64:$B$83,0))="","Cell will autofill based on response",INDEX('Faculties'!$P$64:$P$83,MATCH($F165,'Faculties'!$B$64:$B$83,0))),"N/A")</f>
        <v/>
      </c>
      <c r="K165" s="25">
        <f>IFERROR(IF(INDEX('Faculties'!$P$91:$P$110,MATCH($F165,'Faculties'!$B$91:$B$110,0))="","Cell will autofill based on response",INDEX('Faculties'!$P$91:$P$110,MATCH($F165,'Faculties'!$B$91:$B$110,0))),"N/A")</f>
        <v/>
      </c>
      <c r="L165" s="25">
        <f>IFERROR(IF(INDEX('CI&amp;S'!$P$10:$P$14,MATCH($F165,'CI&amp;S'!$B$10:$B$14,0))="","Cell will autofill based on response",INDEX('CI&amp;S'!$P$10:$P$14,MATCH($F165,'CI&amp;S'!$B$10:$B$14,0))),"N/A")</f>
        <v/>
      </c>
      <c r="M165" s="25">
        <f>IFERROR(IF(INDEX('CI&amp;S'!$P$22:$P$38,MATCH($F165,'CI&amp;S'!$B$22:$B$38,0))="","Cell will autofill based on response",INDEX('CI&amp;S'!$P$22:$P$38,MATCH($F165,'CI&amp;S'!$B$22:$B$38,0))),"N/A")</f>
        <v/>
      </c>
      <c r="N165" s="25">
        <f>IFERROR(IF(INDEX('CFOG'!$P$10:$P$15,MATCH($F165,'CFOG'!$B$10:$B$15,0))="","Cell will autofill based on response",INDEX('CFOG'!$P$10:$P$15,MATCH($F165,'CFOG'!$B$10:$B$15,0))),"N/A")</f>
        <v/>
      </c>
      <c r="O165" s="25">
        <f>IFERROR(IF(INDEX('CFOG'!$P$23:$P$23,MATCH($F165,'CFOG'!$B$23:$B$23,0))="","Cell will autofill based on response",INDEX('CFOG'!$P$23:$P$23,MATCH($F165,'CFOG'!$B$23:$B$23,0))),"N/A")</f>
        <v/>
      </c>
      <c r="P165" s="25">
        <f>IFERROR(IF(INDEX('ESG'!$P$10:$P$16,MATCH($F165,'ESG'!$B$10:$B$16,0))="","Cell will autofill based on response",INDEX('ESG'!$P$10:$P$16,MATCH($F165,'ESG'!$B$10:$B$16,0))),"N/A")</f>
        <v/>
      </c>
      <c r="Q165" s="25">
        <f>IFERROR(IF(INDEX('CIOG'!$P$10:$P$13,MATCH($F165,'CIOG'!$B$10:$B$13,0))="","Cell will autofill based on response",INDEX('CIOG'!$P$10:$P$13,MATCH($F165,'CIOG'!$B$10:$B$13,0))),"N/A")</f>
        <v/>
      </c>
      <c r="R165" s="25">
        <f>IFERROR(IF(INDEX('MRE'!$P$10:$P$11,MATCH($F165,'MRE'!$B$10:$B$11,0))="","Cell will autofill based on response",INDEX('MRE'!$P$10:$P$11,MATCH($F165,'MRE'!$B$10:$B$11,0))),"N/A")</f>
        <v/>
      </c>
    </row>
    <row r="166">
      <c r="A166">
        <f>F166&amp;"|"&amp;G166</f>
        <v/>
      </c>
      <c r="B166" s="29" t="inlineStr"/>
      <c r="C166" s="8" t="inlineStr"/>
      <c r="D166" s="8" t="inlineStr"/>
      <c r="E166" s="8" t="inlineStr"/>
      <c r="F166" s="8" t="inlineStr">
        <is>
          <t>NB1(c)</t>
        </is>
      </c>
      <c r="G166" s="8" t="inlineStr">
        <is>
          <t>Data owner confirms</t>
        </is>
      </c>
      <c r="H166" s="25">
        <f>IFERROR(IF(INDEX('Faculties'!$Q$10:$Q$29,MATCH($F166,'Faculties'!$B$10:$B$29,0))="","Cell will autofill based on response",INDEX('Faculties'!$Q$10:$Q$29,MATCH($F166,'Faculties'!$B$10:$B$29,0))),"N/A")</f>
        <v/>
      </c>
      <c r="I166" s="25">
        <f>IFERROR(IF(INDEX('Faculties'!$Q$37:$Q$56,MATCH($F166,'Faculties'!$B$37:$B$56,0))="","Cell will autofill based on response",INDEX('Faculties'!$Q$37:$Q$56,MATCH($F166,'Faculties'!$B$37:$B$56,0))),"N/A")</f>
        <v/>
      </c>
      <c r="J166" s="25">
        <f>IFERROR(IF(INDEX('Faculties'!$Q$64:$Q$83,MATCH($F166,'Faculties'!$B$64:$B$83,0))="","Cell will autofill based on response",INDEX('Faculties'!$Q$64:$Q$83,MATCH($F166,'Faculties'!$B$64:$B$83,0))),"N/A")</f>
        <v/>
      </c>
      <c r="K166" s="25">
        <f>IFERROR(IF(INDEX('Faculties'!$Q$91:$Q$110,MATCH($F166,'Faculties'!$B$91:$B$110,0))="","Cell will autofill based on response",INDEX('Faculties'!$Q$91:$Q$110,MATCH($F166,'Faculties'!$B$91:$B$110,0))),"N/A")</f>
        <v/>
      </c>
      <c r="L166" s="25">
        <f>IFERROR(IF(INDEX('CI&amp;S'!$Q$10:$Q$14,MATCH($F166,'CI&amp;S'!$B$10:$B$14,0))="","Cell will autofill based on response",INDEX('CI&amp;S'!$Q$10:$Q$14,MATCH($F166,'CI&amp;S'!$B$10:$B$14,0))),"N/A")</f>
        <v/>
      </c>
      <c r="M166" s="25">
        <f>IFERROR(IF(INDEX('CI&amp;S'!$Q$22:$Q$38,MATCH($F166,'CI&amp;S'!$B$22:$B$38,0))="","Cell will autofill based on response",INDEX('CI&amp;S'!$Q$22:$Q$38,MATCH($F166,'CI&amp;S'!$B$22:$B$38,0))),"N/A")</f>
        <v/>
      </c>
      <c r="N166" s="25">
        <f>IFERROR(IF(INDEX('CFOG'!$Q$10:$Q$15,MATCH($F166,'CFOG'!$B$10:$B$15,0))="","Cell will autofill based on response",INDEX('CFOG'!$Q$10:$Q$15,MATCH($F166,'CFOG'!$B$10:$B$15,0))),"N/A")</f>
        <v/>
      </c>
      <c r="O166" s="25">
        <f>IFERROR(IF(INDEX('CFOG'!$Q$23:$Q$23,MATCH($F166,'CFOG'!$B$23:$B$23,0))="","Cell will autofill based on response",INDEX('CFOG'!$Q$23:$Q$23,MATCH($F166,'CFOG'!$B$23:$B$23,0))),"N/A")</f>
        <v/>
      </c>
      <c r="P166" s="25">
        <f>IFERROR(IF(INDEX('ESG'!$Q$10:$Q$16,MATCH($F166,'ESG'!$B$10:$B$16,0))="","Cell will autofill based on response",INDEX('ESG'!$Q$10:$Q$16,MATCH($F166,'ESG'!$B$10:$B$16,0))),"N/A")</f>
        <v/>
      </c>
      <c r="Q166" s="25">
        <f>IFERROR(IF(INDEX('CIOG'!$Q$10:$Q$13,MATCH($F166,'CIOG'!$B$10:$B$13,0))="","Cell will autofill based on response",INDEX('CIOG'!$Q$10:$Q$13,MATCH($F166,'CIOG'!$B$10:$B$13,0))),"N/A")</f>
        <v/>
      </c>
      <c r="R166" s="25">
        <f>IFERROR(IF(INDEX('MRE'!$Q$10:$Q$11,MATCH($F166,'MRE'!$B$10:$B$11,0))="","Cell will autofill based on response",INDEX('MRE'!$Q$10:$Q$11,MATCH($F166,'MRE'!$B$10:$B$11,0))),"N/A")</f>
        <v/>
      </c>
    </row>
    <row r="167">
      <c r="A167">
        <f>F167&amp;"|"&amp;G167</f>
        <v/>
      </c>
      <c r="B167" s="7" t="inlineStr">
        <is>
          <t>NB1(d)</t>
        </is>
      </c>
      <c r="C167" s="12" t="inlineStr">
        <is>
          <t>Nature and biodiversity</t>
        </is>
      </c>
      <c r="D167" s="12" t="inlineStr">
        <is>
          <t>Defined and quantified campus connectivity</t>
        </is>
      </c>
      <c r="E167" s="12" t="inlineStr">
        <is>
          <t>Please provide the current definition and quantified assessment of campus ecological connectivity, could include the methodology used, campuses covered, baseline or benchmark values, and any material change over the reporting period.</t>
        </is>
      </c>
      <c r="F167" s="12" t="inlineStr">
        <is>
          <t>NB1(d)</t>
        </is>
      </c>
      <c r="G167" s="12" t="inlineStr">
        <is>
          <t>Confirm end-2026 target status</t>
        </is>
      </c>
      <c r="H167" s="25">
        <f>IFERROR(IF(INDEX('Faculties'!$L$10:$L$29,MATCH($F167,'Faculties'!$B$10:$B$29,0))="","Cell will autofill based on response",INDEX('Faculties'!$L$10:$L$29,MATCH($F167,'Faculties'!$B$10:$B$29,0))),"N/A")</f>
        <v/>
      </c>
      <c r="I167" s="25">
        <f>IFERROR(IF(INDEX('Faculties'!$L$37:$L$56,MATCH($F167,'Faculties'!$B$37:$B$56,0))="","Cell will autofill based on response",INDEX('Faculties'!$L$37:$L$56,MATCH($F167,'Faculties'!$B$37:$B$56,0))),"N/A")</f>
        <v/>
      </c>
      <c r="J167" s="25">
        <f>IFERROR(IF(INDEX('Faculties'!$L$64:$L$83,MATCH($F167,'Faculties'!$B$64:$B$83,0))="","Cell will autofill based on response",INDEX('Faculties'!$L$64:$L$83,MATCH($F167,'Faculties'!$B$64:$B$83,0))),"N/A")</f>
        <v/>
      </c>
      <c r="K167" s="25">
        <f>IFERROR(IF(INDEX('Faculties'!$L$91:$L$110,MATCH($F167,'Faculties'!$B$91:$B$110,0))="","Cell will autofill based on response",INDEX('Faculties'!$L$91:$L$110,MATCH($F167,'Faculties'!$B$91:$B$110,0))),"N/A")</f>
        <v/>
      </c>
      <c r="L167" s="25">
        <f>IFERROR(IF(INDEX('CI&amp;S'!$L$10:$L$14,MATCH($F167,'CI&amp;S'!$B$10:$B$14,0))="","Cell will autofill based on response",INDEX('CI&amp;S'!$L$10:$L$14,MATCH($F167,'CI&amp;S'!$B$10:$B$14,0))),"N/A")</f>
        <v/>
      </c>
      <c r="M167" s="25">
        <f>IFERROR(IF(INDEX('CI&amp;S'!$L$22:$L$38,MATCH($F167,'CI&amp;S'!$B$22:$B$38,0))="","Cell will autofill based on response",INDEX('CI&amp;S'!$L$22:$L$38,MATCH($F167,'CI&amp;S'!$B$22:$B$38,0))),"N/A")</f>
        <v/>
      </c>
      <c r="N167" s="25">
        <f>IFERROR(IF(INDEX('CFOG'!$L$10:$L$15,MATCH($F167,'CFOG'!$B$10:$B$15,0))="","Cell will autofill based on response",INDEX('CFOG'!$L$10:$L$15,MATCH($F167,'CFOG'!$B$10:$B$15,0))),"N/A")</f>
        <v/>
      </c>
      <c r="O167" s="25">
        <f>IFERROR(IF(INDEX('CFOG'!$L$23:$L$23,MATCH($F167,'CFOG'!$B$23:$B$23,0))="","Cell will autofill based on response",INDEX('CFOG'!$L$23:$L$23,MATCH($F167,'CFOG'!$B$23:$B$23,0))),"N/A")</f>
        <v/>
      </c>
      <c r="P167" s="25">
        <f>IFERROR(IF(INDEX('ESG'!$L$10:$L$16,MATCH($F167,'ESG'!$B$10:$B$16,0))="","Cell will autofill based on response",INDEX('ESG'!$L$10:$L$16,MATCH($F167,'ESG'!$B$10:$B$16,0))),"N/A")</f>
        <v/>
      </c>
      <c r="Q167" s="25">
        <f>IFERROR(IF(INDEX('CIOG'!$L$10:$L$13,MATCH($F167,'CIOG'!$B$10:$B$13,0))="","Cell will autofill based on response",INDEX('CIOG'!$L$10:$L$13,MATCH($F167,'CIOG'!$B$10:$B$13,0))),"N/A")</f>
        <v/>
      </c>
      <c r="R167" s="25">
        <f>IFERROR(IF(INDEX('MRE'!$L$10:$L$11,MATCH($F167,'MRE'!$B$10:$B$11,0))="","Cell will autofill based on response",INDEX('MRE'!$L$10:$L$11,MATCH($F167,'MRE'!$B$10:$B$11,0))),"N/A")</f>
        <v/>
      </c>
      <c r="T167" s="26">
        <f>COUNTIF($H167:$R167,"Cell will autofill based on response")</f>
        <v/>
      </c>
      <c r="U167" s="26">
        <f>COUNTIF($H167:$R167,"Not yet started")</f>
        <v/>
      </c>
      <c r="V167" s="26">
        <f>COUNTIF($H167:$R167,"Not met")</f>
        <v/>
      </c>
      <c r="W167" s="26">
        <f>COUNTIF($H167:$R167,"Partially met")</f>
        <v/>
      </c>
      <c r="X167" s="26">
        <f>COUNTIF($H167:$R167,"Met or exceeded")</f>
        <v/>
      </c>
      <c r="Y167" s="26">
        <f>3*X167+2*W167+V167</f>
        <v/>
      </c>
      <c r="Z167" s="26">
        <f>X167+W167+V167+U167</f>
        <v/>
      </c>
      <c r="AA167" s="27">
        <f>IF(Z167&gt;0,Y167/Z167,"No valid responses to date")</f>
        <v/>
      </c>
      <c r="AB167" s="26">
        <f>IF(ISNUMBER(AA167),INDEX(Lists!$G$2:$G$5,MATCH(ROUND(AA167,0),Lists!$H$2:$H$5,0)),"")</f>
        <v/>
      </c>
      <c r="AC167" s="28">
        <f>IF(Z167&gt;0,X167/Z167,"")</f>
        <v/>
      </c>
      <c r="AD167" s="28">
        <f>IF(Z167&gt;0,(X167+W167)/Z167,"")</f>
        <v/>
      </c>
      <c r="AE167" s="26">
        <f>IF(Z167=0,"",IF(AC167&gt;0.75,"Met or exceeded",IF(AD167&gt;=0.5,"Partially met","Not met")))</f>
        <v/>
      </c>
    </row>
    <row r="168">
      <c r="A168">
        <f>F168&amp;"|"&amp;G168</f>
        <v/>
      </c>
      <c r="B168" s="29" t="inlineStr"/>
      <c r="C168" s="8" t="inlineStr"/>
      <c r="D168" s="8" t="inlineStr"/>
      <c r="E168" s="8" t="inlineStr"/>
      <c r="F168" s="8" t="inlineStr">
        <is>
          <t>NB1(d)</t>
        </is>
      </c>
      <c r="G168" s="8" t="inlineStr">
        <is>
          <t>OPTION 1:  Target-level reporting</t>
        </is>
      </c>
      <c r="H168" s="25">
        <f>IFERROR(IF(INDEX('Faculties'!$M$10:$M$29,MATCH($F168,'Faculties'!$B$10:$B$29,0))="","Cell will autofill based on response",INDEX('Faculties'!$M$10:$M$29,MATCH($F168,'Faculties'!$B$10:$B$29,0))),"N/A")</f>
        <v/>
      </c>
      <c r="I168" s="25">
        <f>IFERROR(IF(INDEX('Faculties'!$M$37:$M$56,MATCH($F168,'Faculties'!$B$37:$B$56,0))="","Cell will autofill based on response",INDEX('Faculties'!$M$37:$M$56,MATCH($F168,'Faculties'!$B$37:$B$56,0))),"N/A")</f>
        <v/>
      </c>
      <c r="J168" s="25">
        <f>IFERROR(IF(INDEX('Faculties'!$M$64:$M$83,MATCH($F168,'Faculties'!$B$64:$B$83,0))="","Cell will autofill based on response",INDEX('Faculties'!$M$64:$M$83,MATCH($F168,'Faculties'!$B$64:$B$83,0))),"N/A")</f>
        <v/>
      </c>
      <c r="K168" s="25">
        <f>IFERROR(IF(INDEX('Faculties'!$M$91:$M$110,MATCH($F168,'Faculties'!$B$91:$B$110,0))="","Cell will autofill based on response",INDEX('Faculties'!$M$91:$M$110,MATCH($F168,'Faculties'!$B$91:$B$110,0))),"N/A")</f>
        <v/>
      </c>
      <c r="L168" s="25">
        <f>IFERROR(IF(INDEX('CI&amp;S'!$M$10:$M$14,MATCH($F168,'CI&amp;S'!$B$10:$B$14,0))="","Cell will autofill based on response",INDEX('CI&amp;S'!$M$10:$M$14,MATCH($F168,'CI&amp;S'!$B$10:$B$14,0))),"N/A")</f>
        <v/>
      </c>
      <c r="M168" s="25">
        <f>IFERROR(IF(INDEX('CI&amp;S'!$M$22:$M$38,MATCH($F168,'CI&amp;S'!$B$22:$B$38,0))="","Cell will autofill based on response",INDEX('CI&amp;S'!$M$22:$M$38,MATCH($F168,'CI&amp;S'!$B$22:$B$38,0))),"N/A")</f>
        <v/>
      </c>
      <c r="N168" s="25">
        <f>IFERROR(IF(INDEX('CFOG'!$M$10:$M$15,MATCH($F168,'CFOG'!$B$10:$B$15,0))="","Cell will autofill based on response",INDEX('CFOG'!$M$10:$M$15,MATCH($F168,'CFOG'!$B$10:$B$15,0))),"N/A")</f>
        <v/>
      </c>
      <c r="O168" s="25">
        <f>IFERROR(IF(INDEX('CFOG'!$M$23:$M$23,MATCH($F168,'CFOG'!$B$23:$B$23,0))="","Cell will autofill based on response",INDEX('CFOG'!$M$23:$M$23,MATCH($F168,'CFOG'!$B$23:$B$23,0))),"N/A")</f>
        <v/>
      </c>
      <c r="P168" s="25">
        <f>IFERROR(IF(INDEX('ESG'!$M$10:$M$16,MATCH($F168,'ESG'!$B$10:$B$16,0))="","Cell will autofill based on response",INDEX('ESG'!$M$10:$M$16,MATCH($F168,'ESG'!$B$10:$B$16,0))),"N/A")</f>
        <v/>
      </c>
      <c r="Q168" s="25">
        <f>IFERROR(IF(INDEX('CIOG'!$M$10:$M$13,MATCH($F168,'CIOG'!$B$10:$B$13,0))="","Cell will autofill based on response",INDEX('CIOG'!$M$10:$M$13,MATCH($F168,'CIOG'!$B$10:$B$13,0))),"N/A")</f>
        <v/>
      </c>
      <c r="R168" s="25">
        <f>IFERROR(IF(INDEX('MRE'!$M$10:$M$11,MATCH($F168,'MRE'!$B$10:$B$11,0))="","Cell will autofill based on response",INDEX('MRE'!$M$10:$M$11,MATCH($F168,'MRE'!$B$10:$B$11,0))),"N/A")</f>
        <v/>
      </c>
    </row>
    <row r="169">
      <c r="A169">
        <f>F169&amp;"|"&amp;G169</f>
        <v/>
      </c>
      <c r="B169" s="29" t="inlineStr"/>
      <c r="C169" s="8" t="inlineStr"/>
      <c r="D169" s="8" t="inlineStr"/>
      <c r="E169" s="8" t="inlineStr"/>
      <c r="F169" s="8" t="inlineStr">
        <is>
          <t>NB1(d)</t>
        </is>
      </c>
      <c r="G169" s="8" t="inlineStr">
        <is>
          <t>OPTION 2:  Indicator level reporting</t>
        </is>
      </c>
      <c r="H169" s="25">
        <f>IFERROR(IF(INDEX('Faculties'!$N$10:$N$29,MATCH($F169,'Faculties'!$B$10:$B$29,0))="","Cell will autofill based on response",INDEX('Faculties'!$N$10:$N$29,MATCH($F169,'Faculties'!$B$10:$B$29,0))),"N/A")</f>
        <v/>
      </c>
      <c r="I169" s="25">
        <f>IFERROR(IF(INDEX('Faculties'!$N$37:$N$56,MATCH($F169,'Faculties'!$B$37:$B$56,0))="","Cell will autofill based on response",INDEX('Faculties'!$N$37:$N$56,MATCH($F169,'Faculties'!$B$37:$B$56,0))),"N/A")</f>
        <v/>
      </c>
      <c r="J169" s="25">
        <f>IFERROR(IF(INDEX('Faculties'!$N$64:$N$83,MATCH($F169,'Faculties'!$B$64:$B$83,0))="","Cell will autofill based on response",INDEX('Faculties'!$N$64:$N$83,MATCH($F169,'Faculties'!$B$64:$B$83,0))),"N/A")</f>
        <v/>
      </c>
      <c r="K169" s="25">
        <f>IFERROR(IF(INDEX('Faculties'!$N$91:$N$110,MATCH($F169,'Faculties'!$B$91:$B$110,0))="","Cell will autofill based on response",INDEX('Faculties'!$N$91:$N$110,MATCH($F169,'Faculties'!$B$91:$B$110,0))),"N/A")</f>
        <v/>
      </c>
      <c r="L169" s="25">
        <f>IFERROR(IF(INDEX('CI&amp;S'!$N$10:$N$14,MATCH($F169,'CI&amp;S'!$B$10:$B$14,0))="","Cell will autofill based on response",INDEX('CI&amp;S'!$N$10:$N$14,MATCH($F169,'CI&amp;S'!$B$10:$B$14,0))),"N/A")</f>
        <v/>
      </c>
      <c r="M169" s="25">
        <f>IFERROR(IF(INDEX('CI&amp;S'!$N$22:$N$38,MATCH($F169,'CI&amp;S'!$B$22:$B$38,0))="","Cell will autofill based on response",INDEX('CI&amp;S'!$N$22:$N$38,MATCH($F169,'CI&amp;S'!$B$22:$B$38,0))),"N/A")</f>
        <v/>
      </c>
      <c r="N169" s="25">
        <f>IFERROR(IF(INDEX('CFOG'!$N$10:$N$15,MATCH($F169,'CFOG'!$B$10:$B$15,0))="","Cell will autofill based on response",INDEX('CFOG'!$N$10:$N$15,MATCH($F169,'CFOG'!$B$10:$B$15,0))),"N/A")</f>
        <v/>
      </c>
      <c r="O169" s="25">
        <f>IFERROR(IF(INDEX('CFOG'!$N$23:$N$23,MATCH($F169,'CFOG'!$B$23:$B$23,0))="","Cell will autofill based on response",INDEX('CFOG'!$N$23:$N$23,MATCH($F169,'CFOG'!$B$23:$B$23,0))),"N/A")</f>
        <v/>
      </c>
      <c r="P169" s="25">
        <f>IFERROR(IF(INDEX('ESG'!$N$10:$N$16,MATCH($F169,'ESG'!$B$10:$B$16,0))="","Cell will autofill based on response",INDEX('ESG'!$N$10:$N$16,MATCH($F169,'ESG'!$B$10:$B$16,0))),"N/A")</f>
        <v/>
      </c>
      <c r="Q169" s="25">
        <f>IFERROR(IF(INDEX('CIOG'!$N$10:$N$13,MATCH($F169,'CIOG'!$B$10:$B$13,0))="","Cell will autofill based on response",INDEX('CIOG'!$N$10:$N$13,MATCH($F169,'CIOG'!$B$10:$B$13,0))),"N/A")</f>
        <v/>
      </c>
      <c r="R169" s="25">
        <f>IFERROR(IF(INDEX('MRE'!$N$10:$N$11,MATCH($F169,'MRE'!$B$10:$B$11,0))="","Cell will autofill based on response",INDEX('MRE'!$N$10:$N$11,MATCH($F169,'MRE'!$B$10:$B$11,0))),"N/A")</f>
        <v/>
      </c>
    </row>
    <row r="170">
      <c r="A170">
        <f>F170&amp;"|"&amp;G170</f>
        <v/>
      </c>
      <c r="B170" s="29" t="inlineStr"/>
      <c r="C170" s="8" t="inlineStr"/>
      <c r="D170" s="8" t="inlineStr"/>
      <c r="E170" s="8" t="inlineStr"/>
      <c r="F170" s="8" t="inlineStr">
        <is>
          <t>NB1(d)</t>
        </is>
      </c>
      <c r="G170" s="8" t="inlineStr">
        <is>
          <t>Supporting information/comments</t>
        </is>
      </c>
      <c r="H170" s="25">
        <f>IFERROR(IF(INDEX('Faculties'!$O$10:$O$29,MATCH($F170,'Faculties'!$B$10:$B$29,0))="","Cell will autofill based on response",INDEX('Faculties'!$O$10:$O$29,MATCH($F170,'Faculties'!$B$10:$B$29,0))),"N/A")</f>
        <v/>
      </c>
      <c r="I170" s="25">
        <f>IFERROR(IF(INDEX('Faculties'!$O$37:$O$56,MATCH($F170,'Faculties'!$B$37:$B$56,0))="","Cell will autofill based on response",INDEX('Faculties'!$O$37:$O$56,MATCH($F170,'Faculties'!$B$37:$B$56,0))),"N/A")</f>
        <v/>
      </c>
      <c r="J170" s="25">
        <f>IFERROR(IF(INDEX('Faculties'!$O$64:$O$83,MATCH($F170,'Faculties'!$B$64:$B$83,0))="","Cell will autofill based on response",INDEX('Faculties'!$O$64:$O$83,MATCH($F170,'Faculties'!$B$64:$B$83,0))),"N/A")</f>
        <v/>
      </c>
      <c r="K170" s="25">
        <f>IFERROR(IF(INDEX('Faculties'!$O$91:$O$110,MATCH($F170,'Faculties'!$B$91:$B$110,0))="","Cell will autofill based on response",INDEX('Faculties'!$O$91:$O$110,MATCH($F170,'Faculties'!$B$91:$B$110,0))),"N/A")</f>
        <v/>
      </c>
      <c r="L170" s="25">
        <f>IFERROR(IF(INDEX('CI&amp;S'!$O$10:$O$14,MATCH($F170,'CI&amp;S'!$B$10:$B$14,0))="","Cell will autofill based on response",INDEX('CI&amp;S'!$O$10:$O$14,MATCH($F170,'CI&amp;S'!$B$10:$B$14,0))),"N/A")</f>
        <v/>
      </c>
      <c r="M170" s="25">
        <f>IFERROR(IF(INDEX('CI&amp;S'!$O$22:$O$38,MATCH($F170,'CI&amp;S'!$B$22:$B$38,0))="","Cell will autofill based on response",INDEX('CI&amp;S'!$O$22:$O$38,MATCH($F170,'CI&amp;S'!$B$22:$B$38,0))),"N/A")</f>
        <v/>
      </c>
      <c r="N170" s="25">
        <f>IFERROR(IF(INDEX('CFOG'!$O$10:$O$15,MATCH($F170,'CFOG'!$B$10:$B$15,0))="","Cell will autofill based on response",INDEX('CFOG'!$O$10:$O$15,MATCH($F170,'CFOG'!$B$10:$B$15,0))),"N/A")</f>
        <v/>
      </c>
      <c r="O170" s="25">
        <f>IFERROR(IF(INDEX('CFOG'!$O$23:$O$23,MATCH($F170,'CFOG'!$B$23:$B$23,0))="","Cell will autofill based on response",INDEX('CFOG'!$O$23:$O$23,MATCH($F170,'CFOG'!$B$23:$B$23,0))),"N/A")</f>
        <v/>
      </c>
      <c r="P170" s="25">
        <f>IFERROR(IF(INDEX('ESG'!$O$10:$O$16,MATCH($F170,'ESG'!$B$10:$B$16,0))="","Cell will autofill based on response",INDEX('ESG'!$O$10:$O$16,MATCH($F170,'ESG'!$B$10:$B$16,0))),"N/A")</f>
        <v/>
      </c>
      <c r="Q170" s="25">
        <f>IFERROR(IF(INDEX('CIOG'!$O$10:$O$13,MATCH($F170,'CIOG'!$B$10:$B$13,0))="","Cell will autofill based on response",INDEX('CIOG'!$O$10:$O$13,MATCH($F170,'CIOG'!$B$10:$B$13,0))),"N/A")</f>
        <v/>
      </c>
      <c r="R170" s="25">
        <f>IFERROR(IF(INDEX('MRE'!$O$10:$O$11,MATCH($F170,'MRE'!$B$10:$B$11,0))="","Cell will autofill based on response",INDEX('MRE'!$O$10:$O$11,MATCH($F170,'MRE'!$B$10:$B$11,0))),"N/A")</f>
        <v/>
      </c>
    </row>
    <row r="171">
      <c r="A171">
        <f>F171&amp;"|"&amp;G171</f>
        <v/>
      </c>
      <c r="B171" s="29" t="inlineStr"/>
      <c r="C171" s="8" t="inlineStr"/>
      <c r="D171" s="8" t="inlineStr"/>
      <c r="E171" s="8" t="inlineStr"/>
      <c r="F171" s="8" t="inlineStr">
        <is>
          <t>NB1(d)</t>
        </is>
      </c>
      <c r="G171" s="8" t="inlineStr">
        <is>
          <t>Data source and limitations</t>
        </is>
      </c>
      <c r="H171" s="25">
        <f>IFERROR(IF(INDEX('Faculties'!$P$10:$P$29,MATCH($F171,'Faculties'!$B$10:$B$29,0))="","Cell will autofill based on response",INDEX('Faculties'!$P$10:$P$29,MATCH($F171,'Faculties'!$B$10:$B$29,0))),"N/A")</f>
        <v/>
      </c>
      <c r="I171" s="25">
        <f>IFERROR(IF(INDEX('Faculties'!$P$37:$P$56,MATCH($F171,'Faculties'!$B$37:$B$56,0))="","Cell will autofill based on response",INDEX('Faculties'!$P$37:$P$56,MATCH($F171,'Faculties'!$B$37:$B$56,0))),"N/A")</f>
        <v/>
      </c>
      <c r="J171" s="25">
        <f>IFERROR(IF(INDEX('Faculties'!$P$64:$P$83,MATCH($F171,'Faculties'!$B$64:$B$83,0))="","Cell will autofill based on response",INDEX('Faculties'!$P$64:$P$83,MATCH($F171,'Faculties'!$B$64:$B$83,0))),"N/A")</f>
        <v/>
      </c>
      <c r="K171" s="25">
        <f>IFERROR(IF(INDEX('Faculties'!$P$91:$P$110,MATCH($F171,'Faculties'!$B$91:$B$110,0))="","Cell will autofill based on response",INDEX('Faculties'!$P$91:$P$110,MATCH($F171,'Faculties'!$B$91:$B$110,0))),"N/A")</f>
        <v/>
      </c>
      <c r="L171" s="25">
        <f>IFERROR(IF(INDEX('CI&amp;S'!$P$10:$P$14,MATCH($F171,'CI&amp;S'!$B$10:$B$14,0))="","Cell will autofill based on response",INDEX('CI&amp;S'!$P$10:$P$14,MATCH($F171,'CI&amp;S'!$B$10:$B$14,0))),"N/A")</f>
        <v/>
      </c>
      <c r="M171" s="25">
        <f>IFERROR(IF(INDEX('CI&amp;S'!$P$22:$P$38,MATCH($F171,'CI&amp;S'!$B$22:$B$38,0))="","Cell will autofill based on response",INDEX('CI&amp;S'!$P$22:$P$38,MATCH($F171,'CI&amp;S'!$B$22:$B$38,0))),"N/A")</f>
        <v/>
      </c>
      <c r="N171" s="25">
        <f>IFERROR(IF(INDEX('CFOG'!$P$10:$P$15,MATCH($F171,'CFOG'!$B$10:$B$15,0))="","Cell will autofill based on response",INDEX('CFOG'!$P$10:$P$15,MATCH($F171,'CFOG'!$B$10:$B$15,0))),"N/A")</f>
        <v/>
      </c>
      <c r="O171" s="25">
        <f>IFERROR(IF(INDEX('CFOG'!$P$23:$P$23,MATCH($F171,'CFOG'!$B$23:$B$23,0))="","Cell will autofill based on response",INDEX('CFOG'!$P$23:$P$23,MATCH($F171,'CFOG'!$B$23:$B$23,0))),"N/A")</f>
        <v/>
      </c>
      <c r="P171" s="25">
        <f>IFERROR(IF(INDEX('ESG'!$P$10:$P$16,MATCH($F171,'ESG'!$B$10:$B$16,0))="","Cell will autofill based on response",INDEX('ESG'!$P$10:$P$16,MATCH($F171,'ESG'!$B$10:$B$16,0))),"N/A")</f>
        <v/>
      </c>
      <c r="Q171" s="25">
        <f>IFERROR(IF(INDEX('CIOG'!$P$10:$P$13,MATCH($F171,'CIOG'!$B$10:$B$13,0))="","Cell will autofill based on response",INDEX('CIOG'!$P$10:$P$13,MATCH($F171,'CIOG'!$B$10:$B$13,0))),"N/A")</f>
        <v/>
      </c>
      <c r="R171" s="25">
        <f>IFERROR(IF(INDEX('MRE'!$P$10:$P$11,MATCH($F171,'MRE'!$B$10:$B$11,0))="","Cell will autofill based on response",INDEX('MRE'!$P$10:$P$11,MATCH($F171,'MRE'!$B$10:$B$11,0))),"N/A")</f>
        <v/>
      </c>
    </row>
    <row r="172">
      <c r="A172">
        <f>F172&amp;"|"&amp;G172</f>
        <v/>
      </c>
      <c r="B172" s="29" t="inlineStr"/>
      <c r="C172" s="8" t="inlineStr"/>
      <c r="D172" s="8" t="inlineStr"/>
      <c r="E172" s="8" t="inlineStr"/>
      <c r="F172" s="8" t="inlineStr">
        <is>
          <t>NB1(d)</t>
        </is>
      </c>
      <c r="G172" s="8" t="inlineStr">
        <is>
          <t>Data owner confirms</t>
        </is>
      </c>
      <c r="H172" s="25">
        <f>IFERROR(IF(INDEX('Faculties'!$Q$10:$Q$29,MATCH($F172,'Faculties'!$B$10:$B$29,0))="","Cell will autofill based on response",INDEX('Faculties'!$Q$10:$Q$29,MATCH($F172,'Faculties'!$B$10:$B$29,0))),"N/A")</f>
        <v/>
      </c>
      <c r="I172" s="25">
        <f>IFERROR(IF(INDEX('Faculties'!$Q$37:$Q$56,MATCH($F172,'Faculties'!$B$37:$B$56,0))="","Cell will autofill based on response",INDEX('Faculties'!$Q$37:$Q$56,MATCH($F172,'Faculties'!$B$37:$B$56,0))),"N/A")</f>
        <v/>
      </c>
      <c r="J172" s="25">
        <f>IFERROR(IF(INDEX('Faculties'!$Q$64:$Q$83,MATCH($F172,'Faculties'!$B$64:$B$83,0))="","Cell will autofill based on response",INDEX('Faculties'!$Q$64:$Q$83,MATCH($F172,'Faculties'!$B$64:$B$83,0))),"N/A")</f>
        <v/>
      </c>
      <c r="K172" s="25">
        <f>IFERROR(IF(INDEX('Faculties'!$Q$91:$Q$110,MATCH($F172,'Faculties'!$B$91:$B$110,0))="","Cell will autofill based on response",INDEX('Faculties'!$Q$91:$Q$110,MATCH($F172,'Faculties'!$B$91:$B$110,0))),"N/A")</f>
        <v/>
      </c>
      <c r="L172" s="25">
        <f>IFERROR(IF(INDEX('CI&amp;S'!$Q$10:$Q$14,MATCH($F172,'CI&amp;S'!$B$10:$B$14,0))="","Cell will autofill based on response",INDEX('CI&amp;S'!$Q$10:$Q$14,MATCH($F172,'CI&amp;S'!$B$10:$B$14,0))),"N/A")</f>
        <v/>
      </c>
      <c r="M172" s="25">
        <f>IFERROR(IF(INDEX('CI&amp;S'!$Q$22:$Q$38,MATCH($F172,'CI&amp;S'!$B$22:$B$38,0))="","Cell will autofill based on response",INDEX('CI&amp;S'!$Q$22:$Q$38,MATCH($F172,'CI&amp;S'!$B$22:$B$38,0))),"N/A")</f>
        <v/>
      </c>
      <c r="N172" s="25">
        <f>IFERROR(IF(INDEX('CFOG'!$Q$10:$Q$15,MATCH($F172,'CFOG'!$B$10:$B$15,0))="","Cell will autofill based on response",INDEX('CFOG'!$Q$10:$Q$15,MATCH($F172,'CFOG'!$B$10:$B$15,0))),"N/A")</f>
        <v/>
      </c>
      <c r="O172" s="25">
        <f>IFERROR(IF(INDEX('CFOG'!$Q$23:$Q$23,MATCH($F172,'CFOG'!$B$23:$B$23,0))="","Cell will autofill based on response",INDEX('CFOG'!$Q$23:$Q$23,MATCH($F172,'CFOG'!$B$23:$B$23,0))),"N/A")</f>
        <v/>
      </c>
      <c r="P172" s="25">
        <f>IFERROR(IF(INDEX('ESG'!$Q$10:$Q$16,MATCH($F172,'ESG'!$B$10:$B$16,0))="","Cell will autofill based on response",INDEX('ESG'!$Q$10:$Q$16,MATCH($F172,'ESG'!$B$10:$B$16,0))),"N/A")</f>
        <v/>
      </c>
      <c r="Q172" s="25">
        <f>IFERROR(IF(INDEX('CIOG'!$Q$10:$Q$13,MATCH($F172,'CIOG'!$B$10:$B$13,0))="","Cell will autofill based on response",INDEX('CIOG'!$Q$10:$Q$13,MATCH($F172,'CIOG'!$B$10:$B$13,0))),"N/A")</f>
        <v/>
      </c>
      <c r="R172" s="25">
        <f>IFERROR(IF(INDEX('MRE'!$Q$10:$Q$11,MATCH($F172,'MRE'!$B$10:$B$11,0))="","Cell will autofill based on response",INDEX('MRE'!$Q$10:$Q$11,MATCH($F172,'MRE'!$B$10:$B$11,0))),"N/A")</f>
        <v/>
      </c>
    </row>
    <row r="173">
      <c r="A173">
        <f>F173&amp;"|"&amp;G173</f>
        <v/>
      </c>
      <c r="B173" s="7" t="inlineStr">
        <is>
          <t>NB2(a)</t>
        </is>
      </c>
      <c r="C173" s="12" t="inlineStr">
        <is>
          <t>Nature and biodiversity</t>
        </is>
      </c>
      <c r="D173" s="12" t="inlineStr">
        <is>
          <t>Documented baseline nature footprint analysis</t>
        </is>
      </c>
      <c r="E173" s="12" t="inlineStr">
        <is>
          <t>Impact Encore Measurement</t>
        </is>
      </c>
      <c r="F173" s="12" t="inlineStr">
        <is>
          <t>NB2(a)</t>
        </is>
      </c>
      <c r="G173" s="12" t="inlineStr">
        <is>
          <t>Confirm end-2026 target status</t>
        </is>
      </c>
      <c r="H173" s="25">
        <f>IFERROR(IF(INDEX('Faculties'!$L$10:$L$29,MATCH($F173,'Faculties'!$B$10:$B$29,0))="","Cell will autofill based on response",INDEX('Faculties'!$L$10:$L$29,MATCH($F173,'Faculties'!$B$10:$B$29,0))),"N/A")</f>
        <v/>
      </c>
      <c r="I173" s="25">
        <f>IFERROR(IF(INDEX('Faculties'!$L$37:$L$56,MATCH($F173,'Faculties'!$B$37:$B$56,0))="","Cell will autofill based on response",INDEX('Faculties'!$L$37:$L$56,MATCH($F173,'Faculties'!$B$37:$B$56,0))),"N/A")</f>
        <v/>
      </c>
      <c r="J173" s="25">
        <f>IFERROR(IF(INDEX('Faculties'!$L$64:$L$83,MATCH($F173,'Faculties'!$B$64:$B$83,0))="","Cell will autofill based on response",INDEX('Faculties'!$L$64:$L$83,MATCH($F173,'Faculties'!$B$64:$B$83,0))),"N/A")</f>
        <v/>
      </c>
      <c r="K173" s="25">
        <f>IFERROR(IF(INDEX('Faculties'!$L$91:$L$110,MATCH($F173,'Faculties'!$B$91:$B$110,0))="","Cell will autofill based on response",INDEX('Faculties'!$L$91:$L$110,MATCH($F173,'Faculties'!$B$91:$B$110,0))),"N/A")</f>
        <v/>
      </c>
      <c r="L173" s="25">
        <f>IFERROR(IF(INDEX('CI&amp;S'!$L$10:$L$14,MATCH($F173,'CI&amp;S'!$B$10:$B$14,0))="","Cell will autofill based on response",INDEX('CI&amp;S'!$L$10:$L$14,MATCH($F173,'CI&amp;S'!$B$10:$B$14,0))),"N/A")</f>
        <v/>
      </c>
      <c r="M173" s="25">
        <f>IFERROR(IF(INDEX('CI&amp;S'!$L$22:$L$38,MATCH($F173,'CI&amp;S'!$B$22:$B$38,0))="","Cell will autofill based on response",INDEX('CI&amp;S'!$L$22:$L$38,MATCH($F173,'CI&amp;S'!$B$22:$B$38,0))),"N/A")</f>
        <v/>
      </c>
      <c r="N173" s="25">
        <f>IFERROR(IF(INDEX('CFOG'!$L$10:$L$15,MATCH($F173,'CFOG'!$B$10:$B$15,0))="","Cell will autofill based on response",INDEX('CFOG'!$L$10:$L$15,MATCH($F173,'CFOG'!$B$10:$B$15,0))),"N/A")</f>
        <v/>
      </c>
      <c r="O173" s="25">
        <f>IFERROR(IF(INDEX('CFOG'!$L$23:$L$23,MATCH($F173,'CFOG'!$B$23:$B$23,0))="","Cell will autofill based on response",INDEX('CFOG'!$L$23:$L$23,MATCH($F173,'CFOG'!$B$23:$B$23,0))),"N/A")</f>
        <v/>
      </c>
      <c r="P173" s="25">
        <f>IFERROR(IF(INDEX('ESG'!$L$10:$L$16,MATCH($F173,'ESG'!$B$10:$B$16,0))="","Cell will autofill based on response",INDEX('ESG'!$L$10:$L$16,MATCH($F173,'ESG'!$B$10:$B$16,0))),"N/A")</f>
        <v/>
      </c>
      <c r="Q173" s="25">
        <f>IFERROR(IF(INDEX('CIOG'!$L$10:$L$13,MATCH($F173,'CIOG'!$B$10:$B$13,0))="","Cell will autofill based on response",INDEX('CIOG'!$L$10:$L$13,MATCH($F173,'CIOG'!$B$10:$B$13,0))),"N/A")</f>
        <v/>
      </c>
      <c r="R173" s="25">
        <f>IFERROR(IF(INDEX('MRE'!$L$10:$L$11,MATCH($F173,'MRE'!$B$10:$B$11,0))="","Cell will autofill based on response",INDEX('MRE'!$L$10:$L$11,MATCH($F173,'MRE'!$B$10:$B$11,0))),"N/A")</f>
        <v/>
      </c>
      <c r="T173" s="26">
        <f>COUNTIF($H173:$R173,"Cell will autofill based on response")</f>
        <v/>
      </c>
      <c r="U173" s="26">
        <f>COUNTIF($H173:$R173,"Not yet started")</f>
        <v/>
      </c>
      <c r="V173" s="26">
        <f>COUNTIF($H173:$R173,"Not met")</f>
        <v/>
      </c>
      <c r="W173" s="26">
        <f>COUNTIF($H173:$R173,"Partially met")</f>
        <v/>
      </c>
      <c r="X173" s="26">
        <f>COUNTIF($H173:$R173,"Met or exceeded")</f>
        <v/>
      </c>
      <c r="Y173" s="26">
        <f>3*X173+2*W173+V173</f>
        <v/>
      </c>
      <c r="Z173" s="26">
        <f>X173+W173+V173+U173</f>
        <v/>
      </c>
      <c r="AA173" s="27">
        <f>IF(Z173&gt;0,Y173/Z173,"No valid responses to date")</f>
        <v/>
      </c>
      <c r="AB173" s="26">
        <f>IF(ISNUMBER(AA173),INDEX(Lists!$G$2:$G$5,MATCH(ROUND(AA173,0),Lists!$H$2:$H$5,0)),"")</f>
        <v/>
      </c>
      <c r="AC173" s="28">
        <f>IF(Z173&gt;0,X173/Z173,"")</f>
        <v/>
      </c>
      <c r="AD173" s="28">
        <f>IF(Z173&gt;0,(X173+W173)/Z173,"")</f>
        <v/>
      </c>
      <c r="AE173" s="26">
        <f>IF(Z173=0,"",IF(AC173&gt;0.75,"Met or exceeded",IF(AD173&gt;=0.5,"Partially met","Not met")))</f>
        <v/>
      </c>
    </row>
    <row r="174">
      <c r="A174">
        <f>F174&amp;"|"&amp;G174</f>
        <v/>
      </c>
      <c r="B174" s="29" t="inlineStr"/>
      <c r="C174" s="8" t="inlineStr"/>
      <c r="D174" s="8" t="inlineStr"/>
      <c r="E174" s="8" t="inlineStr"/>
      <c r="F174" s="8" t="inlineStr">
        <is>
          <t>NB2(a)</t>
        </is>
      </c>
      <c r="G174" s="8" t="inlineStr">
        <is>
          <t>OPTION 1:  Target-level reporting</t>
        </is>
      </c>
      <c r="H174" s="25">
        <f>IFERROR(IF(INDEX('Faculties'!$M$10:$M$29,MATCH($F174,'Faculties'!$B$10:$B$29,0))="","Cell will autofill based on response",INDEX('Faculties'!$M$10:$M$29,MATCH($F174,'Faculties'!$B$10:$B$29,0))),"N/A")</f>
        <v/>
      </c>
      <c r="I174" s="25">
        <f>IFERROR(IF(INDEX('Faculties'!$M$37:$M$56,MATCH($F174,'Faculties'!$B$37:$B$56,0))="","Cell will autofill based on response",INDEX('Faculties'!$M$37:$M$56,MATCH($F174,'Faculties'!$B$37:$B$56,0))),"N/A")</f>
        <v/>
      </c>
      <c r="J174" s="25">
        <f>IFERROR(IF(INDEX('Faculties'!$M$64:$M$83,MATCH($F174,'Faculties'!$B$64:$B$83,0))="","Cell will autofill based on response",INDEX('Faculties'!$M$64:$M$83,MATCH($F174,'Faculties'!$B$64:$B$83,0))),"N/A")</f>
        <v/>
      </c>
      <c r="K174" s="25">
        <f>IFERROR(IF(INDEX('Faculties'!$M$91:$M$110,MATCH($F174,'Faculties'!$B$91:$B$110,0))="","Cell will autofill based on response",INDEX('Faculties'!$M$91:$M$110,MATCH($F174,'Faculties'!$B$91:$B$110,0))),"N/A")</f>
        <v/>
      </c>
      <c r="L174" s="25">
        <f>IFERROR(IF(INDEX('CI&amp;S'!$M$10:$M$14,MATCH($F174,'CI&amp;S'!$B$10:$B$14,0))="","Cell will autofill based on response",INDEX('CI&amp;S'!$M$10:$M$14,MATCH($F174,'CI&amp;S'!$B$10:$B$14,0))),"N/A")</f>
        <v/>
      </c>
      <c r="M174" s="25">
        <f>IFERROR(IF(INDEX('CI&amp;S'!$M$22:$M$38,MATCH($F174,'CI&amp;S'!$B$22:$B$38,0))="","Cell will autofill based on response",INDEX('CI&amp;S'!$M$22:$M$38,MATCH($F174,'CI&amp;S'!$B$22:$B$38,0))),"N/A")</f>
        <v/>
      </c>
      <c r="N174" s="25">
        <f>IFERROR(IF(INDEX('CFOG'!$M$10:$M$15,MATCH($F174,'CFOG'!$B$10:$B$15,0))="","Cell will autofill based on response",INDEX('CFOG'!$M$10:$M$15,MATCH($F174,'CFOG'!$B$10:$B$15,0))),"N/A")</f>
        <v/>
      </c>
      <c r="O174" s="25">
        <f>IFERROR(IF(INDEX('CFOG'!$M$23:$M$23,MATCH($F174,'CFOG'!$B$23:$B$23,0))="","Cell will autofill based on response",INDEX('CFOG'!$M$23:$M$23,MATCH($F174,'CFOG'!$B$23:$B$23,0))),"N/A")</f>
        <v/>
      </c>
      <c r="P174" s="25">
        <f>IFERROR(IF(INDEX('ESG'!$M$10:$M$16,MATCH($F174,'ESG'!$B$10:$B$16,0))="","Cell will autofill based on response",INDEX('ESG'!$M$10:$M$16,MATCH($F174,'ESG'!$B$10:$B$16,0))),"N/A")</f>
        <v/>
      </c>
      <c r="Q174" s="25">
        <f>IFERROR(IF(INDEX('CIOG'!$M$10:$M$13,MATCH($F174,'CIOG'!$B$10:$B$13,0))="","Cell will autofill based on response",INDEX('CIOG'!$M$10:$M$13,MATCH($F174,'CIOG'!$B$10:$B$13,0))),"N/A")</f>
        <v/>
      </c>
      <c r="R174" s="25">
        <f>IFERROR(IF(INDEX('MRE'!$M$10:$M$11,MATCH($F174,'MRE'!$B$10:$B$11,0))="","Cell will autofill based on response",INDEX('MRE'!$M$10:$M$11,MATCH($F174,'MRE'!$B$10:$B$11,0))),"N/A")</f>
        <v/>
      </c>
    </row>
    <row r="175">
      <c r="A175">
        <f>F175&amp;"|"&amp;G175</f>
        <v/>
      </c>
      <c r="B175" s="29" t="inlineStr"/>
      <c r="C175" s="8" t="inlineStr"/>
      <c r="D175" s="8" t="inlineStr"/>
      <c r="E175" s="8" t="inlineStr"/>
      <c r="F175" s="8" t="inlineStr">
        <is>
          <t>NB2(a)</t>
        </is>
      </c>
      <c r="G175" s="8" t="inlineStr">
        <is>
          <t>OPTION 2:  Indicator level reporting</t>
        </is>
      </c>
      <c r="H175" s="25">
        <f>IFERROR(IF(INDEX('Faculties'!$N$10:$N$29,MATCH($F175,'Faculties'!$B$10:$B$29,0))="","Cell will autofill based on response",INDEX('Faculties'!$N$10:$N$29,MATCH($F175,'Faculties'!$B$10:$B$29,0))),"N/A")</f>
        <v/>
      </c>
      <c r="I175" s="25">
        <f>IFERROR(IF(INDEX('Faculties'!$N$37:$N$56,MATCH($F175,'Faculties'!$B$37:$B$56,0))="","Cell will autofill based on response",INDEX('Faculties'!$N$37:$N$56,MATCH($F175,'Faculties'!$B$37:$B$56,0))),"N/A")</f>
        <v/>
      </c>
      <c r="J175" s="25">
        <f>IFERROR(IF(INDEX('Faculties'!$N$64:$N$83,MATCH($F175,'Faculties'!$B$64:$B$83,0))="","Cell will autofill based on response",INDEX('Faculties'!$N$64:$N$83,MATCH($F175,'Faculties'!$B$64:$B$83,0))),"N/A")</f>
        <v/>
      </c>
      <c r="K175" s="25">
        <f>IFERROR(IF(INDEX('Faculties'!$N$91:$N$110,MATCH($F175,'Faculties'!$B$91:$B$110,0))="","Cell will autofill based on response",INDEX('Faculties'!$N$91:$N$110,MATCH($F175,'Faculties'!$B$91:$B$110,0))),"N/A")</f>
        <v/>
      </c>
      <c r="L175" s="25">
        <f>IFERROR(IF(INDEX('CI&amp;S'!$N$10:$N$14,MATCH($F175,'CI&amp;S'!$B$10:$B$14,0))="","Cell will autofill based on response",INDEX('CI&amp;S'!$N$10:$N$14,MATCH($F175,'CI&amp;S'!$B$10:$B$14,0))),"N/A")</f>
        <v/>
      </c>
      <c r="M175" s="25">
        <f>IFERROR(IF(INDEX('CI&amp;S'!$N$22:$N$38,MATCH($F175,'CI&amp;S'!$B$22:$B$38,0))="","Cell will autofill based on response",INDEX('CI&amp;S'!$N$22:$N$38,MATCH($F175,'CI&amp;S'!$B$22:$B$38,0))),"N/A")</f>
        <v/>
      </c>
      <c r="N175" s="25">
        <f>IFERROR(IF(INDEX('CFOG'!$N$10:$N$15,MATCH($F175,'CFOG'!$B$10:$B$15,0))="","Cell will autofill based on response",INDEX('CFOG'!$N$10:$N$15,MATCH($F175,'CFOG'!$B$10:$B$15,0))),"N/A")</f>
        <v/>
      </c>
      <c r="O175" s="25">
        <f>IFERROR(IF(INDEX('CFOG'!$N$23:$N$23,MATCH($F175,'CFOG'!$B$23:$B$23,0))="","Cell will autofill based on response",INDEX('CFOG'!$N$23:$N$23,MATCH($F175,'CFOG'!$B$23:$B$23,0))),"N/A")</f>
        <v/>
      </c>
      <c r="P175" s="25">
        <f>IFERROR(IF(INDEX('ESG'!$N$10:$N$16,MATCH($F175,'ESG'!$B$10:$B$16,0))="","Cell will autofill based on response",INDEX('ESG'!$N$10:$N$16,MATCH($F175,'ESG'!$B$10:$B$16,0))),"N/A")</f>
        <v/>
      </c>
      <c r="Q175" s="25">
        <f>IFERROR(IF(INDEX('CIOG'!$N$10:$N$13,MATCH($F175,'CIOG'!$B$10:$B$13,0))="","Cell will autofill based on response",INDEX('CIOG'!$N$10:$N$13,MATCH($F175,'CIOG'!$B$10:$B$13,0))),"N/A")</f>
        <v/>
      </c>
      <c r="R175" s="25">
        <f>IFERROR(IF(INDEX('MRE'!$N$10:$N$11,MATCH($F175,'MRE'!$B$10:$B$11,0))="","Cell will autofill based on response",INDEX('MRE'!$N$10:$N$11,MATCH($F175,'MRE'!$B$10:$B$11,0))),"N/A")</f>
        <v/>
      </c>
    </row>
    <row r="176">
      <c r="A176">
        <f>F176&amp;"|"&amp;G176</f>
        <v/>
      </c>
      <c r="B176" s="29" t="inlineStr"/>
      <c r="C176" s="8" t="inlineStr"/>
      <c r="D176" s="8" t="inlineStr"/>
      <c r="E176" s="8" t="inlineStr"/>
      <c r="F176" s="8" t="inlineStr">
        <is>
          <t>NB2(a)</t>
        </is>
      </c>
      <c r="G176" s="8" t="inlineStr">
        <is>
          <t>Supporting information/comments</t>
        </is>
      </c>
      <c r="H176" s="25">
        <f>IFERROR(IF(INDEX('Faculties'!$O$10:$O$29,MATCH($F176,'Faculties'!$B$10:$B$29,0))="","Cell will autofill based on response",INDEX('Faculties'!$O$10:$O$29,MATCH($F176,'Faculties'!$B$10:$B$29,0))),"N/A")</f>
        <v/>
      </c>
      <c r="I176" s="25">
        <f>IFERROR(IF(INDEX('Faculties'!$O$37:$O$56,MATCH($F176,'Faculties'!$B$37:$B$56,0))="","Cell will autofill based on response",INDEX('Faculties'!$O$37:$O$56,MATCH($F176,'Faculties'!$B$37:$B$56,0))),"N/A")</f>
        <v/>
      </c>
      <c r="J176" s="25">
        <f>IFERROR(IF(INDEX('Faculties'!$O$64:$O$83,MATCH($F176,'Faculties'!$B$64:$B$83,0))="","Cell will autofill based on response",INDEX('Faculties'!$O$64:$O$83,MATCH($F176,'Faculties'!$B$64:$B$83,0))),"N/A")</f>
        <v/>
      </c>
      <c r="K176" s="25">
        <f>IFERROR(IF(INDEX('Faculties'!$O$91:$O$110,MATCH($F176,'Faculties'!$B$91:$B$110,0))="","Cell will autofill based on response",INDEX('Faculties'!$O$91:$O$110,MATCH($F176,'Faculties'!$B$91:$B$110,0))),"N/A")</f>
        <v/>
      </c>
      <c r="L176" s="25">
        <f>IFERROR(IF(INDEX('CI&amp;S'!$O$10:$O$14,MATCH($F176,'CI&amp;S'!$B$10:$B$14,0))="","Cell will autofill based on response",INDEX('CI&amp;S'!$O$10:$O$14,MATCH($F176,'CI&amp;S'!$B$10:$B$14,0))),"N/A")</f>
        <v/>
      </c>
      <c r="M176" s="25">
        <f>IFERROR(IF(INDEX('CI&amp;S'!$O$22:$O$38,MATCH($F176,'CI&amp;S'!$B$22:$B$38,0))="","Cell will autofill based on response",INDEX('CI&amp;S'!$O$22:$O$38,MATCH($F176,'CI&amp;S'!$B$22:$B$38,0))),"N/A")</f>
        <v/>
      </c>
      <c r="N176" s="25">
        <f>IFERROR(IF(INDEX('CFOG'!$O$10:$O$15,MATCH($F176,'CFOG'!$B$10:$B$15,0))="","Cell will autofill based on response",INDEX('CFOG'!$O$10:$O$15,MATCH($F176,'CFOG'!$B$10:$B$15,0))),"N/A")</f>
        <v/>
      </c>
      <c r="O176" s="25">
        <f>IFERROR(IF(INDEX('CFOG'!$O$23:$O$23,MATCH($F176,'CFOG'!$B$23:$B$23,0))="","Cell will autofill based on response",INDEX('CFOG'!$O$23:$O$23,MATCH($F176,'CFOG'!$B$23:$B$23,0))),"N/A")</f>
        <v/>
      </c>
      <c r="P176" s="25">
        <f>IFERROR(IF(INDEX('ESG'!$O$10:$O$16,MATCH($F176,'ESG'!$B$10:$B$16,0))="","Cell will autofill based on response",INDEX('ESG'!$O$10:$O$16,MATCH($F176,'ESG'!$B$10:$B$16,0))),"N/A")</f>
        <v/>
      </c>
      <c r="Q176" s="25">
        <f>IFERROR(IF(INDEX('CIOG'!$O$10:$O$13,MATCH($F176,'CIOG'!$B$10:$B$13,0))="","Cell will autofill based on response",INDEX('CIOG'!$O$10:$O$13,MATCH($F176,'CIOG'!$B$10:$B$13,0))),"N/A")</f>
        <v/>
      </c>
      <c r="R176" s="25">
        <f>IFERROR(IF(INDEX('MRE'!$O$10:$O$11,MATCH($F176,'MRE'!$B$10:$B$11,0))="","Cell will autofill based on response",INDEX('MRE'!$O$10:$O$11,MATCH($F176,'MRE'!$B$10:$B$11,0))),"N/A")</f>
        <v/>
      </c>
    </row>
    <row r="177">
      <c r="A177">
        <f>F177&amp;"|"&amp;G177</f>
        <v/>
      </c>
      <c r="B177" s="29" t="inlineStr"/>
      <c r="C177" s="8" t="inlineStr"/>
      <c r="D177" s="8" t="inlineStr"/>
      <c r="E177" s="8" t="inlineStr"/>
      <c r="F177" s="8" t="inlineStr">
        <is>
          <t>NB2(a)</t>
        </is>
      </c>
      <c r="G177" s="8" t="inlineStr">
        <is>
          <t>Data source and limitations</t>
        </is>
      </c>
      <c r="H177" s="25">
        <f>IFERROR(IF(INDEX('Faculties'!$P$10:$P$29,MATCH($F177,'Faculties'!$B$10:$B$29,0))="","Cell will autofill based on response",INDEX('Faculties'!$P$10:$P$29,MATCH($F177,'Faculties'!$B$10:$B$29,0))),"N/A")</f>
        <v/>
      </c>
      <c r="I177" s="25">
        <f>IFERROR(IF(INDEX('Faculties'!$P$37:$P$56,MATCH($F177,'Faculties'!$B$37:$B$56,0))="","Cell will autofill based on response",INDEX('Faculties'!$P$37:$P$56,MATCH($F177,'Faculties'!$B$37:$B$56,0))),"N/A")</f>
        <v/>
      </c>
      <c r="J177" s="25">
        <f>IFERROR(IF(INDEX('Faculties'!$P$64:$P$83,MATCH($F177,'Faculties'!$B$64:$B$83,0))="","Cell will autofill based on response",INDEX('Faculties'!$P$64:$P$83,MATCH($F177,'Faculties'!$B$64:$B$83,0))),"N/A")</f>
        <v/>
      </c>
      <c r="K177" s="25">
        <f>IFERROR(IF(INDEX('Faculties'!$P$91:$P$110,MATCH($F177,'Faculties'!$B$91:$B$110,0))="","Cell will autofill based on response",INDEX('Faculties'!$P$91:$P$110,MATCH($F177,'Faculties'!$B$91:$B$110,0))),"N/A")</f>
        <v/>
      </c>
      <c r="L177" s="25">
        <f>IFERROR(IF(INDEX('CI&amp;S'!$P$10:$P$14,MATCH($F177,'CI&amp;S'!$B$10:$B$14,0))="","Cell will autofill based on response",INDEX('CI&amp;S'!$P$10:$P$14,MATCH($F177,'CI&amp;S'!$B$10:$B$14,0))),"N/A")</f>
        <v/>
      </c>
      <c r="M177" s="25">
        <f>IFERROR(IF(INDEX('CI&amp;S'!$P$22:$P$38,MATCH($F177,'CI&amp;S'!$B$22:$B$38,0))="","Cell will autofill based on response",INDEX('CI&amp;S'!$P$22:$P$38,MATCH($F177,'CI&amp;S'!$B$22:$B$38,0))),"N/A")</f>
        <v/>
      </c>
      <c r="N177" s="25">
        <f>IFERROR(IF(INDEX('CFOG'!$P$10:$P$15,MATCH($F177,'CFOG'!$B$10:$B$15,0))="","Cell will autofill based on response",INDEX('CFOG'!$P$10:$P$15,MATCH($F177,'CFOG'!$B$10:$B$15,0))),"N/A")</f>
        <v/>
      </c>
      <c r="O177" s="25">
        <f>IFERROR(IF(INDEX('CFOG'!$P$23:$P$23,MATCH($F177,'CFOG'!$B$23:$B$23,0))="","Cell will autofill based on response",INDEX('CFOG'!$P$23:$P$23,MATCH($F177,'CFOG'!$B$23:$B$23,0))),"N/A")</f>
        <v/>
      </c>
      <c r="P177" s="25">
        <f>IFERROR(IF(INDEX('ESG'!$P$10:$P$16,MATCH($F177,'ESG'!$B$10:$B$16,0))="","Cell will autofill based on response",INDEX('ESG'!$P$10:$P$16,MATCH($F177,'ESG'!$B$10:$B$16,0))),"N/A")</f>
        <v/>
      </c>
      <c r="Q177" s="25">
        <f>IFERROR(IF(INDEX('CIOG'!$P$10:$P$13,MATCH($F177,'CIOG'!$B$10:$B$13,0))="","Cell will autofill based on response",INDEX('CIOG'!$P$10:$P$13,MATCH($F177,'CIOG'!$B$10:$B$13,0))),"N/A")</f>
        <v/>
      </c>
      <c r="R177" s="25">
        <f>IFERROR(IF(INDEX('MRE'!$P$10:$P$11,MATCH($F177,'MRE'!$B$10:$B$11,0))="","Cell will autofill based on response",INDEX('MRE'!$P$10:$P$11,MATCH($F177,'MRE'!$B$10:$B$11,0))),"N/A")</f>
        <v/>
      </c>
    </row>
    <row r="178">
      <c r="A178">
        <f>F178&amp;"|"&amp;G178</f>
        <v/>
      </c>
      <c r="B178" s="29" t="inlineStr"/>
      <c r="C178" s="8" t="inlineStr"/>
      <c r="D178" s="8" t="inlineStr"/>
      <c r="E178" s="8" t="inlineStr"/>
      <c r="F178" s="8" t="inlineStr">
        <is>
          <t>NB2(a)</t>
        </is>
      </c>
      <c r="G178" s="8" t="inlineStr">
        <is>
          <t>Data owner confirms</t>
        </is>
      </c>
      <c r="H178" s="25">
        <f>IFERROR(IF(INDEX('Faculties'!$Q$10:$Q$29,MATCH($F178,'Faculties'!$B$10:$B$29,0))="","Cell will autofill based on response",INDEX('Faculties'!$Q$10:$Q$29,MATCH($F178,'Faculties'!$B$10:$B$29,0))),"N/A")</f>
        <v/>
      </c>
      <c r="I178" s="25">
        <f>IFERROR(IF(INDEX('Faculties'!$Q$37:$Q$56,MATCH($F178,'Faculties'!$B$37:$B$56,0))="","Cell will autofill based on response",INDEX('Faculties'!$Q$37:$Q$56,MATCH($F178,'Faculties'!$B$37:$B$56,0))),"N/A")</f>
        <v/>
      </c>
      <c r="J178" s="25">
        <f>IFERROR(IF(INDEX('Faculties'!$Q$64:$Q$83,MATCH($F178,'Faculties'!$B$64:$B$83,0))="","Cell will autofill based on response",INDEX('Faculties'!$Q$64:$Q$83,MATCH($F178,'Faculties'!$B$64:$B$83,0))),"N/A")</f>
        <v/>
      </c>
      <c r="K178" s="25">
        <f>IFERROR(IF(INDEX('Faculties'!$Q$91:$Q$110,MATCH($F178,'Faculties'!$B$91:$B$110,0))="","Cell will autofill based on response",INDEX('Faculties'!$Q$91:$Q$110,MATCH($F178,'Faculties'!$B$91:$B$110,0))),"N/A")</f>
        <v/>
      </c>
      <c r="L178" s="25">
        <f>IFERROR(IF(INDEX('CI&amp;S'!$Q$10:$Q$14,MATCH($F178,'CI&amp;S'!$B$10:$B$14,0))="","Cell will autofill based on response",INDEX('CI&amp;S'!$Q$10:$Q$14,MATCH($F178,'CI&amp;S'!$B$10:$B$14,0))),"N/A")</f>
        <v/>
      </c>
      <c r="M178" s="25">
        <f>IFERROR(IF(INDEX('CI&amp;S'!$Q$22:$Q$38,MATCH($F178,'CI&amp;S'!$B$22:$B$38,0))="","Cell will autofill based on response",INDEX('CI&amp;S'!$Q$22:$Q$38,MATCH($F178,'CI&amp;S'!$B$22:$B$38,0))),"N/A")</f>
        <v/>
      </c>
      <c r="N178" s="25">
        <f>IFERROR(IF(INDEX('CFOG'!$Q$10:$Q$15,MATCH($F178,'CFOG'!$B$10:$B$15,0))="","Cell will autofill based on response",INDEX('CFOG'!$Q$10:$Q$15,MATCH($F178,'CFOG'!$B$10:$B$15,0))),"N/A")</f>
        <v/>
      </c>
      <c r="O178" s="25">
        <f>IFERROR(IF(INDEX('CFOG'!$Q$23:$Q$23,MATCH($F178,'CFOG'!$B$23:$B$23,0))="","Cell will autofill based on response",INDEX('CFOG'!$Q$23:$Q$23,MATCH($F178,'CFOG'!$B$23:$B$23,0))),"N/A")</f>
        <v/>
      </c>
      <c r="P178" s="25">
        <f>IFERROR(IF(INDEX('ESG'!$Q$10:$Q$16,MATCH($F178,'ESG'!$B$10:$B$16,0))="","Cell will autofill based on response",INDEX('ESG'!$Q$10:$Q$16,MATCH($F178,'ESG'!$B$10:$B$16,0))),"N/A")</f>
        <v/>
      </c>
      <c r="Q178" s="25">
        <f>IFERROR(IF(INDEX('CIOG'!$Q$10:$Q$13,MATCH($F178,'CIOG'!$B$10:$B$13,0))="","Cell will autofill based on response",INDEX('CIOG'!$Q$10:$Q$13,MATCH($F178,'CIOG'!$B$10:$B$13,0))),"N/A")</f>
        <v/>
      </c>
      <c r="R178" s="25">
        <f>IFERROR(IF(INDEX('MRE'!$Q$10:$Q$11,MATCH($F178,'MRE'!$B$10:$B$11,0))="","Cell will autofill based on response",INDEX('MRE'!$Q$10:$Q$11,MATCH($F178,'MRE'!$B$10:$B$11,0))),"N/A")</f>
        <v/>
      </c>
    </row>
    <row r="179">
      <c r="A179">
        <f>F179&amp;"|"&amp;G179</f>
        <v/>
      </c>
      <c r="B179" s="7" t="inlineStr">
        <is>
          <t>NB2(b)</t>
        </is>
      </c>
      <c r="C179" s="12" t="inlineStr">
        <is>
          <t>Nature and biodiversity</t>
        </is>
      </c>
      <c r="D179" s="12" t="inlineStr">
        <is>
          <t>Evidence of established framework to monitor and track supply-chain nature impacts over time</t>
        </is>
      </c>
      <c r="E179" s="12" t="inlineStr">
        <is>
          <t>Please describe the framework established to monitor and track supply-chain impacts on nature over time, could include metrics, data sources, governance/ownership, reporting frequency and current implementation status.</t>
        </is>
      </c>
      <c r="F179" s="12" t="inlineStr">
        <is>
          <t>NB2(b)</t>
        </is>
      </c>
      <c r="G179" s="12" t="inlineStr">
        <is>
          <t>Confirm end-2026 target status</t>
        </is>
      </c>
      <c r="H179" s="25">
        <f>IFERROR(IF(INDEX('Faculties'!$L$10:$L$29,MATCH($F179,'Faculties'!$B$10:$B$29,0))="","Cell will autofill based on response",INDEX('Faculties'!$L$10:$L$29,MATCH($F179,'Faculties'!$B$10:$B$29,0))),"N/A")</f>
        <v/>
      </c>
      <c r="I179" s="25">
        <f>IFERROR(IF(INDEX('Faculties'!$L$37:$L$56,MATCH($F179,'Faculties'!$B$37:$B$56,0))="","Cell will autofill based on response",INDEX('Faculties'!$L$37:$L$56,MATCH($F179,'Faculties'!$B$37:$B$56,0))),"N/A")</f>
        <v/>
      </c>
      <c r="J179" s="25">
        <f>IFERROR(IF(INDEX('Faculties'!$L$64:$L$83,MATCH($F179,'Faculties'!$B$64:$B$83,0))="","Cell will autofill based on response",INDEX('Faculties'!$L$64:$L$83,MATCH($F179,'Faculties'!$B$64:$B$83,0))),"N/A")</f>
        <v/>
      </c>
      <c r="K179" s="25">
        <f>IFERROR(IF(INDEX('Faculties'!$L$91:$L$110,MATCH($F179,'Faculties'!$B$91:$B$110,0))="","Cell will autofill based on response",INDEX('Faculties'!$L$91:$L$110,MATCH($F179,'Faculties'!$B$91:$B$110,0))),"N/A")</f>
        <v/>
      </c>
      <c r="L179" s="25">
        <f>IFERROR(IF(INDEX('CI&amp;S'!$L$10:$L$14,MATCH($F179,'CI&amp;S'!$B$10:$B$14,0))="","Cell will autofill based on response",INDEX('CI&amp;S'!$L$10:$L$14,MATCH($F179,'CI&amp;S'!$B$10:$B$14,0))),"N/A")</f>
        <v/>
      </c>
      <c r="M179" s="25">
        <f>IFERROR(IF(INDEX('CI&amp;S'!$L$22:$L$38,MATCH($F179,'CI&amp;S'!$B$22:$B$38,0))="","Cell will autofill based on response",INDEX('CI&amp;S'!$L$22:$L$38,MATCH($F179,'CI&amp;S'!$B$22:$B$38,0))),"N/A")</f>
        <v/>
      </c>
      <c r="N179" s="25">
        <f>IFERROR(IF(INDEX('CFOG'!$L$10:$L$15,MATCH($F179,'CFOG'!$B$10:$B$15,0))="","Cell will autofill based on response",INDEX('CFOG'!$L$10:$L$15,MATCH($F179,'CFOG'!$B$10:$B$15,0))),"N/A")</f>
        <v/>
      </c>
      <c r="O179" s="25">
        <f>IFERROR(IF(INDEX('CFOG'!$L$23:$L$23,MATCH($F179,'CFOG'!$B$23:$B$23,0))="","Cell will autofill based on response",INDEX('CFOG'!$L$23:$L$23,MATCH($F179,'CFOG'!$B$23:$B$23,0))),"N/A")</f>
        <v/>
      </c>
      <c r="P179" s="25">
        <f>IFERROR(IF(INDEX('ESG'!$L$10:$L$16,MATCH($F179,'ESG'!$B$10:$B$16,0))="","Cell will autofill based on response",INDEX('ESG'!$L$10:$L$16,MATCH($F179,'ESG'!$B$10:$B$16,0))),"N/A")</f>
        <v/>
      </c>
      <c r="Q179" s="25">
        <f>IFERROR(IF(INDEX('CIOG'!$L$10:$L$13,MATCH($F179,'CIOG'!$B$10:$B$13,0))="","Cell will autofill based on response",INDEX('CIOG'!$L$10:$L$13,MATCH($F179,'CIOG'!$B$10:$B$13,0))),"N/A")</f>
        <v/>
      </c>
      <c r="R179" s="25">
        <f>IFERROR(IF(INDEX('MRE'!$L$10:$L$11,MATCH($F179,'MRE'!$B$10:$B$11,0))="","Cell will autofill based on response",INDEX('MRE'!$L$10:$L$11,MATCH($F179,'MRE'!$B$10:$B$11,0))),"N/A")</f>
        <v/>
      </c>
      <c r="T179" s="26">
        <f>COUNTIF($H179:$R179,"Cell will autofill based on response")</f>
        <v/>
      </c>
      <c r="U179" s="26">
        <f>COUNTIF($H179:$R179,"Not yet started")</f>
        <v/>
      </c>
      <c r="V179" s="26">
        <f>COUNTIF($H179:$R179,"Not met")</f>
        <v/>
      </c>
      <c r="W179" s="26">
        <f>COUNTIF($H179:$R179,"Partially met")</f>
        <v/>
      </c>
      <c r="X179" s="26">
        <f>COUNTIF($H179:$R179,"Met or exceeded")</f>
        <v/>
      </c>
      <c r="Y179" s="26">
        <f>3*X179+2*W179+V179</f>
        <v/>
      </c>
      <c r="Z179" s="26">
        <f>X179+W179+V179+U179</f>
        <v/>
      </c>
      <c r="AA179" s="27">
        <f>IF(Z179&gt;0,Y179/Z179,"No valid responses to date")</f>
        <v/>
      </c>
      <c r="AB179" s="26">
        <f>IF(ISNUMBER(AA179),INDEX(Lists!$G$2:$G$5,MATCH(ROUND(AA179,0),Lists!$H$2:$H$5,0)),"")</f>
        <v/>
      </c>
      <c r="AC179" s="28">
        <f>IF(Z179&gt;0,X179/Z179,"")</f>
        <v/>
      </c>
      <c r="AD179" s="28">
        <f>IF(Z179&gt;0,(X179+W179)/Z179,"")</f>
        <v/>
      </c>
      <c r="AE179" s="26">
        <f>IF(Z179=0,"",IF(AC179&gt;0.75,"Met or exceeded",IF(AD179&gt;=0.5,"Partially met","Not met")))</f>
        <v/>
      </c>
    </row>
    <row r="180">
      <c r="A180">
        <f>F180&amp;"|"&amp;G180</f>
        <v/>
      </c>
      <c r="B180" s="29" t="inlineStr"/>
      <c r="C180" s="8" t="inlineStr"/>
      <c r="D180" s="8" t="inlineStr"/>
      <c r="E180" s="8" t="inlineStr"/>
      <c r="F180" s="8" t="inlineStr">
        <is>
          <t>NB2(b)</t>
        </is>
      </c>
      <c r="G180" s="8" t="inlineStr">
        <is>
          <t>OPTION 1:  Target-level reporting</t>
        </is>
      </c>
      <c r="H180" s="25">
        <f>IFERROR(IF(INDEX('Faculties'!$M$10:$M$29,MATCH($F180,'Faculties'!$B$10:$B$29,0))="","Cell will autofill based on response",INDEX('Faculties'!$M$10:$M$29,MATCH($F180,'Faculties'!$B$10:$B$29,0))),"N/A")</f>
        <v/>
      </c>
      <c r="I180" s="25">
        <f>IFERROR(IF(INDEX('Faculties'!$M$37:$M$56,MATCH($F180,'Faculties'!$B$37:$B$56,0))="","Cell will autofill based on response",INDEX('Faculties'!$M$37:$M$56,MATCH($F180,'Faculties'!$B$37:$B$56,0))),"N/A")</f>
        <v/>
      </c>
      <c r="J180" s="25">
        <f>IFERROR(IF(INDEX('Faculties'!$M$64:$M$83,MATCH($F180,'Faculties'!$B$64:$B$83,0))="","Cell will autofill based on response",INDEX('Faculties'!$M$64:$M$83,MATCH($F180,'Faculties'!$B$64:$B$83,0))),"N/A")</f>
        <v/>
      </c>
      <c r="K180" s="25">
        <f>IFERROR(IF(INDEX('Faculties'!$M$91:$M$110,MATCH($F180,'Faculties'!$B$91:$B$110,0))="","Cell will autofill based on response",INDEX('Faculties'!$M$91:$M$110,MATCH($F180,'Faculties'!$B$91:$B$110,0))),"N/A")</f>
        <v/>
      </c>
      <c r="L180" s="25">
        <f>IFERROR(IF(INDEX('CI&amp;S'!$M$10:$M$14,MATCH($F180,'CI&amp;S'!$B$10:$B$14,0))="","Cell will autofill based on response",INDEX('CI&amp;S'!$M$10:$M$14,MATCH($F180,'CI&amp;S'!$B$10:$B$14,0))),"N/A")</f>
        <v/>
      </c>
      <c r="M180" s="25">
        <f>IFERROR(IF(INDEX('CI&amp;S'!$M$22:$M$38,MATCH($F180,'CI&amp;S'!$B$22:$B$38,0))="","Cell will autofill based on response",INDEX('CI&amp;S'!$M$22:$M$38,MATCH($F180,'CI&amp;S'!$B$22:$B$38,0))),"N/A")</f>
        <v/>
      </c>
      <c r="N180" s="25">
        <f>IFERROR(IF(INDEX('CFOG'!$M$10:$M$15,MATCH($F180,'CFOG'!$B$10:$B$15,0))="","Cell will autofill based on response",INDEX('CFOG'!$M$10:$M$15,MATCH($F180,'CFOG'!$B$10:$B$15,0))),"N/A")</f>
        <v/>
      </c>
      <c r="O180" s="25">
        <f>IFERROR(IF(INDEX('CFOG'!$M$23:$M$23,MATCH($F180,'CFOG'!$B$23:$B$23,0))="","Cell will autofill based on response",INDEX('CFOG'!$M$23:$M$23,MATCH($F180,'CFOG'!$B$23:$B$23,0))),"N/A")</f>
        <v/>
      </c>
      <c r="P180" s="25">
        <f>IFERROR(IF(INDEX('ESG'!$M$10:$M$16,MATCH($F180,'ESG'!$B$10:$B$16,0))="","Cell will autofill based on response",INDEX('ESG'!$M$10:$M$16,MATCH($F180,'ESG'!$B$10:$B$16,0))),"N/A")</f>
        <v/>
      </c>
      <c r="Q180" s="25">
        <f>IFERROR(IF(INDEX('CIOG'!$M$10:$M$13,MATCH($F180,'CIOG'!$B$10:$B$13,0))="","Cell will autofill based on response",INDEX('CIOG'!$M$10:$M$13,MATCH($F180,'CIOG'!$B$10:$B$13,0))),"N/A")</f>
        <v/>
      </c>
      <c r="R180" s="25">
        <f>IFERROR(IF(INDEX('MRE'!$M$10:$M$11,MATCH($F180,'MRE'!$B$10:$B$11,0))="","Cell will autofill based on response",INDEX('MRE'!$M$10:$M$11,MATCH($F180,'MRE'!$B$10:$B$11,0))),"N/A")</f>
        <v/>
      </c>
    </row>
    <row r="181">
      <c r="A181">
        <f>F181&amp;"|"&amp;G181</f>
        <v/>
      </c>
      <c r="B181" s="29" t="inlineStr"/>
      <c r="C181" s="8" t="inlineStr"/>
      <c r="D181" s="8" t="inlineStr"/>
      <c r="E181" s="8" t="inlineStr"/>
      <c r="F181" s="8" t="inlineStr">
        <is>
          <t>NB2(b)</t>
        </is>
      </c>
      <c r="G181" s="8" t="inlineStr">
        <is>
          <t>OPTION 2:  Indicator level reporting</t>
        </is>
      </c>
      <c r="H181" s="25">
        <f>IFERROR(IF(INDEX('Faculties'!$N$10:$N$29,MATCH($F181,'Faculties'!$B$10:$B$29,0))="","Cell will autofill based on response",INDEX('Faculties'!$N$10:$N$29,MATCH($F181,'Faculties'!$B$10:$B$29,0))),"N/A")</f>
        <v/>
      </c>
      <c r="I181" s="25">
        <f>IFERROR(IF(INDEX('Faculties'!$N$37:$N$56,MATCH($F181,'Faculties'!$B$37:$B$56,0))="","Cell will autofill based on response",INDEX('Faculties'!$N$37:$N$56,MATCH($F181,'Faculties'!$B$37:$B$56,0))),"N/A")</f>
        <v/>
      </c>
      <c r="J181" s="25">
        <f>IFERROR(IF(INDEX('Faculties'!$N$64:$N$83,MATCH($F181,'Faculties'!$B$64:$B$83,0))="","Cell will autofill based on response",INDEX('Faculties'!$N$64:$N$83,MATCH($F181,'Faculties'!$B$64:$B$83,0))),"N/A")</f>
        <v/>
      </c>
      <c r="K181" s="25">
        <f>IFERROR(IF(INDEX('Faculties'!$N$91:$N$110,MATCH($F181,'Faculties'!$B$91:$B$110,0))="","Cell will autofill based on response",INDEX('Faculties'!$N$91:$N$110,MATCH($F181,'Faculties'!$B$91:$B$110,0))),"N/A")</f>
        <v/>
      </c>
      <c r="L181" s="25">
        <f>IFERROR(IF(INDEX('CI&amp;S'!$N$10:$N$14,MATCH($F181,'CI&amp;S'!$B$10:$B$14,0))="","Cell will autofill based on response",INDEX('CI&amp;S'!$N$10:$N$14,MATCH($F181,'CI&amp;S'!$B$10:$B$14,0))),"N/A")</f>
        <v/>
      </c>
      <c r="M181" s="25">
        <f>IFERROR(IF(INDEX('CI&amp;S'!$N$22:$N$38,MATCH($F181,'CI&amp;S'!$B$22:$B$38,0))="","Cell will autofill based on response",INDEX('CI&amp;S'!$N$22:$N$38,MATCH($F181,'CI&amp;S'!$B$22:$B$38,0))),"N/A")</f>
        <v/>
      </c>
      <c r="N181" s="25">
        <f>IFERROR(IF(INDEX('CFOG'!$N$10:$N$15,MATCH($F181,'CFOG'!$B$10:$B$15,0))="","Cell will autofill based on response",INDEX('CFOG'!$N$10:$N$15,MATCH($F181,'CFOG'!$B$10:$B$15,0))),"N/A")</f>
        <v/>
      </c>
      <c r="O181" s="25">
        <f>IFERROR(IF(INDEX('CFOG'!$N$23:$N$23,MATCH($F181,'CFOG'!$B$23:$B$23,0))="","Cell will autofill based on response",INDEX('CFOG'!$N$23:$N$23,MATCH($F181,'CFOG'!$B$23:$B$23,0))),"N/A")</f>
        <v/>
      </c>
      <c r="P181" s="25">
        <f>IFERROR(IF(INDEX('ESG'!$N$10:$N$16,MATCH($F181,'ESG'!$B$10:$B$16,0))="","Cell will autofill based on response",INDEX('ESG'!$N$10:$N$16,MATCH($F181,'ESG'!$B$10:$B$16,0))),"N/A")</f>
        <v/>
      </c>
      <c r="Q181" s="25">
        <f>IFERROR(IF(INDEX('CIOG'!$N$10:$N$13,MATCH($F181,'CIOG'!$B$10:$B$13,0))="","Cell will autofill based on response",INDEX('CIOG'!$N$10:$N$13,MATCH($F181,'CIOG'!$B$10:$B$13,0))),"N/A")</f>
        <v/>
      </c>
      <c r="R181" s="25">
        <f>IFERROR(IF(INDEX('MRE'!$N$10:$N$11,MATCH($F181,'MRE'!$B$10:$B$11,0))="","Cell will autofill based on response",INDEX('MRE'!$N$10:$N$11,MATCH($F181,'MRE'!$B$10:$B$11,0))),"N/A")</f>
        <v/>
      </c>
    </row>
    <row r="182">
      <c r="A182">
        <f>F182&amp;"|"&amp;G182</f>
        <v/>
      </c>
      <c r="B182" s="29" t="inlineStr"/>
      <c r="C182" s="8" t="inlineStr"/>
      <c r="D182" s="8" t="inlineStr"/>
      <c r="E182" s="8" t="inlineStr"/>
      <c r="F182" s="8" t="inlineStr">
        <is>
          <t>NB2(b)</t>
        </is>
      </c>
      <c r="G182" s="8" t="inlineStr">
        <is>
          <t>Supporting information/comments</t>
        </is>
      </c>
      <c r="H182" s="25">
        <f>IFERROR(IF(INDEX('Faculties'!$O$10:$O$29,MATCH($F182,'Faculties'!$B$10:$B$29,0))="","Cell will autofill based on response",INDEX('Faculties'!$O$10:$O$29,MATCH($F182,'Faculties'!$B$10:$B$29,0))),"N/A")</f>
        <v/>
      </c>
      <c r="I182" s="25">
        <f>IFERROR(IF(INDEX('Faculties'!$O$37:$O$56,MATCH($F182,'Faculties'!$B$37:$B$56,0))="","Cell will autofill based on response",INDEX('Faculties'!$O$37:$O$56,MATCH($F182,'Faculties'!$B$37:$B$56,0))),"N/A")</f>
        <v/>
      </c>
      <c r="J182" s="25">
        <f>IFERROR(IF(INDEX('Faculties'!$O$64:$O$83,MATCH($F182,'Faculties'!$B$64:$B$83,0))="","Cell will autofill based on response",INDEX('Faculties'!$O$64:$O$83,MATCH($F182,'Faculties'!$B$64:$B$83,0))),"N/A")</f>
        <v/>
      </c>
      <c r="K182" s="25">
        <f>IFERROR(IF(INDEX('Faculties'!$O$91:$O$110,MATCH($F182,'Faculties'!$B$91:$B$110,0))="","Cell will autofill based on response",INDEX('Faculties'!$O$91:$O$110,MATCH($F182,'Faculties'!$B$91:$B$110,0))),"N/A")</f>
        <v/>
      </c>
      <c r="L182" s="25">
        <f>IFERROR(IF(INDEX('CI&amp;S'!$O$10:$O$14,MATCH($F182,'CI&amp;S'!$B$10:$B$14,0))="","Cell will autofill based on response",INDEX('CI&amp;S'!$O$10:$O$14,MATCH($F182,'CI&amp;S'!$B$10:$B$14,0))),"N/A")</f>
        <v/>
      </c>
      <c r="M182" s="25">
        <f>IFERROR(IF(INDEX('CI&amp;S'!$O$22:$O$38,MATCH($F182,'CI&amp;S'!$B$22:$B$38,0))="","Cell will autofill based on response",INDEX('CI&amp;S'!$O$22:$O$38,MATCH($F182,'CI&amp;S'!$B$22:$B$38,0))),"N/A")</f>
        <v/>
      </c>
      <c r="N182" s="25">
        <f>IFERROR(IF(INDEX('CFOG'!$O$10:$O$15,MATCH($F182,'CFOG'!$B$10:$B$15,0))="","Cell will autofill based on response",INDEX('CFOG'!$O$10:$O$15,MATCH($F182,'CFOG'!$B$10:$B$15,0))),"N/A")</f>
        <v/>
      </c>
      <c r="O182" s="25">
        <f>IFERROR(IF(INDEX('CFOG'!$O$23:$O$23,MATCH($F182,'CFOG'!$B$23:$B$23,0))="","Cell will autofill based on response",INDEX('CFOG'!$O$23:$O$23,MATCH($F182,'CFOG'!$B$23:$B$23,0))),"N/A")</f>
        <v/>
      </c>
      <c r="P182" s="25">
        <f>IFERROR(IF(INDEX('ESG'!$O$10:$O$16,MATCH($F182,'ESG'!$B$10:$B$16,0))="","Cell will autofill based on response",INDEX('ESG'!$O$10:$O$16,MATCH($F182,'ESG'!$B$10:$B$16,0))),"N/A")</f>
        <v/>
      </c>
      <c r="Q182" s="25">
        <f>IFERROR(IF(INDEX('CIOG'!$O$10:$O$13,MATCH($F182,'CIOG'!$B$10:$B$13,0))="","Cell will autofill based on response",INDEX('CIOG'!$O$10:$O$13,MATCH($F182,'CIOG'!$B$10:$B$13,0))),"N/A")</f>
        <v/>
      </c>
      <c r="R182" s="25">
        <f>IFERROR(IF(INDEX('MRE'!$O$10:$O$11,MATCH($F182,'MRE'!$B$10:$B$11,0))="","Cell will autofill based on response",INDEX('MRE'!$O$10:$O$11,MATCH($F182,'MRE'!$B$10:$B$11,0))),"N/A")</f>
        <v/>
      </c>
    </row>
    <row r="183">
      <c r="A183">
        <f>F183&amp;"|"&amp;G183</f>
        <v/>
      </c>
      <c r="B183" s="29" t="inlineStr"/>
      <c r="C183" s="8" t="inlineStr"/>
      <c r="D183" s="8" t="inlineStr"/>
      <c r="E183" s="8" t="inlineStr"/>
      <c r="F183" s="8" t="inlineStr">
        <is>
          <t>NB2(b)</t>
        </is>
      </c>
      <c r="G183" s="8" t="inlineStr">
        <is>
          <t>Data source and limitations</t>
        </is>
      </c>
      <c r="H183" s="25">
        <f>IFERROR(IF(INDEX('Faculties'!$P$10:$P$29,MATCH($F183,'Faculties'!$B$10:$B$29,0))="","Cell will autofill based on response",INDEX('Faculties'!$P$10:$P$29,MATCH($F183,'Faculties'!$B$10:$B$29,0))),"N/A")</f>
        <v/>
      </c>
      <c r="I183" s="25">
        <f>IFERROR(IF(INDEX('Faculties'!$P$37:$P$56,MATCH($F183,'Faculties'!$B$37:$B$56,0))="","Cell will autofill based on response",INDEX('Faculties'!$P$37:$P$56,MATCH($F183,'Faculties'!$B$37:$B$56,0))),"N/A")</f>
        <v/>
      </c>
      <c r="J183" s="25">
        <f>IFERROR(IF(INDEX('Faculties'!$P$64:$P$83,MATCH($F183,'Faculties'!$B$64:$B$83,0))="","Cell will autofill based on response",INDEX('Faculties'!$P$64:$P$83,MATCH($F183,'Faculties'!$B$64:$B$83,0))),"N/A")</f>
        <v/>
      </c>
      <c r="K183" s="25">
        <f>IFERROR(IF(INDEX('Faculties'!$P$91:$P$110,MATCH($F183,'Faculties'!$B$91:$B$110,0))="","Cell will autofill based on response",INDEX('Faculties'!$P$91:$P$110,MATCH($F183,'Faculties'!$B$91:$B$110,0))),"N/A")</f>
        <v/>
      </c>
      <c r="L183" s="25">
        <f>IFERROR(IF(INDEX('CI&amp;S'!$P$10:$P$14,MATCH($F183,'CI&amp;S'!$B$10:$B$14,0))="","Cell will autofill based on response",INDEX('CI&amp;S'!$P$10:$P$14,MATCH($F183,'CI&amp;S'!$B$10:$B$14,0))),"N/A")</f>
        <v/>
      </c>
      <c r="M183" s="25">
        <f>IFERROR(IF(INDEX('CI&amp;S'!$P$22:$P$38,MATCH($F183,'CI&amp;S'!$B$22:$B$38,0))="","Cell will autofill based on response",INDEX('CI&amp;S'!$P$22:$P$38,MATCH($F183,'CI&amp;S'!$B$22:$B$38,0))),"N/A")</f>
        <v/>
      </c>
      <c r="N183" s="25">
        <f>IFERROR(IF(INDEX('CFOG'!$P$10:$P$15,MATCH($F183,'CFOG'!$B$10:$B$15,0))="","Cell will autofill based on response",INDEX('CFOG'!$P$10:$P$15,MATCH($F183,'CFOG'!$B$10:$B$15,0))),"N/A")</f>
        <v/>
      </c>
      <c r="O183" s="25">
        <f>IFERROR(IF(INDEX('CFOG'!$P$23:$P$23,MATCH($F183,'CFOG'!$B$23:$B$23,0))="","Cell will autofill based on response",INDEX('CFOG'!$P$23:$P$23,MATCH($F183,'CFOG'!$B$23:$B$23,0))),"N/A")</f>
        <v/>
      </c>
      <c r="P183" s="25">
        <f>IFERROR(IF(INDEX('ESG'!$P$10:$P$16,MATCH($F183,'ESG'!$B$10:$B$16,0))="","Cell will autofill based on response",INDEX('ESG'!$P$10:$P$16,MATCH($F183,'ESG'!$B$10:$B$16,0))),"N/A")</f>
        <v/>
      </c>
      <c r="Q183" s="25">
        <f>IFERROR(IF(INDEX('CIOG'!$P$10:$P$13,MATCH($F183,'CIOG'!$B$10:$B$13,0))="","Cell will autofill based on response",INDEX('CIOG'!$P$10:$P$13,MATCH($F183,'CIOG'!$B$10:$B$13,0))),"N/A")</f>
        <v/>
      </c>
      <c r="R183" s="25">
        <f>IFERROR(IF(INDEX('MRE'!$P$10:$P$11,MATCH($F183,'MRE'!$B$10:$B$11,0))="","Cell will autofill based on response",INDEX('MRE'!$P$10:$P$11,MATCH($F183,'MRE'!$B$10:$B$11,0))),"N/A")</f>
        <v/>
      </c>
    </row>
    <row r="184">
      <c r="A184">
        <f>F184&amp;"|"&amp;G184</f>
        <v/>
      </c>
      <c r="B184" s="29" t="inlineStr"/>
      <c r="C184" s="8" t="inlineStr"/>
      <c r="D184" s="8" t="inlineStr"/>
      <c r="E184" s="8" t="inlineStr"/>
      <c r="F184" s="8" t="inlineStr">
        <is>
          <t>NB2(b)</t>
        </is>
      </c>
      <c r="G184" s="8" t="inlineStr">
        <is>
          <t>Data owner confirms</t>
        </is>
      </c>
      <c r="H184" s="25">
        <f>IFERROR(IF(INDEX('Faculties'!$Q$10:$Q$29,MATCH($F184,'Faculties'!$B$10:$B$29,0))="","Cell will autofill based on response",INDEX('Faculties'!$Q$10:$Q$29,MATCH($F184,'Faculties'!$B$10:$B$29,0))),"N/A")</f>
        <v/>
      </c>
      <c r="I184" s="25">
        <f>IFERROR(IF(INDEX('Faculties'!$Q$37:$Q$56,MATCH($F184,'Faculties'!$B$37:$B$56,0))="","Cell will autofill based on response",INDEX('Faculties'!$Q$37:$Q$56,MATCH($F184,'Faculties'!$B$37:$B$56,0))),"N/A")</f>
        <v/>
      </c>
      <c r="J184" s="25">
        <f>IFERROR(IF(INDEX('Faculties'!$Q$64:$Q$83,MATCH($F184,'Faculties'!$B$64:$B$83,0))="","Cell will autofill based on response",INDEX('Faculties'!$Q$64:$Q$83,MATCH($F184,'Faculties'!$B$64:$B$83,0))),"N/A")</f>
        <v/>
      </c>
      <c r="K184" s="25">
        <f>IFERROR(IF(INDEX('Faculties'!$Q$91:$Q$110,MATCH($F184,'Faculties'!$B$91:$B$110,0))="","Cell will autofill based on response",INDEX('Faculties'!$Q$91:$Q$110,MATCH($F184,'Faculties'!$B$91:$B$110,0))),"N/A")</f>
        <v/>
      </c>
      <c r="L184" s="25">
        <f>IFERROR(IF(INDEX('CI&amp;S'!$Q$10:$Q$14,MATCH($F184,'CI&amp;S'!$B$10:$B$14,0))="","Cell will autofill based on response",INDEX('CI&amp;S'!$Q$10:$Q$14,MATCH($F184,'CI&amp;S'!$B$10:$B$14,0))),"N/A")</f>
        <v/>
      </c>
      <c r="M184" s="25">
        <f>IFERROR(IF(INDEX('CI&amp;S'!$Q$22:$Q$38,MATCH($F184,'CI&amp;S'!$B$22:$B$38,0))="","Cell will autofill based on response",INDEX('CI&amp;S'!$Q$22:$Q$38,MATCH($F184,'CI&amp;S'!$B$22:$B$38,0))),"N/A")</f>
        <v/>
      </c>
      <c r="N184" s="25">
        <f>IFERROR(IF(INDEX('CFOG'!$Q$10:$Q$15,MATCH($F184,'CFOG'!$B$10:$B$15,0))="","Cell will autofill based on response",INDEX('CFOG'!$Q$10:$Q$15,MATCH($F184,'CFOG'!$B$10:$B$15,0))),"N/A")</f>
        <v/>
      </c>
      <c r="O184" s="25">
        <f>IFERROR(IF(INDEX('CFOG'!$Q$23:$Q$23,MATCH($F184,'CFOG'!$B$23:$B$23,0))="","Cell will autofill based on response",INDEX('CFOG'!$Q$23:$Q$23,MATCH($F184,'CFOG'!$B$23:$B$23,0))),"N/A")</f>
        <v/>
      </c>
      <c r="P184" s="25">
        <f>IFERROR(IF(INDEX('ESG'!$Q$10:$Q$16,MATCH($F184,'ESG'!$B$10:$B$16,0))="","Cell will autofill based on response",INDEX('ESG'!$Q$10:$Q$16,MATCH($F184,'ESG'!$B$10:$B$16,0))),"N/A")</f>
        <v/>
      </c>
      <c r="Q184" s="25">
        <f>IFERROR(IF(INDEX('CIOG'!$Q$10:$Q$13,MATCH($F184,'CIOG'!$B$10:$B$13,0))="","Cell will autofill based on response",INDEX('CIOG'!$Q$10:$Q$13,MATCH($F184,'CIOG'!$B$10:$B$13,0))),"N/A")</f>
        <v/>
      </c>
      <c r="R184" s="25">
        <f>IFERROR(IF(INDEX('MRE'!$Q$10:$Q$11,MATCH($F184,'MRE'!$B$10:$B$11,0))="","Cell will autofill based on response",INDEX('MRE'!$Q$10:$Q$11,MATCH($F184,'MRE'!$B$10:$B$11,0))),"N/A")</f>
        <v/>
      </c>
    </row>
    <row r="185">
      <c r="A185">
        <f>F185&amp;"|"&amp;G185</f>
        <v/>
      </c>
      <c r="B185" s="7" t="inlineStr">
        <is>
          <t>NB2(c)</t>
        </is>
      </c>
      <c r="C185" s="12" t="inlineStr">
        <is>
          <t>Nature and biodiversity</t>
        </is>
      </c>
      <c r="D185" s="12" t="inlineStr">
        <is>
          <t>Evidence of prioritised high risk procurement categories or suppliers for nature impact management</t>
        </is>
      </c>
      <c r="E185" s="12" t="inlineStr">
        <is>
          <t>Please provide the prioritised high-risk procurement categories and/or suppliers identified for nature-impact management, could include the basis for prioritisation and any risk-management, engagement or mitigation actions undertaken or planned.</t>
        </is>
      </c>
      <c r="F185" s="12" t="inlineStr">
        <is>
          <t>NB2(c)</t>
        </is>
      </c>
      <c r="G185" s="12" t="inlineStr">
        <is>
          <t>Confirm end-2026 target status</t>
        </is>
      </c>
      <c r="H185" s="25">
        <f>IFERROR(IF(INDEX('Faculties'!$L$10:$L$29,MATCH($F185,'Faculties'!$B$10:$B$29,0))="","Cell will autofill based on response",INDEX('Faculties'!$L$10:$L$29,MATCH($F185,'Faculties'!$B$10:$B$29,0))),"N/A")</f>
        <v/>
      </c>
      <c r="I185" s="25">
        <f>IFERROR(IF(INDEX('Faculties'!$L$37:$L$56,MATCH($F185,'Faculties'!$B$37:$B$56,0))="","Cell will autofill based on response",INDEX('Faculties'!$L$37:$L$56,MATCH($F185,'Faculties'!$B$37:$B$56,0))),"N/A")</f>
        <v/>
      </c>
      <c r="J185" s="25">
        <f>IFERROR(IF(INDEX('Faculties'!$L$64:$L$83,MATCH($F185,'Faculties'!$B$64:$B$83,0))="","Cell will autofill based on response",INDEX('Faculties'!$L$64:$L$83,MATCH($F185,'Faculties'!$B$64:$B$83,0))),"N/A")</f>
        <v/>
      </c>
      <c r="K185" s="25">
        <f>IFERROR(IF(INDEX('Faculties'!$L$91:$L$110,MATCH($F185,'Faculties'!$B$91:$B$110,0))="","Cell will autofill based on response",INDEX('Faculties'!$L$91:$L$110,MATCH($F185,'Faculties'!$B$91:$B$110,0))),"N/A")</f>
        <v/>
      </c>
      <c r="L185" s="25">
        <f>IFERROR(IF(INDEX('CI&amp;S'!$L$10:$L$14,MATCH($F185,'CI&amp;S'!$B$10:$B$14,0))="","Cell will autofill based on response",INDEX('CI&amp;S'!$L$10:$L$14,MATCH($F185,'CI&amp;S'!$B$10:$B$14,0))),"N/A")</f>
        <v/>
      </c>
      <c r="M185" s="25">
        <f>IFERROR(IF(INDEX('CI&amp;S'!$L$22:$L$38,MATCH($F185,'CI&amp;S'!$B$22:$B$38,0))="","Cell will autofill based on response",INDEX('CI&amp;S'!$L$22:$L$38,MATCH($F185,'CI&amp;S'!$B$22:$B$38,0))),"N/A")</f>
        <v/>
      </c>
      <c r="N185" s="25">
        <f>IFERROR(IF(INDEX('CFOG'!$L$10:$L$15,MATCH($F185,'CFOG'!$B$10:$B$15,0))="","Cell will autofill based on response",INDEX('CFOG'!$L$10:$L$15,MATCH($F185,'CFOG'!$B$10:$B$15,0))),"N/A")</f>
        <v/>
      </c>
      <c r="O185" s="25">
        <f>IFERROR(IF(INDEX('CFOG'!$L$23:$L$23,MATCH($F185,'CFOG'!$B$23:$B$23,0))="","Cell will autofill based on response",INDEX('CFOG'!$L$23:$L$23,MATCH($F185,'CFOG'!$B$23:$B$23,0))),"N/A")</f>
        <v/>
      </c>
      <c r="P185" s="25">
        <f>IFERROR(IF(INDEX('ESG'!$L$10:$L$16,MATCH($F185,'ESG'!$B$10:$B$16,0))="","Cell will autofill based on response",INDEX('ESG'!$L$10:$L$16,MATCH($F185,'ESG'!$B$10:$B$16,0))),"N/A")</f>
        <v/>
      </c>
      <c r="Q185" s="25">
        <f>IFERROR(IF(INDEX('CIOG'!$L$10:$L$13,MATCH($F185,'CIOG'!$B$10:$B$13,0))="","Cell will autofill based on response",INDEX('CIOG'!$L$10:$L$13,MATCH($F185,'CIOG'!$B$10:$B$13,0))),"N/A")</f>
        <v/>
      </c>
      <c r="R185" s="25">
        <f>IFERROR(IF(INDEX('MRE'!$L$10:$L$11,MATCH($F185,'MRE'!$B$10:$B$11,0))="","Cell will autofill based on response",INDEX('MRE'!$L$10:$L$11,MATCH($F185,'MRE'!$B$10:$B$11,0))),"N/A")</f>
        <v/>
      </c>
      <c r="T185" s="26">
        <f>COUNTIF($H185:$R185,"Cell will autofill based on response")</f>
        <v/>
      </c>
      <c r="U185" s="26">
        <f>COUNTIF($H185:$R185,"Not yet started")</f>
        <v/>
      </c>
      <c r="V185" s="26">
        <f>COUNTIF($H185:$R185,"Not met")</f>
        <v/>
      </c>
      <c r="W185" s="26">
        <f>COUNTIF($H185:$R185,"Partially met")</f>
        <v/>
      </c>
      <c r="X185" s="26">
        <f>COUNTIF($H185:$R185,"Met or exceeded")</f>
        <v/>
      </c>
      <c r="Y185" s="26">
        <f>3*X185+2*W185+V185</f>
        <v/>
      </c>
      <c r="Z185" s="26">
        <f>X185+W185+V185+U185</f>
        <v/>
      </c>
      <c r="AA185" s="27">
        <f>IF(Z185&gt;0,Y185/Z185,"No valid responses to date")</f>
        <v/>
      </c>
      <c r="AB185" s="26">
        <f>IF(ISNUMBER(AA185),INDEX(Lists!$G$2:$G$5,MATCH(ROUND(AA185,0),Lists!$H$2:$H$5,0)),"")</f>
        <v/>
      </c>
      <c r="AC185" s="28">
        <f>IF(Z185&gt;0,X185/Z185,"")</f>
        <v/>
      </c>
      <c r="AD185" s="28">
        <f>IF(Z185&gt;0,(X185+W185)/Z185,"")</f>
        <v/>
      </c>
      <c r="AE185" s="26">
        <f>IF(Z185=0,"",IF(AC185&gt;0.75,"Met or exceeded",IF(AD185&gt;=0.5,"Partially met","Not met")))</f>
        <v/>
      </c>
    </row>
    <row r="186">
      <c r="A186">
        <f>F186&amp;"|"&amp;G186</f>
        <v/>
      </c>
      <c r="B186" s="29" t="inlineStr"/>
      <c r="C186" s="8" t="inlineStr"/>
      <c r="D186" s="8" t="inlineStr"/>
      <c r="E186" s="8" t="inlineStr"/>
      <c r="F186" s="8" t="inlineStr">
        <is>
          <t>NB2(c)</t>
        </is>
      </c>
      <c r="G186" s="8" t="inlineStr">
        <is>
          <t>OPTION 1:  Target-level reporting</t>
        </is>
      </c>
      <c r="H186" s="25">
        <f>IFERROR(IF(INDEX('Faculties'!$M$10:$M$29,MATCH($F186,'Faculties'!$B$10:$B$29,0))="","Cell will autofill based on response",INDEX('Faculties'!$M$10:$M$29,MATCH($F186,'Faculties'!$B$10:$B$29,0))),"N/A")</f>
        <v/>
      </c>
      <c r="I186" s="25">
        <f>IFERROR(IF(INDEX('Faculties'!$M$37:$M$56,MATCH($F186,'Faculties'!$B$37:$B$56,0))="","Cell will autofill based on response",INDEX('Faculties'!$M$37:$M$56,MATCH($F186,'Faculties'!$B$37:$B$56,0))),"N/A")</f>
        <v/>
      </c>
      <c r="J186" s="25">
        <f>IFERROR(IF(INDEX('Faculties'!$M$64:$M$83,MATCH($F186,'Faculties'!$B$64:$B$83,0))="","Cell will autofill based on response",INDEX('Faculties'!$M$64:$M$83,MATCH($F186,'Faculties'!$B$64:$B$83,0))),"N/A")</f>
        <v/>
      </c>
      <c r="K186" s="25">
        <f>IFERROR(IF(INDEX('Faculties'!$M$91:$M$110,MATCH($F186,'Faculties'!$B$91:$B$110,0))="","Cell will autofill based on response",INDEX('Faculties'!$M$91:$M$110,MATCH($F186,'Faculties'!$B$91:$B$110,0))),"N/A")</f>
        <v/>
      </c>
      <c r="L186" s="25">
        <f>IFERROR(IF(INDEX('CI&amp;S'!$M$10:$M$14,MATCH($F186,'CI&amp;S'!$B$10:$B$14,0))="","Cell will autofill based on response",INDEX('CI&amp;S'!$M$10:$M$14,MATCH($F186,'CI&amp;S'!$B$10:$B$14,0))),"N/A")</f>
        <v/>
      </c>
      <c r="M186" s="25">
        <f>IFERROR(IF(INDEX('CI&amp;S'!$M$22:$M$38,MATCH($F186,'CI&amp;S'!$B$22:$B$38,0))="","Cell will autofill based on response",INDEX('CI&amp;S'!$M$22:$M$38,MATCH($F186,'CI&amp;S'!$B$22:$B$38,0))),"N/A")</f>
        <v/>
      </c>
      <c r="N186" s="25">
        <f>IFERROR(IF(INDEX('CFOG'!$M$10:$M$15,MATCH($F186,'CFOG'!$B$10:$B$15,0))="","Cell will autofill based on response",INDEX('CFOG'!$M$10:$M$15,MATCH($F186,'CFOG'!$B$10:$B$15,0))),"N/A")</f>
        <v/>
      </c>
      <c r="O186" s="25">
        <f>IFERROR(IF(INDEX('CFOG'!$M$23:$M$23,MATCH($F186,'CFOG'!$B$23:$B$23,0))="","Cell will autofill based on response",INDEX('CFOG'!$M$23:$M$23,MATCH($F186,'CFOG'!$B$23:$B$23,0))),"N/A")</f>
        <v/>
      </c>
      <c r="P186" s="25">
        <f>IFERROR(IF(INDEX('ESG'!$M$10:$M$16,MATCH($F186,'ESG'!$B$10:$B$16,0))="","Cell will autofill based on response",INDEX('ESG'!$M$10:$M$16,MATCH($F186,'ESG'!$B$10:$B$16,0))),"N/A")</f>
        <v/>
      </c>
      <c r="Q186" s="25">
        <f>IFERROR(IF(INDEX('CIOG'!$M$10:$M$13,MATCH($F186,'CIOG'!$B$10:$B$13,0))="","Cell will autofill based on response",INDEX('CIOG'!$M$10:$M$13,MATCH($F186,'CIOG'!$B$10:$B$13,0))),"N/A")</f>
        <v/>
      </c>
      <c r="R186" s="25">
        <f>IFERROR(IF(INDEX('MRE'!$M$10:$M$11,MATCH($F186,'MRE'!$B$10:$B$11,0))="","Cell will autofill based on response",INDEX('MRE'!$M$10:$M$11,MATCH($F186,'MRE'!$B$10:$B$11,0))),"N/A")</f>
        <v/>
      </c>
    </row>
    <row r="187">
      <c r="A187">
        <f>F187&amp;"|"&amp;G187</f>
        <v/>
      </c>
      <c r="B187" s="29" t="inlineStr"/>
      <c r="C187" s="8" t="inlineStr"/>
      <c r="D187" s="8" t="inlineStr"/>
      <c r="E187" s="8" t="inlineStr"/>
      <c r="F187" s="8" t="inlineStr">
        <is>
          <t>NB2(c)</t>
        </is>
      </c>
      <c r="G187" s="8" t="inlineStr">
        <is>
          <t>OPTION 2:  Indicator level reporting</t>
        </is>
      </c>
      <c r="H187" s="25">
        <f>IFERROR(IF(INDEX('Faculties'!$N$10:$N$29,MATCH($F187,'Faculties'!$B$10:$B$29,0))="","Cell will autofill based on response",INDEX('Faculties'!$N$10:$N$29,MATCH($F187,'Faculties'!$B$10:$B$29,0))),"N/A")</f>
        <v/>
      </c>
      <c r="I187" s="25">
        <f>IFERROR(IF(INDEX('Faculties'!$N$37:$N$56,MATCH($F187,'Faculties'!$B$37:$B$56,0))="","Cell will autofill based on response",INDEX('Faculties'!$N$37:$N$56,MATCH($F187,'Faculties'!$B$37:$B$56,0))),"N/A")</f>
        <v/>
      </c>
      <c r="J187" s="25">
        <f>IFERROR(IF(INDEX('Faculties'!$N$64:$N$83,MATCH($F187,'Faculties'!$B$64:$B$83,0))="","Cell will autofill based on response",INDEX('Faculties'!$N$64:$N$83,MATCH($F187,'Faculties'!$B$64:$B$83,0))),"N/A")</f>
        <v/>
      </c>
      <c r="K187" s="25">
        <f>IFERROR(IF(INDEX('Faculties'!$N$91:$N$110,MATCH($F187,'Faculties'!$B$91:$B$110,0))="","Cell will autofill based on response",INDEX('Faculties'!$N$91:$N$110,MATCH($F187,'Faculties'!$B$91:$B$110,0))),"N/A")</f>
        <v/>
      </c>
      <c r="L187" s="25">
        <f>IFERROR(IF(INDEX('CI&amp;S'!$N$10:$N$14,MATCH($F187,'CI&amp;S'!$B$10:$B$14,0))="","Cell will autofill based on response",INDEX('CI&amp;S'!$N$10:$N$14,MATCH($F187,'CI&amp;S'!$B$10:$B$14,0))),"N/A")</f>
        <v/>
      </c>
      <c r="M187" s="25">
        <f>IFERROR(IF(INDEX('CI&amp;S'!$N$22:$N$38,MATCH($F187,'CI&amp;S'!$B$22:$B$38,0))="","Cell will autofill based on response",INDEX('CI&amp;S'!$N$22:$N$38,MATCH($F187,'CI&amp;S'!$B$22:$B$38,0))),"N/A")</f>
        <v/>
      </c>
      <c r="N187" s="25">
        <f>IFERROR(IF(INDEX('CFOG'!$N$10:$N$15,MATCH($F187,'CFOG'!$B$10:$B$15,0))="","Cell will autofill based on response",INDEX('CFOG'!$N$10:$N$15,MATCH($F187,'CFOG'!$B$10:$B$15,0))),"N/A")</f>
        <v/>
      </c>
      <c r="O187" s="25">
        <f>IFERROR(IF(INDEX('CFOG'!$N$23:$N$23,MATCH($F187,'CFOG'!$B$23:$B$23,0))="","Cell will autofill based on response",INDEX('CFOG'!$N$23:$N$23,MATCH($F187,'CFOG'!$B$23:$B$23,0))),"N/A")</f>
        <v/>
      </c>
      <c r="P187" s="25">
        <f>IFERROR(IF(INDEX('ESG'!$N$10:$N$16,MATCH($F187,'ESG'!$B$10:$B$16,0))="","Cell will autofill based on response",INDEX('ESG'!$N$10:$N$16,MATCH($F187,'ESG'!$B$10:$B$16,0))),"N/A")</f>
        <v/>
      </c>
      <c r="Q187" s="25">
        <f>IFERROR(IF(INDEX('CIOG'!$N$10:$N$13,MATCH($F187,'CIOG'!$B$10:$B$13,0))="","Cell will autofill based on response",INDEX('CIOG'!$N$10:$N$13,MATCH($F187,'CIOG'!$B$10:$B$13,0))),"N/A")</f>
        <v/>
      </c>
      <c r="R187" s="25">
        <f>IFERROR(IF(INDEX('MRE'!$N$10:$N$11,MATCH($F187,'MRE'!$B$10:$B$11,0))="","Cell will autofill based on response",INDEX('MRE'!$N$10:$N$11,MATCH($F187,'MRE'!$B$10:$B$11,0))),"N/A")</f>
        <v/>
      </c>
    </row>
    <row r="188">
      <c r="A188">
        <f>F188&amp;"|"&amp;G188</f>
        <v/>
      </c>
      <c r="B188" s="29" t="inlineStr"/>
      <c r="C188" s="8" t="inlineStr"/>
      <c r="D188" s="8" t="inlineStr"/>
      <c r="E188" s="8" t="inlineStr"/>
      <c r="F188" s="8" t="inlineStr">
        <is>
          <t>NB2(c)</t>
        </is>
      </c>
      <c r="G188" s="8" t="inlineStr">
        <is>
          <t>Supporting information/comments</t>
        </is>
      </c>
      <c r="H188" s="25">
        <f>IFERROR(IF(INDEX('Faculties'!$O$10:$O$29,MATCH($F188,'Faculties'!$B$10:$B$29,0))="","Cell will autofill based on response",INDEX('Faculties'!$O$10:$O$29,MATCH($F188,'Faculties'!$B$10:$B$29,0))),"N/A")</f>
        <v/>
      </c>
      <c r="I188" s="25">
        <f>IFERROR(IF(INDEX('Faculties'!$O$37:$O$56,MATCH($F188,'Faculties'!$B$37:$B$56,0))="","Cell will autofill based on response",INDEX('Faculties'!$O$37:$O$56,MATCH($F188,'Faculties'!$B$37:$B$56,0))),"N/A")</f>
        <v/>
      </c>
      <c r="J188" s="25">
        <f>IFERROR(IF(INDEX('Faculties'!$O$64:$O$83,MATCH($F188,'Faculties'!$B$64:$B$83,0))="","Cell will autofill based on response",INDEX('Faculties'!$O$64:$O$83,MATCH($F188,'Faculties'!$B$64:$B$83,0))),"N/A")</f>
        <v/>
      </c>
      <c r="K188" s="25">
        <f>IFERROR(IF(INDEX('Faculties'!$O$91:$O$110,MATCH($F188,'Faculties'!$B$91:$B$110,0))="","Cell will autofill based on response",INDEX('Faculties'!$O$91:$O$110,MATCH($F188,'Faculties'!$B$91:$B$110,0))),"N/A")</f>
        <v/>
      </c>
      <c r="L188" s="25">
        <f>IFERROR(IF(INDEX('CI&amp;S'!$O$10:$O$14,MATCH($F188,'CI&amp;S'!$B$10:$B$14,0))="","Cell will autofill based on response",INDEX('CI&amp;S'!$O$10:$O$14,MATCH($F188,'CI&amp;S'!$B$10:$B$14,0))),"N/A")</f>
        <v/>
      </c>
      <c r="M188" s="25">
        <f>IFERROR(IF(INDEX('CI&amp;S'!$O$22:$O$38,MATCH($F188,'CI&amp;S'!$B$22:$B$38,0))="","Cell will autofill based on response",INDEX('CI&amp;S'!$O$22:$O$38,MATCH($F188,'CI&amp;S'!$B$22:$B$38,0))),"N/A")</f>
        <v/>
      </c>
      <c r="N188" s="25">
        <f>IFERROR(IF(INDEX('CFOG'!$O$10:$O$15,MATCH($F188,'CFOG'!$B$10:$B$15,0))="","Cell will autofill based on response",INDEX('CFOG'!$O$10:$O$15,MATCH($F188,'CFOG'!$B$10:$B$15,0))),"N/A")</f>
        <v/>
      </c>
      <c r="O188" s="25">
        <f>IFERROR(IF(INDEX('CFOG'!$O$23:$O$23,MATCH($F188,'CFOG'!$B$23:$B$23,0))="","Cell will autofill based on response",INDEX('CFOG'!$O$23:$O$23,MATCH($F188,'CFOG'!$B$23:$B$23,0))),"N/A")</f>
        <v/>
      </c>
      <c r="P188" s="25">
        <f>IFERROR(IF(INDEX('ESG'!$O$10:$O$16,MATCH($F188,'ESG'!$B$10:$B$16,0))="","Cell will autofill based on response",INDEX('ESG'!$O$10:$O$16,MATCH($F188,'ESG'!$B$10:$B$16,0))),"N/A")</f>
        <v/>
      </c>
      <c r="Q188" s="25">
        <f>IFERROR(IF(INDEX('CIOG'!$O$10:$O$13,MATCH($F188,'CIOG'!$B$10:$B$13,0))="","Cell will autofill based on response",INDEX('CIOG'!$O$10:$O$13,MATCH($F188,'CIOG'!$B$10:$B$13,0))),"N/A")</f>
        <v/>
      </c>
      <c r="R188" s="25">
        <f>IFERROR(IF(INDEX('MRE'!$O$10:$O$11,MATCH($F188,'MRE'!$B$10:$B$11,0))="","Cell will autofill based on response",INDEX('MRE'!$O$10:$O$11,MATCH($F188,'MRE'!$B$10:$B$11,0))),"N/A")</f>
        <v/>
      </c>
    </row>
    <row r="189">
      <c r="A189">
        <f>F189&amp;"|"&amp;G189</f>
        <v/>
      </c>
      <c r="B189" s="29" t="inlineStr"/>
      <c r="C189" s="8" t="inlineStr"/>
      <c r="D189" s="8" t="inlineStr"/>
      <c r="E189" s="8" t="inlineStr"/>
      <c r="F189" s="8" t="inlineStr">
        <is>
          <t>NB2(c)</t>
        </is>
      </c>
      <c r="G189" s="8" t="inlineStr">
        <is>
          <t>Data source and limitations</t>
        </is>
      </c>
      <c r="H189" s="25">
        <f>IFERROR(IF(INDEX('Faculties'!$P$10:$P$29,MATCH($F189,'Faculties'!$B$10:$B$29,0))="","Cell will autofill based on response",INDEX('Faculties'!$P$10:$P$29,MATCH($F189,'Faculties'!$B$10:$B$29,0))),"N/A")</f>
        <v/>
      </c>
      <c r="I189" s="25">
        <f>IFERROR(IF(INDEX('Faculties'!$P$37:$P$56,MATCH($F189,'Faculties'!$B$37:$B$56,0))="","Cell will autofill based on response",INDEX('Faculties'!$P$37:$P$56,MATCH($F189,'Faculties'!$B$37:$B$56,0))),"N/A")</f>
        <v/>
      </c>
      <c r="J189" s="25">
        <f>IFERROR(IF(INDEX('Faculties'!$P$64:$P$83,MATCH($F189,'Faculties'!$B$64:$B$83,0))="","Cell will autofill based on response",INDEX('Faculties'!$P$64:$P$83,MATCH($F189,'Faculties'!$B$64:$B$83,0))),"N/A")</f>
        <v/>
      </c>
      <c r="K189" s="25">
        <f>IFERROR(IF(INDEX('Faculties'!$P$91:$P$110,MATCH($F189,'Faculties'!$B$91:$B$110,0))="","Cell will autofill based on response",INDEX('Faculties'!$P$91:$P$110,MATCH($F189,'Faculties'!$B$91:$B$110,0))),"N/A")</f>
        <v/>
      </c>
      <c r="L189" s="25">
        <f>IFERROR(IF(INDEX('CI&amp;S'!$P$10:$P$14,MATCH($F189,'CI&amp;S'!$B$10:$B$14,0))="","Cell will autofill based on response",INDEX('CI&amp;S'!$P$10:$P$14,MATCH($F189,'CI&amp;S'!$B$10:$B$14,0))),"N/A")</f>
        <v/>
      </c>
      <c r="M189" s="25">
        <f>IFERROR(IF(INDEX('CI&amp;S'!$P$22:$P$38,MATCH($F189,'CI&amp;S'!$B$22:$B$38,0))="","Cell will autofill based on response",INDEX('CI&amp;S'!$P$22:$P$38,MATCH($F189,'CI&amp;S'!$B$22:$B$38,0))),"N/A")</f>
        <v/>
      </c>
      <c r="N189" s="25">
        <f>IFERROR(IF(INDEX('CFOG'!$P$10:$P$15,MATCH($F189,'CFOG'!$B$10:$B$15,0))="","Cell will autofill based on response",INDEX('CFOG'!$P$10:$P$15,MATCH($F189,'CFOG'!$B$10:$B$15,0))),"N/A")</f>
        <v/>
      </c>
      <c r="O189" s="25">
        <f>IFERROR(IF(INDEX('CFOG'!$P$23:$P$23,MATCH($F189,'CFOG'!$B$23:$B$23,0))="","Cell will autofill based on response",INDEX('CFOG'!$P$23:$P$23,MATCH($F189,'CFOG'!$B$23:$B$23,0))),"N/A")</f>
        <v/>
      </c>
      <c r="P189" s="25">
        <f>IFERROR(IF(INDEX('ESG'!$P$10:$P$16,MATCH($F189,'ESG'!$B$10:$B$16,0))="","Cell will autofill based on response",INDEX('ESG'!$P$10:$P$16,MATCH($F189,'ESG'!$B$10:$B$16,0))),"N/A")</f>
        <v/>
      </c>
      <c r="Q189" s="25">
        <f>IFERROR(IF(INDEX('CIOG'!$P$10:$P$13,MATCH($F189,'CIOG'!$B$10:$B$13,0))="","Cell will autofill based on response",INDEX('CIOG'!$P$10:$P$13,MATCH($F189,'CIOG'!$B$10:$B$13,0))),"N/A")</f>
        <v/>
      </c>
      <c r="R189" s="25">
        <f>IFERROR(IF(INDEX('MRE'!$P$10:$P$11,MATCH($F189,'MRE'!$B$10:$B$11,0))="","Cell will autofill based on response",INDEX('MRE'!$P$10:$P$11,MATCH($F189,'MRE'!$B$10:$B$11,0))),"N/A")</f>
        <v/>
      </c>
    </row>
    <row r="190">
      <c r="A190">
        <f>F190&amp;"|"&amp;G190</f>
        <v/>
      </c>
      <c r="B190" s="29" t="inlineStr"/>
      <c r="C190" s="8" t="inlineStr"/>
      <c r="D190" s="8" t="inlineStr"/>
      <c r="E190" s="8" t="inlineStr"/>
      <c r="F190" s="8" t="inlineStr">
        <is>
          <t>NB2(c)</t>
        </is>
      </c>
      <c r="G190" s="8" t="inlineStr">
        <is>
          <t>Data owner confirms</t>
        </is>
      </c>
      <c r="H190" s="25">
        <f>IFERROR(IF(INDEX('Faculties'!$Q$10:$Q$29,MATCH($F190,'Faculties'!$B$10:$B$29,0))="","Cell will autofill based on response",INDEX('Faculties'!$Q$10:$Q$29,MATCH($F190,'Faculties'!$B$10:$B$29,0))),"N/A")</f>
        <v/>
      </c>
      <c r="I190" s="25">
        <f>IFERROR(IF(INDEX('Faculties'!$Q$37:$Q$56,MATCH($F190,'Faculties'!$B$37:$B$56,0))="","Cell will autofill based on response",INDEX('Faculties'!$Q$37:$Q$56,MATCH($F190,'Faculties'!$B$37:$B$56,0))),"N/A")</f>
        <v/>
      </c>
      <c r="J190" s="25">
        <f>IFERROR(IF(INDEX('Faculties'!$Q$64:$Q$83,MATCH($F190,'Faculties'!$B$64:$B$83,0))="","Cell will autofill based on response",INDEX('Faculties'!$Q$64:$Q$83,MATCH($F190,'Faculties'!$B$64:$B$83,0))),"N/A")</f>
        <v/>
      </c>
      <c r="K190" s="25">
        <f>IFERROR(IF(INDEX('Faculties'!$Q$91:$Q$110,MATCH($F190,'Faculties'!$B$91:$B$110,0))="","Cell will autofill based on response",INDEX('Faculties'!$Q$91:$Q$110,MATCH($F190,'Faculties'!$B$91:$B$110,0))),"N/A")</f>
        <v/>
      </c>
      <c r="L190" s="25">
        <f>IFERROR(IF(INDEX('CI&amp;S'!$Q$10:$Q$14,MATCH($F190,'CI&amp;S'!$B$10:$B$14,0))="","Cell will autofill based on response",INDEX('CI&amp;S'!$Q$10:$Q$14,MATCH($F190,'CI&amp;S'!$B$10:$B$14,0))),"N/A")</f>
        <v/>
      </c>
      <c r="M190" s="25">
        <f>IFERROR(IF(INDEX('CI&amp;S'!$Q$22:$Q$38,MATCH($F190,'CI&amp;S'!$B$22:$B$38,0))="","Cell will autofill based on response",INDEX('CI&amp;S'!$Q$22:$Q$38,MATCH($F190,'CI&amp;S'!$B$22:$B$38,0))),"N/A")</f>
        <v/>
      </c>
      <c r="N190" s="25">
        <f>IFERROR(IF(INDEX('CFOG'!$Q$10:$Q$15,MATCH($F190,'CFOG'!$B$10:$B$15,0))="","Cell will autofill based on response",INDEX('CFOG'!$Q$10:$Q$15,MATCH($F190,'CFOG'!$B$10:$B$15,0))),"N/A")</f>
        <v/>
      </c>
      <c r="O190" s="25">
        <f>IFERROR(IF(INDEX('CFOG'!$Q$23:$Q$23,MATCH($F190,'CFOG'!$B$23:$B$23,0))="","Cell will autofill based on response",INDEX('CFOG'!$Q$23:$Q$23,MATCH($F190,'CFOG'!$B$23:$B$23,0))),"N/A")</f>
        <v/>
      </c>
      <c r="P190" s="25">
        <f>IFERROR(IF(INDEX('ESG'!$Q$10:$Q$16,MATCH($F190,'ESG'!$B$10:$B$16,0))="","Cell will autofill based on response",INDEX('ESG'!$Q$10:$Q$16,MATCH($F190,'ESG'!$B$10:$B$16,0))),"N/A")</f>
        <v/>
      </c>
      <c r="Q190" s="25">
        <f>IFERROR(IF(INDEX('CIOG'!$Q$10:$Q$13,MATCH($F190,'CIOG'!$B$10:$B$13,0))="","Cell will autofill based on response",INDEX('CIOG'!$Q$10:$Q$13,MATCH($F190,'CIOG'!$B$10:$B$13,0))),"N/A")</f>
        <v/>
      </c>
      <c r="R190" s="25">
        <f>IFERROR(IF(INDEX('MRE'!$Q$10:$Q$11,MATCH($F190,'MRE'!$B$10:$B$11,0))="","Cell will autofill based on response",INDEX('MRE'!$Q$10:$Q$11,MATCH($F190,'MRE'!$B$10:$B$11,0))),"N/A")</f>
        <v/>
      </c>
    </row>
    <row r="191">
      <c r="A191">
        <f>F191&amp;"|"&amp;G191</f>
        <v/>
      </c>
      <c r="B191" s="7" t="inlineStr">
        <is>
          <t>AI1(a)</t>
        </is>
      </c>
      <c r="C191" s="12" t="inlineStr">
        <is>
          <t>Responsible AI</t>
        </is>
      </c>
      <c r="D191" s="12" t="inlineStr">
        <is>
          <t>Established measurement of estimated operational impacts and opportunities (eg operational impacts could include energy, water, emissions and intensity measures)</t>
        </is>
      </c>
      <c r="E191" s="12" t="inlineStr"/>
      <c r="F191" s="12" t="inlineStr">
        <is>
          <t>AI1(a)</t>
        </is>
      </c>
      <c r="G191" s="12" t="inlineStr">
        <is>
          <t>Confirm end-2026 target status</t>
        </is>
      </c>
      <c r="H191" s="25">
        <f>IFERROR(IF(INDEX('Faculties'!$L$10:$L$29,MATCH($F191,'Faculties'!$B$10:$B$29,0))="","Cell will autofill based on response",INDEX('Faculties'!$L$10:$L$29,MATCH($F191,'Faculties'!$B$10:$B$29,0))),"N/A")</f>
        <v/>
      </c>
      <c r="I191" s="25">
        <f>IFERROR(IF(INDEX('Faculties'!$L$37:$L$56,MATCH($F191,'Faculties'!$B$37:$B$56,0))="","Cell will autofill based on response",INDEX('Faculties'!$L$37:$L$56,MATCH($F191,'Faculties'!$B$37:$B$56,0))),"N/A")</f>
        <v/>
      </c>
      <c r="J191" s="25">
        <f>IFERROR(IF(INDEX('Faculties'!$L$64:$L$83,MATCH($F191,'Faculties'!$B$64:$B$83,0))="","Cell will autofill based on response",INDEX('Faculties'!$L$64:$L$83,MATCH($F191,'Faculties'!$B$64:$B$83,0))),"N/A")</f>
        <v/>
      </c>
      <c r="K191" s="25">
        <f>IFERROR(IF(INDEX('Faculties'!$L$91:$L$110,MATCH($F191,'Faculties'!$B$91:$B$110,0))="","Cell will autofill based on response",INDEX('Faculties'!$L$91:$L$110,MATCH($F191,'Faculties'!$B$91:$B$110,0))),"N/A")</f>
        <v/>
      </c>
      <c r="L191" s="25">
        <f>IFERROR(IF(INDEX('CI&amp;S'!$L$10:$L$14,MATCH($F191,'CI&amp;S'!$B$10:$B$14,0))="","Cell will autofill based on response",INDEX('CI&amp;S'!$L$10:$L$14,MATCH($F191,'CI&amp;S'!$B$10:$B$14,0))),"N/A")</f>
        <v/>
      </c>
      <c r="M191" s="25">
        <f>IFERROR(IF(INDEX('CI&amp;S'!$L$22:$L$38,MATCH($F191,'CI&amp;S'!$B$22:$B$38,0))="","Cell will autofill based on response",INDEX('CI&amp;S'!$L$22:$L$38,MATCH($F191,'CI&amp;S'!$B$22:$B$38,0))),"N/A")</f>
        <v/>
      </c>
      <c r="N191" s="25">
        <f>IFERROR(IF(INDEX('CFOG'!$L$10:$L$15,MATCH($F191,'CFOG'!$B$10:$B$15,0))="","Cell will autofill based on response",INDEX('CFOG'!$L$10:$L$15,MATCH($F191,'CFOG'!$B$10:$B$15,0))),"N/A")</f>
        <v/>
      </c>
      <c r="O191" s="25">
        <f>IFERROR(IF(INDEX('CFOG'!$L$23:$L$23,MATCH($F191,'CFOG'!$B$23:$B$23,0))="","Cell will autofill based on response",INDEX('CFOG'!$L$23:$L$23,MATCH($F191,'CFOG'!$B$23:$B$23,0))),"N/A")</f>
        <v/>
      </c>
      <c r="P191" s="25">
        <f>IFERROR(IF(INDEX('ESG'!$L$10:$L$16,MATCH($F191,'ESG'!$B$10:$B$16,0))="","Cell will autofill based on response",INDEX('ESG'!$L$10:$L$16,MATCH($F191,'ESG'!$B$10:$B$16,0))),"N/A")</f>
        <v/>
      </c>
      <c r="Q191" s="25">
        <f>IFERROR(IF(INDEX('CIOG'!$L$10:$L$13,MATCH($F191,'CIOG'!$B$10:$B$13,0))="","Cell will autofill based on response",INDEX('CIOG'!$L$10:$L$13,MATCH($F191,'CIOG'!$B$10:$B$13,0))),"N/A")</f>
        <v/>
      </c>
      <c r="R191" s="25">
        <f>IFERROR(IF(INDEX('MRE'!$L$10:$L$11,MATCH($F191,'MRE'!$B$10:$B$11,0))="","Cell will autofill based on response",INDEX('MRE'!$L$10:$L$11,MATCH($F191,'MRE'!$B$10:$B$11,0))),"N/A")</f>
        <v/>
      </c>
      <c r="T191" s="26">
        <f>COUNTIF($H191:$R191,"Cell will autofill based on response")</f>
        <v/>
      </c>
      <c r="U191" s="26">
        <f>COUNTIF($H191:$R191,"Not yet started")</f>
        <v/>
      </c>
      <c r="V191" s="26">
        <f>COUNTIF($H191:$R191,"Not met")</f>
        <v/>
      </c>
      <c r="W191" s="26">
        <f>COUNTIF($H191:$R191,"Partially met")</f>
        <v/>
      </c>
      <c r="X191" s="26">
        <f>COUNTIF($H191:$R191,"Met or exceeded")</f>
        <v/>
      </c>
      <c r="Y191" s="26">
        <f>3*X191+2*W191+V191</f>
        <v/>
      </c>
      <c r="Z191" s="26">
        <f>X191+W191+V191+U191</f>
        <v/>
      </c>
      <c r="AA191" s="27">
        <f>IF(Z191&gt;0,Y191/Z191,"No valid responses to date")</f>
        <v/>
      </c>
      <c r="AB191" s="26">
        <f>IF(ISNUMBER(AA191),INDEX(Lists!$G$2:$G$5,MATCH(ROUND(AA191,0),Lists!$H$2:$H$5,0)),"")</f>
        <v/>
      </c>
      <c r="AC191" s="28">
        <f>IF(Z191&gt;0,X191/Z191,"")</f>
        <v/>
      </c>
      <c r="AD191" s="28">
        <f>IF(Z191&gt;0,(X191+W191)/Z191,"")</f>
        <v/>
      </c>
      <c r="AE191" s="26">
        <f>IF(Z191=0,"",IF(AC191&gt;0.75,"Met or exceeded",IF(AD191&gt;=0.5,"Partially met","Not met")))</f>
        <v/>
      </c>
    </row>
    <row r="192">
      <c r="A192">
        <f>F192&amp;"|"&amp;G192</f>
        <v/>
      </c>
      <c r="B192" s="29" t="inlineStr"/>
      <c r="C192" s="8" t="inlineStr"/>
      <c r="D192" s="8" t="inlineStr"/>
      <c r="E192" s="8" t="inlineStr"/>
      <c r="F192" s="8" t="inlineStr">
        <is>
          <t>AI1(a)</t>
        </is>
      </c>
      <c r="G192" s="8" t="inlineStr">
        <is>
          <t>OPTION 1:  Target-level reporting</t>
        </is>
      </c>
      <c r="H192" s="25">
        <f>IFERROR(IF(INDEX('Faculties'!$M$10:$M$29,MATCH($F192,'Faculties'!$B$10:$B$29,0))="","Cell will autofill based on response",INDEX('Faculties'!$M$10:$M$29,MATCH($F192,'Faculties'!$B$10:$B$29,0))),"N/A")</f>
        <v/>
      </c>
      <c r="I192" s="25">
        <f>IFERROR(IF(INDEX('Faculties'!$M$37:$M$56,MATCH($F192,'Faculties'!$B$37:$B$56,0))="","Cell will autofill based on response",INDEX('Faculties'!$M$37:$M$56,MATCH($F192,'Faculties'!$B$37:$B$56,0))),"N/A")</f>
        <v/>
      </c>
      <c r="J192" s="25">
        <f>IFERROR(IF(INDEX('Faculties'!$M$64:$M$83,MATCH($F192,'Faculties'!$B$64:$B$83,0))="","Cell will autofill based on response",INDEX('Faculties'!$M$64:$M$83,MATCH($F192,'Faculties'!$B$64:$B$83,0))),"N/A")</f>
        <v/>
      </c>
      <c r="K192" s="25">
        <f>IFERROR(IF(INDEX('Faculties'!$M$91:$M$110,MATCH($F192,'Faculties'!$B$91:$B$110,0))="","Cell will autofill based on response",INDEX('Faculties'!$M$91:$M$110,MATCH($F192,'Faculties'!$B$91:$B$110,0))),"N/A")</f>
        <v/>
      </c>
      <c r="L192" s="25">
        <f>IFERROR(IF(INDEX('CI&amp;S'!$M$10:$M$14,MATCH($F192,'CI&amp;S'!$B$10:$B$14,0))="","Cell will autofill based on response",INDEX('CI&amp;S'!$M$10:$M$14,MATCH($F192,'CI&amp;S'!$B$10:$B$14,0))),"N/A")</f>
        <v/>
      </c>
      <c r="M192" s="25">
        <f>IFERROR(IF(INDEX('CI&amp;S'!$M$22:$M$38,MATCH($F192,'CI&amp;S'!$B$22:$B$38,0))="","Cell will autofill based on response",INDEX('CI&amp;S'!$M$22:$M$38,MATCH($F192,'CI&amp;S'!$B$22:$B$38,0))),"N/A")</f>
        <v/>
      </c>
      <c r="N192" s="25">
        <f>IFERROR(IF(INDEX('CFOG'!$M$10:$M$15,MATCH($F192,'CFOG'!$B$10:$B$15,0))="","Cell will autofill based on response",INDEX('CFOG'!$M$10:$M$15,MATCH($F192,'CFOG'!$B$10:$B$15,0))),"N/A")</f>
        <v/>
      </c>
      <c r="O192" s="25">
        <f>IFERROR(IF(INDEX('CFOG'!$M$23:$M$23,MATCH($F192,'CFOG'!$B$23:$B$23,0))="","Cell will autofill based on response",INDEX('CFOG'!$M$23:$M$23,MATCH($F192,'CFOG'!$B$23:$B$23,0))),"N/A")</f>
        <v/>
      </c>
      <c r="P192" s="25">
        <f>IFERROR(IF(INDEX('ESG'!$M$10:$M$16,MATCH($F192,'ESG'!$B$10:$B$16,0))="","Cell will autofill based on response",INDEX('ESG'!$M$10:$M$16,MATCH($F192,'ESG'!$B$10:$B$16,0))),"N/A")</f>
        <v/>
      </c>
      <c r="Q192" s="25">
        <f>IFERROR(IF(INDEX('CIOG'!$M$10:$M$13,MATCH($F192,'CIOG'!$B$10:$B$13,0))="","Cell will autofill based on response",INDEX('CIOG'!$M$10:$M$13,MATCH($F192,'CIOG'!$B$10:$B$13,0))),"N/A")</f>
        <v/>
      </c>
      <c r="R192" s="25">
        <f>IFERROR(IF(INDEX('MRE'!$M$10:$M$11,MATCH($F192,'MRE'!$B$10:$B$11,0))="","Cell will autofill based on response",INDEX('MRE'!$M$10:$M$11,MATCH($F192,'MRE'!$B$10:$B$11,0))),"N/A")</f>
        <v/>
      </c>
    </row>
    <row r="193">
      <c r="A193">
        <f>F193&amp;"|"&amp;G193</f>
        <v/>
      </c>
      <c r="B193" s="29" t="inlineStr"/>
      <c r="C193" s="8" t="inlineStr"/>
      <c r="D193" s="8" t="inlineStr"/>
      <c r="E193" s="8" t="inlineStr"/>
      <c r="F193" s="8" t="inlineStr">
        <is>
          <t>AI1(a)</t>
        </is>
      </c>
      <c r="G193" s="8" t="inlineStr">
        <is>
          <t>OPTION 2:  Indicator level reporting</t>
        </is>
      </c>
      <c r="H193" s="25">
        <f>IFERROR(IF(INDEX('Faculties'!$N$10:$N$29,MATCH($F193,'Faculties'!$B$10:$B$29,0))="","Cell will autofill based on response",INDEX('Faculties'!$N$10:$N$29,MATCH($F193,'Faculties'!$B$10:$B$29,0))),"N/A")</f>
        <v/>
      </c>
      <c r="I193" s="25">
        <f>IFERROR(IF(INDEX('Faculties'!$N$37:$N$56,MATCH($F193,'Faculties'!$B$37:$B$56,0))="","Cell will autofill based on response",INDEX('Faculties'!$N$37:$N$56,MATCH($F193,'Faculties'!$B$37:$B$56,0))),"N/A")</f>
        <v/>
      </c>
      <c r="J193" s="25">
        <f>IFERROR(IF(INDEX('Faculties'!$N$64:$N$83,MATCH($F193,'Faculties'!$B$64:$B$83,0))="","Cell will autofill based on response",INDEX('Faculties'!$N$64:$N$83,MATCH($F193,'Faculties'!$B$64:$B$83,0))),"N/A")</f>
        <v/>
      </c>
      <c r="K193" s="25">
        <f>IFERROR(IF(INDEX('Faculties'!$N$91:$N$110,MATCH($F193,'Faculties'!$B$91:$B$110,0))="","Cell will autofill based on response",INDEX('Faculties'!$N$91:$N$110,MATCH($F193,'Faculties'!$B$91:$B$110,0))),"N/A")</f>
        <v/>
      </c>
      <c r="L193" s="25">
        <f>IFERROR(IF(INDEX('CI&amp;S'!$N$10:$N$14,MATCH($F193,'CI&amp;S'!$B$10:$B$14,0))="","Cell will autofill based on response",INDEX('CI&amp;S'!$N$10:$N$14,MATCH($F193,'CI&amp;S'!$B$10:$B$14,0))),"N/A")</f>
        <v/>
      </c>
      <c r="M193" s="25">
        <f>IFERROR(IF(INDEX('CI&amp;S'!$N$22:$N$38,MATCH($F193,'CI&amp;S'!$B$22:$B$38,0))="","Cell will autofill based on response",INDEX('CI&amp;S'!$N$22:$N$38,MATCH($F193,'CI&amp;S'!$B$22:$B$38,0))),"N/A")</f>
        <v/>
      </c>
      <c r="N193" s="25">
        <f>IFERROR(IF(INDEX('CFOG'!$N$10:$N$15,MATCH($F193,'CFOG'!$B$10:$B$15,0))="","Cell will autofill based on response",INDEX('CFOG'!$N$10:$N$15,MATCH($F193,'CFOG'!$B$10:$B$15,0))),"N/A")</f>
        <v/>
      </c>
      <c r="O193" s="25">
        <f>IFERROR(IF(INDEX('CFOG'!$N$23:$N$23,MATCH($F193,'CFOG'!$B$23:$B$23,0))="","Cell will autofill based on response",INDEX('CFOG'!$N$23:$N$23,MATCH($F193,'CFOG'!$B$23:$B$23,0))),"N/A")</f>
        <v/>
      </c>
      <c r="P193" s="25">
        <f>IFERROR(IF(INDEX('ESG'!$N$10:$N$16,MATCH($F193,'ESG'!$B$10:$B$16,0))="","Cell will autofill based on response",INDEX('ESG'!$N$10:$N$16,MATCH($F193,'ESG'!$B$10:$B$16,0))),"N/A")</f>
        <v/>
      </c>
      <c r="Q193" s="25">
        <f>IFERROR(IF(INDEX('CIOG'!$N$10:$N$13,MATCH($F193,'CIOG'!$B$10:$B$13,0))="","Cell will autofill based on response",INDEX('CIOG'!$N$10:$N$13,MATCH($F193,'CIOG'!$B$10:$B$13,0))),"N/A")</f>
        <v/>
      </c>
      <c r="R193" s="25">
        <f>IFERROR(IF(INDEX('MRE'!$N$10:$N$11,MATCH($F193,'MRE'!$B$10:$B$11,0))="","Cell will autofill based on response",INDEX('MRE'!$N$10:$N$11,MATCH($F193,'MRE'!$B$10:$B$11,0))),"N/A")</f>
        <v/>
      </c>
    </row>
    <row r="194">
      <c r="A194">
        <f>F194&amp;"|"&amp;G194</f>
        <v/>
      </c>
      <c r="B194" s="29" t="inlineStr"/>
      <c r="C194" s="8" t="inlineStr"/>
      <c r="D194" s="8" t="inlineStr"/>
      <c r="E194" s="8" t="inlineStr"/>
      <c r="F194" s="8" t="inlineStr">
        <is>
          <t>AI1(a)</t>
        </is>
      </c>
      <c r="G194" s="8" t="inlineStr">
        <is>
          <t>Supporting information/comments</t>
        </is>
      </c>
      <c r="H194" s="25">
        <f>IFERROR(IF(INDEX('Faculties'!$O$10:$O$29,MATCH($F194,'Faculties'!$B$10:$B$29,0))="","Cell will autofill based on response",INDEX('Faculties'!$O$10:$O$29,MATCH($F194,'Faculties'!$B$10:$B$29,0))),"N/A")</f>
        <v/>
      </c>
      <c r="I194" s="25">
        <f>IFERROR(IF(INDEX('Faculties'!$O$37:$O$56,MATCH($F194,'Faculties'!$B$37:$B$56,0))="","Cell will autofill based on response",INDEX('Faculties'!$O$37:$O$56,MATCH($F194,'Faculties'!$B$37:$B$56,0))),"N/A")</f>
        <v/>
      </c>
      <c r="J194" s="25">
        <f>IFERROR(IF(INDEX('Faculties'!$O$64:$O$83,MATCH($F194,'Faculties'!$B$64:$B$83,0))="","Cell will autofill based on response",INDEX('Faculties'!$O$64:$O$83,MATCH($F194,'Faculties'!$B$64:$B$83,0))),"N/A")</f>
        <v/>
      </c>
      <c r="K194" s="25">
        <f>IFERROR(IF(INDEX('Faculties'!$O$91:$O$110,MATCH($F194,'Faculties'!$B$91:$B$110,0))="","Cell will autofill based on response",INDEX('Faculties'!$O$91:$O$110,MATCH($F194,'Faculties'!$B$91:$B$110,0))),"N/A")</f>
        <v/>
      </c>
      <c r="L194" s="25">
        <f>IFERROR(IF(INDEX('CI&amp;S'!$O$10:$O$14,MATCH($F194,'CI&amp;S'!$B$10:$B$14,0))="","Cell will autofill based on response",INDEX('CI&amp;S'!$O$10:$O$14,MATCH($F194,'CI&amp;S'!$B$10:$B$14,0))),"N/A")</f>
        <v/>
      </c>
      <c r="M194" s="25">
        <f>IFERROR(IF(INDEX('CI&amp;S'!$O$22:$O$38,MATCH($F194,'CI&amp;S'!$B$22:$B$38,0))="","Cell will autofill based on response",INDEX('CI&amp;S'!$O$22:$O$38,MATCH($F194,'CI&amp;S'!$B$22:$B$38,0))),"N/A")</f>
        <v/>
      </c>
      <c r="N194" s="25">
        <f>IFERROR(IF(INDEX('CFOG'!$O$10:$O$15,MATCH($F194,'CFOG'!$B$10:$B$15,0))="","Cell will autofill based on response",INDEX('CFOG'!$O$10:$O$15,MATCH($F194,'CFOG'!$B$10:$B$15,0))),"N/A")</f>
        <v/>
      </c>
      <c r="O194" s="25">
        <f>IFERROR(IF(INDEX('CFOG'!$O$23:$O$23,MATCH($F194,'CFOG'!$B$23:$B$23,0))="","Cell will autofill based on response",INDEX('CFOG'!$O$23:$O$23,MATCH($F194,'CFOG'!$B$23:$B$23,0))),"N/A")</f>
        <v/>
      </c>
      <c r="P194" s="25">
        <f>IFERROR(IF(INDEX('ESG'!$O$10:$O$16,MATCH($F194,'ESG'!$B$10:$B$16,0))="","Cell will autofill based on response",INDEX('ESG'!$O$10:$O$16,MATCH($F194,'ESG'!$B$10:$B$16,0))),"N/A")</f>
        <v/>
      </c>
      <c r="Q194" s="25">
        <f>IFERROR(IF(INDEX('CIOG'!$O$10:$O$13,MATCH($F194,'CIOG'!$B$10:$B$13,0))="","Cell will autofill based on response",INDEX('CIOG'!$O$10:$O$13,MATCH($F194,'CIOG'!$B$10:$B$13,0))),"N/A")</f>
        <v/>
      </c>
      <c r="R194" s="25">
        <f>IFERROR(IF(INDEX('MRE'!$O$10:$O$11,MATCH($F194,'MRE'!$B$10:$B$11,0))="","Cell will autofill based on response",INDEX('MRE'!$O$10:$O$11,MATCH($F194,'MRE'!$B$10:$B$11,0))),"N/A")</f>
        <v/>
      </c>
    </row>
    <row r="195">
      <c r="A195">
        <f>F195&amp;"|"&amp;G195</f>
        <v/>
      </c>
      <c r="B195" s="29" t="inlineStr"/>
      <c r="C195" s="8" t="inlineStr"/>
      <c r="D195" s="8" t="inlineStr"/>
      <c r="E195" s="8" t="inlineStr"/>
      <c r="F195" s="8" t="inlineStr">
        <is>
          <t>AI1(a)</t>
        </is>
      </c>
      <c r="G195" s="8" t="inlineStr">
        <is>
          <t>Data source and limitations</t>
        </is>
      </c>
      <c r="H195" s="25">
        <f>IFERROR(IF(INDEX('Faculties'!$P$10:$P$29,MATCH($F195,'Faculties'!$B$10:$B$29,0))="","Cell will autofill based on response",INDEX('Faculties'!$P$10:$P$29,MATCH($F195,'Faculties'!$B$10:$B$29,0))),"N/A")</f>
        <v/>
      </c>
      <c r="I195" s="25">
        <f>IFERROR(IF(INDEX('Faculties'!$P$37:$P$56,MATCH($F195,'Faculties'!$B$37:$B$56,0))="","Cell will autofill based on response",INDEX('Faculties'!$P$37:$P$56,MATCH($F195,'Faculties'!$B$37:$B$56,0))),"N/A")</f>
        <v/>
      </c>
      <c r="J195" s="25">
        <f>IFERROR(IF(INDEX('Faculties'!$P$64:$P$83,MATCH($F195,'Faculties'!$B$64:$B$83,0))="","Cell will autofill based on response",INDEX('Faculties'!$P$64:$P$83,MATCH($F195,'Faculties'!$B$64:$B$83,0))),"N/A")</f>
        <v/>
      </c>
      <c r="K195" s="25">
        <f>IFERROR(IF(INDEX('Faculties'!$P$91:$P$110,MATCH($F195,'Faculties'!$B$91:$B$110,0))="","Cell will autofill based on response",INDEX('Faculties'!$P$91:$P$110,MATCH($F195,'Faculties'!$B$91:$B$110,0))),"N/A")</f>
        <v/>
      </c>
      <c r="L195" s="25">
        <f>IFERROR(IF(INDEX('CI&amp;S'!$P$10:$P$14,MATCH($F195,'CI&amp;S'!$B$10:$B$14,0))="","Cell will autofill based on response",INDEX('CI&amp;S'!$P$10:$P$14,MATCH($F195,'CI&amp;S'!$B$10:$B$14,0))),"N/A")</f>
        <v/>
      </c>
      <c r="M195" s="25">
        <f>IFERROR(IF(INDEX('CI&amp;S'!$P$22:$P$38,MATCH($F195,'CI&amp;S'!$B$22:$B$38,0))="","Cell will autofill based on response",INDEX('CI&amp;S'!$P$22:$P$38,MATCH($F195,'CI&amp;S'!$B$22:$B$38,0))),"N/A")</f>
        <v/>
      </c>
      <c r="N195" s="25">
        <f>IFERROR(IF(INDEX('CFOG'!$P$10:$P$15,MATCH($F195,'CFOG'!$B$10:$B$15,0))="","Cell will autofill based on response",INDEX('CFOG'!$P$10:$P$15,MATCH($F195,'CFOG'!$B$10:$B$15,0))),"N/A")</f>
        <v/>
      </c>
      <c r="O195" s="25">
        <f>IFERROR(IF(INDEX('CFOG'!$P$23:$P$23,MATCH($F195,'CFOG'!$B$23:$B$23,0))="","Cell will autofill based on response",INDEX('CFOG'!$P$23:$P$23,MATCH($F195,'CFOG'!$B$23:$B$23,0))),"N/A")</f>
        <v/>
      </c>
      <c r="P195" s="25">
        <f>IFERROR(IF(INDEX('ESG'!$P$10:$P$16,MATCH($F195,'ESG'!$B$10:$B$16,0))="","Cell will autofill based on response",INDEX('ESG'!$P$10:$P$16,MATCH($F195,'ESG'!$B$10:$B$16,0))),"N/A")</f>
        <v/>
      </c>
      <c r="Q195" s="25">
        <f>IFERROR(IF(INDEX('CIOG'!$P$10:$P$13,MATCH($F195,'CIOG'!$B$10:$B$13,0))="","Cell will autofill based on response",INDEX('CIOG'!$P$10:$P$13,MATCH($F195,'CIOG'!$B$10:$B$13,0))),"N/A")</f>
        <v/>
      </c>
      <c r="R195" s="25">
        <f>IFERROR(IF(INDEX('MRE'!$P$10:$P$11,MATCH($F195,'MRE'!$B$10:$B$11,0))="","Cell will autofill based on response",INDEX('MRE'!$P$10:$P$11,MATCH($F195,'MRE'!$B$10:$B$11,0))),"N/A")</f>
        <v/>
      </c>
    </row>
    <row r="196">
      <c r="A196">
        <f>F196&amp;"|"&amp;G196</f>
        <v/>
      </c>
      <c r="B196" s="29" t="inlineStr"/>
      <c r="C196" s="8" t="inlineStr"/>
      <c r="D196" s="8" t="inlineStr"/>
      <c r="E196" s="8" t="inlineStr"/>
      <c r="F196" s="8" t="inlineStr">
        <is>
          <t>AI1(a)</t>
        </is>
      </c>
      <c r="G196" s="8" t="inlineStr">
        <is>
          <t>Data owner confirms</t>
        </is>
      </c>
      <c r="H196" s="25">
        <f>IFERROR(IF(INDEX('Faculties'!$Q$10:$Q$29,MATCH($F196,'Faculties'!$B$10:$B$29,0))="","Cell will autofill based on response",INDEX('Faculties'!$Q$10:$Q$29,MATCH($F196,'Faculties'!$B$10:$B$29,0))),"N/A")</f>
        <v/>
      </c>
      <c r="I196" s="25">
        <f>IFERROR(IF(INDEX('Faculties'!$Q$37:$Q$56,MATCH($F196,'Faculties'!$B$37:$B$56,0))="","Cell will autofill based on response",INDEX('Faculties'!$Q$37:$Q$56,MATCH($F196,'Faculties'!$B$37:$B$56,0))),"N/A")</f>
        <v/>
      </c>
      <c r="J196" s="25">
        <f>IFERROR(IF(INDEX('Faculties'!$Q$64:$Q$83,MATCH($F196,'Faculties'!$B$64:$B$83,0))="","Cell will autofill based on response",INDEX('Faculties'!$Q$64:$Q$83,MATCH($F196,'Faculties'!$B$64:$B$83,0))),"N/A")</f>
        <v/>
      </c>
      <c r="K196" s="25">
        <f>IFERROR(IF(INDEX('Faculties'!$Q$91:$Q$110,MATCH($F196,'Faculties'!$B$91:$B$110,0))="","Cell will autofill based on response",INDEX('Faculties'!$Q$91:$Q$110,MATCH($F196,'Faculties'!$B$91:$B$110,0))),"N/A")</f>
        <v/>
      </c>
      <c r="L196" s="25">
        <f>IFERROR(IF(INDEX('CI&amp;S'!$Q$10:$Q$14,MATCH($F196,'CI&amp;S'!$B$10:$B$14,0))="","Cell will autofill based on response",INDEX('CI&amp;S'!$Q$10:$Q$14,MATCH($F196,'CI&amp;S'!$B$10:$B$14,0))),"N/A")</f>
        <v/>
      </c>
      <c r="M196" s="25">
        <f>IFERROR(IF(INDEX('CI&amp;S'!$Q$22:$Q$38,MATCH($F196,'CI&amp;S'!$B$22:$B$38,0))="","Cell will autofill based on response",INDEX('CI&amp;S'!$Q$22:$Q$38,MATCH($F196,'CI&amp;S'!$B$22:$B$38,0))),"N/A")</f>
        <v/>
      </c>
      <c r="N196" s="25">
        <f>IFERROR(IF(INDEX('CFOG'!$Q$10:$Q$15,MATCH($F196,'CFOG'!$B$10:$B$15,0))="","Cell will autofill based on response",INDEX('CFOG'!$Q$10:$Q$15,MATCH($F196,'CFOG'!$B$10:$B$15,0))),"N/A")</f>
        <v/>
      </c>
      <c r="O196" s="25">
        <f>IFERROR(IF(INDEX('CFOG'!$Q$23:$Q$23,MATCH($F196,'CFOG'!$B$23:$B$23,0))="","Cell will autofill based on response",INDEX('CFOG'!$Q$23:$Q$23,MATCH($F196,'CFOG'!$B$23:$B$23,0))),"N/A")</f>
        <v/>
      </c>
      <c r="P196" s="25">
        <f>IFERROR(IF(INDEX('ESG'!$Q$10:$Q$16,MATCH($F196,'ESG'!$B$10:$B$16,0))="","Cell will autofill based on response",INDEX('ESG'!$Q$10:$Q$16,MATCH($F196,'ESG'!$B$10:$B$16,0))),"N/A")</f>
        <v/>
      </c>
      <c r="Q196" s="25">
        <f>IFERROR(IF(INDEX('CIOG'!$Q$10:$Q$13,MATCH($F196,'CIOG'!$B$10:$B$13,0))="","Cell will autofill based on response",INDEX('CIOG'!$Q$10:$Q$13,MATCH($F196,'CIOG'!$B$10:$B$13,0))),"N/A")</f>
        <v/>
      </c>
      <c r="R196" s="25">
        <f>IFERROR(IF(INDEX('MRE'!$Q$10:$Q$11,MATCH($F196,'MRE'!$B$10:$B$11,0))="","Cell will autofill based on response",INDEX('MRE'!$Q$10:$Q$11,MATCH($F196,'MRE'!$B$10:$B$11,0))),"N/A")</f>
        <v/>
      </c>
    </row>
    <row r="197">
      <c r="A197">
        <f>F197&amp;"|"&amp;G197</f>
        <v/>
      </c>
      <c r="B197" s="7" t="inlineStr">
        <is>
          <t>AI1(b)</t>
        </is>
      </c>
      <c r="C197" s="12" t="inlineStr">
        <is>
          <t>Responsible AI</t>
        </is>
      </c>
      <c r="D197" s="12" t="inlineStr">
        <is>
          <t>Case studies of sustainability and AI-related education, research and collaboration activities.</t>
        </is>
      </c>
      <c r="E197" s="12" t="inlineStr">
        <is>
          <t>Please provide case studies from your Faculty/Portfolio of sustainability and AI-related education, research or collaboration activities, describing the activity, participants or partners, sustainability issue addressed and key outcomes or lessons.</t>
        </is>
      </c>
      <c r="F197" s="12" t="inlineStr">
        <is>
          <t>AI1(b)</t>
        </is>
      </c>
      <c r="G197" s="12" t="inlineStr">
        <is>
          <t>Confirm end-2026 target status</t>
        </is>
      </c>
      <c r="H197" s="25">
        <f>IFERROR(IF(INDEX('Faculties'!$L$10:$L$29,MATCH($F197,'Faculties'!$B$10:$B$29,0))="","Cell will autofill based on response",INDEX('Faculties'!$L$10:$L$29,MATCH($F197,'Faculties'!$B$10:$B$29,0))),"N/A")</f>
        <v/>
      </c>
      <c r="I197" s="25">
        <f>IFERROR(IF(INDEX('Faculties'!$L$37:$L$56,MATCH($F197,'Faculties'!$B$37:$B$56,0))="","Cell will autofill based on response",INDEX('Faculties'!$L$37:$L$56,MATCH($F197,'Faculties'!$B$37:$B$56,0))),"N/A")</f>
        <v/>
      </c>
      <c r="J197" s="25">
        <f>IFERROR(IF(INDEX('Faculties'!$L$64:$L$83,MATCH($F197,'Faculties'!$B$64:$B$83,0))="","Cell will autofill based on response",INDEX('Faculties'!$L$64:$L$83,MATCH($F197,'Faculties'!$B$64:$B$83,0))),"N/A")</f>
        <v/>
      </c>
      <c r="K197" s="25">
        <f>IFERROR(IF(INDEX('Faculties'!$L$91:$L$110,MATCH($F197,'Faculties'!$B$91:$B$110,0))="","Cell will autofill based on response",INDEX('Faculties'!$L$91:$L$110,MATCH($F197,'Faculties'!$B$91:$B$110,0))),"N/A")</f>
        <v/>
      </c>
      <c r="L197" s="25">
        <f>IFERROR(IF(INDEX('CI&amp;S'!$L$10:$L$14,MATCH($F197,'CI&amp;S'!$B$10:$B$14,0))="","Cell will autofill based on response",INDEX('CI&amp;S'!$L$10:$L$14,MATCH($F197,'CI&amp;S'!$B$10:$B$14,0))),"N/A")</f>
        <v/>
      </c>
      <c r="M197" s="25">
        <f>IFERROR(IF(INDEX('CI&amp;S'!$L$22:$L$38,MATCH($F197,'CI&amp;S'!$B$22:$B$38,0))="","Cell will autofill based on response",INDEX('CI&amp;S'!$L$22:$L$38,MATCH($F197,'CI&amp;S'!$B$22:$B$38,0))),"N/A")</f>
        <v/>
      </c>
      <c r="N197" s="25">
        <f>IFERROR(IF(INDEX('CFOG'!$L$10:$L$15,MATCH($F197,'CFOG'!$B$10:$B$15,0))="","Cell will autofill based on response",INDEX('CFOG'!$L$10:$L$15,MATCH($F197,'CFOG'!$B$10:$B$15,0))),"N/A")</f>
        <v/>
      </c>
      <c r="O197" s="25">
        <f>IFERROR(IF(INDEX('CFOG'!$L$23:$L$23,MATCH($F197,'CFOG'!$B$23:$B$23,0))="","Cell will autofill based on response",INDEX('CFOG'!$L$23:$L$23,MATCH($F197,'CFOG'!$B$23:$B$23,0))),"N/A")</f>
        <v/>
      </c>
      <c r="P197" s="25">
        <f>IFERROR(IF(INDEX('ESG'!$L$10:$L$16,MATCH($F197,'ESG'!$B$10:$B$16,0))="","Cell will autofill based on response",INDEX('ESG'!$L$10:$L$16,MATCH($F197,'ESG'!$B$10:$B$16,0))),"N/A")</f>
        <v/>
      </c>
      <c r="Q197" s="25">
        <f>IFERROR(IF(INDEX('CIOG'!$L$10:$L$13,MATCH($F197,'CIOG'!$B$10:$B$13,0))="","Cell will autofill based on response",INDEX('CIOG'!$L$10:$L$13,MATCH($F197,'CIOG'!$B$10:$B$13,0))),"N/A")</f>
        <v/>
      </c>
      <c r="R197" s="25">
        <f>IFERROR(IF(INDEX('MRE'!$L$10:$L$11,MATCH($F197,'MRE'!$B$10:$B$11,0))="","Cell will autofill based on response",INDEX('MRE'!$L$10:$L$11,MATCH($F197,'MRE'!$B$10:$B$11,0))),"N/A")</f>
        <v/>
      </c>
      <c r="T197" s="26">
        <f>COUNTIF($H197:$R197,"Cell will autofill based on response")</f>
        <v/>
      </c>
      <c r="U197" s="26">
        <f>COUNTIF($H197:$R197,"Not yet started")</f>
        <v/>
      </c>
      <c r="V197" s="26">
        <f>COUNTIF($H197:$R197,"Not met")</f>
        <v/>
      </c>
      <c r="W197" s="26">
        <f>COUNTIF($H197:$R197,"Partially met")</f>
        <v/>
      </c>
      <c r="X197" s="26">
        <f>COUNTIF($H197:$R197,"Met or exceeded")</f>
        <v/>
      </c>
      <c r="Y197" s="26">
        <f>3*X197+2*W197+V197</f>
        <v/>
      </c>
      <c r="Z197" s="26">
        <f>X197+W197+V197+U197</f>
        <v/>
      </c>
      <c r="AA197" s="27">
        <f>IF(Z197&gt;0,Y197/Z197,"No valid responses to date")</f>
        <v/>
      </c>
      <c r="AB197" s="26">
        <f>IF(ISNUMBER(AA197),INDEX(Lists!$G$2:$G$5,MATCH(ROUND(AA197,0),Lists!$H$2:$H$5,0)),"")</f>
        <v/>
      </c>
      <c r="AC197" s="28">
        <f>IF(Z197&gt;0,X197/Z197,"")</f>
        <v/>
      </c>
      <c r="AD197" s="28">
        <f>IF(Z197&gt;0,(X197+W197)/Z197,"")</f>
        <v/>
      </c>
      <c r="AE197" s="26">
        <f>IF(Z197=0,"",IF(AC197&gt;0.75,"Met or exceeded",IF(AD197&gt;=0.5,"Partially met","Not met")))</f>
        <v/>
      </c>
    </row>
    <row r="198">
      <c r="A198">
        <f>F198&amp;"|"&amp;G198</f>
        <v/>
      </c>
      <c r="B198" s="29" t="inlineStr"/>
      <c r="C198" s="8" t="inlineStr"/>
      <c r="D198" s="8" t="inlineStr"/>
      <c r="E198" s="8" t="inlineStr"/>
      <c r="F198" s="8" t="inlineStr">
        <is>
          <t>AI1(b)</t>
        </is>
      </c>
      <c r="G198" s="8" t="inlineStr">
        <is>
          <t>OPTION 1:  Target-level reporting</t>
        </is>
      </c>
      <c r="H198" s="25">
        <f>IFERROR(IF(INDEX('Faculties'!$M$10:$M$29,MATCH($F198,'Faculties'!$B$10:$B$29,0))="","Cell will autofill based on response",INDEX('Faculties'!$M$10:$M$29,MATCH($F198,'Faculties'!$B$10:$B$29,0))),"N/A")</f>
        <v/>
      </c>
      <c r="I198" s="25">
        <f>IFERROR(IF(INDEX('Faculties'!$M$37:$M$56,MATCH($F198,'Faculties'!$B$37:$B$56,0))="","Cell will autofill based on response",INDEX('Faculties'!$M$37:$M$56,MATCH($F198,'Faculties'!$B$37:$B$56,0))),"N/A")</f>
        <v/>
      </c>
      <c r="J198" s="25">
        <f>IFERROR(IF(INDEX('Faculties'!$M$64:$M$83,MATCH($F198,'Faculties'!$B$64:$B$83,0))="","Cell will autofill based on response",INDEX('Faculties'!$M$64:$M$83,MATCH($F198,'Faculties'!$B$64:$B$83,0))),"N/A")</f>
        <v/>
      </c>
      <c r="K198" s="25">
        <f>IFERROR(IF(INDEX('Faculties'!$M$91:$M$110,MATCH($F198,'Faculties'!$B$91:$B$110,0))="","Cell will autofill based on response",INDEX('Faculties'!$M$91:$M$110,MATCH($F198,'Faculties'!$B$91:$B$110,0))),"N/A")</f>
        <v/>
      </c>
      <c r="L198" s="25">
        <f>IFERROR(IF(INDEX('CI&amp;S'!$M$10:$M$14,MATCH($F198,'CI&amp;S'!$B$10:$B$14,0))="","Cell will autofill based on response",INDEX('CI&amp;S'!$M$10:$M$14,MATCH($F198,'CI&amp;S'!$B$10:$B$14,0))),"N/A")</f>
        <v/>
      </c>
      <c r="M198" s="25">
        <f>IFERROR(IF(INDEX('CI&amp;S'!$M$22:$M$38,MATCH($F198,'CI&amp;S'!$B$22:$B$38,0))="","Cell will autofill based on response",INDEX('CI&amp;S'!$M$22:$M$38,MATCH($F198,'CI&amp;S'!$B$22:$B$38,0))),"N/A")</f>
        <v/>
      </c>
      <c r="N198" s="25">
        <f>IFERROR(IF(INDEX('CFOG'!$M$10:$M$15,MATCH($F198,'CFOG'!$B$10:$B$15,0))="","Cell will autofill based on response",INDEX('CFOG'!$M$10:$M$15,MATCH($F198,'CFOG'!$B$10:$B$15,0))),"N/A")</f>
        <v/>
      </c>
      <c r="O198" s="25">
        <f>IFERROR(IF(INDEX('CFOG'!$M$23:$M$23,MATCH($F198,'CFOG'!$B$23:$B$23,0))="","Cell will autofill based on response",INDEX('CFOG'!$M$23:$M$23,MATCH($F198,'CFOG'!$B$23:$B$23,0))),"N/A")</f>
        <v/>
      </c>
      <c r="P198" s="25">
        <f>IFERROR(IF(INDEX('ESG'!$M$10:$M$16,MATCH($F198,'ESG'!$B$10:$B$16,0))="","Cell will autofill based on response",INDEX('ESG'!$M$10:$M$16,MATCH($F198,'ESG'!$B$10:$B$16,0))),"N/A")</f>
        <v/>
      </c>
      <c r="Q198" s="25">
        <f>IFERROR(IF(INDEX('CIOG'!$M$10:$M$13,MATCH($F198,'CIOG'!$B$10:$B$13,0))="","Cell will autofill based on response",INDEX('CIOG'!$M$10:$M$13,MATCH($F198,'CIOG'!$B$10:$B$13,0))),"N/A")</f>
        <v/>
      </c>
      <c r="R198" s="25">
        <f>IFERROR(IF(INDEX('MRE'!$M$10:$M$11,MATCH($F198,'MRE'!$B$10:$B$11,0))="","Cell will autofill based on response",INDEX('MRE'!$M$10:$M$11,MATCH($F198,'MRE'!$B$10:$B$11,0))),"N/A")</f>
        <v/>
      </c>
    </row>
    <row r="199">
      <c r="A199">
        <f>F199&amp;"|"&amp;G199</f>
        <v/>
      </c>
      <c r="B199" s="29" t="inlineStr"/>
      <c r="C199" s="8" t="inlineStr"/>
      <c r="D199" s="8" t="inlineStr"/>
      <c r="E199" s="8" t="inlineStr"/>
      <c r="F199" s="8" t="inlineStr">
        <is>
          <t>AI1(b)</t>
        </is>
      </c>
      <c r="G199" s="8" t="inlineStr">
        <is>
          <t>OPTION 2:  Indicator level reporting</t>
        </is>
      </c>
      <c r="H199" s="25">
        <f>IFERROR(IF(INDEX('Faculties'!$N$10:$N$29,MATCH($F199,'Faculties'!$B$10:$B$29,0))="","Cell will autofill based on response",INDEX('Faculties'!$N$10:$N$29,MATCH($F199,'Faculties'!$B$10:$B$29,0))),"N/A")</f>
        <v/>
      </c>
      <c r="I199" s="25">
        <f>IFERROR(IF(INDEX('Faculties'!$N$37:$N$56,MATCH($F199,'Faculties'!$B$37:$B$56,0))="","Cell will autofill based on response",INDEX('Faculties'!$N$37:$N$56,MATCH($F199,'Faculties'!$B$37:$B$56,0))),"N/A")</f>
        <v/>
      </c>
      <c r="J199" s="25">
        <f>IFERROR(IF(INDEX('Faculties'!$N$64:$N$83,MATCH($F199,'Faculties'!$B$64:$B$83,0))="","Cell will autofill based on response",INDEX('Faculties'!$N$64:$N$83,MATCH($F199,'Faculties'!$B$64:$B$83,0))),"N/A")</f>
        <v/>
      </c>
      <c r="K199" s="25">
        <f>IFERROR(IF(INDEX('Faculties'!$N$91:$N$110,MATCH($F199,'Faculties'!$B$91:$B$110,0))="","Cell will autofill based on response",INDEX('Faculties'!$N$91:$N$110,MATCH($F199,'Faculties'!$B$91:$B$110,0))),"N/A")</f>
        <v/>
      </c>
      <c r="L199" s="25">
        <f>IFERROR(IF(INDEX('CI&amp;S'!$N$10:$N$14,MATCH($F199,'CI&amp;S'!$B$10:$B$14,0))="","Cell will autofill based on response",INDEX('CI&amp;S'!$N$10:$N$14,MATCH($F199,'CI&amp;S'!$B$10:$B$14,0))),"N/A")</f>
        <v/>
      </c>
      <c r="M199" s="25">
        <f>IFERROR(IF(INDEX('CI&amp;S'!$N$22:$N$38,MATCH($F199,'CI&amp;S'!$B$22:$B$38,0))="","Cell will autofill based on response",INDEX('CI&amp;S'!$N$22:$N$38,MATCH($F199,'CI&amp;S'!$B$22:$B$38,0))),"N/A")</f>
        <v/>
      </c>
      <c r="N199" s="25">
        <f>IFERROR(IF(INDEX('CFOG'!$N$10:$N$15,MATCH($F199,'CFOG'!$B$10:$B$15,0))="","Cell will autofill based on response",INDEX('CFOG'!$N$10:$N$15,MATCH($F199,'CFOG'!$B$10:$B$15,0))),"N/A")</f>
        <v/>
      </c>
      <c r="O199" s="25">
        <f>IFERROR(IF(INDEX('CFOG'!$N$23:$N$23,MATCH($F199,'CFOG'!$B$23:$B$23,0))="","Cell will autofill based on response",INDEX('CFOG'!$N$23:$N$23,MATCH($F199,'CFOG'!$B$23:$B$23,0))),"N/A")</f>
        <v/>
      </c>
      <c r="P199" s="25">
        <f>IFERROR(IF(INDEX('ESG'!$N$10:$N$16,MATCH($F199,'ESG'!$B$10:$B$16,0))="","Cell will autofill based on response",INDEX('ESG'!$N$10:$N$16,MATCH($F199,'ESG'!$B$10:$B$16,0))),"N/A")</f>
        <v/>
      </c>
      <c r="Q199" s="25">
        <f>IFERROR(IF(INDEX('CIOG'!$N$10:$N$13,MATCH($F199,'CIOG'!$B$10:$B$13,0))="","Cell will autofill based on response",INDEX('CIOG'!$N$10:$N$13,MATCH($F199,'CIOG'!$B$10:$B$13,0))),"N/A")</f>
        <v/>
      </c>
      <c r="R199" s="25">
        <f>IFERROR(IF(INDEX('MRE'!$N$10:$N$11,MATCH($F199,'MRE'!$B$10:$B$11,0))="","Cell will autofill based on response",INDEX('MRE'!$N$10:$N$11,MATCH($F199,'MRE'!$B$10:$B$11,0))),"N/A")</f>
        <v/>
      </c>
    </row>
    <row r="200">
      <c r="A200">
        <f>F200&amp;"|"&amp;G200</f>
        <v/>
      </c>
      <c r="B200" s="29" t="inlineStr"/>
      <c r="C200" s="8" t="inlineStr"/>
      <c r="D200" s="8" t="inlineStr"/>
      <c r="E200" s="8" t="inlineStr"/>
      <c r="F200" s="8" t="inlineStr">
        <is>
          <t>AI1(b)</t>
        </is>
      </c>
      <c r="G200" s="8" t="inlineStr">
        <is>
          <t>Supporting information/comments</t>
        </is>
      </c>
      <c r="H200" s="25">
        <f>IFERROR(IF(INDEX('Faculties'!$O$10:$O$29,MATCH($F200,'Faculties'!$B$10:$B$29,0))="","Cell will autofill based on response",INDEX('Faculties'!$O$10:$O$29,MATCH($F200,'Faculties'!$B$10:$B$29,0))),"N/A")</f>
        <v/>
      </c>
      <c r="I200" s="25">
        <f>IFERROR(IF(INDEX('Faculties'!$O$37:$O$56,MATCH($F200,'Faculties'!$B$37:$B$56,0))="","Cell will autofill based on response",INDEX('Faculties'!$O$37:$O$56,MATCH($F200,'Faculties'!$B$37:$B$56,0))),"N/A")</f>
        <v/>
      </c>
      <c r="J200" s="25">
        <f>IFERROR(IF(INDEX('Faculties'!$O$64:$O$83,MATCH($F200,'Faculties'!$B$64:$B$83,0))="","Cell will autofill based on response",INDEX('Faculties'!$O$64:$O$83,MATCH($F200,'Faculties'!$B$64:$B$83,0))),"N/A")</f>
        <v/>
      </c>
      <c r="K200" s="25">
        <f>IFERROR(IF(INDEX('Faculties'!$O$91:$O$110,MATCH($F200,'Faculties'!$B$91:$B$110,0))="","Cell will autofill based on response",INDEX('Faculties'!$O$91:$O$110,MATCH($F200,'Faculties'!$B$91:$B$110,0))),"N/A")</f>
        <v/>
      </c>
      <c r="L200" s="25">
        <f>IFERROR(IF(INDEX('CI&amp;S'!$O$10:$O$14,MATCH($F200,'CI&amp;S'!$B$10:$B$14,0))="","Cell will autofill based on response",INDEX('CI&amp;S'!$O$10:$O$14,MATCH($F200,'CI&amp;S'!$B$10:$B$14,0))),"N/A")</f>
        <v/>
      </c>
      <c r="M200" s="25">
        <f>IFERROR(IF(INDEX('CI&amp;S'!$O$22:$O$38,MATCH($F200,'CI&amp;S'!$B$22:$B$38,0))="","Cell will autofill based on response",INDEX('CI&amp;S'!$O$22:$O$38,MATCH($F200,'CI&amp;S'!$B$22:$B$38,0))),"N/A")</f>
        <v/>
      </c>
      <c r="N200" s="25">
        <f>IFERROR(IF(INDEX('CFOG'!$O$10:$O$15,MATCH($F200,'CFOG'!$B$10:$B$15,0))="","Cell will autofill based on response",INDEX('CFOG'!$O$10:$O$15,MATCH($F200,'CFOG'!$B$10:$B$15,0))),"N/A")</f>
        <v/>
      </c>
      <c r="O200" s="25">
        <f>IFERROR(IF(INDEX('CFOG'!$O$23:$O$23,MATCH($F200,'CFOG'!$B$23:$B$23,0))="","Cell will autofill based on response",INDEX('CFOG'!$O$23:$O$23,MATCH($F200,'CFOG'!$B$23:$B$23,0))),"N/A")</f>
        <v/>
      </c>
      <c r="P200" s="25">
        <f>IFERROR(IF(INDEX('ESG'!$O$10:$O$16,MATCH($F200,'ESG'!$B$10:$B$16,0))="","Cell will autofill based on response",INDEX('ESG'!$O$10:$O$16,MATCH($F200,'ESG'!$B$10:$B$16,0))),"N/A")</f>
        <v/>
      </c>
      <c r="Q200" s="25">
        <f>IFERROR(IF(INDEX('CIOG'!$O$10:$O$13,MATCH($F200,'CIOG'!$B$10:$B$13,0))="","Cell will autofill based on response",INDEX('CIOG'!$O$10:$O$13,MATCH($F200,'CIOG'!$B$10:$B$13,0))),"N/A")</f>
        <v/>
      </c>
      <c r="R200" s="25">
        <f>IFERROR(IF(INDEX('MRE'!$O$10:$O$11,MATCH($F200,'MRE'!$B$10:$B$11,0))="","Cell will autofill based on response",INDEX('MRE'!$O$10:$O$11,MATCH($F200,'MRE'!$B$10:$B$11,0))),"N/A")</f>
        <v/>
      </c>
    </row>
    <row r="201">
      <c r="A201">
        <f>F201&amp;"|"&amp;G201</f>
        <v/>
      </c>
      <c r="B201" s="29" t="inlineStr"/>
      <c r="C201" s="8" t="inlineStr"/>
      <c r="D201" s="8" t="inlineStr"/>
      <c r="E201" s="8" t="inlineStr"/>
      <c r="F201" s="8" t="inlineStr">
        <is>
          <t>AI1(b)</t>
        </is>
      </c>
      <c r="G201" s="8" t="inlineStr">
        <is>
          <t>Data source and limitations</t>
        </is>
      </c>
      <c r="H201" s="25">
        <f>IFERROR(IF(INDEX('Faculties'!$P$10:$P$29,MATCH($F201,'Faculties'!$B$10:$B$29,0))="","Cell will autofill based on response",INDEX('Faculties'!$P$10:$P$29,MATCH($F201,'Faculties'!$B$10:$B$29,0))),"N/A")</f>
        <v/>
      </c>
      <c r="I201" s="25">
        <f>IFERROR(IF(INDEX('Faculties'!$P$37:$P$56,MATCH($F201,'Faculties'!$B$37:$B$56,0))="","Cell will autofill based on response",INDEX('Faculties'!$P$37:$P$56,MATCH($F201,'Faculties'!$B$37:$B$56,0))),"N/A")</f>
        <v/>
      </c>
      <c r="J201" s="25">
        <f>IFERROR(IF(INDEX('Faculties'!$P$64:$P$83,MATCH($F201,'Faculties'!$B$64:$B$83,0))="","Cell will autofill based on response",INDEX('Faculties'!$P$64:$P$83,MATCH($F201,'Faculties'!$B$64:$B$83,0))),"N/A")</f>
        <v/>
      </c>
      <c r="K201" s="25">
        <f>IFERROR(IF(INDEX('Faculties'!$P$91:$P$110,MATCH($F201,'Faculties'!$B$91:$B$110,0))="","Cell will autofill based on response",INDEX('Faculties'!$P$91:$P$110,MATCH($F201,'Faculties'!$B$91:$B$110,0))),"N/A")</f>
        <v/>
      </c>
      <c r="L201" s="25">
        <f>IFERROR(IF(INDEX('CI&amp;S'!$P$10:$P$14,MATCH($F201,'CI&amp;S'!$B$10:$B$14,0))="","Cell will autofill based on response",INDEX('CI&amp;S'!$P$10:$P$14,MATCH($F201,'CI&amp;S'!$B$10:$B$14,0))),"N/A")</f>
        <v/>
      </c>
      <c r="M201" s="25">
        <f>IFERROR(IF(INDEX('CI&amp;S'!$P$22:$P$38,MATCH($F201,'CI&amp;S'!$B$22:$B$38,0))="","Cell will autofill based on response",INDEX('CI&amp;S'!$P$22:$P$38,MATCH($F201,'CI&amp;S'!$B$22:$B$38,0))),"N/A")</f>
        <v/>
      </c>
      <c r="N201" s="25">
        <f>IFERROR(IF(INDEX('CFOG'!$P$10:$P$15,MATCH($F201,'CFOG'!$B$10:$B$15,0))="","Cell will autofill based on response",INDEX('CFOG'!$P$10:$P$15,MATCH($F201,'CFOG'!$B$10:$B$15,0))),"N/A")</f>
        <v/>
      </c>
      <c r="O201" s="25">
        <f>IFERROR(IF(INDEX('CFOG'!$P$23:$P$23,MATCH($F201,'CFOG'!$B$23:$B$23,0))="","Cell will autofill based on response",INDEX('CFOG'!$P$23:$P$23,MATCH($F201,'CFOG'!$B$23:$B$23,0))),"N/A")</f>
        <v/>
      </c>
      <c r="P201" s="25">
        <f>IFERROR(IF(INDEX('ESG'!$P$10:$P$16,MATCH($F201,'ESG'!$B$10:$B$16,0))="","Cell will autofill based on response",INDEX('ESG'!$P$10:$P$16,MATCH($F201,'ESG'!$B$10:$B$16,0))),"N/A")</f>
        <v/>
      </c>
      <c r="Q201" s="25">
        <f>IFERROR(IF(INDEX('CIOG'!$P$10:$P$13,MATCH($F201,'CIOG'!$B$10:$B$13,0))="","Cell will autofill based on response",INDEX('CIOG'!$P$10:$P$13,MATCH($F201,'CIOG'!$B$10:$B$13,0))),"N/A")</f>
        <v/>
      </c>
      <c r="R201" s="25">
        <f>IFERROR(IF(INDEX('MRE'!$P$10:$P$11,MATCH($F201,'MRE'!$B$10:$B$11,0))="","Cell will autofill based on response",INDEX('MRE'!$P$10:$P$11,MATCH($F201,'MRE'!$B$10:$B$11,0))),"N/A")</f>
        <v/>
      </c>
    </row>
    <row r="202">
      <c r="A202">
        <f>F202&amp;"|"&amp;G202</f>
        <v/>
      </c>
      <c r="B202" s="29" t="inlineStr"/>
      <c r="C202" s="8" t="inlineStr"/>
      <c r="D202" s="8" t="inlineStr"/>
      <c r="E202" s="8" t="inlineStr"/>
      <c r="F202" s="8" t="inlineStr">
        <is>
          <t>AI1(b)</t>
        </is>
      </c>
      <c r="G202" s="8" t="inlineStr">
        <is>
          <t>Data owner confirms</t>
        </is>
      </c>
      <c r="H202" s="25">
        <f>IFERROR(IF(INDEX('Faculties'!$Q$10:$Q$29,MATCH($F202,'Faculties'!$B$10:$B$29,0))="","Cell will autofill based on response",INDEX('Faculties'!$Q$10:$Q$29,MATCH($F202,'Faculties'!$B$10:$B$29,0))),"N/A")</f>
        <v/>
      </c>
      <c r="I202" s="25">
        <f>IFERROR(IF(INDEX('Faculties'!$Q$37:$Q$56,MATCH($F202,'Faculties'!$B$37:$B$56,0))="","Cell will autofill based on response",INDEX('Faculties'!$Q$37:$Q$56,MATCH($F202,'Faculties'!$B$37:$B$56,0))),"N/A")</f>
        <v/>
      </c>
      <c r="J202" s="25">
        <f>IFERROR(IF(INDEX('Faculties'!$Q$64:$Q$83,MATCH($F202,'Faculties'!$B$64:$B$83,0))="","Cell will autofill based on response",INDEX('Faculties'!$Q$64:$Q$83,MATCH($F202,'Faculties'!$B$64:$B$83,0))),"N/A")</f>
        <v/>
      </c>
      <c r="K202" s="25">
        <f>IFERROR(IF(INDEX('Faculties'!$Q$91:$Q$110,MATCH($F202,'Faculties'!$B$91:$B$110,0))="","Cell will autofill based on response",INDEX('Faculties'!$Q$91:$Q$110,MATCH($F202,'Faculties'!$B$91:$B$110,0))),"N/A")</f>
        <v/>
      </c>
      <c r="L202" s="25">
        <f>IFERROR(IF(INDEX('CI&amp;S'!$Q$10:$Q$14,MATCH($F202,'CI&amp;S'!$B$10:$B$14,0))="","Cell will autofill based on response",INDEX('CI&amp;S'!$Q$10:$Q$14,MATCH($F202,'CI&amp;S'!$B$10:$B$14,0))),"N/A")</f>
        <v/>
      </c>
      <c r="M202" s="25">
        <f>IFERROR(IF(INDEX('CI&amp;S'!$Q$22:$Q$38,MATCH($F202,'CI&amp;S'!$B$22:$B$38,0))="","Cell will autofill based on response",INDEX('CI&amp;S'!$Q$22:$Q$38,MATCH($F202,'CI&amp;S'!$B$22:$B$38,0))),"N/A")</f>
        <v/>
      </c>
      <c r="N202" s="25">
        <f>IFERROR(IF(INDEX('CFOG'!$Q$10:$Q$15,MATCH($F202,'CFOG'!$B$10:$B$15,0))="","Cell will autofill based on response",INDEX('CFOG'!$Q$10:$Q$15,MATCH($F202,'CFOG'!$B$10:$B$15,0))),"N/A")</f>
        <v/>
      </c>
      <c r="O202" s="25">
        <f>IFERROR(IF(INDEX('CFOG'!$Q$23:$Q$23,MATCH($F202,'CFOG'!$B$23:$B$23,0))="","Cell will autofill based on response",INDEX('CFOG'!$Q$23:$Q$23,MATCH($F202,'CFOG'!$B$23:$B$23,0))),"N/A")</f>
        <v/>
      </c>
      <c r="P202" s="25">
        <f>IFERROR(IF(INDEX('ESG'!$Q$10:$Q$16,MATCH($F202,'ESG'!$B$10:$B$16,0))="","Cell will autofill based on response",INDEX('ESG'!$Q$10:$Q$16,MATCH($F202,'ESG'!$B$10:$B$16,0))),"N/A")</f>
        <v/>
      </c>
      <c r="Q202" s="25">
        <f>IFERROR(IF(INDEX('CIOG'!$Q$10:$Q$13,MATCH($F202,'CIOG'!$B$10:$B$13,0))="","Cell will autofill based on response",INDEX('CIOG'!$Q$10:$Q$13,MATCH($F202,'CIOG'!$B$10:$B$13,0))),"N/A")</f>
        <v/>
      </c>
      <c r="R202" s="25">
        <f>IFERROR(IF(INDEX('MRE'!$Q$10:$Q$11,MATCH($F202,'MRE'!$B$10:$B$11,0))="","Cell will autofill based on response",INDEX('MRE'!$Q$10:$Q$11,MATCH($F202,'MRE'!$B$10:$B$11,0))),"N/A")</f>
        <v/>
      </c>
    </row>
    <row r="203">
      <c r="A203">
        <f>F203&amp;"|"&amp;G203</f>
        <v/>
      </c>
      <c r="B203" s="7" t="inlineStr">
        <is>
          <t>EI1(a)</t>
        </is>
      </c>
      <c r="C203" s="12" t="inlineStr">
        <is>
          <t>Estate and infrastructure</t>
        </is>
      </c>
      <c r="D203" s="12" t="inlineStr">
        <is>
          <t>Evidence of increased maturity of estate and infrastructure planning, development and operations to support the other priority areas in Sustainability 2030</t>
        </is>
      </c>
      <c r="E203" s="12"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203" s="12" t="inlineStr">
        <is>
          <t>EI1(a)</t>
        </is>
      </c>
      <c r="G203" s="12" t="inlineStr">
        <is>
          <t>Confirm end-2026 target status</t>
        </is>
      </c>
      <c r="H203" s="25">
        <f>IFERROR(IF(INDEX('Faculties'!$L$10:$L$29,MATCH($F203,'Faculties'!$B$10:$B$29,0))="","Cell will autofill based on response",INDEX('Faculties'!$L$10:$L$29,MATCH($F203,'Faculties'!$B$10:$B$29,0))),"N/A")</f>
        <v/>
      </c>
      <c r="I203" s="25">
        <f>IFERROR(IF(INDEX('Faculties'!$L$37:$L$56,MATCH($F203,'Faculties'!$B$37:$B$56,0))="","Cell will autofill based on response",INDEX('Faculties'!$L$37:$L$56,MATCH($F203,'Faculties'!$B$37:$B$56,0))),"N/A")</f>
        <v/>
      </c>
      <c r="J203" s="25">
        <f>IFERROR(IF(INDEX('Faculties'!$L$64:$L$83,MATCH($F203,'Faculties'!$B$64:$B$83,0))="","Cell will autofill based on response",INDEX('Faculties'!$L$64:$L$83,MATCH($F203,'Faculties'!$B$64:$B$83,0))),"N/A")</f>
        <v/>
      </c>
      <c r="K203" s="25">
        <f>IFERROR(IF(INDEX('Faculties'!$L$91:$L$110,MATCH($F203,'Faculties'!$B$91:$B$110,0))="","Cell will autofill based on response",INDEX('Faculties'!$L$91:$L$110,MATCH($F203,'Faculties'!$B$91:$B$110,0))),"N/A")</f>
        <v/>
      </c>
      <c r="L203" s="25">
        <f>IFERROR(IF(INDEX('CI&amp;S'!$L$10:$L$14,MATCH($F203,'CI&amp;S'!$B$10:$B$14,0))="","Cell will autofill based on response",INDEX('CI&amp;S'!$L$10:$L$14,MATCH($F203,'CI&amp;S'!$B$10:$B$14,0))),"N/A")</f>
        <v/>
      </c>
      <c r="M203" s="25">
        <f>IFERROR(IF(INDEX('CI&amp;S'!$L$22:$L$38,MATCH($F203,'CI&amp;S'!$B$22:$B$38,0))="","Cell will autofill based on response",INDEX('CI&amp;S'!$L$22:$L$38,MATCH($F203,'CI&amp;S'!$B$22:$B$38,0))),"N/A")</f>
        <v/>
      </c>
      <c r="N203" s="25">
        <f>IFERROR(IF(INDEX('CFOG'!$L$10:$L$15,MATCH($F203,'CFOG'!$B$10:$B$15,0))="","Cell will autofill based on response",INDEX('CFOG'!$L$10:$L$15,MATCH($F203,'CFOG'!$B$10:$B$15,0))),"N/A")</f>
        <v/>
      </c>
      <c r="O203" s="25">
        <f>IFERROR(IF(INDEX('CFOG'!$L$23:$L$23,MATCH($F203,'CFOG'!$B$23:$B$23,0))="","Cell will autofill based on response",INDEX('CFOG'!$L$23:$L$23,MATCH($F203,'CFOG'!$B$23:$B$23,0))),"N/A")</f>
        <v/>
      </c>
      <c r="P203" s="25">
        <f>IFERROR(IF(INDEX('ESG'!$L$10:$L$16,MATCH($F203,'ESG'!$B$10:$B$16,0))="","Cell will autofill based on response",INDEX('ESG'!$L$10:$L$16,MATCH($F203,'ESG'!$B$10:$B$16,0))),"N/A")</f>
        <v/>
      </c>
      <c r="Q203" s="25">
        <f>IFERROR(IF(INDEX('CIOG'!$L$10:$L$13,MATCH($F203,'CIOG'!$B$10:$B$13,0))="","Cell will autofill based on response",INDEX('CIOG'!$L$10:$L$13,MATCH($F203,'CIOG'!$B$10:$B$13,0))),"N/A")</f>
        <v/>
      </c>
      <c r="R203" s="25">
        <f>IFERROR(IF(INDEX('MRE'!$L$10:$L$11,MATCH($F203,'MRE'!$B$10:$B$11,0))="","Cell will autofill based on response",INDEX('MRE'!$L$10:$L$11,MATCH($F203,'MRE'!$B$10:$B$11,0))),"N/A")</f>
        <v/>
      </c>
      <c r="T203" s="26">
        <f>COUNTIF($H203:$R203,"Cell will autofill based on response")</f>
        <v/>
      </c>
      <c r="U203" s="26">
        <f>COUNTIF($H203:$R203,"Not yet started")</f>
        <v/>
      </c>
      <c r="V203" s="26">
        <f>COUNTIF($H203:$R203,"Not met")</f>
        <v/>
      </c>
      <c r="W203" s="26">
        <f>COUNTIF($H203:$R203,"Partially met")</f>
        <v/>
      </c>
      <c r="X203" s="26">
        <f>COUNTIF($H203:$R203,"Met or exceeded")</f>
        <v/>
      </c>
      <c r="Y203" s="26">
        <f>3*X203+2*W203+V203</f>
        <v/>
      </c>
      <c r="Z203" s="26">
        <f>X203+W203+V203+U203</f>
        <v/>
      </c>
      <c r="AA203" s="27">
        <f>IF(Z203&gt;0,Y203/Z203,"No valid responses to date")</f>
        <v/>
      </c>
      <c r="AB203" s="26">
        <f>IF(ISNUMBER(AA203),INDEX(Lists!$G$2:$G$5,MATCH(ROUND(AA203,0),Lists!$H$2:$H$5,0)),"")</f>
        <v/>
      </c>
      <c r="AC203" s="28">
        <f>IF(Z203&gt;0,X203/Z203,"")</f>
        <v/>
      </c>
      <c r="AD203" s="28">
        <f>IF(Z203&gt;0,(X203+W203)/Z203,"")</f>
        <v/>
      </c>
      <c r="AE203" s="26">
        <f>IF(Z203=0,"",IF(AC203&gt;0.75,"Met or exceeded",IF(AD203&gt;=0.5,"Partially met","Not met")))</f>
        <v/>
      </c>
    </row>
    <row r="204">
      <c r="A204">
        <f>F204&amp;"|"&amp;G204</f>
        <v/>
      </c>
      <c r="B204" s="29" t="inlineStr"/>
      <c r="C204" s="8" t="inlineStr"/>
      <c r="D204" s="8" t="inlineStr"/>
      <c r="E204" s="8" t="inlineStr"/>
      <c r="F204" s="8" t="inlineStr">
        <is>
          <t>EI1(a)</t>
        </is>
      </c>
      <c r="G204" s="8" t="inlineStr">
        <is>
          <t>OPTION 1:  Target-level reporting</t>
        </is>
      </c>
      <c r="H204" s="25">
        <f>IFERROR(IF(INDEX('Faculties'!$M$10:$M$29,MATCH($F204,'Faculties'!$B$10:$B$29,0))="","Cell will autofill based on response",INDEX('Faculties'!$M$10:$M$29,MATCH($F204,'Faculties'!$B$10:$B$29,0))),"N/A")</f>
        <v/>
      </c>
      <c r="I204" s="25">
        <f>IFERROR(IF(INDEX('Faculties'!$M$37:$M$56,MATCH($F204,'Faculties'!$B$37:$B$56,0))="","Cell will autofill based on response",INDEX('Faculties'!$M$37:$M$56,MATCH($F204,'Faculties'!$B$37:$B$56,0))),"N/A")</f>
        <v/>
      </c>
      <c r="J204" s="25">
        <f>IFERROR(IF(INDEX('Faculties'!$M$64:$M$83,MATCH($F204,'Faculties'!$B$64:$B$83,0))="","Cell will autofill based on response",INDEX('Faculties'!$M$64:$M$83,MATCH($F204,'Faculties'!$B$64:$B$83,0))),"N/A")</f>
        <v/>
      </c>
      <c r="K204" s="25">
        <f>IFERROR(IF(INDEX('Faculties'!$M$91:$M$110,MATCH($F204,'Faculties'!$B$91:$B$110,0))="","Cell will autofill based on response",INDEX('Faculties'!$M$91:$M$110,MATCH($F204,'Faculties'!$B$91:$B$110,0))),"N/A")</f>
        <v/>
      </c>
      <c r="L204" s="25">
        <f>IFERROR(IF(INDEX('CI&amp;S'!$M$10:$M$14,MATCH($F204,'CI&amp;S'!$B$10:$B$14,0))="","Cell will autofill based on response",INDEX('CI&amp;S'!$M$10:$M$14,MATCH($F204,'CI&amp;S'!$B$10:$B$14,0))),"N/A")</f>
        <v/>
      </c>
      <c r="M204" s="25">
        <f>IFERROR(IF(INDEX('CI&amp;S'!$M$22:$M$38,MATCH($F204,'CI&amp;S'!$B$22:$B$38,0))="","Cell will autofill based on response",INDEX('CI&amp;S'!$M$22:$M$38,MATCH($F204,'CI&amp;S'!$B$22:$B$38,0))),"N/A")</f>
        <v/>
      </c>
      <c r="N204" s="25">
        <f>IFERROR(IF(INDEX('CFOG'!$M$10:$M$15,MATCH($F204,'CFOG'!$B$10:$B$15,0))="","Cell will autofill based on response",INDEX('CFOG'!$M$10:$M$15,MATCH($F204,'CFOG'!$B$10:$B$15,0))),"N/A")</f>
        <v/>
      </c>
      <c r="O204" s="25">
        <f>IFERROR(IF(INDEX('CFOG'!$M$23:$M$23,MATCH($F204,'CFOG'!$B$23:$B$23,0))="","Cell will autofill based on response",INDEX('CFOG'!$M$23:$M$23,MATCH($F204,'CFOG'!$B$23:$B$23,0))),"N/A")</f>
        <v/>
      </c>
      <c r="P204" s="25">
        <f>IFERROR(IF(INDEX('ESG'!$M$10:$M$16,MATCH($F204,'ESG'!$B$10:$B$16,0))="","Cell will autofill based on response",INDEX('ESG'!$M$10:$M$16,MATCH($F204,'ESG'!$B$10:$B$16,0))),"N/A")</f>
        <v/>
      </c>
      <c r="Q204" s="25">
        <f>IFERROR(IF(INDEX('CIOG'!$M$10:$M$13,MATCH($F204,'CIOG'!$B$10:$B$13,0))="","Cell will autofill based on response",INDEX('CIOG'!$M$10:$M$13,MATCH($F204,'CIOG'!$B$10:$B$13,0))),"N/A")</f>
        <v/>
      </c>
      <c r="R204" s="25">
        <f>IFERROR(IF(INDEX('MRE'!$M$10:$M$11,MATCH($F204,'MRE'!$B$10:$B$11,0))="","Cell will autofill based on response",INDEX('MRE'!$M$10:$M$11,MATCH($F204,'MRE'!$B$10:$B$11,0))),"N/A")</f>
        <v/>
      </c>
    </row>
    <row r="205">
      <c r="A205">
        <f>F205&amp;"|"&amp;G205</f>
        <v/>
      </c>
      <c r="B205" s="29" t="inlineStr"/>
      <c r="C205" s="8" t="inlineStr"/>
      <c r="D205" s="8" t="inlineStr"/>
      <c r="E205" s="8" t="inlineStr"/>
      <c r="F205" s="8" t="inlineStr">
        <is>
          <t>EI1(a)</t>
        </is>
      </c>
      <c r="G205" s="8" t="inlineStr">
        <is>
          <t>OPTION 2:  Indicator level reporting</t>
        </is>
      </c>
      <c r="H205" s="25">
        <f>IFERROR(IF(INDEX('Faculties'!$N$10:$N$29,MATCH($F205,'Faculties'!$B$10:$B$29,0))="","Cell will autofill based on response",INDEX('Faculties'!$N$10:$N$29,MATCH($F205,'Faculties'!$B$10:$B$29,0))),"N/A")</f>
        <v/>
      </c>
      <c r="I205" s="25">
        <f>IFERROR(IF(INDEX('Faculties'!$N$37:$N$56,MATCH($F205,'Faculties'!$B$37:$B$56,0))="","Cell will autofill based on response",INDEX('Faculties'!$N$37:$N$56,MATCH($F205,'Faculties'!$B$37:$B$56,0))),"N/A")</f>
        <v/>
      </c>
      <c r="J205" s="25">
        <f>IFERROR(IF(INDEX('Faculties'!$N$64:$N$83,MATCH($F205,'Faculties'!$B$64:$B$83,0))="","Cell will autofill based on response",INDEX('Faculties'!$N$64:$N$83,MATCH($F205,'Faculties'!$B$64:$B$83,0))),"N/A")</f>
        <v/>
      </c>
      <c r="K205" s="25">
        <f>IFERROR(IF(INDEX('Faculties'!$N$91:$N$110,MATCH($F205,'Faculties'!$B$91:$B$110,0))="","Cell will autofill based on response",INDEX('Faculties'!$N$91:$N$110,MATCH($F205,'Faculties'!$B$91:$B$110,0))),"N/A")</f>
        <v/>
      </c>
      <c r="L205" s="25">
        <f>IFERROR(IF(INDEX('CI&amp;S'!$N$10:$N$14,MATCH($F205,'CI&amp;S'!$B$10:$B$14,0))="","Cell will autofill based on response",INDEX('CI&amp;S'!$N$10:$N$14,MATCH($F205,'CI&amp;S'!$B$10:$B$14,0))),"N/A")</f>
        <v/>
      </c>
      <c r="M205" s="25">
        <f>IFERROR(IF(INDEX('CI&amp;S'!$N$22:$N$38,MATCH($F205,'CI&amp;S'!$B$22:$B$38,0))="","Cell will autofill based on response",INDEX('CI&amp;S'!$N$22:$N$38,MATCH($F205,'CI&amp;S'!$B$22:$B$38,0))),"N/A")</f>
        <v/>
      </c>
      <c r="N205" s="25">
        <f>IFERROR(IF(INDEX('CFOG'!$N$10:$N$15,MATCH($F205,'CFOG'!$B$10:$B$15,0))="","Cell will autofill based on response",INDEX('CFOG'!$N$10:$N$15,MATCH($F205,'CFOG'!$B$10:$B$15,0))),"N/A")</f>
        <v/>
      </c>
      <c r="O205" s="25">
        <f>IFERROR(IF(INDEX('CFOG'!$N$23:$N$23,MATCH($F205,'CFOG'!$B$23:$B$23,0))="","Cell will autofill based on response",INDEX('CFOG'!$N$23:$N$23,MATCH($F205,'CFOG'!$B$23:$B$23,0))),"N/A")</f>
        <v/>
      </c>
      <c r="P205" s="25">
        <f>IFERROR(IF(INDEX('ESG'!$N$10:$N$16,MATCH($F205,'ESG'!$B$10:$B$16,0))="","Cell will autofill based on response",INDEX('ESG'!$N$10:$N$16,MATCH($F205,'ESG'!$B$10:$B$16,0))),"N/A")</f>
        <v/>
      </c>
      <c r="Q205" s="25">
        <f>IFERROR(IF(INDEX('CIOG'!$N$10:$N$13,MATCH($F205,'CIOG'!$B$10:$B$13,0))="","Cell will autofill based on response",INDEX('CIOG'!$N$10:$N$13,MATCH($F205,'CIOG'!$B$10:$B$13,0))),"N/A")</f>
        <v/>
      </c>
      <c r="R205" s="25">
        <f>IFERROR(IF(INDEX('MRE'!$N$10:$N$11,MATCH($F205,'MRE'!$B$10:$B$11,0))="","Cell will autofill based on response",INDEX('MRE'!$N$10:$N$11,MATCH($F205,'MRE'!$B$10:$B$11,0))),"N/A")</f>
        <v/>
      </c>
    </row>
    <row r="206">
      <c r="A206">
        <f>F206&amp;"|"&amp;G206</f>
        <v/>
      </c>
      <c r="B206" s="29" t="inlineStr"/>
      <c r="C206" s="8" t="inlineStr"/>
      <c r="D206" s="8" t="inlineStr"/>
      <c r="E206" s="8" t="inlineStr"/>
      <c r="F206" s="8" t="inlineStr">
        <is>
          <t>EI1(a)</t>
        </is>
      </c>
      <c r="G206" s="8" t="inlineStr">
        <is>
          <t>Supporting information/comments</t>
        </is>
      </c>
      <c r="H206" s="25">
        <f>IFERROR(IF(INDEX('Faculties'!$O$10:$O$29,MATCH($F206,'Faculties'!$B$10:$B$29,0))="","Cell will autofill based on response",INDEX('Faculties'!$O$10:$O$29,MATCH($F206,'Faculties'!$B$10:$B$29,0))),"N/A")</f>
        <v/>
      </c>
      <c r="I206" s="25">
        <f>IFERROR(IF(INDEX('Faculties'!$O$37:$O$56,MATCH($F206,'Faculties'!$B$37:$B$56,0))="","Cell will autofill based on response",INDEX('Faculties'!$O$37:$O$56,MATCH($F206,'Faculties'!$B$37:$B$56,0))),"N/A")</f>
        <v/>
      </c>
      <c r="J206" s="25">
        <f>IFERROR(IF(INDEX('Faculties'!$O$64:$O$83,MATCH($F206,'Faculties'!$B$64:$B$83,0))="","Cell will autofill based on response",INDEX('Faculties'!$O$64:$O$83,MATCH($F206,'Faculties'!$B$64:$B$83,0))),"N/A")</f>
        <v/>
      </c>
      <c r="K206" s="25">
        <f>IFERROR(IF(INDEX('Faculties'!$O$91:$O$110,MATCH($F206,'Faculties'!$B$91:$B$110,0))="","Cell will autofill based on response",INDEX('Faculties'!$O$91:$O$110,MATCH($F206,'Faculties'!$B$91:$B$110,0))),"N/A")</f>
        <v/>
      </c>
      <c r="L206" s="25">
        <f>IFERROR(IF(INDEX('CI&amp;S'!$O$10:$O$14,MATCH($F206,'CI&amp;S'!$B$10:$B$14,0))="","Cell will autofill based on response",INDEX('CI&amp;S'!$O$10:$O$14,MATCH($F206,'CI&amp;S'!$B$10:$B$14,0))),"N/A")</f>
        <v/>
      </c>
      <c r="M206" s="25">
        <f>IFERROR(IF(INDEX('CI&amp;S'!$O$22:$O$38,MATCH($F206,'CI&amp;S'!$B$22:$B$38,0))="","Cell will autofill based on response",INDEX('CI&amp;S'!$O$22:$O$38,MATCH($F206,'CI&amp;S'!$B$22:$B$38,0))),"N/A")</f>
        <v/>
      </c>
      <c r="N206" s="25">
        <f>IFERROR(IF(INDEX('CFOG'!$O$10:$O$15,MATCH($F206,'CFOG'!$B$10:$B$15,0))="","Cell will autofill based on response",INDEX('CFOG'!$O$10:$O$15,MATCH($F206,'CFOG'!$B$10:$B$15,0))),"N/A")</f>
        <v/>
      </c>
      <c r="O206" s="25">
        <f>IFERROR(IF(INDEX('CFOG'!$O$23:$O$23,MATCH($F206,'CFOG'!$B$23:$B$23,0))="","Cell will autofill based on response",INDEX('CFOG'!$O$23:$O$23,MATCH($F206,'CFOG'!$B$23:$B$23,0))),"N/A")</f>
        <v/>
      </c>
      <c r="P206" s="25">
        <f>IFERROR(IF(INDEX('ESG'!$O$10:$O$16,MATCH($F206,'ESG'!$B$10:$B$16,0))="","Cell will autofill based on response",INDEX('ESG'!$O$10:$O$16,MATCH($F206,'ESG'!$B$10:$B$16,0))),"N/A")</f>
        <v/>
      </c>
      <c r="Q206" s="25">
        <f>IFERROR(IF(INDEX('CIOG'!$O$10:$O$13,MATCH($F206,'CIOG'!$B$10:$B$13,0))="","Cell will autofill based on response",INDEX('CIOG'!$O$10:$O$13,MATCH($F206,'CIOG'!$B$10:$B$13,0))),"N/A")</f>
        <v/>
      </c>
      <c r="R206" s="25">
        <f>IFERROR(IF(INDEX('MRE'!$O$10:$O$11,MATCH($F206,'MRE'!$B$10:$B$11,0))="","Cell will autofill based on response",INDEX('MRE'!$O$10:$O$11,MATCH($F206,'MRE'!$B$10:$B$11,0))),"N/A")</f>
        <v/>
      </c>
    </row>
    <row r="207">
      <c r="A207">
        <f>F207&amp;"|"&amp;G207</f>
        <v/>
      </c>
      <c r="B207" s="29" t="inlineStr"/>
      <c r="C207" s="8" t="inlineStr"/>
      <c r="D207" s="8" t="inlineStr"/>
      <c r="E207" s="8" t="inlineStr"/>
      <c r="F207" s="8" t="inlineStr">
        <is>
          <t>EI1(a)</t>
        </is>
      </c>
      <c r="G207" s="8" t="inlineStr">
        <is>
          <t>Data source and limitations</t>
        </is>
      </c>
      <c r="H207" s="25">
        <f>IFERROR(IF(INDEX('Faculties'!$P$10:$P$29,MATCH($F207,'Faculties'!$B$10:$B$29,0))="","Cell will autofill based on response",INDEX('Faculties'!$P$10:$P$29,MATCH($F207,'Faculties'!$B$10:$B$29,0))),"N/A")</f>
        <v/>
      </c>
      <c r="I207" s="25">
        <f>IFERROR(IF(INDEX('Faculties'!$P$37:$P$56,MATCH($F207,'Faculties'!$B$37:$B$56,0))="","Cell will autofill based on response",INDEX('Faculties'!$P$37:$P$56,MATCH($F207,'Faculties'!$B$37:$B$56,0))),"N/A")</f>
        <v/>
      </c>
      <c r="J207" s="25">
        <f>IFERROR(IF(INDEX('Faculties'!$P$64:$P$83,MATCH($F207,'Faculties'!$B$64:$B$83,0))="","Cell will autofill based on response",INDEX('Faculties'!$P$64:$P$83,MATCH($F207,'Faculties'!$B$64:$B$83,0))),"N/A")</f>
        <v/>
      </c>
      <c r="K207" s="25">
        <f>IFERROR(IF(INDEX('Faculties'!$P$91:$P$110,MATCH($F207,'Faculties'!$B$91:$B$110,0))="","Cell will autofill based on response",INDEX('Faculties'!$P$91:$P$110,MATCH($F207,'Faculties'!$B$91:$B$110,0))),"N/A")</f>
        <v/>
      </c>
      <c r="L207" s="25">
        <f>IFERROR(IF(INDEX('CI&amp;S'!$P$10:$P$14,MATCH($F207,'CI&amp;S'!$B$10:$B$14,0))="","Cell will autofill based on response",INDEX('CI&amp;S'!$P$10:$P$14,MATCH($F207,'CI&amp;S'!$B$10:$B$14,0))),"N/A")</f>
        <v/>
      </c>
      <c r="M207" s="25">
        <f>IFERROR(IF(INDEX('CI&amp;S'!$P$22:$P$38,MATCH($F207,'CI&amp;S'!$B$22:$B$38,0))="","Cell will autofill based on response",INDEX('CI&amp;S'!$P$22:$P$38,MATCH($F207,'CI&amp;S'!$B$22:$B$38,0))),"N/A")</f>
        <v/>
      </c>
      <c r="N207" s="25">
        <f>IFERROR(IF(INDEX('CFOG'!$P$10:$P$15,MATCH($F207,'CFOG'!$B$10:$B$15,0))="","Cell will autofill based on response",INDEX('CFOG'!$P$10:$P$15,MATCH($F207,'CFOG'!$B$10:$B$15,0))),"N/A")</f>
        <v/>
      </c>
      <c r="O207" s="25">
        <f>IFERROR(IF(INDEX('CFOG'!$P$23:$P$23,MATCH($F207,'CFOG'!$B$23:$B$23,0))="","Cell will autofill based on response",INDEX('CFOG'!$P$23:$P$23,MATCH($F207,'CFOG'!$B$23:$B$23,0))),"N/A")</f>
        <v/>
      </c>
      <c r="P207" s="25">
        <f>IFERROR(IF(INDEX('ESG'!$P$10:$P$16,MATCH($F207,'ESG'!$B$10:$B$16,0))="","Cell will autofill based on response",INDEX('ESG'!$P$10:$P$16,MATCH($F207,'ESG'!$B$10:$B$16,0))),"N/A")</f>
        <v/>
      </c>
      <c r="Q207" s="25">
        <f>IFERROR(IF(INDEX('CIOG'!$P$10:$P$13,MATCH($F207,'CIOG'!$B$10:$B$13,0))="","Cell will autofill based on response",INDEX('CIOG'!$P$10:$P$13,MATCH($F207,'CIOG'!$B$10:$B$13,0))),"N/A")</f>
        <v/>
      </c>
      <c r="R207" s="25">
        <f>IFERROR(IF(INDEX('MRE'!$P$10:$P$11,MATCH($F207,'MRE'!$B$10:$B$11,0))="","Cell will autofill based on response",INDEX('MRE'!$P$10:$P$11,MATCH($F207,'MRE'!$B$10:$B$11,0))),"N/A")</f>
        <v/>
      </c>
    </row>
    <row r="208">
      <c r="A208">
        <f>F208&amp;"|"&amp;G208</f>
        <v/>
      </c>
      <c r="B208" s="29" t="inlineStr"/>
      <c r="C208" s="8" t="inlineStr"/>
      <c r="D208" s="8" t="inlineStr"/>
      <c r="E208" s="8" t="inlineStr"/>
      <c r="F208" s="8" t="inlineStr">
        <is>
          <t>EI1(a)</t>
        </is>
      </c>
      <c r="G208" s="8" t="inlineStr">
        <is>
          <t>Data owner confirms</t>
        </is>
      </c>
      <c r="H208" s="25">
        <f>IFERROR(IF(INDEX('Faculties'!$Q$10:$Q$29,MATCH($F208,'Faculties'!$B$10:$B$29,0))="","Cell will autofill based on response",INDEX('Faculties'!$Q$10:$Q$29,MATCH($F208,'Faculties'!$B$10:$B$29,0))),"N/A")</f>
        <v/>
      </c>
      <c r="I208" s="25">
        <f>IFERROR(IF(INDEX('Faculties'!$Q$37:$Q$56,MATCH($F208,'Faculties'!$B$37:$B$56,0))="","Cell will autofill based on response",INDEX('Faculties'!$Q$37:$Q$56,MATCH($F208,'Faculties'!$B$37:$B$56,0))),"N/A")</f>
        <v/>
      </c>
      <c r="J208" s="25">
        <f>IFERROR(IF(INDEX('Faculties'!$Q$64:$Q$83,MATCH($F208,'Faculties'!$B$64:$B$83,0))="","Cell will autofill based on response",INDEX('Faculties'!$Q$64:$Q$83,MATCH($F208,'Faculties'!$B$64:$B$83,0))),"N/A")</f>
        <v/>
      </c>
      <c r="K208" s="25">
        <f>IFERROR(IF(INDEX('Faculties'!$Q$91:$Q$110,MATCH($F208,'Faculties'!$B$91:$B$110,0))="","Cell will autofill based on response",INDEX('Faculties'!$Q$91:$Q$110,MATCH($F208,'Faculties'!$B$91:$B$110,0))),"N/A")</f>
        <v/>
      </c>
      <c r="L208" s="25">
        <f>IFERROR(IF(INDEX('CI&amp;S'!$Q$10:$Q$14,MATCH($F208,'CI&amp;S'!$B$10:$B$14,0))="","Cell will autofill based on response",INDEX('CI&amp;S'!$Q$10:$Q$14,MATCH($F208,'CI&amp;S'!$B$10:$B$14,0))),"N/A")</f>
        <v/>
      </c>
      <c r="M208" s="25">
        <f>IFERROR(IF(INDEX('CI&amp;S'!$Q$22:$Q$38,MATCH($F208,'CI&amp;S'!$B$22:$B$38,0))="","Cell will autofill based on response",INDEX('CI&amp;S'!$Q$22:$Q$38,MATCH($F208,'CI&amp;S'!$B$22:$B$38,0))),"N/A")</f>
        <v/>
      </c>
      <c r="N208" s="25">
        <f>IFERROR(IF(INDEX('CFOG'!$Q$10:$Q$15,MATCH($F208,'CFOG'!$B$10:$B$15,0))="","Cell will autofill based on response",INDEX('CFOG'!$Q$10:$Q$15,MATCH($F208,'CFOG'!$B$10:$B$15,0))),"N/A")</f>
        <v/>
      </c>
      <c r="O208" s="25">
        <f>IFERROR(IF(INDEX('CFOG'!$Q$23:$Q$23,MATCH($F208,'CFOG'!$B$23:$B$23,0))="","Cell will autofill based on response",INDEX('CFOG'!$Q$23:$Q$23,MATCH($F208,'CFOG'!$B$23:$B$23,0))),"N/A")</f>
        <v/>
      </c>
      <c r="P208" s="25">
        <f>IFERROR(IF(INDEX('ESG'!$Q$10:$Q$16,MATCH($F208,'ESG'!$B$10:$B$16,0))="","Cell will autofill based on response",INDEX('ESG'!$Q$10:$Q$16,MATCH($F208,'ESG'!$B$10:$B$16,0))),"N/A")</f>
        <v/>
      </c>
      <c r="Q208" s="25">
        <f>IFERROR(IF(INDEX('CIOG'!$Q$10:$Q$13,MATCH($F208,'CIOG'!$B$10:$B$13,0))="","Cell will autofill based on response",INDEX('CIOG'!$Q$10:$Q$13,MATCH($F208,'CIOG'!$B$10:$B$13,0))),"N/A")</f>
        <v/>
      </c>
      <c r="R208" s="25">
        <f>IFERROR(IF(INDEX('MRE'!$Q$10:$Q$11,MATCH($F208,'MRE'!$B$10:$B$11,0))="","Cell will autofill based on response",INDEX('MRE'!$Q$10:$Q$11,MATCH($F208,'MRE'!$B$10:$B$11,0))),"N/A")</f>
        <v/>
      </c>
    </row>
    <row r="209">
      <c r="A209">
        <f>F209&amp;"|"&amp;G209</f>
        <v/>
      </c>
      <c r="B209" s="7" t="inlineStr">
        <is>
          <t>EI1(b)</t>
        </is>
      </c>
      <c r="C209" s="12" t="inlineStr">
        <is>
          <t>Estate and infrastructure</t>
        </is>
      </c>
      <c r="D209" s="12" t="inlineStr">
        <is>
          <t>Estimated sustainability impacts of the University’s estate and infrastructure capital plan to inform progress towards emissions reduction targets and other priority areas (to the extent enabled by available information)</t>
        </is>
      </c>
      <c r="E209"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209" s="12" t="inlineStr">
        <is>
          <t>EI1(b)</t>
        </is>
      </c>
      <c r="G209" s="12" t="inlineStr">
        <is>
          <t>Confirm end-2026 target status</t>
        </is>
      </c>
      <c r="H209" s="25">
        <f>IFERROR(IF(INDEX('Faculties'!$L$10:$L$29,MATCH($F209,'Faculties'!$B$10:$B$29,0))="","Cell will autofill based on response",INDEX('Faculties'!$L$10:$L$29,MATCH($F209,'Faculties'!$B$10:$B$29,0))),"N/A")</f>
        <v/>
      </c>
      <c r="I209" s="25">
        <f>IFERROR(IF(INDEX('Faculties'!$L$37:$L$56,MATCH($F209,'Faculties'!$B$37:$B$56,0))="","Cell will autofill based on response",INDEX('Faculties'!$L$37:$L$56,MATCH($F209,'Faculties'!$B$37:$B$56,0))),"N/A")</f>
        <v/>
      </c>
      <c r="J209" s="25">
        <f>IFERROR(IF(INDEX('Faculties'!$L$64:$L$83,MATCH($F209,'Faculties'!$B$64:$B$83,0))="","Cell will autofill based on response",INDEX('Faculties'!$L$64:$L$83,MATCH($F209,'Faculties'!$B$64:$B$83,0))),"N/A")</f>
        <v/>
      </c>
      <c r="K209" s="25">
        <f>IFERROR(IF(INDEX('Faculties'!$L$91:$L$110,MATCH($F209,'Faculties'!$B$91:$B$110,0))="","Cell will autofill based on response",INDEX('Faculties'!$L$91:$L$110,MATCH($F209,'Faculties'!$B$91:$B$110,0))),"N/A")</f>
        <v/>
      </c>
      <c r="L209" s="25">
        <f>IFERROR(IF(INDEX('CI&amp;S'!$L$10:$L$14,MATCH($F209,'CI&amp;S'!$B$10:$B$14,0))="","Cell will autofill based on response",INDEX('CI&amp;S'!$L$10:$L$14,MATCH($F209,'CI&amp;S'!$B$10:$B$14,0))),"N/A")</f>
        <v/>
      </c>
      <c r="M209" s="25">
        <f>IFERROR(IF(INDEX('CI&amp;S'!$L$22:$L$38,MATCH($F209,'CI&amp;S'!$B$22:$B$38,0))="","Cell will autofill based on response",INDEX('CI&amp;S'!$L$22:$L$38,MATCH($F209,'CI&amp;S'!$B$22:$B$38,0))),"N/A")</f>
        <v/>
      </c>
      <c r="N209" s="25">
        <f>IFERROR(IF(INDEX('CFOG'!$L$10:$L$15,MATCH($F209,'CFOG'!$B$10:$B$15,0))="","Cell will autofill based on response",INDEX('CFOG'!$L$10:$L$15,MATCH($F209,'CFOG'!$B$10:$B$15,0))),"N/A")</f>
        <v/>
      </c>
      <c r="O209" s="25">
        <f>IFERROR(IF(INDEX('CFOG'!$L$23:$L$23,MATCH($F209,'CFOG'!$B$23:$B$23,0))="","Cell will autofill based on response",INDEX('CFOG'!$L$23:$L$23,MATCH($F209,'CFOG'!$B$23:$B$23,0))),"N/A")</f>
        <v/>
      </c>
      <c r="P209" s="25">
        <f>IFERROR(IF(INDEX('ESG'!$L$10:$L$16,MATCH($F209,'ESG'!$B$10:$B$16,0))="","Cell will autofill based on response",INDEX('ESG'!$L$10:$L$16,MATCH($F209,'ESG'!$B$10:$B$16,0))),"N/A")</f>
        <v/>
      </c>
      <c r="Q209" s="25">
        <f>IFERROR(IF(INDEX('CIOG'!$L$10:$L$13,MATCH($F209,'CIOG'!$B$10:$B$13,0))="","Cell will autofill based on response",INDEX('CIOG'!$L$10:$L$13,MATCH($F209,'CIOG'!$B$10:$B$13,0))),"N/A")</f>
        <v/>
      </c>
      <c r="R209" s="25">
        <f>IFERROR(IF(INDEX('MRE'!$L$10:$L$11,MATCH($F209,'MRE'!$B$10:$B$11,0))="","Cell will autofill based on response",INDEX('MRE'!$L$10:$L$11,MATCH($F209,'MRE'!$B$10:$B$11,0))),"N/A")</f>
        <v/>
      </c>
      <c r="T209" s="26">
        <f>COUNTIF($H209:$R209,"Cell will autofill based on response")</f>
        <v/>
      </c>
      <c r="U209" s="26">
        <f>COUNTIF($H209:$R209,"Not yet started")</f>
        <v/>
      </c>
      <c r="V209" s="26">
        <f>COUNTIF($H209:$R209,"Not met")</f>
        <v/>
      </c>
      <c r="W209" s="26">
        <f>COUNTIF($H209:$R209,"Partially met")</f>
        <v/>
      </c>
      <c r="X209" s="26">
        <f>COUNTIF($H209:$R209,"Met or exceeded")</f>
        <v/>
      </c>
      <c r="Y209" s="26">
        <f>3*X209+2*W209+V209</f>
        <v/>
      </c>
      <c r="Z209" s="26">
        <f>X209+W209+V209+U209</f>
        <v/>
      </c>
      <c r="AA209" s="27">
        <f>IF(Z209&gt;0,Y209/Z209,"No valid responses to date")</f>
        <v/>
      </c>
      <c r="AB209" s="26">
        <f>IF(ISNUMBER(AA209),INDEX(Lists!$G$2:$G$5,MATCH(ROUND(AA209,0),Lists!$H$2:$H$5,0)),"")</f>
        <v/>
      </c>
      <c r="AC209" s="28">
        <f>IF(Z209&gt;0,X209/Z209,"")</f>
        <v/>
      </c>
      <c r="AD209" s="28">
        <f>IF(Z209&gt;0,(X209+W209)/Z209,"")</f>
        <v/>
      </c>
      <c r="AE209" s="26">
        <f>IF(Z209=0,"",IF(AC209&gt;0.75,"Met or exceeded",IF(AD209&gt;=0.5,"Partially met","Not met")))</f>
        <v/>
      </c>
    </row>
    <row r="210">
      <c r="A210">
        <f>F210&amp;"|"&amp;G210</f>
        <v/>
      </c>
      <c r="B210" s="29" t="inlineStr"/>
      <c r="C210" s="8" t="inlineStr"/>
      <c r="D210" s="8" t="inlineStr"/>
      <c r="E210" s="8" t="inlineStr"/>
      <c r="F210" s="8" t="inlineStr">
        <is>
          <t>EI1(b)</t>
        </is>
      </c>
      <c r="G210" s="8" t="inlineStr">
        <is>
          <t>OPTION 1:  Target-level reporting</t>
        </is>
      </c>
      <c r="H210" s="25">
        <f>IFERROR(IF(INDEX('Faculties'!$M$10:$M$29,MATCH($F210,'Faculties'!$B$10:$B$29,0))="","Cell will autofill based on response",INDEX('Faculties'!$M$10:$M$29,MATCH($F210,'Faculties'!$B$10:$B$29,0))),"N/A")</f>
        <v/>
      </c>
      <c r="I210" s="25">
        <f>IFERROR(IF(INDEX('Faculties'!$M$37:$M$56,MATCH($F210,'Faculties'!$B$37:$B$56,0))="","Cell will autofill based on response",INDEX('Faculties'!$M$37:$M$56,MATCH($F210,'Faculties'!$B$37:$B$56,0))),"N/A")</f>
        <v/>
      </c>
      <c r="J210" s="25">
        <f>IFERROR(IF(INDEX('Faculties'!$M$64:$M$83,MATCH($F210,'Faculties'!$B$64:$B$83,0))="","Cell will autofill based on response",INDEX('Faculties'!$M$64:$M$83,MATCH($F210,'Faculties'!$B$64:$B$83,0))),"N/A")</f>
        <v/>
      </c>
      <c r="K210" s="25">
        <f>IFERROR(IF(INDEX('Faculties'!$M$91:$M$110,MATCH($F210,'Faculties'!$B$91:$B$110,0))="","Cell will autofill based on response",INDEX('Faculties'!$M$91:$M$110,MATCH($F210,'Faculties'!$B$91:$B$110,0))),"N/A")</f>
        <v/>
      </c>
      <c r="L210" s="25">
        <f>IFERROR(IF(INDEX('CI&amp;S'!$M$10:$M$14,MATCH($F210,'CI&amp;S'!$B$10:$B$14,0))="","Cell will autofill based on response",INDEX('CI&amp;S'!$M$10:$M$14,MATCH($F210,'CI&amp;S'!$B$10:$B$14,0))),"N/A")</f>
        <v/>
      </c>
      <c r="M210" s="25">
        <f>IFERROR(IF(INDEX('CI&amp;S'!$M$22:$M$38,MATCH($F210,'CI&amp;S'!$B$22:$B$38,0))="","Cell will autofill based on response",INDEX('CI&amp;S'!$M$22:$M$38,MATCH($F210,'CI&amp;S'!$B$22:$B$38,0))),"N/A")</f>
        <v/>
      </c>
      <c r="N210" s="25">
        <f>IFERROR(IF(INDEX('CFOG'!$M$10:$M$15,MATCH($F210,'CFOG'!$B$10:$B$15,0))="","Cell will autofill based on response",INDEX('CFOG'!$M$10:$M$15,MATCH($F210,'CFOG'!$B$10:$B$15,0))),"N/A")</f>
        <v/>
      </c>
      <c r="O210" s="25">
        <f>IFERROR(IF(INDEX('CFOG'!$M$23:$M$23,MATCH($F210,'CFOG'!$B$23:$B$23,0))="","Cell will autofill based on response",INDEX('CFOG'!$M$23:$M$23,MATCH($F210,'CFOG'!$B$23:$B$23,0))),"N/A")</f>
        <v/>
      </c>
      <c r="P210" s="25">
        <f>IFERROR(IF(INDEX('ESG'!$M$10:$M$16,MATCH($F210,'ESG'!$B$10:$B$16,0))="","Cell will autofill based on response",INDEX('ESG'!$M$10:$M$16,MATCH($F210,'ESG'!$B$10:$B$16,0))),"N/A")</f>
        <v/>
      </c>
      <c r="Q210" s="25">
        <f>IFERROR(IF(INDEX('CIOG'!$M$10:$M$13,MATCH($F210,'CIOG'!$B$10:$B$13,0))="","Cell will autofill based on response",INDEX('CIOG'!$M$10:$M$13,MATCH($F210,'CIOG'!$B$10:$B$13,0))),"N/A")</f>
        <v/>
      </c>
      <c r="R210" s="25">
        <f>IFERROR(IF(INDEX('MRE'!$M$10:$M$11,MATCH($F210,'MRE'!$B$10:$B$11,0))="","Cell will autofill based on response",INDEX('MRE'!$M$10:$M$11,MATCH($F210,'MRE'!$B$10:$B$11,0))),"N/A")</f>
        <v/>
      </c>
    </row>
    <row r="211">
      <c r="A211">
        <f>F211&amp;"|"&amp;G211</f>
        <v/>
      </c>
      <c r="B211" s="29" t="inlineStr"/>
      <c r="C211" s="8" t="inlineStr"/>
      <c r="D211" s="8" t="inlineStr"/>
      <c r="E211" s="8" t="inlineStr"/>
      <c r="F211" s="8" t="inlineStr">
        <is>
          <t>EI1(b)</t>
        </is>
      </c>
      <c r="G211" s="8" t="inlineStr">
        <is>
          <t>OPTION 2:  Indicator level reporting</t>
        </is>
      </c>
      <c r="H211" s="25">
        <f>IFERROR(IF(INDEX('Faculties'!$N$10:$N$29,MATCH($F211,'Faculties'!$B$10:$B$29,0))="","Cell will autofill based on response",INDEX('Faculties'!$N$10:$N$29,MATCH($F211,'Faculties'!$B$10:$B$29,0))),"N/A")</f>
        <v/>
      </c>
      <c r="I211" s="25">
        <f>IFERROR(IF(INDEX('Faculties'!$N$37:$N$56,MATCH($F211,'Faculties'!$B$37:$B$56,0))="","Cell will autofill based on response",INDEX('Faculties'!$N$37:$N$56,MATCH($F211,'Faculties'!$B$37:$B$56,0))),"N/A")</f>
        <v/>
      </c>
      <c r="J211" s="25">
        <f>IFERROR(IF(INDEX('Faculties'!$N$64:$N$83,MATCH($F211,'Faculties'!$B$64:$B$83,0))="","Cell will autofill based on response",INDEX('Faculties'!$N$64:$N$83,MATCH($F211,'Faculties'!$B$64:$B$83,0))),"N/A")</f>
        <v/>
      </c>
      <c r="K211" s="25">
        <f>IFERROR(IF(INDEX('Faculties'!$N$91:$N$110,MATCH($F211,'Faculties'!$B$91:$B$110,0))="","Cell will autofill based on response",INDEX('Faculties'!$N$91:$N$110,MATCH($F211,'Faculties'!$B$91:$B$110,0))),"N/A")</f>
        <v/>
      </c>
      <c r="L211" s="25">
        <f>IFERROR(IF(INDEX('CI&amp;S'!$N$10:$N$14,MATCH($F211,'CI&amp;S'!$B$10:$B$14,0))="","Cell will autofill based on response",INDEX('CI&amp;S'!$N$10:$N$14,MATCH($F211,'CI&amp;S'!$B$10:$B$14,0))),"N/A")</f>
        <v/>
      </c>
      <c r="M211" s="25">
        <f>IFERROR(IF(INDEX('CI&amp;S'!$N$22:$N$38,MATCH($F211,'CI&amp;S'!$B$22:$B$38,0))="","Cell will autofill based on response",INDEX('CI&amp;S'!$N$22:$N$38,MATCH($F211,'CI&amp;S'!$B$22:$B$38,0))),"N/A")</f>
        <v/>
      </c>
      <c r="N211" s="25">
        <f>IFERROR(IF(INDEX('CFOG'!$N$10:$N$15,MATCH($F211,'CFOG'!$B$10:$B$15,0))="","Cell will autofill based on response",INDEX('CFOG'!$N$10:$N$15,MATCH($F211,'CFOG'!$B$10:$B$15,0))),"N/A")</f>
        <v/>
      </c>
      <c r="O211" s="25">
        <f>IFERROR(IF(INDEX('CFOG'!$N$23:$N$23,MATCH($F211,'CFOG'!$B$23:$B$23,0))="","Cell will autofill based on response",INDEX('CFOG'!$N$23:$N$23,MATCH($F211,'CFOG'!$B$23:$B$23,0))),"N/A")</f>
        <v/>
      </c>
      <c r="P211" s="25">
        <f>IFERROR(IF(INDEX('ESG'!$N$10:$N$16,MATCH($F211,'ESG'!$B$10:$B$16,0))="","Cell will autofill based on response",INDEX('ESG'!$N$10:$N$16,MATCH($F211,'ESG'!$B$10:$B$16,0))),"N/A")</f>
        <v/>
      </c>
      <c r="Q211" s="25">
        <f>IFERROR(IF(INDEX('CIOG'!$N$10:$N$13,MATCH($F211,'CIOG'!$B$10:$B$13,0))="","Cell will autofill based on response",INDEX('CIOG'!$N$10:$N$13,MATCH($F211,'CIOG'!$B$10:$B$13,0))),"N/A")</f>
        <v/>
      </c>
      <c r="R211" s="25">
        <f>IFERROR(IF(INDEX('MRE'!$N$10:$N$11,MATCH($F211,'MRE'!$B$10:$B$11,0))="","Cell will autofill based on response",INDEX('MRE'!$N$10:$N$11,MATCH($F211,'MRE'!$B$10:$B$11,0))),"N/A")</f>
        <v/>
      </c>
    </row>
    <row r="212">
      <c r="A212">
        <f>F212&amp;"|"&amp;G212</f>
        <v/>
      </c>
      <c r="B212" s="29" t="inlineStr"/>
      <c r="C212" s="8" t="inlineStr"/>
      <c r="D212" s="8" t="inlineStr"/>
      <c r="E212" s="8" t="inlineStr"/>
      <c r="F212" s="8" t="inlineStr">
        <is>
          <t>EI1(b)</t>
        </is>
      </c>
      <c r="G212" s="8" t="inlineStr">
        <is>
          <t>Supporting information/comments</t>
        </is>
      </c>
      <c r="H212" s="25">
        <f>IFERROR(IF(INDEX('Faculties'!$O$10:$O$29,MATCH($F212,'Faculties'!$B$10:$B$29,0))="","Cell will autofill based on response",INDEX('Faculties'!$O$10:$O$29,MATCH($F212,'Faculties'!$B$10:$B$29,0))),"N/A")</f>
        <v/>
      </c>
      <c r="I212" s="25">
        <f>IFERROR(IF(INDEX('Faculties'!$O$37:$O$56,MATCH($F212,'Faculties'!$B$37:$B$56,0))="","Cell will autofill based on response",INDEX('Faculties'!$O$37:$O$56,MATCH($F212,'Faculties'!$B$37:$B$56,0))),"N/A")</f>
        <v/>
      </c>
      <c r="J212" s="25">
        <f>IFERROR(IF(INDEX('Faculties'!$O$64:$O$83,MATCH($F212,'Faculties'!$B$64:$B$83,0))="","Cell will autofill based on response",INDEX('Faculties'!$O$64:$O$83,MATCH($F212,'Faculties'!$B$64:$B$83,0))),"N/A")</f>
        <v/>
      </c>
      <c r="K212" s="25">
        <f>IFERROR(IF(INDEX('Faculties'!$O$91:$O$110,MATCH($F212,'Faculties'!$B$91:$B$110,0))="","Cell will autofill based on response",INDEX('Faculties'!$O$91:$O$110,MATCH($F212,'Faculties'!$B$91:$B$110,0))),"N/A")</f>
        <v/>
      </c>
      <c r="L212" s="25">
        <f>IFERROR(IF(INDEX('CI&amp;S'!$O$10:$O$14,MATCH($F212,'CI&amp;S'!$B$10:$B$14,0))="","Cell will autofill based on response",INDEX('CI&amp;S'!$O$10:$O$14,MATCH($F212,'CI&amp;S'!$B$10:$B$14,0))),"N/A")</f>
        <v/>
      </c>
      <c r="M212" s="25">
        <f>IFERROR(IF(INDEX('CI&amp;S'!$O$22:$O$38,MATCH($F212,'CI&amp;S'!$B$22:$B$38,0))="","Cell will autofill based on response",INDEX('CI&amp;S'!$O$22:$O$38,MATCH($F212,'CI&amp;S'!$B$22:$B$38,0))),"N/A")</f>
        <v/>
      </c>
      <c r="N212" s="25">
        <f>IFERROR(IF(INDEX('CFOG'!$O$10:$O$15,MATCH($F212,'CFOG'!$B$10:$B$15,0))="","Cell will autofill based on response",INDEX('CFOG'!$O$10:$O$15,MATCH($F212,'CFOG'!$B$10:$B$15,0))),"N/A")</f>
        <v/>
      </c>
      <c r="O212" s="25">
        <f>IFERROR(IF(INDEX('CFOG'!$O$23:$O$23,MATCH($F212,'CFOG'!$B$23:$B$23,0))="","Cell will autofill based on response",INDEX('CFOG'!$O$23:$O$23,MATCH($F212,'CFOG'!$B$23:$B$23,0))),"N/A")</f>
        <v/>
      </c>
      <c r="P212" s="25">
        <f>IFERROR(IF(INDEX('ESG'!$O$10:$O$16,MATCH($F212,'ESG'!$B$10:$B$16,0))="","Cell will autofill based on response",INDEX('ESG'!$O$10:$O$16,MATCH($F212,'ESG'!$B$10:$B$16,0))),"N/A")</f>
        <v/>
      </c>
      <c r="Q212" s="25">
        <f>IFERROR(IF(INDEX('CIOG'!$O$10:$O$13,MATCH($F212,'CIOG'!$B$10:$B$13,0))="","Cell will autofill based on response",INDEX('CIOG'!$O$10:$O$13,MATCH($F212,'CIOG'!$B$10:$B$13,0))),"N/A")</f>
        <v/>
      </c>
      <c r="R212" s="25">
        <f>IFERROR(IF(INDEX('MRE'!$O$10:$O$11,MATCH($F212,'MRE'!$B$10:$B$11,0))="","Cell will autofill based on response",INDEX('MRE'!$O$10:$O$11,MATCH($F212,'MRE'!$B$10:$B$11,0))),"N/A")</f>
        <v/>
      </c>
    </row>
    <row r="213">
      <c r="A213">
        <f>F213&amp;"|"&amp;G213</f>
        <v/>
      </c>
      <c r="B213" s="29" t="inlineStr"/>
      <c r="C213" s="8" t="inlineStr"/>
      <c r="D213" s="8" t="inlineStr"/>
      <c r="E213" s="8" t="inlineStr"/>
      <c r="F213" s="8" t="inlineStr">
        <is>
          <t>EI1(b)</t>
        </is>
      </c>
      <c r="G213" s="8" t="inlineStr">
        <is>
          <t>Data source and limitations</t>
        </is>
      </c>
      <c r="H213" s="25">
        <f>IFERROR(IF(INDEX('Faculties'!$P$10:$P$29,MATCH($F213,'Faculties'!$B$10:$B$29,0))="","Cell will autofill based on response",INDEX('Faculties'!$P$10:$P$29,MATCH($F213,'Faculties'!$B$10:$B$29,0))),"N/A")</f>
        <v/>
      </c>
      <c r="I213" s="25">
        <f>IFERROR(IF(INDEX('Faculties'!$P$37:$P$56,MATCH($F213,'Faculties'!$B$37:$B$56,0))="","Cell will autofill based on response",INDEX('Faculties'!$P$37:$P$56,MATCH($F213,'Faculties'!$B$37:$B$56,0))),"N/A")</f>
        <v/>
      </c>
      <c r="J213" s="25">
        <f>IFERROR(IF(INDEX('Faculties'!$P$64:$P$83,MATCH($F213,'Faculties'!$B$64:$B$83,0))="","Cell will autofill based on response",INDEX('Faculties'!$P$64:$P$83,MATCH($F213,'Faculties'!$B$64:$B$83,0))),"N/A")</f>
        <v/>
      </c>
      <c r="K213" s="25">
        <f>IFERROR(IF(INDEX('Faculties'!$P$91:$P$110,MATCH($F213,'Faculties'!$B$91:$B$110,0))="","Cell will autofill based on response",INDEX('Faculties'!$P$91:$P$110,MATCH($F213,'Faculties'!$B$91:$B$110,0))),"N/A")</f>
        <v/>
      </c>
      <c r="L213" s="25">
        <f>IFERROR(IF(INDEX('CI&amp;S'!$P$10:$P$14,MATCH($F213,'CI&amp;S'!$B$10:$B$14,0))="","Cell will autofill based on response",INDEX('CI&amp;S'!$P$10:$P$14,MATCH($F213,'CI&amp;S'!$B$10:$B$14,0))),"N/A")</f>
        <v/>
      </c>
      <c r="M213" s="25">
        <f>IFERROR(IF(INDEX('CI&amp;S'!$P$22:$P$38,MATCH($F213,'CI&amp;S'!$B$22:$B$38,0))="","Cell will autofill based on response",INDEX('CI&amp;S'!$P$22:$P$38,MATCH($F213,'CI&amp;S'!$B$22:$B$38,0))),"N/A")</f>
        <v/>
      </c>
      <c r="N213" s="25">
        <f>IFERROR(IF(INDEX('CFOG'!$P$10:$P$15,MATCH($F213,'CFOG'!$B$10:$B$15,0))="","Cell will autofill based on response",INDEX('CFOG'!$P$10:$P$15,MATCH($F213,'CFOG'!$B$10:$B$15,0))),"N/A")</f>
        <v/>
      </c>
      <c r="O213" s="25">
        <f>IFERROR(IF(INDEX('CFOG'!$P$23:$P$23,MATCH($F213,'CFOG'!$B$23:$B$23,0))="","Cell will autofill based on response",INDEX('CFOG'!$P$23:$P$23,MATCH($F213,'CFOG'!$B$23:$B$23,0))),"N/A")</f>
        <v/>
      </c>
      <c r="P213" s="25">
        <f>IFERROR(IF(INDEX('ESG'!$P$10:$P$16,MATCH($F213,'ESG'!$B$10:$B$16,0))="","Cell will autofill based on response",INDEX('ESG'!$P$10:$P$16,MATCH($F213,'ESG'!$B$10:$B$16,0))),"N/A")</f>
        <v/>
      </c>
      <c r="Q213" s="25">
        <f>IFERROR(IF(INDEX('CIOG'!$P$10:$P$13,MATCH($F213,'CIOG'!$B$10:$B$13,0))="","Cell will autofill based on response",INDEX('CIOG'!$P$10:$P$13,MATCH($F213,'CIOG'!$B$10:$B$13,0))),"N/A")</f>
        <v/>
      </c>
      <c r="R213" s="25">
        <f>IFERROR(IF(INDEX('MRE'!$P$10:$P$11,MATCH($F213,'MRE'!$B$10:$B$11,0))="","Cell will autofill based on response",INDEX('MRE'!$P$10:$P$11,MATCH($F213,'MRE'!$B$10:$B$11,0))),"N/A")</f>
        <v/>
      </c>
    </row>
    <row r="214">
      <c r="A214">
        <f>F214&amp;"|"&amp;G214</f>
        <v/>
      </c>
      <c r="B214" s="29" t="inlineStr"/>
      <c r="C214" s="8" t="inlineStr"/>
      <c r="D214" s="8" t="inlineStr"/>
      <c r="E214" s="8" t="inlineStr"/>
      <c r="F214" s="8" t="inlineStr">
        <is>
          <t>EI1(b)</t>
        </is>
      </c>
      <c r="G214" s="8" t="inlineStr">
        <is>
          <t>Data owner confirms</t>
        </is>
      </c>
      <c r="H214" s="25">
        <f>IFERROR(IF(INDEX('Faculties'!$Q$10:$Q$29,MATCH($F214,'Faculties'!$B$10:$B$29,0))="","Cell will autofill based on response",INDEX('Faculties'!$Q$10:$Q$29,MATCH($F214,'Faculties'!$B$10:$B$29,0))),"N/A")</f>
        <v/>
      </c>
      <c r="I214" s="25">
        <f>IFERROR(IF(INDEX('Faculties'!$Q$37:$Q$56,MATCH($F214,'Faculties'!$B$37:$B$56,0))="","Cell will autofill based on response",INDEX('Faculties'!$Q$37:$Q$56,MATCH($F214,'Faculties'!$B$37:$B$56,0))),"N/A")</f>
        <v/>
      </c>
      <c r="J214" s="25">
        <f>IFERROR(IF(INDEX('Faculties'!$Q$64:$Q$83,MATCH($F214,'Faculties'!$B$64:$B$83,0))="","Cell will autofill based on response",INDEX('Faculties'!$Q$64:$Q$83,MATCH($F214,'Faculties'!$B$64:$B$83,0))),"N/A")</f>
        <v/>
      </c>
      <c r="K214" s="25">
        <f>IFERROR(IF(INDEX('Faculties'!$Q$91:$Q$110,MATCH($F214,'Faculties'!$B$91:$B$110,0))="","Cell will autofill based on response",INDEX('Faculties'!$Q$91:$Q$110,MATCH($F214,'Faculties'!$B$91:$B$110,0))),"N/A")</f>
        <v/>
      </c>
      <c r="L214" s="25">
        <f>IFERROR(IF(INDEX('CI&amp;S'!$Q$10:$Q$14,MATCH($F214,'CI&amp;S'!$B$10:$B$14,0))="","Cell will autofill based on response",INDEX('CI&amp;S'!$Q$10:$Q$14,MATCH($F214,'CI&amp;S'!$B$10:$B$14,0))),"N/A")</f>
        <v/>
      </c>
      <c r="M214" s="25">
        <f>IFERROR(IF(INDEX('CI&amp;S'!$Q$22:$Q$38,MATCH($F214,'CI&amp;S'!$B$22:$B$38,0))="","Cell will autofill based on response",INDEX('CI&amp;S'!$Q$22:$Q$38,MATCH($F214,'CI&amp;S'!$B$22:$B$38,0))),"N/A")</f>
        <v/>
      </c>
      <c r="N214" s="25">
        <f>IFERROR(IF(INDEX('CFOG'!$Q$10:$Q$15,MATCH($F214,'CFOG'!$B$10:$B$15,0))="","Cell will autofill based on response",INDEX('CFOG'!$Q$10:$Q$15,MATCH($F214,'CFOG'!$B$10:$B$15,0))),"N/A")</f>
        <v/>
      </c>
      <c r="O214" s="25">
        <f>IFERROR(IF(INDEX('CFOG'!$Q$23:$Q$23,MATCH($F214,'CFOG'!$B$23:$B$23,0))="","Cell will autofill based on response",INDEX('CFOG'!$Q$23:$Q$23,MATCH($F214,'CFOG'!$B$23:$B$23,0))),"N/A")</f>
        <v/>
      </c>
      <c r="P214" s="25">
        <f>IFERROR(IF(INDEX('ESG'!$Q$10:$Q$16,MATCH($F214,'ESG'!$B$10:$B$16,0))="","Cell will autofill based on response",INDEX('ESG'!$Q$10:$Q$16,MATCH($F214,'ESG'!$B$10:$B$16,0))),"N/A")</f>
        <v/>
      </c>
      <c r="Q214" s="25">
        <f>IFERROR(IF(INDEX('CIOG'!$Q$10:$Q$13,MATCH($F214,'CIOG'!$B$10:$B$13,0))="","Cell will autofill based on response",INDEX('CIOG'!$Q$10:$Q$13,MATCH($F214,'CIOG'!$B$10:$B$13,0))),"N/A")</f>
        <v/>
      </c>
      <c r="R214" s="25">
        <f>IFERROR(IF(INDEX('MRE'!$Q$10:$Q$11,MATCH($F214,'MRE'!$B$10:$B$11,0))="","Cell will autofill based on response",INDEX('MRE'!$Q$10:$Q$11,MATCH($F214,'MRE'!$B$10:$B$11,0))),"N/A")</f>
        <v/>
      </c>
    </row>
    <row r="215">
      <c r="A215">
        <f>F215&amp;"|"&amp;G215</f>
        <v/>
      </c>
      <c r="B215" s="7" t="inlineStr">
        <is>
          <t>EI1(c)</t>
        </is>
      </c>
      <c r="C215" s="12" t="inlineStr">
        <is>
          <t>Estate and infrastructure</t>
        </is>
      </c>
      <c r="D215" s="12" t="inlineStr">
        <is>
          <t>Reporting on relevant activities and impacts for the University’s major estate and infrastructure projects and programs aligned with the other priority areas in Sustainability 2030</t>
        </is>
      </c>
      <c r="E215"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215" s="12" t="inlineStr">
        <is>
          <t>EI1(c)</t>
        </is>
      </c>
      <c r="G215" s="12" t="inlineStr">
        <is>
          <t>Confirm end-2026 target status</t>
        </is>
      </c>
      <c r="H215" s="25">
        <f>IFERROR(IF(INDEX('Faculties'!$L$10:$L$29,MATCH($F215,'Faculties'!$B$10:$B$29,0))="","Cell will autofill based on response",INDEX('Faculties'!$L$10:$L$29,MATCH($F215,'Faculties'!$B$10:$B$29,0))),"N/A")</f>
        <v/>
      </c>
      <c r="I215" s="25">
        <f>IFERROR(IF(INDEX('Faculties'!$L$37:$L$56,MATCH($F215,'Faculties'!$B$37:$B$56,0))="","Cell will autofill based on response",INDEX('Faculties'!$L$37:$L$56,MATCH($F215,'Faculties'!$B$37:$B$56,0))),"N/A")</f>
        <v/>
      </c>
      <c r="J215" s="25">
        <f>IFERROR(IF(INDEX('Faculties'!$L$64:$L$83,MATCH($F215,'Faculties'!$B$64:$B$83,0))="","Cell will autofill based on response",INDEX('Faculties'!$L$64:$L$83,MATCH($F215,'Faculties'!$B$64:$B$83,0))),"N/A")</f>
        <v/>
      </c>
      <c r="K215" s="25">
        <f>IFERROR(IF(INDEX('Faculties'!$L$91:$L$110,MATCH($F215,'Faculties'!$B$91:$B$110,0))="","Cell will autofill based on response",INDEX('Faculties'!$L$91:$L$110,MATCH($F215,'Faculties'!$B$91:$B$110,0))),"N/A")</f>
        <v/>
      </c>
      <c r="L215" s="25">
        <f>IFERROR(IF(INDEX('CI&amp;S'!$L$10:$L$14,MATCH($F215,'CI&amp;S'!$B$10:$B$14,0))="","Cell will autofill based on response",INDEX('CI&amp;S'!$L$10:$L$14,MATCH($F215,'CI&amp;S'!$B$10:$B$14,0))),"N/A")</f>
        <v/>
      </c>
      <c r="M215" s="25">
        <f>IFERROR(IF(INDEX('CI&amp;S'!$L$22:$L$38,MATCH($F215,'CI&amp;S'!$B$22:$B$38,0))="","Cell will autofill based on response",INDEX('CI&amp;S'!$L$22:$L$38,MATCH($F215,'CI&amp;S'!$B$22:$B$38,0))),"N/A")</f>
        <v/>
      </c>
      <c r="N215" s="25">
        <f>IFERROR(IF(INDEX('CFOG'!$L$10:$L$15,MATCH($F215,'CFOG'!$B$10:$B$15,0))="","Cell will autofill based on response",INDEX('CFOG'!$L$10:$L$15,MATCH($F215,'CFOG'!$B$10:$B$15,0))),"N/A")</f>
        <v/>
      </c>
      <c r="O215" s="25">
        <f>IFERROR(IF(INDEX('CFOG'!$L$23:$L$23,MATCH($F215,'CFOG'!$B$23:$B$23,0))="","Cell will autofill based on response",INDEX('CFOG'!$L$23:$L$23,MATCH($F215,'CFOG'!$B$23:$B$23,0))),"N/A")</f>
        <v/>
      </c>
      <c r="P215" s="25">
        <f>IFERROR(IF(INDEX('ESG'!$L$10:$L$16,MATCH($F215,'ESG'!$B$10:$B$16,0))="","Cell will autofill based on response",INDEX('ESG'!$L$10:$L$16,MATCH($F215,'ESG'!$B$10:$B$16,0))),"N/A")</f>
        <v/>
      </c>
      <c r="Q215" s="25">
        <f>IFERROR(IF(INDEX('CIOG'!$L$10:$L$13,MATCH($F215,'CIOG'!$B$10:$B$13,0))="","Cell will autofill based on response",INDEX('CIOG'!$L$10:$L$13,MATCH($F215,'CIOG'!$B$10:$B$13,0))),"N/A")</f>
        <v/>
      </c>
      <c r="R215" s="25">
        <f>IFERROR(IF(INDEX('MRE'!$L$10:$L$11,MATCH($F215,'MRE'!$B$10:$B$11,0))="","Cell will autofill based on response",INDEX('MRE'!$L$10:$L$11,MATCH($F215,'MRE'!$B$10:$B$11,0))),"N/A")</f>
        <v/>
      </c>
      <c r="T215" s="26">
        <f>COUNTIF($H215:$R215,"Cell will autofill based on response")</f>
        <v/>
      </c>
      <c r="U215" s="26">
        <f>COUNTIF($H215:$R215,"Not yet started")</f>
        <v/>
      </c>
      <c r="V215" s="26">
        <f>COUNTIF($H215:$R215,"Not met")</f>
        <v/>
      </c>
      <c r="W215" s="26">
        <f>COUNTIF($H215:$R215,"Partially met")</f>
        <v/>
      </c>
      <c r="X215" s="26">
        <f>COUNTIF($H215:$R215,"Met or exceeded")</f>
        <v/>
      </c>
      <c r="Y215" s="26">
        <f>3*X215+2*W215+V215</f>
        <v/>
      </c>
      <c r="Z215" s="26">
        <f>X215+W215+V215+U215</f>
        <v/>
      </c>
      <c r="AA215" s="27">
        <f>IF(Z215&gt;0,Y215/Z215,"No valid responses to date")</f>
        <v/>
      </c>
      <c r="AB215" s="26">
        <f>IF(ISNUMBER(AA215),INDEX(Lists!$G$2:$G$5,MATCH(ROUND(AA215,0),Lists!$H$2:$H$5,0)),"")</f>
        <v/>
      </c>
      <c r="AC215" s="28">
        <f>IF(Z215&gt;0,X215/Z215,"")</f>
        <v/>
      </c>
      <c r="AD215" s="28">
        <f>IF(Z215&gt;0,(X215+W215)/Z215,"")</f>
        <v/>
      </c>
      <c r="AE215" s="26">
        <f>IF(Z215=0,"",IF(AC215&gt;0.75,"Met or exceeded",IF(AD215&gt;=0.5,"Partially met","Not met")))</f>
        <v/>
      </c>
    </row>
    <row r="216">
      <c r="A216">
        <f>F216&amp;"|"&amp;G216</f>
        <v/>
      </c>
      <c r="B216" s="29" t="inlineStr"/>
      <c r="C216" s="8" t="inlineStr"/>
      <c r="D216" s="8" t="inlineStr"/>
      <c r="E216" s="8" t="inlineStr"/>
      <c r="F216" s="8" t="inlineStr">
        <is>
          <t>EI1(c)</t>
        </is>
      </c>
      <c r="G216" s="8" t="inlineStr">
        <is>
          <t>OPTION 1:  Target-level reporting</t>
        </is>
      </c>
      <c r="H216" s="25">
        <f>IFERROR(IF(INDEX('Faculties'!$M$10:$M$29,MATCH($F216,'Faculties'!$B$10:$B$29,0))="","Cell will autofill based on response",INDEX('Faculties'!$M$10:$M$29,MATCH($F216,'Faculties'!$B$10:$B$29,0))),"N/A")</f>
        <v/>
      </c>
      <c r="I216" s="25">
        <f>IFERROR(IF(INDEX('Faculties'!$M$37:$M$56,MATCH($F216,'Faculties'!$B$37:$B$56,0))="","Cell will autofill based on response",INDEX('Faculties'!$M$37:$M$56,MATCH($F216,'Faculties'!$B$37:$B$56,0))),"N/A")</f>
        <v/>
      </c>
      <c r="J216" s="25">
        <f>IFERROR(IF(INDEX('Faculties'!$M$64:$M$83,MATCH($F216,'Faculties'!$B$64:$B$83,0))="","Cell will autofill based on response",INDEX('Faculties'!$M$64:$M$83,MATCH($F216,'Faculties'!$B$64:$B$83,0))),"N/A")</f>
        <v/>
      </c>
      <c r="K216" s="25">
        <f>IFERROR(IF(INDEX('Faculties'!$M$91:$M$110,MATCH($F216,'Faculties'!$B$91:$B$110,0))="","Cell will autofill based on response",INDEX('Faculties'!$M$91:$M$110,MATCH($F216,'Faculties'!$B$91:$B$110,0))),"N/A")</f>
        <v/>
      </c>
      <c r="L216" s="25">
        <f>IFERROR(IF(INDEX('CI&amp;S'!$M$10:$M$14,MATCH($F216,'CI&amp;S'!$B$10:$B$14,0))="","Cell will autofill based on response",INDEX('CI&amp;S'!$M$10:$M$14,MATCH($F216,'CI&amp;S'!$B$10:$B$14,0))),"N/A")</f>
        <v/>
      </c>
      <c r="M216" s="25">
        <f>IFERROR(IF(INDEX('CI&amp;S'!$M$22:$M$38,MATCH($F216,'CI&amp;S'!$B$22:$B$38,0))="","Cell will autofill based on response",INDEX('CI&amp;S'!$M$22:$M$38,MATCH($F216,'CI&amp;S'!$B$22:$B$38,0))),"N/A")</f>
        <v/>
      </c>
      <c r="N216" s="25">
        <f>IFERROR(IF(INDEX('CFOG'!$M$10:$M$15,MATCH($F216,'CFOG'!$B$10:$B$15,0))="","Cell will autofill based on response",INDEX('CFOG'!$M$10:$M$15,MATCH($F216,'CFOG'!$B$10:$B$15,0))),"N/A")</f>
        <v/>
      </c>
      <c r="O216" s="25">
        <f>IFERROR(IF(INDEX('CFOG'!$M$23:$M$23,MATCH($F216,'CFOG'!$B$23:$B$23,0))="","Cell will autofill based on response",INDEX('CFOG'!$M$23:$M$23,MATCH($F216,'CFOG'!$B$23:$B$23,0))),"N/A")</f>
        <v/>
      </c>
      <c r="P216" s="25">
        <f>IFERROR(IF(INDEX('ESG'!$M$10:$M$16,MATCH($F216,'ESG'!$B$10:$B$16,0))="","Cell will autofill based on response",INDEX('ESG'!$M$10:$M$16,MATCH($F216,'ESG'!$B$10:$B$16,0))),"N/A")</f>
        <v/>
      </c>
      <c r="Q216" s="25">
        <f>IFERROR(IF(INDEX('CIOG'!$M$10:$M$13,MATCH($F216,'CIOG'!$B$10:$B$13,0))="","Cell will autofill based on response",INDEX('CIOG'!$M$10:$M$13,MATCH($F216,'CIOG'!$B$10:$B$13,0))),"N/A")</f>
        <v/>
      </c>
      <c r="R216" s="25">
        <f>IFERROR(IF(INDEX('MRE'!$M$10:$M$11,MATCH($F216,'MRE'!$B$10:$B$11,0))="","Cell will autofill based on response",INDEX('MRE'!$M$10:$M$11,MATCH($F216,'MRE'!$B$10:$B$11,0))),"N/A")</f>
        <v/>
      </c>
    </row>
    <row r="217">
      <c r="A217">
        <f>F217&amp;"|"&amp;G217</f>
        <v/>
      </c>
      <c r="B217" s="29" t="inlineStr"/>
      <c r="C217" s="8" t="inlineStr"/>
      <c r="D217" s="8" t="inlineStr"/>
      <c r="E217" s="8" t="inlineStr"/>
      <c r="F217" s="8" t="inlineStr">
        <is>
          <t>EI1(c)</t>
        </is>
      </c>
      <c r="G217" s="8" t="inlineStr">
        <is>
          <t>OPTION 2:  Indicator level reporting</t>
        </is>
      </c>
      <c r="H217" s="25">
        <f>IFERROR(IF(INDEX('Faculties'!$N$10:$N$29,MATCH($F217,'Faculties'!$B$10:$B$29,0))="","Cell will autofill based on response",INDEX('Faculties'!$N$10:$N$29,MATCH($F217,'Faculties'!$B$10:$B$29,0))),"N/A")</f>
        <v/>
      </c>
      <c r="I217" s="25">
        <f>IFERROR(IF(INDEX('Faculties'!$N$37:$N$56,MATCH($F217,'Faculties'!$B$37:$B$56,0))="","Cell will autofill based on response",INDEX('Faculties'!$N$37:$N$56,MATCH($F217,'Faculties'!$B$37:$B$56,0))),"N/A")</f>
        <v/>
      </c>
      <c r="J217" s="25">
        <f>IFERROR(IF(INDEX('Faculties'!$N$64:$N$83,MATCH($F217,'Faculties'!$B$64:$B$83,0))="","Cell will autofill based on response",INDEX('Faculties'!$N$64:$N$83,MATCH($F217,'Faculties'!$B$64:$B$83,0))),"N/A")</f>
        <v/>
      </c>
      <c r="K217" s="25">
        <f>IFERROR(IF(INDEX('Faculties'!$N$91:$N$110,MATCH($F217,'Faculties'!$B$91:$B$110,0))="","Cell will autofill based on response",INDEX('Faculties'!$N$91:$N$110,MATCH($F217,'Faculties'!$B$91:$B$110,0))),"N/A")</f>
        <v/>
      </c>
      <c r="L217" s="25">
        <f>IFERROR(IF(INDEX('CI&amp;S'!$N$10:$N$14,MATCH($F217,'CI&amp;S'!$B$10:$B$14,0))="","Cell will autofill based on response",INDEX('CI&amp;S'!$N$10:$N$14,MATCH($F217,'CI&amp;S'!$B$10:$B$14,0))),"N/A")</f>
        <v/>
      </c>
      <c r="M217" s="25">
        <f>IFERROR(IF(INDEX('CI&amp;S'!$N$22:$N$38,MATCH($F217,'CI&amp;S'!$B$22:$B$38,0))="","Cell will autofill based on response",INDEX('CI&amp;S'!$N$22:$N$38,MATCH($F217,'CI&amp;S'!$B$22:$B$38,0))),"N/A")</f>
        <v/>
      </c>
      <c r="N217" s="25">
        <f>IFERROR(IF(INDEX('CFOG'!$N$10:$N$15,MATCH($F217,'CFOG'!$B$10:$B$15,0))="","Cell will autofill based on response",INDEX('CFOG'!$N$10:$N$15,MATCH($F217,'CFOG'!$B$10:$B$15,0))),"N/A")</f>
        <v/>
      </c>
      <c r="O217" s="25">
        <f>IFERROR(IF(INDEX('CFOG'!$N$23:$N$23,MATCH($F217,'CFOG'!$B$23:$B$23,0))="","Cell will autofill based on response",INDEX('CFOG'!$N$23:$N$23,MATCH($F217,'CFOG'!$B$23:$B$23,0))),"N/A")</f>
        <v/>
      </c>
      <c r="P217" s="25">
        <f>IFERROR(IF(INDEX('ESG'!$N$10:$N$16,MATCH($F217,'ESG'!$B$10:$B$16,0))="","Cell will autofill based on response",INDEX('ESG'!$N$10:$N$16,MATCH($F217,'ESG'!$B$10:$B$16,0))),"N/A")</f>
        <v/>
      </c>
      <c r="Q217" s="25">
        <f>IFERROR(IF(INDEX('CIOG'!$N$10:$N$13,MATCH($F217,'CIOG'!$B$10:$B$13,0))="","Cell will autofill based on response",INDEX('CIOG'!$N$10:$N$13,MATCH($F217,'CIOG'!$B$10:$B$13,0))),"N/A")</f>
        <v/>
      </c>
      <c r="R217" s="25">
        <f>IFERROR(IF(INDEX('MRE'!$N$10:$N$11,MATCH($F217,'MRE'!$B$10:$B$11,0))="","Cell will autofill based on response",INDEX('MRE'!$N$10:$N$11,MATCH($F217,'MRE'!$B$10:$B$11,0))),"N/A")</f>
        <v/>
      </c>
    </row>
    <row r="218">
      <c r="A218">
        <f>F218&amp;"|"&amp;G218</f>
        <v/>
      </c>
      <c r="B218" s="29" t="inlineStr"/>
      <c r="C218" s="8" t="inlineStr"/>
      <c r="D218" s="8" t="inlineStr"/>
      <c r="E218" s="8" t="inlineStr"/>
      <c r="F218" s="8" t="inlineStr">
        <is>
          <t>EI1(c)</t>
        </is>
      </c>
      <c r="G218" s="8" t="inlineStr">
        <is>
          <t>Supporting information/comments</t>
        </is>
      </c>
      <c r="H218" s="25">
        <f>IFERROR(IF(INDEX('Faculties'!$O$10:$O$29,MATCH($F218,'Faculties'!$B$10:$B$29,0))="","Cell will autofill based on response",INDEX('Faculties'!$O$10:$O$29,MATCH($F218,'Faculties'!$B$10:$B$29,0))),"N/A")</f>
        <v/>
      </c>
      <c r="I218" s="25">
        <f>IFERROR(IF(INDEX('Faculties'!$O$37:$O$56,MATCH($F218,'Faculties'!$B$37:$B$56,0))="","Cell will autofill based on response",INDEX('Faculties'!$O$37:$O$56,MATCH($F218,'Faculties'!$B$37:$B$56,0))),"N/A")</f>
        <v/>
      </c>
      <c r="J218" s="25">
        <f>IFERROR(IF(INDEX('Faculties'!$O$64:$O$83,MATCH($F218,'Faculties'!$B$64:$B$83,0))="","Cell will autofill based on response",INDEX('Faculties'!$O$64:$O$83,MATCH($F218,'Faculties'!$B$64:$B$83,0))),"N/A")</f>
        <v/>
      </c>
      <c r="K218" s="25">
        <f>IFERROR(IF(INDEX('Faculties'!$O$91:$O$110,MATCH($F218,'Faculties'!$B$91:$B$110,0))="","Cell will autofill based on response",INDEX('Faculties'!$O$91:$O$110,MATCH($F218,'Faculties'!$B$91:$B$110,0))),"N/A")</f>
        <v/>
      </c>
      <c r="L218" s="25">
        <f>IFERROR(IF(INDEX('CI&amp;S'!$O$10:$O$14,MATCH($F218,'CI&amp;S'!$B$10:$B$14,0))="","Cell will autofill based on response",INDEX('CI&amp;S'!$O$10:$O$14,MATCH($F218,'CI&amp;S'!$B$10:$B$14,0))),"N/A")</f>
        <v/>
      </c>
      <c r="M218" s="25">
        <f>IFERROR(IF(INDEX('CI&amp;S'!$O$22:$O$38,MATCH($F218,'CI&amp;S'!$B$22:$B$38,0))="","Cell will autofill based on response",INDEX('CI&amp;S'!$O$22:$O$38,MATCH($F218,'CI&amp;S'!$B$22:$B$38,0))),"N/A")</f>
        <v/>
      </c>
      <c r="N218" s="25">
        <f>IFERROR(IF(INDEX('CFOG'!$O$10:$O$15,MATCH($F218,'CFOG'!$B$10:$B$15,0))="","Cell will autofill based on response",INDEX('CFOG'!$O$10:$O$15,MATCH($F218,'CFOG'!$B$10:$B$15,0))),"N/A")</f>
        <v/>
      </c>
      <c r="O218" s="25">
        <f>IFERROR(IF(INDEX('CFOG'!$O$23:$O$23,MATCH($F218,'CFOG'!$B$23:$B$23,0))="","Cell will autofill based on response",INDEX('CFOG'!$O$23:$O$23,MATCH($F218,'CFOG'!$B$23:$B$23,0))),"N/A")</f>
        <v/>
      </c>
      <c r="P218" s="25">
        <f>IFERROR(IF(INDEX('ESG'!$O$10:$O$16,MATCH($F218,'ESG'!$B$10:$B$16,0))="","Cell will autofill based on response",INDEX('ESG'!$O$10:$O$16,MATCH($F218,'ESG'!$B$10:$B$16,0))),"N/A")</f>
        <v/>
      </c>
      <c r="Q218" s="25">
        <f>IFERROR(IF(INDEX('CIOG'!$O$10:$O$13,MATCH($F218,'CIOG'!$B$10:$B$13,0))="","Cell will autofill based on response",INDEX('CIOG'!$O$10:$O$13,MATCH($F218,'CIOG'!$B$10:$B$13,0))),"N/A")</f>
        <v/>
      </c>
      <c r="R218" s="25">
        <f>IFERROR(IF(INDEX('MRE'!$O$10:$O$11,MATCH($F218,'MRE'!$B$10:$B$11,0))="","Cell will autofill based on response",INDEX('MRE'!$O$10:$O$11,MATCH($F218,'MRE'!$B$10:$B$11,0))),"N/A")</f>
        <v/>
      </c>
    </row>
    <row r="219">
      <c r="A219">
        <f>F219&amp;"|"&amp;G219</f>
        <v/>
      </c>
      <c r="B219" s="29" t="inlineStr"/>
      <c r="C219" s="8" t="inlineStr"/>
      <c r="D219" s="8" t="inlineStr"/>
      <c r="E219" s="8" t="inlineStr"/>
      <c r="F219" s="8" t="inlineStr">
        <is>
          <t>EI1(c)</t>
        </is>
      </c>
      <c r="G219" s="8" t="inlineStr">
        <is>
          <t>Data source and limitations</t>
        </is>
      </c>
      <c r="H219" s="25">
        <f>IFERROR(IF(INDEX('Faculties'!$P$10:$P$29,MATCH($F219,'Faculties'!$B$10:$B$29,0))="","Cell will autofill based on response",INDEX('Faculties'!$P$10:$P$29,MATCH($F219,'Faculties'!$B$10:$B$29,0))),"N/A")</f>
        <v/>
      </c>
      <c r="I219" s="25">
        <f>IFERROR(IF(INDEX('Faculties'!$P$37:$P$56,MATCH($F219,'Faculties'!$B$37:$B$56,0))="","Cell will autofill based on response",INDEX('Faculties'!$P$37:$P$56,MATCH($F219,'Faculties'!$B$37:$B$56,0))),"N/A")</f>
        <v/>
      </c>
      <c r="J219" s="25">
        <f>IFERROR(IF(INDEX('Faculties'!$P$64:$P$83,MATCH($F219,'Faculties'!$B$64:$B$83,0))="","Cell will autofill based on response",INDEX('Faculties'!$P$64:$P$83,MATCH($F219,'Faculties'!$B$64:$B$83,0))),"N/A")</f>
        <v/>
      </c>
      <c r="K219" s="25">
        <f>IFERROR(IF(INDEX('Faculties'!$P$91:$P$110,MATCH($F219,'Faculties'!$B$91:$B$110,0))="","Cell will autofill based on response",INDEX('Faculties'!$P$91:$P$110,MATCH($F219,'Faculties'!$B$91:$B$110,0))),"N/A")</f>
        <v/>
      </c>
      <c r="L219" s="25">
        <f>IFERROR(IF(INDEX('CI&amp;S'!$P$10:$P$14,MATCH($F219,'CI&amp;S'!$B$10:$B$14,0))="","Cell will autofill based on response",INDEX('CI&amp;S'!$P$10:$P$14,MATCH($F219,'CI&amp;S'!$B$10:$B$14,0))),"N/A")</f>
        <v/>
      </c>
      <c r="M219" s="25">
        <f>IFERROR(IF(INDEX('CI&amp;S'!$P$22:$P$38,MATCH($F219,'CI&amp;S'!$B$22:$B$38,0))="","Cell will autofill based on response",INDEX('CI&amp;S'!$P$22:$P$38,MATCH($F219,'CI&amp;S'!$B$22:$B$38,0))),"N/A")</f>
        <v/>
      </c>
      <c r="N219" s="25">
        <f>IFERROR(IF(INDEX('CFOG'!$P$10:$P$15,MATCH($F219,'CFOG'!$B$10:$B$15,0))="","Cell will autofill based on response",INDEX('CFOG'!$P$10:$P$15,MATCH($F219,'CFOG'!$B$10:$B$15,0))),"N/A")</f>
        <v/>
      </c>
      <c r="O219" s="25">
        <f>IFERROR(IF(INDEX('CFOG'!$P$23:$P$23,MATCH($F219,'CFOG'!$B$23:$B$23,0))="","Cell will autofill based on response",INDEX('CFOG'!$P$23:$P$23,MATCH($F219,'CFOG'!$B$23:$B$23,0))),"N/A")</f>
        <v/>
      </c>
      <c r="P219" s="25">
        <f>IFERROR(IF(INDEX('ESG'!$P$10:$P$16,MATCH($F219,'ESG'!$B$10:$B$16,0))="","Cell will autofill based on response",INDEX('ESG'!$P$10:$P$16,MATCH($F219,'ESG'!$B$10:$B$16,0))),"N/A")</f>
        <v/>
      </c>
      <c r="Q219" s="25">
        <f>IFERROR(IF(INDEX('CIOG'!$P$10:$P$13,MATCH($F219,'CIOG'!$B$10:$B$13,0))="","Cell will autofill based on response",INDEX('CIOG'!$P$10:$P$13,MATCH($F219,'CIOG'!$B$10:$B$13,0))),"N/A")</f>
        <v/>
      </c>
      <c r="R219" s="25">
        <f>IFERROR(IF(INDEX('MRE'!$P$10:$P$11,MATCH($F219,'MRE'!$B$10:$B$11,0))="","Cell will autofill based on response",INDEX('MRE'!$P$10:$P$11,MATCH($F219,'MRE'!$B$10:$B$11,0))),"N/A")</f>
        <v/>
      </c>
    </row>
    <row r="220">
      <c r="A220">
        <f>F220&amp;"|"&amp;G220</f>
        <v/>
      </c>
      <c r="B220" s="29" t="inlineStr"/>
      <c r="C220" s="8" t="inlineStr"/>
      <c r="D220" s="8" t="inlineStr"/>
      <c r="E220" s="8" t="inlineStr"/>
      <c r="F220" s="8" t="inlineStr">
        <is>
          <t>EI1(c)</t>
        </is>
      </c>
      <c r="G220" s="8" t="inlineStr">
        <is>
          <t>Data owner confirms</t>
        </is>
      </c>
      <c r="H220" s="25">
        <f>IFERROR(IF(INDEX('Faculties'!$Q$10:$Q$29,MATCH($F220,'Faculties'!$B$10:$B$29,0))="","Cell will autofill based on response",INDEX('Faculties'!$Q$10:$Q$29,MATCH($F220,'Faculties'!$B$10:$B$29,0))),"N/A")</f>
        <v/>
      </c>
      <c r="I220" s="25">
        <f>IFERROR(IF(INDEX('Faculties'!$Q$37:$Q$56,MATCH($F220,'Faculties'!$B$37:$B$56,0))="","Cell will autofill based on response",INDEX('Faculties'!$Q$37:$Q$56,MATCH($F220,'Faculties'!$B$37:$B$56,0))),"N/A")</f>
        <v/>
      </c>
      <c r="J220" s="25">
        <f>IFERROR(IF(INDEX('Faculties'!$Q$64:$Q$83,MATCH($F220,'Faculties'!$B$64:$B$83,0))="","Cell will autofill based on response",INDEX('Faculties'!$Q$64:$Q$83,MATCH($F220,'Faculties'!$B$64:$B$83,0))),"N/A")</f>
        <v/>
      </c>
      <c r="K220" s="25">
        <f>IFERROR(IF(INDEX('Faculties'!$Q$91:$Q$110,MATCH($F220,'Faculties'!$B$91:$B$110,0))="","Cell will autofill based on response",INDEX('Faculties'!$Q$91:$Q$110,MATCH($F220,'Faculties'!$B$91:$B$110,0))),"N/A")</f>
        <v/>
      </c>
      <c r="L220" s="25">
        <f>IFERROR(IF(INDEX('CI&amp;S'!$Q$10:$Q$14,MATCH($F220,'CI&amp;S'!$B$10:$B$14,0))="","Cell will autofill based on response",INDEX('CI&amp;S'!$Q$10:$Q$14,MATCH($F220,'CI&amp;S'!$B$10:$B$14,0))),"N/A")</f>
        <v/>
      </c>
      <c r="M220" s="25">
        <f>IFERROR(IF(INDEX('CI&amp;S'!$Q$22:$Q$38,MATCH($F220,'CI&amp;S'!$B$22:$B$38,0))="","Cell will autofill based on response",INDEX('CI&amp;S'!$Q$22:$Q$38,MATCH($F220,'CI&amp;S'!$B$22:$B$38,0))),"N/A")</f>
        <v/>
      </c>
      <c r="N220" s="25">
        <f>IFERROR(IF(INDEX('CFOG'!$Q$10:$Q$15,MATCH($F220,'CFOG'!$B$10:$B$15,0))="","Cell will autofill based on response",INDEX('CFOG'!$Q$10:$Q$15,MATCH($F220,'CFOG'!$B$10:$B$15,0))),"N/A")</f>
        <v/>
      </c>
      <c r="O220" s="25">
        <f>IFERROR(IF(INDEX('CFOG'!$Q$23:$Q$23,MATCH($F220,'CFOG'!$B$23:$B$23,0))="","Cell will autofill based on response",INDEX('CFOG'!$Q$23:$Q$23,MATCH($F220,'CFOG'!$B$23:$B$23,0))),"N/A")</f>
        <v/>
      </c>
      <c r="P220" s="25">
        <f>IFERROR(IF(INDEX('ESG'!$Q$10:$Q$16,MATCH($F220,'ESG'!$B$10:$B$16,0))="","Cell will autofill based on response",INDEX('ESG'!$Q$10:$Q$16,MATCH($F220,'ESG'!$B$10:$B$16,0))),"N/A")</f>
        <v/>
      </c>
      <c r="Q220" s="25">
        <f>IFERROR(IF(INDEX('CIOG'!$Q$10:$Q$13,MATCH($F220,'CIOG'!$B$10:$B$13,0))="","Cell will autofill based on response",INDEX('CIOG'!$Q$10:$Q$13,MATCH($F220,'CIOG'!$B$10:$B$13,0))),"N/A")</f>
        <v/>
      </c>
      <c r="R220" s="25">
        <f>IFERROR(IF(INDEX('MRE'!$Q$10:$Q$11,MATCH($F220,'MRE'!$B$10:$B$11,0))="","Cell will autofill based on response",INDEX('MRE'!$Q$10:$Q$11,MATCH($F220,'MRE'!$B$10:$B$11,0))),"N/A")</f>
        <v/>
      </c>
    </row>
    <row r="221">
      <c r="A221">
        <f>F221&amp;"|"&amp;G221</f>
        <v/>
      </c>
      <c r="B221" s="7" t="inlineStr">
        <is>
          <t>EI1(d)</t>
        </is>
      </c>
      <c r="C221" s="12" t="inlineStr">
        <is>
          <t>Estate and infrastructure</t>
        </is>
      </c>
      <c r="D221" s="12" t="inlineStr">
        <is>
          <t>Evidence of understanding and integration of Indigenous approaches to sustainability in estate planning and development programs and projects.</t>
        </is>
      </c>
      <c r="E221"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221" s="12" t="inlineStr">
        <is>
          <t>EI1(d)</t>
        </is>
      </c>
      <c r="G221" s="12" t="inlineStr">
        <is>
          <t>Confirm end-2026 target status</t>
        </is>
      </c>
      <c r="H221" s="25">
        <f>IFERROR(IF(INDEX('Faculties'!$L$10:$L$29,MATCH($F221,'Faculties'!$B$10:$B$29,0))="","Cell will autofill based on response",INDEX('Faculties'!$L$10:$L$29,MATCH($F221,'Faculties'!$B$10:$B$29,0))),"N/A")</f>
        <v/>
      </c>
      <c r="I221" s="25">
        <f>IFERROR(IF(INDEX('Faculties'!$L$37:$L$56,MATCH($F221,'Faculties'!$B$37:$B$56,0))="","Cell will autofill based on response",INDEX('Faculties'!$L$37:$L$56,MATCH($F221,'Faculties'!$B$37:$B$56,0))),"N/A")</f>
        <v/>
      </c>
      <c r="J221" s="25">
        <f>IFERROR(IF(INDEX('Faculties'!$L$64:$L$83,MATCH($F221,'Faculties'!$B$64:$B$83,0))="","Cell will autofill based on response",INDEX('Faculties'!$L$64:$L$83,MATCH($F221,'Faculties'!$B$64:$B$83,0))),"N/A")</f>
        <v/>
      </c>
      <c r="K221" s="25">
        <f>IFERROR(IF(INDEX('Faculties'!$L$91:$L$110,MATCH($F221,'Faculties'!$B$91:$B$110,0))="","Cell will autofill based on response",INDEX('Faculties'!$L$91:$L$110,MATCH($F221,'Faculties'!$B$91:$B$110,0))),"N/A")</f>
        <v/>
      </c>
      <c r="L221" s="25">
        <f>IFERROR(IF(INDEX('CI&amp;S'!$L$10:$L$14,MATCH($F221,'CI&amp;S'!$B$10:$B$14,0))="","Cell will autofill based on response",INDEX('CI&amp;S'!$L$10:$L$14,MATCH($F221,'CI&amp;S'!$B$10:$B$14,0))),"N/A")</f>
        <v/>
      </c>
      <c r="M221" s="25">
        <f>IFERROR(IF(INDEX('CI&amp;S'!$L$22:$L$38,MATCH($F221,'CI&amp;S'!$B$22:$B$38,0))="","Cell will autofill based on response",INDEX('CI&amp;S'!$L$22:$L$38,MATCH($F221,'CI&amp;S'!$B$22:$B$38,0))),"N/A")</f>
        <v/>
      </c>
      <c r="N221" s="25">
        <f>IFERROR(IF(INDEX('CFOG'!$L$10:$L$15,MATCH($F221,'CFOG'!$B$10:$B$15,0))="","Cell will autofill based on response",INDEX('CFOG'!$L$10:$L$15,MATCH($F221,'CFOG'!$B$10:$B$15,0))),"N/A")</f>
        <v/>
      </c>
      <c r="O221" s="25">
        <f>IFERROR(IF(INDEX('CFOG'!$L$23:$L$23,MATCH($F221,'CFOG'!$B$23:$B$23,0))="","Cell will autofill based on response",INDEX('CFOG'!$L$23:$L$23,MATCH($F221,'CFOG'!$B$23:$B$23,0))),"N/A")</f>
        <v/>
      </c>
      <c r="P221" s="25">
        <f>IFERROR(IF(INDEX('ESG'!$L$10:$L$16,MATCH($F221,'ESG'!$B$10:$B$16,0))="","Cell will autofill based on response",INDEX('ESG'!$L$10:$L$16,MATCH($F221,'ESG'!$B$10:$B$16,0))),"N/A")</f>
        <v/>
      </c>
      <c r="Q221" s="25">
        <f>IFERROR(IF(INDEX('CIOG'!$L$10:$L$13,MATCH($F221,'CIOG'!$B$10:$B$13,0))="","Cell will autofill based on response",INDEX('CIOG'!$L$10:$L$13,MATCH($F221,'CIOG'!$B$10:$B$13,0))),"N/A")</f>
        <v/>
      </c>
      <c r="R221" s="25">
        <f>IFERROR(IF(INDEX('MRE'!$L$10:$L$11,MATCH($F221,'MRE'!$B$10:$B$11,0))="","Cell will autofill based on response",INDEX('MRE'!$L$10:$L$11,MATCH($F221,'MRE'!$B$10:$B$11,0))),"N/A")</f>
        <v/>
      </c>
      <c r="T221" s="26">
        <f>COUNTIF($H221:$R221,"Cell will autofill based on response")</f>
        <v/>
      </c>
      <c r="U221" s="26">
        <f>COUNTIF($H221:$R221,"Not yet started")</f>
        <v/>
      </c>
      <c r="V221" s="26">
        <f>COUNTIF($H221:$R221,"Not met")</f>
        <v/>
      </c>
      <c r="W221" s="26">
        <f>COUNTIF($H221:$R221,"Partially met")</f>
        <v/>
      </c>
      <c r="X221" s="26">
        <f>COUNTIF($H221:$R221,"Met or exceeded")</f>
        <v/>
      </c>
      <c r="Y221" s="26">
        <f>3*X221+2*W221+V221</f>
        <v/>
      </c>
      <c r="Z221" s="26">
        <f>X221+W221+V221+U221</f>
        <v/>
      </c>
      <c r="AA221" s="27">
        <f>IF(Z221&gt;0,Y221/Z221,"No valid responses to date")</f>
        <v/>
      </c>
      <c r="AB221" s="26">
        <f>IF(ISNUMBER(AA221),INDEX(Lists!$G$2:$G$5,MATCH(ROUND(AA221,0),Lists!$H$2:$H$5,0)),"")</f>
        <v/>
      </c>
      <c r="AC221" s="28">
        <f>IF(Z221&gt;0,X221/Z221,"")</f>
        <v/>
      </c>
      <c r="AD221" s="28">
        <f>IF(Z221&gt;0,(X221+W221)/Z221,"")</f>
        <v/>
      </c>
      <c r="AE221" s="26">
        <f>IF(Z221=0,"",IF(AC221&gt;0.75,"Met or exceeded",IF(AD221&gt;=0.5,"Partially met","Not met")))</f>
        <v/>
      </c>
    </row>
    <row r="222">
      <c r="A222">
        <f>F222&amp;"|"&amp;G222</f>
        <v/>
      </c>
      <c r="B222" s="29" t="inlineStr"/>
      <c r="C222" s="8" t="inlineStr"/>
      <c r="D222" s="8" t="inlineStr"/>
      <c r="E222" s="8" t="inlineStr"/>
      <c r="F222" s="8" t="inlineStr">
        <is>
          <t>EI1(d)</t>
        </is>
      </c>
      <c r="G222" s="8" t="inlineStr">
        <is>
          <t>OPTION 1:  Target-level reporting</t>
        </is>
      </c>
      <c r="H222" s="25">
        <f>IFERROR(IF(INDEX('Faculties'!$M$10:$M$29,MATCH($F222,'Faculties'!$B$10:$B$29,0))="","Cell will autofill based on response",INDEX('Faculties'!$M$10:$M$29,MATCH($F222,'Faculties'!$B$10:$B$29,0))),"N/A")</f>
        <v/>
      </c>
      <c r="I222" s="25">
        <f>IFERROR(IF(INDEX('Faculties'!$M$37:$M$56,MATCH($F222,'Faculties'!$B$37:$B$56,0))="","Cell will autofill based on response",INDEX('Faculties'!$M$37:$M$56,MATCH($F222,'Faculties'!$B$37:$B$56,0))),"N/A")</f>
        <v/>
      </c>
      <c r="J222" s="25">
        <f>IFERROR(IF(INDEX('Faculties'!$M$64:$M$83,MATCH($F222,'Faculties'!$B$64:$B$83,0))="","Cell will autofill based on response",INDEX('Faculties'!$M$64:$M$83,MATCH($F222,'Faculties'!$B$64:$B$83,0))),"N/A")</f>
        <v/>
      </c>
      <c r="K222" s="25">
        <f>IFERROR(IF(INDEX('Faculties'!$M$91:$M$110,MATCH($F222,'Faculties'!$B$91:$B$110,0))="","Cell will autofill based on response",INDEX('Faculties'!$M$91:$M$110,MATCH($F222,'Faculties'!$B$91:$B$110,0))),"N/A")</f>
        <v/>
      </c>
      <c r="L222" s="25">
        <f>IFERROR(IF(INDEX('CI&amp;S'!$M$10:$M$14,MATCH($F222,'CI&amp;S'!$B$10:$B$14,0))="","Cell will autofill based on response",INDEX('CI&amp;S'!$M$10:$M$14,MATCH($F222,'CI&amp;S'!$B$10:$B$14,0))),"N/A")</f>
        <v/>
      </c>
      <c r="M222" s="25">
        <f>IFERROR(IF(INDEX('CI&amp;S'!$M$22:$M$38,MATCH($F222,'CI&amp;S'!$B$22:$B$38,0))="","Cell will autofill based on response",INDEX('CI&amp;S'!$M$22:$M$38,MATCH($F222,'CI&amp;S'!$B$22:$B$38,0))),"N/A")</f>
        <v/>
      </c>
      <c r="N222" s="25">
        <f>IFERROR(IF(INDEX('CFOG'!$M$10:$M$15,MATCH($F222,'CFOG'!$B$10:$B$15,0))="","Cell will autofill based on response",INDEX('CFOG'!$M$10:$M$15,MATCH($F222,'CFOG'!$B$10:$B$15,0))),"N/A")</f>
        <v/>
      </c>
      <c r="O222" s="25">
        <f>IFERROR(IF(INDEX('CFOG'!$M$23:$M$23,MATCH($F222,'CFOG'!$B$23:$B$23,0))="","Cell will autofill based on response",INDEX('CFOG'!$M$23:$M$23,MATCH($F222,'CFOG'!$B$23:$B$23,0))),"N/A")</f>
        <v/>
      </c>
      <c r="P222" s="25">
        <f>IFERROR(IF(INDEX('ESG'!$M$10:$M$16,MATCH($F222,'ESG'!$B$10:$B$16,0))="","Cell will autofill based on response",INDEX('ESG'!$M$10:$M$16,MATCH($F222,'ESG'!$B$10:$B$16,0))),"N/A")</f>
        <v/>
      </c>
      <c r="Q222" s="25">
        <f>IFERROR(IF(INDEX('CIOG'!$M$10:$M$13,MATCH($F222,'CIOG'!$B$10:$B$13,0))="","Cell will autofill based on response",INDEX('CIOG'!$M$10:$M$13,MATCH($F222,'CIOG'!$B$10:$B$13,0))),"N/A")</f>
        <v/>
      </c>
      <c r="R222" s="25">
        <f>IFERROR(IF(INDEX('MRE'!$M$10:$M$11,MATCH($F222,'MRE'!$B$10:$B$11,0))="","Cell will autofill based on response",INDEX('MRE'!$M$10:$M$11,MATCH($F222,'MRE'!$B$10:$B$11,0))),"N/A")</f>
        <v/>
      </c>
    </row>
    <row r="223">
      <c r="A223">
        <f>F223&amp;"|"&amp;G223</f>
        <v/>
      </c>
      <c r="B223" s="29" t="inlineStr"/>
      <c r="C223" s="8" t="inlineStr"/>
      <c r="D223" s="8" t="inlineStr"/>
      <c r="E223" s="8" t="inlineStr"/>
      <c r="F223" s="8" t="inlineStr">
        <is>
          <t>EI1(d)</t>
        </is>
      </c>
      <c r="G223" s="8" t="inlineStr">
        <is>
          <t>OPTION 2:  Indicator level reporting</t>
        </is>
      </c>
      <c r="H223" s="25">
        <f>IFERROR(IF(INDEX('Faculties'!$N$10:$N$29,MATCH($F223,'Faculties'!$B$10:$B$29,0))="","Cell will autofill based on response",INDEX('Faculties'!$N$10:$N$29,MATCH($F223,'Faculties'!$B$10:$B$29,0))),"N/A")</f>
        <v/>
      </c>
      <c r="I223" s="25">
        <f>IFERROR(IF(INDEX('Faculties'!$N$37:$N$56,MATCH($F223,'Faculties'!$B$37:$B$56,0))="","Cell will autofill based on response",INDEX('Faculties'!$N$37:$N$56,MATCH($F223,'Faculties'!$B$37:$B$56,0))),"N/A")</f>
        <v/>
      </c>
      <c r="J223" s="25">
        <f>IFERROR(IF(INDEX('Faculties'!$N$64:$N$83,MATCH($F223,'Faculties'!$B$64:$B$83,0))="","Cell will autofill based on response",INDEX('Faculties'!$N$64:$N$83,MATCH($F223,'Faculties'!$B$64:$B$83,0))),"N/A")</f>
        <v/>
      </c>
      <c r="K223" s="25">
        <f>IFERROR(IF(INDEX('Faculties'!$N$91:$N$110,MATCH($F223,'Faculties'!$B$91:$B$110,0))="","Cell will autofill based on response",INDEX('Faculties'!$N$91:$N$110,MATCH($F223,'Faculties'!$B$91:$B$110,0))),"N/A")</f>
        <v/>
      </c>
      <c r="L223" s="25">
        <f>IFERROR(IF(INDEX('CI&amp;S'!$N$10:$N$14,MATCH($F223,'CI&amp;S'!$B$10:$B$14,0))="","Cell will autofill based on response",INDEX('CI&amp;S'!$N$10:$N$14,MATCH($F223,'CI&amp;S'!$B$10:$B$14,0))),"N/A")</f>
        <v/>
      </c>
      <c r="M223" s="25">
        <f>IFERROR(IF(INDEX('CI&amp;S'!$N$22:$N$38,MATCH($F223,'CI&amp;S'!$B$22:$B$38,0))="","Cell will autofill based on response",INDEX('CI&amp;S'!$N$22:$N$38,MATCH($F223,'CI&amp;S'!$B$22:$B$38,0))),"N/A")</f>
        <v/>
      </c>
      <c r="N223" s="25">
        <f>IFERROR(IF(INDEX('CFOG'!$N$10:$N$15,MATCH($F223,'CFOG'!$B$10:$B$15,0))="","Cell will autofill based on response",INDEX('CFOG'!$N$10:$N$15,MATCH($F223,'CFOG'!$B$10:$B$15,0))),"N/A")</f>
        <v/>
      </c>
      <c r="O223" s="25">
        <f>IFERROR(IF(INDEX('CFOG'!$N$23:$N$23,MATCH($F223,'CFOG'!$B$23:$B$23,0))="","Cell will autofill based on response",INDEX('CFOG'!$N$23:$N$23,MATCH($F223,'CFOG'!$B$23:$B$23,0))),"N/A")</f>
        <v/>
      </c>
      <c r="P223" s="25">
        <f>IFERROR(IF(INDEX('ESG'!$N$10:$N$16,MATCH($F223,'ESG'!$B$10:$B$16,0))="","Cell will autofill based on response",INDEX('ESG'!$N$10:$N$16,MATCH($F223,'ESG'!$B$10:$B$16,0))),"N/A")</f>
        <v/>
      </c>
      <c r="Q223" s="25">
        <f>IFERROR(IF(INDEX('CIOG'!$N$10:$N$13,MATCH($F223,'CIOG'!$B$10:$B$13,0))="","Cell will autofill based on response",INDEX('CIOG'!$N$10:$N$13,MATCH($F223,'CIOG'!$B$10:$B$13,0))),"N/A")</f>
        <v/>
      </c>
      <c r="R223" s="25">
        <f>IFERROR(IF(INDEX('MRE'!$N$10:$N$11,MATCH($F223,'MRE'!$B$10:$B$11,0))="","Cell will autofill based on response",INDEX('MRE'!$N$10:$N$11,MATCH($F223,'MRE'!$B$10:$B$11,0))),"N/A")</f>
        <v/>
      </c>
    </row>
    <row r="224">
      <c r="A224">
        <f>F224&amp;"|"&amp;G224</f>
        <v/>
      </c>
      <c r="B224" s="29" t="inlineStr"/>
      <c r="C224" s="8" t="inlineStr"/>
      <c r="D224" s="8" t="inlineStr"/>
      <c r="E224" s="8" t="inlineStr"/>
      <c r="F224" s="8" t="inlineStr">
        <is>
          <t>EI1(d)</t>
        </is>
      </c>
      <c r="G224" s="8" t="inlineStr">
        <is>
          <t>Supporting information/comments</t>
        </is>
      </c>
      <c r="H224" s="25">
        <f>IFERROR(IF(INDEX('Faculties'!$O$10:$O$29,MATCH($F224,'Faculties'!$B$10:$B$29,0))="","Cell will autofill based on response",INDEX('Faculties'!$O$10:$O$29,MATCH($F224,'Faculties'!$B$10:$B$29,0))),"N/A")</f>
        <v/>
      </c>
      <c r="I224" s="25">
        <f>IFERROR(IF(INDEX('Faculties'!$O$37:$O$56,MATCH($F224,'Faculties'!$B$37:$B$56,0))="","Cell will autofill based on response",INDEX('Faculties'!$O$37:$O$56,MATCH($F224,'Faculties'!$B$37:$B$56,0))),"N/A")</f>
        <v/>
      </c>
      <c r="J224" s="25">
        <f>IFERROR(IF(INDEX('Faculties'!$O$64:$O$83,MATCH($F224,'Faculties'!$B$64:$B$83,0))="","Cell will autofill based on response",INDEX('Faculties'!$O$64:$O$83,MATCH($F224,'Faculties'!$B$64:$B$83,0))),"N/A")</f>
        <v/>
      </c>
      <c r="K224" s="25">
        <f>IFERROR(IF(INDEX('Faculties'!$O$91:$O$110,MATCH($F224,'Faculties'!$B$91:$B$110,0))="","Cell will autofill based on response",INDEX('Faculties'!$O$91:$O$110,MATCH($F224,'Faculties'!$B$91:$B$110,0))),"N/A")</f>
        <v/>
      </c>
      <c r="L224" s="25">
        <f>IFERROR(IF(INDEX('CI&amp;S'!$O$10:$O$14,MATCH($F224,'CI&amp;S'!$B$10:$B$14,0))="","Cell will autofill based on response",INDEX('CI&amp;S'!$O$10:$O$14,MATCH($F224,'CI&amp;S'!$B$10:$B$14,0))),"N/A")</f>
        <v/>
      </c>
      <c r="M224" s="25">
        <f>IFERROR(IF(INDEX('CI&amp;S'!$O$22:$O$38,MATCH($F224,'CI&amp;S'!$B$22:$B$38,0))="","Cell will autofill based on response",INDEX('CI&amp;S'!$O$22:$O$38,MATCH($F224,'CI&amp;S'!$B$22:$B$38,0))),"N/A")</f>
        <v/>
      </c>
      <c r="N224" s="25">
        <f>IFERROR(IF(INDEX('CFOG'!$O$10:$O$15,MATCH($F224,'CFOG'!$B$10:$B$15,0))="","Cell will autofill based on response",INDEX('CFOG'!$O$10:$O$15,MATCH($F224,'CFOG'!$B$10:$B$15,0))),"N/A")</f>
        <v/>
      </c>
      <c r="O224" s="25">
        <f>IFERROR(IF(INDEX('CFOG'!$O$23:$O$23,MATCH($F224,'CFOG'!$B$23:$B$23,0))="","Cell will autofill based on response",INDEX('CFOG'!$O$23:$O$23,MATCH($F224,'CFOG'!$B$23:$B$23,0))),"N/A")</f>
        <v/>
      </c>
      <c r="P224" s="25">
        <f>IFERROR(IF(INDEX('ESG'!$O$10:$O$16,MATCH($F224,'ESG'!$B$10:$B$16,0))="","Cell will autofill based on response",INDEX('ESG'!$O$10:$O$16,MATCH($F224,'ESG'!$B$10:$B$16,0))),"N/A")</f>
        <v/>
      </c>
      <c r="Q224" s="25">
        <f>IFERROR(IF(INDEX('CIOG'!$O$10:$O$13,MATCH($F224,'CIOG'!$B$10:$B$13,0))="","Cell will autofill based on response",INDEX('CIOG'!$O$10:$O$13,MATCH($F224,'CIOG'!$B$10:$B$13,0))),"N/A")</f>
        <v/>
      </c>
      <c r="R224" s="25">
        <f>IFERROR(IF(INDEX('MRE'!$O$10:$O$11,MATCH($F224,'MRE'!$B$10:$B$11,0))="","Cell will autofill based on response",INDEX('MRE'!$O$10:$O$11,MATCH($F224,'MRE'!$B$10:$B$11,0))),"N/A")</f>
        <v/>
      </c>
    </row>
    <row r="225">
      <c r="A225">
        <f>F225&amp;"|"&amp;G225</f>
        <v/>
      </c>
      <c r="B225" s="29" t="inlineStr"/>
      <c r="C225" s="8" t="inlineStr"/>
      <c r="D225" s="8" t="inlineStr"/>
      <c r="E225" s="8" t="inlineStr"/>
      <c r="F225" s="8" t="inlineStr">
        <is>
          <t>EI1(d)</t>
        </is>
      </c>
      <c r="G225" s="8" t="inlineStr">
        <is>
          <t>Data source and limitations</t>
        </is>
      </c>
      <c r="H225" s="25">
        <f>IFERROR(IF(INDEX('Faculties'!$P$10:$P$29,MATCH($F225,'Faculties'!$B$10:$B$29,0))="","Cell will autofill based on response",INDEX('Faculties'!$P$10:$P$29,MATCH($F225,'Faculties'!$B$10:$B$29,0))),"N/A")</f>
        <v/>
      </c>
      <c r="I225" s="25">
        <f>IFERROR(IF(INDEX('Faculties'!$P$37:$P$56,MATCH($F225,'Faculties'!$B$37:$B$56,0))="","Cell will autofill based on response",INDEX('Faculties'!$P$37:$P$56,MATCH($F225,'Faculties'!$B$37:$B$56,0))),"N/A")</f>
        <v/>
      </c>
      <c r="J225" s="25">
        <f>IFERROR(IF(INDEX('Faculties'!$P$64:$P$83,MATCH($F225,'Faculties'!$B$64:$B$83,0))="","Cell will autofill based on response",INDEX('Faculties'!$P$64:$P$83,MATCH($F225,'Faculties'!$B$64:$B$83,0))),"N/A")</f>
        <v/>
      </c>
      <c r="K225" s="25">
        <f>IFERROR(IF(INDEX('Faculties'!$P$91:$P$110,MATCH($F225,'Faculties'!$B$91:$B$110,0))="","Cell will autofill based on response",INDEX('Faculties'!$P$91:$P$110,MATCH($F225,'Faculties'!$B$91:$B$110,0))),"N/A")</f>
        <v/>
      </c>
      <c r="L225" s="25">
        <f>IFERROR(IF(INDEX('CI&amp;S'!$P$10:$P$14,MATCH($F225,'CI&amp;S'!$B$10:$B$14,0))="","Cell will autofill based on response",INDEX('CI&amp;S'!$P$10:$P$14,MATCH($F225,'CI&amp;S'!$B$10:$B$14,0))),"N/A")</f>
        <v/>
      </c>
      <c r="M225" s="25">
        <f>IFERROR(IF(INDEX('CI&amp;S'!$P$22:$P$38,MATCH($F225,'CI&amp;S'!$B$22:$B$38,0))="","Cell will autofill based on response",INDEX('CI&amp;S'!$P$22:$P$38,MATCH($F225,'CI&amp;S'!$B$22:$B$38,0))),"N/A")</f>
        <v/>
      </c>
      <c r="N225" s="25">
        <f>IFERROR(IF(INDEX('CFOG'!$P$10:$P$15,MATCH($F225,'CFOG'!$B$10:$B$15,0))="","Cell will autofill based on response",INDEX('CFOG'!$P$10:$P$15,MATCH($F225,'CFOG'!$B$10:$B$15,0))),"N/A")</f>
        <v/>
      </c>
      <c r="O225" s="25">
        <f>IFERROR(IF(INDEX('CFOG'!$P$23:$P$23,MATCH($F225,'CFOG'!$B$23:$B$23,0))="","Cell will autofill based on response",INDEX('CFOG'!$P$23:$P$23,MATCH($F225,'CFOG'!$B$23:$B$23,0))),"N/A")</f>
        <v/>
      </c>
      <c r="P225" s="25">
        <f>IFERROR(IF(INDEX('ESG'!$P$10:$P$16,MATCH($F225,'ESG'!$B$10:$B$16,0))="","Cell will autofill based on response",INDEX('ESG'!$P$10:$P$16,MATCH($F225,'ESG'!$B$10:$B$16,0))),"N/A")</f>
        <v/>
      </c>
      <c r="Q225" s="25">
        <f>IFERROR(IF(INDEX('CIOG'!$P$10:$P$13,MATCH($F225,'CIOG'!$B$10:$B$13,0))="","Cell will autofill based on response",INDEX('CIOG'!$P$10:$P$13,MATCH($F225,'CIOG'!$B$10:$B$13,0))),"N/A")</f>
        <v/>
      </c>
      <c r="R225" s="25">
        <f>IFERROR(IF(INDEX('MRE'!$P$10:$P$11,MATCH($F225,'MRE'!$B$10:$B$11,0))="","Cell will autofill based on response",INDEX('MRE'!$P$10:$P$11,MATCH($F225,'MRE'!$B$10:$B$11,0))),"N/A")</f>
        <v/>
      </c>
    </row>
    <row r="226">
      <c r="A226">
        <f>F226&amp;"|"&amp;G226</f>
        <v/>
      </c>
      <c r="B226" s="29" t="inlineStr"/>
      <c r="C226" s="8" t="inlineStr"/>
      <c r="D226" s="8" t="inlineStr"/>
      <c r="E226" s="8" t="inlineStr"/>
      <c r="F226" s="8" t="inlineStr">
        <is>
          <t>EI1(d)</t>
        </is>
      </c>
      <c r="G226" s="8" t="inlineStr">
        <is>
          <t>Data owner confirms</t>
        </is>
      </c>
      <c r="H226" s="25">
        <f>IFERROR(IF(INDEX('Faculties'!$Q$10:$Q$29,MATCH($F226,'Faculties'!$B$10:$B$29,0))="","Cell will autofill based on response",INDEX('Faculties'!$Q$10:$Q$29,MATCH($F226,'Faculties'!$B$10:$B$29,0))),"N/A")</f>
        <v/>
      </c>
      <c r="I226" s="25">
        <f>IFERROR(IF(INDEX('Faculties'!$Q$37:$Q$56,MATCH($F226,'Faculties'!$B$37:$B$56,0))="","Cell will autofill based on response",INDEX('Faculties'!$Q$37:$Q$56,MATCH($F226,'Faculties'!$B$37:$B$56,0))),"N/A")</f>
        <v/>
      </c>
      <c r="J226" s="25">
        <f>IFERROR(IF(INDEX('Faculties'!$Q$64:$Q$83,MATCH($F226,'Faculties'!$B$64:$B$83,0))="","Cell will autofill based on response",INDEX('Faculties'!$Q$64:$Q$83,MATCH($F226,'Faculties'!$B$64:$B$83,0))),"N/A")</f>
        <v/>
      </c>
      <c r="K226" s="25">
        <f>IFERROR(IF(INDEX('Faculties'!$Q$91:$Q$110,MATCH($F226,'Faculties'!$B$91:$B$110,0))="","Cell will autofill based on response",INDEX('Faculties'!$Q$91:$Q$110,MATCH($F226,'Faculties'!$B$91:$B$110,0))),"N/A")</f>
        <v/>
      </c>
      <c r="L226" s="25">
        <f>IFERROR(IF(INDEX('CI&amp;S'!$Q$10:$Q$14,MATCH($F226,'CI&amp;S'!$B$10:$B$14,0))="","Cell will autofill based on response",INDEX('CI&amp;S'!$Q$10:$Q$14,MATCH($F226,'CI&amp;S'!$B$10:$B$14,0))),"N/A")</f>
        <v/>
      </c>
      <c r="M226" s="25">
        <f>IFERROR(IF(INDEX('CI&amp;S'!$Q$22:$Q$38,MATCH($F226,'CI&amp;S'!$B$22:$B$38,0))="","Cell will autofill based on response",INDEX('CI&amp;S'!$Q$22:$Q$38,MATCH($F226,'CI&amp;S'!$B$22:$B$38,0))),"N/A")</f>
        <v/>
      </c>
      <c r="N226" s="25">
        <f>IFERROR(IF(INDEX('CFOG'!$Q$10:$Q$15,MATCH($F226,'CFOG'!$B$10:$B$15,0))="","Cell will autofill based on response",INDEX('CFOG'!$Q$10:$Q$15,MATCH($F226,'CFOG'!$B$10:$B$15,0))),"N/A")</f>
        <v/>
      </c>
      <c r="O226" s="25">
        <f>IFERROR(IF(INDEX('CFOG'!$Q$23:$Q$23,MATCH($F226,'CFOG'!$B$23:$B$23,0))="","Cell will autofill based on response",INDEX('CFOG'!$Q$23:$Q$23,MATCH($F226,'CFOG'!$B$23:$B$23,0))),"N/A")</f>
        <v/>
      </c>
      <c r="P226" s="25">
        <f>IFERROR(IF(INDEX('ESG'!$Q$10:$Q$16,MATCH($F226,'ESG'!$B$10:$B$16,0))="","Cell will autofill based on response",INDEX('ESG'!$Q$10:$Q$16,MATCH($F226,'ESG'!$B$10:$B$16,0))),"N/A")</f>
        <v/>
      </c>
      <c r="Q226" s="25">
        <f>IFERROR(IF(INDEX('CIOG'!$Q$10:$Q$13,MATCH($F226,'CIOG'!$B$10:$B$13,0))="","Cell will autofill based on response",INDEX('CIOG'!$Q$10:$Q$13,MATCH($F226,'CIOG'!$B$10:$B$13,0))),"N/A")</f>
        <v/>
      </c>
      <c r="R226" s="25">
        <f>IFERROR(IF(INDEX('MRE'!$Q$10:$Q$11,MATCH($F226,'MRE'!$B$10:$B$11,0))="","Cell will autofill based on response",INDEX('MRE'!$Q$10:$Q$11,MATCH($F226,'MRE'!$B$10:$B$11,0))),"N/A")</f>
        <v/>
      </c>
    </row>
    <row r="227">
      <c r="A227">
        <f>F227&amp;"|"&amp;G227</f>
        <v/>
      </c>
      <c r="B227" s="7" t="inlineStr">
        <is>
          <t>CE1(a)</t>
        </is>
      </c>
      <c r="C227" s="12" t="inlineStr">
        <is>
          <t>Circular economy</t>
        </is>
      </c>
      <c r="D227" s="12" t="inlineStr">
        <is>
          <t>Comparison of year-to-year tonnes of waste (absolute).</t>
        </is>
      </c>
      <c r="E227" s="12" t="inlineStr">
        <is>
          <t>tonnes of waste; % change against previous baseline</t>
        </is>
      </c>
      <c r="F227" s="12" t="inlineStr">
        <is>
          <t>CE1(a)</t>
        </is>
      </c>
      <c r="G227" s="12" t="inlineStr">
        <is>
          <t>Confirm end-2026 target status</t>
        </is>
      </c>
      <c r="H227" s="25">
        <f>IFERROR(IF(INDEX('Faculties'!$L$10:$L$29,MATCH($F227,'Faculties'!$B$10:$B$29,0))="","Cell will autofill based on response",INDEX('Faculties'!$L$10:$L$29,MATCH($F227,'Faculties'!$B$10:$B$29,0))),"N/A")</f>
        <v/>
      </c>
      <c r="I227" s="25">
        <f>IFERROR(IF(INDEX('Faculties'!$L$37:$L$56,MATCH($F227,'Faculties'!$B$37:$B$56,0))="","Cell will autofill based on response",INDEX('Faculties'!$L$37:$L$56,MATCH($F227,'Faculties'!$B$37:$B$56,0))),"N/A")</f>
        <v/>
      </c>
      <c r="J227" s="25">
        <f>IFERROR(IF(INDEX('Faculties'!$L$64:$L$83,MATCH($F227,'Faculties'!$B$64:$B$83,0))="","Cell will autofill based on response",INDEX('Faculties'!$L$64:$L$83,MATCH($F227,'Faculties'!$B$64:$B$83,0))),"N/A")</f>
        <v/>
      </c>
      <c r="K227" s="25">
        <f>IFERROR(IF(INDEX('Faculties'!$L$91:$L$110,MATCH($F227,'Faculties'!$B$91:$B$110,0))="","Cell will autofill based on response",INDEX('Faculties'!$L$91:$L$110,MATCH($F227,'Faculties'!$B$91:$B$110,0))),"N/A")</f>
        <v/>
      </c>
      <c r="L227" s="25">
        <f>IFERROR(IF(INDEX('CI&amp;S'!$L$10:$L$14,MATCH($F227,'CI&amp;S'!$B$10:$B$14,0))="","Cell will autofill based on response",INDEX('CI&amp;S'!$L$10:$L$14,MATCH($F227,'CI&amp;S'!$B$10:$B$14,0))),"N/A")</f>
        <v/>
      </c>
      <c r="M227" s="25">
        <f>IFERROR(IF(INDEX('CI&amp;S'!$L$22:$L$38,MATCH($F227,'CI&amp;S'!$B$22:$B$38,0))="","Cell will autofill based on response",INDEX('CI&amp;S'!$L$22:$L$38,MATCH($F227,'CI&amp;S'!$B$22:$B$38,0))),"N/A")</f>
        <v/>
      </c>
      <c r="N227" s="25">
        <f>IFERROR(IF(INDEX('CFOG'!$L$10:$L$15,MATCH($F227,'CFOG'!$B$10:$B$15,0))="","Cell will autofill based on response",INDEX('CFOG'!$L$10:$L$15,MATCH($F227,'CFOG'!$B$10:$B$15,0))),"N/A")</f>
        <v/>
      </c>
      <c r="O227" s="25">
        <f>IFERROR(IF(INDEX('CFOG'!$L$23:$L$23,MATCH($F227,'CFOG'!$B$23:$B$23,0))="","Cell will autofill based on response",INDEX('CFOG'!$L$23:$L$23,MATCH($F227,'CFOG'!$B$23:$B$23,0))),"N/A")</f>
        <v/>
      </c>
      <c r="P227" s="25">
        <f>IFERROR(IF(INDEX('ESG'!$L$10:$L$16,MATCH($F227,'ESG'!$B$10:$B$16,0))="","Cell will autofill based on response",INDEX('ESG'!$L$10:$L$16,MATCH($F227,'ESG'!$B$10:$B$16,0))),"N/A")</f>
        <v/>
      </c>
      <c r="Q227" s="25">
        <f>IFERROR(IF(INDEX('CIOG'!$L$10:$L$13,MATCH($F227,'CIOG'!$B$10:$B$13,0))="","Cell will autofill based on response",INDEX('CIOG'!$L$10:$L$13,MATCH($F227,'CIOG'!$B$10:$B$13,0))),"N/A")</f>
        <v/>
      </c>
      <c r="R227" s="25">
        <f>IFERROR(IF(INDEX('MRE'!$L$10:$L$11,MATCH($F227,'MRE'!$B$10:$B$11,0))="","Cell will autofill based on response",INDEX('MRE'!$L$10:$L$11,MATCH($F227,'MRE'!$B$10:$B$11,0))),"N/A")</f>
        <v/>
      </c>
      <c r="T227" s="26">
        <f>COUNTIF($H227:$R227,"Cell will autofill based on response")</f>
        <v/>
      </c>
      <c r="U227" s="26">
        <f>COUNTIF($H227:$R227,"Not yet started")</f>
        <v/>
      </c>
      <c r="V227" s="26">
        <f>COUNTIF($H227:$R227,"Not met")</f>
        <v/>
      </c>
      <c r="W227" s="26">
        <f>COUNTIF($H227:$R227,"Partially met")</f>
        <v/>
      </c>
      <c r="X227" s="26">
        <f>COUNTIF($H227:$R227,"Met or exceeded")</f>
        <v/>
      </c>
      <c r="Y227" s="26">
        <f>3*X227+2*W227+V227</f>
        <v/>
      </c>
      <c r="Z227" s="26">
        <f>X227+W227+V227+U227</f>
        <v/>
      </c>
      <c r="AA227" s="27">
        <f>IF(Z227&gt;0,Y227/Z227,"No valid responses to date")</f>
        <v/>
      </c>
      <c r="AB227" s="26">
        <f>IF(ISNUMBER(AA227),INDEX(Lists!$G$2:$G$5,MATCH(ROUND(AA227,0),Lists!$H$2:$H$5,0)),"")</f>
        <v/>
      </c>
      <c r="AC227" s="28">
        <f>IF(Z227&gt;0,X227/Z227,"")</f>
        <v/>
      </c>
      <c r="AD227" s="28">
        <f>IF(Z227&gt;0,(X227+W227)/Z227,"")</f>
        <v/>
      </c>
      <c r="AE227" s="26">
        <f>IF(Z227=0,"",IF(AC227&gt;0.75,"Met or exceeded",IF(AD227&gt;=0.5,"Partially met","Not met")))</f>
        <v/>
      </c>
    </row>
    <row r="228">
      <c r="A228">
        <f>F228&amp;"|"&amp;G228</f>
        <v/>
      </c>
      <c r="B228" s="29" t="inlineStr"/>
      <c r="C228" s="8" t="inlineStr"/>
      <c r="D228" s="8" t="inlineStr"/>
      <c r="E228" s="8" t="inlineStr"/>
      <c r="F228" s="8" t="inlineStr">
        <is>
          <t>CE1(a)</t>
        </is>
      </c>
      <c r="G228" s="8" t="inlineStr">
        <is>
          <t>OPTION 1:  Target-level reporting</t>
        </is>
      </c>
      <c r="H228" s="25">
        <f>IFERROR(IF(INDEX('Faculties'!$M$10:$M$29,MATCH($F228,'Faculties'!$B$10:$B$29,0))="","Cell will autofill based on response",INDEX('Faculties'!$M$10:$M$29,MATCH($F228,'Faculties'!$B$10:$B$29,0))),"N/A")</f>
        <v/>
      </c>
      <c r="I228" s="25">
        <f>IFERROR(IF(INDEX('Faculties'!$M$37:$M$56,MATCH($F228,'Faculties'!$B$37:$B$56,0))="","Cell will autofill based on response",INDEX('Faculties'!$M$37:$M$56,MATCH($F228,'Faculties'!$B$37:$B$56,0))),"N/A")</f>
        <v/>
      </c>
      <c r="J228" s="25">
        <f>IFERROR(IF(INDEX('Faculties'!$M$64:$M$83,MATCH($F228,'Faculties'!$B$64:$B$83,0))="","Cell will autofill based on response",INDEX('Faculties'!$M$64:$M$83,MATCH($F228,'Faculties'!$B$64:$B$83,0))),"N/A")</f>
        <v/>
      </c>
      <c r="K228" s="25">
        <f>IFERROR(IF(INDEX('Faculties'!$M$91:$M$110,MATCH($F228,'Faculties'!$B$91:$B$110,0))="","Cell will autofill based on response",INDEX('Faculties'!$M$91:$M$110,MATCH($F228,'Faculties'!$B$91:$B$110,0))),"N/A")</f>
        <v/>
      </c>
      <c r="L228" s="25">
        <f>IFERROR(IF(INDEX('CI&amp;S'!$M$10:$M$14,MATCH($F228,'CI&amp;S'!$B$10:$B$14,0))="","Cell will autofill based on response",INDEX('CI&amp;S'!$M$10:$M$14,MATCH($F228,'CI&amp;S'!$B$10:$B$14,0))),"N/A")</f>
        <v/>
      </c>
      <c r="M228" s="25">
        <f>IFERROR(IF(INDEX('CI&amp;S'!$M$22:$M$38,MATCH($F228,'CI&amp;S'!$B$22:$B$38,0))="","Cell will autofill based on response",INDEX('CI&amp;S'!$M$22:$M$38,MATCH($F228,'CI&amp;S'!$B$22:$B$38,0))),"N/A")</f>
        <v/>
      </c>
      <c r="N228" s="25">
        <f>IFERROR(IF(INDEX('CFOG'!$M$10:$M$15,MATCH($F228,'CFOG'!$B$10:$B$15,0))="","Cell will autofill based on response",INDEX('CFOG'!$M$10:$M$15,MATCH($F228,'CFOG'!$B$10:$B$15,0))),"N/A")</f>
        <v/>
      </c>
      <c r="O228" s="25">
        <f>IFERROR(IF(INDEX('CFOG'!$M$23:$M$23,MATCH($F228,'CFOG'!$B$23:$B$23,0))="","Cell will autofill based on response",INDEX('CFOG'!$M$23:$M$23,MATCH($F228,'CFOG'!$B$23:$B$23,0))),"N/A")</f>
        <v/>
      </c>
      <c r="P228" s="25">
        <f>IFERROR(IF(INDEX('ESG'!$M$10:$M$16,MATCH($F228,'ESG'!$B$10:$B$16,0))="","Cell will autofill based on response",INDEX('ESG'!$M$10:$M$16,MATCH($F228,'ESG'!$B$10:$B$16,0))),"N/A")</f>
        <v/>
      </c>
      <c r="Q228" s="25">
        <f>IFERROR(IF(INDEX('CIOG'!$M$10:$M$13,MATCH($F228,'CIOG'!$B$10:$B$13,0))="","Cell will autofill based on response",INDEX('CIOG'!$M$10:$M$13,MATCH($F228,'CIOG'!$B$10:$B$13,0))),"N/A")</f>
        <v/>
      </c>
      <c r="R228" s="25">
        <f>IFERROR(IF(INDEX('MRE'!$M$10:$M$11,MATCH($F228,'MRE'!$B$10:$B$11,0))="","Cell will autofill based on response",INDEX('MRE'!$M$10:$M$11,MATCH($F228,'MRE'!$B$10:$B$11,0))),"N/A")</f>
        <v/>
      </c>
    </row>
    <row r="229">
      <c r="A229">
        <f>F229&amp;"|"&amp;G229</f>
        <v/>
      </c>
      <c r="B229" s="29" t="inlineStr"/>
      <c r="C229" s="8" t="inlineStr"/>
      <c r="D229" s="8" t="inlineStr"/>
      <c r="E229" s="8" t="inlineStr"/>
      <c r="F229" s="8" t="inlineStr">
        <is>
          <t>CE1(a)</t>
        </is>
      </c>
      <c r="G229" s="8" t="inlineStr">
        <is>
          <t>OPTION 2:  Indicator level reporting</t>
        </is>
      </c>
      <c r="H229" s="25">
        <f>IFERROR(IF(INDEX('Faculties'!$N$10:$N$29,MATCH($F229,'Faculties'!$B$10:$B$29,0))="","Cell will autofill based on response",INDEX('Faculties'!$N$10:$N$29,MATCH($F229,'Faculties'!$B$10:$B$29,0))),"N/A")</f>
        <v/>
      </c>
      <c r="I229" s="25">
        <f>IFERROR(IF(INDEX('Faculties'!$N$37:$N$56,MATCH($F229,'Faculties'!$B$37:$B$56,0))="","Cell will autofill based on response",INDEX('Faculties'!$N$37:$N$56,MATCH($F229,'Faculties'!$B$37:$B$56,0))),"N/A")</f>
        <v/>
      </c>
      <c r="J229" s="25">
        <f>IFERROR(IF(INDEX('Faculties'!$N$64:$N$83,MATCH($F229,'Faculties'!$B$64:$B$83,0))="","Cell will autofill based on response",INDEX('Faculties'!$N$64:$N$83,MATCH($F229,'Faculties'!$B$64:$B$83,0))),"N/A")</f>
        <v/>
      </c>
      <c r="K229" s="25">
        <f>IFERROR(IF(INDEX('Faculties'!$N$91:$N$110,MATCH($F229,'Faculties'!$B$91:$B$110,0))="","Cell will autofill based on response",INDEX('Faculties'!$N$91:$N$110,MATCH($F229,'Faculties'!$B$91:$B$110,0))),"N/A")</f>
        <v/>
      </c>
      <c r="L229" s="25">
        <f>IFERROR(IF(INDEX('CI&amp;S'!$N$10:$N$14,MATCH($F229,'CI&amp;S'!$B$10:$B$14,0))="","Cell will autofill based on response",INDEX('CI&amp;S'!$N$10:$N$14,MATCH($F229,'CI&amp;S'!$B$10:$B$14,0))),"N/A")</f>
        <v/>
      </c>
      <c r="M229" s="25">
        <f>IFERROR(IF(INDEX('CI&amp;S'!$N$22:$N$38,MATCH($F229,'CI&amp;S'!$B$22:$B$38,0))="","Cell will autofill based on response",INDEX('CI&amp;S'!$N$22:$N$38,MATCH($F229,'CI&amp;S'!$B$22:$B$38,0))),"N/A")</f>
        <v/>
      </c>
      <c r="N229" s="25">
        <f>IFERROR(IF(INDEX('CFOG'!$N$10:$N$15,MATCH($F229,'CFOG'!$B$10:$B$15,0))="","Cell will autofill based on response",INDEX('CFOG'!$N$10:$N$15,MATCH($F229,'CFOG'!$B$10:$B$15,0))),"N/A")</f>
        <v/>
      </c>
      <c r="O229" s="25">
        <f>IFERROR(IF(INDEX('CFOG'!$N$23:$N$23,MATCH($F229,'CFOG'!$B$23:$B$23,0))="","Cell will autofill based on response",INDEX('CFOG'!$N$23:$N$23,MATCH($F229,'CFOG'!$B$23:$B$23,0))),"N/A")</f>
        <v/>
      </c>
      <c r="P229" s="25">
        <f>IFERROR(IF(INDEX('ESG'!$N$10:$N$16,MATCH($F229,'ESG'!$B$10:$B$16,0))="","Cell will autofill based on response",INDEX('ESG'!$N$10:$N$16,MATCH($F229,'ESG'!$B$10:$B$16,0))),"N/A")</f>
        <v/>
      </c>
      <c r="Q229" s="25">
        <f>IFERROR(IF(INDEX('CIOG'!$N$10:$N$13,MATCH($F229,'CIOG'!$B$10:$B$13,0))="","Cell will autofill based on response",INDEX('CIOG'!$N$10:$N$13,MATCH($F229,'CIOG'!$B$10:$B$13,0))),"N/A")</f>
        <v/>
      </c>
      <c r="R229" s="25">
        <f>IFERROR(IF(INDEX('MRE'!$N$10:$N$11,MATCH($F229,'MRE'!$B$10:$B$11,0))="","Cell will autofill based on response",INDEX('MRE'!$N$10:$N$11,MATCH($F229,'MRE'!$B$10:$B$11,0))),"N/A")</f>
        <v/>
      </c>
    </row>
    <row r="230">
      <c r="A230">
        <f>F230&amp;"|"&amp;G230</f>
        <v/>
      </c>
      <c r="B230" s="29" t="inlineStr"/>
      <c r="C230" s="8" t="inlineStr"/>
      <c r="D230" s="8" t="inlineStr"/>
      <c r="E230" s="8" t="inlineStr"/>
      <c r="F230" s="8" t="inlineStr">
        <is>
          <t>CE1(a)</t>
        </is>
      </c>
      <c r="G230" s="8" t="inlineStr">
        <is>
          <t>Supporting information/comments</t>
        </is>
      </c>
      <c r="H230" s="25">
        <f>IFERROR(IF(INDEX('Faculties'!$O$10:$O$29,MATCH($F230,'Faculties'!$B$10:$B$29,0))="","Cell will autofill based on response",INDEX('Faculties'!$O$10:$O$29,MATCH($F230,'Faculties'!$B$10:$B$29,0))),"N/A")</f>
        <v/>
      </c>
      <c r="I230" s="25">
        <f>IFERROR(IF(INDEX('Faculties'!$O$37:$O$56,MATCH($F230,'Faculties'!$B$37:$B$56,0))="","Cell will autofill based on response",INDEX('Faculties'!$O$37:$O$56,MATCH($F230,'Faculties'!$B$37:$B$56,0))),"N/A")</f>
        <v/>
      </c>
      <c r="J230" s="25">
        <f>IFERROR(IF(INDEX('Faculties'!$O$64:$O$83,MATCH($F230,'Faculties'!$B$64:$B$83,0))="","Cell will autofill based on response",INDEX('Faculties'!$O$64:$O$83,MATCH($F230,'Faculties'!$B$64:$B$83,0))),"N/A")</f>
        <v/>
      </c>
      <c r="K230" s="25">
        <f>IFERROR(IF(INDEX('Faculties'!$O$91:$O$110,MATCH($F230,'Faculties'!$B$91:$B$110,0))="","Cell will autofill based on response",INDEX('Faculties'!$O$91:$O$110,MATCH($F230,'Faculties'!$B$91:$B$110,0))),"N/A")</f>
        <v/>
      </c>
      <c r="L230" s="25">
        <f>IFERROR(IF(INDEX('CI&amp;S'!$O$10:$O$14,MATCH($F230,'CI&amp;S'!$B$10:$B$14,0))="","Cell will autofill based on response",INDEX('CI&amp;S'!$O$10:$O$14,MATCH($F230,'CI&amp;S'!$B$10:$B$14,0))),"N/A")</f>
        <v/>
      </c>
      <c r="M230" s="25">
        <f>IFERROR(IF(INDEX('CI&amp;S'!$O$22:$O$38,MATCH($F230,'CI&amp;S'!$B$22:$B$38,0))="","Cell will autofill based on response",INDEX('CI&amp;S'!$O$22:$O$38,MATCH($F230,'CI&amp;S'!$B$22:$B$38,0))),"N/A")</f>
        <v/>
      </c>
      <c r="N230" s="25">
        <f>IFERROR(IF(INDEX('CFOG'!$O$10:$O$15,MATCH($F230,'CFOG'!$B$10:$B$15,0))="","Cell will autofill based on response",INDEX('CFOG'!$O$10:$O$15,MATCH($F230,'CFOG'!$B$10:$B$15,0))),"N/A")</f>
        <v/>
      </c>
      <c r="O230" s="25">
        <f>IFERROR(IF(INDEX('CFOG'!$O$23:$O$23,MATCH($F230,'CFOG'!$B$23:$B$23,0))="","Cell will autofill based on response",INDEX('CFOG'!$O$23:$O$23,MATCH($F230,'CFOG'!$B$23:$B$23,0))),"N/A")</f>
        <v/>
      </c>
      <c r="P230" s="25">
        <f>IFERROR(IF(INDEX('ESG'!$O$10:$O$16,MATCH($F230,'ESG'!$B$10:$B$16,0))="","Cell will autofill based on response",INDEX('ESG'!$O$10:$O$16,MATCH($F230,'ESG'!$B$10:$B$16,0))),"N/A")</f>
        <v/>
      </c>
      <c r="Q230" s="25">
        <f>IFERROR(IF(INDEX('CIOG'!$O$10:$O$13,MATCH($F230,'CIOG'!$B$10:$B$13,0))="","Cell will autofill based on response",INDEX('CIOG'!$O$10:$O$13,MATCH($F230,'CIOG'!$B$10:$B$13,0))),"N/A")</f>
        <v/>
      </c>
      <c r="R230" s="25">
        <f>IFERROR(IF(INDEX('MRE'!$O$10:$O$11,MATCH($F230,'MRE'!$B$10:$B$11,0))="","Cell will autofill based on response",INDEX('MRE'!$O$10:$O$11,MATCH($F230,'MRE'!$B$10:$B$11,0))),"N/A")</f>
        <v/>
      </c>
    </row>
    <row r="231">
      <c r="A231">
        <f>F231&amp;"|"&amp;G231</f>
        <v/>
      </c>
      <c r="B231" s="29" t="inlineStr"/>
      <c r="C231" s="8" t="inlineStr"/>
      <c r="D231" s="8" t="inlineStr"/>
      <c r="E231" s="8" t="inlineStr"/>
      <c r="F231" s="8" t="inlineStr">
        <is>
          <t>CE1(a)</t>
        </is>
      </c>
      <c r="G231" s="8" t="inlineStr">
        <is>
          <t>Data source and limitations</t>
        </is>
      </c>
      <c r="H231" s="25">
        <f>IFERROR(IF(INDEX('Faculties'!$P$10:$P$29,MATCH($F231,'Faculties'!$B$10:$B$29,0))="","Cell will autofill based on response",INDEX('Faculties'!$P$10:$P$29,MATCH($F231,'Faculties'!$B$10:$B$29,0))),"N/A")</f>
        <v/>
      </c>
      <c r="I231" s="25">
        <f>IFERROR(IF(INDEX('Faculties'!$P$37:$P$56,MATCH($F231,'Faculties'!$B$37:$B$56,0))="","Cell will autofill based on response",INDEX('Faculties'!$P$37:$P$56,MATCH($F231,'Faculties'!$B$37:$B$56,0))),"N/A")</f>
        <v/>
      </c>
      <c r="J231" s="25">
        <f>IFERROR(IF(INDEX('Faculties'!$P$64:$P$83,MATCH($F231,'Faculties'!$B$64:$B$83,0))="","Cell will autofill based on response",INDEX('Faculties'!$P$64:$P$83,MATCH($F231,'Faculties'!$B$64:$B$83,0))),"N/A")</f>
        <v/>
      </c>
      <c r="K231" s="25">
        <f>IFERROR(IF(INDEX('Faculties'!$P$91:$P$110,MATCH($F231,'Faculties'!$B$91:$B$110,0))="","Cell will autofill based on response",INDEX('Faculties'!$P$91:$P$110,MATCH($F231,'Faculties'!$B$91:$B$110,0))),"N/A")</f>
        <v/>
      </c>
      <c r="L231" s="25">
        <f>IFERROR(IF(INDEX('CI&amp;S'!$P$10:$P$14,MATCH($F231,'CI&amp;S'!$B$10:$B$14,0))="","Cell will autofill based on response",INDEX('CI&amp;S'!$P$10:$P$14,MATCH($F231,'CI&amp;S'!$B$10:$B$14,0))),"N/A")</f>
        <v/>
      </c>
      <c r="M231" s="25">
        <f>IFERROR(IF(INDEX('CI&amp;S'!$P$22:$P$38,MATCH($F231,'CI&amp;S'!$B$22:$B$38,0))="","Cell will autofill based on response",INDEX('CI&amp;S'!$P$22:$P$38,MATCH($F231,'CI&amp;S'!$B$22:$B$38,0))),"N/A")</f>
        <v/>
      </c>
      <c r="N231" s="25">
        <f>IFERROR(IF(INDEX('CFOG'!$P$10:$P$15,MATCH($F231,'CFOG'!$B$10:$B$15,0))="","Cell will autofill based on response",INDEX('CFOG'!$P$10:$P$15,MATCH($F231,'CFOG'!$B$10:$B$15,0))),"N/A")</f>
        <v/>
      </c>
      <c r="O231" s="25">
        <f>IFERROR(IF(INDEX('CFOG'!$P$23:$P$23,MATCH($F231,'CFOG'!$B$23:$B$23,0))="","Cell will autofill based on response",INDEX('CFOG'!$P$23:$P$23,MATCH($F231,'CFOG'!$B$23:$B$23,0))),"N/A")</f>
        <v/>
      </c>
      <c r="P231" s="25">
        <f>IFERROR(IF(INDEX('ESG'!$P$10:$P$16,MATCH($F231,'ESG'!$B$10:$B$16,0))="","Cell will autofill based on response",INDEX('ESG'!$P$10:$P$16,MATCH($F231,'ESG'!$B$10:$B$16,0))),"N/A")</f>
        <v/>
      </c>
      <c r="Q231" s="25">
        <f>IFERROR(IF(INDEX('CIOG'!$P$10:$P$13,MATCH($F231,'CIOG'!$B$10:$B$13,0))="","Cell will autofill based on response",INDEX('CIOG'!$P$10:$P$13,MATCH($F231,'CIOG'!$B$10:$B$13,0))),"N/A")</f>
        <v/>
      </c>
      <c r="R231" s="25">
        <f>IFERROR(IF(INDEX('MRE'!$P$10:$P$11,MATCH($F231,'MRE'!$B$10:$B$11,0))="","Cell will autofill based on response",INDEX('MRE'!$P$10:$P$11,MATCH($F231,'MRE'!$B$10:$B$11,0))),"N/A")</f>
        <v/>
      </c>
    </row>
    <row r="232">
      <c r="A232">
        <f>F232&amp;"|"&amp;G232</f>
        <v/>
      </c>
      <c r="B232" s="29" t="inlineStr"/>
      <c r="C232" s="8" t="inlineStr"/>
      <c r="D232" s="8" t="inlineStr"/>
      <c r="E232" s="8" t="inlineStr"/>
      <c r="F232" s="8" t="inlineStr">
        <is>
          <t>CE1(a)</t>
        </is>
      </c>
      <c r="G232" s="8" t="inlineStr">
        <is>
          <t>Data owner confirms</t>
        </is>
      </c>
      <c r="H232" s="25">
        <f>IFERROR(IF(INDEX('Faculties'!$Q$10:$Q$29,MATCH($F232,'Faculties'!$B$10:$B$29,0))="","Cell will autofill based on response",INDEX('Faculties'!$Q$10:$Q$29,MATCH($F232,'Faculties'!$B$10:$B$29,0))),"N/A")</f>
        <v/>
      </c>
      <c r="I232" s="25">
        <f>IFERROR(IF(INDEX('Faculties'!$Q$37:$Q$56,MATCH($F232,'Faculties'!$B$37:$B$56,0))="","Cell will autofill based on response",INDEX('Faculties'!$Q$37:$Q$56,MATCH($F232,'Faculties'!$B$37:$B$56,0))),"N/A")</f>
        <v/>
      </c>
      <c r="J232" s="25">
        <f>IFERROR(IF(INDEX('Faculties'!$Q$64:$Q$83,MATCH($F232,'Faculties'!$B$64:$B$83,0))="","Cell will autofill based on response",INDEX('Faculties'!$Q$64:$Q$83,MATCH($F232,'Faculties'!$B$64:$B$83,0))),"N/A")</f>
        <v/>
      </c>
      <c r="K232" s="25">
        <f>IFERROR(IF(INDEX('Faculties'!$Q$91:$Q$110,MATCH($F232,'Faculties'!$B$91:$B$110,0))="","Cell will autofill based on response",INDEX('Faculties'!$Q$91:$Q$110,MATCH($F232,'Faculties'!$B$91:$B$110,0))),"N/A")</f>
        <v/>
      </c>
      <c r="L232" s="25">
        <f>IFERROR(IF(INDEX('CI&amp;S'!$Q$10:$Q$14,MATCH($F232,'CI&amp;S'!$B$10:$B$14,0))="","Cell will autofill based on response",INDEX('CI&amp;S'!$Q$10:$Q$14,MATCH($F232,'CI&amp;S'!$B$10:$B$14,0))),"N/A")</f>
        <v/>
      </c>
      <c r="M232" s="25">
        <f>IFERROR(IF(INDEX('CI&amp;S'!$Q$22:$Q$38,MATCH($F232,'CI&amp;S'!$B$22:$B$38,0))="","Cell will autofill based on response",INDEX('CI&amp;S'!$Q$22:$Q$38,MATCH($F232,'CI&amp;S'!$B$22:$B$38,0))),"N/A")</f>
        <v/>
      </c>
      <c r="N232" s="25">
        <f>IFERROR(IF(INDEX('CFOG'!$Q$10:$Q$15,MATCH($F232,'CFOG'!$B$10:$B$15,0))="","Cell will autofill based on response",INDEX('CFOG'!$Q$10:$Q$15,MATCH($F232,'CFOG'!$B$10:$B$15,0))),"N/A")</f>
        <v/>
      </c>
      <c r="O232" s="25">
        <f>IFERROR(IF(INDEX('CFOG'!$Q$23:$Q$23,MATCH($F232,'CFOG'!$B$23:$B$23,0))="","Cell will autofill based on response",INDEX('CFOG'!$Q$23:$Q$23,MATCH($F232,'CFOG'!$B$23:$B$23,0))),"N/A")</f>
        <v/>
      </c>
      <c r="P232" s="25">
        <f>IFERROR(IF(INDEX('ESG'!$Q$10:$Q$16,MATCH($F232,'ESG'!$B$10:$B$16,0))="","Cell will autofill based on response",INDEX('ESG'!$Q$10:$Q$16,MATCH($F232,'ESG'!$B$10:$B$16,0))),"N/A")</f>
        <v/>
      </c>
      <c r="Q232" s="25">
        <f>IFERROR(IF(INDEX('CIOG'!$Q$10:$Q$13,MATCH($F232,'CIOG'!$B$10:$B$13,0))="","Cell will autofill based on response",INDEX('CIOG'!$Q$10:$Q$13,MATCH($F232,'CIOG'!$B$10:$B$13,0))),"N/A")</f>
        <v/>
      </c>
      <c r="R232" s="25">
        <f>IFERROR(IF(INDEX('MRE'!$Q$10:$Q$11,MATCH($F232,'MRE'!$B$10:$B$11,0))="","Cell will autofill based on response",INDEX('MRE'!$Q$10:$Q$11,MATCH($F232,'MRE'!$B$10:$B$11,0))),"N/A")</f>
        <v/>
      </c>
    </row>
    <row r="233">
      <c r="A233">
        <f>F233&amp;"|"&amp;G233</f>
        <v/>
      </c>
      <c r="B233" s="7" t="inlineStr">
        <is>
          <t>CE2(a)</t>
        </is>
      </c>
      <c r="C233" s="12" t="inlineStr">
        <is>
          <t>Circular economy</t>
        </is>
      </c>
      <c r="D233" s="12" t="inlineStr">
        <is>
          <t>Comparison of year-to-year tonnes of recyclables (absolute).</t>
        </is>
      </c>
      <c r="E233" s="12" t="inlineStr">
        <is>
          <t>waste diversion rate; tonnes diverted from landfill; % change against previous baseline</t>
        </is>
      </c>
      <c r="F233" s="12" t="inlineStr">
        <is>
          <t>CE2(a)</t>
        </is>
      </c>
      <c r="G233" s="12" t="inlineStr">
        <is>
          <t>Confirm end-2026 target status</t>
        </is>
      </c>
      <c r="H233" s="25">
        <f>IFERROR(IF(INDEX('Faculties'!$L$10:$L$29,MATCH($F233,'Faculties'!$B$10:$B$29,0))="","Cell will autofill based on response",INDEX('Faculties'!$L$10:$L$29,MATCH($F233,'Faculties'!$B$10:$B$29,0))),"N/A")</f>
        <v/>
      </c>
      <c r="I233" s="25">
        <f>IFERROR(IF(INDEX('Faculties'!$L$37:$L$56,MATCH($F233,'Faculties'!$B$37:$B$56,0))="","Cell will autofill based on response",INDEX('Faculties'!$L$37:$L$56,MATCH($F233,'Faculties'!$B$37:$B$56,0))),"N/A")</f>
        <v/>
      </c>
      <c r="J233" s="25">
        <f>IFERROR(IF(INDEX('Faculties'!$L$64:$L$83,MATCH($F233,'Faculties'!$B$64:$B$83,0))="","Cell will autofill based on response",INDEX('Faculties'!$L$64:$L$83,MATCH($F233,'Faculties'!$B$64:$B$83,0))),"N/A")</f>
        <v/>
      </c>
      <c r="K233" s="25">
        <f>IFERROR(IF(INDEX('Faculties'!$L$91:$L$110,MATCH($F233,'Faculties'!$B$91:$B$110,0))="","Cell will autofill based on response",INDEX('Faculties'!$L$91:$L$110,MATCH($F233,'Faculties'!$B$91:$B$110,0))),"N/A")</f>
        <v/>
      </c>
      <c r="L233" s="25">
        <f>IFERROR(IF(INDEX('CI&amp;S'!$L$10:$L$14,MATCH($F233,'CI&amp;S'!$B$10:$B$14,0))="","Cell will autofill based on response",INDEX('CI&amp;S'!$L$10:$L$14,MATCH($F233,'CI&amp;S'!$B$10:$B$14,0))),"N/A")</f>
        <v/>
      </c>
      <c r="M233" s="25">
        <f>IFERROR(IF(INDEX('CI&amp;S'!$L$22:$L$38,MATCH($F233,'CI&amp;S'!$B$22:$B$38,0))="","Cell will autofill based on response",INDEX('CI&amp;S'!$L$22:$L$38,MATCH($F233,'CI&amp;S'!$B$22:$B$38,0))),"N/A")</f>
        <v/>
      </c>
      <c r="N233" s="25">
        <f>IFERROR(IF(INDEX('CFOG'!$L$10:$L$15,MATCH($F233,'CFOG'!$B$10:$B$15,0))="","Cell will autofill based on response",INDEX('CFOG'!$L$10:$L$15,MATCH($F233,'CFOG'!$B$10:$B$15,0))),"N/A")</f>
        <v/>
      </c>
      <c r="O233" s="25">
        <f>IFERROR(IF(INDEX('CFOG'!$L$23:$L$23,MATCH($F233,'CFOG'!$B$23:$B$23,0))="","Cell will autofill based on response",INDEX('CFOG'!$L$23:$L$23,MATCH($F233,'CFOG'!$B$23:$B$23,0))),"N/A")</f>
        <v/>
      </c>
      <c r="P233" s="25">
        <f>IFERROR(IF(INDEX('ESG'!$L$10:$L$16,MATCH($F233,'ESG'!$B$10:$B$16,0))="","Cell will autofill based on response",INDEX('ESG'!$L$10:$L$16,MATCH($F233,'ESG'!$B$10:$B$16,0))),"N/A")</f>
        <v/>
      </c>
      <c r="Q233" s="25">
        <f>IFERROR(IF(INDEX('CIOG'!$L$10:$L$13,MATCH($F233,'CIOG'!$B$10:$B$13,0))="","Cell will autofill based on response",INDEX('CIOG'!$L$10:$L$13,MATCH($F233,'CIOG'!$B$10:$B$13,0))),"N/A")</f>
        <v/>
      </c>
      <c r="R233" s="25">
        <f>IFERROR(IF(INDEX('MRE'!$L$10:$L$11,MATCH($F233,'MRE'!$B$10:$B$11,0))="","Cell will autofill based on response",INDEX('MRE'!$L$10:$L$11,MATCH($F233,'MRE'!$B$10:$B$11,0))),"N/A")</f>
        <v/>
      </c>
      <c r="T233" s="26">
        <f>COUNTIF($H233:$R233,"Cell will autofill based on response")</f>
        <v/>
      </c>
      <c r="U233" s="26">
        <f>COUNTIF($H233:$R233,"Not yet started")</f>
        <v/>
      </c>
      <c r="V233" s="26">
        <f>COUNTIF($H233:$R233,"Not met")</f>
        <v/>
      </c>
      <c r="W233" s="26">
        <f>COUNTIF($H233:$R233,"Partially met")</f>
        <v/>
      </c>
      <c r="X233" s="26">
        <f>COUNTIF($H233:$R233,"Met or exceeded")</f>
        <v/>
      </c>
      <c r="Y233" s="26">
        <f>3*X233+2*W233+V233</f>
        <v/>
      </c>
      <c r="Z233" s="26">
        <f>X233+W233+V233+U233</f>
        <v/>
      </c>
      <c r="AA233" s="27">
        <f>IF(Z233&gt;0,Y233/Z233,"No valid responses to date")</f>
        <v/>
      </c>
      <c r="AB233" s="26">
        <f>IF(ISNUMBER(AA233),INDEX(Lists!$G$2:$G$5,MATCH(ROUND(AA233,0),Lists!$H$2:$H$5,0)),"")</f>
        <v/>
      </c>
      <c r="AC233" s="28">
        <f>IF(Z233&gt;0,X233/Z233,"")</f>
        <v/>
      </c>
      <c r="AD233" s="28">
        <f>IF(Z233&gt;0,(X233+W233)/Z233,"")</f>
        <v/>
      </c>
      <c r="AE233" s="26">
        <f>IF(Z233=0,"",IF(AC233&gt;0.75,"Met or exceeded",IF(AD233&gt;=0.5,"Partially met","Not met")))</f>
        <v/>
      </c>
    </row>
    <row r="234">
      <c r="A234">
        <f>F234&amp;"|"&amp;G234</f>
        <v/>
      </c>
      <c r="B234" s="29" t="inlineStr"/>
      <c r="C234" s="8" t="inlineStr"/>
      <c r="D234" s="8" t="inlineStr"/>
      <c r="E234" s="8" t="inlineStr"/>
      <c r="F234" s="8" t="inlineStr">
        <is>
          <t>CE2(a)</t>
        </is>
      </c>
      <c r="G234" s="8" t="inlineStr">
        <is>
          <t>OPTION 1:  Target-level reporting</t>
        </is>
      </c>
      <c r="H234" s="25">
        <f>IFERROR(IF(INDEX('Faculties'!$M$10:$M$29,MATCH($F234,'Faculties'!$B$10:$B$29,0))="","Cell will autofill based on response",INDEX('Faculties'!$M$10:$M$29,MATCH($F234,'Faculties'!$B$10:$B$29,0))),"N/A")</f>
        <v/>
      </c>
      <c r="I234" s="25">
        <f>IFERROR(IF(INDEX('Faculties'!$M$37:$M$56,MATCH($F234,'Faculties'!$B$37:$B$56,0))="","Cell will autofill based on response",INDEX('Faculties'!$M$37:$M$56,MATCH($F234,'Faculties'!$B$37:$B$56,0))),"N/A")</f>
        <v/>
      </c>
      <c r="J234" s="25">
        <f>IFERROR(IF(INDEX('Faculties'!$M$64:$M$83,MATCH($F234,'Faculties'!$B$64:$B$83,0))="","Cell will autofill based on response",INDEX('Faculties'!$M$64:$M$83,MATCH($F234,'Faculties'!$B$64:$B$83,0))),"N/A")</f>
        <v/>
      </c>
      <c r="K234" s="25">
        <f>IFERROR(IF(INDEX('Faculties'!$M$91:$M$110,MATCH($F234,'Faculties'!$B$91:$B$110,0))="","Cell will autofill based on response",INDEX('Faculties'!$M$91:$M$110,MATCH($F234,'Faculties'!$B$91:$B$110,0))),"N/A")</f>
        <v/>
      </c>
      <c r="L234" s="25">
        <f>IFERROR(IF(INDEX('CI&amp;S'!$M$10:$M$14,MATCH($F234,'CI&amp;S'!$B$10:$B$14,0))="","Cell will autofill based on response",INDEX('CI&amp;S'!$M$10:$M$14,MATCH($F234,'CI&amp;S'!$B$10:$B$14,0))),"N/A")</f>
        <v/>
      </c>
      <c r="M234" s="25">
        <f>IFERROR(IF(INDEX('CI&amp;S'!$M$22:$M$38,MATCH($F234,'CI&amp;S'!$B$22:$B$38,0))="","Cell will autofill based on response",INDEX('CI&amp;S'!$M$22:$M$38,MATCH($F234,'CI&amp;S'!$B$22:$B$38,0))),"N/A")</f>
        <v/>
      </c>
      <c r="N234" s="25">
        <f>IFERROR(IF(INDEX('CFOG'!$M$10:$M$15,MATCH($F234,'CFOG'!$B$10:$B$15,0))="","Cell will autofill based on response",INDEX('CFOG'!$M$10:$M$15,MATCH($F234,'CFOG'!$B$10:$B$15,0))),"N/A")</f>
        <v/>
      </c>
      <c r="O234" s="25">
        <f>IFERROR(IF(INDEX('CFOG'!$M$23:$M$23,MATCH($F234,'CFOG'!$B$23:$B$23,0))="","Cell will autofill based on response",INDEX('CFOG'!$M$23:$M$23,MATCH($F234,'CFOG'!$B$23:$B$23,0))),"N/A")</f>
        <v/>
      </c>
      <c r="P234" s="25">
        <f>IFERROR(IF(INDEX('ESG'!$M$10:$M$16,MATCH($F234,'ESG'!$B$10:$B$16,0))="","Cell will autofill based on response",INDEX('ESG'!$M$10:$M$16,MATCH($F234,'ESG'!$B$10:$B$16,0))),"N/A")</f>
        <v/>
      </c>
      <c r="Q234" s="25">
        <f>IFERROR(IF(INDEX('CIOG'!$M$10:$M$13,MATCH($F234,'CIOG'!$B$10:$B$13,0))="","Cell will autofill based on response",INDEX('CIOG'!$M$10:$M$13,MATCH($F234,'CIOG'!$B$10:$B$13,0))),"N/A")</f>
        <v/>
      </c>
      <c r="R234" s="25">
        <f>IFERROR(IF(INDEX('MRE'!$M$10:$M$11,MATCH($F234,'MRE'!$B$10:$B$11,0))="","Cell will autofill based on response",INDEX('MRE'!$M$10:$M$11,MATCH($F234,'MRE'!$B$10:$B$11,0))),"N/A")</f>
        <v/>
      </c>
    </row>
    <row r="235">
      <c r="A235">
        <f>F235&amp;"|"&amp;G235</f>
        <v/>
      </c>
      <c r="B235" s="29" t="inlineStr"/>
      <c r="C235" s="8" t="inlineStr"/>
      <c r="D235" s="8" t="inlineStr"/>
      <c r="E235" s="8" t="inlineStr"/>
      <c r="F235" s="8" t="inlineStr">
        <is>
          <t>CE2(a)</t>
        </is>
      </c>
      <c r="G235" s="8" t="inlineStr">
        <is>
          <t>OPTION 2:  Indicator level reporting</t>
        </is>
      </c>
      <c r="H235" s="25">
        <f>IFERROR(IF(INDEX('Faculties'!$N$10:$N$29,MATCH($F235,'Faculties'!$B$10:$B$29,0))="","Cell will autofill based on response",INDEX('Faculties'!$N$10:$N$29,MATCH($F235,'Faculties'!$B$10:$B$29,0))),"N/A")</f>
        <v/>
      </c>
      <c r="I235" s="25">
        <f>IFERROR(IF(INDEX('Faculties'!$N$37:$N$56,MATCH($F235,'Faculties'!$B$37:$B$56,0))="","Cell will autofill based on response",INDEX('Faculties'!$N$37:$N$56,MATCH($F235,'Faculties'!$B$37:$B$56,0))),"N/A")</f>
        <v/>
      </c>
      <c r="J235" s="25">
        <f>IFERROR(IF(INDEX('Faculties'!$N$64:$N$83,MATCH($F235,'Faculties'!$B$64:$B$83,0))="","Cell will autofill based on response",INDEX('Faculties'!$N$64:$N$83,MATCH($F235,'Faculties'!$B$64:$B$83,0))),"N/A")</f>
        <v/>
      </c>
      <c r="K235" s="25">
        <f>IFERROR(IF(INDEX('Faculties'!$N$91:$N$110,MATCH($F235,'Faculties'!$B$91:$B$110,0))="","Cell will autofill based on response",INDEX('Faculties'!$N$91:$N$110,MATCH($F235,'Faculties'!$B$91:$B$110,0))),"N/A")</f>
        <v/>
      </c>
      <c r="L235" s="25">
        <f>IFERROR(IF(INDEX('CI&amp;S'!$N$10:$N$14,MATCH($F235,'CI&amp;S'!$B$10:$B$14,0))="","Cell will autofill based on response",INDEX('CI&amp;S'!$N$10:$N$14,MATCH($F235,'CI&amp;S'!$B$10:$B$14,0))),"N/A")</f>
        <v/>
      </c>
      <c r="M235" s="25">
        <f>IFERROR(IF(INDEX('CI&amp;S'!$N$22:$N$38,MATCH($F235,'CI&amp;S'!$B$22:$B$38,0))="","Cell will autofill based on response",INDEX('CI&amp;S'!$N$22:$N$38,MATCH($F235,'CI&amp;S'!$B$22:$B$38,0))),"N/A")</f>
        <v/>
      </c>
      <c r="N235" s="25">
        <f>IFERROR(IF(INDEX('CFOG'!$N$10:$N$15,MATCH($F235,'CFOG'!$B$10:$B$15,0))="","Cell will autofill based on response",INDEX('CFOG'!$N$10:$N$15,MATCH($F235,'CFOG'!$B$10:$B$15,0))),"N/A")</f>
        <v/>
      </c>
      <c r="O235" s="25">
        <f>IFERROR(IF(INDEX('CFOG'!$N$23:$N$23,MATCH($F235,'CFOG'!$B$23:$B$23,0))="","Cell will autofill based on response",INDEX('CFOG'!$N$23:$N$23,MATCH($F235,'CFOG'!$B$23:$B$23,0))),"N/A")</f>
        <v/>
      </c>
      <c r="P235" s="25">
        <f>IFERROR(IF(INDEX('ESG'!$N$10:$N$16,MATCH($F235,'ESG'!$B$10:$B$16,0))="","Cell will autofill based on response",INDEX('ESG'!$N$10:$N$16,MATCH($F235,'ESG'!$B$10:$B$16,0))),"N/A")</f>
        <v/>
      </c>
      <c r="Q235" s="25">
        <f>IFERROR(IF(INDEX('CIOG'!$N$10:$N$13,MATCH($F235,'CIOG'!$B$10:$B$13,0))="","Cell will autofill based on response",INDEX('CIOG'!$N$10:$N$13,MATCH($F235,'CIOG'!$B$10:$B$13,0))),"N/A")</f>
        <v/>
      </c>
      <c r="R235" s="25">
        <f>IFERROR(IF(INDEX('MRE'!$N$10:$N$11,MATCH($F235,'MRE'!$B$10:$B$11,0))="","Cell will autofill based on response",INDEX('MRE'!$N$10:$N$11,MATCH($F235,'MRE'!$B$10:$B$11,0))),"N/A")</f>
        <v/>
      </c>
    </row>
    <row r="236">
      <c r="A236">
        <f>F236&amp;"|"&amp;G236</f>
        <v/>
      </c>
      <c r="B236" s="29" t="inlineStr"/>
      <c r="C236" s="8" t="inlineStr"/>
      <c r="D236" s="8" t="inlineStr"/>
      <c r="E236" s="8" t="inlineStr"/>
      <c r="F236" s="8" t="inlineStr">
        <is>
          <t>CE2(a)</t>
        </is>
      </c>
      <c r="G236" s="8" t="inlineStr">
        <is>
          <t>Supporting information/comments</t>
        </is>
      </c>
      <c r="H236" s="25">
        <f>IFERROR(IF(INDEX('Faculties'!$O$10:$O$29,MATCH($F236,'Faculties'!$B$10:$B$29,0))="","Cell will autofill based on response",INDEX('Faculties'!$O$10:$O$29,MATCH($F236,'Faculties'!$B$10:$B$29,0))),"N/A")</f>
        <v/>
      </c>
      <c r="I236" s="25">
        <f>IFERROR(IF(INDEX('Faculties'!$O$37:$O$56,MATCH($F236,'Faculties'!$B$37:$B$56,0))="","Cell will autofill based on response",INDEX('Faculties'!$O$37:$O$56,MATCH($F236,'Faculties'!$B$37:$B$56,0))),"N/A")</f>
        <v/>
      </c>
      <c r="J236" s="25">
        <f>IFERROR(IF(INDEX('Faculties'!$O$64:$O$83,MATCH($F236,'Faculties'!$B$64:$B$83,0))="","Cell will autofill based on response",INDEX('Faculties'!$O$64:$O$83,MATCH($F236,'Faculties'!$B$64:$B$83,0))),"N/A")</f>
        <v/>
      </c>
      <c r="K236" s="25">
        <f>IFERROR(IF(INDEX('Faculties'!$O$91:$O$110,MATCH($F236,'Faculties'!$B$91:$B$110,0))="","Cell will autofill based on response",INDEX('Faculties'!$O$91:$O$110,MATCH($F236,'Faculties'!$B$91:$B$110,0))),"N/A")</f>
        <v/>
      </c>
      <c r="L236" s="25">
        <f>IFERROR(IF(INDEX('CI&amp;S'!$O$10:$O$14,MATCH($F236,'CI&amp;S'!$B$10:$B$14,0))="","Cell will autofill based on response",INDEX('CI&amp;S'!$O$10:$O$14,MATCH($F236,'CI&amp;S'!$B$10:$B$14,0))),"N/A")</f>
        <v/>
      </c>
      <c r="M236" s="25">
        <f>IFERROR(IF(INDEX('CI&amp;S'!$O$22:$O$38,MATCH($F236,'CI&amp;S'!$B$22:$B$38,0))="","Cell will autofill based on response",INDEX('CI&amp;S'!$O$22:$O$38,MATCH($F236,'CI&amp;S'!$B$22:$B$38,0))),"N/A")</f>
        <v/>
      </c>
      <c r="N236" s="25">
        <f>IFERROR(IF(INDEX('CFOG'!$O$10:$O$15,MATCH($F236,'CFOG'!$B$10:$B$15,0))="","Cell will autofill based on response",INDEX('CFOG'!$O$10:$O$15,MATCH($F236,'CFOG'!$B$10:$B$15,0))),"N/A")</f>
        <v/>
      </c>
      <c r="O236" s="25">
        <f>IFERROR(IF(INDEX('CFOG'!$O$23:$O$23,MATCH($F236,'CFOG'!$B$23:$B$23,0))="","Cell will autofill based on response",INDEX('CFOG'!$O$23:$O$23,MATCH($F236,'CFOG'!$B$23:$B$23,0))),"N/A")</f>
        <v/>
      </c>
      <c r="P236" s="25">
        <f>IFERROR(IF(INDEX('ESG'!$O$10:$O$16,MATCH($F236,'ESG'!$B$10:$B$16,0))="","Cell will autofill based on response",INDEX('ESG'!$O$10:$O$16,MATCH($F236,'ESG'!$B$10:$B$16,0))),"N/A")</f>
        <v/>
      </c>
      <c r="Q236" s="25">
        <f>IFERROR(IF(INDEX('CIOG'!$O$10:$O$13,MATCH($F236,'CIOG'!$B$10:$B$13,0))="","Cell will autofill based on response",INDEX('CIOG'!$O$10:$O$13,MATCH($F236,'CIOG'!$B$10:$B$13,0))),"N/A")</f>
        <v/>
      </c>
      <c r="R236" s="25">
        <f>IFERROR(IF(INDEX('MRE'!$O$10:$O$11,MATCH($F236,'MRE'!$B$10:$B$11,0))="","Cell will autofill based on response",INDEX('MRE'!$O$10:$O$11,MATCH($F236,'MRE'!$B$10:$B$11,0))),"N/A")</f>
        <v/>
      </c>
    </row>
    <row r="237">
      <c r="A237">
        <f>F237&amp;"|"&amp;G237</f>
        <v/>
      </c>
      <c r="B237" s="29" t="inlineStr"/>
      <c r="C237" s="8" t="inlineStr"/>
      <c r="D237" s="8" t="inlineStr"/>
      <c r="E237" s="8" t="inlineStr"/>
      <c r="F237" s="8" t="inlineStr">
        <is>
          <t>CE2(a)</t>
        </is>
      </c>
      <c r="G237" s="8" t="inlineStr">
        <is>
          <t>Data source and limitations</t>
        </is>
      </c>
      <c r="H237" s="25">
        <f>IFERROR(IF(INDEX('Faculties'!$P$10:$P$29,MATCH($F237,'Faculties'!$B$10:$B$29,0))="","Cell will autofill based on response",INDEX('Faculties'!$P$10:$P$29,MATCH($F237,'Faculties'!$B$10:$B$29,0))),"N/A")</f>
        <v/>
      </c>
      <c r="I237" s="25">
        <f>IFERROR(IF(INDEX('Faculties'!$P$37:$P$56,MATCH($F237,'Faculties'!$B$37:$B$56,0))="","Cell will autofill based on response",INDEX('Faculties'!$P$37:$P$56,MATCH($F237,'Faculties'!$B$37:$B$56,0))),"N/A")</f>
        <v/>
      </c>
      <c r="J237" s="25">
        <f>IFERROR(IF(INDEX('Faculties'!$P$64:$P$83,MATCH($F237,'Faculties'!$B$64:$B$83,0))="","Cell will autofill based on response",INDEX('Faculties'!$P$64:$P$83,MATCH($F237,'Faculties'!$B$64:$B$83,0))),"N/A")</f>
        <v/>
      </c>
      <c r="K237" s="25">
        <f>IFERROR(IF(INDEX('Faculties'!$P$91:$P$110,MATCH($F237,'Faculties'!$B$91:$B$110,0))="","Cell will autofill based on response",INDEX('Faculties'!$P$91:$P$110,MATCH($F237,'Faculties'!$B$91:$B$110,0))),"N/A")</f>
        <v/>
      </c>
      <c r="L237" s="25">
        <f>IFERROR(IF(INDEX('CI&amp;S'!$P$10:$P$14,MATCH($F237,'CI&amp;S'!$B$10:$B$14,0))="","Cell will autofill based on response",INDEX('CI&amp;S'!$P$10:$P$14,MATCH($F237,'CI&amp;S'!$B$10:$B$14,0))),"N/A")</f>
        <v/>
      </c>
      <c r="M237" s="25">
        <f>IFERROR(IF(INDEX('CI&amp;S'!$P$22:$P$38,MATCH($F237,'CI&amp;S'!$B$22:$B$38,0))="","Cell will autofill based on response",INDEX('CI&amp;S'!$P$22:$P$38,MATCH($F237,'CI&amp;S'!$B$22:$B$38,0))),"N/A")</f>
        <v/>
      </c>
      <c r="N237" s="25">
        <f>IFERROR(IF(INDEX('CFOG'!$P$10:$P$15,MATCH($F237,'CFOG'!$B$10:$B$15,0))="","Cell will autofill based on response",INDEX('CFOG'!$P$10:$P$15,MATCH($F237,'CFOG'!$B$10:$B$15,0))),"N/A")</f>
        <v/>
      </c>
      <c r="O237" s="25">
        <f>IFERROR(IF(INDEX('CFOG'!$P$23:$P$23,MATCH($F237,'CFOG'!$B$23:$B$23,0))="","Cell will autofill based on response",INDEX('CFOG'!$P$23:$P$23,MATCH($F237,'CFOG'!$B$23:$B$23,0))),"N/A")</f>
        <v/>
      </c>
      <c r="P237" s="25">
        <f>IFERROR(IF(INDEX('ESG'!$P$10:$P$16,MATCH($F237,'ESG'!$B$10:$B$16,0))="","Cell will autofill based on response",INDEX('ESG'!$P$10:$P$16,MATCH($F237,'ESG'!$B$10:$B$16,0))),"N/A")</f>
        <v/>
      </c>
      <c r="Q237" s="25">
        <f>IFERROR(IF(INDEX('CIOG'!$P$10:$P$13,MATCH($F237,'CIOG'!$B$10:$B$13,0))="","Cell will autofill based on response",INDEX('CIOG'!$P$10:$P$13,MATCH($F237,'CIOG'!$B$10:$B$13,0))),"N/A")</f>
        <v/>
      </c>
      <c r="R237" s="25">
        <f>IFERROR(IF(INDEX('MRE'!$P$10:$P$11,MATCH($F237,'MRE'!$B$10:$B$11,0))="","Cell will autofill based on response",INDEX('MRE'!$P$10:$P$11,MATCH($F237,'MRE'!$B$10:$B$11,0))),"N/A")</f>
        <v/>
      </c>
    </row>
    <row r="238">
      <c r="A238">
        <f>F238&amp;"|"&amp;G238</f>
        <v/>
      </c>
      <c r="B238" s="29" t="inlineStr"/>
      <c r="C238" s="8" t="inlineStr"/>
      <c r="D238" s="8" t="inlineStr"/>
      <c r="E238" s="8" t="inlineStr"/>
      <c r="F238" s="8" t="inlineStr">
        <is>
          <t>CE2(a)</t>
        </is>
      </c>
      <c r="G238" s="8" t="inlineStr">
        <is>
          <t>Data owner confirms</t>
        </is>
      </c>
      <c r="H238" s="25">
        <f>IFERROR(IF(INDEX('Faculties'!$Q$10:$Q$29,MATCH($F238,'Faculties'!$B$10:$B$29,0))="","Cell will autofill based on response",INDEX('Faculties'!$Q$10:$Q$29,MATCH($F238,'Faculties'!$B$10:$B$29,0))),"N/A")</f>
        <v/>
      </c>
      <c r="I238" s="25">
        <f>IFERROR(IF(INDEX('Faculties'!$Q$37:$Q$56,MATCH($F238,'Faculties'!$B$37:$B$56,0))="","Cell will autofill based on response",INDEX('Faculties'!$Q$37:$Q$56,MATCH($F238,'Faculties'!$B$37:$B$56,0))),"N/A")</f>
        <v/>
      </c>
      <c r="J238" s="25">
        <f>IFERROR(IF(INDEX('Faculties'!$Q$64:$Q$83,MATCH($F238,'Faculties'!$B$64:$B$83,0))="","Cell will autofill based on response",INDEX('Faculties'!$Q$64:$Q$83,MATCH($F238,'Faculties'!$B$64:$B$83,0))),"N/A")</f>
        <v/>
      </c>
      <c r="K238" s="25">
        <f>IFERROR(IF(INDEX('Faculties'!$Q$91:$Q$110,MATCH($F238,'Faculties'!$B$91:$B$110,0))="","Cell will autofill based on response",INDEX('Faculties'!$Q$91:$Q$110,MATCH($F238,'Faculties'!$B$91:$B$110,0))),"N/A")</f>
        <v/>
      </c>
      <c r="L238" s="25">
        <f>IFERROR(IF(INDEX('CI&amp;S'!$Q$10:$Q$14,MATCH($F238,'CI&amp;S'!$B$10:$B$14,0))="","Cell will autofill based on response",INDEX('CI&amp;S'!$Q$10:$Q$14,MATCH($F238,'CI&amp;S'!$B$10:$B$14,0))),"N/A")</f>
        <v/>
      </c>
      <c r="M238" s="25">
        <f>IFERROR(IF(INDEX('CI&amp;S'!$Q$22:$Q$38,MATCH($F238,'CI&amp;S'!$B$22:$B$38,0))="","Cell will autofill based on response",INDEX('CI&amp;S'!$Q$22:$Q$38,MATCH($F238,'CI&amp;S'!$B$22:$B$38,0))),"N/A")</f>
        <v/>
      </c>
      <c r="N238" s="25">
        <f>IFERROR(IF(INDEX('CFOG'!$Q$10:$Q$15,MATCH($F238,'CFOG'!$B$10:$B$15,0))="","Cell will autofill based on response",INDEX('CFOG'!$Q$10:$Q$15,MATCH($F238,'CFOG'!$B$10:$B$15,0))),"N/A")</f>
        <v/>
      </c>
      <c r="O238" s="25">
        <f>IFERROR(IF(INDEX('CFOG'!$Q$23:$Q$23,MATCH($F238,'CFOG'!$B$23:$B$23,0))="","Cell will autofill based on response",INDEX('CFOG'!$Q$23:$Q$23,MATCH($F238,'CFOG'!$B$23:$B$23,0))),"N/A")</f>
        <v/>
      </c>
      <c r="P238" s="25">
        <f>IFERROR(IF(INDEX('ESG'!$Q$10:$Q$16,MATCH($F238,'ESG'!$B$10:$B$16,0))="","Cell will autofill based on response",INDEX('ESG'!$Q$10:$Q$16,MATCH($F238,'ESG'!$B$10:$B$16,0))),"N/A")</f>
        <v/>
      </c>
      <c r="Q238" s="25">
        <f>IFERROR(IF(INDEX('CIOG'!$Q$10:$Q$13,MATCH($F238,'CIOG'!$B$10:$B$13,0))="","Cell will autofill based on response",INDEX('CIOG'!$Q$10:$Q$13,MATCH($F238,'CIOG'!$B$10:$B$13,0))),"N/A")</f>
        <v/>
      </c>
      <c r="R238" s="25">
        <f>IFERROR(IF(INDEX('MRE'!$Q$10:$Q$11,MATCH($F238,'MRE'!$B$10:$B$11,0))="","Cell will autofill based on response",INDEX('MRE'!$Q$10:$Q$11,MATCH($F238,'MRE'!$B$10:$B$11,0))),"N/A")</f>
        <v/>
      </c>
    </row>
    <row r="239">
      <c r="A239">
        <f>F239&amp;"|"&amp;G239</f>
        <v/>
      </c>
      <c r="B239" s="7" t="inlineStr">
        <is>
          <t>RP1(a)</t>
        </is>
      </c>
      <c r="C239" s="12" t="inlineStr">
        <is>
          <t>Responsible procurement</t>
        </is>
      </c>
      <c r="D239" s="12" t="inlineStr">
        <is>
          <t>Case studies of maturity improvement related to responsible procurement process and systems.</t>
        </is>
      </c>
      <c r="E239" s="12" t="inlineStr">
        <is>
          <t>Maturity score if framework established; % procurement staff trained</t>
        </is>
      </c>
      <c r="F239" s="12" t="inlineStr">
        <is>
          <t>RP1(a)</t>
        </is>
      </c>
      <c r="G239" s="12" t="inlineStr">
        <is>
          <t>Confirm end-2026 target status</t>
        </is>
      </c>
      <c r="H239" s="25">
        <f>IFERROR(IF(INDEX('Faculties'!$L$10:$L$29,MATCH($F239,'Faculties'!$B$10:$B$29,0))="","Cell will autofill based on response",INDEX('Faculties'!$L$10:$L$29,MATCH($F239,'Faculties'!$B$10:$B$29,0))),"N/A")</f>
        <v/>
      </c>
      <c r="I239" s="25">
        <f>IFERROR(IF(INDEX('Faculties'!$L$37:$L$56,MATCH($F239,'Faculties'!$B$37:$B$56,0))="","Cell will autofill based on response",INDEX('Faculties'!$L$37:$L$56,MATCH($F239,'Faculties'!$B$37:$B$56,0))),"N/A")</f>
        <v/>
      </c>
      <c r="J239" s="25">
        <f>IFERROR(IF(INDEX('Faculties'!$L$64:$L$83,MATCH($F239,'Faculties'!$B$64:$B$83,0))="","Cell will autofill based on response",INDEX('Faculties'!$L$64:$L$83,MATCH($F239,'Faculties'!$B$64:$B$83,0))),"N/A")</f>
        <v/>
      </c>
      <c r="K239" s="25">
        <f>IFERROR(IF(INDEX('Faculties'!$L$91:$L$110,MATCH($F239,'Faculties'!$B$91:$B$110,0))="","Cell will autofill based on response",INDEX('Faculties'!$L$91:$L$110,MATCH($F239,'Faculties'!$B$91:$B$110,0))),"N/A")</f>
        <v/>
      </c>
      <c r="L239" s="25">
        <f>IFERROR(IF(INDEX('CI&amp;S'!$L$10:$L$14,MATCH($F239,'CI&amp;S'!$B$10:$B$14,0))="","Cell will autofill based on response",INDEX('CI&amp;S'!$L$10:$L$14,MATCH($F239,'CI&amp;S'!$B$10:$B$14,0))),"N/A")</f>
        <v/>
      </c>
      <c r="M239" s="25">
        <f>IFERROR(IF(INDEX('CI&amp;S'!$L$22:$L$38,MATCH($F239,'CI&amp;S'!$B$22:$B$38,0))="","Cell will autofill based on response",INDEX('CI&amp;S'!$L$22:$L$38,MATCH($F239,'CI&amp;S'!$B$22:$B$38,0))),"N/A")</f>
        <v/>
      </c>
      <c r="N239" s="25">
        <f>IFERROR(IF(INDEX('CFOG'!$L$10:$L$15,MATCH($F239,'CFOG'!$B$10:$B$15,0))="","Cell will autofill based on response",INDEX('CFOG'!$L$10:$L$15,MATCH($F239,'CFOG'!$B$10:$B$15,0))),"N/A")</f>
        <v/>
      </c>
      <c r="O239" s="25">
        <f>IFERROR(IF(INDEX('CFOG'!$L$23:$L$23,MATCH($F239,'CFOG'!$B$23:$B$23,0))="","Cell will autofill based on response",INDEX('CFOG'!$L$23:$L$23,MATCH($F239,'CFOG'!$B$23:$B$23,0))),"N/A")</f>
        <v/>
      </c>
      <c r="P239" s="25">
        <f>IFERROR(IF(INDEX('ESG'!$L$10:$L$16,MATCH($F239,'ESG'!$B$10:$B$16,0))="","Cell will autofill based on response",INDEX('ESG'!$L$10:$L$16,MATCH($F239,'ESG'!$B$10:$B$16,0))),"N/A")</f>
        <v/>
      </c>
      <c r="Q239" s="25">
        <f>IFERROR(IF(INDEX('CIOG'!$L$10:$L$13,MATCH($F239,'CIOG'!$B$10:$B$13,0))="","Cell will autofill based on response",INDEX('CIOG'!$L$10:$L$13,MATCH($F239,'CIOG'!$B$10:$B$13,0))),"N/A")</f>
        <v/>
      </c>
      <c r="R239" s="25">
        <f>IFERROR(IF(INDEX('MRE'!$L$10:$L$11,MATCH($F239,'MRE'!$B$10:$B$11,0))="","Cell will autofill based on response",INDEX('MRE'!$L$10:$L$11,MATCH($F239,'MRE'!$B$10:$B$11,0))),"N/A")</f>
        <v/>
      </c>
      <c r="T239" s="26">
        <f>COUNTIF($H239:$R239,"Cell will autofill based on response")</f>
        <v/>
      </c>
      <c r="U239" s="26">
        <f>COUNTIF($H239:$R239,"Not yet started")</f>
        <v/>
      </c>
      <c r="V239" s="26">
        <f>COUNTIF($H239:$R239,"Not met")</f>
        <v/>
      </c>
      <c r="W239" s="26">
        <f>COUNTIF($H239:$R239,"Partially met")</f>
        <v/>
      </c>
      <c r="X239" s="26">
        <f>COUNTIF($H239:$R239,"Met or exceeded")</f>
        <v/>
      </c>
      <c r="Y239" s="26">
        <f>3*X239+2*W239+V239</f>
        <v/>
      </c>
      <c r="Z239" s="26">
        <f>X239+W239+V239+U239</f>
        <v/>
      </c>
      <c r="AA239" s="27">
        <f>IF(Z239&gt;0,Y239/Z239,"No valid responses to date")</f>
        <v/>
      </c>
      <c r="AB239" s="26">
        <f>IF(ISNUMBER(AA239),INDEX(Lists!$G$2:$G$5,MATCH(ROUND(AA239,0),Lists!$H$2:$H$5,0)),"")</f>
        <v/>
      </c>
      <c r="AC239" s="28">
        <f>IF(Z239&gt;0,X239/Z239,"")</f>
        <v/>
      </c>
      <c r="AD239" s="28">
        <f>IF(Z239&gt;0,(X239+W239)/Z239,"")</f>
        <v/>
      </c>
      <c r="AE239" s="26">
        <f>IF(Z239=0,"",IF(AC239&gt;0.75,"Met or exceeded",IF(AD239&gt;=0.5,"Partially met","Not met")))</f>
        <v/>
      </c>
    </row>
    <row r="240">
      <c r="A240">
        <f>F240&amp;"|"&amp;G240</f>
        <v/>
      </c>
      <c r="B240" s="29" t="inlineStr"/>
      <c r="C240" s="8" t="inlineStr"/>
      <c r="D240" s="8" t="inlineStr"/>
      <c r="E240" s="8" t="inlineStr"/>
      <c r="F240" s="8" t="inlineStr">
        <is>
          <t>RP1(a)</t>
        </is>
      </c>
      <c r="G240" s="8" t="inlineStr">
        <is>
          <t>OPTION 1:  Target-level reporting</t>
        </is>
      </c>
      <c r="H240" s="25">
        <f>IFERROR(IF(INDEX('Faculties'!$M$10:$M$29,MATCH($F240,'Faculties'!$B$10:$B$29,0))="","Cell will autofill based on response",INDEX('Faculties'!$M$10:$M$29,MATCH($F240,'Faculties'!$B$10:$B$29,0))),"N/A")</f>
        <v/>
      </c>
      <c r="I240" s="25">
        <f>IFERROR(IF(INDEX('Faculties'!$M$37:$M$56,MATCH($F240,'Faculties'!$B$37:$B$56,0))="","Cell will autofill based on response",INDEX('Faculties'!$M$37:$M$56,MATCH($F240,'Faculties'!$B$37:$B$56,0))),"N/A")</f>
        <v/>
      </c>
      <c r="J240" s="25">
        <f>IFERROR(IF(INDEX('Faculties'!$M$64:$M$83,MATCH($F240,'Faculties'!$B$64:$B$83,0))="","Cell will autofill based on response",INDEX('Faculties'!$M$64:$M$83,MATCH($F240,'Faculties'!$B$64:$B$83,0))),"N/A")</f>
        <v/>
      </c>
      <c r="K240" s="25">
        <f>IFERROR(IF(INDEX('Faculties'!$M$91:$M$110,MATCH($F240,'Faculties'!$B$91:$B$110,0))="","Cell will autofill based on response",INDEX('Faculties'!$M$91:$M$110,MATCH($F240,'Faculties'!$B$91:$B$110,0))),"N/A")</f>
        <v/>
      </c>
      <c r="L240" s="25">
        <f>IFERROR(IF(INDEX('CI&amp;S'!$M$10:$M$14,MATCH($F240,'CI&amp;S'!$B$10:$B$14,0))="","Cell will autofill based on response",INDEX('CI&amp;S'!$M$10:$M$14,MATCH($F240,'CI&amp;S'!$B$10:$B$14,0))),"N/A")</f>
        <v/>
      </c>
      <c r="M240" s="25">
        <f>IFERROR(IF(INDEX('CI&amp;S'!$M$22:$M$38,MATCH($F240,'CI&amp;S'!$B$22:$B$38,0))="","Cell will autofill based on response",INDEX('CI&amp;S'!$M$22:$M$38,MATCH($F240,'CI&amp;S'!$B$22:$B$38,0))),"N/A")</f>
        <v/>
      </c>
      <c r="N240" s="25">
        <f>IFERROR(IF(INDEX('CFOG'!$M$10:$M$15,MATCH($F240,'CFOG'!$B$10:$B$15,0))="","Cell will autofill based on response",INDEX('CFOG'!$M$10:$M$15,MATCH($F240,'CFOG'!$B$10:$B$15,0))),"N/A")</f>
        <v/>
      </c>
      <c r="O240" s="25">
        <f>IFERROR(IF(INDEX('CFOG'!$M$23:$M$23,MATCH($F240,'CFOG'!$B$23:$B$23,0))="","Cell will autofill based on response",INDEX('CFOG'!$M$23:$M$23,MATCH($F240,'CFOG'!$B$23:$B$23,0))),"N/A")</f>
        <v/>
      </c>
      <c r="P240" s="25">
        <f>IFERROR(IF(INDEX('ESG'!$M$10:$M$16,MATCH($F240,'ESG'!$B$10:$B$16,0))="","Cell will autofill based on response",INDEX('ESG'!$M$10:$M$16,MATCH($F240,'ESG'!$B$10:$B$16,0))),"N/A")</f>
        <v/>
      </c>
      <c r="Q240" s="25">
        <f>IFERROR(IF(INDEX('CIOG'!$M$10:$M$13,MATCH($F240,'CIOG'!$B$10:$B$13,0))="","Cell will autofill based on response",INDEX('CIOG'!$M$10:$M$13,MATCH($F240,'CIOG'!$B$10:$B$13,0))),"N/A")</f>
        <v/>
      </c>
      <c r="R240" s="25">
        <f>IFERROR(IF(INDEX('MRE'!$M$10:$M$11,MATCH($F240,'MRE'!$B$10:$B$11,0))="","Cell will autofill based on response",INDEX('MRE'!$M$10:$M$11,MATCH($F240,'MRE'!$B$10:$B$11,0))),"N/A")</f>
        <v/>
      </c>
    </row>
    <row r="241">
      <c r="A241">
        <f>F241&amp;"|"&amp;G241</f>
        <v/>
      </c>
      <c r="B241" s="29" t="inlineStr"/>
      <c r="C241" s="8" t="inlineStr"/>
      <c r="D241" s="8" t="inlineStr"/>
      <c r="E241" s="8" t="inlineStr"/>
      <c r="F241" s="8" t="inlineStr">
        <is>
          <t>RP1(a)</t>
        </is>
      </c>
      <c r="G241" s="8" t="inlineStr">
        <is>
          <t>OPTION 2:  Indicator level reporting</t>
        </is>
      </c>
      <c r="H241" s="25">
        <f>IFERROR(IF(INDEX('Faculties'!$N$10:$N$29,MATCH($F241,'Faculties'!$B$10:$B$29,0))="","Cell will autofill based on response",INDEX('Faculties'!$N$10:$N$29,MATCH($F241,'Faculties'!$B$10:$B$29,0))),"N/A")</f>
        <v/>
      </c>
      <c r="I241" s="25">
        <f>IFERROR(IF(INDEX('Faculties'!$N$37:$N$56,MATCH($F241,'Faculties'!$B$37:$B$56,0))="","Cell will autofill based on response",INDEX('Faculties'!$N$37:$N$56,MATCH($F241,'Faculties'!$B$37:$B$56,0))),"N/A")</f>
        <v/>
      </c>
      <c r="J241" s="25">
        <f>IFERROR(IF(INDEX('Faculties'!$N$64:$N$83,MATCH($F241,'Faculties'!$B$64:$B$83,0))="","Cell will autofill based on response",INDEX('Faculties'!$N$64:$N$83,MATCH($F241,'Faculties'!$B$64:$B$83,0))),"N/A")</f>
        <v/>
      </c>
      <c r="K241" s="25">
        <f>IFERROR(IF(INDEX('Faculties'!$N$91:$N$110,MATCH($F241,'Faculties'!$B$91:$B$110,0))="","Cell will autofill based on response",INDEX('Faculties'!$N$91:$N$110,MATCH($F241,'Faculties'!$B$91:$B$110,0))),"N/A")</f>
        <v/>
      </c>
      <c r="L241" s="25">
        <f>IFERROR(IF(INDEX('CI&amp;S'!$N$10:$N$14,MATCH($F241,'CI&amp;S'!$B$10:$B$14,0))="","Cell will autofill based on response",INDEX('CI&amp;S'!$N$10:$N$14,MATCH($F241,'CI&amp;S'!$B$10:$B$14,0))),"N/A")</f>
        <v/>
      </c>
      <c r="M241" s="25">
        <f>IFERROR(IF(INDEX('CI&amp;S'!$N$22:$N$38,MATCH($F241,'CI&amp;S'!$B$22:$B$38,0))="","Cell will autofill based on response",INDEX('CI&amp;S'!$N$22:$N$38,MATCH($F241,'CI&amp;S'!$B$22:$B$38,0))),"N/A")</f>
        <v/>
      </c>
      <c r="N241" s="25">
        <f>IFERROR(IF(INDEX('CFOG'!$N$10:$N$15,MATCH($F241,'CFOG'!$B$10:$B$15,0))="","Cell will autofill based on response",INDEX('CFOG'!$N$10:$N$15,MATCH($F241,'CFOG'!$B$10:$B$15,0))),"N/A")</f>
        <v/>
      </c>
      <c r="O241" s="25">
        <f>IFERROR(IF(INDEX('CFOG'!$N$23:$N$23,MATCH($F241,'CFOG'!$B$23:$B$23,0))="","Cell will autofill based on response",INDEX('CFOG'!$N$23:$N$23,MATCH($F241,'CFOG'!$B$23:$B$23,0))),"N/A")</f>
        <v/>
      </c>
      <c r="P241" s="25">
        <f>IFERROR(IF(INDEX('ESG'!$N$10:$N$16,MATCH($F241,'ESG'!$B$10:$B$16,0))="","Cell will autofill based on response",INDEX('ESG'!$N$10:$N$16,MATCH($F241,'ESG'!$B$10:$B$16,0))),"N/A")</f>
        <v/>
      </c>
      <c r="Q241" s="25">
        <f>IFERROR(IF(INDEX('CIOG'!$N$10:$N$13,MATCH($F241,'CIOG'!$B$10:$B$13,0))="","Cell will autofill based on response",INDEX('CIOG'!$N$10:$N$13,MATCH($F241,'CIOG'!$B$10:$B$13,0))),"N/A")</f>
        <v/>
      </c>
      <c r="R241" s="25">
        <f>IFERROR(IF(INDEX('MRE'!$N$10:$N$11,MATCH($F241,'MRE'!$B$10:$B$11,0))="","Cell will autofill based on response",INDEX('MRE'!$N$10:$N$11,MATCH($F241,'MRE'!$B$10:$B$11,0))),"N/A")</f>
        <v/>
      </c>
    </row>
    <row r="242">
      <c r="A242">
        <f>F242&amp;"|"&amp;G242</f>
        <v/>
      </c>
      <c r="B242" s="29" t="inlineStr"/>
      <c r="C242" s="8" t="inlineStr"/>
      <c r="D242" s="8" t="inlineStr"/>
      <c r="E242" s="8" t="inlineStr"/>
      <c r="F242" s="8" t="inlineStr">
        <is>
          <t>RP1(a)</t>
        </is>
      </c>
      <c r="G242" s="8" t="inlineStr">
        <is>
          <t>Supporting information/comments</t>
        </is>
      </c>
      <c r="H242" s="25">
        <f>IFERROR(IF(INDEX('Faculties'!$O$10:$O$29,MATCH($F242,'Faculties'!$B$10:$B$29,0))="","Cell will autofill based on response",INDEX('Faculties'!$O$10:$O$29,MATCH($F242,'Faculties'!$B$10:$B$29,0))),"N/A")</f>
        <v/>
      </c>
      <c r="I242" s="25">
        <f>IFERROR(IF(INDEX('Faculties'!$O$37:$O$56,MATCH($F242,'Faculties'!$B$37:$B$56,0))="","Cell will autofill based on response",INDEX('Faculties'!$O$37:$O$56,MATCH($F242,'Faculties'!$B$37:$B$56,0))),"N/A")</f>
        <v/>
      </c>
      <c r="J242" s="25">
        <f>IFERROR(IF(INDEX('Faculties'!$O$64:$O$83,MATCH($F242,'Faculties'!$B$64:$B$83,0))="","Cell will autofill based on response",INDEX('Faculties'!$O$64:$O$83,MATCH($F242,'Faculties'!$B$64:$B$83,0))),"N/A")</f>
        <v/>
      </c>
      <c r="K242" s="25">
        <f>IFERROR(IF(INDEX('Faculties'!$O$91:$O$110,MATCH($F242,'Faculties'!$B$91:$B$110,0))="","Cell will autofill based on response",INDEX('Faculties'!$O$91:$O$110,MATCH($F242,'Faculties'!$B$91:$B$110,0))),"N/A")</f>
        <v/>
      </c>
      <c r="L242" s="25">
        <f>IFERROR(IF(INDEX('CI&amp;S'!$O$10:$O$14,MATCH($F242,'CI&amp;S'!$B$10:$B$14,0))="","Cell will autofill based on response",INDEX('CI&amp;S'!$O$10:$O$14,MATCH($F242,'CI&amp;S'!$B$10:$B$14,0))),"N/A")</f>
        <v/>
      </c>
      <c r="M242" s="25">
        <f>IFERROR(IF(INDEX('CI&amp;S'!$O$22:$O$38,MATCH($F242,'CI&amp;S'!$B$22:$B$38,0))="","Cell will autofill based on response",INDEX('CI&amp;S'!$O$22:$O$38,MATCH($F242,'CI&amp;S'!$B$22:$B$38,0))),"N/A")</f>
        <v/>
      </c>
      <c r="N242" s="25">
        <f>IFERROR(IF(INDEX('CFOG'!$O$10:$O$15,MATCH($F242,'CFOG'!$B$10:$B$15,0))="","Cell will autofill based on response",INDEX('CFOG'!$O$10:$O$15,MATCH($F242,'CFOG'!$B$10:$B$15,0))),"N/A")</f>
        <v/>
      </c>
      <c r="O242" s="25">
        <f>IFERROR(IF(INDEX('CFOG'!$O$23:$O$23,MATCH($F242,'CFOG'!$B$23:$B$23,0))="","Cell will autofill based on response",INDEX('CFOG'!$O$23:$O$23,MATCH($F242,'CFOG'!$B$23:$B$23,0))),"N/A")</f>
        <v/>
      </c>
      <c r="P242" s="25">
        <f>IFERROR(IF(INDEX('ESG'!$O$10:$O$16,MATCH($F242,'ESG'!$B$10:$B$16,0))="","Cell will autofill based on response",INDEX('ESG'!$O$10:$O$16,MATCH($F242,'ESG'!$B$10:$B$16,0))),"N/A")</f>
        <v/>
      </c>
      <c r="Q242" s="25">
        <f>IFERROR(IF(INDEX('CIOG'!$O$10:$O$13,MATCH($F242,'CIOG'!$B$10:$B$13,0))="","Cell will autofill based on response",INDEX('CIOG'!$O$10:$O$13,MATCH($F242,'CIOG'!$B$10:$B$13,0))),"N/A")</f>
        <v/>
      </c>
      <c r="R242" s="25">
        <f>IFERROR(IF(INDEX('MRE'!$O$10:$O$11,MATCH($F242,'MRE'!$B$10:$B$11,0))="","Cell will autofill based on response",INDEX('MRE'!$O$10:$O$11,MATCH($F242,'MRE'!$B$10:$B$11,0))),"N/A")</f>
        <v/>
      </c>
    </row>
    <row r="243">
      <c r="A243">
        <f>F243&amp;"|"&amp;G243</f>
        <v/>
      </c>
      <c r="B243" s="29" t="inlineStr"/>
      <c r="C243" s="8" t="inlineStr"/>
      <c r="D243" s="8" t="inlineStr"/>
      <c r="E243" s="8" t="inlineStr"/>
      <c r="F243" s="8" t="inlineStr">
        <is>
          <t>RP1(a)</t>
        </is>
      </c>
      <c r="G243" s="8" t="inlineStr">
        <is>
          <t>Data source and limitations</t>
        </is>
      </c>
      <c r="H243" s="25">
        <f>IFERROR(IF(INDEX('Faculties'!$P$10:$P$29,MATCH($F243,'Faculties'!$B$10:$B$29,0))="","Cell will autofill based on response",INDEX('Faculties'!$P$10:$P$29,MATCH($F243,'Faculties'!$B$10:$B$29,0))),"N/A")</f>
        <v/>
      </c>
      <c r="I243" s="25">
        <f>IFERROR(IF(INDEX('Faculties'!$P$37:$P$56,MATCH($F243,'Faculties'!$B$37:$B$56,0))="","Cell will autofill based on response",INDEX('Faculties'!$P$37:$P$56,MATCH($F243,'Faculties'!$B$37:$B$56,0))),"N/A")</f>
        <v/>
      </c>
      <c r="J243" s="25">
        <f>IFERROR(IF(INDEX('Faculties'!$P$64:$P$83,MATCH($F243,'Faculties'!$B$64:$B$83,0))="","Cell will autofill based on response",INDEX('Faculties'!$P$64:$P$83,MATCH($F243,'Faculties'!$B$64:$B$83,0))),"N/A")</f>
        <v/>
      </c>
      <c r="K243" s="25">
        <f>IFERROR(IF(INDEX('Faculties'!$P$91:$P$110,MATCH($F243,'Faculties'!$B$91:$B$110,0))="","Cell will autofill based on response",INDEX('Faculties'!$P$91:$P$110,MATCH($F243,'Faculties'!$B$91:$B$110,0))),"N/A")</f>
        <v/>
      </c>
      <c r="L243" s="25">
        <f>IFERROR(IF(INDEX('CI&amp;S'!$P$10:$P$14,MATCH($F243,'CI&amp;S'!$B$10:$B$14,0))="","Cell will autofill based on response",INDEX('CI&amp;S'!$P$10:$P$14,MATCH($F243,'CI&amp;S'!$B$10:$B$14,0))),"N/A")</f>
        <v/>
      </c>
      <c r="M243" s="25">
        <f>IFERROR(IF(INDEX('CI&amp;S'!$P$22:$P$38,MATCH($F243,'CI&amp;S'!$B$22:$B$38,0))="","Cell will autofill based on response",INDEX('CI&amp;S'!$P$22:$P$38,MATCH($F243,'CI&amp;S'!$B$22:$B$38,0))),"N/A")</f>
        <v/>
      </c>
      <c r="N243" s="25">
        <f>IFERROR(IF(INDEX('CFOG'!$P$10:$P$15,MATCH($F243,'CFOG'!$B$10:$B$15,0))="","Cell will autofill based on response",INDEX('CFOG'!$P$10:$P$15,MATCH($F243,'CFOG'!$B$10:$B$15,0))),"N/A")</f>
        <v/>
      </c>
      <c r="O243" s="25">
        <f>IFERROR(IF(INDEX('CFOG'!$P$23:$P$23,MATCH($F243,'CFOG'!$B$23:$B$23,0))="","Cell will autofill based on response",INDEX('CFOG'!$P$23:$P$23,MATCH($F243,'CFOG'!$B$23:$B$23,0))),"N/A")</f>
        <v/>
      </c>
      <c r="P243" s="25">
        <f>IFERROR(IF(INDEX('ESG'!$P$10:$P$16,MATCH($F243,'ESG'!$B$10:$B$16,0))="","Cell will autofill based on response",INDEX('ESG'!$P$10:$P$16,MATCH($F243,'ESG'!$B$10:$B$16,0))),"N/A")</f>
        <v/>
      </c>
      <c r="Q243" s="25">
        <f>IFERROR(IF(INDEX('CIOG'!$P$10:$P$13,MATCH($F243,'CIOG'!$B$10:$B$13,0))="","Cell will autofill based on response",INDEX('CIOG'!$P$10:$P$13,MATCH($F243,'CIOG'!$B$10:$B$13,0))),"N/A")</f>
        <v/>
      </c>
      <c r="R243" s="25">
        <f>IFERROR(IF(INDEX('MRE'!$P$10:$P$11,MATCH($F243,'MRE'!$B$10:$B$11,0))="","Cell will autofill based on response",INDEX('MRE'!$P$10:$P$11,MATCH($F243,'MRE'!$B$10:$B$11,0))),"N/A")</f>
        <v/>
      </c>
    </row>
    <row r="244">
      <c r="A244">
        <f>F244&amp;"|"&amp;G244</f>
        <v/>
      </c>
      <c r="B244" s="29" t="inlineStr"/>
      <c r="C244" s="8" t="inlineStr"/>
      <c r="D244" s="8" t="inlineStr"/>
      <c r="E244" s="8" t="inlineStr"/>
      <c r="F244" s="8" t="inlineStr">
        <is>
          <t>RP1(a)</t>
        </is>
      </c>
      <c r="G244" s="8" t="inlineStr">
        <is>
          <t>Data owner confirms</t>
        </is>
      </c>
      <c r="H244" s="25">
        <f>IFERROR(IF(INDEX('Faculties'!$Q$10:$Q$29,MATCH($F244,'Faculties'!$B$10:$B$29,0))="","Cell will autofill based on response",INDEX('Faculties'!$Q$10:$Q$29,MATCH($F244,'Faculties'!$B$10:$B$29,0))),"N/A")</f>
        <v/>
      </c>
      <c r="I244" s="25">
        <f>IFERROR(IF(INDEX('Faculties'!$Q$37:$Q$56,MATCH($F244,'Faculties'!$B$37:$B$56,0))="","Cell will autofill based on response",INDEX('Faculties'!$Q$37:$Q$56,MATCH($F244,'Faculties'!$B$37:$B$56,0))),"N/A")</f>
        <v/>
      </c>
      <c r="J244" s="25">
        <f>IFERROR(IF(INDEX('Faculties'!$Q$64:$Q$83,MATCH($F244,'Faculties'!$B$64:$B$83,0))="","Cell will autofill based on response",INDEX('Faculties'!$Q$64:$Q$83,MATCH($F244,'Faculties'!$B$64:$B$83,0))),"N/A")</f>
        <v/>
      </c>
      <c r="K244" s="25">
        <f>IFERROR(IF(INDEX('Faculties'!$Q$91:$Q$110,MATCH($F244,'Faculties'!$B$91:$B$110,0))="","Cell will autofill based on response",INDEX('Faculties'!$Q$91:$Q$110,MATCH($F244,'Faculties'!$B$91:$B$110,0))),"N/A")</f>
        <v/>
      </c>
      <c r="L244" s="25">
        <f>IFERROR(IF(INDEX('CI&amp;S'!$Q$10:$Q$14,MATCH($F244,'CI&amp;S'!$B$10:$B$14,0))="","Cell will autofill based on response",INDEX('CI&amp;S'!$Q$10:$Q$14,MATCH($F244,'CI&amp;S'!$B$10:$B$14,0))),"N/A")</f>
        <v/>
      </c>
      <c r="M244" s="25">
        <f>IFERROR(IF(INDEX('CI&amp;S'!$Q$22:$Q$38,MATCH($F244,'CI&amp;S'!$B$22:$B$38,0))="","Cell will autofill based on response",INDEX('CI&amp;S'!$Q$22:$Q$38,MATCH($F244,'CI&amp;S'!$B$22:$B$38,0))),"N/A")</f>
        <v/>
      </c>
      <c r="N244" s="25">
        <f>IFERROR(IF(INDEX('CFOG'!$Q$10:$Q$15,MATCH($F244,'CFOG'!$B$10:$B$15,0))="","Cell will autofill based on response",INDEX('CFOG'!$Q$10:$Q$15,MATCH($F244,'CFOG'!$B$10:$B$15,0))),"N/A")</f>
        <v/>
      </c>
      <c r="O244" s="25">
        <f>IFERROR(IF(INDEX('CFOG'!$Q$23:$Q$23,MATCH($F244,'CFOG'!$B$23:$B$23,0))="","Cell will autofill based on response",INDEX('CFOG'!$Q$23:$Q$23,MATCH($F244,'CFOG'!$B$23:$B$23,0))),"N/A")</f>
        <v/>
      </c>
      <c r="P244" s="25">
        <f>IFERROR(IF(INDEX('ESG'!$Q$10:$Q$16,MATCH($F244,'ESG'!$B$10:$B$16,0))="","Cell will autofill based on response",INDEX('ESG'!$Q$10:$Q$16,MATCH($F244,'ESG'!$B$10:$B$16,0))),"N/A")</f>
        <v/>
      </c>
      <c r="Q244" s="25">
        <f>IFERROR(IF(INDEX('CIOG'!$Q$10:$Q$13,MATCH($F244,'CIOG'!$B$10:$B$13,0))="","Cell will autofill based on response",INDEX('CIOG'!$Q$10:$Q$13,MATCH($F244,'CIOG'!$B$10:$B$13,0))),"N/A")</f>
        <v/>
      </c>
      <c r="R244" s="25">
        <f>IFERROR(IF(INDEX('MRE'!$Q$10:$Q$11,MATCH($F244,'MRE'!$B$10:$B$11,0))="","Cell will autofill based on response",INDEX('MRE'!$Q$10:$Q$11,MATCH($F244,'MRE'!$B$10:$B$11,0))),"N/A")</f>
        <v/>
      </c>
    </row>
    <row r="245">
      <c r="A245">
        <f>F245&amp;"|"&amp;G245</f>
        <v/>
      </c>
      <c r="B245" s="7" t="inlineStr">
        <is>
          <t>RP2(a)</t>
        </is>
      </c>
      <c r="C245" s="12" t="inlineStr">
        <is>
          <t>Responsible procurement</t>
        </is>
      </c>
      <c r="D245" s="12" t="inlineStr">
        <is>
          <t>Percentage of Indigenous spend of total addressable procurement spend</t>
        </is>
      </c>
      <c r="E245" s="12" t="inlineStr">
        <is>
          <t>Percentage of Indigenous spend of total addressable procurement spend</t>
        </is>
      </c>
      <c r="F245" s="12" t="inlineStr">
        <is>
          <t>RP2(a)</t>
        </is>
      </c>
      <c r="G245" s="12" t="inlineStr">
        <is>
          <t>Confirm end-2026 target status</t>
        </is>
      </c>
      <c r="H245" s="25">
        <f>IFERROR(IF(INDEX('Faculties'!$L$10:$L$29,MATCH($F245,'Faculties'!$B$10:$B$29,0))="","Cell will autofill based on response",INDEX('Faculties'!$L$10:$L$29,MATCH($F245,'Faculties'!$B$10:$B$29,0))),"N/A")</f>
        <v/>
      </c>
      <c r="I245" s="25">
        <f>IFERROR(IF(INDEX('Faculties'!$L$37:$L$56,MATCH($F245,'Faculties'!$B$37:$B$56,0))="","Cell will autofill based on response",INDEX('Faculties'!$L$37:$L$56,MATCH($F245,'Faculties'!$B$37:$B$56,0))),"N/A")</f>
        <v/>
      </c>
      <c r="J245" s="25">
        <f>IFERROR(IF(INDEX('Faculties'!$L$64:$L$83,MATCH($F245,'Faculties'!$B$64:$B$83,0))="","Cell will autofill based on response",INDEX('Faculties'!$L$64:$L$83,MATCH($F245,'Faculties'!$B$64:$B$83,0))),"N/A")</f>
        <v/>
      </c>
      <c r="K245" s="25">
        <f>IFERROR(IF(INDEX('Faculties'!$L$91:$L$110,MATCH($F245,'Faculties'!$B$91:$B$110,0))="","Cell will autofill based on response",INDEX('Faculties'!$L$91:$L$110,MATCH($F245,'Faculties'!$B$91:$B$110,0))),"N/A")</f>
        <v/>
      </c>
      <c r="L245" s="25">
        <f>IFERROR(IF(INDEX('CI&amp;S'!$L$10:$L$14,MATCH($F245,'CI&amp;S'!$B$10:$B$14,0))="","Cell will autofill based on response",INDEX('CI&amp;S'!$L$10:$L$14,MATCH($F245,'CI&amp;S'!$B$10:$B$14,0))),"N/A")</f>
        <v/>
      </c>
      <c r="M245" s="25">
        <f>IFERROR(IF(INDEX('CI&amp;S'!$L$22:$L$38,MATCH($F245,'CI&amp;S'!$B$22:$B$38,0))="","Cell will autofill based on response",INDEX('CI&amp;S'!$L$22:$L$38,MATCH($F245,'CI&amp;S'!$B$22:$B$38,0))),"N/A")</f>
        <v/>
      </c>
      <c r="N245" s="25">
        <f>IFERROR(IF(INDEX('CFOG'!$L$10:$L$15,MATCH($F245,'CFOG'!$B$10:$B$15,0))="","Cell will autofill based on response",INDEX('CFOG'!$L$10:$L$15,MATCH($F245,'CFOG'!$B$10:$B$15,0))),"N/A")</f>
        <v/>
      </c>
      <c r="O245" s="25">
        <f>IFERROR(IF(INDEX('CFOG'!$L$23:$L$23,MATCH($F245,'CFOG'!$B$23:$B$23,0))="","Cell will autofill based on response",INDEX('CFOG'!$L$23:$L$23,MATCH($F245,'CFOG'!$B$23:$B$23,0))),"N/A")</f>
        <v/>
      </c>
      <c r="P245" s="25">
        <f>IFERROR(IF(INDEX('ESG'!$L$10:$L$16,MATCH($F245,'ESG'!$B$10:$B$16,0))="","Cell will autofill based on response",INDEX('ESG'!$L$10:$L$16,MATCH($F245,'ESG'!$B$10:$B$16,0))),"N/A")</f>
        <v/>
      </c>
      <c r="Q245" s="25">
        <f>IFERROR(IF(INDEX('CIOG'!$L$10:$L$13,MATCH($F245,'CIOG'!$B$10:$B$13,0))="","Cell will autofill based on response",INDEX('CIOG'!$L$10:$L$13,MATCH($F245,'CIOG'!$B$10:$B$13,0))),"N/A")</f>
        <v/>
      </c>
      <c r="R245" s="25">
        <f>IFERROR(IF(INDEX('MRE'!$L$10:$L$11,MATCH($F245,'MRE'!$B$10:$B$11,0))="","Cell will autofill based on response",INDEX('MRE'!$L$10:$L$11,MATCH($F245,'MRE'!$B$10:$B$11,0))),"N/A")</f>
        <v/>
      </c>
      <c r="T245" s="26">
        <f>COUNTIF($H245:$R245,"Cell will autofill based on response")</f>
        <v/>
      </c>
      <c r="U245" s="26">
        <f>COUNTIF($H245:$R245,"Not yet started")</f>
        <v/>
      </c>
      <c r="V245" s="26">
        <f>COUNTIF($H245:$R245,"Not met")</f>
        <v/>
      </c>
      <c r="W245" s="26">
        <f>COUNTIF($H245:$R245,"Partially met")</f>
        <v/>
      </c>
      <c r="X245" s="26">
        <f>COUNTIF($H245:$R245,"Met or exceeded")</f>
        <v/>
      </c>
      <c r="Y245" s="26">
        <f>3*X245+2*W245+V245</f>
        <v/>
      </c>
      <c r="Z245" s="26">
        <f>X245+W245+V245+U245</f>
        <v/>
      </c>
      <c r="AA245" s="27">
        <f>IF(Z245&gt;0,Y245/Z245,"No valid responses to date")</f>
        <v/>
      </c>
      <c r="AB245" s="26">
        <f>IF(ISNUMBER(AA245),INDEX(Lists!$G$2:$G$5,MATCH(ROUND(AA245,0),Lists!$H$2:$H$5,0)),"")</f>
        <v/>
      </c>
      <c r="AC245" s="28">
        <f>IF(Z245&gt;0,X245/Z245,"")</f>
        <v/>
      </c>
      <c r="AD245" s="28">
        <f>IF(Z245&gt;0,(X245+W245)/Z245,"")</f>
        <v/>
      </c>
      <c r="AE245" s="26">
        <f>IF(Z245=0,"",IF(AC245&gt;0.75,"Met or exceeded",IF(AD245&gt;=0.5,"Partially met","Not met")))</f>
        <v/>
      </c>
    </row>
    <row r="246">
      <c r="A246">
        <f>F246&amp;"|"&amp;G246</f>
        <v/>
      </c>
      <c r="B246" s="29" t="inlineStr"/>
      <c r="C246" s="8" t="inlineStr"/>
      <c r="D246" s="8" t="inlineStr"/>
      <c r="E246" s="8" t="inlineStr"/>
      <c r="F246" s="8" t="inlineStr">
        <is>
          <t>RP2(a)</t>
        </is>
      </c>
      <c r="G246" s="8" t="inlineStr">
        <is>
          <t>OPTION 1:  Target-level reporting</t>
        </is>
      </c>
      <c r="H246" s="25">
        <f>IFERROR(IF(INDEX('Faculties'!$M$10:$M$29,MATCH($F246,'Faculties'!$B$10:$B$29,0))="","Cell will autofill based on response",INDEX('Faculties'!$M$10:$M$29,MATCH($F246,'Faculties'!$B$10:$B$29,0))),"N/A")</f>
        <v/>
      </c>
      <c r="I246" s="25">
        <f>IFERROR(IF(INDEX('Faculties'!$M$37:$M$56,MATCH($F246,'Faculties'!$B$37:$B$56,0))="","Cell will autofill based on response",INDEX('Faculties'!$M$37:$M$56,MATCH($F246,'Faculties'!$B$37:$B$56,0))),"N/A")</f>
        <v/>
      </c>
      <c r="J246" s="25">
        <f>IFERROR(IF(INDEX('Faculties'!$M$64:$M$83,MATCH($F246,'Faculties'!$B$64:$B$83,0))="","Cell will autofill based on response",INDEX('Faculties'!$M$64:$M$83,MATCH($F246,'Faculties'!$B$64:$B$83,0))),"N/A")</f>
        <v/>
      </c>
      <c r="K246" s="25">
        <f>IFERROR(IF(INDEX('Faculties'!$M$91:$M$110,MATCH($F246,'Faculties'!$B$91:$B$110,0))="","Cell will autofill based on response",INDEX('Faculties'!$M$91:$M$110,MATCH($F246,'Faculties'!$B$91:$B$110,0))),"N/A")</f>
        <v/>
      </c>
      <c r="L246" s="25">
        <f>IFERROR(IF(INDEX('CI&amp;S'!$M$10:$M$14,MATCH($F246,'CI&amp;S'!$B$10:$B$14,0))="","Cell will autofill based on response",INDEX('CI&amp;S'!$M$10:$M$14,MATCH($F246,'CI&amp;S'!$B$10:$B$14,0))),"N/A")</f>
        <v/>
      </c>
      <c r="M246" s="25">
        <f>IFERROR(IF(INDEX('CI&amp;S'!$M$22:$M$38,MATCH($F246,'CI&amp;S'!$B$22:$B$38,0))="","Cell will autofill based on response",INDEX('CI&amp;S'!$M$22:$M$38,MATCH($F246,'CI&amp;S'!$B$22:$B$38,0))),"N/A")</f>
        <v/>
      </c>
      <c r="N246" s="25">
        <f>IFERROR(IF(INDEX('CFOG'!$M$10:$M$15,MATCH($F246,'CFOG'!$B$10:$B$15,0))="","Cell will autofill based on response",INDEX('CFOG'!$M$10:$M$15,MATCH($F246,'CFOG'!$B$10:$B$15,0))),"N/A")</f>
        <v/>
      </c>
      <c r="O246" s="25">
        <f>IFERROR(IF(INDEX('CFOG'!$M$23:$M$23,MATCH($F246,'CFOG'!$B$23:$B$23,0))="","Cell will autofill based on response",INDEX('CFOG'!$M$23:$M$23,MATCH($F246,'CFOG'!$B$23:$B$23,0))),"N/A")</f>
        <v/>
      </c>
      <c r="P246" s="25">
        <f>IFERROR(IF(INDEX('ESG'!$M$10:$M$16,MATCH($F246,'ESG'!$B$10:$B$16,0))="","Cell will autofill based on response",INDEX('ESG'!$M$10:$M$16,MATCH($F246,'ESG'!$B$10:$B$16,0))),"N/A")</f>
        <v/>
      </c>
      <c r="Q246" s="25">
        <f>IFERROR(IF(INDEX('CIOG'!$M$10:$M$13,MATCH($F246,'CIOG'!$B$10:$B$13,0))="","Cell will autofill based on response",INDEX('CIOG'!$M$10:$M$13,MATCH($F246,'CIOG'!$B$10:$B$13,0))),"N/A")</f>
        <v/>
      </c>
      <c r="R246" s="25">
        <f>IFERROR(IF(INDEX('MRE'!$M$10:$M$11,MATCH($F246,'MRE'!$B$10:$B$11,0))="","Cell will autofill based on response",INDEX('MRE'!$M$10:$M$11,MATCH($F246,'MRE'!$B$10:$B$11,0))),"N/A")</f>
        <v/>
      </c>
    </row>
    <row r="247">
      <c r="A247">
        <f>F247&amp;"|"&amp;G247</f>
        <v/>
      </c>
      <c r="B247" s="29" t="inlineStr"/>
      <c r="C247" s="8" t="inlineStr"/>
      <c r="D247" s="8" t="inlineStr"/>
      <c r="E247" s="8" t="inlineStr"/>
      <c r="F247" s="8" t="inlineStr">
        <is>
          <t>RP2(a)</t>
        </is>
      </c>
      <c r="G247" s="8" t="inlineStr">
        <is>
          <t>OPTION 2:  Indicator level reporting</t>
        </is>
      </c>
      <c r="H247" s="25">
        <f>IFERROR(IF(INDEX('Faculties'!$N$10:$N$29,MATCH($F247,'Faculties'!$B$10:$B$29,0))="","Cell will autofill based on response",INDEX('Faculties'!$N$10:$N$29,MATCH($F247,'Faculties'!$B$10:$B$29,0))),"N/A")</f>
        <v/>
      </c>
      <c r="I247" s="25">
        <f>IFERROR(IF(INDEX('Faculties'!$N$37:$N$56,MATCH($F247,'Faculties'!$B$37:$B$56,0))="","Cell will autofill based on response",INDEX('Faculties'!$N$37:$N$56,MATCH($F247,'Faculties'!$B$37:$B$56,0))),"N/A")</f>
        <v/>
      </c>
      <c r="J247" s="25">
        <f>IFERROR(IF(INDEX('Faculties'!$N$64:$N$83,MATCH($F247,'Faculties'!$B$64:$B$83,0))="","Cell will autofill based on response",INDEX('Faculties'!$N$64:$N$83,MATCH($F247,'Faculties'!$B$64:$B$83,0))),"N/A")</f>
        <v/>
      </c>
      <c r="K247" s="25">
        <f>IFERROR(IF(INDEX('Faculties'!$N$91:$N$110,MATCH($F247,'Faculties'!$B$91:$B$110,0))="","Cell will autofill based on response",INDEX('Faculties'!$N$91:$N$110,MATCH($F247,'Faculties'!$B$91:$B$110,0))),"N/A")</f>
        <v/>
      </c>
      <c r="L247" s="25">
        <f>IFERROR(IF(INDEX('CI&amp;S'!$N$10:$N$14,MATCH($F247,'CI&amp;S'!$B$10:$B$14,0))="","Cell will autofill based on response",INDEX('CI&amp;S'!$N$10:$N$14,MATCH($F247,'CI&amp;S'!$B$10:$B$14,0))),"N/A")</f>
        <v/>
      </c>
      <c r="M247" s="25">
        <f>IFERROR(IF(INDEX('CI&amp;S'!$N$22:$N$38,MATCH($F247,'CI&amp;S'!$B$22:$B$38,0))="","Cell will autofill based on response",INDEX('CI&amp;S'!$N$22:$N$38,MATCH($F247,'CI&amp;S'!$B$22:$B$38,0))),"N/A")</f>
        <v/>
      </c>
      <c r="N247" s="25">
        <f>IFERROR(IF(INDEX('CFOG'!$N$10:$N$15,MATCH($F247,'CFOG'!$B$10:$B$15,0))="","Cell will autofill based on response",INDEX('CFOG'!$N$10:$N$15,MATCH($F247,'CFOG'!$B$10:$B$15,0))),"N/A")</f>
        <v/>
      </c>
      <c r="O247" s="25">
        <f>IFERROR(IF(INDEX('CFOG'!$N$23:$N$23,MATCH($F247,'CFOG'!$B$23:$B$23,0))="","Cell will autofill based on response",INDEX('CFOG'!$N$23:$N$23,MATCH($F247,'CFOG'!$B$23:$B$23,0))),"N/A")</f>
        <v/>
      </c>
      <c r="P247" s="25">
        <f>IFERROR(IF(INDEX('ESG'!$N$10:$N$16,MATCH($F247,'ESG'!$B$10:$B$16,0))="","Cell will autofill based on response",INDEX('ESG'!$N$10:$N$16,MATCH($F247,'ESG'!$B$10:$B$16,0))),"N/A")</f>
        <v/>
      </c>
      <c r="Q247" s="25">
        <f>IFERROR(IF(INDEX('CIOG'!$N$10:$N$13,MATCH($F247,'CIOG'!$B$10:$B$13,0))="","Cell will autofill based on response",INDEX('CIOG'!$N$10:$N$13,MATCH($F247,'CIOG'!$B$10:$B$13,0))),"N/A")</f>
        <v/>
      </c>
      <c r="R247" s="25">
        <f>IFERROR(IF(INDEX('MRE'!$N$10:$N$11,MATCH($F247,'MRE'!$B$10:$B$11,0))="","Cell will autofill based on response",INDEX('MRE'!$N$10:$N$11,MATCH($F247,'MRE'!$B$10:$B$11,0))),"N/A")</f>
        <v/>
      </c>
    </row>
    <row r="248">
      <c r="A248">
        <f>F248&amp;"|"&amp;G248</f>
        <v/>
      </c>
      <c r="B248" s="29" t="inlineStr"/>
      <c r="C248" s="8" t="inlineStr"/>
      <c r="D248" s="8" t="inlineStr"/>
      <c r="E248" s="8" t="inlineStr"/>
      <c r="F248" s="8" t="inlineStr">
        <is>
          <t>RP2(a)</t>
        </is>
      </c>
      <c r="G248" s="8" t="inlineStr">
        <is>
          <t>Supporting information/comments</t>
        </is>
      </c>
      <c r="H248" s="25">
        <f>IFERROR(IF(INDEX('Faculties'!$O$10:$O$29,MATCH($F248,'Faculties'!$B$10:$B$29,0))="","Cell will autofill based on response",INDEX('Faculties'!$O$10:$O$29,MATCH($F248,'Faculties'!$B$10:$B$29,0))),"N/A")</f>
        <v/>
      </c>
      <c r="I248" s="25">
        <f>IFERROR(IF(INDEX('Faculties'!$O$37:$O$56,MATCH($F248,'Faculties'!$B$37:$B$56,0))="","Cell will autofill based on response",INDEX('Faculties'!$O$37:$O$56,MATCH($F248,'Faculties'!$B$37:$B$56,0))),"N/A")</f>
        <v/>
      </c>
      <c r="J248" s="25">
        <f>IFERROR(IF(INDEX('Faculties'!$O$64:$O$83,MATCH($F248,'Faculties'!$B$64:$B$83,0))="","Cell will autofill based on response",INDEX('Faculties'!$O$64:$O$83,MATCH($F248,'Faculties'!$B$64:$B$83,0))),"N/A")</f>
        <v/>
      </c>
      <c r="K248" s="25">
        <f>IFERROR(IF(INDEX('Faculties'!$O$91:$O$110,MATCH($F248,'Faculties'!$B$91:$B$110,0))="","Cell will autofill based on response",INDEX('Faculties'!$O$91:$O$110,MATCH($F248,'Faculties'!$B$91:$B$110,0))),"N/A")</f>
        <v/>
      </c>
      <c r="L248" s="25">
        <f>IFERROR(IF(INDEX('CI&amp;S'!$O$10:$O$14,MATCH($F248,'CI&amp;S'!$B$10:$B$14,0))="","Cell will autofill based on response",INDEX('CI&amp;S'!$O$10:$O$14,MATCH($F248,'CI&amp;S'!$B$10:$B$14,0))),"N/A")</f>
        <v/>
      </c>
      <c r="M248" s="25">
        <f>IFERROR(IF(INDEX('CI&amp;S'!$O$22:$O$38,MATCH($F248,'CI&amp;S'!$B$22:$B$38,0))="","Cell will autofill based on response",INDEX('CI&amp;S'!$O$22:$O$38,MATCH($F248,'CI&amp;S'!$B$22:$B$38,0))),"N/A")</f>
        <v/>
      </c>
      <c r="N248" s="25">
        <f>IFERROR(IF(INDEX('CFOG'!$O$10:$O$15,MATCH($F248,'CFOG'!$B$10:$B$15,0))="","Cell will autofill based on response",INDEX('CFOG'!$O$10:$O$15,MATCH($F248,'CFOG'!$B$10:$B$15,0))),"N/A")</f>
        <v/>
      </c>
      <c r="O248" s="25">
        <f>IFERROR(IF(INDEX('CFOG'!$O$23:$O$23,MATCH($F248,'CFOG'!$B$23:$B$23,0))="","Cell will autofill based on response",INDEX('CFOG'!$O$23:$O$23,MATCH($F248,'CFOG'!$B$23:$B$23,0))),"N/A")</f>
        <v/>
      </c>
      <c r="P248" s="25">
        <f>IFERROR(IF(INDEX('ESG'!$O$10:$O$16,MATCH($F248,'ESG'!$B$10:$B$16,0))="","Cell will autofill based on response",INDEX('ESG'!$O$10:$O$16,MATCH($F248,'ESG'!$B$10:$B$16,0))),"N/A")</f>
        <v/>
      </c>
      <c r="Q248" s="25">
        <f>IFERROR(IF(INDEX('CIOG'!$O$10:$O$13,MATCH($F248,'CIOG'!$B$10:$B$13,0))="","Cell will autofill based on response",INDEX('CIOG'!$O$10:$O$13,MATCH($F248,'CIOG'!$B$10:$B$13,0))),"N/A")</f>
        <v/>
      </c>
      <c r="R248" s="25">
        <f>IFERROR(IF(INDEX('MRE'!$O$10:$O$11,MATCH($F248,'MRE'!$B$10:$B$11,0))="","Cell will autofill based on response",INDEX('MRE'!$O$10:$O$11,MATCH($F248,'MRE'!$B$10:$B$11,0))),"N/A")</f>
        <v/>
      </c>
    </row>
    <row r="249">
      <c r="A249">
        <f>F249&amp;"|"&amp;G249</f>
        <v/>
      </c>
      <c r="B249" s="29" t="inlineStr"/>
      <c r="C249" s="8" t="inlineStr"/>
      <c r="D249" s="8" t="inlineStr"/>
      <c r="E249" s="8" t="inlineStr"/>
      <c r="F249" s="8" t="inlineStr">
        <is>
          <t>RP2(a)</t>
        </is>
      </c>
      <c r="G249" s="8" t="inlineStr">
        <is>
          <t>Data source and limitations</t>
        </is>
      </c>
      <c r="H249" s="25">
        <f>IFERROR(IF(INDEX('Faculties'!$P$10:$P$29,MATCH($F249,'Faculties'!$B$10:$B$29,0))="","Cell will autofill based on response",INDEX('Faculties'!$P$10:$P$29,MATCH($F249,'Faculties'!$B$10:$B$29,0))),"N/A")</f>
        <v/>
      </c>
      <c r="I249" s="25">
        <f>IFERROR(IF(INDEX('Faculties'!$P$37:$P$56,MATCH($F249,'Faculties'!$B$37:$B$56,0))="","Cell will autofill based on response",INDEX('Faculties'!$P$37:$P$56,MATCH($F249,'Faculties'!$B$37:$B$56,0))),"N/A")</f>
        <v/>
      </c>
      <c r="J249" s="25">
        <f>IFERROR(IF(INDEX('Faculties'!$P$64:$P$83,MATCH($F249,'Faculties'!$B$64:$B$83,0))="","Cell will autofill based on response",INDEX('Faculties'!$P$64:$P$83,MATCH($F249,'Faculties'!$B$64:$B$83,0))),"N/A")</f>
        <v/>
      </c>
      <c r="K249" s="25">
        <f>IFERROR(IF(INDEX('Faculties'!$P$91:$P$110,MATCH($F249,'Faculties'!$B$91:$B$110,0))="","Cell will autofill based on response",INDEX('Faculties'!$P$91:$P$110,MATCH($F249,'Faculties'!$B$91:$B$110,0))),"N/A")</f>
        <v/>
      </c>
      <c r="L249" s="25">
        <f>IFERROR(IF(INDEX('CI&amp;S'!$P$10:$P$14,MATCH($F249,'CI&amp;S'!$B$10:$B$14,0))="","Cell will autofill based on response",INDEX('CI&amp;S'!$P$10:$P$14,MATCH($F249,'CI&amp;S'!$B$10:$B$14,0))),"N/A")</f>
        <v/>
      </c>
      <c r="M249" s="25">
        <f>IFERROR(IF(INDEX('CI&amp;S'!$P$22:$P$38,MATCH($F249,'CI&amp;S'!$B$22:$B$38,0))="","Cell will autofill based on response",INDEX('CI&amp;S'!$P$22:$P$38,MATCH($F249,'CI&amp;S'!$B$22:$B$38,0))),"N/A")</f>
        <v/>
      </c>
      <c r="N249" s="25">
        <f>IFERROR(IF(INDEX('CFOG'!$P$10:$P$15,MATCH($F249,'CFOG'!$B$10:$B$15,0))="","Cell will autofill based on response",INDEX('CFOG'!$P$10:$P$15,MATCH($F249,'CFOG'!$B$10:$B$15,0))),"N/A")</f>
        <v/>
      </c>
      <c r="O249" s="25">
        <f>IFERROR(IF(INDEX('CFOG'!$P$23:$P$23,MATCH($F249,'CFOG'!$B$23:$B$23,0))="","Cell will autofill based on response",INDEX('CFOG'!$P$23:$P$23,MATCH($F249,'CFOG'!$B$23:$B$23,0))),"N/A")</f>
        <v/>
      </c>
      <c r="P249" s="25">
        <f>IFERROR(IF(INDEX('ESG'!$P$10:$P$16,MATCH($F249,'ESG'!$B$10:$B$16,0))="","Cell will autofill based on response",INDEX('ESG'!$P$10:$P$16,MATCH($F249,'ESG'!$B$10:$B$16,0))),"N/A")</f>
        <v/>
      </c>
      <c r="Q249" s="25">
        <f>IFERROR(IF(INDEX('CIOG'!$P$10:$P$13,MATCH($F249,'CIOG'!$B$10:$B$13,0))="","Cell will autofill based on response",INDEX('CIOG'!$P$10:$P$13,MATCH($F249,'CIOG'!$B$10:$B$13,0))),"N/A")</f>
        <v/>
      </c>
      <c r="R249" s="25">
        <f>IFERROR(IF(INDEX('MRE'!$P$10:$P$11,MATCH($F249,'MRE'!$B$10:$B$11,0))="","Cell will autofill based on response",INDEX('MRE'!$P$10:$P$11,MATCH($F249,'MRE'!$B$10:$B$11,0))),"N/A")</f>
        <v/>
      </c>
    </row>
    <row r="250">
      <c r="A250">
        <f>F250&amp;"|"&amp;G250</f>
        <v/>
      </c>
      <c r="B250" s="29" t="inlineStr"/>
      <c r="C250" s="8" t="inlineStr"/>
      <c r="D250" s="8" t="inlineStr"/>
      <c r="E250" s="8" t="inlineStr"/>
      <c r="F250" s="8" t="inlineStr">
        <is>
          <t>RP2(a)</t>
        </is>
      </c>
      <c r="G250" s="8" t="inlineStr">
        <is>
          <t>Data owner confirms</t>
        </is>
      </c>
      <c r="H250" s="25">
        <f>IFERROR(IF(INDEX('Faculties'!$Q$10:$Q$29,MATCH($F250,'Faculties'!$B$10:$B$29,0))="","Cell will autofill based on response",INDEX('Faculties'!$Q$10:$Q$29,MATCH($F250,'Faculties'!$B$10:$B$29,0))),"N/A")</f>
        <v/>
      </c>
      <c r="I250" s="25">
        <f>IFERROR(IF(INDEX('Faculties'!$Q$37:$Q$56,MATCH($F250,'Faculties'!$B$37:$B$56,0))="","Cell will autofill based on response",INDEX('Faculties'!$Q$37:$Q$56,MATCH($F250,'Faculties'!$B$37:$B$56,0))),"N/A")</f>
        <v/>
      </c>
      <c r="J250" s="25">
        <f>IFERROR(IF(INDEX('Faculties'!$Q$64:$Q$83,MATCH($F250,'Faculties'!$B$64:$B$83,0))="","Cell will autofill based on response",INDEX('Faculties'!$Q$64:$Q$83,MATCH($F250,'Faculties'!$B$64:$B$83,0))),"N/A")</f>
        <v/>
      </c>
      <c r="K250" s="25">
        <f>IFERROR(IF(INDEX('Faculties'!$Q$91:$Q$110,MATCH($F250,'Faculties'!$B$91:$B$110,0))="","Cell will autofill based on response",INDEX('Faculties'!$Q$91:$Q$110,MATCH($F250,'Faculties'!$B$91:$B$110,0))),"N/A")</f>
        <v/>
      </c>
      <c r="L250" s="25">
        <f>IFERROR(IF(INDEX('CI&amp;S'!$Q$10:$Q$14,MATCH($F250,'CI&amp;S'!$B$10:$B$14,0))="","Cell will autofill based on response",INDEX('CI&amp;S'!$Q$10:$Q$14,MATCH($F250,'CI&amp;S'!$B$10:$B$14,0))),"N/A")</f>
        <v/>
      </c>
      <c r="M250" s="25">
        <f>IFERROR(IF(INDEX('CI&amp;S'!$Q$22:$Q$38,MATCH($F250,'CI&amp;S'!$B$22:$B$38,0))="","Cell will autofill based on response",INDEX('CI&amp;S'!$Q$22:$Q$38,MATCH($F250,'CI&amp;S'!$B$22:$B$38,0))),"N/A")</f>
        <v/>
      </c>
      <c r="N250" s="25">
        <f>IFERROR(IF(INDEX('CFOG'!$Q$10:$Q$15,MATCH($F250,'CFOG'!$B$10:$B$15,0))="","Cell will autofill based on response",INDEX('CFOG'!$Q$10:$Q$15,MATCH($F250,'CFOG'!$B$10:$B$15,0))),"N/A")</f>
        <v/>
      </c>
      <c r="O250" s="25">
        <f>IFERROR(IF(INDEX('CFOG'!$Q$23:$Q$23,MATCH($F250,'CFOG'!$B$23:$B$23,0))="","Cell will autofill based on response",INDEX('CFOG'!$Q$23:$Q$23,MATCH($F250,'CFOG'!$B$23:$B$23,0))),"N/A")</f>
        <v/>
      </c>
      <c r="P250" s="25">
        <f>IFERROR(IF(INDEX('ESG'!$Q$10:$Q$16,MATCH($F250,'ESG'!$B$10:$B$16,0))="","Cell will autofill based on response",INDEX('ESG'!$Q$10:$Q$16,MATCH($F250,'ESG'!$B$10:$B$16,0))),"N/A")</f>
        <v/>
      </c>
      <c r="Q250" s="25">
        <f>IFERROR(IF(INDEX('CIOG'!$Q$10:$Q$13,MATCH($F250,'CIOG'!$B$10:$B$13,0))="","Cell will autofill based on response",INDEX('CIOG'!$Q$10:$Q$13,MATCH($F250,'CIOG'!$B$10:$B$13,0))),"N/A")</f>
        <v/>
      </c>
      <c r="R250" s="25">
        <f>IFERROR(IF(INDEX('MRE'!$Q$10:$Q$11,MATCH($F250,'MRE'!$B$10:$B$11,0))="","Cell will autofill based on response",INDEX('MRE'!$Q$10:$Q$11,MATCH($F250,'MRE'!$B$10:$B$11,0))),"N/A")</f>
        <v/>
      </c>
    </row>
    <row r="251">
      <c r="A251">
        <f>F251&amp;"|"&amp;G251</f>
        <v/>
      </c>
      <c r="B251" s="7" t="inlineStr">
        <is>
          <t>RP2(b)</t>
        </is>
      </c>
      <c r="C251" s="12" t="inlineStr">
        <is>
          <t>Responsible procurement</t>
        </is>
      </c>
      <c r="D251" s="12" t="inlineStr">
        <is>
          <t>Percentage of social spend of total addressable procurement spend.</t>
        </is>
      </c>
      <c r="E251" s="12" t="inlineStr">
        <is>
          <t>Percentage of social spend of total addressable procurement spend.</t>
        </is>
      </c>
      <c r="F251" s="12" t="inlineStr">
        <is>
          <t>RP2(b)</t>
        </is>
      </c>
      <c r="G251" s="12" t="inlineStr">
        <is>
          <t>Confirm end-2026 target status</t>
        </is>
      </c>
      <c r="H251" s="25">
        <f>IFERROR(IF(INDEX('Faculties'!$L$10:$L$29,MATCH($F251,'Faculties'!$B$10:$B$29,0))="","Cell will autofill based on response",INDEX('Faculties'!$L$10:$L$29,MATCH($F251,'Faculties'!$B$10:$B$29,0))),"N/A")</f>
        <v/>
      </c>
      <c r="I251" s="25">
        <f>IFERROR(IF(INDEX('Faculties'!$L$37:$L$56,MATCH($F251,'Faculties'!$B$37:$B$56,0))="","Cell will autofill based on response",INDEX('Faculties'!$L$37:$L$56,MATCH($F251,'Faculties'!$B$37:$B$56,0))),"N/A")</f>
        <v/>
      </c>
      <c r="J251" s="25">
        <f>IFERROR(IF(INDEX('Faculties'!$L$64:$L$83,MATCH($F251,'Faculties'!$B$64:$B$83,0))="","Cell will autofill based on response",INDEX('Faculties'!$L$64:$L$83,MATCH($F251,'Faculties'!$B$64:$B$83,0))),"N/A")</f>
        <v/>
      </c>
      <c r="K251" s="25">
        <f>IFERROR(IF(INDEX('Faculties'!$L$91:$L$110,MATCH($F251,'Faculties'!$B$91:$B$110,0))="","Cell will autofill based on response",INDEX('Faculties'!$L$91:$L$110,MATCH($F251,'Faculties'!$B$91:$B$110,0))),"N/A")</f>
        <v/>
      </c>
      <c r="L251" s="25">
        <f>IFERROR(IF(INDEX('CI&amp;S'!$L$10:$L$14,MATCH($F251,'CI&amp;S'!$B$10:$B$14,0))="","Cell will autofill based on response",INDEX('CI&amp;S'!$L$10:$L$14,MATCH($F251,'CI&amp;S'!$B$10:$B$14,0))),"N/A")</f>
        <v/>
      </c>
      <c r="M251" s="25">
        <f>IFERROR(IF(INDEX('CI&amp;S'!$L$22:$L$38,MATCH($F251,'CI&amp;S'!$B$22:$B$38,0))="","Cell will autofill based on response",INDEX('CI&amp;S'!$L$22:$L$38,MATCH($F251,'CI&amp;S'!$B$22:$B$38,0))),"N/A")</f>
        <v/>
      </c>
      <c r="N251" s="25">
        <f>IFERROR(IF(INDEX('CFOG'!$L$10:$L$15,MATCH($F251,'CFOG'!$B$10:$B$15,0))="","Cell will autofill based on response",INDEX('CFOG'!$L$10:$L$15,MATCH($F251,'CFOG'!$B$10:$B$15,0))),"N/A")</f>
        <v/>
      </c>
      <c r="O251" s="25">
        <f>IFERROR(IF(INDEX('CFOG'!$L$23:$L$23,MATCH($F251,'CFOG'!$B$23:$B$23,0))="","Cell will autofill based on response",INDEX('CFOG'!$L$23:$L$23,MATCH($F251,'CFOG'!$B$23:$B$23,0))),"N/A")</f>
        <v/>
      </c>
      <c r="P251" s="25">
        <f>IFERROR(IF(INDEX('ESG'!$L$10:$L$16,MATCH($F251,'ESG'!$B$10:$B$16,0))="","Cell will autofill based on response",INDEX('ESG'!$L$10:$L$16,MATCH($F251,'ESG'!$B$10:$B$16,0))),"N/A")</f>
        <v/>
      </c>
      <c r="Q251" s="25">
        <f>IFERROR(IF(INDEX('CIOG'!$L$10:$L$13,MATCH($F251,'CIOG'!$B$10:$B$13,0))="","Cell will autofill based on response",INDEX('CIOG'!$L$10:$L$13,MATCH($F251,'CIOG'!$B$10:$B$13,0))),"N/A")</f>
        <v/>
      </c>
      <c r="R251" s="25">
        <f>IFERROR(IF(INDEX('MRE'!$L$10:$L$11,MATCH($F251,'MRE'!$B$10:$B$11,0))="","Cell will autofill based on response",INDEX('MRE'!$L$10:$L$11,MATCH($F251,'MRE'!$B$10:$B$11,0))),"N/A")</f>
        <v/>
      </c>
      <c r="T251" s="26">
        <f>COUNTIF($H251:$R251,"Cell will autofill based on response")</f>
        <v/>
      </c>
      <c r="U251" s="26">
        <f>COUNTIF($H251:$R251,"Not yet started")</f>
        <v/>
      </c>
      <c r="V251" s="26">
        <f>COUNTIF($H251:$R251,"Not met")</f>
        <v/>
      </c>
      <c r="W251" s="26">
        <f>COUNTIF($H251:$R251,"Partially met")</f>
        <v/>
      </c>
      <c r="X251" s="26">
        <f>COUNTIF($H251:$R251,"Met or exceeded")</f>
        <v/>
      </c>
      <c r="Y251" s="26">
        <f>3*X251+2*W251+V251</f>
        <v/>
      </c>
      <c r="Z251" s="26">
        <f>X251+W251+V251+U251</f>
        <v/>
      </c>
      <c r="AA251" s="27">
        <f>IF(Z251&gt;0,Y251/Z251,"No valid responses to date")</f>
        <v/>
      </c>
      <c r="AB251" s="26">
        <f>IF(ISNUMBER(AA251),INDEX(Lists!$G$2:$G$5,MATCH(ROUND(AA251,0),Lists!$H$2:$H$5,0)),"")</f>
        <v/>
      </c>
      <c r="AC251" s="28">
        <f>IF(Z251&gt;0,X251/Z251,"")</f>
        <v/>
      </c>
      <c r="AD251" s="28">
        <f>IF(Z251&gt;0,(X251+W251)/Z251,"")</f>
        <v/>
      </c>
      <c r="AE251" s="26">
        <f>IF(Z251=0,"",IF(AC251&gt;0.75,"Met or exceeded",IF(AD251&gt;=0.5,"Partially met","Not met")))</f>
        <v/>
      </c>
    </row>
    <row r="252">
      <c r="A252">
        <f>F252&amp;"|"&amp;G252</f>
        <v/>
      </c>
      <c r="B252" s="29" t="inlineStr"/>
      <c r="C252" s="8" t="inlineStr"/>
      <c r="D252" s="8" t="inlineStr"/>
      <c r="E252" s="8" t="inlineStr"/>
      <c r="F252" s="8" t="inlineStr">
        <is>
          <t>RP2(b)</t>
        </is>
      </c>
      <c r="G252" s="8" t="inlineStr">
        <is>
          <t>OPTION 1:  Target-level reporting</t>
        </is>
      </c>
      <c r="H252" s="25">
        <f>IFERROR(IF(INDEX('Faculties'!$M$10:$M$29,MATCH($F252,'Faculties'!$B$10:$B$29,0))="","Cell will autofill based on response",INDEX('Faculties'!$M$10:$M$29,MATCH($F252,'Faculties'!$B$10:$B$29,0))),"N/A")</f>
        <v/>
      </c>
      <c r="I252" s="25">
        <f>IFERROR(IF(INDEX('Faculties'!$M$37:$M$56,MATCH($F252,'Faculties'!$B$37:$B$56,0))="","Cell will autofill based on response",INDEX('Faculties'!$M$37:$M$56,MATCH($F252,'Faculties'!$B$37:$B$56,0))),"N/A")</f>
        <v/>
      </c>
      <c r="J252" s="25">
        <f>IFERROR(IF(INDEX('Faculties'!$M$64:$M$83,MATCH($F252,'Faculties'!$B$64:$B$83,0))="","Cell will autofill based on response",INDEX('Faculties'!$M$64:$M$83,MATCH($F252,'Faculties'!$B$64:$B$83,0))),"N/A")</f>
        <v/>
      </c>
      <c r="K252" s="25">
        <f>IFERROR(IF(INDEX('Faculties'!$M$91:$M$110,MATCH($F252,'Faculties'!$B$91:$B$110,0))="","Cell will autofill based on response",INDEX('Faculties'!$M$91:$M$110,MATCH($F252,'Faculties'!$B$91:$B$110,0))),"N/A")</f>
        <v/>
      </c>
      <c r="L252" s="25">
        <f>IFERROR(IF(INDEX('CI&amp;S'!$M$10:$M$14,MATCH($F252,'CI&amp;S'!$B$10:$B$14,0))="","Cell will autofill based on response",INDEX('CI&amp;S'!$M$10:$M$14,MATCH($F252,'CI&amp;S'!$B$10:$B$14,0))),"N/A")</f>
        <v/>
      </c>
      <c r="M252" s="25">
        <f>IFERROR(IF(INDEX('CI&amp;S'!$M$22:$M$38,MATCH($F252,'CI&amp;S'!$B$22:$B$38,0))="","Cell will autofill based on response",INDEX('CI&amp;S'!$M$22:$M$38,MATCH($F252,'CI&amp;S'!$B$22:$B$38,0))),"N/A")</f>
        <v/>
      </c>
      <c r="N252" s="25">
        <f>IFERROR(IF(INDEX('CFOG'!$M$10:$M$15,MATCH($F252,'CFOG'!$B$10:$B$15,0))="","Cell will autofill based on response",INDEX('CFOG'!$M$10:$M$15,MATCH($F252,'CFOG'!$B$10:$B$15,0))),"N/A")</f>
        <v/>
      </c>
      <c r="O252" s="25">
        <f>IFERROR(IF(INDEX('CFOG'!$M$23:$M$23,MATCH($F252,'CFOG'!$B$23:$B$23,0))="","Cell will autofill based on response",INDEX('CFOG'!$M$23:$M$23,MATCH($F252,'CFOG'!$B$23:$B$23,0))),"N/A")</f>
        <v/>
      </c>
      <c r="P252" s="25">
        <f>IFERROR(IF(INDEX('ESG'!$M$10:$M$16,MATCH($F252,'ESG'!$B$10:$B$16,0))="","Cell will autofill based on response",INDEX('ESG'!$M$10:$M$16,MATCH($F252,'ESG'!$B$10:$B$16,0))),"N/A")</f>
        <v/>
      </c>
      <c r="Q252" s="25">
        <f>IFERROR(IF(INDEX('CIOG'!$M$10:$M$13,MATCH($F252,'CIOG'!$B$10:$B$13,0))="","Cell will autofill based on response",INDEX('CIOG'!$M$10:$M$13,MATCH($F252,'CIOG'!$B$10:$B$13,0))),"N/A")</f>
        <v/>
      </c>
      <c r="R252" s="25">
        <f>IFERROR(IF(INDEX('MRE'!$M$10:$M$11,MATCH($F252,'MRE'!$B$10:$B$11,0))="","Cell will autofill based on response",INDEX('MRE'!$M$10:$M$11,MATCH($F252,'MRE'!$B$10:$B$11,0))),"N/A")</f>
        <v/>
      </c>
    </row>
    <row r="253">
      <c r="A253">
        <f>F253&amp;"|"&amp;G253</f>
        <v/>
      </c>
      <c r="B253" s="29" t="inlineStr"/>
      <c r="C253" s="8" t="inlineStr"/>
      <c r="D253" s="8" t="inlineStr"/>
      <c r="E253" s="8" t="inlineStr"/>
      <c r="F253" s="8" t="inlineStr">
        <is>
          <t>RP2(b)</t>
        </is>
      </c>
      <c r="G253" s="8" t="inlineStr">
        <is>
          <t>OPTION 2:  Indicator level reporting</t>
        </is>
      </c>
      <c r="H253" s="25">
        <f>IFERROR(IF(INDEX('Faculties'!$N$10:$N$29,MATCH($F253,'Faculties'!$B$10:$B$29,0))="","Cell will autofill based on response",INDEX('Faculties'!$N$10:$N$29,MATCH($F253,'Faculties'!$B$10:$B$29,0))),"N/A")</f>
        <v/>
      </c>
      <c r="I253" s="25">
        <f>IFERROR(IF(INDEX('Faculties'!$N$37:$N$56,MATCH($F253,'Faculties'!$B$37:$B$56,0))="","Cell will autofill based on response",INDEX('Faculties'!$N$37:$N$56,MATCH($F253,'Faculties'!$B$37:$B$56,0))),"N/A")</f>
        <v/>
      </c>
      <c r="J253" s="25">
        <f>IFERROR(IF(INDEX('Faculties'!$N$64:$N$83,MATCH($F253,'Faculties'!$B$64:$B$83,0))="","Cell will autofill based on response",INDEX('Faculties'!$N$64:$N$83,MATCH($F253,'Faculties'!$B$64:$B$83,0))),"N/A")</f>
        <v/>
      </c>
      <c r="K253" s="25">
        <f>IFERROR(IF(INDEX('Faculties'!$N$91:$N$110,MATCH($F253,'Faculties'!$B$91:$B$110,0))="","Cell will autofill based on response",INDEX('Faculties'!$N$91:$N$110,MATCH($F253,'Faculties'!$B$91:$B$110,0))),"N/A")</f>
        <v/>
      </c>
      <c r="L253" s="25">
        <f>IFERROR(IF(INDEX('CI&amp;S'!$N$10:$N$14,MATCH($F253,'CI&amp;S'!$B$10:$B$14,0))="","Cell will autofill based on response",INDEX('CI&amp;S'!$N$10:$N$14,MATCH($F253,'CI&amp;S'!$B$10:$B$14,0))),"N/A")</f>
        <v/>
      </c>
      <c r="M253" s="25">
        <f>IFERROR(IF(INDEX('CI&amp;S'!$N$22:$N$38,MATCH($F253,'CI&amp;S'!$B$22:$B$38,0))="","Cell will autofill based on response",INDEX('CI&amp;S'!$N$22:$N$38,MATCH($F253,'CI&amp;S'!$B$22:$B$38,0))),"N/A")</f>
        <v/>
      </c>
      <c r="N253" s="25">
        <f>IFERROR(IF(INDEX('CFOG'!$N$10:$N$15,MATCH($F253,'CFOG'!$B$10:$B$15,0))="","Cell will autofill based on response",INDEX('CFOG'!$N$10:$N$15,MATCH($F253,'CFOG'!$B$10:$B$15,0))),"N/A")</f>
        <v/>
      </c>
      <c r="O253" s="25">
        <f>IFERROR(IF(INDEX('CFOG'!$N$23:$N$23,MATCH($F253,'CFOG'!$B$23:$B$23,0))="","Cell will autofill based on response",INDEX('CFOG'!$N$23:$N$23,MATCH($F253,'CFOG'!$B$23:$B$23,0))),"N/A")</f>
        <v/>
      </c>
      <c r="P253" s="25">
        <f>IFERROR(IF(INDEX('ESG'!$N$10:$N$16,MATCH($F253,'ESG'!$B$10:$B$16,0))="","Cell will autofill based on response",INDEX('ESG'!$N$10:$N$16,MATCH($F253,'ESG'!$B$10:$B$16,0))),"N/A")</f>
        <v/>
      </c>
      <c r="Q253" s="25">
        <f>IFERROR(IF(INDEX('CIOG'!$N$10:$N$13,MATCH($F253,'CIOG'!$B$10:$B$13,0))="","Cell will autofill based on response",INDEX('CIOG'!$N$10:$N$13,MATCH($F253,'CIOG'!$B$10:$B$13,0))),"N/A")</f>
        <v/>
      </c>
      <c r="R253" s="25">
        <f>IFERROR(IF(INDEX('MRE'!$N$10:$N$11,MATCH($F253,'MRE'!$B$10:$B$11,0))="","Cell will autofill based on response",INDEX('MRE'!$N$10:$N$11,MATCH($F253,'MRE'!$B$10:$B$11,0))),"N/A")</f>
        <v/>
      </c>
    </row>
    <row r="254">
      <c r="A254">
        <f>F254&amp;"|"&amp;G254</f>
        <v/>
      </c>
      <c r="B254" s="29" t="inlineStr"/>
      <c r="C254" s="8" t="inlineStr"/>
      <c r="D254" s="8" t="inlineStr"/>
      <c r="E254" s="8" t="inlineStr"/>
      <c r="F254" s="8" t="inlineStr">
        <is>
          <t>RP2(b)</t>
        </is>
      </c>
      <c r="G254" s="8" t="inlineStr">
        <is>
          <t>Supporting information/comments</t>
        </is>
      </c>
      <c r="H254" s="25">
        <f>IFERROR(IF(INDEX('Faculties'!$O$10:$O$29,MATCH($F254,'Faculties'!$B$10:$B$29,0))="","Cell will autofill based on response",INDEX('Faculties'!$O$10:$O$29,MATCH($F254,'Faculties'!$B$10:$B$29,0))),"N/A")</f>
        <v/>
      </c>
      <c r="I254" s="25">
        <f>IFERROR(IF(INDEX('Faculties'!$O$37:$O$56,MATCH($F254,'Faculties'!$B$37:$B$56,0))="","Cell will autofill based on response",INDEX('Faculties'!$O$37:$O$56,MATCH($F254,'Faculties'!$B$37:$B$56,0))),"N/A")</f>
        <v/>
      </c>
      <c r="J254" s="25">
        <f>IFERROR(IF(INDEX('Faculties'!$O$64:$O$83,MATCH($F254,'Faculties'!$B$64:$B$83,0))="","Cell will autofill based on response",INDEX('Faculties'!$O$64:$O$83,MATCH($F254,'Faculties'!$B$64:$B$83,0))),"N/A")</f>
        <v/>
      </c>
      <c r="K254" s="25">
        <f>IFERROR(IF(INDEX('Faculties'!$O$91:$O$110,MATCH($F254,'Faculties'!$B$91:$B$110,0))="","Cell will autofill based on response",INDEX('Faculties'!$O$91:$O$110,MATCH($F254,'Faculties'!$B$91:$B$110,0))),"N/A")</f>
        <v/>
      </c>
      <c r="L254" s="25">
        <f>IFERROR(IF(INDEX('CI&amp;S'!$O$10:$O$14,MATCH($F254,'CI&amp;S'!$B$10:$B$14,0))="","Cell will autofill based on response",INDEX('CI&amp;S'!$O$10:$O$14,MATCH($F254,'CI&amp;S'!$B$10:$B$14,0))),"N/A")</f>
        <v/>
      </c>
      <c r="M254" s="25">
        <f>IFERROR(IF(INDEX('CI&amp;S'!$O$22:$O$38,MATCH($F254,'CI&amp;S'!$B$22:$B$38,0))="","Cell will autofill based on response",INDEX('CI&amp;S'!$O$22:$O$38,MATCH($F254,'CI&amp;S'!$B$22:$B$38,0))),"N/A")</f>
        <v/>
      </c>
      <c r="N254" s="25">
        <f>IFERROR(IF(INDEX('CFOG'!$O$10:$O$15,MATCH($F254,'CFOG'!$B$10:$B$15,0))="","Cell will autofill based on response",INDEX('CFOG'!$O$10:$O$15,MATCH($F254,'CFOG'!$B$10:$B$15,0))),"N/A")</f>
        <v/>
      </c>
      <c r="O254" s="25">
        <f>IFERROR(IF(INDEX('CFOG'!$O$23:$O$23,MATCH($F254,'CFOG'!$B$23:$B$23,0))="","Cell will autofill based on response",INDEX('CFOG'!$O$23:$O$23,MATCH($F254,'CFOG'!$B$23:$B$23,0))),"N/A")</f>
        <v/>
      </c>
      <c r="P254" s="25">
        <f>IFERROR(IF(INDEX('ESG'!$O$10:$O$16,MATCH($F254,'ESG'!$B$10:$B$16,0))="","Cell will autofill based on response",INDEX('ESG'!$O$10:$O$16,MATCH($F254,'ESG'!$B$10:$B$16,0))),"N/A")</f>
        <v/>
      </c>
      <c r="Q254" s="25">
        <f>IFERROR(IF(INDEX('CIOG'!$O$10:$O$13,MATCH($F254,'CIOG'!$B$10:$B$13,0))="","Cell will autofill based on response",INDEX('CIOG'!$O$10:$O$13,MATCH($F254,'CIOG'!$B$10:$B$13,0))),"N/A")</f>
        <v/>
      </c>
      <c r="R254" s="25">
        <f>IFERROR(IF(INDEX('MRE'!$O$10:$O$11,MATCH($F254,'MRE'!$B$10:$B$11,0))="","Cell will autofill based on response",INDEX('MRE'!$O$10:$O$11,MATCH($F254,'MRE'!$B$10:$B$11,0))),"N/A")</f>
        <v/>
      </c>
    </row>
    <row r="255">
      <c r="A255">
        <f>F255&amp;"|"&amp;G255</f>
        <v/>
      </c>
      <c r="B255" s="29" t="inlineStr"/>
      <c r="C255" s="8" t="inlineStr"/>
      <c r="D255" s="8" t="inlineStr"/>
      <c r="E255" s="8" t="inlineStr"/>
      <c r="F255" s="8" t="inlineStr">
        <is>
          <t>RP2(b)</t>
        </is>
      </c>
      <c r="G255" s="8" t="inlineStr">
        <is>
          <t>Data source and limitations</t>
        </is>
      </c>
      <c r="H255" s="25">
        <f>IFERROR(IF(INDEX('Faculties'!$P$10:$P$29,MATCH($F255,'Faculties'!$B$10:$B$29,0))="","Cell will autofill based on response",INDEX('Faculties'!$P$10:$P$29,MATCH($F255,'Faculties'!$B$10:$B$29,0))),"N/A")</f>
        <v/>
      </c>
      <c r="I255" s="25">
        <f>IFERROR(IF(INDEX('Faculties'!$P$37:$P$56,MATCH($F255,'Faculties'!$B$37:$B$56,0))="","Cell will autofill based on response",INDEX('Faculties'!$P$37:$P$56,MATCH($F255,'Faculties'!$B$37:$B$56,0))),"N/A")</f>
        <v/>
      </c>
      <c r="J255" s="25">
        <f>IFERROR(IF(INDEX('Faculties'!$P$64:$P$83,MATCH($F255,'Faculties'!$B$64:$B$83,0))="","Cell will autofill based on response",INDEX('Faculties'!$P$64:$P$83,MATCH($F255,'Faculties'!$B$64:$B$83,0))),"N/A")</f>
        <v/>
      </c>
      <c r="K255" s="25">
        <f>IFERROR(IF(INDEX('Faculties'!$P$91:$P$110,MATCH($F255,'Faculties'!$B$91:$B$110,0))="","Cell will autofill based on response",INDEX('Faculties'!$P$91:$P$110,MATCH($F255,'Faculties'!$B$91:$B$110,0))),"N/A")</f>
        <v/>
      </c>
      <c r="L255" s="25">
        <f>IFERROR(IF(INDEX('CI&amp;S'!$P$10:$P$14,MATCH($F255,'CI&amp;S'!$B$10:$B$14,0))="","Cell will autofill based on response",INDEX('CI&amp;S'!$P$10:$P$14,MATCH($F255,'CI&amp;S'!$B$10:$B$14,0))),"N/A")</f>
        <v/>
      </c>
      <c r="M255" s="25">
        <f>IFERROR(IF(INDEX('CI&amp;S'!$P$22:$P$38,MATCH($F255,'CI&amp;S'!$B$22:$B$38,0))="","Cell will autofill based on response",INDEX('CI&amp;S'!$P$22:$P$38,MATCH($F255,'CI&amp;S'!$B$22:$B$38,0))),"N/A")</f>
        <v/>
      </c>
      <c r="N255" s="25">
        <f>IFERROR(IF(INDEX('CFOG'!$P$10:$P$15,MATCH($F255,'CFOG'!$B$10:$B$15,0))="","Cell will autofill based on response",INDEX('CFOG'!$P$10:$P$15,MATCH($F255,'CFOG'!$B$10:$B$15,0))),"N/A")</f>
        <v/>
      </c>
      <c r="O255" s="25">
        <f>IFERROR(IF(INDEX('CFOG'!$P$23:$P$23,MATCH($F255,'CFOG'!$B$23:$B$23,0))="","Cell will autofill based on response",INDEX('CFOG'!$P$23:$P$23,MATCH($F255,'CFOG'!$B$23:$B$23,0))),"N/A")</f>
        <v/>
      </c>
      <c r="P255" s="25">
        <f>IFERROR(IF(INDEX('ESG'!$P$10:$P$16,MATCH($F255,'ESG'!$B$10:$B$16,0))="","Cell will autofill based on response",INDEX('ESG'!$P$10:$P$16,MATCH($F255,'ESG'!$B$10:$B$16,0))),"N/A")</f>
        <v/>
      </c>
      <c r="Q255" s="25">
        <f>IFERROR(IF(INDEX('CIOG'!$P$10:$P$13,MATCH($F255,'CIOG'!$B$10:$B$13,0))="","Cell will autofill based on response",INDEX('CIOG'!$P$10:$P$13,MATCH($F255,'CIOG'!$B$10:$B$13,0))),"N/A")</f>
        <v/>
      </c>
      <c r="R255" s="25">
        <f>IFERROR(IF(INDEX('MRE'!$P$10:$P$11,MATCH($F255,'MRE'!$B$10:$B$11,0))="","Cell will autofill based on response",INDEX('MRE'!$P$10:$P$11,MATCH($F255,'MRE'!$B$10:$B$11,0))),"N/A")</f>
        <v/>
      </c>
    </row>
    <row r="256">
      <c r="A256">
        <f>F256&amp;"|"&amp;G256</f>
        <v/>
      </c>
      <c r="B256" s="29" t="inlineStr"/>
      <c r="C256" s="8" t="inlineStr"/>
      <c r="D256" s="8" t="inlineStr"/>
      <c r="E256" s="8" t="inlineStr"/>
      <c r="F256" s="8" t="inlineStr">
        <is>
          <t>RP2(b)</t>
        </is>
      </c>
      <c r="G256" s="8" t="inlineStr">
        <is>
          <t>Data owner confirms</t>
        </is>
      </c>
      <c r="H256" s="25">
        <f>IFERROR(IF(INDEX('Faculties'!$Q$10:$Q$29,MATCH($F256,'Faculties'!$B$10:$B$29,0))="","Cell will autofill based on response",INDEX('Faculties'!$Q$10:$Q$29,MATCH($F256,'Faculties'!$B$10:$B$29,0))),"N/A")</f>
        <v/>
      </c>
      <c r="I256" s="25">
        <f>IFERROR(IF(INDEX('Faculties'!$Q$37:$Q$56,MATCH($F256,'Faculties'!$B$37:$B$56,0))="","Cell will autofill based on response",INDEX('Faculties'!$Q$37:$Q$56,MATCH($F256,'Faculties'!$B$37:$B$56,0))),"N/A")</f>
        <v/>
      </c>
      <c r="J256" s="25">
        <f>IFERROR(IF(INDEX('Faculties'!$Q$64:$Q$83,MATCH($F256,'Faculties'!$B$64:$B$83,0))="","Cell will autofill based on response",INDEX('Faculties'!$Q$64:$Q$83,MATCH($F256,'Faculties'!$B$64:$B$83,0))),"N/A")</f>
        <v/>
      </c>
      <c r="K256" s="25">
        <f>IFERROR(IF(INDEX('Faculties'!$Q$91:$Q$110,MATCH($F256,'Faculties'!$B$91:$B$110,0))="","Cell will autofill based on response",INDEX('Faculties'!$Q$91:$Q$110,MATCH($F256,'Faculties'!$B$91:$B$110,0))),"N/A")</f>
        <v/>
      </c>
      <c r="L256" s="25">
        <f>IFERROR(IF(INDEX('CI&amp;S'!$Q$10:$Q$14,MATCH($F256,'CI&amp;S'!$B$10:$B$14,0))="","Cell will autofill based on response",INDEX('CI&amp;S'!$Q$10:$Q$14,MATCH($F256,'CI&amp;S'!$B$10:$B$14,0))),"N/A")</f>
        <v/>
      </c>
      <c r="M256" s="25">
        <f>IFERROR(IF(INDEX('CI&amp;S'!$Q$22:$Q$38,MATCH($F256,'CI&amp;S'!$B$22:$B$38,0))="","Cell will autofill based on response",INDEX('CI&amp;S'!$Q$22:$Q$38,MATCH($F256,'CI&amp;S'!$B$22:$B$38,0))),"N/A")</f>
        <v/>
      </c>
      <c r="N256" s="25">
        <f>IFERROR(IF(INDEX('CFOG'!$Q$10:$Q$15,MATCH($F256,'CFOG'!$B$10:$B$15,0))="","Cell will autofill based on response",INDEX('CFOG'!$Q$10:$Q$15,MATCH($F256,'CFOG'!$B$10:$B$15,0))),"N/A")</f>
        <v/>
      </c>
      <c r="O256" s="25">
        <f>IFERROR(IF(INDEX('CFOG'!$Q$23:$Q$23,MATCH($F256,'CFOG'!$B$23:$B$23,0))="","Cell will autofill based on response",INDEX('CFOG'!$Q$23:$Q$23,MATCH($F256,'CFOG'!$B$23:$B$23,0))),"N/A")</f>
        <v/>
      </c>
      <c r="P256" s="25">
        <f>IFERROR(IF(INDEX('ESG'!$Q$10:$Q$16,MATCH($F256,'ESG'!$B$10:$B$16,0))="","Cell will autofill based on response",INDEX('ESG'!$Q$10:$Q$16,MATCH($F256,'ESG'!$B$10:$B$16,0))),"N/A")</f>
        <v/>
      </c>
      <c r="Q256" s="25">
        <f>IFERROR(IF(INDEX('CIOG'!$Q$10:$Q$13,MATCH($F256,'CIOG'!$B$10:$B$13,0))="","Cell will autofill based on response",INDEX('CIOG'!$Q$10:$Q$13,MATCH($F256,'CIOG'!$B$10:$B$13,0))),"N/A")</f>
        <v/>
      </c>
      <c r="R256" s="25">
        <f>IFERROR(IF(INDEX('MRE'!$Q$10:$Q$11,MATCH($F256,'MRE'!$B$10:$B$11,0))="","Cell will autofill based on response",INDEX('MRE'!$Q$10:$Q$11,MATCH($F256,'MRE'!$B$10:$B$11,0))),"N/A")</f>
        <v/>
      </c>
    </row>
    <row r="257">
      <c r="A257">
        <f>F257&amp;"|"&amp;G257</f>
        <v/>
      </c>
      <c r="B257" s="7" t="inlineStr">
        <is>
          <t>MS1(a)</t>
        </is>
      </c>
      <c r="C257" s="12" t="inlineStr">
        <is>
          <t>Modern slavery and human rights</t>
        </is>
      </c>
      <c r="D257" s="12" t="inlineStr">
        <is>
          <t>Annual progress reporting via the Modern Slavery Statement</t>
        </is>
      </c>
      <c r="E257" s="12" t="inlineStr">
        <is>
          <t>Annual Modern Slavery Statement, with case studies</t>
        </is>
      </c>
      <c r="F257" s="12" t="inlineStr">
        <is>
          <t>MS1(a)</t>
        </is>
      </c>
      <c r="G257" s="12" t="inlineStr">
        <is>
          <t>Confirm end-2026 target status</t>
        </is>
      </c>
      <c r="H257" s="25">
        <f>IFERROR(IF(INDEX('Faculties'!$L$10:$L$29,MATCH($F257,'Faculties'!$B$10:$B$29,0))="","Cell will autofill based on response",INDEX('Faculties'!$L$10:$L$29,MATCH($F257,'Faculties'!$B$10:$B$29,0))),"N/A")</f>
        <v/>
      </c>
      <c r="I257" s="25">
        <f>IFERROR(IF(INDEX('Faculties'!$L$37:$L$56,MATCH($F257,'Faculties'!$B$37:$B$56,0))="","Cell will autofill based on response",INDEX('Faculties'!$L$37:$L$56,MATCH($F257,'Faculties'!$B$37:$B$56,0))),"N/A")</f>
        <v/>
      </c>
      <c r="J257" s="25">
        <f>IFERROR(IF(INDEX('Faculties'!$L$64:$L$83,MATCH($F257,'Faculties'!$B$64:$B$83,0))="","Cell will autofill based on response",INDEX('Faculties'!$L$64:$L$83,MATCH($F257,'Faculties'!$B$64:$B$83,0))),"N/A")</f>
        <v/>
      </c>
      <c r="K257" s="25">
        <f>IFERROR(IF(INDEX('Faculties'!$L$91:$L$110,MATCH($F257,'Faculties'!$B$91:$B$110,0))="","Cell will autofill based on response",INDEX('Faculties'!$L$91:$L$110,MATCH($F257,'Faculties'!$B$91:$B$110,0))),"N/A")</f>
        <v/>
      </c>
      <c r="L257" s="25">
        <f>IFERROR(IF(INDEX('CI&amp;S'!$L$10:$L$14,MATCH($F257,'CI&amp;S'!$B$10:$B$14,0))="","Cell will autofill based on response",INDEX('CI&amp;S'!$L$10:$L$14,MATCH($F257,'CI&amp;S'!$B$10:$B$14,0))),"N/A")</f>
        <v/>
      </c>
      <c r="M257" s="25">
        <f>IFERROR(IF(INDEX('CI&amp;S'!$L$22:$L$38,MATCH($F257,'CI&amp;S'!$B$22:$B$38,0))="","Cell will autofill based on response",INDEX('CI&amp;S'!$L$22:$L$38,MATCH($F257,'CI&amp;S'!$B$22:$B$38,0))),"N/A")</f>
        <v/>
      </c>
      <c r="N257" s="25">
        <f>IFERROR(IF(INDEX('CFOG'!$L$10:$L$15,MATCH($F257,'CFOG'!$B$10:$B$15,0))="","Cell will autofill based on response",INDEX('CFOG'!$L$10:$L$15,MATCH($F257,'CFOG'!$B$10:$B$15,0))),"N/A")</f>
        <v/>
      </c>
      <c r="O257" s="25">
        <f>IFERROR(IF(INDEX('CFOG'!$L$23:$L$23,MATCH($F257,'CFOG'!$B$23:$B$23,0))="","Cell will autofill based on response",INDEX('CFOG'!$L$23:$L$23,MATCH($F257,'CFOG'!$B$23:$B$23,0))),"N/A")</f>
        <v/>
      </c>
      <c r="P257" s="25">
        <f>IFERROR(IF(INDEX('ESG'!$L$10:$L$16,MATCH($F257,'ESG'!$B$10:$B$16,0))="","Cell will autofill based on response",INDEX('ESG'!$L$10:$L$16,MATCH($F257,'ESG'!$B$10:$B$16,0))),"N/A")</f>
        <v/>
      </c>
      <c r="Q257" s="25">
        <f>IFERROR(IF(INDEX('CIOG'!$L$10:$L$13,MATCH($F257,'CIOG'!$B$10:$B$13,0))="","Cell will autofill based on response",INDEX('CIOG'!$L$10:$L$13,MATCH($F257,'CIOG'!$B$10:$B$13,0))),"N/A")</f>
        <v/>
      </c>
      <c r="R257" s="25">
        <f>IFERROR(IF(INDEX('MRE'!$L$10:$L$11,MATCH($F257,'MRE'!$B$10:$B$11,0))="","Cell will autofill based on response",INDEX('MRE'!$L$10:$L$11,MATCH($F257,'MRE'!$B$10:$B$11,0))),"N/A")</f>
        <v/>
      </c>
      <c r="T257" s="26">
        <f>COUNTIF($H257:$R257,"Cell will autofill based on response")</f>
        <v/>
      </c>
      <c r="U257" s="26">
        <f>COUNTIF($H257:$R257,"Not yet started")</f>
        <v/>
      </c>
      <c r="V257" s="26">
        <f>COUNTIF($H257:$R257,"Not met")</f>
        <v/>
      </c>
      <c r="W257" s="26">
        <f>COUNTIF($H257:$R257,"Partially met")</f>
        <v/>
      </c>
      <c r="X257" s="26">
        <f>COUNTIF($H257:$R257,"Met or exceeded")</f>
        <v/>
      </c>
      <c r="Y257" s="26">
        <f>3*X257+2*W257+V257</f>
        <v/>
      </c>
      <c r="Z257" s="26">
        <f>X257+W257+V257+U257</f>
        <v/>
      </c>
      <c r="AA257" s="27">
        <f>IF(Z257&gt;0,Y257/Z257,"No valid responses to date")</f>
        <v/>
      </c>
      <c r="AB257" s="26">
        <f>IF(ISNUMBER(AA257),INDEX(Lists!$G$2:$G$5,MATCH(ROUND(AA257,0),Lists!$H$2:$H$5,0)),"")</f>
        <v/>
      </c>
      <c r="AC257" s="28">
        <f>IF(Z257&gt;0,X257/Z257,"")</f>
        <v/>
      </c>
      <c r="AD257" s="28">
        <f>IF(Z257&gt;0,(X257+W257)/Z257,"")</f>
        <v/>
      </c>
      <c r="AE257" s="26">
        <f>IF(Z257=0,"",IF(AC257&gt;0.75,"Met or exceeded",IF(AD257&gt;=0.5,"Partially met","Not met")))</f>
        <v/>
      </c>
    </row>
    <row r="258">
      <c r="A258">
        <f>F258&amp;"|"&amp;G258</f>
        <v/>
      </c>
      <c r="B258" s="29" t="inlineStr"/>
      <c r="C258" s="8" t="inlineStr"/>
      <c r="D258" s="8" t="inlineStr"/>
      <c r="E258" s="8" t="inlineStr"/>
      <c r="F258" s="8" t="inlineStr">
        <is>
          <t>MS1(a)</t>
        </is>
      </c>
      <c r="G258" s="8" t="inlineStr">
        <is>
          <t>OPTION 1:  Target-level reporting</t>
        </is>
      </c>
      <c r="H258" s="25">
        <f>IFERROR(IF(INDEX('Faculties'!$M$10:$M$29,MATCH($F258,'Faculties'!$B$10:$B$29,0))="","Cell will autofill based on response",INDEX('Faculties'!$M$10:$M$29,MATCH($F258,'Faculties'!$B$10:$B$29,0))),"N/A")</f>
        <v/>
      </c>
      <c r="I258" s="25">
        <f>IFERROR(IF(INDEX('Faculties'!$M$37:$M$56,MATCH($F258,'Faculties'!$B$37:$B$56,0))="","Cell will autofill based on response",INDEX('Faculties'!$M$37:$M$56,MATCH($F258,'Faculties'!$B$37:$B$56,0))),"N/A")</f>
        <v/>
      </c>
      <c r="J258" s="25">
        <f>IFERROR(IF(INDEX('Faculties'!$M$64:$M$83,MATCH($F258,'Faculties'!$B$64:$B$83,0))="","Cell will autofill based on response",INDEX('Faculties'!$M$64:$M$83,MATCH($F258,'Faculties'!$B$64:$B$83,0))),"N/A")</f>
        <v/>
      </c>
      <c r="K258" s="25">
        <f>IFERROR(IF(INDEX('Faculties'!$M$91:$M$110,MATCH($F258,'Faculties'!$B$91:$B$110,0))="","Cell will autofill based on response",INDEX('Faculties'!$M$91:$M$110,MATCH($F258,'Faculties'!$B$91:$B$110,0))),"N/A")</f>
        <v/>
      </c>
      <c r="L258" s="25">
        <f>IFERROR(IF(INDEX('CI&amp;S'!$M$10:$M$14,MATCH($F258,'CI&amp;S'!$B$10:$B$14,0))="","Cell will autofill based on response",INDEX('CI&amp;S'!$M$10:$M$14,MATCH($F258,'CI&amp;S'!$B$10:$B$14,0))),"N/A")</f>
        <v/>
      </c>
      <c r="M258" s="25">
        <f>IFERROR(IF(INDEX('CI&amp;S'!$M$22:$M$38,MATCH($F258,'CI&amp;S'!$B$22:$B$38,0))="","Cell will autofill based on response",INDEX('CI&amp;S'!$M$22:$M$38,MATCH($F258,'CI&amp;S'!$B$22:$B$38,0))),"N/A")</f>
        <v/>
      </c>
      <c r="N258" s="25">
        <f>IFERROR(IF(INDEX('CFOG'!$M$10:$M$15,MATCH($F258,'CFOG'!$B$10:$B$15,0))="","Cell will autofill based on response",INDEX('CFOG'!$M$10:$M$15,MATCH($F258,'CFOG'!$B$10:$B$15,0))),"N/A")</f>
        <v/>
      </c>
      <c r="O258" s="25">
        <f>IFERROR(IF(INDEX('CFOG'!$M$23:$M$23,MATCH($F258,'CFOG'!$B$23:$B$23,0))="","Cell will autofill based on response",INDEX('CFOG'!$M$23:$M$23,MATCH($F258,'CFOG'!$B$23:$B$23,0))),"N/A")</f>
        <v/>
      </c>
      <c r="P258" s="25">
        <f>IFERROR(IF(INDEX('ESG'!$M$10:$M$16,MATCH($F258,'ESG'!$B$10:$B$16,0))="","Cell will autofill based on response",INDEX('ESG'!$M$10:$M$16,MATCH($F258,'ESG'!$B$10:$B$16,0))),"N/A")</f>
        <v/>
      </c>
      <c r="Q258" s="25">
        <f>IFERROR(IF(INDEX('CIOG'!$M$10:$M$13,MATCH($F258,'CIOG'!$B$10:$B$13,0))="","Cell will autofill based on response",INDEX('CIOG'!$M$10:$M$13,MATCH($F258,'CIOG'!$B$10:$B$13,0))),"N/A")</f>
        <v/>
      </c>
      <c r="R258" s="25">
        <f>IFERROR(IF(INDEX('MRE'!$M$10:$M$11,MATCH($F258,'MRE'!$B$10:$B$11,0))="","Cell will autofill based on response",INDEX('MRE'!$M$10:$M$11,MATCH($F258,'MRE'!$B$10:$B$11,0))),"N/A")</f>
        <v/>
      </c>
    </row>
    <row r="259">
      <c r="A259">
        <f>F259&amp;"|"&amp;G259</f>
        <v/>
      </c>
      <c r="B259" s="29" t="inlineStr"/>
      <c r="C259" s="8" t="inlineStr"/>
      <c r="D259" s="8" t="inlineStr"/>
      <c r="E259" s="8" t="inlineStr"/>
      <c r="F259" s="8" t="inlineStr">
        <is>
          <t>MS1(a)</t>
        </is>
      </c>
      <c r="G259" s="8" t="inlineStr">
        <is>
          <t>OPTION 2:  Indicator level reporting</t>
        </is>
      </c>
      <c r="H259" s="25">
        <f>IFERROR(IF(INDEX('Faculties'!$N$10:$N$29,MATCH($F259,'Faculties'!$B$10:$B$29,0))="","Cell will autofill based on response",INDEX('Faculties'!$N$10:$N$29,MATCH($F259,'Faculties'!$B$10:$B$29,0))),"N/A")</f>
        <v/>
      </c>
      <c r="I259" s="25">
        <f>IFERROR(IF(INDEX('Faculties'!$N$37:$N$56,MATCH($F259,'Faculties'!$B$37:$B$56,0))="","Cell will autofill based on response",INDEX('Faculties'!$N$37:$N$56,MATCH($F259,'Faculties'!$B$37:$B$56,0))),"N/A")</f>
        <v/>
      </c>
      <c r="J259" s="25">
        <f>IFERROR(IF(INDEX('Faculties'!$N$64:$N$83,MATCH($F259,'Faculties'!$B$64:$B$83,0))="","Cell will autofill based on response",INDEX('Faculties'!$N$64:$N$83,MATCH($F259,'Faculties'!$B$64:$B$83,0))),"N/A")</f>
        <v/>
      </c>
      <c r="K259" s="25">
        <f>IFERROR(IF(INDEX('Faculties'!$N$91:$N$110,MATCH($F259,'Faculties'!$B$91:$B$110,0))="","Cell will autofill based on response",INDEX('Faculties'!$N$91:$N$110,MATCH($F259,'Faculties'!$B$91:$B$110,0))),"N/A")</f>
        <v/>
      </c>
      <c r="L259" s="25">
        <f>IFERROR(IF(INDEX('CI&amp;S'!$N$10:$N$14,MATCH($F259,'CI&amp;S'!$B$10:$B$14,0))="","Cell will autofill based on response",INDEX('CI&amp;S'!$N$10:$N$14,MATCH($F259,'CI&amp;S'!$B$10:$B$14,0))),"N/A")</f>
        <v/>
      </c>
      <c r="M259" s="25">
        <f>IFERROR(IF(INDEX('CI&amp;S'!$N$22:$N$38,MATCH($F259,'CI&amp;S'!$B$22:$B$38,0))="","Cell will autofill based on response",INDEX('CI&amp;S'!$N$22:$N$38,MATCH($F259,'CI&amp;S'!$B$22:$B$38,0))),"N/A")</f>
        <v/>
      </c>
      <c r="N259" s="25">
        <f>IFERROR(IF(INDEX('CFOG'!$N$10:$N$15,MATCH($F259,'CFOG'!$B$10:$B$15,0))="","Cell will autofill based on response",INDEX('CFOG'!$N$10:$N$15,MATCH($F259,'CFOG'!$B$10:$B$15,0))),"N/A")</f>
        <v/>
      </c>
      <c r="O259" s="25">
        <f>IFERROR(IF(INDEX('CFOG'!$N$23:$N$23,MATCH($F259,'CFOG'!$B$23:$B$23,0))="","Cell will autofill based on response",INDEX('CFOG'!$N$23:$N$23,MATCH($F259,'CFOG'!$B$23:$B$23,0))),"N/A")</f>
        <v/>
      </c>
      <c r="P259" s="25">
        <f>IFERROR(IF(INDEX('ESG'!$N$10:$N$16,MATCH($F259,'ESG'!$B$10:$B$16,0))="","Cell will autofill based on response",INDEX('ESG'!$N$10:$N$16,MATCH($F259,'ESG'!$B$10:$B$16,0))),"N/A")</f>
        <v/>
      </c>
      <c r="Q259" s="25">
        <f>IFERROR(IF(INDEX('CIOG'!$N$10:$N$13,MATCH($F259,'CIOG'!$B$10:$B$13,0))="","Cell will autofill based on response",INDEX('CIOG'!$N$10:$N$13,MATCH($F259,'CIOG'!$B$10:$B$13,0))),"N/A")</f>
        <v/>
      </c>
      <c r="R259" s="25">
        <f>IFERROR(IF(INDEX('MRE'!$N$10:$N$11,MATCH($F259,'MRE'!$B$10:$B$11,0))="","Cell will autofill based on response",INDEX('MRE'!$N$10:$N$11,MATCH($F259,'MRE'!$B$10:$B$11,0))),"N/A")</f>
        <v/>
      </c>
    </row>
    <row r="260">
      <c r="A260">
        <f>F260&amp;"|"&amp;G260</f>
        <v/>
      </c>
      <c r="B260" s="29" t="inlineStr"/>
      <c r="C260" s="8" t="inlineStr"/>
      <c r="D260" s="8" t="inlineStr"/>
      <c r="E260" s="8" t="inlineStr"/>
      <c r="F260" s="8" t="inlineStr">
        <is>
          <t>MS1(a)</t>
        </is>
      </c>
      <c r="G260" s="8" t="inlineStr">
        <is>
          <t>Supporting information/comments</t>
        </is>
      </c>
      <c r="H260" s="25">
        <f>IFERROR(IF(INDEX('Faculties'!$O$10:$O$29,MATCH($F260,'Faculties'!$B$10:$B$29,0))="","Cell will autofill based on response",INDEX('Faculties'!$O$10:$O$29,MATCH($F260,'Faculties'!$B$10:$B$29,0))),"N/A")</f>
        <v/>
      </c>
      <c r="I260" s="25">
        <f>IFERROR(IF(INDEX('Faculties'!$O$37:$O$56,MATCH($F260,'Faculties'!$B$37:$B$56,0))="","Cell will autofill based on response",INDEX('Faculties'!$O$37:$O$56,MATCH($F260,'Faculties'!$B$37:$B$56,0))),"N/A")</f>
        <v/>
      </c>
      <c r="J260" s="25">
        <f>IFERROR(IF(INDEX('Faculties'!$O$64:$O$83,MATCH($F260,'Faculties'!$B$64:$B$83,0))="","Cell will autofill based on response",INDEX('Faculties'!$O$64:$O$83,MATCH($F260,'Faculties'!$B$64:$B$83,0))),"N/A")</f>
        <v/>
      </c>
      <c r="K260" s="25">
        <f>IFERROR(IF(INDEX('Faculties'!$O$91:$O$110,MATCH($F260,'Faculties'!$B$91:$B$110,0))="","Cell will autofill based on response",INDEX('Faculties'!$O$91:$O$110,MATCH($F260,'Faculties'!$B$91:$B$110,0))),"N/A")</f>
        <v/>
      </c>
      <c r="L260" s="25">
        <f>IFERROR(IF(INDEX('CI&amp;S'!$O$10:$O$14,MATCH($F260,'CI&amp;S'!$B$10:$B$14,0))="","Cell will autofill based on response",INDEX('CI&amp;S'!$O$10:$O$14,MATCH($F260,'CI&amp;S'!$B$10:$B$14,0))),"N/A")</f>
        <v/>
      </c>
      <c r="M260" s="25">
        <f>IFERROR(IF(INDEX('CI&amp;S'!$O$22:$O$38,MATCH($F260,'CI&amp;S'!$B$22:$B$38,0))="","Cell will autofill based on response",INDEX('CI&amp;S'!$O$22:$O$38,MATCH($F260,'CI&amp;S'!$B$22:$B$38,0))),"N/A")</f>
        <v/>
      </c>
      <c r="N260" s="25">
        <f>IFERROR(IF(INDEX('CFOG'!$O$10:$O$15,MATCH($F260,'CFOG'!$B$10:$B$15,0))="","Cell will autofill based on response",INDEX('CFOG'!$O$10:$O$15,MATCH($F260,'CFOG'!$B$10:$B$15,0))),"N/A")</f>
        <v/>
      </c>
      <c r="O260" s="25">
        <f>IFERROR(IF(INDEX('CFOG'!$O$23:$O$23,MATCH($F260,'CFOG'!$B$23:$B$23,0))="","Cell will autofill based on response",INDEX('CFOG'!$O$23:$O$23,MATCH($F260,'CFOG'!$B$23:$B$23,0))),"N/A")</f>
        <v/>
      </c>
      <c r="P260" s="25">
        <f>IFERROR(IF(INDEX('ESG'!$O$10:$O$16,MATCH($F260,'ESG'!$B$10:$B$16,0))="","Cell will autofill based on response",INDEX('ESG'!$O$10:$O$16,MATCH($F260,'ESG'!$B$10:$B$16,0))),"N/A")</f>
        <v/>
      </c>
      <c r="Q260" s="25">
        <f>IFERROR(IF(INDEX('CIOG'!$O$10:$O$13,MATCH($F260,'CIOG'!$B$10:$B$13,0))="","Cell will autofill based on response",INDEX('CIOG'!$O$10:$O$13,MATCH($F260,'CIOG'!$B$10:$B$13,0))),"N/A")</f>
        <v/>
      </c>
      <c r="R260" s="25">
        <f>IFERROR(IF(INDEX('MRE'!$O$10:$O$11,MATCH($F260,'MRE'!$B$10:$B$11,0))="","Cell will autofill based on response",INDEX('MRE'!$O$10:$O$11,MATCH($F260,'MRE'!$B$10:$B$11,0))),"N/A")</f>
        <v/>
      </c>
    </row>
    <row r="261">
      <c r="A261">
        <f>F261&amp;"|"&amp;G261</f>
        <v/>
      </c>
      <c r="B261" s="29" t="inlineStr"/>
      <c r="C261" s="8" t="inlineStr"/>
      <c r="D261" s="8" t="inlineStr"/>
      <c r="E261" s="8" t="inlineStr"/>
      <c r="F261" s="8" t="inlineStr">
        <is>
          <t>MS1(a)</t>
        </is>
      </c>
      <c r="G261" s="8" t="inlineStr">
        <is>
          <t>Data source and limitations</t>
        </is>
      </c>
      <c r="H261" s="25">
        <f>IFERROR(IF(INDEX('Faculties'!$P$10:$P$29,MATCH($F261,'Faculties'!$B$10:$B$29,0))="","Cell will autofill based on response",INDEX('Faculties'!$P$10:$P$29,MATCH($F261,'Faculties'!$B$10:$B$29,0))),"N/A")</f>
        <v/>
      </c>
      <c r="I261" s="25">
        <f>IFERROR(IF(INDEX('Faculties'!$P$37:$P$56,MATCH($F261,'Faculties'!$B$37:$B$56,0))="","Cell will autofill based on response",INDEX('Faculties'!$P$37:$P$56,MATCH($F261,'Faculties'!$B$37:$B$56,0))),"N/A")</f>
        <v/>
      </c>
      <c r="J261" s="25">
        <f>IFERROR(IF(INDEX('Faculties'!$P$64:$P$83,MATCH($F261,'Faculties'!$B$64:$B$83,0))="","Cell will autofill based on response",INDEX('Faculties'!$P$64:$P$83,MATCH($F261,'Faculties'!$B$64:$B$83,0))),"N/A")</f>
        <v/>
      </c>
      <c r="K261" s="25">
        <f>IFERROR(IF(INDEX('Faculties'!$P$91:$P$110,MATCH($F261,'Faculties'!$B$91:$B$110,0))="","Cell will autofill based on response",INDEX('Faculties'!$P$91:$P$110,MATCH($F261,'Faculties'!$B$91:$B$110,0))),"N/A")</f>
        <v/>
      </c>
      <c r="L261" s="25">
        <f>IFERROR(IF(INDEX('CI&amp;S'!$P$10:$P$14,MATCH($F261,'CI&amp;S'!$B$10:$B$14,0))="","Cell will autofill based on response",INDEX('CI&amp;S'!$P$10:$P$14,MATCH($F261,'CI&amp;S'!$B$10:$B$14,0))),"N/A")</f>
        <v/>
      </c>
      <c r="M261" s="25">
        <f>IFERROR(IF(INDEX('CI&amp;S'!$P$22:$P$38,MATCH($F261,'CI&amp;S'!$B$22:$B$38,0))="","Cell will autofill based on response",INDEX('CI&amp;S'!$P$22:$P$38,MATCH($F261,'CI&amp;S'!$B$22:$B$38,0))),"N/A")</f>
        <v/>
      </c>
      <c r="N261" s="25">
        <f>IFERROR(IF(INDEX('CFOG'!$P$10:$P$15,MATCH($F261,'CFOG'!$B$10:$B$15,0))="","Cell will autofill based on response",INDEX('CFOG'!$P$10:$P$15,MATCH($F261,'CFOG'!$B$10:$B$15,0))),"N/A")</f>
        <v/>
      </c>
      <c r="O261" s="25">
        <f>IFERROR(IF(INDEX('CFOG'!$P$23:$P$23,MATCH($F261,'CFOG'!$B$23:$B$23,0))="","Cell will autofill based on response",INDEX('CFOG'!$P$23:$P$23,MATCH($F261,'CFOG'!$B$23:$B$23,0))),"N/A")</f>
        <v/>
      </c>
      <c r="P261" s="25">
        <f>IFERROR(IF(INDEX('ESG'!$P$10:$P$16,MATCH($F261,'ESG'!$B$10:$B$16,0))="","Cell will autofill based on response",INDEX('ESG'!$P$10:$P$16,MATCH($F261,'ESG'!$B$10:$B$16,0))),"N/A")</f>
        <v/>
      </c>
      <c r="Q261" s="25">
        <f>IFERROR(IF(INDEX('CIOG'!$P$10:$P$13,MATCH($F261,'CIOG'!$B$10:$B$13,0))="","Cell will autofill based on response",INDEX('CIOG'!$P$10:$P$13,MATCH($F261,'CIOG'!$B$10:$B$13,0))),"N/A")</f>
        <v/>
      </c>
      <c r="R261" s="25">
        <f>IFERROR(IF(INDEX('MRE'!$P$10:$P$11,MATCH($F261,'MRE'!$B$10:$B$11,0))="","Cell will autofill based on response",INDEX('MRE'!$P$10:$P$11,MATCH($F261,'MRE'!$B$10:$B$11,0))),"N/A")</f>
        <v/>
      </c>
    </row>
    <row r="262">
      <c r="A262">
        <f>F262&amp;"|"&amp;G262</f>
        <v/>
      </c>
      <c r="B262" s="29" t="inlineStr"/>
      <c r="C262" s="8" t="inlineStr"/>
      <c r="D262" s="8" t="inlineStr"/>
      <c r="E262" s="8" t="inlineStr"/>
      <c r="F262" s="8" t="inlineStr">
        <is>
          <t>MS1(a)</t>
        </is>
      </c>
      <c r="G262" s="8" t="inlineStr">
        <is>
          <t>Data owner confirms</t>
        </is>
      </c>
      <c r="H262" s="25">
        <f>IFERROR(IF(INDEX('Faculties'!$Q$10:$Q$29,MATCH($F262,'Faculties'!$B$10:$B$29,0))="","Cell will autofill based on response",INDEX('Faculties'!$Q$10:$Q$29,MATCH($F262,'Faculties'!$B$10:$B$29,0))),"N/A")</f>
        <v/>
      </c>
      <c r="I262" s="25">
        <f>IFERROR(IF(INDEX('Faculties'!$Q$37:$Q$56,MATCH($F262,'Faculties'!$B$37:$B$56,0))="","Cell will autofill based on response",INDEX('Faculties'!$Q$37:$Q$56,MATCH($F262,'Faculties'!$B$37:$B$56,0))),"N/A")</f>
        <v/>
      </c>
      <c r="J262" s="25">
        <f>IFERROR(IF(INDEX('Faculties'!$Q$64:$Q$83,MATCH($F262,'Faculties'!$B$64:$B$83,0))="","Cell will autofill based on response",INDEX('Faculties'!$Q$64:$Q$83,MATCH($F262,'Faculties'!$B$64:$B$83,0))),"N/A")</f>
        <v/>
      </c>
      <c r="K262" s="25">
        <f>IFERROR(IF(INDEX('Faculties'!$Q$91:$Q$110,MATCH($F262,'Faculties'!$B$91:$B$110,0))="","Cell will autofill based on response",INDEX('Faculties'!$Q$91:$Q$110,MATCH($F262,'Faculties'!$B$91:$B$110,0))),"N/A")</f>
        <v/>
      </c>
      <c r="L262" s="25">
        <f>IFERROR(IF(INDEX('CI&amp;S'!$Q$10:$Q$14,MATCH($F262,'CI&amp;S'!$B$10:$B$14,0))="","Cell will autofill based on response",INDEX('CI&amp;S'!$Q$10:$Q$14,MATCH($F262,'CI&amp;S'!$B$10:$B$14,0))),"N/A")</f>
        <v/>
      </c>
      <c r="M262" s="25">
        <f>IFERROR(IF(INDEX('CI&amp;S'!$Q$22:$Q$38,MATCH($F262,'CI&amp;S'!$B$22:$B$38,0))="","Cell will autofill based on response",INDEX('CI&amp;S'!$Q$22:$Q$38,MATCH($F262,'CI&amp;S'!$B$22:$B$38,0))),"N/A")</f>
        <v/>
      </c>
      <c r="N262" s="25">
        <f>IFERROR(IF(INDEX('CFOG'!$Q$10:$Q$15,MATCH($F262,'CFOG'!$B$10:$B$15,0))="","Cell will autofill based on response",INDEX('CFOG'!$Q$10:$Q$15,MATCH($F262,'CFOG'!$B$10:$B$15,0))),"N/A")</f>
        <v/>
      </c>
      <c r="O262" s="25">
        <f>IFERROR(IF(INDEX('CFOG'!$Q$23:$Q$23,MATCH($F262,'CFOG'!$B$23:$B$23,0))="","Cell will autofill based on response",INDEX('CFOG'!$Q$23:$Q$23,MATCH($F262,'CFOG'!$B$23:$B$23,0))),"N/A")</f>
        <v/>
      </c>
      <c r="P262" s="25">
        <f>IFERROR(IF(INDEX('ESG'!$Q$10:$Q$16,MATCH($F262,'ESG'!$B$10:$B$16,0))="","Cell will autofill based on response",INDEX('ESG'!$Q$10:$Q$16,MATCH($F262,'ESG'!$B$10:$B$16,0))),"N/A")</f>
        <v/>
      </c>
      <c r="Q262" s="25">
        <f>IFERROR(IF(INDEX('CIOG'!$Q$10:$Q$13,MATCH($F262,'CIOG'!$B$10:$B$13,0))="","Cell will autofill based on response",INDEX('CIOG'!$Q$10:$Q$13,MATCH($F262,'CIOG'!$B$10:$B$13,0))),"N/A")</f>
        <v/>
      </c>
      <c r="R262" s="25">
        <f>IFERROR(IF(INDEX('MRE'!$Q$10:$Q$11,MATCH($F262,'MRE'!$B$10:$B$11,0))="","Cell will autofill based on response",INDEX('MRE'!$Q$10:$Q$11,MATCH($F262,'MRE'!$B$10:$B$11,0))),"N/A")</f>
        <v/>
      </c>
    </row>
    <row r="263">
      <c r="A263">
        <f>F263&amp;"|"&amp;G263</f>
        <v/>
      </c>
      <c r="B263" s="7" t="inlineStr">
        <is>
          <t>RI1(a)</t>
        </is>
      </c>
      <c r="C263" s="12" t="inlineStr">
        <is>
          <t>Responsible investments</t>
        </is>
      </c>
      <c r="D263" s="12" t="inlineStr">
        <is>
          <t>Annual monitoring and reporting on the investment portfolio’s net zero transition progress, including tracking the percentage of assets under management (AUM) managed by investment managers aligned with (or committed to) net zero by 2050</t>
        </is>
      </c>
      <c r="E263" s="12" t="inlineStr">
        <is>
          <t>Percentage of AUM managed by investment managers aligned with net zero by 2050</t>
        </is>
      </c>
      <c r="F263" s="12" t="inlineStr">
        <is>
          <t>RI1(a)</t>
        </is>
      </c>
      <c r="G263" s="12" t="inlineStr">
        <is>
          <t>Confirm end-2026 target status</t>
        </is>
      </c>
      <c r="H263" s="25">
        <f>IFERROR(IF(INDEX('Faculties'!$L$10:$L$29,MATCH($F263,'Faculties'!$B$10:$B$29,0))="","Cell will autofill based on response",INDEX('Faculties'!$L$10:$L$29,MATCH($F263,'Faculties'!$B$10:$B$29,0))),"N/A")</f>
        <v/>
      </c>
      <c r="I263" s="25">
        <f>IFERROR(IF(INDEX('Faculties'!$L$37:$L$56,MATCH($F263,'Faculties'!$B$37:$B$56,0))="","Cell will autofill based on response",INDEX('Faculties'!$L$37:$L$56,MATCH($F263,'Faculties'!$B$37:$B$56,0))),"N/A")</f>
        <v/>
      </c>
      <c r="J263" s="25">
        <f>IFERROR(IF(INDEX('Faculties'!$L$64:$L$83,MATCH($F263,'Faculties'!$B$64:$B$83,0))="","Cell will autofill based on response",INDEX('Faculties'!$L$64:$L$83,MATCH($F263,'Faculties'!$B$64:$B$83,0))),"N/A")</f>
        <v/>
      </c>
      <c r="K263" s="25">
        <f>IFERROR(IF(INDEX('Faculties'!$L$91:$L$110,MATCH($F263,'Faculties'!$B$91:$B$110,0))="","Cell will autofill based on response",INDEX('Faculties'!$L$91:$L$110,MATCH($F263,'Faculties'!$B$91:$B$110,0))),"N/A")</f>
        <v/>
      </c>
      <c r="L263" s="25">
        <f>IFERROR(IF(INDEX('CI&amp;S'!$L$10:$L$14,MATCH($F263,'CI&amp;S'!$B$10:$B$14,0))="","Cell will autofill based on response",INDEX('CI&amp;S'!$L$10:$L$14,MATCH($F263,'CI&amp;S'!$B$10:$B$14,0))),"N/A")</f>
        <v/>
      </c>
      <c r="M263" s="25">
        <f>IFERROR(IF(INDEX('CI&amp;S'!$L$22:$L$38,MATCH($F263,'CI&amp;S'!$B$22:$B$38,0))="","Cell will autofill based on response",INDEX('CI&amp;S'!$L$22:$L$38,MATCH($F263,'CI&amp;S'!$B$22:$B$38,0))),"N/A")</f>
        <v/>
      </c>
      <c r="N263" s="25">
        <f>IFERROR(IF(INDEX('CFOG'!$L$10:$L$15,MATCH($F263,'CFOG'!$B$10:$B$15,0))="","Cell will autofill based on response",INDEX('CFOG'!$L$10:$L$15,MATCH($F263,'CFOG'!$B$10:$B$15,0))),"N/A")</f>
        <v/>
      </c>
      <c r="O263" s="25">
        <f>IFERROR(IF(INDEX('CFOG'!$L$23:$L$23,MATCH($F263,'CFOG'!$B$23:$B$23,0))="","Cell will autofill based on response",INDEX('CFOG'!$L$23:$L$23,MATCH($F263,'CFOG'!$B$23:$B$23,0))),"N/A")</f>
        <v/>
      </c>
      <c r="P263" s="25">
        <f>IFERROR(IF(INDEX('ESG'!$L$10:$L$16,MATCH($F263,'ESG'!$B$10:$B$16,0))="","Cell will autofill based on response",INDEX('ESG'!$L$10:$L$16,MATCH($F263,'ESG'!$B$10:$B$16,0))),"N/A")</f>
        <v/>
      </c>
      <c r="Q263" s="25">
        <f>IFERROR(IF(INDEX('CIOG'!$L$10:$L$13,MATCH($F263,'CIOG'!$B$10:$B$13,0))="","Cell will autofill based on response",INDEX('CIOG'!$L$10:$L$13,MATCH($F263,'CIOG'!$B$10:$B$13,0))),"N/A")</f>
        <v/>
      </c>
      <c r="R263" s="25">
        <f>IFERROR(IF(INDEX('MRE'!$L$10:$L$11,MATCH($F263,'MRE'!$B$10:$B$11,0))="","Cell will autofill based on response",INDEX('MRE'!$L$10:$L$11,MATCH($F263,'MRE'!$B$10:$B$11,0))),"N/A")</f>
        <v/>
      </c>
      <c r="T263" s="26">
        <f>COUNTIF($H263:$R263,"Cell will autofill based on response")</f>
        <v/>
      </c>
      <c r="U263" s="26">
        <f>COUNTIF($H263:$R263,"Not yet started")</f>
        <v/>
      </c>
      <c r="V263" s="26">
        <f>COUNTIF($H263:$R263,"Not met")</f>
        <v/>
      </c>
      <c r="W263" s="26">
        <f>COUNTIF($H263:$R263,"Partially met")</f>
        <v/>
      </c>
      <c r="X263" s="26">
        <f>COUNTIF($H263:$R263,"Met or exceeded")</f>
        <v/>
      </c>
      <c r="Y263" s="26">
        <f>3*X263+2*W263+V263</f>
        <v/>
      </c>
      <c r="Z263" s="26">
        <f>X263+W263+V263+U263</f>
        <v/>
      </c>
      <c r="AA263" s="27">
        <f>IF(Z263&gt;0,Y263/Z263,"No valid responses to date")</f>
        <v/>
      </c>
      <c r="AB263" s="26">
        <f>IF(ISNUMBER(AA263),INDEX(Lists!$G$2:$G$5,MATCH(ROUND(AA263,0),Lists!$H$2:$H$5,0)),"")</f>
        <v/>
      </c>
      <c r="AC263" s="28">
        <f>IF(Z263&gt;0,X263/Z263,"")</f>
        <v/>
      </c>
      <c r="AD263" s="28">
        <f>IF(Z263&gt;0,(X263+W263)/Z263,"")</f>
        <v/>
      </c>
      <c r="AE263" s="26">
        <f>IF(Z263=0,"",IF(AC263&gt;0.75,"Met or exceeded",IF(AD263&gt;=0.5,"Partially met","Not met")))</f>
        <v/>
      </c>
    </row>
    <row r="264">
      <c r="A264">
        <f>F264&amp;"|"&amp;G264</f>
        <v/>
      </c>
      <c r="B264" s="29" t="inlineStr"/>
      <c r="C264" s="8" t="inlineStr"/>
      <c r="D264" s="8" t="inlineStr"/>
      <c r="E264" s="8" t="inlineStr"/>
      <c r="F264" s="8" t="inlineStr">
        <is>
          <t>RI1(a)</t>
        </is>
      </c>
      <c r="G264" s="8" t="inlineStr">
        <is>
          <t>OPTION 1:  Target-level reporting</t>
        </is>
      </c>
      <c r="H264" s="25">
        <f>IFERROR(IF(INDEX('Faculties'!$M$10:$M$29,MATCH($F264,'Faculties'!$B$10:$B$29,0))="","Cell will autofill based on response",INDEX('Faculties'!$M$10:$M$29,MATCH($F264,'Faculties'!$B$10:$B$29,0))),"N/A")</f>
        <v/>
      </c>
      <c r="I264" s="25">
        <f>IFERROR(IF(INDEX('Faculties'!$M$37:$M$56,MATCH($F264,'Faculties'!$B$37:$B$56,0))="","Cell will autofill based on response",INDEX('Faculties'!$M$37:$M$56,MATCH($F264,'Faculties'!$B$37:$B$56,0))),"N/A")</f>
        <v/>
      </c>
      <c r="J264" s="25">
        <f>IFERROR(IF(INDEX('Faculties'!$M$64:$M$83,MATCH($F264,'Faculties'!$B$64:$B$83,0))="","Cell will autofill based on response",INDEX('Faculties'!$M$64:$M$83,MATCH($F264,'Faculties'!$B$64:$B$83,0))),"N/A")</f>
        <v/>
      </c>
      <c r="K264" s="25">
        <f>IFERROR(IF(INDEX('Faculties'!$M$91:$M$110,MATCH($F264,'Faculties'!$B$91:$B$110,0))="","Cell will autofill based on response",INDEX('Faculties'!$M$91:$M$110,MATCH($F264,'Faculties'!$B$91:$B$110,0))),"N/A")</f>
        <v/>
      </c>
      <c r="L264" s="25">
        <f>IFERROR(IF(INDEX('CI&amp;S'!$M$10:$M$14,MATCH($F264,'CI&amp;S'!$B$10:$B$14,0))="","Cell will autofill based on response",INDEX('CI&amp;S'!$M$10:$M$14,MATCH($F264,'CI&amp;S'!$B$10:$B$14,0))),"N/A")</f>
        <v/>
      </c>
      <c r="M264" s="25">
        <f>IFERROR(IF(INDEX('CI&amp;S'!$M$22:$M$38,MATCH($F264,'CI&amp;S'!$B$22:$B$38,0))="","Cell will autofill based on response",INDEX('CI&amp;S'!$M$22:$M$38,MATCH($F264,'CI&amp;S'!$B$22:$B$38,0))),"N/A")</f>
        <v/>
      </c>
      <c r="N264" s="25">
        <f>IFERROR(IF(INDEX('CFOG'!$M$10:$M$15,MATCH($F264,'CFOG'!$B$10:$B$15,0))="","Cell will autofill based on response",INDEX('CFOG'!$M$10:$M$15,MATCH($F264,'CFOG'!$B$10:$B$15,0))),"N/A")</f>
        <v/>
      </c>
      <c r="O264" s="25">
        <f>IFERROR(IF(INDEX('CFOG'!$M$23:$M$23,MATCH($F264,'CFOG'!$B$23:$B$23,0))="","Cell will autofill based on response",INDEX('CFOG'!$M$23:$M$23,MATCH($F264,'CFOG'!$B$23:$B$23,0))),"N/A")</f>
        <v/>
      </c>
      <c r="P264" s="25">
        <f>IFERROR(IF(INDEX('ESG'!$M$10:$M$16,MATCH($F264,'ESG'!$B$10:$B$16,0))="","Cell will autofill based on response",INDEX('ESG'!$M$10:$M$16,MATCH($F264,'ESG'!$B$10:$B$16,0))),"N/A")</f>
        <v/>
      </c>
      <c r="Q264" s="25">
        <f>IFERROR(IF(INDEX('CIOG'!$M$10:$M$13,MATCH($F264,'CIOG'!$B$10:$B$13,0))="","Cell will autofill based on response",INDEX('CIOG'!$M$10:$M$13,MATCH($F264,'CIOG'!$B$10:$B$13,0))),"N/A")</f>
        <v/>
      </c>
      <c r="R264" s="25">
        <f>IFERROR(IF(INDEX('MRE'!$M$10:$M$11,MATCH($F264,'MRE'!$B$10:$B$11,0))="","Cell will autofill based on response",INDEX('MRE'!$M$10:$M$11,MATCH($F264,'MRE'!$B$10:$B$11,0))),"N/A")</f>
        <v/>
      </c>
    </row>
    <row r="265">
      <c r="A265">
        <f>F265&amp;"|"&amp;G265</f>
        <v/>
      </c>
      <c r="B265" s="29" t="inlineStr"/>
      <c r="C265" s="8" t="inlineStr"/>
      <c r="D265" s="8" t="inlineStr"/>
      <c r="E265" s="8" t="inlineStr"/>
      <c r="F265" s="8" t="inlineStr">
        <is>
          <t>RI1(a)</t>
        </is>
      </c>
      <c r="G265" s="8" t="inlineStr">
        <is>
          <t>OPTION 2:  Indicator level reporting</t>
        </is>
      </c>
      <c r="H265" s="25">
        <f>IFERROR(IF(INDEX('Faculties'!$N$10:$N$29,MATCH($F265,'Faculties'!$B$10:$B$29,0))="","Cell will autofill based on response",INDEX('Faculties'!$N$10:$N$29,MATCH($F265,'Faculties'!$B$10:$B$29,0))),"N/A")</f>
        <v/>
      </c>
      <c r="I265" s="25">
        <f>IFERROR(IF(INDEX('Faculties'!$N$37:$N$56,MATCH($F265,'Faculties'!$B$37:$B$56,0))="","Cell will autofill based on response",INDEX('Faculties'!$N$37:$N$56,MATCH($F265,'Faculties'!$B$37:$B$56,0))),"N/A")</f>
        <v/>
      </c>
      <c r="J265" s="25">
        <f>IFERROR(IF(INDEX('Faculties'!$N$64:$N$83,MATCH($F265,'Faculties'!$B$64:$B$83,0))="","Cell will autofill based on response",INDEX('Faculties'!$N$64:$N$83,MATCH($F265,'Faculties'!$B$64:$B$83,0))),"N/A")</f>
        <v/>
      </c>
      <c r="K265" s="25">
        <f>IFERROR(IF(INDEX('Faculties'!$N$91:$N$110,MATCH($F265,'Faculties'!$B$91:$B$110,0))="","Cell will autofill based on response",INDEX('Faculties'!$N$91:$N$110,MATCH($F265,'Faculties'!$B$91:$B$110,0))),"N/A")</f>
        <v/>
      </c>
      <c r="L265" s="25">
        <f>IFERROR(IF(INDEX('CI&amp;S'!$N$10:$N$14,MATCH($F265,'CI&amp;S'!$B$10:$B$14,0))="","Cell will autofill based on response",INDEX('CI&amp;S'!$N$10:$N$14,MATCH($F265,'CI&amp;S'!$B$10:$B$14,0))),"N/A")</f>
        <v/>
      </c>
      <c r="M265" s="25">
        <f>IFERROR(IF(INDEX('CI&amp;S'!$N$22:$N$38,MATCH($F265,'CI&amp;S'!$B$22:$B$38,0))="","Cell will autofill based on response",INDEX('CI&amp;S'!$N$22:$N$38,MATCH($F265,'CI&amp;S'!$B$22:$B$38,0))),"N/A")</f>
        <v/>
      </c>
      <c r="N265" s="25">
        <f>IFERROR(IF(INDEX('CFOG'!$N$10:$N$15,MATCH($F265,'CFOG'!$B$10:$B$15,0))="","Cell will autofill based on response",INDEX('CFOG'!$N$10:$N$15,MATCH($F265,'CFOG'!$B$10:$B$15,0))),"N/A")</f>
        <v/>
      </c>
      <c r="O265" s="25">
        <f>IFERROR(IF(INDEX('CFOG'!$N$23:$N$23,MATCH($F265,'CFOG'!$B$23:$B$23,0))="","Cell will autofill based on response",INDEX('CFOG'!$N$23:$N$23,MATCH($F265,'CFOG'!$B$23:$B$23,0))),"N/A")</f>
        <v/>
      </c>
      <c r="P265" s="25">
        <f>IFERROR(IF(INDEX('ESG'!$N$10:$N$16,MATCH($F265,'ESG'!$B$10:$B$16,0))="","Cell will autofill based on response",INDEX('ESG'!$N$10:$N$16,MATCH($F265,'ESG'!$B$10:$B$16,0))),"N/A")</f>
        <v/>
      </c>
      <c r="Q265" s="25">
        <f>IFERROR(IF(INDEX('CIOG'!$N$10:$N$13,MATCH($F265,'CIOG'!$B$10:$B$13,0))="","Cell will autofill based on response",INDEX('CIOG'!$N$10:$N$13,MATCH($F265,'CIOG'!$B$10:$B$13,0))),"N/A")</f>
        <v/>
      </c>
      <c r="R265" s="25">
        <f>IFERROR(IF(INDEX('MRE'!$N$10:$N$11,MATCH($F265,'MRE'!$B$10:$B$11,0))="","Cell will autofill based on response",INDEX('MRE'!$N$10:$N$11,MATCH($F265,'MRE'!$B$10:$B$11,0))),"N/A")</f>
        <v/>
      </c>
    </row>
    <row r="266">
      <c r="A266">
        <f>F266&amp;"|"&amp;G266</f>
        <v/>
      </c>
      <c r="B266" s="29" t="inlineStr"/>
      <c r="C266" s="8" t="inlineStr"/>
      <c r="D266" s="8" t="inlineStr"/>
      <c r="E266" s="8" t="inlineStr"/>
      <c r="F266" s="8" t="inlineStr">
        <is>
          <t>RI1(a)</t>
        </is>
      </c>
      <c r="G266" s="8" t="inlineStr">
        <is>
          <t>Supporting information/comments</t>
        </is>
      </c>
      <c r="H266" s="25">
        <f>IFERROR(IF(INDEX('Faculties'!$O$10:$O$29,MATCH($F266,'Faculties'!$B$10:$B$29,0))="","Cell will autofill based on response",INDEX('Faculties'!$O$10:$O$29,MATCH($F266,'Faculties'!$B$10:$B$29,0))),"N/A")</f>
        <v/>
      </c>
      <c r="I266" s="25">
        <f>IFERROR(IF(INDEX('Faculties'!$O$37:$O$56,MATCH($F266,'Faculties'!$B$37:$B$56,0))="","Cell will autofill based on response",INDEX('Faculties'!$O$37:$O$56,MATCH($F266,'Faculties'!$B$37:$B$56,0))),"N/A")</f>
        <v/>
      </c>
      <c r="J266" s="25">
        <f>IFERROR(IF(INDEX('Faculties'!$O$64:$O$83,MATCH($F266,'Faculties'!$B$64:$B$83,0))="","Cell will autofill based on response",INDEX('Faculties'!$O$64:$O$83,MATCH($F266,'Faculties'!$B$64:$B$83,0))),"N/A")</f>
        <v/>
      </c>
      <c r="K266" s="25">
        <f>IFERROR(IF(INDEX('Faculties'!$O$91:$O$110,MATCH($F266,'Faculties'!$B$91:$B$110,0))="","Cell will autofill based on response",INDEX('Faculties'!$O$91:$O$110,MATCH($F266,'Faculties'!$B$91:$B$110,0))),"N/A")</f>
        <v/>
      </c>
      <c r="L266" s="25">
        <f>IFERROR(IF(INDEX('CI&amp;S'!$O$10:$O$14,MATCH($F266,'CI&amp;S'!$B$10:$B$14,0))="","Cell will autofill based on response",INDEX('CI&amp;S'!$O$10:$O$14,MATCH($F266,'CI&amp;S'!$B$10:$B$14,0))),"N/A")</f>
        <v/>
      </c>
      <c r="M266" s="25">
        <f>IFERROR(IF(INDEX('CI&amp;S'!$O$22:$O$38,MATCH($F266,'CI&amp;S'!$B$22:$B$38,0))="","Cell will autofill based on response",INDEX('CI&amp;S'!$O$22:$O$38,MATCH($F266,'CI&amp;S'!$B$22:$B$38,0))),"N/A")</f>
        <v/>
      </c>
      <c r="N266" s="25">
        <f>IFERROR(IF(INDEX('CFOG'!$O$10:$O$15,MATCH($F266,'CFOG'!$B$10:$B$15,0))="","Cell will autofill based on response",INDEX('CFOG'!$O$10:$O$15,MATCH($F266,'CFOG'!$B$10:$B$15,0))),"N/A")</f>
        <v/>
      </c>
      <c r="O266" s="25">
        <f>IFERROR(IF(INDEX('CFOG'!$O$23:$O$23,MATCH($F266,'CFOG'!$B$23:$B$23,0))="","Cell will autofill based on response",INDEX('CFOG'!$O$23:$O$23,MATCH($F266,'CFOG'!$B$23:$B$23,0))),"N/A")</f>
        <v/>
      </c>
      <c r="P266" s="25">
        <f>IFERROR(IF(INDEX('ESG'!$O$10:$O$16,MATCH($F266,'ESG'!$B$10:$B$16,0))="","Cell will autofill based on response",INDEX('ESG'!$O$10:$O$16,MATCH($F266,'ESG'!$B$10:$B$16,0))),"N/A")</f>
        <v/>
      </c>
      <c r="Q266" s="25">
        <f>IFERROR(IF(INDEX('CIOG'!$O$10:$O$13,MATCH($F266,'CIOG'!$B$10:$B$13,0))="","Cell will autofill based on response",INDEX('CIOG'!$O$10:$O$13,MATCH($F266,'CIOG'!$B$10:$B$13,0))),"N/A")</f>
        <v/>
      </c>
      <c r="R266" s="25">
        <f>IFERROR(IF(INDEX('MRE'!$O$10:$O$11,MATCH($F266,'MRE'!$B$10:$B$11,0))="","Cell will autofill based on response",INDEX('MRE'!$O$10:$O$11,MATCH($F266,'MRE'!$B$10:$B$11,0))),"N/A")</f>
        <v/>
      </c>
    </row>
    <row r="267">
      <c r="A267">
        <f>F267&amp;"|"&amp;G267</f>
        <v/>
      </c>
      <c r="B267" s="29" t="inlineStr"/>
      <c r="C267" s="8" t="inlineStr"/>
      <c r="D267" s="8" t="inlineStr"/>
      <c r="E267" s="8" t="inlineStr"/>
      <c r="F267" s="8" t="inlineStr">
        <is>
          <t>RI1(a)</t>
        </is>
      </c>
      <c r="G267" s="8" t="inlineStr">
        <is>
          <t>Data source and limitations</t>
        </is>
      </c>
      <c r="H267" s="25">
        <f>IFERROR(IF(INDEX('Faculties'!$P$10:$P$29,MATCH($F267,'Faculties'!$B$10:$B$29,0))="","Cell will autofill based on response",INDEX('Faculties'!$P$10:$P$29,MATCH($F267,'Faculties'!$B$10:$B$29,0))),"N/A")</f>
        <v/>
      </c>
      <c r="I267" s="25">
        <f>IFERROR(IF(INDEX('Faculties'!$P$37:$P$56,MATCH($F267,'Faculties'!$B$37:$B$56,0))="","Cell will autofill based on response",INDEX('Faculties'!$P$37:$P$56,MATCH($F267,'Faculties'!$B$37:$B$56,0))),"N/A")</f>
        <v/>
      </c>
      <c r="J267" s="25">
        <f>IFERROR(IF(INDEX('Faculties'!$P$64:$P$83,MATCH($F267,'Faculties'!$B$64:$B$83,0))="","Cell will autofill based on response",INDEX('Faculties'!$P$64:$P$83,MATCH($F267,'Faculties'!$B$64:$B$83,0))),"N/A")</f>
        <v/>
      </c>
      <c r="K267" s="25">
        <f>IFERROR(IF(INDEX('Faculties'!$P$91:$P$110,MATCH($F267,'Faculties'!$B$91:$B$110,0))="","Cell will autofill based on response",INDEX('Faculties'!$P$91:$P$110,MATCH($F267,'Faculties'!$B$91:$B$110,0))),"N/A")</f>
        <v/>
      </c>
      <c r="L267" s="25">
        <f>IFERROR(IF(INDEX('CI&amp;S'!$P$10:$P$14,MATCH($F267,'CI&amp;S'!$B$10:$B$14,0))="","Cell will autofill based on response",INDEX('CI&amp;S'!$P$10:$P$14,MATCH($F267,'CI&amp;S'!$B$10:$B$14,0))),"N/A")</f>
        <v/>
      </c>
      <c r="M267" s="25">
        <f>IFERROR(IF(INDEX('CI&amp;S'!$P$22:$P$38,MATCH($F267,'CI&amp;S'!$B$22:$B$38,0))="","Cell will autofill based on response",INDEX('CI&amp;S'!$P$22:$P$38,MATCH($F267,'CI&amp;S'!$B$22:$B$38,0))),"N/A")</f>
        <v/>
      </c>
      <c r="N267" s="25">
        <f>IFERROR(IF(INDEX('CFOG'!$P$10:$P$15,MATCH($F267,'CFOG'!$B$10:$B$15,0))="","Cell will autofill based on response",INDEX('CFOG'!$P$10:$P$15,MATCH($F267,'CFOG'!$B$10:$B$15,0))),"N/A")</f>
        <v/>
      </c>
      <c r="O267" s="25">
        <f>IFERROR(IF(INDEX('CFOG'!$P$23:$P$23,MATCH($F267,'CFOG'!$B$23:$B$23,0))="","Cell will autofill based on response",INDEX('CFOG'!$P$23:$P$23,MATCH($F267,'CFOG'!$B$23:$B$23,0))),"N/A")</f>
        <v/>
      </c>
      <c r="P267" s="25">
        <f>IFERROR(IF(INDEX('ESG'!$P$10:$P$16,MATCH($F267,'ESG'!$B$10:$B$16,0))="","Cell will autofill based on response",INDEX('ESG'!$P$10:$P$16,MATCH($F267,'ESG'!$B$10:$B$16,0))),"N/A")</f>
        <v/>
      </c>
      <c r="Q267" s="25">
        <f>IFERROR(IF(INDEX('CIOG'!$P$10:$P$13,MATCH($F267,'CIOG'!$B$10:$B$13,0))="","Cell will autofill based on response",INDEX('CIOG'!$P$10:$P$13,MATCH($F267,'CIOG'!$B$10:$B$13,0))),"N/A")</f>
        <v/>
      </c>
      <c r="R267" s="25">
        <f>IFERROR(IF(INDEX('MRE'!$P$10:$P$11,MATCH($F267,'MRE'!$B$10:$B$11,0))="","Cell will autofill based on response",INDEX('MRE'!$P$10:$P$11,MATCH($F267,'MRE'!$B$10:$B$11,0))),"N/A")</f>
        <v/>
      </c>
    </row>
    <row r="268">
      <c r="A268">
        <f>F268&amp;"|"&amp;G268</f>
        <v/>
      </c>
      <c r="B268" s="29" t="inlineStr"/>
      <c r="C268" s="8" t="inlineStr"/>
      <c r="D268" s="8" t="inlineStr"/>
      <c r="E268" s="8" t="inlineStr"/>
      <c r="F268" s="8" t="inlineStr">
        <is>
          <t>RI1(a)</t>
        </is>
      </c>
      <c r="G268" s="8" t="inlineStr">
        <is>
          <t>Data owner confirms</t>
        </is>
      </c>
      <c r="H268" s="25">
        <f>IFERROR(IF(INDEX('Faculties'!$Q$10:$Q$29,MATCH($F268,'Faculties'!$B$10:$B$29,0))="","Cell will autofill based on response",INDEX('Faculties'!$Q$10:$Q$29,MATCH($F268,'Faculties'!$B$10:$B$29,0))),"N/A")</f>
        <v/>
      </c>
      <c r="I268" s="25">
        <f>IFERROR(IF(INDEX('Faculties'!$Q$37:$Q$56,MATCH($F268,'Faculties'!$B$37:$B$56,0))="","Cell will autofill based on response",INDEX('Faculties'!$Q$37:$Q$56,MATCH($F268,'Faculties'!$B$37:$B$56,0))),"N/A")</f>
        <v/>
      </c>
      <c r="J268" s="25">
        <f>IFERROR(IF(INDEX('Faculties'!$Q$64:$Q$83,MATCH($F268,'Faculties'!$B$64:$B$83,0))="","Cell will autofill based on response",INDEX('Faculties'!$Q$64:$Q$83,MATCH($F268,'Faculties'!$B$64:$B$83,0))),"N/A")</f>
        <v/>
      </c>
      <c r="K268" s="25">
        <f>IFERROR(IF(INDEX('Faculties'!$Q$91:$Q$110,MATCH($F268,'Faculties'!$B$91:$B$110,0))="","Cell will autofill based on response",INDEX('Faculties'!$Q$91:$Q$110,MATCH($F268,'Faculties'!$B$91:$B$110,0))),"N/A")</f>
        <v/>
      </c>
      <c r="L268" s="25">
        <f>IFERROR(IF(INDEX('CI&amp;S'!$Q$10:$Q$14,MATCH($F268,'CI&amp;S'!$B$10:$B$14,0))="","Cell will autofill based on response",INDEX('CI&amp;S'!$Q$10:$Q$14,MATCH($F268,'CI&amp;S'!$B$10:$B$14,0))),"N/A")</f>
        <v/>
      </c>
      <c r="M268" s="25">
        <f>IFERROR(IF(INDEX('CI&amp;S'!$Q$22:$Q$38,MATCH($F268,'CI&amp;S'!$B$22:$B$38,0))="","Cell will autofill based on response",INDEX('CI&amp;S'!$Q$22:$Q$38,MATCH($F268,'CI&amp;S'!$B$22:$B$38,0))),"N/A")</f>
        <v/>
      </c>
      <c r="N268" s="25">
        <f>IFERROR(IF(INDEX('CFOG'!$Q$10:$Q$15,MATCH($F268,'CFOG'!$B$10:$B$15,0))="","Cell will autofill based on response",INDEX('CFOG'!$Q$10:$Q$15,MATCH($F268,'CFOG'!$B$10:$B$15,0))),"N/A")</f>
        <v/>
      </c>
      <c r="O268" s="25">
        <f>IFERROR(IF(INDEX('CFOG'!$Q$23:$Q$23,MATCH($F268,'CFOG'!$B$23:$B$23,0))="","Cell will autofill based on response",INDEX('CFOG'!$Q$23:$Q$23,MATCH($F268,'CFOG'!$B$23:$B$23,0))),"N/A")</f>
        <v/>
      </c>
      <c r="P268" s="25">
        <f>IFERROR(IF(INDEX('ESG'!$Q$10:$Q$16,MATCH($F268,'ESG'!$B$10:$B$16,0))="","Cell will autofill based on response",INDEX('ESG'!$Q$10:$Q$16,MATCH($F268,'ESG'!$B$10:$B$16,0))),"N/A")</f>
        <v/>
      </c>
      <c r="Q268" s="25">
        <f>IFERROR(IF(INDEX('CIOG'!$Q$10:$Q$13,MATCH($F268,'CIOG'!$B$10:$B$13,0))="","Cell will autofill based on response",INDEX('CIOG'!$Q$10:$Q$13,MATCH($F268,'CIOG'!$B$10:$B$13,0))),"N/A")</f>
        <v/>
      </c>
      <c r="R268" s="25">
        <f>IFERROR(IF(INDEX('MRE'!$Q$10:$Q$11,MATCH($F268,'MRE'!$B$10:$B$11,0))="","Cell will autofill based on response",INDEX('MRE'!$Q$10:$Q$11,MATCH($F268,'MRE'!$B$10:$B$11,0))),"N/A")</f>
        <v/>
      </c>
    </row>
    <row r="269">
      <c r="A269">
        <f>F269&amp;"|"&amp;G269</f>
        <v/>
      </c>
      <c r="B269" s="7" t="inlineStr">
        <is>
          <t>RI1(b)</t>
        </is>
      </c>
      <c r="C269" s="12" t="inlineStr">
        <is>
          <t>Responsible investments</t>
        </is>
      </c>
      <c r="D269" s="12" t="inlineStr">
        <is>
          <t>Continuous improvement of the reporting of the University’s sustainability-related investment profile metrics, could include investment in climate mitigation and transition solutions, and compliance with related obligations (eg UNPRI).</t>
        </is>
      </c>
      <c r="E269" s="12" t="inlineStr">
        <is>
          <t>Report on relevant sustainability-related investment portfolio metrics and report on how the University has complied with its related obligations</t>
        </is>
      </c>
      <c r="F269" s="12" t="inlineStr">
        <is>
          <t>RI1(b)</t>
        </is>
      </c>
      <c r="G269" s="12" t="inlineStr">
        <is>
          <t>Confirm end-2026 target status</t>
        </is>
      </c>
      <c r="H269" s="25">
        <f>IFERROR(IF(INDEX('Faculties'!$L$10:$L$29,MATCH($F269,'Faculties'!$B$10:$B$29,0))="","Cell will autofill based on response",INDEX('Faculties'!$L$10:$L$29,MATCH($F269,'Faculties'!$B$10:$B$29,0))),"N/A")</f>
        <v/>
      </c>
      <c r="I269" s="25">
        <f>IFERROR(IF(INDEX('Faculties'!$L$37:$L$56,MATCH($F269,'Faculties'!$B$37:$B$56,0))="","Cell will autofill based on response",INDEX('Faculties'!$L$37:$L$56,MATCH($F269,'Faculties'!$B$37:$B$56,0))),"N/A")</f>
        <v/>
      </c>
      <c r="J269" s="25">
        <f>IFERROR(IF(INDEX('Faculties'!$L$64:$L$83,MATCH($F269,'Faculties'!$B$64:$B$83,0))="","Cell will autofill based on response",INDEX('Faculties'!$L$64:$L$83,MATCH($F269,'Faculties'!$B$64:$B$83,0))),"N/A")</f>
        <v/>
      </c>
      <c r="K269" s="25">
        <f>IFERROR(IF(INDEX('Faculties'!$L$91:$L$110,MATCH($F269,'Faculties'!$B$91:$B$110,0))="","Cell will autofill based on response",INDEX('Faculties'!$L$91:$L$110,MATCH($F269,'Faculties'!$B$91:$B$110,0))),"N/A")</f>
        <v/>
      </c>
      <c r="L269" s="25">
        <f>IFERROR(IF(INDEX('CI&amp;S'!$L$10:$L$14,MATCH($F269,'CI&amp;S'!$B$10:$B$14,0))="","Cell will autofill based on response",INDEX('CI&amp;S'!$L$10:$L$14,MATCH($F269,'CI&amp;S'!$B$10:$B$14,0))),"N/A")</f>
        <v/>
      </c>
      <c r="M269" s="25">
        <f>IFERROR(IF(INDEX('CI&amp;S'!$L$22:$L$38,MATCH($F269,'CI&amp;S'!$B$22:$B$38,0))="","Cell will autofill based on response",INDEX('CI&amp;S'!$L$22:$L$38,MATCH($F269,'CI&amp;S'!$B$22:$B$38,0))),"N/A")</f>
        <v/>
      </c>
      <c r="N269" s="25">
        <f>IFERROR(IF(INDEX('CFOG'!$L$10:$L$15,MATCH($F269,'CFOG'!$B$10:$B$15,0))="","Cell will autofill based on response",INDEX('CFOG'!$L$10:$L$15,MATCH($F269,'CFOG'!$B$10:$B$15,0))),"N/A")</f>
        <v/>
      </c>
      <c r="O269" s="25">
        <f>IFERROR(IF(INDEX('CFOG'!$L$23:$L$23,MATCH($F269,'CFOG'!$B$23:$B$23,0))="","Cell will autofill based on response",INDEX('CFOG'!$L$23:$L$23,MATCH($F269,'CFOG'!$B$23:$B$23,0))),"N/A")</f>
        <v/>
      </c>
      <c r="P269" s="25">
        <f>IFERROR(IF(INDEX('ESG'!$L$10:$L$16,MATCH($F269,'ESG'!$B$10:$B$16,0))="","Cell will autofill based on response",INDEX('ESG'!$L$10:$L$16,MATCH($F269,'ESG'!$B$10:$B$16,0))),"N/A")</f>
        <v/>
      </c>
      <c r="Q269" s="25">
        <f>IFERROR(IF(INDEX('CIOG'!$L$10:$L$13,MATCH($F269,'CIOG'!$B$10:$B$13,0))="","Cell will autofill based on response",INDEX('CIOG'!$L$10:$L$13,MATCH($F269,'CIOG'!$B$10:$B$13,0))),"N/A")</f>
        <v/>
      </c>
      <c r="R269" s="25">
        <f>IFERROR(IF(INDEX('MRE'!$L$10:$L$11,MATCH($F269,'MRE'!$B$10:$B$11,0))="","Cell will autofill based on response",INDEX('MRE'!$L$10:$L$11,MATCH($F269,'MRE'!$B$10:$B$11,0))),"N/A")</f>
        <v/>
      </c>
      <c r="T269" s="26">
        <f>COUNTIF($H269:$R269,"Cell will autofill based on response")</f>
        <v/>
      </c>
      <c r="U269" s="26">
        <f>COUNTIF($H269:$R269,"Not yet started")</f>
        <v/>
      </c>
      <c r="V269" s="26">
        <f>COUNTIF($H269:$R269,"Not met")</f>
        <v/>
      </c>
      <c r="W269" s="26">
        <f>COUNTIF($H269:$R269,"Partially met")</f>
        <v/>
      </c>
      <c r="X269" s="26">
        <f>COUNTIF($H269:$R269,"Met or exceeded")</f>
        <v/>
      </c>
      <c r="Y269" s="26">
        <f>3*X269+2*W269+V269</f>
        <v/>
      </c>
      <c r="Z269" s="26">
        <f>X269+W269+V269+U269</f>
        <v/>
      </c>
      <c r="AA269" s="27">
        <f>IF(Z269&gt;0,Y269/Z269,"No valid responses to date")</f>
        <v/>
      </c>
      <c r="AB269" s="26">
        <f>IF(ISNUMBER(AA269),INDEX(Lists!$G$2:$G$5,MATCH(ROUND(AA269,0),Lists!$H$2:$H$5,0)),"")</f>
        <v/>
      </c>
      <c r="AC269" s="28">
        <f>IF(Z269&gt;0,X269/Z269,"")</f>
        <v/>
      </c>
      <c r="AD269" s="28">
        <f>IF(Z269&gt;0,(X269+W269)/Z269,"")</f>
        <v/>
      </c>
      <c r="AE269" s="26">
        <f>IF(Z269=0,"",IF(AC269&gt;0.75,"Met or exceeded",IF(AD269&gt;=0.5,"Partially met","Not met")))</f>
        <v/>
      </c>
    </row>
    <row r="270">
      <c r="A270">
        <f>F270&amp;"|"&amp;G270</f>
        <v/>
      </c>
      <c r="B270" s="29" t="inlineStr"/>
      <c r="C270" s="8" t="inlineStr"/>
      <c r="D270" s="8" t="inlineStr"/>
      <c r="E270" s="8" t="inlineStr"/>
      <c r="F270" s="8" t="inlineStr">
        <is>
          <t>RI1(b)</t>
        </is>
      </c>
      <c r="G270" s="8" t="inlineStr">
        <is>
          <t>OPTION 1:  Target-level reporting</t>
        </is>
      </c>
      <c r="H270" s="25">
        <f>IFERROR(IF(INDEX('Faculties'!$M$10:$M$29,MATCH($F270,'Faculties'!$B$10:$B$29,0))="","Cell will autofill based on response",INDEX('Faculties'!$M$10:$M$29,MATCH($F270,'Faculties'!$B$10:$B$29,0))),"N/A")</f>
        <v/>
      </c>
      <c r="I270" s="25">
        <f>IFERROR(IF(INDEX('Faculties'!$M$37:$M$56,MATCH($F270,'Faculties'!$B$37:$B$56,0))="","Cell will autofill based on response",INDEX('Faculties'!$M$37:$M$56,MATCH($F270,'Faculties'!$B$37:$B$56,0))),"N/A")</f>
        <v/>
      </c>
      <c r="J270" s="25">
        <f>IFERROR(IF(INDEX('Faculties'!$M$64:$M$83,MATCH($F270,'Faculties'!$B$64:$B$83,0))="","Cell will autofill based on response",INDEX('Faculties'!$M$64:$M$83,MATCH($F270,'Faculties'!$B$64:$B$83,0))),"N/A")</f>
        <v/>
      </c>
      <c r="K270" s="25">
        <f>IFERROR(IF(INDEX('Faculties'!$M$91:$M$110,MATCH($F270,'Faculties'!$B$91:$B$110,0))="","Cell will autofill based on response",INDEX('Faculties'!$M$91:$M$110,MATCH($F270,'Faculties'!$B$91:$B$110,0))),"N/A")</f>
        <v/>
      </c>
      <c r="L270" s="25">
        <f>IFERROR(IF(INDEX('CI&amp;S'!$M$10:$M$14,MATCH($F270,'CI&amp;S'!$B$10:$B$14,0))="","Cell will autofill based on response",INDEX('CI&amp;S'!$M$10:$M$14,MATCH($F270,'CI&amp;S'!$B$10:$B$14,0))),"N/A")</f>
        <v/>
      </c>
      <c r="M270" s="25">
        <f>IFERROR(IF(INDEX('CI&amp;S'!$M$22:$M$38,MATCH($F270,'CI&amp;S'!$B$22:$B$38,0))="","Cell will autofill based on response",INDEX('CI&amp;S'!$M$22:$M$38,MATCH($F270,'CI&amp;S'!$B$22:$B$38,0))),"N/A")</f>
        <v/>
      </c>
      <c r="N270" s="25">
        <f>IFERROR(IF(INDEX('CFOG'!$M$10:$M$15,MATCH($F270,'CFOG'!$B$10:$B$15,0))="","Cell will autofill based on response",INDEX('CFOG'!$M$10:$M$15,MATCH($F270,'CFOG'!$B$10:$B$15,0))),"N/A")</f>
        <v/>
      </c>
      <c r="O270" s="25">
        <f>IFERROR(IF(INDEX('CFOG'!$M$23:$M$23,MATCH($F270,'CFOG'!$B$23:$B$23,0))="","Cell will autofill based on response",INDEX('CFOG'!$M$23:$M$23,MATCH($F270,'CFOG'!$B$23:$B$23,0))),"N/A")</f>
        <v/>
      </c>
      <c r="P270" s="25">
        <f>IFERROR(IF(INDEX('ESG'!$M$10:$M$16,MATCH($F270,'ESG'!$B$10:$B$16,0))="","Cell will autofill based on response",INDEX('ESG'!$M$10:$M$16,MATCH($F270,'ESG'!$B$10:$B$16,0))),"N/A")</f>
        <v/>
      </c>
      <c r="Q270" s="25">
        <f>IFERROR(IF(INDEX('CIOG'!$M$10:$M$13,MATCH($F270,'CIOG'!$B$10:$B$13,0))="","Cell will autofill based on response",INDEX('CIOG'!$M$10:$M$13,MATCH($F270,'CIOG'!$B$10:$B$13,0))),"N/A")</f>
        <v/>
      </c>
      <c r="R270" s="25">
        <f>IFERROR(IF(INDEX('MRE'!$M$10:$M$11,MATCH($F270,'MRE'!$B$10:$B$11,0))="","Cell will autofill based on response",INDEX('MRE'!$M$10:$M$11,MATCH($F270,'MRE'!$B$10:$B$11,0))),"N/A")</f>
        <v/>
      </c>
    </row>
    <row r="271">
      <c r="A271">
        <f>F271&amp;"|"&amp;G271</f>
        <v/>
      </c>
      <c r="B271" s="29" t="inlineStr"/>
      <c r="C271" s="8" t="inlineStr"/>
      <c r="D271" s="8" t="inlineStr"/>
      <c r="E271" s="8" t="inlineStr"/>
      <c r="F271" s="8" t="inlineStr">
        <is>
          <t>RI1(b)</t>
        </is>
      </c>
      <c r="G271" s="8" t="inlineStr">
        <is>
          <t>OPTION 2:  Indicator level reporting</t>
        </is>
      </c>
      <c r="H271" s="25">
        <f>IFERROR(IF(INDEX('Faculties'!$N$10:$N$29,MATCH($F271,'Faculties'!$B$10:$B$29,0))="","Cell will autofill based on response",INDEX('Faculties'!$N$10:$N$29,MATCH($F271,'Faculties'!$B$10:$B$29,0))),"N/A")</f>
        <v/>
      </c>
      <c r="I271" s="25">
        <f>IFERROR(IF(INDEX('Faculties'!$N$37:$N$56,MATCH($F271,'Faculties'!$B$37:$B$56,0))="","Cell will autofill based on response",INDEX('Faculties'!$N$37:$N$56,MATCH($F271,'Faculties'!$B$37:$B$56,0))),"N/A")</f>
        <v/>
      </c>
      <c r="J271" s="25">
        <f>IFERROR(IF(INDEX('Faculties'!$N$64:$N$83,MATCH($F271,'Faculties'!$B$64:$B$83,0))="","Cell will autofill based on response",INDEX('Faculties'!$N$64:$N$83,MATCH($F271,'Faculties'!$B$64:$B$83,0))),"N/A")</f>
        <v/>
      </c>
      <c r="K271" s="25">
        <f>IFERROR(IF(INDEX('Faculties'!$N$91:$N$110,MATCH($F271,'Faculties'!$B$91:$B$110,0))="","Cell will autofill based on response",INDEX('Faculties'!$N$91:$N$110,MATCH($F271,'Faculties'!$B$91:$B$110,0))),"N/A")</f>
        <v/>
      </c>
      <c r="L271" s="25">
        <f>IFERROR(IF(INDEX('CI&amp;S'!$N$10:$N$14,MATCH($F271,'CI&amp;S'!$B$10:$B$14,0))="","Cell will autofill based on response",INDEX('CI&amp;S'!$N$10:$N$14,MATCH($F271,'CI&amp;S'!$B$10:$B$14,0))),"N/A")</f>
        <v/>
      </c>
      <c r="M271" s="25">
        <f>IFERROR(IF(INDEX('CI&amp;S'!$N$22:$N$38,MATCH($F271,'CI&amp;S'!$B$22:$B$38,0))="","Cell will autofill based on response",INDEX('CI&amp;S'!$N$22:$N$38,MATCH($F271,'CI&amp;S'!$B$22:$B$38,0))),"N/A")</f>
        <v/>
      </c>
      <c r="N271" s="25">
        <f>IFERROR(IF(INDEX('CFOG'!$N$10:$N$15,MATCH($F271,'CFOG'!$B$10:$B$15,0))="","Cell will autofill based on response",INDEX('CFOG'!$N$10:$N$15,MATCH($F271,'CFOG'!$B$10:$B$15,0))),"N/A")</f>
        <v/>
      </c>
      <c r="O271" s="25">
        <f>IFERROR(IF(INDEX('CFOG'!$N$23:$N$23,MATCH($F271,'CFOG'!$B$23:$B$23,0))="","Cell will autofill based on response",INDEX('CFOG'!$N$23:$N$23,MATCH($F271,'CFOG'!$B$23:$B$23,0))),"N/A")</f>
        <v/>
      </c>
      <c r="P271" s="25">
        <f>IFERROR(IF(INDEX('ESG'!$N$10:$N$16,MATCH($F271,'ESG'!$B$10:$B$16,0))="","Cell will autofill based on response",INDEX('ESG'!$N$10:$N$16,MATCH($F271,'ESG'!$B$10:$B$16,0))),"N/A")</f>
        <v/>
      </c>
      <c r="Q271" s="25">
        <f>IFERROR(IF(INDEX('CIOG'!$N$10:$N$13,MATCH($F271,'CIOG'!$B$10:$B$13,0))="","Cell will autofill based on response",INDEX('CIOG'!$N$10:$N$13,MATCH($F271,'CIOG'!$B$10:$B$13,0))),"N/A")</f>
        <v/>
      </c>
      <c r="R271" s="25">
        <f>IFERROR(IF(INDEX('MRE'!$N$10:$N$11,MATCH($F271,'MRE'!$B$10:$B$11,0))="","Cell will autofill based on response",INDEX('MRE'!$N$10:$N$11,MATCH($F271,'MRE'!$B$10:$B$11,0))),"N/A")</f>
        <v/>
      </c>
    </row>
    <row r="272">
      <c r="A272">
        <f>F272&amp;"|"&amp;G272</f>
        <v/>
      </c>
      <c r="B272" s="29" t="inlineStr"/>
      <c r="C272" s="8" t="inlineStr"/>
      <c r="D272" s="8" t="inlineStr"/>
      <c r="E272" s="8" t="inlineStr"/>
      <c r="F272" s="8" t="inlineStr">
        <is>
          <t>RI1(b)</t>
        </is>
      </c>
      <c r="G272" s="8" t="inlineStr">
        <is>
          <t>Supporting information/comments</t>
        </is>
      </c>
      <c r="H272" s="25">
        <f>IFERROR(IF(INDEX('Faculties'!$O$10:$O$29,MATCH($F272,'Faculties'!$B$10:$B$29,0))="","Cell will autofill based on response",INDEX('Faculties'!$O$10:$O$29,MATCH($F272,'Faculties'!$B$10:$B$29,0))),"N/A")</f>
        <v/>
      </c>
      <c r="I272" s="25">
        <f>IFERROR(IF(INDEX('Faculties'!$O$37:$O$56,MATCH($F272,'Faculties'!$B$37:$B$56,0))="","Cell will autofill based on response",INDEX('Faculties'!$O$37:$O$56,MATCH($F272,'Faculties'!$B$37:$B$56,0))),"N/A")</f>
        <v/>
      </c>
      <c r="J272" s="25">
        <f>IFERROR(IF(INDEX('Faculties'!$O$64:$O$83,MATCH($F272,'Faculties'!$B$64:$B$83,0))="","Cell will autofill based on response",INDEX('Faculties'!$O$64:$O$83,MATCH($F272,'Faculties'!$B$64:$B$83,0))),"N/A")</f>
        <v/>
      </c>
      <c r="K272" s="25">
        <f>IFERROR(IF(INDEX('Faculties'!$O$91:$O$110,MATCH($F272,'Faculties'!$B$91:$B$110,0))="","Cell will autofill based on response",INDEX('Faculties'!$O$91:$O$110,MATCH($F272,'Faculties'!$B$91:$B$110,0))),"N/A")</f>
        <v/>
      </c>
      <c r="L272" s="25">
        <f>IFERROR(IF(INDEX('CI&amp;S'!$O$10:$O$14,MATCH($F272,'CI&amp;S'!$B$10:$B$14,0))="","Cell will autofill based on response",INDEX('CI&amp;S'!$O$10:$O$14,MATCH($F272,'CI&amp;S'!$B$10:$B$14,0))),"N/A")</f>
        <v/>
      </c>
      <c r="M272" s="25">
        <f>IFERROR(IF(INDEX('CI&amp;S'!$O$22:$O$38,MATCH($F272,'CI&amp;S'!$B$22:$B$38,0))="","Cell will autofill based on response",INDEX('CI&amp;S'!$O$22:$O$38,MATCH($F272,'CI&amp;S'!$B$22:$B$38,0))),"N/A")</f>
        <v/>
      </c>
      <c r="N272" s="25">
        <f>IFERROR(IF(INDEX('CFOG'!$O$10:$O$15,MATCH($F272,'CFOG'!$B$10:$B$15,0))="","Cell will autofill based on response",INDEX('CFOG'!$O$10:$O$15,MATCH($F272,'CFOG'!$B$10:$B$15,0))),"N/A")</f>
        <v/>
      </c>
      <c r="O272" s="25">
        <f>IFERROR(IF(INDEX('CFOG'!$O$23:$O$23,MATCH($F272,'CFOG'!$B$23:$B$23,0))="","Cell will autofill based on response",INDEX('CFOG'!$O$23:$O$23,MATCH($F272,'CFOG'!$B$23:$B$23,0))),"N/A")</f>
        <v/>
      </c>
      <c r="P272" s="25">
        <f>IFERROR(IF(INDEX('ESG'!$O$10:$O$16,MATCH($F272,'ESG'!$B$10:$B$16,0))="","Cell will autofill based on response",INDEX('ESG'!$O$10:$O$16,MATCH($F272,'ESG'!$B$10:$B$16,0))),"N/A")</f>
        <v/>
      </c>
      <c r="Q272" s="25">
        <f>IFERROR(IF(INDEX('CIOG'!$O$10:$O$13,MATCH($F272,'CIOG'!$B$10:$B$13,0))="","Cell will autofill based on response",INDEX('CIOG'!$O$10:$O$13,MATCH($F272,'CIOG'!$B$10:$B$13,0))),"N/A")</f>
        <v/>
      </c>
      <c r="R272" s="25">
        <f>IFERROR(IF(INDEX('MRE'!$O$10:$O$11,MATCH($F272,'MRE'!$B$10:$B$11,0))="","Cell will autofill based on response",INDEX('MRE'!$O$10:$O$11,MATCH($F272,'MRE'!$B$10:$B$11,0))),"N/A")</f>
        <v/>
      </c>
    </row>
    <row r="273">
      <c r="A273">
        <f>F273&amp;"|"&amp;G273</f>
        <v/>
      </c>
      <c r="B273" s="29" t="inlineStr"/>
      <c r="C273" s="8" t="inlineStr"/>
      <c r="D273" s="8" t="inlineStr"/>
      <c r="E273" s="8" t="inlineStr"/>
      <c r="F273" s="8" t="inlineStr">
        <is>
          <t>RI1(b)</t>
        </is>
      </c>
      <c r="G273" s="8" t="inlineStr">
        <is>
          <t>Data source and limitations</t>
        </is>
      </c>
      <c r="H273" s="25">
        <f>IFERROR(IF(INDEX('Faculties'!$P$10:$P$29,MATCH($F273,'Faculties'!$B$10:$B$29,0))="","Cell will autofill based on response",INDEX('Faculties'!$P$10:$P$29,MATCH($F273,'Faculties'!$B$10:$B$29,0))),"N/A")</f>
        <v/>
      </c>
      <c r="I273" s="25">
        <f>IFERROR(IF(INDEX('Faculties'!$P$37:$P$56,MATCH($F273,'Faculties'!$B$37:$B$56,0))="","Cell will autofill based on response",INDEX('Faculties'!$P$37:$P$56,MATCH($F273,'Faculties'!$B$37:$B$56,0))),"N/A")</f>
        <v/>
      </c>
      <c r="J273" s="25">
        <f>IFERROR(IF(INDEX('Faculties'!$P$64:$P$83,MATCH($F273,'Faculties'!$B$64:$B$83,0))="","Cell will autofill based on response",INDEX('Faculties'!$P$64:$P$83,MATCH($F273,'Faculties'!$B$64:$B$83,0))),"N/A")</f>
        <v/>
      </c>
      <c r="K273" s="25">
        <f>IFERROR(IF(INDEX('Faculties'!$P$91:$P$110,MATCH($F273,'Faculties'!$B$91:$B$110,0))="","Cell will autofill based on response",INDEX('Faculties'!$P$91:$P$110,MATCH($F273,'Faculties'!$B$91:$B$110,0))),"N/A")</f>
        <v/>
      </c>
      <c r="L273" s="25">
        <f>IFERROR(IF(INDEX('CI&amp;S'!$P$10:$P$14,MATCH($F273,'CI&amp;S'!$B$10:$B$14,0))="","Cell will autofill based on response",INDEX('CI&amp;S'!$P$10:$P$14,MATCH($F273,'CI&amp;S'!$B$10:$B$14,0))),"N/A")</f>
        <v/>
      </c>
      <c r="M273" s="25">
        <f>IFERROR(IF(INDEX('CI&amp;S'!$P$22:$P$38,MATCH($F273,'CI&amp;S'!$B$22:$B$38,0))="","Cell will autofill based on response",INDEX('CI&amp;S'!$P$22:$P$38,MATCH($F273,'CI&amp;S'!$B$22:$B$38,0))),"N/A")</f>
        <v/>
      </c>
      <c r="N273" s="25">
        <f>IFERROR(IF(INDEX('CFOG'!$P$10:$P$15,MATCH($F273,'CFOG'!$B$10:$B$15,0))="","Cell will autofill based on response",INDEX('CFOG'!$P$10:$P$15,MATCH($F273,'CFOG'!$B$10:$B$15,0))),"N/A")</f>
        <v/>
      </c>
      <c r="O273" s="25">
        <f>IFERROR(IF(INDEX('CFOG'!$P$23:$P$23,MATCH($F273,'CFOG'!$B$23:$B$23,0))="","Cell will autofill based on response",INDEX('CFOG'!$P$23:$P$23,MATCH($F273,'CFOG'!$B$23:$B$23,0))),"N/A")</f>
        <v/>
      </c>
      <c r="P273" s="25">
        <f>IFERROR(IF(INDEX('ESG'!$P$10:$P$16,MATCH($F273,'ESG'!$B$10:$B$16,0))="","Cell will autofill based on response",INDEX('ESG'!$P$10:$P$16,MATCH($F273,'ESG'!$B$10:$B$16,0))),"N/A")</f>
        <v/>
      </c>
      <c r="Q273" s="25">
        <f>IFERROR(IF(INDEX('CIOG'!$P$10:$P$13,MATCH($F273,'CIOG'!$B$10:$B$13,0))="","Cell will autofill based on response",INDEX('CIOG'!$P$10:$P$13,MATCH($F273,'CIOG'!$B$10:$B$13,0))),"N/A")</f>
        <v/>
      </c>
      <c r="R273" s="25">
        <f>IFERROR(IF(INDEX('MRE'!$P$10:$P$11,MATCH($F273,'MRE'!$B$10:$B$11,0))="","Cell will autofill based on response",INDEX('MRE'!$P$10:$P$11,MATCH($F273,'MRE'!$B$10:$B$11,0))),"N/A")</f>
        <v/>
      </c>
    </row>
    <row r="274">
      <c r="A274">
        <f>F274&amp;"|"&amp;G274</f>
        <v/>
      </c>
      <c r="B274" s="29" t="inlineStr"/>
      <c r="C274" s="8" t="inlineStr"/>
      <c r="D274" s="8" t="inlineStr"/>
      <c r="E274" s="8" t="inlineStr"/>
      <c r="F274" s="8" t="inlineStr">
        <is>
          <t>RI1(b)</t>
        </is>
      </c>
      <c r="G274" s="8" t="inlineStr">
        <is>
          <t>Data owner confirms</t>
        </is>
      </c>
      <c r="H274" s="25">
        <f>IFERROR(IF(INDEX('Faculties'!$Q$10:$Q$29,MATCH($F274,'Faculties'!$B$10:$B$29,0))="","Cell will autofill based on response",INDEX('Faculties'!$Q$10:$Q$29,MATCH($F274,'Faculties'!$B$10:$B$29,0))),"N/A")</f>
        <v/>
      </c>
      <c r="I274" s="25">
        <f>IFERROR(IF(INDEX('Faculties'!$Q$37:$Q$56,MATCH($F274,'Faculties'!$B$37:$B$56,0))="","Cell will autofill based on response",INDEX('Faculties'!$Q$37:$Q$56,MATCH($F274,'Faculties'!$B$37:$B$56,0))),"N/A")</f>
        <v/>
      </c>
      <c r="J274" s="25">
        <f>IFERROR(IF(INDEX('Faculties'!$Q$64:$Q$83,MATCH($F274,'Faculties'!$B$64:$B$83,0))="","Cell will autofill based on response",INDEX('Faculties'!$Q$64:$Q$83,MATCH($F274,'Faculties'!$B$64:$B$83,0))),"N/A")</f>
        <v/>
      </c>
      <c r="K274" s="25">
        <f>IFERROR(IF(INDEX('Faculties'!$Q$91:$Q$110,MATCH($F274,'Faculties'!$B$91:$B$110,0))="","Cell will autofill based on response",INDEX('Faculties'!$Q$91:$Q$110,MATCH($F274,'Faculties'!$B$91:$B$110,0))),"N/A")</f>
        <v/>
      </c>
      <c r="L274" s="25">
        <f>IFERROR(IF(INDEX('CI&amp;S'!$Q$10:$Q$14,MATCH($F274,'CI&amp;S'!$B$10:$B$14,0))="","Cell will autofill based on response",INDEX('CI&amp;S'!$Q$10:$Q$14,MATCH($F274,'CI&amp;S'!$B$10:$B$14,0))),"N/A")</f>
        <v/>
      </c>
      <c r="M274" s="25">
        <f>IFERROR(IF(INDEX('CI&amp;S'!$Q$22:$Q$38,MATCH($F274,'CI&amp;S'!$B$22:$B$38,0))="","Cell will autofill based on response",INDEX('CI&amp;S'!$Q$22:$Q$38,MATCH($F274,'CI&amp;S'!$B$22:$B$38,0))),"N/A")</f>
        <v/>
      </c>
      <c r="N274" s="25">
        <f>IFERROR(IF(INDEX('CFOG'!$Q$10:$Q$15,MATCH($F274,'CFOG'!$B$10:$B$15,0))="","Cell will autofill based on response",INDEX('CFOG'!$Q$10:$Q$15,MATCH($F274,'CFOG'!$B$10:$B$15,0))),"N/A")</f>
        <v/>
      </c>
      <c r="O274" s="25">
        <f>IFERROR(IF(INDEX('CFOG'!$Q$23:$Q$23,MATCH($F274,'CFOG'!$B$23:$B$23,0))="","Cell will autofill based on response",INDEX('CFOG'!$Q$23:$Q$23,MATCH($F274,'CFOG'!$B$23:$B$23,0))),"N/A")</f>
        <v/>
      </c>
      <c r="P274" s="25">
        <f>IFERROR(IF(INDEX('ESG'!$Q$10:$Q$16,MATCH($F274,'ESG'!$B$10:$B$16,0))="","Cell will autofill based on response",INDEX('ESG'!$Q$10:$Q$16,MATCH($F274,'ESG'!$B$10:$B$16,0))),"N/A")</f>
        <v/>
      </c>
      <c r="Q274" s="25">
        <f>IFERROR(IF(INDEX('CIOG'!$Q$10:$Q$13,MATCH($F274,'CIOG'!$B$10:$B$13,0))="","Cell will autofill based on response",INDEX('CIOG'!$Q$10:$Q$13,MATCH($F274,'CIOG'!$B$10:$B$13,0))),"N/A")</f>
        <v/>
      </c>
      <c r="R274" s="25">
        <f>IFERROR(IF(INDEX('MRE'!$Q$10:$Q$11,MATCH($F274,'MRE'!$B$10:$B$11,0))="","Cell will autofill based on response",INDEX('MRE'!$Q$10:$Q$11,MATCH($F274,'MRE'!$B$10:$B$11,0))),"N/A")</f>
        <v/>
      </c>
    </row>
    <row r="275">
      <c r="A275">
        <f>F275&amp;"|"&amp;G275</f>
        <v/>
      </c>
      <c r="B275" s="7" t="inlineStr">
        <is>
          <t>EN1(a)</t>
        </is>
      </c>
      <c r="C275" s="12" t="inlineStr">
        <is>
          <t>Enablers</t>
        </is>
      </c>
      <c r="D275" s="12" t="inlineStr">
        <is>
          <t>Evidence of sustainability outcomes informed by Indigenous knowledges</t>
        </is>
      </c>
      <c r="E275"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75" s="12" t="inlineStr">
        <is>
          <t>EN1(a)</t>
        </is>
      </c>
      <c r="G275" s="12" t="inlineStr">
        <is>
          <t>Confirm end-2026 target status</t>
        </is>
      </c>
      <c r="H275" s="25">
        <f>IFERROR(IF(INDEX('Faculties'!$L$10:$L$29,MATCH($F275,'Faculties'!$B$10:$B$29,0))="","Cell will autofill based on response",INDEX('Faculties'!$L$10:$L$29,MATCH($F275,'Faculties'!$B$10:$B$29,0))),"N/A")</f>
        <v/>
      </c>
      <c r="I275" s="25">
        <f>IFERROR(IF(INDEX('Faculties'!$L$37:$L$56,MATCH($F275,'Faculties'!$B$37:$B$56,0))="","Cell will autofill based on response",INDEX('Faculties'!$L$37:$L$56,MATCH($F275,'Faculties'!$B$37:$B$56,0))),"N/A")</f>
        <v/>
      </c>
      <c r="J275" s="25">
        <f>IFERROR(IF(INDEX('Faculties'!$L$64:$L$83,MATCH($F275,'Faculties'!$B$64:$B$83,0))="","Cell will autofill based on response",INDEX('Faculties'!$L$64:$L$83,MATCH($F275,'Faculties'!$B$64:$B$83,0))),"N/A")</f>
        <v/>
      </c>
      <c r="K275" s="25">
        <f>IFERROR(IF(INDEX('Faculties'!$L$91:$L$110,MATCH($F275,'Faculties'!$B$91:$B$110,0))="","Cell will autofill based on response",INDEX('Faculties'!$L$91:$L$110,MATCH($F275,'Faculties'!$B$91:$B$110,0))),"N/A")</f>
        <v/>
      </c>
      <c r="L275" s="25">
        <f>IFERROR(IF(INDEX('CI&amp;S'!$L$10:$L$14,MATCH($F275,'CI&amp;S'!$B$10:$B$14,0))="","Cell will autofill based on response",INDEX('CI&amp;S'!$L$10:$L$14,MATCH($F275,'CI&amp;S'!$B$10:$B$14,0))),"N/A")</f>
        <v/>
      </c>
      <c r="M275" s="25">
        <f>IFERROR(IF(INDEX('CI&amp;S'!$L$22:$L$38,MATCH($F275,'CI&amp;S'!$B$22:$B$38,0))="","Cell will autofill based on response",INDEX('CI&amp;S'!$L$22:$L$38,MATCH($F275,'CI&amp;S'!$B$22:$B$38,0))),"N/A")</f>
        <v/>
      </c>
      <c r="N275" s="25">
        <f>IFERROR(IF(INDEX('CFOG'!$L$10:$L$15,MATCH($F275,'CFOG'!$B$10:$B$15,0))="","Cell will autofill based on response",INDEX('CFOG'!$L$10:$L$15,MATCH($F275,'CFOG'!$B$10:$B$15,0))),"N/A")</f>
        <v/>
      </c>
      <c r="O275" s="25">
        <f>IFERROR(IF(INDEX('CFOG'!$L$23:$L$23,MATCH($F275,'CFOG'!$B$23:$B$23,0))="","Cell will autofill based on response",INDEX('CFOG'!$L$23:$L$23,MATCH($F275,'CFOG'!$B$23:$B$23,0))),"N/A")</f>
        <v/>
      </c>
      <c r="P275" s="25">
        <f>IFERROR(IF(INDEX('ESG'!$L$10:$L$16,MATCH($F275,'ESG'!$B$10:$B$16,0))="","Cell will autofill based on response",INDEX('ESG'!$L$10:$L$16,MATCH($F275,'ESG'!$B$10:$B$16,0))),"N/A")</f>
        <v/>
      </c>
      <c r="Q275" s="25">
        <f>IFERROR(IF(INDEX('CIOG'!$L$10:$L$13,MATCH($F275,'CIOG'!$B$10:$B$13,0))="","Cell will autofill based on response",INDEX('CIOG'!$L$10:$L$13,MATCH($F275,'CIOG'!$B$10:$B$13,0))),"N/A")</f>
        <v/>
      </c>
      <c r="R275" s="25">
        <f>IFERROR(IF(INDEX('MRE'!$L$10:$L$11,MATCH($F275,'MRE'!$B$10:$B$11,0))="","Cell will autofill based on response",INDEX('MRE'!$L$10:$L$11,MATCH($F275,'MRE'!$B$10:$B$11,0))),"N/A")</f>
        <v/>
      </c>
      <c r="T275" s="26">
        <f>COUNTIF($H275:$R275,"Cell will autofill based on response")</f>
        <v/>
      </c>
      <c r="U275" s="26">
        <f>COUNTIF($H275:$R275,"Not yet started")</f>
        <v/>
      </c>
      <c r="V275" s="26">
        <f>COUNTIF($H275:$R275,"Not met")</f>
        <v/>
      </c>
      <c r="W275" s="26">
        <f>COUNTIF($H275:$R275,"Partially met")</f>
        <v/>
      </c>
      <c r="X275" s="26">
        <f>COUNTIF($H275:$R275,"Met or exceeded")</f>
        <v/>
      </c>
      <c r="Y275" s="26">
        <f>3*X275+2*W275+V275</f>
        <v/>
      </c>
      <c r="Z275" s="26">
        <f>X275+W275+V275+U275</f>
        <v/>
      </c>
      <c r="AA275" s="27">
        <f>IF(Z275&gt;0,Y275/Z275,"No valid responses to date")</f>
        <v/>
      </c>
      <c r="AB275" s="26">
        <f>IF(ISNUMBER(AA275),INDEX(Lists!$G$2:$G$5,MATCH(ROUND(AA275,0),Lists!$H$2:$H$5,0)),"")</f>
        <v/>
      </c>
      <c r="AC275" s="28">
        <f>IF(Z275&gt;0,X275/Z275,"")</f>
        <v/>
      </c>
      <c r="AD275" s="28">
        <f>IF(Z275&gt;0,(X275+W275)/Z275,"")</f>
        <v/>
      </c>
      <c r="AE275" s="26">
        <f>IF(Z275=0,"",IF(AC275&gt;0.75,"Met or exceeded",IF(AD275&gt;=0.5,"Partially met","Not met")))</f>
        <v/>
      </c>
    </row>
    <row r="276">
      <c r="A276">
        <f>F276&amp;"|"&amp;G276</f>
        <v/>
      </c>
      <c r="B276" s="29" t="inlineStr"/>
      <c r="C276" s="8" t="inlineStr"/>
      <c r="D276" s="8" t="inlineStr"/>
      <c r="E276" s="8" t="inlineStr"/>
      <c r="F276" s="8" t="inlineStr">
        <is>
          <t>EN1(a)</t>
        </is>
      </c>
      <c r="G276" s="8" t="inlineStr">
        <is>
          <t>OPTION 1:  Target-level reporting</t>
        </is>
      </c>
      <c r="H276" s="25">
        <f>IFERROR(IF(INDEX('Faculties'!$M$10:$M$29,MATCH($F276,'Faculties'!$B$10:$B$29,0))="","Cell will autofill based on response",INDEX('Faculties'!$M$10:$M$29,MATCH($F276,'Faculties'!$B$10:$B$29,0))),"N/A")</f>
        <v/>
      </c>
      <c r="I276" s="25">
        <f>IFERROR(IF(INDEX('Faculties'!$M$37:$M$56,MATCH($F276,'Faculties'!$B$37:$B$56,0))="","Cell will autofill based on response",INDEX('Faculties'!$M$37:$M$56,MATCH($F276,'Faculties'!$B$37:$B$56,0))),"N/A")</f>
        <v/>
      </c>
      <c r="J276" s="25">
        <f>IFERROR(IF(INDEX('Faculties'!$M$64:$M$83,MATCH($F276,'Faculties'!$B$64:$B$83,0))="","Cell will autofill based on response",INDEX('Faculties'!$M$64:$M$83,MATCH($F276,'Faculties'!$B$64:$B$83,0))),"N/A")</f>
        <v/>
      </c>
      <c r="K276" s="25">
        <f>IFERROR(IF(INDEX('Faculties'!$M$91:$M$110,MATCH($F276,'Faculties'!$B$91:$B$110,0))="","Cell will autofill based on response",INDEX('Faculties'!$M$91:$M$110,MATCH($F276,'Faculties'!$B$91:$B$110,0))),"N/A")</f>
        <v/>
      </c>
      <c r="L276" s="25">
        <f>IFERROR(IF(INDEX('CI&amp;S'!$M$10:$M$14,MATCH($F276,'CI&amp;S'!$B$10:$B$14,0))="","Cell will autofill based on response",INDEX('CI&amp;S'!$M$10:$M$14,MATCH($F276,'CI&amp;S'!$B$10:$B$14,0))),"N/A")</f>
        <v/>
      </c>
      <c r="M276" s="25">
        <f>IFERROR(IF(INDEX('CI&amp;S'!$M$22:$M$38,MATCH($F276,'CI&amp;S'!$B$22:$B$38,0))="","Cell will autofill based on response",INDEX('CI&amp;S'!$M$22:$M$38,MATCH($F276,'CI&amp;S'!$B$22:$B$38,0))),"N/A")</f>
        <v/>
      </c>
      <c r="N276" s="25">
        <f>IFERROR(IF(INDEX('CFOG'!$M$10:$M$15,MATCH($F276,'CFOG'!$B$10:$B$15,0))="","Cell will autofill based on response",INDEX('CFOG'!$M$10:$M$15,MATCH($F276,'CFOG'!$B$10:$B$15,0))),"N/A")</f>
        <v/>
      </c>
      <c r="O276" s="25">
        <f>IFERROR(IF(INDEX('CFOG'!$M$23:$M$23,MATCH($F276,'CFOG'!$B$23:$B$23,0))="","Cell will autofill based on response",INDEX('CFOG'!$M$23:$M$23,MATCH($F276,'CFOG'!$B$23:$B$23,0))),"N/A")</f>
        <v/>
      </c>
      <c r="P276" s="25">
        <f>IFERROR(IF(INDEX('ESG'!$M$10:$M$16,MATCH($F276,'ESG'!$B$10:$B$16,0))="","Cell will autofill based on response",INDEX('ESG'!$M$10:$M$16,MATCH($F276,'ESG'!$B$10:$B$16,0))),"N/A")</f>
        <v/>
      </c>
      <c r="Q276" s="25">
        <f>IFERROR(IF(INDEX('CIOG'!$M$10:$M$13,MATCH($F276,'CIOG'!$B$10:$B$13,0))="","Cell will autofill based on response",INDEX('CIOG'!$M$10:$M$13,MATCH($F276,'CIOG'!$B$10:$B$13,0))),"N/A")</f>
        <v/>
      </c>
      <c r="R276" s="25">
        <f>IFERROR(IF(INDEX('MRE'!$M$10:$M$11,MATCH($F276,'MRE'!$B$10:$B$11,0))="","Cell will autofill based on response",INDEX('MRE'!$M$10:$M$11,MATCH($F276,'MRE'!$B$10:$B$11,0))),"N/A")</f>
        <v/>
      </c>
    </row>
    <row r="277">
      <c r="A277">
        <f>F277&amp;"|"&amp;G277</f>
        <v/>
      </c>
      <c r="B277" s="29" t="inlineStr"/>
      <c r="C277" s="8" t="inlineStr"/>
      <c r="D277" s="8" t="inlineStr"/>
      <c r="E277" s="8" t="inlineStr"/>
      <c r="F277" s="8" t="inlineStr">
        <is>
          <t>EN1(a)</t>
        </is>
      </c>
      <c r="G277" s="8" t="inlineStr">
        <is>
          <t>OPTION 2:  Indicator level reporting</t>
        </is>
      </c>
      <c r="H277" s="25">
        <f>IFERROR(IF(INDEX('Faculties'!$N$10:$N$29,MATCH($F277,'Faculties'!$B$10:$B$29,0))="","Cell will autofill based on response",INDEX('Faculties'!$N$10:$N$29,MATCH($F277,'Faculties'!$B$10:$B$29,0))),"N/A")</f>
        <v/>
      </c>
      <c r="I277" s="25">
        <f>IFERROR(IF(INDEX('Faculties'!$N$37:$N$56,MATCH($F277,'Faculties'!$B$37:$B$56,0))="","Cell will autofill based on response",INDEX('Faculties'!$N$37:$N$56,MATCH($F277,'Faculties'!$B$37:$B$56,0))),"N/A")</f>
        <v/>
      </c>
      <c r="J277" s="25">
        <f>IFERROR(IF(INDEX('Faculties'!$N$64:$N$83,MATCH($F277,'Faculties'!$B$64:$B$83,0))="","Cell will autofill based on response",INDEX('Faculties'!$N$64:$N$83,MATCH($F277,'Faculties'!$B$64:$B$83,0))),"N/A")</f>
        <v/>
      </c>
      <c r="K277" s="25">
        <f>IFERROR(IF(INDEX('Faculties'!$N$91:$N$110,MATCH($F277,'Faculties'!$B$91:$B$110,0))="","Cell will autofill based on response",INDEX('Faculties'!$N$91:$N$110,MATCH($F277,'Faculties'!$B$91:$B$110,0))),"N/A")</f>
        <v/>
      </c>
      <c r="L277" s="25">
        <f>IFERROR(IF(INDEX('CI&amp;S'!$N$10:$N$14,MATCH($F277,'CI&amp;S'!$B$10:$B$14,0))="","Cell will autofill based on response",INDEX('CI&amp;S'!$N$10:$N$14,MATCH($F277,'CI&amp;S'!$B$10:$B$14,0))),"N/A")</f>
        <v/>
      </c>
      <c r="M277" s="25">
        <f>IFERROR(IF(INDEX('CI&amp;S'!$N$22:$N$38,MATCH($F277,'CI&amp;S'!$B$22:$B$38,0))="","Cell will autofill based on response",INDEX('CI&amp;S'!$N$22:$N$38,MATCH($F277,'CI&amp;S'!$B$22:$B$38,0))),"N/A")</f>
        <v/>
      </c>
      <c r="N277" s="25">
        <f>IFERROR(IF(INDEX('CFOG'!$N$10:$N$15,MATCH($F277,'CFOG'!$B$10:$B$15,0))="","Cell will autofill based on response",INDEX('CFOG'!$N$10:$N$15,MATCH($F277,'CFOG'!$B$10:$B$15,0))),"N/A")</f>
        <v/>
      </c>
      <c r="O277" s="25">
        <f>IFERROR(IF(INDEX('CFOG'!$N$23:$N$23,MATCH($F277,'CFOG'!$B$23:$B$23,0))="","Cell will autofill based on response",INDEX('CFOG'!$N$23:$N$23,MATCH($F277,'CFOG'!$B$23:$B$23,0))),"N/A")</f>
        <v/>
      </c>
      <c r="P277" s="25">
        <f>IFERROR(IF(INDEX('ESG'!$N$10:$N$16,MATCH($F277,'ESG'!$B$10:$B$16,0))="","Cell will autofill based on response",INDEX('ESG'!$N$10:$N$16,MATCH($F277,'ESG'!$B$10:$B$16,0))),"N/A")</f>
        <v/>
      </c>
      <c r="Q277" s="25">
        <f>IFERROR(IF(INDEX('CIOG'!$N$10:$N$13,MATCH($F277,'CIOG'!$B$10:$B$13,0))="","Cell will autofill based on response",INDEX('CIOG'!$N$10:$N$13,MATCH($F277,'CIOG'!$B$10:$B$13,0))),"N/A")</f>
        <v/>
      </c>
      <c r="R277" s="25">
        <f>IFERROR(IF(INDEX('MRE'!$N$10:$N$11,MATCH($F277,'MRE'!$B$10:$B$11,0))="","Cell will autofill based on response",INDEX('MRE'!$N$10:$N$11,MATCH($F277,'MRE'!$B$10:$B$11,0))),"N/A")</f>
        <v/>
      </c>
    </row>
    <row r="278">
      <c r="A278">
        <f>F278&amp;"|"&amp;G278</f>
        <v/>
      </c>
      <c r="B278" s="29" t="inlineStr"/>
      <c r="C278" s="8" t="inlineStr"/>
      <c r="D278" s="8" t="inlineStr"/>
      <c r="E278" s="8" t="inlineStr"/>
      <c r="F278" s="8" t="inlineStr">
        <is>
          <t>EN1(a)</t>
        </is>
      </c>
      <c r="G278" s="8" t="inlineStr">
        <is>
          <t>Supporting information/comments</t>
        </is>
      </c>
      <c r="H278" s="25">
        <f>IFERROR(IF(INDEX('Faculties'!$O$10:$O$29,MATCH($F278,'Faculties'!$B$10:$B$29,0))="","Cell will autofill based on response",INDEX('Faculties'!$O$10:$O$29,MATCH($F278,'Faculties'!$B$10:$B$29,0))),"N/A")</f>
        <v/>
      </c>
      <c r="I278" s="25">
        <f>IFERROR(IF(INDEX('Faculties'!$O$37:$O$56,MATCH($F278,'Faculties'!$B$37:$B$56,0))="","Cell will autofill based on response",INDEX('Faculties'!$O$37:$O$56,MATCH($F278,'Faculties'!$B$37:$B$56,0))),"N/A")</f>
        <v/>
      </c>
      <c r="J278" s="25">
        <f>IFERROR(IF(INDEX('Faculties'!$O$64:$O$83,MATCH($F278,'Faculties'!$B$64:$B$83,0))="","Cell will autofill based on response",INDEX('Faculties'!$O$64:$O$83,MATCH($F278,'Faculties'!$B$64:$B$83,0))),"N/A")</f>
        <v/>
      </c>
      <c r="K278" s="25">
        <f>IFERROR(IF(INDEX('Faculties'!$O$91:$O$110,MATCH($F278,'Faculties'!$B$91:$B$110,0))="","Cell will autofill based on response",INDEX('Faculties'!$O$91:$O$110,MATCH($F278,'Faculties'!$B$91:$B$110,0))),"N/A")</f>
        <v/>
      </c>
      <c r="L278" s="25">
        <f>IFERROR(IF(INDEX('CI&amp;S'!$O$10:$O$14,MATCH($F278,'CI&amp;S'!$B$10:$B$14,0))="","Cell will autofill based on response",INDEX('CI&amp;S'!$O$10:$O$14,MATCH($F278,'CI&amp;S'!$B$10:$B$14,0))),"N/A")</f>
        <v/>
      </c>
      <c r="M278" s="25">
        <f>IFERROR(IF(INDEX('CI&amp;S'!$O$22:$O$38,MATCH($F278,'CI&amp;S'!$B$22:$B$38,0))="","Cell will autofill based on response",INDEX('CI&amp;S'!$O$22:$O$38,MATCH($F278,'CI&amp;S'!$B$22:$B$38,0))),"N/A")</f>
        <v/>
      </c>
      <c r="N278" s="25">
        <f>IFERROR(IF(INDEX('CFOG'!$O$10:$O$15,MATCH($F278,'CFOG'!$B$10:$B$15,0))="","Cell will autofill based on response",INDEX('CFOG'!$O$10:$O$15,MATCH($F278,'CFOG'!$B$10:$B$15,0))),"N/A")</f>
        <v/>
      </c>
      <c r="O278" s="25">
        <f>IFERROR(IF(INDEX('CFOG'!$O$23:$O$23,MATCH($F278,'CFOG'!$B$23:$B$23,0))="","Cell will autofill based on response",INDEX('CFOG'!$O$23:$O$23,MATCH($F278,'CFOG'!$B$23:$B$23,0))),"N/A")</f>
        <v/>
      </c>
      <c r="P278" s="25">
        <f>IFERROR(IF(INDEX('ESG'!$O$10:$O$16,MATCH($F278,'ESG'!$B$10:$B$16,0))="","Cell will autofill based on response",INDEX('ESG'!$O$10:$O$16,MATCH($F278,'ESG'!$B$10:$B$16,0))),"N/A")</f>
        <v/>
      </c>
      <c r="Q278" s="25">
        <f>IFERROR(IF(INDEX('CIOG'!$O$10:$O$13,MATCH($F278,'CIOG'!$B$10:$B$13,0))="","Cell will autofill based on response",INDEX('CIOG'!$O$10:$O$13,MATCH($F278,'CIOG'!$B$10:$B$13,0))),"N/A")</f>
        <v/>
      </c>
      <c r="R278" s="25">
        <f>IFERROR(IF(INDEX('MRE'!$O$10:$O$11,MATCH($F278,'MRE'!$B$10:$B$11,0))="","Cell will autofill based on response",INDEX('MRE'!$O$10:$O$11,MATCH($F278,'MRE'!$B$10:$B$11,0))),"N/A")</f>
        <v/>
      </c>
    </row>
    <row r="279">
      <c r="A279">
        <f>F279&amp;"|"&amp;G279</f>
        <v/>
      </c>
      <c r="B279" s="29" t="inlineStr"/>
      <c r="C279" s="8" t="inlineStr"/>
      <c r="D279" s="8" t="inlineStr"/>
      <c r="E279" s="8" t="inlineStr"/>
      <c r="F279" s="8" t="inlineStr">
        <is>
          <t>EN1(a)</t>
        </is>
      </c>
      <c r="G279" s="8" t="inlineStr">
        <is>
          <t>Data source and limitations</t>
        </is>
      </c>
      <c r="H279" s="25">
        <f>IFERROR(IF(INDEX('Faculties'!$P$10:$P$29,MATCH($F279,'Faculties'!$B$10:$B$29,0))="","Cell will autofill based on response",INDEX('Faculties'!$P$10:$P$29,MATCH($F279,'Faculties'!$B$10:$B$29,0))),"N/A")</f>
        <v/>
      </c>
      <c r="I279" s="25">
        <f>IFERROR(IF(INDEX('Faculties'!$P$37:$P$56,MATCH($F279,'Faculties'!$B$37:$B$56,0))="","Cell will autofill based on response",INDEX('Faculties'!$P$37:$P$56,MATCH($F279,'Faculties'!$B$37:$B$56,0))),"N/A")</f>
        <v/>
      </c>
      <c r="J279" s="25">
        <f>IFERROR(IF(INDEX('Faculties'!$P$64:$P$83,MATCH($F279,'Faculties'!$B$64:$B$83,0))="","Cell will autofill based on response",INDEX('Faculties'!$P$64:$P$83,MATCH($F279,'Faculties'!$B$64:$B$83,0))),"N/A")</f>
        <v/>
      </c>
      <c r="K279" s="25">
        <f>IFERROR(IF(INDEX('Faculties'!$P$91:$P$110,MATCH($F279,'Faculties'!$B$91:$B$110,0))="","Cell will autofill based on response",INDEX('Faculties'!$P$91:$P$110,MATCH($F279,'Faculties'!$B$91:$B$110,0))),"N/A")</f>
        <v/>
      </c>
      <c r="L279" s="25">
        <f>IFERROR(IF(INDEX('CI&amp;S'!$P$10:$P$14,MATCH($F279,'CI&amp;S'!$B$10:$B$14,0))="","Cell will autofill based on response",INDEX('CI&amp;S'!$P$10:$P$14,MATCH($F279,'CI&amp;S'!$B$10:$B$14,0))),"N/A")</f>
        <v/>
      </c>
      <c r="M279" s="25">
        <f>IFERROR(IF(INDEX('CI&amp;S'!$P$22:$P$38,MATCH($F279,'CI&amp;S'!$B$22:$B$38,0))="","Cell will autofill based on response",INDEX('CI&amp;S'!$P$22:$P$38,MATCH($F279,'CI&amp;S'!$B$22:$B$38,0))),"N/A")</f>
        <v/>
      </c>
      <c r="N279" s="25">
        <f>IFERROR(IF(INDEX('CFOG'!$P$10:$P$15,MATCH($F279,'CFOG'!$B$10:$B$15,0))="","Cell will autofill based on response",INDEX('CFOG'!$P$10:$P$15,MATCH($F279,'CFOG'!$B$10:$B$15,0))),"N/A")</f>
        <v/>
      </c>
      <c r="O279" s="25">
        <f>IFERROR(IF(INDEX('CFOG'!$P$23:$P$23,MATCH($F279,'CFOG'!$B$23:$B$23,0))="","Cell will autofill based on response",INDEX('CFOG'!$P$23:$P$23,MATCH($F279,'CFOG'!$B$23:$B$23,0))),"N/A")</f>
        <v/>
      </c>
      <c r="P279" s="25">
        <f>IFERROR(IF(INDEX('ESG'!$P$10:$P$16,MATCH($F279,'ESG'!$B$10:$B$16,0))="","Cell will autofill based on response",INDEX('ESG'!$P$10:$P$16,MATCH($F279,'ESG'!$B$10:$B$16,0))),"N/A")</f>
        <v/>
      </c>
      <c r="Q279" s="25">
        <f>IFERROR(IF(INDEX('CIOG'!$P$10:$P$13,MATCH($F279,'CIOG'!$B$10:$B$13,0))="","Cell will autofill based on response",INDEX('CIOG'!$P$10:$P$13,MATCH($F279,'CIOG'!$B$10:$B$13,0))),"N/A")</f>
        <v/>
      </c>
      <c r="R279" s="25">
        <f>IFERROR(IF(INDEX('MRE'!$P$10:$P$11,MATCH($F279,'MRE'!$B$10:$B$11,0))="","Cell will autofill based on response",INDEX('MRE'!$P$10:$P$11,MATCH($F279,'MRE'!$B$10:$B$11,0))),"N/A")</f>
        <v/>
      </c>
    </row>
    <row r="280">
      <c r="A280">
        <f>F280&amp;"|"&amp;G280</f>
        <v/>
      </c>
      <c r="B280" s="29" t="inlineStr"/>
      <c r="C280" s="8" t="inlineStr"/>
      <c r="D280" s="8" t="inlineStr"/>
      <c r="E280" s="8" t="inlineStr"/>
      <c r="F280" s="8" t="inlineStr">
        <is>
          <t>EN1(a)</t>
        </is>
      </c>
      <c r="G280" s="8" t="inlineStr">
        <is>
          <t>Data owner confirms</t>
        </is>
      </c>
      <c r="H280" s="25">
        <f>IFERROR(IF(INDEX('Faculties'!$Q$10:$Q$29,MATCH($F280,'Faculties'!$B$10:$B$29,0))="","Cell will autofill based on response",INDEX('Faculties'!$Q$10:$Q$29,MATCH($F280,'Faculties'!$B$10:$B$29,0))),"N/A")</f>
        <v/>
      </c>
      <c r="I280" s="25">
        <f>IFERROR(IF(INDEX('Faculties'!$Q$37:$Q$56,MATCH($F280,'Faculties'!$B$37:$B$56,0))="","Cell will autofill based on response",INDEX('Faculties'!$Q$37:$Q$56,MATCH($F280,'Faculties'!$B$37:$B$56,0))),"N/A")</f>
        <v/>
      </c>
      <c r="J280" s="25">
        <f>IFERROR(IF(INDEX('Faculties'!$Q$64:$Q$83,MATCH($F280,'Faculties'!$B$64:$B$83,0))="","Cell will autofill based on response",INDEX('Faculties'!$Q$64:$Q$83,MATCH($F280,'Faculties'!$B$64:$B$83,0))),"N/A")</f>
        <v/>
      </c>
      <c r="K280" s="25">
        <f>IFERROR(IF(INDEX('Faculties'!$Q$91:$Q$110,MATCH($F280,'Faculties'!$B$91:$B$110,0))="","Cell will autofill based on response",INDEX('Faculties'!$Q$91:$Q$110,MATCH($F280,'Faculties'!$B$91:$B$110,0))),"N/A")</f>
        <v/>
      </c>
      <c r="L280" s="25">
        <f>IFERROR(IF(INDEX('CI&amp;S'!$Q$10:$Q$14,MATCH($F280,'CI&amp;S'!$B$10:$B$14,0))="","Cell will autofill based on response",INDEX('CI&amp;S'!$Q$10:$Q$14,MATCH($F280,'CI&amp;S'!$B$10:$B$14,0))),"N/A")</f>
        <v/>
      </c>
      <c r="M280" s="25">
        <f>IFERROR(IF(INDEX('CI&amp;S'!$Q$22:$Q$38,MATCH($F280,'CI&amp;S'!$B$22:$B$38,0))="","Cell will autofill based on response",INDEX('CI&amp;S'!$Q$22:$Q$38,MATCH($F280,'CI&amp;S'!$B$22:$B$38,0))),"N/A")</f>
        <v/>
      </c>
      <c r="N280" s="25">
        <f>IFERROR(IF(INDEX('CFOG'!$Q$10:$Q$15,MATCH($F280,'CFOG'!$B$10:$B$15,0))="","Cell will autofill based on response",INDEX('CFOG'!$Q$10:$Q$15,MATCH($F280,'CFOG'!$B$10:$B$15,0))),"N/A")</f>
        <v/>
      </c>
      <c r="O280" s="25">
        <f>IFERROR(IF(INDEX('CFOG'!$Q$23:$Q$23,MATCH($F280,'CFOG'!$B$23:$B$23,0))="","Cell will autofill based on response",INDEX('CFOG'!$Q$23:$Q$23,MATCH($F280,'CFOG'!$B$23:$B$23,0))),"N/A")</f>
        <v/>
      </c>
      <c r="P280" s="25">
        <f>IFERROR(IF(INDEX('ESG'!$Q$10:$Q$16,MATCH($F280,'ESG'!$B$10:$B$16,0))="","Cell will autofill based on response",INDEX('ESG'!$Q$10:$Q$16,MATCH($F280,'ESG'!$B$10:$B$16,0))),"N/A")</f>
        <v/>
      </c>
      <c r="Q280" s="25">
        <f>IFERROR(IF(INDEX('CIOG'!$Q$10:$Q$13,MATCH($F280,'CIOG'!$B$10:$B$13,0))="","Cell will autofill based on response",INDEX('CIOG'!$Q$10:$Q$13,MATCH($F280,'CIOG'!$B$10:$B$13,0))),"N/A")</f>
        <v/>
      </c>
      <c r="R280" s="25">
        <f>IFERROR(IF(INDEX('MRE'!$Q$10:$Q$11,MATCH($F280,'MRE'!$B$10:$B$11,0))="","Cell will autofill based on response",INDEX('MRE'!$Q$10:$Q$11,MATCH($F280,'MRE'!$B$10:$B$11,0))),"N/A")</f>
        <v/>
      </c>
    </row>
    <row r="281">
      <c r="A281">
        <f>F281&amp;"|"&amp;G281</f>
        <v/>
      </c>
      <c r="B281" s="7" t="inlineStr">
        <is>
          <t>EN1(b)</t>
        </is>
      </c>
      <c r="C281" s="12" t="inlineStr">
        <is>
          <t>Enablers</t>
        </is>
      </c>
      <c r="D281" s="12" t="inlineStr">
        <is>
          <t>Living laboratories enabling applied learning, research and operational sustainability outcomes</t>
        </is>
      </c>
      <c r="E281" s="12" t="inlineStr">
        <is>
          <t>Comment on living labs in the Faculty - outputs, outcomes, and impact</t>
        </is>
      </c>
      <c r="F281" s="12" t="inlineStr">
        <is>
          <t>EN1(b)</t>
        </is>
      </c>
      <c r="G281" s="12" t="inlineStr">
        <is>
          <t>Confirm end-2026 target status</t>
        </is>
      </c>
      <c r="H281" s="25">
        <f>IFERROR(IF(INDEX('Faculties'!$L$10:$L$29,MATCH($F281,'Faculties'!$B$10:$B$29,0))="","Cell will autofill based on response",INDEX('Faculties'!$L$10:$L$29,MATCH($F281,'Faculties'!$B$10:$B$29,0))),"N/A")</f>
        <v/>
      </c>
      <c r="I281" s="25">
        <f>IFERROR(IF(INDEX('Faculties'!$L$37:$L$56,MATCH($F281,'Faculties'!$B$37:$B$56,0))="","Cell will autofill based on response",INDEX('Faculties'!$L$37:$L$56,MATCH($F281,'Faculties'!$B$37:$B$56,0))),"N/A")</f>
        <v/>
      </c>
      <c r="J281" s="25">
        <f>IFERROR(IF(INDEX('Faculties'!$L$64:$L$83,MATCH($F281,'Faculties'!$B$64:$B$83,0))="","Cell will autofill based on response",INDEX('Faculties'!$L$64:$L$83,MATCH($F281,'Faculties'!$B$64:$B$83,0))),"N/A")</f>
        <v/>
      </c>
      <c r="K281" s="25">
        <f>IFERROR(IF(INDEX('Faculties'!$L$91:$L$110,MATCH($F281,'Faculties'!$B$91:$B$110,0))="","Cell will autofill based on response",INDEX('Faculties'!$L$91:$L$110,MATCH($F281,'Faculties'!$B$91:$B$110,0))),"N/A")</f>
        <v/>
      </c>
      <c r="L281" s="25">
        <f>IFERROR(IF(INDEX('CI&amp;S'!$L$10:$L$14,MATCH($F281,'CI&amp;S'!$B$10:$B$14,0))="","Cell will autofill based on response",INDEX('CI&amp;S'!$L$10:$L$14,MATCH($F281,'CI&amp;S'!$B$10:$B$14,0))),"N/A")</f>
        <v/>
      </c>
      <c r="M281" s="25">
        <f>IFERROR(IF(INDEX('CI&amp;S'!$L$22:$L$38,MATCH($F281,'CI&amp;S'!$B$22:$B$38,0))="","Cell will autofill based on response",INDEX('CI&amp;S'!$L$22:$L$38,MATCH($F281,'CI&amp;S'!$B$22:$B$38,0))),"N/A")</f>
        <v/>
      </c>
      <c r="N281" s="25">
        <f>IFERROR(IF(INDEX('CFOG'!$L$10:$L$15,MATCH($F281,'CFOG'!$B$10:$B$15,0))="","Cell will autofill based on response",INDEX('CFOG'!$L$10:$L$15,MATCH($F281,'CFOG'!$B$10:$B$15,0))),"N/A")</f>
        <v/>
      </c>
      <c r="O281" s="25">
        <f>IFERROR(IF(INDEX('CFOG'!$L$23:$L$23,MATCH($F281,'CFOG'!$B$23:$B$23,0))="","Cell will autofill based on response",INDEX('CFOG'!$L$23:$L$23,MATCH($F281,'CFOG'!$B$23:$B$23,0))),"N/A")</f>
        <v/>
      </c>
      <c r="P281" s="25">
        <f>IFERROR(IF(INDEX('ESG'!$L$10:$L$16,MATCH($F281,'ESG'!$B$10:$B$16,0))="","Cell will autofill based on response",INDEX('ESG'!$L$10:$L$16,MATCH($F281,'ESG'!$B$10:$B$16,0))),"N/A")</f>
        <v/>
      </c>
      <c r="Q281" s="25">
        <f>IFERROR(IF(INDEX('CIOG'!$L$10:$L$13,MATCH($F281,'CIOG'!$B$10:$B$13,0))="","Cell will autofill based on response",INDEX('CIOG'!$L$10:$L$13,MATCH($F281,'CIOG'!$B$10:$B$13,0))),"N/A")</f>
        <v/>
      </c>
      <c r="R281" s="25">
        <f>IFERROR(IF(INDEX('MRE'!$L$10:$L$11,MATCH($F281,'MRE'!$B$10:$B$11,0))="","Cell will autofill based on response",INDEX('MRE'!$L$10:$L$11,MATCH($F281,'MRE'!$B$10:$B$11,0))),"N/A")</f>
        <v/>
      </c>
      <c r="T281" s="26">
        <f>COUNTIF($H281:$R281,"Cell will autofill based on response")</f>
        <v/>
      </c>
      <c r="U281" s="26">
        <f>COUNTIF($H281:$R281,"Not yet started")</f>
        <v/>
      </c>
      <c r="V281" s="26">
        <f>COUNTIF($H281:$R281,"Not met")</f>
        <v/>
      </c>
      <c r="W281" s="26">
        <f>COUNTIF($H281:$R281,"Partially met")</f>
        <v/>
      </c>
      <c r="X281" s="26">
        <f>COUNTIF($H281:$R281,"Met or exceeded")</f>
        <v/>
      </c>
      <c r="Y281" s="26">
        <f>3*X281+2*W281+V281</f>
        <v/>
      </c>
      <c r="Z281" s="26">
        <f>X281+W281+V281+U281</f>
        <v/>
      </c>
      <c r="AA281" s="27">
        <f>IF(Z281&gt;0,Y281/Z281,"No valid responses to date")</f>
        <v/>
      </c>
      <c r="AB281" s="26">
        <f>IF(ISNUMBER(AA281),INDEX(Lists!$G$2:$G$5,MATCH(ROUND(AA281,0),Lists!$H$2:$H$5,0)),"")</f>
        <v/>
      </c>
      <c r="AC281" s="28">
        <f>IF(Z281&gt;0,X281/Z281,"")</f>
        <v/>
      </c>
      <c r="AD281" s="28">
        <f>IF(Z281&gt;0,(X281+W281)/Z281,"")</f>
        <v/>
      </c>
      <c r="AE281" s="26">
        <f>IF(Z281=0,"",IF(AC281&gt;0.75,"Met or exceeded",IF(AD281&gt;=0.5,"Partially met","Not met")))</f>
        <v/>
      </c>
    </row>
    <row r="282">
      <c r="A282">
        <f>F282&amp;"|"&amp;G282</f>
        <v/>
      </c>
      <c r="B282" s="29" t="inlineStr"/>
      <c r="C282" s="8" t="inlineStr"/>
      <c r="D282" s="8" t="inlineStr"/>
      <c r="E282" s="8" t="inlineStr"/>
      <c r="F282" s="8" t="inlineStr">
        <is>
          <t>EN1(b)</t>
        </is>
      </c>
      <c r="G282" s="8" t="inlineStr">
        <is>
          <t>OPTION 1:  Target-level reporting</t>
        </is>
      </c>
      <c r="H282" s="25">
        <f>IFERROR(IF(INDEX('Faculties'!$M$10:$M$29,MATCH($F282,'Faculties'!$B$10:$B$29,0))="","Cell will autofill based on response",INDEX('Faculties'!$M$10:$M$29,MATCH($F282,'Faculties'!$B$10:$B$29,0))),"N/A")</f>
        <v/>
      </c>
      <c r="I282" s="25">
        <f>IFERROR(IF(INDEX('Faculties'!$M$37:$M$56,MATCH($F282,'Faculties'!$B$37:$B$56,0))="","Cell will autofill based on response",INDEX('Faculties'!$M$37:$M$56,MATCH($F282,'Faculties'!$B$37:$B$56,0))),"N/A")</f>
        <v/>
      </c>
      <c r="J282" s="25">
        <f>IFERROR(IF(INDEX('Faculties'!$M$64:$M$83,MATCH($F282,'Faculties'!$B$64:$B$83,0))="","Cell will autofill based on response",INDEX('Faculties'!$M$64:$M$83,MATCH($F282,'Faculties'!$B$64:$B$83,0))),"N/A")</f>
        <v/>
      </c>
      <c r="K282" s="25">
        <f>IFERROR(IF(INDEX('Faculties'!$M$91:$M$110,MATCH($F282,'Faculties'!$B$91:$B$110,0))="","Cell will autofill based on response",INDEX('Faculties'!$M$91:$M$110,MATCH($F282,'Faculties'!$B$91:$B$110,0))),"N/A")</f>
        <v/>
      </c>
      <c r="L282" s="25">
        <f>IFERROR(IF(INDEX('CI&amp;S'!$M$10:$M$14,MATCH($F282,'CI&amp;S'!$B$10:$B$14,0))="","Cell will autofill based on response",INDEX('CI&amp;S'!$M$10:$M$14,MATCH($F282,'CI&amp;S'!$B$10:$B$14,0))),"N/A")</f>
        <v/>
      </c>
      <c r="M282" s="25">
        <f>IFERROR(IF(INDEX('CI&amp;S'!$M$22:$M$38,MATCH($F282,'CI&amp;S'!$B$22:$B$38,0))="","Cell will autofill based on response",INDEX('CI&amp;S'!$M$22:$M$38,MATCH($F282,'CI&amp;S'!$B$22:$B$38,0))),"N/A")</f>
        <v/>
      </c>
      <c r="N282" s="25">
        <f>IFERROR(IF(INDEX('CFOG'!$M$10:$M$15,MATCH($F282,'CFOG'!$B$10:$B$15,0))="","Cell will autofill based on response",INDEX('CFOG'!$M$10:$M$15,MATCH($F282,'CFOG'!$B$10:$B$15,0))),"N/A")</f>
        <v/>
      </c>
      <c r="O282" s="25">
        <f>IFERROR(IF(INDEX('CFOG'!$M$23:$M$23,MATCH($F282,'CFOG'!$B$23:$B$23,0))="","Cell will autofill based on response",INDEX('CFOG'!$M$23:$M$23,MATCH($F282,'CFOG'!$B$23:$B$23,0))),"N/A")</f>
        <v/>
      </c>
      <c r="P282" s="25">
        <f>IFERROR(IF(INDEX('ESG'!$M$10:$M$16,MATCH($F282,'ESG'!$B$10:$B$16,0))="","Cell will autofill based on response",INDEX('ESG'!$M$10:$M$16,MATCH($F282,'ESG'!$B$10:$B$16,0))),"N/A")</f>
        <v/>
      </c>
      <c r="Q282" s="25">
        <f>IFERROR(IF(INDEX('CIOG'!$M$10:$M$13,MATCH($F282,'CIOG'!$B$10:$B$13,0))="","Cell will autofill based on response",INDEX('CIOG'!$M$10:$M$13,MATCH($F282,'CIOG'!$B$10:$B$13,0))),"N/A")</f>
        <v/>
      </c>
      <c r="R282" s="25">
        <f>IFERROR(IF(INDEX('MRE'!$M$10:$M$11,MATCH($F282,'MRE'!$B$10:$B$11,0))="","Cell will autofill based on response",INDEX('MRE'!$M$10:$M$11,MATCH($F282,'MRE'!$B$10:$B$11,0))),"N/A")</f>
        <v/>
      </c>
    </row>
    <row r="283">
      <c r="A283">
        <f>F283&amp;"|"&amp;G283</f>
        <v/>
      </c>
      <c r="B283" s="29" t="inlineStr"/>
      <c r="C283" s="8" t="inlineStr"/>
      <c r="D283" s="8" t="inlineStr"/>
      <c r="E283" s="8" t="inlineStr"/>
      <c r="F283" s="8" t="inlineStr">
        <is>
          <t>EN1(b)</t>
        </is>
      </c>
      <c r="G283" s="8" t="inlineStr">
        <is>
          <t>OPTION 2:  Indicator level reporting</t>
        </is>
      </c>
      <c r="H283" s="25">
        <f>IFERROR(IF(INDEX('Faculties'!$N$10:$N$29,MATCH($F283,'Faculties'!$B$10:$B$29,0))="","Cell will autofill based on response",INDEX('Faculties'!$N$10:$N$29,MATCH($F283,'Faculties'!$B$10:$B$29,0))),"N/A")</f>
        <v/>
      </c>
      <c r="I283" s="25">
        <f>IFERROR(IF(INDEX('Faculties'!$N$37:$N$56,MATCH($F283,'Faculties'!$B$37:$B$56,0))="","Cell will autofill based on response",INDEX('Faculties'!$N$37:$N$56,MATCH($F283,'Faculties'!$B$37:$B$56,0))),"N/A")</f>
        <v/>
      </c>
      <c r="J283" s="25">
        <f>IFERROR(IF(INDEX('Faculties'!$N$64:$N$83,MATCH($F283,'Faculties'!$B$64:$B$83,0))="","Cell will autofill based on response",INDEX('Faculties'!$N$64:$N$83,MATCH($F283,'Faculties'!$B$64:$B$83,0))),"N/A")</f>
        <v/>
      </c>
      <c r="K283" s="25">
        <f>IFERROR(IF(INDEX('Faculties'!$N$91:$N$110,MATCH($F283,'Faculties'!$B$91:$B$110,0))="","Cell will autofill based on response",INDEX('Faculties'!$N$91:$N$110,MATCH($F283,'Faculties'!$B$91:$B$110,0))),"N/A")</f>
        <v/>
      </c>
      <c r="L283" s="25">
        <f>IFERROR(IF(INDEX('CI&amp;S'!$N$10:$N$14,MATCH($F283,'CI&amp;S'!$B$10:$B$14,0))="","Cell will autofill based on response",INDEX('CI&amp;S'!$N$10:$N$14,MATCH($F283,'CI&amp;S'!$B$10:$B$14,0))),"N/A")</f>
        <v/>
      </c>
      <c r="M283" s="25">
        <f>IFERROR(IF(INDEX('CI&amp;S'!$N$22:$N$38,MATCH($F283,'CI&amp;S'!$B$22:$B$38,0))="","Cell will autofill based on response",INDEX('CI&amp;S'!$N$22:$N$38,MATCH($F283,'CI&amp;S'!$B$22:$B$38,0))),"N/A")</f>
        <v/>
      </c>
      <c r="N283" s="25">
        <f>IFERROR(IF(INDEX('CFOG'!$N$10:$N$15,MATCH($F283,'CFOG'!$B$10:$B$15,0))="","Cell will autofill based on response",INDEX('CFOG'!$N$10:$N$15,MATCH($F283,'CFOG'!$B$10:$B$15,0))),"N/A")</f>
        <v/>
      </c>
      <c r="O283" s="25">
        <f>IFERROR(IF(INDEX('CFOG'!$N$23:$N$23,MATCH($F283,'CFOG'!$B$23:$B$23,0))="","Cell will autofill based on response",INDEX('CFOG'!$N$23:$N$23,MATCH($F283,'CFOG'!$B$23:$B$23,0))),"N/A")</f>
        <v/>
      </c>
      <c r="P283" s="25">
        <f>IFERROR(IF(INDEX('ESG'!$N$10:$N$16,MATCH($F283,'ESG'!$B$10:$B$16,0))="","Cell will autofill based on response",INDEX('ESG'!$N$10:$N$16,MATCH($F283,'ESG'!$B$10:$B$16,0))),"N/A")</f>
        <v/>
      </c>
      <c r="Q283" s="25">
        <f>IFERROR(IF(INDEX('CIOG'!$N$10:$N$13,MATCH($F283,'CIOG'!$B$10:$B$13,0))="","Cell will autofill based on response",INDEX('CIOG'!$N$10:$N$13,MATCH($F283,'CIOG'!$B$10:$B$13,0))),"N/A")</f>
        <v/>
      </c>
      <c r="R283" s="25">
        <f>IFERROR(IF(INDEX('MRE'!$N$10:$N$11,MATCH($F283,'MRE'!$B$10:$B$11,0))="","Cell will autofill based on response",INDEX('MRE'!$N$10:$N$11,MATCH($F283,'MRE'!$B$10:$B$11,0))),"N/A")</f>
        <v/>
      </c>
    </row>
    <row r="284">
      <c r="A284">
        <f>F284&amp;"|"&amp;G284</f>
        <v/>
      </c>
      <c r="B284" s="29" t="inlineStr"/>
      <c r="C284" s="8" t="inlineStr"/>
      <c r="D284" s="8" t="inlineStr"/>
      <c r="E284" s="8" t="inlineStr"/>
      <c r="F284" s="8" t="inlineStr">
        <is>
          <t>EN1(b)</t>
        </is>
      </c>
      <c r="G284" s="8" t="inlineStr">
        <is>
          <t>Supporting information/comments</t>
        </is>
      </c>
      <c r="H284" s="25">
        <f>IFERROR(IF(INDEX('Faculties'!$O$10:$O$29,MATCH($F284,'Faculties'!$B$10:$B$29,0))="","Cell will autofill based on response",INDEX('Faculties'!$O$10:$O$29,MATCH($F284,'Faculties'!$B$10:$B$29,0))),"N/A")</f>
        <v/>
      </c>
      <c r="I284" s="25">
        <f>IFERROR(IF(INDEX('Faculties'!$O$37:$O$56,MATCH($F284,'Faculties'!$B$37:$B$56,0))="","Cell will autofill based on response",INDEX('Faculties'!$O$37:$O$56,MATCH($F284,'Faculties'!$B$37:$B$56,0))),"N/A")</f>
        <v/>
      </c>
      <c r="J284" s="25">
        <f>IFERROR(IF(INDEX('Faculties'!$O$64:$O$83,MATCH($F284,'Faculties'!$B$64:$B$83,0))="","Cell will autofill based on response",INDEX('Faculties'!$O$64:$O$83,MATCH($F284,'Faculties'!$B$64:$B$83,0))),"N/A")</f>
        <v/>
      </c>
      <c r="K284" s="25">
        <f>IFERROR(IF(INDEX('Faculties'!$O$91:$O$110,MATCH($F284,'Faculties'!$B$91:$B$110,0))="","Cell will autofill based on response",INDEX('Faculties'!$O$91:$O$110,MATCH($F284,'Faculties'!$B$91:$B$110,0))),"N/A")</f>
        <v/>
      </c>
      <c r="L284" s="25">
        <f>IFERROR(IF(INDEX('CI&amp;S'!$O$10:$O$14,MATCH($F284,'CI&amp;S'!$B$10:$B$14,0))="","Cell will autofill based on response",INDEX('CI&amp;S'!$O$10:$O$14,MATCH($F284,'CI&amp;S'!$B$10:$B$14,0))),"N/A")</f>
        <v/>
      </c>
      <c r="M284" s="25">
        <f>IFERROR(IF(INDEX('CI&amp;S'!$O$22:$O$38,MATCH($F284,'CI&amp;S'!$B$22:$B$38,0))="","Cell will autofill based on response",INDEX('CI&amp;S'!$O$22:$O$38,MATCH($F284,'CI&amp;S'!$B$22:$B$38,0))),"N/A")</f>
        <v/>
      </c>
      <c r="N284" s="25">
        <f>IFERROR(IF(INDEX('CFOG'!$O$10:$O$15,MATCH($F284,'CFOG'!$B$10:$B$15,0))="","Cell will autofill based on response",INDEX('CFOG'!$O$10:$O$15,MATCH($F284,'CFOG'!$B$10:$B$15,0))),"N/A")</f>
        <v/>
      </c>
      <c r="O284" s="25">
        <f>IFERROR(IF(INDEX('CFOG'!$O$23:$O$23,MATCH($F284,'CFOG'!$B$23:$B$23,0))="","Cell will autofill based on response",INDEX('CFOG'!$O$23:$O$23,MATCH($F284,'CFOG'!$B$23:$B$23,0))),"N/A")</f>
        <v/>
      </c>
      <c r="P284" s="25">
        <f>IFERROR(IF(INDEX('ESG'!$O$10:$O$16,MATCH($F284,'ESG'!$B$10:$B$16,0))="","Cell will autofill based on response",INDEX('ESG'!$O$10:$O$16,MATCH($F284,'ESG'!$B$10:$B$16,0))),"N/A")</f>
        <v/>
      </c>
      <c r="Q284" s="25">
        <f>IFERROR(IF(INDEX('CIOG'!$O$10:$O$13,MATCH($F284,'CIOG'!$B$10:$B$13,0))="","Cell will autofill based on response",INDEX('CIOG'!$O$10:$O$13,MATCH($F284,'CIOG'!$B$10:$B$13,0))),"N/A")</f>
        <v/>
      </c>
      <c r="R284" s="25">
        <f>IFERROR(IF(INDEX('MRE'!$O$10:$O$11,MATCH($F284,'MRE'!$B$10:$B$11,0))="","Cell will autofill based on response",INDEX('MRE'!$O$10:$O$11,MATCH($F284,'MRE'!$B$10:$B$11,0))),"N/A")</f>
        <v/>
      </c>
    </row>
    <row r="285">
      <c r="A285">
        <f>F285&amp;"|"&amp;G285</f>
        <v/>
      </c>
      <c r="B285" s="29" t="inlineStr"/>
      <c r="C285" s="8" t="inlineStr"/>
      <c r="D285" s="8" t="inlineStr"/>
      <c r="E285" s="8" t="inlineStr"/>
      <c r="F285" s="8" t="inlineStr">
        <is>
          <t>EN1(b)</t>
        </is>
      </c>
      <c r="G285" s="8" t="inlineStr">
        <is>
          <t>Data source and limitations</t>
        </is>
      </c>
      <c r="H285" s="25">
        <f>IFERROR(IF(INDEX('Faculties'!$P$10:$P$29,MATCH($F285,'Faculties'!$B$10:$B$29,0))="","Cell will autofill based on response",INDEX('Faculties'!$P$10:$P$29,MATCH($F285,'Faculties'!$B$10:$B$29,0))),"N/A")</f>
        <v/>
      </c>
      <c r="I285" s="25">
        <f>IFERROR(IF(INDEX('Faculties'!$P$37:$P$56,MATCH($F285,'Faculties'!$B$37:$B$56,0))="","Cell will autofill based on response",INDEX('Faculties'!$P$37:$P$56,MATCH($F285,'Faculties'!$B$37:$B$56,0))),"N/A")</f>
        <v/>
      </c>
      <c r="J285" s="25">
        <f>IFERROR(IF(INDEX('Faculties'!$P$64:$P$83,MATCH($F285,'Faculties'!$B$64:$B$83,0))="","Cell will autofill based on response",INDEX('Faculties'!$P$64:$P$83,MATCH($F285,'Faculties'!$B$64:$B$83,0))),"N/A")</f>
        <v/>
      </c>
      <c r="K285" s="25">
        <f>IFERROR(IF(INDEX('Faculties'!$P$91:$P$110,MATCH($F285,'Faculties'!$B$91:$B$110,0))="","Cell will autofill based on response",INDEX('Faculties'!$P$91:$P$110,MATCH($F285,'Faculties'!$B$91:$B$110,0))),"N/A")</f>
        <v/>
      </c>
      <c r="L285" s="25">
        <f>IFERROR(IF(INDEX('CI&amp;S'!$P$10:$P$14,MATCH($F285,'CI&amp;S'!$B$10:$B$14,0))="","Cell will autofill based on response",INDEX('CI&amp;S'!$P$10:$P$14,MATCH($F285,'CI&amp;S'!$B$10:$B$14,0))),"N/A")</f>
        <v/>
      </c>
      <c r="M285" s="25">
        <f>IFERROR(IF(INDEX('CI&amp;S'!$P$22:$P$38,MATCH($F285,'CI&amp;S'!$B$22:$B$38,0))="","Cell will autofill based on response",INDEX('CI&amp;S'!$P$22:$P$38,MATCH($F285,'CI&amp;S'!$B$22:$B$38,0))),"N/A")</f>
        <v/>
      </c>
      <c r="N285" s="25">
        <f>IFERROR(IF(INDEX('CFOG'!$P$10:$P$15,MATCH($F285,'CFOG'!$B$10:$B$15,0))="","Cell will autofill based on response",INDEX('CFOG'!$P$10:$P$15,MATCH($F285,'CFOG'!$B$10:$B$15,0))),"N/A")</f>
        <v/>
      </c>
      <c r="O285" s="25">
        <f>IFERROR(IF(INDEX('CFOG'!$P$23:$P$23,MATCH($F285,'CFOG'!$B$23:$B$23,0))="","Cell will autofill based on response",INDEX('CFOG'!$P$23:$P$23,MATCH($F285,'CFOG'!$B$23:$B$23,0))),"N/A")</f>
        <v/>
      </c>
      <c r="P285" s="25">
        <f>IFERROR(IF(INDEX('ESG'!$P$10:$P$16,MATCH($F285,'ESG'!$B$10:$B$16,0))="","Cell will autofill based on response",INDEX('ESG'!$P$10:$P$16,MATCH($F285,'ESG'!$B$10:$B$16,0))),"N/A")</f>
        <v/>
      </c>
      <c r="Q285" s="25">
        <f>IFERROR(IF(INDEX('CIOG'!$P$10:$P$13,MATCH($F285,'CIOG'!$B$10:$B$13,0))="","Cell will autofill based on response",INDEX('CIOG'!$P$10:$P$13,MATCH($F285,'CIOG'!$B$10:$B$13,0))),"N/A")</f>
        <v/>
      </c>
      <c r="R285" s="25">
        <f>IFERROR(IF(INDEX('MRE'!$P$10:$P$11,MATCH($F285,'MRE'!$B$10:$B$11,0))="","Cell will autofill based on response",INDEX('MRE'!$P$10:$P$11,MATCH($F285,'MRE'!$B$10:$B$11,0))),"N/A")</f>
        <v/>
      </c>
    </row>
    <row r="286">
      <c r="A286">
        <f>F286&amp;"|"&amp;G286</f>
        <v/>
      </c>
      <c r="B286" s="29" t="inlineStr"/>
      <c r="C286" s="8" t="inlineStr"/>
      <c r="D286" s="8" t="inlineStr"/>
      <c r="E286" s="8" t="inlineStr"/>
      <c r="F286" s="8" t="inlineStr">
        <is>
          <t>EN1(b)</t>
        </is>
      </c>
      <c r="G286" s="8" t="inlineStr">
        <is>
          <t>Data owner confirms</t>
        </is>
      </c>
      <c r="H286" s="25">
        <f>IFERROR(IF(INDEX('Faculties'!$Q$10:$Q$29,MATCH($F286,'Faculties'!$B$10:$B$29,0))="","Cell will autofill based on response",INDEX('Faculties'!$Q$10:$Q$29,MATCH($F286,'Faculties'!$B$10:$B$29,0))),"N/A")</f>
        <v/>
      </c>
      <c r="I286" s="25">
        <f>IFERROR(IF(INDEX('Faculties'!$Q$37:$Q$56,MATCH($F286,'Faculties'!$B$37:$B$56,0))="","Cell will autofill based on response",INDEX('Faculties'!$Q$37:$Q$56,MATCH($F286,'Faculties'!$B$37:$B$56,0))),"N/A")</f>
        <v/>
      </c>
      <c r="J286" s="25">
        <f>IFERROR(IF(INDEX('Faculties'!$Q$64:$Q$83,MATCH($F286,'Faculties'!$B$64:$B$83,0))="","Cell will autofill based on response",INDEX('Faculties'!$Q$64:$Q$83,MATCH($F286,'Faculties'!$B$64:$B$83,0))),"N/A")</f>
        <v/>
      </c>
      <c r="K286" s="25">
        <f>IFERROR(IF(INDEX('Faculties'!$Q$91:$Q$110,MATCH($F286,'Faculties'!$B$91:$B$110,0))="","Cell will autofill based on response",INDEX('Faculties'!$Q$91:$Q$110,MATCH($F286,'Faculties'!$B$91:$B$110,0))),"N/A")</f>
        <v/>
      </c>
      <c r="L286" s="25">
        <f>IFERROR(IF(INDEX('CI&amp;S'!$Q$10:$Q$14,MATCH($F286,'CI&amp;S'!$B$10:$B$14,0))="","Cell will autofill based on response",INDEX('CI&amp;S'!$Q$10:$Q$14,MATCH($F286,'CI&amp;S'!$B$10:$B$14,0))),"N/A")</f>
        <v/>
      </c>
      <c r="M286" s="25">
        <f>IFERROR(IF(INDEX('CI&amp;S'!$Q$22:$Q$38,MATCH($F286,'CI&amp;S'!$B$22:$B$38,0))="","Cell will autofill based on response",INDEX('CI&amp;S'!$Q$22:$Q$38,MATCH($F286,'CI&amp;S'!$B$22:$B$38,0))),"N/A")</f>
        <v/>
      </c>
      <c r="N286" s="25">
        <f>IFERROR(IF(INDEX('CFOG'!$Q$10:$Q$15,MATCH($F286,'CFOG'!$B$10:$B$15,0))="","Cell will autofill based on response",INDEX('CFOG'!$Q$10:$Q$15,MATCH($F286,'CFOG'!$B$10:$B$15,0))),"N/A")</f>
        <v/>
      </c>
      <c r="O286" s="25">
        <f>IFERROR(IF(INDEX('CFOG'!$Q$23:$Q$23,MATCH($F286,'CFOG'!$B$23:$B$23,0))="","Cell will autofill based on response",INDEX('CFOG'!$Q$23:$Q$23,MATCH($F286,'CFOG'!$B$23:$B$23,0))),"N/A")</f>
        <v/>
      </c>
      <c r="P286" s="25">
        <f>IFERROR(IF(INDEX('ESG'!$Q$10:$Q$16,MATCH($F286,'ESG'!$B$10:$B$16,0))="","Cell will autofill based on response",INDEX('ESG'!$Q$10:$Q$16,MATCH($F286,'ESG'!$B$10:$B$16,0))),"N/A")</f>
        <v/>
      </c>
      <c r="Q286" s="25">
        <f>IFERROR(IF(INDEX('CIOG'!$Q$10:$Q$13,MATCH($F286,'CIOG'!$B$10:$B$13,0))="","Cell will autofill based on response",INDEX('CIOG'!$Q$10:$Q$13,MATCH($F286,'CIOG'!$B$10:$B$13,0))),"N/A")</f>
        <v/>
      </c>
      <c r="R286" s="25">
        <f>IFERROR(IF(INDEX('MRE'!$Q$10:$Q$11,MATCH($F286,'MRE'!$B$10:$B$11,0))="","Cell will autofill based on response",INDEX('MRE'!$Q$10:$Q$11,MATCH($F286,'MRE'!$B$10:$B$11,0))),"N/A")</f>
        <v/>
      </c>
    </row>
    <row r="287">
      <c r="A287">
        <f>F287&amp;"|"&amp;G287</f>
        <v/>
      </c>
      <c r="B287" s="7" t="inlineStr">
        <is>
          <t>EN1(c)</t>
        </is>
      </c>
      <c r="C287" s="12" t="inlineStr">
        <is>
          <t>Enablers</t>
        </is>
      </c>
      <c r="D287" s="12" t="inlineStr">
        <is>
          <t>Coordinated internal engagement and external partnerships contributing to delivery of sustainability outcomes across priority areas.</t>
        </is>
      </c>
      <c r="E287"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87" s="12" t="inlineStr">
        <is>
          <t>EN1(c)</t>
        </is>
      </c>
      <c r="G287" s="12" t="inlineStr">
        <is>
          <t>Confirm end-2026 target status</t>
        </is>
      </c>
      <c r="H287" s="25">
        <f>IFERROR(IF(INDEX('Faculties'!$L$10:$L$29,MATCH($F287,'Faculties'!$B$10:$B$29,0))="","Cell will autofill based on response",INDEX('Faculties'!$L$10:$L$29,MATCH($F287,'Faculties'!$B$10:$B$29,0))),"N/A")</f>
        <v/>
      </c>
      <c r="I287" s="25">
        <f>IFERROR(IF(INDEX('Faculties'!$L$37:$L$56,MATCH($F287,'Faculties'!$B$37:$B$56,0))="","Cell will autofill based on response",INDEX('Faculties'!$L$37:$L$56,MATCH($F287,'Faculties'!$B$37:$B$56,0))),"N/A")</f>
        <v/>
      </c>
      <c r="J287" s="25">
        <f>IFERROR(IF(INDEX('Faculties'!$L$64:$L$83,MATCH($F287,'Faculties'!$B$64:$B$83,0))="","Cell will autofill based on response",INDEX('Faculties'!$L$64:$L$83,MATCH($F287,'Faculties'!$B$64:$B$83,0))),"N/A")</f>
        <v/>
      </c>
      <c r="K287" s="25">
        <f>IFERROR(IF(INDEX('Faculties'!$L$91:$L$110,MATCH($F287,'Faculties'!$B$91:$B$110,0))="","Cell will autofill based on response",INDEX('Faculties'!$L$91:$L$110,MATCH($F287,'Faculties'!$B$91:$B$110,0))),"N/A")</f>
        <v/>
      </c>
      <c r="L287" s="25">
        <f>IFERROR(IF(INDEX('CI&amp;S'!$L$10:$L$14,MATCH($F287,'CI&amp;S'!$B$10:$B$14,0))="","Cell will autofill based on response",INDEX('CI&amp;S'!$L$10:$L$14,MATCH($F287,'CI&amp;S'!$B$10:$B$14,0))),"N/A")</f>
        <v/>
      </c>
      <c r="M287" s="25">
        <f>IFERROR(IF(INDEX('CI&amp;S'!$L$22:$L$38,MATCH($F287,'CI&amp;S'!$B$22:$B$38,0))="","Cell will autofill based on response",INDEX('CI&amp;S'!$L$22:$L$38,MATCH($F287,'CI&amp;S'!$B$22:$B$38,0))),"N/A")</f>
        <v/>
      </c>
      <c r="N287" s="25">
        <f>IFERROR(IF(INDEX('CFOG'!$L$10:$L$15,MATCH($F287,'CFOG'!$B$10:$B$15,0))="","Cell will autofill based on response",INDEX('CFOG'!$L$10:$L$15,MATCH($F287,'CFOG'!$B$10:$B$15,0))),"N/A")</f>
        <v/>
      </c>
      <c r="O287" s="25">
        <f>IFERROR(IF(INDEX('CFOG'!$L$23:$L$23,MATCH($F287,'CFOG'!$B$23:$B$23,0))="","Cell will autofill based on response",INDEX('CFOG'!$L$23:$L$23,MATCH($F287,'CFOG'!$B$23:$B$23,0))),"N/A")</f>
        <v/>
      </c>
      <c r="P287" s="25">
        <f>IFERROR(IF(INDEX('ESG'!$L$10:$L$16,MATCH($F287,'ESG'!$B$10:$B$16,0))="","Cell will autofill based on response",INDEX('ESG'!$L$10:$L$16,MATCH($F287,'ESG'!$B$10:$B$16,0))),"N/A")</f>
        <v/>
      </c>
      <c r="Q287" s="25">
        <f>IFERROR(IF(INDEX('CIOG'!$L$10:$L$13,MATCH($F287,'CIOG'!$B$10:$B$13,0))="","Cell will autofill based on response",INDEX('CIOG'!$L$10:$L$13,MATCH($F287,'CIOG'!$B$10:$B$13,0))),"N/A")</f>
        <v/>
      </c>
      <c r="R287" s="25">
        <f>IFERROR(IF(INDEX('MRE'!$L$10:$L$11,MATCH($F287,'MRE'!$B$10:$B$11,0))="","Cell will autofill based on response",INDEX('MRE'!$L$10:$L$11,MATCH($F287,'MRE'!$B$10:$B$11,0))),"N/A")</f>
        <v/>
      </c>
      <c r="T287" s="26">
        <f>COUNTIF($H287:$R287,"Cell will autofill based on response")</f>
        <v/>
      </c>
      <c r="U287" s="26">
        <f>COUNTIF($H287:$R287,"Not yet started")</f>
        <v/>
      </c>
      <c r="V287" s="26">
        <f>COUNTIF($H287:$R287,"Not met")</f>
        <v/>
      </c>
      <c r="W287" s="26">
        <f>COUNTIF($H287:$R287,"Partially met")</f>
        <v/>
      </c>
      <c r="X287" s="26">
        <f>COUNTIF($H287:$R287,"Met or exceeded")</f>
        <v/>
      </c>
      <c r="Y287" s="26">
        <f>3*X287+2*W287+V287</f>
        <v/>
      </c>
      <c r="Z287" s="26">
        <f>X287+W287+V287+U287</f>
        <v/>
      </c>
      <c r="AA287" s="27">
        <f>IF(Z287&gt;0,Y287/Z287,"No valid responses to date")</f>
        <v/>
      </c>
      <c r="AB287" s="26">
        <f>IF(ISNUMBER(AA287),INDEX(Lists!$G$2:$G$5,MATCH(ROUND(AA287,0),Lists!$H$2:$H$5,0)),"")</f>
        <v/>
      </c>
      <c r="AC287" s="28">
        <f>IF(Z287&gt;0,X287/Z287,"")</f>
        <v/>
      </c>
      <c r="AD287" s="28">
        <f>IF(Z287&gt;0,(X287+W287)/Z287,"")</f>
        <v/>
      </c>
      <c r="AE287" s="26">
        <f>IF(Z287=0,"",IF(AC287&gt;0.75,"Met or exceeded",IF(AD287&gt;=0.5,"Partially met","Not met")))</f>
        <v/>
      </c>
    </row>
    <row r="288">
      <c r="A288">
        <f>F288&amp;"|"&amp;G288</f>
        <v/>
      </c>
      <c r="B288" s="29" t="inlineStr"/>
      <c r="C288" s="8" t="inlineStr"/>
      <c r="D288" s="8" t="inlineStr"/>
      <c r="E288" s="8" t="inlineStr"/>
      <c r="F288" s="8" t="inlineStr">
        <is>
          <t>EN1(c)</t>
        </is>
      </c>
      <c r="G288" s="8" t="inlineStr">
        <is>
          <t>OPTION 1:  Target-level reporting</t>
        </is>
      </c>
      <c r="H288" s="25">
        <f>IFERROR(IF(INDEX('Faculties'!$M$10:$M$29,MATCH($F288,'Faculties'!$B$10:$B$29,0))="","Cell will autofill based on response",INDEX('Faculties'!$M$10:$M$29,MATCH($F288,'Faculties'!$B$10:$B$29,0))),"N/A")</f>
        <v/>
      </c>
      <c r="I288" s="25">
        <f>IFERROR(IF(INDEX('Faculties'!$M$37:$M$56,MATCH($F288,'Faculties'!$B$37:$B$56,0))="","Cell will autofill based on response",INDEX('Faculties'!$M$37:$M$56,MATCH($F288,'Faculties'!$B$37:$B$56,0))),"N/A")</f>
        <v/>
      </c>
      <c r="J288" s="25">
        <f>IFERROR(IF(INDEX('Faculties'!$M$64:$M$83,MATCH($F288,'Faculties'!$B$64:$B$83,0))="","Cell will autofill based on response",INDEX('Faculties'!$M$64:$M$83,MATCH($F288,'Faculties'!$B$64:$B$83,0))),"N/A")</f>
        <v/>
      </c>
      <c r="K288" s="25">
        <f>IFERROR(IF(INDEX('Faculties'!$M$91:$M$110,MATCH($F288,'Faculties'!$B$91:$B$110,0))="","Cell will autofill based on response",INDEX('Faculties'!$M$91:$M$110,MATCH($F288,'Faculties'!$B$91:$B$110,0))),"N/A")</f>
        <v/>
      </c>
      <c r="L288" s="25">
        <f>IFERROR(IF(INDEX('CI&amp;S'!$M$10:$M$14,MATCH($F288,'CI&amp;S'!$B$10:$B$14,0))="","Cell will autofill based on response",INDEX('CI&amp;S'!$M$10:$M$14,MATCH($F288,'CI&amp;S'!$B$10:$B$14,0))),"N/A")</f>
        <v/>
      </c>
      <c r="M288" s="25">
        <f>IFERROR(IF(INDEX('CI&amp;S'!$M$22:$M$38,MATCH($F288,'CI&amp;S'!$B$22:$B$38,0))="","Cell will autofill based on response",INDEX('CI&amp;S'!$M$22:$M$38,MATCH($F288,'CI&amp;S'!$B$22:$B$38,0))),"N/A")</f>
        <v/>
      </c>
      <c r="N288" s="25">
        <f>IFERROR(IF(INDEX('CFOG'!$M$10:$M$15,MATCH($F288,'CFOG'!$B$10:$B$15,0))="","Cell will autofill based on response",INDEX('CFOG'!$M$10:$M$15,MATCH($F288,'CFOG'!$B$10:$B$15,0))),"N/A")</f>
        <v/>
      </c>
      <c r="O288" s="25">
        <f>IFERROR(IF(INDEX('CFOG'!$M$23:$M$23,MATCH($F288,'CFOG'!$B$23:$B$23,0))="","Cell will autofill based on response",INDEX('CFOG'!$M$23:$M$23,MATCH($F288,'CFOG'!$B$23:$B$23,0))),"N/A")</f>
        <v/>
      </c>
      <c r="P288" s="25">
        <f>IFERROR(IF(INDEX('ESG'!$M$10:$M$16,MATCH($F288,'ESG'!$B$10:$B$16,0))="","Cell will autofill based on response",INDEX('ESG'!$M$10:$M$16,MATCH($F288,'ESG'!$B$10:$B$16,0))),"N/A")</f>
        <v/>
      </c>
      <c r="Q288" s="25">
        <f>IFERROR(IF(INDEX('CIOG'!$M$10:$M$13,MATCH($F288,'CIOG'!$B$10:$B$13,0))="","Cell will autofill based on response",INDEX('CIOG'!$M$10:$M$13,MATCH($F288,'CIOG'!$B$10:$B$13,0))),"N/A")</f>
        <v/>
      </c>
      <c r="R288" s="25">
        <f>IFERROR(IF(INDEX('MRE'!$M$10:$M$11,MATCH($F288,'MRE'!$B$10:$B$11,0))="","Cell will autofill based on response",INDEX('MRE'!$M$10:$M$11,MATCH($F288,'MRE'!$B$10:$B$11,0))),"N/A")</f>
        <v/>
      </c>
    </row>
    <row r="289">
      <c r="A289">
        <f>F289&amp;"|"&amp;G289</f>
        <v/>
      </c>
      <c r="B289" s="29" t="inlineStr"/>
      <c r="C289" s="8" t="inlineStr"/>
      <c r="D289" s="8" t="inlineStr"/>
      <c r="E289" s="8" t="inlineStr"/>
      <c r="F289" s="8" t="inlineStr">
        <is>
          <t>EN1(c)</t>
        </is>
      </c>
      <c r="G289" s="8" t="inlineStr">
        <is>
          <t>OPTION 2:  Indicator level reporting</t>
        </is>
      </c>
      <c r="H289" s="25">
        <f>IFERROR(IF(INDEX('Faculties'!$N$10:$N$29,MATCH($F289,'Faculties'!$B$10:$B$29,0))="","Cell will autofill based on response",INDEX('Faculties'!$N$10:$N$29,MATCH($F289,'Faculties'!$B$10:$B$29,0))),"N/A")</f>
        <v/>
      </c>
      <c r="I289" s="25">
        <f>IFERROR(IF(INDEX('Faculties'!$N$37:$N$56,MATCH($F289,'Faculties'!$B$37:$B$56,0))="","Cell will autofill based on response",INDEX('Faculties'!$N$37:$N$56,MATCH($F289,'Faculties'!$B$37:$B$56,0))),"N/A")</f>
        <v/>
      </c>
      <c r="J289" s="25">
        <f>IFERROR(IF(INDEX('Faculties'!$N$64:$N$83,MATCH($F289,'Faculties'!$B$64:$B$83,0))="","Cell will autofill based on response",INDEX('Faculties'!$N$64:$N$83,MATCH($F289,'Faculties'!$B$64:$B$83,0))),"N/A")</f>
        <v/>
      </c>
      <c r="K289" s="25">
        <f>IFERROR(IF(INDEX('Faculties'!$N$91:$N$110,MATCH($F289,'Faculties'!$B$91:$B$110,0))="","Cell will autofill based on response",INDEX('Faculties'!$N$91:$N$110,MATCH($F289,'Faculties'!$B$91:$B$110,0))),"N/A")</f>
        <v/>
      </c>
      <c r="L289" s="25">
        <f>IFERROR(IF(INDEX('CI&amp;S'!$N$10:$N$14,MATCH($F289,'CI&amp;S'!$B$10:$B$14,0))="","Cell will autofill based on response",INDEX('CI&amp;S'!$N$10:$N$14,MATCH($F289,'CI&amp;S'!$B$10:$B$14,0))),"N/A")</f>
        <v/>
      </c>
      <c r="M289" s="25">
        <f>IFERROR(IF(INDEX('CI&amp;S'!$N$22:$N$38,MATCH($F289,'CI&amp;S'!$B$22:$B$38,0))="","Cell will autofill based on response",INDEX('CI&amp;S'!$N$22:$N$38,MATCH($F289,'CI&amp;S'!$B$22:$B$38,0))),"N/A")</f>
        <v/>
      </c>
      <c r="N289" s="25">
        <f>IFERROR(IF(INDEX('CFOG'!$N$10:$N$15,MATCH($F289,'CFOG'!$B$10:$B$15,0))="","Cell will autofill based on response",INDEX('CFOG'!$N$10:$N$15,MATCH($F289,'CFOG'!$B$10:$B$15,0))),"N/A")</f>
        <v/>
      </c>
      <c r="O289" s="25">
        <f>IFERROR(IF(INDEX('CFOG'!$N$23:$N$23,MATCH($F289,'CFOG'!$B$23:$B$23,0))="","Cell will autofill based on response",INDEX('CFOG'!$N$23:$N$23,MATCH($F289,'CFOG'!$B$23:$B$23,0))),"N/A")</f>
        <v/>
      </c>
      <c r="P289" s="25">
        <f>IFERROR(IF(INDEX('ESG'!$N$10:$N$16,MATCH($F289,'ESG'!$B$10:$B$16,0))="","Cell will autofill based on response",INDEX('ESG'!$N$10:$N$16,MATCH($F289,'ESG'!$B$10:$B$16,0))),"N/A")</f>
        <v/>
      </c>
      <c r="Q289" s="25">
        <f>IFERROR(IF(INDEX('CIOG'!$N$10:$N$13,MATCH($F289,'CIOG'!$B$10:$B$13,0))="","Cell will autofill based on response",INDEX('CIOG'!$N$10:$N$13,MATCH($F289,'CIOG'!$B$10:$B$13,0))),"N/A")</f>
        <v/>
      </c>
      <c r="R289" s="25">
        <f>IFERROR(IF(INDEX('MRE'!$N$10:$N$11,MATCH($F289,'MRE'!$B$10:$B$11,0))="","Cell will autofill based on response",INDEX('MRE'!$N$10:$N$11,MATCH($F289,'MRE'!$B$10:$B$11,0))),"N/A")</f>
        <v/>
      </c>
    </row>
    <row r="290">
      <c r="A290">
        <f>F290&amp;"|"&amp;G290</f>
        <v/>
      </c>
      <c r="B290" s="29" t="inlineStr"/>
      <c r="C290" s="8" t="inlineStr"/>
      <c r="D290" s="8" t="inlineStr"/>
      <c r="E290" s="8" t="inlineStr"/>
      <c r="F290" s="8" t="inlineStr">
        <is>
          <t>EN1(c)</t>
        </is>
      </c>
      <c r="G290" s="8" t="inlineStr">
        <is>
          <t>Supporting information/comments</t>
        </is>
      </c>
      <c r="H290" s="25">
        <f>IFERROR(IF(INDEX('Faculties'!$O$10:$O$29,MATCH($F290,'Faculties'!$B$10:$B$29,0))="","Cell will autofill based on response",INDEX('Faculties'!$O$10:$O$29,MATCH($F290,'Faculties'!$B$10:$B$29,0))),"N/A")</f>
        <v/>
      </c>
      <c r="I290" s="25">
        <f>IFERROR(IF(INDEX('Faculties'!$O$37:$O$56,MATCH($F290,'Faculties'!$B$37:$B$56,0))="","Cell will autofill based on response",INDEX('Faculties'!$O$37:$O$56,MATCH($F290,'Faculties'!$B$37:$B$56,0))),"N/A")</f>
        <v/>
      </c>
      <c r="J290" s="25">
        <f>IFERROR(IF(INDEX('Faculties'!$O$64:$O$83,MATCH($F290,'Faculties'!$B$64:$B$83,0))="","Cell will autofill based on response",INDEX('Faculties'!$O$64:$O$83,MATCH($F290,'Faculties'!$B$64:$B$83,0))),"N/A")</f>
        <v/>
      </c>
      <c r="K290" s="25">
        <f>IFERROR(IF(INDEX('Faculties'!$O$91:$O$110,MATCH($F290,'Faculties'!$B$91:$B$110,0))="","Cell will autofill based on response",INDEX('Faculties'!$O$91:$O$110,MATCH($F290,'Faculties'!$B$91:$B$110,0))),"N/A")</f>
        <v/>
      </c>
      <c r="L290" s="25">
        <f>IFERROR(IF(INDEX('CI&amp;S'!$O$10:$O$14,MATCH($F290,'CI&amp;S'!$B$10:$B$14,0))="","Cell will autofill based on response",INDEX('CI&amp;S'!$O$10:$O$14,MATCH($F290,'CI&amp;S'!$B$10:$B$14,0))),"N/A")</f>
        <v/>
      </c>
      <c r="M290" s="25">
        <f>IFERROR(IF(INDEX('CI&amp;S'!$O$22:$O$38,MATCH($F290,'CI&amp;S'!$B$22:$B$38,0))="","Cell will autofill based on response",INDEX('CI&amp;S'!$O$22:$O$38,MATCH($F290,'CI&amp;S'!$B$22:$B$38,0))),"N/A")</f>
        <v/>
      </c>
      <c r="N290" s="25">
        <f>IFERROR(IF(INDEX('CFOG'!$O$10:$O$15,MATCH($F290,'CFOG'!$B$10:$B$15,0))="","Cell will autofill based on response",INDEX('CFOG'!$O$10:$O$15,MATCH($F290,'CFOG'!$B$10:$B$15,0))),"N/A")</f>
        <v/>
      </c>
      <c r="O290" s="25">
        <f>IFERROR(IF(INDEX('CFOG'!$O$23:$O$23,MATCH($F290,'CFOG'!$B$23:$B$23,0))="","Cell will autofill based on response",INDEX('CFOG'!$O$23:$O$23,MATCH($F290,'CFOG'!$B$23:$B$23,0))),"N/A")</f>
        <v/>
      </c>
      <c r="P290" s="25">
        <f>IFERROR(IF(INDEX('ESG'!$O$10:$O$16,MATCH($F290,'ESG'!$B$10:$B$16,0))="","Cell will autofill based on response",INDEX('ESG'!$O$10:$O$16,MATCH($F290,'ESG'!$B$10:$B$16,0))),"N/A")</f>
        <v/>
      </c>
      <c r="Q290" s="25">
        <f>IFERROR(IF(INDEX('CIOG'!$O$10:$O$13,MATCH($F290,'CIOG'!$B$10:$B$13,0))="","Cell will autofill based on response",INDEX('CIOG'!$O$10:$O$13,MATCH($F290,'CIOG'!$B$10:$B$13,0))),"N/A")</f>
        <v/>
      </c>
      <c r="R290" s="25">
        <f>IFERROR(IF(INDEX('MRE'!$O$10:$O$11,MATCH($F290,'MRE'!$B$10:$B$11,0))="","Cell will autofill based on response",INDEX('MRE'!$O$10:$O$11,MATCH($F290,'MRE'!$B$10:$B$11,0))),"N/A")</f>
        <v/>
      </c>
    </row>
    <row r="291">
      <c r="A291">
        <f>F291&amp;"|"&amp;G291</f>
        <v/>
      </c>
      <c r="B291" s="29" t="inlineStr"/>
      <c r="C291" s="8" t="inlineStr"/>
      <c r="D291" s="8" t="inlineStr"/>
      <c r="E291" s="8" t="inlineStr"/>
      <c r="F291" s="8" t="inlineStr">
        <is>
          <t>EN1(c)</t>
        </is>
      </c>
      <c r="G291" s="8" t="inlineStr">
        <is>
          <t>Data source and limitations</t>
        </is>
      </c>
      <c r="H291" s="25">
        <f>IFERROR(IF(INDEX('Faculties'!$P$10:$P$29,MATCH($F291,'Faculties'!$B$10:$B$29,0))="","Cell will autofill based on response",INDEX('Faculties'!$P$10:$P$29,MATCH($F291,'Faculties'!$B$10:$B$29,0))),"N/A")</f>
        <v/>
      </c>
      <c r="I291" s="25">
        <f>IFERROR(IF(INDEX('Faculties'!$P$37:$P$56,MATCH($F291,'Faculties'!$B$37:$B$56,0))="","Cell will autofill based on response",INDEX('Faculties'!$P$37:$P$56,MATCH($F291,'Faculties'!$B$37:$B$56,0))),"N/A")</f>
        <v/>
      </c>
      <c r="J291" s="25">
        <f>IFERROR(IF(INDEX('Faculties'!$P$64:$P$83,MATCH($F291,'Faculties'!$B$64:$B$83,0))="","Cell will autofill based on response",INDEX('Faculties'!$P$64:$P$83,MATCH($F291,'Faculties'!$B$64:$B$83,0))),"N/A")</f>
        <v/>
      </c>
      <c r="K291" s="25">
        <f>IFERROR(IF(INDEX('Faculties'!$P$91:$P$110,MATCH($F291,'Faculties'!$B$91:$B$110,0))="","Cell will autofill based on response",INDEX('Faculties'!$P$91:$P$110,MATCH($F291,'Faculties'!$B$91:$B$110,0))),"N/A")</f>
        <v/>
      </c>
      <c r="L291" s="25">
        <f>IFERROR(IF(INDEX('CI&amp;S'!$P$10:$P$14,MATCH($F291,'CI&amp;S'!$B$10:$B$14,0))="","Cell will autofill based on response",INDEX('CI&amp;S'!$P$10:$P$14,MATCH($F291,'CI&amp;S'!$B$10:$B$14,0))),"N/A")</f>
        <v/>
      </c>
      <c r="M291" s="25">
        <f>IFERROR(IF(INDEX('CI&amp;S'!$P$22:$P$38,MATCH($F291,'CI&amp;S'!$B$22:$B$38,0))="","Cell will autofill based on response",INDEX('CI&amp;S'!$P$22:$P$38,MATCH($F291,'CI&amp;S'!$B$22:$B$38,0))),"N/A")</f>
        <v/>
      </c>
      <c r="N291" s="25">
        <f>IFERROR(IF(INDEX('CFOG'!$P$10:$P$15,MATCH($F291,'CFOG'!$B$10:$B$15,0))="","Cell will autofill based on response",INDEX('CFOG'!$P$10:$P$15,MATCH($F291,'CFOG'!$B$10:$B$15,0))),"N/A")</f>
        <v/>
      </c>
      <c r="O291" s="25">
        <f>IFERROR(IF(INDEX('CFOG'!$P$23:$P$23,MATCH($F291,'CFOG'!$B$23:$B$23,0))="","Cell will autofill based on response",INDEX('CFOG'!$P$23:$P$23,MATCH($F291,'CFOG'!$B$23:$B$23,0))),"N/A")</f>
        <v/>
      </c>
      <c r="P291" s="25">
        <f>IFERROR(IF(INDEX('ESG'!$P$10:$P$16,MATCH($F291,'ESG'!$B$10:$B$16,0))="","Cell will autofill based on response",INDEX('ESG'!$P$10:$P$16,MATCH($F291,'ESG'!$B$10:$B$16,0))),"N/A")</f>
        <v/>
      </c>
      <c r="Q291" s="25">
        <f>IFERROR(IF(INDEX('CIOG'!$P$10:$P$13,MATCH($F291,'CIOG'!$B$10:$B$13,0))="","Cell will autofill based on response",INDEX('CIOG'!$P$10:$P$13,MATCH($F291,'CIOG'!$B$10:$B$13,0))),"N/A")</f>
        <v/>
      </c>
      <c r="R291" s="25">
        <f>IFERROR(IF(INDEX('MRE'!$P$10:$P$11,MATCH($F291,'MRE'!$B$10:$B$11,0))="","Cell will autofill based on response",INDEX('MRE'!$P$10:$P$11,MATCH($F291,'MRE'!$B$10:$B$11,0))),"N/A")</f>
        <v/>
      </c>
    </row>
    <row r="292">
      <c r="A292">
        <f>F292&amp;"|"&amp;G292</f>
        <v/>
      </c>
      <c r="B292" s="29" t="inlineStr"/>
      <c r="C292" s="8" t="inlineStr"/>
      <c r="D292" s="8" t="inlineStr"/>
      <c r="E292" s="8" t="inlineStr"/>
      <c r="F292" s="8" t="inlineStr">
        <is>
          <t>EN1(c)</t>
        </is>
      </c>
      <c r="G292" s="8" t="inlineStr">
        <is>
          <t>Data owner confirms</t>
        </is>
      </c>
      <c r="H292" s="25">
        <f>IFERROR(IF(INDEX('Faculties'!$Q$10:$Q$29,MATCH($F292,'Faculties'!$B$10:$B$29,0))="","Cell will autofill based on response",INDEX('Faculties'!$Q$10:$Q$29,MATCH($F292,'Faculties'!$B$10:$B$29,0))),"N/A")</f>
        <v/>
      </c>
      <c r="I292" s="25">
        <f>IFERROR(IF(INDEX('Faculties'!$Q$37:$Q$56,MATCH($F292,'Faculties'!$B$37:$B$56,0))="","Cell will autofill based on response",INDEX('Faculties'!$Q$37:$Q$56,MATCH($F292,'Faculties'!$B$37:$B$56,0))),"N/A")</f>
        <v/>
      </c>
      <c r="J292" s="25">
        <f>IFERROR(IF(INDEX('Faculties'!$Q$64:$Q$83,MATCH($F292,'Faculties'!$B$64:$B$83,0))="","Cell will autofill based on response",INDEX('Faculties'!$Q$64:$Q$83,MATCH($F292,'Faculties'!$B$64:$B$83,0))),"N/A")</f>
        <v/>
      </c>
      <c r="K292" s="25">
        <f>IFERROR(IF(INDEX('Faculties'!$Q$91:$Q$110,MATCH($F292,'Faculties'!$B$91:$B$110,0))="","Cell will autofill based on response",INDEX('Faculties'!$Q$91:$Q$110,MATCH($F292,'Faculties'!$B$91:$B$110,0))),"N/A")</f>
        <v/>
      </c>
      <c r="L292" s="25">
        <f>IFERROR(IF(INDEX('CI&amp;S'!$Q$10:$Q$14,MATCH($F292,'CI&amp;S'!$B$10:$B$14,0))="","Cell will autofill based on response",INDEX('CI&amp;S'!$Q$10:$Q$14,MATCH($F292,'CI&amp;S'!$B$10:$B$14,0))),"N/A")</f>
        <v/>
      </c>
      <c r="M292" s="25">
        <f>IFERROR(IF(INDEX('CI&amp;S'!$Q$22:$Q$38,MATCH($F292,'CI&amp;S'!$B$22:$B$38,0))="","Cell will autofill based on response",INDEX('CI&amp;S'!$Q$22:$Q$38,MATCH($F292,'CI&amp;S'!$B$22:$B$38,0))),"N/A")</f>
        <v/>
      </c>
      <c r="N292" s="25">
        <f>IFERROR(IF(INDEX('CFOG'!$Q$10:$Q$15,MATCH($F292,'CFOG'!$B$10:$B$15,0))="","Cell will autofill based on response",INDEX('CFOG'!$Q$10:$Q$15,MATCH($F292,'CFOG'!$B$10:$B$15,0))),"N/A")</f>
        <v/>
      </c>
      <c r="O292" s="25">
        <f>IFERROR(IF(INDEX('CFOG'!$Q$23:$Q$23,MATCH($F292,'CFOG'!$B$23:$B$23,0))="","Cell will autofill based on response",INDEX('CFOG'!$Q$23:$Q$23,MATCH($F292,'CFOG'!$B$23:$B$23,0))),"N/A")</f>
        <v/>
      </c>
      <c r="P292" s="25">
        <f>IFERROR(IF(INDEX('ESG'!$Q$10:$Q$16,MATCH($F292,'ESG'!$B$10:$B$16,0))="","Cell will autofill based on response",INDEX('ESG'!$Q$10:$Q$16,MATCH($F292,'ESG'!$B$10:$B$16,0))),"N/A")</f>
        <v/>
      </c>
      <c r="Q292" s="25">
        <f>IFERROR(IF(INDEX('CIOG'!$Q$10:$Q$13,MATCH($F292,'CIOG'!$B$10:$B$13,0))="","Cell will autofill based on response",INDEX('CIOG'!$Q$10:$Q$13,MATCH($F292,'CIOG'!$B$10:$B$13,0))),"N/A")</f>
        <v/>
      </c>
      <c r="R292" s="25">
        <f>IFERROR(IF(INDEX('MRE'!$Q$10:$Q$11,MATCH($F292,'MRE'!$B$10:$B$11,0))="","Cell will autofill based on response",INDEX('MRE'!$Q$10:$Q$11,MATCH($F292,'MRE'!$B$10:$B$11,0))),"N/A")</f>
        <v/>
      </c>
    </row>
    <row r="293">
      <c r="A293">
        <f>F293&amp;"|"&amp;G293</f>
        <v/>
      </c>
      <c r="B293" s="7" t="inlineStr">
        <is>
          <t>EN1(d)</t>
        </is>
      </c>
      <c r="C293" s="12" t="inlineStr">
        <is>
          <t>Enablers</t>
        </is>
      </c>
      <c r="D293" s="12" t="inlineStr">
        <is>
          <t>Sustainability objectives integrated into governance and decision‑making processes, supported by transparent reporting.</t>
        </is>
      </c>
      <c r="E293"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93" s="12" t="inlineStr">
        <is>
          <t>EN1(d)</t>
        </is>
      </c>
      <c r="G293" s="12" t="inlineStr">
        <is>
          <t>Confirm end-2026 target status</t>
        </is>
      </c>
      <c r="H293" s="25">
        <f>IFERROR(IF(INDEX('Faculties'!$L$10:$L$29,MATCH($F293,'Faculties'!$B$10:$B$29,0))="","Cell will autofill based on response",INDEX('Faculties'!$L$10:$L$29,MATCH($F293,'Faculties'!$B$10:$B$29,0))),"N/A")</f>
        <v/>
      </c>
      <c r="I293" s="25">
        <f>IFERROR(IF(INDEX('Faculties'!$L$37:$L$56,MATCH($F293,'Faculties'!$B$37:$B$56,0))="","Cell will autofill based on response",INDEX('Faculties'!$L$37:$L$56,MATCH($F293,'Faculties'!$B$37:$B$56,0))),"N/A")</f>
        <v/>
      </c>
      <c r="J293" s="25">
        <f>IFERROR(IF(INDEX('Faculties'!$L$64:$L$83,MATCH($F293,'Faculties'!$B$64:$B$83,0))="","Cell will autofill based on response",INDEX('Faculties'!$L$64:$L$83,MATCH($F293,'Faculties'!$B$64:$B$83,0))),"N/A")</f>
        <v/>
      </c>
      <c r="K293" s="25">
        <f>IFERROR(IF(INDEX('Faculties'!$L$91:$L$110,MATCH($F293,'Faculties'!$B$91:$B$110,0))="","Cell will autofill based on response",INDEX('Faculties'!$L$91:$L$110,MATCH($F293,'Faculties'!$B$91:$B$110,0))),"N/A")</f>
        <v/>
      </c>
      <c r="L293" s="25">
        <f>IFERROR(IF(INDEX('CI&amp;S'!$L$10:$L$14,MATCH($F293,'CI&amp;S'!$B$10:$B$14,0))="","Cell will autofill based on response",INDEX('CI&amp;S'!$L$10:$L$14,MATCH($F293,'CI&amp;S'!$B$10:$B$14,0))),"N/A")</f>
        <v/>
      </c>
      <c r="M293" s="25">
        <f>IFERROR(IF(INDEX('CI&amp;S'!$L$22:$L$38,MATCH($F293,'CI&amp;S'!$B$22:$B$38,0))="","Cell will autofill based on response",INDEX('CI&amp;S'!$L$22:$L$38,MATCH($F293,'CI&amp;S'!$B$22:$B$38,0))),"N/A")</f>
        <v/>
      </c>
      <c r="N293" s="25">
        <f>IFERROR(IF(INDEX('CFOG'!$L$10:$L$15,MATCH($F293,'CFOG'!$B$10:$B$15,0))="","Cell will autofill based on response",INDEX('CFOG'!$L$10:$L$15,MATCH($F293,'CFOG'!$B$10:$B$15,0))),"N/A")</f>
        <v/>
      </c>
      <c r="O293" s="25">
        <f>IFERROR(IF(INDEX('CFOG'!$L$23:$L$23,MATCH($F293,'CFOG'!$B$23:$B$23,0))="","Cell will autofill based on response",INDEX('CFOG'!$L$23:$L$23,MATCH($F293,'CFOG'!$B$23:$B$23,0))),"N/A")</f>
        <v/>
      </c>
      <c r="P293" s="25">
        <f>IFERROR(IF(INDEX('ESG'!$L$10:$L$16,MATCH($F293,'ESG'!$B$10:$B$16,0))="","Cell will autofill based on response",INDEX('ESG'!$L$10:$L$16,MATCH($F293,'ESG'!$B$10:$B$16,0))),"N/A")</f>
        <v/>
      </c>
      <c r="Q293" s="25">
        <f>IFERROR(IF(INDEX('CIOG'!$L$10:$L$13,MATCH($F293,'CIOG'!$B$10:$B$13,0))="","Cell will autofill based on response",INDEX('CIOG'!$L$10:$L$13,MATCH($F293,'CIOG'!$B$10:$B$13,0))),"N/A")</f>
        <v/>
      </c>
      <c r="R293" s="25">
        <f>IFERROR(IF(INDEX('MRE'!$L$10:$L$11,MATCH($F293,'MRE'!$B$10:$B$11,0))="","Cell will autofill based on response",INDEX('MRE'!$L$10:$L$11,MATCH($F293,'MRE'!$B$10:$B$11,0))),"N/A")</f>
        <v/>
      </c>
      <c r="T293" s="26">
        <f>COUNTIF($H293:$R293,"Cell will autofill based on response")</f>
        <v/>
      </c>
      <c r="U293" s="26">
        <f>COUNTIF($H293:$R293,"Not yet started")</f>
        <v/>
      </c>
      <c r="V293" s="26">
        <f>COUNTIF($H293:$R293,"Not met")</f>
        <v/>
      </c>
      <c r="W293" s="26">
        <f>COUNTIF($H293:$R293,"Partially met")</f>
        <v/>
      </c>
      <c r="X293" s="26">
        <f>COUNTIF($H293:$R293,"Met or exceeded")</f>
        <v/>
      </c>
      <c r="Y293" s="26">
        <f>3*X293+2*W293+V293</f>
        <v/>
      </c>
      <c r="Z293" s="26">
        <f>X293+W293+V293+U293</f>
        <v/>
      </c>
      <c r="AA293" s="27">
        <f>IF(Z293&gt;0,Y293/Z293,"No valid responses to date")</f>
        <v/>
      </c>
      <c r="AB293" s="26">
        <f>IF(ISNUMBER(AA293),INDEX(Lists!$G$2:$G$5,MATCH(ROUND(AA293,0),Lists!$H$2:$H$5,0)),"")</f>
        <v/>
      </c>
      <c r="AC293" s="28">
        <f>IF(Z293&gt;0,X293/Z293,"")</f>
        <v/>
      </c>
      <c r="AD293" s="28">
        <f>IF(Z293&gt;0,(X293+W293)/Z293,"")</f>
        <v/>
      </c>
      <c r="AE293" s="26">
        <f>IF(Z293=0,"",IF(AC293&gt;0.75,"Met or exceeded",IF(AD293&gt;=0.5,"Partially met","Not met")))</f>
        <v/>
      </c>
    </row>
    <row r="294">
      <c r="A294">
        <f>F294&amp;"|"&amp;G294</f>
        <v/>
      </c>
      <c r="B294" s="29" t="inlineStr"/>
      <c r="C294" s="8" t="inlineStr"/>
      <c r="D294" s="8" t="inlineStr"/>
      <c r="E294" s="8" t="inlineStr"/>
      <c r="F294" s="8" t="inlineStr">
        <is>
          <t>EN1(d)</t>
        </is>
      </c>
      <c r="G294" s="8" t="inlineStr">
        <is>
          <t>OPTION 1:  Target-level reporting</t>
        </is>
      </c>
      <c r="H294" s="25">
        <f>IFERROR(IF(INDEX('Faculties'!$M$10:$M$29,MATCH($F294,'Faculties'!$B$10:$B$29,0))="","Cell will autofill based on response",INDEX('Faculties'!$M$10:$M$29,MATCH($F294,'Faculties'!$B$10:$B$29,0))),"N/A")</f>
        <v/>
      </c>
      <c r="I294" s="25">
        <f>IFERROR(IF(INDEX('Faculties'!$M$37:$M$56,MATCH($F294,'Faculties'!$B$37:$B$56,0))="","Cell will autofill based on response",INDEX('Faculties'!$M$37:$M$56,MATCH($F294,'Faculties'!$B$37:$B$56,0))),"N/A")</f>
        <v/>
      </c>
      <c r="J294" s="25">
        <f>IFERROR(IF(INDEX('Faculties'!$M$64:$M$83,MATCH($F294,'Faculties'!$B$64:$B$83,0))="","Cell will autofill based on response",INDEX('Faculties'!$M$64:$M$83,MATCH($F294,'Faculties'!$B$64:$B$83,0))),"N/A")</f>
        <v/>
      </c>
      <c r="K294" s="25">
        <f>IFERROR(IF(INDEX('Faculties'!$M$91:$M$110,MATCH($F294,'Faculties'!$B$91:$B$110,0))="","Cell will autofill based on response",INDEX('Faculties'!$M$91:$M$110,MATCH($F294,'Faculties'!$B$91:$B$110,0))),"N/A")</f>
        <v/>
      </c>
      <c r="L294" s="25">
        <f>IFERROR(IF(INDEX('CI&amp;S'!$M$10:$M$14,MATCH($F294,'CI&amp;S'!$B$10:$B$14,0))="","Cell will autofill based on response",INDEX('CI&amp;S'!$M$10:$M$14,MATCH($F294,'CI&amp;S'!$B$10:$B$14,0))),"N/A")</f>
        <v/>
      </c>
      <c r="M294" s="25">
        <f>IFERROR(IF(INDEX('CI&amp;S'!$M$22:$M$38,MATCH($F294,'CI&amp;S'!$B$22:$B$38,0))="","Cell will autofill based on response",INDEX('CI&amp;S'!$M$22:$M$38,MATCH($F294,'CI&amp;S'!$B$22:$B$38,0))),"N/A")</f>
        <v/>
      </c>
      <c r="N294" s="25">
        <f>IFERROR(IF(INDEX('CFOG'!$M$10:$M$15,MATCH($F294,'CFOG'!$B$10:$B$15,0))="","Cell will autofill based on response",INDEX('CFOG'!$M$10:$M$15,MATCH($F294,'CFOG'!$B$10:$B$15,0))),"N/A")</f>
        <v/>
      </c>
      <c r="O294" s="25">
        <f>IFERROR(IF(INDEX('CFOG'!$M$23:$M$23,MATCH($F294,'CFOG'!$B$23:$B$23,0))="","Cell will autofill based on response",INDEX('CFOG'!$M$23:$M$23,MATCH($F294,'CFOG'!$B$23:$B$23,0))),"N/A")</f>
        <v/>
      </c>
      <c r="P294" s="25">
        <f>IFERROR(IF(INDEX('ESG'!$M$10:$M$16,MATCH($F294,'ESG'!$B$10:$B$16,0))="","Cell will autofill based on response",INDEX('ESG'!$M$10:$M$16,MATCH($F294,'ESG'!$B$10:$B$16,0))),"N/A")</f>
        <v/>
      </c>
      <c r="Q294" s="25">
        <f>IFERROR(IF(INDEX('CIOG'!$M$10:$M$13,MATCH($F294,'CIOG'!$B$10:$B$13,0))="","Cell will autofill based on response",INDEX('CIOG'!$M$10:$M$13,MATCH($F294,'CIOG'!$B$10:$B$13,0))),"N/A")</f>
        <v/>
      </c>
      <c r="R294" s="25">
        <f>IFERROR(IF(INDEX('MRE'!$M$10:$M$11,MATCH($F294,'MRE'!$B$10:$B$11,0))="","Cell will autofill based on response",INDEX('MRE'!$M$10:$M$11,MATCH($F294,'MRE'!$B$10:$B$11,0))),"N/A")</f>
        <v/>
      </c>
    </row>
    <row r="295">
      <c r="A295">
        <f>F295&amp;"|"&amp;G295</f>
        <v/>
      </c>
      <c r="B295" s="29" t="inlineStr"/>
      <c r="C295" s="8" t="inlineStr"/>
      <c r="D295" s="8" t="inlineStr"/>
      <c r="E295" s="8" t="inlineStr"/>
      <c r="F295" s="8" t="inlineStr">
        <is>
          <t>EN1(d)</t>
        </is>
      </c>
      <c r="G295" s="8" t="inlineStr">
        <is>
          <t>OPTION 2:  Indicator level reporting</t>
        </is>
      </c>
      <c r="H295" s="25">
        <f>IFERROR(IF(INDEX('Faculties'!$N$10:$N$29,MATCH($F295,'Faculties'!$B$10:$B$29,0))="","Cell will autofill based on response",INDEX('Faculties'!$N$10:$N$29,MATCH($F295,'Faculties'!$B$10:$B$29,0))),"N/A")</f>
        <v/>
      </c>
      <c r="I295" s="25">
        <f>IFERROR(IF(INDEX('Faculties'!$N$37:$N$56,MATCH($F295,'Faculties'!$B$37:$B$56,0))="","Cell will autofill based on response",INDEX('Faculties'!$N$37:$N$56,MATCH($F295,'Faculties'!$B$37:$B$56,0))),"N/A")</f>
        <v/>
      </c>
      <c r="J295" s="25">
        <f>IFERROR(IF(INDEX('Faculties'!$N$64:$N$83,MATCH($F295,'Faculties'!$B$64:$B$83,0))="","Cell will autofill based on response",INDEX('Faculties'!$N$64:$N$83,MATCH($F295,'Faculties'!$B$64:$B$83,0))),"N/A")</f>
        <v/>
      </c>
      <c r="K295" s="25">
        <f>IFERROR(IF(INDEX('Faculties'!$N$91:$N$110,MATCH($F295,'Faculties'!$B$91:$B$110,0))="","Cell will autofill based on response",INDEX('Faculties'!$N$91:$N$110,MATCH($F295,'Faculties'!$B$91:$B$110,0))),"N/A")</f>
        <v/>
      </c>
      <c r="L295" s="25">
        <f>IFERROR(IF(INDEX('CI&amp;S'!$N$10:$N$14,MATCH($F295,'CI&amp;S'!$B$10:$B$14,0))="","Cell will autofill based on response",INDEX('CI&amp;S'!$N$10:$N$14,MATCH($F295,'CI&amp;S'!$B$10:$B$14,0))),"N/A")</f>
        <v/>
      </c>
      <c r="M295" s="25">
        <f>IFERROR(IF(INDEX('CI&amp;S'!$N$22:$N$38,MATCH($F295,'CI&amp;S'!$B$22:$B$38,0))="","Cell will autofill based on response",INDEX('CI&amp;S'!$N$22:$N$38,MATCH($F295,'CI&amp;S'!$B$22:$B$38,0))),"N/A")</f>
        <v/>
      </c>
      <c r="N295" s="25">
        <f>IFERROR(IF(INDEX('CFOG'!$N$10:$N$15,MATCH($F295,'CFOG'!$B$10:$B$15,0))="","Cell will autofill based on response",INDEX('CFOG'!$N$10:$N$15,MATCH($F295,'CFOG'!$B$10:$B$15,0))),"N/A")</f>
        <v/>
      </c>
      <c r="O295" s="25">
        <f>IFERROR(IF(INDEX('CFOG'!$N$23:$N$23,MATCH($F295,'CFOG'!$B$23:$B$23,0))="","Cell will autofill based on response",INDEX('CFOG'!$N$23:$N$23,MATCH($F295,'CFOG'!$B$23:$B$23,0))),"N/A")</f>
        <v/>
      </c>
      <c r="P295" s="25">
        <f>IFERROR(IF(INDEX('ESG'!$N$10:$N$16,MATCH($F295,'ESG'!$B$10:$B$16,0))="","Cell will autofill based on response",INDEX('ESG'!$N$10:$N$16,MATCH($F295,'ESG'!$B$10:$B$16,0))),"N/A")</f>
        <v/>
      </c>
      <c r="Q295" s="25">
        <f>IFERROR(IF(INDEX('CIOG'!$N$10:$N$13,MATCH($F295,'CIOG'!$B$10:$B$13,0))="","Cell will autofill based on response",INDEX('CIOG'!$N$10:$N$13,MATCH($F295,'CIOG'!$B$10:$B$13,0))),"N/A")</f>
        <v/>
      </c>
      <c r="R295" s="25">
        <f>IFERROR(IF(INDEX('MRE'!$N$10:$N$11,MATCH($F295,'MRE'!$B$10:$B$11,0))="","Cell will autofill based on response",INDEX('MRE'!$N$10:$N$11,MATCH($F295,'MRE'!$B$10:$B$11,0))),"N/A")</f>
        <v/>
      </c>
    </row>
    <row r="296">
      <c r="A296">
        <f>F296&amp;"|"&amp;G296</f>
        <v/>
      </c>
      <c r="B296" s="29" t="inlineStr"/>
      <c r="C296" s="8" t="inlineStr"/>
      <c r="D296" s="8" t="inlineStr"/>
      <c r="E296" s="8" t="inlineStr"/>
      <c r="F296" s="8" t="inlineStr">
        <is>
          <t>EN1(d)</t>
        </is>
      </c>
      <c r="G296" s="8" t="inlineStr">
        <is>
          <t>Supporting information/comments</t>
        </is>
      </c>
      <c r="H296" s="25">
        <f>IFERROR(IF(INDEX('Faculties'!$O$10:$O$29,MATCH($F296,'Faculties'!$B$10:$B$29,0))="","Cell will autofill based on response",INDEX('Faculties'!$O$10:$O$29,MATCH($F296,'Faculties'!$B$10:$B$29,0))),"N/A")</f>
        <v/>
      </c>
      <c r="I296" s="25">
        <f>IFERROR(IF(INDEX('Faculties'!$O$37:$O$56,MATCH($F296,'Faculties'!$B$37:$B$56,0))="","Cell will autofill based on response",INDEX('Faculties'!$O$37:$O$56,MATCH($F296,'Faculties'!$B$37:$B$56,0))),"N/A")</f>
        <v/>
      </c>
      <c r="J296" s="25">
        <f>IFERROR(IF(INDEX('Faculties'!$O$64:$O$83,MATCH($F296,'Faculties'!$B$64:$B$83,0))="","Cell will autofill based on response",INDEX('Faculties'!$O$64:$O$83,MATCH($F296,'Faculties'!$B$64:$B$83,0))),"N/A")</f>
        <v/>
      </c>
      <c r="K296" s="25">
        <f>IFERROR(IF(INDEX('Faculties'!$O$91:$O$110,MATCH($F296,'Faculties'!$B$91:$B$110,0))="","Cell will autofill based on response",INDEX('Faculties'!$O$91:$O$110,MATCH($F296,'Faculties'!$B$91:$B$110,0))),"N/A")</f>
        <v/>
      </c>
      <c r="L296" s="25">
        <f>IFERROR(IF(INDEX('CI&amp;S'!$O$10:$O$14,MATCH($F296,'CI&amp;S'!$B$10:$B$14,0))="","Cell will autofill based on response",INDEX('CI&amp;S'!$O$10:$O$14,MATCH($F296,'CI&amp;S'!$B$10:$B$14,0))),"N/A")</f>
        <v/>
      </c>
      <c r="M296" s="25">
        <f>IFERROR(IF(INDEX('CI&amp;S'!$O$22:$O$38,MATCH($F296,'CI&amp;S'!$B$22:$B$38,0))="","Cell will autofill based on response",INDEX('CI&amp;S'!$O$22:$O$38,MATCH($F296,'CI&amp;S'!$B$22:$B$38,0))),"N/A")</f>
        <v/>
      </c>
      <c r="N296" s="25">
        <f>IFERROR(IF(INDEX('CFOG'!$O$10:$O$15,MATCH($F296,'CFOG'!$B$10:$B$15,0))="","Cell will autofill based on response",INDEX('CFOG'!$O$10:$O$15,MATCH($F296,'CFOG'!$B$10:$B$15,0))),"N/A")</f>
        <v/>
      </c>
      <c r="O296" s="25">
        <f>IFERROR(IF(INDEX('CFOG'!$O$23:$O$23,MATCH($F296,'CFOG'!$B$23:$B$23,0))="","Cell will autofill based on response",INDEX('CFOG'!$O$23:$O$23,MATCH($F296,'CFOG'!$B$23:$B$23,0))),"N/A")</f>
        <v/>
      </c>
      <c r="P296" s="25">
        <f>IFERROR(IF(INDEX('ESG'!$O$10:$O$16,MATCH($F296,'ESG'!$B$10:$B$16,0))="","Cell will autofill based on response",INDEX('ESG'!$O$10:$O$16,MATCH($F296,'ESG'!$B$10:$B$16,0))),"N/A")</f>
        <v/>
      </c>
      <c r="Q296" s="25">
        <f>IFERROR(IF(INDEX('CIOG'!$O$10:$O$13,MATCH($F296,'CIOG'!$B$10:$B$13,0))="","Cell will autofill based on response",INDEX('CIOG'!$O$10:$O$13,MATCH($F296,'CIOG'!$B$10:$B$13,0))),"N/A")</f>
        <v/>
      </c>
      <c r="R296" s="25">
        <f>IFERROR(IF(INDEX('MRE'!$O$10:$O$11,MATCH($F296,'MRE'!$B$10:$B$11,0))="","Cell will autofill based on response",INDEX('MRE'!$O$10:$O$11,MATCH($F296,'MRE'!$B$10:$B$11,0))),"N/A")</f>
        <v/>
      </c>
    </row>
    <row r="297">
      <c r="A297">
        <f>F297&amp;"|"&amp;G297</f>
        <v/>
      </c>
      <c r="B297" s="29" t="inlineStr"/>
      <c r="C297" s="8" t="inlineStr"/>
      <c r="D297" s="8" t="inlineStr"/>
      <c r="E297" s="8" t="inlineStr"/>
      <c r="F297" s="8" t="inlineStr">
        <is>
          <t>EN1(d)</t>
        </is>
      </c>
      <c r="G297" s="8" t="inlineStr">
        <is>
          <t>Data source and limitations</t>
        </is>
      </c>
      <c r="H297" s="25">
        <f>IFERROR(IF(INDEX('Faculties'!$P$10:$P$29,MATCH($F297,'Faculties'!$B$10:$B$29,0))="","Cell will autofill based on response",INDEX('Faculties'!$P$10:$P$29,MATCH($F297,'Faculties'!$B$10:$B$29,0))),"N/A")</f>
        <v/>
      </c>
      <c r="I297" s="25">
        <f>IFERROR(IF(INDEX('Faculties'!$P$37:$P$56,MATCH($F297,'Faculties'!$B$37:$B$56,0))="","Cell will autofill based on response",INDEX('Faculties'!$P$37:$P$56,MATCH($F297,'Faculties'!$B$37:$B$56,0))),"N/A")</f>
        <v/>
      </c>
      <c r="J297" s="25">
        <f>IFERROR(IF(INDEX('Faculties'!$P$64:$P$83,MATCH($F297,'Faculties'!$B$64:$B$83,0))="","Cell will autofill based on response",INDEX('Faculties'!$P$64:$P$83,MATCH($F297,'Faculties'!$B$64:$B$83,0))),"N/A")</f>
        <v/>
      </c>
      <c r="K297" s="25">
        <f>IFERROR(IF(INDEX('Faculties'!$P$91:$P$110,MATCH($F297,'Faculties'!$B$91:$B$110,0))="","Cell will autofill based on response",INDEX('Faculties'!$P$91:$P$110,MATCH($F297,'Faculties'!$B$91:$B$110,0))),"N/A")</f>
        <v/>
      </c>
      <c r="L297" s="25">
        <f>IFERROR(IF(INDEX('CI&amp;S'!$P$10:$P$14,MATCH($F297,'CI&amp;S'!$B$10:$B$14,0))="","Cell will autofill based on response",INDEX('CI&amp;S'!$P$10:$P$14,MATCH($F297,'CI&amp;S'!$B$10:$B$14,0))),"N/A")</f>
        <v/>
      </c>
      <c r="M297" s="25">
        <f>IFERROR(IF(INDEX('CI&amp;S'!$P$22:$P$38,MATCH($F297,'CI&amp;S'!$B$22:$B$38,0))="","Cell will autofill based on response",INDEX('CI&amp;S'!$P$22:$P$38,MATCH($F297,'CI&amp;S'!$B$22:$B$38,0))),"N/A")</f>
        <v/>
      </c>
      <c r="N297" s="25">
        <f>IFERROR(IF(INDEX('CFOG'!$P$10:$P$15,MATCH($F297,'CFOG'!$B$10:$B$15,0))="","Cell will autofill based on response",INDEX('CFOG'!$P$10:$P$15,MATCH($F297,'CFOG'!$B$10:$B$15,0))),"N/A")</f>
        <v/>
      </c>
      <c r="O297" s="25">
        <f>IFERROR(IF(INDEX('CFOG'!$P$23:$P$23,MATCH($F297,'CFOG'!$B$23:$B$23,0))="","Cell will autofill based on response",INDEX('CFOG'!$P$23:$P$23,MATCH($F297,'CFOG'!$B$23:$B$23,0))),"N/A")</f>
        <v/>
      </c>
      <c r="P297" s="25">
        <f>IFERROR(IF(INDEX('ESG'!$P$10:$P$16,MATCH($F297,'ESG'!$B$10:$B$16,0))="","Cell will autofill based on response",INDEX('ESG'!$P$10:$P$16,MATCH($F297,'ESG'!$B$10:$B$16,0))),"N/A")</f>
        <v/>
      </c>
      <c r="Q297" s="25">
        <f>IFERROR(IF(INDEX('CIOG'!$P$10:$P$13,MATCH($F297,'CIOG'!$B$10:$B$13,0))="","Cell will autofill based on response",INDEX('CIOG'!$P$10:$P$13,MATCH($F297,'CIOG'!$B$10:$B$13,0))),"N/A")</f>
        <v/>
      </c>
      <c r="R297" s="25">
        <f>IFERROR(IF(INDEX('MRE'!$P$10:$P$11,MATCH($F297,'MRE'!$B$10:$B$11,0))="","Cell will autofill based on response",INDEX('MRE'!$P$10:$P$11,MATCH($F297,'MRE'!$B$10:$B$11,0))),"N/A")</f>
        <v/>
      </c>
    </row>
    <row r="298">
      <c r="A298">
        <f>F298&amp;"|"&amp;G298</f>
        <v/>
      </c>
      <c r="B298" s="29" t="inlineStr"/>
      <c r="C298" s="8" t="inlineStr"/>
      <c r="D298" s="8" t="inlineStr"/>
      <c r="E298" s="8" t="inlineStr"/>
      <c r="F298" s="8" t="inlineStr">
        <is>
          <t>EN1(d)</t>
        </is>
      </c>
      <c r="G298" s="8" t="inlineStr">
        <is>
          <t>Data owner confirms</t>
        </is>
      </c>
      <c r="H298" s="25">
        <f>IFERROR(IF(INDEX('Faculties'!$Q$10:$Q$29,MATCH($F298,'Faculties'!$B$10:$B$29,0))="","Cell will autofill based on response",INDEX('Faculties'!$Q$10:$Q$29,MATCH($F298,'Faculties'!$B$10:$B$29,0))),"N/A")</f>
        <v/>
      </c>
      <c r="I298" s="25">
        <f>IFERROR(IF(INDEX('Faculties'!$Q$37:$Q$56,MATCH($F298,'Faculties'!$B$37:$B$56,0))="","Cell will autofill based on response",INDEX('Faculties'!$Q$37:$Q$56,MATCH($F298,'Faculties'!$B$37:$B$56,0))),"N/A")</f>
        <v/>
      </c>
      <c r="J298" s="25">
        <f>IFERROR(IF(INDEX('Faculties'!$Q$64:$Q$83,MATCH($F298,'Faculties'!$B$64:$B$83,0))="","Cell will autofill based on response",INDEX('Faculties'!$Q$64:$Q$83,MATCH($F298,'Faculties'!$B$64:$B$83,0))),"N/A")</f>
        <v/>
      </c>
      <c r="K298" s="25">
        <f>IFERROR(IF(INDEX('Faculties'!$Q$91:$Q$110,MATCH($F298,'Faculties'!$B$91:$B$110,0))="","Cell will autofill based on response",INDEX('Faculties'!$Q$91:$Q$110,MATCH($F298,'Faculties'!$B$91:$B$110,0))),"N/A")</f>
        <v/>
      </c>
      <c r="L298" s="25">
        <f>IFERROR(IF(INDEX('CI&amp;S'!$Q$10:$Q$14,MATCH($F298,'CI&amp;S'!$B$10:$B$14,0))="","Cell will autofill based on response",INDEX('CI&amp;S'!$Q$10:$Q$14,MATCH($F298,'CI&amp;S'!$B$10:$B$14,0))),"N/A")</f>
        <v/>
      </c>
      <c r="M298" s="25">
        <f>IFERROR(IF(INDEX('CI&amp;S'!$Q$22:$Q$38,MATCH($F298,'CI&amp;S'!$B$22:$B$38,0))="","Cell will autofill based on response",INDEX('CI&amp;S'!$Q$22:$Q$38,MATCH($F298,'CI&amp;S'!$B$22:$B$38,0))),"N/A")</f>
        <v/>
      </c>
      <c r="N298" s="25">
        <f>IFERROR(IF(INDEX('CFOG'!$Q$10:$Q$15,MATCH($F298,'CFOG'!$B$10:$B$15,0))="","Cell will autofill based on response",INDEX('CFOG'!$Q$10:$Q$15,MATCH($F298,'CFOG'!$B$10:$B$15,0))),"N/A")</f>
        <v/>
      </c>
      <c r="O298" s="25">
        <f>IFERROR(IF(INDEX('CFOG'!$Q$23:$Q$23,MATCH($F298,'CFOG'!$B$23:$B$23,0))="","Cell will autofill based on response",INDEX('CFOG'!$Q$23:$Q$23,MATCH($F298,'CFOG'!$B$23:$B$23,0))),"N/A")</f>
        <v/>
      </c>
      <c r="P298" s="25">
        <f>IFERROR(IF(INDEX('ESG'!$Q$10:$Q$16,MATCH($F298,'ESG'!$B$10:$B$16,0))="","Cell will autofill based on response",INDEX('ESG'!$Q$10:$Q$16,MATCH($F298,'ESG'!$B$10:$B$16,0))),"N/A")</f>
        <v/>
      </c>
      <c r="Q298" s="25">
        <f>IFERROR(IF(INDEX('CIOG'!$Q$10:$Q$13,MATCH($F298,'CIOG'!$B$10:$B$13,0))="","Cell will autofill based on response",INDEX('CIOG'!$Q$10:$Q$13,MATCH($F298,'CIOG'!$B$10:$B$13,0))),"N/A")</f>
        <v/>
      </c>
      <c r="R298" s="25">
        <f>IFERROR(IF(INDEX('MRE'!$Q$10:$Q$11,MATCH($F298,'MRE'!$B$10:$B$11,0))="","Cell will autofill based on response",INDEX('MRE'!$Q$10:$Q$11,MATCH($F298,'MRE'!$B$10:$B$11,0))),"N/A")</f>
        <v/>
      </c>
    </row>
  </sheetData>
  <autoFilter ref="B10:AE298"/>
  <mergeCells count="1">
    <mergeCell ref="D4: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5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No. of units requested</t>
        </is>
      </c>
    </row>
    <row r="7">
      <c r="B7" s="7" t="inlineStr">
        <is>
          <t>EE1(a)</t>
        </is>
      </c>
      <c r="C7" s="14">
        <f>IF('A1. Data scoring'!H11&lt;&gt;"N/A","Yes","No")</f>
        <v/>
      </c>
      <c r="D7" s="14">
        <f>IF('A1. Data scoring'!I11&lt;&gt;"N/A","Yes","No")</f>
        <v/>
      </c>
      <c r="E7" s="14">
        <f>IF('A1. Data scoring'!J11&lt;&gt;"N/A","Yes","No")</f>
        <v/>
      </c>
      <c r="F7" s="14">
        <f>IF('A1. Data scoring'!K11&lt;&gt;"N/A","Yes","No")</f>
        <v/>
      </c>
      <c r="G7" s="14">
        <f>IF('A1. Data scoring'!L11&lt;&gt;"N/A","Yes","No")</f>
        <v/>
      </c>
      <c r="H7" s="14">
        <f>IF('A1. Data scoring'!M11&lt;&gt;"N/A","Yes","No")</f>
        <v/>
      </c>
      <c r="I7" s="14">
        <f>IF('A1. Data scoring'!N11&lt;&gt;"N/A","Yes","No")</f>
        <v/>
      </c>
      <c r="J7" s="14">
        <f>IF('A1. Data scoring'!O11&lt;&gt;"N/A","Yes","No")</f>
        <v/>
      </c>
      <c r="K7" s="14">
        <f>IF('A1. Data scoring'!P11&lt;&gt;"N/A","Yes","No")</f>
        <v/>
      </c>
      <c r="L7" s="14">
        <f>IF('A1. Data scoring'!Q11&lt;&gt;"N/A","Yes","No")</f>
        <v/>
      </c>
      <c r="M7" s="14">
        <f>IF('A1. Data scoring'!R11&lt;&gt;"N/A","Yes","No")</f>
        <v/>
      </c>
      <c r="N7" s="8">
        <f>COUNTIF(C7:M7,"Yes")</f>
        <v/>
      </c>
    </row>
    <row r="8">
      <c r="B8" s="7" t="inlineStr">
        <is>
          <t>EE1(b)</t>
        </is>
      </c>
      <c r="C8" s="14">
        <f>IF('A1. Data scoring'!H17&lt;&gt;"N/A","Yes","No")</f>
        <v/>
      </c>
      <c r="D8" s="14">
        <f>IF('A1. Data scoring'!I17&lt;&gt;"N/A","Yes","No")</f>
        <v/>
      </c>
      <c r="E8" s="14">
        <f>IF('A1. Data scoring'!J17&lt;&gt;"N/A","Yes","No")</f>
        <v/>
      </c>
      <c r="F8" s="14">
        <f>IF('A1. Data scoring'!K17&lt;&gt;"N/A","Yes","No")</f>
        <v/>
      </c>
      <c r="G8" s="14">
        <f>IF('A1. Data scoring'!L17&lt;&gt;"N/A","Yes","No")</f>
        <v/>
      </c>
      <c r="H8" s="14">
        <f>IF('A1. Data scoring'!M17&lt;&gt;"N/A","Yes","No")</f>
        <v/>
      </c>
      <c r="I8" s="14">
        <f>IF('A1. Data scoring'!N17&lt;&gt;"N/A","Yes","No")</f>
        <v/>
      </c>
      <c r="J8" s="14">
        <f>IF('A1. Data scoring'!O17&lt;&gt;"N/A","Yes","No")</f>
        <v/>
      </c>
      <c r="K8" s="14">
        <f>IF('A1. Data scoring'!P17&lt;&gt;"N/A","Yes","No")</f>
        <v/>
      </c>
      <c r="L8" s="14">
        <f>IF('A1. Data scoring'!Q17&lt;&gt;"N/A","Yes","No")</f>
        <v/>
      </c>
      <c r="M8" s="14">
        <f>IF('A1. Data scoring'!R17&lt;&gt;"N/A","Yes","No")</f>
        <v/>
      </c>
      <c r="N8" s="8">
        <f>COUNTIF(C8:M8,"Yes")</f>
        <v/>
      </c>
    </row>
    <row r="9">
      <c r="B9" s="7" t="inlineStr">
        <is>
          <t>EE1(c)</t>
        </is>
      </c>
      <c r="C9" s="14">
        <f>IF('A1. Data scoring'!H23&lt;&gt;"N/A","Yes","No")</f>
        <v/>
      </c>
      <c r="D9" s="14">
        <f>IF('A1. Data scoring'!I23&lt;&gt;"N/A","Yes","No")</f>
        <v/>
      </c>
      <c r="E9" s="14">
        <f>IF('A1. Data scoring'!J23&lt;&gt;"N/A","Yes","No")</f>
        <v/>
      </c>
      <c r="F9" s="14">
        <f>IF('A1. Data scoring'!K23&lt;&gt;"N/A","Yes","No")</f>
        <v/>
      </c>
      <c r="G9" s="14">
        <f>IF('A1. Data scoring'!L23&lt;&gt;"N/A","Yes","No")</f>
        <v/>
      </c>
      <c r="H9" s="14">
        <f>IF('A1. Data scoring'!M23&lt;&gt;"N/A","Yes","No")</f>
        <v/>
      </c>
      <c r="I9" s="14">
        <f>IF('A1. Data scoring'!N23&lt;&gt;"N/A","Yes","No")</f>
        <v/>
      </c>
      <c r="J9" s="14">
        <f>IF('A1. Data scoring'!O23&lt;&gt;"N/A","Yes","No")</f>
        <v/>
      </c>
      <c r="K9" s="14">
        <f>IF('A1. Data scoring'!P23&lt;&gt;"N/A","Yes","No")</f>
        <v/>
      </c>
      <c r="L9" s="14">
        <f>IF('A1. Data scoring'!Q23&lt;&gt;"N/A","Yes","No")</f>
        <v/>
      </c>
      <c r="M9" s="14">
        <f>IF('A1. Data scoring'!R23&lt;&gt;"N/A","Yes","No")</f>
        <v/>
      </c>
      <c r="N9" s="8">
        <f>COUNTIF(C9:M9,"Yes")</f>
        <v/>
      </c>
    </row>
    <row r="10">
      <c r="B10" s="7" t="inlineStr">
        <is>
          <t>EE1(d)</t>
        </is>
      </c>
      <c r="C10" s="14">
        <f>IF('A1. Data scoring'!H29&lt;&gt;"N/A","Yes","No")</f>
        <v/>
      </c>
      <c r="D10" s="14">
        <f>IF('A1. Data scoring'!I29&lt;&gt;"N/A","Yes","No")</f>
        <v/>
      </c>
      <c r="E10" s="14">
        <f>IF('A1. Data scoring'!J29&lt;&gt;"N/A","Yes","No")</f>
        <v/>
      </c>
      <c r="F10" s="14">
        <f>IF('A1. Data scoring'!K29&lt;&gt;"N/A","Yes","No")</f>
        <v/>
      </c>
      <c r="G10" s="14">
        <f>IF('A1. Data scoring'!L29&lt;&gt;"N/A","Yes","No")</f>
        <v/>
      </c>
      <c r="H10" s="14">
        <f>IF('A1. Data scoring'!M29&lt;&gt;"N/A","Yes","No")</f>
        <v/>
      </c>
      <c r="I10" s="14">
        <f>IF('A1. Data scoring'!N29&lt;&gt;"N/A","Yes","No")</f>
        <v/>
      </c>
      <c r="J10" s="14">
        <f>IF('A1. Data scoring'!O29&lt;&gt;"N/A","Yes","No")</f>
        <v/>
      </c>
      <c r="K10" s="14">
        <f>IF('A1. Data scoring'!P29&lt;&gt;"N/A","Yes","No")</f>
        <v/>
      </c>
      <c r="L10" s="14">
        <f>IF('A1. Data scoring'!Q29&lt;&gt;"N/A","Yes","No")</f>
        <v/>
      </c>
      <c r="M10" s="14">
        <f>IF('A1. Data scoring'!R29&lt;&gt;"N/A","Yes","No")</f>
        <v/>
      </c>
      <c r="N10" s="8">
        <f>COUNTIF(C10:M10,"Yes")</f>
        <v/>
      </c>
    </row>
    <row r="11">
      <c r="B11" s="7" t="inlineStr">
        <is>
          <t>TR1(a)</t>
        </is>
      </c>
      <c r="C11" s="14">
        <f>IF('A1. Data scoring'!H35&lt;&gt;"N/A","Yes","No")</f>
        <v/>
      </c>
      <c r="D11" s="14">
        <f>IF('A1. Data scoring'!I35&lt;&gt;"N/A","Yes","No")</f>
        <v/>
      </c>
      <c r="E11" s="14">
        <f>IF('A1. Data scoring'!J35&lt;&gt;"N/A","Yes","No")</f>
        <v/>
      </c>
      <c r="F11" s="14">
        <f>IF('A1. Data scoring'!K35&lt;&gt;"N/A","Yes","No")</f>
        <v/>
      </c>
      <c r="G11" s="14">
        <f>IF('A1. Data scoring'!L35&lt;&gt;"N/A","Yes","No")</f>
        <v/>
      </c>
      <c r="H11" s="14">
        <f>IF('A1. Data scoring'!M35&lt;&gt;"N/A","Yes","No")</f>
        <v/>
      </c>
      <c r="I11" s="14">
        <f>IF('A1. Data scoring'!N35&lt;&gt;"N/A","Yes","No")</f>
        <v/>
      </c>
      <c r="J11" s="14">
        <f>IF('A1. Data scoring'!O35&lt;&gt;"N/A","Yes","No")</f>
        <v/>
      </c>
      <c r="K11" s="14">
        <f>IF('A1. Data scoring'!P35&lt;&gt;"N/A","Yes","No")</f>
        <v/>
      </c>
      <c r="L11" s="14">
        <f>IF('A1. Data scoring'!Q35&lt;&gt;"N/A","Yes","No")</f>
        <v/>
      </c>
      <c r="M11" s="14">
        <f>IF('A1. Data scoring'!R35&lt;&gt;"N/A","Yes","No")</f>
        <v/>
      </c>
      <c r="N11" s="8">
        <f>COUNTIF(C11:M11,"Yes")</f>
        <v/>
      </c>
    </row>
    <row r="12">
      <c r="B12" s="7" t="inlineStr">
        <is>
          <t>TR1(b)</t>
        </is>
      </c>
      <c r="C12" s="14">
        <f>IF('A1. Data scoring'!H41&lt;&gt;"N/A","Yes","No")</f>
        <v/>
      </c>
      <c r="D12" s="14">
        <f>IF('A1. Data scoring'!I41&lt;&gt;"N/A","Yes","No")</f>
        <v/>
      </c>
      <c r="E12" s="14">
        <f>IF('A1. Data scoring'!J41&lt;&gt;"N/A","Yes","No")</f>
        <v/>
      </c>
      <c r="F12" s="14">
        <f>IF('A1. Data scoring'!K41&lt;&gt;"N/A","Yes","No")</f>
        <v/>
      </c>
      <c r="G12" s="14">
        <f>IF('A1. Data scoring'!L41&lt;&gt;"N/A","Yes","No")</f>
        <v/>
      </c>
      <c r="H12" s="14">
        <f>IF('A1. Data scoring'!M41&lt;&gt;"N/A","Yes","No")</f>
        <v/>
      </c>
      <c r="I12" s="14">
        <f>IF('A1. Data scoring'!N41&lt;&gt;"N/A","Yes","No")</f>
        <v/>
      </c>
      <c r="J12" s="14">
        <f>IF('A1. Data scoring'!O41&lt;&gt;"N/A","Yes","No")</f>
        <v/>
      </c>
      <c r="K12" s="14">
        <f>IF('A1. Data scoring'!P41&lt;&gt;"N/A","Yes","No")</f>
        <v/>
      </c>
      <c r="L12" s="14">
        <f>IF('A1. Data scoring'!Q41&lt;&gt;"N/A","Yes","No")</f>
        <v/>
      </c>
      <c r="M12" s="14">
        <f>IF('A1. Data scoring'!R41&lt;&gt;"N/A","Yes","No")</f>
        <v/>
      </c>
      <c r="N12" s="8">
        <f>COUNTIF(C12:M12,"Yes")</f>
        <v/>
      </c>
    </row>
    <row r="13">
      <c r="B13" s="7" t="inlineStr">
        <is>
          <t>TR1(c)</t>
        </is>
      </c>
      <c r="C13" s="14">
        <f>IF('A1. Data scoring'!H47&lt;&gt;"N/A","Yes","No")</f>
        <v/>
      </c>
      <c r="D13" s="14">
        <f>IF('A1. Data scoring'!I47&lt;&gt;"N/A","Yes","No")</f>
        <v/>
      </c>
      <c r="E13" s="14">
        <f>IF('A1. Data scoring'!J47&lt;&gt;"N/A","Yes","No")</f>
        <v/>
      </c>
      <c r="F13" s="14">
        <f>IF('A1. Data scoring'!K47&lt;&gt;"N/A","Yes","No")</f>
        <v/>
      </c>
      <c r="G13" s="14">
        <f>IF('A1. Data scoring'!L47&lt;&gt;"N/A","Yes","No")</f>
        <v/>
      </c>
      <c r="H13" s="14">
        <f>IF('A1. Data scoring'!M47&lt;&gt;"N/A","Yes","No")</f>
        <v/>
      </c>
      <c r="I13" s="14">
        <f>IF('A1. Data scoring'!N47&lt;&gt;"N/A","Yes","No")</f>
        <v/>
      </c>
      <c r="J13" s="14">
        <f>IF('A1. Data scoring'!O47&lt;&gt;"N/A","Yes","No")</f>
        <v/>
      </c>
      <c r="K13" s="14">
        <f>IF('A1. Data scoring'!P47&lt;&gt;"N/A","Yes","No")</f>
        <v/>
      </c>
      <c r="L13" s="14">
        <f>IF('A1. Data scoring'!Q47&lt;&gt;"N/A","Yes","No")</f>
        <v/>
      </c>
      <c r="M13" s="14">
        <f>IF('A1. Data scoring'!R47&lt;&gt;"N/A","Yes","No")</f>
        <v/>
      </c>
      <c r="N13" s="8">
        <f>COUNTIF(C13:M13,"Yes")</f>
        <v/>
      </c>
    </row>
    <row r="14">
      <c r="B14" s="7" t="inlineStr">
        <is>
          <t>TR1(d)</t>
        </is>
      </c>
      <c r="C14" s="14">
        <f>IF('A1. Data scoring'!H53&lt;&gt;"N/A","Yes","No")</f>
        <v/>
      </c>
      <c r="D14" s="14">
        <f>IF('A1. Data scoring'!I53&lt;&gt;"N/A","Yes","No")</f>
        <v/>
      </c>
      <c r="E14" s="14">
        <f>IF('A1. Data scoring'!J53&lt;&gt;"N/A","Yes","No")</f>
        <v/>
      </c>
      <c r="F14" s="14">
        <f>IF('A1. Data scoring'!K53&lt;&gt;"N/A","Yes","No")</f>
        <v/>
      </c>
      <c r="G14" s="14">
        <f>IF('A1. Data scoring'!L53&lt;&gt;"N/A","Yes","No")</f>
        <v/>
      </c>
      <c r="H14" s="14">
        <f>IF('A1. Data scoring'!M53&lt;&gt;"N/A","Yes","No")</f>
        <v/>
      </c>
      <c r="I14" s="14">
        <f>IF('A1. Data scoring'!N53&lt;&gt;"N/A","Yes","No")</f>
        <v/>
      </c>
      <c r="J14" s="14">
        <f>IF('A1. Data scoring'!O53&lt;&gt;"N/A","Yes","No")</f>
        <v/>
      </c>
      <c r="K14" s="14">
        <f>IF('A1. Data scoring'!P53&lt;&gt;"N/A","Yes","No")</f>
        <v/>
      </c>
      <c r="L14" s="14">
        <f>IF('A1. Data scoring'!Q53&lt;&gt;"N/A","Yes","No")</f>
        <v/>
      </c>
      <c r="M14" s="14">
        <f>IF('A1. Data scoring'!R53&lt;&gt;"N/A","Yes","No")</f>
        <v/>
      </c>
      <c r="N14" s="8">
        <f>COUNTIF(C14:M14,"Yes")</f>
        <v/>
      </c>
    </row>
    <row r="15">
      <c r="B15" s="7" t="inlineStr">
        <is>
          <t>TR2(a)</t>
        </is>
      </c>
      <c r="C15" s="14">
        <f>IF('A1. Data scoring'!H59&lt;&gt;"N/A","Yes","No")</f>
        <v/>
      </c>
      <c r="D15" s="14">
        <f>IF('A1. Data scoring'!I59&lt;&gt;"N/A","Yes","No")</f>
        <v/>
      </c>
      <c r="E15" s="14">
        <f>IF('A1. Data scoring'!J59&lt;&gt;"N/A","Yes","No")</f>
        <v/>
      </c>
      <c r="F15" s="14">
        <f>IF('A1. Data scoring'!K59&lt;&gt;"N/A","Yes","No")</f>
        <v/>
      </c>
      <c r="G15" s="14">
        <f>IF('A1. Data scoring'!L59&lt;&gt;"N/A","Yes","No")</f>
        <v/>
      </c>
      <c r="H15" s="14">
        <f>IF('A1. Data scoring'!M59&lt;&gt;"N/A","Yes","No")</f>
        <v/>
      </c>
      <c r="I15" s="14">
        <f>IF('A1. Data scoring'!N59&lt;&gt;"N/A","Yes","No")</f>
        <v/>
      </c>
      <c r="J15" s="14">
        <f>IF('A1. Data scoring'!O59&lt;&gt;"N/A","Yes","No")</f>
        <v/>
      </c>
      <c r="K15" s="14">
        <f>IF('A1. Data scoring'!P59&lt;&gt;"N/A","Yes","No")</f>
        <v/>
      </c>
      <c r="L15" s="14">
        <f>IF('A1. Data scoring'!Q59&lt;&gt;"N/A","Yes","No")</f>
        <v/>
      </c>
      <c r="M15" s="14">
        <f>IF('A1. Data scoring'!R59&lt;&gt;"N/A","Yes","No")</f>
        <v/>
      </c>
      <c r="N15" s="8">
        <f>COUNTIF(C15:M15,"Yes")</f>
        <v/>
      </c>
    </row>
    <row r="16">
      <c r="B16" s="7" t="inlineStr">
        <is>
          <t>TR2(b)</t>
        </is>
      </c>
      <c r="C16" s="14">
        <f>IF('A1. Data scoring'!H65&lt;&gt;"N/A","Yes","No")</f>
        <v/>
      </c>
      <c r="D16" s="14">
        <f>IF('A1. Data scoring'!I65&lt;&gt;"N/A","Yes","No")</f>
        <v/>
      </c>
      <c r="E16" s="14">
        <f>IF('A1. Data scoring'!J65&lt;&gt;"N/A","Yes","No")</f>
        <v/>
      </c>
      <c r="F16" s="14">
        <f>IF('A1. Data scoring'!K65&lt;&gt;"N/A","Yes","No")</f>
        <v/>
      </c>
      <c r="G16" s="14">
        <f>IF('A1. Data scoring'!L65&lt;&gt;"N/A","Yes","No")</f>
        <v/>
      </c>
      <c r="H16" s="14">
        <f>IF('A1. Data scoring'!M65&lt;&gt;"N/A","Yes","No")</f>
        <v/>
      </c>
      <c r="I16" s="14">
        <f>IF('A1. Data scoring'!N65&lt;&gt;"N/A","Yes","No")</f>
        <v/>
      </c>
      <c r="J16" s="14">
        <f>IF('A1. Data scoring'!O65&lt;&gt;"N/A","Yes","No")</f>
        <v/>
      </c>
      <c r="K16" s="14">
        <f>IF('A1. Data scoring'!P65&lt;&gt;"N/A","Yes","No")</f>
        <v/>
      </c>
      <c r="L16" s="14">
        <f>IF('A1. Data scoring'!Q65&lt;&gt;"N/A","Yes","No")</f>
        <v/>
      </c>
      <c r="M16" s="14">
        <f>IF('A1. Data scoring'!R65&lt;&gt;"N/A","Yes","No")</f>
        <v/>
      </c>
      <c r="N16" s="8">
        <f>COUNTIF(C16:M16,"Yes")</f>
        <v/>
      </c>
    </row>
    <row r="17">
      <c r="B17" s="7" t="inlineStr">
        <is>
          <t>TR2(c)</t>
        </is>
      </c>
      <c r="C17" s="14">
        <f>IF('A1. Data scoring'!H71&lt;&gt;"N/A","Yes","No")</f>
        <v/>
      </c>
      <c r="D17" s="14">
        <f>IF('A1. Data scoring'!I71&lt;&gt;"N/A","Yes","No")</f>
        <v/>
      </c>
      <c r="E17" s="14">
        <f>IF('A1. Data scoring'!J71&lt;&gt;"N/A","Yes","No")</f>
        <v/>
      </c>
      <c r="F17" s="14">
        <f>IF('A1. Data scoring'!K71&lt;&gt;"N/A","Yes","No")</f>
        <v/>
      </c>
      <c r="G17" s="14">
        <f>IF('A1. Data scoring'!L71&lt;&gt;"N/A","Yes","No")</f>
        <v/>
      </c>
      <c r="H17" s="14">
        <f>IF('A1. Data scoring'!M71&lt;&gt;"N/A","Yes","No")</f>
        <v/>
      </c>
      <c r="I17" s="14">
        <f>IF('A1. Data scoring'!N71&lt;&gt;"N/A","Yes","No")</f>
        <v/>
      </c>
      <c r="J17" s="14">
        <f>IF('A1. Data scoring'!O71&lt;&gt;"N/A","Yes","No")</f>
        <v/>
      </c>
      <c r="K17" s="14">
        <f>IF('A1. Data scoring'!P71&lt;&gt;"N/A","Yes","No")</f>
        <v/>
      </c>
      <c r="L17" s="14">
        <f>IF('A1. Data scoring'!Q71&lt;&gt;"N/A","Yes","No")</f>
        <v/>
      </c>
      <c r="M17" s="14">
        <f>IF('A1. Data scoring'!R71&lt;&gt;"N/A","Yes","No")</f>
        <v/>
      </c>
      <c r="N17" s="8">
        <f>COUNTIF(C17:M17,"Yes")</f>
        <v/>
      </c>
    </row>
    <row r="18">
      <c r="B18" s="7" t="inlineStr">
        <is>
          <t>TR2(d)</t>
        </is>
      </c>
      <c r="C18" s="14">
        <f>IF('A1. Data scoring'!H77&lt;&gt;"N/A","Yes","No")</f>
        <v/>
      </c>
      <c r="D18" s="14">
        <f>IF('A1. Data scoring'!I77&lt;&gt;"N/A","Yes","No")</f>
        <v/>
      </c>
      <c r="E18" s="14">
        <f>IF('A1. Data scoring'!J77&lt;&gt;"N/A","Yes","No")</f>
        <v/>
      </c>
      <c r="F18" s="14">
        <f>IF('A1. Data scoring'!K77&lt;&gt;"N/A","Yes","No")</f>
        <v/>
      </c>
      <c r="G18" s="14">
        <f>IF('A1. Data scoring'!L77&lt;&gt;"N/A","Yes","No")</f>
        <v/>
      </c>
      <c r="H18" s="14">
        <f>IF('A1. Data scoring'!M77&lt;&gt;"N/A","Yes","No")</f>
        <v/>
      </c>
      <c r="I18" s="14">
        <f>IF('A1. Data scoring'!N77&lt;&gt;"N/A","Yes","No")</f>
        <v/>
      </c>
      <c r="J18" s="14">
        <f>IF('A1. Data scoring'!O77&lt;&gt;"N/A","Yes","No")</f>
        <v/>
      </c>
      <c r="K18" s="14">
        <f>IF('A1. Data scoring'!P77&lt;&gt;"N/A","Yes","No")</f>
        <v/>
      </c>
      <c r="L18" s="14">
        <f>IF('A1. Data scoring'!Q77&lt;&gt;"N/A","Yes","No")</f>
        <v/>
      </c>
      <c r="M18" s="14">
        <f>IF('A1. Data scoring'!R77&lt;&gt;"N/A","Yes","No")</f>
        <v/>
      </c>
      <c r="N18" s="8">
        <f>COUNTIF(C18:M18,"Yes")</f>
        <v/>
      </c>
    </row>
    <row r="19">
      <c r="B19" s="7" t="inlineStr">
        <is>
          <t>TR3(a)</t>
        </is>
      </c>
      <c r="C19" s="14">
        <f>IF('A1. Data scoring'!H83&lt;&gt;"N/A","Yes","No")</f>
        <v/>
      </c>
      <c r="D19" s="14">
        <f>IF('A1. Data scoring'!I83&lt;&gt;"N/A","Yes","No")</f>
        <v/>
      </c>
      <c r="E19" s="14">
        <f>IF('A1. Data scoring'!J83&lt;&gt;"N/A","Yes","No")</f>
        <v/>
      </c>
      <c r="F19" s="14">
        <f>IF('A1. Data scoring'!K83&lt;&gt;"N/A","Yes","No")</f>
        <v/>
      </c>
      <c r="G19" s="14">
        <f>IF('A1. Data scoring'!L83&lt;&gt;"N/A","Yes","No")</f>
        <v/>
      </c>
      <c r="H19" s="14">
        <f>IF('A1. Data scoring'!M83&lt;&gt;"N/A","Yes","No")</f>
        <v/>
      </c>
      <c r="I19" s="14">
        <f>IF('A1. Data scoring'!N83&lt;&gt;"N/A","Yes","No")</f>
        <v/>
      </c>
      <c r="J19" s="14">
        <f>IF('A1. Data scoring'!O83&lt;&gt;"N/A","Yes","No")</f>
        <v/>
      </c>
      <c r="K19" s="14">
        <f>IF('A1. Data scoring'!P83&lt;&gt;"N/A","Yes","No")</f>
        <v/>
      </c>
      <c r="L19" s="14">
        <f>IF('A1. Data scoring'!Q83&lt;&gt;"N/A","Yes","No")</f>
        <v/>
      </c>
      <c r="M19" s="14">
        <f>IF('A1. Data scoring'!R83&lt;&gt;"N/A","Yes","No")</f>
        <v/>
      </c>
      <c r="N19" s="8">
        <f>COUNTIF(C19:M19,"Yes")</f>
        <v/>
      </c>
    </row>
    <row r="20">
      <c r="B20" s="7" t="inlineStr">
        <is>
          <t>TR3(b)</t>
        </is>
      </c>
      <c r="C20" s="14">
        <f>IF('A1. Data scoring'!H89&lt;&gt;"N/A","Yes","No")</f>
        <v/>
      </c>
      <c r="D20" s="14">
        <f>IF('A1. Data scoring'!I89&lt;&gt;"N/A","Yes","No")</f>
        <v/>
      </c>
      <c r="E20" s="14">
        <f>IF('A1. Data scoring'!J89&lt;&gt;"N/A","Yes","No")</f>
        <v/>
      </c>
      <c r="F20" s="14">
        <f>IF('A1. Data scoring'!K89&lt;&gt;"N/A","Yes","No")</f>
        <v/>
      </c>
      <c r="G20" s="14">
        <f>IF('A1. Data scoring'!L89&lt;&gt;"N/A","Yes","No")</f>
        <v/>
      </c>
      <c r="H20" s="14">
        <f>IF('A1. Data scoring'!M89&lt;&gt;"N/A","Yes","No")</f>
        <v/>
      </c>
      <c r="I20" s="14">
        <f>IF('A1. Data scoring'!N89&lt;&gt;"N/A","Yes","No")</f>
        <v/>
      </c>
      <c r="J20" s="14">
        <f>IF('A1. Data scoring'!O89&lt;&gt;"N/A","Yes","No")</f>
        <v/>
      </c>
      <c r="K20" s="14">
        <f>IF('A1. Data scoring'!P89&lt;&gt;"N/A","Yes","No")</f>
        <v/>
      </c>
      <c r="L20" s="14">
        <f>IF('A1. Data scoring'!Q89&lt;&gt;"N/A","Yes","No")</f>
        <v/>
      </c>
      <c r="M20" s="14">
        <f>IF('A1. Data scoring'!R89&lt;&gt;"N/A","Yes","No")</f>
        <v/>
      </c>
      <c r="N20" s="8">
        <f>COUNTIF(C20:M20,"Yes")</f>
        <v/>
      </c>
    </row>
    <row r="21">
      <c r="B21" s="7" t="inlineStr">
        <is>
          <t>TR3(c)</t>
        </is>
      </c>
      <c r="C21" s="14">
        <f>IF('A1. Data scoring'!H95&lt;&gt;"N/A","Yes","No")</f>
        <v/>
      </c>
      <c r="D21" s="14">
        <f>IF('A1. Data scoring'!I95&lt;&gt;"N/A","Yes","No")</f>
        <v/>
      </c>
      <c r="E21" s="14">
        <f>IF('A1. Data scoring'!J95&lt;&gt;"N/A","Yes","No")</f>
        <v/>
      </c>
      <c r="F21" s="14">
        <f>IF('A1. Data scoring'!K95&lt;&gt;"N/A","Yes","No")</f>
        <v/>
      </c>
      <c r="G21" s="14">
        <f>IF('A1. Data scoring'!L95&lt;&gt;"N/A","Yes","No")</f>
        <v/>
      </c>
      <c r="H21" s="14">
        <f>IF('A1. Data scoring'!M95&lt;&gt;"N/A","Yes","No")</f>
        <v/>
      </c>
      <c r="I21" s="14">
        <f>IF('A1. Data scoring'!N95&lt;&gt;"N/A","Yes","No")</f>
        <v/>
      </c>
      <c r="J21" s="14">
        <f>IF('A1. Data scoring'!O95&lt;&gt;"N/A","Yes","No")</f>
        <v/>
      </c>
      <c r="K21" s="14">
        <f>IF('A1. Data scoring'!P95&lt;&gt;"N/A","Yes","No")</f>
        <v/>
      </c>
      <c r="L21" s="14">
        <f>IF('A1. Data scoring'!Q95&lt;&gt;"N/A","Yes","No")</f>
        <v/>
      </c>
      <c r="M21" s="14">
        <f>IF('A1. Data scoring'!R95&lt;&gt;"N/A","Yes","No")</f>
        <v/>
      </c>
      <c r="N21" s="8">
        <f>COUNTIF(C21:M21,"Yes")</f>
        <v/>
      </c>
    </row>
    <row r="22">
      <c r="B22" s="7" t="inlineStr">
        <is>
          <t>TR3(d)</t>
        </is>
      </c>
      <c r="C22" s="14">
        <f>IF('A1. Data scoring'!H101&lt;&gt;"N/A","Yes","No")</f>
        <v/>
      </c>
      <c r="D22" s="14">
        <f>IF('A1. Data scoring'!I101&lt;&gt;"N/A","Yes","No")</f>
        <v/>
      </c>
      <c r="E22" s="14">
        <f>IF('A1. Data scoring'!J101&lt;&gt;"N/A","Yes","No")</f>
        <v/>
      </c>
      <c r="F22" s="14">
        <f>IF('A1. Data scoring'!K101&lt;&gt;"N/A","Yes","No")</f>
        <v/>
      </c>
      <c r="G22" s="14">
        <f>IF('A1. Data scoring'!L101&lt;&gt;"N/A","Yes","No")</f>
        <v/>
      </c>
      <c r="H22" s="14">
        <f>IF('A1. Data scoring'!M101&lt;&gt;"N/A","Yes","No")</f>
        <v/>
      </c>
      <c r="I22" s="14">
        <f>IF('A1. Data scoring'!N101&lt;&gt;"N/A","Yes","No")</f>
        <v/>
      </c>
      <c r="J22" s="14">
        <f>IF('A1. Data scoring'!O101&lt;&gt;"N/A","Yes","No")</f>
        <v/>
      </c>
      <c r="K22" s="14">
        <f>IF('A1. Data scoring'!P101&lt;&gt;"N/A","Yes","No")</f>
        <v/>
      </c>
      <c r="L22" s="14">
        <f>IF('A1. Data scoring'!Q101&lt;&gt;"N/A","Yes","No")</f>
        <v/>
      </c>
      <c r="M22" s="14">
        <f>IF('A1. Data scoring'!R101&lt;&gt;"N/A","Yes","No")</f>
        <v/>
      </c>
      <c r="N22" s="8">
        <f>COUNTIF(C22:M22,"Yes")</f>
        <v/>
      </c>
    </row>
    <row r="23">
      <c r="B23" s="7" t="inlineStr">
        <is>
          <t>CL1(a)</t>
        </is>
      </c>
      <c r="C23" s="14">
        <f>IF('A1. Data scoring'!H107&lt;&gt;"N/A","Yes","No")</f>
        <v/>
      </c>
      <c r="D23" s="14">
        <f>IF('A1. Data scoring'!I107&lt;&gt;"N/A","Yes","No")</f>
        <v/>
      </c>
      <c r="E23" s="14">
        <f>IF('A1. Data scoring'!J107&lt;&gt;"N/A","Yes","No")</f>
        <v/>
      </c>
      <c r="F23" s="14">
        <f>IF('A1. Data scoring'!K107&lt;&gt;"N/A","Yes","No")</f>
        <v/>
      </c>
      <c r="G23" s="14">
        <f>IF('A1. Data scoring'!L107&lt;&gt;"N/A","Yes","No")</f>
        <v/>
      </c>
      <c r="H23" s="14">
        <f>IF('A1. Data scoring'!M107&lt;&gt;"N/A","Yes","No")</f>
        <v/>
      </c>
      <c r="I23" s="14">
        <f>IF('A1. Data scoring'!N107&lt;&gt;"N/A","Yes","No")</f>
        <v/>
      </c>
      <c r="J23" s="14">
        <f>IF('A1. Data scoring'!O107&lt;&gt;"N/A","Yes","No")</f>
        <v/>
      </c>
      <c r="K23" s="14">
        <f>IF('A1. Data scoring'!P107&lt;&gt;"N/A","Yes","No")</f>
        <v/>
      </c>
      <c r="L23" s="14">
        <f>IF('A1. Data scoring'!Q107&lt;&gt;"N/A","Yes","No")</f>
        <v/>
      </c>
      <c r="M23" s="14">
        <f>IF('A1. Data scoring'!R107&lt;&gt;"N/A","Yes","No")</f>
        <v/>
      </c>
      <c r="N23" s="8">
        <f>COUNTIF(C23:M23,"Yes")</f>
        <v/>
      </c>
    </row>
    <row r="24">
      <c r="B24" s="7" t="inlineStr">
        <is>
          <t>CL1(b)</t>
        </is>
      </c>
      <c r="C24" s="14">
        <f>IF('A1. Data scoring'!H113&lt;&gt;"N/A","Yes","No")</f>
        <v/>
      </c>
      <c r="D24" s="14">
        <f>IF('A1. Data scoring'!I113&lt;&gt;"N/A","Yes","No")</f>
        <v/>
      </c>
      <c r="E24" s="14">
        <f>IF('A1. Data scoring'!J113&lt;&gt;"N/A","Yes","No")</f>
        <v/>
      </c>
      <c r="F24" s="14">
        <f>IF('A1. Data scoring'!K113&lt;&gt;"N/A","Yes","No")</f>
        <v/>
      </c>
      <c r="G24" s="14">
        <f>IF('A1. Data scoring'!L113&lt;&gt;"N/A","Yes","No")</f>
        <v/>
      </c>
      <c r="H24" s="14">
        <f>IF('A1. Data scoring'!M113&lt;&gt;"N/A","Yes","No")</f>
        <v/>
      </c>
      <c r="I24" s="14">
        <f>IF('A1. Data scoring'!N113&lt;&gt;"N/A","Yes","No")</f>
        <v/>
      </c>
      <c r="J24" s="14">
        <f>IF('A1. Data scoring'!O113&lt;&gt;"N/A","Yes","No")</f>
        <v/>
      </c>
      <c r="K24" s="14">
        <f>IF('A1. Data scoring'!P113&lt;&gt;"N/A","Yes","No")</f>
        <v/>
      </c>
      <c r="L24" s="14">
        <f>IF('A1. Data scoring'!Q113&lt;&gt;"N/A","Yes","No")</f>
        <v/>
      </c>
      <c r="M24" s="14">
        <f>IF('A1. Data scoring'!R113&lt;&gt;"N/A","Yes","No")</f>
        <v/>
      </c>
      <c r="N24" s="8">
        <f>COUNTIF(C24:M24,"Yes")</f>
        <v/>
      </c>
    </row>
    <row r="25">
      <c r="B25" s="7" t="inlineStr">
        <is>
          <t>CL1(c)</t>
        </is>
      </c>
      <c r="C25" s="14">
        <f>IF('A1. Data scoring'!H119&lt;&gt;"N/A","Yes","No")</f>
        <v/>
      </c>
      <c r="D25" s="14">
        <f>IF('A1. Data scoring'!I119&lt;&gt;"N/A","Yes","No")</f>
        <v/>
      </c>
      <c r="E25" s="14">
        <f>IF('A1. Data scoring'!J119&lt;&gt;"N/A","Yes","No")</f>
        <v/>
      </c>
      <c r="F25" s="14">
        <f>IF('A1. Data scoring'!K119&lt;&gt;"N/A","Yes","No")</f>
        <v/>
      </c>
      <c r="G25" s="14">
        <f>IF('A1. Data scoring'!L119&lt;&gt;"N/A","Yes","No")</f>
        <v/>
      </c>
      <c r="H25" s="14">
        <f>IF('A1. Data scoring'!M119&lt;&gt;"N/A","Yes","No")</f>
        <v/>
      </c>
      <c r="I25" s="14">
        <f>IF('A1. Data scoring'!N119&lt;&gt;"N/A","Yes","No")</f>
        <v/>
      </c>
      <c r="J25" s="14">
        <f>IF('A1. Data scoring'!O119&lt;&gt;"N/A","Yes","No")</f>
        <v/>
      </c>
      <c r="K25" s="14">
        <f>IF('A1. Data scoring'!P119&lt;&gt;"N/A","Yes","No")</f>
        <v/>
      </c>
      <c r="L25" s="14">
        <f>IF('A1. Data scoring'!Q119&lt;&gt;"N/A","Yes","No")</f>
        <v/>
      </c>
      <c r="M25" s="14">
        <f>IF('A1. Data scoring'!R119&lt;&gt;"N/A","Yes","No")</f>
        <v/>
      </c>
      <c r="N25" s="8">
        <f>COUNTIF(C25:M25,"Yes")</f>
        <v/>
      </c>
    </row>
    <row r="26">
      <c r="B26" s="7" t="inlineStr">
        <is>
          <t>CL2(a)</t>
        </is>
      </c>
      <c r="C26" s="14">
        <f>IF('A1. Data scoring'!H125&lt;&gt;"N/A","Yes","No")</f>
        <v/>
      </c>
      <c r="D26" s="14">
        <f>IF('A1. Data scoring'!I125&lt;&gt;"N/A","Yes","No")</f>
        <v/>
      </c>
      <c r="E26" s="14">
        <f>IF('A1. Data scoring'!J125&lt;&gt;"N/A","Yes","No")</f>
        <v/>
      </c>
      <c r="F26" s="14">
        <f>IF('A1. Data scoring'!K125&lt;&gt;"N/A","Yes","No")</f>
        <v/>
      </c>
      <c r="G26" s="14">
        <f>IF('A1. Data scoring'!L125&lt;&gt;"N/A","Yes","No")</f>
        <v/>
      </c>
      <c r="H26" s="14">
        <f>IF('A1. Data scoring'!M125&lt;&gt;"N/A","Yes","No")</f>
        <v/>
      </c>
      <c r="I26" s="14">
        <f>IF('A1. Data scoring'!N125&lt;&gt;"N/A","Yes","No")</f>
        <v/>
      </c>
      <c r="J26" s="14">
        <f>IF('A1. Data scoring'!O125&lt;&gt;"N/A","Yes","No")</f>
        <v/>
      </c>
      <c r="K26" s="14">
        <f>IF('A1. Data scoring'!P125&lt;&gt;"N/A","Yes","No")</f>
        <v/>
      </c>
      <c r="L26" s="14">
        <f>IF('A1. Data scoring'!Q125&lt;&gt;"N/A","Yes","No")</f>
        <v/>
      </c>
      <c r="M26" s="14">
        <f>IF('A1. Data scoring'!R125&lt;&gt;"N/A","Yes","No")</f>
        <v/>
      </c>
      <c r="N26" s="8">
        <f>COUNTIF(C26:M26,"Yes")</f>
        <v/>
      </c>
    </row>
    <row r="27">
      <c r="B27" s="7" t="inlineStr">
        <is>
          <t>CL2(b)</t>
        </is>
      </c>
      <c r="C27" s="14">
        <f>IF('A1. Data scoring'!H131&lt;&gt;"N/A","Yes","No")</f>
        <v/>
      </c>
      <c r="D27" s="14">
        <f>IF('A1. Data scoring'!I131&lt;&gt;"N/A","Yes","No")</f>
        <v/>
      </c>
      <c r="E27" s="14">
        <f>IF('A1. Data scoring'!J131&lt;&gt;"N/A","Yes","No")</f>
        <v/>
      </c>
      <c r="F27" s="14">
        <f>IF('A1. Data scoring'!K131&lt;&gt;"N/A","Yes","No")</f>
        <v/>
      </c>
      <c r="G27" s="14">
        <f>IF('A1. Data scoring'!L131&lt;&gt;"N/A","Yes","No")</f>
        <v/>
      </c>
      <c r="H27" s="14">
        <f>IF('A1. Data scoring'!M131&lt;&gt;"N/A","Yes","No")</f>
        <v/>
      </c>
      <c r="I27" s="14">
        <f>IF('A1. Data scoring'!N131&lt;&gt;"N/A","Yes","No")</f>
        <v/>
      </c>
      <c r="J27" s="14">
        <f>IF('A1. Data scoring'!O131&lt;&gt;"N/A","Yes","No")</f>
        <v/>
      </c>
      <c r="K27" s="14">
        <f>IF('A1. Data scoring'!P131&lt;&gt;"N/A","Yes","No")</f>
        <v/>
      </c>
      <c r="L27" s="14">
        <f>IF('A1. Data scoring'!Q131&lt;&gt;"N/A","Yes","No")</f>
        <v/>
      </c>
      <c r="M27" s="14">
        <f>IF('A1. Data scoring'!R131&lt;&gt;"N/A","Yes","No")</f>
        <v/>
      </c>
      <c r="N27" s="8">
        <f>COUNTIF(C27:M27,"Yes")</f>
        <v/>
      </c>
    </row>
    <row r="28">
      <c r="B28" s="7" t="inlineStr">
        <is>
          <t>CL2(c)</t>
        </is>
      </c>
      <c r="C28" s="14">
        <f>IF('A1. Data scoring'!H137&lt;&gt;"N/A","Yes","No")</f>
        <v/>
      </c>
      <c r="D28" s="14">
        <f>IF('A1. Data scoring'!I137&lt;&gt;"N/A","Yes","No")</f>
        <v/>
      </c>
      <c r="E28" s="14">
        <f>IF('A1. Data scoring'!J137&lt;&gt;"N/A","Yes","No")</f>
        <v/>
      </c>
      <c r="F28" s="14">
        <f>IF('A1. Data scoring'!K137&lt;&gt;"N/A","Yes","No")</f>
        <v/>
      </c>
      <c r="G28" s="14">
        <f>IF('A1. Data scoring'!L137&lt;&gt;"N/A","Yes","No")</f>
        <v/>
      </c>
      <c r="H28" s="14">
        <f>IF('A1. Data scoring'!M137&lt;&gt;"N/A","Yes","No")</f>
        <v/>
      </c>
      <c r="I28" s="14">
        <f>IF('A1. Data scoring'!N137&lt;&gt;"N/A","Yes","No")</f>
        <v/>
      </c>
      <c r="J28" s="14">
        <f>IF('A1. Data scoring'!O137&lt;&gt;"N/A","Yes","No")</f>
        <v/>
      </c>
      <c r="K28" s="14">
        <f>IF('A1. Data scoring'!P137&lt;&gt;"N/A","Yes","No")</f>
        <v/>
      </c>
      <c r="L28" s="14">
        <f>IF('A1. Data scoring'!Q137&lt;&gt;"N/A","Yes","No")</f>
        <v/>
      </c>
      <c r="M28" s="14">
        <f>IF('A1. Data scoring'!R137&lt;&gt;"N/A","Yes","No")</f>
        <v/>
      </c>
      <c r="N28" s="8">
        <f>COUNTIF(C28:M28,"Yes")</f>
        <v/>
      </c>
    </row>
    <row r="29">
      <c r="B29" s="7" t="inlineStr">
        <is>
          <t>CL3(a)</t>
        </is>
      </c>
      <c r="C29" s="14">
        <f>IF('A1. Data scoring'!H143&lt;&gt;"N/A","Yes","No")</f>
        <v/>
      </c>
      <c r="D29" s="14">
        <f>IF('A1. Data scoring'!I143&lt;&gt;"N/A","Yes","No")</f>
        <v/>
      </c>
      <c r="E29" s="14">
        <f>IF('A1. Data scoring'!J143&lt;&gt;"N/A","Yes","No")</f>
        <v/>
      </c>
      <c r="F29" s="14">
        <f>IF('A1. Data scoring'!K143&lt;&gt;"N/A","Yes","No")</f>
        <v/>
      </c>
      <c r="G29" s="14">
        <f>IF('A1. Data scoring'!L143&lt;&gt;"N/A","Yes","No")</f>
        <v/>
      </c>
      <c r="H29" s="14">
        <f>IF('A1. Data scoring'!M143&lt;&gt;"N/A","Yes","No")</f>
        <v/>
      </c>
      <c r="I29" s="14">
        <f>IF('A1. Data scoring'!N143&lt;&gt;"N/A","Yes","No")</f>
        <v/>
      </c>
      <c r="J29" s="14">
        <f>IF('A1. Data scoring'!O143&lt;&gt;"N/A","Yes","No")</f>
        <v/>
      </c>
      <c r="K29" s="14">
        <f>IF('A1. Data scoring'!P143&lt;&gt;"N/A","Yes","No")</f>
        <v/>
      </c>
      <c r="L29" s="14">
        <f>IF('A1. Data scoring'!Q143&lt;&gt;"N/A","Yes","No")</f>
        <v/>
      </c>
      <c r="M29" s="14">
        <f>IF('A1. Data scoring'!R143&lt;&gt;"N/A","Yes","No")</f>
        <v/>
      </c>
      <c r="N29" s="8">
        <f>COUNTIF(C29:M29,"Yes")</f>
        <v/>
      </c>
    </row>
    <row r="30">
      <c r="B30" s="7" t="inlineStr">
        <is>
          <t>NB1(a)</t>
        </is>
      </c>
      <c r="C30" s="14">
        <f>IF('A1. Data scoring'!H149&lt;&gt;"N/A","Yes","No")</f>
        <v/>
      </c>
      <c r="D30" s="14">
        <f>IF('A1. Data scoring'!I149&lt;&gt;"N/A","Yes","No")</f>
        <v/>
      </c>
      <c r="E30" s="14">
        <f>IF('A1. Data scoring'!J149&lt;&gt;"N/A","Yes","No")</f>
        <v/>
      </c>
      <c r="F30" s="14">
        <f>IF('A1. Data scoring'!K149&lt;&gt;"N/A","Yes","No")</f>
        <v/>
      </c>
      <c r="G30" s="14">
        <f>IF('A1. Data scoring'!L149&lt;&gt;"N/A","Yes","No")</f>
        <v/>
      </c>
      <c r="H30" s="14">
        <f>IF('A1. Data scoring'!M149&lt;&gt;"N/A","Yes","No")</f>
        <v/>
      </c>
      <c r="I30" s="14">
        <f>IF('A1. Data scoring'!N149&lt;&gt;"N/A","Yes","No")</f>
        <v/>
      </c>
      <c r="J30" s="14">
        <f>IF('A1. Data scoring'!O149&lt;&gt;"N/A","Yes","No")</f>
        <v/>
      </c>
      <c r="K30" s="14">
        <f>IF('A1. Data scoring'!P149&lt;&gt;"N/A","Yes","No")</f>
        <v/>
      </c>
      <c r="L30" s="14">
        <f>IF('A1. Data scoring'!Q149&lt;&gt;"N/A","Yes","No")</f>
        <v/>
      </c>
      <c r="M30" s="14">
        <f>IF('A1. Data scoring'!R149&lt;&gt;"N/A","Yes","No")</f>
        <v/>
      </c>
      <c r="N30" s="8">
        <f>COUNTIF(C30:M30,"Yes")</f>
        <v/>
      </c>
    </row>
    <row r="31">
      <c r="B31" s="7" t="inlineStr">
        <is>
          <t>NB1(b)</t>
        </is>
      </c>
      <c r="C31" s="14">
        <f>IF('A1. Data scoring'!H155&lt;&gt;"N/A","Yes","No")</f>
        <v/>
      </c>
      <c r="D31" s="14">
        <f>IF('A1. Data scoring'!I155&lt;&gt;"N/A","Yes","No")</f>
        <v/>
      </c>
      <c r="E31" s="14">
        <f>IF('A1. Data scoring'!J155&lt;&gt;"N/A","Yes","No")</f>
        <v/>
      </c>
      <c r="F31" s="14">
        <f>IF('A1. Data scoring'!K155&lt;&gt;"N/A","Yes","No")</f>
        <v/>
      </c>
      <c r="G31" s="14">
        <f>IF('A1. Data scoring'!L155&lt;&gt;"N/A","Yes","No")</f>
        <v/>
      </c>
      <c r="H31" s="14">
        <f>IF('A1. Data scoring'!M155&lt;&gt;"N/A","Yes","No")</f>
        <v/>
      </c>
      <c r="I31" s="14">
        <f>IF('A1. Data scoring'!N155&lt;&gt;"N/A","Yes","No")</f>
        <v/>
      </c>
      <c r="J31" s="14">
        <f>IF('A1. Data scoring'!O155&lt;&gt;"N/A","Yes","No")</f>
        <v/>
      </c>
      <c r="K31" s="14">
        <f>IF('A1. Data scoring'!P155&lt;&gt;"N/A","Yes","No")</f>
        <v/>
      </c>
      <c r="L31" s="14">
        <f>IF('A1. Data scoring'!Q155&lt;&gt;"N/A","Yes","No")</f>
        <v/>
      </c>
      <c r="M31" s="14">
        <f>IF('A1. Data scoring'!R155&lt;&gt;"N/A","Yes","No")</f>
        <v/>
      </c>
      <c r="N31" s="8">
        <f>COUNTIF(C31:M31,"Yes")</f>
        <v/>
      </c>
    </row>
    <row r="32">
      <c r="B32" s="7" t="inlineStr">
        <is>
          <t>NB1(c)</t>
        </is>
      </c>
      <c r="C32" s="14">
        <f>IF('A1. Data scoring'!H161&lt;&gt;"N/A","Yes","No")</f>
        <v/>
      </c>
      <c r="D32" s="14">
        <f>IF('A1. Data scoring'!I161&lt;&gt;"N/A","Yes","No")</f>
        <v/>
      </c>
      <c r="E32" s="14">
        <f>IF('A1. Data scoring'!J161&lt;&gt;"N/A","Yes","No")</f>
        <v/>
      </c>
      <c r="F32" s="14">
        <f>IF('A1. Data scoring'!K161&lt;&gt;"N/A","Yes","No")</f>
        <v/>
      </c>
      <c r="G32" s="14">
        <f>IF('A1. Data scoring'!L161&lt;&gt;"N/A","Yes","No")</f>
        <v/>
      </c>
      <c r="H32" s="14">
        <f>IF('A1. Data scoring'!M161&lt;&gt;"N/A","Yes","No")</f>
        <v/>
      </c>
      <c r="I32" s="14">
        <f>IF('A1. Data scoring'!N161&lt;&gt;"N/A","Yes","No")</f>
        <v/>
      </c>
      <c r="J32" s="14">
        <f>IF('A1. Data scoring'!O161&lt;&gt;"N/A","Yes","No")</f>
        <v/>
      </c>
      <c r="K32" s="14">
        <f>IF('A1. Data scoring'!P161&lt;&gt;"N/A","Yes","No")</f>
        <v/>
      </c>
      <c r="L32" s="14">
        <f>IF('A1. Data scoring'!Q161&lt;&gt;"N/A","Yes","No")</f>
        <v/>
      </c>
      <c r="M32" s="14">
        <f>IF('A1. Data scoring'!R161&lt;&gt;"N/A","Yes","No")</f>
        <v/>
      </c>
      <c r="N32" s="8">
        <f>COUNTIF(C32:M32,"Yes")</f>
        <v/>
      </c>
    </row>
    <row r="33">
      <c r="B33" s="7" t="inlineStr">
        <is>
          <t>NB1(d)</t>
        </is>
      </c>
      <c r="C33" s="14">
        <f>IF('A1. Data scoring'!H167&lt;&gt;"N/A","Yes","No")</f>
        <v/>
      </c>
      <c r="D33" s="14">
        <f>IF('A1. Data scoring'!I167&lt;&gt;"N/A","Yes","No")</f>
        <v/>
      </c>
      <c r="E33" s="14">
        <f>IF('A1. Data scoring'!J167&lt;&gt;"N/A","Yes","No")</f>
        <v/>
      </c>
      <c r="F33" s="14">
        <f>IF('A1. Data scoring'!K167&lt;&gt;"N/A","Yes","No")</f>
        <v/>
      </c>
      <c r="G33" s="14">
        <f>IF('A1. Data scoring'!L167&lt;&gt;"N/A","Yes","No")</f>
        <v/>
      </c>
      <c r="H33" s="14">
        <f>IF('A1. Data scoring'!M167&lt;&gt;"N/A","Yes","No")</f>
        <v/>
      </c>
      <c r="I33" s="14">
        <f>IF('A1. Data scoring'!N167&lt;&gt;"N/A","Yes","No")</f>
        <v/>
      </c>
      <c r="J33" s="14">
        <f>IF('A1. Data scoring'!O167&lt;&gt;"N/A","Yes","No")</f>
        <v/>
      </c>
      <c r="K33" s="14">
        <f>IF('A1. Data scoring'!P167&lt;&gt;"N/A","Yes","No")</f>
        <v/>
      </c>
      <c r="L33" s="14">
        <f>IF('A1. Data scoring'!Q167&lt;&gt;"N/A","Yes","No")</f>
        <v/>
      </c>
      <c r="M33" s="14">
        <f>IF('A1. Data scoring'!R167&lt;&gt;"N/A","Yes","No")</f>
        <v/>
      </c>
      <c r="N33" s="8">
        <f>COUNTIF(C33:M33,"Yes")</f>
        <v/>
      </c>
    </row>
    <row r="34">
      <c r="B34" s="7" t="inlineStr">
        <is>
          <t>NB2(a)</t>
        </is>
      </c>
      <c r="C34" s="14">
        <f>IF('A1. Data scoring'!H173&lt;&gt;"N/A","Yes","No")</f>
        <v/>
      </c>
      <c r="D34" s="14">
        <f>IF('A1. Data scoring'!I173&lt;&gt;"N/A","Yes","No")</f>
        <v/>
      </c>
      <c r="E34" s="14">
        <f>IF('A1. Data scoring'!J173&lt;&gt;"N/A","Yes","No")</f>
        <v/>
      </c>
      <c r="F34" s="14">
        <f>IF('A1. Data scoring'!K173&lt;&gt;"N/A","Yes","No")</f>
        <v/>
      </c>
      <c r="G34" s="14">
        <f>IF('A1. Data scoring'!L173&lt;&gt;"N/A","Yes","No")</f>
        <v/>
      </c>
      <c r="H34" s="14">
        <f>IF('A1. Data scoring'!M173&lt;&gt;"N/A","Yes","No")</f>
        <v/>
      </c>
      <c r="I34" s="14">
        <f>IF('A1. Data scoring'!N173&lt;&gt;"N/A","Yes","No")</f>
        <v/>
      </c>
      <c r="J34" s="14">
        <f>IF('A1. Data scoring'!O173&lt;&gt;"N/A","Yes","No")</f>
        <v/>
      </c>
      <c r="K34" s="14">
        <f>IF('A1. Data scoring'!P173&lt;&gt;"N/A","Yes","No")</f>
        <v/>
      </c>
      <c r="L34" s="14">
        <f>IF('A1. Data scoring'!Q173&lt;&gt;"N/A","Yes","No")</f>
        <v/>
      </c>
      <c r="M34" s="14">
        <f>IF('A1. Data scoring'!R173&lt;&gt;"N/A","Yes","No")</f>
        <v/>
      </c>
      <c r="N34" s="8">
        <f>COUNTIF(C34:M34,"Yes")</f>
        <v/>
      </c>
    </row>
    <row r="35">
      <c r="B35" s="7" t="inlineStr">
        <is>
          <t>NB2(b)</t>
        </is>
      </c>
      <c r="C35" s="14">
        <f>IF('A1. Data scoring'!H179&lt;&gt;"N/A","Yes","No")</f>
        <v/>
      </c>
      <c r="D35" s="14">
        <f>IF('A1. Data scoring'!I179&lt;&gt;"N/A","Yes","No")</f>
        <v/>
      </c>
      <c r="E35" s="14">
        <f>IF('A1. Data scoring'!J179&lt;&gt;"N/A","Yes","No")</f>
        <v/>
      </c>
      <c r="F35" s="14">
        <f>IF('A1. Data scoring'!K179&lt;&gt;"N/A","Yes","No")</f>
        <v/>
      </c>
      <c r="G35" s="14">
        <f>IF('A1. Data scoring'!L179&lt;&gt;"N/A","Yes","No")</f>
        <v/>
      </c>
      <c r="H35" s="14">
        <f>IF('A1. Data scoring'!M179&lt;&gt;"N/A","Yes","No")</f>
        <v/>
      </c>
      <c r="I35" s="14">
        <f>IF('A1. Data scoring'!N179&lt;&gt;"N/A","Yes","No")</f>
        <v/>
      </c>
      <c r="J35" s="14">
        <f>IF('A1. Data scoring'!O179&lt;&gt;"N/A","Yes","No")</f>
        <v/>
      </c>
      <c r="K35" s="14">
        <f>IF('A1. Data scoring'!P179&lt;&gt;"N/A","Yes","No")</f>
        <v/>
      </c>
      <c r="L35" s="14">
        <f>IF('A1. Data scoring'!Q179&lt;&gt;"N/A","Yes","No")</f>
        <v/>
      </c>
      <c r="M35" s="14">
        <f>IF('A1. Data scoring'!R179&lt;&gt;"N/A","Yes","No")</f>
        <v/>
      </c>
      <c r="N35" s="8">
        <f>COUNTIF(C35:M35,"Yes")</f>
        <v/>
      </c>
    </row>
    <row r="36">
      <c r="B36" s="7" t="inlineStr">
        <is>
          <t>NB2(c)</t>
        </is>
      </c>
      <c r="C36" s="14">
        <f>IF('A1. Data scoring'!H185&lt;&gt;"N/A","Yes","No")</f>
        <v/>
      </c>
      <c r="D36" s="14">
        <f>IF('A1. Data scoring'!I185&lt;&gt;"N/A","Yes","No")</f>
        <v/>
      </c>
      <c r="E36" s="14">
        <f>IF('A1. Data scoring'!J185&lt;&gt;"N/A","Yes","No")</f>
        <v/>
      </c>
      <c r="F36" s="14">
        <f>IF('A1. Data scoring'!K185&lt;&gt;"N/A","Yes","No")</f>
        <v/>
      </c>
      <c r="G36" s="14">
        <f>IF('A1. Data scoring'!L185&lt;&gt;"N/A","Yes","No")</f>
        <v/>
      </c>
      <c r="H36" s="14">
        <f>IF('A1. Data scoring'!M185&lt;&gt;"N/A","Yes","No")</f>
        <v/>
      </c>
      <c r="I36" s="14">
        <f>IF('A1. Data scoring'!N185&lt;&gt;"N/A","Yes","No")</f>
        <v/>
      </c>
      <c r="J36" s="14">
        <f>IF('A1. Data scoring'!O185&lt;&gt;"N/A","Yes","No")</f>
        <v/>
      </c>
      <c r="K36" s="14">
        <f>IF('A1. Data scoring'!P185&lt;&gt;"N/A","Yes","No")</f>
        <v/>
      </c>
      <c r="L36" s="14">
        <f>IF('A1. Data scoring'!Q185&lt;&gt;"N/A","Yes","No")</f>
        <v/>
      </c>
      <c r="M36" s="14">
        <f>IF('A1. Data scoring'!R185&lt;&gt;"N/A","Yes","No")</f>
        <v/>
      </c>
      <c r="N36" s="8">
        <f>COUNTIF(C36:M36,"Yes")</f>
        <v/>
      </c>
    </row>
    <row r="37">
      <c r="B37" s="7" t="inlineStr">
        <is>
          <t>AI1(a)</t>
        </is>
      </c>
      <c r="C37" s="14">
        <f>IF('A1. Data scoring'!H191&lt;&gt;"N/A","Yes","No")</f>
        <v/>
      </c>
      <c r="D37" s="14">
        <f>IF('A1. Data scoring'!I191&lt;&gt;"N/A","Yes","No")</f>
        <v/>
      </c>
      <c r="E37" s="14">
        <f>IF('A1. Data scoring'!J191&lt;&gt;"N/A","Yes","No")</f>
        <v/>
      </c>
      <c r="F37" s="14">
        <f>IF('A1. Data scoring'!K191&lt;&gt;"N/A","Yes","No")</f>
        <v/>
      </c>
      <c r="G37" s="14">
        <f>IF('A1. Data scoring'!L191&lt;&gt;"N/A","Yes","No")</f>
        <v/>
      </c>
      <c r="H37" s="14">
        <f>IF('A1. Data scoring'!M191&lt;&gt;"N/A","Yes","No")</f>
        <v/>
      </c>
      <c r="I37" s="14">
        <f>IF('A1. Data scoring'!N191&lt;&gt;"N/A","Yes","No")</f>
        <v/>
      </c>
      <c r="J37" s="14">
        <f>IF('A1. Data scoring'!O191&lt;&gt;"N/A","Yes","No")</f>
        <v/>
      </c>
      <c r="K37" s="14">
        <f>IF('A1. Data scoring'!P191&lt;&gt;"N/A","Yes","No")</f>
        <v/>
      </c>
      <c r="L37" s="14">
        <f>IF('A1. Data scoring'!Q191&lt;&gt;"N/A","Yes","No")</f>
        <v/>
      </c>
      <c r="M37" s="14">
        <f>IF('A1. Data scoring'!R191&lt;&gt;"N/A","Yes","No")</f>
        <v/>
      </c>
      <c r="N37" s="8">
        <f>COUNTIF(C37:M37,"Yes")</f>
        <v/>
      </c>
    </row>
    <row r="38">
      <c r="B38" s="7" t="inlineStr">
        <is>
          <t>AI1(b)</t>
        </is>
      </c>
      <c r="C38" s="14">
        <f>IF('A1. Data scoring'!H197&lt;&gt;"N/A","Yes","No")</f>
        <v/>
      </c>
      <c r="D38" s="14">
        <f>IF('A1. Data scoring'!I197&lt;&gt;"N/A","Yes","No")</f>
        <v/>
      </c>
      <c r="E38" s="14">
        <f>IF('A1. Data scoring'!J197&lt;&gt;"N/A","Yes","No")</f>
        <v/>
      </c>
      <c r="F38" s="14">
        <f>IF('A1. Data scoring'!K197&lt;&gt;"N/A","Yes","No")</f>
        <v/>
      </c>
      <c r="G38" s="14">
        <f>IF('A1. Data scoring'!L197&lt;&gt;"N/A","Yes","No")</f>
        <v/>
      </c>
      <c r="H38" s="14">
        <f>IF('A1. Data scoring'!M197&lt;&gt;"N/A","Yes","No")</f>
        <v/>
      </c>
      <c r="I38" s="14">
        <f>IF('A1. Data scoring'!N197&lt;&gt;"N/A","Yes","No")</f>
        <v/>
      </c>
      <c r="J38" s="14">
        <f>IF('A1. Data scoring'!O197&lt;&gt;"N/A","Yes","No")</f>
        <v/>
      </c>
      <c r="K38" s="14">
        <f>IF('A1. Data scoring'!P197&lt;&gt;"N/A","Yes","No")</f>
        <v/>
      </c>
      <c r="L38" s="14">
        <f>IF('A1. Data scoring'!Q197&lt;&gt;"N/A","Yes","No")</f>
        <v/>
      </c>
      <c r="M38" s="14">
        <f>IF('A1. Data scoring'!R197&lt;&gt;"N/A","Yes","No")</f>
        <v/>
      </c>
      <c r="N38" s="8">
        <f>COUNTIF(C38:M38,"Yes")</f>
        <v/>
      </c>
    </row>
    <row r="39">
      <c r="B39" s="7" t="inlineStr">
        <is>
          <t>EI1(a)</t>
        </is>
      </c>
      <c r="C39" s="14">
        <f>IF('A1. Data scoring'!H203&lt;&gt;"N/A","Yes","No")</f>
        <v/>
      </c>
      <c r="D39" s="14">
        <f>IF('A1. Data scoring'!I203&lt;&gt;"N/A","Yes","No")</f>
        <v/>
      </c>
      <c r="E39" s="14">
        <f>IF('A1. Data scoring'!J203&lt;&gt;"N/A","Yes","No")</f>
        <v/>
      </c>
      <c r="F39" s="14">
        <f>IF('A1. Data scoring'!K203&lt;&gt;"N/A","Yes","No")</f>
        <v/>
      </c>
      <c r="G39" s="14">
        <f>IF('A1. Data scoring'!L203&lt;&gt;"N/A","Yes","No")</f>
        <v/>
      </c>
      <c r="H39" s="14">
        <f>IF('A1. Data scoring'!M203&lt;&gt;"N/A","Yes","No")</f>
        <v/>
      </c>
      <c r="I39" s="14">
        <f>IF('A1. Data scoring'!N203&lt;&gt;"N/A","Yes","No")</f>
        <v/>
      </c>
      <c r="J39" s="14">
        <f>IF('A1. Data scoring'!O203&lt;&gt;"N/A","Yes","No")</f>
        <v/>
      </c>
      <c r="K39" s="14">
        <f>IF('A1. Data scoring'!P203&lt;&gt;"N/A","Yes","No")</f>
        <v/>
      </c>
      <c r="L39" s="14">
        <f>IF('A1. Data scoring'!Q203&lt;&gt;"N/A","Yes","No")</f>
        <v/>
      </c>
      <c r="M39" s="14">
        <f>IF('A1. Data scoring'!R203&lt;&gt;"N/A","Yes","No")</f>
        <v/>
      </c>
      <c r="N39" s="8">
        <f>COUNTIF(C39:M39,"Yes")</f>
        <v/>
      </c>
    </row>
    <row r="40">
      <c r="B40" s="7" t="inlineStr">
        <is>
          <t>EI1(b)</t>
        </is>
      </c>
      <c r="C40" s="14">
        <f>IF('A1. Data scoring'!H209&lt;&gt;"N/A","Yes","No")</f>
        <v/>
      </c>
      <c r="D40" s="14">
        <f>IF('A1. Data scoring'!I209&lt;&gt;"N/A","Yes","No")</f>
        <v/>
      </c>
      <c r="E40" s="14">
        <f>IF('A1. Data scoring'!J209&lt;&gt;"N/A","Yes","No")</f>
        <v/>
      </c>
      <c r="F40" s="14">
        <f>IF('A1. Data scoring'!K209&lt;&gt;"N/A","Yes","No")</f>
        <v/>
      </c>
      <c r="G40" s="14">
        <f>IF('A1. Data scoring'!L209&lt;&gt;"N/A","Yes","No")</f>
        <v/>
      </c>
      <c r="H40" s="14">
        <f>IF('A1. Data scoring'!M209&lt;&gt;"N/A","Yes","No")</f>
        <v/>
      </c>
      <c r="I40" s="14">
        <f>IF('A1. Data scoring'!N209&lt;&gt;"N/A","Yes","No")</f>
        <v/>
      </c>
      <c r="J40" s="14">
        <f>IF('A1. Data scoring'!O209&lt;&gt;"N/A","Yes","No")</f>
        <v/>
      </c>
      <c r="K40" s="14">
        <f>IF('A1. Data scoring'!P209&lt;&gt;"N/A","Yes","No")</f>
        <v/>
      </c>
      <c r="L40" s="14">
        <f>IF('A1. Data scoring'!Q209&lt;&gt;"N/A","Yes","No")</f>
        <v/>
      </c>
      <c r="M40" s="14">
        <f>IF('A1. Data scoring'!R209&lt;&gt;"N/A","Yes","No")</f>
        <v/>
      </c>
      <c r="N40" s="8">
        <f>COUNTIF(C40:M40,"Yes")</f>
        <v/>
      </c>
    </row>
    <row r="41">
      <c r="B41" s="7" t="inlineStr">
        <is>
          <t>EI1(c)</t>
        </is>
      </c>
      <c r="C41" s="14">
        <f>IF('A1. Data scoring'!H215&lt;&gt;"N/A","Yes","No")</f>
        <v/>
      </c>
      <c r="D41" s="14">
        <f>IF('A1. Data scoring'!I215&lt;&gt;"N/A","Yes","No")</f>
        <v/>
      </c>
      <c r="E41" s="14">
        <f>IF('A1. Data scoring'!J215&lt;&gt;"N/A","Yes","No")</f>
        <v/>
      </c>
      <c r="F41" s="14">
        <f>IF('A1. Data scoring'!K215&lt;&gt;"N/A","Yes","No")</f>
        <v/>
      </c>
      <c r="G41" s="14">
        <f>IF('A1. Data scoring'!L215&lt;&gt;"N/A","Yes","No")</f>
        <v/>
      </c>
      <c r="H41" s="14">
        <f>IF('A1. Data scoring'!M215&lt;&gt;"N/A","Yes","No")</f>
        <v/>
      </c>
      <c r="I41" s="14">
        <f>IF('A1. Data scoring'!N215&lt;&gt;"N/A","Yes","No")</f>
        <v/>
      </c>
      <c r="J41" s="14">
        <f>IF('A1. Data scoring'!O215&lt;&gt;"N/A","Yes","No")</f>
        <v/>
      </c>
      <c r="K41" s="14">
        <f>IF('A1. Data scoring'!P215&lt;&gt;"N/A","Yes","No")</f>
        <v/>
      </c>
      <c r="L41" s="14">
        <f>IF('A1. Data scoring'!Q215&lt;&gt;"N/A","Yes","No")</f>
        <v/>
      </c>
      <c r="M41" s="14">
        <f>IF('A1. Data scoring'!R215&lt;&gt;"N/A","Yes","No")</f>
        <v/>
      </c>
      <c r="N41" s="8">
        <f>COUNTIF(C41:M41,"Yes")</f>
        <v/>
      </c>
    </row>
    <row r="42">
      <c r="B42" s="7" t="inlineStr">
        <is>
          <t>EI1(d)</t>
        </is>
      </c>
      <c r="C42" s="14">
        <f>IF('A1. Data scoring'!H221&lt;&gt;"N/A","Yes","No")</f>
        <v/>
      </c>
      <c r="D42" s="14">
        <f>IF('A1. Data scoring'!I221&lt;&gt;"N/A","Yes","No")</f>
        <v/>
      </c>
      <c r="E42" s="14">
        <f>IF('A1. Data scoring'!J221&lt;&gt;"N/A","Yes","No")</f>
        <v/>
      </c>
      <c r="F42" s="14">
        <f>IF('A1. Data scoring'!K221&lt;&gt;"N/A","Yes","No")</f>
        <v/>
      </c>
      <c r="G42" s="14">
        <f>IF('A1. Data scoring'!L221&lt;&gt;"N/A","Yes","No")</f>
        <v/>
      </c>
      <c r="H42" s="14">
        <f>IF('A1. Data scoring'!M221&lt;&gt;"N/A","Yes","No")</f>
        <v/>
      </c>
      <c r="I42" s="14">
        <f>IF('A1. Data scoring'!N221&lt;&gt;"N/A","Yes","No")</f>
        <v/>
      </c>
      <c r="J42" s="14">
        <f>IF('A1. Data scoring'!O221&lt;&gt;"N/A","Yes","No")</f>
        <v/>
      </c>
      <c r="K42" s="14">
        <f>IF('A1. Data scoring'!P221&lt;&gt;"N/A","Yes","No")</f>
        <v/>
      </c>
      <c r="L42" s="14">
        <f>IF('A1. Data scoring'!Q221&lt;&gt;"N/A","Yes","No")</f>
        <v/>
      </c>
      <c r="M42" s="14">
        <f>IF('A1. Data scoring'!R221&lt;&gt;"N/A","Yes","No")</f>
        <v/>
      </c>
      <c r="N42" s="8">
        <f>COUNTIF(C42:M42,"Yes")</f>
        <v/>
      </c>
    </row>
    <row r="43">
      <c r="B43" s="7" t="inlineStr">
        <is>
          <t>CE1(a)</t>
        </is>
      </c>
      <c r="C43" s="14">
        <f>IF('A1. Data scoring'!H227&lt;&gt;"N/A","Yes","No")</f>
        <v/>
      </c>
      <c r="D43" s="14">
        <f>IF('A1. Data scoring'!I227&lt;&gt;"N/A","Yes","No")</f>
        <v/>
      </c>
      <c r="E43" s="14">
        <f>IF('A1. Data scoring'!J227&lt;&gt;"N/A","Yes","No")</f>
        <v/>
      </c>
      <c r="F43" s="14">
        <f>IF('A1. Data scoring'!K227&lt;&gt;"N/A","Yes","No")</f>
        <v/>
      </c>
      <c r="G43" s="14">
        <f>IF('A1. Data scoring'!L227&lt;&gt;"N/A","Yes","No")</f>
        <v/>
      </c>
      <c r="H43" s="14">
        <f>IF('A1. Data scoring'!M227&lt;&gt;"N/A","Yes","No")</f>
        <v/>
      </c>
      <c r="I43" s="14">
        <f>IF('A1. Data scoring'!N227&lt;&gt;"N/A","Yes","No")</f>
        <v/>
      </c>
      <c r="J43" s="14">
        <f>IF('A1. Data scoring'!O227&lt;&gt;"N/A","Yes","No")</f>
        <v/>
      </c>
      <c r="K43" s="14">
        <f>IF('A1. Data scoring'!P227&lt;&gt;"N/A","Yes","No")</f>
        <v/>
      </c>
      <c r="L43" s="14">
        <f>IF('A1. Data scoring'!Q227&lt;&gt;"N/A","Yes","No")</f>
        <v/>
      </c>
      <c r="M43" s="14">
        <f>IF('A1. Data scoring'!R227&lt;&gt;"N/A","Yes","No")</f>
        <v/>
      </c>
      <c r="N43" s="8">
        <f>COUNTIF(C43:M43,"Yes")</f>
        <v/>
      </c>
    </row>
    <row r="44">
      <c r="B44" s="7" t="inlineStr">
        <is>
          <t>CE2(a)</t>
        </is>
      </c>
      <c r="C44" s="14">
        <f>IF('A1. Data scoring'!H233&lt;&gt;"N/A","Yes","No")</f>
        <v/>
      </c>
      <c r="D44" s="14">
        <f>IF('A1. Data scoring'!I233&lt;&gt;"N/A","Yes","No")</f>
        <v/>
      </c>
      <c r="E44" s="14">
        <f>IF('A1. Data scoring'!J233&lt;&gt;"N/A","Yes","No")</f>
        <v/>
      </c>
      <c r="F44" s="14">
        <f>IF('A1. Data scoring'!K233&lt;&gt;"N/A","Yes","No")</f>
        <v/>
      </c>
      <c r="G44" s="14">
        <f>IF('A1. Data scoring'!L233&lt;&gt;"N/A","Yes","No")</f>
        <v/>
      </c>
      <c r="H44" s="14">
        <f>IF('A1. Data scoring'!M233&lt;&gt;"N/A","Yes","No")</f>
        <v/>
      </c>
      <c r="I44" s="14">
        <f>IF('A1. Data scoring'!N233&lt;&gt;"N/A","Yes","No")</f>
        <v/>
      </c>
      <c r="J44" s="14">
        <f>IF('A1. Data scoring'!O233&lt;&gt;"N/A","Yes","No")</f>
        <v/>
      </c>
      <c r="K44" s="14">
        <f>IF('A1. Data scoring'!P233&lt;&gt;"N/A","Yes","No")</f>
        <v/>
      </c>
      <c r="L44" s="14">
        <f>IF('A1. Data scoring'!Q233&lt;&gt;"N/A","Yes","No")</f>
        <v/>
      </c>
      <c r="M44" s="14">
        <f>IF('A1. Data scoring'!R233&lt;&gt;"N/A","Yes","No")</f>
        <v/>
      </c>
      <c r="N44" s="8">
        <f>COUNTIF(C44:M44,"Yes")</f>
        <v/>
      </c>
    </row>
    <row r="45">
      <c r="B45" s="7" t="inlineStr">
        <is>
          <t>RP1(a)</t>
        </is>
      </c>
      <c r="C45" s="14">
        <f>IF('A1. Data scoring'!H239&lt;&gt;"N/A","Yes","No")</f>
        <v/>
      </c>
      <c r="D45" s="14">
        <f>IF('A1. Data scoring'!I239&lt;&gt;"N/A","Yes","No")</f>
        <v/>
      </c>
      <c r="E45" s="14">
        <f>IF('A1. Data scoring'!J239&lt;&gt;"N/A","Yes","No")</f>
        <v/>
      </c>
      <c r="F45" s="14">
        <f>IF('A1. Data scoring'!K239&lt;&gt;"N/A","Yes","No")</f>
        <v/>
      </c>
      <c r="G45" s="14">
        <f>IF('A1. Data scoring'!L239&lt;&gt;"N/A","Yes","No")</f>
        <v/>
      </c>
      <c r="H45" s="14">
        <f>IF('A1. Data scoring'!M239&lt;&gt;"N/A","Yes","No")</f>
        <v/>
      </c>
      <c r="I45" s="14">
        <f>IF('A1. Data scoring'!N239&lt;&gt;"N/A","Yes","No")</f>
        <v/>
      </c>
      <c r="J45" s="14">
        <f>IF('A1. Data scoring'!O239&lt;&gt;"N/A","Yes","No")</f>
        <v/>
      </c>
      <c r="K45" s="14">
        <f>IF('A1. Data scoring'!P239&lt;&gt;"N/A","Yes","No")</f>
        <v/>
      </c>
      <c r="L45" s="14">
        <f>IF('A1. Data scoring'!Q239&lt;&gt;"N/A","Yes","No")</f>
        <v/>
      </c>
      <c r="M45" s="14">
        <f>IF('A1. Data scoring'!R239&lt;&gt;"N/A","Yes","No")</f>
        <v/>
      </c>
      <c r="N45" s="8">
        <f>COUNTIF(C45:M45,"Yes")</f>
        <v/>
      </c>
    </row>
    <row r="46">
      <c r="B46" s="7" t="inlineStr">
        <is>
          <t>RP2(a)</t>
        </is>
      </c>
      <c r="C46" s="14">
        <f>IF('A1. Data scoring'!H245&lt;&gt;"N/A","Yes","No")</f>
        <v/>
      </c>
      <c r="D46" s="14">
        <f>IF('A1. Data scoring'!I245&lt;&gt;"N/A","Yes","No")</f>
        <v/>
      </c>
      <c r="E46" s="14">
        <f>IF('A1. Data scoring'!J245&lt;&gt;"N/A","Yes","No")</f>
        <v/>
      </c>
      <c r="F46" s="14">
        <f>IF('A1. Data scoring'!K245&lt;&gt;"N/A","Yes","No")</f>
        <v/>
      </c>
      <c r="G46" s="14">
        <f>IF('A1. Data scoring'!L245&lt;&gt;"N/A","Yes","No")</f>
        <v/>
      </c>
      <c r="H46" s="14">
        <f>IF('A1. Data scoring'!M245&lt;&gt;"N/A","Yes","No")</f>
        <v/>
      </c>
      <c r="I46" s="14">
        <f>IF('A1. Data scoring'!N245&lt;&gt;"N/A","Yes","No")</f>
        <v/>
      </c>
      <c r="J46" s="14">
        <f>IF('A1. Data scoring'!O245&lt;&gt;"N/A","Yes","No")</f>
        <v/>
      </c>
      <c r="K46" s="14">
        <f>IF('A1. Data scoring'!P245&lt;&gt;"N/A","Yes","No")</f>
        <v/>
      </c>
      <c r="L46" s="14">
        <f>IF('A1. Data scoring'!Q245&lt;&gt;"N/A","Yes","No")</f>
        <v/>
      </c>
      <c r="M46" s="14">
        <f>IF('A1. Data scoring'!R245&lt;&gt;"N/A","Yes","No")</f>
        <v/>
      </c>
      <c r="N46" s="8">
        <f>COUNTIF(C46:M46,"Yes")</f>
        <v/>
      </c>
    </row>
    <row r="47">
      <c r="B47" s="7" t="inlineStr">
        <is>
          <t>RP2(b)</t>
        </is>
      </c>
      <c r="C47" s="14">
        <f>IF('A1. Data scoring'!H251&lt;&gt;"N/A","Yes","No")</f>
        <v/>
      </c>
      <c r="D47" s="14">
        <f>IF('A1. Data scoring'!I251&lt;&gt;"N/A","Yes","No")</f>
        <v/>
      </c>
      <c r="E47" s="14">
        <f>IF('A1. Data scoring'!J251&lt;&gt;"N/A","Yes","No")</f>
        <v/>
      </c>
      <c r="F47" s="14">
        <f>IF('A1. Data scoring'!K251&lt;&gt;"N/A","Yes","No")</f>
        <v/>
      </c>
      <c r="G47" s="14">
        <f>IF('A1. Data scoring'!L251&lt;&gt;"N/A","Yes","No")</f>
        <v/>
      </c>
      <c r="H47" s="14">
        <f>IF('A1. Data scoring'!M251&lt;&gt;"N/A","Yes","No")</f>
        <v/>
      </c>
      <c r="I47" s="14">
        <f>IF('A1. Data scoring'!N251&lt;&gt;"N/A","Yes","No")</f>
        <v/>
      </c>
      <c r="J47" s="14">
        <f>IF('A1. Data scoring'!O251&lt;&gt;"N/A","Yes","No")</f>
        <v/>
      </c>
      <c r="K47" s="14">
        <f>IF('A1. Data scoring'!P251&lt;&gt;"N/A","Yes","No")</f>
        <v/>
      </c>
      <c r="L47" s="14">
        <f>IF('A1. Data scoring'!Q251&lt;&gt;"N/A","Yes","No")</f>
        <v/>
      </c>
      <c r="M47" s="14">
        <f>IF('A1. Data scoring'!R251&lt;&gt;"N/A","Yes","No")</f>
        <v/>
      </c>
      <c r="N47" s="8">
        <f>COUNTIF(C47:M47,"Yes")</f>
        <v/>
      </c>
    </row>
    <row r="48">
      <c r="B48" s="7" t="inlineStr">
        <is>
          <t>MS1(a)</t>
        </is>
      </c>
      <c r="C48" s="14">
        <f>IF('A1. Data scoring'!H257&lt;&gt;"N/A","Yes","No")</f>
        <v/>
      </c>
      <c r="D48" s="14">
        <f>IF('A1. Data scoring'!I257&lt;&gt;"N/A","Yes","No")</f>
        <v/>
      </c>
      <c r="E48" s="14">
        <f>IF('A1. Data scoring'!J257&lt;&gt;"N/A","Yes","No")</f>
        <v/>
      </c>
      <c r="F48" s="14">
        <f>IF('A1. Data scoring'!K257&lt;&gt;"N/A","Yes","No")</f>
        <v/>
      </c>
      <c r="G48" s="14">
        <f>IF('A1. Data scoring'!L257&lt;&gt;"N/A","Yes","No")</f>
        <v/>
      </c>
      <c r="H48" s="14">
        <f>IF('A1. Data scoring'!M257&lt;&gt;"N/A","Yes","No")</f>
        <v/>
      </c>
      <c r="I48" s="14">
        <f>IF('A1. Data scoring'!N257&lt;&gt;"N/A","Yes","No")</f>
        <v/>
      </c>
      <c r="J48" s="14">
        <f>IF('A1. Data scoring'!O257&lt;&gt;"N/A","Yes","No")</f>
        <v/>
      </c>
      <c r="K48" s="14">
        <f>IF('A1. Data scoring'!P257&lt;&gt;"N/A","Yes","No")</f>
        <v/>
      </c>
      <c r="L48" s="14">
        <f>IF('A1. Data scoring'!Q257&lt;&gt;"N/A","Yes","No")</f>
        <v/>
      </c>
      <c r="M48" s="14">
        <f>IF('A1. Data scoring'!R257&lt;&gt;"N/A","Yes","No")</f>
        <v/>
      </c>
      <c r="N48" s="8">
        <f>COUNTIF(C48:M48,"Yes")</f>
        <v/>
      </c>
    </row>
    <row r="49">
      <c r="B49" s="7" t="inlineStr">
        <is>
          <t>RI1(a)</t>
        </is>
      </c>
      <c r="C49" s="14">
        <f>IF('A1. Data scoring'!H263&lt;&gt;"N/A","Yes","No")</f>
        <v/>
      </c>
      <c r="D49" s="14">
        <f>IF('A1. Data scoring'!I263&lt;&gt;"N/A","Yes","No")</f>
        <v/>
      </c>
      <c r="E49" s="14">
        <f>IF('A1. Data scoring'!J263&lt;&gt;"N/A","Yes","No")</f>
        <v/>
      </c>
      <c r="F49" s="14">
        <f>IF('A1. Data scoring'!K263&lt;&gt;"N/A","Yes","No")</f>
        <v/>
      </c>
      <c r="G49" s="14">
        <f>IF('A1. Data scoring'!L263&lt;&gt;"N/A","Yes","No")</f>
        <v/>
      </c>
      <c r="H49" s="14">
        <f>IF('A1. Data scoring'!M263&lt;&gt;"N/A","Yes","No")</f>
        <v/>
      </c>
      <c r="I49" s="14">
        <f>IF('A1. Data scoring'!N263&lt;&gt;"N/A","Yes","No")</f>
        <v/>
      </c>
      <c r="J49" s="14">
        <f>IF('A1. Data scoring'!O263&lt;&gt;"N/A","Yes","No")</f>
        <v/>
      </c>
      <c r="K49" s="14">
        <f>IF('A1. Data scoring'!P263&lt;&gt;"N/A","Yes","No")</f>
        <v/>
      </c>
      <c r="L49" s="14">
        <f>IF('A1. Data scoring'!Q263&lt;&gt;"N/A","Yes","No")</f>
        <v/>
      </c>
      <c r="M49" s="14">
        <f>IF('A1. Data scoring'!R263&lt;&gt;"N/A","Yes","No")</f>
        <v/>
      </c>
      <c r="N49" s="8">
        <f>COUNTIF(C49:M49,"Yes")</f>
        <v/>
      </c>
    </row>
    <row r="50">
      <c r="B50" s="7" t="inlineStr">
        <is>
          <t>RI1(b)</t>
        </is>
      </c>
      <c r="C50" s="14">
        <f>IF('A1. Data scoring'!H269&lt;&gt;"N/A","Yes","No")</f>
        <v/>
      </c>
      <c r="D50" s="14">
        <f>IF('A1. Data scoring'!I269&lt;&gt;"N/A","Yes","No")</f>
        <v/>
      </c>
      <c r="E50" s="14">
        <f>IF('A1. Data scoring'!J269&lt;&gt;"N/A","Yes","No")</f>
        <v/>
      </c>
      <c r="F50" s="14">
        <f>IF('A1. Data scoring'!K269&lt;&gt;"N/A","Yes","No")</f>
        <v/>
      </c>
      <c r="G50" s="14">
        <f>IF('A1. Data scoring'!L269&lt;&gt;"N/A","Yes","No")</f>
        <v/>
      </c>
      <c r="H50" s="14">
        <f>IF('A1. Data scoring'!M269&lt;&gt;"N/A","Yes","No")</f>
        <v/>
      </c>
      <c r="I50" s="14">
        <f>IF('A1. Data scoring'!N269&lt;&gt;"N/A","Yes","No")</f>
        <v/>
      </c>
      <c r="J50" s="14">
        <f>IF('A1. Data scoring'!O269&lt;&gt;"N/A","Yes","No")</f>
        <v/>
      </c>
      <c r="K50" s="14">
        <f>IF('A1. Data scoring'!P269&lt;&gt;"N/A","Yes","No")</f>
        <v/>
      </c>
      <c r="L50" s="14">
        <f>IF('A1. Data scoring'!Q269&lt;&gt;"N/A","Yes","No")</f>
        <v/>
      </c>
      <c r="M50" s="14">
        <f>IF('A1. Data scoring'!R269&lt;&gt;"N/A","Yes","No")</f>
        <v/>
      </c>
      <c r="N50" s="8">
        <f>COUNTIF(C50:M50,"Yes")</f>
        <v/>
      </c>
    </row>
    <row r="51">
      <c r="B51" s="7" t="inlineStr">
        <is>
          <t>EN1(a)</t>
        </is>
      </c>
      <c r="C51" s="14">
        <f>IF('A1. Data scoring'!H275&lt;&gt;"N/A","Yes","No")</f>
        <v/>
      </c>
      <c r="D51" s="14">
        <f>IF('A1. Data scoring'!I275&lt;&gt;"N/A","Yes","No")</f>
        <v/>
      </c>
      <c r="E51" s="14">
        <f>IF('A1. Data scoring'!J275&lt;&gt;"N/A","Yes","No")</f>
        <v/>
      </c>
      <c r="F51" s="14">
        <f>IF('A1. Data scoring'!K275&lt;&gt;"N/A","Yes","No")</f>
        <v/>
      </c>
      <c r="G51" s="14">
        <f>IF('A1. Data scoring'!L275&lt;&gt;"N/A","Yes","No")</f>
        <v/>
      </c>
      <c r="H51" s="14">
        <f>IF('A1. Data scoring'!M275&lt;&gt;"N/A","Yes","No")</f>
        <v/>
      </c>
      <c r="I51" s="14">
        <f>IF('A1. Data scoring'!N275&lt;&gt;"N/A","Yes","No")</f>
        <v/>
      </c>
      <c r="J51" s="14">
        <f>IF('A1. Data scoring'!O275&lt;&gt;"N/A","Yes","No")</f>
        <v/>
      </c>
      <c r="K51" s="14">
        <f>IF('A1. Data scoring'!P275&lt;&gt;"N/A","Yes","No")</f>
        <v/>
      </c>
      <c r="L51" s="14">
        <f>IF('A1. Data scoring'!Q275&lt;&gt;"N/A","Yes","No")</f>
        <v/>
      </c>
      <c r="M51" s="14">
        <f>IF('A1. Data scoring'!R275&lt;&gt;"N/A","Yes","No")</f>
        <v/>
      </c>
      <c r="N51" s="8">
        <f>COUNTIF(C51:M51,"Yes")</f>
        <v/>
      </c>
    </row>
    <row r="52">
      <c r="B52" s="7" t="inlineStr">
        <is>
          <t>EN1(b)</t>
        </is>
      </c>
      <c r="C52" s="14">
        <f>IF('A1. Data scoring'!H281&lt;&gt;"N/A","Yes","No")</f>
        <v/>
      </c>
      <c r="D52" s="14">
        <f>IF('A1. Data scoring'!I281&lt;&gt;"N/A","Yes","No")</f>
        <v/>
      </c>
      <c r="E52" s="14">
        <f>IF('A1. Data scoring'!J281&lt;&gt;"N/A","Yes","No")</f>
        <v/>
      </c>
      <c r="F52" s="14">
        <f>IF('A1. Data scoring'!K281&lt;&gt;"N/A","Yes","No")</f>
        <v/>
      </c>
      <c r="G52" s="14">
        <f>IF('A1. Data scoring'!L281&lt;&gt;"N/A","Yes","No")</f>
        <v/>
      </c>
      <c r="H52" s="14">
        <f>IF('A1. Data scoring'!M281&lt;&gt;"N/A","Yes","No")</f>
        <v/>
      </c>
      <c r="I52" s="14">
        <f>IF('A1. Data scoring'!N281&lt;&gt;"N/A","Yes","No")</f>
        <v/>
      </c>
      <c r="J52" s="14">
        <f>IF('A1. Data scoring'!O281&lt;&gt;"N/A","Yes","No")</f>
        <v/>
      </c>
      <c r="K52" s="14">
        <f>IF('A1. Data scoring'!P281&lt;&gt;"N/A","Yes","No")</f>
        <v/>
      </c>
      <c r="L52" s="14">
        <f>IF('A1. Data scoring'!Q281&lt;&gt;"N/A","Yes","No")</f>
        <v/>
      </c>
      <c r="M52" s="14">
        <f>IF('A1. Data scoring'!R281&lt;&gt;"N/A","Yes","No")</f>
        <v/>
      </c>
      <c r="N52" s="8">
        <f>COUNTIF(C52:M52,"Yes")</f>
        <v/>
      </c>
    </row>
    <row r="53">
      <c r="B53" s="7" t="inlineStr">
        <is>
          <t>EN1(c)</t>
        </is>
      </c>
      <c r="C53" s="14">
        <f>IF('A1. Data scoring'!H287&lt;&gt;"N/A","Yes","No")</f>
        <v/>
      </c>
      <c r="D53" s="14">
        <f>IF('A1. Data scoring'!I287&lt;&gt;"N/A","Yes","No")</f>
        <v/>
      </c>
      <c r="E53" s="14">
        <f>IF('A1. Data scoring'!J287&lt;&gt;"N/A","Yes","No")</f>
        <v/>
      </c>
      <c r="F53" s="14">
        <f>IF('A1. Data scoring'!K287&lt;&gt;"N/A","Yes","No")</f>
        <v/>
      </c>
      <c r="G53" s="14">
        <f>IF('A1. Data scoring'!L287&lt;&gt;"N/A","Yes","No")</f>
        <v/>
      </c>
      <c r="H53" s="14">
        <f>IF('A1. Data scoring'!M287&lt;&gt;"N/A","Yes","No")</f>
        <v/>
      </c>
      <c r="I53" s="14">
        <f>IF('A1. Data scoring'!N287&lt;&gt;"N/A","Yes","No")</f>
        <v/>
      </c>
      <c r="J53" s="14">
        <f>IF('A1. Data scoring'!O287&lt;&gt;"N/A","Yes","No")</f>
        <v/>
      </c>
      <c r="K53" s="14">
        <f>IF('A1. Data scoring'!P287&lt;&gt;"N/A","Yes","No")</f>
        <v/>
      </c>
      <c r="L53" s="14">
        <f>IF('A1. Data scoring'!Q287&lt;&gt;"N/A","Yes","No")</f>
        <v/>
      </c>
      <c r="M53" s="14">
        <f>IF('A1. Data scoring'!R287&lt;&gt;"N/A","Yes","No")</f>
        <v/>
      </c>
      <c r="N53" s="8">
        <f>COUNTIF(C53:M53,"Yes")</f>
        <v/>
      </c>
    </row>
    <row r="54">
      <c r="B54" s="7" t="inlineStr">
        <is>
          <t>EN1(d)</t>
        </is>
      </c>
      <c r="C54" s="14">
        <f>IF('A1. Data scoring'!H293&lt;&gt;"N/A","Yes","No")</f>
        <v/>
      </c>
      <c r="D54" s="14">
        <f>IF('A1. Data scoring'!I293&lt;&gt;"N/A","Yes","No")</f>
        <v/>
      </c>
      <c r="E54" s="14">
        <f>IF('A1. Data scoring'!J293&lt;&gt;"N/A","Yes","No")</f>
        <v/>
      </c>
      <c r="F54" s="14">
        <f>IF('A1. Data scoring'!K293&lt;&gt;"N/A","Yes","No")</f>
        <v/>
      </c>
      <c r="G54" s="14">
        <f>IF('A1. Data scoring'!L293&lt;&gt;"N/A","Yes","No")</f>
        <v/>
      </c>
      <c r="H54" s="14">
        <f>IF('A1. Data scoring'!M293&lt;&gt;"N/A","Yes","No")</f>
        <v/>
      </c>
      <c r="I54" s="14">
        <f>IF('A1. Data scoring'!N293&lt;&gt;"N/A","Yes","No")</f>
        <v/>
      </c>
      <c r="J54" s="14">
        <f>IF('A1. Data scoring'!O293&lt;&gt;"N/A","Yes","No")</f>
        <v/>
      </c>
      <c r="K54" s="14">
        <f>IF('A1. Data scoring'!P293&lt;&gt;"N/A","Yes","No")</f>
        <v/>
      </c>
      <c r="L54" s="14">
        <f>IF('A1. Data scoring'!Q293&lt;&gt;"N/A","Yes","No")</f>
        <v/>
      </c>
      <c r="M54" s="14">
        <f>IF('A1. Data scoring'!R293&lt;&gt;"N/A","Yes","No")</f>
        <v/>
      </c>
      <c r="N54" s="8">
        <f>COUNTIF(C54:M54,"Yes")</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s>
  <sheetData>
    <row r="1">
      <c r="A1" s="1" t="inlineStr">
        <is>
          <t>↑</t>
        </is>
      </c>
      <c r="B1" s="2" t="inlineStr">
        <is>
          <t>End-2026 target status assessment and reporting</t>
        </is>
      </c>
    </row>
    <row r="2">
      <c r="B2" s="3" t="inlineStr">
        <is>
          <t>T2. Single target review</t>
        </is>
      </c>
    </row>
    <row r="4">
      <c r="B4" s="15" t="inlineStr">
        <is>
          <t>Target selected</t>
        </is>
      </c>
      <c r="C4" s="30" t="inlineStr">
        <is>
          <t>EE1(a)</t>
        </is>
      </c>
      <c r="D4" t="inlineStr">
        <is>
          <t>← select an indicator ref from the dropdown</t>
        </is>
      </c>
    </row>
    <row r="5" ht="45" customHeight="1">
      <c r="B5" s="31" t="inlineStr">
        <is>
          <t>Priority area</t>
        </is>
      </c>
      <c r="C5" s="32">
        <f>IFERROR(INDEX('1. Requirements matrix'!$D$6:$D$53,MATCH($C$4,'1. Requirements matrix'!$B$6:$B$53,0)),"")</f>
        <v/>
      </c>
    </row>
    <row r="6" ht="45" customHeight="1">
      <c r="B6" s="31" t="inlineStr">
        <is>
          <t>Target</t>
        </is>
      </c>
      <c r="C6" s="32">
        <f>IFERROR(INDEX('1. Requirements matrix'!$E$6:$E$53,MATCH($C$4,'1. Requirements matrix'!$B$6:$B$53,0)),"")</f>
        <v/>
      </c>
    </row>
    <row r="7" ht="45" customHeight="1">
      <c r="B7" s="31" t="inlineStr">
        <is>
          <t>Indicator</t>
        </is>
      </c>
      <c r="C7" s="32">
        <f>IFERROR(INDEX('1. Requirements matrix'!$F$6:$F$53,MATCH($C$4,'1. Requirements matrix'!$B$6:$B$53,0)),"")</f>
        <v/>
      </c>
    </row>
    <row r="8" ht="45" customHeight="1">
      <c r="B8" s="31" t="inlineStr">
        <is>
          <t>Reporting requirement</t>
        </is>
      </c>
      <c r="C8" s="32">
        <f>IFERROR(INDEX('1. Requirements matrix'!$G$6:$G$53,MATCH($C$4,'1. Requirements matrix'!$B$6:$B$53,0)),"")</f>
        <v/>
      </c>
    </row>
    <row r="9" ht="45" customHeight="1">
      <c r="B9" s="31" t="inlineStr">
        <is>
          <t>Request issued to</t>
        </is>
      </c>
      <c r="C9" s="32">
        <f>IFERROR(INDEX('1. Requirements matrix'!$I$6:$I$53,MATCH($C$4,'1. Requirements matrix'!$B$6:$B$53,0)),"")</f>
        <v/>
      </c>
    </row>
    <row r="11">
      <c r="B11" s="33" t="inlineStr">
        <is>
          <t>Target score (text)</t>
        </is>
      </c>
      <c r="D11" s="33" t="inlineStr">
        <is>
          <t>Threshold status (SR25 rule)</t>
        </is>
      </c>
      <c r="F11" s="33" t="inlineStr">
        <is>
          <t>% met</t>
        </is>
      </c>
      <c r="H11" s="33" t="inlineStr">
        <is>
          <t>Total valid responses</t>
        </is>
      </c>
      <c r="J11" s="33" t="inlineStr">
        <is>
          <t>Requested, no response received</t>
        </is>
      </c>
    </row>
    <row r="12">
      <c r="B12" s="34">
        <f>IFERROR(INDEX('A1. Data scoring'!$AB$11:$AB$298,MATCH($C$4&amp;"|"&amp;"Confirm end-2026 target status",'A1. Data scoring'!$A$11:$A$298,0)),"")</f>
        <v/>
      </c>
      <c r="D12" s="34">
        <f>IFERROR(INDEX('A1. Data scoring'!$AE$11:$AE$298,MATCH($C$4&amp;"|"&amp;"Confirm end-2026 target status",'A1. Data scoring'!$A$11:$A$298,0)),"")</f>
        <v/>
      </c>
      <c r="F12" s="35">
        <f>IFERROR(INDEX('A1. Data scoring'!$AC$11:$AC$298,MATCH($C$4&amp;"|"&amp;"Confirm end-2026 target status",'A1. Data scoring'!$A$11:$A$298,0)),"")</f>
        <v/>
      </c>
      <c r="H12" s="34">
        <f>IFERROR(INDEX('A1. Data scoring'!$Z$11:$Z$298,MATCH($C$4&amp;"|"&amp;"Confirm end-2026 target status",'A1. Data scoring'!$A$11:$A$298,0)),"")</f>
        <v/>
      </c>
      <c r="J12" s="34">
        <f>IFERROR(INDEX('A1. Data scoring'!$T$11:$T$298,MATCH($C$4&amp;"|"&amp;"Confirm end-2026 target status",'A1. Data scoring'!$A$11:$A$298,0)),"")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row>
    <row r="15">
      <c r="B15" s="36" t="inlineStr">
        <is>
          <t>Requested?</t>
        </is>
      </c>
      <c r="C15" s="37">
        <f>IFERROR(INDEX('0.5 Target Check'!C$7:C$54,MATCH($C$4,'0.5 Target Check'!$B$7:$B$54,0)),"")</f>
        <v/>
      </c>
      <c r="D15" s="37">
        <f>IFERROR(INDEX('0.5 Target Check'!D$7:D$54,MATCH($C$4,'0.5 Target Check'!$B$7:$B$54,0)),"")</f>
        <v/>
      </c>
      <c r="E15" s="37">
        <f>IFERROR(INDEX('0.5 Target Check'!E$7:E$54,MATCH($C$4,'0.5 Target Check'!$B$7:$B$54,0)),"")</f>
        <v/>
      </c>
      <c r="F15" s="37">
        <f>IFERROR(INDEX('0.5 Target Check'!F$7:F$54,MATCH($C$4,'0.5 Target Check'!$B$7:$B$54,0)),"")</f>
        <v/>
      </c>
      <c r="G15" s="37">
        <f>IFERROR(INDEX('0.5 Target Check'!G$7:G$54,MATCH($C$4,'0.5 Target Check'!$B$7:$B$54,0)),"")</f>
        <v/>
      </c>
      <c r="H15" s="37">
        <f>IFERROR(INDEX('0.5 Target Check'!H$7:H$54,MATCH($C$4,'0.5 Target Check'!$B$7:$B$54,0)),"")</f>
        <v/>
      </c>
      <c r="I15" s="37">
        <f>IFERROR(INDEX('0.5 Target Check'!I$7:I$54,MATCH($C$4,'0.5 Target Check'!$B$7:$B$54,0)),"")</f>
        <v/>
      </c>
      <c r="J15" s="37">
        <f>IFERROR(INDEX('0.5 Target Check'!J$7:J$54,MATCH($C$4,'0.5 Target Check'!$B$7:$B$54,0)),"")</f>
        <v/>
      </c>
      <c r="K15" s="37">
        <f>IFERROR(INDEX('0.5 Target Check'!K$7:K$54,MATCH($C$4,'0.5 Target Check'!$B$7:$B$54,0)),"")</f>
        <v/>
      </c>
      <c r="L15" s="37">
        <f>IFERROR(INDEX('0.5 Target Check'!L$7:L$54,MATCH($C$4,'0.5 Target Check'!$B$7:$B$54,0)),"")</f>
        <v/>
      </c>
      <c r="M15" s="37">
        <f>IFERROR(INDEX('0.5 Target Check'!M$7:M$54,MATCH($C$4,'0.5 Target Check'!$B$7:$B$54,0)),"")</f>
        <v/>
      </c>
    </row>
    <row r="16" ht="45" customHeight="1">
      <c r="B16" s="7" t="inlineStr">
        <is>
          <t>Confirm end-2026 target status</t>
        </is>
      </c>
      <c r="C16" s="8">
        <f>IFERROR(INDEX('A1. Data scoring'!H$11:H$298,MATCH($C$4&amp;"|"&amp;$B16,'A1. Data scoring'!$A$11:$A$298,0)),"")</f>
        <v/>
      </c>
      <c r="D16" s="8">
        <f>IFERROR(INDEX('A1. Data scoring'!I$11:I$298,MATCH($C$4&amp;"|"&amp;$B16,'A1. Data scoring'!$A$11:$A$298,0)),"")</f>
        <v/>
      </c>
      <c r="E16" s="8">
        <f>IFERROR(INDEX('A1. Data scoring'!J$11:J$298,MATCH($C$4&amp;"|"&amp;$B16,'A1. Data scoring'!$A$11:$A$298,0)),"")</f>
        <v/>
      </c>
      <c r="F16" s="8">
        <f>IFERROR(INDEX('A1. Data scoring'!K$11:K$298,MATCH($C$4&amp;"|"&amp;$B16,'A1. Data scoring'!$A$11:$A$298,0)),"")</f>
        <v/>
      </c>
      <c r="G16" s="8">
        <f>IFERROR(INDEX('A1. Data scoring'!L$11:L$298,MATCH($C$4&amp;"|"&amp;$B16,'A1. Data scoring'!$A$11:$A$298,0)),"")</f>
        <v/>
      </c>
      <c r="H16" s="8">
        <f>IFERROR(INDEX('A1. Data scoring'!M$11:M$298,MATCH($C$4&amp;"|"&amp;$B16,'A1. Data scoring'!$A$11:$A$298,0)),"")</f>
        <v/>
      </c>
      <c r="I16" s="8">
        <f>IFERROR(INDEX('A1. Data scoring'!N$11:N$298,MATCH($C$4&amp;"|"&amp;$B16,'A1. Data scoring'!$A$11:$A$298,0)),"")</f>
        <v/>
      </c>
      <c r="J16" s="8">
        <f>IFERROR(INDEX('A1. Data scoring'!O$11:O$298,MATCH($C$4&amp;"|"&amp;$B16,'A1. Data scoring'!$A$11:$A$298,0)),"")</f>
        <v/>
      </c>
      <c r="K16" s="8">
        <f>IFERROR(INDEX('A1. Data scoring'!P$11:P$298,MATCH($C$4&amp;"|"&amp;$B16,'A1. Data scoring'!$A$11:$A$298,0)),"")</f>
        <v/>
      </c>
      <c r="L16" s="8">
        <f>IFERROR(INDEX('A1. Data scoring'!Q$11:Q$298,MATCH($C$4&amp;"|"&amp;$B16,'A1. Data scoring'!$A$11:$A$298,0)),"")</f>
        <v/>
      </c>
      <c r="M16" s="8">
        <f>IFERROR(INDEX('A1. Data scoring'!R$11:R$298,MATCH($C$4&amp;"|"&amp;$B16,'A1. Data scoring'!$A$11:$A$298,0)),"")</f>
        <v/>
      </c>
    </row>
    <row r="17" ht="120" customHeight="1">
      <c r="B17" s="7" t="inlineStr">
        <is>
          <t>OPTION 1:  Target-level reporting</t>
        </is>
      </c>
      <c r="C17" s="8">
        <f>IFERROR(INDEX('A1. Data scoring'!H$11:H$298,MATCH($C$4&amp;"|"&amp;$B17,'A1. Data scoring'!$A$11:$A$298,0)),"")</f>
        <v/>
      </c>
      <c r="D17" s="8">
        <f>IFERROR(INDEX('A1. Data scoring'!I$11:I$298,MATCH($C$4&amp;"|"&amp;$B17,'A1. Data scoring'!$A$11:$A$298,0)),"")</f>
        <v/>
      </c>
      <c r="E17" s="8">
        <f>IFERROR(INDEX('A1. Data scoring'!J$11:J$298,MATCH($C$4&amp;"|"&amp;$B17,'A1. Data scoring'!$A$11:$A$298,0)),"")</f>
        <v/>
      </c>
      <c r="F17" s="8">
        <f>IFERROR(INDEX('A1. Data scoring'!K$11:K$298,MATCH($C$4&amp;"|"&amp;$B17,'A1. Data scoring'!$A$11:$A$298,0)),"")</f>
        <v/>
      </c>
      <c r="G17" s="8">
        <f>IFERROR(INDEX('A1. Data scoring'!L$11:L$298,MATCH($C$4&amp;"|"&amp;$B17,'A1. Data scoring'!$A$11:$A$298,0)),"")</f>
        <v/>
      </c>
      <c r="H17" s="8">
        <f>IFERROR(INDEX('A1. Data scoring'!M$11:M$298,MATCH($C$4&amp;"|"&amp;$B17,'A1. Data scoring'!$A$11:$A$298,0)),"")</f>
        <v/>
      </c>
      <c r="I17" s="8">
        <f>IFERROR(INDEX('A1. Data scoring'!N$11:N$298,MATCH($C$4&amp;"|"&amp;$B17,'A1. Data scoring'!$A$11:$A$298,0)),"")</f>
        <v/>
      </c>
      <c r="J17" s="8">
        <f>IFERROR(INDEX('A1. Data scoring'!O$11:O$298,MATCH($C$4&amp;"|"&amp;$B17,'A1. Data scoring'!$A$11:$A$298,0)),"")</f>
        <v/>
      </c>
      <c r="K17" s="8">
        <f>IFERROR(INDEX('A1. Data scoring'!P$11:P$298,MATCH($C$4&amp;"|"&amp;$B17,'A1. Data scoring'!$A$11:$A$298,0)),"")</f>
        <v/>
      </c>
      <c r="L17" s="8">
        <f>IFERROR(INDEX('A1. Data scoring'!Q$11:Q$298,MATCH($C$4&amp;"|"&amp;$B17,'A1. Data scoring'!$A$11:$A$298,0)),"")</f>
        <v/>
      </c>
      <c r="M17" s="8">
        <f>IFERROR(INDEX('A1. Data scoring'!R$11:R$298,MATCH($C$4&amp;"|"&amp;$B17,'A1. Data scoring'!$A$11:$A$298,0)),"")</f>
        <v/>
      </c>
    </row>
    <row r="18" ht="120" customHeight="1">
      <c r="B18" s="7" t="inlineStr">
        <is>
          <t>OPTION 2:  Indicator level reporting</t>
        </is>
      </c>
      <c r="C18" s="8">
        <f>IFERROR(INDEX('A1. Data scoring'!H$11:H$298,MATCH($C$4&amp;"|"&amp;$B18,'A1. Data scoring'!$A$11:$A$298,0)),"")</f>
        <v/>
      </c>
      <c r="D18" s="8">
        <f>IFERROR(INDEX('A1. Data scoring'!I$11:I$298,MATCH($C$4&amp;"|"&amp;$B18,'A1. Data scoring'!$A$11:$A$298,0)),"")</f>
        <v/>
      </c>
      <c r="E18" s="8">
        <f>IFERROR(INDEX('A1. Data scoring'!J$11:J$298,MATCH($C$4&amp;"|"&amp;$B18,'A1. Data scoring'!$A$11:$A$298,0)),"")</f>
        <v/>
      </c>
      <c r="F18" s="8">
        <f>IFERROR(INDEX('A1. Data scoring'!K$11:K$298,MATCH($C$4&amp;"|"&amp;$B18,'A1. Data scoring'!$A$11:$A$298,0)),"")</f>
        <v/>
      </c>
      <c r="G18" s="8">
        <f>IFERROR(INDEX('A1. Data scoring'!L$11:L$298,MATCH($C$4&amp;"|"&amp;$B18,'A1. Data scoring'!$A$11:$A$298,0)),"")</f>
        <v/>
      </c>
      <c r="H18" s="8">
        <f>IFERROR(INDEX('A1. Data scoring'!M$11:M$298,MATCH($C$4&amp;"|"&amp;$B18,'A1. Data scoring'!$A$11:$A$298,0)),"")</f>
        <v/>
      </c>
      <c r="I18" s="8">
        <f>IFERROR(INDEX('A1. Data scoring'!N$11:N$298,MATCH($C$4&amp;"|"&amp;$B18,'A1. Data scoring'!$A$11:$A$298,0)),"")</f>
        <v/>
      </c>
      <c r="J18" s="8">
        <f>IFERROR(INDEX('A1. Data scoring'!O$11:O$298,MATCH($C$4&amp;"|"&amp;$B18,'A1. Data scoring'!$A$11:$A$298,0)),"")</f>
        <v/>
      </c>
      <c r="K18" s="8">
        <f>IFERROR(INDEX('A1. Data scoring'!P$11:P$298,MATCH($C$4&amp;"|"&amp;$B18,'A1. Data scoring'!$A$11:$A$298,0)),"")</f>
        <v/>
      </c>
      <c r="L18" s="8">
        <f>IFERROR(INDEX('A1. Data scoring'!Q$11:Q$298,MATCH($C$4&amp;"|"&amp;$B18,'A1. Data scoring'!$A$11:$A$298,0)),"")</f>
        <v/>
      </c>
      <c r="M18" s="8">
        <f>IFERROR(INDEX('A1. Data scoring'!R$11:R$298,MATCH($C$4&amp;"|"&amp;$B18,'A1. Data scoring'!$A$11:$A$298,0)),"")</f>
        <v/>
      </c>
    </row>
    <row r="19" ht="45" customHeight="1">
      <c r="B19" s="7" t="inlineStr">
        <is>
          <t>Supporting information/comments</t>
        </is>
      </c>
      <c r="C19" s="8">
        <f>IFERROR(INDEX('A1. Data scoring'!H$11:H$298,MATCH($C$4&amp;"|"&amp;$B19,'A1. Data scoring'!$A$11:$A$298,0)),"")</f>
        <v/>
      </c>
      <c r="D19" s="8">
        <f>IFERROR(INDEX('A1. Data scoring'!I$11:I$298,MATCH($C$4&amp;"|"&amp;$B19,'A1. Data scoring'!$A$11:$A$298,0)),"")</f>
        <v/>
      </c>
      <c r="E19" s="8">
        <f>IFERROR(INDEX('A1. Data scoring'!J$11:J$298,MATCH($C$4&amp;"|"&amp;$B19,'A1. Data scoring'!$A$11:$A$298,0)),"")</f>
        <v/>
      </c>
      <c r="F19" s="8">
        <f>IFERROR(INDEX('A1. Data scoring'!K$11:K$298,MATCH($C$4&amp;"|"&amp;$B19,'A1. Data scoring'!$A$11:$A$298,0)),"")</f>
        <v/>
      </c>
      <c r="G19" s="8">
        <f>IFERROR(INDEX('A1. Data scoring'!L$11:L$298,MATCH($C$4&amp;"|"&amp;$B19,'A1. Data scoring'!$A$11:$A$298,0)),"")</f>
        <v/>
      </c>
      <c r="H19" s="8">
        <f>IFERROR(INDEX('A1. Data scoring'!M$11:M$298,MATCH($C$4&amp;"|"&amp;$B19,'A1. Data scoring'!$A$11:$A$298,0)),"")</f>
        <v/>
      </c>
      <c r="I19" s="8">
        <f>IFERROR(INDEX('A1. Data scoring'!N$11:N$298,MATCH($C$4&amp;"|"&amp;$B19,'A1. Data scoring'!$A$11:$A$298,0)),"")</f>
        <v/>
      </c>
      <c r="J19" s="8">
        <f>IFERROR(INDEX('A1. Data scoring'!O$11:O$298,MATCH($C$4&amp;"|"&amp;$B19,'A1. Data scoring'!$A$11:$A$298,0)),"")</f>
        <v/>
      </c>
      <c r="K19" s="8">
        <f>IFERROR(INDEX('A1. Data scoring'!P$11:P$298,MATCH($C$4&amp;"|"&amp;$B19,'A1. Data scoring'!$A$11:$A$298,0)),"")</f>
        <v/>
      </c>
      <c r="L19" s="8">
        <f>IFERROR(INDEX('A1. Data scoring'!Q$11:Q$298,MATCH($C$4&amp;"|"&amp;$B19,'A1. Data scoring'!$A$11:$A$298,0)),"")</f>
        <v/>
      </c>
      <c r="M19" s="8">
        <f>IFERROR(INDEX('A1. Data scoring'!R$11:R$298,MATCH($C$4&amp;"|"&amp;$B19,'A1. Data scoring'!$A$11:$A$298,0)),"")</f>
        <v/>
      </c>
    </row>
    <row r="20" ht="45" customHeight="1">
      <c r="B20" s="7" t="inlineStr">
        <is>
          <t>Data source and limitations</t>
        </is>
      </c>
      <c r="C20" s="8">
        <f>IFERROR(INDEX('A1. Data scoring'!H$11:H$298,MATCH($C$4&amp;"|"&amp;$B20,'A1. Data scoring'!$A$11:$A$298,0)),"")</f>
        <v/>
      </c>
      <c r="D20" s="8">
        <f>IFERROR(INDEX('A1. Data scoring'!I$11:I$298,MATCH($C$4&amp;"|"&amp;$B20,'A1. Data scoring'!$A$11:$A$298,0)),"")</f>
        <v/>
      </c>
      <c r="E20" s="8">
        <f>IFERROR(INDEX('A1. Data scoring'!J$11:J$298,MATCH($C$4&amp;"|"&amp;$B20,'A1. Data scoring'!$A$11:$A$298,0)),"")</f>
        <v/>
      </c>
      <c r="F20" s="8">
        <f>IFERROR(INDEX('A1. Data scoring'!K$11:K$298,MATCH($C$4&amp;"|"&amp;$B20,'A1. Data scoring'!$A$11:$A$298,0)),"")</f>
        <v/>
      </c>
      <c r="G20" s="8">
        <f>IFERROR(INDEX('A1. Data scoring'!L$11:L$298,MATCH($C$4&amp;"|"&amp;$B20,'A1. Data scoring'!$A$11:$A$298,0)),"")</f>
        <v/>
      </c>
      <c r="H20" s="8">
        <f>IFERROR(INDEX('A1. Data scoring'!M$11:M$298,MATCH($C$4&amp;"|"&amp;$B20,'A1. Data scoring'!$A$11:$A$298,0)),"")</f>
        <v/>
      </c>
      <c r="I20" s="8">
        <f>IFERROR(INDEX('A1. Data scoring'!N$11:N$298,MATCH($C$4&amp;"|"&amp;$B20,'A1. Data scoring'!$A$11:$A$298,0)),"")</f>
        <v/>
      </c>
      <c r="J20" s="8">
        <f>IFERROR(INDEX('A1. Data scoring'!O$11:O$298,MATCH($C$4&amp;"|"&amp;$B20,'A1. Data scoring'!$A$11:$A$298,0)),"")</f>
        <v/>
      </c>
      <c r="K20" s="8">
        <f>IFERROR(INDEX('A1. Data scoring'!P$11:P$298,MATCH($C$4&amp;"|"&amp;$B20,'A1. Data scoring'!$A$11:$A$298,0)),"")</f>
        <v/>
      </c>
      <c r="L20" s="8">
        <f>IFERROR(INDEX('A1. Data scoring'!Q$11:Q$298,MATCH($C$4&amp;"|"&amp;$B20,'A1. Data scoring'!$A$11:$A$298,0)),"")</f>
        <v/>
      </c>
      <c r="M20" s="8">
        <f>IFERROR(INDEX('A1. Data scoring'!R$11:R$298,MATCH($C$4&amp;"|"&amp;$B20,'A1. Data scoring'!$A$11:$A$298,0)),"")</f>
        <v/>
      </c>
    </row>
    <row r="21" ht="45" customHeight="1">
      <c r="B21" s="7" t="inlineStr">
        <is>
          <t>Data owner confirms</t>
        </is>
      </c>
      <c r="C21" s="8">
        <f>IFERROR(INDEX('A1. Data scoring'!H$11:H$298,MATCH($C$4&amp;"|"&amp;$B21,'A1. Data scoring'!$A$11:$A$298,0)),"")</f>
        <v/>
      </c>
      <c r="D21" s="8">
        <f>IFERROR(INDEX('A1. Data scoring'!I$11:I$298,MATCH($C$4&amp;"|"&amp;$B21,'A1. Data scoring'!$A$11:$A$298,0)),"")</f>
        <v/>
      </c>
      <c r="E21" s="8">
        <f>IFERROR(INDEX('A1. Data scoring'!J$11:J$298,MATCH($C$4&amp;"|"&amp;$B21,'A1. Data scoring'!$A$11:$A$298,0)),"")</f>
        <v/>
      </c>
      <c r="F21" s="8">
        <f>IFERROR(INDEX('A1. Data scoring'!K$11:K$298,MATCH($C$4&amp;"|"&amp;$B21,'A1. Data scoring'!$A$11:$A$298,0)),"")</f>
        <v/>
      </c>
      <c r="G21" s="8">
        <f>IFERROR(INDEX('A1. Data scoring'!L$11:L$298,MATCH($C$4&amp;"|"&amp;$B21,'A1. Data scoring'!$A$11:$A$298,0)),"")</f>
        <v/>
      </c>
      <c r="H21" s="8">
        <f>IFERROR(INDEX('A1. Data scoring'!M$11:M$298,MATCH($C$4&amp;"|"&amp;$B21,'A1. Data scoring'!$A$11:$A$298,0)),"")</f>
        <v/>
      </c>
      <c r="I21" s="8">
        <f>IFERROR(INDEX('A1. Data scoring'!N$11:N$298,MATCH($C$4&amp;"|"&amp;$B21,'A1. Data scoring'!$A$11:$A$298,0)),"")</f>
        <v/>
      </c>
      <c r="J21" s="8">
        <f>IFERROR(INDEX('A1. Data scoring'!O$11:O$298,MATCH($C$4&amp;"|"&amp;$B21,'A1. Data scoring'!$A$11:$A$298,0)),"")</f>
        <v/>
      </c>
      <c r="K21" s="8">
        <f>IFERROR(INDEX('A1. Data scoring'!P$11:P$298,MATCH($C$4&amp;"|"&amp;$B21,'A1. Data scoring'!$A$11:$A$298,0)),"")</f>
        <v/>
      </c>
      <c r="L21" s="8">
        <f>IFERROR(INDEX('A1. Data scoring'!Q$11:Q$298,MATCH($C$4&amp;"|"&amp;$B21,'A1. Data scoring'!$A$11:$A$298,0)),"")</f>
        <v/>
      </c>
      <c r="M21" s="8">
        <f>IFERROR(INDEX('A1. Data scoring'!R$11:R$298,MATCH($C$4&amp;"|"&amp;$B21,'A1. Data scoring'!$A$11:$A$298,0)),"")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matrix'!$B$6:$B$53</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23"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38" t="inlineStr">
        <is>
          <t>Faculty/Portfolio</t>
        </is>
      </c>
      <c r="C8" s="38" t="inlineStr">
        <is>
          <t>Title</t>
        </is>
      </c>
      <c r="D8" s="38" t="inlineStr">
        <is>
          <t>Description</t>
        </is>
      </c>
      <c r="E8" s="38" t="inlineStr">
        <is>
          <t>Related Sustainability 2030 targets (optional)</t>
        </is>
      </c>
      <c r="F8" s="38" t="inlineStr">
        <is>
          <t>Images and other media</t>
        </is>
      </c>
      <c r="G8" s="38" t="inlineStr">
        <is>
          <t>Links and supporting documentation</t>
        </is>
      </c>
      <c r="H8" s="38" t="inlineStr">
        <is>
          <t>SST: shortlisted for case study?</t>
        </is>
      </c>
      <c r="I8" s="38" t="inlineStr">
        <is>
          <t>SST: permission to publish confirmed?</t>
        </is>
      </c>
      <c r="J8" s="38" t="inlineStr">
        <is>
          <t>SST notes</t>
        </is>
      </c>
    </row>
    <row r="9" ht="90" customHeight="1">
      <c r="B9" s="39" t="inlineStr"/>
      <c r="C9" s="39" t="inlineStr"/>
      <c r="D9" s="3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39" t="inlineStr"/>
      <c r="F9" s="39" t="inlineStr">
        <is>
          <t>(link to OneDrive/SharePoint files or published online content preferred)</t>
        </is>
      </c>
      <c r="G9" s="39" t="inlineStr"/>
      <c r="H9" s="39" t="inlineStr"/>
      <c r="I9" s="39" t="inlineStr"/>
      <c r="J9" s="39"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and Legal &amp; Risk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TR2(b) 'Documented progress of strategic initiatives, incl. Impact Accelerators' reuses the TR2(d) case-study wording and has no stakeholder in the Qual sheet – left as-is.</t>
        </is>
      </c>
      <c r="E10" s="8" t="inlineStr">
        <is>
          <t>TR2(b)</t>
        </is>
      </c>
      <c r="F10" s="8" t="inlineStr">
        <is>
          <t>TBC</t>
        </is>
      </c>
      <c r="G10" s="8" t="inlineStr">
        <is>
          <t>Review wording/owner</t>
        </is>
      </c>
      <c r="H10" s="8" t="inlineStr">
        <is>
          <t>Open</t>
        </is>
      </c>
    </row>
    <row r="11">
      <c r="B11" s="8" t="n">
        <v>7</v>
      </c>
      <c r="C11" s="17" t="n">
        <v>46300</v>
      </c>
      <c r="D11" s="8" t="inlineStr">
        <is>
          <t>Several rows in the Qual sheet are quantitative (GHG inventory, intensity, waste, procurement spend %, AUM %, biodiversity metrics) and have no stakeholder – routed to the Databook mapping tab, not requested from units.</t>
        </is>
      </c>
      <c r="E11" s="8" t="inlineStr">
        <is>
          <t>CL1(a)-(b); CL2(b); NB1(a); CE1-2; RP2; RI1(a)</t>
        </is>
      </c>
      <c r="F11" s="8" t="inlineStr">
        <is>
          <t>TBC</t>
        </is>
      </c>
      <c r="G11" s="8" t="inlineStr">
        <is>
          <t>Confirm Databook coverage</t>
        </is>
      </c>
      <c r="H11" s="8" t="inlineStr">
        <is>
          <t>Open</t>
        </is>
      </c>
    </row>
    <row r="12">
      <c r="B12" s="8" t="n">
        <v>8</v>
      </c>
      <c r="C12" s="17" t="n">
        <v>46300</v>
      </c>
      <c r="D12" s="8" t="inlineStr">
        <is>
          <t>Target status rating (Met/Partially met/Not met) retained pending revamp of the traffic-light framework.</t>
        </is>
      </c>
      <c r="E12" s="8" t="inlineStr">
        <is>
          <t>All</t>
        </is>
      </c>
      <c r="F12" s="8" t="inlineStr">
        <is>
          <t>Director, Sustainability</t>
        </is>
      </c>
      <c r="G12" s="8" t="inlineStr">
        <is>
          <t>Update templates once agreed</t>
        </is>
      </c>
      <c r="H12" s="8" t="inlineStr">
        <is>
          <t>Open</t>
        </is>
      </c>
    </row>
    <row r="13">
      <c r="B13" s="8" t="n">
        <v>9</v>
      </c>
      <c r="C13" s="17" t="n">
        <v>46300</v>
      </c>
      <c r="D13" s="8" t="inlineStr">
        <is>
          <t>Due dates are placeholders based on the SR26 approach timeline (stories early Dec; requests due January).</t>
        </is>
      </c>
      <c r="E13" s="8" t="inlineStr">
        <is>
          <t>All</t>
        </is>
      </c>
      <c r="F13" s="8" t="inlineStr">
        <is>
          <t>TBC</t>
        </is>
      </c>
      <c r="G13" s="8" t="inlineStr">
        <is>
          <t>Confirm dates</t>
        </is>
      </c>
      <c r="H13" s="8" t="inlineStr">
        <is>
          <t>Open</t>
        </is>
      </c>
    </row>
    <row r="14">
      <c r="B14" s="8" t="n">
        <v>10</v>
      </c>
      <c r="C14" s="17" t="n">
        <v>46300</v>
      </c>
      <c r="D14" s="8" t="inlineStr">
        <is>
          <t>20 indicators are requested from each faculty (SR25 sent 10). Monitor burden in pilot.</t>
        </is>
      </c>
      <c r="E14" s="8" t="inlineStr">
        <is>
          <t>Faculties</t>
        </is>
      </c>
      <c r="F14" s="8" t="inlineStr">
        <is>
          <t>TBC</t>
        </is>
      </c>
      <c r="G14" s="8" t="inlineStr">
        <is>
          <t>Review after pilot</t>
        </is>
      </c>
      <c r="H14" s="8" t="inlineStr">
        <is>
          <t>Open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2026-10-05T23:44:47Z</dcterms:modified>
</cp:coreProperties>
</file>