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.1 Governance deadlines" sheetId="3" state="visible" r:id="rId3"/>
    <sheet xmlns:r="http://schemas.openxmlformats.org/officeDocument/2006/relationships" name="P2.2 Timeline" sheetId="4" state="visible" r:id="rId4"/>
    <sheet xmlns:r="http://schemas.openxmlformats.org/officeDocument/2006/relationships" name="P2.3 RASCI matrix" sheetId="5" state="visible" r:id="rId5"/>
    <sheet xmlns:r="http://schemas.openxmlformats.org/officeDocument/2006/relationships" name="P3 To do – comms+web" sheetId="6" state="visible" r:id="rId6"/>
    <sheet xmlns:r="http://schemas.openxmlformats.org/officeDocument/2006/relationships" name="P4 Content checklist" sheetId="7" state="visible" r:id="rId7"/>
    <sheet xmlns:r="http://schemas.openxmlformats.org/officeDocument/2006/relationships" name="P5 SR26 page index" sheetId="8" state="visible" r:id="rId8"/>
    <sheet xmlns:r="http://schemas.openxmlformats.org/officeDocument/2006/relationships" name="Lists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d d mmm yyyy"/>
    <numFmt numFmtId="166" formatCode="d"/>
    <numFmt numFmtId="167" formatCode="dd/mm/yy"/>
  </numFmts>
  <fonts count="15">
    <font>
      <name val="Calibri"/>
      <family val="2"/>
      <color theme="1"/>
      <sz val="11"/>
      <scheme val="minor"/>
    </font>
    <font>
      <name val="Aptos"/>
      <b val="1"/>
      <color rgb="00FFFFFF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FFFFFF"/>
      <sz val="12"/>
    </font>
    <font>
      <name val="Aptos Narrow"/>
      <sz val="11"/>
    </font>
    <font>
      <name val="Aptos"/>
      <b val="1"/>
      <color rgb="00FFFFFF"/>
      <sz val="9"/>
    </font>
    <font>
      <name val="Aptos"/>
      <b val="1"/>
      <color rgb="001F4E79"/>
      <sz val="8"/>
    </font>
    <font>
      <name val="Aptos"/>
      <b val="1"/>
      <color rgb="00C00000"/>
    </font>
    <font>
      <name val="Aptos"/>
      <b val="1"/>
      <color rgb="00000000"/>
      <sz val="9"/>
    </font>
    <font>
      <name val="Aptos"/>
      <sz val="9"/>
    </font>
    <font>
      <name val="Aptos"/>
      <b val="1"/>
      <color rgb="00002060"/>
    </font>
    <font>
      <name val="Aptos Narrow"/>
      <b val="1"/>
      <sz val="11"/>
    </font>
  </fonts>
  <fills count="8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F2F2F2"/>
      </patternFill>
    </fill>
    <fill>
      <patternFill patternType="solid">
        <fgColor rgb="00000F46"/>
      </patternFill>
    </fill>
    <fill>
      <patternFill patternType="solid">
        <fgColor rgb="00156082"/>
      </patternFill>
    </fill>
    <fill>
      <patternFill patternType="solid">
        <fgColor rgb="00DDEBF7"/>
      </patternFill>
    </fill>
    <fill>
      <patternFill patternType="solid">
        <fgColor rgb="00C1E4F5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hair">
        <color rgb="00BFBFBF"/>
      </left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4" borderId="0" pivotButton="0" quotePrefix="0" xfId="0"/>
    <xf numFmtId="0" fontId="1" fillId="4" borderId="0" applyAlignment="1" pivotButton="0" quotePrefix="0" xfId="0">
      <alignment vertical="center" indent="4"/>
    </xf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  <xf numFmtId="165" fontId="7" fillId="3" borderId="1" applyAlignment="1" pivotButton="0" quotePrefix="0" xfId="0">
      <alignment vertical="top" wrapText="1"/>
    </xf>
    <xf numFmtId="0" fontId="5" fillId="0" borderId="0" pivotButton="0" quotePrefix="0" xfId="0"/>
    <xf numFmtId="0" fontId="9" fillId="0" borderId="0" applyAlignment="1" pivotButton="0" quotePrefix="0" xfId="0">
      <alignment horizontal="center" vertical="bottom" textRotation="90"/>
    </xf>
    <xf numFmtId="0" fontId="3" fillId="4" borderId="0" pivotButton="0" quotePrefix="0" xfId="0"/>
    <xf numFmtId="166" fontId="8" fillId="2" borderId="0" applyAlignment="1" pivotButton="0" quotePrefix="0" xfId="0">
      <alignment horizontal="center"/>
    </xf>
    <xf numFmtId="0" fontId="3" fillId="5" borderId="0" pivotButton="0" quotePrefix="0" xfId="0"/>
    <xf numFmtId="0" fontId="0" fillId="5" borderId="0" pivotButton="0" quotePrefix="0" xfId="0"/>
    <xf numFmtId="167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10" fillId="0" borderId="2" applyAlignment="1" pivotButton="0" quotePrefix="0" xfId="0">
      <alignment horizontal="center"/>
    </xf>
    <xf numFmtId="0" fontId="8" fillId="4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bottom" textRotation="90" wrapText="1"/>
    </xf>
    <xf numFmtId="0" fontId="12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7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vertical="top" wrapText="1"/>
    </xf>
  </cellXfs>
  <cellStyles count="1">
    <cellStyle name="Normal" xfId="0" builtinId="0" hidden="0"/>
  </cellStyles>
  <dxfs count="11">
    <dxf>
      <fill>
        <patternFill patternType="solid">
          <fgColor rgb="00A9D18E"/>
        </patternFill>
      </fill>
    </dxf>
    <dxf>
      <fill>
        <patternFill patternType="solid">
          <fgColor rgb="004F81BD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C00000"/>
        </patternFill>
      </fill>
    </dxf>
    <dxf>
      <font>
        <b val="1"/>
        <color rgb="00FFFFFF"/>
      </font>
      <fill>
        <patternFill patternType="solid">
          <fgColor rgb="001F4E79"/>
        </patternFill>
      </fill>
    </dxf>
    <dxf>
      <font>
        <b val="1"/>
        <color rgb="00FFFFFF"/>
      </font>
      <fill>
        <patternFill patternType="solid">
          <fgColor rgb="002F75B5"/>
        </patternFill>
      </fill>
    </dxf>
    <dxf>
      <font>
        <b val="1"/>
        <color rgb="00000000"/>
      </font>
      <fill>
        <patternFill patternType="solid">
          <fgColor rgb="009BC2E6"/>
        </patternFill>
      </fill>
    </dxf>
    <dxf>
      <font>
        <b val="1"/>
        <color rgb="00000000"/>
      </font>
      <fill>
        <patternFill patternType="solid">
          <fgColor rgb="00C6E0B4"/>
        </patternFill>
      </fill>
    </dxf>
    <dxf>
      <font>
        <b val="1"/>
        <color rgb="00000000"/>
      </font>
      <fill>
        <patternFill patternType="solid">
          <fgColor rgb="00FFE699"/>
        </patternFill>
      </fill>
    </dxf>
    <dxf>
      <font>
        <b val="1"/>
        <color rgb="00000000"/>
      </font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P0. Project overview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 ht="27" customHeight="1">
      <c r="B4" s="3" t="inlineStr">
        <is>
          <t>1. Purpose</t>
        </is>
      </c>
    </row>
    <row r="5" ht="39" customHeight="1">
      <c r="B5" s="4" t="inlineStr">
        <is>
          <t>This workbook</t>
        </is>
      </c>
      <c r="C5" s="5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9" customHeight="1">
      <c r="B6" s="4" t="inlineStr">
        <is>
          <t>SR26 in one line</t>
        </is>
      </c>
      <c r="C6" s="5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7"/>
    <row r="8" ht="27" customHeight="1">
      <c r="B8" s="3" t="inlineStr">
        <is>
          <t>2. Lessons from SR25 and actions for SR26</t>
        </is>
      </c>
    </row>
    <row r="9" ht="39" customHeight="1">
      <c r="B9" s="4" t="inlineStr">
        <is>
          <t>Keep tailored data requests</t>
        </is>
      </c>
      <c r="C9" s="5" t="inlineStr">
        <is>
          <t>SR25 streamlined requests achieved a 100% response rate → keep targeted, faculty-specific requests (see Request wording log); avoid complex requests.</t>
        </is>
      </c>
    </row>
    <row r="10" ht="39" customHeight="1">
      <c r="B10" s="4" t="inlineStr">
        <is>
          <t>Keep independent senior review</t>
        </is>
      </c>
      <c r="C10" s="5" t="inlineStr">
        <is>
          <t>Retain Target Status Review Group as the Sustainability Reporting Review Group (~15 Feb 2027).</t>
        </is>
      </c>
    </row>
    <row r="11" ht="39" customHeight="1">
      <c r="B11" s="4" t="inlineStr">
        <is>
          <t>Strengthen data controls</t>
        </is>
      </c>
      <c r="C11" s="5" t="inlineStr">
        <is>
          <t>Central Evidence register, data owner confirmation (columns Q–R on every request), data source records, Databook alignment.</t>
        </is>
      </c>
    </row>
    <row r="12" ht="39" customHeight="1">
      <c r="B12" s="4" t="inlineStr">
        <is>
          <t>Integrate with Annual Report</t>
        </is>
      </c>
      <c r="C12" s="5" t="inlineStr">
        <is>
          <t>Engage Annual Report team in October; shared dependency map; late operational data (Feb–Mar) on a later pathway.</t>
        </is>
      </c>
    </row>
    <row r="13" ht="22" customHeight="1">
      <c r="B13" s="4" t="inlineStr">
        <is>
          <t>Agree comms roles early</t>
        </is>
      </c>
      <c r="C13" s="5" t="inlineStr">
        <is>
          <t>RASCI with Strategic Communications, comms, digital and design at project start (P2.3 RASCI matrix).</t>
        </is>
      </c>
    </row>
    <row r="14" ht="39" customHeight="1">
      <c r="B14" s="4" t="inlineStr">
        <is>
          <t>Plan web and close from the outset</t>
        </is>
      </c>
      <c r="C14" s="5" t="inlineStr">
        <is>
          <t>Year-specific report URL, central landing page, analytics measures agreed before launch, formal retrospective (P3, P2).</t>
        </is>
      </c>
    </row>
    <row r="15" ht="39" customHeight="1">
      <c r="B15" s="4" t="inlineStr">
        <is>
          <t>Simpler project management</t>
        </is>
      </c>
      <c r="C15" s="5" t="inlineStr">
        <is>
          <t>This simplified tracker; induction walkthrough; direct messages for assigned tasks, group channel for shared updates; blocker escalation as a standing meeting item.</t>
        </is>
      </c>
    </row>
    <row r="16" ht="39" customHeight="1">
      <c r="B16" s="4" t="inlineStr">
        <is>
          <t>Follow up non-approval</t>
        </is>
      </c>
      <c r="C16" s="5" t="inlineStr">
        <is>
          <t>SR25: FBE filled in the template but did not approve; Science disagreed with metrics → track 'Owner confirmed' in the Request tracker and chase; offer January support meetings.</t>
        </is>
      </c>
    </row>
    <row r="17"/>
    <row r="18" ht="27" customHeight="1">
      <c r="B18" s="3" t="inlineStr">
        <is>
          <t>3. How to use this workbook</t>
        </is>
      </c>
    </row>
    <row r="19" ht="56" customHeight="1">
      <c r="B19" s="4" t="inlineStr">
        <is>
          <t>Records management</t>
        </is>
      </c>
      <c r="C19" s="5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9" customHeight="1">
      <c r="B20" s="4" t="inlineStr">
        <is>
          <t>Responses</t>
        </is>
      </c>
      <c r="C20" s="5" t="inlineStr">
        <is>
          <t>Paste returned responses into the Faculties / central-unit tabs without inserting rows inside a block (A1/0.5/T2 formulas look up by Ref).</t>
        </is>
      </c>
    </row>
    <row r="21" ht="22" customHeight="1">
      <c r="B21" s="4" t="inlineStr">
        <is>
          <t>Regenerating</t>
        </is>
      </c>
      <c r="C21" s="5" t="inlineStr">
        <is>
          <t>Templates are generated by build.py – update settings there to add faculties/units, then re-run.</t>
        </is>
      </c>
    </row>
    <row r="22"/>
    <row r="23" ht="27" customHeight="1">
      <c r="B23" s="3" t="inlineStr">
        <is>
          <t>4. Key reference documents</t>
        </is>
      </c>
    </row>
    <row r="24" ht="22" customHeight="1">
      <c r="B24" s="4" t="inlineStr">
        <is>
          <t>SR26 approach</t>
        </is>
      </c>
      <c r="C24" s="5" t="inlineStr">
        <is>
          <t>2026 Sustainability reporting approach &amp; target status assessment framework – DRAFT Sep 2026</t>
        </is>
      </c>
    </row>
    <row r="25" ht="56" customHeight="1">
      <c r="B25" s="4" t="inlineStr">
        <is>
          <t>SR25 documents</t>
        </is>
      </c>
      <c r="C25" s="5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2" customHeight="1">
      <c r="B26" s="4" t="inlineStr">
        <is>
          <t>Targets</t>
        </is>
      </c>
      <c r="C26" s="5" t="inlineStr">
        <is>
          <t>Sustainability 2030 Updated Targets (Not for distribution) – Qual and Quan worksheets</t>
        </is>
      </c>
    </row>
    <row r="27"/>
    <row r="28" ht="27" customHeight="1">
      <c r="B28" s="3" t="inlineStr">
        <is>
          <t>5. Team processes</t>
        </is>
      </c>
    </row>
    <row r="29" ht="22" customHeight="1">
      <c r="B29" s="4" t="inlineStr">
        <is>
          <t>Meetings</t>
        </is>
      </c>
      <c r="C29" s="5" t="inlineStr">
        <is>
          <t>Weekly production meeting (SST + comms/design); standing items: progress, blockers/escalation, decisions.</t>
        </is>
      </c>
    </row>
    <row r="30" ht="22" customHeight="1">
      <c r="B30" s="4" t="inlineStr">
        <is>
          <t>Communication</t>
        </is>
      </c>
      <c r="C30" s="5" t="inlineStr">
        <is>
          <t>Direct messages for individual tasks; group channel for shared updates.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P1. SR26 Project plan on a page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 ht="27" customHeight="1">
      <c r="B4" s="3" t="inlineStr">
        <is>
          <t>Project plan on a page</t>
        </is>
      </c>
    </row>
    <row r="5" ht="22" customHeight="1">
      <c r="B5" s="4" t="inlineStr">
        <is>
          <t>Version control</t>
        </is>
      </c>
      <c r="C5" s="5" t="inlineStr">
        <is>
          <t>DRAFT v0.27 – based on SR26 approach (Sep 2026)</t>
        </is>
      </c>
    </row>
    <row r="6" ht="39" customHeight="1">
      <c r="B6" s="4" t="inlineStr">
        <is>
          <t>Context</t>
        </is>
      </c>
      <c r="C6" s="5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88" customHeight="1">
      <c r="B7" s="4" t="inlineStr">
        <is>
          <t>Objectives / principles</t>
        </is>
      </c>
      <c r="C7" s="5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56" customHeight="1">
      <c r="B8" s="4" t="inlineStr">
        <is>
          <t>Reporting model</t>
        </is>
      </c>
      <c r="C8" s="5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2" customHeight="1">
      <c r="B9" s="4" t="inlineStr">
        <is>
          <t>Workstreams</t>
        </is>
      </c>
      <c r="C9" s="5" t="inlineStr">
        <is>
          <t>Governance • Data collection &amp; analysis (this workbook) • Content development • Communications &amp; web build</t>
        </is>
      </c>
    </row>
    <row r="10" ht="72" customHeight="1">
      <c r="B10" s="4" t="inlineStr">
        <is>
          <t>Key stakeholders</t>
        </is>
      </c>
      <c r="C10" s="5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9" customHeight="1">
      <c r="B11" s="4" t="inlineStr">
        <is>
          <t>Phases</t>
        </is>
      </c>
      <c r="C11" s="5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9" customHeight="1">
      <c r="B12" s="4" t="inlineStr">
        <is>
          <t>Outputs</t>
        </is>
      </c>
      <c r="C12" s="5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9" customHeight="1">
      <c r="B13" s="4" t="inlineStr">
        <is>
          <t>Success measures</t>
        </is>
      </c>
      <c r="C13" s="5" t="inlineStr">
        <is>
          <t>Response rate • Reporting burden • Project effort • Data-quality issues • Web sessions, users and views • Stakeholder feedback</t>
        </is>
      </c>
    </row>
    <row r="14"/>
    <row r="15" ht="27" customHeight="1">
      <c r="B15" s="3" t="inlineStr">
        <is>
          <t>Key risks and controls</t>
        </is>
      </c>
    </row>
    <row r="16" ht="22" customHeight="1">
      <c r="B16" s="4" t="inlineStr">
        <is>
          <t>Full-year implication</t>
        </is>
      </c>
      <c r="C16" s="5" t="inlineStr">
        <is>
          <t>Report implies a full year of progress against targets launched 20 Oct → explicit transition-year framing.</t>
        </is>
      </c>
    </row>
    <row r="17" ht="39" customHeight="1">
      <c r="B17" s="4" t="inlineStr">
        <is>
          <t>Onerous requests</t>
        </is>
      </c>
      <c r="C17" s="5" t="inlineStr">
        <is>
          <t>Requests onerous or non-comparable → necessity and usability test; pilot templates; don't ask for data areas can't hold.</t>
        </is>
      </c>
    </row>
    <row r="18" ht="39" customHeight="1">
      <c r="B18" s="4" t="inlineStr">
        <is>
          <t>Databook overlap</t>
        </is>
      </c>
      <c r="C18" s="5" t="inlineStr">
        <is>
          <t>Databook and narrative requests overlap/conflict → one requirements matrix and evidence register; one source of truth per indicator.</t>
        </is>
      </c>
    </row>
    <row r="19" ht="22" customHeight="1">
      <c r="B19" s="4" t="inlineStr">
        <is>
          <t>New working groups</t>
        </is>
      </c>
      <c r="C19" s="5" t="inlineStr">
        <is>
          <t>Asked to evidence delivery before established → maturity-based 2026 request.</t>
        </is>
      </c>
    </row>
    <row r="20" ht="22" customHeight="1">
      <c r="B20" s="4" t="inlineStr">
        <is>
          <t>Case studies dominate</t>
        </is>
      </c>
      <c r="C20" s="5" t="inlineStr">
        <is>
          <t>→ selection criteria: relevance, evidence, outcome, transferability, balance, permission.</t>
        </is>
      </c>
    </row>
    <row r="21" ht="22" customHeight="1">
      <c r="B21" s="4" t="inlineStr">
        <is>
          <t>Late responses</t>
        </is>
      </c>
      <c r="C21" s="5" t="inlineStr">
        <is>
          <t>→ issue requirements early, support meetings, senior sponsorship, escalate gaps.</t>
        </is>
      </c>
    </row>
    <row r="22" ht="22" customHeight="1">
      <c r="B22" s="4" t="inlineStr">
        <is>
          <t>Review group role</t>
        </is>
      </c>
      <c r="C22" s="5" t="inlineStr">
        <is>
          <t>Unclear without traffic lights → approve review criteria and decision rights in advance.</t>
        </is>
      </c>
    </row>
    <row r="23" ht="22" customHeight="1">
      <c r="B23" s="4" t="inlineStr">
        <is>
          <t>Annual Report divergence</t>
        </is>
      </c>
      <c r="C23" s="5" t="inlineStr">
        <is>
          <t>→ engage in October; shared dependency/data map; reconcile shared figures.</t>
        </is>
      </c>
    </row>
    <row r="24"/>
    <row r="25" ht="27" customHeight="1">
      <c r="B25" s="3" t="inlineStr">
        <is>
          <t>Decisions required (from SR26 approach)</t>
        </is>
      </c>
    </row>
    <row r="26" ht="22" customHeight="1">
      <c r="B26" s="4" t="inlineStr">
        <is>
          <t>1. Transition-year model</t>
        </is>
      </c>
      <c r="C26" s="5" t="inlineStr">
        <is>
          <t>Director, Sustainability – Approved (internal traffic lights: sub-decision)</t>
        </is>
      </c>
    </row>
    <row r="27" ht="39" customHeight="1">
      <c r="B27" s="4" t="inlineStr">
        <is>
          <t>2. Evidence &amp; engagement model</t>
        </is>
      </c>
      <c r="C27" s="5" t="inlineStr">
        <is>
          <t>Director, Sustainability – Pending (awaiting Stefanus' WIP)</t>
        </is>
      </c>
    </row>
    <row r="28" ht="39" customHeight="1">
      <c r="B28" s="4" t="inlineStr">
        <is>
          <t>3. Assurance &amp; governance pathway</t>
        </is>
      </c>
      <c r="C28" s="5" t="inlineStr">
        <is>
          <t>Director, Sustainability – Closed</t>
        </is>
      </c>
    </row>
    <row r="29" ht="39" customHeight="1">
      <c r="B29" s="4" t="inlineStr">
        <is>
          <t>4. Modern slavery timeline alignment</t>
        </is>
      </c>
      <c r="C29" s="5" t="inlineStr">
        <is>
          <t>Director, Sustainability (and Head of Procurement) – Open, watch item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30" customWidth="1" min="3" max="3"/>
    <col width="18" customWidth="1" min="4" max="4"/>
    <col width="18" customWidth="1" min="5" max="5"/>
    <col width="22" customWidth="1" min="6" max="6"/>
    <col width="22" customWidth="1" min="7" max="7"/>
    <col width="46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P2.1 Governance paper deadlines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39" customHeight="1">
      <c r="B3" s="6" t="inlineStr">
        <is>
          <t>Placeholders – confirm with governance offices. Type the Meeting and Papers due dates; the grey columns and the P2.2 Timeline update automatically. Leader review = papers due – 3 working days (weekends skipped, not public holidays).</t>
        </is>
      </c>
    </row>
    <row r="4"/>
    <row r="5" ht="60" customHeight="1">
      <c r="B5" s="7" t="inlineStr">
        <is>
          <t>Governance body</t>
        </is>
      </c>
      <c r="C5" s="7" t="inlineStr">
        <is>
          <t>Purpose</t>
        </is>
      </c>
      <c r="D5" s="7" t="inlineStr">
        <is>
          <t>Meeting</t>
        </is>
      </c>
      <c r="E5" s="7" t="inlineStr">
        <is>
          <t>Papers due</t>
        </is>
      </c>
      <c r="F5" s="7" t="inlineStr">
        <is>
          <t>To leaders for review (papers – 3 working days)</t>
        </is>
      </c>
      <c r="G5" s="7" t="inlineStr">
        <is>
          <t>Begin drafting (proposed: papers – 10 working days)</t>
        </is>
      </c>
      <c r="H5" s="7" t="inlineStr">
        <is>
          <t>Source of placeholder</t>
        </is>
      </c>
    </row>
    <row r="6" ht="39" customHeight="1">
      <c r="B6" s="8" t="inlineStr">
        <is>
          <t>Sustainability Reporting Review Group</t>
        </is>
      </c>
      <c r="C6" s="8" t="inlineStr">
        <is>
          <t>Review findings</t>
        </is>
      </c>
      <c r="D6" s="9" t="n">
        <v>46433</v>
      </c>
      <c r="E6" s="9" t="n">
        <v>46426</v>
      </c>
      <c r="F6" s="10">
        <f>WORKDAY(E6,-3)</f>
        <v/>
      </c>
      <c r="G6" s="10">
        <f>WORKDAY(E6,-10)</f>
        <v/>
      </c>
      <c r="H6" s="8" t="inlineStr">
        <is>
          <t>SR26 approach (~15 Feb); SR25 n/a</t>
        </is>
      </c>
    </row>
    <row r="7" ht="39" customHeight="1">
      <c r="B7" s="8" t="inlineStr">
        <is>
          <t>VCAG</t>
        </is>
      </c>
      <c r="C7" s="8" t="inlineStr">
        <is>
          <t>Notes Review Group findings</t>
        </is>
      </c>
      <c r="D7" s="9" t="n">
        <v>46434</v>
      </c>
      <c r="E7" s="9" t="n">
        <v>46428</v>
      </c>
      <c r="F7" s="10">
        <f>WORKDAY(E7,-3)</f>
        <v/>
      </c>
      <c r="G7" s="10">
        <f>WORKDAY(E7,-10)</f>
        <v/>
      </c>
      <c r="H7" s="8" t="inlineStr">
        <is>
          <t>SR26 approach; SR25: papers 14 Feb, meeting 17 Feb</t>
        </is>
      </c>
    </row>
    <row r="8" ht="22" customHeight="1">
      <c r="B8" s="8" t="inlineStr">
        <is>
          <t>Investment Management Committee</t>
        </is>
      </c>
      <c r="C8" s="8" t="inlineStr">
        <is>
          <t>Responsible investments section</t>
        </is>
      </c>
      <c r="D8" s="9" t="n">
        <v>46443</v>
      </c>
      <c r="E8" s="9" t="n">
        <v>46436</v>
      </c>
      <c r="F8" s="10">
        <f>WORKDAY(E8,-3)</f>
        <v/>
      </c>
      <c r="G8" s="10">
        <f>WORKDAY(E8,-10)</f>
        <v/>
      </c>
      <c r="H8" s="8" t="inlineStr">
        <is>
          <t>SR26 approach (TBC)</t>
        </is>
      </c>
    </row>
    <row r="9" ht="22" customHeight="1">
      <c r="B9" s="8" t="inlineStr">
        <is>
          <t>VCAG</t>
        </is>
      </c>
      <c r="C9" s="8" t="inlineStr">
        <is>
          <t>Notes full report</t>
        </is>
      </c>
      <c r="D9" s="9" t="n">
        <v>46448</v>
      </c>
      <c r="E9" s="9" t="n">
        <v>46443</v>
      </c>
      <c r="F9" s="10">
        <f>WORKDAY(E9,-3)</f>
        <v/>
      </c>
      <c r="G9" s="10">
        <f>WORKDAY(E9,-10)</f>
        <v/>
      </c>
      <c r="H9" s="8" t="inlineStr">
        <is>
          <t>SR26 approach (TBC)</t>
        </is>
      </c>
    </row>
    <row r="10" ht="39" customHeight="1">
      <c r="B10" s="8" t="inlineStr">
        <is>
          <t>University Executive</t>
        </is>
      </c>
      <c r="C10" s="8" t="inlineStr">
        <is>
          <t>Notes report</t>
        </is>
      </c>
      <c r="D10" s="9" t="n">
        <v>46471</v>
      </c>
      <c r="E10" s="9" t="n">
        <v>46458</v>
      </c>
      <c r="F10" s="10">
        <f>WORKDAY(E10,-3)</f>
        <v/>
      </c>
      <c r="G10" s="10">
        <f>WORKDAY(E10,-10)</f>
        <v/>
      </c>
      <c r="H10" s="8" t="inlineStr">
        <is>
          <t>SR26 approach; SR25: papers 17 Mar, meeting 27 Mar</t>
        </is>
      </c>
    </row>
    <row r="11" ht="22" customHeight="1">
      <c r="B11" s="8" t="inlineStr">
        <is>
          <t>University Council</t>
        </is>
      </c>
      <c r="C11" s="8" t="inlineStr">
        <is>
          <t>Approves report</t>
        </is>
      </c>
      <c r="D11" s="9" t="n">
        <v>46513</v>
      </c>
      <c r="E11" s="9" t="n">
        <v>46486</v>
      </c>
      <c r="F11" s="10">
        <f>WORKDAY(E11,-3)</f>
        <v/>
      </c>
      <c r="G11" s="10">
        <f>WORKDAY(E11,-10)</f>
        <v/>
      </c>
      <c r="H11" s="8" t="inlineStr">
        <is>
          <t>SR26 approach (~10 Apr); SR25: meeting 5 May</t>
        </is>
      </c>
    </row>
  </sheetData>
  <mergeCells count="1">
    <mergeCell ref="B3:H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7"/>
  <sheetViews>
    <sheetView showGridLines="0" workbookViewId="0">
      <pane xSplit="11" ySplit="7" topLeftCell="L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0" customWidth="1" min="2" max="2"/>
    <col width="20" customWidth="1" min="3" max="3"/>
    <col width="10" customWidth="1" min="4" max="4"/>
    <col width="10" customWidth="1" min="5" max="5"/>
    <col width="15" customWidth="1" min="6" max="6"/>
    <col width="18" customWidth="1" min="7" max="7"/>
    <col width="18" customWidth="1" min="8" max="8"/>
    <col width="10" customWidth="1" min="9" max="9"/>
    <col width="13" customWidth="1" min="10" max="10"/>
    <col width="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</row>
    <row r="2" ht="58" customHeight="1">
      <c r="A2" s="1" t="n"/>
      <c r="B2" s="2" t="inlineStr">
        <is>
          <t>P2.2 Timeline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</row>
    <row r="3" ht="22" customHeight="1">
      <c r="B3" s="11" t="inlineStr">
        <is>
          <t>Bars fill from Start/End; ◆ = milestone; green = Complete; grey = Christmas shutdown; light blue = governance papers due (dates from P2.1 Governance deadlines); red header = this week. Lead (R) and Accountable (A) come from P2.3 RASCI matrix.</t>
        </is>
      </c>
    </row>
    <row r="4"/>
    <row r="5" ht="80" customHeight="1">
      <c r="L5" s="12">
        <f>TRIM(IF(AND('P2.1 Governance deadlines'!$E$6&gt;=L$7,'P2.1 Governance deadlines'!$E$6&lt;=L$7+6),"Review Grp papers ","")&amp;IF(AND('P2.1 Governance deadlines'!$D$6&gt;=L$7,'P2.1 Governance deadlines'!$D$6&lt;=L$7+6),"Review Grp meet ","")&amp;IF(AND('P2.1 Governance deadlines'!$E$7&gt;=L$7,'P2.1 Governance deadlines'!$E$7&lt;=L$7+6),"VCAG papers ","")&amp;IF(AND('P2.1 Governance deadlines'!$D$7&gt;=L$7,'P2.1 Governance deadlines'!$D$7&lt;=L$7+6),"VCAG meet ","")&amp;IF(AND('P2.1 Governance deadlines'!$E$8&gt;=L$7,'P2.1 Governance deadlines'!$E$8&lt;=L$7+6),"IMC papers ","")&amp;IF(AND('P2.1 Governance deadlines'!$D$8&gt;=L$7,'P2.1 Governance deadlines'!$D$8&lt;=L$7+6),"IMC meet ","")&amp;IF(AND('P2.1 Governance deadlines'!$E$9&gt;=L$7,'P2.1 Governance deadlines'!$E$9&lt;=L$7+6),"VCAG papers ","")&amp;IF(AND('P2.1 Governance deadlines'!$D$9&gt;=L$7,'P2.1 Governance deadlines'!$D$9&lt;=L$7+6),"VCAG meet ","")&amp;IF(AND('P2.1 Governance deadlines'!$E$10&gt;=L$7,'P2.1 Governance deadlines'!$E$10&lt;=L$7+6),"UE papers ","")&amp;IF(AND('P2.1 Governance deadlines'!$D$10&gt;=L$7,'P2.1 Governance deadlines'!$D$10&lt;=L$7+6),"UE meet ","")&amp;IF(AND('P2.1 Governance deadlines'!$E$11&gt;=L$7,'P2.1 Governance deadlines'!$E$11&lt;=L$7+6),"UC papers ","")&amp;IF(AND('P2.1 Governance deadlines'!$D$11&gt;=L$7,'P2.1 Governance deadlines'!$D$11&lt;=L$7+6),"UC meet ",""))</f>
        <v/>
      </c>
      <c r="M5" s="12">
        <f>TRIM(IF(AND('P2.1 Governance deadlines'!$E$6&gt;=M$7,'P2.1 Governance deadlines'!$E$6&lt;=M$7+6),"Review Grp papers ","")&amp;IF(AND('P2.1 Governance deadlines'!$D$6&gt;=M$7,'P2.1 Governance deadlines'!$D$6&lt;=M$7+6),"Review Grp meet ","")&amp;IF(AND('P2.1 Governance deadlines'!$E$7&gt;=M$7,'P2.1 Governance deadlines'!$E$7&lt;=M$7+6),"VCAG papers ","")&amp;IF(AND('P2.1 Governance deadlines'!$D$7&gt;=M$7,'P2.1 Governance deadlines'!$D$7&lt;=M$7+6),"VCAG meet ","")&amp;IF(AND('P2.1 Governance deadlines'!$E$8&gt;=M$7,'P2.1 Governance deadlines'!$E$8&lt;=M$7+6),"IMC papers ","")&amp;IF(AND('P2.1 Governance deadlines'!$D$8&gt;=M$7,'P2.1 Governance deadlines'!$D$8&lt;=M$7+6),"IMC meet ","")&amp;IF(AND('P2.1 Governance deadlines'!$E$9&gt;=M$7,'P2.1 Governance deadlines'!$E$9&lt;=M$7+6),"VCAG papers ","")&amp;IF(AND('P2.1 Governance deadlines'!$D$9&gt;=M$7,'P2.1 Governance deadlines'!$D$9&lt;=M$7+6),"VCAG meet ","")&amp;IF(AND('P2.1 Governance deadlines'!$E$10&gt;=M$7,'P2.1 Governance deadlines'!$E$10&lt;=M$7+6),"UE papers ","")&amp;IF(AND('P2.1 Governance deadlines'!$D$10&gt;=M$7,'P2.1 Governance deadlines'!$D$10&lt;=M$7+6),"UE meet ","")&amp;IF(AND('P2.1 Governance deadlines'!$E$11&gt;=M$7,'P2.1 Governance deadlines'!$E$11&lt;=M$7+6),"UC papers ","")&amp;IF(AND('P2.1 Governance deadlines'!$D$11&gt;=M$7,'P2.1 Governance deadlines'!$D$11&lt;=M$7+6),"UC meet ",""))</f>
        <v/>
      </c>
      <c r="N5" s="12">
        <f>TRIM(IF(AND('P2.1 Governance deadlines'!$E$6&gt;=N$7,'P2.1 Governance deadlines'!$E$6&lt;=N$7+6),"Review Grp papers ","")&amp;IF(AND('P2.1 Governance deadlines'!$D$6&gt;=N$7,'P2.1 Governance deadlines'!$D$6&lt;=N$7+6),"Review Grp meet ","")&amp;IF(AND('P2.1 Governance deadlines'!$E$7&gt;=N$7,'P2.1 Governance deadlines'!$E$7&lt;=N$7+6),"VCAG papers ","")&amp;IF(AND('P2.1 Governance deadlines'!$D$7&gt;=N$7,'P2.1 Governance deadlines'!$D$7&lt;=N$7+6),"VCAG meet ","")&amp;IF(AND('P2.1 Governance deadlines'!$E$8&gt;=N$7,'P2.1 Governance deadlines'!$E$8&lt;=N$7+6),"IMC papers ","")&amp;IF(AND('P2.1 Governance deadlines'!$D$8&gt;=N$7,'P2.1 Governance deadlines'!$D$8&lt;=N$7+6),"IMC meet ","")&amp;IF(AND('P2.1 Governance deadlines'!$E$9&gt;=N$7,'P2.1 Governance deadlines'!$E$9&lt;=N$7+6),"VCAG papers ","")&amp;IF(AND('P2.1 Governance deadlines'!$D$9&gt;=N$7,'P2.1 Governance deadlines'!$D$9&lt;=N$7+6),"VCAG meet ","")&amp;IF(AND('P2.1 Governance deadlines'!$E$10&gt;=N$7,'P2.1 Governance deadlines'!$E$10&lt;=N$7+6),"UE papers ","")&amp;IF(AND('P2.1 Governance deadlines'!$D$10&gt;=N$7,'P2.1 Governance deadlines'!$D$10&lt;=N$7+6),"UE meet ","")&amp;IF(AND('P2.1 Governance deadlines'!$E$11&gt;=N$7,'P2.1 Governance deadlines'!$E$11&lt;=N$7+6),"UC papers ","")&amp;IF(AND('P2.1 Governance deadlines'!$D$11&gt;=N$7,'P2.1 Governance deadlines'!$D$11&lt;=N$7+6),"UC meet ",""))</f>
        <v/>
      </c>
      <c r="O5" s="12">
        <f>TRIM(IF(AND('P2.1 Governance deadlines'!$E$6&gt;=O$7,'P2.1 Governance deadlines'!$E$6&lt;=O$7+6),"Review Grp papers ","")&amp;IF(AND('P2.1 Governance deadlines'!$D$6&gt;=O$7,'P2.1 Governance deadlines'!$D$6&lt;=O$7+6),"Review Grp meet ","")&amp;IF(AND('P2.1 Governance deadlines'!$E$7&gt;=O$7,'P2.1 Governance deadlines'!$E$7&lt;=O$7+6),"VCAG papers ","")&amp;IF(AND('P2.1 Governance deadlines'!$D$7&gt;=O$7,'P2.1 Governance deadlines'!$D$7&lt;=O$7+6),"VCAG meet ","")&amp;IF(AND('P2.1 Governance deadlines'!$E$8&gt;=O$7,'P2.1 Governance deadlines'!$E$8&lt;=O$7+6),"IMC papers ","")&amp;IF(AND('P2.1 Governance deadlines'!$D$8&gt;=O$7,'P2.1 Governance deadlines'!$D$8&lt;=O$7+6),"IMC meet ","")&amp;IF(AND('P2.1 Governance deadlines'!$E$9&gt;=O$7,'P2.1 Governance deadlines'!$E$9&lt;=O$7+6),"VCAG papers ","")&amp;IF(AND('P2.1 Governance deadlines'!$D$9&gt;=O$7,'P2.1 Governance deadlines'!$D$9&lt;=O$7+6),"VCAG meet ","")&amp;IF(AND('P2.1 Governance deadlines'!$E$10&gt;=O$7,'P2.1 Governance deadlines'!$E$10&lt;=O$7+6),"UE papers ","")&amp;IF(AND('P2.1 Governance deadlines'!$D$10&gt;=O$7,'P2.1 Governance deadlines'!$D$10&lt;=O$7+6),"UE meet ","")&amp;IF(AND('P2.1 Governance deadlines'!$E$11&gt;=O$7,'P2.1 Governance deadlines'!$E$11&lt;=O$7+6),"UC papers ","")&amp;IF(AND('P2.1 Governance deadlines'!$D$11&gt;=O$7,'P2.1 Governance deadlines'!$D$11&lt;=O$7+6),"UC meet ",""))</f>
        <v/>
      </c>
      <c r="P5" s="12">
        <f>TRIM(IF(AND('P2.1 Governance deadlines'!$E$6&gt;=P$7,'P2.1 Governance deadlines'!$E$6&lt;=P$7+6),"Review Grp papers ","")&amp;IF(AND('P2.1 Governance deadlines'!$D$6&gt;=P$7,'P2.1 Governance deadlines'!$D$6&lt;=P$7+6),"Review Grp meet ","")&amp;IF(AND('P2.1 Governance deadlines'!$E$7&gt;=P$7,'P2.1 Governance deadlines'!$E$7&lt;=P$7+6),"VCAG papers ","")&amp;IF(AND('P2.1 Governance deadlines'!$D$7&gt;=P$7,'P2.1 Governance deadlines'!$D$7&lt;=P$7+6),"VCAG meet ","")&amp;IF(AND('P2.1 Governance deadlines'!$E$8&gt;=P$7,'P2.1 Governance deadlines'!$E$8&lt;=P$7+6),"IMC papers ","")&amp;IF(AND('P2.1 Governance deadlines'!$D$8&gt;=P$7,'P2.1 Governance deadlines'!$D$8&lt;=P$7+6),"IMC meet ","")&amp;IF(AND('P2.1 Governance deadlines'!$E$9&gt;=P$7,'P2.1 Governance deadlines'!$E$9&lt;=P$7+6),"VCAG papers ","")&amp;IF(AND('P2.1 Governance deadlines'!$D$9&gt;=P$7,'P2.1 Governance deadlines'!$D$9&lt;=P$7+6),"VCAG meet ","")&amp;IF(AND('P2.1 Governance deadlines'!$E$10&gt;=P$7,'P2.1 Governance deadlines'!$E$10&lt;=P$7+6),"UE papers ","")&amp;IF(AND('P2.1 Governance deadlines'!$D$10&gt;=P$7,'P2.1 Governance deadlines'!$D$10&lt;=P$7+6),"UE meet ","")&amp;IF(AND('P2.1 Governance deadlines'!$E$11&gt;=P$7,'P2.1 Governance deadlines'!$E$11&lt;=P$7+6),"UC papers ","")&amp;IF(AND('P2.1 Governance deadlines'!$D$11&gt;=P$7,'P2.1 Governance deadlines'!$D$11&lt;=P$7+6),"UC meet ",""))</f>
        <v/>
      </c>
      <c r="Q5" s="12">
        <f>TRIM(IF(AND('P2.1 Governance deadlines'!$E$6&gt;=Q$7,'P2.1 Governance deadlines'!$E$6&lt;=Q$7+6),"Review Grp papers ","")&amp;IF(AND('P2.1 Governance deadlines'!$D$6&gt;=Q$7,'P2.1 Governance deadlines'!$D$6&lt;=Q$7+6),"Review Grp meet ","")&amp;IF(AND('P2.1 Governance deadlines'!$E$7&gt;=Q$7,'P2.1 Governance deadlines'!$E$7&lt;=Q$7+6),"VCAG papers ","")&amp;IF(AND('P2.1 Governance deadlines'!$D$7&gt;=Q$7,'P2.1 Governance deadlines'!$D$7&lt;=Q$7+6),"VCAG meet ","")&amp;IF(AND('P2.1 Governance deadlines'!$E$8&gt;=Q$7,'P2.1 Governance deadlines'!$E$8&lt;=Q$7+6),"IMC papers ","")&amp;IF(AND('P2.1 Governance deadlines'!$D$8&gt;=Q$7,'P2.1 Governance deadlines'!$D$8&lt;=Q$7+6),"IMC meet ","")&amp;IF(AND('P2.1 Governance deadlines'!$E$9&gt;=Q$7,'P2.1 Governance deadlines'!$E$9&lt;=Q$7+6),"VCAG papers ","")&amp;IF(AND('P2.1 Governance deadlines'!$D$9&gt;=Q$7,'P2.1 Governance deadlines'!$D$9&lt;=Q$7+6),"VCAG meet ","")&amp;IF(AND('P2.1 Governance deadlines'!$E$10&gt;=Q$7,'P2.1 Governance deadlines'!$E$10&lt;=Q$7+6),"UE papers ","")&amp;IF(AND('P2.1 Governance deadlines'!$D$10&gt;=Q$7,'P2.1 Governance deadlines'!$D$10&lt;=Q$7+6),"UE meet ","")&amp;IF(AND('P2.1 Governance deadlines'!$E$11&gt;=Q$7,'P2.1 Governance deadlines'!$E$11&lt;=Q$7+6),"UC papers ","")&amp;IF(AND('P2.1 Governance deadlines'!$D$11&gt;=Q$7,'P2.1 Governance deadlines'!$D$11&lt;=Q$7+6),"UC meet ",""))</f>
        <v/>
      </c>
      <c r="R5" s="12">
        <f>TRIM(IF(AND('P2.1 Governance deadlines'!$E$6&gt;=R$7,'P2.1 Governance deadlines'!$E$6&lt;=R$7+6),"Review Grp papers ","")&amp;IF(AND('P2.1 Governance deadlines'!$D$6&gt;=R$7,'P2.1 Governance deadlines'!$D$6&lt;=R$7+6),"Review Grp meet ","")&amp;IF(AND('P2.1 Governance deadlines'!$E$7&gt;=R$7,'P2.1 Governance deadlines'!$E$7&lt;=R$7+6),"VCAG papers ","")&amp;IF(AND('P2.1 Governance deadlines'!$D$7&gt;=R$7,'P2.1 Governance deadlines'!$D$7&lt;=R$7+6),"VCAG meet ","")&amp;IF(AND('P2.1 Governance deadlines'!$E$8&gt;=R$7,'P2.1 Governance deadlines'!$E$8&lt;=R$7+6),"IMC papers ","")&amp;IF(AND('P2.1 Governance deadlines'!$D$8&gt;=R$7,'P2.1 Governance deadlines'!$D$8&lt;=R$7+6),"IMC meet ","")&amp;IF(AND('P2.1 Governance deadlines'!$E$9&gt;=R$7,'P2.1 Governance deadlines'!$E$9&lt;=R$7+6),"VCAG papers ","")&amp;IF(AND('P2.1 Governance deadlines'!$D$9&gt;=R$7,'P2.1 Governance deadlines'!$D$9&lt;=R$7+6),"VCAG meet ","")&amp;IF(AND('P2.1 Governance deadlines'!$E$10&gt;=R$7,'P2.1 Governance deadlines'!$E$10&lt;=R$7+6),"UE papers ","")&amp;IF(AND('P2.1 Governance deadlines'!$D$10&gt;=R$7,'P2.1 Governance deadlines'!$D$10&lt;=R$7+6),"UE meet ","")&amp;IF(AND('P2.1 Governance deadlines'!$E$11&gt;=R$7,'P2.1 Governance deadlines'!$E$11&lt;=R$7+6),"UC papers ","")&amp;IF(AND('P2.1 Governance deadlines'!$D$11&gt;=R$7,'P2.1 Governance deadlines'!$D$11&lt;=R$7+6),"UC meet ",""))</f>
        <v/>
      </c>
      <c r="S5" s="12">
        <f>TRIM(IF(AND('P2.1 Governance deadlines'!$E$6&gt;=S$7,'P2.1 Governance deadlines'!$E$6&lt;=S$7+6),"Review Grp papers ","")&amp;IF(AND('P2.1 Governance deadlines'!$D$6&gt;=S$7,'P2.1 Governance deadlines'!$D$6&lt;=S$7+6),"Review Grp meet ","")&amp;IF(AND('P2.1 Governance deadlines'!$E$7&gt;=S$7,'P2.1 Governance deadlines'!$E$7&lt;=S$7+6),"VCAG papers ","")&amp;IF(AND('P2.1 Governance deadlines'!$D$7&gt;=S$7,'P2.1 Governance deadlines'!$D$7&lt;=S$7+6),"VCAG meet ","")&amp;IF(AND('P2.1 Governance deadlines'!$E$8&gt;=S$7,'P2.1 Governance deadlines'!$E$8&lt;=S$7+6),"IMC papers ","")&amp;IF(AND('P2.1 Governance deadlines'!$D$8&gt;=S$7,'P2.1 Governance deadlines'!$D$8&lt;=S$7+6),"IMC meet ","")&amp;IF(AND('P2.1 Governance deadlines'!$E$9&gt;=S$7,'P2.1 Governance deadlines'!$E$9&lt;=S$7+6),"VCAG papers ","")&amp;IF(AND('P2.1 Governance deadlines'!$D$9&gt;=S$7,'P2.1 Governance deadlines'!$D$9&lt;=S$7+6),"VCAG meet ","")&amp;IF(AND('P2.1 Governance deadlines'!$E$10&gt;=S$7,'P2.1 Governance deadlines'!$E$10&lt;=S$7+6),"UE papers ","")&amp;IF(AND('P2.1 Governance deadlines'!$D$10&gt;=S$7,'P2.1 Governance deadlines'!$D$10&lt;=S$7+6),"UE meet ","")&amp;IF(AND('P2.1 Governance deadlines'!$E$11&gt;=S$7,'P2.1 Governance deadlines'!$E$11&lt;=S$7+6),"UC papers ","")&amp;IF(AND('P2.1 Governance deadlines'!$D$11&gt;=S$7,'P2.1 Governance deadlines'!$D$11&lt;=S$7+6),"UC meet ",""))</f>
        <v/>
      </c>
      <c r="T5" s="12">
        <f>TRIM(IF(AND('P2.1 Governance deadlines'!$E$6&gt;=T$7,'P2.1 Governance deadlines'!$E$6&lt;=T$7+6),"Review Grp papers ","")&amp;IF(AND('P2.1 Governance deadlines'!$D$6&gt;=T$7,'P2.1 Governance deadlines'!$D$6&lt;=T$7+6),"Review Grp meet ","")&amp;IF(AND('P2.1 Governance deadlines'!$E$7&gt;=T$7,'P2.1 Governance deadlines'!$E$7&lt;=T$7+6),"VCAG papers ","")&amp;IF(AND('P2.1 Governance deadlines'!$D$7&gt;=T$7,'P2.1 Governance deadlines'!$D$7&lt;=T$7+6),"VCAG meet ","")&amp;IF(AND('P2.1 Governance deadlines'!$E$8&gt;=T$7,'P2.1 Governance deadlines'!$E$8&lt;=T$7+6),"IMC papers ","")&amp;IF(AND('P2.1 Governance deadlines'!$D$8&gt;=T$7,'P2.1 Governance deadlines'!$D$8&lt;=T$7+6),"IMC meet ","")&amp;IF(AND('P2.1 Governance deadlines'!$E$9&gt;=T$7,'P2.1 Governance deadlines'!$E$9&lt;=T$7+6),"VCAG papers ","")&amp;IF(AND('P2.1 Governance deadlines'!$D$9&gt;=T$7,'P2.1 Governance deadlines'!$D$9&lt;=T$7+6),"VCAG meet ","")&amp;IF(AND('P2.1 Governance deadlines'!$E$10&gt;=T$7,'P2.1 Governance deadlines'!$E$10&lt;=T$7+6),"UE papers ","")&amp;IF(AND('P2.1 Governance deadlines'!$D$10&gt;=T$7,'P2.1 Governance deadlines'!$D$10&lt;=T$7+6),"UE meet ","")&amp;IF(AND('P2.1 Governance deadlines'!$E$11&gt;=T$7,'P2.1 Governance deadlines'!$E$11&lt;=T$7+6),"UC papers ","")&amp;IF(AND('P2.1 Governance deadlines'!$D$11&gt;=T$7,'P2.1 Governance deadlines'!$D$11&lt;=T$7+6),"UC meet ",""))</f>
        <v/>
      </c>
      <c r="U5" s="12">
        <f>TRIM(IF(AND('P2.1 Governance deadlines'!$E$6&gt;=U$7,'P2.1 Governance deadlines'!$E$6&lt;=U$7+6),"Review Grp papers ","")&amp;IF(AND('P2.1 Governance deadlines'!$D$6&gt;=U$7,'P2.1 Governance deadlines'!$D$6&lt;=U$7+6),"Review Grp meet ","")&amp;IF(AND('P2.1 Governance deadlines'!$E$7&gt;=U$7,'P2.1 Governance deadlines'!$E$7&lt;=U$7+6),"VCAG papers ","")&amp;IF(AND('P2.1 Governance deadlines'!$D$7&gt;=U$7,'P2.1 Governance deadlines'!$D$7&lt;=U$7+6),"VCAG meet ","")&amp;IF(AND('P2.1 Governance deadlines'!$E$8&gt;=U$7,'P2.1 Governance deadlines'!$E$8&lt;=U$7+6),"IMC papers ","")&amp;IF(AND('P2.1 Governance deadlines'!$D$8&gt;=U$7,'P2.1 Governance deadlines'!$D$8&lt;=U$7+6),"IMC meet ","")&amp;IF(AND('P2.1 Governance deadlines'!$E$9&gt;=U$7,'P2.1 Governance deadlines'!$E$9&lt;=U$7+6),"VCAG papers ","")&amp;IF(AND('P2.1 Governance deadlines'!$D$9&gt;=U$7,'P2.1 Governance deadlines'!$D$9&lt;=U$7+6),"VCAG meet ","")&amp;IF(AND('P2.1 Governance deadlines'!$E$10&gt;=U$7,'P2.1 Governance deadlines'!$E$10&lt;=U$7+6),"UE papers ","")&amp;IF(AND('P2.1 Governance deadlines'!$D$10&gt;=U$7,'P2.1 Governance deadlines'!$D$10&lt;=U$7+6),"UE meet ","")&amp;IF(AND('P2.1 Governance deadlines'!$E$11&gt;=U$7,'P2.1 Governance deadlines'!$E$11&lt;=U$7+6),"UC papers ","")&amp;IF(AND('P2.1 Governance deadlines'!$D$11&gt;=U$7,'P2.1 Governance deadlines'!$D$11&lt;=U$7+6),"UC meet ",""))</f>
        <v/>
      </c>
      <c r="V5" s="12">
        <f>TRIM(IF(AND('P2.1 Governance deadlines'!$E$6&gt;=V$7,'P2.1 Governance deadlines'!$E$6&lt;=V$7+6),"Review Grp papers ","")&amp;IF(AND('P2.1 Governance deadlines'!$D$6&gt;=V$7,'P2.1 Governance deadlines'!$D$6&lt;=V$7+6),"Review Grp meet ","")&amp;IF(AND('P2.1 Governance deadlines'!$E$7&gt;=V$7,'P2.1 Governance deadlines'!$E$7&lt;=V$7+6),"VCAG papers ","")&amp;IF(AND('P2.1 Governance deadlines'!$D$7&gt;=V$7,'P2.1 Governance deadlines'!$D$7&lt;=V$7+6),"VCAG meet ","")&amp;IF(AND('P2.1 Governance deadlines'!$E$8&gt;=V$7,'P2.1 Governance deadlines'!$E$8&lt;=V$7+6),"IMC papers ","")&amp;IF(AND('P2.1 Governance deadlines'!$D$8&gt;=V$7,'P2.1 Governance deadlines'!$D$8&lt;=V$7+6),"IMC meet ","")&amp;IF(AND('P2.1 Governance deadlines'!$E$9&gt;=V$7,'P2.1 Governance deadlines'!$E$9&lt;=V$7+6),"VCAG papers ","")&amp;IF(AND('P2.1 Governance deadlines'!$D$9&gt;=V$7,'P2.1 Governance deadlines'!$D$9&lt;=V$7+6),"VCAG meet ","")&amp;IF(AND('P2.1 Governance deadlines'!$E$10&gt;=V$7,'P2.1 Governance deadlines'!$E$10&lt;=V$7+6),"UE papers ","")&amp;IF(AND('P2.1 Governance deadlines'!$D$10&gt;=V$7,'P2.1 Governance deadlines'!$D$10&lt;=V$7+6),"UE meet ","")&amp;IF(AND('P2.1 Governance deadlines'!$E$11&gt;=V$7,'P2.1 Governance deadlines'!$E$11&lt;=V$7+6),"UC papers ","")&amp;IF(AND('P2.1 Governance deadlines'!$D$11&gt;=V$7,'P2.1 Governance deadlines'!$D$11&lt;=V$7+6),"UC meet ",""))</f>
        <v/>
      </c>
      <c r="W5" s="12">
        <f>TRIM(IF(AND('P2.1 Governance deadlines'!$E$6&gt;=W$7,'P2.1 Governance deadlines'!$E$6&lt;=W$7+6),"Review Grp papers ","")&amp;IF(AND('P2.1 Governance deadlines'!$D$6&gt;=W$7,'P2.1 Governance deadlines'!$D$6&lt;=W$7+6),"Review Grp meet ","")&amp;IF(AND('P2.1 Governance deadlines'!$E$7&gt;=W$7,'P2.1 Governance deadlines'!$E$7&lt;=W$7+6),"VCAG papers ","")&amp;IF(AND('P2.1 Governance deadlines'!$D$7&gt;=W$7,'P2.1 Governance deadlines'!$D$7&lt;=W$7+6),"VCAG meet ","")&amp;IF(AND('P2.1 Governance deadlines'!$E$8&gt;=W$7,'P2.1 Governance deadlines'!$E$8&lt;=W$7+6),"IMC papers ","")&amp;IF(AND('P2.1 Governance deadlines'!$D$8&gt;=W$7,'P2.1 Governance deadlines'!$D$8&lt;=W$7+6),"IMC meet ","")&amp;IF(AND('P2.1 Governance deadlines'!$E$9&gt;=W$7,'P2.1 Governance deadlines'!$E$9&lt;=W$7+6),"VCAG papers ","")&amp;IF(AND('P2.1 Governance deadlines'!$D$9&gt;=W$7,'P2.1 Governance deadlines'!$D$9&lt;=W$7+6),"VCAG meet ","")&amp;IF(AND('P2.1 Governance deadlines'!$E$10&gt;=W$7,'P2.1 Governance deadlines'!$E$10&lt;=W$7+6),"UE papers ","")&amp;IF(AND('P2.1 Governance deadlines'!$D$10&gt;=W$7,'P2.1 Governance deadlines'!$D$10&lt;=W$7+6),"UE meet ","")&amp;IF(AND('P2.1 Governance deadlines'!$E$11&gt;=W$7,'P2.1 Governance deadlines'!$E$11&lt;=W$7+6),"UC papers ","")&amp;IF(AND('P2.1 Governance deadlines'!$D$11&gt;=W$7,'P2.1 Governance deadlines'!$D$11&lt;=W$7+6),"UC meet ",""))</f>
        <v/>
      </c>
      <c r="X5" s="12">
        <f>TRIM(IF(AND('P2.1 Governance deadlines'!$E$6&gt;=X$7,'P2.1 Governance deadlines'!$E$6&lt;=X$7+6),"Review Grp papers ","")&amp;IF(AND('P2.1 Governance deadlines'!$D$6&gt;=X$7,'P2.1 Governance deadlines'!$D$6&lt;=X$7+6),"Review Grp meet ","")&amp;IF(AND('P2.1 Governance deadlines'!$E$7&gt;=X$7,'P2.1 Governance deadlines'!$E$7&lt;=X$7+6),"VCAG papers ","")&amp;IF(AND('P2.1 Governance deadlines'!$D$7&gt;=X$7,'P2.1 Governance deadlines'!$D$7&lt;=X$7+6),"VCAG meet ","")&amp;IF(AND('P2.1 Governance deadlines'!$E$8&gt;=X$7,'P2.1 Governance deadlines'!$E$8&lt;=X$7+6),"IMC papers ","")&amp;IF(AND('P2.1 Governance deadlines'!$D$8&gt;=X$7,'P2.1 Governance deadlines'!$D$8&lt;=X$7+6),"IMC meet ","")&amp;IF(AND('P2.1 Governance deadlines'!$E$9&gt;=X$7,'P2.1 Governance deadlines'!$E$9&lt;=X$7+6),"VCAG papers ","")&amp;IF(AND('P2.1 Governance deadlines'!$D$9&gt;=X$7,'P2.1 Governance deadlines'!$D$9&lt;=X$7+6),"VCAG meet ","")&amp;IF(AND('P2.1 Governance deadlines'!$E$10&gt;=X$7,'P2.1 Governance deadlines'!$E$10&lt;=X$7+6),"UE papers ","")&amp;IF(AND('P2.1 Governance deadlines'!$D$10&gt;=X$7,'P2.1 Governance deadlines'!$D$10&lt;=X$7+6),"UE meet ","")&amp;IF(AND('P2.1 Governance deadlines'!$E$11&gt;=X$7,'P2.1 Governance deadlines'!$E$11&lt;=X$7+6),"UC papers ","")&amp;IF(AND('P2.1 Governance deadlines'!$D$11&gt;=X$7,'P2.1 Governance deadlines'!$D$11&lt;=X$7+6),"UC meet ",""))</f>
        <v/>
      </c>
      <c r="Y5" s="12">
        <f>TRIM(IF(AND('P2.1 Governance deadlines'!$E$6&gt;=Y$7,'P2.1 Governance deadlines'!$E$6&lt;=Y$7+6),"Review Grp papers ","")&amp;IF(AND('P2.1 Governance deadlines'!$D$6&gt;=Y$7,'P2.1 Governance deadlines'!$D$6&lt;=Y$7+6),"Review Grp meet ","")&amp;IF(AND('P2.1 Governance deadlines'!$E$7&gt;=Y$7,'P2.1 Governance deadlines'!$E$7&lt;=Y$7+6),"VCAG papers ","")&amp;IF(AND('P2.1 Governance deadlines'!$D$7&gt;=Y$7,'P2.1 Governance deadlines'!$D$7&lt;=Y$7+6),"VCAG meet ","")&amp;IF(AND('P2.1 Governance deadlines'!$E$8&gt;=Y$7,'P2.1 Governance deadlines'!$E$8&lt;=Y$7+6),"IMC papers ","")&amp;IF(AND('P2.1 Governance deadlines'!$D$8&gt;=Y$7,'P2.1 Governance deadlines'!$D$8&lt;=Y$7+6),"IMC meet ","")&amp;IF(AND('P2.1 Governance deadlines'!$E$9&gt;=Y$7,'P2.1 Governance deadlines'!$E$9&lt;=Y$7+6),"VCAG papers ","")&amp;IF(AND('P2.1 Governance deadlines'!$D$9&gt;=Y$7,'P2.1 Governance deadlines'!$D$9&lt;=Y$7+6),"VCAG meet ","")&amp;IF(AND('P2.1 Governance deadlines'!$E$10&gt;=Y$7,'P2.1 Governance deadlines'!$E$10&lt;=Y$7+6),"UE papers ","")&amp;IF(AND('P2.1 Governance deadlines'!$D$10&gt;=Y$7,'P2.1 Governance deadlines'!$D$10&lt;=Y$7+6),"UE meet ","")&amp;IF(AND('P2.1 Governance deadlines'!$E$11&gt;=Y$7,'P2.1 Governance deadlines'!$E$11&lt;=Y$7+6),"UC papers ","")&amp;IF(AND('P2.1 Governance deadlines'!$D$11&gt;=Y$7,'P2.1 Governance deadlines'!$D$11&lt;=Y$7+6),"UC meet ",""))</f>
        <v/>
      </c>
      <c r="Z5" s="12">
        <f>TRIM(IF(AND('P2.1 Governance deadlines'!$E$6&gt;=Z$7,'P2.1 Governance deadlines'!$E$6&lt;=Z$7+6),"Review Grp papers ","")&amp;IF(AND('P2.1 Governance deadlines'!$D$6&gt;=Z$7,'P2.1 Governance deadlines'!$D$6&lt;=Z$7+6),"Review Grp meet ","")&amp;IF(AND('P2.1 Governance deadlines'!$E$7&gt;=Z$7,'P2.1 Governance deadlines'!$E$7&lt;=Z$7+6),"VCAG papers ","")&amp;IF(AND('P2.1 Governance deadlines'!$D$7&gt;=Z$7,'P2.1 Governance deadlines'!$D$7&lt;=Z$7+6),"VCAG meet ","")&amp;IF(AND('P2.1 Governance deadlines'!$E$8&gt;=Z$7,'P2.1 Governance deadlines'!$E$8&lt;=Z$7+6),"IMC papers ","")&amp;IF(AND('P2.1 Governance deadlines'!$D$8&gt;=Z$7,'P2.1 Governance deadlines'!$D$8&lt;=Z$7+6),"IMC meet ","")&amp;IF(AND('P2.1 Governance deadlines'!$E$9&gt;=Z$7,'P2.1 Governance deadlines'!$E$9&lt;=Z$7+6),"VCAG papers ","")&amp;IF(AND('P2.1 Governance deadlines'!$D$9&gt;=Z$7,'P2.1 Governance deadlines'!$D$9&lt;=Z$7+6),"VCAG meet ","")&amp;IF(AND('P2.1 Governance deadlines'!$E$10&gt;=Z$7,'P2.1 Governance deadlines'!$E$10&lt;=Z$7+6),"UE papers ","")&amp;IF(AND('P2.1 Governance deadlines'!$D$10&gt;=Z$7,'P2.1 Governance deadlines'!$D$10&lt;=Z$7+6),"UE meet ","")&amp;IF(AND('P2.1 Governance deadlines'!$E$11&gt;=Z$7,'P2.1 Governance deadlines'!$E$11&lt;=Z$7+6),"UC papers ","")&amp;IF(AND('P2.1 Governance deadlines'!$D$11&gt;=Z$7,'P2.1 Governance deadlines'!$D$11&lt;=Z$7+6),"UC meet ",""))</f>
        <v/>
      </c>
      <c r="AA5" s="12">
        <f>TRIM(IF(AND('P2.1 Governance deadlines'!$E$6&gt;=AA$7,'P2.1 Governance deadlines'!$E$6&lt;=AA$7+6),"Review Grp papers ","")&amp;IF(AND('P2.1 Governance deadlines'!$D$6&gt;=AA$7,'P2.1 Governance deadlines'!$D$6&lt;=AA$7+6),"Review Grp meet ","")&amp;IF(AND('P2.1 Governance deadlines'!$E$7&gt;=AA$7,'P2.1 Governance deadlines'!$E$7&lt;=AA$7+6),"VCAG papers ","")&amp;IF(AND('P2.1 Governance deadlines'!$D$7&gt;=AA$7,'P2.1 Governance deadlines'!$D$7&lt;=AA$7+6),"VCAG meet ","")&amp;IF(AND('P2.1 Governance deadlines'!$E$8&gt;=AA$7,'P2.1 Governance deadlines'!$E$8&lt;=AA$7+6),"IMC papers ","")&amp;IF(AND('P2.1 Governance deadlines'!$D$8&gt;=AA$7,'P2.1 Governance deadlines'!$D$8&lt;=AA$7+6),"IMC meet ","")&amp;IF(AND('P2.1 Governance deadlines'!$E$9&gt;=AA$7,'P2.1 Governance deadlines'!$E$9&lt;=AA$7+6),"VCAG papers ","")&amp;IF(AND('P2.1 Governance deadlines'!$D$9&gt;=AA$7,'P2.1 Governance deadlines'!$D$9&lt;=AA$7+6),"VCAG meet ","")&amp;IF(AND('P2.1 Governance deadlines'!$E$10&gt;=AA$7,'P2.1 Governance deadlines'!$E$10&lt;=AA$7+6),"UE papers ","")&amp;IF(AND('P2.1 Governance deadlines'!$D$10&gt;=AA$7,'P2.1 Governance deadlines'!$D$10&lt;=AA$7+6),"UE meet ","")&amp;IF(AND('P2.1 Governance deadlines'!$E$11&gt;=AA$7,'P2.1 Governance deadlines'!$E$11&lt;=AA$7+6),"UC papers ","")&amp;IF(AND('P2.1 Governance deadlines'!$D$11&gt;=AA$7,'P2.1 Governance deadlines'!$D$11&lt;=AA$7+6),"UC meet ",""))</f>
        <v/>
      </c>
      <c r="AB5" s="12">
        <f>TRIM(IF(AND('P2.1 Governance deadlines'!$E$6&gt;=AB$7,'P2.1 Governance deadlines'!$E$6&lt;=AB$7+6),"Review Grp papers ","")&amp;IF(AND('P2.1 Governance deadlines'!$D$6&gt;=AB$7,'P2.1 Governance deadlines'!$D$6&lt;=AB$7+6),"Review Grp meet ","")&amp;IF(AND('P2.1 Governance deadlines'!$E$7&gt;=AB$7,'P2.1 Governance deadlines'!$E$7&lt;=AB$7+6),"VCAG papers ","")&amp;IF(AND('P2.1 Governance deadlines'!$D$7&gt;=AB$7,'P2.1 Governance deadlines'!$D$7&lt;=AB$7+6),"VCAG meet ","")&amp;IF(AND('P2.1 Governance deadlines'!$E$8&gt;=AB$7,'P2.1 Governance deadlines'!$E$8&lt;=AB$7+6),"IMC papers ","")&amp;IF(AND('P2.1 Governance deadlines'!$D$8&gt;=AB$7,'P2.1 Governance deadlines'!$D$8&lt;=AB$7+6),"IMC meet ","")&amp;IF(AND('P2.1 Governance deadlines'!$E$9&gt;=AB$7,'P2.1 Governance deadlines'!$E$9&lt;=AB$7+6),"VCAG papers ","")&amp;IF(AND('P2.1 Governance deadlines'!$D$9&gt;=AB$7,'P2.1 Governance deadlines'!$D$9&lt;=AB$7+6),"VCAG meet ","")&amp;IF(AND('P2.1 Governance deadlines'!$E$10&gt;=AB$7,'P2.1 Governance deadlines'!$E$10&lt;=AB$7+6),"UE papers ","")&amp;IF(AND('P2.1 Governance deadlines'!$D$10&gt;=AB$7,'P2.1 Governance deadlines'!$D$10&lt;=AB$7+6),"UE meet ","")&amp;IF(AND('P2.1 Governance deadlines'!$E$11&gt;=AB$7,'P2.1 Governance deadlines'!$E$11&lt;=AB$7+6),"UC papers ","")&amp;IF(AND('P2.1 Governance deadlines'!$D$11&gt;=AB$7,'P2.1 Governance deadlines'!$D$11&lt;=AB$7+6),"UC meet ",""))</f>
        <v/>
      </c>
      <c r="AC5" s="12">
        <f>TRIM(IF(AND('P2.1 Governance deadlines'!$E$6&gt;=AC$7,'P2.1 Governance deadlines'!$E$6&lt;=AC$7+6),"Review Grp papers ","")&amp;IF(AND('P2.1 Governance deadlines'!$D$6&gt;=AC$7,'P2.1 Governance deadlines'!$D$6&lt;=AC$7+6),"Review Grp meet ","")&amp;IF(AND('P2.1 Governance deadlines'!$E$7&gt;=AC$7,'P2.1 Governance deadlines'!$E$7&lt;=AC$7+6),"VCAG papers ","")&amp;IF(AND('P2.1 Governance deadlines'!$D$7&gt;=AC$7,'P2.1 Governance deadlines'!$D$7&lt;=AC$7+6),"VCAG meet ","")&amp;IF(AND('P2.1 Governance deadlines'!$E$8&gt;=AC$7,'P2.1 Governance deadlines'!$E$8&lt;=AC$7+6),"IMC papers ","")&amp;IF(AND('P2.1 Governance deadlines'!$D$8&gt;=AC$7,'P2.1 Governance deadlines'!$D$8&lt;=AC$7+6),"IMC meet ","")&amp;IF(AND('P2.1 Governance deadlines'!$E$9&gt;=AC$7,'P2.1 Governance deadlines'!$E$9&lt;=AC$7+6),"VCAG papers ","")&amp;IF(AND('P2.1 Governance deadlines'!$D$9&gt;=AC$7,'P2.1 Governance deadlines'!$D$9&lt;=AC$7+6),"VCAG meet ","")&amp;IF(AND('P2.1 Governance deadlines'!$E$10&gt;=AC$7,'P2.1 Governance deadlines'!$E$10&lt;=AC$7+6),"UE papers ","")&amp;IF(AND('P2.1 Governance deadlines'!$D$10&gt;=AC$7,'P2.1 Governance deadlines'!$D$10&lt;=AC$7+6),"UE meet ","")&amp;IF(AND('P2.1 Governance deadlines'!$E$11&gt;=AC$7,'P2.1 Governance deadlines'!$E$11&lt;=AC$7+6),"UC papers ","")&amp;IF(AND('P2.1 Governance deadlines'!$D$11&gt;=AC$7,'P2.1 Governance deadlines'!$D$11&lt;=AC$7+6),"UC meet ",""))</f>
        <v/>
      </c>
      <c r="AD5" s="12">
        <f>TRIM(IF(AND('P2.1 Governance deadlines'!$E$6&gt;=AD$7,'P2.1 Governance deadlines'!$E$6&lt;=AD$7+6),"Review Grp papers ","")&amp;IF(AND('P2.1 Governance deadlines'!$D$6&gt;=AD$7,'P2.1 Governance deadlines'!$D$6&lt;=AD$7+6),"Review Grp meet ","")&amp;IF(AND('P2.1 Governance deadlines'!$E$7&gt;=AD$7,'P2.1 Governance deadlines'!$E$7&lt;=AD$7+6),"VCAG papers ","")&amp;IF(AND('P2.1 Governance deadlines'!$D$7&gt;=AD$7,'P2.1 Governance deadlines'!$D$7&lt;=AD$7+6),"VCAG meet ","")&amp;IF(AND('P2.1 Governance deadlines'!$E$8&gt;=AD$7,'P2.1 Governance deadlines'!$E$8&lt;=AD$7+6),"IMC papers ","")&amp;IF(AND('P2.1 Governance deadlines'!$D$8&gt;=AD$7,'P2.1 Governance deadlines'!$D$8&lt;=AD$7+6),"IMC meet ","")&amp;IF(AND('P2.1 Governance deadlines'!$E$9&gt;=AD$7,'P2.1 Governance deadlines'!$E$9&lt;=AD$7+6),"VCAG papers ","")&amp;IF(AND('P2.1 Governance deadlines'!$D$9&gt;=AD$7,'P2.1 Governance deadlines'!$D$9&lt;=AD$7+6),"VCAG meet ","")&amp;IF(AND('P2.1 Governance deadlines'!$E$10&gt;=AD$7,'P2.1 Governance deadlines'!$E$10&lt;=AD$7+6),"UE papers ","")&amp;IF(AND('P2.1 Governance deadlines'!$D$10&gt;=AD$7,'P2.1 Governance deadlines'!$D$10&lt;=AD$7+6),"UE meet ","")&amp;IF(AND('P2.1 Governance deadlines'!$E$11&gt;=AD$7,'P2.1 Governance deadlines'!$E$11&lt;=AD$7+6),"UC papers ","")&amp;IF(AND('P2.1 Governance deadlines'!$D$11&gt;=AD$7,'P2.1 Governance deadlines'!$D$11&lt;=AD$7+6),"UC meet ",""))</f>
        <v/>
      </c>
      <c r="AE5" s="12">
        <f>TRIM(IF(AND('P2.1 Governance deadlines'!$E$6&gt;=AE$7,'P2.1 Governance deadlines'!$E$6&lt;=AE$7+6),"Review Grp papers ","")&amp;IF(AND('P2.1 Governance deadlines'!$D$6&gt;=AE$7,'P2.1 Governance deadlines'!$D$6&lt;=AE$7+6),"Review Grp meet ","")&amp;IF(AND('P2.1 Governance deadlines'!$E$7&gt;=AE$7,'P2.1 Governance deadlines'!$E$7&lt;=AE$7+6),"VCAG papers ","")&amp;IF(AND('P2.1 Governance deadlines'!$D$7&gt;=AE$7,'P2.1 Governance deadlines'!$D$7&lt;=AE$7+6),"VCAG meet ","")&amp;IF(AND('P2.1 Governance deadlines'!$E$8&gt;=AE$7,'P2.1 Governance deadlines'!$E$8&lt;=AE$7+6),"IMC papers ","")&amp;IF(AND('P2.1 Governance deadlines'!$D$8&gt;=AE$7,'P2.1 Governance deadlines'!$D$8&lt;=AE$7+6),"IMC meet ","")&amp;IF(AND('P2.1 Governance deadlines'!$E$9&gt;=AE$7,'P2.1 Governance deadlines'!$E$9&lt;=AE$7+6),"VCAG papers ","")&amp;IF(AND('P2.1 Governance deadlines'!$D$9&gt;=AE$7,'P2.1 Governance deadlines'!$D$9&lt;=AE$7+6),"VCAG meet ","")&amp;IF(AND('P2.1 Governance deadlines'!$E$10&gt;=AE$7,'P2.1 Governance deadlines'!$E$10&lt;=AE$7+6),"UE papers ","")&amp;IF(AND('P2.1 Governance deadlines'!$D$10&gt;=AE$7,'P2.1 Governance deadlines'!$D$10&lt;=AE$7+6),"UE meet ","")&amp;IF(AND('P2.1 Governance deadlines'!$E$11&gt;=AE$7,'P2.1 Governance deadlines'!$E$11&lt;=AE$7+6),"UC papers ","")&amp;IF(AND('P2.1 Governance deadlines'!$D$11&gt;=AE$7,'P2.1 Governance deadlines'!$D$11&lt;=AE$7+6),"UC meet ",""))</f>
        <v/>
      </c>
      <c r="AF5" s="12">
        <f>TRIM(IF(AND('P2.1 Governance deadlines'!$E$6&gt;=AF$7,'P2.1 Governance deadlines'!$E$6&lt;=AF$7+6),"Review Grp papers ","")&amp;IF(AND('P2.1 Governance deadlines'!$D$6&gt;=AF$7,'P2.1 Governance deadlines'!$D$6&lt;=AF$7+6),"Review Grp meet ","")&amp;IF(AND('P2.1 Governance deadlines'!$E$7&gt;=AF$7,'P2.1 Governance deadlines'!$E$7&lt;=AF$7+6),"VCAG papers ","")&amp;IF(AND('P2.1 Governance deadlines'!$D$7&gt;=AF$7,'P2.1 Governance deadlines'!$D$7&lt;=AF$7+6),"VCAG meet ","")&amp;IF(AND('P2.1 Governance deadlines'!$E$8&gt;=AF$7,'P2.1 Governance deadlines'!$E$8&lt;=AF$7+6),"IMC papers ","")&amp;IF(AND('P2.1 Governance deadlines'!$D$8&gt;=AF$7,'P2.1 Governance deadlines'!$D$8&lt;=AF$7+6),"IMC meet ","")&amp;IF(AND('P2.1 Governance deadlines'!$E$9&gt;=AF$7,'P2.1 Governance deadlines'!$E$9&lt;=AF$7+6),"VCAG papers ","")&amp;IF(AND('P2.1 Governance deadlines'!$D$9&gt;=AF$7,'P2.1 Governance deadlines'!$D$9&lt;=AF$7+6),"VCAG meet ","")&amp;IF(AND('P2.1 Governance deadlines'!$E$10&gt;=AF$7,'P2.1 Governance deadlines'!$E$10&lt;=AF$7+6),"UE papers ","")&amp;IF(AND('P2.1 Governance deadlines'!$D$10&gt;=AF$7,'P2.1 Governance deadlines'!$D$10&lt;=AF$7+6),"UE meet ","")&amp;IF(AND('P2.1 Governance deadlines'!$E$11&gt;=AF$7,'P2.1 Governance deadlines'!$E$11&lt;=AF$7+6),"UC papers ","")&amp;IF(AND('P2.1 Governance deadlines'!$D$11&gt;=AF$7,'P2.1 Governance deadlines'!$D$11&lt;=AF$7+6),"UC meet ",""))</f>
        <v/>
      </c>
      <c r="AG5" s="12">
        <f>TRIM(IF(AND('P2.1 Governance deadlines'!$E$6&gt;=AG$7,'P2.1 Governance deadlines'!$E$6&lt;=AG$7+6),"Review Grp papers ","")&amp;IF(AND('P2.1 Governance deadlines'!$D$6&gt;=AG$7,'P2.1 Governance deadlines'!$D$6&lt;=AG$7+6),"Review Grp meet ","")&amp;IF(AND('P2.1 Governance deadlines'!$E$7&gt;=AG$7,'P2.1 Governance deadlines'!$E$7&lt;=AG$7+6),"VCAG papers ","")&amp;IF(AND('P2.1 Governance deadlines'!$D$7&gt;=AG$7,'P2.1 Governance deadlines'!$D$7&lt;=AG$7+6),"VCAG meet ","")&amp;IF(AND('P2.1 Governance deadlines'!$E$8&gt;=AG$7,'P2.1 Governance deadlines'!$E$8&lt;=AG$7+6),"IMC papers ","")&amp;IF(AND('P2.1 Governance deadlines'!$D$8&gt;=AG$7,'P2.1 Governance deadlines'!$D$8&lt;=AG$7+6),"IMC meet ","")&amp;IF(AND('P2.1 Governance deadlines'!$E$9&gt;=AG$7,'P2.1 Governance deadlines'!$E$9&lt;=AG$7+6),"VCAG papers ","")&amp;IF(AND('P2.1 Governance deadlines'!$D$9&gt;=AG$7,'P2.1 Governance deadlines'!$D$9&lt;=AG$7+6),"VCAG meet ","")&amp;IF(AND('P2.1 Governance deadlines'!$E$10&gt;=AG$7,'P2.1 Governance deadlines'!$E$10&lt;=AG$7+6),"UE papers ","")&amp;IF(AND('P2.1 Governance deadlines'!$D$10&gt;=AG$7,'P2.1 Governance deadlines'!$D$10&lt;=AG$7+6),"UE meet ","")&amp;IF(AND('P2.1 Governance deadlines'!$E$11&gt;=AG$7,'P2.1 Governance deadlines'!$E$11&lt;=AG$7+6),"UC papers ","")&amp;IF(AND('P2.1 Governance deadlines'!$D$11&gt;=AG$7,'P2.1 Governance deadlines'!$D$11&lt;=AG$7+6),"UC meet ",""))</f>
        <v/>
      </c>
      <c r="AH5" s="12">
        <f>TRIM(IF(AND('P2.1 Governance deadlines'!$E$6&gt;=AH$7,'P2.1 Governance deadlines'!$E$6&lt;=AH$7+6),"Review Grp papers ","")&amp;IF(AND('P2.1 Governance deadlines'!$D$6&gt;=AH$7,'P2.1 Governance deadlines'!$D$6&lt;=AH$7+6),"Review Grp meet ","")&amp;IF(AND('P2.1 Governance deadlines'!$E$7&gt;=AH$7,'P2.1 Governance deadlines'!$E$7&lt;=AH$7+6),"VCAG papers ","")&amp;IF(AND('P2.1 Governance deadlines'!$D$7&gt;=AH$7,'P2.1 Governance deadlines'!$D$7&lt;=AH$7+6),"VCAG meet ","")&amp;IF(AND('P2.1 Governance deadlines'!$E$8&gt;=AH$7,'P2.1 Governance deadlines'!$E$8&lt;=AH$7+6),"IMC papers ","")&amp;IF(AND('P2.1 Governance deadlines'!$D$8&gt;=AH$7,'P2.1 Governance deadlines'!$D$8&lt;=AH$7+6),"IMC meet ","")&amp;IF(AND('P2.1 Governance deadlines'!$E$9&gt;=AH$7,'P2.1 Governance deadlines'!$E$9&lt;=AH$7+6),"VCAG papers ","")&amp;IF(AND('P2.1 Governance deadlines'!$D$9&gt;=AH$7,'P2.1 Governance deadlines'!$D$9&lt;=AH$7+6),"VCAG meet ","")&amp;IF(AND('P2.1 Governance deadlines'!$E$10&gt;=AH$7,'P2.1 Governance deadlines'!$E$10&lt;=AH$7+6),"UE papers ","")&amp;IF(AND('P2.1 Governance deadlines'!$D$10&gt;=AH$7,'P2.1 Governance deadlines'!$D$10&lt;=AH$7+6),"UE meet ","")&amp;IF(AND('P2.1 Governance deadlines'!$E$11&gt;=AH$7,'P2.1 Governance deadlines'!$E$11&lt;=AH$7+6),"UC papers ","")&amp;IF(AND('P2.1 Governance deadlines'!$D$11&gt;=AH$7,'P2.1 Governance deadlines'!$D$11&lt;=AH$7+6),"UC meet ",""))</f>
        <v/>
      </c>
      <c r="AI5" s="12">
        <f>TRIM(IF(AND('P2.1 Governance deadlines'!$E$6&gt;=AI$7,'P2.1 Governance deadlines'!$E$6&lt;=AI$7+6),"Review Grp papers ","")&amp;IF(AND('P2.1 Governance deadlines'!$D$6&gt;=AI$7,'P2.1 Governance deadlines'!$D$6&lt;=AI$7+6),"Review Grp meet ","")&amp;IF(AND('P2.1 Governance deadlines'!$E$7&gt;=AI$7,'P2.1 Governance deadlines'!$E$7&lt;=AI$7+6),"VCAG papers ","")&amp;IF(AND('P2.1 Governance deadlines'!$D$7&gt;=AI$7,'P2.1 Governance deadlines'!$D$7&lt;=AI$7+6),"VCAG meet ","")&amp;IF(AND('P2.1 Governance deadlines'!$E$8&gt;=AI$7,'P2.1 Governance deadlines'!$E$8&lt;=AI$7+6),"IMC papers ","")&amp;IF(AND('P2.1 Governance deadlines'!$D$8&gt;=AI$7,'P2.1 Governance deadlines'!$D$8&lt;=AI$7+6),"IMC meet ","")&amp;IF(AND('P2.1 Governance deadlines'!$E$9&gt;=AI$7,'P2.1 Governance deadlines'!$E$9&lt;=AI$7+6),"VCAG papers ","")&amp;IF(AND('P2.1 Governance deadlines'!$D$9&gt;=AI$7,'P2.1 Governance deadlines'!$D$9&lt;=AI$7+6),"VCAG meet ","")&amp;IF(AND('P2.1 Governance deadlines'!$E$10&gt;=AI$7,'P2.1 Governance deadlines'!$E$10&lt;=AI$7+6),"UE papers ","")&amp;IF(AND('P2.1 Governance deadlines'!$D$10&gt;=AI$7,'P2.1 Governance deadlines'!$D$10&lt;=AI$7+6),"UE meet ","")&amp;IF(AND('P2.1 Governance deadlines'!$E$11&gt;=AI$7,'P2.1 Governance deadlines'!$E$11&lt;=AI$7+6),"UC papers ","")&amp;IF(AND('P2.1 Governance deadlines'!$D$11&gt;=AI$7,'P2.1 Governance deadlines'!$D$11&lt;=AI$7+6),"UC meet ",""))</f>
        <v/>
      </c>
      <c r="AJ5" s="12">
        <f>TRIM(IF(AND('P2.1 Governance deadlines'!$E$6&gt;=AJ$7,'P2.1 Governance deadlines'!$E$6&lt;=AJ$7+6),"Review Grp papers ","")&amp;IF(AND('P2.1 Governance deadlines'!$D$6&gt;=AJ$7,'P2.1 Governance deadlines'!$D$6&lt;=AJ$7+6),"Review Grp meet ","")&amp;IF(AND('P2.1 Governance deadlines'!$E$7&gt;=AJ$7,'P2.1 Governance deadlines'!$E$7&lt;=AJ$7+6),"VCAG papers ","")&amp;IF(AND('P2.1 Governance deadlines'!$D$7&gt;=AJ$7,'P2.1 Governance deadlines'!$D$7&lt;=AJ$7+6),"VCAG meet ","")&amp;IF(AND('P2.1 Governance deadlines'!$E$8&gt;=AJ$7,'P2.1 Governance deadlines'!$E$8&lt;=AJ$7+6),"IMC papers ","")&amp;IF(AND('P2.1 Governance deadlines'!$D$8&gt;=AJ$7,'P2.1 Governance deadlines'!$D$8&lt;=AJ$7+6),"IMC meet ","")&amp;IF(AND('P2.1 Governance deadlines'!$E$9&gt;=AJ$7,'P2.1 Governance deadlines'!$E$9&lt;=AJ$7+6),"VCAG papers ","")&amp;IF(AND('P2.1 Governance deadlines'!$D$9&gt;=AJ$7,'P2.1 Governance deadlines'!$D$9&lt;=AJ$7+6),"VCAG meet ","")&amp;IF(AND('P2.1 Governance deadlines'!$E$10&gt;=AJ$7,'P2.1 Governance deadlines'!$E$10&lt;=AJ$7+6),"UE papers ","")&amp;IF(AND('P2.1 Governance deadlines'!$D$10&gt;=AJ$7,'P2.1 Governance deadlines'!$D$10&lt;=AJ$7+6),"UE meet ","")&amp;IF(AND('P2.1 Governance deadlines'!$E$11&gt;=AJ$7,'P2.1 Governance deadlines'!$E$11&lt;=AJ$7+6),"UC papers ","")&amp;IF(AND('P2.1 Governance deadlines'!$D$11&gt;=AJ$7,'P2.1 Governance deadlines'!$D$11&lt;=AJ$7+6),"UC meet ",""))</f>
        <v/>
      </c>
      <c r="AK5" s="12">
        <f>TRIM(IF(AND('P2.1 Governance deadlines'!$E$6&gt;=AK$7,'P2.1 Governance deadlines'!$E$6&lt;=AK$7+6),"Review Grp papers ","")&amp;IF(AND('P2.1 Governance deadlines'!$D$6&gt;=AK$7,'P2.1 Governance deadlines'!$D$6&lt;=AK$7+6),"Review Grp meet ","")&amp;IF(AND('P2.1 Governance deadlines'!$E$7&gt;=AK$7,'P2.1 Governance deadlines'!$E$7&lt;=AK$7+6),"VCAG papers ","")&amp;IF(AND('P2.1 Governance deadlines'!$D$7&gt;=AK$7,'P2.1 Governance deadlines'!$D$7&lt;=AK$7+6),"VCAG meet ","")&amp;IF(AND('P2.1 Governance deadlines'!$E$8&gt;=AK$7,'P2.1 Governance deadlines'!$E$8&lt;=AK$7+6),"IMC papers ","")&amp;IF(AND('P2.1 Governance deadlines'!$D$8&gt;=AK$7,'P2.1 Governance deadlines'!$D$8&lt;=AK$7+6),"IMC meet ","")&amp;IF(AND('P2.1 Governance deadlines'!$E$9&gt;=AK$7,'P2.1 Governance deadlines'!$E$9&lt;=AK$7+6),"VCAG papers ","")&amp;IF(AND('P2.1 Governance deadlines'!$D$9&gt;=AK$7,'P2.1 Governance deadlines'!$D$9&lt;=AK$7+6),"VCAG meet ","")&amp;IF(AND('P2.1 Governance deadlines'!$E$10&gt;=AK$7,'P2.1 Governance deadlines'!$E$10&lt;=AK$7+6),"UE papers ","")&amp;IF(AND('P2.1 Governance deadlines'!$D$10&gt;=AK$7,'P2.1 Governance deadlines'!$D$10&lt;=AK$7+6),"UE meet ","")&amp;IF(AND('P2.1 Governance deadlines'!$E$11&gt;=AK$7,'P2.1 Governance deadlines'!$E$11&lt;=AK$7+6),"UC papers ","")&amp;IF(AND('P2.1 Governance deadlines'!$D$11&gt;=AK$7,'P2.1 Governance deadlines'!$D$11&lt;=AK$7+6),"UC meet ",""))</f>
        <v/>
      </c>
      <c r="AL5" s="12">
        <f>TRIM(IF(AND('P2.1 Governance deadlines'!$E$6&gt;=AL$7,'P2.1 Governance deadlines'!$E$6&lt;=AL$7+6),"Review Grp papers ","")&amp;IF(AND('P2.1 Governance deadlines'!$D$6&gt;=AL$7,'P2.1 Governance deadlines'!$D$6&lt;=AL$7+6),"Review Grp meet ","")&amp;IF(AND('P2.1 Governance deadlines'!$E$7&gt;=AL$7,'P2.1 Governance deadlines'!$E$7&lt;=AL$7+6),"VCAG papers ","")&amp;IF(AND('P2.1 Governance deadlines'!$D$7&gt;=AL$7,'P2.1 Governance deadlines'!$D$7&lt;=AL$7+6),"VCAG meet ","")&amp;IF(AND('P2.1 Governance deadlines'!$E$8&gt;=AL$7,'P2.1 Governance deadlines'!$E$8&lt;=AL$7+6),"IMC papers ","")&amp;IF(AND('P2.1 Governance deadlines'!$D$8&gt;=AL$7,'P2.1 Governance deadlines'!$D$8&lt;=AL$7+6),"IMC meet ","")&amp;IF(AND('P2.1 Governance deadlines'!$E$9&gt;=AL$7,'P2.1 Governance deadlines'!$E$9&lt;=AL$7+6),"VCAG papers ","")&amp;IF(AND('P2.1 Governance deadlines'!$D$9&gt;=AL$7,'P2.1 Governance deadlines'!$D$9&lt;=AL$7+6),"VCAG meet ","")&amp;IF(AND('P2.1 Governance deadlines'!$E$10&gt;=AL$7,'P2.1 Governance deadlines'!$E$10&lt;=AL$7+6),"UE papers ","")&amp;IF(AND('P2.1 Governance deadlines'!$D$10&gt;=AL$7,'P2.1 Governance deadlines'!$D$10&lt;=AL$7+6),"UE meet ","")&amp;IF(AND('P2.1 Governance deadlines'!$E$11&gt;=AL$7,'P2.1 Governance deadlines'!$E$11&lt;=AL$7+6),"UC papers ","")&amp;IF(AND('P2.1 Governance deadlines'!$D$11&gt;=AL$7,'P2.1 Governance deadlines'!$D$11&lt;=AL$7+6),"UC meet ",""))</f>
        <v/>
      </c>
      <c r="AM5" s="12">
        <f>TRIM(IF(AND('P2.1 Governance deadlines'!$E$6&gt;=AM$7,'P2.1 Governance deadlines'!$E$6&lt;=AM$7+6),"Review Grp papers ","")&amp;IF(AND('P2.1 Governance deadlines'!$D$6&gt;=AM$7,'P2.1 Governance deadlines'!$D$6&lt;=AM$7+6),"Review Grp meet ","")&amp;IF(AND('P2.1 Governance deadlines'!$E$7&gt;=AM$7,'P2.1 Governance deadlines'!$E$7&lt;=AM$7+6),"VCAG papers ","")&amp;IF(AND('P2.1 Governance deadlines'!$D$7&gt;=AM$7,'P2.1 Governance deadlines'!$D$7&lt;=AM$7+6),"VCAG meet ","")&amp;IF(AND('P2.1 Governance deadlines'!$E$8&gt;=AM$7,'P2.1 Governance deadlines'!$E$8&lt;=AM$7+6),"IMC papers ","")&amp;IF(AND('P2.1 Governance deadlines'!$D$8&gt;=AM$7,'P2.1 Governance deadlines'!$D$8&lt;=AM$7+6),"IMC meet ","")&amp;IF(AND('P2.1 Governance deadlines'!$E$9&gt;=AM$7,'P2.1 Governance deadlines'!$E$9&lt;=AM$7+6),"VCAG papers ","")&amp;IF(AND('P2.1 Governance deadlines'!$D$9&gt;=AM$7,'P2.1 Governance deadlines'!$D$9&lt;=AM$7+6),"VCAG meet ","")&amp;IF(AND('P2.1 Governance deadlines'!$E$10&gt;=AM$7,'P2.1 Governance deadlines'!$E$10&lt;=AM$7+6),"UE papers ","")&amp;IF(AND('P2.1 Governance deadlines'!$D$10&gt;=AM$7,'P2.1 Governance deadlines'!$D$10&lt;=AM$7+6),"UE meet ","")&amp;IF(AND('P2.1 Governance deadlines'!$E$11&gt;=AM$7,'P2.1 Governance deadlines'!$E$11&lt;=AM$7+6),"UC papers ","")&amp;IF(AND('P2.1 Governance deadlines'!$D$11&gt;=AM$7,'P2.1 Governance deadlines'!$D$11&lt;=AM$7+6),"UC meet ",""))</f>
        <v/>
      </c>
      <c r="AN5" s="12">
        <f>TRIM(IF(AND('P2.1 Governance deadlines'!$E$6&gt;=AN$7,'P2.1 Governance deadlines'!$E$6&lt;=AN$7+6),"Review Grp papers ","")&amp;IF(AND('P2.1 Governance deadlines'!$D$6&gt;=AN$7,'P2.1 Governance deadlines'!$D$6&lt;=AN$7+6),"Review Grp meet ","")&amp;IF(AND('P2.1 Governance deadlines'!$E$7&gt;=AN$7,'P2.1 Governance deadlines'!$E$7&lt;=AN$7+6),"VCAG papers ","")&amp;IF(AND('P2.1 Governance deadlines'!$D$7&gt;=AN$7,'P2.1 Governance deadlines'!$D$7&lt;=AN$7+6),"VCAG meet ","")&amp;IF(AND('P2.1 Governance deadlines'!$E$8&gt;=AN$7,'P2.1 Governance deadlines'!$E$8&lt;=AN$7+6),"IMC papers ","")&amp;IF(AND('P2.1 Governance deadlines'!$D$8&gt;=AN$7,'P2.1 Governance deadlines'!$D$8&lt;=AN$7+6),"IMC meet ","")&amp;IF(AND('P2.1 Governance deadlines'!$E$9&gt;=AN$7,'P2.1 Governance deadlines'!$E$9&lt;=AN$7+6),"VCAG papers ","")&amp;IF(AND('P2.1 Governance deadlines'!$D$9&gt;=AN$7,'P2.1 Governance deadlines'!$D$9&lt;=AN$7+6),"VCAG meet ","")&amp;IF(AND('P2.1 Governance deadlines'!$E$10&gt;=AN$7,'P2.1 Governance deadlines'!$E$10&lt;=AN$7+6),"UE papers ","")&amp;IF(AND('P2.1 Governance deadlines'!$D$10&gt;=AN$7,'P2.1 Governance deadlines'!$D$10&lt;=AN$7+6),"UE meet ","")&amp;IF(AND('P2.1 Governance deadlines'!$E$11&gt;=AN$7,'P2.1 Governance deadlines'!$E$11&lt;=AN$7+6),"UC papers ","")&amp;IF(AND('P2.1 Governance deadlines'!$D$11&gt;=AN$7,'P2.1 Governance deadlines'!$D$11&lt;=AN$7+6),"UC meet ",""))</f>
        <v/>
      </c>
      <c r="AO5" s="12">
        <f>TRIM(IF(AND('P2.1 Governance deadlines'!$E$6&gt;=AO$7,'P2.1 Governance deadlines'!$E$6&lt;=AO$7+6),"Review Grp papers ","")&amp;IF(AND('P2.1 Governance deadlines'!$D$6&gt;=AO$7,'P2.1 Governance deadlines'!$D$6&lt;=AO$7+6),"Review Grp meet ","")&amp;IF(AND('P2.1 Governance deadlines'!$E$7&gt;=AO$7,'P2.1 Governance deadlines'!$E$7&lt;=AO$7+6),"VCAG papers ","")&amp;IF(AND('P2.1 Governance deadlines'!$D$7&gt;=AO$7,'P2.1 Governance deadlines'!$D$7&lt;=AO$7+6),"VCAG meet ","")&amp;IF(AND('P2.1 Governance deadlines'!$E$8&gt;=AO$7,'P2.1 Governance deadlines'!$E$8&lt;=AO$7+6),"IMC papers ","")&amp;IF(AND('P2.1 Governance deadlines'!$D$8&gt;=AO$7,'P2.1 Governance deadlines'!$D$8&lt;=AO$7+6),"IMC meet ","")&amp;IF(AND('P2.1 Governance deadlines'!$E$9&gt;=AO$7,'P2.1 Governance deadlines'!$E$9&lt;=AO$7+6),"VCAG papers ","")&amp;IF(AND('P2.1 Governance deadlines'!$D$9&gt;=AO$7,'P2.1 Governance deadlines'!$D$9&lt;=AO$7+6),"VCAG meet ","")&amp;IF(AND('P2.1 Governance deadlines'!$E$10&gt;=AO$7,'P2.1 Governance deadlines'!$E$10&lt;=AO$7+6),"UE papers ","")&amp;IF(AND('P2.1 Governance deadlines'!$D$10&gt;=AO$7,'P2.1 Governance deadlines'!$D$10&lt;=AO$7+6),"UE meet ","")&amp;IF(AND('P2.1 Governance deadlines'!$E$11&gt;=AO$7,'P2.1 Governance deadlines'!$E$11&lt;=AO$7+6),"UC papers ","")&amp;IF(AND('P2.1 Governance deadlines'!$D$11&gt;=AO$7,'P2.1 Governance deadlines'!$D$11&lt;=AO$7+6),"UC meet ",""))</f>
        <v/>
      </c>
      <c r="AP5" s="12">
        <f>TRIM(IF(AND('P2.1 Governance deadlines'!$E$6&gt;=AP$7,'P2.1 Governance deadlines'!$E$6&lt;=AP$7+6),"Review Grp papers ","")&amp;IF(AND('P2.1 Governance deadlines'!$D$6&gt;=AP$7,'P2.1 Governance deadlines'!$D$6&lt;=AP$7+6),"Review Grp meet ","")&amp;IF(AND('P2.1 Governance deadlines'!$E$7&gt;=AP$7,'P2.1 Governance deadlines'!$E$7&lt;=AP$7+6),"VCAG papers ","")&amp;IF(AND('P2.1 Governance deadlines'!$D$7&gt;=AP$7,'P2.1 Governance deadlines'!$D$7&lt;=AP$7+6),"VCAG meet ","")&amp;IF(AND('P2.1 Governance deadlines'!$E$8&gt;=AP$7,'P2.1 Governance deadlines'!$E$8&lt;=AP$7+6),"IMC papers ","")&amp;IF(AND('P2.1 Governance deadlines'!$D$8&gt;=AP$7,'P2.1 Governance deadlines'!$D$8&lt;=AP$7+6),"IMC meet ","")&amp;IF(AND('P2.1 Governance deadlines'!$E$9&gt;=AP$7,'P2.1 Governance deadlines'!$E$9&lt;=AP$7+6),"VCAG papers ","")&amp;IF(AND('P2.1 Governance deadlines'!$D$9&gt;=AP$7,'P2.1 Governance deadlines'!$D$9&lt;=AP$7+6),"VCAG meet ","")&amp;IF(AND('P2.1 Governance deadlines'!$E$10&gt;=AP$7,'P2.1 Governance deadlines'!$E$10&lt;=AP$7+6),"UE papers ","")&amp;IF(AND('P2.1 Governance deadlines'!$D$10&gt;=AP$7,'P2.1 Governance deadlines'!$D$10&lt;=AP$7+6),"UE meet ","")&amp;IF(AND('P2.1 Governance deadlines'!$E$11&gt;=AP$7,'P2.1 Governance deadlines'!$E$11&lt;=AP$7+6),"UC papers ","")&amp;IF(AND('P2.1 Governance deadlines'!$D$11&gt;=AP$7,'P2.1 Governance deadlines'!$D$11&lt;=AP$7+6),"UC meet ",""))</f>
        <v/>
      </c>
      <c r="AQ5" s="12">
        <f>TRIM(IF(AND('P2.1 Governance deadlines'!$E$6&gt;=AQ$7,'P2.1 Governance deadlines'!$E$6&lt;=AQ$7+6),"Review Grp papers ","")&amp;IF(AND('P2.1 Governance deadlines'!$D$6&gt;=AQ$7,'P2.1 Governance deadlines'!$D$6&lt;=AQ$7+6),"Review Grp meet ","")&amp;IF(AND('P2.1 Governance deadlines'!$E$7&gt;=AQ$7,'P2.1 Governance deadlines'!$E$7&lt;=AQ$7+6),"VCAG papers ","")&amp;IF(AND('P2.1 Governance deadlines'!$D$7&gt;=AQ$7,'P2.1 Governance deadlines'!$D$7&lt;=AQ$7+6),"VCAG meet ","")&amp;IF(AND('P2.1 Governance deadlines'!$E$8&gt;=AQ$7,'P2.1 Governance deadlines'!$E$8&lt;=AQ$7+6),"IMC papers ","")&amp;IF(AND('P2.1 Governance deadlines'!$D$8&gt;=AQ$7,'P2.1 Governance deadlines'!$D$8&lt;=AQ$7+6),"IMC meet ","")&amp;IF(AND('P2.1 Governance deadlines'!$E$9&gt;=AQ$7,'P2.1 Governance deadlines'!$E$9&lt;=AQ$7+6),"VCAG papers ","")&amp;IF(AND('P2.1 Governance deadlines'!$D$9&gt;=AQ$7,'P2.1 Governance deadlines'!$D$9&lt;=AQ$7+6),"VCAG meet ","")&amp;IF(AND('P2.1 Governance deadlines'!$E$10&gt;=AQ$7,'P2.1 Governance deadlines'!$E$10&lt;=AQ$7+6),"UE papers ","")&amp;IF(AND('P2.1 Governance deadlines'!$D$10&gt;=AQ$7,'P2.1 Governance deadlines'!$D$10&lt;=AQ$7+6),"UE meet ","")&amp;IF(AND('P2.1 Governance deadlines'!$E$11&gt;=AQ$7,'P2.1 Governance deadlines'!$E$11&lt;=AQ$7+6),"UC papers ","")&amp;IF(AND('P2.1 Governance deadlines'!$D$11&gt;=AQ$7,'P2.1 Governance deadlines'!$D$11&lt;=AQ$7+6),"UC meet ",""))</f>
        <v/>
      </c>
      <c r="AR5" s="12">
        <f>TRIM(IF(AND('P2.1 Governance deadlines'!$E$6&gt;=AR$7,'P2.1 Governance deadlines'!$E$6&lt;=AR$7+6),"Review Grp papers ","")&amp;IF(AND('P2.1 Governance deadlines'!$D$6&gt;=AR$7,'P2.1 Governance deadlines'!$D$6&lt;=AR$7+6),"Review Grp meet ","")&amp;IF(AND('P2.1 Governance deadlines'!$E$7&gt;=AR$7,'P2.1 Governance deadlines'!$E$7&lt;=AR$7+6),"VCAG papers ","")&amp;IF(AND('P2.1 Governance deadlines'!$D$7&gt;=AR$7,'P2.1 Governance deadlines'!$D$7&lt;=AR$7+6),"VCAG meet ","")&amp;IF(AND('P2.1 Governance deadlines'!$E$8&gt;=AR$7,'P2.1 Governance deadlines'!$E$8&lt;=AR$7+6),"IMC papers ","")&amp;IF(AND('P2.1 Governance deadlines'!$D$8&gt;=AR$7,'P2.1 Governance deadlines'!$D$8&lt;=AR$7+6),"IMC meet ","")&amp;IF(AND('P2.1 Governance deadlines'!$E$9&gt;=AR$7,'P2.1 Governance deadlines'!$E$9&lt;=AR$7+6),"VCAG papers ","")&amp;IF(AND('P2.1 Governance deadlines'!$D$9&gt;=AR$7,'P2.1 Governance deadlines'!$D$9&lt;=AR$7+6),"VCAG meet ","")&amp;IF(AND('P2.1 Governance deadlines'!$E$10&gt;=AR$7,'P2.1 Governance deadlines'!$E$10&lt;=AR$7+6),"UE papers ","")&amp;IF(AND('P2.1 Governance deadlines'!$D$10&gt;=AR$7,'P2.1 Governance deadlines'!$D$10&lt;=AR$7+6),"UE meet ","")&amp;IF(AND('P2.1 Governance deadlines'!$E$11&gt;=AR$7,'P2.1 Governance deadlines'!$E$11&lt;=AR$7+6),"UC papers ","")&amp;IF(AND('P2.1 Governance deadlines'!$D$11&gt;=AR$7,'P2.1 Governance deadlines'!$D$11&lt;=AR$7+6),"UC meet ",""))</f>
        <v/>
      </c>
      <c r="AS5" s="12">
        <f>TRIM(IF(AND('P2.1 Governance deadlines'!$E$6&gt;=AS$7,'P2.1 Governance deadlines'!$E$6&lt;=AS$7+6),"Review Grp papers ","")&amp;IF(AND('P2.1 Governance deadlines'!$D$6&gt;=AS$7,'P2.1 Governance deadlines'!$D$6&lt;=AS$7+6),"Review Grp meet ","")&amp;IF(AND('P2.1 Governance deadlines'!$E$7&gt;=AS$7,'P2.1 Governance deadlines'!$E$7&lt;=AS$7+6),"VCAG papers ","")&amp;IF(AND('P2.1 Governance deadlines'!$D$7&gt;=AS$7,'P2.1 Governance deadlines'!$D$7&lt;=AS$7+6),"VCAG meet ","")&amp;IF(AND('P2.1 Governance deadlines'!$E$8&gt;=AS$7,'P2.1 Governance deadlines'!$E$8&lt;=AS$7+6),"IMC papers ","")&amp;IF(AND('P2.1 Governance deadlines'!$D$8&gt;=AS$7,'P2.1 Governance deadlines'!$D$8&lt;=AS$7+6),"IMC meet ","")&amp;IF(AND('P2.1 Governance deadlines'!$E$9&gt;=AS$7,'P2.1 Governance deadlines'!$E$9&lt;=AS$7+6),"VCAG papers ","")&amp;IF(AND('P2.1 Governance deadlines'!$D$9&gt;=AS$7,'P2.1 Governance deadlines'!$D$9&lt;=AS$7+6),"VCAG meet ","")&amp;IF(AND('P2.1 Governance deadlines'!$E$10&gt;=AS$7,'P2.1 Governance deadlines'!$E$10&lt;=AS$7+6),"UE papers ","")&amp;IF(AND('P2.1 Governance deadlines'!$D$10&gt;=AS$7,'P2.1 Governance deadlines'!$D$10&lt;=AS$7+6),"UE meet ","")&amp;IF(AND('P2.1 Governance deadlines'!$E$11&gt;=AS$7,'P2.1 Governance deadlines'!$E$11&lt;=AS$7+6),"UC papers ","")&amp;IF(AND('P2.1 Governance deadlines'!$D$11&gt;=AS$7,'P2.1 Governance deadlines'!$D$11&lt;=AS$7+6),"UC meet ",""))</f>
        <v/>
      </c>
      <c r="AT5" s="12">
        <f>TRIM(IF(AND('P2.1 Governance deadlines'!$E$6&gt;=AT$7,'P2.1 Governance deadlines'!$E$6&lt;=AT$7+6),"Review Grp papers ","")&amp;IF(AND('P2.1 Governance deadlines'!$D$6&gt;=AT$7,'P2.1 Governance deadlines'!$D$6&lt;=AT$7+6),"Review Grp meet ","")&amp;IF(AND('P2.1 Governance deadlines'!$E$7&gt;=AT$7,'P2.1 Governance deadlines'!$E$7&lt;=AT$7+6),"VCAG papers ","")&amp;IF(AND('P2.1 Governance deadlines'!$D$7&gt;=AT$7,'P2.1 Governance deadlines'!$D$7&lt;=AT$7+6),"VCAG meet ","")&amp;IF(AND('P2.1 Governance deadlines'!$E$8&gt;=AT$7,'P2.1 Governance deadlines'!$E$8&lt;=AT$7+6),"IMC papers ","")&amp;IF(AND('P2.1 Governance deadlines'!$D$8&gt;=AT$7,'P2.1 Governance deadlines'!$D$8&lt;=AT$7+6),"IMC meet ","")&amp;IF(AND('P2.1 Governance deadlines'!$E$9&gt;=AT$7,'P2.1 Governance deadlines'!$E$9&lt;=AT$7+6),"VCAG papers ","")&amp;IF(AND('P2.1 Governance deadlines'!$D$9&gt;=AT$7,'P2.1 Governance deadlines'!$D$9&lt;=AT$7+6),"VCAG meet ","")&amp;IF(AND('P2.1 Governance deadlines'!$E$10&gt;=AT$7,'P2.1 Governance deadlines'!$E$10&lt;=AT$7+6),"UE papers ","")&amp;IF(AND('P2.1 Governance deadlines'!$D$10&gt;=AT$7,'P2.1 Governance deadlines'!$D$10&lt;=AT$7+6),"UE meet ","")&amp;IF(AND('P2.1 Governance deadlines'!$E$11&gt;=AT$7,'P2.1 Governance deadlines'!$E$11&lt;=AT$7+6),"UC papers ","")&amp;IF(AND('P2.1 Governance deadlines'!$D$11&gt;=AT$7,'P2.1 Governance deadlines'!$D$11&lt;=AT$7+6),"UC meet ",""))</f>
        <v/>
      </c>
      <c r="AU5" s="12">
        <f>TRIM(IF(AND('P2.1 Governance deadlines'!$E$6&gt;=AU$7,'P2.1 Governance deadlines'!$E$6&lt;=AU$7+6),"Review Grp papers ","")&amp;IF(AND('P2.1 Governance deadlines'!$D$6&gt;=AU$7,'P2.1 Governance deadlines'!$D$6&lt;=AU$7+6),"Review Grp meet ","")&amp;IF(AND('P2.1 Governance deadlines'!$E$7&gt;=AU$7,'P2.1 Governance deadlines'!$E$7&lt;=AU$7+6),"VCAG papers ","")&amp;IF(AND('P2.1 Governance deadlines'!$D$7&gt;=AU$7,'P2.1 Governance deadlines'!$D$7&lt;=AU$7+6),"VCAG meet ","")&amp;IF(AND('P2.1 Governance deadlines'!$E$8&gt;=AU$7,'P2.1 Governance deadlines'!$E$8&lt;=AU$7+6),"IMC papers ","")&amp;IF(AND('P2.1 Governance deadlines'!$D$8&gt;=AU$7,'P2.1 Governance deadlines'!$D$8&lt;=AU$7+6),"IMC meet ","")&amp;IF(AND('P2.1 Governance deadlines'!$E$9&gt;=AU$7,'P2.1 Governance deadlines'!$E$9&lt;=AU$7+6),"VCAG papers ","")&amp;IF(AND('P2.1 Governance deadlines'!$D$9&gt;=AU$7,'P2.1 Governance deadlines'!$D$9&lt;=AU$7+6),"VCAG meet ","")&amp;IF(AND('P2.1 Governance deadlines'!$E$10&gt;=AU$7,'P2.1 Governance deadlines'!$E$10&lt;=AU$7+6),"UE papers ","")&amp;IF(AND('P2.1 Governance deadlines'!$D$10&gt;=AU$7,'P2.1 Governance deadlines'!$D$10&lt;=AU$7+6),"UE meet ","")&amp;IF(AND('P2.1 Governance deadlines'!$E$11&gt;=AU$7,'P2.1 Governance deadlines'!$E$11&lt;=AU$7+6),"UC papers ","")&amp;IF(AND('P2.1 Governance deadlines'!$D$11&gt;=AU$7,'P2.1 Governance deadlines'!$D$11&lt;=AU$7+6),"UC meet ",""))</f>
        <v/>
      </c>
      <c r="AV5" s="12">
        <f>TRIM(IF(AND('P2.1 Governance deadlines'!$E$6&gt;=AV$7,'P2.1 Governance deadlines'!$E$6&lt;=AV$7+6),"Review Grp papers ","")&amp;IF(AND('P2.1 Governance deadlines'!$D$6&gt;=AV$7,'P2.1 Governance deadlines'!$D$6&lt;=AV$7+6),"Review Grp meet ","")&amp;IF(AND('P2.1 Governance deadlines'!$E$7&gt;=AV$7,'P2.1 Governance deadlines'!$E$7&lt;=AV$7+6),"VCAG papers ","")&amp;IF(AND('P2.1 Governance deadlines'!$D$7&gt;=AV$7,'P2.1 Governance deadlines'!$D$7&lt;=AV$7+6),"VCAG meet ","")&amp;IF(AND('P2.1 Governance deadlines'!$E$8&gt;=AV$7,'P2.1 Governance deadlines'!$E$8&lt;=AV$7+6),"IMC papers ","")&amp;IF(AND('P2.1 Governance deadlines'!$D$8&gt;=AV$7,'P2.1 Governance deadlines'!$D$8&lt;=AV$7+6),"IMC meet ","")&amp;IF(AND('P2.1 Governance deadlines'!$E$9&gt;=AV$7,'P2.1 Governance deadlines'!$E$9&lt;=AV$7+6),"VCAG papers ","")&amp;IF(AND('P2.1 Governance deadlines'!$D$9&gt;=AV$7,'P2.1 Governance deadlines'!$D$9&lt;=AV$7+6),"VCAG meet ","")&amp;IF(AND('P2.1 Governance deadlines'!$E$10&gt;=AV$7,'P2.1 Governance deadlines'!$E$10&lt;=AV$7+6),"UE papers ","")&amp;IF(AND('P2.1 Governance deadlines'!$D$10&gt;=AV$7,'P2.1 Governance deadlines'!$D$10&lt;=AV$7+6),"UE meet ","")&amp;IF(AND('P2.1 Governance deadlines'!$E$11&gt;=AV$7,'P2.1 Governance deadlines'!$E$11&lt;=AV$7+6),"UC papers ","")&amp;IF(AND('P2.1 Governance deadlines'!$D$11&gt;=AV$7,'P2.1 Governance deadlines'!$D$11&lt;=AV$7+6),"UC meet ",""))</f>
        <v/>
      </c>
      <c r="AW5" s="12">
        <f>TRIM(IF(AND('P2.1 Governance deadlines'!$E$6&gt;=AW$7,'P2.1 Governance deadlines'!$E$6&lt;=AW$7+6),"Review Grp papers ","")&amp;IF(AND('P2.1 Governance deadlines'!$D$6&gt;=AW$7,'P2.1 Governance deadlines'!$D$6&lt;=AW$7+6),"Review Grp meet ","")&amp;IF(AND('P2.1 Governance deadlines'!$E$7&gt;=AW$7,'P2.1 Governance deadlines'!$E$7&lt;=AW$7+6),"VCAG papers ","")&amp;IF(AND('P2.1 Governance deadlines'!$D$7&gt;=AW$7,'P2.1 Governance deadlines'!$D$7&lt;=AW$7+6),"VCAG meet ","")&amp;IF(AND('P2.1 Governance deadlines'!$E$8&gt;=AW$7,'P2.1 Governance deadlines'!$E$8&lt;=AW$7+6),"IMC papers ","")&amp;IF(AND('P2.1 Governance deadlines'!$D$8&gt;=AW$7,'P2.1 Governance deadlines'!$D$8&lt;=AW$7+6),"IMC meet ","")&amp;IF(AND('P2.1 Governance deadlines'!$E$9&gt;=AW$7,'P2.1 Governance deadlines'!$E$9&lt;=AW$7+6),"VCAG papers ","")&amp;IF(AND('P2.1 Governance deadlines'!$D$9&gt;=AW$7,'P2.1 Governance deadlines'!$D$9&lt;=AW$7+6),"VCAG meet ","")&amp;IF(AND('P2.1 Governance deadlines'!$E$10&gt;=AW$7,'P2.1 Governance deadlines'!$E$10&lt;=AW$7+6),"UE papers ","")&amp;IF(AND('P2.1 Governance deadlines'!$D$10&gt;=AW$7,'P2.1 Governance deadlines'!$D$10&lt;=AW$7+6),"UE meet ","")&amp;IF(AND('P2.1 Governance deadlines'!$E$11&gt;=AW$7,'P2.1 Governance deadlines'!$E$11&lt;=AW$7+6),"UC papers ","")&amp;IF(AND('P2.1 Governance deadlines'!$D$11&gt;=AW$7,'P2.1 Governance deadlines'!$D$11&lt;=AW$7+6),"UC meet ",""))</f>
        <v/>
      </c>
      <c r="AX5" s="12">
        <f>TRIM(IF(AND('P2.1 Governance deadlines'!$E$6&gt;=AX$7,'P2.1 Governance deadlines'!$E$6&lt;=AX$7+6),"Review Grp papers ","")&amp;IF(AND('P2.1 Governance deadlines'!$D$6&gt;=AX$7,'P2.1 Governance deadlines'!$D$6&lt;=AX$7+6),"Review Grp meet ","")&amp;IF(AND('P2.1 Governance deadlines'!$E$7&gt;=AX$7,'P2.1 Governance deadlines'!$E$7&lt;=AX$7+6),"VCAG papers ","")&amp;IF(AND('P2.1 Governance deadlines'!$D$7&gt;=AX$7,'P2.1 Governance deadlines'!$D$7&lt;=AX$7+6),"VCAG meet ","")&amp;IF(AND('P2.1 Governance deadlines'!$E$8&gt;=AX$7,'P2.1 Governance deadlines'!$E$8&lt;=AX$7+6),"IMC papers ","")&amp;IF(AND('P2.1 Governance deadlines'!$D$8&gt;=AX$7,'P2.1 Governance deadlines'!$D$8&lt;=AX$7+6),"IMC meet ","")&amp;IF(AND('P2.1 Governance deadlines'!$E$9&gt;=AX$7,'P2.1 Governance deadlines'!$E$9&lt;=AX$7+6),"VCAG papers ","")&amp;IF(AND('P2.1 Governance deadlines'!$D$9&gt;=AX$7,'P2.1 Governance deadlines'!$D$9&lt;=AX$7+6),"VCAG meet ","")&amp;IF(AND('P2.1 Governance deadlines'!$E$10&gt;=AX$7,'P2.1 Governance deadlines'!$E$10&lt;=AX$7+6),"UE papers ","")&amp;IF(AND('P2.1 Governance deadlines'!$D$10&gt;=AX$7,'P2.1 Governance deadlines'!$D$10&lt;=AX$7+6),"UE meet ","")&amp;IF(AND('P2.1 Governance deadlines'!$E$11&gt;=AX$7,'P2.1 Governance deadlines'!$E$11&lt;=AX$7+6),"UC papers ","")&amp;IF(AND('P2.1 Governance deadlines'!$D$11&gt;=AX$7,'P2.1 Governance deadlines'!$D$11&lt;=AX$7+6),"UC meet ",""))</f>
        <v/>
      </c>
      <c r="AY5" s="12">
        <f>TRIM(IF(AND('P2.1 Governance deadlines'!$E$6&gt;=AY$7,'P2.1 Governance deadlines'!$E$6&lt;=AY$7+6),"Review Grp papers ","")&amp;IF(AND('P2.1 Governance deadlines'!$D$6&gt;=AY$7,'P2.1 Governance deadlines'!$D$6&lt;=AY$7+6),"Review Grp meet ","")&amp;IF(AND('P2.1 Governance deadlines'!$E$7&gt;=AY$7,'P2.1 Governance deadlines'!$E$7&lt;=AY$7+6),"VCAG papers ","")&amp;IF(AND('P2.1 Governance deadlines'!$D$7&gt;=AY$7,'P2.1 Governance deadlines'!$D$7&lt;=AY$7+6),"VCAG meet ","")&amp;IF(AND('P2.1 Governance deadlines'!$E$8&gt;=AY$7,'P2.1 Governance deadlines'!$E$8&lt;=AY$7+6),"IMC papers ","")&amp;IF(AND('P2.1 Governance deadlines'!$D$8&gt;=AY$7,'P2.1 Governance deadlines'!$D$8&lt;=AY$7+6),"IMC meet ","")&amp;IF(AND('P2.1 Governance deadlines'!$E$9&gt;=AY$7,'P2.1 Governance deadlines'!$E$9&lt;=AY$7+6),"VCAG papers ","")&amp;IF(AND('P2.1 Governance deadlines'!$D$9&gt;=AY$7,'P2.1 Governance deadlines'!$D$9&lt;=AY$7+6),"VCAG meet ","")&amp;IF(AND('P2.1 Governance deadlines'!$E$10&gt;=AY$7,'P2.1 Governance deadlines'!$E$10&lt;=AY$7+6),"UE papers ","")&amp;IF(AND('P2.1 Governance deadlines'!$D$10&gt;=AY$7,'P2.1 Governance deadlines'!$D$10&lt;=AY$7+6),"UE meet ","")&amp;IF(AND('P2.1 Governance deadlines'!$E$11&gt;=AY$7,'P2.1 Governance deadlines'!$E$11&lt;=AY$7+6),"UC papers ","")&amp;IF(AND('P2.1 Governance deadlines'!$D$11&gt;=AY$7,'P2.1 Governance deadlines'!$D$11&lt;=AY$7+6),"UC meet ",""))</f>
        <v/>
      </c>
    </row>
    <row r="6" ht="22" customHeight="1">
      <c r="L6" s="13" t="inlineStr">
        <is>
          <t>Oct 2026</t>
        </is>
      </c>
      <c r="M6" s="1" t="n"/>
      <c r="N6" s="1" t="n"/>
      <c r="O6" s="1" t="n"/>
      <c r="P6" s="13" t="inlineStr">
        <is>
          <t>Nov</t>
        </is>
      </c>
      <c r="Q6" s="1" t="n"/>
      <c r="R6" s="1" t="n"/>
      <c r="S6" s="1" t="n"/>
      <c r="T6" s="1" t="n"/>
      <c r="U6" s="13" t="inlineStr">
        <is>
          <t>Dec</t>
        </is>
      </c>
      <c r="V6" s="1" t="n"/>
      <c r="W6" s="1" t="n"/>
      <c r="X6" s="1" t="n"/>
      <c r="Y6" s="13" t="inlineStr">
        <is>
          <t>Jan 2027</t>
        </is>
      </c>
      <c r="Z6" s="1" t="n"/>
      <c r="AA6" s="1" t="n"/>
      <c r="AB6" s="1" t="n"/>
      <c r="AC6" s="13" t="inlineStr">
        <is>
          <t>Feb</t>
        </is>
      </c>
      <c r="AD6" s="1" t="n"/>
      <c r="AE6" s="1" t="n"/>
      <c r="AF6" s="1" t="n"/>
      <c r="AG6" s="13" t="inlineStr">
        <is>
          <t>Mar</t>
        </is>
      </c>
      <c r="AH6" s="1" t="n"/>
      <c r="AI6" s="1" t="n"/>
      <c r="AJ6" s="1" t="n"/>
      <c r="AK6" s="1" t="n"/>
      <c r="AL6" s="13" t="inlineStr">
        <is>
          <t>Apr</t>
        </is>
      </c>
      <c r="AM6" s="1" t="n"/>
      <c r="AN6" s="1" t="n"/>
      <c r="AO6" s="1" t="n"/>
      <c r="AP6" s="13" t="inlineStr">
        <is>
          <t>May</t>
        </is>
      </c>
      <c r="AQ6" s="1" t="n"/>
      <c r="AR6" s="1" t="n"/>
      <c r="AS6" s="1" t="n"/>
      <c r="AT6" s="1" t="n"/>
      <c r="AU6" s="13" t="inlineStr">
        <is>
          <t>Jun</t>
        </is>
      </c>
      <c r="AV6" s="1" t="n"/>
      <c r="AW6" s="1" t="n"/>
      <c r="AX6" s="1" t="n"/>
      <c r="AY6" s="13" t="inlineStr">
        <is>
          <t>Jul</t>
        </is>
      </c>
    </row>
    <row r="7" ht="24" customHeight="1">
      <c r="B7" s="7" t="inlineStr">
        <is>
          <t>Phase / key activity</t>
        </is>
      </c>
      <c r="C7" s="7" t="inlineStr">
        <is>
          <t>Key milestone</t>
        </is>
      </c>
      <c r="D7" s="7" t="inlineStr">
        <is>
          <t>Start</t>
        </is>
      </c>
      <c r="E7" s="7" t="inlineStr">
        <is>
          <t>End</t>
        </is>
      </c>
      <c r="F7" s="7" t="inlineStr">
        <is>
          <t>When</t>
        </is>
      </c>
      <c r="G7" s="7" t="inlineStr">
        <is>
          <t>Lead (R)</t>
        </is>
      </c>
      <c r="H7" s="7" t="inlineStr">
        <is>
          <t>Accountable (A)</t>
        </is>
      </c>
      <c r="I7" s="7" t="inlineStr">
        <is>
          <t>Priority</t>
        </is>
      </c>
      <c r="J7" s="7" t="inlineStr">
        <is>
          <t>Status</t>
        </is>
      </c>
      <c r="L7" s="14" t="n">
        <v>46300</v>
      </c>
      <c r="M7" s="14" t="n">
        <v>46307</v>
      </c>
      <c r="N7" s="14" t="n">
        <v>46314</v>
      </c>
      <c r="O7" s="14" t="n">
        <v>46321</v>
      </c>
      <c r="P7" s="14" t="n">
        <v>46328</v>
      </c>
      <c r="Q7" s="14" t="n">
        <v>46335</v>
      </c>
      <c r="R7" s="14" t="n">
        <v>46342</v>
      </c>
      <c r="S7" s="14" t="n">
        <v>46349</v>
      </c>
      <c r="T7" s="14" t="n">
        <v>46356</v>
      </c>
      <c r="U7" s="14" t="n">
        <v>46363</v>
      </c>
      <c r="V7" s="14" t="n">
        <v>46370</v>
      </c>
      <c r="W7" s="14" t="n">
        <v>46377</v>
      </c>
      <c r="X7" s="14" t="n">
        <v>46384</v>
      </c>
      <c r="Y7" s="14" t="n">
        <v>46391</v>
      </c>
      <c r="Z7" s="14" t="n">
        <v>46398</v>
      </c>
      <c r="AA7" s="14" t="n">
        <v>46405</v>
      </c>
      <c r="AB7" s="14" t="n">
        <v>46412</v>
      </c>
      <c r="AC7" s="14" t="n">
        <v>46419</v>
      </c>
      <c r="AD7" s="14" t="n">
        <v>46426</v>
      </c>
      <c r="AE7" s="14" t="n">
        <v>46433</v>
      </c>
      <c r="AF7" s="14" t="n">
        <v>46440</v>
      </c>
      <c r="AG7" s="14" t="n">
        <v>46447</v>
      </c>
      <c r="AH7" s="14" t="n">
        <v>46454</v>
      </c>
      <c r="AI7" s="14" t="n">
        <v>46461</v>
      </c>
      <c r="AJ7" s="14" t="n">
        <v>46468</v>
      </c>
      <c r="AK7" s="14" t="n">
        <v>46475</v>
      </c>
      <c r="AL7" s="14" t="n">
        <v>46482</v>
      </c>
      <c r="AM7" s="14" t="n">
        <v>46489</v>
      </c>
      <c r="AN7" s="14" t="n">
        <v>46496</v>
      </c>
      <c r="AO7" s="14" t="n">
        <v>46503</v>
      </c>
      <c r="AP7" s="14" t="n">
        <v>46510</v>
      </c>
      <c r="AQ7" s="14" t="n">
        <v>46517</v>
      </c>
      <c r="AR7" s="14" t="n">
        <v>46524</v>
      </c>
      <c r="AS7" s="14" t="n">
        <v>46531</v>
      </c>
      <c r="AT7" s="14" t="n">
        <v>46538</v>
      </c>
      <c r="AU7" s="14" t="n">
        <v>46545</v>
      </c>
      <c r="AV7" s="14" t="n">
        <v>46552</v>
      </c>
      <c r="AW7" s="14" t="n">
        <v>46559</v>
      </c>
      <c r="AX7" s="14" t="n">
        <v>46566</v>
      </c>
      <c r="AY7" s="14" t="n">
        <v>46573</v>
      </c>
    </row>
    <row r="8" ht="22" customHeight="1">
      <c r="B8" s="15" t="inlineStr">
        <is>
          <t>Project set-up (Sep–Oct 2026)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  <c r="AW8" s="16" t="n"/>
      <c r="AX8" s="16" t="n"/>
      <c r="AY8" s="16" t="n"/>
    </row>
    <row r="9" ht="39" customHeight="1">
      <c r="B9" s="8" t="inlineStr">
        <is>
          <t>Confirm scope, reporting model, governance pathway and decisions</t>
        </is>
      </c>
      <c r="C9" s="8" t="inlineStr">
        <is>
          <t>Decision log</t>
        </is>
      </c>
      <c r="D9" s="17" t="n">
        <v>46279</v>
      </c>
      <c r="E9" s="17" t="n">
        <v>46311</v>
      </c>
      <c r="F9" s="18">
        <f>IF(D9="","",TEXT(D9,"d mmm")&amp;IF(E9&lt;&gt;D9," – "&amp;TEXT(E9,"d mmm"),""))</f>
        <v/>
      </c>
      <c r="G9" s="18">
        <f t="array" ref="G9">_xlfn.TEXTJOIN(", ",TRUE,IF(ISNUMBER(SEARCH("R",'P2.3 RASCI matrix'!$H9:$Z9)),'P2.3 RASCI matrix'!$H$7:$Z$7,""))</f>
        <v/>
      </c>
      <c r="H9" s="18">
        <f t="array" ref="H9">_xlfn.TEXTJOIN(", ",TRUE,IF(LEFT('P2.3 RASCI matrix'!$H9:$Z9,1)="A",'P2.3 RASCI matrix'!$H$7:$Z$7,""))</f>
        <v/>
      </c>
      <c r="I9" s="8" t="inlineStr">
        <is>
          <t>High</t>
        </is>
      </c>
      <c r="J9" s="8" t="inlineStr">
        <is>
          <t>Not yet started</t>
        </is>
      </c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19" t="n"/>
      <c r="AK9" s="19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</row>
    <row r="10" ht="39" customHeight="1">
      <c r="B10" s="8" t="inlineStr">
        <is>
          <t>Project charter, schedule, RASCI, decision log, issues register</t>
        </is>
      </c>
      <c r="C10" s="8" t="inlineStr">
        <is>
          <t>Approved by Oct</t>
        </is>
      </c>
      <c r="D10" s="17" t="n">
        <v>46293</v>
      </c>
      <c r="E10" s="17" t="n">
        <v>46318</v>
      </c>
      <c r="F10" s="18">
        <f>IF(D10="","",TEXT(D10,"d mmm")&amp;IF(E10&lt;&gt;D10," – "&amp;TEXT(E10,"d mmm"),""))</f>
        <v/>
      </c>
      <c r="G10" s="18">
        <f t="array" ref="G10">_xlfn.TEXTJOIN(", ",TRUE,IF(ISNUMBER(SEARCH("R",'P2.3 RASCI matrix'!$H10:$Z10)),'P2.3 RASCI matrix'!$H$7:$Z$7,""))</f>
        <v/>
      </c>
      <c r="H10" s="18">
        <f t="array" ref="H10">_xlfn.TEXTJOIN(", ",TRUE,IF(LEFT('P2.3 RASCI matrix'!$H10:$Z10,1)="A",'P2.3 RASCI matrix'!$H$7:$Z$7,""))</f>
        <v/>
      </c>
      <c r="I10" s="8" t="inlineStr">
        <is>
          <t>High</t>
        </is>
      </c>
      <c r="J10" s="8" t="inlineStr">
        <is>
          <t>Not yet started</t>
        </is>
      </c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</row>
    <row r="11" ht="39" customHeight="1">
      <c r="B11" s="8" t="inlineStr">
        <is>
          <t>Map refreshed targets/indicators to Databook, systems, owners</t>
        </is>
      </c>
      <c r="C11" s="8" t="inlineStr">
        <is>
          <t>Requirements matrix</t>
        </is>
      </c>
      <c r="D11" s="17" t="n">
        <v>46286</v>
      </c>
      <c r="E11" s="17" t="n">
        <v>46311</v>
      </c>
      <c r="F11" s="18">
        <f>IF(D11="","",TEXT(D11,"d mmm")&amp;IF(E11&lt;&gt;D11," – "&amp;TEXT(E11,"d mmm"),""))</f>
        <v/>
      </c>
      <c r="G11" s="18">
        <f t="array" ref="G11">_xlfn.TEXTJOIN(", ",TRUE,IF(ISNUMBER(SEARCH("R",'P2.3 RASCI matrix'!$H11:$Z11)),'P2.3 RASCI matrix'!$H$7:$Z$7,""))</f>
        <v/>
      </c>
      <c r="H11" s="18">
        <f t="array" ref="H11">_xlfn.TEXTJOIN(", ",TRUE,IF(LEFT('P2.3 RASCI matrix'!$H11:$Z11,1)="A",'P2.3 RASCI matrix'!$H$7:$Z$7,""))</f>
        <v/>
      </c>
      <c r="I11" s="8" t="inlineStr">
        <is>
          <t>High</t>
        </is>
      </c>
      <c r="J11" s="8" t="inlineStr">
        <is>
          <t>Not yet started</t>
        </is>
      </c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</row>
    <row r="12" ht="39" customHeight="1">
      <c r="B12" s="8" t="inlineStr">
        <is>
          <t>Confirm stakeholder structure (CGOP/CDEP) and owners (Gerard: resilience, estate)</t>
        </is>
      </c>
      <c r="C12" s="8" t="inlineStr">
        <is>
          <t>Stakeholder map</t>
        </is>
      </c>
      <c r="D12" s="17" t="n">
        <v>46300</v>
      </c>
      <c r="E12" s="17" t="n">
        <v>46311</v>
      </c>
      <c r="F12" s="18">
        <f>IF(D12="","",TEXT(D12,"d mmm")&amp;IF(E12&lt;&gt;D12," – "&amp;TEXT(E12,"d mmm"),""))</f>
        <v/>
      </c>
      <c r="G12" s="18">
        <f t="array" ref="G12">_xlfn.TEXTJOIN(", ",TRUE,IF(ISNUMBER(SEARCH("R",'P2.3 RASCI matrix'!$H12:$Z12)),'P2.3 RASCI matrix'!$H$7:$Z$7,""))</f>
        <v/>
      </c>
      <c r="H12" s="18">
        <f t="array" ref="H12">_xlfn.TEXTJOIN(", ",TRUE,IF(LEFT('P2.3 RASCI matrix'!$H12:$Z12,1)="A",'P2.3 RASCI matrix'!$H$7:$Z$7,""))</f>
        <v/>
      </c>
      <c r="I12" s="8" t="inlineStr">
        <is>
          <t>High</t>
        </is>
      </c>
      <c r="J12" s="8" t="inlineStr">
        <is>
          <t>Not yet started</t>
        </is>
      </c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</row>
    <row r="13" ht="39" customHeight="1">
      <c r="B13" s="8" t="inlineStr">
        <is>
          <t>Test request templates (ABP walkthrough) and Teams workbook links</t>
        </is>
      </c>
      <c r="C13" s="8" t="inlineStr">
        <is>
          <t>Templates and links tested</t>
        </is>
      </c>
      <c r="D13" s="17" t="n">
        <v>46307</v>
      </c>
      <c r="E13" s="17" t="n">
        <v>46325</v>
      </c>
      <c r="F13" s="18">
        <f>IF(D13="","",TEXT(D13,"d mmm")&amp;IF(E13&lt;&gt;D13," – "&amp;TEXT(E13,"d mmm"),""))</f>
        <v/>
      </c>
      <c r="G13" s="18">
        <f t="array" ref="G13">_xlfn.TEXTJOIN(", ",TRUE,IF(ISNUMBER(SEARCH("R",'P2.3 RASCI matrix'!$H13:$Z13)),'P2.3 RASCI matrix'!$H$7:$Z$7,""))</f>
        <v/>
      </c>
      <c r="H13" s="18">
        <f t="array" ref="H13">_xlfn.TEXTJOIN(", ",TRUE,IF(LEFT('P2.3 RASCI matrix'!$H13:$Z13,1)="A",'P2.3 RASCI matrix'!$H$7:$Z$7,""))</f>
        <v/>
      </c>
      <c r="I13" s="8" t="inlineStr">
        <is>
          <t>High</t>
        </is>
      </c>
      <c r="J13" s="8" t="inlineStr">
        <is>
          <t>Not yet started</t>
        </is>
      </c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</row>
    <row r="14" ht="39" customHeight="1">
      <c r="B14" s="8" t="inlineStr">
        <is>
          <t>Approve Review Group criteria, decision rights, escalation pathway</t>
        </is>
      </c>
      <c r="C14" s="8" t="inlineStr">
        <is>
          <t>Before collection</t>
        </is>
      </c>
      <c r="D14" s="17" t="n">
        <v>46300</v>
      </c>
      <c r="E14" s="17" t="n">
        <v>46325</v>
      </c>
      <c r="F14" s="18">
        <f>IF(D14="","",TEXT(D14,"d mmm")&amp;IF(E14&lt;&gt;D14," – "&amp;TEXT(E14,"d mmm"),""))</f>
        <v/>
      </c>
      <c r="G14" s="18">
        <f t="array" ref="G14">_xlfn.TEXTJOIN(", ",TRUE,IF(ISNUMBER(SEARCH("R",'P2.3 RASCI matrix'!$H14:$Z14)),'P2.3 RASCI matrix'!$H$7:$Z$7,""))</f>
        <v/>
      </c>
      <c r="H14" s="18">
        <f t="array" ref="H14">_xlfn.TEXTJOIN(", ",TRUE,IF(LEFT('P2.3 RASCI matrix'!$H14:$Z14,1)="A",'P2.3 RASCI matrix'!$H$7:$Z$7,""))</f>
        <v/>
      </c>
      <c r="I14" s="8" t="inlineStr">
        <is>
          <t>Medium</t>
        </is>
      </c>
      <c r="J14" s="8" t="inlineStr">
        <is>
          <t>Not yet started</t>
        </is>
      </c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</row>
    <row r="15" ht="22" customHeight="1">
      <c r="B15" s="15" t="inlineStr">
        <is>
          <t>Process design &amp; launch (Oct 2026)</t>
        </is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</row>
    <row r="16" ht="39" customHeight="1">
      <c r="B16" s="8" t="inlineStr">
        <is>
          <t>Finalise templates and evidence register</t>
        </is>
      </c>
      <c r="C16" s="8" t="inlineStr">
        <is>
          <t>Templates final</t>
        </is>
      </c>
      <c r="D16" s="17" t="n">
        <v>46314</v>
      </c>
      <c r="E16" s="17" t="n">
        <v>46325</v>
      </c>
      <c r="F16" s="18">
        <f>IF(D16="","",TEXT(D16,"d mmm")&amp;IF(E16&lt;&gt;D16," – "&amp;TEXT(E16,"d mmm"),""))</f>
        <v/>
      </c>
      <c r="G16" s="18">
        <f t="array" ref="G16">_xlfn.TEXTJOIN(", ",TRUE,IF(ISNUMBER(SEARCH("R",'P2.3 RASCI matrix'!$H16:$Z16)),'P2.3 RASCI matrix'!$H$7:$Z$7,""))</f>
        <v/>
      </c>
      <c r="H16" s="18">
        <f t="array" ref="H16">_xlfn.TEXTJOIN(", ",TRUE,IF(LEFT('P2.3 RASCI matrix'!$H16:$Z16,1)="A",'P2.3 RASCI matrix'!$H$7:$Z$7,""))</f>
        <v/>
      </c>
      <c r="I16" s="8" t="inlineStr">
        <is>
          <t>High</t>
        </is>
      </c>
      <c r="J16" s="8" t="inlineStr">
        <is>
          <t>Not yet started</t>
        </is>
      </c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</row>
    <row r="17" ht="39" customHeight="1">
      <c r="B17" s="8" t="inlineStr">
        <is>
          <t>Coordinate with University Annual Report team (dependency map)</t>
        </is>
      </c>
      <c r="C17" s="8" t="inlineStr">
        <is>
          <t>Shared data map</t>
        </is>
      </c>
      <c r="D17" s="17" t="n">
        <v>46300</v>
      </c>
      <c r="E17" s="17" t="n">
        <v>46325</v>
      </c>
      <c r="F17" s="18">
        <f>IF(D17="","",TEXT(D17,"d mmm")&amp;IF(E17&lt;&gt;D17," – "&amp;TEXT(E17,"d mmm"),""))</f>
        <v/>
      </c>
      <c r="G17" s="18">
        <f t="array" ref="G17">_xlfn.TEXTJOIN(", ",TRUE,IF(ISNUMBER(SEARCH("R",'P2.3 RASCI matrix'!$H17:$Z17)),'P2.3 RASCI matrix'!$H$7:$Z$7,""))</f>
        <v/>
      </c>
      <c r="H17" s="18">
        <f t="array" ref="H17">_xlfn.TEXTJOIN(", ",TRUE,IF(LEFT('P2.3 RASCI matrix'!$H17:$Z17,1)="A",'P2.3 RASCI matrix'!$H$7:$Z$7,""))</f>
        <v/>
      </c>
      <c r="I17" s="8" t="inlineStr">
        <is>
          <t>High</t>
        </is>
      </c>
      <c r="J17" s="8" t="inlineStr">
        <is>
          <t>Not yet started</t>
        </is>
      </c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</row>
    <row r="18" ht="39" customHeight="1">
      <c r="B18" s="8" t="inlineStr">
        <is>
          <t>Convene Strategic Comms, digital &amp; design; agree comms RASCI</t>
        </is>
      </c>
      <c r="C18" s="8" t="inlineStr">
        <is>
          <t>Kick-off</t>
        </is>
      </c>
      <c r="D18" s="17" t="n">
        <v>46300</v>
      </c>
      <c r="E18" s="17" t="n">
        <v>46318</v>
      </c>
      <c r="F18" s="18">
        <f>IF(D18="","",TEXT(D18,"d mmm")&amp;IF(E18&lt;&gt;D18," – "&amp;TEXT(E18,"d mmm"),""))</f>
        <v/>
      </c>
      <c r="G18" s="18">
        <f t="array" ref="G18">_xlfn.TEXTJOIN(", ",TRUE,IF(ISNUMBER(SEARCH("R",'P2.3 RASCI matrix'!$H18:$Z18)),'P2.3 RASCI matrix'!$H$7:$Z$7,""))</f>
        <v/>
      </c>
      <c r="H18" s="18">
        <f t="array" ref="H18">_xlfn.TEXTJOIN(", ",TRUE,IF(LEFT('P2.3 RASCI matrix'!$H18:$Z18,1)="A",'P2.3 RASCI matrix'!$H$7:$Z$7,""))</f>
        <v/>
      </c>
      <c r="I18" s="8" t="inlineStr">
        <is>
          <t>High</t>
        </is>
      </c>
      <c r="J18" s="8" t="inlineStr">
        <is>
          <t>Not yet started</t>
        </is>
      </c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</row>
    <row r="19" ht="39" customHeight="1">
      <c r="B19" s="8" t="inlineStr">
        <is>
          <t>Sustainability 2030 launch</t>
        </is>
      </c>
      <c r="C19" s="8" t="inlineStr">
        <is>
          <t>~20 Oct (TBC)</t>
        </is>
      </c>
      <c r="D19" s="17" t="n">
        <v>46315</v>
      </c>
      <c r="E19" s="17" t="n">
        <v>46315</v>
      </c>
      <c r="F19" s="18">
        <f>IF(D19="","",TEXT(D19,"d mmm")&amp;IF(E19&lt;&gt;D19," – "&amp;TEXT(E19,"d mmm"),""))</f>
        <v/>
      </c>
      <c r="G19" s="18">
        <f t="array" ref="G19">_xlfn.TEXTJOIN(", ",TRUE,IF(ISNUMBER(SEARCH("R",'P2.3 RASCI matrix'!$H19:$Z19)),'P2.3 RASCI matrix'!$H$7:$Z$7,""))</f>
        <v/>
      </c>
      <c r="H19" s="18">
        <f t="array" ref="H19">_xlfn.TEXTJOIN(", ",TRUE,IF(LEFT('P2.3 RASCI matrix'!$H19:$Z19,1)="A",'P2.3 RASCI matrix'!$H$7:$Z$7,""))</f>
        <v/>
      </c>
      <c r="I19" s="8" t="inlineStr">
        <is>
          <t>Milestone</t>
        </is>
      </c>
      <c r="J19" s="8" t="inlineStr">
        <is>
          <t>Not yet started</t>
        </is>
      </c>
      <c r="L19" s="19">
        <f>IF(AND(L$7+6&gt;=$D19,L$7&lt;=$E19),"◆","")</f>
        <v/>
      </c>
      <c r="M19" s="19">
        <f>IF(AND(M$7+6&gt;=$D19,M$7&lt;=$E19),"◆","")</f>
        <v/>
      </c>
      <c r="N19" s="19">
        <f>IF(AND(N$7+6&gt;=$D19,N$7&lt;=$E19),"◆","")</f>
        <v/>
      </c>
      <c r="O19" s="19">
        <f>IF(AND(O$7+6&gt;=$D19,O$7&lt;=$E19),"◆","")</f>
        <v/>
      </c>
      <c r="P19" s="19">
        <f>IF(AND(P$7+6&gt;=$D19,P$7&lt;=$E19),"◆","")</f>
        <v/>
      </c>
      <c r="Q19" s="19">
        <f>IF(AND(Q$7+6&gt;=$D19,Q$7&lt;=$E19),"◆","")</f>
        <v/>
      </c>
      <c r="R19" s="19">
        <f>IF(AND(R$7+6&gt;=$D19,R$7&lt;=$E19),"◆","")</f>
        <v/>
      </c>
      <c r="S19" s="19">
        <f>IF(AND(S$7+6&gt;=$D19,S$7&lt;=$E19),"◆","")</f>
        <v/>
      </c>
      <c r="T19" s="19">
        <f>IF(AND(T$7+6&gt;=$D19,T$7&lt;=$E19),"◆","")</f>
        <v/>
      </c>
      <c r="U19" s="19">
        <f>IF(AND(U$7+6&gt;=$D19,U$7&lt;=$E19),"◆","")</f>
        <v/>
      </c>
      <c r="V19" s="19">
        <f>IF(AND(V$7+6&gt;=$D19,V$7&lt;=$E19),"◆","")</f>
        <v/>
      </c>
      <c r="W19" s="19">
        <f>IF(AND(W$7+6&gt;=$D19,W$7&lt;=$E19),"◆","")</f>
        <v/>
      </c>
      <c r="X19" s="19">
        <f>IF(AND(X$7+6&gt;=$D19,X$7&lt;=$E19),"◆","")</f>
        <v/>
      </c>
      <c r="Y19" s="19">
        <f>IF(AND(Y$7+6&gt;=$D19,Y$7&lt;=$E19),"◆","")</f>
        <v/>
      </c>
      <c r="Z19" s="19">
        <f>IF(AND(Z$7+6&gt;=$D19,Z$7&lt;=$E19),"◆","")</f>
        <v/>
      </c>
      <c r="AA19" s="19">
        <f>IF(AND(AA$7+6&gt;=$D19,AA$7&lt;=$E19),"◆","")</f>
        <v/>
      </c>
      <c r="AB19" s="19">
        <f>IF(AND(AB$7+6&gt;=$D19,AB$7&lt;=$E19),"◆","")</f>
        <v/>
      </c>
      <c r="AC19" s="19">
        <f>IF(AND(AC$7+6&gt;=$D19,AC$7&lt;=$E19),"◆","")</f>
        <v/>
      </c>
      <c r="AD19" s="19">
        <f>IF(AND(AD$7+6&gt;=$D19,AD$7&lt;=$E19),"◆","")</f>
        <v/>
      </c>
      <c r="AE19" s="19">
        <f>IF(AND(AE$7+6&gt;=$D19,AE$7&lt;=$E19),"◆","")</f>
        <v/>
      </c>
      <c r="AF19" s="19">
        <f>IF(AND(AF$7+6&gt;=$D19,AF$7&lt;=$E19),"◆","")</f>
        <v/>
      </c>
      <c r="AG19" s="19">
        <f>IF(AND(AG$7+6&gt;=$D19,AG$7&lt;=$E19),"◆","")</f>
        <v/>
      </c>
      <c r="AH19" s="19">
        <f>IF(AND(AH$7+6&gt;=$D19,AH$7&lt;=$E19),"◆","")</f>
        <v/>
      </c>
      <c r="AI19" s="19">
        <f>IF(AND(AI$7+6&gt;=$D19,AI$7&lt;=$E19),"◆","")</f>
        <v/>
      </c>
      <c r="AJ19" s="19">
        <f>IF(AND(AJ$7+6&gt;=$D19,AJ$7&lt;=$E19),"◆","")</f>
        <v/>
      </c>
      <c r="AK19" s="19">
        <f>IF(AND(AK$7+6&gt;=$D19,AK$7&lt;=$E19),"◆","")</f>
        <v/>
      </c>
      <c r="AL19" s="19">
        <f>IF(AND(AL$7+6&gt;=$D19,AL$7&lt;=$E19),"◆","")</f>
        <v/>
      </c>
      <c r="AM19" s="19">
        <f>IF(AND(AM$7+6&gt;=$D19,AM$7&lt;=$E19),"◆","")</f>
        <v/>
      </c>
      <c r="AN19" s="19">
        <f>IF(AND(AN$7+6&gt;=$D19,AN$7&lt;=$E19),"◆","")</f>
        <v/>
      </c>
      <c r="AO19" s="19">
        <f>IF(AND(AO$7+6&gt;=$D19,AO$7&lt;=$E19),"◆","")</f>
        <v/>
      </c>
      <c r="AP19" s="19">
        <f>IF(AND(AP$7+6&gt;=$D19,AP$7&lt;=$E19),"◆","")</f>
        <v/>
      </c>
      <c r="AQ19" s="19">
        <f>IF(AND(AQ$7+6&gt;=$D19,AQ$7&lt;=$E19),"◆","")</f>
        <v/>
      </c>
      <c r="AR19" s="19">
        <f>IF(AND(AR$7+6&gt;=$D19,AR$7&lt;=$E19),"◆","")</f>
        <v/>
      </c>
      <c r="AS19" s="19">
        <f>IF(AND(AS$7+6&gt;=$D19,AS$7&lt;=$E19),"◆","")</f>
        <v/>
      </c>
      <c r="AT19" s="19">
        <f>IF(AND(AT$7+6&gt;=$D19,AT$7&lt;=$E19),"◆","")</f>
        <v/>
      </c>
      <c r="AU19" s="19">
        <f>IF(AND(AU$7+6&gt;=$D19,AU$7&lt;=$E19),"◆","")</f>
        <v/>
      </c>
      <c r="AV19" s="19">
        <f>IF(AND(AV$7+6&gt;=$D19,AV$7&lt;=$E19),"◆","")</f>
        <v/>
      </c>
      <c r="AW19" s="19">
        <f>IF(AND(AW$7+6&gt;=$D19,AW$7&lt;=$E19),"◆","")</f>
        <v/>
      </c>
      <c r="AX19" s="19">
        <f>IF(AND(AX$7+6&gt;=$D19,AX$7&lt;=$E19),"◆","")</f>
        <v/>
      </c>
      <c r="AY19" s="19">
        <f>IF(AND(AY$7+6&gt;=$D19,AY$7&lt;=$E19),"◆","")</f>
        <v/>
      </c>
    </row>
    <row r="20" ht="39" customHeight="1">
      <c r="B20" s="8" t="inlineStr">
        <is>
          <t>Brief contributor groups / working groups (after launch)</t>
        </is>
      </c>
      <c r="C20" s="8" t="inlineStr"/>
      <c r="D20" s="17" t="n">
        <v>46315</v>
      </c>
      <c r="E20" s="17" t="n">
        <v>46332</v>
      </c>
      <c r="F20" s="18">
        <f>IF(D20="","",TEXT(D20,"d mmm")&amp;IF(E20&lt;&gt;D20," – "&amp;TEXT(E20,"d mmm"),""))</f>
        <v/>
      </c>
      <c r="G20" s="18">
        <f t="array" ref="G20">_xlfn.TEXTJOIN(", ",TRUE,IF(ISNUMBER(SEARCH("R",'P2.3 RASCI matrix'!$H20:$Z20)),'P2.3 RASCI matrix'!$H$7:$Z$7,""))</f>
        <v/>
      </c>
      <c r="H20" s="18">
        <f t="array" ref="H20">_xlfn.TEXTJOIN(", ",TRUE,IF(LEFT('P2.3 RASCI matrix'!$H20:$Z20,1)="A",'P2.3 RASCI matrix'!$H$7:$Z$7,""))</f>
        <v/>
      </c>
      <c r="I20" s="8" t="inlineStr">
        <is>
          <t>Medium</t>
        </is>
      </c>
      <c r="J20" s="8" t="inlineStr">
        <is>
          <t>Not yet started</t>
        </is>
      </c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</row>
    <row r="21" ht="39" customHeight="1">
      <c r="B21" s="8" t="inlineStr">
        <is>
          <t>Joint ADs Sustainability &amp; ADs T&amp;L session</t>
        </is>
      </c>
      <c r="C21" s="8" t="inlineStr">
        <is>
          <t>Structured prompt in advance</t>
        </is>
      </c>
      <c r="D21" s="17" t="n">
        <v>46314</v>
      </c>
      <c r="E21" s="17" t="n">
        <v>46325</v>
      </c>
      <c r="F21" s="18">
        <f>IF(D21="","",TEXT(D21,"d mmm")&amp;IF(E21&lt;&gt;D21," – "&amp;TEXT(E21,"d mmm"),""))</f>
        <v/>
      </c>
      <c r="G21" s="18">
        <f t="array" ref="G21">_xlfn.TEXTJOIN(", ",TRUE,IF(ISNUMBER(SEARCH("R",'P2.3 RASCI matrix'!$H21:$Z21)),'P2.3 RASCI matrix'!$H$7:$Z$7,""))</f>
        <v/>
      </c>
      <c r="H21" s="18">
        <f t="array" ref="H21">_xlfn.TEXTJOIN(", ",TRUE,IF(LEFT('P2.3 RASCI matrix'!$H21:$Z21,1)="A",'P2.3 RASCI matrix'!$H$7:$Z$7,""))</f>
        <v/>
      </c>
      <c r="I21" s="8" t="inlineStr">
        <is>
          <t>Medium</t>
        </is>
      </c>
      <c r="J21" s="8" t="inlineStr">
        <is>
          <t>Not yet started</t>
        </is>
      </c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</row>
    <row r="22" ht="39" customHeight="1">
      <c r="B22" s="8" t="inlineStr">
        <is>
          <t>Early engagement: socialise requirements in existing meetings (esp. education-related)</t>
        </is>
      </c>
      <c r="C22" s="8" t="inlineStr">
        <is>
          <t>Stakeholder awareness</t>
        </is>
      </c>
      <c r="D22" s="17" t="n">
        <v>46321</v>
      </c>
      <c r="E22" s="17" t="n">
        <v>46325</v>
      </c>
      <c r="F22" s="18">
        <f>IF(D22="","",TEXT(D22,"d mmm")&amp;IF(E22&lt;&gt;D22," – "&amp;TEXT(E22,"d mmm"),""))</f>
        <v/>
      </c>
      <c r="G22" s="18">
        <f t="array" ref="G22">_xlfn.TEXTJOIN(", ",TRUE,IF(ISNUMBER(SEARCH("R",'P2.3 RASCI matrix'!$H22:$Z22)),'P2.3 RASCI matrix'!$H$7:$Z$7,""))</f>
        <v/>
      </c>
      <c r="H22" s="18">
        <f t="array" ref="H22">_xlfn.TEXTJOIN(", ",TRUE,IF(LEFT('P2.3 RASCI matrix'!$H22:$Z22,1)="A",'P2.3 RASCI matrix'!$H$7:$Z$7,""))</f>
        <v/>
      </c>
      <c r="I22" s="8" t="inlineStr">
        <is>
          <t>High</t>
        </is>
      </c>
      <c r="J22" s="8" t="inlineStr">
        <is>
          <t>Not yet started</t>
        </is>
      </c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</row>
    <row r="23" ht="22" customHeight="1">
      <c r="B23" s="15" t="inlineStr">
        <is>
          <t>Collection &amp; evidence (Nov–Dec 2026)</t>
        </is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</row>
    <row r="24" ht="39" customHeight="1">
      <c r="B24" s="8" t="inlineStr">
        <is>
          <t>Collection launch: issue tailored requests (separate workbook per faculty/unit)</t>
        </is>
      </c>
      <c r="C24" s="8" t="inlineStr">
        <is>
          <t>Requests formally issued</t>
        </is>
      </c>
      <c r="D24" s="17" t="n">
        <v>46328</v>
      </c>
      <c r="E24" s="17" t="n">
        <v>46332</v>
      </c>
      <c r="F24" s="18">
        <f>IF(D24="","",TEXT(D24,"d mmm")&amp;IF(E24&lt;&gt;D24," – "&amp;TEXT(E24,"d mmm"),""))</f>
        <v/>
      </c>
      <c r="G24" s="18">
        <f t="array" ref="G24">_xlfn.TEXTJOIN(", ",TRUE,IF(ISNUMBER(SEARCH("R",'P2.3 RASCI matrix'!$H24:$Z24)),'P2.3 RASCI matrix'!$H$7:$Z$7,""))</f>
        <v/>
      </c>
      <c r="H24" s="18">
        <f t="array" ref="H24">_xlfn.TEXTJOIN(", ",TRUE,IF(LEFT('P2.3 RASCI matrix'!$H24:$Z24,1)="A",'P2.3 RASCI matrix'!$H$7:$Z$7,""))</f>
        <v/>
      </c>
      <c r="I24" s="8" t="inlineStr">
        <is>
          <t>High</t>
        </is>
      </c>
      <c r="J24" s="8" t="inlineStr">
        <is>
          <t>Not yet started</t>
        </is>
      </c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</row>
    <row r="25" ht="39" customHeight="1">
      <c r="B25" s="8" t="inlineStr">
        <is>
          <t>Collection period: stakeholders prepare responses and evidence</t>
        </is>
      </c>
      <c r="C25" s="8" t="inlineStr">
        <is>
          <t>Initial submission</t>
        </is>
      </c>
      <c r="D25" s="17" t="n">
        <v>46328</v>
      </c>
      <c r="E25" s="17" t="n">
        <v>46371</v>
      </c>
      <c r="F25" s="18">
        <f>IF(D25="","",TEXT(D25,"d mmm")&amp;IF(E25&lt;&gt;D25," – "&amp;TEXT(E25,"d mmm"),""))</f>
        <v/>
      </c>
      <c r="G25" s="18">
        <f t="array" ref="G25">_xlfn.TEXTJOIN(", ",TRUE,IF(ISNUMBER(SEARCH("R",'P2.3 RASCI matrix'!$H25:$Z25)),'P2.3 RASCI matrix'!$H$7:$Z$7,""))</f>
        <v/>
      </c>
      <c r="H25" s="18">
        <f t="array" ref="H25">_xlfn.TEXTJOIN(", ",TRUE,IF(LEFT('P2.3 RASCI matrix'!$H25:$Z25,1)="A",'P2.3 RASCI matrix'!$H$7:$Z$7,""))</f>
        <v/>
      </c>
      <c r="I25" s="8" t="inlineStr">
        <is>
          <t>High</t>
        </is>
      </c>
      <c r="J25" s="8" t="inlineStr">
        <is>
          <t>Not yet started</t>
        </is>
      </c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</row>
    <row r="26" ht="39" customHeight="1">
      <c r="B26" s="8" t="inlineStr">
        <is>
          <t>SST answers questions and records clarifications centrally</t>
        </is>
      </c>
      <c r="C26" s="8" t="inlineStr">
        <is>
          <t>Clarifications log</t>
        </is>
      </c>
      <c r="D26" s="17" t="n">
        <v>46328</v>
      </c>
      <c r="E26" s="17" t="n">
        <v>46371</v>
      </c>
      <c r="F26" s="18">
        <f>IF(D26="","",TEXT(D26,"d mmm")&amp;IF(E26&lt;&gt;D26," – "&amp;TEXT(E26,"d mmm"),""))</f>
        <v/>
      </c>
      <c r="G26" s="18">
        <f t="array" ref="G26">_xlfn.TEXTJOIN(", ",TRUE,IF(ISNUMBER(SEARCH("R",'P2.3 RASCI matrix'!$H26:$Z26)),'P2.3 RASCI matrix'!$H$7:$Z$7,""))</f>
        <v/>
      </c>
      <c r="H26" s="18">
        <f t="array" ref="H26">_xlfn.TEXTJOIN(", ",TRUE,IF(LEFT('P2.3 RASCI matrix'!$H26:$Z26,1)="A",'P2.3 RASCI matrix'!$H$7:$Z$7,""))</f>
        <v/>
      </c>
      <c r="I26" s="8" t="inlineStr">
        <is>
          <t>Medium</t>
        </is>
      </c>
      <c r="J26" s="8" t="inlineStr">
        <is>
          <t>Not yet started</t>
        </is>
      </c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</row>
    <row r="27" ht="39" customHeight="1">
      <c r="B27" s="8" t="inlineStr">
        <is>
          <t>Optional 1:1 meetings (on request)</t>
        </is>
      </c>
      <c r="C27" s="8" t="inlineStr"/>
      <c r="D27" s="17" t="n">
        <v>46328</v>
      </c>
      <c r="E27" s="17" t="n">
        <v>46371</v>
      </c>
      <c r="F27" s="18">
        <f>IF(D27="","",TEXT(D27,"d mmm")&amp;IF(E27&lt;&gt;D27," – "&amp;TEXT(E27,"d mmm"),""))</f>
        <v/>
      </c>
      <c r="G27" s="18">
        <f t="array" ref="G27">_xlfn.TEXTJOIN(", ",TRUE,IF(ISNUMBER(SEARCH("R",'P2.3 RASCI matrix'!$H27:$Z27)),'P2.3 RASCI matrix'!$H$7:$Z$7,""))</f>
        <v/>
      </c>
      <c r="H27" s="18">
        <f t="array" ref="H27">_xlfn.TEXTJOIN(", ",TRUE,IF(LEFT('P2.3 RASCI matrix'!$H27:$Z27,1)="A",'P2.3 RASCI matrix'!$H$7:$Z$7,""))</f>
        <v/>
      </c>
      <c r="I27" s="8" t="inlineStr">
        <is>
          <t>Medium</t>
        </is>
      </c>
      <c r="J27" s="8" t="inlineStr">
        <is>
          <t>Not yet started</t>
        </is>
      </c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</row>
    <row r="28" ht="39" customHeight="1">
      <c r="B28" s="8" t="inlineStr">
        <is>
          <t>Responses and highlighted stories due (Christmas shutdown)</t>
        </is>
      </c>
      <c r="C28" s="8" t="inlineStr">
        <is>
          <t>24 Dec</t>
        </is>
      </c>
      <c r="D28" s="17" t="n">
        <v>46380</v>
      </c>
      <c r="E28" s="17" t="n">
        <v>46380</v>
      </c>
      <c r="F28" s="18">
        <f>IF(D28="","",TEXT(D28,"d mmm")&amp;IF(E28&lt;&gt;D28," – "&amp;TEXT(E28,"d mmm"),""))</f>
        <v/>
      </c>
      <c r="G28" s="18">
        <f t="array" ref="G28">_xlfn.TEXTJOIN(", ",TRUE,IF(ISNUMBER(SEARCH("R",'P2.3 RASCI matrix'!$H28:$Z28)),'P2.3 RASCI matrix'!$H$7:$Z$7,""))</f>
        <v/>
      </c>
      <c r="H28" s="18">
        <f t="array" ref="H28">_xlfn.TEXTJOIN(", ",TRUE,IF(LEFT('P2.3 RASCI matrix'!$H28:$Z28,1)="A",'P2.3 RASCI matrix'!$H$7:$Z$7,""))</f>
        <v/>
      </c>
      <c r="I28" s="8" t="inlineStr">
        <is>
          <t>Milestone</t>
        </is>
      </c>
      <c r="J28" s="8" t="inlineStr">
        <is>
          <t>Not yet started</t>
        </is>
      </c>
      <c r="L28" s="19">
        <f>IF(AND(L$7+6&gt;=$D28,L$7&lt;=$E28),"◆","")</f>
        <v/>
      </c>
      <c r="M28" s="19">
        <f>IF(AND(M$7+6&gt;=$D28,M$7&lt;=$E28),"◆","")</f>
        <v/>
      </c>
      <c r="N28" s="19">
        <f>IF(AND(N$7+6&gt;=$D28,N$7&lt;=$E28),"◆","")</f>
        <v/>
      </c>
      <c r="O28" s="19">
        <f>IF(AND(O$7+6&gt;=$D28,O$7&lt;=$E28),"◆","")</f>
        <v/>
      </c>
      <c r="P28" s="19">
        <f>IF(AND(P$7+6&gt;=$D28,P$7&lt;=$E28),"◆","")</f>
        <v/>
      </c>
      <c r="Q28" s="19">
        <f>IF(AND(Q$7+6&gt;=$D28,Q$7&lt;=$E28),"◆","")</f>
        <v/>
      </c>
      <c r="R28" s="19">
        <f>IF(AND(R$7+6&gt;=$D28,R$7&lt;=$E28),"◆","")</f>
        <v/>
      </c>
      <c r="S28" s="19">
        <f>IF(AND(S$7+6&gt;=$D28,S$7&lt;=$E28),"◆","")</f>
        <v/>
      </c>
      <c r="T28" s="19">
        <f>IF(AND(T$7+6&gt;=$D28,T$7&lt;=$E28),"◆","")</f>
        <v/>
      </c>
      <c r="U28" s="19">
        <f>IF(AND(U$7+6&gt;=$D28,U$7&lt;=$E28),"◆","")</f>
        <v/>
      </c>
      <c r="V28" s="19">
        <f>IF(AND(V$7+6&gt;=$D28,V$7&lt;=$E28),"◆","")</f>
        <v/>
      </c>
      <c r="W28" s="19">
        <f>IF(AND(W$7+6&gt;=$D28,W$7&lt;=$E28),"◆","")</f>
        <v/>
      </c>
      <c r="X28" s="19">
        <f>IF(AND(X$7+6&gt;=$D28,X$7&lt;=$E28),"◆","")</f>
        <v/>
      </c>
      <c r="Y28" s="19">
        <f>IF(AND(Y$7+6&gt;=$D28,Y$7&lt;=$E28),"◆","")</f>
        <v/>
      </c>
      <c r="Z28" s="19">
        <f>IF(AND(Z$7+6&gt;=$D28,Z$7&lt;=$E28),"◆","")</f>
        <v/>
      </c>
      <c r="AA28" s="19">
        <f>IF(AND(AA$7+6&gt;=$D28,AA$7&lt;=$E28),"◆","")</f>
        <v/>
      </c>
      <c r="AB28" s="19">
        <f>IF(AND(AB$7+6&gt;=$D28,AB$7&lt;=$E28),"◆","")</f>
        <v/>
      </c>
      <c r="AC28" s="19">
        <f>IF(AND(AC$7+6&gt;=$D28,AC$7&lt;=$E28),"◆","")</f>
        <v/>
      </c>
      <c r="AD28" s="19">
        <f>IF(AND(AD$7+6&gt;=$D28,AD$7&lt;=$E28),"◆","")</f>
        <v/>
      </c>
      <c r="AE28" s="19">
        <f>IF(AND(AE$7+6&gt;=$D28,AE$7&lt;=$E28),"◆","")</f>
        <v/>
      </c>
      <c r="AF28" s="19">
        <f>IF(AND(AF$7+6&gt;=$D28,AF$7&lt;=$E28),"◆","")</f>
        <v/>
      </c>
      <c r="AG28" s="19">
        <f>IF(AND(AG$7+6&gt;=$D28,AG$7&lt;=$E28),"◆","")</f>
        <v/>
      </c>
      <c r="AH28" s="19">
        <f>IF(AND(AH$7+6&gt;=$D28,AH$7&lt;=$E28),"◆","")</f>
        <v/>
      </c>
      <c r="AI28" s="19">
        <f>IF(AND(AI$7+6&gt;=$D28,AI$7&lt;=$E28),"◆","")</f>
        <v/>
      </c>
      <c r="AJ28" s="19">
        <f>IF(AND(AJ$7+6&gt;=$D28,AJ$7&lt;=$E28),"◆","")</f>
        <v/>
      </c>
      <c r="AK28" s="19">
        <f>IF(AND(AK$7+6&gt;=$D28,AK$7&lt;=$E28),"◆","")</f>
        <v/>
      </c>
      <c r="AL28" s="19">
        <f>IF(AND(AL$7+6&gt;=$D28,AL$7&lt;=$E28),"◆","")</f>
        <v/>
      </c>
      <c r="AM28" s="19">
        <f>IF(AND(AM$7+6&gt;=$D28,AM$7&lt;=$E28),"◆","")</f>
        <v/>
      </c>
      <c r="AN28" s="19">
        <f>IF(AND(AN$7+6&gt;=$D28,AN$7&lt;=$E28),"◆","")</f>
        <v/>
      </c>
      <c r="AO28" s="19">
        <f>IF(AND(AO$7+6&gt;=$D28,AO$7&lt;=$E28),"◆","")</f>
        <v/>
      </c>
      <c r="AP28" s="19">
        <f>IF(AND(AP$7+6&gt;=$D28,AP$7&lt;=$E28),"◆","")</f>
        <v/>
      </c>
      <c r="AQ28" s="19">
        <f>IF(AND(AQ$7+6&gt;=$D28,AQ$7&lt;=$E28),"◆","")</f>
        <v/>
      </c>
      <c r="AR28" s="19">
        <f>IF(AND(AR$7+6&gt;=$D28,AR$7&lt;=$E28),"◆","")</f>
        <v/>
      </c>
      <c r="AS28" s="19">
        <f>IF(AND(AS$7+6&gt;=$D28,AS$7&lt;=$E28),"◆","")</f>
        <v/>
      </c>
      <c r="AT28" s="19">
        <f>IF(AND(AT$7+6&gt;=$D28,AT$7&lt;=$E28),"◆","")</f>
        <v/>
      </c>
      <c r="AU28" s="19">
        <f>IF(AND(AU$7+6&gt;=$D28,AU$7&lt;=$E28),"◆","")</f>
        <v/>
      </c>
      <c r="AV28" s="19">
        <f>IF(AND(AV$7+6&gt;=$D28,AV$7&lt;=$E28),"◆","")</f>
        <v/>
      </c>
      <c r="AW28" s="19">
        <f>IF(AND(AW$7+6&gt;=$D28,AW$7&lt;=$E28),"◆","")</f>
        <v/>
      </c>
      <c r="AX28" s="19">
        <f>IF(AND(AX$7+6&gt;=$D28,AX$7&lt;=$E28),"◆","")</f>
        <v/>
      </c>
      <c r="AY28" s="19">
        <f>IF(AND(AY$7+6&gt;=$D28,AY$7&lt;=$E28),"◆","")</f>
        <v/>
      </c>
    </row>
    <row r="29" ht="22" customHeight="1">
      <c r="B29" s="15" t="inlineStr">
        <is>
          <t>Drafting, validation &amp; governance papers (Jan–May 2027)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</row>
    <row r="30" ht="39" customHeight="1">
      <c r="B30" s="8" t="inlineStr">
        <is>
          <t>First review: completeness and evidence quality</t>
        </is>
      </c>
      <c r="C30" s="8" t="inlineStr">
        <is>
          <t>First QA assessment</t>
        </is>
      </c>
      <c r="D30" s="17" t="n">
        <v>46391</v>
      </c>
      <c r="E30" s="17" t="n">
        <v>46395</v>
      </c>
      <c r="F30" s="18">
        <f>IF(D30="","",TEXT(D30,"d mmm")&amp;IF(E30&lt;&gt;D30," – "&amp;TEXT(E30,"d mmm"),""))</f>
        <v/>
      </c>
      <c r="G30" s="18">
        <f t="array" ref="G30">_xlfn.TEXTJOIN(", ",TRUE,IF(ISNUMBER(SEARCH("R",'P2.3 RASCI matrix'!$H30:$Z30)),'P2.3 RASCI matrix'!$H$7:$Z$7,""))</f>
        <v/>
      </c>
      <c r="H30" s="18">
        <f t="array" ref="H30">_xlfn.TEXTJOIN(", ",TRUE,IF(LEFT('P2.3 RASCI matrix'!$H30:$Z30,1)="A",'P2.3 RASCI matrix'!$H$7:$Z$7,""))</f>
        <v/>
      </c>
      <c r="I30" s="8" t="inlineStr">
        <is>
          <t>High</t>
        </is>
      </c>
      <c r="J30" s="8" t="inlineStr">
        <is>
          <t>Not yet started</t>
        </is>
      </c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</row>
    <row r="31" ht="56" customHeight="1">
      <c r="B31" s="8" t="inlineStr">
        <is>
          <t>Targeted follow-up where evidence is incomplete, ambiguous or missing (no second broad request; ask availability)</t>
        </is>
      </c>
      <c r="C31" s="8" t="inlineStr">
        <is>
          <t>Resolved gaps</t>
        </is>
      </c>
      <c r="D31" s="17" t="n">
        <v>46391</v>
      </c>
      <c r="E31" s="17" t="n">
        <v>46402</v>
      </c>
      <c r="F31" s="18">
        <f>IF(D31="","",TEXT(D31,"d mmm")&amp;IF(E31&lt;&gt;D31," – "&amp;TEXT(E31,"d mmm"),""))</f>
        <v/>
      </c>
      <c r="G31" s="18">
        <f t="array" ref="G31">_xlfn.TEXTJOIN(", ",TRUE,IF(ISNUMBER(SEARCH("R",'P2.3 RASCI matrix'!$H31:$Z31)),'P2.3 RASCI matrix'!$H$7:$Z$7,""))</f>
        <v/>
      </c>
      <c r="H31" s="18">
        <f t="array" ref="H31">_xlfn.TEXTJOIN(", ",TRUE,IF(LEFT('P2.3 RASCI matrix'!$H31:$Z31,1)="A",'P2.3 RASCI matrix'!$H$7:$Z$7,""))</f>
        <v/>
      </c>
      <c r="I31" s="8" t="inlineStr">
        <is>
          <t>High</t>
        </is>
      </c>
      <c r="J31" s="8" t="inlineStr">
        <is>
          <t>Not yet started</t>
        </is>
      </c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</row>
    <row r="32" ht="39" customHeight="1">
      <c r="B32" s="8" t="inlineStr">
        <is>
          <t>Consolidation: finalise master, identify unresolved gaps, prepare drafting material</t>
        </is>
      </c>
      <c r="C32" s="8" t="inlineStr">
        <is>
          <t>Consolidated master spreadsheet</t>
        </is>
      </c>
      <c r="D32" s="17" t="n">
        <v>46405</v>
      </c>
      <c r="E32" s="17" t="n">
        <v>46409</v>
      </c>
      <c r="F32" s="18">
        <f>IF(D32="","",TEXT(D32,"d mmm")&amp;IF(E32&lt;&gt;D32," – "&amp;TEXT(E32,"d mmm"),""))</f>
        <v/>
      </c>
      <c r="G32" s="18">
        <f t="array" ref="G32">_xlfn.TEXTJOIN(", ",TRUE,IF(ISNUMBER(SEARCH("R",'P2.3 RASCI matrix'!$H32:$Z32)),'P2.3 RASCI matrix'!$H$7:$Z$7,""))</f>
        <v/>
      </c>
      <c r="H32" s="18">
        <f t="array" ref="H32">_xlfn.TEXTJOIN(", ",TRUE,IF(LEFT('P2.3 RASCI matrix'!$H32:$Z32,1)="A",'P2.3 RASCI matrix'!$H$7:$Z$7,""))</f>
        <v/>
      </c>
      <c r="I32" s="8" t="inlineStr">
        <is>
          <t>High</t>
        </is>
      </c>
      <c r="J32" s="8" t="inlineStr">
        <is>
          <t>Not yet started</t>
        </is>
      </c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</row>
    <row r="33" ht="39" customHeight="1">
      <c r="B33" s="8" t="inlineStr">
        <is>
          <t>Confirm final quantitative figures (Databook)</t>
        </is>
      </c>
      <c r="C33" s="8" t="inlineStr"/>
      <c r="D33" s="17" t="n">
        <v>46391</v>
      </c>
      <c r="E33" s="17" t="n">
        <v>46416</v>
      </c>
      <c r="F33" s="18">
        <f>IF(D33="","",TEXT(D33,"d mmm")&amp;IF(E33&lt;&gt;D33," – "&amp;TEXT(E33,"d mmm"),""))</f>
        <v/>
      </c>
      <c r="G33" s="18">
        <f t="array" ref="G33">_xlfn.TEXTJOIN(", ",TRUE,IF(ISNUMBER(SEARCH("R",'P2.3 RASCI matrix'!$H33:$Z33)),'P2.3 RASCI matrix'!$H$7:$Z$7,""))</f>
        <v/>
      </c>
      <c r="H33" s="18">
        <f t="array" ref="H33">_xlfn.TEXTJOIN(", ",TRUE,IF(LEFT('P2.3 RASCI matrix'!$H33:$Z33,1)="A",'P2.3 RASCI matrix'!$H$7:$Z$7,""))</f>
        <v/>
      </c>
      <c r="I33" s="8" t="inlineStr">
        <is>
          <t>High</t>
        </is>
      </c>
      <c r="J33" s="8" t="inlineStr">
        <is>
          <t>Not yet started</t>
        </is>
      </c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</row>
    <row r="34" ht="39" customHeight="1">
      <c r="B34" s="8" t="inlineStr">
        <is>
          <t>Review responses by indicator (A1 / T1 / T2) – no target status rating in 2026</t>
        </is>
      </c>
      <c r="C34" s="8" t="inlineStr"/>
      <c r="D34" s="17" t="n">
        <v>46405</v>
      </c>
      <c r="E34" s="17" t="n">
        <v>46416</v>
      </c>
      <c r="F34" s="18">
        <f>IF(D34="","",TEXT(D34,"d mmm")&amp;IF(E34&lt;&gt;D34," – "&amp;TEXT(E34,"d mmm"),""))</f>
        <v/>
      </c>
      <c r="G34" s="18">
        <f t="array" ref="G34">_xlfn.TEXTJOIN(", ",TRUE,IF(ISNUMBER(SEARCH("R",'P2.3 RASCI matrix'!$H34:$Z34)),'P2.3 RASCI matrix'!$H$7:$Z$7,""))</f>
        <v/>
      </c>
      <c r="H34" s="18">
        <f t="array" ref="H34">_xlfn.TEXTJOIN(", ",TRUE,IF(LEFT('P2.3 RASCI matrix'!$H34:$Z34,1)="A",'P2.3 RASCI matrix'!$H$7:$Z$7,""))</f>
        <v/>
      </c>
      <c r="I34" s="8" t="inlineStr">
        <is>
          <t>High</t>
        </is>
      </c>
      <c r="J34" s="8" t="inlineStr">
        <is>
          <t>Not yet started</t>
        </is>
      </c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</row>
    <row r="35" ht="39" customHeight="1">
      <c r="B35" s="8" t="inlineStr">
        <is>
          <t>Drafting from consolidated master; full draft + issues paper</t>
        </is>
      </c>
      <c r="C35" s="8" t="inlineStr"/>
      <c r="D35" s="17" t="n">
        <v>46405</v>
      </c>
      <c r="E35" s="17" t="n">
        <v>46423</v>
      </c>
      <c r="F35" s="18">
        <f>IF(D35="","",TEXT(D35,"d mmm")&amp;IF(E35&lt;&gt;D35," – "&amp;TEXT(E35,"d mmm"),""))</f>
        <v/>
      </c>
      <c r="G35" s="18">
        <f t="array" ref="G35">_xlfn.TEXTJOIN(", ",TRUE,IF(ISNUMBER(SEARCH("R",'P2.3 RASCI matrix'!$H35:$Z35)),'P2.3 RASCI matrix'!$H$7:$Z$7,""))</f>
        <v/>
      </c>
      <c r="H35" s="18">
        <f t="array" ref="H35">_xlfn.TEXTJOIN(", ",TRUE,IF(LEFT('P2.3 RASCI matrix'!$H35:$Z35,1)="A",'P2.3 RASCI matrix'!$H$7:$Z$7,""))</f>
        <v/>
      </c>
      <c r="I35" s="8" t="inlineStr">
        <is>
          <t>High</t>
        </is>
      </c>
      <c r="J35" s="8" t="inlineStr">
        <is>
          <t>Not yet started</t>
        </is>
      </c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</row>
    <row r="36" ht="39" customHeight="1">
      <c r="B36" s="8" t="inlineStr">
        <is>
          <t>Draft paper: Sustainability Reporting Review Group – review findings</t>
        </is>
      </c>
      <c r="C36" s="8" t="inlineStr">
        <is>
          <t>Begin drafting → leaders</t>
        </is>
      </c>
      <c r="D36" s="17">
        <f>'P2.1 Governance deadlines'!G6</f>
        <v/>
      </c>
      <c r="E36" s="17">
        <f>'P2.1 Governance deadlines'!F6</f>
        <v/>
      </c>
      <c r="F36" s="18">
        <f>IF(D36="","",TEXT(D36,"d mmm")&amp;IF(E36&lt;&gt;D36," – "&amp;TEXT(E36,"d mmm"),""))</f>
        <v/>
      </c>
      <c r="G36" s="18">
        <f t="array" ref="G36">_xlfn.TEXTJOIN(", ",TRUE,IF(ISNUMBER(SEARCH("R",'P2.3 RASCI matrix'!$H36:$Z36)),'P2.3 RASCI matrix'!$H$7:$Z$7,""))</f>
        <v/>
      </c>
      <c r="H36" s="18">
        <f t="array" ref="H36">_xlfn.TEXTJOIN(", ",TRUE,IF(LEFT('P2.3 RASCI matrix'!$H36:$Z36,1)="A",'P2.3 RASCI matrix'!$H$7:$Z$7,""))</f>
        <v/>
      </c>
      <c r="I36" s="8" t="inlineStr">
        <is>
          <t>High</t>
        </is>
      </c>
      <c r="J36" s="8" t="inlineStr">
        <is>
          <t>Not yet started</t>
        </is>
      </c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</row>
    <row r="37" ht="39" customHeight="1">
      <c r="B37" s="8" t="inlineStr">
        <is>
          <t>Papers due: Sustainability Reporting Review Group – review findings</t>
        </is>
      </c>
      <c r="C37" s="8" t="inlineStr">
        <is>
          <t>Papers due</t>
        </is>
      </c>
      <c r="D37" s="17">
        <f>'P2.1 Governance deadlines'!E6</f>
        <v/>
      </c>
      <c r="E37" s="17">
        <f>'P2.1 Governance deadlines'!E6</f>
        <v/>
      </c>
      <c r="F37" s="18">
        <f>IF(D37="","",TEXT(D37,"d mmm")&amp;IF(E37&lt;&gt;D37," – "&amp;TEXT(E37,"d mmm"),""))</f>
        <v/>
      </c>
      <c r="G37" s="18">
        <f t="array" ref="G37">_xlfn.TEXTJOIN(", ",TRUE,IF(ISNUMBER(SEARCH("R",'P2.3 RASCI matrix'!$H37:$Z37)),'P2.3 RASCI matrix'!$H$7:$Z$7,""))</f>
        <v/>
      </c>
      <c r="H37" s="18">
        <f t="array" ref="H37">_xlfn.TEXTJOIN(", ",TRUE,IF(LEFT('P2.3 RASCI matrix'!$H37:$Z37,1)="A",'P2.3 RASCI matrix'!$H$7:$Z$7,""))</f>
        <v/>
      </c>
      <c r="I37" s="8" t="inlineStr">
        <is>
          <t>Milestone</t>
        </is>
      </c>
      <c r="J37" s="8" t="inlineStr">
        <is>
          <t>Not yet started</t>
        </is>
      </c>
      <c r="L37" s="19">
        <f>IF(AND(L$7+6&gt;=$D37,L$7&lt;=$E37),"◆","")</f>
        <v/>
      </c>
      <c r="M37" s="19">
        <f>IF(AND(M$7+6&gt;=$D37,M$7&lt;=$E37),"◆","")</f>
        <v/>
      </c>
      <c r="N37" s="19">
        <f>IF(AND(N$7+6&gt;=$D37,N$7&lt;=$E37),"◆","")</f>
        <v/>
      </c>
      <c r="O37" s="19">
        <f>IF(AND(O$7+6&gt;=$D37,O$7&lt;=$E37),"◆","")</f>
        <v/>
      </c>
      <c r="P37" s="19">
        <f>IF(AND(P$7+6&gt;=$D37,P$7&lt;=$E37),"◆","")</f>
        <v/>
      </c>
      <c r="Q37" s="19">
        <f>IF(AND(Q$7+6&gt;=$D37,Q$7&lt;=$E37),"◆","")</f>
        <v/>
      </c>
      <c r="R37" s="19">
        <f>IF(AND(R$7+6&gt;=$D37,R$7&lt;=$E37),"◆","")</f>
        <v/>
      </c>
      <c r="S37" s="19">
        <f>IF(AND(S$7+6&gt;=$D37,S$7&lt;=$E37),"◆","")</f>
        <v/>
      </c>
      <c r="T37" s="19">
        <f>IF(AND(T$7+6&gt;=$D37,T$7&lt;=$E37),"◆","")</f>
        <v/>
      </c>
      <c r="U37" s="19">
        <f>IF(AND(U$7+6&gt;=$D37,U$7&lt;=$E37),"◆","")</f>
        <v/>
      </c>
      <c r="V37" s="19">
        <f>IF(AND(V$7+6&gt;=$D37,V$7&lt;=$E37),"◆","")</f>
        <v/>
      </c>
      <c r="W37" s="19">
        <f>IF(AND(W$7+6&gt;=$D37,W$7&lt;=$E37),"◆","")</f>
        <v/>
      </c>
      <c r="X37" s="19">
        <f>IF(AND(X$7+6&gt;=$D37,X$7&lt;=$E37),"◆","")</f>
        <v/>
      </c>
      <c r="Y37" s="19">
        <f>IF(AND(Y$7+6&gt;=$D37,Y$7&lt;=$E37),"◆","")</f>
        <v/>
      </c>
      <c r="Z37" s="19">
        <f>IF(AND(Z$7+6&gt;=$D37,Z$7&lt;=$E37),"◆","")</f>
        <v/>
      </c>
      <c r="AA37" s="19">
        <f>IF(AND(AA$7+6&gt;=$D37,AA$7&lt;=$E37),"◆","")</f>
        <v/>
      </c>
      <c r="AB37" s="19">
        <f>IF(AND(AB$7+6&gt;=$D37,AB$7&lt;=$E37),"◆","")</f>
        <v/>
      </c>
      <c r="AC37" s="19">
        <f>IF(AND(AC$7+6&gt;=$D37,AC$7&lt;=$E37),"◆","")</f>
        <v/>
      </c>
      <c r="AD37" s="19">
        <f>IF(AND(AD$7+6&gt;=$D37,AD$7&lt;=$E37),"◆","")</f>
        <v/>
      </c>
      <c r="AE37" s="19">
        <f>IF(AND(AE$7+6&gt;=$D37,AE$7&lt;=$E37),"◆","")</f>
        <v/>
      </c>
      <c r="AF37" s="19">
        <f>IF(AND(AF$7+6&gt;=$D37,AF$7&lt;=$E37),"◆","")</f>
        <v/>
      </c>
      <c r="AG37" s="19">
        <f>IF(AND(AG$7+6&gt;=$D37,AG$7&lt;=$E37),"◆","")</f>
        <v/>
      </c>
      <c r="AH37" s="19">
        <f>IF(AND(AH$7+6&gt;=$D37,AH$7&lt;=$E37),"◆","")</f>
        <v/>
      </c>
      <c r="AI37" s="19">
        <f>IF(AND(AI$7+6&gt;=$D37,AI$7&lt;=$E37),"◆","")</f>
        <v/>
      </c>
      <c r="AJ37" s="19">
        <f>IF(AND(AJ$7+6&gt;=$D37,AJ$7&lt;=$E37),"◆","")</f>
        <v/>
      </c>
      <c r="AK37" s="19">
        <f>IF(AND(AK$7+6&gt;=$D37,AK$7&lt;=$E37),"◆","")</f>
        <v/>
      </c>
      <c r="AL37" s="19">
        <f>IF(AND(AL$7+6&gt;=$D37,AL$7&lt;=$E37),"◆","")</f>
        <v/>
      </c>
      <c r="AM37" s="19">
        <f>IF(AND(AM$7+6&gt;=$D37,AM$7&lt;=$E37),"◆","")</f>
        <v/>
      </c>
      <c r="AN37" s="19">
        <f>IF(AND(AN$7+6&gt;=$D37,AN$7&lt;=$E37),"◆","")</f>
        <v/>
      </c>
      <c r="AO37" s="19">
        <f>IF(AND(AO$7+6&gt;=$D37,AO$7&lt;=$E37),"◆","")</f>
        <v/>
      </c>
      <c r="AP37" s="19">
        <f>IF(AND(AP$7+6&gt;=$D37,AP$7&lt;=$E37),"◆","")</f>
        <v/>
      </c>
      <c r="AQ37" s="19">
        <f>IF(AND(AQ$7+6&gt;=$D37,AQ$7&lt;=$E37),"◆","")</f>
        <v/>
      </c>
      <c r="AR37" s="19">
        <f>IF(AND(AR$7+6&gt;=$D37,AR$7&lt;=$E37),"◆","")</f>
        <v/>
      </c>
      <c r="AS37" s="19">
        <f>IF(AND(AS$7+6&gt;=$D37,AS$7&lt;=$E37),"◆","")</f>
        <v/>
      </c>
      <c r="AT37" s="19">
        <f>IF(AND(AT$7+6&gt;=$D37,AT$7&lt;=$E37),"◆","")</f>
        <v/>
      </c>
      <c r="AU37" s="19">
        <f>IF(AND(AU$7+6&gt;=$D37,AU$7&lt;=$E37),"◆","")</f>
        <v/>
      </c>
      <c r="AV37" s="19">
        <f>IF(AND(AV$7+6&gt;=$D37,AV$7&lt;=$E37),"◆","")</f>
        <v/>
      </c>
      <c r="AW37" s="19">
        <f>IF(AND(AW$7+6&gt;=$D37,AW$7&lt;=$E37),"◆","")</f>
        <v/>
      </c>
      <c r="AX37" s="19">
        <f>IF(AND(AX$7+6&gt;=$D37,AX$7&lt;=$E37),"◆","")</f>
        <v/>
      </c>
      <c r="AY37" s="19">
        <f>IF(AND(AY$7+6&gt;=$D37,AY$7&lt;=$E37),"◆","")</f>
        <v/>
      </c>
    </row>
    <row r="38" ht="39" customHeight="1">
      <c r="B38" s="8" t="inlineStr">
        <is>
          <t>Meeting: Sustainability Reporting Review Group – review findings</t>
        </is>
      </c>
      <c r="C38" s="8" t="inlineStr">
        <is>
          <t>Meeting</t>
        </is>
      </c>
      <c r="D38" s="17">
        <f>'P2.1 Governance deadlines'!D6</f>
        <v/>
      </c>
      <c r="E38" s="17">
        <f>'P2.1 Governance deadlines'!D6</f>
        <v/>
      </c>
      <c r="F38" s="18">
        <f>IF(D38="","",TEXT(D38,"d mmm")&amp;IF(E38&lt;&gt;D38," – "&amp;TEXT(E38,"d mmm"),""))</f>
        <v/>
      </c>
      <c r="G38" s="18">
        <f t="array" ref="G38">_xlfn.TEXTJOIN(", ",TRUE,IF(ISNUMBER(SEARCH("R",'P2.3 RASCI matrix'!$H38:$Z38)),'P2.3 RASCI matrix'!$H$7:$Z$7,""))</f>
        <v/>
      </c>
      <c r="H38" s="18">
        <f t="array" ref="H38">_xlfn.TEXTJOIN(", ",TRUE,IF(LEFT('P2.3 RASCI matrix'!$H38:$Z38,1)="A",'P2.3 RASCI matrix'!$H$7:$Z$7,""))</f>
        <v/>
      </c>
      <c r="I38" s="8" t="inlineStr">
        <is>
          <t>Milestone</t>
        </is>
      </c>
      <c r="J38" s="8" t="inlineStr">
        <is>
          <t>Not yet started</t>
        </is>
      </c>
      <c r="L38" s="19">
        <f>IF(AND(L$7+6&gt;=$D38,L$7&lt;=$E38),"◆","")</f>
        <v/>
      </c>
      <c r="M38" s="19">
        <f>IF(AND(M$7+6&gt;=$D38,M$7&lt;=$E38),"◆","")</f>
        <v/>
      </c>
      <c r="N38" s="19">
        <f>IF(AND(N$7+6&gt;=$D38,N$7&lt;=$E38),"◆","")</f>
        <v/>
      </c>
      <c r="O38" s="19">
        <f>IF(AND(O$7+6&gt;=$D38,O$7&lt;=$E38),"◆","")</f>
        <v/>
      </c>
      <c r="P38" s="19">
        <f>IF(AND(P$7+6&gt;=$D38,P$7&lt;=$E38),"◆","")</f>
        <v/>
      </c>
      <c r="Q38" s="19">
        <f>IF(AND(Q$7+6&gt;=$D38,Q$7&lt;=$E38),"◆","")</f>
        <v/>
      </c>
      <c r="R38" s="19">
        <f>IF(AND(R$7+6&gt;=$D38,R$7&lt;=$E38),"◆","")</f>
        <v/>
      </c>
      <c r="S38" s="19">
        <f>IF(AND(S$7+6&gt;=$D38,S$7&lt;=$E38),"◆","")</f>
        <v/>
      </c>
      <c r="T38" s="19">
        <f>IF(AND(T$7+6&gt;=$D38,T$7&lt;=$E38),"◆","")</f>
        <v/>
      </c>
      <c r="U38" s="19">
        <f>IF(AND(U$7+6&gt;=$D38,U$7&lt;=$E38),"◆","")</f>
        <v/>
      </c>
      <c r="V38" s="19">
        <f>IF(AND(V$7+6&gt;=$D38,V$7&lt;=$E38),"◆","")</f>
        <v/>
      </c>
      <c r="W38" s="19">
        <f>IF(AND(W$7+6&gt;=$D38,W$7&lt;=$E38),"◆","")</f>
        <v/>
      </c>
      <c r="X38" s="19">
        <f>IF(AND(X$7+6&gt;=$D38,X$7&lt;=$E38),"◆","")</f>
        <v/>
      </c>
      <c r="Y38" s="19">
        <f>IF(AND(Y$7+6&gt;=$D38,Y$7&lt;=$E38),"◆","")</f>
        <v/>
      </c>
      <c r="Z38" s="19">
        <f>IF(AND(Z$7+6&gt;=$D38,Z$7&lt;=$E38),"◆","")</f>
        <v/>
      </c>
      <c r="AA38" s="19">
        <f>IF(AND(AA$7+6&gt;=$D38,AA$7&lt;=$E38),"◆","")</f>
        <v/>
      </c>
      <c r="AB38" s="19">
        <f>IF(AND(AB$7+6&gt;=$D38,AB$7&lt;=$E38),"◆","")</f>
        <v/>
      </c>
      <c r="AC38" s="19">
        <f>IF(AND(AC$7+6&gt;=$D38,AC$7&lt;=$E38),"◆","")</f>
        <v/>
      </c>
      <c r="AD38" s="19">
        <f>IF(AND(AD$7+6&gt;=$D38,AD$7&lt;=$E38),"◆","")</f>
        <v/>
      </c>
      <c r="AE38" s="19">
        <f>IF(AND(AE$7+6&gt;=$D38,AE$7&lt;=$E38),"◆","")</f>
        <v/>
      </c>
      <c r="AF38" s="19">
        <f>IF(AND(AF$7+6&gt;=$D38,AF$7&lt;=$E38),"◆","")</f>
        <v/>
      </c>
      <c r="AG38" s="19">
        <f>IF(AND(AG$7+6&gt;=$D38,AG$7&lt;=$E38),"◆","")</f>
        <v/>
      </c>
      <c r="AH38" s="19">
        <f>IF(AND(AH$7+6&gt;=$D38,AH$7&lt;=$E38),"◆","")</f>
        <v/>
      </c>
      <c r="AI38" s="19">
        <f>IF(AND(AI$7+6&gt;=$D38,AI$7&lt;=$E38),"◆","")</f>
        <v/>
      </c>
      <c r="AJ38" s="19">
        <f>IF(AND(AJ$7+6&gt;=$D38,AJ$7&lt;=$E38),"◆","")</f>
        <v/>
      </c>
      <c r="AK38" s="19">
        <f>IF(AND(AK$7+6&gt;=$D38,AK$7&lt;=$E38),"◆","")</f>
        <v/>
      </c>
      <c r="AL38" s="19">
        <f>IF(AND(AL$7+6&gt;=$D38,AL$7&lt;=$E38),"◆","")</f>
        <v/>
      </c>
      <c r="AM38" s="19">
        <f>IF(AND(AM$7+6&gt;=$D38,AM$7&lt;=$E38),"◆","")</f>
        <v/>
      </c>
      <c r="AN38" s="19">
        <f>IF(AND(AN$7+6&gt;=$D38,AN$7&lt;=$E38),"◆","")</f>
        <v/>
      </c>
      <c r="AO38" s="19">
        <f>IF(AND(AO$7+6&gt;=$D38,AO$7&lt;=$E38),"◆","")</f>
        <v/>
      </c>
      <c r="AP38" s="19">
        <f>IF(AND(AP$7+6&gt;=$D38,AP$7&lt;=$E38),"◆","")</f>
        <v/>
      </c>
      <c r="AQ38" s="19">
        <f>IF(AND(AQ$7+6&gt;=$D38,AQ$7&lt;=$E38),"◆","")</f>
        <v/>
      </c>
      <c r="AR38" s="19">
        <f>IF(AND(AR$7+6&gt;=$D38,AR$7&lt;=$E38),"◆","")</f>
        <v/>
      </c>
      <c r="AS38" s="19">
        <f>IF(AND(AS$7+6&gt;=$D38,AS$7&lt;=$E38),"◆","")</f>
        <v/>
      </c>
      <c r="AT38" s="19">
        <f>IF(AND(AT$7+6&gt;=$D38,AT$7&lt;=$E38),"◆","")</f>
        <v/>
      </c>
      <c r="AU38" s="19">
        <f>IF(AND(AU$7+6&gt;=$D38,AU$7&lt;=$E38),"◆","")</f>
        <v/>
      </c>
      <c r="AV38" s="19">
        <f>IF(AND(AV$7+6&gt;=$D38,AV$7&lt;=$E38),"◆","")</f>
        <v/>
      </c>
      <c r="AW38" s="19">
        <f>IF(AND(AW$7+6&gt;=$D38,AW$7&lt;=$E38),"◆","")</f>
        <v/>
      </c>
      <c r="AX38" s="19">
        <f>IF(AND(AX$7+6&gt;=$D38,AX$7&lt;=$E38),"◆","")</f>
        <v/>
      </c>
      <c r="AY38" s="19">
        <f>IF(AND(AY$7+6&gt;=$D38,AY$7&lt;=$E38),"◆","")</f>
        <v/>
      </c>
    </row>
    <row r="39" ht="39" customHeight="1">
      <c r="B39" s="8" t="inlineStr">
        <is>
          <t>Draft paper: VCAG – notes review group findings</t>
        </is>
      </c>
      <c r="C39" s="8" t="inlineStr">
        <is>
          <t>Begin drafting → leaders</t>
        </is>
      </c>
      <c r="D39" s="17">
        <f>'P2.1 Governance deadlines'!G7</f>
        <v/>
      </c>
      <c r="E39" s="17">
        <f>'P2.1 Governance deadlines'!F7</f>
        <v/>
      </c>
      <c r="F39" s="18">
        <f>IF(D39="","",TEXT(D39,"d mmm")&amp;IF(E39&lt;&gt;D39," – "&amp;TEXT(E39,"d mmm"),""))</f>
        <v/>
      </c>
      <c r="G39" s="18">
        <f t="array" ref="G39">_xlfn.TEXTJOIN(", ",TRUE,IF(ISNUMBER(SEARCH("R",'P2.3 RASCI matrix'!$H39:$Z39)),'P2.3 RASCI matrix'!$H$7:$Z$7,""))</f>
        <v/>
      </c>
      <c r="H39" s="18">
        <f t="array" ref="H39">_xlfn.TEXTJOIN(", ",TRUE,IF(LEFT('P2.3 RASCI matrix'!$H39:$Z39,1)="A",'P2.3 RASCI matrix'!$H$7:$Z$7,""))</f>
        <v/>
      </c>
      <c r="I39" s="8" t="inlineStr">
        <is>
          <t>High</t>
        </is>
      </c>
      <c r="J39" s="8" t="inlineStr">
        <is>
          <t>Not yet started</t>
        </is>
      </c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</row>
    <row r="40" ht="39" customHeight="1">
      <c r="B40" s="8" t="inlineStr">
        <is>
          <t>Papers due: VCAG – notes review group findings</t>
        </is>
      </c>
      <c r="C40" s="8" t="inlineStr">
        <is>
          <t>Papers due</t>
        </is>
      </c>
      <c r="D40" s="17">
        <f>'P2.1 Governance deadlines'!E7</f>
        <v/>
      </c>
      <c r="E40" s="17">
        <f>'P2.1 Governance deadlines'!E7</f>
        <v/>
      </c>
      <c r="F40" s="18">
        <f>IF(D40="","",TEXT(D40,"d mmm")&amp;IF(E40&lt;&gt;D40," – "&amp;TEXT(E40,"d mmm"),""))</f>
        <v/>
      </c>
      <c r="G40" s="18">
        <f t="array" ref="G40">_xlfn.TEXTJOIN(", ",TRUE,IF(ISNUMBER(SEARCH("R",'P2.3 RASCI matrix'!$H40:$Z40)),'P2.3 RASCI matrix'!$H$7:$Z$7,""))</f>
        <v/>
      </c>
      <c r="H40" s="18">
        <f t="array" ref="H40">_xlfn.TEXTJOIN(", ",TRUE,IF(LEFT('P2.3 RASCI matrix'!$H40:$Z40,1)="A",'P2.3 RASCI matrix'!$H$7:$Z$7,""))</f>
        <v/>
      </c>
      <c r="I40" s="8" t="inlineStr">
        <is>
          <t>Milestone</t>
        </is>
      </c>
      <c r="J40" s="8" t="inlineStr">
        <is>
          <t>Not yet started</t>
        </is>
      </c>
      <c r="L40" s="19">
        <f>IF(AND(L$7+6&gt;=$D40,L$7&lt;=$E40),"◆","")</f>
        <v/>
      </c>
      <c r="M40" s="19">
        <f>IF(AND(M$7+6&gt;=$D40,M$7&lt;=$E40),"◆","")</f>
        <v/>
      </c>
      <c r="N40" s="19">
        <f>IF(AND(N$7+6&gt;=$D40,N$7&lt;=$E40),"◆","")</f>
        <v/>
      </c>
      <c r="O40" s="19">
        <f>IF(AND(O$7+6&gt;=$D40,O$7&lt;=$E40),"◆","")</f>
        <v/>
      </c>
      <c r="P40" s="19">
        <f>IF(AND(P$7+6&gt;=$D40,P$7&lt;=$E40),"◆","")</f>
        <v/>
      </c>
      <c r="Q40" s="19">
        <f>IF(AND(Q$7+6&gt;=$D40,Q$7&lt;=$E40),"◆","")</f>
        <v/>
      </c>
      <c r="R40" s="19">
        <f>IF(AND(R$7+6&gt;=$D40,R$7&lt;=$E40),"◆","")</f>
        <v/>
      </c>
      <c r="S40" s="19">
        <f>IF(AND(S$7+6&gt;=$D40,S$7&lt;=$E40),"◆","")</f>
        <v/>
      </c>
      <c r="T40" s="19">
        <f>IF(AND(T$7+6&gt;=$D40,T$7&lt;=$E40),"◆","")</f>
        <v/>
      </c>
      <c r="U40" s="19">
        <f>IF(AND(U$7+6&gt;=$D40,U$7&lt;=$E40),"◆","")</f>
        <v/>
      </c>
      <c r="V40" s="19">
        <f>IF(AND(V$7+6&gt;=$D40,V$7&lt;=$E40),"◆","")</f>
        <v/>
      </c>
      <c r="W40" s="19">
        <f>IF(AND(W$7+6&gt;=$D40,W$7&lt;=$E40),"◆","")</f>
        <v/>
      </c>
      <c r="X40" s="19">
        <f>IF(AND(X$7+6&gt;=$D40,X$7&lt;=$E40),"◆","")</f>
        <v/>
      </c>
      <c r="Y40" s="19">
        <f>IF(AND(Y$7+6&gt;=$D40,Y$7&lt;=$E40),"◆","")</f>
        <v/>
      </c>
      <c r="Z40" s="19">
        <f>IF(AND(Z$7+6&gt;=$D40,Z$7&lt;=$E40),"◆","")</f>
        <v/>
      </c>
      <c r="AA40" s="19">
        <f>IF(AND(AA$7+6&gt;=$D40,AA$7&lt;=$E40),"◆","")</f>
        <v/>
      </c>
      <c r="AB40" s="19">
        <f>IF(AND(AB$7+6&gt;=$D40,AB$7&lt;=$E40),"◆","")</f>
        <v/>
      </c>
      <c r="AC40" s="19">
        <f>IF(AND(AC$7+6&gt;=$D40,AC$7&lt;=$E40),"◆","")</f>
        <v/>
      </c>
      <c r="AD40" s="19">
        <f>IF(AND(AD$7+6&gt;=$D40,AD$7&lt;=$E40),"◆","")</f>
        <v/>
      </c>
      <c r="AE40" s="19">
        <f>IF(AND(AE$7+6&gt;=$D40,AE$7&lt;=$E40),"◆","")</f>
        <v/>
      </c>
      <c r="AF40" s="19">
        <f>IF(AND(AF$7+6&gt;=$D40,AF$7&lt;=$E40),"◆","")</f>
        <v/>
      </c>
      <c r="AG40" s="19">
        <f>IF(AND(AG$7+6&gt;=$D40,AG$7&lt;=$E40),"◆","")</f>
        <v/>
      </c>
      <c r="AH40" s="19">
        <f>IF(AND(AH$7+6&gt;=$D40,AH$7&lt;=$E40),"◆","")</f>
        <v/>
      </c>
      <c r="AI40" s="19">
        <f>IF(AND(AI$7+6&gt;=$D40,AI$7&lt;=$E40),"◆","")</f>
        <v/>
      </c>
      <c r="AJ40" s="19">
        <f>IF(AND(AJ$7+6&gt;=$D40,AJ$7&lt;=$E40),"◆","")</f>
        <v/>
      </c>
      <c r="AK40" s="19">
        <f>IF(AND(AK$7+6&gt;=$D40,AK$7&lt;=$E40),"◆","")</f>
        <v/>
      </c>
      <c r="AL40" s="19">
        <f>IF(AND(AL$7+6&gt;=$D40,AL$7&lt;=$E40),"◆","")</f>
        <v/>
      </c>
      <c r="AM40" s="19">
        <f>IF(AND(AM$7+6&gt;=$D40,AM$7&lt;=$E40),"◆","")</f>
        <v/>
      </c>
      <c r="AN40" s="19">
        <f>IF(AND(AN$7+6&gt;=$D40,AN$7&lt;=$E40),"◆","")</f>
        <v/>
      </c>
      <c r="AO40" s="19">
        <f>IF(AND(AO$7+6&gt;=$D40,AO$7&lt;=$E40),"◆","")</f>
        <v/>
      </c>
      <c r="AP40" s="19">
        <f>IF(AND(AP$7+6&gt;=$D40,AP$7&lt;=$E40),"◆","")</f>
        <v/>
      </c>
      <c r="AQ40" s="19">
        <f>IF(AND(AQ$7+6&gt;=$D40,AQ$7&lt;=$E40),"◆","")</f>
        <v/>
      </c>
      <c r="AR40" s="19">
        <f>IF(AND(AR$7+6&gt;=$D40,AR$7&lt;=$E40),"◆","")</f>
        <v/>
      </c>
      <c r="AS40" s="19">
        <f>IF(AND(AS$7+6&gt;=$D40,AS$7&lt;=$E40),"◆","")</f>
        <v/>
      </c>
      <c r="AT40" s="19">
        <f>IF(AND(AT$7+6&gt;=$D40,AT$7&lt;=$E40),"◆","")</f>
        <v/>
      </c>
      <c r="AU40" s="19">
        <f>IF(AND(AU$7+6&gt;=$D40,AU$7&lt;=$E40),"◆","")</f>
        <v/>
      </c>
      <c r="AV40" s="19">
        <f>IF(AND(AV$7+6&gt;=$D40,AV$7&lt;=$E40),"◆","")</f>
        <v/>
      </c>
      <c r="AW40" s="19">
        <f>IF(AND(AW$7+6&gt;=$D40,AW$7&lt;=$E40),"◆","")</f>
        <v/>
      </c>
      <c r="AX40" s="19">
        <f>IF(AND(AX$7+6&gt;=$D40,AX$7&lt;=$E40),"◆","")</f>
        <v/>
      </c>
      <c r="AY40" s="19">
        <f>IF(AND(AY$7+6&gt;=$D40,AY$7&lt;=$E40),"◆","")</f>
        <v/>
      </c>
    </row>
    <row r="41" ht="39" customHeight="1">
      <c r="B41" s="8" t="inlineStr">
        <is>
          <t>Meeting: VCAG – notes review group findings</t>
        </is>
      </c>
      <c r="C41" s="8" t="inlineStr">
        <is>
          <t>Meeting</t>
        </is>
      </c>
      <c r="D41" s="17">
        <f>'P2.1 Governance deadlines'!D7</f>
        <v/>
      </c>
      <c r="E41" s="17">
        <f>'P2.1 Governance deadlines'!D7</f>
        <v/>
      </c>
      <c r="F41" s="18">
        <f>IF(D41="","",TEXT(D41,"d mmm")&amp;IF(E41&lt;&gt;D41," – "&amp;TEXT(E41,"d mmm"),""))</f>
        <v/>
      </c>
      <c r="G41" s="18">
        <f t="array" ref="G41">_xlfn.TEXTJOIN(", ",TRUE,IF(ISNUMBER(SEARCH("R",'P2.3 RASCI matrix'!$H41:$Z41)),'P2.3 RASCI matrix'!$H$7:$Z$7,""))</f>
        <v/>
      </c>
      <c r="H41" s="18">
        <f t="array" ref="H41">_xlfn.TEXTJOIN(", ",TRUE,IF(LEFT('P2.3 RASCI matrix'!$H41:$Z41,1)="A",'P2.3 RASCI matrix'!$H$7:$Z$7,""))</f>
        <v/>
      </c>
      <c r="I41" s="8" t="inlineStr">
        <is>
          <t>Milestone</t>
        </is>
      </c>
      <c r="J41" s="8" t="inlineStr">
        <is>
          <t>Not yet started</t>
        </is>
      </c>
      <c r="L41" s="19">
        <f>IF(AND(L$7+6&gt;=$D41,L$7&lt;=$E41),"◆","")</f>
        <v/>
      </c>
      <c r="M41" s="19">
        <f>IF(AND(M$7+6&gt;=$D41,M$7&lt;=$E41),"◆","")</f>
        <v/>
      </c>
      <c r="N41" s="19">
        <f>IF(AND(N$7+6&gt;=$D41,N$7&lt;=$E41),"◆","")</f>
        <v/>
      </c>
      <c r="O41" s="19">
        <f>IF(AND(O$7+6&gt;=$D41,O$7&lt;=$E41),"◆","")</f>
        <v/>
      </c>
      <c r="P41" s="19">
        <f>IF(AND(P$7+6&gt;=$D41,P$7&lt;=$E41),"◆","")</f>
        <v/>
      </c>
      <c r="Q41" s="19">
        <f>IF(AND(Q$7+6&gt;=$D41,Q$7&lt;=$E41),"◆","")</f>
        <v/>
      </c>
      <c r="R41" s="19">
        <f>IF(AND(R$7+6&gt;=$D41,R$7&lt;=$E41),"◆","")</f>
        <v/>
      </c>
      <c r="S41" s="19">
        <f>IF(AND(S$7+6&gt;=$D41,S$7&lt;=$E41),"◆","")</f>
        <v/>
      </c>
      <c r="T41" s="19">
        <f>IF(AND(T$7+6&gt;=$D41,T$7&lt;=$E41),"◆","")</f>
        <v/>
      </c>
      <c r="U41" s="19">
        <f>IF(AND(U$7+6&gt;=$D41,U$7&lt;=$E41),"◆","")</f>
        <v/>
      </c>
      <c r="V41" s="19">
        <f>IF(AND(V$7+6&gt;=$D41,V$7&lt;=$E41),"◆","")</f>
        <v/>
      </c>
      <c r="W41" s="19">
        <f>IF(AND(W$7+6&gt;=$D41,W$7&lt;=$E41),"◆","")</f>
        <v/>
      </c>
      <c r="X41" s="19">
        <f>IF(AND(X$7+6&gt;=$D41,X$7&lt;=$E41),"◆","")</f>
        <v/>
      </c>
      <c r="Y41" s="19">
        <f>IF(AND(Y$7+6&gt;=$D41,Y$7&lt;=$E41),"◆","")</f>
        <v/>
      </c>
      <c r="Z41" s="19">
        <f>IF(AND(Z$7+6&gt;=$D41,Z$7&lt;=$E41),"◆","")</f>
        <v/>
      </c>
      <c r="AA41" s="19">
        <f>IF(AND(AA$7+6&gt;=$D41,AA$7&lt;=$E41),"◆","")</f>
        <v/>
      </c>
      <c r="AB41" s="19">
        <f>IF(AND(AB$7+6&gt;=$D41,AB$7&lt;=$E41),"◆","")</f>
        <v/>
      </c>
      <c r="AC41" s="19">
        <f>IF(AND(AC$7+6&gt;=$D41,AC$7&lt;=$E41),"◆","")</f>
        <v/>
      </c>
      <c r="AD41" s="19">
        <f>IF(AND(AD$7+6&gt;=$D41,AD$7&lt;=$E41),"◆","")</f>
        <v/>
      </c>
      <c r="AE41" s="19">
        <f>IF(AND(AE$7+6&gt;=$D41,AE$7&lt;=$E41),"◆","")</f>
        <v/>
      </c>
      <c r="AF41" s="19">
        <f>IF(AND(AF$7+6&gt;=$D41,AF$7&lt;=$E41),"◆","")</f>
        <v/>
      </c>
      <c r="AG41" s="19">
        <f>IF(AND(AG$7+6&gt;=$D41,AG$7&lt;=$E41),"◆","")</f>
        <v/>
      </c>
      <c r="AH41" s="19">
        <f>IF(AND(AH$7+6&gt;=$D41,AH$7&lt;=$E41),"◆","")</f>
        <v/>
      </c>
      <c r="AI41" s="19">
        <f>IF(AND(AI$7+6&gt;=$D41,AI$7&lt;=$E41),"◆","")</f>
        <v/>
      </c>
      <c r="AJ41" s="19">
        <f>IF(AND(AJ$7+6&gt;=$D41,AJ$7&lt;=$E41),"◆","")</f>
        <v/>
      </c>
      <c r="AK41" s="19">
        <f>IF(AND(AK$7+6&gt;=$D41,AK$7&lt;=$E41),"◆","")</f>
        <v/>
      </c>
      <c r="AL41" s="19">
        <f>IF(AND(AL$7+6&gt;=$D41,AL$7&lt;=$E41),"◆","")</f>
        <v/>
      </c>
      <c r="AM41" s="19">
        <f>IF(AND(AM$7+6&gt;=$D41,AM$7&lt;=$E41),"◆","")</f>
        <v/>
      </c>
      <c r="AN41" s="19">
        <f>IF(AND(AN$7+6&gt;=$D41,AN$7&lt;=$E41),"◆","")</f>
        <v/>
      </c>
      <c r="AO41" s="19">
        <f>IF(AND(AO$7+6&gt;=$D41,AO$7&lt;=$E41),"◆","")</f>
        <v/>
      </c>
      <c r="AP41" s="19">
        <f>IF(AND(AP$7+6&gt;=$D41,AP$7&lt;=$E41),"◆","")</f>
        <v/>
      </c>
      <c r="AQ41" s="19">
        <f>IF(AND(AQ$7+6&gt;=$D41,AQ$7&lt;=$E41),"◆","")</f>
        <v/>
      </c>
      <c r="AR41" s="19">
        <f>IF(AND(AR$7+6&gt;=$D41,AR$7&lt;=$E41),"◆","")</f>
        <v/>
      </c>
      <c r="AS41" s="19">
        <f>IF(AND(AS$7+6&gt;=$D41,AS$7&lt;=$E41),"◆","")</f>
        <v/>
      </c>
      <c r="AT41" s="19">
        <f>IF(AND(AT$7+6&gt;=$D41,AT$7&lt;=$E41),"◆","")</f>
        <v/>
      </c>
      <c r="AU41" s="19">
        <f>IF(AND(AU$7+6&gt;=$D41,AU$7&lt;=$E41),"◆","")</f>
        <v/>
      </c>
      <c r="AV41" s="19">
        <f>IF(AND(AV$7+6&gt;=$D41,AV$7&lt;=$E41),"◆","")</f>
        <v/>
      </c>
      <c r="AW41" s="19">
        <f>IF(AND(AW$7+6&gt;=$D41,AW$7&lt;=$E41),"◆","")</f>
        <v/>
      </c>
      <c r="AX41" s="19">
        <f>IF(AND(AX$7+6&gt;=$D41,AX$7&lt;=$E41),"◆","")</f>
        <v/>
      </c>
      <c r="AY41" s="19">
        <f>IF(AND(AY$7+6&gt;=$D41,AY$7&lt;=$E41),"◆","")</f>
        <v/>
      </c>
    </row>
    <row r="42" ht="39" customHeight="1">
      <c r="B42" s="8" t="inlineStr">
        <is>
          <t>Draft paper: Investment Management Committee – responsible investments section</t>
        </is>
      </c>
      <c r="C42" s="8" t="inlineStr">
        <is>
          <t>Begin drafting → leaders</t>
        </is>
      </c>
      <c r="D42" s="17">
        <f>'P2.1 Governance deadlines'!G8</f>
        <v/>
      </c>
      <c r="E42" s="17">
        <f>'P2.1 Governance deadlines'!F8</f>
        <v/>
      </c>
      <c r="F42" s="18">
        <f>IF(D42="","",TEXT(D42,"d mmm")&amp;IF(E42&lt;&gt;D42," – "&amp;TEXT(E42,"d mmm"),""))</f>
        <v/>
      </c>
      <c r="G42" s="18">
        <f t="array" ref="G42">_xlfn.TEXTJOIN(", ",TRUE,IF(ISNUMBER(SEARCH("R",'P2.3 RASCI matrix'!$H42:$Z42)),'P2.3 RASCI matrix'!$H$7:$Z$7,""))</f>
        <v/>
      </c>
      <c r="H42" s="18">
        <f t="array" ref="H42">_xlfn.TEXTJOIN(", ",TRUE,IF(LEFT('P2.3 RASCI matrix'!$H42:$Z42,1)="A",'P2.3 RASCI matrix'!$H$7:$Z$7,""))</f>
        <v/>
      </c>
      <c r="I42" s="8" t="inlineStr">
        <is>
          <t>High</t>
        </is>
      </c>
      <c r="J42" s="8" t="inlineStr">
        <is>
          <t>Not yet started</t>
        </is>
      </c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</row>
    <row r="43" ht="39" customHeight="1">
      <c r="B43" s="8" t="inlineStr">
        <is>
          <t>Papers due: Investment Management Committee – responsible investments section</t>
        </is>
      </c>
      <c r="C43" s="8" t="inlineStr">
        <is>
          <t>Papers due</t>
        </is>
      </c>
      <c r="D43" s="17">
        <f>'P2.1 Governance deadlines'!E8</f>
        <v/>
      </c>
      <c r="E43" s="17">
        <f>'P2.1 Governance deadlines'!E8</f>
        <v/>
      </c>
      <c r="F43" s="18">
        <f>IF(D43="","",TEXT(D43,"d mmm")&amp;IF(E43&lt;&gt;D43," – "&amp;TEXT(E43,"d mmm"),""))</f>
        <v/>
      </c>
      <c r="G43" s="18">
        <f t="array" ref="G43">_xlfn.TEXTJOIN(", ",TRUE,IF(ISNUMBER(SEARCH("R",'P2.3 RASCI matrix'!$H43:$Z43)),'P2.3 RASCI matrix'!$H$7:$Z$7,""))</f>
        <v/>
      </c>
      <c r="H43" s="18">
        <f t="array" ref="H43">_xlfn.TEXTJOIN(", ",TRUE,IF(LEFT('P2.3 RASCI matrix'!$H43:$Z43,1)="A",'P2.3 RASCI matrix'!$H$7:$Z$7,""))</f>
        <v/>
      </c>
      <c r="I43" s="8" t="inlineStr">
        <is>
          <t>Milestone</t>
        </is>
      </c>
      <c r="J43" s="8" t="inlineStr">
        <is>
          <t>Not yet started</t>
        </is>
      </c>
      <c r="L43" s="19">
        <f>IF(AND(L$7+6&gt;=$D43,L$7&lt;=$E43),"◆","")</f>
        <v/>
      </c>
      <c r="M43" s="19">
        <f>IF(AND(M$7+6&gt;=$D43,M$7&lt;=$E43),"◆","")</f>
        <v/>
      </c>
      <c r="N43" s="19">
        <f>IF(AND(N$7+6&gt;=$D43,N$7&lt;=$E43),"◆","")</f>
        <v/>
      </c>
      <c r="O43" s="19">
        <f>IF(AND(O$7+6&gt;=$D43,O$7&lt;=$E43),"◆","")</f>
        <v/>
      </c>
      <c r="P43" s="19">
        <f>IF(AND(P$7+6&gt;=$D43,P$7&lt;=$E43),"◆","")</f>
        <v/>
      </c>
      <c r="Q43" s="19">
        <f>IF(AND(Q$7+6&gt;=$D43,Q$7&lt;=$E43),"◆","")</f>
        <v/>
      </c>
      <c r="R43" s="19">
        <f>IF(AND(R$7+6&gt;=$D43,R$7&lt;=$E43),"◆","")</f>
        <v/>
      </c>
      <c r="S43" s="19">
        <f>IF(AND(S$7+6&gt;=$D43,S$7&lt;=$E43),"◆","")</f>
        <v/>
      </c>
      <c r="T43" s="19">
        <f>IF(AND(T$7+6&gt;=$D43,T$7&lt;=$E43),"◆","")</f>
        <v/>
      </c>
      <c r="U43" s="19">
        <f>IF(AND(U$7+6&gt;=$D43,U$7&lt;=$E43),"◆","")</f>
        <v/>
      </c>
      <c r="V43" s="19">
        <f>IF(AND(V$7+6&gt;=$D43,V$7&lt;=$E43),"◆","")</f>
        <v/>
      </c>
      <c r="W43" s="19">
        <f>IF(AND(W$7+6&gt;=$D43,W$7&lt;=$E43),"◆","")</f>
        <v/>
      </c>
      <c r="X43" s="19">
        <f>IF(AND(X$7+6&gt;=$D43,X$7&lt;=$E43),"◆","")</f>
        <v/>
      </c>
      <c r="Y43" s="19">
        <f>IF(AND(Y$7+6&gt;=$D43,Y$7&lt;=$E43),"◆","")</f>
        <v/>
      </c>
      <c r="Z43" s="19">
        <f>IF(AND(Z$7+6&gt;=$D43,Z$7&lt;=$E43),"◆","")</f>
        <v/>
      </c>
      <c r="AA43" s="19">
        <f>IF(AND(AA$7+6&gt;=$D43,AA$7&lt;=$E43),"◆","")</f>
        <v/>
      </c>
      <c r="AB43" s="19">
        <f>IF(AND(AB$7+6&gt;=$D43,AB$7&lt;=$E43),"◆","")</f>
        <v/>
      </c>
      <c r="AC43" s="19">
        <f>IF(AND(AC$7+6&gt;=$D43,AC$7&lt;=$E43),"◆","")</f>
        <v/>
      </c>
      <c r="AD43" s="19">
        <f>IF(AND(AD$7+6&gt;=$D43,AD$7&lt;=$E43),"◆","")</f>
        <v/>
      </c>
      <c r="AE43" s="19">
        <f>IF(AND(AE$7+6&gt;=$D43,AE$7&lt;=$E43),"◆","")</f>
        <v/>
      </c>
      <c r="AF43" s="19">
        <f>IF(AND(AF$7+6&gt;=$D43,AF$7&lt;=$E43),"◆","")</f>
        <v/>
      </c>
      <c r="AG43" s="19">
        <f>IF(AND(AG$7+6&gt;=$D43,AG$7&lt;=$E43),"◆","")</f>
        <v/>
      </c>
      <c r="AH43" s="19">
        <f>IF(AND(AH$7+6&gt;=$D43,AH$7&lt;=$E43),"◆","")</f>
        <v/>
      </c>
      <c r="AI43" s="19">
        <f>IF(AND(AI$7+6&gt;=$D43,AI$7&lt;=$E43),"◆","")</f>
        <v/>
      </c>
      <c r="AJ43" s="19">
        <f>IF(AND(AJ$7+6&gt;=$D43,AJ$7&lt;=$E43),"◆","")</f>
        <v/>
      </c>
      <c r="AK43" s="19">
        <f>IF(AND(AK$7+6&gt;=$D43,AK$7&lt;=$E43),"◆","")</f>
        <v/>
      </c>
      <c r="AL43" s="19">
        <f>IF(AND(AL$7+6&gt;=$D43,AL$7&lt;=$E43),"◆","")</f>
        <v/>
      </c>
      <c r="AM43" s="19">
        <f>IF(AND(AM$7+6&gt;=$D43,AM$7&lt;=$E43),"◆","")</f>
        <v/>
      </c>
      <c r="AN43" s="19">
        <f>IF(AND(AN$7+6&gt;=$D43,AN$7&lt;=$E43),"◆","")</f>
        <v/>
      </c>
      <c r="AO43" s="19">
        <f>IF(AND(AO$7+6&gt;=$D43,AO$7&lt;=$E43),"◆","")</f>
        <v/>
      </c>
      <c r="AP43" s="19">
        <f>IF(AND(AP$7+6&gt;=$D43,AP$7&lt;=$E43),"◆","")</f>
        <v/>
      </c>
      <c r="AQ43" s="19">
        <f>IF(AND(AQ$7+6&gt;=$D43,AQ$7&lt;=$E43),"◆","")</f>
        <v/>
      </c>
      <c r="AR43" s="19">
        <f>IF(AND(AR$7+6&gt;=$D43,AR$7&lt;=$E43),"◆","")</f>
        <v/>
      </c>
      <c r="AS43" s="19">
        <f>IF(AND(AS$7+6&gt;=$D43,AS$7&lt;=$E43),"◆","")</f>
        <v/>
      </c>
      <c r="AT43" s="19">
        <f>IF(AND(AT$7+6&gt;=$D43,AT$7&lt;=$E43),"◆","")</f>
        <v/>
      </c>
      <c r="AU43" s="19">
        <f>IF(AND(AU$7+6&gt;=$D43,AU$7&lt;=$E43),"◆","")</f>
        <v/>
      </c>
      <c r="AV43" s="19">
        <f>IF(AND(AV$7+6&gt;=$D43,AV$7&lt;=$E43),"◆","")</f>
        <v/>
      </c>
      <c r="AW43" s="19">
        <f>IF(AND(AW$7+6&gt;=$D43,AW$7&lt;=$E43),"◆","")</f>
        <v/>
      </c>
      <c r="AX43" s="19">
        <f>IF(AND(AX$7+6&gt;=$D43,AX$7&lt;=$E43),"◆","")</f>
        <v/>
      </c>
      <c r="AY43" s="19">
        <f>IF(AND(AY$7+6&gt;=$D43,AY$7&lt;=$E43),"◆","")</f>
        <v/>
      </c>
    </row>
    <row r="44" ht="39" customHeight="1">
      <c r="B44" s="8" t="inlineStr">
        <is>
          <t>Meeting: Investment Management Committee – responsible investments section</t>
        </is>
      </c>
      <c r="C44" s="8" t="inlineStr">
        <is>
          <t>Meeting</t>
        </is>
      </c>
      <c r="D44" s="17">
        <f>'P2.1 Governance deadlines'!D8</f>
        <v/>
      </c>
      <c r="E44" s="17">
        <f>'P2.1 Governance deadlines'!D8</f>
        <v/>
      </c>
      <c r="F44" s="18">
        <f>IF(D44="","",TEXT(D44,"d mmm")&amp;IF(E44&lt;&gt;D44," – "&amp;TEXT(E44,"d mmm"),""))</f>
        <v/>
      </c>
      <c r="G44" s="18">
        <f t="array" ref="G44">_xlfn.TEXTJOIN(", ",TRUE,IF(ISNUMBER(SEARCH("R",'P2.3 RASCI matrix'!$H44:$Z44)),'P2.3 RASCI matrix'!$H$7:$Z$7,""))</f>
        <v/>
      </c>
      <c r="H44" s="18">
        <f t="array" ref="H44">_xlfn.TEXTJOIN(", ",TRUE,IF(LEFT('P2.3 RASCI matrix'!$H44:$Z44,1)="A",'P2.3 RASCI matrix'!$H$7:$Z$7,""))</f>
        <v/>
      </c>
      <c r="I44" s="8" t="inlineStr">
        <is>
          <t>Milestone</t>
        </is>
      </c>
      <c r="J44" s="8" t="inlineStr">
        <is>
          <t>Not yet started</t>
        </is>
      </c>
      <c r="L44" s="19">
        <f>IF(AND(L$7+6&gt;=$D44,L$7&lt;=$E44),"◆","")</f>
        <v/>
      </c>
      <c r="M44" s="19">
        <f>IF(AND(M$7+6&gt;=$D44,M$7&lt;=$E44),"◆","")</f>
        <v/>
      </c>
      <c r="N44" s="19">
        <f>IF(AND(N$7+6&gt;=$D44,N$7&lt;=$E44),"◆","")</f>
        <v/>
      </c>
      <c r="O44" s="19">
        <f>IF(AND(O$7+6&gt;=$D44,O$7&lt;=$E44),"◆","")</f>
        <v/>
      </c>
      <c r="P44" s="19">
        <f>IF(AND(P$7+6&gt;=$D44,P$7&lt;=$E44),"◆","")</f>
        <v/>
      </c>
      <c r="Q44" s="19">
        <f>IF(AND(Q$7+6&gt;=$D44,Q$7&lt;=$E44),"◆","")</f>
        <v/>
      </c>
      <c r="R44" s="19">
        <f>IF(AND(R$7+6&gt;=$D44,R$7&lt;=$E44),"◆","")</f>
        <v/>
      </c>
      <c r="S44" s="19">
        <f>IF(AND(S$7+6&gt;=$D44,S$7&lt;=$E44),"◆","")</f>
        <v/>
      </c>
      <c r="T44" s="19">
        <f>IF(AND(T$7+6&gt;=$D44,T$7&lt;=$E44),"◆","")</f>
        <v/>
      </c>
      <c r="U44" s="19">
        <f>IF(AND(U$7+6&gt;=$D44,U$7&lt;=$E44),"◆","")</f>
        <v/>
      </c>
      <c r="V44" s="19">
        <f>IF(AND(V$7+6&gt;=$D44,V$7&lt;=$E44),"◆","")</f>
        <v/>
      </c>
      <c r="W44" s="19">
        <f>IF(AND(W$7+6&gt;=$D44,W$7&lt;=$E44),"◆","")</f>
        <v/>
      </c>
      <c r="X44" s="19">
        <f>IF(AND(X$7+6&gt;=$D44,X$7&lt;=$E44),"◆","")</f>
        <v/>
      </c>
      <c r="Y44" s="19">
        <f>IF(AND(Y$7+6&gt;=$D44,Y$7&lt;=$E44),"◆","")</f>
        <v/>
      </c>
      <c r="Z44" s="19">
        <f>IF(AND(Z$7+6&gt;=$D44,Z$7&lt;=$E44),"◆","")</f>
        <v/>
      </c>
      <c r="AA44" s="19">
        <f>IF(AND(AA$7+6&gt;=$D44,AA$7&lt;=$E44),"◆","")</f>
        <v/>
      </c>
      <c r="AB44" s="19">
        <f>IF(AND(AB$7+6&gt;=$D44,AB$7&lt;=$E44),"◆","")</f>
        <v/>
      </c>
      <c r="AC44" s="19">
        <f>IF(AND(AC$7+6&gt;=$D44,AC$7&lt;=$E44),"◆","")</f>
        <v/>
      </c>
      <c r="AD44" s="19">
        <f>IF(AND(AD$7+6&gt;=$D44,AD$7&lt;=$E44),"◆","")</f>
        <v/>
      </c>
      <c r="AE44" s="19">
        <f>IF(AND(AE$7+6&gt;=$D44,AE$7&lt;=$E44),"◆","")</f>
        <v/>
      </c>
      <c r="AF44" s="19">
        <f>IF(AND(AF$7+6&gt;=$D44,AF$7&lt;=$E44),"◆","")</f>
        <v/>
      </c>
      <c r="AG44" s="19">
        <f>IF(AND(AG$7+6&gt;=$D44,AG$7&lt;=$E44),"◆","")</f>
        <v/>
      </c>
      <c r="AH44" s="19">
        <f>IF(AND(AH$7+6&gt;=$D44,AH$7&lt;=$E44),"◆","")</f>
        <v/>
      </c>
      <c r="AI44" s="19">
        <f>IF(AND(AI$7+6&gt;=$D44,AI$7&lt;=$E44),"◆","")</f>
        <v/>
      </c>
      <c r="AJ44" s="19">
        <f>IF(AND(AJ$7+6&gt;=$D44,AJ$7&lt;=$E44),"◆","")</f>
        <v/>
      </c>
      <c r="AK44" s="19">
        <f>IF(AND(AK$7+6&gt;=$D44,AK$7&lt;=$E44),"◆","")</f>
        <v/>
      </c>
      <c r="AL44" s="19">
        <f>IF(AND(AL$7+6&gt;=$D44,AL$7&lt;=$E44),"◆","")</f>
        <v/>
      </c>
      <c r="AM44" s="19">
        <f>IF(AND(AM$7+6&gt;=$D44,AM$7&lt;=$E44),"◆","")</f>
        <v/>
      </c>
      <c r="AN44" s="19">
        <f>IF(AND(AN$7+6&gt;=$D44,AN$7&lt;=$E44),"◆","")</f>
        <v/>
      </c>
      <c r="AO44" s="19">
        <f>IF(AND(AO$7+6&gt;=$D44,AO$7&lt;=$E44),"◆","")</f>
        <v/>
      </c>
      <c r="AP44" s="19">
        <f>IF(AND(AP$7+6&gt;=$D44,AP$7&lt;=$E44),"◆","")</f>
        <v/>
      </c>
      <c r="AQ44" s="19">
        <f>IF(AND(AQ$7+6&gt;=$D44,AQ$7&lt;=$E44),"◆","")</f>
        <v/>
      </c>
      <c r="AR44" s="19">
        <f>IF(AND(AR$7+6&gt;=$D44,AR$7&lt;=$E44),"◆","")</f>
        <v/>
      </c>
      <c r="AS44" s="19">
        <f>IF(AND(AS$7+6&gt;=$D44,AS$7&lt;=$E44),"◆","")</f>
        <v/>
      </c>
      <c r="AT44" s="19">
        <f>IF(AND(AT$7+6&gt;=$D44,AT$7&lt;=$E44),"◆","")</f>
        <v/>
      </c>
      <c r="AU44" s="19">
        <f>IF(AND(AU$7+6&gt;=$D44,AU$7&lt;=$E44),"◆","")</f>
        <v/>
      </c>
      <c r="AV44" s="19">
        <f>IF(AND(AV$7+6&gt;=$D44,AV$7&lt;=$E44),"◆","")</f>
        <v/>
      </c>
      <c r="AW44" s="19">
        <f>IF(AND(AW$7+6&gt;=$D44,AW$7&lt;=$E44),"◆","")</f>
        <v/>
      </c>
      <c r="AX44" s="19">
        <f>IF(AND(AX$7+6&gt;=$D44,AX$7&lt;=$E44),"◆","")</f>
        <v/>
      </c>
      <c r="AY44" s="19">
        <f>IF(AND(AY$7+6&gt;=$D44,AY$7&lt;=$E44),"◆","")</f>
        <v/>
      </c>
    </row>
    <row r="45" ht="39" customHeight="1">
      <c r="B45" s="8" t="inlineStr">
        <is>
          <t>Draft paper: VCAG – notes full report</t>
        </is>
      </c>
      <c r="C45" s="8" t="inlineStr">
        <is>
          <t>Begin drafting → leaders</t>
        </is>
      </c>
      <c r="D45" s="17">
        <f>'P2.1 Governance deadlines'!G9</f>
        <v/>
      </c>
      <c r="E45" s="17">
        <f>'P2.1 Governance deadlines'!F9</f>
        <v/>
      </c>
      <c r="F45" s="18">
        <f>IF(D45="","",TEXT(D45,"d mmm")&amp;IF(E45&lt;&gt;D45," – "&amp;TEXT(E45,"d mmm"),""))</f>
        <v/>
      </c>
      <c r="G45" s="18">
        <f t="array" ref="G45">_xlfn.TEXTJOIN(", ",TRUE,IF(ISNUMBER(SEARCH("R",'P2.3 RASCI matrix'!$H45:$Z45)),'P2.3 RASCI matrix'!$H$7:$Z$7,""))</f>
        <v/>
      </c>
      <c r="H45" s="18">
        <f t="array" ref="H45">_xlfn.TEXTJOIN(", ",TRUE,IF(LEFT('P2.3 RASCI matrix'!$H45:$Z45,1)="A",'P2.3 RASCI matrix'!$H$7:$Z$7,""))</f>
        <v/>
      </c>
      <c r="I45" s="8" t="inlineStr">
        <is>
          <t>High</t>
        </is>
      </c>
      <c r="J45" s="8" t="inlineStr">
        <is>
          <t>Not yet started</t>
        </is>
      </c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</row>
    <row r="46" ht="39" customHeight="1">
      <c r="B46" s="8" t="inlineStr">
        <is>
          <t>Papers due: VCAG – notes full report</t>
        </is>
      </c>
      <c r="C46" s="8" t="inlineStr">
        <is>
          <t>Papers due</t>
        </is>
      </c>
      <c r="D46" s="17">
        <f>'P2.1 Governance deadlines'!E9</f>
        <v/>
      </c>
      <c r="E46" s="17">
        <f>'P2.1 Governance deadlines'!E9</f>
        <v/>
      </c>
      <c r="F46" s="18">
        <f>IF(D46="","",TEXT(D46,"d mmm")&amp;IF(E46&lt;&gt;D46," – "&amp;TEXT(E46,"d mmm"),""))</f>
        <v/>
      </c>
      <c r="G46" s="18">
        <f t="array" ref="G46">_xlfn.TEXTJOIN(", ",TRUE,IF(ISNUMBER(SEARCH("R",'P2.3 RASCI matrix'!$H46:$Z46)),'P2.3 RASCI matrix'!$H$7:$Z$7,""))</f>
        <v/>
      </c>
      <c r="H46" s="18">
        <f t="array" ref="H46">_xlfn.TEXTJOIN(", ",TRUE,IF(LEFT('P2.3 RASCI matrix'!$H46:$Z46,1)="A",'P2.3 RASCI matrix'!$H$7:$Z$7,""))</f>
        <v/>
      </c>
      <c r="I46" s="8" t="inlineStr">
        <is>
          <t>Milestone</t>
        </is>
      </c>
      <c r="J46" s="8" t="inlineStr">
        <is>
          <t>Not yet started</t>
        </is>
      </c>
      <c r="L46" s="19">
        <f>IF(AND(L$7+6&gt;=$D46,L$7&lt;=$E46),"◆","")</f>
        <v/>
      </c>
      <c r="M46" s="19">
        <f>IF(AND(M$7+6&gt;=$D46,M$7&lt;=$E46),"◆","")</f>
        <v/>
      </c>
      <c r="N46" s="19">
        <f>IF(AND(N$7+6&gt;=$D46,N$7&lt;=$E46),"◆","")</f>
        <v/>
      </c>
      <c r="O46" s="19">
        <f>IF(AND(O$7+6&gt;=$D46,O$7&lt;=$E46),"◆","")</f>
        <v/>
      </c>
      <c r="P46" s="19">
        <f>IF(AND(P$7+6&gt;=$D46,P$7&lt;=$E46),"◆","")</f>
        <v/>
      </c>
      <c r="Q46" s="19">
        <f>IF(AND(Q$7+6&gt;=$D46,Q$7&lt;=$E46),"◆","")</f>
        <v/>
      </c>
      <c r="R46" s="19">
        <f>IF(AND(R$7+6&gt;=$D46,R$7&lt;=$E46),"◆","")</f>
        <v/>
      </c>
      <c r="S46" s="19">
        <f>IF(AND(S$7+6&gt;=$D46,S$7&lt;=$E46),"◆","")</f>
        <v/>
      </c>
      <c r="T46" s="19">
        <f>IF(AND(T$7+6&gt;=$D46,T$7&lt;=$E46),"◆","")</f>
        <v/>
      </c>
      <c r="U46" s="19">
        <f>IF(AND(U$7+6&gt;=$D46,U$7&lt;=$E46),"◆","")</f>
        <v/>
      </c>
      <c r="V46" s="19">
        <f>IF(AND(V$7+6&gt;=$D46,V$7&lt;=$E46),"◆","")</f>
        <v/>
      </c>
      <c r="W46" s="19">
        <f>IF(AND(W$7+6&gt;=$D46,W$7&lt;=$E46),"◆","")</f>
        <v/>
      </c>
      <c r="X46" s="19">
        <f>IF(AND(X$7+6&gt;=$D46,X$7&lt;=$E46),"◆","")</f>
        <v/>
      </c>
      <c r="Y46" s="19">
        <f>IF(AND(Y$7+6&gt;=$D46,Y$7&lt;=$E46),"◆","")</f>
        <v/>
      </c>
      <c r="Z46" s="19">
        <f>IF(AND(Z$7+6&gt;=$D46,Z$7&lt;=$E46),"◆","")</f>
        <v/>
      </c>
      <c r="AA46" s="19">
        <f>IF(AND(AA$7+6&gt;=$D46,AA$7&lt;=$E46),"◆","")</f>
        <v/>
      </c>
      <c r="AB46" s="19">
        <f>IF(AND(AB$7+6&gt;=$D46,AB$7&lt;=$E46),"◆","")</f>
        <v/>
      </c>
      <c r="AC46" s="19">
        <f>IF(AND(AC$7+6&gt;=$D46,AC$7&lt;=$E46),"◆","")</f>
        <v/>
      </c>
      <c r="AD46" s="19">
        <f>IF(AND(AD$7+6&gt;=$D46,AD$7&lt;=$E46),"◆","")</f>
        <v/>
      </c>
      <c r="AE46" s="19">
        <f>IF(AND(AE$7+6&gt;=$D46,AE$7&lt;=$E46),"◆","")</f>
        <v/>
      </c>
      <c r="AF46" s="19">
        <f>IF(AND(AF$7+6&gt;=$D46,AF$7&lt;=$E46),"◆","")</f>
        <v/>
      </c>
      <c r="AG46" s="19">
        <f>IF(AND(AG$7+6&gt;=$D46,AG$7&lt;=$E46),"◆","")</f>
        <v/>
      </c>
      <c r="AH46" s="19">
        <f>IF(AND(AH$7+6&gt;=$D46,AH$7&lt;=$E46),"◆","")</f>
        <v/>
      </c>
      <c r="AI46" s="19">
        <f>IF(AND(AI$7+6&gt;=$D46,AI$7&lt;=$E46),"◆","")</f>
        <v/>
      </c>
      <c r="AJ46" s="19">
        <f>IF(AND(AJ$7+6&gt;=$D46,AJ$7&lt;=$E46),"◆","")</f>
        <v/>
      </c>
      <c r="AK46" s="19">
        <f>IF(AND(AK$7+6&gt;=$D46,AK$7&lt;=$E46),"◆","")</f>
        <v/>
      </c>
      <c r="AL46" s="19">
        <f>IF(AND(AL$7+6&gt;=$D46,AL$7&lt;=$E46),"◆","")</f>
        <v/>
      </c>
      <c r="AM46" s="19">
        <f>IF(AND(AM$7+6&gt;=$D46,AM$7&lt;=$E46),"◆","")</f>
        <v/>
      </c>
      <c r="AN46" s="19">
        <f>IF(AND(AN$7+6&gt;=$D46,AN$7&lt;=$E46),"◆","")</f>
        <v/>
      </c>
      <c r="AO46" s="19">
        <f>IF(AND(AO$7+6&gt;=$D46,AO$7&lt;=$E46),"◆","")</f>
        <v/>
      </c>
      <c r="AP46" s="19">
        <f>IF(AND(AP$7+6&gt;=$D46,AP$7&lt;=$E46),"◆","")</f>
        <v/>
      </c>
      <c r="AQ46" s="19">
        <f>IF(AND(AQ$7+6&gt;=$D46,AQ$7&lt;=$E46),"◆","")</f>
        <v/>
      </c>
      <c r="AR46" s="19">
        <f>IF(AND(AR$7+6&gt;=$D46,AR$7&lt;=$E46),"◆","")</f>
        <v/>
      </c>
      <c r="AS46" s="19">
        <f>IF(AND(AS$7+6&gt;=$D46,AS$7&lt;=$E46),"◆","")</f>
        <v/>
      </c>
      <c r="AT46" s="19">
        <f>IF(AND(AT$7+6&gt;=$D46,AT$7&lt;=$E46),"◆","")</f>
        <v/>
      </c>
      <c r="AU46" s="19">
        <f>IF(AND(AU$7+6&gt;=$D46,AU$7&lt;=$E46),"◆","")</f>
        <v/>
      </c>
      <c r="AV46" s="19">
        <f>IF(AND(AV$7+6&gt;=$D46,AV$7&lt;=$E46),"◆","")</f>
        <v/>
      </c>
      <c r="AW46" s="19">
        <f>IF(AND(AW$7+6&gt;=$D46,AW$7&lt;=$E46),"◆","")</f>
        <v/>
      </c>
      <c r="AX46" s="19">
        <f>IF(AND(AX$7+6&gt;=$D46,AX$7&lt;=$E46),"◆","")</f>
        <v/>
      </c>
      <c r="AY46" s="19">
        <f>IF(AND(AY$7+6&gt;=$D46,AY$7&lt;=$E46),"◆","")</f>
        <v/>
      </c>
    </row>
    <row r="47" ht="39" customHeight="1">
      <c r="B47" s="8" t="inlineStr">
        <is>
          <t>Meeting: VCAG – notes full report</t>
        </is>
      </c>
      <c r="C47" s="8" t="inlineStr">
        <is>
          <t>Meeting</t>
        </is>
      </c>
      <c r="D47" s="17">
        <f>'P2.1 Governance deadlines'!D9</f>
        <v/>
      </c>
      <c r="E47" s="17">
        <f>'P2.1 Governance deadlines'!D9</f>
        <v/>
      </c>
      <c r="F47" s="18">
        <f>IF(D47="","",TEXT(D47,"d mmm")&amp;IF(E47&lt;&gt;D47," – "&amp;TEXT(E47,"d mmm"),""))</f>
        <v/>
      </c>
      <c r="G47" s="18">
        <f t="array" ref="G47">_xlfn.TEXTJOIN(", ",TRUE,IF(ISNUMBER(SEARCH("R",'P2.3 RASCI matrix'!$H47:$Z47)),'P2.3 RASCI matrix'!$H$7:$Z$7,""))</f>
        <v/>
      </c>
      <c r="H47" s="18">
        <f t="array" ref="H47">_xlfn.TEXTJOIN(", ",TRUE,IF(LEFT('P2.3 RASCI matrix'!$H47:$Z47,1)="A",'P2.3 RASCI matrix'!$H$7:$Z$7,""))</f>
        <v/>
      </c>
      <c r="I47" s="8" t="inlineStr">
        <is>
          <t>Milestone</t>
        </is>
      </c>
      <c r="J47" s="8" t="inlineStr">
        <is>
          <t>Not yet started</t>
        </is>
      </c>
      <c r="L47" s="19">
        <f>IF(AND(L$7+6&gt;=$D47,L$7&lt;=$E47),"◆","")</f>
        <v/>
      </c>
      <c r="M47" s="19">
        <f>IF(AND(M$7+6&gt;=$D47,M$7&lt;=$E47),"◆","")</f>
        <v/>
      </c>
      <c r="N47" s="19">
        <f>IF(AND(N$7+6&gt;=$D47,N$7&lt;=$E47),"◆","")</f>
        <v/>
      </c>
      <c r="O47" s="19">
        <f>IF(AND(O$7+6&gt;=$D47,O$7&lt;=$E47),"◆","")</f>
        <v/>
      </c>
      <c r="P47" s="19">
        <f>IF(AND(P$7+6&gt;=$D47,P$7&lt;=$E47),"◆","")</f>
        <v/>
      </c>
      <c r="Q47" s="19">
        <f>IF(AND(Q$7+6&gt;=$D47,Q$7&lt;=$E47),"◆","")</f>
        <v/>
      </c>
      <c r="R47" s="19">
        <f>IF(AND(R$7+6&gt;=$D47,R$7&lt;=$E47),"◆","")</f>
        <v/>
      </c>
      <c r="S47" s="19">
        <f>IF(AND(S$7+6&gt;=$D47,S$7&lt;=$E47),"◆","")</f>
        <v/>
      </c>
      <c r="T47" s="19">
        <f>IF(AND(T$7+6&gt;=$D47,T$7&lt;=$E47),"◆","")</f>
        <v/>
      </c>
      <c r="U47" s="19">
        <f>IF(AND(U$7+6&gt;=$D47,U$7&lt;=$E47),"◆","")</f>
        <v/>
      </c>
      <c r="V47" s="19">
        <f>IF(AND(V$7+6&gt;=$D47,V$7&lt;=$E47),"◆","")</f>
        <v/>
      </c>
      <c r="W47" s="19">
        <f>IF(AND(W$7+6&gt;=$D47,W$7&lt;=$E47),"◆","")</f>
        <v/>
      </c>
      <c r="X47" s="19">
        <f>IF(AND(X$7+6&gt;=$D47,X$7&lt;=$E47),"◆","")</f>
        <v/>
      </c>
      <c r="Y47" s="19">
        <f>IF(AND(Y$7+6&gt;=$D47,Y$7&lt;=$E47),"◆","")</f>
        <v/>
      </c>
      <c r="Z47" s="19">
        <f>IF(AND(Z$7+6&gt;=$D47,Z$7&lt;=$E47),"◆","")</f>
        <v/>
      </c>
      <c r="AA47" s="19">
        <f>IF(AND(AA$7+6&gt;=$D47,AA$7&lt;=$E47),"◆","")</f>
        <v/>
      </c>
      <c r="AB47" s="19">
        <f>IF(AND(AB$7+6&gt;=$D47,AB$7&lt;=$E47),"◆","")</f>
        <v/>
      </c>
      <c r="AC47" s="19">
        <f>IF(AND(AC$7+6&gt;=$D47,AC$7&lt;=$E47),"◆","")</f>
        <v/>
      </c>
      <c r="AD47" s="19">
        <f>IF(AND(AD$7+6&gt;=$D47,AD$7&lt;=$E47),"◆","")</f>
        <v/>
      </c>
      <c r="AE47" s="19">
        <f>IF(AND(AE$7+6&gt;=$D47,AE$7&lt;=$E47),"◆","")</f>
        <v/>
      </c>
      <c r="AF47" s="19">
        <f>IF(AND(AF$7+6&gt;=$D47,AF$7&lt;=$E47),"◆","")</f>
        <v/>
      </c>
      <c r="AG47" s="19">
        <f>IF(AND(AG$7+6&gt;=$D47,AG$7&lt;=$E47),"◆","")</f>
        <v/>
      </c>
      <c r="AH47" s="19">
        <f>IF(AND(AH$7+6&gt;=$D47,AH$7&lt;=$E47),"◆","")</f>
        <v/>
      </c>
      <c r="AI47" s="19">
        <f>IF(AND(AI$7+6&gt;=$D47,AI$7&lt;=$E47),"◆","")</f>
        <v/>
      </c>
      <c r="AJ47" s="19">
        <f>IF(AND(AJ$7+6&gt;=$D47,AJ$7&lt;=$E47),"◆","")</f>
        <v/>
      </c>
      <c r="AK47" s="19">
        <f>IF(AND(AK$7+6&gt;=$D47,AK$7&lt;=$E47),"◆","")</f>
        <v/>
      </c>
      <c r="AL47" s="19">
        <f>IF(AND(AL$7+6&gt;=$D47,AL$7&lt;=$E47),"◆","")</f>
        <v/>
      </c>
      <c r="AM47" s="19">
        <f>IF(AND(AM$7+6&gt;=$D47,AM$7&lt;=$E47),"◆","")</f>
        <v/>
      </c>
      <c r="AN47" s="19">
        <f>IF(AND(AN$7+6&gt;=$D47,AN$7&lt;=$E47),"◆","")</f>
        <v/>
      </c>
      <c r="AO47" s="19">
        <f>IF(AND(AO$7+6&gt;=$D47,AO$7&lt;=$E47),"◆","")</f>
        <v/>
      </c>
      <c r="AP47" s="19">
        <f>IF(AND(AP$7+6&gt;=$D47,AP$7&lt;=$E47),"◆","")</f>
        <v/>
      </c>
      <c r="AQ47" s="19">
        <f>IF(AND(AQ$7+6&gt;=$D47,AQ$7&lt;=$E47),"◆","")</f>
        <v/>
      </c>
      <c r="AR47" s="19">
        <f>IF(AND(AR$7+6&gt;=$D47,AR$7&lt;=$E47),"◆","")</f>
        <v/>
      </c>
      <c r="AS47" s="19">
        <f>IF(AND(AS$7+6&gt;=$D47,AS$7&lt;=$E47),"◆","")</f>
        <v/>
      </c>
      <c r="AT47" s="19">
        <f>IF(AND(AT$7+6&gt;=$D47,AT$7&lt;=$E47),"◆","")</f>
        <v/>
      </c>
      <c r="AU47" s="19">
        <f>IF(AND(AU$7+6&gt;=$D47,AU$7&lt;=$E47),"◆","")</f>
        <v/>
      </c>
      <c r="AV47" s="19">
        <f>IF(AND(AV$7+6&gt;=$D47,AV$7&lt;=$E47),"◆","")</f>
        <v/>
      </c>
      <c r="AW47" s="19">
        <f>IF(AND(AW$7+6&gt;=$D47,AW$7&lt;=$E47),"◆","")</f>
        <v/>
      </c>
      <c r="AX47" s="19">
        <f>IF(AND(AX$7+6&gt;=$D47,AX$7&lt;=$E47),"◆","")</f>
        <v/>
      </c>
      <c r="AY47" s="19">
        <f>IF(AND(AY$7+6&gt;=$D47,AY$7&lt;=$E47),"◆","")</f>
        <v/>
      </c>
    </row>
    <row r="48" ht="39" customHeight="1">
      <c r="B48" s="8" t="inlineStr">
        <is>
          <t>Draft paper: University Executive – notes report</t>
        </is>
      </c>
      <c r="C48" s="8" t="inlineStr">
        <is>
          <t>Begin drafting → leaders</t>
        </is>
      </c>
      <c r="D48" s="17">
        <f>'P2.1 Governance deadlines'!G10</f>
        <v/>
      </c>
      <c r="E48" s="17">
        <f>'P2.1 Governance deadlines'!F10</f>
        <v/>
      </c>
      <c r="F48" s="18">
        <f>IF(D48="","",TEXT(D48,"d mmm")&amp;IF(E48&lt;&gt;D48," – "&amp;TEXT(E48,"d mmm"),""))</f>
        <v/>
      </c>
      <c r="G48" s="18">
        <f t="array" ref="G48">_xlfn.TEXTJOIN(", ",TRUE,IF(ISNUMBER(SEARCH("R",'P2.3 RASCI matrix'!$H48:$Z48)),'P2.3 RASCI matrix'!$H$7:$Z$7,""))</f>
        <v/>
      </c>
      <c r="H48" s="18">
        <f t="array" ref="H48">_xlfn.TEXTJOIN(", ",TRUE,IF(LEFT('P2.3 RASCI matrix'!$H48:$Z48,1)="A",'P2.3 RASCI matrix'!$H$7:$Z$7,""))</f>
        <v/>
      </c>
      <c r="I48" s="8" t="inlineStr">
        <is>
          <t>High</t>
        </is>
      </c>
      <c r="J48" s="8" t="inlineStr">
        <is>
          <t>Not yet started</t>
        </is>
      </c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</row>
    <row r="49" ht="39" customHeight="1">
      <c r="B49" s="8" t="inlineStr">
        <is>
          <t>Papers due: University Executive – notes report</t>
        </is>
      </c>
      <c r="C49" s="8" t="inlineStr">
        <is>
          <t>Papers due</t>
        </is>
      </c>
      <c r="D49" s="17">
        <f>'P2.1 Governance deadlines'!E10</f>
        <v/>
      </c>
      <c r="E49" s="17">
        <f>'P2.1 Governance deadlines'!E10</f>
        <v/>
      </c>
      <c r="F49" s="18">
        <f>IF(D49="","",TEXT(D49,"d mmm")&amp;IF(E49&lt;&gt;D49," – "&amp;TEXT(E49,"d mmm"),""))</f>
        <v/>
      </c>
      <c r="G49" s="18">
        <f t="array" ref="G49">_xlfn.TEXTJOIN(", ",TRUE,IF(ISNUMBER(SEARCH("R",'P2.3 RASCI matrix'!$H49:$Z49)),'P2.3 RASCI matrix'!$H$7:$Z$7,""))</f>
        <v/>
      </c>
      <c r="H49" s="18">
        <f t="array" ref="H49">_xlfn.TEXTJOIN(", ",TRUE,IF(LEFT('P2.3 RASCI matrix'!$H49:$Z49,1)="A",'P2.3 RASCI matrix'!$H$7:$Z$7,""))</f>
        <v/>
      </c>
      <c r="I49" s="8" t="inlineStr">
        <is>
          <t>Milestone</t>
        </is>
      </c>
      <c r="J49" s="8" t="inlineStr">
        <is>
          <t>Not yet started</t>
        </is>
      </c>
      <c r="L49" s="19">
        <f>IF(AND(L$7+6&gt;=$D49,L$7&lt;=$E49),"◆","")</f>
        <v/>
      </c>
      <c r="M49" s="19">
        <f>IF(AND(M$7+6&gt;=$D49,M$7&lt;=$E49),"◆","")</f>
        <v/>
      </c>
      <c r="N49" s="19">
        <f>IF(AND(N$7+6&gt;=$D49,N$7&lt;=$E49),"◆","")</f>
        <v/>
      </c>
      <c r="O49" s="19">
        <f>IF(AND(O$7+6&gt;=$D49,O$7&lt;=$E49),"◆","")</f>
        <v/>
      </c>
      <c r="P49" s="19">
        <f>IF(AND(P$7+6&gt;=$D49,P$7&lt;=$E49),"◆","")</f>
        <v/>
      </c>
      <c r="Q49" s="19">
        <f>IF(AND(Q$7+6&gt;=$D49,Q$7&lt;=$E49),"◆","")</f>
        <v/>
      </c>
      <c r="R49" s="19">
        <f>IF(AND(R$7+6&gt;=$D49,R$7&lt;=$E49),"◆","")</f>
        <v/>
      </c>
      <c r="S49" s="19">
        <f>IF(AND(S$7+6&gt;=$D49,S$7&lt;=$E49),"◆","")</f>
        <v/>
      </c>
      <c r="T49" s="19">
        <f>IF(AND(T$7+6&gt;=$D49,T$7&lt;=$E49),"◆","")</f>
        <v/>
      </c>
      <c r="U49" s="19">
        <f>IF(AND(U$7+6&gt;=$D49,U$7&lt;=$E49),"◆","")</f>
        <v/>
      </c>
      <c r="V49" s="19">
        <f>IF(AND(V$7+6&gt;=$D49,V$7&lt;=$E49),"◆","")</f>
        <v/>
      </c>
      <c r="W49" s="19">
        <f>IF(AND(W$7+6&gt;=$D49,W$7&lt;=$E49),"◆","")</f>
        <v/>
      </c>
      <c r="X49" s="19">
        <f>IF(AND(X$7+6&gt;=$D49,X$7&lt;=$E49),"◆","")</f>
        <v/>
      </c>
      <c r="Y49" s="19">
        <f>IF(AND(Y$7+6&gt;=$D49,Y$7&lt;=$E49),"◆","")</f>
        <v/>
      </c>
      <c r="Z49" s="19">
        <f>IF(AND(Z$7+6&gt;=$D49,Z$7&lt;=$E49),"◆","")</f>
        <v/>
      </c>
      <c r="AA49" s="19">
        <f>IF(AND(AA$7+6&gt;=$D49,AA$7&lt;=$E49),"◆","")</f>
        <v/>
      </c>
      <c r="AB49" s="19">
        <f>IF(AND(AB$7+6&gt;=$D49,AB$7&lt;=$E49),"◆","")</f>
        <v/>
      </c>
      <c r="AC49" s="19">
        <f>IF(AND(AC$7+6&gt;=$D49,AC$7&lt;=$E49),"◆","")</f>
        <v/>
      </c>
      <c r="AD49" s="19">
        <f>IF(AND(AD$7+6&gt;=$D49,AD$7&lt;=$E49),"◆","")</f>
        <v/>
      </c>
      <c r="AE49" s="19">
        <f>IF(AND(AE$7+6&gt;=$D49,AE$7&lt;=$E49),"◆","")</f>
        <v/>
      </c>
      <c r="AF49" s="19">
        <f>IF(AND(AF$7+6&gt;=$D49,AF$7&lt;=$E49),"◆","")</f>
        <v/>
      </c>
      <c r="AG49" s="19">
        <f>IF(AND(AG$7+6&gt;=$D49,AG$7&lt;=$E49),"◆","")</f>
        <v/>
      </c>
      <c r="AH49" s="19">
        <f>IF(AND(AH$7+6&gt;=$D49,AH$7&lt;=$E49),"◆","")</f>
        <v/>
      </c>
      <c r="AI49" s="19">
        <f>IF(AND(AI$7+6&gt;=$D49,AI$7&lt;=$E49),"◆","")</f>
        <v/>
      </c>
      <c r="AJ49" s="19">
        <f>IF(AND(AJ$7+6&gt;=$D49,AJ$7&lt;=$E49),"◆","")</f>
        <v/>
      </c>
      <c r="AK49" s="19">
        <f>IF(AND(AK$7+6&gt;=$D49,AK$7&lt;=$E49),"◆","")</f>
        <v/>
      </c>
      <c r="AL49" s="19">
        <f>IF(AND(AL$7+6&gt;=$D49,AL$7&lt;=$E49),"◆","")</f>
        <v/>
      </c>
      <c r="AM49" s="19">
        <f>IF(AND(AM$7+6&gt;=$D49,AM$7&lt;=$E49),"◆","")</f>
        <v/>
      </c>
      <c r="AN49" s="19">
        <f>IF(AND(AN$7+6&gt;=$D49,AN$7&lt;=$E49),"◆","")</f>
        <v/>
      </c>
      <c r="AO49" s="19">
        <f>IF(AND(AO$7+6&gt;=$D49,AO$7&lt;=$E49),"◆","")</f>
        <v/>
      </c>
      <c r="AP49" s="19">
        <f>IF(AND(AP$7+6&gt;=$D49,AP$7&lt;=$E49),"◆","")</f>
        <v/>
      </c>
      <c r="AQ49" s="19">
        <f>IF(AND(AQ$7+6&gt;=$D49,AQ$7&lt;=$E49),"◆","")</f>
        <v/>
      </c>
      <c r="AR49" s="19">
        <f>IF(AND(AR$7+6&gt;=$D49,AR$7&lt;=$E49),"◆","")</f>
        <v/>
      </c>
      <c r="AS49" s="19">
        <f>IF(AND(AS$7+6&gt;=$D49,AS$7&lt;=$E49),"◆","")</f>
        <v/>
      </c>
      <c r="AT49" s="19">
        <f>IF(AND(AT$7+6&gt;=$D49,AT$7&lt;=$E49),"◆","")</f>
        <v/>
      </c>
      <c r="AU49" s="19">
        <f>IF(AND(AU$7+6&gt;=$D49,AU$7&lt;=$E49),"◆","")</f>
        <v/>
      </c>
      <c r="AV49" s="19">
        <f>IF(AND(AV$7+6&gt;=$D49,AV$7&lt;=$E49),"◆","")</f>
        <v/>
      </c>
      <c r="AW49" s="19">
        <f>IF(AND(AW$7+6&gt;=$D49,AW$7&lt;=$E49),"◆","")</f>
        <v/>
      </c>
      <c r="AX49" s="19">
        <f>IF(AND(AX$7+6&gt;=$D49,AX$7&lt;=$E49),"◆","")</f>
        <v/>
      </c>
      <c r="AY49" s="19">
        <f>IF(AND(AY$7+6&gt;=$D49,AY$7&lt;=$E49),"◆","")</f>
        <v/>
      </c>
    </row>
    <row r="50" ht="39" customHeight="1">
      <c r="B50" s="8" t="inlineStr">
        <is>
          <t>Meeting: University Executive – notes report</t>
        </is>
      </c>
      <c r="C50" s="8" t="inlineStr">
        <is>
          <t>Meeting</t>
        </is>
      </c>
      <c r="D50" s="17">
        <f>'P2.1 Governance deadlines'!D10</f>
        <v/>
      </c>
      <c r="E50" s="17">
        <f>'P2.1 Governance deadlines'!D10</f>
        <v/>
      </c>
      <c r="F50" s="18">
        <f>IF(D50="","",TEXT(D50,"d mmm")&amp;IF(E50&lt;&gt;D50," – "&amp;TEXT(E50,"d mmm"),""))</f>
        <v/>
      </c>
      <c r="G50" s="18">
        <f t="array" ref="G50">_xlfn.TEXTJOIN(", ",TRUE,IF(ISNUMBER(SEARCH("R",'P2.3 RASCI matrix'!$H50:$Z50)),'P2.3 RASCI matrix'!$H$7:$Z$7,""))</f>
        <v/>
      </c>
      <c r="H50" s="18">
        <f t="array" ref="H50">_xlfn.TEXTJOIN(", ",TRUE,IF(LEFT('P2.3 RASCI matrix'!$H50:$Z50,1)="A",'P2.3 RASCI matrix'!$H$7:$Z$7,""))</f>
        <v/>
      </c>
      <c r="I50" s="8" t="inlineStr">
        <is>
          <t>Milestone</t>
        </is>
      </c>
      <c r="J50" s="8" t="inlineStr">
        <is>
          <t>Not yet started</t>
        </is>
      </c>
      <c r="L50" s="19">
        <f>IF(AND(L$7+6&gt;=$D50,L$7&lt;=$E50),"◆","")</f>
        <v/>
      </c>
      <c r="M50" s="19">
        <f>IF(AND(M$7+6&gt;=$D50,M$7&lt;=$E50),"◆","")</f>
        <v/>
      </c>
      <c r="N50" s="19">
        <f>IF(AND(N$7+6&gt;=$D50,N$7&lt;=$E50),"◆","")</f>
        <v/>
      </c>
      <c r="O50" s="19">
        <f>IF(AND(O$7+6&gt;=$D50,O$7&lt;=$E50),"◆","")</f>
        <v/>
      </c>
      <c r="P50" s="19">
        <f>IF(AND(P$7+6&gt;=$D50,P$7&lt;=$E50),"◆","")</f>
        <v/>
      </c>
      <c r="Q50" s="19">
        <f>IF(AND(Q$7+6&gt;=$D50,Q$7&lt;=$E50),"◆","")</f>
        <v/>
      </c>
      <c r="R50" s="19">
        <f>IF(AND(R$7+6&gt;=$D50,R$7&lt;=$E50),"◆","")</f>
        <v/>
      </c>
      <c r="S50" s="19">
        <f>IF(AND(S$7+6&gt;=$D50,S$7&lt;=$E50),"◆","")</f>
        <v/>
      </c>
      <c r="T50" s="19">
        <f>IF(AND(T$7+6&gt;=$D50,T$7&lt;=$E50),"◆","")</f>
        <v/>
      </c>
      <c r="U50" s="19">
        <f>IF(AND(U$7+6&gt;=$D50,U$7&lt;=$E50),"◆","")</f>
        <v/>
      </c>
      <c r="V50" s="19">
        <f>IF(AND(V$7+6&gt;=$D50,V$7&lt;=$E50),"◆","")</f>
        <v/>
      </c>
      <c r="W50" s="19">
        <f>IF(AND(W$7+6&gt;=$D50,W$7&lt;=$E50),"◆","")</f>
        <v/>
      </c>
      <c r="X50" s="19">
        <f>IF(AND(X$7+6&gt;=$D50,X$7&lt;=$E50),"◆","")</f>
        <v/>
      </c>
      <c r="Y50" s="19">
        <f>IF(AND(Y$7+6&gt;=$D50,Y$7&lt;=$E50),"◆","")</f>
        <v/>
      </c>
      <c r="Z50" s="19">
        <f>IF(AND(Z$7+6&gt;=$D50,Z$7&lt;=$E50),"◆","")</f>
        <v/>
      </c>
      <c r="AA50" s="19">
        <f>IF(AND(AA$7+6&gt;=$D50,AA$7&lt;=$E50),"◆","")</f>
        <v/>
      </c>
      <c r="AB50" s="19">
        <f>IF(AND(AB$7+6&gt;=$D50,AB$7&lt;=$E50),"◆","")</f>
        <v/>
      </c>
      <c r="AC50" s="19">
        <f>IF(AND(AC$7+6&gt;=$D50,AC$7&lt;=$E50),"◆","")</f>
        <v/>
      </c>
      <c r="AD50" s="19">
        <f>IF(AND(AD$7+6&gt;=$D50,AD$7&lt;=$E50),"◆","")</f>
        <v/>
      </c>
      <c r="AE50" s="19">
        <f>IF(AND(AE$7+6&gt;=$D50,AE$7&lt;=$E50),"◆","")</f>
        <v/>
      </c>
      <c r="AF50" s="19">
        <f>IF(AND(AF$7+6&gt;=$D50,AF$7&lt;=$E50),"◆","")</f>
        <v/>
      </c>
      <c r="AG50" s="19">
        <f>IF(AND(AG$7+6&gt;=$D50,AG$7&lt;=$E50),"◆","")</f>
        <v/>
      </c>
      <c r="AH50" s="19">
        <f>IF(AND(AH$7+6&gt;=$D50,AH$7&lt;=$E50),"◆","")</f>
        <v/>
      </c>
      <c r="AI50" s="19">
        <f>IF(AND(AI$7+6&gt;=$D50,AI$7&lt;=$E50),"◆","")</f>
        <v/>
      </c>
      <c r="AJ50" s="19">
        <f>IF(AND(AJ$7+6&gt;=$D50,AJ$7&lt;=$E50),"◆","")</f>
        <v/>
      </c>
      <c r="AK50" s="19">
        <f>IF(AND(AK$7+6&gt;=$D50,AK$7&lt;=$E50),"◆","")</f>
        <v/>
      </c>
      <c r="AL50" s="19">
        <f>IF(AND(AL$7+6&gt;=$D50,AL$7&lt;=$E50),"◆","")</f>
        <v/>
      </c>
      <c r="AM50" s="19">
        <f>IF(AND(AM$7+6&gt;=$D50,AM$7&lt;=$E50),"◆","")</f>
        <v/>
      </c>
      <c r="AN50" s="19">
        <f>IF(AND(AN$7+6&gt;=$D50,AN$7&lt;=$E50),"◆","")</f>
        <v/>
      </c>
      <c r="AO50" s="19">
        <f>IF(AND(AO$7+6&gt;=$D50,AO$7&lt;=$E50),"◆","")</f>
        <v/>
      </c>
      <c r="AP50" s="19">
        <f>IF(AND(AP$7+6&gt;=$D50,AP$7&lt;=$E50),"◆","")</f>
        <v/>
      </c>
      <c r="AQ50" s="19">
        <f>IF(AND(AQ$7+6&gt;=$D50,AQ$7&lt;=$E50),"◆","")</f>
        <v/>
      </c>
      <c r="AR50" s="19">
        <f>IF(AND(AR$7+6&gt;=$D50,AR$7&lt;=$E50),"◆","")</f>
        <v/>
      </c>
      <c r="AS50" s="19">
        <f>IF(AND(AS$7+6&gt;=$D50,AS$7&lt;=$E50),"◆","")</f>
        <v/>
      </c>
      <c r="AT50" s="19">
        <f>IF(AND(AT$7+6&gt;=$D50,AT$7&lt;=$E50),"◆","")</f>
        <v/>
      </c>
      <c r="AU50" s="19">
        <f>IF(AND(AU$7+6&gt;=$D50,AU$7&lt;=$E50),"◆","")</f>
        <v/>
      </c>
      <c r="AV50" s="19">
        <f>IF(AND(AV$7+6&gt;=$D50,AV$7&lt;=$E50),"◆","")</f>
        <v/>
      </c>
      <c r="AW50" s="19">
        <f>IF(AND(AW$7+6&gt;=$D50,AW$7&lt;=$E50),"◆","")</f>
        <v/>
      </c>
      <c r="AX50" s="19">
        <f>IF(AND(AX$7+6&gt;=$D50,AX$7&lt;=$E50),"◆","")</f>
        <v/>
      </c>
      <c r="AY50" s="19">
        <f>IF(AND(AY$7+6&gt;=$D50,AY$7&lt;=$E50),"◆","")</f>
        <v/>
      </c>
    </row>
    <row r="51" ht="39" customHeight="1">
      <c r="B51" s="8" t="inlineStr">
        <is>
          <t>Draft paper: University Council – approves report</t>
        </is>
      </c>
      <c r="C51" s="8" t="inlineStr">
        <is>
          <t>Begin drafting → leaders</t>
        </is>
      </c>
      <c r="D51" s="17">
        <f>'P2.1 Governance deadlines'!G11</f>
        <v/>
      </c>
      <c r="E51" s="17">
        <f>'P2.1 Governance deadlines'!F11</f>
        <v/>
      </c>
      <c r="F51" s="18">
        <f>IF(D51="","",TEXT(D51,"d mmm")&amp;IF(E51&lt;&gt;D51," – "&amp;TEXT(E51,"d mmm"),""))</f>
        <v/>
      </c>
      <c r="G51" s="18">
        <f t="array" ref="G51">_xlfn.TEXTJOIN(", ",TRUE,IF(ISNUMBER(SEARCH("R",'P2.3 RASCI matrix'!$H51:$Z51)),'P2.3 RASCI matrix'!$H$7:$Z$7,""))</f>
        <v/>
      </c>
      <c r="H51" s="18">
        <f t="array" ref="H51">_xlfn.TEXTJOIN(", ",TRUE,IF(LEFT('P2.3 RASCI matrix'!$H51:$Z51,1)="A",'P2.3 RASCI matrix'!$H$7:$Z$7,""))</f>
        <v/>
      </c>
      <c r="I51" s="8" t="inlineStr">
        <is>
          <t>High</t>
        </is>
      </c>
      <c r="J51" s="8" t="inlineStr">
        <is>
          <t>Not yet started</t>
        </is>
      </c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9" t="n"/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</row>
    <row r="52" ht="39" customHeight="1">
      <c r="B52" s="8" t="inlineStr">
        <is>
          <t>Papers due: University Council – approves report</t>
        </is>
      </c>
      <c r="C52" s="8" t="inlineStr">
        <is>
          <t>Papers due</t>
        </is>
      </c>
      <c r="D52" s="17">
        <f>'P2.1 Governance deadlines'!E11</f>
        <v/>
      </c>
      <c r="E52" s="17">
        <f>'P2.1 Governance deadlines'!E11</f>
        <v/>
      </c>
      <c r="F52" s="18">
        <f>IF(D52="","",TEXT(D52,"d mmm")&amp;IF(E52&lt;&gt;D52," – "&amp;TEXT(E52,"d mmm"),""))</f>
        <v/>
      </c>
      <c r="G52" s="18">
        <f t="array" ref="G52">_xlfn.TEXTJOIN(", ",TRUE,IF(ISNUMBER(SEARCH("R",'P2.3 RASCI matrix'!$H52:$Z52)),'P2.3 RASCI matrix'!$H$7:$Z$7,""))</f>
        <v/>
      </c>
      <c r="H52" s="18">
        <f t="array" ref="H52">_xlfn.TEXTJOIN(", ",TRUE,IF(LEFT('P2.3 RASCI matrix'!$H52:$Z52,1)="A",'P2.3 RASCI matrix'!$H$7:$Z$7,""))</f>
        <v/>
      </c>
      <c r="I52" s="8" t="inlineStr">
        <is>
          <t>Milestone</t>
        </is>
      </c>
      <c r="J52" s="8" t="inlineStr">
        <is>
          <t>Not yet started</t>
        </is>
      </c>
      <c r="L52" s="19">
        <f>IF(AND(L$7+6&gt;=$D52,L$7&lt;=$E52),"◆","")</f>
        <v/>
      </c>
      <c r="M52" s="19">
        <f>IF(AND(M$7+6&gt;=$D52,M$7&lt;=$E52),"◆","")</f>
        <v/>
      </c>
      <c r="N52" s="19">
        <f>IF(AND(N$7+6&gt;=$D52,N$7&lt;=$E52),"◆","")</f>
        <v/>
      </c>
      <c r="O52" s="19">
        <f>IF(AND(O$7+6&gt;=$D52,O$7&lt;=$E52),"◆","")</f>
        <v/>
      </c>
      <c r="P52" s="19">
        <f>IF(AND(P$7+6&gt;=$D52,P$7&lt;=$E52),"◆","")</f>
        <v/>
      </c>
      <c r="Q52" s="19">
        <f>IF(AND(Q$7+6&gt;=$D52,Q$7&lt;=$E52),"◆","")</f>
        <v/>
      </c>
      <c r="R52" s="19">
        <f>IF(AND(R$7+6&gt;=$D52,R$7&lt;=$E52),"◆","")</f>
        <v/>
      </c>
      <c r="S52" s="19">
        <f>IF(AND(S$7+6&gt;=$D52,S$7&lt;=$E52),"◆","")</f>
        <v/>
      </c>
      <c r="T52" s="19">
        <f>IF(AND(T$7+6&gt;=$D52,T$7&lt;=$E52),"◆","")</f>
        <v/>
      </c>
      <c r="U52" s="19">
        <f>IF(AND(U$7+6&gt;=$D52,U$7&lt;=$E52),"◆","")</f>
        <v/>
      </c>
      <c r="V52" s="19">
        <f>IF(AND(V$7+6&gt;=$D52,V$7&lt;=$E52),"◆","")</f>
        <v/>
      </c>
      <c r="W52" s="19">
        <f>IF(AND(W$7+6&gt;=$D52,W$7&lt;=$E52),"◆","")</f>
        <v/>
      </c>
      <c r="X52" s="19">
        <f>IF(AND(X$7+6&gt;=$D52,X$7&lt;=$E52),"◆","")</f>
        <v/>
      </c>
      <c r="Y52" s="19">
        <f>IF(AND(Y$7+6&gt;=$D52,Y$7&lt;=$E52),"◆","")</f>
        <v/>
      </c>
      <c r="Z52" s="19">
        <f>IF(AND(Z$7+6&gt;=$D52,Z$7&lt;=$E52),"◆","")</f>
        <v/>
      </c>
      <c r="AA52" s="19">
        <f>IF(AND(AA$7+6&gt;=$D52,AA$7&lt;=$E52),"◆","")</f>
        <v/>
      </c>
      <c r="AB52" s="19">
        <f>IF(AND(AB$7+6&gt;=$D52,AB$7&lt;=$E52),"◆","")</f>
        <v/>
      </c>
      <c r="AC52" s="19">
        <f>IF(AND(AC$7+6&gt;=$D52,AC$7&lt;=$E52),"◆","")</f>
        <v/>
      </c>
      <c r="AD52" s="19">
        <f>IF(AND(AD$7+6&gt;=$D52,AD$7&lt;=$E52),"◆","")</f>
        <v/>
      </c>
      <c r="AE52" s="19">
        <f>IF(AND(AE$7+6&gt;=$D52,AE$7&lt;=$E52),"◆","")</f>
        <v/>
      </c>
      <c r="AF52" s="19">
        <f>IF(AND(AF$7+6&gt;=$D52,AF$7&lt;=$E52),"◆","")</f>
        <v/>
      </c>
      <c r="AG52" s="19">
        <f>IF(AND(AG$7+6&gt;=$D52,AG$7&lt;=$E52),"◆","")</f>
        <v/>
      </c>
      <c r="AH52" s="19">
        <f>IF(AND(AH$7+6&gt;=$D52,AH$7&lt;=$E52),"◆","")</f>
        <v/>
      </c>
      <c r="AI52" s="19">
        <f>IF(AND(AI$7+6&gt;=$D52,AI$7&lt;=$E52),"◆","")</f>
        <v/>
      </c>
      <c r="AJ52" s="19">
        <f>IF(AND(AJ$7+6&gt;=$D52,AJ$7&lt;=$E52),"◆","")</f>
        <v/>
      </c>
      <c r="AK52" s="19">
        <f>IF(AND(AK$7+6&gt;=$D52,AK$7&lt;=$E52),"◆","")</f>
        <v/>
      </c>
      <c r="AL52" s="19">
        <f>IF(AND(AL$7+6&gt;=$D52,AL$7&lt;=$E52),"◆","")</f>
        <v/>
      </c>
      <c r="AM52" s="19">
        <f>IF(AND(AM$7+6&gt;=$D52,AM$7&lt;=$E52),"◆","")</f>
        <v/>
      </c>
      <c r="AN52" s="19">
        <f>IF(AND(AN$7+6&gt;=$D52,AN$7&lt;=$E52),"◆","")</f>
        <v/>
      </c>
      <c r="AO52" s="19">
        <f>IF(AND(AO$7+6&gt;=$D52,AO$7&lt;=$E52),"◆","")</f>
        <v/>
      </c>
      <c r="AP52" s="19">
        <f>IF(AND(AP$7+6&gt;=$D52,AP$7&lt;=$E52),"◆","")</f>
        <v/>
      </c>
      <c r="AQ52" s="19">
        <f>IF(AND(AQ$7+6&gt;=$D52,AQ$7&lt;=$E52),"◆","")</f>
        <v/>
      </c>
      <c r="AR52" s="19">
        <f>IF(AND(AR$7+6&gt;=$D52,AR$7&lt;=$E52),"◆","")</f>
        <v/>
      </c>
      <c r="AS52" s="19">
        <f>IF(AND(AS$7+6&gt;=$D52,AS$7&lt;=$E52),"◆","")</f>
        <v/>
      </c>
      <c r="AT52" s="19">
        <f>IF(AND(AT$7+6&gt;=$D52,AT$7&lt;=$E52),"◆","")</f>
        <v/>
      </c>
      <c r="AU52" s="19">
        <f>IF(AND(AU$7+6&gt;=$D52,AU$7&lt;=$E52),"◆","")</f>
        <v/>
      </c>
      <c r="AV52" s="19">
        <f>IF(AND(AV$7+6&gt;=$D52,AV$7&lt;=$E52),"◆","")</f>
        <v/>
      </c>
      <c r="AW52" s="19">
        <f>IF(AND(AW$7+6&gt;=$D52,AW$7&lt;=$E52),"◆","")</f>
        <v/>
      </c>
      <c r="AX52" s="19">
        <f>IF(AND(AX$7+6&gt;=$D52,AX$7&lt;=$E52),"◆","")</f>
        <v/>
      </c>
      <c r="AY52" s="19">
        <f>IF(AND(AY$7+6&gt;=$D52,AY$7&lt;=$E52),"◆","")</f>
        <v/>
      </c>
    </row>
    <row r="53" ht="39" customHeight="1">
      <c r="B53" s="8" t="inlineStr">
        <is>
          <t>Meeting: University Council – approves report</t>
        </is>
      </c>
      <c r="C53" s="8" t="inlineStr">
        <is>
          <t>Meeting</t>
        </is>
      </c>
      <c r="D53" s="17">
        <f>'P2.1 Governance deadlines'!D11</f>
        <v/>
      </c>
      <c r="E53" s="17">
        <f>'P2.1 Governance deadlines'!D11</f>
        <v/>
      </c>
      <c r="F53" s="18">
        <f>IF(D53="","",TEXT(D53,"d mmm")&amp;IF(E53&lt;&gt;D53," – "&amp;TEXT(E53,"d mmm"),""))</f>
        <v/>
      </c>
      <c r="G53" s="18">
        <f t="array" ref="G53">_xlfn.TEXTJOIN(", ",TRUE,IF(ISNUMBER(SEARCH("R",'P2.3 RASCI matrix'!$H53:$Z53)),'P2.3 RASCI matrix'!$H$7:$Z$7,""))</f>
        <v/>
      </c>
      <c r="H53" s="18">
        <f t="array" ref="H53">_xlfn.TEXTJOIN(", ",TRUE,IF(LEFT('P2.3 RASCI matrix'!$H53:$Z53,1)="A",'P2.3 RASCI matrix'!$H$7:$Z$7,""))</f>
        <v/>
      </c>
      <c r="I53" s="8" t="inlineStr">
        <is>
          <t>Milestone</t>
        </is>
      </c>
      <c r="J53" s="8" t="inlineStr">
        <is>
          <t>Not yet started</t>
        </is>
      </c>
      <c r="L53" s="19">
        <f>IF(AND(L$7+6&gt;=$D53,L$7&lt;=$E53),"◆","")</f>
        <v/>
      </c>
      <c r="M53" s="19">
        <f>IF(AND(M$7+6&gt;=$D53,M$7&lt;=$E53),"◆","")</f>
        <v/>
      </c>
      <c r="N53" s="19">
        <f>IF(AND(N$7+6&gt;=$D53,N$7&lt;=$E53),"◆","")</f>
        <v/>
      </c>
      <c r="O53" s="19">
        <f>IF(AND(O$7+6&gt;=$D53,O$7&lt;=$E53),"◆","")</f>
        <v/>
      </c>
      <c r="P53" s="19">
        <f>IF(AND(P$7+6&gt;=$D53,P$7&lt;=$E53),"◆","")</f>
        <v/>
      </c>
      <c r="Q53" s="19">
        <f>IF(AND(Q$7+6&gt;=$D53,Q$7&lt;=$E53),"◆","")</f>
        <v/>
      </c>
      <c r="R53" s="19">
        <f>IF(AND(R$7+6&gt;=$D53,R$7&lt;=$E53),"◆","")</f>
        <v/>
      </c>
      <c r="S53" s="19">
        <f>IF(AND(S$7+6&gt;=$D53,S$7&lt;=$E53),"◆","")</f>
        <v/>
      </c>
      <c r="T53" s="19">
        <f>IF(AND(T$7+6&gt;=$D53,T$7&lt;=$E53),"◆","")</f>
        <v/>
      </c>
      <c r="U53" s="19">
        <f>IF(AND(U$7+6&gt;=$D53,U$7&lt;=$E53),"◆","")</f>
        <v/>
      </c>
      <c r="V53" s="19">
        <f>IF(AND(V$7+6&gt;=$D53,V$7&lt;=$E53),"◆","")</f>
        <v/>
      </c>
      <c r="W53" s="19">
        <f>IF(AND(W$7+6&gt;=$D53,W$7&lt;=$E53),"◆","")</f>
        <v/>
      </c>
      <c r="X53" s="19">
        <f>IF(AND(X$7+6&gt;=$D53,X$7&lt;=$E53),"◆","")</f>
        <v/>
      </c>
      <c r="Y53" s="19">
        <f>IF(AND(Y$7+6&gt;=$D53,Y$7&lt;=$E53),"◆","")</f>
        <v/>
      </c>
      <c r="Z53" s="19">
        <f>IF(AND(Z$7+6&gt;=$D53,Z$7&lt;=$E53),"◆","")</f>
        <v/>
      </c>
      <c r="AA53" s="19">
        <f>IF(AND(AA$7+6&gt;=$D53,AA$7&lt;=$E53),"◆","")</f>
        <v/>
      </c>
      <c r="AB53" s="19">
        <f>IF(AND(AB$7+6&gt;=$D53,AB$7&lt;=$E53),"◆","")</f>
        <v/>
      </c>
      <c r="AC53" s="19">
        <f>IF(AND(AC$7+6&gt;=$D53,AC$7&lt;=$E53),"◆","")</f>
        <v/>
      </c>
      <c r="AD53" s="19">
        <f>IF(AND(AD$7+6&gt;=$D53,AD$7&lt;=$E53),"◆","")</f>
        <v/>
      </c>
      <c r="AE53" s="19">
        <f>IF(AND(AE$7+6&gt;=$D53,AE$7&lt;=$E53),"◆","")</f>
        <v/>
      </c>
      <c r="AF53" s="19">
        <f>IF(AND(AF$7+6&gt;=$D53,AF$7&lt;=$E53),"◆","")</f>
        <v/>
      </c>
      <c r="AG53" s="19">
        <f>IF(AND(AG$7+6&gt;=$D53,AG$7&lt;=$E53),"◆","")</f>
        <v/>
      </c>
      <c r="AH53" s="19">
        <f>IF(AND(AH$7+6&gt;=$D53,AH$7&lt;=$E53),"◆","")</f>
        <v/>
      </c>
      <c r="AI53" s="19">
        <f>IF(AND(AI$7+6&gt;=$D53,AI$7&lt;=$E53),"◆","")</f>
        <v/>
      </c>
      <c r="AJ53" s="19">
        <f>IF(AND(AJ$7+6&gt;=$D53,AJ$7&lt;=$E53),"◆","")</f>
        <v/>
      </c>
      <c r="AK53" s="19">
        <f>IF(AND(AK$7+6&gt;=$D53,AK$7&lt;=$E53),"◆","")</f>
        <v/>
      </c>
      <c r="AL53" s="19">
        <f>IF(AND(AL$7+6&gt;=$D53,AL$7&lt;=$E53),"◆","")</f>
        <v/>
      </c>
      <c r="AM53" s="19">
        <f>IF(AND(AM$7+6&gt;=$D53,AM$7&lt;=$E53),"◆","")</f>
        <v/>
      </c>
      <c r="AN53" s="19">
        <f>IF(AND(AN$7+6&gt;=$D53,AN$7&lt;=$E53),"◆","")</f>
        <v/>
      </c>
      <c r="AO53" s="19">
        <f>IF(AND(AO$7+6&gt;=$D53,AO$7&lt;=$E53),"◆","")</f>
        <v/>
      </c>
      <c r="AP53" s="19">
        <f>IF(AND(AP$7+6&gt;=$D53,AP$7&lt;=$E53),"◆","")</f>
        <v/>
      </c>
      <c r="AQ53" s="19">
        <f>IF(AND(AQ$7+6&gt;=$D53,AQ$7&lt;=$E53),"◆","")</f>
        <v/>
      </c>
      <c r="AR53" s="19">
        <f>IF(AND(AR$7+6&gt;=$D53,AR$7&lt;=$E53),"◆","")</f>
        <v/>
      </c>
      <c r="AS53" s="19">
        <f>IF(AND(AS$7+6&gt;=$D53,AS$7&lt;=$E53),"◆","")</f>
        <v/>
      </c>
      <c r="AT53" s="19">
        <f>IF(AND(AT$7+6&gt;=$D53,AT$7&lt;=$E53),"◆","")</f>
        <v/>
      </c>
      <c r="AU53" s="19">
        <f>IF(AND(AU$7+6&gt;=$D53,AU$7&lt;=$E53),"◆","")</f>
        <v/>
      </c>
      <c r="AV53" s="19">
        <f>IF(AND(AV$7+6&gt;=$D53,AV$7&lt;=$E53),"◆","")</f>
        <v/>
      </c>
      <c r="AW53" s="19">
        <f>IF(AND(AW$7+6&gt;=$D53,AW$7&lt;=$E53),"◆","")</f>
        <v/>
      </c>
      <c r="AX53" s="19">
        <f>IF(AND(AX$7+6&gt;=$D53,AX$7&lt;=$E53),"◆","")</f>
        <v/>
      </c>
      <c r="AY53" s="19">
        <f>IF(AND(AY$7+6&gt;=$D53,AY$7&lt;=$E53),"◆","")</f>
        <v/>
      </c>
    </row>
    <row r="54" ht="22" customHeight="1">
      <c r="B54" s="15" t="inlineStr">
        <is>
          <t>Publication &amp; close-out (May–Jun 2027)</t>
        </is>
      </c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  <c r="AJ54" s="16" t="n"/>
      <c r="AK54" s="16" t="n"/>
      <c r="AL54" s="16" t="n"/>
      <c r="AM54" s="16" t="n"/>
      <c r="AN54" s="16" t="n"/>
      <c r="AO54" s="16" t="n"/>
      <c r="AP54" s="16" t="n"/>
      <c r="AQ54" s="16" t="n"/>
      <c r="AR54" s="16" t="n"/>
      <c r="AS54" s="16" t="n"/>
      <c r="AT54" s="16" t="n"/>
      <c r="AU54" s="16" t="n"/>
      <c r="AV54" s="16" t="n"/>
      <c r="AW54" s="16" t="n"/>
      <c r="AX54" s="16" t="n"/>
      <c r="AY54" s="16" t="n"/>
    </row>
    <row r="55" ht="39" customHeight="1">
      <c r="B55" s="8" t="inlineStr">
        <is>
          <t>Web build; QA, accessibility and web checks; agree analytics measures</t>
        </is>
      </c>
      <c r="C55" s="8" t="inlineStr">
        <is>
          <t>Before launch</t>
        </is>
      </c>
      <c r="D55" s="17" t="n">
        <v>46447</v>
      </c>
      <c r="E55" s="17" t="n">
        <v>46535</v>
      </c>
      <c r="F55" s="18">
        <f>IF(D55="","",TEXT(D55,"d mmm")&amp;IF(E55&lt;&gt;D55," – "&amp;TEXT(E55,"d mmm"),""))</f>
        <v/>
      </c>
      <c r="G55" s="18">
        <f t="array" ref="G55">_xlfn.TEXTJOIN(", ",TRUE,IF(ISNUMBER(SEARCH("R",'P2.3 RASCI matrix'!$H55:$Z55)),'P2.3 RASCI matrix'!$H$7:$Z$7,""))</f>
        <v/>
      </c>
      <c r="H55" s="18">
        <f t="array" ref="H55">_xlfn.TEXTJOIN(", ",TRUE,IF(LEFT('P2.3 RASCI matrix'!$H55:$Z55,1)="A",'P2.3 RASCI matrix'!$H$7:$Z$7,""))</f>
        <v/>
      </c>
      <c r="I55" s="8" t="inlineStr">
        <is>
          <t>High</t>
        </is>
      </c>
      <c r="J55" s="8" t="inlineStr">
        <is>
          <t>Not yet started</t>
        </is>
      </c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</row>
    <row r="56" ht="39" customHeight="1">
      <c r="B56" s="8" t="inlineStr">
        <is>
          <t>Publish report (year-specific URL + landing page)</t>
        </is>
      </c>
      <c r="C56" s="8" t="inlineStr">
        <is>
          <t>June</t>
        </is>
      </c>
      <c r="D56" s="17" t="n">
        <v>46539</v>
      </c>
      <c r="E56" s="17" t="n">
        <v>46568</v>
      </c>
      <c r="F56" s="18">
        <f>IF(D56="","",TEXT(D56,"d mmm")&amp;IF(E56&lt;&gt;D56," – "&amp;TEXT(E56,"d mmm"),""))</f>
        <v/>
      </c>
      <c r="G56" s="18">
        <f t="array" ref="G56">_xlfn.TEXTJOIN(", ",TRUE,IF(ISNUMBER(SEARCH("R",'P2.3 RASCI matrix'!$H56:$Z56)),'P2.3 RASCI matrix'!$H$7:$Z$7,""))</f>
        <v/>
      </c>
      <c r="H56" s="18">
        <f t="array" ref="H56">_xlfn.TEXTJOIN(", ",TRUE,IF(LEFT('P2.3 RASCI matrix'!$H56:$Z56,1)="A",'P2.3 RASCI matrix'!$H$7:$Z$7,""))</f>
        <v/>
      </c>
      <c r="I56" s="8" t="inlineStr">
        <is>
          <t>Milestone</t>
        </is>
      </c>
      <c r="J56" s="8" t="inlineStr">
        <is>
          <t>Not yet started</t>
        </is>
      </c>
      <c r="L56" s="19">
        <f>IF(AND(L$7+6&gt;=$D56,L$7&lt;=$E56),"◆","")</f>
        <v/>
      </c>
      <c r="M56" s="19">
        <f>IF(AND(M$7+6&gt;=$D56,M$7&lt;=$E56),"◆","")</f>
        <v/>
      </c>
      <c r="N56" s="19">
        <f>IF(AND(N$7+6&gt;=$D56,N$7&lt;=$E56),"◆","")</f>
        <v/>
      </c>
      <c r="O56" s="19">
        <f>IF(AND(O$7+6&gt;=$D56,O$7&lt;=$E56),"◆","")</f>
        <v/>
      </c>
      <c r="P56" s="19">
        <f>IF(AND(P$7+6&gt;=$D56,P$7&lt;=$E56),"◆","")</f>
        <v/>
      </c>
      <c r="Q56" s="19">
        <f>IF(AND(Q$7+6&gt;=$D56,Q$7&lt;=$E56),"◆","")</f>
        <v/>
      </c>
      <c r="R56" s="19">
        <f>IF(AND(R$7+6&gt;=$D56,R$7&lt;=$E56),"◆","")</f>
        <v/>
      </c>
      <c r="S56" s="19">
        <f>IF(AND(S$7+6&gt;=$D56,S$7&lt;=$E56),"◆","")</f>
        <v/>
      </c>
      <c r="T56" s="19">
        <f>IF(AND(T$7+6&gt;=$D56,T$7&lt;=$E56),"◆","")</f>
        <v/>
      </c>
      <c r="U56" s="19">
        <f>IF(AND(U$7+6&gt;=$D56,U$7&lt;=$E56),"◆","")</f>
        <v/>
      </c>
      <c r="V56" s="19">
        <f>IF(AND(V$7+6&gt;=$D56,V$7&lt;=$E56),"◆","")</f>
        <v/>
      </c>
      <c r="W56" s="19">
        <f>IF(AND(W$7+6&gt;=$D56,W$7&lt;=$E56),"◆","")</f>
        <v/>
      </c>
      <c r="X56" s="19">
        <f>IF(AND(X$7+6&gt;=$D56,X$7&lt;=$E56),"◆","")</f>
        <v/>
      </c>
      <c r="Y56" s="19">
        <f>IF(AND(Y$7+6&gt;=$D56,Y$7&lt;=$E56),"◆","")</f>
        <v/>
      </c>
      <c r="Z56" s="19">
        <f>IF(AND(Z$7+6&gt;=$D56,Z$7&lt;=$E56),"◆","")</f>
        <v/>
      </c>
      <c r="AA56" s="19">
        <f>IF(AND(AA$7+6&gt;=$D56,AA$7&lt;=$E56),"◆","")</f>
        <v/>
      </c>
      <c r="AB56" s="19">
        <f>IF(AND(AB$7+6&gt;=$D56,AB$7&lt;=$E56),"◆","")</f>
        <v/>
      </c>
      <c r="AC56" s="19">
        <f>IF(AND(AC$7+6&gt;=$D56,AC$7&lt;=$E56),"◆","")</f>
        <v/>
      </c>
      <c r="AD56" s="19">
        <f>IF(AND(AD$7+6&gt;=$D56,AD$7&lt;=$E56),"◆","")</f>
        <v/>
      </c>
      <c r="AE56" s="19">
        <f>IF(AND(AE$7+6&gt;=$D56,AE$7&lt;=$E56),"◆","")</f>
        <v/>
      </c>
      <c r="AF56" s="19">
        <f>IF(AND(AF$7+6&gt;=$D56,AF$7&lt;=$E56),"◆","")</f>
        <v/>
      </c>
      <c r="AG56" s="19">
        <f>IF(AND(AG$7+6&gt;=$D56,AG$7&lt;=$E56),"◆","")</f>
        <v/>
      </c>
      <c r="AH56" s="19">
        <f>IF(AND(AH$7+6&gt;=$D56,AH$7&lt;=$E56),"◆","")</f>
        <v/>
      </c>
      <c r="AI56" s="19">
        <f>IF(AND(AI$7+6&gt;=$D56,AI$7&lt;=$E56),"◆","")</f>
        <v/>
      </c>
      <c r="AJ56" s="19">
        <f>IF(AND(AJ$7+6&gt;=$D56,AJ$7&lt;=$E56),"◆","")</f>
        <v/>
      </c>
      <c r="AK56" s="19">
        <f>IF(AND(AK$7+6&gt;=$D56,AK$7&lt;=$E56),"◆","")</f>
        <v/>
      </c>
      <c r="AL56" s="19">
        <f>IF(AND(AL$7+6&gt;=$D56,AL$7&lt;=$E56),"◆","")</f>
        <v/>
      </c>
      <c r="AM56" s="19">
        <f>IF(AND(AM$7+6&gt;=$D56,AM$7&lt;=$E56),"◆","")</f>
        <v/>
      </c>
      <c r="AN56" s="19">
        <f>IF(AND(AN$7+6&gt;=$D56,AN$7&lt;=$E56),"◆","")</f>
        <v/>
      </c>
      <c r="AO56" s="19">
        <f>IF(AND(AO$7+6&gt;=$D56,AO$7&lt;=$E56),"◆","")</f>
        <v/>
      </c>
      <c r="AP56" s="19">
        <f>IF(AND(AP$7+6&gt;=$D56,AP$7&lt;=$E56),"◆","")</f>
        <v/>
      </c>
      <c r="AQ56" s="19">
        <f>IF(AND(AQ$7+6&gt;=$D56,AQ$7&lt;=$E56),"◆","")</f>
        <v/>
      </c>
      <c r="AR56" s="19">
        <f>IF(AND(AR$7+6&gt;=$D56,AR$7&lt;=$E56),"◆","")</f>
        <v/>
      </c>
      <c r="AS56" s="19">
        <f>IF(AND(AS$7+6&gt;=$D56,AS$7&lt;=$E56),"◆","")</f>
        <v/>
      </c>
      <c r="AT56" s="19">
        <f>IF(AND(AT$7+6&gt;=$D56,AT$7&lt;=$E56),"◆","")</f>
        <v/>
      </c>
      <c r="AU56" s="19">
        <f>IF(AND(AU$7+6&gt;=$D56,AU$7&lt;=$E56),"◆","")</f>
        <v/>
      </c>
      <c r="AV56" s="19">
        <f>IF(AND(AV$7+6&gt;=$D56,AV$7&lt;=$E56),"◆","")</f>
        <v/>
      </c>
      <c r="AW56" s="19">
        <f>IF(AND(AW$7+6&gt;=$D56,AW$7&lt;=$E56),"◆","")</f>
        <v/>
      </c>
      <c r="AX56" s="19">
        <f>IF(AND(AX$7+6&gt;=$D56,AX$7&lt;=$E56),"◆","")</f>
        <v/>
      </c>
      <c r="AY56" s="19">
        <f>IF(AND(AY$7+6&gt;=$D56,AY$7&lt;=$E56),"◆","")</f>
        <v/>
      </c>
    </row>
    <row r="57" ht="39" customHeight="1">
      <c r="B57" s="8" t="inlineStr">
        <is>
          <t>Monitor engagement; project retrospective; improvements for 2027 cycle</t>
        </is>
      </c>
      <c r="C57" s="8" t="inlineStr"/>
      <c r="D57" s="17" t="n">
        <v>46539</v>
      </c>
      <c r="E57" s="17" t="n">
        <v>46598</v>
      </c>
      <c r="F57" s="18">
        <f>IF(D57="","",TEXT(D57,"d mmm")&amp;IF(E57&lt;&gt;D57," – "&amp;TEXT(E57,"d mmm"),""))</f>
        <v/>
      </c>
      <c r="G57" s="18">
        <f t="array" ref="G57">_xlfn.TEXTJOIN(", ",TRUE,IF(ISNUMBER(SEARCH("R",'P2.3 RASCI matrix'!$H57:$Z57)),'P2.3 RASCI matrix'!$H$7:$Z$7,""))</f>
        <v/>
      </c>
      <c r="H57" s="18">
        <f t="array" ref="H57">_xlfn.TEXTJOIN(", ",TRUE,IF(LEFT('P2.3 RASCI matrix'!$H57:$Z57,1)="A",'P2.3 RASCI matrix'!$H$7:$Z$7,""))</f>
        <v/>
      </c>
      <c r="I57" s="8" t="inlineStr">
        <is>
          <t>Medium</t>
        </is>
      </c>
      <c r="J57" s="8" t="inlineStr">
        <is>
          <t>Not yet started</t>
        </is>
      </c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</row>
  </sheetData>
  <conditionalFormatting sqref="L8:AY57">
    <cfRule type="expression" priority="1" dxfId="0" stopIfTrue="1">
      <formula>AND(AND($I8&lt;&gt;"Milestone",$D8&lt;&gt;"",L$7+6&gt;=$D8,L$7&lt;=$E8),$J8="Complete")</formula>
    </cfRule>
    <cfRule type="expression" priority="2" dxfId="1" stopIfTrue="1">
      <formula>AND($I8&lt;&gt;"Milestone",$D8&lt;&gt;"",L$7+6&gt;=$D8,L$7&lt;=$E8)</formula>
    </cfRule>
    <cfRule type="expression" priority="3" dxfId="2">
      <formula>AND(L$7&gt;=DATE(2026,12,21),L$7&lt;=DATE(2026,12,28))</formula>
    </cfRule>
    <cfRule type="expression" priority="4" dxfId="3">
      <formula>SUMPRODUCT(('P2.1 Governance deadlines'!$E$6:$E$11&gt;=L$7)*('P2.1 Governance deadlines'!$E$6:$E$11&lt;=L$7+6))&gt;0</formula>
    </cfRule>
  </conditionalFormatting>
  <conditionalFormatting sqref="L7:AY7">
    <cfRule type="expression" priority="5" dxfId="4">
      <formula>AND(TODAY()&gt;=L$7,TODAY()&lt;=L$7+6)</formula>
    </cfRule>
  </conditionalFormatting>
  <dataValidations count="1">
    <dataValidation sqref="J8:J57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5"/>
  <sheetViews>
    <sheetView showGridLines="0" workbookViewId="0">
      <pane xSplit="7" ySplit="7" topLeftCell="H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50" customWidth="1" min="3" max="3"/>
    <col width="20" customWidth="1" min="4" max="4"/>
    <col width="14" customWidth="1" min="5" max="5"/>
    <col width="13" customWidth="1" min="6" max="6"/>
    <col width="12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58" customHeight="1">
      <c r="A2" s="1" t="n"/>
      <c r="B2" s="2" t="inlineStr">
        <is>
          <t>P2.3 RASCI matrix – who does what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3" ht="22" customHeight="1">
      <c r="B3" s="11" t="inlineStr">
        <is>
          <t>A = Accountable (signs off) • R = Responsible (does the work) • S = Support • C = Consulted • I = Informed. Edit with the dropdown; Lead (R) and Accountable (A) on P2.2 Timeline update automatically. Rows match P2.2 Timeline row for row.</t>
        </is>
      </c>
    </row>
    <row r="4"/>
    <row r="5" ht="33" customHeight="1">
      <c r="G5" s="20" t="inlineStr">
        <is>
          <t>Group &gt;&gt;</t>
        </is>
      </c>
      <c r="H5" s="20" t="inlineStr">
        <is>
          <t>SST</t>
        </is>
      </c>
      <c r="I5" s="20" t="inlineStr">
        <is>
          <t>SST</t>
        </is>
      </c>
      <c r="J5" s="20" t="inlineStr">
        <is>
          <t>SST</t>
        </is>
      </c>
      <c r="K5" s="20" t="inlineStr">
        <is>
          <t>Leadership</t>
        </is>
      </c>
      <c r="L5" s="20" t="inlineStr">
        <is>
          <t>Leadership</t>
        </is>
      </c>
      <c r="M5" s="20" t="inlineStr">
        <is>
          <t>Leadership</t>
        </is>
      </c>
      <c r="N5" s="20" t="inlineStr">
        <is>
          <t>Governance</t>
        </is>
      </c>
      <c r="O5" s="20" t="inlineStr">
        <is>
          <t>Governance</t>
        </is>
      </c>
      <c r="P5" s="20" t="inlineStr">
        <is>
          <t>Governance</t>
        </is>
      </c>
      <c r="Q5" s="20" t="inlineStr">
        <is>
          <t>Governance</t>
        </is>
      </c>
      <c r="R5" s="20" t="inlineStr">
        <is>
          <t>Governance</t>
        </is>
      </c>
      <c r="S5" s="20" t="inlineStr">
        <is>
          <t>Comms &amp; web</t>
        </is>
      </c>
      <c r="T5" s="20" t="inlineStr">
        <is>
          <t>Comms &amp; web</t>
        </is>
      </c>
      <c r="U5" s="20" t="inlineStr">
        <is>
          <t>Contributors</t>
        </is>
      </c>
      <c r="V5" s="20" t="inlineStr">
        <is>
          <t>Contributors</t>
        </is>
      </c>
      <c r="W5" s="20" t="inlineStr">
        <is>
          <t>Contributors</t>
        </is>
      </c>
      <c r="X5" s="20" t="inlineStr">
        <is>
          <t>Contributors</t>
        </is>
      </c>
    </row>
    <row r="6" ht="60" customHeight="1">
      <c r="G6" s="21" t="inlineStr">
        <is>
          <t>Contact &gt;&gt;</t>
        </is>
      </c>
      <c r="H6" s="21" t="inlineStr">
        <is>
          <t>Sustainability Strategy team</t>
        </is>
      </c>
      <c r="I6" s="21" t="inlineStr">
        <is>
          <t>Stefanus</t>
        </is>
      </c>
      <c r="J6" s="21" t="inlineStr">
        <is>
          <t>Rose Hawkins</t>
        </is>
      </c>
      <c r="K6" s="21" t="inlineStr">
        <is>
          <t>Gerard Healey</t>
        </is>
      </c>
      <c r="L6" s="21" t="inlineStr">
        <is>
          <t>Director</t>
        </is>
      </c>
      <c r="M6" s="21" t="inlineStr">
        <is>
          <t>COO</t>
        </is>
      </c>
      <c r="N6" s="21" t="inlineStr">
        <is>
          <t>Convenor TBC</t>
        </is>
      </c>
      <c r="O6" s="21" t="inlineStr"/>
      <c r="P6" s="21" t="inlineStr"/>
      <c r="Q6" s="21" t="inlineStr"/>
      <c r="R6" s="21" t="inlineStr"/>
      <c r="S6" s="21" t="inlineStr"/>
      <c r="T6" s="21" t="inlineStr"/>
      <c r="U6" s="21" t="inlineStr">
        <is>
          <t>ADs</t>
        </is>
      </c>
      <c r="V6" s="21" t="inlineStr"/>
      <c r="W6" s="21" t="inlineStr"/>
      <c r="X6" s="21" t="inlineStr"/>
    </row>
    <row r="7" ht="130" customHeight="1">
      <c r="B7" s="7" t="inlineStr">
        <is>
          <t>No.</t>
        </is>
      </c>
      <c r="C7" s="7" t="inlineStr">
        <is>
          <t>Phase / key activity</t>
        </is>
      </c>
      <c r="D7" s="7" t="inlineStr">
        <is>
          <t>Key milestone</t>
        </is>
      </c>
      <c r="E7" s="7" t="inlineStr">
        <is>
          <t>When</t>
        </is>
      </c>
      <c r="F7" s="7" t="inlineStr">
        <is>
          <t>Status</t>
        </is>
      </c>
      <c r="G7" s="7" t="inlineStr">
        <is>
          <t>Activity area &gt;&gt;</t>
        </is>
      </c>
      <c r="H7" s="22" t="inlineStr">
        <is>
          <t>SST (team)</t>
        </is>
      </c>
      <c r="I7" s="22" t="inlineStr">
        <is>
          <t>Stefanus</t>
        </is>
      </c>
      <c r="J7" s="22" t="inlineStr">
        <is>
          <t>Rose</t>
        </is>
      </c>
      <c r="K7" s="22" t="inlineStr">
        <is>
          <t>Gerard Healey</t>
        </is>
      </c>
      <c r="L7" s="22" t="inlineStr">
        <is>
          <t>Director, Sustainability</t>
        </is>
      </c>
      <c r="M7" s="22" t="inlineStr">
        <is>
          <t>COO (sponsor)</t>
        </is>
      </c>
      <c r="N7" s="22" t="inlineStr">
        <is>
          <t>Review Group</t>
        </is>
      </c>
      <c r="O7" s="22" t="inlineStr">
        <is>
          <t>VCAG</t>
        </is>
      </c>
      <c r="P7" s="22" t="inlineStr">
        <is>
          <t>IMC</t>
        </is>
      </c>
      <c r="Q7" s="22" t="inlineStr">
        <is>
          <t>University Executive</t>
        </is>
      </c>
      <c r="R7" s="22" t="inlineStr">
        <is>
          <t>University Council</t>
        </is>
      </c>
      <c r="S7" s="22" t="inlineStr">
        <is>
          <t>Strategic Comms</t>
        </is>
      </c>
      <c r="T7" s="22" t="inlineStr">
        <is>
          <t>Comms / digital / design</t>
        </is>
      </c>
      <c r="U7" s="22" t="inlineStr">
        <is>
          <t>Faculties (ADs Sustainability)</t>
        </is>
      </c>
      <c r="V7" s="22" t="inlineStr">
        <is>
          <t>Central data owners</t>
        </is>
      </c>
      <c r="W7" s="22" t="inlineStr">
        <is>
          <t>Working groups</t>
        </is>
      </c>
      <c r="X7" s="22" t="inlineStr">
        <is>
          <t>Annual Report team</t>
        </is>
      </c>
    </row>
    <row r="8" ht="22" customHeight="1">
      <c r="B8" s="16" t="n"/>
      <c r="C8" s="15" t="inlineStr">
        <is>
          <t>Project set-up (Sep–Oct 2026)</t>
        </is>
      </c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</row>
    <row r="9" ht="22" customHeight="1">
      <c r="B9" s="8" t="n">
        <v>1</v>
      </c>
      <c r="C9" s="18">
        <f>'P2.2 Timeline'!B9</f>
        <v/>
      </c>
      <c r="D9" s="18">
        <f>'P2.2 Timeline'!C9</f>
        <v/>
      </c>
      <c r="E9" s="18">
        <f>'P2.2 Timeline'!F9</f>
        <v/>
      </c>
      <c r="F9" s="18">
        <f>'P2.2 Timeline'!J9</f>
        <v/>
      </c>
      <c r="G9" s="8" t="inlineStr"/>
      <c r="H9" s="23" t="inlineStr">
        <is>
          <t>R</t>
        </is>
      </c>
      <c r="I9" s="23" t="n"/>
      <c r="J9" s="23" t="n"/>
      <c r="K9" s="23" t="n"/>
      <c r="L9" s="23" t="inlineStr">
        <is>
          <t>A</t>
        </is>
      </c>
      <c r="M9" s="23" t="n"/>
      <c r="N9" s="23" t="n"/>
      <c r="O9" s="23" t="inlineStr">
        <is>
          <t>I</t>
        </is>
      </c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</row>
    <row r="10" ht="22" customHeight="1">
      <c r="B10" s="8" t="n">
        <v>2</v>
      </c>
      <c r="C10" s="18">
        <f>'P2.2 Timeline'!B10</f>
        <v/>
      </c>
      <c r="D10" s="18">
        <f>'P2.2 Timeline'!C10</f>
        <v/>
      </c>
      <c r="E10" s="18">
        <f>'P2.2 Timeline'!F10</f>
        <v/>
      </c>
      <c r="F10" s="18">
        <f>'P2.2 Timeline'!J10</f>
        <v/>
      </c>
      <c r="G10" s="8" t="inlineStr"/>
      <c r="H10" s="23" t="inlineStr">
        <is>
          <t>R</t>
        </is>
      </c>
      <c r="I10" s="23" t="n"/>
      <c r="J10" s="23" t="n"/>
      <c r="K10" s="23" t="n"/>
      <c r="L10" s="23" t="inlineStr">
        <is>
          <t>A</t>
        </is>
      </c>
      <c r="M10" s="23" t="n"/>
      <c r="N10" s="23" t="n"/>
      <c r="O10" s="23" t="n"/>
      <c r="P10" s="23" t="n"/>
      <c r="Q10" s="23" t="n"/>
      <c r="R10" s="23" t="n"/>
      <c r="S10" s="23" t="n"/>
      <c r="T10" s="23" t="inlineStr">
        <is>
          <t>C</t>
        </is>
      </c>
      <c r="U10" s="23" t="n"/>
      <c r="V10" s="23" t="n"/>
      <c r="W10" s="23" t="n"/>
      <c r="X10" s="23" t="n"/>
    </row>
    <row r="11" ht="22" customHeight="1">
      <c r="B11" s="8" t="n">
        <v>3</v>
      </c>
      <c r="C11" s="18">
        <f>'P2.2 Timeline'!B11</f>
        <v/>
      </c>
      <c r="D11" s="18">
        <f>'P2.2 Timeline'!C11</f>
        <v/>
      </c>
      <c r="E11" s="18">
        <f>'P2.2 Timeline'!F11</f>
        <v/>
      </c>
      <c r="F11" s="18">
        <f>'P2.2 Timeline'!J11</f>
        <v/>
      </c>
      <c r="G11" s="8" t="inlineStr"/>
      <c r="H11" s="23" t="n"/>
      <c r="I11" s="23" t="inlineStr">
        <is>
          <t>R</t>
        </is>
      </c>
      <c r="J11" s="23" t="inlineStr">
        <is>
          <t>S</t>
        </is>
      </c>
      <c r="K11" s="23" t="inlineStr">
        <is>
          <t>A</t>
        </is>
      </c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inlineStr">
        <is>
          <t>C</t>
        </is>
      </c>
      <c r="W11" s="23" t="n"/>
      <c r="X11" s="23" t="n"/>
    </row>
    <row r="12" ht="22" customHeight="1">
      <c r="B12" s="8" t="n">
        <v>4</v>
      </c>
      <c r="C12" s="18">
        <f>'P2.2 Timeline'!B12</f>
        <v/>
      </c>
      <c r="D12" s="18">
        <f>'P2.2 Timeline'!C12</f>
        <v/>
      </c>
      <c r="E12" s="18">
        <f>'P2.2 Timeline'!F12</f>
        <v/>
      </c>
      <c r="F12" s="18">
        <f>'P2.2 Timeline'!J12</f>
        <v/>
      </c>
      <c r="G12" s="8" t="inlineStr"/>
      <c r="H12" s="23" t="n"/>
      <c r="I12" s="23" t="inlineStr">
        <is>
          <t>R</t>
        </is>
      </c>
      <c r="J12" s="23" t="n"/>
      <c r="K12" s="23" t="inlineStr">
        <is>
          <t>A</t>
        </is>
      </c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</row>
    <row r="13" ht="22" customHeight="1">
      <c r="B13" s="8" t="n">
        <v>5</v>
      </c>
      <c r="C13" s="18">
        <f>'P2.2 Timeline'!B13</f>
        <v/>
      </c>
      <c r="D13" s="18">
        <f>'P2.2 Timeline'!C13</f>
        <v/>
      </c>
      <c r="E13" s="18">
        <f>'P2.2 Timeline'!F13</f>
        <v/>
      </c>
      <c r="F13" s="18">
        <f>'P2.2 Timeline'!J13</f>
        <v/>
      </c>
      <c r="G13" s="8" t="inlineStr"/>
      <c r="H13" s="23" t="n"/>
      <c r="I13" s="23" t="inlineStr">
        <is>
          <t>R</t>
        </is>
      </c>
      <c r="J13" s="23" t="n"/>
      <c r="K13" s="23" t="inlineStr">
        <is>
          <t>A</t>
        </is>
      </c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inlineStr">
        <is>
          <t>C</t>
        </is>
      </c>
      <c r="V13" s="23" t="n"/>
      <c r="W13" s="23" t="n"/>
      <c r="X13" s="23" t="n"/>
    </row>
    <row r="14" ht="22" customHeight="1">
      <c r="B14" s="8" t="n">
        <v>6</v>
      </c>
      <c r="C14" s="18">
        <f>'P2.2 Timeline'!B14</f>
        <v/>
      </c>
      <c r="D14" s="18">
        <f>'P2.2 Timeline'!C14</f>
        <v/>
      </c>
      <c r="E14" s="18">
        <f>'P2.2 Timeline'!F14</f>
        <v/>
      </c>
      <c r="F14" s="18">
        <f>'P2.2 Timeline'!J14</f>
        <v/>
      </c>
      <c r="G14" s="8" t="inlineStr"/>
      <c r="H14" s="23" t="inlineStr">
        <is>
          <t>R</t>
        </is>
      </c>
      <c r="I14" s="23" t="n"/>
      <c r="J14" s="23" t="n"/>
      <c r="K14" s="23" t="n"/>
      <c r="L14" s="23" t="inlineStr">
        <is>
          <t>A</t>
        </is>
      </c>
      <c r="M14" s="23" t="n"/>
      <c r="N14" s="23" t="inlineStr">
        <is>
          <t>C</t>
        </is>
      </c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</row>
    <row r="15" ht="22" customHeight="1">
      <c r="B15" s="16" t="n"/>
      <c r="C15" s="15" t="inlineStr">
        <is>
          <t>Process design &amp; launch (Oct 2026)</t>
        </is>
      </c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</row>
    <row r="16" ht="22" customHeight="1">
      <c r="B16" s="8" t="n">
        <v>7</v>
      </c>
      <c r="C16" s="18">
        <f>'P2.2 Timeline'!B16</f>
        <v/>
      </c>
      <c r="D16" s="18">
        <f>'P2.2 Timeline'!C16</f>
        <v/>
      </c>
      <c r="E16" s="18">
        <f>'P2.2 Timeline'!F16</f>
        <v/>
      </c>
      <c r="F16" s="18">
        <f>'P2.2 Timeline'!J16</f>
        <v/>
      </c>
      <c r="G16" s="8" t="inlineStr"/>
      <c r="H16" s="23" t="n"/>
      <c r="I16" s="23" t="inlineStr">
        <is>
          <t>R</t>
        </is>
      </c>
      <c r="J16" s="23" t="n"/>
      <c r="K16" s="23" t="inlineStr">
        <is>
          <t>A</t>
        </is>
      </c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</row>
    <row r="17" ht="22" customHeight="1">
      <c r="B17" s="8" t="n">
        <v>8</v>
      </c>
      <c r="C17" s="18">
        <f>'P2.2 Timeline'!B17</f>
        <v/>
      </c>
      <c r="D17" s="18">
        <f>'P2.2 Timeline'!C17</f>
        <v/>
      </c>
      <c r="E17" s="18">
        <f>'P2.2 Timeline'!F17</f>
        <v/>
      </c>
      <c r="F17" s="18">
        <f>'P2.2 Timeline'!J17</f>
        <v/>
      </c>
      <c r="G17" s="8" t="inlineStr"/>
      <c r="H17" s="23" t="inlineStr">
        <is>
          <t>R</t>
        </is>
      </c>
      <c r="I17" s="23" t="n"/>
      <c r="J17" s="23" t="n"/>
      <c r="K17" s="23" t="n"/>
      <c r="L17" s="23" t="inlineStr">
        <is>
          <t>A</t>
        </is>
      </c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inlineStr">
        <is>
          <t>C</t>
        </is>
      </c>
    </row>
    <row r="18" ht="22" customHeight="1">
      <c r="B18" s="8" t="n">
        <v>9</v>
      </c>
      <c r="C18" s="18">
        <f>'P2.2 Timeline'!B18</f>
        <v/>
      </c>
      <c r="D18" s="18">
        <f>'P2.2 Timeline'!C18</f>
        <v/>
      </c>
      <c r="E18" s="18">
        <f>'P2.2 Timeline'!F18</f>
        <v/>
      </c>
      <c r="F18" s="18">
        <f>'P2.2 Timeline'!J18</f>
        <v/>
      </c>
      <c r="G18" s="8" t="inlineStr"/>
      <c r="H18" s="23" t="inlineStr">
        <is>
          <t>R</t>
        </is>
      </c>
      <c r="I18" s="23" t="n"/>
      <c r="J18" s="23" t="n"/>
      <c r="K18" s="23" t="n"/>
      <c r="L18" s="23" t="inlineStr">
        <is>
          <t>A</t>
        </is>
      </c>
      <c r="M18" s="23" t="n"/>
      <c r="N18" s="23" t="n"/>
      <c r="O18" s="23" t="n"/>
      <c r="P18" s="23" t="n"/>
      <c r="Q18" s="23" t="n"/>
      <c r="R18" s="23" t="n"/>
      <c r="S18" s="23" t="inlineStr">
        <is>
          <t>S</t>
        </is>
      </c>
      <c r="T18" s="23" t="inlineStr">
        <is>
          <t>C</t>
        </is>
      </c>
      <c r="U18" s="23" t="n"/>
      <c r="V18" s="23" t="n"/>
      <c r="W18" s="23" t="n"/>
      <c r="X18" s="23" t="n"/>
    </row>
    <row r="19" ht="22" customHeight="1">
      <c r="B19" s="8" t="n">
        <v>10</v>
      </c>
      <c r="C19" s="18">
        <f>'P2.2 Timeline'!B19</f>
        <v/>
      </c>
      <c r="D19" s="18">
        <f>'P2.2 Timeline'!C19</f>
        <v/>
      </c>
      <c r="E19" s="18">
        <f>'P2.2 Timeline'!F19</f>
        <v/>
      </c>
      <c r="F19" s="18">
        <f>'P2.2 Timeline'!J19</f>
        <v/>
      </c>
      <c r="G19" s="8" t="inlineStr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</row>
    <row r="20" ht="22" customHeight="1">
      <c r="B20" s="8" t="n">
        <v>11</v>
      </c>
      <c r="C20" s="18">
        <f>'P2.2 Timeline'!B20</f>
        <v/>
      </c>
      <c r="D20" s="18">
        <f>'P2.2 Timeline'!C20</f>
        <v/>
      </c>
      <c r="E20" s="18">
        <f>'P2.2 Timeline'!F20</f>
        <v/>
      </c>
      <c r="F20" s="18">
        <f>'P2.2 Timeline'!J20</f>
        <v/>
      </c>
      <c r="G20" s="8" t="inlineStr"/>
      <c r="H20" s="23" t="inlineStr">
        <is>
          <t>R</t>
        </is>
      </c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inlineStr">
        <is>
          <t>C</t>
        </is>
      </c>
      <c r="X20" s="23" t="n"/>
    </row>
    <row r="21" ht="22" customHeight="1">
      <c r="B21" s="8" t="n">
        <v>12</v>
      </c>
      <c r="C21" s="18">
        <f>'P2.2 Timeline'!B21</f>
        <v/>
      </c>
      <c r="D21" s="18">
        <f>'P2.2 Timeline'!C21</f>
        <v/>
      </c>
      <c r="E21" s="18">
        <f>'P2.2 Timeline'!F21</f>
        <v/>
      </c>
      <c r="F21" s="18">
        <f>'P2.2 Timeline'!J21</f>
        <v/>
      </c>
      <c r="G21" s="8" t="inlineStr"/>
      <c r="H21" s="23" t="inlineStr">
        <is>
          <t>R</t>
        </is>
      </c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inlineStr">
        <is>
          <t>C</t>
        </is>
      </c>
      <c r="V21" s="23" t="n"/>
      <c r="W21" s="23" t="n"/>
      <c r="X21" s="23" t="n"/>
    </row>
    <row r="22" ht="22" customHeight="1">
      <c r="B22" s="8" t="n">
        <v>13</v>
      </c>
      <c r="C22" s="18">
        <f>'P2.2 Timeline'!B22</f>
        <v/>
      </c>
      <c r="D22" s="18">
        <f>'P2.2 Timeline'!C22</f>
        <v/>
      </c>
      <c r="E22" s="18">
        <f>'P2.2 Timeline'!F22</f>
        <v/>
      </c>
      <c r="F22" s="18">
        <f>'P2.2 Timeline'!J22</f>
        <v/>
      </c>
      <c r="G22" s="8" t="inlineStr"/>
      <c r="H22" s="23" t="inlineStr">
        <is>
          <t>R</t>
        </is>
      </c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inlineStr">
        <is>
          <t>C</t>
        </is>
      </c>
      <c r="V22" s="23" t="inlineStr">
        <is>
          <t>C</t>
        </is>
      </c>
      <c r="W22" s="23" t="n"/>
      <c r="X22" s="23" t="n"/>
    </row>
    <row r="23" ht="22" customHeight="1">
      <c r="B23" s="16" t="n"/>
      <c r="C23" s="15" t="inlineStr">
        <is>
          <t>Collection &amp; evidence (Nov–Dec 2026)</t>
        </is>
      </c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</row>
    <row r="24" ht="22" customHeight="1">
      <c r="B24" s="8" t="n">
        <v>14</v>
      </c>
      <c r="C24" s="18">
        <f>'P2.2 Timeline'!B24</f>
        <v/>
      </c>
      <c r="D24" s="18">
        <f>'P2.2 Timeline'!C24</f>
        <v/>
      </c>
      <c r="E24" s="18">
        <f>'P2.2 Timeline'!F24</f>
        <v/>
      </c>
      <c r="F24" s="18">
        <f>'P2.2 Timeline'!J24</f>
        <v/>
      </c>
      <c r="G24" s="8" t="inlineStr"/>
      <c r="H24" s="23" t="inlineStr">
        <is>
          <t>R</t>
        </is>
      </c>
      <c r="I24" s="23" t="n"/>
      <c r="J24" s="23" t="n"/>
      <c r="K24" s="23" t="n"/>
      <c r="L24" s="23" t="inlineStr">
        <is>
          <t>A</t>
        </is>
      </c>
      <c r="M24" s="23" t="inlineStr">
        <is>
          <t>S</t>
        </is>
      </c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</row>
    <row r="25" ht="22" customHeight="1">
      <c r="B25" s="8" t="n">
        <v>15</v>
      </c>
      <c r="C25" s="18">
        <f>'P2.2 Timeline'!B25</f>
        <v/>
      </c>
      <c r="D25" s="18">
        <f>'P2.2 Timeline'!C25</f>
        <v/>
      </c>
      <c r="E25" s="18">
        <f>'P2.2 Timeline'!F25</f>
        <v/>
      </c>
      <c r="F25" s="18">
        <f>'P2.2 Timeline'!J25</f>
        <v/>
      </c>
      <c r="G25" s="8" t="inlineStr"/>
      <c r="H25" s="23" t="inlineStr">
        <is>
          <t>S</t>
        </is>
      </c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inlineStr">
        <is>
          <t>R</t>
        </is>
      </c>
      <c r="V25" s="23" t="inlineStr">
        <is>
          <t>R</t>
        </is>
      </c>
      <c r="W25" s="23" t="n"/>
      <c r="X25" s="23" t="n"/>
    </row>
    <row r="26" ht="22" customHeight="1">
      <c r="B26" s="8" t="n">
        <v>16</v>
      </c>
      <c r="C26" s="18">
        <f>'P2.2 Timeline'!B26</f>
        <v/>
      </c>
      <c r="D26" s="18">
        <f>'P2.2 Timeline'!C26</f>
        <v/>
      </c>
      <c r="E26" s="18">
        <f>'P2.2 Timeline'!F26</f>
        <v/>
      </c>
      <c r="F26" s="18">
        <f>'P2.2 Timeline'!J26</f>
        <v/>
      </c>
      <c r="G26" s="8" t="inlineStr"/>
      <c r="H26" s="23" t="inlineStr">
        <is>
          <t>R</t>
        </is>
      </c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</row>
    <row r="27" ht="22" customHeight="1">
      <c r="B27" s="8" t="n">
        <v>17</v>
      </c>
      <c r="C27" s="18">
        <f>'P2.2 Timeline'!B27</f>
        <v/>
      </c>
      <c r="D27" s="18">
        <f>'P2.2 Timeline'!C27</f>
        <v/>
      </c>
      <c r="E27" s="18">
        <f>'P2.2 Timeline'!F27</f>
        <v/>
      </c>
      <c r="F27" s="18">
        <f>'P2.2 Timeline'!J27</f>
        <v/>
      </c>
      <c r="G27" s="8" t="inlineStr"/>
      <c r="H27" s="23" t="inlineStr">
        <is>
          <t>R</t>
        </is>
      </c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inlineStr">
        <is>
          <t>C</t>
        </is>
      </c>
      <c r="W27" s="23" t="n"/>
      <c r="X27" s="23" t="n"/>
    </row>
    <row r="28" ht="22" customHeight="1">
      <c r="B28" s="8" t="n">
        <v>18</v>
      </c>
      <c r="C28" s="18">
        <f>'P2.2 Timeline'!B28</f>
        <v/>
      </c>
      <c r="D28" s="18">
        <f>'P2.2 Timeline'!C28</f>
        <v/>
      </c>
      <c r="E28" s="18">
        <f>'P2.2 Timeline'!F28</f>
        <v/>
      </c>
      <c r="F28" s="18">
        <f>'P2.2 Timeline'!J28</f>
        <v/>
      </c>
      <c r="G28" s="8" t="inlineStr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</row>
    <row r="29" ht="22" customHeight="1">
      <c r="B29" s="16" t="n"/>
      <c r="C29" s="15" t="inlineStr">
        <is>
          <t>Drafting, validation &amp; governance papers (Jan–May 2027)</t>
        </is>
      </c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</row>
    <row r="30" ht="22" customHeight="1">
      <c r="B30" s="8" t="n">
        <v>19</v>
      </c>
      <c r="C30" s="18">
        <f>'P2.2 Timeline'!B30</f>
        <v/>
      </c>
      <c r="D30" s="18">
        <f>'P2.2 Timeline'!C30</f>
        <v/>
      </c>
      <c r="E30" s="18">
        <f>'P2.2 Timeline'!F30</f>
        <v/>
      </c>
      <c r="F30" s="18">
        <f>'P2.2 Timeline'!J30</f>
        <v/>
      </c>
      <c r="G30" s="8" t="inlineStr"/>
      <c r="H30" s="23" t="inlineStr">
        <is>
          <t>R</t>
        </is>
      </c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</row>
    <row r="31" ht="22" customHeight="1">
      <c r="B31" s="8" t="n">
        <v>20</v>
      </c>
      <c r="C31" s="18">
        <f>'P2.2 Timeline'!B31</f>
        <v/>
      </c>
      <c r="D31" s="18">
        <f>'P2.2 Timeline'!C31</f>
        <v/>
      </c>
      <c r="E31" s="18">
        <f>'P2.2 Timeline'!F31</f>
        <v/>
      </c>
      <c r="F31" s="18">
        <f>'P2.2 Timeline'!J31</f>
        <v/>
      </c>
      <c r="G31" s="8" t="inlineStr"/>
      <c r="H31" s="23" t="inlineStr">
        <is>
          <t>R</t>
        </is>
      </c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inlineStr">
        <is>
          <t>C</t>
        </is>
      </c>
      <c r="W31" s="23" t="n"/>
      <c r="X31" s="23" t="n"/>
    </row>
    <row r="32" ht="22" customHeight="1">
      <c r="B32" s="8" t="n">
        <v>21</v>
      </c>
      <c r="C32" s="18">
        <f>'P2.2 Timeline'!B32</f>
        <v/>
      </c>
      <c r="D32" s="18">
        <f>'P2.2 Timeline'!C32</f>
        <v/>
      </c>
      <c r="E32" s="18">
        <f>'P2.2 Timeline'!F32</f>
        <v/>
      </c>
      <c r="F32" s="18">
        <f>'P2.2 Timeline'!J32</f>
        <v/>
      </c>
      <c r="G32" s="8" t="inlineStr"/>
      <c r="H32" s="23" t="inlineStr">
        <is>
          <t>R</t>
        </is>
      </c>
      <c r="I32" s="23" t="n"/>
      <c r="J32" s="23" t="n"/>
      <c r="K32" s="23" t="n"/>
      <c r="L32" s="23" t="inlineStr">
        <is>
          <t>A</t>
        </is>
      </c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</row>
    <row r="33" ht="22" customHeight="1">
      <c r="B33" s="8" t="n">
        <v>22</v>
      </c>
      <c r="C33" s="18">
        <f>'P2.2 Timeline'!B33</f>
        <v/>
      </c>
      <c r="D33" s="18">
        <f>'P2.2 Timeline'!C33</f>
        <v/>
      </c>
      <c r="E33" s="18">
        <f>'P2.2 Timeline'!F33</f>
        <v/>
      </c>
      <c r="F33" s="18">
        <f>'P2.2 Timeline'!J33</f>
        <v/>
      </c>
      <c r="G33" s="8" t="inlineStr"/>
      <c r="H33" s="23" t="inlineStr">
        <is>
          <t>R</t>
        </is>
      </c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inlineStr">
        <is>
          <t>S</t>
        </is>
      </c>
      <c r="W33" s="23" t="n"/>
      <c r="X33" s="23" t="n"/>
    </row>
    <row r="34" ht="22" customHeight="1">
      <c r="B34" s="8" t="n">
        <v>23</v>
      </c>
      <c r="C34" s="18">
        <f>'P2.2 Timeline'!B34</f>
        <v/>
      </c>
      <c r="D34" s="18">
        <f>'P2.2 Timeline'!C34</f>
        <v/>
      </c>
      <c r="E34" s="18">
        <f>'P2.2 Timeline'!F34</f>
        <v/>
      </c>
      <c r="F34" s="18">
        <f>'P2.2 Timeline'!J34</f>
        <v/>
      </c>
      <c r="G34" s="8" t="inlineStr"/>
      <c r="H34" s="23" t="inlineStr">
        <is>
          <t>S</t>
        </is>
      </c>
      <c r="I34" s="23" t="n"/>
      <c r="J34" s="23" t="inlineStr">
        <is>
          <t>R</t>
        </is>
      </c>
      <c r="K34" s="23" t="n"/>
      <c r="L34" s="23" t="inlineStr">
        <is>
          <t>A</t>
        </is>
      </c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</row>
    <row r="35" ht="22" customHeight="1">
      <c r="B35" s="8" t="n">
        <v>24</v>
      </c>
      <c r="C35" s="18">
        <f>'P2.2 Timeline'!B35</f>
        <v/>
      </c>
      <c r="D35" s="18">
        <f>'P2.2 Timeline'!C35</f>
        <v/>
      </c>
      <c r="E35" s="18">
        <f>'P2.2 Timeline'!F35</f>
        <v/>
      </c>
      <c r="F35" s="18">
        <f>'P2.2 Timeline'!J35</f>
        <v/>
      </c>
      <c r="G35" s="8" t="inlineStr"/>
      <c r="H35" s="23" t="inlineStr">
        <is>
          <t>R</t>
        </is>
      </c>
      <c r="I35" s="23" t="n"/>
      <c r="J35" s="23" t="n"/>
      <c r="K35" s="23" t="n"/>
      <c r="L35" s="23" t="inlineStr">
        <is>
          <t>A</t>
        </is>
      </c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</row>
    <row r="36" ht="22" customHeight="1">
      <c r="B36" s="8" t="n">
        <v>25</v>
      </c>
      <c r="C36" s="18">
        <f>'P2.2 Timeline'!B36</f>
        <v/>
      </c>
      <c r="D36" s="18">
        <f>'P2.2 Timeline'!C36</f>
        <v/>
      </c>
      <c r="E36" s="18">
        <f>'P2.2 Timeline'!F36</f>
        <v/>
      </c>
      <c r="F36" s="18">
        <f>'P2.2 Timeline'!J36</f>
        <v/>
      </c>
      <c r="G36" s="8" t="inlineStr"/>
      <c r="H36" s="23" t="inlineStr">
        <is>
          <t>R</t>
        </is>
      </c>
      <c r="I36" s="23" t="n"/>
      <c r="J36" s="23" t="n"/>
      <c r="K36" s="23" t="n"/>
      <c r="L36" s="23" t="inlineStr">
        <is>
          <t>A</t>
        </is>
      </c>
      <c r="M36" s="23" t="n"/>
      <c r="N36" s="23" t="inlineStr">
        <is>
          <t>I</t>
        </is>
      </c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</row>
    <row r="37" ht="22" customHeight="1">
      <c r="B37" s="8" t="n">
        <v>26</v>
      </c>
      <c r="C37" s="18">
        <f>'P2.2 Timeline'!B37</f>
        <v/>
      </c>
      <c r="D37" s="18">
        <f>'P2.2 Timeline'!C37</f>
        <v/>
      </c>
      <c r="E37" s="18">
        <f>'P2.2 Timeline'!F37</f>
        <v/>
      </c>
      <c r="F37" s="18">
        <f>'P2.2 Timeline'!J37</f>
        <v/>
      </c>
      <c r="G37" s="8" t="inlineStr"/>
      <c r="H37" s="23" t="inlineStr">
        <is>
          <t>R</t>
        </is>
      </c>
      <c r="I37" s="23" t="n"/>
      <c r="J37" s="23" t="n"/>
      <c r="K37" s="23" t="n"/>
      <c r="L37" s="23" t="inlineStr">
        <is>
          <t>A</t>
        </is>
      </c>
      <c r="M37" s="23" t="n"/>
      <c r="N37" s="23" t="inlineStr">
        <is>
          <t>I</t>
        </is>
      </c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</row>
    <row r="38" ht="22" customHeight="1">
      <c r="B38" s="8" t="n">
        <v>27</v>
      </c>
      <c r="C38" s="18">
        <f>'P2.2 Timeline'!B38</f>
        <v/>
      </c>
      <c r="D38" s="18">
        <f>'P2.2 Timeline'!C38</f>
        <v/>
      </c>
      <c r="E38" s="18">
        <f>'P2.2 Timeline'!F38</f>
        <v/>
      </c>
      <c r="F38" s="18">
        <f>'P2.2 Timeline'!J38</f>
        <v/>
      </c>
      <c r="G38" s="8" t="inlineStr"/>
      <c r="H38" s="23" t="inlineStr">
        <is>
          <t>S</t>
        </is>
      </c>
      <c r="I38" s="23" t="n"/>
      <c r="J38" s="23" t="n"/>
      <c r="K38" s="23" t="n"/>
      <c r="L38" s="23" t="inlineStr">
        <is>
          <t>R</t>
        </is>
      </c>
      <c r="M38" s="23" t="n"/>
      <c r="N38" s="23" t="inlineStr">
        <is>
          <t>C</t>
        </is>
      </c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</row>
    <row r="39" ht="22" customHeight="1">
      <c r="B39" s="8" t="n">
        <v>28</v>
      </c>
      <c r="C39" s="18">
        <f>'P2.2 Timeline'!B39</f>
        <v/>
      </c>
      <c r="D39" s="18">
        <f>'P2.2 Timeline'!C39</f>
        <v/>
      </c>
      <c r="E39" s="18">
        <f>'P2.2 Timeline'!F39</f>
        <v/>
      </c>
      <c r="F39" s="18">
        <f>'P2.2 Timeline'!J39</f>
        <v/>
      </c>
      <c r="G39" s="8" t="inlineStr"/>
      <c r="H39" s="23" t="inlineStr">
        <is>
          <t>R</t>
        </is>
      </c>
      <c r="I39" s="23" t="n"/>
      <c r="J39" s="23" t="n"/>
      <c r="K39" s="23" t="n"/>
      <c r="L39" s="23" t="inlineStr">
        <is>
          <t>A</t>
        </is>
      </c>
      <c r="M39" s="23" t="n"/>
      <c r="N39" s="23" t="n"/>
      <c r="O39" s="23" t="inlineStr">
        <is>
          <t>I</t>
        </is>
      </c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</row>
    <row r="40" ht="22" customHeight="1">
      <c r="B40" s="8" t="n">
        <v>29</v>
      </c>
      <c r="C40" s="18">
        <f>'P2.2 Timeline'!B40</f>
        <v/>
      </c>
      <c r="D40" s="18">
        <f>'P2.2 Timeline'!C40</f>
        <v/>
      </c>
      <c r="E40" s="18">
        <f>'P2.2 Timeline'!F40</f>
        <v/>
      </c>
      <c r="F40" s="18">
        <f>'P2.2 Timeline'!J40</f>
        <v/>
      </c>
      <c r="G40" s="8" t="inlineStr"/>
      <c r="H40" s="23" t="inlineStr">
        <is>
          <t>R</t>
        </is>
      </c>
      <c r="I40" s="23" t="n"/>
      <c r="J40" s="23" t="n"/>
      <c r="K40" s="23" t="n"/>
      <c r="L40" s="23" t="inlineStr">
        <is>
          <t>A</t>
        </is>
      </c>
      <c r="M40" s="23" t="n"/>
      <c r="N40" s="23" t="n"/>
      <c r="O40" s="23" t="inlineStr">
        <is>
          <t>I</t>
        </is>
      </c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</row>
    <row r="41" ht="22" customHeight="1">
      <c r="B41" s="8" t="n">
        <v>30</v>
      </c>
      <c r="C41" s="18">
        <f>'P2.2 Timeline'!B41</f>
        <v/>
      </c>
      <c r="D41" s="18">
        <f>'P2.2 Timeline'!C41</f>
        <v/>
      </c>
      <c r="E41" s="18">
        <f>'P2.2 Timeline'!F41</f>
        <v/>
      </c>
      <c r="F41" s="18">
        <f>'P2.2 Timeline'!J41</f>
        <v/>
      </c>
      <c r="G41" s="8" t="inlineStr"/>
      <c r="H41" s="23" t="inlineStr">
        <is>
          <t>S</t>
        </is>
      </c>
      <c r="I41" s="23" t="n"/>
      <c r="J41" s="23" t="n"/>
      <c r="K41" s="23" t="n"/>
      <c r="L41" s="23" t="inlineStr">
        <is>
          <t>R</t>
        </is>
      </c>
      <c r="M41" s="23" t="n"/>
      <c r="N41" s="23" t="n"/>
      <c r="O41" s="23" t="inlineStr">
        <is>
          <t>C</t>
        </is>
      </c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</row>
    <row r="42" ht="22" customHeight="1">
      <c r="B42" s="8" t="n">
        <v>31</v>
      </c>
      <c r="C42" s="18">
        <f>'P2.2 Timeline'!B42</f>
        <v/>
      </c>
      <c r="D42" s="18">
        <f>'P2.2 Timeline'!C42</f>
        <v/>
      </c>
      <c r="E42" s="18">
        <f>'P2.2 Timeline'!F42</f>
        <v/>
      </c>
      <c r="F42" s="18">
        <f>'P2.2 Timeline'!J42</f>
        <v/>
      </c>
      <c r="G42" s="8" t="inlineStr"/>
      <c r="H42" s="23" t="inlineStr">
        <is>
          <t>R</t>
        </is>
      </c>
      <c r="I42" s="23" t="n"/>
      <c r="J42" s="23" t="n"/>
      <c r="K42" s="23" t="n"/>
      <c r="L42" s="23" t="inlineStr">
        <is>
          <t>A</t>
        </is>
      </c>
      <c r="M42" s="23" t="n"/>
      <c r="N42" s="23" t="n"/>
      <c r="O42" s="23" t="n"/>
      <c r="P42" s="23" t="inlineStr">
        <is>
          <t>I</t>
        </is>
      </c>
      <c r="Q42" s="23" t="n"/>
      <c r="R42" s="23" t="n"/>
      <c r="S42" s="23" t="n"/>
      <c r="T42" s="23" t="n"/>
      <c r="U42" s="23" t="n"/>
      <c r="V42" s="23" t="n"/>
      <c r="W42" s="23" t="n"/>
      <c r="X42" s="23" t="n"/>
    </row>
    <row r="43" ht="22" customHeight="1">
      <c r="B43" s="8" t="n">
        <v>32</v>
      </c>
      <c r="C43" s="18">
        <f>'P2.2 Timeline'!B43</f>
        <v/>
      </c>
      <c r="D43" s="18">
        <f>'P2.2 Timeline'!C43</f>
        <v/>
      </c>
      <c r="E43" s="18">
        <f>'P2.2 Timeline'!F43</f>
        <v/>
      </c>
      <c r="F43" s="18">
        <f>'P2.2 Timeline'!J43</f>
        <v/>
      </c>
      <c r="G43" s="8" t="inlineStr"/>
      <c r="H43" s="23" t="inlineStr">
        <is>
          <t>R</t>
        </is>
      </c>
      <c r="I43" s="23" t="n"/>
      <c r="J43" s="23" t="n"/>
      <c r="K43" s="23" t="n"/>
      <c r="L43" s="23" t="inlineStr">
        <is>
          <t>A</t>
        </is>
      </c>
      <c r="M43" s="23" t="n"/>
      <c r="N43" s="23" t="n"/>
      <c r="O43" s="23" t="n"/>
      <c r="P43" s="23" t="inlineStr">
        <is>
          <t>I</t>
        </is>
      </c>
      <c r="Q43" s="23" t="n"/>
      <c r="R43" s="23" t="n"/>
      <c r="S43" s="23" t="n"/>
      <c r="T43" s="23" t="n"/>
      <c r="U43" s="23" t="n"/>
      <c r="V43" s="23" t="n"/>
      <c r="W43" s="23" t="n"/>
      <c r="X43" s="23" t="n"/>
    </row>
    <row r="44" ht="22" customHeight="1">
      <c r="B44" s="8" t="n">
        <v>33</v>
      </c>
      <c r="C44" s="18">
        <f>'P2.2 Timeline'!B44</f>
        <v/>
      </c>
      <c r="D44" s="18">
        <f>'P2.2 Timeline'!C44</f>
        <v/>
      </c>
      <c r="E44" s="18">
        <f>'P2.2 Timeline'!F44</f>
        <v/>
      </c>
      <c r="F44" s="18">
        <f>'P2.2 Timeline'!J44</f>
        <v/>
      </c>
      <c r="G44" s="8" t="inlineStr"/>
      <c r="H44" s="23" t="inlineStr">
        <is>
          <t>S</t>
        </is>
      </c>
      <c r="I44" s="23" t="n"/>
      <c r="J44" s="23" t="n"/>
      <c r="K44" s="23" t="n"/>
      <c r="L44" s="23" t="inlineStr">
        <is>
          <t>R</t>
        </is>
      </c>
      <c r="M44" s="23" t="n"/>
      <c r="N44" s="23" t="n"/>
      <c r="O44" s="23" t="n"/>
      <c r="P44" s="23" t="inlineStr">
        <is>
          <t>C</t>
        </is>
      </c>
      <c r="Q44" s="23" t="n"/>
      <c r="R44" s="23" t="n"/>
      <c r="S44" s="23" t="n"/>
      <c r="T44" s="23" t="n"/>
      <c r="U44" s="23" t="n"/>
      <c r="V44" s="23" t="n"/>
      <c r="W44" s="23" t="n"/>
      <c r="X44" s="23" t="n"/>
    </row>
    <row r="45" ht="22" customHeight="1">
      <c r="B45" s="8" t="n">
        <v>34</v>
      </c>
      <c r="C45" s="18">
        <f>'P2.2 Timeline'!B45</f>
        <v/>
      </c>
      <c r="D45" s="18">
        <f>'P2.2 Timeline'!C45</f>
        <v/>
      </c>
      <c r="E45" s="18">
        <f>'P2.2 Timeline'!F45</f>
        <v/>
      </c>
      <c r="F45" s="18">
        <f>'P2.2 Timeline'!J45</f>
        <v/>
      </c>
      <c r="G45" s="8" t="inlineStr"/>
      <c r="H45" s="23" t="inlineStr">
        <is>
          <t>R</t>
        </is>
      </c>
      <c r="I45" s="23" t="n"/>
      <c r="J45" s="23" t="n"/>
      <c r="K45" s="23" t="n"/>
      <c r="L45" s="23" t="inlineStr">
        <is>
          <t>A</t>
        </is>
      </c>
      <c r="M45" s="23" t="n"/>
      <c r="N45" s="23" t="n"/>
      <c r="O45" s="23" t="inlineStr">
        <is>
          <t>I</t>
        </is>
      </c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</row>
    <row r="46" ht="22" customHeight="1">
      <c r="B46" s="8" t="n">
        <v>35</v>
      </c>
      <c r="C46" s="18">
        <f>'P2.2 Timeline'!B46</f>
        <v/>
      </c>
      <c r="D46" s="18">
        <f>'P2.2 Timeline'!C46</f>
        <v/>
      </c>
      <c r="E46" s="18">
        <f>'P2.2 Timeline'!F46</f>
        <v/>
      </c>
      <c r="F46" s="18">
        <f>'P2.2 Timeline'!J46</f>
        <v/>
      </c>
      <c r="G46" s="8" t="inlineStr"/>
      <c r="H46" s="23" t="inlineStr">
        <is>
          <t>R</t>
        </is>
      </c>
      <c r="I46" s="23" t="n"/>
      <c r="J46" s="23" t="n"/>
      <c r="K46" s="23" t="n"/>
      <c r="L46" s="23" t="inlineStr">
        <is>
          <t>A</t>
        </is>
      </c>
      <c r="M46" s="23" t="n"/>
      <c r="N46" s="23" t="n"/>
      <c r="O46" s="23" t="inlineStr">
        <is>
          <t>I</t>
        </is>
      </c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</row>
    <row r="47" ht="22" customHeight="1">
      <c r="B47" s="8" t="n">
        <v>36</v>
      </c>
      <c r="C47" s="18">
        <f>'P2.2 Timeline'!B47</f>
        <v/>
      </c>
      <c r="D47" s="18">
        <f>'P2.2 Timeline'!C47</f>
        <v/>
      </c>
      <c r="E47" s="18">
        <f>'P2.2 Timeline'!F47</f>
        <v/>
      </c>
      <c r="F47" s="18">
        <f>'P2.2 Timeline'!J47</f>
        <v/>
      </c>
      <c r="G47" s="8" t="inlineStr"/>
      <c r="H47" s="23" t="inlineStr">
        <is>
          <t>S</t>
        </is>
      </c>
      <c r="I47" s="23" t="n"/>
      <c r="J47" s="23" t="n"/>
      <c r="K47" s="23" t="n"/>
      <c r="L47" s="23" t="inlineStr">
        <is>
          <t>R</t>
        </is>
      </c>
      <c r="M47" s="23" t="n"/>
      <c r="N47" s="23" t="n"/>
      <c r="O47" s="23" t="inlineStr">
        <is>
          <t>C</t>
        </is>
      </c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</row>
    <row r="48" ht="22" customHeight="1">
      <c r="B48" s="8" t="n">
        <v>37</v>
      </c>
      <c r="C48" s="18">
        <f>'P2.2 Timeline'!B48</f>
        <v/>
      </c>
      <c r="D48" s="18">
        <f>'P2.2 Timeline'!C48</f>
        <v/>
      </c>
      <c r="E48" s="18">
        <f>'P2.2 Timeline'!F48</f>
        <v/>
      </c>
      <c r="F48" s="18">
        <f>'P2.2 Timeline'!J48</f>
        <v/>
      </c>
      <c r="G48" s="8" t="inlineStr"/>
      <c r="H48" s="23" t="inlineStr">
        <is>
          <t>R</t>
        </is>
      </c>
      <c r="I48" s="23" t="n"/>
      <c r="J48" s="23" t="n"/>
      <c r="K48" s="23" t="n"/>
      <c r="L48" s="23" t="inlineStr">
        <is>
          <t>A</t>
        </is>
      </c>
      <c r="M48" s="23" t="n"/>
      <c r="N48" s="23" t="n"/>
      <c r="O48" s="23" t="n"/>
      <c r="P48" s="23" t="n"/>
      <c r="Q48" s="23" t="inlineStr">
        <is>
          <t>I</t>
        </is>
      </c>
      <c r="R48" s="23" t="n"/>
      <c r="S48" s="23" t="n"/>
      <c r="T48" s="23" t="n"/>
      <c r="U48" s="23" t="n"/>
      <c r="V48" s="23" t="n"/>
      <c r="W48" s="23" t="n"/>
      <c r="X48" s="23" t="n"/>
    </row>
    <row r="49" ht="22" customHeight="1">
      <c r="B49" s="8" t="n">
        <v>38</v>
      </c>
      <c r="C49" s="18">
        <f>'P2.2 Timeline'!B49</f>
        <v/>
      </c>
      <c r="D49" s="18">
        <f>'P2.2 Timeline'!C49</f>
        <v/>
      </c>
      <c r="E49" s="18">
        <f>'P2.2 Timeline'!F49</f>
        <v/>
      </c>
      <c r="F49" s="18">
        <f>'P2.2 Timeline'!J49</f>
        <v/>
      </c>
      <c r="G49" s="8" t="inlineStr"/>
      <c r="H49" s="23" t="inlineStr">
        <is>
          <t>R</t>
        </is>
      </c>
      <c r="I49" s="23" t="n"/>
      <c r="J49" s="23" t="n"/>
      <c r="K49" s="23" t="n"/>
      <c r="L49" s="23" t="inlineStr">
        <is>
          <t>A</t>
        </is>
      </c>
      <c r="M49" s="23" t="n"/>
      <c r="N49" s="23" t="n"/>
      <c r="O49" s="23" t="n"/>
      <c r="P49" s="23" t="n"/>
      <c r="Q49" s="23" t="inlineStr">
        <is>
          <t>I</t>
        </is>
      </c>
      <c r="R49" s="23" t="n"/>
      <c r="S49" s="23" t="n"/>
      <c r="T49" s="23" t="n"/>
      <c r="U49" s="23" t="n"/>
      <c r="V49" s="23" t="n"/>
      <c r="W49" s="23" t="n"/>
      <c r="X49" s="23" t="n"/>
    </row>
    <row r="50" ht="22" customHeight="1">
      <c r="B50" s="8" t="n">
        <v>39</v>
      </c>
      <c r="C50" s="18">
        <f>'P2.2 Timeline'!B50</f>
        <v/>
      </c>
      <c r="D50" s="18">
        <f>'P2.2 Timeline'!C50</f>
        <v/>
      </c>
      <c r="E50" s="18">
        <f>'P2.2 Timeline'!F50</f>
        <v/>
      </c>
      <c r="F50" s="18">
        <f>'P2.2 Timeline'!J50</f>
        <v/>
      </c>
      <c r="G50" s="8" t="inlineStr"/>
      <c r="H50" s="23" t="inlineStr">
        <is>
          <t>S</t>
        </is>
      </c>
      <c r="I50" s="23" t="n"/>
      <c r="J50" s="23" t="n"/>
      <c r="K50" s="23" t="n"/>
      <c r="L50" s="23" t="inlineStr">
        <is>
          <t>R</t>
        </is>
      </c>
      <c r="M50" s="23" t="n"/>
      <c r="N50" s="23" t="n"/>
      <c r="O50" s="23" t="n"/>
      <c r="P50" s="23" t="n"/>
      <c r="Q50" s="23" t="inlineStr">
        <is>
          <t>C</t>
        </is>
      </c>
      <c r="R50" s="23" t="n"/>
      <c r="S50" s="23" t="n"/>
      <c r="T50" s="23" t="n"/>
      <c r="U50" s="23" t="n"/>
      <c r="V50" s="23" t="n"/>
      <c r="W50" s="23" t="n"/>
      <c r="X50" s="23" t="n"/>
    </row>
    <row r="51" ht="22" customHeight="1">
      <c r="B51" s="8" t="n">
        <v>40</v>
      </c>
      <c r="C51" s="18">
        <f>'P2.2 Timeline'!B51</f>
        <v/>
      </c>
      <c r="D51" s="18">
        <f>'P2.2 Timeline'!C51</f>
        <v/>
      </c>
      <c r="E51" s="18">
        <f>'P2.2 Timeline'!F51</f>
        <v/>
      </c>
      <c r="F51" s="18">
        <f>'P2.2 Timeline'!J51</f>
        <v/>
      </c>
      <c r="G51" s="8" t="inlineStr"/>
      <c r="H51" s="23" t="inlineStr">
        <is>
          <t>R</t>
        </is>
      </c>
      <c r="I51" s="23" t="n"/>
      <c r="J51" s="23" t="n"/>
      <c r="K51" s="23" t="n"/>
      <c r="L51" s="23" t="inlineStr">
        <is>
          <t>A</t>
        </is>
      </c>
      <c r="M51" s="23" t="n"/>
      <c r="N51" s="23" t="n"/>
      <c r="O51" s="23" t="n"/>
      <c r="P51" s="23" t="n"/>
      <c r="Q51" s="23" t="n"/>
      <c r="R51" s="23" t="inlineStr">
        <is>
          <t>I</t>
        </is>
      </c>
      <c r="S51" s="23" t="n"/>
      <c r="T51" s="23" t="n"/>
      <c r="U51" s="23" t="n"/>
      <c r="V51" s="23" t="n"/>
      <c r="W51" s="23" t="n"/>
      <c r="X51" s="23" t="n"/>
    </row>
    <row r="52" ht="22" customHeight="1">
      <c r="B52" s="8" t="n">
        <v>41</v>
      </c>
      <c r="C52" s="18">
        <f>'P2.2 Timeline'!B52</f>
        <v/>
      </c>
      <c r="D52" s="18">
        <f>'P2.2 Timeline'!C52</f>
        <v/>
      </c>
      <c r="E52" s="18">
        <f>'P2.2 Timeline'!F52</f>
        <v/>
      </c>
      <c r="F52" s="18">
        <f>'P2.2 Timeline'!J52</f>
        <v/>
      </c>
      <c r="G52" s="8" t="inlineStr"/>
      <c r="H52" s="23" t="inlineStr">
        <is>
          <t>R</t>
        </is>
      </c>
      <c r="I52" s="23" t="n"/>
      <c r="J52" s="23" t="n"/>
      <c r="K52" s="23" t="n"/>
      <c r="L52" s="23" t="inlineStr">
        <is>
          <t>A</t>
        </is>
      </c>
      <c r="M52" s="23" t="n"/>
      <c r="N52" s="23" t="n"/>
      <c r="O52" s="23" t="n"/>
      <c r="P52" s="23" t="n"/>
      <c r="Q52" s="23" t="n"/>
      <c r="R52" s="23" t="inlineStr">
        <is>
          <t>I</t>
        </is>
      </c>
      <c r="S52" s="23" t="n"/>
      <c r="T52" s="23" t="n"/>
      <c r="U52" s="23" t="n"/>
      <c r="V52" s="23" t="n"/>
      <c r="W52" s="23" t="n"/>
      <c r="X52" s="23" t="n"/>
    </row>
    <row r="53" ht="22" customHeight="1">
      <c r="B53" s="8" t="n">
        <v>42</v>
      </c>
      <c r="C53" s="18">
        <f>'P2.2 Timeline'!B53</f>
        <v/>
      </c>
      <c r="D53" s="18">
        <f>'P2.2 Timeline'!C53</f>
        <v/>
      </c>
      <c r="E53" s="18">
        <f>'P2.2 Timeline'!F53</f>
        <v/>
      </c>
      <c r="F53" s="18">
        <f>'P2.2 Timeline'!J53</f>
        <v/>
      </c>
      <c r="G53" s="8" t="inlineStr"/>
      <c r="H53" s="23" t="inlineStr">
        <is>
          <t>S</t>
        </is>
      </c>
      <c r="I53" s="23" t="n"/>
      <c r="J53" s="23" t="n"/>
      <c r="K53" s="23" t="n"/>
      <c r="L53" s="23" t="inlineStr">
        <is>
          <t>S</t>
        </is>
      </c>
      <c r="M53" s="23" t="n"/>
      <c r="N53" s="23" t="n"/>
      <c r="O53" s="23" t="n"/>
      <c r="P53" s="23" t="n"/>
      <c r="Q53" s="23" t="n"/>
      <c r="R53" s="23" t="inlineStr">
        <is>
          <t>A</t>
        </is>
      </c>
      <c r="S53" s="23" t="n"/>
      <c r="T53" s="23" t="n"/>
      <c r="U53" s="23" t="n"/>
      <c r="V53" s="23" t="n"/>
      <c r="W53" s="23" t="n"/>
      <c r="X53" s="23" t="n"/>
    </row>
    <row r="54" ht="22" customHeight="1">
      <c r="B54" s="16" t="n"/>
      <c r="C54" s="15" t="inlineStr">
        <is>
          <t>Publication &amp; close-out (May–Jun 2027)</t>
        </is>
      </c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</row>
    <row r="55" ht="22" customHeight="1">
      <c r="B55" s="8" t="n">
        <v>43</v>
      </c>
      <c r="C55" s="18">
        <f>'P2.2 Timeline'!B55</f>
        <v/>
      </c>
      <c r="D55" s="18">
        <f>'P2.2 Timeline'!C55</f>
        <v/>
      </c>
      <c r="E55" s="18">
        <f>'P2.2 Timeline'!F55</f>
        <v/>
      </c>
      <c r="F55" s="18">
        <f>'P2.2 Timeline'!J55</f>
        <v/>
      </c>
      <c r="G55" s="8" t="inlineStr"/>
      <c r="H55" s="23" t="inlineStr">
        <is>
          <t>S</t>
        </is>
      </c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inlineStr">
        <is>
          <t>R</t>
        </is>
      </c>
      <c r="U55" s="23" t="n"/>
      <c r="V55" s="23" t="n"/>
      <c r="W55" s="23" t="n"/>
      <c r="X55" s="23" t="n"/>
    </row>
    <row r="56" ht="22" customHeight="1">
      <c r="B56" s="8" t="n">
        <v>44</v>
      </c>
      <c r="C56" s="18">
        <f>'P2.2 Timeline'!B56</f>
        <v/>
      </c>
      <c r="D56" s="18">
        <f>'P2.2 Timeline'!C56</f>
        <v/>
      </c>
      <c r="E56" s="18">
        <f>'P2.2 Timeline'!F56</f>
        <v/>
      </c>
      <c r="F56" s="18">
        <f>'P2.2 Timeline'!J56</f>
        <v/>
      </c>
      <c r="G56" s="8" t="inlineStr"/>
      <c r="H56" s="23" t="n"/>
      <c r="I56" s="23" t="n"/>
      <c r="J56" s="23" t="n"/>
      <c r="K56" s="23" t="n"/>
      <c r="L56" s="23" t="inlineStr">
        <is>
          <t>A</t>
        </is>
      </c>
      <c r="M56" s="23" t="n"/>
      <c r="N56" s="23" t="n"/>
      <c r="O56" s="23" t="n"/>
      <c r="P56" s="23" t="n"/>
      <c r="Q56" s="23" t="n"/>
      <c r="R56" s="23" t="n"/>
      <c r="S56" s="23" t="n"/>
      <c r="T56" s="23" t="inlineStr">
        <is>
          <t>R</t>
        </is>
      </c>
      <c r="U56" s="23" t="n"/>
      <c r="V56" s="23" t="n"/>
      <c r="W56" s="23" t="n"/>
      <c r="X56" s="23" t="n"/>
    </row>
    <row r="57" ht="22" customHeight="1">
      <c r="B57" s="8" t="n">
        <v>45</v>
      </c>
      <c r="C57" s="18">
        <f>'P2.2 Timeline'!B57</f>
        <v/>
      </c>
      <c r="D57" s="18">
        <f>'P2.2 Timeline'!C57</f>
        <v/>
      </c>
      <c r="E57" s="18">
        <f>'P2.2 Timeline'!F57</f>
        <v/>
      </c>
      <c r="F57" s="18">
        <f>'P2.2 Timeline'!J57</f>
        <v/>
      </c>
      <c r="G57" s="8" t="inlineStr"/>
      <c r="H57" s="23" t="inlineStr">
        <is>
          <t>R</t>
        </is>
      </c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inlineStr">
        <is>
          <t>S</t>
        </is>
      </c>
      <c r="U57" s="23" t="n"/>
      <c r="V57" s="23" t="n"/>
      <c r="W57" s="23" t="n"/>
      <c r="X57" s="23" t="n"/>
    </row>
    <row r="58"/>
    <row r="59" ht="22" customHeight="1">
      <c r="C59" s="24" t="inlineStr">
        <is>
          <t>Count of roles per team member</t>
        </is>
      </c>
    </row>
    <row r="60" ht="22" customHeight="1">
      <c r="G60" s="25" t="inlineStr">
        <is>
          <t>A and R</t>
        </is>
      </c>
      <c r="H60" s="26">
        <f>COUNTIF(H$8:H$57,$G60)</f>
        <v/>
      </c>
      <c r="I60" s="26">
        <f>COUNTIF(I$8:I$57,$G60)</f>
        <v/>
      </c>
      <c r="J60" s="26">
        <f>COUNTIF(J$8:J$57,$G60)</f>
        <v/>
      </c>
      <c r="K60" s="26">
        <f>COUNTIF(K$8:K$57,$G60)</f>
        <v/>
      </c>
      <c r="L60" s="26">
        <f>COUNTIF(L$8:L$57,$G60)</f>
        <v/>
      </c>
      <c r="M60" s="26">
        <f>COUNTIF(M$8:M$57,$G60)</f>
        <v/>
      </c>
      <c r="N60" s="26">
        <f>COUNTIF(N$8:N$57,$G60)</f>
        <v/>
      </c>
      <c r="O60" s="26">
        <f>COUNTIF(O$8:O$57,$G60)</f>
        <v/>
      </c>
      <c r="P60" s="26">
        <f>COUNTIF(P$8:P$57,$G60)</f>
        <v/>
      </c>
      <c r="Q60" s="26">
        <f>COUNTIF(Q$8:Q$57,$G60)</f>
        <v/>
      </c>
      <c r="R60" s="26">
        <f>COUNTIF(R$8:R$57,$G60)</f>
        <v/>
      </c>
      <c r="S60" s="26">
        <f>COUNTIF(S$8:S$57,$G60)</f>
        <v/>
      </c>
      <c r="T60" s="26">
        <f>COUNTIF(T$8:T$57,$G60)</f>
        <v/>
      </c>
      <c r="U60" s="26">
        <f>COUNTIF(U$8:U$57,$G60)</f>
        <v/>
      </c>
      <c r="V60" s="26">
        <f>COUNTIF(V$8:V$57,$G60)</f>
        <v/>
      </c>
      <c r="W60" s="26">
        <f>COUNTIF(W$8:W$57,$G60)</f>
        <v/>
      </c>
      <c r="X60" s="26">
        <f>COUNTIF(X$8:X$57,$G60)</f>
        <v/>
      </c>
    </row>
    <row r="61" ht="22" customHeight="1">
      <c r="G61" s="25" t="inlineStr">
        <is>
          <t>A</t>
        </is>
      </c>
      <c r="H61" s="26">
        <f>COUNTIF(H$8:H$57,$G61)</f>
        <v/>
      </c>
      <c r="I61" s="26">
        <f>COUNTIF(I$8:I$57,$G61)</f>
        <v/>
      </c>
      <c r="J61" s="26">
        <f>COUNTIF(J$8:J$57,$G61)</f>
        <v/>
      </c>
      <c r="K61" s="26">
        <f>COUNTIF(K$8:K$57,$G61)</f>
        <v/>
      </c>
      <c r="L61" s="26">
        <f>COUNTIF(L$8:L$57,$G61)</f>
        <v/>
      </c>
      <c r="M61" s="26">
        <f>COUNTIF(M$8:M$57,$G61)</f>
        <v/>
      </c>
      <c r="N61" s="26">
        <f>COUNTIF(N$8:N$57,$G61)</f>
        <v/>
      </c>
      <c r="O61" s="26">
        <f>COUNTIF(O$8:O$57,$G61)</f>
        <v/>
      </c>
      <c r="P61" s="26">
        <f>COUNTIF(P$8:P$57,$G61)</f>
        <v/>
      </c>
      <c r="Q61" s="26">
        <f>COUNTIF(Q$8:Q$57,$G61)</f>
        <v/>
      </c>
      <c r="R61" s="26">
        <f>COUNTIF(R$8:R$57,$G61)</f>
        <v/>
      </c>
      <c r="S61" s="26">
        <f>COUNTIF(S$8:S$57,$G61)</f>
        <v/>
      </c>
      <c r="T61" s="26">
        <f>COUNTIF(T$8:T$57,$G61)</f>
        <v/>
      </c>
      <c r="U61" s="26">
        <f>COUNTIF(U$8:U$57,$G61)</f>
        <v/>
      </c>
      <c r="V61" s="26">
        <f>COUNTIF(V$8:V$57,$G61)</f>
        <v/>
      </c>
      <c r="W61" s="26">
        <f>COUNTIF(W$8:W$57,$G61)</f>
        <v/>
      </c>
      <c r="X61" s="26">
        <f>COUNTIF(X$8:X$57,$G61)</f>
        <v/>
      </c>
    </row>
    <row r="62" ht="22" customHeight="1">
      <c r="G62" s="25" t="inlineStr">
        <is>
          <t>R</t>
        </is>
      </c>
      <c r="H62" s="26">
        <f>COUNTIF(H$8:H$57,$G62)</f>
        <v/>
      </c>
      <c r="I62" s="26">
        <f>COUNTIF(I$8:I$57,$G62)</f>
        <v/>
      </c>
      <c r="J62" s="26">
        <f>COUNTIF(J$8:J$57,$G62)</f>
        <v/>
      </c>
      <c r="K62" s="26">
        <f>COUNTIF(K$8:K$57,$G62)</f>
        <v/>
      </c>
      <c r="L62" s="26">
        <f>COUNTIF(L$8:L$57,$G62)</f>
        <v/>
      </c>
      <c r="M62" s="26">
        <f>COUNTIF(M$8:M$57,$G62)</f>
        <v/>
      </c>
      <c r="N62" s="26">
        <f>COUNTIF(N$8:N$57,$G62)</f>
        <v/>
      </c>
      <c r="O62" s="26">
        <f>COUNTIF(O$8:O$57,$G62)</f>
        <v/>
      </c>
      <c r="P62" s="26">
        <f>COUNTIF(P$8:P$57,$G62)</f>
        <v/>
      </c>
      <c r="Q62" s="26">
        <f>COUNTIF(Q$8:Q$57,$G62)</f>
        <v/>
      </c>
      <c r="R62" s="26">
        <f>COUNTIF(R$8:R$57,$G62)</f>
        <v/>
      </c>
      <c r="S62" s="26">
        <f>COUNTIF(S$8:S$57,$G62)</f>
        <v/>
      </c>
      <c r="T62" s="26">
        <f>COUNTIF(T$8:T$57,$G62)</f>
        <v/>
      </c>
      <c r="U62" s="26">
        <f>COUNTIF(U$8:U$57,$G62)</f>
        <v/>
      </c>
      <c r="V62" s="26">
        <f>COUNTIF(V$8:V$57,$G62)</f>
        <v/>
      </c>
      <c r="W62" s="26">
        <f>COUNTIF(W$8:W$57,$G62)</f>
        <v/>
      </c>
      <c r="X62" s="26">
        <f>COUNTIF(X$8:X$57,$G62)</f>
        <v/>
      </c>
    </row>
    <row r="63" ht="22" customHeight="1">
      <c r="G63" s="25" t="inlineStr">
        <is>
          <t>S</t>
        </is>
      </c>
      <c r="H63" s="26">
        <f>COUNTIF(H$8:H$57,$G63)</f>
        <v/>
      </c>
      <c r="I63" s="26">
        <f>COUNTIF(I$8:I$57,$G63)</f>
        <v/>
      </c>
      <c r="J63" s="26">
        <f>COUNTIF(J$8:J$57,$G63)</f>
        <v/>
      </c>
      <c r="K63" s="26">
        <f>COUNTIF(K$8:K$57,$G63)</f>
        <v/>
      </c>
      <c r="L63" s="26">
        <f>COUNTIF(L$8:L$57,$G63)</f>
        <v/>
      </c>
      <c r="M63" s="26">
        <f>COUNTIF(M$8:M$57,$G63)</f>
        <v/>
      </c>
      <c r="N63" s="26">
        <f>COUNTIF(N$8:N$57,$G63)</f>
        <v/>
      </c>
      <c r="O63" s="26">
        <f>COUNTIF(O$8:O$57,$G63)</f>
        <v/>
      </c>
      <c r="P63" s="26">
        <f>COUNTIF(P$8:P$57,$G63)</f>
        <v/>
      </c>
      <c r="Q63" s="26">
        <f>COUNTIF(Q$8:Q$57,$G63)</f>
        <v/>
      </c>
      <c r="R63" s="26">
        <f>COUNTIF(R$8:R$57,$G63)</f>
        <v/>
      </c>
      <c r="S63" s="26">
        <f>COUNTIF(S$8:S$57,$G63)</f>
        <v/>
      </c>
      <c r="T63" s="26">
        <f>COUNTIF(T$8:T$57,$G63)</f>
        <v/>
      </c>
      <c r="U63" s="26">
        <f>COUNTIF(U$8:U$57,$G63)</f>
        <v/>
      </c>
      <c r="V63" s="26">
        <f>COUNTIF(V$8:V$57,$G63)</f>
        <v/>
      </c>
      <c r="W63" s="26">
        <f>COUNTIF(W$8:W$57,$G63)</f>
        <v/>
      </c>
      <c r="X63" s="26">
        <f>COUNTIF(X$8:X$57,$G63)</f>
        <v/>
      </c>
    </row>
    <row r="64" ht="22" customHeight="1">
      <c r="G64" s="25" t="inlineStr">
        <is>
          <t>C</t>
        </is>
      </c>
      <c r="H64" s="26">
        <f>COUNTIF(H$8:H$57,$G64)</f>
        <v/>
      </c>
      <c r="I64" s="26">
        <f>COUNTIF(I$8:I$57,$G64)</f>
        <v/>
      </c>
      <c r="J64" s="26">
        <f>COUNTIF(J$8:J$57,$G64)</f>
        <v/>
      </c>
      <c r="K64" s="26">
        <f>COUNTIF(K$8:K$57,$G64)</f>
        <v/>
      </c>
      <c r="L64" s="26">
        <f>COUNTIF(L$8:L$57,$G64)</f>
        <v/>
      </c>
      <c r="M64" s="26">
        <f>COUNTIF(M$8:M$57,$G64)</f>
        <v/>
      </c>
      <c r="N64" s="26">
        <f>COUNTIF(N$8:N$57,$G64)</f>
        <v/>
      </c>
      <c r="O64" s="26">
        <f>COUNTIF(O$8:O$57,$G64)</f>
        <v/>
      </c>
      <c r="P64" s="26">
        <f>COUNTIF(P$8:P$57,$G64)</f>
        <v/>
      </c>
      <c r="Q64" s="26">
        <f>COUNTIF(Q$8:Q$57,$G64)</f>
        <v/>
      </c>
      <c r="R64" s="26">
        <f>COUNTIF(R$8:R$57,$G64)</f>
        <v/>
      </c>
      <c r="S64" s="26">
        <f>COUNTIF(S$8:S$57,$G64)</f>
        <v/>
      </c>
      <c r="T64" s="26">
        <f>COUNTIF(T$8:T$57,$G64)</f>
        <v/>
      </c>
      <c r="U64" s="26">
        <f>COUNTIF(U$8:U$57,$G64)</f>
        <v/>
      </c>
      <c r="V64" s="26">
        <f>COUNTIF(V$8:V$57,$G64)</f>
        <v/>
      </c>
      <c r="W64" s="26">
        <f>COUNTIF(W$8:W$57,$G64)</f>
        <v/>
      </c>
      <c r="X64" s="26">
        <f>COUNTIF(X$8:X$57,$G64)</f>
        <v/>
      </c>
    </row>
    <row r="65" ht="22" customHeight="1">
      <c r="G65" s="25" t="inlineStr">
        <is>
          <t>I</t>
        </is>
      </c>
      <c r="H65" s="26">
        <f>COUNTIF(H$8:H$57,$G65)</f>
        <v/>
      </c>
      <c r="I65" s="26">
        <f>COUNTIF(I$8:I$57,$G65)</f>
        <v/>
      </c>
      <c r="J65" s="26">
        <f>COUNTIF(J$8:J$57,$G65)</f>
        <v/>
      </c>
      <c r="K65" s="26">
        <f>COUNTIF(K$8:K$57,$G65)</f>
        <v/>
      </c>
      <c r="L65" s="26">
        <f>COUNTIF(L$8:L$57,$G65)</f>
        <v/>
      </c>
      <c r="M65" s="26">
        <f>COUNTIF(M$8:M$57,$G65)</f>
        <v/>
      </c>
      <c r="N65" s="26">
        <f>COUNTIF(N$8:N$57,$G65)</f>
        <v/>
      </c>
      <c r="O65" s="26">
        <f>COUNTIF(O$8:O$57,$G65)</f>
        <v/>
      </c>
      <c r="P65" s="26">
        <f>COUNTIF(P$8:P$57,$G65)</f>
        <v/>
      </c>
      <c r="Q65" s="26">
        <f>COUNTIF(Q$8:Q$57,$G65)</f>
        <v/>
      </c>
      <c r="R65" s="26">
        <f>COUNTIF(R$8:R$57,$G65)</f>
        <v/>
      </c>
      <c r="S65" s="26">
        <f>COUNTIF(S$8:S$57,$G65)</f>
        <v/>
      </c>
      <c r="T65" s="26">
        <f>COUNTIF(T$8:T$57,$G65)</f>
        <v/>
      </c>
      <c r="U65" s="26">
        <f>COUNTIF(U$8:U$57,$G65)</f>
        <v/>
      </c>
      <c r="V65" s="26">
        <f>COUNTIF(V$8:V$57,$G65)</f>
        <v/>
      </c>
      <c r="W65" s="26">
        <f>COUNTIF(W$8:W$57,$G65)</f>
        <v/>
      </c>
      <c r="X65" s="26">
        <f>COUNTIF(X$8:X$57,$G65)</f>
        <v/>
      </c>
    </row>
  </sheetData>
  <conditionalFormatting sqref="H8:X57">
    <cfRule type="cellIs" priority="1" operator="equal" dxfId="5" stopIfTrue="1">
      <formula>"A and R"</formula>
    </cfRule>
    <cfRule type="cellIs" priority="2" operator="equal" dxfId="6" stopIfTrue="1">
      <formula>"A"</formula>
    </cfRule>
    <cfRule type="cellIs" priority="3" operator="equal" dxfId="7" stopIfTrue="1">
      <formula>"R"</formula>
    </cfRule>
    <cfRule type="cellIs" priority="4" operator="equal" dxfId="8" stopIfTrue="1">
      <formula>"S"</formula>
    </cfRule>
    <cfRule type="cellIs" priority="5" operator="equal" dxfId="9" stopIfTrue="1">
      <formula>"C"</formula>
    </cfRule>
    <cfRule type="cellIs" priority="6" operator="equal" dxfId="10" stopIfTrue="1">
      <formula>"I"</formula>
    </cfRule>
  </conditionalFormatting>
  <dataValidations count="1">
    <dataValidation sqref="H8:X57" showDropDown="0" showInputMessage="0" showErrorMessage="0" allowBlank="1" errorTitle="Invalid entry" error="Please select from the dropdown" type="list">
      <formula1>"A,R,A and R,S,C,I"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P3. Comms + web build to-do list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 ht="22" customHeight="1">
      <c r="B4" t="inlineStr">
        <is>
          <t>Track comms, web build and design tasks. Priority: Low / Medium / High / Urgent.</t>
        </is>
      </c>
    </row>
    <row r="5"/>
    <row r="6" ht="42" customHeight="1">
      <c r="B6" s="7" t="inlineStr">
        <is>
          <t>Report component or page</t>
        </is>
      </c>
      <c r="C6" s="7" t="inlineStr">
        <is>
          <t>Case study/content name</t>
        </is>
      </c>
      <c r="D6" s="7" t="inlineStr">
        <is>
          <t>Lead</t>
        </is>
      </c>
      <c r="E6" s="7" t="inlineStr">
        <is>
          <t>Priority level</t>
        </is>
      </c>
      <c r="F6" s="7" t="inlineStr">
        <is>
          <t>Agreed deadline</t>
        </is>
      </c>
      <c r="G6" s="7" t="inlineStr">
        <is>
          <t>Action needed</t>
        </is>
      </c>
      <c r="H6" s="7" t="inlineStr">
        <is>
          <t>Details</t>
        </is>
      </c>
      <c r="I6" s="7" t="inlineStr">
        <is>
          <t>Complete? (Y/N)</t>
        </is>
      </c>
      <c r="J6" s="7" t="inlineStr">
        <is>
          <t>Updates/blockers/FYI</t>
        </is>
      </c>
    </row>
    <row r="7" ht="56" customHeight="1">
      <c r="B7" s="8" t="inlineStr">
        <is>
          <t>Web – whole report</t>
        </is>
      </c>
      <c r="C7" s="8" t="inlineStr">
        <is>
          <t>Year-specific report URL</t>
        </is>
      </c>
      <c r="D7" s="8" t="inlineStr">
        <is>
          <t>Comms/digital</t>
        </is>
      </c>
      <c r="E7" s="8" t="inlineStr">
        <is>
          <t>High</t>
        </is>
      </c>
      <c r="F7" s="8" t="inlineStr"/>
      <c r="G7" s="8" t="inlineStr">
        <is>
          <t>Set up</t>
        </is>
      </c>
      <c r="H7" s="8" t="inlineStr">
        <is>
          <t>Use a year-specific URL (e.g. /sustainabilityreport/2026) and retain the central reports landing page (SR25 lesson).</t>
        </is>
      </c>
      <c r="I7" s="8" t="inlineStr"/>
      <c r="J7" s="8" t="inlineStr"/>
    </row>
    <row r="8" ht="39" customHeight="1">
      <c r="B8" s="8" t="inlineStr">
        <is>
          <t>Web – whole report</t>
        </is>
      </c>
      <c r="C8" s="8" t="inlineStr">
        <is>
          <t>Analytics measures</t>
        </is>
      </c>
      <c r="D8" s="8" t="inlineStr">
        <is>
          <t>Comms/digital</t>
        </is>
      </c>
      <c r="E8" s="8" t="inlineStr">
        <is>
          <t>High</t>
        </is>
      </c>
      <c r="F8" s="8" t="inlineStr"/>
      <c r="G8" s="8" t="inlineStr">
        <is>
          <t>Agree before launch</t>
        </is>
      </c>
      <c r="H8" s="8" t="inlineStr">
        <is>
          <t>Agree web sessions, users and views measures before launch so project close can report them.</t>
        </is>
      </c>
      <c r="I8" s="8" t="inlineStr"/>
      <c r="J8" s="8" t="inlineStr"/>
    </row>
    <row r="9" ht="39" customHeight="1">
      <c r="B9" s="8" t="inlineStr">
        <is>
          <t>Web – whole report</t>
        </is>
      </c>
      <c r="C9" s="8" t="inlineStr">
        <is>
          <t>Accessibility &amp; reviewer workflow testing</t>
        </is>
      </c>
      <c r="D9" s="8" t="inlineStr">
        <is>
          <t>Comms/digital</t>
        </is>
      </c>
      <c r="E9" s="8" t="inlineStr">
        <is>
          <t>High</t>
        </is>
      </c>
      <c r="F9" s="8" t="inlineStr"/>
      <c r="G9" s="8" t="inlineStr">
        <is>
          <t>Test</t>
        </is>
      </c>
      <c r="H9" s="8" t="inlineStr">
        <is>
          <t>Navigation, links, mobile usability, accessibility, reviewer workflows – before governance approval.</t>
        </is>
      </c>
      <c r="I9" s="8" t="inlineStr"/>
      <c r="J9" s="8" t="inlineStr"/>
    </row>
    <row r="10" ht="39" customHeight="1">
      <c r="B10" s="8" t="inlineStr">
        <is>
          <t>Report introduction</t>
        </is>
      </c>
      <c r="C10" s="8" t="inlineStr">
        <is>
          <t>Transition-year framing</t>
        </is>
      </c>
      <c r="D10" s="8" t="inlineStr">
        <is>
          <t>SST</t>
        </is>
      </c>
      <c r="E10" s="8" t="inlineStr">
        <is>
          <t>High</t>
        </is>
      </c>
      <c r="F10" s="8" t="inlineStr"/>
      <c r="G10" s="8" t="inlineStr">
        <is>
          <t>Draft</t>
        </is>
      </c>
      <c r="H10" s="8" t="inlineStr">
        <is>
          <t>Explain former SP2030 vs Sustainability 2030 (launched ~20 Oct 2026).</t>
        </is>
      </c>
      <c r="I10" s="8" t="inlineStr"/>
      <c r="J10" s="8" t="inlineStr"/>
    </row>
    <row r="11" ht="39" customHeight="1">
      <c r="B11" s="8" t="inlineStr">
        <is>
          <t>Whole report</t>
        </is>
      </c>
      <c r="C11" s="8" t="inlineStr">
        <is>
          <t>Whole-report review</t>
        </is>
      </c>
      <c r="D11" s="8" t="inlineStr">
        <is>
          <t>Strategic Comms</t>
        </is>
      </c>
      <c r="E11" s="8" t="inlineStr">
        <is>
          <t>High</t>
        </is>
      </c>
      <c r="F11" s="8" t="inlineStr"/>
      <c r="G11" s="8" t="inlineStr">
        <is>
          <t>Schedule</t>
        </is>
      </c>
      <c r="H11" s="8" t="inlineStr">
        <is>
          <t>Schedule early enough for material changes.</t>
        </is>
      </c>
      <c r="I11" s="8" t="inlineStr"/>
      <c r="J11" s="8" t="inlineStr"/>
    </row>
    <row r="12"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ySplit="6" topLeftCell="A7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58" customHeight="1">
      <c r="A2" s="1" t="n"/>
      <c r="B2" s="2" t="inlineStr">
        <is>
          <t>P4. Content contributor checklist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/>
    <row r="4" ht="22" customHeight="1">
      <c r="B4" t="inlineStr">
        <is>
          <t>Stakeholder management for report content: review by contributors, images, credits and captions, post-launch follow-up.</t>
        </is>
      </c>
    </row>
    <row r="5"/>
    <row r="6" ht="60" customHeight="1">
      <c r="B6" s="7" t="inlineStr">
        <is>
          <t>Report section</t>
        </is>
      </c>
      <c r="C6" s="7" t="inlineStr">
        <is>
          <t>Case study</t>
        </is>
      </c>
      <c r="D6" s="7" t="inlineStr">
        <is>
          <t>Activity areas</t>
        </is>
      </c>
      <c r="E6" s="7" t="inlineStr">
        <is>
          <t>Review required? (Y/N)</t>
        </is>
      </c>
      <c r="F6" s="7" t="inlineStr">
        <is>
          <t>Content contributors</t>
        </is>
      </c>
      <c r="G6" s="7" t="inlineStr">
        <is>
          <t>Project team liaison</t>
        </is>
      </c>
      <c r="H6" s="7" t="inlineStr">
        <is>
          <t>Sent for review (date)</t>
        </is>
      </c>
      <c r="I6" s="7" t="inlineStr">
        <is>
          <t>Changes required? (Y/N)</t>
        </is>
      </c>
      <c r="J6" s="7" t="inlineStr">
        <is>
          <t>SR26 draft updated? (Y/N)</t>
        </is>
      </c>
      <c r="K6" s="7" t="inlineStr">
        <is>
          <t>SR26 website updated? (Y/N)</t>
        </is>
      </c>
      <c r="L6" s="7" t="inlineStr">
        <is>
          <t>Images shared? (Y/N)</t>
        </is>
      </c>
      <c r="M6" s="7" t="inlineStr">
        <is>
          <t>Image URL</t>
        </is>
      </c>
      <c r="N6" s="7" t="inlineStr">
        <is>
          <t>Known image gap</t>
        </is>
      </c>
      <c r="O6" s="7" t="inlineStr">
        <is>
          <t>Credit noted?</t>
        </is>
      </c>
      <c r="P6" s="7" t="inlineStr">
        <is>
          <t>Caption text</t>
        </is>
      </c>
      <c r="Q6" s="7" t="inlineStr">
        <is>
          <t>Permission to publish confirmed?</t>
        </is>
      </c>
      <c r="R6" s="7" t="inlineStr">
        <is>
          <t>Post-launch: send to</t>
        </is>
      </c>
      <c r="S6" s="7" t="inlineStr">
        <is>
          <t>CC</t>
        </is>
      </c>
      <c r="T6" s="7" t="inlineStr">
        <is>
          <t>Sent (date)</t>
        </is>
      </c>
      <c r="U6" s="7" t="inlineStr">
        <is>
          <t>Complete? (Y/N)</t>
        </is>
      </c>
    </row>
    <row r="7"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</row>
    <row r="8"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</row>
    <row r="9"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</row>
    <row r="10"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</row>
    <row r="14"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</row>
    <row r="15"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</row>
    <row r="16"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</row>
    <row r="17"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</row>
    <row r="18"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</row>
    <row r="19"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</row>
    <row r="20"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</row>
    <row r="21"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</row>
    <row r="22"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</row>
    <row r="24"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</row>
    <row r="25"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</row>
    <row r="26"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</row>
    <row r="27"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</row>
    <row r="28"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</row>
    <row r="29"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</row>
    <row r="30"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</row>
    <row r="31"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</row>
    <row r="32"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</row>
    <row r="33"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</row>
    <row r="34"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</row>
    <row r="35"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</row>
    <row r="36"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</row>
    <row r="37"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</row>
    <row r="41"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</row>
    <row r="42"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</row>
    <row r="43"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</row>
    <row r="44"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</row>
    <row r="45"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</row>
    <row r="46"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</row>
    <row r="53"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</row>
    <row r="54"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</row>
    <row r="55"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</row>
    <row r="56"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</row>
    <row r="57"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</row>
    <row r="58"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</row>
    <row r="62"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</row>
    <row r="63"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</row>
    <row r="64"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</row>
    <row r="65"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</row>
    <row r="66"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P5. SR26 page index (URLs)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/>
    <row r="5" ht="42" customHeight="1">
      <c r="B5" s="7" t="inlineStr">
        <is>
          <t>Ref</t>
        </is>
      </c>
      <c r="C5" s="7" t="inlineStr">
        <is>
          <t>Sustainability 2030 component</t>
        </is>
      </c>
      <c r="D5" s="7" t="inlineStr">
        <is>
          <t>Page name</t>
        </is>
      </c>
      <c r="E5" s="7" t="inlineStr">
        <is>
          <t>Story / case study</t>
        </is>
      </c>
      <c r="F5" s="7" t="inlineStr">
        <is>
          <t>SR26 link</t>
        </is>
      </c>
      <c r="G5" s="7" t="inlineStr">
        <is>
          <t>Page description</t>
        </is>
      </c>
      <c r="H5" s="7" t="inlineStr">
        <is>
          <t>Character count</t>
        </is>
      </c>
      <c r="I5" s="7" t="inlineStr">
        <is>
          <t>SR25 equivalent page</t>
        </is>
      </c>
    </row>
    <row r="6" ht="22" customHeight="1">
      <c r="B6" s="27" t="inlineStr">
        <is>
          <t>FM01</t>
        </is>
      </c>
      <c r="C6" s="8" t="inlineStr">
        <is>
          <t>N/A</t>
        </is>
      </c>
      <c r="D6" s="8" t="inlineStr">
        <is>
          <t>Landing page</t>
        </is>
      </c>
      <c r="E6" s="8" t="inlineStr"/>
      <c r="F6" s="8" t="inlineStr"/>
      <c r="G6" s="8" t="inlineStr"/>
      <c r="H6" s="8">
        <f>LEN(G6)</f>
        <v/>
      </c>
      <c r="I6" s="8" t="inlineStr"/>
    </row>
    <row r="7" ht="22" customHeight="1">
      <c r="B7" s="27" t="inlineStr">
        <is>
          <t>FM02</t>
        </is>
      </c>
      <c r="C7" s="8" t="inlineStr">
        <is>
          <t>N/A</t>
        </is>
      </c>
      <c r="D7" s="8" t="inlineStr">
        <is>
          <t>Overview (transition year)</t>
        </is>
      </c>
      <c r="E7" s="8" t="inlineStr"/>
      <c r="F7" s="8" t="inlineStr"/>
      <c r="G7" s="8" t="inlineStr"/>
      <c r="H7" s="8">
        <f>LEN(G7)</f>
        <v/>
      </c>
      <c r="I7" s="8" t="inlineStr"/>
    </row>
    <row r="8" ht="22" customHeight="1">
      <c r="B8" s="27" t="inlineStr">
        <is>
          <t>FM03</t>
        </is>
      </c>
      <c r="C8" s="8" t="inlineStr">
        <is>
          <t>N/A</t>
        </is>
      </c>
      <c r="D8" s="8" t="inlineStr">
        <is>
          <t>Our impact</t>
        </is>
      </c>
      <c r="E8" s="8" t="inlineStr"/>
      <c r="F8" s="8" t="inlineStr"/>
      <c r="G8" s="8" t="inlineStr"/>
      <c r="H8" s="8">
        <f>LEN(G8)</f>
        <v/>
      </c>
      <c r="I8" s="8" t="inlineStr"/>
    </row>
    <row r="9" ht="22" customHeight="1">
      <c r="B9" s="27" t="inlineStr">
        <is>
          <t>PA01</t>
        </is>
      </c>
      <c r="C9" s="8" t="inlineStr">
        <is>
          <t>Education and research</t>
        </is>
      </c>
      <c r="D9" s="8" t="inlineStr">
        <is>
          <t>Exceptional education</t>
        </is>
      </c>
      <c r="E9" s="8" t="inlineStr"/>
      <c r="F9" s="8" t="inlineStr"/>
      <c r="G9" s="8" t="inlineStr"/>
      <c r="H9" s="8">
        <f>LEN(G9)</f>
        <v/>
      </c>
      <c r="I9" s="8" t="inlineStr"/>
    </row>
    <row r="10" ht="22" customHeight="1">
      <c r="B10" s="27" t="inlineStr">
        <is>
          <t>PA02</t>
        </is>
      </c>
      <c r="C10" s="8" t="inlineStr">
        <is>
          <t>Education and research</t>
        </is>
      </c>
      <c r="D10" s="8" t="inlineStr">
        <is>
          <t>Transformational research</t>
        </is>
      </c>
      <c r="E10" s="8" t="inlineStr"/>
      <c r="F10" s="8" t="inlineStr"/>
      <c r="G10" s="8" t="inlineStr"/>
      <c r="H10" s="8">
        <f>LEN(G10)</f>
        <v/>
      </c>
      <c r="I10" s="8" t="inlineStr"/>
    </row>
    <row r="11" ht="22" customHeight="1">
      <c r="B11" s="27" t="inlineStr">
        <is>
          <t>PA03</t>
        </is>
      </c>
      <c r="C11" s="8" t="inlineStr">
        <is>
          <t>Sustainability leadership</t>
        </is>
      </c>
      <c r="D11" s="8" t="inlineStr">
        <is>
          <t>Climate leadership</t>
        </is>
      </c>
      <c r="E11" s="8" t="inlineStr"/>
      <c r="F11" s="8" t="inlineStr"/>
      <c r="G11" s="8" t="inlineStr"/>
      <c r="H11" s="8">
        <f>LEN(G11)</f>
        <v/>
      </c>
      <c r="I11" s="8" t="inlineStr"/>
    </row>
    <row r="12" ht="22" customHeight="1">
      <c r="B12" s="27" t="inlineStr">
        <is>
          <t>PA04</t>
        </is>
      </c>
      <c r="C12" s="8" t="inlineStr">
        <is>
          <t>Sustainability leadership</t>
        </is>
      </c>
      <c r="D12" s="8" t="inlineStr">
        <is>
          <t>Nature and biodiversity</t>
        </is>
      </c>
      <c r="E12" s="8" t="inlineStr"/>
      <c r="F12" s="8" t="inlineStr"/>
      <c r="G12" s="8" t="inlineStr"/>
      <c r="H12" s="8">
        <f>LEN(G12)</f>
        <v/>
      </c>
      <c r="I12" s="8" t="inlineStr"/>
    </row>
    <row r="13" ht="22" customHeight="1">
      <c r="B13" s="27" t="inlineStr">
        <is>
          <t>PA05</t>
        </is>
      </c>
      <c r="C13" s="8" t="inlineStr">
        <is>
          <t>Sustainability leadership</t>
        </is>
      </c>
      <c r="D13" s="8" t="inlineStr">
        <is>
          <t>Responsible AI</t>
        </is>
      </c>
      <c r="E13" s="8" t="inlineStr"/>
      <c r="F13" s="8" t="inlineStr"/>
      <c r="G13" s="8" t="inlineStr"/>
      <c r="H13" s="8">
        <f>LEN(G13)</f>
        <v/>
      </c>
      <c r="I13" s="8" t="inlineStr"/>
    </row>
    <row r="14" ht="22" customHeight="1">
      <c r="B14" s="27" t="inlineStr">
        <is>
          <t>PA06</t>
        </is>
      </c>
      <c r="C14" s="8" t="inlineStr">
        <is>
          <t>Resilient University</t>
        </is>
      </c>
      <c r="D14" s="8" t="inlineStr">
        <is>
          <t>Estate and infrastructure</t>
        </is>
      </c>
      <c r="E14" s="8" t="inlineStr"/>
      <c r="F14" s="8" t="inlineStr"/>
      <c r="G14" s="8" t="inlineStr"/>
      <c r="H14" s="8">
        <f>LEN(G14)</f>
        <v/>
      </c>
      <c r="I14" s="8" t="inlineStr"/>
    </row>
    <row r="15" ht="22" customHeight="1">
      <c r="B15" s="27" t="inlineStr">
        <is>
          <t>PA07</t>
        </is>
      </c>
      <c r="C15" s="8" t="inlineStr">
        <is>
          <t>Resilient University</t>
        </is>
      </c>
      <c r="D15" s="8" t="inlineStr">
        <is>
          <t>Circular economy</t>
        </is>
      </c>
      <c r="E15" s="8" t="inlineStr"/>
      <c r="F15" s="8" t="inlineStr"/>
      <c r="G15" s="8" t="inlineStr"/>
      <c r="H15" s="8">
        <f>LEN(G15)</f>
        <v/>
      </c>
      <c r="I15" s="8" t="inlineStr"/>
    </row>
    <row r="16" ht="22" customHeight="1">
      <c r="B16" s="27" t="inlineStr">
        <is>
          <t>PA08</t>
        </is>
      </c>
      <c r="C16" s="8" t="inlineStr">
        <is>
          <t>Resilient University</t>
        </is>
      </c>
      <c r="D16" s="8" t="inlineStr">
        <is>
          <t>Responsible procurement</t>
        </is>
      </c>
      <c r="E16" s="8" t="inlineStr"/>
      <c r="F16" s="8" t="inlineStr"/>
      <c r="G16" s="8" t="inlineStr"/>
      <c r="H16" s="8">
        <f>LEN(G16)</f>
        <v/>
      </c>
      <c r="I16" s="8" t="inlineStr"/>
    </row>
    <row r="17" ht="22" customHeight="1">
      <c r="B17" s="27" t="inlineStr">
        <is>
          <t>PA09</t>
        </is>
      </c>
      <c r="C17" s="8" t="inlineStr">
        <is>
          <t>Resilient University</t>
        </is>
      </c>
      <c r="D17" s="8" t="inlineStr">
        <is>
          <t>Modern slavery and human rights</t>
        </is>
      </c>
      <c r="E17" s="8" t="inlineStr"/>
      <c r="F17" s="8" t="inlineStr"/>
      <c r="G17" s="8" t="inlineStr"/>
      <c r="H17" s="8">
        <f>LEN(G17)</f>
        <v/>
      </c>
      <c r="I17" s="8" t="inlineStr"/>
    </row>
    <row r="18" ht="22" customHeight="1">
      <c r="B18" s="27" t="inlineStr">
        <is>
          <t>PA10</t>
        </is>
      </c>
      <c r="C18" s="8" t="inlineStr">
        <is>
          <t>Resilient University</t>
        </is>
      </c>
      <c r="D18" s="8" t="inlineStr">
        <is>
          <t>Responsible investments</t>
        </is>
      </c>
      <c r="E18" s="8" t="inlineStr"/>
      <c r="F18" s="8" t="inlineStr"/>
      <c r="G18" s="8" t="inlineStr"/>
      <c r="H18" s="8">
        <f>LEN(G18)</f>
        <v/>
      </c>
      <c r="I18" s="8" t="inlineStr"/>
    </row>
    <row r="19" ht="22" customHeight="1">
      <c r="B19" s="27" t="inlineStr">
        <is>
          <t>PA11</t>
        </is>
      </c>
      <c r="C19" s="8" t="inlineStr">
        <is>
          <t>Enablers</t>
        </is>
      </c>
      <c r="D19" s="8" t="inlineStr">
        <is>
          <t>Enablers</t>
        </is>
      </c>
      <c r="E19" s="8" t="inlineStr"/>
      <c r="F19" s="8" t="inlineStr"/>
      <c r="G19" s="8" t="inlineStr"/>
      <c r="H19" s="8">
        <f>LEN(G19)</f>
        <v/>
      </c>
      <c r="I19" s="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B1" t="inlineStr">
        <is>
          <t>(not used – no target status rating in 2026)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K1" t="inlineStr">
        <is>
          <t>Report section</t>
        </is>
      </c>
    </row>
    <row r="2" ht="22" customHeight="1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K2" t="inlineStr">
        <is>
          <t>Report introduction</t>
        </is>
      </c>
    </row>
    <row r="3" ht="22" customHeight="1"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K3" t="inlineStr">
        <is>
          <t>Our impact</t>
        </is>
      </c>
    </row>
    <row r="4" ht="22" customHeight="1"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K4" t="inlineStr">
        <is>
          <t>Exceptional education</t>
        </is>
      </c>
    </row>
    <row r="5" ht="22" customHeight="1">
      <c r="D5" t="inlineStr">
        <is>
          <t>Received</t>
        </is>
      </c>
      <c r="K5" t="inlineStr">
        <is>
          <t>Transformational research</t>
        </is>
      </c>
    </row>
    <row r="6" ht="22" customHeight="1">
      <c r="D6" t="inlineStr">
        <is>
          <t>First review</t>
        </is>
      </c>
      <c r="K6" t="inlineStr">
        <is>
          <t>Climate leadership</t>
        </is>
      </c>
    </row>
    <row r="7" ht="22" customHeight="1">
      <c r="D7" t="inlineStr">
        <is>
          <t>Follow-up</t>
        </is>
      </c>
      <c r="K7" t="inlineStr">
        <is>
          <t>Nature and biodiversity</t>
        </is>
      </c>
    </row>
    <row r="8" ht="22" customHeight="1">
      <c r="D8" t="inlineStr">
        <is>
          <t>Complete</t>
        </is>
      </c>
      <c r="K8" t="inlineStr">
        <is>
          <t>Responsible AI</t>
        </is>
      </c>
    </row>
    <row r="9" ht="22" customHeight="1">
      <c r="D9" t="inlineStr">
        <is>
          <t>Not required</t>
        </is>
      </c>
      <c r="K9" t="inlineStr">
        <is>
          <t>Estate and infrastructure</t>
        </is>
      </c>
    </row>
    <row r="10" ht="22" customHeight="1">
      <c r="K10" t="inlineStr">
        <is>
          <t>Circular economy</t>
        </is>
      </c>
    </row>
    <row r="11" ht="22" customHeight="1">
      <c r="K11" t="inlineStr">
        <is>
          <t>Responsible procurement</t>
        </is>
      </c>
    </row>
    <row r="12" ht="22" customHeight="1">
      <c r="K12" t="inlineStr">
        <is>
          <t>Modern slavery and human rights</t>
        </is>
      </c>
    </row>
    <row r="13" ht="22" customHeight="1">
      <c r="K13" t="inlineStr">
        <is>
          <t>Responsible investments</t>
        </is>
      </c>
    </row>
    <row r="14" ht="22" customHeight="1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2026-10-20T04:11:43Z</dcterms:created>
  <dcterms:modified xmlns:dcterms="http://purl.org/dc/terms/" xmlns:xsi="http://www.w3.org/2001/XMLSchema-instance" xsi:type="dcterms:W3CDTF">2026-10-20T04:11:43Z</dcterms:modified>
</cp:coreProperties>
</file>