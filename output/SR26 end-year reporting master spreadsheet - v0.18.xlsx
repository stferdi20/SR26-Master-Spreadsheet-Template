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summary'!$B$10:$AC$200</definedName>
    <definedName name="_xlnm._FilterDatabase" localSheetId="20" hidden="1">'T1. Manual target review'!$B$7:$R$274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v0.18 – pilot with 4 faculties (ABP, ARTS, FBE, SCI)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pilot faculties, unit mapping) and re-run to produce request workbooks for additional faculties/units.</t>
        </is>
      </c>
    </row>
    <row r="11" ht="720"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(pilot),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(pilot),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(pilot),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(pilot),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(pilot),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(pilot),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(pilot),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(pilot),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(pilot),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CI&amp;S</t>
        </is>
      </c>
      <c r="C9" s="6" t="inlineStr">
        <is>
          <t>Commercial, Infrastructure &amp; Sustainability (CI&amp;S)</t>
        </is>
      </c>
      <c r="D9" s="6" t="inlineStr">
        <is>
          <t>Corporate Development (CD Development &amp; Estate Planning teams; CD Sustainability Strategy)</t>
        </is>
      </c>
      <c r="E9" s="6" t="inlineStr">
        <is>
          <t>CI&amp;S – Estate Planning &amp; Development (TBC: confirm with Gerard)</t>
        </is>
      </c>
      <c r="F9" s="6" t="inlineStr">
        <is>
          <t>TBC</t>
        </is>
      </c>
      <c r="G9" s="6" t="inlineStr"/>
    </row>
    <row r="10" ht="39" customHeight="1">
      <c r="B10" s="6" t="inlineStr">
        <is>
          <t>CI&amp;S</t>
        </is>
      </c>
      <c r="C10" s="6" t="inlineStr">
        <is>
          <t>Commercial, Infrastructure &amp; Sustainability (CI&amp;S)</t>
        </is>
      </c>
      <c r="D10" s="6" t="inlineStr">
        <is>
          <t>Corporate Development (CD Development &amp; Estate Planning teams; CD Sustainability Strategy)</t>
        </is>
      </c>
      <c r="E10" s="6" t="inlineStr">
        <is>
          <t>CI&amp;S – Sustainability Strategy (incl. CLLAP)</t>
        </is>
      </c>
      <c r="F10" s="6" t="inlineStr">
        <is>
          <t>TBC</t>
        </is>
      </c>
      <c r="G10" s="6" t="inlineStr"/>
    </row>
    <row r="11" ht="39" customHeight="1">
      <c r="B11" s="6" t="inlineStr">
        <is>
          <t>CFOG</t>
        </is>
      </c>
      <c r="C11" s="6" t="inlineStr">
        <is>
          <t>Chief Finance Officer Group (CFOG)</t>
        </is>
      </c>
      <c r="D11" s="6" t="inlineStr">
        <is>
          <t>CFOG (Procurement; Accounting; Treasury &amp; Investments; Enterprise Portfolio &amp; Investments)</t>
        </is>
      </c>
      <c r="E11" s="6" t="inlineStr">
        <is>
          <t>CFOG – Procurement</t>
        </is>
      </c>
      <c r="F11" s="6" t="inlineStr">
        <is>
          <t>TBC</t>
        </is>
      </c>
      <c r="G11" s="6" t="inlineStr"/>
    </row>
    <row r="12" ht="39" customHeight="1">
      <c r="B12" s="6" t="inlineStr">
        <is>
          <t>CFOG</t>
        </is>
      </c>
      <c r="C12" s="6" t="inlineStr">
        <is>
          <t>Chief Finance Officer Group (CFOG)</t>
        </is>
      </c>
      <c r="D12" s="6" t="inlineStr">
        <is>
          <t>CFOG (Procurement; Accounting; Treasury &amp; Investments; Enterprise Portfolio &amp; Investments)</t>
        </is>
      </c>
      <c r="E12" s="6" t="inlineStr">
        <is>
          <t>CFOG – Treasury &amp; Investments</t>
        </is>
      </c>
      <c r="F12" s="6" t="inlineStr">
        <is>
          <t>TBC</t>
        </is>
      </c>
      <c r="G12" s="6" t="inlineStr"/>
    </row>
    <row r="13" ht="56" customHeight="1">
      <c r="B13" s="6" t="inlineStr">
        <is>
          <t>ESG</t>
        </is>
      </c>
      <c r="C13" s="6" t="inlineStr">
        <is>
          <t>Enterprise Services Group (ESG)</t>
        </is>
      </c>
      <c r="D13" s="6" t="inlineStr">
        <is>
          <t>Business Services – Sustainability Delivery (nature &amp; biodiversity, waste &amp; circular economy, part of quant. climate leadership)</t>
        </is>
      </c>
      <c r="E13" s="6" t="inlineStr">
        <is>
          <t>ESG – Campus Operations &amp; Sustainability Delivery</t>
        </is>
      </c>
      <c r="F13" s="6" t="inlineStr">
        <is>
          <t>TBC</t>
        </is>
      </c>
      <c r="G13" s="6" t="inlineStr"/>
    </row>
    <row r="14" ht="22" customHeight="1">
      <c r="B14" s="6" t="inlineStr">
        <is>
          <t>CIOG</t>
        </is>
      </c>
      <c r="C14" s="6" t="inlineStr">
        <is>
          <t>Chief Information Officer Group (CIOG)</t>
        </is>
      </c>
      <c r="D14" s="6" t="inlineStr">
        <is>
          <t>Business Services (AI – not requested in SR25)</t>
        </is>
      </c>
      <c r="E14" s="6" t="inlineStr">
        <is>
          <t>CIOG – Responsible AI &amp; digital</t>
        </is>
      </c>
      <c r="F14" s="6" t="inlineStr">
        <is>
          <t>TBC</t>
        </is>
      </c>
      <c r="G14" s="6" t="inlineStr"/>
    </row>
    <row r="15" ht="22" customHeight="1">
      <c r="B15" s="6" t="inlineStr">
        <is>
          <t>MRE</t>
        </is>
      </c>
      <c r="C15" s="6" t="inlineStr">
        <is>
          <t>Melbourne Research and Enterprise (MRE)</t>
        </is>
      </c>
      <c r="D15" s="6" t="inlineStr">
        <is>
          <t>Chancellery Research and Enterprise</t>
        </is>
      </c>
      <c r="E15" s="6" t="inlineStr">
        <is>
          <t>MRE – Research (incl. MBI – TBC)</t>
        </is>
      </c>
      <c r="F15" s="6" t="inlineStr">
        <is>
          <t>TBC</t>
        </is>
      </c>
      <c r="G15" s="6" t="inlineStr"/>
    </row>
    <row r="16" ht="39" customHeight="1">
      <c r="B16" s="6" t="inlineStr">
        <is>
          <t>AC&amp;M</t>
        </is>
      </c>
      <c r="C16" s="6" t="inlineStr">
        <is>
          <t>Advancement, Communication and Marketing (AC&amp;M)</t>
        </is>
      </c>
      <c r="D16" s="6" t="inlineStr">
        <is>
          <t>Chancellery – Advancement, Communications &amp; Marketing</t>
        </is>
      </c>
      <c r="E16" s="6" t="inlineStr">
        <is>
          <t>AC&amp;M – Advancement, Communication and Marketing</t>
        </is>
      </c>
      <c r="F16" s="6" t="inlineStr">
        <is>
          <t>TBC</t>
        </is>
      </c>
      <c r="G16" s="6" t="inlineStr"/>
    </row>
    <row r="17" ht="22" customHeight="1">
      <c r="B17" s="6" t="inlineStr">
        <is>
          <t>GCE</t>
        </is>
      </c>
      <c r="C17" s="6" t="inlineStr">
        <is>
          <t>Global, Culture and Engagement (GCE)</t>
        </is>
      </c>
      <c r="D17" s="6" t="inlineStr">
        <is>
          <t>Chancellery – Global, Culture and Engagement</t>
        </is>
      </c>
      <c r="E17" s="6" t="inlineStr">
        <is>
          <t>GCE – Global, Culture and Engagement</t>
        </is>
      </c>
      <c r="F17" s="6" t="inlineStr">
        <is>
          <t>TBC</t>
        </is>
      </c>
      <c r="G17" s="6" t="inlineStr"/>
    </row>
    <row r="18" ht="22" customHeight="1">
      <c r="B18" s="6" t="inlineStr">
        <is>
          <t>Education</t>
        </is>
      </c>
      <c r="C18" s="6" t="inlineStr">
        <is>
          <t>Chancellery Education</t>
        </is>
      </c>
      <c r="D18" s="6" t="inlineStr">
        <is>
          <t>Chancellery – Chancellery Education</t>
        </is>
      </c>
      <c r="E18" s="6" t="inlineStr">
        <is>
          <t>Education – Chancellery Education</t>
        </is>
      </c>
      <c r="F18" s="6" t="inlineStr">
        <is>
          <t>TBC</t>
        </is>
      </c>
      <c r="G18" s="6" t="inlineStr"/>
    </row>
    <row r="19" ht="22" customHeight="1">
      <c r="B19" s="6" t="inlineStr">
        <is>
          <t>SaSS</t>
        </is>
      </c>
      <c r="C19" s="6" t="inlineStr">
        <is>
          <t>Student and Scholarly Services (SaSS)</t>
        </is>
      </c>
      <c r="D19" s="6" t="inlineStr">
        <is>
          <t>Chancellery – Student and scholarly services</t>
        </is>
      </c>
      <c r="E19" s="6" t="inlineStr">
        <is>
          <t>SaSS – Student and Scholarly Services</t>
        </is>
      </c>
      <c r="F19" s="6" t="inlineStr">
        <is>
          <t>TBC</t>
        </is>
      </c>
      <c r="G19" s="6" t="inlineStr"/>
    </row>
    <row r="20" ht="22" customHeight="1">
      <c r="B20" s="6" t="inlineStr">
        <is>
          <t>Indigenous</t>
        </is>
      </c>
      <c r="C20" s="6" t="inlineStr">
        <is>
          <t>Chancellery Indigenous</t>
        </is>
      </c>
      <c r="D20" s="6" t="inlineStr">
        <is>
          <t>Chancellery – Chancellery Indigenous</t>
        </is>
      </c>
      <c r="E20" s="6" t="inlineStr">
        <is>
          <t>Indigenous – Chancellery Indigenous</t>
        </is>
      </c>
      <c r="F20" s="6" t="inlineStr">
        <is>
          <t>TBC</t>
        </is>
      </c>
      <c r="G20" s="6" t="inlineStr"/>
    </row>
    <row r="21" ht="22" customHeight="1">
      <c r="B21" s="6" t="inlineStr">
        <is>
          <t>L&amp;R</t>
        </is>
      </c>
      <c r="C21" s="6" t="inlineStr">
        <is>
          <t>Legal and Risk</t>
        </is>
      </c>
      <c r="D21" s="6" t="inlineStr">
        <is>
          <t>Legal and Risk</t>
        </is>
      </c>
      <c r="E21" s="6" t="inlineStr">
        <is>
          <t>Legal &amp; Risk – Risk &amp; resilience</t>
        </is>
      </c>
      <c r="F21" s="6" t="inlineStr">
        <is>
          <t>TBC</t>
        </is>
      </c>
      <c r="G21" s="6" t="inlineStr"/>
    </row>
    <row r="22" ht="39" customHeight="1">
      <c r="B22" s="6" t="inlineStr">
        <is>
          <t>TBC</t>
        </is>
      </c>
      <c r="C22" s="6" t="inlineStr">
        <is>
          <t>CGOP / CDEP / CDSS</t>
        </is>
      </c>
      <c r="D22" s="6" t="inlineStr">
        <is>
          <t>Not in SR25 master</t>
        </is>
      </c>
      <c r="E22" s="6" t="inlineStr">
        <is>
          <t>—</t>
        </is>
      </c>
      <c r="F22" s="6" t="inlineStr">
        <is>
          <t>TBC</t>
        </is>
      </c>
      <c r="G22" s="6" t="inlineStr">
        <is>
          <t>Structure changes TBC – confirm before requests are issued.</t>
        </is>
      </c>
    </row>
    <row r="23"/>
    <row r="24"/>
    <row r="25" ht="22" customHeight="1">
      <c r="B25"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51" customHeight="1">
      <c r="H3" t="inlineStr">
        <is>
          <t>SST contact (SR25 – confirm) &gt;&gt;</t>
        </is>
      </c>
      <c r="I3" s="20" t="inlineStr">
        <is>
          <t>ABP Gerard; Arts Rose; FBE Katie; SCI Katie</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6"/>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COUNTIF($N$10:$N$26,"Not sent")</f>
        <v/>
      </c>
      <c r="E6">
        <f>COUNTIF($N$10:$N$26,"Sent")</f>
        <v/>
      </c>
      <c r="G6">
        <f>COUNTIF($N$10:$N$26,"1:1 meeting")</f>
        <v/>
      </c>
      <c r="I6">
        <f>COUNTIF($N$10:$N$26,"Received")</f>
        <v/>
      </c>
      <c r="L6" s="41">
        <f>IFERROR((COUNTIF($N$10:$N$26,"Received")+COUNTIF($N$10:$N$26,"First review")+COUNTIF($N$10:$N$26,"Follow-up")+COUNTIF($N$10:$N$26,"Complete"))/(COUNTA($N$10:$N$26)-COUNTIF($N$10:$N$26,"Not required")),0)</f>
        <v/>
      </c>
      <c r="N6">
        <f>SUM($M$10:$M$26)&amp;" / "&amp;SUM($F$10:$F$26)</f>
        <v/>
      </c>
    </row>
    <row r="7" ht="22" customHeight="1">
      <c r="C7" s="30" t="inlineStr">
        <is>
          <t>First review</t>
        </is>
      </c>
      <c r="E7" s="30" t="inlineStr">
        <is>
          <t>Follow-up</t>
        </is>
      </c>
      <c r="G7" s="30" t="inlineStr">
        <is>
          <t>Complete</t>
        </is>
      </c>
      <c r="I7" s="30" t="inlineStr">
        <is>
          <t>Not required</t>
        </is>
      </c>
    </row>
    <row r="8">
      <c r="C8">
        <f>COUNTIF($N$10:$N$26,"First review")</f>
        <v/>
      </c>
      <c r="E8">
        <f>COUNTIF($N$10:$N$26,"Follow-up")</f>
        <v/>
      </c>
      <c r="G8">
        <f>COUNTIF($N$10:$N$26,"Complete")</f>
        <v/>
      </c>
      <c r="I8">
        <f>COUNTIF($N$10:$N$26,"Not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C1</t>
        </is>
      </c>
      <c r="C14" s="6" t="inlineStr">
        <is>
          <t>Central</t>
        </is>
      </c>
      <c r="D14" s="6" t="inlineStr">
        <is>
          <t>CI&amp;S – Estate Planning &amp; Development (TBC: confirm with Gerard)</t>
        </is>
      </c>
      <c r="E14" s="6" t="inlineStr">
        <is>
          <t>TBC</t>
        </is>
      </c>
      <c r="F14" s="6" t="n">
        <v>5</v>
      </c>
      <c r="G14" s="6" t="inlineStr">
        <is>
          <t>CIandS - SR26 sustainability reporting request.xlsx</t>
        </is>
      </c>
      <c r="H14" s="42" t="n"/>
      <c r="I14" s="42" t="n">
        <v>46371</v>
      </c>
      <c r="J14" s="42">
        <f>IF(I14="","",I14-7)</f>
        <v/>
      </c>
      <c r="K14" s="42" t="inlineStr"/>
      <c r="L14" s="6">
        <f>SUMPRODUCT(--((LEN('CI&amp;S'!$L$10:$L$15)+LEN('CI&amp;S'!$M$10:$M$15))&gt;0))</f>
        <v/>
      </c>
      <c r="M14" s="6">
        <f>COUNTIF('CI&amp;S'!$P$10:$P$15,"Yes")</f>
        <v/>
      </c>
      <c r="N14" s="6" t="inlineStr">
        <is>
          <t>Not sent</t>
        </is>
      </c>
      <c r="O14" s="6">
        <f>IF(OR(I14="",L14&gt;=F14),"",MAX(0,TODAY()-I14))</f>
        <v/>
      </c>
      <c r="P14" s="6" t="inlineStr"/>
    </row>
    <row r="15" ht="39" customHeight="1">
      <c r="B15" s="6" t="inlineStr">
        <is>
          <t>C2</t>
        </is>
      </c>
      <c r="C15" s="6" t="inlineStr">
        <is>
          <t>Central</t>
        </is>
      </c>
      <c r="D15" s="6" t="inlineStr">
        <is>
          <t>CI&amp;S – Sustainability Strategy (incl. CLLAP)</t>
        </is>
      </c>
      <c r="E15" s="6" t="inlineStr">
        <is>
          <t>TBC</t>
        </is>
      </c>
      <c r="F15" s="6" t="n">
        <v>14</v>
      </c>
      <c r="G15" s="6" t="inlineStr">
        <is>
          <t>CIandS - SR26 sustainability reporting request.xlsx</t>
        </is>
      </c>
      <c r="H15" s="42" t="n"/>
      <c r="I15" s="42" t="n">
        <v>46371</v>
      </c>
      <c r="J15" s="42">
        <f>IF(I15="","",I15-7)</f>
        <v/>
      </c>
      <c r="K15" s="42" t="inlineStr"/>
      <c r="L15" s="6">
        <f>SUMPRODUCT(--((LEN('CI&amp;S'!$L$22:$L$36)+LEN('CI&amp;S'!$M$22:$M$36))&gt;0))</f>
        <v/>
      </c>
      <c r="M15" s="6">
        <f>COUNTIF('CI&amp;S'!$P$22:$P$36,"Yes")</f>
        <v/>
      </c>
      <c r="N15" s="6" t="inlineStr">
        <is>
          <t>Not sent</t>
        </is>
      </c>
      <c r="O15" s="6">
        <f>IF(OR(I15="",L15&gt;=F15),"",MAX(0,TODAY()-I15))</f>
        <v/>
      </c>
      <c r="P15" s="6" t="inlineStr"/>
    </row>
    <row r="16" ht="39" customHeight="1">
      <c r="B16" s="6" t="inlineStr">
        <is>
          <t>C3</t>
        </is>
      </c>
      <c r="C16" s="6" t="inlineStr">
        <is>
          <t>Central</t>
        </is>
      </c>
      <c r="D16" s="6" t="inlineStr">
        <is>
          <t>CFOG – Procurement</t>
        </is>
      </c>
      <c r="E16" s="6" t="inlineStr">
        <is>
          <t>TBC</t>
        </is>
      </c>
      <c r="F16" s="6" t="n">
        <v>6</v>
      </c>
      <c r="G16" s="6" t="inlineStr">
        <is>
          <t>CFOG - SR26 sustainability reporting request.xlsx</t>
        </is>
      </c>
      <c r="H16" s="42" t="n"/>
      <c r="I16" s="42" t="n">
        <v>46371</v>
      </c>
      <c r="J16" s="42">
        <f>IF(I16="","",I16-7)</f>
        <v/>
      </c>
      <c r="K16" s="42" t="inlineStr"/>
      <c r="L16" s="6">
        <f>SUMPRODUCT(--((LEN('CFOG'!$L$10:$L$16)+LEN('CFOG'!$M$10:$M$16))&gt;0))</f>
        <v/>
      </c>
      <c r="M16" s="6">
        <f>COUNTIF('CFOG'!$P$10:$P$16,"Yes")</f>
        <v/>
      </c>
      <c r="N16" s="6" t="inlineStr">
        <is>
          <t>Not sent</t>
        </is>
      </c>
      <c r="O16" s="6">
        <f>IF(OR(I16="",L16&gt;=F16),"",MAX(0,TODAY()-I16))</f>
        <v/>
      </c>
      <c r="P16" s="6" t="inlineStr"/>
    </row>
    <row r="17" ht="39" customHeight="1">
      <c r="B17" s="6" t="inlineStr">
        <is>
          <t>C4</t>
        </is>
      </c>
      <c r="C17" s="6" t="inlineStr">
        <is>
          <t>Central</t>
        </is>
      </c>
      <c r="D17" s="6" t="inlineStr">
        <is>
          <t>CFOG – Treasury &amp; Investments</t>
        </is>
      </c>
      <c r="E17" s="6" t="inlineStr">
        <is>
          <t>TBC</t>
        </is>
      </c>
      <c r="F17" s="6" t="n">
        <v>1</v>
      </c>
      <c r="G17" s="6" t="inlineStr">
        <is>
          <t>CFOG - SR26 sustainability reporting request.xlsx</t>
        </is>
      </c>
      <c r="H17" s="42" t="n"/>
      <c r="I17" s="42" t="n">
        <v>46371</v>
      </c>
      <c r="J17" s="42">
        <f>IF(I17="","",I17-7)</f>
        <v/>
      </c>
      <c r="K17" s="42" t="inlineStr"/>
      <c r="L17" s="6">
        <f>SUMPRODUCT(--((LEN('CFOG'!$L$23:$L$24)+LEN('CFOG'!$M$23:$M$24))&gt;0))</f>
        <v/>
      </c>
      <c r="M17" s="6">
        <f>COUNTIF('CFOG'!$P$23:$P$24,"Yes")</f>
        <v/>
      </c>
      <c r="N17" s="6" t="inlineStr">
        <is>
          <t>Not sent</t>
        </is>
      </c>
      <c r="O17" s="6">
        <f>IF(OR(I17="",L17&gt;=F17),"",MAX(0,TODAY()-I17))</f>
        <v/>
      </c>
      <c r="P17" s="6" t="inlineStr"/>
    </row>
    <row r="18" ht="39" customHeight="1">
      <c r="B18" s="6" t="inlineStr">
        <is>
          <t>C5</t>
        </is>
      </c>
      <c r="C18" s="6" t="inlineStr">
        <is>
          <t>Central</t>
        </is>
      </c>
      <c r="D18" s="6" t="inlineStr">
        <is>
          <t>ESG – Campus Operations &amp; Sustainability Delivery</t>
        </is>
      </c>
      <c r="E18" s="6" t="inlineStr">
        <is>
          <t>TBC</t>
        </is>
      </c>
      <c r="F18" s="6" t="n">
        <v>7</v>
      </c>
      <c r="G18" s="6" t="inlineStr">
        <is>
          <t>ESG - SR26 sustainability reporting request.xlsx</t>
        </is>
      </c>
      <c r="H18" s="42" t="n"/>
      <c r="I18" s="42" t="n">
        <v>46371</v>
      </c>
      <c r="J18" s="42">
        <f>IF(I18="","",I18-7)</f>
        <v/>
      </c>
      <c r="K18" s="42" t="inlineStr"/>
      <c r="L18" s="6">
        <f>SUMPRODUCT(--((LEN('ESG'!$L$10:$L$17)+LEN('ESG'!$M$10:$M$17))&gt;0))</f>
        <v/>
      </c>
      <c r="M18" s="6">
        <f>COUNTIF('ESG'!$P$10:$P$17,"Yes")</f>
        <v/>
      </c>
      <c r="N18" s="6" t="inlineStr">
        <is>
          <t>Not sent</t>
        </is>
      </c>
      <c r="O18" s="6">
        <f>IF(OR(I18="",L18&gt;=F18),"",MAX(0,TODAY()-I18))</f>
        <v/>
      </c>
      <c r="P18" s="6" t="inlineStr"/>
    </row>
    <row r="19" ht="39" customHeight="1">
      <c r="B19" s="6" t="inlineStr">
        <is>
          <t>C6</t>
        </is>
      </c>
      <c r="C19" s="6" t="inlineStr">
        <is>
          <t>Central</t>
        </is>
      </c>
      <c r="D19" s="6" t="inlineStr">
        <is>
          <t>CIOG – Responsible AI &amp; digital</t>
        </is>
      </c>
      <c r="E19" s="6" t="inlineStr">
        <is>
          <t>TBC</t>
        </is>
      </c>
      <c r="F19" s="6" t="n">
        <v>4</v>
      </c>
      <c r="G19" s="6" t="inlineStr">
        <is>
          <t>CIOG - SR26 sustainability reporting request.xlsx</t>
        </is>
      </c>
      <c r="H19" s="42" t="n"/>
      <c r="I19" s="42" t="n">
        <v>46371</v>
      </c>
      <c r="J19" s="42">
        <f>IF(I19="","",I19-7)</f>
        <v/>
      </c>
      <c r="K19" s="42" t="inlineStr"/>
      <c r="L19" s="6">
        <f>SUMPRODUCT(--((LEN('CIOG'!$L$10:$L$14)+LEN('CIOG'!$M$10:$M$14))&gt;0))</f>
        <v/>
      </c>
      <c r="M19" s="6">
        <f>COUNTIF('CIOG'!$P$10:$P$14,"Yes")</f>
        <v/>
      </c>
      <c r="N19" s="6" t="inlineStr">
        <is>
          <t>Not sent</t>
        </is>
      </c>
      <c r="O19" s="6">
        <f>IF(OR(I19="",L19&gt;=F19),"",MAX(0,TODAY()-I19))</f>
        <v/>
      </c>
      <c r="P19" s="6" t="inlineStr"/>
    </row>
    <row r="20" ht="39" customHeight="1">
      <c r="B20" s="6" t="inlineStr">
        <is>
          <t>C7</t>
        </is>
      </c>
      <c r="C20" s="6" t="inlineStr">
        <is>
          <t>Central</t>
        </is>
      </c>
      <c r="D20" s="6" t="inlineStr">
        <is>
          <t>MRE – Research (incl. MBI – TBC)</t>
        </is>
      </c>
      <c r="E20" s="6" t="inlineStr">
        <is>
          <t>TBC</t>
        </is>
      </c>
      <c r="F20" s="6" t="n">
        <v>8</v>
      </c>
      <c r="G20" s="6" t="inlineStr">
        <is>
          <t>MRE - SR26 sustainability reporting request.xlsx</t>
        </is>
      </c>
      <c r="H20" s="42" t="n"/>
      <c r="I20" s="42" t="n">
        <v>46371</v>
      </c>
      <c r="J20" s="42">
        <f>IF(I20="","",I20-7)</f>
        <v/>
      </c>
      <c r="K20" s="42" t="inlineStr"/>
      <c r="L20" s="6">
        <f>SUMPRODUCT(--((LEN('MRE'!$L$10:$L$18)+LEN('MRE'!$M$10:$M$18))&gt;0))</f>
        <v/>
      </c>
      <c r="M20" s="6">
        <f>COUNTIF('MRE'!$P$10:$P$18,"Yes")</f>
        <v/>
      </c>
      <c r="N20" s="6" t="inlineStr">
        <is>
          <t>Not sent</t>
        </is>
      </c>
      <c r="O20" s="6">
        <f>IF(OR(I20="",L20&gt;=F20),"",MAX(0,TODAY()-I20))</f>
        <v/>
      </c>
      <c r="P20" s="6" t="inlineStr"/>
    </row>
    <row r="21" ht="39" customHeight="1">
      <c r="B21" s="6" t="inlineStr">
        <is>
          <t>C8</t>
        </is>
      </c>
      <c r="C21" s="6" t="inlineStr">
        <is>
          <t>Central</t>
        </is>
      </c>
      <c r="D21" s="6" t="inlineStr">
        <is>
          <t>AC&amp;M – Advancement, Communication and Marketing</t>
        </is>
      </c>
      <c r="E21" s="6" t="inlineStr">
        <is>
          <t>TBC</t>
        </is>
      </c>
      <c r="F21" s="6" t="n">
        <v>4</v>
      </c>
      <c r="G21" s="6" t="inlineStr">
        <is>
          <t>ACM - SR26 sustainability reporting request.xlsx</t>
        </is>
      </c>
      <c r="H21" s="42" t="n"/>
      <c r="I21" s="42" t="n">
        <v>46371</v>
      </c>
      <c r="J21" s="42">
        <f>IF(I21="","",I21-7)</f>
        <v/>
      </c>
      <c r="K21" s="42" t="inlineStr"/>
      <c r="L21" s="6">
        <f>SUMPRODUCT(--((LEN('AC&amp;M'!$L$10:$L$14)+LEN('AC&amp;M'!$M$10:$M$14))&gt;0))</f>
        <v/>
      </c>
      <c r="M21" s="6">
        <f>COUNTIF('AC&amp;M'!$P$10:$P$14,"Yes")</f>
        <v/>
      </c>
      <c r="N21" s="6" t="inlineStr">
        <is>
          <t>Not sent</t>
        </is>
      </c>
      <c r="O21" s="6">
        <f>IF(OR(I21="",L21&gt;=F21),"",MAX(0,TODAY()-I21))</f>
        <v/>
      </c>
      <c r="P21" s="6" t="inlineStr"/>
    </row>
    <row r="22" ht="39" customHeight="1">
      <c r="B22" s="6" t="inlineStr">
        <is>
          <t>C9</t>
        </is>
      </c>
      <c r="C22" s="6" t="inlineStr">
        <is>
          <t>Central</t>
        </is>
      </c>
      <c r="D22" s="6" t="inlineStr">
        <is>
          <t>GCE – Global, Culture and Engagement</t>
        </is>
      </c>
      <c r="E22" s="6" t="inlineStr">
        <is>
          <t>TBC</t>
        </is>
      </c>
      <c r="F22" s="6" t="n">
        <v>2</v>
      </c>
      <c r="G22" s="6" t="inlineStr">
        <is>
          <t>GCE - SR26 sustainability reporting request.xlsx</t>
        </is>
      </c>
      <c r="H22" s="42" t="n"/>
      <c r="I22" s="42" t="n">
        <v>46371</v>
      </c>
      <c r="J22" s="42">
        <f>IF(I22="","",I22-7)</f>
        <v/>
      </c>
      <c r="K22" s="42" t="inlineStr"/>
      <c r="L22" s="6">
        <f>SUMPRODUCT(--((LEN('GCE'!$L$10:$L$12)+LEN('GCE'!$M$10:$M$12))&gt;0))</f>
        <v/>
      </c>
      <c r="M22" s="6">
        <f>COUNTIF('GCE'!$P$10:$P$12,"Yes")</f>
        <v/>
      </c>
      <c r="N22" s="6" t="inlineStr">
        <is>
          <t>Not sent</t>
        </is>
      </c>
      <c r="O22" s="6">
        <f>IF(OR(I22="",L22&gt;=F22),"",MAX(0,TODAY()-I22))</f>
        <v/>
      </c>
      <c r="P22" s="6" t="inlineStr"/>
    </row>
    <row r="23" ht="39" customHeight="1">
      <c r="B23" s="6" t="inlineStr">
        <is>
          <t>C10</t>
        </is>
      </c>
      <c r="C23" s="6" t="inlineStr">
        <is>
          <t>Central</t>
        </is>
      </c>
      <c r="D23" s="6" t="inlineStr">
        <is>
          <t>Education – Chancellery Education</t>
        </is>
      </c>
      <c r="E23" s="6" t="inlineStr">
        <is>
          <t>TBC</t>
        </is>
      </c>
      <c r="F23" s="6" t="n">
        <v>3</v>
      </c>
      <c r="G23" s="6" t="inlineStr">
        <is>
          <t>Education - SR26 sustainability reporting request.xlsx</t>
        </is>
      </c>
      <c r="H23" s="42" t="n"/>
      <c r="I23" s="42" t="n">
        <v>46371</v>
      </c>
      <c r="J23" s="42">
        <f>IF(I23="","",I23-7)</f>
        <v/>
      </c>
      <c r="K23" s="42" t="inlineStr"/>
      <c r="L23" s="6">
        <f>SUMPRODUCT(--((LEN('Education'!$L$10:$L$13)+LEN('Education'!$M$10:$M$13))&gt;0))</f>
        <v/>
      </c>
      <c r="M23" s="6">
        <f>COUNTIF('Education'!$P$10:$P$13,"Yes")</f>
        <v/>
      </c>
      <c r="N23" s="6" t="inlineStr">
        <is>
          <t>Not sent</t>
        </is>
      </c>
      <c r="O23" s="6">
        <f>IF(OR(I23="",L23&gt;=F23),"",MAX(0,TODAY()-I23))</f>
        <v/>
      </c>
      <c r="P23" s="6" t="inlineStr"/>
    </row>
    <row r="24" ht="39" customHeight="1">
      <c r="B24" s="6" t="inlineStr">
        <is>
          <t>C11</t>
        </is>
      </c>
      <c r="C24" s="6" t="inlineStr">
        <is>
          <t>Central</t>
        </is>
      </c>
      <c r="D24" s="6" t="inlineStr">
        <is>
          <t>SaSS – Student and Scholarly Services</t>
        </is>
      </c>
      <c r="E24" s="6" t="inlineStr">
        <is>
          <t>TBC</t>
        </is>
      </c>
      <c r="F24" s="6" t="n">
        <v>2</v>
      </c>
      <c r="G24" s="6" t="inlineStr">
        <is>
          <t>SaSS - SR26 sustainability reporting request.xlsx</t>
        </is>
      </c>
      <c r="H24" s="42" t="n"/>
      <c r="I24" s="42" t="n">
        <v>46371</v>
      </c>
      <c r="J24" s="42">
        <f>IF(I24="","",I24-7)</f>
        <v/>
      </c>
      <c r="K24" s="42" t="inlineStr"/>
      <c r="L24" s="6">
        <f>SUMPRODUCT(--((LEN('SaSS'!$L$10:$L$12)+LEN('SaSS'!$M$10:$M$12))&gt;0))</f>
        <v/>
      </c>
      <c r="M24" s="6">
        <f>COUNTIF('SaSS'!$P$10:$P$12,"Yes")</f>
        <v/>
      </c>
      <c r="N24" s="6" t="inlineStr">
        <is>
          <t>Not sent</t>
        </is>
      </c>
      <c r="O24" s="6">
        <f>IF(OR(I24="",L24&gt;=F24),"",MAX(0,TODAY()-I24))</f>
        <v/>
      </c>
      <c r="P24" s="6" t="inlineStr"/>
    </row>
    <row r="25" ht="39" customHeight="1">
      <c r="B25" s="6" t="inlineStr">
        <is>
          <t>C12</t>
        </is>
      </c>
      <c r="C25" s="6" t="inlineStr">
        <is>
          <t>Central</t>
        </is>
      </c>
      <c r="D25" s="6" t="inlineStr">
        <is>
          <t>Indigenous – Chancellery Indigenous</t>
        </is>
      </c>
      <c r="E25" s="6" t="inlineStr">
        <is>
          <t>TBC</t>
        </is>
      </c>
      <c r="F25" s="6" t="n">
        <v>1</v>
      </c>
      <c r="G25" s="6" t="inlineStr">
        <is>
          <t>Indigenous - SR26 sustainability reporting request.xlsx</t>
        </is>
      </c>
      <c r="H25" s="42" t="n"/>
      <c r="I25" s="42" t="n">
        <v>46371</v>
      </c>
      <c r="J25" s="42">
        <f>IF(I25="","",I25-7)</f>
        <v/>
      </c>
      <c r="K25" s="42" t="inlineStr"/>
      <c r="L25" s="6">
        <f>SUMPRODUCT(--((LEN('Indigenous'!$L$10:$L$11)+LEN('Indigenous'!$M$10:$M$11))&gt;0))</f>
        <v/>
      </c>
      <c r="M25" s="6">
        <f>COUNTIF('Indigenous'!$P$10:$P$11,"Yes")</f>
        <v/>
      </c>
      <c r="N25" s="6" t="inlineStr">
        <is>
          <t>Not sent</t>
        </is>
      </c>
      <c r="O25" s="6">
        <f>IF(OR(I25="",L25&gt;=F25),"",MAX(0,TODAY()-I25))</f>
        <v/>
      </c>
      <c r="P25" s="6" t="inlineStr"/>
    </row>
    <row r="26" ht="39" customHeight="1">
      <c r="B26" s="6" t="inlineStr">
        <is>
          <t>C13</t>
        </is>
      </c>
      <c r="C26" s="6" t="inlineStr">
        <is>
          <t>Central</t>
        </is>
      </c>
      <c r="D26" s="6" t="inlineStr">
        <is>
          <t>Legal &amp; Risk – Risk &amp; resilience</t>
        </is>
      </c>
      <c r="E26" s="6" t="inlineStr">
        <is>
          <t>TBC</t>
        </is>
      </c>
      <c r="F26" s="6" t="n">
        <v>1</v>
      </c>
      <c r="G26" s="6" t="inlineStr">
        <is>
          <t>LandR - SR26 sustainability reporting request.xlsx</t>
        </is>
      </c>
      <c r="H26" s="42" t="n"/>
      <c r="I26" s="42" t="n">
        <v>46371</v>
      </c>
      <c r="J26" s="42">
        <f>IF(I26="","",I26-7)</f>
        <v/>
      </c>
      <c r="K26" s="42" t="inlineStr"/>
      <c r="L26" s="6">
        <f>SUMPRODUCT(--((LEN('L&amp;R'!$L$10:$L$11)+LEN('L&amp;R'!$M$10:$M$11))&gt;0))</f>
        <v/>
      </c>
      <c r="M26" s="6">
        <f>COUNTIF('L&amp;R'!$P$10:$P$11,"Yes")</f>
        <v/>
      </c>
      <c r="N26" s="6" t="inlineStr">
        <is>
          <t>Not sent</t>
        </is>
      </c>
      <c r="O26" s="6">
        <f>IF(OR(I26="",L26&gt;=F26),"",MAX(0,TODAY()-I26))</f>
        <v/>
      </c>
      <c r="P26" s="6" t="inlineStr"/>
    </row>
  </sheetData>
  <dataValidations count="1">
    <dataValidation sqref="N10:N26"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6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IFERROR(IF(INDEX('[1]1. Reporting template'!$L$1:$L$400,MATCH($B10,'[1]1. Reporting template'!$B$1:$B$400,0))="","",INDEX('[1]1. Reporting template'!$L$1:$L$400,MATCH($B10,'[1]1. Reporting template'!$B$1:$B$400,0))),"")</f>
        <v/>
      </c>
      <c r="M10" s="8">
        <f>IFERROR(IF(INDEX('[1]1. Reporting template'!$M$1:$M$400,MATCH($B10,'[1]1. Reporting template'!$B$1:$B$400,0))="","",INDEX('[1]1. Reporting template'!$M$1:$M$400,MATCH($B10,'[1]1. Reporting template'!$B$1:$B$400,0))),"")</f>
        <v/>
      </c>
      <c r="N10" s="8">
        <f>IFERROR(IF(INDEX('[1]1. Reporting template'!$N$1:$N$400,MATCH($B10,'[1]1. Reporting template'!$B$1:$B$400,0))="","",INDEX('[1]1. Reporting template'!$N$1:$N$400,MATCH($B10,'[1]1. Reporting template'!$B$1:$B$400,0))),"")</f>
        <v/>
      </c>
      <c r="O10" s="8">
        <f>IFERROR(IF(INDEX('[1]1. Reporting template'!$O$1:$O$400,MATCH($B10,'[1]1. Reporting template'!$B$1:$B$400,0))="","",INDEX('[1]1. Reporting template'!$O$1:$O$400,MATCH($B10,'[1]1. Reporting template'!$B$1:$B$400,0))),"")</f>
        <v/>
      </c>
      <c r="P10" s="8">
        <f>IFERROR(IF(INDEX('[1]1. Reporting template'!$P$1:$P$400,MATCH($B10,'[1]1. Reporting template'!$B$1:$B$400,0))="","",INDEX('[1]1. Reporting template'!$P$1:$P$400,MATCH($B10,'[1]1. Reporting template'!$B$1:$B$400,0))),"")</f>
        <v/>
      </c>
      <c r="Q10" s="8">
        <f>IFERROR(IF(INDEX('[1]1. Reporting template'!$Q$1:$Q$400,MATCH($B10,'[1]1. Reporting template'!$B$1:$B$400,0))="","",INDEX('[1]1. Reporting template'!$Q$1:$Q$400,MATCH($B10,'[1]1. Reporting template'!$B$1:$B$400,0))),"")</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IFERROR(IF(INDEX('[1]1. Reporting template'!$L$1:$L$400,MATCH($B11,'[1]1. Reporting template'!$B$1:$B$400,0))="","",INDEX('[1]1. Reporting template'!$L$1:$L$400,MATCH($B11,'[1]1. Reporting template'!$B$1:$B$400,0))),"")</f>
        <v/>
      </c>
      <c r="M11" s="8">
        <f>IFERROR(IF(INDEX('[1]1. Reporting template'!$M$1:$M$400,MATCH($B11,'[1]1. Reporting template'!$B$1:$B$400,0))="","",INDEX('[1]1. Reporting template'!$M$1:$M$400,MATCH($B11,'[1]1. Reporting template'!$B$1:$B$400,0))),"")</f>
        <v/>
      </c>
      <c r="N11" s="8">
        <f>IFERROR(IF(INDEX('[1]1. Reporting template'!$N$1:$N$400,MATCH($B11,'[1]1. Reporting template'!$B$1:$B$400,0))="","",INDEX('[1]1. Reporting template'!$N$1:$N$400,MATCH($B11,'[1]1. Reporting template'!$B$1:$B$400,0))),"")</f>
        <v/>
      </c>
      <c r="O11" s="8">
        <f>IFERROR(IF(INDEX('[1]1. Reporting template'!$O$1:$O$400,MATCH($B11,'[1]1. Reporting template'!$B$1:$B$400,0))="","",INDEX('[1]1. Reporting template'!$O$1:$O$400,MATCH($B11,'[1]1. Reporting template'!$B$1:$B$400,0))),"")</f>
        <v/>
      </c>
      <c r="P11" s="8">
        <f>IFERROR(IF(INDEX('[1]1. Reporting template'!$P$1:$P$400,MATCH($B11,'[1]1. Reporting template'!$B$1:$B$400,0))="","",INDEX('[1]1. Reporting template'!$P$1:$P$400,MATCH($B11,'[1]1. Reporting template'!$B$1:$B$400,0))),"")</f>
        <v/>
      </c>
      <c r="Q11" s="8">
        <f>IFERROR(IF(INDEX('[1]1. Reporting template'!$Q$1:$Q$400,MATCH($B11,'[1]1. Reporting template'!$B$1:$B$400,0))="","",INDEX('[1]1. Reporting template'!$Q$1:$Q$400,MATCH($B11,'[1]1. Reporting template'!$B$1:$B$400,0))),"")</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IFERROR(IF(INDEX('[1]1. Reporting template'!$L$1:$L$400,MATCH($B12,'[1]1. Reporting template'!$B$1:$B$400,0))="","",INDEX('[1]1. Reporting template'!$L$1:$L$400,MATCH($B12,'[1]1. Reporting template'!$B$1:$B$400,0))),"")</f>
        <v/>
      </c>
      <c r="M12" s="8">
        <f>IFERROR(IF(INDEX('[1]1. Reporting template'!$M$1:$M$400,MATCH($B12,'[1]1. Reporting template'!$B$1:$B$400,0))="","",INDEX('[1]1. Reporting template'!$M$1:$M$400,MATCH($B12,'[1]1. Reporting template'!$B$1:$B$400,0))),"")</f>
        <v/>
      </c>
      <c r="N12" s="8">
        <f>IFERROR(IF(INDEX('[1]1. Reporting template'!$N$1:$N$400,MATCH($B12,'[1]1. Reporting template'!$B$1:$B$400,0))="","",INDEX('[1]1. Reporting template'!$N$1:$N$400,MATCH($B12,'[1]1. Reporting template'!$B$1:$B$400,0))),"")</f>
        <v/>
      </c>
      <c r="O12" s="8">
        <f>IFERROR(IF(INDEX('[1]1. Reporting template'!$O$1:$O$400,MATCH($B12,'[1]1. Reporting template'!$B$1:$B$400,0))="","",INDEX('[1]1. Reporting template'!$O$1:$O$400,MATCH($B12,'[1]1. Reporting template'!$B$1:$B$400,0))),"")</f>
        <v/>
      </c>
      <c r="P12" s="8">
        <f>IFERROR(IF(INDEX('[1]1. Reporting template'!$P$1:$P$400,MATCH($B12,'[1]1. Reporting template'!$B$1:$B$400,0))="","",INDEX('[1]1. Reporting template'!$P$1:$P$400,MATCH($B12,'[1]1. Reporting template'!$B$1:$B$400,0))),"")</f>
        <v/>
      </c>
      <c r="Q12" s="8">
        <f>IFERROR(IF(INDEX('[1]1. Reporting template'!$Q$1:$Q$400,MATCH($B12,'[1]1. Reporting template'!$B$1:$B$400,0))="","",INDEX('[1]1. Reporting template'!$Q$1:$Q$400,MATCH($B12,'[1]1. Reporting template'!$B$1:$B$400,0))),"")</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IFERROR(IF(INDEX('[1]1. Reporting template'!$L$1:$L$400,MATCH($B13,'[1]1. Reporting template'!$B$1:$B$400,0))="","",INDEX('[1]1. Reporting template'!$L$1:$L$400,MATCH($B13,'[1]1. Reporting template'!$B$1:$B$400,0))),"")</f>
        <v/>
      </c>
      <c r="M13" s="8">
        <f>IFERROR(IF(INDEX('[1]1. Reporting template'!$M$1:$M$400,MATCH($B13,'[1]1. Reporting template'!$B$1:$B$400,0))="","",INDEX('[1]1. Reporting template'!$M$1:$M$400,MATCH($B13,'[1]1. Reporting template'!$B$1:$B$400,0))),"")</f>
        <v/>
      </c>
      <c r="N13" s="8">
        <f>IFERROR(IF(INDEX('[1]1. Reporting template'!$N$1:$N$400,MATCH($B13,'[1]1. Reporting template'!$B$1:$B$400,0))="","",INDEX('[1]1. Reporting template'!$N$1:$N$400,MATCH($B13,'[1]1. Reporting template'!$B$1:$B$400,0))),"")</f>
        <v/>
      </c>
      <c r="O13" s="8">
        <f>IFERROR(IF(INDEX('[1]1. Reporting template'!$O$1:$O$400,MATCH($B13,'[1]1. Reporting template'!$B$1:$B$400,0))="","",INDEX('[1]1. Reporting template'!$O$1:$O$400,MATCH($B13,'[1]1. Reporting template'!$B$1:$B$400,0))),"")</f>
        <v/>
      </c>
      <c r="P13" s="8">
        <f>IFERROR(IF(INDEX('[1]1. Reporting template'!$P$1:$P$400,MATCH($B13,'[1]1. Reporting template'!$B$1:$B$400,0))="","",INDEX('[1]1. Reporting template'!$P$1:$P$400,MATCH($B13,'[1]1. Reporting template'!$B$1:$B$400,0))),"")</f>
        <v/>
      </c>
      <c r="Q13" s="8">
        <f>IFERROR(IF(INDEX('[1]1. Reporting template'!$Q$1:$Q$400,MATCH($B13,'[1]1. Reporting template'!$B$1:$B$400,0))="","",INDEX('[1]1. Reporting template'!$Q$1:$Q$400,MATCH($B13,'[1]1. Reporting template'!$B$1:$B$400,0))),"")</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IFERROR(IF(INDEX('[1]1. Reporting template'!$L$1:$L$400,MATCH($B14,'[1]1. Reporting template'!$B$1:$B$400,0))="","",INDEX('[1]1. Reporting template'!$L$1:$L$400,MATCH($B14,'[1]1. Reporting template'!$B$1:$B$400,0))),"")</f>
        <v/>
      </c>
      <c r="M14" s="8">
        <f>IFERROR(IF(INDEX('[1]1. Reporting template'!$M$1:$M$400,MATCH($B14,'[1]1. Reporting template'!$B$1:$B$400,0))="","",INDEX('[1]1. Reporting template'!$M$1:$M$400,MATCH($B14,'[1]1. Reporting template'!$B$1:$B$400,0))),"")</f>
        <v/>
      </c>
      <c r="N14" s="8">
        <f>IFERROR(IF(INDEX('[1]1. Reporting template'!$N$1:$N$400,MATCH($B14,'[1]1. Reporting template'!$B$1:$B$400,0))="","",INDEX('[1]1. Reporting template'!$N$1:$N$400,MATCH($B14,'[1]1. Reporting template'!$B$1:$B$400,0))),"")</f>
        <v/>
      </c>
      <c r="O14" s="8">
        <f>IFERROR(IF(INDEX('[1]1. Reporting template'!$O$1:$O$400,MATCH($B14,'[1]1. Reporting template'!$B$1:$B$400,0))="","",INDEX('[1]1. Reporting template'!$O$1:$O$400,MATCH($B14,'[1]1. Reporting template'!$B$1:$B$400,0))),"")</f>
        <v/>
      </c>
      <c r="P14" s="8">
        <f>IFERROR(IF(INDEX('[1]1. Reporting template'!$P$1:$P$400,MATCH($B14,'[1]1. Reporting template'!$B$1:$B$400,0))="","",INDEX('[1]1. Reporting template'!$P$1:$P$400,MATCH($B14,'[1]1. Reporting template'!$B$1:$B$400,0))),"")</f>
        <v/>
      </c>
      <c r="Q14" s="8">
        <f>IFERROR(IF(INDEX('[1]1. Reporting template'!$Q$1:$Q$400,MATCH($B14,'[1]1. Reporting template'!$B$1:$B$400,0))="","",INDEX('[1]1. Reporting template'!$Q$1:$Q$400,MATCH($B14,'[1]1. Reporting template'!$B$1:$B$400,0))),"")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IFERROR(IF(INDEX('[1]1. Reporting template'!$L$1:$L$400,MATCH($B15,'[1]1. Reporting template'!$B$1:$B$400,0))="","",INDEX('[1]1. Reporting template'!$L$1:$L$400,MATCH($B15,'[1]1. Reporting template'!$B$1:$B$400,0))),"")</f>
        <v/>
      </c>
      <c r="M15" s="8">
        <f>IFERROR(IF(INDEX('[1]1. Reporting template'!$M$1:$M$400,MATCH($B15,'[1]1. Reporting template'!$B$1:$B$400,0))="","",INDEX('[1]1. Reporting template'!$M$1:$M$400,MATCH($B15,'[1]1. Reporting template'!$B$1:$B$400,0))),"")</f>
        <v/>
      </c>
      <c r="N15" s="8">
        <f>IFERROR(IF(INDEX('[1]1. Reporting template'!$N$1:$N$400,MATCH($B15,'[1]1. Reporting template'!$B$1:$B$400,0))="","",INDEX('[1]1. Reporting template'!$N$1:$N$400,MATCH($B15,'[1]1. Reporting template'!$B$1:$B$400,0))),"")</f>
        <v/>
      </c>
      <c r="O15" s="8">
        <f>IFERROR(IF(INDEX('[1]1. Reporting template'!$O$1:$O$400,MATCH($B15,'[1]1. Reporting template'!$B$1:$B$400,0))="","",INDEX('[1]1. Reporting template'!$O$1:$O$400,MATCH($B15,'[1]1. Reporting template'!$B$1:$B$400,0))),"")</f>
        <v/>
      </c>
      <c r="P15" s="8">
        <f>IFERROR(IF(INDEX('[1]1. Reporting template'!$P$1:$P$400,MATCH($B15,'[1]1. Reporting template'!$B$1:$B$400,0))="","",INDEX('[1]1. Reporting template'!$P$1:$P$400,MATCH($B15,'[1]1. Reporting template'!$B$1:$B$400,0))),"")</f>
        <v/>
      </c>
      <c r="Q15" s="8">
        <f>IFERROR(IF(INDEX('[1]1. Reporting template'!$Q$1:$Q$400,MATCH($B15,'[1]1. Reporting template'!$B$1:$B$400,0))="","",INDEX('[1]1. Reporting template'!$Q$1:$Q$400,MATCH($B15,'[1]1. Reporting template'!$B$1:$B$400,0))),"")</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IFERROR(IF(INDEX('[1]1. Reporting template'!$L$1:$L$400,MATCH($B16,'[1]1. Reporting template'!$B$1:$B$400,0))="","",INDEX('[1]1. Reporting template'!$L$1:$L$400,MATCH($B16,'[1]1. Reporting template'!$B$1:$B$400,0))),"")</f>
        <v/>
      </c>
      <c r="M16" s="8">
        <f>IFERROR(IF(INDEX('[1]1. Reporting template'!$M$1:$M$400,MATCH($B16,'[1]1. Reporting template'!$B$1:$B$400,0))="","",INDEX('[1]1. Reporting template'!$M$1:$M$400,MATCH($B16,'[1]1. Reporting template'!$B$1:$B$400,0))),"")</f>
        <v/>
      </c>
      <c r="N16" s="8">
        <f>IFERROR(IF(INDEX('[1]1. Reporting template'!$N$1:$N$400,MATCH($B16,'[1]1. Reporting template'!$B$1:$B$400,0))="","",INDEX('[1]1. Reporting template'!$N$1:$N$400,MATCH($B16,'[1]1. Reporting template'!$B$1:$B$400,0))),"")</f>
        <v/>
      </c>
      <c r="O16" s="8">
        <f>IFERROR(IF(INDEX('[1]1. Reporting template'!$O$1:$O$400,MATCH($B16,'[1]1. Reporting template'!$B$1:$B$400,0))="","",INDEX('[1]1. Reporting template'!$O$1:$O$400,MATCH($B16,'[1]1. Reporting template'!$B$1:$B$400,0))),"")</f>
        <v/>
      </c>
      <c r="P16" s="8">
        <f>IFERROR(IF(INDEX('[1]1. Reporting template'!$P$1:$P$400,MATCH($B16,'[1]1. Reporting template'!$B$1:$B$400,0))="","",INDEX('[1]1. Reporting template'!$P$1:$P$400,MATCH($B16,'[1]1. Reporting template'!$B$1:$B$400,0))),"")</f>
        <v/>
      </c>
      <c r="Q16" s="8">
        <f>IFERROR(IF(INDEX('[1]1. Reporting template'!$Q$1:$Q$400,MATCH($B16,'[1]1. Reporting template'!$B$1:$B$400,0))="","",INDEX('[1]1. Reporting template'!$Q$1:$Q$400,MATCH($B16,'[1]1. Reporting template'!$B$1:$B$400,0))),"")</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IFERROR(IF(INDEX('[1]1. Reporting template'!$L$1:$L$400,MATCH($B17,'[1]1. Reporting template'!$B$1:$B$400,0))="","",INDEX('[1]1. Reporting template'!$L$1:$L$400,MATCH($B17,'[1]1. Reporting template'!$B$1:$B$400,0))),"")</f>
        <v/>
      </c>
      <c r="M17" s="8">
        <f>IFERROR(IF(INDEX('[1]1. Reporting template'!$M$1:$M$400,MATCH($B17,'[1]1. Reporting template'!$B$1:$B$400,0))="","",INDEX('[1]1. Reporting template'!$M$1:$M$400,MATCH($B17,'[1]1. Reporting template'!$B$1:$B$400,0))),"")</f>
        <v/>
      </c>
      <c r="N17" s="8">
        <f>IFERROR(IF(INDEX('[1]1. Reporting template'!$N$1:$N$400,MATCH($B17,'[1]1. Reporting template'!$B$1:$B$400,0))="","",INDEX('[1]1. Reporting template'!$N$1:$N$400,MATCH($B17,'[1]1. Reporting template'!$B$1:$B$400,0))),"")</f>
        <v/>
      </c>
      <c r="O17" s="8">
        <f>IFERROR(IF(INDEX('[1]1. Reporting template'!$O$1:$O$400,MATCH($B17,'[1]1. Reporting template'!$B$1:$B$400,0))="","",INDEX('[1]1. Reporting template'!$O$1:$O$400,MATCH($B17,'[1]1. Reporting template'!$B$1:$B$400,0))),"")</f>
        <v/>
      </c>
      <c r="P17" s="8">
        <f>IFERROR(IF(INDEX('[1]1. Reporting template'!$P$1:$P$400,MATCH($B17,'[1]1. Reporting template'!$B$1:$B$400,0))="","",INDEX('[1]1. Reporting template'!$P$1:$P$400,MATCH($B17,'[1]1. Reporting template'!$B$1:$B$400,0))),"")</f>
        <v/>
      </c>
      <c r="Q17" s="8">
        <f>IFERROR(IF(INDEX('[1]1. Reporting template'!$Q$1:$Q$400,MATCH($B17,'[1]1. Reporting template'!$B$1:$B$400,0))="","",INDEX('[1]1. Reporting template'!$Q$1:$Q$400,MATCH($B17,'[1]1. Reporting template'!$B$1:$B$400,0))),"")</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IFERROR(IF(INDEX('[1]1. Reporting template'!$L$1:$L$400,MATCH($B18,'[1]1. Reporting template'!$B$1:$B$400,0))="","",INDEX('[1]1. Reporting template'!$L$1:$L$400,MATCH($B18,'[1]1. Reporting template'!$B$1:$B$400,0))),"")</f>
        <v/>
      </c>
      <c r="M18" s="8">
        <f>IFERROR(IF(INDEX('[1]1. Reporting template'!$M$1:$M$400,MATCH($B18,'[1]1. Reporting template'!$B$1:$B$400,0))="","",INDEX('[1]1. Reporting template'!$M$1:$M$400,MATCH($B18,'[1]1. Reporting template'!$B$1:$B$400,0))),"")</f>
        <v/>
      </c>
      <c r="N18" s="8">
        <f>IFERROR(IF(INDEX('[1]1. Reporting template'!$N$1:$N$400,MATCH($B18,'[1]1. Reporting template'!$B$1:$B$400,0))="","",INDEX('[1]1. Reporting template'!$N$1:$N$400,MATCH($B18,'[1]1. Reporting template'!$B$1:$B$400,0))),"")</f>
        <v/>
      </c>
      <c r="O18" s="8">
        <f>IFERROR(IF(INDEX('[1]1. Reporting template'!$O$1:$O$400,MATCH($B18,'[1]1. Reporting template'!$B$1:$B$400,0))="","",INDEX('[1]1. Reporting template'!$O$1:$O$400,MATCH($B18,'[1]1. Reporting template'!$B$1:$B$400,0))),"")</f>
        <v/>
      </c>
      <c r="P18" s="8">
        <f>IFERROR(IF(INDEX('[1]1. Reporting template'!$P$1:$P$400,MATCH($B18,'[1]1. Reporting template'!$B$1:$B$400,0))="","",INDEX('[1]1. Reporting template'!$P$1:$P$400,MATCH($B18,'[1]1. Reporting template'!$B$1:$B$400,0))),"")</f>
        <v/>
      </c>
      <c r="Q18" s="8">
        <f>IFERROR(IF(INDEX('[1]1. Reporting template'!$Q$1:$Q$400,MATCH($B18,'[1]1. Reporting template'!$B$1:$B$400,0))="","",INDEX('[1]1. Reporting template'!$Q$1:$Q$400,MATCH($B18,'[1]1. Reporting template'!$B$1:$B$400,0))),"")</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8">
        <f>IFERROR(IF(INDEX('[2]1. Reporting template'!$L$1:$L$400,MATCH($B26,'[2]1. Reporting template'!$B$1:$B$400,0))="","",INDEX('[2]1. Reporting template'!$L$1:$L$400,MATCH($B26,'[2]1. Reporting template'!$B$1:$B$400,0))),"")</f>
        <v/>
      </c>
      <c r="M26" s="8">
        <f>IFERROR(IF(INDEX('[2]1. Reporting template'!$M$1:$M$400,MATCH($B26,'[2]1. Reporting template'!$B$1:$B$400,0))="","",INDEX('[2]1. Reporting template'!$M$1:$M$400,MATCH($B26,'[2]1. Reporting template'!$B$1:$B$400,0))),"")</f>
        <v/>
      </c>
      <c r="N26" s="8">
        <f>IFERROR(IF(INDEX('[2]1. Reporting template'!$N$1:$N$400,MATCH($B26,'[2]1. Reporting template'!$B$1:$B$400,0))="","",INDEX('[2]1. Reporting template'!$N$1:$N$400,MATCH($B26,'[2]1. Reporting template'!$B$1:$B$400,0))),"")</f>
        <v/>
      </c>
      <c r="O26" s="8">
        <f>IFERROR(IF(INDEX('[2]1. Reporting template'!$O$1:$O$400,MATCH($B26,'[2]1. Reporting template'!$B$1:$B$400,0))="","",INDEX('[2]1. Reporting template'!$O$1:$O$400,MATCH($B26,'[2]1. Reporting template'!$B$1:$B$400,0))),"")</f>
        <v/>
      </c>
      <c r="P26" s="8">
        <f>IFERROR(IF(INDEX('[2]1. Reporting template'!$P$1:$P$400,MATCH($B26,'[2]1. Reporting template'!$B$1:$B$400,0))="","",INDEX('[2]1. Reporting template'!$P$1:$P$400,MATCH($B26,'[2]1. Reporting template'!$B$1:$B$400,0))),"")</f>
        <v/>
      </c>
      <c r="Q26" s="8">
        <f>IFERROR(IF(INDEX('[2]1. Reporting template'!$Q$1:$Q$400,MATCH($B26,'[2]1. Reporting template'!$B$1:$B$400,0))="","",INDEX('[2]1. Reporting template'!$Q$1:$Q$400,MATCH($B26,'[2]1. Reporting template'!$B$1:$B$400,0))),"")</f>
        <v/>
      </c>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8">
        <f>IFERROR(IF(INDEX('[2]1. Reporting template'!$L$1:$L$400,MATCH($B27,'[2]1. Reporting template'!$B$1:$B$400,0))="","",INDEX('[2]1. Reporting template'!$L$1:$L$400,MATCH($B27,'[2]1. Reporting template'!$B$1:$B$400,0))),"")</f>
        <v/>
      </c>
      <c r="M27" s="8">
        <f>IFERROR(IF(INDEX('[2]1. Reporting template'!$M$1:$M$400,MATCH($B27,'[2]1. Reporting template'!$B$1:$B$400,0))="","",INDEX('[2]1. Reporting template'!$M$1:$M$400,MATCH($B27,'[2]1. Reporting template'!$B$1:$B$400,0))),"")</f>
        <v/>
      </c>
      <c r="N27" s="8">
        <f>IFERROR(IF(INDEX('[2]1. Reporting template'!$N$1:$N$400,MATCH($B27,'[2]1. Reporting template'!$B$1:$B$400,0))="","",INDEX('[2]1. Reporting template'!$N$1:$N$400,MATCH($B27,'[2]1. Reporting template'!$B$1:$B$400,0))),"")</f>
        <v/>
      </c>
      <c r="O27" s="8">
        <f>IFERROR(IF(INDEX('[2]1. Reporting template'!$O$1:$O$400,MATCH($B27,'[2]1. Reporting template'!$B$1:$B$400,0))="","",INDEX('[2]1. Reporting template'!$O$1:$O$400,MATCH($B27,'[2]1. Reporting template'!$B$1:$B$400,0))),"")</f>
        <v/>
      </c>
      <c r="P27" s="8">
        <f>IFERROR(IF(INDEX('[2]1. Reporting template'!$P$1:$P$400,MATCH($B27,'[2]1. Reporting template'!$B$1:$B$400,0))="","",INDEX('[2]1. Reporting template'!$P$1:$P$400,MATCH($B27,'[2]1. Reporting template'!$B$1:$B$400,0))),"")</f>
        <v/>
      </c>
      <c r="Q27" s="8">
        <f>IFERROR(IF(INDEX('[2]1. Reporting template'!$Q$1:$Q$400,MATCH($B27,'[2]1. Reporting template'!$B$1:$B$400,0))="","",INDEX('[2]1. Reporting template'!$Q$1:$Q$400,MATCH($B27,'[2]1. Reporting template'!$B$1:$B$400,0))),"")</f>
        <v/>
      </c>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8">
        <f>IFERROR(IF(INDEX('[2]1. Reporting template'!$L$1:$L$400,MATCH($B28,'[2]1. Reporting template'!$B$1:$B$400,0))="","",INDEX('[2]1. Reporting template'!$L$1:$L$400,MATCH($B28,'[2]1. Reporting template'!$B$1:$B$400,0))),"")</f>
        <v/>
      </c>
      <c r="M28" s="8">
        <f>IFERROR(IF(INDEX('[2]1. Reporting template'!$M$1:$M$400,MATCH($B28,'[2]1. Reporting template'!$B$1:$B$400,0))="","",INDEX('[2]1. Reporting template'!$M$1:$M$400,MATCH($B28,'[2]1. Reporting template'!$B$1:$B$400,0))),"")</f>
        <v/>
      </c>
      <c r="N28" s="8">
        <f>IFERROR(IF(INDEX('[2]1. Reporting template'!$N$1:$N$400,MATCH($B28,'[2]1. Reporting template'!$B$1:$B$400,0))="","",INDEX('[2]1. Reporting template'!$N$1:$N$400,MATCH($B28,'[2]1. Reporting template'!$B$1:$B$400,0))),"")</f>
        <v/>
      </c>
      <c r="O28" s="8">
        <f>IFERROR(IF(INDEX('[2]1. Reporting template'!$O$1:$O$400,MATCH($B28,'[2]1. Reporting template'!$B$1:$B$400,0))="","",INDEX('[2]1. Reporting template'!$O$1:$O$400,MATCH($B28,'[2]1. Reporting template'!$B$1:$B$400,0))),"")</f>
        <v/>
      </c>
      <c r="P28" s="8">
        <f>IFERROR(IF(INDEX('[2]1. Reporting template'!$P$1:$P$400,MATCH($B28,'[2]1. Reporting template'!$B$1:$B$400,0))="","",INDEX('[2]1. Reporting template'!$P$1:$P$400,MATCH($B28,'[2]1. Reporting template'!$B$1:$B$400,0))),"")</f>
        <v/>
      </c>
      <c r="Q28" s="8">
        <f>IFERROR(IF(INDEX('[2]1. Reporting template'!$Q$1:$Q$400,MATCH($B28,'[2]1. Reporting template'!$B$1:$B$400,0))="","",INDEX('[2]1. Reporting template'!$Q$1:$Q$400,MATCH($B28,'[2]1. Reporting template'!$B$1:$B$400,0))),"")</f>
        <v/>
      </c>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8">
        <f>IFERROR(IF(INDEX('[2]1. Reporting template'!$L$1:$L$400,MATCH($B29,'[2]1. Reporting template'!$B$1:$B$400,0))="","",INDEX('[2]1. Reporting template'!$L$1:$L$400,MATCH($B29,'[2]1. Reporting template'!$B$1:$B$400,0))),"")</f>
        <v/>
      </c>
      <c r="M29" s="8">
        <f>IFERROR(IF(INDEX('[2]1. Reporting template'!$M$1:$M$400,MATCH($B29,'[2]1. Reporting template'!$B$1:$B$400,0))="","",INDEX('[2]1. Reporting template'!$M$1:$M$400,MATCH($B29,'[2]1. Reporting template'!$B$1:$B$400,0))),"")</f>
        <v/>
      </c>
      <c r="N29" s="8">
        <f>IFERROR(IF(INDEX('[2]1. Reporting template'!$N$1:$N$400,MATCH($B29,'[2]1. Reporting template'!$B$1:$B$400,0))="","",INDEX('[2]1. Reporting template'!$N$1:$N$400,MATCH($B29,'[2]1. Reporting template'!$B$1:$B$400,0))),"")</f>
        <v/>
      </c>
      <c r="O29" s="8">
        <f>IFERROR(IF(INDEX('[2]1. Reporting template'!$O$1:$O$400,MATCH($B29,'[2]1. Reporting template'!$B$1:$B$400,0))="","",INDEX('[2]1. Reporting template'!$O$1:$O$400,MATCH($B29,'[2]1. Reporting template'!$B$1:$B$400,0))),"")</f>
        <v/>
      </c>
      <c r="P29" s="8">
        <f>IFERROR(IF(INDEX('[2]1. Reporting template'!$P$1:$P$400,MATCH($B29,'[2]1. Reporting template'!$B$1:$B$400,0))="","",INDEX('[2]1. Reporting template'!$P$1:$P$400,MATCH($B29,'[2]1. Reporting template'!$B$1:$B$400,0))),"")</f>
        <v/>
      </c>
      <c r="Q29" s="8">
        <f>IFERROR(IF(INDEX('[2]1. Reporting template'!$Q$1:$Q$400,MATCH($B29,'[2]1. Reporting template'!$B$1:$B$400,0))="","",INDEX('[2]1. Reporting template'!$Q$1:$Q$400,MATCH($B29,'[2]1. Reporting template'!$B$1:$B$400,0))),"")</f>
        <v/>
      </c>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8">
        <f>IFERROR(IF(INDEX('[2]1. Reporting template'!$L$1:$L$400,MATCH($B30,'[2]1. Reporting template'!$B$1:$B$400,0))="","",INDEX('[2]1. Reporting template'!$L$1:$L$400,MATCH($B30,'[2]1. Reporting template'!$B$1:$B$400,0))),"")</f>
        <v/>
      </c>
      <c r="M30" s="8">
        <f>IFERROR(IF(INDEX('[2]1. Reporting template'!$M$1:$M$400,MATCH($B30,'[2]1. Reporting template'!$B$1:$B$400,0))="","",INDEX('[2]1. Reporting template'!$M$1:$M$400,MATCH($B30,'[2]1. Reporting template'!$B$1:$B$400,0))),"")</f>
        <v/>
      </c>
      <c r="N30" s="8">
        <f>IFERROR(IF(INDEX('[2]1. Reporting template'!$N$1:$N$400,MATCH($B30,'[2]1. Reporting template'!$B$1:$B$400,0))="","",INDEX('[2]1. Reporting template'!$N$1:$N$400,MATCH($B30,'[2]1. Reporting template'!$B$1:$B$400,0))),"")</f>
        <v/>
      </c>
      <c r="O30" s="8">
        <f>IFERROR(IF(INDEX('[2]1. Reporting template'!$O$1:$O$400,MATCH($B30,'[2]1. Reporting template'!$B$1:$B$400,0))="","",INDEX('[2]1. Reporting template'!$O$1:$O$400,MATCH($B30,'[2]1. Reporting template'!$B$1:$B$400,0))),"")</f>
        <v/>
      </c>
      <c r="P30" s="8">
        <f>IFERROR(IF(INDEX('[2]1. Reporting template'!$P$1:$P$400,MATCH($B30,'[2]1. Reporting template'!$B$1:$B$400,0))="","",INDEX('[2]1. Reporting template'!$P$1:$P$400,MATCH($B30,'[2]1. Reporting template'!$B$1:$B$400,0))),"")</f>
        <v/>
      </c>
      <c r="Q30" s="8">
        <f>IFERROR(IF(INDEX('[2]1. Reporting template'!$Q$1:$Q$400,MATCH($B30,'[2]1. Reporting template'!$B$1:$B$400,0))="","",INDEX('[2]1. Reporting template'!$Q$1:$Q$400,MATCH($B30,'[2]1. Reporting template'!$B$1:$B$400,0))),"")</f>
        <v/>
      </c>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8">
        <f>IFERROR(IF(INDEX('[2]1. Reporting template'!$L$1:$L$400,MATCH($B31,'[2]1. Reporting template'!$B$1:$B$400,0))="","",INDEX('[2]1. Reporting template'!$L$1:$L$400,MATCH($B31,'[2]1. Reporting template'!$B$1:$B$400,0))),"")</f>
        <v/>
      </c>
      <c r="M31" s="8">
        <f>IFERROR(IF(INDEX('[2]1. Reporting template'!$M$1:$M$400,MATCH($B31,'[2]1. Reporting template'!$B$1:$B$400,0))="","",INDEX('[2]1. Reporting template'!$M$1:$M$400,MATCH($B31,'[2]1. Reporting template'!$B$1:$B$400,0))),"")</f>
        <v/>
      </c>
      <c r="N31" s="8">
        <f>IFERROR(IF(INDEX('[2]1. Reporting template'!$N$1:$N$400,MATCH($B31,'[2]1. Reporting template'!$B$1:$B$400,0))="","",INDEX('[2]1. Reporting template'!$N$1:$N$400,MATCH($B31,'[2]1. Reporting template'!$B$1:$B$400,0))),"")</f>
        <v/>
      </c>
      <c r="O31" s="8">
        <f>IFERROR(IF(INDEX('[2]1. Reporting template'!$O$1:$O$400,MATCH($B31,'[2]1. Reporting template'!$B$1:$B$400,0))="","",INDEX('[2]1. Reporting template'!$O$1:$O$400,MATCH($B31,'[2]1. Reporting template'!$B$1:$B$400,0))),"")</f>
        <v/>
      </c>
      <c r="P31" s="8">
        <f>IFERROR(IF(INDEX('[2]1. Reporting template'!$P$1:$P$400,MATCH($B31,'[2]1. Reporting template'!$B$1:$B$400,0))="","",INDEX('[2]1. Reporting template'!$P$1:$P$400,MATCH($B31,'[2]1. Reporting template'!$B$1:$B$400,0))),"")</f>
        <v/>
      </c>
      <c r="Q31" s="8">
        <f>IFERROR(IF(INDEX('[2]1. Reporting template'!$Q$1:$Q$400,MATCH($B31,'[2]1. Reporting template'!$B$1:$B$400,0))="","",INDEX('[2]1. Reporting template'!$Q$1:$Q$400,MATCH($B31,'[2]1. Reporting template'!$B$1:$B$400,0))),"")</f>
        <v/>
      </c>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8">
        <f>IFERROR(IF(INDEX('[2]1. Reporting template'!$L$1:$L$400,MATCH($B32,'[2]1. Reporting template'!$B$1:$B$400,0))="","",INDEX('[2]1. Reporting template'!$L$1:$L$400,MATCH($B32,'[2]1. Reporting template'!$B$1:$B$400,0))),"")</f>
        <v/>
      </c>
      <c r="M32" s="8">
        <f>IFERROR(IF(INDEX('[2]1. Reporting template'!$M$1:$M$400,MATCH($B32,'[2]1. Reporting template'!$B$1:$B$400,0))="","",INDEX('[2]1. Reporting template'!$M$1:$M$400,MATCH($B32,'[2]1. Reporting template'!$B$1:$B$400,0))),"")</f>
        <v/>
      </c>
      <c r="N32" s="8">
        <f>IFERROR(IF(INDEX('[2]1. Reporting template'!$N$1:$N$400,MATCH($B32,'[2]1. Reporting template'!$B$1:$B$400,0))="","",INDEX('[2]1. Reporting template'!$N$1:$N$400,MATCH($B32,'[2]1. Reporting template'!$B$1:$B$400,0))),"")</f>
        <v/>
      </c>
      <c r="O32" s="8">
        <f>IFERROR(IF(INDEX('[2]1. Reporting template'!$O$1:$O$400,MATCH($B32,'[2]1. Reporting template'!$B$1:$B$400,0))="","",INDEX('[2]1. Reporting template'!$O$1:$O$400,MATCH($B32,'[2]1. Reporting template'!$B$1:$B$400,0))),"")</f>
        <v/>
      </c>
      <c r="P32" s="8">
        <f>IFERROR(IF(INDEX('[2]1. Reporting template'!$P$1:$P$400,MATCH($B32,'[2]1. Reporting template'!$B$1:$B$400,0))="","",INDEX('[2]1. Reporting template'!$P$1:$P$400,MATCH($B32,'[2]1. Reporting template'!$B$1:$B$400,0))),"")</f>
        <v/>
      </c>
      <c r="Q32" s="8">
        <f>IFERROR(IF(INDEX('[2]1. Reporting template'!$Q$1:$Q$400,MATCH($B32,'[2]1. Reporting template'!$B$1:$B$400,0))="","",INDEX('[2]1. Reporting template'!$Q$1:$Q$400,MATCH($B32,'[2]1. Reporting template'!$B$1:$B$400,0))),"")</f>
        <v/>
      </c>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8">
        <f>IFERROR(IF(INDEX('[2]1. Reporting template'!$L$1:$L$400,MATCH($B33,'[2]1. Reporting template'!$B$1:$B$400,0))="","",INDEX('[2]1. Reporting template'!$L$1:$L$400,MATCH($B33,'[2]1. Reporting template'!$B$1:$B$400,0))),"")</f>
        <v/>
      </c>
      <c r="M33" s="8">
        <f>IFERROR(IF(INDEX('[2]1. Reporting template'!$M$1:$M$400,MATCH($B33,'[2]1. Reporting template'!$B$1:$B$400,0))="","",INDEX('[2]1. Reporting template'!$M$1:$M$400,MATCH($B33,'[2]1. Reporting template'!$B$1:$B$400,0))),"")</f>
        <v/>
      </c>
      <c r="N33" s="8">
        <f>IFERROR(IF(INDEX('[2]1. Reporting template'!$N$1:$N$400,MATCH($B33,'[2]1. Reporting template'!$B$1:$B$400,0))="","",INDEX('[2]1. Reporting template'!$N$1:$N$400,MATCH($B33,'[2]1. Reporting template'!$B$1:$B$400,0))),"")</f>
        <v/>
      </c>
      <c r="O33" s="8">
        <f>IFERROR(IF(INDEX('[2]1. Reporting template'!$O$1:$O$400,MATCH($B33,'[2]1. Reporting template'!$B$1:$B$400,0))="","",INDEX('[2]1. Reporting template'!$O$1:$O$400,MATCH($B33,'[2]1. Reporting template'!$B$1:$B$400,0))),"")</f>
        <v/>
      </c>
      <c r="P33" s="8">
        <f>IFERROR(IF(INDEX('[2]1. Reporting template'!$P$1:$P$400,MATCH($B33,'[2]1. Reporting template'!$B$1:$B$400,0))="","",INDEX('[2]1. Reporting template'!$P$1:$P$400,MATCH($B33,'[2]1. Reporting template'!$B$1:$B$400,0))),"")</f>
        <v/>
      </c>
      <c r="Q33" s="8">
        <f>IFERROR(IF(INDEX('[2]1. Reporting template'!$Q$1:$Q$400,MATCH($B33,'[2]1. Reporting template'!$B$1:$B$400,0))="","",INDEX('[2]1. Reporting template'!$Q$1:$Q$400,MATCH($B33,'[2]1. Reporting template'!$B$1:$B$400,0))),"")</f>
        <v/>
      </c>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8">
        <f>IFERROR(IF(INDEX('[2]1. Reporting template'!$L$1:$L$400,MATCH($B34,'[2]1. Reporting template'!$B$1:$B$400,0))="","",INDEX('[2]1. Reporting template'!$L$1:$L$400,MATCH($B34,'[2]1. Reporting template'!$B$1:$B$400,0))),"")</f>
        <v/>
      </c>
      <c r="M34" s="8">
        <f>IFERROR(IF(INDEX('[2]1. Reporting template'!$M$1:$M$400,MATCH($B34,'[2]1. Reporting template'!$B$1:$B$400,0))="","",INDEX('[2]1. Reporting template'!$M$1:$M$400,MATCH($B34,'[2]1. Reporting template'!$B$1:$B$400,0))),"")</f>
        <v/>
      </c>
      <c r="N34" s="8">
        <f>IFERROR(IF(INDEX('[2]1. Reporting template'!$N$1:$N$400,MATCH($B34,'[2]1. Reporting template'!$B$1:$B$400,0))="","",INDEX('[2]1. Reporting template'!$N$1:$N$400,MATCH($B34,'[2]1. Reporting template'!$B$1:$B$400,0))),"")</f>
        <v/>
      </c>
      <c r="O34" s="8">
        <f>IFERROR(IF(INDEX('[2]1. Reporting template'!$O$1:$O$400,MATCH($B34,'[2]1. Reporting template'!$B$1:$B$400,0))="","",INDEX('[2]1. Reporting template'!$O$1:$O$400,MATCH($B34,'[2]1. Reporting template'!$B$1:$B$400,0))),"")</f>
        <v/>
      </c>
      <c r="P34" s="8">
        <f>IFERROR(IF(INDEX('[2]1. Reporting template'!$P$1:$P$400,MATCH($B34,'[2]1. Reporting template'!$B$1:$B$400,0))="","",INDEX('[2]1. Reporting template'!$P$1:$P$400,MATCH($B34,'[2]1. Reporting template'!$B$1:$B$400,0))),"")</f>
        <v/>
      </c>
      <c r="Q34" s="8">
        <f>IFERROR(IF(INDEX('[2]1. Reporting template'!$Q$1:$Q$400,MATCH($B34,'[2]1. Reporting template'!$B$1:$B$400,0))="","",INDEX('[2]1. Reporting template'!$Q$1:$Q$400,MATCH($B34,'[2]1. Reporting template'!$B$1:$B$400,0))),"")</f>
        <v/>
      </c>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8">
        <f>IFERROR(IF(INDEX('[3]1. Reporting template'!$L$1:$L$400,MATCH($B42,'[3]1. Reporting template'!$B$1:$B$400,0))="","",INDEX('[3]1. Reporting template'!$L$1:$L$400,MATCH($B42,'[3]1. Reporting template'!$B$1:$B$400,0))),"")</f>
        <v/>
      </c>
      <c r="M42" s="8">
        <f>IFERROR(IF(INDEX('[3]1. Reporting template'!$M$1:$M$400,MATCH($B42,'[3]1. Reporting template'!$B$1:$B$400,0))="","",INDEX('[3]1. Reporting template'!$M$1:$M$400,MATCH($B42,'[3]1. Reporting template'!$B$1:$B$400,0))),"")</f>
        <v/>
      </c>
      <c r="N42" s="8">
        <f>IFERROR(IF(INDEX('[3]1. Reporting template'!$N$1:$N$400,MATCH($B42,'[3]1. Reporting template'!$B$1:$B$400,0))="","",INDEX('[3]1. Reporting template'!$N$1:$N$400,MATCH($B42,'[3]1. Reporting template'!$B$1:$B$400,0))),"")</f>
        <v/>
      </c>
      <c r="O42" s="8">
        <f>IFERROR(IF(INDEX('[3]1. Reporting template'!$O$1:$O$400,MATCH($B42,'[3]1. Reporting template'!$B$1:$B$400,0))="","",INDEX('[3]1. Reporting template'!$O$1:$O$400,MATCH($B42,'[3]1. Reporting template'!$B$1:$B$400,0))),"")</f>
        <v/>
      </c>
      <c r="P42" s="8">
        <f>IFERROR(IF(INDEX('[3]1. Reporting template'!$P$1:$P$400,MATCH($B42,'[3]1. Reporting template'!$B$1:$B$400,0))="","",INDEX('[3]1. Reporting template'!$P$1:$P$400,MATCH($B42,'[3]1. Reporting template'!$B$1:$B$400,0))),"")</f>
        <v/>
      </c>
      <c r="Q42" s="8">
        <f>IFERROR(IF(INDEX('[3]1. Reporting template'!$Q$1:$Q$400,MATCH($B42,'[3]1. Reporting template'!$B$1:$B$400,0))="","",INDEX('[3]1. Reporting template'!$Q$1:$Q$400,MATCH($B42,'[3]1. Reporting template'!$B$1:$B$400,0))),"")</f>
        <v/>
      </c>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8">
        <f>IFERROR(IF(INDEX('[3]1. Reporting template'!$L$1:$L$400,MATCH($B43,'[3]1. Reporting template'!$B$1:$B$400,0))="","",INDEX('[3]1. Reporting template'!$L$1:$L$400,MATCH($B43,'[3]1. Reporting template'!$B$1:$B$400,0))),"")</f>
        <v/>
      </c>
      <c r="M43" s="8">
        <f>IFERROR(IF(INDEX('[3]1. Reporting template'!$M$1:$M$400,MATCH($B43,'[3]1. Reporting template'!$B$1:$B$400,0))="","",INDEX('[3]1. Reporting template'!$M$1:$M$400,MATCH($B43,'[3]1. Reporting template'!$B$1:$B$400,0))),"")</f>
        <v/>
      </c>
      <c r="N43" s="8">
        <f>IFERROR(IF(INDEX('[3]1. Reporting template'!$N$1:$N$400,MATCH($B43,'[3]1. Reporting template'!$B$1:$B$400,0))="","",INDEX('[3]1. Reporting template'!$N$1:$N$400,MATCH($B43,'[3]1. Reporting template'!$B$1:$B$400,0))),"")</f>
        <v/>
      </c>
      <c r="O43" s="8">
        <f>IFERROR(IF(INDEX('[3]1. Reporting template'!$O$1:$O$400,MATCH($B43,'[3]1. Reporting template'!$B$1:$B$400,0))="","",INDEX('[3]1. Reporting template'!$O$1:$O$400,MATCH($B43,'[3]1. Reporting template'!$B$1:$B$400,0))),"")</f>
        <v/>
      </c>
      <c r="P43" s="8">
        <f>IFERROR(IF(INDEX('[3]1. Reporting template'!$P$1:$P$400,MATCH($B43,'[3]1. Reporting template'!$B$1:$B$400,0))="","",INDEX('[3]1. Reporting template'!$P$1:$P$400,MATCH($B43,'[3]1. Reporting template'!$B$1:$B$400,0))),"")</f>
        <v/>
      </c>
      <c r="Q43" s="8">
        <f>IFERROR(IF(INDEX('[3]1. Reporting template'!$Q$1:$Q$400,MATCH($B43,'[3]1. Reporting template'!$B$1:$B$400,0))="","",INDEX('[3]1. Reporting template'!$Q$1:$Q$400,MATCH($B43,'[3]1. Reporting template'!$B$1:$B$400,0))),"")</f>
        <v/>
      </c>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8">
        <f>IFERROR(IF(INDEX('[3]1. Reporting template'!$L$1:$L$400,MATCH($B44,'[3]1. Reporting template'!$B$1:$B$400,0))="","",INDEX('[3]1. Reporting template'!$L$1:$L$400,MATCH($B44,'[3]1. Reporting template'!$B$1:$B$400,0))),"")</f>
        <v/>
      </c>
      <c r="M44" s="8">
        <f>IFERROR(IF(INDEX('[3]1. Reporting template'!$M$1:$M$400,MATCH($B44,'[3]1. Reporting template'!$B$1:$B$400,0))="","",INDEX('[3]1. Reporting template'!$M$1:$M$400,MATCH($B44,'[3]1. Reporting template'!$B$1:$B$400,0))),"")</f>
        <v/>
      </c>
      <c r="N44" s="8">
        <f>IFERROR(IF(INDEX('[3]1. Reporting template'!$N$1:$N$400,MATCH($B44,'[3]1. Reporting template'!$B$1:$B$400,0))="","",INDEX('[3]1. Reporting template'!$N$1:$N$400,MATCH($B44,'[3]1. Reporting template'!$B$1:$B$400,0))),"")</f>
        <v/>
      </c>
      <c r="O44" s="8">
        <f>IFERROR(IF(INDEX('[3]1. Reporting template'!$O$1:$O$400,MATCH($B44,'[3]1. Reporting template'!$B$1:$B$400,0))="","",INDEX('[3]1. Reporting template'!$O$1:$O$400,MATCH($B44,'[3]1. Reporting template'!$B$1:$B$400,0))),"")</f>
        <v/>
      </c>
      <c r="P44" s="8">
        <f>IFERROR(IF(INDEX('[3]1. Reporting template'!$P$1:$P$400,MATCH($B44,'[3]1. Reporting template'!$B$1:$B$400,0))="","",INDEX('[3]1. Reporting template'!$P$1:$P$400,MATCH($B44,'[3]1. Reporting template'!$B$1:$B$400,0))),"")</f>
        <v/>
      </c>
      <c r="Q44" s="8">
        <f>IFERROR(IF(INDEX('[3]1. Reporting template'!$Q$1:$Q$400,MATCH($B44,'[3]1. Reporting template'!$B$1:$B$400,0))="","",INDEX('[3]1. Reporting template'!$Q$1:$Q$400,MATCH($B44,'[3]1. Reporting template'!$B$1:$B$400,0))),"")</f>
        <v/>
      </c>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8">
        <f>IFERROR(IF(INDEX('[3]1. Reporting template'!$L$1:$L$400,MATCH($B45,'[3]1. Reporting template'!$B$1:$B$400,0))="","",INDEX('[3]1. Reporting template'!$L$1:$L$400,MATCH($B45,'[3]1. Reporting template'!$B$1:$B$400,0))),"")</f>
        <v/>
      </c>
      <c r="M45" s="8">
        <f>IFERROR(IF(INDEX('[3]1. Reporting template'!$M$1:$M$400,MATCH($B45,'[3]1. Reporting template'!$B$1:$B$400,0))="","",INDEX('[3]1. Reporting template'!$M$1:$M$400,MATCH($B45,'[3]1. Reporting template'!$B$1:$B$400,0))),"")</f>
        <v/>
      </c>
      <c r="N45" s="8">
        <f>IFERROR(IF(INDEX('[3]1. Reporting template'!$N$1:$N$400,MATCH($B45,'[3]1. Reporting template'!$B$1:$B$400,0))="","",INDEX('[3]1. Reporting template'!$N$1:$N$400,MATCH($B45,'[3]1. Reporting template'!$B$1:$B$400,0))),"")</f>
        <v/>
      </c>
      <c r="O45" s="8">
        <f>IFERROR(IF(INDEX('[3]1. Reporting template'!$O$1:$O$400,MATCH($B45,'[3]1. Reporting template'!$B$1:$B$400,0))="","",INDEX('[3]1. Reporting template'!$O$1:$O$400,MATCH($B45,'[3]1. Reporting template'!$B$1:$B$400,0))),"")</f>
        <v/>
      </c>
      <c r="P45" s="8">
        <f>IFERROR(IF(INDEX('[3]1. Reporting template'!$P$1:$P$400,MATCH($B45,'[3]1. Reporting template'!$B$1:$B$400,0))="","",INDEX('[3]1. Reporting template'!$P$1:$P$400,MATCH($B45,'[3]1. Reporting template'!$B$1:$B$400,0))),"")</f>
        <v/>
      </c>
      <c r="Q45" s="8">
        <f>IFERROR(IF(INDEX('[3]1. Reporting template'!$Q$1:$Q$400,MATCH($B45,'[3]1. Reporting template'!$B$1:$B$400,0))="","",INDEX('[3]1. Reporting template'!$Q$1:$Q$400,MATCH($B45,'[3]1. Reporting template'!$B$1:$B$400,0))),"")</f>
        <v/>
      </c>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8">
        <f>IFERROR(IF(INDEX('[3]1. Reporting template'!$L$1:$L$400,MATCH($B46,'[3]1. Reporting template'!$B$1:$B$400,0))="","",INDEX('[3]1. Reporting template'!$L$1:$L$400,MATCH($B46,'[3]1. Reporting template'!$B$1:$B$400,0))),"")</f>
        <v/>
      </c>
      <c r="M46" s="8">
        <f>IFERROR(IF(INDEX('[3]1. Reporting template'!$M$1:$M$400,MATCH($B46,'[3]1. Reporting template'!$B$1:$B$400,0))="","",INDEX('[3]1. Reporting template'!$M$1:$M$400,MATCH($B46,'[3]1. Reporting template'!$B$1:$B$400,0))),"")</f>
        <v/>
      </c>
      <c r="N46" s="8">
        <f>IFERROR(IF(INDEX('[3]1. Reporting template'!$N$1:$N$400,MATCH($B46,'[3]1. Reporting template'!$B$1:$B$400,0))="","",INDEX('[3]1. Reporting template'!$N$1:$N$400,MATCH($B46,'[3]1. Reporting template'!$B$1:$B$400,0))),"")</f>
        <v/>
      </c>
      <c r="O46" s="8">
        <f>IFERROR(IF(INDEX('[3]1. Reporting template'!$O$1:$O$400,MATCH($B46,'[3]1. Reporting template'!$B$1:$B$400,0))="","",INDEX('[3]1. Reporting template'!$O$1:$O$400,MATCH($B46,'[3]1. Reporting template'!$B$1:$B$400,0))),"")</f>
        <v/>
      </c>
      <c r="P46" s="8">
        <f>IFERROR(IF(INDEX('[3]1. Reporting template'!$P$1:$P$400,MATCH($B46,'[3]1. Reporting template'!$B$1:$B$400,0))="","",INDEX('[3]1. Reporting template'!$P$1:$P$400,MATCH($B46,'[3]1. Reporting template'!$B$1:$B$400,0))),"")</f>
        <v/>
      </c>
      <c r="Q46" s="8">
        <f>IFERROR(IF(INDEX('[3]1. Reporting template'!$Q$1:$Q$400,MATCH($B46,'[3]1. Reporting template'!$B$1:$B$400,0))="","",INDEX('[3]1. Reporting template'!$Q$1:$Q$400,MATCH($B46,'[3]1. Reporting template'!$B$1:$B$400,0))),"")</f>
        <v/>
      </c>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8">
        <f>IFERROR(IF(INDEX('[3]1. Reporting template'!$L$1:$L$400,MATCH($B47,'[3]1. Reporting template'!$B$1:$B$400,0))="","",INDEX('[3]1. Reporting template'!$L$1:$L$400,MATCH($B47,'[3]1. Reporting template'!$B$1:$B$400,0))),"")</f>
        <v/>
      </c>
      <c r="M47" s="8">
        <f>IFERROR(IF(INDEX('[3]1. Reporting template'!$M$1:$M$400,MATCH($B47,'[3]1. Reporting template'!$B$1:$B$400,0))="","",INDEX('[3]1. Reporting template'!$M$1:$M$400,MATCH($B47,'[3]1. Reporting template'!$B$1:$B$400,0))),"")</f>
        <v/>
      </c>
      <c r="N47" s="8">
        <f>IFERROR(IF(INDEX('[3]1. Reporting template'!$N$1:$N$400,MATCH($B47,'[3]1. Reporting template'!$B$1:$B$400,0))="","",INDEX('[3]1. Reporting template'!$N$1:$N$400,MATCH($B47,'[3]1. Reporting template'!$B$1:$B$400,0))),"")</f>
        <v/>
      </c>
      <c r="O47" s="8">
        <f>IFERROR(IF(INDEX('[3]1. Reporting template'!$O$1:$O$400,MATCH($B47,'[3]1. Reporting template'!$B$1:$B$400,0))="","",INDEX('[3]1. Reporting template'!$O$1:$O$400,MATCH($B47,'[3]1. Reporting template'!$B$1:$B$400,0))),"")</f>
        <v/>
      </c>
      <c r="P47" s="8">
        <f>IFERROR(IF(INDEX('[3]1. Reporting template'!$P$1:$P$400,MATCH($B47,'[3]1. Reporting template'!$B$1:$B$400,0))="","",INDEX('[3]1. Reporting template'!$P$1:$P$400,MATCH($B47,'[3]1. Reporting template'!$B$1:$B$400,0))),"")</f>
        <v/>
      </c>
      <c r="Q47" s="8">
        <f>IFERROR(IF(INDEX('[3]1. Reporting template'!$Q$1:$Q$400,MATCH($B47,'[3]1. Reporting template'!$B$1:$B$400,0))="","",INDEX('[3]1. Reporting template'!$Q$1:$Q$400,MATCH($B47,'[3]1. Reporting template'!$B$1:$B$400,0))),"")</f>
        <v/>
      </c>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8">
        <f>IFERROR(IF(INDEX('[3]1. Reporting template'!$L$1:$L$400,MATCH($B48,'[3]1. Reporting template'!$B$1:$B$400,0))="","",INDEX('[3]1. Reporting template'!$L$1:$L$400,MATCH($B48,'[3]1. Reporting template'!$B$1:$B$400,0))),"")</f>
        <v/>
      </c>
      <c r="M48" s="8">
        <f>IFERROR(IF(INDEX('[3]1. Reporting template'!$M$1:$M$400,MATCH($B48,'[3]1. Reporting template'!$B$1:$B$400,0))="","",INDEX('[3]1. Reporting template'!$M$1:$M$400,MATCH($B48,'[3]1. Reporting template'!$B$1:$B$400,0))),"")</f>
        <v/>
      </c>
      <c r="N48" s="8">
        <f>IFERROR(IF(INDEX('[3]1. Reporting template'!$N$1:$N$400,MATCH($B48,'[3]1. Reporting template'!$B$1:$B$400,0))="","",INDEX('[3]1. Reporting template'!$N$1:$N$400,MATCH($B48,'[3]1. Reporting template'!$B$1:$B$400,0))),"")</f>
        <v/>
      </c>
      <c r="O48" s="8">
        <f>IFERROR(IF(INDEX('[3]1. Reporting template'!$O$1:$O$400,MATCH($B48,'[3]1. Reporting template'!$B$1:$B$400,0))="","",INDEX('[3]1. Reporting template'!$O$1:$O$400,MATCH($B48,'[3]1. Reporting template'!$B$1:$B$400,0))),"")</f>
        <v/>
      </c>
      <c r="P48" s="8">
        <f>IFERROR(IF(INDEX('[3]1. Reporting template'!$P$1:$P$400,MATCH($B48,'[3]1. Reporting template'!$B$1:$B$400,0))="","",INDEX('[3]1. Reporting template'!$P$1:$P$400,MATCH($B48,'[3]1. Reporting template'!$B$1:$B$400,0))),"")</f>
        <v/>
      </c>
      <c r="Q48" s="8">
        <f>IFERROR(IF(INDEX('[3]1. Reporting template'!$Q$1:$Q$400,MATCH($B48,'[3]1. Reporting template'!$B$1:$B$400,0))="","",INDEX('[3]1. Reporting template'!$Q$1:$Q$400,MATCH($B48,'[3]1. Reporting template'!$B$1:$B$400,0))),"")</f>
        <v/>
      </c>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8">
        <f>IFERROR(IF(INDEX('[3]1. Reporting template'!$L$1:$L$400,MATCH($B49,'[3]1. Reporting template'!$B$1:$B$400,0))="","",INDEX('[3]1. Reporting template'!$L$1:$L$400,MATCH($B49,'[3]1. Reporting template'!$B$1:$B$400,0))),"")</f>
        <v/>
      </c>
      <c r="M49" s="8">
        <f>IFERROR(IF(INDEX('[3]1. Reporting template'!$M$1:$M$400,MATCH($B49,'[3]1. Reporting template'!$B$1:$B$400,0))="","",INDEX('[3]1. Reporting template'!$M$1:$M$400,MATCH($B49,'[3]1. Reporting template'!$B$1:$B$400,0))),"")</f>
        <v/>
      </c>
      <c r="N49" s="8">
        <f>IFERROR(IF(INDEX('[3]1. Reporting template'!$N$1:$N$400,MATCH($B49,'[3]1. Reporting template'!$B$1:$B$400,0))="","",INDEX('[3]1. Reporting template'!$N$1:$N$400,MATCH($B49,'[3]1. Reporting template'!$B$1:$B$400,0))),"")</f>
        <v/>
      </c>
      <c r="O49" s="8">
        <f>IFERROR(IF(INDEX('[3]1. Reporting template'!$O$1:$O$400,MATCH($B49,'[3]1. Reporting template'!$B$1:$B$400,0))="","",INDEX('[3]1. Reporting template'!$O$1:$O$400,MATCH($B49,'[3]1. Reporting template'!$B$1:$B$400,0))),"")</f>
        <v/>
      </c>
      <c r="P49" s="8">
        <f>IFERROR(IF(INDEX('[3]1. Reporting template'!$P$1:$P$400,MATCH($B49,'[3]1. Reporting template'!$B$1:$B$400,0))="","",INDEX('[3]1. Reporting template'!$P$1:$P$400,MATCH($B49,'[3]1. Reporting template'!$B$1:$B$400,0))),"")</f>
        <v/>
      </c>
      <c r="Q49" s="8">
        <f>IFERROR(IF(INDEX('[3]1. Reporting template'!$Q$1:$Q$400,MATCH($B49,'[3]1. Reporting template'!$B$1:$B$400,0))="","",INDEX('[3]1. Reporting template'!$Q$1:$Q$400,MATCH($B49,'[3]1. Reporting template'!$B$1:$B$400,0))),"")</f>
        <v/>
      </c>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8">
        <f>IFERROR(IF(INDEX('[3]1. Reporting template'!$L$1:$L$400,MATCH($B50,'[3]1. Reporting template'!$B$1:$B$400,0))="","",INDEX('[3]1. Reporting template'!$L$1:$L$400,MATCH($B50,'[3]1. Reporting template'!$B$1:$B$400,0))),"")</f>
        <v/>
      </c>
      <c r="M50" s="8">
        <f>IFERROR(IF(INDEX('[3]1. Reporting template'!$M$1:$M$400,MATCH($B50,'[3]1. Reporting template'!$B$1:$B$400,0))="","",INDEX('[3]1. Reporting template'!$M$1:$M$400,MATCH($B50,'[3]1. Reporting template'!$B$1:$B$400,0))),"")</f>
        <v/>
      </c>
      <c r="N50" s="8">
        <f>IFERROR(IF(INDEX('[3]1. Reporting template'!$N$1:$N$400,MATCH($B50,'[3]1. Reporting template'!$B$1:$B$400,0))="","",INDEX('[3]1. Reporting template'!$N$1:$N$400,MATCH($B50,'[3]1. Reporting template'!$B$1:$B$400,0))),"")</f>
        <v/>
      </c>
      <c r="O50" s="8">
        <f>IFERROR(IF(INDEX('[3]1. Reporting template'!$O$1:$O$400,MATCH($B50,'[3]1. Reporting template'!$B$1:$B$400,0))="","",INDEX('[3]1. Reporting template'!$O$1:$O$400,MATCH($B50,'[3]1. Reporting template'!$B$1:$B$400,0))),"")</f>
        <v/>
      </c>
      <c r="P50" s="8">
        <f>IFERROR(IF(INDEX('[3]1. Reporting template'!$P$1:$P$400,MATCH($B50,'[3]1. Reporting template'!$B$1:$B$400,0))="","",INDEX('[3]1. Reporting template'!$P$1:$P$400,MATCH($B50,'[3]1. Reporting template'!$B$1:$B$400,0))),"")</f>
        <v/>
      </c>
      <c r="Q50" s="8">
        <f>IFERROR(IF(INDEX('[3]1. Reporting template'!$Q$1:$Q$400,MATCH($B50,'[3]1. Reporting template'!$B$1:$B$400,0))="","",INDEX('[3]1. Reporting template'!$Q$1:$Q$400,MATCH($B50,'[3]1. Reporting template'!$B$1:$B$400,0))),"")</f>
        <v/>
      </c>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8">
        <f>IFERROR(IF(INDEX('[4]1. Reporting template'!$L$1:$L$400,MATCH($B58,'[4]1. Reporting template'!$B$1:$B$400,0))="","",INDEX('[4]1. Reporting template'!$L$1:$L$400,MATCH($B58,'[4]1. Reporting template'!$B$1:$B$400,0))),"")</f>
        <v/>
      </c>
      <c r="M58" s="8">
        <f>IFERROR(IF(INDEX('[4]1. Reporting template'!$M$1:$M$400,MATCH($B58,'[4]1. Reporting template'!$B$1:$B$400,0))="","",INDEX('[4]1. Reporting template'!$M$1:$M$400,MATCH($B58,'[4]1. Reporting template'!$B$1:$B$400,0))),"")</f>
        <v/>
      </c>
      <c r="N58" s="8">
        <f>IFERROR(IF(INDEX('[4]1. Reporting template'!$N$1:$N$400,MATCH($B58,'[4]1. Reporting template'!$B$1:$B$400,0))="","",INDEX('[4]1. Reporting template'!$N$1:$N$400,MATCH($B58,'[4]1. Reporting template'!$B$1:$B$400,0))),"")</f>
        <v/>
      </c>
      <c r="O58" s="8">
        <f>IFERROR(IF(INDEX('[4]1. Reporting template'!$O$1:$O$400,MATCH($B58,'[4]1. Reporting template'!$B$1:$B$400,0))="","",INDEX('[4]1. Reporting template'!$O$1:$O$400,MATCH($B58,'[4]1. Reporting template'!$B$1:$B$400,0))),"")</f>
        <v/>
      </c>
      <c r="P58" s="8">
        <f>IFERROR(IF(INDEX('[4]1. Reporting template'!$P$1:$P$400,MATCH($B58,'[4]1. Reporting template'!$B$1:$B$400,0))="","",INDEX('[4]1. Reporting template'!$P$1:$P$400,MATCH($B58,'[4]1. Reporting template'!$B$1:$B$400,0))),"")</f>
        <v/>
      </c>
      <c r="Q58" s="8">
        <f>IFERROR(IF(INDEX('[4]1. Reporting template'!$Q$1:$Q$400,MATCH($B58,'[4]1. Reporting template'!$B$1:$B$400,0))="","",INDEX('[4]1. Reporting template'!$Q$1:$Q$400,MATCH($B58,'[4]1. Reporting template'!$B$1:$B$400,0))),"")</f>
        <v/>
      </c>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8">
        <f>IFERROR(IF(INDEX('[4]1. Reporting template'!$L$1:$L$400,MATCH($B59,'[4]1. Reporting template'!$B$1:$B$400,0))="","",INDEX('[4]1. Reporting template'!$L$1:$L$400,MATCH($B59,'[4]1. Reporting template'!$B$1:$B$400,0))),"")</f>
        <v/>
      </c>
      <c r="M59" s="8">
        <f>IFERROR(IF(INDEX('[4]1. Reporting template'!$M$1:$M$400,MATCH($B59,'[4]1. Reporting template'!$B$1:$B$400,0))="","",INDEX('[4]1. Reporting template'!$M$1:$M$400,MATCH($B59,'[4]1. Reporting template'!$B$1:$B$400,0))),"")</f>
        <v/>
      </c>
      <c r="N59" s="8">
        <f>IFERROR(IF(INDEX('[4]1. Reporting template'!$N$1:$N$400,MATCH($B59,'[4]1. Reporting template'!$B$1:$B$400,0))="","",INDEX('[4]1. Reporting template'!$N$1:$N$400,MATCH($B59,'[4]1. Reporting template'!$B$1:$B$400,0))),"")</f>
        <v/>
      </c>
      <c r="O59" s="8">
        <f>IFERROR(IF(INDEX('[4]1. Reporting template'!$O$1:$O$400,MATCH($B59,'[4]1. Reporting template'!$B$1:$B$400,0))="","",INDEX('[4]1. Reporting template'!$O$1:$O$400,MATCH($B59,'[4]1. Reporting template'!$B$1:$B$400,0))),"")</f>
        <v/>
      </c>
      <c r="P59" s="8">
        <f>IFERROR(IF(INDEX('[4]1. Reporting template'!$P$1:$P$400,MATCH($B59,'[4]1. Reporting template'!$B$1:$B$400,0))="","",INDEX('[4]1. Reporting template'!$P$1:$P$400,MATCH($B59,'[4]1. Reporting template'!$B$1:$B$400,0))),"")</f>
        <v/>
      </c>
      <c r="Q59" s="8">
        <f>IFERROR(IF(INDEX('[4]1. Reporting template'!$Q$1:$Q$400,MATCH($B59,'[4]1. Reporting template'!$B$1:$B$400,0))="","",INDEX('[4]1. Reporting template'!$Q$1:$Q$400,MATCH($B59,'[4]1. Reporting template'!$B$1:$B$400,0))),"")</f>
        <v/>
      </c>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8">
        <f>IFERROR(IF(INDEX('[4]1. Reporting template'!$L$1:$L$400,MATCH($B60,'[4]1. Reporting template'!$B$1:$B$400,0))="","",INDEX('[4]1. Reporting template'!$L$1:$L$400,MATCH($B60,'[4]1. Reporting template'!$B$1:$B$400,0))),"")</f>
        <v/>
      </c>
      <c r="M60" s="8">
        <f>IFERROR(IF(INDEX('[4]1. Reporting template'!$M$1:$M$400,MATCH($B60,'[4]1. Reporting template'!$B$1:$B$400,0))="","",INDEX('[4]1. Reporting template'!$M$1:$M$400,MATCH($B60,'[4]1. Reporting template'!$B$1:$B$400,0))),"")</f>
        <v/>
      </c>
      <c r="N60" s="8">
        <f>IFERROR(IF(INDEX('[4]1. Reporting template'!$N$1:$N$400,MATCH($B60,'[4]1. Reporting template'!$B$1:$B$400,0))="","",INDEX('[4]1. Reporting template'!$N$1:$N$400,MATCH($B60,'[4]1. Reporting template'!$B$1:$B$400,0))),"")</f>
        <v/>
      </c>
      <c r="O60" s="8">
        <f>IFERROR(IF(INDEX('[4]1. Reporting template'!$O$1:$O$400,MATCH($B60,'[4]1. Reporting template'!$B$1:$B$400,0))="","",INDEX('[4]1. Reporting template'!$O$1:$O$400,MATCH($B60,'[4]1. Reporting template'!$B$1:$B$400,0))),"")</f>
        <v/>
      </c>
      <c r="P60" s="8">
        <f>IFERROR(IF(INDEX('[4]1. Reporting template'!$P$1:$P$400,MATCH($B60,'[4]1. Reporting template'!$B$1:$B$400,0))="","",INDEX('[4]1. Reporting template'!$P$1:$P$400,MATCH($B60,'[4]1. Reporting template'!$B$1:$B$400,0))),"")</f>
        <v/>
      </c>
      <c r="Q60" s="8">
        <f>IFERROR(IF(INDEX('[4]1. Reporting template'!$Q$1:$Q$400,MATCH($B60,'[4]1. Reporting template'!$B$1:$B$400,0))="","",INDEX('[4]1. Reporting template'!$Q$1:$Q$400,MATCH($B60,'[4]1. Reporting template'!$B$1:$B$400,0))),"")</f>
        <v/>
      </c>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8">
        <f>IFERROR(IF(INDEX('[4]1. Reporting template'!$L$1:$L$400,MATCH($B61,'[4]1. Reporting template'!$B$1:$B$400,0))="","",INDEX('[4]1. Reporting template'!$L$1:$L$400,MATCH($B61,'[4]1. Reporting template'!$B$1:$B$400,0))),"")</f>
        <v/>
      </c>
      <c r="M61" s="8">
        <f>IFERROR(IF(INDEX('[4]1. Reporting template'!$M$1:$M$400,MATCH($B61,'[4]1. Reporting template'!$B$1:$B$400,0))="","",INDEX('[4]1. Reporting template'!$M$1:$M$400,MATCH($B61,'[4]1. Reporting template'!$B$1:$B$400,0))),"")</f>
        <v/>
      </c>
      <c r="N61" s="8">
        <f>IFERROR(IF(INDEX('[4]1. Reporting template'!$N$1:$N$400,MATCH($B61,'[4]1. Reporting template'!$B$1:$B$400,0))="","",INDEX('[4]1. Reporting template'!$N$1:$N$400,MATCH($B61,'[4]1. Reporting template'!$B$1:$B$400,0))),"")</f>
        <v/>
      </c>
      <c r="O61" s="8">
        <f>IFERROR(IF(INDEX('[4]1. Reporting template'!$O$1:$O$400,MATCH($B61,'[4]1. Reporting template'!$B$1:$B$400,0))="","",INDEX('[4]1. Reporting template'!$O$1:$O$400,MATCH($B61,'[4]1. Reporting template'!$B$1:$B$400,0))),"")</f>
        <v/>
      </c>
      <c r="P61" s="8">
        <f>IFERROR(IF(INDEX('[4]1. Reporting template'!$P$1:$P$400,MATCH($B61,'[4]1. Reporting template'!$B$1:$B$400,0))="","",INDEX('[4]1. Reporting template'!$P$1:$P$400,MATCH($B61,'[4]1. Reporting template'!$B$1:$B$400,0))),"")</f>
        <v/>
      </c>
      <c r="Q61" s="8">
        <f>IFERROR(IF(INDEX('[4]1. Reporting template'!$Q$1:$Q$400,MATCH($B61,'[4]1. Reporting template'!$B$1:$B$400,0))="","",INDEX('[4]1. Reporting template'!$Q$1:$Q$400,MATCH($B61,'[4]1. Reporting template'!$B$1:$B$400,0))),"")</f>
        <v/>
      </c>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8">
        <f>IFERROR(IF(INDEX('[4]1. Reporting template'!$L$1:$L$400,MATCH($B62,'[4]1. Reporting template'!$B$1:$B$400,0))="","",INDEX('[4]1. Reporting template'!$L$1:$L$400,MATCH($B62,'[4]1. Reporting template'!$B$1:$B$400,0))),"")</f>
        <v/>
      </c>
      <c r="M62" s="8">
        <f>IFERROR(IF(INDEX('[4]1. Reporting template'!$M$1:$M$400,MATCH($B62,'[4]1. Reporting template'!$B$1:$B$400,0))="","",INDEX('[4]1. Reporting template'!$M$1:$M$400,MATCH($B62,'[4]1. Reporting template'!$B$1:$B$400,0))),"")</f>
        <v/>
      </c>
      <c r="N62" s="8">
        <f>IFERROR(IF(INDEX('[4]1. Reporting template'!$N$1:$N$400,MATCH($B62,'[4]1. Reporting template'!$B$1:$B$400,0))="","",INDEX('[4]1. Reporting template'!$N$1:$N$400,MATCH($B62,'[4]1. Reporting template'!$B$1:$B$400,0))),"")</f>
        <v/>
      </c>
      <c r="O62" s="8">
        <f>IFERROR(IF(INDEX('[4]1. Reporting template'!$O$1:$O$400,MATCH($B62,'[4]1. Reporting template'!$B$1:$B$400,0))="","",INDEX('[4]1. Reporting template'!$O$1:$O$400,MATCH($B62,'[4]1. Reporting template'!$B$1:$B$400,0))),"")</f>
        <v/>
      </c>
      <c r="P62" s="8">
        <f>IFERROR(IF(INDEX('[4]1. Reporting template'!$P$1:$P$400,MATCH($B62,'[4]1. Reporting template'!$B$1:$B$400,0))="","",INDEX('[4]1. Reporting template'!$P$1:$P$400,MATCH($B62,'[4]1. Reporting template'!$B$1:$B$400,0))),"")</f>
        <v/>
      </c>
      <c r="Q62" s="8">
        <f>IFERROR(IF(INDEX('[4]1. Reporting template'!$Q$1:$Q$400,MATCH($B62,'[4]1. Reporting template'!$B$1:$B$400,0))="","",INDEX('[4]1. Reporting template'!$Q$1:$Q$400,MATCH($B62,'[4]1. Reporting template'!$B$1:$B$400,0))),"")</f>
        <v/>
      </c>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8">
        <f>IFERROR(IF(INDEX('[4]1. Reporting template'!$L$1:$L$400,MATCH($B63,'[4]1. Reporting template'!$B$1:$B$400,0))="","",INDEX('[4]1. Reporting template'!$L$1:$L$400,MATCH($B63,'[4]1. Reporting template'!$B$1:$B$400,0))),"")</f>
        <v/>
      </c>
      <c r="M63" s="8">
        <f>IFERROR(IF(INDEX('[4]1. Reporting template'!$M$1:$M$400,MATCH($B63,'[4]1. Reporting template'!$B$1:$B$400,0))="","",INDEX('[4]1. Reporting template'!$M$1:$M$400,MATCH($B63,'[4]1. Reporting template'!$B$1:$B$400,0))),"")</f>
        <v/>
      </c>
      <c r="N63" s="8">
        <f>IFERROR(IF(INDEX('[4]1. Reporting template'!$N$1:$N$400,MATCH($B63,'[4]1. Reporting template'!$B$1:$B$400,0))="","",INDEX('[4]1. Reporting template'!$N$1:$N$400,MATCH($B63,'[4]1. Reporting template'!$B$1:$B$400,0))),"")</f>
        <v/>
      </c>
      <c r="O63" s="8">
        <f>IFERROR(IF(INDEX('[4]1. Reporting template'!$O$1:$O$400,MATCH($B63,'[4]1. Reporting template'!$B$1:$B$400,0))="","",INDEX('[4]1. Reporting template'!$O$1:$O$400,MATCH($B63,'[4]1. Reporting template'!$B$1:$B$400,0))),"")</f>
        <v/>
      </c>
      <c r="P63" s="8">
        <f>IFERROR(IF(INDEX('[4]1. Reporting template'!$P$1:$P$400,MATCH($B63,'[4]1. Reporting template'!$B$1:$B$400,0))="","",INDEX('[4]1. Reporting template'!$P$1:$P$400,MATCH($B63,'[4]1. Reporting template'!$B$1:$B$400,0))),"")</f>
        <v/>
      </c>
      <c r="Q63" s="8">
        <f>IFERROR(IF(INDEX('[4]1. Reporting template'!$Q$1:$Q$400,MATCH($B63,'[4]1. Reporting template'!$B$1:$B$400,0))="","",INDEX('[4]1. Reporting template'!$Q$1:$Q$400,MATCH($B63,'[4]1. Reporting template'!$B$1:$B$400,0))),"")</f>
        <v/>
      </c>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8">
        <f>IFERROR(IF(INDEX('[4]1. Reporting template'!$L$1:$L$400,MATCH($B64,'[4]1. Reporting template'!$B$1:$B$400,0))="","",INDEX('[4]1. Reporting template'!$L$1:$L$400,MATCH($B64,'[4]1. Reporting template'!$B$1:$B$400,0))),"")</f>
        <v/>
      </c>
      <c r="M64" s="8">
        <f>IFERROR(IF(INDEX('[4]1. Reporting template'!$M$1:$M$400,MATCH($B64,'[4]1. Reporting template'!$B$1:$B$400,0))="","",INDEX('[4]1. Reporting template'!$M$1:$M$400,MATCH($B64,'[4]1. Reporting template'!$B$1:$B$400,0))),"")</f>
        <v/>
      </c>
      <c r="N64" s="8">
        <f>IFERROR(IF(INDEX('[4]1. Reporting template'!$N$1:$N$400,MATCH($B64,'[4]1. Reporting template'!$B$1:$B$400,0))="","",INDEX('[4]1. Reporting template'!$N$1:$N$400,MATCH($B64,'[4]1. Reporting template'!$B$1:$B$400,0))),"")</f>
        <v/>
      </c>
      <c r="O64" s="8">
        <f>IFERROR(IF(INDEX('[4]1. Reporting template'!$O$1:$O$400,MATCH($B64,'[4]1. Reporting template'!$B$1:$B$400,0))="","",INDEX('[4]1. Reporting template'!$O$1:$O$400,MATCH($B64,'[4]1. Reporting template'!$B$1:$B$400,0))),"")</f>
        <v/>
      </c>
      <c r="P64" s="8">
        <f>IFERROR(IF(INDEX('[4]1. Reporting template'!$P$1:$P$400,MATCH($B64,'[4]1. Reporting template'!$B$1:$B$400,0))="","",INDEX('[4]1. Reporting template'!$P$1:$P$400,MATCH($B64,'[4]1. Reporting template'!$B$1:$B$400,0))),"")</f>
        <v/>
      </c>
      <c r="Q64" s="8">
        <f>IFERROR(IF(INDEX('[4]1. Reporting template'!$Q$1:$Q$400,MATCH($B64,'[4]1. Reporting template'!$B$1:$B$400,0))="","",INDEX('[4]1. Reporting template'!$Q$1:$Q$400,MATCH($B64,'[4]1. Reporting template'!$B$1:$B$400,0))),"")</f>
        <v/>
      </c>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8">
        <f>IFERROR(IF(INDEX('[4]1. Reporting template'!$L$1:$L$400,MATCH($B65,'[4]1. Reporting template'!$B$1:$B$400,0))="","",INDEX('[4]1. Reporting template'!$L$1:$L$400,MATCH($B65,'[4]1. Reporting template'!$B$1:$B$400,0))),"")</f>
        <v/>
      </c>
      <c r="M65" s="8">
        <f>IFERROR(IF(INDEX('[4]1. Reporting template'!$M$1:$M$400,MATCH($B65,'[4]1. Reporting template'!$B$1:$B$400,0))="","",INDEX('[4]1. Reporting template'!$M$1:$M$400,MATCH($B65,'[4]1. Reporting template'!$B$1:$B$400,0))),"")</f>
        <v/>
      </c>
      <c r="N65" s="8">
        <f>IFERROR(IF(INDEX('[4]1. Reporting template'!$N$1:$N$400,MATCH($B65,'[4]1. Reporting template'!$B$1:$B$400,0))="","",INDEX('[4]1. Reporting template'!$N$1:$N$400,MATCH($B65,'[4]1. Reporting template'!$B$1:$B$400,0))),"")</f>
        <v/>
      </c>
      <c r="O65" s="8">
        <f>IFERROR(IF(INDEX('[4]1. Reporting template'!$O$1:$O$400,MATCH($B65,'[4]1. Reporting template'!$B$1:$B$400,0))="","",INDEX('[4]1. Reporting template'!$O$1:$O$400,MATCH($B65,'[4]1. Reporting template'!$B$1:$B$400,0))),"")</f>
        <v/>
      </c>
      <c r="P65" s="8">
        <f>IFERROR(IF(INDEX('[4]1. Reporting template'!$P$1:$P$400,MATCH($B65,'[4]1. Reporting template'!$B$1:$B$400,0))="","",INDEX('[4]1. Reporting template'!$P$1:$P$400,MATCH($B65,'[4]1. Reporting template'!$B$1:$B$400,0))),"")</f>
        <v/>
      </c>
      <c r="Q65" s="8">
        <f>IFERROR(IF(INDEX('[4]1. Reporting template'!$Q$1:$Q$400,MATCH($B65,'[4]1. Reporting template'!$B$1:$B$400,0))="","",INDEX('[4]1. Reporting template'!$Q$1:$Q$400,MATCH($B65,'[4]1. Reporting template'!$B$1:$B$400,0))),"")</f>
        <v/>
      </c>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8">
        <f>IFERROR(IF(INDEX('[4]1. Reporting template'!$L$1:$L$400,MATCH($B66,'[4]1. Reporting template'!$B$1:$B$400,0))="","",INDEX('[4]1. Reporting template'!$L$1:$L$400,MATCH($B66,'[4]1. Reporting template'!$B$1:$B$400,0))),"")</f>
        <v/>
      </c>
      <c r="M66" s="8">
        <f>IFERROR(IF(INDEX('[4]1. Reporting template'!$M$1:$M$400,MATCH($B66,'[4]1. Reporting template'!$B$1:$B$400,0))="","",INDEX('[4]1. Reporting template'!$M$1:$M$400,MATCH($B66,'[4]1. Reporting template'!$B$1:$B$400,0))),"")</f>
        <v/>
      </c>
      <c r="N66" s="8">
        <f>IFERROR(IF(INDEX('[4]1. Reporting template'!$N$1:$N$400,MATCH($B66,'[4]1. Reporting template'!$B$1:$B$400,0))="","",INDEX('[4]1. Reporting template'!$N$1:$N$400,MATCH($B66,'[4]1. Reporting template'!$B$1:$B$400,0))),"")</f>
        <v/>
      </c>
      <c r="O66" s="8">
        <f>IFERROR(IF(INDEX('[4]1. Reporting template'!$O$1:$O$400,MATCH($B66,'[4]1. Reporting template'!$B$1:$B$400,0))="","",INDEX('[4]1. Reporting template'!$O$1:$O$400,MATCH($B66,'[4]1. Reporting template'!$B$1:$B$400,0))),"")</f>
        <v/>
      </c>
      <c r="P66" s="8">
        <f>IFERROR(IF(INDEX('[4]1. Reporting template'!$P$1:$P$400,MATCH($B66,'[4]1. Reporting template'!$B$1:$B$400,0))="","",INDEX('[4]1. Reporting template'!$P$1:$P$400,MATCH($B66,'[4]1. Reporting template'!$B$1:$B$400,0))),"")</f>
        <v/>
      </c>
      <c r="Q66" s="8">
        <f>IFERROR(IF(INDEX('[4]1. Reporting template'!$Q$1:$Q$400,MATCH($B66,'[4]1. Reporting template'!$B$1:$B$400,0))="","",INDEX('[4]1. Reporting template'!$Q$1:$Q$400,MATCH($B66,'[4]1. Reporting template'!$B$1:$B$400,0))),"")</f>
        <v/>
      </c>
    </row>
    <row r="67"/>
  </sheetData>
  <mergeCells count="8">
    <mergeCell ref="L7:Q7"/>
    <mergeCell ref="C7:G7"/>
    <mergeCell ref="L23:Q23"/>
    <mergeCell ref="C55:G55"/>
    <mergeCell ref="L39:Q39"/>
    <mergeCell ref="C23:G23"/>
    <mergeCell ref="C39:G39"/>
    <mergeCell ref="L55:Q55"/>
  </mergeCells>
  <dataValidations count="4">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6" t="n"/>
      <c r="M10" s="6" t="n"/>
      <c r="N10" s="6" t="n"/>
      <c r="O10" s="6" t="n"/>
      <c r="P10" s="6" t="n"/>
      <c r="Q10" s="6" t="n"/>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6" t="n"/>
      <c r="M11" s="6" t="n"/>
      <c r="N11" s="6" t="n"/>
      <c r="O11" s="6" t="n"/>
      <c r="P11" s="6" t="n"/>
      <c r="Q11" s="6" t="n"/>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6" t="n"/>
      <c r="M12" s="6" t="n"/>
      <c r="N12" s="6" t="n"/>
      <c r="O12" s="6" t="n"/>
      <c r="P12" s="6" t="n"/>
      <c r="Q12" s="6" t="n"/>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6" t="n"/>
      <c r="M13" s="6" t="n"/>
      <c r="N13" s="6" t="n"/>
      <c r="O13" s="6" t="n"/>
      <c r="P13" s="6" t="n"/>
      <c r="Q13" s="6" t="n"/>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6" t="n"/>
      <c r="M14" s="6" t="n"/>
      <c r="N14" s="6" t="n"/>
      <c r="O14" s="6" t="n"/>
      <c r="P14" s="6" t="n"/>
      <c r="Q14" s="6" t="n"/>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6" t="n"/>
      <c r="M22" s="6" t="n"/>
      <c r="N22" s="6" t="n"/>
      <c r="O22" s="6" t="n"/>
      <c r="P22" s="6" t="n"/>
      <c r="Q22" s="6" t="n"/>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6" t="n"/>
      <c r="M23" s="6" t="n"/>
      <c r="N23" s="6" t="n"/>
      <c r="O23" s="6" t="n"/>
      <c r="P23" s="6" t="n"/>
      <c r="Q23" s="6" t="n"/>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6" t="n"/>
      <c r="M24" s="6" t="n"/>
      <c r="N24" s="6" t="n"/>
      <c r="O24" s="6" t="n"/>
      <c r="P24" s="6" t="n"/>
      <c r="Q24" s="6" t="n"/>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6" t="n"/>
      <c r="M25" s="6" t="n"/>
      <c r="N25" s="6" t="n"/>
      <c r="O25" s="6" t="n"/>
      <c r="P25" s="6" t="n"/>
      <c r="Q25" s="6" t="n"/>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6" t="n"/>
      <c r="M26" s="6" t="n"/>
      <c r="N26" s="6" t="n"/>
      <c r="O26" s="6" t="n"/>
      <c r="P26" s="6" t="n"/>
      <c r="Q26" s="6" t="n"/>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6" t="n"/>
      <c r="M27" s="6" t="n"/>
      <c r="N27" s="6" t="n"/>
      <c r="O27" s="6" t="n"/>
      <c r="P27" s="6" t="n"/>
      <c r="Q27" s="6" t="n"/>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6" t="n"/>
      <c r="M28" s="6" t="n"/>
      <c r="N28" s="6" t="n"/>
      <c r="O28" s="6" t="n"/>
      <c r="P28" s="6" t="n"/>
      <c r="Q28" s="6" t="n"/>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6" t="n"/>
      <c r="M29" s="6" t="n"/>
      <c r="N29" s="6" t="n"/>
      <c r="O29" s="6" t="n"/>
      <c r="P29" s="6" t="n"/>
      <c r="Q29" s="6" t="n"/>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6" t="n"/>
      <c r="M30" s="6" t="n"/>
      <c r="N30" s="6" t="n"/>
      <c r="O30" s="6" t="n"/>
      <c r="P30" s="6" t="n"/>
      <c r="Q30" s="6" t="n"/>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6" t="n"/>
      <c r="M31" s="6" t="n"/>
      <c r="N31" s="6" t="n"/>
      <c r="O31" s="6" t="n"/>
      <c r="P31" s="6" t="n"/>
      <c r="Q31" s="6" t="n"/>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6" t="n"/>
      <c r="M32" s="6" t="n"/>
      <c r="N32" s="6" t="n"/>
      <c r="O32" s="6" t="n"/>
      <c r="P32" s="6" t="n"/>
      <c r="Q32" s="6" t="n"/>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6" t="n"/>
      <c r="M33" s="6" t="n"/>
      <c r="N33" s="6" t="n"/>
      <c r="O33" s="6" t="n"/>
      <c r="P33" s="6" t="n"/>
      <c r="Q33" s="6" t="n"/>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6" t="n"/>
      <c r="M34" s="6" t="n"/>
      <c r="N34" s="6" t="n"/>
      <c r="O34" s="6" t="n"/>
      <c r="P34" s="6" t="n"/>
      <c r="Q34" s="6" t="n"/>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6" t="n"/>
      <c r="M35" s="6" t="n"/>
      <c r="N35" s="6" t="n"/>
      <c r="O35" s="6" t="n"/>
      <c r="P35" s="6" t="n"/>
      <c r="Q35" s="6" t="n"/>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6" t="n"/>
      <c r="M10" s="6" t="n"/>
      <c r="N10" s="6" t="n"/>
      <c r="O10" s="6" t="n"/>
      <c r="P10" s="6" t="n"/>
      <c r="Q10" s="6" t="n"/>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6" t="n"/>
      <c r="M11" s="6" t="n"/>
      <c r="N11" s="6" t="n"/>
      <c r="O11" s="6" t="n"/>
      <c r="P11" s="6" t="n"/>
      <c r="Q11" s="6" t="n"/>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6" t="n"/>
      <c r="M12" s="6" t="n"/>
      <c r="N12" s="6" t="n"/>
      <c r="O12" s="6" t="n"/>
      <c r="P12" s="6" t="n"/>
      <c r="Q12" s="6" t="n"/>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6" t="n"/>
      <c r="M13" s="6" t="n"/>
      <c r="N13" s="6" t="n"/>
      <c r="O13" s="6" t="n"/>
      <c r="P13" s="6" t="n"/>
      <c r="Q13" s="6" t="n"/>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6" t="n"/>
      <c r="M14" s="6" t="n"/>
      <c r="N14" s="6" t="n"/>
      <c r="O14" s="6" t="n"/>
      <c r="P14" s="6" t="n"/>
      <c r="Q14" s="6" t="n"/>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6" t="n"/>
      <c r="M15" s="6" t="n"/>
      <c r="N15" s="6" t="n"/>
      <c r="O15" s="6" t="n"/>
      <c r="P15" s="6" t="n"/>
      <c r="Q15" s="6" t="n"/>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6" t="n"/>
      <c r="M23" s="6" t="n"/>
      <c r="N23" s="6" t="n"/>
      <c r="O23" s="6" t="n"/>
      <c r="P23" s="6" t="n"/>
      <c r="Q23" s="6" t="n"/>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6" t="n"/>
      <c r="M10" s="6" t="n"/>
      <c r="N10" s="6" t="n"/>
      <c r="O10" s="6" t="n"/>
      <c r="P10" s="6" t="n"/>
      <c r="Q10" s="6" t="n"/>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6" t="n"/>
      <c r="M11" s="6" t="n"/>
      <c r="N11" s="6" t="n"/>
      <c r="O11" s="6" t="n"/>
      <c r="P11" s="6" t="n"/>
      <c r="Q11" s="6" t="n"/>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6" t="n"/>
      <c r="M12" s="6" t="n"/>
      <c r="N12" s="6" t="n"/>
      <c r="O12" s="6" t="n"/>
      <c r="P12" s="6" t="n"/>
      <c r="Q12" s="6" t="n"/>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6" t="n"/>
      <c r="M13" s="6" t="n"/>
      <c r="N13" s="6" t="n"/>
      <c r="O13" s="6" t="n"/>
      <c r="P13" s="6" t="n"/>
      <c r="Q13" s="6" t="n"/>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6" t="n"/>
      <c r="M14" s="6" t="n"/>
      <c r="N14" s="6" t="n"/>
      <c r="O14" s="6" t="n"/>
      <c r="P14" s="6" t="n"/>
      <c r="Q14" s="6" t="n"/>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6" t="n"/>
      <c r="M15" s="6" t="n"/>
      <c r="N15" s="6" t="n"/>
      <c r="O15" s="6" t="n"/>
      <c r="P15" s="6" t="n"/>
      <c r="Q15" s="6" t="n"/>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6" t="n"/>
      <c r="M16" s="6" t="n"/>
      <c r="N16" s="6" t="n"/>
      <c r="O16" s="6" t="n"/>
      <c r="P16" s="6" t="n"/>
      <c r="Q16" s="6" t="n"/>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6" t="n"/>
      <c r="M10" s="6" t="n"/>
      <c r="N10" s="6" t="n"/>
      <c r="O10" s="6" t="n"/>
      <c r="P10" s="6" t="n"/>
      <c r="Q10" s="6" t="n"/>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6" t="n"/>
      <c r="M11" s="6" t="n"/>
      <c r="N11" s="6" t="n"/>
      <c r="O11" s="6" t="n"/>
      <c r="P11" s="6" t="n"/>
      <c r="Q11" s="6" t="n"/>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6" t="n"/>
      <c r="M12" s="6" t="n"/>
      <c r="N12" s="6" t="n"/>
      <c r="O12" s="6" t="n"/>
      <c r="P12" s="6" t="n"/>
      <c r="Q12" s="6" t="n"/>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6" t="n"/>
      <c r="M13" s="6" t="n"/>
      <c r="N13" s="6" t="n"/>
      <c r="O13" s="6" t="n"/>
      <c r="P13" s="6" t="n"/>
      <c r="Q13" s="6"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 TBC)</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6" t="n"/>
      <c r="M10" s="6" t="n"/>
      <c r="N10" s="6" t="n"/>
      <c r="O10" s="6" t="n"/>
      <c r="P10" s="6" t="n"/>
      <c r="Q10" s="6" t="n"/>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6" t="n"/>
      <c r="M11" s="6" t="n"/>
      <c r="N11" s="6" t="n"/>
      <c r="O11" s="6" t="n"/>
      <c r="P11" s="6" t="n"/>
      <c r="Q11" s="6" t="n"/>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6" t="n"/>
      <c r="M12" s="6" t="n"/>
      <c r="N12" s="6" t="n"/>
      <c r="O12" s="6" t="n"/>
      <c r="P12" s="6" t="n"/>
      <c r="Q12" s="6" t="n"/>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6" t="n"/>
      <c r="M13" s="6" t="n"/>
      <c r="N13" s="6" t="n"/>
      <c r="O13" s="6" t="n"/>
      <c r="P13" s="6" t="n"/>
      <c r="Q13" s="6" t="n"/>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6" t="n"/>
      <c r="M14" s="6" t="n"/>
      <c r="N14" s="6" t="n"/>
      <c r="O14" s="6" t="n"/>
      <c r="P14" s="6" t="n"/>
      <c r="Q14" s="6" t="n"/>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6" t="n"/>
      <c r="M15" s="6" t="n"/>
      <c r="N15" s="6" t="n"/>
      <c r="O15" s="6" t="n"/>
      <c r="P15" s="6" t="n"/>
      <c r="Q15" s="6" t="n"/>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6" t="n"/>
      <c r="M16" s="6" t="n"/>
      <c r="N16" s="6" t="n"/>
      <c r="O16" s="6" t="n"/>
      <c r="P16" s="6" t="n"/>
      <c r="Q16" s="6" t="n"/>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6" t="n"/>
      <c r="M17" s="6" t="n"/>
      <c r="N17" s="6" t="n"/>
      <c r="O17" s="6" t="n"/>
      <c r="P17" s="6" t="n"/>
      <c r="Q17" s="6" t="n"/>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6" t="n"/>
      <c r="M10" s="6" t="n"/>
      <c r="N10" s="6" t="n"/>
      <c r="O10" s="6" t="n"/>
      <c r="P10" s="6" t="n"/>
      <c r="Q10" s="6" t="n"/>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6" t="n"/>
      <c r="M11" s="6" t="n"/>
      <c r="N11" s="6" t="n"/>
      <c r="O11" s="6" t="n"/>
      <c r="P11" s="6" t="n"/>
      <c r="Q11" s="6" t="n"/>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6" t="n"/>
      <c r="M12" s="6" t="n"/>
      <c r="N12" s="6" t="n"/>
      <c r="O12" s="6" t="n"/>
      <c r="P12" s="6" t="n"/>
      <c r="Q12" s="6" t="n"/>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6" t="n"/>
      <c r="M13" s="6" t="n"/>
      <c r="N13" s="6" t="n"/>
      <c r="O13" s="6" t="n"/>
      <c r="P13" s="6" t="n"/>
      <c r="Q13" s="6" t="n"/>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6" t="n"/>
      <c r="M10" s="6" t="n"/>
      <c r="N10" s="6" t="n"/>
      <c r="O10" s="6" t="n"/>
      <c r="P10" s="6" t="n"/>
      <c r="Q10" s="6" t="n"/>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6" t="n"/>
      <c r="M11" s="6" t="n"/>
      <c r="N11" s="6" t="n"/>
      <c r="O11" s="6" t="n"/>
      <c r="P11" s="6" t="n"/>
      <c r="Q11" s="6"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6" t="n"/>
      <c r="M10" s="6" t="n"/>
      <c r="N10" s="6" t="n"/>
      <c r="O10" s="6" t="n"/>
      <c r="P10" s="6" t="n"/>
      <c r="Q10" s="6" t="n"/>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6" t="n"/>
      <c r="M11" s="6" t="n"/>
      <c r="N11" s="6" t="n"/>
      <c r="O11" s="6" t="n"/>
      <c r="P11" s="6" t="n"/>
      <c r="Q11" s="6" t="n"/>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6" t="n"/>
      <c r="M12" s="6" t="n"/>
      <c r="N12" s="6" t="n"/>
      <c r="O12" s="6" t="n"/>
      <c r="P12" s="6" t="n"/>
      <c r="Q12" s="6" t="n"/>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6" t="n"/>
      <c r="M10" s="6" t="n"/>
      <c r="N10" s="6" t="n"/>
      <c r="O10" s="6" t="n"/>
      <c r="P10" s="6" t="n"/>
      <c r="Q10" s="6" t="n"/>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6" t="n"/>
      <c r="M11" s="6" t="n"/>
      <c r="N11" s="6" t="n"/>
      <c r="O11" s="6" t="n"/>
      <c r="P11" s="6" t="n"/>
      <c r="Q11" s="6" t="n"/>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6" t="n"/>
      <c r="M10" s="6" t="n"/>
      <c r="N10" s="6" t="n"/>
      <c r="O10" s="6" t="n"/>
      <c r="P10" s="6" t="n"/>
      <c r="Q10" s="6"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6" t="n"/>
      <c r="M10" s="6" t="n"/>
      <c r="N10" s="6" t="n"/>
      <c r="O10" s="6" t="n"/>
      <c r="P10" s="6" t="n"/>
      <c r="Q10" s="6" t="n"/>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5" max="25"/>
    <col width="13" customWidth="1" min="26" max="26"/>
    <col width="13" customWidth="1" min="27" max="27"/>
    <col width="13" customWidth="1" min="28" max="28"/>
    <col width="13" customWidth="1" min="29" max="29"/>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Central</t>
        </is>
      </c>
      <c r="M9" s="49" t="inlineStr">
        <is>
          <t>Central</t>
        </is>
      </c>
      <c r="N9" s="49" t="inlineStr">
        <is>
          <t>Central</t>
        </is>
      </c>
      <c r="O9" s="49" t="inlineStr">
        <is>
          <t>Central</t>
        </is>
      </c>
      <c r="P9" s="49" t="inlineStr">
        <is>
          <t>Central</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CI&amp;S – Estate Planning &amp; Development</t>
        </is>
      </c>
      <c r="M10" s="4" t="inlineStr">
        <is>
          <t>CI&amp;S – Sustainability Strategy</t>
        </is>
      </c>
      <c r="N10" s="4" t="inlineStr">
        <is>
          <t>CFOG – Procurement</t>
        </is>
      </c>
      <c r="O10" s="4" t="inlineStr">
        <is>
          <t>CFOG – Treasury &amp; Investments</t>
        </is>
      </c>
      <c r="P10" s="4" t="inlineStr">
        <is>
          <t>ESG – Campus Operations &amp; Sustainability Delivery</t>
        </is>
      </c>
      <c r="Q10" s="4" t="inlineStr">
        <is>
          <t>CIOG – Responsible AI &amp; digital</t>
        </is>
      </c>
      <c r="R10" s="4" t="inlineStr">
        <is>
          <t>MRE – Research</t>
        </is>
      </c>
      <c r="S10" s="4" t="inlineStr">
        <is>
          <t>AC&amp;M – Advancement, Communication and Marketing</t>
        </is>
      </c>
      <c r="T10" s="4" t="inlineStr">
        <is>
          <t>GCE – Global, Culture and Engagement</t>
        </is>
      </c>
      <c r="U10" s="4" t="inlineStr">
        <is>
          <t>Education – Chancellery Education</t>
        </is>
      </c>
      <c r="V10" s="4" t="inlineStr">
        <is>
          <t>SaSS – Student and Scholarly Services</t>
        </is>
      </c>
      <c r="W10" s="4" t="inlineStr">
        <is>
          <t>Indigenous – Chancellery Indigenous</t>
        </is>
      </c>
      <c r="X10" s="4" t="inlineStr">
        <is>
          <t>Legal &amp; Risk – Risk &amp; resilience</t>
        </is>
      </c>
      <c r="Y10" s="4" t="n"/>
      <c r="Z10" s="4" t="inlineStr">
        <is>
          <t>Units asked</t>
        </is>
      </c>
      <c r="AA10" s="4" t="inlineStr">
        <is>
          <t>Responses received</t>
        </is>
      </c>
      <c r="AB10" s="4" t="inlineStr">
        <is>
          <t>Awaiting response</t>
        </is>
      </c>
      <c r="AC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IFERROR(IF(INDEX('CI&amp;S'!$L$10:$L$15,MATCH($F11,'CI&amp;S'!$B$10:$B$15,0))="","Cell will autofill based on response",INDEX('CI&amp;S'!$L$10:$L$15,MATCH($F11,'CI&amp;S'!$B$10:$B$15,0))),"N/A")</f>
        <v/>
      </c>
      <c r="M11" s="50">
        <f>IFERROR(IF(INDEX('CI&amp;S'!$L$22:$L$36,MATCH($F11,'CI&amp;S'!$B$22:$B$36,0))="","Cell will autofill based on response",INDEX('CI&amp;S'!$L$22:$L$36,MATCH($F11,'CI&amp;S'!$B$22:$B$36,0))),"N/A")</f>
        <v/>
      </c>
      <c r="N11" s="50">
        <f>IFERROR(IF(INDEX('CFOG'!$L$10:$L$16,MATCH($F11,'CFOG'!$B$10:$B$16,0))="","Cell will autofill based on response",INDEX('CFOG'!$L$10:$L$16,MATCH($F11,'CFOG'!$B$10:$B$16,0))),"N/A")</f>
        <v/>
      </c>
      <c r="O11" s="50">
        <f>IFERROR(IF(INDEX('CFOG'!$L$23:$L$24,MATCH($F11,'CFOG'!$B$23:$B$24,0))="","Cell will autofill based on response",INDEX('CFOG'!$L$23:$L$24,MATCH($F11,'CFOG'!$B$23:$B$24,0))),"N/A")</f>
        <v/>
      </c>
      <c r="P11" s="50">
        <f>IFERROR(IF(INDEX('ESG'!$L$10:$L$17,MATCH($F11,'ESG'!$B$10:$B$17,0))="","Cell will autofill based on response",INDEX('ESG'!$L$10:$L$17,MATCH($F11,'ESG'!$B$10:$B$17,0))),"N/A")</f>
        <v/>
      </c>
      <c r="Q11" s="50">
        <f>IFERROR(IF(INDEX('CIOG'!$L$10:$L$14,MATCH($F11,'CIOG'!$B$10:$B$14,0))="","Cell will autofill based on response",INDEX('CIOG'!$L$10:$L$14,MATCH($F11,'CIOG'!$B$10:$B$14,0))),"N/A")</f>
        <v/>
      </c>
      <c r="R11" s="50">
        <f>IFERROR(IF(INDEX('MRE'!$L$10:$L$18,MATCH($F11,'MRE'!$B$10:$B$18,0))="","Cell will autofill based on response",INDEX('MRE'!$L$10:$L$18,MATCH($F11,'MRE'!$B$10:$B$18,0))),"N/A")</f>
        <v/>
      </c>
      <c r="S11" s="50">
        <f>IFERROR(IF(INDEX('AC&amp;M'!$L$10:$L$14,MATCH($F11,'AC&amp;M'!$B$10:$B$14,0))="","Cell will autofill based on response",INDEX('AC&amp;M'!$L$10:$L$14,MATCH($F11,'AC&amp;M'!$B$10:$B$14,0))),"N/A")</f>
        <v/>
      </c>
      <c r="T11" s="50">
        <f>IFERROR(IF(INDEX('GCE'!$L$10:$L$12,MATCH($F11,'GCE'!$B$10:$B$12,0))="","Cell will autofill based on response",INDEX('GCE'!$L$10:$L$12,MATCH($F11,'GCE'!$B$10:$B$12,0))),"N/A")</f>
        <v/>
      </c>
      <c r="U11" s="50">
        <f>IFERROR(IF(INDEX('Education'!$L$10:$L$13,MATCH($F11,'Education'!$B$10:$B$13,0))="","Cell will autofill based on response",INDEX('Education'!$L$10:$L$13,MATCH($F11,'Education'!$B$10:$B$13,0))),"N/A")</f>
        <v/>
      </c>
      <c r="V11" s="50">
        <f>IFERROR(IF(INDEX('SaSS'!$L$10:$L$12,MATCH($F11,'SaSS'!$B$10:$B$12,0))="","Cell will autofill based on response",INDEX('SaSS'!$L$10:$L$12,MATCH($F11,'SaSS'!$B$10:$B$12,0))),"N/A")</f>
        <v/>
      </c>
      <c r="W11" s="50">
        <f>IFERROR(IF(INDEX('Indigenous'!$L$10:$L$11,MATCH($F11,'Indigenous'!$B$10:$B$11,0))="","Cell will autofill based on response",INDEX('Indigenous'!$L$10:$L$11,MATCH($F11,'Indigenous'!$B$10:$B$11,0))),"N/A")</f>
        <v/>
      </c>
      <c r="X11" s="50">
        <f>IFERROR(IF(INDEX('L&amp;R'!$L$10:$L$11,MATCH($F11,'L&amp;R'!$B$10:$B$11,0))="","Cell will autofill based on response",INDEX('L&amp;R'!$L$10:$L$11,MATCH($F11,'L&amp;R'!$B$10:$B$11,0))),"N/A")</f>
        <v/>
      </c>
      <c r="Z11" s="8">
        <f>SUMPRODUCT(--($H11:$X11&lt;&gt;"N/A"))</f>
        <v/>
      </c>
      <c r="AA11" s="8">
        <f>SUMPRODUCT(--(((($H11:$X11&lt;&gt;"N/A")*($H11:$X11&lt;&gt;"Cell will autofill based on response"))+(($H12:$X12&lt;&gt;"N/A")*($H12:$X12&lt;&gt;"Cell will autofill based on response")))&gt;0))</f>
        <v/>
      </c>
      <c r="AB11" s="8">
        <f>Z11-AA11</f>
        <v/>
      </c>
      <c r="AC11" s="8">
        <f>COUNTIF($H15:$X15,"Yes")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IFERROR(IF(INDEX('CI&amp;S'!$M$10:$M$15,MATCH($F12,'CI&amp;S'!$B$10:$B$15,0))="","Cell will autofill based on response",INDEX('CI&amp;S'!$M$10:$M$15,MATCH($F12,'CI&amp;S'!$B$10:$B$15,0))),"N/A")</f>
        <v/>
      </c>
      <c r="M12" s="50">
        <f>IFERROR(IF(INDEX('CI&amp;S'!$M$22:$M$36,MATCH($F12,'CI&amp;S'!$B$22:$B$36,0))="","Cell will autofill based on response",INDEX('CI&amp;S'!$M$22:$M$36,MATCH($F12,'CI&amp;S'!$B$22:$B$36,0))),"N/A")</f>
        <v/>
      </c>
      <c r="N12" s="50">
        <f>IFERROR(IF(INDEX('CFOG'!$M$10:$M$16,MATCH($F12,'CFOG'!$B$10:$B$16,0))="","Cell will autofill based on response",INDEX('CFOG'!$M$10:$M$16,MATCH($F12,'CFOG'!$B$10:$B$16,0))),"N/A")</f>
        <v/>
      </c>
      <c r="O12" s="50">
        <f>IFERROR(IF(INDEX('CFOG'!$M$23:$M$24,MATCH($F12,'CFOG'!$B$23:$B$24,0))="","Cell will autofill based on response",INDEX('CFOG'!$M$23:$M$24,MATCH($F12,'CFOG'!$B$23:$B$24,0))),"N/A")</f>
        <v/>
      </c>
      <c r="P12" s="50">
        <f>IFERROR(IF(INDEX('ESG'!$M$10:$M$17,MATCH($F12,'ESG'!$B$10:$B$17,0))="","Cell will autofill based on response",INDEX('ESG'!$M$10:$M$17,MATCH($F12,'ESG'!$B$10:$B$17,0))),"N/A")</f>
        <v/>
      </c>
      <c r="Q12" s="50">
        <f>IFERROR(IF(INDEX('CIOG'!$M$10:$M$14,MATCH($F12,'CIOG'!$B$10:$B$14,0))="","Cell will autofill based on response",INDEX('CIOG'!$M$10:$M$14,MATCH($F12,'CIOG'!$B$10:$B$14,0))),"N/A")</f>
        <v/>
      </c>
      <c r="R12" s="50">
        <f>IFERROR(IF(INDEX('MRE'!$M$10:$M$18,MATCH($F12,'MRE'!$B$10:$B$18,0))="","Cell will autofill based on response",INDEX('MRE'!$M$10:$M$18,MATCH($F12,'MRE'!$B$10:$B$18,0))),"N/A")</f>
        <v/>
      </c>
      <c r="S12" s="50">
        <f>IFERROR(IF(INDEX('AC&amp;M'!$M$10:$M$14,MATCH($F12,'AC&amp;M'!$B$10:$B$14,0))="","Cell will autofill based on response",INDEX('AC&amp;M'!$M$10:$M$14,MATCH($F12,'AC&amp;M'!$B$10:$B$14,0))),"N/A")</f>
        <v/>
      </c>
      <c r="T12" s="50">
        <f>IFERROR(IF(INDEX('GCE'!$M$10:$M$12,MATCH($F12,'GCE'!$B$10:$B$12,0))="","Cell will autofill based on response",INDEX('GCE'!$M$10:$M$12,MATCH($F12,'GCE'!$B$10:$B$12,0))),"N/A")</f>
        <v/>
      </c>
      <c r="U12" s="50">
        <f>IFERROR(IF(INDEX('Education'!$M$10:$M$13,MATCH($F12,'Education'!$B$10:$B$13,0))="","Cell will autofill based on response",INDEX('Education'!$M$10:$M$13,MATCH($F12,'Education'!$B$10:$B$13,0))),"N/A")</f>
        <v/>
      </c>
      <c r="V12" s="50">
        <f>IFERROR(IF(INDEX('SaSS'!$M$10:$M$12,MATCH($F12,'SaSS'!$B$10:$B$12,0))="","Cell will autofill based on response",INDEX('SaSS'!$M$10:$M$12,MATCH($F12,'SaSS'!$B$10:$B$12,0))),"N/A")</f>
        <v/>
      </c>
      <c r="W12" s="50">
        <f>IFERROR(IF(INDEX('Indigenous'!$M$10:$M$11,MATCH($F12,'Indigenous'!$B$10:$B$11,0))="","Cell will autofill based on response",INDEX('Indigenous'!$M$10:$M$11,MATCH($F12,'Indigenous'!$B$10:$B$11,0))),"N/A")</f>
        <v/>
      </c>
      <c r="X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IFERROR(IF(INDEX('CI&amp;S'!$N$10:$N$15,MATCH($F13,'CI&amp;S'!$B$10:$B$15,0))="","Cell will autofill based on response",INDEX('CI&amp;S'!$N$10:$N$15,MATCH($F13,'CI&amp;S'!$B$10:$B$15,0))),"N/A")</f>
        <v/>
      </c>
      <c r="M13" s="50">
        <f>IFERROR(IF(INDEX('CI&amp;S'!$N$22:$N$36,MATCH($F13,'CI&amp;S'!$B$22:$B$36,0))="","Cell will autofill based on response",INDEX('CI&amp;S'!$N$22:$N$36,MATCH($F13,'CI&amp;S'!$B$22:$B$36,0))),"N/A")</f>
        <v/>
      </c>
      <c r="N13" s="50">
        <f>IFERROR(IF(INDEX('CFOG'!$N$10:$N$16,MATCH($F13,'CFOG'!$B$10:$B$16,0))="","Cell will autofill based on response",INDEX('CFOG'!$N$10:$N$16,MATCH($F13,'CFOG'!$B$10:$B$16,0))),"N/A")</f>
        <v/>
      </c>
      <c r="O13" s="50">
        <f>IFERROR(IF(INDEX('CFOG'!$N$23:$N$24,MATCH($F13,'CFOG'!$B$23:$B$24,0))="","Cell will autofill based on response",INDEX('CFOG'!$N$23:$N$24,MATCH($F13,'CFOG'!$B$23:$B$24,0))),"N/A")</f>
        <v/>
      </c>
      <c r="P13" s="50">
        <f>IFERROR(IF(INDEX('ESG'!$N$10:$N$17,MATCH($F13,'ESG'!$B$10:$B$17,0))="","Cell will autofill based on response",INDEX('ESG'!$N$10:$N$17,MATCH($F13,'ESG'!$B$10:$B$17,0))),"N/A")</f>
        <v/>
      </c>
      <c r="Q13" s="50">
        <f>IFERROR(IF(INDEX('CIOG'!$N$10:$N$14,MATCH($F13,'CIOG'!$B$10:$B$14,0))="","Cell will autofill based on response",INDEX('CIOG'!$N$10:$N$14,MATCH($F13,'CIOG'!$B$10:$B$14,0))),"N/A")</f>
        <v/>
      </c>
      <c r="R13" s="50">
        <f>IFERROR(IF(INDEX('MRE'!$N$10:$N$18,MATCH($F13,'MRE'!$B$10:$B$18,0))="","Cell will autofill based on response",INDEX('MRE'!$N$10:$N$18,MATCH($F13,'MRE'!$B$10:$B$18,0))),"N/A")</f>
        <v/>
      </c>
      <c r="S13" s="50">
        <f>IFERROR(IF(INDEX('AC&amp;M'!$N$10:$N$14,MATCH($F13,'AC&amp;M'!$B$10:$B$14,0))="","Cell will autofill based on response",INDEX('AC&amp;M'!$N$10:$N$14,MATCH($F13,'AC&amp;M'!$B$10:$B$14,0))),"N/A")</f>
        <v/>
      </c>
      <c r="T13" s="50">
        <f>IFERROR(IF(INDEX('GCE'!$N$10:$N$12,MATCH($F13,'GCE'!$B$10:$B$12,0))="","Cell will autofill based on response",INDEX('GCE'!$N$10:$N$12,MATCH($F13,'GCE'!$B$10:$B$12,0))),"N/A")</f>
        <v/>
      </c>
      <c r="U13" s="50">
        <f>IFERROR(IF(INDEX('Education'!$N$10:$N$13,MATCH($F13,'Education'!$B$10:$B$13,0))="","Cell will autofill based on response",INDEX('Education'!$N$10:$N$13,MATCH($F13,'Education'!$B$10:$B$13,0))),"N/A")</f>
        <v/>
      </c>
      <c r="V13" s="50">
        <f>IFERROR(IF(INDEX('SaSS'!$N$10:$N$12,MATCH($F13,'SaSS'!$B$10:$B$12,0))="","Cell will autofill based on response",INDEX('SaSS'!$N$10:$N$12,MATCH($F13,'SaSS'!$B$10:$B$12,0))),"N/A")</f>
        <v/>
      </c>
      <c r="W13" s="50">
        <f>IFERROR(IF(INDEX('Indigenous'!$N$10:$N$11,MATCH($F13,'Indigenous'!$B$10:$B$11,0))="","Cell will autofill based on response",INDEX('Indigenous'!$N$10:$N$11,MATCH($F13,'Indigenous'!$B$10:$B$11,0))),"N/A")</f>
        <v/>
      </c>
      <c r="X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IFERROR(IF(INDEX('CI&amp;S'!$O$10:$O$15,MATCH($F14,'CI&amp;S'!$B$10:$B$15,0))="","Cell will autofill based on response",INDEX('CI&amp;S'!$O$10:$O$15,MATCH($F14,'CI&amp;S'!$B$10:$B$15,0))),"N/A")</f>
        <v/>
      </c>
      <c r="M14" s="50">
        <f>IFERROR(IF(INDEX('CI&amp;S'!$O$22:$O$36,MATCH($F14,'CI&amp;S'!$B$22:$B$36,0))="","Cell will autofill based on response",INDEX('CI&amp;S'!$O$22:$O$36,MATCH($F14,'CI&amp;S'!$B$22:$B$36,0))),"N/A")</f>
        <v/>
      </c>
      <c r="N14" s="50">
        <f>IFERROR(IF(INDEX('CFOG'!$O$10:$O$16,MATCH($F14,'CFOG'!$B$10:$B$16,0))="","Cell will autofill based on response",INDEX('CFOG'!$O$10:$O$16,MATCH($F14,'CFOG'!$B$10:$B$16,0))),"N/A")</f>
        <v/>
      </c>
      <c r="O14" s="50">
        <f>IFERROR(IF(INDEX('CFOG'!$O$23:$O$24,MATCH($F14,'CFOG'!$B$23:$B$24,0))="","Cell will autofill based on response",INDEX('CFOG'!$O$23:$O$24,MATCH($F14,'CFOG'!$B$23:$B$24,0))),"N/A")</f>
        <v/>
      </c>
      <c r="P14" s="50">
        <f>IFERROR(IF(INDEX('ESG'!$O$10:$O$17,MATCH($F14,'ESG'!$B$10:$B$17,0))="","Cell will autofill based on response",INDEX('ESG'!$O$10:$O$17,MATCH($F14,'ESG'!$B$10:$B$17,0))),"N/A")</f>
        <v/>
      </c>
      <c r="Q14" s="50">
        <f>IFERROR(IF(INDEX('CIOG'!$O$10:$O$14,MATCH($F14,'CIOG'!$B$10:$B$14,0))="","Cell will autofill based on response",INDEX('CIOG'!$O$10:$O$14,MATCH($F14,'CIOG'!$B$10:$B$14,0))),"N/A")</f>
        <v/>
      </c>
      <c r="R14" s="50">
        <f>IFERROR(IF(INDEX('MRE'!$O$10:$O$18,MATCH($F14,'MRE'!$B$10:$B$18,0))="","Cell will autofill based on response",INDEX('MRE'!$O$10:$O$18,MATCH($F14,'MRE'!$B$10:$B$18,0))),"N/A")</f>
        <v/>
      </c>
      <c r="S14" s="50">
        <f>IFERROR(IF(INDEX('AC&amp;M'!$O$10:$O$14,MATCH($F14,'AC&amp;M'!$B$10:$B$14,0))="","Cell will autofill based on response",INDEX('AC&amp;M'!$O$10:$O$14,MATCH($F14,'AC&amp;M'!$B$10:$B$14,0))),"N/A")</f>
        <v/>
      </c>
      <c r="T14" s="50">
        <f>IFERROR(IF(INDEX('GCE'!$O$10:$O$12,MATCH($F14,'GCE'!$B$10:$B$12,0))="","Cell will autofill based on response",INDEX('GCE'!$O$10:$O$12,MATCH($F14,'GCE'!$B$10:$B$12,0))),"N/A")</f>
        <v/>
      </c>
      <c r="U14" s="50">
        <f>IFERROR(IF(INDEX('Education'!$O$10:$O$13,MATCH($F14,'Education'!$B$10:$B$13,0))="","Cell will autofill based on response",INDEX('Education'!$O$10:$O$13,MATCH($F14,'Education'!$B$10:$B$13,0))),"N/A")</f>
        <v/>
      </c>
      <c r="V14" s="50">
        <f>IFERROR(IF(INDEX('SaSS'!$O$10:$O$12,MATCH($F14,'SaSS'!$B$10:$B$12,0))="","Cell will autofill based on response",INDEX('SaSS'!$O$10:$O$12,MATCH($F14,'SaSS'!$B$10:$B$12,0))),"N/A")</f>
        <v/>
      </c>
      <c r="W14" s="50">
        <f>IFERROR(IF(INDEX('Indigenous'!$O$10:$O$11,MATCH($F14,'Indigenous'!$B$10:$B$11,0))="","Cell will autofill based on response",INDEX('Indigenous'!$O$10:$O$11,MATCH($F14,'Indigenous'!$B$10:$B$11,0))),"N/A")</f>
        <v/>
      </c>
      <c r="X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IFERROR(IF(INDEX('CI&amp;S'!$P$10:$P$15,MATCH($F15,'CI&amp;S'!$B$10:$B$15,0))="","Cell will autofill based on response",INDEX('CI&amp;S'!$P$10:$P$15,MATCH($F15,'CI&amp;S'!$B$10:$B$15,0))),"N/A")</f>
        <v/>
      </c>
      <c r="M15" s="50">
        <f>IFERROR(IF(INDEX('CI&amp;S'!$P$22:$P$36,MATCH($F15,'CI&amp;S'!$B$22:$B$36,0))="","Cell will autofill based on response",INDEX('CI&amp;S'!$P$22:$P$36,MATCH($F15,'CI&amp;S'!$B$22:$B$36,0))),"N/A")</f>
        <v/>
      </c>
      <c r="N15" s="50">
        <f>IFERROR(IF(INDEX('CFOG'!$P$10:$P$16,MATCH($F15,'CFOG'!$B$10:$B$16,0))="","Cell will autofill based on response",INDEX('CFOG'!$P$10:$P$16,MATCH($F15,'CFOG'!$B$10:$B$16,0))),"N/A")</f>
        <v/>
      </c>
      <c r="O15" s="50">
        <f>IFERROR(IF(INDEX('CFOG'!$P$23:$P$24,MATCH($F15,'CFOG'!$B$23:$B$24,0))="","Cell will autofill based on response",INDEX('CFOG'!$P$23:$P$24,MATCH($F15,'CFOG'!$B$23:$B$24,0))),"N/A")</f>
        <v/>
      </c>
      <c r="P15" s="50">
        <f>IFERROR(IF(INDEX('ESG'!$P$10:$P$17,MATCH($F15,'ESG'!$B$10:$B$17,0))="","Cell will autofill based on response",INDEX('ESG'!$P$10:$P$17,MATCH($F15,'ESG'!$B$10:$B$17,0))),"N/A")</f>
        <v/>
      </c>
      <c r="Q15" s="50">
        <f>IFERROR(IF(INDEX('CIOG'!$P$10:$P$14,MATCH($F15,'CIOG'!$B$10:$B$14,0))="","Cell will autofill based on response",INDEX('CIOG'!$P$10:$P$14,MATCH($F15,'CIOG'!$B$10:$B$14,0))),"N/A")</f>
        <v/>
      </c>
      <c r="R15" s="50">
        <f>IFERROR(IF(INDEX('MRE'!$P$10:$P$18,MATCH($F15,'MRE'!$B$10:$B$18,0))="","Cell will autofill based on response",INDEX('MRE'!$P$10:$P$18,MATCH($F15,'MRE'!$B$10:$B$18,0))),"N/A")</f>
        <v/>
      </c>
      <c r="S15" s="50">
        <f>IFERROR(IF(INDEX('AC&amp;M'!$P$10:$P$14,MATCH($F15,'AC&amp;M'!$B$10:$B$14,0))="","Cell will autofill based on response",INDEX('AC&amp;M'!$P$10:$P$14,MATCH($F15,'AC&amp;M'!$B$10:$B$14,0))),"N/A")</f>
        <v/>
      </c>
      <c r="T15" s="50">
        <f>IFERROR(IF(INDEX('GCE'!$P$10:$P$12,MATCH($F15,'GCE'!$B$10:$B$12,0))="","Cell will autofill based on response",INDEX('GCE'!$P$10:$P$12,MATCH($F15,'GCE'!$B$10:$B$12,0))),"N/A")</f>
        <v/>
      </c>
      <c r="U15" s="50">
        <f>IFERROR(IF(INDEX('Education'!$P$10:$P$13,MATCH($F15,'Education'!$B$10:$B$13,0))="","Cell will autofill based on response",INDEX('Education'!$P$10:$P$13,MATCH($F15,'Education'!$B$10:$B$13,0))),"N/A")</f>
        <v/>
      </c>
      <c r="V15" s="50">
        <f>IFERROR(IF(INDEX('SaSS'!$P$10:$P$12,MATCH($F15,'SaSS'!$B$10:$B$12,0))="","Cell will autofill based on response",INDEX('SaSS'!$P$10:$P$12,MATCH($F15,'SaSS'!$B$10:$B$12,0))),"N/A")</f>
        <v/>
      </c>
      <c r="W15" s="50">
        <f>IFERROR(IF(INDEX('Indigenous'!$P$10:$P$11,MATCH($F15,'Indigenous'!$B$10:$B$11,0))="","Cell will autofill based on response",INDEX('Indigenous'!$P$10:$P$11,MATCH($F15,'Indigenous'!$B$10:$B$11,0))),"N/A")</f>
        <v/>
      </c>
      <c r="X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IFERROR(IF(INDEX('CI&amp;S'!$L$10:$L$15,MATCH($F16,'CI&amp;S'!$B$10:$B$15,0))="","Cell will autofill based on response",INDEX('CI&amp;S'!$L$10:$L$15,MATCH($F16,'CI&amp;S'!$B$10:$B$15,0))),"N/A")</f>
        <v/>
      </c>
      <c r="M16" s="50">
        <f>IFERROR(IF(INDEX('CI&amp;S'!$L$22:$L$36,MATCH($F16,'CI&amp;S'!$B$22:$B$36,0))="","Cell will autofill based on response",INDEX('CI&amp;S'!$L$22:$L$36,MATCH($F16,'CI&amp;S'!$B$22:$B$36,0))),"N/A")</f>
        <v/>
      </c>
      <c r="N16" s="50">
        <f>IFERROR(IF(INDEX('CFOG'!$L$10:$L$16,MATCH($F16,'CFOG'!$B$10:$B$16,0))="","Cell will autofill based on response",INDEX('CFOG'!$L$10:$L$16,MATCH($F16,'CFOG'!$B$10:$B$16,0))),"N/A")</f>
        <v/>
      </c>
      <c r="O16" s="50">
        <f>IFERROR(IF(INDEX('CFOG'!$L$23:$L$24,MATCH($F16,'CFOG'!$B$23:$B$24,0))="","Cell will autofill based on response",INDEX('CFOG'!$L$23:$L$24,MATCH($F16,'CFOG'!$B$23:$B$24,0))),"N/A")</f>
        <v/>
      </c>
      <c r="P16" s="50">
        <f>IFERROR(IF(INDEX('ESG'!$L$10:$L$17,MATCH($F16,'ESG'!$B$10:$B$17,0))="","Cell will autofill based on response",INDEX('ESG'!$L$10:$L$17,MATCH($F16,'ESG'!$B$10:$B$17,0))),"N/A")</f>
        <v/>
      </c>
      <c r="Q16" s="50">
        <f>IFERROR(IF(INDEX('CIOG'!$L$10:$L$14,MATCH($F16,'CIOG'!$B$10:$B$14,0))="","Cell will autofill based on response",INDEX('CIOG'!$L$10:$L$14,MATCH($F16,'CIOG'!$B$10:$B$14,0))),"N/A")</f>
        <v/>
      </c>
      <c r="R16" s="50">
        <f>IFERROR(IF(INDEX('MRE'!$L$10:$L$18,MATCH($F16,'MRE'!$B$10:$B$18,0))="","Cell will autofill based on response",INDEX('MRE'!$L$10:$L$18,MATCH($F16,'MRE'!$B$10:$B$18,0))),"N/A")</f>
        <v/>
      </c>
      <c r="S16" s="50">
        <f>IFERROR(IF(INDEX('AC&amp;M'!$L$10:$L$14,MATCH($F16,'AC&amp;M'!$B$10:$B$14,0))="","Cell will autofill based on response",INDEX('AC&amp;M'!$L$10:$L$14,MATCH($F16,'AC&amp;M'!$B$10:$B$14,0))),"N/A")</f>
        <v/>
      </c>
      <c r="T16" s="50">
        <f>IFERROR(IF(INDEX('GCE'!$L$10:$L$12,MATCH($F16,'GCE'!$B$10:$B$12,0))="","Cell will autofill based on response",INDEX('GCE'!$L$10:$L$12,MATCH($F16,'GCE'!$B$10:$B$12,0))),"N/A")</f>
        <v/>
      </c>
      <c r="U16" s="50">
        <f>IFERROR(IF(INDEX('Education'!$L$10:$L$13,MATCH($F16,'Education'!$B$10:$B$13,0))="","Cell will autofill based on response",INDEX('Education'!$L$10:$L$13,MATCH($F16,'Education'!$B$10:$B$13,0))),"N/A")</f>
        <v/>
      </c>
      <c r="V16" s="50">
        <f>IFERROR(IF(INDEX('SaSS'!$L$10:$L$12,MATCH($F16,'SaSS'!$B$10:$B$12,0))="","Cell will autofill based on response",INDEX('SaSS'!$L$10:$L$12,MATCH($F16,'SaSS'!$B$10:$B$12,0))),"N/A")</f>
        <v/>
      </c>
      <c r="W16" s="50">
        <f>IFERROR(IF(INDEX('Indigenous'!$L$10:$L$11,MATCH($F16,'Indigenous'!$B$10:$B$11,0))="","Cell will autofill based on response",INDEX('Indigenous'!$L$10:$L$11,MATCH($F16,'Indigenous'!$B$10:$B$11,0))),"N/A")</f>
        <v/>
      </c>
      <c r="X16" s="50">
        <f>IFERROR(IF(INDEX('L&amp;R'!$L$10:$L$11,MATCH($F16,'L&amp;R'!$B$10:$B$11,0))="","Cell will autofill based on response",INDEX('L&amp;R'!$L$10:$L$11,MATCH($F16,'L&amp;R'!$B$10:$B$11,0))),"N/A")</f>
        <v/>
      </c>
      <c r="Z16" s="8">
        <f>SUMPRODUCT(--($H16:$X16&lt;&gt;"N/A"))</f>
        <v/>
      </c>
      <c r="AA16" s="8">
        <f>SUMPRODUCT(--(((($H16:$X16&lt;&gt;"N/A")*($H16:$X16&lt;&gt;"Cell will autofill based on response"))+(($H17:$X17&lt;&gt;"N/A")*($H17:$X17&lt;&gt;"Cell will autofill based on response")))&gt;0))</f>
        <v/>
      </c>
      <c r="AB16" s="8">
        <f>Z16-AA16</f>
        <v/>
      </c>
      <c r="AC16" s="8">
        <f>COUNTIF($H20:$X20,"Yes")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IFERROR(IF(INDEX('CI&amp;S'!$M$10:$M$15,MATCH($F17,'CI&amp;S'!$B$10:$B$15,0))="","Cell will autofill based on response",INDEX('CI&amp;S'!$M$10:$M$15,MATCH($F17,'CI&amp;S'!$B$10:$B$15,0))),"N/A")</f>
        <v/>
      </c>
      <c r="M17" s="50">
        <f>IFERROR(IF(INDEX('CI&amp;S'!$M$22:$M$36,MATCH($F17,'CI&amp;S'!$B$22:$B$36,0))="","Cell will autofill based on response",INDEX('CI&amp;S'!$M$22:$M$36,MATCH($F17,'CI&amp;S'!$B$22:$B$36,0))),"N/A")</f>
        <v/>
      </c>
      <c r="N17" s="50">
        <f>IFERROR(IF(INDEX('CFOG'!$M$10:$M$16,MATCH($F17,'CFOG'!$B$10:$B$16,0))="","Cell will autofill based on response",INDEX('CFOG'!$M$10:$M$16,MATCH($F17,'CFOG'!$B$10:$B$16,0))),"N/A")</f>
        <v/>
      </c>
      <c r="O17" s="50">
        <f>IFERROR(IF(INDEX('CFOG'!$M$23:$M$24,MATCH($F17,'CFOG'!$B$23:$B$24,0))="","Cell will autofill based on response",INDEX('CFOG'!$M$23:$M$24,MATCH($F17,'CFOG'!$B$23:$B$24,0))),"N/A")</f>
        <v/>
      </c>
      <c r="P17" s="50">
        <f>IFERROR(IF(INDEX('ESG'!$M$10:$M$17,MATCH($F17,'ESG'!$B$10:$B$17,0))="","Cell will autofill based on response",INDEX('ESG'!$M$10:$M$17,MATCH($F17,'ESG'!$B$10:$B$17,0))),"N/A")</f>
        <v/>
      </c>
      <c r="Q17" s="50">
        <f>IFERROR(IF(INDEX('CIOG'!$M$10:$M$14,MATCH($F17,'CIOG'!$B$10:$B$14,0))="","Cell will autofill based on response",INDEX('CIOG'!$M$10:$M$14,MATCH($F17,'CIOG'!$B$10:$B$14,0))),"N/A")</f>
        <v/>
      </c>
      <c r="R17" s="50">
        <f>IFERROR(IF(INDEX('MRE'!$M$10:$M$18,MATCH($F17,'MRE'!$B$10:$B$18,0))="","Cell will autofill based on response",INDEX('MRE'!$M$10:$M$18,MATCH($F17,'MRE'!$B$10:$B$18,0))),"N/A")</f>
        <v/>
      </c>
      <c r="S17" s="50">
        <f>IFERROR(IF(INDEX('AC&amp;M'!$M$10:$M$14,MATCH($F17,'AC&amp;M'!$B$10:$B$14,0))="","Cell will autofill based on response",INDEX('AC&amp;M'!$M$10:$M$14,MATCH($F17,'AC&amp;M'!$B$10:$B$14,0))),"N/A")</f>
        <v/>
      </c>
      <c r="T17" s="50">
        <f>IFERROR(IF(INDEX('GCE'!$M$10:$M$12,MATCH($F17,'GCE'!$B$10:$B$12,0))="","Cell will autofill based on response",INDEX('GCE'!$M$10:$M$12,MATCH($F17,'GCE'!$B$10:$B$12,0))),"N/A")</f>
        <v/>
      </c>
      <c r="U17" s="50">
        <f>IFERROR(IF(INDEX('Education'!$M$10:$M$13,MATCH($F17,'Education'!$B$10:$B$13,0))="","Cell will autofill based on response",INDEX('Education'!$M$10:$M$13,MATCH($F17,'Education'!$B$10:$B$13,0))),"N/A")</f>
        <v/>
      </c>
      <c r="V17" s="50">
        <f>IFERROR(IF(INDEX('SaSS'!$M$10:$M$12,MATCH($F17,'SaSS'!$B$10:$B$12,0))="","Cell will autofill based on response",INDEX('SaSS'!$M$10:$M$12,MATCH($F17,'SaSS'!$B$10:$B$12,0))),"N/A")</f>
        <v/>
      </c>
      <c r="W17" s="50">
        <f>IFERROR(IF(INDEX('Indigenous'!$M$10:$M$11,MATCH($F17,'Indigenous'!$B$10:$B$11,0))="","Cell will autofill based on response",INDEX('Indigenous'!$M$10:$M$11,MATCH($F17,'Indigenous'!$B$10:$B$11,0))),"N/A")</f>
        <v/>
      </c>
      <c r="X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IFERROR(IF(INDEX('CI&amp;S'!$N$10:$N$15,MATCH($F18,'CI&amp;S'!$B$10:$B$15,0))="","Cell will autofill based on response",INDEX('CI&amp;S'!$N$10:$N$15,MATCH($F18,'CI&amp;S'!$B$10:$B$15,0))),"N/A")</f>
        <v/>
      </c>
      <c r="M18" s="50">
        <f>IFERROR(IF(INDEX('CI&amp;S'!$N$22:$N$36,MATCH($F18,'CI&amp;S'!$B$22:$B$36,0))="","Cell will autofill based on response",INDEX('CI&amp;S'!$N$22:$N$36,MATCH($F18,'CI&amp;S'!$B$22:$B$36,0))),"N/A")</f>
        <v/>
      </c>
      <c r="N18" s="50">
        <f>IFERROR(IF(INDEX('CFOG'!$N$10:$N$16,MATCH($F18,'CFOG'!$B$10:$B$16,0))="","Cell will autofill based on response",INDEX('CFOG'!$N$10:$N$16,MATCH($F18,'CFOG'!$B$10:$B$16,0))),"N/A")</f>
        <v/>
      </c>
      <c r="O18" s="50">
        <f>IFERROR(IF(INDEX('CFOG'!$N$23:$N$24,MATCH($F18,'CFOG'!$B$23:$B$24,0))="","Cell will autofill based on response",INDEX('CFOG'!$N$23:$N$24,MATCH($F18,'CFOG'!$B$23:$B$24,0))),"N/A")</f>
        <v/>
      </c>
      <c r="P18" s="50">
        <f>IFERROR(IF(INDEX('ESG'!$N$10:$N$17,MATCH($F18,'ESG'!$B$10:$B$17,0))="","Cell will autofill based on response",INDEX('ESG'!$N$10:$N$17,MATCH($F18,'ESG'!$B$10:$B$17,0))),"N/A")</f>
        <v/>
      </c>
      <c r="Q18" s="50">
        <f>IFERROR(IF(INDEX('CIOG'!$N$10:$N$14,MATCH($F18,'CIOG'!$B$10:$B$14,0))="","Cell will autofill based on response",INDEX('CIOG'!$N$10:$N$14,MATCH($F18,'CIOG'!$B$10:$B$14,0))),"N/A")</f>
        <v/>
      </c>
      <c r="R18" s="50">
        <f>IFERROR(IF(INDEX('MRE'!$N$10:$N$18,MATCH($F18,'MRE'!$B$10:$B$18,0))="","Cell will autofill based on response",INDEX('MRE'!$N$10:$N$18,MATCH($F18,'MRE'!$B$10:$B$18,0))),"N/A")</f>
        <v/>
      </c>
      <c r="S18" s="50">
        <f>IFERROR(IF(INDEX('AC&amp;M'!$N$10:$N$14,MATCH($F18,'AC&amp;M'!$B$10:$B$14,0))="","Cell will autofill based on response",INDEX('AC&amp;M'!$N$10:$N$14,MATCH($F18,'AC&amp;M'!$B$10:$B$14,0))),"N/A")</f>
        <v/>
      </c>
      <c r="T18" s="50">
        <f>IFERROR(IF(INDEX('GCE'!$N$10:$N$12,MATCH($F18,'GCE'!$B$10:$B$12,0))="","Cell will autofill based on response",INDEX('GCE'!$N$10:$N$12,MATCH($F18,'GCE'!$B$10:$B$12,0))),"N/A")</f>
        <v/>
      </c>
      <c r="U18" s="50">
        <f>IFERROR(IF(INDEX('Education'!$N$10:$N$13,MATCH($F18,'Education'!$B$10:$B$13,0))="","Cell will autofill based on response",INDEX('Education'!$N$10:$N$13,MATCH($F18,'Education'!$B$10:$B$13,0))),"N/A")</f>
        <v/>
      </c>
      <c r="V18" s="50">
        <f>IFERROR(IF(INDEX('SaSS'!$N$10:$N$12,MATCH($F18,'SaSS'!$B$10:$B$12,0))="","Cell will autofill based on response",INDEX('SaSS'!$N$10:$N$12,MATCH($F18,'SaSS'!$B$10:$B$12,0))),"N/A")</f>
        <v/>
      </c>
      <c r="W18" s="50">
        <f>IFERROR(IF(INDEX('Indigenous'!$N$10:$N$11,MATCH($F18,'Indigenous'!$B$10:$B$11,0))="","Cell will autofill based on response",INDEX('Indigenous'!$N$10:$N$11,MATCH($F18,'Indigenous'!$B$10:$B$11,0))),"N/A")</f>
        <v/>
      </c>
      <c r="X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IFERROR(IF(INDEX('CI&amp;S'!$O$10:$O$15,MATCH($F19,'CI&amp;S'!$B$10:$B$15,0))="","Cell will autofill based on response",INDEX('CI&amp;S'!$O$10:$O$15,MATCH($F19,'CI&amp;S'!$B$10:$B$15,0))),"N/A")</f>
        <v/>
      </c>
      <c r="M19" s="50">
        <f>IFERROR(IF(INDEX('CI&amp;S'!$O$22:$O$36,MATCH($F19,'CI&amp;S'!$B$22:$B$36,0))="","Cell will autofill based on response",INDEX('CI&amp;S'!$O$22:$O$36,MATCH($F19,'CI&amp;S'!$B$22:$B$36,0))),"N/A")</f>
        <v/>
      </c>
      <c r="N19" s="50">
        <f>IFERROR(IF(INDEX('CFOG'!$O$10:$O$16,MATCH($F19,'CFOG'!$B$10:$B$16,0))="","Cell will autofill based on response",INDEX('CFOG'!$O$10:$O$16,MATCH($F19,'CFOG'!$B$10:$B$16,0))),"N/A")</f>
        <v/>
      </c>
      <c r="O19" s="50">
        <f>IFERROR(IF(INDEX('CFOG'!$O$23:$O$24,MATCH($F19,'CFOG'!$B$23:$B$24,0))="","Cell will autofill based on response",INDEX('CFOG'!$O$23:$O$24,MATCH($F19,'CFOG'!$B$23:$B$24,0))),"N/A")</f>
        <v/>
      </c>
      <c r="P19" s="50">
        <f>IFERROR(IF(INDEX('ESG'!$O$10:$O$17,MATCH($F19,'ESG'!$B$10:$B$17,0))="","Cell will autofill based on response",INDEX('ESG'!$O$10:$O$17,MATCH($F19,'ESG'!$B$10:$B$17,0))),"N/A")</f>
        <v/>
      </c>
      <c r="Q19" s="50">
        <f>IFERROR(IF(INDEX('CIOG'!$O$10:$O$14,MATCH($F19,'CIOG'!$B$10:$B$14,0))="","Cell will autofill based on response",INDEX('CIOG'!$O$10:$O$14,MATCH($F19,'CIOG'!$B$10:$B$14,0))),"N/A")</f>
        <v/>
      </c>
      <c r="R19" s="50">
        <f>IFERROR(IF(INDEX('MRE'!$O$10:$O$18,MATCH($F19,'MRE'!$B$10:$B$18,0))="","Cell will autofill based on response",INDEX('MRE'!$O$10:$O$18,MATCH($F19,'MRE'!$B$10:$B$18,0))),"N/A")</f>
        <v/>
      </c>
      <c r="S19" s="50">
        <f>IFERROR(IF(INDEX('AC&amp;M'!$O$10:$O$14,MATCH($F19,'AC&amp;M'!$B$10:$B$14,0))="","Cell will autofill based on response",INDEX('AC&amp;M'!$O$10:$O$14,MATCH($F19,'AC&amp;M'!$B$10:$B$14,0))),"N/A")</f>
        <v/>
      </c>
      <c r="T19" s="50">
        <f>IFERROR(IF(INDEX('GCE'!$O$10:$O$12,MATCH($F19,'GCE'!$B$10:$B$12,0))="","Cell will autofill based on response",INDEX('GCE'!$O$10:$O$12,MATCH($F19,'GCE'!$B$10:$B$12,0))),"N/A")</f>
        <v/>
      </c>
      <c r="U19" s="50">
        <f>IFERROR(IF(INDEX('Education'!$O$10:$O$13,MATCH($F19,'Education'!$B$10:$B$13,0))="","Cell will autofill based on response",INDEX('Education'!$O$10:$O$13,MATCH($F19,'Education'!$B$10:$B$13,0))),"N/A")</f>
        <v/>
      </c>
      <c r="V19" s="50">
        <f>IFERROR(IF(INDEX('SaSS'!$O$10:$O$12,MATCH($F19,'SaSS'!$B$10:$B$12,0))="","Cell will autofill based on response",INDEX('SaSS'!$O$10:$O$12,MATCH($F19,'SaSS'!$B$10:$B$12,0))),"N/A")</f>
        <v/>
      </c>
      <c r="W19" s="50">
        <f>IFERROR(IF(INDEX('Indigenous'!$O$10:$O$11,MATCH($F19,'Indigenous'!$B$10:$B$11,0))="","Cell will autofill based on response",INDEX('Indigenous'!$O$10:$O$11,MATCH($F19,'Indigenous'!$B$10:$B$11,0))),"N/A")</f>
        <v/>
      </c>
      <c r="X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IFERROR(IF(INDEX('CI&amp;S'!$P$10:$P$15,MATCH($F20,'CI&amp;S'!$B$10:$B$15,0))="","Cell will autofill based on response",INDEX('CI&amp;S'!$P$10:$P$15,MATCH($F20,'CI&amp;S'!$B$10:$B$15,0))),"N/A")</f>
        <v/>
      </c>
      <c r="M20" s="50">
        <f>IFERROR(IF(INDEX('CI&amp;S'!$P$22:$P$36,MATCH($F20,'CI&amp;S'!$B$22:$B$36,0))="","Cell will autofill based on response",INDEX('CI&amp;S'!$P$22:$P$36,MATCH($F20,'CI&amp;S'!$B$22:$B$36,0))),"N/A")</f>
        <v/>
      </c>
      <c r="N20" s="50">
        <f>IFERROR(IF(INDEX('CFOG'!$P$10:$P$16,MATCH($F20,'CFOG'!$B$10:$B$16,0))="","Cell will autofill based on response",INDEX('CFOG'!$P$10:$P$16,MATCH($F20,'CFOG'!$B$10:$B$16,0))),"N/A")</f>
        <v/>
      </c>
      <c r="O20" s="50">
        <f>IFERROR(IF(INDEX('CFOG'!$P$23:$P$24,MATCH($F20,'CFOG'!$B$23:$B$24,0))="","Cell will autofill based on response",INDEX('CFOG'!$P$23:$P$24,MATCH($F20,'CFOG'!$B$23:$B$24,0))),"N/A")</f>
        <v/>
      </c>
      <c r="P20" s="50">
        <f>IFERROR(IF(INDEX('ESG'!$P$10:$P$17,MATCH($F20,'ESG'!$B$10:$B$17,0))="","Cell will autofill based on response",INDEX('ESG'!$P$10:$P$17,MATCH($F20,'ESG'!$B$10:$B$17,0))),"N/A")</f>
        <v/>
      </c>
      <c r="Q20" s="50">
        <f>IFERROR(IF(INDEX('CIOG'!$P$10:$P$14,MATCH($F20,'CIOG'!$B$10:$B$14,0))="","Cell will autofill based on response",INDEX('CIOG'!$P$10:$P$14,MATCH($F20,'CIOG'!$B$10:$B$14,0))),"N/A")</f>
        <v/>
      </c>
      <c r="R20" s="50">
        <f>IFERROR(IF(INDEX('MRE'!$P$10:$P$18,MATCH($F20,'MRE'!$B$10:$B$18,0))="","Cell will autofill based on response",INDEX('MRE'!$P$10:$P$18,MATCH($F20,'MRE'!$B$10:$B$18,0))),"N/A")</f>
        <v/>
      </c>
      <c r="S20" s="50">
        <f>IFERROR(IF(INDEX('AC&amp;M'!$P$10:$P$14,MATCH($F20,'AC&amp;M'!$B$10:$B$14,0))="","Cell will autofill based on response",INDEX('AC&amp;M'!$P$10:$P$14,MATCH($F20,'AC&amp;M'!$B$10:$B$14,0))),"N/A")</f>
        <v/>
      </c>
      <c r="T20" s="50">
        <f>IFERROR(IF(INDEX('GCE'!$P$10:$P$12,MATCH($F20,'GCE'!$B$10:$B$12,0))="","Cell will autofill based on response",INDEX('GCE'!$P$10:$P$12,MATCH($F20,'GCE'!$B$10:$B$12,0))),"N/A")</f>
        <v/>
      </c>
      <c r="U20" s="50">
        <f>IFERROR(IF(INDEX('Education'!$P$10:$P$13,MATCH($F20,'Education'!$B$10:$B$13,0))="","Cell will autofill based on response",INDEX('Education'!$P$10:$P$13,MATCH($F20,'Education'!$B$10:$B$13,0))),"N/A")</f>
        <v/>
      </c>
      <c r="V20" s="50">
        <f>IFERROR(IF(INDEX('SaSS'!$P$10:$P$12,MATCH($F20,'SaSS'!$B$10:$B$12,0))="","Cell will autofill based on response",INDEX('SaSS'!$P$10:$P$12,MATCH($F20,'SaSS'!$B$10:$B$12,0))),"N/A")</f>
        <v/>
      </c>
      <c r="W20" s="50">
        <f>IFERROR(IF(INDEX('Indigenous'!$P$10:$P$11,MATCH($F20,'Indigenous'!$B$10:$B$11,0))="","Cell will autofill based on response",INDEX('Indigenous'!$P$10:$P$11,MATCH($F20,'Indigenous'!$B$10:$B$11,0))),"N/A")</f>
        <v/>
      </c>
      <c r="X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IFERROR(IF(INDEX('CI&amp;S'!$L$10:$L$15,MATCH($F21,'CI&amp;S'!$B$10:$B$15,0))="","Cell will autofill based on response",INDEX('CI&amp;S'!$L$10:$L$15,MATCH($F21,'CI&amp;S'!$B$10:$B$15,0))),"N/A")</f>
        <v/>
      </c>
      <c r="M21" s="50">
        <f>IFERROR(IF(INDEX('CI&amp;S'!$L$22:$L$36,MATCH($F21,'CI&amp;S'!$B$22:$B$36,0))="","Cell will autofill based on response",INDEX('CI&amp;S'!$L$22:$L$36,MATCH($F21,'CI&amp;S'!$B$22:$B$36,0))),"N/A")</f>
        <v/>
      </c>
      <c r="N21" s="50">
        <f>IFERROR(IF(INDEX('CFOG'!$L$10:$L$16,MATCH($F21,'CFOG'!$B$10:$B$16,0))="","Cell will autofill based on response",INDEX('CFOG'!$L$10:$L$16,MATCH($F21,'CFOG'!$B$10:$B$16,0))),"N/A")</f>
        <v/>
      </c>
      <c r="O21" s="50">
        <f>IFERROR(IF(INDEX('CFOG'!$L$23:$L$24,MATCH($F21,'CFOG'!$B$23:$B$24,0))="","Cell will autofill based on response",INDEX('CFOG'!$L$23:$L$24,MATCH($F21,'CFOG'!$B$23:$B$24,0))),"N/A")</f>
        <v/>
      </c>
      <c r="P21" s="50">
        <f>IFERROR(IF(INDEX('ESG'!$L$10:$L$17,MATCH($F21,'ESG'!$B$10:$B$17,0))="","Cell will autofill based on response",INDEX('ESG'!$L$10:$L$17,MATCH($F21,'ESG'!$B$10:$B$17,0))),"N/A")</f>
        <v/>
      </c>
      <c r="Q21" s="50">
        <f>IFERROR(IF(INDEX('CIOG'!$L$10:$L$14,MATCH($F21,'CIOG'!$B$10:$B$14,0))="","Cell will autofill based on response",INDEX('CIOG'!$L$10:$L$14,MATCH($F21,'CIOG'!$B$10:$B$14,0))),"N/A")</f>
        <v/>
      </c>
      <c r="R21" s="50">
        <f>IFERROR(IF(INDEX('MRE'!$L$10:$L$18,MATCH($F21,'MRE'!$B$10:$B$18,0))="","Cell will autofill based on response",INDEX('MRE'!$L$10:$L$18,MATCH($F21,'MRE'!$B$10:$B$18,0))),"N/A")</f>
        <v/>
      </c>
      <c r="S21" s="50">
        <f>IFERROR(IF(INDEX('AC&amp;M'!$L$10:$L$14,MATCH($F21,'AC&amp;M'!$B$10:$B$14,0))="","Cell will autofill based on response",INDEX('AC&amp;M'!$L$10:$L$14,MATCH($F21,'AC&amp;M'!$B$10:$B$14,0))),"N/A")</f>
        <v/>
      </c>
      <c r="T21" s="50">
        <f>IFERROR(IF(INDEX('GCE'!$L$10:$L$12,MATCH($F21,'GCE'!$B$10:$B$12,0))="","Cell will autofill based on response",INDEX('GCE'!$L$10:$L$12,MATCH($F21,'GCE'!$B$10:$B$12,0))),"N/A")</f>
        <v/>
      </c>
      <c r="U21" s="50">
        <f>IFERROR(IF(INDEX('Education'!$L$10:$L$13,MATCH($F21,'Education'!$B$10:$B$13,0))="","Cell will autofill based on response",INDEX('Education'!$L$10:$L$13,MATCH($F21,'Education'!$B$10:$B$13,0))),"N/A")</f>
        <v/>
      </c>
      <c r="V21" s="50">
        <f>IFERROR(IF(INDEX('SaSS'!$L$10:$L$12,MATCH($F21,'SaSS'!$B$10:$B$12,0))="","Cell will autofill based on response",INDEX('SaSS'!$L$10:$L$12,MATCH($F21,'SaSS'!$B$10:$B$12,0))),"N/A")</f>
        <v/>
      </c>
      <c r="W21" s="50">
        <f>IFERROR(IF(INDEX('Indigenous'!$L$10:$L$11,MATCH($F21,'Indigenous'!$B$10:$B$11,0))="","Cell will autofill based on response",INDEX('Indigenous'!$L$10:$L$11,MATCH($F21,'Indigenous'!$B$10:$B$11,0))),"N/A")</f>
        <v/>
      </c>
      <c r="X21" s="50">
        <f>IFERROR(IF(INDEX('L&amp;R'!$L$10:$L$11,MATCH($F21,'L&amp;R'!$B$10:$B$11,0))="","Cell will autofill based on response",INDEX('L&amp;R'!$L$10:$L$11,MATCH($F21,'L&amp;R'!$B$10:$B$11,0))),"N/A")</f>
        <v/>
      </c>
      <c r="Z21" s="8">
        <f>SUMPRODUCT(--($H21:$X21&lt;&gt;"N/A"))</f>
        <v/>
      </c>
      <c r="AA21" s="8">
        <f>SUMPRODUCT(--(((($H21:$X21&lt;&gt;"N/A")*($H21:$X21&lt;&gt;"Cell will autofill based on response"))+(($H22:$X22&lt;&gt;"N/A")*($H22:$X22&lt;&gt;"Cell will autofill based on response")))&gt;0))</f>
        <v/>
      </c>
      <c r="AB21" s="8">
        <f>Z21-AA21</f>
        <v/>
      </c>
      <c r="AC21" s="8">
        <f>COUNTIF($H25:$X25,"Yes")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IFERROR(IF(INDEX('CI&amp;S'!$M$10:$M$15,MATCH($F22,'CI&amp;S'!$B$10:$B$15,0))="","Cell will autofill based on response",INDEX('CI&amp;S'!$M$10:$M$15,MATCH($F22,'CI&amp;S'!$B$10:$B$15,0))),"N/A")</f>
        <v/>
      </c>
      <c r="M22" s="50">
        <f>IFERROR(IF(INDEX('CI&amp;S'!$M$22:$M$36,MATCH($F22,'CI&amp;S'!$B$22:$B$36,0))="","Cell will autofill based on response",INDEX('CI&amp;S'!$M$22:$M$36,MATCH($F22,'CI&amp;S'!$B$22:$B$36,0))),"N/A")</f>
        <v/>
      </c>
      <c r="N22" s="50">
        <f>IFERROR(IF(INDEX('CFOG'!$M$10:$M$16,MATCH($F22,'CFOG'!$B$10:$B$16,0))="","Cell will autofill based on response",INDEX('CFOG'!$M$10:$M$16,MATCH($F22,'CFOG'!$B$10:$B$16,0))),"N/A")</f>
        <v/>
      </c>
      <c r="O22" s="50">
        <f>IFERROR(IF(INDEX('CFOG'!$M$23:$M$24,MATCH($F22,'CFOG'!$B$23:$B$24,0))="","Cell will autofill based on response",INDEX('CFOG'!$M$23:$M$24,MATCH($F22,'CFOG'!$B$23:$B$24,0))),"N/A")</f>
        <v/>
      </c>
      <c r="P22" s="50">
        <f>IFERROR(IF(INDEX('ESG'!$M$10:$M$17,MATCH($F22,'ESG'!$B$10:$B$17,0))="","Cell will autofill based on response",INDEX('ESG'!$M$10:$M$17,MATCH($F22,'ESG'!$B$10:$B$17,0))),"N/A")</f>
        <v/>
      </c>
      <c r="Q22" s="50">
        <f>IFERROR(IF(INDEX('CIOG'!$M$10:$M$14,MATCH($F22,'CIOG'!$B$10:$B$14,0))="","Cell will autofill based on response",INDEX('CIOG'!$M$10:$M$14,MATCH($F22,'CIOG'!$B$10:$B$14,0))),"N/A")</f>
        <v/>
      </c>
      <c r="R22" s="50">
        <f>IFERROR(IF(INDEX('MRE'!$M$10:$M$18,MATCH($F22,'MRE'!$B$10:$B$18,0))="","Cell will autofill based on response",INDEX('MRE'!$M$10:$M$18,MATCH($F22,'MRE'!$B$10:$B$18,0))),"N/A")</f>
        <v/>
      </c>
      <c r="S22" s="50">
        <f>IFERROR(IF(INDEX('AC&amp;M'!$M$10:$M$14,MATCH($F22,'AC&amp;M'!$B$10:$B$14,0))="","Cell will autofill based on response",INDEX('AC&amp;M'!$M$10:$M$14,MATCH($F22,'AC&amp;M'!$B$10:$B$14,0))),"N/A")</f>
        <v/>
      </c>
      <c r="T22" s="50">
        <f>IFERROR(IF(INDEX('GCE'!$M$10:$M$12,MATCH($F22,'GCE'!$B$10:$B$12,0))="","Cell will autofill based on response",INDEX('GCE'!$M$10:$M$12,MATCH($F22,'GCE'!$B$10:$B$12,0))),"N/A")</f>
        <v/>
      </c>
      <c r="U22" s="50">
        <f>IFERROR(IF(INDEX('Education'!$M$10:$M$13,MATCH($F22,'Education'!$B$10:$B$13,0))="","Cell will autofill based on response",INDEX('Education'!$M$10:$M$13,MATCH($F22,'Education'!$B$10:$B$13,0))),"N/A")</f>
        <v/>
      </c>
      <c r="V22" s="50">
        <f>IFERROR(IF(INDEX('SaSS'!$M$10:$M$12,MATCH($F22,'SaSS'!$B$10:$B$12,0))="","Cell will autofill based on response",INDEX('SaSS'!$M$10:$M$12,MATCH($F22,'SaSS'!$B$10:$B$12,0))),"N/A")</f>
        <v/>
      </c>
      <c r="W22" s="50">
        <f>IFERROR(IF(INDEX('Indigenous'!$M$10:$M$11,MATCH($F22,'Indigenous'!$B$10:$B$11,0))="","Cell will autofill based on response",INDEX('Indigenous'!$M$10:$M$11,MATCH($F22,'Indigenous'!$B$10:$B$11,0))),"N/A")</f>
        <v/>
      </c>
      <c r="X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IFERROR(IF(INDEX('CI&amp;S'!$N$10:$N$15,MATCH($F23,'CI&amp;S'!$B$10:$B$15,0))="","Cell will autofill based on response",INDEX('CI&amp;S'!$N$10:$N$15,MATCH($F23,'CI&amp;S'!$B$10:$B$15,0))),"N/A")</f>
        <v/>
      </c>
      <c r="M23" s="50">
        <f>IFERROR(IF(INDEX('CI&amp;S'!$N$22:$N$36,MATCH($F23,'CI&amp;S'!$B$22:$B$36,0))="","Cell will autofill based on response",INDEX('CI&amp;S'!$N$22:$N$36,MATCH($F23,'CI&amp;S'!$B$22:$B$36,0))),"N/A")</f>
        <v/>
      </c>
      <c r="N23" s="50">
        <f>IFERROR(IF(INDEX('CFOG'!$N$10:$N$16,MATCH($F23,'CFOG'!$B$10:$B$16,0))="","Cell will autofill based on response",INDEX('CFOG'!$N$10:$N$16,MATCH($F23,'CFOG'!$B$10:$B$16,0))),"N/A")</f>
        <v/>
      </c>
      <c r="O23" s="50">
        <f>IFERROR(IF(INDEX('CFOG'!$N$23:$N$24,MATCH($F23,'CFOG'!$B$23:$B$24,0))="","Cell will autofill based on response",INDEX('CFOG'!$N$23:$N$24,MATCH($F23,'CFOG'!$B$23:$B$24,0))),"N/A")</f>
        <v/>
      </c>
      <c r="P23" s="50">
        <f>IFERROR(IF(INDEX('ESG'!$N$10:$N$17,MATCH($F23,'ESG'!$B$10:$B$17,0))="","Cell will autofill based on response",INDEX('ESG'!$N$10:$N$17,MATCH($F23,'ESG'!$B$10:$B$17,0))),"N/A")</f>
        <v/>
      </c>
      <c r="Q23" s="50">
        <f>IFERROR(IF(INDEX('CIOG'!$N$10:$N$14,MATCH($F23,'CIOG'!$B$10:$B$14,0))="","Cell will autofill based on response",INDEX('CIOG'!$N$10:$N$14,MATCH($F23,'CIOG'!$B$10:$B$14,0))),"N/A")</f>
        <v/>
      </c>
      <c r="R23" s="50">
        <f>IFERROR(IF(INDEX('MRE'!$N$10:$N$18,MATCH($F23,'MRE'!$B$10:$B$18,0))="","Cell will autofill based on response",INDEX('MRE'!$N$10:$N$18,MATCH($F23,'MRE'!$B$10:$B$18,0))),"N/A")</f>
        <v/>
      </c>
      <c r="S23" s="50">
        <f>IFERROR(IF(INDEX('AC&amp;M'!$N$10:$N$14,MATCH($F23,'AC&amp;M'!$B$10:$B$14,0))="","Cell will autofill based on response",INDEX('AC&amp;M'!$N$10:$N$14,MATCH($F23,'AC&amp;M'!$B$10:$B$14,0))),"N/A")</f>
        <v/>
      </c>
      <c r="T23" s="50">
        <f>IFERROR(IF(INDEX('GCE'!$N$10:$N$12,MATCH($F23,'GCE'!$B$10:$B$12,0))="","Cell will autofill based on response",INDEX('GCE'!$N$10:$N$12,MATCH($F23,'GCE'!$B$10:$B$12,0))),"N/A")</f>
        <v/>
      </c>
      <c r="U23" s="50">
        <f>IFERROR(IF(INDEX('Education'!$N$10:$N$13,MATCH($F23,'Education'!$B$10:$B$13,0))="","Cell will autofill based on response",INDEX('Education'!$N$10:$N$13,MATCH($F23,'Education'!$B$10:$B$13,0))),"N/A")</f>
        <v/>
      </c>
      <c r="V23" s="50">
        <f>IFERROR(IF(INDEX('SaSS'!$N$10:$N$12,MATCH($F23,'SaSS'!$B$10:$B$12,0))="","Cell will autofill based on response",INDEX('SaSS'!$N$10:$N$12,MATCH($F23,'SaSS'!$B$10:$B$12,0))),"N/A")</f>
        <v/>
      </c>
      <c r="W23" s="50">
        <f>IFERROR(IF(INDEX('Indigenous'!$N$10:$N$11,MATCH($F23,'Indigenous'!$B$10:$B$11,0))="","Cell will autofill based on response",INDEX('Indigenous'!$N$10:$N$11,MATCH($F23,'Indigenous'!$B$10:$B$11,0))),"N/A")</f>
        <v/>
      </c>
      <c r="X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IFERROR(IF(INDEX('CI&amp;S'!$O$10:$O$15,MATCH($F24,'CI&amp;S'!$B$10:$B$15,0))="","Cell will autofill based on response",INDEX('CI&amp;S'!$O$10:$O$15,MATCH($F24,'CI&amp;S'!$B$10:$B$15,0))),"N/A")</f>
        <v/>
      </c>
      <c r="M24" s="50">
        <f>IFERROR(IF(INDEX('CI&amp;S'!$O$22:$O$36,MATCH($F24,'CI&amp;S'!$B$22:$B$36,0))="","Cell will autofill based on response",INDEX('CI&amp;S'!$O$22:$O$36,MATCH($F24,'CI&amp;S'!$B$22:$B$36,0))),"N/A")</f>
        <v/>
      </c>
      <c r="N24" s="50">
        <f>IFERROR(IF(INDEX('CFOG'!$O$10:$O$16,MATCH($F24,'CFOG'!$B$10:$B$16,0))="","Cell will autofill based on response",INDEX('CFOG'!$O$10:$O$16,MATCH($F24,'CFOG'!$B$10:$B$16,0))),"N/A")</f>
        <v/>
      </c>
      <c r="O24" s="50">
        <f>IFERROR(IF(INDEX('CFOG'!$O$23:$O$24,MATCH($F24,'CFOG'!$B$23:$B$24,0))="","Cell will autofill based on response",INDEX('CFOG'!$O$23:$O$24,MATCH($F24,'CFOG'!$B$23:$B$24,0))),"N/A")</f>
        <v/>
      </c>
      <c r="P24" s="50">
        <f>IFERROR(IF(INDEX('ESG'!$O$10:$O$17,MATCH($F24,'ESG'!$B$10:$B$17,0))="","Cell will autofill based on response",INDEX('ESG'!$O$10:$O$17,MATCH($F24,'ESG'!$B$10:$B$17,0))),"N/A")</f>
        <v/>
      </c>
      <c r="Q24" s="50">
        <f>IFERROR(IF(INDEX('CIOG'!$O$10:$O$14,MATCH($F24,'CIOG'!$B$10:$B$14,0))="","Cell will autofill based on response",INDEX('CIOG'!$O$10:$O$14,MATCH($F24,'CIOG'!$B$10:$B$14,0))),"N/A")</f>
        <v/>
      </c>
      <c r="R24" s="50">
        <f>IFERROR(IF(INDEX('MRE'!$O$10:$O$18,MATCH($F24,'MRE'!$B$10:$B$18,0))="","Cell will autofill based on response",INDEX('MRE'!$O$10:$O$18,MATCH($F24,'MRE'!$B$10:$B$18,0))),"N/A")</f>
        <v/>
      </c>
      <c r="S24" s="50">
        <f>IFERROR(IF(INDEX('AC&amp;M'!$O$10:$O$14,MATCH($F24,'AC&amp;M'!$B$10:$B$14,0))="","Cell will autofill based on response",INDEX('AC&amp;M'!$O$10:$O$14,MATCH($F24,'AC&amp;M'!$B$10:$B$14,0))),"N/A")</f>
        <v/>
      </c>
      <c r="T24" s="50">
        <f>IFERROR(IF(INDEX('GCE'!$O$10:$O$12,MATCH($F24,'GCE'!$B$10:$B$12,0))="","Cell will autofill based on response",INDEX('GCE'!$O$10:$O$12,MATCH($F24,'GCE'!$B$10:$B$12,0))),"N/A")</f>
        <v/>
      </c>
      <c r="U24" s="50">
        <f>IFERROR(IF(INDEX('Education'!$O$10:$O$13,MATCH($F24,'Education'!$B$10:$B$13,0))="","Cell will autofill based on response",INDEX('Education'!$O$10:$O$13,MATCH($F24,'Education'!$B$10:$B$13,0))),"N/A")</f>
        <v/>
      </c>
      <c r="V24" s="50">
        <f>IFERROR(IF(INDEX('SaSS'!$O$10:$O$12,MATCH($F24,'SaSS'!$B$10:$B$12,0))="","Cell will autofill based on response",INDEX('SaSS'!$O$10:$O$12,MATCH($F24,'SaSS'!$B$10:$B$12,0))),"N/A")</f>
        <v/>
      </c>
      <c r="W24" s="50">
        <f>IFERROR(IF(INDEX('Indigenous'!$O$10:$O$11,MATCH($F24,'Indigenous'!$B$10:$B$11,0))="","Cell will autofill based on response",INDEX('Indigenous'!$O$10:$O$11,MATCH($F24,'Indigenous'!$B$10:$B$11,0))),"N/A")</f>
        <v/>
      </c>
      <c r="X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IFERROR(IF(INDEX('CI&amp;S'!$P$10:$P$15,MATCH($F25,'CI&amp;S'!$B$10:$B$15,0))="","Cell will autofill based on response",INDEX('CI&amp;S'!$P$10:$P$15,MATCH($F25,'CI&amp;S'!$B$10:$B$15,0))),"N/A")</f>
        <v/>
      </c>
      <c r="M25" s="50">
        <f>IFERROR(IF(INDEX('CI&amp;S'!$P$22:$P$36,MATCH($F25,'CI&amp;S'!$B$22:$B$36,0))="","Cell will autofill based on response",INDEX('CI&amp;S'!$P$22:$P$36,MATCH($F25,'CI&amp;S'!$B$22:$B$36,0))),"N/A")</f>
        <v/>
      </c>
      <c r="N25" s="50">
        <f>IFERROR(IF(INDEX('CFOG'!$P$10:$P$16,MATCH($F25,'CFOG'!$B$10:$B$16,0))="","Cell will autofill based on response",INDEX('CFOG'!$P$10:$P$16,MATCH($F25,'CFOG'!$B$10:$B$16,0))),"N/A")</f>
        <v/>
      </c>
      <c r="O25" s="50">
        <f>IFERROR(IF(INDEX('CFOG'!$P$23:$P$24,MATCH($F25,'CFOG'!$B$23:$B$24,0))="","Cell will autofill based on response",INDEX('CFOG'!$P$23:$P$24,MATCH($F25,'CFOG'!$B$23:$B$24,0))),"N/A")</f>
        <v/>
      </c>
      <c r="P25" s="50">
        <f>IFERROR(IF(INDEX('ESG'!$P$10:$P$17,MATCH($F25,'ESG'!$B$10:$B$17,0))="","Cell will autofill based on response",INDEX('ESG'!$P$10:$P$17,MATCH($F25,'ESG'!$B$10:$B$17,0))),"N/A")</f>
        <v/>
      </c>
      <c r="Q25" s="50">
        <f>IFERROR(IF(INDEX('CIOG'!$P$10:$P$14,MATCH($F25,'CIOG'!$B$10:$B$14,0))="","Cell will autofill based on response",INDEX('CIOG'!$P$10:$P$14,MATCH($F25,'CIOG'!$B$10:$B$14,0))),"N/A")</f>
        <v/>
      </c>
      <c r="R25" s="50">
        <f>IFERROR(IF(INDEX('MRE'!$P$10:$P$18,MATCH($F25,'MRE'!$B$10:$B$18,0))="","Cell will autofill based on response",INDEX('MRE'!$P$10:$P$18,MATCH($F25,'MRE'!$B$10:$B$18,0))),"N/A")</f>
        <v/>
      </c>
      <c r="S25" s="50">
        <f>IFERROR(IF(INDEX('AC&amp;M'!$P$10:$P$14,MATCH($F25,'AC&amp;M'!$B$10:$B$14,0))="","Cell will autofill based on response",INDEX('AC&amp;M'!$P$10:$P$14,MATCH($F25,'AC&amp;M'!$B$10:$B$14,0))),"N/A")</f>
        <v/>
      </c>
      <c r="T25" s="50">
        <f>IFERROR(IF(INDEX('GCE'!$P$10:$P$12,MATCH($F25,'GCE'!$B$10:$B$12,0))="","Cell will autofill based on response",INDEX('GCE'!$P$10:$P$12,MATCH($F25,'GCE'!$B$10:$B$12,0))),"N/A")</f>
        <v/>
      </c>
      <c r="U25" s="50">
        <f>IFERROR(IF(INDEX('Education'!$P$10:$P$13,MATCH($F25,'Education'!$B$10:$B$13,0))="","Cell will autofill based on response",INDEX('Education'!$P$10:$P$13,MATCH($F25,'Education'!$B$10:$B$13,0))),"N/A")</f>
        <v/>
      </c>
      <c r="V25" s="50">
        <f>IFERROR(IF(INDEX('SaSS'!$P$10:$P$12,MATCH($F25,'SaSS'!$B$10:$B$12,0))="","Cell will autofill based on response",INDEX('SaSS'!$P$10:$P$12,MATCH($F25,'SaSS'!$B$10:$B$12,0))),"N/A")</f>
        <v/>
      </c>
      <c r="W25" s="50">
        <f>IFERROR(IF(INDEX('Indigenous'!$P$10:$P$11,MATCH($F25,'Indigenous'!$B$10:$B$11,0))="","Cell will autofill based on response",INDEX('Indigenous'!$P$10:$P$11,MATCH($F25,'Indigenous'!$B$10:$B$11,0))),"N/A")</f>
        <v/>
      </c>
      <c r="X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IFERROR(IF(INDEX('CI&amp;S'!$L$10:$L$15,MATCH($F26,'CI&amp;S'!$B$10:$B$15,0))="","Cell will autofill based on response",INDEX('CI&amp;S'!$L$10:$L$15,MATCH($F26,'CI&amp;S'!$B$10:$B$15,0))),"N/A")</f>
        <v/>
      </c>
      <c r="M26" s="50">
        <f>IFERROR(IF(INDEX('CI&amp;S'!$L$22:$L$36,MATCH($F26,'CI&amp;S'!$B$22:$B$36,0))="","Cell will autofill based on response",INDEX('CI&amp;S'!$L$22:$L$36,MATCH($F26,'CI&amp;S'!$B$22:$B$36,0))),"N/A")</f>
        <v/>
      </c>
      <c r="N26" s="50">
        <f>IFERROR(IF(INDEX('CFOG'!$L$10:$L$16,MATCH($F26,'CFOG'!$B$10:$B$16,0))="","Cell will autofill based on response",INDEX('CFOG'!$L$10:$L$16,MATCH($F26,'CFOG'!$B$10:$B$16,0))),"N/A")</f>
        <v/>
      </c>
      <c r="O26" s="50">
        <f>IFERROR(IF(INDEX('CFOG'!$L$23:$L$24,MATCH($F26,'CFOG'!$B$23:$B$24,0))="","Cell will autofill based on response",INDEX('CFOG'!$L$23:$L$24,MATCH($F26,'CFOG'!$B$23:$B$24,0))),"N/A")</f>
        <v/>
      </c>
      <c r="P26" s="50">
        <f>IFERROR(IF(INDEX('ESG'!$L$10:$L$17,MATCH($F26,'ESG'!$B$10:$B$17,0))="","Cell will autofill based on response",INDEX('ESG'!$L$10:$L$17,MATCH($F26,'ESG'!$B$10:$B$17,0))),"N/A")</f>
        <v/>
      </c>
      <c r="Q26" s="50">
        <f>IFERROR(IF(INDEX('CIOG'!$L$10:$L$14,MATCH($F26,'CIOG'!$B$10:$B$14,0))="","Cell will autofill based on response",INDEX('CIOG'!$L$10:$L$14,MATCH($F26,'CIOG'!$B$10:$B$14,0))),"N/A")</f>
        <v/>
      </c>
      <c r="R26" s="50">
        <f>IFERROR(IF(INDEX('MRE'!$L$10:$L$18,MATCH($F26,'MRE'!$B$10:$B$18,0))="","Cell will autofill based on response",INDEX('MRE'!$L$10:$L$18,MATCH($F26,'MRE'!$B$10:$B$18,0))),"N/A")</f>
        <v/>
      </c>
      <c r="S26" s="50">
        <f>IFERROR(IF(INDEX('AC&amp;M'!$L$10:$L$14,MATCH($F26,'AC&amp;M'!$B$10:$B$14,0))="","Cell will autofill based on response",INDEX('AC&amp;M'!$L$10:$L$14,MATCH($F26,'AC&amp;M'!$B$10:$B$14,0))),"N/A")</f>
        <v/>
      </c>
      <c r="T26" s="50">
        <f>IFERROR(IF(INDEX('GCE'!$L$10:$L$12,MATCH($F26,'GCE'!$B$10:$B$12,0))="","Cell will autofill based on response",INDEX('GCE'!$L$10:$L$12,MATCH($F26,'GCE'!$B$10:$B$12,0))),"N/A")</f>
        <v/>
      </c>
      <c r="U26" s="50">
        <f>IFERROR(IF(INDEX('Education'!$L$10:$L$13,MATCH($F26,'Education'!$B$10:$B$13,0))="","Cell will autofill based on response",INDEX('Education'!$L$10:$L$13,MATCH($F26,'Education'!$B$10:$B$13,0))),"N/A")</f>
        <v/>
      </c>
      <c r="V26" s="50">
        <f>IFERROR(IF(INDEX('SaSS'!$L$10:$L$12,MATCH($F26,'SaSS'!$B$10:$B$12,0))="","Cell will autofill based on response",INDEX('SaSS'!$L$10:$L$12,MATCH($F26,'SaSS'!$B$10:$B$12,0))),"N/A")</f>
        <v/>
      </c>
      <c r="W26" s="50">
        <f>IFERROR(IF(INDEX('Indigenous'!$L$10:$L$11,MATCH($F26,'Indigenous'!$B$10:$B$11,0))="","Cell will autofill based on response",INDEX('Indigenous'!$L$10:$L$11,MATCH($F26,'Indigenous'!$B$10:$B$11,0))),"N/A")</f>
        <v/>
      </c>
      <c r="X26" s="50">
        <f>IFERROR(IF(INDEX('L&amp;R'!$L$10:$L$11,MATCH($F26,'L&amp;R'!$B$10:$B$11,0))="","Cell will autofill based on response",INDEX('L&amp;R'!$L$10:$L$11,MATCH($F26,'L&amp;R'!$B$10:$B$11,0))),"N/A")</f>
        <v/>
      </c>
      <c r="Z26" s="8">
        <f>SUMPRODUCT(--($H26:$X26&lt;&gt;"N/A"))</f>
        <v/>
      </c>
      <c r="AA26" s="8">
        <f>SUMPRODUCT(--(((($H26:$X26&lt;&gt;"N/A")*($H26:$X26&lt;&gt;"Cell will autofill based on response"))+(($H27:$X27&lt;&gt;"N/A")*($H27:$X27&lt;&gt;"Cell will autofill based on response")))&gt;0))</f>
        <v/>
      </c>
      <c r="AB26" s="8">
        <f>Z26-AA26</f>
        <v/>
      </c>
      <c r="AC26" s="8">
        <f>COUNTIF($H30:$X30,"Yes")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IFERROR(IF(INDEX('CI&amp;S'!$M$10:$M$15,MATCH($F27,'CI&amp;S'!$B$10:$B$15,0))="","Cell will autofill based on response",INDEX('CI&amp;S'!$M$10:$M$15,MATCH($F27,'CI&amp;S'!$B$10:$B$15,0))),"N/A")</f>
        <v/>
      </c>
      <c r="M27" s="50">
        <f>IFERROR(IF(INDEX('CI&amp;S'!$M$22:$M$36,MATCH($F27,'CI&amp;S'!$B$22:$B$36,0))="","Cell will autofill based on response",INDEX('CI&amp;S'!$M$22:$M$36,MATCH($F27,'CI&amp;S'!$B$22:$B$36,0))),"N/A")</f>
        <v/>
      </c>
      <c r="N27" s="50">
        <f>IFERROR(IF(INDEX('CFOG'!$M$10:$M$16,MATCH($F27,'CFOG'!$B$10:$B$16,0))="","Cell will autofill based on response",INDEX('CFOG'!$M$10:$M$16,MATCH($F27,'CFOG'!$B$10:$B$16,0))),"N/A")</f>
        <v/>
      </c>
      <c r="O27" s="50">
        <f>IFERROR(IF(INDEX('CFOG'!$M$23:$M$24,MATCH($F27,'CFOG'!$B$23:$B$24,0))="","Cell will autofill based on response",INDEX('CFOG'!$M$23:$M$24,MATCH($F27,'CFOG'!$B$23:$B$24,0))),"N/A")</f>
        <v/>
      </c>
      <c r="P27" s="50">
        <f>IFERROR(IF(INDEX('ESG'!$M$10:$M$17,MATCH($F27,'ESG'!$B$10:$B$17,0))="","Cell will autofill based on response",INDEX('ESG'!$M$10:$M$17,MATCH($F27,'ESG'!$B$10:$B$17,0))),"N/A")</f>
        <v/>
      </c>
      <c r="Q27" s="50">
        <f>IFERROR(IF(INDEX('CIOG'!$M$10:$M$14,MATCH($F27,'CIOG'!$B$10:$B$14,0))="","Cell will autofill based on response",INDEX('CIOG'!$M$10:$M$14,MATCH($F27,'CIOG'!$B$10:$B$14,0))),"N/A")</f>
        <v/>
      </c>
      <c r="R27" s="50">
        <f>IFERROR(IF(INDEX('MRE'!$M$10:$M$18,MATCH($F27,'MRE'!$B$10:$B$18,0))="","Cell will autofill based on response",INDEX('MRE'!$M$10:$M$18,MATCH($F27,'MRE'!$B$10:$B$18,0))),"N/A")</f>
        <v/>
      </c>
      <c r="S27" s="50">
        <f>IFERROR(IF(INDEX('AC&amp;M'!$M$10:$M$14,MATCH($F27,'AC&amp;M'!$B$10:$B$14,0))="","Cell will autofill based on response",INDEX('AC&amp;M'!$M$10:$M$14,MATCH($F27,'AC&amp;M'!$B$10:$B$14,0))),"N/A")</f>
        <v/>
      </c>
      <c r="T27" s="50">
        <f>IFERROR(IF(INDEX('GCE'!$M$10:$M$12,MATCH($F27,'GCE'!$B$10:$B$12,0))="","Cell will autofill based on response",INDEX('GCE'!$M$10:$M$12,MATCH($F27,'GCE'!$B$10:$B$12,0))),"N/A")</f>
        <v/>
      </c>
      <c r="U27" s="50">
        <f>IFERROR(IF(INDEX('Education'!$M$10:$M$13,MATCH($F27,'Education'!$B$10:$B$13,0))="","Cell will autofill based on response",INDEX('Education'!$M$10:$M$13,MATCH($F27,'Education'!$B$10:$B$13,0))),"N/A")</f>
        <v/>
      </c>
      <c r="V27" s="50">
        <f>IFERROR(IF(INDEX('SaSS'!$M$10:$M$12,MATCH($F27,'SaSS'!$B$10:$B$12,0))="","Cell will autofill based on response",INDEX('SaSS'!$M$10:$M$12,MATCH($F27,'SaSS'!$B$10:$B$12,0))),"N/A")</f>
        <v/>
      </c>
      <c r="W27" s="50">
        <f>IFERROR(IF(INDEX('Indigenous'!$M$10:$M$11,MATCH($F27,'Indigenous'!$B$10:$B$11,0))="","Cell will autofill based on response",INDEX('Indigenous'!$M$10:$M$11,MATCH($F27,'Indigenous'!$B$10:$B$11,0))),"N/A")</f>
        <v/>
      </c>
      <c r="X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IFERROR(IF(INDEX('CI&amp;S'!$N$10:$N$15,MATCH($F28,'CI&amp;S'!$B$10:$B$15,0))="","Cell will autofill based on response",INDEX('CI&amp;S'!$N$10:$N$15,MATCH($F28,'CI&amp;S'!$B$10:$B$15,0))),"N/A")</f>
        <v/>
      </c>
      <c r="M28" s="50">
        <f>IFERROR(IF(INDEX('CI&amp;S'!$N$22:$N$36,MATCH($F28,'CI&amp;S'!$B$22:$B$36,0))="","Cell will autofill based on response",INDEX('CI&amp;S'!$N$22:$N$36,MATCH($F28,'CI&amp;S'!$B$22:$B$36,0))),"N/A")</f>
        <v/>
      </c>
      <c r="N28" s="50">
        <f>IFERROR(IF(INDEX('CFOG'!$N$10:$N$16,MATCH($F28,'CFOG'!$B$10:$B$16,0))="","Cell will autofill based on response",INDEX('CFOG'!$N$10:$N$16,MATCH($F28,'CFOG'!$B$10:$B$16,0))),"N/A")</f>
        <v/>
      </c>
      <c r="O28" s="50">
        <f>IFERROR(IF(INDEX('CFOG'!$N$23:$N$24,MATCH($F28,'CFOG'!$B$23:$B$24,0))="","Cell will autofill based on response",INDEX('CFOG'!$N$23:$N$24,MATCH($F28,'CFOG'!$B$23:$B$24,0))),"N/A")</f>
        <v/>
      </c>
      <c r="P28" s="50">
        <f>IFERROR(IF(INDEX('ESG'!$N$10:$N$17,MATCH($F28,'ESG'!$B$10:$B$17,0))="","Cell will autofill based on response",INDEX('ESG'!$N$10:$N$17,MATCH($F28,'ESG'!$B$10:$B$17,0))),"N/A")</f>
        <v/>
      </c>
      <c r="Q28" s="50">
        <f>IFERROR(IF(INDEX('CIOG'!$N$10:$N$14,MATCH($F28,'CIOG'!$B$10:$B$14,0))="","Cell will autofill based on response",INDEX('CIOG'!$N$10:$N$14,MATCH($F28,'CIOG'!$B$10:$B$14,0))),"N/A")</f>
        <v/>
      </c>
      <c r="R28" s="50">
        <f>IFERROR(IF(INDEX('MRE'!$N$10:$N$18,MATCH($F28,'MRE'!$B$10:$B$18,0))="","Cell will autofill based on response",INDEX('MRE'!$N$10:$N$18,MATCH($F28,'MRE'!$B$10:$B$18,0))),"N/A")</f>
        <v/>
      </c>
      <c r="S28" s="50">
        <f>IFERROR(IF(INDEX('AC&amp;M'!$N$10:$N$14,MATCH($F28,'AC&amp;M'!$B$10:$B$14,0))="","Cell will autofill based on response",INDEX('AC&amp;M'!$N$10:$N$14,MATCH($F28,'AC&amp;M'!$B$10:$B$14,0))),"N/A")</f>
        <v/>
      </c>
      <c r="T28" s="50">
        <f>IFERROR(IF(INDEX('GCE'!$N$10:$N$12,MATCH($F28,'GCE'!$B$10:$B$12,0))="","Cell will autofill based on response",INDEX('GCE'!$N$10:$N$12,MATCH($F28,'GCE'!$B$10:$B$12,0))),"N/A")</f>
        <v/>
      </c>
      <c r="U28" s="50">
        <f>IFERROR(IF(INDEX('Education'!$N$10:$N$13,MATCH($F28,'Education'!$B$10:$B$13,0))="","Cell will autofill based on response",INDEX('Education'!$N$10:$N$13,MATCH($F28,'Education'!$B$10:$B$13,0))),"N/A")</f>
        <v/>
      </c>
      <c r="V28" s="50">
        <f>IFERROR(IF(INDEX('SaSS'!$N$10:$N$12,MATCH($F28,'SaSS'!$B$10:$B$12,0))="","Cell will autofill based on response",INDEX('SaSS'!$N$10:$N$12,MATCH($F28,'SaSS'!$B$10:$B$12,0))),"N/A")</f>
        <v/>
      </c>
      <c r="W28" s="50">
        <f>IFERROR(IF(INDEX('Indigenous'!$N$10:$N$11,MATCH($F28,'Indigenous'!$B$10:$B$11,0))="","Cell will autofill based on response",INDEX('Indigenous'!$N$10:$N$11,MATCH($F28,'Indigenous'!$B$10:$B$11,0))),"N/A")</f>
        <v/>
      </c>
      <c r="X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IFERROR(IF(INDEX('CI&amp;S'!$O$10:$O$15,MATCH($F29,'CI&amp;S'!$B$10:$B$15,0))="","Cell will autofill based on response",INDEX('CI&amp;S'!$O$10:$O$15,MATCH($F29,'CI&amp;S'!$B$10:$B$15,0))),"N/A")</f>
        <v/>
      </c>
      <c r="M29" s="50">
        <f>IFERROR(IF(INDEX('CI&amp;S'!$O$22:$O$36,MATCH($F29,'CI&amp;S'!$B$22:$B$36,0))="","Cell will autofill based on response",INDEX('CI&amp;S'!$O$22:$O$36,MATCH($F29,'CI&amp;S'!$B$22:$B$36,0))),"N/A")</f>
        <v/>
      </c>
      <c r="N29" s="50">
        <f>IFERROR(IF(INDEX('CFOG'!$O$10:$O$16,MATCH($F29,'CFOG'!$B$10:$B$16,0))="","Cell will autofill based on response",INDEX('CFOG'!$O$10:$O$16,MATCH($F29,'CFOG'!$B$10:$B$16,0))),"N/A")</f>
        <v/>
      </c>
      <c r="O29" s="50">
        <f>IFERROR(IF(INDEX('CFOG'!$O$23:$O$24,MATCH($F29,'CFOG'!$B$23:$B$24,0))="","Cell will autofill based on response",INDEX('CFOG'!$O$23:$O$24,MATCH($F29,'CFOG'!$B$23:$B$24,0))),"N/A")</f>
        <v/>
      </c>
      <c r="P29" s="50">
        <f>IFERROR(IF(INDEX('ESG'!$O$10:$O$17,MATCH($F29,'ESG'!$B$10:$B$17,0))="","Cell will autofill based on response",INDEX('ESG'!$O$10:$O$17,MATCH($F29,'ESG'!$B$10:$B$17,0))),"N/A")</f>
        <v/>
      </c>
      <c r="Q29" s="50">
        <f>IFERROR(IF(INDEX('CIOG'!$O$10:$O$14,MATCH($F29,'CIOG'!$B$10:$B$14,0))="","Cell will autofill based on response",INDEX('CIOG'!$O$10:$O$14,MATCH($F29,'CIOG'!$B$10:$B$14,0))),"N/A")</f>
        <v/>
      </c>
      <c r="R29" s="50">
        <f>IFERROR(IF(INDEX('MRE'!$O$10:$O$18,MATCH($F29,'MRE'!$B$10:$B$18,0))="","Cell will autofill based on response",INDEX('MRE'!$O$10:$O$18,MATCH($F29,'MRE'!$B$10:$B$18,0))),"N/A")</f>
        <v/>
      </c>
      <c r="S29" s="50">
        <f>IFERROR(IF(INDEX('AC&amp;M'!$O$10:$O$14,MATCH($F29,'AC&amp;M'!$B$10:$B$14,0))="","Cell will autofill based on response",INDEX('AC&amp;M'!$O$10:$O$14,MATCH($F29,'AC&amp;M'!$B$10:$B$14,0))),"N/A")</f>
        <v/>
      </c>
      <c r="T29" s="50">
        <f>IFERROR(IF(INDEX('GCE'!$O$10:$O$12,MATCH($F29,'GCE'!$B$10:$B$12,0))="","Cell will autofill based on response",INDEX('GCE'!$O$10:$O$12,MATCH($F29,'GCE'!$B$10:$B$12,0))),"N/A")</f>
        <v/>
      </c>
      <c r="U29" s="50">
        <f>IFERROR(IF(INDEX('Education'!$O$10:$O$13,MATCH($F29,'Education'!$B$10:$B$13,0))="","Cell will autofill based on response",INDEX('Education'!$O$10:$O$13,MATCH($F29,'Education'!$B$10:$B$13,0))),"N/A")</f>
        <v/>
      </c>
      <c r="V29" s="50">
        <f>IFERROR(IF(INDEX('SaSS'!$O$10:$O$12,MATCH($F29,'SaSS'!$B$10:$B$12,0))="","Cell will autofill based on response",INDEX('SaSS'!$O$10:$O$12,MATCH($F29,'SaSS'!$B$10:$B$12,0))),"N/A")</f>
        <v/>
      </c>
      <c r="W29" s="50">
        <f>IFERROR(IF(INDEX('Indigenous'!$O$10:$O$11,MATCH($F29,'Indigenous'!$B$10:$B$11,0))="","Cell will autofill based on response",INDEX('Indigenous'!$O$10:$O$11,MATCH($F29,'Indigenous'!$B$10:$B$11,0))),"N/A")</f>
        <v/>
      </c>
      <c r="X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IFERROR(IF(INDEX('CI&amp;S'!$P$10:$P$15,MATCH($F30,'CI&amp;S'!$B$10:$B$15,0))="","Cell will autofill based on response",INDEX('CI&amp;S'!$P$10:$P$15,MATCH($F30,'CI&amp;S'!$B$10:$B$15,0))),"N/A")</f>
        <v/>
      </c>
      <c r="M30" s="50">
        <f>IFERROR(IF(INDEX('CI&amp;S'!$P$22:$P$36,MATCH($F30,'CI&amp;S'!$B$22:$B$36,0))="","Cell will autofill based on response",INDEX('CI&amp;S'!$P$22:$P$36,MATCH($F30,'CI&amp;S'!$B$22:$B$36,0))),"N/A")</f>
        <v/>
      </c>
      <c r="N30" s="50">
        <f>IFERROR(IF(INDEX('CFOG'!$P$10:$P$16,MATCH($F30,'CFOG'!$B$10:$B$16,0))="","Cell will autofill based on response",INDEX('CFOG'!$P$10:$P$16,MATCH($F30,'CFOG'!$B$10:$B$16,0))),"N/A")</f>
        <v/>
      </c>
      <c r="O30" s="50">
        <f>IFERROR(IF(INDEX('CFOG'!$P$23:$P$24,MATCH($F30,'CFOG'!$B$23:$B$24,0))="","Cell will autofill based on response",INDEX('CFOG'!$P$23:$P$24,MATCH($F30,'CFOG'!$B$23:$B$24,0))),"N/A")</f>
        <v/>
      </c>
      <c r="P30" s="50">
        <f>IFERROR(IF(INDEX('ESG'!$P$10:$P$17,MATCH($F30,'ESG'!$B$10:$B$17,0))="","Cell will autofill based on response",INDEX('ESG'!$P$10:$P$17,MATCH($F30,'ESG'!$B$10:$B$17,0))),"N/A")</f>
        <v/>
      </c>
      <c r="Q30" s="50">
        <f>IFERROR(IF(INDEX('CIOG'!$P$10:$P$14,MATCH($F30,'CIOG'!$B$10:$B$14,0))="","Cell will autofill based on response",INDEX('CIOG'!$P$10:$P$14,MATCH($F30,'CIOG'!$B$10:$B$14,0))),"N/A")</f>
        <v/>
      </c>
      <c r="R30" s="50">
        <f>IFERROR(IF(INDEX('MRE'!$P$10:$P$18,MATCH($F30,'MRE'!$B$10:$B$18,0))="","Cell will autofill based on response",INDEX('MRE'!$P$10:$P$18,MATCH($F30,'MRE'!$B$10:$B$18,0))),"N/A")</f>
        <v/>
      </c>
      <c r="S30" s="50">
        <f>IFERROR(IF(INDEX('AC&amp;M'!$P$10:$P$14,MATCH($F30,'AC&amp;M'!$B$10:$B$14,0))="","Cell will autofill based on response",INDEX('AC&amp;M'!$P$10:$P$14,MATCH($F30,'AC&amp;M'!$B$10:$B$14,0))),"N/A")</f>
        <v/>
      </c>
      <c r="T30" s="50">
        <f>IFERROR(IF(INDEX('GCE'!$P$10:$P$12,MATCH($F30,'GCE'!$B$10:$B$12,0))="","Cell will autofill based on response",INDEX('GCE'!$P$10:$P$12,MATCH($F30,'GCE'!$B$10:$B$12,0))),"N/A")</f>
        <v/>
      </c>
      <c r="U30" s="50">
        <f>IFERROR(IF(INDEX('Education'!$P$10:$P$13,MATCH($F30,'Education'!$B$10:$B$13,0))="","Cell will autofill based on response",INDEX('Education'!$P$10:$P$13,MATCH($F30,'Education'!$B$10:$B$13,0))),"N/A")</f>
        <v/>
      </c>
      <c r="V30" s="50">
        <f>IFERROR(IF(INDEX('SaSS'!$P$10:$P$12,MATCH($F30,'SaSS'!$B$10:$B$12,0))="","Cell will autofill based on response",INDEX('SaSS'!$P$10:$P$12,MATCH($F30,'SaSS'!$B$10:$B$12,0))),"N/A")</f>
        <v/>
      </c>
      <c r="W30" s="50">
        <f>IFERROR(IF(INDEX('Indigenous'!$P$10:$P$11,MATCH($F30,'Indigenous'!$B$10:$B$11,0))="","Cell will autofill based on response",INDEX('Indigenous'!$P$10:$P$11,MATCH($F30,'Indigenous'!$B$10:$B$11,0))),"N/A")</f>
        <v/>
      </c>
      <c r="X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IFERROR(IF(INDEX('CI&amp;S'!$L$10:$L$15,MATCH($F31,'CI&amp;S'!$B$10:$B$15,0))="","Cell will autofill based on response",INDEX('CI&amp;S'!$L$10:$L$15,MATCH($F31,'CI&amp;S'!$B$10:$B$15,0))),"N/A")</f>
        <v/>
      </c>
      <c r="M31" s="50">
        <f>IFERROR(IF(INDEX('CI&amp;S'!$L$22:$L$36,MATCH($F31,'CI&amp;S'!$B$22:$B$36,0))="","Cell will autofill based on response",INDEX('CI&amp;S'!$L$22:$L$36,MATCH($F31,'CI&amp;S'!$B$22:$B$36,0))),"N/A")</f>
        <v/>
      </c>
      <c r="N31" s="50">
        <f>IFERROR(IF(INDEX('CFOG'!$L$10:$L$16,MATCH($F31,'CFOG'!$B$10:$B$16,0))="","Cell will autofill based on response",INDEX('CFOG'!$L$10:$L$16,MATCH($F31,'CFOG'!$B$10:$B$16,0))),"N/A")</f>
        <v/>
      </c>
      <c r="O31" s="50">
        <f>IFERROR(IF(INDEX('CFOG'!$L$23:$L$24,MATCH($F31,'CFOG'!$B$23:$B$24,0))="","Cell will autofill based on response",INDEX('CFOG'!$L$23:$L$24,MATCH($F31,'CFOG'!$B$23:$B$24,0))),"N/A")</f>
        <v/>
      </c>
      <c r="P31" s="50">
        <f>IFERROR(IF(INDEX('ESG'!$L$10:$L$17,MATCH($F31,'ESG'!$B$10:$B$17,0))="","Cell will autofill based on response",INDEX('ESG'!$L$10:$L$17,MATCH($F31,'ESG'!$B$10:$B$17,0))),"N/A")</f>
        <v/>
      </c>
      <c r="Q31" s="50">
        <f>IFERROR(IF(INDEX('CIOG'!$L$10:$L$14,MATCH($F31,'CIOG'!$B$10:$B$14,0))="","Cell will autofill based on response",INDEX('CIOG'!$L$10:$L$14,MATCH($F31,'CIOG'!$B$10:$B$14,0))),"N/A")</f>
        <v/>
      </c>
      <c r="R31" s="50">
        <f>IFERROR(IF(INDEX('MRE'!$L$10:$L$18,MATCH($F31,'MRE'!$B$10:$B$18,0))="","Cell will autofill based on response",INDEX('MRE'!$L$10:$L$18,MATCH($F31,'MRE'!$B$10:$B$18,0))),"N/A")</f>
        <v/>
      </c>
      <c r="S31" s="50">
        <f>IFERROR(IF(INDEX('AC&amp;M'!$L$10:$L$14,MATCH($F31,'AC&amp;M'!$B$10:$B$14,0))="","Cell will autofill based on response",INDEX('AC&amp;M'!$L$10:$L$14,MATCH($F31,'AC&amp;M'!$B$10:$B$14,0))),"N/A")</f>
        <v/>
      </c>
      <c r="T31" s="50">
        <f>IFERROR(IF(INDEX('GCE'!$L$10:$L$12,MATCH($F31,'GCE'!$B$10:$B$12,0))="","Cell will autofill based on response",INDEX('GCE'!$L$10:$L$12,MATCH($F31,'GCE'!$B$10:$B$12,0))),"N/A")</f>
        <v/>
      </c>
      <c r="U31" s="50">
        <f>IFERROR(IF(INDEX('Education'!$L$10:$L$13,MATCH($F31,'Education'!$B$10:$B$13,0))="","Cell will autofill based on response",INDEX('Education'!$L$10:$L$13,MATCH($F31,'Education'!$B$10:$B$13,0))),"N/A")</f>
        <v/>
      </c>
      <c r="V31" s="50">
        <f>IFERROR(IF(INDEX('SaSS'!$L$10:$L$12,MATCH($F31,'SaSS'!$B$10:$B$12,0))="","Cell will autofill based on response",INDEX('SaSS'!$L$10:$L$12,MATCH($F31,'SaSS'!$B$10:$B$12,0))),"N/A")</f>
        <v/>
      </c>
      <c r="W31" s="50">
        <f>IFERROR(IF(INDEX('Indigenous'!$L$10:$L$11,MATCH($F31,'Indigenous'!$B$10:$B$11,0))="","Cell will autofill based on response",INDEX('Indigenous'!$L$10:$L$11,MATCH($F31,'Indigenous'!$B$10:$B$11,0))),"N/A")</f>
        <v/>
      </c>
      <c r="X31" s="50">
        <f>IFERROR(IF(INDEX('L&amp;R'!$L$10:$L$11,MATCH($F31,'L&amp;R'!$B$10:$B$11,0))="","Cell will autofill based on response",INDEX('L&amp;R'!$L$10:$L$11,MATCH($F31,'L&amp;R'!$B$10:$B$11,0))),"N/A")</f>
        <v/>
      </c>
      <c r="Z31" s="8">
        <f>SUMPRODUCT(--($H31:$X31&lt;&gt;"N/A"))</f>
        <v/>
      </c>
      <c r="AA31" s="8">
        <f>SUMPRODUCT(--(((($H31:$X31&lt;&gt;"N/A")*($H31:$X31&lt;&gt;"Cell will autofill based on response"))+(($H32:$X32&lt;&gt;"N/A")*($H32:$X32&lt;&gt;"Cell will autofill based on response")))&gt;0))</f>
        <v/>
      </c>
      <c r="AB31" s="8">
        <f>Z31-AA31</f>
        <v/>
      </c>
      <c r="AC31" s="8">
        <f>COUNTIF($H35:$X35,"Yes")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IFERROR(IF(INDEX('CI&amp;S'!$M$10:$M$15,MATCH($F32,'CI&amp;S'!$B$10:$B$15,0))="","Cell will autofill based on response",INDEX('CI&amp;S'!$M$10:$M$15,MATCH($F32,'CI&amp;S'!$B$10:$B$15,0))),"N/A")</f>
        <v/>
      </c>
      <c r="M32" s="50">
        <f>IFERROR(IF(INDEX('CI&amp;S'!$M$22:$M$36,MATCH($F32,'CI&amp;S'!$B$22:$B$36,0))="","Cell will autofill based on response",INDEX('CI&amp;S'!$M$22:$M$36,MATCH($F32,'CI&amp;S'!$B$22:$B$36,0))),"N/A")</f>
        <v/>
      </c>
      <c r="N32" s="50">
        <f>IFERROR(IF(INDEX('CFOG'!$M$10:$M$16,MATCH($F32,'CFOG'!$B$10:$B$16,0))="","Cell will autofill based on response",INDEX('CFOG'!$M$10:$M$16,MATCH($F32,'CFOG'!$B$10:$B$16,0))),"N/A")</f>
        <v/>
      </c>
      <c r="O32" s="50">
        <f>IFERROR(IF(INDEX('CFOG'!$M$23:$M$24,MATCH($F32,'CFOG'!$B$23:$B$24,0))="","Cell will autofill based on response",INDEX('CFOG'!$M$23:$M$24,MATCH($F32,'CFOG'!$B$23:$B$24,0))),"N/A")</f>
        <v/>
      </c>
      <c r="P32" s="50">
        <f>IFERROR(IF(INDEX('ESG'!$M$10:$M$17,MATCH($F32,'ESG'!$B$10:$B$17,0))="","Cell will autofill based on response",INDEX('ESG'!$M$10:$M$17,MATCH($F32,'ESG'!$B$10:$B$17,0))),"N/A")</f>
        <v/>
      </c>
      <c r="Q32" s="50">
        <f>IFERROR(IF(INDEX('CIOG'!$M$10:$M$14,MATCH($F32,'CIOG'!$B$10:$B$14,0))="","Cell will autofill based on response",INDEX('CIOG'!$M$10:$M$14,MATCH($F32,'CIOG'!$B$10:$B$14,0))),"N/A")</f>
        <v/>
      </c>
      <c r="R32" s="50">
        <f>IFERROR(IF(INDEX('MRE'!$M$10:$M$18,MATCH($F32,'MRE'!$B$10:$B$18,0))="","Cell will autofill based on response",INDEX('MRE'!$M$10:$M$18,MATCH($F32,'MRE'!$B$10:$B$18,0))),"N/A")</f>
        <v/>
      </c>
      <c r="S32" s="50">
        <f>IFERROR(IF(INDEX('AC&amp;M'!$M$10:$M$14,MATCH($F32,'AC&amp;M'!$B$10:$B$14,0))="","Cell will autofill based on response",INDEX('AC&amp;M'!$M$10:$M$14,MATCH($F32,'AC&amp;M'!$B$10:$B$14,0))),"N/A")</f>
        <v/>
      </c>
      <c r="T32" s="50">
        <f>IFERROR(IF(INDEX('GCE'!$M$10:$M$12,MATCH($F32,'GCE'!$B$10:$B$12,0))="","Cell will autofill based on response",INDEX('GCE'!$M$10:$M$12,MATCH($F32,'GCE'!$B$10:$B$12,0))),"N/A")</f>
        <v/>
      </c>
      <c r="U32" s="50">
        <f>IFERROR(IF(INDEX('Education'!$M$10:$M$13,MATCH($F32,'Education'!$B$10:$B$13,0))="","Cell will autofill based on response",INDEX('Education'!$M$10:$M$13,MATCH($F32,'Education'!$B$10:$B$13,0))),"N/A")</f>
        <v/>
      </c>
      <c r="V32" s="50">
        <f>IFERROR(IF(INDEX('SaSS'!$M$10:$M$12,MATCH($F32,'SaSS'!$B$10:$B$12,0))="","Cell will autofill based on response",INDEX('SaSS'!$M$10:$M$12,MATCH($F32,'SaSS'!$B$10:$B$12,0))),"N/A")</f>
        <v/>
      </c>
      <c r="W32" s="50">
        <f>IFERROR(IF(INDEX('Indigenous'!$M$10:$M$11,MATCH($F32,'Indigenous'!$B$10:$B$11,0))="","Cell will autofill based on response",INDEX('Indigenous'!$M$10:$M$11,MATCH($F32,'Indigenous'!$B$10:$B$11,0))),"N/A")</f>
        <v/>
      </c>
      <c r="X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IFERROR(IF(INDEX('CI&amp;S'!$N$10:$N$15,MATCH($F33,'CI&amp;S'!$B$10:$B$15,0))="","Cell will autofill based on response",INDEX('CI&amp;S'!$N$10:$N$15,MATCH($F33,'CI&amp;S'!$B$10:$B$15,0))),"N/A")</f>
        <v/>
      </c>
      <c r="M33" s="50">
        <f>IFERROR(IF(INDEX('CI&amp;S'!$N$22:$N$36,MATCH($F33,'CI&amp;S'!$B$22:$B$36,0))="","Cell will autofill based on response",INDEX('CI&amp;S'!$N$22:$N$36,MATCH($F33,'CI&amp;S'!$B$22:$B$36,0))),"N/A")</f>
        <v/>
      </c>
      <c r="N33" s="50">
        <f>IFERROR(IF(INDEX('CFOG'!$N$10:$N$16,MATCH($F33,'CFOG'!$B$10:$B$16,0))="","Cell will autofill based on response",INDEX('CFOG'!$N$10:$N$16,MATCH($F33,'CFOG'!$B$10:$B$16,0))),"N/A")</f>
        <v/>
      </c>
      <c r="O33" s="50">
        <f>IFERROR(IF(INDEX('CFOG'!$N$23:$N$24,MATCH($F33,'CFOG'!$B$23:$B$24,0))="","Cell will autofill based on response",INDEX('CFOG'!$N$23:$N$24,MATCH($F33,'CFOG'!$B$23:$B$24,0))),"N/A")</f>
        <v/>
      </c>
      <c r="P33" s="50">
        <f>IFERROR(IF(INDEX('ESG'!$N$10:$N$17,MATCH($F33,'ESG'!$B$10:$B$17,0))="","Cell will autofill based on response",INDEX('ESG'!$N$10:$N$17,MATCH($F33,'ESG'!$B$10:$B$17,0))),"N/A")</f>
        <v/>
      </c>
      <c r="Q33" s="50">
        <f>IFERROR(IF(INDEX('CIOG'!$N$10:$N$14,MATCH($F33,'CIOG'!$B$10:$B$14,0))="","Cell will autofill based on response",INDEX('CIOG'!$N$10:$N$14,MATCH($F33,'CIOG'!$B$10:$B$14,0))),"N/A")</f>
        <v/>
      </c>
      <c r="R33" s="50">
        <f>IFERROR(IF(INDEX('MRE'!$N$10:$N$18,MATCH($F33,'MRE'!$B$10:$B$18,0))="","Cell will autofill based on response",INDEX('MRE'!$N$10:$N$18,MATCH($F33,'MRE'!$B$10:$B$18,0))),"N/A")</f>
        <v/>
      </c>
      <c r="S33" s="50">
        <f>IFERROR(IF(INDEX('AC&amp;M'!$N$10:$N$14,MATCH($F33,'AC&amp;M'!$B$10:$B$14,0))="","Cell will autofill based on response",INDEX('AC&amp;M'!$N$10:$N$14,MATCH($F33,'AC&amp;M'!$B$10:$B$14,0))),"N/A")</f>
        <v/>
      </c>
      <c r="T33" s="50">
        <f>IFERROR(IF(INDEX('GCE'!$N$10:$N$12,MATCH($F33,'GCE'!$B$10:$B$12,0))="","Cell will autofill based on response",INDEX('GCE'!$N$10:$N$12,MATCH($F33,'GCE'!$B$10:$B$12,0))),"N/A")</f>
        <v/>
      </c>
      <c r="U33" s="50">
        <f>IFERROR(IF(INDEX('Education'!$N$10:$N$13,MATCH($F33,'Education'!$B$10:$B$13,0))="","Cell will autofill based on response",INDEX('Education'!$N$10:$N$13,MATCH($F33,'Education'!$B$10:$B$13,0))),"N/A")</f>
        <v/>
      </c>
      <c r="V33" s="50">
        <f>IFERROR(IF(INDEX('SaSS'!$N$10:$N$12,MATCH($F33,'SaSS'!$B$10:$B$12,0))="","Cell will autofill based on response",INDEX('SaSS'!$N$10:$N$12,MATCH($F33,'SaSS'!$B$10:$B$12,0))),"N/A")</f>
        <v/>
      </c>
      <c r="W33" s="50">
        <f>IFERROR(IF(INDEX('Indigenous'!$N$10:$N$11,MATCH($F33,'Indigenous'!$B$10:$B$11,0))="","Cell will autofill based on response",INDEX('Indigenous'!$N$10:$N$11,MATCH($F33,'Indigenous'!$B$10:$B$11,0))),"N/A")</f>
        <v/>
      </c>
      <c r="X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IFERROR(IF(INDEX('CI&amp;S'!$O$10:$O$15,MATCH($F34,'CI&amp;S'!$B$10:$B$15,0))="","Cell will autofill based on response",INDEX('CI&amp;S'!$O$10:$O$15,MATCH($F34,'CI&amp;S'!$B$10:$B$15,0))),"N/A")</f>
        <v/>
      </c>
      <c r="M34" s="50">
        <f>IFERROR(IF(INDEX('CI&amp;S'!$O$22:$O$36,MATCH($F34,'CI&amp;S'!$B$22:$B$36,0))="","Cell will autofill based on response",INDEX('CI&amp;S'!$O$22:$O$36,MATCH($F34,'CI&amp;S'!$B$22:$B$36,0))),"N/A")</f>
        <v/>
      </c>
      <c r="N34" s="50">
        <f>IFERROR(IF(INDEX('CFOG'!$O$10:$O$16,MATCH($F34,'CFOG'!$B$10:$B$16,0))="","Cell will autofill based on response",INDEX('CFOG'!$O$10:$O$16,MATCH($F34,'CFOG'!$B$10:$B$16,0))),"N/A")</f>
        <v/>
      </c>
      <c r="O34" s="50">
        <f>IFERROR(IF(INDEX('CFOG'!$O$23:$O$24,MATCH($F34,'CFOG'!$B$23:$B$24,0))="","Cell will autofill based on response",INDEX('CFOG'!$O$23:$O$24,MATCH($F34,'CFOG'!$B$23:$B$24,0))),"N/A")</f>
        <v/>
      </c>
      <c r="P34" s="50">
        <f>IFERROR(IF(INDEX('ESG'!$O$10:$O$17,MATCH($F34,'ESG'!$B$10:$B$17,0))="","Cell will autofill based on response",INDEX('ESG'!$O$10:$O$17,MATCH($F34,'ESG'!$B$10:$B$17,0))),"N/A")</f>
        <v/>
      </c>
      <c r="Q34" s="50">
        <f>IFERROR(IF(INDEX('CIOG'!$O$10:$O$14,MATCH($F34,'CIOG'!$B$10:$B$14,0))="","Cell will autofill based on response",INDEX('CIOG'!$O$10:$O$14,MATCH($F34,'CIOG'!$B$10:$B$14,0))),"N/A")</f>
        <v/>
      </c>
      <c r="R34" s="50">
        <f>IFERROR(IF(INDEX('MRE'!$O$10:$O$18,MATCH($F34,'MRE'!$B$10:$B$18,0))="","Cell will autofill based on response",INDEX('MRE'!$O$10:$O$18,MATCH($F34,'MRE'!$B$10:$B$18,0))),"N/A")</f>
        <v/>
      </c>
      <c r="S34" s="50">
        <f>IFERROR(IF(INDEX('AC&amp;M'!$O$10:$O$14,MATCH($F34,'AC&amp;M'!$B$10:$B$14,0))="","Cell will autofill based on response",INDEX('AC&amp;M'!$O$10:$O$14,MATCH($F34,'AC&amp;M'!$B$10:$B$14,0))),"N/A")</f>
        <v/>
      </c>
      <c r="T34" s="50">
        <f>IFERROR(IF(INDEX('GCE'!$O$10:$O$12,MATCH($F34,'GCE'!$B$10:$B$12,0))="","Cell will autofill based on response",INDEX('GCE'!$O$10:$O$12,MATCH($F34,'GCE'!$B$10:$B$12,0))),"N/A")</f>
        <v/>
      </c>
      <c r="U34" s="50">
        <f>IFERROR(IF(INDEX('Education'!$O$10:$O$13,MATCH($F34,'Education'!$B$10:$B$13,0))="","Cell will autofill based on response",INDEX('Education'!$O$10:$O$13,MATCH($F34,'Education'!$B$10:$B$13,0))),"N/A")</f>
        <v/>
      </c>
      <c r="V34" s="50">
        <f>IFERROR(IF(INDEX('SaSS'!$O$10:$O$12,MATCH($F34,'SaSS'!$B$10:$B$12,0))="","Cell will autofill based on response",INDEX('SaSS'!$O$10:$O$12,MATCH($F34,'SaSS'!$B$10:$B$12,0))),"N/A")</f>
        <v/>
      </c>
      <c r="W34" s="50">
        <f>IFERROR(IF(INDEX('Indigenous'!$O$10:$O$11,MATCH($F34,'Indigenous'!$B$10:$B$11,0))="","Cell will autofill based on response",INDEX('Indigenous'!$O$10:$O$11,MATCH($F34,'Indigenous'!$B$10:$B$11,0))),"N/A")</f>
        <v/>
      </c>
      <c r="X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IFERROR(IF(INDEX('CI&amp;S'!$P$10:$P$15,MATCH($F35,'CI&amp;S'!$B$10:$B$15,0))="","Cell will autofill based on response",INDEX('CI&amp;S'!$P$10:$P$15,MATCH($F35,'CI&amp;S'!$B$10:$B$15,0))),"N/A")</f>
        <v/>
      </c>
      <c r="M35" s="50">
        <f>IFERROR(IF(INDEX('CI&amp;S'!$P$22:$P$36,MATCH($F35,'CI&amp;S'!$B$22:$B$36,0))="","Cell will autofill based on response",INDEX('CI&amp;S'!$P$22:$P$36,MATCH($F35,'CI&amp;S'!$B$22:$B$36,0))),"N/A")</f>
        <v/>
      </c>
      <c r="N35" s="50">
        <f>IFERROR(IF(INDEX('CFOG'!$P$10:$P$16,MATCH($F35,'CFOG'!$B$10:$B$16,0))="","Cell will autofill based on response",INDEX('CFOG'!$P$10:$P$16,MATCH($F35,'CFOG'!$B$10:$B$16,0))),"N/A")</f>
        <v/>
      </c>
      <c r="O35" s="50">
        <f>IFERROR(IF(INDEX('CFOG'!$P$23:$P$24,MATCH($F35,'CFOG'!$B$23:$B$24,0))="","Cell will autofill based on response",INDEX('CFOG'!$P$23:$P$24,MATCH($F35,'CFOG'!$B$23:$B$24,0))),"N/A")</f>
        <v/>
      </c>
      <c r="P35" s="50">
        <f>IFERROR(IF(INDEX('ESG'!$P$10:$P$17,MATCH($F35,'ESG'!$B$10:$B$17,0))="","Cell will autofill based on response",INDEX('ESG'!$P$10:$P$17,MATCH($F35,'ESG'!$B$10:$B$17,0))),"N/A")</f>
        <v/>
      </c>
      <c r="Q35" s="50">
        <f>IFERROR(IF(INDEX('CIOG'!$P$10:$P$14,MATCH($F35,'CIOG'!$B$10:$B$14,0))="","Cell will autofill based on response",INDEX('CIOG'!$P$10:$P$14,MATCH($F35,'CIOG'!$B$10:$B$14,0))),"N/A")</f>
        <v/>
      </c>
      <c r="R35" s="50">
        <f>IFERROR(IF(INDEX('MRE'!$P$10:$P$18,MATCH($F35,'MRE'!$B$10:$B$18,0))="","Cell will autofill based on response",INDEX('MRE'!$P$10:$P$18,MATCH($F35,'MRE'!$B$10:$B$18,0))),"N/A")</f>
        <v/>
      </c>
      <c r="S35" s="50">
        <f>IFERROR(IF(INDEX('AC&amp;M'!$P$10:$P$14,MATCH($F35,'AC&amp;M'!$B$10:$B$14,0))="","Cell will autofill based on response",INDEX('AC&amp;M'!$P$10:$P$14,MATCH($F35,'AC&amp;M'!$B$10:$B$14,0))),"N/A")</f>
        <v/>
      </c>
      <c r="T35" s="50">
        <f>IFERROR(IF(INDEX('GCE'!$P$10:$P$12,MATCH($F35,'GCE'!$B$10:$B$12,0))="","Cell will autofill based on response",INDEX('GCE'!$P$10:$P$12,MATCH($F35,'GCE'!$B$10:$B$12,0))),"N/A")</f>
        <v/>
      </c>
      <c r="U35" s="50">
        <f>IFERROR(IF(INDEX('Education'!$P$10:$P$13,MATCH($F35,'Education'!$B$10:$B$13,0))="","Cell will autofill based on response",INDEX('Education'!$P$10:$P$13,MATCH($F35,'Education'!$B$10:$B$13,0))),"N/A")</f>
        <v/>
      </c>
      <c r="V35" s="50">
        <f>IFERROR(IF(INDEX('SaSS'!$P$10:$P$12,MATCH($F35,'SaSS'!$B$10:$B$12,0))="","Cell will autofill based on response",INDEX('SaSS'!$P$10:$P$12,MATCH($F35,'SaSS'!$B$10:$B$12,0))),"N/A")</f>
        <v/>
      </c>
      <c r="W35" s="50">
        <f>IFERROR(IF(INDEX('Indigenous'!$P$10:$P$11,MATCH($F35,'Indigenous'!$B$10:$B$11,0))="","Cell will autofill based on response",INDEX('Indigenous'!$P$10:$P$11,MATCH($F35,'Indigenous'!$B$10:$B$11,0))),"N/A")</f>
        <v/>
      </c>
      <c r="X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IFERROR(IF(INDEX('CI&amp;S'!$L$10:$L$15,MATCH($F36,'CI&amp;S'!$B$10:$B$15,0))="","Cell will autofill based on response",INDEX('CI&amp;S'!$L$10:$L$15,MATCH($F36,'CI&amp;S'!$B$10:$B$15,0))),"N/A")</f>
        <v/>
      </c>
      <c r="M36" s="50">
        <f>IFERROR(IF(INDEX('CI&amp;S'!$L$22:$L$36,MATCH($F36,'CI&amp;S'!$B$22:$B$36,0))="","Cell will autofill based on response",INDEX('CI&amp;S'!$L$22:$L$36,MATCH($F36,'CI&amp;S'!$B$22:$B$36,0))),"N/A")</f>
        <v/>
      </c>
      <c r="N36" s="50">
        <f>IFERROR(IF(INDEX('CFOG'!$L$10:$L$16,MATCH($F36,'CFOG'!$B$10:$B$16,0))="","Cell will autofill based on response",INDEX('CFOG'!$L$10:$L$16,MATCH($F36,'CFOG'!$B$10:$B$16,0))),"N/A")</f>
        <v/>
      </c>
      <c r="O36" s="50">
        <f>IFERROR(IF(INDEX('CFOG'!$L$23:$L$24,MATCH($F36,'CFOG'!$B$23:$B$24,0))="","Cell will autofill based on response",INDEX('CFOG'!$L$23:$L$24,MATCH($F36,'CFOG'!$B$23:$B$24,0))),"N/A")</f>
        <v/>
      </c>
      <c r="P36" s="50">
        <f>IFERROR(IF(INDEX('ESG'!$L$10:$L$17,MATCH($F36,'ESG'!$B$10:$B$17,0))="","Cell will autofill based on response",INDEX('ESG'!$L$10:$L$17,MATCH($F36,'ESG'!$B$10:$B$17,0))),"N/A")</f>
        <v/>
      </c>
      <c r="Q36" s="50">
        <f>IFERROR(IF(INDEX('CIOG'!$L$10:$L$14,MATCH($F36,'CIOG'!$B$10:$B$14,0))="","Cell will autofill based on response",INDEX('CIOG'!$L$10:$L$14,MATCH($F36,'CIOG'!$B$10:$B$14,0))),"N/A")</f>
        <v/>
      </c>
      <c r="R36" s="50">
        <f>IFERROR(IF(INDEX('MRE'!$L$10:$L$18,MATCH($F36,'MRE'!$B$10:$B$18,0))="","Cell will autofill based on response",INDEX('MRE'!$L$10:$L$18,MATCH($F36,'MRE'!$B$10:$B$18,0))),"N/A")</f>
        <v/>
      </c>
      <c r="S36" s="50">
        <f>IFERROR(IF(INDEX('AC&amp;M'!$L$10:$L$14,MATCH($F36,'AC&amp;M'!$B$10:$B$14,0))="","Cell will autofill based on response",INDEX('AC&amp;M'!$L$10:$L$14,MATCH($F36,'AC&amp;M'!$B$10:$B$14,0))),"N/A")</f>
        <v/>
      </c>
      <c r="T36" s="50">
        <f>IFERROR(IF(INDEX('GCE'!$L$10:$L$12,MATCH($F36,'GCE'!$B$10:$B$12,0))="","Cell will autofill based on response",INDEX('GCE'!$L$10:$L$12,MATCH($F36,'GCE'!$B$10:$B$12,0))),"N/A")</f>
        <v/>
      </c>
      <c r="U36" s="50">
        <f>IFERROR(IF(INDEX('Education'!$L$10:$L$13,MATCH($F36,'Education'!$B$10:$B$13,0))="","Cell will autofill based on response",INDEX('Education'!$L$10:$L$13,MATCH($F36,'Education'!$B$10:$B$13,0))),"N/A")</f>
        <v/>
      </c>
      <c r="V36" s="50">
        <f>IFERROR(IF(INDEX('SaSS'!$L$10:$L$12,MATCH($F36,'SaSS'!$B$10:$B$12,0))="","Cell will autofill based on response",INDEX('SaSS'!$L$10:$L$12,MATCH($F36,'SaSS'!$B$10:$B$12,0))),"N/A")</f>
        <v/>
      </c>
      <c r="W36" s="50">
        <f>IFERROR(IF(INDEX('Indigenous'!$L$10:$L$11,MATCH($F36,'Indigenous'!$B$10:$B$11,0))="","Cell will autofill based on response",INDEX('Indigenous'!$L$10:$L$11,MATCH($F36,'Indigenous'!$B$10:$B$11,0))),"N/A")</f>
        <v/>
      </c>
      <c r="X36" s="50">
        <f>IFERROR(IF(INDEX('L&amp;R'!$L$10:$L$11,MATCH($F36,'L&amp;R'!$B$10:$B$11,0))="","Cell will autofill based on response",INDEX('L&amp;R'!$L$10:$L$11,MATCH($F36,'L&amp;R'!$B$10:$B$11,0))),"N/A")</f>
        <v/>
      </c>
      <c r="Z36" s="8">
        <f>SUMPRODUCT(--($H36:$X36&lt;&gt;"N/A"))</f>
        <v/>
      </c>
      <c r="AA36" s="8">
        <f>SUMPRODUCT(--(((($H36:$X36&lt;&gt;"N/A")*($H36:$X36&lt;&gt;"Cell will autofill based on response"))+(($H37:$X37&lt;&gt;"N/A")*($H37:$X37&lt;&gt;"Cell will autofill based on response")))&gt;0))</f>
        <v/>
      </c>
      <c r="AB36" s="8">
        <f>Z36-AA36</f>
        <v/>
      </c>
      <c r="AC36" s="8">
        <f>COUNTIF($H40:$X40,"Yes")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IFERROR(IF(INDEX('CI&amp;S'!$M$10:$M$15,MATCH($F37,'CI&amp;S'!$B$10:$B$15,0))="","Cell will autofill based on response",INDEX('CI&amp;S'!$M$10:$M$15,MATCH($F37,'CI&amp;S'!$B$10:$B$15,0))),"N/A")</f>
        <v/>
      </c>
      <c r="M37" s="50">
        <f>IFERROR(IF(INDEX('CI&amp;S'!$M$22:$M$36,MATCH($F37,'CI&amp;S'!$B$22:$B$36,0))="","Cell will autofill based on response",INDEX('CI&amp;S'!$M$22:$M$36,MATCH($F37,'CI&amp;S'!$B$22:$B$36,0))),"N/A")</f>
        <v/>
      </c>
      <c r="N37" s="50">
        <f>IFERROR(IF(INDEX('CFOG'!$M$10:$M$16,MATCH($F37,'CFOG'!$B$10:$B$16,0))="","Cell will autofill based on response",INDEX('CFOG'!$M$10:$M$16,MATCH($F37,'CFOG'!$B$10:$B$16,0))),"N/A")</f>
        <v/>
      </c>
      <c r="O37" s="50">
        <f>IFERROR(IF(INDEX('CFOG'!$M$23:$M$24,MATCH($F37,'CFOG'!$B$23:$B$24,0))="","Cell will autofill based on response",INDEX('CFOG'!$M$23:$M$24,MATCH($F37,'CFOG'!$B$23:$B$24,0))),"N/A")</f>
        <v/>
      </c>
      <c r="P37" s="50">
        <f>IFERROR(IF(INDEX('ESG'!$M$10:$M$17,MATCH($F37,'ESG'!$B$10:$B$17,0))="","Cell will autofill based on response",INDEX('ESG'!$M$10:$M$17,MATCH($F37,'ESG'!$B$10:$B$17,0))),"N/A")</f>
        <v/>
      </c>
      <c r="Q37" s="50">
        <f>IFERROR(IF(INDEX('CIOG'!$M$10:$M$14,MATCH($F37,'CIOG'!$B$10:$B$14,0))="","Cell will autofill based on response",INDEX('CIOG'!$M$10:$M$14,MATCH($F37,'CIOG'!$B$10:$B$14,0))),"N/A")</f>
        <v/>
      </c>
      <c r="R37" s="50">
        <f>IFERROR(IF(INDEX('MRE'!$M$10:$M$18,MATCH($F37,'MRE'!$B$10:$B$18,0))="","Cell will autofill based on response",INDEX('MRE'!$M$10:$M$18,MATCH($F37,'MRE'!$B$10:$B$18,0))),"N/A")</f>
        <v/>
      </c>
      <c r="S37" s="50">
        <f>IFERROR(IF(INDEX('AC&amp;M'!$M$10:$M$14,MATCH($F37,'AC&amp;M'!$B$10:$B$14,0))="","Cell will autofill based on response",INDEX('AC&amp;M'!$M$10:$M$14,MATCH($F37,'AC&amp;M'!$B$10:$B$14,0))),"N/A")</f>
        <v/>
      </c>
      <c r="T37" s="50">
        <f>IFERROR(IF(INDEX('GCE'!$M$10:$M$12,MATCH($F37,'GCE'!$B$10:$B$12,0))="","Cell will autofill based on response",INDEX('GCE'!$M$10:$M$12,MATCH($F37,'GCE'!$B$10:$B$12,0))),"N/A")</f>
        <v/>
      </c>
      <c r="U37" s="50">
        <f>IFERROR(IF(INDEX('Education'!$M$10:$M$13,MATCH($F37,'Education'!$B$10:$B$13,0))="","Cell will autofill based on response",INDEX('Education'!$M$10:$M$13,MATCH($F37,'Education'!$B$10:$B$13,0))),"N/A")</f>
        <v/>
      </c>
      <c r="V37" s="50">
        <f>IFERROR(IF(INDEX('SaSS'!$M$10:$M$12,MATCH($F37,'SaSS'!$B$10:$B$12,0))="","Cell will autofill based on response",INDEX('SaSS'!$M$10:$M$12,MATCH($F37,'SaSS'!$B$10:$B$12,0))),"N/A")</f>
        <v/>
      </c>
      <c r="W37" s="50">
        <f>IFERROR(IF(INDEX('Indigenous'!$M$10:$M$11,MATCH($F37,'Indigenous'!$B$10:$B$11,0))="","Cell will autofill based on response",INDEX('Indigenous'!$M$10:$M$11,MATCH($F37,'Indigenous'!$B$10:$B$11,0))),"N/A")</f>
        <v/>
      </c>
      <c r="X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IFERROR(IF(INDEX('CI&amp;S'!$N$10:$N$15,MATCH($F38,'CI&amp;S'!$B$10:$B$15,0))="","Cell will autofill based on response",INDEX('CI&amp;S'!$N$10:$N$15,MATCH($F38,'CI&amp;S'!$B$10:$B$15,0))),"N/A")</f>
        <v/>
      </c>
      <c r="M38" s="50">
        <f>IFERROR(IF(INDEX('CI&amp;S'!$N$22:$N$36,MATCH($F38,'CI&amp;S'!$B$22:$B$36,0))="","Cell will autofill based on response",INDEX('CI&amp;S'!$N$22:$N$36,MATCH($F38,'CI&amp;S'!$B$22:$B$36,0))),"N/A")</f>
        <v/>
      </c>
      <c r="N38" s="50">
        <f>IFERROR(IF(INDEX('CFOG'!$N$10:$N$16,MATCH($F38,'CFOG'!$B$10:$B$16,0))="","Cell will autofill based on response",INDEX('CFOG'!$N$10:$N$16,MATCH($F38,'CFOG'!$B$10:$B$16,0))),"N/A")</f>
        <v/>
      </c>
      <c r="O38" s="50">
        <f>IFERROR(IF(INDEX('CFOG'!$N$23:$N$24,MATCH($F38,'CFOG'!$B$23:$B$24,0))="","Cell will autofill based on response",INDEX('CFOG'!$N$23:$N$24,MATCH($F38,'CFOG'!$B$23:$B$24,0))),"N/A")</f>
        <v/>
      </c>
      <c r="P38" s="50">
        <f>IFERROR(IF(INDEX('ESG'!$N$10:$N$17,MATCH($F38,'ESG'!$B$10:$B$17,0))="","Cell will autofill based on response",INDEX('ESG'!$N$10:$N$17,MATCH($F38,'ESG'!$B$10:$B$17,0))),"N/A")</f>
        <v/>
      </c>
      <c r="Q38" s="50">
        <f>IFERROR(IF(INDEX('CIOG'!$N$10:$N$14,MATCH($F38,'CIOG'!$B$10:$B$14,0))="","Cell will autofill based on response",INDEX('CIOG'!$N$10:$N$14,MATCH($F38,'CIOG'!$B$10:$B$14,0))),"N/A")</f>
        <v/>
      </c>
      <c r="R38" s="50">
        <f>IFERROR(IF(INDEX('MRE'!$N$10:$N$18,MATCH($F38,'MRE'!$B$10:$B$18,0))="","Cell will autofill based on response",INDEX('MRE'!$N$10:$N$18,MATCH($F38,'MRE'!$B$10:$B$18,0))),"N/A")</f>
        <v/>
      </c>
      <c r="S38" s="50">
        <f>IFERROR(IF(INDEX('AC&amp;M'!$N$10:$N$14,MATCH($F38,'AC&amp;M'!$B$10:$B$14,0))="","Cell will autofill based on response",INDEX('AC&amp;M'!$N$10:$N$14,MATCH($F38,'AC&amp;M'!$B$10:$B$14,0))),"N/A")</f>
        <v/>
      </c>
      <c r="T38" s="50">
        <f>IFERROR(IF(INDEX('GCE'!$N$10:$N$12,MATCH($F38,'GCE'!$B$10:$B$12,0))="","Cell will autofill based on response",INDEX('GCE'!$N$10:$N$12,MATCH($F38,'GCE'!$B$10:$B$12,0))),"N/A")</f>
        <v/>
      </c>
      <c r="U38" s="50">
        <f>IFERROR(IF(INDEX('Education'!$N$10:$N$13,MATCH($F38,'Education'!$B$10:$B$13,0))="","Cell will autofill based on response",INDEX('Education'!$N$10:$N$13,MATCH($F38,'Education'!$B$10:$B$13,0))),"N/A")</f>
        <v/>
      </c>
      <c r="V38" s="50">
        <f>IFERROR(IF(INDEX('SaSS'!$N$10:$N$12,MATCH($F38,'SaSS'!$B$10:$B$12,0))="","Cell will autofill based on response",INDEX('SaSS'!$N$10:$N$12,MATCH($F38,'SaSS'!$B$10:$B$12,0))),"N/A")</f>
        <v/>
      </c>
      <c r="W38" s="50">
        <f>IFERROR(IF(INDEX('Indigenous'!$N$10:$N$11,MATCH($F38,'Indigenous'!$B$10:$B$11,0))="","Cell will autofill based on response",INDEX('Indigenous'!$N$10:$N$11,MATCH($F38,'Indigenous'!$B$10:$B$11,0))),"N/A")</f>
        <v/>
      </c>
      <c r="X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IFERROR(IF(INDEX('CI&amp;S'!$O$10:$O$15,MATCH($F39,'CI&amp;S'!$B$10:$B$15,0))="","Cell will autofill based on response",INDEX('CI&amp;S'!$O$10:$O$15,MATCH($F39,'CI&amp;S'!$B$10:$B$15,0))),"N/A")</f>
        <v/>
      </c>
      <c r="M39" s="50">
        <f>IFERROR(IF(INDEX('CI&amp;S'!$O$22:$O$36,MATCH($F39,'CI&amp;S'!$B$22:$B$36,0))="","Cell will autofill based on response",INDEX('CI&amp;S'!$O$22:$O$36,MATCH($F39,'CI&amp;S'!$B$22:$B$36,0))),"N/A")</f>
        <v/>
      </c>
      <c r="N39" s="50">
        <f>IFERROR(IF(INDEX('CFOG'!$O$10:$O$16,MATCH($F39,'CFOG'!$B$10:$B$16,0))="","Cell will autofill based on response",INDEX('CFOG'!$O$10:$O$16,MATCH($F39,'CFOG'!$B$10:$B$16,0))),"N/A")</f>
        <v/>
      </c>
      <c r="O39" s="50">
        <f>IFERROR(IF(INDEX('CFOG'!$O$23:$O$24,MATCH($F39,'CFOG'!$B$23:$B$24,0))="","Cell will autofill based on response",INDEX('CFOG'!$O$23:$O$24,MATCH($F39,'CFOG'!$B$23:$B$24,0))),"N/A")</f>
        <v/>
      </c>
      <c r="P39" s="50">
        <f>IFERROR(IF(INDEX('ESG'!$O$10:$O$17,MATCH($F39,'ESG'!$B$10:$B$17,0))="","Cell will autofill based on response",INDEX('ESG'!$O$10:$O$17,MATCH($F39,'ESG'!$B$10:$B$17,0))),"N/A")</f>
        <v/>
      </c>
      <c r="Q39" s="50">
        <f>IFERROR(IF(INDEX('CIOG'!$O$10:$O$14,MATCH($F39,'CIOG'!$B$10:$B$14,0))="","Cell will autofill based on response",INDEX('CIOG'!$O$10:$O$14,MATCH($F39,'CIOG'!$B$10:$B$14,0))),"N/A")</f>
        <v/>
      </c>
      <c r="R39" s="50">
        <f>IFERROR(IF(INDEX('MRE'!$O$10:$O$18,MATCH($F39,'MRE'!$B$10:$B$18,0))="","Cell will autofill based on response",INDEX('MRE'!$O$10:$O$18,MATCH($F39,'MRE'!$B$10:$B$18,0))),"N/A")</f>
        <v/>
      </c>
      <c r="S39" s="50">
        <f>IFERROR(IF(INDEX('AC&amp;M'!$O$10:$O$14,MATCH($F39,'AC&amp;M'!$B$10:$B$14,0))="","Cell will autofill based on response",INDEX('AC&amp;M'!$O$10:$O$14,MATCH($F39,'AC&amp;M'!$B$10:$B$14,0))),"N/A")</f>
        <v/>
      </c>
      <c r="T39" s="50">
        <f>IFERROR(IF(INDEX('GCE'!$O$10:$O$12,MATCH($F39,'GCE'!$B$10:$B$12,0))="","Cell will autofill based on response",INDEX('GCE'!$O$10:$O$12,MATCH($F39,'GCE'!$B$10:$B$12,0))),"N/A")</f>
        <v/>
      </c>
      <c r="U39" s="50">
        <f>IFERROR(IF(INDEX('Education'!$O$10:$O$13,MATCH($F39,'Education'!$B$10:$B$13,0))="","Cell will autofill based on response",INDEX('Education'!$O$10:$O$13,MATCH($F39,'Education'!$B$10:$B$13,0))),"N/A")</f>
        <v/>
      </c>
      <c r="V39" s="50">
        <f>IFERROR(IF(INDEX('SaSS'!$O$10:$O$12,MATCH($F39,'SaSS'!$B$10:$B$12,0))="","Cell will autofill based on response",INDEX('SaSS'!$O$10:$O$12,MATCH($F39,'SaSS'!$B$10:$B$12,0))),"N/A")</f>
        <v/>
      </c>
      <c r="W39" s="50">
        <f>IFERROR(IF(INDEX('Indigenous'!$O$10:$O$11,MATCH($F39,'Indigenous'!$B$10:$B$11,0))="","Cell will autofill based on response",INDEX('Indigenous'!$O$10:$O$11,MATCH($F39,'Indigenous'!$B$10:$B$11,0))),"N/A")</f>
        <v/>
      </c>
      <c r="X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IFERROR(IF(INDEX('CI&amp;S'!$P$10:$P$15,MATCH($F40,'CI&amp;S'!$B$10:$B$15,0))="","Cell will autofill based on response",INDEX('CI&amp;S'!$P$10:$P$15,MATCH($F40,'CI&amp;S'!$B$10:$B$15,0))),"N/A")</f>
        <v/>
      </c>
      <c r="M40" s="50">
        <f>IFERROR(IF(INDEX('CI&amp;S'!$P$22:$P$36,MATCH($F40,'CI&amp;S'!$B$22:$B$36,0))="","Cell will autofill based on response",INDEX('CI&amp;S'!$P$22:$P$36,MATCH($F40,'CI&amp;S'!$B$22:$B$36,0))),"N/A")</f>
        <v/>
      </c>
      <c r="N40" s="50">
        <f>IFERROR(IF(INDEX('CFOG'!$P$10:$P$16,MATCH($F40,'CFOG'!$B$10:$B$16,0))="","Cell will autofill based on response",INDEX('CFOG'!$P$10:$P$16,MATCH($F40,'CFOG'!$B$10:$B$16,0))),"N/A")</f>
        <v/>
      </c>
      <c r="O40" s="50">
        <f>IFERROR(IF(INDEX('CFOG'!$P$23:$P$24,MATCH($F40,'CFOG'!$B$23:$B$24,0))="","Cell will autofill based on response",INDEX('CFOG'!$P$23:$P$24,MATCH($F40,'CFOG'!$B$23:$B$24,0))),"N/A")</f>
        <v/>
      </c>
      <c r="P40" s="50">
        <f>IFERROR(IF(INDEX('ESG'!$P$10:$P$17,MATCH($F40,'ESG'!$B$10:$B$17,0))="","Cell will autofill based on response",INDEX('ESG'!$P$10:$P$17,MATCH($F40,'ESG'!$B$10:$B$17,0))),"N/A")</f>
        <v/>
      </c>
      <c r="Q40" s="50">
        <f>IFERROR(IF(INDEX('CIOG'!$P$10:$P$14,MATCH($F40,'CIOG'!$B$10:$B$14,0))="","Cell will autofill based on response",INDEX('CIOG'!$P$10:$P$14,MATCH($F40,'CIOG'!$B$10:$B$14,0))),"N/A")</f>
        <v/>
      </c>
      <c r="R40" s="50">
        <f>IFERROR(IF(INDEX('MRE'!$P$10:$P$18,MATCH($F40,'MRE'!$B$10:$B$18,0))="","Cell will autofill based on response",INDEX('MRE'!$P$10:$P$18,MATCH($F40,'MRE'!$B$10:$B$18,0))),"N/A")</f>
        <v/>
      </c>
      <c r="S40" s="50">
        <f>IFERROR(IF(INDEX('AC&amp;M'!$P$10:$P$14,MATCH($F40,'AC&amp;M'!$B$10:$B$14,0))="","Cell will autofill based on response",INDEX('AC&amp;M'!$P$10:$P$14,MATCH($F40,'AC&amp;M'!$B$10:$B$14,0))),"N/A")</f>
        <v/>
      </c>
      <c r="T40" s="50">
        <f>IFERROR(IF(INDEX('GCE'!$P$10:$P$12,MATCH($F40,'GCE'!$B$10:$B$12,0))="","Cell will autofill based on response",INDEX('GCE'!$P$10:$P$12,MATCH($F40,'GCE'!$B$10:$B$12,0))),"N/A")</f>
        <v/>
      </c>
      <c r="U40" s="50">
        <f>IFERROR(IF(INDEX('Education'!$P$10:$P$13,MATCH($F40,'Education'!$B$10:$B$13,0))="","Cell will autofill based on response",INDEX('Education'!$P$10:$P$13,MATCH($F40,'Education'!$B$10:$B$13,0))),"N/A")</f>
        <v/>
      </c>
      <c r="V40" s="50">
        <f>IFERROR(IF(INDEX('SaSS'!$P$10:$P$12,MATCH($F40,'SaSS'!$B$10:$B$12,0))="","Cell will autofill based on response",INDEX('SaSS'!$P$10:$P$12,MATCH($F40,'SaSS'!$B$10:$B$12,0))),"N/A")</f>
        <v/>
      </c>
      <c r="W40" s="50">
        <f>IFERROR(IF(INDEX('Indigenous'!$P$10:$P$11,MATCH($F40,'Indigenous'!$B$10:$B$11,0))="","Cell will autofill based on response",INDEX('Indigenous'!$P$10:$P$11,MATCH($F40,'Indigenous'!$B$10:$B$11,0))),"N/A")</f>
        <v/>
      </c>
      <c r="X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IFERROR(IF(INDEX('CI&amp;S'!$L$10:$L$15,MATCH($F41,'CI&amp;S'!$B$10:$B$15,0))="","Cell will autofill based on response",INDEX('CI&amp;S'!$L$10:$L$15,MATCH($F41,'CI&amp;S'!$B$10:$B$15,0))),"N/A")</f>
        <v/>
      </c>
      <c r="M41" s="50">
        <f>IFERROR(IF(INDEX('CI&amp;S'!$L$22:$L$36,MATCH($F41,'CI&amp;S'!$B$22:$B$36,0))="","Cell will autofill based on response",INDEX('CI&amp;S'!$L$22:$L$36,MATCH($F41,'CI&amp;S'!$B$22:$B$36,0))),"N/A")</f>
        <v/>
      </c>
      <c r="N41" s="50">
        <f>IFERROR(IF(INDEX('CFOG'!$L$10:$L$16,MATCH($F41,'CFOG'!$B$10:$B$16,0))="","Cell will autofill based on response",INDEX('CFOG'!$L$10:$L$16,MATCH($F41,'CFOG'!$B$10:$B$16,0))),"N/A")</f>
        <v/>
      </c>
      <c r="O41" s="50">
        <f>IFERROR(IF(INDEX('CFOG'!$L$23:$L$24,MATCH($F41,'CFOG'!$B$23:$B$24,0))="","Cell will autofill based on response",INDEX('CFOG'!$L$23:$L$24,MATCH($F41,'CFOG'!$B$23:$B$24,0))),"N/A")</f>
        <v/>
      </c>
      <c r="P41" s="50">
        <f>IFERROR(IF(INDEX('ESG'!$L$10:$L$17,MATCH($F41,'ESG'!$B$10:$B$17,0))="","Cell will autofill based on response",INDEX('ESG'!$L$10:$L$17,MATCH($F41,'ESG'!$B$10:$B$17,0))),"N/A")</f>
        <v/>
      </c>
      <c r="Q41" s="50">
        <f>IFERROR(IF(INDEX('CIOG'!$L$10:$L$14,MATCH($F41,'CIOG'!$B$10:$B$14,0))="","Cell will autofill based on response",INDEX('CIOG'!$L$10:$L$14,MATCH($F41,'CIOG'!$B$10:$B$14,0))),"N/A")</f>
        <v/>
      </c>
      <c r="R41" s="50">
        <f>IFERROR(IF(INDEX('MRE'!$L$10:$L$18,MATCH($F41,'MRE'!$B$10:$B$18,0))="","Cell will autofill based on response",INDEX('MRE'!$L$10:$L$18,MATCH($F41,'MRE'!$B$10:$B$18,0))),"N/A")</f>
        <v/>
      </c>
      <c r="S41" s="50">
        <f>IFERROR(IF(INDEX('AC&amp;M'!$L$10:$L$14,MATCH($F41,'AC&amp;M'!$B$10:$B$14,0))="","Cell will autofill based on response",INDEX('AC&amp;M'!$L$10:$L$14,MATCH($F41,'AC&amp;M'!$B$10:$B$14,0))),"N/A")</f>
        <v/>
      </c>
      <c r="T41" s="50">
        <f>IFERROR(IF(INDEX('GCE'!$L$10:$L$12,MATCH($F41,'GCE'!$B$10:$B$12,0))="","Cell will autofill based on response",INDEX('GCE'!$L$10:$L$12,MATCH($F41,'GCE'!$B$10:$B$12,0))),"N/A")</f>
        <v/>
      </c>
      <c r="U41" s="50">
        <f>IFERROR(IF(INDEX('Education'!$L$10:$L$13,MATCH($F41,'Education'!$B$10:$B$13,0))="","Cell will autofill based on response",INDEX('Education'!$L$10:$L$13,MATCH($F41,'Education'!$B$10:$B$13,0))),"N/A")</f>
        <v/>
      </c>
      <c r="V41" s="50">
        <f>IFERROR(IF(INDEX('SaSS'!$L$10:$L$12,MATCH($F41,'SaSS'!$B$10:$B$12,0))="","Cell will autofill based on response",INDEX('SaSS'!$L$10:$L$12,MATCH($F41,'SaSS'!$B$10:$B$12,0))),"N/A")</f>
        <v/>
      </c>
      <c r="W41" s="50">
        <f>IFERROR(IF(INDEX('Indigenous'!$L$10:$L$11,MATCH($F41,'Indigenous'!$B$10:$B$11,0))="","Cell will autofill based on response",INDEX('Indigenous'!$L$10:$L$11,MATCH($F41,'Indigenous'!$B$10:$B$11,0))),"N/A")</f>
        <v/>
      </c>
      <c r="X41" s="50">
        <f>IFERROR(IF(INDEX('L&amp;R'!$L$10:$L$11,MATCH($F41,'L&amp;R'!$B$10:$B$11,0))="","Cell will autofill based on response",INDEX('L&amp;R'!$L$10:$L$11,MATCH($F41,'L&amp;R'!$B$10:$B$11,0))),"N/A")</f>
        <v/>
      </c>
      <c r="Z41" s="8">
        <f>SUMPRODUCT(--($H41:$X41&lt;&gt;"N/A"))</f>
        <v/>
      </c>
      <c r="AA41" s="8">
        <f>SUMPRODUCT(--(((($H41:$X41&lt;&gt;"N/A")*($H41:$X41&lt;&gt;"Cell will autofill based on response"))+(($H42:$X42&lt;&gt;"N/A")*($H42:$X42&lt;&gt;"Cell will autofill based on response")))&gt;0))</f>
        <v/>
      </c>
      <c r="AB41" s="8">
        <f>Z41-AA41</f>
        <v/>
      </c>
      <c r="AC41" s="8">
        <f>COUNTIF($H45:$X45,"Yes")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IFERROR(IF(INDEX('CI&amp;S'!$M$10:$M$15,MATCH($F42,'CI&amp;S'!$B$10:$B$15,0))="","Cell will autofill based on response",INDEX('CI&amp;S'!$M$10:$M$15,MATCH($F42,'CI&amp;S'!$B$10:$B$15,0))),"N/A")</f>
        <v/>
      </c>
      <c r="M42" s="50">
        <f>IFERROR(IF(INDEX('CI&amp;S'!$M$22:$M$36,MATCH($F42,'CI&amp;S'!$B$22:$B$36,0))="","Cell will autofill based on response",INDEX('CI&amp;S'!$M$22:$M$36,MATCH($F42,'CI&amp;S'!$B$22:$B$36,0))),"N/A")</f>
        <v/>
      </c>
      <c r="N42" s="50">
        <f>IFERROR(IF(INDEX('CFOG'!$M$10:$M$16,MATCH($F42,'CFOG'!$B$10:$B$16,0))="","Cell will autofill based on response",INDEX('CFOG'!$M$10:$M$16,MATCH($F42,'CFOG'!$B$10:$B$16,0))),"N/A")</f>
        <v/>
      </c>
      <c r="O42" s="50">
        <f>IFERROR(IF(INDEX('CFOG'!$M$23:$M$24,MATCH($F42,'CFOG'!$B$23:$B$24,0))="","Cell will autofill based on response",INDEX('CFOG'!$M$23:$M$24,MATCH($F42,'CFOG'!$B$23:$B$24,0))),"N/A")</f>
        <v/>
      </c>
      <c r="P42" s="50">
        <f>IFERROR(IF(INDEX('ESG'!$M$10:$M$17,MATCH($F42,'ESG'!$B$10:$B$17,0))="","Cell will autofill based on response",INDEX('ESG'!$M$10:$M$17,MATCH($F42,'ESG'!$B$10:$B$17,0))),"N/A")</f>
        <v/>
      </c>
      <c r="Q42" s="50">
        <f>IFERROR(IF(INDEX('CIOG'!$M$10:$M$14,MATCH($F42,'CIOG'!$B$10:$B$14,0))="","Cell will autofill based on response",INDEX('CIOG'!$M$10:$M$14,MATCH($F42,'CIOG'!$B$10:$B$14,0))),"N/A")</f>
        <v/>
      </c>
      <c r="R42" s="50">
        <f>IFERROR(IF(INDEX('MRE'!$M$10:$M$18,MATCH($F42,'MRE'!$B$10:$B$18,0))="","Cell will autofill based on response",INDEX('MRE'!$M$10:$M$18,MATCH($F42,'MRE'!$B$10:$B$18,0))),"N/A")</f>
        <v/>
      </c>
      <c r="S42" s="50">
        <f>IFERROR(IF(INDEX('AC&amp;M'!$M$10:$M$14,MATCH($F42,'AC&amp;M'!$B$10:$B$14,0))="","Cell will autofill based on response",INDEX('AC&amp;M'!$M$10:$M$14,MATCH($F42,'AC&amp;M'!$B$10:$B$14,0))),"N/A")</f>
        <v/>
      </c>
      <c r="T42" s="50">
        <f>IFERROR(IF(INDEX('GCE'!$M$10:$M$12,MATCH($F42,'GCE'!$B$10:$B$12,0))="","Cell will autofill based on response",INDEX('GCE'!$M$10:$M$12,MATCH($F42,'GCE'!$B$10:$B$12,0))),"N/A")</f>
        <v/>
      </c>
      <c r="U42" s="50">
        <f>IFERROR(IF(INDEX('Education'!$M$10:$M$13,MATCH($F42,'Education'!$B$10:$B$13,0))="","Cell will autofill based on response",INDEX('Education'!$M$10:$M$13,MATCH($F42,'Education'!$B$10:$B$13,0))),"N/A")</f>
        <v/>
      </c>
      <c r="V42" s="50">
        <f>IFERROR(IF(INDEX('SaSS'!$M$10:$M$12,MATCH($F42,'SaSS'!$B$10:$B$12,0))="","Cell will autofill based on response",INDEX('SaSS'!$M$10:$M$12,MATCH($F42,'SaSS'!$B$10:$B$12,0))),"N/A")</f>
        <v/>
      </c>
      <c r="W42" s="50">
        <f>IFERROR(IF(INDEX('Indigenous'!$M$10:$M$11,MATCH($F42,'Indigenous'!$B$10:$B$11,0))="","Cell will autofill based on response",INDEX('Indigenous'!$M$10:$M$11,MATCH($F42,'Indigenous'!$B$10:$B$11,0))),"N/A")</f>
        <v/>
      </c>
      <c r="X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IFERROR(IF(INDEX('CI&amp;S'!$N$10:$N$15,MATCH($F43,'CI&amp;S'!$B$10:$B$15,0))="","Cell will autofill based on response",INDEX('CI&amp;S'!$N$10:$N$15,MATCH($F43,'CI&amp;S'!$B$10:$B$15,0))),"N/A")</f>
        <v/>
      </c>
      <c r="M43" s="50">
        <f>IFERROR(IF(INDEX('CI&amp;S'!$N$22:$N$36,MATCH($F43,'CI&amp;S'!$B$22:$B$36,0))="","Cell will autofill based on response",INDEX('CI&amp;S'!$N$22:$N$36,MATCH($F43,'CI&amp;S'!$B$22:$B$36,0))),"N/A")</f>
        <v/>
      </c>
      <c r="N43" s="50">
        <f>IFERROR(IF(INDEX('CFOG'!$N$10:$N$16,MATCH($F43,'CFOG'!$B$10:$B$16,0))="","Cell will autofill based on response",INDEX('CFOG'!$N$10:$N$16,MATCH($F43,'CFOG'!$B$10:$B$16,0))),"N/A")</f>
        <v/>
      </c>
      <c r="O43" s="50">
        <f>IFERROR(IF(INDEX('CFOG'!$N$23:$N$24,MATCH($F43,'CFOG'!$B$23:$B$24,0))="","Cell will autofill based on response",INDEX('CFOG'!$N$23:$N$24,MATCH($F43,'CFOG'!$B$23:$B$24,0))),"N/A")</f>
        <v/>
      </c>
      <c r="P43" s="50">
        <f>IFERROR(IF(INDEX('ESG'!$N$10:$N$17,MATCH($F43,'ESG'!$B$10:$B$17,0))="","Cell will autofill based on response",INDEX('ESG'!$N$10:$N$17,MATCH($F43,'ESG'!$B$10:$B$17,0))),"N/A")</f>
        <v/>
      </c>
      <c r="Q43" s="50">
        <f>IFERROR(IF(INDEX('CIOG'!$N$10:$N$14,MATCH($F43,'CIOG'!$B$10:$B$14,0))="","Cell will autofill based on response",INDEX('CIOG'!$N$10:$N$14,MATCH($F43,'CIOG'!$B$10:$B$14,0))),"N/A")</f>
        <v/>
      </c>
      <c r="R43" s="50">
        <f>IFERROR(IF(INDEX('MRE'!$N$10:$N$18,MATCH($F43,'MRE'!$B$10:$B$18,0))="","Cell will autofill based on response",INDEX('MRE'!$N$10:$N$18,MATCH($F43,'MRE'!$B$10:$B$18,0))),"N/A")</f>
        <v/>
      </c>
      <c r="S43" s="50">
        <f>IFERROR(IF(INDEX('AC&amp;M'!$N$10:$N$14,MATCH($F43,'AC&amp;M'!$B$10:$B$14,0))="","Cell will autofill based on response",INDEX('AC&amp;M'!$N$10:$N$14,MATCH($F43,'AC&amp;M'!$B$10:$B$14,0))),"N/A")</f>
        <v/>
      </c>
      <c r="T43" s="50">
        <f>IFERROR(IF(INDEX('GCE'!$N$10:$N$12,MATCH($F43,'GCE'!$B$10:$B$12,0))="","Cell will autofill based on response",INDEX('GCE'!$N$10:$N$12,MATCH($F43,'GCE'!$B$10:$B$12,0))),"N/A")</f>
        <v/>
      </c>
      <c r="U43" s="50">
        <f>IFERROR(IF(INDEX('Education'!$N$10:$N$13,MATCH($F43,'Education'!$B$10:$B$13,0))="","Cell will autofill based on response",INDEX('Education'!$N$10:$N$13,MATCH($F43,'Education'!$B$10:$B$13,0))),"N/A")</f>
        <v/>
      </c>
      <c r="V43" s="50">
        <f>IFERROR(IF(INDEX('SaSS'!$N$10:$N$12,MATCH($F43,'SaSS'!$B$10:$B$12,0))="","Cell will autofill based on response",INDEX('SaSS'!$N$10:$N$12,MATCH($F43,'SaSS'!$B$10:$B$12,0))),"N/A")</f>
        <v/>
      </c>
      <c r="W43" s="50">
        <f>IFERROR(IF(INDEX('Indigenous'!$N$10:$N$11,MATCH($F43,'Indigenous'!$B$10:$B$11,0))="","Cell will autofill based on response",INDEX('Indigenous'!$N$10:$N$11,MATCH($F43,'Indigenous'!$B$10:$B$11,0))),"N/A")</f>
        <v/>
      </c>
      <c r="X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IFERROR(IF(INDEX('CI&amp;S'!$O$10:$O$15,MATCH($F44,'CI&amp;S'!$B$10:$B$15,0))="","Cell will autofill based on response",INDEX('CI&amp;S'!$O$10:$O$15,MATCH($F44,'CI&amp;S'!$B$10:$B$15,0))),"N/A")</f>
        <v/>
      </c>
      <c r="M44" s="50">
        <f>IFERROR(IF(INDEX('CI&amp;S'!$O$22:$O$36,MATCH($F44,'CI&amp;S'!$B$22:$B$36,0))="","Cell will autofill based on response",INDEX('CI&amp;S'!$O$22:$O$36,MATCH($F44,'CI&amp;S'!$B$22:$B$36,0))),"N/A")</f>
        <v/>
      </c>
      <c r="N44" s="50">
        <f>IFERROR(IF(INDEX('CFOG'!$O$10:$O$16,MATCH($F44,'CFOG'!$B$10:$B$16,0))="","Cell will autofill based on response",INDEX('CFOG'!$O$10:$O$16,MATCH($F44,'CFOG'!$B$10:$B$16,0))),"N/A")</f>
        <v/>
      </c>
      <c r="O44" s="50">
        <f>IFERROR(IF(INDEX('CFOG'!$O$23:$O$24,MATCH($F44,'CFOG'!$B$23:$B$24,0))="","Cell will autofill based on response",INDEX('CFOG'!$O$23:$O$24,MATCH($F44,'CFOG'!$B$23:$B$24,0))),"N/A")</f>
        <v/>
      </c>
      <c r="P44" s="50">
        <f>IFERROR(IF(INDEX('ESG'!$O$10:$O$17,MATCH($F44,'ESG'!$B$10:$B$17,0))="","Cell will autofill based on response",INDEX('ESG'!$O$10:$O$17,MATCH($F44,'ESG'!$B$10:$B$17,0))),"N/A")</f>
        <v/>
      </c>
      <c r="Q44" s="50">
        <f>IFERROR(IF(INDEX('CIOG'!$O$10:$O$14,MATCH($F44,'CIOG'!$B$10:$B$14,0))="","Cell will autofill based on response",INDEX('CIOG'!$O$10:$O$14,MATCH($F44,'CIOG'!$B$10:$B$14,0))),"N/A")</f>
        <v/>
      </c>
      <c r="R44" s="50">
        <f>IFERROR(IF(INDEX('MRE'!$O$10:$O$18,MATCH($F44,'MRE'!$B$10:$B$18,0))="","Cell will autofill based on response",INDEX('MRE'!$O$10:$O$18,MATCH($F44,'MRE'!$B$10:$B$18,0))),"N/A")</f>
        <v/>
      </c>
      <c r="S44" s="50">
        <f>IFERROR(IF(INDEX('AC&amp;M'!$O$10:$O$14,MATCH($F44,'AC&amp;M'!$B$10:$B$14,0))="","Cell will autofill based on response",INDEX('AC&amp;M'!$O$10:$O$14,MATCH($F44,'AC&amp;M'!$B$10:$B$14,0))),"N/A")</f>
        <v/>
      </c>
      <c r="T44" s="50">
        <f>IFERROR(IF(INDEX('GCE'!$O$10:$O$12,MATCH($F44,'GCE'!$B$10:$B$12,0))="","Cell will autofill based on response",INDEX('GCE'!$O$10:$O$12,MATCH($F44,'GCE'!$B$10:$B$12,0))),"N/A")</f>
        <v/>
      </c>
      <c r="U44" s="50">
        <f>IFERROR(IF(INDEX('Education'!$O$10:$O$13,MATCH($F44,'Education'!$B$10:$B$13,0))="","Cell will autofill based on response",INDEX('Education'!$O$10:$O$13,MATCH($F44,'Education'!$B$10:$B$13,0))),"N/A")</f>
        <v/>
      </c>
      <c r="V44" s="50">
        <f>IFERROR(IF(INDEX('SaSS'!$O$10:$O$12,MATCH($F44,'SaSS'!$B$10:$B$12,0))="","Cell will autofill based on response",INDEX('SaSS'!$O$10:$O$12,MATCH($F44,'SaSS'!$B$10:$B$12,0))),"N/A")</f>
        <v/>
      </c>
      <c r="W44" s="50">
        <f>IFERROR(IF(INDEX('Indigenous'!$O$10:$O$11,MATCH($F44,'Indigenous'!$B$10:$B$11,0))="","Cell will autofill based on response",INDEX('Indigenous'!$O$10:$O$11,MATCH($F44,'Indigenous'!$B$10:$B$11,0))),"N/A")</f>
        <v/>
      </c>
      <c r="X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IFERROR(IF(INDEX('CI&amp;S'!$P$10:$P$15,MATCH($F45,'CI&amp;S'!$B$10:$B$15,0))="","Cell will autofill based on response",INDEX('CI&amp;S'!$P$10:$P$15,MATCH($F45,'CI&amp;S'!$B$10:$B$15,0))),"N/A")</f>
        <v/>
      </c>
      <c r="M45" s="50">
        <f>IFERROR(IF(INDEX('CI&amp;S'!$P$22:$P$36,MATCH($F45,'CI&amp;S'!$B$22:$B$36,0))="","Cell will autofill based on response",INDEX('CI&amp;S'!$P$22:$P$36,MATCH($F45,'CI&amp;S'!$B$22:$B$36,0))),"N/A")</f>
        <v/>
      </c>
      <c r="N45" s="50">
        <f>IFERROR(IF(INDEX('CFOG'!$P$10:$P$16,MATCH($F45,'CFOG'!$B$10:$B$16,0))="","Cell will autofill based on response",INDEX('CFOG'!$P$10:$P$16,MATCH($F45,'CFOG'!$B$10:$B$16,0))),"N/A")</f>
        <v/>
      </c>
      <c r="O45" s="50">
        <f>IFERROR(IF(INDEX('CFOG'!$P$23:$P$24,MATCH($F45,'CFOG'!$B$23:$B$24,0))="","Cell will autofill based on response",INDEX('CFOG'!$P$23:$P$24,MATCH($F45,'CFOG'!$B$23:$B$24,0))),"N/A")</f>
        <v/>
      </c>
      <c r="P45" s="50">
        <f>IFERROR(IF(INDEX('ESG'!$P$10:$P$17,MATCH($F45,'ESG'!$B$10:$B$17,0))="","Cell will autofill based on response",INDEX('ESG'!$P$10:$P$17,MATCH($F45,'ESG'!$B$10:$B$17,0))),"N/A")</f>
        <v/>
      </c>
      <c r="Q45" s="50">
        <f>IFERROR(IF(INDEX('CIOG'!$P$10:$P$14,MATCH($F45,'CIOG'!$B$10:$B$14,0))="","Cell will autofill based on response",INDEX('CIOG'!$P$10:$P$14,MATCH($F45,'CIOG'!$B$10:$B$14,0))),"N/A")</f>
        <v/>
      </c>
      <c r="R45" s="50">
        <f>IFERROR(IF(INDEX('MRE'!$P$10:$P$18,MATCH($F45,'MRE'!$B$10:$B$18,0))="","Cell will autofill based on response",INDEX('MRE'!$P$10:$P$18,MATCH($F45,'MRE'!$B$10:$B$18,0))),"N/A")</f>
        <v/>
      </c>
      <c r="S45" s="50">
        <f>IFERROR(IF(INDEX('AC&amp;M'!$P$10:$P$14,MATCH($F45,'AC&amp;M'!$B$10:$B$14,0))="","Cell will autofill based on response",INDEX('AC&amp;M'!$P$10:$P$14,MATCH($F45,'AC&amp;M'!$B$10:$B$14,0))),"N/A")</f>
        <v/>
      </c>
      <c r="T45" s="50">
        <f>IFERROR(IF(INDEX('GCE'!$P$10:$P$12,MATCH($F45,'GCE'!$B$10:$B$12,0))="","Cell will autofill based on response",INDEX('GCE'!$P$10:$P$12,MATCH($F45,'GCE'!$B$10:$B$12,0))),"N/A")</f>
        <v/>
      </c>
      <c r="U45" s="50">
        <f>IFERROR(IF(INDEX('Education'!$P$10:$P$13,MATCH($F45,'Education'!$B$10:$B$13,0))="","Cell will autofill based on response",INDEX('Education'!$P$10:$P$13,MATCH($F45,'Education'!$B$10:$B$13,0))),"N/A")</f>
        <v/>
      </c>
      <c r="V45" s="50">
        <f>IFERROR(IF(INDEX('SaSS'!$P$10:$P$12,MATCH($F45,'SaSS'!$B$10:$B$12,0))="","Cell will autofill based on response",INDEX('SaSS'!$P$10:$P$12,MATCH($F45,'SaSS'!$B$10:$B$12,0))),"N/A")</f>
        <v/>
      </c>
      <c r="W45" s="50">
        <f>IFERROR(IF(INDEX('Indigenous'!$P$10:$P$11,MATCH($F45,'Indigenous'!$B$10:$B$11,0))="","Cell will autofill based on response",INDEX('Indigenous'!$P$10:$P$11,MATCH($F45,'Indigenous'!$B$10:$B$11,0))),"N/A")</f>
        <v/>
      </c>
      <c r="X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IFERROR(IF(INDEX('CI&amp;S'!$L$10:$L$15,MATCH($F46,'CI&amp;S'!$B$10:$B$15,0))="","Cell will autofill based on response",INDEX('CI&amp;S'!$L$10:$L$15,MATCH($F46,'CI&amp;S'!$B$10:$B$15,0))),"N/A")</f>
        <v/>
      </c>
      <c r="M46" s="50">
        <f>IFERROR(IF(INDEX('CI&amp;S'!$L$22:$L$36,MATCH($F46,'CI&amp;S'!$B$22:$B$36,0))="","Cell will autofill based on response",INDEX('CI&amp;S'!$L$22:$L$36,MATCH($F46,'CI&amp;S'!$B$22:$B$36,0))),"N/A")</f>
        <v/>
      </c>
      <c r="N46" s="50">
        <f>IFERROR(IF(INDEX('CFOG'!$L$10:$L$16,MATCH($F46,'CFOG'!$B$10:$B$16,0))="","Cell will autofill based on response",INDEX('CFOG'!$L$10:$L$16,MATCH($F46,'CFOG'!$B$10:$B$16,0))),"N/A")</f>
        <v/>
      </c>
      <c r="O46" s="50">
        <f>IFERROR(IF(INDEX('CFOG'!$L$23:$L$24,MATCH($F46,'CFOG'!$B$23:$B$24,0))="","Cell will autofill based on response",INDEX('CFOG'!$L$23:$L$24,MATCH($F46,'CFOG'!$B$23:$B$24,0))),"N/A")</f>
        <v/>
      </c>
      <c r="P46" s="50">
        <f>IFERROR(IF(INDEX('ESG'!$L$10:$L$17,MATCH($F46,'ESG'!$B$10:$B$17,0))="","Cell will autofill based on response",INDEX('ESG'!$L$10:$L$17,MATCH($F46,'ESG'!$B$10:$B$17,0))),"N/A")</f>
        <v/>
      </c>
      <c r="Q46" s="50">
        <f>IFERROR(IF(INDEX('CIOG'!$L$10:$L$14,MATCH($F46,'CIOG'!$B$10:$B$14,0))="","Cell will autofill based on response",INDEX('CIOG'!$L$10:$L$14,MATCH($F46,'CIOG'!$B$10:$B$14,0))),"N/A")</f>
        <v/>
      </c>
      <c r="R46" s="50">
        <f>IFERROR(IF(INDEX('MRE'!$L$10:$L$18,MATCH($F46,'MRE'!$B$10:$B$18,0))="","Cell will autofill based on response",INDEX('MRE'!$L$10:$L$18,MATCH($F46,'MRE'!$B$10:$B$18,0))),"N/A")</f>
        <v/>
      </c>
      <c r="S46" s="50">
        <f>IFERROR(IF(INDEX('AC&amp;M'!$L$10:$L$14,MATCH($F46,'AC&amp;M'!$B$10:$B$14,0))="","Cell will autofill based on response",INDEX('AC&amp;M'!$L$10:$L$14,MATCH($F46,'AC&amp;M'!$B$10:$B$14,0))),"N/A")</f>
        <v/>
      </c>
      <c r="T46" s="50">
        <f>IFERROR(IF(INDEX('GCE'!$L$10:$L$12,MATCH($F46,'GCE'!$B$10:$B$12,0))="","Cell will autofill based on response",INDEX('GCE'!$L$10:$L$12,MATCH($F46,'GCE'!$B$10:$B$12,0))),"N/A")</f>
        <v/>
      </c>
      <c r="U46" s="50">
        <f>IFERROR(IF(INDEX('Education'!$L$10:$L$13,MATCH($F46,'Education'!$B$10:$B$13,0))="","Cell will autofill based on response",INDEX('Education'!$L$10:$L$13,MATCH($F46,'Education'!$B$10:$B$13,0))),"N/A")</f>
        <v/>
      </c>
      <c r="V46" s="50">
        <f>IFERROR(IF(INDEX('SaSS'!$L$10:$L$12,MATCH($F46,'SaSS'!$B$10:$B$12,0))="","Cell will autofill based on response",INDEX('SaSS'!$L$10:$L$12,MATCH($F46,'SaSS'!$B$10:$B$12,0))),"N/A")</f>
        <v/>
      </c>
      <c r="W46" s="50">
        <f>IFERROR(IF(INDEX('Indigenous'!$L$10:$L$11,MATCH($F46,'Indigenous'!$B$10:$B$11,0))="","Cell will autofill based on response",INDEX('Indigenous'!$L$10:$L$11,MATCH($F46,'Indigenous'!$B$10:$B$11,0))),"N/A")</f>
        <v/>
      </c>
      <c r="X46" s="50">
        <f>IFERROR(IF(INDEX('L&amp;R'!$L$10:$L$11,MATCH($F46,'L&amp;R'!$B$10:$B$11,0))="","Cell will autofill based on response",INDEX('L&amp;R'!$L$10:$L$11,MATCH($F46,'L&amp;R'!$B$10:$B$11,0))),"N/A")</f>
        <v/>
      </c>
      <c r="Z46" s="8">
        <f>SUMPRODUCT(--($H46:$X46&lt;&gt;"N/A"))</f>
        <v/>
      </c>
      <c r="AA46" s="8">
        <f>SUMPRODUCT(--(((($H46:$X46&lt;&gt;"N/A")*($H46:$X46&lt;&gt;"Cell will autofill based on response"))+(($H47:$X47&lt;&gt;"N/A")*($H47:$X47&lt;&gt;"Cell will autofill based on response")))&gt;0))</f>
        <v/>
      </c>
      <c r="AB46" s="8">
        <f>Z46-AA46</f>
        <v/>
      </c>
      <c r="AC46" s="8">
        <f>COUNTIF($H50:$X50,"Yes")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IFERROR(IF(INDEX('CI&amp;S'!$M$10:$M$15,MATCH($F47,'CI&amp;S'!$B$10:$B$15,0))="","Cell will autofill based on response",INDEX('CI&amp;S'!$M$10:$M$15,MATCH($F47,'CI&amp;S'!$B$10:$B$15,0))),"N/A")</f>
        <v/>
      </c>
      <c r="M47" s="50">
        <f>IFERROR(IF(INDEX('CI&amp;S'!$M$22:$M$36,MATCH($F47,'CI&amp;S'!$B$22:$B$36,0))="","Cell will autofill based on response",INDEX('CI&amp;S'!$M$22:$M$36,MATCH($F47,'CI&amp;S'!$B$22:$B$36,0))),"N/A")</f>
        <v/>
      </c>
      <c r="N47" s="50">
        <f>IFERROR(IF(INDEX('CFOG'!$M$10:$M$16,MATCH($F47,'CFOG'!$B$10:$B$16,0))="","Cell will autofill based on response",INDEX('CFOG'!$M$10:$M$16,MATCH($F47,'CFOG'!$B$10:$B$16,0))),"N/A")</f>
        <v/>
      </c>
      <c r="O47" s="50">
        <f>IFERROR(IF(INDEX('CFOG'!$M$23:$M$24,MATCH($F47,'CFOG'!$B$23:$B$24,0))="","Cell will autofill based on response",INDEX('CFOG'!$M$23:$M$24,MATCH($F47,'CFOG'!$B$23:$B$24,0))),"N/A")</f>
        <v/>
      </c>
      <c r="P47" s="50">
        <f>IFERROR(IF(INDEX('ESG'!$M$10:$M$17,MATCH($F47,'ESG'!$B$10:$B$17,0))="","Cell will autofill based on response",INDEX('ESG'!$M$10:$M$17,MATCH($F47,'ESG'!$B$10:$B$17,0))),"N/A")</f>
        <v/>
      </c>
      <c r="Q47" s="50">
        <f>IFERROR(IF(INDEX('CIOG'!$M$10:$M$14,MATCH($F47,'CIOG'!$B$10:$B$14,0))="","Cell will autofill based on response",INDEX('CIOG'!$M$10:$M$14,MATCH($F47,'CIOG'!$B$10:$B$14,0))),"N/A")</f>
        <v/>
      </c>
      <c r="R47" s="50">
        <f>IFERROR(IF(INDEX('MRE'!$M$10:$M$18,MATCH($F47,'MRE'!$B$10:$B$18,0))="","Cell will autofill based on response",INDEX('MRE'!$M$10:$M$18,MATCH($F47,'MRE'!$B$10:$B$18,0))),"N/A")</f>
        <v/>
      </c>
      <c r="S47" s="50">
        <f>IFERROR(IF(INDEX('AC&amp;M'!$M$10:$M$14,MATCH($F47,'AC&amp;M'!$B$10:$B$14,0))="","Cell will autofill based on response",INDEX('AC&amp;M'!$M$10:$M$14,MATCH($F47,'AC&amp;M'!$B$10:$B$14,0))),"N/A")</f>
        <v/>
      </c>
      <c r="T47" s="50">
        <f>IFERROR(IF(INDEX('GCE'!$M$10:$M$12,MATCH($F47,'GCE'!$B$10:$B$12,0))="","Cell will autofill based on response",INDEX('GCE'!$M$10:$M$12,MATCH($F47,'GCE'!$B$10:$B$12,0))),"N/A")</f>
        <v/>
      </c>
      <c r="U47" s="50">
        <f>IFERROR(IF(INDEX('Education'!$M$10:$M$13,MATCH($F47,'Education'!$B$10:$B$13,0))="","Cell will autofill based on response",INDEX('Education'!$M$10:$M$13,MATCH($F47,'Education'!$B$10:$B$13,0))),"N/A")</f>
        <v/>
      </c>
      <c r="V47" s="50">
        <f>IFERROR(IF(INDEX('SaSS'!$M$10:$M$12,MATCH($F47,'SaSS'!$B$10:$B$12,0))="","Cell will autofill based on response",INDEX('SaSS'!$M$10:$M$12,MATCH($F47,'SaSS'!$B$10:$B$12,0))),"N/A")</f>
        <v/>
      </c>
      <c r="W47" s="50">
        <f>IFERROR(IF(INDEX('Indigenous'!$M$10:$M$11,MATCH($F47,'Indigenous'!$B$10:$B$11,0))="","Cell will autofill based on response",INDEX('Indigenous'!$M$10:$M$11,MATCH($F47,'Indigenous'!$B$10:$B$11,0))),"N/A")</f>
        <v/>
      </c>
      <c r="X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IFERROR(IF(INDEX('CI&amp;S'!$N$10:$N$15,MATCH($F48,'CI&amp;S'!$B$10:$B$15,0))="","Cell will autofill based on response",INDEX('CI&amp;S'!$N$10:$N$15,MATCH($F48,'CI&amp;S'!$B$10:$B$15,0))),"N/A")</f>
        <v/>
      </c>
      <c r="M48" s="50">
        <f>IFERROR(IF(INDEX('CI&amp;S'!$N$22:$N$36,MATCH($F48,'CI&amp;S'!$B$22:$B$36,0))="","Cell will autofill based on response",INDEX('CI&amp;S'!$N$22:$N$36,MATCH($F48,'CI&amp;S'!$B$22:$B$36,0))),"N/A")</f>
        <v/>
      </c>
      <c r="N48" s="50">
        <f>IFERROR(IF(INDEX('CFOG'!$N$10:$N$16,MATCH($F48,'CFOG'!$B$10:$B$16,0))="","Cell will autofill based on response",INDEX('CFOG'!$N$10:$N$16,MATCH($F48,'CFOG'!$B$10:$B$16,0))),"N/A")</f>
        <v/>
      </c>
      <c r="O48" s="50">
        <f>IFERROR(IF(INDEX('CFOG'!$N$23:$N$24,MATCH($F48,'CFOG'!$B$23:$B$24,0))="","Cell will autofill based on response",INDEX('CFOG'!$N$23:$N$24,MATCH($F48,'CFOG'!$B$23:$B$24,0))),"N/A")</f>
        <v/>
      </c>
      <c r="P48" s="50">
        <f>IFERROR(IF(INDEX('ESG'!$N$10:$N$17,MATCH($F48,'ESG'!$B$10:$B$17,0))="","Cell will autofill based on response",INDEX('ESG'!$N$10:$N$17,MATCH($F48,'ESG'!$B$10:$B$17,0))),"N/A")</f>
        <v/>
      </c>
      <c r="Q48" s="50">
        <f>IFERROR(IF(INDEX('CIOG'!$N$10:$N$14,MATCH($F48,'CIOG'!$B$10:$B$14,0))="","Cell will autofill based on response",INDEX('CIOG'!$N$10:$N$14,MATCH($F48,'CIOG'!$B$10:$B$14,0))),"N/A")</f>
        <v/>
      </c>
      <c r="R48" s="50">
        <f>IFERROR(IF(INDEX('MRE'!$N$10:$N$18,MATCH($F48,'MRE'!$B$10:$B$18,0))="","Cell will autofill based on response",INDEX('MRE'!$N$10:$N$18,MATCH($F48,'MRE'!$B$10:$B$18,0))),"N/A")</f>
        <v/>
      </c>
      <c r="S48" s="50">
        <f>IFERROR(IF(INDEX('AC&amp;M'!$N$10:$N$14,MATCH($F48,'AC&amp;M'!$B$10:$B$14,0))="","Cell will autofill based on response",INDEX('AC&amp;M'!$N$10:$N$14,MATCH($F48,'AC&amp;M'!$B$10:$B$14,0))),"N/A")</f>
        <v/>
      </c>
      <c r="T48" s="50">
        <f>IFERROR(IF(INDEX('GCE'!$N$10:$N$12,MATCH($F48,'GCE'!$B$10:$B$12,0))="","Cell will autofill based on response",INDEX('GCE'!$N$10:$N$12,MATCH($F48,'GCE'!$B$10:$B$12,0))),"N/A")</f>
        <v/>
      </c>
      <c r="U48" s="50">
        <f>IFERROR(IF(INDEX('Education'!$N$10:$N$13,MATCH($F48,'Education'!$B$10:$B$13,0))="","Cell will autofill based on response",INDEX('Education'!$N$10:$N$13,MATCH($F48,'Education'!$B$10:$B$13,0))),"N/A")</f>
        <v/>
      </c>
      <c r="V48" s="50">
        <f>IFERROR(IF(INDEX('SaSS'!$N$10:$N$12,MATCH($F48,'SaSS'!$B$10:$B$12,0))="","Cell will autofill based on response",INDEX('SaSS'!$N$10:$N$12,MATCH($F48,'SaSS'!$B$10:$B$12,0))),"N/A")</f>
        <v/>
      </c>
      <c r="W48" s="50">
        <f>IFERROR(IF(INDEX('Indigenous'!$N$10:$N$11,MATCH($F48,'Indigenous'!$B$10:$B$11,0))="","Cell will autofill based on response",INDEX('Indigenous'!$N$10:$N$11,MATCH($F48,'Indigenous'!$B$10:$B$11,0))),"N/A")</f>
        <v/>
      </c>
      <c r="X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IFERROR(IF(INDEX('CI&amp;S'!$O$10:$O$15,MATCH($F49,'CI&amp;S'!$B$10:$B$15,0))="","Cell will autofill based on response",INDEX('CI&amp;S'!$O$10:$O$15,MATCH($F49,'CI&amp;S'!$B$10:$B$15,0))),"N/A")</f>
        <v/>
      </c>
      <c r="M49" s="50">
        <f>IFERROR(IF(INDEX('CI&amp;S'!$O$22:$O$36,MATCH($F49,'CI&amp;S'!$B$22:$B$36,0))="","Cell will autofill based on response",INDEX('CI&amp;S'!$O$22:$O$36,MATCH($F49,'CI&amp;S'!$B$22:$B$36,0))),"N/A")</f>
        <v/>
      </c>
      <c r="N49" s="50">
        <f>IFERROR(IF(INDEX('CFOG'!$O$10:$O$16,MATCH($F49,'CFOG'!$B$10:$B$16,0))="","Cell will autofill based on response",INDEX('CFOG'!$O$10:$O$16,MATCH($F49,'CFOG'!$B$10:$B$16,0))),"N/A")</f>
        <v/>
      </c>
      <c r="O49" s="50">
        <f>IFERROR(IF(INDEX('CFOG'!$O$23:$O$24,MATCH($F49,'CFOG'!$B$23:$B$24,0))="","Cell will autofill based on response",INDEX('CFOG'!$O$23:$O$24,MATCH($F49,'CFOG'!$B$23:$B$24,0))),"N/A")</f>
        <v/>
      </c>
      <c r="P49" s="50">
        <f>IFERROR(IF(INDEX('ESG'!$O$10:$O$17,MATCH($F49,'ESG'!$B$10:$B$17,0))="","Cell will autofill based on response",INDEX('ESG'!$O$10:$O$17,MATCH($F49,'ESG'!$B$10:$B$17,0))),"N/A")</f>
        <v/>
      </c>
      <c r="Q49" s="50">
        <f>IFERROR(IF(INDEX('CIOG'!$O$10:$O$14,MATCH($F49,'CIOG'!$B$10:$B$14,0))="","Cell will autofill based on response",INDEX('CIOG'!$O$10:$O$14,MATCH($F49,'CIOG'!$B$10:$B$14,0))),"N/A")</f>
        <v/>
      </c>
      <c r="R49" s="50">
        <f>IFERROR(IF(INDEX('MRE'!$O$10:$O$18,MATCH($F49,'MRE'!$B$10:$B$18,0))="","Cell will autofill based on response",INDEX('MRE'!$O$10:$O$18,MATCH($F49,'MRE'!$B$10:$B$18,0))),"N/A")</f>
        <v/>
      </c>
      <c r="S49" s="50">
        <f>IFERROR(IF(INDEX('AC&amp;M'!$O$10:$O$14,MATCH($F49,'AC&amp;M'!$B$10:$B$14,0))="","Cell will autofill based on response",INDEX('AC&amp;M'!$O$10:$O$14,MATCH($F49,'AC&amp;M'!$B$10:$B$14,0))),"N/A")</f>
        <v/>
      </c>
      <c r="T49" s="50">
        <f>IFERROR(IF(INDEX('GCE'!$O$10:$O$12,MATCH($F49,'GCE'!$B$10:$B$12,0))="","Cell will autofill based on response",INDEX('GCE'!$O$10:$O$12,MATCH($F49,'GCE'!$B$10:$B$12,0))),"N/A")</f>
        <v/>
      </c>
      <c r="U49" s="50">
        <f>IFERROR(IF(INDEX('Education'!$O$10:$O$13,MATCH($F49,'Education'!$B$10:$B$13,0))="","Cell will autofill based on response",INDEX('Education'!$O$10:$O$13,MATCH($F49,'Education'!$B$10:$B$13,0))),"N/A")</f>
        <v/>
      </c>
      <c r="V49" s="50">
        <f>IFERROR(IF(INDEX('SaSS'!$O$10:$O$12,MATCH($F49,'SaSS'!$B$10:$B$12,0))="","Cell will autofill based on response",INDEX('SaSS'!$O$10:$O$12,MATCH($F49,'SaSS'!$B$10:$B$12,0))),"N/A")</f>
        <v/>
      </c>
      <c r="W49" s="50">
        <f>IFERROR(IF(INDEX('Indigenous'!$O$10:$O$11,MATCH($F49,'Indigenous'!$B$10:$B$11,0))="","Cell will autofill based on response",INDEX('Indigenous'!$O$10:$O$11,MATCH($F49,'Indigenous'!$B$10:$B$11,0))),"N/A")</f>
        <v/>
      </c>
      <c r="X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IFERROR(IF(INDEX('CI&amp;S'!$P$10:$P$15,MATCH($F50,'CI&amp;S'!$B$10:$B$15,0))="","Cell will autofill based on response",INDEX('CI&amp;S'!$P$10:$P$15,MATCH($F50,'CI&amp;S'!$B$10:$B$15,0))),"N/A")</f>
        <v/>
      </c>
      <c r="M50" s="50">
        <f>IFERROR(IF(INDEX('CI&amp;S'!$P$22:$P$36,MATCH($F50,'CI&amp;S'!$B$22:$B$36,0))="","Cell will autofill based on response",INDEX('CI&amp;S'!$P$22:$P$36,MATCH($F50,'CI&amp;S'!$B$22:$B$36,0))),"N/A")</f>
        <v/>
      </c>
      <c r="N50" s="50">
        <f>IFERROR(IF(INDEX('CFOG'!$P$10:$P$16,MATCH($F50,'CFOG'!$B$10:$B$16,0))="","Cell will autofill based on response",INDEX('CFOG'!$P$10:$P$16,MATCH($F50,'CFOG'!$B$10:$B$16,0))),"N/A")</f>
        <v/>
      </c>
      <c r="O50" s="50">
        <f>IFERROR(IF(INDEX('CFOG'!$P$23:$P$24,MATCH($F50,'CFOG'!$B$23:$B$24,0))="","Cell will autofill based on response",INDEX('CFOG'!$P$23:$P$24,MATCH($F50,'CFOG'!$B$23:$B$24,0))),"N/A")</f>
        <v/>
      </c>
      <c r="P50" s="50">
        <f>IFERROR(IF(INDEX('ESG'!$P$10:$P$17,MATCH($F50,'ESG'!$B$10:$B$17,0))="","Cell will autofill based on response",INDEX('ESG'!$P$10:$P$17,MATCH($F50,'ESG'!$B$10:$B$17,0))),"N/A")</f>
        <v/>
      </c>
      <c r="Q50" s="50">
        <f>IFERROR(IF(INDEX('CIOG'!$P$10:$P$14,MATCH($F50,'CIOG'!$B$10:$B$14,0))="","Cell will autofill based on response",INDEX('CIOG'!$P$10:$P$14,MATCH($F50,'CIOG'!$B$10:$B$14,0))),"N/A")</f>
        <v/>
      </c>
      <c r="R50" s="50">
        <f>IFERROR(IF(INDEX('MRE'!$P$10:$P$18,MATCH($F50,'MRE'!$B$10:$B$18,0))="","Cell will autofill based on response",INDEX('MRE'!$P$10:$P$18,MATCH($F50,'MRE'!$B$10:$B$18,0))),"N/A")</f>
        <v/>
      </c>
      <c r="S50" s="50">
        <f>IFERROR(IF(INDEX('AC&amp;M'!$P$10:$P$14,MATCH($F50,'AC&amp;M'!$B$10:$B$14,0))="","Cell will autofill based on response",INDEX('AC&amp;M'!$P$10:$P$14,MATCH($F50,'AC&amp;M'!$B$10:$B$14,0))),"N/A")</f>
        <v/>
      </c>
      <c r="T50" s="50">
        <f>IFERROR(IF(INDEX('GCE'!$P$10:$P$12,MATCH($F50,'GCE'!$B$10:$B$12,0))="","Cell will autofill based on response",INDEX('GCE'!$P$10:$P$12,MATCH($F50,'GCE'!$B$10:$B$12,0))),"N/A")</f>
        <v/>
      </c>
      <c r="U50" s="50">
        <f>IFERROR(IF(INDEX('Education'!$P$10:$P$13,MATCH($F50,'Education'!$B$10:$B$13,0))="","Cell will autofill based on response",INDEX('Education'!$P$10:$P$13,MATCH($F50,'Education'!$B$10:$B$13,0))),"N/A")</f>
        <v/>
      </c>
      <c r="V50" s="50">
        <f>IFERROR(IF(INDEX('SaSS'!$P$10:$P$12,MATCH($F50,'SaSS'!$B$10:$B$12,0))="","Cell will autofill based on response",INDEX('SaSS'!$P$10:$P$12,MATCH($F50,'SaSS'!$B$10:$B$12,0))),"N/A")</f>
        <v/>
      </c>
      <c r="W50" s="50">
        <f>IFERROR(IF(INDEX('Indigenous'!$P$10:$P$11,MATCH($F50,'Indigenous'!$B$10:$B$11,0))="","Cell will autofill based on response",INDEX('Indigenous'!$P$10:$P$11,MATCH($F50,'Indigenous'!$B$10:$B$11,0))),"N/A")</f>
        <v/>
      </c>
      <c r="X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IFERROR(IF(INDEX('CI&amp;S'!$L$10:$L$15,MATCH($F51,'CI&amp;S'!$B$10:$B$15,0))="","Cell will autofill based on response",INDEX('CI&amp;S'!$L$10:$L$15,MATCH($F51,'CI&amp;S'!$B$10:$B$15,0))),"N/A")</f>
        <v/>
      </c>
      <c r="M51" s="50">
        <f>IFERROR(IF(INDEX('CI&amp;S'!$L$22:$L$36,MATCH($F51,'CI&amp;S'!$B$22:$B$36,0))="","Cell will autofill based on response",INDEX('CI&amp;S'!$L$22:$L$36,MATCH($F51,'CI&amp;S'!$B$22:$B$36,0))),"N/A")</f>
        <v/>
      </c>
      <c r="N51" s="50">
        <f>IFERROR(IF(INDEX('CFOG'!$L$10:$L$16,MATCH($F51,'CFOG'!$B$10:$B$16,0))="","Cell will autofill based on response",INDEX('CFOG'!$L$10:$L$16,MATCH($F51,'CFOG'!$B$10:$B$16,0))),"N/A")</f>
        <v/>
      </c>
      <c r="O51" s="50">
        <f>IFERROR(IF(INDEX('CFOG'!$L$23:$L$24,MATCH($F51,'CFOG'!$B$23:$B$24,0))="","Cell will autofill based on response",INDEX('CFOG'!$L$23:$L$24,MATCH($F51,'CFOG'!$B$23:$B$24,0))),"N/A")</f>
        <v/>
      </c>
      <c r="P51" s="50">
        <f>IFERROR(IF(INDEX('ESG'!$L$10:$L$17,MATCH($F51,'ESG'!$B$10:$B$17,0))="","Cell will autofill based on response",INDEX('ESG'!$L$10:$L$17,MATCH($F51,'ESG'!$B$10:$B$17,0))),"N/A")</f>
        <v/>
      </c>
      <c r="Q51" s="50">
        <f>IFERROR(IF(INDEX('CIOG'!$L$10:$L$14,MATCH($F51,'CIOG'!$B$10:$B$14,0))="","Cell will autofill based on response",INDEX('CIOG'!$L$10:$L$14,MATCH($F51,'CIOG'!$B$10:$B$14,0))),"N/A")</f>
        <v/>
      </c>
      <c r="R51" s="50">
        <f>IFERROR(IF(INDEX('MRE'!$L$10:$L$18,MATCH($F51,'MRE'!$B$10:$B$18,0))="","Cell will autofill based on response",INDEX('MRE'!$L$10:$L$18,MATCH($F51,'MRE'!$B$10:$B$18,0))),"N/A")</f>
        <v/>
      </c>
      <c r="S51" s="50">
        <f>IFERROR(IF(INDEX('AC&amp;M'!$L$10:$L$14,MATCH($F51,'AC&amp;M'!$B$10:$B$14,0))="","Cell will autofill based on response",INDEX('AC&amp;M'!$L$10:$L$14,MATCH($F51,'AC&amp;M'!$B$10:$B$14,0))),"N/A")</f>
        <v/>
      </c>
      <c r="T51" s="50">
        <f>IFERROR(IF(INDEX('GCE'!$L$10:$L$12,MATCH($F51,'GCE'!$B$10:$B$12,0))="","Cell will autofill based on response",INDEX('GCE'!$L$10:$L$12,MATCH($F51,'GCE'!$B$10:$B$12,0))),"N/A")</f>
        <v/>
      </c>
      <c r="U51" s="50">
        <f>IFERROR(IF(INDEX('Education'!$L$10:$L$13,MATCH($F51,'Education'!$B$10:$B$13,0))="","Cell will autofill based on response",INDEX('Education'!$L$10:$L$13,MATCH($F51,'Education'!$B$10:$B$13,0))),"N/A")</f>
        <v/>
      </c>
      <c r="V51" s="50">
        <f>IFERROR(IF(INDEX('SaSS'!$L$10:$L$12,MATCH($F51,'SaSS'!$B$10:$B$12,0))="","Cell will autofill based on response",INDEX('SaSS'!$L$10:$L$12,MATCH($F51,'SaSS'!$B$10:$B$12,0))),"N/A")</f>
        <v/>
      </c>
      <c r="W51" s="50">
        <f>IFERROR(IF(INDEX('Indigenous'!$L$10:$L$11,MATCH($F51,'Indigenous'!$B$10:$B$11,0))="","Cell will autofill based on response",INDEX('Indigenous'!$L$10:$L$11,MATCH($F51,'Indigenous'!$B$10:$B$11,0))),"N/A")</f>
        <v/>
      </c>
      <c r="X51" s="50">
        <f>IFERROR(IF(INDEX('L&amp;R'!$L$10:$L$11,MATCH($F51,'L&amp;R'!$B$10:$B$11,0))="","Cell will autofill based on response",INDEX('L&amp;R'!$L$10:$L$11,MATCH($F51,'L&amp;R'!$B$10:$B$11,0))),"N/A")</f>
        <v/>
      </c>
      <c r="Z51" s="8">
        <f>SUMPRODUCT(--($H51:$X51&lt;&gt;"N/A"))</f>
        <v/>
      </c>
      <c r="AA51" s="8">
        <f>SUMPRODUCT(--(((($H51:$X51&lt;&gt;"N/A")*($H51:$X51&lt;&gt;"Cell will autofill based on response"))+(($H52:$X52&lt;&gt;"N/A")*($H52:$X52&lt;&gt;"Cell will autofill based on response")))&gt;0))</f>
        <v/>
      </c>
      <c r="AB51" s="8">
        <f>Z51-AA51</f>
        <v/>
      </c>
      <c r="AC51" s="8">
        <f>COUNTIF($H55:$X55,"Yes")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IFERROR(IF(INDEX('CI&amp;S'!$M$10:$M$15,MATCH($F52,'CI&amp;S'!$B$10:$B$15,0))="","Cell will autofill based on response",INDEX('CI&amp;S'!$M$10:$M$15,MATCH($F52,'CI&amp;S'!$B$10:$B$15,0))),"N/A")</f>
        <v/>
      </c>
      <c r="M52" s="50">
        <f>IFERROR(IF(INDEX('CI&amp;S'!$M$22:$M$36,MATCH($F52,'CI&amp;S'!$B$22:$B$36,0))="","Cell will autofill based on response",INDEX('CI&amp;S'!$M$22:$M$36,MATCH($F52,'CI&amp;S'!$B$22:$B$36,0))),"N/A")</f>
        <v/>
      </c>
      <c r="N52" s="50">
        <f>IFERROR(IF(INDEX('CFOG'!$M$10:$M$16,MATCH($F52,'CFOG'!$B$10:$B$16,0))="","Cell will autofill based on response",INDEX('CFOG'!$M$10:$M$16,MATCH($F52,'CFOG'!$B$10:$B$16,0))),"N/A")</f>
        <v/>
      </c>
      <c r="O52" s="50">
        <f>IFERROR(IF(INDEX('CFOG'!$M$23:$M$24,MATCH($F52,'CFOG'!$B$23:$B$24,0))="","Cell will autofill based on response",INDEX('CFOG'!$M$23:$M$24,MATCH($F52,'CFOG'!$B$23:$B$24,0))),"N/A")</f>
        <v/>
      </c>
      <c r="P52" s="50">
        <f>IFERROR(IF(INDEX('ESG'!$M$10:$M$17,MATCH($F52,'ESG'!$B$10:$B$17,0))="","Cell will autofill based on response",INDEX('ESG'!$M$10:$M$17,MATCH($F52,'ESG'!$B$10:$B$17,0))),"N/A")</f>
        <v/>
      </c>
      <c r="Q52" s="50">
        <f>IFERROR(IF(INDEX('CIOG'!$M$10:$M$14,MATCH($F52,'CIOG'!$B$10:$B$14,0))="","Cell will autofill based on response",INDEX('CIOG'!$M$10:$M$14,MATCH($F52,'CIOG'!$B$10:$B$14,0))),"N/A")</f>
        <v/>
      </c>
      <c r="R52" s="50">
        <f>IFERROR(IF(INDEX('MRE'!$M$10:$M$18,MATCH($F52,'MRE'!$B$10:$B$18,0))="","Cell will autofill based on response",INDEX('MRE'!$M$10:$M$18,MATCH($F52,'MRE'!$B$10:$B$18,0))),"N/A")</f>
        <v/>
      </c>
      <c r="S52" s="50">
        <f>IFERROR(IF(INDEX('AC&amp;M'!$M$10:$M$14,MATCH($F52,'AC&amp;M'!$B$10:$B$14,0))="","Cell will autofill based on response",INDEX('AC&amp;M'!$M$10:$M$14,MATCH($F52,'AC&amp;M'!$B$10:$B$14,0))),"N/A")</f>
        <v/>
      </c>
      <c r="T52" s="50">
        <f>IFERROR(IF(INDEX('GCE'!$M$10:$M$12,MATCH($F52,'GCE'!$B$10:$B$12,0))="","Cell will autofill based on response",INDEX('GCE'!$M$10:$M$12,MATCH($F52,'GCE'!$B$10:$B$12,0))),"N/A")</f>
        <v/>
      </c>
      <c r="U52" s="50">
        <f>IFERROR(IF(INDEX('Education'!$M$10:$M$13,MATCH($F52,'Education'!$B$10:$B$13,0))="","Cell will autofill based on response",INDEX('Education'!$M$10:$M$13,MATCH($F52,'Education'!$B$10:$B$13,0))),"N/A")</f>
        <v/>
      </c>
      <c r="V52" s="50">
        <f>IFERROR(IF(INDEX('SaSS'!$M$10:$M$12,MATCH($F52,'SaSS'!$B$10:$B$12,0))="","Cell will autofill based on response",INDEX('SaSS'!$M$10:$M$12,MATCH($F52,'SaSS'!$B$10:$B$12,0))),"N/A")</f>
        <v/>
      </c>
      <c r="W52" s="50">
        <f>IFERROR(IF(INDEX('Indigenous'!$M$10:$M$11,MATCH($F52,'Indigenous'!$B$10:$B$11,0))="","Cell will autofill based on response",INDEX('Indigenous'!$M$10:$M$11,MATCH($F52,'Indigenous'!$B$10:$B$11,0))),"N/A")</f>
        <v/>
      </c>
      <c r="X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IFERROR(IF(INDEX('CI&amp;S'!$N$10:$N$15,MATCH($F53,'CI&amp;S'!$B$10:$B$15,0))="","Cell will autofill based on response",INDEX('CI&amp;S'!$N$10:$N$15,MATCH($F53,'CI&amp;S'!$B$10:$B$15,0))),"N/A")</f>
        <v/>
      </c>
      <c r="M53" s="50">
        <f>IFERROR(IF(INDEX('CI&amp;S'!$N$22:$N$36,MATCH($F53,'CI&amp;S'!$B$22:$B$36,0))="","Cell will autofill based on response",INDEX('CI&amp;S'!$N$22:$N$36,MATCH($F53,'CI&amp;S'!$B$22:$B$36,0))),"N/A")</f>
        <v/>
      </c>
      <c r="N53" s="50">
        <f>IFERROR(IF(INDEX('CFOG'!$N$10:$N$16,MATCH($F53,'CFOG'!$B$10:$B$16,0))="","Cell will autofill based on response",INDEX('CFOG'!$N$10:$N$16,MATCH($F53,'CFOG'!$B$10:$B$16,0))),"N/A")</f>
        <v/>
      </c>
      <c r="O53" s="50">
        <f>IFERROR(IF(INDEX('CFOG'!$N$23:$N$24,MATCH($F53,'CFOG'!$B$23:$B$24,0))="","Cell will autofill based on response",INDEX('CFOG'!$N$23:$N$24,MATCH($F53,'CFOG'!$B$23:$B$24,0))),"N/A")</f>
        <v/>
      </c>
      <c r="P53" s="50">
        <f>IFERROR(IF(INDEX('ESG'!$N$10:$N$17,MATCH($F53,'ESG'!$B$10:$B$17,0))="","Cell will autofill based on response",INDEX('ESG'!$N$10:$N$17,MATCH($F53,'ESG'!$B$10:$B$17,0))),"N/A")</f>
        <v/>
      </c>
      <c r="Q53" s="50">
        <f>IFERROR(IF(INDEX('CIOG'!$N$10:$N$14,MATCH($F53,'CIOG'!$B$10:$B$14,0))="","Cell will autofill based on response",INDEX('CIOG'!$N$10:$N$14,MATCH($F53,'CIOG'!$B$10:$B$14,0))),"N/A")</f>
        <v/>
      </c>
      <c r="R53" s="50">
        <f>IFERROR(IF(INDEX('MRE'!$N$10:$N$18,MATCH($F53,'MRE'!$B$10:$B$18,0))="","Cell will autofill based on response",INDEX('MRE'!$N$10:$N$18,MATCH($F53,'MRE'!$B$10:$B$18,0))),"N/A")</f>
        <v/>
      </c>
      <c r="S53" s="50">
        <f>IFERROR(IF(INDEX('AC&amp;M'!$N$10:$N$14,MATCH($F53,'AC&amp;M'!$B$10:$B$14,0))="","Cell will autofill based on response",INDEX('AC&amp;M'!$N$10:$N$14,MATCH($F53,'AC&amp;M'!$B$10:$B$14,0))),"N/A")</f>
        <v/>
      </c>
      <c r="T53" s="50">
        <f>IFERROR(IF(INDEX('GCE'!$N$10:$N$12,MATCH($F53,'GCE'!$B$10:$B$12,0))="","Cell will autofill based on response",INDEX('GCE'!$N$10:$N$12,MATCH($F53,'GCE'!$B$10:$B$12,0))),"N/A")</f>
        <v/>
      </c>
      <c r="U53" s="50">
        <f>IFERROR(IF(INDEX('Education'!$N$10:$N$13,MATCH($F53,'Education'!$B$10:$B$13,0))="","Cell will autofill based on response",INDEX('Education'!$N$10:$N$13,MATCH($F53,'Education'!$B$10:$B$13,0))),"N/A")</f>
        <v/>
      </c>
      <c r="V53" s="50">
        <f>IFERROR(IF(INDEX('SaSS'!$N$10:$N$12,MATCH($F53,'SaSS'!$B$10:$B$12,0))="","Cell will autofill based on response",INDEX('SaSS'!$N$10:$N$12,MATCH($F53,'SaSS'!$B$10:$B$12,0))),"N/A")</f>
        <v/>
      </c>
      <c r="W53" s="50">
        <f>IFERROR(IF(INDEX('Indigenous'!$N$10:$N$11,MATCH($F53,'Indigenous'!$B$10:$B$11,0))="","Cell will autofill based on response",INDEX('Indigenous'!$N$10:$N$11,MATCH($F53,'Indigenous'!$B$10:$B$11,0))),"N/A")</f>
        <v/>
      </c>
      <c r="X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IFERROR(IF(INDEX('CI&amp;S'!$O$10:$O$15,MATCH($F54,'CI&amp;S'!$B$10:$B$15,0))="","Cell will autofill based on response",INDEX('CI&amp;S'!$O$10:$O$15,MATCH($F54,'CI&amp;S'!$B$10:$B$15,0))),"N/A")</f>
        <v/>
      </c>
      <c r="M54" s="50">
        <f>IFERROR(IF(INDEX('CI&amp;S'!$O$22:$O$36,MATCH($F54,'CI&amp;S'!$B$22:$B$36,0))="","Cell will autofill based on response",INDEX('CI&amp;S'!$O$22:$O$36,MATCH($F54,'CI&amp;S'!$B$22:$B$36,0))),"N/A")</f>
        <v/>
      </c>
      <c r="N54" s="50">
        <f>IFERROR(IF(INDEX('CFOG'!$O$10:$O$16,MATCH($F54,'CFOG'!$B$10:$B$16,0))="","Cell will autofill based on response",INDEX('CFOG'!$O$10:$O$16,MATCH($F54,'CFOG'!$B$10:$B$16,0))),"N/A")</f>
        <v/>
      </c>
      <c r="O54" s="50">
        <f>IFERROR(IF(INDEX('CFOG'!$O$23:$O$24,MATCH($F54,'CFOG'!$B$23:$B$24,0))="","Cell will autofill based on response",INDEX('CFOG'!$O$23:$O$24,MATCH($F54,'CFOG'!$B$23:$B$24,0))),"N/A")</f>
        <v/>
      </c>
      <c r="P54" s="50">
        <f>IFERROR(IF(INDEX('ESG'!$O$10:$O$17,MATCH($F54,'ESG'!$B$10:$B$17,0))="","Cell will autofill based on response",INDEX('ESG'!$O$10:$O$17,MATCH($F54,'ESG'!$B$10:$B$17,0))),"N/A")</f>
        <v/>
      </c>
      <c r="Q54" s="50">
        <f>IFERROR(IF(INDEX('CIOG'!$O$10:$O$14,MATCH($F54,'CIOG'!$B$10:$B$14,0))="","Cell will autofill based on response",INDEX('CIOG'!$O$10:$O$14,MATCH($F54,'CIOG'!$B$10:$B$14,0))),"N/A")</f>
        <v/>
      </c>
      <c r="R54" s="50">
        <f>IFERROR(IF(INDEX('MRE'!$O$10:$O$18,MATCH($F54,'MRE'!$B$10:$B$18,0))="","Cell will autofill based on response",INDEX('MRE'!$O$10:$O$18,MATCH($F54,'MRE'!$B$10:$B$18,0))),"N/A")</f>
        <v/>
      </c>
      <c r="S54" s="50">
        <f>IFERROR(IF(INDEX('AC&amp;M'!$O$10:$O$14,MATCH($F54,'AC&amp;M'!$B$10:$B$14,0))="","Cell will autofill based on response",INDEX('AC&amp;M'!$O$10:$O$14,MATCH($F54,'AC&amp;M'!$B$10:$B$14,0))),"N/A")</f>
        <v/>
      </c>
      <c r="T54" s="50">
        <f>IFERROR(IF(INDEX('GCE'!$O$10:$O$12,MATCH($F54,'GCE'!$B$10:$B$12,0))="","Cell will autofill based on response",INDEX('GCE'!$O$10:$O$12,MATCH($F54,'GCE'!$B$10:$B$12,0))),"N/A")</f>
        <v/>
      </c>
      <c r="U54" s="50">
        <f>IFERROR(IF(INDEX('Education'!$O$10:$O$13,MATCH($F54,'Education'!$B$10:$B$13,0))="","Cell will autofill based on response",INDEX('Education'!$O$10:$O$13,MATCH($F54,'Education'!$B$10:$B$13,0))),"N/A")</f>
        <v/>
      </c>
      <c r="V54" s="50">
        <f>IFERROR(IF(INDEX('SaSS'!$O$10:$O$12,MATCH($F54,'SaSS'!$B$10:$B$12,0))="","Cell will autofill based on response",INDEX('SaSS'!$O$10:$O$12,MATCH($F54,'SaSS'!$B$10:$B$12,0))),"N/A")</f>
        <v/>
      </c>
      <c r="W54" s="50">
        <f>IFERROR(IF(INDEX('Indigenous'!$O$10:$O$11,MATCH($F54,'Indigenous'!$B$10:$B$11,0))="","Cell will autofill based on response",INDEX('Indigenous'!$O$10:$O$11,MATCH($F54,'Indigenous'!$B$10:$B$11,0))),"N/A")</f>
        <v/>
      </c>
      <c r="X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IFERROR(IF(INDEX('CI&amp;S'!$P$10:$P$15,MATCH($F55,'CI&amp;S'!$B$10:$B$15,0))="","Cell will autofill based on response",INDEX('CI&amp;S'!$P$10:$P$15,MATCH($F55,'CI&amp;S'!$B$10:$B$15,0))),"N/A")</f>
        <v/>
      </c>
      <c r="M55" s="50">
        <f>IFERROR(IF(INDEX('CI&amp;S'!$P$22:$P$36,MATCH($F55,'CI&amp;S'!$B$22:$B$36,0))="","Cell will autofill based on response",INDEX('CI&amp;S'!$P$22:$P$36,MATCH($F55,'CI&amp;S'!$B$22:$B$36,0))),"N/A")</f>
        <v/>
      </c>
      <c r="N55" s="50">
        <f>IFERROR(IF(INDEX('CFOG'!$P$10:$P$16,MATCH($F55,'CFOG'!$B$10:$B$16,0))="","Cell will autofill based on response",INDEX('CFOG'!$P$10:$P$16,MATCH($F55,'CFOG'!$B$10:$B$16,0))),"N/A")</f>
        <v/>
      </c>
      <c r="O55" s="50">
        <f>IFERROR(IF(INDEX('CFOG'!$P$23:$P$24,MATCH($F55,'CFOG'!$B$23:$B$24,0))="","Cell will autofill based on response",INDEX('CFOG'!$P$23:$P$24,MATCH($F55,'CFOG'!$B$23:$B$24,0))),"N/A")</f>
        <v/>
      </c>
      <c r="P55" s="50">
        <f>IFERROR(IF(INDEX('ESG'!$P$10:$P$17,MATCH($F55,'ESG'!$B$10:$B$17,0))="","Cell will autofill based on response",INDEX('ESG'!$P$10:$P$17,MATCH($F55,'ESG'!$B$10:$B$17,0))),"N/A")</f>
        <v/>
      </c>
      <c r="Q55" s="50">
        <f>IFERROR(IF(INDEX('CIOG'!$P$10:$P$14,MATCH($F55,'CIOG'!$B$10:$B$14,0))="","Cell will autofill based on response",INDEX('CIOG'!$P$10:$P$14,MATCH($F55,'CIOG'!$B$10:$B$14,0))),"N/A")</f>
        <v/>
      </c>
      <c r="R55" s="50">
        <f>IFERROR(IF(INDEX('MRE'!$P$10:$P$18,MATCH($F55,'MRE'!$B$10:$B$18,0))="","Cell will autofill based on response",INDEX('MRE'!$P$10:$P$18,MATCH($F55,'MRE'!$B$10:$B$18,0))),"N/A")</f>
        <v/>
      </c>
      <c r="S55" s="50">
        <f>IFERROR(IF(INDEX('AC&amp;M'!$P$10:$P$14,MATCH($F55,'AC&amp;M'!$B$10:$B$14,0))="","Cell will autofill based on response",INDEX('AC&amp;M'!$P$10:$P$14,MATCH($F55,'AC&amp;M'!$B$10:$B$14,0))),"N/A")</f>
        <v/>
      </c>
      <c r="T55" s="50">
        <f>IFERROR(IF(INDEX('GCE'!$P$10:$P$12,MATCH($F55,'GCE'!$B$10:$B$12,0))="","Cell will autofill based on response",INDEX('GCE'!$P$10:$P$12,MATCH($F55,'GCE'!$B$10:$B$12,0))),"N/A")</f>
        <v/>
      </c>
      <c r="U55" s="50">
        <f>IFERROR(IF(INDEX('Education'!$P$10:$P$13,MATCH($F55,'Education'!$B$10:$B$13,0))="","Cell will autofill based on response",INDEX('Education'!$P$10:$P$13,MATCH($F55,'Education'!$B$10:$B$13,0))),"N/A")</f>
        <v/>
      </c>
      <c r="V55" s="50">
        <f>IFERROR(IF(INDEX('SaSS'!$P$10:$P$12,MATCH($F55,'SaSS'!$B$10:$B$12,0))="","Cell will autofill based on response",INDEX('SaSS'!$P$10:$P$12,MATCH($F55,'SaSS'!$B$10:$B$12,0))),"N/A")</f>
        <v/>
      </c>
      <c r="W55" s="50">
        <f>IFERROR(IF(INDEX('Indigenous'!$P$10:$P$11,MATCH($F55,'Indigenous'!$B$10:$B$11,0))="","Cell will autofill based on response",INDEX('Indigenous'!$P$10:$P$11,MATCH($F55,'Indigenous'!$B$10:$B$11,0))),"N/A")</f>
        <v/>
      </c>
      <c r="X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IFERROR(IF(INDEX('CI&amp;S'!$L$10:$L$15,MATCH($F56,'CI&amp;S'!$B$10:$B$15,0))="","Cell will autofill based on response",INDEX('CI&amp;S'!$L$10:$L$15,MATCH($F56,'CI&amp;S'!$B$10:$B$15,0))),"N/A")</f>
        <v/>
      </c>
      <c r="M56" s="50">
        <f>IFERROR(IF(INDEX('CI&amp;S'!$L$22:$L$36,MATCH($F56,'CI&amp;S'!$B$22:$B$36,0))="","Cell will autofill based on response",INDEX('CI&amp;S'!$L$22:$L$36,MATCH($F56,'CI&amp;S'!$B$22:$B$36,0))),"N/A")</f>
        <v/>
      </c>
      <c r="N56" s="50">
        <f>IFERROR(IF(INDEX('CFOG'!$L$10:$L$16,MATCH($F56,'CFOG'!$B$10:$B$16,0))="","Cell will autofill based on response",INDEX('CFOG'!$L$10:$L$16,MATCH($F56,'CFOG'!$B$10:$B$16,0))),"N/A")</f>
        <v/>
      </c>
      <c r="O56" s="50">
        <f>IFERROR(IF(INDEX('CFOG'!$L$23:$L$24,MATCH($F56,'CFOG'!$B$23:$B$24,0))="","Cell will autofill based on response",INDEX('CFOG'!$L$23:$L$24,MATCH($F56,'CFOG'!$B$23:$B$24,0))),"N/A")</f>
        <v/>
      </c>
      <c r="P56" s="50">
        <f>IFERROR(IF(INDEX('ESG'!$L$10:$L$17,MATCH($F56,'ESG'!$B$10:$B$17,0))="","Cell will autofill based on response",INDEX('ESG'!$L$10:$L$17,MATCH($F56,'ESG'!$B$10:$B$17,0))),"N/A")</f>
        <v/>
      </c>
      <c r="Q56" s="50">
        <f>IFERROR(IF(INDEX('CIOG'!$L$10:$L$14,MATCH($F56,'CIOG'!$B$10:$B$14,0))="","Cell will autofill based on response",INDEX('CIOG'!$L$10:$L$14,MATCH($F56,'CIOG'!$B$10:$B$14,0))),"N/A")</f>
        <v/>
      </c>
      <c r="R56" s="50">
        <f>IFERROR(IF(INDEX('MRE'!$L$10:$L$18,MATCH($F56,'MRE'!$B$10:$B$18,0))="","Cell will autofill based on response",INDEX('MRE'!$L$10:$L$18,MATCH($F56,'MRE'!$B$10:$B$18,0))),"N/A")</f>
        <v/>
      </c>
      <c r="S56" s="50">
        <f>IFERROR(IF(INDEX('AC&amp;M'!$L$10:$L$14,MATCH($F56,'AC&amp;M'!$B$10:$B$14,0))="","Cell will autofill based on response",INDEX('AC&amp;M'!$L$10:$L$14,MATCH($F56,'AC&amp;M'!$B$10:$B$14,0))),"N/A")</f>
        <v/>
      </c>
      <c r="T56" s="50">
        <f>IFERROR(IF(INDEX('GCE'!$L$10:$L$12,MATCH($F56,'GCE'!$B$10:$B$12,0))="","Cell will autofill based on response",INDEX('GCE'!$L$10:$L$12,MATCH($F56,'GCE'!$B$10:$B$12,0))),"N/A")</f>
        <v/>
      </c>
      <c r="U56" s="50">
        <f>IFERROR(IF(INDEX('Education'!$L$10:$L$13,MATCH($F56,'Education'!$B$10:$B$13,0))="","Cell will autofill based on response",INDEX('Education'!$L$10:$L$13,MATCH($F56,'Education'!$B$10:$B$13,0))),"N/A")</f>
        <v/>
      </c>
      <c r="V56" s="50">
        <f>IFERROR(IF(INDEX('SaSS'!$L$10:$L$12,MATCH($F56,'SaSS'!$B$10:$B$12,0))="","Cell will autofill based on response",INDEX('SaSS'!$L$10:$L$12,MATCH($F56,'SaSS'!$B$10:$B$12,0))),"N/A")</f>
        <v/>
      </c>
      <c r="W56" s="50">
        <f>IFERROR(IF(INDEX('Indigenous'!$L$10:$L$11,MATCH($F56,'Indigenous'!$B$10:$B$11,0))="","Cell will autofill based on response",INDEX('Indigenous'!$L$10:$L$11,MATCH($F56,'Indigenous'!$B$10:$B$11,0))),"N/A")</f>
        <v/>
      </c>
      <c r="X56" s="50">
        <f>IFERROR(IF(INDEX('L&amp;R'!$L$10:$L$11,MATCH($F56,'L&amp;R'!$B$10:$B$11,0))="","Cell will autofill based on response",INDEX('L&amp;R'!$L$10:$L$11,MATCH($F56,'L&amp;R'!$B$10:$B$11,0))),"N/A")</f>
        <v/>
      </c>
      <c r="Z56" s="8">
        <f>SUMPRODUCT(--($H56:$X56&lt;&gt;"N/A"))</f>
        <v/>
      </c>
      <c r="AA56" s="8">
        <f>SUMPRODUCT(--(((($H56:$X56&lt;&gt;"N/A")*($H56:$X56&lt;&gt;"Cell will autofill based on response"))+(($H57:$X57&lt;&gt;"N/A")*($H57:$X57&lt;&gt;"Cell will autofill based on response")))&gt;0))</f>
        <v/>
      </c>
      <c r="AB56" s="8">
        <f>Z56-AA56</f>
        <v/>
      </c>
      <c r="AC56" s="8">
        <f>COUNTIF($H60:$X60,"Yes")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IFERROR(IF(INDEX('CI&amp;S'!$M$10:$M$15,MATCH($F57,'CI&amp;S'!$B$10:$B$15,0))="","Cell will autofill based on response",INDEX('CI&amp;S'!$M$10:$M$15,MATCH($F57,'CI&amp;S'!$B$10:$B$15,0))),"N/A")</f>
        <v/>
      </c>
      <c r="M57" s="50">
        <f>IFERROR(IF(INDEX('CI&amp;S'!$M$22:$M$36,MATCH($F57,'CI&amp;S'!$B$22:$B$36,0))="","Cell will autofill based on response",INDEX('CI&amp;S'!$M$22:$M$36,MATCH($F57,'CI&amp;S'!$B$22:$B$36,0))),"N/A")</f>
        <v/>
      </c>
      <c r="N57" s="50">
        <f>IFERROR(IF(INDEX('CFOG'!$M$10:$M$16,MATCH($F57,'CFOG'!$B$10:$B$16,0))="","Cell will autofill based on response",INDEX('CFOG'!$M$10:$M$16,MATCH($F57,'CFOG'!$B$10:$B$16,0))),"N/A")</f>
        <v/>
      </c>
      <c r="O57" s="50">
        <f>IFERROR(IF(INDEX('CFOG'!$M$23:$M$24,MATCH($F57,'CFOG'!$B$23:$B$24,0))="","Cell will autofill based on response",INDEX('CFOG'!$M$23:$M$24,MATCH($F57,'CFOG'!$B$23:$B$24,0))),"N/A")</f>
        <v/>
      </c>
      <c r="P57" s="50">
        <f>IFERROR(IF(INDEX('ESG'!$M$10:$M$17,MATCH($F57,'ESG'!$B$10:$B$17,0))="","Cell will autofill based on response",INDEX('ESG'!$M$10:$M$17,MATCH($F57,'ESG'!$B$10:$B$17,0))),"N/A")</f>
        <v/>
      </c>
      <c r="Q57" s="50">
        <f>IFERROR(IF(INDEX('CIOG'!$M$10:$M$14,MATCH($F57,'CIOG'!$B$10:$B$14,0))="","Cell will autofill based on response",INDEX('CIOG'!$M$10:$M$14,MATCH($F57,'CIOG'!$B$10:$B$14,0))),"N/A")</f>
        <v/>
      </c>
      <c r="R57" s="50">
        <f>IFERROR(IF(INDEX('MRE'!$M$10:$M$18,MATCH($F57,'MRE'!$B$10:$B$18,0))="","Cell will autofill based on response",INDEX('MRE'!$M$10:$M$18,MATCH($F57,'MRE'!$B$10:$B$18,0))),"N/A")</f>
        <v/>
      </c>
      <c r="S57" s="50">
        <f>IFERROR(IF(INDEX('AC&amp;M'!$M$10:$M$14,MATCH($F57,'AC&amp;M'!$B$10:$B$14,0))="","Cell will autofill based on response",INDEX('AC&amp;M'!$M$10:$M$14,MATCH($F57,'AC&amp;M'!$B$10:$B$14,0))),"N/A")</f>
        <v/>
      </c>
      <c r="T57" s="50">
        <f>IFERROR(IF(INDEX('GCE'!$M$10:$M$12,MATCH($F57,'GCE'!$B$10:$B$12,0))="","Cell will autofill based on response",INDEX('GCE'!$M$10:$M$12,MATCH($F57,'GCE'!$B$10:$B$12,0))),"N/A")</f>
        <v/>
      </c>
      <c r="U57" s="50">
        <f>IFERROR(IF(INDEX('Education'!$M$10:$M$13,MATCH($F57,'Education'!$B$10:$B$13,0))="","Cell will autofill based on response",INDEX('Education'!$M$10:$M$13,MATCH($F57,'Education'!$B$10:$B$13,0))),"N/A")</f>
        <v/>
      </c>
      <c r="V57" s="50">
        <f>IFERROR(IF(INDEX('SaSS'!$M$10:$M$12,MATCH($F57,'SaSS'!$B$10:$B$12,0))="","Cell will autofill based on response",INDEX('SaSS'!$M$10:$M$12,MATCH($F57,'SaSS'!$B$10:$B$12,0))),"N/A")</f>
        <v/>
      </c>
      <c r="W57" s="50">
        <f>IFERROR(IF(INDEX('Indigenous'!$M$10:$M$11,MATCH($F57,'Indigenous'!$B$10:$B$11,0))="","Cell will autofill based on response",INDEX('Indigenous'!$M$10:$M$11,MATCH($F57,'Indigenous'!$B$10:$B$11,0))),"N/A")</f>
        <v/>
      </c>
      <c r="X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IFERROR(IF(INDEX('CI&amp;S'!$N$10:$N$15,MATCH($F58,'CI&amp;S'!$B$10:$B$15,0))="","Cell will autofill based on response",INDEX('CI&amp;S'!$N$10:$N$15,MATCH($F58,'CI&amp;S'!$B$10:$B$15,0))),"N/A")</f>
        <v/>
      </c>
      <c r="M58" s="50">
        <f>IFERROR(IF(INDEX('CI&amp;S'!$N$22:$N$36,MATCH($F58,'CI&amp;S'!$B$22:$B$36,0))="","Cell will autofill based on response",INDEX('CI&amp;S'!$N$22:$N$36,MATCH($F58,'CI&amp;S'!$B$22:$B$36,0))),"N/A")</f>
        <v/>
      </c>
      <c r="N58" s="50">
        <f>IFERROR(IF(INDEX('CFOG'!$N$10:$N$16,MATCH($F58,'CFOG'!$B$10:$B$16,0))="","Cell will autofill based on response",INDEX('CFOG'!$N$10:$N$16,MATCH($F58,'CFOG'!$B$10:$B$16,0))),"N/A")</f>
        <v/>
      </c>
      <c r="O58" s="50">
        <f>IFERROR(IF(INDEX('CFOG'!$N$23:$N$24,MATCH($F58,'CFOG'!$B$23:$B$24,0))="","Cell will autofill based on response",INDEX('CFOG'!$N$23:$N$24,MATCH($F58,'CFOG'!$B$23:$B$24,0))),"N/A")</f>
        <v/>
      </c>
      <c r="P58" s="50">
        <f>IFERROR(IF(INDEX('ESG'!$N$10:$N$17,MATCH($F58,'ESG'!$B$10:$B$17,0))="","Cell will autofill based on response",INDEX('ESG'!$N$10:$N$17,MATCH($F58,'ESG'!$B$10:$B$17,0))),"N/A")</f>
        <v/>
      </c>
      <c r="Q58" s="50">
        <f>IFERROR(IF(INDEX('CIOG'!$N$10:$N$14,MATCH($F58,'CIOG'!$B$10:$B$14,0))="","Cell will autofill based on response",INDEX('CIOG'!$N$10:$N$14,MATCH($F58,'CIOG'!$B$10:$B$14,0))),"N/A")</f>
        <v/>
      </c>
      <c r="R58" s="50">
        <f>IFERROR(IF(INDEX('MRE'!$N$10:$N$18,MATCH($F58,'MRE'!$B$10:$B$18,0))="","Cell will autofill based on response",INDEX('MRE'!$N$10:$N$18,MATCH($F58,'MRE'!$B$10:$B$18,0))),"N/A")</f>
        <v/>
      </c>
      <c r="S58" s="50">
        <f>IFERROR(IF(INDEX('AC&amp;M'!$N$10:$N$14,MATCH($F58,'AC&amp;M'!$B$10:$B$14,0))="","Cell will autofill based on response",INDEX('AC&amp;M'!$N$10:$N$14,MATCH($F58,'AC&amp;M'!$B$10:$B$14,0))),"N/A")</f>
        <v/>
      </c>
      <c r="T58" s="50">
        <f>IFERROR(IF(INDEX('GCE'!$N$10:$N$12,MATCH($F58,'GCE'!$B$10:$B$12,0))="","Cell will autofill based on response",INDEX('GCE'!$N$10:$N$12,MATCH($F58,'GCE'!$B$10:$B$12,0))),"N/A")</f>
        <v/>
      </c>
      <c r="U58" s="50">
        <f>IFERROR(IF(INDEX('Education'!$N$10:$N$13,MATCH($F58,'Education'!$B$10:$B$13,0))="","Cell will autofill based on response",INDEX('Education'!$N$10:$N$13,MATCH($F58,'Education'!$B$10:$B$13,0))),"N/A")</f>
        <v/>
      </c>
      <c r="V58" s="50">
        <f>IFERROR(IF(INDEX('SaSS'!$N$10:$N$12,MATCH($F58,'SaSS'!$B$10:$B$12,0))="","Cell will autofill based on response",INDEX('SaSS'!$N$10:$N$12,MATCH($F58,'SaSS'!$B$10:$B$12,0))),"N/A")</f>
        <v/>
      </c>
      <c r="W58" s="50">
        <f>IFERROR(IF(INDEX('Indigenous'!$N$10:$N$11,MATCH($F58,'Indigenous'!$B$10:$B$11,0))="","Cell will autofill based on response",INDEX('Indigenous'!$N$10:$N$11,MATCH($F58,'Indigenous'!$B$10:$B$11,0))),"N/A")</f>
        <v/>
      </c>
      <c r="X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IFERROR(IF(INDEX('CI&amp;S'!$O$10:$O$15,MATCH($F59,'CI&amp;S'!$B$10:$B$15,0))="","Cell will autofill based on response",INDEX('CI&amp;S'!$O$10:$O$15,MATCH($F59,'CI&amp;S'!$B$10:$B$15,0))),"N/A")</f>
        <v/>
      </c>
      <c r="M59" s="50">
        <f>IFERROR(IF(INDEX('CI&amp;S'!$O$22:$O$36,MATCH($F59,'CI&amp;S'!$B$22:$B$36,0))="","Cell will autofill based on response",INDEX('CI&amp;S'!$O$22:$O$36,MATCH($F59,'CI&amp;S'!$B$22:$B$36,0))),"N/A")</f>
        <v/>
      </c>
      <c r="N59" s="50">
        <f>IFERROR(IF(INDEX('CFOG'!$O$10:$O$16,MATCH($F59,'CFOG'!$B$10:$B$16,0))="","Cell will autofill based on response",INDEX('CFOG'!$O$10:$O$16,MATCH($F59,'CFOG'!$B$10:$B$16,0))),"N/A")</f>
        <v/>
      </c>
      <c r="O59" s="50">
        <f>IFERROR(IF(INDEX('CFOG'!$O$23:$O$24,MATCH($F59,'CFOG'!$B$23:$B$24,0))="","Cell will autofill based on response",INDEX('CFOG'!$O$23:$O$24,MATCH($F59,'CFOG'!$B$23:$B$24,0))),"N/A")</f>
        <v/>
      </c>
      <c r="P59" s="50">
        <f>IFERROR(IF(INDEX('ESG'!$O$10:$O$17,MATCH($F59,'ESG'!$B$10:$B$17,0))="","Cell will autofill based on response",INDEX('ESG'!$O$10:$O$17,MATCH($F59,'ESG'!$B$10:$B$17,0))),"N/A")</f>
        <v/>
      </c>
      <c r="Q59" s="50">
        <f>IFERROR(IF(INDEX('CIOG'!$O$10:$O$14,MATCH($F59,'CIOG'!$B$10:$B$14,0))="","Cell will autofill based on response",INDEX('CIOG'!$O$10:$O$14,MATCH($F59,'CIOG'!$B$10:$B$14,0))),"N/A")</f>
        <v/>
      </c>
      <c r="R59" s="50">
        <f>IFERROR(IF(INDEX('MRE'!$O$10:$O$18,MATCH($F59,'MRE'!$B$10:$B$18,0))="","Cell will autofill based on response",INDEX('MRE'!$O$10:$O$18,MATCH($F59,'MRE'!$B$10:$B$18,0))),"N/A")</f>
        <v/>
      </c>
      <c r="S59" s="50">
        <f>IFERROR(IF(INDEX('AC&amp;M'!$O$10:$O$14,MATCH($F59,'AC&amp;M'!$B$10:$B$14,0))="","Cell will autofill based on response",INDEX('AC&amp;M'!$O$10:$O$14,MATCH($F59,'AC&amp;M'!$B$10:$B$14,0))),"N/A")</f>
        <v/>
      </c>
      <c r="T59" s="50">
        <f>IFERROR(IF(INDEX('GCE'!$O$10:$O$12,MATCH($F59,'GCE'!$B$10:$B$12,0))="","Cell will autofill based on response",INDEX('GCE'!$O$10:$O$12,MATCH($F59,'GCE'!$B$10:$B$12,0))),"N/A")</f>
        <v/>
      </c>
      <c r="U59" s="50">
        <f>IFERROR(IF(INDEX('Education'!$O$10:$O$13,MATCH($F59,'Education'!$B$10:$B$13,0))="","Cell will autofill based on response",INDEX('Education'!$O$10:$O$13,MATCH($F59,'Education'!$B$10:$B$13,0))),"N/A")</f>
        <v/>
      </c>
      <c r="V59" s="50">
        <f>IFERROR(IF(INDEX('SaSS'!$O$10:$O$12,MATCH($F59,'SaSS'!$B$10:$B$12,0))="","Cell will autofill based on response",INDEX('SaSS'!$O$10:$O$12,MATCH($F59,'SaSS'!$B$10:$B$12,0))),"N/A")</f>
        <v/>
      </c>
      <c r="W59" s="50">
        <f>IFERROR(IF(INDEX('Indigenous'!$O$10:$O$11,MATCH($F59,'Indigenous'!$B$10:$B$11,0))="","Cell will autofill based on response",INDEX('Indigenous'!$O$10:$O$11,MATCH($F59,'Indigenous'!$B$10:$B$11,0))),"N/A")</f>
        <v/>
      </c>
      <c r="X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IFERROR(IF(INDEX('CI&amp;S'!$P$10:$P$15,MATCH($F60,'CI&amp;S'!$B$10:$B$15,0))="","Cell will autofill based on response",INDEX('CI&amp;S'!$P$10:$P$15,MATCH($F60,'CI&amp;S'!$B$10:$B$15,0))),"N/A")</f>
        <v/>
      </c>
      <c r="M60" s="50">
        <f>IFERROR(IF(INDEX('CI&amp;S'!$P$22:$P$36,MATCH($F60,'CI&amp;S'!$B$22:$B$36,0))="","Cell will autofill based on response",INDEX('CI&amp;S'!$P$22:$P$36,MATCH($F60,'CI&amp;S'!$B$22:$B$36,0))),"N/A")</f>
        <v/>
      </c>
      <c r="N60" s="50">
        <f>IFERROR(IF(INDEX('CFOG'!$P$10:$P$16,MATCH($F60,'CFOG'!$B$10:$B$16,0))="","Cell will autofill based on response",INDEX('CFOG'!$P$10:$P$16,MATCH($F60,'CFOG'!$B$10:$B$16,0))),"N/A")</f>
        <v/>
      </c>
      <c r="O60" s="50">
        <f>IFERROR(IF(INDEX('CFOG'!$P$23:$P$24,MATCH($F60,'CFOG'!$B$23:$B$24,0))="","Cell will autofill based on response",INDEX('CFOG'!$P$23:$P$24,MATCH($F60,'CFOG'!$B$23:$B$24,0))),"N/A")</f>
        <v/>
      </c>
      <c r="P60" s="50">
        <f>IFERROR(IF(INDEX('ESG'!$P$10:$P$17,MATCH($F60,'ESG'!$B$10:$B$17,0))="","Cell will autofill based on response",INDEX('ESG'!$P$10:$P$17,MATCH($F60,'ESG'!$B$10:$B$17,0))),"N/A")</f>
        <v/>
      </c>
      <c r="Q60" s="50">
        <f>IFERROR(IF(INDEX('CIOG'!$P$10:$P$14,MATCH($F60,'CIOG'!$B$10:$B$14,0))="","Cell will autofill based on response",INDEX('CIOG'!$P$10:$P$14,MATCH($F60,'CIOG'!$B$10:$B$14,0))),"N/A")</f>
        <v/>
      </c>
      <c r="R60" s="50">
        <f>IFERROR(IF(INDEX('MRE'!$P$10:$P$18,MATCH($F60,'MRE'!$B$10:$B$18,0))="","Cell will autofill based on response",INDEX('MRE'!$P$10:$P$18,MATCH($F60,'MRE'!$B$10:$B$18,0))),"N/A")</f>
        <v/>
      </c>
      <c r="S60" s="50">
        <f>IFERROR(IF(INDEX('AC&amp;M'!$P$10:$P$14,MATCH($F60,'AC&amp;M'!$B$10:$B$14,0))="","Cell will autofill based on response",INDEX('AC&amp;M'!$P$10:$P$14,MATCH($F60,'AC&amp;M'!$B$10:$B$14,0))),"N/A")</f>
        <v/>
      </c>
      <c r="T60" s="50">
        <f>IFERROR(IF(INDEX('GCE'!$P$10:$P$12,MATCH($F60,'GCE'!$B$10:$B$12,0))="","Cell will autofill based on response",INDEX('GCE'!$P$10:$P$12,MATCH($F60,'GCE'!$B$10:$B$12,0))),"N/A")</f>
        <v/>
      </c>
      <c r="U60" s="50">
        <f>IFERROR(IF(INDEX('Education'!$P$10:$P$13,MATCH($F60,'Education'!$B$10:$B$13,0))="","Cell will autofill based on response",INDEX('Education'!$P$10:$P$13,MATCH($F60,'Education'!$B$10:$B$13,0))),"N/A")</f>
        <v/>
      </c>
      <c r="V60" s="50">
        <f>IFERROR(IF(INDEX('SaSS'!$P$10:$P$12,MATCH($F60,'SaSS'!$B$10:$B$12,0))="","Cell will autofill based on response",INDEX('SaSS'!$P$10:$P$12,MATCH($F60,'SaSS'!$B$10:$B$12,0))),"N/A")</f>
        <v/>
      </c>
      <c r="W60" s="50">
        <f>IFERROR(IF(INDEX('Indigenous'!$P$10:$P$11,MATCH($F60,'Indigenous'!$B$10:$B$11,0))="","Cell will autofill based on response",INDEX('Indigenous'!$P$10:$P$11,MATCH($F60,'Indigenous'!$B$10:$B$11,0))),"N/A")</f>
        <v/>
      </c>
      <c r="X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IFERROR(IF(INDEX('CI&amp;S'!$L$10:$L$15,MATCH($F61,'CI&amp;S'!$B$10:$B$15,0))="","Cell will autofill based on response",INDEX('CI&amp;S'!$L$10:$L$15,MATCH($F61,'CI&amp;S'!$B$10:$B$15,0))),"N/A")</f>
        <v/>
      </c>
      <c r="M61" s="50">
        <f>IFERROR(IF(INDEX('CI&amp;S'!$L$22:$L$36,MATCH($F61,'CI&amp;S'!$B$22:$B$36,0))="","Cell will autofill based on response",INDEX('CI&amp;S'!$L$22:$L$36,MATCH($F61,'CI&amp;S'!$B$22:$B$36,0))),"N/A")</f>
        <v/>
      </c>
      <c r="N61" s="50">
        <f>IFERROR(IF(INDEX('CFOG'!$L$10:$L$16,MATCH($F61,'CFOG'!$B$10:$B$16,0))="","Cell will autofill based on response",INDEX('CFOG'!$L$10:$L$16,MATCH($F61,'CFOG'!$B$10:$B$16,0))),"N/A")</f>
        <v/>
      </c>
      <c r="O61" s="50">
        <f>IFERROR(IF(INDEX('CFOG'!$L$23:$L$24,MATCH($F61,'CFOG'!$B$23:$B$24,0))="","Cell will autofill based on response",INDEX('CFOG'!$L$23:$L$24,MATCH($F61,'CFOG'!$B$23:$B$24,0))),"N/A")</f>
        <v/>
      </c>
      <c r="P61" s="50">
        <f>IFERROR(IF(INDEX('ESG'!$L$10:$L$17,MATCH($F61,'ESG'!$B$10:$B$17,0))="","Cell will autofill based on response",INDEX('ESG'!$L$10:$L$17,MATCH($F61,'ESG'!$B$10:$B$17,0))),"N/A")</f>
        <v/>
      </c>
      <c r="Q61" s="50">
        <f>IFERROR(IF(INDEX('CIOG'!$L$10:$L$14,MATCH($F61,'CIOG'!$B$10:$B$14,0))="","Cell will autofill based on response",INDEX('CIOG'!$L$10:$L$14,MATCH($F61,'CIOG'!$B$10:$B$14,0))),"N/A")</f>
        <v/>
      </c>
      <c r="R61" s="50">
        <f>IFERROR(IF(INDEX('MRE'!$L$10:$L$18,MATCH($F61,'MRE'!$B$10:$B$18,0))="","Cell will autofill based on response",INDEX('MRE'!$L$10:$L$18,MATCH($F61,'MRE'!$B$10:$B$18,0))),"N/A")</f>
        <v/>
      </c>
      <c r="S61" s="50">
        <f>IFERROR(IF(INDEX('AC&amp;M'!$L$10:$L$14,MATCH($F61,'AC&amp;M'!$B$10:$B$14,0))="","Cell will autofill based on response",INDEX('AC&amp;M'!$L$10:$L$14,MATCH($F61,'AC&amp;M'!$B$10:$B$14,0))),"N/A")</f>
        <v/>
      </c>
      <c r="T61" s="50">
        <f>IFERROR(IF(INDEX('GCE'!$L$10:$L$12,MATCH($F61,'GCE'!$B$10:$B$12,0))="","Cell will autofill based on response",INDEX('GCE'!$L$10:$L$12,MATCH($F61,'GCE'!$B$10:$B$12,0))),"N/A")</f>
        <v/>
      </c>
      <c r="U61" s="50">
        <f>IFERROR(IF(INDEX('Education'!$L$10:$L$13,MATCH($F61,'Education'!$B$10:$B$13,0))="","Cell will autofill based on response",INDEX('Education'!$L$10:$L$13,MATCH($F61,'Education'!$B$10:$B$13,0))),"N/A")</f>
        <v/>
      </c>
      <c r="V61" s="50">
        <f>IFERROR(IF(INDEX('SaSS'!$L$10:$L$12,MATCH($F61,'SaSS'!$B$10:$B$12,0))="","Cell will autofill based on response",INDEX('SaSS'!$L$10:$L$12,MATCH($F61,'SaSS'!$B$10:$B$12,0))),"N/A")</f>
        <v/>
      </c>
      <c r="W61" s="50">
        <f>IFERROR(IF(INDEX('Indigenous'!$L$10:$L$11,MATCH($F61,'Indigenous'!$B$10:$B$11,0))="","Cell will autofill based on response",INDEX('Indigenous'!$L$10:$L$11,MATCH($F61,'Indigenous'!$B$10:$B$11,0))),"N/A")</f>
        <v/>
      </c>
      <c r="X61" s="50">
        <f>IFERROR(IF(INDEX('L&amp;R'!$L$10:$L$11,MATCH($F61,'L&amp;R'!$B$10:$B$11,0))="","Cell will autofill based on response",INDEX('L&amp;R'!$L$10:$L$11,MATCH($F61,'L&amp;R'!$B$10:$B$11,0))),"N/A")</f>
        <v/>
      </c>
      <c r="Z61" s="8">
        <f>SUMPRODUCT(--($H61:$X61&lt;&gt;"N/A"))</f>
        <v/>
      </c>
      <c r="AA61" s="8">
        <f>SUMPRODUCT(--(((($H61:$X61&lt;&gt;"N/A")*($H61:$X61&lt;&gt;"Cell will autofill based on response"))+(($H62:$X62&lt;&gt;"N/A")*($H62:$X62&lt;&gt;"Cell will autofill based on response")))&gt;0))</f>
        <v/>
      </c>
      <c r="AB61" s="8">
        <f>Z61-AA61</f>
        <v/>
      </c>
      <c r="AC61" s="8">
        <f>COUNTIF($H65:$X65,"Yes")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IFERROR(IF(INDEX('CI&amp;S'!$M$10:$M$15,MATCH($F62,'CI&amp;S'!$B$10:$B$15,0))="","Cell will autofill based on response",INDEX('CI&amp;S'!$M$10:$M$15,MATCH($F62,'CI&amp;S'!$B$10:$B$15,0))),"N/A")</f>
        <v/>
      </c>
      <c r="M62" s="50">
        <f>IFERROR(IF(INDEX('CI&amp;S'!$M$22:$M$36,MATCH($F62,'CI&amp;S'!$B$22:$B$36,0))="","Cell will autofill based on response",INDEX('CI&amp;S'!$M$22:$M$36,MATCH($F62,'CI&amp;S'!$B$22:$B$36,0))),"N/A")</f>
        <v/>
      </c>
      <c r="N62" s="50">
        <f>IFERROR(IF(INDEX('CFOG'!$M$10:$M$16,MATCH($F62,'CFOG'!$B$10:$B$16,0))="","Cell will autofill based on response",INDEX('CFOG'!$M$10:$M$16,MATCH($F62,'CFOG'!$B$10:$B$16,0))),"N/A")</f>
        <v/>
      </c>
      <c r="O62" s="50">
        <f>IFERROR(IF(INDEX('CFOG'!$M$23:$M$24,MATCH($F62,'CFOG'!$B$23:$B$24,0))="","Cell will autofill based on response",INDEX('CFOG'!$M$23:$M$24,MATCH($F62,'CFOG'!$B$23:$B$24,0))),"N/A")</f>
        <v/>
      </c>
      <c r="P62" s="50">
        <f>IFERROR(IF(INDEX('ESG'!$M$10:$M$17,MATCH($F62,'ESG'!$B$10:$B$17,0))="","Cell will autofill based on response",INDEX('ESG'!$M$10:$M$17,MATCH($F62,'ESG'!$B$10:$B$17,0))),"N/A")</f>
        <v/>
      </c>
      <c r="Q62" s="50">
        <f>IFERROR(IF(INDEX('CIOG'!$M$10:$M$14,MATCH($F62,'CIOG'!$B$10:$B$14,0))="","Cell will autofill based on response",INDEX('CIOG'!$M$10:$M$14,MATCH($F62,'CIOG'!$B$10:$B$14,0))),"N/A")</f>
        <v/>
      </c>
      <c r="R62" s="50">
        <f>IFERROR(IF(INDEX('MRE'!$M$10:$M$18,MATCH($F62,'MRE'!$B$10:$B$18,0))="","Cell will autofill based on response",INDEX('MRE'!$M$10:$M$18,MATCH($F62,'MRE'!$B$10:$B$18,0))),"N/A")</f>
        <v/>
      </c>
      <c r="S62" s="50">
        <f>IFERROR(IF(INDEX('AC&amp;M'!$M$10:$M$14,MATCH($F62,'AC&amp;M'!$B$10:$B$14,0))="","Cell will autofill based on response",INDEX('AC&amp;M'!$M$10:$M$14,MATCH($F62,'AC&amp;M'!$B$10:$B$14,0))),"N/A")</f>
        <v/>
      </c>
      <c r="T62" s="50">
        <f>IFERROR(IF(INDEX('GCE'!$M$10:$M$12,MATCH($F62,'GCE'!$B$10:$B$12,0))="","Cell will autofill based on response",INDEX('GCE'!$M$10:$M$12,MATCH($F62,'GCE'!$B$10:$B$12,0))),"N/A")</f>
        <v/>
      </c>
      <c r="U62" s="50">
        <f>IFERROR(IF(INDEX('Education'!$M$10:$M$13,MATCH($F62,'Education'!$B$10:$B$13,0))="","Cell will autofill based on response",INDEX('Education'!$M$10:$M$13,MATCH($F62,'Education'!$B$10:$B$13,0))),"N/A")</f>
        <v/>
      </c>
      <c r="V62" s="50">
        <f>IFERROR(IF(INDEX('SaSS'!$M$10:$M$12,MATCH($F62,'SaSS'!$B$10:$B$12,0))="","Cell will autofill based on response",INDEX('SaSS'!$M$10:$M$12,MATCH($F62,'SaSS'!$B$10:$B$12,0))),"N/A")</f>
        <v/>
      </c>
      <c r="W62" s="50">
        <f>IFERROR(IF(INDEX('Indigenous'!$M$10:$M$11,MATCH($F62,'Indigenous'!$B$10:$B$11,0))="","Cell will autofill based on response",INDEX('Indigenous'!$M$10:$M$11,MATCH($F62,'Indigenous'!$B$10:$B$11,0))),"N/A")</f>
        <v/>
      </c>
      <c r="X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IFERROR(IF(INDEX('CI&amp;S'!$N$10:$N$15,MATCH($F63,'CI&amp;S'!$B$10:$B$15,0))="","Cell will autofill based on response",INDEX('CI&amp;S'!$N$10:$N$15,MATCH($F63,'CI&amp;S'!$B$10:$B$15,0))),"N/A")</f>
        <v/>
      </c>
      <c r="M63" s="50">
        <f>IFERROR(IF(INDEX('CI&amp;S'!$N$22:$N$36,MATCH($F63,'CI&amp;S'!$B$22:$B$36,0))="","Cell will autofill based on response",INDEX('CI&amp;S'!$N$22:$N$36,MATCH($F63,'CI&amp;S'!$B$22:$B$36,0))),"N/A")</f>
        <v/>
      </c>
      <c r="N63" s="50">
        <f>IFERROR(IF(INDEX('CFOG'!$N$10:$N$16,MATCH($F63,'CFOG'!$B$10:$B$16,0))="","Cell will autofill based on response",INDEX('CFOG'!$N$10:$N$16,MATCH($F63,'CFOG'!$B$10:$B$16,0))),"N/A")</f>
        <v/>
      </c>
      <c r="O63" s="50">
        <f>IFERROR(IF(INDEX('CFOG'!$N$23:$N$24,MATCH($F63,'CFOG'!$B$23:$B$24,0))="","Cell will autofill based on response",INDEX('CFOG'!$N$23:$N$24,MATCH($F63,'CFOG'!$B$23:$B$24,0))),"N/A")</f>
        <v/>
      </c>
      <c r="P63" s="50">
        <f>IFERROR(IF(INDEX('ESG'!$N$10:$N$17,MATCH($F63,'ESG'!$B$10:$B$17,0))="","Cell will autofill based on response",INDEX('ESG'!$N$10:$N$17,MATCH($F63,'ESG'!$B$10:$B$17,0))),"N/A")</f>
        <v/>
      </c>
      <c r="Q63" s="50">
        <f>IFERROR(IF(INDEX('CIOG'!$N$10:$N$14,MATCH($F63,'CIOG'!$B$10:$B$14,0))="","Cell will autofill based on response",INDEX('CIOG'!$N$10:$N$14,MATCH($F63,'CIOG'!$B$10:$B$14,0))),"N/A")</f>
        <v/>
      </c>
      <c r="R63" s="50">
        <f>IFERROR(IF(INDEX('MRE'!$N$10:$N$18,MATCH($F63,'MRE'!$B$10:$B$18,0))="","Cell will autofill based on response",INDEX('MRE'!$N$10:$N$18,MATCH($F63,'MRE'!$B$10:$B$18,0))),"N/A")</f>
        <v/>
      </c>
      <c r="S63" s="50">
        <f>IFERROR(IF(INDEX('AC&amp;M'!$N$10:$N$14,MATCH($F63,'AC&amp;M'!$B$10:$B$14,0))="","Cell will autofill based on response",INDEX('AC&amp;M'!$N$10:$N$14,MATCH($F63,'AC&amp;M'!$B$10:$B$14,0))),"N/A")</f>
        <v/>
      </c>
      <c r="T63" s="50">
        <f>IFERROR(IF(INDEX('GCE'!$N$10:$N$12,MATCH($F63,'GCE'!$B$10:$B$12,0))="","Cell will autofill based on response",INDEX('GCE'!$N$10:$N$12,MATCH($F63,'GCE'!$B$10:$B$12,0))),"N/A")</f>
        <v/>
      </c>
      <c r="U63" s="50">
        <f>IFERROR(IF(INDEX('Education'!$N$10:$N$13,MATCH($F63,'Education'!$B$10:$B$13,0))="","Cell will autofill based on response",INDEX('Education'!$N$10:$N$13,MATCH($F63,'Education'!$B$10:$B$13,0))),"N/A")</f>
        <v/>
      </c>
      <c r="V63" s="50">
        <f>IFERROR(IF(INDEX('SaSS'!$N$10:$N$12,MATCH($F63,'SaSS'!$B$10:$B$12,0))="","Cell will autofill based on response",INDEX('SaSS'!$N$10:$N$12,MATCH($F63,'SaSS'!$B$10:$B$12,0))),"N/A")</f>
        <v/>
      </c>
      <c r="W63" s="50">
        <f>IFERROR(IF(INDEX('Indigenous'!$N$10:$N$11,MATCH($F63,'Indigenous'!$B$10:$B$11,0))="","Cell will autofill based on response",INDEX('Indigenous'!$N$10:$N$11,MATCH($F63,'Indigenous'!$B$10:$B$11,0))),"N/A")</f>
        <v/>
      </c>
      <c r="X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IFERROR(IF(INDEX('CI&amp;S'!$O$10:$O$15,MATCH($F64,'CI&amp;S'!$B$10:$B$15,0))="","Cell will autofill based on response",INDEX('CI&amp;S'!$O$10:$O$15,MATCH($F64,'CI&amp;S'!$B$10:$B$15,0))),"N/A")</f>
        <v/>
      </c>
      <c r="M64" s="50">
        <f>IFERROR(IF(INDEX('CI&amp;S'!$O$22:$O$36,MATCH($F64,'CI&amp;S'!$B$22:$B$36,0))="","Cell will autofill based on response",INDEX('CI&amp;S'!$O$22:$O$36,MATCH($F64,'CI&amp;S'!$B$22:$B$36,0))),"N/A")</f>
        <v/>
      </c>
      <c r="N64" s="50">
        <f>IFERROR(IF(INDEX('CFOG'!$O$10:$O$16,MATCH($F64,'CFOG'!$B$10:$B$16,0))="","Cell will autofill based on response",INDEX('CFOG'!$O$10:$O$16,MATCH($F64,'CFOG'!$B$10:$B$16,0))),"N/A")</f>
        <v/>
      </c>
      <c r="O64" s="50">
        <f>IFERROR(IF(INDEX('CFOG'!$O$23:$O$24,MATCH($F64,'CFOG'!$B$23:$B$24,0))="","Cell will autofill based on response",INDEX('CFOG'!$O$23:$O$24,MATCH($F64,'CFOG'!$B$23:$B$24,0))),"N/A")</f>
        <v/>
      </c>
      <c r="P64" s="50">
        <f>IFERROR(IF(INDEX('ESG'!$O$10:$O$17,MATCH($F64,'ESG'!$B$10:$B$17,0))="","Cell will autofill based on response",INDEX('ESG'!$O$10:$O$17,MATCH($F64,'ESG'!$B$10:$B$17,0))),"N/A")</f>
        <v/>
      </c>
      <c r="Q64" s="50">
        <f>IFERROR(IF(INDEX('CIOG'!$O$10:$O$14,MATCH($F64,'CIOG'!$B$10:$B$14,0))="","Cell will autofill based on response",INDEX('CIOG'!$O$10:$O$14,MATCH($F64,'CIOG'!$B$10:$B$14,0))),"N/A")</f>
        <v/>
      </c>
      <c r="R64" s="50">
        <f>IFERROR(IF(INDEX('MRE'!$O$10:$O$18,MATCH($F64,'MRE'!$B$10:$B$18,0))="","Cell will autofill based on response",INDEX('MRE'!$O$10:$O$18,MATCH($F64,'MRE'!$B$10:$B$18,0))),"N/A")</f>
        <v/>
      </c>
      <c r="S64" s="50">
        <f>IFERROR(IF(INDEX('AC&amp;M'!$O$10:$O$14,MATCH($F64,'AC&amp;M'!$B$10:$B$14,0))="","Cell will autofill based on response",INDEX('AC&amp;M'!$O$10:$O$14,MATCH($F64,'AC&amp;M'!$B$10:$B$14,0))),"N/A")</f>
        <v/>
      </c>
      <c r="T64" s="50">
        <f>IFERROR(IF(INDEX('GCE'!$O$10:$O$12,MATCH($F64,'GCE'!$B$10:$B$12,0))="","Cell will autofill based on response",INDEX('GCE'!$O$10:$O$12,MATCH($F64,'GCE'!$B$10:$B$12,0))),"N/A")</f>
        <v/>
      </c>
      <c r="U64" s="50">
        <f>IFERROR(IF(INDEX('Education'!$O$10:$O$13,MATCH($F64,'Education'!$B$10:$B$13,0))="","Cell will autofill based on response",INDEX('Education'!$O$10:$O$13,MATCH($F64,'Education'!$B$10:$B$13,0))),"N/A")</f>
        <v/>
      </c>
      <c r="V64" s="50">
        <f>IFERROR(IF(INDEX('SaSS'!$O$10:$O$12,MATCH($F64,'SaSS'!$B$10:$B$12,0))="","Cell will autofill based on response",INDEX('SaSS'!$O$10:$O$12,MATCH($F64,'SaSS'!$B$10:$B$12,0))),"N/A")</f>
        <v/>
      </c>
      <c r="W64" s="50">
        <f>IFERROR(IF(INDEX('Indigenous'!$O$10:$O$11,MATCH($F64,'Indigenous'!$B$10:$B$11,0))="","Cell will autofill based on response",INDEX('Indigenous'!$O$10:$O$11,MATCH($F64,'Indigenous'!$B$10:$B$11,0))),"N/A")</f>
        <v/>
      </c>
      <c r="X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IFERROR(IF(INDEX('CI&amp;S'!$P$10:$P$15,MATCH($F65,'CI&amp;S'!$B$10:$B$15,0))="","Cell will autofill based on response",INDEX('CI&amp;S'!$P$10:$P$15,MATCH($F65,'CI&amp;S'!$B$10:$B$15,0))),"N/A")</f>
        <v/>
      </c>
      <c r="M65" s="50">
        <f>IFERROR(IF(INDEX('CI&amp;S'!$P$22:$P$36,MATCH($F65,'CI&amp;S'!$B$22:$B$36,0))="","Cell will autofill based on response",INDEX('CI&amp;S'!$P$22:$P$36,MATCH($F65,'CI&amp;S'!$B$22:$B$36,0))),"N/A")</f>
        <v/>
      </c>
      <c r="N65" s="50">
        <f>IFERROR(IF(INDEX('CFOG'!$P$10:$P$16,MATCH($F65,'CFOG'!$B$10:$B$16,0))="","Cell will autofill based on response",INDEX('CFOG'!$P$10:$P$16,MATCH($F65,'CFOG'!$B$10:$B$16,0))),"N/A")</f>
        <v/>
      </c>
      <c r="O65" s="50">
        <f>IFERROR(IF(INDEX('CFOG'!$P$23:$P$24,MATCH($F65,'CFOG'!$B$23:$B$24,0))="","Cell will autofill based on response",INDEX('CFOG'!$P$23:$P$24,MATCH($F65,'CFOG'!$B$23:$B$24,0))),"N/A")</f>
        <v/>
      </c>
      <c r="P65" s="50">
        <f>IFERROR(IF(INDEX('ESG'!$P$10:$P$17,MATCH($F65,'ESG'!$B$10:$B$17,0))="","Cell will autofill based on response",INDEX('ESG'!$P$10:$P$17,MATCH($F65,'ESG'!$B$10:$B$17,0))),"N/A")</f>
        <v/>
      </c>
      <c r="Q65" s="50">
        <f>IFERROR(IF(INDEX('CIOG'!$P$10:$P$14,MATCH($F65,'CIOG'!$B$10:$B$14,0))="","Cell will autofill based on response",INDEX('CIOG'!$P$10:$P$14,MATCH($F65,'CIOG'!$B$10:$B$14,0))),"N/A")</f>
        <v/>
      </c>
      <c r="R65" s="50">
        <f>IFERROR(IF(INDEX('MRE'!$P$10:$P$18,MATCH($F65,'MRE'!$B$10:$B$18,0))="","Cell will autofill based on response",INDEX('MRE'!$P$10:$P$18,MATCH($F65,'MRE'!$B$10:$B$18,0))),"N/A")</f>
        <v/>
      </c>
      <c r="S65" s="50">
        <f>IFERROR(IF(INDEX('AC&amp;M'!$P$10:$P$14,MATCH($F65,'AC&amp;M'!$B$10:$B$14,0))="","Cell will autofill based on response",INDEX('AC&amp;M'!$P$10:$P$14,MATCH($F65,'AC&amp;M'!$B$10:$B$14,0))),"N/A")</f>
        <v/>
      </c>
      <c r="T65" s="50">
        <f>IFERROR(IF(INDEX('GCE'!$P$10:$P$12,MATCH($F65,'GCE'!$B$10:$B$12,0))="","Cell will autofill based on response",INDEX('GCE'!$P$10:$P$12,MATCH($F65,'GCE'!$B$10:$B$12,0))),"N/A")</f>
        <v/>
      </c>
      <c r="U65" s="50">
        <f>IFERROR(IF(INDEX('Education'!$P$10:$P$13,MATCH($F65,'Education'!$B$10:$B$13,0))="","Cell will autofill based on response",INDEX('Education'!$P$10:$P$13,MATCH($F65,'Education'!$B$10:$B$13,0))),"N/A")</f>
        <v/>
      </c>
      <c r="V65" s="50">
        <f>IFERROR(IF(INDEX('SaSS'!$P$10:$P$12,MATCH($F65,'SaSS'!$B$10:$B$12,0))="","Cell will autofill based on response",INDEX('SaSS'!$P$10:$P$12,MATCH($F65,'SaSS'!$B$10:$B$12,0))),"N/A")</f>
        <v/>
      </c>
      <c r="W65" s="50">
        <f>IFERROR(IF(INDEX('Indigenous'!$P$10:$P$11,MATCH($F65,'Indigenous'!$B$10:$B$11,0))="","Cell will autofill based on response",INDEX('Indigenous'!$P$10:$P$11,MATCH($F65,'Indigenous'!$B$10:$B$11,0))),"N/A")</f>
        <v/>
      </c>
      <c r="X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IFERROR(IF(INDEX('CI&amp;S'!$L$10:$L$15,MATCH($F66,'CI&amp;S'!$B$10:$B$15,0))="","Cell will autofill based on response",INDEX('CI&amp;S'!$L$10:$L$15,MATCH($F66,'CI&amp;S'!$B$10:$B$15,0))),"N/A")</f>
        <v/>
      </c>
      <c r="M66" s="50">
        <f>IFERROR(IF(INDEX('CI&amp;S'!$L$22:$L$36,MATCH($F66,'CI&amp;S'!$B$22:$B$36,0))="","Cell will autofill based on response",INDEX('CI&amp;S'!$L$22:$L$36,MATCH($F66,'CI&amp;S'!$B$22:$B$36,0))),"N/A")</f>
        <v/>
      </c>
      <c r="N66" s="50">
        <f>IFERROR(IF(INDEX('CFOG'!$L$10:$L$16,MATCH($F66,'CFOG'!$B$10:$B$16,0))="","Cell will autofill based on response",INDEX('CFOG'!$L$10:$L$16,MATCH($F66,'CFOG'!$B$10:$B$16,0))),"N/A")</f>
        <v/>
      </c>
      <c r="O66" s="50">
        <f>IFERROR(IF(INDEX('CFOG'!$L$23:$L$24,MATCH($F66,'CFOG'!$B$23:$B$24,0))="","Cell will autofill based on response",INDEX('CFOG'!$L$23:$L$24,MATCH($F66,'CFOG'!$B$23:$B$24,0))),"N/A")</f>
        <v/>
      </c>
      <c r="P66" s="50">
        <f>IFERROR(IF(INDEX('ESG'!$L$10:$L$17,MATCH($F66,'ESG'!$B$10:$B$17,0))="","Cell will autofill based on response",INDEX('ESG'!$L$10:$L$17,MATCH($F66,'ESG'!$B$10:$B$17,0))),"N/A")</f>
        <v/>
      </c>
      <c r="Q66" s="50">
        <f>IFERROR(IF(INDEX('CIOG'!$L$10:$L$14,MATCH($F66,'CIOG'!$B$10:$B$14,0))="","Cell will autofill based on response",INDEX('CIOG'!$L$10:$L$14,MATCH($F66,'CIOG'!$B$10:$B$14,0))),"N/A")</f>
        <v/>
      </c>
      <c r="R66" s="50">
        <f>IFERROR(IF(INDEX('MRE'!$L$10:$L$18,MATCH($F66,'MRE'!$B$10:$B$18,0))="","Cell will autofill based on response",INDEX('MRE'!$L$10:$L$18,MATCH($F66,'MRE'!$B$10:$B$18,0))),"N/A")</f>
        <v/>
      </c>
      <c r="S66" s="50">
        <f>IFERROR(IF(INDEX('AC&amp;M'!$L$10:$L$14,MATCH($F66,'AC&amp;M'!$B$10:$B$14,0))="","Cell will autofill based on response",INDEX('AC&amp;M'!$L$10:$L$14,MATCH($F66,'AC&amp;M'!$B$10:$B$14,0))),"N/A")</f>
        <v/>
      </c>
      <c r="T66" s="50">
        <f>IFERROR(IF(INDEX('GCE'!$L$10:$L$12,MATCH($F66,'GCE'!$B$10:$B$12,0))="","Cell will autofill based on response",INDEX('GCE'!$L$10:$L$12,MATCH($F66,'GCE'!$B$10:$B$12,0))),"N/A")</f>
        <v/>
      </c>
      <c r="U66" s="50">
        <f>IFERROR(IF(INDEX('Education'!$L$10:$L$13,MATCH($F66,'Education'!$B$10:$B$13,0))="","Cell will autofill based on response",INDEX('Education'!$L$10:$L$13,MATCH($F66,'Education'!$B$10:$B$13,0))),"N/A")</f>
        <v/>
      </c>
      <c r="V66" s="50">
        <f>IFERROR(IF(INDEX('SaSS'!$L$10:$L$12,MATCH($F66,'SaSS'!$B$10:$B$12,0))="","Cell will autofill based on response",INDEX('SaSS'!$L$10:$L$12,MATCH($F66,'SaSS'!$B$10:$B$12,0))),"N/A")</f>
        <v/>
      </c>
      <c r="W66" s="50">
        <f>IFERROR(IF(INDEX('Indigenous'!$L$10:$L$11,MATCH($F66,'Indigenous'!$B$10:$B$11,0))="","Cell will autofill based on response",INDEX('Indigenous'!$L$10:$L$11,MATCH($F66,'Indigenous'!$B$10:$B$11,0))),"N/A")</f>
        <v/>
      </c>
      <c r="X66" s="50">
        <f>IFERROR(IF(INDEX('L&amp;R'!$L$10:$L$11,MATCH($F66,'L&amp;R'!$B$10:$B$11,0))="","Cell will autofill based on response",INDEX('L&amp;R'!$L$10:$L$11,MATCH($F66,'L&amp;R'!$B$10:$B$11,0))),"N/A")</f>
        <v/>
      </c>
      <c r="Z66" s="8">
        <f>SUMPRODUCT(--($H66:$X66&lt;&gt;"N/A"))</f>
        <v/>
      </c>
      <c r="AA66" s="8">
        <f>SUMPRODUCT(--(((($H66:$X66&lt;&gt;"N/A")*($H66:$X66&lt;&gt;"Cell will autofill based on response"))+(($H67:$X67&lt;&gt;"N/A")*($H67:$X67&lt;&gt;"Cell will autofill based on response")))&gt;0))</f>
        <v/>
      </c>
      <c r="AB66" s="8">
        <f>Z66-AA66</f>
        <v/>
      </c>
      <c r="AC66" s="8">
        <f>COUNTIF($H70:$X70,"Yes")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IFERROR(IF(INDEX('CI&amp;S'!$M$10:$M$15,MATCH($F67,'CI&amp;S'!$B$10:$B$15,0))="","Cell will autofill based on response",INDEX('CI&amp;S'!$M$10:$M$15,MATCH($F67,'CI&amp;S'!$B$10:$B$15,0))),"N/A")</f>
        <v/>
      </c>
      <c r="M67" s="50">
        <f>IFERROR(IF(INDEX('CI&amp;S'!$M$22:$M$36,MATCH($F67,'CI&amp;S'!$B$22:$B$36,0))="","Cell will autofill based on response",INDEX('CI&amp;S'!$M$22:$M$36,MATCH($F67,'CI&amp;S'!$B$22:$B$36,0))),"N/A")</f>
        <v/>
      </c>
      <c r="N67" s="50">
        <f>IFERROR(IF(INDEX('CFOG'!$M$10:$M$16,MATCH($F67,'CFOG'!$B$10:$B$16,0))="","Cell will autofill based on response",INDEX('CFOG'!$M$10:$M$16,MATCH($F67,'CFOG'!$B$10:$B$16,0))),"N/A")</f>
        <v/>
      </c>
      <c r="O67" s="50">
        <f>IFERROR(IF(INDEX('CFOG'!$M$23:$M$24,MATCH($F67,'CFOG'!$B$23:$B$24,0))="","Cell will autofill based on response",INDEX('CFOG'!$M$23:$M$24,MATCH($F67,'CFOG'!$B$23:$B$24,0))),"N/A")</f>
        <v/>
      </c>
      <c r="P67" s="50">
        <f>IFERROR(IF(INDEX('ESG'!$M$10:$M$17,MATCH($F67,'ESG'!$B$10:$B$17,0))="","Cell will autofill based on response",INDEX('ESG'!$M$10:$M$17,MATCH($F67,'ESG'!$B$10:$B$17,0))),"N/A")</f>
        <v/>
      </c>
      <c r="Q67" s="50">
        <f>IFERROR(IF(INDEX('CIOG'!$M$10:$M$14,MATCH($F67,'CIOG'!$B$10:$B$14,0))="","Cell will autofill based on response",INDEX('CIOG'!$M$10:$M$14,MATCH($F67,'CIOG'!$B$10:$B$14,0))),"N/A")</f>
        <v/>
      </c>
      <c r="R67" s="50">
        <f>IFERROR(IF(INDEX('MRE'!$M$10:$M$18,MATCH($F67,'MRE'!$B$10:$B$18,0))="","Cell will autofill based on response",INDEX('MRE'!$M$10:$M$18,MATCH($F67,'MRE'!$B$10:$B$18,0))),"N/A")</f>
        <v/>
      </c>
      <c r="S67" s="50">
        <f>IFERROR(IF(INDEX('AC&amp;M'!$M$10:$M$14,MATCH($F67,'AC&amp;M'!$B$10:$B$14,0))="","Cell will autofill based on response",INDEX('AC&amp;M'!$M$10:$M$14,MATCH($F67,'AC&amp;M'!$B$10:$B$14,0))),"N/A")</f>
        <v/>
      </c>
      <c r="T67" s="50">
        <f>IFERROR(IF(INDEX('GCE'!$M$10:$M$12,MATCH($F67,'GCE'!$B$10:$B$12,0))="","Cell will autofill based on response",INDEX('GCE'!$M$10:$M$12,MATCH($F67,'GCE'!$B$10:$B$12,0))),"N/A")</f>
        <v/>
      </c>
      <c r="U67" s="50">
        <f>IFERROR(IF(INDEX('Education'!$M$10:$M$13,MATCH($F67,'Education'!$B$10:$B$13,0))="","Cell will autofill based on response",INDEX('Education'!$M$10:$M$13,MATCH($F67,'Education'!$B$10:$B$13,0))),"N/A")</f>
        <v/>
      </c>
      <c r="V67" s="50">
        <f>IFERROR(IF(INDEX('SaSS'!$M$10:$M$12,MATCH($F67,'SaSS'!$B$10:$B$12,0))="","Cell will autofill based on response",INDEX('SaSS'!$M$10:$M$12,MATCH($F67,'SaSS'!$B$10:$B$12,0))),"N/A")</f>
        <v/>
      </c>
      <c r="W67" s="50">
        <f>IFERROR(IF(INDEX('Indigenous'!$M$10:$M$11,MATCH($F67,'Indigenous'!$B$10:$B$11,0))="","Cell will autofill based on response",INDEX('Indigenous'!$M$10:$M$11,MATCH($F67,'Indigenous'!$B$10:$B$11,0))),"N/A")</f>
        <v/>
      </c>
      <c r="X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IFERROR(IF(INDEX('CI&amp;S'!$N$10:$N$15,MATCH($F68,'CI&amp;S'!$B$10:$B$15,0))="","Cell will autofill based on response",INDEX('CI&amp;S'!$N$10:$N$15,MATCH($F68,'CI&amp;S'!$B$10:$B$15,0))),"N/A")</f>
        <v/>
      </c>
      <c r="M68" s="50">
        <f>IFERROR(IF(INDEX('CI&amp;S'!$N$22:$N$36,MATCH($F68,'CI&amp;S'!$B$22:$B$36,0))="","Cell will autofill based on response",INDEX('CI&amp;S'!$N$22:$N$36,MATCH($F68,'CI&amp;S'!$B$22:$B$36,0))),"N/A")</f>
        <v/>
      </c>
      <c r="N68" s="50">
        <f>IFERROR(IF(INDEX('CFOG'!$N$10:$N$16,MATCH($F68,'CFOG'!$B$10:$B$16,0))="","Cell will autofill based on response",INDEX('CFOG'!$N$10:$N$16,MATCH($F68,'CFOG'!$B$10:$B$16,0))),"N/A")</f>
        <v/>
      </c>
      <c r="O68" s="50">
        <f>IFERROR(IF(INDEX('CFOG'!$N$23:$N$24,MATCH($F68,'CFOG'!$B$23:$B$24,0))="","Cell will autofill based on response",INDEX('CFOG'!$N$23:$N$24,MATCH($F68,'CFOG'!$B$23:$B$24,0))),"N/A")</f>
        <v/>
      </c>
      <c r="P68" s="50">
        <f>IFERROR(IF(INDEX('ESG'!$N$10:$N$17,MATCH($F68,'ESG'!$B$10:$B$17,0))="","Cell will autofill based on response",INDEX('ESG'!$N$10:$N$17,MATCH($F68,'ESG'!$B$10:$B$17,0))),"N/A")</f>
        <v/>
      </c>
      <c r="Q68" s="50">
        <f>IFERROR(IF(INDEX('CIOG'!$N$10:$N$14,MATCH($F68,'CIOG'!$B$10:$B$14,0))="","Cell will autofill based on response",INDEX('CIOG'!$N$10:$N$14,MATCH($F68,'CIOG'!$B$10:$B$14,0))),"N/A")</f>
        <v/>
      </c>
      <c r="R68" s="50">
        <f>IFERROR(IF(INDEX('MRE'!$N$10:$N$18,MATCH($F68,'MRE'!$B$10:$B$18,0))="","Cell will autofill based on response",INDEX('MRE'!$N$10:$N$18,MATCH($F68,'MRE'!$B$10:$B$18,0))),"N/A")</f>
        <v/>
      </c>
      <c r="S68" s="50">
        <f>IFERROR(IF(INDEX('AC&amp;M'!$N$10:$N$14,MATCH($F68,'AC&amp;M'!$B$10:$B$14,0))="","Cell will autofill based on response",INDEX('AC&amp;M'!$N$10:$N$14,MATCH($F68,'AC&amp;M'!$B$10:$B$14,0))),"N/A")</f>
        <v/>
      </c>
      <c r="T68" s="50">
        <f>IFERROR(IF(INDEX('GCE'!$N$10:$N$12,MATCH($F68,'GCE'!$B$10:$B$12,0))="","Cell will autofill based on response",INDEX('GCE'!$N$10:$N$12,MATCH($F68,'GCE'!$B$10:$B$12,0))),"N/A")</f>
        <v/>
      </c>
      <c r="U68" s="50">
        <f>IFERROR(IF(INDEX('Education'!$N$10:$N$13,MATCH($F68,'Education'!$B$10:$B$13,0))="","Cell will autofill based on response",INDEX('Education'!$N$10:$N$13,MATCH($F68,'Education'!$B$10:$B$13,0))),"N/A")</f>
        <v/>
      </c>
      <c r="V68" s="50">
        <f>IFERROR(IF(INDEX('SaSS'!$N$10:$N$12,MATCH($F68,'SaSS'!$B$10:$B$12,0))="","Cell will autofill based on response",INDEX('SaSS'!$N$10:$N$12,MATCH($F68,'SaSS'!$B$10:$B$12,0))),"N/A")</f>
        <v/>
      </c>
      <c r="W68" s="50">
        <f>IFERROR(IF(INDEX('Indigenous'!$N$10:$N$11,MATCH($F68,'Indigenous'!$B$10:$B$11,0))="","Cell will autofill based on response",INDEX('Indigenous'!$N$10:$N$11,MATCH($F68,'Indigenous'!$B$10:$B$11,0))),"N/A")</f>
        <v/>
      </c>
      <c r="X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IFERROR(IF(INDEX('CI&amp;S'!$O$10:$O$15,MATCH($F69,'CI&amp;S'!$B$10:$B$15,0))="","Cell will autofill based on response",INDEX('CI&amp;S'!$O$10:$O$15,MATCH($F69,'CI&amp;S'!$B$10:$B$15,0))),"N/A")</f>
        <v/>
      </c>
      <c r="M69" s="50">
        <f>IFERROR(IF(INDEX('CI&amp;S'!$O$22:$O$36,MATCH($F69,'CI&amp;S'!$B$22:$B$36,0))="","Cell will autofill based on response",INDEX('CI&amp;S'!$O$22:$O$36,MATCH($F69,'CI&amp;S'!$B$22:$B$36,0))),"N/A")</f>
        <v/>
      </c>
      <c r="N69" s="50">
        <f>IFERROR(IF(INDEX('CFOG'!$O$10:$O$16,MATCH($F69,'CFOG'!$B$10:$B$16,0))="","Cell will autofill based on response",INDEX('CFOG'!$O$10:$O$16,MATCH($F69,'CFOG'!$B$10:$B$16,0))),"N/A")</f>
        <v/>
      </c>
      <c r="O69" s="50">
        <f>IFERROR(IF(INDEX('CFOG'!$O$23:$O$24,MATCH($F69,'CFOG'!$B$23:$B$24,0))="","Cell will autofill based on response",INDEX('CFOG'!$O$23:$O$24,MATCH($F69,'CFOG'!$B$23:$B$24,0))),"N/A")</f>
        <v/>
      </c>
      <c r="P69" s="50">
        <f>IFERROR(IF(INDEX('ESG'!$O$10:$O$17,MATCH($F69,'ESG'!$B$10:$B$17,0))="","Cell will autofill based on response",INDEX('ESG'!$O$10:$O$17,MATCH($F69,'ESG'!$B$10:$B$17,0))),"N/A")</f>
        <v/>
      </c>
      <c r="Q69" s="50">
        <f>IFERROR(IF(INDEX('CIOG'!$O$10:$O$14,MATCH($F69,'CIOG'!$B$10:$B$14,0))="","Cell will autofill based on response",INDEX('CIOG'!$O$10:$O$14,MATCH($F69,'CIOG'!$B$10:$B$14,0))),"N/A")</f>
        <v/>
      </c>
      <c r="R69" s="50">
        <f>IFERROR(IF(INDEX('MRE'!$O$10:$O$18,MATCH($F69,'MRE'!$B$10:$B$18,0))="","Cell will autofill based on response",INDEX('MRE'!$O$10:$O$18,MATCH($F69,'MRE'!$B$10:$B$18,0))),"N/A")</f>
        <v/>
      </c>
      <c r="S69" s="50">
        <f>IFERROR(IF(INDEX('AC&amp;M'!$O$10:$O$14,MATCH($F69,'AC&amp;M'!$B$10:$B$14,0))="","Cell will autofill based on response",INDEX('AC&amp;M'!$O$10:$O$14,MATCH($F69,'AC&amp;M'!$B$10:$B$14,0))),"N/A")</f>
        <v/>
      </c>
      <c r="T69" s="50">
        <f>IFERROR(IF(INDEX('GCE'!$O$10:$O$12,MATCH($F69,'GCE'!$B$10:$B$12,0))="","Cell will autofill based on response",INDEX('GCE'!$O$10:$O$12,MATCH($F69,'GCE'!$B$10:$B$12,0))),"N/A")</f>
        <v/>
      </c>
      <c r="U69" s="50">
        <f>IFERROR(IF(INDEX('Education'!$O$10:$O$13,MATCH($F69,'Education'!$B$10:$B$13,0))="","Cell will autofill based on response",INDEX('Education'!$O$10:$O$13,MATCH($F69,'Education'!$B$10:$B$13,0))),"N/A")</f>
        <v/>
      </c>
      <c r="V69" s="50">
        <f>IFERROR(IF(INDEX('SaSS'!$O$10:$O$12,MATCH($F69,'SaSS'!$B$10:$B$12,0))="","Cell will autofill based on response",INDEX('SaSS'!$O$10:$O$12,MATCH($F69,'SaSS'!$B$10:$B$12,0))),"N/A")</f>
        <v/>
      </c>
      <c r="W69" s="50">
        <f>IFERROR(IF(INDEX('Indigenous'!$O$10:$O$11,MATCH($F69,'Indigenous'!$B$10:$B$11,0))="","Cell will autofill based on response",INDEX('Indigenous'!$O$10:$O$11,MATCH($F69,'Indigenous'!$B$10:$B$11,0))),"N/A")</f>
        <v/>
      </c>
      <c r="X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IFERROR(IF(INDEX('CI&amp;S'!$P$10:$P$15,MATCH($F70,'CI&amp;S'!$B$10:$B$15,0))="","Cell will autofill based on response",INDEX('CI&amp;S'!$P$10:$P$15,MATCH($F70,'CI&amp;S'!$B$10:$B$15,0))),"N/A")</f>
        <v/>
      </c>
      <c r="M70" s="50">
        <f>IFERROR(IF(INDEX('CI&amp;S'!$P$22:$P$36,MATCH($F70,'CI&amp;S'!$B$22:$B$36,0))="","Cell will autofill based on response",INDEX('CI&amp;S'!$P$22:$P$36,MATCH($F70,'CI&amp;S'!$B$22:$B$36,0))),"N/A")</f>
        <v/>
      </c>
      <c r="N70" s="50">
        <f>IFERROR(IF(INDEX('CFOG'!$P$10:$P$16,MATCH($F70,'CFOG'!$B$10:$B$16,0))="","Cell will autofill based on response",INDEX('CFOG'!$P$10:$P$16,MATCH($F70,'CFOG'!$B$10:$B$16,0))),"N/A")</f>
        <v/>
      </c>
      <c r="O70" s="50">
        <f>IFERROR(IF(INDEX('CFOG'!$P$23:$P$24,MATCH($F70,'CFOG'!$B$23:$B$24,0))="","Cell will autofill based on response",INDEX('CFOG'!$P$23:$P$24,MATCH($F70,'CFOG'!$B$23:$B$24,0))),"N/A")</f>
        <v/>
      </c>
      <c r="P70" s="50">
        <f>IFERROR(IF(INDEX('ESG'!$P$10:$P$17,MATCH($F70,'ESG'!$B$10:$B$17,0))="","Cell will autofill based on response",INDEX('ESG'!$P$10:$P$17,MATCH($F70,'ESG'!$B$10:$B$17,0))),"N/A")</f>
        <v/>
      </c>
      <c r="Q70" s="50">
        <f>IFERROR(IF(INDEX('CIOG'!$P$10:$P$14,MATCH($F70,'CIOG'!$B$10:$B$14,0))="","Cell will autofill based on response",INDEX('CIOG'!$P$10:$P$14,MATCH($F70,'CIOG'!$B$10:$B$14,0))),"N/A")</f>
        <v/>
      </c>
      <c r="R70" s="50">
        <f>IFERROR(IF(INDEX('MRE'!$P$10:$P$18,MATCH($F70,'MRE'!$B$10:$B$18,0))="","Cell will autofill based on response",INDEX('MRE'!$P$10:$P$18,MATCH($F70,'MRE'!$B$10:$B$18,0))),"N/A")</f>
        <v/>
      </c>
      <c r="S70" s="50">
        <f>IFERROR(IF(INDEX('AC&amp;M'!$P$10:$P$14,MATCH($F70,'AC&amp;M'!$B$10:$B$14,0))="","Cell will autofill based on response",INDEX('AC&amp;M'!$P$10:$P$14,MATCH($F70,'AC&amp;M'!$B$10:$B$14,0))),"N/A")</f>
        <v/>
      </c>
      <c r="T70" s="50">
        <f>IFERROR(IF(INDEX('GCE'!$P$10:$P$12,MATCH($F70,'GCE'!$B$10:$B$12,0))="","Cell will autofill based on response",INDEX('GCE'!$P$10:$P$12,MATCH($F70,'GCE'!$B$10:$B$12,0))),"N/A")</f>
        <v/>
      </c>
      <c r="U70" s="50">
        <f>IFERROR(IF(INDEX('Education'!$P$10:$P$13,MATCH($F70,'Education'!$B$10:$B$13,0))="","Cell will autofill based on response",INDEX('Education'!$P$10:$P$13,MATCH($F70,'Education'!$B$10:$B$13,0))),"N/A")</f>
        <v/>
      </c>
      <c r="V70" s="50">
        <f>IFERROR(IF(INDEX('SaSS'!$P$10:$P$12,MATCH($F70,'SaSS'!$B$10:$B$12,0))="","Cell will autofill based on response",INDEX('SaSS'!$P$10:$P$12,MATCH($F70,'SaSS'!$B$10:$B$12,0))),"N/A")</f>
        <v/>
      </c>
      <c r="W70" s="50">
        <f>IFERROR(IF(INDEX('Indigenous'!$P$10:$P$11,MATCH($F70,'Indigenous'!$B$10:$B$11,0))="","Cell will autofill based on response",INDEX('Indigenous'!$P$10:$P$11,MATCH($F70,'Indigenous'!$B$10:$B$11,0))),"N/A")</f>
        <v/>
      </c>
      <c r="X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IFERROR(IF(INDEX('CI&amp;S'!$L$10:$L$15,MATCH($F71,'CI&amp;S'!$B$10:$B$15,0))="","Cell will autofill based on response",INDEX('CI&amp;S'!$L$10:$L$15,MATCH($F71,'CI&amp;S'!$B$10:$B$15,0))),"N/A")</f>
        <v/>
      </c>
      <c r="M71" s="50">
        <f>IFERROR(IF(INDEX('CI&amp;S'!$L$22:$L$36,MATCH($F71,'CI&amp;S'!$B$22:$B$36,0))="","Cell will autofill based on response",INDEX('CI&amp;S'!$L$22:$L$36,MATCH($F71,'CI&amp;S'!$B$22:$B$36,0))),"N/A")</f>
        <v/>
      </c>
      <c r="N71" s="50">
        <f>IFERROR(IF(INDEX('CFOG'!$L$10:$L$16,MATCH($F71,'CFOG'!$B$10:$B$16,0))="","Cell will autofill based on response",INDEX('CFOG'!$L$10:$L$16,MATCH($F71,'CFOG'!$B$10:$B$16,0))),"N/A")</f>
        <v/>
      </c>
      <c r="O71" s="50">
        <f>IFERROR(IF(INDEX('CFOG'!$L$23:$L$24,MATCH($F71,'CFOG'!$B$23:$B$24,0))="","Cell will autofill based on response",INDEX('CFOG'!$L$23:$L$24,MATCH($F71,'CFOG'!$B$23:$B$24,0))),"N/A")</f>
        <v/>
      </c>
      <c r="P71" s="50">
        <f>IFERROR(IF(INDEX('ESG'!$L$10:$L$17,MATCH($F71,'ESG'!$B$10:$B$17,0))="","Cell will autofill based on response",INDEX('ESG'!$L$10:$L$17,MATCH($F71,'ESG'!$B$10:$B$17,0))),"N/A")</f>
        <v/>
      </c>
      <c r="Q71" s="50">
        <f>IFERROR(IF(INDEX('CIOG'!$L$10:$L$14,MATCH($F71,'CIOG'!$B$10:$B$14,0))="","Cell will autofill based on response",INDEX('CIOG'!$L$10:$L$14,MATCH($F71,'CIOG'!$B$10:$B$14,0))),"N/A")</f>
        <v/>
      </c>
      <c r="R71" s="50">
        <f>IFERROR(IF(INDEX('MRE'!$L$10:$L$18,MATCH($F71,'MRE'!$B$10:$B$18,0))="","Cell will autofill based on response",INDEX('MRE'!$L$10:$L$18,MATCH($F71,'MRE'!$B$10:$B$18,0))),"N/A")</f>
        <v/>
      </c>
      <c r="S71" s="50">
        <f>IFERROR(IF(INDEX('AC&amp;M'!$L$10:$L$14,MATCH($F71,'AC&amp;M'!$B$10:$B$14,0))="","Cell will autofill based on response",INDEX('AC&amp;M'!$L$10:$L$14,MATCH($F71,'AC&amp;M'!$B$10:$B$14,0))),"N/A")</f>
        <v/>
      </c>
      <c r="T71" s="50">
        <f>IFERROR(IF(INDEX('GCE'!$L$10:$L$12,MATCH($F71,'GCE'!$B$10:$B$12,0))="","Cell will autofill based on response",INDEX('GCE'!$L$10:$L$12,MATCH($F71,'GCE'!$B$10:$B$12,0))),"N/A")</f>
        <v/>
      </c>
      <c r="U71" s="50">
        <f>IFERROR(IF(INDEX('Education'!$L$10:$L$13,MATCH($F71,'Education'!$B$10:$B$13,0))="","Cell will autofill based on response",INDEX('Education'!$L$10:$L$13,MATCH($F71,'Education'!$B$10:$B$13,0))),"N/A")</f>
        <v/>
      </c>
      <c r="V71" s="50">
        <f>IFERROR(IF(INDEX('SaSS'!$L$10:$L$12,MATCH($F71,'SaSS'!$B$10:$B$12,0))="","Cell will autofill based on response",INDEX('SaSS'!$L$10:$L$12,MATCH($F71,'SaSS'!$B$10:$B$12,0))),"N/A")</f>
        <v/>
      </c>
      <c r="W71" s="50">
        <f>IFERROR(IF(INDEX('Indigenous'!$L$10:$L$11,MATCH($F71,'Indigenous'!$B$10:$B$11,0))="","Cell will autofill based on response",INDEX('Indigenous'!$L$10:$L$11,MATCH($F71,'Indigenous'!$B$10:$B$11,0))),"N/A")</f>
        <v/>
      </c>
      <c r="X71" s="50">
        <f>IFERROR(IF(INDEX('L&amp;R'!$L$10:$L$11,MATCH($F71,'L&amp;R'!$B$10:$B$11,0))="","Cell will autofill based on response",INDEX('L&amp;R'!$L$10:$L$11,MATCH($F71,'L&amp;R'!$B$10:$B$11,0))),"N/A")</f>
        <v/>
      </c>
      <c r="Z71" s="8">
        <f>SUMPRODUCT(--($H71:$X71&lt;&gt;"N/A"))</f>
        <v/>
      </c>
      <c r="AA71" s="8">
        <f>SUMPRODUCT(--(((($H71:$X71&lt;&gt;"N/A")*($H71:$X71&lt;&gt;"Cell will autofill based on response"))+(($H72:$X72&lt;&gt;"N/A")*($H72:$X72&lt;&gt;"Cell will autofill based on response")))&gt;0))</f>
        <v/>
      </c>
      <c r="AB71" s="8">
        <f>Z71-AA71</f>
        <v/>
      </c>
      <c r="AC71" s="8">
        <f>COUNTIF($H75:$X75,"Yes")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IFERROR(IF(INDEX('CI&amp;S'!$M$10:$M$15,MATCH($F72,'CI&amp;S'!$B$10:$B$15,0))="","Cell will autofill based on response",INDEX('CI&amp;S'!$M$10:$M$15,MATCH($F72,'CI&amp;S'!$B$10:$B$15,0))),"N/A")</f>
        <v/>
      </c>
      <c r="M72" s="50">
        <f>IFERROR(IF(INDEX('CI&amp;S'!$M$22:$M$36,MATCH($F72,'CI&amp;S'!$B$22:$B$36,0))="","Cell will autofill based on response",INDEX('CI&amp;S'!$M$22:$M$36,MATCH($F72,'CI&amp;S'!$B$22:$B$36,0))),"N/A")</f>
        <v/>
      </c>
      <c r="N72" s="50">
        <f>IFERROR(IF(INDEX('CFOG'!$M$10:$M$16,MATCH($F72,'CFOG'!$B$10:$B$16,0))="","Cell will autofill based on response",INDEX('CFOG'!$M$10:$M$16,MATCH($F72,'CFOG'!$B$10:$B$16,0))),"N/A")</f>
        <v/>
      </c>
      <c r="O72" s="50">
        <f>IFERROR(IF(INDEX('CFOG'!$M$23:$M$24,MATCH($F72,'CFOG'!$B$23:$B$24,0))="","Cell will autofill based on response",INDEX('CFOG'!$M$23:$M$24,MATCH($F72,'CFOG'!$B$23:$B$24,0))),"N/A")</f>
        <v/>
      </c>
      <c r="P72" s="50">
        <f>IFERROR(IF(INDEX('ESG'!$M$10:$M$17,MATCH($F72,'ESG'!$B$10:$B$17,0))="","Cell will autofill based on response",INDEX('ESG'!$M$10:$M$17,MATCH($F72,'ESG'!$B$10:$B$17,0))),"N/A")</f>
        <v/>
      </c>
      <c r="Q72" s="50">
        <f>IFERROR(IF(INDEX('CIOG'!$M$10:$M$14,MATCH($F72,'CIOG'!$B$10:$B$14,0))="","Cell will autofill based on response",INDEX('CIOG'!$M$10:$M$14,MATCH($F72,'CIOG'!$B$10:$B$14,0))),"N/A")</f>
        <v/>
      </c>
      <c r="R72" s="50">
        <f>IFERROR(IF(INDEX('MRE'!$M$10:$M$18,MATCH($F72,'MRE'!$B$10:$B$18,0))="","Cell will autofill based on response",INDEX('MRE'!$M$10:$M$18,MATCH($F72,'MRE'!$B$10:$B$18,0))),"N/A")</f>
        <v/>
      </c>
      <c r="S72" s="50">
        <f>IFERROR(IF(INDEX('AC&amp;M'!$M$10:$M$14,MATCH($F72,'AC&amp;M'!$B$10:$B$14,0))="","Cell will autofill based on response",INDEX('AC&amp;M'!$M$10:$M$14,MATCH($F72,'AC&amp;M'!$B$10:$B$14,0))),"N/A")</f>
        <v/>
      </c>
      <c r="T72" s="50">
        <f>IFERROR(IF(INDEX('GCE'!$M$10:$M$12,MATCH($F72,'GCE'!$B$10:$B$12,0))="","Cell will autofill based on response",INDEX('GCE'!$M$10:$M$12,MATCH($F72,'GCE'!$B$10:$B$12,0))),"N/A")</f>
        <v/>
      </c>
      <c r="U72" s="50">
        <f>IFERROR(IF(INDEX('Education'!$M$10:$M$13,MATCH($F72,'Education'!$B$10:$B$13,0))="","Cell will autofill based on response",INDEX('Education'!$M$10:$M$13,MATCH($F72,'Education'!$B$10:$B$13,0))),"N/A")</f>
        <v/>
      </c>
      <c r="V72" s="50">
        <f>IFERROR(IF(INDEX('SaSS'!$M$10:$M$12,MATCH($F72,'SaSS'!$B$10:$B$12,0))="","Cell will autofill based on response",INDEX('SaSS'!$M$10:$M$12,MATCH($F72,'SaSS'!$B$10:$B$12,0))),"N/A")</f>
        <v/>
      </c>
      <c r="W72" s="50">
        <f>IFERROR(IF(INDEX('Indigenous'!$M$10:$M$11,MATCH($F72,'Indigenous'!$B$10:$B$11,0))="","Cell will autofill based on response",INDEX('Indigenous'!$M$10:$M$11,MATCH($F72,'Indigenous'!$B$10:$B$11,0))),"N/A")</f>
        <v/>
      </c>
      <c r="X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IFERROR(IF(INDEX('CI&amp;S'!$N$10:$N$15,MATCH($F73,'CI&amp;S'!$B$10:$B$15,0))="","Cell will autofill based on response",INDEX('CI&amp;S'!$N$10:$N$15,MATCH($F73,'CI&amp;S'!$B$10:$B$15,0))),"N/A")</f>
        <v/>
      </c>
      <c r="M73" s="50">
        <f>IFERROR(IF(INDEX('CI&amp;S'!$N$22:$N$36,MATCH($F73,'CI&amp;S'!$B$22:$B$36,0))="","Cell will autofill based on response",INDEX('CI&amp;S'!$N$22:$N$36,MATCH($F73,'CI&amp;S'!$B$22:$B$36,0))),"N/A")</f>
        <v/>
      </c>
      <c r="N73" s="50">
        <f>IFERROR(IF(INDEX('CFOG'!$N$10:$N$16,MATCH($F73,'CFOG'!$B$10:$B$16,0))="","Cell will autofill based on response",INDEX('CFOG'!$N$10:$N$16,MATCH($F73,'CFOG'!$B$10:$B$16,0))),"N/A")</f>
        <v/>
      </c>
      <c r="O73" s="50">
        <f>IFERROR(IF(INDEX('CFOG'!$N$23:$N$24,MATCH($F73,'CFOG'!$B$23:$B$24,0))="","Cell will autofill based on response",INDEX('CFOG'!$N$23:$N$24,MATCH($F73,'CFOG'!$B$23:$B$24,0))),"N/A")</f>
        <v/>
      </c>
      <c r="P73" s="50">
        <f>IFERROR(IF(INDEX('ESG'!$N$10:$N$17,MATCH($F73,'ESG'!$B$10:$B$17,0))="","Cell will autofill based on response",INDEX('ESG'!$N$10:$N$17,MATCH($F73,'ESG'!$B$10:$B$17,0))),"N/A")</f>
        <v/>
      </c>
      <c r="Q73" s="50">
        <f>IFERROR(IF(INDEX('CIOG'!$N$10:$N$14,MATCH($F73,'CIOG'!$B$10:$B$14,0))="","Cell will autofill based on response",INDEX('CIOG'!$N$10:$N$14,MATCH($F73,'CIOG'!$B$10:$B$14,0))),"N/A")</f>
        <v/>
      </c>
      <c r="R73" s="50">
        <f>IFERROR(IF(INDEX('MRE'!$N$10:$N$18,MATCH($F73,'MRE'!$B$10:$B$18,0))="","Cell will autofill based on response",INDEX('MRE'!$N$10:$N$18,MATCH($F73,'MRE'!$B$10:$B$18,0))),"N/A")</f>
        <v/>
      </c>
      <c r="S73" s="50">
        <f>IFERROR(IF(INDEX('AC&amp;M'!$N$10:$N$14,MATCH($F73,'AC&amp;M'!$B$10:$B$14,0))="","Cell will autofill based on response",INDEX('AC&amp;M'!$N$10:$N$14,MATCH($F73,'AC&amp;M'!$B$10:$B$14,0))),"N/A")</f>
        <v/>
      </c>
      <c r="T73" s="50">
        <f>IFERROR(IF(INDEX('GCE'!$N$10:$N$12,MATCH($F73,'GCE'!$B$10:$B$12,0))="","Cell will autofill based on response",INDEX('GCE'!$N$10:$N$12,MATCH($F73,'GCE'!$B$10:$B$12,0))),"N/A")</f>
        <v/>
      </c>
      <c r="U73" s="50">
        <f>IFERROR(IF(INDEX('Education'!$N$10:$N$13,MATCH($F73,'Education'!$B$10:$B$13,0))="","Cell will autofill based on response",INDEX('Education'!$N$10:$N$13,MATCH($F73,'Education'!$B$10:$B$13,0))),"N/A")</f>
        <v/>
      </c>
      <c r="V73" s="50">
        <f>IFERROR(IF(INDEX('SaSS'!$N$10:$N$12,MATCH($F73,'SaSS'!$B$10:$B$12,0))="","Cell will autofill based on response",INDEX('SaSS'!$N$10:$N$12,MATCH($F73,'SaSS'!$B$10:$B$12,0))),"N/A")</f>
        <v/>
      </c>
      <c r="W73" s="50">
        <f>IFERROR(IF(INDEX('Indigenous'!$N$10:$N$11,MATCH($F73,'Indigenous'!$B$10:$B$11,0))="","Cell will autofill based on response",INDEX('Indigenous'!$N$10:$N$11,MATCH($F73,'Indigenous'!$B$10:$B$11,0))),"N/A")</f>
        <v/>
      </c>
      <c r="X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IFERROR(IF(INDEX('CI&amp;S'!$O$10:$O$15,MATCH($F74,'CI&amp;S'!$B$10:$B$15,0))="","Cell will autofill based on response",INDEX('CI&amp;S'!$O$10:$O$15,MATCH($F74,'CI&amp;S'!$B$10:$B$15,0))),"N/A")</f>
        <v/>
      </c>
      <c r="M74" s="50">
        <f>IFERROR(IF(INDEX('CI&amp;S'!$O$22:$O$36,MATCH($F74,'CI&amp;S'!$B$22:$B$36,0))="","Cell will autofill based on response",INDEX('CI&amp;S'!$O$22:$O$36,MATCH($F74,'CI&amp;S'!$B$22:$B$36,0))),"N/A")</f>
        <v/>
      </c>
      <c r="N74" s="50">
        <f>IFERROR(IF(INDEX('CFOG'!$O$10:$O$16,MATCH($F74,'CFOG'!$B$10:$B$16,0))="","Cell will autofill based on response",INDEX('CFOG'!$O$10:$O$16,MATCH($F74,'CFOG'!$B$10:$B$16,0))),"N/A")</f>
        <v/>
      </c>
      <c r="O74" s="50">
        <f>IFERROR(IF(INDEX('CFOG'!$O$23:$O$24,MATCH($F74,'CFOG'!$B$23:$B$24,0))="","Cell will autofill based on response",INDEX('CFOG'!$O$23:$O$24,MATCH($F74,'CFOG'!$B$23:$B$24,0))),"N/A")</f>
        <v/>
      </c>
      <c r="P74" s="50">
        <f>IFERROR(IF(INDEX('ESG'!$O$10:$O$17,MATCH($F74,'ESG'!$B$10:$B$17,0))="","Cell will autofill based on response",INDEX('ESG'!$O$10:$O$17,MATCH($F74,'ESG'!$B$10:$B$17,0))),"N/A")</f>
        <v/>
      </c>
      <c r="Q74" s="50">
        <f>IFERROR(IF(INDEX('CIOG'!$O$10:$O$14,MATCH($F74,'CIOG'!$B$10:$B$14,0))="","Cell will autofill based on response",INDEX('CIOG'!$O$10:$O$14,MATCH($F74,'CIOG'!$B$10:$B$14,0))),"N/A")</f>
        <v/>
      </c>
      <c r="R74" s="50">
        <f>IFERROR(IF(INDEX('MRE'!$O$10:$O$18,MATCH($F74,'MRE'!$B$10:$B$18,0))="","Cell will autofill based on response",INDEX('MRE'!$O$10:$O$18,MATCH($F74,'MRE'!$B$10:$B$18,0))),"N/A")</f>
        <v/>
      </c>
      <c r="S74" s="50">
        <f>IFERROR(IF(INDEX('AC&amp;M'!$O$10:$O$14,MATCH($F74,'AC&amp;M'!$B$10:$B$14,0))="","Cell will autofill based on response",INDEX('AC&amp;M'!$O$10:$O$14,MATCH($F74,'AC&amp;M'!$B$10:$B$14,0))),"N/A")</f>
        <v/>
      </c>
      <c r="T74" s="50">
        <f>IFERROR(IF(INDEX('GCE'!$O$10:$O$12,MATCH($F74,'GCE'!$B$10:$B$12,0))="","Cell will autofill based on response",INDEX('GCE'!$O$10:$O$12,MATCH($F74,'GCE'!$B$10:$B$12,0))),"N/A")</f>
        <v/>
      </c>
      <c r="U74" s="50">
        <f>IFERROR(IF(INDEX('Education'!$O$10:$O$13,MATCH($F74,'Education'!$B$10:$B$13,0))="","Cell will autofill based on response",INDEX('Education'!$O$10:$O$13,MATCH($F74,'Education'!$B$10:$B$13,0))),"N/A")</f>
        <v/>
      </c>
      <c r="V74" s="50">
        <f>IFERROR(IF(INDEX('SaSS'!$O$10:$O$12,MATCH($F74,'SaSS'!$B$10:$B$12,0))="","Cell will autofill based on response",INDEX('SaSS'!$O$10:$O$12,MATCH($F74,'SaSS'!$B$10:$B$12,0))),"N/A")</f>
        <v/>
      </c>
      <c r="W74" s="50">
        <f>IFERROR(IF(INDEX('Indigenous'!$O$10:$O$11,MATCH($F74,'Indigenous'!$B$10:$B$11,0))="","Cell will autofill based on response",INDEX('Indigenous'!$O$10:$O$11,MATCH($F74,'Indigenous'!$B$10:$B$11,0))),"N/A")</f>
        <v/>
      </c>
      <c r="X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IFERROR(IF(INDEX('CI&amp;S'!$P$10:$P$15,MATCH($F75,'CI&amp;S'!$B$10:$B$15,0))="","Cell will autofill based on response",INDEX('CI&amp;S'!$P$10:$P$15,MATCH($F75,'CI&amp;S'!$B$10:$B$15,0))),"N/A")</f>
        <v/>
      </c>
      <c r="M75" s="50">
        <f>IFERROR(IF(INDEX('CI&amp;S'!$P$22:$P$36,MATCH($F75,'CI&amp;S'!$B$22:$B$36,0))="","Cell will autofill based on response",INDEX('CI&amp;S'!$P$22:$P$36,MATCH($F75,'CI&amp;S'!$B$22:$B$36,0))),"N/A")</f>
        <v/>
      </c>
      <c r="N75" s="50">
        <f>IFERROR(IF(INDEX('CFOG'!$P$10:$P$16,MATCH($F75,'CFOG'!$B$10:$B$16,0))="","Cell will autofill based on response",INDEX('CFOG'!$P$10:$P$16,MATCH($F75,'CFOG'!$B$10:$B$16,0))),"N/A")</f>
        <v/>
      </c>
      <c r="O75" s="50">
        <f>IFERROR(IF(INDEX('CFOG'!$P$23:$P$24,MATCH($F75,'CFOG'!$B$23:$B$24,0))="","Cell will autofill based on response",INDEX('CFOG'!$P$23:$P$24,MATCH($F75,'CFOG'!$B$23:$B$24,0))),"N/A")</f>
        <v/>
      </c>
      <c r="P75" s="50">
        <f>IFERROR(IF(INDEX('ESG'!$P$10:$P$17,MATCH($F75,'ESG'!$B$10:$B$17,0))="","Cell will autofill based on response",INDEX('ESG'!$P$10:$P$17,MATCH($F75,'ESG'!$B$10:$B$17,0))),"N/A")</f>
        <v/>
      </c>
      <c r="Q75" s="50">
        <f>IFERROR(IF(INDEX('CIOG'!$P$10:$P$14,MATCH($F75,'CIOG'!$B$10:$B$14,0))="","Cell will autofill based on response",INDEX('CIOG'!$P$10:$P$14,MATCH($F75,'CIOG'!$B$10:$B$14,0))),"N/A")</f>
        <v/>
      </c>
      <c r="R75" s="50">
        <f>IFERROR(IF(INDEX('MRE'!$P$10:$P$18,MATCH($F75,'MRE'!$B$10:$B$18,0))="","Cell will autofill based on response",INDEX('MRE'!$P$10:$P$18,MATCH($F75,'MRE'!$B$10:$B$18,0))),"N/A")</f>
        <v/>
      </c>
      <c r="S75" s="50">
        <f>IFERROR(IF(INDEX('AC&amp;M'!$P$10:$P$14,MATCH($F75,'AC&amp;M'!$B$10:$B$14,0))="","Cell will autofill based on response",INDEX('AC&amp;M'!$P$10:$P$14,MATCH($F75,'AC&amp;M'!$B$10:$B$14,0))),"N/A")</f>
        <v/>
      </c>
      <c r="T75" s="50">
        <f>IFERROR(IF(INDEX('GCE'!$P$10:$P$12,MATCH($F75,'GCE'!$B$10:$B$12,0))="","Cell will autofill based on response",INDEX('GCE'!$P$10:$P$12,MATCH($F75,'GCE'!$B$10:$B$12,0))),"N/A")</f>
        <v/>
      </c>
      <c r="U75" s="50">
        <f>IFERROR(IF(INDEX('Education'!$P$10:$P$13,MATCH($F75,'Education'!$B$10:$B$13,0))="","Cell will autofill based on response",INDEX('Education'!$P$10:$P$13,MATCH($F75,'Education'!$B$10:$B$13,0))),"N/A")</f>
        <v/>
      </c>
      <c r="V75" s="50">
        <f>IFERROR(IF(INDEX('SaSS'!$P$10:$P$12,MATCH($F75,'SaSS'!$B$10:$B$12,0))="","Cell will autofill based on response",INDEX('SaSS'!$P$10:$P$12,MATCH($F75,'SaSS'!$B$10:$B$12,0))),"N/A")</f>
        <v/>
      </c>
      <c r="W75" s="50">
        <f>IFERROR(IF(INDEX('Indigenous'!$P$10:$P$11,MATCH($F75,'Indigenous'!$B$10:$B$11,0))="","Cell will autofill based on response",INDEX('Indigenous'!$P$10:$P$11,MATCH($F75,'Indigenous'!$B$10:$B$11,0))),"N/A")</f>
        <v/>
      </c>
      <c r="X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IFERROR(IF(INDEX('CI&amp;S'!$L$10:$L$15,MATCH($F76,'CI&amp;S'!$B$10:$B$15,0))="","Cell will autofill based on response",INDEX('CI&amp;S'!$L$10:$L$15,MATCH($F76,'CI&amp;S'!$B$10:$B$15,0))),"N/A")</f>
        <v/>
      </c>
      <c r="M76" s="50">
        <f>IFERROR(IF(INDEX('CI&amp;S'!$L$22:$L$36,MATCH($F76,'CI&amp;S'!$B$22:$B$36,0))="","Cell will autofill based on response",INDEX('CI&amp;S'!$L$22:$L$36,MATCH($F76,'CI&amp;S'!$B$22:$B$36,0))),"N/A")</f>
        <v/>
      </c>
      <c r="N76" s="50">
        <f>IFERROR(IF(INDEX('CFOG'!$L$10:$L$16,MATCH($F76,'CFOG'!$B$10:$B$16,0))="","Cell will autofill based on response",INDEX('CFOG'!$L$10:$L$16,MATCH($F76,'CFOG'!$B$10:$B$16,0))),"N/A")</f>
        <v/>
      </c>
      <c r="O76" s="50">
        <f>IFERROR(IF(INDEX('CFOG'!$L$23:$L$24,MATCH($F76,'CFOG'!$B$23:$B$24,0))="","Cell will autofill based on response",INDEX('CFOG'!$L$23:$L$24,MATCH($F76,'CFOG'!$B$23:$B$24,0))),"N/A")</f>
        <v/>
      </c>
      <c r="P76" s="50">
        <f>IFERROR(IF(INDEX('ESG'!$L$10:$L$17,MATCH($F76,'ESG'!$B$10:$B$17,0))="","Cell will autofill based on response",INDEX('ESG'!$L$10:$L$17,MATCH($F76,'ESG'!$B$10:$B$17,0))),"N/A")</f>
        <v/>
      </c>
      <c r="Q76" s="50">
        <f>IFERROR(IF(INDEX('CIOG'!$L$10:$L$14,MATCH($F76,'CIOG'!$B$10:$B$14,0))="","Cell will autofill based on response",INDEX('CIOG'!$L$10:$L$14,MATCH($F76,'CIOG'!$B$10:$B$14,0))),"N/A")</f>
        <v/>
      </c>
      <c r="R76" s="50">
        <f>IFERROR(IF(INDEX('MRE'!$L$10:$L$18,MATCH($F76,'MRE'!$B$10:$B$18,0))="","Cell will autofill based on response",INDEX('MRE'!$L$10:$L$18,MATCH($F76,'MRE'!$B$10:$B$18,0))),"N/A")</f>
        <v/>
      </c>
      <c r="S76" s="50">
        <f>IFERROR(IF(INDEX('AC&amp;M'!$L$10:$L$14,MATCH($F76,'AC&amp;M'!$B$10:$B$14,0))="","Cell will autofill based on response",INDEX('AC&amp;M'!$L$10:$L$14,MATCH($F76,'AC&amp;M'!$B$10:$B$14,0))),"N/A")</f>
        <v/>
      </c>
      <c r="T76" s="50">
        <f>IFERROR(IF(INDEX('GCE'!$L$10:$L$12,MATCH($F76,'GCE'!$B$10:$B$12,0))="","Cell will autofill based on response",INDEX('GCE'!$L$10:$L$12,MATCH($F76,'GCE'!$B$10:$B$12,0))),"N/A")</f>
        <v/>
      </c>
      <c r="U76" s="50">
        <f>IFERROR(IF(INDEX('Education'!$L$10:$L$13,MATCH($F76,'Education'!$B$10:$B$13,0))="","Cell will autofill based on response",INDEX('Education'!$L$10:$L$13,MATCH($F76,'Education'!$B$10:$B$13,0))),"N/A")</f>
        <v/>
      </c>
      <c r="V76" s="50">
        <f>IFERROR(IF(INDEX('SaSS'!$L$10:$L$12,MATCH($F76,'SaSS'!$B$10:$B$12,0))="","Cell will autofill based on response",INDEX('SaSS'!$L$10:$L$12,MATCH($F76,'SaSS'!$B$10:$B$12,0))),"N/A")</f>
        <v/>
      </c>
      <c r="W76" s="50">
        <f>IFERROR(IF(INDEX('Indigenous'!$L$10:$L$11,MATCH($F76,'Indigenous'!$B$10:$B$11,0))="","Cell will autofill based on response",INDEX('Indigenous'!$L$10:$L$11,MATCH($F76,'Indigenous'!$B$10:$B$11,0))),"N/A")</f>
        <v/>
      </c>
      <c r="X76" s="50">
        <f>IFERROR(IF(INDEX('L&amp;R'!$L$10:$L$11,MATCH($F76,'L&amp;R'!$B$10:$B$11,0))="","Cell will autofill based on response",INDEX('L&amp;R'!$L$10:$L$11,MATCH($F76,'L&amp;R'!$B$10:$B$11,0))),"N/A")</f>
        <v/>
      </c>
      <c r="Z76" s="8">
        <f>SUMPRODUCT(--($H76:$X76&lt;&gt;"N/A"))</f>
        <v/>
      </c>
      <c r="AA76" s="8">
        <f>SUMPRODUCT(--(((($H76:$X76&lt;&gt;"N/A")*($H76:$X76&lt;&gt;"Cell will autofill based on response"))+(($H77:$X77&lt;&gt;"N/A")*($H77:$X77&lt;&gt;"Cell will autofill based on response")))&gt;0))</f>
        <v/>
      </c>
      <c r="AB76" s="8">
        <f>Z76-AA76</f>
        <v/>
      </c>
      <c r="AC76" s="8">
        <f>COUNTIF($H80:$X80,"Yes")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IFERROR(IF(INDEX('CI&amp;S'!$M$10:$M$15,MATCH($F77,'CI&amp;S'!$B$10:$B$15,0))="","Cell will autofill based on response",INDEX('CI&amp;S'!$M$10:$M$15,MATCH($F77,'CI&amp;S'!$B$10:$B$15,0))),"N/A")</f>
        <v/>
      </c>
      <c r="M77" s="50">
        <f>IFERROR(IF(INDEX('CI&amp;S'!$M$22:$M$36,MATCH($F77,'CI&amp;S'!$B$22:$B$36,0))="","Cell will autofill based on response",INDEX('CI&amp;S'!$M$22:$M$36,MATCH($F77,'CI&amp;S'!$B$22:$B$36,0))),"N/A")</f>
        <v/>
      </c>
      <c r="N77" s="50">
        <f>IFERROR(IF(INDEX('CFOG'!$M$10:$M$16,MATCH($F77,'CFOG'!$B$10:$B$16,0))="","Cell will autofill based on response",INDEX('CFOG'!$M$10:$M$16,MATCH($F77,'CFOG'!$B$10:$B$16,0))),"N/A")</f>
        <v/>
      </c>
      <c r="O77" s="50">
        <f>IFERROR(IF(INDEX('CFOG'!$M$23:$M$24,MATCH($F77,'CFOG'!$B$23:$B$24,0))="","Cell will autofill based on response",INDEX('CFOG'!$M$23:$M$24,MATCH($F77,'CFOG'!$B$23:$B$24,0))),"N/A")</f>
        <v/>
      </c>
      <c r="P77" s="50">
        <f>IFERROR(IF(INDEX('ESG'!$M$10:$M$17,MATCH($F77,'ESG'!$B$10:$B$17,0))="","Cell will autofill based on response",INDEX('ESG'!$M$10:$M$17,MATCH($F77,'ESG'!$B$10:$B$17,0))),"N/A")</f>
        <v/>
      </c>
      <c r="Q77" s="50">
        <f>IFERROR(IF(INDEX('CIOG'!$M$10:$M$14,MATCH($F77,'CIOG'!$B$10:$B$14,0))="","Cell will autofill based on response",INDEX('CIOG'!$M$10:$M$14,MATCH($F77,'CIOG'!$B$10:$B$14,0))),"N/A")</f>
        <v/>
      </c>
      <c r="R77" s="50">
        <f>IFERROR(IF(INDEX('MRE'!$M$10:$M$18,MATCH($F77,'MRE'!$B$10:$B$18,0))="","Cell will autofill based on response",INDEX('MRE'!$M$10:$M$18,MATCH($F77,'MRE'!$B$10:$B$18,0))),"N/A")</f>
        <v/>
      </c>
      <c r="S77" s="50">
        <f>IFERROR(IF(INDEX('AC&amp;M'!$M$10:$M$14,MATCH($F77,'AC&amp;M'!$B$10:$B$14,0))="","Cell will autofill based on response",INDEX('AC&amp;M'!$M$10:$M$14,MATCH($F77,'AC&amp;M'!$B$10:$B$14,0))),"N/A")</f>
        <v/>
      </c>
      <c r="T77" s="50">
        <f>IFERROR(IF(INDEX('GCE'!$M$10:$M$12,MATCH($F77,'GCE'!$B$10:$B$12,0))="","Cell will autofill based on response",INDEX('GCE'!$M$10:$M$12,MATCH($F77,'GCE'!$B$10:$B$12,0))),"N/A")</f>
        <v/>
      </c>
      <c r="U77" s="50">
        <f>IFERROR(IF(INDEX('Education'!$M$10:$M$13,MATCH($F77,'Education'!$B$10:$B$13,0))="","Cell will autofill based on response",INDEX('Education'!$M$10:$M$13,MATCH($F77,'Education'!$B$10:$B$13,0))),"N/A")</f>
        <v/>
      </c>
      <c r="V77" s="50">
        <f>IFERROR(IF(INDEX('SaSS'!$M$10:$M$12,MATCH($F77,'SaSS'!$B$10:$B$12,0))="","Cell will autofill based on response",INDEX('SaSS'!$M$10:$M$12,MATCH($F77,'SaSS'!$B$10:$B$12,0))),"N/A")</f>
        <v/>
      </c>
      <c r="W77" s="50">
        <f>IFERROR(IF(INDEX('Indigenous'!$M$10:$M$11,MATCH($F77,'Indigenous'!$B$10:$B$11,0))="","Cell will autofill based on response",INDEX('Indigenous'!$M$10:$M$11,MATCH($F77,'Indigenous'!$B$10:$B$11,0))),"N/A")</f>
        <v/>
      </c>
      <c r="X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IFERROR(IF(INDEX('CI&amp;S'!$N$10:$N$15,MATCH($F78,'CI&amp;S'!$B$10:$B$15,0))="","Cell will autofill based on response",INDEX('CI&amp;S'!$N$10:$N$15,MATCH($F78,'CI&amp;S'!$B$10:$B$15,0))),"N/A")</f>
        <v/>
      </c>
      <c r="M78" s="50">
        <f>IFERROR(IF(INDEX('CI&amp;S'!$N$22:$N$36,MATCH($F78,'CI&amp;S'!$B$22:$B$36,0))="","Cell will autofill based on response",INDEX('CI&amp;S'!$N$22:$N$36,MATCH($F78,'CI&amp;S'!$B$22:$B$36,0))),"N/A")</f>
        <v/>
      </c>
      <c r="N78" s="50">
        <f>IFERROR(IF(INDEX('CFOG'!$N$10:$N$16,MATCH($F78,'CFOG'!$B$10:$B$16,0))="","Cell will autofill based on response",INDEX('CFOG'!$N$10:$N$16,MATCH($F78,'CFOG'!$B$10:$B$16,0))),"N/A")</f>
        <v/>
      </c>
      <c r="O78" s="50">
        <f>IFERROR(IF(INDEX('CFOG'!$N$23:$N$24,MATCH($F78,'CFOG'!$B$23:$B$24,0))="","Cell will autofill based on response",INDEX('CFOG'!$N$23:$N$24,MATCH($F78,'CFOG'!$B$23:$B$24,0))),"N/A")</f>
        <v/>
      </c>
      <c r="P78" s="50">
        <f>IFERROR(IF(INDEX('ESG'!$N$10:$N$17,MATCH($F78,'ESG'!$B$10:$B$17,0))="","Cell will autofill based on response",INDEX('ESG'!$N$10:$N$17,MATCH($F78,'ESG'!$B$10:$B$17,0))),"N/A")</f>
        <v/>
      </c>
      <c r="Q78" s="50">
        <f>IFERROR(IF(INDEX('CIOG'!$N$10:$N$14,MATCH($F78,'CIOG'!$B$10:$B$14,0))="","Cell will autofill based on response",INDEX('CIOG'!$N$10:$N$14,MATCH($F78,'CIOG'!$B$10:$B$14,0))),"N/A")</f>
        <v/>
      </c>
      <c r="R78" s="50">
        <f>IFERROR(IF(INDEX('MRE'!$N$10:$N$18,MATCH($F78,'MRE'!$B$10:$B$18,0))="","Cell will autofill based on response",INDEX('MRE'!$N$10:$N$18,MATCH($F78,'MRE'!$B$10:$B$18,0))),"N/A")</f>
        <v/>
      </c>
      <c r="S78" s="50">
        <f>IFERROR(IF(INDEX('AC&amp;M'!$N$10:$N$14,MATCH($F78,'AC&amp;M'!$B$10:$B$14,0))="","Cell will autofill based on response",INDEX('AC&amp;M'!$N$10:$N$14,MATCH($F78,'AC&amp;M'!$B$10:$B$14,0))),"N/A")</f>
        <v/>
      </c>
      <c r="T78" s="50">
        <f>IFERROR(IF(INDEX('GCE'!$N$10:$N$12,MATCH($F78,'GCE'!$B$10:$B$12,0))="","Cell will autofill based on response",INDEX('GCE'!$N$10:$N$12,MATCH($F78,'GCE'!$B$10:$B$12,0))),"N/A")</f>
        <v/>
      </c>
      <c r="U78" s="50">
        <f>IFERROR(IF(INDEX('Education'!$N$10:$N$13,MATCH($F78,'Education'!$B$10:$B$13,0))="","Cell will autofill based on response",INDEX('Education'!$N$10:$N$13,MATCH($F78,'Education'!$B$10:$B$13,0))),"N/A")</f>
        <v/>
      </c>
      <c r="V78" s="50">
        <f>IFERROR(IF(INDEX('SaSS'!$N$10:$N$12,MATCH($F78,'SaSS'!$B$10:$B$12,0))="","Cell will autofill based on response",INDEX('SaSS'!$N$10:$N$12,MATCH($F78,'SaSS'!$B$10:$B$12,0))),"N/A")</f>
        <v/>
      </c>
      <c r="W78" s="50">
        <f>IFERROR(IF(INDEX('Indigenous'!$N$10:$N$11,MATCH($F78,'Indigenous'!$B$10:$B$11,0))="","Cell will autofill based on response",INDEX('Indigenous'!$N$10:$N$11,MATCH($F78,'Indigenous'!$B$10:$B$11,0))),"N/A")</f>
        <v/>
      </c>
      <c r="X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IFERROR(IF(INDEX('CI&amp;S'!$O$10:$O$15,MATCH($F79,'CI&amp;S'!$B$10:$B$15,0))="","Cell will autofill based on response",INDEX('CI&amp;S'!$O$10:$O$15,MATCH($F79,'CI&amp;S'!$B$10:$B$15,0))),"N/A")</f>
        <v/>
      </c>
      <c r="M79" s="50">
        <f>IFERROR(IF(INDEX('CI&amp;S'!$O$22:$O$36,MATCH($F79,'CI&amp;S'!$B$22:$B$36,0))="","Cell will autofill based on response",INDEX('CI&amp;S'!$O$22:$O$36,MATCH($F79,'CI&amp;S'!$B$22:$B$36,0))),"N/A")</f>
        <v/>
      </c>
      <c r="N79" s="50">
        <f>IFERROR(IF(INDEX('CFOG'!$O$10:$O$16,MATCH($F79,'CFOG'!$B$10:$B$16,0))="","Cell will autofill based on response",INDEX('CFOG'!$O$10:$O$16,MATCH($F79,'CFOG'!$B$10:$B$16,0))),"N/A")</f>
        <v/>
      </c>
      <c r="O79" s="50">
        <f>IFERROR(IF(INDEX('CFOG'!$O$23:$O$24,MATCH($F79,'CFOG'!$B$23:$B$24,0))="","Cell will autofill based on response",INDEX('CFOG'!$O$23:$O$24,MATCH($F79,'CFOG'!$B$23:$B$24,0))),"N/A")</f>
        <v/>
      </c>
      <c r="P79" s="50">
        <f>IFERROR(IF(INDEX('ESG'!$O$10:$O$17,MATCH($F79,'ESG'!$B$10:$B$17,0))="","Cell will autofill based on response",INDEX('ESG'!$O$10:$O$17,MATCH($F79,'ESG'!$B$10:$B$17,0))),"N/A")</f>
        <v/>
      </c>
      <c r="Q79" s="50">
        <f>IFERROR(IF(INDEX('CIOG'!$O$10:$O$14,MATCH($F79,'CIOG'!$B$10:$B$14,0))="","Cell will autofill based on response",INDEX('CIOG'!$O$10:$O$14,MATCH($F79,'CIOG'!$B$10:$B$14,0))),"N/A")</f>
        <v/>
      </c>
      <c r="R79" s="50">
        <f>IFERROR(IF(INDEX('MRE'!$O$10:$O$18,MATCH($F79,'MRE'!$B$10:$B$18,0))="","Cell will autofill based on response",INDEX('MRE'!$O$10:$O$18,MATCH($F79,'MRE'!$B$10:$B$18,0))),"N/A")</f>
        <v/>
      </c>
      <c r="S79" s="50">
        <f>IFERROR(IF(INDEX('AC&amp;M'!$O$10:$O$14,MATCH($F79,'AC&amp;M'!$B$10:$B$14,0))="","Cell will autofill based on response",INDEX('AC&amp;M'!$O$10:$O$14,MATCH($F79,'AC&amp;M'!$B$10:$B$14,0))),"N/A")</f>
        <v/>
      </c>
      <c r="T79" s="50">
        <f>IFERROR(IF(INDEX('GCE'!$O$10:$O$12,MATCH($F79,'GCE'!$B$10:$B$12,0))="","Cell will autofill based on response",INDEX('GCE'!$O$10:$O$12,MATCH($F79,'GCE'!$B$10:$B$12,0))),"N/A")</f>
        <v/>
      </c>
      <c r="U79" s="50">
        <f>IFERROR(IF(INDEX('Education'!$O$10:$O$13,MATCH($F79,'Education'!$B$10:$B$13,0))="","Cell will autofill based on response",INDEX('Education'!$O$10:$O$13,MATCH($F79,'Education'!$B$10:$B$13,0))),"N/A")</f>
        <v/>
      </c>
      <c r="V79" s="50">
        <f>IFERROR(IF(INDEX('SaSS'!$O$10:$O$12,MATCH($F79,'SaSS'!$B$10:$B$12,0))="","Cell will autofill based on response",INDEX('SaSS'!$O$10:$O$12,MATCH($F79,'SaSS'!$B$10:$B$12,0))),"N/A")</f>
        <v/>
      </c>
      <c r="W79" s="50">
        <f>IFERROR(IF(INDEX('Indigenous'!$O$10:$O$11,MATCH($F79,'Indigenous'!$B$10:$B$11,0))="","Cell will autofill based on response",INDEX('Indigenous'!$O$10:$O$11,MATCH($F79,'Indigenous'!$B$10:$B$11,0))),"N/A")</f>
        <v/>
      </c>
      <c r="X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IFERROR(IF(INDEX('CI&amp;S'!$P$10:$P$15,MATCH($F80,'CI&amp;S'!$B$10:$B$15,0))="","Cell will autofill based on response",INDEX('CI&amp;S'!$P$10:$P$15,MATCH($F80,'CI&amp;S'!$B$10:$B$15,0))),"N/A")</f>
        <v/>
      </c>
      <c r="M80" s="50">
        <f>IFERROR(IF(INDEX('CI&amp;S'!$P$22:$P$36,MATCH($F80,'CI&amp;S'!$B$22:$B$36,0))="","Cell will autofill based on response",INDEX('CI&amp;S'!$P$22:$P$36,MATCH($F80,'CI&amp;S'!$B$22:$B$36,0))),"N/A")</f>
        <v/>
      </c>
      <c r="N80" s="50">
        <f>IFERROR(IF(INDEX('CFOG'!$P$10:$P$16,MATCH($F80,'CFOG'!$B$10:$B$16,0))="","Cell will autofill based on response",INDEX('CFOG'!$P$10:$P$16,MATCH($F80,'CFOG'!$B$10:$B$16,0))),"N/A")</f>
        <v/>
      </c>
      <c r="O80" s="50">
        <f>IFERROR(IF(INDEX('CFOG'!$P$23:$P$24,MATCH($F80,'CFOG'!$B$23:$B$24,0))="","Cell will autofill based on response",INDEX('CFOG'!$P$23:$P$24,MATCH($F80,'CFOG'!$B$23:$B$24,0))),"N/A")</f>
        <v/>
      </c>
      <c r="P80" s="50">
        <f>IFERROR(IF(INDEX('ESG'!$P$10:$P$17,MATCH($F80,'ESG'!$B$10:$B$17,0))="","Cell will autofill based on response",INDEX('ESG'!$P$10:$P$17,MATCH($F80,'ESG'!$B$10:$B$17,0))),"N/A")</f>
        <v/>
      </c>
      <c r="Q80" s="50">
        <f>IFERROR(IF(INDEX('CIOG'!$P$10:$P$14,MATCH($F80,'CIOG'!$B$10:$B$14,0))="","Cell will autofill based on response",INDEX('CIOG'!$P$10:$P$14,MATCH($F80,'CIOG'!$B$10:$B$14,0))),"N/A")</f>
        <v/>
      </c>
      <c r="R80" s="50">
        <f>IFERROR(IF(INDEX('MRE'!$P$10:$P$18,MATCH($F80,'MRE'!$B$10:$B$18,0))="","Cell will autofill based on response",INDEX('MRE'!$P$10:$P$18,MATCH($F80,'MRE'!$B$10:$B$18,0))),"N/A")</f>
        <v/>
      </c>
      <c r="S80" s="50">
        <f>IFERROR(IF(INDEX('AC&amp;M'!$P$10:$P$14,MATCH($F80,'AC&amp;M'!$B$10:$B$14,0))="","Cell will autofill based on response",INDEX('AC&amp;M'!$P$10:$P$14,MATCH($F80,'AC&amp;M'!$B$10:$B$14,0))),"N/A")</f>
        <v/>
      </c>
      <c r="T80" s="50">
        <f>IFERROR(IF(INDEX('GCE'!$P$10:$P$12,MATCH($F80,'GCE'!$B$10:$B$12,0))="","Cell will autofill based on response",INDEX('GCE'!$P$10:$P$12,MATCH($F80,'GCE'!$B$10:$B$12,0))),"N/A")</f>
        <v/>
      </c>
      <c r="U80" s="50">
        <f>IFERROR(IF(INDEX('Education'!$P$10:$P$13,MATCH($F80,'Education'!$B$10:$B$13,0))="","Cell will autofill based on response",INDEX('Education'!$P$10:$P$13,MATCH($F80,'Education'!$B$10:$B$13,0))),"N/A")</f>
        <v/>
      </c>
      <c r="V80" s="50">
        <f>IFERROR(IF(INDEX('SaSS'!$P$10:$P$12,MATCH($F80,'SaSS'!$B$10:$B$12,0))="","Cell will autofill based on response",INDEX('SaSS'!$P$10:$P$12,MATCH($F80,'SaSS'!$B$10:$B$12,0))),"N/A")</f>
        <v/>
      </c>
      <c r="W80" s="50">
        <f>IFERROR(IF(INDEX('Indigenous'!$P$10:$P$11,MATCH($F80,'Indigenous'!$B$10:$B$11,0))="","Cell will autofill based on response",INDEX('Indigenous'!$P$10:$P$11,MATCH($F80,'Indigenous'!$B$10:$B$11,0))),"N/A")</f>
        <v/>
      </c>
      <c r="X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IFERROR(IF(INDEX('CI&amp;S'!$L$10:$L$15,MATCH($F81,'CI&amp;S'!$B$10:$B$15,0))="","Cell will autofill based on response",INDEX('CI&amp;S'!$L$10:$L$15,MATCH($F81,'CI&amp;S'!$B$10:$B$15,0))),"N/A")</f>
        <v/>
      </c>
      <c r="M81" s="50">
        <f>IFERROR(IF(INDEX('CI&amp;S'!$L$22:$L$36,MATCH($F81,'CI&amp;S'!$B$22:$B$36,0))="","Cell will autofill based on response",INDEX('CI&amp;S'!$L$22:$L$36,MATCH($F81,'CI&amp;S'!$B$22:$B$36,0))),"N/A")</f>
        <v/>
      </c>
      <c r="N81" s="50">
        <f>IFERROR(IF(INDEX('CFOG'!$L$10:$L$16,MATCH($F81,'CFOG'!$B$10:$B$16,0))="","Cell will autofill based on response",INDEX('CFOG'!$L$10:$L$16,MATCH($F81,'CFOG'!$B$10:$B$16,0))),"N/A")</f>
        <v/>
      </c>
      <c r="O81" s="50">
        <f>IFERROR(IF(INDEX('CFOG'!$L$23:$L$24,MATCH($F81,'CFOG'!$B$23:$B$24,0))="","Cell will autofill based on response",INDEX('CFOG'!$L$23:$L$24,MATCH($F81,'CFOG'!$B$23:$B$24,0))),"N/A")</f>
        <v/>
      </c>
      <c r="P81" s="50">
        <f>IFERROR(IF(INDEX('ESG'!$L$10:$L$17,MATCH($F81,'ESG'!$B$10:$B$17,0))="","Cell will autofill based on response",INDEX('ESG'!$L$10:$L$17,MATCH($F81,'ESG'!$B$10:$B$17,0))),"N/A")</f>
        <v/>
      </c>
      <c r="Q81" s="50">
        <f>IFERROR(IF(INDEX('CIOG'!$L$10:$L$14,MATCH($F81,'CIOG'!$B$10:$B$14,0))="","Cell will autofill based on response",INDEX('CIOG'!$L$10:$L$14,MATCH($F81,'CIOG'!$B$10:$B$14,0))),"N/A")</f>
        <v/>
      </c>
      <c r="R81" s="50">
        <f>IFERROR(IF(INDEX('MRE'!$L$10:$L$18,MATCH($F81,'MRE'!$B$10:$B$18,0))="","Cell will autofill based on response",INDEX('MRE'!$L$10:$L$18,MATCH($F81,'MRE'!$B$10:$B$18,0))),"N/A")</f>
        <v/>
      </c>
      <c r="S81" s="50">
        <f>IFERROR(IF(INDEX('AC&amp;M'!$L$10:$L$14,MATCH($F81,'AC&amp;M'!$B$10:$B$14,0))="","Cell will autofill based on response",INDEX('AC&amp;M'!$L$10:$L$14,MATCH($F81,'AC&amp;M'!$B$10:$B$14,0))),"N/A")</f>
        <v/>
      </c>
      <c r="T81" s="50">
        <f>IFERROR(IF(INDEX('GCE'!$L$10:$L$12,MATCH($F81,'GCE'!$B$10:$B$12,0))="","Cell will autofill based on response",INDEX('GCE'!$L$10:$L$12,MATCH($F81,'GCE'!$B$10:$B$12,0))),"N/A")</f>
        <v/>
      </c>
      <c r="U81" s="50">
        <f>IFERROR(IF(INDEX('Education'!$L$10:$L$13,MATCH($F81,'Education'!$B$10:$B$13,0))="","Cell will autofill based on response",INDEX('Education'!$L$10:$L$13,MATCH($F81,'Education'!$B$10:$B$13,0))),"N/A")</f>
        <v/>
      </c>
      <c r="V81" s="50">
        <f>IFERROR(IF(INDEX('SaSS'!$L$10:$L$12,MATCH($F81,'SaSS'!$B$10:$B$12,0))="","Cell will autofill based on response",INDEX('SaSS'!$L$10:$L$12,MATCH($F81,'SaSS'!$B$10:$B$12,0))),"N/A")</f>
        <v/>
      </c>
      <c r="W81" s="50">
        <f>IFERROR(IF(INDEX('Indigenous'!$L$10:$L$11,MATCH($F81,'Indigenous'!$B$10:$B$11,0))="","Cell will autofill based on response",INDEX('Indigenous'!$L$10:$L$11,MATCH($F81,'Indigenous'!$B$10:$B$11,0))),"N/A")</f>
        <v/>
      </c>
      <c r="X81" s="50">
        <f>IFERROR(IF(INDEX('L&amp;R'!$L$10:$L$11,MATCH($F81,'L&amp;R'!$B$10:$B$11,0))="","Cell will autofill based on response",INDEX('L&amp;R'!$L$10:$L$11,MATCH($F81,'L&amp;R'!$B$10:$B$11,0))),"N/A")</f>
        <v/>
      </c>
      <c r="Z81" s="8">
        <f>SUMPRODUCT(--($H81:$X81&lt;&gt;"N/A"))</f>
        <v/>
      </c>
      <c r="AA81" s="8">
        <f>SUMPRODUCT(--(((($H81:$X81&lt;&gt;"N/A")*($H81:$X81&lt;&gt;"Cell will autofill based on response"))+(($H82:$X82&lt;&gt;"N/A")*($H82:$X82&lt;&gt;"Cell will autofill based on response")))&gt;0))</f>
        <v/>
      </c>
      <c r="AB81" s="8">
        <f>Z81-AA81</f>
        <v/>
      </c>
      <c r="AC81" s="8">
        <f>COUNTIF($H85:$X85,"Yes")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IFERROR(IF(INDEX('CI&amp;S'!$M$10:$M$15,MATCH($F82,'CI&amp;S'!$B$10:$B$15,0))="","Cell will autofill based on response",INDEX('CI&amp;S'!$M$10:$M$15,MATCH($F82,'CI&amp;S'!$B$10:$B$15,0))),"N/A")</f>
        <v/>
      </c>
      <c r="M82" s="50">
        <f>IFERROR(IF(INDEX('CI&amp;S'!$M$22:$M$36,MATCH($F82,'CI&amp;S'!$B$22:$B$36,0))="","Cell will autofill based on response",INDEX('CI&amp;S'!$M$22:$M$36,MATCH($F82,'CI&amp;S'!$B$22:$B$36,0))),"N/A")</f>
        <v/>
      </c>
      <c r="N82" s="50">
        <f>IFERROR(IF(INDEX('CFOG'!$M$10:$M$16,MATCH($F82,'CFOG'!$B$10:$B$16,0))="","Cell will autofill based on response",INDEX('CFOG'!$M$10:$M$16,MATCH($F82,'CFOG'!$B$10:$B$16,0))),"N/A")</f>
        <v/>
      </c>
      <c r="O82" s="50">
        <f>IFERROR(IF(INDEX('CFOG'!$M$23:$M$24,MATCH($F82,'CFOG'!$B$23:$B$24,0))="","Cell will autofill based on response",INDEX('CFOG'!$M$23:$M$24,MATCH($F82,'CFOG'!$B$23:$B$24,0))),"N/A")</f>
        <v/>
      </c>
      <c r="P82" s="50">
        <f>IFERROR(IF(INDEX('ESG'!$M$10:$M$17,MATCH($F82,'ESG'!$B$10:$B$17,0))="","Cell will autofill based on response",INDEX('ESG'!$M$10:$M$17,MATCH($F82,'ESG'!$B$10:$B$17,0))),"N/A")</f>
        <v/>
      </c>
      <c r="Q82" s="50">
        <f>IFERROR(IF(INDEX('CIOG'!$M$10:$M$14,MATCH($F82,'CIOG'!$B$10:$B$14,0))="","Cell will autofill based on response",INDEX('CIOG'!$M$10:$M$14,MATCH($F82,'CIOG'!$B$10:$B$14,0))),"N/A")</f>
        <v/>
      </c>
      <c r="R82" s="50">
        <f>IFERROR(IF(INDEX('MRE'!$M$10:$M$18,MATCH($F82,'MRE'!$B$10:$B$18,0))="","Cell will autofill based on response",INDEX('MRE'!$M$10:$M$18,MATCH($F82,'MRE'!$B$10:$B$18,0))),"N/A")</f>
        <v/>
      </c>
      <c r="S82" s="50">
        <f>IFERROR(IF(INDEX('AC&amp;M'!$M$10:$M$14,MATCH($F82,'AC&amp;M'!$B$10:$B$14,0))="","Cell will autofill based on response",INDEX('AC&amp;M'!$M$10:$M$14,MATCH($F82,'AC&amp;M'!$B$10:$B$14,0))),"N/A")</f>
        <v/>
      </c>
      <c r="T82" s="50">
        <f>IFERROR(IF(INDEX('GCE'!$M$10:$M$12,MATCH($F82,'GCE'!$B$10:$B$12,0))="","Cell will autofill based on response",INDEX('GCE'!$M$10:$M$12,MATCH($F82,'GCE'!$B$10:$B$12,0))),"N/A")</f>
        <v/>
      </c>
      <c r="U82" s="50">
        <f>IFERROR(IF(INDEX('Education'!$M$10:$M$13,MATCH($F82,'Education'!$B$10:$B$13,0))="","Cell will autofill based on response",INDEX('Education'!$M$10:$M$13,MATCH($F82,'Education'!$B$10:$B$13,0))),"N/A")</f>
        <v/>
      </c>
      <c r="V82" s="50">
        <f>IFERROR(IF(INDEX('SaSS'!$M$10:$M$12,MATCH($F82,'SaSS'!$B$10:$B$12,0))="","Cell will autofill based on response",INDEX('SaSS'!$M$10:$M$12,MATCH($F82,'SaSS'!$B$10:$B$12,0))),"N/A")</f>
        <v/>
      </c>
      <c r="W82" s="50">
        <f>IFERROR(IF(INDEX('Indigenous'!$M$10:$M$11,MATCH($F82,'Indigenous'!$B$10:$B$11,0))="","Cell will autofill based on response",INDEX('Indigenous'!$M$10:$M$11,MATCH($F82,'Indigenous'!$B$10:$B$11,0))),"N/A")</f>
        <v/>
      </c>
      <c r="X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IFERROR(IF(INDEX('CI&amp;S'!$N$10:$N$15,MATCH($F83,'CI&amp;S'!$B$10:$B$15,0))="","Cell will autofill based on response",INDEX('CI&amp;S'!$N$10:$N$15,MATCH($F83,'CI&amp;S'!$B$10:$B$15,0))),"N/A")</f>
        <v/>
      </c>
      <c r="M83" s="50">
        <f>IFERROR(IF(INDEX('CI&amp;S'!$N$22:$N$36,MATCH($F83,'CI&amp;S'!$B$22:$B$36,0))="","Cell will autofill based on response",INDEX('CI&amp;S'!$N$22:$N$36,MATCH($F83,'CI&amp;S'!$B$22:$B$36,0))),"N/A")</f>
        <v/>
      </c>
      <c r="N83" s="50">
        <f>IFERROR(IF(INDEX('CFOG'!$N$10:$N$16,MATCH($F83,'CFOG'!$B$10:$B$16,0))="","Cell will autofill based on response",INDEX('CFOG'!$N$10:$N$16,MATCH($F83,'CFOG'!$B$10:$B$16,0))),"N/A")</f>
        <v/>
      </c>
      <c r="O83" s="50">
        <f>IFERROR(IF(INDEX('CFOG'!$N$23:$N$24,MATCH($F83,'CFOG'!$B$23:$B$24,0))="","Cell will autofill based on response",INDEX('CFOG'!$N$23:$N$24,MATCH($F83,'CFOG'!$B$23:$B$24,0))),"N/A")</f>
        <v/>
      </c>
      <c r="P83" s="50">
        <f>IFERROR(IF(INDEX('ESG'!$N$10:$N$17,MATCH($F83,'ESG'!$B$10:$B$17,0))="","Cell will autofill based on response",INDEX('ESG'!$N$10:$N$17,MATCH($F83,'ESG'!$B$10:$B$17,0))),"N/A")</f>
        <v/>
      </c>
      <c r="Q83" s="50">
        <f>IFERROR(IF(INDEX('CIOG'!$N$10:$N$14,MATCH($F83,'CIOG'!$B$10:$B$14,0))="","Cell will autofill based on response",INDEX('CIOG'!$N$10:$N$14,MATCH($F83,'CIOG'!$B$10:$B$14,0))),"N/A")</f>
        <v/>
      </c>
      <c r="R83" s="50">
        <f>IFERROR(IF(INDEX('MRE'!$N$10:$N$18,MATCH($F83,'MRE'!$B$10:$B$18,0))="","Cell will autofill based on response",INDEX('MRE'!$N$10:$N$18,MATCH($F83,'MRE'!$B$10:$B$18,0))),"N/A")</f>
        <v/>
      </c>
      <c r="S83" s="50">
        <f>IFERROR(IF(INDEX('AC&amp;M'!$N$10:$N$14,MATCH($F83,'AC&amp;M'!$B$10:$B$14,0))="","Cell will autofill based on response",INDEX('AC&amp;M'!$N$10:$N$14,MATCH($F83,'AC&amp;M'!$B$10:$B$14,0))),"N/A")</f>
        <v/>
      </c>
      <c r="T83" s="50">
        <f>IFERROR(IF(INDEX('GCE'!$N$10:$N$12,MATCH($F83,'GCE'!$B$10:$B$12,0))="","Cell will autofill based on response",INDEX('GCE'!$N$10:$N$12,MATCH($F83,'GCE'!$B$10:$B$12,0))),"N/A")</f>
        <v/>
      </c>
      <c r="U83" s="50">
        <f>IFERROR(IF(INDEX('Education'!$N$10:$N$13,MATCH($F83,'Education'!$B$10:$B$13,0))="","Cell will autofill based on response",INDEX('Education'!$N$10:$N$13,MATCH($F83,'Education'!$B$10:$B$13,0))),"N/A")</f>
        <v/>
      </c>
      <c r="V83" s="50">
        <f>IFERROR(IF(INDEX('SaSS'!$N$10:$N$12,MATCH($F83,'SaSS'!$B$10:$B$12,0))="","Cell will autofill based on response",INDEX('SaSS'!$N$10:$N$12,MATCH($F83,'SaSS'!$B$10:$B$12,0))),"N/A")</f>
        <v/>
      </c>
      <c r="W83" s="50">
        <f>IFERROR(IF(INDEX('Indigenous'!$N$10:$N$11,MATCH($F83,'Indigenous'!$B$10:$B$11,0))="","Cell will autofill based on response",INDEX('Indigenous'!$N$10:$N$11,MATCH($F83,'Indigenous'!$B$10:$B$11,0))),"N/A")</f>
        <v/>
      </c>
      <c r="X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IFERROR(IF(INDEX('CI&amp;S'!$O$10:$O$15,MATCH($F84,'CI&amp;S'!$B$10:$B$15,0))="","Cell will autofill based on response",INDEX('CI&amp;S'!$O$10:$O$15,MATCH($F84,'CI&amp;S'!$B$10:$B$15,0))),"N/A")</f>
        <v/>
      </c>
      <c r="M84" s="50">
        <f>IFERROR(IF(INDEX('CI&amp;S'!$O$22:$O$36,MATCH($F84,'CI&amp;S'!$B$22:$B$36,0))="","Cell will autofill based on response",INDEX('CI&amp;S'!$O$22:$O$36,MATCH($F84,'CI&amp;S'!$B$22:$B$36,0))),"N/A")</f>
        <v/>
      </c>
      <c r="N84" s="50">
        <f>IFERROR(IF(INDEX('CFOG'!$O$10:$O$16,MATCH($F84,'CFOG'!$B$10:$B$16,0))="","Cell will autofill based on response",INDEX('CFOG'!$O$10:$O$16,MATCH($F84,'CFOG'!$B$10:$B$16,0))),"N/A")</f>
        <v/>
      </c>
      <c r="O84" s="50">
        <f>IFERROR(IF(INDEX('CFOG'!$O$23:$O$24,MATCH($F84,'CFOG'!$B$23:$B$24,0))="","Cell will autofill based on response",INDEX('CFOG'!$O$23:$O$24,MATCH($F84,'CFOG'!$B$23:$B$24,0))),"N/A")</f>
        <v/>
      </c>
      <c r="P84" s="50">
        <f>IFERROR(IF(INDEX('ESG'!$O$10:$O$17,MATCH($F84,'ESG'!$B$10:$B$17,0))="","Cell will autofill based on response",INDEX('ESG'!$O$10:$O$17,MATCH($F84,'ESG'!$B$10:$B$17,0))),"N/A")</f>
        <v/>
      </c>
      <c r="Q84" s="50">
        <f>IFERROR(IF(INDEX('CIOG'!$O$10:$O$14,MATCH($F84,'CIOG'!$B$10:$B$14,0))="","Cell will autofill based on response",INDEX('CIOG'!$O$10:$O$14,MATCH($F84,'CIOG'!$B$10:$B$14,0))),"N/A")</f>
        <v/>
      </c>
      <c r="R84" s="50">
        <f>IFERROR(IF(INDEX('MRE'!$O$10:$O$18,MATCH($F84,'MRE'!$B$10:$B$18,0))="","Cell will autofill based on response",INDEX('MRE'!$O$10:$O$18,MATCH($F84,'MRE'!$B$10:$B$18,0))),"N/A")</f>
        <v/>
      </c>
      <c r="S84" s="50">
        <f>IFERROR(IF(INDEX('AC&amp;M'!$O$10:$O$14,MATCH($F84,'AC&amp;M'!$B$10:$B$14,0))="","Cell will autofill based on response",INDEX('AC&amp;M'!$O$10:$O$14,MATCH($F84,'AC&amp;M'!$B$10:$B$14,0))),"N/A")</f>
        <v/>
      </c>
      <c r="T84" s="50">
        <f>IFERROR(IF(INDEX('GCE'!$O$10:$O$12,MATCH($F84,'GCE'!$B$10:$B$12,0))="","Cell will autofill based on response",INDEX('GCE'!$O$10:$O$12,MATCH($F84,'GCE'!$B$10:$B$12,0))),"N/A")</f>
        <v/>
      </c>
      <c r="U84" s="50">
        <f>IFERROR(IF(INDEX('Education'!$O$10:$O$13,MATCH($F84,'Education'!$B$10:$B$13,0))="","Cell will autofill based on response",INDEX('Education'!$O$10:$O$13,MATCH($F84,'Education'!$B$10:$B$13,0))),"N/A")</f>
        <v/>
      </c>
      <c r="V84" s="50">
        <f>IFERROR(IF(INDEX('SaSS'!$O$10:$O$12,MATCH($F84,'SaSS'!$B$10:$B$12,0))="","Cell will autofill based on response",INDEX('SaSS'!$O$10:$O$12,MATCH($F84,'SaSS'!$B$10:$B$12,0))),"N/A")</f>
        <v/>
      </c>
      <c r="W84" s="50">
        <f>IFERROR(IF(INDEX('Indigenous'!$O$10:$O$11,MATCH($F84,'Indigenous'!$B$10:$B$11,0))="","Cell will autofill based on response",INDEX('Indigenous'!$O$10:$O$11,MATCH($F84,'Indigenous'!$B$10:$B$11,0))),"N/A")</f>
        <v/>
      </c>
      <c r="X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IFERROR(IF(INDEX('CI&amp;S'!$P$10:$P$15,MATCH($F85,'CI&amp;S'!$B$10:$B$15,0))="","Cell will autofill based on response",INDEX('CI&amp;S'!$P$10:$P$15,MATCH($F85,'CI&amp;S'!$B$10:$B$15,0))),"N/A")</f>
        <v/>
      </c>
      <c r="M85" s="50">
        <f>IFERROR(IF(INDEX('CI&amp;S'!$P$22:$P$36,MATCH($F85,'CI&amp;S'!$B$22:$B$36,0))="","Cell will autofill based on response",INDEX('CI&amp;S'!$P$22:$P$36,MATCH($F85,'CI&amp;S'!$B$22:$B$36,0))),"N/A")</f>
        <v/>
      </c>
      <c r="N85" s="50">
        <f>IFERROR(IF(INDEX('CFOG'!$P$10:$P$16,MATCH($F85,'CFOG'!$B$10:$B$16,0))="","Cell will autofill based on response",INDEX('CFOG'!$P$10:$P$16,MATCH($F85,'CFOG'!$B$10:$B$16,0))),"N/A")</f>
        <v/>
      </c>
      <c r="O85" s="50">
        <f>IFERROR(IF(INDEX('CFOG'!$P$23:$P$24,MATCH($F85,'CFOG'!$B$23:$B$24,0))="","Cell will autofill based on response",INDEX('CFOG'!$P$23:$P$24,MATCH($F85,'CFOG'!$B$23:$B$24,0))),"N/A")</f>
        <v/>
      </c>
      <c r="P85" s="50">
        <f>IFERROR(IF(INDEX('ESG'!$P$10:$P$17,MATCH($F85,'ESG'!$B$10:$B$17,0))="","Cell will autofill based on response",INDEX('ESG'!$P$10:$P$17,MATCH($F85,'ESG'!$B$10:$B$17,0))),"N/A")</f>
        <v/>
      </c>
      <c r="Q85" s="50">
        <f>IFERROR(IF(INDEX('CIOG'!$P$10:$P$14,MATCH($F85,'CIOG'!$B$10:$B$14,0))="","Cell will autofill based on response",INDEX('CIOG'!$P$10:$P$14,MATCH($F85,'CIOG'!$B$10:$B$14,0))),"N/A")</f>
        <v/>
      </c>
      <c r="R85" s="50">
        <f>IFERROR(IF(INDEX('MRE'!$P$10:$P$18,MATCH($F85,'MRE'!$B$10:$B$18,0))="","Cell will autofill based on response",INDEX('MRE'!$P$10:$P$18,MATCH($F85,'MRE'!$B$10:$B$18,0))),"N/A")</f>
        <v/>
      </c>
      <c r="S85" s="50">
        <f>IFERROR(IF(INDEX('AC&amp;M'!$P$10:$P$14,MATCH($F85,'AC&amp;M'!$B$10:$B$14,0))="","Cell will autofill based on response",INDEX('AC&amp;M'!$P$10:$P$14,MATCH($F85,'AC&amp;M'!$B$10:$B$14,0))),"N/A")</f>
        <v/>
      </c>
      <c r="T85" s="50">
        <f>IFERROR(IF(INDEX('GCE'!$P$10:$P$12,MATCH($F85,'GCE'!$B$10:$B$12,0))="","Cell will autofill based on response",INDEX('GCE'!$P$10:$P$12,MATCH($F85,'GCE'!$B$10:$B$12,0))),"N/A")</f>
        <v/>
      </c>
      <c r="U85" s="50">
        <f>IFERROR(IF(INDEX('Education'!$P$10:$P$13,MATCH($F85,'Education'!$B$10:$B$13,0))="","Cell will autofill based on response",INDEX('Education'!$P$10:$P$13,MATCH($F85,'Education'!$B$10:$B$13,0))),"N/A")</f>
        <v/>
      </c>
      <c r="V85" s="50">
        <f>IFERROR(IF(INDEX('SaSS'!$P$10:$P$12,MATCH($F85,'SaSS'!$B$10:$B$12,0))="","Cell will autofill based on response",INDEX('SaSS'!$P$10:$P$12,MATCH($F85,'SaSS'!$B$10:$B$12,0))),"N/A")</f>
        <v/>
      </c>
      <c r="W85" s="50">
        <f>IFERROR(IF(INDEX('Indigenous'!$P$10:$P$11,MATCH($F85,'Indigenous'!$B$10:$B$11,0))="","Cell will autofill based on response",INDEX('Indigenous'!$P$10:$P$11,MATCH($F85,'Indigenous'!$B$10:$B$11,0))),"N/A")</f>
        <v/>
      </c>
      <c r="X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IFERROR(IF(INDEX('CI&amp;S'!$L$10:$L$15,MATCH($F86,'CI&amp;S'!$B$10:$B$15,0))="","Cell will autofill based on response",INDEX('CI&amp;S'!$L$10:$L$15,MATCH($F86,'CI&amp;S'!$B$10:$B$15,0))),"N/A")</f>
        <v/>
      </c>
      <c r="M86" s="50">
        <f>IFERROR(IF(INDEX('CI&amp;S'!$L$22:$L$36,MATCH($F86,'CI&amp;S'!$B$22:$B$36,0))="","Cell will autofill based on response",INDEX('CI&amp;S'!$L$22:$L$36,MATCH($F86,'CI&amp;S'!$B$22:$B$36,0))),"N/A")</f>
        <v/>
      </c>
      <c r="N86" s="50">
        <f>IFERROR(IF(INDEX('CFOG'!$L$10:$L$16,MATCH($F86,'CFOG'!$B$10:$B$16,0))="","Cell will autofill based on response",INDEX('CFOG'!$L$10:$L$16,MATCH($F86,'CFOG'!$B$10:$B$16,0))),"N/A")</f>
        <v/>
      </c>
      <c r="O86" s="50">
        <f>IFERROR(IF(INDEX('CFOG'!$L$23:$L$24,MATCH($F86,'CFOG'!$B$23:$B$24,0))="","Cell will autofill based on response",INDEX('CFOG'!$L$23:$L$24,MATCH($F86,'CFOG'!$B$23:$B$24,0))),"N/A")</f>
        <v/>
      </c>
      <c r="P86" s="50">
        <f>IFERROR(IF(INDEX('ESG'!$L$10:$L$17,MATCH($F86,'ESG'!$B$10:$B$17,0))="","Cell will autofill based on response",INDEX('ESG'!$L$10:$L$17,MATCH($F86,'ESG'!$B$10:$B$17,0))),"N/A")</f>
        <v/>
      </c>
      <c r="Q86" s="50">
        <f>IFERROR(IF(INDEX('CIOG'!$L$10:$L$14,MATCH($F86,'CIOG'!$B$10:$B$14,0))="","Cell will autofill based on response",INDEX('CIOG'!$L$10:$L$14,MATCH($F86,'CIOG'!$B$10:$B$14,0))),"N/A")</f>
        <v/>
      </c>
      <c r="R86" s="50">
        <f>IFERROR(IF(INDEX('MRE'!$L$10:$L$18,MATCH($F86,'MRE'!$B$10:$B$18,0))="","Cell will autofill based on response",INDEX('MRE'!$L$10:$L$18,MATCH($F86,'MRE'!$B$10:$B$18,0))),"N/A")</f>
        <v/>
      </c>
      <c r="S86" s="50">
        <f>IFERROR(IF(INDEX('AC&amp;M'!$L$10:$L$14,MATCH($F86,'AC&amp;M'!$B$10:$B$14,0))="","Cell will autofill based on response",INDEX('AC&amp;M'!$L$10:$L$14,MATCH($F86,'AC&amp;M'!$B$10:$B$14,0))),"N/A")</f>
        <v/>
      </c>
      <c r="T86" s="50">
        <f>IFERROR(IF(INDEX('GCE'!$L$10:$L$12,MATCH($F86,'GCE'!$B$10:$B$12,0))="","Cell will autofill based on response",INDEX('GCE'!$L$10:$L$12,MATCH($F86,'GCE'!$B$10:$B$12,0))),"N/A")</f>
        <v/>
      </c>
      <c r="U86" s="50">
        <f>IFERROR(IF(INDEX('Education'!$L$10:$L$13,MATCH($F86,'Education'!$B$10:$B$13,0))="","Cell will autofill based on response",INDEX('Education'!$L$10:$L$13,MATCH($F86,'Education'!$B$10:$B$13,0))),"N/A")</f>
        <v/>
      </c>
      <c r="V86" s="50">
        <f>IFERROR(IF(INDEX('SaSS'!$L$10:$L$12,MATCH($F86,'SaSS'!$B$10:$B$12,0))="","Cell will autofill based on response",INDEX('SaSS'!$L$10:$L$12,MATCH($F86,'SaSS'!$B$10:$B$12,0))),"N/A")</f>
        <v/>
      </c>
      <c r="W86" s="50">
        <f>IFERROR(IF(INDEX('Indigenous'!$L$10:$L$11,MATCH($F86,'Indigenous'!$B$10:$B$11,0))="","Cell will autofill based on response",INDEX('Indigenous'!$L$10:$L$11,MATCH($F86,'Indigenous'!$B$10:$B$11,0))),"N/A")</f>
        <v/>
      </c>
      <c r="X86" s="50">
        <f>IFERROR(IF(INDEX('L&amp;R'!$L$10:$L$11,MATCH($F86,'L&amp;R'!$B$10:$B$11,0))="","Cell will autofill based on response",INDEX('L&amp;R'!$L$10:$L$11,MATCH($F86,'L&amp;R'!$B$10:$B$11,0))),"N/A")</f>
        <v/>
      </c>
      <c r="Z86" s="8">
        <f>SUMPRODUCT(--($H86:$X86&lt;&gt;"N/A"))</f>
        <v/>
      </c>
      <c r="AA86" s="8">
        <f>SUMPRODUCT(--(((($H86:$X86&lt;&gt;"N/A")*($H86:$X86&lt;&gt;"Cell will autofill based on response"))+(($H87:$X87&lt;&gt;"N/A")*($H87:$X87&lt;&gt;"Cell will autofill based on response")))&gt;0))</f>
        <v/>
      </c>
      <c r="AB86" s="8">
        <f>Z86-AA86</f>
        <v/>
      </c>
      <c r="AC86" s="8">
        <f>COUNTIF($H90:$X90,"Yes")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IFERROR(IF(INDEX('CI&amp;S'!$M$10:$M$15,MATCH($F87,'CI&amp;S'!$B$10:$B$15,0))="","Cell will autofill based on response",INDEX('CI&amp;S'!$M$10:$M$15,MATCH($F87,'CI&amp;S'!$B$10:$B$15,0))),"N/A")</f>
        <v/>
      </c>
      <c r="M87" s="50">
        <f>IFERROR(IF(INDEX('CI&amp;S'!$M$22:$M$36,MATCH($F87,'CI&amp;S'!$B$22:$B$36,0))="","Cell will autofill based on response",INDEX('CI&amp;S'!$M$22:$M$36,MATCH($F87,'CI&amp;S'!$B$22:$B$36,0))),"N/A")</f>
        <v/>
      </c>
      <c r="N87" s="50">
        <f>IFERROR(IF(INDEX('CFOG'!$M$10:$M$16,MATCH($F87,'CFOG'!$B$10:$B$16,0))="","Cell will autofill based on response",INDEX('CFOG'!$M$10:$M$16,MATCH($F87,'CFOG'!$B$10:$B$16,0))),"N/A")</f>
        <v/>
      </c>
      <c r="O87" s="50">
        <f>IFERROR(IF(INDEX('CFOG'!$M$23:$M$24,MATCH($F87,'CFOG'!$B$23:$B$24,0))="","Cell will autofill based on response",INDEX('CFOG'!$M$23:$M$24,MATCH($F87,'CFOG'!$B$23:$B$24,0))),"N/A")</f>
        <v/>
      </c>
      <c r="P87" s="50">
        <f>IFERROR(IF(INDEX('ESG'!$M$10:$M$17,MATCH($F87,'ESG'!$B$10:$B$17,0))="","Cell will autofill based on response",INDEX('ESG'!$M$10:$M$17,MATCH($F87,'ESG'!$B$10:$B$17,0))),"N/A")</f>
        <v/>
      </c>
      <c r="Q87" s="50">
        <f>IFERROR(IF(INDEX('CIOG'!$M$10:$M$14,MATCH($F87,'CIOG'!$B$10:$B$14,0))="","Cell will autofill based on response",INDEX('CIOG'!$M$10:$M$14,MATCH($F87,'CIOG'!$B$10:$B$14,0))),"N/A")</f>
        <v/>
      </c>
      <c r="R87" s="50">
        <f>IFERROR(IF(INDEX('MRE'!$M$10:$M$18,MATCH($F87,'MRE'!$B$10:$B$18,0))="","Cell will autofill based on response",INDEX('MRE'!$M$10:$M$18,MATCH($F87,'MRE'!$B$10:$B$18,0))),"N/A")</f>
        <v/>
      </c>
      <c r="S87" s="50">
        <f>IFERROR(IF(INDEX('AC&amp;M'!$M$10:$M$14,MATCH($F87,'AC&amp;M'!$B$10:$B$14,0))="","Cell will autofill based on response",INDEX('AC&amp;M'!$M$10:$M$14,MATCH($F87,'AC&amp;M'!$B$10:$B$14,0))),"N/A")</f>
        <v/>
      </c>
      <c r="T87" s="50">
        <f>IFERROR(IF(INDEX('GCE'!$M$10:$M$12,MATCH($F87,'GCE'!$B$10:$B$12,0))="","Cell will autofill based on response",INDEX('GCE'!$M$10:$M$12,MATCH($F87,'GCE'!$B$10:$B$12,0))),"N/A")</f>
        <v/>
      </c>
      <c r="U87" s="50">
        <f>IFERROR(IF(INDEX('Education'!$M$10:$M$13,MATCH($F87,'Education'!$B$10:$B$13,0))="","Cell will autofill based on response",INDEX('Education'!$M$10:$M$13,MATCH($F87,'Education'!$B$10:$B$13,0))),"N/A")</f>
        <v/>
      </c>
      <c r="V87" s="50">
        <f>IFERROR(IF(INDEX('SaSS'!$M$10:$M$12,MATCH($F87,'SaSS'!$B$10:$B$12,0))="","Cell will autofill based on response",INDEX('SaSS'!$M$10:$M$12,MATCH($F87,'SaSS'!$B$10:$B$12,0))),"N/A")</f>
        <v/>
      </c>
      <c r="W87" s="50">
        <f>IFERROR(IF(INDEX('Indigenous'!$M$10:$M$11,MATCH($F87,'Indigenous'!$B$10:$B$11,0))="","Cell will autofill based on response",INDEX('Indigenous'!$M$10:$M$11,MATCH($F87,'Indigenous'!$B$10:$B$11,0))),"N/A")</f>
        <v/>
      </c>
      <c r="X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IFERROR(IF(INDEX('CI&amp;S'!$N$10:$N$15,MATCH($F88,'CI&amp;S'!$B$10:$B$15,0))="","Cell will autofill based on response",INDEX('CI&amp;S'!$N$10:$N$15,MATCH($F88,'CI&amp;S'!$B$10:$B$15,0))),"N/A")</f>
        <v/>
      </c>
      <c r="M88" s="50">
        <f>IFERROR(IF(INDEX('CI&amp;S'!$N$22:$N$36,MATCH($F88,'CI&amp;S'!$B$22:$B$36,0))="","Cell will autofill based on response",INDEX('CI&amp;S'!$N$22:$N$36,MATCH($F88,'CI&amp;S'!$B$22:$B$36,0))),"N/A")</f>
        <v/>
      </c>
      <c r="N88" s="50">
        <f>IFERROR(IF(INDEX('CFOG'!$N$10:$N$16,MATCH($F88,'CFOG'!$B$10:$B$16,0))="","Cell will autofill based on response",INDEX('CFOG'!$N$10:$N$16,MATCH($F88,'CFOG'!$B$10:$B$16,0))),"N/A")</f>
        <v/>
      </c>
      <c r="O88" s="50">
        <f>IFERROR(IF(INDEX('CFOG'!$N$23:$N$24,MATCH($F88,'CFOG'!$B$23:$B$24,0))="","Cell will autofill based on response",INDEX('CFOG'!$N$23:$N$24,MATCH($F88,'CFOG'!$B$23:$B$24,0))),"N/A")</f>
        <v/>
      </c>
      <c r="P88" s="50">
        <f>IFERROR(IF(INDEX('ESG'!$N$10:$N$17,MATCH($F88,'ESG'!$B$10:$B$17,0))="","Cell will autofill based on response",INDEX('ESG'!$N$10:$N$17,MATCH($F88,'ESG'!$B$10:$B$17,0))),"N/A")</f>
        <v/>
      </c>
      <c r="Q88" s="50">
        <f>IFERROR(IF(INDEX('CIOG'!$N$10:$N$14,MATCH($F88,'CIOG'!$B$10:$B$14,0))="","Cell will autofill based on response",INDEX('CIOG'!$N$10:$N$14,MATCH($F88,'CIOG'!$B$10:$B$14,0))),"N/A")</f>
        <v/>
      </c>
      <c r="R88" s="50">
        <f>IFERROR(IF(INDEX('MRE'!$N$10:$N$18,MATCH($F88,'MRE'!$B$10:$B$18,0))="","Cell will autofill based on response",INDEX('MRE'!$N$10:$N$18,MATCH($F88,'MRE'!$B$10:$B$18,0))),"N/A")</f>
        <v/>
      </c>
      <c r="S88" s="50">
        <f>IFERROR(IF(INDEX('AC&amp;M'!$N$10:$N$14,MATCH($F88,'AC&amp;M'!$B$10:$B$14,0))="","Cell will autofill based on response",INDEX('AC&amp;M'!$N$10:$N$14,MATCH($F88,'AC&amp;M'!$B$10:$B$14,0))),"N/A")</f>
        <v/>
      </c>
      <c r="T88" s="50">
        <f>IFERROR(IF(INDEX('GCE'!$N$10:$N$12,MATCH($F88,'GCE'!$B$10:$B$12,0))="","Cell will autofill based on response",INDEX('GCE'!$N$10:$N$12,MATCH($F88,'GCE'!$B$10:$B$12,0))),"N/A")</f>
        <v/>
      </c>
      <c r="U88" s="50">
        <f>IFERROR(IF(INDEX('Education'!$N$10:$N$13,MATCH($F88,'Education'!$B$10:$B$13,0))="","Cell will autofill based on response",INDEX('Education'!$N$10:$N$13,MATCH($F88,'Education'!$B$10:$B$13,0))),"N/A")</f>
        <v/>
      </c>
      <c r="V88" s="50">
        <f>IFERROR(IF(INDEX('SaSS'!$N$10:$N$12,MATCH($F88,'SaSS'!$B$10:$B$12,0))="","Cell will autofill based on response",INDEX('SaSS'!$N$10:$N$12,MATCH($F88,'SaSS'!$B$10:$B$12,0))),"N/A")</f>
        <v/>
      </c>
      <c r="W88" s="50">
        <f>IFERROR(IF(INDEX('Indigenous'!$N$10:$N$11,MATCH($F88,'Indigenous'!$B$10:$B$11,0))="","Cell will autofill based on response",INDEX('Indigenous'!$N$10:$N$11,MATCH($F88,'Indigenous'!$B$10:$B$11,0))),"N/A")</f>
        <v/>
      </c>
      <c r="X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IFERROR(IF(INDEX('CI&amp;S'!$O$10:$O$15,MATCH($F89,'CI&amp;S'!$B$10:$B$15,0))="","Cell will autofill based on response",INDEX('CI&amp;S'!$O$10:$O$15,MATCH($F89,'CI&amp;S'!$B$10:$B$15,0))),"N/A")</f>
        <v/>
      </c>
      <c r="M89" s="50">
        <f>IFERROR(IF(INDEX('CI&amp;S'!$O$22:$O$36,MATCH($F89,'CI&amp;S'!$B$22:$B$36,0))="","Cell will autofill based on response",INDEX('CI&amp;S'!$O$22:$O$36,MATCH($F89,'CI&amp;S'!$B$22:$B$36,0))),"N/A")</f>
        <v/>
      </c>
      <c r="N89" s="50">
        <f>IFERROR(IF(INDEX('CFOG'!$O$10:$O$16,MATCH($F89,'CFOG'!$B$10:$B$16,0))="","Cell will autofill based on response",INDEX('CFOG'!$O$10:$O$16,MATCH($F89,'CFOG'!$B$10:$B$16,0))),"N/A")</f>
        <v/>
      </c>
      <c r="O89" s="50">
        <f>IFERROR(IF(INDEX('CFOG'!$O$23:$O$24,MATCH($F89,'CFOG'!$B$23:$B$24,0))="","Cell will autofill based on response",INDEX('CFOG'!$O$23:$O$24,MATCH($F89,'CFOG'!$B$23:$B$24,0))),"N/A")</f>
        <v/>
      </c>
      <c r="P89" s="50">
        <f>IFERROR(IF(INDEX('ESG'!$O$10:$O$17,MATCH($F89,'ESG'!$B$10:$B$17,0))="","Cell will autofill based on response",INDEX('ESG'!$O$10:$O$17,MATCH($F89,'ESG'!$B$10:$B$17,0))),"N/A")</f>
        <v/>
      </c>
      <c r="Q89" s="50">
        <f>IFERROR(IF(INDEX('CIOG'!$O$10:$O$14,MATCH($F89,'CIOG'!$B$10:$B$14,0))="","Cell will autofill based on response",INDEX('CIOG'!$O$10:$O$14,MATCH($F89,'CIOG'!$B$10:$B$14,0))),"N/A")</f>
        <v/>
      </c>
      <c r="R89" s="50">
        <f>IFERROR(IF(INDEX('MRE'!$O$10:$O$18,MATCH($F89,'MRE'!$B$10:$B$18,0))="","Cell will autofill based on response",INDEX('MRE'!$O$10:$O$18,MATCH($F89,'MRE'!$B$10:$B$18,0))),"N/A")</f>
        <v/>
      </c>
      <c r="S89" s="50">
        <f>IFERROR(IF(INDEX('AC&amp;M'!$O$10:$O$14,MATCH($F89,'AC&amp;M'!$B$10:$B$14,0))="","Cell will autofill based on response",INDEX('AC&amp;M'!$O$10:$O$14,MATCH($F89,'AC&amp;M'!$B$10:$B$14,0))),"N/A")</f>
        <v/>
      </c>
      <c r="T89" s="50">
        <f>IFERROR(IF(INDEX('GCE'!$O$10:$O$12,MATCH($F89,'GCE'!$B$10:$B$12,0))="","Cell will autofill based on response",INDEX('GCE'!$O$10:$O$12,MATCH($F89,'GCE'!$B$10:$B$12,0))),"N/A")</f>
        <v/>
      </c>
      <c r="U89" s="50">
        <f>IFERROR(IF(INDEX('Education'!$O$10:$O$13,MATCH($F89,'Education'!$B$10:$B$13,0))="","Cell will autofill based on response",INDEX('Education'!$O$10:$O$13,MATCH($F89,'Education'!$B$10:$B$13,0))),"N/A")</f>
        <v/>
      </c>
      <c r="V89" s="50">
        <f>IFERROR(IF(INDEX('SaSS'!$O$10:$O$12,MATCH($F89,'SaSS'!$B$10:$B$12,0))="","Cell will autofill based on response",INDEX('SaSS'!$O$10:$O$12,MATCH($F89,'SaSS'!$B$10:$B$12,0))),"N/A")</f>
        <v/>
      </c>
      <c r="W89" s="50">
        <f>IFERROR(IF(INDEX('Indigenous'!$O$10:$O$11,MATCH($F89,'Indigenous'!$B$10:$B$11,0))="","Cell will autofill based on response",INDEX('Indigenous'!$O$10:$O$11,MATCH($F89,'Indigenous'!$B$10:$B$11,0))),"N/A")</f>
        <v/>
      </c>
      <c r="X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IFERROR(IF(INDEX('CI&amp;S'!$P$10:$P$15,MATCH($F90,'CI&amp;S'!$B$10:$B$15,0))="","Cell will autofill based on response",INDEX('CI&amp;S'!$P$10:$P$15,MATCH($F90,'CI&amp;S'!$B$10:$B$15,0))),"N/A")</f>
        <v/>
      </c>
      <c r="M90" s="50">
        <f>IFERROR(IF(INDEX('CI&amp;S'!$P$22:$P$36,MATCH($F90,'CI&amp;S'!$B$22:$B$36,0))="","Cell will autofill based on response",INDEX('CI&amp;S'!$P$22:$P$36,MATCH($F90,'CI&amp;S'!$B$22:$B$36,0))),"N/A")</f>
        <v/>
      </c>
      <c r="N90" s="50">
        <f>IFERROR(IF(INDEX('CFOG'!$P$10:$P$16,MATCH($F90,'CFOG'!$B$10:$B$16,0))="","Cell will autofill based on response",INDEX('CFOG'!$P$10:$P$16,MATCH($F90,'CFOG'!$B$10:$B$16,0))),"N/A")</f>
        <v/>
      </c>
      <c r="O90" s="50">
        <f>IFERROR(IF(INDEX('CFOG'!$P$23:$P$24,MATCH($F90,'CFOG'!$B$23:$B$24,0))="","Cell will autofill based on response",INDEX('CFOG'!$P$23:$P$24,MATCH($F90,'CFOG'!$B$23:$B$24,0))),"N/A")</f>
        <v/>
      </c>
      <c r="P90" s="50">
        <f>IFERROR(IF(INDEX('ESG'!$P$10:$P$17,MATCH($F90,'ESG'!$B$10:$B$17,0))="","Cell will autofill based on response",INDEX('ESG'!$P$10:$P$17,MATCH($F90,'ESG'!$B$10:$B$17,0))),"N/A")</f>
        <v/>
      </c>
      <c r="Q90" s="50">
        <f>IFERROR(IF(INDEX('CIOG'!$P$10:$P$14,MATCH($F90,'CIOG'!$B$10:$B$14,0))="","Cell will autofill based on response",INDEX('CIOG'!$P$10:$P$14,MATCH($F90,'CIOG'!$B$10:$B$14,0))),"N/A")</f>
        <v/>
      </c>
      <c r="R90" s="50">
        <f>IFERROR(IF(INDEX('MRE'!$P$10:$P$18,MATCH($F90,'MRE'!$B$10:$B$18,0))="","Cell will autofill based on response",INDEX('MRE'!$P$10:$P$18,MATCH($F90,'MRE'!$B$10:$B$18,0))),"N/A")</f>
        <v/>
      </c>
      <c r="S90" s="50">
        <f>IFERROR(IF(INDEX('AC&amp;M'!$P$10:$P$14,MATCH($F90,'AC&amp;M'!$B$10:$B$14,0))="","Cell will autofill based on response",INDEX('AC&amp;M'!$P$10:$P$14,MATCH($F90,'AC&amp;M'!$B$10:$B$14,0))),"N/A")</f>
        <v/>
      </c>
      <c r="T90" s="50">
        <f>IFERROR(IF(INDEX('GCE'!$P$10:$P$12,MATCH($F90,'GCE'!$B$10:$B$12,0))="","Cell will autofill based on response",INDEX('GCE'!$P$10:$P$12,MATCH($F90,'GCE'!$B$10:$B$12,0))),"N/A")</f>
        <v/>
      </c>
      <c r="U90" s="50">
        <f>IFERROR(IF(INDEX('Education'!$P$10:$P$13,MATCH($F90,'Education'!$B$10:$B$13,0))="","Cell will autofill based on response",INDEX('Education'!$P$10:$P$13,MATCH($F90,'Education'!$B$10:$B$13,0))),"N/A")</f>
        <v/>
      </c>
      <c r="V90" s="50">
        <f>IFERROR(IF(INDEX('SaSS'!$P$10:$P$12,MATCH($F90,'SaSS'!$B$10:$B$12,0))="","Cell will autofill based on response",INDEX('SaSS'!$P$10:$P$12,MATCH($F90,'SaSS'!$B$10:$B$12,0))),"N/A")</f>
        <v/>
      </c>
      <c r="W90" s="50">
        <f>IFERROR(IF(INDEX('Indigenous'!$P$10:$P$11,MATCH($F90,'Indigenous'!$B$10:$B$11,0))="","Cell will autofill based on response",INDEX('Indigenous'!$P$10:$P$11,MATCH($F90,'Indigenous'!$B$10:$B$11,0))),"N/A")</f>
        <v/>
      </c>
      <c r="X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IFERROR(IF(INDEX('CI&amp;S'!$L$10:$L$15,MATCH($F91,'CI&amp;S'!$B$10:$B$15,0))="","Cell will autofill based on response",INDEX('CI&amp;S'!$L$10:$L$15,MATCH($F91,'CI&amp;S'!$B$10:$B$15,0))),"N/A")</f>
        <v/>
      </c>
      <c r="M91" s="50">
        <f>IFERROR(IF(INDEX('CI&amp;S'!$L$22:$L$36,MATCH($F91,'CI&amp;S'!$B$22:$B$36,0))="","Cell will autofill based on response",INDEX('CI&amp;S'!$L$22:$L$36,MATCH($F91,'CI&amp;S'!$B$22:$B$36,0))),"N/A")</f>
        <v/>
      </c>
      <c r="N91" s="50">
        <f>IFERROR(IF(INDEX('CFOG'!$L$10:$L$16,MATCH($F91,'CFOG'!$B$10:$B$16,0))="","Cell will autofill based on response",INDEX('CFOG'!$L$10:$L$16,MATCH($F91,'CFOG'!$B$10:$B$16,0))),"N/A")</f>
        <v/>
      </c>
      <c r="O91" s="50">
        <f>IFERROR(IF(INDEX('CFOG'!$L$23:$L$24,MATCH($F91,'CFOG'!$B$23:$B$24,0))="","Cell will autofill based on response",INDEX('CFOG'!$L$23:$L$24,MATCH($F91,'CFOG'!$B$23:$B$24,0))),"N/A")</f>
        <v/>
      </c>
      <c r="P91" s="50">
        <f>IFERROR(IF(INDEX('ESG'!$L$10:$L$17,MATCH($F91,'ESG'!$B$10:$B$17,0))="","Cell will autofill based on response",INDEX('ESG'!$L$10:$L$17,MATCH($F91,'ESG'!$B$10:$B$17,0))),"N/A")</f>
        <v/>
      </c>
      <c r="Q91" s="50">
        <f>IFERROR(IF(INDEX('CIOG'!$L$10:$L$14,MATCH($F91,'CIOG'!$B$10:$B$14,0))="","Cell will autofill based on response",INDEX('CIOG'!$L$10:$L$14,MATCH($F91,'CIOG'!$B$10:$B$14,0))),"N/A")</f>
        <v/>
      </c>
      <c r="R91" s="50">
        <f>IFERROR(IF(INDEX('MRE'!$L$10:$L$18,MATCH($F91,'MRE'!$B$10:$B$18,0))="","Cell will autofill based on response",INDEX('MRE'!$L$10:$L$18,MATCH($F91,'MRE'!$B$10:$B$18,0))),"N/A")</f>
        <v/>
      </c>
      <c r="S91" s="50">
        <f>IFERROR(IF(INDEX('AC&amp;M'!$L$10:$L$14,MATCH($F91,'AC&amp;M'!$B$10:$B$14,0))="","Cell will autofill based on response",INDEX('AC&amp;M'!$L$10:$L$14,MATCH($F91,'AC&amp;M'!$B$10:$B$14,0))),"N/A")</f>
        <v/>
      </c>
      <c r="T91" s="50">
        <f>IFERROR(IF(INDEX('GCE'!$L$10:$L$12,MATCH($F91,'GCE'!$B$10:$B$12,0))="","Cell will autofill based on response",INDEX('GCE'!$L$10:$L$12,MATCH($F91,'GCE'!$B$10:$B$12,0))),"N/A")</f>
        <v/>
      </c>
      <c r="U91" s="50">
        <f>IFERROR(IF(INDEX('Education'!$L$10:$L$13,MATCH($F91,'Education'!$B$10:$B$13,0))="","Cell will autofill based on response",INDEX('Education'!$L$10:$L$13,MATCH($F91,'Education'!$B$10:$B$13,0))),"N/A")</f>
        <v/>
      </c>
      <c r="V91" s="50">
        <f>IFERROR(IF(INDEX('SaSS'!$L$10:$L$12,MATCH($F91,'SaSS'!$B$10:$B$12,0))="","Cell will autofill based on response",INDEX('SaSS'!$L$10:$L$12,MATCH($F91,'SaSS'!$B$10:$B$12,0))),"N/A")</f>
        <v/>
      </c>
      <c r="W91" s="50">
        <f>IFERROR(IF(INDEX('Indigenous'!$L$10:$L$11,MATCH($F91,'Indigenous'!$B$10:$B$11,0))="","Cell will autofill based on response",INDEX('Indigenous'!$L$10:$L$11,MATCH($F91,'Indigenous'!$B$10:$B$11,0))),"N/A")</f>
        <v/>
      </c>
      <c r="X91" s="50">
        <f>IFERROR(IF(INDEX('L&amp;R'!$L$10:$L$11,MATCH($F91,'L&amp;R'!$B$10:$B$11,0))="","Cell will autofill based on response",INDEX('L&amp;R'!$L$10:$L$11,MATCH($F91,'L&amp;R'!$B$10:$B$11,0))),"N/A")</f>
        <v/>
      </c>
      <c r="Z91" s="8">
        <f>SUMPRODUCT(--($H91:$X91&lt;&gt;"N/A"))</f>
        <v/>
      </c>
      <c r="AA91" s="8">
        <f>SUMPRODUCT(--(((($H91:$X91&lt;&gt;"N/A")*($H91:$X91&lt;&gt;"Cell will autofill based on response"))+(($H92:$X92&lt;&gt;"N/A")*($H92:$X92&lt;&gt;"Cell will autofill based on response")))&gt;0))</f>
        <v/>
      </c>
      <c r="AB91" s="8">
        <f>Z91-AA91</f>
        <v/>
      </c>
      <c r="AC91" s="8">
        <f>COUNTIF($H95:$X95,"Yes")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IFERROR(IF(INDEX('CI&amp;S'!$M$10:$M$15,MATCH($F92,'CI&amp;S'!$B$10:$B$15,0))="","Cell will autofill based on response",INDEX('CI&amp;S'!$M$10:$M$15,MATCH($F92,'CI&amp;S'!$B$10:$B$15,0))),"N/A")</f>
        <v/>
      </c>
      <c r="M92" s="50">
        <f>IFERROR(IF(INDEX('CI&amp;S'!$M$22:$M$36,MATCH($F92,'CI&amp;S'!$B$22:$B$36,0))="","Cell will autofill based on response",INDEX('CI&amp;S'!$M$22:$M$36,MATCH($F92,'CI&amp;S'!$B$22:$B$36,0))),"N/A")</f>
        <v/>
      </c>
      <c r="N92" s="50">
        <f>IFERROR(IF(INDEX('CFOG'!$M$10:$M$16,MATCH($F92,'CFOG'!$B$10:$B$16,0))="","Cell will autofill based on response",INDEX('CFOG'!$M$10:$M$16,MATCH($F92,'CFOG'!$B$10:$B$16,0))),"N/A")</f>
        <v/>
      </c>
      <c r="O92" s="50">
        <f>IFERROR(IF(INDEX('CFOG'!$M$23:$M$24,MATCH($F92,'CFOG'!$B$23:$B$24,0))="","Cell will autofill based on response",INDEX('CFOG'!$M$23:$M$24,MATCH($F92,'CFOG'!$B$23:$B$24,0))),"N/A")</f>
        <v/>
      </c>
      <c r="P92" s="50">
        <f>IFERROR(IF(INDEX('ESG'!$M$10:$M$17,MATCH($F92,'ESG'!$B$10:$B$17,0))="","Cell will autofill based on response",INDEX('ESG'!$M$10:$M$17,MATCH($F92,'ESG'!$B$10:$B$17,0))),"N/A")</f>
        <v/>
      </c>
      <c r="Q92" s="50">
        <f>IFERROR(IF(INDEX('CIOG'!$M$10:$M$14,MATCH($F92,'CIOG'!$B$10:$B$14,0))="","Cell will autofill based on response",INDEX('CIOG'!$M$10:$M$14,MATCH($F92,'CIOG'!$B$10:$B$14,0))),"N/A")</f>
        <v/>
      </c>
      <c r="R92" s="50">
        <f>IFERROR(IF(INDEX('MRE'!$M$10:$M$18,MATCH($F92,'MRE'!$B$10:$B$18,0))="","Cell will autofill based on response",INDEX('MRE'!$M$10:$M$18,MATCH($F92,'MRE'!$B$10:$B$18,0))),"N/A")</f>
        <v/>
      </c>
      <c r="S92" s="50">
        <f>IFERROR(IF(INDEX('AC&amp;M'!$M$10:$M$14,MATCH($F92,'AC&amp;M'!$B$10:$B$14,0))="","Cell will autofill based on response",INDEX('AC&amp;M'!$M$10:$M$14,MATCH($F92,'AC&amp;M'!$B$10:$B$14,0))),"N/A")</f>
        <v/>
      </c>
      <c r="T92" s="50">
        <f>IFERROR(IF(INDEX('GCE'!$M$10:$M$12,MATCH($F92,'GCE'!$B$10:$B$12,0))="","Cell will autofill based on response",INDEX('GCE'!$M$10:$M$12,MATCH($F92,'GCE'!$B$10:$B$12,0))),"N/A")</f>
        <v/>
      </c>
      <c r="U92" s="50">
        <f>IFERROR(IF(INDEX('Education'!$M$10:$M$13,MATCH($F92,'Education'!$B$10:$B$13,0))="","Cell will autofill based on response",INDEX('Education'!$M$10:$M$13,MATCH($F92,'Education'!$B$10:$B$13,0))),"N/A")</f>
        <v/>
      </c>
      <c r="V92" s="50">
        <f>IFERROR(IF(INDEX('SaSS'!$M$10:$M$12,MATCH($F92,'SaSS'!$B$10:$B$12,0))="","Cell will autofill based on response",INDEX('SaSS'!$M$10:$M$12,MATCH($F92,'SaSS'!$B$10:$B$12,0))),"N/A")</f>
        <v/>
      </c>
      <c r="W92" s="50">
        <f>IFERROR(IF(INDEX('Indigenous'!$M$10:$M$11,MATCH($F92,'Indigenous'!$B$10:$B$11,0))="","Cell will autofill based on response",INDEX('Indigenous'!$M$10:$M$11,MATCH($F92,'Indigenous'!$B$10:$B$11,0))),"N/A")</f>
        <v/>
      </c>
      <c r="X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IFERROR(IF(INDEX('CI&amp;S'!$N$10:$N$15,MATCH($F93,'CI&amp;S'!$B$10:$B$15,0))="","Cell will autofill based on response",INDEX('CI&amp;S'!$N$10:$N$15,MATCH($F93,'CI&amp;S'!$B$10:$B$15,0))),"N/A")</f>
        <v/>
      </c>
      <c r="M93" s="50">
        <f>IFERROR(IF(INDEX('CI&amp;S'!$N$22:$N$36,MATCH($F93,'CI&amp;S'!$B$22:$B$36,0))="","Cell will autofill based on response",INDEX('CI&amp;S'!$N$22:$N$36,MATCH($F93,'CI&amp;S'!$B$22:$B$36,0))),"N/A")</f>
        <v/>
      </c>
      <c r="N93" s="50">
        <f>IFERROR(IF(INDEX('CFOG'!$N$10:$N$16,MATCH($F93,'CFOG'!$B$10:$B$16,0))="","Cell will autofill based on response",INDEX('CFOG'!$N$10:$N$16,MATCH($F93,'CFOG'!$B$10:$B$16,0))),"N/A")</f>
        <v/>
      </c>
      <c r="O93" s="50">
        <f>IFERROR(IF(INDEX('CFOG'!$N$23:$N$24,MATCH($F93,'CFOG'!$B$23:$B$24,0))="","Cell will autofill based on response",INDEX('CFOG'!$N$23:$N$24,MATCH($F93,'CFOG'!$B$23:$B$24,0))),"N/A")</f>
        <v/>
      </c>
      <c r="P93" s="50">
        <f>IFERROR(IF(INDEX('ESG'!$N$10:$N$17,MATCH($F93,'ESG'!$B$10:$B$17,0))="","Cell will autofill based on response",INDEX('ESG'!$N$10:$N$17,MATCH($F93,'ESG'!$B$10:$B$17,0))),"N/A")</f>
        <v/>
      </c>
      <c r="Q93" s="50">
        <f>IFERROR(IF(INDEX('CIOG'!$N$10:$N$14,MATCH($F93,'CIOG'!$B$10:$B$14,0))="","Cell will autofill based on response",INDEX('CIOG'!$N$10:$N$14,MATCH($F93,'CIOG'!$B$10:$B$14,0))),"N/A")</f>
        <v/>
      </c>
      <c r="R93" s="50">
        <f>IFERROR(IF(INDEX('MRE'!$N$10:$N$18,MATCH($F93,'MRE'!$B$10:$B$18,0))="","Cell will autofill based on response",INDEX('MRE'!$N$10:$N$18,MATCH($F93,'MRE'!$B$10:$B$18,0))),"N/A")</f>
        <v/>
      </c>
      <c r="S93" s="50">
        <f>IFERROR(IF(INDEX('AC&amp;M'!$N$10:$N$14,MATCH($F93,'AC&amp;M'!$B$10:$B$14,0))="","Cell will autofill based on response",INDEX('AC&amp;M'!$N$10:$N$14,MATCH($F93,'AC&amp;M'!$B$10:$B$14,0))),"N/A")</f>
        <v/>
      </c>
      <c r="T93" s="50">
        <f>IFERROR(IF(INDEX('GCE'!$N$10:$N$12,MATCH($F93,'GCE'!$B$10:$B$12,0))="","Cell will autofill based on response",INDEX('GCE'!$N$10:$N$12,MATCH($F93,'GCE'!$B$10:$B$12,0))),"N/A")</f>
        <v/>
      </c>
      <c r="U93" s="50">
        <f>IFERROR(IF(INDEX('Education'!$N$10:$N$13,MATCH($F93,'Education'!$B$10:$B$13,0))="","Cell will autofill based on response",INDEX('Education'!$N$10:$N$13,MATCH($F93,'Education'!$B$10:$B$13,0))),"N/A")</f>
        <v/>
      </c>
      <c r="V93" s="50">
        <f>IFERROR(IF(INDEX('SaSS'!$N$10:$N$12,MATCH($F93,'SaSS'!$B$10:$B$12,0))="","Cell will autofill based on response",INDEX('SaSS'!$N$10:$N$12,MATCH($F93,'SaSS'!$B$10:$B$12,0))),"N/A")</f>
        <v/>
      </c>
      <c r="W93" s="50">
        <f>IFERROR(IF(INDEX('Indigenous'!$N$10:$N$11,MATCH($F93,'Indigenous'!$B$10:$B$11,0))="","Cell will autofill based on response",INDEX('Indigenous'!$N$10:$N$11,MATCH($F93,'Indigenous'!$B$10:$B$11,0))),"N/A")</f>
        <v/>
      </c>
      <c r="X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IFERROR(IF(INDEX('CI&amp;S'!$O$10:$O$15,MATCH($F94,'CI&amp;S'!$B$10:$B$15,0))="","Cell will autofill based on response",INDEX('CI&amp;S'!$O$10:$O$15,MATCH($F94,'CI&amp;S'!$B$10:$B$15,0))),"N/A")</f>
        <v/>
      </c>
      <c r="M94" s="50">
        <f>IFERROR(IF(INDEX('CI&amp;S'!$O$22:$O$36,MATCH($F94,'CI&amp;S'!$B$22:$B$36,0))="","Cell will autofill based on response",INDEX('CI&amp;S'!$O$22:$O$36,MATCH($F94,'CI&amp;S'!$B$22:$B$36,0))),"N/A")</f>
        <v/>
      </c>
      <c r="N94" s="50">
        <f>IFERROR(IF(INDEX('CFOG'!$O$10:$O$16,MATCH($F94,'CFOG'!$B$10:$B$16,0))="","Cell will autofill based on response",INDEX('CFOG'!$O$10:$O$16,MATCH($F94,'CFOG'!$B$10:$B$16,0))),"N/A")</f>
        <v/>
      </c>
      <c r="O94" s="50">
        <f>IFERROR(IF(INDEX('CFOG'!$O$23:$O$24,MATCH($F94,'CFOG'!$B$23:$B$24,0))="","Cell will autofill based on response",INDEX('CFOG'!$O$23:$O$24,MATCH($F94,'CFOG'!$B$23:$B$24,0))),"N/A")</f>
        <v/>
      </c>
      <c r="P94" s="50">
        <f>IFERROR(IF(INDEX('ESG'!$O$10:$O$17,MATCH($F94,'ESG'!$B$10:$B$17,0))="","Cell will autofill based on response",INDEX('ESG'!$O$10:$O$17,MATCH($F94,'ESG'!$B$10:$B$17,0))),"N/A")</f>
        <v/>
      </c>
      <c r="Q94" s="50">
        <f>IFERROR(IF(INDEX('CIOG'!$O$10:$O$14,MATCH($F94,'CIOG'!$B$10:$B$14,0))="","Cell will autofill based on response",INDEX('CIOG'!$O$10:$O$14,MATCH($F94,'CIOG'!$B$10:$B$14,0))),"N/A")</f>
        <v/>
      </c>
      <c r="R94" s="50">
        <f>IFERROR(IF(INDEX('MRE'!$O$10:$O$18,MATCH($F94,'MRE'!$B$10:$B$18,0))="","Cell will autofill based on response",INDEX('MRE'!$O$10:$O$18,MATCH($F94,'MRE'!$B$10:$B$18,0))),"N/A")</f>
        <v/>
      </c>
      <c r="S94" s="50">
        <f>IFERROR(IF(INDEX('AC&amp;M'!$O$10:$O$14,MATCH($F94,'AC&amp;M'!$B$10:$B$14,0))="","Cell will autofill based on response",INDEX('AC&amp;M'!$O$10:$O$14,MATCH($F94,'AC&amp;M'!$B$10:$B$14,0))),"N/A")</f>
        <v/>
      </c>
      <c r="T94" s="50">
        <f>IFERROR(IF(INDEX('GCE'!$O$10:$O$12,MATCH($F94,'GCE'!$B$10:$B$12,0))="","Cell will autofill based on response",INDEX('GCE'!$O$10:$O$12,MATCH($F94,'GCE'!$B$10:$B$12,0))),"N/A")</f>
        <v/>
      </c>
      <c r="U94" s="50">
        <f>IFERROR(IF(INDEX('Education'!$O$10:$O$13,MATCH($F94,'Education'!$B$10:$B$13,0))="","Cell will autofill based on response",INDEX('Education'!$O$10:$O$13,MATCH($F94,'Education'!$B$10:$B$13,0))),"N/A")</f>
        <v/>
      </c>
      <c r="V94" s="50">
        <f>IFERROR(IF(INDEX('SaSS'!$O$10:$O$12,MATCH($F94,'SaSS'!$B$10:$B$12,0))="","Cell will autofill based on response",INDEX('SaSS'!$O$10:$O$12,MATCH($F94,'SaSS'!$B$10:$B$12,0))),"N/A")</f>
        <v/>
      </c>
      <c r="W94" s="50">
        <f>IFERROR(IF(INDEX('Indigenous'!$O$10:$O$11,MATCH($F94,'Indigenous'!$B$10:$B$11,0))="","Cell will autofill based on response",INDEX('Indigenous'!$O$10:$O$11,MATCH($F94,'Indigenous'!$B$10:$B$11,0))),"N/A")</f>
        <v/>
      </c>
      <c r="X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IFERROR(IF(INDEX('CI&amp;S'!$P$10:$P$15,MATCH($F95,'CI&amp;S'!$B$10:$B$15,0))="","Cell will autofill based on response",INDEX('CI&amp;S'!$P$10:$P$15,MATCH($F95,'CI&amp;S'!$B$10:$B$15,0))),"N/A")</f>
        <v/>
      </c>
      <c r="M95" s="50">
        <f>IFERROR(IF(INDEX('CI&amp;S'!$P$22:$P$36,MATCH($F95,'CI&amp;S'!$B$22:$B$36,0))="","Cell will autofill based on response",INDEX('CI&amp;S'!$P$22:$P$36,MATCH($F95,'CI&amp;S'!$B$22:$B$36,0))),"N/A")</f>
        <v/>
      </c>
      <c r="N95" s="50">
        <f>IFERROR(IF(INDEX('CFOG'!$P$10:$P$16,MATCH($F95,'CFOG'!$B$10:$B$16,0))="","Cell will autofill based on response",INDEX('CFOG'!$P$10:$P$16,MATCH($F95,'CFOG'!$B$10:$B$16,0))),"N/A")</f>
        <v/>
      </c>
      <c r="O95" s="50">
        <f>IFERROR(IF(INDEX('CFOG'!$P$23:$P$24,MATCH($F95,'CFOG'!$B$23:$B$24,0))="","Cell will autofill based on response",INDEX('CFOG'!$P$23:$P$24,MATCH($F95,'CFOG'!$B$23:$B$24,0))),"N/A")</f>
        <v/>
      </c>
      <c r="P95" s="50">
        <f>IFERROR(IF(INDEX('ESG'!$P$10:$P$17,MATCH($F95,'ESG'!$B$10:$B$17,0))="","Cell will autofill based on response",INDEX('ESG'!$P$10:$P$17,MATCH($F95,'ESG'!$B$10:$B$17,0))),"N/A")</f>
        <v/>
      </c>
      <c r="Q95" s="50">
        <f>IFERROR(IF(INDEX('CIOG'!$P$10:$P$14,MATCH($F95,'CIOG'!$B$10:$B$14,0))="","Cell will autofill based on response",INDEX('CIOG'!$P$10:$P$14,MATCH($F95,'CIOG'!$B$10:$B$14,0))),"N/A")</f>
        <v/>
      </c>
      <c r="R95" s="50">
        <f>IFERROR(IF(INDEX('MRE'!$P$10:$P$18,MATCH($F95,'MRE'!$B$10:$B$18,0))="","Cell will autofill based on response",INDEX('MRE'!$P$10:$P$18,MATCH($F95,'MRE'!$B$10:$B$18,0))),"N/A")</f>
        <v/>
      </c>
      <c r="S95" s="50">
        <f>IFERROR(IF(INDEX('AC&amp;M'!$P$10:$P$14,MATCH($F95,'AC&amp;M'!$B$10:$B$14,0))="","Cell will autofill based on response",INDEX('AC&amp;M'!$P$10:$P$14,MATCH($F95,'AC&amp;M'!$B$10:$B$14,0))),"N/A")</f>
        <v/>
      </c>
      <c r="T95" s="50">
        <f>IFERROR(IF(INDEX('GCE'!$P$10:$P$12,MATCH($F95,'GCE'!$B$10:$B$12,0))="","Cell will autofill based on response",INDEX('GCE'!$P$10:$P$12,MATCH($F95,'GCE'!$B$10:$B$12,0))),"N/A")</f>
        <v/>
      </c>
      <c r="U95" s="50">
        <f>IFERROR(IF(INDEX('Education'!$P$10:$P$13,MATCH($F95,'Education'!$B$10:$B$13,0))="","Cell will autofill based on response",INDEX('Education'!$P$10:$P$13,MATCH($F95,'Education'!$B$10:$B$13,0))),"N/A")</f>
        <v/>
      </c>
      <c r="V95" s="50">
        <f>IFERROR(IF(INDEX('SaSS'!$P$10:$P$12,MATCH($F95,'SaSS'!$B$10:$B$12,0))="","Cell will autofill based on response",INDEX('SaSS'!$P$10:$P$12,MATCH($F95,'SaSS'!$B$10:$B$12,0))),"N/A")</f>
        <v/>
      </c>
      <c r="W95" s="50">
        <f>IFERROR(IF(INDEX('Indigenous'!$P$10:$P$11,MATCH($F95,'Indigenous'!$B$10:$B$11,0))="","Cell will autofill based on response",INDEX('Indigenous'!$P$10:$P$11,MATCH($F95,'Indigenous'!$B$10:$B$11,0))),"N/A")</f>
        <v/>
      </c>
      <c r="X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IFERROR(IF(INDEX('CI&amp;S'!$L$10:$L$15,MATCH($F96,'CI&amp;S'!$B$10:$B$15,0))="","Cell will autofill based on response",INDEX('CI&amp;S'!$L$10:$L$15,MATCH($F96,'CI&amp;S'!$B$10:$B$15,0))),"N/A")</f>
        <v/>
      </c>
      <c r="M96" s="50">
        <f>IFERROR(IF(INDEX('CI&amp;S'!$L$22:$L$36,MATCH($F96,'CI&amp;S'!$B$22:$B$36,0))="","Cell will autofill based on response",INDEX('CI&amp;S'!$L$22:$L$36,MATCH($F96,'CI&amp;S'!$B$22:$B$36,0))),"N/A")</f>
        <v/>
      </c>
      <c r="N96" s="50">
        <f>IFERROR(IF(INDEX('CFOG'!$L$10:$L$16,MATCH($F96,'CFOG'!$B$10:$B$16,0))="","Cell will autofill based on response",INDEX('CFOG'!$L$10:$L$16,MATCH($F96,'CFOG'!$B$10:$B$16,0))),"N/A")</f>
        <v/>
      </c>
      <c r="O96" s="50">
        <f>IFERROR(IF(INDEX('CFOG'!$L$23:$L$24,MATCH($F96,'CFOG'!$B$23:$B$24,0))="","Cell will autofill based on response",INDEX('CFOG'!$L$23:$L$24,MATCH($F96,'CFOG'!$B$23:$B$24,0))),"N/A")</f>
        <v/>
      </c>
      <c r="P96" s="50">
        <f>IFERROR(IF(INDEX('ESG'!$L$10:$L$17,MATCH($F96,'ESG'!$B$10:$B$17,0))="","Cell will autofill based on response",INDEX('ESG'!$L$10:$L$17,MATCH($F96,'ESG'!$B$10:$B$17,0))),"N/A")</f>
        <v/>
      </c>
      <c r="Q96" s="50">
        <f>IFERROR(IF(INDEX('CIOG'!$L$10:$L$14,MATCH($F96,'CIOG'!$B$10:$B$14,0))="","Cell will autofill based on response",INDEX('CIOG'!$L$10:$L$14,MATCH($F96,'CIOG'!$B$10:$B$14,0))),"N/A")</f>
        <v/>
      </c>
      <c r="R96" s="50">
        <f>IFERROR(IF(INDEX('MRE'!$L$10:$L$18,MATCH($F96,'MRE'!$B$10:$B$18,0))="","Cell will autofill based on response",INDEX('MRE'!$L$10:$L$18,MATCH($F96,'MRE'!$B$10:$B$18,0))),"N/A")</f>
        <v/>
      </c>
      <c r="S96" s="50">
        <f>IFERROR(IF(INDEX('AC&amp;M'!$L$10:$L$14,MATCH($F96,'AC&amp;M'!$B$10:$B$14,0))="","Cell will autofill based on response",INDEX('AC&amp;M'!$L$10:$L$14,MATCH($F96,'AC&amp;M'!$B$10:$B$14,0))),"N/A")</f>
        <v/>
      </c>
      <c r="T96" s="50">
        <f>IFERROR(IF(INDEX('GCE'!$L$10:$L$12,MATCH($F96,'GCE'!$B$10:$B$12,0))="","Cell will autofill based on response",INDEX('GCE'!$L$10:$L$12,MATCH($F96,'GCE'!$B$10:$B$12,0))),"N/A")</f>
        <v/>
      </c>
      <c r="U96" s="50">
        <f>IFERROR(IF(INDEX('Education'!$L$10:$L$13,MATCH($F96,'Education'!$B$10:$B$13,0))="","Cell will autofill based on response",INDEX('Education'!$L$10:$L$13,MATCH($F96,'Education'!$B$10:$B$13,0))),"N/A")</f>
        <v/>
      </c>
      <c r="V96" s="50">
        <f>IFERROR(IF(INDEX('SaSS'!$L$10:$L$12,MATCH($F96,'SaSS'!$B$10:$B$12,0))="","Cell will autofill based on response",INDEX('SaSS'!$L$10:$L$12,MATCH($F96,'SaSS'!$B$10:$B$12,0))),"N/A")</f>
        <v/>
      </c>
      <c r="W96" s="50">
        <f>IFERROR(IF(INDEX('Indigenous'!$L$10:$L$11,MATCH($F96,'Indigenous'!$B$10:$B$11,0))="","Cell will autofill based on response",INDEX('Indigenous'!$L$10:$L$11,MATCH($F96,'Indigenous'!$B$10:$B$11,0))),"N/A")</f>
        <v/>
      </c>
      <c r="X96" s="50">
        <f>IFERROR(IF(INDEX('L&amp;R'!$L$10:$L$11,MATCH($F96,'L&amp;R'!$B$10:$B$11,0))="","Cell will autofill based on response",INDEX('L&amp;R'!$L$10:$L$11,MATCH($F96,'L&amp;R'!$B$10:$B$11,0))),"N/A")</f>
        <v/>
      </c>
      <c r="Z96" s="8">
        <f>SUMPRODUCT(--($H96:$X96&lt;&gt;"N/A"))</f>
        <v/>
      </c>
      <c r="AA96" s="8">
        <f>SUMPRODUCT(--(((($H96:$X96&lt;&gt;"N/A")*($H96:$X96&lt;&gt;"Cell will autofill based on response"))+(($H97:$X97&lt;&gt;"N/A")*($H97:$X97&lt;&gt;"Cell will autofill based on response")))&gt;0))</f>
        <v/>
      </c>
      <c r="AB96" s="8">
        <f>Z96-AA96</f>
        <v/>
      </c>
      <c r="AC96" s="8">
        <f>COUNTIF($H100:$X100,"Yes")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IFERROR(IF(INDEX('CI&amp;S'!$M$10:$M$15,MATCH($F97,'CI&amp;S'!$B$10:$B$15,0))="","Cell will autofill based on response",INDEX('CI&amp;S'!$M$10:$M$15,MATCH($F97,'CI&amp;S'!$B$10:$B$15,0))),"N/A")</f>
        <v/>
      </c>
      <c r="M97" s="50">
        <f>IFERROR(IF(INDEX('CI&amp;S'!$M$22:$M$36,MATCH($F97,'CI&amp;S'!$B$22:$B$36,0))="","Cell will autofill based on response",INDEX('CI&amp;S'!$M$22:$M$36,MATCH($F97,'CI&amp;S'!$B$22:$B$36,0))),"N/A")</f>
        <v/>
      </c>
      <c r="N97" s="50">
        <f>IFERROR(IF(INDEX('CFOG'!$M$10:$M$16,MATCH($F97,'CFOG'!$B$10:$B$16,0))="","Cell will autofill based on response",INDEX('CFOG'!$M$10:$M$16,MATCH($F97,'CFOG'!$B$10:$B$16,0))),"N/A")</f>
        <v/>
      </c>
      <c r="O97" s="50">
        <f>IFERROR(IF(INDEX('CFOG'!$M$23:$M$24,MATCH($F97,'CFOG'!$B$23:$B$24,0))="","Cell will autofill based on response",INDEX('CFOG'!$M$23:$M$24,MATCH($F97,'CFOG'!$B$23:$B$24,0))),"N/A")</f>
        <v/>
      </c>
      <c r="P97" s="50">
        <f>IFERROR(IF(INDEX('ESG'!$M$10:$M$17,MATCH($F97,'ESG'!$B$10:$B$17,0))="","Cell will autofill based on response",INDEX('ESG'!$M$10:$M$17,MATCH($F97,'ESG'!$B$10:$B$17,0))),"N/A")</f>
        <v/>
      </c>
      <c r="Q97" s="50">
        <f>IFERROR(IF(INDEX('CIOG'!$M$10:$M$14,MATCH($F97,'CIOG'!$B$10:$B$14,0))="","Cell will autofill based on response",INDEX('CIOG'!$M$10:$M$14,MATCH($F97,'CIOG'!$B$10:$B$14,0))),"N/A")</f>
        <v/>
      </c>
      <c r="R97" s="50">
        <f>IFERROR(IF(INDEX('MRE'!$M$10:$M$18,MATCH($F97,'MRE'!$B$10:$B$18,0))="","Cell will autofill based on response",INDEX('MRE'!$M$10:$M$18,MATCH($F97,'MRE'!$B$10:$B$18,0))),"N/A")</f>
        <v/>
      </c>
      <c r="S97" s="50">
        <f>IFERROR(IF(INDEX('AC&amp;M'!$M$10:$M$14,MATCH($F97,'AC&amp;M'!$B$10:$B$14,0))="","Cell will autofill based on response",INDEX('AC&amp;M'!$M$10:$M$14,MATCH($F97,'AC&amp;M'!$B$10:$B$14,0))),"N/A")</f>
        <v/>
      </c>
      <c r="T97" s="50">
        <f>IFERROR(IF(INDEX('GCE'!$M$10:$M$12,MATCH($F97,'GCE'!$B$10:$B$12,0))="","Cell will autofill based on response",INDEX('GCE'!$M$10:$M$12,MATCH($F97,'GCE'!$B$10:$B$12,0))),"N/A")</f>
        <v/>
      </c>
      <c r="U97" s="50">
        <f>IFERROR(IF(INDEX('Education'!$M$10:$M$13,MATCH($F97,'Education'!$B$10:$B$13,0))="","Cell will autofill based on response",INDEX('Education'!$M$10:$M$13,MATCH($F97,'Education'!$B$10:$B$13,0))),"N/A")</f>
        <v/>
      </c>
      <c r="V97" s="50">
        <f>IFERROR(IF(INDEX('SaSS'!$M$10:$M$12,MATCH($F97,'SaSS'!$B$10:$B$12,0))="","Cell will autofill based on response",INDEX('SaSS'!$M$10:$M$12,MATCH($F97,'SaSS'!$B$10:$B$12,0))),"N/A")</f>
        <v/>
      </c>
      <c r="W97" s="50">
        <f>IFERROR(IF(INDEX('Indigenous'!$M$10:$M$11,MATCH($F97,'Indigenous'!$B$10:$B$11,0))="","Cell will autofill based on response",INDEX('Indigenous'!$M$10:$M$11,MATCH($F97,'Indigenous'!$B$10:$B$11,0))),"N/A")</f>
        <v/>
      </c>
      <c r="X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IFERROR(IF(INDEX('CI&amp;S'!$N$10:$N$15,MATCH($F98,'CI&amp;S'!$B$10:$B$15,0))="","Cell will autofill based on response",INDEX('CI&amp;S'!$N$10:$N$15,MATCH($F98,'CI&amp;S'!$B$10:$B$15,0))),"N/A")</f>
        <v/>
      </c>
      <c r="M98" s="50">
        <f>IFERROR(IF(INDEX('CI&amp;S'!$N$22:$N$36,MATCH($F98,'CI&amp;S'!$B$22:$B$36,0))="","Cell will autofill based on response",INDEX('CI&amp;S'!$N$22:$N$36,MATCH($F98,'CI&amp;S'!$B$22:$B$36,0))),"N/A")</f>
        <v/>
      </c>
      <c r="N98" s="50">
        <f>IFERROR(IF(INDEX('CFOG'!$N$10:$N$16,MATCH($F98,'CFOG'!$B$10:$B$16,0))="","Cell will autofill based on response",INDEX('CFOG'!$N$10:$N$16,MATCH($F98,'CFOG'!$B$10:$B$16,0))),"N/A")</f>
        <v/>
      </c>
      <c r="O98" s="50">
        <f>IFERROR(IF(INDEX('CFOG'!$N$23:$N$24,MATCH($F98,'CFOG'!$B$23:$B$24,0))="","Cell will autofill based on response",INDEX('CFOG'!$N$23:$N$24,MATCH($F98,'CFOG'!$B$23:$B$24,0))),"N/A")</f>
        <v/>
      </c>
      <c r="P98" s="50">
        <f>IFERROR(IF(INDEX('ESG'!$N$10:$N$17,MATCH($F98,'ESG'!$B$10:$B$17,0))="","Cell will autofill based on response",INDEX('ESG'!$N$10:$N$17,MATCH($F98,'ESG'!$B$10:$B$17,0))),"N/A")</f>
        <v/>
      </c>
      <c r="Q98" s="50">
        <f>IFERROR(IF(INDEX('CIOG'!$N$10:$N$14,MATCH($F98,'CIOG'!$B$10:$B$14,0))="","Cell will autofill based on response",INDEX('CIOG'!$N$10:$N$14,MATCH($F98,'CIOG'!$B$10:$B$14,0))),"N/A")</f>
        <v/>
      </c>
      <c r="R98" s="50">
        <f>IFERROR(IF(INDEX('MRE'!$N$10:$N$18,MATCH($F98,'MRE'!$B$10:$B$18,0))="","Cell will autofill based on response",INDEX('MRE'!$N$10:$N$18,MATCH($F98,'MRE'!$B$10:$B$18,0))),"N/A")</f>
        <v/>
      </c>
      <c r="S98" s="50">
        <f>IFERROR(IF(INDEX('AC&amp;M'!$N$10:$N$14,MATCH($F98,'AC&amp;M'!$B$10:$B$14,0))="","Cell will autofill based on response",INDEX('AC&amp;M'!$N$10:$N$14,MATCH($F98,'AC&amp;M'!$B$10:$B$14,0))),"N/A")</f>
        <v/>
      </c>
      <c r="T98" s="50">
        <f>IFERROR(IF(INDEX('GCE'!$N$10:$N$12,MATCH($F98,'GCE'!$B$10:$B$12,0))="","Cell will autofill based on response",INDEX('GCE'!$N$10:$N$12,MATCH($F98,'GCE'!$B$10:$B$12,0))),"N/A")</f>
        <v/>
      </c>
      <c r="U98" s="50">
        <f>IFERROR(IF(INDEX('Education'!$N$10:$N$13,MATCH($F98,'Education'!$B$10:$B$13,0))="","Cell will autofill based on response",INDEX('Education'!$N$10:$N$13,MATCH($F98,'Education'!$B$10:$B$13,0))),"N/A")</f>
        <v/>
      </c>
      <c r="V98" s="50">
        <f>IFERROR(IF(INDEX('SaSS'!$N$10:$N$12,MATCH($F98,'SaSS'!$B$10:$B$12,0))="","Cell will autofill based on response",INDEX('SaSS'!$N$10:$N$12,MATCH($F98,'SaSS'!$B$10:$B$12,0))),"N/A")</f>
        <v/>
      </c>
      <c r="W98" s="50">
        <f>IFERROR(IF(INDEX('Indigenous'!$N$10:$N$11,MATCH($F98,'Indigenous'!$B$10:$B$11,0))="","Cell will autofill based on response",INDEX('Indigenous'!$N$10:$N$11,MATCH($F98,'Indigenous'!$B$10:$B$11,0))),"N/A")</f>
        <v/>
      </c>
      <c r="X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IFERROR(IF(INDEX('CI&amp;S'!$O$10:$O$15,MATCH($F99,'CI&amp;S'!$B$10:$B$15,0))="","Cell will autofill based on response",INDEX('CI&amp;S'!$O$10:$O$15,MATCH($F99,'CI&amp;S'!$B$10:$B$15,0))),"N/A")</f>
        <v/>
      </c>
      <c r="M99" s="50">
        <f>IFERROR(IF(INDEX('CI&amp;S'!$O$22:$O$36,MATCH($F99,'CI&amp;S'!$B$22:$B$36,0))="","Cell will autofill based on response",INDEX('CI&amp;S'!$O$22:$O$36,MATCH($F99,'CI&amp;S'!$B$22:$B$36,0))),"N/A")</f>
        <v/>
      </c>
      <c r="N99" s="50">
        <f>IFERROR(IF(INDEX('CFOG'!$O$10:$O$16,MATCH($F99,'CFOG'!$B$10:$B$16,0))="","Cell will autofill based on response",INDEX('CFOG'!$O$10:$O$16,MATCH($F99,'CFOG'!$B$10:$B$16,0))),"N/A")</f>
        <v/>
      </c>
      <c r="O99" s="50">
        <f>IFERROR(IF(INDEX('CFOG'!$O$23:$O$24,MATCH($F99,'CFOG'!$B$23:$B$24,0))="","Cell will autofill based on response",INDEX('CFOG'!$O$23:$O$24,MATCH($F99,'CFOG'!$B$23:$B$24,0))),"N/A")</f>
        <v/>
      </c>
      <c r="P99" s="50">
        <f>IFERROR(IF(INDEX('ESG'!$O$10:$O$17,MATCH($F99,'ESG'!$B$10:$B$17,0))="","Cell will autofill based on response",INDEX('ESG'!$O$10:$O$17,MATCH($F99,'ESG'!$B$10:$B$17,0))),"N/A")</f>
        <v/>
      </c>
      <c r="Q99" s="50">
        <f>IFERROR(IF(INDEX('CIOG'!$O$10:$O$14,MATCH($F99,'CIOG'!$B$10:$B$14,0))="","Cell will autofill based on response",INDEX('CIOG'!$O$10:$O$14,MATCH($F99,'CIOG'!$B$10:$B$14,0))),"N/A")</f>
        <v/>
      </c>
      <c r="R99" s="50">
        <f>IFERROR(IF(INDEX('MRE'!$O$10:$O$18,MATCH($F99,'MRE'!$B$10:$B$18,0))="","Cell will autofill based on response",INDEX('MRE'!$O$10:$O$18,MATCH($F99,'MRE'!$B$10:$B$18,0))),"N/A")</f>
        <v/>
      </c>
      <c r="S99" s="50">
        <f>IFERROR(IF(INDEX('AC&amp;M'!$O$10:$O$14,MATCH($F99,'AC&amp;M'!$B$10:$B$14,0))="","Cell will autofill based on response",INDEX('AC&amp;M'!$O$10:$O$14,MATCH($F99,'AC&amp;M'!$B$10:$B$14,0))),"N/A")</f>
        <v/>
      </c>
      <c r="T99" s="50">
        <f>IFERROR(IF(INDEX('GCE'!$O$10:$O$12,MATCH($F99,'GCE'!$B$10:$B$12,0))="","Cell will autofill based on response",INDEX('GCE'!$O$10:$O$12,MATCH($F99,'GCE'!$B$10:$B$12,0))),"N/A")</f>
        <v/>
      </c>
      <c r="U99" s="50">
        <f>IFERROR(IF(INDEX('Education'!$O$10:$O$13,MATCH($F99,'Education'!$B$10:$B$13,0))="","Cell will autofill based on response",INDEX('Education'!$O$10:$O$13,MATCH($F99,'Education'!$B$10:$B$13,0))),"N/A")</f>
        <v/>
      </c>
      <c r="V99" s="50">
        <f>IFERROR(IF(INDEX('SaSS'!$O$10:$O$12,MATCH($F99,'SaSS'!$B$10:$B$12,0))="","Cell will autofill based on response",INDEX('SaSS'!$O$10:$O$12,MATCH($F99,'SaSS'!$B$10:$B$12,0))),"N/A")</f>
        <v/>
      </c>
      <c r="W99" s="50">
        <f>IFERROR(IF(INDEX('Indigenous'!$O$10:$O$11,MATCH($F99,'Indigenous'!$B$10:$B$11,0))="","Cell will autofill based on response",INDEX('Indigenous'!$O$10:$O$11,MATCH($F99,'Indigenous'!$B$10:$B$11,0))),"N/A")</f>
        <v/>
      </c>
      <c r="X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IFERROR(IF(INDEX('CI&amp;S'!$P$10:$P$15,MATCH($F100,'CI&amp;S'!$B$10:$B$15,0))="","Cell will autofill based on response",INDEX('CI&amp;S'!$P$10:$P$15,MATCH($F100,'CI&amp;S'!$B$10:$B$15,0))),"N/A")</f>
        <v/>
      </c>
      <c r="M100" s="50">
        <f>IFERROR(IF(INDEX('CI&amp;S'!$P$22:$P$36,MATCH($F100,'CI&amp;S'!$B$22:$B$36,0))="","Cell will autofill based on response",INDEX('CI&amp;S'!$P$22:$P$36,MATCH($F100,'CI&amp;S'!$B$22:$B$36,0))),"N/A")</f>
        <v/>
      </c>
      <c r="N100" s="50">
        <f>IFERROR(IF(INDEX('CFOG'!$P$10:$P$16,MATCH($F100,'CFOG'!$B$10:$B$16,0))="","Cell will autofill based on response",INDEX('CFOG'!$P$10:$P$16,MATCH($F100,'CFOG'!$B$10:$B$16,0))),"N/A")</f>
        <v/>
      </c>
      <c r="O100" s="50">
        <f>IFERROR(IF(INDEX('CFOG'!$P$23:$P$24,MATCH($F100,'CFOG'!$B$23:$B$24,0))="","Cell will autofill based on response",INDEX('CFOG'!$P$23:$P$24,MATCH($F100,'CFOG'!$B$23:$B$24,0))),"N/A")</f>
        <v/>
      </c>
      <c r="P100" s="50">
        <f>IFERROR(IF(INDEX('ESG'!$P$10:$P$17,MATCH($F100,'ESG'!$B$10:$B$17,0))="","Cell will autofill based on response",INDEX('ESG'!$P$10:$P$17,MATCH($F100,'ESG'!$B$10:$B$17,0))),"N/A")</f>
        <v/>
      </c>
      <c r="Q100" s="50">
        <f>IFERROR(IF(INDEX('CIOG'!$P$10:$P$14,MATCH($F100,'CIOG'!$B$10:$B$14,0))="","Cell will autofill based on response",INDEX('CIOG'!$P$10:$P$14,MATCH($F100,'CIOG'!$B$10:$B$14,0))),"N/A")</f>
        <v/>
      </c>
      <c r="R100" s="50">
        <f>IFERROR(IF(INDEX('MRE'!$P$10:$P$18,MATCH($F100,'MRE'!$B$10:$B$18,0))="","Cell will autofill based on response",INDEX('MRE'!$P$10:$P$18,MATCH($F100,'MRE'!$B$10:$B$18,0))),"N/A")</f>
        <v/>
      </c>
      <c r="S100" s="50">
        <f>IFERROR(IF(INDEX('AC&amp;M'!$P$10:$P$14,MATCH($F100,'AC&amp;M'!$B$10:$B$14,0))="","Cell will autofill based on response",INDEX('AC&amp;M'!$P$10:$P$14,MATCH($F100,'AC&amp;M'!$B$10:$B$14,0))),"N/A")</f>
        <v/>
      </c>
      <c r="T100" s="50">
        <f>IFERROR(IF(INDEX('GCE'!$P$10:$P$12,MATCH($F100,'GCE'!$B$10:$B$12,0))="","Cell will autofill based on response",INDEX('GCE'!$P$10:$P$12,MATCH($F100,'GCE'!$B$10:$B$12,0))),"N/A")</f>
        <v/>
      </c>
      <c r="U100" s="50">
        <f>IFERROR(IF(INDEX('Education'!$P$10:$P$13,MATCH($F100,'Education'!$B$10:$B$13,0))="","Cell will autofill based on response",INDEX('Education'!$P$10:$P$13,MATCH($F100,'Education'!$B$10:$B$13,0))),"N/A")</f>
        <v/>
      </c>
      <c r="V100" s="50">
        <f>IFERROR(IF(INDEX('SaSS'!$P$10:$P$12,MATCH($F100,'SaSS'!$B$10:$B$12,0))="","Cell will autofill based on response",INDEX('SaSS'!$P$10:$P$12,MATCH($F100,'SaSS'!$B$10:$B$12,0))),"N/A")</f>
        <v/>
      </c>
      <c r="W100" s="50">
        <f>IFERROR(IF(INDEX('Indigenous'!$P$10:$P$11,MATCH($F100,'Indigenous'!$B$10:$B$11,0))="","Cell will autofill based on response",INDEX('Indigenous'!$P$10:$P$11,MATCH($F100,'Indigenous'!$B$10:$B$11,0))),"N/A")</f>
        <v/>
      </c>
      <c r="X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IFERROR(IF(INDEX('CI&amp;S'!$L$10:$L$15,MATCH($F101,'CI&amp;S'!$B$10:$B$15,0))="","Cell will autofill based on response",INDEX('CI&amp;S'!$L$10:$L$15,MATCH($F101,'CI&amp;S'!$B$10:$B$15,0))),"N/A")</f>
        <v/>
      </c>
      <c r="M101" s="50">
        <f>IFERROR(IF(INDEX('CI&amp;S'!$L$22:$L$36,MATCH($F101,'CI&amp;S'!$B$22:$B$36,0))="","Cell will autofill based on response",INDEX('CI&amp;S'!$L$22:$L$36,MATCH($F101,'CI&amp;S'!$B$22:$B$36,0))),"N/A")</f>
        <v/>
      </c>
      <c r="N101" s="50">
        <f>IFERROR(IF(INDEX('CFOG'!$L$10:$L$16,MATCH($F101,'CFOG'!$B$10:$B$16,0))="","Cell will autofill based on response",INDEX('CFOG'!$L$10:$L$16,MATCH($F101,'CFOG'!$B$10:$B$16,0))),"N/A")</f>
        <v/>
      </c>
      <c r="O101" s="50">
        <f>IFERROR(IF(INDEX('CFOG'!$L$23:$L$24,MATCH($F101,'CFOG'!$B$23:$B$24,0))="","Cell will autofill based on response",INDEX('CFOG'!$L$23:$L$24,MATCH($F101,'CFOG'!$B$23:$B$24,0))),"N/A")</f>
        <v/>
      </c>
      <c r="P101" s="50">
        <f>IFERROR(IF(INDEX('ESG'!$L$10:$L$17,MATCH($F101,'ESG'!$B$10:$B$17,0))="","Cell will autofill based on response",INDEX('ESG'!$L$10:$L$17,MATCH($F101,'ESG'!$B$10:$B$17,0))),"N/A")</f>
        <v/>
      </c>
      <c r="Q101" s="50">
        <f>IFERROR(IF(INDEX('CIOG'!$L$10:$L$14,MATCH($F101,'CIOG'!$B$10:$B$14,0))="","Cell will autofill based on response",INDEX('CIOG'!$L$10:$L$14,MATCH($F101,'CIOG'!$B$10:$B$14,0))),"N/A")</f>
        <v/>
      </c>
      <c r="R101" s="50">
        <f>IFERROR(IF(INDEX('MRE'!$L$10:$L$18,MATCH($F101,'MRE'!$B$10:$B$18,0))="","Cell will autofill based on response",INDEX('MRE'!$L$10:$L$18,MATCH($F101,'MRE'!$B$10:$B$18,0))),"N/A")</f>
        <v/>
      </c>
      <c r="S101" s="50">
        <f>IFERROR(IF(INDEX('AC&amp;M'!$L$10:$L$14,MATCH($F101,'AC&amp;M'!$B$10:$B$14,0))="","Cell will autofill based on response",INDEX('AC&amp;M'!$L$10:$L$14,MATCH($F101,'AC&amp;M'!$B$10:$B$14,0))),"N/A")</f>
        <v/>
      </c>
      <c r="T101" s="50">
        <f>IFERROR(IF(INDEX('GCE'!$L$10:$L$12,MATCH($F101,'GCE'!$B$10:$B$12,0))="","Cell will autofill based on response",INDEX('GCE'!$L$10:$L$12,MATCH($F101,'GCE'!$B$10:$B$12,0))),"N/A")</f>
        <v/>
      </c>
      <c r="U101" s="50">
        <f>IFERROR(IF(INDEX('Education'!$L$10:$L$13,MATCH($F101,'Education'!$B$10:$B$13,0))="","Cell will autofill based on response",INDEX('Education'!$L$10:$L$13,MATCH($F101,'Education'!$B$10:$B$13,0))),"N/A")</f>
        <v/>
      </c>
      <c r="V101" s="50">
        <f>IFERROR(IF(INDEX('SaSS'!$L$10:$L$12,MATCH($F101,'SaSS'!$B$10:$B$12,0))="","Cell will autofill based on response",INDEX('SaSS'!$L$10:$L$12,MATCH($F101,'SaSS'!$B$10:$B$12,0))),"N/A")</f>
        <v/>
      </c>
      <c r="W101" s="50">
        <f>IFERROR(IF(INDEX('Indigenous'!$L$10:$L$11,MATCH($F101,'Indigenous'!$B$10:$B$11,0))="","Cell will autofill based on response",INDEX('Indigenous'!$L$10:$L$11,MATCH($F101,'Indigenous'!$B$10:$B$11,0))),"N/A")</f>
        <v/>
      </c>
      <c r="X101" s="50">
        <f>IFERROR(IF(INDEX('L&amp;R'!$L$10:$L$11,MATCH($F101,'L&amp;R'!$B$10:$B$11,0))="","Cell will autofill based on response",INDEX('L&amp;R'!$L$10:$L$11,MATCH($F101,'L&amp;R'!$B$10:$B$11,0))),"N/A")</f>
        <v/>
      </c>
      <c r="Z101" s="8">
        <f>SUMPRODUCT(--($H101:$X101&lt;&gt;"N/A"))</f>
        <v/>
      </c>
      <c r="AA101" s="8">
        <f>SUMPRODUCT(--(((($H101:$X101&lt;&gt;"N/A")*($H101:$X101&lt;&gt;"Cell will autofill based on response"))+(($H102:$X102&lt;&gt;"N/A")*($H102:$X102&lt;&gt;"Cell will autofill based on response")))&gt;0))</f>
        <v/>
      </c>
      <c r="AB101" s="8">
        <f>Z101-AA101</f>
        <v/>
      </c>
      <c r="AC101" s="8">
        <f>COUNTIF($H105:$X105,"Yes")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IFERROR(IF(INDEX('CI&amp;S'!$M$10:$M$15,MATCH($F102,'CI&amp;S'!$B$10:$B$15,0))="","Cell will autofill based on response",INDEX('CI&amp;S'!$M$10:$M$15,MATCH($F102,'CI&amp;S'!$B$10:$B$15,0))),"N/A")</f>
        <v/>
      </c>
      <c r="M102" s="50">
        <f>IFERROR(IF(INDEX('CI&amp;S'!$M$22:$M$36,MATCH($F102,'CI&amp;S'!$B$22:$B$36,0))="","Cell will autofill based on response",INDEX('CI&amp;S'!$M$22:$M$36,MATCH($F102,'CI&amp;S'!$B$22:$B$36,0))),"N/A")</f>
        <v/>
      </c>
      <c r="N102" s="50">
        <f>IFERROR(IF(INDEX('CFOG'!$M$10:$M$16,MATCH($F102,'CFOG'!$B$10:$B$16,0))="","Cell will autofill based on response",INDEX('CFOG'!$M$10:$M$16,MATCH($F102,'CFOG'!$B$10:$B$16,0))),"N/A")</f>
        <v/>
      </c>
      <c r="O102" s="50">
        <f>IFERROR(IF(INDEX('CFOG'!$M$23:$M$24,MATCH($F102,'CFOG'!$B$23:$B$24,0))="","Cell will autofill based on response",INDEX('CFOG'!$M$23:$M$24,MATCH($F102,'CFOG'!$B$23:$B$24,0))),"N/A")</f>
        <v/>
      </c>
      <c r="P102" s="50">
        <f>IFERROR(IF(INDEX('ESG'!$M$10:$M$17,MATCH($F102,'ESG'!$B$10:$B$17,0))="","Cell will autofill based on response",INDEX('ESG'!$M$10:$M$17,MATCH($F102,'ESG'!$B$10:$B$17,0))),"N/A")</f>
        <v/>
      </c>
      <c r="Q102" s="50">
        <f>IFERROR(IF(INDEX('CIOG'!$M$10:$M$14,MATCH($F102,'CIOG'!$B$10:$B$14,0))="","Cell will autofill based on response",INDEX('CIOG'!$M$10:$M$14,MATCH($F102,'CIOG'!$B$10:$B$14,0))),"N/A")</f>
        <v/>
      </c>
      <c r="R102" s="50">
        <f>IFERROR(IF(INDEX('MRE'!$M$10:$M$18,MATCH($F102,'MRE'!$B$10:$B$18,0))="","Cell will autofill based on response",INDEX('MRE'!$M$10:$M$18,MATCH($F102,'MRE'!$B$10:$B$18,0))),"N/A")</f>
        <v/>
      </c>
      <c r="S102" s="50">
        <f>IFERROR(IF(INDEX('AC&amp;M'!$M$10:$M$14,MATCH($F102,'AC&amp;M'!$B$10:$B$14,0))="","Cell will autofill based on response",INDEX('AC&amp;M'!$M$10:$M$14,MATCH($F102,'AC&amp;M'!$B$10:$B$14,0))),"N/A")</f>
        <v/>
      </c>
      <c r="T102" s="50">
        <f>IFERROR(IF(INDEX('GCE'!$M$10:$M$12,MATCH($F102,'GCE'!$B$10:$B$12,0))="","Cell will autofill based on response",INDEX('GCE'!$M$10:$M$12,MATCH($F102,'GCE'!$B$10:$B$12,0))),"N/A")</f>
        <v/>
      </c>
      <c r="U102" s="50">
        <f>IFERROR(IF(INDEX('Education'!$M$10:$M$13,MATCH($F102,'Education'!$B$10:$B$13,0))="","Cell will autofill based on response",INDEX('Education'!$M$10:$M$13,MATCH($F102,'Education'!$B$10:$B$13,0))),"N/A")</f>
        <v/>
      </c>
      <c r="V102" s="50">
        <f>IFERROR(IF(INDEX('SaSS'!$M$10:$M$12,MATCH($F102,'SaSS'!$B$10:$B$12,0))="","Cell will autofill based on response",INDEX('SaSS'!$M$10:$M$12,MATCH($F102,'SaSS'!$B$10:$B$12,0))),"N/A")</f>
        <v/>
      </c>
      <c r="W102" s="50">
        <f>IFERROR(IF(INDEX('Indigenous'!$M$10:$M$11,MATCH($F102,'Indigenous'!$B$10:$B$11,0))="","Cell will autofill based on response",INDEX('Indigenous'!$M$10:$M$11,MATCH($F102,'Indigenous'!$B$10:$B$11,0))),"N/A")</f>
        <v/>
      </c>
      <c r="X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IFERROR(IF(INDEX('CI&amp;S'!$N$10:$N$15,MATCH($F103,'CI&amp;S'!$B$10:$B$15,0))="","Cell will autofill based on response",INDEX('CI&amp;S'!$N$10:$N$15,MATCH($F103,'CI&amp;S'!$B$10:$B$15,0))),"N/A")</f>
        <v/>
      </c>
      <c r="M103" s="50">
        <f>IFERROR(IF(INDEX('CI&amp;S'!$N$22:$N$36,MATCH($F103,'CI&amp;S'!$B$22:$B$36,0))="","Cell will autofill based on response",INDEX('CI&amp;S'!$N$22:$N$36,MATCH($F103,'CI&amp;S'!$B$22:$B$36,0))),"N/A")</f>
        <v/>
      </c>
      <c r="N103" s="50">
        <f>IFERROR(IF(INDEX('CFOG'!$N$10:$N$16,MATCH($F103,'CFOG'!$B$10:$B$16,0))="","Cell will autofill based on response",INDEX('CFOG'!$N$10:$N$16,MATCH($F103,'CFOG'!$B$10:$B$16,0))),"N/A")</f>
        <v/>
      </c>
      <c r="O103" s="50">
        <f>IFERROR(IF(INDEX('CFOG'!$N$23:$N$24,MATCH($F103,'CFOG'!$B$23:$B$24,0))="","Cell will autofill based on response",INDEX('CFOG'!$N$23:$N$24,MATCH($F103,'CFOG'!$B$23:$B$24,0))),"N/A")</f>
        <v/>
      </c>
      <c r="P103" s="50">
        <f>IFERROR(IF(INDEX('ESG'!$N$10:$N$17,MATCH($F103,'ESG'!$B$10:$B$17,0))="","Cell will autofill based on response",INDEX('ESG'!$N$10:$N$17,MATCH($F103,'ESG'!$B$10:$B$17,0))),"N/A")</f>
        <v/>
      </c>
      <c r="Q103" s="50">
        <f>IFERROR(IF(INDEX('CIOG'!$N$10:$N$14,MATCH($F103,'CIOG'!$B$10:$B$14,0))="","Cell will autofill based on response",INDEX('CIOG'!$N$10:$N$14,MATCH($F103,'CIOG'!$B$10:$B$14,0))),"N/A")</f>
        <v/>
      </c>
      <c r="R103" s="50">
        <f>IFERROR(IF(INDEX('MRE'!$N$10:$N$18,MATCH($F103,'MRE'!$B$10:$B$18,0))="","Cell will autofill based on response",INDEX('MRE'!$N$10:$N$18,MATCH($F103,'MRE'!$B$10:$B$18,0))),"N/A")</f>
        <v/>
      </c>
      <c r="S103" s="50">
        <f>IFERROR(IF(INDEX('AC&amp;M'!$N$10:$N$14,MATCH($F103,'AC&amp;M'!$B$10:$B$14,0))="","Cell will autofill based on response",INDEX('AC&amp;M'!$N$10:$N$14,MATCH($F103,'AC&amp;M'!$B$10:$B$14,0))),"N/A")</f>
        <v/>
      </c>
      <c r="T103" s="50">
        <f>IFERROR(IF(INDEX('GCE'!$N$10:$N$12,MATCH($F103,'GCE'!$B$10:$B$12,0))="","Cell will autofill based on response",INDEX('GCE'!$N$10:$N$12,MATCH($F103,'GCE'!$B$10:$B$12,0))),"N/A")</f>
        <v/>
      </c>
      <c r="U103" s="50">
        <f>IFERROR(IF(INDEX('Education'!$N$10:$N$13,MATCH($F103,'Education'!$B$10:$B$13,0))="","Cell will autofill based on response",INDEX('Education'!$N$10:$N$13,MATCH($F103,'Education'!$B$10:$B$13,0))),"N/A")</f>
        <v/>
      </c>
      <c r="V103" s="50">
        <f>IFERROR(IF(INDEX('SaSS'!$N$10:$N$12,MATCH($F103,'SaSS'!$B$10:$B$12,0))="","Cell will autofill based on response",INDEX('SaSS'!$N$10:$N$12,MATCH($F103,'SaSS'!$B$10:$B$12,0))),"N/A")</f>
        <v/>
      </c>
      <c r="W103" s="50">
        <f>IFERROR(IF(INDEX('Indigenous'!$N$10:$N$11,MATCH($F103,'Indigenous'!$B$10:$B$11,0))="","Cell will autofill based on response",INDEX('Indigenous'!$N$10:$N$11,MATCH($F103,'Indigenous'!$B$10:$B$11,0))),"N/A")</f>
        <v/>
      </c>
      <c r="X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IFERROR(IF(INDEX('CI&amp;S'!$O$10:$O$15,MATCH($F104,'CI&amp;S'!$B$10:$B$15,0))="","Cell will autofill based on response",INDEX('CI&amp;S'!$O$10:$O$15,MATCH($F104,'CI&amp;S'!$B$10:$B$15,0))),"N/A")</f>
        <v/>
      </c>
      <c r="M104" s="50">
        <f>IFERROR(IF(INDEX('CI&amp;S'!$O$22:$O$36,MATCH($F104,'CI&amp;S'!$B$22:$B$36,0))="","Cell will autofill based on response",INDEX('CI&amp;S'!$O$22:$O$36,MATCH($F104,'CI&amp;S'!$B$22:$B$36,0))),"N/A")</f>
        <v/>
      </c>
      <c r="N104" s="50">
        <f>IFERROR(IF(INDEX('CFOG'!$O$10:$O$16,MATCH($F104,'CFOG'!$B$10:$B$16,0))="","Cell will autofill based on response",INDEX('CFOG'!$O$10:$O$16,MATCH($F104,'CFOG'!$B$10:$B$16,0))),"N/A")</f>
        <v/>
      </c>
      <c r="O104" s="50">
        <f>IFERROR(IF(INDEX('CFOG'!$O$23:$O$24,MATCH($F104,'CFOG'!$B$23:$B$24,0))="","Cell will autofill based on response",INDEX('CFOG'!$O$23:$O$24,MATCH($F104,'CFOG'!$B$23:$B$24,0))),"N/A")</f>
        <v/>
      </c>
      <c r="P104" s="50">
        <f>IFERROR(IF(INDEX('ESG'!$O$10:$O$17,MATCH($F104,'ESG'!$B$10:$B$17,0))="","Cell will autofill based on response",INDEX('ESG'!$O$10:$O$17,MATCH($F104,'ESG'!$B$10:$B$17,0))),"N/A")</f>
        <v/>
      </c>
      <c r="Q104" s="50">
        <f>IFERROR(IF(INDEX('CIOG'!$O$10:$O$14,MATCH($F104,'CIOG'!$B$10:$B$14,0))="","Cell will autofill based on response",INDEX('CIOG'!$O$10:$O$14,MATCH($F104,'CIOG'!$B$10:$B$14,0))),"N/A")</f>
        <v/>
      </c>
      <c r="R104" s="50">
        <f>IFERROR(IF(INDEX('MRE'!$O$10:$O$18,MATCH($F104,'MRE'!$B$10:$B$18,0))="","Cell will autofill based on response",INDEX('MRE'!$O$10:$O$18,MATCH($F104,'MRE'!$B$10:$B$18,0))),"N/A")</f>
        <v/>
      </c>
      <c r="S104" s="50">
        <f>IFERROR(IF(INDEX('AC&amp;M'!$O$10:$O$14,MATCH($F104,'AC&amp;M'!$B$10:$B$14,0))="","Cell will autofill based on response",INDEX('AC&amp;M'!$O$10:$O$14,MATCH($F104,'AC&amp;M'!$B$10:$B$14,0))),"N/A")</f>
        <v/>
      </c>
      <c r="T104" s="50">
        <f>IFERROR(IF(INDEX('GCE'!$O$10:$O$12,MATCH($F104,'GCE'!$B$10:$B$12,0))="","Cell will autofill based on response",INDEX('GCE'!$O$10:$O$12,MATCH($F104,'GCE'!$B$10:$B$12,0))),"N/A")</f>
        <v/>
      </c>
      <c r="U104" s="50">
        <f>IFERROR(IF(INDEX('Education'!$O$10:$O$13,MATCH($F104,'Education'!$B$10:$B$13,0))="","Cell will autofill based on response",INDEX('Education'!$O$10:$O$13,MATCH($F104,'Education'!$B$10:$B$13,0))),"N/A")</f>
        <v/>
      </c>
      <c r="V104" s="50">
        <f>IFERROR(IF(INDEX('SaSS'!$O$10:$O$12,MATCH($F104,'SaSS'!$B$10:$B$12,0))="","Cell will autofill based on response",INDEX('SaSS'!$O$10:$O$12,MATCH($F104,'SaSS'!$B$10:$B$12,0))),"N/A")</f>
        <v/>
      </c>
      <c r="W104" s="50">
        <f>IFERROR(IF(INDEX('Indigenous'!$O$10:$O$11,MATCH($F104,'Indigenous'!$B$10:$B$11,0))="","Cell will autofill based on response",INDEX('Indigenous'!$O$10:$O$11,MATCH($F104,'Indigenous'!$B$10:$B$11,0))),"N/A")</f>
        <v/>
      </c>
      <c r="X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IFERROR(IF(INDEX('CI&amp;S'!$P$10:$P$15,MATCH($F105,'CI&amp;S'!$B$10:$B$15,0))="","Cell will autofill based on response",INDEX('CI&amp;S'!$P$10:$P$15,MATCH($F105,'CI&amp;S'!$B$10:$B$15,0))),"N/A")</f>
        <v/>
      </c>
      <c r="M105" s="50">
        <f>IFERROR(IF(INDEX('CI&amp;S'!$P$22:$P$36,MATCH($F105,'CI&amp;S'!$B$22:$B$36,0))="","Cell will autofill based on response",INDEX('CI&amp;S'!$P$22:$P$36,MATCH($F105,'CI&amp;S'!$B$22:$B$36,0))),"N/A")</f>
        <v/>
      </c>
      <c r="N105" s="50">
        <f>IFERROR(IF(INDEX('CFOG'!$P$10:$P$16,MATCH($F105,'CFOG'!$B$10:$B$16,0))="","Cell will autofill based on response",INDEX('CFOG'!$P$10:$P$16,MATCH($F105,'CFOG'!$B$10:$B$16,0))),"N/A")</f>
        <v/>
      </c>
      <c r="O105" s="50">
        <f>IFERROR(IF(INDEX('CFOG'!$P$23:$P$24,MATCH($F105,'CFOG'!$B$23:$B$24,0))="","Cell will autofill based on response",INDEX('CFOG'!$P$23:$P$24,MATCH($F105,'CFOG'!$B$23:$B$24,0))),"N/A")</f>
        <v/>
      </c>
      <c r="P105" s="50">
        <f>IFERROR(IF(INDEX('ESG'!$P$10:$P$17,MATCH($F105,'ESG'!$B$10:$B$17,0))="","Cell will autofill based on response",INDEX('ESG'!$P$10:$P$17,MATCH($F105,'ESG'!$B$10:$B$17,0))),"N/A")</f>
        <v/>
      </c>
      <c r="Q105" s="50">
        <f>IFERROR(IF(INDEX('CIOG'!$P$10:$P$14,MATCH($F105,'CIOG'!$B$10:$B$14,0))="","Cell will autofill based on response",INDEX('CIOG'!$P$10:$P$14,MATCH($F105,'CIOG'!$B$10:$B$14,0))),"N/A")</f>
        <v/>
      </c>
      <c r="R105" s="50">
        <f>IFERROR(IF(INDEX('MRE'!$P$10:$P$18,MATCH($F105,'MRE'!$B$10:$B$18,0))="","Cell will autofill based on response",INDEX('MRE'!$P$10:$P$18,MATCH($F105,'MRE'!$B$10:$B$18,0))),"N/A")</f>
        <v/>
      </c>
      <c r="S105" s="50">
        <f>IFERROR(IF(INDEX('AC&amp;M'!$P$10:$P$14,MATCH($F105,'AC&amp;M'!$B$10:$B$14,0))="","Cell will autofill based on response",INDEX('AC&amp;M'!$P$10:$P$14,MATCH($F105,'AC&amp;M'!$B$10:$B$14,0))),"N/A")</f>
        <v/>
      </c>
      <c r="T105" s="50">
        <f>IFERROR(IF(INDEX('GCE'!$P$10:$P$12,MATCH($F105,'GCE'!$B$10:$B$12,0))="","Cell will autofill based on response",INDEX('GCE'!$P$10:$P$12,MATCH($F105,'GCE'!$B$10:$B$12,0))),"N/A")</f>
        <v/>
      </c>
      <c r="U105" s="50">
        <f>IFERROR(IF(INDEX('Education'!$P$10:$P$13,MATCH($F105,'Education'!$B$10:$B$13,0))="","Cell will autofill based on response",INDEX('Education'!$P$10:$P$13,MATCH($F105,'Education'!$B$10:$B$13,0))),"N/A")</f>
        <v/>
      </c>
      <c r="V105" s="50">
        <f>IFERROR(IF(INDEX('SaSS'!$P$10:$P$12,MATCH($F105,'SaSS'!$B$10:$B$12,0))="","Cell will autofill based on response",INDEX('SaSS'!$P$10:$P$12,MATCH($F105,'SaSS'!$B$10:$B$12,0))),"N/A")</f>
        <v/>
      </c>
      <c r="W105" s="50">
        <f>IFERROR(IF(INDEX('Indigenous'!$P$10:$P$11,MATCH($F105,'Indigenous'!$B$10:$B$11,0))="","Cell will autofill based on response",INDEX('Indigenous'!$P$10:$P$11,MATCH($F105,'Indigenous'!$B$10:$B$11,0))),"N/A")</f>
        <v/>
      </c>
      <c r="X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IFERROR(IF(INDEX('CI&amp;S'!$L$10:$L$15,MATCH($F106,'CI&amp;S'!$B$10:$B$15,0))="","Cell will autofill based on response",INDEX('CI&amp;S'!$L$10:$L$15,MATCH($F106,'CI&amp;S'!$B$10:$B$15,0))),"N/A")</f>
        <v/>
      </c>
      <c r="M106" s="50">
        <f>IFERROR(IF(INDEX('CI&amp;S'!$L$22:$L$36,MATCH($F106,'CI&amp;S'!$B$22:$B$36,0))="","Cell will autofill based on response",INDEX('CI&amp;S'!$L$22:$L$36,MATCH($F106,'CI&amp;S'!$B$22:$B$36,0))),"N/A")</f>
        <v/>
      </c>
      <c r="N106" s="50">
        <f>IFERROR(IF(INDEX('CFOG'!$L$10:$L$16,MATCH($F106,'CFOG'!$B$10:$B$16,0))="","Cell will autofill based on response",INDEX('CFOG'!$L$10:$L$16,MATCH($F106,'CFOG'!$B$10:$B$16,0))),"N/A")</f>
        <v/>
      </c>
      <c r="O106" s="50">
        <f>IFERROR(IF(INDEX('CFOG'!$L$23:$L$24,MATCH($F106,'CFOG'!$B$23:$B$24,0))="","Cell will autofill based on response",INDEX('CFOG'!$L$23:$L$24,MATCH($F106,'CFOG'!$B$23:$B$24,0))),"N/A")</f>
        <v/>
      </c>
      <c r="P106" s="50">
        <f>IFERROR(IF(INDEX('ESG'!$L$10:$L$17,MATCH($F106,'ESG'!$B$10:$B$17,0))="","Cell will autofill based on response",INDEX('ESG'!$L$10:$L$17,MATCH($F106,'ESG'!$B$10:$B$17,0))),"N/A")</f>
        <v/>
      </c>
      <c r="Q106" s="50">
        <f>IFERROR(IF(INDEX('CIOG'!$L$10:$L$14,MATCH($F106,'CIOG'!$B$10:$B$14,0))="","Cell will autofill based on response",INDEX('CIOG'!$L$10:$L$14,MATCH($F106,'CIOG'!$B$10:$B$14,0))),"N/A")</f>
        <v/>
      </c>
      <c r="R106" s="50">
        <f>IFERROR(IF(INDEX('MRE'!$L$10:$L$18,MATCH($F106,'MRE'!$B$10:$B$18,0))="","Cell will autofill based on response",INDEX('MRE'!$L$10:$L$18,MATCH($F106,'MRE'!$B$10:$B$18,0))),"N/A")</f>
        <v/>
      </c>
      <c r="S106" s="50">
        <f>IFERROR(IF(INDEX('AC&amp;M'!$L$10:$L$14,MATCH($F106,'AC&amp;M'!$B$10:$B$14,0))="","Cell will autofill based on response",INDEX('AC&amp;M'!$L$10:$L$14,MATCH($F106,'AC&amp;M'!$B$10:$B$14,0))),"N/A")</f>
        <v/>
      </c>
      <c r="T106" s="50">
        <f>IFERROR(IF(INDEX('GCE'!$L$10:$L$12,MATCH($F106,'GCE'!$B$10:$B$12,0))="","Cell will autofill based on response",INDEX('GCE'!$L$10:$L$12,MATCH($F106,'GCE'!$B$10:$B$12,0))),"N/A")</f>
        <v/>
      </c>
      <c r="U106" s="50">
        <f>IFERROR(IF(INDEX('Education'!$L$10:$L$13,MATCH($F106,'Education'!$B$10:$B$13,0))="","Cell will autofill based on response",INDEX('Education'!$L$10:$L$13,MATCH($F106,'Education'!$B$10:$B$13,0))),"N/A")</f>
        <v/>
      </c>
      <c r="V106" s="50">
        <f>IFERROR(IF(INDEX('SaSS'!$L$10:$L$12,MATCH($F106,'SaSS'!$B$10:$B$12,0))="","Cell will autofill based on response",INDEX('SaSS'!$L$10:$L$12,MATCH($F106,'SaSS'!$B$10:$B$12,0))),"N/A")</f>
        <v/>
      </c>
      <c r="W106" s="50">
        <f>IFERROR(IF(INDEX('Indigenous'!$L$10:$L$11,MATCH($F106,'Indigenous'!$B$10:$B$11,0))="","Cell will autofill based on response",INDEX('Indigenous'!$L$10:$L$11,MATCH($F106,'Indigenous'!$B$10:$B$11,0))),"N/A")</f>
        <v/>
      </c>
      <c r="X106" s="50">
        <f>IFERROR(IF(INDEX('L&amp;R'!$L$10:$L$11,MATCH($F106,'L&amp;R'!$B$10:$B$11,0))="","Cell will autofill based on response",INDEX('L&amp;R'!$L$10:$L$11,MATCH($F106,'L&amp;R'!$B$10:$B$11,0))),"N/A")</f>
        <v/>
      </c>
      <c r="Z106" s="8">
        <f>SUMPRODUCT(--($H106:$X106&lt;&gt;"N/A"))</f>
        <v/>
      </c>
      <c r="AA106" s="8">
        <f>SUMPRODUCT(--(((($H106:$X106&lt;&gt;"N/A")*($H106:$X106&lt;&gt;"Cell will autofill based on response"))+(($H107:$X107&lt;&gt;"N/A")*($H107:$X107&lt;&gt;"Cell will autofill based on response")))&gt;0))</f>
        <v/>
      </c>
      <c r="AB106" s="8">
        <f>Z106-AA106</f>
        <v/>
      </c>
      <c r="AC106" s="8">
        <f>COUNTIF($H110:$X110,"Yes")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IFERROR(IF(INDEX('CI&amp;S'!$M$10:$M$15,MATCH($F107,'CI&amp;S'!$B$10:$B$15,0))="","Cell will autofill based on response",INDEX('CI&amp;S'!$M$10:$M$15,MATCH($F107,'CI&amp;S'!$B$10:$B$15,0))),"N/A")</f>
        <v/>
      </c>
      <c r="M107" s="50">
        <f>IFERROR(IF(INDEX('CI&amp;S'!$M$22:$M$36,MATCH($F107,'CI&amp;S'!$B$22:$B$36,0))="","Cell will autofill based on response",INDEX('CI&amp;S'!$M$22:$M$36,MATCH($F107,'CI&amp;S'!$B$22:$B$36,0))),"N/A")</f>
        <v/>
      </c>
      <c r="N107" s="50">
        <f>IFERROR(IF(INDEX('CFOG'!$M$10:$M$16,MATCH($F107,'CFOG'!$B$10:$B$16,0))="","Cell will autofill based on response",INDEX('CFOG'!$M$10:$M$16,MATCH($F107,'CFOG'!$B$10:$B$16,0))),"N/A")</f>
        <v/>
      </c>
      <c r="O107" s="50">
        <f>IFERROR(IF(INDEX('CFOG'!$M$23:$M$24,MATCH($F107,'CFOG'!$B$23:$B$24,0))="","Cell will autofill based on response",INDEX('CFOG'!$M$23:$M$24,MATCH($F107,'CFOG'!$B$23:$B$24,0))),"N/A")</f>
        <v/>
      </c>
      <c r="P107" s="50">
        <f>IFERROR(IF(INDEX('ESG'!$M$10:$M$17,MATCH($F107,'ESG'!$B$10:$B$17,0))="","Cell will autofill based on response",INDEX('ESG'!$M$10:$M$17,MATCH($F107,'ESG'!$B$10:$B$17,0))),"N/A")</f>
        <v/>
      </c>
      <c r="Q107" s="50">
        <f>IFERROR(IF(INDEX('CIOG'!$M$10:$M$14,MATCH($F107,'CIOG'!$B$10:$B$14,0))="","Cell will autofill based on response",INDEX('CIOG'!$M$10:$M$14,MATCH($F107,'CIOG'!$B$10:$B$14,0))),"N/A")</f>
        <v/>
      </c>
      <c r="R107" s="50">
        <f>IFERROR(IF(INDEX('MRE'!$M$10:$M$18,MATCH($F107,'MRE'!$B$10:$B$18,0))="","Cell will autofill based on response",INDEX('MRE'!$M$10:$M$18,MATCH($F107,'MRE'!$B$10:$B$18,0))),"N/A")</f>
        <v/>
      </c>
      <c r="S107" s="50">
        <f>IFERROR(IF(INDEX('AC&amp;M'!$M$10:$M$14,MATCH($F107,'AC&amp;M'!$B$10:$B$14,0))="","Cell will autofill based on response",INDEX('AC&amp;M'!$M$10:$M$14,MATCH($F107,'AC&amp;M'!$B$10:$B$14,0))),"N/A")</f>
        <v/>
      </c>
      <c r="T107" s="50">
        <f>IFERROR(IF(INDEX('GCE'!$M$10:$M$12,MATCH($F107,'GCE'!$B$10:$B$12,0))="","Cell will autofill based on response",INDEX('GCE'!$M$10:$M$12,MATCH($F107,'GCE'!$B$10:$B$12,0))),"N/A")</f>
        <v/>
      </c>
      <c r="U107" s="50">
        <f>IFERROR(IF(INDEX('Education'!$M$10:$M$13,MATCH($F107,'Education'!$B$10:$B$13,0))="","Cell will autofill based on response",INDEX('Education'!$M$10:$M$13,MATCH($F107,'Education'!$B$10:$B$13,0))),"N/A")</f>
        <v/>
      </c>
      <c r="V107" s="50">
        <f>IFERROR(IF(INDEX('SaSS'!$M$10:$M$12,MATCH($F107,'SaSS'!$B$10:$B$12,0))="","Cell will autofill based on response",INDEX('SaSS'!$M$10:$M$12,MATCH($F107,'SaSS'!$B$10:$B$12,0))),"N/A")</f>
        <v/>
      </c>
      <c r="W107" s="50">
        <f>IFERROR(IF(INDEX('Indigenous'!$M$10:$M$11,MATCH($F107,'Indigenous'!$B$10:$B$11,0))="","Cell will autofill based on response",INDEX('Indigenous'!$M$10:$M$11,MATCH($F107,'Indigenous'!$B$10:$B$11,0))),"N/A")</f>
        <v/>
      </c>
      <c r="X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IFERROR(IF(INDEX('CI&amp;S'!$N$10:$N$15,MATCH($F108,'CI&amp;S'!$B$10:$B$15,0))="","Cell will autofill based on response",INDEX('CI&amp;S'!$N$10:$N$15,MATCH($F108,'CI&amp;S'!$B$10:$B$15,0))),"N/A")</f>
        <v/>
      </c>
      <c r="M108" s="50">
        <f>IFERROR(IF(INDEX('CI&amp;S'!$N$22:$N$36,MATCH($F108,'CI&amp;S'!$B$22:$B$36,0))="","Cell will autofill based on response",INDEX('CI&amp;S'!$N$22:$N$36,MATCH($F108,'CI&amp;S'!$B$22:$B$36,0))),"N/A")</f>
        <v/>
      </c>
      <c r="N108" s="50">
        <f>IFERROR(IF(INDEX('CFOG'!$N$10:$N$16,MATCH($F108,'CFOG'!$B$10:$B$16,0))="","Cell will autofill based on response",INDEX('CFOG'!$N$10:$N$16,MATCH($F108,'CFOG'!$B$10:$B$16,0))),"N/A")</f>
        <v/>
      </c>
      <c r="O108" s="50">
        <f>IFERROR(IF(INDEX('CFOG'!$N$23:$N$24,MATCH($F108,'CFOG'!$B$23:$B$24,0))="","Cell will autofill based on response",INDEX('CFOG'!$N$23:$N$24,MATCH($F108,'CFOG'!$B$23:$B$24,0))),"N/A")</f>
        <v/>
      </c>
      <c r="P108" s="50">
        <f>IFERROR(IF(INDEX('ESG'!$N$10:$N$17,MATCH($F108,'ESG'!$B$10:$B$17,0))="","Cell will autofill based on response",INDEX('ESG'!$N$10:$N$17,MATCH($F108,'ESG'!$B$10:$B$17,0))),"N/A")</f>
        <v/>
      </c>
      <c r="Q108" s="50">
        <f>IFERROR(IF(INDEX('CIOG'!$N$10:$N$14,MATCH($F108,'CIOG'!$B$10:$B$14,0))="","Cell will autofill based on response",INDEX('CIOG'!$N$10:$N$14,MATCH($F108,'CIOG'!$B$10:$B$14,0))),"N/A")</f>
        <v/>
      </c>
      <c r="R108" s="50">
        <f>IFERROR(IF(INDEX('MRE'!$N$10:$N$18,MATCH($F108,'MRE'!$B$10:$B$18,0))="","Cell will autofill based on response",INDEX('MRE'!$N$10:$N$18,MATCH($F108,'MRE'!$B$10:$B$18,0))),"N/A")</f>
        <v/>
      </c>
      <c r="S108" s="50">
        <f>IFERROR(IF(INDEX('AC&amp;M'!$N$10:$N$14,MATCH($F108,'AC&amp;M'!$B$10:$B$14,0))="","Cell will autofill based on response",INDEX('AC&amp;M'!$N$10:$N$14,MATCH($F108,'AC&amp;M'!$B$10:$B$14,0))),"N/A")</f>
        <v/>
      </c>
      <c r="T108" s="50">
        <f>IFERROR(IF(INDEX('GCE'!$N$10:$N$12,MATCH($F108,'GCE'!$B$10:$B$12,0))="","Cell will autofill based on response",INDEX('GCE'!$N$10:$N$12,MATCH($F108,'GCE'!$B$10:$B$12,0))),"N/A")</f>
        <v/>
      </c>
      <c r="U108" s="50">
        <f>IFERROR(IF(INDEX('Education'!$N$10:$N$13,MATCH($F108,'Education'!$B$10:$B$13,0))="","Cell will autofill based on response",INDEX('Education'!$N$10:$N$13,MATCH($F108,'Education'!$B$10:$B$13,0))),"N/A")</f>
        <v/>
      </c>
      <c r="V108" s="50">
        <f>IFERROR(IF(INDEX('SaSS'!$N$10:$N$12,MATCH($F108,'SaSS'!$B$10:$B$12,0))="","Cell will autofill based on response",INDEX('SaSS'!$N$10:$N$12,MATCH($F108,'SaSS'!$B$10:$B$12,0))),"N/A")</f>
        <v/>
      </c>
      <c r="W108" s="50">
        <f>IFERROR(IF(INDEX('Indigenous'!$N$10:$N$11,MATCH($F108,'Indigenous'!$B$10:$B$11,0))="","Cell will autofill based on response",INDEX('Indigenous'!$N$10:$N$11,MATCH($F108,'Indigenous'!$B$10:$B$11,0))),"N/A")</f>
        <v/>
      </c>
      <c r="X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IFERROR(IF(INDEX('CI&amp;S'!$O$10:$O$15,MATCH($F109,'CI&amp;S'!$B$10:$B$15,0))="","Cell will autofill based on response",INDEX('CI&amp;S'!$O$10:$O$15,MATCH($F109,'CI&amp;S'!$B$10:$B$15,0))),"N/A")</f>
        <v/>
      </c>
      <c r="M109" s="50">
        <f>IFERROR(IF(INDEX('CI&amp;S'!$O$22:$O$36,MATCH($F109,'CI&amp;S'!$B$22:$B$36,0))="","Cell will autofill based on response",INDEX('CI&amp;S'!$O$22:$O$36,MATCH($F109,'CI&amp;S'!$B$22:$B$36,0))),"N/A")</f>
        <v/>
      </c>
      <c r="N109" s="50">
        <f>IFERROR(IF(INDEX('CFOG'!$O$10:$O$16,MATCH($F109,'CFOG'!$B$10:$B$16,0))="","Cell will autofill based on response",INDEX('CFOG'!$O$10:$O$16,MATCH($F109,'CFOG'!$B$10:$B$16,0))),"N/A")</f>
        <v/>
      </c>
      <c r="O109" s="50">
        <f>IFERROR(IF(INDEX('CFOG'!$O$23:$O$24,MATCH($F109,'CFOG'!$B$23:$B$24,0))="","Cell will autofill based on response",INDEX('CFOG'!$O$23:$O$24,MATCH($F109,'CFOG'!$B$23:$B$24,0))),"N/A")</f>
        <v/>
      </c>
      <c r="P109" s="50">
        <f>IFERROR(IF(INDEX('ESG'!$O$10:$O$17,MATCH($F109,'ESG'!$B$10:$B$17,0))="","Cell will autofill based on response",INDEX('ESG'!$O$10:$O$17,MATCH($F109,'ESG'!$B$10:$B$17,0))),"N/A")</f>
        <v/>
      </c>
      <c r="Q109" s="50">
        <f>IFERROR(IF(INDEX('CIOG'!$O$10:$O$14,MATCH($F109,'CIOG'!$B$10:$B$14,0))="","Cell will autofill based on response",INDEX('CIOG'!$O$10:$O$14,MATCH($F109,'CIOG'!$B$10:$B$14,0))),"N/A")</f>
        <v/>
      </c>
      <c r="R109" s="50">
        <f>IFERROR(IF(INDEX('MRE'!$O$10:$O$18,MATCH($F109,'MRE'!$B$10:$B$18,0))="","Cell will autofill based on response",INDEX('MRE'!$O$10:$O$18,MATCH($F109,'MRE'!$B$10:$B$18,0))),"N/A")</f>
        <v/>
      </c>
      <c r="S109" s="50">
        <f>IFERROR(IF(INDEX('AC&amp;M'!$O$10:$O$14,MATCH($F109,'AC&amp;M'!$B$10:$B$14,0))="","Cell will autofill based on response",INDEX('AC&amp;M'!$O$10:$O$14,MATCH($F109,'AC&amp;M'!$B$10:$B$14,0))),"N/A")</f>
        <v/>
      </c>
      <c r="T109" s="50">
        <f>IFERROR(IF(INDEX('GCE'!$O$10:$O$12,MATCH($F109,'GCE'!$B$10:$B$12,0))="","Cell will autofill based on response",INDEX('GCE'!$O$10:$O$12,MATCH($F109,'GCE'!$B$10:$B$12,0))),"N/A")</f>
        <v/>
      </c>
      <c r="U109" s="50">
        <f>IFERROR(IF(INDEX('Education'!$O$10:$O$13,MATCH($F109,'Education'!$B$10:$B$13,0))="","Cell will autofill based on response",INDEX('Education'!$O$10:$O$13,MATCH($F109,'Education'!$B$10:$B$13,0))),"N/A")</f>
        <v/>
      </c>
      <c r="V109" s="50">
        <f>IFERROR(IF(INDEX('SaSS'!$O$10:$O$12,MATCH($F109,'SaSS'!$B$10:$B$12,0))="","Cell will autofill based on response",INDEX('SaSS'!$O$10:$O$12,MATCH($F109,'SaSS'!$B$10:$B$12,0))),"N/A")</f>
        <v/>
      </c>
      <c r="W109" s="50">
        <f>IFERROR(IF(INDEX('Indigenous'!$O$10:$O$11,MATCH($F109,'Indigenous'!$B$10:$B$11,0))="","Cell will autofill based on response",INDEX('Indigenous'!$O$10:$O$11,MATCH($F109,'Indigenous'!$B$10:$B$11,0))),"N/A")</f>
        <v/>
      </c>
      <c r="X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IFERROR(IF(INDEX('CI&amp;S'!$P$10:$P$15,MATCH($F110,'CI&amp;S'!$B$10:$B$15,0))="","Cell will autofill based on response",INDEX('CI&amp;S'!$P$10:$P$15,MATCH($F110,'CI&amp;S'!$B$10:$B$15,0))),"N/A")</f>
        <v/>
      </c>
      <c r="M110" s="50">
        <f>IFERROR(IF(INDEX('CI&amp;S'!$P$22:$P$36,MATCH($F110,'CI&amp;S'!$B$22:$B$36,0))="","Cell will autofill based on response",INDEX('CI&amp;S'!$P$22:$P$36,MATCH($F110,'CI&amp;S'!$B$22:$B$36,0))),"N/A")</f>
        <v/>
      </c>
      <c r="N110" s="50">
        <f>IFERROR(IF(INDEX('CFOG'!$P$10:$P$16,MATCH($F110,'CFOG'!$B$10:$B$16,0))="","Cell will autofill based on response",INDEX('CFOG'!$P$10:$P$16,MATCH($F110,'CFOG'!$B$10:$B$16,0))),"N/A")</f>
        <v/>
      </c>
      <c r="O110" s="50">
        <f>IFERROR(IF(INDEX('CFOG'!$P$23:$P$24,MATCH($F110,'CFOG'!$B$23:$B$24,0))="","Cell will autofill based on response",INDEX('CFOG'!$P$23:$P$24,MATCH($F110,'CFOG'!$B$23:$B$24,0))),"N/A")</f>
        <v/>
      </c>
      <c r="P110" s="50">
        <f>IFERROR(IF(INDEX('ESG'!$P$10:$P$17,MATCH($F110,'ESG'!$B$10:$B$17,0))="","Cell will autofill based on response",INDEX('ESG'!$P$10:$P$17,MATCH($F110,'ESG'!$B$10:$B$17,0))),"N/A")</f>
        <v/>
      </c>
      <c r="Q110" s="50">
        <f>IFERROR(IF(INDEX('CIOG'!$P$10:$P$14,MATCH($F110,'CIOG'!$B$10:$B$14,0))="","Cell will autofill based on response",INDEX('CIOG'!$P$10:$P$14,MATCH($F110,'CIOG'!$B$10:$B$14,0))),"N/A")</f>
        <v/>
      </c>
      <c r="R110" s="50">
        <f>IFERROR(IF(INDEX('MRE'!$P$10:$P$18,MATCH($F110,'MRE'!$B$10:$B$18,0))="","Cell will autofill based on response",INDEX('MRE'!$P$10:$P$18,MATCH($F110,'MRE'!$B$10:$B$18,0))),"N/A")</f>
        <v/>
      </c>
      <c r="S110" s="50">
        <f>IFERROR(IF(INDEX('AC&amp;M'!$P$10:$P$14,MATCH($F110,'AC&amp;M'!$B$10:$B$14,0))="","Cell will autofill based on response",INDEX('AC&amp;M'!$P$10:$P$14,MATCH($F110,'AC&amp;M'!$B$10:$B$14,0))),"N/A")</f>
        <v/>
      </c>
      <c r="T110" s="50">
        <f>IFERROR(IF(INDEX('GCE'!$P$10:$P$12,MATCH($F110,'GCE'!$B$10:$B$12,0))="","Cell will autofill based on response",INDEX('GCE'!$P$10:$P$12,MATCH($F110,'GCE'!$B$10:$B$12,0))),"N/A")</f>
        <v/>
      </c>
      <c r="U110" s="50">
        <f>IFERROR(IF(INDEX('Education'!$P$10:$P$13,MATCH($F110,'Education'!$B$10:$B$13,0))="","Cell will autofill based on response",INDEX('Education'!$P$10:$P$13,MATCH($F110,'Education'!$B$10:$B$13,0))),"N/A")</f>
        <v/>
      </c>
      <c r="V110" s="50">
        <f>IFERROR(IF(INDEX('SaSS'!$P$10:$P$12,MATCH($F110,'SaSS'!$B$10:$B$12,0))="","Cell will autofill based on response",INDEX('SaSS'!$P$10:$P$12,MATCH($F110,'SaSS'!$B$10:$B$12,0))),"N/A")</f>
        <v/>
      </c>
      <c r="W110" s="50">
        <f>IFERROR(IF(INDEX('Indigenous'!$P$10:$P$11,MATCH($F110,'Indigenous'!$B$10:$B$11,0))="","Cell will autofill based on response",INDEX('Indigenous'!$P$10:$P$11,MATCH($F110,'Indigenous'!$B$10:$B$11,0))),"N/A")</f>
        <v/>
      </c>
      <c r="X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IFERROR(IF(INDEX('CI&amp;S'!$L$10:$L$15,MATCH($F111,'CI&amp;S'!$B$10:$B$15,0))="","Cell will autofill based on response",INDEX('CI&amp;S'!$L$10:$L$15,MATCH($F111,'CI&amp;S'!$B$10:$B$15,0))),"N/A")</f>
        <v/>
      </c>
      <c r="M111" s="50">
        <f>IFERROR(IF(INDEX('CI&amp;S'!$L$22:$L$36,MATCH($F111,'CI&amp;S'!$B$22:$B$36,0))="","Cell will autofill based on response",INDEX('CI&amp;S'!$L$22:$L$36,MATCH($F111,'CI&amp;S'!$B$22:$B$36,0))),"N/A")</f>
        <v/>
      </c>
      <c r="N111" s="50">
        <f>IFERROR(IF(INDEX('CFOG'!$L$10:$L$16,MATCH($F111,'CFOG'!$B$10:$B$16,0))="","Cell will autofill based on response",INDEX('CFOG'!$L$10:$L$16,MATCH($F111,'CFOG'!$B$10:$B$16,0))),"N/A")</f>
        <v/>
      </c>
      <c r="O111" s="50">
        <f>IFERROR(IF(INDEX('CFOG'!$L$23:$L$24,MATCH($F111,'CFOG'!$B$23:$B$24,0))="","Cell will autofill based on response",INDEX('CFOG'!$L$23:$L$24,MATCH($F111,'CFOG'!$B$23:$B$24,0))),"N/A")</f>
        <v/>
      </c>
      <c r="P111" s="50">
        <f>IFERROR(IF(INDEX('ESG'!$L$10:$L$17,MATCH($F111,'ESG'!$B$10:$B$17,0))="","Cell will autofill based on response",INDEX('ESG'!$L$10:$L$17,MATCH($F111,'ESG'!$B$10:$B$17,0))),"N/A")</f>
        <v/>
      </c>
      <c r="Q111" s="50">
        <f>IFERROR(IF(INDEX('CIOG'!$L$10:$L$14,MATCH($F111,'CIOG'!$B$10:$B$14,0))="","Cell will autofill based on response",INDEX('CIOG'!$L$10:$L$14,MATCH($F111,'CIOG'!$B$10:$B$14,0))),"N/A")</f>
        <v/>
      </c>
      <c r="R111" s="50">
        <f>IFERROR(IF(INDEX('MRE'!$L$10:$L$18,MATCH($F111,'MRE'!$B$10:$B$18,0))="","Cell will autofill based on response",INDEX('MRE'!$L$10:$L$18,MATCH($F111,'MRE'!$B$10:$B$18,0))),"N/A")</f>
        <v/>
      </c>
      <c r="S111" s="50">
        <f>IFERROR(IF(INDEX('AC&amp;M'!$L$10:$L$14,MATCH($F111,'AC&amp;M'!$B$10:$B$14,0))="","Cell will autofill based on response",INDEX('AC&amp;M'!$L$10:$L$14,MATCH($F111,'AC&amp;M'!$B$10:$B$14,0))),"N/A")</f>
        <v/>
      </c>
      <c r="T111" s="50">
        <f>IFERROR(IF(INDEX('GCE'!$L$10:$L$12,MATCH($F111,'GCE'!$B$10:$B$12,0))="","Cell will autofill based on response",INDEX('GCE'!$L$10:$L$12,MATCH($F111,'GCE'!$B$10:$B$12,0))),"N/A")</f>
        <v/>
      </c>
      <c r="U111" s="50">
        <f>IFERROR(IF(INDEX('Education'!$L$10:$L$13,MATCH($F111,'Education'!$B$10:$B$13,0))="","Cell will autofill based on response",INDEX('Education'!$L$10:$L$13,MATCH($F111,'Education'!$B$10:$B$13,0))),"N/A")</f>
        <v/>
      </c>
      <c r="V111" s="50">
        <f>IFERROR(IF(INDEX('SaSS'!$L$10:$L$12,MATCH($F111,'SaSS'!$B$10:$B$12,0))="","Cell will autofill based on response",INDEX('SaSS'!$L$10:$L$12,MATCH($F111,'SaSS'!$B$10:$B$12,0))),"N/A")</f>
        <v/>
      </c>
      <c r="W111" s="50">
        <f>IFERROR(IF(INDEX('Indigenous'!$L$10:$L$11,MATCH($F111,'Indigenous'!$B$10:$B$11,0))="","Cell will autofill based on response",INDEX('Indigenous'!$L$10:$L$11,MATCH($F111,'Indigenous'!$B$10:$B$11,0))),"N/A")</f>
        <v/>
      </c>
      <c r="X111" s="50">
        <f>IFERROR(IF(INDEX('L&amp;R'!$L$10:$L$11,MATCH($F111,'L&amp;R'!$B$10:$B$11,0))="","Cell will autofill based on response",INDEX('L&amp;R'!$L$10:$L$11,MATCH($F111,'L&amp;R'!$B$10:$B$11,0))),"N/A")</f>
        <v/>
      </c>
      <c r="Z111" s="8">
        <f>SUMPRODUCT(--($H111:$X111&lt;&gt;"N/A"))</f>
        <v/>
      </c>
      <c r="AA111" s="8">
        <f>SUMPRODUCT(--(((($H111:$X111&lt;&gt;"N/A")*($H111:$X111&lt;&gt;"Cell will autofill based on response"))+(($H112:$X112&lt;&gt;"N/A")*($H112:$X112&lt;&gt;"Cell will autofill based on response")))&gt;0))</f>
        <v/>
      </c>
      <c r="AB111" s="8">
        <f>Z111-AA111</f>
        <v/>
      </c>
      <c r="AC111" s="8">
        <f>COUNTIF($H115:$X115,"Yes")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IFERROR(IF(INDEX('CI&amp;S'!$M$10:$M$15,MATCH($F112,'CI&amp;S'!$B$10:$B$15,0))="","Cell will autofill based on response",INDEX('CI&amp;S'!$M$10:$M$15,MATCH($F112,'CI&amp;S'!$B$10:$B$15,0))),"N/A")</f>
        <v/>
      </c>
      <c r="M112" s="50">
        <f>IFERROR(IF(INDEX('CI&amp;S'!$M$22:$M$36,MATCH($F112,'CI&amp;S'!$B$22:$B$36,0))="","Cell will autofill based on response",INDEX('CI&amp;S'!$M$22:$M$36,MATCH($F112,'CI&amp;S'!$B$22:$B$36,0))),"N/A")</f>
        <v/>
      </c>
      <c r="N112" s="50">
        <f>IFERROR(IF(INDEX('CFOG'!$M$10:$M$16,MATCH($F112,'CFOG'!$B$10:$B$16,0))="","Cell will autofill based on response",INDEX('CFOG'!$M$10:$M$16,MATCH($F112,'CFOG'!$B$10:$B$16,0))),"N/A")</f>
        <v/>
      </c>
      <c r="O112" s="50">
        <f>IFERROR(IF(INDEX('CFOG'!$M$23:$M$24,MATCH($F112,'CFOG'!$B$23:$B$24,0))="","Cell will autofill based on response",INDEX('CFOG'!$M$23:$M$24,MATCH($F112,'CFOG'!$B$23:$B$24,0))),"N/A")</f>
        <v/>
      </c>
      <c r="P112" s="50">
        <f>IFERROR(IF(INDEX('ESG'!$M$10:$M$17,MATCH($F112,'ESG'!$B$10:$B$17,0))="","Cell will autofill based on response",INDEX('ESG'!$M$10:$M$17,MATCH($F112,'ESG'!$B$10:$B$17,0))),"N/A")</f>
        <v/>
      </c>
      <c r="Q112" s="50">
        <f>IFERROR(IF(INDEX('CIOG'!$M$10:$M$14,MATCH($F112,'CIOG'!$B$10:$B$14,0))="","Cell will autofill based on response",INDEX('CIOG'!$M$10:$M$14,MATCH($F112,'CIOG'!$B$10:$B$14,0))),"N/A")</f>
        <v/>
      </c>
      <c r="R112" s="50">
        <f>IFERROR(IF(INDEX('MRE'!$M$10:$M$18,MATCH($F112,'MRE'!$B$10:$B$18,0))="","Cell will autofill based on response",INDEX('MRE'!$M$10:$M$18,MATCH($F112,'MRE'!$B$10:$B$18,0))),"N/A")</f>
        <v/>
      </c>
      <c r="S112" s="50">
        <f>IFERROR(IF(INDEX('AC&amp;M'!$M$10:$M$14,MATCH($F112,'AC&amp;M'!$B$10:$B$14,0))="","Cell will autofill based on response",INDEX('AC&amp;M'!$M$10:$M$14,MATCH($F112,'AC&amp;M'!$B$10:$B$14,0))),"N/A")</f>
        <v/>
      </c>
      <c r="T112" s="50">
        <f>IFERROR(IF(INDEX('GCE'!$M$10:$M$12,MATCH($F112,'GCE'!$B$10:$B$12,0))="","Cell will autofill based on response",INDEX('GCE'!$M$10:$M$12,MATCH($F112,'GCE'!$B$10:$B$12,0))),"N/A")</f>
        <v/>
      </c>
      <c r="U112" s="50">
        <f>IFERROR(IF(INDEX('Education'!$M$10:$M$13,MATCH($F112,'Education'!$B$10:$B$13,0))="","Cell will autofill based on response",INDEX('Education'!$M$10:$M$13,MATCH($F112,'Education'!$B$10:$B$13,0))),"N/A")</f>
        <v/>
      </c>
      <c r="V112" s="50">
        <f>IFERROR(IF(INDEX('SaSS'!$M$10:$M$12,MATCH($F112,'SaSS'!$B$10:$B$12,0))="","Cell will autofill based on response",INDEX('SaSS'!$M$10:$M$12,MATCH($F112,'SaSS'!$B$10:$B$12,0))),"N/A")</f>
        <v/>
      </c>
      <c r="W112" s="50">
        <f>IFERROR(IF(INDEX('Indigenous'!$M$10:$M$11,MATCH($F112,'Indigenous'!$B$10:$B$11,0))="","Cell will autofill based on response",INDEX('Indigenous'!$M$10:$M$11,MATCH($F112,'Indigenous'!$B$10:$B$11,0))),"N/A")</f>
        <v/>
      </c>
      <c r="X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IFERROR(IF(INDEX('CI&amp;S'!$N$10:$N$15,MATCH($F113,'CI&amp;S'!$B$10:$B$15,0))="","Cell will autofill based on response",INDEX('CI&amp;S'!$N$10:$N$15,MATCH($F113,'CI&amp;S'!$B$10:$B$15,0))),"N/A")</f>
        <v/>
      </c>
      <c r="M113" s="50">
        <f>IFERROR(IF(INDEX('CI&amp;S'!$N$22:$N$36,MATCH($F113,'CI&amp;S'!$B$22:$B$36,0))="","Cell will autofill based on response",INDEX('CI&amp;S'!$N$22:$N$36,MATCH($F113,'CI&amp;S'!$B$22:$B$36,0))),"N/A")</f>
        <v/>
      </c>
      <c r="N113" s="50">
        <f>IFERROR(IF(INDEX('CFOG'!$N$10:$N$16,MATCH($F113,'CFOG'!$B$10:$B$16,0))="","Cell will autofill based on response",INDEX('CFOG'!$N$10:$N$16,MATCH($F113,'CFOG'!$B$10:$B$16,0))),"N/A")</f>
        <v/>
      </c>
      <c r="O113" s="50">
        <f>IFERROR(IF(INDEX('CFOG'!$N$23:$N$24,MATCH($F113,'CFOG'!$B$23:$B$24,0))="","Cell will autofill based on response",INDEX('CFOG'!$N$23:$N$24,MATCH($F113,'CFOG'!$B$23:$B$24,0))),"N/A")</f>
        <v/>
      </c>
      <c r="P113" s="50">
        <f>IFERROR(IF(INDEX('ESG'!$N$10:$N$17,MATCH($F113,'ESG'!$B$10:$B$17,0))="","Cell will autofill based on response",INDEX('ESG'!$N$10:$N$17,MATCH($F113,'ESG'!$B$10:$B$17,0))),"N/A")</f>
        <v/>
      </c>
      <c r="Q113" s="50">
        <f>IFERROR(IF(INDEX('CIOG'!$N$10:$N$14,MATCH($F113,'CIOG'!$B$10:$B$14,0))="","Cell will autofill based on response",INDEX('CIOG'!$N$10:$N$14,MATCH($F113,'CIOG'!$B$10:$B$14,0))),"N/A")</f>
        <v/>
      </c>
      <c r="R113" s="50">
        <f>IFERROR(IF(INDEX('MRE'!$N$10:$N$18,MATCH($F113,'MRE'!$B$10:$B$18,0))="","Cell will autofill based on response",INDEX('MRE'!$N$10:$N$18,MATCH($F113,'MRE'!$B$10:$B$18,0))),"N/A")</f>
        <v/>
      </c>
      <c r="S113" s="50">
        <f>IFERROR(IF(INDEX('AC&amp;M'!$N$10:$N$14,MATCH($F113,'AC&amp;M'!$B$10:$B$14,0))="","Cell will autofill based on response",INDEX('AC&amp;M'!$N$10:$N$14,MATCH($F113,'AC&amp;M'!$B$10:$B$14,0))),"N/A")</f>
        <v/>
      </c>
      <c r="T113" s="50">
        <f>IFERROR(IF(INDEX('GCE'!$N$10:$N$12,MATCH($F113,'GCE'!$B$10:$B$12,0))="","Cell will autofill based on response",INDEX('GCE'!$N$10:$N$12,MATCH($F113,'GCE'!$B$10:$B$12,0))),"N/A")</f>
        <v/>
      </c>
      <c r="U113" s="50">
        <f>IFERROR(IF(INDEX('Education'!$N$10:$N$13,MATCH($F113,'Education'!$B$10:$B$13,0))="","Cell will autofill based on response",INDEX('Education'!$N$10:$N$13,MATCH($F113,'Education'!$B$10:$B$13,0))),"N/A")</f>
        <v/>
      </c>
      <c r="V113" s="50">
        <f>IFERROR(IF(INDEX('SaSS'!$N$10:$N$12,MATCH($F113,'SaSS'!$B$10:$B$12,0))="","Cell will autofill based on response",INDEX('SaSS'!$N$10:$N$12,MATCH($F113,'SaSS'!$B$10:$B$12,0))),"N/A")</f>
        <v/>
      </c>
      <c r="W113" s="50">
        <f>IFERROR(IF(INDEX('Indigenous'!$N$10:$N$11,MATCH($F113,'Indigenous'!$B$10:$B$11,0))="","Cell will autofill based on response",INDEX('Indigenous'!$N$10:$N$11,MATCH($F113,'Indigenous'!$B$10:$B$11,0))),"N/A")</f>
        <v/>
      </c>
      <c r="X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IFERROR(IF(INDEX('CI&amp;S'!$O$10:$O$15,MATCH($F114,'CI&amp;S'!$B$10:$B$15,0))="","Cell will autofill based on response",INDEX('CI&amp;S'!$O$10:$O$15,MATCH($F114,'CI&amp;S'!$B$10:$B$15,0))),"N/A")</f>
        <v/>
      </c>
      <c r="M114" s="50">
        <f>IFERROR(IF(INDEX('CI&amp;S'!$O$22:$O$36,MATCH($F114,'CI&amp;S'!$B$22:$B$36,0))="","Cell will autofill based on response",INDEX('CI&amp;S'!$O$22:$O$36,MATCH($F114,'CI&amp;S'!$B$22:$B$36,0))),"N/A")</f>
        <v/>
      </c>
      <c r="N114" s="50">
        <f>IFERROR(IF(INDEX('CFOG'!$O$10:$O$16,MATCH($F114,'CFOG'!$B$10:$B$16,0))="","Cell will autofill based on response",INDEX('CFOG'!$O$10:$O$16,MATCH($F114,'CFOG'!$B$10:$B$16,0))),"N/A")</f>
        <v/>
      </c>
      <c r="O114" s="50">
        <f>IFERROR(IF(INDEX('CFOG'!$O$23:$O$24,MATCH($F114,'CFOG'!$B$23:$B$24,0))="","Cell will autofill based on response",INDEX('CFOG'!$O$23:$O$24,MATCH($F114,'CFOG'!$B$23:$B$24,0))),"N/A")</f>
        <v/>
      </c>
      <c r="P114" s="50">
        <f>IFERROR(IF(INDEX('ESG'!$O$10:$O$17,MATCH($F114,'ESG'!$B$10:$B$17,0))="","Cell will autofill based on response",INDEX('ESG'!$O$10:$O$17,MATCH($F114,'ESG'!$B$10:$B$17,0))),"N/A")</f>
        <v/>
      </c>
      <c r="Q114" s="50">
        <f>IFERROR(IF(INDEX('CIOG'!$O$10:$O$14,MATCH($F114,'CIOG'!$B$10:$B$14,0))="","Cell will autofill based on response",INDEX('CIOG'!$O$10:$O$14,MATCH($F114,'CIOG'!$B$10:$B$14,0))),"N/A")</f>
        <v/>
      </c>
      <c r="R114" s="50">
        <f>IFERROR(IF(INDEX('MRE'!$O$10:$O$18,MATCH($F114,'MRE'!$B$10:$B$18,0))="","Cell will autofill based on response",INDEX('MRE'!$O$10:$O$18,MATCH($F114,'MRE'!$B$10:$B$18,0))),"N/A")</f>
        <v/>
      </c>
      <c r="S114" s="50">
        <f>IFERROR(IF(INDEX('AC&amp;M'!$O$10:$O$14,MATCH($F114,'AC&amp;M'!$B$10:$B$14,0))="","Cell will autofill based on response",INDEX('AC&amp;M'!$O$10:$O$14,MATCH($F114,'AC&amp;M'!$B$10:$B$14,0))),"N/A")</f>
        <v/>
      </c>
      <c r="T114" s="50">
        <f>IFERROR(IF(INDEX('GCE'!$O$10:$O$12,MATCH($F114,'GCE'!$B$10:$B$12,0))="","Cell will autofill based on response",INDEX('GCE'!$O$10:$O$12,MATCH($F114,'GCE'!$B$10:$B$12,0))),"N/A")</f>
        <v/>
      </c>
      <c r="U114" s="50">
        <f>IFERROR(IF(INDEX('Education'!$O$10:$O$13,MATCH($F114,'Education'!$B$10:$B$13,0))="","Cell will autofill based on response",INDEX('Education'!$O$10:$O$13,MATCH($F114,'Education'!$B$10:$B$13,0))),"N/A")</f>
        <v/>
      </c>
      <c r="V114" s="50">
        <f>IFERROR(IF(INDEX('SaSS'!$O$10:$O$12,MATCH($F114,'SaSS'!$B$10:$B$12,0))="","Cell will autofill based on response",INDEX('SaSS'!$O$10:$O$12,MATCH($F114,'SaSS'!$B$10:$B$12,0))),"N/A")</f>
        <v/>
      </c>
      <c r="W114" s="50">
        <f>IFERROR(IF(INDEX('Indigenous'!$O$10:$O$11,MATCH($F114,'Indigenous'!$B$10:$B$11,0))="","Cell will autofill based on response",INDEX('Indigenous'!$O$10:$O$11,MATCH($F114,'Indigenous'!$B$10:$B$11,0))),"N/A")</f>
        <v/>
      </c>
      <c r="X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IFERROR(IF(INDEX('CI&amp;S'!$P$10:$P$15,MATCH($F115,'CI&amp;S'!$B$10:$B$15,0))="","Cell will autofill based on response",INDEX('CI&amp;S'!$P$10:$P$15,MATCH($F115,'CI&amp;S'!$B$10:$B$15,0))),"N/A")</f>
        <v/>
      </c>
      <c r="M115" s="50">
        <f>IFERROR(IF(INDEX('CI&amp;S'!$P$22:$P$36,MATCH($F115,'CI&amp;S'!$B$22:$B$36,0))="","Cell will autofill based on response",INDEX('CI&amp;S'!$P$22:$P$36,MATCH($F115,'CI&amp;S'!$B$22:$B$36,0))),"N/A")</f>
        <v/>
      </c>
      <c r="N115" s="50">
        <f>IFERROR(IF(INDEX('CFOG'!$P$10:$P$16,MATCH($F115,'CFOG'!$B$10:$B$16,0))="","Cell will autofill based on response",INDEX('CFOG'!$P$10:$P$16,MATCH($F115,'CFOG'!$B$10:$B$16,0))),"N/A")</f>
        <v/>
      </c>
      <c r="O115" s="50">
        <f>IFERROR(IF(INDEX('CFOG'!$P$23:$P$24,MATCH($F115,'CFOG'!$B$23:$B$24,0))="","Cell will autofill based on response",INDEX('CFOG'!$P$23:$P$24,MATCH($F115,'CFOG'!$B$23:$B$24,0))),"N/A")</f>
        <v/>
      </c>
      <c r="P115" s="50">
        <f>IFERROR(IF(INDEX('ESG'!$P$10:$P$17,MATCH($F115,'ESG'!$B$10:$B$17,0))="","Cell will autofill based on response",INDEX('ESG'!$P$10:$P$17,MATCH($F115,'ESG'!$B$10:$B$17,0))),"N/A")</f>
        <v/>
      </c>
      <c r="Q115" s="50">
        <f>IFERROR(IF(INDEX('CIOG'!$P$10:$P$14,MATCH($F115,'CIOG'!$B$10:$B$14,0))="","Cell will autofill based on response",INDEX('CIOG'!$P$10:$P$14,MATCH($F115,'CIOG'!$B$10:$B$14,0))),"N/A")</f>
        <v/>
      </c>
      <c r="R115" s="50">
        <f>IFERROR(IF(INDEX('MRE'!$P$10:$P$18,MATCH($F115,'MRE'!$B$10:$B$18,0))="","Cell will autofill based on response",INDEX('MRE'!$P$10:$P$18,MATCH($F115,'MRE'!$B$10:$B$18,0))),"N/A")</f>
        <v/>
      </c>
      <c r="S115" s="50">
        <f>IFERROR(IF(INDEX('AC&amp;M'!$P$10:$P$14,MATCH($F115,'AC&amp;M'!$B$10:$B$14,0))="","Cell will autofill based on response",INDEX('AC&amp;M'!$P$10:$P$14,MATCH($F115,'AC&amp;M'!$B$10:$B$14,0))),"N/A")</f>
        <v/>
      </c>
      <c r="T115" s="50">
        <f>IFERROR(IF(INDEX('GCE'!$P$10:$P$12,MATCH($F115,'GCE'!$B$10:$B$12,0))="","Cell will autofill based on response",INDEX('GCE'!$P$10:$P$12,MATCH($F115,'GCE'!$B$10:$B$12,0))),"N/A")</f>
        <v/>
      </c>
      <c r="U115" s="50">
        <f>IFERROR(IF(INDEX('Education'!$P$10:$P$13,MATCH($F115,'Education'!$B$10:$B$13,0))="","Cell will autofill based on response",INDEX('Education'!$P$10:$P$13,MATCH($F115,'Education'!$B$10:$B$13,0))),"N/A")</f>
        <v/>
      </c>
      <c r="V115" s="50">
        <f>IFERROR(IF(INDEX('SaSS'!$P$10:$P$12,MATCH($F115,'SaSS'!$B$10:$B$12,0))="","Cell will autofill based on response",INDEX('SaSS'!$P$10:$P$12,MATCH($F115,'SaSS'!$B$10:$B$12,0))),"N/A")</f>
        <v/>
      </c>
      <c r="W115" s="50">
        <f>IFERROR(IF(INDEX('Indigenous'!$P$10:$P$11,MATCH($F115,'Indigenous'!$B$10:$B$11,0))="","Cell will autofill based on response",INDEX('Indigenous'!$P$10:$P$11,MATCH($F115,'Indigenous'!$B$10:$B$11,0))),"N/A")</f>
        <v/>
      </c>
      <c r="X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IFERROR(IF(INDEX('CI&amp;S'!$L$10:$L$15,MATCH($F116,'CI&amp;S'!$B$10:$B$15,0))="","Cell will autofill based on response",INDEX('CI&amp;S'!$L$10:$L$15,MATCH($F116,'CI&amp;S'!$B$10:$B$15,0))),"N/A")</f>
        <v/>
      </c>
      <c r="M116" s="50">
        <f>IFERROR(IF(INDEX('CI&amp;S'!$L$22:$L$36,MATCH($F116,'CI&amp;S'!$B$22:$B$36,0))="","Cell will autofill based on response",INDEX('CI&amp;S'!$L$22:$L$36,MATCH($F116,'CI&amp;S'!$B$22:$B$36,0))),"N/A")</f>
        <v/>
      </c>
      <c r="N116" s="50">
        <f>IFERROR(IF(INDEX('CFOG'!$L$10:$L$16,MATCH($F116,'CFOG'!$B$10:$B$16,0))="","Cell will autofill based on response",INDEX('CFOG'!$L$10:$L$16,MATCH($F116,'CFOG'!$B$10:$B$16,0))),"N/A")</f>
        <v/>
      </c>
      <c r="O116" s="50">
        <f>IFERROR(IF(INDEX('CFOG'!$L$23:$L$24,MATCH($F116,'CFOG'!$B$23:$B$24,0))="","Cell will autofill based on response",INDEX('CFOG'!$L$23:$L$24,MATCH($F116,'CFOG'!$B$23:$B$24,0))),"N/A")</f>
        <v/>
      </c>
      <c r="P116" s="50">
        <f>IFERROR(IF(INDEX('ESG'!$L$10:$L$17,MATCH($F116,'ESG'!$B$10:$B$17,0))="","Cell will autofill based on response",INDEX('ESG'!$L$10:$L$17,MATCH($F116,'ESG'!$B$10:$B$17,0))),"N/A")</f>
        <v/>
      </c>
      <c r="Q116" s="50">
        <f>IFERROR(IF(INDEX('CIOG'!$L$10:$L$14,MATCH($F116,'CIOG'!$B$10:$B$14,0))="","Cell will autofill based on response",INDEX('CIOG'!$L$10:$L$14,MATCH($F116,'CIOG'!$B$10:$B$14,0))),"N/A")</f>
        <v/>
      </c>
      <c r="R116" s="50">
        <f>IFERROR(IF(INDEX('MRE'!$L$10:$L$18,MATCH($F116,'MRE'!$B$10:$B$18,0))="","Cell will autofill based on response",INDEX('MRE'!$L$10:$L$18,MATCH($F116,'MRE'!$B$10:$B$18,0))),"N/A")</f>
        <v/>
      </c>
      <c r="S116" s="50">
        <f>IFERROR(IF(INDEX('AC&amp;M'!$L$10:$L$14,MATCH($F116,'AC&amp;M'!$B$10:$B$14,0))="","Cell will autofill based on response",INDEX('AC&amp;M'!$L$10:$L$14,MATCH($F116,'AC&amp;M'!$B$10:$B$14,0))),"N/A")</f>
        <v/>
      </c>
      <c r="T116" s="50">
        <f>IFERROR(IF(INDEX('GCE'!$L$10:$L$12,MATCH($F116,'GCE'!$B$10:$B$12,0))="","Cell will autofill based on response",INDEX('GCE'!$L$10:$L$12,MATCH($F116,'GCE'!$B$10:$B$12,0))),"N/A")</f>
        <v/>
      </c>
      <c r="U116" s="50">
        <f>IFERROR(IF(INDEX('Education'!$L$10:$L$13,MATCH($F116,'Education'!$B$10:$B$13,0))="","Cell will autofill based on response",INDEX('Education'!$L$10:$L$13,MATCH($F116,'Education'!$B$10:$B$13,0))),"N/A")</f>
        <v/>
      </c>
      <c r="V116" s="50">
        <f>IFERROR(IF(INDEX('SaSS'!$L$10:$L$12,MATCH($F116,'SaSS'!$B$10:$B$12,0))="","Cell will autofill based on response",INDEX('SaSS'!$L$10:$L$12,MATCH($F116,'SaSS'!$B$10:$B$12,0))),"N/A")</f>
        <v/>
      </c>
      <c r="W116" s="50">
        <f>IFERROR(IF(INDEX('Indigenous'!$L$10:$L$11,MATCH($F116,'Indigenous'!$B$10:$B$11,0))="","Cell will autofill based on response",INDEX('Indigenous'!$L$10:$L$11,MATCH($F116,'Indigenous'!$B$10:$B$11,0))),"N/A")</f>
        <v/>
      </c>
      <c r="X116" s="50">
        <f>IFERROR(IF(INDEX('L&amp;R'!$L$10:$L$11,MATCH($F116,'L&amp;R'!$B$10:$B$11,0))="","Cell will autofill based on response",INDEX('L&amp;R'!$L$10:$L$11,MATCH($F116,'L&amp;R'!$B$10:$B$11,0))),"N/A")</f>
        <v/>
      </c>
      <c r="Z116" s="8">
        <f>SUMPRODUCT(--($H116:$X116&lt;&gt;"N/A"))</f>
        <v/>
      </c>
      <c r="AA116" s="8">
        <f>SUMPRODUCT(--(((($H116:$X116&lt;&gt;"N/A")*($H116:$X116&lt;&gt;"Cell will autofill based on response"))+(($H117:$X117&lt;&gt;"N/A")*($H117:$X117&lt;&gt;"Cell will autofill based on response")))&gt;0))</f>
        <v/>
      </c>
      <c r="AB116" s="8">
        <f>Z116-AA116</f>
        <v/>
      </c>
      <c r="AC116" s="8">
        <f>COUNTIF($H120:$X120,"Yes")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IFERROR(IF(INDEX('CI&amp;S'!$M$10:$M$15,MATCH($F117,'CI&amp;S'!$B$10:$B$15,0))="","Cell will autofill based on response",INDEX('CI&amp;S'!$M$10:$M$15,MATCH($F117,'CI&amp;S'!$B$10:$B$15,0))),"N/A")</f>
        <v/>
      </c>
      <c r="M117" s="50">
        <f>IFERROR(IF(INDEX('CI&amp;S'!$M$22:$M$36,MATCH($F117,'CI&amp;S'!$B$22:$B$36,0))="","Cell will autofill based on response",INDEX('CI&amp;S'!$M$22:$M$36,MATCH($F117,'CI&amp;S'!$B$22:$B$36,0))),"N/A")</f>
        <v/>
      </c>
      <c r="N117" s="50">
        <f>IFERROR(IF(INDEX('CFOG'!$M$10:$M$16,MATCH($F117,'CFOG'!$B$10:$B$16,0))="","Cell will autofill based on response",INDEX('CFOG'!$M$10:$M$16,MATCH($F117,'CFOG'!$B$10:$B$16,0))),"N/A")</f>
        <v/>
      </c>
      <c r="O117" s="50">
        <f>IFERROR(IF(INDEX('CFOG'!$M$23:$M$24,MATCH($F117,'CFOG'!$B$23:$B$24,0))="","Cell will autofill based on response",INDEX('CFOG'!$M$23:$M$24,MATCH($F117,'CFOG'!$B$23:$B$24,0))),"N/A")</f>
        <v/>
      </c>
      <c r="P117" s="50">
        <f>IFERROR(IF(INDEX('ESG'!$M$10:$M$17,MATCH($F117,'ESG'!$B$10:$B$17,0))="","Cell will autofill based on response",INDEX('ESG'!$M$10:$M$17,MATCH($F117,'ESG'!$B$10:$B$17,0))),"N/A")</f>
        <v/>
      </c>
      <c r="Q117" s="50">
        <f>IFERROR(IF(INDEX('CIOG'!$M$10:$M$14,MATCH($F117,'CIOG'!$B$10:$B$14,0))="","Cell will autofill based on response",INDEX('CIOG'!$M$10:$M$14,MATCH($F117,'CIOG'!$B$10:$B$14,0))),"N/A")</f>
        <v/>
      </c>
      <c r="R117" s="50">
        <f>IFERROR(IF(INDEX('MRE'!$M$10:$M$18,MATCH($F117,'MRE'!$B$10:$B$18,0))="","Cell will autofill based on response",INDEX('MRE'!$M$10:$M$18,MATCH($F117,'MRE'!$B$10:$B$18,0))),"N/A")</f>
        <v/>
      </c>
      <c r="S117" s="50">
        <f>IFERROR(IF(INDEX('AC&amp;M'!$M$10:$M$14,MATCH($F117,'AC&amp;M'!$B$10:$B$14,0))="","Cell will autofill based on response",INDEX('AC&amp;M'!$M$10:$M$14,MATCH($F117,'AC&amp;M'!$B$10:$B$14,0))),"N/A")</f>
        <v/>
      </c>
      <c r="T117" s="50">
        <f>IFERROR(IF(INDEX('GCE'!$M$10:$M$12,MATCH($F117,'GCE'!$B$10:$B$12,0))="","Cell will autofill based on response",INDEX('GCE'!$M$10:$M$12,MATCH($F117,'GCE'!$B$10:$B$12,0))),"N/A")</f>
        <v/>
      </c>
      <c r="U117" s="50">
        <f>IFERROR(IF(INDEX('Education'!$M$10:$M$13,MATCH($F117,'Education'!$B$10:$B$13,0))="","Cell will autofill based on response",INDEX('Education'!$M$10:$M$13,MATCH($F117,'Education'!$B$10:$B$13,0))),"N/A")</f>
        <v/>
      </c>
      <c r="V117" s="50">
        <f>IFERROR(IF(INDEX('SaSS'!$M$10:$M$12,MATCH($F117,'SaSS'!$B$10:$B$12,0))="","Cell will autofill based on response",INDEX('SaSS'!$M$10:$M$12,MATCH($F117,'SaSS'!$B$10:$B$12,0))),"N/A")</f>
        <v/>
      </c>
      <c r="W117" s="50">
        <f>IFERROR(IF(INDEX('Indigenous'!$M$10:$M$11,MATCH($F117,'Indigenous'!$B$10:$B$11,0))="","Cell will autofill based on response",INDEX('Indigenous'!$M$10:$M$11,MATCH($F117,'Indigenous'!$B$10:$B$11,0))),"N/A")</f>
        <v/>
      </c>
      <c r="X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IFERROR(IF(INDEX('CI&amp;S'!$N$10:$N$15,MATCH($F118,'CI&amp;S'!$B$10:$B$15,0))="","Cell will autofill based on response",INDEX('CI&amp;S'!$N$10:$N$15,MATCH($F118,'CI&amp;S'!$B$10:$B$15,0))),"N/A")</f>
        <v/>
      </c>
      <c r="M118" s="50">
        <f>IFERROR(IF(INDEX('CI&amp;S'!$N$22:$N$36,MATCH($F118,'CI&amp;S'!$B$22:$B$36,0))="","Cell will autofill based on response",INDEX('CI&amp;S'!$N$22:$N$36,MATCH($F118,'CI&amp;S'!$B$22:$B$36,0))),"N/A")</f>
        <v/>
      </c>
      <c r="N118" s="50">
        <f>IFERROR(IF(INDEX('CFOG'!$N$10:$N$16,MATCH($F118,'CFOG'!$B$10:$B$16,0))="","Cell will autofill based on response",INDEX('CFOG'!$N$10:$N$16,MATCH($F118,'CFOG'!$B$10:$B$16,0))),"N/A")</f>
        <v/>
      </c>
      <c r="O118" s="50">
        <f>IFERROR(IF(INDEX('CFOG'!$N$23:$N$24,MATCH($F118,'CFOG'!$B$23:$B$24,0))="","Cell will autofill based on response",INDEX('CFOG'!$N$23:$N$24,MATCH($F118,'CFOG'!$B$23:$B$24,0))),"N/A")</f>
        <v/>
      </c>
      <c r="P118" s="50">
        <f>IFERROR(IF(INDEX('ESG'!$N$10:$N$17,MATCH($F118,'ESG'!$B$10:$B$17,0))="","Cell will autofill based on response",INDEX('ESG'!$N$10:$N$17,MATCH($F118,'ESG'!$B$10:$B$17,0))),"N/A")</f>
        <v/>
      </c>
      <c r="Q118" s="50">
        <f>IFERROR(IF(INDEX('CIOG'!$N$10:$N$14,MATCH($F118,'CIOG'!$B$10:$B$14,0))="","Cell will autofill based on response",INDEX('CIOG'!$N$10:$N$14,MATCH($F118,'CIOG'!$B$10:$B$14,0))),"N/A")</f>
        <v/>
      </c>
      <c r="R118" s="50">
        <f>IFERROR(IF(INDEX('MRE'!$N$10:$N$18,MATCH($F118,'MRE'!$B$10:$B$18,0))="","Cell will autofill based on response",INDEX('MRE'!$N$10:$N$18,MATCH($F118,'MRE'!$B$10:$B$18,0))),"N/A")</f>
        <v/>
      </c>
      <c r="S118" s="50">
        <f>IFERROR(IF(INDEX('AC&amp;M'!$N$10:$N$14,MATCH($F118,'AC&amp;M'!$B$10:$B$14,0))="","Cell will autofill based on response",INDEX('AC&amp;M'!$N$10:$N$14,MATCH($F118,'AC&amp;M'!$B$10:$B$14,0))),"N/A")</f>
        <v/>
      </c>
      <c r="T118" s="50">
        <f>IFERROR(IF(INDEX('GCE'!$N$10:$N$12,MATCH($F118,'GCE'!$B$10:$B$12,0))="","Cell will autofill based on response",INDEX('GCE'!$N$10:$N$12,MATCH($F118,'GCE'!$B$10:$B$12,0))),"N/A")</f>
        <v/>
      </c>
      <c r="U118" s="50">
        <f>IFERROR(IF(INDEX('Education'!$N$10:$N$13,MATCH($F118,'Education'!$B$10:$B$13,0))="","Cell will autofill based on response",INDEX('Education'!$N$10:$N$13,MATCH($F118,'Education'!$B$10:$B$13,0))),"N/A")</f>
        <v/>
      </c>
      <c r="V118" s="50">
        <f>IFERROR(IF(INDEX('SaSS'!$N$10:$N$12,MATCH($F118,'SaSS'!$B$10:$B$12,0))="","Cell will autofill based on response",INDEX('SaSS'!$N$10:$N$12,MATCH($F118,'SaSS'!$B$10:$B$12,0))),"N/A")</f>
        <v/>
      </c>
      <c r="W118" s="50">
        <f>IFERROR(IF(INDEX('Indigenous'!$N$10:$N$11,MATCH($F118,'Indigenous'!$B$10:$B$11,0))="","Cell will autofill based on response",INDEX('Indigenous'!$N$10:$N$11,MATCH($F118,'Indigenous'!$B$10:$B$11,0))),"N/A")</f>
        <v/>
      </c>
      <c r="X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IFERROR(IF(INDEX('CI&amp;S'!$O$10:$O$15,MATCH($F119,'CI&amp;S'!$B$10:$B$15,0))="","Cell will autofill based on response",INDEX('CI&amp;S'!$O$10:$O$15,MATCH($F119,'CI&amp;S'!$B$10:$B$15,0))),"N/A")</f>
        <v/>
      </c>
      <c r="M119" s="50">
        <f>IFERROR(IF(INDEX('CI&amp;S'!$O$22:$O$36,MATCH($F119,'CI&amp;S'!$B$22:$B$36,0))="","Cell will autofill based on response",INDEX('CI&amp;S'!$O$22:$O$36,MATCH($F119,'CI&amp;S'!$B$22:$B$36,0))),"N/A")</f>
        <v/>
      </c>
      <c r="N119" s="50">
        <f>IFERROR(IF(INDEX('CFOG'!$O$10:$O$16,MATCH($F119,'CFOG'!$B$10:$B$16,0))="","Cell will autofill based on response",INDEX('CFOG'!$O$10:$O$16,MATCH($F119,'CFOG'!$B$10:$B$16,0))),"N/A")</f>
        <v/>
      </c>
      <c r="O119" s="50">
        <f>IFERROR(IF(INDEX('CFOG'!$O$23:$O$24,MATCH($F119,'CFOG'!$B$23:$B$24,0))="","Cell will autofill based on response",INDEX('CFOG'!$O$23:$O$24,MATCH($F119,'CFOG'!$B$23:$B$24,0))),"N/A")</f>
        <v/>
      </c>
      <c r="P119" s="50">
        <f>IFERROR(IF(INDEX('ESG'!$O$10:$O$17,MATCH($F119,'ESG'!$B$10:$B$17,0))="","Cell will autofill based on response",INDEX('ESG'!$O$10:$O$17,MATCH($F119,'ESG'!$B$10:$B$17,0))),"N/A")</f>
        <v/>
      </c>
      <c r="Q119" s="50">
        <f>IFERROR(IF(INDEX('CIOG'!$O$10:$O$14,MATCH($F119,'CIOG'!$B$10:$B$14,0))="","Cell will autofill based on response",INDEX('CIOG'!$O$10:$O$14,MATCH($F119,'CIOG'!$B$10:$B$14,0))),"N/A")</f>
        <v/>
      </c>
      <c r="R119" s="50">
        <f>IFERROR(IF(INDEX('MRE'!$O$10:$O$18,MATCH($F119,'MRE'!$B$10:$B$18,0))="","Cell will autofill based on response",INDEX('MRE'!$O$10:$O$18,MATCH($F119,'MRE'!$B$10:$B$18,0))),"N/A")</f>
        <v/>
      </c>
      <c r="S119" s="50">
        <f>IFERROR(IF(INDEX('AC&amp;M'!$O$10:$O$14,MATCH($F119,'AC&amp;M'!$B$10:$B$14,0))="","Cell will autofill based on response",INDEX('AC&amp;M'!$O$10:$O$14,MATCH($F119,'AC&amp;M'!$B$10:$B$14,0))),"N/A")</f>
        <v/>
      </c>
      <c r="T119" s="50">
        <f>IFERROR(IF(INDEX('GCE'!$O$10:$O$12,MATCH($F119,'GCE'!$B$10:$B$12,0))="","Cell will autofill based on response",INDEX('GCE'!$O$10:$O$12,MATCH($F119,'GCE'!$B$10:$B$12,0))),"N/A")</f>
        <v/>
      </c>
      <c r="U119" s="50">
        <f>IFERROR(IF(INDEX('Education'!$O$10:$O$13,MATCH($F119,'Education'!$B$10:$B$13,0))="","Cell will autofill based on response",INDEX('Education'!$O$10:$O$13,MATCH($F119,'Education'!$B$10:$B$13,0))),"N/A")</f>
        <v/>
      </c>
      <c r="V119" s="50">
        <f>IFERROR(IF(INDEX('SaSS'!$O$10:$O$12,MATCH($F119,'SaSS'!$B$10:$B$12,0))="","Cell will autofill based on response",INDEX('SaSS'!$O$10:$O$12,MATCH($F119,'SaSS'!$B$10:$B$12,0))),"N/A")</f>
        <v/>
      </c>
      <c r="W119" s="50">
        <f>IFERROR(IF(INDEX('Indigenous'!$O$10:$O$11,MATCH($F119,'Indigenous'!$B$10:$B$11,0))="","Cell will autofill based on response",INDEX('Indigenous'!$O$10:$O$11,MATCH($F119,'Indigenous'!$B$10:$B$11,0))),"N/A")</f>
        <v/>
      </c>
      <c r="X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IFERROR(IF(INDEX('CI&amp;S'!$P$10:$P$15,MATCH($F120,'CI&amp;S'!$B$10:$B$15,0))="","Cell will autofill based on response",INDEX('CI&amp;S'!$P$10:$P$15,MATCH($F120,'CI&amp;S'!$B$10:$B$15,0))),"N/A")</f>
        <v/>
      </c>
      <c r="M120" s="50">
        <f>IFERROR(IF(INDEX('CI&amp;S'!$P$22:$P$36,MATCH($F120,'CI&amp;S'!$B$22:$B$36,0))="","Cell will autofill based on response",INDEX('CI&amp;S'!$P$22:$P$36,MATCH($F120,'CI&amp;S'!$B$22:$B$36,0))),"N/A")</f>
        <v/>
      </c>
      <c r="N120" s="50">
        <f>IFERROR(IF(INDEX('CFOG'!$P$10:$P$16,MATCH($F120,'CFOG'!$B$10:$B$16,0))="","Cell will autofill based on response",INDEX('CFOG'!$P$10:$P$16,MATCH($F120,'CFOG'!$B$10:$B$16,0))),"N/A")</f>
        <v/>
      </c>
      <c r="O120" s="50">
        <f>IFERROR(IF(INDEX('CFOG'!$P$23:$P$24,MATCH($F120,'CFOG'!$B$23:$B$24,0))="","Cell will autofill based on response",INDEX('CFOG'!$P$23:$P$24,MATCH($F120,'CFOG'!$B$23:$B$24,0))),"N/A")</f>
        <v/>
      </c>
      <c r="P120" s="50">
        <f>IFERROR(IF(INDEX('ESG'!$P$10:$P$17,MATCH($F120,'ESG'!$B$10:$B$17,0))="","Cell will autofill based on response",INDEX('ESG'!$P$10:$P$17,MATCH($F120,'ESG'!$B$10:$B$17,0))),"N/A")</f>
        <v/>
      </c>
      <c r="Q120" s="50">
        <f>IFERROR(IF(INDEX('CIOG'!$P$10:$P$14,MATCH($F120,'CIOG'!$B$10:$B$14,0))="","Cell will autofill based on response",INDEX('CIOG'!$P$10:$P$14,MATCH($F120,'CIOG'!$B$10:$B$14,0))),"N/A")</f>
        <v/>
      </c>
      <c r="R120" s="50">
        <f>IFERROR(IF(INDEX('MRE'!$P$10:$P$18,MATCH($F120,'MRE'!$B$10:$B$18,0))="","Cell will autofill based on response",INDEX('MRE'!$P$10:$P$18,MATCH($F120,'MRE'!$B$10:$B$18,0))),"N/A")</f>
        <v/>
      </c>
      <c r="S120" s="50">
        <f>IFERROR(IF(INDEX('AC&amp;M'!$P$10:$P$14,MATCH($F120,'AC&amp;M'!$B$10:$B$14,0))="","Cell will autofill based on response",INDEX('AC&amp;M'!$P$10:$P$14,MATCH($F120,'AC&amp;M'!$B$10:$B$14,0))),"N/A")</f>
        <v/>
      </c>
      <c r="T120" s="50">
        <f>IFERROR(IF(INDEX('GCE'!$P$10:$P$12,MATCH($F120,'GCE'!$B$10:$B$12,0))="","Cell will autofill based on response",INDEX('GCE'!$P$10:$P$12,MATCH($F120,'GCE'!$B$10:$B$12,0))),"N/A")</f>
        <v/>
      </c>
      <c r="U120" s="50">
        <f>IFERROR(IF(INDEX('Education'!$P$10:$P$13,MATCH($F120,'Education'!$B$10:$B$13,0))="","Cell will autofill based on response",INDEX('Education'!$P$10:$P$13,MATCH($F120,'Education'!$B$10:$B$13,0))),"N/A")</f>
        <v/>
      </c>
      <c r="V120" s="50">
        <f>IFERROR(IF(INDEX('SaSS'!$P$10:$P$12,MATCH($F120,'SaSS'!$B$10:$B$12,0))="","Cell will autofill based on response",INDEX('SaSS'!$P$10:$P$12,MATCH($F120,'SaSS'!$B$10:$B$12,0))),"N/A")</f>
        <v/>
      </c>
      <c r="W120" s="50">
        <f>IFERROR(IF(INDEX('Indigenous'!$P$10:$P$11,MATCH($F120,'Indigenous'!$B$10:$B$11,0))="","Cell will autofill based on response",INDEX('Indigenous'!$P$10:$P$11,MATCH($F120,'Indigenous'!$B$10:$B$11,0))),"N/A")</f>
        <v/>
      </c>
      <c r="X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IFERROR(IF(INDEX('CI&amp;S'!$L$10:$L$15,MATCH($F121,'CI&amp;S'!$B$10:$B$15,0))="","Cell will autofill based on response",INDEX('CI&amp;S'!$L$10:$L$15,MATCH($F121,'CI&amp;S'!$B$10:$B$15,0))),"N/A")</f>
        <v/>
      </c>
      <c r="M121" s="50">
        <f>IFERROR(IF(INDEX('CI&amp;S'!$L$22:$L$36,MATCH($F121,'CI&amp;S'!$B$22:$B$36,0))="","Cell will autofill based on response",INDEX('CI&amp;S'!$L$22:$L$36,MATCH($F121,'CI&amp;S'!$B$22:$B$36,0))),"N/A")</f>
        <v/>
      </c>
      <c r="N121" s="50">
        <f>IFERROR(IF(INDEX('CFOG'!$L$10:$L$16,MATCH($F121,'CFOG'!$B$10:$B$16,0))="","Cell will autofill based on response",INDEX('CFOG'!$L$10:$L$16,MATCH($F121,'CFOG'!$B$10:$B$16,0))),"N/A")</f>
        <v/>
      </c>
      <c r="O121" s="50">
        <f>IFERROR(IF(INDEX('CFOG'!$L$23:$L$24,MATCH($F121,'CFOG'!$B$23:$B$24,0))="","Cell will autofill based on response",INDEX('CFOG'!$L$23:$L$24,MATCH($F121,'CFOG'!$B$23:$B$24,0))),"N/A")</f>
        <v/>
      </c>
      <c r="P121" s="50">
        <f>IFERROR(IF(INDEX('ESG'!$L$10:$L$17,MATCH($F121,'ESG'!$B$10:$B$17,0))="","Cell will autofill based on response",INDEX('ESG'!$L$10:$L$17,MATCH($F121,'ESG'!$B$10:$B$17,0))),"N/A")</f>
        <v/>
      </c>
      <c r="Q121" s="50">
        <f>IFERROR(IF(INDEX('CIOG'!$L$10:$L$14,MATCH($F121,'CIOG'!$B$10:$B$14,0))="","Cell will autofill based on response",INDEX('CIOG'!$L$10:$L$14,MATCH($F121,'CIOG'!$B$10:$B$14,0))),"N/A")</f>
        <v/>
      </c>
      <c r="R121" s="50">
        <f>IFERROR(IF(INDEX('MRE'!$L$10:$L$18,MATCH($F121,'MRE'!$B$10:$B$18,0))="","Cell will autofill based on response",INDEX('MRE'!$L$10:$L$18,MATCH($F121,'MRE'!$B$10:$B$18,0))),"N/A")</f>
        <v/>
      </c>
      <c r="S121" s="50">
        <f>IFERROR(IF(INDEX('AC&amp;M'!$L$10:$L$14,MATCH($F121,'AC&amp;M'!$B$10:$B$14,0))="","Cell will autofill based on response",INDEX('AC&amp;M'!$L$10:$L$14,MATCH($F121,'AC&amp;M'!$B$10:$B$14,0))),"N/A")</f>
        <v/>
      </c>
      <c r="T121" s="50">
        <f>IFERROR(IF(INDEX('GCE'!$L$10:$L$12,MATCH($F121,'GCE'!$B$10:$B$12,0))="","Cell will autofill based on response",INDEX('GCE'!$L$10:$L$12,MATCH($F121,'GCE'!$B$10:$B$12,0))),"N/A")</f>
        <v/>
      </c>
      <c r="U121" s="50">
        <f>IFERROR(IF(INDEX('Education'!$L$10:$L$13,MATCH($F121,'Education'!$B$10:$B$13,0))="","Cell will autofill based on response",INDEX('Education'!$L$10:$L$13,MATCH($F121,'Education'!$B$10:$B$13,0))),"N/A")</f>
        <v/>
      </c>
      <c r="V121" s="50">
        <f>IFERROR(IF(INDEX('SaSS'!$L$10:$L$12,MATCH($F121,'SaSS'!$B$10:$B$12,0))="","Cell will autofill based on response",INDEX('SaSS'!$L$10:$L$12,MATCH($F121,'SaSS'!$B$10:$B$12,0))),"N/A")</f>
        <v/>
      </c>
      <c r="W121" s="50">
        <f>IFERROR(IF(INDEX('Indigenous'!$L$10:$L$11,MATCH($F121,'Indigenous'!$B$10:$B$11,0))="","Cell will autofill based on response",INDEX('Indigenous'!$L$10:$L$11,MATCH($F121,'Indigenous'!$B$10:$B$11,0))),"N/A")</f>
        <v/>
      </c>
      <c r="X121" s="50">
        <f>IFERROR(IF(INDEX('L&amp;R'!$L$10:$L$11,MATCH($F121,'L&amp;R'!$B$10:$B$11,0))="","Cell will autofill based on response",INDEX('L&amp;R'!$L$10:$L$11,MATCH($F121,'L&amp;R'!$B$10:$B$11,0))),"N/A")</f>
        <v/>
      </c>
      <c r="Z121" s="8">
        <f>SUMPRODUCT(--($H121:$X121&lt;&gt;"N/A"))</f>
        <v/>
      </c>
      <c r="AA121" s="8">
        <f>SUMPRODUCT(--(((($H121:$X121&lt;&gt;"N/A")*($H121:$X121&lt;&gt;"Cell will autofill based on response"))+(($H122:$X122&lt;&gt;"N/A")*($H122:$X122&lt;&gt;"Cell will autofill based on response")))&gt;0))</f>
        <v/>
      </c>
      <c r="AB121" s="8">
        <f>Z121-AA121</f>
        <v/>
      </c>
      <c r="AC121" s="8">
        <f>COUNTIF($H125:$X125,"Yes")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IFERROR(IF(INDEX('CI&amp;S'!$M$10:$M$15,MATCH($F122,'CI&amp;S'!$B$10:$B$15,0))="","Cell will autofill based on response",INDEX('CI&amp;S'!$M$10:$M$15,MATCH($F122,'CI&amp;S'!$B$10:$B$15,0))),"N/A")</f>
        <v/>
      </c>
      <c r="M122" s="50">
        <f>IFERROR(IF(INDEX('CI&amp;S'!$M$22:$M$36,MATCH($F122,'CI&amp;S'!$B$22:$B$36,0))="","Cell will autofill based on response",INDEX('CI&amp;S'!$M$22:$M$36,MATCH($F122,'CI&amp;S'!$B$22:$B$36,0))),"N/A")</f>
        <v/>
      </c>
      <c r="N122" s="50">
        <f>IFERROR(IF(INDEX('CFOG'!$M$10:$M$16,MATCH($F122,'CFOG'!$B$10:$B$16,0))="","Cell will autofill based on response",INDEX('CFOG'!$M$10:$M$16,MATCH($F122,'CFOG'!$B$10:$B$16,0))),"N/A")</f>
        <v/>
      </c>
      <c r="O122" s="50">
        <f>IFERROR(IF(INDEX('CFOG'!$M$23:$M$24,MATCH($F122,'CFOG'!$B$23:$B$24,0))="","Cell will autofill based on response",INDEX('CFOG'!$M$23:$M$24,MATCH($F122,'CFOG'!$B$23:$B$24,0))),"N/A")</f>
        <v/>
      </c>
      <c r="P122" s="50">
        <f>IFERROR(IF(INDEX('ESG'!$M$10:$M$17,MATCH($F122,'ESG'!$B$10:$B$17,0))="","Cell will autofill based on response",INDEX('ESG'!$M$10:$M$17,MATCH($F122,'ESG'!$B$10:$B$17,0))),"N/A")</f>
        <v/>
      </c>
      <c r="Q122" s="50">
        <f>IFERROR(IF(INDEX('CIOG'!$M$10:$M$14,MATCH($F122,'CIOG'!$B$10:$B$14,0))="","Cell will autofill based on response",INDEX('CIOG'!$M$10:$M$14,MATCH($F122,'CIOG'!$B$10:$B$14,0))),"N/A")</f>
        <v/>
      </c>
      <c r="R122" s="50">
        <f>IFERROR(IF(INDEX('MRE'!$M$10:$M$18,MATCH($F122,'MRE'!$B$10:$B$18,0))="","Cell will autofill based on response",INDEX('MRE'!$M$10:$M$18,MATCH($F122,'MRE'!$B$10:$B$18,0))),"N/A")</f>
        <v/>
      </c>
      <c r="S122" s="50">
        <f>IFERROR(IF(INDEX('AC&amp;M'!$M$10:$M$14,MATCH($F122,'AC&amp;M'!$B$10:$B$14,0))="","Cell will autofill based on response",INDEX('AC&amp;M'!$M$10:$M$14,MATCH($F122,'AC&amp;M'!$B$10:$B$14,0))),"N/A")</f>
        <v/>
      </c>
      <c r="T122" s="50">
        <f>IFERROR(IF(INDEX('GCE'!$M$10:$M$12,MATCH($F122,'GCE'!$B$10:$B$12,0))="","Cell will autofill based on response",INDEX('GCE'!$M$10:$M$12,MATCH($F122,'GCE'!$B$10:$B$12,0))),"N/A")</f>
        <v/>
      </c>
      <c r="U122" s="50">
        <f>IFERROR(IF(INDEX('Education'!$M$10:$M$13,MATCH($F122,'Education'!$B$10:$B$13,0))="","Cell will autofill based on response",INDEX('Education'!$M$10:$M$13,MATCH($F122,'Education'!$B$10:$B$13,0))),"N/A")</f>
        <v/>
      </c>
      <c r="V122" s="50">
        <f>IFERROR(IF(INDEX('SaSS'!$M$10:$M$12,MATCH($F122,'SaSS'!$B$10:$B$12,0))="","Cell will autofill based on response",INDEX('SaSS'!$M$10:$M$12,MATCH($F122,'SaSS'!$B$10:$B$12,0))),"N/A")</f>
        <v/>
      </c>
      <c r="W122" s="50">
        <f>IFERROR(IF(INDEX('Indigenous'!$M$10:$M$11,MATCH($F122,'Indigenous'!$B$10:$B$11,0))="","Cell will autofill based on response",INDEX('Indigenous'!$M$10:$M$11,MATCH($F122,'Indigenous'!$B$10:$B$11,0))),"N/A")</f>
        <v/>
      </c>
      <c r="X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IFERROR(IF(INDEX('CI&amp;S'!$N$10:$N$15,MATCH($F123,'CI&amp;S'!$B$10:$B$15,0))="","Cell will autofill based on response",INDEX('CI&amp;S'!$N$10:$N$15,MATCH($F123,'CI&amp;S'!$B$10:$B$15,0))),"N/A")</f>
        <v/>
      </c>
      <c r="M123" s="50">
        <f>IFERROR(IF(INDEX('CI&amp;S'!$N$22:$N$36,MATCH($F123,'CI&amp;S'!$B$22:$B$36,0))="","Cell will autofill based on response",INDEX('CI&amp;S'!$N$22:$N$36,MATCH($F123,'CI&amp;S'!$B$22:$B$36,0))),"N/A")</f>
        <v/>
      </c>
      <c r="N123" s="50">
        <f>IFERROR(IF(INDEX('CFOG'!$N$10:$N$16,MATCH($F123,'CFOG'!$B$10:$B$16,0))="","Cell will autofill based on response",INDEX('CFOG'!$N$10:$N$16,MATCH($F123,'CFOG'!$B$10:$B$16,0))),"N/A")</f>
        <v/>
      </c>
      <c r="O123" s="50">
        <f>IFERROR(IF(INDEX('CFOG'!$N$23:$N$24,MATCH($F123,'CFOG'!$B$23:$B$24,0))="","Cell will autofill based on response",INDEX('CFOG'!$N$23:$N$24,MATCH($F123,'CFOG'!$B$23:$B$24,0))),"N/A")</f>
        <v/>
      </c>
      <c r="P123" s="50">
        <f>IFERROR(IF(INDEX('ESG'!$N$10:$N$17,MATCH($F123,'ESG'!$B$10:$B$17,0))="","Cell will autofill based on response",INDEX('ESG'!$N$10:$N$17,MATCH($F123,'ESG'!$B$10:$B$17,0))),"N/A")</f>
        <v/>
      </c>
      <c r="Q123" s="50">
        <f>IFERROR(IF(INDEX('CIOG'!$N$10:$N$14,MATCH($F123,'CIOG'!$B$10:$B$14,0))="","Cell will autofill based on response",INDEX('CIOG'!$N$10:$N$14,MATCH($F123,'CIOG'!$B$10:$B$14,0))),"N/A")</f>
        <v/>
      </c>
      <c r="R123" s="50">
        <f>IFERROR(IF(INDEX('MRE'!$N$10:$N$18,MATCH($F123,'MRE'!$B$10:$B$18,0))="","Cell will autofill based on response",INDEX('MRE'!$N$10:$N$18,MATCH($F123,'MRE'!$B$10:$B$18,0))),"N/A")</f>
        <v/>
      </c>
      <c r="S123" s="50">
        <f>IFERROR(IF(INDEX('AC&amp;M'!$N$10:$N$14,MATCH($F123,'AC&amp;M'!$B$10:$B$14,0))="","Cell will autofill based on response",INDEX('AC&amp;M'!$N$10:$N$14,MATCH($F123,'AC&amp;M'!$B$10:$B$14,0))),"N/A")</f>
        <v/>
      </c>
      <c r="T123" s="50">
        <f>IFERROR(IF(INDEX('GCE'!$N$10:$N$12,MATCH($F123,'GCE'!$B$10:$B$12,0))="","Cell will autofill based on response",INDEX('GCE'!$N$10:$N$12,MATCH($F123,'GCE'!$B$10:$B$12,0))),"N/A")</f>
        <v/>
      </c>
      <c r="U123" s="50">
        <f>IFERROR(IF(INDEX('Education'!$N$10:$N$13,MATCH($F123,'Education'!$B$10:$B$13,0))="","Cell will autofill based on response",INDEX('Education'!$N$10:$N$13,MATCH($F123,'Education'!$B$10:$B$13,0))),"N/A")</f>
        <v/>
      </c>
      <c r="V123" s="50">
        <f>IFERROR(IF(INDEX('SaSS'!$N$10:$N$12,MATCH($F123,'SaSS'!$B$10:$B$12,0))="","Cell will autofill based on response",INDEX('SaSS'!$N$10:$N$12,MATCH($F123,'SaSS'!$B$10:$B$12,0))),"N/A")</f>
        <v/>
      </c>
      <c r="W123" s="50">
        <f>IFERROR(IF(INDEX('Indigenous'!$N$10:$N$11,MATCH($F123,'Indigenous'!$B$10:$B$11,0))="","Cell will autofill based on response",INDEX('Indigenous'!$N$10:$N$11,MATCH($F123,'Indigenous'!$B$10:$B$11,0))),"N/A")</f>
        <v/>
      </c>
      <c r="X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IFERROR(IF(INDEX('CI&amp;S'!$O$10:$O$15,MATCH($F124,'CI&amp;S'!$B$10:$B$15,0))="","Cell will autofill based on response",INDEX('CI&amp;S'!$O$10:$O$15,MATCH($F124,'CI&amp;S'!$B$10:$B$15,0))),"N/A")</f>
        <v/>
      </c>
      <c r="M124" s="50">
        <f>IFERROR(IF(INDEX('CI&amp;S'!$O$22:$O$36,MATCH($F124,'CI&amp;S'!$B$22:$B$36,0))="","Cell will autofill based on response",INDEX('CI&amp;S'!$O$22:$O$36,MATCH($F124,'CI&amp;S'!$B$22:$B$36,0))),"N/A")</f>
        <v/>
      </c>
      <c r="N124" s="50">
        <f>IFERROR(IF(INDEX('CFOG'!$O$10:$O$16,MATCH($F124,'CFOG'!$B$10:$B$16,0))="","Cell will autofill based on response",INDEX('CFOG'!$O$10:$O$16,MATCH($F124,'CFOG'!$B$10:$B$16,0))),"N/A")</f>
        <v/>
      </c>
      <c r="O124" s="50">
        <f>IFERROR(IF(INDEX('CFOG'!$O$23:$O$24,MATCH($F124,'CFOG'!$B$23:$B$24,0))="","Cell will autofill based on response",INDEX('CFOG'!$O$23:$O$24,MATCH($F124,'CFOG'!$B$23:$B$24,0))),"N/A")</f>
        <v/>
      </c>
      <c r="P124" s="50">
        <f>IFERROR(IF(INDEX('ESG'!$O$10:$O$17,MATCH($F124,'ESG'!$B$10:$B$17,0))="","Cell will autofill based on response",INDEX('ESG'!$O$10:$O$17,MATCH($F124,'ESG'!$B$10:$B$17,0))),"N/A")</f>
        <v/>
      </c>
      <c r="Q124" s="50">
        <f>IFERROR(IF(INDEX('CIOG'!$O$10:$O$14,MATCH($F124,'CIOG'!$B$10:$B$14,0))="","Cell will autofill based on response",INDEX('CIOG'!$O$10:$O$14,MATCH($F124,'CIOG'!$B$10:$B$14,0))),"N/A")</f>
        <v/>
      </c>
      <c r="R124" s="50">
        <f>IFERROR(IF(INDEX('MRE'!$O$10:$O$18,MATCH($F124,'MRE'!$B$10:$B$18,0))="","Cell will autofill based on response",INDEX('MRE'!$O$10:$O$18,MATCH($F124,'MRE'!$B$10:$B$18,0))),"N/A")</f>
        <v/>
      </c>
      <c r="S124" s="50">
        <f>IFERROR(IF(INDEX('AC&amp;M'!$O$10:$O$14,MATCH($F124,'AC&amp;M'!$B$10:$B$14,0))="","Cell will autofill based on response",INDEX('AC&amp;M'!$O$10:$O$14,MATCH($F124,'AC&amp;M'!$B$10:$B$14,0))),"N/A")</f>
        <v/>
      </c>
      <c r="T124" s="50">
        <f>IFERROR(IF(INDEX('GCE'!$O$10:$O$12,MATCH($F124,'GCE'!$B$10:$B$12,0))="","Cell will autofill based on response",INDEX('GCE'!$O$10:$O$12,MATCH($F124,'GCE'!$B$10:$B$12,0))),"N/A")</f>
        <v/>
      </c>
      <c r="U124" s="50">
        <f>IFERROR(IF(INDEX('Education'!$O$10:$O$13,MATCH($F124,'Education'!$B$10:$B$13,0))="","Cell will autofill based on response",INDEX('Education'!$O$10:$O$13,MATCH($F124,'Education'!$B$10:$B$13,0))),"N/A")</f>
        <v/>
      </c>
      <c r="V124" s="50">
        <f>IFERROR(IF(INDEX('SaSS'!$O$10:$O$12,MATCH($F124,'SaSS'!$B$10:$B$12,0))="","Cell will autofill based on response",INDEX('SaSS'!$O$10:$O$12,MATCH($F124,'SaSS'!$B$10:$B$12,0))),"N/A")</f>
        <v/>
      </c>
      <c r="W124" s="50">
        <f>IFERROR(IF(INDEX('Indigenous'!$O$10:$O$11,MATCH($F124,'Indigenous'!$B$10:$B$11,0))="","Cell will autofill based on response",INDEX('Indigenous'!$O$10:$O$11,MATCH($F124,'Indigenous'!$B$10:$B$11,0))),"N/A")</f>
        <v/>
      </c>
      <c r="X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IFERROR(IF(INDEX('CI&amp;S'!$P$10:$P$15,MATCH($F125,'CI&amp;S'!$B$10:$B$15,0))="","Cell will autofill based on response",INDEX('CI&amp;S'!$P$10:$P$15,MATCH($F125,'CI&amp;S'!$B$10:$B$15,0))),"N/A")</f>
        <v/>
      </c>
      <c r="M125" s="50">
        <f>IFERROR(IF(INDEX('CI&amp;S'!$P$22:$P$36,MATCH($F125,'CI&amp;S'!$B$22:$B$36,0))="","Cell will autofill based on response",INDEX('CI&amp;S'!$P$22:$P$36,MATCH($F125,'CI&amp;S'!$B$22:$B$36,0))),"N/A")</f>
        <v/>
      </c>
      <c r="N125" s="50">
        <f>IFERROR(IF(INDEX('CFOG'!$P$10:$P$16,MATCH($F125,'CFOG'!$B$10:$B$16,0))="","Cell will autofill based on response",INDEX('CFOG'!$P$10:$P$16,MATCH($F125,'CFOG'!$B$10:$B$16,0))),"N/A")</f>
        <v/>
      </c>
      <c r="O125" s="50">
        <f>IFERROR(IF(INDEX('CFOG'!$P$23:$P$24,MATCH($F125,'CFOG'!$B$23:$B$24,0))="","Cell will autofill based on response",INDEX('CFOG'!$P$23:$P$24,MATCH($F125,'CFOG'!$B$23:$B$24,0))),"N/A")</f>
        <v/>
      </c>
      <c r="P125" s="50">
        <f>IFERROR(IF(INDEX('ESG'!$P$10:$P$17,MATCH($F125,'ESG'!$B$10:$B$17,0))="","Cell will autofill based on response",INDEX('ESG'!$P$10:$P$17,MATCH($F125,'ESG'!$B$10:$B$17,0))),"N/A")</f>
        <v/>
      </c>
      <c r="Q125" s="50">
        <f>IFERROR(IF(INDEX('CIOG'!$P$10:$P$14,MATCH($F125,'CIOG'!$B$10:$B$14,0))="","Cell will autofill based on response",INDEX('CIOG'!$P$10:$P$14,MATCH($F125,'CIOG'!$B$10:$B$14,0))),"N/A")</f>
        <v/>
      </c>
      <c r="R125" s="50">
        <f>IFERROR(IF(INDEX('MRE'!$P$10:$P$18,MATCH($F125,'MRE'!$B$10:$B$18,0))="","Cell will autofill based on response",INDEX('MRE'!$P$10:$P$18,MATCH($F125,'MRE'!$B$10:$B$18,0))),"N/A")</f>
        <v/>
      </c>
      <c r="S125" s="50">
        <f>IFERROR(IF(INDEX('AC&amp;M'!$P$10:$P$14,MATCH($F125,'AC&amp;M'!$B$10:$B$14,0))="","Cell will autofill based on response",INDEX('AC&amp;M'!$P$10:$P$14,MATCH($F125,'AC&amp;M'!$B$10:$B$14,0))),"N/A")</f>
        <v/>
      </c>
      <c r="T125" s="50">
        <f>IFERROR(IF(INDEX('GCE'!$P$10:$P$12,MATCH($F125,'GCE'!$B$10:$B$12,0))="","Cell will autofill based on response",INDEX('GCE'!$P$10:$P$12,MATCH($F125,'GCE'!$B$10:$B$12,0))),"N/A")</f>
        <v/>
      </c>
      <c r="U125" s="50">
        <f>IFERROR(IF(INDEX('Education'!$P$10:$P$13,MATCH($F125,'Education'!$B$10:$B$13,0))="","Cell will autofill based on response",INDEX('Education'!$P$10:$P$13,MATCH($F125,'Education'!$B$10:$B$13,0))),"N/A")</f>
        <v/>
      </c>
      <c r="V125" s="50">
        <f>IFERROR(IF(INDEX('SaSS'!$P$10:$P$12,MATCH($F125,'SaSS'!$B$10:$B$12,0))="","Cell will autofill based on response",INDEX('SaSS'!$P$10:$P$12,MATCH($F125,'SaSS'!$B$10:$B$12,0))),"N/A")</f>
        <v/>
      </c>
      <c r="W125" s="50">
        <f>IFERROR(IF(INDEX('Indigenous'!$P$10:$P$11,MATCH($F125,'Indigenous'!$B$10:$B$11,0))="","Cell will autofill based on response",INDEX('Indigenous'!$P$10:$P$11,MATCH($F125,'Indigenous'!$B$10:$B$11,0))),"N/A")</f>
        <v/>
      </c>
      <c r="X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IFERROR(IF(INDEX('CI&amp;S'!$L$10:$L$15,MATCH($F126,'CI&amp;S'!$B$10:$B$15,0))="","Cell will autofill based on response",INDEX('CI&amp;S'!$L$10:$L$15,MATCH($F126,'CI&amp;S'!$B$10:$B$15,0))),"N/A")</f>
        <v/>
      </c>
      <c r="M126" s="50">
        <f>IFERROR(IF(INDEX('CI&amp;S'!$L$22:$L$36,MATCH($F126,'CI&amp;S'!$B$22:$B$36,0))="","Cell will autofill based on response",INDEX('CI&amp;S'!$L$22:$L$36,MATCH($F126,'CI&amp;S'!$B$22:$B$36,0))),"N/A")</f>
        <v/>
      </c>
      <c r="N126" s="50">
        <f>IFERROR(IF(INDEX('CFOG'!$L$10:$L$16,MATCH($F126,'CFOG'!$B$10:$B$16,0))="","Cell will autofill based on response",INDEX('CFOG'!$L$10:$L$16,MATCH($F126,'CFOG'!$B$10:$B$16,0))),"N/A")</f>
        <v/>
      </c>
      <c r="O126" s="50">
        <f>IFERROR(IF(INDEX('CFOG'!$L$23:$L$24,MATCH($F126,'CFOG'!$B$23:$B$24,0))="","Cell will autofill based on response",INDEX('CFOG'!$L$23:$L$24,MATCH($F126,'CFOG'!$B$23:$B$24,0))),"N/A")</f>
        <v/>
      </c>
      <c r="P126" s="50">
        <f>IFERROR(IF(INDEX('ESG'!$L$10:$L$17,MATCH($F126,'ESG'!$B$10:$B$17,0))="","Cell will autofill based on response",INDEX('ESG'!$L$10:$L$17,MATCH($F126,'ESG'!$B$10:$B$17,0))),"N/A")</f>
        <v/>
      </c>
      <c r="Q126" s="50">
        <f>IFERROR(IF(INDEX('CIOG'!$L$10:$L$14,MATCH($F126,'CIOG'!$B$10:$B$14,0))="","Cell will autofill based on response",INDEX('CIOG'!$L$10:$L$14,MATCH($F126,'CIOG'!$B$10:$B$14,0))),"N/A")</f>
        <v/>
      </c>
      <c r="R126" s="50">
        <f>IFERROR(IF(INDEX('MRE'!$L$10:$L$18,MATCH($F126,'MRE'!$B$10:$B$18,0))="","Cell will autofill based on response",INDEX('MRE'!$L$10:$L$18,MATCH($F126,'MRE'!$B$10:$B$18,0))),"N/A")</f>
        <v/>
      </c>
      <c r="S126" s="50">
        <f>IFERROR(IF(INDEX('AC&amp;M'!$L$10:$L$14,MATCH($F126,'AC&amp;M'!$B$10:$B$14,0))="","Cell will autofill based on response",INDEX('AC&amp;M'!$L$10:$L$14,MATCH($F126,'AC&amp;M'!$B$10:$B$14,0))),"N/A")</f>
        <v/>
      </c>
      <c r="T126" s="50">
        <f>IFERROR(IF(INDEX('GCE'!$L$10:$L$12,MATCH($F126,'GCE'!$B$10:$B$12,0))="","Cell will autofill based on response",INDEX('GCE'!$L$10:$L$12,MATCH($F126,'GCE'!$B$10:$B$12,0))),"N/A")</f>
        <v/>
      </c>
      <c r="U126" s="50">
        <f>IFERROR(IF(INDEX('Education'!$L$10:$L$13,MATCH($F126,'Education'!$B$10:$B$13,0))="","Cell will autofill based on response",INDEX('Education'!$L$10:$L$13,MATCH($F126,'Education'!$B$10:$B$13,0))),"N/A")</f>
        <v/>
      </c>
      <c r="V126" s="50">
        <f>IFERROR(IF(INDEX('SaSS'!$L$10:$L$12,MATCH($F126,'SaSS'!$B$10:$B$12,0))="","Cell will autofill based on response",INDEX('SaSS'!$L$10:$L$12,MATCH($F126,'SaSS'!$B$10:$B$12,0))),"N/A")</f>
        <v/>
      </c>
      <c r="W126" s="50">
        <f>IFERROR(IF(INDEX('Indigenous'!$L$10:$L$11,MATCH($F126,'Indigenous'!$B$10:$B$11,0))="","Cell will autofill based on response",INDEX('Indigenous'!$L$10:$L$11,MATCH($F126,'Indigenous'!$B$10:$B$11,0))),"N/A")</f>
        <v/>
      </c>
      <c r="X126" s="50">
        <f>IFERROR(IF(INDEX('L&amp;R'!$L$10:$L$11,MATCH($F126,'L&amp;R'!$B$10:$B$11,0))="","Cell will autofill based on response",INDEX('L&amp;R'!$L$10:$L$11,MATCH($F126,'L&amp;R'!$B$10:$B$11,0))),"N/A")</f>
        <v/>
      </c>
      <c r="Z126" s="8">
        <f>SUMPRODUCT(--($H126:$X126&lt;&gt;"N/A"))</f>
        <v/>
      </c>
      <c r="AA126" s="8">
        <f>SUMPRODUCT(--(((($H126:$X126&lt;&gt;"N/A")*($H126:$X126&lt;&gt;"Cell will autofill based on response"))+(($H127:$X127&lt;&gt;"N/A")*($H127:$X127&lt;&gt;"Cell will autofill based on response")))&gt;0))</f>
        <v/>
      </c>
      <c r="AB126" s="8">
        <f>Z126-AA126</f>
        <v/>
      </c>
      <c r="AC126" s="8">
        <f>COUNTIF($H130:$X130,"Yes")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IFERROR(IF(INDEX('CI&amp;S'!$M$10:$M$15,MATCH($F127,'CI&amp;S'!$B$10:$B$15,0))="","Cell will autofill based on response",INDEX('CI&amp;S'!$M$10:$M$15,MATCH($F127,'CI&amp;S'!$B$10:$B$15,0))),"N/A")</f>
        <v/>
      </c>
      <c r="M127" s="50">
        <f>IFERROR(IF(INDEX('CI&amp;S'!$M$22:$M$36,MATCH($F127,'CI&amp;S'!$B$22:$B$36,0))="","Cell will autofill based on response",INDEX('CI&amp;S'!$M$22:$M$36,MATCH($F127,'CI&amp;S'!$B$22:$B$36,0))),"N/A")</f>
        <v/>
      </c>
      <c r="N127" s="50">
        <f>IFERROR(IF(INDEX('CFOG'!$M$10:$M$16,MATCH($F127,'CFOG'!$B$10:$B$16,0))="","Cell will autofill based on response",INDEX('CFOG'!$M$10:$M$16,MATCH($F127,'CFOG'!$B$10:$B$16,0))),"N/A")</f>
        <v/>
      </c>
      <c r="O127" s="50">
        <f>IFERROR(IF(INDEX('CFOG'!$M$23:$M$24,MATCH($F127,'CFOG'!$B$23:$B$24,0))="","Cell will autofill based on response",INDEX('CFOG'!$M$23:$M$24,MATCH($F127,'CFOG'!$B$23:$B$24,0))),"N/A")</f>
        <v/>
      </c>
      <c r="P127" s="50">
        <f>IFERROR(IF(INDEX('ESG'!$M$10:$M$17,MATCH($F127,'ESG'!$B$10:$B$17,0))="","Cell will autofill based on response",INDEX('ESG'!$M$10:$M$17,MATCH($F127,'ESG'!$B$10:$B$17,0))),"N/A")</f>
        <v/>
      </c>
      <c r="Q127" s="50">
        <f>IFERROR(IF(INDEX('CIOG'!$M$10:$M$14,MATCH($F127,'CIOG'!$B$10:$B$14,0))="","Cell will autofill based on response",INDEX('CIOG'!$M$10:$M$14,MATCH($F127,'CIOG'!$B$10:$B$14,0))),"N/A")</f>
        <v/>
      </c>
      <c r="R127" s="50">
        <f>IFERROR(IF(INDEX('MRE'!$M$10:$M$18,MATCH($F127,'MRE'!$B$10:$B$18,0))="","Cell will autofill based on response",INDEX('MRE'!$M$10:$M$18,MATCH($F127,'MRE'!$B$10:$B$18,0))),"N/A")</f>
        <v/>
      </c>
      <c r="S127" s="50">
        <f>IFERROR(IF(INDEX('AC&amp;M'!$M$10:$M$14,MATCH($F127,'AC&amp;M'!$B$10:$B$14,0))="","Cell will autofill based on response",INDEX('AC&amp;M'!$M$10:$M$14,MATCH($F127,'AC&amp;M'!$B$10:$B$14,0))),"N/A")</f>
        <v/>
      </c>
      <c r="T127" s="50">
        <f>IFERROR(IF(INDEX('GCE'!$M$10:$M$12,MATCH($F127,'GCE'!$B$10:$B$12,0))="","Cell will autofill based on response",INDEX('GCE'!$M$10:$M$12,MATCH($F127,'GCE'!$B$10:$B$12,0))),"N/A")</f>
        <v/>
      </c>
      <c r="U127" s="50">
        <f>IFERROR(IF(INDEX('Education'!$M$10:$M$13,MATCH($F127,'Education'!$B$10:$B$13,0))="","Cell will autofill based on response",INDEX('Education'!$M$10:$M$13,MATCH($F127,'Education'!$B$10:$B$13,0))),"N/A")</f>
        <v/>
      </c>
      <c r="V127" s="50">
        <f>IFERROR(IF(INDEX('SaSS'!$M$10:$M$12,MATCH($F127,'SaSS'!$B$10:$B$12,0))="","Cell will autofill based on response",INDEX('SaSS'!$M$10:$M$12,MATCH($F127,'SaSS'!$B$10:$B$12,0))),"N/A")</f>
        <v/>
      </c>
      <c r="W127" s="50">
        <f>IFERROR(IF(INDEX('Indigenous'!$M$10:$M$11,MATCH($F127,'Indigenous'!$B$10:$B$11,0))="","Cell will autofill based on response",INDEX('Indigenous'!$M$10:$M$11,MATCH($F127,'Indigenous'!$B$10:$B$11,0))),"N/A")</f>
        <v/>
      </c>
      <c r="X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IFERROR(IF(INDEX('CI&amp;S'!$N$10:$N$15,MATCH($F128,'CI&amp;S'!$B$10:$B$15,0))="","Cell will autofill based on response",INDEX('CI&amp;S'!$N$10:$N$15,MATCH($F128,'CI&amp;S'!$B$10:$B$15,0))),"N/A")</f>
        <v/>
      </c>
      <c r="M128" s="50">
        <f>IFERROR(IF(INDEX('CI&amp;S'!$N$22:$N$36,MATCH($F128,'CI&amp;S'!$B$22:$B$36,0))="","Cell will autofill based on response",INDEX('CI&amp;S'!$N$22:$N$36,MATCH($F128,'CI&amp;S'!$B$22:$B$36,0))),"N/A")</f>
        <v/>
      </c>
      <c r="N128" s="50">
        <f>IFERROR(IF(INDEX('CFOG'!$N$10:$N$16,MATCH($F128,'CFOG'!$B$10:$B$16,0))="","Cell will autofill based on response",INDEX('CFOG'!$N$10:$N$16,MATCH($F128,'CFOG'!$B$10:$B$16,0))),"N/A")</f>
        <v/>
      </c>
      <c r="O128" s="50">
        <f>IFERROR(IF(INDEX('CFOG'!$N$23:$N$24,MATCH($F128,'CFOG'!$B$23:$B$24,0))="","Cell will autofill based on response",INDEX('CFOG'!$N$23:$N$24,MATCH($F128,'CFOG'!$B$23:$B$24,0))),"N/A")</f>
        <v/>
      </c>
      <c r="P128" s="50">
        <f>IFERROR(IF(INDEX('ESG'!$N$10:$N$17,MATCH($F128,'ESG'!$B$10:$B$17,0))="","Cell will autofill based on response",INDEX('ESG'!$N$10:$N$17,MATCH($F128,'ESG'!$B$10:$B$17,0))),"N/A")</f>
        <v/>
      </c>
      <c r="Q128" s="50">
        <f>IFERROR(IF(INDEX('CIOG'!$N$10:$N$14,MATCH($F128,'CIOG'!$B$10:$B$14,0))="","Cell will autofill based on response",INDEX('CIOG'!$N$10:$N$14,MATCH($F128,'CIOG'!$B$10:$B$14,0))),"N/A")</f>
        <v/>
      </c>
      <c r="R128" s="50">
        <f>IFERROR(IF(INDEX('MRE'!$N$10:$N$18,MATCH($F128,'MRE'!$B$10:$B$18,0))="","Cell will autofill based on response",INDEX('MRE'!$N$10:$N$18,MATCH($F128,'MRE'!$B$10:$B$18,0))),"N/A")</f>
        <v/>
      </c>
      <c r="S128" s="50">
        <f>IFERROR(IF(INDEX('AC&amp;M'!$N$10:$N$14,MATCH($F128,'AC&amp;M'!$B$10:$B$14,0))="","Cell will autofill based on response",INDEX('AC&amp;M'!$N$10:$N$14,MATCH($F128,'AC&amp;M'!$B$10:$B$14,0))),"N/A")</f>
        <v/>
      </c>
      <c r="T128" s="50">
        <f>IFERROR(IF(INDEX('GCE'!$N$10:$N$12,MATCH($F128,'GCE'!$B$10:$B$12,0))="","Cell will autofill based on response",INDEX('GCE'!$N$10:$N$12,MATCH($F128,'GCE'!$B$10:$B$12,0))),"N/A")</f>
        <v/>
      </c>
      <c r="U128" s="50">
        <f>IFERROR(IF(INDEX('Education'!$N$10:$N$13,MATCH($F128,'Education'!$B$10:$B$13,0))="","Cell will autofill based on response",INDEX('Education'!$N$10:$N$13,MATCH($F128,'Education'!$B$10:$B$13,0))),"N/A")</f>
        <v/>
      </c>
      <c r="V128" s="50">
        <f>IFERROR(IF(INDEX('SaSS'!$N$10:$N$12,MATCH($F128,'SaSS'!$B$10:$B$12,0))="","Cell will autofill based on response",INDEX('SaSS'!$N$10:$N$12,MATCH($F128,'SaSS'!$B$10:$B$12,0))),"N/A")</f>
        <v/>
      </c>
      <c r="W128" s="50">
        <f>IFERROR(IF(INDEX('Indigenous'!$N$10:$N$11,MATCH($F128,'Indigenous'!$B$10:$B$11,0))="","Cell will autofill based on response",INDEX('Indigenous'!$N$10:$N$11,MATCH($F128,'Indigenous'!$B$10:$B$11,0))),"N/A")</f>
        <v/>
      </c>
      <c r="X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IFERROR(IF(INDEX('CI&amp;S'!$O$10:$O$15,MATCH($F129,'CI&amp;S'!$B$10:$B$15,0))="","Cell will autofill based on response",INDEX('CI&amp;S'!$O$10:$O$15,MATCH($F129,'CI&amp;S'!$B$10:$B$15,0))),"N/A")</f>
        <v/>
      </c>
      <c r="M129" s="50">
        <f>IFERROR(IF(INDEX('CI&amp;S'!$O$22:$O$36,MATCH($F129,'CI&amp;S'!$B$22:$B$36,0))="","Cell will autofill based on response",INDEX('CI&amp;S'!$O$22:$O$36,MATCH($F129,'CI&amp;S'!$B$22:$B$36,0))),"N/A")</f>
        <v/>
      </c>
      <c r="N129" s="50">
        <f>IFERROR(IF(INDEX('CFOG'!$O$10:$O$16,MATCH($F129,'CFOG'!$B$10:$B$16,0))="","Cell will autofill based on response",INDEX('CFOG'!$O$10:$O$16,MATCH($F129,'CFOG'!$B$10:$B$16,0))),"N/A")</f>
        <v/>
      </c>
      <c r="O129" s="50">
        <f>IFERROR(IF(INDEX('CFOG'!$O$23:$O$24,MATCH($F129,'CFOG'!$B$23:$B$24,0))="","Cell will autofill based on response",INDEX('CFOG'!$O$23:$O$24,MATCH($F129,'CFOG'!$B$23:$B$24,0))),"N/A")</f>
        <v/>
      </c>
      <c r="P129" s="50">
        <f>IFERROR(IF(INDEX('ESG'!$O$10:$O$17,MATCH($F129,'ESG'!$B$10:$B$17,0))="","Cell will autofill based on response",INDEX('ESG'!$O$10:$O$17,MATCH($F129,'ESG'!$B$10:$B$17,0))),"N/A")</f>
        <v/>
      </c>
      <c r="Q129" s="50">
        <f>IFERROR(IF(INDEX('CIOG'!$O$10:$O$14,MATCH($F129,'CIOG'!$B$10:$B$14,0))="","Cell will autofill based on response",INDEX('CIOG'!$O$10:$O$14,MATCH($F129,'CIOG'!$B$10:$B$14,0))),"N/A")</f>
        <v/>
      </c>
      <c r="R129" s="50">
        <f>IFERROR(IF(INDEX('MRE'!$O$10:$O$18,MATCH($F129,'MRE'!$B$10:$B$18,0))="","Cell will autofill based on response",INDEX('MRE'!$O$10:$O$18,MATCH($F129,'MRE'!$B$10:$B$18,0))),"N/A")</f>
        <v/>
      </c>
      <c r="S129" s="50">
        <f>IFERROR(IF(INDEX('AC&amp;M'!$O$10:$O$14,MATCH($F129,'AC&amp;M'!$B$10:$B$14,0))="","Cell will autofill based on response",INDEX('AC&amp;M'!$O$10:$O$14,MATCH($F129,'AC&amp;M'!$B$10:$B$14,0))),"N/A")</f>
        <v/>
      </c>
      <c r="T129" s="50">
        <f>IFERROR(IF(INDEX('GCE'!$O$10:$O$12,MATCH($F129,'GCE'!$B$10:$B$12,0))="","Cell will autofill based on response",INDEX('GCE'!$O$10:$O$12,MATCH($F129,'GCE'!$B$10:$B$12,0))),"N/A")</f>
        <v/>
      </c>
      <c r="U129" s="50">
        <f>IFERROR(IF(INDEX('Education'!$O$10:$O$13,MATCH($F129,'Education'!$B$10:$B$13,0))="","Cell will autofill based on response",INDEX('Education'!$O$10:$O$13,MATCH($F129,'Education'!$B$10:$B$13,0))),"N/A")</f>
        <v/>
      </c>
      <c r="V129" s="50">
        <f>IFERROR(IF(INDEX('SaSS'!$O$10:$O$12,MATCH($F129,'SaSS'!$B$10:$B$12,0))="","Cell will autofill based on response",INDEX('SaSS'!$O$10:$O$12,MATCH($F129,'SaSS'!$B$10:$B$12,0))),"N/A")</f>
        <v/>
      </c>
      <c r="W129" s="50">
        <f>IFERROR(IF(INDEX('Indigenous'!$O$10:$O$11,MATCH($F129,'Indigenous'!$B$10:$B$11,0))="","Cell will autofill based on response",INDEX('Indigenous'!$O$10:$O$11,MATCH($F129,'Indigenous'!$B$10:$B$11,0))),"N/A")</f>
        <v/>
      </c>
      <c r="X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IFERROR(IF(INDEX('CI&amp;S'!$P$10:$P$15,MATCH($F130,'CI&amp;S'!$B$10:$B$15,0))="","Cell will autofill based on response",INDEX('CI&amp;S'!$P$10:$P$15,MATCH($F130,'CI&amp;S'!$B$10:$B$15,0))),"N/A")</f>
        <v/>
      </c>
      <c r="M130" s="50">
        <f>IFERROR(IF(INDEX('CI&amp;S'!$P$22:$P$36,MATCH($F130,'CI&amp;S'!$B$22:$B$36,0))="","Cell will autofill based on response",INDEX('CI&amp;S'!$P$22:$P$36,MATCH($F130,'CI&amp;S'!$B$22:$B$36,0))),"N/A")</f>
        <v/>
      </c>
      <c r="N130" s="50">
        <f>IFERROR(IF(INDEX('CFOG'!$P$10:$P$16,MATCH($F130,'CFOG'!$B$10:$B$16,0))="","Cell will autofill based on response",INDEX('CFOG'!$P$10:$P$16,MATCH($F130,'CFOG'!$B$10:$B$16,0))),"N/A")</f>
        <v/>
      </c>
      <c r="O130" s="50">
        <f>IFERROR(IF(INDEX('CFOG'!$P$23:$P$24,MATCH($F130,'CFOG'!$B$23:$B$24,0))="","Cell will autofill based on response",INDEX('CFOG'!$P$23:$P$24,MATCH($F130,'CFOG'!$B$23:$B$24,0))),"N/A")</f>
        <v/>
      </c>
      <c r="P130" s="50">
        <f>IFERROR(IF(INDEX('ESG'!$P$10:$P$17,MATCH($F130,'ESG'!$B$10:$B$17,0))="","Cell will autofill based on response",INDEX('ESG'!$P$10:$P$17,MATCH($F130,'ESG'!$B$10:$B$17,0))),"N/A")</f>
        <v/>
      </c>
      <c r="Q130" s="50">
        <f>IFERROR(IF(INDEX('CIOG'!$P$10:$P$14,MATCH($F130,'CIOG'!$B$10:$B$14,0))="","Cell will autofill based on response",INDEX('CIOG'!$P$10:$P$14,MATCH($F130,'CIOG'!$B$10:$B$14,0))),"N/A")</f>
        <v/>
      </c>
      <c r="R130" s="50">
        <f>IFERROR(IF(INDEX('MRE'!$P$10:$P$18,MATCH($F130,'MRE'!$B$10:$B$18,0))="","Cell will autofill based on response",INDEX('MRE'!$P$10:$P$18,MATCH($F130,'MRE'!$B$10:$B$18,0))),"N/A")</f>
        <v/>
      </c>
      <c r="S130" s="50">
        <f>IFERROR(IF(INDEX('AC&amp;M'!$P$10:$P$14,MATCH($F130,'AC&amp;M'!$B$10:$B$14,0))="","Cell will autofill based on response",INDEX('AC&amp;M'!$P$10:$P$14,MATCH($F130,'AC&amp;M'!$B$10:$B$14,0))),"N/A")</f>
        <v/>
      </c>
      <c r="T130" s="50">
        <f>IFERROR(IF(INDEX('GCE'!$P$10:$P$12,MATCH($F130,'GCE'!$B$10:$B$12,0))="","Cell will autofill based on response",INDEX('GCE'!$P$10:$P$12,MATCH($F130,'GCE'!$B$10:$B$12,0))),"N/A")</f>
        <v/>
      </c>
      <c r="U130" s="50">
        <f>IFERROR(IF(INDEX('Education'!$P$10:$P$13,MATCH($F130,'Education'!$B$10:$B$13,0))="","Cell will autofill based on response",INDEX('Education'!$P$10:$P$13,MATCH($F130,'Education'!$B$10:$B$13,0))),"N/A")</f>
        <v/>
      </c>
      <c r="V130" s="50">
        <f>IFERROR(IF(INDEX('SaSS'!$P$10:$P$12,MATCH($F130,'SaSS'!$B$10:$B$12,0))="","Cell will autofill based on response",INDEX('SaSS'!$P$10:$P$12,MATCH($F130,'SaSS'!$B$10:$B$12,0))),"N/A")</f>
        <v/>
      </c>
      <c r="W130" s="50">
        <f>IFERROR(IF(INDEX('Indigenous'!$P$10:$P$11,MATCH($F130,'Indigenous'!$B$10:$B$11,0))="","Cell will autofill based on response",INDEX('Indigenous'!$P$10:$P$11,MATCH($F130,'Indigenous'!$B$10:$B$11,0))),"N/A")</f>
        <v/>
      </c>
      <c r="X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IFERROR(IF(INDEX('CI&amp;S'!$L$10:$L$15,MATCH($F131,'CI&amp;S'!$B$10:$B$15,0))="","Cell will autofill based on response",INDEX('CI&amp;S'!$L$10:$L$15,MATCH($F131,'CI&amp;S'!$B$10:$B$15,0))),"N/A")</f>
        <v/>
      </c>
      <c r="M131" s="50">
        <f>IFERROR(IF(INDEX('CI&amp;S'!$L$22:$L$36,MATCH($F131,'CI&amp;S'!$B$22:$B$36,0))="","Cell will autofill based on response",INDEX('CI&amp;S'!$L$22:$L$36,MATCH($F131,'CI&amp;S'!$B$22:$B$36,0))),"N/A")</f>
        <v/>
      </c>
      <c r="N131" s="50">
        <f>IFERROR(IF(INDEX('CFOG'!$L$10:$L$16,MATCH($F131,'CFOG'!$B$10:$B$16,0))="","Cell will autofill based on response",INDEX('CFOG'!$L$10:$L$16,MATCH($F131,'CFOG'!$B$10:$B$16,0))),"N/A")</f>
        <v/>
      </c>
      <c r="O131" s="50">
        <f>IFERROR(IF(INDEX('CFOG'!$L$23:$L$24,MATCH($F131,'CFOG'!$B$23:$B$24,0))="","Cell will autofill based on response",INDEX('CFOG'!$L$23:$L$24,MATCH($F131,'CFOG'!$B$23:$B$24,0))),"N/A")</f>
        <v/>
      </c>
      <c r="P131" s="50">
        <f>IFERROR(IF(INDEX('ESG'!$L$10:$L$17,MATCH($F131,'ESG'!$B$10:$B$17,0))="","Cell will autofill based on response",INDEX('ESG'!$L$10:$L$17,MATCH($F131,'ESG'!$B$10:$B$17,0))),"N/A")</f>
        <v/>
      </c>
      <c r="Q131" s="50">
        <f>IFERROR(IF(INDEX('CIOG'!$L$10:$L$14,MATCH($F131,'CIOG'!$B$10:$B$14,0))="","Cell will autofill based on response",INDEX('CIOG'!$L$10:$L$14,MATCH($F131,'CIOG'!$B$10:$B$14,0))),"N/A")</f>
        <v/>
      </c>
      <c r="R131" s="50">
        <f>IFERROR(IF(INDEX('MRE'!$L$10:$L$18,MATCH($F131,'MRE'!$B$10:$B$18,0))="","Cell will autofill based on response",INDEX('MRE'!$L$10:$L$18,MATCH($F131,'MRE'!$B$10:$B$18,0))),"N/A")</f>
        <v/>
      </c>
      <c r="S131" s="50">
        <f>IFERROR(IF(INDEX('AC&amp;M'!$L$10:$L$14,MATCH($F131,'AC&amp;M'!$B$10:$B$14,0))="","Cell will autofill based on response",INDEX('AC&amp;M'!$L$10:$L$14,MATCH($F131,'AC&amp;M'!$B$10:$B$14,0))),"N/A")</f>
        <v/>
      </c>
      <c r="T131" s="50">
        <f>IFERROR(IF(INDEX('GCE'!$L$10:$L$12,MATCH($F131,'GCE'!$B$10:$B$12,0))="","Cell will autofill based on response",INDEX('GCE'!$L$10:$L$12,MATCH($F131,'GCE'!$B$10:$B$12,0))),"N/A")</f>
        <v/>
      </c>
      <c r="U131" s="50">
        <f>IFERROR(IF(INDEX('Education'!$L$10:$L$13,MATCH($F131,'Education'!$B$10:$B$13,0))="","Cell will autofill based on response",INDEX('Education'!$L$10:$L$13,MATCH($F131,'Education'!$B$10:$B$13,0))),"N/A")</f>
        <v/>
      </c>
      <c r="V131" s="50">
        <f>IFERROR(IF(INDEX('SaSS'!$L$10:$L$12,MATCH($F131,'SaSS'!$B$10:$B$12,0))="","Cell will autofill based on response",INDEX('SaSS'!$L$10:$L$12,MATCH($F131,'SaSS'!$B$10:$B$12,0))),"N/A")</f>
        <v/>
      </c>
      <c r="W131" s="50">
        <f>IFERROR(IF(INDEX('Indigenous'!$L$10:$L$11,MATCH($F131,'Indigenous'!$B$10:$B$11,0))="","Cell will autofill based on response",INDEX('Indigenous'!$L$10:$L$11,MATCH($F131,'Indigenous'!$B$10:$B$11,0))),"N/A")</f>
        <v/>
      </c>
      <c r="X131" s="50">
        <f>IFERROR(IF(INDEX('L&amp;R'!$L$10:$L$11,MATCH($F131,'L&amp;R'!$B$10:$B$11,0))="","Cell will autofill based on response",INDEX('L&amp;R'!$L$10:$L$11,MATCH($F131,'L&amp;R'!$B$10:$B$11,0))),"N/A")</f>
        <v/>
      </c>
      <c r="Z131" s="8">
        <f>SUMPRODUCT(--($H131:$X131&lt;&gt;"N/A"))</f>
        <v/>
      </c>
      <c r="AA131" s="8">
        <f>SUMPRODUCT(--(((($H131:$X131&lt;&gt;"N/A")*($H131:$X131&lt;&gt;"Cell will autofill based on response"))+(($H132:$X132&lt;&gt;"N/A")*($H132:$X132&lt;&gt;"Cell will autofill based on response")))&gt;0))</f>
        <v/>
      </c>
      <c r="AB131" s="8">
        <f>Z131-AA131</f>
        <v/>
      </c>
      <c r="AC131" s="8">
        <f>COUNTIF($H135:$X135,"Yes")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IFERROR(IF(INDEX('CI&amp;S'!$M$10:$M$15,MATCH($F132,'CI&amp;S'!$B$10:$B$15,0))="","Cell will autofill based on response",INDEX('CI&amp;S'!$M$10:$M$15,MATCH($F132,'CI&amp;S'!$B$10:$B$15,0))),"N/A")</f>
        <v/>
      </c>
      <c r="M132" s="50">
        <f>IFERROR(IF(INDEX('CI&amp;S'!$M$22:$M$36,MATCH($F132,'CI&amp;S'!$B$22:$B$36,0))="","Cell will autofill based on response",INDEX('CI&amp;S'!$M$22:$M$36,MATCH($F132,'CI&amp;S'!$B$22:$B$36,0))),"N/A")</f>
        <v/>
      </c>
      <c r="N132" s="50">
        <f>IFERROR(IF(INDEX('CFOG'!$M$10:$M$16,MATCH($F132,'CFOG'!$B$10:$B$16,0))="","Cell will autofill based on response",INDEX('CFOG'!$M$10:$M$16,MATCH($F132,'CFOG'!$B$10:$B$16,0))),"N/A")</f>
        <v/>
      </c>
      <c r="O132" s="50">
        <f>IFERROR(IF(INDEX('CFOG'!$M$23:$M$24,MATCH($F132,'CFOG'!$B$23:$B$24,0))="","Cell will autofill based on response",INDEX('CFOG'!$M$23:$M$24,MATCH($F132,'CFOG'!$B$23:$B$24,0))),"N/A")</f>
        <v/>
      </c>
      <c r="P132" s="50">
        <f>IFERROR(IF(INDEX('ESG'!$M$10:$M$17,MATCH($F132,'ESG'!$B$10:$B$17,0))="","Cell will autofill based on response",INDEX('ESG'!$M$10:$M$17,MATCH($F132,'ESG'!$B$10:$B$17,0))),"N/A")</f>
        <v/>
      </c>
      <c r="Q132" s="50">
        <f>IFERROR(IF(INDEX('CIOG'!$M$10:$M$14,MATCH($F132,'CIOG'!$B$10:$B$14,0))="","Cell will autofill based on response",INDEX('CIOG'!$M$10:$M$14,MATCH($F132,'CIOG'!$B$10:$B$14,0))),"N/A")</f>
        <v/>
      </c>
      <c r="R132" s="50">
        <f>IFERROR(IF(INDEX('MRE'!$M$10:$M$18,MATCH($F132,'MRE'!$B$10:$B$18,0))="","Cell will autofill based on response",INDEX('MRE'!$M$10:$M$18,MATCH($F132,'MRE'!$B$10:$B$18,0))),"N/A")</f>
        <v/>
      </c>
      <c r="S132" s="50">
        <f>IFERROR(IF(INDEX('AC&amp;M'!$M$10:$M$14,MATCH($F132,'AC&amp;M'!$B$10:$B$14,0))="","Cell will autofill based on response",INDEX('AC&amp;M'!$M$10:$M$14,MATCH($F132,'AC&amp;M'!$B$10:$B$14,0))),"N/A")</f>
        <v/>
      </c>
      <c r="T132" s="50">
        <f>IFERROR(IF(INDEX('GCE'!$M$10:$M$12,MATCH($F132,'GCE'!$B$10:$B$12,0))="","Cell will autofill based on response",INDEX('GCE'!$M$10:$M$12,MATCH($F132,'GCE'!$B$10:$B$12,0))),"N/A")</f>
        <v/>
      </c>
      <c r="U132" s="50">
        <f>IFERROR(IF(INDEX('Education'!$M$10:$M$13,MATCH($F132,'Education'!$B$10:$B$13,0))="","Cell will autofill based on response",INDEX('Education'!$M$10:$M$13,MATCH($F132,'Education'!$B$10:$B$13,0))),"N/A")</f>
        <v/>
      </c>
      <c r="V132" s="50">
        <f>IFERROR(IF(INDEX('SaSS'!$M$10:$M$12,MATCH($F132,'SaSS'!$B$10:$B$12,0))="","Cell will autofill based on response",INDEX('SaSS'!$M$10:$M$12,MATCH($F132,'SaSS'!$B$10:$B$12,0))),"N/A")</f>
        <v/>
      </c>
      <c r="W132" s="50">
        <f>IFERROR(IF(INDEX('Indigenous'!$M$10:$M$11,MATCH($F132,'Indigenous'!$B$10:$B$11,0))="","Cell will autofill based on response",INDEX('Indigenous'!$M$10:$M$11,MATCH($F132,'Indigenous'!$B$10:$B$11,0))),"N/A")</f>
        <v/>
      </c>
      <c r="X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IFERROR(IF(INDEX('CI&amp;S'!$N$10:$N$15,MATCH($F133,'CI&amp;S'!$B$10:$B$15,0))="","Cell will autofill based on response",INDEX('CI&amp;S'!$N$10:$N$15,MATCH($F133,'CI&amp;S'!$B$10:$B$15,0))),"N/A")</f>
        <v/>
      </c>
      <c r="M133" s="50">
        <f>IFERROR(IF(INDEX('CI&amp;S'!$N$22:$N$36,MATCH($F133,'CI&amp;S'!$B$22:$B$36,0))="","Cell will autofill based on response",INDEX('CI&amp;S'!$N$22:$N$36,MATCH($F133,'CI&amp;S'!$B$22:$B$36,0))),"N/A")</f>
        <v/>
      </c>
      <c r="N133" s="50">
        <f>IFERROR(IF(INDEX('CFOG'!$N$10:$N$16,MATCH($F133,'CFOG'!$B$10:$B$16,0))="","Cell will autofill based on response",INDEX('CFOG'!$N$10:$N$16,MATCH($F133,'CFOG'!$B$10:$B$16,0))),"N/A")</f>
        <v/>
      </c>
      <c r="O133" s="50">
        <f>IFERROR(IF(INDEX('CFOG'!$N$23:$N$24,MATCH($F133,'CFOG'!$B$23:$B$24,0))="","Cell will autofill based on response",INDEX('CFOG'!$N$23:$N$24,MATCH($F133,'CFOG'!$B$23:$B$24,0))),"N/A")</f>
        <v/>
      </c>
      <c r="P133" s="50">
        <f>IFERROR(IF(INDEX('ESG'!$N$10:$N$17,MATCH($F133,'ESG'!$B$10:$B$17,0))="","Cell will autofill based on response",INDEX('ESG'!$N$10:$N$17,MATCH($F133,'ESG'!$B$10:$B$17,0))),"N/A")</f>
        <v/>
      </c>
      <c r="Q133" s="50">
        <f>IFERROR(IF(INDEX('CIOG'!$N$10:$N$14,MATCH($F133,'CIOG'!$B$10:$B$14,0))="","Cell will autofill based on response",INDEX('CIOG'!$N$10:$N$14,MATCH($F133,'CIOG'!$B$10:$B$14,0))),"N/A")</f>
        <v/>
      </c>
      <c r="R133" s="50">
        <f>IFERROR(IF(INDEX('MRE'!$N$10:$N$18,MATCH($F133,'MRE'!$B$10:$B$18,0))="","Cell will autofill based on response",INDEX('MRE'!$N$10:$N$18,MATCH($F133,'MRE'!$B$10:$B$18,0))),"N/A")</f>
        <v/>
      </c>
      <c r="S133" s="50">
        <f>IFERROR(IF(INDEX('AC&amp;M'!$N$10:$N$14,MATCH($F133,'AC&amp;M'!$B$10:$B$14,0))="","Cell will autofill based on response",INDEX('AC&amp;M'!$N$10:$N$14,MATCH($F133,'AC&amp;M'!$B$10:$B$14,0))),"N/A")</f>
        <v/>
      </c>
      <c r="T133" s="50">
        <f>IFERROR(IF(INDEX('GCE'!$N$10:$N$12,MATCH($F133,'GCE'!$B$10:$B$12,0))="","Cell will autofill based on response",INDEX('GCE'!$N$10:$N$12,MATCH($F133,'GCE'!$B$10:$B$12,0))),"N/A")</f>
        <v/>
      </c>
      <c r="U133" s="50">
        <f>IFERROR(IF(INDEX('Education'!$N$10:$N$13,MATCH($F133,'Education'!$B$10:$B$13,0))="","Cell will autofill based on response",INDEX('Education'!$N$10:$N$13,MATCH($F133,'Education'!$B$10:$B$13,0))),"N/A")</f>
        <v/>
      </c>
      <c r="V133" s="50">
        <f>IFERROR(IF(INDEX('SaSS'!$N$10:$N$12,MATCH($F133,'SaSS'!$B$10:$B$12,0))="","Cell will autofill based on response",INDEX('SaSS'!$N$10:$N$12,MATCH($F133,'SaSS'!$B$10:$B$12,0))),"N/A")</f>
        <v/>
      </c>
      <c r="W133" s="50">
        <f>IFERROR(IF(INDEX('Indigenous'!$N$10:$N$11,MATCH($F133,'Indigenous'!$B$10:$B$11,0))="","Cell will autofill based on response",INDEX('Indigenous'!$N$10:$N$11,MATCH($F133,'Indigenous'!$B$10:$B$11,0))),"N/A")</f>
        <v/>
      </c>
      <c r="X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IFERROR(IF(INDEX('CI&amp;S'!$O$10:$O$15,MATCH($F134,'CI&amp;S'!$B$10:$B$15,0))="","Cell will autofill based on response",INDEX('CI&amp;S'!$O$10:$O$15,MATCH($F134,'CI&amp;S'!$B$10:$B$15,0))),"N/A")</f>
        <v/>
      </c>
      <c r="M134" s="50">
        <f>IFERROR(IF(INDEX('CI&amp;S'!$O$22:$O$36,MATCH($F134,'CI&amp;S'!$B$22:$B$36,0))="","Cell will autofill based on response",INDEX('CI&amp;S'!$O$22:$O$36,MATCH($F134,'CI&amp;S'!$B$22:$B$36,0))),"N/A")</f>
        <v/>
      </c>
      <c r="N134" s="50">
        <f>IFERROR(IF(INDEX('CFOG'!$O$10:$O$16,MATCH($F134,'CFOG'!$B$10:$B$16,0))="","Cell will autofill based on response",INDEX('CFOG'!$O$10:$O$16,MATCH($F134,'CFOG'!$B$10:$B$16,0))),"N/A")</f>
        <v/>
      </c>
      <c r="O134" s="50">
        <f>IFERROR(IF(INDEX('CFOG'!$O$23:$O$24,MATCH($F134,'CFOG'!$B$23:$B$24,0))="","Cell will autofill based on response",INDEX('CFOG'!$O$23:$O$24,MATCH($F134,'CFOG'!$B$23:$B$24,0))),"N/A")</f>
        <v/>
      </c>
      <c r="P134" s="50">
        <f>IFERROR(IF(INDEX('ESG'!$O$10:$O$17,MATCH($F134,'ESG'!$B$10:$B$17,0))="","Cell will autofill based on response",INDEX('ESG'!$O$10:$O$17,MATCH($F134,'ESG'!$B$10:$B$17,0))),"N/A")</f>
        <v/>
      </c>
      <c r="Q134" s="50">
        <f>IFERROR(IF(INDEX('CIOG'!$O$10:$O$14,MATCH($F134,'CIOG'!$B$10:$B$14,0))="","Cell will autofill based on response",INDEX('CIOG'!$O$10:$O$14,MATCH($F134,'CIOG'!$B$10:$B$14,0))),"N/A")</f>
        <v/>
      </c>
      <c r="R134" s="50">
        <f>IFERROR(IF(INDEX('MRE'!$O$10:$O$18,MATCH($F134,'MRE'!$B$10:$B$18,0))="","Cell will autofill based on response",INDEX('MRE'!$O$10:$O$18,MATCH($F134,'MRE'!$B$10:$B$18,0))),"N/A")</f>
        <v/>
      </c>
      <c r="S134" s="50">
        <f>IFERROR(IF(INDEX('AC&amp;M'!$O$10:$O$14,MATCH($F134,'AC&amp;M'!$B$10:$B$14,0))="","Cell will autofill based on response",INDEX('AC&amp;M'!$O$10:$O$14,MATCH($F134,'AC&amp;M'!$B$10:$B$14,0))),"N/A")</f>
        <v/>
      </c>
      <c r="T134" s="50">
        <f>IFERROR(IF(INDEX('GCE'!$O$10:$O$12,MATCH($F134,'GCE'!$B$10:$B$12,0))="","Cell will autofill based on response",INDEX('GCE'!$O$10:$O$12,MATCH($F134,'GCE'!$B$10:$B$12,0))),"N/A")</f>
        <v/>
      </c>
      <c r="U134" s="50">
        <f>IFERROR(IF(INDEX('Education'!$O$10:$O$13,MATCH($F134,'Education'!$B$10:$B$13,0))="","Cell will autofill based on response",INDEX('Education'!$O$10:$O$13,MATCH($F134,'Education'!$B$10:$B$13,0))),"N/A")</f>
        <v/>
      </c>
      <c r="V134" s="50">
        <f>IFERROR(IF(INDEX('SaSS'!$O$10:$O$12,MATCH($F134,'SaSS'!$B$10:$B$12,0))="","Cell will autofill based on response",INDEX('SaSS'!$O$10:$O$12,MATCH($F134,'SaSS'!$B$10:$B$12,0))),"N/A")</f>
        <v/>
      </c>
      <c r="W134" s="50">
        <f>IFERROR(IF(INDEX('Indigenous'!$O$10:$O$11,MATCH($F134,'Indigenous'!$B$10:$B$11,0))="","Cell will autofill based on response",INDEX('Indigenous'!$O$10:$O$11,MATCH($F134,'Indigenous'!$B$10:$B$11,0))),"N/A")</f>
        <v/>
      </c>
      <c r="X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IFERROR(IF(INDEX('CI&amp;S'!$P$10:$P$15,MATCH($F135,'CI&amp;S'!$B$10:$B$15,0))="","Cell will autofill based on response",INDEX('CI&amp;S'!$P$10:$P$15,MATCH($F135,'CI&amp;S'!$B$10:$B$15,0))),"N/A")</f>
        <v/>
      </c>
      <c r="M135" s="50">
        <f>IFERROR(IF(INDEX('CI&amp;S'!$P$22:$P$36,MATCH($F135,'CI&amp;S'!$B$22:$B$36,0))="","Cell will autofill based on response",INDEX('CI&amp;S'!$P$22:$P$36,MATCH($F135,'CI&amp;S'!$B$22:$B$36,0))),"N/A")</f>
        <v/>
      </c>
      <c r="N135" s="50">
        <f>IFERROR(IF(INDEX('CFOG'!$P$10:$P$16,MATCH($F135,'CFOG'!$B$10:$B$16,0))="","Cell will autofill based on response",INDEX('CFOG'!$P$10:$P$16,MATCH($F135,'CFOG'!$B$10:$B$16,0))),"N/A")</f>
        <v/>
      </c>
      <c r="O135" s="50">
        <f>IFERROR(IF(INDEX('CFOG'!$P$23:$P$24,MATCH($F135,'CFOG'!$B$23:$B$24,0))="","Cell will autofill based on response",INDEX('CFOG'!$P$23:$P$24,MATCH($F135,'CFOG'!$B$23:$B$24,0))),"N/A")</f>
        <v/>
      </c>
      <c r="P135" s="50">
        <f>IFERROR(IF(INDEX('ESG'!$P$10:$P$17,MATCH($F135,'ESG'!$B$10:$B$17,0))="","Cell will autofill based on response",INDEX('ESG'!$P$10:$P$17,MATCH($F135,'ESG'!$B$10:$B$17,0))),"N/A")</f>
        <v/>
      </c>
      <c r="Q135" s="50">
        <f>IFERROR(IF(INDEX('CIOG'!$P$10:$P$14,MATCH($F135,'CIOG'!$B$10:$B$14,0))="","Cell will autofill based on response",INDEX('CIOG'!$P$10:$P$14,MATCH($F135,'CIOG'!$B$10:$B$14,0))),"N/A")</f>
        <v/>
      </c>
      <c r="R135" s="50">
        <f>IFERROR(IF(INDEX('MRE'!$P$10:$P$18,MATCH($F135,'MRE'!$B$10:$B$18,0))="","Cell will autofill based on response",INDEX('MRE'!$P$10:$P$18,MATCH($F135,'MRE'!$B$10:$B$18,0))),"N/A")</f>
        <v/>
      </c>
      <c r="S135" s="50">
        <f>IFERROR(IF(INDEX('AC&amp;M'!$P$10:$P$14,MATCH($F135,'AC&amp;M'!$B$10:$B$14,0))="","Cell will autofill based on response",INDEX('AC&amp;M'!$P$10:$P$14,MATCH($F135,'AC&amp;M'!$B$10:$B$14,0))),"N/A")</f>
        <v/>
      </c>
      <c r="T135" s="50">
        <f>IFERROR(IF(INDEX('GCE'!$P$10:$P$12,MATCH($F135,'GCE'!$B$10:$B$12,0))="","Cell will autofill based on response",INDEX('GCE'!$P$10:$P$12,MATCH($F135,'GCE'!$B$10:$B$12,0))),"N/A")</f>
        <v/>
      </c>
      <c r="U135" s="50">
        <f>IFERROR(IF(INDEX('Education'!$P$10:$P$13,MATCH($F135,'Education'!$B$10:$B$13,0))="","Cell will autofill based on response",INDEX('Education'!$P$10:$P$13,MATCH($F135,'Education'!$B$10:$B$13,0))),"N/A")</f>
        <v/>
      </c>
      <c r="V135" s="50">
        <f>IFERROR(IF(INDEX('SaSS'!$P$10:$P$12,MATCH($F135,'SaSS'!$B$10:$B$12,0))="","Cell will autofill based on response",INDEX('SaSS'!$P$10:$P$12,MATCH($F135,'SaSS'!$B$10:$B$12,0))),"N/A")</f>
        <v/>
      </c>
      <c r="W135" s="50">
        <f>IFERROR(IF(INDEX('Indigenous'!$P$10:$P$11,MATCH($F135,'Indigenous'!$B$10:$B$11,0))="","Cell will autofill based on response",INDEX('Indigenous'!$P$10:$P$11,MATCH($F135,'Indigenous'!$B$10:$B$11,0))),"N/A")</f>
        <v/>
      </c>
      <c r="X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IFERROR(IF(INDEX('CI&amp;S'!$L$10:$L$15,MATCH($F136,'CI&amp;S'!$B$10:$B$15,0))="","Cell will autofill based on response",INDEX('CI&amp;S'!$L$10:$L$15,MATCH($F136,'CI&amp;S'!$B$10:$B$15,0))),"N/A")</f>
        <v/>
      </c>
      <c r="M136" s="50">
        <f>IFERROR(IF(INDEX('CI&amp;S'!$L$22:$L$36,MATCH($F136,'CI&amp;S'!$B$22:$B$36,0))="","Cell will autofill based on response",INDEX('CI&amp;S'!$L$22:$L$36,MATCH($F136,'CI&amp;S'!$B$22:$B$36,0))),"N/A")</f>
        <v/>
      </c>
      <c r="N136" s="50">
        <f>IFERROR(IF(INDEX('CFOG'!$L$10:$L$16,MATCH($F136,'CFOG'!$B$10:$B$16,0))="","Cell will autofill based on response",INDEX('CFOG'!$L$10:$L$16,MATCH($F136,'CFOG'!$B$10:$B$16,0))),"N/A")</f>
        <v/>
      </c>
      <c r="O136" s="50">
        <f>IFERROR(IF(INDEX('CFOG'!$L$23:$L$24,MATCH($F136,'CFOG'!$B$23:$B$24,0))="","Cell will autofill based on response",INDEX('CFOG'!$L$23:$L$24,MATCH($F136,'CFOG'!$B$23:$B$24,0))),"N/A")</f>
        <v/>
      </c>
      <c r="P136" s="50">
        <f>IFERROR(IF(INDEX('ESG'!$L$10:$L$17,MATCH($F136,'ESG'!$B$10:$B$17,0))="","Cell will autofill based on response",INDEX('ESG'!$L$10:$L$17,MATCH($F136,'ESG'!$B$10:$B$17,0))),"N/A")</f>
        <v/>
      </c>
      <c r="Q136" s="50">
        <f>IFERROR(IF(INDEX('CIOG'!$L$10:$L$14,MATCH($F136,'CIOG'!$B$10:$B$14,0))="","Cell will autofill based on response",INDEX('CIOG'!$L$10:$L$14,MATCH($F136,'CIOG'!$B$10:$B$14,0))),"N/A")</f>
        <v/>
      </c>
      <c r="R136" s="50">
        <f>IFERROR(IF(INDEX('MRE'!$L$10:$L$18,MATCH($F136,'MRE'!$B$10:$B$18,0))="","Cell will autofill based on response",INDEX('MRE'!$L$10:$L$18,MATCH($F136,'MRE'!$B$10:$B$18,0))),"N/A")</f>
        <v/>
      </c>
      <c r="S136" s="50">
        <f>IFERROR(IF(INDEX('AC&amp;M'!$L$10:$L$14,MATCH($F136,'AC&amp;M'!$B$10:$B$14,0))="","Cell will autofill based on response",INDEX('AC&amp;M'!$L$10:$L$14,MATCH($F136,'AC&amp;M'!$B$10:$B$14,0))),"N/A")</f>
        <v/>
      </c>
      <c r="T136" s="50">
        <f>IFERROR(IF(INDEX('GCE'!$L$10:$L$12,MATCH($F136,'GCE'!$B$10:$B$12,0))="","Cell will autofill based on response",INDEX('GCE'!$L$10:$L$12,MATCH($F136,'GCE'!$B$10:$B$12,0))),"N/A")</f>
        <v/>
      </c>
      <c r="U136" s="50">
        <f>IFERROR(IF(INDEX('Education'!$L$10:$L$13,MATCH($F136,'Education'!$B$10:$B$13,0))="","Cell will autofill based on response",INDEX('Education'!$L$10:$L$13,MATCH($F136,'Education'!$B$10:$B$13,0))),"N/A")</f>
        <v/>
      </c>
      <c r="V136" s="50">
        <f>IFERROR(IF(INDEX('SaSS'!$L$10:$L$12,MATCH($F136,'SaSS'!$B$10:$B$12,0))="","Cell will autofill based on response",INDEX('SaSS'!$L$10:$L$12,MATCH($F136,'SaSS'!$B$10:$B$12,0))),"N/A")</f>
        <v/>
      </c>
      <c r="W136" s="50">
        <f>IFERROR(IF(INDEX('Indigenous'!$L$10:$L$11,MATCH($F136,'Indigenous'!$B$10:$B$11,0))="","Cell will autofill based on response",INDEX('Indigenous'!$L$10:$L$11,MATCH($F136,'Indigenous'!$B$10:$B$11,0))),"N/A")</f>
        <v/>
      </c>
      <c r="X136" s="50">
        <f>IFERROR(IF(INDEX('L&amp;R'!$L$10:$L$11,MATCH($F136,'L&amp;R'!$B$10:$B$11,0))="","Cell will autofill based on response",INDEX('L&amp;R'!$L$10:$L$11,MATCH($F136,'L&amp;R'!$B$10:$B$11,0))),"N/A")</f>
        <v/>
      </c>
      <c r="Z136" s="8">
        <f>SUMPRODUCT(--($H136:$X136&lt;&gt;"N/A"))</f>
        <v/>
      </c>
      <c r="AA136" s="8">
        <f>SUMPRODUCT(--(((($H136:$X136&lt;&gt;"N/A")*($H136:$X136&lt;&gt;"Cell will autofill based on response"))+(($H137:$X137&lt;&gt;"N/A")*($H137:$X137&lt;&gt;"Cell will autofill based on response")))&gt;0))</f>
        <v/>
      </c>
      <c r="AB136" s="8">
        <f>Z136-AA136</f>
        <v/>
      </c>
      <c r="AC136" s="8">
        <f>COUNTIF($H140:$X140,"Yes")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IFERROR(IF(INDEX('CI&amp;S'!$M$10:$M$15,MATCH($F137,'CI&amp;S'!$B$10:$B$15,0))="","Cell will autofill based on response",INDEX('CI&amp;S'!$M$10:$M$15,MATCH($F137,'CI&amp;S'!$B$10:$B$15,0))),"N/A")</f>
        <v/>
      </c>
      <c r="M137" s="50">
        <f>IFERROR(IF(INDEX('CI&amp;S'!$M$22:$M$36,MATCH($F137,'CI&amp;S'!$B$22:$B$36,0))="","Cell will autofill based on response",INDEX('CI&amp;S'!$M$22:$M$36,MATCH($F137,'CI&amp;S'!$B$22:$B$36,0))),"N/A")</f>
        <v/>
      </c>
      <c r="N137" s="50">
        <f>IFERROR(IF(INDEX('CFOG'!$M$10:$M$16,MATCH($F137,'CFOG'!$B$10:$B$16,0))="","Cell will autofill based on response",INDEX('CFOG'!$M$10:$M$16,MATCH($F137,'CFOG'!$B$10:$B$16,0))),"N/A")</f>
        <v/>
      </c>
      <c r="O137" s="50">
        <f>IFERROR(IF(INDEX('CFOG'!$M$23:$M$24,MATCH($F137,'CFOG'!$B$23:$B$24,0))="","Cell will autofill based on response",INDEX('CFOG'!$M$23:$M$24,MATCH($F137,'CFOG'!$B$23:$B$24,0))),"N/A")</f>
        <v/>
      </c>
      <c r="P137" s="50">
        <f>IFERROR(IF(INDEX('ESG'!$M$10:$M$17,MATCH($F137,'ESG'!$B$10:$B$17,0))="","Cell will autofill based on response",INDEX('ESG'!$M$10:$M$17,MATCH($F137,'ESG'!$B$10:$B$17,0))),"N/A")</f>
        <v/>
      </c>
      <c r="Q137" s="50">
        <f>IFERROR(IF(INDEX('CIOG'!$M$10:$M$14,MATCH($F137,'CIOG'!$B$10:$B$14,0))="","Cell will autofill based on response",INDEX('CIOG'!$M$10:$M$14,MATCH($F137,'CIOG'!$B$10:$B$14,0))),"N/A")</f>
        <v/>
      </c>
      <c r="R137" s="50">
        <f>IFERROR(IF(INDEX('MRE'!$M$10:$M$18,MATCH($F137,'MRE'!$B$10:$B$18,0))="","Cell will autofill based on response",INDEX('MRE'!$M$10:$M$18,MATCH($F137,'MRE'!$B$10:$B$18,0))),"N/A")</f>
        <v/>
      </c>
      <c r="S137" s="50">
        <f>IFERROR(IF(INDEX('AC&amp;M'!$M$10:$M$14,MATCH($F137,'AC&amp;M'!$B$10:$B$14,0))="","Cell will autofill based on response",INDEX('AC&amp;M'!$M$10:$M$14,MATCH($F137,'AC&amp;M'!$B$10:$B$14,0))),"N/A")</f>
        <v/>
      </c>
      <c r="T137" s="50">
        <f>IFERROR(IF(INDEX('GCE'!$M$10:$M$12,MATCH($F137,'GCE'!$B$10:$B$12,0))="","Cell will autofill based on response",INDEX('GCE'!$M$10:$M$12,MATCH($F137,'GCE'!$B$10:$B$12,0))),"N/A")</f>
        <v/>
      </c>
      <c r="U137" s="50">
        <f>IFERROR(IF(INDEX('Education'!$M$10:$M$13,MATCH($F137,'Education'!$B$10:$B$13,0))="","Cell will autofill based on response",INDEX('Education'!$M$10:$M$13,MATCH($F137,'Education'!$B$10:$B$13,0))),"N/A")</f>
        <v/>
      </c>
      <c r="V137" s="50">
        <f>IFERROR(IF(INDEX('SaSS'!$M$10:$M$12,MATCH($F137,'SaSS'!$B$10:$B$12,0))="","Cell will autofill based on response",INDEX('SaSS'!$M$10:$M$12,MATCH($F137,'SaSS'!$B$10:$B$12,0))),"N/A")</f>
        <v/>
      </c>
      <c r="W137" s="50">
        <f>IFERROR(IF(INDEX('Indigenous'!$M$10:$M$11,MATCH($F137,'Indigenous'!$B$10:$B$11,0))="","Cell will autofill based on response",INDEX('Indigenous'!$M$10:$M$11,MATCH($F137,'Indigenous'!$B$10:$B$11,0))),"N/A")</f>
        <v/>
      </c>
      <c r="X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IFERROR(IF(INDEX('CI&amp;S'!$N$10:$N$15,MATCH($F138,'CI&amp;S'!$B$10:$B$15,0))="","Cell will autofill based on response",INDEX('CI&amp;S'!$N$10:$N$15,MATCH($F138,'CI&amp;S'!$B$10:$B$15,0))),"N/A")</f>
        <v/>
      </c>
      <c r="M138" s="50">
        <f>IFERROR(IF(INDEX('CI&amp;S'!$N$22:$N$36,MATCH($F138,'CI&amp;S'!$B$22:$B$36,0))="","Cell will autofill based on response",INDEX('CI&amp;S'!$N$22:$N$36,MATCH($F138,'CI&amp;S'!$B$22:$B$36,0))),"N/A")</f>
        <v/>
      </c>
      <c r="N138" s="50">
        <f>IFERROR(IF(INDEX('CFOG'!$N$10:$N$16,MATCH($F138,'CFOG'!$B$10:$B$16,0))="","Cell will autofill based on response",INDEX('CFOG'!$N$10:$N$16,MATCH($F138,'CFOG'!$B$10:$B$16,0))),"N/A")</f>
        <v/>
      </c>
      <c r="O138" s="50">
        <f>IFERROR(IF(INDEX('CFOG'!$N$23:$N$24,MATCH($F138,'CFOG'!$B$23:$B$24,0))="","Cell will autofill based on response",INDEX('CFOG'!$N$23:$N$24,MATCH($F138,'CFOG'!$B$23:$B$24,0))),"N/A")</f>
        <v/>
      </c>
      <c r="P138" s="50">
        <f>IFERROR(IF(INDEX('ESG'!$N$10:$N$17,MATCH($F138,'ESG'!$B$10:$B$17,0))="","Cell will autofill based on response",INDEX('ESG'!$N$10:$N$17,MATCH($F138,'ESG'!$B$10:$B$17,0))),"N/A")</f>
        <v/>
      </c>
      <c r="Q138" s="50">
        <f>IFERROR(IF(INDEX('CIOG'!$N$10:$N$14,MATCH($F138,'CIOG'!$B$10:$B$14,0))="","Cell will autofill based on response",INDEX('CIOG'!$N$10:$N$14,MATCH($F138,'CIOG'!$B$10:$B$14,0))),"N/A")</f>
        <v/>
      </c>
      <c r="R138" s="50">
        <f>IFERROR(IF(INDEX('MRE'!$N$10:$N$18,MATCH($F138,'MRE'!$B$10:$B$18,0))="","Cell will autofill based on response",INDEX('MRE'!$N$10:$N$18,MATCH($F138,'MRE'!$B$10:$B$18,0))),"N/A")</f>
        <v/>
      </c>
      <c r="S138" s="50">
        <f>IFERROR(IF(INDEX('AC&amp;M'!$N$10:$N$14,MATCH($F138,'AC&amp;M'!$B$10:$B$14,0))="","Cell will autofill based on response",INDEX('AC&amp;M'!$N$10:$N$14,MATCH($F138,'AC&amp;M'!$B$10:$B$14,0))),"N/A")</f>
        <v/>
      </c>
      <c r="T138" s="50">
        <f>IFERROR(IF(INDEX('GCE'!$N$10:$N$12,MATCH($F138,'GCE'!$B$10:$B$12,0))="","Cell will autofill based on response",INDEX('GCE'!$N$10:$N$12,MATCH($F138,'GCE'!$B$10:$B$12,0))),"N/A")</f>
        <v/>
      </c>
      <c r="U138" s="50">
        <f>IFERROR(IF(INDEX('Education'!$N$10:$N$13,MATCH($F138,'Education'!$B$10:$B$13,0))="","Cell will autofill based on response",INDEX('Education'!$N$10:$N$13,MATCH($F138,'Education'!$B$10:$B$13,0))),"N/A")</f>
        <v/>
      </c>
      <c r="V138" s="50">
        <f>IFERROR(IF(INDEX('SaSS'!$N$10:$N$12,MATCH($F138,'SaSS'!$B$10:$B$12,0))="","Cell will autofill based on response",INDEX('SaSS'!$N$10:$N$12,MATCH($F138,'SaSS'!$B$10:$B$12,0))),"N/A")</f>
        <v/>
      </c>
      <c r="W138" s="50">
        <f>IFERROR(IF(INDEX('Indigenous'!$N$10:$N$11,MATCH($F138,'Indigenous'!$B$10:$B$11,0))="","Cell will autofill based on response",INDEX('Indigenous'!$N$10:$N$11,MATCH($F138,'Indigenous'!$B$10:$B$11,0))),"N/A")</f>
        <v/>
      </c>
      <c r="X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IFERROR(IF(INDEX('CI&amp;S'!$O$10:$O$15,MATCH($F139,'CI&amp;S'!$B$10:$B$15,0))="","Cell will autofill based on response",INDEX('CI&amp;S'!$O$10:$O$15,MATCH($F139,'CI&amp;S'!$B$10:$B$15,0))),"N/A")</f>
        <v/>
      </c>
      <c r="M139" s="50">
        <f>IFERROR(IF(INDEX('CI&amp;S'!$O$22:$O$36,MATCH($F139,'CI&amp;S'!$B$22:$B$36,0))="","Cell will autofill based on response",INDEX('CI&amp;S'!$O$22:$O$36,MATCH($F139,'CI&amp;S'!$B$22:$B$36,0))),"N/A")</f>
        <v/>
      </c>
      <c r="N139" s="50">
        <f>IFERROR(IF(INDEX('CFOG'!$O$10:$O$16,MATCH($F139,'CFOG'!$B$10:$B$16,0))="","Cell will autofill based on response",INDEX('CFOG'!$O$10:$O$16,MATCH($F139,'CFOG'!$B$10:$B$16,0))),"N/A")</f>
        <v/>
      </c>
      <c r="O139" s="50">
        <f>IFERROR(IF(INDEX('CFOG'!$O$23:$O$24,MATCH($F139,'CFOG'!$B$23:$B$24,0))="","Cell will autofill based on response",INDEX('CFOG'!$O$23:$O$24,MATCH($F139,'CFOG'!$B$23:$B$24,0))),"N/A")</f>
        <v/>
      </c>
      <c r="P139" s="50">
        <f>IFERROR(IF(INDEX('ESG'!$O$10:$O$17,MATCH($F139,'ESG'!$B$10:$B$17,0))="","Cell will autofill based on response",INDEX('ESG'!$O$10:$O$17,MATCH($F139,'ESG'!$B$10:$B$17,0))),"N/A")</f>
        <v/>
      </c>
      <c r="Q139" s="50">
        <f>IFERROR(IF(INDEX('CIOG'!$O$10:$O$14,MATCH($F139,'CIOG'!$B$10:$B$14,0))="","Cell will autofill based on response",INDEX('CIOG'!$O$10:$O$14,MATCH($F139,'CIOG'!$B$10:$B$14,0))),"N/A")</f>
        <v/>
      </c>
      <c r="R139" s="50">
        <f>IFERROR(IF(INDEX('MRE'!$O$10:$O$18,MATCH($F139,'MRE'!$B$10:$B$18,0))="","Cell will autofill based on response",INDEX('MRE'!$O$10:$O$18,MATCH($F139,'MRE'!$B$10:$B$18,0))),"N/A")</f>
        <v/>
      </c>
      <c r="S139" s="50">
        <f>IFERROR(IF(INDEX('AC&amp;M'!$O$10:$O$14,MATCH($F139,'AC&amp;M'!$B$10:$B$14,0))="","Cell will autofill based on response",INDEX('AC&amp;M'!$O$10:$O$14,MATCH($F139,'AC&amp;M'!$B$10:$B$14,0))),"N/A")</f>
        <v/>
      </c>
      <c r="T139" s="50">
        <f>IFERROR(IF(INDEX('GCE'!$O$10:$O$12,MATCH($F139,'GCE'!$B$10:$B$12,0))="","Cell will autofill based on response",INDEX('GCE'!$O$10:$O$12,MATCH($F139,'GCE'!$B$10:$B$12,0))),"N/A")</f>
        <v/>
      </c>
      <c r="U139" s="50">
        <f>IFERROR(IF(INDEX('Education'!$O$10:$O$13,MATCH($F139,'Education'!$B$10:$B$13,0))="","Cell will autofill based on response",INDEX('Education'!$O$10:$O$13,MATCH($F139,'Education'!$B$10:$B$13,0))),"N/A")</f>
        <v/>
      </c>
      <c r="V139" s="50">
        <f>IFERROR(IF(INDEX('SaSS'!$O$10:$O$12,MATCH($F139,'SaSS'!$B$10:$B$12,0))="","Cell will autofill based on response",INDEX('SaSS'!$O$10:$O$12,MATCH($F139,'SaSS'!$B$10:$B$12,0))),"N/A")</f>
        <v/>
      </c>
      <c r="W139" s="50">
        <f>IFERROR(IF(INDEX('Indigenous'!$O$10:$O$11,MATCH($F139,'Indigenous'!$B$10:$B$11,0))="","Cell will autofill based on response",INDEX('Indigenous'!$O$10:$O$11,MATCH($F139,'Indigenous'!$B$10:$B$11,0))),"N/A")</f>
        <v/>
      </c>
      <c r="X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IFERROR(IF(INDEX('CI&amp;S'!$P$10:$P$15,MATCH($F140,'CI&amp;S'!$B$10:$B$15,0))="","Cell will autofill based on response",INDEX('CI&amp;S'!$P$10:$P$15,MATCH($F140,'CI&amp;S'!$B$10:$B$15,0))),"N/A")</f>
        <v/>
      </c>
      <c r="M140" s="50">
        <f>IFERROR(IF(INDEX('CI&amp;S'!$P$22:$P$36,MATCH($F140,'CI&amp;S'!$B$22:$B$36,0))="","Cell will autofill based on response",INDEX('CI&amp;S'!$P$22:$P$36,MATCH($F140,'CI&amp;S'!$B$22:$B$36,0))),"N/A")</f>
        <v/>
      </c>
      <c r="N140" s="50">
        <f>IFERROR(IF(INDEX('CFOG'!$P$10:$P$16,MATCH($F140,'CFOG'!$B$10:$B$16,0))="","Cell will autofill based on response",INDEX('CFOG'!$P$10:$P$16,MATCH($F140,'CFOG'!$B$10:$B$16,0))),"N/A")</f>
        <v/>
      </c>
      <c r="O140" s="50">
        <f>IFERROR(IF(INDEX('CFOG'!$P$23:$P$24,MATCH($F140,'CFOG'!$B$23:$B$24,0))="","Cell will autofill based on response",INDEX('CFOG'!$P$23:$P$24,MATCH($F140,'CFOG'!$B$23:$B$24,0))),"N/A")</f>
        <v/>
      </c>
      <c r="P140" s="50">
        <f>IFERROR(IF(INDEX('ESG'!$P$10:$P$17,MATCH($F140,'ESG'!$B$10:$B$17,0))="","Cell will autofill based on response",INDEX('ESG'!$P$10:$P$17,MATCH($F140,'ESG'!$B$10:$B$17,0))),"N/A")</f>
        <v/>
      </c>
      <c r="Q140" s="50">
        <f>IFERROR(IF(INDEX('CIOG'!$P$10:$P$14,MATCH($F140,'CIOG'!$B$10:$B$14,0))="","Cell will autofill based on response",INDEX('CIOG'!$P$10:$P$14,MATCH($F140,'CIOG'!$B$10:$B$14,0))),"N/A")</f>
        <v/>
      </c>
      <c r="R140" s="50">
        <f>IFERROR(IF(INDEX('MRE'!$P$10:$P$18,MATCH($F140,'MRE'!$B$10:$B$18,0))="","Cell will autofill based on response",INDEX('MRE'!$P$10:$P$18,MATCH($F140,'MRE'!$B$10:$B$18,0))),"N/A")</f>
        <v/>
      </c>
      <c r="S140" s="50">
        <f>IFERROR(IF(INDEX('AC&amp;M'!$P$10:$P$14,MATCH($F140,'AC&amp;M'!$B$10:$B$14,0))="","Cell will autofill based on response",INDEX('AC&amp;M'!$P$10:$P$14,MATCH($F140,'AC&amp;M'!$B$10:$B$14,0))),"N/A")</f>
        <v/>
      </c>
      <c r="T140" s="50">
        <f>IFERROR(IF(INDEX('GCE'!$P$10:$P$12,MATCH($F140,'GCE'!$B$10:$B$12,0))="","Cell will autofill based on response",INDEX('GCE'!$P$10:$P$12,MATCH($F140,'GCE'!$B$10:$B$12,0))),"N/A")</f>
        <v/>
      </c>
      <c r="U140" s="50">
        <f>IFERROR(IF(INDEX('Education'!$P$10:$P$13,MATCH($F140,'Education'!$B$10:$B$13,0))="","Cell will autofill based on response",INDEX('Education'!$P$10:$P$13,MATCH($F140,'Education'!$B$10:$B$13,0))),"N/A")</f>
        <v/>
      </c>
      <c r="V140" s="50">
        <f>IFERROR(IF(INDEX('SaSS'!$P$10:$P$12,MATCH($F140,'SaSS'!$B$10:$B$12,0))="","Cell will autofill based on response",INDEX('SaSS'!$P$10:$P$12,MATCH($F140,'SaSS'!$B$10:$B$12,0))),"N/A")</f>
        <v/>
      </c>
      <c r="W140" s="50">
        <f>IFERROR(IF(INDEX('Indigenous'!$P$10:$P$11,MATCH($F140,'Indigenous'!$B$10:$B$11,0))="","Cell will autofill based on response",INDEX('Indigenous'!$P$10:$P$11,MATCH($F140,'Indigenous'!$B$10:$B$11,0))),"N/A")</f>
        <v/>
      </c>
      <c r="X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IFERROR(IF(INDEX('CI&amp;S'!$L$10:$L$15,MATCH($F141,'CI&amp;S'!$B$10:$B$15,0))="","Cell will autofill based on response",INDEX('CI&amp;S'!$L$10:$L$15,MATCH($F141,'CI&amp;S'!$B$10:$B$15,0))),"N/A")</f>
        <v/>
      </c>
      <c r="M141" s="50">
        <f>IFERROR(IF(INDEX('CI&amp;S'!$L$22:$L$36,MATCH($F141,'CI&amp;S'!$B$22:$B$36,0))="","Cell will autofill based on response",INDEX('CI&amp;S'!$L$22:$L$36,MATCH($F141,'CI&amp;S'!$B$22:$B$36,0))),"N/A")</f>
        <v/>
      </c>
      <c r="N141" s="50">
        <f>IFERROR(IF(INDEX('CFOG'!$L$10:$L$16,MATCH($F141,'CFOG'!$B$10:$B$16,0))="","Cell will autofill based on response",INDEX('CFOG'!$L$10:$L$16,MATCH($F141,'CFOG'!$B$10:$B$16,0))),"N/A")</f>
        <v/>
      </c>
      <c r="O141" s="50">
        <f>IFERROR(IF(INDEX('CFOG'!$L$23:$L$24,MATCH($F141,'CFOG'!$B$23:$B$24,0))="","Cell will autofill based on response",INDEX('CFOG'!$L$23:$L$24,MATCH($F141,'CFOG'!$B$23:$B$24,0))),"N/A")</f>
        <v/>
      </c>
      <c r="P141" s="50">
        <f>IFERROR(IF(INDEX('ESG'!$L$10:$L$17,MATCH($F141,'ESG'!$B$10:$B$17,0))="","Cell will autofill based on response",INDEX('ESG'!$L$10:$L$17,MATCH($F141,'ESG'!$B$10:$B$17,0))),"N/A")</f>
        <v/>
      </c>
      <c r="Q141" s="50">
        <f>IFERROR(IF(INDEX('CIOG'!$L$10:$L$14,MATCH($F141,'CIOG'!$B$10:$B$14,0))="","Cell will autofill based on response",INDEX('CIOG'!$L$10:$L$14,MATCH($F141,'CIOG'!$B$10:$B$14,0))),"N/A")</f>
        <v/>
      </c>
      <c r="R141" s="50">
        <f>IFERROR(IF(INDEX('MRE'!$L$10:$L$18,MATCH($F141,'MRE'!$B$10:$B$18,0))="","Cell will autofill based on response",INDEX('MRE'!$L$10:$L$18,MATCH($F141,'MRE'!$B$10:$B$18,0))),"N/A")</f>
        <v/>
      </c>
      <c r="S141" s="50">
        <f>IFERROR(IF(INDEX('AC&amp;M'!$L$10:$L$14,MATCH($F141,'AC&amp;M'!$B$10:$B$14,0))="","Cell will autofill based on response",INDEX('AC&amp;M'!$L$10:$L$14,MATCH($F141,'AC&amp;M'!$B$10:$B$14,0))),"N/A")</f>
        <v/>
      </c>
      <c r="T141" s="50">
        <f>IFERROR(IF(INDEX('GCE'!$L$10:$L$12,MATCH($F141,'GCE'!$B$10:$B$12,0))="","Cell will autofill based on response",INDEX('GCE'!$L$10:$L$12,MATCH($F141,'GCE'!$B$10:$B$12,0))),"N/A")</f>
        <v/>
      </c>
      <c r="U141" s="50">
        <f>IFERROR(IF(INDEX('Education'!$L$10:$L$13,MATCH($F141,'Education'!$B$10:$B$13,0))="","Cell will autofill based on response",INDEX('Education'!$L$10:$L$13,MATCH($F141,'Education'!$B$10:$B$13,0))),"N/A")</f>
        <v/>
      </c>
      <c r="V141" s="50">
        <f>IFERROR(IF(INDEX('SaSS'!$L$10:$L$12,MATCH($F141,'SaSS'!$B$10:$B$12,0))="","Cell will autofill based on response",INDEX('SaSS'!$L$10:$L$12,MATCH($F141,'SaSS'!$B$10:$B$12,0))),"N/A")</f>
        <v/>
      </c>
      <c r="W141" s="50">
        <f>IFERROR(IF(INDEX('Indigenous'!$L$10:$L$11,MATCH($F141,'Indigenous'!$B$10:$B$11,0))="","Cell will autofill based on response",INDEX('Indigenous'!$L$10:$L$11,MATCH($F141,'Indigenous'!$B$10:$B$11,0))),"N/A")</f>
        <v/>
      </c>
      <c r="X141" s="50">
        <f>IFERROR(IF(INDEX('L&amp;R'!$L$10:$L$11,MATCH($F141,'L&amp;R'!$B$10:$B$11,0))="","Cell will autofill based on response",INDEX('L&amp;R'!$L$10:$L$11,MATCH($F141,'L&amp;R'!$B$10:$B$11,0))),"N/A")</f>
        <v/>
      </c>
      <c r="Z141" s="8">
        <f>SUMPRODUCT(--($H141:$X141&lt;&gt;"N/A"))</f>
        <v/>
      </c>
      <c r="AA141" s="8">
        <f>SUMPRODUCT(--(((($H141:$X141&lt;&gt;"N/A")*($H141:$X141&lt;&gt;"Cell will autofill based on response"))+(($H142:$X142&lt;&gt;"N/A")*($H142:$X142&lt;&gt;"Cell will autofill based on response")))&gt;0))</f>
        <v/>
      </c>
      <c r="AB141" s="8">
        <f>Z141-AA141</f>
        <v/>
      </c>
      <c r="AC141" s="8">
        <f>COUNTIF($H145:$X145,"Yes")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IFERROR(IF(INDEX('CI&amp;S'!$M$10:$M$15,MATCH($F142,'CI&amp;S'!$B$10:$B$15,0))="","Cell will autofill based on response",INDEX('CI&amp;S'!$M$10:$M$15,MATCH($F142,'CI&amp;S'!$B$10:$B$15,0))),"N/A")</f>
        <v/>
      </c>
      <c r="M142" s="50">
        <f>IFERROR(IF(INDEX('CI&amp;S'!$M$22:$M$36,MATCH($F142,'CI&amp;S'!$B$22:$B$36,0))="","Cell will autofill based on response",INDEX('CI&amp;S'!$M$22:$M$36,MATCH($F142,'CI&amp;S'!$B$22:$B$36,0))),"N/A")</f>
        <v/>
      </c>
      <c r="N142" s="50">
        <f>IFERROR(IF(INDEX('CFOG'!$M$10:$M$16,MATCH($F142,'CFOG'!$B$10:$B$16,0))="","Cell will autofill based on response",INDEX('CFOG'!$M$10:$M$16,MATCH($F142,'CFOG'!$B$10:$B$16,0))),"N/A")</f>
        <v/>
      </c>
      <c r="O142" s="50">
        <f>IFERROR(IF(INDEX('CFOG'!$M$23:$M$24,MATCH($F142,'CFOG'!$B$23:$B$24,0))="","Cell will autofill based on response",INDEX('CFOG'!$M$23:$M$24,MATCH($F142,'CFOG'!$B$23:$B$24,0))),"N/A")</f>
        <v/>
      </c>
      <c r="P142" s="50">
        <f>IFERROR(IF(INDEX('ESG'!$M$10:$M$17,MATCH($F142,'ESG'!$B$10:$B$17,0))="","Cell will autofill based on response",INDEX('ESG'!$M$10:$M$17,MATCH($F142,'ESG'!$B$10:$B$17,0))),"N/A")</f>
        <v/>
      </c>
      <c r="Q142" s="50">
        <f>IFERROR(IF(INDEX('CIOG'!$M$10:$M$14,MATCH($F142,'CIOG'!$B$10:$B$14,0))="","Cell will autofill based on response",INDEX('CIOG'!$M$10:$M$14,MATCH($F142,'CIOG'!$B$10:$B$14,0))),"N/A")</f>
        <v/>
      </c>
      <c r="R142" s="50">
        <f>IFERROR(IF(INDEX('MRE'!$M$10:$M$18,MATCH($F142,'MRE'!$B$10:$B$18,0))="","Cell will autofill based on response",INDEX('MRE'!$M$10:$M$18,MATCH($F142,'MRE'!$B$10:$B$18,0))),"N/A")</f>
        <v/>
      </c>
      <c r="S142" s="50">
        <f>IFERROR(IF(INDEX('AC&amp;M'!$M$10:$M$14,MATCH($F142,'AC&amp;M'!$B$10:$B$14,0))="","Cell will autofill based on response",INDEX('AC&amp;M'!$M$10:$M$14,MATCH($F142,'AC&amp;M'!$B$10:$B$14,0))),"N/A")</f>
        <v/>
      </c>
      <c r="T142" s="50">
        <f>IFERROR(IF(INDEX('GCE'!$M$10:$M$12,MATCH($F142,'GCE'!$B$10:$B$12,0))="","Cell will autofill based on response",INDEX('GCE'!$M$10:$M$12,MATCH($F142,'GCE'!$B$10:$B$12,0))),"N/A")</f>
        <v/>
      </c>
      <c r="U142" s="50">
        <f>IFERROR(IF(INDEX('Education'!$M$10:$M$13,MATCH($F142,'Education'!$B$10:$B$13,0))="","Cell will autofill based on response",INDEX('Education'!$M$10:$M$13,MATCH($F142,'Education'!$B$10:$B$13,0))),"N/A")</f>
        <v/>
      </c>
      <c r="V142" s="50">
        <f>IFERROR(IF(INDEX('SaSS'!$M$10:$M$12,MATCH($F142,'SaSS'!$B$10:$B$12,0))="","Cell will autofill based on response",INDEX('SaSS'!$M$10:$M$12,MATCH($F142,'SaSS'!$B$10:$B$12,0))),"N/A")</f>
        <v/>
      </c>
      <c r="W142" s="50">
        <f>IFERROR(IF(INDEX('Indigenous'!$M$10:$M$11,MATCH($F142,'Indigenous'!$B$10:$B$11,0))="","Cell will autofill based on response",INDEX('Indigenous'!$M$10:$M$11,MATCH($F142,'Indigenous'!$B$10:$B$11,0))),"N/A")</f>
        <v/>
      </c>
      <c r="X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IFERROR(IF(INDEX('CI&amp;S'!$N$10:$N$15,MATCH($F143,'CI&amp;S'!$B$10:$B$15,0))="","Cell will autofill based on response",INDEX('CI&amp;S'!$N$10:$N$15,MATCH($F143,'CI&amp;S'!$B$10:$B$15,0))),"N/A")</f>
        <v/>
      </c>
      <c r="M143" s="50">
        <f>IFERROR(IF(INDEX('CI&amp;S'!$N$22:$N$36,MATCH($F143,'CI&amp;S'!$B$22:$B$36,0))="","Cell will autofill based on response",INDEX('CI&amp;S'!$N$22:$N$36,MATCH($F143,'CI&amp;S'!$B$22:$B$36,0))),"N/A")</f>
        <v/>
      </c>
      <c r="N143" s="50">
        <f>IFERROR(IF(INDEX('CFOG'!$N$10:$N$16,MATCH($F143,'CFOG'!$B$10:$B$16,0))="","Cell will autofill based on response",INDEX('CFOG'!$N$10:$N$16,MATCH($F143,'CFOG'!$B$10:$B$16,0))),"N/A")</f>
        <v/>
      </c>
      <c r="O143" s="50">
        <f>IFERROR(IF(INDEX('CFOG'!$N$23:$N$24,MATCH($F143,'CFOG'!$B$23:$B$24,0))="","Cell will autofill based on response",INDEX('CFOG'!$N$23:$N$24,MATCH($F143,'CFOG'!$B$23:$B$24,0))),"N/A")</f>
        <v/>
      </c>
      <c r="P143" s="50">
        <f>IFERROR(IF(INDEX('ESG'!$N$10:$N$17,MATCH($F143,'ESG'!$B$10:$B$17,0))="","Cell will autofill based on response",INDEX('ESG'!$N$10:$N$17,MATCH($F143,'ESG'!$B$10:$B$17,0))),"N/A")</f>
        <v/>
      </c>
      <c r="Q143" s="50">
        <f>IFERROR(IF(INDEX('CIOG'!$N$10:$N$14,MATCH($F143,'CIOG'!$B$10:$B$14,0))="","Cell will autofill based on response",INDEX('CIOG'!$N$10:$N$14,MATCH($F143,'CIOG'!$B$10:$B$14,0))),"N/A")</f>
        <v/>
      </c>
      <c r="R143" s="50">
        <f>IFERROR(IF(INDEX('MRE'!$N$10:$N$18,MATCH($F143,'MRE'!$B$10:$B$18,0))="","Cell will autofill based on response",INDEX('MRE'!$N$10:$N$18,MATCH($F143,'MRE'!$B$10:$B$18,0))),"N/A")</f>
        <v/>
      </c>
      <c r="S143" s="50">
        <f>IFERROR(IF(INDEX('AC&amp;M'!$N$10:$N$14,MATCH($F143,'AC&amp;M'!$B$10:$B$14,0))="","Cell will autofill based on response",INDEX('AC&amp;M'!$N$10:$N$14,MATCH($F143,'AC&amp;M'!$B$10:$B$14,0))),"N/A")</f>
        <v/>
      </c>
      <c r="T143" s="50">
        <f>IFERROR(IF(INDEX('GCE'!$N$10:$N$12,MATCH($F143,'GCE'!$B$10:$B$12,0))="","Cell will autofill based on response",INDEX('GCE'!$N$10:$N$12,MATCH($F143,'GCE'!$B$10:$B$12,0))),"N/A")</f>
        <v/>
      </c>
      <c r="U143" s="50">
        <f>IFERROR(IF(INDEX('Education'!$N$10:$N$13,MATCH($F143,'Education'!$B$10:$B$13,0))="","Cell will autofill based on response",INDEX('Education'!$N$10:$N$13,MATCH($F143,'Education'!$B$10:$B$13,0))),"N/A")</f>
        <v/>
      </c>
      <c r="V143" s="50">
        <f>IFERROR(IF(INDEX('SaSS'!$N$10:$N$12,MATCH($F143,'SaSS'!$B$10:$B$12,0))="","Cell will autofill based on response",INDEX('SaSS'!$N$10:$N$12,MATCH($F143,'SaSS'!$B$10:$B$12,0))),"N/A")</f>
        <v/>
      </c>
      <c r="W143" s="50">
        <f>IFERROR(IF(INDEX('Indigenous'!$N$10:$N$11,MATCH($F143,'Indigenous'!$B$10:$B$11,0))="","Cell will autofill based on response",INDEX('Indigenous'!$N$10:$N$11,MATCH($F143,'Indigenous'!$B$10:$B$11,0))),"N/A")</f>
        <v/>
      </c>
      <c r="X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IFERROR(IF(INDEX('CI&amp;S'!$O$10:$O$15,MATCH($F144,'CI&amp;S'!$B$10:$B$15,0))="","Cell will autofill based on response",INDEX('CI&amp;S'!$O$10:$O$15,MATCH($F144,'CI&amp;S'!$B$10:$B$15,0))),"N/A")</f>
        <v/>
      </c>
      <c r="M144" s="50">
        <f>IFERROR(IF(INDEX('CI&amp;S'!$O$22:$O$36,MATCH($F144,'CI&amp;S'!$B$22:$B$36,0))="","Cell will autofill based on response",INDEX('CI&amp;S'!$O$22:$O$36,MATCH($F144,'CI&amp;S'!$B$22:$B$36,0))),"N/A")</f>
        <v/>
      </c>
      <c r="N144" s="50">
        <f>IFERROR(IF(INDEX('CFOG'!$O$10:$O$16,MATCH($F144,'CFOG'!$B$10:$B$16,0))="","Cell will autofill based on response",INDEX('CFOG'!$O$10:$O$16,MATCH($F144,'CFOG'!$B$10:$B$16,0))),"N/A")</f>
        <v/>
      </c>
      <c r="O144" s="50">
        <f>IFERROR(IF(INDEX('CFOG'!$O$23:$O$24,MATCH($F144,'CFOG'!$B$23:$B$24,0))="","Cell will autofill based on response",INDEX('CFOG'!$O$23:$O$24,MATCH($F144,'CFOG'!$B$23:$B$24,0))),"N/A")</f>
        <v/>
      </c>
      <c r="P144" s="50">
        <f>IFERROR(IF(INDEX('ESG'!$O$10:$O$17,MATCH($F144,'ESG'!$B$10:$B$17,0))="","Cell will autofill based on response",INDEX('ESG'!$O$10:$O$17,MATCH($F144,'ESG'!$B$10:$B$17,0))),"N/A")</f>
        <v/>
      </c>
      <c r="Q144" s="50">
        <f>IFERROR(IF(INDEX('CIOG'!$O$10:$O$14,MATCH($F144,'CIOG'!$B$10:$B$14,0))="","Cell will autofill based on response",INDEX('CIOG'!$O$10:$O$14,MATCH($F144,'CIOG'!$B$10:$B$14,0))),"N/A")</f>
        <v/>
      </c>
      <c r="R144" s="50">
        <f>IFERROR(IF(INDEX('MRE'!$O$10:$O$18,MATCH($F144,'MRE'!$B$10:$B$18,0))="","Cell will autofill based on response",INDEX('MRE'!$O$10:$O$18,MATCH($F144,'MRE'!$B$10:$B$18,0))),"N/A")</f>
        <v/>
      </c>
      <c r="S144" s="50">
        <f>IFERROR(IF(INDEX('AC&amp;M'!$O$10:$O$14,MATCH($F144,'AC&amp;M'!$B$10:$B$14,0))="","Cell will autofill based on response",INDEX('AC&amp;M'!$O$10:$O$14,MATCH($F144,'AC&amp;M'!$B$10:$B$14,0))),"N/A")</f>
        <v/>
      </c>
      <c r="T144" s="50">
        <f>IFERROR(IF(INDEX('GCE'!$O$10:$O$12,MATCH($F144,'GCE'!$B$10:$B$12,0))="","Cell will autofill based on response",INDEX('GCE'!$O$10:$O$12,MATCH($F144,'GCE'!$B$10:$B$12,0))),"N/A")</f>
        <v/>
      </c>
      <c r="U144" s="50">
        <f>IFERROR(IF(INDEX('Education'!$O$10:$O$13,MATCH($F144,'Education'!$B$10:$B$13,0))="","Cell will autofill based on response",INDEX('Education'!$O$10:$O$13,MATCH($F144,'Education'!$B$10:$B$13,0))),"N/A")</f>
        <v/>
      </c>
      <c r="V144" s="50">
        <f>IFERROR(IF(INDEX('SaSS'!$O$10:$O$12,MATCH($F144,'SaSS'!$B$10:$B$12,0))="","Cell will autofill based on response",INDEX('SaSS'!$O$10:$O$12,MATCH($F144,'SaSS'!$B$10:$B$12,0))),"N/A")</f>
        <v/>
      </c>
      <c r="W144" s="50">
        <f>IFERROR(IF(INDEX('Indigenous'!$O$10:$O$11,MATCH($F144,'Indigenous'!$B$10:$B$11,0))="","Cell will autofill based on response",INDEX('Indigenous'!$O$10:$O$11,MATCH($F144,'Indigenous'!$B$10:$B$11,0))),"N/A")</f>
        <v/>
      </c>
      <c r="X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IFERROR(IF(INDEX('CI&amp;S'!$P$10:$P$15,MATCH($F145,'CI&amp;S'!$B$10:$B$15,0))="","Cell will autofill based on response",INDEX('CI&amp;S'!$P$10:$P$15,MATCH($F145,'CI&amp;S'!$B$10:$B$15,0))),"N/A")</f>
        <v/>
      </c>
      <c r="M145" s="50">
        <f>IFERROR(IF(INDEX('CI&amp;S'!$P$22:$P$36,MATCH($F145,'CI&amp;S'!$B$22:$B$36,0))="","Cell will autofill based on response",INDEX('CI&amp;S'!$P$22:$P$36,MATCH($F145,'CI&amp;S'!$B$22:$B$36,0))),"N/A")</f>
        <v/>
      </c>
      <c r="N145" s="50">
        <f>IFERROR(IF(INDEX('CFOG'!$P$10:$P$16,MATCH($F145,'CFOG'!$B$10:$B$16,0))="","Cell will autofill based on response",INDEX('CFOG'!$P$10:$P$16,MATCH($F145,'CFOG'!$B$10:$B$16,0))),"N/A")</f>
        <v/>
      </c>
      <c r="O145" s="50">
        <f>IFERROR(IF(INDEX('CFOG'!$P$23:$P$24,MATCH($F145,'CFOG'!$B$23:$B$24,0))="","Cell will autofill based on response",INDEX('CFOG'!$P$23:$P$24,MATCH($F145,'CFOG'!$B$23:$B$24,0))),"N/A")</f>
        <v/>
      </c>
      <c r="P145" s="50">
        <f>IFERROR(IF(INDEX('ESG'!$P$10:$P$17,MATCH($F145,'ESG'!$B$10:$B$17,0))="","Cell will autofill based on response",INDEX('ESG'!$P$10:$P$17,MATCH($F145,'ESG'!$B$10:$B$17,0))),"N/A")</f>
        <v/>
      </c>
      <c r="Q145" s="50">
        <f>IFERROR(IF(INDEX('CIOG'!$P$10:$P$14,MATCH($F145,'CIOG'!$B$10:$B$14,0))="","Cell will autofill based on response",INDEX('CIOG'!$P$10:$P$14,MATCH($F145,'CIOG'!$B$10:$B$14,0))),"N/A")</f>
        <v/>
      </c>
      <c r="R145" s="50">
        <f>IFERROR(IF(INDEX('MRE'!$P$10:$P$18,MATCH($F145,'MRE'!$B$10:$B$18,0))="","Cell will autofill based on response",INDEX('MRE'!$P$10:$P$18,MATCH($F145,'MRE'!$B$10:$B$18,0))),"N/A")</f>
        <v/>
      </c>
      <c r="S145" s="50">
        <f>IFERROR(IF(INDEX('AC&amp;M'!$P$10:$P$14,MATCH($F145,'AC&amp;M'!$B$10:$B$14,0))="","Cell will autofill based on response",INDEX('AC&amp;M'!$P$10:$P$14,MATCH($F145,'AC&amp;M'!$B$10:$B$14,0))),"N/A")</f>
        <v/>
      </c>
      <c r="T145" s="50">
        <f>IFERROR(IF(INDEX('GCE'!$P$10:$P$12,MATCH($F145,'GCE'!$B$10:$B$12,0))="","Cell will autofill based on response",INDEX('GCE'!$P$10:$P$12,MATCH($F145,'GCE'!$B$10:$B$12,0))),"N/A")</f>
        <v/>
      </c>
      <c r="U145" s="50">
        <f>IFERROR(IF(INDEX('Education'!$P$10:$P$13,MATCH($F145,'Education'!$B$10:$B$13,0))="","Cell will autofill based on response",INDEX('Education'!$P$10:$P$13,MATCH($F145,'Education'!$B$10:$B$13,0))),"N/A")</f>
        <v/>
      </c>
      <c r="V145" s="50">
        <f>IFERROR(IF(INDEX('SaSS'!$P$10:$P$12,MATCH($F145,'SaSS'!$B$10:$B$12,0))="","Cell will autofill based on response",INDEX('SaSS'!$P$10:$P$12,MATCH($F145,'SaSS'!$B$10:$B$12,0))),"N/A")</f>
        <v/>
      </c>
      <c r="W145" s="50">
        <f>IFERROR(IF(INDEX('Indigenous'!$P$10:$P$11,MATCH($F145,'Indigenous'!$B$10:$B$11,0))="","Cell will autofill based on response",INDEX('Indigenous'!$P$10:$P$11,MATCH($F145,'Indigenous'!$B$10:$B$11,0))),"N/A")</f>
        <v/>
      </c>
      <c r="X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IFERROR(IF(INDEX('CI&amp;S'!$L$10:$L$15,MATCH($F146,'CI&amp;S'!$B$10:$B$15,0))="","Cell will autofill based on response",INDEX('CI&amp;S'!$L$10:$L$15,MATCH($F146,'CI&amp;S'!$B$10:$B$15,0))),"N/A")</f>
        <v/>
      </c>
      <c r="M146" s="50">
        <f>IFERROR(IF(INDEX('CI&amp;S'!$L$22:$L$36,MATCH($F146,'CI&amp;S'!$B$22:$B$36,0))="","Cell will autofill based on response",INDEX('CI&amp;S'!$L$22:$L$36,MATCH($F146,'CI&amp;S'!$B$22:$B$36,0))),"N/A")</f>
        <v/>
      </c>
      <c r="N146" s="50">
        <f>IFERROR(IF(INDEX('CFOG'!$L$10:$L$16,MATCH($F146,'CFOG'!$B$10:$B$16,0))="","Cell will autofill based on response",INDEX('CFOG'!$L$10:$L$16,MATCH($F146,'CFOG'!$B$10:$B$16,0))),"N/A")</f>
        <v/>
      </c>
      <c r="O146" s="50">
        <f>IFERROR(IF(INDEX('CFOG'!$L$23:$L$24,MATCH($F146,'CFOG'!$B$23:$B$24,0))="","Cell will autofill based on response",INDEX('CFOG'!$L$23:$L$24,MATCH($F146,'CFOG'!$B$23:$B$24,0))),"N/A")</f>
        <v/>
      </c>
      <c r="P146" s="50">
        <f>IFERROR(IF(INDEX('ESG'!$L$10:$L$17,MATCH($F146,'ESG'!$B$10:$B$17,0))="","Cell will autofill based on response",INDEX('ESG'!$L$10:$L$17,MATCH($F146,'ESG'!$B$10:$B$17,0))),"N/A")</f>
        <v/>
      </c>
      <c r="Q146" s="50">
        <f>IFERROR(IF(INDEX('CIOG'!$L$10:$L$14,MATCH($F146,'CIOG'!$B$10:$B$14,0))="","Cell will autofill based on response",INDEX('CIOG'!$L$10:$L$14,MATCH($F146,'CIOG'!$B$10:$B$14,0))),"N/A")</f>
        <v/>
      </c>
      <c r="R146" s="50">
        <f>IFERROR(IF(INDEX('MRE'!$L$10:$L$18,MATCH($F146,'MRE'!$B$10:$B$18,0))="","Cell will autofill based on response",INDEX('MRE'!$L$10:$L$18,MATCH($F146,'MRE'!$B$10:$B$18,0))),"N/A")</f>
        <v/>
      </c>
      <c r="S146" s="50">
        <f>IFERROR(IF(INDEX('AC&amp;M'!$L$10:$L$14,MATCH($F146,'AC&amp;M'!$B$10:$B$14,0))="","Cell will autofill based on response",INDEX('AC&amp;M'!$L$10:$L$14,MATCH($F146,'AC&amp;M'!$B$10:$B$14,0))),"N/A")</f>
        <v/>
      </c>
      <c r="T146" s="50">
        <f>IFERROR(IF(INDEX('GCE'!$L$10:$L$12,MATCH($F146,'GCE'!$B$10:$B$12,0))="","Cell will autofill based on response",INDEX('GCE'!$L$10:$L$12,MATCH($F146,'GCE'!$B$10:$B$12,0))),"N/A")</f>
        <v/>
      </c>
      <c r="U146" s="50">
        <f>IFERROR(IF(INDEX('Education'!$L$10:$L$13,MATCH($F146,'Education'!$B$10:$B$13,0))="","Cell will autofill based on response",INDEX('Education'!$L$10:$L$13,MATCH($F146,'Education'!$B$10:$B$13,0))),"N/A")</f>
        <v/>
      </c>
      <c r="V146" s="50">
        <f>IFERROR(IF(INDEX('SaSS'!$L$10:$L$12,MATCH($F146,'SaSS'!$B$10:$B$12,0))="","Cell will autofill based on response",INDEX('SaSS'!$L$10:$L$12,MATCH($F146,'SaSS'!$B$10:$B$12,0))),"N/A")</f>
        <v/>
      </c>
      <c r="W146" s="50">
        <f>IFERROR(IF(INDEX('Indigenous'!$L$10:$L$11,MATCH($F146,'Indigenous'!$B$10:$B$11,0))="","Cell will autofill based on response",INDEX('Indigenous'!$L$10:$L$11,MATCH($F146,'Indigenous'!$B$10:$B$11,0))),"N/A")</f>
        <v/>
      </c>
      <c r="X146" s="50">
        <f>IFERROR(IF(INDEX('L&amp;R'!$L$10:$L$11,MATCH($F146,'L&amp;R'!$B$10:$B$11,0))="","Cell will autofill based on response",INDEX('L&amp;R'!$L$10:$L$11,MATCH($F146,'L&amp;R'!$B$10:$B$11,0))),"N/A")</f>
        <v/>
      </c>
      <c r="Z146" s="8">
        <f>SUMPRODUCT(--($H146:$X146&lt;&gt;"N/A"))</f>
        <v/>
      </c>
      <c r="AA146" s="8">
        <f>SUMPRODUCT(--(((($H146:$X146&lt;&gt;"N/A")*($H146:$X146&lt;&gt;"Cell will autofill based on response"))+(($H147:$X147&lt;&gt;"N/A")*($H147:$X147&lt;&gt;"Cell will autofill based on response")))&gt;0))</f>
        <v/>
      </c>
      <c r="AB146" s="8">
        <f>Z146-AA146</f>
        <v/>
      </c>
      <c r="AC146" s="8">
        <f>COUNTIF($H150:$X150,"Yes")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IFERROR(IF(INDEX('CI&amp;S'!$M$10:$M$15,MATCH($F147,'CI&amp;S'!$B$10:$B$15,0))="","Cell will autofill based on response",INDEX('CI&amp;S'!$M$10:$M$15,MATCH($F147,'CI&amp;S'!$B$10:$B$15,0))),"N/A")</f>
        <v/>
      </c>
      <c r="M147" s="50">
        <f>IFERROR(IF(INDEX('CI&amp;S'!$M$22:$M$36,MATCH($F147,'CI&amp;S'!$B$22:$B$36,0))="","Cell will autofill based on response",INDEX('CI&amp;S'!$M$22:$M$36,MATCH($F147,'CI&amp;S'!$B$22:$B$36,0))),"N/A")</f>
        <v/>
      </c>
      <c r="N147" s="50">
        <f>IFERROR(IF(INDEX('CFOG'!$M$10:$M$16,MATCH($F147,'CFOG'!$B$10:$B$16,0))="","Cell will autofill based on response",INDEX('CFOG'!$M$10:$M$16,MATCH($F147,'CFOG'!$B$10:$B$16,0))),"N/A")</f>
        <v/>
      </c>
      <c r="O147" s="50">
        <f>IFERROR(IF(INDEX('CFOG'!$M$23:$M$24,MATCH($F147,'CFOG'!$B$23:$B$24,0))="","Cell will autofill based on response",INDEX('CFOG'!$M$23:$M$24,MATCH($F147,'CFOG'!$B$23:$B$24,0))),"N/A")</f>
        <v/>
      </c>
      <c r="P147" s="50">
        <f>IFERROR(IF(INDEX('ESG'!$M$10:$M$17,MATCH($F147,'ESG'!$B$10:$B$17,0))="","Cell will autofill based on response",INDEX('ESG'!$M$10:$M$17,MATCH($F147,'ESG'!$B$10:$B$17,0))),"N/A")</f>
        <v/>
      </c>
      <c r="Q147" s="50">
        <f>IFERROR(IF(INDEX('CIOG'!$M$10:$M$14,MATCH($F147,'CIOG'!$B$10:$B$14,0))="","Cell will autofill based on response",INDEX('CIOG'!$M$10:$M$14,MATCH($F147,'CIOG'!$B$10:$B$14,0))),"N/A")</f>
        <v/>
      </c>
      <c r="R147" s="50">
        <f>IFERROR(IF(INDEX('MRE'!$M$10:$M$18,MATCH($F147,'MRE'!$B$10:$B$18,0))="","Cell will autofill based on response",INDEX('MRE'!$M$10:$M$18,MATCH($F147,'MRE'!$B$10:$B$18,0))),"N/A")</f>
        <v/>
      </c>
      <c r="S147" s="50">
        <f>IFERROR(IF(INDEX('AC&amp;M'!$M$10:$M$14,MATCH($F147,'AC&amp;M'!$B$10:$B$14,0))="","Cell will autofill based on response",INDEX('AC&amp;M'!$M$10:$M$14,MATCH($F147,'AC&amp;M'!$B$10:$B$14,0))),"N/A")</f>
        <v/>
      </c>
      <c r="T147" s="50">
        <f>IFERROR(IF(INDEX('GCE'!$M$10:$M$12,MATCH($F147,'GCE'!$B$10:$B$12,0))="","Cell will autofill based on response",INDEX('GCE'!$M$10:$M$12,MATCH($F147,'GCE'!$B$10:$B$12,0))),"N/A")</f>
        <v/>
      </c>
      <c r="U147" s="50">
        <f>IFERROR(IF(INDEX('Education'!$M$10:$M$13,MATCH($F147,'Education'!$B$10:$B$13,0))="","Cell will autofill based on response",INDEX('Education'!$M$10:$M$13,MATCH($F147,'Education'!$B$10:$B$13,0))),"N/A")</f>
        <v/>
      </c>
      <c r="V147" s="50">
        <f>IFERROR(IF(INDEX('SaSS'!$M$10:$M$12,MATCH($F147,'SaSS'!$B$10:$B$12,0))="","Cell will autofill based on response",INDEX('SaSS'!$M$10:$M$12,MATCH($F147,'SaSS'!$B$10:$B$12,0))),"N/A")</f>
        <v/>
      </c>
      <c r="W147" s="50">
        <f>IFERROR(IF(INDEX('Indigenous'!$M$10:$M$11,MATCH($F147,'Indigenous'!$B$10:$B$11,0))="","Cell will autofill based on response",INDEX('Indigenous'!$M$10:$M$11,MATCH($F147,'Indigenous'!$B$10:$B$11,0))),"N/A")</f>
        <v/>
      </c>
      <c r="X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IFERROR(IF(INDEX('CI&amp;S'!$N$10:$N$15,MATCH($F148,'CI&amp;S'!$B$10:$B$15,0))="","Cell will autofill based on response",INDEX('CI&amp;S'!$N$10:$N$15,MATCH($F148,'CI&amp;S'!$B$10:$B$15,0))),"N/A")</f>
        <v/>
      </c>
      <c r="M148" s="50">
        <f>IFERROR(IF(INDEX('CI&amp;S'!$N$22:$N$36,MATCH($F148,'CI&amp;S'!$B$22:$B$36,0))="","Cell will autofill based on response",INDEX('CI&amp;S'!$N$22:$N$36,MATCH($F148,'CI&amp;S'!$B$22:$B$36,0))),"N/A")</f>
        <v/>
      </c>
      <c r="N148" s="50">
        <f>IFERROR(IF(INDEX('CFOG'!$N$10:$N$16,MATCH($F148,'CFOG'!$B$10:$B$16,0))="","Cell will autofill based on response",INDEX('CFOG'!$N$10:$N$16,MATCH($F148,'CFOG'!$B$10:$B$16,0))),"N/A")</f>
        <v/>
      </c>
      <c r="O148" s="50">
        <f>IFERROR(IF(INDEX('CFOG'!$N$23:$N$24,MATCH($F148,'CFOG'!$B$23:$B$24,0))="","Cell will autofill based on response",INDEX('CFOG'!$N$23:$N$24,MATCH($F148,'CFOG'!$B$23:$B$24,0))),"N/A")</f>
        <v/>
      </c>
      <c r="P148" s="50">
        <f>IFERROR(IF(INDEX('ESG'!$N$10:$N$17,MATCH($F148,'ESG'!$B$10:$B$17,0))="","Cell will autofill based on response",INDEX('ESG'!$N$10:$N$17,MATCH($F148,'ESG'!$B$10:$B$17,0))),"N/A")</f>
        <v/>
      </c>
      <c r="Q148" s="50">
        <f>IFERROR(IF(INDEX('CIOG'!$N$10:$N$14,MATCH($F148,'CIOG'!$B$10:$B$14,0))="","Cell will autofill based on response",INDEX('CIOG'!$N$10:$N$14,MATCH($F148,'CIOG'!$B$10:$B$14,0))),"N/A")</f>
        <v/>
      </c>
      <c r="R148" s="50">
        <f>IFERROR(IF(INDEX('MRE'!$N$10:$N$18,MATCH($F148,'MRE'!$B$10:$B$18,0))="","Cell will autofill based on response",INDEX('MRE'!$N$10:$N$18,MATCH($F148,'MRE'!$B$10:$B$18,0))),"N/A")</f>
        <v/>
      </c>
      <c r="S148" s="50">
        <f>IFERROR(IF(INDEX('AC&amp;M'!$N$10:$N$14,MATCH($F148,'AC&amp;M'!$B$10:$B$14,0))="","Cell will autofill based on response",INDEX('AC&amp;M'!$N$10:$N$14,MATCH($F148,'AC&amp;M'!$B$10:$B$14,0))),"N/A")</f>
        <v/>
      </c>
      <c r="T148" s="50">
        <f>IFERROR(IF(INDEX('GCE'!$N$10:$N$12,MATCH($F148,'GCE'!$B$10:$B$12,0))="","Cell will autofill based on response",INDEX('GCE'!$N$10:$N$12,MATCH($F148,'GCE'!$B$10:$B$12,0))),"N/A")</f>
        <v/>
      </c>
      <c r="U148" s="50">
        <f>IFERROR(IF(INDEX('Education'!$N$10:$N$13,MATCH($F148,'Education'!$B$10:$B$13,0))="","Cell will autofill based on response",INDEX('Education'!$N$10:$N$13,MATCH($F148,'Education'!$B$10:$B$13,0))),"N/A")</f>
        <v/>
      </c>
      <c r="V148" s="50">
        <f>IFERROR(IF(INDEX('SaSS'!$N$10:$N$12,MATCH($F148,'SaSS'!$B$10:$B$12,0))="","Cell will autofill based on response",INDEX('SaSS'!$N$10:$N$12,MATCH($F148,'SaSS'!$B$10:$B$12,0))),"N/A")</f>
        <v/>
      </c>
      <c r="W148" s="50">
        <f>IFERROR(IF(INDEX('Indigenous'!$N$10:$N$11,MATCH($F148,'Indigenous'!$B$10:$B$11,0))="","Cell will autofill based on response",INDEX('Indigenous'!$N$10:$N$11,MATCH($F148,'Indigenous'!$B$10:$B$11,0))),"N/A")</f>
        <v/>
      </c>
      <c r="X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IFERROR(IF(INDEX('CI&amp;S'!$O$10:$O$15,MATCH($F149,'CI&amp;S'!$B$10:$B$15,0))="","Cell will autofill based on response",INDEX('CI&amp;S'!$O$10:$O$15,MATCH($F149,'CI&amp;S'!$B$10:$B$15,0))),"N/A")</f>
        <v/>
      </c>
      <c r="M149" s="50">
        <f>IFERROR(IF(INDEX('CI&amp;S'!$O$22:$O$36,MATCH($F149,'CI&amp;S'!$B$22:$B$36,0))="","Cell will autofill based on response",INDEX('CI&amp;S'!$O$22:$O$36,MATCH($F149,'CI&amp;S'!$B$22:$B$36,0))),"N/A")</f>
        <v/>
      </c>
      <c r="N149" s="50">
        <f>IFERROR(IF(INDEX('CFOG'!$O$10:$O$16,MATCH($F149,'CFOG'!$B$10:$B$16,0))="","Cell will autofill based on response",INDEX('CFOG'!$O$10:$O$16,MATCH($F149,'CFOG'!$B$10:$B$16,0))),"N/A")</f>
        <v/>
      </c>
      <c r="O149" s="50">
        <f>IFERROR(IF(INDEX('CFOG'!$O$23:$O$24,MATCH($F149,'CFOG'!$B$23:$B$24,0))="","Cell will autofill based on response",INDEX('CFOG'!$O$23:$O$24,MATCH($F149,'CFOG'!$B$23:$B$24,0))),"N/A")</f>
        <v/>
      </c>
      <c r="P149" s="50">
        <f>IFERROR(IF(INDEX('ESG'!$O$10:$O$17,MATCH($F149,'ESG'!$B$10:$B$17,0))="","Cell will autofill based on response",INDEX('ESG'!$O$10:$O$17,MATCH($F149,'ESG'!$B$10:$B$17,0))),"N/A")</f>
        <v/>
      </c>
      <c r="Q149" s="50">
        <f>IFERROR(IF(INDEX('CIOG'!$O$10:$O$14,MATCH($F149,'CIOG'!$B$10:$B$14,0))="","Cell will autofill based on response",INDEX('CIOG'!$O$10:$O$14,MATCH($F149,'CIOG'!$B$10:$B$14,0))),"N/A")</f>
        <v/>
      </c>
      <c r="R149" s="50">
        <f>IFERROR(IF(INDEX('MRE'!$O$10:$O$18,MATCH($F149,'MRE'!$B$10:$B$18,0))="","Cell will autofill based on response",INDEX('MRE'!$O$10:$O$18,MATCH($F149,'MRE'!$B$10:$B$18,0))),"N/A")</f>
        <v/>
      </c>
      <c r="S149" s="50">
        <f>IFERROR(IF(INDEX('AC&amp;M'!$O$10:$O$14,MATCH($F149,'AC&amp;M'!$B$10:$B$14,0))="","Cell will autofill based on response",INDEX('AC&amp;M'!$O$10:$O$14,MATCH($F149,'AC&amp;M'!$B$10:$B$14,0))),"N/A")</f>
        <v/>
      </c>
      <c r="T149" s="50">
        <f>IFERROR(IF(INDEX('GCE'!$O$10:$O$12,MATCH($F149,'GCE'!$B$10:$B$12,0))="","Cell will autofill based on response",INDEX('GCE'!$O$10:$O$12,MATCH($F149,'GCE'!$B$10:$B$12,0))),"N/A")</f>
        <v/>
      </c>
      <c r="U149" s="50">
        <f>IFERROR(IF(INDEX('Education'!$O$10:$O$13,MATCH($F149,'Education'!$B$10:$B$13,0))="","Cell will autofill based on response",INDEX('Education'!$O$10:$O$13,MATCH($F149,'Education'!$B$10:$B$13,0))),"N/A")</f>
        <v/>
      </c>
      <c r="V149" s="50">
        <f>IFERROR(IF(INDEX('SaSS'!$O$10:$O$12,MATCH($F149,'SaSS'!$B$10:$B$12,0))="","Cell will autofill based on response",INDEX('SaSS'!$O$10:$O$12,MATCH($F149,'SaSS'!$B$10:$B$12,0))),"N/A")</f>
        <v/>
      </c>
      <c r="W149" s="50">
        <f>IFERROR(IF(INDEX('Indigenous'!$O$10:$O$11,MATCH($F149,'Indigenous'!$B$10:$B$11,0))="","Cell will autofill based on response",INDEX('Indigenous'!$O$10:$O$11,MATCH($F149,'Indigenous'!$B$10:$B$11,0))),"N/A")</f>
        <v/>
      </c>
      <c r="X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IFERROR(IF(INDEX('CI&amp;S'!$P$10:$P$15,MATCH($F150,'CI&amp;S'!$B$10:$B$15,0))="","Cell will autofill based on response",INDEX('CI&amp;S'!$P$10:$P$15,MATCH($F150,'CI&amp;S'!$B$10:$B$15,0))),"N/A")</f>
        <v/>
      </c>
      <c r="M150" s="50">
        <f>IFERROR(IF(INDEX('CI&amp;S'!$P$22:$P$36,MATCH($F150,'CI&amp;S'!$B$22:$B$36,0))="","Cell will autofill based on response",INDEX('CI&amp;S'!$P$22:$P$36,MATCH($F150,'CI&amp;S'!$B$22:$B$36,0))),"N/A")</f>
        <v/>
      </c>
      <c r="N150" s="50">
        <f>IFERROR(IF(INDEX('CFOG'!$P$10:$P$16,MATCH($F150,'CFOG'!$B$10:$B$16,0))="","Cell will autofill based on response",INDEX('CFOG'!$P$10:$P$16,MATCH($F150,'CFOG'!$B$10:$B$16,0))),"N/A")</f>
        <v/>
      </c>
      <c r="O150" s="50">
        <f>IFERROR(IF(INDEX('CFOG'!$P$23:$P$24,MATCH($F150,'CFOG'!$B$23:$B$24,0))="","Cell will autofill based on response",INDEX('CFOG'!$P$23:$P$24,MATCH($F150,'CFOG'!$B$23:$B$24,0))),"N/A")</f>
        <v/>
      </c>
      <c r="P150" s="50">
        <f>IFERROR(IF(INDEX('ESG'!$P$10:$P$17,MATCH($F150,'ESG'!$B$10:$B$17,0))="","Cell will autofill based on response",INDEX('ESG'!$P$10:$P$17,MATCH($F150,'ESG'!$B$10:$B$17,0))),"N/A")</f>
        <v/>
      </c>
      <c r="Q150" s="50">
        <f>IFERROR(IF(INDEX('CIOG'!$P$10:$P$14,MATCH($F150,'CIOG'!$B$10:$B$14,0))="","Cell will autofill based on response",INDEX('CIOG'!$P$10:$P$14,MATCH($F150,'CIOG'!$B$10:$B$14,0))),"N/A")</f>
        <v/>
      </c>
      <c r="R150" s="50">
        <f>IFERROR(IF(INDEX('MRE'!$P$10:$P$18,MATCH($F150,'MRE'!$B$10:$B$18,0))="","Cell will autofill based on response",INDEX('MRE'!$P$10:$P$18,MATCH($F150,'MRE'!$B$10:$B$18,0))),"N/A")</f>
        <v/>
      </c>
      <c r="S150" s="50">
        <f>IFERROR(IF(INDEX('AC&amp;M'!$P$10:$P$14,MATCH($F150,'AC&amp;M'!$B$10:$B$14,0))="","Cell will autofill based on response",INDEX('AC&amp;M'!$P$10:$P$14,MATCH($F150,'AC&amp;M'!$B$10:$B$14,0))),"N/A")</f>
        <v/>
      </c>
      <c r="T150" s="50">
        <f>IFERROR(IF(INDEX('GCE'!$P$10:$P$12,MATCH($F150,'GCE'!$B$10:$B$12,0))="","Cell will autofill based on response",INDEX('GCE'!$P$10:$P$12,MATCH($F150,'GCE'!$B$10:$B$12,0))),"N/A")</f>
        <v/>
      </c>
      <c r="U150" s="50">
        <f>IFERROR(IF(INDEX('Education'!$P$10:$P$13,MATCH($F150,'Education'!$B$10:$B$13,0))="","Cell will autofill based on response",INDEX('Education'!$P$10:$P$13,MATCH($F150,'Education'!$B$10:$B$13,0))),"N/A")</f>
        <v/>
      </c>
      <c r="V150" s="50">
        <f>IFERROR(IF(INDEX('SaSS'!$P$10:$P$12,MATCH($F150,'SaSS'!$B$10:$B$12,0))="","Cell will autofill based on response",INDEX('SaSS'!$P$10:$P$12,MATCH($F150,'SaSS'!$B$10:$B$12,0))),"N/A")</f>
        <v/>
      </c>
      <c r="W150" s="50">
        <f>IFERROR(IF(INDEX('Indigenous'!$P$10:$P$11,MATCH($F150,'Indigenous'!$B$10:$B$11,0))="","Cell will autofill based on response",INDEX('Indigenous'!$P$10:$P$11,MATCH($F150,'Indigenous'!$B$10:$B$11,0))),"N/A")</f>
        <v/>
      </c>
      <c r="X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IFERROR(IF(INDEX('CI&amp;S'!$L$10:$L$15,MATCH($F151,'CI&amp;S'!$B$10:$B$15,0))="","Cell will autofill based on response",INDEX('CI&amp;S'!$L$10:$L$15,MATCH($F151,'CI&amp;S'!$B$10:$B$15,0))),"N/A")</f>
        <v/>
      </c>
      <c r="M151" s="50">
        <f>IFERROR(IF(INDEX('CI&amp;S'!$L$22:$L$36,MATCH($F151,'CI&amp;S'!$B$22:$B$36,0))="","Cell will autofill based on response",INDEX('CI&amp;S'!$L$22:$L$36,MATCH($F151,'CI&amp;S'!$B$22:$B$36,0))),"N/A")</f>
        <v/>
      </c>
      <c r="N151" s="50">
        <f>IFERROR(IF(INDEX('CFOG'!$L$10:$L$16,MATCH($F151,'CFOG'!$B$10:$B$16,0))="","Cell will autofill based on response",INDEX('CFOG'!$L$10:$L$16,MATCH($F151,'CFOG'!$B$10:$B$16,0))),"N/A")</f>
        <v/>
      </c>
      <c r="O151" s="50">
        <f>IFERROR(IF(INDEX('CFOG'!$L$23:$L$24,MATCH($F151,'CFOG'!$B$23:$B$24,0))="","Cell will autofill based on response",INDEX('CFOG'!$L$23:$L$24,MATCH($F151,'CFOG'!$B$23:$B$24,0))),"N/A")</f>
        <v/>
      </c>
      <c r="P151" s="50">
        <f>IFERROR(IF(INDEX('ESG'!$L$10:$L$17,MATCH($F151,'ESG'!$B$10:$B$17,0))="","Cell will autofill based on response",INDEX('ESG'!$L$10:$L$17,MATCH($F151,'ESG'!$B$10:$B$17,0))),"N/A")</f>
        <v/>
      </c>
      <c r="Q151" s="50">
        <f>IFERROR(IF(INDEX('CIOG'!$L$10:$L$14,MATCH($F151,'CIOG'!$B$10:$B$14,0))="","Cell will autofill based on response",INDEX('CIOG'!$L$10:$L$14,MATCH($F151,'CIOG'!$B$10:$B$14,0))),"N/A")</f>
        <v/>
      </c>
      <c r="R151" s="50">
        <f>IFERROR(IF(INDEX('MRE'!$L$10:$L$18,MATCH($F151,'MRE'!$B$10:$B$18,0))="","Cell will autofill based on response",INDEX('MRE'!$L$10:$L$18,MATCH($F151,'MRE'!$B$10:$B$18,0))),"N/A")</f>
        <v/>
      </c>
      <c r="S151" s="50">
        <f>IFERROR(IF(INDEX('AC&amp;M'!$L$10:$L$14,MATCH($F151,'AC&amp;M'!$B$10:$B$14,0))="","Cell will autofill based on response",INDEX('AC&amp;M'!$L$10:$L$14,MATCH($F151,'AC&amp;M'!$B$10:$B$14,0))),"N/A")</f>
        <v/>
      </c>
      <c r="T151" s="50">
        <f>IFERROR(IF(INDEX('GCE'!$L$10:$L$12,MATCH($F151,'GCE'!$B$10:$B$12,0))="","Cell will autofill based on response",INDEX('GCE'!$L$10:$L$12,MATCH($F151,'GCE'!$B$10:$B$12,0))),"N/A")</f>
        <v/>
      </c>
      <c r="U151" s="50">
        <f>IFERROR(IF(INDEX('Education'!$L$10:$L$13,MATCH($F151,'Education'!$B$10:$B$13,0))="","Cell will autofill based on response",INDEX('Education'!$L$10:$L$13,MATCH($F151,'Education'!$B$10:$B$13,0))),"N/A")</f>
        <v/>
      </c>
      <c r="V151" s="50">
        <f>IFERROR(IF(INDEX('SaSS'!$L$10:$L$12,MATCH($F151,'SaSS'!$B$10:$B$12,0))="","Cell will autofill based on response",INDEX('SaSS'!$L$10:$L$12,MATCH($F151,'SaSS'!$B$10:$B$12,0))),"N/A")</f>
        <v/>
      </c>
      <c r="W151" s="50">
        <f>IFERROR(IF(INDEX('Indigenous'!$L$10:$L$11,MATCH($F151,'Indigenous'!$B$10:$B$11,0))="","Cell will autofill based on response",INDEX('Indigenous'!$L$10:$L$11,MATCH($F151,'Indigenous'!$B$10:$B$11,0))),"N/A")</f>
        <v/>
      </c>
      <c r="X151" s="50">
        <f>IFERROR(IF(INDEX('L&amp;R'!$L$10:$L$11,MATCH($F151,'L&amp;R'!$B$10:$B$11,0))="","Cell will autofill based on response",INDEX('L&amp;R'!$L$10:$L$11,MATCH($F151,'L&amp;R'!$B$10:$B$11,0))),"N/A")</f>
        <v/>
      </c>
      <c r="Z151" s="8">
        <f>SUMPRODUCT(--($H151:$X151&lt;&gt;"N/A"))</f>
        <v/>
      </c>
      <c r="AA151" s="8">
        <f>SUMPRODUCT(--(((($H151:$X151&lt;&gt;"N/A")*($H151:$X151&lt;&gt;"Cell will autofill based on response"))+(($H152:$X152&lt;&gt;"N/A")*($H152:$X152&lt;&gt;"Cell will autofill based on response")))&gt;0))</f>
        <v/>
      </c>
      <c r="AB151" s="8">
        <f>Z151-AA151</f>
        <v/>
      </c>
      <c r="AC151" s="8">
        <f>COUNTIF($H155:$X155,"Yes")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IFERROR(IF(INDEX('CI&amp;S'!$M$10:$M$15,MATCH($F152,'CI&amp;S'!$B$10:$B$15,0))="","Cell will autofill based on response",INDEX('CI&amp;S'!$M$10:$M$15,MATCH($F152,'CI&amp;S'!$B$10:$B$15,0))),"N/A")</f>
        <v/>
      </c>
      <c r="M152" s="50">
        <f>IFERROR(IF(INDEX('CI&amp;S'!$M$22:$M$36,MATCH($F152,'CI&amp;S'!$B$22:$B$36,0))="","Cell will autofill based on response",INDEX('CI&amp;S'!$M$22:$M$36,MATCH($F152,'CI&amp;S'!$B$22:$B$36,0))),"N/A")</f>
        <v/>
      </c>
      <c r="N152" s="50">
        <f>IFERROR(IF(INDEX('CFOG'!$M$10:$M$16,MATCH($F152,'CFOG'!$B$10:$B$16,0))="","Cell will autofill based on response",INDEX('CFOG'!$M$10:$M$16,MATCH($F152,'CFOG'!$B$10:$B$16,0))),"N/A")</f>
        <v/>
      </c>
      <c r="O152" s="50">
        <f>IFERROR(IF(INDEX('CFOG'!$M$23:$M$24,MATCH($F152,'CFOG'!$B$23:$B$24,0))="","Cell will autofill based on response",INDEX('CFOG'!$M$23:$M$24,MATCH($F152,'CFOG'!$B$23:$B$24,0))),"N/A")</f>
        <v/>
      </c>
      <c r="P152" s="50">
        <f>IFERROR(IF(INDEX('ESG'!$M$10:$M$17,MATCH($F152,'ESG'!$B$10:$B$17,0))="","Cell will autofill based on response",INDEX('ESG'!$M$10:$M$17,MATCH($F152,'ESG'!$B$10:$B$17,0))),"N/A")</f>
        <v/>
      </c>
      <c r="Q152" s="50">
        <f>IFERROR(IF(INDEX('CIOG'!$M$10:$M$14,MATCH($F152,'CIOG'!$B$10:$B$14,0))="","Cell will autofill based on response",INDEX('CIOG'!$M$10:$M$14,MATCH($F152,'CIOG'!$B$10:$B$14,0))),"N/A")</f>
        <v/>
      </c>
      <c r="R152" s="50">
        <f>IFERROR(IF(INDEX('MRE'!$M$10:$M$18,MATCH($F152,'MRE'!$B$10:$B$18,0))="","Cell will autofill based on response",INDEX('MRE'!$M$10:$M$18,MATCH($F152,'MRE'!$B$10:$B$18,0))),"N/A")</f>
        <v/>
      </c>
      <c r="S152" s="50">
        <f>IFERROR(IF(INDEX('AC&amp;M'!$M$10:$M$14,MATCH($F152,'AC&amp;M'!$B$10:$B$14,0))="","Cell will autofill based on response",INDEX('AC&amp;M'!$M$10:$M$14,MATCH($F152,'AC&amp;M'!$B$10:$B$14,0))),"N/A")</f>
        <v/>
      </c>
      <c r="T152" s="50">
        <f>IFERROR(IF(INDEX('GCE'!$M$10:$M$12,MATCH($F152,'GCE'!$B$10:$B$12,0))="","Cell will autofill based on response",INDEX('GCE'!$M$10:$M$12,MATCH($F152,'GCE'!$B$10:$B$12,0))),"N/A")</f>
        <v/>
      </c>
      <c r="U152" s="50">
        <f>IFERROR(IF(INDEX('Education'!$M$10:$M$13,MATCH($F152,'Education'!$B$10:$B$13,0))="","Cell will autofill based on response",INDEX('Education'!$M$10:$M$13,MATCH($F152,'Education'!$B$10:$B$13,0))),"N/A")</f>
        <v/>
      </c>
      <c r="V152" s="50">
        <f>IFERROR(IF(INDEX('SaSS'!$M$10:$M$12,MATCH($F152,'SaSS'!$B$10:$B$12,0))="","Cell will autofill based on response",INDEX('SaSS'!$M$10:$M$12,MATCH($F152,'SaSS'!$B$10:$B$12,0))),"N/A")</f>
        <v/>
      </c>
      <c r="W152" s="50">
        <f>IFERROR(IF(INDEX('Indigenous'!$M$10:$M$11,MATCH($F152,'Indigenous'!$B$10:$B$11,0))="","Cell will autofill based on response",INDEX('Indigenous'!$M$10:$M$11,MATCH($F152,'Indigenous'!$B$10:$B$11,0))),"N/A")</f>
        <v/>
      </c>
      <c r="X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IFERROR(IF(INDEX('CI&amp;S'!$N$10:$N$15,MATCH($F153,'CI&amp;S'!$B$10:$B$15,0))="","Cell will autofill based on response",INDEX('CI&amp;S'!$N$10:$N$15,MATCH($F153,'CI&amp;S'!$B$10:$B$15,0))),"N/A")</f>
        <v/>
      </c>
      <c r="M153" s="50">
        <f>IFERROR(IF(INDEX('CI&amp;S'!$N$22:$N$36,MATCH($F153,'CI&amp;S'!$B$22:$B$36,0))="","Cell will autofill based on response",INDEX('CI&amp;S'!$N$22:$N$36,MATCH($F153,'CI&amp;S'!$B$22:$B$36,0))),"N/A")</f>
        <v/>
      </c>
      <c r="N153" s="50">
        <f>IFERROR(IF(INDEX('CFOG'!$N$10:$N$16,MATCH($F153,'CFOG'!$B$10:$B$16,0))="","Cell will autofill based on response",INDEX('CFOG'!$N$10:$N$16,MATCH($F153,'CFOG'!$B$10:$B$16,0))),"N/A")</f>
        <v/>
      </c>
      <c r="O153" s="50">
        <f>IFERROR(IF(INDEX('CFOG'!$N$23:$N$24,MATCH($F153,'CFOG'!$B$23:$B$24,0))="","Cell will autofill based on response",INDEX('CFOG'!$N$23:$N$24,MATCH($F153,'CFOG'!$B$23:$B$24,0))),"N/A")</f>
        <v/>
      </c>
      <c r="P153" s="50">
        <f>IFERROR(IF(INDEX('ESG'!$N$10:$N$17,MATCH($F153,'ESG'!$B$10:$B$17,0))="","Cell will autofill based on response",INDEX('ESG'!$N$10:$N$17,MATCH($F153,'ESG'!$B$10:$B$17,0))),"N/A")</f>
        <v/>
      </c>
      <c r="Q153" s="50">
        <f>IFERROR(IF(INDEX('CIOG'!$N$10:$N$14,MATCH($F153,'CIOG'!$B$10:$B$14,0))="","Cell will autofill based on response",INDEX('CIOG'!$N$10:$N$14,MATCH($F153,'CIOG'!$B$10:$B$14,0))),"N/A")</f>
        <v/>
      </c>
      <c r="R153" s="50">
        <f>IFERROR(IF(INDEX('MRE'!$N$10:$N$18,MATCH($F153,'MRE'!$B$10:$B$18,0))="","Cell will autofill based on response",INDEX('MRE'!$N$10:$N$18,MATCH($F153,'MRE'!$B$10:$B$18,0))),"N/A")</f>
        <v/>
      </c>
      <c r="S153" s="50">
        <f>IFERROR(IF(INDEX('AC&amp;M'!$N$10:$N$14,MATCH($F153,'AC&amp;M'!$B$10:$B$14,0))="","Cell will autofill based on response",INDEX('AC&amp;M'!$N$10:$N$14,MATCH($F153,'AC&amp;M'!$B$10:$B$14,0))),"N/A")</f>
        <v/>
      </c>
      <c r="T153" s="50">
        <f>IFERROR(IF(INDEX('GCE'!$N$10:$N$12,MATCH($F153,'GCE'!$B$10:$B$12,0))="","Cell will autofill based on response",INDEX('GCE'!$N$10:$N$12,MATCH($F153,'GCE'!$B$10:$B$12,0))),"N/A")</f>
        <v/>
      </c>
      <c r="U153" s="50">
        <f>IFERROR(IF(INDEX('Education'!$N$10:$N$13,MATCH($F153,'Education'!$B$10:$B$13,0))="","Cell will autofill based on response",INDEX('Education'!$N$10:$N$13,MATCH($F153,'Education'!$B$10:$B$13,0))),"N/A")</f>
        <v/>
      </c>
      <c r="V153" s="50">
        <f>IFERROR(IF(INDEX('SaSS'!$N$10:$N$12,MATCH($F153,'SaSS'!$B$10:$B$12,0))="","Cell will autofill based on response",INDEX('SaSS'!$N$10:$N$12,MATCH($F153,'SaSS'!$B$10:$B$12,0))),"N/A")</f>
        <v/>
      </c>
      <c r="W153" s="50">
        <f>IFERROR(IF(INDEX('Indigenous'!$N$10:$N$11,MATCH($F153,'Indigenous'!$B$10:$B$11,0))="","Cell will autofill based on response",INDEX('Indigenous'!$N$10:$N$11,MATCH($F153,'Indigenous'!$B$10:$B$11,0))),"N/A")</f>
        <v/>
      </c>
      <c r="X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IFERROR(IF(INDEX('CI&amp;S'!$O$10:$O$15,MATCH($F154,'CI&amp;S'!$B$10:$B$15,0))="","Cell will autofill based on response",INDEX('CI&amp;S'!$O$10:$O$15,MATCH($F154,'CI&amp;S'!$B$10:$B$15,0))),"N/A")</f>
        <v/>
      </c>
      <c r="M154" s="50">
        <f>IFERROR(IF(INDEX('CI&amp;S'!$O$22:$O$36,MATCH($F154,'CI&amp;S'!$B$22:$B$36,0))="","Cell will autofill based on response",INDEX('CI&amp;S'!$O$22:$O$36,MATCH($F154,'CI&amp;S'!$B$22:$B$36,0))),"N/A")</f>
        <v/>
      </c>
      <c r="N154" s="50">
        <f>IFERROR(IF(INDEX('CFOG'!$O$10:$O$16,MATCH($F154,'CFOG'!$B$10:$B$16,0))="","Cell will autofill based on response",INDEX('CFOG'!$O$10:$O$16,MATCH($F154,'CFOG'!$B$10:$B$16,0))),"N/A")</f>
        <v/>
      </c>
      <c r="O154" s="50">
        <f>IFERROR(IF(INDEX('CFOG'!$O$23:$O$24,MATCH($F154,'CFOG'!$B$23:$B$24,0))="","Cell will autofill based on response",INDEX('CFOG'!$O$23:$O$24,MATCH($F154,'CFOG'!$B$23:$B$24,0))),"N/A")</f>
        <v/>
      </c>
      <c r="P154" s="50">
        <f>IFERROR(IF(INDEX('ESG'!$O$10:$O$17,MATCH($F154,'ESG'!$B$10:$B$17,0))="","Cell will autofill based on response",INDEX('ESG'!$O$10:$O$17,MATCH($F154,'ESG'!$B$10:$B$17,0))),"N/A")</f>
        <v/>
      </c>
      <c r="Q154" s="50">
        <f>IFERROR(IF(INDEX('CIOG'!$O$10:$O$14,MATCH($F154,'CIOG'!$B$10:$B$14,0))="","Cell will autofill based on response",INDEX('CIOG'!$O$10:$O$14,MATCH($F154,'CIOG'!$B$10:$B$14,0))),"N/A")</f>
        <v/>
      </c>
      <c r="R154" s="50">
        <f>IFERROR(IF(INDEX('MRE'!$O$10:$O$18,MATCH($F154,'MRE'!$B$10:$B$18,0))="","Cell will autofill based on response",INDEX('MRE'!$O$10:$O$18,MATCH($F154,'MRE'!$B$10:$B$18,0))),"N/A")</f>
        <v/>
      </c>
      <c r="S154" s="50">
        <f>IFERROR(IF(INDEX('AC&amp;M'!$O$10:$O$14,MATCH($F154,'AC&amp;M'!$B$10:$B$14,0))="","Cell will autofill based on response",INDEX('AC&amp;M'!$O$10:$O$14,MATCH($F154,'AC&amp;M'!$B$10:$B$14,0))),"N/A")</f>
        <v/>
      </c>
      <c r="T154" s="50">
        <f>IFERROR(IF(INDEX('GCE'!$O$10:$O$12,MATCH($F154,'GCE'!$B$10:$B$12,0))="","Cell will autofill based on response",INDEX('GCE'!$O$10:$O$12,MATCH($F154,'GCE'!$B$10:$B$12,0))),"N/A")</f>
        <v/>
      </c>
      <c r="U154" s="50">
        <f>IFERROR(IF(INDEX('Education'!$O$10:$O$13,MATCH($F154,'Education'!$B$10:$B$13,0))="","Cell will autofill based on response",INDEX('Education'!$O$10:$O$13,MATCH($F154,'Education'!$B$10:$B$13,0))),"N/A")</f>
        <v/>
      </c>
      <c r="V154" s="50">
        <f>IFERROR(IF(INDEX('SaSS'!$O$10:$O$12,MATCH($F154,'SaSS'!$B$10:$B$12,0))="","Cell will autofill based on response",INDEX('SaSS'!$O$10:$O$12,MATCH($F154,'SaSS'!$B$10:$B$12,0))),"N/A")</f>
        <v/>
      </c>
      <c r="W154" s="50">
        <f>IFERROR(IF(INDEX('Indigenous'!$O$10:$O$11,MATCH($F154,'Indigenous'!$B$10:$B$11,0))="","Cell will autofill based on response",INDEX('Indigenous'!$O$10:$O$11,MATCH($F154,'Indigenous'!$B$10:$B$11,0))),"N/A")</f>
        <v/>
      </c>
      <c r="X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IFERROR(IF(INDEX('CI&amp;S'!$P$10:$P$15,MATCH($F155,'CI&amp;S'!$B$10:$B$15,0))="","Cell will autofill based on response",INDEX('CI&amp;S'!$P$10:$P$15,MATCH($F155,'CI&amp;S'!$B$10:$B$15,0))),"N/A")</f>
        <v/>
      </c>
      <c r="M155" s="50">
        <f>IFERROR(IF(INDEX('CI&amp;S'!$P$22:$P$36,MATCH($F155,'CI&amp;S'!$B$22:$B$36,0))="","Cell will autofill based on response",INDEX('CI&amp;S'!$P$22:$P$36,MATCH($F155,'CI&amp;S'!$B$22:$B$36,0))),"N/A")</f>
        <v/>
      </c>
      <c r="N155" s="50">
        <f>IFERROR(IF(INDEX('CFOG'!$P$10:$P$16,MATCH($F155,'CFOG'!$B$10:$B$16,0))="","Cell will autofill based on response",INDEX('CFOG'!$P$10:$P$16,MATCH($F155,'CFOG'!$B$10:$B$16,0))),"N/A")</f>
        <v/>
      </c>
      <c r="O155" s="50">
        <f>IFERROR(IF(INDEX('CFOG'!$P$23:$P$24,MATCH($F155,'CFOG'!$B$23:$B$24,0))="","Cell will autofill based on response",INDEX('CFOG'!$P$23:$P$24,MATCH($F155,'CFOG'!$B$23:$B$24,0))),"N/A")</f>
        <v/>
      </c>
      <c r="P155" s="50">
        <f>IFERROR(IF(INDEX('ESG'!$P$10:$P$17,MATCH($F155,'ESG'!$B$10:$B$17,0))="","Cell will autofill based on response",INDEX('ESG'!$P$10:$P$17,MATCH($F155,'ESG'!$B$10:$B$17,0))),"N/A")</f>
        <v/>
      </c>
      <c r="Q155" s="50">
        <f>IFERROR(IF(INDEX('CIOG'!$P$10:$P$14,MATCH($F155,'CIOG'!$B$10:$B$14,0))="","Cell will autofill based on response",INDEX('CIOG'!$P$10:$P$14,MATCH($F155,'CIOG'!$B$10:$B$14,0))),"N/A")</f>
        <v/>
      </c>
      <c r="R155" s="50">
        <f>IFERROR(IF(INDEX('MRE'!$P$10:$P$18,MATCH($F155,'MRE'!$B$10:$B$18,0))="","Cell will autofill based on response",INDEX('MRE'!$P$10:$P$18,MATCH($F155,'MRE'!$B$10:$B$18,0))),"N/A")</f>
        <v/>
      </c>
      <c r="S155" s="50">
        <f>IFERROR(IF(INDEX('AC&amp;M'!$P$10:$P$14,MATCH($F155,'AC&amp;M'!$B$10:$B$14,0))="","Cell will autofill based on response",INDEX('AC&amp;M'!$P$10:$P$14,MATCH($F155,'AC&amp;M'!$B$10:$B$14,0))),"N/A")</f>
        <v/>
      </c>
      <c r="T155" s="50">
        <f>IFERROR(IF(INDEX('GCE'!$P$10:$P$12,MATCH($F155,'GCE'!$B$10:$B$12,0))="","Cell will autofill based on response",INDEX('GCE'!$P$10:$P$12,MATCH($F155,'GCE'!$B$10:$B$12,0))),"N/A")</f>
        <v/>
      </c>
      <c r="U155" s="50">
        <f>IFERROR(IF(INDEX('Education'!$P$10:$P$13,MATCH($F155,'Education'!$B$10:$B$13,0))="","Cell will autofill based on response",INDEX('Education'!$P$10:$P$13,MATCH($F155,'Education'!$B$10:$B$13,0))),"N/A")</f>
        <v/>
      </c>
      <c r="V155" s="50">
        <f>IFERROR(IF(INDEX('SaSS'!$P$10:$P$12,MATCH($F155,'SaSS'!$B$10:$B$12,0))="","Cell will autofill based on response",INDEX('SaSS'!$P$10:$P$12,MATCH($F155,'SaSS'!$B$10:$B$12,0))),"N/A")</f>
        <v/>
      </c>
      <c r="W155" s="50">
        <f>IFERROR(IF(INDEX('Indigenous'!$P$10:$P$11,MATCH($F155,'Indigenous'!$B$10:$B$11,0))="","Cell will autofill based on response",INDEX('Indigenous'!$P$10:$P$11,MATCH($F155,'Indigenous'!$B$10:$B$11,0))),"N/A")</f>
        <v/>
      </c>
      <c r="X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IFERROR(IF(INDEX('CI&amp;S'!$L$10:$L$15,MATCH($F156,'CI&amp;S'!$B$10:$B$15,0))="","Cell will autofill based on response",INDEX('CI&amp;S'!$L$10:$L$15,MATCH($F156,'CI&amp;S'!$B$10:$B$15,0))),"N/A")</f>
        <v/>
      </c>
      <c r="M156" s="50">
        <f>IFERROR(IF(INDEX('CI&amp;S'!$L$22:$L$36,MATCH($F156,'CI&amp;S'!$B$22:$B$36,0))="","Cell will autofill based on response",INDEX('CI&amp;S'!$L$22:$L$36,MATCH($F156,'CI&amp;S'!$B$22:$B$36,0))),"N/A")</f>
        <v/>
      </c>
      <c r="N156" s="50">
        <f>IFERROR(IF(INDEX('CFOG'!$L$10:$L$16,MATCH($F156,'CFOG'!$B$10:$B$16,0))="","Cell will autofill based on response",INDEX('CFOG'!$L$10:$L$16,MATCH($F156,'CFOG'!$B$10:$B$16,0))),"N/A")</f>
        <v/>
      </c>
      <c r="O156" s="50">
        <f>IFERROR(IF(INDEX('CFOG'!$L$23:$L$24,MATCH($F156,'CFOG'!$B$23:$B$24,0))="","Cell will autofill based on response",INDEX('CFOG'!$L$23:$L$24,MATCH($F156,'CFOG'!$B$23:$B$24,0))),"N/A")</f>
        <v/>
      </c>
      <c r="P156" s="50">
        <f>IFERROR(IF(INDEX('ESG'!$L$10:$L$17,MATCH($F156,'ESG'!$B$10:$B$17,0))="","Cell will autofill based on response",INDEX('ESG'!$L$10:$L$17,MATCH($F156,'ESG'!$B$10:$B$17,0))),"N/A")</f>
        <v/>
      </c>
      <c r="Q156" s="50">
        <f>IFERROR(IF(INDEX('CIOG'!$L$10:$L$14,MATCH($F156,'CIOG'!$B$10:$B$14,0))="","Cell will autofill based on response",INDEX('CIOG'!$L$10:$L$14,MATCH($F156,'CIOG'!$B$10:$B$14,0))),"N/A")</f>
        <v/>
      </c>
      <c r="R156" s="50">
        <f>IFERROR(IF(INDEX('MRE'!$L$10:$L$18,MATCH($F156,'MRE'!$B$10:$B$18,0))="","Cell will autofill based on response",INDEX('MRE'!$L$10:$L$18,MATCH($F156,'MRE'!$B$10:$B$18,0))),"N/A")</f>
        <v/>
      </c>
      <c r="S156" s="50">
        <f>IFERROR(IF(INDEX('AC&amp;M'!$L$10:$L$14,MATCH($F156,'AC&amp;M'!$B$10:$B$14,0))="","Cell will autofill based on response",INDEX('AC&amp;M'!$L$10:$L$14,MATCH($F156,'AC&amp;M'!$B$10:$B$14,0))),"N/A")</f>
        <v/>
      </c>
      <c r="T156" s="50">
        <f>IFERROR(IF(INDEX('GCE'!$L$10:$L$12,MATCH($F156,'GCE'!$B$10:$B$12,0))="","Cell will autofill based on response",INDEX('GCE'!$L$10:$L$12,MATCH($F156,'GCE'!$B$10:$B$12,0))),"N/A")</f>
        <v/>
      </c>
      <c r="U156" s="50">
        <f>IFERROR(IF(INDEX('Education'!$L$10:$L$13,MATCH($F156,'Education'!$B$10:$B$13,0))="","Cell will autofill based on response",INDEX('Education'!$L$10:$L$13,MATCH($F156,'Education'!$B$10:$B$13,0))),"N/A")</f>
        <v/>
      </c>
      <c r="V156" s="50">
        <f>IFERROR(IF(INDEX('SaSS'!$L$10:$L$12,MATCH($F156,'SaSS'!$B$10:$B$12,0))="","Cell will autofill based on response",INDEX('SaSS'!$L$10:$L$12,MATCH($F156,'SaSS'!$B$10:$B$12,0))),"N/A")</f>
        <v/>
      </c>
      <c r="W156" s="50">
        <f>IFERROR(IF(INDEX('Indigenous'!$L$10:$L$11,MATCH($F156,'Indigenous'!$B$10:$B$11,0))="","Cell will autofill based on response",INDEX('Indigenous'!$L$10:$L$11,MATCH($F156,'Indigenous'!$B$10:$B$11,0))),"N/A")</f>
        <v/>
      </c>
      <c r="X156" s="50">
        <f>IFERROR(IF(INDEX('L&amp;R'!$L$10:$L$11,MATCH($F156,'L&amp;R'!$B$10:$B$11,0))="","Cell will autofill based on response",INDEX('L&amp;R'!$L$10:$L$11,MATCH($F156,'L&amp;R'!$B$10:$B$11,0))),"N/A")</f>
        <v/>
      </c>
      <c r="Z156" s="8">
        <f>SUMPRODUCT(--($H156:$X156&lt;&gt;"N/A"))</f>
        <v/>
      </c>
      <c r="AA156" s="8">
        <f>SUMPRODUCT(--(((($H156:$X156&lt;&gt;"N/A")*($H156:$X156&lt;&gt;"Cell will autofill based on response"))+(($H157:$X157&lt;&gt;"N/A")*($H157:$X157&lt;&gt;"Cell will autofill based on response")))&gt;0))</f>
        <v/>
      </c>
      <c r="AB156" s="8">
        <f>Z156-AA156</f>
        <v/>
      </c>
      <c r="AC156" s="8">
        <f>COUNTIF($H160:$X160,"Yes")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IFERROR(IF(INDEX('CI&amp;S'!$M$10:$M$15,MATCH($F157,'CI&amp;S'!$B$10:$B$15,0))="","Cell will autofill based on response",INDEX('CI&amp;S'!$M$10:$M$15,MATCH($F157,'CI&amp;S'!$B$10:$B$15,0))),"N/A")</f>
        <v/>
      </c>
      <c r="M157" s="50">
        <f>IFERROR(IF(INDEX('CI&amp;S'!$M$22:$M$36,MATCH($F157,'CI&amp;S'!$B$22:$B$36,0))="","Cell will autofill based on response",INDEX('CI&amp;S'!$M$22:$M$36,MATCH($F157,'CI&amp;S'!$B$22:$B$36,0))),"N/A")</f>
        <v/>
      </c>
      <c r="N157" s="50">
        <f>IFERROR(IF(INDEX('CFOG'!$M$10:$M$16,MATCH($F157,'CFOG'!$B$10:$B$16,0))="","Cell will autofill based on response",INDEX('CFOG'!$M$10:$M$16,MATCH($F157,'CFOG'!$B$10:$B$16,0))),"N/A")</f>
        <v/>
      </c>
      <c r="O157" s="50">
        <f>IFERROR(IF(INDEX('CFOG'!$M$23:$M$24,MATCH($F157,'CFOG'!$B$23:$B$24,0))="","Cell will autofill based on response",INDEX('CFOG'!$M$23:$M$24,MATCH($F157,'CFOG'!$B$23:$B$24,0))),"N/A")</f>
        <v/>
      </c>
      <c r="P157" s="50">
        <f>IFERROR(IF(INDEX('ESG'!$M$10:$M$17,MATCH($F157,'ESG'!$B$10:$B$17,0))="","Cell will autofill based on response",INDEX('ESG'!$M$10:$M$17,MATCH($F157,'ESG'!$B$10:$B$17,0))),"N/A")</f>
        <v/>
      </c>
      <c r="Q157" s="50">
        <f>IFERROR(IF(INDEX('CIOG'!$M$10:$M$14,MATCH($F157,'CIOG'!$B$10:$B$14,0))="","Cell will autofill based on response",INDEX('CIOG'!$M$10:$M$14,MATCH($F157,'CIOG'!$B$10:$B$14,0))),"N/A")</f>
        <v/>
      </c>
      <c r="R157" s="50">
        <f>IFERROR(IF(INDEX('MRE'!$M$10:$M$18,MATCH($F157,'MRE'!$B$10:$B$18,0))="","Cell will autofill based on response",INDEX('MRE'!$M$10:$M$18,MATCH($F157,'MRE'!$B$10:$B$18,0))),"N/A")</f>
        <v/>
      </c>
      <c r="S157" s="50">
        <f>IFERROR(IF(INDEX('AC&amp;M'!$M$10:$M$14,MATCH($F157,'AC&amp;M'!$B$10:$B$14,0))="","Cell will autofill based on response",INDEX('AC&amp;M'!$M$10:$M$14,MATCH($F157,'AC&amp;M'!$B$10:$B$14,0))),"N/A")</f>
        <v/>
      </c>
      <c r="T157" s="50">
        <f>IFERROR(IF(INDEX('GCE'!$M$10:$M$12,MATCH($F157,'GCE'!$B$10:$B$12,0))="","Cell will autofill based on response",INDEX('GCE'!$M$10:$M$12,MATCH($F157,'GCE'!$B$10:$B$12,0))),"N/A")</f>
        <v/>
      </c>
      <c r="U157" s="50">
        <f>IFERROR(IF(INDEX('Education'!$M$10:$M$13,MATCH($F157,'Education'!$B$10:$B$13,0))="","Cell will autofill based on response",INDEX('Education'!$M$10:$M$13,MATCH($F157,'Education'!$B$10:$B$13,0))),"N/A")</f>
        <v/>
      </c>
      <c r="V157" s="50">
        <f>IFERROR(IF(INDEX('SaSS'!$M$10:$M$12,MATCH($F157,'SaSS'!$B$10:$B$12,0))="","Cell will autofill based on response",INDEX('SaSS'!$M$10:$M$12,MATCH($F157,'SaSS'!$B$10:$B$12,0))),"N/A")</f>
        <v/>
      </c>
      <c r="W157" s="50">
        <f>IFERROR(IF(INDEX('Indigenous'!$M$10:$M$11,MATCH($F157,'Indigenous'!$B$10:$B$11,0))="","Cell will autofill based on response",INDEX('Indigenous'!$M$10:$M$11,MATCH($F157,'Indigenous'!$B$10:$B$11,0))),"N/A")</f>
        <v/>
      </c>
      <c r="X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IFERROR(IF(INDEX('CI&amp;S'!$N$10:$N$15,MATCH($F158,'CI&amp;S'!$B$10:$B$15,0))="","Cell will autofill based on response",INDEX('CI&amp;S'!$N$10:$N$15,MATCH($F158,'CI&amp;S'!$B$10:$B$15,0))),"N/A")</f>
        <v/>
      </c>
      <c r="M158" s="50">
        <f>IFERROR(IF(INDEX('CI&amp;S'!$N$22:$N$36,MATCH($F158,'CI&amp;S'!$B$22:$B$36,0))="","Cell will autofill based on response",INDEX('CI&amp;S'!$N$22:$N$36,MATCH($F158,'CI&amp;S'!$B$22:$B$36,0))),"N/A")</f>
        <v/>
      </c>
      <c r="N158" s="50">
        <f>IFERROR(IF(INDEX('CFOG'!$N$10:$N$16,MATCH($F158,'CFOG'!$B$10:$B$16,0))="","Cell will autofill based on response",INDEX('CFOG'!$N$10:$N$16,MATCH($F158,'CFOG'!$B$10:$B$16,0))),"N/A")</f>
        <v/>
      </c>
      <c r="O158" s="50">
        <f>IFERROR(IF(INDEX('CFOG'!$N$23:$N$24,MATCH($F158,'CFOG'!$B$23:$B$24,0))="","Cell will autofill based on response",INDEX('CFOG'!$N$23:$N$24,MATCH($F158,'CFOG'!$B$23:$B$24,0))),"N/A")</f>
        <v/>
      </c>
      <c r="P158" s="50">
        <f>IFERROR(IF(INDEX('ESG'!$N$10:$N$17,MATCH($F158,'ESG'!$B$10:$B$17,0))="","Cell will autofill based on response",INDEX('ESG'!$N$10:$N$17,MATCH($F158,'ESG'!$B$10:$B$17,0))),"N/A")</f>
        <v/>
      </c>
      <c r="Q158" s="50">
        <f>IFERROR(IF(INDEX('CIOG'!$N$10:$N$14,MATCH($F158,'CIOG'!$B$10:$B$14,0))="","Cell will autofill based on response",INDEX('CIOG'!$N$10:$N$14,MATCH($F158,'CIOG'!$B$10:$B$14,0))),"N/A")</f>
        <v/>
      </c>
      <c r="R158" s="50">
        <f>IFERROR(IF(INDEX('MRE'!$N$10:$N$18,MATCH($F158,'MRE'!$B$10:$B$18,0))="","Cell will autofill based on response",INDEX('MRE'!$N$10:$N$18,MATCH($F158,'MRE'!$B$10:$B$18,0))),"N/A")</f>
        <v/>
      </c>
      <c r="S158" s="50">
        <f>IFERROR(IF(INDEX('AC&amp;M'!$N$10:$N$14,MATCH($F158,'AC&amp;M'!$B$10:$B$14,0))="","Cell will autofill based on response",INDEX('AC&amp;M'!$N$10:$N$14,MATCH($F158,'AC&amp;M'!$B$10:$B$14,0))),"N/A")</f>
        <v/>
      </c>
      <c r="T158" s="50">
        <f>IFERROR(IF(INDEX('GCE'!$N$10:$N$12,MATCH($F158,'GCE'!$B$10:$B$12,0))="","Cell will autofill based on response",INDEX('GCE'!$N$10:$N$12,MATCH($F158,'GCE'!$B$10:$B$12,0))),"N/A")</f>
        <v/>
      </c>
      <c r="U158" s="50">
        <f>IFERROR(IF(INDEX('Education'!$N$10:$N$13,MATCH($F158,'Education'!$B$10:$B$13,0))="","Cell will autofill based on response",INDEX('Education'!$N$10:$N$13,MATCH($F158,'Education'!$B$10:$B$13,0))),"N/A")</f>
        <v/>
      </c>
      <c r="V158" s="50">
        <f>IFERROR(IF(INDEX('SaSS'!$N$10:$N$12,MATCH($F158,'SaSS'!$B$10:$B$12,0))="","Cell will autofill based on response",INDEX('SaSS'!$N$10:$N$12,MATCH($F158,'SaSS'!$B$10:$B$12,0))),"N/A")</f>
        <v/>
      </c>
      <c r="W158" s="50">
        <f>IFERROR(IF(INDEX('Indigenous'!$N$10:$N$11,MATCH($F158,'Indigenous'!$B$10:$B$11,0))="","Cell will autofill based on response",INDEX('Indigenous'!$N$10:$N$11,MATCH($F158,'Indigenous'!$B$10:$B$11,0))),"N/A")</f>
        <v/>
      </c>
      <c r="X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IFERROR(IF(INDEX('CI&amp;S'!$O$10:$O$15,MATCH($F159,'CI&amp;S'!$B$10:$B$15,0))="","Cell will autofill based on response",INDEX('CI&amp;S'!$O$10:$O$15,MATCH($F159,'CI&amp;S'!$B$10:$B$15,0))),"N/A")</f>
        <v/>
      </c>
      <c r="M159" s="50">
        <f>IFERROR(IF(INDEX('CI&amp;S'!$O$22:$O$36,MATCH($F159,'CI&amp;S'!$B$22:$B$36,0))="","Cell will autofill based on response",INDEX('CI&amp;S'!$O$22:$O$36,MATCH($F159,'CI&amp;S'!$B$22:$B$36,0))),"N/A")</f>
        <v/>
      </c>
      <c r="N159" s="50">
        <f>IFERROR(IF(INDEX('CFOG'!$O$10:$O$16,MATCH($F159,'CFOG'!$B$10:$B$16,0))="","Cell will autofill based on response",INDEX('CFOG'!$O$10:$O$16,MATCH($F159,'CFOG'!$B$10:$B$16,0))),"N/A")</f>
        <v/>
      </c>
      <c r="O159" s="50">
        <f>IFERROR(IF(INDEX('CFOG'!$O$23:$O$24,MATCH($F159,'CFOG'!$B$23:$B$24,0))="","Cell will autofill based on response",INDEX('CFOG'!$O$23:$O$24,MATCH($F159,'CFOG'!$B$23:$B$24,0))),"N/A")</f>
        <v/>
      </c>
      <c r="P159" s="50">
        <f>IFERROR(IF(INDEX('ESG'!$O$10:$O$17,MATCH($F159,'ESG'!$B$10:$B$17,0))="","Cell will autofill based on response",INDEX('ESG'!$O$10:$O$17,MATCH($F159,'ESG'!$B$10:$B$17,0))),"N/A")</f>
        <v/>
      </c>
      <c r="Q159" s="50">
        <f>IFERROR(IF(INDEX('CIOG'!$O$10:$O$14,MATCH($F159,'CIOG'!$B$10:$B$14,0))="","Cell will autofill based on response",INDEX('CIOG'!$O$10:$O$14,MATCH($F159,'CIOG'!$B$10:$B$14,0))),"N/A")</f>
        <v/>
      </c>
      <c r="R159" s="50">
        <f>IFERROR(IF(INDEX('MRE'!$O$10:$O$18,MATCH($F159,'MRE'!$B$10:$B$18,0))="","Cell will autofill based on response",INDEX('MRE'!$O$10:$O$18,MATCH($F159,'MRE'!$B$10:$B$18,0))),"N/A")</f>
        <v/>
      </c>
      <c r="S159" s="50">
        <f>IFERROR(IF(INDEX('AC&amp;M'!$O$10:$O$14,MATCH($F159,'AC&amp;M'!$B$10:$B$14,0))="","Cell will autofill based on response",INDEX('AC&amp;M'!$O$10:$O$14,MATCH($F159,'AC&amp;M'!$B$10:$B$14,0))),"N/A")</f>
        <v/>
      </c>
      <c r="T159" s="50">
        <f>IFERROR(IF(INDEX('GCE'!$O$10:$O$12,MATCH($F159,'GCE'!$B$10:$B$12,0))="","Cell will autofill based on response",INDEX('GCE'!$O$10:$O$12,MATCH($F159,'GCE'!$B$10:$B$12,0))),"N/A")</f>
        <v/>
      </c>
      <c r="U159" s="50">
        <f>IFERROR(IF(INDEX('Education'!$O$10:$O$13,MATCH($F159,'Education'!$B$10:$B$13,0))="","Cell will autofill based on response",INDEX('Education'!$O$10:$O$13,MATCH($F159,'Education'!$B$10:$B$13,0))),"N/A")</f>
        <v/>
      </c>
      <c r="V159" s="50">
        <f>IFERROR(IF(INDEX('SaSS'!$O$10:$O$12,MATCH($F159,'SaSS'!$B$10:$B$12,0))="","Cell will autofill based on response",INDEX('SaSS'!$O$10:$O$12,MATCH($F159,'SaSS'!$B$10:$B$12,0))),"N/A")</f>
        <v/>
      </c>
      <c r="W159" s="50">
        <f>IFERROR(IF(INDEX('Indigenous'!$O$10:$O$11,MATCH($F159,'Indigenous'!$B$10:$B$11,0))="","Cell will autofill based on response",INDEX('Indigenous'!$O$10:$O$11,MATCH($F159,'Indigenous'!$B$10:$B$11,0))),"N/A")</f>
        <v/>
      </c>
      <c r="X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IFERROR(IF(INDEX('CI&amp;S'!$P$10:$P$15,MATCH($F160,'CI&amp;S'!$B$10:$B$15,0))="","Cell will autofill based on response",INDEX('CI&amp;S'!$P$10:$P$15,MATCH($F160,'CI&amp;S'!$B$10:$B$15,0))),"N/A")</f>
        <v/>
      </c>
      <c r="M160" s="50">
        <f>IFERROR(IF(INDEX('CI&amp;S'!$P$22:$P$36,MATCH($F160,'CI&amp;S'!$B$22:$B$36,0))="","Cell will autofill based on response",INDEX('CI&amp;S'!$P$22:$P$36,MATCH($F160,'CI&amp;S'!$B$22:$B$36,0))),"N/A")</f>
        <v/>
      </c>
      <c r="N160" s="50">
        <f>IFERROR(IF(INDEX('CFOG'!$P$10:$P$16,MATCH($F160,'CFOG'!$B$10:$B$16,0))="","Cell will autofill based on response",INDEX('CFOG'!$P$10:$P$16,MATCH($F160,'CFOG'!$B$10:$B$16,0))),"N/A")</f>
        <v/>
      </c>
      <c r="O160" s="50">
        <f>IFERROR(IF(INDEX('CFOG'!$P$23:$P$24,MATCH($F160,'CFOG'!$B$23:$B$24,0))="","Cell will autofill based on response",INDEX('CFOG'!$P$23:$P$24,MATCH($F160,'CFOG'!$B$23:$B$24,0))),"N/A")</f>
        <v/>
      </c>
      <c r="P160" s="50">
        <f>IFERROR(IF(INDEX('ESG'!$P$10:$P$17,MATCH($F160,'ESG'!$B$10:$B$17,0))="","Cell will autofill based on response",INDEX('ESG'!$P$10:$P$17,MATCH($F160,'ESG'!$B$10:$B$17,0))),"N/A")</f>
        <v/>
      </c>
      <c r="Q160" s="50">
        <f>IFERROR(IF(INDEX('CIOG'!$P$10:$P$14,MATCH($F160,'CIOG'!$B$10:$B$14,0))="","Cell will autofill based on response",INDEX('CIOG'!$P$10:$P$14,MATCH($F160,'CIOG'!$B$10:$B$14,0))),"N/A")</f>
        <v/>
      </c>
      <c r="R160" s="50">
        <f>IFERROR(IF(INDEX('MRE'!$P$10:$P$18,MATCH($F160,'MRE'!$B$10:$B$18,0))="","Cell will autofill based on response",INDEX('MRE'!$P$10:$P$18,MATCH($F160,'MRE'!$B$10:$B$18,0))),"N/A")</f>
        <v/>
      </c>
      <c r="S160" s="50">
        <f>IFERROR(IF(INDEX('AC&amp;M'!$P$10:$P$14,MATCH($F160,'AC&amp;M'!$B$10:$B$14,0))="","Cell will autofill based on response",INDEX('AC&amp;M'!$P$10:$P$14,MATCH($F160,'AC&amp;M'!$B$10:$B$14,0))),"N/A")</f>
        <v/>
      </c>
      <c r="T160" s="50">
        <f>IFERROR(IF(INDEX('GCE'!$P$10:$P$12,MATCH($F160,'GCE'!$B$10:$B$12,0))="","Cell will autofill based on response",INDEX('GCE'!$P$10:$P$12,MATCH($F160,'GCE'!$B$10:$B$12,0))),"N/A")</f>
        <v/>
      </c>
      <c r="U160" s="50">
        <f>IFERROR(IF(INDEX('Education'!$P$10:$P$13,MATCH($F160,'Education'!$B$10:$B$13,0))="","Cell will autofill based on response",INDEX('Education'!$P$10:$P$13,MATCH($F160,'Education'!$B$10:$B$13,0))),"N/A")</f>
        <v/>
      </c>
      <c r="V160" s="50">
        <f>IFERROR(IF(INDEX('SaSS'!$P$10:$P$12,MATCH($F160,'SaSS'!$B$10:$B$12,0))="","Cell will autofill based on response",INDEX('SaSS'!$P$10:$P$12,MATCH($F160,'SaSS'!$B$10:$B$12,0))),"N/A")</f>
        <v/>
      </c>
      <c r="W160" s="50">
        <f>IFERROR(IF(INDEX('Indigenous'!$P$10:$P$11,MATCH($F160,'Indigenous'!$B$10:$B$11,0))="","Cell will autofill based on response",INDEX('Indigenous'!$P$10:$P$11,MATCH($F160,'Indigenous'!$B$10:$B$11,0))),"N/A")</f>
        <v/>
      </c>
      <c r="X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IFERROR(IF(INDEX('CI&amp;S'!$L$10:$L$15,MATCH($F161,'CI&amp;S'!$B$10:$B$15,0))="","Cell will autofill based on response",INDEX('CI&amp;S'!$L$10:$L$15,MATCH($F161,'CI&amp;S'!$B$10:$B$15,0))),"N/A")</f>
        <v/>
      </c>
      <c r="M161" s="50">
        <f>IFERROR(IF(INDEX('CI&amp;S'!$L$22:$L$36,MATCH($F161,'CI&amp;S'!$B$22:$B$36,0))="","Cell will autofill based on response",INDEX('CI&amp;S'!$L$22:$L$36,MATCH($F161,'CI&amp;S'!$B$22:$B$36,0))),"N/A")</f>
        <v/>
      </c>
      <c r="N161" s="50">
        <f>IFERROR(IF(INDEX('CFOG'!$L$10:$L$16,MATCH($F161,'CFOG'!$B$10:$B$16,0))="","Cell will autofill based on response",INDEX('CFOG'!$L$10:$L$16,MATCH($F161,'CFOG'!$B$10:$B$16,0))),"N/A")</f>
        <v/>
      </c>
      <c r="O161" s="50">
        <f>IFERROR(IF(INDEX('CFOG'!$L$23:$L$24,MATCH($F161,'CFOG'!$B$23:$B$24,0))="","Cell will autofill based on response",INDEX('CFOG'!$L$23:$L$24,MATCH($F161,'CFOG'!$B$23:$B$24,0))),"N/A")</f>
        <v/>
      </c>
      <c r="P161" s="50">
        <f>IFERROR(IF(INDEX('ESG'!$L$10:$L$17,MATCH($F161,'ESG'!$B$10:$B$17,0))="","Cell will autofill based on response",INDEX('ESG'!$L$10:$L$17,MATCH($F161,'ESG'!$B$10:$B$17,0))),"N/A")</f>
        <v/>
      </c>
      <c r="Q161" s="50">
        <f>IFERROR(IF(INDEX('CIOG'!$L$10:$L$14,MATCH($F161,'CIOG'!$B$10:$B$14,0))="","Cell will autofill based on response",INDEX('CIOG'!$L$10:$L$14,MATCH($F161,'CIOG'!$B$10:$B$14,0))),"N/A")</f>
        <v/>
      </c>
      <c r="R161" s="50">
        <f>IFERROR(IF(INDEX('MRE'!$L$10:$L$18,MATCH($F161,'MRE'!$B$10:$B$18,0))="","Cell will autofill based on response",INDEX('MRE'!$L$10:$L$18,MATCH($F161,'MRE'!$B$10:$B$18,0))),"N/A")</f>
        <v/>
      </c>
      <c r="S161" s="50">
        <f>IFERROR(IF(INDEX('AC&amp;M'!$L$10:$L$14,MATCH($F161,'AC&amp;M'!$B$10:$B$14,0))="","Cell will autofill based on response",INDEX('AC&amp;M'!$L$10:$L$14,MATCH($F161,'AC&amp;M'!$B$10:$B$14,0))),"N/A")</f>
        <v/>
      </c>
      <c r="T161" s="50">
        <f>IFERROR(IF(INDEX('GCE'!$L$10:$L$12,MATCH($F161,'GCE'!$B$10:$B$12,0))="","Cell will autofill based on response",INDEX('GCE'!$L$10:$L$12,MATCH($F161,'GCE'!$B$10:$B$12,0))),"N/A")</f>
        <v/>
      </c>
      <c r="U161" s="50">
        <f>IFERROR(IF(INDEX('Education'!$L$10:$L$13,MATCH($F161,'Education'!$B$10:$B$13,0))="","Cell will autofill based on response",INDEX('Education'!$L$10:$L$13,MATCH($F161,'Education'!$B$10:$B$13,0))),"N/A")</f>
        <v/>
      </c>
      <c r="V161" s="50">
        <f>IFERROR(IF(INDEX('SaSS'!$L$10:$L$12,MATCH($F161,'SaSS'!$B$10:$B$12,0))="","Cell will autofill based on response",INDEX('SaSS'!$L$10:$L$12,MATCH($F161,'SaSS'!$B$10:$B$12,0))),"N/A")</f>
        <v/>
      </c>
      <c r="W161" s="50">
        <f>IFERROR(IF(INDEX('Indigenous'!$L$10:$L$11,MATCH($F161,'Indigenous'!$B$10:$B$11,0))="","Cell will autofill based on response",INDEX('Indigenous'!$L$10:$L$11,MATCH($F161,'Indigenous'!$B$10:$B$11,0))),"N/A")</f>
        <v/>
      </c>
      <c r="X161" s="50">
        <f>IFERROR(IF(INDEX('L&amp;R'!$L$10:$L$11,MATCH($F161,'L&amp;R'!$B$10:$B$11,0))="","Cell will autofill based on response",INDEX('L&amp;R'!$L$10:$L$11,MATCH($F161,'L&amp;R'!$B$10:$B$11,0))),"N/A")</f>
        <v/>
      </c>
      <c r="Z161" s="8">
        <f>SUMPRODUCT(--($H161:$X161&lt;&gt;"N/A"))</f>
        <v/>
      </c>
      <c r="AA161" s="8">
        <f>SUMPRODUCT(--(((($H161:$X161&lt;&gt;"N/A")*($H161:$X161&lt;&gt;"Cell will autofill based on response"))+(($H162:$X162&lt;&gt;"N/A")*($H162:$X162&lt;&gt;"Cell will autofill based on response")))&gt;0))</f>
        <v/>
      </c>
      <c r="AB161" s="8">
        <f>Z161-AA161</f>
        <v/>
      </c>
      <c r="AC161" s="8">
        <f>COUNTIF($H165:$X165,"Yes")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IFERROR(IF(INDEX('CI&amp;S'!$M$10:$M$15,MATCH($F162,'CI&amp;S'!$B$10:$B$15,0))="","Cell will autofill based on response",INDEX('CI&amp;S'!$M$10:$M$15,MATCH($F162,'CI&amp;S'!$B$10:$B$15,0))),"N/A")</f>
        <v/>
      </c>
      <c r="M162" s="50">
        <f>IFERROR(IF(INDEX('CI&amp;S'!$M$22:$M$36,MATCH($F162,'CI&amp;S'!$B$22:$B$36,0))="","Cell will autofill based on response",INDEX('CI&amp;S'!$M$22:$M$36,MATCH($F162,'CI&amp;S'!$B$22:$B$36,0))),"N/A")</f>
        <v/>
      </c>
      <c r="N162" s="50">
        <f>IFERROR(IF(INDEX('CFOG'!$M$10:$M$16,MATCH($F162,'CFOG'!$B$10:$B$16,0))="","Cell will autofill based on response",INDEX('CFOG'!$M$10:$M$16,MATCH($F162,'CFOG'!$B$10:$B$16,0))),"N/A")</f>
        <v/>
      </c>
      <c r="O162" s="50">
        <f>IFERROR(IF(INDEX('CFOG'!$M$23:$M$24,MATCH($F162,'CFOG'!$B$23:$B$24,0))="","Cell will autofill based on response",INDEX('CFOG'!$M$23:$M$24,MATCH($F162,'CFOG'!$B$23:$B$24,0))),"N/A")</f>
        <v/>
      </c>
      <c r="P162" s="50">
        <f>IFERROR(IF(INDEX('ESG'!$M$10:$M$17,MATCH($F162,'ESG'!$B$10:$B$17,0))="","Cell will autofill based on response",INDEX('ESG'!$M$10:$M$17,MATCH($F162,'ESG'!$B$10:$B$17,0))),"N/A")</f>
        <v/>
      </c>
      <c r="Q162" s="50">
        <f>IFERROR(IF(INDEX('CIOG'!$M$10:$M$14,MATCH($F162,'CIOG'!$B$10:$B$14,0))="","Cell will autofill based on response",INDEX('CIOG'!$M$10:$M$14,MATCH($F162,'CIOG'!$B$10:$B$14,0))),"N/A")</f>
        <v/>
      </c>
      <c r="R162" s="50">
        <f>IFERROR(IF(INDEX('MRE'!$M$10:$M$18,MATCH($F162,'MRE'!$B$10:$B$18,0))="","Cell will autofill based on response",INDEX('MRE'!$M$10:$M$18,MATCH($F162,'MRE'!$B$10:$B$18,0))),"N/A")</f>
        <v/>
      </c>
      <c r="S162" s="50">
        <f>IFERROR(IF(INDEX('AC&amp;M'!$M$10:$M$14,MATCH($F162,'AC&amp;M'!$B$10:$B$14,0))="","Cell will autofill based on response",INDEX('AC&amp;M'!$M$10:$M$14,MATCH($F162,'AC&amp;M'!$B$10:$B$14,0))),"N/A")</f>
        <v/>
      </c>
      <c r="T162" s="50">
        <f>IFERROR(IF(INDEX('GCE'!$M$10:$M$12,MATCH($F162,'GCE'!$B$10:$B$12,0))="","Cell will autofill based on response",INDEX('GCE'!$M$10:$M$12,MATCH($F162,'GCE'!$B$10:$B$12,0))),"N/A")</f>
        <v/>
      </c>
      <c r="U162" s="50">
        <f>IFERROR(IF(INDEX('Education'!$M$10:$M$13,MATCH($F162,'Education'!$B$10:$B$13,0))="","Cell will autofill based on response",INDEX('Education'!$M$10:$M$13,MATCH($F162,'Education'!$B$10:$B$13,0))),"N/A")</f>
        <v/>
      </c>
      <c r="V162" s="50">
        <f>IFERROR(IF(INDEX('SaSS'!$M$10:$M$12,MATCH($F162,'SaSS'!$B$10:$B$12,0))="","Cell will autofill based on response",INDEX('SaSS'!$M$10:$M$12,MATCH($F162,'SaSS'!$B$10:$B$12,0))),"N/A")</f>
        <v/>
      </c>
      <c r="W162" s="50">
        <f>IFERROR(IF(INDEX('Indigenous'!$M$10:$M$11,MATCH($F162,'Indigenous'!$B$10:$B$11,0))="","Cell will autofill based on response",INDEX('Indigenous'!$M$10:$M$11,MATCH($F162,'Indigenous'!$B$10:$B$11,0))),"N/A")</f>
        <v/>
      </c>
      <c r="X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IFERROR(IF(INDEX('CI&amp;S'!$N$10:$N$15,MATCH($F163,'CI&amp;S'!$B$10:$B$15,0))="","Cell will autofill based on response",INDEX('CI&amp;S'!$N$10:$N$15,MATCH($F163,'CI&amp;S'!$B$10:$B$15,0))),"N/A")</f>
        <v/>
      </c>
      <c r="M163" s="50">
        <f>IFERROR(IF(INDEX('CI&amp;S'!$N$22:$N$36,MATCH($F163,'CI&amp;S'!$B$22:$B$36,0))="","Cell will autofill based on response",INDEX('CI&amp;S'!$N$22:$N$36,MATCH($F163,'CI&amp;S'!$B$22:$B$36,0))),"N/A")</f>
        <v/>
      </c>
      <c r="N163" s="50">
        <f>IFERROR(IF(INDEX('CFOG'!$N$10:$N$16,MATCH($F163,'CFOG'!$B$10:$B$16,0))="","Cell will autofill based on response",INDEX('CFOG'!$N$10:$N$16,MATCH($F163,'CFOG'!$B$10:$B$16,0))),"N/A")</f>
        <v/>
      </c>
      <c r="O163" s="50">
        <f>IFERROR(IF(INDEX('CFOG'!$N$23:$N$24,MATCH($F163,'CFOG'!$B$23:$B$24,0))="","Cell will autofill based on response",INDEX('CFOG'!$N$23:$N$24,MATCH($F163,'CFOG'!$B$23:$B$24,0))),"N/A")</f>
        <v/>
      </c>
      <c r="P163" s="50">
        <f>IFERROR(IF(INDEX('ESG'!$N$10:$N$17,MATCH($F163,'ESG'!$B$10:$B$17,0))="","Cell will autofill based on response",INDEX('ESG'!$N$10:$N$17,MATCH($F163,'ESG'!$B$10:$B$17,0))),"N/A")</f>
        <v/>
      </c>
      <c r="Q163" s="50">
        <f>IFERROR(IF(INDEX('CIOG'!$N$10:$N$14,MATCH($F163,'CIOG'!$B$10:$B$14,0))="","Cell will autofill based on response",INDEX('CIOG'!$N$10:$N$14,MATCH($F163,'CIOG'!$B$10:$B$14,0))),"N/A")</f>
        <v/>
      </c>
      <c r="R163" s="50">
        <f>IFERROR(IF(INDEX('MRE'!$N$10:$N$18,MATCH($F163,'MRE'!$B$10:$B$18,0))="","Cell will autofill based on response",INDEX('MRE'!$N$10:$N$18,MATCH($F163,'MRE'!$B$10:$B$18,0))),"N/A")</f>
        <v/>
      </c>
      <c r="S163" s="50">
        <f>IFERROR(IF(INDEX('AC&amp;M'!$N$10:$N$14,MATCH($F163,'AC&amp;M'!$B$10:$B$14,0))="","Cell will autofill based on response",INDEX('AC&amp;M'!$N$10:$N$14,MATCH($F163,'AC&amp;M'!$B$10:$B$14,0))),"N/A")</f>
        <v/>
      </c>
      <c r="T163" s="50">
        <f>IFERROR(IF(INDEX('GCE'!$N$10:$N$12,MATCH($F163,'GCE'!$B$10:$B$12,0))="","Cell will autofill based on response",INDEX('GCE'!$N$10:$N$12,MATCH($F163,'GCE'!$B$10:$B$12,0))),"N/A")</f>
        <v/>
      </c>
      <c r="U163" s="50">
        <f>IFERROR(IF(INDEX('Education'!$N$10:$N$13,MATCH($F163,'Education'!$B$10:$B$13,0))="","Cell will autofill based on response",INDEX('Education'!$N$10:$N$13,MATCH($F163,'Education'!$B$10:$B$13,0))),"N/A")</f>
        <v/>
      </c>
      <c r="V163" s="50">
        <f>IFERROR(IF(INDEX('SaSS'!$N$10:$N$12,MATCH($F163,'SaSS'!$B$10:$B$12,0))="","Cell will autofill based on response",INDEX('SaSS'!$N$10:$N$12,MATCH($F163,'SaSS'!$B$10:$B$12,0))),"N/A")</f>
        <v/>
      </c>
      <c r="W163" s="50">
        <f>IFERROR(IF(INDEX('Indigenous'!$N$10:$N$11,MATCH($F163,'Indigenous'!$B$10:$B$11,0))="","Cell will autofill based on response",INDEX('Indigenous'!$N$10:$N$11,MATCH($F163,'Indigenous'!$B$10:$B$11,0))),"N/A")</f>
        <v/>
      </c>
      <c r="X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IFERROR(IF(INDEX('CI&amp;S'!$O$10:$O$15,MATCH($F164,'CI&amp;S'!$B$10:$B$15,0))="","Cell will autofill based on response",INDEX('CI&amp;S'!$O$10:$O$15,MATCH($F164,'CI&amp;S'!$B$10:$B$15,0))),"N/A")</f>
        <v/>
      </c>
      <c r="M164" s="50">
        <f>IFERROR(IF(INDEX('CI&amp;S'!$O$22:$O$36,MATCH($F164,'CI&amp;S'!$B$22:$B$36,0))="","Cell will autofill based on response",INDEX('CI&amp;S'!$O$22:$O$36,MATCH($F164,'CI&amp;S'!$B$22:$B$36,0))),"N/A")</f>
        <v/>
      </c>
      <c r="N164" s="50">
        <f>IFERROR(IF(INDEX('CFOG'!$O$10:$O$16,MATCH($F164,'CFOG'!$B$10:$B$16,0))="","Cell will autofill based on response",INDEX('CFOG'!$O$10:$O$16,MATCH($F164,'CFOG'!$B$10:$B$16,0))),"N/A")</f>
        <v/>
      </c>
      <c r="O164" s="50">
        <f>IFERROR(IF(INDEX('CFOG'!$O$23:$O$24,MATCH($F164,'CFOG'!$B$23:$B$24,0))="","Cell will autofill based on response",INDEX('CFOG'!$O$23:$O$24,MATCH($F164,'CFOG'!$B$23:$B$24,0))),"N/A")</f>
        <v/>
      </c>
      <c r="P164" s="50">
        <f>IFERROR(IF(INDEX('ESG'!$O$10:$O$17,MATCH($F164,'ESG'!$B$10:$B$17,0))="","Cell will autofill based on response",INDEX('ESG'!$O$10:$O$17,MATCH($F164,'ESG'!$B$10:$B$17,0))),"N/A")</f>
        <v/>
      </c>
      <c r="Q164" s="50">
        <f>IFERROR(IF(INDEX('CIOG'!$O$10:$O$14,MATCH($F164,'CIOG'!$B$10:$B$14,0))="","Cell will autofill based on response",INDEX('CIOG'!$O$10:$O$14,MATCH($F164,'CIOG'!$B$10:$B$14,0))),"N/A")</f>
        <v/>
      </c>
      <c r="R164" s="50">
        <f>IFERROR(IF(INDEX('MRE'!$O$10:$O$18,MATCH($F164,'MRE'!$B$10:$B$18,0))="","Cell will autofill based on response",INDEX('MRE'!$O$10:$O$18,MATCH($F164,'MRE'!$B$10:$B$18,0))),"N/A")</f>
        <v/>
      </c>
      <c r="S164" s="50">
        <f>IFERROR(IF(INDEX('AC&amp;M'!$O$10:$O$14,MATCH($F164,'AC&amp;M'!$B$10:$B$14,0))="","Cell will autofill based on response",INDEX('AC&amp;M'!$O$10:$O$14,MATCH($F164,'AC&amp;M'!$B$10:$B$14,0))),"N/A")</f>
        <v/>
      </c>
      <c r="T164" s="50">
        <f>IFERROR(IF(INDEX('GCE'!$O$10:$O$12,MATCH($F164,'GCE'!$B$10:$B$12,0))="","Cell will autofill based on response",INDEX('GCE'!$O$10:$O$12,MATCH($F164,'GCE'!$B$10:$B$12,0))),"N/A")</f>
        <v/>
      </c>
      <c r="U164" s="50">
        <f>IFERROR(IF(INDEX('Education'!$O$10:$O$13,MATCH($F164,'Education'!$B$10:$B$13,0))="","Cell will autofill based on response",INDEX('Education'!$O$10:$O$13,MATCH($F164,'Education'!$B$10:$B$13,0))),"N/A")</f>
        <v/>
      </c>
      <c r="V164" s="50">
        <f>IFERROR(IF(INDEX('SaSS'!$O$10:$O$12,MATCH($F164,'SaSS'!$B$10:$B$12,0))="","Cell will autofill based on response",INDEX('SaSS'!$O$10:$O$12,MATCH($F164,'SaSS'!$B$10:$B$12,0))),"N/A")</f>
        <v/>
      </c>
      <c r="W164" s="50">
        <f>IFERROR(IF(INDEX('Indigenous'!$O$10:$O$11,MATCH($F164,'Indigenous'!$B$10:$B$11,0))="","Cell will autofill based on response",INDEX('Indigenous'!$O$10:$O$11,MATCH($F164,'Indigenous'!$B$10:$B$11,0))),"N/A")</f>
        <v/>
      </c>
      <c r="X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IFERROR(IF(INDEX('CI&amp;S'!$P$10:$P$15,MATCH($F165,'CI&amp;S'!$B$10:$B$15,0))="","Cell will autofill based on response",INDEX('CI&amp;S'!$P$10:$P$15,MATCH($F165,'CI&amp;S'!$B$10:$B$15,0))),"N/A")</f>
        <v/>
      </c>
      <c r="M165" s="50">
        <f>IFERROR(IF(INDEX('CI&amp;S'!$P$22:$P$36,MATCH($F165,'CI&amp;S'!$B$22:$B$36,0))="","Cell will autofill based on response",INDEX('CI&amp;S'!$P$22:$P$36,MATCH($F165,'CI&amp;S'!$B$22:$B$36,0))),"N/A")</f>
        <v/>
      </c>
      <c r="N165" s="50">
        <f>IFERROR(IF(INDEX('CFOG'!$P$10:$P$16,MATCH($F165,'CFOG'!$B$10:$B$16,0))="","Cell will autofill based on response",INDEX('CFOG'!$P$10:$P$16,MATCH($F165,'CFOG'!$B$10:$B$16,0))),"N/A")</f>
        <v/>
      </c>
      <c r="O165" s="50">
        <f>IFERROR(IF(INDEX('CFOG'!$P$23:$P$24,MATCH($F165,'CFOG'!$B$23:$B$24,0))="","Cell will autofill based on response",INDEX('CFOG'!$P$23:$P$24,MATCH($F165,'CFOG'!$B$23:$B$24,0))),"N/A")</f>
        <v/>
      </c>
      <c r="P165" s="50">
        <f>IFERROR(IF(INDEX('ESG'!$P$10:$P$17,MATCH($F165,'ESG'!$B$10:$B$17,0))="","Cell will autofill based on response",INDEX('ESG'!$P$10:$P$17,MATCH($F165,'ESG'!$B$10:$B$17,0))),"N/A")</f>
        <v/>
      </c>
      <c r="Q165" s="50">
        <f>IFERROR(IF(INDEX('CIOG'!$P$10:$P$14,MATCH($F165,'CIOG'!$B$10:$B$14,0))="","Cell will autofill based on response",INDEX('CIOG'!$P$10:$P$14,MATCH($F165,'CIOG'!$B$10:$B$14,0))),"N/A")</f>
        <v/>
      </c>
      <c r="R165" s="50">
        <f>IFERROR(IF(INDEX('MRE'!$P$10:$P$18,MATCH($F165,'MRE'!$B$10:$B$18,0))="","Cell will autofill based on response",INDEX('MRE'!$P$10:$P$18,MATCH($F165,'MRE'!$B$10:$B$18,0))),"N/A")</f>
        <v/>
      </c>
      <c r="S165" s="50">
        <f>IFERROR(IF(INDEX('AC&amp;M'!$P$10:$P$14,MATCH($F165,'AC&amp;M'!$B$10:$B$14,0))="","Cell will autofill based on response",INDEX('AC&amp;M'!$P$10:$P$14,MATCH($F165,'AC&amp;M'!$B$10:$B$14,0))),"N/A")</f>
        <v/>
      </c>
      <c r="T165" s="50">
        <f>IFERROR(IF(INDEX('GCE'!$P$10:$P$12,MATCH($F165,'GCE'!$B$10:$B$12,0))="","Cell will autofill based on response",INDEX('GCE'!$P$10:$P$12,MATCH($F165,'GCE'!$B$10:$B$12,0))),"N/A")</f>
        <v/>
      </c>
      <c r="U165" s="50">
        <f>IFERROR(IF(INDEX('Education'!$P$10:$P$13,MATCH($F165,'Education'!$B$10:$B$13,0))="","Cell will autofill based on response",INDEX('Education'!$P$10:$P$13,MATCH($F165,'Education'!$B$10:$B$13,0))),"N/A")</f>
        <v/>
      </c>
      <c r="V165" s="50">
        <f>IFERROR(IF(INDEX('SaSS'!$P$10:$P$12,MATCH($F165,'SaSS'!$B$10:$B$12,0))="","Cell will autofill based on response",INDEX('SaSS'!$P$10:$P$12,MATCH($F165,'SaSS'!$B$10:$B$12,0))),"N/A")</f>
        <v/>
      </c>
      <c r="W165" s="50">
        <f>IFERROR(IF(INDEX('Indigenous'!$P$10:$P$11,MATCH($F165,'Indigenous'!$B$10:$B$11,0))="","Cell will autofill based on response",INDEX('Indigenous'!$P$10:$P$11,MATCH($F165,'Indigenous'!$B$10:$B$11,0))),"N/A")</f>
        <v/>
      </c>
      <c r="X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IFERROR(IF(INDEX('CI&amp;S'!$L$10:$L$15,MATCH($F166,'CI&amp;S'!$B$10:$B$15,0))="","Cell will autofill based on response",INDEX('CI&amp;S'!$L$10:$L$15,MATCH($F166,'CI&amp;S'!$B$10:$B$15,0))),"N/A")</f>
        <v/>
      </c>
      <c r="M166" s="50">
        <f>IFERROR(IF(INDEX('CI&amp;S'!$L$22:$L$36,MATCH($F166,'CI&amp;S'!$B$22:$B$36,0))="","Cell will autofill based on response",INDEX('CI&amp;S'!$L$22:$L$36,MATCH($F166,'CI&amp;S'!$B$22:$B$36,0))),"N/A")</f>
        <v/>
      </c>
      <c r="N166" s="50">
        <f>IFERROR(IF(INDEX('CFOG'!$L$10:$L$16,MATCH($F166,'CFOG'!$B$10:$B$16,0))="","Cell will autofill based on response",INDEX('CFOG'!$L$10:$L$16,MATCH($F166,'CFOG'!$B$10:$B$16,0))),"N/A")</f>
        <v/>
      </c>
      <c r="O166" s="50">
        <f>IFERROR(IF(INDEX('CFOG'!$L$23:$L$24,MATCH($F166,'CFOG'!$B$23:$B$24,0))="","Cell will autofill based on response",INDEX('CFOG'!$L$23:$L$24,MATCH($F166,'CFOG'!$B$23:$B$24,0))),"N/A")</f>
        <v/>
      </c>
      <c r="P166" s="50">
        <f>IFERROR(IF(INDEX('ESG'!$L$10:$L$17,MATCH($F166,'ESG'!$B$10:$B$17,0))="","Cell will autofill based on response",INDEX('ESG'!$L$10:$L$17,MATCH($F166,'ESG'!$B$10:$B$17,0))),"N/A")</f>
        <v/>
      </c>
      <c r="Q166" s="50">
        <f>IFERROR(IF(INDEX('CIOG'!$L$10:$L$14,MATCH($F166,'CIOG'!$B$10:$B$14,0))="","Cell will autofill based on response",INDEX('CIOG'!$L$10:$L$14,MATCH($F166,'CIOG'!$B$10:$B$14,0))),"N/A")</f>
        <v/>
      </c>
      <c r="R166" s="50">
        <f>IFERROR(IF(INDEX('MRE'!$L$10:$L$18,MATCH($F166,'MRE'!$B$10:$B$18,0))="","Cell will autofill based on response",INDEX('MRE'!$L$10:$L$18,MATCH($F166,'MRE'!$B$10:$B$18,0))),"N/A")</f>
        <v/>
      </c>
      <c r="S166" s="50">
        <f>IFERROR(IF(INDEX('AC&amp;M'!$L$10:$L$14,MATCH($F166,'AC&amp;M'!$B$10:$B$14,0))="","Cell will autofill based on response",INDEX('AC&amp;M'!$L$10:$L$14,MATCH($F166,'AC&amp;M'!$B$10:$B$14,0))),"N/A")</f>
        <v/>
      </c>
      <c r="T166" s="50">
        <f>IFERROR(IF(INDEX('GCE'!$L$10:$L$12,MATCH($F166,'GCE'!$B$10:$B$12,0))="","Cell will autofill based on response",INDEX('GCE'!$L$10:$L$12,MATCH($F166,'GCE'!$B$10:$B$12,0))),"N/A")</f>
        <v/>
      </c>
      <c r="U166" s="50">
        <f>IFERROR(IF(INDEX('Education'!$L$10:$L$13,MATCH($F166,'Education'!$B$10:$B$13,0))="","Cell will autofill based on response",INDEX('Education'!$L$10:$L$13,MATCH($F166,'Education'!$B$10:$B$13,0))),"N/A")</f>
        <v/>
      </c>
      <c r="V166" s="50">
        <f>IFERROR(IF(INDEX('SaSS'!$L$10:$L$12,MATCH($F166,'SaSS'!$B$10:$B$12,0))="","Cell will autofill based on response",INDEX('SaSS'!$L$10:$L$12,MATCH($F166,'SaSS'!$B$10:$B$12,0))),"N/A")</f>
        <v/>
      </c>
      <c r="W166" s="50">
        <f>IFERROR(IF(INDEX('Indigenous'!$L$10:$L$11,MATCH($F166,'Indigenous'!$B$10:$B$11,0))="","Cell will autofill based on response",INDEX('Indigenous'!$L$10:$L$11,MATCH($F166,'Indigenous'!$B$10:$B$11,0))),"N/A")</f>
        <v/>
      </c>
      <c r="X166" s="50">
        <f>IFERROR(IF(INDEX('L&amp;R'!$L$10:$L$11,MATCH($F166,'L&amp;R'!$B$10:$B$11,0))="","Cell will autofill based on response",INDEX('L&amp;R'!$L$10:$L$11,MATCH($F166,'L&amp;R'!$B$10:$B$11,0))),"N/A")</f>
        <v/>
      </c>
      <c r="Z166" s="8">
        <f>SUMPRODUCT(--($H166:$X166&lt;&gt;"N/A"))</f>
        <v/>
      </c>
      <c r="AA166" s="8">
        <f>SUMPRODUCT(--(((($H166:$X166&lt;&gt;"N/A")*($H166:$X166&lt;&gt;"Cell will autofill based on response"))+(($H167:$X167&lt;&gt;"N/A")*($H167:$X167&lt;&gt;"Cell will autofill based on response")))&gt;0))</f>
        <v/>
      </c>
      <c r="AB166" s="8">
        <f>Z166-AA166</f>
        <v/>
      </c>
      <c r="AC166" s="8">
        <f>COUNTIF($H170:$X170,"Yes")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IFERROR(IF(INDEX('CI&amp;S'!$M$10:$M$15,MATCH($F167,'CI&amp;S'!$B$10:$B$15,0))="","Cell will autofill based on response",INDEX('CI&amp;S'!$M$10:$M$15,MATCH($F167,'CI&amp;S'!$B$10:$B$15,0))),"N/A")</f>
        <v/>
      </c>
      <c r="M167" s="50">
        <f>IFERROR(IF(INDEX('CI&amp;S'!$M$22:$M$36,MATCH($F167,'CI&amp;S'!$B$22:$B$36,0))="","Cell will autofill based on response",INDEX('CI&amp;S'!$M$22:$M$36,MATCH($F167,'CI&amp;S'!$B$22:$B$36,0))),"N/A")</f>
        <v/>
      </c>
      <c r="N167" s="50">
        <f>IFERROR(IF(INDEX('CFOG'!$M$10:$M$16,MATCH($F167,'CFOG'!$B$10:$B$16,0))="","Cell will autofill based on response",INDEX('CFOG'!$M$10:$M$16,MATCH($F167,'CFOG'!$B$10:$B$16,0))),"N/A")</f>
        <v/>
      </c>
      <c r="O167" s="50">
        <f>IFERROR(IF(INDEX('CFOG'!$M$23:$M$24,MATCH($F167,'CFOG'!$B$23:$B$24,0))="","Cell will autofill based on response",INDEX('CFOG'!$M$23:$M$24,MATCH($F167,'CFOG'!$B$23:$B$24,0))),"N/A")</f>
        <v/>
      </c>
      <c r="P167" s="50">
        <f>IFERROR(IF(INDEX('ESG'!$M$10:$M$17,MATCH($F167,'ESG'!$B$10:$B$17,0))="","Cell will autofill based on response",INDEX('ESG'!$M$10:$M$17,MATCH($F167,'ESG'!$B$10:$B$17,0))),"N/A")</f>
        <v/>
      </c>
      <c r="Q167" s="50">
        <f>IFERROR(IF(INDEX('CIOG'!$M$10:$M$14,MATCH($F167,'CIOG'!$B$10:$B$14,0))="","Cell will autofill based on response",INDEX('CIOG'!$M$10:$M$14,MATCH($F167,'CIOG'!$B$10:$B$14,0))),"N/A")</f>
        <v/>
      </c>
      <c r="R167" s="50">
        <f>IFERROR(IF(INDEX('MRE'!$M$10:$M$18,MATCH($F167,'MRE'!$B$10:$B$18,0))="","Cell will autofill based on response",INDEX('MRE'!$M$10:$M$18,MATCH($F167,'MRE'!$B$10:$B$18,0))),"N/A")</f>
        <v/>
      </c>
      <c r="S167" s="50">
        <f>IFERROR(IF(INDEX('AC&amp;M'!$M$10:$M$14,MATCH($F167,'AC&amp;M'!$B$10:$B$14,0))="","Cell will autofill based on response",INDEX('AC&amp;M'!$M$10:$M$14,MATCH($F167,'AC&amp;M'!$B$10:$B$14,0))),"N/A")</f>
        <v/>
      </c>
      <c r="T167" s="50">
        <f>IFERROR(IF(INDEX('GCE'!$M$10:$M$12,MATCH($F167,'GCE'!$B$10:$B$12,0))="","Cell will autofill based on response",INDEX('GCE'!$M$10:$M$12,MATCH($F167,'GCE'!$B$10:$B$12,0))),"N/A")</f>
        <v/>
      </c>
      <c r="U167" s="50">
        <f>IFERROR(IF(INDEX('Education'!$M$10:$M$13,MATCH($F167,'Education'!$B$10:$B$13,0))="","Cell will autofill based on response",INDEX('Education'!$M$10:$M$13,MATCH($F167,'Education'!$B$10:$B$13,0))),"N/A")</f>
        <v/>
      </c>
      <c r="V167" s="50">
        <f>IFERROR(IF(INDEX('SaSS'!$M$10:$M$12,MATCH($F167,'SaSS'!$B$10:$B$12,0))="","Cell will autofill based on response",INDEX('SaSS'!$M$10:$M$12,MATCH($F167,'SaSS'!$B$10:$B$12,0))),"N/A")</f>
        <v/>
      </c>
      <c r="W167" s="50">
        <f>IFERROR(IF(INDEX('Indigenous'!$M$10:$M$11,MATCH($F167,'Indigenous'!$B$10:$B$11,0))="","Cell will autofill based on response",INDEX('Indigenous'!$M$10:$M$11,MATCH($F167,'Indigenous'!$B$10:$B$11,0))),"N/A")</f>
        <v/>
      </c>
      <c r="X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IFERROR(IF(INDEX('CI&amp;S'!$N$10:$N$15,MATCH($F168,'CI&amp;S'!$B$10:$B$15,0))="","Cell will autofill based on response",INDEX('CI&amp;S'!$N$10:$N$15,MATCH($F168,'CI&amp;S'!$B$10:$B$15,0))),"N/A")</f>
        <v/>
      </c>
      <c r="M168" s="50">
        <f>IFERROR(IF(INDEX('CI&amp;S'!$N$22:$N$36,MATCH($F168,'CI&amp;S'!$B$22:$B$36,0))="","Cell will autofill based on response",INDEX('CI&amp;S'!$N$22:$N$36,MATCH($F168,'CI&amp;S'!$B$22:$B$36,0))),"N/A")</f>
        <v/>
      </c>
      <c r="N168" s="50">
        <f>IFERROR(IF(INDEX('CFOG'!$N$10:$N$16,MATCH($F168,'CFOG'!$B$10:$B$16,0))="","Cell will autofill based on response",INDEX('CFOG'!$N$10:$N$16,MATCH($F168,'CFOG'!$B$10:$B$16,0))),"N/A")</f>
        <v/>
      </c>
      <c r="O168" s="50">
        <f>IFERROR(IF(INDEX('CFOG'!$N$23:$N$24,MATCH($F168,'CFOG'!$B$23:$B$24,0))="","Cell will autofill based on response",INDEX('CFOG'!$N$23:$N$24,MATCH($F168,'CFOG'!$B$23:$B$24,0))),"N/A")</f>
        <v/>
      </c>
      <c r="P168" s="50">
        <f>IFERROR(IF(INDEX('ESG'!$N$10:$N$17,MATCH($F168,'ESG'!$B$10:$B$17,0))="","Cell will autofill based on response",INDEX('ESG'!$N$10:$N$17,MATCH($F168,'ESG'!$B$10:$B$17,0))),"N/A")</f>
        <v/>
      </c>
      <c r="Q168" s="50">
        <f>IFERROR(IF(INDEX('CIOG'!$N$10:$N$14,MATCH($F168,'CIOG'!$B$10:$B$14,0))="","Cell will autofill based on response",INDEX('CIOG'!$N$10:$N$14,MATCH($F168,'CIOG'!$B$10:$B$14,0))),"N/A")</f>
        <v/>
      </c>
      <c r="R168" s="50">
        <f>IFERROR(IF(INDEX('MRE'!$N$10:$N$18,MATCH($F168,'MRE'!$B$10:$B$18,0))="","Cell will autofill based on response",INDEX('MRE'!$N$10:$N$18,MATCH($F168,'MRE'!$B$10:$B$18,0))),"N/A")</f>
        <v/>
      </c>
      <c r="S168" s="50">
        <f>IFERROR(IF(INDEX('AC&amp;M'!$N$10:$N$14,MATCH($F168,'AC&amp;M'!$B$10:$B$14,0))="","Cell will autofill based on response",INDEX('AC&amp;M'!$N$10:$N$14,MATCH($F168,'AC&amp;M'!$B$10:$B$14,0))),"N/A")</f>
        <v/>
      </c>
      <c r="T168" s="50">
        <f>IFERROR(IF(INDEX('GCE'!$N$10:$N$12,MATCH($F168,'GCE'!$B$10:$B$12,0))="","Cell will autofill based on response",INDEX('GCE'!$N$10:$N$12,MATCH($F168,'GCE'!$B$10:$B$12,0))),"N/A")</f>
        <v/>
      </c>
      <c r="U168" s="50">
        <f>IFERROR(IF(INDEX('Education'!$N$10:$N$13,MATCH($F168,'Education'!$B$10:$B$13,0))="","Cell will autofill based on response",INDEX('Education'!$N$10:$N$13,MATCH($F168,'Education'!$B$10:$B$13,0))),"N/A")</f>
        <v/>
      </c>
      <c r="V168" s="50">
        <f>IFERROR(IF(INDEX('SaSS'!$N$10:$N$12,MATCH($F168,'SaSS'!$B$10:$B$12,0))="","Cell will autofill based on response",INDEX('SaSS'!$N$10:$N$12,MATCH($F168,'SaSS'!$B$10:$B$12,0))),"N/A")</f>
        <v/>
      </c>
      <c r="W168" s="50">
        <f>IFERROR(IF(INDEX('Indigenous'!$N$10:$N$11,MATCH($F168,'Indigenous'!$B$10:$B$11,0))="","Cell will autofill based on response",INDEX('Indigenous'!$N$10:$N$11,MATCH($F168,'Indigenous'!$B$10:$B$11,0))),"N/A")</f>
        <v/>
      </c>
      <c r="X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IFERROR(IF(INDEX('CI&amp;S'!$O$10:$O$15,MATCH($F169,'CI&amp;S'!$B$10:$B$15,0))="","Cell will autofill based on response",INDEX('CI&amp;S'!$O$10:$O$15,MATCH($F169,'CI&amp;S'!$B$10:$B$15,0))),"N/A")</f>
        <v/>
      </c>
      <c r="M169" s="50">
        <f>IFERROR(IF(INDEX('CI&amp;S'!$O$22:$O$36,MATCH($F169,'CI&amp;S'!$B$22:$B$36,0))="","Cell will autofill based on response",INDEX('CI&amp;S'!$O$22:$O$36,MATCH($F169,'CI&amp;S'!$B$22:$B$36,0))),"N/A")</f>
        <v/>
      </c>
      <c r="N169" s="50">
        <f>IFERROR(IF(INDEX('CFOG'!$O$10:$O$16,MATCH($F169,'CFOG'!$B$10:$B$16,0))="","Cell will autofill based on response",INDEX('CFOG'!$O$10:$O$16,MATCH($F169,'CFOG'!$B$10:$B$16,0))),"N/A")</f>
        <v/>
      </c>
      <c r="O169" s="50">
        <f>IFERROR(IF(INDEX('CFOG'!$O$23:$O$24,MATCH($F169,'CFOG'!$B$23:$B$24,0))="","Cell will autofill based on response",INDEX('CFOG'!$O$23:$O$24,MATCH($F169,'CFOG'!$B$23:$B$24,0))),"N/A")</f>
        <v/>
      </c>
      <c r="P169" s="50">
        <f>IFERROR(IF(INDEX('ESG'!$O$10:$O$17,MATCH($F169,'ESG'!$B$10:$B$17,0))="","Cell will autofill based on response",INDEX('ESG'!$O$10:$O$17,MATCH($F169,'ESG'!$B$10:$B$17,0))),"N/A")</f>
        <v/>
      </c>
      <c r="Q169" s="50">
        <f>IFERROR(IF(INDEX('CIOG'!$O$10:$O$14,MATCH($F169,'CIOG'!$B$10:$B$14,0))="","Cell will autofill based on response",INDEX('CIOG'!$O$10:$O$14,MATCH($F169,'CIOG'!$B$10:$B$14,0))),"N/A")</f>
        <v/>
      </c>
      <c r="R169" s="50">
        <f>IFERROR(IF(INDEX('MRE'!$O$10:$O$18,MATCH($F169,'MRE'!$B$10:$B$18,0))="","Cell will autofill based on response",INDEX('MRE'!$O$10:$O$18,MATCH($F169,'MRE'!$B$10:$B$18,0))),"N/A")</f>
        <v/>
      </c>
      <c r="S169" s="50">
        <f>IFERROR(IF(INDEX('AC&amp;M'!$O$10:$O$14,MATCH($F169,'AC&amp;M'!$B$10:$B$14,0))="","Cell will autofill based on response",INDEX('AC&amp;M'!$O$10:$O$14,MATCH($F169,'AC&amp;M'!$B$10:$B$14,0))),"N/A")</f>
        <v/>
      </c>
      <c r="T169" s="50">
        <f>IFERROR(IF(INDEX('GCE'!$O$10:$O$12,MATCH($F169,'GCE'!$B$10:$B$12,0))="","Cell will autofill based on response",INDEX('GCE'!$O$10:$O$12,MATCH($F169,'GCE'!$B$10:$B$12,0))),"N/A")</f>
        <v/>
      </c>
      <c r="U169" s="50">
        <f>IFERROR(IF(INDEX('Education'!$O$10:$O$13,MATCH($F169,'Education'!$B$10:$B$13,0))="","Cell will autofill based on response",INDEX('Education'!$O$10:$O$13,MATCH($F169,'Education'!$B$10:$B$13,0))),"N/A")</f>
        <v/>
      </c>
      <c r="V169" s="50">
        <f>IFERROR(IF(INDEX('SaSS'!$O$10:$O$12,MATCH($F169,'SaSS'!$B$10:$B$12,0))="","Cell will autofill based on response",INDEX('SaSS'!$O$10:$O$12,MATCH($F169,'SaSS'!$B$10:$B$12,0))),"N/A")</f>
        <v/>
      </c>
      <c r="W169" s="50">
        <f>IFERROR(IF(INDEX('Indigenous'!$O$10:$O$11,MATCH($F169,'Indigenous'!$B$10:$B$11,0))="","Cell will autofill based on response",INDEX('Indigenous'!$O$10:$O$11,MATCH($F169,'Indigenous'!$B$10:$B$11,0))),"N/A")</f>
        <v/>
      </c>
      <c r="X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IFERROR(IF(INDEX('CI&amp;S'!$P$10:$P$15,MATCH($F170,'CI&amp;S'!$B$10:$B$15,0))="","Cell will autofill based on response",INDEX('CI&amp;S'!$P$10:$P$15,MATCH($F170,'CI&amp;S'!$B$10:$B$15,0))),"N/A")</f>
        <v/>
      </c>
      <c r="M170" s="50">
        <f>IFERROR(IF(INDEX('CI&amp;S'!$P$22:$P$36,MATCH($F170,'CI&amp;S'!$B$22:$B$36,0))="","Cell will autofill based on response",INDEX('CI&amp;S'!$P$22:$P$36,MATCH($F170,'CI&amp;S'!$B$22:$B$36,0))),"N/A")</f>
        <v/>
      </c>
      <c r="N170" s="50">
        <f>IFERROR(IF(INDEX('CFOG'!$P$10:$P$16,MATCH($F170,'CFOG'!$B$10:$B$16,0))="","Cell will autofill based on response",INDEX('CFOG'!$P$10:$P$16,MATCH($F170,'CFOG'!$B$10:$B$16,0))),"N/A")</f>
        <v/>
      </c>
      <c r="O170" s="50">
        <f>IFERROR(IF(INDEX('CFOG'!$P$23:$P$24,MATCH($F170,'CFOG'!$B$23:$B$24,0))="","Cell will autofill based on response",INDEX('CFOG'!$P$23:$P$24,MATCH($F170,'CFOG'!$B$23:$B$24,0))),"N/A")</f>
        <v/>
      </c>
      <c r="P170" s="50">
        <f>IFERROR(IF(INDEX('ESG'!$P$10:$P$17,MATCH($F170,'ESG'!$B$10:$B$17,0))="","Cell will autofill based on response",INDEX('ESG'!$P$10:$P$17,MATCH($F170,'ESG'!$B$10:$B$17,0))),"N/A")</f>
        <v/>
      </c>
      <c r="Q170" s="50">
        <f>IFERROR(IF(INDEX('CIOG'!$P$10:$P$14,MATCH($F170,'CIOG'!$B$10:$B$14,0))="","Cell will autofill based on response",INDEX('CIOG'!$P$10:$P$14,MATCH($F170,'CIOG'!$B$10:$B$14,0))),"N/A")</f>
        <v/>
      </c>
      <c r="R170" s="50">
        <f>IFERROR(IF(INDEX('MRE'!$P$10:$P$18,MATCH($F170,'MRE'!$B$10:$B$18,0))="","Cell will autofill based on response",INDEX('MRE'!$P$10:$P$18,MATCH($F170,'MRE'!$B$10:$B$18,0))),"N/A")</f>
        <v/>
      </c>
      <c r="S170" s="50">
        <f>IFERROR(IF(INDEX('AC&amp;M'!$P$10:$P$14,MATCH($F170,'AC&amp;M'!$B$10:$B$14,0))="","Cell will autofill based on response",INDEX('AC&amp;M'!$P$10:$P$14,MATCH($F170,'AC&amp;M'!$B$10:$B$14,0))),"N/A")</f>
        <v/>
      </c>
      <c r="T170" s="50">
        <f>IFERROR(IF(INDEX('GCE'!$P$10:$P$12,MATCH($F170,'GCE'!$B$10:$B$12,0))="","Cell will autofill based on response",INDEX('GCE'!$P$10:$P$12,MATCH($F170,'GCE'!$B$10:$B$12,0))),"N/A")</f>
        <v/>
      </c>
      <c r="U170" s="50">
        <f>IFERROR(IF(INDEX('Education'!$P$10:$P$13,MATCH($F170,'Education'!$B$10:$B$13,0))="","Cell will autofill based on response",INDEX('Education'!$P$10:$P$13,MATCH($F170,'Education'!$B$10:$B$13,0))),"N/A")</f>
        <v/>
      </c>
      <c r="V170" s="50">
        <f>IFERROR(IF(INDEX('SaSS'!$P$10:$P$12,MATCH($F170,'SaSS'!$B$10:$B$12,0))="","Cell will autofill based on response",INDEX('SaSS'!$P$10:$P$12,MATCH($F170,'SaSS'!$B$10:$B$12,0))),"N/A")</f>
        <v/>
      </c>
      <c r="W170" s="50">
        <f>IFERROR(IF(INDEX('Indigenous'!$P$10:$P$11,MATCH($F170,'Indigenous'!$B$10:$B$11,0))="","Cell will autofill based on response",INDEX('Indigenous'!$P$10:$P$11,MATCH($F170,'Indigenous'!$B$10:$B$11,0))),"N/A")</f>
        <v/>
      </c>
      <c r="X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IFERROR(IF(INDEX('CI&amp;S'!$L$10:$L$15,MATCH($F171,'CI&amp;S'!$B$10:$B$15,0))="","Cell will autofill based on response",INDEX('CI&amp;S'!$L$10:$L$15,MATCH($F171,'CI&amp;S'!$B$10:$B$15,0))),"N/A")</f>
        <v/>
      </c>
      <c r="M171" s="50">
        <f>IFERROR(IF(INDEX('CI&amp;S'!$L$22:$L$36,MATCH($F171,'CI&amp;S'!$B$22:$B$36,0))="","Cell will autofill based on response",INDEX('CI&amp;S'!$L$22:$L$36,MATCH($F171,'CI&amp;S'!$B$22:$B$36,0))),"N/A")</f>
        <v/>
      </c>
      <c r="N171" s="50">
        <f>IFERROR(IF(INDEX('CFOG'!$L$10:$L$16,MATCH($F171,'CFOG'!$B$10:$B$16,0))="","Cell will autofill based on response",INDEX('CFOG'!$L$10:$L$16,MATCH($F171,'CFOG'!$B$10:$B$16,0))),"N/A")</f>
        <v/>
      </c>
      <c r="O171" s="50">
        <f>IFERROR(IF(INDEX('CFOG'!$L$23:$L$24,MATCH($F171,'CFOG'!$B$23:$B$24,0))="","Cell will autofill based on response",INDEX('CFOG'!$L$23:$L$24,MATCH($F171,'CFOG'!$B$23:$B$24,0))),"N/A")</f>
        <v/>
      </c>
      <c r="P171" s="50">
        <f>IFERROR(IF(INDEX('ESG'!$L$10:$L$17,MATCH($F171,'ESG'!$B$10:$B$17,0))="","Cell will autofill based on response",INDEX('ESG'!$L$10:$L$17,MATCH($F171,'ESG'!$B$10:$B$17,0))),"N/A")</f>
        <v/>
      </c>
      <c r="Q171" s="50">
        <f>IFERROR(IF(INDEX('CIOG'!$L$10:$L$14,MATCH($F171,'CIOG'!$B$10:$B$14,0))="","Cell will autofill based on response",INDEX('CIOG'!$L$10:$L$14,MATCH($F171,'CIOG'!$B$10:$B$14,0))),"N/A")</f>
        <v/>
      </c>
      <c r="R171" s="50">
        <f>IFERROR(IF(INDEX('MRE'!$L$10:$L$18,MATCH($F171,'MRE'!$B$10:$B$18,0))="","Cell will autofill based on response",INDEX('MRE'!$L$10:$L$18,MATCH($F171,'MRE'!$B$10:$B$18,0))),"N/A")</f>
        <v/>
      </c>
      <c r="S171" s="50">
        <f>IFERROR(IF(INDEX('AC&amp;M'!$L$10:$L$14,MATCH($F171,'AC&amp;M'!$B$10:$B$14,0))="","Cell will autofill based on response",INDEX('AC&amp;M'!$L$10:$L$14,MATCH($F171,'AC&amp;M'!$B$10:$B$14,0))),"N/A")</f>
        <v/>
      </c>
      <c r="T171" s="50">
        <f>IFERROR(IF(INDEX('GCE'!$L$10:$L$12,MATCH($F171,'GCE'!$B$10:$B$12,0))="","Cell will autofill based on response",INDEX('GCE'!$L$10:$L$12,MATCH($F171,'GCE'!$B$10:$B$12,0))),"N/A")</f>
        <v/>
      </c>
      <c r="U171" s="50">
        <f>IFERROR(IF(INDEX('Education'!$L$10:$L$13,MATCH($F171,'Education'!$B$10:$B$13,0))="","Cell will autofill based on response",INDEX('Education'!$L$10:$L$13,MATCH($F171,'Education'!$B$10:$B$13,0))),"N/A")</f>
        <v/>
      </c>
      <c r="V171" s="50">
        <f>IFERROR(IF(INDEX('SaSS'!$L$10:$L$12,MATCH($F171,'SaSS'!$B$10:$B$12,0))="","Cell will autofill based on response",INDEX('SaSS'!$L$10:$L$12,MATCH($F171,'SaSS'!$B$10:$B$12,0))),"N/A")</f>
        <v/>
      </c>
      <c r="W171" s="50">
        <f>IFERROR(IF(INDEX('Indigenous'!$L$10:$L$11,MATCH($F171,'Indigenous'!$B$10:$B$11,0))="","Cell will autofill based on response",INDEX('Indigenous'!$L$10:$L$11,MATCH($F171,'Indigenous'!$B$10:$B$11,0))),"N/A")</f>
        <v/>
      </c>
      <c r="X171" s="50">
        <f>IFERROR(IF(INDEX('L&amp;R'!$L$10:$L$11,MATCH($F171,'L&amp;R'!$B$10:$B$11,0))="","Cell will autofill based on response",INDEX('L&amp;R'!$L$10:$L$11,MATCH($F171,'L&amp;R'!$B$10:$B$11,0))),"N/A")</f>
        <v/>
      </c>
      <c r="Z171" s="8">
        <f>SUMPRODUCT(--($H171:$X171&lt;&gt;"N/A"))</f>
        <v/>
      </c>
      <c r="AA171" s="8">
        <f>SUMPRODUCT(--(((($H171:$X171&lt;&gt;"N/A")*($H171:$X171&lt;&gt;"Cell will autofill based on response"))+(($H172:$X172&lt;&gt;"N/A")*($H172:$X172&lt;&gt;"Cell will autofill based on response")))&gt;0))</f>
        <v/>
      </c>
      <c r="AB171" s="8">
        <f>Z171-AA171</f>
        <v/>
      </c>
      <c r="AC171" s="8">
        <f>COUNTIF($H175:$X175,"Yes")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IFERROR(IF(INDEX('CI&amp;S'!$M$10:$M$15,MATCH($F172,'CI&amp;S'!$B$10:$B$15,0))="","Cell will autofill based on response",INDEX('CI&amp;S'!$M$10:$M$15,MATCH($F172,'CI&amp;S'!$B$10:$B$15,0))),"N/A")</f>
        <v/>
      </c>
      <c r="M172" s="50">
        <f>IFERROR(IF(INDEX('CI&amp;S'!$M$22:$M$36,MATCH($F172,'CI&amp;S'!$B$22:$B$36,0))="","Cell will autofill based on response",INDEX('CI&amp;S'!$M$22:$M$36,MATCH($F172,'CI&amp;S'!$B$22:$B$36,0))),"N/A")</f>
        <v/>
      </c>
      <c r="N172" s="50">
        <f>IFERROR(IF(INDEX('CFOG'!$M$10:$M$16,MATCH($F172,'CFOG'!$B$10:$B$16,0))="","Cell will autofill based on response",INDEX('CFOG'!$M$10:$M$16,MATCH($F172,'CFOG'!$B$10:$B$16,0))),"N/A")</f>
        <v/>
      </c>
      <c r="O172" s="50">
        <f>IFERROR(IF(INDEX('CFOG'!$M$23:$M$24,MATCH($F172,'CFOG'!$B$23:$B$24,0))="","Cell will autofill based on response",INDEX('CFOG'!$M$23:$M$24,MATCH($F172,'CFOG'!$B$23:$B$24,0))),"N/A")</f>
        <v/>
      </c>
      <c r="P172" s="50">
        <f>IFERROR(IF(INDEX('ESG'!$M$10:$M$17,MATCH($F172,'ESG'!$B$10:$B$17,0))="","Cell will autofill based on response",INDEX('ESG'!$M$10:$M$17,MATCH($F172,'ESG'!$B$10:$B$17,0))),"N/A")</f>
        <v/>
      </c>
      <c r="Q172" s="50">
        <f>IFERROR(IF(INDEX('CIOG'!$M$10:$M$14,MATCH($F172,'CIOG'!$B$10:$B$14,0))="","Cell will autofill based on response",INDEX('CIOG'!$M$10:$M$14,MATCH($F172,'CIOG'!$B$10:$B$14,0))),"N/A")</f>
        <v/>
      </c>
      <c r="R172" s="50">
        <f>IFERROR(IF(INDEX('MRE'!$M$10:$M$18,MATCH($F172,'MRE'!$B$10:$B$18,0))="","Cell will autofill based on response",INDEX('MRE'!$M$10:$M$18,MATCH($F172,'MRE'!$B$10:$B$18,0))),"N/A")</f>
        <v/>
      </c>
      <c r="S172" s="50">
        <f>IFERROR(IF(INDEX('AC&amp;M'!$M$10:$M$14,MATCH($F172,'AC&amp;M'!$B$10:$B$14,0))="","Cell will autofill based on response",INDEX('AC&amp;M'!$M$10:$M$14,MATCH($F172,'AC&amp;M'!$B$10:$B$14,0))),"N/A")</f>
        <v/>
      </c>
      <c r="T172" s="50">
        <f>IFERROR(IF(INDEX('GCE'!$M$10:$M$12,MATCH($F172,'GCE'!$B$10:$B$12,0))="","Cell will autofill based on response",INDEX('GCE'!$M$10:$M$12,MATCH($F172,'GCE'!$B$10:$B$12,0))),"N/A")</f>
        <v/>
      </c>
      <c r="U172" s="50">
        <f>IFERROR(IF(INDEX('Education'!$M$10:$M$13,MATCH($F172,'Education'!$B$10:$B$13,0))="","Cell will autofill based on response",INDEX('Education'!$M$10:$M$13,MATCH($F172,'Education'!$B$10:$B$13,0))),"N/A")</f>
        <v/>
      </c>
      <c r="V172" s="50">
        <f>IFERROR(IF(INDEX('SaSS'!$M$10:$M$12,MATCH($F172,'SaSS'!$B$10:$B$12,0))="","Cell will autofill based on response",INDEX('SaSS'!$M$10:$M$12,MATCH($F172,'SaSS'!$B$10:$B$12,0))),"N/A")</f>
        <v/>
      </c>
      <c r="W172" s="50">
        <f>IFERROR(IF(INDEX('Indigenous'!$M$10:$M$11,MATCH($F172,'Indigenous'!$B$10:$B$11,0))="","Cell will autofill based on response",INDEX('Indigenous'!$M$10:$M$11,MATCH($F172,'Indigenous'!$B$10:$B$11,0))),"N/A")</f>
        <v/>
      </c>
      <c r="X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IFERROR(IF(INDEX('CI&amp;S'!$N$10:$N$15,MATCH($F173,'CI&amp;S'!$B$10:$B$15,0))="","Cell will autofill based on response",INDEX('CI&amp;S'!$N$10:$N$15,MATCH($F173,'CI&amp;S'!$B$10:$B$15,0))),"N/A")</f>
        <v/>
      </c>
      <c r="M173" s="50">
        <f>IFERROR(IF(INDEX('CI&amp;S'!$N$22:$N$36,MATCH($F173,'CI&amp;S'!$B$22:$B$36,0))="","Cell will autofill based on response",INDEX('CI&amp;S'!$N$22:$N$36,MATCH($F173,'CI&amp;S'!$B$22:$B$36,0))),"N/A")</f>
        <v/>
      </c>
      <c r="N173" s="50">
        <f>IFERROR(IF(INDEX('CFOG'!$N$10:$N$16,MATCH($F173,'CFOG'!$B$10:$B$16,0))="","Cell will autofill based on response",INDEX('CFOG'!$N$10:$N$16,MATCH($F173,'CFOG'!$B$10:$B$16,0))),"N/A")</f>
        <v/>
      </c>
      <c r="O173" s="50">
        <f>IFERROR(IF(INDEX('CFOG'!$N$23:$N$24,MATCH($F173,'CFOG'!$B$23:$B$24,0))="","Cell will autofill based on response",INDEX('CFOG'!$N$23:$N$24,MATCH($F173,'CFOG'!$B$23:$B$24,0))),"N/A")</f>
        <v/>
      </c>
      <c r="P173" s="50">
        <f>IFERROR(IF(INDEX('ESG'!$N$10:$N$17,MATCH($F173,'ESG'!$B$10:$B$17,0))="","Cell will autofill based on response",INDEX('ESG'!$N$10:$N$17,MATCH($F173,'ESG'!$B$10:$B$17,0))),"N/A")</f>
        <v/>
      </c>
      <c r="Q173" s="50">
        <f>IFERROR(IF(INDEX('CIOG'!$N$10:$N$14,MATCH($F173,'CIOG'!$B$10:$B$14,0))="","Cell will autofill based on response",INDEX('CIOG'!$N$10:$N$14,MATCH($F173,'CIOG'!$B$10:$B$14,0))),"N/A")</f>
        <v/>
      </c>
      <c r="R173" s="50">
        <f>IFERROR(IF(INDEX('MRE'!$N$10:$N$18,MATCH($F173,'MRE'!$B$10:$B$18,0))="","Cell will autofill based on response",INDEX('MRE'!$N$10:$N$18,MATCH($F173,'MRE'!$B$10:$B$18,0))),"N/A")</f>
        <v/>
      </c>
      <c r="S173" s="50">
        <f>IFERROR(IF(INDEX('AC&amp;M'!$N$10:$N$14,MATCH($F173,'AC&amp;M'!$B$10:$B$14,0))="","Cell will autofill based on response",INDEX('AC&amp;M'!$N$10:$N$14,MATCH($F173,'AC&amp;M'!$B$10:$B$14,0))),"N/A")</f>
        <v/>
      </c>
      <c r="T173" s="50">
        <f>IFERROR(IF(INDEX('GCE'!$N$10:$N$12,MATCH($F173,'GCE'!$B$10:$B$12,0))="","Cell will autofill based on response",INDEX('GCE'!$N$10:$N$12,MATCH($F173,'GCE'!$B$10:$B$12,0))),"N/A")</f>
        <v/>
      </c>
      <c r="U173" s="50">
        <f>IFERROR(IF(INDEX('Education'!$N$10:$N$13,MATCH($F173,'Education'!$B$10:$B$13,0))="","Cell will autofill based on response",INDEX('Education'!$N$10:$N$13,MATCH($F173,'Education'!$B$10:$B$13,0))),"N/A")</f>
        <v/>
      </c>
      <c r="V173" s="50">
        <f>IFERROR(IF(INDEX('SaSS'!$N$10:$N$12,MATCH($F173,'SaSS'!$B$10:$B$12,0))="","Cell will autofill based on response",INDEX('SaSS'!$N$10:$N$12,MATCH($F173,'SaSS'!$B$10:$B$12,0))),"N/A")</f>
        <v/>
      </c>
      <c r="W173" s="50">
        <f>IFERROR(IF(INDEX('Indigenous'!$N$10:$N$11,MATCH($F173,'Indigenous'!$B$10:$B$11,0))="","Cell will autofill based on response",INDEX('Indigenous'!$N$10:$N$11,MATCH($F173,'Indigenous'!$B$10:$B$11,0))),"N/A")</f>
        <v/>
      </c>
      <c r="X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IFERROR(IF(INDEX('CI&amp;S'!$O$10:$O$15,MATCH($F174,'CI&amp;S'!$B$10:$B$15,0))="","Cell will autofill based on response",INDEX('CI&amp;S'!$O$10:$O$15,MATCH($F174,'CI&amp;S'!$B$10:$B$15,0))),"N/A")</f>
        <v/>
      </c>
      <c r="M174" s="50">
        <f>IFERROR(IF(INDEX('CI&amp;S'!$O$22:$O$36,MATCH($F174,'CI&amp;S'!$B$22:$B$36,0))="","Cell will autofill based on response",INDEX('CI&amp;S'!$O$22:$O$36,MATCH($F174,'CI&amp;S'!$B$22:$B$36,0))),"N/A")</f>
        <v/>
      </c>
      <c r="N174" s="50">
        <f>IFERROR(IF(INDEX('CFOG'!$O$10:$O$16,MATCH($F174,'CFOG'!$B$10:$B$16,0))="","Cell will autofill based on response",INDEX('CFOG'!$O$10:$O$16,MATCH($F174,'CFOG'!$B$10:$B$16,0))),"N/A")</f>
        <v/>
      </c>
      <c r="O174" s="50">
        <f>IFERROR(IF(INDEX('CFOG'!$O$23:$O$24,MATCH($F174,'CFOG'!$B$23:$B$24,0))="","Cell will autofill based on response",INDEX('CFOG'!$O$23:$O$24,MATCH($F174,'CFOG'!$B$23:$B$24,0))),"N/A")</f>
        <v/>
      </c>
      <c r="P174" s="50">
        <f>IFERROR(IF(INDEX('ESG'!$O$10:$O$17,MATCH($F174,'ESG'!$B$10:$B$17,0))="","Cell will autofill based on response",INDEX('ESG'!$O$10:$O$17,MATCH($F174,'ESG'!$B$10:$B$17,0))),"N/A")</f>
        <v/>
      </c>
      <c r="Q174" s="50">
        <f>IFERROR(IF(INDEX('CIOG'!$O$10:$O$14,MATCH($F174,'CIOG'!$B$10:$B$14,0))="","Cell will autofill based on response",INDEX('CIOG'!$O$10:$O$14,MATCH($F174,'CIOG'!$B$10:$B$14,0))),"N/A")</f>
        <v/>
      </c>
      <c r="R174" s="50">
        <f>IFERROR(IF(INDEX('MRE'!$O$10:$O$18,MATCH($F174,'MRE'!$B$10:$B$18,0))="","Cell will autofill based on response",INDEX('MRE'!$O$10:$O$18,MATCH($F174,'MRE'!$B$10:$B$18,0))),"N/A")</f>
        <v/>
      </c>
      <c r="S174" s="50">
        <f>IFERROR(IF(INDEX('AC&amp;M'!$O$10:$O$14,MATCH($F174,'AC&amp;M'!$B$10:$B$14,0))="","Cell will autofill based on response",INDEX('AC&amp;M'!$O$10:$O$14,MATCH($F174,'AC&amp;M'!$B$10:$B$14,0))),"N/A")</f>
        <v/>
      </c>
      <c r="T174" s="50">
        <f>IFERROR(IF(INDEX('GCE'!$O$10:$O$12,MATCH($F174,'GCE'!$B$10:$B$12,0))="","Cell will autofill based on response",INDEX('GCE'!$O$10:$O$12,MATCH($F174,'GCE'!$B$10:$B$12,0))),"N/A")</f>
        <v/>
      </c>
      <c r="U174" s="50">
        <f>IFERROR(IF(INDEX('Education'!$O$10:$O$13,MATCH($F174,'Education'!$B$10:$B$13,0))="","Cell will autofill based on response",INDEX('Education'!$O$10:$O$13,MATCH($F174,'Education'!$B$10:$B$13,0))),"N/A")</f>
        <v/>
      </c>
      <c r="V174" s="50">
        <f>IFERROR(IF(INDEX('SaSS'!$O$10:$O$12,MATCH($F174,'SaSS'!$B$10:$B$12,0))="","Cell will autofill based on response",INDEX('SaSS'!$O$10:$O$12,MATCH($F174,'SaSS'!$B$10:$B$12,0))),"N/A")</f>
        <v/>
      </c>
      <c r="W174" s="50">
        <f>IFERROR(IF(INDEX('Indigenous'!$O$10:$O$11,MATCH($F174,'Indigenous'!$B$10:$B$11,0))="","Cell will autofill based on response",INDEX('Indigenous'!$O$10:$O$11,MATCH($F174,'Indigenous'!$B$10:$B$11,0))),"N/A")</f>
        <v/>
      </c>
      <c r="X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IFERROR(IF(INDEX('CI&amp;S'!$P$10:$P$15,MATCH($F175,'CI&amp;S'!$B$10:$B$15,0))="","Cell will autofill based on response",INDEX('CI&amp;S'!$P$10:$P$15,MATCH($F175,'CI&amp;S'!$B$10:$B$15,0))),"N/A")</f>
        <v/>
      </c>
      <c r="M175" s="50">
        <f>IFERROR(IF(INDEX('CI&amp;S'!$P$22:$P$36,MATCH($F175,'CI&amp;S'!$B$22:$B$36,0))="","Cell will autofill based on response",INDEX('CI&amp;S'!$P$22:$P$36,MATCH($F175,'CI&amp;S'!$B$22:$B$36,0))),"N/A")</f>
        <v/>
      </c>
      <c r="N175" s="50">
        <f>IFERROR(IF(INDEX('CFOG'!$P$10:$P$16,MATCH($F175,'CFOG'!$B$10:$B$16,0))="","Cell will autofill based on response",INDEX('CFOG'!$P$10:$P$16,MATCH($F175,'CFOG'!$B$10:$B$16,0))),"N/A")</f>
        <v/>
      </c>
      <c r="O175" s="50">
        <f>IFERROR(IF(INDEX('CFOG'!$P$23:$P$24,MATCH($F175,'CFOG'!$B$23:$B$24,0))="","Cell will autofill based on response",INDEX('CFOG'!$P$23:$P$24,MATCH($F175,'CFOG'!$B$23:$B$24,0))),"N/A")</f>
        <v/>
      </c>
      <c r="P175" s="50">
        <f>IFERROR(IF(INDEX('ESG'!$P$10:$P$17,MATCH($F175,'ESG'!$B$10:$B$17,0))="","Cell will autofill based on response",INDEX('ESG'!$P$10:$P$17,MATCH($F175,'ESG'!$B$10:$B$17,0))),"N/A")</f>
        <v/>
      </c>
      <c r="Q175" s="50">
        <f>IFERROR(IF(INDEX('CIOG'!$P$10:$P$14,MATCH($F175,'CIOG'!$B$10:$B$14,0))="","Cell will autofill based on response",INDEX('CIOG'!$P$10:$P$14,MATCH($F175,'CIOG'!$B$10:$B$14,0))),"N/A")</f>
        <v/>
      </c>
      <c r="R175" s="50">
        <f>IFERROR(IF(INDEX('MRE'!$P$10:$P$18,MATCH($F175,'MRE'!$B$10:$B$18,0))="","Cell will autofill based on response",INDEX('MRE'!$P$10:$P$18,MATCH($F175,'MRE'!$B$10:$B$18,0))),"N/A")</f>
        <v/>
      </c>
      <c r="S175" s="50">
        <f>IFERROR(IF(INDEX('AC&amp;M'!$P$10:$P$14,MATCH($F175,'AC&amp;M'!$B$10:$B$14,0))="","Cell will autofill based on response",INDEX('AC&amp;M'!$P$10:$P$14,MATCH($F175,'AC&amp;M'!$B$10:$B$14,0))),"N/A")</f>
        <v/>
      </c>
      <c r="T175" s="50">
        <f>IFERROR(IF(INDEX('GCE'!$P$10:$P$12,MATCH($F175,'GCE'!$B$10:$B$12,0))="","Cell will autofill based on response",INDEX('GCE'!$P$10:$P$12,MATCH($F175,'GCE'!$B$10:$B$12,0))),"N/A")</f>
        <v/>
      </c>
      <c r="U175" s="50">
        <f>IFERROR(IF(INDEX('Education'!$P$10:$P$13,MATCH($F175,'Education'!$B$10:$B$13,0))="","Cell will autofill based on response",INDEX('Education'!$P$10:$P$13,MATCH($F175,'Education'!$B$10:$B$13,0))),"N/A")</f>
        <v/>
      </c>
      <c r="V175" s="50">
        <f>IFERROR(IF(INDEX('SaSS'!$P$10:$P$12,MATCH($F175,'SaSS'!$B$10:$B$12,0))="","Cell will autofill based on response",INDEX('SaSS'!$P$10:$P$12,MATCH($F175,'SaSS'!$B$10:$B$12,0))),"N/A")</f>
        <v/>
      </c>
      <c r="W175" s="50">
        <f>IFERROR(IF(INDEX('Indigenous'!$P$10:$P$11,MATCH($F175,'Indigenous'!$B$10:$B$11,0))="","Cell will autofill based on response",INDEX('Indigenous'!$P$10:$P$11,MATCH($F175,'Indigenous'!$B$10:$B$11,0))),"N/A")</f>
        <v/>
      </c>
      <c r="X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IFERROR(IF(INDEX('CI&amp;S'!$L$10:$L$15,MATCH($F176,'CI&amp;S'!$B$10:$B$15,0))="","Cell will autofill based on response",INDEX('CI&amp;S'!$L$10:$L$15,MATCH($F176,'CI&amp;S'!$B$10:$B$15,0))),"N/A")</f>
        <v/>
      </c>
      <c r="M176" s="50">
        <f>IFERROR(IF(INDEX('CI&amp;S'!$L$22:$L$36,MATCH($F176,'CI&amp;S'!$B$22:$B$36,0))="","Cell will autofill based on response",INDEX('CI&amp;S'!$L$22:$L$36,MATCH($F176,'CI&amp;S'!$B$22:$B$36,0))),"N/A")</f>
        <v/>
      </c>
      <c r="N176" s="50">
        <f>IFERROR(IF(INDEX('CFOG'!$L$10:$L$16,MATCH($F176,'CFOG'!$B$10:$B$16,0))="","Cell will autofill based on response",INDEX('CFOG'!$L$10:$L$16,MATCH($F176,'CFOG'!$B$10:$B$16,0))),"N/A")</f>
        <v/>
      </c>
      <c r="O176" s="50">
        <f>IFERROR(IF(INDEX('CFOG'!$L$23:$L$24,MATCH($F176,'CFOG'!$B$23:$B$24,0))="","Cell will autofill based on response",INDEX('CFOG'!$L$23:$L$24,MATCH($F176,'CFOG'!$B$23:$B$24,0))),"N/A")</f>
        <v/>
      </c>
      <c r="P176" s="50">
        <f>IFERROR(IF(INDEX('ESG'!$L$10:$L$17,MATCH($F176,'ESG'!$B$10:$B$17,0))="","Cell will autofill based on response",INDEX('ESG'!$L$10:$L$17,MATCH($F176,'ESG'!$B$10:$B$17,0))),"N/A")</f>
        <v/>
      </c>
      <c r="Q176" s="50">
        <f>IFERROR(IF(INDEX('CIOG'!$L$10:$L$14,MATCH($F176,'CIOG'!$B$10:$B$14,0))="","Cell will autofill based on response",INDEX('CIOG'!$L$10:$L$14,MATCH($F176,'CIOG'!$B$10:$B$14,0))),"N/A")</f>
        <v/>
      </c>
      <c r="R176" s="50">
        <f>IFERROR(IF(INDEX('MRE'!$L$10:$L$18,MATCH($F176,'MRE'!$B$10:$B$18,0))="","Cell will autofill based on response",INDEX('MRE'!$L$10:$L$18,MATCH($F176,'MRE'!$B$10:$B$18,0))),"N/A")</f>
        <v/>
      </c>
      <c r="S176" s="50">
        <f>IFERROR(IF(INDEX('AC&amp;M'!$L$10:$L$14,MATCH($F176,'AC&amp;M'!$B$10:$B$14,0))="","Cell will autofill based on response",INDEX('AC&amp;M'!$L$10:$L$14,MATCH($F176,'AC&amp;M'!$B$10:$B$14,0))),"N/A")</f>
        <v/>
      </c>
      <c r="T176" s="50">
        <f>IFERROR(IF(INDEX('GCE'!$L$10:$L$12,MATCH($F176,'GCE'!$B$10:$B$12,0))="","Cell will autofill based on response",INDEX('GCE'!$L$10:$L$12,MATCH($F176,'GCE'!$B$10:$B$12,0))),"N/A")</f>
        <v/>
      </c>
      <c r="U176" s="50">
        <f>IFERROR(IF(INDEX('Education'!$L$10:$L$13,MATCH($F176,'Education'!$B$10:$B$13,0))="","Cell will autofill based on response",INDEX('Education'!$L$10:$L$13,MATCH($F176,'Education'!$B$10:$B$13,0))),"N/A")</f>
        <v/>
      </c>
      <c r="V176" s="50">
        <f>IFERROR(IF(INDEX('SaSS'!$L$10:$L$12,MATCH($F176,'SaSS'!$B$10:$B$12,0))="","Cell will autofill based on response",INDEX('SaSS'!$L$10:$L$12,MATCH($F176,'SaSS'!$B$10:$B$12,0))),"N/A")</f>
        <v/>
      </c>
      <c r="W176" s="50">
        <f>IFERROR(IF(INDEX('Indigenous'!$L$10:$L$11,MATCH($F176,'Indigenous'!$B$10:$B$11,0))="","Cell will autofill based on response",INDEX('Indigenous'!$L$10:$L$11,MATCH($F176,'Indigenous'!$B$10:$B$11,0))),"N/A")</f>
        <v/>
      </c>
      <c r="X176" s="50">
        <f>IFERROR(IF(INDEX('L&amp;R'!$L$10:$L$11,MATCH($F176,'L&amp;R'!$B$10:$B$11,0))="","Cell will autofill based on response",INDEX('L&amp;R'!$L$10:$L$11,MATCH($F176,'L&amp;R'!$B$10:$B$11,0))),"N/A")</f>
        <v/>
      </c>
      <c r="Z176" s="8">
        <f>SUMPRODUCT(--($H176:$X176&lt;&gt;"N/A"))</f>
        <v/>
      </c>
      <c r="AA176" s="8">
        <f>SUMPRODUCT(--(((($H176:$X176&lt;&gt;"N/A")*($H176:$X176&lt;&gt;"Cell will autofill based on response"))+(($H177:$X177&lt;&gt;"N/A")*($H177:$X177&lt;&gt;"Cell will autofill based on response")))&gt;0))</f>
        <v/>
      </c>
      <c r="AB176" s="8">
        <f>Z176-AA176</f>
        <v/>
      </c>
      <c r="AC176" s="8">
        <f>COUNTIF($H180:$X180,"Yes")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IFERROR(IF(INDEX('CI&amp;S'!$M$10:$M$15,MATCH($F177,'CI&amp;S'!$B$10:$B$15,0))="","Cell will autofill based on response",INDEX('CI&amp;S'!$M$10:$M$15,MATCH($F177,'CI&amp;S'!$B$10:$B$15,0))),"N/A")</f>
        <v/>
      </c>
      <c r="M177" s="50">
        <f>IFERROR(IF(INDEX('CI&amp;S'!$M$22:$M$36,MATCH($F177,'CI&amp;S'!$B$22:$B$36,0))="","Cell will autofill based on response",INDEX('CI&amp;S'!$M$22:$M$36,MATCH($F177,'CI&amp;S'!$B$22:$B$36,0))),"N/A")</f>
        <v/>
      </c>
      <c r="N177" s="50">
        <f>IFERROR(IF(INDEX('CFOG'!$M$10:$M$16,MATCH($F177,'CFOG'!$B$10:$B$16,0))="","Cell will autofill based on response",INDEX('CFOG'!$M$10:$M$16,MATCH($F177,'CFOG'!$B$10:$B$16,0))),"N/A")</f>
        <v/>
      </c>
      <c r="O177" s="50">
        <f>IFERROR(IF(INDEX('CFOG'!$M$23:$M$24,MATCH($F177,'CFOG'!$B$23:$B$24,0))="","Cell will autofill based on response",INDEX('CFOG'!$M$23:$M$24,MATCH($F177,'CFOG'!$B$23:$B$24,0))),"N/A")</f>
        <v/>
      </c>
      <c r="P177" s="50">
        <f>IFERROR(IF(INDEX('ESG'!$M$10:$M$17,MATCH($F177,'ESG'!$B$10:$B$17,0))="","Cell will autofill based on response",INDEX('ESG'!$M$10:$M$17,MATCH($F177,'ESG'!$B$10:$B$17,0))),"N/A")</f>
        <v/>
      </c>
      <c r="Q177" s="50">
        <f>IFERROR(IF(INDEX('CIOG'!$M$10:$M$14,MATCH($F177,'CIOG'!$B$10:$B$14,0))="","Cell will autofill based on response",INDEX('CIOG'!$M$10:$M$14,MATCH($F177,'CIOG'!$B$10:$B$14,0))),"N/A")</f>
        <v/>
      </c>
      <c r="R177" s="50">
        <f>IFERROR(IF(INDEX('MRE'!$M$10:$M$18,MATCH($F177,'MRE'!$B$10:$B$18,0))="","Cell will autofill based on response",INDEX('MRE'!$M$10:$M$18,MATCH($F177,'MRE'!$B$10:$B$18,0))),"N/A")</f>
        <v/>
      </c>
      <c r="S177" s="50">
        <f>IFERROR(IF(INDEX('AC&amp;M'!$M$10:$M$14,MATCH($F177,'AC&amp;M'!$B$10:$B$14,0))="","Cell will autofill based on response",INDEX('AC&amp;M'!$M$10:$M$14,MATCH($F177,'AC&amp;M'!$B$10:$B$14,0))),"N/A")</f>
        <v/>
      </c>
      <c r="T177" s="50">
        <f>IFERROR(IF(INDEX('GCE'!$M$10:$M$12,MATCH($F177,'GCE'!$B$10:$B$12,0))="","Cell will autofill based on response",INDEX('GCE'!$M$10:$M$12,MATCH($F177,'GCE'!$B$10:$B$12,0))),"N/A")</f>
        <v/>
      </c>
      <c r="U177" s="50">
        <f>IFERROR(IF(INDEX('Education'!$M$10:$M$13,MATCH($F177,'Education'!$B$10:$B$13,0))="","Cell will autofill based on response",INDEX('Education'!$M$10:$M$13,MATCH($F177,'Education'!$B$10:$B$13,0))),"N/A")</f>
        <v/>
      </c>
      <c r="V177" s="50">
        <f>IFERROR(IF(INDEX('SaSS'!$M$10:$M$12,MATCH($F177,'SaSS'!$B$10:$B$12,0))="","Cell will autofill based on response",INDEX('SaSS'!$M$10:$M$12,MATCH($F177,'SaSS'!$B$10:$B$12,0))),"N/A")</f>
        <v/>
      </c>
      <c r="W177" s="50">
        <f>IFERROR(IF(INDEX('Indigenous'!$M$10:$M$11,MATCH($F177,'Indigenous'!$B$10:$B$11,0))="","Cell will autofill based on response",INDEX('Indigenous'!$M$10:$M$11,MATCH($F177,'Indigenous'!$B$10:$B$11,0))),"N/A")</f>
        <v/>
      </c>
      <c r="X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IFERROR(IF(INDEX('CI&amp;S'!$N$10:$N$15,MATCH($F178,'CI&amp;S'!$B$10:$B$15,0))="","Cell will autofill based on response",INDEX('CI&amp;S'!$N$10:$N$15,MATCH($F178,'CI&amp;S'!$B$10:$B$15,0))),"N/A")</f>
        <v/>
      </c>
      <c r="M178" s="50">
        <f>IFERROR(IF(INDEX('CI&amp;S'!$N$22:$N$36,MATCH($F178,'CI&amp;S'!$B$22:$B$36,0))="","Cell will autofill based on response",INDEX('CI&amp;S'!$N$22:$N$36,MATCH($F178,'CI&amp;S'!$B$22:$B$36,0))),"N/A")</f>
        <v/>
      </c>
      <c r="N178" s="50">
        <f>IFERROR(IF(INDEX('CFOG'!$N$10:$N$16,MATCH($F178,'CFOG'!$B$10:$B$16,0))="","Cell will autofill based on response",INDEX('CFOG'!$N$10:$N$16,MATCH($F178,'CFOG'!$B$10:$B$16,0))),"N/A")</f>
        <v/>
      </c>
      <c r="O178" s="50">
        <f>IFERROR(IF(INDEX('CFOG'!$N$23:$N$24,MATCH($F178,'CFOG'!$B$23:$B$24,0))="","Cell will autofill based on response",INDEX('CFOG'!$N$23:$N$24,MATCH($F178,'CFOG'!$B$23:$B$24,0))),"N/A")</f>
        <v/>
      </c>
      <c r="P178" s="50">
        <f>IFERROR(IF(INDEX('ESG'!$N$10:$N$17,MATCH($F178,'ESG'!$B$10:$B$17,0))="","Cell will autofill based on response",INDEX('ESG'!$N$10:$N$17,MATCH($F178,'ESG'!$B$10:$B$17,0))),"N/A")</f>
        <v/>
      </c>
      <c r="Q178" s="50">
        <f>IFERROR(IF(INDEX('CIOG'!$N$10:$N$14,MATCH($F178,'CIOG'!$B$10:$B$14,0))="","Cell will autofill based on response",INDEX('CIOG'!$N$10:$N$14,MATCH($F178,'CIOG'!$B$10:$B$14,0))),"N/A")</f>
        <v/>
      </c>
      <c r="R178" s="50">
        <f>IFERROR(IF(INDEX('MRE'!$N$10:$N$18,MATCH($F178,'MRE'!$B$10:$B$18,0))="","Cell will autofill based on response",INDEX('MRE'!$N$10:$N$18,MATCH($F178,'MRE'!$B$10:$B$18,0))),"N/A")</f>
        <v/>
      </c>
      <c r="S178" s="50">
        <f>IFERROR(IF(INDEX('AC&amp;M'!$N$10:$N$14,MATCH($F178,'AC&amp;M'!$B$10:$B$14,0))="","Cell will autofill based on response",INDEX('AC&amp;M'!$N$10:$N$14,MATCH($F178,'AC&amp;M'!$B$10:$B$14,0))),"N/A")</f>
        <v/>
      </c>
      <c r="T178" s="50">
        <f>IFERROR(IF(INDEX('GCE'!$N$10:$N$12,MATCH($F178,'GCE'!$B$10:$B$12,0))="","Cell will autofill based on response",INDEX('GCE'!$N$10:$N$12,MATCH($F178,'GCE'!$B$10:$B$12,0))),"N/A")</f>
        <v/>
      </c>
      <c r="U178" s="50">
        <f>IFERROR(IF(INDEX('Education'!$N$10:$N$13,MATCH($F178,'Education'!$B$10:$B$13,0))="","Cell will autofill based on response",INDEX('Education'!$N$10:$N$13,MATCH($F178,'Education'!$B$10:$B$13,0))),"N/A")</f>
        <v/>
      </c>
      <c r="V178" s="50">
        <f>IFERROR(IF(INDEX('SaSS'!$N$10:$N$12,MATCH($F178,'SaSS'!$B$10:$B$12,0))="","Cell will autofill based on response",INDEX('SaSS'!$N$10:$N$12,MATCH($F178,'SaSS'!$B$10:$B$12,0))),"N/A")</f>
        <v/>
      </c>
      <c r="W178" s="50">
        <f>IFERROR(IF(INDEX('Indigenous'!$N$10:$N$11,MATCH($F178,'Indigenous'!$B$10:$B$11,0))="","Cell will autofill based on response",INDEX('Indigenous'!$N$10:$N$11,MATCH($F178,'Indigenous'!$B$10:$B$11,0))),"N/A")</f>
        <v/>
      </c>
      <c r="X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IFERROR(IF(INDEX('CI&amp;S'!$O$10:$O$15,MATCH($F179,'CI&amp;S'!$B$10:$B$15,0))="","Cell will autofill based on response",INDEX('CI&amp;S'!$O$10:$O$15,MATCH($F179,'CI&amp;S'!$B$10:$B$15,0))),"N/A")</f>
        <v/>
      </c>
      <c r="M179" s="50">
        <f>IFERROR(IF(INDEX('CI&amp;S'!$O$22:$O$36,MATCH($F179,'CI&amp;S'!$B$22:$B$36,0))="","Cell will autofill based on response",INDEX('CI&amp;S'!$O$22:$O$36,MATCH($F179,'CI&amp;S'!$B$22:$B$36,0))),"N/A")</f>
        <v/>
      </c>
      <c r="N179" s="50">
        <f>IFERROR(IF(INDEX('CFOG'!$O$10:$O$16,MATCH($F179,'CFOG'!$B$10:$B$16,0))="","Cell will autofill based on response",INDEX('CFOG'!$O$10:$O$16,MATCH($F179,'CFOG'!$B$10:$B$16,0))),"N/A")</f>
        <v/>
      </c>
      <c r="O179" s="50">
        <f>IFERROR(IF(INDEX('CFOG'!$O$23:$O$24,MATCH($F179,'CFOG'!$B$23:$B$24,0))="","Cell will autofill based on response",INDEX('CFOG'!$O$23:$O$24,MATCH($F179,'CFOG'!$B$23:$B$24,0))),"N/A")</f>
        <v/>
      </c>
      <c r="P179" s="50">
        <f>IFERROR(IF(INDEX('ESG'!$O$10:$O$17,MATCH($F179,'ESG'!$B$10:$B$17,0))="","Cell will autofill based on response",INDEX('ESG'!$O$10:$O$17,MATCH($F179,'ESG'!$B$10:$B$17,0))),"N/A")</f>
        <v/>
      </c>
      <c r="Q179" s="50">
        <f>IFERROR(IF(INDEX('CIOG'!$O$10:$O$14,MATCH($F179,'CIOG'!$B$10:$B$14,0))="","Cell will autofill based on response",INDEX('CIOG'!$O$10:$O$14,MATCH($F179,'CIOG'!$B$10:$B$14,0))),"N/A")</f>
        <v/>
      </c>
      <c r="R179" s="50">
        <f>IFERROR(IF(INDEX('MRE'!$O$10:$O$18,MATCH($F179,'MRE'!$B$10:$B$18,0))="","Cell will autofill based on response",INDEX('MRE'!$O$10:$O$18,MATCH($F179,'MRE'!$B$10:$B$18,0))),"N/A")</f>
        <v/>
      </c>
      <c r="S179" s="50">
        <f>IFERROR(IF(INDEX('AC&amp;M'!$O$10:$O$14,MATCH($F179,'AC&amp;M'!$B$10:$B$14,0))="","Cell will autofill based on response",INDEX('AC&amp;M'!$O$10:$O$14,MATCH($F179,'AC&amp;M'!$B$10:$B$14,0))),"N/A")</f>
        <v/>
      </c>
      <c r="T179" s="50">
        <f>IFERROR(IF(INDEX('GCE'!$O$10:$O$12,MATCH($F179,'GCE'!$B$10:$B$12,0))="","Cell will autofill based on response",INDEX('GCE'!$O$10:$O$12,MATCH($F179,'GCE'!$B$10:$B$12,0))),"N/A")</f>
        <v/>
      </c>
      <c r="U179" s="50">
        <f>IFERROR(IF(INDEX('Education'!$O$10:$O$13,MATCH($F179,'Education'!$B$10:$B$13,0))="","Cell will autofill based on response",INDEX('Education'!$O$10:$O$13,MATCH($F179,'Education'!$B$10:$B$13,0))),"N/A")</f>
        <v/>
      </c>
      <c r="V179" s="50">
        <f>IFERROR(IF(INDEX('SaSS'!$O$10:$O$12,MATCH($F179,'SaSS'!$B$10:$B$12,0))="","Cell will autofill based on response",INDEX('SaSS'!$O$10:$O$12,MATCH($F179,'SaSS'!$B$10:$B$12,0))),"N/A")</f>
        <v/>
      </c>
      <c r="W179" s="50">
        <f>IFERROR(IF(INDEX('Indigenous'!$O$10:$O$11,MATCH($F179,'Indigenous'!$B$10:$B$11,0))="","Cell will autofill based on response",INDEX('Indigenous'!$O$10:$O$11,MATCH($F179,'Indigenous'!$B$10:$B$11,0))),"N/A")</f>
        <v/>
      </c>
      <c r="X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IFERROR(IF(INDEX('CI&amp;S'!$P$10:$P$15,MATCH($F180,'CI&amp;S'!$B$10:$B$15,0))="","Cell will autofill based on response",INDEX('CI&amp;S'!$P$10:$P$15,MATCH($F180,'CI&amp;S'!$B$10:$B$15,0))),"N/A")</f>
        <v/>
      </c>
      <c r="M180" s="50">
        <f>IFERROR(IF(INDEX('CI&amp;S'!$P$22:$P$36,MATCH($F180,'CI&amp;S'!$B$22:$B$36,0))="","Cell will autofill based on response",INDEX('CI&amp;S'!$P$22:$P$36,MATCH($F180,'CI&amp;S'!$B$22:$B$36,0))),"N/A")</f>
        <v/>
      </c>
      <c r="N180" s="50">
        <f>IFERROR(IF(INDEX('CFOG'!$P$10:$P$16,MATCH($F180,'CFOG'!$B$10:$B$16,0))="","Cell will autofill based on response",INDEX('CFOG'!$P$10:$P$16,MATCH($F180,'CFOG'!$B$10:$B$16,0))),"N/A")</f>
        <v/>
      </c>
      <c r="O180" s="50">
        <f>IFERROR(IF(INDEX('CFOG'!$P$23:$P$24,MATCH($F180,'CFOG'!$B$23:$B$24,0))="","Cell will autofill based on response",INDEX('CFOG'!$P$23:$P$24,MATCH($F180,'CFOG'!$B$23:$B$24,0))),"N/A")</f>
        <v/>
      </c>
      <c r="P180" s="50">
        <f>IFERROR(IF(INDEX('ESG'!$P$10:$P$17,MATCH($F180,'ESG'!$B$10:$B$17,0))="","Cell will autofill based on response",INDEX('ESG'!$P$10:$P$17,MATCH($F180,'ESG'!$B$10:$B$17,0))),"N/A")</f>
        <v/>
      </c>
      <c r="Q180" s="50">
        <f>IFERROR(IF(INDEX('CIOG'!$P$10:$P$14,MATCH($F180,'CIOG'!$B$10:$B$14,0))="","Cell will autofill based on response",INDEX('CIOG'!$P$10:$P$14,MATCH($F180,'CIOG'!$B$10:$B$14,0))),"N/A")</f>
        <v/>
      </c>
      <c r="R180" s="50">
        <f>IFERROR(IF(INDEX('MRE'!$P$10:$P$18,MATCH($F180,'MRE'!$B$10:$B$18,0))="","Cell will autofill based on response",INDEX('MRE'!$P$10:$P$18,MATCH($F180,'MRE'!$B$10:$B$18,0))),"N/A")</f>
        <v/>
      </c>
      <c r="S180" s="50">
        <f>IFERROR(IF(INDEX('AC&amp;M'!$P$10:$P$14,MATCH($F180,'AC&amp;M'!$B$10:$B$14,0))="","Cell will autofill based on response",INDEX('AC&amp;M'!$P$10:$P$14,MATCH($F180,'AC&amp;M'!$B$10:$B$14,0))),"N/A")</f>
        <v/>
      </c>
      <c r="T180" s="50">
        <f>IFERROR(IF(INDEX('GCE'!$P$10:$P$12,MATCH($F180,'GCE'!$B$10:$B$12,0))="","Cell will autofill based on response",INDEX('GCE'!$P$10:$P$12,MATCH($F180,'GCE'!$B$10:$B$12,0))),"N/A")</f>
        <v/>
      </c>
      <c r="U180" s="50">
        <f>IFERROR(IF(INDEX('Education'!$P$10:$P$13,MATCH($F180,'Education'!$B$10:$B$13,0))="","Cell will autofill based on response",INDEX('Education'!$P$10:$P$13,MATCH($F180,'Education'!$B$10:$B$13,0))),"N/A")</f>
        <v/>
      </c>
      <c r="V180" s="50">
        <f>IFERROR(IF(INDEX('SaSS'!$P$10:$P$12,MATCH($F180,'SaSS'!$B$10:$B$12,0))="","Cell will autofill based on response",INDEX('SaSS'!$P$10:$P$12,MATCH($F180,'SaSS'!$B$10:$B$12,0))),"N/A")</f>
        <v/>
      </c>
      <c r="W180" s="50">
        <f>IFERROR(IF(INDEX('Indigenous'!$P$10:$P$11,MATCH($F180,'Indigenous'!$B$10:$B$11,0))="","Cell will autofill based on response",INDEX('Indigenous'!$P$10:$P$11,MATCH($F180,'Indigenous'!$B$10:$B$11,0))),"N/A")</f>
        <v/>
      </c>
      <c r="X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IFERROR(IF(INDEX('CI&amp;S'!$L$10:$L$15,MATCH($F181,'CI&amp;S'!$B$10:$B$15,0))="","Cell will autofill based on response",INDEX('CI&amp;S'!$L$10:$L$15,MATCH($F181,'CI&amp;S'!$B$10:$B$15,0))),"N/A")</f>
        <v/>
      </c>
      <c r="M181" s="50">
        <f>IFERROR(IF(INDEX('CI&amp;S'!$L$22:$L$36,MATCH($F181,'CI&amp;S'!$B$22:$B$36,0))="","Cell will autofill based on response",INDEX('CI&amp;S'!$L$22:$L$36,MATCH($F181,'CI&amp;S'!$B$22:$B$36,0))),"N/A")</f>
        <v/>
      </c>
      <c r="N181" s="50">
        <f>IFERROR(IF(INDEX('CFOG'!$L$10:$L$16,MATCH($F181,'CFOG'!$B$10:$B$16,0))="","Cell will autofill based on response",INDEX('CFOG'!$L$10:$L$16,MATCH($F181,'CFOG'!$B$10:$B$16,0))),"N/A")</f>
        <v/>
      </c>
      <c r="O181" s="50">
        <f>IFERROR(IF(INDEX('CFOG'!$L$23:$L$24,MATCH($F181,'CFOG'!$B$23:$B$24,0))="","Cell will autofill based on response",INDEX('CFOG'!$L$23:$L$24,MATCH($F181,'CFOG'!$B$23:$B$24,0))),"N/A")</f>
        <v/>
      </c>
      <c r="P181" s="50">
        <f>IFERROR(IF(INDEX('ESG'!$L$10:$L$17,MATCH($F181,'ESG'!$B$10:$B$17,0))="","Cell will autofill based on response",INDEX('ESG'!$L$10:$L$17,MATCH($F181,'ESG'!$B$10:$B$17,0))),"N/A")</f>
        <v/>
      </c>
      <c r="Q181" s="50">
        <f>IFERROR(IF(INDEX('CIOG'!$L$10:$L$14,MATCH($F181,'CIOG'!$B$10:$B$14,0))="","Cell will autofill based on response",INDEX('CIOG'!$L$10:$L$14,MATCH($F181,'CIOG'!$B$10:$B$14,0))),"N/A")</f>
        <v/>
      </c>
      <c r="R181" s="50">
        <f>IFERROR(IF(INDEX('MRE'!$L$10:$L$18,MATCH($F181,'MRE'!$B$10:$B$18,0))="","Cell will autofill based on response",INDEX('MRE'!$L$10:$L$18,MATCH($F181,'MRE'!$B$10:$B$18,0))),"N/A")</f>
        <v/>
      </c>
      <c r="S181" s="50">
        <f>IFERROR(IF(INDEX('AC&amp;M'!$L$10:$L$14,MATCH($F181,'AC&amp;M'!$B$10:$B$14,0))="","Cell will autofill based on response",INDEX('AC&amp;M'!$L$10:$L$14,MATCH($F181,'AC&amp;M'!$B$10:$B$14,0))),"N/A")</f>
        <v/>
      </c>
      <c r="T181" s="50">
        <f>IFERROR(IF(INDEX('GCE'!$L$10:$L$12,MATCH($F181,'GCE'!$B$10:$B$12,0))="","Cell will autofill based on response",INDEX('GCE'!$L$10:$L$12,MATCH($F181,'GCE'!$B$10:$B$12,0))),"N/A")</f>
        <v/>
      </c>
      <c r="U181" s="50">
        <f>IFERROR(IF(INDEX('Education'!$L$10:$L$13,MATCH($F181,'Education'!$B$10:$B$13,0))="","Cell will autofill based on response",INDEX('Education'!$L$10:$L$13,MATCH($F181,'Education'!$B$10:$B$13,0))),"N/A")</f>
        <v/>
      </c>
      <c r="V181" s="50">
        <f>IFERROR(IF(INDEX('SaSS'!$L$10:$L$12,MATCH($F181,'SaSS'!$B$10:$B$12,0))="","Cell will autofill based on response",INDEX('SaSS'!$L$10:$L$12,MATCH($F181,'SaSS'!$B$10:$B$12,0))),"N/A")</f>
        <v/>
      </c>
      <c r="W181" s="50">
        <f>IFERROR(IF(INDEX('Indigenous'!$L$10:$L$11,MATCH($F181,'Indigenous'!$B$10:$B$11,0))="","Cell will autofill based on response",INDEX('Indigenous'!$L$10:$L$11,MATCH($F181,'Indigenous'!$B$10:$B$11,0))),"N/A")</f>
        <v/>
      </c>
      <c r="X181" s="50">
        <f>IFERROR(IF(INDEX('L&amp;R'!$L$10:$L$11,MATCH($F181,'L&amp;R'!$B$10:$B$11,0))="","Cell will autofill based on response",INDEX('L&amp;R'!$L$10:$L$11,MATCH($F181,'L&amp;R'!$B$10:$B$11,0))),"N/A")</f>
        <v/>
      </c>
      <c r="Z181" s="8">
        <f>SUMPRODUCT(--($H181:$X181&lt;&gt;"N/A"))</f>
        <v/>
      </c>
      <c r="AA181" s="8">
        <f>SUMPRODUCT(--(((($H181:$X181&lt;&gt;"N/A")*($H181:$X181&lt;&gt;"Cell will autofill based on response"))+(($H182:$X182&lt;&gt;"N/A")*($H182:$X182&lt;&gt;"Cell will autofill based on response")))&gt;0))</f>
        <v/>
      </c>
      <c r="AB181" s="8">
        <f>Z181-AA181</f>
        <v/>
      </c>
      <c r="AC181" s="8">
        <f>COUNTIF($H185:$X185,"Yes")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IFERROR(IF(INDEX('CI&amp;S'!$M$10:$M$15,MATCH($F182,'CI&amp;S'!$B$10:$B$15,0))="","Cell will autofill based on response",INDEX('CI&amp;S'!$M$10:$M$15,MATCH($F182,'CI&amp;S'!$B$10:$B$15,0))),"N/A")</f>
        <v/>
      </c>
      <c r="M182" s="50">
        <f>IFERROR(IF(INDEX('CI&amp;S'!$M$22:$M$36,MATCH($F182,'CI&amp;S'!$B$22:$B$36,0))="","Cell will autofill based on response",INDEX('CI&amp;S'!$M$22:$M$36,MATCH($F182,'CI&amp;S'!$B$22:$B$36,0))),"N/A")</f>
        <v/>
      </c>
      <c r="N182" s="50">
        <f>IFERROR(IF(INDEX('CFOG'!$M$10:$M$16,MATCH($F182,'CFOG'!$B$10:$B$16,0))="","Cell will autofill based on response",INDEX('CFOG'!$M$10:$M$16,MATCH($F182,'CFOG'!$B$10:$B$16,0))),"N/A")</f>
        <v/>
      </c>
      <c r="O182" s="50">
        <f>IFERROR(IF(INDEX('CFOG'!$M$23:$M$24,MATCH($F182,'CFOG'!$B$23:$B$24,0))="","Cell will autofill based on response",INDEX('CFOG'!$M$23:$M$24,MATCH($F182,'CFOG'!$B$23:$B$24,0))),"N/A")</f>
        <v/>
      </c>
      <c r="P182" s="50">
        <f>IFERROR(IF(INDEX('ESG'!$M$10:$M$17,MATCH($F182,'ESG'!$B$10:$B$17,0))="","Cell will autofill based on response",INDEX('ESG'!$M$10:$M$17,MATCH($F182,'ESG'!$B$10:$B$17,0))),"N/A")</f>
        <v/>
      </c>
      <c r="Q182" s="50">
        <f>IFERROR(IF(INDEX('CIOG'!$M$10:$M$14,MATCH($F182,'CIOG'!$B$10:$B$14,0))="","Cell will autofill based on response",INDEX('CIOG'!$M$10:$M$14,MATCH($F182,'CIOG'!$B$10:$B$14,0))),"N/A")</f>
        <v/>
      </c>
      <c r="R182" s="50">
        <f>IFERROR(IF(INDEX('MRE'!$M$10:$M$18,MATCH($F182,'MRE'!$B$10:$B$18,0))="","Cell will autofill based on response",INDEX('MRE'!$M$10:$M$18,MATCH($F182,'MRE'!$B$10:$B$18,0))),"N/A")</f>
        <v/>
      </c>
      <c r="S182" s="50">
        <f>IFERROR(IF(INDEX('AC&amp;M'!$M$10:$M$14,MATCH($F182,'AC&amp;M'!$B$10:$B$14,0))="","Cell will autofill based on response",INDEX('AC&amp;M'!$M$10:$M$14,MATCH($F182,'AC&amp;M'!$B$10:$B$14,0))),"N/A")</f>
        <v/>
      </c>
      <c r="T182" s="50">
        <f>IFERROR(IF(INDEX('GCE'!$M$10:$M$12,MATCH($F182,'GCE'!$B$10:$B$12,0))="","Cell will autofill based on response",INDEX('GCE'!$M$10:$M$12,MATCH($F182,'GCE'!$B$10:$B$12,0))),"N/A")</f>
        <v/>
      </c>
      <c r="U182" s="50">
        <f>IFERROR(IF(INDEX('Education'!$M$10:$M$13,MATCH($F182,'Education'!$B$10:$B$13,0))="","Cell will autofill based on response",INDEX('Education'!$M$10:$M$13,MATCH($F182,'Education'!$B$10:$B$13,0))),"N/A")</f>
        <v/>
      </c>
      <c r="V182" s="50">
        <f>IFERROR(IF(INDEX('SaSS'!$M$10:$M$12,MATCH($F182,'SaSS'!$B$10:$B$12,0))="","Cell will autofill based on response",INDEX('SaSS'!$M$10:$M$12,MATCH($F182,'SaSS'!$B$10:$B$12,0))),"N/A")</f>
        <v/>
      </c>
      <c r="W182" s="50">
        <f>IFERROR(IF(INDEX('Indigenous'!$M$10:$M$11,MATCH($F182,'Indigenous'!$B$10:$B$11,0))="","Cell will autofill based on response",INDEX('Indigenous'!$M$10:$M$11,MATCH($F182,'Indigenous'!$B$10:$B$11,0))),"N/A")</f>
        <v/>
      </c>
      <c r="X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IFERROR(IF(INDEX('CI&amp;S'!$N$10:$N$15,MATCH($F183,'CI&amp;S'!$B$10:$B$15,0))="","Cell will autofill based on response",INDEX('CI&amp;S'!$N$10:$N$15,MATCH($F183,'CI&amp;S'!$B$10:$B$15,0))),"N/A")</f>
        <v/>
      </c>
      <c r="M183" s="50">
        <f>IFERROR(IF(INDEX('CI&amp;S'!$N$22:$N$36,MATCH($F183,'CI&amp;S'!$B$22:$B$36,0))="","Cell will autofill based on response",INDEX('CI&amp;S'!$N$22:$N$36,MATCH($F183,'CI&amp;S'!$B$22:$B$36,0))),"N/A")</f>
        <v/>
      </c>
      <c r="N183" s="50">
        <f>IFERROR(IF(INDEX('CFOG'!$N$10:$N$16,MATCH($F183,'CFOG'!$B$10:$B$16,0))="","Cell will autofill based on response",INDEX('CFOG'!$N$10:$N$16,MATCH($F183,'CFOG'!$B$10:$B$16,0))),"N/A")</f>
        <v/>
      </c>
      <c r="O183" s="50">
        <f>IFERROR(IF(INDEX('CFOG'!$N$23:$N$24,MATCH($F183,'CFOG'!$B$23:$B$24,0))="","Cell will autofill based on response",INDEX('CFOG'!$N$23:$N$24,MATCH($F183,'CFOG'!$B$23:$B$24,0))),"N/A")</f>
        <v/>
      </c>
      <c r="P183" s="50">
        <f>IFERROR(IF(INDEX('ESG'!$N$10:$N$17,MATCH($F183,'ESG'!$B$10:$B$17,0))="","Cell will autofill based on response",INDEX('ESG'!$N$10:$N$17,MATCH($F183,'ESG'!$B$10:$B$17,0))),"N/A")</f>
        <v/>
      </c>
      <c r="Q183" s="50">
        <f>IFERROR(IF(INDEX('CIOG'!$N$10:$N$14,MATCH($F183,'CIOG'!$B$10:$B$14,0))="","Cell will autofill based on response",INDEX('CIOG'!$N$10:$N$14,MATCH($F183,'CIOG'!$B$10:$B$14,0))),"N/A")</f>
        <v/>
      </c>
      <c r="R183" s="50">
        <f>IFERROR(IF(INDEX('MRE'!$N$10:$N$18,MATCH($F183,'MRE'!$B$10:$B$18,0))="","Cell will autofill based on response",INDEX('MRE'!$N$10:$N$18,MATCH($F183,'MRE'!$B$10:$B$18,0))),"N/A")</f>
        <v/>
      </c>
      <c r="S183" s="50">
        <f>IFERROR(IF(INDEX('AC&amp;M'!$N$10:$N$14,MATCH($F183,'AC&amp;M'!$B$10:$B$14,0))="","Cell will autofill based on response",INDEX('AC&amp;M'!$N$10:$N$14,MATCH($F183,'AC&amp;M'!$B$10:$B$14,0))),"N/A")</f>
        <v/>
      </c>
      <c r="T183" s="50">
        <f>IFERROR(IF(INDEX('GCE'!$N$10:$N$12,MATCH($F183,'GCE'!$B$10:$B$12,0))="","Cell will autofill based on response",INDEX('GCE'!$N$10:$N$12,MATCH($F183,'GCE'!$B$10:$B$12,0))),"N/A")</f>
        <v/>
      </c>
      <c r="U183" s="50">
        <f>IFERROR(IF(INDEX('Education'!$N$10:$N$13,MATCH($F183,'Education'!$B$10:$B$13,0))="","Cell will autofill based on response",INDEX('Education'!$N$10:$N$13,MATCH($F183,'Education'!$B$10:$B$13,0))),"N/A")</f>
        <v/>
      </c>
      <c r="V183" s="50">
        <f>IFERROR(IF(INDEX('SaSS'!$N$10:$N$12,MATCH($F183,'SaSS'!$B$10:$B$12,0))="","Cell will autofill based on response",INDEX('SaSS'!$N$10:$N$12,MATCH($F183,'SaSS'!$B$10:$B$12,0))),"N/A")</f>
        <v/>
      </c>
      <c r="W183" s="50">
        <f>IFERROR(IF(INDEX('Indigenous'!$N$10:$N$11,MATCH($F183,'Indigenous'!$B$10:$B$11,0))="","Cell will autofill based on response",INDEX('Indigenous'!$N$10:$N$11,MATCH($F183,'Indigenous'!$B$10:$B$11,0))),"N/A")</f>
        <v/>
      </c>
      <c r="X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IFERROR(IF(INDEX('CI&amp;S'!$O$10:$O$15,MATCH($F184,'CI&amp;S'!$B$10:$B$15,0))="","Cell will autofill based on response",INDEX('CI&amp;S'!$O$10:$O$15,MATCH($F184,'CI&amp;S'!$B$10:$B$15,0))),"N/A")</f>
        <v/>
      </c>
      <c r="M184" s="50">
        <f>IFERROR(IF(INDEX('CI&amp;S'!$O$22:$O$36,MATCH($F184,'CI&amp;S'!$B$22:$B$36,0))="","Cell will autofill based on response",INDEX('CI&amp;S'!$O$22:$O$36,MATCH($F184,'CI&amp;S'!$B$22:$B$36,0))),"N/A")</f>
        <v/>
      </c>
      <c r="N184" s="50">
        <f>IFERROR(IF(INDEX('CFOG'!$O$10:$O$16,MATCH($F184,'CFOG'!$B$10:$B$16,0))="","Cell will autofill based on response",INDEX('CFOG'!$O$10:$O$16,MATCH($F184,'CFOG'!$B$10:$B$16,0))),"N/A")</f>
        <v/>
      </c>
      <c r="O184" s="50">
        <f>IFERROR(IF(INDEX('CFOG'!$O$23:$O$24,MATCH($F184,'CFOG'!$B$23:$B$24,0))="","Cell will autofill based on response",INDEX('CFOG'!$O$23:$O$24,MATCH($F184,'CFOG'!$B$23:$B$24,0))),"N/A")</f>
        <v/>
      </c>
      <c r="P184" s="50">
        <f>IFERROR(IF(INDEX('ESG'!$O$10:$O$17,MATCH($F184,'ESG'!$B$10:$B$17,0))="","Cell will autofill based on response",INDEX('ESG'!$O$10:$O$17,MATCH($F184,'ESG'!$B$10:$B$17,0))),"N/A")</f>
        <v/>
      </c>
      <c r="Q184" s="50">
        <f>IFERROR(IF(INDEX('CIOG'!$O$10:$O$14,MATCH($F184,'CIOG'!$B$10:$B$14,0))="","Cell will autofill based on response",INDEX('CIOG'!$O$10:$O$14,MATCH($F184,'CIOG'!$B$10:$B$14,0))),"N/A")</f>
        <v/>
      </c>
      <c r="R184" s="50">
        <f>IFERROR(IF(INDEX('MRE'!$O$10:$O$18,MATCH($F184,'MRE'!$B$10:$B$18,0))="","Cell will autofill based on response",INDEX('MRE'!$O$10:$O$18,MATCH($F184,'MRE'!$B$10:$B$18,0))),"N/A")</f>
        <v/>
      </c>
      <c r="S184" s="50">
        <f>IFERROR(IF(INDEX('AC&amp;M'!$O$10:$O$14,MATCH($F184,'AC&amp;M'!$B$10:$B$14,0))="","Cell will autofill based on response",INDEX('AC&amp;M'!$O$10:$O$14,MATCH($F184,'AC&amp;M'!$B$10:$B$14,0))),"N/A")</f>
        <v/>
      </c>
      <c r="T184" s="50">
        <f>IFERROR(IF(INDEX('GCE'!$O$10:$O$12,MATCH($F184,'GCE'!$B$10:$B$12,0))="","Cell will autofill based on response",INDEX('GCE'!$O$10:$O$12,MATCH($F184,'GCE'!$B$10:$B$12,0))),"N/A")</f>
        <v/>
      </c>
      <c r="U184" s="50">
        <f>IFERROR(IF(INDEX('Education'!$O$10:$O$13,MATCH($F184,'Education'!$B$10:$B$13,0))="","Cell will autofill based on response",INDEX('Education'!$O$10:$O$13,MATCH($F184,'Education'!$B$10:$B$13,0))),"N/A")</f>
        <v/>
      </c>
      <c r="V184" s="50">
        <f>IFERROR(IF(INDEX('SaSS'!$O$10:$O$12,MATCH($F184,'SaSS'!$B$10:$B$12,0))="","Cell will autofill based on response",INDEX('SaSS'!$O$10:$O$12,MATCH($F184,'SaSS'!$B$10:$B$12,0))),"N/A")</f>
        <v/>
      </c>
      <c r="W184" s="50">
        <f>IFERROR(IF(INDEX('Indigenous'!$O$10:$O$11,MATCH($F184,'Indigenous'!$B$10:$B$11,0))="","Cell will autofill based on response",INDEX('Indigenous'!$O$10:$O$11,MATCH($F184,'Indigenous'!$B$10:$B$11,0))),"N/A")</f>
        <v/>
      </c>
      <c r="X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IFERROR(IF(INDEX('CI&amp;S'!$P$10:$P$15,MATCH($F185,'CI&amp;S'!$B$10:$B$15,0))="","Cell will autofill based on response",INDEX('CI&amp;S'!$P$10:$P$15,MATCH($F185,'CI&amp;S'!$B$10:$B$15,0))),"N/A")</f>
        <v/>
      </c>
      <c r="M185" s="50">
        <f>IFERROR(IF(INDEX('CI&amp;S'!$P$22:$P$36,MATCH($F185,'CI&amp;S'!$B$22:$B$36,0))="","Cell will autofill based on response",INDEX('CI&amp;S'!$P$22:$P$36,MATCH($F185,'CI&amp;S'!$B$22:$B$36,0))),"N/A")</f>
        <v/>
      </c>
      <c r="N185" s="50">
        <f>IFERROR(IF(INDEX('CFOG'!$P$10:$P$16,MATCH($F185,'CFOG'!$B$10:$B$16,0))="","Cell will autofill based on response",INDEX('CFOG'!$P$10:$P$16,MATCH($F185,'CFOG'!$B$10:$B$16,0))),"N/A")</f>
        <v/>
      </c>
      <c r="O185" s="50">
        <f>IFERROR(IF(INDEX('CFOG'!$P$23:$P$24,MATCH($F185,'CFOG'!$B$23:$B$24,0))="","Cell will autofill based on response",INDEX('CFOG'!$P$23:$P$24,MATCH($F185,'CFOG'!$B$23:$B$24,0))),"N/A")</f>
        <v/>
      </c>
      <c r="P185" s="50">
        <f>IFERROR(IF(INDEX('ESG'!$P$10:$P$17,MATCH($F185,'ESG'!$B$10:$B$17,0))="","Cell will autofill based on response",INDEX('ESG'!$P$10:$P$17,MATCH($F185,'ESG'!$B$10:$B$17,0))),"N/A")</f>
        <v/>
      </c>
      <c r="Q185" s="50">
        <f>IFERROR(IF(INDEX('CIOG'!$P$10:$P$14,MATCH($F185,'CIOG'!$B$10:$B$14,0))="","Cell will autofill based on response",INDEX('CIOG'!$P$10:$P$14,MATCH($F185,'CIOG'!$B$10:$B$14,0))),"N/A")</f>
        <v/>
      </c>
      <c r="R185" s="50">
        <f>IFERROR(IF(INDEX('MRE'!$P$10:$P$18,MATCH($F185,'MRE'!$B$10:$B$18,0))="","Cell will autofill based on response",INDEX('MRE'!$P$10:$P$18,MATCH($F185,'MRE'!$B$10:$B$18,0))),"N/A")</f>
        <v/>
      </c>
      <c r="S185" s="50">
        <f>IFERROR(IF(INDEX('AC&amp;M'!$P$10:$P$14,MATCH($F185,'AC&amp;M'!$B$10:$B$14,0))="","Cell will autofill based on response",INDEX('AC&amp;M'!$P$10:$P$14,MATCH($F185,'AC&amp;M'!$B$10:$B$14,0))),"N/A")</f>
        <v/>
      </c>
      <c r="T185" s="50">
        <f>IFERROR(IF(INDEX('GCE'!$P$10:$P$12,MATCH($F185,'GCE'!$B$10:$B$12,0))="","Cell will autofill based on response",INDEX('GCE'!$P$10:$P$12,MATCH($F185,'GCE'!$B$10:$B$12,0))),"N/A")</f>
        <v/>
      </c>
      <c r="U185" s="50">
        <f>IFERROR(IF(INDEX('Education'!$P$10:$P$13,MATCH($F185,'Education'!$B$10:$B$13,0))="","Cell will autofill based on response",INDEX('Education'!$P$10:$P$13,MATCH($F185,'Education'!$B$10:$B$13,0))),"N/A")</f>
        <v/>
      </c>
      <c r="V185" s="50">
        <f>IFERROR(IF(INDEX('SaSS'!$P$10:$P$12,MATCH($F185,'SaSS'!$B$10:$B$12,0))="","Cell will autofill based on response",INDEX('SaSS'!$P$10:$P$12,MATCH($F185,'SaSS'!$B$10:$B$12,0))),"N/A")</f>
        <v/>
      </c>
      <c r="W185" s="50">
        <f>IFERROR(IF(INDEX('Indigenous'!$P$10:$P$11,MATCH($F185,'Indigenous'!$B$10:$B$11,0))="","Cell will autofill based on response",INDEX('Indigenous'!$P$10:$P$11,MATCH($F185,'Indigenous'!$B$10:$B$11,0))),"N/A")</f>
        <v/>
      </c>
      <c r="X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IFERROR(IF(INDEX('CI&amp;S'!$L$10:$L$15,MATCH($F186,'CI&amp;S'!$B$10:$B$15,0))="","Cell will autofill based on response",INDEX('CI&amp;S'!$L$10:$L$15,MATCH($F186,'CI&amp;S'!$B$10:$B$15,0))),"N/A")</f>
        <v/>
      </c>
      <c r="M186" s="50">
        <f>IFERROR(IF(INDEX('CI&amp;S'!$L$22:$L$36,MATCH($F186,'CI&amp;S'!$B$22:$B$36,0))="","Cell will autofill based on response",INDEX('CI&amp;S'!$L$22:$L$36,MATCH($F186,'CI&amp;S'!$B$22:$B$36,0))),"N/A")</f>
        <v/>
      </c>
      <c r="N186" s="50">
        <f>IFERROR(IF(INDEX('CFOG'!$L$10:$L$16,MATCH($F186,'CFOG'!$B$10:$B$16,0))="","Cell will autofill based on response",INDEX('CFOG'!$L$10:$L$16,MATCH($F186,'CFOG'!$B$10:$B$16,0))),"N/A")</f>
        <v/>
      </c>
      <c r="O186" s="50">
        <f>IFERROR(IF(INDEX('CFOG'!$L$23:$L$24,MATCH($F186,'CFOG'!$B$23:$B$24,0))="","Cell will autofill based on response",INDEX('CFOG'!$L$23:$L$24,MATCH($F186,'CFOG'!$B$23:$B$24,0))),"N/A")</f>
        <v/>
      </c>
      <c r="P186" s="50">
        <f>IFERROR(IF(INDEX('ESG'!$L$10:$L$17,MATCH($F186,'ESG'!$B$10:$B$17,0))="","Cell will autofill based on response",INDEX('ESG'!$L$10:$L$17,MATCH($F186,'ESG'!$B$10:$B$17,0))),"N/A")</f>
        <v/>
      </c>
      <c r="Q186" s="50">
        <f>IFERROR(IF(INDEX('CIOG'!$L$10:$L$14,MATCH($F186,'CIOG'!$B$10:$B$14,0))="","Cell will autofill based on response",INDEX('CIOG'!$L$10:$L$14,MATCH($F186,'CIOG'!$B$10:$B$14,0))),"N/A")</f>
        <v/>
      </c>
      <c r="R186" s="50">
        <f>IFERROR(IF(INDEX('MRE'!$L$10:$L$18,MATCH($F186,'MRE'!$B$10:$B$18,0))="","Cell will autofill based on response",INDEX('MRE'!$L$10:$L$18,MATCH($F186,'MRE'!$B$10:$B$18,0))),"N/A")</f>
        <v/>
      </c>
      <c r="S186" s="50">
        <f>IFERROR(IF(INDEX('AC&amp;M'!$L$10:$L$14,MATCH($F186,'AC&amp;M'!$B$10:$B$14,0))="","Cell will autofill based on response",INDEX('AC&amp;M'!$L$10:$L$14,MATCH($F186,'AC&amp;M'!$B$10:$B$14,0))),"N/A")</f>
        <v/>
      </c>
      <c r="T186" s="50">
        <f>IFERROR(IF(INDEX('GCE'!$L$10:$L$12,MATCH($F186,'GCE'!$B$10:$B$12,0))="","Cell will autofill based on response",INDEX('GCE'!$L$10:$L$12,MATCH($F186,'GCE'!$B$10:$B$12,0))),"N/A")</f>
        <v/>
      </c>
      <c r="U186" s="50">
        <f>IFERROR(IF(INDEX('Education'!$L$10:$L$13,MATCH($F186,'Education'!$B$10:$B$13,0))="","Cell will autofill based on response",INDEX('Education'!$L$10:$L$13,MATCH($F186,'Education'!$B$10:$B$13,0))),"N/A")</f>
        <v/>
      </c>
      <c r="V186" s="50">
        <f>IFERROR(IF(INDEX('SaSS'!$L$10:$L$12,MATCH($F186,'SaSS'!$B$10:$B$12,0))="","Cell will autofill based on response",INDEX('SaSS'!$L$10:$L$12,MATCH($F186,'SaSS'!$B$10:$B$12,0))),"N/A")</f>
        <v/>
      </c>
      <c r="W186" s="50">
        <f>IFERROR(IF(INDEX('Indigenous'!$L$10:$L$11,MATCH($F186,'Indigenous'!$B$10:$B$11,0))="","Cell will autofill based on response",INDEX('Indigenous'!$L$10:$L$11,MATCH($F186,'Indigenous'!$B$10:$B$11,0))),"N/A")</f>
        <v/>
      </c>
      <c r="X186" s="50">
        <f>IFERROR(IF(INDEX('L&amp;R'!$L$10:$L$11,MATCH($F186,'L&amp;R'!$B$10:$B$11,0))="","Cell will autofill based on response",INDEX('L&amp;R'!$L$10:$L$11,MATCH($F186,'L&amp;R'!$B$10:$B$11,0))),"N/A")</f>
        <v/>
      </c>
      <c r="Z186" s="8">
        <f>SUMPRODUCT(--($H186:$X186&lt;&gt;"N/A"))</f>
        <v/>
      </c>
      <c r="AA186" s="8">
        <f>SUMPRODUCT(--(((($H186:$X186&lt;&gt;"N/A")*($H186:$X186&lt;&gt;"Cell will autofill based on response"))+(($H187:$X187&lt;&gt;"N/A")*($H187:$X187&lt;&gt;"Cell will autofill based on response")))&gt;0))</f>
        <v/>
      </c>
      <c r="AB186" s="8">
        <f>Z186-AA186</f>
        <v/>
      </c>
      <c r="AC186" s="8">
        <f>COUNTIF($H190:$X190,"Yes")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IFERROR(IF(INDEX('CI&amp;S'!$M$10:$M$15,MATCH($F187,'CI&amp;S'!$B$10:$B$15,0))="","Cell will autofill based on response",INDEX('CI&amp;S'!$M$10:$M$15,MATCH($F187,'CI&amp;S'!$B$10:$B$15,0))),"N/A")</f>
        <v/>
      </c>
      <c r="M187" s="50">
        <f>IFERROR(IF(INDEX('CI&amp;S'!$M$22:$M$36,MATCH($F187,'CI&amp;S'!$B$22:$B$36,0))="","Cell will autofill based on response",INDEX('CI&amp;S'!$M$22:$M$36,MATCH($F187,'CI&amp;S'!$B$22:$B$36,0))),"N/A")</f>
        <v/>
      </c>
      <c r="N187" s="50">
        <f>IFERROR(IF(INDEX('CFOG'!$M$10:$M$16,MATCH($F187,'CFOG'!$B$10:$B$16,0))="","Cell will autofill based on response",INDEX('CFOG'!$M$10:$M$16,MATCH($F187,'CFOG'!$B$10:$B$16,0))),"N/A")</f>
        <v/>
      </c>
      <c r="O187" s="50">
        <f>IFERROR(IF(INDEX('CFOG'!$M$23:$M$24,MATCH($F187,'CFOG'!$B$23:$B$24,0))="","Cell will autofill based on response",INDEX('CFOG'!$M$23:$M$24,MATCH($F187,'CFOG'!$B$23:$B$24,0))),"N/A")</f>
        <v/>
      </c>
      <c r="P187" s="50">
        <f>IFERROR(IF(INDEX('ESG'!$M$10:$M$17,MATCH($F187,'ESG'!$B$10:$B$17,0))="","Cell will autofill based on response",INDEX('ESG'!$M$10:$M$17,MATCH($F187,'ESG'!$B$10:$B$17,0))),"N/A")</f>
        <v/>
      </c>
      <c r="Q187" s="50">
        <f>IFERROR(IF(INDEX('CIOG'!$M$10:$M$14,MATCH($F187,'CIOG'!$B$10:$B$14,0))="","Cell will autofill based on response",INDEX('CIOG'!$M$10:$M$14,MATCH($F187,'CIOG'!$B$10:$B$14,0))),"N/A")</f>
        <v/>
      </c>
      <c r="R187" s="50">
        <f>IFERROR(IF(INDEX('MRE'!$M$10:$M$18,MATCH($F187,'MRE'!$B$10:$B$18,0))="","Cell will autofill based on response",INDEX('MRE'!$M$10:$M$18,MATCH($F187,'MRE'!$B$10:$B$18,0))),"N/A")</f>
        <v/>
      </c>
      <c r="S187" s="50">
        <f>IFERROR(IF(INDEX('AC&amp;M'!$M$10:$M$14,MATCH($F187,'AC&amp;M'!$B$10:$B$14,0))="","Cell will autofill based on response",INDEX('AC&amp;M'!$M$10:$M$14,MATCH($F187,'AC&amp;M'!$B$10:$B$14,0))),"N/A")</f>
        <v/>
      </c>
      <c r="T187" s="50">
        <f>IFERROR(IF(INDEX('GCE'!$M$10:$M$12,MATCH($F187,'GCE'!$B$10:$B$12,0))="","Cell will autofill based on response",INDEX('GCE'!$M$10:$M$12,MATCH($F187,'GCE'!$B$10:$B$12,0))),"N/A")</f>
        <v/>
      </c>
      <c r="U187" s="50">
        <f>IFERROR(IF(INDEX('Education'!$M$10:$M$13,MATCH($F187,'Education'!$B$10:$B$13,0))="","Cell will autofill based on response",INDEX('Education'!$M$10:$M$13,MATCH($F187,'Education'!$B$10:$B$13,0))),"N/A")</f>
        <v/>
      </c>
      <c r="V187" s="50">
        <f>IFERROR(IF(INDEX('SaSS'!$M$10:$M$12,MATCH($F187,'SaSS'!$B$10:$B$12,0))="","Cell will autofill based on response",INDEX('SaSS'!$M$10:$M$12,MATCH($F187,'SaSS'!$B$10:$B$12,0))),"N/A")</f>
        <v/>
      </c>
      <c r="W187" s="50">
        <f>IFERROR(IF(INDEX('Indigenous'!$M$10:$M$11,MATCH($F187,'Indigenous'!$B$10:$B$11,0))="","Cell will autofill based on response",INDEX('Indigenous'!$M$10:$M$11,MATCH($F187,'Indigenous'!$B$10:$B$11,0))),"N/A")</f>
        <v/>
      </c>
      <c r="X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IFERROR(IF(INDEX('CI&amp;S'!$N$10:$N$15,MATCH($F188,'CI&amp;S'!$B$10:$B$15,0))="","Cell will autofill based on response",INDEX('CI&amp;S'!$N$10:$N$15,MATCH($F188,'CI&amp;S'!$B$10:$B$15,0))),"N/A")</f>
        <v/>
      </c>
      <c r="M188" s="50">
        <f>IFERROR(IF(INDEX('CI&amp;S'!$N$22:$N$36,MATCH($F188,'CI&amp;S'!$B$22:$B$36,0))="","Cell will autofill based on response",INDEX('CI&amp;S'!$N$22:$N$36,MATCH($F188,'CI&amp;S'!$B$22:$B$36,0))),"N/A")</f>
        <v/>
      </c>
      <c r="N188" s="50">
        <f>IFERROR(IF(INDEX('CFOG'!$N$10:$N$16,MATCH($F188,'CFOG'!$B$10:$B$16,0))="","Cell will autofill based on response",INDEX('CFOG'!$N$10:$N$16,MATCH($F188,'CFOG'!$B$10:$B$16,0))),"N/A")</f>
        <v/>
      </c>
      <c r="O188" s="50">
        <f>IFERROR(IF(INDEX('CFOG'!$N$23:$N$24,MATCH($F188,'CFOG'!$B$23:$B$24,0))="","Cell will autofill based on response",INDEX('CFOG'!$N$23:$N$24,MATCH($F188,'CFOG'!$B$23:$B$24,0))),"N/A")</f>
        <v/>
      </c>
      <c r="P188" s="50">
        <f>IFERROR(IF(INDEX('ESG'!$N$10:$N$17,MATCH($F188,'ESG'!$B$10:$B$17,0))="","Cell will autofill based on response",INDEX('ESG'!$N$10:$N$17,MATCH($F188,'ESG'!$B$10:$B$17,0))),"N/A")</f>
        <v/>
      </c>
      <c r="Q188" s="50">
        <f>IFERROR(IF(INDEX('CIOG'!$N$10:$N$14,MATCH($F188,'CIOG'!$B$10:$B$14,0))="","Cell will autofill based on response",INDEX('CIOG'!$N$10:$N$14,MATCH($F188,'CIOG'!$B$10:$B$14,0))),"N/A")</f>
        <v/>
      </c>
      <c r="R188" s="50">
        <f>IFERROR(IF(INDEX('MRE'!$N$10:$N$18,MATCH($F188,'MRE'!$B$10:$B$18,0))="","Cell will autofill based on response",INDEX('MRE'!$N$10:$N$18,MATCH($F188,'MRE'!$B$10:$B$18,0))),"N/A")</f>
        <v/>
      </c>
      <c r="S188" s="50">
        <f>IFERROR(IF(INDEX('AC&amp;M'!$N$10:$N$14,MATCH($F188,'AC&amp;M'!$B$10:$B$14,0))="","Cell will autofill based on response",INDEX('AC&amp;M'!$N$10:$N$14,MATCH($F188,'AC&amp;M'!$B$10:$B$14,0))),"N/A")</f>
        <v/>
      </c>
      <c r="T188" s="50">
        <f>IFERROR(IF(INDEX('GCE'!$N$10:$N$12,MATCH($F188,'GCE'!$B$10:$B$12,0))="","Cell will autofill based on response",INDEX('GCE'!$N$10:$N$12,MATCH($F188,'GCE'!$B$10:$B$12,0))),"N/A")</f>
        <v/>
      </c>
      <c r="U188" s="50">
        <f>IFERROR(IF(INDEX('Education'!$N$10:$N$13,MATCH($F188,'Education'!$B$10:$B$13,0))="","Cell will autofill based on response",INDEX('Education'!$N$10:$N$13,MATCH($F188,'Education'!$B$10:$B$13,0))),"N/A")</f>
        <v/>
      </c>
      <c r="V188" s="50">
        <f>IFERROR(IF(INDEX('SaSS'!$N$10:$N$12,MATCH($F188,'SaSS'!$B$10:$B$12,0))="","Cell will autofill based on response",INDEX('SaSS'!$N$10:$N$12,MATCH($F188,'SaSS'!$B$10:$B$12,0))),"N/A")</f>
        <v/>
      </c>
      <c r="W188" s="50">
        <f>IFERROR(IF(INDEX('Indigenous'!$N$10:$N$11,MATCH($F188,'Indigenous'!$B$10:$B$11,0))="","Cell will autofill based on response",INDEX('Indigenous'!$N$10:$N$11,MATCH($F188,'Indigenous'!$B$10:$B$11,0))),"N/A")</f>
        <v/>
      </c>
      <c r="X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IFERROR(IF(INDEX('CI&amp;S'!$O$10:$O$15,MATCH($F189,'CI&amp;S'!$B$10:$B$15,0))="","Cell will autofill based on response",INDEX('CI&amp;S'!$O$10:$O$15,MATCH($F189,'CI&amp;S'!$B$10:$B$15,0))),"N/A")</f>
        <v/>
      </c>
      <c r="M189" s="50">
        <f>IFERROR(IF(INDEX('CI&amp;S'!$O$22:$O$36,MATCH($F189,'CI&amp;S'!$B$22:$B$36,0))="","Cell will autofill based on response",INDEX('CI&amp;S'!$O$22:$O$36,MATCH($F189,'CI&amp;S'!$B$22:$B$36,0))),"N/A")</f>
        <v/>
      </c>
      <c r="N189" s="50">
        <f>IFERROR(IF(INDEX('CFOG'!$O$10:$O$16,MATCH($F189,'CFOG'!$B$10:$B$16,0))="","Cell will autofill based on response",INDEX('CFOG'!$O$10:$O$16,MATCH($F189,'CFOG'!$B$10:$B$16,0))),"N/A")</f>
        <v/>
      </c>
      <c r="O189" s="50">
        <f>IFERROR(IF(INDEX('CFOG'!$O$23:$O$24,MATCH($F189,'CFOG'!$B$23:$B$24,0))="","Cell will autofill based on response",INDEX('CFOG'!$O$23:$O$24,MATCH($F189,'CFOG'!$B$23:$B$24,0))),"N/A")</f>
        <v/>
      </c>
      <c r="P189" s="50">
        <f>IFERROR(IF(INDEX('ESG'!$O$10:$O$17,MATCH($F189,'ESG'!$B$10:$B$17,0))="","Cell will autofill based on response",INDEX('ESG'!$O$10:$O$17,MATCH($F189,'ESG'!$B$10:$B$17,0))),"N/A")</f>
        <v/>
      </c>
      <c r="Q189" s="50">
        <f>IFERROR(IF(INDEX('CIOG'!$O$10:$O$14,MATCH($F189,'CIOG'!$B$10:$B$14,0))="","Cell will autofill based on response",INDEX('CIOG'!$O$10:$O$14,MATCH($F189,'CIOG'!$B$10:$B$14,0))),"N/A")</f>
        <v/>
      </c>
      <c r="R189" s="50">
        <f>IFERROR(IF(INDEX('MRE'!$O$10:$O$18,MATCH($F189,'MRE'!$B$10:$B$18,0))="","Cell will autofill based on response",INDEX('MRE'!$O$10:$O$18,MATCH($F189,'MRE'!$B$10:$B$18,0))),"N/A")</f>
        <v/>
      </c>
      <c r="S189" s="50">
        <f>IFERROR(IF(INDEX('AC&amp;M'!$O$10:$O$14,MATCH($F189,'AC&amp;M'!$B$10:$B$14,0))="","Cell will autofill based on response",INDEX('AC&amp;M'!$O$10:$O$14,MATCH($F189,'AC&amp;M'!$B$10:$B$14,0))),"N/A")</f>
        <v/>
      </c>
      <c r="T189" s="50">
        <f>IFERROR(IF(INDEX('GCE'!$O$10:$O$12,MATCH($F189,'GCE'!$B$10:$B$12,0))="","Cell will autofill based on response",INDEX('GCE'!$O$10:$O$12,MATCH($F189,'GCE'!$B$10:$B$12,0))),"N/A")</f>
        <v/>
      </c>
      <c r="U189" s="50">
        <f>IFERROR(IF(INDEX('Education'!$O$10:$O$13,MATCH($F189,'Education'!$B$10:$B$13,0))="","Cell will autofill based on response",INDEX('Education'!$O$10:$O$13,MATCH($F189,'Education'!$B$10:$B$13,0))),"N/A")</f>
        <v/>
      </c>
      <c r="V189" s="50">
        <f>IFERROR(IF(INDEX('SaSS'!$O$10:$O$12,MATCH($F189,'SaSS'!$B$10:$B$12,0))="","Cell will autofill based on response",INDEX('SaSS'!$O$10:$O$12,MATCH($F189,'SaSS'!$B$10:$B$12,0))),"N/A")</f>
        <v/>
      </c>
      <c r="W189" s="50">
        <f>IFERROR(IF(INDEX('Indigenous'!$O$10:$O$11,MATCH($F189,'Indigenous'!$B$10:$B$11,0))="","Cell will autofill based on response",INDEX('Indigenous'!$O$10:$O$11,MATCH($F189,'Indigenous'!$B$10:$B$11,0))),"N/A")</f>
        <v/>
      </c>
      <c r="X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IFERROR(IF(INDEX('CI&amp;S'!$P$10:$P$15,MATCH($F190,'CI&amp;S'!$B$10:$B$15,0))="","Cell will autofill based on response",INDEX('CI&amp;S'!$P$10:$P$15,MATCH($F190,'CI&amp;S'!$B$10:$B$15,0))),"N/A")</f>
        <v/>
      </c>
      <c r="M190" s="50">
        <f>IFERROR(IF(INDEX('CI&amp;S'!$P$22:$P$36,MATCH($F190,'CI&amp;S'!$B$22:$B$36,0))="","Cell will autofill based on response",INDEX('CI&amp;S'!$P$22:$P$36,MATCH($F190,'CI&amp;S'!$B$22:$B$36,0))),"N/A")</f>
        <v/>
      </c>
      <c r="N190" s="50">
        <f>IFERROR(IF(INDEX('CFOG'!$P$10:$P$16,MATCH($F190,'CFOG'!$B$10:$B$16,0))="","Cell will autofill based on response",INDEX('CFOG'!$P$10:$P$16,MATCH($F190,'CFOG'!$B$10:$B$16,0))),"N/A")</f>
        <v/>
      </c>
      <c r="O190" s="50">
        <f>IFERROR(IF(INDEX('CFOG'!$P$23:$P$24,MATCH($F190,'CFOG'!$B$23:$B$24,0))="","Cell will autofill based on response",INDEX('CFOG'!$P$23:$P$24,MATCH($F190,'CFOG'!$B$23:$B$24,0))),"N/A")</f>
        <v/>
      </c>
      <c r="P190" s="50">
        <f>IFERROR(IF(INDEX('ESG'!$P$10:$P$17,MATCH($F190,'ESG'!$B$10:$B$17,0))="","Cell will autofill based on response",INDEX('ESG'!$P$10:$P$17,MATCH($F190,'ESG'!$B$10:$B$17,0))),"N/A")</f>
        <v/>
      </c>
      <c r="Q190" s="50">
        <f>IFERROR(IF(INDEX('CIOG'!$P$10:$P$14,MATCH($F190,'CIOG'!$B$10:$B$14,0))="","Cell will autofill based on response",INDEX('CIOG'!$P$10:$P$14,MATCH($F190,'CIOG'!$B$10:$B$14,0))),"N/A")</f>
        <v/>
      </c>
      <c r="R190" s="50">
        <f>IFERROR(IF(INDEX('MRE'!$P$10:$P$18,MATCH($F190,'MRE'!$B$10:$B$18,0))="","Cell will autofill based on response",INDEX('MRE'!$P$10:$P$18,MATCH($F190,'MRE'!$B$10:$B$18,0))),"N/A")</f>
        <v/>
      </c>
      <c r="S190" s="50">
        <f>IFERROR(IF(INDEX('AC&amp;M'!$P$10:$P$14,MATCH($F190,'AC&amp;M'!$B$10:$B$14,0))="","Cell will autofill based on response",INDEX('AC&amp;M'!$P$10:$P$14,MATCH($F190,'AC&amp;M'!$B$10:$B$14,0))),"N/A")</f>
        <v/>
      </c>
      <c r="T190" s="50">
        <f>IFERROR(IF(INDEX('GCE'!$P$10:$P$12,MATCH($F190,'GCE'!$B$10:$B$12,0))="","Cell will autofill based on response",INDEX('GCE'!$P$10:$P$12,MATCH($F190,'GCE'!$B$10:$B$12,0))),"N/A")</f>
        <v/>
      </c>
      <c r="U190" s="50">
        <f>IFERROR(IF(INDEX('Education'!$P$10:$P$13,MATCH($F190,'Education'!$B$10:$B$13,0))="","Cell will autofill based on response",INDEX('Education'!$P$10:$P$13,MATCH($F190,'Education'!$B$10:$B$13,0))),"N/A")</f>
        <v/>
      </c>
      <c r="V190" s="50">
        <f>IFERROR(IF(INDEX('SaSS'!$P$10:$P$12,MATCH($F190,'SaSS'!$B$10:$B$12,0))="","Cell will autofill based on response",INDEX('SaSS'!$P$10:$P$12,MATCH($F190,'SaSS'!$B$10:$B$12,0))),"N/A")</f>
        <v/>
      </c>
      <c r="W190" s="50">
        <f>IFERROR(IF(INDEX('Indigenous'!$P$10:$P$11,MATCH($F190,'Indigenous'!$B$10:$B$11,0))="","Cell will autofill based on response",INDEX('Indigenous'!$P$10:$P$11,MATCH($F190,'Indigenous'!$B$10:$B$11,0))),"N/A")</f>
        <v/>
      </c>
      <c r="X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IFERROR(IF(INDEX('CI&amp;S'!$L$10:$L$15,MATCH($F191,'CI&amp;S'!$B$10:$B$15,0))="","Cell will autofill based on response",INDEX('CI&amp;S'!$L$10:$L$15,MATCH($F191,'CI&amp;S'!$B$10:$B$15,0))),"N/A")</f>
        <v/>
      </c>
      <c r="M191" s="50">
        <f>IFERROR(IF(INDEX('CI&amp;S'!$L$22:$L$36,MATCH($F191,'CI&amp;S'!$B$22:$B$36,0))="","Cell will autofill based on response",INDEX('CI&amp;S'!$L$22:$L$36,MATCH($F191,'CI&amp;S'!$B$22:$B$36,0))),"N/A")</f>
        <v/>
      </c>
      <c r="N191" s="50">
        <f>IFERROR(IF(INDEX('CFOG'!$L$10:$L$16,MATCH($F191,'CFOG'!$B$10:$B$16,0))="","Cell will autofill based on response",INDEX('CFOG'!$L$10:$L$16,MATCH($F191,'CFOG'!$B$10:$B$16,0))),"N/A")</f>
        <v/>
      </c>
      <c r="O191" s="50">
        <f>IFERROR(IF(INDEX('CFOG'!$L$23:$L$24,MATCH($F191,'CFOG'!$B$23:$B$24,0))="","Cell will autofill based on response",INDEX('CFOG'!$L$23:$L$24,MATCH($F191,'CFOG'!$B$23:$B$24,0))),"N/A")</f>
        <v/>
      </c>
      <c r="P191" s="50">
        <f>IFERROR(IF(INDEX('ESG'!$L$10:$L$17,MATCH($F191,'ESG'!$B$10:$B$17,0))="","Cell will autofill based on response",INDEX('ESG'!$L$10:$L$17,MATCH($F191,'ESG'!$B$10:$B$17,0))),"N/A")</f>
        <v/>
      </c>
      <c r="Q191" s="50">
        <f>IFERROR(IF(INDEX('CIOG'!$L$10:$L$14,MATCH($F191,'CIOG'!$B$10:$B$14,0))="","Cell will autofill based on response",INDEX('CIOG'!$L$10:$L$14,MATCH($F191,'CIOG'!$B$10:$B$14,0))),"N/A")</f>
        <v/>
      </c>
      <c r="R191" s="50">
        <f>IFERROR(IF(INDEX('MRE'!$L$10:$L$18,MATCH($F191,'MRE'!$B$10:$B$18,0))="","Cell will autofill based on response",INDEX('MRE'!$L$10:$L$18,MATCH($F191,'MRE'!$B$10:$B$18,0))),"N/A")</f>
        <v/>
      </c>
      <c r="S191" s="50">
        <f>IFERROR(IF(INDEX('AC&amp;M'!$L$10:$L$14,MATCH($F191,'AC&amp;M'!$B$10:$B$14,0))="","Cell will autofill based on response",INDEX('AC&amp;M'!$L$10:$L$14,MATCH($F191,'AC&amp;M'!$B$10:$B$14,0))),"N/A")</f>
        <v/>
      </c>
      <c r="T191" s="50">
        <f>IFERROR(IF(INDEX('GCE'!$L$10:$L$12,MATCH($F191,'GCE'!$B$10:$B$12,0))="","Cell will autofill based on response",INDEX('GCE'!$L$10:$L$12,MATCH($F191,'GCE'!$B$10:$B$12,0))),"N/A")</f>
        <v/>
      </c>
      <c r="U191" s="50">
        <f>IFERROR(IF(INDEX('Education'!$L$10:$L$13,MATCH($F191,'Education'!$B$10:$B$13,0))="","Cell will autofill based on response",INDEX('Education'!$L$10:$L$13,MATCH($F191,'Education'!$B$10:$B$13,0))),"N/A")</f>
        <v/>
      </c>
      <c r="V191" s="50">
        <f>IFERROR(IF(INDEX('SaSS'!$L$10:$L$12,MATCH($F191,'SaSS'!$B$10:$B$12,0))="","Cell will autofill based on response",INDEX('SaSS'!$L$10:$L$12,MATCH($F191,'SaSS'!$B$10:$B$12,0))),"N/A")</f>
        <v/>
      </c>
      <c r="W191" s="50">
        <f>IFERROR(IF(INDEX('Indigenous'!$L$10:$L$11,MATCH($F191,'Indigenous'!$B$10:$B$11,0))="","Cell will autofill based on response",INDEX('Indigenous'!$L$10:$L$11,MATCH($F191,'Indigenous'!$B$10:$B$11,0))),"N/A")</f>
        <v/>
      </c>
      <c r="X191" s="50">
        <f>IFERROR(IF(INDEX('L&amp;R'!$L$10:$L$11,MATCH($F191,'L&amp;R'!$B$10:$B$11,0))="","Cell will autofill based on response",INDEX('L&amp;R'!$L$10:$L$11,MATCH($F191,'L&amp;R'!$B$10:$B$11,0))),"N/A")</f>
        <v/>
      </c>
      <c r="Z191" s="8">
        <f>SUMPRODUCT(--($H191:$X191&lt;&gt;"N/A"))</f>
        <v/>
      </c>
      <c r="AA191" s="8">
        <f>SUMPRODUCT(--(((($H191:$X191&lt;&gt;"N/A")*($H191:$X191&lt;&gt;"Cell will autofill based on response"))+(($H192:$X192&lt;&gt;"N/A")*($H192:$X192&lt;&gt;"Cell will autofill based on response")))&gt;0))</f>
        <v/>
      </c>
      <c r="AB191" s="8">
        <f>Z191-AA191</f>
        <v/>
      </c>
      <c r="AC191" s="8">
        <f>COUNTIF($H195:$X195,"Yes")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IFERROR(IF(INDEX('CI&amp;S'!$M$10:$M$15,MATCH($F192,'CI&amp;S'!$B$10:$B$15,0))="","Cell will autofill based on response",INDEX('CI&amp;S'!$M$10:$M$15,MATCH($F192,'CI&amp;S'!$B$10:$B$15,0))),"N/A")</f>
        <v/>
      </c>
      <c r="M192" s="50">
        <f>IFERROR(IF(INDEX('CI&amp;S'!$M$22:$M$36,MATCH($F192,'CI&amp;S'!$B$22:$B$36,0))="","Cell will autofill based on response",INDEX('CI&amp;S'!$M$22:$M$36,MATCH($F192,'CI&amp;S'!$B$22:$B$36,0))),"N/A")</f>
        <v/>
      </c>
      <c r="N192" s="50">
        <f>IFERROR(IF(INDEX('CFOG'!$M$10:$M$16,MATCH($F192,'CFOG'!$B$10:$B$16,0))="","Cell will autofill based on response",INDEX('CFOG'!$M$10:$M$16,MATCH($F192,'CFOG'!$B$10:$B$16,0))),"N/A")</f>
        <v/>
      </c>
      <c r="O192" s="50">
        <f>IFERROR(IF(INDEX('CFOG'!$M$23:$M$24,MATCH($F192,'CFOG'!$B$23:$B$24,0))="","Cell will autofill based on response",INDEX('CFOG'!$M$23:$M$24,MATCH($F192,'CFOG'!$B$23:$B$24,0))),"N/A")</f>
        <v/>
      </c>
      <c r="P192" s="50">
        <f>IFERROR(IF(INDEX('ESG'!$M$10:$M$17,MATCH($F192,'ESG'!$B$10:$B$17,0))="","Cell will autofill based on response",INDEX('ESG'!$M$10:$M$17,MATCH($F192,'ESG'!$B$10:$B$17,0))),"N/A")</f>
        <v/>
      </c>
      <c r="Q192" s="50">
        <f>IFERROR(IF(INDEX('CIOG'!$M$10:$M$14,MATCH($F192,'CIOG'!$B$10:$B$14,0))="","Cell will autofill based on response",INDEX('CIOG'!$M$10:$M$14,MATCH($F192,'CIOG'!$B$10:$B$14,0))),"N/A")</f>
        <v/>
      </c>
      <c r="R192" s="50">
        <f>IFERROR(IF(INDEX('MRE'!$M$10:$M$18,MATCH($F192,'MRE'!$B$10:$B$18,0))="","Cell will autofill based on response",INDEX('MRE'!$M$10:$M$18,MATCH($F192,'MRE'!$B$10:$B$18,0))),"N/A")</f>
        <v/>
      </c>
      <c r="S192" s="50">
        <f>IFERROR(IF(INDEX('AC&amp;M'!$M$10:$M$14,MATCH($F192,'AC&amp;M'!$B$10:$B$14,0))="","Cell will autofill based on response",INDEX('AC&amp;M'!$M$10:$M$14,MATCH($F192,'AC&amp;M'!$B$10:$B$14,0))),"N/A")</f>
        <v/>
      </c>
      <c r="T192" s="50">
        <f>IFERROR(IF(INDEX('GCE'!$M$10:$M$12,MATCH($F192,'GCE'!$B$10:$B$12,0))="","Cell will autofill based on response",INDEX('GCE'!$M$10:$M$12,MATCH($F192,'GCE'!$B$10:$B$12,0))),"N/A")</f>
        <v/>
      </c>
      <c r="U192" s="50">
        <f>IFERROR(IF(INDEX('Education'!$M$10:$M$13,MATCH($F192,'Education'!$B$10:$B$13,0))="","Cell will autofill based on response",INDEX('Education'!$M$10:$M$13,MATCH($F192,'Education'!$B$10:$B$13,0))),"N/A")</f>
        <v/>
      </c>
      <c r="V192" s="50">
        <f>IFERROR(IF(INDEX('SaSS'!$M$10:$M$12,MATCH($F192,'SaSS'!$B$10:$B$12,0))="","Cell will autofill based on response",INDEX('SaSS'!$M$10:$M$12,MATCH($F192,'SaSS'!$B$10:$B$12,0))),"N/A")</f>
        <v/>
      </c>
      <c r="W192" s="50">
        <f>IFERROR(IF(INDEX('Indigenous'!$M$10:$M$11,MATCH($F192,'Indigenous'!$B$10:$B$11,0))="","Cell will autofill based on response",INDEX('Indigenous'!$M$10:$M$11,MATCH($F192,'Indigenous'!$B$10:$B$11,0))),"N/A")</f>
        <v/>
      </c>
      <c r="X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IFERROR(IF(INDEX('CI&amp;S'!$N$10:$N$15,MATCH($F193,'CI&amp;S'!$B$10:$B$15,0))="","Cell will autofill based on response",INDEX('CI&amp;S'!$N$10:$N$15,MATCH($F193,'CI&amp;S'!$B$10:$B$15,0))),"N/A")</f>
        <v/>
      </c>
      <c r="M193" s="50">
        <f>IFERROR(IF(INDEX('CI&amp;S'!$N$22:$N$36,MATCH($F193,'CI&amp;S'!$B$22:$B$36,0))="","Cell will autofill based on response",INDEX('CI&amp;S'!$N$22:$N$36,MATCH($F193,'CI&amp;S'!$B$22:$B$36,0))),"N/A")</f>
        <v/>
      </c>
      <c r="N193" s="50">
        <f>IFERROR(IF(INDEX('CFOG'!$N$10:$N$16,MATCH($F193,'CFOG'!$B$10:$B$16,0))="","Cell will autofill based on response",INDEX('CFOG'!$N$10:$N$16,MATCH($F193,'CFOG'!$B$10:$B$16,0))),"N/A")</f>
        <v/>
      </c>
      <c r="O193" s="50">
        <f>IFERROR(IF(INDEX('CFOG'!$N$23:$N$24,MATCH($F193,'CFOG'!$B$23:$B$24,0))="","Cell will autofill based on response",INDEX('CFOG'!$N$23:$N$24,MATCH($F193,'CFOG'!$B$23:$B$24,0))),"N/A")</f>
        <v/>
      </c>
      <c r="P193" s="50">
        <f>IFERROR(IF(INDEX('ESG'!$N$10:$N$17,MATCH($F193,'ESG'!$B$10:$B$17,0))="","Cell will autofill based on response",INDEX('ESG'!$N$10:$N$17,MATCH($F193,'ESG'!$B$10:$B$17,0))),"N/A")</f>
        <v/>
      </c>
      <c r="Q193" s="50">
        <f>IFERROR(IF(INDEX('CIOG'!$N$10:$N$14,MATCH($F193,'CIOG'!$B$10:$B$14,0))="","Cell will autofill based on response",INDEX('CIOG'!$N$10:$N$14,MATCH($F193,'CIOG'!$B$10:$B$14,0))),"N/A")</f>
        <v/>
      </c>
      <c r="R193" s="50">
        <f>IFERROR(IF(INDEX('MRE'!$N$10:$N$18,MATCH($F193,'MRE'!$B$10:$B$18,0))="","Cell will autofill based on response",INDEX('MRE'!$N$10:$N$18,MATCH($F193,'MRE'!$B$10:$B$18,0))),"N/A")</f>
        <v/>
      </c>
      <c r="S193" s="50">
        <f>IFERROR(IF(INDEX('AC&amp;M'!$N$10:$N$14,MATCH($F193,'AC&amp;M'!$B$10:$B$14,0))="","Cell will autofill based on response",INDEX('AC&amp;M'!$N$10:$N$14,MATCH($F193,'AC&amp;M'!$B$10:$B$14,0))),"N/A")</f>
        <v/>
      </c>
      <c r="T193" s="50">
        <f>IFERROR(IF(INDEX('GCE'!$N$10:$N$12,MATCH($F193,'GCE'!$B$10:$B$12,0))="","Cell will autofill based on response",INDEX('GCE'!$N$10:$N$12,MATCH($F193,'GCE'!$B$10:$B$12,0))),"N/A")</f>
        <v/>
      </c>
      <c r="U193" s="50">
        <f>IFERROR(IF(INDEX('Education'!$N$10:$N$13,MATCH($F193,'Education'!$B$10:$B$13,0))="","Cell will autofill based on response",INDEX('Education'!$N$10:$N$13,MATCH($F193,'Education'!$B$10:$B$13,0))),"N/A")</f>
        <v/>
      </c>
      <c r="V193" s="50">
        <f>IFERROR(IF(INDEX('SaSS'!$N$10:$N$12,MATCH($F193,'SaSS'!$B$10:$B$12,0))="","Cell will autofill based on response",INDEX('SaSS'!$N$10:$N$12,MATCH($F193,'SaSS'!$B$10:$B$12,0))),"N/A")</f>
        <v/>
      </c>
      <c r="W193" s="50">
        <f>IFERROR(IF(INDEX('Indigenous'!$N$10:$N$11,MATCH($F193,'Indigenous'!$B$10:$B$11,0))="","Cell will autofill based on response",INDEX('Indigenous'!$N$10:$N$11,MATCH($F193,'Indigenous'!$B$10:$B$11,0))),"N/A")</f>
        <v/>
      </c>
      <c r="X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IFERROR(IF(INDEX('CI&amp;S'!$O$10:$O$15,MATCH($F194,'CI&amp;S'!$B$10:$B$15,0))="","Cell will autofill based on response",INDEX('CI&amp;S'!$O$10:$O$15,MATCH($F194,'CI&amp;S'!$B$10:$B$15,0))),"N/A")</f>
        <v/>
      </c>
      <c r="M194" s="50">
        <f>IFERROR(IF(INDEX('CI&amp;S'!$O$22:$O$36,MATCH($F194,'CI&amp;S'!$B$22:$B$36,0))="","Cell will autofill based on response",INDEX('CI&amp;S'!$O$22:$O$36,MATCH($F194,'CI&amp;S'!$B$22:$B$36,0))),"N/A")</f>
        <v/>
      </c>
      <c r="N194" s="50">
        <f>IFERROR(IF(INDEX('CFOG'!$O$10:$O$16,MATCH($F194,'CFOG'!$B$10:$B$16,0))="","Cell will autofill based on response",INDEX('CFOG'!$O$10:$O$16,MATCH($F194,'CFOG'!$B$10:$B$16,0))),"N/A")</f>
        <v/>
      </c>
      <c r="O194" s="50">
        <f>IFERROR(IF(INDEX('CFOG'!$O$23:$O$24,MATCH($F194,'CFOG'!$B$23:$B$24,0))="","Cell will autofill based on response",INDEX('CFOG'!$O$23:$O$24,MATCH($F194,'CFOG'!$B$23:$B$24,0))),"N/A")</f>
        <v/>
      </c>
      <c r="P194" s="50">
        <f>IFERROR(IF(INDEX('ESG'!$O$10:$O$17,MATCH($F194,'ESG'!$B$10:$B$17,0))="","Cell will autofill based on response",INDEX('ESG'!$O$10:$O$17,MATCH($F194,'ESG'!$B$10:$B$17,0))),"N/A")</f>
        <v/>
      </c>
      <c r="Q194" s="50">
        <f>IFERROR(IF(INDEX('CIOG'!$O$10:$O$14,MATCH($F194,'CIOG'!$B$10:$B$14,0))="","Cell will autofill based on response",INDEX('CIOG'!$O$10:$O$14,MATCH($F194,'CIOG'!$B$10:$B$14,0))),"N/A")</f>
        <v/>
      </c>
      <c r="R194" s="50">
        <f>IFERROR(IF(INDEX('MRE'!$O$10:$O$18,MATCH($F194,'MRE'!$B$10:$B$18,0))="","Cell will autofill based on response",INDEX('MRE'!$O$10:$O$18,MATCH($F194,'MRE'!$B$10:$B$18,0))),"N/A")</f>
        <v/>
      </c>
      <c r="S194" s="50">
        <f>IFERROR(IF(INDEX('AC&amp;M'!$O$10:$O$14,MATCH($F194,'AC&amp;M'!$B$10:$B$14,0))="","Cell will autofill based on response",INDEX('AC&amp;M'!$O$10:$O$14,MATCH($F194,'AC&amp;M'!$B$10:$B$14,0))),"N/A")</f>
        <v/>
      </c>
      <c r="T194" s="50">
        <f>IFERROR(IF(INDEX('GCE'!$O$10:$O$12,MATCH($F194,'GCE'!$B$10:$B$12,0))="","Cell will autofill based on response",INDEX('GCE'!$O$10:$O$12,MATCH($F194,'GCE'!$B$10:$B$12,0))),"N/A")</f>
        <v/>
      </c>
      <c r="U194" s="50">
        <f>IFERROR(IF(INDEX('Education'!$O$10:$O$13,MATCH($F194,'Education'!$B$10:$B$13,0))="","Cell will autofill based on response",INDEX('Education'!$O$10:$O$13,MATCH($F194,'Education'!$B$10:$B$13,0))),"N/A")</f>
        <v/>
      </c>
      <c r="V194" s="50">
        <f>IFERROR(IF(INDEX('SaSS'!$O$10:$O$12,MATCH($F194,'SaSS'!$B$10:$B$12,0))="","Cell will autofill based on response",INDEX('SaSS'!$O$10:$O$12,MATCH($F194,'SaSS'!$B$10:$B$12,0))),"N/A")</f>
        <v/>
      </c>
      <c r="W194" s="50">
        <f>IFERROR(IF(INDEX('Indigenous'!$O$10:$O$11,MATCH($F194,'Indigenous'!$B$10:$B$11,0))="","Cell will autofill based on response",INDEX('Indigenous'!$O$10:$O$11,MATCH($F194,'Indigenous'!$B$10:$B$11,0))),"N/A")</f>
        <v/>
      </c>
      <c r="X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IFERROR(IF(INDEX('CI&amp;S'!$P$10:$P$15,MATCH($F195,'CI&amp;S'!$B$10:$B$15,0))="","Cell will autofill based on response",INDEX('CI&amp;S'!$P$10:$P$15,MATCH($F195,'CI&amp;S'!$B$10:$B$15,0))),"N/A")</f>
        <v/>
      </c>
      <c r="M195" s="50">
        <f>IFERROR(IF(INDEX('CI&amp;S'!$P$22:$P$36,MATCH($F195,'CI&amp;S'!$B$22:$B$36,0))="","Cell will autofill based on response",INDEX('CI&amp;S'!$P$22:$P$36,MATCH($F195,'CI&amp;S'!$B$22:$B$36,0))),"N/A")</f>
        <v/>
      </c>
      <c r="N195" s="50">
        <f>IFERROR(IF(INDEX('CFOG'!$P$10:$P$16,MATCH($F195,'CFOG'!$B$10:$B$16,0))="","Cell will autofill based on response",INDEX('CFOG'!$P$10:$P$16,MATCH($F195,'CFOG'!$B$10:$B$16,0))),"N/A")</f>
        <v/>
      </c>
      <c r="O195" s="50">
        <f>IFERROR(IF(INDEX('CFOG'!$P$23:$P$24,MATCH($F195,'CFOG'!$B$23:$B$24,0))="","Cell will autofill based on response",INDEX('CFOG'!$P$23:$P$24,MATCH($F195,'CFOG'!$B$23:$B$24,0))),"N/A")</f>
        <v/>
      </c>
      <c r="P195" s="50">
        <f>IFERROR(IF(INDEX('ESG'!$P$10:$P$17,MATCH($F195,'ESG'!$B$10:$B$17,0))="","Cell will autofill based on response",INDEX('ESG'!$P$10:$P$17,MATCH($F195,'ESG'!$B$10:$B$17,0))),"N/A")</f>
        <v/>
      </c>
      <c r="Q195" s="50">
        <f>IFERROR(IF(INDEX('CIOG'!$P$10:$P$14,MATCH($F195,'CIOG'!$B$10:$B$14,0))="","Cell will autofill based on response",INDEX('CIOG'!$P$10:$P$14,MATCH($F195,'CIOG'!$B$10:$B$14,0))),"N/A")</f>
        <v/>
      </c>
      <c r="R195" s="50">
        <f>IFERROR(IF(INDEX('MRE'!$P$10:$P$18,MATCH($F195,'MRE'!$B$10:$B$18,0))="","Cell will autofill based on response",INDEX('MRE'!$P$10:$P$18,MATCH($F195,'MRE'!$B$10:$B$18,0))),"N/A")</f>
        <v/>
      </c>
      <c r="S195" s="50">
        <f>IFERROR(IF(INDEX('AC&amp;M'!$P$10:$P$14,MATCH($F195,'AC&amp;M'!$B$10:$B$14,0))="","Cell will autofill based on response",INDEX('AC&amp;M'!$P$10:$P$14,MATCH($F195,'AC&amp;M'!$B$10:$B$14,0))),"N/A")</f>
        <v/>
      </c>
      <c r="T195" s="50">
        <f>IFERROR(IF(INDEX('GCE'!$P$10:$P$12,MATCH($F195,'GCE'!$B$10:$B$12,0))="","Cell will autofill based on response",INDEX('GCE'!$P$10:$P$12,MATCH($F195,'GCE'!$B$10:$B$12,0))),"N/A")</f>
        <v/>
      </c>
      <c r="U195" s="50">
        <f>IFERROR(IF(INDEX('Education'!$P$10:$P$13,MATCH($F195,'Education'!$B$10:$B$13,0))="","Cell will autofill based on response",INDEX('Education'!$P$10:$P$13,MATCH($F195,'Education'!$B$10:$B$13,0))),"N/A")</f>
        <v/>
      </c>
      <c r="V195" s="50">
        <f>IFERROR(IF(INDEX('SaSS'!$P$10:$P$12,MATCH($F195,'SaSS'!$B$10:$B$12,0))="","Cell will autofill based on response",INDEX('SaSS'!$P$10:$P$12,MATCH($F195,'SaSS'!$B$10:$B$12,0))),"N/A")</f>
        <v/>
      </c>
      <c r="W195" s="50">
        <f>IFERROR(IF(INDEX('Indigenous'!$P$10:$P$11,MATCH($F195,'Indigenous'!$B$10:$B$11,0))="","Cell will autofill based on response",INDEX('Indigenous'!$P$10:$P$11,MATCH($F195,'Indigenous'!$B$10:$B$11,0))),"N/A")</f>
        <v/>
      </c>
      <c r="X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IFERROR(IF(INDEX('CI&amp;S'!$L$10:$L$15,MATCH($F196,'CI&amp;S'!$B$10:$B$15,0))="","Cell will autofill based on response",INDEX('CI&amp;S'!$L$10:$L$15,MATCH($F196,'CI&amp;S'!$B$10:$B$15,0))),"N/A")</f>
        <v/>
      </c>
      <c r="M196" s="50">
        <f>IFERROR(IF(INDEX('CI&amp;S'!$L$22:$L$36,MATCH($F196,'CI&amp;S'!$B$22:$B$36,0))="","Cell will autofill based on response",INDEX('CI&amp;S'!$L$22:$L$36,MATCH($F196,'CI&amp;S'!$B$22:$B$36,0))),"N/A")</f>
        <v/>
      </c>
      <c r="N196" s="50">
        <f>IFERROR(IF(INDEX('CFOG'!$L$10:$L$16,MATCH($F196,'CFOG'!$B$10:$B$16,0))="","Cell will autofill based on response",INDEX('CFOG'!$L$10:$L$16,MATCH($F196,'CFOG'!$B$10:$B$16,0))),"N/A")</f>
        <v/>
      </c>
      <c r="O196" s="50">
        <f>IFERROR(IF(INDEX('CFOG'!$L$23:$L$24,MATCH($F196,'CFOG'!$B$23:$B$24,0))="","Cell will autofill based on response",INDEX('CFOG'!$L$23:$L$24,MATCH($F196,'CFOG'!$B$23:$B$24,0))),"N/A")</f>
        <v/>
      </c>
      <c r="P196" s="50">
        <f>IFERROR(IF(INDEX('ESG'!$L$10:$L$17,MATCH($F196,'ESG'!$B$10:$B$17,0))="","Cell will autofill based on response",INDEX('ESG'!$L$10:$L$17,MATCH($F196,'ESG'!$B$10:$B$17,0))),"N/A")</f>
        <v/>
      </c>
      <c r="Q196" s="50">
        <f>IFERROR(IF(INDEX('CIOG'!$L$10:$L$14,MATCH($F196,'CIOG'!$B$10:$B$14,0))="","Cell will autofill based on response",INDEX('CIOG'!$L$10:$L$14,MATCH($F196,'CIOG'!$B$10:$B$14,0))),"N/A")</f>
        <v/>
      </c>
      <c r="R196" s="50">
        <f>IFERROR(IF(INDEX('MRE'!$L$10:$L$18,MATCH($F196,'MRE'!$B$10:$B$18,0))="","Cell will autofill based on response",INDEX('MRE'!$L$10:$L$18,MATCH($F196,'MRE'!$B$10:$B$18,0))),"N/A")</f>
        <v/>
      </c>
      <c r="S196" s="50">
        <f>IFERROR(IF(INDEX('AC&amp;M'!$L$10:$L$14,MATCH($F196,'AC&amp;M'!$B$10:$B$14,0))="","Cell will autofill based on response",INDEX('AC&amp;M'!$L$10:$L$14,MATCH($F196,'AC&amp;M'!$B$10:$B$14,0))),"N/A")</f>
        <v/>
      </c>
      <c r="T196" s="50">
        <f>IFERROR(IF(INDEX('GCE'!$L$10:$L$12,MATCH($F196,'GCE'!$B$10:$B$12,0))="","Cell will autofill based on response",INDEX('GCE'!$L$10:$L$12,MATCH($F196,'GCE'!$B$10:$B$12,0))),"N/A")</f>
        <v/>
      </c>
      <c r="U196" s="50">
        <f>IFERROR(IF(INDEX('Education'!$L$10:$L$13,MATCH($F196,'Education'!$B$10:$B$13,0))="","Cell will autofill based on response",INDEX('Education'!$L$10:$L$13,MATCH($F196,'Education'!$B$10:$B$13,0))),"N/A")</f>
        <v/>
      </c>
      <c r="V196" s="50">
        <f>IFERROR(IF(INDEX('SaSS'!$L$10:$L$12,MATCH($F196,'SaSS'!$B$10:$B$12,0))="","Cell will autofill based on response",INDEX('SaSS'!$L$10:$L$12,MATCH($F196,'SaSS'!$B$10:$B$12,0))),"N/A")</f>
        <v/>
      </c>
      <c r="W196" s="50">
        <f>IFERROR(IF(INDEX('Indigenous'!$L$10:$L$11,MATCH($F196,'Indigenous'!$B$10:$B$11,0))="","Cell will autofill based on response",INDEX('Indigenous'!$L$10:$L$11,MATCH($F196,'Indigenous'!$B$10:$B$11,0))),"N/A")</f>
        <v/>
      </c>
      <c r="X196" s="50">
        <f>IFERROR(IF(INDEX('L&amp;R'!$L$10:$L$11,MATCH($F196,'L&amp;R'!$B$10:$B$11,0))="","Cell will autofill based on response",INDEX('L&amp;R'!$L$10:$L$11,MATCH($F196,'L&amp;R'!$B$10:$B$11,0))),"N/A")</f>
        <v/>
      </c>
      <c r="Z196" s="8">
        <f>SUMPRODUCT(--($H196:$X196&lt;&gt;"N/A"))</f>
        <v/>
      </c>
      <c r="AA196" s="8">
        <f>SUMPRODUCT(--(((($H196:$X196&lt;&gt;"N/A")*($H196:$X196&lt;&gt;"Cell will autofill based on response"))+(($H197:$X197&lt;&gt;"N/A")*($H197:$X197&lt;&gt;"Cell will autofill based on response")))&gt;0))</f>
        <v/>
      </c>
      <c r="AB196" s="8">
        <f>Z196-AA196</f>
        <v/>
      </c>
      <c r="AC196" s="8">
        <f>COUNTIF($H200:$X200,"Yes")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IFERROR(IF(INDEX('CI&amp;S'!$M$10:$M$15,MATCH($F197,'CI&amp;S'!$B$10:$B$15,0))="","Cell will autofill based on response",INDEX('CI&amp;S'!$M$10:$M$15,MATCH($F197,'CI&amp;S'!$B$10:$B$15,0))),"N/A")</f>
        <v/>
      </c>
      <c r="M197" s="50">
        <f>IFERROR(IF(INDEX('CI&amp;S'!$M$22:$M$36,MATCH($F197,'CI&amp;S'!$B$22:$B$36,0))="","Cell will autofill based on response",INDEX('CI&amp;S'!$M$22:$M$36,MATCH($F197,'CI&amp;S'!$B$22:$B$36,0))),"N/A")</f>
        <v/>
      </c>
      <c r="N197" s="50">
        <f>IFERROR(IF(INDEX('CFOG'!$M$10:$M$16,MATCH($F197,'CFOG'!$B$10:$B$16,0))="","Cell will autofill based on response",INDEX('CFOG'!$M$10:$M$16,MATCH($F197,'CFOG'!$B$10:$B$16,0))),"N/A")</f>
        <v/>
      </c>
      <c r="O197" s="50">
        <f>IFERROR(IF(INDEX('CFOG'!$M$23:$M$24,MATCH($F197,'CFOG'!$B$23:$B$24,0))="","Cell will autofill based on response",INDEX('CFOG'!$M$23:$M$24,MATCH($F197,'CFOG'!$B$23:$B$24,0))),"N/A")</f>
        <v/>
      </c>
      <c r="P197" s="50">
        <f>IFERROR(IF(INDEX('ESG'!$M$10:$M$17,MATCH($F197,'ESG'!$B$10:$B$17,0))="","Cell will autofill based on response",INDEX('ESG'!$M$10:$M$17,MATCH($F197,'ESG'!$B$10:$B$17,0))),"N/A")</f>
        <v/>
      </c>
      <c r="Q197" s="50">
        <f>IFERROR(IF(INDEX('CIOG'!$M$10:$M$14,MATCH($F197,'CIOG'!$B$10:$B$14,0))="","Cell will autofill based on response",INDEX('CIOG'!$M$10:$M$14,MATCH($F197,'CIOG'!$B$10:$B$14,0))),"N/A")</f>
        <v/>
      </c>
      <c r="R197" s="50">
        <f>IFERROR(IF(INDEX('MRE'!$M$10:$M$18,MATCH($F197,'MRE'!$B$10:$B$18,0))="","Cell will autofill based on response",INDEX('MRE'!$M$10:$M$18,MATCH($F197,'MRE'!$B$10:$B$18,0))),"N/A")</f>
        <v/>
      </c>
      <c r="S197" s="50">
        <f>IFERROR(IF(INDEX('AC&amp;M'!$M$10:$M$14,MATCH($F197,'AC&amp;M'!$B$10:$B$14,0))="","Cell will autofill based on response",INDEX('AC&amp;M'!$M$10:$M$14,MATCH($F197,'AC&amp;M'!$B$10:$B$14,0))),"N/A")</f>
        <v/>
      </c>
      <c r="T197" s="50">
        <f>IFERROR(IF(INDEX('GCE'!$M$10:$M$12,MATCH($F197,'GCE'!$B$10:$B$12,0))="","Cell will autofill based on response",INDEX('GCE'!$M$10:$M$12,MATCH($F197,'GCE'!$B$10:$B$12,0))),"N/A")</f>
        <v/>
      </c>
      <c r="U197" s="50">
        <f>IFERROR(IF(INDEX('Education'!$M$10:$M$13,MATCH($F197,'Education'!$B$10:$B$13,0))="","Cell will autofill based on response",INDEX('Education'!$M$10:$M$13,MATCH($F197,'Education'!$B$10:$B$13,0))),"N/A")</f>
        <v/>
      </c>
      <c r="V197" s="50">
        <f>IFERROR(IF(INDEX('SaSS'!$M$10:$M$12,MATCH($F197,'SaSS'!$B$10:$B$12,0))="","Cell will autofill based on response",INDEX('SaSS'!$M$10:$M$12,MATCH($F197,'SaSS'!$B$10:$B$12,0))),"N/A")</f>
        <v/>
      </c>
      <c r="W197" s="50">
        <f>IFERROR(IF(INDEX('Indigenous'!$M$10:$M$11,MATCH($F197,'Indigenous'!$B$10:$B$11,0))="","Cell will autofill based on response",INDEX('Indigenous'!$M$10:$M$11,MATCH($F197,'Indigenous'!$B$10:$B$11,0))),"N/A")</f>
        <v/>
      </c>
      <c r="X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IFERROR(IF(INDEX('CI&amp;S'!$N$10:$N$15,MATCH($F198,'CI&amp;S'!$B$10:$B$15,0))="","Cell will autofill based on response",INDEX('CI&amp;S'!$N$10:$N$15,MATCH($F198,'CI&amp;S'!$B$10:$B$15,0))),"N/A")</f>
        <v/>
      </c>
      <c r="M198" s="50">
        <f>IFERROR(IF(INDEX('CI&amp;S'!$N$22:$N$36,MATCH($F198,'CI&amp;S'!$B$22:$B$36,0))="","Cell will autofill based on response",INDEX('CI&amp;S'!$N$22:$N$36,MATCH($F198,'CI&amp;S'!$B$22:$B$36,0))),"N/A")</f>
        <v/>
      </c>
      <c r="N198" s="50">
        <f>IFERROR(IF(INDEX('CFOG'!$N$10:$N$16,MATCH($F198,'CFOG'!$B$10:$B$16,0))="","Cell will autofill based on response",INDEX('CFOG'!$N$10:$N$16,MATCH($F198,'CFOG'!$B$10:$B$16,0))),"N/A")</f>
        <v/>
      </c>
      <c r="O198" s="50">
        <f>IFERROR(IF(INDEX('CFOG'!$N$23:$N$24,MATCH($F198,'CFOG'!$B$23:$B$24,0))="","Cell will autofill based on response",INDEX('CFOG'!$N$23:$N$24,MATCH($F198,'CFOG'!$B$23:$B$24,0))),"N/A")</f>
        <v/>
      </c>
      <c r="P198" s="50">
        <f>IFERROR(IF(INDEX('ESG'!$N$10:$N$17,MATCH($F198,'ESG'!$B$10:$B$17,0))="","Cell will autofill based on response",INDEX('ESG'!$N$10:$N$17,MATCH($F198,'ESG'!$B$10:$B$17,0))),"N/A")</f>
        <v/>
      </c>
      <c r="Q198" s="50">
        <f>IFERROR(IF(INDEX('CIOG'!$N$10:$N$14,MATCH($F198,'CIOG'!$B$10:$B$14,0))="","Cell will autofill based on response",INDEX('CIOG'!$N$10:$N$14,MATCH($F198,'CIOG'!$B$10:$B$14,0))),"N/A")</f>
        <v/>
      </c>
      <c r="R198" s="50">
        <f>IFERROR(IF(INDEX('MRE'!$N$10:$N$18,MATCH($F198,'MRE'!$B$10:$B$18,0))="","Cell will autofill based on response",INDEX('MRE'!$N$10:$N$18,MATCH($F198,'MRE'!$B$10:$B$18,0))),"N/A")</f>
        <v/>
      </c>
      <c r="S198" s="50">
        <f>IFERROR(IF(INDEX('AC&amp;M'!$N$10:$N$14,MATCH($F198,'AC&amp;M'!$B$10:$B$14,0))="","Cell will autofill based on response",INDEX('AC&amp;M'!$N$10:$N$14,MATCH($F198,'AC&amp;M'!$B$10:$B$14,0))),"N/A")</f>
        <v/>
      </c>
      <c r="T198" s="50">
        <f>IFERROR(IF(INDEX('GCE'!$N$10:$N$12,MATCH($F198,'GCE'!$B$10:$B$12,0))="","Cell will autofill based on response",INDEX('GCE'!$N$10:$N$12,MATCH($F198,'GCE'!$B$10:$B$12,0))),"N/A")</f>
        <v/>
      </c>
      <c r="U198" s="50">
        <f>IFERROR(IF(INDEX('Education'!$N$10:$N$13,MATCH($F198,'Education'!$B$10:$B$13,0))="","Cell will autofill based on response",INDEX('Education'!$N$10:$N$13,MATCH($F198,'Education'!$B$10:$B$13,0))),"N/A")</f>
        <v/>
      </c>
      <c r="V198" s="50">
        <f>IFERROR(IF(INDEX('SaSS'!$N$10:$N$12,MATCH($F198,'SaSS'!$B$10:$B$12,0))="","Cell will autofill based on response",INDEX('SaSS'!$N$10:$N$12,MATCH($F198,'SaSS'!$B$10:$B$12,0))),"N/A")</f>
        <v/>
      </c>
      <c r="W198" s="50">
        <f>IFERROR(IF(INDEX('Indigenous'!$N$10:$N$11,MATCH($F198,'Indigenous'!$B$10:$B$11,0))="","Cell will autofill based on response",INDEX('Indigenous'!$N$10:$N$11,MATCH($F198,'Indigenous'!$B$10:$B$11,0))),"N/A")</f>
        <v/>
      </c>
      <c r="X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IFERROR(IF(INDEX('CI&amp;S'!$O$10:$O$15,MATCH($F199,'CI&amp;S'!$B$10:$B$15,0))="","Cell will autofill based on response",INDEX('CI&amp;S'!$O$10:$O$15,MATCH($F199,'CI&amp;S'!$B$10:$B$15,0))),"N/A")</f>
        <v/>
      </c>
      <c r="M199" s="50">
        <f>IFERROR(IF(INDEX('CI&amp;S'!$O$22:$O$36,MATCH($F199,'CI&amp;S'!$B$22:$B$36,0))="","Cell will autofill based on response",INDEX('CI&amp;S'!$O$22:$O$36,MATCH($F199,'CI&amp;S'!$B$22:$B$36,0))),"N/A")</f>
        <v/>
      </c>
      <c r="N199" s="50">
        <f>IFERROR(IF(INDEX('CFOG'!$O$10:$O$16,MATCH($F199,'CFOG'!$B$10:$B$16,0))="","Cell will autofill based on response",INDEX('CFOG'!$O$10:$O$16,MATCH($F199,'CFOG'!$B$10:$B$16,0))),"N/A")</f>
        <v/>
      </c>
      <c r="O199" s="50">
        <f>IFERROR(IF(INDEX('CFOG'!$O$23:$O$24,MATCH($F199,'CFOG'!$B$23:$B$24,0))="","Cell will autofill based on response",INDEX('CFOG'!$O$23:$O$24,MATCH($F199,'CFOG'!$B$23:$B$24,0))),"N/A")</f>
        <v/>
      </c>
      <c r="P199" s="50">
        <f>IFERROR(IF(INDEX('ESG'!$O$10:$O$17,MATCH($F199,'ESG'!$B$10:$B$17,0))="","Cell will autofill based on response",INDEX('ESG'!$O$10:$O$17,MATCH($F199,'ESG'!$B$10:$B$17,0))),"N/A")</f>
        <v/>
      </c>
      <c r="Q199" s="50">
        <f>IFERROR(IF(INDEX('CIOG'!$O$10:$O$14,MATCH($F199,'CIOG'!$B$10:$B$14,0))="","Cell will autofill based on response",INDEX('CIOG'!$O$10:$O$14,MATCH($F199,'CIOG'!$B$10:$B$14,0))),"N/A")</f>
        <v/>
      </c>
      <c r="R199" s="50">
        <f>IFERROR(IF(INDEX('MRE'!$O$10:$O$18,MATCH($F199,'MRE'!$B$10:$B$18,0))="","Cell will autofill based on response",INDEX('MRE'!$O$10:$O$18,MATCH($F199,'MRE'!$B$10:$B$18,0))),"N/A")</f>
        <v/>
      </c>
      <c r="S199" s="50">
        <f>IFERROR(IF(INDEX('AC&amp;M'!$O$10:$O$14,MATCH($F199,'AC&amp;M'!$B$10:$B$14,0))="","Cell will autofill based on response",INDEX('AC&amp;M'!$O$10:$O$14,MATCH($F199,'AC&amp;M'!$B$10:$B$14,0))),"N/A")</f>
        <v/>
      </c>
      <c r="T199" s="50">
        <f>IFERROR(IF(INDEX('GCE'!$O$10:$O$12,MATCH($F199,'GCE'!$B$10:$B$12,0))="","Cell will autofill based on response",INDEX('GCE'!$O$10:$O$12,MATCH($F199,'GCE'!$B$10:$B$12,0))),"N/A")</f>
        <v/>
      </c>
      <c r="U199" s="50">
        <f>IFERROR(IF(INDEX('Education'!$O$10:$O$13,MATCH($F199,'Education'!$B$10:$B$13,0))="","Cell will autofill based on response",INDEX('Education'!$O$10:$O$13,MATCH($F199,'Education'!$B$10:$B$13,0))),"N/A")</f>
        <v/>
      </c>
      <c r="V199" s="50">
        <f>IFERROR(IF(INDEX('SaSS'!$O$10:$O$12,MATCH($F199,'SaSS'!$B$10:$B$12,0))="","Cell will autofill based on response",INDEX('SaSS'!$O$10:$O$12,MATCH($F199,'SaSS'!$B$10:$B$12,0))),"N/A")</f>
        <v/>
      </c>
      <c r="W199" s="50">
        <f>IFERROR(IF(INDEX('Indigenous'!$O$10:$O$11,MATCH($F199,'Indigenous'!$B$10:$B$11,0))="","Cell will autofill based on response",INDEX('Indigenous'!$O$10:$O$11,MATCH($F199,'Indigenous'!$B$10:$B$11,0))),"N/A")</f>
        <v/>
      </c>
      <c r="X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IFERROR(IF(INDEX('CI&amp;S'!$P$10:$P$15,MATCH($F200,'CI&amp;S'!$B$10:$B$15,0))="","Cell will autofill based on response",INDEX('CI&amp;S'!$P$10:$P$15,MATCH($F200,'CI&amp;S'!$B$10:$B$15,0))),"N/A")</f>
        <v/>
      </c>
      <c r="M200" s="50">
        <f>IFERROR(IF(INDEX('CI&amp;S'!$P$22:$P$36,MATCH($F200,'CI&amp;S'!$B$22:$B$36,0))="","Cell will autofill based on response",INDEX('CI&amp;S'!$P$22:$P$36,MATCH($F200,'CI&amp;S'!$B$22:$B$36,0))),"N/A")</f>
        <v/>
      </c>
      <c r="N200" s="50">
        <f>IFERROR(IF(INDEX('CFOG'!$P$10:$P$16,MATCH($F200,'CFOG'!$B$10:$B$16,0))="","Cell will autofill based on response",INDEX('CFOG'!$P$10:$P$16,MATCH($F200,'CFOG'!$B$10:$B$16,0))),"N/A")</f>
        <v/>
      </c>
      <c r="O200" s="50">
        <f>IFERROR(IF(INDEX('CFOG'!$P$23:$P$24,MATCH($F200,'CFOG'!$B$23:$B$24,0))="","Cell will autofill based on response",INDEX('CFOG'!$P$23:$P$24,MATCH($F200,'CFOG'!$B$23:$B$24,0))),"N/A")</f>
        <v/>
      </c>
      <c r="P200" s="50">
        <f>IFERROR(IF(INDEX('ESG'!$P$10:$P$17,MATCH($F200,'ESG'!$B$10:$B$17,0))="","Cell will autofill based on response",INDEX('ESG'!$P$10:$P$17,MATCH($F200,'ESG'!$B$10:$B$17,0))),"N/A")</f>
        <v/>
      </c>
      <c r="Q200" s="50">
        <f>IFERROR(IF(INDEX('CIOG'!$P$10:$P$14,MATCH($F200,'CIOG'!$B$10:$B$14,0))="","Cell will autofill based on response",INDEX('CIOG'!$P$10:$P$14,MATCH($F200,'CIOG'!$B$10:$B$14,0))),"N/A")</f>
        <v/>
      </c>
      <c r="R200" s="50">
        <f>IFERROR(IF(INDEX('MRE'!$P$10:$P$18,MATCH($F200,'MRE'!$B$10:$B$18,0))="","Cell will autofill based on response",INDEX('MRE'!$P$10:$P$18,MATCH($F200,'MRE'!$B$10:$B$18,0))),"N/A")</f>
        <v/>
      </c>
      <c r="S200" s="50">
        <f>IFERROR(IF(INDEX('AC&amp;M'!$P$10:$P$14,MATCH($F200,'AC&amp;M'!$B$10:$B$14,0))="","Cell will autofill based on response",INDEX('AC&amp;M'!$P$10:$P$14,MATCH($F200,'AC&amp;M'!$B$10:$B$14,0))),"N/A")</f>
        <v/>
      </c>
      <c r="T200" s="50">
        <f>IFERROR(IF(INDEX('GCE'!$P$10:$P$12,MATCH($F200,'GCE'!$B$10:$B$12,0))="","Cell will autofill based on response",INDEX('GCE'!$P$10:$P$12,MATCH($F200,'GCE'!$B$10:$B$12,0))),"N/A")</f>
        <v/>
      </c>
      <c r="U200" s="50">
        <f>IFERROR(IF(INDEX('Education'!$P$10:$P$13,MATCH($F200,'Education'!$B$10:$B$13,0))="","Cell will autofill based on response",INDEX('Education'!$P$10:$P$13,MATCH($F200,'Education'!$B$10:$B$13,0))),"N/A")</f>
        <v/>
      </c>
      <c r="V200" s="50">
        <f>IFERROR(IF(INDEX('SaSS'!$P$10:$P$12,MATCH($F200,'SaSS'!$B$10:$B$12,0))="","Cell will autofill based on response",INDEX('SaSS'!$P$10:$P$12,MATCH($F200,'SaSS'!$B$10:$B$12,0))),"N/A")</f>
        <v/>
      </c>
      <c r="W200" s="50">
        <f>IFERROR(IF(INDEX('Indigenous'!$P$10:$P$11,MATCH($F200,'Indigenous'!$B$10:$B$11,0))="","Cell will autofill based on response",INDEX('Indigenous'!$P$10:$P$11,MATCH($F200,'Indigenous'!$B$10:$B$11,0))),"N/A")</f>
        <v/>
      </c>
      <c r="X200" s="50">
        <f>IFERROR(IF(INDEX('L&amp;R'!$P$10:$P$11,MATCH($F200,'L&amp;R'!$B$10:$B$11,0))="","Cell will autofill based on response",INDEX('L&amp;R'!$P$10:$P$11,MATCH($F200,'L&amp;R'!$B$10:$B$11,0))),"N/A")</f>
        <v/>
      </c>
    </row>
  </sheetData>
  <autoFilter ref="B10:AC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Responses received</t>
        </is>
      </c>
      <c r="Q7" s="4" t="inlineStr">
        <is>
          <t>Owner confirmed</t>
        </is>
      </c>
      <c r="R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CI&amp;S – Sustainability Strategy</t>
        </is>
      </c>
      <c r="J8" s="51" t="inlineStr">
        <is>
          <t>Education – Chancellery Education</t>
        </is>
      </c>
      <c r="P8" s="52">
        <f>'A1. Response summary'!AA11</f>
        <v/>
      </c>
      <c r="Q8" s="52">
        <f>'A1. Response summary'!AC11</f>
        <v/>
      </c>
      <c r="R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summary'!M11</f>
        <v/>
      </c>
      <c r="J9" s="54">
        <f>'A1. Response summary'!U11</f>
        <v/>
      </c>
      <c r="R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summary'!M12</f>
        <v/>
      </c>
      <c r="J10" s="54">
        <f>'A1. Response summary'!U12</f>
        <v/>
      </c>
      <c r="R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summary'!M13</f>
        <v/>
      </c>
      <c r="J11" s="54">
        <f>'A1. Response summary'!U13</f>
        <v/>
      </c>
      <c r="R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summary'!M14</f>
        <v/>
      </c>
      <c r="J12" s="54">
        <f>'A1. Response summary'!U14</f>
        <v/>
      </c>
      <c r="R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summary'!M15</f>
        <v/>
      </c>
      <c r="J13" s="54">
        <f>'A1. Response summary'!U15</f>
        <v/>
      </c>
      <c r="R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CI&amp;S – Sustainability Strategy</t>
        </is>
      </c>
      <c r="J15" s="51" t="inlineStr">
        <is>
          <t>Education – Chancellery Education</t>
        </is>
      </c>
      <c r="P15" s="52">
        <f>'A1. Response summary'!AA16</f>
        <v/>
      </c>
      <c r="Q15" s="52">
        <f>'A1. Response summary'!AC16</f>
        <v/>
      </c>
      <c r="R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summary'!M16</f>
        <v/>
      </c>
      <c r="J16" s="54">
        <f>'A1. Response summary'!U16</f>
        <v/>
      </c>
      <c r="R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summary'!M17</f>
        <v/>
      </c>
      <c r="J17" s="54">
        <f>'A1. Response summary'!U17</f>
        <v/>
      </c>
      <c r="R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summary'!M18</f>
        <v/>
      </c>
      <c r="J18" s="54">
        <f>'A1. Response summary'!U18</f>
        <v/>
      </c>
      <c r="R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summary'!M19</f>
        <v/>
      </c>
      <c r="J19" s="54">
        <f>'A1. Response summary'!U19</f>
        <v/>
      </c>
      <c r="R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summary'!M20</f>
        <v/>
      </c>
      <c r="J20" s="54">
        <f>'A1. Response summary'!U20</f>
        <v/>
      </c>
      <c r="R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P22" s="52">
        <f>'A1. Response summary'!AA21</f>
        <v/>
      </c>
      <c r="Q22" s="52">
        <f>'A1. Response summary'!AC21</f>
        <v/>
      </c>
      <c r="R22" s="6" t="inlineStr">
        <is>
          <t>Faculties answer this indicator in their EE1(a) response (merged question) – review both.</t>
        </is>
      </c>
    </row>
    <row r="23" ht="39" customHeight="1">
      <c r="B23" s="53" t="inlineStr">
        <is>
          <t>EE1(c)</t>
        </is>
      </c>
      <c r="D23" s="11" t="inlineStr">
        <is>
          <t>OPTION 1:  Target-level reporting</t>
        </is>
      </c>
      <c r="E23" s="54">
        <f>'A1. Response summary'!M21</f>
        <v/>
      </c>
      <c r="F23" s="54">
        <f>'A1. Response summary'!V21</f>
        <v/>
      </c>
      <c r="R23" s="55" t="n"/>
    </row>
    <row r="24" ht="60" customHeight="1">
      <c r="B24" s="53" t="inlineStr">
        <is>
          <t>EE1(c)</t>
        </is>
      </c>
      <c r="D24" s="11" t="inlineStr">
        <is>
          <t>OPTION 2:  Indicator level reporting</t>
        </is>
      </c>
      <c r="E24" s="54">
        <f>'A1. Response summary'!M22</f>
        <v/>
      </c>
      <c r="F24" s="54">
        <f>'A1. Response summary'!V22</f>
        <v/>
      </c>
      <c r="R24" s="55" t="n"/>
    </row>
    <row r="25" ht="60" customHeight="1">
      <c r="B25" s="53" t="inlineStr">
        <is>
          <t>EE1(c)</t>
        </is>
      </c>
      <c r="D25" s="11" t="inlineStr">
        <is>
          <t>Supporting information/comments</t>
        </is>
      </c>
      <c r="E25" s="54">
        <f>'A1. Response summary'!M23</f>
        <v/>
      </c>
      <c r="F25" s="54">
        <f>'A1. Response summary'!V23</f>
        <v/>
      </c>
      <c r="R25" s="55" t="n"/>
    </row>
    <row r="26" ht="39" customHeight="1">
      <c r="B26" s="53" t="inlineStr">
        <is>
          <t>EE1(c)</t>
        </is>
      </c>
      <c r="D26" s="11" t="inlineStr">
        <is>
          <t>Data source and limitations</t>
        </is>
      </c>
      <c r="E26" s="54">
        <f>'A1. Response summary'!M24</f>
        <v/>
      </c>
      <c r="F26" s="54">
        <f>'A1. Response summary'!V24</f>
        <v/>
      </c>
      <c r="R26" s="55" t="n"/>
    </row>
    <row r="27" ht="22" customHeight="1">
      <c r="B27" s="53" t="inlineStr">
        <is>
          <t>EE1(c)</t>
        </is>
      </c>
      <c r="D27" s="11" t="inlineStr">
        <is>
          <t>Data owner confirms</t>
        </is>
      </c>
      <c r="E27" s="54">
        <f>'A1. Response summary'!M25</f>
        <v/>
      </c>
      <c r="F27" s="54">
        <f>'A1. Response summary'!V25</f>
        <v/>
      </c>
      <c r="R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P29" s="52">
        <f>'A1. Response summary'!AA26</f>
        <v/>
      </c>
      <c r="Q29" s="52">
        <f>'A1. Response summary'!AC26</f>
        <v/>
      </c>
      <c r="R29" s="6" t="n"/>
    </row>
    <row r="30" ht="39" customHeight="1">
      <c r="B30" s="53" t="inlineStr">
        <is>
          <t>EE1(d)</t>
        </is>
      </c>
      <c r="D30" s="11" t="inlineStr">
        <is>
          <t>OPTION 1:  Target-level reporting</t>
        </is>
      </c>
      <c r="E30" s="54">
        <f>'A1. Response summary'!V26</f>
        <v/>
      </c>
      <c r="R30" s="55" t="n"/>
    </row>
    <row r="31" ht="60" customHeight="1">
      <c r="B31" s="53" t="inlineStr">
        <is>
          <t>EE1(d)</t>
        </is>
      </c>
      <c r="D31" s="11" t="inlineStr">
        <is>
          <t>OPTION 2:  Indicator level reporting</t>
        </is>
      </c>
      <c r="E31" s="54">
        <f>'A1. Response summary'!V27</f>
        <v/>
      </c>
      <c r="R31" s="55" t="n"/>
    </row>
    <row r="32" ht="60" customHeight="1">
      <c r="B32" s="53" t="inlineStr">
        <is>
          <t>EE1(d)</t>
        </is>
      </c>
      <c r="D32" s="11" t="inlineStr">
        <is>
          <t>Supporting information/comments</t>
        </is>
      </c>
      <c r="E32" s="54">
        <f>'A1. Response summary'!V28</f>
        <v/>
      </c>
      <c r="R32" s="55" t="n"/>
    </row>
    <row r="33" ht="39" customHeight="1">
      <c r="B33" s="53" t="inlineStr">
        <is>
          <t>EE1(d)</t>
        </is>
      </c>
      <c r="D33" s="11" t="inlineStr">
        <is>
          <t>Data source and limitations</t>
        </is>
      </c>
      <c r="E33" s="54">
        <f>'A1. Response summary'!V29</f>
        <v/>
      </c>
      <c r="R33" s="55" t="n"/>
    </row>
    <row r="34" ht="22" customHeight="1">
      <c r="B34" s="53" t="inlineStr">
        <is>
          <t>EE1(d)</t>
        </is>
      </c>
      <c r="D34" s="11" t="inlineStr">
        <is>
          <t>Data owner confirms</t>
        </is>
      </c>
      <c r="E34" s="54">
        <f>'A1. Response summary'!V30</f>
        <v/>
      </c>
      <c r="R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CI&amp;S – Sustainability Strategy</t>
        </is>
      </c>
      <c r="P36" s="52">
        <f>'A1. Response summary'!AA31</f>
        <v/>
      </c>
      <c r="Q36" s="52">
        <f>'A1. Response summary'!AC31</f>
        <v/>
      </c>
      <c r="R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summary'!M31</f>
        <v/>
      </c>
      <c r="R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summary'!M32</f>
        <v/>
      </c>
      <c r="R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summary'!M33</f>
        <v/>
      </c>
      <c r="R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summary'!M34</f>
        <v/>
      </c>
      <c r="R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summary'!M35</f>
        <v/>
      </c>
      <c r="R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P43" s="52">
        <f>'A1. Response summary'!AA36</f>
        <v/>
      </c>
      <c r="Q43" s="52">
        <f>'A1. Response summary'!AC36</f>
        <v/>
      </c>
      <c r="R43" s="6" t="n"/>
    </row>
    <row r="44" ht="39" customHeight="1">
      <c r="B44" s="53" t="inlineStr">
        <is>
          <t>TR1(b)</t>
        </is>
      </c>
      <c r="D44" s="11" t="inlineStr">
        <is>
          <t>OPTION 1:  Target-level reporting</t>
        </is>
      </c>
      <c r="E44" s="54">
        <f>'A1. Response summary'!R36</f>
        <v/>
      </c>
      <c r="R44" s="55" t="n"/>
    </row>
    <row r="45" ht="60" customHeight="1">
      <c r="B45" s="53" t="inlineStr">
        <is>
          <t>TR1(b)</t>
        </is>
      </c>
      <c r="D45" s="11" t="inlineStr">
        <is>
          <t>OPTION 2:  Indicator level reporting</t>
        </is>
      </c>
      <c r="E45" s="54">
        <f>'A1. Response summary'!R37</f>
        <v/>
      </c>
      <c r="R45" s="55" t="n"/>
    </row>
    <row r="46" ht="60" customHeight="1">
      <c r="B46" s="53" t="inlineStr">
        <is>
          <t>TR1(b)</t>
        </is>
      </c>
      <c r="D46" s="11" t="inlineStr">
        <is>
          <t>Supporting information/comments</t>
        </is>
      </c>
      <c r="E46" s="54">
        <f>'A1. Response summary'!R38</f>
        <v/>
      </c>
      <c r="R46" s="55" t="n"/>
    </row>
    <row r="47" ht="39" customHeight="1">
      <c r="B47" s="53" t="inlineStr">
        <is>
          <t>TR1(b)</t>
        </is>
      </c>
      <c r="D47" s="11" t="inlineStr">
        <is>
          <t>Data source and limitations</t>
        </is>
      </c>
      <c r="E47" s="54">
        <f>'A1. Response summary'!R39</f>
        <v/>
      </c>
      <c r="R47" s="55" t="n"/>
    </row>
    <row r="48" ht="22" customHeight="1">
      <c r="B48" s="53" t="inlineStr">
        <is>
          <t>TR1(b)</t>
        </is>
      </c>
      <c r="D48" s="11" t="inlineStr">
        <is>
          <t>Data owner confirms</t>
        </is>
      </c>
      <c r="E48" s="54">
        <f>'A1. Response summary'!R40</f>
        <v/>
      </c>
      <c r="R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P50" s="52">
        <f>'A1. Response summary'!AA41</f>
        <v/>
      </c>
      <c r="Q50" s="52">
        <f>'A1. Response summary'!AC41</f>
        <v/>
      </c>
      <c r="R50" s="6" t="n"/>
    </row>
    <row r="51" ht="39" customHeight="1">
      <c r="B51" s="53" t="inlineStr">
        <is>
          <t>TR1(c)</t>
        </is>
      </c>
      <c r="D51" s="11" t="inlineStr">
        <is>
          <t>OPTION 1:  Target-level reporting</t>
        </is>
      </c>
      <c r="E51" s="54">
        <f>'A1. Response summary'!R41</f>
        <v/>
      </c>
      <c r="R51" s="55" t="n"/>
    </row>
    <row r="52" ht="60" customHeight="1">
      <c r="B52" s="53" t="inlineStr">
        <is>
          <t>TR1(c)</t>
        </is>
      </c>
      <c r="D52" s="11" t="inlineStr">
        <is>
          <t>OPTION 2:  Indicator level reporting</t>
        </is>
      </c>
      <c r="E52" s="54">
        <f>'A1. Response summary'!R42</f>
        <v/>
      </c>
      <c r="R52" s="55" t="n"/>
    </row>
    <row r="53" ht="60" customHeight="1">
      <c r="B53" s="53" t="inlineStr">
        <is>
          <t>TR1(c)</t>
        </is>
      </c>
      <c r="D53" s="11" t="inlineStr">
        <is>
          <t>Supporting information/comments</t>
        </is>
      </c>
      <c r="E53" s="54">
        <f>'A1. Response summary'!R43</f>
        <v/>
      </c>
      <c r="R53" s="55" t="n"/>
    </row>
    <row r="54" ht="39" customHeight="1">
      <c r="B54" s="53" t="inlineStr">
        <is>
          <t>TR1(c)</t>
        </is>
      </c>
      <c r="D54" s="11" t="inlineStr">
        <is>
          <t>Data source and limitations</t>
        </is>
      </c>
      <c r="E54" s="54">
        <f>'A1. Response summary'!R44</f>
        <v/>
      </c>
      <c r="R54" s="55" t="n"/>
    </row>
    <row r="55" ht="22" customHeight="1">
      <c r="B55" s="53" t="inlineStr">
        <is>
          <t>TR1(c)</t>
        </is>
      </c>
      <c r="D55" s="11" t="inlineStr">
        <is>
          <t>Data owner confirms</t>
        </is>
      </c>
      <c r="E55" s="54">
        <f>'A1. Response summary'!R45</f>
        <v/>
      </c>
      <c r="R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P57" s="52">
        <f>'A1. Response summary'!AA46</f>
        <v/>
      </c>
      <c r="Q57" s="52">
        <f>'A1. Response summary'!AC46</f>
        <v/>
      </c>
      <c r="R57" s="6" t="n"/>
    </row>
    <row r="58" ht="39" customHeight="1">
      <c r="B58" s="53" t="inlineStr">
        <is>
          <t>TR1(d)</t>
        </is>
      </c>
      <c r="D58" s="11" t="inlineStr">
        <is>
          <t>OPTION 1:  Target-level reporting</t>
        </is>
      </c>
      <c r="E58" s="54">
        <f>'A1. Response summary'!R46</f>
        <v/>
      </c>
      <c r="R58" s="55" t="n"/>
    </row>
    <row r="59" ht="60" customHeight="1">
      <c r="B59" s="53" t="inlineStr">
        <is>
          <t>TR1(d)</t>
        </is>
      </c>
      <c r="D59" s="11" t="inlineStr">
        <is>
          <t>OPTION 2:  Indicator level reporting</t>
        </is>
      </c>
      <c r="E59" s="54">
        <f>'A1. Response summary'!R47</f>
        <v/>
      </c>
      <c r="R59" s="55" t="n"/>
    </row>
    <row r="60" ht="60" customHeight="1">
      <c r="B60" s="53" t="inlineStr">
        <is>
          <t>TR1(d)</t>
        </is>
      </c>
      <c r="D60" s="11" t="inlineStr">
        <is>
          <t>Supporting information/comments</t>
        </is>
      </c>
      <c r="E60" s="54">
        <f>'A1. Response summary'!R48</f>
        <v/>
      </c>
      <c r="R60" s="55" t="n"/>
    </row>
    <row r="61" ht="39" customHeight="1">
      <c r="B61" s="53" t="inlineStr">
        <is>
          <t>TR1(d)</t>
        </is>
      </c>
      <c r="D61" s="11" t="inlineStr">
        <is>
          <t>Data source and limitations</t>
        </is>
      </c>
      <c r="E61" s="54">
        <f>'A1. Response summary'!R49</f>
        <v/>
      </c>
      <c r="R61" s="55" t="n"/>
    </row>
    <row r="62" ht="22" customHeight="1">
      <c r="B62" s="53" t="inlineStr">
        <is>
          <t>TR1(d)</t>
        </is>
      </c>
      <c r="D62" s="11" t="inlineStr">
        <is>
          <t>Data owner confirms</t>
        </is>
      </c>
      <c r="E62" s="54">
        <f>'A1. Response summary'!R50</f>
        <v/>
      </c>
      <c r="R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AC&amp;M – Advancement, Communication and Marketing</t>
        </is>
      </c>
      <c r="P64" s="52">
        <f>'A1. Response summary'!AA51</f>
        <v/>
      </c>
      <c r="Q64" s="52">
        <f>'A1. Response summary'!AC51</f>
        <v/>
      </c>
      <c r="R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summary'!S51</f>
        <v/>
      </c>
      <c r="R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summary'!S52</f>
        <v/>
      </c>
      <c r="R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summary'!S53</f>
        <v/>
      </c>
      <c r="R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summary'!S54</f>
        <v/>
      </c>
      <c r="R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summary'!S55</f>
        <v/>
      </c>
      <c r="R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P71" s="52">
        <f>'A1. Response summary'!AA56</f>
        <v/>
      </c>
      <c r="Q71" s="52">
        <f>'A1. Response summary'!AC56</f>
        <v/>
      </c>
      <c r="R71" s="6" t="n"/>
    </row>
    <row r="72" ht="39" customHeight="1">
      <c r="B72" s="53" t="inlineStr">
        <is>
          <t>TR2(c)</t>
        </is>
      </c>
      <c r="D72" s="11" t="inlineStr">
        <is>
          <t>OPTION 1:  Target-level reporting</t>
        </is>
      </c>
      <c r="E72" s="54">
        <f>'A1. Response summary'!R56</f>
        <v/>
      </c>
      <c r="R72" s="55" t="n"/>
    </row>
    <row r="73" ht="60" customHeight="1">
      <c r="B73" s="53" t="inlineStr">
        <is>
          <t>TR2(c)</t>
        </is>
      </c>
      <c r="D73" s="11" t="inlineStr">
        <is>
          <t>OPTION 2:  Indicator level reporting</t>
        </is>
      </c>
      <c r="E73" s="54">
        <f>'A1. Response summary'!R57</f>
        <v/>
      </c>
      <c r="R73" s="55" t="n"/>
    </row>
    <row r="74" ht="60" customHeight="1">
      <c r="B74" s="53" t="inlineStr">
        <is>
          <t>TR2(c)</t>
        </is>
      </c>
      <c r="D74" s="11" t="inlineStr">
        <is>
          <t>Supporting information/comments</t>
        </is>
      </c>
      <c r="E74" s="54">
        <f>'A1. Response summary'!R58</f>
        <v/>
      </c>
      <c r="R74" s="55" t="n"/>
    </row>
    <row r="75" ht="39" customHeight="1">
      <c r="B75" s="53" t="inlineStr">
        <is>
          <t>TR2(c)</t>
        </is>
      </c>
      <c r="D75" s="11" t="inlineStr">
        <is>
          <t>Data source and limitations</t>
        </is>
      </c>
      <c r="E75" s="54">
        <f>'A1. Response summary'!R59</f>
        <v/>
      </c>
      <c r="R75" s="55" t="n"/>
    </row>
    <row r="76" ht="22" customHeight="1">
      <c r="B76" s="53" t="inlineStr">
        <is>
          <t>TR2(c)</t>
        </is>
      </c>
      <c r="D76" s="11" t="inlineStr">
        <is>
          <t>Data owner confirms</t>
        </is>
      </c>
      <c r="E76" s="54">
        <f>'A1. Response summary'!R60</f>
        <v/>
      </c>
      <c r="R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CI&amp;S – Sustainability Strategy</t>
        </is>
      </c>
      <c r="P78" s="52">
        <f>'A1. Response summary'!AA61</f>
        <v/>
      </c>
      <c r="Q78" s="52">
        <f>'A1. Response summary'!AC61</f>
        <v/>
      </c>
      <c r="R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summary'!M61</f>
        <v/>
      </c>
      <c r="R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summary'!M62</f>
        <v/>
      </c>
      <c r="R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summary'!M63</f>
        <v/>
      </c>
      <c r="R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summary'!M64</f>
        <v/>
      </c>
      <c r="R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summary'!M65</f>
        <v/>
      </c>
      <c r="R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P85" s="52">
        <f>'A1. Response summary'!AA66</f>
        <v/>
      </c>
      <c r="Q85" s="52">
        <f>'A1. Response summary'!AC66</f>
        <v/>
      </c>
      <c r="R85" s="6" t="n"/>
    </row>
    <row r="86" ht="39" customHeight="1">
      <c r="B86" s="53" t="inlineStr">
        <is>
          <t>TR3(a)</t>
        </is>
      </c>
      <c r="D86" s="11" t="inlineStr">
        <is>
          <t>OPTION 1:  Target-level reporting</t>
        </is>
      </c>
      <c r="E86" s="54">
        <f>'A1. Response summary'!R66</f>
        <v/>
      </c>
      <c r="R86" s="55" t="n"/>
    </row>
    <row r="87" ht="60" customHeight="1">
      <c r="B87" s="53" t="inlineStr">
        <is>
          <t>TR3(a)</t>
        </is>
      </c>
      <c r="D87" s="11" t="inlineStr">
        <is>
          <t>OPTION 2:  Indicator level reporting</t>
        </is>
      </c>
      <c r="E87" s="54">
        <f>'A1. Response summary'!R67</f>
        <v/>
      </c>
      <c r="R87" s="55" t="n"/>
    </row>
    <row r="88" ht="60" customHeight="1">
      <c r="B88" s="53" t="inlineStr">
        <is>
          <t>TR3(a)</t>
        </is>
      </c>
      <c r="D88" s="11" t="inlineStr">
        <is>
          <t>Supporting information/comments</t>
        </is>
      </c>
      <c r="E88" s="54">
        <f>'A1. Response summary'!R68</f>
        <v/>
      </c>
      <c r="R88" s="55" t="n"/>
    </row>
    <row r="89" ht="39" customHeight="1">
      <c r="B89" s="53" t="inlineStr">
        <is>
          <t>TR3(a)</t>
        </is>
      </c>
      <c r="D89" s="11" t="inlineStr">
        <is>
          <t>Data source and limitations</t>
        </is>
      </c>
      <c r="E89" s="54">
        <f>'A1. Response summary'!R69</f>
        <v/>
      </c>
      <c r="R89" s="55" t="n"/>
    </row>
    <row r="90" ht="22" customHeight="1">
      <c r="B90" s="53" t="inlineStr">
        <is>
          <t>TR3(a)</t>
        </is>
      </c>
      <c r="D90" s="11" t="inlineStr">
        <is>
          <t>Data owner confirms</t>
        </is>
      </c>
      <c r="E90" s="54">
        <f>'A1. Response summary'!R70</f>
        <v/>
      </c>
      <c r="R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CI&amp;S – Sustainability Strategy</t>
        </is>
      </c>
      <c r="J92" s="51" t="inlineStr">
        <is>
          <t>CFOG – Procurement</t>
        </is>
      </c>
      <c r="P92" s="52">
        <f>'A1. Response summary'!AA71</f>
        <v/>
      </c>
      <c r="Q92" s="52">
        <f>'A1. Response summary'!AC71</f>
        <v/>
      </c>
      <c r="R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summary'!M71</f>
        <v/>
      </c>
      <c r="J93" s="54">
        <f>'A1. Response summary'!N71</f>
        <v/>
      </c>
      <c r="R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summary'!M72</f>
        <v/>
      </c>
      <c r="J94" s="54">
        <f>'A1. Response summary'!N72</f>
        <v/>
      </c>
      <c r="R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summary'!M73</f>
        <v/>
      </c>
      <c r="J95" s="54">
        <f>'A1. Response summary'!N73</f>
        <v/>
      </c>
      <c r="R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summary'!M74</f>
        <v/>
      </c>
      <c r="J96" s="54">
        <f>'A1. Response summary'!N74</f>
        <v/>
      </c>
      <c r="R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summary'!M75</f>
        <v/>
      </c>
      <c r="J97" s="54">
        <f>'A1. Response summary'!N75</f>
        <v/>
      </c>
      <c r="R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P99" s="52">
        <f>'A1. Response summary'!AA76</f>
        <v/>
      </c>
      <c r="Q99" s="52">
        <f>'A1. Response summary'!AC76</f>
        <v/>
      </c>
      <c r="R99" s="6" t="n"/>
    </row>
    <row r="100" ht="39" customHeight="1">
      <c r="B100" s="53" t="inlineStr">
        <is>
          <t>TR3(c)</t>
        </is>
      </c>
      <c r="D100" s="11" t="inlineStr">
        <is>
          <t>OPTION 1:  Target-level reporting</t>
        </is>
      </c>
      <c r="E100" s="54">
        <f>'A1. Response summary'!R76</f>
        <v/>
      </c>
      <c r="R100" s="55" t="n"/>
    </row>
    <row r="101" ht="60" customHeight="1">
      <c r="B101" s="53" t="inlineStr">
        <is>
          <t>TR3(c)</t>
        </is>
      </c>
      <c r="D101" s="11" t="inlineStr">
        <is>
          <t>OPTION 2:  Indicator level reporting</t>
        </is>
      </c>
      <c r="E101" s="54">
        <f>'A1. Response summary'!R77</f>
        <v/>
      </c>
      <c r="R101" s="55" t="n"/>
    </row>
    <row r="102" ht="60" customHeight="1">
      <c r="B102" s="53" t="inlineStr">
        <is>
          <t>TR3(c)</t>
        </is>
      </c>
      <c r="D102" s="11" t="inlineStr">
        <is>
          <t>Supporting information/comments</t>
        </is>
      </c>
      <c r="E102" s="54">
        <f>'A1. Response summary'!R78</f>
        <v/>
      </c>
      <c r="R102" s="55" t="n"/>
    </row>
    <row r="103" ht="39" customHeight="1">
      <c r="B103" s="53" t="inlineStr">
        <is>
          <t>TR3(c)</t>
        </is>
      </c>
      <c r="D103" s="11" t="inlineStr">
        <is>
          <t>Data source and limitations</t>
        </is>
      </c>
      <c r="E103" s="54">
        <f>'A1. Response summary'!R79</f>
        <v/>
      </c>
      <c r="R103" s="55" t="n"/>
    </row>
    <row r="104" ht="22" customHeight="1">
      <c r="B104" s="53" t="inlineStr">
        <is>
          <t>TR3(c)</t>
        </is>
      </c>
      <c r="D104" s="11" t="inlineStr">
        <is>
          <t>Data owner confirms</t>
        </is>
      </c>
      <c r="E104" s="54">
        <f>'A1. Response summary'!R80</f>
        <v/>
      </c>
      <c r="R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P106" s="52">
        <f>'A1. Response summary'!AA81</f>
        <v/>
      </c>
      <c r="Q106" s="52">
        <f>'A1. Response summary'!AC81</f>
        <v/>
      </c>
      <c r="R106" s="6" t="n"/>
    </row>
    <row r="107" ht="39" customHeight="1">
      <c r="B107" s="53" t="inlineStr">
        <is>
          <t>TR3(d)</t>
        </is>
      </c>
      <c r="D107" s="11" t="inlineStr">
        <is>
          <t>OPTION 1:  Target-level reporting</t>
        </is>
      </c>
      <c r="E107" s="54">
        <f>'A1. Response summary'!R81</f>
        <v/>
      </c>
      <c r="R107" s="55" t="n"/>
    </row>
    <row r="108" ht="60" customHeight="1">
      <c r="B108" s="53" t="inlineStr">
        <is>
          <t>TR3(d)</t>
        </is>
      </c>
      <c r="D108" s="11" t="inlineStr">
        <is>
          <t>OPTION 2:  Indicator level reporting</t>
        </is>
      </c>
      <c r="E108" s="54">
        <f>'A1. Response summary'!R82</f>
        <v/>
      </c>
      <c r="R108" s="55" t="n"/>
    </row>
    <row r="109" ht="60" customHeight="1">
      <c r="B109" s="53" t="inlineStr">
        <is>
          <t>TR3(d)</t>
        </is>
      </c>
      <c r="D109" s="11" t="inlineStr">
        <is>
          <t>Supporting information/comments</t>
        </is>
      </c>
      <c r="E109" s="54">
        <f>'A1. Response summary'!R83</f>
        <v/>
      </c>
      <c r="R109" s="55" t="n"/>
    </row>
    <row r="110" ht="39" customHeight="1">
      <c r="B110" s="53" t="inlineStr">
        <is>
          <t>TR3(d)</t>
        </is>
      </c>
      <c r="D110" s="11" t="inlineStr">
        <is>
          <t>Data source and limitations</t>
        </is>
      </c>
      <c r="E110" s="54">
        <f>'A1. Response summary'!R84</f>
        <v/>
      </c>
      <c r="R110" s="55" t="n"/>
    </row>
    <row r="111" ht="22" customHeight="1">
      <c r="B111" s="53" t="inlineStr">
        <is>
          <t>TR3(d)</t>
        </is>
      </c>
      <c r="D111" s="11" t="inlineStr">
        <is>
          <t>Data owner confirms</t>
        </is>
      </c>
      <c r="E111" s="54">
        <f>'A1. Response summary'!R85</f>
        <v/>
      </c>
      <c r="R111" s="56" t="n"/>
    </row>
    <row r="112"/>
    <row r="113" ht="39" customHeight="1">
      <c r="B113" s="5" t="inlineStr">
        <is>
          <t>CL1(c)</t>
        </is>
      </c>
      <c r="C113" s="48" t="inlineStr">
        <is>
          <t>Review of Climate Leadership targets by 2030.[2]</t>
        </is>
      </c>
      <c r="D113" s="51" t="inlineStr">
        <is>
          <t>Unit</t>
        </is>
      </c>
      <c r="E113" s="51" t="inlineStr">
        <is>
          <t>CI&amp;S – Sustainability Strategy</t>
        </is>
      </c>
      <c r="P113" s="52">
        <f>'A1. Response summary'!AA86</f>
        <v/>
      </c>
      <c r="Q113" s="52">
        <f>'A1. Response summary'!AC86</f>
        <v/>
      </c>
      <c r="R113" s="6" t="n"/>
    </row>
    <row r="114" ht="39" customHeight="1">
      <c r="B114" s="53" t="inlineStr">
        <is>
          <t>CL1(c)</t>
        </is>
      </c>
      <c r="D114" s="11" t="inlineStr">
        <is>
          <t>OPTION 1:  Target-level reporting</t>
        </is>
      </c>
      <c r="E114" s="54">
        <f>'A1. Response summary'!M86</f>
        <v/>
      </c>
      <c r="R114" s="55" t="n"/>
    </row>
    <row r="115" ht="60" customHeight="1">
      <c r="B115" s="53" t="inlineStr">
        <is>
          <t>CL1(c)</t>
        </is>
      </c>
      <c r="D115" s="11" t="inlineStr">
        <is>
          <t>OPTION 2:  Indicator level reporting</t>
        </is>
      </c>
      <c r="E115" s="54">
        <f>'A1. Response summary'!M87</f>
        <v/>
      </c>
      <c r="R115" s="55" t="n"/>
    </row>
    <row r="116" ht="60" customHeight="1">
      <c r="B116" s="53" t="inlineStr">
        <is>
          <t>CL1(c)</t>
        </is>
      </c>
      <c r="D116" s="11" t="inlineStr">
        <is>
          <t>Supporting information/comments</t>
        </is>
      </c>
      <c r="E116" s="54">
        <f>'A1. Response summary'!M88</f>
        <v/>
      </c>
      <c r="R116" s="55" t="n"/>
    </row>
    <row r="117" ht="39" customHeight="1">
      <c r="B117" s="53" t="inlineStr">
        <is>
          <t>CL1(c)</t>
        </is>
      </c>
      <c r="D117" s="11" t="inlineStr">
        <is>
          <t>Data source and limitations</t>
        </is>
      </c>
      <c r="E117" s="54">
        <f>'A1. Response summary'!M89</f>
        <v/>
      </c>
      <c r="R117" s="55" t="n"/>
    </row>
    <row r="118" ht="22" customHeight="1">
      <c r="B118" s="53" t="inlineStr">
        <is>
          <t>CL1(c)</t>
        </is>
      </c>
      <c r="D118" s="11" t="inlineStr">
        <is>
          <t>Data owner confirms</t>
        </is>
      </c>
      <c r="E118" s="54">
        <f>'A1. Response summary'!M90</f>
        <v/>
      </c>
      <c r="R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P120" s="52">
        <f>'A1. Response summary'!AA91</f>
        <v/>
      </c>
      <c r="Q120" s="52">
        <f>'A1. Response summary'!AC91</f>
        <v/>
      </c>
      <c r="R120" s="6" t="n"/>
    </row>
    <row r="121" ht="39" customHeight="1">
      <c r="B121" s="53" t="inlineStr">
        <is>
          <t>CL2(a)</t>
        </is>
      </c>
      <c r="D121" s="11" t="inlineStr">
        <is>
          <t>OPTION 1:  Target-level reporting</t>
        </is>
      </c>
      <c r="E121" s="54">
        <f>'A1. Response summary'!S91</f>
        <v/>
      </c>
      <c r="R121" s="55" t="n"/>
    </row>
    <row r="122" ht="60" customHeight="1">
      <c r="B122" s="53" t="inlineStr">
        <is>
          <t>CL2(a)</t>
        </is>
      </c>
      <c r="D122" s="11" t="inlineStr">
        <is>
          <t>OPTION 2:  Indicator level reporting</t>
        </is>
      </c>
      <c r="E122" s="54">
        <f>'A1. Response summary'!S92</f>
        <v/>
      </c>
      <c r="R122" s="55" t="n"/>
    </row>
    <row r="123" ht="60" customHeight="1">
      <c r="B123" s="53" t="inlineStr">
        <is>
          <t>CL2(a)</t>
        </is>
      </c>
      <c r="D123" s="11" t="inlineStr">
        <is>
          <t>Supporting information/comments</t>
        </is>
      </c>
      <c r="E123" s="54">
        <f>'A1. Response summary'!S93</f>
        <v/>
      </c>
      <c r="R123" s="55" t="n"/>
    </row>
    <row r="124" ht="39" customHeight="1">
      <c r="B124" s="53" t="inlineStr">
        <is>
          <t>CL2(a)</t>
        </is>
      </c>
      <c r="D124" s="11" t="inlineStr">
        <is>
          <t>Data source and limitations</t>
        </is>
      </c>
      <c r="E124" s="54">
        <f>'A1. Response summary'!S94</f>
        <v/>
      </c>
      <c r="R124" s="55" t="n"/>
    </row>
    <row r="125" ht="22" customHeight="1">
      <c r="B125" s="53" t="inlineStr">
        <is>
          <t>CL2(a)</t>
        </is>
      </c>
      <c r="D125" s="11" t="inlineStr">
        <is>
          <t>Data owner confirms</t>
        </is>
      </c>
      <c r="E125" s="54">
        <f>'A1. Response summary'!S95</f>
        <v/>
      </c>
      <c r="R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P127" s="52">
        <f>'A1. Response summary'!AA96</f>
        <v/>
      </c>
      <c r="Q127" s="52">
        <f>'A1. Response summary'!AC96</f>
        <v/>
      </c>
      <c r="R127" s="6" t="n"/>
    </row>
    <row r="128" ht="39" customHeight="1">
      <c r="B128" s="53" t="inlineStr">
        <is>
          <t>CL2(c)</t>
        </is>
      </c>
      <c r="D128" s="11" t="inlineStr">
        <is>
          <t>OPTION 1:  Target-level reporting</t>
        </is>
      </c>
      <c r="E128" s="54">
        <f>'A1. Response summary'!S96</f>
        <v/>
      </c>
      <c r="R128" s="55" t="n"/>
    </row>
    <row r="129" ht="60" customHeight="1">
      <c r="B129" s="53" t="inlineStr">
        <is>
          <t>CL2(c)</t>
        </is>
      </c>
      <c r="D129" s="11" t="inlineStr">
        <is>
          <t>OPTION 2:  Indicator level reporting</t>
        </is>
      </c>
      <c r="E129" s="54">
        <f>'A1. Response summary'!S97</f>
        <v/>
      </c>
      <c r="R129" s="55" t="n"/>
    </row>
    <row r="130" ht="60" customHeight="1">
      <c r="B130" s="53" t="inlineStr">
        <is>
          <t>CL2(c)</t>
        </is>
      </c>
      <c r="D130" s="11" t="inlineStr">
        <is>
          <t>Supporting information/comments</t>
        </is>
      </c>
      <c r="E130" s="54">
        <f>'A1. Response summary'!S98</f>
        <v/>
      </c>
      <c r="R130" s="55" t="n"/>
    </row>
    <row r="131" ht="39" customHeight="1">
      <c r="B131" s="53" t="inlineStr">
        <is>
          <t>CL2(c)</t>
        </is>
      </c>
      <c r="D131" s="11" t="inlineStr">
        <is>
          <t>Data source and limitations</t>
        </is>
      </c>
      <c r="E131" s="54">
        <f>'A1. Response summary'!S99</f>
        <v/>
      </c>
      <c r="R131" s="55" t="n"/>
    </row>
    <row r="132" ht="22" customHeight="1">
      <c r="B132" s="53" t="inlineStr">
        <is>
          <t>CL2(c)</t>
        </is>
      </c>
      <c r="D132" s="11" t="inlineStr">
        <is>
          <t>Data owner confirms</t>
        </is>
      </c>
      <c r="E132" s="54">
        <f>'A1. Response summary'!S100</f>
        <v/>
      </c>
      <c r="R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P134" s="52">
        <f>'A1. Response summary'!AA101</f>
        <v/>
      </c>
      <c r="Q134" s="52">
        <f>'A1. Response summary'!AC101</f>
        <v/>
      </c>
      <c r="R134" s="6" t="n"/>
    </row>
    <row r="135" ht="39" customHeight="1">
      <c r="B135" s="53" t="inlineStr">
        <is>
          <t>CL3(a)</t>
        </is>
      </c>
      <c r="D135" s="11" t="inlineStr">
        <is>
          <t>OPTION 1:  Target-level reporting</t>
        </is>
      </c>
      <c r="E135" s="54">
        <f>'A1. Response summary'!L101</f>
        <v/>
      </c>
      <c r="F135" s="54">
        <f>'A1. Response summary'!X101</f>
        <v/>
      </c>
      <c r="R135" s="55" t="n"/>
    </row>
    <row r="136" ht="60" customHeight="1">
      <c r="B136" s="53" t="inlineStr">
        <is>
          <t>CL3(a)</t>
        </is>
      </c>
      <c r="D136" s="11" t="inlineStr">
        <is>
          <t>OPTION 2:  Indicator level reporting</t>
        </is>
      </c>
      <c r="E136" s="54">
        <f>'A1. Response summary'!L102</f>
        <v/>
      </c>
      <c r="F136" s="54">
        <f>'A1. Response summary'!X102</f>
        <v/>
      </c>
      <c r="R136" s="55" t="n"/>
    </row>
    <row r="137" ht="60" customHeight="1">
      <c r="B137" s="53" t="inlineStr">
        <is>
          <t>CL3(a)</t>
        </is>
      </c>
      <c r="D137" s="11" t="inlineStr">
        <is>
          <t>Supporting information/comments</t>
        </is>
      </c>
      <c r="E137" s="54">
        <f>'A1. Response summary'!L103</f>
        <v/>
      </c>
      <c r="F137" s="54">
        <f>'A1. Response summary'!X103</f>
        <v/>
      </c>
      <c r="R137" s="55" t="n"/>
    </row>
    <row r="138" ht="39" customHeight="1">
      <c r="B138" s="53" t="inlineStr">
        <is>
          <t>CL3(a)</t>
        </is>
      </c>
      <c r="D138" s="11" t="inlineStr">
        <is>
          <t>Data source and limitations</t>
        </is>
      </c>
      <c r="E138" s="54">
        <f>'A1. Response summary'!L104</f>
        <v/>
      </c>
      <c r="F138" s="54">
        <f>'A1. Response summary'!X104</f>
        <v/>
      </c>
      <c r="R138" s="55" t="n"/>
    </row>
    <row r="139" ht="22" customHeight="1">
      <c r="B139" s="53" t="inlineStr">
        <is>
          <t>CL3(a)</t>
        </is>
      </c>
      <c r="D139" s="11" t="inlineStr">
        <is>
          <t>Data owner confirms</t>
        </is>
      </c>
      <c r="E139" s="54">
        <f>'A1. Response summary'!L105</f>
        <v/>
      </c>
      <c r="F139" s="54">
        <f>'A1. Response summary'!X105</f>
        <v/>
      </c>
      <c r="R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P141" s="52">
        <f>'A1. Response summary'!AA106</f>
        <v/>
      </c>
      <c r="Q141" s="52">
        <f>'A1. Response summary'!AC106</f>
        <v/>
      </c>
      <c r="R141" s="6" t="n"/>
    </row>
    <row r="142" ht="39" customHeight="1">
      <c r="B142" s="53" t="inlineStr">
        <is>
          <t>NB1(b)</t>
        </is>
      </c>
      <c r="D142" s="11" t="inlineStr">
        <is>
          <t>OPTION 1:  Target-level reporting</t>
        </is>
      </c>
      <c r="E142" s="54">
        <f>'A1. Response summary'!P106</f>
        <v/>
      </c>
      <c r="R142" s="55" t="n"/>
    </row>
    <row r="143" ht="60" customHeight="1">
      <c r="B143" s="53" t="inlineStr">
        <is>
          <t>NB1(b)</t>
        </is>
      </c>
      <c r="D143" s="11" t="inlineStr">
        <is>
          <t>OPTION 2:  Indicator level reporting</t>
        </is>
      </c>
      <c r="E143" s="54">
        <f>'A1. Response summary'!P107</f>
        <v/>
      </c>
      <c r="R143" s="55" t="n"/>
    </row>
    <row r="144" ht="60" customHeight="1">
      <c r="B144" s="53" t="inlineStr">
        <is>
          <t>NB1(b)</t>
        </is>
      </c>
      <c r="D144" s="11" t="inlineStr">
        <is>
          <t>Supporting information/comments</t>
        </is>
      </c>
      <c r="E144" s="54">
        <f>'A1. Response summary'!P108</f>
        <v/>
      </c>
      <c r="R144" s="55" t="n"/>
    </row>
    <row r="145" ht="39" customHeight="1">
      <c r="B145" s="53" t="inlineStr">
        <is>
          <t>NB1(b)</t>
        </is>
      </c>
      <c r="D145" s="11" t="inlineStr">
        <is>
          <t>Data source and limitations</t>
        </is>
      </c>
      <c r="E145" s="54">
        <f>'A1. Response summary'!P109</f>
        <v/>
      </c>
      <c r="R145" s="55" t="n"/>
    </row>
    <row r="146" ht="22" customHeight="1">
      <c r="B146" s="53" t="inlineStr">
        <is>
          <t>NB1(b)</t>
        </is>
      </c>
      <c r="D146" s="11" t="inlineStr">
        <is>
          <t>Data owner confirms</t>
        </is>
      </c>
      <c r="E146" s="54">
        <f>'A1. Response summary'!P110</f>
        <v/>
      </c>
      <c r="R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P148" s="52">
        <f>'A1. Response summary'!AA111</f>
        <v/>
      </c>
      <c r="Q148" s="52">
        <f>'A1. Response summary'!AC111</f>
        <v/>
      </c>
      <c r="R148" s="6" t="n"/>
    </row>
    <row r="149" ht="39" customHeight="1">
      <c r="B149" s="53" t="inlineStr">
        <is>
          <t>NB1(c)</t>
        </is>
      </c>
      <c r="D149" s="11" t="inlineStr">
        <is>
          <t>OPTION 1:  Target-level reporting</t>
        </is>
      </c>
      <c r="E149" s="54">
        <f>'A1. Response summary'!P111</f>
        <v/>
      </c>
      <c r="R149" s="55" t="n"/>
    </row>
    <row r="150" ht="60" customHeight="1">
      <c r="B150" s="53" t="inlineStr">
        <is>
          <t>NB1(c)</t>
        </is>
      </c>
      <c r="D150" s="11" t="inlineStr">
        <is>
          <t>OPTION 2:  Indicator level reporting</t>
        </is>
      </c>
      <c r="E150" s="54">
        <f>'A1. Response summary'!P112</f>
        <v/>
      </c>
      <c r="R150" s="55" t="n"/>
    </row>
    <row r="151" ht="60" customHeight="1">
      <c r="B151" s="53" t="inlineStr">
        <is>
          <t>NB1(c)</t>
        </is>
      </c>
      <c r="D151" s="11" t="inlineStr">
        <is>
          <t>Supporting information/comments</t>
        </is>
      </c>
      <c r="E151" s="54">
        <f>'A1. Response summary'!P113</f>
        <v/>
      </c>
      <c r="R151" s="55" t="n"/>
    </row>
    <row r="152" ht="39" customHeight="1">
      <c r="B152" s="53" t="inlineStr">
        <is>
          <t>NB1(c)</t>
        </is>
      </c>
      <c r="D152" s="11" t="inlineStr">
        <is>
          <t>Data source and limitations</t>
        </is>
      </c>
      <c r="E152" s="54">
        <f>'A1. Response summary'!P114</f>
        <v/>
      </c>
      <c r="R152" s="55" t="n"/>
    </row>
    <row r="153" ht="22" customHeight="1">
      <c r="B153" s="53" t="inlineStr">
        <is>
          <t>NB1(c)</t>
        </is>
      </c>
      <c r="D153" s="11" t="inlineStr">
        <is>
          <t>Data owner confirms</t>
        </is>
      </c>
      <c r="E153" s="54">
        <f>'A1. Response summary'!P115</f>
        <v/>
      </c>
      <c r="R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P155" s="52">
        <f>'A1. Response summary'!AA116</f>
        <v/>
      </c>
      <c r="Q155" s="52">
        <f>'A1. Response summary'!AC116</f>
        <v/>
      </c>
      <c r="R155" s="6" t="n"/>
    </row>
    <row r="156" ht="39" customHeight="1">
      <c r="B156" s="53" t="inlineStr">
        <is>
          <t>NB1(d)</t>
        </is>
      </c>
      <c r="D156" s="11" t="inlineStr">
        <is>
          <t>OPTION 1:  Target-level reporting</t>
        </is>
      </c>
      <c r="E156" s="54">
        <f>'A1. Response summary'!P116</f>
        <v/>
      </c>
      <c r="R156" s="55" t="n"/>
    </row>
    <row r="157" ht="60" customHeight="1">
      <c r="B157" s="53" t="inlineStr">
        <is>
          <t>NB1(d)</t>
        </is>
      </c>
      <c r="D157" s="11" t="inlineStr">
        <is>
          <t>OPTION 2:  Indicator level reporting</t>
        </is>
      </c>
      <c r="E157" s="54">
        <f>'A1. Response summary'!P117</f>
        <v/>
      </c>
      <c r="R157" s="55" t="n"/>
    </row>
    <row r="158" ht="60" customHeight="1">
      <c r="B158" s="53" t="inlineStr">
        <is>
          <t>NB1(d)</t>
        </is>
      </c>
      <c r="D158" s="11" t="inlineStr">
        <is>
          <t>Supporting information/comments</t>
        </is>
      </c>
      <c r="E158" s="54">
        <f>'A1. Response summary'!P118</f>
        <v/>
      </c>
      <c r="R158" s="55" t="n"/>
    </row>
    <row r="159" ht="39" customHeight="1">
      <c r="B159" s="53" t="inlineStr">
        <is>
          <t>NB1(d)</t>
        </is>
      </c>
      <c r="D159" s="11" t="inlineStr">
        <is>
          <t>Data source and limitations</t>
        </is>
      </c>
      <c r="E159" s="54">
        <f>'A1. Response summary'!P119</f>
        <v/>
      </c>
      <c r="R159" s="55" t="n"/>
    </row>
    <row r="160" ht="22" customHeight="1">
      <c r="B160" s="53" t="inlineStr">
        <is>
          <t>NB1(d)</t>
        </is>
      </c>
      <c r="D160" s="11" t="inlineStr">
        <is>
          <t>Data owner confirms</t>
        </is>
      </c>
      <c r="E160" s="54">
        <f>'A1. Response summary'!P120</f>
        <v/>
      </c>
      <c r="R160" s="56" t="n"/>
    </row>
    <row r="161"/>
    <row r="162" ht="39" customHeight="1">
      <c r="B162" s="5" t="inlineStr">
        <is>
          <t>NB2(a)</t>
        </is>
      </c>
      <c r="C162" s="48" t="inlineStr">
        <is>
          <t>Documented baseline nature footprint analysis</t>
        </is>
      </c>
      <c r="D162" s="51" t="inlineStr">
        <is>
          <t>Unit</t>
        </is>
      </c>
      <c r="E162" s="51" t="inlineStr">
        <is>
          <t>MRE – Research</t>
        </is>
      </c>
      <c r="P162" s="52">
        <f>'A1. Response summary'!AA121</f>
        <v/>
      </c>
      <c r="Q162" s="52">
        <f>'A1. Response summary'!AC121</f>
        <v/>
      </c>
      <c r="R162" s="6" t="n"/>
    </row>
    <row r="163" ht="39" customHeight="1">
      <c r="B163" s="53" t="inlineStr">
        <is>
          <t>NB2(a)</t>
        </is>
      </c>
      <c r="D163" s="11" t="inlineStr">
        <is>
          <t>OPTION 1:  Target-level reporting</t>
        </is>
      </c>
      <c r="E163" s="54">
        <f>'A1. Response summary'!R121</f>
        <v/>
      </c>
      <c r="R163" s="55" t="n"/>
    </row>
    <row r="164" ht="60" customHeight="1">
      <c r="B164" s="53" t="inlineStr">
        <is>
          <t>NB2(a)</t>
        </is>
      </c>
      <c r="D164" s="11" t="inlineStr">
        <is>
          <t>OPTION 2:  Indicator level reporting</t>
        </is>
      </c>
      <c r="E164" s="54">
        <f>'A1. Response summary'!R122</f>
        <v/>
      </c>
      <c r="R164" s="55" t="n"/>
    </row>
    <row r="165" ht="60" customHeight="1">
      <c r="B165" s="53" t="inlineStr">
        <is>
          <t>NB2(a)</t>
        </is>
      </c>
      <c r="D165" s="11" t="inlineStr">
        <is>
          <t>Supporting information/comments</t>
        </is>
      </c>
      <c r="E165" s="54">
        <f>'A1. Response summary'!R123</f>
        <v/>
      </c>
      <c r="R165" s="55" t="n"/>
    </row>
    <row r="166" ht="39" customHeight="1">
      <c r="B166" s="53" t="inlineStr">
        <is>
          <t>NB2(a)</t>
        </is>
      </c>
      <c r="D166" s="11" t="inlineStr">
        <is>
          <t>Data source and limitations</t>
        </is>
      </c>
      <c r="E166" s="54">
        <f>'A1. Response summary'!R124</f>
        <v/>
      </c>
      <c r="R166" s="55" t="n"/>
    </row>
    <row r="167" ht="22" customHeight="1">
      <c r="B167" s="53" t="inlineStr">
        <is>
          <t>NB2(a)</t>
        </is>
      </c>
      <c r="D167" s="11" t="inlineStr">
        <is>
          <t>Data owner confirms</t>
        </is>
      </c>
      <c r="E167" s="54">
        <f>'A1. Response summary'!R125</f>
        <v/>
      </c>
      <c r="R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P169" s="52">
        <f>'A1. Response summary'!AA126</f>
        <v/>
      </c>
      <c r="Q169" s="52">
        <f>'A1. Response summary'!AC126</f>
        <v/>
      </c>
      <c r="R169" s="6" t="n"/>
    </row>
    <row r="170" ht="39" customHeight="1">
      <c r="B170" s="53" t="inlineStr">
        <is>
          <t>NB2(b)</t>
        </is>
      </c>
      <c r="D170" s="11" t="inlineStr">
        <is>
          <t>OPTION 1:  Target-level reporting</t>
        </is>
      </c>
      <c r="E170" s="54">
        <f>'A1. Response summary'!P126</f>
        <v/>
      </c>
      <c r="R170" s="55" t="n"/>
    </row>
    <row r="171" ht="60" customHeight="1">
      <c r="B171" s="53" t="inlineStr">
        <is>
          <t>NB2(b)</t>
        </is>
      </c>
      <c r="D171" s="11" t="inlineStr">
        <is>
          <t>OPTION 2:  Indicator level reporting</t>
        </is>
      </c>
      <c r="E171" s="54">
        <f>'A1. Response summary'!P127</f>
        <v/>
      </c>
      <c r="R171" s="55" t="n"/>
    </row>
    <row r="172" ht="60" customHeight="1">
      <c r="B172" s="53" t="inlineStr">
        <is>
          <t>NB2(b)</t>
        </is>
      </c>
      <c r="D172" s="11" t="inlineStr">
        <is>
          <t>Supporting information/comments</t>
        </is>
      </c>
      <c r="E172" s="54">
        <f>'A1. Response summary'!P128</f>
        <v/>
      </c>
      <c r="R172" s="55" t="n"/>
    </row>
    <row r="173" ht="39" customHeight="1">
      <c r="B173" s="53" t="inlineStr">
        <is>
          <t>NB2(b)</t>
        </is>
      </c>
      <c r="D173" s="11" t="inlineStr">
        <is>
          <t>Data source and limitations</t>
        </is>
      </c>
      <c r="E173" s="54">
        <f>'A1. Response summary'!P129</f>
        <v/>
      </c>
      <c r="R173" s="55" t="n"/>
    </row>
    <row r="174" ht="22" customHeight="1">
      <c r="B174" s="53" t="inlineStr">
        <is>
          <t>NB2(b)</t>
        </is>
      </c>
      <c r="D174" s="11" t="inlineStr">
        <is>
          <t>Data owner confirms</t>
        </is>
      </c>
      <c r="E174" s="54">
        <f>'A1. Response summary'!P130</f>
        <v/>
      </c>
      <c r="R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P176" s="52">
        <f>'A1. Response summary'!AA131</f>
        <v/>
      </c>
      <c r="Q176" s="52">
        <f>'A1. Response summary'!AC131</f>
        <v/>
      </c>
      <c r="R176" s="6" t="n"/>
    </row>
    <row r="177" ht="39" customHeight="1">
      <c r="B177" s="53" t="inlineStr">
        <is>
          <t>NB2(c)</t>
        </is>
      </c>
      <c r="D177" s="11" t="inlineStr">
        <is>
          <t>OPTION 1:  Target-level reporting</t>
        </is>
      </c>
      <c r="E177" s="54">
        <f>'A1. Response summary'!N131</f>
        <v/>
      </c>
      <c r="F177" s="54">
        <f>'A1. Response summary'!P131</f>
        <v/>
      </c>
      <c r="R177" s="55" t="n"/>
    </row>
    <row r="178" ht="60" customHeight="1">
      <c r="B178" s="53" t="inlineStr">
        <is>
          <t>NB2(c)</t>
        </is>
      </c>
      <c r="D178" s="11" t="inlineStr">
        <is>
          <t>OPTION 2:  Indicator level reporting</t>
        </is>
      </c>
      <c r="E178" s="54">
        <f>'A1. Response summary'!N132</f>
        <v/>
      </c>
      <c r="F178" s="54">
        <f>'A1. Response summary'!P132</f>
        <v/>
      </c>
      <c r="R178" s="55" t="n"/>
    </row>
    <row r="179" ht="60" customHeight="1">
      <c r="B179" s="53" t="inlineStr">
        <is>
          <t>NB2(c)</t>
        </is>
      </c>
      <c r="D179" s="11" t="inlineStr">
        <is>
          <t>Supporting information/comments</t>
        </is>
      </c>
      <c r="E179" s="54">
        <f>'A1. Response summary'!N133</f>
        <v/>
      </c>
      <c r="F179" s="54">
        <f>'A1. Response summary'!P133</f>
        <v/>
      </c>
      <c r="R179" s="55" t="n"/>
    </row>
    <row r="180" ht="39" customHeight="1">
      <c r="B180" s="53" t="inlineStr">
        <is>
          <t>NB2(c)</t>
        </is>
      </c>
      <c r="D180" s="11" t="inlineStr">
        <is>
          <t>Data source and limitations</t>
        </is>
      </c>
      <c r="E180" s="54">
        <f>'A1. Response summary'!N134</f>
        <v/>
      </c>
      <c r="F180" s="54">
        <f>'A1. Response summary'!P134</f>
        <v/>
      </c>
      <c r="R180" s="55" t="n"/>
    </row>
    <row r="181" ht="22" customHeight="1">
      <c r="B181" s="53" t="inlineStr">
        <is>
          <t>NB2(c)</t>
        </is>
      </c>
      <c r="D181" s="11" t="inlineStr">
        <is>
          <t>Data owner confirms</t>
        </is>
      </c>
      <c r="E181" s="54">
        <f>'A1. Response summary'!N135</f>
        <v/>
      </c>
      <c r="F181" s="54">
        <f>'A1. Response summary'!P135</f>
        <v/>
      </c>
      <c r="R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P183" s="52">
        <f>'A1. Response summary'!AA136</f>
        <v/>
      </c>
      <c r="Q183" s="52">
        <f>'A1. Response summary'!AC136</f>
        <v/>
      </c>
      <c r="R183" s="6" t="n"/>
    </row>
    <row r="184" ht="39" customHeight="1">
      <c r="B184" s="53" t="inlineStr">
        <is>
          <t>AI1(a)</t>
        </is>
      </c>
      <c r="D184" s="11" t="inlineStr">
        <is>
          <t>OPTION 1:  Target-level reporting</t>
        </is>
      </c>
      <c r="E184" s="54">
        <f>'A1. Response summary'!M136</f>
        <v/>
      </c>
      <c r="F184" s="54">
        <f>'A1. Response summary'!Q136</f>
        <v/>
      </c>
      <c r="R184" s="55" t="n"/>
    </row>
    <row r="185" ht="60" customHeight="1">
      <c r="B185" s="53" t="inlineStr">
        <is>
          <t>AI1(a)</t>
        </is>
      </c>
      <c r="D185" s="11" t="inlineStr">
        <is>
          <t>OPTION 2:  Indicator level reporting</t>
        </is>
      </c>
      <c r="E185" s="54">
        <f>'A1. Response summary'!M137</f>
        <v/>
      </c>
      <c r="F185" s="54">
        <f>'A1. Response summary'!Q137</f>
        <v/>
      </c>
      <c r="R185" s="55" t="n"/>
    </row>
    <row r="186" ht="60" customHeight="1">
      <c r="B186" s="53" t="inlineStr">
        <is>
          <t>AI1(a)</t>
        </is>
      </c>
      <c r="D186" s="11" t="inlineStr">
        <is>
          <t>Supporting information/comments</t>
        </is>
      </c>
      <c r="E186" s="54">
        <f>'A1. Response summary'!M138</f>
        <v/>
      </c>
      <c r="F186" s="54">
        <f>'A1. Response summary'!Q138</f>
        <v/>
      </c>
      <c r="R186" s="55" t="n"/>
    </row>
    <row r="187" ht="39" customHeight="1">
      <c r="B187" s="53" t="inlineStr">
        <is>
          <t>AI1(a)</t>
        </is>
      </c>
      <c r="D187" s="11" t="inlineStr">
        <is>
          <t>Data source and limitations</t>
        </is>
      </c>
      <c r="E187" s="54">
        <f>'A1. Response summary'!M139</f>
        <v/>
      </c>
      <c r="F187" s="54">
        <f>'A1. Response summary'!Q139</f>
        <v/>
      </c>
      <c r="R187" s="55" t="n"/>
    </row>
    <row r="188" ht="22" customHeight="1">
      <c r="B188" s="53" t="inlineStr">
        <is>
          <t>AI1(a)</t>
        </is>
      </c>
      <c r="D188" s="11" t="inlineStr">
        <is>
          <t>Data owner confirms</t>
        </is>
      </c>
      <c r="E188" s="54">
        <f>'A1. Response summary'!M140</f>
        <v/>
      </c>
      <c r="F188" s="54">
        <f>'A1. Response summary'!Q140</f>
        <v/>
      </c>
      <c r="R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P190" s="52">
        <f>'A1. Response summary'!AA141</f>
        <v/>
      </c>
      <c r="Q190" s="52">
        <f>'A1. Response summary'!AC141</f>
        <v/>
      </c>
      <c r="R190" s="6" t="n"/>
    </row>
    <row r="191" ht="39" customHeight="1">
      <c r="B191" s="53" t="inlineStr">
        <is>
          <t>AI1(b)</t>
        </is>
      </c>
      <c r="D191" s="11" t="inlineStr">
        <is>
          <t>OPTION 1:  Target-level reporting</t>
        </is>
      </c>
      <c r="E191" s="54">
        <f>'A1. Response summary'!M141</f>
        <v/>
      </c>
      <c r="F191" s="54">
        <f>'A1. Response summary'!Q141</f>
        <v/>
      </c>
      <c r="R191" s="55" t="n"/>
    </row>
    <row r="192" ht="60" customHeight="1">
      <c r="B192" s="53" t="inlineStr">
        <is>
          <t>AI1(b)</t>
        </is>
      </c>
      <c r="D192" s="11" t="inlineStr">
        <is>
          <t>OPTION 2:  Indicator level reporting</t>
        </is>
      </c>
      <c r="E192" s="54">
        <f>'A1. Response summary'!M142</f>
        <v/>
      </c>
      <c r="F192" s="54">
        <f>'A1. Response summary'!Q142</f>
        <v/>
      </c>
      <c r="R192" s="55" t="n"/>
    </row>
    <row r="193" ht="60" customHeight="1">
      <c r="B193" s="53" t="inlineStr">
        <is>
          <t>AI1(b)</t>
        </is>
      </c>
      <c r="D193" s="11" t="inlineStr">
        <is>
          <t>Supporting information/comments</t>
        </is>
      </c>
      <c r="E193" s="54">
        <f>'A1. Response summary'!M143</f>
        <v/>
      </c>
      <c r="F193" s="54">
        <f>'A1. Response summary'!Q143</f>
        <v/>
      </c>
      <c r="R193" s="55" t="n"/>
    </row>
    <row r="194" ht="39" customHeight="1">
      <c r="B194" s="53" t="inlineStr">
        <is>
          <t>AI1(b)</t>
        </is>
      </c>
      <c r="D194" s="11" t="inlineStr">
        <is>
          <t>Data source and limitations</t>
        </is>
      </c>
      <c r="E194" s="54">
        <f>'A1. Response summary'!M144</f>
        <v/>
      </c>
      <c r="F194" s="54">
        <f>'A1. Response summary'!Q144</f>
        <v/>
      </c>
      <c r="R194" s="55" t="n"/>
    </row>
    <row r="195" ht="22" customHeight="1">
      <c r="B195" s="53" t="inlineStr">
        <is>
          <t>AI1(b)</t>
        </is>
      </c>
      <c r="D195" s="11" t="inlineStr">
        <is>
          <t>Data owner confirms</t>
        </is>
      </c>
      <c r="E195" s="54">
        <f>'A1. Response summary'!M145</f>
        <v/>
      </c>
      <c r="F195" s="54">
        <f>'A1. Response summary'!Q145</f>
        <v/>
      </c>
      <c r="R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P197" s="52">
        <f>'A1. Response summary'!AA146</f>
        <v/>
      </c>
      <c r="Q197" s="52">
        <f>'A1. Response summary'!AC146</f>
        <v/>
      </c>
      <c r="R197" s="6" t="n"/>
    </row>
    <row r="198" ht="39" customHeight="1">
      <c r="B198" s="53" t="inlineStr">
        <is>
          <t>EI1(a)</t>
        </is>
      </c>
      <c r="D198" s="11" t="inlineStr">
        <is>
          <t>OPTION 1:  Target-level reporting</t>
        </is>
      </c>
      <c r="E198" s="54">
        <f>'A1. Response summary'!L146</f>
        <v/>
      </c>
      <c r="R198" s="55" t="n"/>
    </row>
    <row r="199" ht="60" customHeight="1">
      <c r="B199" s="53" t="inlineStr">
        <is>
          <t>EI1(a)</t>
        </is>
      </c>
      <c r="D199" s="11" t="inlineStr">
        <is>
          <t>OPTION 2:  Indicator level reporting</t>
        </is>
      </c>
      <c r="E199" s="54">
        <f>'A1. Response summary'!L147</f>
        <v/>
      </c>
      <c r="R199" s="55" t="n"/>
    </row>
    <row r="200" ht="60" customHeight="1">
      <c r="B200" s="53" t="inlineStr">
        <is>
          <t>EI1(a)</t>
        </is>
      </c>
      <c r="D200" s="11" t="inlineStr">
        <is>
          <t>Supporting information/comments</t>
        </is>
      </c>
      <c r="E200" s="54">
        <f>'A1. Response summary'!L148</f>
        <v/>
      </c>
      <c r="R200" s="55" t="n"/>
    </row>
    <row r="201" ht="39" customHeight="1">
      <c r="B201" s="53" t="inlineStr">
        <is>
          <t>EI1(a)</t>
        </is>
      </c>
      <c r="D201" s="11" t="inlineStr">
        <is>
          <t>Data source and limitations</t>
        </is>
      </c>
      <c r="E201" s="54">
        <f>'A1. Response summary'!L149</f>
        <v/>
      </c>
      <c r="R201" s="55" t="n"/>
    </row>
    <row r="202" ht="22" customHeight="1">
      <c r="B202" s="53" t="inlineStr">
        <is>
          <t>EI1(a)</t>
        </is>
      </c>
      <c r="D202" s="11" t="inlineStr">
        <is>
          <t>Data owner confirms</t>
        </is>
      </c>
      <c r="E202" s="54">
        <f>'A1. Response summary'!L150</f>
        <v/>
      </c>
      <c r="R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P204" s="52">
        <f>'A1. Response summary'!AA151</f>
        <v/>
      </c>
      <c r="Q204" s="52">
        <f>'A1. Response summary'!AC151</f>
        <v/>
      </c>
      <c r="R204" s="6" t="n"/>
    </row>
    <row r="205" ht="39" customHeight="1">
      <c r="B205" s="53" t="inlineStr">
        <is>
          <t>EI1(b)</t>
        </is>
      </c>
      <c r="D205" s="11" t="inlineStr">
        <is>
          <t>OPTION 1:  Target-level reporting</t>
        </is>
      </c>
      <c r="E205" s="54">
        <f>'A1. Response summary'!L151</f>
        <v/>
      </c>
      <c r="R205" s="55" t="n"/>
    </row>
    <row r="206" ht="60" customHeight="1">
      <c r="B206" s="53" t="inlineStr">
        <is>
          <t>EI1(b)</t>
        </is>
      </c>
      <c r="D206" s="11" t="inlineStr">
        <is>
          <t>OPTION 2:  Indicator level reporting</t>
        </is>
      </c>
      <c r="E206" s="54">
        <f>'A1. Response summary'!L152</f>
        <v/>
      </c>
      <c r="R206" s="55" t="n"/>
    </row>
    <row r="207" ht="60" customHeight="1">
      <c r="B207" s="53" t="inlineStr">
        <is>
          <t>EI1(b)</t>
        </is>
      </c>
      <c r="D207" s="11" t="inlineStr">
        <is>
          <t>Supporting information/comments</t>
        </is>
      </c>
      <c r="E207" s="54">
        <f>'A1. Response summary'!L153</f>
        <v/>
      </c>
      <c r="R207" s="55" t="n"/>
    </row>
    <row r="208" ht="39" customHeight="1">
      <c r="B208" s="53" t="inlineStr">
        <is>
          <t>EI1(b)</t>
        </is>
      </c>
      <c r="D208" s="11" t="inlineStr">
        <is>
          <t>Data source and limitations</t>
        </is>
      </c>
      <c r="E208" s="54">
        <f>'A1. Response summary'!L154</f>
        <v/>
      </c>
      <c r="R208" s="55" t="n"/>
    </row>
    <row r="209" ht="22" customHeight="1">
      <c r="B209" s="53" t="inlineStr">
        <is>
          <t>EI1(b)</t>
        </is>
      </c>
      <c r="D209" s="11" t="inlineStr">
        <is>
          <t>Data owner confirms</t>
        </is>
      </c>
      <c r="E209" s="54">
        <f>'A1. Response summary'!L155</f>
        <v/>
      </c>
      <c r="R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P211" s="52">
        <f>'A1. Response summary'!AA156</f>
        <v/>
      </c>
      <c r="Q211" s="52">
        <f>'A1. Response summary'!AC156</f>
        <v/>
      </c>
      <c r="R211" s="6" t="n"/>
    </row>
    <row r="212" ht="39" customHeight="1">
      <c r="B212" s="53" t="inlineStr">
        <is>
          <t>EI1(c)</t>
        </is>
      </c>
      <c r="D212" s="11" t="inlineStr">
        <is>
          <t>OPTION 1:  Target-level reporting</t>
        </is>
      </c>
      <c r="E212" s="54">
        <f>'A1. Response summary'!L156</f>
        <v/>
      </c>
      <c r="R212" s="55" t="n"/>
    </row>
    <row r="213" ht="60" customHeight="1">
      <c r="B213" s="53" t="inlineStr">
        <is>
          <t>EI1(c)</t>
        </is>
      </c>
      <c r="D213" s="11" t="inlineStr">
        <is>
          <t>OPTION 2:  Indicator level reporting</t>
        </is>
      </c>
      <c r="E213" s="54">
        <f>'A1. Response summary'!L157</f>
        <v/>
      </c>
      <c r="R213" s="55" t="n"/>
    </row>
    <row r="214" ht="60" customHeight="1">
      <c r="B214" s="53" t="inlineStr">
        <is>
          <t>EI1(c)</t>
        </is>
      </c>
      <c r="D214" s="11" t="inlineStr">
        <is>
          <t>Supporting information/comments</t>
        </is>
      </c>
      <c r="E214" s="54">
        <f>'A1. Response summary'!L158</f>
        <v/>
      </c>
      <c r="R214" s="55" t="n"/>
    </row>
    <row r="215" ht="39" customHeight="1">
      <c r="B215" s="53" t="inlineStr">
        <is>
          <t>EI1(c)</t>
        </is>
      </c>
      <c r="D215" s="11" t="inlineStr">
        <is>
          <t>Data source and limitations</t>
        </is>
      </c>
      <c r="E215" s="54">
        <f>'A1. Response summary'!L159</f>
        <v/>
      </c>
      <c r="R215" s="55" t="n"/>
    </row>
    <row r="216" ht="22" customHeight="1">
      <c r="B216" s="53" t="inlineStr">
        <is>
          <t>EI1(c)</t>
        </is>
      </c>
      <c r="D216" s="11" t="inlineStr">
        <is>
          <t>Data owner confirms</t>
        </is>
      </c>
      <c r="E216" s="54">
        <f>'A1. Response summary'!L160</f>
        <v/>
      </c>
      <c r="R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P218" s="52">
        <f>'A1. Response summary'!AA161</f>
        <v/>
      </c>
      <c r="Q218" s="52">
        <f>'A1. Response summary'!AC161</f>
        <v/>
      </c>
      <c r="R218" s="6" t="n"/>
    </row>
    <row r="219" ht="39" customHeight="1">
      <c r="B219" s="53" t="inlineStr">
        <is>
          <t>EI1(d)</t>
        </is>
      </c>
      <c r="D219" s="11" t="inlineStr">
        <is>
          <t>OPTION 1:  Target-level reporting</t>
        </is>
      </c>
      <c r="E219" s="54">
        <f>'A1. Response summary'!L161</f>
        <v/>
      </c>
      <c r="R219" s="55" t="n"/>
    </row>
    <row r="220" ht="60" customHeight="1">
      <c r="B220" s="53" t="inlineStr">
        <is>
          <t>EI1(d)</t>
        </is>
      </c>
      <c r="D220" s="11" t="inlineStr">
        <is>
          <t>OPTION 2:  Indicator level reporting</t>
        </is>
      </c>
      <c r="E220" s="54">
        <f>'A1. Response summary'!L162</f>
        <v/>
      </c>
      <c r="R220" s="55" t="n"/>
    </row>
    <row r="221" ht="60" customHeight="1">
      <c r="B221" s="53" t="inlineStr">
        <is>
          <t>EI1(d)</t>
        </is>
      </c>
      <c r="D221" s="11" t="inlineStr">
        <is>
          <t>Supporting information/comments</t>
        </is>
      </c>
      <c r="E221" s="54">
        <f>'A1. Response summary'!L163</f>
        <v/>
      </c>
      <c r="R221" s="55" t="n"/>
    </row>
    <row r="222" ht="39" customHeight="1">
      <c r="B222" s="53" t="inlineStr">
        <is>
          <t>EI1(d)</t>
        </is>
      </c>
      <c r="D222" s="11" t="inlineStr">
        <is>
          <t>Data source and limitations</t>
        </is>
      </c>
      <c r="E222" s="54">
        <f>'A1. Response summary'!L164</f>
        <v/>
      </c>
      <c r="R222" s="55" t="n"/>
    </row>
    <row r="223" ht="22" customHeight="1">
      <c r="B223" s="53" t="inlineStr">
        <is>
          <t>EI1(d)</t>
        </is>
      </c>
      <c r="D223" s="11" t="inlineStr">
        <is>
          <t>Data owner confirms</t>
        </is>
      </c>
      <c r="E223" s="54">
        <f>'A1. Response summary'!L165</f>
        <v/>
      </c>
      <c r="R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P225" s="52">
        <f>'A1. Response summary'!AA166</f>
        <v/>
      </c>
      <c r="Q225" s="52">
        <f>'A1. Response summary'!AC166</f>
        <v/>
      </c>
      <c r="R225" s="6" t="n"/>
    </row>
    <row r="226" ht="39" customHeight="1">
      <c r="B226" s="53" t="inlineStr">
        <is>
          <t>RP1(a)</t>
        </is>
      </c>
      <c r="D226" s="11" t="inlineStr">
        <is>
          <t>OPTION 1:  Target-level reporting</t>
        </is>
      </c>
      <c r="E226" s="54">
        <f>'A1. Response summary'!N166</f>
        <v/>
      </c>
      <c r="R226" s="55" t="n"/>
    </row>
    <row r="227" ht="60" customHeight="1">
      <c r="B227" s="53" t="inlineStr">
        <is>
          <t>RP1(a)</t>
        </is>
      </c>
      <c r="D227" s="11" t="inlineStr">
        <is>
          <t>OPTION 2:  Indicator level reporting</t>
        </is>
      </c>
      <c r="E227" s="54">
        <f>'A1. Response summary'!N167</f>
        <v/>
      </c>
      <c r="R227" s="55" t="n"/>
    </row>
    <row r="228" ht="60" customHeight="1">
      <c r="B228" s="53" t="inlineStr">
        <is>
          <t>RP1(a)</t>
        </is>
      </c>
      <c r="D228" s="11" t="inlineStr">
        <is>
          <t>Supporting information/comments</t>
        </is>
      </c>
      <c r="E228" s="54">
        <f>'A1. Response summary'!N168</f>
        <v/>
      </c>
      <c r="R228" s="55" t="n"/>
    </row>
    <row r="229" ht="39" customHeight="1">
      <c r="B229" s="53" t="inlineStr">
        <is>
          <t>RP1(a)</t>
        </is>
      </c>
      <c r="D229" s="11" t="inlineStr">
        <is>
          <t>Data source and limitations</t>
        </is>
      </c>
      <c r="E229" s="54">
        <f>'A1. Response summary'!N169</f>
        <v/>
      </c>
      <c r="R229" s="55" t="n"/>
    </row>
    <row r="230" ht="22" customHeight="1">
      <c r="B230" s="53" t="inlineStr">
        <is>
          <t>RP1(a)</t>
        </is>
      </c>
      <c r="D230" s="11" t="inlineStr">
        <is>
          <t>Data owner confirms</t>
        </is>
      </c>
      <c r="E230" s="54">
        <f>'A1. Response summary'!N170</f>
        <v/>
      </c>
      <c r="R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P232" s="52">
        <f>'A1. Response summary'!AA171</f>
        <v/>
      </c>
      <c r="Q232" s="52">
        <f>'A1. Response summary'!AC171</f>
        <v/>
      </c>
      <c r="R232" s="6" t="n"/>
    </row>
    <row r="233" ht="39" customHeight="1">
      <c r="B233" s="53" t="inlineStr">
        <is>
          <t>MS1(a)</t>
        </is>
      </c>
      <c r="D233" s="11" t="inlineStr">
        <is>
          <t>OPTION 1:  Target-level reporting</t>
        </is>
      </c>
      <c r="E233" s="54">
        <f>'A1. Response summary'!M171</f>
        <v/>
      </c>
      <c r="F233" s="54">
        <f>'A1. Response summary'!N171</f>
        <v/>
      </c>
      <c r="R233" s="55" t="n"/>
    </row>
    <row r="234" ht="60" customHeight="1">
      <c r="B234" s="53" t="inlineStr">
        <is>
          <t>MS1(a)</t>
        </is>
      </c>
      <c r="D234" s="11" t="inlineStr">
        <is>
          <t>OPTION 2:  Indicator level reporting</t>
        </is>
      </c>
      <c r="E234" s="54">
        <f>'A1. Response summary'!M172</f>
        <v/>
      </c>
      <c r="F234" s="54">
        <f>'A1. Response summary'!N172</f>
        <v/>
      </c>
      <c r="R234" s="55" t="n"/>
    </row>
    <row r="235" ht="60" customHeight="1">
      <c r="B235" s="53" t="inlineStr">
        <is>
          <t>MS1(a)</t>
        </is>
      </c>
      <c r="D235" s="11" t="inlineStr">
        <is>
          <t>Supporting information/comments</t>
        </is>
      </c>
      <c r="E235" s="54">
        <f>'A1. Response summary'!M173</f>
        <v/>
      </c>
      <c r="F235" s="54">
        <f>'A1. Response summary'!N173</f>
        <v/>
      </c>
      <c r="R235" s="55" t="n"/>
    </row>
    <row r="236" ht="39" customHeight="1">
      <c r="B236" s="53" t="inlineStr">
        <is>
          <t>MS1(a)</t>
        </is>
      </c>
      <c r="D236" s="11" t="inlineStr">
        <is>
          <t>Data source and limitations</t>
        </is>
      </c>
      <c r="E236" s="54">
        <f>'A1. Response summary'!M174</f>
        <v/>
      </c>
      <c r="F236" s="54">
        <f>'A1. Response summary'!N174</f>
        <v/>
      </c>
      <c r="R236" s="55" t="n"/>
    </row>
    <row r="237" ht="22" customHeight="1">
      <c r="B237" s="53" t="inlineStr">
        <is>
          <t>MS1(a)</t>
        </is>
      </c>
      <c r="D237" s="11" t="inlineStr">
        <is>
          <t>Data owner confirms</t>
        </is>
      </c>
      <c r="E237" s="54">
        <f>'A1. Response summary'!M175</f>
        <v/>
      </c>
      <c r="F237" s="54">
        <f>'A1. Response summary'!N175</f>
        <v/>
      </c>
      <c r="R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P239" s="52">
        <f>'A1. Response summary'!AA176</f>
        <v/>
      </c>
      <c r="Q239" s="52">
        <f>'A1. Response summary'!AC176</f>
        <v/>
      </c>
      <c r="R239" s="6" t="n"/>
    </row>
    <row r="240" ht="39" customHeight="1">
      <c r="B240" s="53" t="inlineStr">
        <is>
          <t>RI1(b)</t>
        </is>
      </c>
      <c r="D240" s="11" t="inlineStr">
        <is>
          <t>OPTION 1:  Target-level reporting</t>
        </is>
      </c>
      <c r="E240" s="54">
        <f>'A1. Response summary'!M176</f>
        <v/>
      </c>
      <c r="F240" s="54">
        <f>'A1. Response summary'!O176</f>
        <v/>
      </c>
      <c r="R240" s="55" t="n"/>
    </row>
    <row r="241" ht="60" customHeight="1">
      <c r="B241" s="53" t="inlineStr">
        <is>
          <t>RI1(b)</t>
        </is>
      </c>
      <c r="D241" s="11" t="inlineStr">
        <is>
          <t>OPTION 2:  Indicator level reporting</t>
        </is>
      </c>
      <c r="E241" s="54">
        <f>'A1. Response summary'!M177</f>
        <v/>
      </c>
      <c r="F241" s="54">
        <f>'A1. Response summary'!O177</f>
        <v/>
      </c>
      <c r="R241" s="55" t="n"/>
    </row>
    <row r="242" ht="60" customHeight="1">
      <c r="B242" s="53" t="inlineStr">
        <is>
          <t>RI1(b)</t>
        </is>
      </c>
      <c r="D242" s="11" t="inlineStr">
        <is>
          <t>Supporting information/comments</t>
        </is>
      </c>
      <c r="E242" s="54">
        <f>'A1. Response summary'!M178</f>
        <v/>
      </c>
      <c r="F242" s="54">
        <f>'A1. Response summary'!O178</f>
        <v/>
      </c>
      <c r="R242" s="55" t="n"/>
    </row>
    <row r="243" ht="39" customHeight="1">
      <c r="B243" s="53" t="inlineStr">
        <is>
          <t>RI1(b)</t>
        </is>
      </c>
      <c r="D243" s="11" t="inlineStr">
        <is>
          <t>Data source and limitations</t>
        </is>
      </c>
      <c r="E243" s="54">
        <f>'A1. Response summary'!M179</f>
        <v/>
      </c>
      <c r="F243" s="54">
        <f>'A1. Response summary'!O179</f>
        <v/>
      </c>
      <c r="R243" s="55" t="n"/>
    </row>
    <row r="244" ht="22" customHeight="1">
      <c r="B244" s="53" t="inlineStr">
        <is>
          <t>RI1(b)</t>
        </is>
      </c>
      <c r="D244" s="11" t="inlineStr">
        <is>
          <t>Data owner confirms</t>
        </is>
      </c>
      <c r="E244" s="54">
        <f>'A1. Response summary'!M180</f>
        <v/>
      </c>
      <c r="F244" s="54">
        <f>'A1. Response summary'!O180</f>
        <v/>
      </c>
      <c r="R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GCE – Global, Culture and Engagement</t>
        </is>
      </c>
      <c r="J246" s="51" t="inlineStr">
        <is>
          <t>Indigenous – Chancellery Indigenous</t>
        </is>
      </c>
      <c r="P246" s="52">
        <f>'A1. Response summary'!AA181</f>
        <v/>
      </c>
      <c r="Q246" s="52">
        <f>'A1. Response summary'!AC181</f>
        <v/>
      </c>
      <c r="R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summary'!T181</f>
        <v/>
      </c>
      <c r="J247" s="54">
        <f>'A1. Response summary'!W181</f>
        <v/>
      </c>
      <c r="R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summary'!T182</f>
        <v/>
      </c>
      <c r="J248" s="54">
        <f>'A1. Response summary'!W182</f>
        <v/>
      </c>
      <c r="R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summary'!T183</f>
        <v/>
      </c>
      <c r="J249" s="54">
        <f>'A1. Response summary'!W183</f>
        <v/>
      </c>
      <c r="R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summary'!T184</f>
        <v/>
      </c>
      <c r="J250" s="54">
        <f>'A1. Response summary'!W184</f>
        <v/>
      </c>
      <c r="R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summary'!T185</f>
        <v/>
      </c>
      <c r="J251" s="54">
        <f>'A1. Response summary'!W185</f>
        <v/>
      </c>
      <c r="R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CI&amp;S – Sustainability Strategy</t>
        </is>
      </c>
      <c r="P253" s="52">
        <f>'A1. Response summary'!AA186</f>
        <v/>
      </c>
      <c r="Q253" s="52">
        <f>'A1. Response summary'!AC186</f>
        <v/>
      </c>
      <c r="R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summary'!M186</f>
        <v/>
      </c>
      <c r="R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summary'!M187</f>
        <v/>
      </c>
      <c r="R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summary'!M188</f>
        <v/>
      </c>
      <c r="R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summary'!M189</f>
        <v/>
      </c>
      <c r="R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summary'!M190</f>
        <v/>
      </c>
      <c r="R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CI&amp;S – Sustainability Strategy</t>
        </is>
      </c>
      <c r="J260" s="51" t="inlineStr">
        <is>
          <t>CFOG – Procurement</t>
        </is>
      </c>
      <c r="K260" s="51" t="inlineStr">
        <is>
          <t>ESG – Campus Operations &amp; Sustainability Delivery</t>
        </is>
      </c>
      <c r="L260" s="51" t="inlineStr">
        <is>
          <t>CIOG – Responsible AI &amp; digital</t>
        </is>
      </c>
      <c r="M260" s="51" t="inlineStr">
        <is>
          <t>AC&amp;M – Advancement, Communication and Marketing</t>
        </is>
      </c>
      <c r="N260" s="51" t="inlineStr">
        <is>
          <t>GCE – Global, Culture and Engagement</t>
        </is>
      </c>
      <c r="O260" s="51" t="inlineStr">
        <is>
          <t>Education – Chancellery Education</t>
        </is>
      </c>
      <c r="P260" s="52">
        <f>'A1. Response summary'!AA191</f>
        <v/>
      </c>
      <c r="Q260" s="52">
        <f>'A1. Response summary'!AC191</f>
        <v/>
      </c>
      <c r="R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summary'!M191</f>
        <v/>
      </c>
      <c r="J261" s="54">
        <f>'A1. Response summary'!N191</f>
        <v/>
      </c>
      <c r="K261" s="54">
        <f>'A1. Response summary'!P191</f>
        <v/>
      </c>
      <c r="L261" s="54">
        <f>'A1. Response summary'!Q191</f>
        <v/>
      </c>
      <c r="M261" s="54">
        <f>'A1. Response summary'!S191</f>
        <v/>
      </c>
      <c r="N261" s="54">
        <f>'A1. Response summary'!T191</f>
        <v/>
      </c>
      <c r="O261" s="54">
        <f>'A1. Response summary'!U191</f>
        <v/>
      </c>
      <c r="R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summary'!M192</f>
        <v/>
      </c>
      <c r="J262" s="54">
        <f>'A1. Response summary'!N192</f>
        <v/>
      </c>
      <c r="K262" s="54">
        <f>'A1. Response summary'!P192</f>
        <v/>
      </c>
      <c r="L262" s="54">
        <f>'A1. Response summary'!Q192</f>
        <v/>
      </c>
      <c r="M262" s="54">
        <f>'A1. Response summary'!S192</f>
        <v/>
      </c>
      <c r="N262" s="54">
        <f>'A1. Response summary'!T192</f>
        <v/>
      </c>
      <c r="O262" s="54">
        <f>'A1. Response summary'!U192</f>
        <v/>
      </c>
      <c r="R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summary'!M193</f>
        <v/>
      </c>
      <c r="J263" s="54">
        <f>'A1. Response summary'!N193</f>
        <v/>
      </c>
      <c r="K263" s="54">
        <f>'A1. Response summary'!P193</f>
        <v/>
      </c>
      <c r="L263" s="54">
        <f>'A1. Response summary'!Q193</f>
        <v/>
      </c>
      <c r="M263" s="54">
        <f>'A1. Response summary'!S193</f>
        <v/>
      </c>
      <c r="N263" s="54">
        <f>'A1. Response summary'!T193</f>
        <v/>
      </c>
      <c r="O263" s="54">
        <f>'A1. Response summary'!U193</f>
        <v/>
      </c>
      <c r="R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summary'!M194</f>
        <v/>
      </c>
      <c r="J264" s="54">
        <f>'A1. Response summary'!N194</f>
        <v/>
      </c>
      <c r="K264" s="54">
        <f>'A1. Response summary'!P194</f>
        <v/>
      </c>
      <c r="L264" s="54">
        <f>'A1. Response summary'!Q194</f>
        <v/>
      </c>
      <c r="M264" s="54">
        <f>'A1. Response summary'!S194</f>
        <v/>
      </c>
      <c r="N264" s="54">
        <f>'A1. Response summary'!T194</f>
        <v/>
      </c>
      <c r="O264" s="54">
        <f>'A1. Response summary'!U194</f>
        <v/>
      </c>
      <c r="R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summary'!M195</f>
        <v/>
      </c>
      <c r="J265" s="54">
        <f>'A1. Response summary'!N195</f>
        <v/>
      </c>
      <c r="K265" s="54">
        <f>'A1. Response summary'!P195</f>
        <v/>
      </c>
      <c r="L265" s="54">
        <f>'A1. Response summary'!Q195</f>
        <v/>
      </c>
      <c r="M265" s="54">
        <f>'A1. Response summary'!S195</f>
        <v/>
      </c>
      <c r="N265" s="54">
        <f>'A1. Response summary'!T195</f>
        <v/>
      </c>
      <c r="O265" s="54">
        <f>'A1. Response summary'!U195</f>
        <v/>
      </c>
      <c r="R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P267" s="52">
        <f>'A1. Response summary'!AA196</f>
        <v/>
      </c>
      <c r="Q267" s="52">
        <f>'A1. Response summary'!AC196</f>
        <v/>
      </c>
      <c r="R267" s="6" t="n"/>
    </row>
    <row r="268" ht="39" customHeight="1">
      <c r="B268" s="53" t="inlineStr">
        <is>
          <t>EN1(d)</t>
        </is>
      </c>
      <c r="D268" s="11" t="inlineStr">
        <is>
          <t>OPTION 1:  Target-level reporting</t>
        </is>
      </c>
      <c r="E268" s="54">
        <f>'A1. Response summary'!M196</f>
        <v/>
      </c>
      <c r="F268" s="54">
        <f>'A1. Response summary'!N196</f>
        <v/>
      </c>
      <c r="G268" s="54">
        <f>'A1. Response summary'!P196</f>
        <v/>
      </c>
      <c r="H268" s="54">
        <f>'A1. Response summary'!Q196</f>
        <v/>
      </c>
      <c r="R268" s="55" t="n"/>
    </row>
    <row r="269" ht="60" customHeight="1">
      <c r="B269" s="53" t="inlineStr">
        <is>
          <t>EN1(d)</t>
        </is>
      </c>
      <c r="D269" s="11" t="inlineStr">
        <is>
          <t>OPTION 2:  Indicator level reporting</t>
        </is>
      </c>
      <c r="E269" s="54">
        <f>'A1. Response summary'!M197</f>
        <v/>
      </c>
      <c r="F269" s="54">
        <f>'A1. Response summary'!N197</f>
        <v/>
      </c>
      <c r="G269" s="54">
        <f>'A1. Response summary'!P197</f>
        <v/>
      </c>
      <c r="H269" s="54">
        <f>'A1. Response summary'!Q197</f>
        <v/>
      </c>
      <c r="R269" s="55" t="n"/>
    </row>
    <row r="270" ht="60" customHeight="1">
      <c r="B270" s="53" t="inlineStr">
        <is>
          <t>EN1(d)</t>
        </is>
      </c>
      <c r="D270" s="11" t="inlineStr">
        <is>
          <t>Supporting information/comments</t>
        </is>
      </c>
      <c r="E270" s="54">
        <f>'A1. Response summary'!M198</f>
        <v/>
      </c>
      <c r="F270" s="54">
        <f>'A1. Response summary'!N198</f>
        <v/>
      </c>
      <c r="G270" s="54">
        <f>'A1. Response summary'!P198</f>
        <v/>
      </c>
      <c r="H270" s="54">
        <f>'A1. Response summary'!Q198</f>
        <v/>
      </c>
      <c r="R270" s="55" t="n"/>
    </row>
    <row r="271" ht="39" customHeight="1">
      <c r="B271" s="53" t="inlineStr">
        <is>
          <t>EN1(d)</t>
        </is>
      </c>
      <c r="D271" s="11" t="inlineStr">
        <is>
          <t>Data source and limitations</t>
        </is>
      </c>
      <c r="E271" s="54">
        <f>'A1. Response summary'!M199</f>
        <v/>
      </c>
      <c r="F271" s="54">
        <f>'A1. Response summary'!N199</f>
        <v/>
      </c>
      <c r="G271" s="54">
        <f>'A1. Response summary'!P199</f>
        <v/>
      </c>
      <c r="H271" s="54">
        <f>'A1. Response summary'!Q199</f>
        <v/>
      </c>
      <c r="R271" s="55" t="n"/>
    </row>
    <row r="272" ht="22" customHeight="1">
      <c r="B272" s="53" t="inlineStr">
        <is>
          <t>EN1(d)</t>
        </is>
      </c>
      <c r="D272" s="11" t="inlineStr">
        <is>
          <t>Data owner confirms</t>
        </is>
      </c>
      <c r="E272" s="54">
        <f>'A1. Response summary'!M200</f>
        <v/>
      </c>
      <c r="F272" s="54">
        <f>'A1. Response summary'!N200</f>
        <v/>
      </c>
      <c r="G272" s="54">
        <f>'A1. Response summary'!P200</f>
        <v/>
      </c>
      <c r="H272" s="54">
        <f>'A1. Response summary'!Q200</f>
        <v/>
      </c>
      <c r="R272" s="56" t="n"/>
    </row>
  </sheetData>
  <autoFilter ref="B7:R274"/>
  <mergeCells count="77">
    <mergeCell ref="C198:C202"/>
    <mergeCell ref="C114:C118"/>
    <mergeCell ref="C247:C251"/>
    <mergeCell ref="R148:R153"/>
    <mergeCell ref="R225:R230"/>
    <mergeCell ref="R197:R202"/>
    <mergeCell ref="R267:R272"/>
    <mergeCell ref="C268:C272"/>
    <mergeCell ref="C170:C174"/>
    <mergeCell ref="R239:R244"/>
    <mergeCell ref="R253:R258"/>
    <mergeCell ref="C107:C111"/>
    <mergeCell ref="C79:C83"/>
    <mergeCell ref="C212:C216"/>
    <mergeCell ref="C16:C20"/>
    <mergeCell ref="C9:C13"/>
    <mergeCell ref="C163:C167"/>
    <mergeCell ref="R8:R13"/>
    <mergeCell ref="R64:R69"/>
    <mergeCell ref="C72:C76"/>
    <mergeCell ref="R57:R62"/>
    <mergeCell ref="C149:C153"/>
    <mergeCell ref="D4:J5"/>
    <mergeCell ref="R99:R104"/>
    <mergeCell ref="C233:C237"/>
    <mergeCell ref="C37:C41"/>
    <mergeCell ref="R36:R41"/>
    <mergeCell ref="C30:C34"/>
    <mergeCell ref="C184:C188"/>
    <mergeCell ref="R113:R118"/>
    <mergeCell ref="R204:R209"/>
    <mergeCell ref="R85:R90"/>
    <mergeCell ref="C121:C125"/>
    <mergeCell ref="R141:R146"/>
    <mergeCell ref="R22:R27"/>
    <mergeCell ref="C156:C160"/>
    <mergeCell ref="R190:R195"/>
    <mergeCell ref="R92:R97"/>
    <mergeCell ref="C226:C230"/>
    <mergeCell ref="C93:C97"/>
    <mergeCell ref="R127:R132"/>
    <mergeCell ref="R176:R181"/>
    <mergeCell ref="C261:C265"/>
    <mergeCell ref="C135:C139"/>
    <mergeCell ref="R169:R174"/>
    <mergeCell ref="R246:R251"/>
    <mergeCell ref="R162:R167"/>
    <mergeCell ref="R218:R223"/>
    <mergeCell ref="C240:C244"/>
    <mergeCell ref="C254:C258"/>
    <mergeCell ref="R232:R237"/>
    <mergeCell ref="C191:C195"/>
    <mergeCell ref="C86:C90"/>
    <mergeCell ref="C128:C132"/>
    <mergeCell ref="C177:C181"/>
    <mergeCell ref="C100:C104"/>
    <mergeCell ref="C65:C69"/>
    <mergeCell ref="R50:R55"/>
    <mergeCell ref="R155:R160"/>
    <mergeCell ref="R260:R265"/>
    <mergeCell ref="C51:C55"/>
    <mergeCell ref="R29:R34"/>
    <mergeCell ref="C219:C223"/>
    <mergeCell ref="C23:C27"/>
    <mergeCell ref="R78:R83"/>
    <mergeCell ref="R15:R20"/>
    <mergeCell ref="C58:C62"/>
    <mergeCell ref="R183:R188"/>
    <mergeCell ref="R134:R139"/>
    <mergeCell ref="C44:C48"/>
    <mergeCell ref="C142:C146"/>
    <mergeCell ref="R71:R76"/>
    <mergeCell ref="R43:R48"/>
    <mergeCell ref="C205:C209"/>
    <mergeCell ref="R106:R111"/>
    <mergeCell ref="R120:R125"/>
    <mergeCell ref="R211:R21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summary'!$Z$11:$Z$200,MATCH($C$4&amp;"|"&amp;"OPTION 1:  Target-level reporting",'A1. Response summary'!$A$11:$A$200,0)),"")</f>
        <v/>
      </c>
      <c r="D12" s="62">
        <f>IFERROR(INDEX('A1. Response summary'!$AA$11:$AA$200,MATCH($C$4&amp;"|"&amp;"OPTION 1:  Target-level reporting",'A1. Response summary'!$A$11:$A$200,0)),"")</f>
        <v/>
      </c>
      <c r="F12" s="62">
        <f>IFERROR(INDEX('A1. Response summary'!$AB$11:$AB$200,MATCH($C$4&amp;"|"&amp;"OPTION 1:  Target-level reporting",'A1. Response summary'!$A$11:$A$200,0)),"")</f>
        <v/>
      </c>
      <c r="H12" s="62">
        <f>IFERROR(INDEX('A1. Response summary'!$AC$11:$AC$200,MATCH($C$4&amp;"|"&amp;"OPTION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CI&amp;S – Estate Planning &amp; Development</t>
        </is>
      </c>
      <c r="H14" s="4" t="inlineStr">
        <is>
          <t>CI&amp;S – Sustainability Strategy</t>
        </is>
      </c>
      <c r="I14" s="4" t="inlineStr">
        <is>
          <t>CFOG – Procurement</t>
        </is>
      </c>
      <c r="J14" s="4" t="inlineStr">
        <is>
          <t>CFOG – Treasury &amp; Investments</t>
        </is>
      </c>
      <c r="K14" s="4" t="inlineStr">
        <is>
          <t>ESG – Campus Operations &amp; Sustainability Delivery</t>
        </is>
      </c>
      <c r="L14" s="4" t="inlineStr">
        <is>
          <t>CIOG – Responsible AI &amp; digital</t>
        </is>
      </c>
      <c r="M14" s="4" t="inlineStr">
        <is>
          <t>MRE – Research</t>
        </is>
      </c>
      <c r="N14" s="4" t="inlineStr">
        <is>
          <t>AC&amp;M – Advancement, Communication and Marketing</t>
        </is>
      </c>
      <c r="O14" s="4" t="inlineStr">
        <is>
          <t>GCE – Global, Culture and Engagement</t>
        </is>
      </c>
      <c r="P14" s="4" t="inlineStr">
        <is>
          <t>Education – Chancellery Education</t>
        </is>
      </c>
      <c r="Q14" s="4" t="inlineStr">
        <is>
          <t>SaSS – Student and Scholarly Services</t>
        </is>
      </c>
      <c r="R14" s="4" t="inlineStr">
        <is>
          <t>Indigenous – Chancellery Indigenous</t>
        </is>
      </c>
      <c r="S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6"/>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IFERROR(IF(INDEX('[1]2. OPTIONAL highlighted stories'!$B$1:$B$60,MATCH($C6,'[1]2. OPTIONAL highlighted stories'!$A$1:$A$60,0))="","",INDEX('[1]2. OPTIONAL highlighted stories'!$B$1:$B$60,MATCH($C6,'[1]2. OPTIONAL highlighted stories'!$A$1:$A$60,0))),"")</f>
        <v/>
      </c>
      <c r="E6" s="8">
        <f>IFERROR(IF(INDEX('[1]2. OPTIONAL highlighted stories'!$C$1:$C$60,MATCH($C6,'[1]2. OPTIONAL highlighted stories'!$A$1:$A$60,0))="","",INDEX('[1]2. OPTIONAL highlighted stories'!$C$1:$C$60,MATCH($C6,'[1]2. OPTIONAL highlighted stories'!$A$1:$A$60,0))),"")</f>
        <v/>
      </c>
      <c r="F6" s="8">
        <f>IFERROR(IF(INDEX('[1]2. OPTIONAL highlighted stories'!$D$1:$D$60,MATCH($C6,'[1]2. OPTIONAL highlighted stories'!$A$1:$A$60,0))="","",INDEX('[1]2. OPTIONAL highlighted stories'!$D$1:$D$60,MATCH($C6,'[1]2. OPTIONAL highlighted stories'!$A$1:$A$60,0))),"")</f>
        <v/>
      </c>
      <c r="G6" s="8">
        <f>IFERROR(IF(INDEX('[1]2. OPTIONAL highlighted stories'!$E$1:$E$60,MATCH($C6,'[1]2. OPTIONAL highlighted stories'!$A$1:$A$60,0))="","",INDEX('[1]2. OPTIONAL highlighted stories'!$E$1:$E$60,MATCH($C6,'[1]2. OPTIONAL highlighted stories'!$A$1:$A$60,0))),"")</f>
        <v/>
      </c>
      <c r="H6" s="8">
        <f>IFERROR(IF(INDEX('[1]2. OPTIONAL highlighted stories'!$F$1:$F$60,MATCH($C6,'[1]2. OPTIONAL highlighted stories'!$A$1:$A$60,0))="","",INDEX('[1]2. OPTIONAL highlighted stories'!$F$1:$F$60,MATCH($C6,'[1]2. OPTIONAL highlighted stories'!$A$1:$A$60,0))),"")</f>
        <v/>
      </c>
      <c r="I6" s="6" t="inlineStr"/>
      <c r="J6" s="6" t="inlineStr"/>
      <c r="K6" s="6" t="inlineStr"/>
      <c r="L6" s="6" t="inlineStr"/>
      <c r="M6" s="6" t="inlineStr"/>
      <c r="N6" s="6" t="inlineStr"/>
    </row>
    <row r="7" ht="60" customHeight="1">
      <c r="B7" s="5" t="inlineStr"/>
      <c r="C7" s="48" t="n">
        <v>2</v>
      </c>
      <c r="D7" s="8">
        <f>IFERROR(IF(INDEX('[1]2. OPTIONAL highlighted stories'!$B$1:$B$60,MATCH($C7,'[1]2. OPTIONAL highlighted stories'!$A$1:$A$60,0))="","",INDEX('[1]2. OPTIONAL highlighted stories'!$B$1:$B$60,MATCH($C7,'[1]2. OPTIONAL highlighted stories'!$A$1:$A$60,0))),"")</f>
        <v/>
      </c>
      <c r="E7" s="8">
        <f>IFERROR(IF(INDEX('[1]2. OPTIONAL highlighted stories'!$C$1:$C$60,MATCH($C7,'[1]2. OPTIONAL highlighted stories'!$A$1:$A$60,0))="","",INDEX('[1]2. OPTIONAL highlighted stories'!$C$1:$C$60,MATCH($C7,'[1]2. OPTIONAL highlighted stories'!$A$1:$A$60,0))),"")</f>
        <v/>
      </c>
      <c r="F7" s="8">
        <f>IFERROR(IF(INDEX('[1]2. OPTIONAL highlighted stories'!$D$1:$D$60,MATCH($C7,'[1]2. OPTIONAL highlighted stories'!$A$1:$A$60,0))="","",INDEX('[1]2. OPTIONAL highlighted stories'!$D$1:$D$60,MATCH($C7,'[1]2. OPTIONAL highlighted stories'!$A$1:$A$60,0))),"")</f>
        <v/>
      </c>
      <c r="G7" s="8">
        <f>IFERROR(IF(INDEX('[1]2. OPTIONAL highlighted stories'!$E$1:$E$60,MATCH($C7,'[1]2. OPTIONAL highlighted stories'!$A$1:$A$60,0))="","",INDEX('[1]2. OPTIONAL highlighted stories'!$E$1:$E$60,MATCH($C7,'[1]2. OPTIONAL highlighted stories'!$A$1:$A$60,0))),"")</f>
        <v/>
      </c>
      <c r="H7" s="8">
        <f>IFERROR(IF(INDEX('[1]2. OPTIONAL highlighted stories'!$F$1:$F$60,MATCH($C7,'[1]2. OPTIONAL highlighted stories'!$A$1:$A$60,0))="","",INDEX('[1]2. OPTIONAL highlighted stories'!$F$1:$F$60,MATCH($C7,'[1]2. OPTIONAL highlighted stories'!$A$1:$A$60,0))),"")</f>
        <v/>
      </c>
      <c r="I7" s="6" t="inlineStr"/>
      <c r="J7" s="6" t="inlineStr"/>
      <c r="K7" s="6" t="inlineStr"/>
      <c r="L7" s="6" t="inlineStr"/>
      <c r="M7" s="6" t="inlineStr"/>
      <c r="N7" s="6" t="inlineStr"/>
    </row>
    <row r="8" ht="60" customHeight="1">
      <c r="B8" s="5" t="inlineStr"/>
      <c r="C8" s="48" t="n">
        <v>3</v>
      </c>
      <c r="D8" s="8">
        <f>IFERROR(IF(INDEX('[1]2. OPTIONAL highlighted stories'!$B$1:$B$60,MATCH($C8,'[1]2. OPTIONAL highlighted stories'!$A$1:$A$60,0))="","",INDEX('[1]2. OPTIONAL highlighted stories'!$B$1:$B$60,MATCH($C8,'[1]2. OPTIONAL highlighted stories'!$A$1:$A$60,0))),"")</f>
        <v/>
      </c>
      <c r="E8" s="8">
        <f>IFERROR(IF(INDEX('[1]2. OPTIONAL highlighted stories'!$C$1:$C$60,MATCH($C8,'[1]2. OPTIONAL highlighted stories'!$A$1:$A$60,0))="","",INDEX('[1]2. OPTIONAL highlighted stories'!$C$1:$C$60,MATCH($C8,'[1]2. OPTIONAL highlighted stories'!$A$1:$A$60,0))),"")</f>
        <v/>
      </c>
      <c r="F8" s="8">
        <f>IFERROR(IF(INDEX('[1]2. OPTIONAL highlighted stories'!$D$1:$D$60,MATCH($C8,'[1]2. OPTIONAL highlighted stories'!$A$1:$A$60,0))="","",INDEX('[1]2. OPTIONAL highlighted stories'!$D$1:$D$60,MATCH($C8,'[1]2. OPTIONAL highlighted stories'!$A$1:$A$60,0))),"")</f>
        <v/>
      </c>
      <c r="G8" s="8">
        <f>IFERROR(IF(INDEX('[1]2. OPTIONAL highlighted stories'!$E$1:$E$60,MATCH($C8,'[1]2. OPTIONAL highlighted stories'!$A$1:$A$60,0))="","",INDEX('[1]2. OPTIONAL highlighted stories'!$E$1:$E$60,MATCH($C8,'[1]2. OPTIONAL highlighted stories'!$A$1:$A$60,0))),"")</f>
        <v/>
      </c>
      <c r="H8" s="8">
        <f>IFERROR(IF(INDEX('[1]2. OPTIONAL highlighted stories'!$F$1:$F$60,MATCH($C8,'[1]2. OPTIONAL highlighted stories'!$A$1:$A$60,0))="","",INDEX('[1]2. OPTIONAL highlighted stories'!$F$1:$F$60,MATCH($C8,'[1]2. OPTIONAL highlighted stories'!$A$1:$A$60,0))),"")</f>
        <v/>
      </c>
      <c r="I8" s="6" t="inlineStr"/>
      <c r="J8" s="6" t="inlineStr"/>
      <c r="K8" s="6" t="inlineStr"/>
      <c r="L8" s="6" t="inlineStr"/>
      <c r="M8" s="6" t="inlineStr"/>
      <c r="N8" s="6" t="inlineStr"/>
    </row>
    <row r="9" ht="60" customHeight="1">
      <c r="B9" s="5" t="inlineStr">
        <is>
          <t>ARTS – Faculty of Arts</t>
        </is>
      </c>
      <c r="C9" s="48" t="n">
        <v>1</v>
      </c>
      <c r="D9" s="8">
        <f>IFERROR(IF(INDEX('[2]2. OPTIONAL highlighted stories'!$B$1:$B$60,MATCH($C9,'[2]2. OPTIONAL highlighted stories'!$A$1:$A$60,0))="","",INDEX('[2]2. OPTIONAL highlighted stories'!$B$1:$B$60,MATCH($C9,'[2]2. OPTIONAL highlighted stories'!$A$1:$A$60,0))),"")</f>
        <v/>
      </c>
      <c r="E9" s="8">
        <f>IFERROR(IF(INDEX('[2]2. OPTIONAL highlighted stories'!$C$1:$C$60,MATCH($C9,'[2]2. OPTIONAL highlighted stories'!$A$1:$A$60,0))="","",INDEX('[2]2. OPTIONAL highlighted stories'!$C$1:$C$60,MATCH($C9,'[2]2. OPTIONAL highlighted stories'!$A$1:$A$60,0))),"")</f>
        <v/>
      </c>
      <c r="F9" s="8">
        <f>IFERROR(IF(INDEX('[2]2. OPTIONAL highlighted stories'!$D$1:$D$60,MATCH($C9,'[2]2. OPTIONAL highlighted stories'!$A$1:$A$60,0))="","",INDEX('[2]2. OPTIONAL highlighted stories'!$D$1:$D$60,MATCH($C9,'[2]2. OPTIONAL highlighted stories'!$A$1:$A$60,0))),"")</f>
        <v/>
      </c>
      <c r="G9" s="8">
        <f>IFERROR(IF(INDEX('[2]2. OPTIONAL highlighted stories'!$E$1:$E$60,MATCH($C9,'[2]2. OPTIONAL highlighted stories'!$A$1:$A$60,0))="","",INDEX('[2]2. OPTIONAL highlighted stories'!$E$1:$E$60,MATCH($C9,'[2]2. OPTIONAL highlighted stories'!$A$1:$A$60,0))),"")</f>
        <v/>
      </c>
      <c r="H9" s="8">
        <f>IFERROR(IF(INDEX('[2]2. OPTIONAL highlighted stories'!$F$1:$F$60,MATCH($C9,'[2]2. OPTIONAL highlighted stories'!$A$1:$A$60,0))="","",INDEX('[2]2. OPTIONAL highlighted stories'!$F$1:$F$60,MATCH($C9,'[2]2. OPTIONAL highlighted stories'!$A$1:$A$60,0))),"")</f>
        <v/>
      </c>
      <c r="I9" s="6" t="inlineStr"/>
      <c r="J9" s="6" t="inlineStr"/>
      <c r="K9" s="6" t="inlineStr"/>
      <c r="L9" s="6" t="inlineStr"/>
      <c r="M9" s="6" t="inlineStr"/>
      <c r="N9" s="6" t="inlineStr"/>
    </row>
    <row r="10" ht="60" customHeight="1">
      <c r="B10" s="5" t="inlineStr"/>
      <c r="C10" s="48" t="n">
        <v>2</v>
      </c>
      <c r="D10" s="8">
        <f>IFERROR(IF(INDEX('[2]2. OPTIONAL highlighted stories'!$B$1:$B$60,MATCH($C10,'[2]2. OPTIONAL highlighted stories'!$A$1:$A$60,0))="","",INDEX('[2]2. OPTIONAL highlighted stories'!$B$1:$B$60,MATCH($C10,'[2]2. OPTIONAL highlighted stories'!$A$1:$A$60,0))),"")</f>
        <v/>
      </c>
      <c r="E10" s="8">
        <f>IFERROR(IF(INDEX('[2]2. OPTIONAL highlighted stories'!$C$1:$C$60,MATCH($C10,'[2]2. OPTIONAL highlighted stories'!$A$1:$A$60,0))="","",INDEX('[2]2. OPTIONAL highlighted stories'!$C$1:$C$60,MATCH($C10,'[2]2. OPTIONAL highlighted stories'!$A$1:$A$60,0))),"")</f>
        <v/>
      </c>
      <c r="F10" s="8">
        <f>IFERROR(IF(INDEX('[2]2. OPTIONAL highlighted stories'!$D$1:$D$60,MATCH($C10,'[2]2. OPTIONAL highlighted stories'!$A$1:$A$60,0))="","",INDEX('[2]2. OPTIONAL highlighted stories'!$D$1:$D$60,MATCH($C10,'[2]2. OPTIONAL highlighted stories'!$A$1:$A$60,0))),"")</f>
        <v/>
      </c>
      <c r="G10" s="8">
        <f>IFERROR(IF(INDEX('[2]2. OPTIONAL highlighted stories'!$E$1:$E$60,MATCH($C10,'[2]2. OPTIONAL highlighted stories'!$A$1:$A$60,0))="","",INDEX('[2]2. OPTIONAL highlighted stories'!$E$1:$E$60,MATCH($C10,'[2]2. OPTIONAL highlighted stories'!$A$1:$A$60,0))),"")</f>
        <v/>
      </c>
      <c r="H10" s="8">
        <f>IFERROR(IF(INDEX('[2]2. OPTIONAL highlighted stories'!$F$1:$F$60,MATCH($C10,'[2]2. OPTIONAL highlighted stories'!$A$1:$A$60,0))="","",INDEX('[2]2. OPTIONAL highlighted stories'!$F$1:$F$60,MATCH($C10,'[2]2. OPTIONAL highlighted stories'!$A$1:$A$60,0))),"")</f>
        <v/>
      </c>
      <c r="I10" s="6" t="inlineStr"/>
      <c r="J10" s="6" t="inlineStr"/>
      <c r="K10" s="6" t="inlineStr"/>
      <c r="L10" s="6" t="inlineStr"/>
      <c r="M10" s="6" t="inlineStr"/>
      <c r="N10" s="6" t="inlineStr"/>
    </row>
    <row r="11" ht="60" customHeight="1">
      <c r="B11" s="5" t="inlineStr"/>
      <c r="C11" s="48" t="n">
        <v>3</v>
      </c>
      <c r="D11" s="8">
        <f>IFERROR(IF(INDEX('[2]2. OPTIONAL highlighted stories'!$B$1:$B$60,MATCH($C11,'[2]2. OPTIONAL highlighted stories'!$A$1:$A$60,0))="","",INDEX('[2]2. OPTIONAL highlighted stories'!$B$1:$B$60,MATCH($C11,'[2]2. OPTIONAL highlighted stories'!$A$1:$A$60,0))),"")</f>
        <v/>
      </c>
      <c r="E11" s="8">
        <f>IFERROR(IF(INDEX('[2]2. OPTIONAL highlighted stories'!$C$1:$C$60,MATCH($C11,'[2]2. OPTIONAL highlighted stories'!$A$1:$A$60,0))="","",INDEX('[2]2. OPTIONAL highlighted stories'!$C$1:$C$60,MATCH($C11,'[2]2. OPTIONAL highlighted stories'!$A$1:$A$60,0))),"")</f>
        <v/>
      </c>
      <c r="F11" s="8">
        <f>IFERROR(IF(INDEX('[2]2. OPTIONAL highlighted stories'!$D$1:$D$60,MATCH($C11,'[2]2. OPTIONAL highlighted stories'!$A$1:$A$60,0))="","",INDEX('[2]2. OPTIONAL highlighted stories'!$D$1:$D$60,MATCH($C11,'[2]2. OPTIONAL highlighted stories'!$A$1:$A$60,0))),"")</f>
        <v/>
      </c>
      <c r="G11" s="8">
        <f>IFERROR(IF(INDEX('[2]2. OPTIONAL highlighted stories'!$E$1:$E$60,MATCH($C11,'[2]2. OPTIONAL highlighted stories'!$A$1:$A$60,0))="","",INDEX('[2]2. OPTIONAL highlighted stories'!$E$1:$E$60,MATCH($C11,'[2]2. OPTIONAL highlighted stories'!$A$1:$A$60,0))),"")</f>
        <v/>
      </c>
      <c r="H11" s="8">
        <f>IFERROR(IF(INDEX('[2]2. OPTIONAL highlighted stories'!$F$1:$F$60,MATCH($C11,'[2]2. OPTIONAL highlighted stories'!$A$1:$A$60,0))="","",INDEX('[2]2. OPTIONAL highlighted stories'!$F$1:$F$60,MATCH($C11,'[2]2. OPTIONAL highlighted stories'!$A$1:$A$60,0))),"")</f>
        <v/>
      </c>
      <c r="I11" s="6" t="inlineStr"/>
      <c r="J11" s="6" t="inlineStr"/>
      <c r="K11" s="6" t="inlineStr"/>
      <c r="L11" s="6" t="inlineStr"/>
      <c r="M11" s="6" t="inlineStr"/>
      <c r="N11" s="6" t="inlineStr"/>
    </row>
    <row r="12" ht="60" customHeight="1">
      <c r="B12" s="5" t="inlineStr">
        <is>
          <t>FBE – Faculty of Business and Economics</t>
        </is>
      </c>
      <c r="C12" s="48" t="n">
        <v>1</v>
      </c>
      <c r="D12" s="8">
        <f>IFERROR(IF(INDEX('[3]2. OPTIONAL highlighted stories'!$B$1:$B$60,MATCH($C12,'[3]2. OPTIONAL highlighted stories'!$A$1:$A$60,0))="","",INDEX('[3]2. OPTIONAL highlighted stories'!$B$1:$B$60,MATCH($C12,'[3]2. OPTIONAL highlighted stories'!$A$1:$A$60,0))),"")</f>
        <v/>
      </c>
      <c r="E12" s="8">
        <f>IFERROR(IF(INDEX('[3]2. OPTIONAL highlighted stories'!$C$1:$C$60,MATCH($C12,'[3]2. OPTIONAL highlighted stories'!$A$1:$A$60,0))="","",INDEX('[3]2. OPTIONAL highlighted stories'!$C$1:$C$60,MATCH($C12,'[3]2. OPTIONAL highlighted stories'!$A$1:$A$60,0))),"")</f>
        <v/>
      </c>
      <c r="F12" s="8">
        <f>IFERROR(IF(INDEX('[3]2. OPTIONAL highlighted stories'!$D$1:$D$60,MATCH($C12,'[3]2. OPTIONAL highlighted stories'!$A$1:$A$60,0))="","",INDEX('[3]2. OPTIONAL highlighted stories'!$D$1:$D$60,MATCH($C12,'[3]2. OPTIONAL highlighted stories'!$A$1:$A$60,0))),"")</f>
        <v/>
      </c>
      <c r="G12" s="8">
        <f>IFERROR(IF(INDEX('[3]2. OPTIONAL highlighted stories'!$E$1:$E$60,MATCH($C12,'[3]2. OPTIONAL highlighted stories'!$A$1:$A$60,0))="","",INDEX('[3]2. OPTIONAL highlighted stories'!$E$1:$E$60,MATCH($C12,'[3]2. OPTIONAL highlighted stories'!$A$1:$A$60,0))),"")</f>
        <v/>
      </c>
      <c r="H12" s="8">
        <f>IFERROR(IF(INDEX('[3]2. OPTIONAL highlighted stories'!$F$1:$F$60,MATCH($C12,'[3]2. OPTIONAL highlighted stories'!$A$1:$A$60,0))="","",INDEX('[3]2. OPTIONAL highlighted stories'!$F$1:$F$60,MATCH($C12,'[3]2. OPTIONAL highlighted stories'!$A$1:$A$60,0))),"")</f>
        <v/>
      </c>
      <c r="I12" s="6" t="inlineStr"/>
      <c r="J12" s="6" t="inlineStr"/>
      <c r="K12" s="6" t="inlineStr"/>
      <c r="L12" s="6" t="inlineStr"/>
      <c r="M12" s="6" t="inlineStr"/>
      <c r="N12" s="6" t="inlineStr"/>
    </row>
    <row r="13" ht="60" customHeight="1">
      <c r="B13" s="5" t="inlineStr"/>
      <c r="C13" s="48" t="n">
        <v>2</v>
      </c>
      <c r="D13" s="8">
        <f>IFERROR(IF(INDEX('[3]2. OPTIONAL highlighted stories'!$B$1:$B$60,MATCH($C13,'[3]2. OPTIONAL highlighted stories'!$A$1:$A$60,0))="","",INDEX('[3]2. OPTIONAL highlighted stories'!$B$1:$B$60,MATCH($C13,'[3]2. OPTIONAL highlighted stories'!$A$1:$A$60,0))),"")</f>
        <v/>
      </c>
      <c r="E13" s="8">
        <f>IFERROR(IF(INDEX('[3]2. OPTIONAL highlighted stories'!$C$1:$C$60,MATCH($C13,'[3]2. OPTIONAL highlighted stories'!$A$1:$A$60,0))="","",INDEX('[3]2. OPTIONAL highlighted stories'!$C$1:$C$60,MATCH($C13,'[3]2. OPTIONAL highlighted stories'!$A$1:$A$60,0))),"")</f>
        <v/>
      </c>
      <c r="F13" s="8">
        <f>IFERROR(IF(INDEX('[3]2. OPTIONAL highlighted stories'!$D$1:$D$60,MATCH($C13,'[3]2. OPTIONAL highlighted stories'!$A$1:$A$60,0))="","",INDEX('[3]2. OPTIONAL highlighted stories'!$D$1:$D$60,MATCH($C13,'[3]2. OPTIONAL highlighted stories'!$A$1:$A$60,0))),"")</f>
        <v/>
      </c>
      <c r="G13" s="8">
        <f>IFERROR(IF(INDEX('[3]2. OPTIONAL highlighted stories'!$E$1:$E$60,MATCH($C13,'[3]2. OPTIONAL highlighted stories'!$A$1:$A$60,0))="","",INDEX('[3]2. OPTIONAL highlighted stories'!$E$1:$E$60,MATCH($C13,'[3]2. OPTIONAL highlighted stories'!$A$1:$A$60,0))),"")</f>
        <v/>
      </c>
      <c r="H13" s="8">
        <f>IFERROR(IF(INDEX('[3]2. OPTIONAL highlighted stories'!$F$1:$F$60,MATCH($C13,'[3]2. OPTIONAL highlighted stories'!$A$1:$A$60,0))="","",INDEX('[3]2. OPTIONAL highlighted stories'!$F$1:$F$60,MATCH($C13,'[3]2. OPTIONAL highlighted stories'!$A$1:$A$60,0))),"")</f>
        <v/>
      </c>
      <c r="I13" s="6" t="inlineStr"/>
      <c r="J13" s="6" t="inlineStr"/>
      <c r="K13" s="6" t="inlineStr"/>
      <c r="L13" s="6" t="inlineStr"/>
      <c r="M13" s="6" t="inlineStr"/>
      <c r="N13" s="6" t="inlineStr"/>
    </row>
    <row r="14" ht="60" customHeight="1">
      <c r="B14" s="5" t="inlineStr"/>
      <c r="C14" s="48" t="n">
        <v>3</v>
      </c>
      <c r="D14" s="8">
        <f>IFERROR(IF(INDEX('[3]2. OPTIONAL highlighted stories'!$B$1:$B$60,MATCH($C14,'[3]2. OPTIONAL highlighted stories'!$A$1:$A$60,0))="","",INDEX('[3]2. OPTIONAL highlighted stories'!$B$1:$B$60,MATCH($C14,'[3]2. OPTIONAL highlighted stories'!$A$1:$A$60,0))),"")</f>
        <v/>
      </c>
      <c r="E14" s="8">
        <f>IFERROR(IF(INDEX('[3]2. OPTIONAL highlighted stories'!$C$1:$C$60,MATCH($C14,'[3]2. OPTIONAL highlighted stories'!$A$1:$A$60,0))="","",INDEX('[3]2. OPTIONAL highlighted stories'!$C$1:$C$60,MATCH($C14,'[3]2. OPTIONAL highlighted stories'!$A$1:$A$60,0))),"")</f>
        <v/>
      </c>
      <c r="F14" s="8">
        <f>IFERROR(IF(INDEX('[3]2. OPTIONAL highlighted stories'!$D$1:$D$60,MATCH($C14,'[3]2. OPTIONAL highlighted stories'!$A$1:$A$60,0))="","",INDEX('[3]2. OPTIONAL highlighted stories'!$D$1:$D$60,MATCH($C14,'[3]2. OPTIONAL highlighted stories'!$A$1:$A$60,0))),"")</f>
        <v/>
      </c>
      <c r="G14" s="8">
        <f>IFERROR(IF(INDEX('[3]2. OPTIONAL highlighted stories'!$E$1:$E$60,MATCH($C14,'[3]2. OPTIONAL highlighted stories'!$A$1:$A$60,0))="","",INDEX('[3]2. OPTIONAL highlighted stories'!$E$1:$E$60,MATCH($C14,'[3]2. OPTIONAL highlighted stories'!$A$1:$A$60,0))),"")</f>
        <v/>
      </c>
      <c r="H14" s="8">
        <f>IFERROR(IF(INDEX('[3]2. OPTIONAL highlighted stories'!$F$1:$F$60,MATCH($C14,'[3]2. OPTIONAL highlighted stories'!$A$1:$A$60,0))="","",INDEX('[3]2. OPTIONAL highlighted stories'!$F$1:$F$60,MATCH($C14,'[3]2. OPTIONAL highlighted stories'!$A$1:$A$60,0))),"")</f>
        <v/>
      </c>
      <c r="I14" s="6" t="inlineStr"/>
      <c r="J14" s="6" t="inlineStr"/>
      <c r="K14" s="6" t="inlineStr"/>
      <c r="L14" s="6" t="inlineStr"/>
      <c r="M14" s="6" t="inlineStr"/>
      <c r="N14" s="6" t="inlineStr"/>
    </row>
    <row r="15" ht="60" customHeight="1">
      <c r="B15" s="5" t="inlineStr">
        <is>
          <t>SCI – Faculty of Science</t>
        </is>
      </c>
      <c r="C15" s="48" t="n">
        <v>1</v>
      </c>
      <c r="D15" s="8">
        <f>IFERROR(IF(INDEX('[4]2. OPTIONAL highlighted stories'!$B$1:$B$60,MATCH($C15,'[4]2. OPTIONAL highlighted stories'!$A$1:$A$60,0))="","",INDEX('[4]2. OPTIONAL highlighted stories'!$B$1:$B$60,MATCH($C15,'[4]2. OPTIONAL highlighted stories'!$A$1:$A$60,0))),"")</f>
        <v/>
      </c>
      <c r="E15" s="8">
        <f>IFERROR(IF(INDEX('[4]2. OPTIONAL highlighted stories'!$C$1:$C$60,MATCH($C15,'[4]2. OPTIONAL highlighted stories'!$A$1:$A$60,0))="","",INDEX('[4]2. OPTIONAL highlighted stories'!$C$1:$C$60,MATCH($C15,'[4]2. OPTIONAL highlighted stories'!$A$1:$A$60,0))),"")</f>
        <v/>
      </c>
      <c r="F15" s="8">
        <f>IFERROR(IF(INDEX('[4]2. OPTIONAL highlighted stories'!$D$1:$D$60,MATCH($C15,'[4]2. OPTIONAL highlighted stories'!$A$1:$A$60,0))="","",INDEX('[4]2. OPTIONAL highlighted stories'!$D$1:$D$60,MATCH($C15,'[4]2. OPTIONAL highlighted stories'!$A$1:$A$60,0))),"")</f>
        <v/>
      </c>
      <c r="G15" s="8">
        <f>IFERROR(IF(INDEX('[4]2. OPTIONAL highlighted stories'!$E$1:$E$60,MATCH($C15,'[4]2. OPTIONAL highlighted stories'!$A$1:$A$60,0))="","",INDEX('[4]2. OPTIONAL highlighted stories'!$E$1:$E$60,MATCH($C15,'[4]2. OPTIONAL highlighted stories'!$A$1:$A$60,0))),"")</f>
        <v/>
      </c>
      <c r="H15" s="8">
        <f>IFERROR(IF(INDEX('[4]2. OPTIONAL highlighted stories'!$F$1:$F$60,MATCH($C15,'[4]2. OPTIONAL highlighted stories'!$A$1:$A$60,0))="","",INDEX('[4]2. OPTIONAL highlighted stories'!$F$1:$F$60,MATCH($C15,'[4]2. OPTIONAL highlighted stories'!$A$1:$A$60,0))),"")</f>
        <v/>
      </c>
      <c r="I15" s="6" t="inlineStr"/>
      <c r="J15" s="6" t="inlineStr"/>
      <c r="K15" s="6" t="inlineStr"/>
      <c r="L15" s="6" t="inlineStr"/>
      <c r="M15" s="6" t="inlineStr"/>
      <c r="N15" s="6" t="inlineStr"/>
    </row>
    <row r="16" ht="60" customHeight="1">
      <c r="B16" s="5" t="inlineStr"/>
      <c r="C16" s="48" t="n">
        <v>2</v>
      </c>
      <c r="D16" s="8">
        <f>IFERROR(IF(INDEX('[4]2. OPTIONAL highlighted stories'!$B$1:$B$60,MATCH($C16,'[4]2. OPTIONAL highlighted stories'!$A$1:$A$60,0))="","",INDEX('[4]2. OPTIONAL highlighted stories'!$B$1:$B$60,MATCH($C16,'[4]2. OPTIONAL highlighted stories'!$A$1:$A$60,0))),"")</f>
        <v/>
      </c>
      <c r="E16" s="8">
        <f>IFERROR(IF(INDEX('[4]2. OPTIONAL highlighted stories'!$C$1:$C$60,MATCH($C16,'[4]2. OPTIONAL highlighted stories'!$A$1:$A$60,0))="","",INDEX('[4]2. OPTIONAL highlighted stories'!$C$1:$C$60,MATCH($C16,'[4]2. OPTIONAL highlighted stories'!$A$1:$A$60,0))),"")</f>
        <v/>
      </c>
      <c r="F16" s="8">
        <f>IFERROR(IF(INDEX('[4]2. OPTIONAL highlighted stories'!$D$1:$D$60,MATCH($C16,'[4]2. OPTIONAL highlighted stories'!$A$1:$A$60,0))="","",INDEX('[4]2. OPTIONAL highlighted stories'!$D$1:$D$60,MATCH($C16,'[4]2. OPTIONAL highlighted stories'!$A$1:$A$60,0))),"")</f>
        <v/>
      </c>
      <c r="G16" s="8">
        <f>IFERROR(IF(INDEX('[4]2. OPTIONAL highlighted stories'!$E$1:$E$60,MATCH($C16,'[4]2. OPTIONAL highlighted stories'!$A$1:$A$60,0))="","",INDEX('[4]2. OPTIONAL highlighted stories'!$E$1:$E$60,MATCH($C16,'[4]2. OPTIONAL highlighted stories'!$A$1:$A$60,0))),"")</f>
        <v/>
      </c>
      <c r="H16" s="8">
        <f>IFERROR(IF(INDEX('[4]2. OPTIONAL highlighted stories'!$F$1:$F$60,MATCH($C16,'[4]2. OPTIONAL highlighted stories'!$A$1:$A$60,0))="","",INDEX('[4]2. OPTIONAL highlighted stories'!$F$1:$F$60,MATCH($C16,'[4]2. OPTIONAL highlighted stories'!$A$1:$A$60,0))),"")</f>
        <v/>
      </c>
      <c r="I16" s="6" t="inlineStr"/>
      <c r="J16" s="6" t="inlineStr"/>
      <c r="K16" s="6" t="inlineStr"/>
      <c r="L16" s="6" t="inlineStr"/>
      <c r="M16" s="6" t="inlineStr"/>
      <c r="N16" s="6" t="inlineStr"/>
    </row>
    <row r="17" ht="60" customHeight="1">
      <c r="B17" s="5" t="inlineStr"/>
      <c r="C17" s="48" t="n">
        <v>3</v>
      </c>
      <c r="D17" s="8">
        <f>IFERROR(IF(INDEX('[4]2. OPTIONAL highlighted stories'!$B$1:$B$60,MATCH($C17,'[4]2. OPTIONAL highlighted stories'!$A$1:$A$60,0))="","",INDEX('[4]2. OPTIONAL highlighted stories'!$B$1:$B$60,MATCH($C17,'[4]2. OPTIONAL highlighted stories'!$A$1:$A$60,0))),"")</f>
        <v/>
      </c>
      <c r="E17" s="8">
        <f>IFERROR(IF(INDEX('[4]2. OPTIONAL highlighted stories'!$C$1:$C$60,MATCH($C17,'[4]2. OPTIONAL highlighted stories'!$A$1:$A$60,0))="","",INDEX('[4]2. OPTIONAL highlighted stories'!$C$1:$C$60,MATCH($C17,'[4]2. OPTIONAL highlighted stories'!$A$1:$A$60,0))),"")</f>
        <v/>
      </c>
      <c r="F17" s="8">
        <f>IFERROR(IF(INDEX('[4]2. OPTIONAL highlighted stories'!$D$1:$D$60,MATCH($C17,'[4]2. OPTIONAL highlighted stories'!$A$1:$A$60,0))="","",INDEX('[4]2. OPTIONAL highlighted stories'!$D$1:$D$60,MATCH($C17,'[4]2. OPTIONAL highlighted stories'!$A$1:$A$60,0))),"")</f>
        <v/>
      </c>
      <c r="G17" s="8">
        <f>IFERROR(IF(INDEX('[4]2. OPTIONAL highlighted stories'!$E$1:$E$60,MATCH($C17,'[4]2. OPTIONAL highlighted stories'!$A$1:$A$60,0))="","",INDEX('[4]2. OPTIONAL highlighted stories'!$E$1:$E$60,MATCH($C17,'[4]2. OPTIONAL highlighted stories'!$A$1:$A$60,0))),"")</f>
        <v/>
      </c>
      <c r="H17" s="8">
        <f>IFERROR(IF(INDEX('[4]2. OPTIONAL highlighted stories'!$F$1:$F$60,MATCH($C17,'[4]2. OPTIONAL highlighted stories'!$A$1:$A$60,0))="","",INDEX('[4]2. OPTIONAL highlighted stories'!$F$1:$F$60,MATCH($C17,'[4]2. OPTIONAL highlighted stories'!$A$1:$A$60,0))),"")</f>
        <v/>
      </c>
      <c r="I17" s="6" t="inlineStr"/>
      <c r="J17" s="6" t="inlineStr"/>
      <c r="K17" s="6" t="inlineStr"/>
      <c r="L17" s="6" t="inlineStr"/>
      <c r="M17" s="6" t="inlineStr"/>
      <c r="N17" s="6" t="inlineStr"/>
    </row>
    <row r="18" ht="60" customHeight="1">
      <c r="B18" s="5" t="inlineStr">
        <is>
          <t>Commercial, Infrastructure &amp; Sustainability (CI&amp;S)</t>
        </is>
      </c>
      <c r="C18" s="48" t="n">
        <v>1</v>
      </c>
      <c r="D18" s="6" t="inlineStr"/>
      <c r="E18" s="6" t="inlineStr"/>
      <c r="F18" s="6" t="inlineStr"/>
      <c r="G18" s="6" t="inlineStr"/>
      <c r="H18" s="6" t="inlineStr"/>
      <c r="I18" s="6" t="inlineStr"/>
      <c r="J18" s="6" t="inlineStr"/>
      <c r="K18" s="6" t="inlineStr"/>
      <c r="L18" s="6" t="inlineStr"/>
      <c r="M18" s="6" t="inlineStr"/>
      <c r="N18" s="6" t="inlineStr"/>
    </row>
    <row r="19" ht="60" customHeight="1">
      <c r="B19" s="5" t="inlineStr"/>
      <c r="C19" s="48" t="n">
        <v>2</v>
      </c>
      <c r="D19" s="6" t="inlineStr"/>
      <c r="E19" s="6" t="inlineStr"/>
      <c r="F19" s="6" t="inlineStr"/>
      <c r="G19" s="6" t="inlineStr"/>
      <c r="H19" s="6" t="inlineStr"/>
      <c r="I19" s="6" t="inlineStr"/>
      <c r="J19" s="6" t="inlineStr"/>
      <c r="K19" s="6" t="inlineStr"/>
      <c r="L19" s="6" t="inlineStr"/>
      <c r="M19" s="6" t="inlineStr"/>
      <c r="N19" s="6" t="inlineStr"/>
    </row>
    <row r="20" ht="60" customHeight="1">
      <c r="B20" s="5" t="inlineStr"/>
      <c r="C20" s="48" t="n">
        <v>3</v>
      </c>
      <c r="D20" s="6" t="inlineStr"/>
      <c r="E20" s="6" t="inlineStr"/>
      <c r="F20" s="6" t="inlineStr"/>
      <c r="G20" s="6" t="inlineStr"/>
      <c r="H20" s="6" t="inlineStr"/>
      <c r="I20" s="6" t="inlineStr"/>
      <c r="J20" s="6" t="inlineStr"/>
      <c r="K20" s="6" t="inlineStr"/>
      <c r="L20" s="6" t="inlineStr"/>
      <c r="M20" s="6" t="inlineStr"/>
      <c r="N20" s="6" t="inlineStr"/>
    </row>
    <row r="21" ht="60" customHeight="1">
      <c r="B21" s="5" t="inlineStr">
        <is>
          <t>Chief Finance Officer Group (CFOG)</t>
        </is>
      </c>
      <c r="C21" s="48" t="n">
        <v>1</v>
      </c>
      <c r="D21" s="6" t="inlineStr"/>
      <c r="E21" s="6" t="inlineStr"/>
      <c r="F21" s="6" t="inlineStr"/>
      <c r="G21" s="6" t="inlineStr"/>
      <c r="H21" s="6" t="inlineStr"/>
      <c r="I21" s="6" t="inlineStr"/>
      <c r="J21" s="6" t="inlineStr"/>
      <c r="K21" s="6" t="inlineStr"/>
      <c r="L21" s="6" t="inlineStr"/>
      <c r="M21" s="6" t="inlineStr"/>
      <c r="N21" s="6" t="inlineStr"/>
    </row>
    <row r="22" ht="60" customHeight="1">
      <c r="B22" s="5" t="inlineStr"/>
      <c r="C22" s="48" t="n">
        <v>2</v>
      </c>
      <c r="D22" s="6" t="inlineStr"/>
      <c r="E22" s="6" t="inlineStr"/>
      <c r="F22" s="6" t="inlineStr"/>
      <c r="G22" s="6" t="inlineStr"/>
      <c r="H22" s="6" t="inlineStr"/>
      <c r="I22" s="6" t="inlineStr"/>
      <c r="J22" s="6" t="inlineStr"/>
      <c r="K22" s="6" t="inlineStr"/>
      <c r="L22" s="6" t="inlineStr"/>
      <c r="M22" s="6" t="inlineStr"/>
      <c r="N22" s="6" t="inlineStr"/>
    </row>
    <row r="23" ht="60" customHeight="1">
      <c r="B23" s="5" t="inlineStr"/>
      <c r="C23" s="48" t="n">
        <v>3</v>
      </c>
      <c r="D23" s="6" t="inlineStr"/>
      <c r="E23" s="6" t="inlineStr"/>
      <c r="F23" s="6" t="inlineStr"/>
      <c r="G23" s="6" t="inlineStr"/>
      <c r="H23" s="6" t="inlineStr"/>
      <c r="I23" s="6" t="inlineStr"/>
      <c r="J23" s="6" t="inlineStr"/>
      <c r="K23" s="6" t="inlineStr"/>
      <c r="L23" s="6" t="inlineStr"/>
      <c r="M23" s="6" t="inlineStr"/>
      <c r="N23" s="6" t="inlineStr"/>
    </row>
    <row r="24" ht="60" customHeight="1">
      <c r="B24" s="5" t="inlineStr">
        <is>
          <t>Enterprise Services Group (ESG)</t>
        </is>
      </c>
      <c r="C24" s="48" t="n">
        <v>1</v>
      </c>
      <c r="D24" s="6" t="inlineStr"/>
      <c r="E24" s="6" t="inlineStr"/>
      <c r="F24" s="6" t="inlineStr"/>
      <c r="G24" s="6" t="inlineStr"/>
      <c r="H24" s="6" t="inlineStr"/>
      <c r="I24" s="6" t="inlineStr"/>
      <c r="J24" s="6" t="inlineStr"/>
      <c r="K24" s="6" t="inlineStr"/>
      <c r="L24" s="6" t="inlineStr"/>
      <c r="M24" s="6" t="inlineStr"/>
      <c r="N24" s="6" t="inlineStr"/>
    </row>
    <row r="25" ht="60" customHeight="1">
      <c r="B25" s="5" t="inlineStr"/>
      <c r="C25" s="48" t="n">
        <v>2</v>
      </c>
      <c r="D25" s="6" t="inlineStr"/>
      <c r="E25" s="6" t="inlineStr"/>
      <c r="F25" s="6" t="inlineStr"/>
      <c r="G25" s="6" t="inlineStr"/>
      <c r="H25" s="6" t="inlineStr"/>
      <c r="I25" s="6" t="inlineStr"/>
      <c r="J25" s="6" t="inlineStr"/>
      <c r="K25" s="6" t="inlineStr"/>
      <c r="L25" s="6" t="inlineStr"/>
      <c r="M25" s="6" t="inlineStr"/>
      <c r="N25" s="6" t="inlineStr"/>
    </row>
    <row r="26" ht="60" customHeight="1">
      <c r="B26" s="5" t="inlineStr"/>
      <c r="C26" s="48" t="n">
        <v>3</v>
      </c>
      <c r="D26" s="6" t="inlineStr"/>
      <c r="E26" s="6" t="inlineStr"/>
      <c r="F26" s="6" t="inlineStr"/>
      <c r="G26" s="6" t="inlineStr"/>
      <c r="H26" s="6" t="inlineStr"/>
      <c r="I26" s="6" t="inlineStr"/>
      <c r="J26" s="6" t="inlineStr"/>
      <c r="K26" s="6" t="inlineStr"/>
      <c r="L26" s="6" t="inlineStr"/>
      <c r="M26" s="6" t="inlineStr"/>
      <c r="N26" s="6" t="inlineStr"/>
    </row>
    <row r="27" ht="60" customHeight="1">
      <c r="B27" s="5" t="inlineStr">
        <is>
          <t>Chief Information Officer Group (CIOG)</t>
        </is>
      </c>
      <c r="C27" s="48" t="n">
        <v>1</v>
      </c>
      <c r="D27" s="6" t="inlineStr"/>
      <c r="E27" s="6" t="inlineStr"/>
      <c r="F27" s="6" t="inlineStr"/>
      <c r="G27" s="6" t="inlineStr"/>
      <c r="H27" s="6" t="inlineStr"/>
      <c r="I27" s="6" t="inlineStr"/>
      <c r="J27" s="6" t="inlineStr"/>
      <c r="K27" s="6" t="inlineStr"/>
      <c r="L27" s="6" t="inlineStr"/>
      <c r="M27" s="6" t="inlineStr"/>
      <c r="N27" s="6" t="inlineStr"/>
    </row>
    <row r="28" ht="60" customHeight="1">
      <c r="B28" s="5" t="inlineStr"/>
      <c r="C28" s="48" t="n">
        <v>2</v>
      </c>
      <c r="D28" s="6" t="inlineStr"/>
      <c r="E28" s="6" t="inlineStr"/>
      <c r="F28" s="6" t="inlineStr"/>
      <c r="G28" s="6" t="inlineStr"/>
      <c r="H28" s="6" t="inlineStr"/>
      <c r="I28" s="6" t="inlineStr"/>
      <c r="J28" s="6" t="inlineStr"/>
      <c r="K28" s="6" t="inlineStr"/>
      <c r="L28" s="6" t="inlineStr"/>
      <c r="M28" s="6" t="inlineStr"/>
      <c r="N28" s="6" t="inlineStr"/>
    </row>
    <row r="29" ht="60" customHeight="1">
      <c r="B29" s="5" t="inlineStr"/>
      <c r="C29" s="48" t="n">
        <v>3</v>
      </c>
      <c r="D29" s="6" t="inlineStr"/>
      <c r="E29" s="6" t="inlineStr"/>
      <c r="F29" s="6" t="inlineStr"/>
      <c r="G29" s="6" t="inlineStr"/>
      <c r="H29" s="6" t="inlineStr"/>
      <c r="I29" s="6" t="inlineStr"/>
      <c r="J29" s="6" t="inlineStr"/>
      <c r="K29" s="6" t="inlineStr"/>
      <c r="L29" s="6" t="inlineStr"/>
      <c r="M29" s="6" t="inlineStr"/>
      <c r="N29" s="6" t="inlineStr"/>
    </row>
    <row r="30" ht="60" customHeight="1">
      <c r="B30" s="5" t="inlineStr">
        <is>
          <t>Melbourne Research and Enterprise (MRE)</t>
        </is>
      </c>
      <c r="C30" s="48" t="n">
        <v>1</v>
      </c>
      <c r="D30" s="6" t="inlineStr"/>
      <c r="E30" s="6" t="inlineStr"/>
      <c r="F30" s="6" t="inlineStr"/>
      <c r="G30" s="6" t="inlineStr"/>
      <c r="H30" s="6" t="inlineStr"/>
      <c r="I30" s="6" t="inlineStr"/>
      <c r="J30" s="6" t="inlineStr"/>
      <c r="K30" s="6" t="inlineStr"/>
      <c r="L30" s="6" t="inlineStr"/>
      <c r="M30" s="6" t="inlineStr"/>
      <c r="N30" s="6" t="inlineStr"/>
    </row>
    <row r="31" ht="60" customHeight="1">
      <c r="B31" s="5" t="inlineStr"/>
      <c r="C31" s="48" t="n">
        <v>2</v>
      </c>
      <c r="D31" s="6" t="inlineStr"/>
      <c r="E31" s="6" t="inlineStr"/>
      <c r="F31" s="6" t="inlineStr"/>
      <c r="G31" s="6" t="inlineStr"/>
      <c r="H31" s="6" t="inlineStr"/>
      <c r="I31" s="6" t="inlineStr"/>
      <c r="J31" s="6" t="inlineStr"/>
      <c r="K31" s="6" t="inlineStr"/>
      <c r="L31" s="6" t="inlineStr"/>
      <c r="M31" s="6" t="inlineStr"/>
      <c r="N31" s="6" t="inlineStr"/>
    </row>
    <row r="32" ht="60" customHeight="1">
      <c r="B32" s="5" t="inlineStr"/>
      <c r="C32" s="48" t="n">
        <v>3</v>
      </c>
      <c r="D32" s="6" t="inlineStr"/>
      <c r="E32" s="6" t="inlineStr"/>
      <c r="F32" s="6" t="inlineStr"/>
      <c r="G32" s="6" t="inlineStr"/>
      <c r="H32" s="6" t="inlineStr"/>
      <c r="I32" s="6" t="inlineStr"/>
      <c r="J32" s="6" t="inlineStr"/>
      <c r="K32" s="6" t="inlineStr"/>
      <c r="L32" s="6" t="inlineStr"/>
      <c r="M32" s="6" t="inlineStr"/>
      <c r="N32" s="6" t="inlineStr"/>
    </row>
    <row r="33" ht="60" customHeight="1">
      <c r="B33" s="5" t="inlineStr">
        <is>
          <t>Advancement, Communication and Marketing (AC&amp;M)</t>
        </is>
      </c>
      <c r="C33" s="48" t="n">
        <v>1</v>
      </c>
      <c r="D33" s="6" t="inlineStr"/>
      <c r="E33" s="6" t="inlineStr"/>
      <c r="F33" s="6" t="inlineStr"/>
      <c r="G33" s="6" t="inlineStr"/>
      <c r="H33" s="6" t="inlineStr"/>
      <c r="I33" s="6" t="inlineStr"/>
      <c r="J33" s="6" t="inlineStr"/>
      <c r="K33" s="6" t="inlineStr"/>
      <c r="L33" s="6" t="inlineStr"/>
      <c r="M33" s="6" t="inlineStr"/>
      <c r="N33" s="6" t="inlineStr"/>
    </row>
    <row r="34" ht="60" customHeight="1">
      <c r="B34" s="5" t="inlineStr"/>
      <c r="C34" s="48" t="n">
        <v>2</v>
      </c>
      <c r="D34" s="6" t="inlineStr"/>
      <c r="E34" s="6" t="inlineStr"/>
      <c r="F34" s="6" t="inlineStr"/>
      <c r="G34" s="6" t="inlineStr"/>
      <c r="H34" s="6" t="inlineStr"/>
      <c r="I34" s="6" t="inlineStr"/>
      <c r="J34" s="6" t="inlineStr"/>
      <c r="K34" s="6" t="inlineStr"/>
      <c r="L34" s="6" t="inlineStr"/>
      <c r="M34" s="6" t="inlineStr"/>
      <c r="N34" s="6" t="inlineStr"/>
    </row>
    <row r="35" ht="60" customHeight="1">
      <c r="B35" s="5" t="inlineStr"/>
      <c r="C35" s="48" t="n">
        <v>3</v>
      </c>
      <c r="D35" s="6" t="inlineStr"/>
      <c r="E35" s="6" t="inlineStr"/>
      <c r="F35" s="6" t="inlineStr"/>
      <c r="G35" s="6" t="inlineStr"/>
      <c r="H35" s="6" t="inlineStr"/>
      <c r="I35" s="6" t="inlineStr"/>
      <c r="J35" s="6" t="inlineStr"/>
      <c r="K35" s="6" t="inlineStr"/>
      <c r="L35" s="6" t="inlineStr"/>
      <c r="M35" s="6" t="inlineStr"/>
      <c r="N35" s="6" t="inlineStr"/>
    </row>
    <row r="36" ht="60" customHeight="1">
      <c r="B36" s="5" t="inlineStr">
        <is>
          <t>Global, Culture and Engagement (GCE)</t>
        </is>
      </c>
      <c r="C36" s="48" t="n">
        <v>1</v>
      </c>
      <c r="D36" s="6" t="inlineStr"/>
      <c r="E36" s="6" t="inlineStr"/>
      <c r="F36" s="6" t="inlineStr"/>
      <c r="G36" s="6" t="inlineStr"/>
      <c r="H36" s="6" t="inlineStr"/>
      <c r="I36" s="6" t="inlineStr"/>
      <c r="J36" s="6" t="inlineStr"/>
      <c r="K36" s="6" t="inlineStr"/>
      <c r="L36" s="6" t="inlineStr"/>
      <c r="M36" s="6" t="inlineStr"/>
      <c r="N36" s="6" t="inlineStr"/>
    </row>
    <row r="37" ht="60" customHeight="1">
      <c r="B37" s="5" t="inlineStr"/>
      <c r="C37" s="48" t="n">
        <v>2</v>
      </c>
      <c r="D37" s="6" t="inlineStr"/>
      <c r="E37" s="6" t="inlineStr"/>
      <c r="F37" s="6" t="inlineStr"/>
      <c r="G37" s="6" t="inlineStr"/>
      <c r="H37" s="6" t="inlineStr"/>
      <c r="I37" s="6" t="inlineStr"/>
      <c r="J37" s="6" t="inlineStr"/>
      <c r="K37" s="6" t="inlineStr"/>
      <c r="L37" s="6" t="inlineStr"/>
      <c r="M37" s="6" t="inlineStr"/>
      <c r="N37" s="6" t="inlineStr"/>
    </row>
    <row r="38" ht="60" customHeight="1">
      <c r="B38" s="5" t="inlineStr"/>
      <c r="C38" s="48" t="n">
        <v>3</v>
      </c>
      <c r="D38" s="6" t="inlineStr"/>
      <c r="E38" s="6" t="inlineStr"/>
      <c r="F38" s="6" t="inlineStr"/>
      <c r="G38" s="6" t="inlineStr"/>
      <c r="H38" s="6" t="inlineStr"/>
      <c r="I38" s="6" t="inlineStr"/>
      <c r="J38" s="6" t="inlineStr"/>
      <c r="K38" s="6" t="inlineStr"/>
      <c r="L38" s="6" t="inlineStr"/>
      <c r="M38" s="6" t="inlineStr"/>
      <c r="N38" s="6" t="inlineStr"/>
    </row>
    <row r="39" ht="60" customHeight="1">
      <c r="B39" s="5" t="inlineStr">
        <is>
          <t>Chancellery Education</t>
        </is>
      </c>
      <c r="C39" s="48" t="n">
        <v>1</v>
      </c>
      <c r="D39" s="6" t="inlineStr"/>
      <c r="E39" s="6" t="inlineStr"/>
      <c r="F39" s="6" t="inlineStr"/>
      <c r="G39" s="6" t="inlineStr"/>
      <c r="H39" s="6" t="inlineStr"/>
      <c r="I39" s="6" t="inlineStr"/>
      <c r="J39" s="6" t="inlineStr"/>
      <c r="K39" s="6" t="inlineStr"/>
      <c r="L39" s="6" t="inlineStr"/>
      <c r="M39" s="6" t="inlineStr"/>
      <c r="N39" s="6" t="inlineStr"/>
    </row>
    <row r="40" ht="60" customHeight="1">
      <c r="B40" s="5" t="inlineStr"/>
      <c r="C40" s="48" t="n">
        <v>2</v>
      </c>
      <c r="D40" s="6" t="inlineStr"/>
      <c r="E40" s="6" t="inlineStr"/>
      <c r="F40" s="6" t="inlineStr"/>
      <c r="G40" s="6" t="inlineStr"/>
      <c r="H40" s="6" t="inlineStr"/>
      <c r="I40" s="6" t="inlineStr"/>
      <c r="J40" s="6" t="inlineStr"/>
      <c r="K40" s="6" t="inlineStr"/>
      <c r="L40" s="6" t="inlineStr"/>
      <c r="M40" s="6" t="inlineStr"/>
      <c r="N40" s="6" t="inlineStr"/>
    </row>
    <row r="41" ht="60" customHeight="1">
      <c r="B41" s="5" t="inlineStr"/>
      <c r="C41" s="48" t="n">
        <v>3</v>
      </c>
      <c r="D41" s="6" t="inlineStr"/>
      <c r="E41" s="6" t="inlineStr"/>
      <c r="F41" s="6" t="inlineStr"/>
      <c r="G41" s="6" t="inlineStr"/>
      <c r="H41" s="6" t="inlineStr"/>
      <c r="I41" s="6" t="inlineStr"/>
      <c r="J41" s="6" t="inlineStr"/>
      <c r="K41" s="6" t="inlineStr"/>
      <c r="L41" s="6" t="inlineStr"/>
      <c r="M41" s="6" t="inlineStr"/>
      <c r="N41" s="6" t="inlineStr"/>
    </row>
    <row r="42" ht="60" customHeight="1">
      <c r="B42" s="5" t="inlineStr">
        <is>
          <t>Student and Scholarly Services (SaSS)</t>
        </is>
      </c>
      <c r="C42" s="48" t="n">
        <v>1</v>
      </c>
      <c r="D42" s="6" t="inlineStr"/>
      <c r="E42" s="6" t="inlineStr"/>
      <c r="F42" s="6" t="inlineStr"/>
      <c r="G42" s="6" t="inlineStr"/>
      <c r="H42" s="6" t="inlineStr"/>
      <c r="I42" s="6" t="inlineStr"/>
      <c r="J42" s="6" t="inlineStr"/>
      <c r="K42" s="6" t="inlineStr"/>
      <c r="L42" s="6" t="inlineStr"/>
      <c r="M42" s="6" t="inlineStr"/>
      <c r="N42" s="6" t="inlineStr"/>
    </row>
    <row r="43" ht="60" customHeight="1">
      <c r="B43" s="5" t="inlineStr"/>
      <c r="C43" s="48" t="n">
        <v>2</v>
      </c>
      <c r="D43" s="6" t="inlineStr"/>
      <c r="E43" s="6" t="inlineStr"/>
      <c r="F43" s="6" t="inlineStr"/>
      <c r="G43" s="6" t="inlineStr"/>
      <c r="H43" s="6" t="inlineStr"/>
      <c r="I43" s="6" t="inlineStr"/>
      <c r="J43" s="6" t="inlineStr"/>
      <c r="K43" s="6" t="inlineStr"/>
      <c r="L43" s="6" t="inlineStr"/>
      <c r="M43" s="6" t="inlineStr"/>
      <c r="N43" s="6" t="inlineStr"/>
    </row>
    <row r="44" ht="60" customHeight="1">
      <c r="B44" s="5" t="inlineStr"/>
      <c r="C44" s="48" t="n">
        <v>3</v>
      </c>
      <c r="D44" s="6" t="inlineStr"/>
      <c r="E44" s="6" t="inlineStr"/>
      <c r="F44" s="6" t="inlineStr"/>
      <c r="G44" s="6" t="inlineStr"/>
      <c r="H44" s="6" t="inlineStr"/>
      <c r="I44" s="6" t="inlineStr"/>
      <c r="J44" s="6" t="inlineStr"/>
      <c r="K44" s="6" t="inlineStr"/>
      <c r="L44" s="6" t="inlineStr"/>
      <c r="M44" s="6" t="inlineStr"/>
      <c r="N44" s="6" t="inlineStr"/>
    </row>
    <row r="45" ht="60" customHeight="1">
      <c r="B45" s="5" t="inlineStr">
        <is>
          <t>Chancellery Indigenous</t>
        </is>
      </c>
      <c r="C45" s="48" t="n">
        <v>1</v>
      </c>
      <c r="D45" s="6" t="inlineStr"/>
      <c r="E45" s="6" t="inlineStr"/>
      <c r="F45" s="6" t="inlineStr"/>
      <c r="G45" s="6" t="inlineStr"/>
      <c r="H45" s="6" t="inlineStr"/>
      <c r="I45" s="6" t="inlineStr"/>
      <c r="J45" s="6" t="inlineStr"/>
      <c r="K45" s="6" t="inlineStr"/>
      <c r="L45" s="6" t="inlineStr"/>
      <c r="M45" s="6" t="inlineStr"/>
      <c r="N45" s="6" t="inlineStr"/>
    </row>
    <row r="46" ht="60" customHeight="1">
      <c r="B46" s="5" t="inlineStr"/>
      <c r="C46" s="48" t="n">
        <v>2</v>
      </c>
      <c r="D46" s="6" t="inlineStr"/>
      <c r="E46" s="6" t="inlineStr"/>
      <c r="F46" s="6" t="inlineStr"/>
      <c r="G46" s="6" t="inlineStr"/>
      <c r="H46" s="6" t="inlineStr"/>
      <c r="I46" s="6" t="inlineStr"/>
      <c r="J46" s="6" t="inlineStr"/>
      <c r="K46" s="6" t="inlineStr"/>
      <c r="L46" s="6" t="inlineStr"/>
      <c r="M46" s="6" t="inlineStr"/>
      <c r="N46" s="6" t="inlineStr"/>
    </row>
    <row r="47" ht="60" customHeight="1">
      <c r="B47" s="5" t="inlineStr"/>
      <c r="C47" s="48" t="n">
        <v>3</v>
      </c>
      <c r="D47" s="6" t="inlineStr"/>
      <c r="E47" s="6" t="inlineStr"/>
      <c r="F47" s="6" t="inlineStr"/>
      <c r="G47" s="6" t="inlineStr"/>
      <c r="H47" s="6" t="inlineStr"/>
      <c r="I47" s="6" t="inlineStr"/>
      <c r="J47" s="6" t="inlineStr"/>
      <c r="K47" s="6" t="inlineStr"/>
      <c r="L47" s="6" t="inlineStr"/>
      <c r="M47" s="6" t="inlineStr"/>
      <c r="N47" s="6" t="inlineStr"/>
    </row>
    <row r="48" ht="60" customHeight="1">
      <c r="B48" s="5" t="inlineStr">
        <is>
          <t>Legal and Risk</t>
        </is>
      </c>
      <c r="C48" s="48" t="n">
        <v>1</v>
      </c>
      <c r="D48" s="6" t="inlineStr"/>
      <c r="E48" s="6" t="inlineStr"/>
      <c r="F48" s="6" t="inlineStr"/>
      <c r="G48" s="6" t="inlineStr"/>
      <c r="H48" s="6" t="inlineStr"/>
      <c r="I48" s="6" t="inlineStr"/>
      <c r="J48" s="6" t="inlineStr"/>
      <c r="K48" s="6" t="inlineStr"/>
      <c r="L48" s="6" t="inlineStr"/>
      <c r="M48" s="6" t="inlineStr"/>
      <c r="N48" s="6" t="inlineStr"/>
    </row>
    <row r="49" ht="60" customHeight="1">
      <c r="B49" s="5" t="inlineStr"/>
      <c r="C49" s="48" t="n">
        <v>2</v>
      </c>
      <c r="D49" s="6" t="inlineStr"/>
      <c r="E49" s="6" t="inlineStr"/>
      <c r="F49" s="6" t="inlineStr"/>
      <c r="G49" s="6" t="inlineStr"/>
      <c r="H49" s="6" t="inlineStr"/>
      <c r="I49" s="6" t="inlineStr"/>
      <c r="J49" s="6" t="inlineStr"/>
      <c r="K49" s="6" t="inlineStr"/>
      <c r="L49" s="6" t="inlineStr"/>
      <c r="M49" s="6" t="inlineStr"/>
      <c r="N49" s="6" t="inlineStr"/>
    </row>
    <row r="50" ht="60" customHeight="1">
      <c r="B50" s="5" t="inlineStr"/>
      <c r="C50" s="48" t="n">
        <v>3</v>
      </c>
      <c r="D50" s="6" t="inlineStr"/>
      <c r="E50" s="6" t="inlineStr"/>
      <c r="F50" s="6" t="inlineStr"/>
      <c r="G50" s="6" t="inlineStr"/>
      <c r="H50" s="6" t="inlineStr"/>
      <c r="I50" s="6" t="inlineStr"/>
      <c r="J50" s="6" t="inlineStr"/>
      <c r="K50" s="6" t="inlineStr"/>
      <c r="L50" s="6" t="inlineStr"/>
      <c r="M50" s="6" t="inlineStr"/>
      <c r="N50" s="6" t="inlineStr"/>
    </row>
    <row r="51"/>
    <row r="52"/>
    <row r="53" ht="27" customHeight="1">
      <c r="B53" s="29" t="inlineStr">
        <is>
          <t>Stories by priority area (SST primary)</t>
        </is>
      </c>
    </row>
    <row r="54" ht="42" customHeight="1">
      <c r="B54" s="4" t="inlineStr">
        <is>
          <t>Priority area</t>
        </is>
      </c>
      <c r="C54" s="4" t="inlineStr">
        <is>
          <t>Stories</t>
        </is>
      </c>
      <c r="D54" s="4" t="inlineStr">
        <is>
          <t>Shortlisted</t>
        </is>
      </c>
    </row>
    <row r="55" ht="22" customHeight="1">
      <c r="B55" s="6" t="inlineStr">
        <is>
          <t>Exceptional education</t>
        </is>
      </c>
      <c r="C55" s="6">
        <f>COUNTIF($I$6:$I$50,B55)</f>
        <v/>
      </c>
      <c r="D55" s="6">
        <f>COUNTIFS($I$6:$I$50,B55,$L$6:$L$50,"Shortlist")</f>
        <v/>
      </c>
    </row>
    <row r="56" ht="22" customHeight="1">
      <c r="B56" s="6" t="inlineStr">
        <is>
          <t>Transformational research</t>
        </is>
      </c>
      <c r="C56" s="6">
        <f>COUNTIF($I$6:$I$50,B56)</f>
        <v/>
      </c>
      <c r="D56" s="6">
        <f>COUNTIFS($I$6:$I$50,B56,$L$6:$L$50,"Shortlist")</f>
        <v/>
      </c>
    </row>
    <row r="57" ht="22" customHeight="1">
      <c r="B57" s="6" t="inlineStr">
        <is>
          <t>Climate leadership</t>
        </is>
      </c>
      <c r="C57" s="6">
        <f>COUNTIF($I$6:$I$50,B57)</f>
        <v/>
      </c>
      <c r="D57" s="6">
        <f>COUNTIFS($I$6:$I$50,B57,$L$6:$L$50,"Shortlist")</f>
        <v/>
      </c>
    </row>
    <row r="58" ht="22" customHeight="1">
      <c r="B58" s="6" t="inlineStr">
        <is>
          <t>Nature and biodiversity</t>
        </is>
      </c>
      <c r="C58" s="6">
        <f>COUNTIF($I$6:$I$50,B58)</f>
        <v/>
      </c>
      <c r="D58" s="6">
        <f>COUNTIFS($I$6:$I$50,B58,$L$6:$L$50,"Shortlist")</f>
        <v/>
      </c>
    </row>
    <row r="59" ht="22" customHeight="1">
      <c r="B59" s="6" t="inlineStr">
        <is>
          <t>Responsible AI</t>
        </is>
      </c>
      <c r="C59" s="6">
        <f>COUNTIF($I$6:$I$50,B59)</f>
        <v/>
      </c>
      <c r="D59" s="6">
        <f>COUNTIFS($I$6:$I$50,B59,$L$6:$L$50,"Shortlist")</f>
        <v/>
      </c>
    </row>
    <row r="60" ht="22" customHeight="1">
      <c r="B60" s="6" t="inlineStr">
        <is>
          <t>Estate and infrastructure</t>
        </is>
      </c>
      <c r="C60" s="6">
        <f>COUNTIF($I$6:$I$50,B60)</f>
        <v/>
      </c>
      <c r="D60" s="6">
        <f>COUNTIFS($I$6:$I$50,B60,$L$6:$L$50,"Shortlist")</f>
        <v/>
      </c>
    </row>
    <row r="61" ht="22" customHeight="1">
      <c r="B61" s="6" t="inlineStr">
        <is>
          <t>Circular economy</t>
        </is>
      </c>
      <c r="C61" s="6">
        <f>COUNTIF($I$6:$I$50,B61)</f>
        <v/>
      </c>
      <c r="D61" s="6">
        <f>COUNTIFS($I$6:$I$50,B61,$L$6:$L$50,"Shortlist")</f>
        <v/>
      </c>
    </row>
    <row r="62" ht="22" customHeight="1">
      <c r="B62" s="6" t="inlineStr">
        <is>
          <t>Responsible procurement</t>
        </is>
      </c>
      <c r="C62" s="6">
        <f>COUNTIF($I$6:$I$50,B62)</f>
        <v/>
      </c>
      <c r="D62" s="6">
        <f>COUNTIFS($I$6:$I$50,B62,$L$6:$L$50,"Shortlist")</f>
        <v/>
      </c>
    </row>
    <row r="63" ht="22" customHeight="1">
      <c r="B63" s="6" t="inlineStr">
        <is>
          <t>Modern slavery and human rights</t>
        </is>
      </c>
      <c r="C63" s="6">
        <f>COUNTIF($I$6:$I$50,B63)</f>
        <v/>
      </c>
      <c r="D63" s="6">
        <f>COUNTIFS($I$6:$I$50,B63,$L$6:$L$50,"Shortlist")</f>
        <v/>
      </c>
    </row>
    <row r="64" ht="22" customHeight="1">
      <c r="B64" s="6" t="inlineStr">
        <is>
          <t>Responsible investments</t>
        </is>
      </c>
      <c r="C64" s="6">
        <f>COUNTIF($I$6:$I$50,B64)</f>
        <v/>
      </c>
      <c r="D64" s="6">
        <f>COUNTIFS($I$6:$I$50,B64,$L$6:$L$50,"Shortlist")</f>
        <v/>
      </c>
    </row>
    <row r="65" ht="22" customHeight="1">
      <c r="B65" s="6" t="inlineStr">
        <is>
          <t>Enablers</t>
        </is>
      </c>
      <c r="C65" s="6">
        <f>COUNTIF($I$6:$I$50,B65)</f>
        <v/>
      </c>
      <c r="D65" s="6">
        <f>COUNTIFS($I$6:$I$50,B65,$L$6:$L$50,"Shortlist")</f>
        <v/>
      </c>
    </row>
    <row r="66" ht="22" customHeight="1">
      <c r="B66" s="6" t="inlineStr">
        <is>
          <t>Not priority-area specific</t>
        </is>
      </c>
      <c r="C66" s="6">
        <f>COUNTIF($I$6:$I$50,B66)</f>
        <v/>
      </c>
      <c r="D66" s="6">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CDEP and CDSS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CDSS contact</t>
        </is>
      </c>
      <c r="I15" s="6" t="inlineStr">
        <is>
          <t>Open</t>
        </is>
      </c>
    </row>
    <row r="16" ht="39" customHeight="1">
      <c r="B16" s="6" t="n">
        <v>12</v>
      </c>
      <c r="C16" s="42" t="n">
        <v>46300</v>
      </c>
      <c r="D16" s="6" t="inlineStr">
        <is>
          <t>20 indicators are requested from each faculty (SR25 sent 10). Monitor burden in pilot.</t>
        </is>
      </c>
      <c r="E16" s="6" t="inlineStr"/>
      <c r="F16" s="6" t="inlineStr">
        <is>
          <t>Faculties</t>
        </is>
      </c>
      <c r="G16" s="6" t="inlineStr">
        <is>
          <t>TBC</t>
        </is>
      </c>
      <c r="H16" s="6" t="inlineStr">
        <is>
          <t>Review after pilot</t>
        </is>
      </c>
      <c r="I16" s="6" t="inlineStr">
        <is>
          <t>Open</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2026-10-07T03:55:56Z</dcterms:created>
  <dcterms:modified xmlns:dcterms="http://purl.org/dc/terms/" xmlns:xsi="http://www.w3.org/2001/XMLSchema-instance" xsi:type="dcterms:W3CDTF">2026-10-07T03:56:15Z</dcterms:modified>
  <cp:version>v0.18</cp:version>
</cp:coreProperties>
</file>