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L&amp;R" sheetId="14" state="visible" r:id="rId14"/>
    <sheet xmlns:r="http://schemas.openxmlformats.org/officeDocument/2006/relationships" name="A1. Data scoring" sheetId="15" state="visible" r:id="rId15"/>
    <sheet xmlns:r="http://schemas.openxmlformats.org/officeDocument/2006/relationships" name="0.5 Target Check" sheetId="16" state="visible" r:id="rId16"/>
    <sheet xmlns:r="http://schemas.openxmlformats.org/officeDocument/2006/relationships" name="T1. Manual target review" sheetId="17" state="visible" r:id="rId17"/>
    <sheet xmlns:r="http://schemas.openxmlformats.org/officeDocument/2006/relationships" name="T2. Single target review" sheetId="18" state="visible" r:id="rId18"/>
    <sheet xmlns:r="http://schemas.openxmlformats.org/officeDocument/2006/relationships" name="Request wording log" sheetId="19" state="visible" r:id="rId19"/>
    <sheet xmlns:r="http://schemas.openxmlformats.org/officeDocument/2006/relationships" name="Highlighted stories" sheetId="20" state="visible" r:id="rId20"/>
    <sheet xmlns:r="http://schemas.openxmlformats.org/officeDocument/2006/relationships" name="Evidence register" sheetId="21" state="visible" r:id="rId21"/>
    <sheet xmlns:r="http://schemas.openxmlformats.org/officeDocument/2006/relationships" name="Issues log" sheetId="22" state="visible" r:id="rId22"/>
    <sheet xmlns:r="http://schemas.openxmlformats.org/officeDocument/2006/relationships" name="P0 Project overview" sheetId="23" state="visible" r:id="rId23"/>
    <sheet xmlns:r="http://schemas.openxmlformats.org/officeDocument/2006/relationships" name="P1 Project plan" sheetId="24" state="visible" r:id="rId24"/>
    <sheet xmlns:r="http://schemas.openxmlformats.org/officeDocument/2006/relationships" name="P2 Timeline &amp; RASCI" sheetId="25" state="visible" r:id="rId25"/>
    <sheet xmlns:r="http://schemas.openxmlformats.org/officeDocument/2006/relationships" name="P3 To do – comms+web" sheetId="26" state="visible" r:id="rId26"/>
    <sheet xmlns:r="http://schemas.openxmlformats.org/officeDocument/2006/relationships" name="P4 Content checklist" sheetId="27" state="visible" r:id="rId27"/>
    <sheet xmlns:r="http://schemas.openxmlformats.org/officeDocument/2006/relationships" name="P5 SR26 page index" sheetId="28" state="visible" r:id="rId28"/>
    <sheet xmlns:r="http://schemas.openxmlformats.org/officeDocument/2006/relationships" name="Lists" sheetId="29" state="hidden" r:id="rId29"/>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matrix'!$A$6:$W$87</definedName>
    <definedName name="_xlnm._FilterDatabase" localSheetId="14" hidden="1">'A1. Data scoring'!$B$10:$AF$238</definedName>
    <definedName name="_xlnm._FilterDatabase" localSheetId="16" hidden="1">'T1. Manual target review'!$B$7:$O$312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002060"/>
      <sz val="13"/>
    </font>
    <font>
      <name val="Aptos"/>
      <b val="1"/>
      <color rgb="00FFFFFF"/>
      <sz val="8"/>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
      <patternFill patternType="solid">
        <fgColor rgb="00156082"/>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6" borderId="0" applyAlignment="1" pivotButton="0" quotePrefix="0" xfId="0">
      <alignment horizontal="center" vertical="center" wrapText="1"/>
    </xf>
    <xf numFmtId="0" fontId="22" fillId="16"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6" borderId="5"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6" fillId="0" borderId="0" pivotButton="0" quotePrefix="0" xfId="0"/>
    <xf numFmtId="9" fontId="26" fillId="0" borderId="0" pivotButton="0" quotePrefix="0" xfId="0"/>
    <xf numFmtId="0" fontId="8" fillId="10" borderId="1" applyAlignment="1" pivotButton="0" quotePrefix="0" xfId="0">
      <alignment horizontal="center" vertical="center" wrapText="1"/>
    </xf>
    <xf numFmtId="0" fontId="4" fillId="2" borderId="1" applyAlignment="1" pivotButton="0" quotePrefix="0" xfId="0">
      <alignment horizontal="center" vertical="center" wrapText="1"/>
    </xf>
    <xf numFmtId="16" fontId="27" fillId="2" borderId="0" applyAlignment="1" pivotButton="0" quotePrefix="0" xfId="0">
      <alignment horizontal="center" textRotation="90"/>
    </xf>
    <xf numFmtId="0" fontId="4" fillId="17" borderId="0" pivotButton="0" quotePrefix="0" xfId="0"/>
    <xf numFmtId="0" fontId="0" fillId="17" borderId="0" pivotButton="0" quotePrefix="0" xfId="0"/>
  </cellXfs>
  <cellStyles count="1">
    <cellStyle name="Normal" xfId="0" builtinId="0" hidden="0"/>
  </cellStyles>
  <dxfs count="10">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
      <font>
        <color rgb="00FFC000"/>
      </font>
      <fill>
        <patternFill patternType="solid">
          <fgColor rgb="00FFC000"/>
        </patternFill>
      </fill>
    </dxf>
    <dxf>
      <fill>
        <patternFill patternType="solid">
          <fgColor rgb="00C0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v0.4 – pilot with 4 faculties (ABP, Arts, FBE, Science) and 6 central units (CI&amp;S, CFOG, ESG, CIOG, MRE, Legal &amp; Risk).</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45" customHeight="1">
      <c r="B7" s="4" t="inlineStr">
        <is>
          <t>Key dates (TBC)</t>
        </is>
      </c>
      <c r="C7" s="5" t="inlineStr">
        <is>
          <t>Requests issued: Nov–Dec 2026 | Highlighted stories due: Friday 4 December 2026 (TBC) | Reporting template due: Friday 15 January 2027 (TBC) | Support meetings: January 2027 | Sustainability Reporting Review Group: ~15 Feb 2027 | VCAG: 16 Feb &amp; ~2 Mar 2027</t>
        </is>
      </c>
    </row>
    <row r="8" ht="43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P0–P5 – project tabs: overview &amp; SR25 lessons, plan on a page, timeline/RASCI Gantt, comms+web to-do, content checklist, page index</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13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Faculties (pilot), CI&amp;S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Faculties (pilot), CI&amp;S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Faculties (pilot)</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Faculties (pilot)</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Faculties (pilot)</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Faculties (pilot), CI&amp;S</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Faculties (pilot)</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Faculties (pilot)</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Faculties (pilot), CI&amp;S</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Faculties (pilot)</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Faculties (pilot), 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SST</t>
        </is>
      </c>
      <c r="K6" s="8" t="inlineStr">
        <is>
          <t>TBC – Chancellery Education / Student &amp; Scholarly Services (no SR26 request issued)</t>
        </is>
      </c>
      <c r="L6" s="8" t="inlineStr"/>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SST</t>
        </is>
      </c>
      <c r="K7" s="8" t="inlineStr">
        <is>
          <t>TBC – Chancellery Education / Student &amp; Scholarly Services (no SR26 request issued)</t>
        </is>
      </c>
      <c r="L7" s="8" t="inlineStr"/>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Jan, final 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Jan, final 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Jan, final 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Jan, final 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Jan, final 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Jan, final 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Jan, final 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TBC</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TBC</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TBC</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TBC</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TBC</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L&amp;R</t>
        </is>
      </c>
      <c r="C16" s="8" t="inlineStr">
        <is>
          <t>Legal and Risk</t>
        </is>
      </c>
      <c r="D16" s="8" t="inlineStr">
        <is>
          <t>Legal and Risk</t>
        </is>
      </c>
      <c r="E16" s="8" t="inlineStr">
        <is>
          <t>Legal &amp; Risk – Risk &amp; resilience</t>
        </is>
      </c>
      <c r="F16" s="8" t="inlineStr">
        <is>
          <t>TBC</t>
        </is>
      </c>
      <c r="G16" s="8" t="inlineStr"/>
    </row>
    <row r="17">
      <c r="B17" s="8" t="inlineStr">
        <is>
          <t>Chancellery</t>
        </is>
      </c>
      <c r="C17" s="8" t="inlineStr">
        <is>
          <t>Advancement, Communications &amp; Marketing; Global, Culture &amp; Engagement; Education (incl. SASS); Indigenous</t>
        </is>
      </c>
      <c r="D17" s="8" t="inlineStr">
        <is>
          <t>Chancellery tab</t>
        </is>
      </c>
      <c r="E17" s="8" t="inlineStr">
        <is>
          <t>—</t>
        </is>
      </c>
      <c r="F17" s="8" t="inlineStr">
        <is>
          <t>TBC</t>
        </is>
      </c>
      <c r="G17" s="8" t="inlineStr">
        <is>
          <t>No SR26 qualitative indicator currently names these units. SASS (Melbourne Plus) referenced for EE1(c). Confirm whether requests are needed.</t>
        </is>
      </c>
    </row>
    <row r="18">
      <c r="B18" s="8" t="inlineStr">
        <is>
          <t>TBC</t>
        </is>
      </c>
      <c r="C18" s="8" t="inlineStr">
        <is>
          <t>CGOP / CDEP / CDSS</t>
        </is>
      </c>
      <c r="D18" s="8" t="inlineStr">
        <is>
          <t>Not in SR25 master</t>
        </is>
      </c>
      <c r="E18" s="8" t="inlineStr">
        <is>
          <t>—</t>
        </is>
      </c>
      <c r="F18" s="8" t="inlineStr">
        <is>
          <t>TBC</t>
        </is>
      </c>
      <c r="G18" s="8" t="inlineStr">
        <is>
          <t>Structure changes TBC – confirm before requests are issued.</t>
        </is>
      </c>
    </row>
    <row r="21">
      <c r="B21"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W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3" customWidth="1" min="9" max="9"/>
    <col outlineLevel="1" width="13" customWidth="1" min="10" max="10"/>
    <col outlineLevel="1" width="13" customWidth="1" min="11" max="11"/>
    <col outlineLevel="1" width="13" customWidth="1" min="12" max="12"/>
    <col outlineLevel="1" width="13" customWidth="1" min="13" max="13"/>
    <col width="13"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c r="H3" t="inlineStr">
        <is>
          <t>SST contact (SR25 – confirm) &gt;&gt;</t>
        </is>
      </c>
      <c r="I3" s="22" t="inlineStr">
        <is>
          <t>Director</t>
        </is>
      </c>
      <c r="J3" s="22" t="inlineStr">
        <is>
          <t>Gerard</t>
        </is>
      </c>
      <c r="K3" s="22" t="inlineStr">
        <is>
          <t>Rose</t>
        </is>
      </c>
      <c r="L3" s="22" t="inlineStr">
        <is>
          <t>Katie</t>
        </is>
      </c>
      <c r="M3" s="22" t="inlineStr">
        <is>
          <t>Katie</t>
        </is>
      </c>
      <c r="N3" s="22" t="inlineStr">
        <is>
          <t>Director</t>
        </is>
      </c>
      <c r="O3" s="22" t="inlineStr">
        <is>
          <t>Gerard and Davina</t>
        </is>
      </c>
      <c r="P3" s="22" t="inlineStr">
        <is>
          <t>Director</t>
        </is>
      </c>
      <c r="Q3" s="22" t="inlineStr">
        <is>
          <t>Chris</t>
        </is>
      </c>
      <c r="R3" s="22" t="inlineStr">
        <is>
          <t>Chris</t>
        </is>
      </c>
      <c r="S3" s="22" t="inlineStr">
        <is>
          <t>All</t>
        </is>
      </c>
      <c r="T3" s="22" t="inlineStr">
        <is>
          <t>TBC</t>
        </is>
      </c>
      <c r="U3" s="22" t="inlineStr">
        <is>
          <t>TBC</t>
        </is>
      </c>
      <c r="V3" s="22" t="inlineStr">
        <is>
          <t>Director</t>
        </is>
      </c>
      <c r="W3" s="22" t="inlineStr">
        <is>
          <t>All</t>
        </is>
      </c>
    </row>
    <row r="4">
      <c r="H4" t="inlineStr">
        <is>
          <t>Portfolio / Faculty &gt;&gt;</t>
        </is>
      </c>
      <c r="I4" s="22" t="inlineStr">
        <is>
          <t>Faculty (consolidated)</t>
        </is>
      </c>
      <c r="J4" s="22" t="inlineStr">
        <is>
          <t>Faculty</t>
        </is>
      </c>
      <c r="K4" s="22" t="inlineStr">
        <is>
          <t>Faculty</t>
        </is>
      </c>
      <c r="L4" s="22" t="inlineStr">
        <is>
          <t>Faculty</t>
        </is>
      </c>
      <c r="M4" s="22" t="inlineStr">
        <is>
          <t>Faculty</t>
        </is>
      </c>
      <c r="N4" s="22" t="inlineStr">
        <is>
          <t>COO portfolio (consolidated)</t>
        </is>
      </c>
      <c r="O4" s="22" t="inlineStr">
        <is>
          <t>COO portfolio</t>
        </is>
      </c>
      <c r="P4" s="22" t="inlineStr">
        <is>
          <t>COO portfolio</t>
        </is>
      </c>
      <c r="Q4" s="22" t="inlineStr">
        <is>
          <t>COO portfolio</t>
        </is>
      </c>
      <c r="R4" s="22" t="inlineStr">
        <is>
          <t>COO portfolio</t>
        </is>
      </c>
      <c r="S4" s="22" t="inlineStr">
        <is>
          <t>COO portfolio</t>
        </is>
      </c>
      <c r="T4" s="22" t="inlineStr">
        <is>
          <t>COO portfolio</t>
        </is>
      </c>
      <c r="U4" s="22" t="inlineStr">
        <is>
          <t>COO portfolio</t>
        </is>
      </c>
      <c r="V4" s="22" t="inlineStr">
        <is>
          <t>Chancellery</t>
        </is>
      </c>
      <c r="W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 pilot (all)</t>
        </is>
      </c>
      <c r="J6" s="25" t="inlineStr">
        <is>
          <t>ABP – Architecture, Building and Planning</t>
        </is>
      </c>
      <c r="K6" s="25" t="inlineStr">
        <is>
          <t>ARTS – Arts</t>
        </is>
      </c>
      <c r="L6" s="25" t="inlineStr">
        <is>
          <t>FBE – Business and Economics</t>
        </is>
      </c>
      <c r="M6" s="25" t="inlineStr">
        <is>
          <t>SCI – Science</t>
        </is>
      </c>
      <c r="N6" s="24" t="inlineStr">
        <is>
          <t>COO portfolio (all)</t>
        </is>
      </c>
      <c r="O6" s="25" t="inlineStr">
        <is>
          <t>CI&amp;S – Estate Planning &amp; Development</t>
        </is>
      </c>
      <c r="P6" s="25" t="inlineStr">
        <is>
          <t>CI&amp;S – Sustainability Strategy</t>
        </is>
      </c>
      <c r="Q6" s="25" t="inlineStr">
        <is>
          <t>CFOG – Procurement</t>
        </is>
      </c>
      <c r="R6" s="25" t="inlineStr">
        <is>
          <t>CFOG – Treasury &amp; Investments</t>
        </is>
      </c>
      <c r="S6" s="25" t="inlineStr">
        <is>
          <t>ESG – Campus Operations &amp; Sustainability Delivery</t>
        </is>
      </c>
      <c r="T6" s="25" t="inlineStr">
        <is>
          <t>CIOG – Responsible AI &amp; digital</t>
        </is>
      </c>
      <c r="U6" s="25" t="inlineStr">
        <is>
          <t>Legal &amp; Risk – Risk &amp; resilience</t>
        </is>
      </c>
      <c r="V6" s="25" t="inlineStr">
        <is>
          <t>MRE – Melbourne Research and Enterprise</t>
        </is>
      </c>
      <c r="W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A and R</t>
        </is>
      </c>
      <c r="J10" s="30" t="inlineStr">
        <is>
          <t>R</t>
        </is>
      </c>
      <c r="K10" s="30" t="inlineStr">
        <is>
          <t>R</t>
        </is>
      </c>
      <c r="L10" s="30" t="inlineStr">
        <is>
          <t>R</t>
        </is>
      </c>
      <c r="M10" s="30" t="inlineStr">
        <is>
          <t>R</t>
        </is>
      </c>
      <c r="N10" s="30" t="inlineStr">
        <is>
          <t>A and R</t>
        </is>
      </c>
      <c r="O10" s="30" t="n"/>
      <c r="P10" s="30" t="inlineStr">
        <is>
          <t>R</t>
        </is>
      </c>
      <c r="Q10" s="30" t="n"/>
      <c r="R10" s="30" t="n"/>
      <c r="S10" s="30" t="n"/>
      <c r="T10" s="30" t="n"/>
      <c r="U10" s="30" t="n"/>
      <c r="V10" s="30" t="n"/>
      <c r="W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A and R</t>
        </is>
      </c>
      <c r="J11" s="30" t="inlineStr">
        <is>
          <t>R</t>
        </is>
      </c>
      <c r="K11" s="30" t="inlineStr">
        <is>
          <t>R</t>
        </is>
      </c>
      <c r="L11" s="30" t="inlineStr">
        <is>
          <t>R</t>
        </is>
      </c>
      <c r="M11" s="30" t="inlineStr">
        <is>
          <t>R</t>
        </is>
      </c>
      <c r="N11" s="30" t="inlineStr">
        <is>
          <t>A and R</t>
        </is>
      </c>
      <c r="O11" s="30" t="n"/>
      <c r="P11" s="30" t="inlineStr">
        <is>
          <t>R</t>
        </is>
      </c>
      <c r="Q11" s="30" t="n"/>
      <c r="R11" s="30" t="n"/>
      <c r="S11" s="30" t="n"/>
      <c r="T11" s="30" t="n"/>
      <c r="U11" s="30" t="n"/>
      <c r="V11" s="30" t="n"/>
      <c r="W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inlineStr">
        <is>
          <t>A and R</t>
        </is>
      </c>
      <c r="J12" s="30" t="inlineStr">
        <is>
          <t>R</t>
        </is>
      </c>
      <c r="K12" s="30" t="inlineStr">
        <is>
          <t>R</t>
        </is>
      </c>
      <c r="L12" s="30" t="inlineStr">
        <is>
          <t>R</t>
        </is>
      </c>
      <c r="M12" s="30" t="inlineStr">
        <is>
          <t>R</t>
        </is>
      </c>
      <c r="N12" s="30" t="inlineStr">
        <is>
          <t>A and R</t>
        </is>
      </c>
      <c r="O12" s="30" t="n"/>
      <c r="P12" s="30" t="inlineStr">
        <is>
          <t>R</t>
        </is>
      </c>
      <c r="Q12" s="30" t="n"/>
      <c r="R12" s="30" t="n"/>
      <c r="S12" s="30" t="n"/>
      <c r="T12" s="30" t="n"/>
      <c r="U12" s="30" t="n"/>
      <c r="V12" s="30" t="n"/>
      <c r="W12" s="30" t="inlineStr">
        <is>
          <t>R (compile)</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inlineStr">
        <is>
          <t>A and R</t>
        </is>
      </c>
      <c r="J13" s="30" t="inlineStr">
        <is>
          <t>R</t>
        </is>
      </c>
      <c r="K13" s="30" t="inlineStr">
        <is>
          <t>R</t>
        </is>
      </c>
      <c r="L13" s="30" t="inlineStr">
        <is>
          <t>R</t>
        </is>
      </c>
      <c r="M13" s="30" t="inlineStr">
        <is>
          <t>R</t>
        </is>
      </c>
      <c r="N13" s="30" t="inlineStr">
        <is>
          <t>A and R</t>
        </is>
      </c>
      <c r="O13" s="30" t="n"/>
      <c r="P13" s="30" t="inlineStr">
        <is>
          <t>R</t>
        </is>
      </c>
      <c r="Q13" s="30" t="n"/>
      <c r="R13" s="30" t="n"/>
      <c r="S13" s="30" t="n"/>
      <c r="T13" s="30" t="n"/>
      <c r="U13" s="30" t="n"/>
      <c r="V13" s="30" t="n"/>
      <c r="W13" s="30" t="inlineStr">
        <is>
          <t>R (compile)</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A and R</t>
        </is>
      </c>
      <c r="J16" s="30" t="inlineStr">
        <is>
          <t>R</t>
        </is>
      </c>
      <c r="K16" s="30" t="inlineStr">
        <is>
          <t>R</t>
        </is>
      </c>
      <c r="L16" s="30" t="inlineStr">
        <is>
          <t>R</t>
        </is>
      </c>
      <c r="M16" s="30" t="inlineStr">
        <is>
          <t>R</t>
        </is>
      </c>
      <c r="N16" s="30" t="inlineStr">
        <is>
          <t>A and R</t>
        </is>
      </c>
      <c r="O16" s="30" t="n"/>
      <c r="P16" s="30" t="inlineStr">
        <is>
          <t>R</t>
        </is>
      </c>
      <c r="Q16" s="30" t="n"/>
      <c r="R16" s="30" t="n"/>
      <c r="S16" s="30" t="n"/>
      <c r="T16" s="30" t="n"/>
      <c r="U16" s="30" t="n"/>
      <c r="V16" s="30" t="n"/>
      <c r="W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inlineStr">
        <is>
          <t>A and R</t>
        </is>
      </c>
      <c r="J17" s="30" t="inlineStr">
        <is>
          <t>R</t>
        </is>
      </c>
      <c r="K17" s="30" t="inlineStr">
        <is>
          <t>R</t>
        </is>
      </c>
      <c r="L17" s="30" t="inlineStr">
        <is>
          <t>R</t>
        </is>
      </c>
      <c r="M17" s="30" t="inlineStr">
        <is>
          <t>R</t>
        </is>
      </c>
      <c r="N17" s="30" t="n"/>
      <c r="O17" s="30" t="n"/>
      <c r="P17" s="30" t="n"/>
      <c r="Q17" s="30" t="n"/>
      <c r="R17" s="30" t="n"/>
      <c r="S17" s="30" t="n"/>
      <c r="T17" s="30" t="n"/>
      <c r="U17" s="30" t="n"/>
      <c r="V17" s="30" t="n"/>
      <c r="W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inlineStr">
        <is>
          <t>A and R</t>
        </is>
      </c>
      <c r="J18" s="30" t="inlineStr">
        <is>
          <t>R</t>
        </is>
      </c>
      <c r="K18" s="30" t="inlineStr">
        <is>
          <t>R</t>
        </is>
      </c>
      <c r="L18" s="30" t="inlineStr">
        <is>
          <t>R</t>
        </is>
      </c>
      <c r="M18" s="30" t="inlineStr">
        <is>
          <t>R</t>
        </is>
      </c>
      <c r="N18" s="30" t="n"/>
      <c r="O18" s="30" t="n"/>
      <c r="P18" s="30" t="n"/>
      <c r="Q18" s="30" t="n"/>
      <c r="R18" s="30" t="n"/>
      <c r="S18" s="30" t="n"/>
      <c r="T18" s="30" t="n"/>
      <c r="U18" s="30" t="n"/>
      <c r="V18" s="30" t="n"/>
      <c r="W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inlineStr">
        <is>
          <t>A and R</t>
        </is>
      </c>
      <c r="J19" s="30" t="inlineStr">
        <is>
          <t>R</t>
        </is>
      </c>
      <c r="K19" s="30" t="inlineStr">
        <is>
          <t>R</t>
        </is>
      </c>
      <c r="L19" s="30" t="inlineStr">
        <is>
          <t>R</t>
        </is>
      </c>
      <c r="M19" s="30" t="inlineStr">
        <is>
          <t>R</t>
        </is>
      </c>
      <c r="N19" s="30" t="n"/>
      <c r="O19" s="30" t="n"/>
      <c r="P19" s="30" t="n"/>
      <c r="Q19" s="30" t="n"/>
      <c r="R19" s="30" t="n"/>
      <c r="S19" s="30" t="n"/>
      <c r="T19" s="30" t="n"/>
      <c r="U19" s="30" t="n"/>
      <c r="V19" s="30" t="n"/>
      <c r="W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A and R</t>
        </is>
      </c>
      <c r="J21" s="30" t="inlineStr">
        <is>
          <t>R</t>
        </is>
      </c>
      <c r="K21" s="30" t="inlineStr">
        <is>
          <t>R</t>
        </is>
      </c>
      <c r="L21" s="30" t="inlineStr">
        <is>
          <t>R</t>
        </is>
      </c>
      <c r="M21" s="30" t="inlineStr">
        <is>
          <t>R</t>
        </is>
      </c>
      <c r="N21" s="30" t="n"/>
      <c r="O21" s="30" t="n"/>
      <c r="P21" s="30" t="n"/>
      <c r="Q21" s="30" t="n"/>
      <c r="R21" s="30" t="n"/>
      <c r="S21" s="30" t="n"/>
      <c r="T21" s="30" t="n"/>
      <c r="U21" s="30" t="n"/>
      <c r="V21" s="30" t="n"/>
      <c r="W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n"/>
      <c r="S22" s="30" t="n"/>
      <c r="T22" s="30" t="n"/>
      <c r="U22" s="30" t="n"/>
      <c r="V22" s="30" t="inlineStr">
        <is>
          <t>R (quant)</t>
        </is>
      </c>
      <c r="W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n"/>
      <c r="S23" s="30" t="n"/>
      <c r="T23" s="30" t="n"/>
      <c r="U23" s="30" t="n"/>
      <c r="V23" s="30" t="inlineStr">
        <is>
          <t>R</t>
        </is>
      </c>
      <c r="W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A and R</t>
        </is>
      </c>
      <c r="J24" s="30" t="inlineStr">
        <is>
          <t>R</t>
        </is>
      </c>
      <c r="K24" s="30" t="inlineStr">
        <is>
          <t>R</t>
        </is>
      </c>
      <c r="L24" s="30" t="inlineStr">
        <is>
          <t>R</t>
        </is>
      </c>
      <c r="M24" s="30" t="inlineStr">
        <is>
          <t>R</t>
        </is>
      </c>
      <c r="N24" s="30" t="inlineStr">
        <is>
          <t>A and R</t>
        </is>
      </c>
      <c r="O24" s="30" t="n"/>
      <c r="P24" s="30" t="inlineStr">
        <is>
          <t>R</t>
        </is>
      </c>
      <c r="Q24" s="30" t="n"/>
      <c r="R24" s="30" t="n"/>
      <c r="S24" s="30" t="n"/>
      <c r="T24" s="30" t="n"/>
      <c r="U24" s="30" t="n"/>
      <c r="V24" s="30" t="n"/>
      <c r="W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inlineStr">
        <is>
          <t>A and R</t>
        </is>
      </c>
      <c r="J26" s="30" t="inlineStr">
        <is>
          <t>R</t>
        </is>
      </c>
      <c r="K26" s="30" t="inlineStr">
        <is>
          <t>R</t>
        </is>
      </c>
      <c r="L26" s="30" t="inlineStr">
        <is>
          <t>R</t>
        </is>
      </c>
      <c r="M26" s="30" t="inlineStr">
        <is>
          <t>R</t>
        </is>
      </c>
      <c r="N26" s="30" t="inlineStr">
        <is>
          <t>A and R</t>
        </is>
      </c>
      <c r="O26" s="30" t="n"/>
      <c r="P26" s="30" t="inlineStr">
        <is>
          <t>R</t>
        </is>
      </c>
      <c r="Q26" s="30" t="n"/>
      <c r="R26" s="30" t="n"/>
      <c r="S26" s="30" t="n"/>
      <c r="T26" s="30" t="n"/>
      <c r="U26" s="30" t="n"/>
      <c r="V26" s="30" t="n"/>
      <c r="W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A and R</t>
        </is>
      </c>
      <c r="J27" s="30" t="inlineStr">
        <is>
          <t>R</t>
        </is>
      </c>
      <c r="K27" s="30" t="inlineStr">
        <is>
          <t>R</t>
        </is>
      </c>
      <c r="L27" s="30" t="inlineStr">
        <is>
          <t>R</t>
        </is>
      </c>
      <c r="M27" s="30" t="inlineStr">
        <is>
          <t>R</t>
        </is>
      </c>
      <c r="N27" s="30" t="inlineStr">
        <is>
          <t>A and R</t>
        </is>
      </c>
      <c r="O27" s="30" t="n"/>
      <c r="P27" s="30" t="inlineStr">
        <is>
          <t>R</t>
        </is>
      </c>
      <c r="Q27" s="30" t="inlineStr">
        <is>
          <t>R</t>
        </is>
      </c>
      <c r="R27" s="30" t="n"/>
      <c r="S27" s="30" t="n"/>
      <c r="T27" s="30" t="n"/>
      <c r="U27" s="30" t="n"/>
      <c r="V27" s="30" t="inlineStr">
        <is>
          <t>R (quant)</t>
        </is>
      </c>
      <c r="W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inlineStr">
        <is>
          <t>A and R</t>
        </is>
      </c>
      <c r="J28" s="30" t="inlineStr">
        <is>
          <t>R</t>
        </is>
      </c>
      <c r="K28" s="30" t="inlineStr">
        <is>
          <t>R</t>
        </is>
      </c>
      <c r="L28" s="30" t="inlineStr">
        <is>
          <t>R</t>
        </is>
      </c>
      <c r="M28" s="30" t="inlineStr">
        <is>
          <t>R</t>
        </is>
      </c>
      <c r="N28" s="30" t="n"/>
      <c r="O28" s="30" t="n"/>
      <c r="P28" s="30" t="n"/>
      <c r="Q28" s="30" t="n"/>
      <c r="R28" s="30" t="n"/>
      <c r="S28" s="30" t="n"/>
      <c r="T28" s="30" t="n"/>
      <c r="U28" s="30" t="n"/>
      <c r="V28" s="30" t="n"/>
      <c r="W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inlineStr">
        <is>
          <t>A and R</t>
        </is>
      </c>
      <c r="J29" s="30" t="inlineStr">
        <is>
          <t>R</t>
        </is>
      </c>
      <c r="K29" s="30" t="inlineStr">
        <is>
          <t>R</t>
        </is>
      </c>
      <c r="L29" s="30" t="inlineStr">
        <is>
          <t>R</t>
        </is>
      </c>
      <c r="M29" s="30" t="inlineStr">
        <is>
          <t>R</t>
        </is>
      </c>
      <c r="N29" s="30" t="n"/>
      <c r="O29" s="30" t="n"/>
      <c r="P29" s="30" t="n"/>
      <c r="Q29" s="30" t="n"/>
      <c r="R29" s="30" t="n"/>
      <c r="S29" s="30" t="n"/>
      <c r="T29" s="30" t="n"/>
      <c r="U29" s="30" t="n"/>
      <c r="V29" s="30" t="n"/>
      <c r="W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n"/>
      <c r="K33" s="30" t="n"/>
      <c r="L33" s="30" t="n"/>
      <c r="M33" s="30" t="n"/>
      <c r="N33" s="30" t="inlineStr">
        <is>
          <t>A and R</t>
        </is>
      </c>
      <c r="O33" s="30" t="n"/>
      <c r="P33" s="30" t="n"/>
      <c r="Q33" s="30" t="n"/>
      <c r="R33" s="30" t="n"/>
      <c r="S33" s="30" t="inlineStr">
        <is>
          <t>R (quant)</t>
        </is>
      </c>
      <c r="T33" s="30" t="n"/>
      <c r="U33" s="30" t="n"/>
      <c r="V33" s="30" t="n"/>
      <c r="W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n"/>
      <c r="K34" s="30" t="n"/>
      <c r="L34" s="30" t="n"/>
      <c r="M34" s="30" t="n"/>
      <c r="N34" s="30" t="inlineStr">
        <is>
          <t>A and R</t>
        </is>
      </c>
      <c r="O34" s="30" t="n"/>
      <c r="P34" s="30" t="n"/>
      <c r="Q34" s="30" t="n"/>
      <c r="R34" s="30" t="n"/>
      <c r="S34" s="30" t="inlineStr">
        <is>
          <t>R (quant)</t>
        </is>
      </c>
      <c r="T34" s="30" t="n"/>
      <c r="U34" s="30" t="n"/>
      <c r="V34" s="30" t="n"/>
      <c r="W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n"/>
      <c r="K35" s="30" t="n"/>
      <c r="L35" s="30" t="n"/>
      <c r="M35" s="30" t="n"/>
      <c r="N35" s="30" t="inlineStr">
        <is>
          <t>A and R</t>
        </is>
      </c>
      <c r="O35" s="30" t="n"/>
      <c r="P35" s="30" t="inlineStr">
        <is>
          <t>R</t>
        </is>
      </c>
      <c r="Q35" s="30" t="n"/>
      <c r="R35" s="30" t="n"/>
      <c r="S35" s="30" t="n"/>
      <c r="T35" s="30" t="n"/>
      <c r="U35" s="30" t="n"/>
      <c r="V35" s="30" t="n"/>
      <c r="W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inlineStr">
        <is>
          <t>A and R</t>
        </is>
      </c>
      <c r="J37" s="30" t="inlineStr">
        <is>
          <t>R</t>
        </is>
      </c>
      <c r="K37" s="30" t="inlineStr">
        <is>
          <t>R</t>
        </is>
      </c>
      <c r="L37" s="30" t="inlineStr">
        <is>
          <t>R</t>
        </is>
      </c>
      <c r="M37" s="30" t="inlineStr">
        <is>
          <t>R</t>
        </is>
      </c>
      <c r="N37" s="30" t="inlineStr">
        <is>
          <t>A and R</t>
        </is>
      </c>
      <c r="O37" s="30" t="n"/>
      <c r="P37" s="30" t="inlineStr">
        <is>
          <t>R</t>
        </is>
      </c>
      <c r="Q37" s="30" t="n"/>
      <c r="R37" s="30" t="n"/>
      <c r="S37" s="30" t="n"/>
      <c r="T37" s="30" t="n"/>
      <c r="U37" s="30" t="n"/>
      <c r="V37" s="30" t="n"/>
      <c r="W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inlineStr">
        <is>
          <t>A and R</t>
        </is>
      </c>
      <c r="J39" s="30" t="inlineStr">
        <is>
          <t>R</t>
        </is>
      </c>
      <c r="K39" s="30" t="inlineStr">
        <is>
          <t>R</t>
        </is>
      </c>
      <c r="L39" s="30" t="inlineStr">
        <is>
          <t>R</t>
        </is>
      </c>
      <c r="M39" s="30" t="inlineStr">
        <is>
          <t>R</t>
        </is>
      </c>
      <c r="N39" s="30" t="n"/>
      <c r="O39" s="30" t="n"/>
      <c r="P39" s="30" t="n"/>
      <c r="Q39" s="30" t="n"/>
      <c r="R39" s="30" t="n"/>
      <c r="S39" s="30" t="n"/>
      <c r="T39" s="30" t="n"/>
      <c r="U39" s="30" t="n"/>
      <c r="V39" s="30" t="n"/>
      <c r="W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n"/>
      <c r="K41" s="30" t="n"/>
      <c r="L41" s="30" t="n"/>
      <c r="M41" s="30" t="n"/>
      <c r="N41" s="30" t="inlineStr">
        <is>
          <t>A and R</t>
        </is>
      </c>
      <c r="O41" s="30" t="inlineStr">
        <is>
          <t>R</t>
        </is>
      </c>
      <c r="P41" s="30" t="n"/>
      <c r="Q41" s="30" t="n"/>
      <c r="R41" s="30" t="n"/>
      <c r="S41" s="30" t="n"/>
      <c r="T41" s="30" t="n"/>
      <c r="U41" s="30" t="inlineStr">
        <is>
          <t>R</t>
        </is>
      </c>
      <c r="V41" s="30" t="n"/>
      <c r="W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n"/>
      <c r="K44" s="30" t="n"/>
      <c r="L44" s="30" t="n"/>
      <c r="M44" s="30" t="n"/>
      <c r="N44" s="30" t="inlineStr">
        <is>
          <t>A and R</t>
        </is>
      </c>
      <c r="O44" s="30" t="n"/>
      <c r="P44" s="30" t="n"/>
      <c r="Q44" s="30" t="n"/>
      <c r="R44" s="30" t="n"/>
      <c r="S44" s="30" t="inlineStr">
        <is>
          <t>R (quant)</t>
        </is>
      </c>
      <c r="T44" s="30" t="n"/>
      <c r="U44" s="30" t="n"/>
      <c r="V44" s="30" t="n"/>
      <c r="W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n"/>
      <c r="K45" s="30" t="n"/>
      <c r="L45" s="30" t="n"/>
      <c r="M45" s="30" t="n"/>
      <c r="N45" s="30" t="inlineStr">
        <is>
          <t>A and R</t>
        </is>
      </c>
      <c r="O45" s="30" t="n"/>
      <c r="P45" s="30" t="n"/>
      <c r="Q45" s="30" t="n"/>
      <c r="R45" s="30" t="n"/>
      <c r="S45" s="30" t="inlineStr">
        <is>
          <t>R</t>
        </is>
      </c>
      <c r="T45" s="30" t="n"/>
      <c r="U45" s="30" t="n"/>
      <c r="V45" s="30" t="n"/>
      <c r="W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n"/>
      <c r="K46" s="30" t="n"/>
      <c r="L46" s="30" t="n"/>
      <c r="M46" s="30" t="n"/>
      <c r="N46" s="30" t="inlineStr">
        <is>
          <t>A and R</t>
        </is>
      </c>
      <c r="O46" s="30" t="n"/>
      <c r="P46" s="30" t="n"/>
      <c r="Q46" s="30" t="n"/>
      <c r="R46" s="30" t="n"/>
      <c r="S46" s="30" t="inlineStr">
        <is>
          <t>R</t>
        </is>
      </c>
      <c r="T46" s="30" t="n"/>
      <c r="U46" s="30" t="n"/>
      <c r="V46" s="30" t="n"/>
      <c r="W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n"/>
      <c r="K47" s="30" t="n"/>
      <c r="L47" s="30" t="n"/>
      <c r="M47" s="30" t="n"/>
      <c r="N47" s="30" t="inlineStr">
        <is>
          <t>A and R</t>
        </is>
      </c>
      <c r="O47" s="30" t="n"/>
      <c r="P47" s="30" t="n"/>
      <c r="Q47" s="30" t="n"/>
      <c r="R47" s="30" t="n"/>
      <c r="S47" s="30" t="inlineStr">
        <is>
          <t>R</t>
        </is>
      </c>
      <c r="T47" s="30" t="n"/>
      <c r="U47" s="30" t="n"/>
      <c r="V47" s="30" t="n"/>
      <c r="W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n"/>
      <c r="S49" s="30" t="n"/>
      <c r="T49" s="30" t="n"/>
      <c r="U49" s="30" t="n"/>
      <c r="V49" s="30" t="inlineStr">
        <is>
          <t>R</t>
        </is>
      </c>
      <c r="W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n"/>
      <c r="K50" s="30" t="n"/>
      <c r="L50" s="30" t="n"/>
      <c r="M50" s="30" t="n"/>
      <c r="N50" s="30" t="inlineStr">
        <is>
          <t>A and R</t>
        </is>
      </c>
      <c r="O50" s="30" t="n"/>
      <c r="P50" s="30" t="n"/>
      <c r="Q50" s="30" t="n"/>
      <c r="R50" s="30" t="n"/>
      <c r="S50" s="30" t="inlineStr">
        <is>
          <t>R</t>
        </is>
      </c>
      <c r="T50" s="30" t="n"/>
      <c r="U50" s="30" t="n"/>
      <c r="V50" s="30" t="n"/>
      <c r="W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n"/>
      <c r="K51" s="30" t="n"/>
      <c r="L51" s="30" t="n"/>
      <c r="M51" s="30" t="n"/>
      <c r="N51" s="30" t="inlineStr">
        <is>
          <t>A and R</t>
        </is>
      </c>
      <c r="O51" s="30" t="n"/>
      <c r="P51" s="30" t="n"/>
      <c r="Q51" s="30" t="inlineStr">
        <is>
          <t>R</t>
        </is>
      </c>
      <c r="R51" s="30" t="n"/>
      <c r="S51" s="30" t="inlineStr">
        <is>
          <t>R</t>
        </is>
      </c>
      <c r="T51" s="30" t="n"/>
      <c r="U51" s="30" t="n"/>
      <c r="V51" s="30" t="n"/>
      <c r="W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n"/>
      <c r="K54" s="30" t="n"/>
      <c r="L54" s="30" t="n"/>
      <c r="M54" s="30" t="n"/>
      <c r="N54" s="30" t="inlineStr">
        <is>
          <t>A and R</t>
        </is>
      </c>
      <c r="O54" s="30" t="n"/>
      <c r="P54" s="30" t="inlineStr">
        <is>
          <t>R</t>
        </is>
      </c>
      <c r="Q54" s="30" t="n"/>
      <c r="R54" s="30" t="n"/>
      <c r="S54" s="30" t="n"/>
      <c r="T54" s="30" t="inlineStr">
        <is>
          <t>R</t>
        </is>
      </c>
      <c r="U54" s="30" t="n"/>
      <c r="V54" s="30" t="n"/>
      <c r="W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n"/>
      <c r="K55" s="30" t="n"/>
      <c r="L55" s="30" t="n"/>
      <c r="M55" s="30" t="n"/>
      <c r="N55" s="30" t="inlineStr">
        <is>
          <t>A and R</t>
        </is>
      </c>
      <c r="O55" s="30" t="n"/>
      <c r="P55" s="30" t="inlineStr">
        <is>
          <t>R</t>
        </is>
      </c>
      <c r="Q55" s="30" t="n"/>
      <c r="R55" s="30" t="n"/>
      <c r="S55" s="30" t="n"/>
      <c r="T55" s="30" t="inlineStr">
        <is>
          <t>R</t>
        </is>
      </c>
      <c r="U55" s="30" t="n"/>
      <c r="V55" s="30" t="n"/>
      <c r="W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n"/>
      <c r="K59" s="30" t="n"/>
      <c r="L59" s="30" t="n"/>
      <c r="M59" s="30" t="n"/>
      <c r="N59" s="30" t="inlineStr">
        <is>
          <t>A and R</t>
        </is>
      </c>
      <c r="O59" s="30" t="inlineStr">
        <is>
          <t>R</t>
        </is>
      </c>
      <c r="P59" s="30" t="n"/>
      <c r="Q59" s="30" t="n"/>
      <c r="R59" s="30" t="n"/>
      <c r="S59" s="30" t="n"/>
      <c r="T59" s="30" t="n"/>
      <c r="U59" s="30" t="n"/>
      <c r="V59" s="30" t="n"/>
      <c r="W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n"/>
      <c r="K60" s="30" t="n"/>
      <c r="L60" s="30" t="n"/>
      <c r="M60" s="30" t="n"/>
      <c r="N60" s="30" t="inlineStr">
        <is>
          <t>A and R</t>
        </is>
      </c>
      <c r="O60" s="30" t="inlineStr">
        <is>
          <t>R</t>
        </is>
      </c>
      <c r="P60" s="30" t="n"/>
      <c r="Q60" s="30" t="n"/>
      <c r="R60" s="30" t="n"/>
      <c r="S60" s="30" t="n"/>
      <c r="T60" s="30" t="n"/>
      <c r="U60" s="30" t="n"/>
      <c r="V60" s="30" t="n"/>
      <c r="W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n"/>
      <c r="K61" s="30" t="n"/>
      <c r="L61" s="30" t="n"/>
      <c r="M61" s="30" t="n"/>
      <c r="N61" s="30" t="inlineStr">
        <is>
          <t>A and R</t>
        </is>
      </c>
      <c r="O61" s="30" t="inlineStr">
        <is>
          <t>R</t>
        </is>
      </c>
      <c r="P61" s="30" t="n"/>
      <c r="Q61" s="30" t="n"/>
      <c r="R61" s="30" t="n"/>
      <c r="S61" s="30" t="n"/>
      <c r="T61" s="30" t="n"/>
      <c r="U61" s="30" t="n"/>
      <c r="V61" s="30" t="n"/>
      <c r="W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n"/>
      <c r="K62" s="30" t="n"/>
      <c r="L62" s="30" t="n"/>
      <c r="M62" s="30" t="n"/>
      <c r="N62" s="30" t="inlineStr">
        <is>
          <t>A and R</t>
        </is>
      </c>
      <c r="O62" s="30" t="inlineStr">
        <is>
          <t>R</t>
        </is>
      </c>
      <c r="P62" s="30" t="n"/>
      <c r="Q62" s="30" t="n"/>
      <c r="R62" s="30" t="n"/>
      <c r="S62" s="30" t="n"/>
      <c r="T62" s="30" t="n"/>
      <c r="U62" s="30" t="n"/>
      <c r="V62" s="30" t="n"/>
      <c r="W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n"/>
      <c r="K65" s="30" t="n"/>
      <c r="L65" s="30" t="n"/>
      <c r="M65" s="30" t="n"/>
      <c r="N65" s="30" t="inlineStr">
        <is>
          <t>A and R</t>
        </is>
      </c>
      <c r="O65" s="30" t="n"/>
      <c r="P65" s="30" t="n"/>
      <c r="Q65" s="30" t="n"/>
      <c r="R65" s="30" t="n"/>
      <c r="S65" s="30" t="inlineStr">
        <is>
          <t>R (quant)</t>
        </is>
      </c>
      <c r="T65" s="30" t="n"/>
      <c r="U65" s="30" t="n"/>
      <c r="V65" s="30" t="n"/>
      <c r="W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n"/>
      <c r="K67" s="30" t="n"/>
      <c r="L67" s="30" t="n"/>
      <c r="M67" s="30" t="n"/>
      <c r="N67" s="30" t="inlineStr">
        <is>
          <t>A and R</t>
        </is>
      </c>
      <c r="O67" s="30" t="n"/>
      <c r="P67" s="30" t="n"/>
      <c r="Q67" s="30" t="n"/>
      <c r="R67" s="30" t="n"/>
      <c r="S67" s="30" t="inlineStr">
        <is>
          <t>R (quant)</t>
        </is>
      </c>
      <c r="T67" s="30" t="n"/>
      <c r="U67" s="30" t="n"/>
      <c r="V67" s="30" t="n"/>
      <c r="W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n"/>
      <c r="K70" s="30" t="n"/>
      <c r="L70" s="30" t="n"/>
      <c r="M70" s="30" t="n"/>
      <c r="N70" s="30" t="inlineStr">
        <is>
          <t>A and R</t>
        </is>
      </c>
      <c r="O70" s="30" t="n"/>
      <c r="P70" s="30" t="n"/>
      <c r="Q70" s="30" t="inlineStr">
        <is>
          <t>R</t>
        </is>
      </c>
      <c r="R70" s="30" t="n"/>
      <c r="S70" s="30" t="n"/>
      <c r="T70" s="30" t="n"/>
      <c r="U70" s="30" t="n"/>
      <c r="V70" s="30" t="n"/>
      <c r="W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n"/>
      <c r="K72" s="30" t="n"/>
      <c r="L72" s="30" t="n"/>
      <c r="M72" s="30" t="n"/>
      <c r="N72" s="30" t="inlineStr">
        <is>
          <t>A and R</t>
        </is>
      </c>
      <c r="O72" s="30" t="n"/>
      <c r="P72" s="30" t="n"/>
      <c r="Q72" s="30" t="inlineStr">
        <is>
          <t>R (quant)</t>
        </is>
      </c>
      <c r="R72" s="30" t="n"/>
      <c r="S72" s="30" t="n"/>
      <c r="T72" s="30" t="n"/>
      <c r="U72" s="30" t="n"/>
      <c r="V72" s="30" t="n"/>
      <c r="W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n"/>
      <c r="K73" s="30" t="n"/>
      <c r="L73" s="30" t="n"/>
      <c r="M73" s="30" t="n"/>
      <c r="N73" s="30" t="inlineStr">
        <is>
          <t>A and R</t>
        </is>
      </c>
      <c r="O73" s="30" t="n"/>
      <c r="P73" s="30" t="n"/>
      <c r="Q73" s="30" t="inlineStr">
        <is>
          <t>R (quant)</t>
        </is>
      </c>
      <c r="R73" s="30" t="n"/>
      <c r="S73" s="30" t="n"/>
      <c r="T73" s="30" t="n"/>
      <c r="U73" s="30" t="n"/>
      <c r="V73" s="30" t="n"/>
      <c r="W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n"/>
      <c r="K76" s="30" t="n"/>
      <c r="L76" s="30" t="n"/>
      <c r="M76" s="30" t="n"/>
      <c r="N76" s="30" t="inlineStr">
        <is>
          <t>A and R</t>
        </is>
      </c>
      <c r="O76" s="30" t="n"/>
      <c r="P76" s="30" t="inlineStr">
        <is>
          <t>R</t>
        </is>
      </c>
      <c r="Q76" s="30" t="inlineStr">
        <is>
          <t>R</t>
        </is>
      </c>
      <c r="R76" s="30" t="n"/>
      <c r="S76" s="30" t="n"/>
      <c r="T76" s="30" t="n"/>
      <c r="U76" s="30" t="n"/>
      <c r="V76" s="30" t="n"/>
      <c r="W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n"/>
      <c r="K79" s="30" t="n"/>
      <c r="L79" s="30" t="n"/>
      <c r="M79" s="30" t="n"/>
      <c r="N79" s="30" t="inlineStr">
        <is>
          <t>A and R</t>
        </is>
      </c>
      <c r="O79" s="30" t="n"/>
      <c r="P79" s="30" t="n"/>
      <c r="Q79" s="30" t="inlineStr">
        <is>
          <t>R (quant)</t>
        </is>
      </c>
      <c r="R79" s="30" t="n"/>
      <c r="S79" s="30" t="n"/>
      <c r="T79" s="30" t="n"/>
      <c r="U79" s="30" t="n"/>
      <c r="V79" s="30" t="n"/>
      <c r="W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n"/>
      <c r="K80" s="30" t="n"/>
      <c r="L80" s="30" t="n"/>
      <c r="M80" s="30" t="n"/>
      <c r="N80" s="30" t="inlineStr">
        <is>
          <t>A and R</t>
        </is>
      </c>
      <c r="O80" s="30" t="n"/>
      <c r="P80" s="30" t="inlineStr">
        <is>
          <t>R</t>
        </is>
      </c>
      <c r="Q80" s="30" t="inlineStr">
        <is>
          <t>R (quant)</t>
        </is>
      </c>
      <c r="R80" s="30" t="inlineStr">
        <is>
          <t>R</t>
        </is>
      </c>
      <c r="S80" s="30" t="n"/>
      <c r="T80" s="30" t="n"/>
      <c r="U80" s="30" t="n"/>
      <c r="V80" s="30" t="n"/>
      <c r="W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A and R</t>
        </is>
      </c>
      <c r="J84" s="30" t="inlineStr">
        <is>
          <t>R</t>
        </is>
      </c>
      <c r="K84" s="30" t="inlineStr">
        <is>
          <t>R</t>
        </is>
      </c>
      <c r="L84" s="30" t="inlineStr">
        <is>
          <t>R</t>
        </is>
      </c>
      <c r="M84" s="30" t="inlineStr">
        <is>
          <t>R</t>
        </is>
      </c>
      <c r="N84" s="30" t="n"/>
      <c r="O84" s="30" t="n"/>
      <c r="P84" s="30" t="n"/>
      <c r="Q84" s="30" t="n"/>
      <c r="R84" s="30" t="n"/>
      <c r="S84" s="30" t="n"/>
      <c r="T84" s="30" t="n"/>
      <c r="U84" s="30" t="n"/>
      <c r="V84" s="30" t="n"/>
      <c r="W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A and R</t>
        </is>
      </c>
      <c r="J85" s="30" t="inlineStr">
        <is>
          <t>R</t>
        </is>
      </c>
      <c r="K85" s="30" t="inlineStr">
        <is>
          <t>R</t>
        </is>
      </c>
      <c r="L85" s="30" t="inlineStr">
        <is>
          <t>R</t>
        </is>
      </c>
      <c r="M85" s="30" t="inlineStr">
        <is>
          <t>R</t>
        </is>
      </c>
      <c r="N85" s="30" t="inlineStr">
        <is>
          <t>A and R</t>
        </is>
      </c>
      <c r="O85" s="30" t="inlineStr">
        <is>
          <t>R (quant)</t>
        </is>
      </c>
      <c r="P85" s="30" t="inlineStr">
        <is>
          <t>R</t>
        </is>
      </c>
      <c r="Q85" s="30" t="n"/>
      <c r="R85" s="30" t="n"/>
      <c r="S85" s="30" t="n"/>
      <c r="T85" s="30" t="n"/>
      <c r="U85" s="30" t="n"/>
      <c r="V85" s="30" t="n"/>
      <c r="W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A and R</t>
        </is>
      </c>
      <c r="J86" s="30" t="inlineStr">
        <is>
          <t>R</t>
        </is>
      </c>
      <c r="K86" s="30" t="inlineStr">
        <is>
          <t>R</t>
        </is>
      </c>
      <c r="L86" s="30" t="inlineStr">
        <is>
          <t>R</t>
        </is>
      </c>
      <c r="M86" s="30" t="inlineStr">
        <is>
          <t>R</t>
        </is>
      </c>
      <c r="N86" s="30" t="inlineStr">
        <is>
          <t>A and R</t>
        </is>
      </c>
      <c r="O86" s="30" t="n"/>
      <c r="P86" s="30" t="inlineStr">
        <is>
          <t>R</t>
        </is>
      </c>
      <c r="Q86" s="30" t="inlineStr">
        <is>
          <t>R</t>
        </is>
      </c>
      <c r="R86" s="30" t="n"/>
      <c r="S86" s="30" t="inlineStr">
        <is>
          <t>R</t>
        </is>
      </c>
      <c r="T86" s="30" t="inlineStr">
        <is>
          <t>R</t>
        </is>
      </c>
      <c r="U86" s="30" t="n"/>
      <c r="V86" s="30" t="n"/>
      <c r="W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inlineStr">
        <is>
          <t>A and R</t>
        </is>
      </c>
      <c r="J87" s="30" t="inlineStr">
        <is>
          <t>R</t>
        </is>
      </c>
      <c r="K87" s="30" t="inlineStr">
        <is>
          <t>R</t>
        </is>
      </c>
      <c r="L87" s="30" t="inlineStr">
        <is>
          <t>R</t>
        </is>
      </c>
      <c r="M87" s="30" t="inlineStr">
        <is>
          <t>R</t>
        </is>
      </c>
      <c r="N87" s="30" t="inlineStr">
        <is>
          <t>A and R</t>
        </is>
      </c>
      <c r="O87" s="30" t="n"/>
      <c r="P87" s="30" t="inlineStr">
        <is>
          <t>R</t>
        </is>
      </c>
      <c r="Q87" s="30" t="inlineStr">
        <is>
          <t>R</t>
        </is>
      </c>
      <c r="R87" s="30" t="n"/>
      <c r="S87" s="30" t="inlineStr">
        <is>
          <t>R</t>
        </is>
      </c>
      <c r="T87" s="30" t="inlineStr">
        <is>
          <t>R</t>
        </is>
      </c>
      <c r="U87" s="30" t="n"/>
      <c r="V87" s="30" t="n"/>
      <c r="W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row>
  </sheetData>
  <autoFilter ref="A6:W87"/>
  <mergeCells count="2">
    <mergeCell ref="B2:G2"/>
    <mergeCell ref="I5:W5"/>
  </mergeCells>
  <conditionalFormatting sqref="I10:W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W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1"/>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Chased</t>
        </is>
      </c>
      <c r="I5" s="32" t="inlineStr">
        <is>
          <t>Support meeting</t>
        </is>
      </c>
      <c r="L5" s="32" t="inlineStr">
        <is>
          <t>Response rate</t>
        </is>
      </c>
      <c r="N5" s="32" t="inlineStr">
        <is>
          <t>Owner confirmed</t>
        </is>
      </c>
    </row>
    <row r="6">
      <c r="C6">
        <f>COUNTIF($N$10:$N$21,"Not sent")</f>
        <v/>
      </c>
      <c r="E6">
        <f>COUNTIF($N$10:$N$21,"Sent")</f>
        <v/>
      </c>
      <c r="G6">
        <f>COUNTIF($N$10:$N$21,"Chased")</f>
        <v/>
      </c>
      <c r="I6">
        <f>COUNTIF($N$10:$N$21,"Support meeting")</f>
        <v/>
      </c>
      <c r="L6" s="43">
        <f>IFERROR((COUNTIF($N$10:$N$21,"Received")+COUNTIF($N$10:$N$21,"Under review")+COUNTIF($N$10:$N$21,"Complete"))/(COUNTA($N$10:$N$21)-COUNTIF($N$10:$N$21,"Not required")),0)</f>
        <v/>
      </c>
      <c r="N6">
        <f>COUNTIF($M$10:$M$21,"Yes")&amp;" / "&amp;COUNTA($C$10:$C$21)</f>
        <v/>
      </c>
    </row>
    <row r="7">
      <c r="C7" s="32" t="inlineStr">
        <is>
          <t>Received</t>
        </is>
      </c>
      <c r="E7" s="32" t="inlineStr">
        <is>
          <t>Under review</t>
        </is>
      </c>
      <c r="G7" s="32" t="inlineStr">
        <is>
          <t>Complete</t>
        </is>
      </c>
      <c r="I7" s="32" t="inlineStr">
        <is>
          <t>Not required</t>
        </is>
      </c>
    </row>
    <row r="8">
      <c r="C8">
        <f>COUNTIF($N$10:$N$21,"Received")</f>
        <v/>
      </c>
      <c r="E8">
        <f>COUNTIF($N$10:$N$21,"Under review")</f>
        <v/>
      </c>
      <c r="G8">
        <f>COUNTIF($N$10:$N$21,"Complete")</f>
        <v/>
      </c>
      <c r="I8">
        <f>COUNTIF($N$10:$N$21,"Not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Support meeting offered/held</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20</v>
      </c>
      <c r="G10" s="8" t="inlineStr">
        <is>
          <t>ABP - end-2026 sustainability reporting request - v0.4.xlsx</t>
        </is>
      </c>
      <c r="H10" s="44" t="n"/>
      <c r="I10" s="44" t="n">
        <v>46402</v>
      </c>
      <c r="J10" s="44">
        <f>IF(I10="","",I10-7)</f>
        <v/>
      </c>
      <c r="K10" s="8" t="inlineStr"/>
      <c r="L10" s="44"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20</v>
      </c>
      <c r="G11" s="8" t="inlineStr">
        <is>
          <t>ARTS - end-2026 sustainability reporting request - v0.4.xlsx</t>
        </is>
      </c>
      <c r="H11" s="44" t="n"/>
      <c r="I11" s="44" t="n">
        <v>46402</v>
      </c>
      <c r="J11" s="44">
        <f>IF(I11="","",I11-7)</f>
        <v/>
      </c>
      <c r="K11" s="8" t="inlineStr"/>
      <c r="L11" s="44"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20</v>
      </c>
      <c r="G12" s="8" t="inlineStr">
        <is>
          <t>FBE - end-2026 sustainability reporting request - v0.4.xlsx</t>
        </is>
      </c>
      <c r="H12" s="44" t="n"/>
      <c r="I12" s="44" t="n">
        <v>46402</v>
      </c>
      <c r="J12" s="44">
        <f>IF(I12="","",I12-7)</f>
        <v/>
      </c>
      <c r="K12" s="8" t="inlineStr"/>
      <c r="L12" s="44"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20</v>
      </c>
      <c r="G13" s="8" t="inlineStr">
        <is>
          <t>SCI - end-2026 sustainability reporting request - v0.4.xlsx</t>
        </is>
      </c>
      <c r="H13" s="44" t="n"/>
      <c r="I13" s="44" t="n">
        <v>46402</v>
      </c>
      <c r="J13" s="44">
        <f>IF(I13="","",I13-7)</f>
        <v/>
      </c>
      <c r="K13" s="8" t="inlineStr"/>
      <c r="L13" s="44"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v0.4.xlsx</t>
        </is>
      </c>
      <c r="H14" s="44" t="n"/>
      <c r="I14" s="44" t="n">
        <v>46402</v>
      </c>
      <c r="J14" s="44">
        <f>IF(I14="","",I14-7)</f>
        <v/>
      </c>
      <c r="K14" s="8" t="inlineStr"/>
      <c r="L14" s="44"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17</v>
      </c>
      <c r="G15" s="8" t="inlineStr">
        <is>
          <t>CIandS - end-2026 sustainability reporting request - v0.4.xlsx</t>
        </is>
      </c>
      <c r="H15" s="44" t="n"/>
      <c r="I15" s="44" t="n">
        <v>46402</v>
      </c>
      <c r="J15" s="44">
        <f>IF(I15="","",I15-7)</f>
        <v/>
      </c>
      <c r="K15" s="8" t="inlineStr"/>
      <c r="L15" s="44"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v0.4.xlsx</t>
        </is>
      </c>
      <c r="H16" s="44" t="n"/>
      <c r="I16" s="44" t="n">
        <v>46402</v>
      </c>
      <c r="J16" s="44">
        <f>IF(I16="","",I16-7)</f>
        <v/>
      </c>
      <c r="K16" s="8" t="inlineStr"/>
      <c r="L16" s="44"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v0.4.xlsx</t>
        </is>
      </c>
      <c r="H17" s="44" t="n"/>
      <c r="I17" s="44" t="n">
        <v>46402</v>
      </c>
      <c r="J17" s="44">
        <f>IF(I17="","",I17-7)</f>
        <v/>
      </c>
      <c r="K17" s="8" t="inlineStr"/>
      <c r="L17" s="44"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v0.4.xlsx</t>
        </is>
      </c>
      <c r="H18" s="44" t="n"/>
      <c r="I18" s="44" t="n">
        <v>46402</v>
      </c>
      <c r="J18" s="44">
        <f>IF(I18="","",I18-7)</f>
        <v/>
      </c>
      <c r="K18" s="8" t="inlineStr"/>
      <c r="L18" s="44"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v0.4.xlsx</t>
        </is>
      </c>
      <c r="H19" s="44" t="n"/>
      <c r="I19" s="44" t="n">
        <v>46402</v>
      </c>
      <c r="J19" s="44">
        <f>IF(I19="","",I19-7)</f>
        <v/>
      </c>
      <c r="K19" s="8" t="inlineStr"/>
      <c r="L19" s="44"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2</v>
      </c>
      <c r="G20" s="8" t="inlineStr">
        <is>
          <t>MRE - end-2026 sustainability reporting request - v0.4.xlsx</t>
        </is>
      </c>
      <c r="H20" s="44" t="n"/>
      <c r="I20" s="44" t="n">
        <v>46402</v>
      </c>
      <c r="J20" s="44">
        <f>IF(I20="","",I20-7)</f>
        <v/>
      </c>
      <c r="K20" s="8" t="inlineStr"/>
      <c r="L20" s="44" t="n"/>
      <c r="M20" s="8" t="inlineStr"/>
      <c r="N20" s="8" t="inlineStr">
        <is>
          <t>Not sent</t>
        </is>
      </c>
      <c r="O20" s="8">
        <f>IF(OR(I20="",L20&lt;&gt;""),"",MAX(0,TODAY()-I20))</f>
        <v/>
      </c>
      <c r="P20" s="8" t="inlineStr"/>
    </row>
    <row r="21">
      <c r="B21" s="8" t="inlineStr">
        <is>
          <t>C8</t>
        </is>
      </c>
      <c r="C21" s="8" t="inlineStr">
        <is>
          <t>Central</t>
        </is>
      </c>
      <c r="D21" s="8" t="inlineStr">
        <is>
          <t>Legal &amp; Risk – Risk &amp; resilience</t>
        </is>
      </c>
      <c r="E21" s="8" t="inlineStr">
        <is>
          <t>TBC</t>
        </is>
      </c>
      <c r="F21" s="8" t="n">
        <v>1</v>
      </c>
      <c r="G21" s="8" t="inlineStr">
        <is>
          <t>LandR - end-2026 sustainability reporting request - v0.4.xlsx</t>
        </is>
      </c>
      <c r="H21" s="44" t="n"/>
      <c r="I21" s="44" t="n">
        <v>46402</v>
      </c>
      <c r="J21" s="44">
        <f>IF(I21="","",I21-7)</f>
        <v/>
      </c>
      <c r="K21" s="8" t="inlineStr"/>
      <c r="L21" s="44" t="n"/>
      <c r="M21" s="8" t="inlineStr"/>
      <c r="N21" s="8" t="inlineStr">
        <is>
          <t>Not sent</t>
        </is>
      </c>
      <c r="O21" s="8">
        <f>IF(OR(I21="",L21&lt;&gt;""),"",MAX(0,TODAY()-I21))</f>
        <v/>
      </c>
      <c r="P21" s="8" t="inlineStr"/>
    </row>
  </sheetData>
  <dataValidations count="2">
    <dataValidation sqref="N10:N21" showDropDown="0" showInputMessage="0" showErrorMessage="0" allowBlank="1" errorTitle="Invalid entry" error="Please select from the dropdown" type="list">
      <formula1>=Lists!$D$2:$D$9</formula1>
    </dataValidation>
    <dataValidation sqref="M10:M21"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R1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5" t="inlineStr">
        <is>
          <t>1.1  ABP – Faculty of Architecture, Building and Planning</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EE1(a)</t>
        </is>
      </c>
      <c r="C10" s="50" t="inlineStr">
        <is>
          <t>Exceptional education</t>
        </is>
      </c>
      <c r="D10" s="50" t="inlineStr">
        <is>
          <t>Provide our students with learning experiences that help them build the knowledge, skills and relationships to lead change for sustainable societies.</t>
        </is>
      </c>
      <c r="E10" s="50"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0" s="8" t="inlineStr">
        <is>
          <t>We will collate examples of innovative sustainability teaching and learning across faculties to inform the Exceptional education section of the 2026 Sustainability Report, and select one or two for short case studies.</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0" t="inlineStr">
        <is>
          <t>Exceptional education</t>
        </is>
      </c>
      <c r="D11" s="50" t="inlineStr">
        <is>
          <t>Provide our students with learning experiences that help them build the knowledge, skills and relationships to lead change for sustainable societies.</t>
        </is>
      </c>
      <c r="E11" s="50"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EE1(c)</t>
        </is>
      </c>
      <c r="C12" s="50" t="inlineStr">
        <is>
          <t>Exceptional education</t>
        </is>
      </c>
      <c r="D12" s="50" t="inlineStr">
        <is>
          <t>Provide our students with learning experiences that help them build the knowledge, skills and relationships to lead change for sustainable societies.</t>
        </is>
      </c>
      <c r="E12" s="50" t="inlineStr">
        <is>
          <t>Evidence of sustainability focused experiential and co curricular learning (eg Wattle Fellowship; Melbourne Plus)</t>
        </is>
      </c>
      <c r="F12"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2" s="8" t="inlineStr">
        <is>
          <t>We will combine faculty examples with central Wattle Fellowship and Melbourne Plus data to report on the range and reach of sustainability-focused experiential and co-curricular learning across the University.</t>
        </is>
      </c>
      <c r="H12" s="8" t="inlineStr">
        <is>
          <t>N/A – new indicator</t>
        </is>
      </c>
      <c r="I12" s="8" t="inlineStr"/>
      <c r="J12" s="8" t="inlineStr"/>
      <c r="K12" s="8" t="inlineStr"/>
      <c r="L12" s="8" t="n"/>
      <c r="M12" s="8" t="n"/>
      <c r="N12" s="8" t="n"/>
      <c r="O12" s="8" t="n"/>
      <c r="P12" s="8" t="n"/>
      <c r="Q12" s="8" t="n"/>
      <c r="R12" s="8" t="n"/>
    </row>
    <row r="13" ht="150" customHeight="1">
      <c r="B13" s="7" t="inlineStr">
        <is>
          <t>EE1(d)</t>
        </is>
      </c>
      <c r="C13" s="50" t="inlineStr">
        <is>
          <t>Exceptional education</t>
        </is>
      </c>
      <c r="D13" s="50" t="inlineStr">
        <is>
          <t>Provide our students with learning experiences that help them build the knowledge, skills and relationships to lead change for sustainable societies.</t>
        </is>
      </c>
      <c r="E13" s="50" t="inlineStr">
        <is>
          <t>Alumni profiles demonstrating how graduates contribute to sustainability through their careers or communities.</t>
        </is>
      </c>
      <c r="F13"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3" s="8" t="inlineStr">
        <is>
          <t>We will use nominated alumni to develop short graduate profiles for the 2026 Sustainability Report (subject to consent), and record any faculty approaches to tracking graduate outcomes to inform how this indicator is measured from 2027.</t>
        </is>
      </c>
      <c r="H13" s="8" t="inlineStr">
        <is>
          <t>4b(i)</t>
        </is>
      </c>
      <c r="I13" s="8" t="inlineStr">
        <is>
          <t>Partially met</t>
        </is>
      </c>
      <c r="J13" s="8"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3" s="8" t="inlineStr"/>
      <c r="L13" s="8" t="n"/>
      <c r="M13" s="8" t="n"/>
      <c r="N13" s="8" t="n"/>
      <c r="O13" s="8" t="n"/>
      <c r="P13" s="8" t="n"/>
      <c r="Q13" s="8" t="n"/>
      <c r="R13" s="8" t="n"/>
    </row>
    <row r="14" ht="150" customHeight="1">
      <c r="B14" s="7" t="inlineStr">
        <is>
          <t>TR1(a)</t>
        </is>
      </c>
      <c r="C14" s="50" t="inlineStr">
        <is>
          <t>Transformational research</t>
        </is>
      </c>
      <c r="D14" s="50" t="inlineStr">
        <is>
          <t>Utilise the expertise of the University’s researchers through mutually beneficial partnerships to help address the University’s operational sustainability challenges.</t>
        </is>
      </c>
      <c r="E14" s="50" t="inlineStr">
        <is>
          <t>Expert-reviewed evidence of researchers contributing to operational sustainability priorities through partnerships, advisory input, living labs, applied projects or decision-support</t>
        </is>
      </c>
      <c r="F14"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14" s="8" t="inlineStr">
        <is>
          <t>We will report on examples of researchers helping solve the University's own operational sustainability challenges, alongside CLLAP projects reported by CI&amp;S, and share them with operational teams to identify further collaboration.</t>
        </is>
      </c>
      <c r="H14" s="8" t="inlineStr">
        <is>
          <t>2a</t>
        </is>
      </c>
      <c r="I14" s="8" t="inlineStr">
        <is>
          <t>Met or exceeded</t>
        </is>
      </c>
      <c r="J14"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4" s="8" t="inlineStr"/>
      <c r="L14" s="8" t="n"/>
      <c r="M14" s="8" t="n"/>
      <c r="N14" s="8" t="n"/>
      <c r="O14" s="8" t="n"/>
      <c r="P14" s="8" t="n"/>
      <c r="Q14" s="8" t="n"/>
      <c r="R14" s="8" t="n"/>
    </row>
    <row r="15" ht="150" customHeight="1">
      <c r="B15" s="7" t="inlineStr">
        <is>
          <t>TR1(b)</t>
        </is>
      </c>
      <c r="C15" s="50" t="inlineStr">
        <is>
          <t>Transformational research</t>
        </is>
      </c>
      <c r="D15" s="50" t="inlineStr">
        <is>
          <t>Utilise the expertise of the University’s researchers through mutually beneficial partnerships to help address the University’s operational sustainability challenges.</t>
        </is>
      </c>
      <c r="E15" s="50" t="inlineStr">
        <is>
          <t>Evidence of institutional pathways that enable ongoing collaboration between academic and professional staff</t>
        </is>
      </c>
      <c r="F15"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5" s="8" t="inlineStr">
        <is>
          <t>We will map existing academic–professional collaboration mechanisms across faculties to establish a baseline for this new indicator and identify models other faculties could adopt.</t>
        </is>
      </c>
      <c r="H15" s="8" t="inlineStr">
        <is>
          <t>N/A – new indicator</t>
        </is>
      </c>
      <c r="I15" s="8" t="inlineStr"/>
      <c r="J15" s="8" t="inlineStr"/>
      <c r="K15" s="8" t="inlineStr"/>
      <c r="L15" s="8" t="n"/>
      <c r="M15" s="8" t="n"/>
      <c r="N15" s="8" t="n"/>
      <c r="O15" s="8" t="n"/>
      <c r="P15" s="8" t="n"/>
      <c r="Q15" s="8" t="n"/>
      <c r="R15" s="8" t="n"/>
    </row>
    <row r="16" ht="150" customHeight="1">
      <c r="B16" s="7" t="inlineStr">
        <is>
          <t>TR1(c)</t>
        </is>
      </c>
      <c r="C16" s="50" t="inlineStr">
        <is>
          <t>Transformational research</t>
        </is>
      </c>
      <c r="D16" s="50" t="inlineStr">
        <is>
          <t>Utilise the expertise of the University’s researchers through mutually beneficial partnerships to help address the University’s operational sustainability challenges.</t>
        </is>
      </c>
      <c r="E16" s="50" t="inlineStr">
        <is>
          <t>Expert assessment of the quality, relevance and continuity of these collaborations</t>
        </is>
      </c>
      <c r="F16" s="8" t="inlineStr">
        <is>
          <t>For the collaborations described in TR1(a)–(b), please give a short assessment (a paragraph is sufficient) of their quality, relevance and continuity: are they ongoing, useful to the University's operational priorities, and producing outcomes?</t>
        </is>
      </c>
      <c r="G16" s="8" t="inlineStr">
        <is>
          <t>We will use your assessment to describe the quality and continuity of research–operations collaboration in the 2026 report, and as baseline evidence for the interim target status assessment from 2027.</t>
        </is>
      </c>
      <c r="H16" s="8" t="inlineStr">
        <is>
          <t>N/A – new indicator</t>
        </is>
      </c>
      <c r="I16" s="8" t="inlineStr"/>
      <c r="J16" s="8" t="inlineStr"/>
      <c r="K16" s="8" t="inlineStr"/>
      <c r="L16" s="8" t="n"/>
      <c r="M16" s="8" t="n"/>
      <c r="N16" s="8" t="n"/>
      <c r="O16" s="8" t="n"/>
      <c r="P16" s="8" t="n"/>
      <c r="Q16" s="8" t="n"/>
      <c r="R16" s="8" t="n"/>
    </row>
    <row r="17" ht="150" customHeight="1">
      <c r="B17" s="7" t="inlineStr">
        <is>
          <t>TR1(d)</t>
        </is>
      </c>
      <c r="C17" s="50" t="inlineStr">
        <is>
          <t>Transformational research</t>
        </is>
      </c>
      <c r="D17" s="50" t="inlineStr">
        <is>
          <t>Utilise the expertise of the University’s researchers through mutually beneficial partnerships to help address the University’s operational sustainability challenges.</t>
        </is>
      </c>
      <c r="E17" s="50" t="inlineStr">
        <is>
          <t>Periodic feedback from participants on the effectiveness and mutual benefit of collaboration mechanisms.</t>
        </is>
      </c>
      <c r="F17"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17" s="8" t="inlineStr">
        <is>
          <t>We will use any feedback to understand whether collaboration mechanisms are working and to inform improvements. Where none has been collected, this helps us plan how to gather feedback from 2027.</t>
        </is>
      </c>
      <c r="H17" s="8" t="inlineStr">
        <is>
          <t>N/A – new indicator</t>
        </is>
      </c>
      <c r="I17" s="8" t="inlineStr"/>
      <c r="J17" s="8" t="inlineStr"/>
      <c r="K17" s="8" t="inlineStr"/>
      <c r="L17" s="8" t="n"/>
      <c r="M17" s="8" t="n"/>
      <c r="N17" s="8" t="n"/>
      <c r="O17" s="8" t="n"/>
      <c r="P17" s="8" t="n"/>
      <c r="Q17" s="8" t="n"/>
      <c r="R17" s="8" t="n"/>
    </row>
    <row r="18" ht="150" customHeight="1">
      <c r="B18" s="7" t="inlineStr">
        <is>
          <t>TR2(a)</t>
        </is>
      </c>
      <c r="C18" s="50" t="inlineStr">
        <is>
          <t>Transformational research</t>
        </is>
      </c>
      <c r="D18" s="50" t="inlineStr">
        <is>
          <t>Deliver high-quality research and partnerships that contribute to sustainability outcomes and demonstrable societal benefit.</t>
        </is>
      </c>
      <c r="E18" s="50" t="inlineStr">
        <is>
          <t>Evidence of sustainability-related research impact across diverse pathways, could include policy, industry, community, practice, cultural and institutional outcomes</t>
        </is>
      </c>
      <c r="F18"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8" s="8" t="inlineStr">
        <is>
          <t>We will collate research impact examples across faculties to show the breadth of sustainability-related research impact in the Transformational research section of the 2026 Sustainability Report, complementing University-wide metrics from MRE.</t>
        </is>
      </c>
      <c r="H18" s="8" t="inlineStr">
        <is>
          <t>5b(i)</t>
        </is>
      </c>
      <c r="I18" s="8" t="inlineStr">
        <is>
          <t>Met or exceeded</t>
        </is>
      </c>
      <c r="J18"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8" s="8" t="inlineStr">
        <is>
          <t>www.beyondepic.io</t>
        </is>
      </c>
      <c r="L18" s="8" t="n"/>
      <c r="M18" s="8" t="n"/>
      <c r="N18" s="8" t="n"/>
      <c r="O18" s="8" t="n"/>
      <c r="P18" s="8" t="n"/>
      <c r="Q18" s="8" t="n"/>
      <c r="R18" s="8" t="n"/>
    </row>
    <row r="19" ht="150" customHeight="1">
      <c r="B19" s="7" t="inlineStr">
        <is>
          <t>TR2(d)</t>
        </is>
      </c>
      <c r="C19" s="50" t="inlineStr">
        <is>
          <t>Transformational research</t>
        </is>
      </c>
      <c r="D19" s="50" t="inlineStr">
        <is>
          <t>Deliver high-quality research and partnerships that contribute to sustainability outcomes and demonstrable societal benefit.</t>
        </is>
      </c>
      <c r="E19" s="50" t="inlineStr">
        <is>
          <t>Case-based evidence demonstrating how research has contributed to meaningful sustainability outcomes.</t>
        </is>
      </c>
      <c r="F19"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9" s="8" t="inlineStr">
        <is>
          <t>We will select the strongest examples to develop as full research case studies for the 2026 Sustainability Report (we may contact you for more detail and images).</t>
        </is>
      </c>
      <c r="H19" s="8" t="inlineStr">
        <is>
          <t>5b(i)</t>
        </is>
      </c>
      <c r="I19" s="8" t="inlineStr">
        <is>
          <t>Met or exceeded</t>
        </is>
      </c>
      <c r="J19"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8" t="inlineStr">
        <is>
          <t>www.beyondepic.io</t>
        </is>
      </c>
      <c r="L19" s="8" t="n"/>
      <c r="M19" s="8" t="n"/>
      <c r="N19" s="8" t="n"/>
      <c r="O19" s="8" t="n"/>
      <c r="P19" s="8" t="n"/>
      <c r="Q19" s="8" t="n"/>
      <c r="R19" s="8" t="n"/>
    </row>
    <row r="20" ht="150" customHeight="1">
      <c r="B20" s="7" t="inlineStr">
        <is>
          <t>TR3(a)</t>
        </is>
      </c>
      <c r="C20" s="50" t="inlineStr">
        <is>
          <t>Transformational research</t>
        </is>
      </c>
      <c r="D20" s="50" t="inlineStr">
        <is>
          <t>Embed sustainability within research systems, processes, capability and culture, so research is conducted responsibly, efficiently and with reduced environmental impact.</t>
        </is>
      </c>
      <c r="E20" s="50" t="inlineStr">
        <is>
          <t>Evidence that sustainability considerations are integrated into relevant research systems, planning processes, guidance, training, induction or support services</t>
        </is>
      </c>
      <c r="F20"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0" s="8" t="inlineStr">
        <is>
          <t>We will report on how sustainability is being built into research systems and support across the University, and use responses to establish a baseline for this new target.</t>
        </is>
      </c>
      <c r="H20" s="8" t="inlineStr">
        <is>
          <t>5c(ii)</t>
        </is>
      </c>
      <c r="I20" s="8" t="inlineStr">
        <is>
          <t>Partially met</t>
        </is>
      </c>
      <c r="J20"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0" s="8" t="inlineStr"/>
      <c r="L20" s="8" t="n"/>
      <c r="M20" s="8" t="n"/>
      <c r="N20" s="8" t="n"/>
      <c r="O20" s="8" t="n"/>
      <c r="P20" s="8" t="n"/>
      <c r="Q20" s="8" t="n"/>
      <c r="R20" s="8" t="n"/>
    </row>
    <row r="21" ht="150" customHeight="1">
      <c r="B21" s="7" t="inlineStr">
        <is>
          <t>TR3(b)</t>
        </is>
      </c>
      <c r="C21" s="50" t="inlineStr">
        <is>
          <t>Transformational research</t>
        </is>
      </c>
      <c r="D21" s="50" t="inlineStr">
        <is>
          <t>Embed sustainability within research systems, processes, capability and culture, so research is conducted responsibly, efficiently and with reduced environmental impact.</t>
        </is>
      </c>
      <c r="E21" s="50" t="inlineStr">
        <is>
          <t>Demonstrated examples of more sustainable research practices in laboratories, fieldwork, procurement, travel or infrastructure use</t>
        </is>
      </c>
      <c r="F21"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1" s="8" t="inlineStr">
        <is>
          <t>We will report on ways the University is making research practices more sustainable in the 2026 Sustainability Report, and share practical examples (e.g. green labs) across faculties.</t>
        </is>
      </c>
      <c r="H21" s="8" t="inlineStr">
        <is>
          <t>5c(ii)</t>
        </is>
      </c>
      <c r="I21" s="8" t="inlineStr">
        <is>
          <t>Partially met</t>
        </is>
      </c>
      <c r="J21"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8" t="inlineStr"/>
      <c r="L21" s="8" t="n"/>
      <c r="M21" s="8" t="n"/>
      <c r="N21" s="8" t="n"/>
      <c r="O21" s="8" t="n"/>
      <c r="P21" s="8" t="n"/>
      <c r="Q21" s="8" t="n"/>
      <c r="R21" s="8" t="n"/>
    </row>
    <row r="22" ht="150" customHeight="1">
      <c r="B22" s="7" t="inlineStr">
        <is>
          <t>TR3(c)</t>
        </is>
      </c>
      <c r="C22" s="50" t="inlineStr">
        <is>
          <t>Transformational research</t>
        </is>
      </c>
      <c r="D22" s="50" t="inlineStr">
        <is>
          <t>Embed sustainability within research systems, processes, capability and culture, so research is conducted responsibly, efficiently and with reduced environmental impact.</t>
        </is>
      </c>
      <c r="E22" s="50" t="inlineStr">
        <is>
          <t>Evidence of progress in sustainability-related research culture, capability and awareness, informed by periodic staff and graduate researcher surveys</t>
        </is>
      </c>
      <c r="F22"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2" s="8" t="inlineStr">
        <is>
          <t>We will use any survey or capability data to describe changes in sustainability-related research culture. Where no evidence exists, this helps us plan University-wide measurement (e.g. staff and graduate researcher surveys) from 2027.</t>
        </is>
      </c>
      <c r="H22" s="8" t="inlineStr">
        <is>
          <t>N/A – new indicator</t>
        </is>
      </c>
      <c r="I22" s="8" t="inlineStr"/>
      <c r="J22" s="8" t="inlineStr"/>
      <c r="K22" s="8" t="inlineStr"/>
      <c r="L22" s="8" t="n"/>
      <c r="M22" s="8" t="n"/>
      <c r="N22" s="8" t="n"/>
      <c r="O22" s="8" t="n"/>
      <c r="P22" s="8" t="n"/>
      <c r="Q22" s="8" t="n"/>
      <c r="R22" s="8" t="n"/>
    </row>
    <row r="23" ht="150" customHeight="1">
      <c r="B23" s="7" t="inlineStr">
        <is>
          <t>TR3(d)</t>
        </is>
      </c>
      <c r="C23" s="50" t="inlineStr">
        <is>
          <t>Transformational research</t>
        </is>
      </c>
      <c r="D23" s="50" t="inlineStr">
        <is>
          <t>Embed sustainability within research systems, processes, capability and culture, so research is conducted responsibly, efficiently and with reduced environmental impact.</t>
        </is>
      </c>
      <c r="E23" s="50" t="inlineStr">
        <is>
          <t>Expert assessment of progress in embedding sustainable research practices across the institution.</t>
        </is>
      </c>
      <c r="F23" s="8" t="inlineStr">
        <is>
          <t>Drawing on your responses to TR3(a)–(c), please provide a short overall assessment (2–3 sentences) of your faculty's progress in embedding sustainable research practices: where progress is strongest, the main gaps, and priority actions for 2027.</t>
        </is>
      </c>
      <c r="G23" s="8" t="inlineStr">
        <is>
          <t>We will use faculty self-assessments to identify strengths, gaps and priority actions in embedding sustainable research practices, to inform internal management reporting and the Transformational research working group.</t>
        </is>
      </c>
      <c r="H23" s="8" t="inlineStr">
        <is>
          <t>N/A – new indicator</t>
        </is>
      </c>
      <c r="I23" s="8" t="inlineStr"/>
      <c r="J23" s="8" t="inlineStr"/>
      <c r="K23" s="8" t="inlineStr"/>
      <c r="L23" s="8" t="n"/>
      <c r="M23" s="8" t="n"/>
      <c r="N23" s="8" t="n"/>
      <c r="O23" s="8" t="n"/>
      <c r="P23" s="8" t="n"/>
      <c r="Q23" s="8" t="n"/>
      <c r="R23" s="8" t="n"/>
    </row>
    <row r="24" ht="150" customHeight="1">
      <c r="B24" s="7" t="inlineStr">
        <is>
          <t>CL2(a)</t>
        </is>
      </c>
      <c r="C24" s="50" t="inlineStr">
        <is>
          <t>Climate leadership</t>
        </is>
      </c>
      <c r="D24" s="50" t="inlineStr">
        <is>
          <t>Develop understanding of our research and education programs that contribute to accelerating global decarbonisation and our own climate transition.</t>
        </is>
      </c>
      <c r="E24" s="50" t="inlineStr">
        <is>
          <t>By 2028, develop and document institutional mapping of research and education activities that are designed to contribute to global decarbonisation</t>
        </is>
      </c>
      <c r="F24"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24" s="8" t="inlineStr">
        <is>
          <t>We will use these examples to show how the University communicates climate research and learning to external audiences, and as an input to the institutional decarbonisation research and education mapping due by 2028.</t>
        </is>
      </c>
      <c r="H24" s="8" t="inlineStr">
        <is>
          <t>N/A – new indicator</t>
        </is>
      </c>
      <c r="I24" s="8" t="inlineStr"/>
      <c r="J24" s="8" t="inlineStr"/>
      <c r="K24" s="8" t="inlineStr"/>
      <c r="L24" s="8" t="n"/>
      <c r="M24" s="8" t="n"/>
      <c r="N24" s="8" t="n"/>
      <c r="O24" s="8" t="n"/>
      <c r="P24" s="8" t="n"/>
      <c r="Q24" s="8" t="n"/>
      <c r="R24" s="8" t="n"/>
    </row>
    <row r="25" ht="150" customHeight="1">
      <c r="B25" s="7" t="inlineStr">
        <is>
          <t>CL2(c)</t>
        </is>
      </c>
      <c r="C25" s="50" t="inlineStr">
        <is>
          <t>Climate leadership</t>
        </is>
      </c>
      <c r="D25" s="50" t="inlineStr">
        <is>
          <t>Develop understanding of our research and education programs that contribute to accelerating global decarbonisation and our own climate transition.</t>
        </is>
      </c>
      <c r="E25" s="50" t="inlineStr">
        <is>
          <t>Ongoing communications that evidence the University’s climate action, research and learning to inform policy, sector and community decarbonisation efforts.</t>
        </is>
      </c>
      <c r="F25"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25" s="8" t="inlineStr">
        <is>
          <t>We will report on the University's ongoing climate communications in the Climate leadership section of the 2026 Sustainability Report, alongside contributions from Melbourne Climate Futures and the Melbourne Energy Institute.</t>
        </is>
      </c>
      <c r="H25" s="8" t="inlineStr">
        <is>
          <t>N/A – new indicator</t>
        </is>
      </c>
      <c r="I25" s="8" t="inlineStr"/>
      <c r="J25" s="8" t="inlineStr"/>
      <c r="K25" s="8" t="inlineStr"/>
      <c r="L25" s="8" t="n"/>
      <c r="M25" s="8" t="n"/>
      <c r="N25" s="8" t="n"/>
      <c r="O25" s="8" t="n"/>
      <c r="P25" s="8" t="n"/>
      <c r="Q25" s="8" t="n"/>
      <c r="R25" s="8" t="n"/>
    </row>
    <row r="26" ht="150" customHeight="1">
      <c r="B26" s="7" t="inlineStr">
        <is>
          <t>EN1(a)</t>
        </is>
      </c>
      <c r="C26" s="50" t="inlineStr">
        <is>
          <t>Enablers</t>
        </is>
      </c>
      <c r="D26" s="50" t="inlineStr">
        <is>
          <t>Enablers</t>
        </is>
      </c>
      <c r="E26" s="50" t="inlineStr">
        <is>
          <t>Evidence of sustainability outcomes informed by Indigenous knowledges</t>
        </is>
      </c>
      <c r="F26" s="8" t="inlineStr">
        <is>
          <t>In end-2025 reporting your faculty reported on the related SP2030 target 6a and rated it 'Met or exceeded'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6" s="8" t="inlineStr">
        <is>
          <t>We will report on the ways Indigenous knowledges inform sustainability activities across the University, and develop selected examples into case studies with appropriate permissions.</t>
        </is>
      </c>
      <c r="H26" s="8" t="inlineStr">
        <is>
          <t>6a</t>
        </is>
      </c>
      <c r="I26" s="8" t="inlineStr">
        <is>
          <t>Met or exceeded</t>
        </is>
      </c>
      <c r="J2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6" s="8" t="inlineStr"/>
      <c r="L26" s="8" t="n"/>
      <c r="M26" s="8" t="n"/>
      <c r="N26" s="8" t="n"/>
      <c r="O26" s="8" t="n"/>
      <c r="P26" s="8" t="n"/>
      <c r="Q26" s="8" t="n"/>
      <c r="R26" s="8" t="n"/>
    </row>
    <row r="27" ht="150" customHeight="1">
      <c r="B27" s="7" t="inlineStr">
        <is>
          <t>EN1(b)</t>
        </is>
      </c>
      <c r="C27" s="50" t="inlineStr">
        <is>
          <t>Enablers</t>
        </is>
      </c>
      <c r="D27" s="50" t="inlineStr">
        <is>
          <t>Enablers</t>
        </is>
      </c>
      <c r="E27" s="50" t="inlineStr">
        <is>
          <t>Living laboratories enabling applied learning, research and operational sustainability outcomes</t>
        </is>
      </c>
      <c r="F27"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27" s="8" t="inlineStr">
        <is>
          <t>We will share examples of living labs from across the University in the 2026 Sustainability Report, alongside CLLAP projects reported by CI&amp;S.</t>
        </is>
      </c>
      <c r="H27" s="8" t="inlineStr">
        <is>
          <t>2a</t>
        </is>
      </c>
      <c r="I27" s="8" t="inlineStr">
        <is>
          <t>Met or exceeded</t>
        </is>
      </c>
      <c r="J2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7" s="8" t="inlineStr"/>
      <c r="L27" s="8" t="n"/>
      <c r="M27" s="8" t="n"/>
      <c r="N27" s="8" t="n"/>
      <c r="O27" s="8" t="n"/>
      <c r="P27" s="8" t="n"/>
      <c r="Q27" s="8" t="n"/>
      <c r="R27" s="8" t="n"/>
    </row>
    <row r="28" ht="150" customHeight="1">
      <c r="B28" s="7" t="inlineStr">
        <is>
          <t>EN1(c)</t>
        </is>
      </c>
      <c r="C28" s="50" t="inlineStr">
        <is>
          <t>Enablers</t>
        </is>
      </c>
      <c r="D28" s="50" t="inlineStr">
        <is>
          <t>Enablers</t>
        </is>
      </c>
      <c r="E28" s="50" t="inlineStr">
        <is>
          <t>Coordinated internal engagement and external partnerships contributing to delivery of sustainability outcomes across priority areas.</t>
        </is>
      </c>
      <c r="F2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28" s="8" t="inlineStr">
        <is>
          <t>We will report on internal engagement and partnerships contributing to Sustainability 2030 outcomes, and update our record of sustainability-focused communities of practice and contacts across the University.</t>
        </is>
      </c>
      <c r="H28" s="8" t="inlineStr">
        <is>
          <t>3a(ii)</t>
        </is>
      </c>
      <c r="I28" s="8" t="inlineStr">
        <is>
          <t>Met or exceeded</t>
        </is>
      </c>
      <c r="J2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8" s="8" t="inlineStr"/>
      <c r="L28" s="8" t="n"/>
      <c r="M28" s="8" t="n"/>
      <c r="N28" s="8" t="n"/>
      <c r="O28" s="8" t="n"/>
      <c r="P28" s="8" t="n"/>
      <c r="Q28" s="8" t="n"/>
      <c r="R28" s="8" t="n"/>
    </row>
    <row r="29" ht="150" customHeight="1">
      <c r="B29" s="7" t="inlineStr">
        <is>
          <t>EN1(d)</t>
        </is>
      </c>
      <c r="C29" s="50" t="inlineStr">
        <is>
          <t>Enablers</t>
        </is>
      </c>
      <c r="D29" s="50" t="inlineStr">
        <is>
          <t>Enablers</t>
        </is>
      </c>
      <c r="E29" s="50" t="inlineStr">
        <is>
          <t>Sustainability objectives integrated into governance and decision‑making processes, supported by transparent reporting.</t>
        </is>
      </c>
      <c r="F29"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9" s="8" t="inlineStr">
        <is>
          <t>We will report on how sustainability is integrated into governance and decision-making across faculties and portfolios, and use responses as a baseline for the governance enabler from 2027.</t>
        </is>
      </c>
      <c r="H29" s="8" t="inlineStr">
        <is>
          <t>N/A – new indicator</t>
        </is>
      </c>
      <c r="I29" s="8" t="inlineStr"/>
      <c r="J29" s="8" t="inlineStr"/>
      <c r="K29" s="8" t="inlineStr"/>
      <c r="L29" s="8" t="n"/>
      <c r="M29" s="8" t="n"/>
      <c r="N29" s="8" t="n"/>
      <c r="O29" s="8" t="n"/>
      <c r="P29" s="8" t="n"/>
      <c r="Q29" s="8" t="n"/>
      <c r="R29" s="8" t="n"/>
    </row>
    <row r="30"/>
    <row r="32">
      <c r="B32" s="45" t="inlineStr">
        <is>
          <t>1.2  ARTS – Faculty of Arts</t>
        </is>
      </c>
    </row>
    <row r="34">
      <c r="C34" s="46" t="inlineStr">
        <is>
          <t>Sustainability 2030 target and indicator</t>
        </is>
      </c>
      <c r="H34" s="46" t="inlineStr">
        <is>
          <t>End-2025 reporting (click the ref to see your full SR25 response; [+] above expands a summary)</t>
        </is>
      </c>
      <c r="L34" s="47" t="inlineStr">
        <is>
          <t>End-2026 reporting (PLEASE COMPLETE THIS SECTION)</t>
        </is>
      </c>
    </row>
    <row r="35">
      <c r="B35" s="6" t="inlineStr">
        <is>
          <t>Ref</t>
        </is>
      </c>
      <c r="C35" s="6" t="inlineStr">
        <is>
          <t>Priority area</t>
        </is>
      </c>
      <c r="D35" s="6" t="inlineStr">
        <is>
          <t>Sustainability 2030 target</t>
        </is>
      </c>
      <c r="E35" s="6" t="inlineStr">
        <is>
          <t>Indicator</t>
        </is>
      </c>
      <c r="F35" s="6" t="inlineStr">
        <is>
          <t>2026 Reporting request</t>
        </is>
      </c>
      <c r="G35" s="6" t="inlineStr">
        <is>
          <t>How SST will use this data</t>
        </is>
      </c>
      <c r="H35" s="6" t="inlineStr">
        <is>
          <t>Related SR25 ref</t>
        </is>
      </c>
      <c r="I35" s="6" t="inlineStr">
        <is>
          <t>End-2025 confirmed status</t>
        </is>
      </c>
      <c r="J35" s="6" t="inlineStr">
        <is>
          <t>End-2025 reporting response</t>
        </is>
      </c>
      <c r="K35" s="6" t="inlineStr">
        <is>
          <t>Links and supporting information</t>
        </is>
      </c>
      <c r="L35" s="48" t="inlineStr">
        <is>
          <t>Confirm end-2026 target status</t>
        </is>
      </c>
      <c r="M35" s="48" t="inlineStr">
        <is>
          <t>OPTION 1:  Target-level reporting (Column D)</t>
        </is>
      </c>
      <c r="N35" s="48" t="inlineStr">
        <is>
          <t>OPTION 2:  Indicator level reporting (Column E/F)</t>
        </is>
      </c>
      <c r="O35" s="48" t="inlineStr">
        <is>
          <t>Supporting information/comments</t>
        </is>
      </c>
      <c r="P35" s="48" t="inlineStr">
        <is>
          <t>Data source and limitations</t>
        </is>
      </c>
      <c r="Q35" s="48" t="inlineStr">
        <is>
          <t>Data owner confirms information is accurate</t>
        </is>
      </c>
      <c r="R35" s="48" t="inlineStr">
        <is>
          <t>Confirmed by (name, role, date)</t>
        </is>
      </c>
    </row>
    <row r="36">
      <c r="B36" s="49" t="inlineStr"/>
      <c r="C36" s="49" t="inlineStr"/>
      <c r="D36" s="49" t="inlineStr"/>
      <c r="E36" s="49" t="inlineStr"/>
      <c r="F36" s="49" t="inlineStr"/>
      <c r="G36" s="49" t="inlineStr"/>
      <c r="H36" s="49" t="inlineStr"/>
      <c r="I36" s="49" t="inlineStr"/>
      <c r="J36" s="49" t="inlineStr"/>
      <c r="K36" s="49" t="inlineStr"/>
      <c r="L36" s="49" t="inlineStr">
        <is>
          <t>(Met or exceeded; partially met; not met; not yet started)</t>
        </is>
      </c>
      <c r="M36" s="49" t="inlineStr">
        <is>
          <t>Provide further evidence of target status assessment in the form of:
A general update on activities in relation to the overarching target (Column D)</t>
        </is>
      </c>
      <c r="N36" s="49" t="inlineStr">
        <is>
          <t>Provide further evidence of target status assessment in the form of:
Data and commentary in direct response to the reporting request (Column F)</t>
        </is>
      </c>
      <c r="O36" s="49" t="inlineStr">
        <is>
          <t>Provide any additional information to support the target status assessment (e.g. links, images, rationale for selection of target status)</t>
        </is>
      </c>
      <c r="P36" s="49" t="inlineStr">
        <is>
          <t>Where did this information come from (system, report, survey, person)? Note any gaps or limitations.</t>
        </is>
      </c>
      <c r="Q36" s="49" t="inlineStr">
        <is>
          <t>Select 'Yes' to confirm the information provided is accurate and can be used for reporting</t>
        </is>
      </c>
      <c r="R36" s="49" t="inlineStr">
        <is>
          <t>Name, role and date of the person confirming</t>
        </is>
      </c>
    </row>
    <row r="37" ht="150" customHeight="1">
      <c r="B37" s="7" t="inlineStr">
        <is>
          <t>EE1(a)</t>
        </is>
      </c>
      <c r="C37" s="50" t="inlineStr">
        <is>
          <t>Exceptional education</t>
        </is>
      </c>
      <c r="D37" s="50" t="inlineStr">
        <is>
          <t>Provide our students with learning experiences that help them build the knowledge, skills and relationships to lead change for sustainable societies.</t>
        </is>
      </c>
      <c r="E37" s="50" t="inlineStr">
        <is>
          <t>Evidence of innovative approaches to sustainability teaching and learning</t>
        </is>
      </c>
      <c r="F37"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37" s="8" t="inlineStr">
        <is>
          <t>We will collate examples of innovative sustainability teaching and learning across faculties to inform the Exceptional education section of the 2026 Sustainability Report, and select one or two for short case studies.</t>
        </is>
      </c>
      <c r="H37" s="8" t="inlineStr">
        <is>
          <t>4a(ii)</t>
        </is>
      </c>
      <c r="I37" s="8" t="inlineStr">
        <is>
          <t>Partially met</t>
        </is>
      </c>
      <c r="J37"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37" s="8" t="inlineStr"/>
      <c r="L37" s="8" t="n"/>
      <c r="M37" s="8" t="n"/>
      <c r="N37" s="8" t="n"/>
      <c r="O37" s="8" t="n"/>
      <c r="P37" s="8" t="n"/>
      <c r="Q37" s="8" t="n"/>
      <c r="R37" s="8" t="n"/>
    </row>
    <row r="38" ht="150" customHeight="1">
      <c r="B38" s="7" t="inlineStr">
        <is>
          <t>EE1(b)</t>
        </is>
      </c>
      <c r="C38" s="50" t="inlineStr">
        <is>
          <t>Exceptional education</t>
        </is>
      </c>
      <c r="D38" s="50" t="inlineStr">
        <is>
          <t>Provide our students with learning experiences that help them build the knowledge, skills and relationships to lead change for sustainable societies.</t>
        </is>
      </c>
      <c r="E38" s="50" t="inlineStr">
        <is>
          <t>Pilots of possible approaches for understanding and developing students’ sustainability self-efficacy</t>
        </is>
      </c>
      <c r="F38"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38" s="8" t="inlineStr">
        <is>
          <t>This is a new indicator. We will use responses to establish a baseline of how (and whether) faculties are understanding student sustainability self-efficacy, and report on early pilots in the 2026 Sustainability Report. A nil response is useful to us.</t>
        </is>
      </c>
      <c r="H38" s="8" t="inlineStr">
        <is>
          <t>N/A – new indicator</t>
        </is>
      </c>
      <c r="I38" s="8" t="inlineStr"/>
      <c r="J38" s="8" t="inlineStr"/>
      <c r="K38" s="8" t="inlineStr"/>
      <c r="L38" s="8" t="n"/>
      <c r="M38" s="8" t="n"/>
      <c r="N38" s="8" t="n"/>
      <c r="O38" s="8" t="n"/>
      <c r="P38" s="8" t="n"/>
      <c r="Q38" s="8" t="n"/>
      <c r="R38" s="8" t="n"/>
    </row>
    <row r="39" ht="150" customHeight="1">
      <c r="B39" s="7" t="inlineStr">
        <is>
          <t>EE1(c)</t>
        </is>
      </c>
      <c r="C39" s="50" t="inlineStr">
        <is>
          <t>Exceptional education</t>
        </is>
      </c>
      <c r="D39" s="50" t="inlineStr">
        <is>
          <t>Provide our students with learning experiences that help them build the knowledge, skills and relationships to lead change for sustainable societies.</t>
        </is>
      </c>
      <c r="E39" s="50" t="inlineStr">
        <is>
          <t>Evidence of sustainability focused experiential and co curricular learning (eg Wattle Fellowship; Melbourne Plus)</t>
        </is>
      </c>
      <c r="F39"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39" s="8" t="inlineStr">
        <is>
          <t>We will combine faculty examples with central Wattle Fellowship and Melbourne Plus data to report on the range and reach of sustainability-focused experiential and co-curricular learning across the University.</t>
        </is>
      </c>
      <c r="H39" s="8" t="inlineStr">
        <is>
          <t>N/A – new indicator</t>
        </is>
      </c>
      <c r="I39" s="8" t="inlineStr"/>
      <c r="J39" s="8" t="inlineStr"/>
      <c r="K39" s="8" t="inlineStr"/>
      <c r="L39" s="8" t="n"/>
      <c r="M39" s="8" t="n"/>
      <c r="N39" s="8" t="n"/>
      <c r="O39" s="8" t="n"/>
      <c r="P39" s="8" t="n"/>
      <c r="Q39" s="8" t="n"/>
      <c r="R39" s="8" t="n"/>
    </row>
    <row r="40" ht="150" customHeight="1">
      <c r="B40" s="7" t="inlineStr">
        <is>
          <t>EE1(d)</t>
        </is>
      </c>
      <c r="C40" s="50" t="inlineStr">
        <is>
          <t>Exceptional education</t>
        </is>
      </c>
      <c r="D40" s="50" t="inlineStr">
        <is>
          <t>Provide our students with learning experiences that help them build the knowledge, skills and relationships to lead change for sustainable societies.</t>
        </is>
      </c>
      <c r="E40" s="50" t="inlineStr">
        <is>
          <t>Alumni profiles demonstrating how graduates contribute to sustainability through their careers or communities.</t>
        </is>
      </c>
      <c r="F40" s="8" t="inlineStr">
        <is>
          <t>In end-2025 reporting your faculty reported on the related SP2030 target 4b(i) and rated it 'Partially met'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40" s="8" t="inlineStr">
        <is>
          <t>We will use nominated alumni to develop short graduate profiles for the 2026 Sustainability Report (subject to consent), and record any faculty approaches to tracking graduate outcomes to inform how this indicator is measured from 2027.</t>
        </is>
      </c>
      <c r="H40" s="8" t="inlineStr">
        <is>
          <t>4b(i)</t>
        </is>
      </c>
      <c r="I40" s="8" t="inlineStr">
        <is>
          <t>Partially met</t>
        </is>
      </c>
      <c r="J40" s="8" t="inlineStr">
        <is>
          <t>See previous response. (copied below)
While the Faculty is certainly producing such graduates, because we are a very early stage of curriculum mapping, we're unable to provide the relevant empirical data.</t>
        </is>
      </c>
      <c r="K40" s="8" t="inlineStr"/>
      <c r="L40" s="8" t="n"/>
      <c r="M40" s="8" t="n"/>
      <c r="N40" s="8" t="n"/>
      <c r="O40" s="8" t="n"/>
      <c r="P40" s="8" t="n"/>
      <c r="Q40" s="8" t="n"/>
      <c r="R40" s="8" t="n"/>
    </row>
    <row r="41" ht="150" customHeight="1">
      <c r="B41" s="7" t="inlineStr">
        <is>
          <t>TR1(a)</t>
        </is>
      </c>
      <c r="C41" s="50" t="inlineStr">
        <is>
          <t>Transformational research</t>
        </is>
      </c>
      <c r="D41" s="50" t="inlineStr">
        <is>
          <t>Utilise the expertise of the University’s researchers through mutually beneficial partnerships to help address the University’s operational sustainability challenges.</t>
        </is>
      </c>
      <c r="E41" s="50" t="inlineStr">
        <is>
          <t>Expert-reviewed evidence of researchers contributing to operational sustainability priorities through partnerships, advisory input, living labs, applied projects or decision-support</t>
        </is>
      </c>
      <c r="F41" s="8" t="inlineStr">
        <is>
          <t>In end-2025 reporting your faculty reported on the related SP2030 target 2a and rated it 'Met or exceeded'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41" s="8" t="inlineStr">
        <is>
          <t>We will report on examples of researchers helping solve the University's own operational sustainability challenges, alongside CLLAP projects reported by CI&amp;S, and share them with operational teams to identify further collaboration.</t>
        </is>
      </c>
      <c r="H41" s="8" t="inlineStr">
        <is>
          <t>2a</t>
        </is>
      </c>
      <c r="I41" s="8" t="inlineStr">
        <is>
          <t>Met or exceeded</t>
        </is>
      </c>
      <c r="J41" s="8" t="inlineStr">
        <is>
          <t>See attached report. (RH note: Saved in responses folder)</t>
        </is>
      </c>
      <c r="K41" s="8" t="inlineStr">
        <is>
          <t>Draft report on the Living Lab project is here: Report John Medley Living Lab Project FINAL.docx</t>
        </is>
      </c>
      <c r="L41" s="8" t="n"/>
      <c r="M41" s="8" t="n"/>
      <c r="N41" s="8" t="n"/>
      <c r="O41" s="8" t="n"/>
      <c r="P41" s="8" t="n"/>
      <c r="Q41" s="8" t="n"/>
      <c r="R41" s="8" t="n"/>
    </row>
    <row r="42" ht="150" customHeight="1">
      <c r="B42" s="7" t="inlineStr">
        <is>
          <t>TR1(b)</t>
        </is>
      </c>
      <c r="C42" s="50" t="inlineStr">
        <is>
          <t>Transformational research</t>
        </is>
      </c>
      <c r="D42" s="50" t="inlineStr">
        <is>
          <t>Utilise the expertise of the University’s researchers through mutually beneficial partnerships to help address the University’s operational sustainability challenges.</t>
        </is>
      </c>
      <c r="E42" s="50" t="inlineStr">
        <is>
          <t>Evidence of institutional pathways that enable ongoing collaboration between academic and professional staff</t>
        </is>
      </c>
      <c r="F42"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42" s="8" t="inlineStr">
        <is>
          <t>We will map existing academic–professional collaboration mechanisms across faculties to establish a baseline for this new indicator and identify models other faculties could adopt.</t>
        </is>
      </c>
      <c r="H42" s="8" t="inlineStr">
        <is>
          <t>N/A – new indicator</t>
        </is>
      </c>
      <c r="I42" s="8" t="inlineStr"/>
      <c r="J42" s="8" t="inlineStr"/>
      <c r="K42" s="8" t="inlineStr"/>
      <c r="L42" s="8" t="n"/>
      <c r="M42" s="8" t="n"/>
      <c r="N42" s="8" t="n"/>
      <c r="O42" s="8" t="n"/>
      <c r="P42" s="8" t="n"/>
      <c r="Q42" s="8" t="n"/>
      <c r="R42" s="8" t="n"/>
    </row>
    <row r="43" ht="150" customHeight="1">
      <c r="B43" s="7" t="inlineStr">
        <is>
          <t>TR1(c)</t>
        </is>
      </c>
      <c r="C43" s="50" t="inlineStr">
        <is>
          <t>Transformational research</t>
        </is>
      </c>
      <c r="D43" s="50" t="inlineStr">
        <is>
          <t>Utilise the expertise of the University’s researchers through mutually beneficial partnerships to help address the University’s operational sustainability challenges.</t>
        </is>
      </c>
      <c r="E43" s="50" t="inlineStr">
        <is>
          <t>Expert assessment of the quality, relevance and continuity of these collaborations</t>
        </is>
      </c>
      <c r="F43" s="8" t="inlineStr">
        <is>
          <t>For the collaborations described in TR1(a)–(b), please give a short assessment (a paragraph is sufficient) of their quality, relevance and continuity: are they ongoing, useful to the University's operational priorities, and producing outcomes?</t>
        </is>
      </c>
      <c r="G43" s="8" t="inlineStr">
        <is>
          <t>We will use your assessment to describe the quality and continuity of research–operations collaboration in the 2026 report, and as baseline evidence for the interim target status assessment from 2027.</t>
        </is>
      </c>
      <c r="H43" s="8" t="inlineStr">
        <is>
          <t>N/A – new indicator</t>
        </is>
      </c>
      <c r="I43" s="8" t="inlineStr"/>
      <c r="J43" s="8" t="inlineStr"/>
      <c r="K43" s="8" t="inlineStr"/>
      <c r="L43" s="8" t="n"/>
      <c r="M43" s="8" t="n"/>
      <c r="N43" s="8" t="n"/>
      <c r="O43" s="8" t="n"/>
      <c r="P43" s="8" t="n"/>
      <c r="Q43" s="8" t="n"/>
      <c r="R43" s="8" t="n"/>
    </row>
    <row r="44" ht="150" customHeight="1">
      <c r="B44" s="7" t="inlineStr">
        <is>
          <t>TR1(d)</t>
        </is>
      </c>
      <c r="C44" s="50" t="inlineStr">
        <is>
          <t>Transformational research</t>
        </is>
      </c>
      <c r="D44" s="50" t="inlineStr">
        <is>
          <t>Utilise the expertise of the University’s researchers through mutually beneficial partnerships to help address the University’s operational sustainability challenges.</t>
        </is>
      </c>
      <c r="E44" s="50" t="inlineStr">
        <is>
          <t>Periodic feedback from participants on the effectiveness and mutual benefit of collaboration mechanisms.</t>
        </is>
      </c>
      <c r="F44"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44" s="8" t="inlineStr">
        <is>
          <t>We will use any feedback to understand whether collaboration mechanisms are working and to inform improvements. Where none has been collected, this helps us plan how to gather feedback from 2027.</t>
        </is>
      </c>
      <c r="H44" s="8" t="inlineStr">
        <is>
          <t>N/A – new indicator</t>
        </is>
      </c>
      <c r="I44" s="8" t="inlineStr"/>
      <c r="J44" s="8" t="inlineStr"/>
      <c r="K44" s="8" t="inlineStr"/>
      <c r="L44" s="8" t="n"/>
      <c r="M44" s="8" t="n"/>
      <c r="N44" s="8" t="n"/>
      <c r="O44" s="8" t="n"/>
      <c r="P44" s="8" t="n"/>
      <c r="Q44" s="8" t="n"/>
      <c r="R44" s="8" t="n"/>
    </row>
    <row r="45" ht="150" customHeight="1">
      <c r="B45" s="7" t="inlineStr">
        <is>
          <t>TR2(a)</t>
        </is>
      </c>
      <c r="C45" s="50" t="inlineStr">
        <is>
          <t>Transformational research</t>
        </is>
      </c>
      <c r="D45" s="50" t="inlineStr">
        <is>
          <t>Deliver high-quality research and partnerships that contribute to sustainability outcomes and demonstrable societal benefit.</t>
        </is>
      </c>
      <c r="E45" s="50"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Met or exceeded</t>
        </is>
      </c>
      <c r="J45" s="8" t="inlineStr">
        <is>
          <t>In addition to the matters listed at mid-2025, the Ass Dean joined the Board of MBI and hosted a major showcase of MBI activities to Arts Faculty researchers which boosted involvement in the BDI's researech clusters</t>
        </is>
      </c>
      <c r="K45" s="8" t="inlineStr"/>
      <c r="L45" s="8" t="n"/>
      <c r="M45" s="8" t="n"/>
      <c r="N45" s="8" t="n"/>
      <c r="O45" s="8" t="n"/>
      <c r="P45" s="8" t="n"/>
      <c r="Q45" s="8" t="n"/>
      <c r="R45" s="8" t="n"/>
    </row>
    <row r="46" ht="150" customHeight="1">
      <c r="B46" s="7" t="inlineStr">
        <is>
          <t>TR2(d)</t>
        </is>
      </c>
      <c r="C46" s="50" t="inlineStr">
        <is>
          <t>Transformational research</t>
        </is>
      </c>
      <c r="D46" s="50" t="inlineStr">
        <is>
          <t>Deliver high-quality research and partnerships that contribute to sustainability outcomes and demonstrable societal benefit.</t>
        </is>
      </c>
      <c r="E46" s="50" t="inlineStr">
        <is>
          <t>Case-based evidence demonstrating how research has contributed to meaningful sustainability outcomes.</t>
        </is>
      </c>
      <c r="F46"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Met or exceeded</t>
        </is>
      </c>
      <c r="J46" s="8" t="inlineStr">
        <is>
          <t>In addition to the matters listed at mid-2025, the Ass Dean joined the Board of MBI and hosted a major showcase of MBI activities to Arts Faculty researchers which boosted involvement in the BDI's researech clusters</t>
        </is>
      </c>
      <c r="K46" s="8" t="inlineStr"/>
      <c r="L46" s="8" t="n"/>
      <c r="M46" s="8" t="n"/>
      <c r="N46" s="8" t="n"/>
      <c r="O46" s="8" t="n"/>
      <c r="P46" s="8" t="n"/>
      <c r="Q46" s="8" t="n"/>
      <c r="R46" s="8" t="n"/>
    </row>
    <row r="47" ht="150" customHeight="1">
      <c r="B47" s="7" t="inlineStr">
        <is>
          <t>TR3(a)</t>
        </is>
      </c>
      <c r="C47" s="50" t="inlineStr">
        <is>
          <t>Transformational research</t>
        </is>
      </c>
      <c r="D47" s="50" t="inlineStr">
        <is>
          <t>Embed sustainability within research systems, processes, capability and culture, so research is conducted responsibly, efficiently and with reduced environmental impact.</t>
        </is>
      </c>
      <c r="E47" s="50" t="inlineStr">
        <is>
          <t>Evidence that sustainability considerations are integrated into relevant research systems, planning processes, guidance, training, induction or support services</t>
        </is>
      </c>
      <c r="F47" s="8" t="inlineStr">
        <is>
          <t>In end-2025 reporting your faculty reported on the related SP2030 target 5c(ii) and rated it 'Not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47" s="8" t="inlineStr">
        <is>
          <t>We will report on how sustainability is being built into research systems and support across the University, and use responses to establish a baseline for this new target.</t>
        </is>
      </c>
      <c r="H47" s="8" t="inlineStr">
        <is>
          <t>5c(ii)</t>
        </is>
      </c>
      <c r="I47" s="8" t="inlineStr">
        <is>
          <t>Not met</t>
        </is>
      </c>
      <c r="J47" s="8" t="inlineStr">
        <is>
          <t>This needs more specific attention
In general terms, the Faculty has focused on reducing air travel, the major environmental impact of our research activity.</t>
        </is>
      </c>
      <c r="K47" s="8" t="inlineStr"/>
      <c r="L47" s="8" t="n"/>
      <c r="M47" s="8" t="n"/>
      <c r="N47" s="8" t="n"/>
      <c r="O47" s="8" t="n"/>
      <c r="P47" s="8" t="n"/>
      <c r="Q47" s="8" t="n"/>
      <c r="R47" s="8" t="n"/>
    </row>
    <row r="48" ht="150" customHeight="1">
      <c r="B48" s="7" t="inlineStr">
        <is>
          <t>TR3(b)</t>
        </is>
      </c>
      <c r="C48" s="50" t="inlineStr">
        <is>
          <t>Transformational research</t>
        </is>
      </c>
      <c r="D48" s="50" t="inlineStr">
        <is>
          <t>Embed sustainability within research systems, processes, capability and culture, so research is conducted responsibly, efficiently and with reduced environmental impact.</t>
        </is>
      </c>
      <c r="E48" s="50" t="inlineStr">
        <is>
          <t>Demonstrated examples of more sustainable research practices in laboratories, fieldwork, procurement, travel or infrastructure use</t>
        </is>
      </c>
      <c r="F48"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48" s="8" t="inlineStr">
        <is>
          <t>We will report on ways the University is making research practices more sustainable in the 2026 Sustainability Report, and share practical examples (e.g. green labs) across faculties.</t>
        </is>
      </c>
      <c r="H48" s="8" t="inlineStr">
        <is>
          <t>5c(ii)</t>
        </is>
      </c>
      <c r="I48" s="8" t="inlineStr">
        <is>
          <t>Not met</t>
        </is>
      </c>
      <c r="J48" s="8" t="inlineStr">
        <is>
          <t>This needs more specific attention
In general terms, the Faculty has focused on reducing air travel, the major environmental impact of our research activity.</t>
        </is>
      </c>
      <c r="K48" s="8" t="inlineStr"/>
      <c r="L48" s="8" t="n"/>
      <c r="M48" s="8" t="n"/>
      <c r="N48" s="8" t="n"/>
      <c r="O48" s="8" t="n"/>
      <c r="P48" s="8" t="n"/>
      <c r="Q48" s="8" t="n"/>
      <c r="R48" s="8" t="n"/>
    </row>
    <row r="49" ht="150" customHeight="1">
      <c r="B49" s="7" t="inlineStr">
        <is>
          <t>TR3(c)</t>
        </is>
      </c>
      <c r="C49" s="50" t="inlineStr">
        <is>
          <t>Transformational research</t>
        </is>
      </c>
      <c r="D49" s="50" t="inlineStr">
        <is>
          <t>Embed sustainability within research systems, processes, capability and culture, so research is conducted responsibly, efficiently and with reduced environmental impact.</t>
        </is>
      </c>
      <c r="E49" s="50" t="inlineStr">
        <is>
          <t>Evidence of progress in sustainability-related research culture, capability and awareness, informed by periodic staff and graduate researcher surveys</t>
        </is>
      </c>
      <c r="F49"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49" s="8" t="inlineStr">
        <is>
          <t>We will use any survey or capability data to describe changes in sustainability-related research culture. Where no evidence exists, this helps us plan University-wide measurement (e.g. staff and graduate researcher surveys) from 2027.</t>
        </is>
      </c>
      <c r="H49" s="8" t="inlineStr">
        <is>
          <t>N/A – new indicator</t>
        </is>
      </c>
      <c r="I49" s="8" t="inlineStr"/>
      <c r="J49" s="8" t="inlineStr"/>
      <c r="K49" s="8" t="inlineStr"/>
      <c r="L49" s="8" t="n"/>
      <c r="M49" s="8" t="n"/>
      <c r="N49" s="8" t="n"/>
      <c r="O49" s="8" t="n"/>
      <c r="P49" s="8" t="n"/>
      <c r="Q49" s="8" t="n"/>
      <c r="R49" s="8" t="n"/>
    </row>
    <row r="50" ht="150" customHeight="1">
      <c r="B50" s="7" t="inlineStr">
        <is>
          <t>TR3(d)</t>
        </is>
      </c>
      <c r="C50" s="50" t="inlineStr">
        <is>
          <t>Transformational research</t>
        </is>
      </c>
      <c r="D50" s="50" t="inlineStr">
        <is>
          <t>Embed sustainability within research systems, processes, capability and culture, so research is conducted responsibly, efficiently and with reduced environmental impact.</t>
        </is>
      </c>
      <c r="E50" s="50" t="inlineStr">
        <is>
          <t>Expert assessment of progress in embedding sustainable research practices across the institution.</t>
        </is>
      </c>
      <c r="F50" s="8" t="inlineStr">
        <is>
          <t>Drawing on your responses to TR3(a)–(c), please provide a short overall assessment (2–3 sentences) of your faculty's progress in embedding sustainable research practices: where progress is strongest, the main gaps, and priority actions for 2027.</t>
        </is>
      </c>
      <c r="G50" s="8" t="inlineStr">
        <is>
          <t>We will use faculty self-assessments to identify strengths, gaps and priority actions in embedding sustainable research practices, to inform internal management reporting and the Transformational research working group.</t>
        </is>
      </c>
      <c r="H50" s="8" t="inlineStr">
        <is>
          <t>N/A – new indicator</t>
        </is>
      </c>
      <c r="I50" s="8" t="inlineStr"/>
      <c r="J50" s="8" t="inlineStr"/>
      <c r="K50" s="8" t="inlineStr"/>
      <c r="L50" s="8" t="n"/>
      <c r="M50" s="8" t="n"/>
      <c r="N50" s="8" t="n"/>
      <c r="O50" s="8" t="n"/>
      <c r="P50" s="8" t="n"/>
      <c r="Q50" s="8" t="n"/>
      <c r="R50" s="8" t="n"/>
    </row>
    <row r="51" ht="150" customHeight="1">
      <c r="B51" s="7" t="inlineStr">
        <is>
          <t>CL2(a)</t>
        </is>
      </c>
      <c r="C51" s="50" t="inlineStr">
        <is>
          <t>Climate leadership</t>
        </is>
      </c>
      <c r="D51" s="50" t="inlineStr">
        <is>
          <t>Develop understanding of our research and education programs that contribute to accelerating global decarbonisation and our own climate transition.</t>
        </is>
      </c>
      <c r="E51" s="50" t="inlineStr">
        <is>
          <t>By 2028, develop and document institutional mapping of research and education activities that are designed to contribute to global decarbonisation</t>
        </is>
      </c>
      <c r="F51"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51" s="8" t="inlineStr">
        <is>
          <t>We will use these examples to show how the University communicates climate research and learning to external audiences, and as an input to the institutional decarbonisation research and education mapping due by 2028.</t>
        </is>
      </c>
      <c r="H51" s="8" t="inlineStr">
        <is>
          <t>N/A – new indicator</t>
        </is>
      </c>
      <c r="I51" s="8" t="inlineStr"/>
      <c r="J51" s="8" t="inlineStr"/>
      <c r="K51" s="8" t="inlineStr"/>
      <c r="L51" s="8" t="n"/>
      <c r="M51" s="8" t="n"/>
      <c r="N51" s="8" t="n"/>
      <c r="O51" s="8" t="n"/>
      <c r="P51" s="8" t="n"/>
      <c r="Q51" s="8" t="n"/>
      <c r="R51" s="8" t="n"/>
    </row>
    <row r="52" ht="150" customHeight="1">
      <c r="B52" s="7" t="inlineStr">
        <is>
          <t>CL2(c)</t>
        </is>
      </c>
      <c r="C52" s="50" t="inlineStr">
        <is>
          <t>Climate leadership</t>
        </is>
      </c>
      <c r="D52" s="50" t="inlineStr">
        <is>
          <t>Develop understanding of our research and education programs that contribute to accelerating global decarbonisation and our own climate transition.</t>
        </is>
      </c>
      <c r="E52" s="50" t="inlineStr">
        <is>
          <t>Ongoing communications that evidence the University’s climate action, research and learning to inform policy, sector and community decarbonisation efforts.</t>
        </is>
      </c>
      <c r="F52"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52" s="8" t="inlineStr">
        <is>
          <t>We will report on the University's ongoing climate communications in the Climate leadership section of the 2026 Sustainability Report, alongside contributions from Melbourne Climate Futures and the Melbourne Energy Institute.</t>
        </is>
      </c>
      <c r="H52" s="8" t="inlineStr">
        <is>
          <t>N/A – new indicator</t>
        </is>
      </c>
      <c r="I52" s="8" t="inlineStr"/>
      <c r="J52" s="8" t="inlineStr"/>
      <c r="K52" s="8" t="inlineStr"/>
      <c r="L52" s="8" t="n"/>
      <c r="M52" s="8" t="n"/>
      <c r="N52" s="8" t="n"/>
      <c r="O52" s="8" t="n"/>
      <c r="P52" s="8" t="n"/>
      <c r="Q52" s="8" t="n"/>
      <c r="R52" s="8" t="n"/>
    </row>
    <row r="53" ht="150" customHeight="1">
      <c r="B53" s="7" t="inlineStr">
        <is>
          <t>EN1(a)</t>
        </is>
      </c>
      <c r="C53" s="50" t="inlineStr">
        <is>
          <t>Enablers</t>
        </is>
      </c>
      <c r="D53" s="50" t="inlineStr">
        <is>
          <t>Enablers</t>
        </is>
      </c>
      <c r="E53" s="50" t="inlineStr">
        <is>
          <t>Evidence of sustainability outcomes informed by Indigenous knowledges</t>
        </is>
      </c>
      <c r="F53"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53" s="8" t="inlineStr">
        <is>
          <t>We will report on the ways Indigenous knowledges inform sustainability activities across the University, and develop selected examples into case studies with appropriate permissions.</t>
        </is>
      </c>
      <c r="H53" s="8" t="inlineStr">
        <is>
          <t>6a</t>
        </is>
      </c>
      <c r="I53" s="8" t="inlineStr">
        <is>
          <t>Partially met</t>
        </is>
      </c>
      <c r="J53"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53" s="8" t="inlineStr"/>
      <c r="L53" s="8" t="n"/>
      <c r="M53" s="8" t="n"/>
      <c r="N53" s="8" t="n"/>
      <c r="O53" s="8" t="n"/>
      <c r="P53" s="8" t="n"/>
      <c r="Q53" s="8" t="n"/>
      <c r="R53" s="8" t="n"/>
    </row>
    <row r="54" ht="150" customHeight="1">
      <c r="B54" s="7" t="inlineStr">
        <is>
          <t>EN1(b)</t>
        </is>
      </c>
      <c r="C54" s="50" t="inlineStr">
        <is>
          <t>Enablers</t>
        </is>
      </c>
      <c r="D54" s="50" t="inlineStr">
        <is>
          <t>Enablers</t>
        </is>
      </c>
      <c r="E54" s="50" t="inlineStr">
        <is>
          <t>Living laboratories enabling applied learning, research and operational sustainability outcomes</t>
        </is>
      </c>
      <c r="F54" s="8" t="inlineStr">
        <is>
          <t>In end-2025 reporting your faculty reported on the related SP2030 target 2a and rated it 'Met or exceeded'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54" s="8" t="inlineStr">
        <is>
          <t>We will share examples of living labs from across the University in the 2026 Sustainability Report, alongside CLLAP projects reported by CI&amp;S.</t>
        </is>
      </c>
      <c r="H54" s="8" t="inlineStr">
        <is>
          <t>2a</t>
        </is>
      </c>
      <c r="I54" s="8" t="inlineStr">
        <is>
          <t>Met or exceeded</t>
        </is>
      </c>
      <c r="J54" s="8" t="inlineStr">
        <is>
          <t>See attached report. (RH note: Saved in responses folder)</t>
        </is>
      </c>
      <c r="K54" s="8" t="inlineStr">
        <is>
          <t>Draft report on the Living Lab project is here: Report John Medley Living Lab Project FINAL.docx</t>
        </is>
      </c>
      <c r="L54" s="8" t="n"/>
      <c r="M54" s="8" t="n"/>
      <c r="N54" s="8" t="n"/>
      <c r="O54" s="8" t="n"/>
      <c r="P54" s="8" t="n"/>
      <c r="Q54" s="8" t="n"/>
      <c r="R54" s="8" t="n"/>
    </row>
    <row r="55" ht="150" customHeight="1">
      <c r="B55" s="7" t="inlineStr">
        <is>
          <t>EN1(c)</t>
        </is>
      </c>
      <c r="C55" s="50" t="inlineStr">
        <is>
          <t>Enablers</t>
        </is>
      </c>
      <c r="D55" s="50" t="inlineStr">
        <is>
          <t>Enablers</t>
        </is>
      </c>
      <c r="E55" s="50" t="inlineStr">
        <is>
          <t>Coordinated internal engagement and external partnerships contributing to delivery of sustainability outcomes across priority areas.</t>
        </is>
      </c>
      <c r="F55"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55" s="8" t="inlineStr">
        <is>
          <t>We will report on internal engagement and partnerships contributing to Sustainability 2030 outcomes, and update our record of sustainability-focused communities of practice and contacts across the University.</t>
        </is>
      </c>
      <c r="H55" s="8" t="inlineStr">
        <is>
          <t>3a(ii)</t>
        </is>
      </c>
      <c r="I55" s="8" t="inlineStr">
        <is>
          <t>Partially met</t>
        </is>
      </c>
      <c r="J55"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55" s="8" t="inlineStr"/>
      <c r="L55" s="8" t="n"/>
      <c r="M55" s="8" t="n"/>
      <c r="N55" s="8" t="n"/>
      <c r="O55" s="8" t="n"/>
      <c r="P55" s="8" t="n"/>
      <c r="Q55" s="8" t="n"/>
      <c r="R55" s="8" t="n"/>
    </row>
    <row r="56" ht="150" customHeight="1">
      <c r="B56" s="7" t="inlineStr">
        <is>
          <t>EN1(d)</t>
        </is>
      </c>
      <c r="C56" s="50" t="inlineStr">
        <is>
          <t>Enablers</t>
        </is>
      </c>
      <c r="D56" s="50" t="inlineStr">
        <is>
          <t>Enablers</t>
        </is>
      </c>
      <c r="E56" s="50" t="inlineStr">
        <is>
          <t>Sustainability objectives integrated into governance and decision‑making processes, supported by transparent reporting.</t>
        </is>
      </c>
      <c r="F56"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56" s="8" t="inlineStr">
        <is>
          <t>We will report on how sustainability is integrated into governance and decision-making across faculties and portfolios, and use responses as a baseline for the governance enabler from 2027.</t>
        </is>
      </c>
      <c r="H56" s="8" t="inlineStr">
        <is>
          <t>N/A – new indicator</t>
        </is>
      </c>
      <c r="I56" s="8" t="inlineStr"/>
      <c r="J56" s="8" t="inlineStr"/>
      <c r="K56" s="8" t="inlineStr"/>
      <c r="L56" s="8" t="n"/>
      <c r="M56" s="8" t="n"/>
      <c r="N56" s="8" t="n"/>
      <c r="O56" s="8" t="n"/>
      <c r="P56" s="8" t="n"/>
      <c r="Q56" s="8" t="n"/>
      <c r="R56" s="8" t="n"/>
    </row>
    <row r="57"/>
    <row r="59">
      <c r="B59" s="45" t="inlineStr">
        <is>
          <t>1.3  FBE – Faculty of Business and Economics</t>
        </is>
      </c>
    </row>
    <row r="61">
      <c r="C61" s="46" t="inlineStr">
        <is>
          <t>Sustainability 2030 target and indicator</t>
        </is>
      </c>
      <c r="H61" s="46" t="inlineStr">
        <is>
          <t>End-2025 reporting (click the ref to see your full SR25 response; [+] above expands a summary)</t>
        </is>
      </c>
      <c r="L61" s="47" t="inlineStr">
        <is>
          <t>End-2026 reporting (PLEASE COMPLETE THIS SECTION)</t>
        </is>
      </c>
    </row>
    <row r="62">
      <c r="B62" s="6" t="inlineStr">
        <is>
          <t>Ref</t>
        </is>
      </c>
      <c r="C62" s="6" t="inlineStr">
        <is>
          <t>Priority area</t>
        </is>
      </c>
      <c r="D62" s="6" t="inlineStr">
        <is>
          <t>Sustainability 2030 target</t>
        </is>
      </c>
      <c r="E62" s="6" t="inlineStr">
        <is>
          <t>Indicator</t>
        </is>
      </c>
      <c r="F62" s="6" t="inlineStr">
        <is>
          <t>2026 Reporting request</t>
        </is>
      </c>
      <c r="G62" s="6" t="inlineStr">
        <is>
          <t>How SST will use this data</t>
        </is>
      </c>
      <c r="H62" s="6" t="inlineStr">
        <is>
          <t>Related SR25 ref</t>
        </is>
      </c>
      <c r="I62" s="6" t="inlineStr">
        <is>
          <t>End-2025 confirmed status</t>
        </is>
      </c>
      <c r="J62" s="6" t="inlineStr">
        <is>
          <t>End-2025 reporting response</t>
        </is>
      </c>
      <c r="K62" s="6" t="inlineStr">
        <is>
          <t>Links and supporting information</t>
        </is>
      </c>
      <c r="L62" s="48" t="inlineStr">
        <is>
          <t>Confirm end-2026 target status</t>
        </is>
      </c>
      <c r="M62" s="48" t="inlineStr">
        <is>
          <t>OPTION 1:  Target-level reporting (Column D)</t>
        </is>
      </c>
      <c r="N62" s="48" t="inlineStr">
        <is>
          <t>OPTION 2:  Indicator level reporting (Column E/F)</t>
        </is>
      </c>
      <c r="O62" s="48" t="inlineStr">
        <is>
          <t>Supporting information/comments</t>
        </is>
      </c>
      <c r="P62" s="48" t="inlineStr">
        <is>
          <t>Data source and limitations</t>
        </is>
      </c>
      <c r="Q62" s="48" t="inlineStr">
        <is>
          <t>Data owner confirms information is accurate</t>
        </is>
      </c>
      <c r="R62" s="48" t="inlineStr">
        <is>
          <t>Confirmed by (name, role, date)</t>
        </is>
      </c>
    </row>
    <row r="63">
      <c r="B63" s="49" t="inlineStr"/>
      <c r="C63" s="49" t="inlineStr"/>
      <c r="D63" s="49" t="inlineStr"/>
      <c r="E63" s="49" t="inlineStr"/>
      <c r="F63" s="49" t="inlineStr"/>
      <c r="G63" s="49" t="inlineStr"/>
      <c r="H63" s="49" t="inlineStr"/>
      <c r="I63" s="49" t="inlineStr"/>
      <c r="J63" s="49" t="inlineStr"/>
      <c r="K63" s="49" t="inlineStr"/>
      <c r="L63" s="49" t="inlineStr">
        <is>
          <t>(Met or exceeded; partially met; not met; not yet started)</t>
        </is>
      </c>
      <c r="M63" s="49" t="inlineStr">
        <is>
          <t>Provide further evidence of target status assessment in the form of:
A general update on activities in relation to the overarching target (Column D)</t>
        </is>
      </c>
      <c r="N63" s="49" t="inlineStr">
        <is>
          <t>Provide further evidence of target status assessment in the form of:
Data and commentary in direct response to the reporting request (Column F)</t>
        </is>
      </c>
      <c r="O63" s="49" t="inlineStr">
        <is>
          <t>Provide any additional information to support the target status assessment (e.g. links, images, rationale for selection of target status)</t>
        </is>
      </c>
      <c r="P63" s="49" t="inlineStr">
        <is>
          <t>Where did this information come from (system, report, survey, person)? Note any gaps or limitations.</t>
        </is>
      </c>
      <c r="Q63" s="49" t="inlineStr">
        <is>
          <t>Select 'Yes' to confirm the information provided is accurate and can be used for reporting</t>
        </is>
      </c>
      <c r="R63" s="49" t="inlineStr">
        <is>
          <t>Name, role and date of the person confirming</t>
        </is>
      </c>
    </row>
    <row r="64" ht="150" customHeight="1">
      <c r="B64" s="7" t="inlineStr">
        <is>
          <t>EE1(a)</t>
        </is>
      </c>
      <c r="C64" s="50" t="inlineStr">
        <is>
          <t>Exceptional education</t>
        </is>
      </c>
      <c r="D64" s="50" t="inlineStr">
        <is>
          <t>Provide our students with learning experiences that help them build the knowledge, skills and relationships to lead change for sustainable societies.</t>
        </is>
      </c>
      <c r="E64" s="50" t="inlineStr">
        <is>
          <t>Evidence of innovative approaches to sustainability teaching and learning</t>
        </is>
      </c>
      <c r="F64" s="8" t="inlineStr">
        <is>
          <t>In end-2025 reporting your faculty reported on the related SP2030 target 4a(ii) and rated it 'Partially met'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64" s="8" t="inlineStr">
        <is>
          <t>We will collate examples of innovative sustainability teaching and learning across faculties to inform the Exceptional education section of the 2026 Sustainability Report, and select one or two for short case studies.</t>
        </is>
      </c>
      <c r="H64" s="8" t="inlineStr">
        <is>
          <t>4a(ii)</t>
        </is>
      </c>
      <c r="I64" s="8" t="inlineStr">
        <is>
          <t>Partially met</t>
        </is>
      </c>
      <c r="J64"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64" s="8" t="inlineStr"/>
      <c r="L64" s="8" t="n"/>
      <c r="M64" s="8" t="n"/>
      <c r="N64" s="8" t="n"/>
      <c r="O64" s="8" t="n"/>
      <c r="P64" s="8" t="n"/>
      <c r="Q64" s="8" t="n"/>
      <c r="R64" s="8" t="n"/>
    </row>
    <row r="65" ht="150" customHeight="1">
      <c r="B65" s="7" t="inlineStr">
        <is>
          <t>EE1(b)</t>
        </is>
      </c>
      <c r="C65" s="50" t="inlineStr">
        <is>
          <t>Exceptional education</t>
        </is>
      </c>
      <c r="D65" s="50" t="inlineStr">
        <is>
          <t>Provide our students with learning experiences that help them build the knowledge, skills and relationships to lead change for sustainable societies.</t>
        </is>
      </c>
      <c r="E65" s="50" t="inlineStr">
        <is>
          <t>Pilots of possible approaches for understanding and developing students’ sustainability self-efficacy</t>
        </is>
      </c>
      <c r="F65"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65" s="8" t="inlineStr">
        <is>
          <t>This is a new indicator. We will use responses to establish a baseline of how (and whether) faculties are understanding student sustainability self-efficacy, and report on early pilots in the 2026 Sustainability Report. A nil response is useful to us.</t>
        </is>
      </c>
      <c r="H65" s="8" t="inlineStr">
        <is>
          <t>N/A – new indicator</t>
        </is>
      </c>
      <c r="I65" s="8" t="inlineStr"/>
      <c r="J65" s="8" t="inlineStr"/>
      <c r="K65" s="8" t="inlineStr"/>
      <c r="L65" s="8" t="n"/>
      <c r="M65" s="8" t="n"/>
      <c r="N65" s="8" t="n"/>
      <c r="O65" s="8" t="n"/>
      <c r="P65" s="8" t="n"/>
      <c r="Q65" s="8" t="n"/>
      <c r="R65" s="8" t="n"/>
    </row>
    <row r="66" ht="150" customHeight="1">
      <c r="B66" s="7" t="inlineStr">
        <is>
          <t>EE1(c)</t>
        </is>
      </c>
      <c r="C66" s="50" t="inlineStr">
        <is>
          <t>Exceptional education</t>
        </is>
      </c>
      <c r="D66" s="50" t="inlineStr">
        <is>
          <t>Provide our students with learning experiences that help them build the knowledge, skills and relationships to lead change for sustainable societies.</t>
        </is>
      </c>
      <c r="E66" s="50" t="inlineStr">
        <is>
          <t>Evidence of sustainability focused experiential and co curricular learning (eg Wattle Fellowship; Melbourne Plus)</t>
        </is>
      </c>
      <c r="F66"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66" s="8" t="inlineStr">
        <is>
          <t>We will combine faculty examples with central Wattle Fellowship and Melbourne Plus data to report on the range and reach of sustainability-focused experiential and co-curricular learning across the University.</t>
        </is>
      </c>
      <c r="H66" s="8" t="inlineStr">
        <is>
          <t>N/A – new indicator</t>
        </is>
      </c>
      <c r="I66" s="8" t="inlineStr"/>
      <c r="J66" s="8" t="inlineStr"/>
      <c r="K66" s="8" t="inlineStr"/>
      <c r="L66" s="8" t="n"/>
      <c r="M66" s="8" t="n"/>
      <c r="N66" s="8" t="n"/>
      <c r="O66" s="8" t="n"/>
      <c r="P66" s="8" t="n"/>
      <c r="Q66" s="8" t="n"/>
      <c r="R66" s="8" t="n"/>
    </row>
    <row r="67" ht="150" customHeight="1">
      <c r="B67" s="7" t="inlineStr">
        <is>
          <t>EE1(d)</t>
        </is>
      </c>
      <c r="C67" s="50" t="inlineStr">
        <is>
          <t>Exceptional education</t>
        </is>
      </c>
      <c r="D67" s="50" t="inlineStr">
        <is>
          <t>Provide our students with learning experiences that help them build the knowledge, skills and relationships to lead change for sustainable societies.</t>
        </is>
      </c>
      <c r="E67" s="50" t="inlineStr">
        <is>
          <t>Alumni profiles demonstrating how graduates contribute to sustainability through their careers or communities.</t>
        </is>
      </c>
      <c r="F67"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67" s="8" t="inlineStr">
        <is>
          <t>We will use nominated alumni to develop short graduate profiles for the 2026 Sustainability Report (subject to consent), and record any faculty approaches to tracking graduate outcomes to inform how this indicator is measured from 2027.</t>
        </is>
      </c>
      <c r="H67" s="8" t="inlineStr">
        <is>
          <t>4b(i)</t>
        </is>
      </c>
      <c r="I67" s="8" t="inlineStr">
        <is>
          <t>Met or exceeded</t>
        </is>
      </c>
      <c r="J67" s="8"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K67" s="8" t="inlineStr"/>
      <c r="L67" s="8" t="n"/>
      <c r="M67" s="8" t="n"/>
      <c r="N67" s="8" t="n"/>
      <c r="O67" s="8" t="n"/>
      <c r="P67" s="8" t="n"/>
      <c r="Q67" s="8" t="n"/>
      <c r="R67" s="8" t="n"/>
    </row>
    <row r="68" ht="150" customHeight="1">
      <c r="B68" s="7" t="inlineStr">
        <is>
          <t>TR1(a)</t>
        </is>
      </c>
      <c r="C68" s="50" t="inlineStr">
        <is>
          <t>Transformational research</t>
        </is>
      </c>
      <c r="D68" s="50" t="inlineStr">
        <is>
          <t>Utilise the expertise of the University’s researchers through mutually beneficial partnerships to help address the University’s operational sustainability challenges.</t>
        </is>
      </c>
      <c r="E68" s="50" t="inlineStr">
        <is>
          <t>Expert-reviewed evidence of researchers contributing to operational sustainability priorities through partnerships, advisory input, living labs, applied projects or decision-support</t>
        </is>
      </c>
      <c r="F68"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68" s="8" t="inlineStr">
        <is>
          <t>We will report on examples of researchers helping solve the University's own operational sustainability challenges, alongside CLLAP projects reported by CI&amp;S, and share them with operational teams to identify further collaboration.</t>
        </is>
      </c>
      <c r="H68" s="8" t="inlineStr">
        <is>
          <t>2a</t>
        </is>
      </c>
      <c r="I68" s="8" t="inlineStr">
        <is>
          <t>Partially met</t>
        </is>
      </c>
      <c r="J68" s="8" t="inlineStr">
        <is>
          <t>CLLAP report on University Investor Stewardship provided separately</t>
        </is>
      </c>
      <c r="K68" s="8" t="inlineStr"/>
      <c r="L68" s="8" t="n"/>
      <c r="M68" s="8" t="n"/>
      <c r="N68" s="8" t="n"/>
      <c r="O68" s="8" t="n"/>
      <c r="P68" s="8" t="n"/>
      <c r="Q68" s="8" t="n"/>
      <c r="R68" s="8" t="n"/>
    </row>
    <row r="69" ht="150" customHeight="1">
      <c r="B69" s="7" t="inlineStr">
        <is>
          <t>TR1(b)</t>
        </is>
      </c>
      <c r="C69" s="50" t="inlineStr">
        <is>
          <t>Transformational research</t>
        </is>
      </c>
      <c r="D69" s="50" t="inlineStr">
        <is>
          <t>Utilise the expertise of the University’s researchers through mutually beneficial partnerships to help address the University’s operational sustainability challenges.</t>
        </is>
      </c>
      <c r="E69" s="50" t="inlineStr">
        <is>
          <t>Evidence of institutional pathways that enable ongoing collaboration between academic and professional staff</t>
        </is>
      </c>
      <c r="F69"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69" s="8" t="inlineStr">
        <is>
          <t>We will map existing academic–professional collaboration mechanisms across faculties to establish a baseline for this new indicator and identify models other faculties could adopt.</t>
        </is>
      </c>
      <c r="H69" s="8" t="inlineStr">
        <is>
          <t>N/A – new indicator</t>
        </is>
      </c>
      <c r="I69" s="8" t="inlineStr"/>
      <c r="J69" s="8" t="inlineStr"/>
      <c r="K69" s="8" t="inlineStr"/>
      <c r="L69" s="8" t="n"/>
      <c r="M69" s="8" t="n"/>
      <c r="N69" s="8" t="n"/>
      <c r="O69" s="8" t="n"/>
      <c r="P69" s="8" t="n"/>
      <c r="Q69" s="8" t="n"/>
      <c r="R69" s="8" t="n"/>
    </row>
    <row r="70" ht="150" customHeight="1">
      <c r="B70" s="7" t="inlineStr">
        <is>
          <t>TR1(c)</t>
        </is>
      </c>
      <c r="C70" s="50" t="inlineStr">
        <is>
          <t>Transformational research</t>
        </is>
      </c>
      <c r="D70" s="50" t="inlineStr">
        <is>
          <t>Utilise the expertise of the University’s researchers through mutually beneficial partnerships to help address the University’s operational sustainability challenges.</t>
        </is>
      </c>
      <c r="E70" s="50" t="inlineStr">
        <is>
          <t>Expert assessment of the quality, relevance and continuity of these collaborations</t>
        </is>
      </c>
      <c r="F70" s="8" t="inlineStr">
        <is>
          <t>For the collaborations described in TR1(a)–(b), please give a short assessment (a paragraph is sufficient) of their quality, relevance and continuity: are they ongoing, useful to the University's operational priorities, and producing outcomes?</t>
        </is>
      </c>
      <c r="G70" s="8" t="inlineStr">
        <is>
          <t>We will use your assessment to describe the quality and continuity of research–operations collaboration in the 2026 report, and as baseline evidence for the interim target status assessment from 2027.</t>
        </is>
      </c>
      <c r="H70" s="8" t="inlineStr">
        <is>
          <t>N/A – new indicator</t>
        </is>
      </c>
      <c r="I70" s="8" t="inlineStr"/>
      <c r="J70" s="8" t="inlineStr"/>
      <c r="K70" s="8" t="inlineStr"/>
      <c r="L70" s="8" t="n"/>
      <c r="M70" s="8" t="n"/>
      <c r="N70" s="8" t="n"/>
      <c r="O70" s="8" t="n"/>
      <c r="P70" s="8" t="n"/>
      <c r="Q70" s="8" t="n"/>
      <c r="R70" s="8" t="n"/>
    </row>
    <row r="71" ht="150" customHeight="1">
      <c r="B71" s="7" t="inlineStr">
        <is>
          <t>TR1(d)</t>
        </is>
      </c>
      <c r="C71" s="50" t="inlineStr">
        <is>
          <t>Transformational research</t>
        </is>
      </c>
      <c r="D71" s="50" t="inlineStr">
        <is>
          <t>Utilise the expertise of the University’s researchers through mutually beneficial partnerships to help address the University’s operational sustainability challenges.</t>
        </is>
      </c>
      <c r="E71" s="50" t="inlineStr">
        <is>
          <t>Periodic feedback from participants on the effectiveness and mutual benefit of collaboration mechanisms.</t>
        </is>
      </c>
      <c r="F71"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71" s="8" t="inlineStr">
        <is>
          <t>We will use any feedback to understand whether collaboration mechanisms are working and to inform improvements. Where none has been collected, this helps us plan how to gather feedback from 2027.</t>
        </is>
      </c>
      <c r="H71" s="8" t="inlineStr">
        <is>
          <t>N/A – new indicator</t>
        </is>
      </c>
      <c r="I71" s="8" t="inlineStr"/>
      <c r="J71" s="8" t="inlineStr"/>
      <c r="K71" s="8" t="inlineStr"/>
      <c r="L71" s="8" t="n"/>
      <c r="M71" s="8" t="n"/>
      <c r="N71" s="8" t="n"/>
      <c r="O71" s="8" t="n"/>
      <c r="P71" s="8" t="n"/>
      <c r="Q71" s="8" t="n"/>
      <c r="R71" s="8" t="n"/>
    </row>
    <row r="72" ht="150" customHeight="1">
      <c r="B72" s="7" t="inlineStr">
        <is>
          <t>TR2(a)</t>
        </is>
      </c>
      <c r="C72" s="50" t="inlineStr">
        <is>
          <t>Transformational research</t>
        </is>
      </c>
      <c r="D72" s="50" t="inlineStr">
        <is>
          <t>Deliver high-quality research and partnerships that contribute to sustainability outcomes and demonstrable societal benefit.</t>
        </is>
      </c>
      <c r="E72" s="50" t="inlineStr">
        <is>
          <t>Evidence of sustainability-related research impact across diverse pathways, could include policy, industry, community, practice, cultural and institutional outcomes</t>
        </is>
      </c>
      <c r="F72" s="8" t="inlineStr">
        <is>
          <t>In end-2025 reporting your faculty reported on the related SP2030 target 5b(i) and rated it 'Partially met'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2" s="8" t="inlineStr">
        <is>
          <t>We will collate research impact examples across faculties to show the breadth of sustainability-related research impact in the Transformational research section of the 2026 Sustainability Report, complementing University-wide metrics from MRE.</t>
        </is>
      </c>
      <c r="H72" s="8" t="inlineStr">
        <is>
          <t>5b(i)</t>
        </is>
      </c>
      <c r="I72" s="8" t="inlineStr">
        <is>
          <t>Partially met</t>
        </is>
      </c>
      <c r="J72"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2" s="8" t="inlineStr">
        <is>
          <t>https://fbe.unimelb.edu.au/research/our-research-at-a-glance</t>
        </is>
      </c>
      <c r="L72" s="8" t="n"/>
      <c r="M72" s="8" t="n"/>
      <c r="N72" s="8" t="n"/>
      <c r="O72" s="8" t="n"/>
      <c r="P72" s="8" t="n"/>
      <c r="Q72" s="8" t="n"/>
      <c r="R72" s="8" t="n"/>
    </row>
    <row r="73" ht="150" customHeight="1">
      <c r="B73" s="7" t="inlineStr">
        <is>
          <t>TR2(d)</t>
        </is>
      </c>
      <c r="C73" s="50" t="inlineStr">
        <is>
          <t>Transformational research</t>
        </is>
      </c>
      <c r="D73" s="50" t="inlineStr">
        <is>
          <t>Deliver high-quality research and partnerships that contribute to sustainability outcomes and demonstrable societal benefit.</t>
        </is>
      </c>
      <c r="E73" s="50" t="inlineStr">
        <is>
          <t>Case-based evidence demonstrating how research has contributed to meaningful sustainability outcomes.</t>
        </is>
      </c>
      <c r="F73" s="8" t="inlineStr">
        <is>
          <t>In end-2025 reporting your faculty reported on the related SP2030 target 5b(i) and rated it 'Partially met'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73" s="8" t="inlineStr">
        <is>
          <t>We will select the strongest examples to develop as full research case studies for the 2026 Sustainability Report (we may contact you for more detail and images).</t>
        </is>
      </c>
      <c r="H73" s="8" t="inlineStr">
        <is>
          <t>5b(i)</t>
        </is>
      </c>
      <c r="I73" s="8" t="inlineStr">
        <is>
          <t>Partially met</t>
        </is>
      </c>
      <c r="J73"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73" s="8" t="inlineStr">
        <is>
          <t>https://fbe.unimelb.edu.au/research/our-research-at-a-glance</t>
        </is>
      </c>
      <c r="L73" s="8" t="n"/>
      <c r="M73" s="8" t="n"/>
      <c r="N73" s="8" t="n"/>
      <c r="O73" s="8" t="n"/>
      <c r="P73" s="8" t="n"/>
      <c r="Q73" s="8" t="n"/>
      <c r="R73" s="8" t="n"/>
    </row>
    <row r="74" ht="150" customHeight="1">
      <c r="B74" s="7" t="inlineStr">
        <is>
          <t>TR3(a)</t>
        </is>
      </c>
      <c r="C74" s="50" t="inlineStr">
        <is>
          <t>Transformational research</t>
        </is>
      </c>
      <c r="D74" s="50" t="inlineStr">
        <is>
          <t>Embed sustainability within research systems, processes, capability and culture, so research is conducted responsibly, efficiently and with reduced environmental impact.</t>
        </is>
      </c>
      <c r="E74" s="50" t="inlineStr">
        <is>
          <t>Evidence that sustainability considerations are integrated into relevant research systems, planning processes, guidance, training, induction or support services</t>
        </is>
      </c>
      <c r="F74"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74" s="8" t="inlineStr">
        <is>
          <t>We will report on how sustainability is being built into research systems and support across the University, and use responses to establish a baseline for this new target.</t>
        </is>
      </c>
      <c r="H74" s="8" t="inlineStr">
        <is>
          <t>5c(ii)</t>
        </is>
      </c>
      <c r="I74" s="8" t="inlineStr">
        <is>
          <t>Partially met</t>
        </is>
      </c>
      <c r="J74"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4" s="8" t="inlineStr">
        <is>
          <t>https://fbe.unimelb.edu.au/managementmarketing/research/the-sustainability-hub</t>
        </is>
      </c>
      <c r="L74" s="8" t="n"/>
      <c r="M74" s="8" t="n"/>
      <c r="N74" s="8" t="n"/>
      <c r="O74" s="8" t="n"/>
      <c r="P74" s="8" t="n"/>
      <c r="Q74" s="8" t="n"/>
      <c r="R74" s="8" t="n"/>
    </row>
    <row r="75" ht="150" customHeight="1">
      <c r="B75" s="7" t="inlineStr">
        <is>
          <t>TR3(b)</t>
        </is>
      </c>
      <c r="C75" s="50" t="inlineStr">
        <is>
          <t>Transformational research</t>
        </is>
      </c>
      <c r="D75" s="50" t="inlineStr">
        <is>
          <t>Embed sustainability within research systems, processes, capability and culture, so research is conducted responsibly, efficiently and with reduced environmental impact.</t>
        </is>
      </c>
      <c r="E75" s="50" t="inlineStr">
        <is>
          <t>Demonstrated examples of more sustainable research practices in laboratories, fieldwork, procurement, travel or infrastructure use</t>
        </is>
      </c>
      <c r="F7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75" s="8" t="inlineStr">
        <is>
          <t>We will report on ways the University is making research practices more sustainable in the 2026 Sustainability Report, and share practical examples (e.g. green labs) across faculties.</t>
        </is>
      </c>
      <c r="H75" s="8" t="inlineStr">
        <is>
          <t>5c(ii)</t>
        </is>
      </c>
      <c r="I75" s="8" t="inlineStr">
        <is>
          <t>Partially met</t>
        </is>
      </c>
      <c r="J75"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75" s="8" t="inlineStr">
        <is>
          <t>https://fbe.unimelb.edu.au/managementmarketing/research/the-sustainability-hub</t>
        </is>
      </c>
      <c r="L75" s="8" t="n"/>
      <c r="M75" s="8" t="n"/>
      <c r="N75" s="8" t="n"/>
      <c r="O75" s="8" t="n"/>
      <c r="P75" s="8" t="n"/>
      <c r="Q75" s="8" t="n"/>
      <c r="R75" s="8" t="n"/>
    </row>
    <row r="76" ht="150" customHeight="1">
      <c r="B76" s="7" t="inlineStr">
        <is>
          <t>TR3(c)</t>
        </is>
      </c>
      <c r="C76" s="50" t="inlineStr">
        <is>
          <t>Transformational research</t>
        </is>
      </c>
      <c r="D76" s="50" t="inlineStr">
        <is>
          <t>Embed sustainability within research systems, processes, capability and culture, so research is conducted responsibly, efficiently and with reduced environmental impact.</t>
        </is>
      </c>
      <c r="E76" s="50" t="inlineStr">
        <is>
          <t>Evidence of progress in sustainability-related research culture, capability and awareness, informed by periodic staff and graduate researcher surveys</t>
        </is>
      </c>
      <c r="F76"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76" s="8" t="inlineStr">
        <is>
          <t>We will use any survey or capability data to describe changes in sustainability-related research culture. Where no evidence exists, this helps us plan University-wide measurement (e.g. staff and graduate researcher surveys) from 2027.</t>
        </is>
      </c>
      <c r="H76" s="8" t="inlineStr">
        <is>
          <t>N/A – new indicator</t>
        </is>
      </c>
      <c r="I76" s="8" t="inlineStr"/>
      <c r="J76" s="8" t="inlineStr"/>
      <c r="K76" s="8" t="inlineStr"/>
      <c r="L76" s="8" t="n"/>
      <c r="M76" s="8" t="n"/>
      <c r="N76" s="8" t="n"/>
      <c r="O76" s="8" t="n"/>
      <c r="P76" s="8" t="n"/>
      <c r="Q76" s="8" t="n"/>
      <c r="R76" s="8" t="n"/>
    </row>
    <row r="77" ht="150" customHeight="1">
      <c r="B77" s="7" t="inlineStr">
        <is>
          <t>TR3(d)</t>
        </is>
      </c>
      <c r="C77" s="50" t="inlineStr">
        <is>
          <t>Transformational research</t>
        </is>
      </c>
      <c r="D77" s="50" t="inlineStr">
        <is>
          <t>Embed sustainability within research systems, processes, capability and culture, so research is conducted responsibly, efficiently and with reduced environmental impact.</t>
        </is>
      </c>
      <c r="E77" s="50" t="inlineStr">
        <is>
          <t>Expert assessment of progress in embedding sustainable research practices across the institution.</t>
        </is>
      </c>
      <c r="F77" s="8" t="inlineStr">
        <is>
          <t>Drawing on your responses to TR3(a)–(c), please provide a short overall assessment (2–3 sentences) of your faculty's progress in embedding sustainable research practices: where progress is strongest, the main gaps, and priority actions for 2027.</t>
        </is>
      </c>
      <c r="G77" s="8" t="inlineStr">
        <is>
          <t>We will use faculty self-assessments to identify strengths, gaps and priority actions in embedding sustainable research practices, to inform internal management reporting and the Transformational research working group.</t>
        </is>
      </c>
      <c r="H77" s="8" t="inlineStr">
        <is>
          <t>N/A – new indicator</t>
        </is>
      </c>
      <c r="I77" s="8" t="inlineStr"/>
      <c r="J77" s="8" t="inlineStr"/>
      <c r="K77" s="8" t="inlineStr"/>
      <c r="L77" s="8" t="n"/>
      <c r="M77" s="8" t="n"/>
      <c r="N77" s="8" t="n"/>
      <c r="O77" s="8" t="n"/>
      <c r="P77" s="8" t="n"/>
      <c r="Q77" s="8" t="n"/>
      <c r="R77" s="8" t="n"/>
    </row>
    <row r="78" ht="150" customHeight="1">
      <c r="B78" s="7" t="inlineStr">
        <is>
          <t>CL2(a)</t>
        </is>
      </c>
      <c r="C78" s="50" t="inlineStr">
        <is>
          <t>Climate leadership</t>
        </is>
      </c>
      <c r="D78" s="50" t="inlineStr">
        <is>
          <t>Develop understanding of our research and education programs that contribute to accelerating global decarbonisation and our own climate transition.</t>
        </is>
      </c>
      <c r="E78" s="50" t="inlineStr">
        <is>
          <t>By 2028, develop and document institutional mapping of research and education activities that are designed to contribute to global decarbonisation</t>
        </is>
      </c>
      <c r="F78"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78" s="8" t="inlineStr">
        <is>
          <t>We will use these examples to show how the University communicates climate research and learning to external audiences, and as an input to the institutional decarbonisation research and education mapping due by 2028.</t>
        </is>
      </c>
      <c r="H78" s="8" t="inlineStr">
        <is>
          <t>N/A – new indicator</t>
        </is>
      </c>
      <c r="I78" s="8" t="inlineStr"/>
      <c r="J78" s="8" t="inlineStr"/>
      <c r="K78" s="8" t="inlineStr"/>
      <c r="L78" s="8" t="n"/>
      <c r="M78" s="8" t="n"/>
      <c r="N78" s="8" t="n"/>
      <c r="O78" s="8" t="n"/>
      <c r="P78" s="8" t="n"/>
      <c r="Q78" s="8" t="n"/>
      <c r="R78" s="8" t="n"/>
    </row>
    <row r="79" ht="150" customHeight="1">
      <c r="B79" s="7" t="inlineStr">
        <is>
          <t>CL2(c)</t>
        </is>
      </c>
      <c r="C79" s="50" t="inlineStr">
        <is>
          <t>Climate leadership</t>
        </is>
      </c>
      <c r="D79" s="50" t="inlineStr">
        <is>
          <t>Develop understanding of our research and education programs that contribute to accelerating global decarbonisation and our own climate transition.</t>
        </is>
      </c>
      <c r="E79" s="50" t="inlineStr">
        <is>
          <t>Ongoing communications that evidence the University’s climate action, research and learning to inform policy, sector and community decarbonisation efforts.</t>
        </is>
      </c>
      <c r="F79"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79" s="8" t="inlineStr">
        <is>
          <t>We will report on the University's ongoing climate communications in the Climate leadership section of the 2026 Sustainability Report, alongside contributions from Melbourne Climate Futures and the Melbourne Energy Institute.</t>
        </is>
      </c>
      <c r="H79" s="8" t="inlineStr">
        <is>
          <t>N/A – new indicator</t>
        </is>
      </c>
      <c r="I79" s="8" t="inlineStr"/>
      <c r="J79" s="8" t="inlineStr"/>
      <c r="K79" s="8" t="inlineStr"/>
      <c r="L79" s="8" t="n"/>
      <c r="M79" s="8" t="n"/>
      <c r="N79" s="8" t="n"/>
      <c r="O79" s="8" t="n"/>
      <c r="P79" s="8" t="n"/>
      <c r="Q79" s="8" t="n"/>
      <c r="R79" s="8" t="n"/>
    </row>
    <row r="80" ht="150" customHeight="1">
      <c r="B80" s="7" t="inlineStr">
        <is>
          <t>EN1(a)</t>
        </is>
      </c>
      <c r="C80" s="50" t="inlineStr">
        <is>
          <t>Enablers</t>
        </is>
      </c>
      <c r="D80" s="50" t="inlineStr">
        <is>
          <t>Enablers</t>
        </is>
      </c>
      <c r="E80" s="50" t="inlineStr">
        <is>
          <t>Evidence of sustainability outcomes informed by Indigenous knowledges</t>
        </is>
      </c>
      <c r="F80"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8" t="inlineStr">
        <is>
          <t>We will report on the ways Indigenous knowledges inform sustainability activities across the University, and develop selected examples into case studies with appropriate permissions.</t>
        </is>
      </c>
      <c r="H80" s="8" t="inlineStr">
        <is>
          <t>6a</t>
        </is>
      </c>
      <c r="I80" s="8" t="inlineStr">
        <is>
          <t>Partially met</t>
        </is>
      </c>
      <c r="J80"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80" s="8" t="inlineStr">
        <is>
          <t>https://dilinduwa.com.au/
https://mabocentre.com/</t>
        </is>
      </c>
      <c r="L80" s="8" t="n"/>
      <c r="M80" s="8" t="n"/>
      <c r="N80" s="8" t="n"/>
      <c r="O80" s="8" t="n"/>
      <c r="P80" s="8" t="n"/>
      <c r="Q80" s="8" t="n"/>
      <c r="R80" s="8" t="n"/>
    </row>
    <row r="81" ht="150" customHeight="1">
      <c r="B81" s="7" t="inlineStr">
        <is>
          <t>EN1(b)</t>
        </is>
      </c>
      <c r="C81" s="50" t="inlineStr">
        <is>
          <t>Enablers</t>
        </is>
      </c>
      <c r="D81" s="50" t="inlineStr">
        <is>
          <t>Enablers</t>
        </is>
      </c>
      <c r="E81" s="50" t="inlineStr">
        <is>
          <t>Living laboratories enabling applied learning, research and operational sustainability outcomes</t>
        </is>
      </c>
      <c r="F81"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81" s="8" t="inlineStr">
        <is>
          <t>We will share examples of living labs from across the University in the 2026 Sustainability Report, alongside CLLAP projects reported by CI&amp;S.</t>
        </is>
      </c>
      <c r="H81" s="8" t="inlineStr">
        <is>
          <t>2a</t>
        </is>
      </c>
      <c r="I81" s="8" t="inlineStr">
        <is>
          <t>Partially met</t>
        </is>
      </c>
      <c r="J81" s="8" t="inlineStr">
        <is>
          <t>CLLAP report on University Investor Stewardship provided separately</t>
        </is>
      </c>
      <c r="K81" s="8" t="inlineStr"/>
      <c r="L81" s="8" t="n"/>
      <c r="M81" s="8" t="n"/>
      <c r="N81" s="8" t="n"/>
      <c r="O81" s="8" t="n"/>
      <c r="P81" s="8" t="n"/>
      <c r="Q81" s="8" t="n"/>
      <c r="R81" s="8" t="n"/>
    </row>
    <row r="82" ht="150" customHeight="1">
      <c r="B82" s="7" t="inlineStr">
        <is>
          <t>EN1(c)</t>
        </is>
      </c>
      <c r="C82" s="50" t="inlineStr">
        <is>
          <t>Enablers</t>
        </is>
      </c>
      <c r="D82" s="50" t="inlineStr">
        <is>
          <t>Enablers</t>
        </is>
      </c>
      <c r="E82" s="50" t="inlineStr">
        <is>
          <t>Coordinated internal engagement and external partnerships contributing to delivery of sustainability outcomes across priority areas.</t>
        </is>
      </c>
      <c r="F82"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82" s="8" t="inlineStr">
        <is>
          <t>We will report on internal engagement and partnerships contributing to Sustainability 2030 outcomes, and update our record of sustainability-focused communities of practice and contacts across the University.</t>
        </is>
      </c>
      <c r="H82" s="8" t="inlineStr">
        <is>
          <t>3a(ii)</t>
        </is>
      </c>
      <c r="I82" s="8" t="inlineStr">
        <is>
          <t>Partially met</t>
        </is>
      </c>
      <c r="J82"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82" s="8" t="inlineStr"/>
      <c r="L82" s="8" t="n"/>
      <c r="M82" s="8" t="n"/>
      <c r="N82" s="8" t="n"/>
      <c r="O82" s="8" t="n"/>
      <c r="P82" s="8" t="n"/>
      <c r="Q82" s="8" t="n"/>
      <c r="R82" s="8" t="n"/>
    </row>
    <row r="83" ht="150" customHeight="1">
      <c r="B83" s="7" t="inlineStr">
        <is>
          <t>EN1(d)</t>
        </is>
      </c>
      <c r="C83" s="50" t="inlineStr">
        <is>
          <t>Enablers</t>
        </is>
      </c>
      <c r="D83" s="50" t="inlineStr">
        <is>
          <t>Enablers</t>
        </is>
      </c>
      <c r="E83" s="50" t="inlineStr">
        <is>
          <t>Sustainability objectives integrated into governance and decision‑making processes, supported by transparent reporting.</t>
        </is>
      </c>
      <c r="F83"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83" s="8" t="inlineStr">
        <is>
          <t>We will report on how sustainability is integrated into governance and decision-making across faculties and portfolios, and use responses as a baseline for the governance enabler from 2027.</t>
        </is>
      </c>
      <c r="H83" s="8" t="inlineStr">
        <is>
          <t>N/A – new indicator</t>
        </is>
      </c>
      <c r="I83" s="8" t="inlineStr"/>
      <c r="J83" s="8" t="inlineStr"/>
      <c r="K83" s="8" t="inlineStr"/>
      <c r="L83" s="8" t="n"/>
      <c r="M83" s="8" t="n"/>
      <c r="N83" s="8" t="n"/>
      <c r="O83" s="8" t="n"/>
      <c r="P83" s="8" t="n"/>
      <c r="Q83" s="8" t="n"/>
      <c r="R83" s="8" t="n"/>
    </row>
    <row r="84"/>
    <row r="86">
      <c r="B86" s="45" t="inlineStr">
        <is>
          <t>1.4  SCI – Faculty of Science</t>
        </is>
      </c>
    </row>
    <row r="88">
      <c r="C88" s="46" t="inlineStr">
        <is>
          <t>Sustainability 2030 target and indicator</t>
        </is>
      </c>
      <c r="H88" s="46" t="inlineStr">
        <is>
          <t>End-2025 reporting (click the ref to see your full SR25 response; [+] above expands a summary)</t>
        </is>
      </c>
      <c r="L88" s="47" t="inlineStr">
        <is>
          <t>End-2026 reporting (PLEASE COMPLETE THIS SECTION)</t>
        </is>
      </c>
    </row>
    <row r="89">
      <c r="B89" s="6" t="inlineStr">
        <is>
          <t>Ref</t>
        </is>
      </c>
      <c r="C89" s="6" t="inlineStr">
        <is>
          <t>Priority area</t>
        </is>
      </c>
      <c r="D89" s="6" t="inlineStr">
        <is>
          <t>Sustainability 2030 target</t>
        </is>
      </c>
      <c r="E89" s="6" t="inlineStr">
        <is>
          <t>Indicator</t>
        </is>
      </c>
      <c r="F89" s="6" t="inlineStr">
        <is>
          <t>2026 Reporting request</t>
        </is>
      </c>
      <c r="G89" s="6" t="inlineStr">
        <is>
          <t>How SST will use this data</t>
        </is>
      </c>
      <c r="H89" s="6" t="inlineStr">
        <is>
          <t>Related SR25 ref</t>
        </is>
      </c>
      <c r="I89" s="6" t="inlineStr">
        <is>
          <t>End-2025 confirmed status</t>
        </is>
      </c>
      <c r="J89" s="6" t="inlineStr">
        <is>
          <t>End-2025 reporting response</t>
        </is>
      </c>
      <c r="K89" s="6" t="inlineStr">
        <is>
          <t>Links and supporting information</t>
        </is>
      </c>
      <c r="L89" s="48" t="inlineStr">
        <is>
          <t>Confirm end-2026 target status</t>
        </is>
      </c>
      <c r="M89" s="48" t="inlineStr">
        <is>
          <t>OPTION 1:  Target-level reporting (Column D)</t>
        </is>
      </c>
      <c r="N89" s="48" t="inlineStr">
        <is>
          <t>OPTION 2:  Indicator level reporting (Column E/F)</t>
        </is>
      </c>
      <c r="O89" s="48" t="inlineStr">
        <is>
          <t>Supporting information/comments</t>
        </is>
      </c>
      <c r="P89" s="48" t="inlineStr">
        <is>
          <t>Data source and limitations</t>
        </is>
      </c>
      <c r="Q89" s="48" t="inlineStr">
        <is>
          <t>Data owner confirms information is accurate</t>
        </is>
      </c>
      <c r="R89" s="48" t="inlineStr">
        <is>
          <t>Confirmed by (name, role, date)</t>
        </is>
      </c>
    </row>
    <row r="90">
      <c r="B90" s="49" t="inlineStr"/>
      <c r="C90" s="49" t="inlineStr"/>
      <c r="D90" s="49" t="inlineStr"/>
      <c r="E90" s="49" t="inlineStr"/>
      <c r="F90" s="49" t="inlineStr"/>
      <c r="G90" s="49" t="inlineStr"/>
      <c r="H90" s="49" t="inlineStr"/>
      <c r="I90" s="49" t="inlineStr"/>
      <c r="J90" s="49" t="inlineStr"/>
      <c r="K90" s="49" t="inlineStr"/>
      <c r="L90" s="49" t="inlineStr">
        <is>
          <t>(Met or exceeded; partially met; not met; not yet started)</t>
        </is>
      </c>
      <c r="M90" s="49" t="inlineStr">
        <is>
          <t>Provide further evidence of target status assessment in the form of:
A general update on activities in relation to the overarching target (Column D)</t>
        </is>
      </c>
      <c r="N90" s="49" t="inlineStr">
        <is>
          <t>Provide further evidence of target status assessment in the form of:
Data and commentary in direct response to the reporting request (Column F)</t>
        </is>
      </c>
      <c r="O90" s="49" t="inlineStr">
        <is>
          <t>Provide any additional information to support the target status assessment (e.g. links, images, rationale for selection of target status)</t>
        </is>
      </c>
      <c r="P90" s="49" t="inlineStr">
        <is>
          <t>Where did this information come from (system, report, survey, person)? Note any gaps or limitations.</t>
        </is>
      </c>
      <c r="Q90" s="49" t="inlineStr">
        <is>
          <t>Select 'Yes' to confirm the information provided is accurate and can be used for reporting</t>
        </is>
      </c>
      <c r="R90" s="49" t="inlineStr">
        <is>
          <t>Name, role and date of the person confirming</t>
        </is>
      </c>
    </row>
    <row r="91" ht="150" customHeight="1">
      <c r="B91" s="7" t="inlineStr">
        <is>
          <t>EE1(a)</t>
        </is>
      </c>
      <c r="C91" s="50" t="inlineStr">
        <is>
          <t>Exceptional education</t>
        </is>
      </c>
      <c r="D91" s="50" t="inlineStr">
        <is>
          <t>Provide our students with learning experiences that help them build the knowledge, skills and relationships to lead change for sustainable societies.</t>
        </is>
      </c>
      <c r="E91" s="50" t="inlineStr">
        <is>
          <t>Evidence of innovative approaches to sustainability teaching and learning</t>
        </is>
      </c>
      <c r="F91" s="8" t="inlineStr">
        <is>
          <t>In end-2025 reporting your faculty reported on the related SP2030 target 4a(ii) and rated it 'Met or exceeded' (see Column J – click [+] above Columns I–K).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91" s="8" t="inlineStr">
        <is>
          <t>We will collate examples of innovative sustainability teaching and learning across faculties to inform the Exceptional education section of the 2026 Sustainability Report, and select one or two for short case studies.</t>
        </is>
      </c>
      <c r="H91" s="8" t="inlineStr">
        <is>
          <t>4a(ii)</t>
        </is>
      </c>
      <c r="I91" s="8" t="inlineStr">
        <is>
          <t>Met or exceeded</t>
        </is>
      </c>
      <c r="J91"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91" s="8" t="inlineStr"/>
      <c r="L91" s="8" t="n"/>
      <c r="M91" s="8" t="n"/>
      <c r="N91" s="8" t="n"/>
      <c r="O91" s="8" t="n"/>
      <c r="P91" s="8" t="n"/>
      <c r="Q91" s="8" t="n"/>
      <c r="R91" s="8" t="n"/>
    </row>
    <row r="92" ht="150" customHeight="1">
      <c r="B92" s="7" t="inlineStr">
        <is>
          <t>EE1(b)</t>
        </is>
      </c>
      <c r="C92" s="50" t="inlineStr">
        <is>
          <t>Exceptional education</t>
        </is>
      </c>
      <c r="D92" s="50" t="inlineStr">
        <is>
          <t>Provide our students with learning experiences that help them build the knowledge, skills and relationships to lead change for sustainable societies.</t>
        </is>
      </c>
      <c r="E92" s="50" t="inlineStr">
        <is>
          <t>Pilots of possible approaches for understanding and developing students’ sustainability self-efficacy</t>
        </is>
      </c>
      <c r="F92"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2" s="8" t="inlineStr">
        <is>
          <t>This is a new indicator. We will use responses to establish a baseline of how (and whether) faculties are understanding student sustainability self-efficacy, and report on early pilots in the 2026 Sustainability Report. A nil response is useful to us.</t>
        </is>
      </c>
      <c r="H92" s="8" t="inlineStr">
        <is>
          <t>N/A – new indicator</t>
        </is>
      </c>
      <c r="I92" s="8" t="inlineStr"/>
      <c r="J92" s="8" t="inlineStr"/>
      <c r="K92" s="8" t="inlineStr"/>
      <c r="L92" s="8" t="n"/>
      <c r="M92" s="8" t="n"/>
      <c r="N92" s="8" t="n"/>
      <c r="O92" s="8" t="n"/>
      <c r="P92" s="8" t="n"/>
      <c r="Q92" s="8" t="n"/>
      <c r="R92" s="8" t="n"/>
    </row>
    <row r="93" ht="150" customHeight="1">
      <c r="B93" s="7" t="inlineStr">
        <is>
          <t>EE1(c)</t>
        </is>
      </c>
      <c r="C93" s="50" t="inlineStr">
        <is>
          <t>Exceptional education</t>
        </is>
      </c>
      <c r="D93" s="50" t="inlineStr">
        <is>
          <t>Provide our students with learning experiences that help them build the knowledge, skills and relationships to lead change for sustainable societies.</t>
        </is>
      </c>
      <c r="E93" s="50" t="inlineStr">
        <is>
          <t>Evidence of sustainability focused experiential and co curricular learning (eg Wattle Fellowship; Melbourne Plus)</t>
        </is>
      </c>
      <c r="F93"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93" s="8" t="inlineStr">
        <is>
          <t>We will combine faculty examples with central Wattle Fellowship and Melbourne Plus data to report on the range and reach of sustainability-focused experiential and co-curricular learning across the University.</t>
        </is>
      </c>
      <c r="H93" s="8" t="inlineStr">
        <is>
          <t>N/A – new indicator</t>
        </is>
      </c>
      <c r="I93" s="8" t="inlineStr"/>
      <c r="J93" s="8" t="inlineStr"/>
      <c r="K93" s="8" t="inlineStr"/>
      <c r="L93" s="8" t="n"/>
      <c r="M93" s="8" t="n"/>
      <c r="N93" s="8" t="n"/>
      <c r="O93" s="8" t="n"/>
      <c r="P93" s="8" t="n"/>
      <c r="Q93" s="8" t="n"/>
      <c r="R93" s="8" t="n"/>
    </row>
    <row r="94" ht="150" customHeight="1">
      <c r="B94" s="7" t="inlineStr">
        <is>
          <t>EE1(d)</t>
        </is>
      </c>
      <c r="C94" s="50" t="inlineStr">
        <is>
          <t>Exceptional education</t>
        </is>
      </c>
      <c r="D94" s="50" t="inlineStr">
        <is>
          <t>Provide our students with learning experiences that help them build the knowledge, skills and relationships to lead change for sustainable societies.</t>
        </is>
      </c>
      <c r="E94" s="50" t="inlineStr">
        <is>
          <t>Alumni profiles demonstrating how graduates contribute to sustainability through their careers or communities.</t>
        </is>
      </c>
      <c r="F94" s="8" t="inlineStr">
        <is>
          <t>In end-2025 reporting your faculty reported on the related SP2030 target 4b(i) and rated it 'Met or exceeded' (see Column J – click [+] above Columns I–K).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94" s="8" t="inlineStr">
        <is>
          <t>We will use nominated alumni to develop short graduate profiles for the 2026 Sustainability Report (subject to consent), and record any faculty approaches to tracking graduate outcomes to inform how this indicator is measured from 2027.</t>
        </is>
      </c>
      <c r="H94" s="8" t="inlineStr">
        <is>
          <t>4b(i)</t>
        </is>
      </c>
      <c r="I94" s="8" t="inlineStr">
        <is>
          <t>Met or exceeded</t>
        </is>
      </c>
      <c r="J94" s="8" t="inlineStr">
        <is>
          <t>As above. FoS is the custodial faculty for the Office of Environmental Programs
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K94" s="8" t="inlineStr"/>
      <c r="L94" s="8" t="n"/>
      <c r="M94" s="8" t="n"/>
      <c r="N94" s="8" t="n"/>
      <c r="O94" s="8" t="n"/>
      <c r="P94" s="8" t="n"/>
      <c r="Q94" s="8" t="n"/>
      <c r="R94" s="8" t="n"/>
    </row>
    <row r="95" ht="150" customHeight="1">
      <c r="B95" s="7" t="inlineStr">
        <is>
          <t>TR1(a)</t>
        </is>
      </c>
      <c r="C95" s="50" t="inlineStr">
        <is>
          <t>Transformational research</t>
        </is>
      </c>
      <c r="D95" s="50" t="inlineStr">
        <is>
          <t>Utilise the expertise of the University’s researchers through mutually beneficial partnerships to help address the University’s operational sustainability challenges.</t>
        </is>
      </c>
      <c r="E95" s="50" t="inlineStr">
        <is>
          <t>Expert-reviewed evidence of researchers contributing to operational sustainability priorities through partnerships, advisory input, living labs, applied projects or decision-support</t>
        </is>
      </c>
      <c r="F95" s="8" t="inlineStr">
        <is>
          <t>In end-2025 reporting your faculty reported on the related SP2030 target 2a and rated it 'Partially met' (see Column J – click [+] above Columns I–K).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95" s="8" t="inlineStr">
        <is>
          <t>We will report on examples of researchers helping solve the University's own operational sustainability challenges, alongside CLLAP projects reported by CI&amp;S, and share them with operational teams to identify further collaboration.</t>
        </is>
      </c>
      <c r="H95" s="8" t="inlineStr">
        <is>
          <t>2a</t>
        </is>
      </c>
      <c r="I95" s="8" t="inlineStr">
        <is>
          <t>Partially met</t>
        </is>
      </c>
      <c r="J9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95" s="8" t="inlineStr">
        <is>
          <t>https://www.unimelb.edu.au/newsroom/news/2024/october/native-harvest-cookbook-aims-to-put-indigenous-food-in-every-aussie-kitchen
https://theconversation.com/we-planted-two-woody-meadows-a-decade-ago-to-see-what-would-thrive-now-the-concept-is-popular-across-australia-269611</t>
        </is>
      </c>
      <c r="L95" s="8" t="n"/>
      <c r="M95" s="8" t="n"/>
      <c r="N95" s="8" t="n"/>
      <c r="O95" s="8" t="n"/>
      <c r="P95" s="8" t="n"/>
      <c r="Q95" s="8" t="n"/>
      <c r="R95" s="8" t="n"/>
    </row>
    <row r="96" ht="150" customHeight="1">
      <c r="B96" s="7" t="inlineStr">
        <is>
          <t>TR1(b)</t>
        </is>
      </c>
      <c r="C96" s="50" t="inlineStr">
        <is>
          <t>Transformational research</t>
        </is>
      </c>
      <c r="D96" s="50" t="inlineStr">
        <is>
          <t>Utilise the expertise of the University’s researchers through mutually beneficial partnerships to help address the University’s operational sustainability challenges.</t>
        </is>
      </c>
      <c r="E96" s="50" t="inlineStr">
        <is>
          <t>Evidence of institutional pathways that enable ongoing collaboration between academic and professional staff</t>
        </is>
      </c>
      <c r="F96"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96" s="8" t="inlineStr">
        <is>
          <t>We will map existing academic–professional collaboration mechanisms across faculties to establish a baseline for this new indicator and identify models other faculties could adopt.</t>
        </is>
      </c>
      <c r="H96" s="8" t="inlineStr">
        <is>
          <t>N/A – new indicator</t>
        </is>
      </c>
      <c r="I96" s="8" t="inlineStr"/>
      <c r="J96" s="8" t="inlineStr"/>
      <c r="K96" s="8" t="inlineStr"/>
      <c r="L96" s="8" t="n"/>
      <c r="M96" s="8" t="n"/>
      <c r="N96" s="8" t="n"/>
      <c r="O96" s="8" t="n"/>
      <c r="P96" s="8" t="n"/>
      <c r="Q96" s="8" t="n"/>
      <c r="R96" s="8" t="n"/>
    </row>
    <row r="97" ht="150" customHeight="1">
      <c r="B97" s="7" t="inlineStr">
        <is>
          <t>TR1(c)</t>
        </is>
      </c>
      <c r="C97" s="50" t="inlineStr">
        <is>
          <t>Transformational research</t>
        </is>
      </c>
      <c r="D97" s="50" t="inlineStr">
        <is>
          <t>Utilise the expertise of the University’s researchers through mutually beneficial partnerships to help address the University’s operational sustainability challenges.</t>
        </is>
      </c>
      <c r="E97" s="50" t="inlineStr">
        <is>
          <t>Expert assessment of the quality, relevance and continuity of these collaborations</t>
        </is>
      </c>
      <c r="F97" s="8" t="inlineStr">
        <is>
          <t>For the collaborations described in TR1(a)–(b), please give a short assessment (a paragraph is sufficient) of their quality, relevance and continuity: are they ongoing, useful to the University's operational priorities, and producing outcomes?</t>
        </is>
      </c>
      <c r="G97" s="8" t="inlineStr">
        <is>
          <t>We will use your assessment to describe the quality and continuity of research–operations collaboration in the 2026 report, and as baseline evidence for the interim target status assessment from 2027.</t>
        </is>
      </c>
      <c r="H97" s="8" t="inlineStr">
        <is>
          <t>N/A – new indicator</t>
        </is>
      </c>
      <c r="I97" s="8" t="inlineStr"/>
      <c r="J97" s="8" t="inlineStr"/>
      <c r="K97" s="8" t="inlineStr"/>
      <c r="L97" s="8" t="n"/>
      <c r="M97" s="8" t="n"/>
      <c r="N97" s="8" t="n"/>
      <c r="O97" s="8" t="n"/>
      <c r="P97" s="8" t="n"/>
      <c r="Q97" s="8" t="n"/>
      <c r="R97" s="8" t="n"/>
    </row>
    <row r="98" ht="150" customHeight="1">
      <c r="B98" s="7" t="inlineStr">
        <is>
          <t>TR1(d)</t>
        </is>
      </c>
      <c r="C98" s="50" t="inlineStr">
        <is>
          <t>Transformational research</t>
        </is>
      </c>
      <c r="D98" s="50" t="inlineStr">
        <is>
          <t>Utilise the expertise of the University’s researchers through mutually beneficial partnerships to help address the University’s operational sustainability challenges.</t>
        </is>
      </c>
      <c r="E98" s="50" t="inlineStr">
        <is>
          <t>Periodic feedback from participants on the effectiveness and mutual benefit of collaboration mechanisms.</t>
        </is>
      </c>
      <c r="F98"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98" s="8" t="inlineStr">
        <is>
          <t>We will use any feedback to understand whether collaboration mechanisms are working and to inform improvements. Where none has been collected, this helps us plan how to gather feedback from 2027.</t>
        </is>
      </c>
      <c r="H98" s="8" t="inlineStr">
        <is>
          <t>N/A – new indicator</t>
        </is>
      </c>
      <c r="I98" s="8" t="inlineStr"/>
      <c r="J98" s="8" t="inlineStr"/>
      <c r="K98" s="8" t="inlineStr"/>
      <c r="L98" s="8" t="n"/>
      <c r="M98" s="8" t="n"/>
      <c r="N98" s="8" t="n"/>
      <c r="O98" s="8" t="n"/>
      <c r="P98" s="8" t="n"/>
      <c r="Q98" s="8" t="n"/>
      <c r="R98" s="8" t="n"/>
    </row>
    <row r="99" ht="150" customHeight="1">
      <c r="B99" s="7" t="inlineStr">
        <is>
          <t>TR2(a)</t>
        </is>
      </c>
      <c r="C99" s="50" t="inlineStr">
        <is>
          <t>Transformational research</t>
        </is>
      </c>
      <c r="D99" s="50" t="inlineStr">
        <is>
          <t>Deliver high-quality research and partnerships that contribute to sustainability outcomes and demonstrable societal benefit.</t>
        </is>
      </c>
      <c r="E99" s="50" t="inlineStr">
        <is>
          <t>Evidence of sustainability-related research impact across diverse pathways, could include policy, industry, community, practice, cultural and institutional outcomes</t>
        </is>
      </c>
      <c r="F99" s="8" t="inlineStr">
        <is>
          <t>In end-2025 reporting your faculty reported on the related SP2030 target 5b(i) and rated it 'Met or exceeded' (see Column J – click [+] above Columns I–K).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9" s="8" t="inlineStr">
        <is>
          <t>We will collate research impact examples across faculties to show the breadth of sustainability-related research impact in the Transformational research section of the 2026 Sustainability Report, complementing University-wide metrics from MRE.</t>
        </is>
      </c>
      <c r="H99" s="8" t="inlineStr">
        <is>
          <t>5b(i)</t>
        </is>
      </c>
      <c r="I99" s="8" t="inlineStr">
        <is>
          <t>Met or exceeded</t>
        </is>
      </c>
      <c r="J99"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99" s="8" t="inlineStr"/>
      <c r="L99" s="8" t="n"/>
      <c r="M99" s="8" t="n"/>
      <c r="N99" s="8" t="n"/>
      <c r="O99" s="8" t="n"/>
      <c r="P99" s="8" t="n"/>
      <c r="Q99" s="8" t="n"/>
      <c r="R99" s="8" t="n"/>
    </row>
    <row r="100" ht="150" customHeight="1">
      <c r="B100" s="7" t="inlineStr">
        <is>
          <t>TR2(d)</t>
        </is>
      </c>
      <c r="C100" s="50" t="inlineStr">
        <is>
          <t>Transformational research</t>
        </is>
      </c>
      <c r="D100" s="50" t="inlineStr">
        <is>
          <t>Deliver high-quality research and partnerships that contribute to sustainability outcomes and demonstrable societal benefit.</t>
        </is>
      </c>
      <c r="E100" s="50" t="inlineStr">
        <is>
          <t>Case-based evidence demonstrating how research has contributed to meaningful sustainability outcomes.</t>
        </is>
      </c>
      <c r="F100" s="8" t="inlineStr">
        <is>
          <t>In end-2025 reporting your faculty reported on the related SP2030 target 5b(i) and rated it 'Met or exceeded' (see Column J – click [+] above Columns I–K).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100" s="8" t="inlineStr">
        <is>
          <t>We will select the strongest examples to develop as full research case studies for the 2026 Sustainability Report (we may contact you for more detail and images).</t>
        </is>
      </c>
      <c r="H100" s="8" t="inlineStr">
        <is>
          <t>5b(i)</t>
        </is>
      </c>
      <c r="I100" s="8" t="inlineStr">
        <is>
          <t>Met or exceeded</t>
        </is>
      </c>
      <c r="J100"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00" s="8" t="inlineStr"/>
      <c r="L100" s="8" t="n"/>
      <c r="M100" s="8" t="n"/>
      <c r="N100" s="8" t="n"/>
      <c r="O100" s="8" t="n"/>
      <c r="P100" s="8" t="n"/>
      <c r="Q100" s="8" t="n"/>
      <c r="R100" s="8" t="n"/>
    </row>
    <row r="101" ht="150" customHeight="1">
      <c r="B101" s="7" t="inlineStr">
        <is>
          <t>TR3(a)</t>
        </is>
      </c>
      <c r="C101" s="50" t="inlineStr">
        <is>
          <t>Transformational research</t>
        </is>
      </c>
      <c r="D101" s="50" t="inlineStr">
        <is>
          <t>Embed sustainability within research systems, processes, capability and culture, so research is conducted responsibly, efficiently and with reduced environmental impact.</t>
        </is>
      </c>
      <c r="E101" s="50" t="inlineStr">
        <is>
          <t>Evidence that sustainability considerations are integrated into relevant research systems, planning processes, guidance, training, induction or support services</t>
        </is>
      </c>
      <c r="F101" s="8" t="inlineStr">
        <is>
          <t>In end-2025 reporting your faculty reported on the related SP2030 target 5c(ii) and rated it 'Partially met' (see Column J – click [+] above Columns I–K).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101" s="8" t="inlineStr">
        <is>
          <t>We will report on how sustainability is being built into research systems and support across the University, and use responses to establish a baseline for this new target.</t>
        </is>
      </c>
      <c r="H101" s="8" t="inlineStr">
        <is>
          <t>5c(ii)</t>
        </is>
      </c>
      <c r="I101" s="8" t="inlineStr">
        <is>
          <t>Partially met</t>
        </is>
      </c>
      <c r="J101"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1" s="8" t="inlineStr"/>
      <c r="L101" s="8" t="n"/>
      <c r="M101" s="8" t="n"/>
      <c r="N101" s="8" t="n"/>
      <c r="O101" s="8" t="n"/>
      <c r="P101" s="8" t="n"/>
      <c r="Q101" s="8" t="n"/>
      <c r="R101" s="8" t="n"/>
    </row>
    <row r="102" ht="150" customHeight="1">
      <c r="B102" s="7" t="inlineStr">
        <is>
          <t>TR3(b)</t>
        </is>
      </c>
      <c r="C102" s="50" t="inlineStr">
        <is>
          <t>Transformational research</t>
        </is>
      </c>
      <c r="D102" s="50" t="inlineStr">
        <is>
          <t>Embed sustainability within research systems, processes, capability and culture, so research is conducted responsibly, efficiently and with reduced environmental impact.</t>
        </is>
      </c>
      <c r="E102" s="50" t="inlineStr">
        <is>
          <t>Demonstrated examples of more sustainable research practices in laboratories, fieldwork, procurement, travel or infrastructure use</t>
        </is>
      </c>
      <c r="F102"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102" s="8" t="inlineStr">
        <is>
          <t>We will report on ways the University is making research practices more sustainable in the 2026 Sustainability Report, and share practical examples (e.g. green labs) across faculties.</t>
        </is>
      </c>
      <c r="H102" s="8" t="inlineStr">
        <is>
          <t>5c(ii)</t>
        </is>
      </c>
      <c r="I102" s="8" t="inlineStr">
        <is>
          <t>Partially met</t>
        </is>
      </c>
      <c r="J102"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102" s="8" t="inlineStr"/>
      <c r="L102" s="8" t="n"/>
      <c r="M102" s="8" t="n"/>
      <c r="N102" s="8" t="n"/>
      <c r="O102" s="8" t="n"/>
      <c r="P102" s="8" t="n"/>
      <c r="Q102" s="8" t="n"/>
      <c r="R102" s="8" t="n"/>
    </row>
    <row r="103" ht="150" customHeight="1">
      <c r="B103" s="7" t="inlineStr">
        <is>
          <t>TR3(c)</t>
        </is>
      </c>
      <c r="C103" s="50" t="inlineStr">
        <is>
          <t>Transformational research</t>
        </is>
      </c>
      <c r="D103" s="50" t="inlineStr">
        <is>
          <t>Embed sustainability within research systems, processes, capability and culture, so research is conducted responsibly, efficiently and with reduced environmental impact.</t>
        </is>
      </c>
      <c r="E103" s="50" t="inlineStr">
        <is>
          <t>Evidence of progress in sustainability-related research culture, capability and awareness, informed by periodic staff and graduate researcher surveys</t>
        </is>
      </c>
      <c r="F103"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103" s="8" t="inlineStr">
        <is>
          <t>We will use any survey or capability data to describe changes in sustainability-related research culture. Where no evidence exists, this helps us plan University-wide measurement (e.g. staff and graduate researcher surveys) from 2027.</t>
        </is>
      </c>
      <c r="H103" s="8" t="inlineStr">
        <is>
          <t>N/A – new indicator</t>
        </is>
      </c>
      <c r="I103" s="8" t="inlineStr"/>
      <c r="J103" s="8" t="inlineStr"/>
      <c r="K103" s="8" t="inlineStr"/>
      <c r="L103" s="8" t="n"/>
      <c r="M103" s="8" t="n"/>
      <c r="N103" s="8" t="n"/>
      <c r="O103" s="8" t="n"/>
      <c r="P103" s="8" t="n"/>
      <c r="Q103" s="8" t="n"/>
      <c r="R103" s="8" t="n"/>
    </row>
    <row r="104" ht="150" customHeight="1">
      <c r="B104" s="7" t="inlineStr">
        <is>
          <t>TR3(d)</t>
        </is>
      </c>
      <c r="C104" s="50" t="inlineStr">
        <is>
          <t>Transformational research</t>
        </is>
      </c>
      <c r="D104" s="50" t="inlineStr">
        <is>
          <t>Embed sustainability within research systems, processes, capability and culture, so research is conducted responsibly, efficiently and with reduced environmental impact.</t>
        </is>
      </c>
      <c r="E104" s="50" t="inlineStr">
        <is>
          <t>Expert assessment of progress in embedding sustainable research practices across the institution.</t>
        </is>
      </c>
      <c r="F104" s="8" t="inlineStr">
        <is>
          <t>Drawing on your responses to TR3(a)–(c), please provide a short overall assessment (2–3 sentences) of your faculty's progress in embedding sustainable research practices: where progress is strongest, the main gaps, and priority actions for 2027.</t>
        </is>
      </c>
      <c r="G104" s="8" t="inlineStr">
        <is>
          <t>We will use faculty self-assessments to identify strengths, gaps and priority actions in embedding sustainable research practices, to inform internal management reporting and the Transformational research working group.</t>
        </is>
      </c>
      <c r="H104" s="8" t="inlineStr">
        <is>
          <t>N/A – new indicator</t>
        </is>
      </c>
      <c r="I104" s="8" t="inlineStr"/>
      <c r="J104" s="8" t="inlineStr"/>
      <c r="K104" s="8" t="inlineStr"/>
      <c r="L104" s="8" t="n"/>
      <c r="M104" s="8" t="n"/>
      <c r="N104" s="8" t="n"/>
      <c r="O104" s="8" t="n"/>
      <c r="P104" s="8" t="n"/>
      <c r="Q104" s="8" t="n"/>
      <c r="R104" s="8" t="n"/>
    </row>
    <row r="105" ht="150" customHeight="1">
      <c r="B105" s="7" t="inlineStr">
        <is>
          <t>CL2(a)</t>
        </is>
      </c>
      <c r="C105" s="50" t="inlineStr">
        <is>
          <t>Climate leadership</t>
        </is>
      </c>
      <c r="D105" s="50" t="inlineStr">
        <is>
          <t>Develop understanding of our research and education programs that contribute to accelerating global decarbonisation and our own climate transition.</t>
        </is>
      </c>
      <c r="E105" s="50" t="inlineStr">
        <is>
          <t>By 2028, develop and document institutional mapping of research and education activities that are designed to contribute to global decarbonisation</t>
        </is>
      </c>
      <c r="F105"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105" s="8" t="inlineStr">
        <is>
          <t>We will use these examples to show how the University communicates climate research and learning to external audiences, and as an input to the institutional decarbonisation research and education mapping due by 2028.</t>
        </is>
      </c>
      <c r="H105" s="8" t="inlineStr">
        <is>
          <t>N/A – new indicator</t>
        </is>
      </c>
      <c r="I105" s="8" t="inlineStr"/>
      <c r="J105" s="8" t="inlineStr"/>
      <c r="K105" s="8" t="inlineStr"/>
      <c r="L105" s="8" t="n"/>
      <c r="M105" s="8" t="n"/>
      <c r="N105" s="8" t="n"/>
      <c r="O105" s="8" t="n"/>
      <c r="P105" s="8" t="n"/>
      <c r="Q105" s="8" t="n"/>
      <c r="R105" s="8" t="n"/>
    </row>
    <row r="106" ht="150" customHeight="1">
      <c r="B106" s="7" t="inlineStr">
        <is>
          <t>CL2(c)</t>
        </is>
      </c>
      <c r="C106" s="50" t="inlineStr">
        <is>
          <t>Climate leadership</t>
        </is>
      </c>
      <c r="D106" s="50" t="inlineStr">
        <is>
          <t>Develop understanding of our research and education programs that contribute to accelerating global decarbonisation and our own climate transition.</t>
        </is>
      </c>
      <c r="E106" s="50" t="inlineStr">
        <is>
          <t>Ongoing communications that evidence the University’s climate action, research and learning to inform policy, sector and community decarbonisation efforts.</t>
        </is>
      </c>
      <c r="F106"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106" s="8" t="inlineStr">
        <is>
          <t>We will report on the University's ongoing climate communications in the Climate leadership section of the 2026 Sustainability Report, alongside contributions from Melbourne Climate Futures and the Melbourne Energy Institute.</t>
        </is>
      </c>
      <c r="H106" s="8" t="inlineStr">
        <is>
          <t>N/A – new indicator</t>
        </is>
      </c>
      <c r="I106" s="8" t="inlineStr"/>
      <c r="J106" s="8" t="inlineStr"/>
      <c r="K106" s="8" t="inlineStr"/>
      <c r="L106" s="8" t="n"/>
      <c r="M106" s="8" t="n"/>
      <c r="N106" s="8" t="n"/>
      <c r="O106" s="8" t="n"/>
      <c r="P106" s="8" t="n"/>
      <c r="Q106" s="8" t="n"/>
      <c r="R106" s="8" t="n"/>
    </row>
    <row r="107" ht="150" customHeight="1">
      <c r="B107" s="7" t="inlineStr">
        <is>
          <t>EN1(a)</t>
        </is>
      </c>
      <c r="C107" s="50" t="inlineStr">
        <is>
          <t>Enablers</t>
        </is>
      </c>
      <c r="D107" s="50" t="inlineStr">
        <is>
          <t>Enablers</t>
        </is>
      </c>
      <c r="E107" s="50" t="inlineStr">
        <is>
          <t>Evidence of sustainability outcomes informed by Indigenous knowledges</t>
        </is>
      </c>
      <c r="F107" s="8" t="inlineStr">
        <is>
          <t>In end-2025 reporting your faculty reported on the related SP2030 target 6a and rated it 'Partially met' (see Column J – click [+] above Columns I–K).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07" s="8" t="inlineStr">
        <is>
          <t>We will report on the ways Indigenous knowledges inform sustainability activities across the University, and develop selected examples into case studies with appropriate permissions.</t>
        </is>
      </c>
      <c r="H107" s="8" t="inlineStr">
        <is>
          <t>6a</t>
        </is>
      </c>
      <c r="I107" s="8" t="inlineStr">
        <is>
          <t>Partially met</t>
        </is>
      </c>
      <c r="J107"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107" s="8" t="inlineStr"/>
      <c r="L107" s="8" t="n"/>
      <c r="M107" s="8" t="n"/>
      <c r="N107" s="8" t="n"/>
      <c r="O107" s="8" t="n"/>
      <c r="P107" s="8" t="n"/>
      <c r="Q107" s="8" t="n"/>
      <c r="R107" s="8" t="n"/>
    </row>
    <row r="108" ht="150" customHeight="1">
      <c r="B108" s="7" t="inlineStr">
        <is>
          <t>EN1(b)</t>
        </is>
      </c>
      <c r="C108" s="50" t="inlineStr">
        <is>
          <t>Enablers</t>
        </is>
      </c>
      <c r="D108" s="50" t="inlineStr">
        <is>
          <t>Enablers</t>
        </is>
      </c>
      <c r="E108" s="50" t="inlineStr">
        <is>
          <t>Living laboratories enabling applied learning, research and operational sustainability outcomes</t>
        </is>
      </c>
      <c r="F108" s="8" t="inlineStr">
        <is>
          <t>In end-2025 reporting your faculty reported on the related SP2030 target 2a and rated it 'Partially met' (see Column J – click [+] above Columns I–K).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108" s="8" t="inlineStr">
        <is>
          <t>We will share examples of living labs from across the University in the 2026 Sustainability Report, alongside CLLAP projects reported by CI&amp;S.</t>
        </is>
      </c>
      <c r="H108" s="8" t="inlineStr">
        <is>
          <t>2a</t>
        </is>
      </c>
      <c r="I108" s="8" t="inlineStr">
        <is>
          <t>Partially met</t>
        </is>
      </c>
      <c r="J108"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08" s="8" t="inlineStr">
        <is>
          <t>https://www.unimelb.edu.au/newsroom/news/2024/october/native-harvest-cookbook-aims-to-put-indigenous-food-in-every-aussie-kitchen
https://theconversation.com/we-planted-two-woody-meadows-a-decade-ago-to-see-what-would-thrive-now-the-concept-is-popular-across-australia-269611</t>
        </is>
      </c>
      <c r="L108" s="8" t="n"/>
      <c r="M108" s="8" t="n"/>
      <c r="N108" s="8" t="n"/>
      <c r="O108" s="8" t="n"/>
      <c r="P108" s="8" t="n"/>
      <c r="Q108" s="8" t="n"/>
      <c r="R108" s="8" t="n"/>
    </row>
    <row r="109" ht="150" customHeight="1">
      <c r="B109" s="7" t="inlineStr">
        <is>
          <t>EN1(c)</t>
        </is>
      </c>
      <c r="C109" s="50" t="inlineStr">
        <is>
          <t>Enablers</t>
        </is>
      </c>
      <c r="D109" s="50" t="inlineStr">
        <is>
          <t>Enablers</t>
        </is>
      </c>
      <c r="E109" s="50" t="inlineStr">
        <is>
          <t>Coordinated internal engagement and external partnerships contributing to delivery of sustainability outcomes across priority areas.</t>
        </is>
      </c>
      <c r="F109"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109" s="8" t="inlineStr">
        <is>
          <t>We will report on internal engagement and partnerships contributing to Sustainability 2030 outcomes, and update our record of sustainability-focused communities of practice and contacts across the University.</t>
        </is>
      </c>
      <c r="H109" s="8" t="inlineStr">
        <is>
          <t>3a(ii)</t>
        </is>
      </c>
      <c r="I109" s="8" t="inlineStr">
        <is>
          <t>Met or exceeded</t>
        </is>
      </c>
      <c r="J109"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109" s="8" t="inlineStr"/>
      <c r="L109" s="8" t="n"/>
      <c r="M109" s="8" t="n"/>
      <c r="N109" s="8" t="n"/>
      <c r="O109" s="8" t="n"/>
      <c r="P109" s="8" t="n"/>
      <c r="Q109" s="8" t="n"/>
      <c r="R109" s="8" t="n"/>
    </row>
    <row r="110" ht="150" customHeight="1">
      <c r="B110" s="7" t="inlineStr">
        <is>
          <t>EN1(d)</t>
        </is>
      </c>
      <c r="C110" s="50" t="inlineStr">
        <is>
          <t>Enablers</t>
        </is>
      </c>
      <c r="D110" s="50" t="inlineStr">
        <is>
          <t>Enablers</t>
        </is>
      </c>
      <c r="E110" s="50" t="inlineStr">
        <is>
          <t>Sustainability objectives integrated into governance and decision‑making processes, supported by transparent reporting.</t>
        </is>
      </c>
      <c r="F110"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110" s="8" t="inlineStr">
        <is>
          <t>We will report on how sustainability is integrated into governance and decision-making across faculties and portfolios, and use responses as a baseline for the governance enabler from 2027.</t>
        </is>
      </c>
      <c r="H110" s="8" t="inlineStr">
        <is>
          <t>N/A – new indicator</t>
        </is>
      </c>
      <c r="I110" s="8" t="inlineStr"/>
      <c r="J110" s="8" t="inlineStr"/>
      <c r="K110" s="8" t="inlineStr"/>
      <c r="L110" s="8" t="n"/>
      <c r="M110" s="8" t="n"/>
      <c r="N110" s="8" t="n"/>
      <c r="O110" s="8" t="n"/>
      <c r="P110" s="8" t="n"/>
      <c r="Q110" s="8" t="n"/>
      <c r="R110" s="8" t="n"/>
    </row>
    <row r="111"/>
  </sheetData>
  <mergeCells count="12">
    <mergeCell ref="C7:G7"/>
    <mergeCell ref="C34:G34"/>
    <mergeCell ref="H88:K88"/>
    <mergeCell ref="L61:R61"/>
    <mergeCell ref="H61:K61"/>
    <mergeCell ref="L34:R34"/>
    <mergeCell ref="H34:K34"/>
    <mergeCell ref="L88:R88"/>
    <mergeCell ref="L7:R7"/>
    <mergeCell ref="H7:K7"/>
    <mergeCell ref="C61:G61"/>
    <mergeCell ref="C88:G88"/>
  </mergeCells>
  <dataValidations count="8">
    <dataValidation sqref="L10:L29" showDropDown="0" showInputMessage="0" showErrorMessage="0" allowBlank="1" errorTitle="Invalid entry" error="Please select from the dropdown" type="list">
      <formula1>=Lists!$B$3:$B$7</formula1>
    </dataValidation>
    <dataValidation sqref="Q10:Q29" showDropDown="0" showInputMessage="0" showErrorMessage="0" allowBlank="1" errorTitle="Invalid entry" error="Please select from the dropdown" type="list">
      <formula1>=Lists!$C$2:$C$4</formula1>
    </dataValidation>
    <dataValidation sqref="L37:L56" showDropDown="0" showInputMessage="0" showErrorMessage="0" allowBlank="1" errorTitle="Invalid entry" error="Please select from the dropdown" type="list">
      <formula1>=Lists!$B$3:$B$7</formula1>
    </dataValidation>
    <dataValidation sqref="Q37:Q56" showDropDown="0" showInputMessage="0" showErrorMessage="0" allowBlank="1" errorTitle="Invalid entry" error="Please select from the dropdown" type="list">
      <formula1>=Lists!$C$2:$C$4</formula1>
    </dataValidation>
    <dataValidation sqref="L64:L83" showDropDown="0" showInputMessage="0" showErrorMessage="0" allowBlank="1" errorTitle="Invalid entry" error="Please select from the dropdown" type="list">
      <formula1>=Lists!$B$3:$B$7</formula1>
    </dataValidation>
    <dataValidation sqref="Q64:Q83" showDropDown="0" showInputMessage="0" showErrorMessage="0" allowBlank="1" errorTitle="Invalid entry" error="Please select from the dropdown" type="list">
      <formula1>=Lists!$C$2:$C$4</formula1>
    </dataValidation>
    <dataValidation sqref="L91:L110" showDropDown="0" showInputMessage="0" showErrorMessage="0" allowBlank="1" errorTitle="Invalid entry" error="Please select from the dropdown" type="list">
      <formula1>=Lists!$B$3:$B$7</formula1>
    </dataValidation>
    <dataValidation sqref="Q91:Q1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39"/>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5" t="inlineStr">
        <is>
          <t>1.1  CI&amp;S – Estate Planning &amp; Development (TBC: confirm with Gerard)</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0" t="inlineStr">
        <is>
          <t>Estate and infrastructure</t>
        </is>
      </c>
      <c r="D11" s="50" t="inlineStr">
        <is>
          <t>Integrate environmental sustainability in the way that the University achieves strategic and operational objectives for our estate and infrastructure.</t>
        </is>
      </c>
      <c r="E11" s="50"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0" t="inlineStr">
        <is>
          <t>Estate and infrastructure</t>
        </is>
      </c>
      <c r="D12" s="50" t="inlineStr">
        <is>
          <t>Integrate environmental sustainability in the way that the University achieves strategic and operational objectives for our estate and infrastructure.</t>
        </is>
      </c>
      <c r="E12" s="50"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0" t="inlineStr">
        <is>
          <t>Estate and infrastructure</t>
        </is>
      </c>
      <c r="D13" s="50" t="inlineStr">
        <is>
          <t>Integrate environmental sustainability in the way that the University achieves strategic and operational objectives for our estate and infrastructure.</t>
        </is>
      </c>
      <c r="E13" s="50"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0" t="inlineStr">
        <is>
          <t>Estate and infrastructure</t>
        </is>
      </c>
      <c r="D14" s="50" t="inlineStr">
        <is>
          <t>Integrate environmental sustainability in the way that the University achieves strategic and operational objectives for our estate and infrastructure.</t>
        </is>
      </c>
      <c r="E14" s="50"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5" t="inlineStr">
        <is>
          <t>1.2  CI&amp;S – Sustainability Strategy (incl. CLLAP)</t>
        </is>
      </c>
    </row>
    <row r="19">
      <c r="C19" s="46" t="inlineStr">
        <is>
          <t>Sustainability 2030 target and indicator</t>
        </is>
      </c>
      <c r="H19" s="46" t="inlineStr">
        <is>
          <t>End-2025 reporting (click the ref to see your full SR25 response; [+] above expands a summary)</t>
        </is>
      </c>
      <c r="L19" s="47"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8" t="inlineStr">
        <is>
          <t>Confirm end-2026 target status</t>
        </is>
      </c>
      <c r="M20" s="48" t="inlineStr">
        <is>
          <t>OPTION 1:  Target-level reporting (Column D)</t>
        </is>
      </c>
      <c r="N20" s="48" t="inlineStr">
        <is>
          <t>OPTION 2:  Indicator level reporting (Column E/F)</t>
        </is>
      </c>
      <c r="O20" s="48" t="inlineStr">
        <is>
          <t>Supporting information/comments</t>
        </is>
      </c>
      <c r="P20" s="48" t="inlineStr">
        <is>
          <t>Data source and limitations</t>
        </is>
      </c>
      <c r="Q20" s="48" t="inlineStr">
        <is>
          <t>Data owner confirms information is accurate</t>
        </is>
      </c>
      <c r="R20" s="48" t="inlineStr">
        <is>
          <t>Confirmed by (name, role, date)</t>
        </is>
      </c>
    </row>
    <row r="21">
      <c r="B21" s="49" t="inlineStr"/>
      <c r="C21" s="49" t="inlineStr"/>
      <c r="D21" s="49" t="inlineStr"/>
      <c r="E21" s="49" t="inlineStr"/>
      <c r="F21" s="49" t="inlineStr"/>
      <c r="G21" s="49" t="inlineStr"/>
      <c r="H21" s="49" t="inlineStr"/>
      <c r="I21" s="49" t="inlineStr"/>
      <c r="J21" s="49" t="inlineStr"/>
      <c r="K21" s="49" t="inlineStr"/>
      <c r="L21" s="49" t="inlineStr">
        <is>
          <t>(Met or exceeded; partially met; not met; not yet started)</t>
        </is>
      </c>
      <c r="M21" s="49" t="inlineStr">
        <is>
          <t>Provide further evidence of target status assessment in the form of:
A general update on activities in relation to the overarching target (Column D)</t>
        </is>
      </c>
      <c r="N21" s="49" t="inlineStr">
        <is>
          <t>Provide further evidence of target status assessment in the form of:
Data and commentary in direct response to the reporting request (Column F)</t>
        </is>
      </c>
      <c r="O21" s="49" t="inlineStr">
        <is>
          <t>Provide any additional information to support the target status assessment (e.g. links, images, rationale for selection of target status)</t>
        </is>
      </c>
      <c r="P21" s="49" t="inlineStr">
        <is>
          <t>Where did this information come from (system, report, survey, person)? Note any gaps or limitations.</t>
        </is>
      </c>
      <c r="Q21" s="49" t="inlineStr">
        <is>
          <t>Select 'Yes' to confirm the information provided is accurate and can be used for reporting</t>
        </is>
      </c>
      <c r="R21" s="49" t="inlineStr">
        <is>
          <t>Name, role and date of the person confirming</t>
        </is>
      </c>
    </row>
    <row r="22" ht="150" customHeight="1">
      <c r="B22" s="7" t="inlineStr">
        <is>
          <t>EE1(a)</t>
        </is>
      </c>
      <c r="C22" s="50" t="inlineStr">
        <is>
          <t>Exceptional education</t>
        </is>
      </c>
      <c r="D22" s="50" t="inlineStr">
        <is>
          <t>Provide our students with learning experiences that help them build the knowledge, skills and relationships to lead change for sustainable societies.</t>
        </is>
      </c>
      <c r="E22" s="50"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innovative sustainability teaching and learning across faculties to inform the Exceptional education section of the 2026 Sustainability Report, and select one or two for short case studies.</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0" t="inlineStr">
        <is>
          <t>Exceptional education</t>
        </is>
      </c>
      <c r="D23" s="50" t="inlineStr">
        <is>
          <t>Provide our students with learning experiences that help them build the knowledge, skills and relationships to lead change for sustainable societies.</t>
        </is>
      </c>
      <c r="E23" s="50"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0" t="inlineStr">
        <is>
          <t>Exceptional education</t>
        </is>
      </c>
      <c r="D24" s="50" t="inlineStr">
        <is>
          <t>Provide our students with learning experiences that help them build the knowledge, skills and relationships to lead change for sustainable societies.</t>
        </is>
      </c>
      <c r="E24" s="50"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EE1(d)</t>
        </is>
      </c>
      <c r="C25" s="50" t="inlineStr">
        <is>
          <t>Exceptional education</t>
        </is>
      </c>
      <c r="D25" s="50" t="inlineStr">
        <is>
          <t>Provide our students with learning experiences that help them build the knowledge, skills and relationships to lead change for sustainable societies.</t>
        </is>
      </c>
      <c r="E25" s="50" t="inlineStr">
        <is>
          <t>Alumni profiles demonstrating how graduates contribute to sustainability through their careers or communities.</t>
        </is>
      </c>
      <c r="F25"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25" s="8" t="inlineStr">
        <is>
          <t>We will use nominated alumni to develop short graduate profiles for the 2026 Sustainability Report (subject to consent), and record any faculty approaches to tracking graduate outcomes to inform how this indicator is measured from 2027.</t>
        </is>
      </c>
      <c r="H25" s="8" t="inlineStr">
        <is>
          <t>N/A – new indicator</t>
        </is>
      </c>
      <c r="I25" s="8" t="inlineStr"/>
      <c r="J25" s="8" t="inlineStr"/>
      <c r="K25" s="8" t="inlineStr"/>
      <c r="L25" s="8" t="n"/>
      <c r="M25" s="8" t="n"/>
      <c r="N25" s="8" t="n"/>
      <c r="O25" s="8" t="n"/>
      <c r="P25" s="8" t="n"/>
      <c r="Q25" s="8" t="n"/>
      <c r="R25" s="8" t="n"/>
    </row>
    <row r="26" ht="150" customHeight="1">
      <c r="B26" s="7" t="inlineStr">
        <is>
          <t>TR1(a)</t>
        </is>
      </c>
      <c r="C26" s="50" t="inlineStr">
        <is>
          <t>Transformational research</t>
        </is>
      </c>
      <c r="D26" s="50" t="inlineStr">
        <is>
          <t>Utilise the expertise of the University’s researchers through mutually beneficial partnerships to help address the University’s operational sustainability challenges.</t>
        </is>
      </c>
      <c r="E26" s="50" t="inlineStr">
        <is>
          <t>Expert-reviewed evidence of researchers contributing to operational sustainability priorities through partnerships, advisory input, living labs, applied projects or decision-support</t>
        </is>
      </c>
      <c r="F26"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6" s="8" t="inlineStr">
        <is>
          <t>We will report on examples of researchers helping solve the University's own operational sustainability challenges, alongside CLLAP projects reported by CI&amp;S, and share them with operational teams to identify further collaboration.</t>
        </is>
      </c>
      <c r="H26" s="8" t="inlineStr">
        <is>
          <t>5a(ii)</t>
        </is>
      </c>
      <c r="I26" s="8" t="inlineStr">
        <is>
          <t>Partially met</t>
        </is>
      </c>
      <c r="J26" s="8" t="inlineStr">
        <is>
          <t>Tangible improvement in some areas, but not all (haven't done ASRS, for example).</t>
        </is>
      </c>
      <c r="K26" s="8" t="inlineStr"/>
      <c r="L26" s="8" t="n"/>
      <c r="M26" s="8" t="n"/>
      <c r="N26" s="8" t="n"/>
      <c r="O26" s="8" t="n"/>
      <c r="P26" s="8" t="n"/>
      <c r="Q26" s="8" t="n"/>
      <c r="R26" s="8" t="n"/>
    </row>
    <row r="27" ht="150" customHeight="1">
      <c r="B27" s="7" t="inlineStr">
        <is>
          <t>TR2(d)</t>
        </is>
      </c>
      <c r="C27" s="50" t="inlineStr">
        <is>
          <t>Transformational research</t>
        </is>
      </c>
      <c r="D27" s="50" t="inlineStr">
        <is>
          <t>Deliver high-quality research and partnerships that contribute to sustainability outcomes and demonstrable societal benefit.</t>
        </is>
      </c>
      <c r="E27" s="50" t="inlineStr">
        <is>
          <t>Case-based evidence demonstrating how research has contributed to meaningful sustainability outcomes.</t>
        </is>
      </c>
      <c r="F27"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7" s="8" t="inlineStr">
        <is>
          <t>We will select the strongest examples to develop as full research case studies for the 2026 Sustainability Report (we may contact you for more detail and images).</t>
        </is>
      </c>
      <c r="H27" s="8" t="inlineStr">
        <is>
          <t>N/A – new indicator</t>
        </is>
      </c>
      <c r="I27" s="8" t="inlineStr"/>
      <c r="J27" s="8" t="inlineStr"/>
      <c r="K27" s="8" t="inlineStr"/>
      <c r="L27" s="8" t="n"/>
      <c r="M27" s="8" t="n"/>
      <c r="N27" s="8" t="n"/>
      <c r="O27" s="8" t="n"/>
      <c r="P27" s="8" t="n"/>
      <c r="Q27" s="8" t="n"/>
      <c r="R27" s="8" t="n"/>
    </row>
    <row r="28" ht="150" customHeight="1">
      <c r="B28" s="7" t="inlineStr">
        <is>
          <t>TR3(a)</t>
        </is>
      </c>
      <c r="C28" s="50" t="inlineStr">
        <is>
          <t>Transformational research</t>
        </is>
      </c>
      <c r="D28" s="50" t="inlineStr">
        <is>
          <t>Embed sustainability within research systems, processes, capability and culture, so research is conducted responsibly, efficiently and with reduced environmental impact.</t>
        </is>
      </c>
      <c r="E28" s="50" t="inlineStr">
        <is>
          <t>Evidence that sustainability considerations are integrated into relevant research systems, planning processes, guidance, training, induction or support services</t>
        </is>
      </c>
      <c r="F28" s="8" t="inlineStr">
        <is>
          <t>Please describe how sustainability considerations are integrated into research systems, planning processes, guidance, training, induction or support services within your Faculty/Portfolio, could include examples of any new or improved processes.</t>
        </is>
      </c>
      <c r="G28" s="8" t="inlineStr">
        <is>
          <t>We will report on how sustainability is being built into research systems and support across the University, and use responses to establish a baseline for this new target.</t>
        </is>
      </c>
      <c r="H28" s="8" t="inlineStr">
        <is>
          <t>N/A – new indicator</t>
        </is>
      </c>
      <c r="I28" s="8" t="inlineStr"/>
      <c r="J28" s="8" t="inlineStr"/>
      <c r="K28" s="8" t="inlineStr"/>
      <c r="L28" s="8" t="n"/>
      <c r="M28" s="8" t="n"/>
      <c r="N28" s="8" t="n"/>
      <c r="O28" s="8" t="n"/>
      <c r="P28" s="8" t="n"/>
      <c r="Q28" s="8" t="n"/>
      <c r="R28" s="8" t="n"/>
    </row>
    <row r="29" ht="150" customHeight="1">
      <c r="B29" s="7" t="inlineStr">
        <is>
          <t>TR3(b)</t>
        </is>
      </c>
      <c r="C29" s="50" t="inlineStr">
        <is>
          <t>Transformational research</t>
        </is>
      </c>
      <c r="D29" s="50" t="inlineStr">
        <is>
          <t>Embed sustainability within research systems, processes, capability and culture, so research is conducted responsibly, efficiently and with reduced environmental impact.</t>
        </is>
      </c>
      <c r="E29" s="50" t="inlineStr">
        <is>
          <t>Demonstrated examples of more sustainable research practices in laboratories, fieldwork, procurement, travel or infrastructure use</t>
        </is>
      </c>
      <c r="F29"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9" s="8" t="inlineStr">
        <is>
          <t>We will report on ways the University is making research practices more sustainable in the 2026 Sustainability Report, and share practical examples (e.g. green labs) across faculties.</t>
        </is>
      </c>
      <c r="H29" s="8" t="inlineStr">
        <is>
          <t>N/A – new indicator</t>
        </is>
      </c>
      <c r="I29" s="8" t="inlineStr"/>
      <c r="J29" s="8" t="inlineStr"/>
      <c r="K29" s="8" t="inlineStr"/>
      <c r="L29" s="8" t="n"/>
      <c r="M29" s="8" t="n"/>
      <c r="N29" s="8" t="n"/>
      <c r="O29" s="8" t="n"/>
      <c r="P29" s="8" t="n"/>
      <c r="Q29" s="8" t="n"/>
      <c r="R29" s="8" t="n"/>
    </row>
    <row r="30" ht="150" customHeight="1">
      <c r="B30" s="7" t="inlineStr">
        <is>
          <t>CL1(c)</t>
        </is>
      </c>
      <c r="C30" s="50" t="inlineStr">
        <is>
          <t>Climate leadership</t>
        </is>
      </c>
      <c r="D30" s="50"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0" s="50" t="inlineStr">
        <is>
          <t>Review of Climate Leadership targets by 2030.[2]</t>
        </is>
      </c>
      <c r="F30" s="8" t="inlineStr">
        <is>
          <t>(Reporting request TBC)</t>
        </is>
      </c>
      <c r="G30" s="8" t="inlineStr">
        <is>
          <t>For internal planning: we will record the status of the planned review of Climate Leadership targets (due by 2030).</t>
        </is>
      </c>
      <c r="H30" s="8" t="inlineStr">
        <is>
          <t>N/A – new indicator</t>
        </is>
      </c>
      <c r="I30" s="8" t="inlineStr"/>
      <c r="J30" s="8" t="inlineStr"/>
      <c r="K30" s="8" t="inlineStr"/>
      <c r="L30" s="8" t="n"/>
      <c r="M30" s="8" t="n"/>
      <c r="N30" s="8" t="n"/>
      <c r="O30" s="8" t="n"/>
      <c r="P30" s="8" t="n"/>
      <c r="Q30" s="8" t="n"/>
      <c r="R30" s="8" t="n"/>
    </row>
    <row r="31" ht="150" customHeight="1">
      <c r="B31" s="7" t="inlineStr">
        <is>
          <t>CL2(a)</t>
        </is>
      </c>
      <c r="C31" s="50" t="inlineStr">
        <is>
          <t>Climate leadership</t>
        </is>
      </c>
      <c r="D31" s="50" t="inlineStr">
        <is>
          <t>Develop understanding of our research and education programs that contribute to accelerating global decarbonisation and our own climate transition.</t>
        </is>
      </c>
      <c r="E31" s="50" t="inlineStr">
        <is>
          <t>By 2028, develop and document institutional mapping of research and education activities that are designed to contribute to global decarbonisation</t>
        </is>
      </c>
      <c r="F3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1" s="8" t="inlineStr">
        <is>
          <t>We will use these examples to show how the University communicates climate research and learning to external audiences, and as an input to the institutional decarbonisation research and education mapping due by 2028.</t>
        </is>
      </c>
      <c r="H31" s="8" t="inlineStr">
        <is>
          <t>N/A – new indicator</t>
        </is>
      </c>
      <c r="I31" s="8" t="inlineStr"/>
      <c r="J31" s="8" t="inlineStr"/>
      <c r="K31" s="8" t="inlineStr"/>
      <c r="L31" s="8" t="n"/>
      <c r="M31" s="8" t="n"/>
      <c r="N31" s="8" t="n"/>
      <c r="O31" s="8" t="n"/>
      <c r="P31" s="8" t="n"/>
      <c r="Q31" s="8" t="n"/>
      <c r="R31" s="8" t="n"/>
    </row>
    <row r="32" ht="150" customHeight="1">
      <c r="B32" s="7" t="inlineStr">
        <is>
          <t>AI1(a)</t>
        </is>
      </c>
      <c r="C32" s="50" t="inlineStr">
        <is>
          <t>Responsible AI</t>
        </is>
      </c>
      <c r="D32" s="50" t="inlineStr">
        <is>
          <t>Improve understanding of our sustainability-related risks and opportunities of AI technologies by 2028.</t>
        </is>
      </c>
      <c r="E32" s="50" t="inlineStr">
        <is>
          <t>Established measurement of estimated operational impacts and opportunities (eg operational impacts could include energy, water, emissions and intensity measures)</t>
        </is>
      </c>
      <c r="F32" s="8" t="inlineStr">
        <is>
          <t>(Reporting request TBC)</t>
        </is>
      </c>
      <c r="G32" s="8" t="inlineStr">
        <is>
          <t>We will provide a high-level overview of AI's estimated operational impacts and opportunities in 2026, ahead of more detailed measurement from 2027.</t>
        </is>
      </c>
      <c r="H32" s="8" t="inlineStr">
        <is>
          <t>N/A – new indicator</t>
        </is>
      </c>
      <c r="I32" s="8" t="inlineStr"/>
      <c r="J32" s="8" t="inlineStr"/>
      <c r="K32" s="8" t="inlineStr"/>
      <c r="L32" s="8" t="n"/>
      <c r="M32" s="8" t="n"/>
      <c r="N32" s="8" t="n"/>
      <c r="O32" s="8" t="n"/>
      <c r="P32" s="8" t="n"/>
      <c r="Q32" s="8" t="n"/>
      <c r="R32" s="8" t="n"/>
    </row>
    <row r="33" ht="150" customHeight="1">
      <c r="B33" s="7" t="inlineStr">
        <is>
          <t>AI1(b)</t>
        </is>
      </c>
      <c r="C33" s="50" t="inlineStr">
        <is>
          <t>Responsible AI</t>
        </is>
      </c>
      <c r="D33" s="50" t="inlineStr">
        <is>
          <t>Improve understanding of our sustainability-related risks and opportunities of AI technologies by 2028.</t>
        </is>
      </c>
      <c r="E33" s="50" t="inlineStr">
        <is>
          <t>Case studies of sustainability and AI-related education, research and collaboration activities.</t>
        </is>
      </c>
      <c r="F33" s="8" t="inlineStr">
        <is>
          <t>Please provide case studies from your Faculty/Portfolio of sustainability and AI-related education, research or collaboration activities, describing the activity, participants or partners, sustainability issue addressed and key outcomes or lessons.</t>
        </is>
      </c>
      <c r="G33" s="8" t="inlineStr">
        <is>
          <t>We will select examples of sustainability and AI-related education, research and collaboration as case studies for the new Responsible AI section of the 2026 Sustainability Report.</t>
        </is>
      </c>
      <c r="H33" s="8" t="inlineStr">
        <is>
          <t>N/A – new indicator</t>
        </is>
      </c>
      <c r="I33" s="8" t="inlineStr"/>
      <c r="J33" s="8" t="inlineStr"/>
      <c r="K33" s="8" t="inlineStr"/>
      <c r="L33" s="8" t="n"/>
      <c r="M33" s="8" t="n"/>
      <c r="N33" s="8" t="n"/>
      <c r="O33" s="8" t="n"/>
      <c r="P33" s="8" t="n"/>
      <c r="Q33" s="8" t="n"/>
      <c r="R33" s="8" t="n"/>
    </row>
    <row r="34" ht="150" customHeight="1">
      <c r="B34" s="7" t="inlineStr">
        <is>
          <t>MS1(a)</t>
        </is>
      </c>
      <c r="C34" s="50" t="inlineStr">
        <is>
          <t>Modern slavery and human rights</t>
        </is>
      </c>
      <c r="D34" s="50" t="inlineStr">
        <is>
          <t>Manage our approach to modern slavery and human rights-related risks and opportunities.</t>
        </is>
      </c>
      <c r="E34" s="50" t="inlineStr">
        <is>
          <t>Annual progress reporting via the Modern Slavery Statement</t>
        </is>
      </c>
      <c r="F34" s="8" t="inlineStr">
        <is>
          <t>We did not receive an end-2025 response for the related SP2030 target 11c(ii), so please include any relevant activity from across 2026.
Annual Modern Slavery Statement, with case studies</t>
        </is>
      </c>
      <c r="G34" s="8" t="inlineStr">
        <is>
          <t>We will draw on the annual Modern Slavery Statement and case studies to report on the University's approach to modern slavery and human rights risks (timing to be aligned with the Statement).</t>
        </is>
      </c>
      <c r="H34" s="8" t="inlineStr">
        <is>
          <t>11c(ii)</t>
        </is>
      </c>
      <c r="I34" s="8" t="inlineStr"/>
      <c r="J34" s="8" t="inlineStr"/>
      <c r="K34" s="8" t="inlineStr"/>
      <c r="L34" s="8" t="n"/>
      <c r="M34" s="8" t="n"/>
      <c r="N34" s="8" t="n"/>
      <c r="O34" s="8" t="n"/>
      <c r="P34" s="8" t="n"/>
      <c r="Q34" s="8" t="n"/>
      <c r="R34" s="8" t="n"/>
    </row>
    <row r="35" ht="150" customHeight="1">
      <c r="B35" s="7" t="inlineStr">
        <is>
          <t>RI1(b)</t>
        </is>
      </c>
      <c r="C35" s="50" t="inlineStr">
        <is>
          <t>Responsible investments</t>
        </is>
      </c>
      <c r="D35" s="50" t="inlineStr">
        <is>
          <t>Achieve net zero financed emissions for the University’s investment portfolio by 2050.</t>
        </is>
      </c>
      <c r="E35" s="50" t="inlineStr">
        <is>
          <t>Continuous improvement of the reporting of the University’s sustainability-related investment profile metrics, could include investment in climate mitigation and transition solutions, and compliance with related obligations (eg UNPRI).</t>
        </is>
      </c>
      <c r="F35"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5" s="8" t="inlineStr">
        <is>
          <t>We will report on sustainability-related investment portfolio metrics and the University's compliance with related obligations (e.g. UNPRI) in the Responsible investments section of the 2026 Sustainability Report.</t>
        </is>
      </c>
      <c r="H35" s="8" t="inlineStr">
        <is>
          <t>12b(i)</t>
        </is>
      </c>
      <c r="I35" s="8" t="inlineStr"/>
      <c r="J35" s="8" t="inlineStr"/>
      <c r="K35" s="8" t="inlineStr"/>
      <c r="L35" s="8" t="n"/>
      <c r="M35" s="8" t="n"/>
      <c r="N35" s="8" t="n"/>
      <c r="O35" s="8" t="n"/>
      <c r="P35" s="8" t="n"/>
      <c r="Q35" s="8" t="n"/>
      <c r="R35" s="8" t="n"/>
    </row>
    <row r="36" ht="150" customHeight="1">
      <c r="B36" s="7" t="inlineStr">
        <is>
          <t>EN1(b)</t>
        </is>
      </c>
      <c r="C36" s="50" t="inlineStr">
        <is>
          <t>Enablers</t>
        </is>
      </c>
      <c r="D36" s="50" t="inlineStr">
        <is>
          <t>Enablers</t>
        </is>
      </c>
      <c r="E36" s="50" t="inlineStr">
        <is>
          <t>Living laboratories enabling applied learning, research and operational sustainability outcomes</t>
        </is>
      </c>
      <c r="F36" s="8" t="inlineStr">
        <is>
          <t>We did not receive an end-2025 response for the related SP2030 target 2a, so please include any relevant activity from across 2026.
Comment on living labs in the Faculty - outputs, outcomes, and impact</t>
        </is>
      </c>
      <c r="G36" s="8" t="inlineStr">
        <is>
          <t>We will share examples of living labs from across the University in the 2026 Sustainability Report, alongside CLLAP projects reported by CI&amp;S.</t>
        </is>
      </c>
      <c r="H36" s="8" t="inlineStr">
        <is>
          <t>2a</t>
        </is>
      </c>
      <c r="I36" s="8" t="inlineStr"/>
      <c r="J36" s="8" t="inlineStr"/>
      <c r="K36" s="8" t="inlineStr"/>
      <c r="L36" s="8" t="n"/>
      <c r="M36" s="8" t="n"/>
      <c r="N36" s="8" t="n"/>
      <c r="O36" s="8" t="n"/>
      <c r="P36" s="8" t="n"/>
      <c r="Q36" s="8" t="n"/>
      <c r="R36" s="8" t="n"/>
    </row>
    <row r="37" ht="150" customHeight="1">
      <c r="B37" s="7" t="inlineStr">
        <is>
          <t>EN1(c)</t>
        </is>
      </c>
      <c r="C37" s="50" t="inlineStr">
        <is>
          <t>Enablers</t>
        </is>
      </c>
      <c r="D37" s="50" t="inlineStr">
        <is>
          <t>Enablers</t>
        </is>
      </c>
      <c r="E37" s="50" t="inlineStr">
        <is>
          <t>Coordinated internal engagement and external partnerships contributing to delivery of sustainability outcomes across priority areas.</t>
        </is>
      </c>
      <c r="F37"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7" s="8" t="inlineStr">
        <is>
          <t>We will report on internal engagement and partnerships contributing to Sustainability 2030 outcomes, and update our record of sustainability-focused communities of practice and contacts across the University.</t>
        </is>
      </c>
      <c r="H37" s="8" t="inlineStr">
        <is>
          <t>N/A – new indicator</t>
        </is>
      </c>
      <c r="I37" s="8" t="inlineStr"/>
      <c r="J37" s="8" t="inlineStr"/>
      <c r="K37" s="8" t="inlineStr"/>
      <c r="L37" s="8" t="n"/>
      <c r="M37" s="8" t="n"/>
      <c r="N37" s="8" t="n"/>
      <c r="O37" s="8" t="n"/>
      <c r="P37" s="8" t="n"/>
      <c r="Q37" s="8" t="n"/>
      <c r="R37" s="8" t="n"/>
    </row>
    <row r="38" ht="150" customHeight="1">
      <c r="B38" s="7" t="inlineStr">
        <is>
          <t>EN1(d)</t>
        </is>
      </c>
      <c r="C38" s="50" t="inlineStr">
        <is>
          <t>Enablers</t>
        </is>
      </c>
      <c r="D38" s="50" t="inlineStr">
        <is>
          <t>Enablers</t>
        </is>
      </c>
      <c r="E38" s="50" t="inlineStr">
        <is>
          <t>Sustainability objectives integrated into governance and decision‑making processes, supported by transparent reporting.</t>
        </is>
      </c>
      <c r="F38"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8" s="8" t="inlineStr">
        <is>
          <t>We will report on how sustainability is integrated into governance and decision-making across faculties and portfolios, and use responses as a baseline for the governance enabler from 2027.</t>
        </is>
      </c>
      <c r="H38" s="8" t="inlineStr">
        <is>
          <t>N/A – new indicator</t>
        </is>
      </c>
      <c r="I38" s="8" t="inlineStr"/>
      <c r="J38" s="8" t="inlineStr"/>
      <c r="K38" s="8" t="inlineStr"/>
      <c r="L38" s="8" t="n"/>
      <c r="M38" s="8" t="n"/>
      <c r="N38" s="8" t="n"/>
      <c r="O38" s="8" t="n"/>
      <c r="P38" s="8" t="n"/>
      <c r="Q38" s="8" t="n"/>
      <c r="R38" s="8" t="n"/>
    </row>
    <row r="39"/>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8" showDropDown="0" showInputMessage="0" showErrorMessage="0" allowBlank="1" errorTitle="Invalid entry" error="Please select from the dropdown" type="list">
      <formula1>=Lists!$B$3:$B$7</formula1>
    </dataValidation>
    <dataValidation sqref="Q22:Q38"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5" t="inlineStr">
        <is>
          <t>1.1  CFOG – Procurement</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TR3(b)</t>
        </is>
      </c>
      <c r="C10" s="50" t="inlineStr">
        <is>
          <t>Transformational research</t>
        </is>
      </c>
      <c r="D10" s="50" t="inlineStr">
        <is>
          <t>Embed sustainability within research systems, processes, capability and culture, so research is conducted responsibly, efficiently and with reduced environmental impact.</t>
        </is>
      </c>
      <c r="E10" s="50"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0" t="inlineStr">
        <is>
          <t>Nature and biodiversity</t>
        </is>
      </c>
      <c r="D11" s="50" t="inlineStr">
        <is>
          <t>Improve our understanding of our supply chain impacts on nature.</t>
        </is>
      </c>
      <c r="E11" s="50"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0" t="inlineStr">
        <is>
          <t>Responsible procurement</t>
        </is>
      </c>
      <c r="D12" s="50" t="inlineStr">
        <is>
          <t>Strengthen our ethical and sustainable procurement approach.</t>
        </is>
      </c>
      <c r="E12" s="50"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0" t="inlineStr">
        <is>
          <t>Modern slavery and human rights</t>
        </is>
      </c>
      <c r="D13" s="50" t="inlineStr">
        <is>
          <t>Manage our approach to modern slavery and human rights-related risks and opportunities.</t>
        </is>
      </c>
      <c r="E13" s="50"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0" t="inlineStr">
        <is>
          <t>Enablers</t>
        </is>
      </c>
      <c r="D14" s="50" t="inlineStr">
        <is>
          <t>Enablers</t>
        </is>
      </c>
      <c r="E14" s="50"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0" t="inlineStr">
        <is>
          <t>Enablers</t>
        </is>
      </c>
      <c r="D15" s="50" t="inlineStr">
        <is>
          <t>Enablers</t>
        </is>
      </c>
      <c r="E15" s="50"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5" t="inlineStr">
        <is>
          <t>1.2  CFOG – Treasury &amp; Investments</t>
        </is>
      </c>
    </row>
    <row r="20">
      <c r="C20" s="46" t="inlineStr">
        <is>
          <t>Sustainability 2030 target and indicator</t>
        </is>
      </c>
      <c r="H20" s="46" t="inlineStr">
        <is>
          <t>End-2025 reporting (click the ref to see your full SR25 response; [+] above expands a summary)</t>
        </is>
      </c>
      <c r="L20" s="47"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8" t="inlineStr">
        <is>
          <t>Confirm end-2026 target status</t>
        </is>
      </c>
      <c r="M21" s="48" t="inlineStr">
        <is>
          <t>OPTION 1:  Target-level reporting (Column D)</t>
        </is>
      </c>
      <c r="N21" s="48" t="inlineStr">
        <is>
          <t>OPTION 2:  Indicator level reporting (Column E/F)</t>
        </is>
      </c>
      <c r="O21" s="48" t="inlineStr">
        <is>
          <t>Supporting information/comments</t>
        </is>
      </c>
      <c r="P21" s="48" t="inlineStr">
        <is>
          <t>Data source and limitations</t>
        </is>
      </c>
      <c r="Q21" s="48" t="inlineStr">
        <is>
          <t>Data owner confirms information is accurate</t>
        </is>
      </c>
      <c r="R21" s="48" t="inlineStr">
        <is>
          <t>Confirmed by (name, role, date)</t>
        </is>
      </c>
    </row>
    <row r="22">
      <c r="B22" s="49" t="inlineStr"/>
      <c r="C22" s="49" t="inlineStr"/>
      <c r="D22" s="49" t="inlineStr"/>
      <c r="E22" s="49" t="inlineStr"/>
      <c r="F22" s="49" t="inlineStr"/>
      <c r="G22" s="49" t="inlineStr"/>
      <c r="H22" s="49" t="inlineStr"/>
      <c r="I22" s="49" t="inlineStr"/>
      <c r="J22" s="49" t="inlineStr"/>
      <c r="K22" s="49" t="inlineStr"/>
      <c r="L22" s="49" t="inlineStr">
        <is>
          <t>(Met or exceeded; partially met; not met; not yet started)</t>
        </is>
      </c>
      <c r="M22" s="49" t="inlineStr">
        <is>
          <t>Provide further evidence of target status assessment in the form of:
A general update on activities in relation to the overarching target (Column D)</t>
        </is>
      </c>
      <c r="N22" s="49" t="inlineStr">
        <is>
          <t>Provide further evidence of target status assessment in the form of:
Data and commentary in direct response to the reporting request (Column F)</t>
        </is>
      </c>
      <c r="O22" s="49" t="inlineStr">
        <is>
          <t>Provide any additional information to support the target status assessment (e.g. links, images, rationale for selection of target status)</t>
        </is>
      </c>
      <c r="P22" s="49" t="inlineStr">
        <is>
          <t>Where did this information come from (system, report, survey, person)? Note any gaps or limitations.</t>
        </is>
      </c>
      <c r="Q22" s="49" t="inlineStr">
        <is>
          <t>Select 'Yes' to confirm the information provided is accurate and can be used for reporting</t>
        </is>
      </c>
      <c r="R22" s="49" t="inlineStr">
        <is>
          <t>Name, role and date of the person confirming</t>
        </is>
      </c>
    </row>
    <row r="23" ht="150" customHeight="1">
      <c r="B23" s="7" t="inlineStr">
        <is>
          <t>RI1(b)</t>
        </is>
      </c>
      <c r="C23" s="50" t="inlineStr">
        <is>
          <t>Responsible investments</t>
        </is>
      </c>
      <c r="D23" s="50" t="inlineStr">
        <is>
          <t>Achieve net zero financed emissions for the University’s investment portfolio by 2050.</t>
        </is>
      </c>
      <c r="E23" s="50"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5" t="inlineStr">
        <is>
          <t>1.1  ESG – Campus Operations &amp; Sustainability Delivery</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NB1(b)</t>
        </is>
      </c>
      <c r="C10" s="50" t="inlineStr">
        <is>
          <t>Nature and biodiversity</t>
        </is>
      </c>
      <c r="D10" s="50" t="inlineStr">
        <is>
          <t>Achieve an increase of biodiversity relative to defined baseline years for each campus.</t>
        </is>
      </c>
      <c r="E10" s="50"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0" t="inlineStr">
        <is>
          <t>Nature and biodiversity</t>
        </is>
      </c>
      <c r="D11" s="50" t="inlineStr">
        <is>
          <t>Achieve an increase of biodiversity relative to defined baseline years for each campus.</t>
        </is>
      </c>
      <c r="E11" s="50"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0" t="inlineStr">
        <is>
          <t>Nature and biodiversity</t>
        </is>
      </c>
      <c r="D12" s="50" t="inlineStr">
        <is>
          <t>Achieve an increase of biodiversity relative to defined baseline years for each campus.</t>
        </is>
      </c>
      <c r="E12" s="50"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0" t="inlineStr">
        <is>
          <t>Nature and biodiversity</t>
        </is>
      </c>
      <c r="D13" s="50" t="inlineStr">
        <is>
          <t>Improve our understanding of our supply chain impacts on nature.</t>
        </is>
      </c>
      <c r="E13" s="50"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0" t="inlineStr">
        <is>
          <t>Nature and biodiversity</t>
        </is>
      </c>
      <c r="D14" s="50" t="inlineStr">
        <is>
          <t>Improve our understanding of our supply chain impacts on nature.</t>
        </is>
      </c>
      <c r="E14" s="50"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0" t="inlineStr">
        <is>
          <t>Enablers</t>
        </is>
      </c>
      <c r="D15" s="50" t="inlineStr">
        <is>
          <t>Enablers</t>
        </is>
      </c>
      <c r="E15" s="50"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0" t="inlineStr">
        <is>
          <t>Enablers</t>
        </is>
      </c>
      <c r="D16" s="50" t="inlineStr">
        <is>
          <t>Enablers</t>
        </is>
      </c>
      <c r="E16" s="50"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5" t="inlineStr">
        <is>
          <t>1.1  CIOG – Responsible AI &amp; digital</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AI1(a)</t>
        </is>
      </c>
      <c r="C10" s="50" t="inlineStr">
        <is>
          <t>Responsible AI</t>
        </is>
      </c>
      <c r="D10" s="50" t="inlineStr">
        <is>
          <t>Improve understanding of our sustainability-related risks and opportunities of AI technologies by 2028.</t>
        </is>
      </c>
      <c r="E10" s="50"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0" t="inlineStr">
        <is>
          <t>Responsible AI</t>
        </is>
      </c>
      <c r="D11" s="50" t="inlineStr">
        <is>
          <t>Improve understanding of our sustainability-related risks and opportunities of AI technologies by 2028.</t>
        </is>
      </c>
      <c r="E11" s="50"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0" t="inlineStr">
        <is>
          <t>Enablers</t>
        </is>
      </c>
      <c r="D12" s="50" t="inlineStr">
        <is>
          <t>Enablers</t>
        </is>
      </c>
      <c r="E12" s="50"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0" t="inlineStr">
        <is>
          <t>Enablers</t>
        </is>
      </c>
      <c r="D13" s="50" t="inlineStr">
        <is>
          <t>Enablers</t>
        </is>
      </c>
      <c r="E13" s="50"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5" t="inlineStr">
        <is>
          <t>1.1  MRE – Research (incl. MBI – TBC)</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TR2(c)</t>
        </is>
      </c>
      <c r="C10" s="50" t="inlineStr">
        <is>
          <t>Transformational research</t>
        </is>
      </c>
      <c r="D10" s="50" t="inlineStr">
        <is>
          <t>Deliver high-quality research and partnerships that contribute to sustainability outcomes and demonstrable societal benefit.</t>
        </is>
      </c>
      <c r="E10" s="50" t="inlineStr">
        <is>
          <t>Expert-reviewed summary of sustainability-related research outputs, outcomes and influence using available institutional evidence sources</t>
        </is>
      </c>
      <c r="F10"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0" s="8" t="inlineStr">
        <is>
          <t>We will use institutional research output data (e.g. SDG-mapped publications via SciVal) to provide the University-wide quantitative picture of sustainability-related research in the 2026 Sustainability Report.</t>
        </is>
      </c>
      <c r="H10" s="8" t="inlineStr">
        <is>
          <t>5b(iii)</t>
        </is>
      </c>
      <c r="I10" s="8" t="inlineStr">
        <is>
          <t>Met or exceeded</t>
        </is>
      </c>
      <c r="J10" s="8" t="inlineStr">
        <is>
          <t>The University’s research outputs continue to be extensively mentioned in patents, policy, news and social media.</t>
        </is>
      </c>
      <c r="K10" s="8" t="inlineStr"/>
      <c r="L10" s="8" t="n"/>
      <c r="M10" s="8" t="n"/>
      <c r="N10" s="8" t="n"/>
      <c r="O10" s="8" t="n"/>
      <c r="P10" s="8" t="n"/>
      <c r="Q10" s="8" t="n"/>
      <c r="R10" s="8" t="n"/>
    </row>
    <row r="11" ht="150" customHeight="1">
      <c r="B11" s="7" t="inlineStr">
        <is>
          <t>NB2(a)</t>
        </is>
      </c>
      <c r="C11" s="50" t="inlineStr">
        <is>
          <t>Nature and biodiversity</t>
        </is>
      </c>
      <c r="D11" s="50" t="inlineStr">
        <is>
          <t>Improve our understanding of our supply chain impacts on nature.</t>
        </is>
      </c>
      <c r="E11" s="50" t="inlineStr">
        <is>
          <t>Documented baseline nature footprint analysis</t>
        </is>
      </c>
      <c r="F11" s="8" t="inlineStr">
        <is>
          <t>Impact Encore Measurement</t>
        </is>
      </c>
      <c r="G11" s="8" t="inlineStr">
        <is>
          <t>We will report on the baseline nature footprint of the University's supply chain in the Nature and biodiversity section of the 2026 Sustainability Report.</t>
        </is>
      </c>
      <c r="H11" s="8" t="inlineStr">
        <is>
          <t>N/A – new indicator</t>
        </is>
      </c>
      <c r="I11" s="8" t="inlineStr"/>
      <c r="J11" s="8" t="inlineStr"/>
      <c r="K11" s="8" t="inlineStr"/>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5" t="inlineStr">
        <is>
          <t>1.1  Legal &amp; Risk – Risk &amp; resilience</t>
        </is>
      </c>
    </row>
    <row r="7">
      <c r="C7" s="46" t="inlineStr">
        <is>
          <t>Sustainability 2030 target and indicator</t>
        </is>
      </c>
      <c r="H7" s="46" t="inlineStr">
        <is>
          <t>End-2025 reporting (click the ref to see your full SR25 response; [+] above expands a summary)</t>
        </is>
      </c>
      <c r="L7" s="47"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8" t="inlineStr">
        <is>
          <t>Confirm end-2026 target status</t>
        </is>
      </c>
      <c r="M8" s="48" t="inlineStr">
        <is>
          <t>OPTION 1:  Target-level reporting (Column D)</t>
        </is>
      </c>
      <c r="N8" s="48" t="inlineStr">
        <is>
          <t>OPTION 2:  Indicator level reporting (Column E/F)</t>
        </is>
      </c>
      <c r="O8" s="48" t="inlineStr">
        <is>
          <t>Supporting information/comments</t>
        </is>
      </c>
      <c r="P8" s="48" t="inlineStr">
        <is>
          <t>Data source and limitations</t>
        </is>
      </c>
      <c r="Q8" s="48" t="inlineStr">
        <is>
          <t>Data owner confirms information is accurate</t>
        </is>
      </c>
      <c r="R8" s="48" t="inlineStr">
        <is>
          <t>Confirmed by (name, role, date)</t>
        </is>
      </c>
    </row>
    <row r="9">
      <c r="B9" s="49" t="inlineStr"/>
      <c r="C9" s="49" t="inlineStr"/>
      <c r="D9" s="49" t="inlineStr"/>
      <c r="E9" s="49" t="inlineStr"/>
      <c r="F9" s="49" t="inlineStr"/>
      <c r="G9" s="49" t="inlineStr"/>
      <c r="H9" s="49" t="inlineStr"/>
      <c r="I9" s="49" t="inlineStr"/>
      <c r="J9" s="49" t="inlineStr"/>
      <c r="K9" s="49" t="inlineStr"/>
      <c r="L9" s="49" t="inlineStr">
        <is>
          <t>(Met or exceeded; partially met; not met; not yet started)</t>
        </is>
      </c>
      <c r="M9" s="49" t="inlineStr">
        <is>
          <t>Provide further evidence of target status assessment in the form of:
A general update on activities in relation to the overarching target (Column D)</t>
        </is>
      </c>
      <c r="N9" s="49" t="inlineStr">
        <is>
          <t>Provide further evidence of target status assessment in the form of:
Data and commentary in direct response to the reporting request (Column F)</t>
        </is>
      </c>
      <c r="O9" s="49" t="inlineStr">
        <is>
          <t>Provide any additional information to support the target status assessment (e.g. links, images, rationale for selection of target status)</t>
        </is>
      </c>
      <c r="P9" s="49" t="inlineStr">
        <is>
          <t>Where did this information come from (system, report, survey, person)? Note any gaps or limitations.</t>
        </is>
      </c>
      <c r="Q9" s="49" t="inlineStr">
        <is>
          <t>Select 'Yes' to confirm the information provided is accurate and can be used for reporting</t>
        </is>
      </c>
      <c r="R9" s="49" t="inlineStr">
        <is>
          <t>Name, role and date of the person confirming</t>
        </is>
      </c>
    </row>
    <row r="10" ht="150" customHeight="1">
      <c r="B10" s="7" t="inlineStr">
        <is>
          <t>CL3(a)</t>
        </is>
      </c>
      <c r="C10" s="50" t="inlineStr">
        <is>
          <t>Climate leadership</t>
        </is>
      </c>
      <c r="D10" s="50" t="inlineStr">
        <is>
          <t>Reach and maintain high levels of climate-change resilience maturity</t>
        </is>
      </c>
      <c r="E10"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1" t="inlineStr">
        <is>
          <t>Faculty</t>
        </is>
      </c>
      <c r="I9" s="51" t="inlineStr">
        <is>
          <t>Faculty</t>
        </is>
      </c>
      <c r="J9" s="51" t="inlineStr">
        <is>
          <t>Faculty</t>
        </is>
      </c>
      <c r="K9" s="51" t="inlineStr">
        <is>
          <t>Faculty</t>
        </is>
      </c>
      <c r="L9" s="51" t="inlineStr">
        <is>
          <t>Central</t>
        </is>
      </c>
      <c r="M9" s="51" t="inlineStr">
        <is>
          <t>Central</t>
        </is>
      </c>
      <c r="N9" s="51" t="inlineStr">
        <is>
          <t>Central</t>
        </is>
      </c>
      <c r="O9" s="51" t="inlineStr">
        <is>
          <t>Central</t>
        </is>
      </c>
      <c r="P9" s="51" t="inlineStr">
        <is>
          <t>Central</t>
        </is>
      </c>
      <c r="Q9" s="51" t="inlineStr">
        <is>
          <t>Central</t>
        </is>
      </c>
      <c r="R9" s="51" t="inlineStr">
        <is>
          <t>Central</t>
        </is>
      </c>
      <c r="S9" s="51"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Legal &amp; Risk – Risk &amp; resilience</t>
        </is>
      </c>
      <c r="T10" s="6" t="n"/>
      <c r="U10" s="6" t="inlineStr">
        <is>
          <t>Requested, no response received</t>
        </is>
      </c>
      <c r="V10" s="6" t="inlineStr">
        <is>
          <t>Not yet started</t>
        </is>
      </c>
      <c r="W10" s="6" t="inlineStr">
        <is>
          <t>Not met</t>
        </is>
      </c>
      <c r="X10" s="6" t="inlineStr">
        <is>
          <t>Partially met</t>
        </is>
      </c>
      <c r="Y10" s="6" t="inlineStr">
        <is>
          <t>Met or exceeded</t>
        </is>
      </c>
      <c r="Z10" s="6" t="inlineStr">
        <is>
          <t>Total score</t>
        </is>
      </c>
      <c r="AA10" s="6" t="inlineStr">
        <is>
          <t>Total valid responses</t>
        </is>
      </c>
      <c r="AB10" s="6" t="inlineStr">
        <is>
          <t>Target score (average)</t>
        </is>
      </c>
      <c r="AC10" s="6" t="inlineStr">
        <is>
          <t>Target score (text)</t>
        </is>
      </c>
      <c r="AD10" s="6" t="inlineStr">
        <is>
          <t>% met</t>
        </is>
      </c>
      <c r="AE10" s="6" t="inlineStr">
        <is>
          <t>% met or partially met</t>
        </is>
      </c>
      <c r="AF10" s="6" t="inlineStr">
        <is>
          <t>Threshold status (SR25 rule)</t>
        </is>
      </c>
    </row>
    <row r="11">
      <c r="A11">
        <f>F11&amp;"|"&amp;G11</f>
        <v/>
      </c>
      <c r="B11" s="7" t="inlineStr">
        <is>
          <t>EE1(a)</t>
        </is>
      </c>
      <c r="C11" s="50" t="inlineStr">
        <is>
          <t>Exceptional education</t>
        </is>
      </c>
      <c r="D11" s="50" t="inlineStr">
        <is>
          <t>Evidence of innovative approaches to sustainability teaching and learning</t>
        </is>
      </c>
      <c r="E11" s="50"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0" t="inlineStr">
        <is>
          <t>EE1(a)</t>
        </is>
      </c>
      <c r="G11" s="50" t="inlineStr">
        <is>
          <t>Confirm end-2026 target status</t>
        </is>
      </c>
      <c r="H11" s="52">
        <f>IFERROR(IF(INDEX('Faculties'!$L$10:$L$30,MATCH($F11,'Faculties'!$B$10:$B$30,0))="","Cell will autofill based on response",INDEX('Faculties'!$L$10:$L$30,MATCH($F11,'Faculties'!$B$10:$B$30,0))),"N/A")</f>
        <v/>
      </c>
      <c r="I11" s="52">
        <f>IFERROR(IF(INDEX('Faculties'!$L$37:$L$57,MATCH($F11,'Faculties'!$B$37:$B$57,0))="","Cell will autofill based on response",INDEX('Faculties'!$L$37:$L$57,MATCH($F11,'Faculties'!$B$37:$B$57,0))),"N/A")</f>
        <v/>
      </c>
      <c r="J11" s="52">
        <f>IFERROR(IF(INDEX('Faculties'!$L$64:$L$84,MATCH($F11,'Faculties'!$B$64:$B$84,0))="","Cell will autofill based on response",INDEX('Faculties'!$L$64:$L$84,MATCH($F11,'Faculties'!$B$64:$B$84,0))),"N/A")</f>
        <v/>
      </c>
      <c r="K11" s="52">
        <f>IFERROR(IF(INDEX('Faculties'!$L$91:$L$111,MATCH($F11,'Faculties'!$B$91:$B$111,0))="","Cell will autofill based on response",INDEX('Faculties'!$L$91:$L$111,MATCH($F11,'Faculties'!$B$91:$B$111,0))),"N/A")</f>
        <v/>
      </c>
      <c r="L11" s="52">
        <f>IFERROR(IF(INDEX('CI&amp;S'!$L$10:$L$15,MATCH($F11,'CI&amp;S'!$B$10:$B$15,0))="","Cell will autofill based on response",INDEX('CI&amp;S'!$L$10:$L$15,MATCH($F11,'CI&amp;S'!$B$10:$B$15,0))),"N/A")</f>
        <v/>
      </c>
      <c r="M11" s="52">
        <f>IFERROR(IF(INDEX('CI&amp;S'!$L$22:$L$39,MATCH($F11,'CI&amp;S'!$B$22:$B$39,0))="","Cell will autofill based on response",INDEX('CI&amp;S'!$L$22:$L$39,MATCH($F11,'CI&amp;S'!$B$22:$B$39,0))),"N/A")</f>
        <v/>
      </c>
      <c r="N11" s="52">
        <f>IFERROR(IF(INDEX('CFOG'!$L$10:$L$16,MATCH($F11,'CFOG'!$B$10:$B$16,0))="","Cell will autofill based on response",INDEX('CFOG'!$L$10:$L$16,MATCH($F11,'CFOG'!$B$10:$B$16,0))),"N/A")</f>
        <v/>
      </c>
      <c r="O11" s="52">
        <f>IFERROR(IF(INDEX('CFOG'!$L$23:$L$24,MATCH($F11,'CFOG'!$B$23:$B$24,0))="","Cell will autofill based on response",INDEX('CFOG'!$L$23:$L$24,MATCH($F11,'CFOG'!$B$23:$B$24,0))),"N/A")</f>
        <v/>
      </c>
      <c r="P11" s="52">
        <f>IFERROR(IF(INDEX('ESG'!$L$10:$L$17,MATCH($F11,'ESG'!$B$10:$B$17,0))="","Cell will autofill based on response",INDEX('ESG'!$L$10:$L$17,MATCH($F11,'ESG'!$B$10:$B$17,0))),"N/A")</f>
        <v/>
      </c>
      <c r="Q11" s="52">
        <f>IFERROR(IF(INDEX('CIOG'!$L$10:$L$14,MATCH($F11,'CIOG'!$B$10:$B$14,0))="","Cell will autofill based on response",INDEX('CIOG'!$L$10:$L$14,MATCH($F11,'CIOG'!$B$10:$B$14,0))),"N/A")</f>
        <v/>
      </c>
      <c r="R11" s="52">
        <f>IFERROR(IF(INDEX('MRE'!$L$10:$L$12,MATCH($F11,'MRE'!$B$10:$B$12,0))="","Cell will autofill based on response",INDEX('MRE'!$L$10:$L$12,MATCH($F11,'MRE'!$B$10:$B$12,0))),"N/A")</f>
        <v/>
      </c>
      <c r="S11" s="52">
        <f>IFERROR(IF(INDEX('L&amp;R'!$L$10:$L$11,MATCH($F11,'L&amp;R'!$B$10:$B$11,0))="","Cell will autofill based on response",INDEX('L&amp;R'!$L$10:$L$11,MATCH($F11,'L&amp;R'!$B$10:$B$11,0))),"N/A")</f>
        <v/>
      </c>
      <c r="U11" s="10">
        <f>COUNTIF($H11:$S11,"Cell will autofill based on response")</f>
        <v/>
      </c>
      <c r="V11" s="10">
        <f>COUNTIF($H11:$S11,"Not yet started")</f>
        <v/>
      </c>
      <c r="W11" s="10">
        <f>COUNTIF($H11:$S11,"Not met")</f>
        <v/>
      </c>
      <c r="X11" s="10">
        <f>COUNTIF($H11:$S11,"Partially met")</f>
        <v/>
      </c>
      <c r="Y11" s="10">
        <f>COUNTIF($H11:$S11,"Met or exceeded")</f>
        <v/>
      </c>
      <c r="Z11" s="10">
        <f>3*Y11+2*X11+W11</f>
        <v/>
      </c>
      <c r="AA11" s="10">
        <f>Y11+X11+W11+V11</f>
        <v/>
      </c>
      <c r="AB11" s="53">
        <f>IF(AA11&gt;0,Z11/AA11,"No valid responses to date")</f>
        <v/>
      </c>
      <c r="AC11" s="10">
        <f>IF(ISNUMBER(AB11),INDEX(Lists!$G$2:$G$5,MATCH(ROUND(AB11,0),Lists!$H$2:$H$5,0)),"")</f>
        <v/>
      </c>
      <c r="AD11" s="54">
        <f>IF(AA11&gt;0,Y11/AA11,"")</f>
        <v/>
      </c>
      <c r="AE11" s="54">
        <f>IF(AA11&gt;0,(Y11+X11)/AA11,"")</f>
        <v/>
      </c>
      <c r="AF11" s="10">
        <f>IF(AA11=0,"",IF(AD11&gt;0.75,"Met or exceeded",IF(AE11&gt;=0.5,"Partially met","Not met")))</f>
        <v/>
      </c>
    </row>
    <row r="12">
      <c r="A12">
        <f>F12&amp;"|"&amp;G12</f>
        <v/>
      </c>
      <c r="B12" s="13" t="inlineStr"/>
      <c r="C12" s="8" t="inlineStr"/>
      <c r="D12" s="8" t="inlineStr"/>
      <c r="E12" s="8" t="inlineStr"/>
      <c r="F12" s="8" t="inlineStr">
        <is>
          <t>EE1(a)</t>
        </is>
      </c>
      <c r="G12" s="8" t="inlineStr">
        <is>
          <t>OPTION 1:  Target-level reporting</t>
        </is>
      </c>
      <c r="H12" s="52">
        <f>IFERROR(IF(INDEX('Faculties'!$M$10:$M$30,MATCH($F12,'Faculties'!$B$10:$B$30,0))="","Cell will autofill based on response",INDEX('Faculties'!$M$10:$M$30,MATCH($F12,'Faculties'!$B$10:$B$30,0))),"N/A")</f>
        <v/>
      </c>
      <c r="I12" s="52">
        <f>IFERROR(IF(INDEX('Faculties'!$M$37:$M$57,MATCH($F12,'Faculties'!$B$37:$B$57,0))="","Cell will autofill based on response",INDEX('Faculties'!$M$37:$M$57,MATCH($F12,'Faculties'!$B$37:$B$57,0))),"N/A")</f>
        <v/>
      </c>
      <c r="J12" s="52">
        <f>IFERROR(IF(INDEX('Faculties'!$M$64:$M$84,MATCH($F12,'Faculties'!$B$64:$B$84,0))="","Cell will autofill based on response",INDEX('Faculties'!$M$64:$M$84,MATCH($F12,'Faculties'!$B$64:$B$84,0))),"N/A")</f>
        <v/>
      </c>
      <c r="K12" s="52">
        <f>IFERROR(IF(INDEX('Faculties'!$M$91:$M$111,MATCH($F12,'Faculties'!$B$91:$B$111,0))="","Cell will autofill based on response",INDEX('Faculties'!$M$91:$M$111,MATCH($F12,'Faculties'!$B$91:$B$111,0))),"N/A")</f>
        <v/>
      </c>
      <c r="L12" s="52">
        <f>IFERROR(IF(INDEX('CI&amp;S'!$M$10:$M$15,MATCH($F12,'CI&amp;S'!$B$10:$B$15,0))="","Cell will autofill based on response",INDEX('CI&amp;S'!$M$10:$M$15,MATCH($F12,'CI&amp;S'!$B$10:$B$15,0))),"N/A")</f>
        <v/>
      </c>
      <c r="M12" s="52">
        <f>IFERROR(IF(INDEX('CI&amp;S'!$M$22:$M$39,MATCH($F12,'CI&amp;S'!$B$22:$B$39,0))="","Cell will autofill based on response",INDEX('CI&amp;S'!$M$22:$M$39,MATCH($F12,'CI&amp;S'!$B$22:$B$39,0))),"N/A")</f>
        <v/>
      </c>
      <c r="N12" s="52">
        <f>IFERROR(IF(INDEX('CFOG'!$M$10:$M$16,MATCH($F12,'CFOG'!$B$10:$B$16,0))="","Cell will autofill based on response",INDEX('CFOG'!$M$10:$M$16,MATCH($F12,'CFOG'!$B$10:$B$16,0))),"N/A")</f>
        <v/>
      </c>
      <c r="O12" s="52">
        <f>IFERROR(IF(INDEX('CFOG'!$M$23:$M$24,MATCH($F12,'CFOG'!$B$23:$B$24,0))="","Cell will autofill based on response",INDEX('CFOG'!$M$23:$M$24,MATCH($F12,'CFOG'!$B$23:$B$24,0))),"N/A")</f>
        <v/>
      </c>
      <c r="P12" s="52">
        <f>IFERROR(IF(INDEX('ESG'!$M$10:$M$17,MATCH($F12,'ESG'!$B$10:$B$17,0))="","Cell will autofill based on response",INDEX('ESG'!$M$10:$M$17,MATCH($F12,'ESG'!$B$10:$B$17,0))),"N/A")</f>
        <v/>
      </c>
      <c r="Q12" s="52">
        <f>IFERROR(IF(INDEX('CIOG'!$M$10:$M$14,MATCH($F12,'CIOG'!$B$10:$B$14,0))="","Cell will autofill based on response",INDEX('CIOG'!$M$10:$M$14,MATCH($F12,'CIOG'!$B$10:$B$14,0))),"N/A")</f>
        <v/>
      </c>
      <c r="R12" s="52">
        <f>IFERROR(IF(INDEX('MRE'!$M$10:$M$12,MATCH($F12,'MRE'!$B$10:$B$12,0))="","Cell will autofill based on response",INDEX('MRE'!$M$10:$M$12,MATCH($F12,'MRE'!$B$10:$B$12,0))),"N/A")</f>
        <v/>
      </c>
      <c r="S12" s="52">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2">
        <f>IFERROR(IF(INDEX('Faculties'!$N$10:$N$30,MATCH($F13,'Faculties'!$B$10:$B$30,0))="","Cell will autofill based on response",INDEX('Faculties'!$N$10:$N$30,MATCH($F13,'Faculties'!$B$10:$B$30,0))),"N/A")</f>
        <v/>
      </c>
      <c r="I13" s="52">
        <f>IFERROR(IF(INDEX('Faculties'!$N$37:$N$57,MATCH($F13,'Faculties'!$B$37:$B$57,0))="","Cell will autofill based on response",INDEX('Faculties'!$N$37:$N$57,MATCH($F13,'Faculties'!$B$37:$B$57,0))),"N/A")</f>
        <v/>
      </c>
      <c r="J13" s="52">
        <f>IFERROR(IF(INDEX('Faculties'!$N$64:$N$84,MATCH($F13,'Faculties'!$B$64:$B$84,0))="","Cell will autofill based on response",INDEX('Faculties'!$N$64:$N$84,MATCH($F13,'Faculties'!$B$64:$B$84,0))),"N/A")</f>
        <v/>
      </c>
      <c r="K13" s="52">
        <f>IFERROR(IF(INDEX('Faculties'!$N$91:$N$111,MATCH($F13,'Faculties'!$B$91:$B$111,0))="","Cell will autofill based on response",INDEX('Faculties'!$N$91:$N$111,MATCH($F13,'Faculties'!$B$91:$B$111,0))),"N/A")</f>
        <v/>
      </c>
      <c r="L13" s="52">
        <f>IFERROR(IF(INDEX('CI&amp;S'!$N$10:$N$15,MATCH($F13,'CI&amp;S'!$B$10:$B$15,0))="","Cell will autofill based on response",INDEX('CI&amp;S'!$N$10:$N$15,MATCH($F13,'CI&amp;S'!$B$10:$B$15,0))),"N/A")</f>
        <v/>
      </c>
      <c r="M13" s="52">
        <f>IFERROR(IF(INDEX('CI&amp;S'!$N$22:$N$39,MATCH($F13,'CI&amp;S'!$B$22:$B$39,0))="","Cell will autofill based on response",INDEX('CI&amp;S'!$N$22:$N$39,MATCH($F13,'CI&amp;S'!$B$22:$B$39,0))),"N/A")</f>
        <v/>
      </c>
      <c r="N13" s="52">
        <f>IFERROR(IF(INDEX('CFOG'!$N$10:$N$16,MATCH($F13,'CFOG'!$B$10:$B$16,0))="","Cell will autofill based on response",INDEX('CFOG'!$N$10:$N$16,MATCH($F13,'CFOG'!$B$10:$B$16,0))),"N/A")</f>
        <v/>
      </c>
      <c r="O13" s="52">
        <f>IFERROR(IF(INDEX('CFOG'!$N$23:$N$24,MATCH($F13,'CFOG'!$B$23:$B$24,0))="","Cell will autofill based on response",INDEX('CFOG'!$N$23:$N$24,MATCH($F13,'CFOG'!$B$23:$B$24,0))),"N/A")</f>
        <v/>
      </c>
      <c r="P13" s="52">
        <f>IFERROR(IF(INDEX('ESG'!$N$10:$N$17,MATCH($F13,'ESG'!$B$10:$B$17,0))="","Cell will autofill based on response",INDEX('ESG'!$N$10:$N$17,MATCH($F13,'ESG'!$B$10:$B$17,0))),"N/A")</f>
        <v/>
      </c>
      <c r="Q13" s="52">
        <f>IFERROR(IF(INDEX('CIOG'!$N$10:$N$14,MATCH($F13,'CIOG'!$B$10:$B$14,0))="","Cell will autofill based on response",INDEX('CIOG'!$N$10:$N$14,MATCH($F13,'CIOG'!$B$10:$B$14,0))),"N/A")</f>
        <v/>
      </c>
      <c r="R13" s="52">
        <f>IFERROR(IF(INDEX('MRE'!$N$10:$N$12,MATCH($F13,'MRE'!$B$10:$B$12,0))="","Cell will autofill based on response",INDEX('MRE'!$N$10:$N$12,MATCH($F13,'MRE'!$B$10:$B$12,0))),"N/A")</f>
        <v/>
      </c>
      <c r="S13" s="52">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2">
        <f>IFERROR(IF(INDEX('Faculties'!$O$10:$O$30,MATCH($F14,'Faculties'!$B$10:$B$30,0))="","Cell will autofill based on response",INDEX('Faculties'!$O$10:$O$30,MATCH($F14,'Faculties'!$B$10:$B$30,0))),"N/A")</f>
        <v/>
      </c>
      <c r="I14" s="52">
        <f>IFERROR(IF(INDEX('Faculties'!$O$37:$O$57,MATCH($F14,'Faculties'!$B$37:$B$57,0))="","Cell will autofill based on response",INDEX('Faculties'!$O$37:$O$57,MATCH($F14,'Faculties'!$B$37:$B$57,0))),"N/A")</f>
        <v/>
      </c>
      <c r="J14" s="52">
        <f>IFERROR(IF(INDEX('Faculties'!$O$64:$O$84,MATCH($F14,'Faculties'!$B$64:$B$84,0))="","Cell will autofill based on response",INDEX('Faculties'!$O$64:$O$84,MATCH($F14,'Faculties'!$B$64:$B$84,0))),"N/A")</f>
        <v/>
      </c>
      <c r="K14" s="52">
        <f>IFERROR(IF(INDEX('Faculties'!$O$91:$O$111,MATCH($F14,'Faculties'!$B$91:$B$111,0))="","Cell will autofill based on response",INDEX('Faculties'!$O$91:$O$111,MATCH($F14,'Faculties'!$B$91:$B$111,0))),"N/A")</f>
        <v/>
      </c>
      <c r="L14" s="52">
        <f>IFERROR(IF(INDEX('CI&amp;S'!$O$10:$O$15,MATCH($F14,'CI&amp;S'!$B$10:$B$15,0))="","Cell will autofill based on response",INDEX('CI&amp;S'!$O$10:$O$15,MATCH($F14,'CI&amp;S'!$B$10:$B$15,0))),"N/A")</f>
        <v/>
      </c>
      <c r="M14" s="52">
        <f>IFERROR(IF(INDEX('CI&amp;S'!$O$22:$O$39,MATCH($F14,'CI&amp;S'!$B$22:$B$39,0))="","Cell will autofill based on response",INDEX('CI&amp;S'!$O$22:$O$39,MATCH($F14,'CI&amp;S'!$B$22:$B$39,0))),"N/A")</f>
        <v/>
      </c>
      <c r="N14" s="52">
        <f>IFERROR(IF(INDEX('CFOG'!$O$10:$O$16,MATCH($F14,'CFOG'!$B$10:$B$16,0))="","Cell will autofill based on response",INDEX('CFOG'!$O$10:$O$16,MATCH($F14,'CFOG'!$B$10:$B$16,0))),"N/A")</f>
        <v/>
      </c>
      <c r="O14" s="52">
        <f>IFERROR(IF(INDEX('CFOG'!$O$23:$O$24,MATCH($F14,'CFOG'!$B$23:$B$24,0))="","Cell will autofill based on response",INDEX('CFOG'!$O$23:$O$24,MATCH($F14,'CFOG'!$B$23:$B$24,0))),"N/A")</f>
        <v/>
      </c>
      <c r="P14" s="52">
        <f>IFERROR(IF(INDEX('ESG'!$O$10:$O$17,MATCH($F14,'ESG'!$B$10:$B$17,0))="","Cell will autofill based on response",INDEX('ESG'!$O$10:$O$17,MATCH($F14,'ESG'!$B$10:$B$17,0))),"N/A")</f>
        <v/>
      </c>
      <c r="Q14" s="52">
        <f>IFERROR(IF(INDEX('CIOG'!$O$10:$O$14,MATCH($F14,'CIOG'!$B$10:$B$14,0))="","Cell will autofill based on response",INDEX('CIOG'!$O$10:$O$14,MATCH($F14,'CIOG'!$B$10:$B$14,0))),"N/A")</f>
        <v/>
      </c>
      <c r="R14" s="52">
        <f>IFERROR(IF(INDEX('MRE'!$O$10:$O$12,MATCH($F14,'MRE'!$B$10:$B$12,0))="","Cell will autofill based on response",INDEX('MRE'!$O$10:$O$12,MATCH($F14,'MRE'!$B$10:$B$12,0))),"N/A")</f>
        <v/>
      </c>
      <c r="S14" s="52">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2">
        <f>IFERROR(IF(INDEX('Faculties'!$P$10:$P$30,MATCH($F15,'Faculties'!$B$10:$B$30,0))="","Cell will autofill based on response",INDEX('Faculties'!$P$10:$P$30,MATCH($F15,'Faculties'!$B$10:$B$30,0))),"N/A")</f>
        <v/>
      </c>
      <c r="I15" s="52">
        <f>IFERROR(IF(INDEX('Faculties'!$P$37:$P$57,MATCH($F15,'Faculties'!$B$37:$B$57,0))="","Cell will autofill based on response",INDEX('Faculties'!$P$37:$P$57,MATCH($F15,'Faculties'!$B$37:$B$57,0))),"N/A")</f>
        <v/>
      </c>
      <c r="J15" s="52">
        <f>IFERROR(IF(INDEX('Faculties'!$P$64:$P$84,MATCH($F15,'Faculties'!$B$64:$B$84,0))="","Cell will autofill based on response",INDEX('Faculties'!$P$64:$P$84,MATCH($F15,'Faculties'!$B$64:$B$84,0))),"N/A")</f>
        <v/>
      </c>
      <c r="K15" s="52">
        <f>IFERROR(IF(INDEX('Faculties'!$P$91:$P$111,MATCH($F15,'Faculties'!$B$91:$B$111,0))="","Cell will autofill based on response",INDEX('Faculties'!$P$91:$P$111,MATCH($F15,'Faculties'!$B$91:$B$111,0))),"N/A")</f>
        <v/>
      </c>
      <c r="L15" s="52">
        <f>IFERROR(IF(INDEX('CI&amp;S'!$P$10:$P$15,MATCH($F15,'CI&amp;S'!$B$10:$B$15,0))="","Cell will autofill based on response",INDEX('CI&amp;S'!$P$10:$P$15,MATCH($F15,'CI&amp;S'!$B$10:$B$15,0))),"N/A")</f>
        <v/>
      </c>
      <c r="M15" s="52">
        <f>IFERROR(IF(INDEX('CI&amp;S'!$P$22:$P$39,MATCH($F15,'CI&amp;S'!$B$22:$B$39,0))="","Cell will autofill based on response",INDEX('CI&amp;S'!$P$22:$P$39,MATCH($F15,'CI&amp;S'!$B$22:$B$39,0))),"N/A")</f>
        <v/>
      </c>
      <c r="N15" s="52">
        <f>IFERROR(IF(INDEX('CFOG'!$P$10:$P$16,MATCH($F15,'CFOG'!$B$10:$B$16,0))="","Cell will autofill based on response",INDEX('CFOG'!$P$10:$P$16,MATCH($F15,'CFOG'!$B$10:$B$16,0))),"N/A")</f>
        <v/>
      </c>
      <c r="O15" s="52">
        <f>IFERROR(IF(INDEX('CFOG'!$P$23:$P$24,MATCH($F15,'CFOG'!$B$23:$B$24,0))="","Cell will autofill based on response",INDEX('CFOG'!$P$23:$P$24,MATCH($F15,'CFOG'!$B$23:$B$24,0))),"N/A")</f>
        <v/>
      </c>
      <c r="P15" s="52">
        <f>IFERROR(IF(INDEX('ESG'!$P$10:$P$17,MATCH($F15,'ESG'!$B$10:$B$17,0))="","Cell will autofill based on response",INDEX('ESG'!$P$10:$P$17,MATCH($F15,'ESG'!$B$10:$B$17,0))),"N/A")</f>
        <v/>
      </c>
      <c r="Q15" s="52">
        <f>IFERROR(IF(INDEX('CIOG'!$P$10:$P$14,MATCH($F15,'CIOG'!$B$10:$B$14,0))="","Cell will autofill based on response",INDEX('CIOG'!$P$10:$P$14,MATCH($F15,'CIOG'!$B$10:$B$14,0))),"N/A")</f>
        <v/>
      </c>
      <c r="R15" s="52">
        <f>IFERROR(IF(INDEX('MRE'!$P$10:$P$12,MATCH($F15,'MRE'!$B$10:$B$12,0))="","Cell will autofill based on response",INDEX('MRE'!$P$10:$P$12,MATCH($F15,'MRE'!$B$10:$B$12,0))),"N/A")</f>
        <v/>
      </c>
      <c r="S15" s="52">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2">
        <f>IFERROR(IF(INDEX('Faculties'!$Q$10:$Q$30,MATCH($F16,'Faculties'!$B$10:$B$30,0))="","Cell will autofill based on response",INDEX('Faculties'!$Q$10:$Q$30,MATCH($F16,'Faculties'!$B$10:$B$30,0))),"N/A")</f>
        <v/>
      </c>
      <c r="I16" s="52">
        <f>IFERROR(IF(INDEX('Faculties'!$Q$37:$Q$57,MATCH($F16,'Faculties'!$B$37:$B$57,0))="","Cell will autofill based on response",INDEX('Faculties'!$Q$37:$Q$57,MATCH($F16,'Faculties'!$B$37:$B$57,0))),"N/A")</f>
        <v/>
      </c>
      <c r="J16" s="52">
        <f>IFERROR(IF(INDEX('Faculties'!$Q$64:$Q$84,MATCH($F16,'Faculties'!$B$64:$B$84,0))="","Cell will autofill based on response",INDEX('Faculties'!$Q$64:$Q$84,MATCH($F16,'Faculties'!$B$64:$B$84,0))),"N/A")</f>
        <v/>
      </c>
      <c r="K16" s="52">
        <f>IFERROR(IF(INDEX('Faculties'!$Q$91:$Q$111,MATCH($F16,'Faculties'!$B$91:$B$111,0))="","Cell will autofill based on response",INDEX('Faculties'!$Q$91:$Q$111,MATCH($F16,'Faculties'!$B$91:$B$111,0))),"N/A")</f>
        <v/>
      </c>
      <c r="L16" s="52">
        <f>IFERROR(IF(INDEX('CI&amp;S'!$Q$10:$Q$15,MATCH($F16,'CI&amp;S'!$B$10:$B$15,0))="","Cell will autofill based on response",INDEX('CI&amp;S'!$Q$10:$Q$15,MATCH($F16,'CI&amp;S'!$B$10:$B$15,0))),"N/A")</f>
        <v/>
      </c>
      <c r="M16" s="52">
        <f>IFERROR(IF(INDEX('CI&amp;S'!$Q$22:$Q$39,MATCH($F16,'CI&amp;S'!$B$22:$B$39,0))="","Cell will autofill based on response",INDEX('CI&amp;S'!$Q$22:$Q$39,MATCH($F16,'CI&amp;S'!$B$22:$B$39,0))),"N/A")</f>
        <v/>
      </c>
      <c r="N16" s="52">
        <f>IFERROR(IF(INDEX('CFOG'!$Q$10:$Q$16,MATCH($F16,'CFOG'!$B$10:$B$16,0))="","Cell will autofill based on response",INDEX('CFOG'!$Q$10:$Q$16,MATCH($F16,'CFOG'!$B$10:$B$16,0))),"N/A")</f>
        <v/>
      </c>
      <c r="O16" s="52">
        <f>IFERROR(IF(INDEX('CFOG'!$Q$23:$Q$24,MATCH($F16,'CFOG'!$B$23:$B$24,0))="","Cell will autofill based on response",INDEX('CFOG'!$Q$23:$Q$24,MATCH($F16,'CFOG'!$B$23:$B$24,0))),"N/A")</f>
        <v/>
      </c>
      <c r="P16" s="52">
        <f>IFERROR(IF(INDEX('ESG'!$Q$10:$Q$17,MATCH($F16,'ESG'!$B$10:$B$17,0))="","Cell will autofill based on response",INDEX('ESG'!$Q$10:$Q$17,MATCH($F16,'ESG'!$B$10:$B$17,0))),"N/A")</f>
        <v/>
      </c>
      <c r="Q16" s="52">
        <f>IFERROR(IF(INDEX('CIOG'!$Q$10:$Q$14,MATCH($F16,'CIOG'!$B$10:$B$14,0))="","Cell will autofill based on response",INDEX('CIOG'!$Q$10:$Q$14,MATCH($F16,'CIOG'!$B$10:$B$14,0))),"N/A")</f>
        <v/>
      </c>
      <c r="R16" s="52">
        <f>IFERROR(IF(INDEX('MRE'!$Q$10:$Q$12,MATCH($F16,'MRE'!$B$10:$B$12,0))="","Cell will autofill based on response",INDEX('MRE'!$Q$10:$Q$12,MATCH($F16,'MRE'!$B$10:$B$12,0))),"N/A")</f>
        <v/>
      </c>
      <c r="S16" s="52">
        <f>IFERROR(IF(INDEX('L&amp;R'!$Q$10:$Q$11,MATCH($F16,'L&amp;R'!$B$10:$B$11,0))="","Cell will autofill based on response",INDEX('L&amp;R'!$Q$10:$Q$11,MATCH($F16,'L&amp;R'!$B$10:$B$11,0))),"N/A")</f>
        <v/>
      </c>
    </row>
    <row r="17">
      <c r="A17">
        <f>F17&amp;"|"&amp;G17</f>
        <v/>
      </c>
      <c r="B17" s="7" t="inlineStr">
        <is>
          <t>EE1(b)</t>
        </is>
      </c>
      <c r="C17" s="50" t="inlineStr">
        <is>
          <t>Exceptional education</t>
        </is>
      </c>
      <c r="D17" s="50" t="inlineStr">
        <is>
          <t>Pilots of possible approaches for understanding and developing students’ sustainability self-efficacy</t>
        </is>
      </c>
      <c r="E17" s="50"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0" t="inlineStr">
        <is>
          <t>EE1(b)</t>
        </is>
      </c>
      <c r="G17" s="50" t="inlineStr">
        <is>
          <t>Confirm end-2026 target status</t>
        </is>
      </c>
      <c r="H17" s="52">
        <f>IFERROR(IF(INDEX('Faculties'!$L$10:$L$30,MATCH($F17,'Faculties'!$B$10:$B$30,0))="","Cell will autofill based on response",INDEX('Faculties'!$L$10:$L$30,MATCH($F17,'Faculties'!$B$10:$B$30,0))),"N/A")</f>
        <v/>
      </c>
      <c r="I17" s="52">
        <f>IFERROR(IF(INDEX('Faculties'!$L$37:$L$57,MATCH($F17,'Faculties'!$B$37:$B$57,0))="","Cell will autofill based on response",INDEX('Faculties'!$L$37:$L$57,MATCH($F17,'Faculties'!$B$37:$B$57,0))),"N/A")</f>
        <v/>
      </c>
      <c r="J17" s="52">
        <f>IFERROR(IF(INDEX('Faculties'!$L$64:$L$84,MATCH($F17,'Faculties'!$B$64:$B$84,0))="","Cell will autofill based on response",INDEX('Faculties'!$L$64:$L$84,MATCH($F17,'Faculties'!$B$64:$B$84,0))),"N/A")</f>
        <v/>
      </c>
      <c r="K17" s="52">
        <f>IFERROR(IF(INDEX('Faculties'!$L$91:$L$111,MATCH($F17,'Faculties'!$B$91:$B$111,0))="","Cell will autofill based on response",INDEX('Faculties'!$L$91:$L$111,MATCH($F17,'Faculties'!$B$91:$B$111,0))),"N/A")</f>
        <v/>
      </c>
      <c r="L17" s="52">
        <f>IFERROR(IF(INDEX('CI&amp;S'!$L$10:$L$15,MATCH($F17,'CI&amp;S'!$B$10:$B$15,0))="","Cell will autofill based on response",INDEX('CI&amp;S'!$L$10:$L$15,MATCH($F17,'CI&amp;S'!$B$10:$B$15,0))),"N/A")</f>
        <v/>
      </c>
      <c r="M17" s="52">
        <f>IFERROR(IF(INDEX('CI&amp;S'!$L$22:$L$39,MATCH($F17,'CI&amp;S'!$B$22:$B$39,0))="","Cell will autofill based on response",INDEX('CI&amp;S'!$L$22:$L$39,MATCH($F17,'CI&amp;S'!$B$22:$B$39,0))),"N/A")</f>
        <v/>
      </c>
      <c r="N17" s="52">
        <f>IFERROR(IF(INDEX('CFOG'!$L$10:$L$16,MATCH($F17,'CFOG'!$B$10:$B$16,0))="","Cell will autofill based on response",INDEX('CFOG'!$L$10:$L$16,MATCH($F17,'CFOG'!$B$10:$B$16,0))),"N/A")</f>
        <v/>
      </c>
      <c r="O17" s="52">
        <f>IFERROR(IF(INDEX('CFOG'!$L$23:$L$24,MATCH($F17,'CFOG'!$B$23:$B$24,0))="","Cell will autofill based on response",INDEX('CFOG'!$L$23:$L$24,MATCH($F17,'CFOG'!$B$23:$B$24,0))),"N/A")</f>
        <v/>
      </c>
      <c r="P17" s="52">
        <f>IFERROR(IF(INDEX('ESG'!$L$10:$L$17,MATCH($F17,'ESG'!$B$10:$B$17,0))="","Cell will autofill based on response",INDEX('ESG'!$L$10:$L$17,MATCH($F17,'ESG'!$B$10:$B$17,0))),"N/A")</f>
        <v/>
      </c>
      <c r="Q17" s="52">
        <f>IFERROR(IF(INDEX('CIOG'!$L$10:$L$14,MATCH($F17,'CIOG'!$B$10:$B$14,0))="","Cell will autofill based on response",INDEX('CIOG'!$L$10:$L$14,MATCH($F17,'CIOG'!$B$10:$B$14,0))),"N/A")</f>
        <v/>
      </c>
      <c r="R17" s="52">
        <f>IFERROR(IF(INDEX('MRE'!$L$10:$L$12,MATCH($F17,'MRE'!$B$10:$B$12,0))="","Cell will autofill based on response",INDEX('MRE'!$L$10:$L$12,MATCH($F17,'MRE'!$B$10:$B$12,0))),"N/A")</f>
        <v/>
      </c>
      <c r="S17" s="52">
        <f>IFERROR(IF(INDEX('L&amp;R'!$L$10:$L$11,MATCH($F17,'L&amp;R'!$B$10:$B$11,0))="","Cell will autofill based on response",INDEX('L&amp;R'!$L$10:$L$11,MATCH($F17,'L&amp;R'!$B$10:$B$11,0))),"N/A")</f>
        <v/>
      </c>
      <c r="U17" s="10">
        <f>COUNTIF($H17:$S17,"Cell will autofill based on response")</f>
        <v/>
      </c>
      <c r="V17" s="10">
        <f>COUNTIF($H17:$S17,"Not yet started")</f>
        <v/>
      </c>
      <c r="W17" s="10">
        <f>COUNTIF($H17:$S17,"Not met")</f>
        <v/>
      </c>
      <c r="X17" s="10">
        <f>COUNTIF($H17:$S17,"Partially met")</f>
        <v/>
      </c>
      <c r="Y17" s="10">
        <f>COUNTIF($H17:$S17,"Met or exceeded")</f>
        <v/>
      </c>
      <c r="Z17" s="10">
        <f>3*Y17+2*X17+W17</f>
        <v/>
      </c>
      <c r="AA17" s="10">
        <f>Y17+X17+W17+V17</f>
        <v/>
      </c>
      <c r="AB17" s="53">
        <f>IF(AA17&gt;0,Z17/AA17,"No valid responses to date")</f>
        <v/>
      </c>
      <c r="AC17" s="10">
        <f>IF(ISNUMBER(AB17),INDEX(Lists!$G$2:$G$5,MATCH(ROUND(AB17,0),Lists!$H$2:$H$5,0)),"")</f>
        <v/>
      </c>
      <c r="AD17" s="54">
        <f>IF(AA17&gt;0,Y17/AA17,"")</f>
        <v/>
      </c>
      <c r="AE17" s="54">
        <f>IF(AA17&gt;0,(Y17+X17)/AA17,"")</f>
        <v/>
      </c>
      <c r="AF17" s="10">
        <f>IF(AA17=0,"",IF(AD17&gt;0.75,"Met or exceeded",IF(AE17&gt;=0.5,"Partially met","Not met")))</f>
        <v/>
      </c>
    </row>
    <row r="18">
      <c r="A18">
        <f>F18&amp;"|"&amp;G18</f>
        <v/>
      </c>
      <c r="B18" s="13" t="inlineStr"/>
      <c r="C18" s="8" t="inlineStr"/>
      <c r="D18" s="8" t="inlineStr"/>
      <c r="E18" s="8" t="inlineStr"/>
      <c r="F18" s="8" t="inlineStr">
        <is>
          <t>EE1(b)</t>
        </is>
      </c>
      <c r="G18" s="8" t="inlineStr">
        <is>
          <t>OPTION 1:  Target-level reporting</t>
        </is>
      </c>
      <c r="H18" s="52">
        <f>IFERROR(IF(INDEX('Faculties'!$M$10:$M$30,MATCH($F18,'Faculties'!$B$10:$B$30,0))="","Cell will autofill based on response",INDEX('Faculties'!$M$10:$M$30,MATCH($F18,'Faculties'!$B$10:$B$30,0))),"N/A")</f>
        <v/>
      </c>
      <c r="I18" s="52">
        <f>IFERROR(IF(INDEX('Faculties'!$M$37:$M$57,MATCH($F18,'Faculties'!$B$37:$B$57,0))="","Cell will autofill based on response",INDEX('Faculties'!$M$37:$M$57,MATCH($F18,'Faculties'!$B$37:$B$57,0))),"N/A")</f>
        <v/>
      </c>
      <c r="J18" s="52">
        <f>IFERROR(IF(INDEX('Faculties'!$M$64:$M$84,MATCH($F18,'Faculties'!$B$64:$B$84,0))="","Cell will autofill based on response",INDEX('Faculties'!$M$64:$M$84,MATCH($F18,'Faculties'!$B$64:$B$84,0))),"N/A")</f>
        <v/>
      </c>
      <c r="K18" s="52">
        <f>IFERROR(IF(INDEX('Faculties'!$M$91:$M$111,MATCH($F18,'Faculties'!$B$91:$B$111,0))="","Cell will autofill based on response",INDEX('Faculties'!$M$91:$M$111,MATCH($F18,'Faculties'!$B$91:$B$111,0))),"N/A")</f>
        <v/>
      </c>
      <c r="L18" s="52">
        <f>IFERROR(IF(INDEX('CI&amp;S'!$M$10:$M$15,MATCH($F18,'CI&amp;S'!$B$10:$B$15,0))="","Cell will autofill based on response",INDEX('CI&amp;S'!$M$10:$M$15,MATCH($F18,'CI&amp;S'!$B$10:$B$15,0))),"N/A")</f>
        <v/>
      </c>
      <c r="M18" s="52">
        <f>IFERROR(IF(INDEX('CI&amp;S'!$M$22:$M$39,MATCH($F18,'CI&amp;S'!$B$22:$B$39,0))="","Cell will autofill based on response",INDEX('CI&amp;S'!$M$22:$M$39,MATCH($F18,'CI&amp;S'!$B$22:$B$39,0))),"N/A")</f>
        <v/>
      </c>
      <c r="N18" s="52">
        <f>IFERROR(IF(INDEX('CFOG'!$M$10:$M$16,MATCH($F18,'CFOG'!$B$10:$B$16,0))="","Cell will autofill based on response",INDEX('CFOG'!$M$10:$M$16,MATCH($F18,'CFOG'!$B$10:$B$16,0))),"N/A")</f>
        <v/>
      </c>
      <c r="O18" s="52">
        <f>IFERROR(IF(INDEX('CFOG'!$M$23:$M$24,MATCH($F18,'CFOG'!$B$23:$B$24,0))="","Cell will autofill based on response",INDEX('CFOG'!$M$23:$M$24,MATCH($F18,'CFOG'!$B$23:$B$24,0))),"N/A")</f>
        <v/>
      </c>
      <c r="P18" s="52">
        <f>IFERROR(IF(INDEX('ESG'!$M$10:$M$17,MATCH($F18,'ESG'!$B$10:$B$17,0))="","Cell will autofill based on response",INDEX('ESG'!$M$10:$M$17,MATCH($F18,'ESG'!$B$10:$B$17,0))),"N/A")</f>
        <v/>
      </c>
      <c r="Q18" s="52">
        <f>IFERROR(IF(INDEX('CIOG'!$M$10:$M$14,MATCH($F18,'CIOG'!$B$10:$B$14,0))="","Cell will autofill based on response",INDEX('CIOG'!$M$10:$M$14,MATCH($F18,'CIOG'!$B$10:$B$14,0))),"N/A")</f>
        <v/>
      </c>
      <c r="R18" s="52">
        <f>IFERROR(IF(INDEX('MRE'!$M$10:$M$12,MATCH($F18,'MRE'!$B$10:$B$12,0))="","Cell will autofill based on response",INDEX('MRE'!$M$10:$M$12,MATCH($F18,'MRE'!$B$10:$B$12,0))),"N/A")</f>
        <v/>
      </c>
      <c r="S18" s="52">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2">
        <f>IFERROR(IF(INDEX('Faculties'!$N$10:$N$30,MATCH($F19,'Faculties'!$B$10:$B$30,0))="","Cell will autofill based on response",INDEX('Faculties'!$N$10:$N$30,MATCH($F19,'Faculties'!$B$10:$B$30,0))),"N/A")</f>
        <v/>
      </c>
      <c r="I19" s="52">
        <f>IFERROR(IF(INDEX('Faculties'!$N$37:$N$57,MATCH($F19,'Faculties'!$B$37:$B$57,0))="","Cell will autofill based on response",INDEX('Faculties'!$N$37:$N$57,MATCH($F19,'Faculties'!$B$37:$B$57,0))),"N/A")</f>
        <v/>
      </c>
      <c r="J19" s="52">
        <f>IFERROR(IF(INDEX('Faculties'!$N$64:$N$84,MATCH($F19,'Faculties'!$B$64:$B$84,0))="","Cell will autofill based on response",INDEX('Faculties'!$N$64:$N$84,MATCH($F19,'Faculties'!$B$64:$B$84,0))),"N/A")</f>
        <v/>
      </c>
      <c r="K19" s="52">
        <f>IFERROR(IF(INDEX('Faculties'!$N$91:$N$111,MATCH($F19,'Faculties'!$B$91:$B$111,0))="","Cell will autofill based on response",INDEX('Faculties'!$N$91:$N$111,MATCH($F19,'Faculties'!$B$91:$B$111,0))),"N/A")</f>
        <v/>
      </c>
      <c r="L19" s="52">
        <f>IFERROR(IF(INDEX('CI&amp;S'!$N$10:$N$15,MATCH($F19,'CI&amp;S'!$B$10:$B$15,0))="","Cell will autofill based on response",INDEX('CI&amp;S'!$N$10:$N$15,MATCH($F19,'CI&amp;S'!$B$10:$B$15,0))),"N/A")</f>
        <v/>
      </c>
      <c r="M19" s="52">
        <f>IFERROR(IF(INDEX('CI&amp;S'!$N$22:$N$39,MATCH($F19,'CI&amp;S'!$B$22:$B$39,0))="","Cell will autofill based on response",INDEX('CI&amp;S'!$N$22:$N$39,MATCH($F19,'CI&amp;S'!$B$22:$B$39,0))),"N/A")</f>
        <v/>
      </c>
      <c r="N19" s="52">
        <f>IFERROR(IF(INDEX('CFOG'!$N$10:$N$16,MATCH($F19,'CFOG'!$B$10:$B$16,0))="","Cell will autofill based on response",INDEX('CFOG'!$N$10:$N$16,MATCH($F19,'CFOG'!$B$10:$B$16,0))),"N/A")</f>
        <v/>
      </c>
      <c r="O19" s="52">
        <f>IFERROR(IF(INDEX('CFOG'!$N$23:$N$24,MATCH($F19,'CFOG'!$B$23:$B$24,0))="","Cell will autofill based on response",INDEX('CFOG'!$N$23:$N$24,MATCH($F19,'CFOG'!$B$23:$B$24,0))),"N/A")</f>
        <v/>
      </c>
      <c r="P19" s="52">
        <f>IFERROR(IF(INDEX('ESG'!$N$10:$N$17,MATCH($F19,'ESG'!$B$10:$B$17,0))="","Cell will autofill based on response",INDEX('ESG'!$N$10:$N$17,MATCH($F19,'ESG'!$B$10:$B$17,0))),"N/A")</f>
        <v/>
      </c>
      <c r="Q19" s="52">
        <f>IFERROR(IF(INDEX('CIOG'!$N$10:$N$14,MATCH($F19,'CIOG'!$B$10:$B$14,0))="","Cell will autofill based on response",INDEX('CIOG'!$N$10:$N$14,MATCH($F19,'CIOG'!$B$10:$B$14,0))),"N/A")</f>
        <v/>
      </c>
      <c r="R19" s="52">
        <f>IFERROR(IF(INDEX('MRE'!$N$10:$N$12,MATCH($F19,'MRE'!$B$10:$B$12,0))="","Cell will autofill based on response",INDEX('MRE'!$N$10:$N$12,MATCH($F19,'MRE'!$B$10:$B$12,0))),"N/A")</f>
        <v/>
      </c>
      <c r="S19" s="52">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2">
        <f>IFERROR(IF(INDEX('Faculties'!$O$10:$O$30,MATCH($F20,'Faculties'!$B$10:$B$30,0))="","Cell will autofill based on response",INDEX('Faculties'!$O$10:$O$30,MATCH($F20,'Faculties'!$B$10:$B$30,0))),"N/A")</f>
        <v/>
      </c>
      <c r="I20" s="52">
        <f>IFERROR(IF(INDEX('Faculties'!$O$37:$O$57,MATCH($F20,'Faculties'!$B$37:$B$57,0))="","Cell will autofill based on response",INDEX('Faculties'!$O$37:$O$57,MATCH($F20,'Faculties'!$B$37:$B$57,0))),"N/A")</f>
        <v/>
      </c>
      <c r="J20" s="52">
        <f>IFERROR(IF(INDEX('Faculties'!$O$64:$O$84,MATCH($F20,'Faculties'!$B$64:$B$84,0))="","Cell will autofill based on response",INDEX('Faculties'!$O$64:$O$84,MATCH($F20,'Faculties'!$B$64:$B$84,0))),"N/A")</f>
        <v/>
      </c>
      <c r="K20" s="52">
        <f>IFERROR(IF(INDEX('Faculties'!$O$91:$O$111,MATCH($F20,'Faculties'!$B$91:$B$111,0))="","Cell will autofill based on response",INDEX('Faculties'!$O$91:$O$111,MATCH($F20,'Faculties'!$B$91:$B$111,0))),"N/A")</f>
        <v/>
      </c>
      <c r="L20" s="52">
        <f>IFERROR(IF(INDEX('CI&amp;S'!$O$10:$O$15,MATCH($F20,'CI&amp;S'!$B$10:$B$15,0))="","Cell will autofill based on response",INDEX('CI&amp;S'!$O$10:$O$15,MATCH($F20,'CI&amp;S'!$B$10:$B$15,0))),"N/A")</f>
        <v/>
      </c>
      <c r="M20" s="52">
        <f>IFERROR(IF(INDEX('CI&amp;S'!$O$22:$O$39,MATCH($F20,'CI&amp;S'!$B$22:$B$39,0))="","Cell will autofill based on response",INDEX('CI&amp;S'!$O$22:$O$39,MATCH($F20,'CI&amp;S'!$B$22:$B$39,0))),"N/A")</f>
        <v/>
      </c>
      <c r="N20" s="52">
        <f>IFERROR(IF(INDEX('CFOG'!$O$10:$O$16,MATCH($F20,'CFOG'!$B$10:$B$16,0))="","Cell will autofill based on response",INDEX('CFOG'!$O$10:$O$16,MATCH($F20,'CFOG'!$B$10:$B$16,0))),"N/A")</f>
        <v/>
      </c>
      <c r="O20" s="52">
        <f>IFERROR(IF(INDEX('CFOG'!$O$23:$O$24,MATCH($F20,'CFOG'!$B$23:$B$24,0))="","Cell will autofill based on response",INDEX('CFOG'!$O$23:$O$24,MATCH($F20,'CFOG'!$B$23:$B$24,0))),"N/A")</f>
        <v/>
      </c>
      <c r="P20" s="52">
        <f>IFERROR(IF(INDEX('ESG'!$O$10:$O$17,MATCH($F20,'ESG'!$B$10:$B$17,0))="","Cell will autofill based on response",INDEX('ESG'!$O$10:$O$17,MATCH($F20,'ESG'!$B$10:$B$17,0))),"N/A")</f>
        <v/>
      </c>
      <c r="Q20" s="52">
        <f>IFERROR(IF(INDEX('CIOG'!$O$10:$O$14,MATCH($F20,'CIOG'!$B$10:$B$14,0))="","Cell will autofill based on response",INDEX('CIOG'!$O$10:$O$14,MATCH($F20,'CIOG'!$B$10:$B$14,0))),"N/A")</f>
        <v/>
      </c>
      <c r="R20" s="52">
        <f>IFERROR(IF(INDEX('MRE'!$O$10:$O$12,MATCH($F20,'MRE'!$B$10:$B$12,0))="","Cell will autofill based on response",INDEX('MRE'!$O$10:$O$12,MATCH($F20,'MRE'!$B$10:$B$12,0))),"N/A")</f>
        <v/>
      </c>
      <c r="S20" s="52">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2">
        <f>IFERROR(IF(INDEX('Faculties'!$P$10:$P$30,MATCH($F21,'Faculties'!$B$10:$B$30,0))="","Cell will autofill based on response",INDEX('Faculties'!$P$10:$P$30,MATCH($F21,'Faculties'!$B$10:$B$30,0))),"N/A")</f>
        <v/>
      </c>
      <c r="I21" s="52">
        <f>IFERROR(IF(INDEX('Faculties'!$P$37:$P$57,MATCH($F21,'Faculties'!$B$37:$B$57,0))="","Cell will autofill based on response",INDEX('Faculties'!$P$37:$P$57,MATCH($F21,'Faculties'!$B$37:$B$57,0))),"N/A")</f>
        <v/>
      </c>
      <c r="J21" s="52">
        <f>IFERROR(IF(INDEX('Faculties'!$P$64:$P$84,MATCH($F21,'Faculties'!$B$64:$B$84,0))="","Cell will autofill based on response",INDEX('Faculties'!$P$64:$P$84,MATCH($F21,'Faculties'!$B$64:$B$84,0))),"N/A")</f>
        <v/>
      </c>
      <c r="K21" s="52">
        <f>IFERROR(IF(INDEX('Faculties'!$P$91:$P$111,MATCH($F21,'Faculties'!$B$91:$B$111,0))="","Cell will autofill based on response",INDEX('Faculties'!$P$91:$P$111,MATCH($F21,'Faculties'!$B$91:$B$111,0))),"N/A")</f>
        <v/>
      </c>
      <c r="L21" s="52">
        <f>IFERROR(IF(INDEX('CI&amp;S'!$P$10:$P$15,MATCH($F21,'CI&amp;S'!$B$10:$B$15,0))="","Cell will autofill based on response",INDEX('CI&amp;S'!$P$10:$P$15,MATCH($F21,'CI&amp;S'!$B$10:$B$15,0))),"N/A")</f>
        <v/>
      </c>
      <c r="M21" s="52">
        <f>IFERROR(IF(INDEX('CI&amp;S'!$P$22:$P$39,MATCH($F21,'CI&amp;S'!$B$22:$B$39,0))="","Cell will autofill based on response",INDEX('CI&amp;S'!$P$22:$P$39,MATCH($F21,'CI&amp;S'!$B$22:$B$39,0))),"N/A")</f>
        <v/>
      </c>
      <c r="N21" s="52">
        <f>IFERROR(IF(INDEX('CFOG'!$P$10:$P$16,MATCH($F21,'CFOG'!$B$10:$B$16,0))="","Cell will autofill based on response",INDEX('CFOG'!$P$10:$P$16,MATCH($F21,'CFOG'!$B$10:$B$16,0))),"N/A")</f>
        <v/>
      </c>
      <c r="O21" s="52">
        <f>IFERROR(IF(INDEX('CFOG'!$P$23:$P$24,MATCH($F21,'CFOG'!$B$23:$B$24,0))="","Cell will autofill based on response",INDEX('CFOG'!$P$23:$P$24,MATCH($F21,'CFOG'!$B$23:$B$24,0))),"N/A")</f>
        <v/>
      </c>
      <c r="P21" s="52">
        <f>IFERROR(IF(INDEX('ESG'!$P$10:$P$17,MATCH($F21,'ESG'!$B$10:$B$17,0))="","Cell will autofill based on response",INDEX('ESG'!$P$10:$P$17,MATCH($F21,'ESG'!$B$10:$B$17,0))),"N/A")</f>
        <v/>
      </c>
      <c r="Q21" s="52">
        <f>IFERROR(IF(INDEX('CIOG'!$P$10:$P$14,MATCH($F21,'CIOG'!$B$10:$B$14,0))="","Cell will autofill based on response",INDEX('CIOG'!$P$10:$P$14,MATCH($F21,'CIOG'!$B$10:$B$14,0))),"N/A")</f>
        <v/>
      </c>
      <c r="R21" s="52">
        <f>IFERROR(IF(INDEX('MRE'!$P$10:$P$12,MATCH($F21,'MRE'!$B$10:$B$12,0))="","Cell will autofill based on response",INDEX('MRE'!$P$10:$P$12,MATCH($F21,'MRE'!$B$10:$B$12,0))),"N/A")</f>
        <v/>
      </c>
      <c r="S21" s="52">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2">
        <f>IFERROR(IF(INDEX('Faculties'!$Q$10:$Q$30,MATCH($F22,'Faculties'!$B$10:$B$30,0))="","Cell will autofill based on response",INDEX('Faculties'!$Q$10:$Q$30,MATCH($F22,'Faculties'!$B$10:$B$30,0))),"N/A")</f>
        <v/>
      </c>
      <c r="I22" s="52">
        <f>IFERROR(IF(INDEX('Faculties'!$Q$37:$Q$57,MATCH($F22,'Faculties'!$B$37:$B$57,0))="","Cell will autofill based on response",INDEX('Faculties'!$Q$37:$Q$57,MATCH($F22,'Faculties'!$B$37:$B$57,0))),"N/A")</f>
        <v/>
      </c>
      <c r="J22" s="52">
        <f>IFERROR(IF(INDEX('Faculties'!$Q$64:$Q$84,MATCH($F22,'Faculties'!$B$64:$B$84,0))="","Cell will autofill based on response",INDEX('Faculties'!$Q$64:$Q$84,MATCH($F22,'Faculties'!$B$64:$B$84,0))),"N/A")</f>
        <v/>
      </c>
      <c r="K22" s="52">
        <f>IFERROR(IF(INDEX('Faculties'!$Q$91:$Q$111,MATCH($F22,'Faculties'!$B$91:$B$111,0))="","Cell will autofill based on response",INDEX('Faculties'!$Q$91:$Q$111,MATCH($F22,'Faculties'!$B$91:$B$111,0))),"N/A")</f>
        <v/>
      </c>
      <c r="L22" s="52">
        <f>IFERROR(IF(INDEX('CI&amp;S'!$Q$10:$Q$15,MATCH($F22,'CI&amp;S'!$B$10:$B$15,0))="","Cell will autofill based on response",INDEX('CI&amp;S'!$Q$10:$Q$15,MATCH($F22,'CI&amp;S'!$B$10:$B$15,0))),"N/A")</f>
        <v/>
      </c>
      <c r="M22" s="52">
        <f>IFERROR(IF(INDEX('CI&amp;S'!$Q$22:$Q$39,MATCH($F22,'CI&amp;S'!$B$22:$B$39,0))="","Cell will autofill based on response",INDEX('CI&amp;S'!$Q$22:$Q$39,MATCH($F22,'CI&amp;S'!$B$22:$B$39,0))),"N/A")</f>
        <v/>
      </c>
      <c r="N22" s="52">
        <f>IFERROR(IF(INDEX('CFOG'!$Q$10:$Q$16,MATCH($F22,'CFOG'!$B$10:$B$16,0))="","Cell will autofill based on response",INDEX('CFOG'!$Q$10:$Q$16,MATCH($F22,'CFOG'!$B$10:$B$16,0))),"N/A")</f>
        <v/>
      </c>
      <c r="O22" s="52">
        <f>IFERROR(IF(INDEX('CFOG'!$Q$23:$Q$24,MATCH($F22,'CFOG'!$B$23:$B$24,0))="","Cell will autofill based on response",INDEX('CFOG'!$Q$23:$Q$24,MATCH($F22,'CFOG'!$B$23:$B$24,0))),"N/A")</f>
        <v/>
      </c>
      <c r="P22" s="52">
        <f>IFERROR(IF(INDEX('ESG'!$Q$10:$Q$17,MATCH($F22,'ESG'!$B$10:$B$17,0))="","Cell will autofill based on response",INDEX('ESG'!$Q$10:$Q$17,MATCH($F22,'ESG'!$B$10:$B$17,0))),"N/A")</f>
        <v/>
      </c>
      <c r="Q22" s="52">
        <f>IFERROR(IF(INDEX('CIOG'!$Q$10:$Q$14,MATCH($F22,'CIOG'!$B$10:$B$14,0))="","Cell will autofill based on response",INDEX('CIOG'!$Q$10:$Q$14,MATCH($F22,'CIOG'!$B$10:$B$14,0))),"N/A")</f>
        <v/>
      </c>
      <c r="R22" s="52">
        <f>IFERROR(IF(INDEX('MRE'!$Q$10:$Q$12,MATCH($F22,'MRE'!$B$10:$B$12,0))="","Cell will autofill based on response",INDEX('MRE'!$Q$10:$Q$12,MATCH($F22,'MRE'!$B$10:$B$12,0))),"N/A")</f>
        <v/>
      </c>
      <c r="S22" s="52">
        <f>IFERROR(IF(INDEX('L&amp;R'!$Q$10:$Q$11,MATCH($F22,'L&amp;R'!$B$10:$B$11,0))="","Cell will autofill based on response",INDEX('L&amp;R'!$Q$10:$Q$11,MATCH($F22,'L&amp;R'!$B$10:$B$11,0))),"N/A")</f>
        <v/>
      </c>
    </row>
    <row r="23">
      <c r="A23">
        <f>F23&amp;"|"&amp;G23</f>
        <v/>
      </c>
      <c r="B23" s="7" t="inlineStr">
        <is>
          <t>EE1(c)</t>
        </is>
      </c>
      <c r="C23" s="50" t="inlineStr">
        <is>
          <t>Exceptional education</t>
        </is>
      </c>
      <c r="D23" s="50" t="inlineStr">
        <is>
          <t>Evidence of sustainability focused experiential and co curricular learning (eg Wattle Fellowship; Melbourne Plus)</t>
        </is>
      </c>
      <c r="E23" s="50"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0" t="inlineStr">
        <is>
          <t>EE1(c)</t>
        </is>
      </c>
      <c r="G23" s="50" t="inlineStr">
        <is>
          <t>Confirm end-2026 target status</t>
        </is>
      </c>
      <c r="H23" s="52">
        <f>IFERROR(IF(INDEX('Faculties'!$L$10:$L$30,MATCH($F23,'Faculties'!$B$10:$B$30,0))="","Cell will autofill based on response",INDEX('Faculties'!$L$10:$L$30,MATCH($F23,'Faculties'!$B$10:$B$30,0))),"N/A")</f>
        <v/>
      </c>
      <c r="I23" s="52">
        <f>IFERROR(IF(INDEX('Faculties'!$L$37:$L$57,MATCH($F23,'Faculties'!$B$37:$B$57,0))="","Cell will autofill based on response",INDEX('Faculties'!$L$37:$L$57,MATCH($F23,'Faculties'!$B$37:$B$57,0))),"N/A")</f>
        <v/>
      </c>
      <c r="J23" s="52">
        <f>IFERROR(IF(INDEX('Faculties'!$L$64:$L$84,MATCH($F23,'Faculties'!$B$64:$B$84,0))="","Cell will autofill based on response",INDEX('Faculties'!$L$64:$L$84,MATCH($F23,'Faculties'!$B$64:$B$84,0))),"N/A")</f>
        <v/>
      </c>
      <c r="K23" s="52">
        <f>IFERROR(IF(INDEX('Faculties'!$L$91:$L$111,MATCH($F23,'Faculties'!$B$91:$B$111,0))="","Cell will autofill based on response",INDEX('Faculties'!$L$91:$L$111,MATCH($F23,'Faculties'!$B$91:$B$111,0))),"N/A")</f>
        <v/>
      </c>
      <c r="L23" s="52">
        <f>IFERROR(IF(INDEX('CI&amp;S'!$L$10:$L$15,MATCH($F23,'CI&amp;S'!$B$10:$B$15,0))="","Cell will autofill based on response",INDEX('CI&amp;S'!$L$10:$L$15,MATCH($F23,'CI&amp;S'!$B$10:$B$15,0))),"N/A")</f>
        <v/>
      </c>
      <c r="M23" s="52">
        <f>IFERROR(IF(INDEX('CI&amp;S'!$L$22:$L$39,MATCH($F23,'CI&amp;S'!$B$22:$B$39,0))="","Cell will autofill based on response",INDEX('CI&amp;S'!$L$22:$L$39,MATCH($F23,'CI&amp;S'!$B$22:$B$39,0))),"N/A")</f>
        <v/>
      </c>
      <c r="N23" s="52">
        <f>IFERROR(IF(INDEX('CFOG'!$L$10:$L$16,MATCH($F23,'CFOG'!$B$10:$B$16,0))="","Cell will autofill based on response",INDEX('CFOG'!$L$10:$L$16,MATCH($F23,'CFOG'!$B$10:$B$16,0))),"N/A")</f>
        <v/>
      </c>
      <c r="O23" s="52">
        <f>IFERROR(IF(INDEX('CFOG'!$L$23:$L$24,MATCH($F23,'CFOG'!$B$23:$B$24,0))="","Cell will autofill based on response",INDEX('CFOG'!$L$23:$L$24,MATCH($F23,'CFOG'!$B$23:$B$24,0))),"N/A")</f>
        <v/>
      </c>
      <c r="P23" s="52">
        <f>IFERROR(IF(INDEX('ESG'!$L$10:$L$17,MATCH($F23,'ESG'!$B$10:$B$17,0))="","Cell will autofill based on response",INDEX('ESG'!$L$10:$L$17,MATCH($F23,'ESG'!$B$10:$B$17,0))),"N/A")</f>
        <v/>
      </c>
      <c r="Q23" s="52">
        <f>IFERROR(IF(INDEX('CIOG'!$L$10:$L$14,MATCH($F23,'CIOG'!$B$10:$B$14,0))="","Cell will autofill based on response",INDEX('CIOG'!$L$10:$L$14,MATCH($F23,'CIOG'!$B$10:$B$14,0))),"N/A")</f>
        <v/>
      </c>
      <c r="R23" s="52">
        <f>IFERROR(IF(INDEX('MRE'!$L$10:$L$12,MATCH($F23,'MRE'!$B$10:$B$12,0))="","Cell will autofill based on response",INDEX('MRE'!$L$10:$L$12,MATCH($F23,'MRE'!$B$10:$B$12,0))),"N/A")</f>
        <v/>
      </c>
      <c r="S23" s="52">
        <f>IFERROR(IF(INDEX('L&amp;R'!$L$10:$L$11,MATCH($F23,'L&amp;R'!$B$10:$B$11,0))="","Cell will autofill based on response",INDEX('L&amp;R'!$L$10:$L$11,MATCH($F23,'L&amp;R'!$B$10:$B$11,0))),"N/A")</f>
        <v/>
      </c>
      <c r="U23" s="10">
        <f>COUNTIF($H23:$S23,"Cell will autofill based on response")</f>
        <v/>
      </c>
      <c r="V23" s="10">
        <f>COUNTIF($H23:$S23,"Not yet started")</f>
        <v/>
      </c>
      <c r="W23" s="10">
        <f>COUNTIF($H23:$S23,"Not met")</f>
        <v/>
      </c>
      <c r="X23" s="10">
        <f>COUNTIF($H23:$S23,"Partially met")</f>
        <v/>
      </c>
      <c r="Y23" s="10">
        <f>COUNTIF($H23:$S23,"Met or exceeded")</f>
        <v/>
      </c>
      <c r="Z23" s="10">
        <f>3*Y23+2*X23+W23</f>
        <v/>
      </c>
      <c r="AA23" s="10">
        <f>Y23+X23+W23+V23</f>
        <v/>
      </c>
      <c r="AB23" s="53">
        <f>IF(AA23&gt;0,Z23/AA23,"No valid responses to date")</f>
        <v/>
      </c>
      <c r="AC23" s="10">
        <f>IF(ISNUMBER(AB23),INDEX(Lists!$G$2:$G$5,MATCH(ROUND(AB23,0),Lists!$H$2:$H$5,0)),"")</f>
        <v/>
      </c>
      <c r="AD23" s="54">
        <f>IF(AA23&gt;0,Y23/AA23,"")</f>
        <v/>
      </c>
      <c r="AE23" s="54">
        <f>IF(AA23&gt;0,(Y23+X23)/AA23,"")</f>
        <v/>
      </c>
      <c r="AF23" s="10">
        <f>IF(AA23=0,"",IF(AD23&gt;0.75,"Met or exceeded",IF(AE23&gt;=0.5,"Partially met","Not met")))</f>
        <v/>
      </c>
    </row>
    <row r="24">
      <c r="A24">
        <f>F24&amp;"|"&amp;G24</f>
        <v/>
      </c>
      <c r="B24" s="13" t="inlineStr"/>
      <c r="C24" s="8" t="inlineStr"/>
      <c r="D24" s="8" t="inlineStr"/>
      <c r="E24" s="8" t="inlineStr"/>
      <c r="F24" s="8" t="inlineStr">
        <is>
          <t>EE1(c)</t>
        </is>
      </c>
      <c r="G24" s="8" t="inlineStr">
        <is>
          <t>OPTION 1:  Target-level reporting</t>
        </is>
      </c>
      <c r="H24" s="52">
        <f>IFERROR(IF(INDEX('Faculties'!$M$10:$M$30,MATCH($F24,'Faculties'!$B$10:$B$30,0))="","Cell will autofill based on response",INDEX('Faculties'!$M$10:$M$30,MATCH($F24,'Faculties'!$B$10:$B$30,0))),"N/A")</f>
        <v/>
      </c>
      <c r="I24" s="52">
        <f>IFERROR(IF(INDEX('Faculties'!$M$37:$M$57,MATCH($F24,'Faculties'!$B$37:$B$57,0))="","Cell will autofill based on response",INDEX('Faculties'!$M$37:$M$57,MATCH($F24,'Faculties'!$B$37:$B$57,0))),"N/A")</f>
        <v/>
      </c>
      <c r="J24" s="52">
        <f>IFERROR(IF(INDEX('Faculties'!$M$64:$M$84,MATCH($F24,'Faculties'!$B$64:$B$84,0))="","Cell will autofill based on response",INDEX('Faculties'!$M$64:$M$84,MATCH($F24,'Faculties'!$B$64:$B$84,0))),"N/A")</f>
        <v/>
      </c>
      <c r="K24" s="52">
        <f>IFERROR(IF(INDEX('Faculties'!$M$91:$M$111,MATCH($F24,'Faculties'!$B$91:$B$111,0))="","Cell will autofill based on response",INDEX('Faculties'!$M$91:$M$111,MATCH($F24,'Faculties'!$B$91:$B$111,0))),"N/A")</f>
        <v/>
      </c>
      <c r="L24" s="52">
        <f>IFERROR(IF(INDEX('CI&amp;S'!$M$10:$M$15,MATCH($F24,'CI&amp;S'!$B$10:$B$15,0))="","Cell will autofill based on response",INDEX('CI&amp;S'!$M$10:$M$15,MATCH($F24,'CI&amp;S'!$B$10:$B$15,0))),"N/A")</f>
        <v/>
      </c>
      <c r="M24" s="52">
        <f>IFERROR(IF(INDEX('CI&amp;S'!$M$22:$M$39,MATCH($F24,'CI&amp;S'!$B$22:$B$39,0))="","Cell will autofill based on response",INDEX('CI&amp;S'!$M$22:$M$39,MATCH($F24,'CI&amp;S'!$B$22:$B$39,0))),"N/A")</f>
        <v/>
      </c>
      <c r="N24" s="52">
        <f>IFERROR(IF(INDEX('CFOG'!$M$10:$M$16,MATCH($F24,'CFOG'!$B$10:$B$16,0))="","Cell will autofill based on response",INDEX('CFOG'!$M$10:$M$16,MATCH($F24,'CFOG'!$B$10:$B$16,0))),"N/A")</f>
        <v/>
      </c>
      <c r="O24" s="52">
        <f>IFERROR(IF(INDEX('CFOG'!$M$23:$M$24,MATCH($F24,'CFOG'!$B$23:$B$24,0))="","Cell will autofill based on response",INDEX('CFOG'!$M$23:$M$24,MATCH($F24,'CFOG'!$B$23:$B$24,0))),"N/A")</f>
        <v/>
      </c>
      <c r="P24" s="52">
        <f>IFERROR(IF(INDEX('ESG'!$M$10:$M$17,MATCH($F24,'ESG'!$B$10:$B$17,0))="","Cell will autofill based on response",INDEX('ESG'!$M$10:$M$17,MATCH($F24,'ESG'!$B$10:$B$17,0))),"N/A")</f>
        <v/>
      </c>
      <c r="Q24" s="52">
        <f>IFERROR(IF(INDEX('CIOG'!$M$10:$M$14,MATCH($F24,'CIOG'!$B$10:$B$14,0))="","Cell will autofill based on response",INDEX('CIOG'!$M$10:$M$14,MATCH($F24,'CIOG'!$B$10:$B$14,0))),"N/A")</f>
        <v/>
      </c>
      <c r="R24" s="52">
        <f>IFERROR(IF(INDEX('MRE'!$M$10:$M$12,MATCH($F24,'MRE'!$B$10:$B$12,0))="","Cell will autofill based on response",INDEX('MRE'!$M$10:$M$12,MATCH($F24,'MRE'!$B$10:$B$12,0))),"N/A")</f>
        <v/>
      </c>
      <c r="S24" s="52">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2">
        <f>IFERROR(IF(INDEX('Faculties'!$N$10:$N$30,MATCH($F25,'Faculties'!$B$10:$B$30,0))="","Cell will autofill based on response",INDEX('Faculties'!$N$10:$N$30,MATCH($F25,'Faculties'!$B$10:$B$30,0))),"N/A")</f>
        <v/>
      </c>
      <c r="I25" s="52">
        <f>IFERROR(IF(INDEX('Faculties'!$N$37:$N$57,MATCH($F25,'Faculties'!$B$37:$B$57,0))="","Cell will autofill based on response",INDEX('Faculties'!$N$37:$N$57,MATCH($F25,'Faculties'!$B$37:$B$57,0))),"N/A")</f>
        <v/>
      </c>
      <c r="J25" s="52">
        <f>IFERROR(IF(INDEX('Faculties'!$N$64:$N$84,MATCH($F25,'Faculties'!$B$64:$B$84,0))="","Cell will autofill based on response",INDEX('Faculties'!$N$64:$N$84,MATCH($F25,'Faculties'!$B$64:$B$84,0))),"N/A")</f>
        <v/>
      </c>
      <c r="K25" s="52">
        <f>IFERROR(IF(INDEX('Faculties'!$N$91:$N$111,MATCH($F25,'Faculties'!$B$91:$B$111,0))="","Cell will autofill based on response",INDEX('Faculties'!$N$91:$N$111,MATCH($F25,'Faculties'!$B$91:$B$111,0))),"N/A")</f>
        <v/>
      </c>
      <c r="L25" s="52">
        <f>IFERROR(IF(INDEX('CI&amp;S'!$N$10:$N$15,MATCH($F25,'CI&amp;S'!$B$10:$B$15,0))="","Cell will autofill based on response",INDEX('CI&amp;S'!$N$10:$N$15,MATCH($F25,'CI&amp;S'!$B$10:$B$15,0))),"N/A")</f>
        <v/>
      </c>
      <c r="M25" s="52">
        <f>IFERROR(IF(INDEX('CI&amp;S'!$N$22:$N$39,MATCH($F25,'CI&amp;S'!$B$22:$B$39,0))="","Cell will autofill based on response",INDEX('CI&amp;S'!$N$22:$N$39,MATCH($F25,'CI&amp;S'!$B$22:$B$39,0))),"N/A")</f>
        <v/>
      </c>
      <c r="N25" s="52">
        <f>IFERROR(IF(INDEX('CFOG'!$N$10:$N$16,MATCH($F25,'CFOG'!$B$10:$B$16,0))="","Cell will autofill based on response",INDEX('CFOG'!$N$10:$N$16,MATCH($F25,'CFOG'!$B$10:$B$16,0))),"N/A")</f>
        <v/>
      </c>
      <c r="O25" s="52">
        <f>IFERROR(IF(INDEX('CFOG'!$N$23:$N$24,MATCH($F25,'CFOG'!$B$23:$B$24,0))="","Cell will autofill based on response",INDEX('CFOG'!$N$23:$N$24,MATCH($F25,'CFOG'!$B$23:$B$24,0))),"N/A")</f>
        <v/>
      </c>
      <c r="P25" s="52">
        <f>IFERROR(IF(INDEX('ESG'!$N$10:$N$17,MATCH($F25,'ESG'!$B$10:$B$17,0))="","Cell will autofill based on response",INDEX('ESG'!$N$10:$N$17,MATCH($F25,'ESG'!$B$10:$B$17,0))),"N/A")</f>
        <v/>
      </c>
      <c r="Q25" s="52">
        <f>IFERROR(IF(INDEX('CIOG'!$N$10:$N$14,MATCH($F25,'CIOG'!$B$10:$B$14,0))="","Cell will autofill based on response",INDEX('CIOG'!$N$10:$N$14,MATCH($F25,'CIOG'!$B$10:$B$14,0))),"N/A")</f>
        <v/>
      </c>
      <c r="R25" s="52">
        <f>IFERROR(IF(INDEX('MRE'!$N$10:$N$12,MATCH($F25,'MRE'!$B$10:$B$12,0))="","Cell will autofill based on response",INDEX('MRE'!$N$10:$N$12,MATCH($F25,'MRE'!$B$10:$B$12,0))),"N/A")</f>
        <v/>
      </c>
      <c r="S25" s="52">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2">
        <f>IFERROR(IF(INDEX('Faculties'!$O$10:$O$30,MATCH($F26,'Faculties'!$B$10:$B$30,0))="","Cell will autofill based on response",INDEX('Faculties'!$O$10:$O$30,MATCH($F26,'Faculties'!$B$10:$B$30,0))),"N/A")</f>
        <v/>
      </c>
      <c r="I26" s="52">
        <f>IFERROR(IF(INDEX('Faculties'!$O$37:$O$57,MATCH($F26,'Faculties'!$B$37:$B$57,0))="","Cell will autofill based on response",INDEX('Faculties'!$O$37:$O$57,MATCH($F26,'Faculties'!$B$37:$B$57,0))),"N/A")</f>
        <v/>
      </c>
      <c r="J26" s="52">
        <f>IFERROR(IF(INDEX('Faculties'!$O$64:$O$84,MATCH($F26,'Faculties'!$B$64:$B$84,0))="","Cell will autofill based on response",INDEX('Faculties'!$O$64:$O$84,MATCH($F26,'Faculties'!$B$64:$B$84,0))),"N/A")</f>
        <v/>
      </c>
      <c r="K26" s="52">
        <f>IFERROR(IF(INDEX('Faculties'!$O$91:$O$111,MATCH($F26,'Faculties'!$B$91:$B$111,0))="","Cell will autofill based on response",INDEX('Faculties'!$O$91:$O$111,MATCH($F26,'Faculties'!$B$91:$B$111,0))),"N/A")</f>
        <v/>
      </c>
      <c r="L26" s="52">
        <f>IFERROR(IF(INDEX('CI&amp;S'!$O$10:$O$15,MATCH($F26,'CI&amp;S'!$B$10:$B$15,0))="","Cell will autofill based on response",INDEX('CI&amp;S'!$O$10:$O$15,MATCH($F26,'CI&amp;S'!$B$10:$B$15,0))),"N/A")</f>
        <v/>
      </c>
      <c r="M26" s="52">
        <f>IFERROR(IF(INDEX('CI&amp;S'!$O$22:$O$39,MATCH($F26,'CI&amp;S'!$B$22:$B$39,0))="","Cell will autofill based on response",INDEX('CI&amp;S'!$O$22:$O$39,MATCH($F26,'CI&amp;S'!$B$22:$B$39,0))),"N/A")</f>
        <v/>
      </c>
      <c r="N26" s="52">
        <f>IFERROR(IF(INDEX('CFOG'!$O$10:$O$16,MATCH($F26,'CFOG'!$B$10:$B$16,0))="","Cell will autofill based on response",INDEX('CFOG'!$O$10:$O$16,MATCH($F26,'CFOG'!$B$10:$B$16,0))),"N/A")</f>
        <v/>
      </c>
      <c r="O26" s="52">
        <f>IFERROR(IF(INDEX('CFOG'!$O$23:$O$24,MATCH($F26,'CFOG'!$B$23:$B$24,0))="","Cell will autofill based on response",INDEX('CFOG'!$O$23:$O$24,MATCH($F26,'CFOG'!$B$23:$B$24,0))),"N/A")</f>
        <v/>
      </c>
      <c r="P26" s="52">
        <f>IFERROR(IF(INDEX('ESG'!$O$10:$O$17,MATCH($F26,'ESG'!$B$10:$B$17,0))="","Cell will autofill based on response",INDEX('ESG'!$O$10:$O$17,MATCH($F26,'ESG'!$B$10:$B$17,0))),"N/A")</f>
        <v/>
      </c>
      <c r="Q26" s="52">
        <f>IFERROR(IF(INDEX('CIOG'!$O$10:$O$14,MATCH($F26,'CIOG'!$B$10:$B$14,0))="","Cell will autofill based on response",INDEX('CIOG'!$O$10:$O$14,MATCH($F26,'CIOG'!$B$10:$B$14,0))),"N/A")</f>
        <v/>
      </c>
      <c r="R26" s="52">
        <f>IFERROR(IF(INDEX('MRE'!$O$10:$O$12,MATCH($F26,'MRE'!$B$10:$B$12,0))="","Cell will autofill based on response",INDEX('MRE'!$O$10:$O$12,MATCH($F26,'MRE'!$B$10:$B$12,0))),"N/A")</f>
        <v/>
      </c>
      <c r="S26" s="52">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2">
        <f>IFERROR(IF(INDEX('Faculties'!$P$10:$P$30,MATCH($F27,'Faculties'!$B$10:$B$30,0))="","Cell will autofill based on response",INDEX('Faculties'!$P$10:$P$30,MATCH($F27,'Faculties'!$B$10:$B$30,0))),"N/A")</f>
        <v/>
      </c>
      <c r="I27" s="52">
        <f>IFERROR(IF(INDEX('Faculties'!$P$37:$P$57,MATCH($F27,'Faculties'!$B$37:$B$57,0))="","Cell will autofill based on response",INDEX('Faculties'!$P$37:$P$57,MATCH($F27,'Faculties'!$B$37:$B$57,0))),"N/A")</f>
        <v/>
      </c>
      <c r="J27" s="52">
        <f>IFERROR(IF(INDEX('Faculties'!$P$64:$P$84,MATCH($F27,'Faculties'!$B$64:$B$84,0))="","Cell will autofill based on response",INDEX('Faculties'!$P$64:$P$84,MATCH($F27,'Faculties'!$B$64:$B$84,0))),"N/A")</f>
        <v/>
      </c>
      <c r="K27" s="52">
        <f>IFERROR(IF(INDEX('Faculties'!$P$91:$P$111,MATCH($F27,'Faculties'!$B$91:$B$111,0))="","Cell will autofill based on response",INDEX('Faculties'!$P$91:$P$111,MATCH($F27,'Faculties'!$B$91:$B$111,0))),"N/A")</f>
        <v/>
      </c>
      <c r="L27" s="52">
        <f>IFERROR(IF(INDEX('CI&amp;S'!$P$10:$P$15,MATCH($F27,'CI&amp;S'!$B$10:$B$15,0))="","Cell will autofill based on response",INDEX('CI&amp;S'!$P$10:$P$15,MATCH($F27,'CI&amp;S'!$B$10:$B$15,0))),"N/A")</f>
        <v/>
      </c>
      <c r="M27" s="52">
        <f>IFERROR(IF(INDEX('CI&amp;S'!$P$22:$P$39,MATCH($F27,'CI&amp;S'!$B$22:$B$39,0))="","Cell will autofill based on response",INDEX('CI&amp;S'!$P$22:$P$39,MATCH($F27,'CI&amp;S'!$B$22:$B$39,0))),"N/A")</f>
        <v/>
      </c>
      <c r="N27" s="52">
        <f>IFERROR(IF(INDEX('CFOG'!$P$10:$P$16,MATCH($F27,'CFOG'!$B$10:$B$16,0))="","Cell will autofill based on response",INDEX('CFOG'!$P$10:$P$16,MATCH($F27,'CFOG'!$B$10:$B$16,0))),"N/A")</f>
        <v/>
      </c>
      <c r="O27" s="52">
        <f>IFERROR(IF(INDEX('CFOG'!$P$23:$P$24,MATCH($F27,'CFOG'!$B$23:$B$24,0))="","Cell will autofill based on response",INDEX('CFOG'!$P$23:$P$24,MATCH($F27,'CFOG'!$B$23:$B$24,0))),"N/A")</f>
        <v/>
      </c>
      <c r="P27" s="52">
        <f>IFERROR(IF(INDEX('ESG'!$P$10:$P$17,MATCH($F27,'ESG'!$B$10:$B$17,0))="","Cell will autofill based on response",INDEX('ESG'!$P$10:$P$17,MATCH($F27,'ESG'!$B$10:$B$17,0))),"N/A")</f>
        <v/>
      </c>
      <c r="Q27" s="52">
        <f>IFERROR(IF(INDEX('CIOG'!$P$10:$P$14,MATCH($F27,'CIOG'!$B$10:$B$14,0))="","Cell will autofill based on response",INDEX('CIOG'!$P$10:$P$14,MATCH($F27,'CIOG'!$B$10:$B$14,0))),"N/A")</f>
        <v/>
      </c>
      <c r="R27" s="52">
        <f>IFERROR(IF(INDEX('MRE'!$P$10:$P$12,MATCH($F27,'MRE'!$B$10:$B$12,0))="","Cell will autofill based on response",INDEX('MRE'!$P$10:$P$12,MATCH($F27,'MRE'!$B$10:$B$12,0))),"N/A")</f>
        <v/>
      </c>
      <c r="S27" s="52">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2">
        <f>IFERROR(IF(INDEX('Faculties'!$Q$10:$Q$30,MATCH($F28,'Faculties'!$B$10:$B$30,0))="","Cell will autofill based on response",INDEX('Faculties'!$Q$10:$Q$30,MATCH($F28,'Faculties'!$B$10:$B$30,0))),"N/A")</f>
        <v/>
      </c>
      <c r="I28" s="52">
        <f>IFERROR(IF(INDEX('Faculties'!$Q$37:$Q$57,MATCH($F28,'Faculties'!$B$37:$B$57,0))="","Cell will autofill based on response",INDEX('Faculties'!$Q$37:$Q$57,MATCH($F28,'Faculties'!$B$37:$B$57,0))),"N/A")</f>
        <v/>
      </c>
      <c r="J28" s="52">
        <f>IFERROR(IF(INDEX('Faculties'!$Q$64:$Q$84,MATCH($F28,'Faculties'!$B$64:$B$84,0))="","Cell will autofill based on response",INDEX('Faculties'!$Q$64:$Q$84,MATCH($F28,'Faculties'!$B$64:$B$84,0))),"N/A")</f>
        <v/>
      </c>
      <c r="K28" s="52">
        <f>IFERROR(IF(INDEX('Faculties'!$Q$91:$Q$111,MATCH($F28,'Faculties'!$B$91:$B$111,0))="","Cell will autofill based on response",INDEX('Faculties'!$Q$91:$Q$111,MATCH($F28,'Faculties'!$B$91:$B$111,0))),"N/A")</f>
        <v/>
      </c>
      <c r="L28" s="52">
        <f>IFERROR(IF(INDEX('CI&amp;S'!$Q$10:$Q$15,MATCH($F28,'CI&amp;S'!$B$10:$B$15,0))="","Cell will autofill based on response",INDEX('CI&amp;S'!$Q$10:$Q$15,MATCH($F28,'CI&amp;S'!$B$10:$B$15,0))),"N/A")</f>
        <v/>
      </c>
      <c r="M28" s="52">
        <f>IFERROR(IF(INDEX('CI&amp;S'!$Q$22:$Q$39,MATCH($F28,'CI&amp;S'!$B$22:$B$39,0))="","Cell will autofill based on response",INDEX('CI&amp;S'!$Q$22:$Q$39,MATCH($F28,'CI&amp;S'!$B$22:$B$39,0))),"N/A")</f>
        <v/>
      </c>
      <c r="N28" s="52">
        <f>IFERROR(IF(INDEX('CFOG'!$Q$10:$Q$16,MATCH($F28,'CFOG'!$B$10:$B$16,0))="","Cell will autofill based on response",INDEX('CFOG'!$Q$10:$Q$16,MATCH($F28,'CFOG'!$B$10:$B$16,0))),"N/A")</f>
        <v/>
      </c>
      <c r="O28" s="52">
        <f>IFERROR(IF(INDEX('CFOG'!$Q$23:$Q$24,MATCH($F28,'CFOG'!$B$23:$B$24,0))="","Cell will autofill based on response",INDEX('CFOG'!$Q$23:$Q$24,MATCH($F28,'CFOG'!$B$23:$B$24,0))),"N/A")</f>
        <v/>
      </c>
      <c r="P28" s="52">
        <f>IFERROR(IF(INDEX('ESG'!$Q$10:$Q$17,MATCH($F28,'ESG'!$B$10:$B$17,0))="","Cell will autofill based on response",INDEX('ESG'!$Q$10:$Q$17,MATCH($F28,'ESG'!$B$10:$B$17,0))),"N/A")</f>
        <v/>
      </c>
      <c r="Q28" s="52">
        <f>IFERROR(IF(INDEX('CIOG'!$Q$10:$Q$14,MATCH($F28,'CIOG'!$B$10:$B$14,0))="","Cell will autofill based on response",INDEX('CIOG'!$Q$10:$Q$14,MATCH($F28,'CIOG'!$B$10:$B$14,0))),"N/A")</f>
        <v/>
      </c>
      <c r="R28" s="52">
        <f>IFERROR(IF(INDEX('MRE'!$Q$10:$Q$12,MATCH($F28,'MRE'!$B$10:$B$12,0))="","Cell will autofill based on response",INDEX('MRE'!$Q$10:$Q$12,MATCH($F28,'MRE'!$B$10:$B$12,0))),"N/A")</f>
        <v/>
      </c>
      <c r="S28" s="52">
        <f>IFERROR(IF(INDEX('L&amp;R'!$Q$10:$Q$11,MATCH($F28,'L&amp;R'!$B$10:$B$11,0))="","Cell will autofill based on response",INDEX('L&amp;R'!$Q$10:$Q$11,MATCH($F28,'L&amp;R'!$B$10:$B$11,0))),"N/A")</f>
        <v/>
      </c>
    </row>
    <row r="29">
      <c r="A29">
        <f>F29&amp;"|"&amp;G29</f>
        <v/>
      </c>
      <c r="B29" s="7" t="inlineStr">
        <is>
          <t>EE1(d)</t>
        </is>
      </c>
      <c r="C29" s="50" t="inlineStr">
        <is>
          <t>Exceptional education</t>
        </is>
      </c>
      <c r="D29" s="50" t="inlineStr">
        <is>
          <t>Alumni profiles demonstrating how graduates contribute to sustainability through their careers or communities.</t>
        </is>
      </c>
      <c r="E29" s="50"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0" t="inlineStr">
        <is>
          <t>EE1(d)</t>
        </is>
      </c>
      <c r="G29" s="50" t="inlineStr">
        <is>
          <t>Confirm end-2026 target status</t>
        </is>
      </c>
      <c r="H29" s="52">
        <f>IFERROR(IF(INDEX('Faculties'!$L$10:$L$30,MATCH($F29,'Faculties'!$B$10:$B$30,0))="","Cell will autofill based on response",INDEX('Faculties'!$L$10:$L$30,MATCH($F29,'Faculties'!$B$10:$B$30,0))),"N/A")</f>
        <v/>
      </c>
      <c r="I29" s="52">
        <f>IFERROR(IF(INDEX('Faculties'!$L$37:$L$57,MATCH($F29,'Faculties'!$B$37:$B$57,0))="","Cell will autofill based on response",INDEX('Faculties'!$L$37:$L$57,MATCH($F29,'Faculties'!$B$37:$B$57,0))),"N/A")</f>
        <v/>
      </c>
      <c r="J29" s="52">
        <f>IFERROR(IF(INDEX('Faculties'!$L$64:$L$84,MATCH($F29,'Faculties'!$B$64:$B$84,0))="","Cell will autofill based on response",INDEX('Faculties'!$L$64:$L$84,MATCH($F29,'Faculties'!$B$64:$B$84,0))),"N/A")</f>
        <v/>
      </c>
      <c r="K29" s="52">
        <f>IFERROR(IF(INDEX('Faculties'!$L$91:$L$111,MATCH($F29,'Faculties'!$B$91:$B$111,0))="","Cell will autofill based on response",INDEX('Faculties'!$L$91:$L$111,MATCH($F29,'Faculties'!$B$91:$B$111,0))),"N/A")</f>
        <v/>
      </c>
      <c r="L29" s="52">
        <f>IFERROR(IF(INDEX('CI&amp;S'!$L$10:$L$15,MATCH($F29,'CI&amp;S'!$B$10:$B$15,0))="","Cell will autofill based on response",INDEX('CI&amp;S'!$L$10:$L$15,MATCH($F29,'CI&amp;S'!$B$10:$B$15,0))),"N/A")</f>
        <v/>
      </c>
      <c r="M29" s="52">
        <f>IFERROR(IF(INDEX('CI&amp;S'!$L$22:$L$39,MATCH($F29,'CI&amp;S'!$B$22:$B$39,0))="","Cell will autofill based on response",INDEX('CI&amp;S'!$L$22:$L$39,MATCH($F29,'CI&amp;S'!$B$22:$B$39,0))),"N/A")</f>
        <v/>
      </c>
      <c r="N29" s="52">
        <f>IFERROR(IF(INDEX('CFOG'!$L$10:$L$16,MATCH($F29,'CFOG'!$B$10:$B$16,0))="","Cell will autofill based on response",INDEX('CFOG'!$L$10:$L$16,MATCH($F29,'CFOG'!$B$10:$B$16,0))),"N/A")</f>
        <v/>
      </c>
      <c r="O29" s="52">
        <f>IFERROR(IF(INDEX('CFOG'!$L$23:$L$24,MATCH($F29,'CFOG'!$B$23:$B$24,0))="","Cell will autofill based on response",INDEX('CFOG'!$L$23:$L$24,MATCH($F29,'CFOG'!$B$23:$B$24,0))),"N/A")</f>
        <v/>
      </c>
      <c r="P29" s="52">
        <f>IFERROR(IF(INDEX('ESG'!$L$10:$L$17,MATCH($F29,'ESG'!$B$10:$B$17,0))="","Cell will autofill based on response",INDEX('ESG'!$L$10:$L$17,MATCH($F29,'ESG'!$B$10:$B$17,0))),"N/A")</f>
        <v/>
      </c>
      <c r="Q29" s="52">
        <f>IFERROR(IF(INDEX('CIOG'!$L$10:$L$14,MATCH($F29,'CIOG'!$B$10:$B$14,0))="","Cell will autofill based on response",INDEX('CIOG'!$L$10:$L$14,MATCH($F29,'CIOG'!$B$10:$B$14,0))),"N/A")</f>
        <v/>
      </c>
      <c r="R29" s="52">
        <f>IFERROR(IF(INDEX('MRE'!$L$10:$L$12,MATCH($F29,'MRE'!$B$10:$B$12,0))="","Cell will autofill based on response",INDEX('MRE'!$L$10:$L$12,MATCH($F29,'MRE'!$B$10:$B$12,0))),"N/A")</f>
        <v/>
      </c>
      <c r="S29" s="52">
        <f>IFERROR(IF(INDEX('L&amp;R'!$L$10:$L$11,MATCH($F29,'L&amp;R'!$B$10:$B$11,0))="","Cell will autofill based on response",INDEX('L&amp;R'!$L$10:$L$11,MATCH($F29,'L&amp;R'!$B$10:$B$11,0))),"N/A")</f>
        <v/>
      </c>
      <c r="U29" s="10">
        <f>COUNTIF($H29:$S29,"Cell will autofill based on response")</f>
        <v/>
      </c>
      <c r="V29" s="10">
        <f>COUNTIF($H29:$S29,"Not yet started")</f>
        <v/>
      </c>
      <c r="W29" s="10">
        <f>COUNTIF($H29:$S29,"Not met")</f>
        <v/>
      </c>
      <c r="X29" s="10">
        <f>COUNTIF($H29:$S29,"Partially met")</f>
        <v/>
      </c>
      <c r="Y29" s="10">
        <f>COUNTIF($H29:$S29,"Met or exceeded")</f>
        <v/>
      </c>
      <c r="Z29" s="10">
        <f>3*Y29+2*X29+W29</f>
        <v/>
      </c>
      <c r="AA29" s="10">
        <f>Y29+X29+W29+V29</f>
        <v/>
      </c>
      <c r="AB29" s="53">
        <f>IF(AA29&gt;0,Z29/AA29,"No valid responses to date")</f>
        <v/>
      </c>
      <c r="AC29" s="10">
        <f>IF(ISNUMBER(AB29),INDEX(Lists!$G$2:$G$5,MATCH(ROUND(AB29,0),Lists!$H$2:$H$5,0)),"")</f>
        <v/>
      </c>
      <c r="AD29" s="54">
        <f>IF(AA29&gt;0,Y29/AA29,"")</f>
        <v/>
      </c>
      <c r="AE29" s="54">
        <f>IF(AA29&gt;0,(Y29+X29)/AA29,"")</f>
        <v/>
      </c>
      <c r="AF29" s="10">
        <f>IF(AA29=0,"",IF(AD29&gt;0.75,"Met or exceeded",IF(AE29&gt;=0.5,"Partially met","Not met")))</f>
        <v/>
      </c>
    </row>
    <row r="30">
      <c r="A30">
        <f>F30&amp;"|"&amp;G30</f>
        <v/>
      </c>
      <c r="B30" s="13" t="inlineStr"/>
      <c r="C30" s="8" t="inlineStr"/>
      <c r="D30" s="8" t="inlineStr"/>
      <c r="E30" s="8" t="inlineStr"/>
      <c r="F30" s="8" t="inlineStr">
        <is>
          <t>EE1(d)</t>
        </is>
      </c>
      <c r="G30" s="8" t="inlineStr">
        <is>
          <t>OPTION 1:  Target-level reporting</t>
        </is>
      </c>
      <c r="H30" s="52">
        <f>IFERROR(IF(INDEX('Faculties'!$M$10:$M$30,MATCH($F30,'Faculties'!$B$10:$B$30,0))="","Cell will autofill based on response",INDEX('Faculties'!$M$10:$M$30,MATCH($F30,'Faculties'!$B$10:$B$30,0))),"N/A")</f>
        <v/>
      </c>
      <c r="I30" s="52">
        <f>IFERROR(IF(INDEX('Faculties'!$M$37:$M$57,MATCH($F30,'Faculties'!$B$37:$B$57,0))="","Cell will autofill based on response",INDEX('Faculties'!$M$37:$M$57,MATCH($F30,'Faculties'!$B$37:$B$57,0))),"N/A")</f>
        <v/>
      </c>
      <c r="J30" s="52">
        <f>IFERROR(IF(INDEX('Faculties'!$M$64:$M$84,MATCH($F30,'Faculties'!$B$64:$B$84,0))="","Cell will autofill based on response",INDEX('Faculties'!$M$64:$M$84,MATCH($F30,'Faculties'!$B$64:$B$84,0))),"N/A")</f>
        <v/>
      </c>
      <c r="K30" s="52">
        <f>IFERROR(IF(INDEX('Faculties'!$M$91:$M$111,MATCH($F30,'Faculties'!$B$91:$B$111,0))="","Cell will autofill based on response",INDEX('Faculties'!$M$91:$M$111,MATCH($F30,'Faculties'!$B$91:$B$111,0))),"N/A")</f>
        <v/>
      </c>
      <c r="L30" s="52">
        <f>IFERROR(IF(INDEX('CI&amp;S'!$M$10:$M$15,MATCH($F30,'CI&amp;S'!$B$10:$B$15,0))="","Cell will autofill based on response",INDEX('CI&amp;S'!$M$10:$M$15,MATCH($F30,'CI&amp;S'!$B$10:$B$15,0))),"N/A")</f>
        <v/>
      </c>
      <c r="M30" s="52">
        <f>IFERROR(IF(INDEX('CI&amp;S'!$M$22:$M$39,MATCH($F30,'CI&amp;S'!$B$22:$B$39,0))="","Cell will autofill based on response",INDEX('CI&amp;S'!$M$22:$M$39,MATCH($F30,'CI&amp;S'!$B$22:$B$39,0))),"N/A")</f>
        <v/>
      </c>
      <c r="N30" s="52">
        <f>IFERROR(IF(INDEX('CFOG'!$M$10:$M$16,MATCH($F30,'CFOG'!$B$10:$B$16,0))="","Cell will autofill based on response",INDEX('CFOG'!$M$10:$M$16,MATCH($F30,'CFOG'!$B$10:$B$16,0))),"N/A")</f>
        <v/>
      </c>
      <c r="O30" s="52">
        <f>IFERROR(IF(INDEX('CFOG'!$M$23:$M$24,MATCH($F30,'CFOG'!$B$23:$B$24,0))="","Cell will autofill based on response",INDEX('CFOG'!$M$23:$M$24,MATCH($F30,'CFOG'!$B$23:$B$24,0))),"N/A")</f>
        <v/>
      </c>
      <c r="P30" s="52">
        <f>IFERROR(IF(INDEX('ESG'!$M$10:$M$17,MATCH($F30,'ESG'!$B$10:$B$17,0))="","Cell will autofill based on response",INDEX('ESG'!$M$10:$M$17,MATCH($F30,'ESG'!$B$10:$B$17,0))),"N/A")</f>
        <v/>
      </c>
      <c r="Q30" s="52">
        <f>IFERROR(IF(INDEX('CIOG'!$M$10:$M$14,MATCH($F30,'CIOG'!$B$10:$B$14,0))="","Cell will autofill based on response",INDEX('CIOG'!$M$10:$M$14,MATCH($F30,'CIOG'!$B$10:$B$14,0))),"N/A")</f>
        <v/>
      </c>
      <c r="R30" s="52">
        <f>IFERROR(IF(INDEX('MRE'!$M$10:$M$12,MATCH($F30,'MRE'!$B$10:$B$12,0))="","Cell will autofill based on response",INDEX('MRE'!$M$10:$M$12,MATCH($F30,'MRE'!$B$10:$B$12,0))),"N/A")</f>
        <v/>
      </c>
      <c r="S30" s="52">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2">
        <f>IFERROR(IF(INDEX('Faculties'!$N$10:$N$30,MATCH($F31,'Faculties'!$B$10:$B$30,0))="","Cell will autofill based on response",INDEX('Faculties'!$N$10:$N$30,MATCH($F31,'Faculties'!$B$10:$B$30,0))),"N/A")</f>
        <v/>
      </c>
      <c r="I31" s="52">
        <f>IFERROR(IF(INDEX('Faculties'!$N$37:$N$57,MATCH($F31,'Faculties'!$B$37:$B$57,0))="","Cell will autofill based on response",INDEX('Faculties'!$N$37:$N$57,MATCH($F31,'Faculties'!$B$37:$B$57,0))),"N/A")</f>
        <v/>
      </c>
      <c r="J31" s="52">
        <f>IFERROR(IF(INDEX('Faculties'!$N$64:$N$84,MATCH($F31,'Faculties'!$B$64:$B$84,0))="","Cell will autofill based on response",INDEX('Faculties'!$N$64:$N$84,MATCH($F31,'Faculties'!$B$64:$B$84,0))),"N/A")</f>
        <v/>
      </c>
      <c r="K31" s="52">
        <f>IFERROR(IF(INDEX('Faculties'!$N$91:$N$111,MATCH($F31,'Faculties'!$B$91:$B$111,0))="","Cell will autofill based on response",INDEX('Faculties'!$N$91:$N$111,MATCH($F31,'Faculties'!$B$91:$B$111,0))),"N/A")</f>
        <v/>
      </c>
      <c r="L31" s="52">
        <f>IFERROR(IF(INDEX('CI&amp;S'!$N$10:$N$15,MATCH($F31,'CI&amp;S'!$B$10:$B$15,0))="","Cell will autofill based on response",INDEX('CI&amp;S'!$N$10:$N$15,MATCH($F31,'CI&amp;S'!$B$10:$B$15,0))),"N/A")</f>
        <v/>
      </c>
      <c r="M31" s="52">
        <f>IFERROR(IF(INDEX('CI&amp;S'!$N$22:$N$39,MATCH($F31,'CI&amp;S'!$B$22:$B$39,0))="","Cell will autofill based on response",INDEX('CI&amp;S'!$N$22:$N$39,MATCH($F31,'CI&amp;S'!$B$22:$B$39,0))),"N/A")</f>
        <v/>
      </c>
      <c r="N31" s="52">
        <f>IFERROR(IF(INDEX('CFOG'!$N$10:$N$16,MATCH($F31,'CFOG'!$B$10:$B$16,0))="","Cell will autofill based on response",INDEX('CFOG'!$N$10:$N$16,MATCH($F31,'CFOG'!$B$10:$B$16,0))),"N/A")</f>
        <v/>
      </c>
      <c r="O31" s="52">
        <f>IFERROR(IF(INDEX('CFOG'!$N$23:$N$24,MATCH($F31,'CFOG'!$B$23:$B$24,0))="","Cell will autofill based on response",INDEX('CFOG'!$N$23:$N$24,MATCH($F31,'CFOG'!$B$23:$B$24,0))),"N/A")</f>
        <v/>
      </c>
      <c r="P31" s="52">
        <f>IFERROR(IF(INDEX('ESG'!$N$10:$N$17,MATCH($F31,'ESG'!$B$10:$B$17,0))="","Cell will autofill based on response",INDEX('ESG'!$N$10:$N$17,MATCH($F31,'ESG'!$B$10:$B$17,0))),"N/A")</f>
        <v/>
      </c>
      <c r="Q31" s="52">
        <f>IFERROR(IF(INDEX('CIOG'!$N$10:$N$14,MATCH($F31,'CIOG'!$B$10:$B$14,0))="","Cell will autofill based on response",INDEX('CIOG'!$N$10:$N$14,MATCH($F31,'CIOG'!$B$10:$B$14,0))),"N/A")</f>
        <v/>
      </c>
      <c r="R31" s="52">
        <f>IFERROR(IF(INDEX('MRE'!$N$10:$N$12,MATCH($F31,'MRE'!$B$10:$B$12,0))="","Cell will autofill based on response",INDEX('MRE'!$N$10:$N$12,MATCH($F31,'MRE'!$B$10:$B$12,0))),"N/A")</f>
        <v/>
      </c>
      <c r="S31" s="52">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2">
        <f>IFERROR(IF(INDEX('Faculties'!$O$10:$O$30,MATCH($F32,'Faculties'!$B$10:$B$30,0))="","Cell will autofill based on response",INDEX('Faculties'!$O$10:$O$30,MATCH($F32,'Faculties'!$B$10:$B$30,0))),"N/A")</f>
        <v/>
      </c>
      <c r="I32" s="52">
        <f>IFERROR(IF(INDEX('Faculties'!$O$37:$O$57,MATCH($F32,'Faculties'!$B$37:$B$57,0))="","Cell will autofill based on response",INDEX('Faculties'!$O$37:$O$57,MATCH($F32,'Faculties'!$B$37:$B$57,0))),"N/A")</f>
        <v/>
      </c>
      <c r="J32" s="52">
        <f>IFERROR(IF(INDEX('Faculties'!$O$64:$O$84,MATCH($F32,'Faculties'!$B$64:$B$84,0))="","Cell will autofill based on response",INDEX('Faculties'!$O$64:$O$84,MATCH($F32,'Faculties'!$B$64:$B$84,0))),"N/A")</f>
        <v/>
      </c>
      <c r="K32" s="52">
        <f>IFERROR(IF(INDEX('Faculties'!$O$91:$O$111,MATCH($F32,'Faculties'!$B$91:$B$111,0))="","Cell will autofill based on response",INDEX('Faculties'!$O$91:$O$111,MATCH($F32,'Faculties'!$B$91:$B$111,0))),"N/A")</f>
        <v/>
      </c>
      <c r="L32" s="52">
        <f>IFERROR(IF(INDEX('CI&amp;S'!$O$10:$O$15,MATCH($F32,'CI&amp;S'!$B$10:$B$15,0))="","Cell will autofill based on response",INDEX('CI&amp;S'!$O$10:$O$15,MATCH($F32,'CI&amp;S'!$B$10:$B$15,0))),"N/A")</f>
        <v/>
      </c>
      <c r="M32" s="52">
        <f>IFERROR(IF(INDEX('CI&amp;S'!$O$22:$O$39,MATCH($F32,'CI&amp;S'!$B$22:$B$39,0))="","Cell will autofill based on response",INDEX('CI&amp;S'!$O$22:$O$39,MATCH($F32,'CI&amp;S'!$B$22:$B$39,0))),"N/A")</f>
        <v/>
      </c>
      <c r="N32" s="52">
        <f>IFERROR(IF(INDEX('CFOG'!$O$10:$O$16,MATCH($F32,'CFOG'!$B$10:$B$16,0))="","Cell will autofill based on response",INDEX('CFOG'!$O$10:$O$16,MATCH($F32,'CFOG'!$B$10:$B$16,0))),"N/A")</f>
        <v/>
      </c>
      <c r="O32" s="52">
        <f>IFERROR(IF(INDEX('CFOG'!$O$23:$O$24,MATCH($F32,'CFOG'!$B$23:$B$24,0))="","Cell will autofill based on response",INDEX('CFOG'!$O$23:$O$24,MATCH($F32,'CFOG'!$B$23:$B$24,0))),"N/A")</f>
        <v/>
      </c>
      <c r="P32" s="52">
        <f>IFERROR(IF(INDEX('ESG'!$O$10:$O$17,MATCH($F32,'ESG'!$B$10:$B$17,0))="","Cell will autofill based on response",INDEX('ESG'!$O$10:$O$17,MATCH($F32,'ESG'!$B$10:$B$17,0))),"N/A")</f>
        <v/>
      </c>
      <c r="Q32" s="52">
        <f>IFERROR(IF(INDEX('CIOG'!$O$10:$O$14,MATCH($F32,'CIOG'!$B$10:$B$14,0))="","Cell will autofill based on response",INDEX('CIOG'!$O$10:$O$14,MATCH($F32,'CIOG'!$B$10:$B$14,0))),"N/A")</f>
        <v/>
      </c>
      <c r="R32" s="52">
        <f>IFERROR(IF(INDEX('MRE'!$O$10:$O$12,MATCH($F32,'MRE'!$B$10:$B$12,0))="","Cell will autofill based on response",INDEX('MRE'!$O$10:$O$12,MATCH($F32,'MRE'!$B$10:$B$12,0))),"N/A")</f>
        <v/>
      </c>
      <c r="S32" s="52">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2">
        <f>IFERROR(IF(INDEX('Faculties'!$P$10:$P$30,MATCH($F33,'Faculties'!$B$10:$B$30,0))="","Cell will autofill based on response",INDEX('Faculties'!$P$10:$P$30,MATCH($F33,'Faculties'!$B$10:$B$30,0))),"N/A")</f>
        <v/>
      </c>
      <c r="I33" s="52">
        <f>IFERROR(IF(INDEX('Faculties'!$P$37:$P$57,MATCH($F33,'Faculties'!$B$37:$B$57,0))="","Cell will autofill based on response",INDEX('Faculties'!$P$37:$P$57,MATCH($F33,'Faculties'!$B$37:$B$57,0))),"N/A")</f>
        <v/>
      </c>
      <c r="J33" s="52">
        <f>IFERROR(IF(INDEX('Faculties'!$P$64:$P$84,MATCH($F33,'Faculties'!$B$64:$B$84,0))="","Cell will autofill based on response",INDEX('Faculties'!$P$64:$P$84,MATCH($F33,'Faculties'!$B$64:$B$84,0))),"N/A")</f>
        <v/>
      </c>
      <c r="K33" s="52">
        <f>IFERROR(IF(INDEX('Faculties'!$P$91:$P$111,MATCH($F33,'Faculties'!$B$91:$B$111,0))="","Cell will autofill based on response",INDEX('Faculties'!$P$91:$P$111,MATCH($F33,'Faculties'!$B$91:$B$111,0))),"N/A")</f>
        <v/>
      </c>
      <c r="L33" s="52">
        <f>IFERROR(IF(INDEX('CI&amp;S'!$P$10:$P$15,MATCH($F33,'CI&amp;S'!$B$10:$B$15,0))="","Cell will autofill based on response",INDEX('CI&amp;S'!$P$10:$P$15,MATCH($F33,'CI&amp;S'!$B$10:$B$15,0))),"N/A")</f>
        <v/>
      </c>
      <c r="M33" s="52">
        <f>IFERROR(IF(INDEX('CI&amp;S'!$P$22:$P$39,MATCH($F33,'CI&amp;S'!$B$22:$B$39,0))="","Cell will autofill based on response",INDEX('CI&amp;S'!$P$22:$P$39,MATCH($F33,'CI&amp;S'!$B$22:$B$39,0))),"N/A")</f>
        <v/>
      </c>
      <c r="N33" s="52">
        <f>IFERROR(IF(INDEX('CFOG'!$P$10:$P$16,MATCH($F33,'CFOG'!$B$10:$B$16,0))="","Cell will autofill based on response",INDEX('CFOG'!$P$10:$P$16,MATCH($F33,'CFOG'!$B$10:$B$16,0))),"N/A")</f>
        <v/>
      </c>
      <c r="O33" s="52">
        <f>IFERROR(IF(INDEX('CFOG'!$P$23:$P$24,MATCH($F33,'CFOG'!$B$23:$B$24,0))="","Cell will autofill based on response",INDEX('CFOG'!$P$23:$P$24,MATCH($F33,'CFOG'!$B$23:$B$24,0))),"N/A")</f>
        <v/>
      </c>
      <c r="P33" s="52">
        <f>IFERROR(IF(INDEX('ESG'!$P$10:$P$17,MATCH($F33,'ESG'!$B$10:$B$17,0))="","Cell will autofill based on response",INDEX('ESG'!$P$10:$P$17,MATCH($F33,'ESG'!$B$10:$B$17,0))),"N/A")</f>
        <v/>
      </c>
      <c r="Q33" s="52">
        <f>IFERROR(IF(INDEX('CIOG'!$P$10:$P$14,MATCH($F33,'CIOG'!$B$10:$B$14,0))="","Cell will autofill based on response",INDEX('CIOG'!$P$10:$P$14,MATCH($F33,'CIOG'!$B$10:$B$14,0))),"N/A")</f>
        <v/>
      </c>
      <c r="R33" s="52">
        <f>IFERROR(IF(INDEX('MRE'!$P$10:$P$12,MATCH($F33,'MRE'!$B$10:$B$12,0))="","Cell will autofill based on response",INDEX('MRE'!$P$10:$P$12,MATCH($F33,'MRE'!$B$10:$B$12,0))),"N/A")</f>
        <v/>
      </c>
      <c r="S33" s="52">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2">
        <f>IFERROR(IF(INDEX('Faculties'!$Q$10:$Q$30,MATCH($F34,'Faculties'!$B$10:$B$30,0))="","Cell will autofill based on response",INDEX('Faculties'!$Q$10:$Q$30,MATCH($F34,'Faculties'!$B$10:$B$30,0))),"N/A")</f>
        <v/>
      </c>
      <c r="I34" s="52">
        <f>IFERROR(IF(INDEX('Faculties'!$Q$37:$Q$57,MATCH($F34,'Faculties'!$B$37:$B$57,0))="","Cell will autofill based on response",INDEX('Faculties'!$Q$37:$Q$57,MATCH($F34,'Faculties'!$B$37:$B$57,0))),"N/A")</f>
        <v/>
      </c>
      <c r="J34" s="52">
        <f>IFERROR(IF(INDEX('Faculties'!$Q$64:$Q$84,MATCH($F34,'Faculties'!$B$64:$B$84,0))="","Cell will autofill based on response",INDEX('Faculties'!$Q$64:$Q$84,MATCH($F34,'Faculties'!$B$64:$B$84,0))),"N/A")</f>
        <v/>
      </c>
      <c r="K34" s="52">
        <f>IFERROR(IF(INDEX('Faculties'!$Q$91:$Q$111,MATCH($F34,'Faculties'!$B$91:$B$111,0))="","Cell will autofill based on response",INDEX('Faculties'!$Q$91:$Q$111,MATCH($F34,'Faculties'!$B$91:$B$111,0))),"N/A")</f>
        <v/>
      </c>
      <c r="L34" s="52">
        <f>IFERROR(IF(INDEX('CI&amp;S'!$Q$10:$Q$15,MATCH($F34,'CI&amp;S'!$B$10:$B$15,0))="","Cell will autofill based on response",INDEX('CI&amp;S'!$Q$10:$Q$15,MATCH($F34,'CI&amp;S'!$B$10:$B$15,0))),"N/A")</f>
        <v/>
      </c>
      <c r="M34" s="52">
        <f>IFERROR(IF(INDEX('CI&amp;S'!$Q$22:$Q$39,MATCH($F34,'CI&amp;S'!$B$22:$B$39,0))="","Cell will autofill based on response",INDEX('CI&amp;S'!$Q$22:$Q$39,MATCH($F34,'CI&amp;S'!$B$22:$B$39,0))),"N/A")</f>
        <v/>
      </c>
      <c r="N34" s="52">
        <f>IFERROR(IF(INDEX('CFOG'!$Q$10:$Q$16,MATCH($F34,'CFOG'!$B$10:$B$16,0))="","Cell will autofill based on response",INDEX('CFOG'!$Q$10:$Q$16,MATCH($F34,'CFOG'!$B$10:$B$16,0))),"N/A")</f>
        <v/>
      </c>
      <c r="O34" s="52">
        <f>IFERROR(IF(INDEX('CFOG'!$Q$23:$Q$24,MATCH($F34,'CFOG'!$B$23:$B$24,0))="","Cell will autofill based on response",INDEX('CFOG'!$Q$23:$Q$24,MATCH($F34,'CFOG'!$B$23:$B$24,0))),"N/A")</f>
        <v/>
      </c>
      <c r="P34" s="52">
        <f>IFERROR(IF(INDEX('ESG'!$Q$10:$Q$17,MATCH($F34,'ESG'!$B$10:$B$17,0))="","Cell will autofill based on response",INDEX('ESG'!$Q$10:$Q$17,MATCH($F34,'ESG'!$B$10:$B$17,0))),"N/A")</f>
        <v/>
      </c>
      <c r="Q34" s="52">
        <f>IFERROR(IF(INDEX('CIOG'!$Q$10:$Q$14,MATCH($F34,'CIOG'!$B$10:$B$14,0))="","Cell will autofill based on response",INDEX('CIOG'!$Q$10:$Q$14,MATCH($F34,'CIOG'!$B$10:$B$14,0))),"N/A")</f>
        <v/>
      </c>
      <c r="R34" s="52">
        <f>IFERROR(IF(INDEX('MRE'!$Q$10:$Q$12,MATCH($F34,'MRE'!$B$10:$B$12,0))="","Cell will autofill based on response",INDEX('MRE'!$Q$10:$Q$12,MATCH($F34,'MRE'!$B$10:$B$12,0))),"N/A")</f>
        <v/>
      </c>
      <c r="S34" s="52">
        <f>IFERROR(IF(INDEX('L&amp;R'!$Q$10:$Q$11,MATCH($F34,'L&amp;R'!$B$10:$B$11,0))="","Cell will autofill based on response",INDEX('L&amp;R'!$Q$10:$Q$11,MATCH($F34,'L&amp;R'!$B$10:$B$11,0))),"N/A")</f>
        <v/>
      </c>
    </row>
    <row r="35">
      <c r="A35">
        <f>F35&amp;"|"&amp;G35</f>
        <v/>
      </c>
      <c r="B35" s="7" t="inlineStr">
        <is>
          <t>TR1(a)</t>
        </is>
      </c>
      <c r="C35" s="50" t="inlineStr">
        <is>
          <t>Transformational research</t>
        </is>
      </c>
      <c r="D35" s="50" t="inlineStr">
        <is>
          <t>Expert-reviewed evidence of researchers contributing to operational sustainability priorities through partnerships, advisory input, living labs, applied projects or decision-support</t>
        </is>
      </c>
      <c r="E35" s="50"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0" t="inlineStr">
        <is>
          <t>TR1(a)</t>
        </is>
      </c>
      <c r="G35" s="50" t="inlineStr">
        <is>
          <t>Confirm end-2026 target status</t>
        </is>
      </c>
      <c r="H35" s="52">
        <f>IFERROR(IF(INDEX('Faculties'!$L$10:$L$30,MATCH($F35,'Faculties'!$B$10:$B$30,0))="","Cell will autofill based on response",INDEX('Faculties'!$L$10:$L$30,MATCH($F35,'Faculties'!$B$10:$B$30,0))),"N/A")</f>
        <v/>
      </c>
      <c r="I35" s="52">
        <f>IFERROR(IF(INDEX('Faculties'!$L$37:$L$57,MATCH($F35,'Faculties'!$B$37:$B$57,0))="","Cell will autofill based on response",INDEX('Faculties'!$L$37:$L$57,MATCH($F35,'Faculties'!$B$37:$B$57,0))),"N/A")</f>
        <v/>
      </c>
      <c r="J35" s="52">
        <f>IFERROR(IF(INDEX('Faculties'!$L$64:$L$84,MATCH($F35,'Faculties'!$B$64:$B$84,0))="","Cell will autofill based on response",INDEX('Faculties'!$L$64:$L$84,MATCH($F35,'Faculties'!$B$64:$B$84,0))),"N/A")</f>
        <v/>
      </c>
      <c r="K35" s="52">
        <f>IFERROR(IF(INDEX('Faculties'!$L$91:$L$111,MATCH($F35,'Faculties'!$B$91:$B$111,0))="","Cell will autofill based on response",INDEX('Faculties'!$L$91:$L$111,MATCH($F35,'Faculties'!$B$91:$B$111,0))),"N/A")</f>
        <v/>
      </c>
      <c r="L35" s="52">
        <f>IFERROR(IF(INDEX('CI&amp;S'!$L$10:$L$15,MATCH($F35,'CI&amp;S'!$B$10:$B$15,0))="","Cell will autofill based on response",INDEX('CI&amp;S'!$L$10:$L$15,MATCH($F35,'CI&amp;S'!$B$10:$B$15,0))),"N/A")</f>
        <v/>
      </c>
      <c r="M35" s="52">
        <f>IFERROR(IF(INDEX('CI&amp;S'!$L$22:$L$39,MATCH($F35,'CI&amp;S'!$B$22:$B$39,0))="","Cell will autofill based on response",INDEX('CI&amp;S'!$L$22:$L$39,MATCH($F35,'CI&amp;S'!$B$22:$B$39,0))),"N/A")</f>
        <v/>
      </c>
      <c r="N35" s="52">
        <f>IFERROR(IF(INDEX('CFOG'!$L$10:$L$16,MATCH($F35,'CFOG'!$B$10:$B$16,0))="","Cell will autofill based on response",INDEX('CFOG'!$L$10:$L$16,MATCH($F35,'CFOG'!$B$10:$B$16,0))),"N/A")</f>
        <v/>
      </c>
      <c r="O35" s="52">
        <f>IFERROR(IF(INDEX('CFOG'!$L$23:$L$24,MATCH($F35,'CFOG'!$B$23:$B$24,0))="","Cell will autofill based on response",INDEX('CFOG'!$L$23:$L$24,MATCH($F35,'CFOG'!$B$23:$B$24,0))),"N/A")</f>
        <v/>
      </c>
      <c r="P35" s="52">
        <f>IFERROR(IF(INDEX('ESG'!$L$10:$L$17,MATCH($F35,'ESG'!$B$10:$B$17,0))="","Cell will autofill based on response",INDEX('ESG'!$L$10:$L$17,MATCH($F35,'ESG'!$B$10:$B$17,0))),"N/A")</f>
        <v/>
      </c>
      <c r="Q35" s="52">
        <f>IFERROR(IF(INDEX('CIOG'!$L$10:$L$14,MATCH($F35,'CIOG'!$B$10:$B$14,0))="","Cell will autofill based on response",INDEX('CIOG'!$L$10:$L$14,MATCH($F35,'CIOG'!$B$10:$B$14,0))),"N/A")</f>
        <v/>
      </c>
      <c r="R35" s="52">
        <f>IFERROR(IF(INDEX('MRE'!$L$10:$L$12,MATCH($F35,'MRE'!$B$10:$B$12,0))="","Cell will autofill based on response",INDEX('MRE'!$L$10:$L$12,MATCH($F35,'MRE'!$B$10:$B$12,0))),"N/A")</f>
        <v/>
      </c>
      <c r="S35" s="52">
        <f>IFERROR(IF(INDEX('L&amp;R'!$L$10:$L$11,MATCH($F35,'L&amp;R'!$B$10:$B$11,0))="","Cell will autofill based on response",INDEX('L&amp;R'!$L$10:$L$11,MATCH($F35,'L&amp;R'!$B$10:$B$11,0))),"N/A")</f>
        <v/>
      </c>
      <c r="U35" s="10">
        <f>COUNTIF($H35:$S35,"Cell will autofill based on response")</f>
        <v/>
      </c>
      <c r="V35" s="10">
        <f>COUNTIF($H35:$S35,"Not yet started")</f>
        <v/>
      </c>
      <c r="W35" s="10">
        <f>COUNTIF($H35:$S35,"Not met")</f>
        <v/>
      </c>
      <c r="X35" s="10">
        <f>COUNTIF($H35:$S35,"Partially met")</f>
        <v/>
      </c>
      <c r="Y35" s="10">
        <f>COUNTIF($H35:$S35,"Met or exceeded")</f>
        <v/>
      </c>
      <c r="Z35" s="10">
        <f>3*Y35+2*X35+W35</f>
        <v/>
      </c>
      <c r="AA35" s="10">
        <f>Y35+X35+W35+V35</f>
        <v/>
      </c>
      <c r="AB35" s="53">
        <f>IF(AA35&gt;0,Z35/AA35,"No valid responses to date")</f>
        <v/>
      </c>
      <c r="AC35" s="10">
        <f>IF(ISNUMBER(AB35),INDEX(Lists!$G$2:$G$5,MATCH(ROUND(AB35,0),Lists!$H$2:$H$5,0)),"")</f>
        <v/>
      </c>
      <c r="AD35" s="54">
        <f>IF(AA35&gt;0,Y35/AA35,"")</f>
        <v/>
      </c>
      <c r="AE35" s="54">
        <f>IF(AA35&gt;0,(Y35+X35)/AA35,"")</f>
        <v/>
      </c>
      <c r="AF35" s="10">
        <f>IF(AA35=0,"",IF(AD35&gt;0.75,"Met or exceeded",IF(AE35&gt;=0.5,"Partially met","Not met")))</f>
        <v/>
      </c>
    </row>
    <row r="36">
      <c r="A36">
        <f>F36&amp;"|"&amp;G36</f>
        <v/>
      </c>
      <c r="B36" s="13" t="inlineStr"/>
      <c r="C36" s="8" t="inlineStr"/>
      <c r="D36" s="8" t="inlineStr"/>
      <c r="E36" s="8" t="inlineStr"/>
      <c r="F36" s="8" t="inlineStr">
        <is>
          <t>TR1(a)</t>
        </is>
      </c>
      <c r="G36" s="8" t="inlineStr">
        <is>
          <t>OPTION 1:  Target-level reporting</t>
        </is>
      </c>
      <c r="H36" s="52">
        <f>IFERROR(IF(INDEX('Faculties'!$M$10:$M$30,MATCH($F36,'Faculties'!$B$10:$B$30,0))="","Cell will autofill based on response",INDEX('Faculties'!$M$10:$M$30,MATCH($F36,'Faculties'!$B$10:$B$30,0))),"N/A")</f>
        <v/>
      </c>
      <c r="I36" s="52">
        <f>IFERROR(IF(INDEX('Faculties'!$M$37:$M$57,MATCH($F36,'Faculties'!$B$37:$B$57,0))="","Cell will autofill based on response",INDEX('Faculties'!$M$37:$M$57,MATCH($F36,'Faculties'!$B$37:$B$57,0))),"N/A")</f>
        <v/>
      </c>
      <c r="J36" s="52">
        <f>IFERROR(IF(INDEX('Faculties'!$M$64:$M$84,MATCH($F36,'Faculties'!$B$64:$B$84,0))="","Cell will autofill based on response",INDEX('Faculties'!$M$64:$M$84,MATCH($F36,'Faculties'!$B$64:$B$84,0))),"N/A")</f>
        <v/>
      </c>
      <c r="K36" s="52">
        <f>IFERROR(IF(INDEX('Faculties'!$M$91:$M$111,MATCH($F36,'Faculties'!$B$91:$B$111,0))="","Cell will autofill based on response",INDEX('Faculties'!$M$91:$M$111,MATCH($F36,'Faculties'!$B$91:$B$111,0))),"N/A")</f>
        <v/>
      </c>
      <c r="L36" s="52">
        <f>IFERROR(IF(INDEX('CI&amp;S'!$M$10:$M$15,MATCH($F36,'CI&amp;S'!$B$10:$B$15,0))="","Cell will autofill based on response",INDEX('CI&amp;S'!$M$10:$M$15,MATCH($F36,'CI&amp;S'!$B$10:$B$15,0))),"N/A")</f>
        <v/>
      </c>
      <c r="M36" s="52">
        <f>IFERROR(IF(INDEX('CI&amp;S'!$M$22:$M$39,MATCH($F36,'CI&amp;S'!$B$22:$B$39,0))="","Cell will autofill based on response",INDEX('CI&amp;S'!$M$22:$M$39,MATCH($F36,'CI&amp;S'!$B$22:$B$39,0))),"N/A")</f>
        <v/>
      </c>
      <c r="N36" s="52">
        <f>IFERROR(IF(INDEX('CFOG'!$M$10:$M$16,MATCH($F36,'CFOG'!$B$10:$B$16,0))="","Cell will autofill based on response",INDEX('CFOG'!$M$10:$M$16,MATCH($F36,'CFOG'!$B$10:$B$16,0))),"N/A")</f>
        <v/>
      </c>
      <c r="O36" s="52">
        <f>IFERROR(IF(INDEX('CFOG'!$M$23:$M$24,MATCH($F36,'CFOG'!$B$23:$B$24,0))="","Cell will autofill based on response",INDEX('CFOG'!$M$23:$M$24,MATCH($F36,'CFOG'!$B$23:$B$24,0))),"N/A")</f>
        <v/>
      </c>
      <c r="P36" s="52">
        <f>IFERROR(IF(INDEX('ESG'!$M$10:$M$17,MATCH($F36,'ESG'!$B$10:$B$17,0))="","Cell will autofill based on response",INDEX('ESG'!$M$10:$M$17,MATCH($F36,'ESG'!$B$10:$B$17,0))),"N/A")</f>
        <v/>
      </c>
      <c r="Q36" s="52">
        <f>IFERROR(IF(INDEX('CIOG'!$M$10:$M$14,MATCH($F36,'CIOG'!$B$10:$B$14,0))="","Cell will autofill based on response",INDEX('CIOG'!$M$10:$M$14,MATCH($F36,'CIOG'!$B$10:$B$14,0))),"N/A")</f>
        <v/>
      </c>
      <c r="R36" s="52">
        <f>IFERROR(IF(INDEX('MRE'!$M$10:$M$12,MATCH($F36,'MRE'!$B$10:$B$12,0))="","Cell will autofill based on response",INDEX('MRE'!$M$10:$M$12,MATCH($F36,'MRE'!$B$10:$B$12,0))),"N/A")</f>
        <v/>
      </c>
      <c r="S36" s="52">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2">
        <f>IFERROR(IF(INDEX('Faculties'!$N$10:$N$30,MATCH($F37,'Faculties'!$B$10:$B$30,0))="","Cell will autofill based on response",INDEX('Faculties'!$N$10:$N$30,MATCH($F37,'Faculties'!$B$10:$B$30,0))),"N/A")</f>
        <v/>
      </c>
      <c r="I37" s="52">
        <f>IFERROR(IF(INDEX('Faculties'!$N$37:$N$57,MATCH($F37,'Faculties'!$B$37:$B$57,0))="","Cell will autofill based on response",INDEX('Faculties'!$N$37:$N$57,MATCH($F37,'Faculties'!$B$37:$B$57,0))),"N/A")</f>
        <v/>
      </c>
      <c r="J37" s="52">
        <f>IFERROR(IF(INDEX('Faculties'!$N$64:$N$84,MATCH($F37,'Faculties'!$B$64:$B$84,0))="","Cell will autofill based on response",INDEX('Faculties'!$N$64:$N$84,MATCH($F37,'Faculties'!$B$64:$B$84,0))),"N/A")</f>
        <v/>
      </c>
      <c r="K37" s="52">
        <f>IFERROR(IF(INDEX('Faculties'!$N$91:$N$111,MATCH($F37,'Faculties'!$B$91:$B$111,0))="","Cell will autofill based on response",INDEX('Faculties'!$N$91:$N$111,MATCH($F37,'Faculties'!$B$91:$B$111,0))),"N/A")</f>
        <v/>
      </c>
      <c r="L37" s="52">
        <f>IFERROR(IF(INDEX('CI&amp;S'!$N$10:$N$15,MATCH($F37,'CI&amp;S'!$B$10:$B$15,0))="","Cell will autofill based on response",INDEX('CI&amp;S'!$N$10:$N$15,MATCH($F37,'CI&amp;S'!$B$10:$B$15,0))),"N/A")</f>
        <v/>
      </c>
      <c r="M37" s="52">
        <f>IFERROR(IF(INDEX('CI&amp;S'!$N$22:$N$39,MATCH($F37,'CI&amp;S'!$B$22:$B$39,0))="","Cell will autofill based on response",INDEX('CI&amp;S'!$N$22:$N$39,MATCH($F37,'CI&amp;S'!$B$22:$B$39,0))),"N/A")</f>
        <v/>
      </c>
      <c r="N37" s="52">
        <f>IFERROR(IF(INDEX('CFOG'!$N$10:$N$16,MATCH($F37,'CFOG'!$B$10:$B$16,0))="","Cell will autofill based on response",INDEX('CFOG'!$N$10:$N$16,MATCH($F37,'CFOG'!$B$10:$B$16,0))),"N/A")</f>
        <v/>
      </c>
      <c r="O37" s="52">
        <f>IFERROR(IF(INDEX('CFOG'!$N$23:$N$24,MATCH($F37,'CFOG'!$B$23:$B$24,0))="","Cell will autofill based on response",INDEX('CFOG'!$N$23:$N$24,MATCH($F37,'CFOG'!$B$23:$B$24,0))),"N/A")</f>
        <v/>
      </c>
      <c r="P37" s="52">
        <f>IFERROR(IF(INDEX('ESG'!$N$10:$N$17,MATCH($F37,'ESG'!$B$10:$B$17,0))="","Cell will autofill based on response",INDEX('ESG'!$N$10:$N$17,MATCH($F37,'ESG'!$B$10:$B$17,0))),"N/A")</f>
        <v/>
      </c>
      <c r="Q37" s="52">
        <f>IFERROR(IF(INDEX('CIOG'!$N$10:$N$14,MATCH($F37,'CIOG'!$B$10:$B$14,0))="","Cell will autofill based on response",INDEX('CIOG'!$N$10:$N$14,MATCH($F37,'CIOG'!$B$10:$B$14,0))),"N/A")</f>
        <v/>
      </c>
      <c r="R37" s="52">
        <f>IFERROR(IF(INDEX('MRE'!$N$10:$N$12,MATCH($F37,'MRE'!$B$10:$B$12,0))="","Cell will autofill based on response",INDEX('MRE'!$N$10:$N$12,MATCH($F37,'MRE'!$B$10:$B$12,0))),"N/A")</f>
        <v/>
      </c>
      <c r="S37" s="52">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2">
        <f>IFERROR(IF(INDEX('Faculties'!$O$10:$O$30,MATCH($F38,'Faculties'!$B$10:$B$30,0))="","Cell will autofill based on response",INDEX('Faculties'!$O$10:$O$30,MATCH($F38,'Faculties'!$B$10:$B$30,0))),"N/A")</f>
        <v/>
      </c>
      <c r="I38" s="52">
        <f>IFERROR(IF(INDEX('Faculties'!$O$37:$O$57,MATCH($F38,'Faculties'!$B$37:$B$57,0))="","Cell will autofill based on response",INDEX('Faculties'!$O$37:$O$57,MATCH($F38,'Faculties'!$B$37:$B$57,0))),"N/A")</f>
        <v/>
      </c>
      <c r="J38" s="52">
        <f>IFERROR(IF(INDEX('Faculties'!$O$64:$O$84,MATCH($F38,'Faculties'!$B$64:$B$84,0))="","Cell will autofill based on response",INDEX('Faculties'!$O$64:$O$84,MATCH($F38,'Faculties'!$B$64:$B$84,0))),"N/A")</f>
        <v/>
      </c>
      <c r="K38" s="52">
        <f>IFERROR(IF(INDEX('Faculties'!$O$91:$O$111,MATCH($F38,'Faculties'!$B$91:$B$111,0))="","Cell will autofill based on response",INDEX('Faculties'!$O$91:$O$111,MATCH($F38,'Faculties'!$B$91:$B$111,0))),"N/A")</f>
        <v/>
      </c>
      <c r="L38" s="52">
        <f>IFERROR(IF(INDEX('CI&amp;S'!$O$10:$O$15,MATCH($F38,'CI&amp;S'!$B$10:$B$15,0))="","Cell will autofill based on response",INDEX('CI&amp;S'!$O$10:$O$15,MATCH($F38,'CI&amp;S'!$B$10:$B$15,0))),"N/A")</f>
        <v/>
      </c>
      <c r="M38" s="52">
        <f>IFERROR(IF(INDEX('CI&amp;S'!$O$22:$O$39,MATCH($F38,'CI&amp;S'!$B$22:$B$39,0))="","Cell will autofill based on response",INDEX('CI&amp;S'!$O$22:$O$39,MATCH($F38,'CI&amp;S'!$B$22:$B$39,0))),"N/A")</f>
        <v/>
      </c>
      <c r="N38" s="52">
        <f>IFERROR(IF(INDEX('CFOG'!$O$10:$O$16,MATCH($F38,'CFOG'!$B$10:$B$16,0))="","Cell will autofill based on response",INDEX('CFOG'!$O$10:$O$16,MATCH($F38,'CFOG'!$B$10:$B$16,0))),"N/A")</f>
        <v/>
      </c>
      <c r="O38" s="52">
        <f>IFERROR(IF(INDEX('CFOG'!$O$23:$O$24,MATCH($F38,'CFOG'!$B$23:$B$24,0))="","Cell will autofill based on response",INDEX('CFOG'!$O$23:$O$24,MATCH($F38,'CFOG'!$B$23:$B$24,0))),"N/A")</f>
        <v/>
      </c>
      <c r="P38" s="52">
        <f>IFERROR(IF(INDEX('ESG'!$O$10:$O$17,MATCH($F38,'ESG'!$B$10:$B$17,0))="","Cell will autofill based on response",INDEX('ESG'!$O$10:$O$17,MATCH($F38,'ESG'!$B$10:$B$17,0))),"N/A")</f>
        <v/>
      </c>
      <c r="Q38" s="52">
        <f>IFERROR(IF(INDEX('CIOG'!$O$10:$O$14,MATCH($F38,'CIOG'!$B$10:$B$14,0))="","Cell will autofill based on response",INDEX('CIOG'!$O$10:$O$14,MATCH($F38,'CIOG'!$B$10:$B$14,0))),"N/A")</f>
        <v/>
      </c>
      <c r="R38" s="52">
        <f>IFERROR(IF(INDEX('MRE'!$O$10:$O$12,MATCH($F38,'MRE'!$B$10:$B$12,0))="","Cell will autofill based on response",INDEX('MRE'!$O$10:$O$12,MATCH($F38,'MRE'!$B$10:$B$12,0))),"N/A")</f>
        <v/>
      </c>
      <c r="S38" s="52">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2">
        <f>IFERROR(IF(INDEX('Faculties'!$P$10:$P$30,MATCH($F39,'Faculties'!$B$10:$B$30,0))="","Cell will autofill based on response",INDEX('Faculties'!$P$10:$P$30,MATCH($F39,'Faculties'!$B$10:$B$30,0))),"N/A")</f>
        <v/>
      </c>
      <c r="I39" s="52">
        <f>IFERROR(IF(INDEX('Faculties'!$P$37:$P$57,MATCH($F39,'Faculties'!$B$37:$B$57,0))="","Cell will autofill based on response",INDEX('Faculties'!$P$37:$P$57,MATCH($F39,'Faculties'!$B$37:$B$57,0))),"N/A")</f>
        <v/>
      </c>
      <c r="J39" s="52">
        <f>IFERROR(IF(INDEX('Faculties'!$P$64:$P$84,MATCH($F39,'Faculties'!$B$64:$B$84,0))="","Cell will autofill based on response",INDEX('Faculties'!$P$64:$P$84,MATCH($F39,'Faculties'!$B$64:$B$84,0))),"N/A")</f>
        <v/>
      </c>
      <c r="K39" s="52">
        <f>IFERROR(IF(INDEX('Faculties'!$P$91:$P$111,MATCH($F39,'Faculties'!$B$91:$B$111,0))="","Cell will autofill based on response",INDEX('Faculties'!$P$91:$P$111,MATCH($F39,'Faculties'!$B$91:$B$111,0))),"N/A")</f>
        <v/>
      </c>
      <c r="L39" s="52">
        <f>IFERROR(IF(INDEX('CI&amp;S'!$P$10:$P$15,MATCH($F39,'CI&amp;S'!$B$10:$B$15,0))="","Cell will autofill based on response",INDEX('CI&amp;S'!$P$10:$P$15,MATCH($F39,'CI&amp;S'!$B$10:$B$15,0))),"N/A")</f>
        <v/>
      </c>
      <c r="M39" s="52">
        <f>IFERROR(IF(INDEX('CI&amp;S'!$P$22:$P$39,MATCH($F39,'CI&amp;S'!$B$22:$B$39,0))="","Cell will autofill based on response",INDEX('CI&amp;S'!$P$22:$P$39,MATCH($F39,'CI&amp;S'!$B$22:$B$39,0))),"N/A")</f>
        <v/>
      </c>
      <c r="N39" s="52">
        <f>IFERROR(IF(INDEX('CFOG'!$P$10:$P$16,MATCH($F39,'CFOG'!$B$10:$B$16,0))="","Cell will autofill based on response",INDEX('CFOG'!$P$10:$P$16,MATCH($F39,'CFOG'!$B$10:$B$16,0))),"N/A")</f>
        <v/>
      </c>
      <c r="O39" s="52">
        <f>IFERROR(IF(INDEX('CFOG'!$P$23:$P$24,MATCH($F39,'CFOG'!$B$23:$B$24,0))="","Cell will autofill based on response",INDEX('CFOG'!$P$23:$P$24,MATCH($F39,'CFOG'!$B$23:$B$24,0))),"N/A")</f>
        <v/>
      </c>
      <c r="P39" s="52">
        <f>IFERROR(IF(INDEX('ESG'!$P$10:$P$17,MATCH($F39,'ESG'!$B$10:$B$17,0))="","Cell will autofill based on response",INDEX('ESG'!$P$10:$P$17,MATCH($F39,'ESG'!$B$10:$B$17,0))),"N/A")</f>
        <v/>
      </c>
      <c r="Q39" s="52">
        <f>IFERROR(IF(INDEX('CIOG'!$P$10:$P$14,MATCH($F39,'CIOG'!$B$10:$B$14,0))="","Cell will autofill based on response",INDEX('CIOG'!$P$10:$P$14,MATCH($F39,'CIOG'!$B$10:$B$14,0))),"N/A")</f>
        <v/>
      </c>
      <c r="R39" s="52">
        <f>IFERROR(IF(INDEX('MRE'!$P$10:$P$12,MATCH($F39,'MRE'!$B$10:$B$12,0))="","Cell will autofill based on response",INDEX('MRE'!$P$10:$P$12,MATCH($F39,'MRE'!$B$10:$B$12,0))),"N/A")</f>
        <v/>
      </c>
      <c r="S39" s="52">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2">
        <f>IFERROR(IF(INDEX('Faculties'!$Q$10:$Q$30,MATCH($F40,'Faculties'!$B$10:$B$30,0))="","Cell will autofill based on response",INDEX('Faculties'!$Q$10:$Q$30,MATCH($F40,'Faculties'!$B$10:$B$30,0))),"N/A")</f>
        <v/>
      </c>
      <c r="I40" s="52">
        <f>IFERROR(IF(INDEX('Faculties'!$Q$37:$Q$57,MATCH($F40,'Faculties'!$B$37:$B$57,0))="","Cell will autofill based on response",INDEX('Faculties'!$Q$37:$Q$57,MATCH($F40,'Faculties'!$B$37:$B$57,0))),"N/A")</f>
        <v/>
      </c>
      <c r="J40" s="52">
        <f>IFERROR(IF(INDEX('Faculties'!$Q$64:$Q$84,MATCH($F40,'Faculties'!$B$64:$B$84,0))="","Cell will autofill based on response",INDEX('Faculties'!$Q$64:$Q$84,MATCH($F40,'Faculties'!$B$64:$B$84,0))),"N/A")</f>
        <v/>
      </c>
      <c r="K40" s="52">
        <f>IFERROR(IF(INDEX('Faculties'!$Q$91:$Q$111,MATCH($F40,'Faculties'!$B$91:$B$111,0))="","Cell will autofill based on response",INDEX('Faculties'!$Q$91:$Q$111,MATCH($F40,'Faculties'!$B$91:$B$111,0))),"N/A")</f>
        <v/>
      </c>
      <c r="L40" s="52">
        <f>IFERROR(IF(INDEX('CI&amp;S'!$Q$10:$Q$15,MATCH($F40,'CI&amp;S'!$B$10:$B$15,0))="","Cell will autofill based on response",INDEX('CI&amp;S'!$Q$10:$Q$15,MATCH($F40,'CI&amp;S'!$B$10:$B$15,0))),"N/A")</f>
        <v/>
      </c>
      <c r="M40" s="52">
        <f>IFERROR(IF(INDEX('CI&amp;S'!$Q$22:$Q$39,MATCH($F40,'CI&amp;S'!$B$22:$B$39,0))="","Cell will autofill based on response",INDEX('CI&amp;S'!$Q$22:$Q$39,MATCH($F40,'CI&amp;S'!$B$22:$B$39,0))),"N/A")</f>
        <v/>
      </c>
      <c r="N40" s="52">
        <f>IFERROR(IF(INDEX('CFOG'!$Q$10:$Q$16,MATCH($F40,'CFOG'!$B$10:$B$16,0))="","Cell will autofill based on response",INDEX('CFOG'!$Q$10:$Q$16,MATCH($F40,'CFOG'!$B$10:$B$16,0))),"N/A")</f>
        <v/>
      </c>
      <c r="O40" s="52">
        <f>IFERROR(IF(INDEX('CFOG'!$Q$23:$Q$24,MATCH($F40,'CFOG'!$B$23:$B$24,0))="","Cell will autofill based on response",INDEX('CFOG'!$Q$23:$Q$24,MATCH($F40,'CFOG'!$B$23:$B$24,0))),"N/A")</f>
        <v/>
      </c>
      <c r="P40" s="52">
        <f>IFERROR(IF(INDEX('ESG'!$Q$10:$Q$17,MATCH($F40,'ESG'!$B$10:$B$17,0))="","Cell will autofill based on response",INDEX('ESG'!$Q$10:$Q$17,MATCH($F40,'ESG'!$B$10:$B$17,0))),"N/A")</f>
        <v/>
      </c>
      <c r="Q40" s="52">
        <f>IFERROR(IF(INDEX('CIOG'!$Q$10:$Q$14,MATCH($F40,'CIOG'!$B$10:$B$14,0))="","Cell will autofill based on response",INDEX('CIOG'!$Q$10:$Q$14,MATCH($F40,'CIOG'!$B$10:$B$14,0))),"N/A")</f>
        <v/>
      </c>
      <c r="R40" s="52">
        <f>IFERROR(IF(INDEX('MRE'!$Q$10:$Q$12,MATCH($F40,'MRE'!$B$10:$B$12,0))="","Cell will autofill based on response",INDEX('MRE'!$Q$10:$Q$12,MATCH($F40,'MRE'!$B$10:$B$12,0))),"N/A")</f>
        <v/>
      </c>
      <c r="S40" s="52">
        <f>IFERROR(IF(INDEX('L&amp;R'!$Q$10:$Q$11,MATCH($F40,'L&amp;R'!$B$10:$B$11,0))="","Cell will autofill based on response",INDEX('L&amp;R'!$Q$10:$Q$11,MATCH($F40,'L&amp;R'!$B$10:$B$11,0))),"N/A")</f>
        <v/>
      </c>
    </row>
    <row r="41">
      <c r="A41">
        <f>F41&amp;"|"&amp;G41</f>
        <v/>
      </c>
      <c r="B41" s="7" t="inlineStr">
        <is>
          <t>TR1(b)</t>
        </is>
      </c>
      <c r="C41" s="50" t="inlineStr">
        <is>
          <t>Transformational research</t>
        </is>
      </c>
      <c r="D41" s="50" t="inlineStr">
        <is>
          <t>Evidence of institutional pathways that enable ongoing collaboration between academic and professional staff</t>
        </is>
      </c>
      <c r="E41" s="50"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0" t="inlineStr">
        <is>
          <t>TR1(b)</t>
        </is>
      </c>
      <c r="G41" s="50" t="inlineStr">
        <is>
          <t>Confirm end-2026 target status</t>
        </is>
      </c>
      <c r="H41" s="52">
        <f>IFERROR(IF(INDEX('Faculties'!$L$10:$L$30,MATCH($F41,'Faculties'!$B$10:$B$30,0))="","Cell will autofill based on response",INDEX('Faculties'!$L$10:$L$30,MATCH($F41,'Faculties'!$B$10:$B$30,0))),"N/A")</f>
        <v/>
      </c>
      <c r="I41" s="52">
        <f>IFERROR(IF(INDEX('Faculties'!$L$37:$L$57,MATCH($F41,'Faculties'!$B$37:$B$57,0))="","Cell will autofill based on response",INDEX('Faculties'!$L$37:$L$57,MATCH($F41,'Faculties'!$B$37:$B$57,0))),"N/A")</f>
        <v/>
      </c>
      <c r="J41" s="52">
        <f>IFERROR(IF(INDEX('Faculties'!$L$64:$L$84,MATCH($F41,'Faculties'!$B$64:$B$84,0))="","Cell will autofill based on response",INDEX('Faculties'!$L$64:$L$84,MATCH($F41,'Faculties'!$B$64:$B$84,0))),"N/A")</f>
        <v/>
      </c>
      <c r="K41" s="52">
        <f>IFERROR(IF(INDEX('Faculties'!$L$91:$L$111,MATCH($F41,'Faculties'!$B$91:$B$111,0))="","Cell will autofill based on response",INDEX('Faculties'!$L$91:$L$111,MATCH($F41,'Faculties'!$B$91:$B$111,0))),"N/A")</f>
        <v/>
      </c>
      <c r="L41" s="52">
        <f>IFERROR(IF(INDEX('CI&amp;S'!$L$10:$L$15,MATCH($F41,'CI&amp;S'!$B$10:$B$15,0))="","Cell will autofill based on response",INDEX('CI&amp;S'!$L$10:$L$15,MATCH($F41,'CI&amp;S'!$B$10:$B$15,0))),"N/A")</f>
        <v/>
      </c>
      <c r="M41" s="52">
        <f>IFERROR(IF(INDEX('CI&amp;S'!$L$22:$L$39,MATCH($F41,'CI&amp;S'!$B$22:$B$39,0))="","Cell will autofill based on response",INDEX('CI&amp;S'!$L$22:$L$39,MATCH($F41,'CI&amp;S'!$B$22:$B$39,0))),"N/A")</f>
        <v/>
      </c>
      <c r="N41" s="52">
        <f>IFERROR(IF(INDEX('CFOG'!$L$10:$L$16,MATCH($F41,'CFOG'!$B$10:$B$16,0))="","Cell will autofill based on response",INDEX('CFOG'!$L$10:$L$16,MATCH($F41,'CFOG'!$B$10:$B$16,0))),"N/A")</f>
        <v/>
      </c>
      <c r="O41" s="52">
        <f>IFERROR(IF(INDEX('CFOG'!$L$23:$L$24,MATCH($F41,'CFOG'!$B$23:$B$24,0))="","Cell will autofill based on response",INDEX('CFOG'!$L$23:$L$24,MATCH($F41,'CFOG'!$B$23:$B$24,0))),"N/A")</f>
        <v/>
      </c>
      <c r="P41" s="52">
        <f>IFERROR(IF(INDEX('ESG'!$L$10:$L$17,MATCH($F41,'ESG'!$B$10:$B$17,0))="","Cell will autofill based on response",INDEX('ESG'!$L$10:$L$17,MATCH($F41,'ESG'!$B$10:$B$17,0))),"N/A")</f>
        <v/>
      </c>
      <c r="Q41" s="52">
        <f>IFERROR(IF(INDEX('CIOG'!$L$10:$L$14,MATCH($F41,'CIOG'!$B$10:$B$14,0))="","Cell will autofill based on response",INDEX('CIOG'!$L$10:$L$14,MATCH($F41,'CIOG'!$B$10:$B$14,0))),"N/A")</f>
        <v/>
      </c>
      <c r="R41" s="52">
        <f>IFERROR(IF(INDEX('MRE'!$L$10:$L$12,MATCH($F41,'MRE'!$B$10:$B$12,0))="","Cell will autofill based on response",INDEX('MRE'!$L$10:$L$12,MATCH($F41,'MRE'!$B$10:$B$12,0))),"N/A")</f>
        <v/>
      </c>
      <c r="S41" s="52">
        <f>IFERROR(IF(INDEX('L&amp;R'!$L$10:$L$11,MATCH($F41,'L&amp;R'!$B$10:$B$11,0))="","Cell will autofill based on response",INDEX('L&amp;R'!$L$10:$L$11,MATCH($F41,'L&amp;R'!$B$10:$B$11,0))),"N/A")</f>
        <v/>
      </c>
      <c r="U41" s="10">
        <f>COUNTIF($H41:$S41,"Cell will autofill based on response")</f>
        <v/>
      </c>
      <c r="V41" s="10">
        <f>COUNTIF($H41:$S41,"Not yet started")</f>
        <v/>
      </c>
      <c r="W41" s="10">
        <f>COUNTIF($H41:$S41,"Not met")</f>
        <v/>
      </c>
      <c r="X41" s="10">
        <f>COUNTIF($H41:$S41,"Partially met")</f>
        <v/>
      </c>
      <c r="Y41" s="10">
        <f>COUNTIF($H41:$S41,"Met or exceeded")</f>
        <v/>
      </c>
      <c r="Z41" s="10">
        <f>3*Y41+2*X41+W41</f>
        <v/>
      </c>
      <c r="AA41" s="10">
        <f>Y41+X41+W41+V41</f>
        <v/>
      </c>
      <c r="AB41" s="53">
        <f>IF(AA41&gt;0,Z41/AA41,"No valid responses to date")</f>
        <v/>
      </c>
      <c r="AC41" s="10">
        <f>IF(ISNUMBER(AB41),INDEX(Lists!$G$2:$G$5,MATCH(ROUND(AB41,0),Lists!$H$2:$H$5,0)),"")</f>
        <v/>
      </c>
      <c r="AD41" s="54">
        <f>IF(AA41&gt;0,Y41/AA41,"")</f>
        <v/>
      </c>
      <c r="AE41" s="54">
        <f>IF(AA41&gt;0,(Y41+X41)/AA41,"")</f>
        <v/>
      </c>
      <c r="AF41" s="10">
        <f>IF(AA41=0,"",IF(AD41&gt;0.75,"Met or exceeded",IF(AE41&gt;=0.5,"Partially met","Not met")))</f>
        <v/>
      </c>
    </row>
    <row r="42">
      <c r="A42">
        <f>F42&amp;"|"&amp;G42</f>
        <v/>
      </c>
      <c r="B42" s="13" t="inlineStr"/>
      <c r="C42" s="8" t="inlineStr"/>
      <c r="D42" s="8" t="inlineStr"/>
      <c r="E42" s="8" t="inlineStr"/>
      <c r="F42" s="8" t="inlineStr">
        <is>
          <t>TR1(b)</t>
        </is>
      </c>
      <c r="G42" s="8" t="inlineStr">
        <is>
          <t>OPTION 1:  Target-level reporting</t>
        </is>
      </c>
      <c r="H42" s="52">
        <f>IFERROR(IF(INDEX('Faculties'!$M$10:$M$30,MATCH($F42,'Faculties'!$B$10:$B$30,0))="","Cell will autofill based on response",INDEX('Faculties'!$M$10:$M$30,MATCH($F42,'Faculties'!$B$10:$B$30,0))),"N/A")</f>
        <v/>
      </c>
      <c r="I42" s="52">
        <f>IFERROR(IF(INDEX('Faculties'!$M$37:$M$57,MATCH($F42,'Faculties'!$B$37:$B$57,0))="","Cell will autofill based on response",INDEX('Faculties'!$M$37:$M$57,MATCH($F42,'Faculties'!$B$37:$B$57,0))),"N/A")</f>
        <v/>
      </c>
      <c r="J42" s="52">
        <f>IFERROR(IF(INDEX('Faculties'!$M$64:$M$84,MATCH($F42,'Faculties'!$B$64:$B$84,0))="","Cell will autofill based on response",INDEX('Faculties'!$M$64:$M$84,MATCH($F42,'Faculties'!$B$64:$B$84,0))),"N/A")</f>
        <v/>
      </c>
      <c r="K42" s="52">
        <f>IFERROR(IF(INDEX('Faculties'!$M$91:$M$111,MATCH($F42,'Faculties'!$B$91:$B$111,0))="","Cell will autofill based on response",INDEX('Faculties'!$M$91:$M$111,MATCH($F42,'Faculties'!$B$91:$B$111,0))),"N/A")</f>
        <v/>
      </c>
      <c r="L42" s="52">
        <f>IFERROR(IF(INDEX('CI&amp;S'!$M$10:$M$15,MATCH($F42,'CI&amp;S'!$B$10:$B$15,0))="","Cell will autofill based on response",INDEX('CI&amp;S'!$M$10:$M$15,MATCH($F42,'CI&amp;S'!$B$10:$B$15,0))),"N/A")</f>
        <v/>
      </c>
      <c r="M42" s="52">
        <f>IFERROR(IF(INDEX('CI&amp;S'!$M$22:$M$39,MATCH($F42,'CI&amp;S'!$B$22:$B$39,0))="","Cell will autofill based on response",INDEX('CI&amp;S'!$M$22:$M$39,MATCH($F42,'CI&amp;S'!$B$22:$B$39,0))),"N/A")</f>
        <v/>
      </c>
      <c r="N42" s="52">
        <f>IFERROR(IF(INDEX('CFOG'!$M$10:$M$16,MATCH($F42,'CFOG'!$B$10:$B$16,0))="","Cell will autofill based on response",INDEX('CFOG'!$M$10:$M$16,MATCH($F42,'CFOG'!$B$10:$B$16,0))),"N/A")</f>
        <v/>
      </c>
      <c r="O42" s="52">
        <f>IFERROR(IF(INDEX('CFOG'!$M$23:$M$24,MATCH($F42,'CFOG'!$B$23:$B$24,0))="","Cell will autofill based on response",INDEX('CFOG'!$M$23:$M$24,MATCH($F42,'CFOG'!$B$23:$B$24,0))),"N/A")</f>
        <v/>
      </c>
      <c r="P42" s="52">
        <f>IFERROR(IF(INDEX('ESG'!$M$10:$M$17,MATCH($F42,'ESG'!$B$10:$B$17,0))="","Cell will autofill based on response",INDEX('ESG'!$M$10:$M$17,MATCH($F42,'ESG'!$B$10:$B$17,0))),"N/A")</f>
        <v/>
      </c>
      <c r="Q42" s="52">
        <f>IFERROR(IF(INDEX('CIOG'!$M$10:$M$14,MATCH($F42,'CIOG'!$B$10:$B$14,0))="","Cell will autofill based on response",INDEX('CIOG'!$M$10:$M$14,MATCH($F42,'CIOG'!$B$10:$B$14,0))),"N/A")</f>
        <v/>
      </c>
      <c r="R42" s="52">
        <f>IFERROR(IF(INDEX('MRE'!$M$10:$M$12,MATCH($F42,'MRE'!$B$10:$B$12,0))="","Cell will autofill based on response",INDEX('MRE'!$M$10:$M$12,MATCH($F42,'MRE'!$B$10:$B$12,0))),"N/A")</f>
        <v/>
      </c>
      <c r="S42" s="52">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2">
        <f>IFERROR(IF(INDEX('Faculties'!$N$10:$N$30,MATCH($F43,'Faculties'!$B$10:$B$30,0))="","Cell will autofill based on response",INDEX('Faculties'!$N$10:$N$30,MATCH($F43,'Faculties'!$B$10:$B$30,0))),"N/A")</f>
        <v/>
      </c>
      <c r="I43" s="52">
        <f>IFERROR(IF(INDEX('Faculties'!$N$37:$N$57,MATCH($F43,'Faculties'!$B$37:$B$57,0))="","Cell will autofill based on response",INDEX('Faculties'!$N$37:$N$57,MATCH($F43,'Faculties'!$B$37:$B$57,0))),"N/A")</f>
        <v/>
      </c>
      <c r="J43" s="52">
        <f>IFERROR(IF(INDEX('Faculties'!$N$64:$N$84,MATCH($F43,'Faculties'!$B$64:$B$84,0))="","Cell will autofill based on response",INDEX('Faculties'!$N$64:$N$84,MATCH($F43,'Faculties'!$B$64:$B$84,0))),"N/A")</f>
        <v/>
      </c>
      <c r="K43" s="52">
        <f>IFERROR(IF(INDEX('Faculties'!$N$91:$N$111,MATCH($F43,'Faculties'!$B$91:$B$111,0))="","Cell will autofill based on response",INDEX('Faculties'!$N$91:$N$111,MATCH($F43,'Faculties'!$B$91:$B$111,0))),"N/A")</f>
        <v/>
      </c>
      <c r="L43" s="52">
        <f>IFERROR(IF(INDEX('CI&amp;S'!$N$10:$N$15,MATCH($F43,'CI&amp;S'!$B$10:$B$15,0))="","Cell will autofill based on response",INDEX('CI&amp;S'!$N$10:$N$15,MATCH($F43,'CI&amp;S'!$B$10:$B$15,0))),"N/A")</f>
        <v/>
      </c>
      <c r="M43" s="52">
        <f>IFERROR(IF(INDEX('CI&amp;S'!$N$22:$N$39,MATCH($F43,'CI&amp;S'!$B$22:$B$39,0))="","Cell will autofill based on response",INDEX('CI&amp;S'!$N$22:$N$39,MATCH($F43,'CI&amp;S'!$B$22:$B$39,0))),"N/A")</f>
        <v/>
      </c>
      <c r="N43" s="52">
        <f>IFERROR(IF(INDEX('CFOG'!$N$10:$N$16,MATCH($F43,'CFOG'!$B$10:$B$16,0))="","Cell will autofill based on response",INDEX('CFOG'!$N$10:$N$16,MATCH($F43,'CFOG'!$B$10:$B$16,0))),"N/A")</f>
        <v/>
      </c>
      <c r="O43" s="52">
        <f>IFERROR(IF(INDEX('CFOG'!$N$23:$N$24,MATCH($F43,'CFOG'!$B$23:$B$24,0))="","Cell will autofill based on response",INDEX('CFOG'!$N$23:$N$24,MATCH($F43,'CFOG'!$B$23:$B$24,0))),"N/A")</f>
        <v/>
      </c>
      <c r="P43" s="52">
        <f>IFERROR(IF(INDEX('ESG'!$N$10:$N$17,MATCH($F43,'ESG'!$B$10:$B$17,0))="","Cell will autofill based on response",INDEX('ESG'!$N$10:$N$17,MATCH($F43,'ESG'!$B$10:$B$17,0))),"N/A")</f>
        <v/>
      </c>
      <c r="Q43" s="52">
        <f>IFERROR(IF(INDEX('CIOG'!$N$10:$N$14,MATCH($F43,'CIOG'!$B$10:$B$14,0))="","Cell will autofill based on response",INDEX('CIOG'!$N$10:$N$14,MATCH($F43,'CIOG'!$B$10:$B$14,0))),"N/A")</f>
        <v/>
      </c>
      <c r="R43" s="52">
        <f>IFERROR(IF(INDEX('MRE'!$N$10:$N$12,MATCH($F43,'MRE'!$B$10:$B$12,0))="","Cell will autofill based on response",INDEX('MRE'!$N$10:$N$12,MATCH($F43,'MRE'!$B$10:$B$12,0))),"N/A")</f>
        <v/>
      </c>
      <c r="S43" s="52">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2">
        <f>IFERROR(IF(INDEX('Faculties'!$O$10:$O$30,MATCH($F44,'Faculties'!$B$10:$B$30,0))="","Cell will autofill based on response",INDEX('Faculties'!$O$10:$O$30,MATCH($F44,'Faculties'!$B$10:$B$30,0))),"N/A")</f>
        <v/>
      </c>
      <c r="I44" s="52">
        <f>IFERROR(IF(INDEX('Faculties'!$O$37:$O$57,MATCH($F44,'Faculties'!$B$37:$B$57,0))="","Cell will autofill based on response",INDEX('Faculties'!$O$37:$O$57,MATCH($F44,'Faculties'!$B$37:$B$57,0))),"N/A")</f>
        <v/>
      </c>
      <c r="J44" s="52">
        <f>IFERROR(IF(INDEX('Faculties'!$O$64:$O$84,MATCH($F44,'Faculties'!$B$64:$B$84,0))="","Cell will autofill based on response",INDEX('Faculties'!$O$64:$O$84,MATCH($F44,'Faculties'!$B$64:$B$84,0))),"N/A")</f>
        <v/>
      </c>
      <c r="K44" s="52">
        <f>IFERROR(IF(INDEX('Faculties'!$O$91:$O$111,MATCH($F44,'Faculties'!$B$91:$B$111,0))="","Cell will autofill based on response",INDEX('Faculties'!$O$91:$O$111,MATCH($F44,'Faculties'!$B$91:$B$111,0))),"N/A")</f>
        <v/>
      </c>
      <c r="L44" s="52">
        <f>IFERROR(IF(INDEX('CI&amp;S'!$O$10:$O$15,MATCH($F44,'CI&amp;S'!$B$10:$B$15,0))="","Cell will autofill based on response",INDEX('CI&amp;S'!$O$10:$O$15,MATCH($F44,'CI&amp;S'!$B$10:$B$15,0))),"N/A")</f>
        <v/>
      </c>
      <c r="M44" s="52">
        <f>IFERROR(IF(INDEX('CI&amp;S'!$O$22:$O$39,MATCH($F44,'CI&amp;S'!$B$22:$B$39,0))="","Cell will autofill based on response",INDEX('CI&amp;S'!$O$22:$O$39,MATCH($F44,'CI&amp;S'!$B$22:$B$39,0))),"N/A")</f>
        <v/>
      </c>
      <c r="N44" s="52">
        <f>IFERROR(IF(INDEX('CFOG'!$O$10:$O$16,MATCH($F44,'CFOG'!$B$10:$B$16,0))="","Cell will autofill based on response",INDEX('CFOG'!$O$10:$O$16,MATCH($F44,'CFOG'!$B$10:$B$16,0))),"N/A")</f>
        <v/>
      </c>
      <c r="O44" s="52">
        <f>IFERROR(IF(INDEX('CFOG'!$O$23:$O$24,MATCH($F44,'CFOG'!$B$23:$B$24,0))="","Cell will autofill based on response",INDEX('CFOG'!$O$23:$O$24,MATCH($F44,'CFOG'!$B$23:$B$24,0))),"N/A")</f>
        <v/>
      </c>
      <c r="P44" s="52">
        <f>IFERROR(IF(INDEX('ESG'!$O$10:$O$17,MATCH($F44,'ESG'!$B$10:$B$17,0))="","Cell will autofill based on response",INDEX('ESG'!$O$10:$O$17,MATCH($F44,'ESG'!$B$10:$B$17,0))),"N/A")</f>
        <v/>
      </c>
      <c r="Q44" s="52">
        <f>IFERROR(IF(INDEX('CIOG'!$O$10:$O$14,MATCH($F44,'CIOG'!$B$10:$B$14,0))="","Cell will autofill based on response",INDEX('CIOG'!$O$10:$O$14,MATCH($F44,'CIOG'!$B$10:$B$14,0))),"N/A")</f>
        <v/>
      </c>
      <c r="R44" s="52">
        <f>IFERROR(IF(INDEX('MRE'!$O$10:$O$12,MATCH($F44,'MRE'!$B$10:$B$12,0))="","Cell will autofill based on response",INDEX('MRE'!$O$10:$O$12,MATCH($F44,'MRE'!$B$10:$B$12,0))),"N/A")</f>
        <v/>
      </c>
      <c r="S44" s="52">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2">
        <f>IFERROR(IF(INDEX('Faculties'!$P$10:$P$30,MATCH($F45,'Faculties'!$B$10:$B$30,0))="","Cell will autofill based on response",INDEX('Faculties'!$P$10:$P$30,MATCH($F45,'Faculties'!$B$10:$B$30,0))),"N/A")</f>
        <v/>
      </c>
      <c r="I45" s="52">
        <f>IFERROR(IF(INDEX('Faculties'!$P$37:$P$57,MATCH($F45,'Faculties'!$B$37:$B$57,0))="","Cell will autofill based on response",INDEX('Faculties'!$P$37:$P$57,MATCH($F45,'Faculties'!$B$37:$B$57,0))),"N/A")</f>
        <v/>
      </c>
      <c r="J45" s="52">
        <f>IFERROR(IF(INDEX('Faculties'!$P$64:$P$84,MATCH($F45,'Faculties'!$B$64:$B$84,0))="","Cell will autofill based on response",INDEX('Faculties'!$P$64:$P$84,MATCH($F45,'Faculties'!$B$64:$B$84,0))),"N/A")</f>
        <v/>
      </c>
      <c r="K45" s="52">
        <f>IFERROR(IF(INDEX('Faculties'!$P$91:$P$111,MATCH($F45,'Faculties'!$B$91:$B$111,0))="","Cell will autofill based on response",INDEX('Faculties'!$P$91:$P$111,MATCH($F45,'Faculties'!$B$91:$B$111,0))),"N/A")</f>
        <v/>
      </c>
      <c r="L45" s="52">
        <f>IFERROR(IF(INDEX('CI&amp;S'!$P$10:$P$15,MATCH($F45,'CI&amp;S'!$B$10:$B$15,0))="","Cell will autofill based on response",INDEX('CI&amp;S'!$P$10:$P$15,MATCH($F45,'CI&amp;S'!$B$10:$B$15,0))),"N/A")</f>
        <v/>
      </c>
      <c r="M45" s="52">
        <f>IFERROR(IF(INDEX('CI&amp;S'!$P$22:$P$39,MATCH($F45,'CI&amp;S'!$B$22:$B$39,0))="","Cell will autofill based on response",INDEX('CI&amp;S'!$P$22:$P$39,MATCH($F45,'CI&amp;S'!$B$22:$B$39,0))),"N/A")</f>
        <v/>
      </c>
      <c r="N45" s="52">
        <f>IFERROR(IF(INDEX('CFOG'!$P$10:$P$16,MATCH($F45,'CFOG'!$B$10:$B$16,0))="","Cell will autofill based on response",INDEX('CFOG'!$P$10:$P$16,MATCH($F45,'CFOG'!$B$10:$B$16,0))),"N/A")</f>
        <v/>
      </c>
      <c r="O45" s="52">
        <f>IFERROR(IF(INDEX('CFOG'!$P$23:$P$24,MATCH($F45,'CFOG'!$B$23:$B$24,0))="","Cell will autofill based on response",INDEX('CFOG'!$P$23:$P$24,MATCH($F45,'CFOG'!$B$23:$B$24,0))),"N/A")</f>
        <v/>
      </c>
      <c r="P45" s="52">
        <f>IFERROR(IF(INDEX('ESG'!$P$10:$P$17,MATCH($F45,'ESG'!$B$10:$B$17,0))="","Cell will autofill based on response",INDEX('ESG'!$P$10:$P$17,MATCH($F45,'ESG'!$B$10:$B$17,0))),"N/A")</f>
        <v/>
      </c>
      <c r="Q45" s="52">
        <f>IFERROR(IF(INDEX('CIOG'!$P$10:$P$14,MATCH($F45,'CIOG'!$B$10:$B$14,0))="","Cell will autofill based on response",INDEX('CIOG'!$P$10:$P$14,MATCH($F45,'CIOG'!$B$10:$B$14,0))),"N/A")</f>
        <v/>
      </c>
      <c r="R45" s="52">
        <f>IFERROR(IF(INDEX('MRE'!$P$10:$P$12,MATCH($F45,'MRE'!$B$10:$B$12,0))="","Cell will autofill based on response",INDEX('MRE'!$P$10:$P$12,MATCH($F45,'MRE'!$B$10:$B$12,0))),"N/A")</f>
        <v/>
      </c>
      <c r="S45" s="52">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2">
        <f>IFERROR(IF(INDEX('Faculties'!$Q$10:$Q$30,MATCH($F46,'Faculties'!$B$10:$B$30,0))="","Cell will autofill based on response",INDEX('Faculties'!$Q$10:$Q$30,MATCH($F46,'Faculties'!$B$10:$B$30,0))),"N/A")</f>
        <v/>
      </c>
      <c r="I46" s="52">
        <f>IFERROR(IF(INDEX('Faculties'!$Q$37:$Q$57,MATCH($F46,'Faculties'!$B$37:$B$57,0))="","Cell will autofill based on response",INDEX('Faculties'!$Q$37:$Q$57,MATCH($F46,'Faculties'!$B$37:$B$57,0))),"N/A")</f>
        <v/>
      </c>
      <c r="J46" s="52">
        <f>IFERROR(IF(INDEX('Faculties'!$Q$64:$Q$84,MATCH($F46,'Faculties'!$B$64:$B$84,0))="","Cell will autofill based on response",INDEX('Faculties'!$Q$64:$Q$84,MATCH($F46,'Faculties'!$B$64:$B$84,0))),"N/A")</f>
        <v/>
      </c>
      <c r="K46" s="52">
        <f>IFERROR(IF(INDEX('Faculties'!$Q$91:$Q$111,MATCH($F46,'Faculties'!$B$91:$B$111,0))="","Cell will autofill based on response",INDEX('Faculties'!$Q$91:$Q$111,MATCH($F46,'Faculties'!$B$91:$B$111,0))),"N/A")</f>
        <v/>
      </c>
      <c r="L46" s="52">
        <f>IFERROR(IF(INDEX('CI&amp;S'!$Q$10:$Q$15,MATCH($F46,'CI&amp;S'!$B$10:$B$15,0))="","Cell will autofill based on response",INDEX('CI&amp;S'!$Q$10:$Q$15,MATCH($F46,'CI&amp;S'!$B$10:$B$15,0))),"N/A")</f>
        <v/>
      </c>
      <c r="M46" s="52">
        <f>IFERROR(IF(INDEX('CI&amp;S'!$Q$22:$Q$39,MATCH($F46,'CI&amp;S'!$B$22:$B$39,0))="","Cell will autofill based on response",INDEX('CI&amp;S'!$Q$22:$Q$39,MATCH($F46,'CI&amp;S'!$B$22:$B$39,0))),"N/A")</f>
        <v/>
      </c>
      <c r="N46" s="52">
        <f>IFERROR(IF(INDEX('CFOG'!$Q$10:$Q$16,MATCH($F46,'CFOG'!$B$10:$B$16,0))="","Cell will autofill based on response",INDEX('CFOG'!$Q$10:$Q$16,MATCH($F46,'CFOG'!$B$10:$B$16,0))),"N/A")</f>
        <v/>
      </c>
      <c r="O46" s="52">
        <f>IFERROR(IF(INDEX('CFOG'!$Q$23:$Q$24,MATCH($F46,'CFOG'!$B$23:$B$24,0))="","Cell will autofill based on response",INDEX('CFOG'!$Q$23:$Q$24,MATCH($F46,'CFOG'!$B$23:$B$24,0))),"N/A")</f>
        <v/>
      </c>
      <c r="P46" s="52">
        <f>IFERROR(IF(INDEX('ESG'!$Q$10:$Q$17,MATCH($F46,'ESG'!$B$10:$B$17,0))="","Cell will autofill based on response",INDEX('ESG'!$Q$10:$Q$17,MATCH($F46,'ESG'!$B$10:$B$17,0))),"N/A")</f>
        <v/>
      </c>
      <c r="Q46" s="52">
        <f>IFERROR(IF(INDEX('CIOG'!$Q$10:$Q$14,MATCH($F46,'CIOG'!$B$10:$B$14,0))="","Cell will autofill based on response",INDEX('CIOG'!$Q$10:$Q$14,MATCH($F46,'CIOG'!$B$10:$B$14,0))),"N/A")</f>
        <v/>
      </c>
      <c r="R46" s="52">
        <f>IFERROR(IF(INDEX('MRE'!$Q$10:$Q$12,MATCH($F46,'MRE'!$B$10:$B$12,0))="","Cell will autofill based on response",INDEX('MRE'!$Q$10:$Q$12,MATCH($F46,'MRE'!$B$10:$B$12,0))),"N/A")</f>
        <v/>
      </c>
      <c r="S46" s="52">
        <f>IFERROR(IF(INDEX('L&amp;R'!$Q$10:$Q$11,MATCH($F46,'L&amp;R'!$B$10:$B$11,0))="","Cell will autofill based on response",INDEX('L&amp;R'!$Q$10:$Q$11,MATCH($F46,'L&amp;R'!$B$10:$B$11,0))),"N/A")</f>
        <v/>
      </c>
    </row>
    <row r="47">
      <c r="A47">
        <f>F47&amp;"|"&amp;G47</f>
        <v/>
      </c>
      <c r="B47" s="7" t="inlineStr">
        <is>
          <t>TR1(c)</t>
        </is>
      </c>
      <c r="C47" s="50" t="inlineStr">
        <is>
          <t>Transformational research</t>
        </is>
      </c>
      <c r="D47" s="50" t="inlineStr">
        <is>
          <t>Expert assessment of the quality, relevance and continuity of these collaborations</t>
        </is>
      </c>
      <c r="E47" s="50"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0" t="inlineStr">
        <is>
          <t>TR1(c)</t>
        </is>
      </c>
      <c r="G47" s="50" t="inlineStr">
        <is>
          <t>Confirm end-2026 target status</t>
        </is>
      </c>
      <c r="H47" s="52">
        <f>IFERROR(IF(INDEX('Faculties'!$L$10:$L$30,MATCH($F47,'Faculties'!$B$10:$B$30,0))="","Cell will autofill based on response",INDEX('Faculties'!$L$10:$L$30,MATCH($F47,'Faculties'!$B$10:$B$30,0))),"N/A")</f>
        <v/>
      </c>
      <c r="I47" s="52">
        <f>IFERROR(IF(INDEX('Faculties'!$L$37:$L$57,MATCH($F47,'Faculties'!$B$37:$B$57,0))="","Cell will autofill based on response",INDEX('Faculties'!$L$37:$L$57,MATCH($F47,'Faculties'!$B$37:$B$57,0))),"N/A")</f>
        <v/>
      </c>
      <c r="J47" s="52">
        <f>IFERROR(IF(INDEX('Faculties'!$L$64:$L$84,MATCH($F47,'Faculties'!$B$64:$B$84,0))="","Cell will autofill based on response",INDEX('Faculties'!$L$64:$L$84,MATCH($F47,'Faculties'!$B$64:$B$84,0))),"N/A")</f>
        <v/>
      </c>
      <c r="K47" s="52">
        <f>IFERROR(IF(INDEX('Faculties'!$L$91:$L$111,MATCH($F47,'Faculties'!$B$91:$B$111,0))="","Cell will autofill based on response",INDEX('Faculties'!$L$91:$L$111,MATCH($F47,'Faculties'!$B$91:$B$111,0))),"N/A")</f>
        <v/>
      </c>
      <c r="L47" s="52">
        <f>IFERROR(IF(INDEX('CI&amp;S'!$L$10:$L$15,MATCH($F47,'CI&amp;S'!$B$10:$B$15,0))="","Cell will autofill based on response",INDEX('CI&amp;S'!$L$10:$L$15,MATCH($F47,'CI&amp;S'!$B$10:$B$15,0))),"N/A")</f>
        <v/>
      </c>
      <c r="M47" s="52">
        <f>IFERROR(IF(INDEX('CI&amp;S'!$L$22:$L$39,MATCH($F47,'CI&amp;S'!$B$22:$B$39,0))="","Cell will autofill based on response",INDEX('CI&amp;S'!$L$22:$L$39,MATCH($F47,'CI&amp;S'!$B$22:$B$39,0))),"N/A")</f>
        <v/>
      </c>
      <c r="N47" s="52">
        <f>IFERROR(IF(INDEX('CFOG'!$L$10:$L$16,MATCH($F47,'CFOG'!$B$10:$B$16,0))="","Cell will autofill based on response",INDEX('CFOG'!$L$10:$L$16,MATCH($F47,'CFOG'!$B$10:$B$16,0))),"N/A")</f>
        <v/>
      </c>
      <c r="O47" s="52">
        <f>IFERROR(IF(INDEX('CFOG'!$L$23:$L$24,MATCH($F47,'CFOG'!$B$23:$B$24,0))="","Cell will autofill based on response",INDEX('CFOG'!$L$23:$L$24,MATCH($F47,'CFOG'!$B$23:$B$24,0))),"N/A")</f>
        <v/>
      </c>
      <c r="P47" s="52">
        <f>IFERROR(IF(INDEX('ESG'!$L$10:$L$17,MATCH($F47,'ESG'!$B$10:$B$17,0))="","Cell will autofill based on response",INDEX('ESG'!$L$10:$L$17,MATCH($F47,'ESG'!$B$10:$B$17,0))),"N/A")</f>
        <v/>
      </c>
      <c r="Q47" s="52">
        <f>IFERROR(IF(INDEX('CIOG'!$L$10:$L$14,MATCH($F47,'CIOG'!$B$10:$B$14,0))="","Cell will autofill based on response",INDEX('CIOG'!$L$10:$L$14,MATCH($F47,'CIOG'!$B$10:$B$14,0))),"N/A")</f>
        <v/>
      </c>
      <c r="R47" s="52">
        <f>IFERROR(IF(INDEX('MRE'!$L$10:$L$12,MATCH($F47,'MRE'!$B$10:$B$12,0))="","Cell will autofill based on response",INDEX('MRE'!$L$10:$L$12,MATCH($F47,'MRE'!$B$10:$B$12,0))),"N/A")</f>
        <v/>
      </c>
      <c r="S47" s="52">
        <f>IFERROR(IF(INDEX('L&amp;R'!$L$10:$L$11,MATCH($F47,'L&amp;R'!$B$10:$B$11,0))="","Cell will autofill based on response",INDEX('L&amp;R'!$L$10:$L$11,MATCH($F47,'L&amp;R'!$B$10:$B$11,0))),"N/A")</f>
        <v/>
      </c>
      <c r="U47" s="10">
        <f>COUNTIF($H47:$S47,"Cell will autofill based on response")</f>
        <v/>
      </c>
      <c r="V47" s="10">
        <f>COUNTIF($H47:$S47,"Not yet started")</f>
        <v/>
      </c>
      <c r="W47" s="10">
        <f>COUNTIF($H47:$S47,"Not met")</f>
        <v/>
      </c>
      <c r="X47" s="10">
        <f>COUNTIF($H47:$S47,"Partially met")</f>
        <v/>
      </c>
      <c r="Y47" s="10">
        <f>COUNTIF($H47:$S47,"Met or exceeded")</f>
        <v/>
      </c>
      <c r="Z47" s="10">
        <f>3*Y47+2*X47+W47</f>
        <v/>
      </c>
      <c r="AA47" s="10">
        <f>Y47+X47+W47+V47</f>
        <v/>
      </c>
      <c r="AB47" s="53">
        <f>IF(AA47&gt;0,Z47/AA47,"No valid responses to date")</f>
        <v/>
      </c>
      <c r="AC47" s="10">
        <f>IF(ISNUMBER(AB47),INDEX(Lists!$G$2:$G$5,MATCH(ROUND(AB47,0),Lists!$H$2:$H$5,0)),"")</f>
        <v/>
      </c>
      <c r="AD47" s="54">
        <f>IF(AA47&gt;0,Y47/AA47,"")</f>
        <v/>
      </c>
      <c r="AE47" s="54">
        <f>IF(AA47&gt;0,(Y47+X47)/AA47,"")</f>
        <v/>
      </c>
      <c r="AF47" s="10">
        <f>IF(AA47=0,"",IF(AD47&gt;0.75,"Met or exceeded",IF(AE47&gt;=0.5,"Partially met","Not met")))</f>
        <v/>
      </c>
    </row>
    <row r="48">
      <c r="A48">
        <f>F48&amp;"|"&amp;G48</f>
        <v/>
      </c>
      <c r="B48" s="13" t="inlineStr"/>
      <c r="C48" s="8" t="inlineStr"/>
      <c r="D48" s="8" t="inlineStr"/>
      <c r="E48" s="8" t="inlineStr"/>
      <c r="F48" s="8" t="inlineStr">
        <is>
          <t>TR1(c)</t>
        </is>
      </c>
      <c r="G48" s="8" t="inlineStr">
        <is>
          <t>OPTION 1:  Target-level reporting</t>
        </is>
      </c>
      <c r="H48" s="52">
        <f>IFERROR(IF(INDEX('Faculties'!$M$10:$M$30,MATCH($F48,'Faculties'!$B$10:$B$30,0))="","Cell will autofill based on response",INDEX('Faculties'!$M$10:$M$30,MATCH($F48,'Faculties'!$B$10:$B$30,0))),"N/A")</f>
        <v/>
      </c>
      <c r="I48" s="52">
        <f>IFERROR(IF(INDEX('Faculties'!$M$37:$M$57,MATCH($F48,'Faculties'!$B$37:$B$57,0))="","Cell will autofill based on response",INDEX('Faculties'!$M$37:$M$57,MATCH($F48,'Faculties'!$B$37:$B$57,0))),"N/A")</f>
        <v/>
      </c>
      <c r="J48" s="52">
        <f>IFERROR(IF(INDEX('Faculties'!$M$64:$M$84,MATCH($F48,'Faculties'!$B$64:$B$84,0))="","Cell will autofill based on response",INDEX('Faculties'!$M$64:$M$84,MATCH($F48,'Faculties'!$B$64:$B$84,0))),"N/A")</f>
        <v/>
      </c>
      <c r="K48" s="52">
        <f>IFERROR(IF(INDEX('Faculties'!$M$91:$M$111,MATCH($F48,'Faculties'!$B$91:$B$111,0))="","Cell will autofill based on response",INDEX('Faculties'!$M$91:$M$111,MATCH($F48,'Faculties'!$B$91:$B$111,0))),"N/A")</f>
        <v/>
      </c>
      <c r="L48" s="52">
        <f>IFERROR(IF(INDEX('CI&amp;S'!$M$10:$M$15,MATCH($F48,'CI&amp;S'!$B$10:$B$15,0))="","Cell will autofill based on response",INDEX('CI&amp;S'!$M$10:$M$15,MATCH($F48,'CI&amp;S'!$B$10:$B$15,0))),"N/A")</f>
        <v/>
      </c>
      <c r="M48" s="52">
        <f>IFERROR(IF(INDEX('CI&amp;S'!$M$22:$M$39,MATCH($F48,'CI&amp;S'!$B$22:$B$39,0))="","Cell will autofill based on response",INDEX('CI&amp;S'!$M$22:$M$39,MATCH($F48,'CI&amp;S'!$B$22:$B$39,0))),"N/A")</f>
        <v/>
      </c>
      <c r="N48" s="52">
        <f>IFERROR(IF(INDEX('CFOG'!$M$10:$M$16,MATCH($F48,'CFOG'!$B$10:$B$16,0))="","Cell will autofill based on response",INDEX('CFOG'!$M$10:$M$16,MATCH($F48,'CFOG'!$B$10:$B$16,0))),"N/A")</f>
        <v/>
      </c>
      <c r="O48" s="52">
        <f>IFERROR(IF(INDEX('CFOG'!$M$23:$M$24,MATCH($F48,'CFOG'!$B$23:$B$24,0))="","Cell will autofill based on response",INDEX('CFOG'!$M$23:$M$24,MATCH($F48,'CFOG'!$B$23:$B$24,0))),"N/A")</f>
        <v/>
      </c>
      <c r="P48" s="52">
        <f>IFERROR(IF(INDEX('ESG'!$M$10:$M$17,MATCH($F48,'ESG'!$B$10:$B$17,0))="","Cell will autofill based on response",INDEX('ESG'!$M$10:$M$17,MATCH($F48,'ESG'!$B$10:$B$17,0))),"N/A")</f>
        <v/>
      </c>
      <c r="Q48" s="52">
        <f>IFERROR(IF(INDEX('CIOG'!$M$10:$M$14,MATCH($F48,'CIOG'!$B$10:$B$14,0))="","Cell will autofill based on response",INDEX('CIOG'!$M$10:$M$14,MATCH($F48,'CIOG'!$B$10:$B$14,0))),"N/A")</f>
        <v/>
      </c>
      <c r="R48" s="52">
        <f>IFERROR(IF(INDEX('MRE'!$M$10:$M$12,MATCH($F48,'MRE'!$B$10:$B$12,0))="","Cell will autofill based on response",INDEX('MRE'!$M$10:$M$12,MATCH($F48,'MRE'!$B$10:$B$12,0))),"N/A")</f>
        <v/>
      </c>
      <c r="S48" s="52">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2">
        <f>IFERROR(IF(INDEX('Faculties'!$N$10:$N$30,MATCH($F49,'Faculties'!$B$10:$B$30,0))="","Cell will autofill based on response",INDEX('Faculties'!$N$10:$N$30,MATCH($F49,'Faculties'!$B$10:$B$30,0))),"N/A")</f>
        <v/>
      </c>
      <c r="I49" s="52">
        <f>IFERROR(IF(INDEX('Faculties'!$N$37:$N$57,MATCH($F49,'Faculties'!$B$37:$B$57,0))="","Cell will autofill based on response",INDEX('Faculties'!$N$37:$N$57,MATCH($F49,'Faculties'!$B$37:$B$57,0))),"N/A")</f>
        <v/>
      </c>
      <c r="J49" s="52">
        <f>IFERROR(IF(INDEX('Faculties'!$N$64:$N$84,MATCH($F49,'Faculties'!$B$64:$B$84,0))="","Cell will autofill based on response",INDEX('Faculties'!$N$64:$N$84,MATCH($F49,'Faculties'!$B$64:$B$84,0))),"N/A")</f>
        <v/>
      </c>
      <c r="K49" s="52">
        <f>IFERROR(IF(INDEX('Faculties'!$N$91:$N$111,MATCH($F49,'Faculties'!$B$91:$B$111,0))="","Cell will autofill based on response",INDEX('Faculties'!$N$91:$N$111,MATCH($F49,'Faculties'!$B$91:$B$111,0))),"N/A")</f>
        <v/>
      </c>
      <c r="L49" s="52">
        <f>IFERROR(IF(INDEX('CI&amp;S'!$N$10:$N$15,MATCH($F49,'CI&amp;S'!$B$10:$B$15,0))="","Cell will autofill based on response",INDEX('CI&amp;S'!$N$10:$N$15,MATCH($F49,'CI&amp;S'!$B$10:$B$15,0))),"N/A")</f>
        <v/>
      </c>
      <c r="M49" s="52">
        <f>IFERROR(IF(INDEX('CI&amp;S'!$N$22:$N$39,MATCH($F49,'CI&amp;S'!$B$22:$B$39,0))="","Cell will autofill based on response",INDEX('CI&amp;S'!$N$22:$N$39,MATCH($F49,'CI&amp;S'!$B$22:$B$39,0))),"N/A")</f>
        <v/>
      </c>
      <c r="N49" s="52">
        <f>IFERROR(IF(INDEX('CFOG'!$N$10:$N$16,MATCH($F49,'CFOG'!$B$10:$B$16,0))="","Cell will autofill based on response",INDEX('CFOG'!$N$10:$N$16,MATCH($F49,'CFOG'!$B$10:$B$16,0))),"N/A")</f>
        <v/>
      </c>
      <c r="O49" s="52">
        <f>IFERROR(IF(INDEX('CFOG'!$N$23:$N$24,MATCH($F49,'CFOG'!$B$23:$B$24,0))="","Cell will autofill based on response",INDEX('CFOG'!$N$23:$N$24,MATCH($F49,'CFOG'!$B$23:$B$24,0))),"N/A")</f>
        <v/>
      </c>
      <c r="P49" s="52">
        <f>IFERROR(IF(INDEX('ESG'!$N$10:$N$17,MATCH($F49,'ESG'!$B$10:$B$17,0))="","Cell will autofill based on response",INDEX('ESG'!$N$10:$N$17,MATCH($F49,'ESG'!$B$10:$B$17,0))),"N/A")</f>
        <v/>
      </c>
      <c r="Q49" s="52">
        <f>IFERROR(IF(INDEX('CIOG'!$N$10:$N$14,MATCH($F49,'CIOG'!$B$10:$B$14,0))="","Cell will autofill based on response",INDEX('CIOG'!$N$10:$N$14,MATCH($F49,'CIOG'!$B$10:$B$14,0))),"N/A")</f>
        <v/>
      </c>
      <c r="R49" s="52">
        <f>IFERROR(IF(INDEX('MRE'!$N$10:$N$12,MATCH($F49,'MRE'!$B$10:$B$12,0))="","Cell will autofill based on response",INDEX('MRE'!$N$10:$N$12,MATCH($F49,'MRE'!$B$10:$B$12,0))),"N/A")</f>
        <v/>
      </c>
      <c r="S49" s="52">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2">
        <f>IFERROR(IF(INDEX('Faculties'!$O$10:$O$30,MATCH($F50,'Faculties'!$B$10:$B$30,0))="","Cell will autofill based on response",INDEX('Faculties'!$O$10:$O$30,MATCH($F50,'Faculties'!$B$10:$B$30,0))),"N/A")</f>
        <v/>
      </c>
      <c r="I50" s="52">
        <f>IFERROR(IF(INDEX('Faculties'!$O$37:$O$57,MATCH($F50,'Faculties'!$B$37:$B$57,0))="","Cell will autofill based on response",INDEX('Faculties'!$O$37:$O$57,MATCH($F50,'Faculties'!$B$37:$B$57,0))),"N/A")</f>
        <v/>
      </c>
      <c r="J50" s="52">
        <f>IFERROR(IF(INDEX('Faculties'!$O$64:$O$84,MATCH($F50,'Faculties'!$B$64:$B$84,0))="","Cell will autofill based on response",INDEX('Faculties'!$O$64:$O$84,MATCH($F50,'Faculties'!$B$64:$B$84,0))),"N/A")</f>
        <v/>
      </c>
      <c r="K50" s="52">
        <f>IFERROR(IF(INDEX('Faculties'!$O$91:$O$111,MATCH($F50,'Faculties'!$B$91:$B$111,0))="","Cell will autofill based on response",INDEX('Faculties'!$O$91:$O$111,MATCH($F50,'Faculties'!$B$91:$B$111,0))),"N/A")</f>
        <v/>
      </c>
      <c r="L50" s="52">
        <f>IFERROR(IF(INDEX('CI&amp;S'!$O$10:$O$15,MATCH($F50,'CI&amp;S'!$B$10:$B$15,0))="","Cell will autofill based on response",INDEX('CI&amp;S'!$O$10:$O$15,MATCH($F50,'CI&amp;S'!$B$10:$B$15,0))),"N/A")</f>
        <v/>
      </c>
      <c r="M50" s="52">
        <f>IFERROR(IF(INDEX('CI&amp;S'!$O$22:$O$39,MATCH($F50,'CI&amp;S'!$B$22:$B$39,0))="","Cell will autofill based on response",INDEX('CI&amp;S'!$O$22:$O$39,MATCH($F50,'CI&amp;S'!$B$22:$B$39,0))),"N/A")</f>
        <v/>
      </c>
      <c r="N50" s="52">
        <f>IFERROR(IF(INDEX('CFOG'!$O$10:$O$16,MATCH($F50,'CFOG'!$B$10:$B$16,0))="","Cell will autofill based on response",INDEX('CFOG'!$O$10:$O$16,MATCH($F50,'CFOG'!$B$10:$B$16,0))),"N/A")</f>
        <v/>
      </c>
      <c r="O50" s="52">
        <f>IFERROR(IF(INDEX('CFOG'!$O$23:$O$24,MATCH($F50,'CFOG'!$B$23:$B$24,0))="","Cell will autofill based on response",INDEX('CFOG'!$O$23:$O$24,MATCH($F50,'CFOG'!$B$23:$B$24,0))),"N/A")</f>
        <v/>
      </c>
      <c r="P50" s="52">
        <f>IFERROR(IF(INDEX('ESG'!$O$10:$O$17,MATCH($F50,'ESG'!$B$10:$B$17,0))="","Cell will autofill based on response",INDEX('ESG'!$O$10:$O$17,MATCH($F50,'ESG'!$B$10:$B$17,0))),"N/A")</f>
        <v/>
      </c>
      <c r="Q50" s="52">
        <f>IFERROR(IF(INDEX('CIOG'!$O$10:$O$14,MATCH($F50,'CIOG'!$B$10:$B$14,0))="","Cell will autofill based on response",INDEX('CIOG'!$O$10:$O$14,MATCH($F50,'CIOG'!$B$10:$B$14,0))),"N/A")</f>
        <v/>
      </c>
      <c r="R50" s="52">
        <f>IFERROR(IF(INDEX('MRE'!$O$10:$O$12,MATCH($F50,'MRE'!$B$10:$B$12,0))="","Cell will autofill based on response",INDEX('MRE'!$O$10:$O$12,MATCH($F50,'MRE'!$B$10:$B$12,0))),"N/A")</f>
        <v/>
      </c>
      <c r="S50" s="52">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2">
        <f>IFERROR(IF(INDEX('Faculties'!$P$10:$P$30,MATCH($F51,'Faculties'!$B$10:$B$30,0))="","Cell will autofill based on response",INDEX('Faculties'!$P$10:$P$30,MATCH($F51,'Faculties'!$B$10:$B$30,0))),"N/A")</f>
        <v/>
      </c>
      <c r="I51" s="52">
        <f>IFERROR(IF(INDEX('Faculties'!$P$37:$P$57,MATCH($F51,'Faculties'!$B$37:$B$57,0))="","Cell will autofill based on response",INDEX('Faculties'!$P$37:$P$57,MATCH($F51,'Faculties'!$B$37:$B$57,0))),"N/A")</f>
        <v/>
      </c>
      <c r="J51" s="52">
        <f>IFERROR(IF(INDEX('Faculties'!$P$64:$P$84,MATCH($F51,'Faculties'!$B$64:$B$84,0))="","Cell will autofill based on response",INDEX('Faculties'!$P$64:$P$84,MATCH($F51,'Faculties'!$B$64:$B$84,0))),"N/A")</f>
        <v/>
      </c>
      <c r="K51" s="52">
        <f>IFERROR(IF(INDEX('Faculties'!$P$91:$P$111,MATCH($F51,'Faculties'!$B$91:$B$111,0))="","Cell will autofill based on response",INDEX('Faculties'!$P$91:$P$111,MATCH($F51,'Faculties'!$B$91:$B$111,0))),"N/A")</f>
        <v/>
      </c>
      <c r="L51" s="52">
        <f>IFERROR(IF(INDEX('CI&amp;S'!$P$10:$P$15,MATCH($F51,'CI&amp;S'!$B$10:$B$15,0))="","Cell will autofill based on response",INDEX('CI&amp;S'!$P$10:$P$15,MATCH($F51,'CI&amp;S'!$B$10:$B$15,0))),"N/A")</f>
        <v/>
      </c>
      <c r="M51" s="52">
        <f>IFERROR(IF(INDEX('CI&amp;S'!$P$22:$P$39,MATCH($F51,'CI&amp;S'!$B$22:$B$39,0))="","Cell will autofill based on response",INDEX('CI&amp;S'!$P$22:$P$39,MATCH($F51,'CI&amp;S'!$B$22:$B$39,0))),"N/A")</f>
        <v/>
      </c>
      <c r="N51" s="52">
        <f>IFERROR(IF(INDEX('CFOG'!$P$10:$P$16,MATCH($F51,'CFOG'!$B$10:$B$16,0))="","Cell will autofill based on response",INDEX('CFOG'!$P$10:$P$16,MATCH($F51,'CFOG'!$B$10:$B$16,0))),"N/A")</f>
        <v/>
      </c>
      <c r="O51" s="52">
        <f>IFERROR(IF(INDEX('CFOG'!$P$23:$P$24,MATCH($F51,'CFOG'!$B$23:$B$24,0))="","Cell will autofill based on response",INDEX('CFOG'!$P$23:$P$24,MATCH($F51,'CFOG'!$B$23:$B$24,0))),"N/A")</f>
        <v/>
      </c>
      <c r="P51" s="52">
        <f>IFERROR(IF(INDEX('ESG'!$P$10:$P$17,MATCH($F51,'ESG'!$B$10:$B$17,0))="","Cell will autofill based on response",INDEX('ESG'!$P$10:$P$17,MATCH($F51,'ESG'!$B$10:$B$17,0))),"N/A")</f>
        <v/>
      </c>
      <c r="Q51" s="52">
        <f>IFERROR(IF(INDEX('CIOG'!$P$10:$P$14,MATCH($F51,'CIOG'!$B$10:$B$14,0))="","Cell will autofill based on response",INDEX('CIOG'!$P$10:$P$14,MATCH($F51,'CIOG'!$B$10:$B$14,0))),"N/A")</f>
        <v/>
      </c>
      <c r="R51" s="52">
        <f>IFERROR(IF(INDEX('MRE'!$P$10:$P$12,MATCH($F51,'MRE'!$B$10:$B$12,0))="","Cell will autofill based on response",INDEX('MRE'!$P$10:$P$12,MATCH($F51,'MRE'!$B$10:$B$12,0))),"N/A")</f>
        <v/>
      </c>
      <c r="S51" s="52">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2">
        <f>IFERROR(IF(INDEX('Faculties'!$Q$10:$Q$30,MATCH($F52,'Faculties'!$B$10:$B$30,0))="","Cell will autofill based on response",INDEX('Faculties'!$Q$10:$Q$30,MATCH($F52,'Faculties'!$B$10:$B$30,0))),"N/A")</f>
        <v/>
      </c>
      <c r="I52" s="52">
        <f>IFERROR(IF(INDEX('Faculties'!$Q$37:$Q$57,MATCH($F52,'Faculties'!$B$37:$B$57,0))="","Cell will autofill based on response",INDEX('Faculties'!$Q$37:$Q$57,MATCH($F52,'Faculties'!$B$37:$B$57,0))),"N/A")</f>
        <v/>
      </c>
      <c r="J52" s="52">
        <f>IFERROR(IF(INDEX('Faculties'!$Q$64:$Q$84,MATCH($F52,'Faculties'!$B$64:$B$84,0))="","Cell will autofill based on response",INDEX('Faculties'!$Q$64:$Q$84,MATCH($F52,'Faculties'!$B$64:$B$84,0))),"N/A")</f>
        <v/>
      </c>
      <c r="K52" s="52">
        <f>IFERROR(IF(INDEX('Faculties'!$Q$91:$Q$111,MATCH($F52,'Faculties'!$B$91:$B$111,0))="","Cell will autofill based on response",INDEX('Faculties'!$Q$91:$Q$111,MATCH($F52,'Faculties'!$B$91:$B$111,0))),"N/A")</f>
        <v/>
      </c>
      <c r="L52" s="52">
        <f>IFERROR(IF(INDEX('CI&amp;S'!$Q$10:$Q$15,MATCH($F52,'CI&amp;S'!$B$10:$B$15,0))="","Cell will autofill based on response",INDEX('CI&amp;S'!$Q$10:$Q$15,MATCH($F52,'CI&amp;S'!$B$10:$B$15,0))),"N/A")</f>
        <v/>
      </c>
      <c r="M52" s="52">
        <f>IFERROR(IF(INDEX('CI&amp;S'!$Q$22:$Q$39,MATCH($F52,'CI&amp;S'!$B$22:$B$39,0))="","Cell will autofill based on response",INDEX('CI&amp;S'!$Q$22:$Q$39,MATCH($F52,'CI&amp;S'!$B$22:$B$39,0))),"N/A")</f>
        <v/>
      </c>
      <c r="N52" s="52">
        <f>IFERROR(IF(INDEX('CFOG'!$Q$10:$Q$16,MATCH($F52,'CFOG'!$B$10:$B$16,0))="","Cell will autofill based on response",INDEX('CFOG'!$Q$10:$Q$16,MATCH($F52,'CFOG'!$B$10:$B$16,0))),"N/A")</f>
        <v/>
      </c>
      <c r="O52" s="52">
        <f>IFERROR(IF(INDEX('CFOG'!$Q$23:$Q$24,MATCH($F52,'CFOG'!$B$23:$B$24,0))="","Cell will autofill based on response",INDEX('CFOG'!$Q$23:$Q$24,MATCH($F52,'CFOG'!$B$23:$B$24,0))),"N/A")</f>
        <v/>
      </c>
      <c r="P52" s="52">
        <f>IFERROR(IF(INDEX('ESG'!$Q$10:$Q$17,MATCH($F52,'ESG'!$B$10:$B$17,0))="","Cell will autofill based on response",INDEX('ESG'!$Q$10:$Q$17,MATCH($F52,'ESG'!$B$10:$B$17,0))),"N/A")</f>
        <v/>
      </c>
      <c r="Q52" s="52">
        <f>IFERROR(IF(INDEX('CIOG'!$Q$10:$Q$14,MATCH($F52,'CIOG'!$B$10:$B$14,0))="","Cell will autofill based on response",INDEX('CIOG'!$Q$10:$Q$14,MATCH($F52,'CIOG'!$B$10:$B$14,0))),"N/A")</f>
        <v/>
      </c>
      <c r="R52" s="52">
        <f>IFERROR(IF(INDEX('MRE'!$Q$10:$Q$12,MATCH($F52,'MRE'!$B$10:$B$12,0))="","Cell will autofill based on response",INDEX('MRE'!$Q$10:$Q$12,MATCH($F52,'MRE'!$B$10:$B$12,0))),"N/A")</f>
        <v/>
      </c>
      <c r="S52" s="52">
        <f>IFERROR(IF(INDEX('L&amp;R'!$Q$10:$Q$11,MATCH($F52,'L&amp;R'!$B$10:$B$11,0))="","Cell will autofill based on response",INDEX('L&amp;R'!$Q$10:$Q$11,MATCH($F52,'L&amp;R'!$B$10:$B$11,0))),"N/A")</f>
        <v/>
      </c>
    </row>
    <row r="53">
      <c r="A53">
        <f>F53&amp;"|"&amp;G53</f>
        <v/>
      </c>
      <c r="B53" s="7" t="inlineStr">
        <is>
          <t>TR1(d)</t>
        </is>
      </c>
      <c r="C53" s="50" t="inlineStr">
        <is>
          <t>Transformational research</t>
        </is>
      </c>
      <c r="D53" s="50" t="inlineStr">
        <is>
          <t>Periodic feedback from participants on the effectiveness and mutual benefit of collaboration mechanisms.</t>
        </is>
      </c>
      <c r="E53" s="50"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0" t="inlineStr">
        <is>
          <t>TR1(d)</t>
        </is>
      </c>
      <c r="G53" s="50" t="inlineStr">
        <is>
          <t>Confirm end-2026 target status</t>
        </is>
      </c>
      <c r="H53" s="52">
        <f>IFERROR(IF(INDEX('Faculties'!$L$10:$L$30,MATCH($F53,'Faculties'!$B$10:$B$30,0))="","Cell will autofill based on response",INDEX('Faculties'!$L$10:$L$30,MATCH($F53,'Faculties'!$B$10:$B$30,0))),"N/A")</f>
        <v/>
      </c>
      <c r="I53" s="52">
        <f>IFERROR(IF(INDEX('Faculties'!$L$37:$L$57,MATCH($F53,'Faculties'!$B$37:$B$57,0))="","Cell will autofill based on response",INDEX('Faculties'!$L$37:$L$57,MATCH($F53,'Faculties'!$B$37:$B$57,0))),"N/A")</f>
        <v/>
      </c>
      <c r="J53" s="52">
        <f>IFERROR(IF(INDEX('Faculties'!$L$64:$L$84,MATCH($F53,'Faculties'!$B$64:$B$84,0))="","Cell will autofill based on response",INDEX('Faculties'!$L$64:$L$84,MATCH($F53,'Faculties'!$B$64:$B$84,0))),"N/A")</f>
        <v/>
      </c>
      <c r="K53" s="52">
        <f>IFERROR(IF(INDEX('Faculties'!$L$91:$L$111,MATCH($F53,'Faculties'!$B$91:$B$111,0))="","Cell will autofill based on response",INDEX('Faculties'!$L$91:$L$111,MATCH($F53,'Faculties'!$B$91:$B$111,0))),"N/A")</f>
        <v/>
      </c>
      <c r="L53" s="52">
        <f>IFERROR(IF(INDEX('CI&amp;S'!$L$10:$L$15,MATCH($F53,'CI&amp;S'!$B$10:$B$15,0))="","Cell will autofill based on response",INDEX('CI&amp;S'!$L$10:$L$15,MATCH($F53,'CI&amp;S'!$B$10:$B$15,0))),"N/A")</f>
        <v/>
      </c>
      <c r="M53" s="52">
        <f>IFERROR(IF(INDEX('CI&amp;S'!$L$22:$L$39,MATCH($F53,'CI&amp;S'!$B$22:$B$39,0))="","Cell will autofill based on response",INDEX('CI&amp;S'!$L$22:$L$39,MATCH($F53,'CI&amp;S'!$B$22:$B$39,0))),"N/A")</f>
        <v/>
      </c>
      <c r="N53" s="52">
        <f>IFERROR(IF(INDEX('CFOG'!$L$10:$L$16,MATCH($F53,'CFOG'!$B$10:$B$16,0))="","Cell will autofill based on response",INDEX('CFOG'!$L$10:$L$16,MATCH($F53,'CFOG'!$B$10:$B$16,0))),"N/A")</f>
        <v/>
      </c>
      <c r="O53" s="52">
        <f>IFERROR(IF(INDEX('CFOG'!$L$23:$L$24,MATCH($F53,'CFOG'!$B$23:$B$24,0))="","Cell will autofill based on response",INDEX('CFOG'!$L$23:$L$24,MATCH($F53,'CFOG'!$B$23:$B$24,0))),"N/A")</f>
        <v/>
      </c>
      <c r="P53" s="52">
        <f>IFERROR(IF(INDEX('ESG'!$L$10:$L$17,MATCH($F53,'ESG'!$B$10:$B$17,0))="","Cell will autofill based on response",INDEX('ESG'!$L$10:$L$17,MATCH($F53,'ESG'!$B$10:$B$17,0))),"N/A")</f>
        <v/>
      </c>
      <c r="Q53" s="52">
        <f>IFERROR(IF(INDEX('CIOG'!$L$10:$L$14,MATCH($F53,'CIOG'!$B$10:$B$14,0))="","Cell will autofill based on response",INDEX('CIOG'!$L$10:$L$14,MATCH($F53,'CIOG'!$B$10:$B$14,0))),"N/A")</f>
        <v/>
      </c>
      <c r="R53" s="52">
        <f>IFERROR(IF(INDEX('MRE'!$L$10:$L$12,MATCH($F53,'MRE'!$B$10:$B$12,0))="","Cell will autofill based on response",INDEX('MRE'!$L$10:$L$12,MATCH($F53,'MRE'!$B$10:$B$12,0))),"N/A")</f>
        <v/>
      </c>
      <c r="S53" s="52">
        <f>IFERROR(IF(INDEX('L&amp;R'!$L$10:$L$11,MATCH($F53,'L&amp;R'!$B$10:$B$11,0))="","Cell will autofill based on response",INDEX('L&amp;R'!$L$10:$L$11,MATCH($F53,'L&amp;R'!$B$10:$B$11,0))),"N/A")</f>
        <v/>
      </c>
      <c r="U53" s="10">
        <f>COUNTIF($H53:$S53,"Cell will autofill based on response")</f>
        <v/>
      </c>
      <c r="V53" s="10">
        <f>COUNTIF($H53:$S53,"Not yet started")</f>
        <v/>
      </c>
      <c r="W53" s="10">
        <f>COUNTIF($H53:$S53,"Not met")</f>
        <v/>
      </c>
      <c r="X53" s="10">
        <f>COUNTIF($H53:$S53,"Partially met")</f>
        <v/>
      </c>
      <c r="Y53" s="10">
        <f>COUNTIF($H53:$S53,"Met or exceeded")</f>
        <v/>
      </c>
      <c r="Z53" s="10">
        <f>3*Y53+2*X53+W53</f>
        <v/>
      </c>
      <c r="AA53" s="10">
        <f>Y53+X53+W53+V53</f>
        <v/>
      </c>
      <c r="AB53" s="53">
        <f>IF(AA53&gt;0,Z53/AA53,"No valid responses to date")</f>
        <v/>
      </c>
      <c r="AC53" s="10">
        <f>IF(ISNUMBER(AB53),INDEX(Lists!$G$2:$G$5,MATCH(ROUND(AB53,0),Lists!$H$2:$H$5,0)),"")</f>
        <v/>
      </c>
      <c r="AD53" s="54">
        <f>IF(AA53&gt;0,Y53/AA53,"")</f>
        <v/>
      </c>
      <c r="AE53" s="54">
        <f>IF(AA53&gt;0,(Y53+X53)/AA53,"")</f>
        <v/>
      </c>
      <c r="AF53" s="10">
        <f>IF(AA53=0,"",IF(AD53&gt;0.75,"Met or exceeded",IF(AE53&gt;=0.5,"Partially met","Not met")))</f>
        <v/>
      </c>
    </row>
    <row r="54">
      <c r="A54">
        <f>F54&amp;"|"&amp;G54</f>
        <v/>
      </c>
      <c r="B54" s="13" t="inlineStr"/>
      <c r="C54" s="8" t="inlineStr"/>
      <c r="D54" s="8" t="inlineStr"/>
      <c r="E54" s="8" t="inlineStr"/>
      <c r="F54" s="8" t="inlineStr">
        <is>
          <t>TR1(d)</t>
        </is>
      </c>
      <c r="G54" s="8" t="inlineStr">
        <is>
          <t>OPTION 1:  Target-level reporting</t>
        </is>
      </c>
      <c r="H54" s="52">
        <f>IFERROR(IF(INDEX('Faculties'!$M$10:$M$30,MATCH($F54,'Faculties'!$B$10:$B$30,0))="","Cell will autofill based on response",INDEX('Faculties'!$M$10:$M$30,MATCH($F54,'Faculties'!$B$10:$B$30,0))),"N/A")</f>
        <v/>
      </c>
      <c r="I54" s="52">
        <f>IFERROR(IF(INDEX('Faculties'!$M$37:$M$57,MATCH($F54,'Faculties'!$B$37:$B$57,0))="","Cell will autofill based on response",INDEX('Faculties'!$M$37:$M$57,MATCH($F54,'Faculties'!$B$37:$B$57,0))),"N/A")</f>
        <v/>
      </c>
      <c r="J54" s="52">
        <f>IFERROR(IF(INDEX('Faculties'!$M$64:$M$84,MATCH($F54,'Faculties'!$B$64:$B$84,0))="","Cell will autofill based on response",INDEX('Faculties'!$M$64:$M$84,MATCH($F54,'Faculties'!$B$64:$B$84,0))),"N/A")</f>
        <v/>
      </c>
      <c r="K54" s="52">
        <f>IFERROR(IF(INDEX('Faculties'!$M$91:$M$111,MATCH($F54,'Faculties'!$B$91:$B$111,0))="","Cell will autofill based on response",INDEX('Faculties'!$M$91:$M$111,MATCH($F54,'Faculties'!$B$91:$B$111,0))),"N/A")</f>
        <v/>
      </c>
      <c r="L54" s="52">
        <f>IFERROR(IF(INDEX('CI&amp;S'!$M$10:$M$15,MATCH($F54,'CI&amp;S'!$B$10:$B$15,0))="","Cell will autofill based on response",INDEX('CI&amp;S'!$M$10:$M$15,MATCH($F54,'CI&amp;S'!$B$10:$B$15,0))),"N/A")</f>
        <v/>
      </c>
      <c r="M54" s="52">
        <f>IFERROR(IF(INDEX('CI&amp;S'!$M$22:$M$39,MATCH($F54,'CI&amp;S'!$B$22:$B$39,0))="","Cell will autofill based on response",INDEX('CI&amp;S'!$M$22:$M$39,MATCH($F54,'CI&amp;S'!$B$22:$B$39,0))),"N/A")</f>
        <v/>
      </c>
      <c r="N54" s="52">
        <f>IFERROR(IF(INDEX('CFOG'!$M$10:$M$16,MATCH($F54,'CFOG'!$B$10:$B$16,0))="","Cell will autofill based on response",INDEX('CFOG'!$M$10:$M$16,MATCH($F54,'CFOG'!$B$10:$B$16,0))),"N/A")</f>
        <v/>
      </c>
      <c r="O54" s="52">
        <f>IFERROR(IF(INDEX('CFOG'!$M$23:$M$24,MATCH($F54,'CFOG'!$B$23:$B$24,0))="","Cell will autofill based on response",INDEX('CFOG'!$M$23:$M$24,MATCH($F54,'CFOG'!$B$23:$B$24,0))),"N/A")</f>
        <v/>
      </c>
      <c r="P54" s="52">
        <f>IFERROR(IF(INDEX('ESG'!$M$10:$M$17,MATCH($F54,'ESG'!$B$10:$B$17,0))="","Cell will autofill based on response",INDEX('ESG'!$M$10:$M$17,MATCH($F54,'ESG'!$B$10:$B$17,0))),"N/A")</f>
        <v/>
      </c>
      <c r="Q54" s="52">
        <f>IFERROR(IF(INDEX('CIOG'!$M$10:$M$14,MATCH($F54,'CIOG'!$B$10:$B$14,0))="","Cell will autofill based on response",INDEX('CIOG'!$M$10:$M$14,MATCH($F54,'CIOG'!$B$10:$B$14,0))),"N/A")</f>
        <v/>
      </c>
      <c r="R54" s="52">
        <f>IFERROR(IF(INDEX('MRE'!$M$10:$M$12,MATCH($F54,'MRE'!$B$10:$B$12,0))="","Cell will autofill based on response",INDEX('MRE'!$M$10:$M$12,MATCH($F54,'MRE'!$B$10:$B$12,0))),"N/A")</f>
        <v/>
      </c>
      <c r="S54" s="52">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2">
        <f>IFERROR(IF(INDEX('Faculties'!$N$10:$N$30,MATCH($F55,'Faculties'!$B$10:$B$30,0))="","Cell will autofill based on response",INDEX('Faculties'!$N$10:$N$30,MATCH($F55,'Faculties'!$B$10:$B$30,0))),"N/A")</f>
        <v/>
      </c>
      <c r="I55" s="52">
        <f>IFERROR(IF(INDEX('Faculties'!$N$37:$N$57,MATCH($F55,'Faculties'!$B$37:$B$57,0))="","Cell will autofill based on response",INDEX('Faculties'!$N$37:$N$57,MATCH($F55,'Faculties'!$B$37:$B$57,0))),"N/A")</f>
        <v/>
      </c>
      <c r="J55" s="52">
        <f>IFERROR(IF(INDEX('Faculties'!$N$64:$N$84,MATCH($F55,'Faculties'!$B$64:$B$84,0))="","Cell will autofill based on response",INDEX('Faculties'!$N$64:$N$84,MATCH($F55,'Faculties'!$B$64:$B$84,0))),"N/A")</f>
        <v/>
      </c>
      <c r="K55" s="52">
        <f>IFERROR(IF(INDEX('Faculties'!$N$91:$N$111,MATCH($F55,'Faculties'!$B$91:$B$111,0))="","Cell will autofill based on response",INDEX('Faculties'!$N$91:$N$111,MATCH($F55,'Faculties'!$B$91:$B$111,0))),"N/A")</f>
        <v/>
      </c>
      <c r="L55" s="52">
        <f>IFERROR(IF(INDEX('CI&amp;S'!$N$10:$N$15,MATCH($F55,'CI&amp;S'!$B$10:$B$15,0))="","Cell will autofill based on response",INDEX('CI&amp;S'!$N$10:$N$15,MATCH($F55,'CI&amp;S'!$B$10:$B$15,0))),"N/A")</f>
        <v/>
      </c>
      <c r="M55" s="52">
        <f>IFERROR(IF(INDEX('CI&amp;S'!$N$22:$N$39,MATCH($F55,'CI&amp;S'!$B$22:$B$39,0))="","Cell will autofill based on response",INDEX('CI&amp;S'!$N$22:$N$39,MATCH($F55,'CI&amp;S'!$B$22:$B$39,0))),"N/A")</f>
        <v/>
      </c>
      <c r="N55" s="52">
        <f>IFERROR(IF(INDEX('CFOG'!$N$10:$N$16,MATCH($F55,'CFOG'!$B$10:$B$16,0))="","Cell will autofill based on response",INDEX('CFOG'!$N$10:$N$16,MATCH($F55,'CFOG'!$B$10:$B$16,0))),"N/A")</f>
        <v/>
      </c>
      <c r="O55" s="52">
        <f>IFERROR(IF(INDEX('CFOG'!$N$23:$N$24,MATCH($F55,'CFOG'!$B$23:$B$24,0))="","Cell will autofill based on response",INDEX('CFOG'!$N$23:$N$24,MATCH($F55,'CFOG'!$B$23:$B$24,0))),"N/A")</f>
        <v/>
      </c>
      <c r="P55" s="52">
        <f>IFERROR(IF(INDEX('ESG'!$N$10:$N$17,MATCH($F55,'ESG'!$B$10:$B$17,0))="","Cell will autofill based on response",INDEX('ESG'!$N$10:$N$17,MATCH($F55,'ESG'!$B$10:$B$17,0))),"N/A")</f>
        <v/>
      </c>
      <c r="Q55" s="52">
        <f>IFERROR(IF(INDEX('CIOG'!$N$10:$N$14,MATCH($F55,'CIOG'!$B$10:$B$14,0))="","Cell will autofill based on response",INDEX('CIOG'!$N$10:$N$14,MATCH($F55,'CIOG'!$B$10:$B$14,0))),"N/A")</f>
        <v/>
      </c>
      <c r="R55" s="52">
        <f>IFERROR(IF(INDEX('MRE'!$N$10:$N$12,MATCH($F55,'MRE'!$B$10:$B$12,0))="","Cell will autofill based on response",INDEX('MRE'!$N$10:$N$12,MATCH($F55,'MRE'!$B$10:$B$12,0))),"N/A")</f>
        <v/>
      </c>
      <c r="S55" s="52">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2">
        <f>IFERROR(IF(INDEX('Faculties'!$O$10:$O$30,MATCH($F56,'Faculties'!$B$10:$B$30,0))="","Cell will autofill based on response",INDEX('Faculties'!$O$10:$O$30,MATCH($F56,'Faculties'!$B$10:$B$30,0))),"N/A")</f>
        <v/>
      </c>
      <c r="I56" s="52">
        <f>IFERROR(IF(INDEX('Faculties'!$O$37:$O$57,MATCH($F56,'Faculties'!$B$37:$B$57,0))="","Cell will autofill based on response",INDEX('Faculties'!$O$37:$O$57,MATCH($F56,'Faculties'!$B$37:$B$57,0))),"N/A")</f>
        <v/>
      </c>
      <c r="J56" s="52">
        <f>IFERROR(IF(INDEX('Faculties'!$O$64:$O$84,MATCH($F56,'Faculties'!$B$64:$B$84,0))="","Cell will autofill based on response",INDEX('Faculties'!$O$64:$O$84,MATCH($F56,'Faculties'!$B$64:$B$84,0))),"N/A")</f>
        <v/>
      </c>
      <c r="K56" s="52">
        <f>IFERROR(IF(INDEX('Faculties'!$O$91:$O$111,MATCH($F56,'Faculties'!$B$91:$B$111,0))="","Cell will autofill based on response",INDEX('Faculties'!$O$91:$O$111,MATCH($F56,'Faculties'!$B$91:$B$111,0))),"N/A")</f>
        <v/>
      </c>
      <c r="L56" s="52">
        <f>IFERROR(IF(INDEX('CI&amp;S'!$O$10:$O$15,MATCH($F56,'CI&amp;S'!$B$10:$B$15,0))="","Cell will autofill based on response",INDEX('CI&amp;S'!$O$10:$O$15,MATCH($F56,'CI&amp;S'!$B$10:$B$15,0))),"N/A")</f>
        <v/>
      </c>
      <c r="M56" s="52">
        <f>IFERROR(IF(INDEX('CI&amp;S'!$O$22:$O$39,MATCH($F56,'CI&amp;S'!$B$22:$B$39,0))="","Cell will autofill based on response",INDEX('CI&amp;S'!$O$22:$O$39,MATCH($F56,'CI&amp;S'!$B$22:$B$39,0))),"N/A")</f>
        <v/>
      </c>
      <c r="N56" s="52">
        <f>IFERROR(IF(INDEX('CFOG'!$O$10:$O$16,MATCH($F56,'CFOG'!$B$10:$B$16,0))="","Cell will autofill based on response",INDEX('CFOG'!$O$10:$O$16,MATCH($F56,'CFOG'!$B$10:$B$16,0))),"N/A")</f>
        <v/>
      </c>
      <c r="O56" s="52">
        <f>IFERROR(IF(INDEX('CFOG'!$O$23:$O$24,MATCH($F56,'CFOG'!$B$23:$B$24,0))="","Cell will autofill based on response",INDEX('CFOG'!$O$23:$O$24,MATCH($F56,'CFOG'!$B$23:$B$24,0))),"N/A")</f>
        <v/>
      </c>
      <c r="P56" s="52">
        <f>IFERROR(IF(INDEX('ESG'!$O$10:$O$17,MATCH($F56,'ESG'!$B$10:$B$17,0))="","Cell will autofill based on response",INDEX('ESG'!$O$10:$O$17,MATCH($F56,'ESG'!$B$10:$B$17,0))),"N/A")</f>
        <v/>
      </c>
      <c r="Q56" s="52">
        <f>IFERROR(IF(INDEX('CIOG'!$O$10:$O$14,MATCH($F56,'CIOG'!$B$10:$B$14,0))="","Cell will autofill based on response",INDEX('CIOG'!$O$10:$O$14,MATCH($F56,'CIOG'!$B$10:$B$14,0))),"N/A")</f>
        <v/>
      </c>
      <c r="R56" s="52">
        <f>IFERROR(IF(INDEX('MRE'!$O$10:$O$12,MATCH($F56,'MRE'!$B$10:$B$12,0))="","Cell will autofill based on response",INDEX('MRE'!$O$10:$O$12,MATCH($F56,'MRE'!$B$10:$B$12,0))),"N/A")</f>
        <v/>
      </c>
      <c r="S56" s="52">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2">
        <f>IFERROR(IF(INDEX('Faculties'!$P$10:$P$30,MATCH($F57,'Faculties'!$B$10:$B$30,0))="","Cell will autofill based on response",INDEX('Faculties'!$P$10:$P$30,MATCH($F57,'Faculties'!$B$10:$B$30,0))),"N/A")</f>
        <v/>
      </c>
      <c r="I57" s="52">
        <f>IFERROR(IF(INDEX('Faculties'!$P$37:$P$57,MATCH($F57,'Faculties'!$B$37:$B$57,0))="","Cell will autofill based on response",INDEX('Faculties'!$P$37:$P$57,MATCH($F57,'Faculties'!$B$37:$B$57,0))),"N/A")</f>
        <v/>
      </c>
      <c r="J57" s="52">
        <f>IFERROR(IF(INDEX('Faculties'!$P$64:$P$84,MATCH($F57,'Faculties'!$B$64:$B$84,0))="","Cell will autofill based on response",INDEX('Faculties'!$P$64:$P$84,MATCH($F57,'Faculties'!$B$64:$B$84,0))),"N/A")</f>
        <v/>
      </c>
      <c r="K57" s="52">
        <f>IFERROR(IF(INDEX('Faculties'!$P$91:$P$111,MATCH($F57,'Faculties'!$B$91:$B$111,0))="","Cell will autofill based on response",INDEX('Faculties'!$P$91:$P$111,MATCH($F57,'Faculties'!$B$91:$B$111,0))),"N/A")</f>
        <v/>
      </c>
      <c r="L57" s="52">
        <f>IFERROR(IF(INDEX('CI&amp;S'!$P$10:$P$15,MATCH($F57,'CI&amp;S'!$B$10:$B$15,0))="","Cell will autofill based on response",INDEX('CI&amp;S'!$P$10:$P$15,MATCH($F57,'CI&amp;S'!$B$10:$B$15,0))),"N/A")</f>
        <v/>
      </c>
      <c r="M57" s="52">
        <f>IFERROR(IF(INDEX('CI&amp;S'!$P$22:$P$39,MATCH($F57,'CI&amp;S'!$B$22:$B$39,0))="","Cell will autofill based on response",INDEX('CI&amp;S'!$P$22:$P$39,MATCH($F57,'CI&amp;S'!$B$22:$B$39,0))),"N/A")</f>
        <v/>
      </c>
      <c r="N57" s="52">
        <f>IFERROR(IF(INDEX('CFOG'!$P$10:$P$16,MATCH($F57,'CFOG'!$B$10:$B$16,0))="","Cell will autofill based on response",INDEX('CFOG'!$P$10:$P$16,MATCH($F57,'CFOG'!$B$10:$B$16,0))),"N/A")</f>
        <v/>
      </c>
      <c r="O57" s="52">
        <f>IFERROR(IF(INDEX('CFOG'!$P$23:$P$24,MATCH($F57,'CFOG'!$B$23:$B$24,0))="","Cell will autofill based on response",INDEX('CFOG'!$P$23:$P$24,MATCH($F57,'CFOG'!$B$23:$B$24,0))),"N/A")</f>
        <v/>
      </c>
      <c r="P57" s="52">
        <f>IFERROR(IF(INDEX('ESG'!$P$10:$P$17,MATCH($F57,'ESG'!$B$10:$B$17,0))="","Cell will autofill based on response",INDEX('ESG'!$P$10:$P$17,MATCH($F57,'ESG'!$B$10:$B$17,0))),"N/A")</f>
        <v/>
      </c>
      <c r="Q57" s="52">
        <f>IFERROR(IF(INDEX('CIOG'!$P$10:$P$14,MATCH($F57,'CIOG'!$B$10:$B$14,0))="","Cell will autofill based on response",INDEX('CIOG'!$P$10:$P$14,MATCH($F57,'CIOG'!$B$10:$B$14,0))),"N/A")</f>
        <v/>
      </c>
      <c r="R57" s="52">
        <f>IFERROR(IF(INDEX('MRE'!$P$10:$P$12,MATCH($F57,'MRE'!$B$10:$B$12,0))="","Cell will autofill based on response",INDEX('MRE'!$P$10:$P$12,MATCH($F57,'MRE'!$B$10:$B$12,0))),"N/A")</f>
        <v/>
      </c>
      <c r="S57" s="52">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2">
        <f>IFERROR(IF(INDEX('Faculties'!$Q$10:$Q$30,MATCH($F58,'Faculties'!$B$10:$B$30,0))="","Cell will autofill based on response",INDEX('Faculties'!$Q$10:$Q$30,MATCH($F58,'Faculties'!$B$10:$B$30,0))),"N/A")</f>
        <v/>
      </c>
      <c r="I58" s="52">
        <f>IFERROR(IF(INDEX('Faculties'!$Q$37:$Q$57,MATCH($F58,'Faculties'!$B$37:$B$57,0))="","Cell will autofill based on response",INDEX('Faculties'!$Q$37:$Q$57,MATCH($F58,'Faculties'!$B$37:$B$57,0))),"N/A")</f>
        <v/>
      </c>
      <c r="J58" s="52">
        <f>IFERROR(IF(INDEX('Faculties'!$Q$64:$Q$84,MATCH($F58,'Faculties'!$B$64:$B$84,0))="","Cell will autofill based on response",INDEX('Faculties'!$Q$64:$Q$84,MATCH($F58,'Faculties'!$B$64:$B$84,0))),"N/A")</f>
        <v/>
      </c>
      <c r="K58" s="52">
        <f>IFERROR(IF(INDEX('Faculties'!$Q$91:$Q$111,MATCH($F58,'Faculties'!$B$91:$B$111,0))="","Cell will autofill based on response",INDEX('Faculties'!$Q$91:$Q$111,MATCH($F58,'Faculties'!$B$91:$B$111,0))),"N/A")</f>
        <v/>
      </c>
      <c r="L58" s="52">
        <f>IFERROR(IF(INDEX('CI&amp;S'!$Q$10:$Q$15,MATCH($F58,'CI&amp;S'!$B$10:$B$15,0))="","Cell will autofill based on response",INDEX('CI&amp;S'!$Q$10:$Q$15,MATCH($F58,'CI&amp;S'!$B$10:$B$15,0))),"N/A")</f>
        <v/>
      </c>
      <c r="M58" s="52">
        <f>IFERROR(IF(INDEX('CI&amp;S'!$Q$22:$Q$39,MATCH($F58,'CI&amp;S'!$B$22:$B$39,0))="","Cell will autofill based on response",INDEX('CI&amp;S'!$Q$22:$Q$39,MATCH($F58,'CI&amp;S'!$B$22:$B$39,0))),"N/A")</f>
        <v/>
      </c>
      <c r="N58" s="52">
        <f>IFERROR(IF(INDEX('CFOG'!$Q$10:$Q$16,MATCH($F58,'CFOG'!$B$10:$B$16,0))="","Cell will autofill based on response",INDEX('CFOG'!$Q$10:$Q$16,MATCH($F58,'CFOG'!$B$10:$B$16,0))),"N/A")</f>
        <v/>
      </c>
      <c r="O58" s="52">
        <f>IFERROR(IF(INDEX('CFOG'!$Q$23:$Q$24,MATCH($F58,'CFOG'!$B$23:$B$24,0))="","Cell will autofill based on response",INDEX('CFOG'!$Q$23:$Q$24,MATCH($F58,'CFOG'!$B$23:$B$24,0))),"N/A")</f>
        <v/>
      </c>
      <c r="P58" s="52">
        <f>IFERROR(IF(INDEX('ESG'!$Q$10:$Q$17,MATCH($F58,'ESG'!$B$10:$B$17,0))="","Cell will autofill based on response",INDEX('ESG'!$Q$10:$Q$17,MATCH($F58,'ESG'!$B$10:$B$17,0))),"N/A")</f>
        <v/>
      </c>
      <c r="Q58" s="52">
        <f>IFERROR(IF(INDEX('CIOG'!$Q$10:$Q$14,MATCH($F58,'CIOG'!$B$10:$B$14,0))="","Cell will autofill based on response",INDEX('CIOG'!$Q$10:$Q$14,MATCH($F58,'CIOG'!$B$10:$B$14,0))),"N/A")</f>
        <v/>
      </c>
      <c r="R58" s="52">
        <f>IFERROR(IF(INDEX('MRE'!$Q$10:$Q$12,MATCH($F58,'MRE'!$B$10:$B$12,0))="","Cell will autofill based on response",INDEX('MRE'!$Q$10:$Q$12,MATCH($F58,'MRE'!$B$10:$B$12,0))),"N/A")</f>
        <v/>
      </c>
      <c r="S58" s="52">
        <f>IFERROR(IF(INDEX('L&amp;R'!$Q$10:$Q$11,MATCH($F58,'L&amp;R'!$B$10:$B$11,0))="","Cell will autofill based on response",INDEX('L&amp;R'!$Q$10:$Q$11,MATCH($F58,'L&amp;R'!$B$10:$B$11,0))),"N/A")</f>
        <v/>
      </c>
    </row>
    <row r="59">
      <c r="A59">
        <f>F59&amp;"|"&amp;G59</f>
        <v/>
      </c>
      <c r="B59" s="7" t="inlineStr">
        <is>
          <t>TR2(a)</t>
        </is>
      </c>
      <c r="C59" s="50" t="inlineStr">
        <is>
          <t>Transformational research</t>
        </is>
      </c>
      <c r="D59" s="50" t="inlineStr">
        <is>
          <t>Evidence of sustainability-related research impact across diverse pathways, could include policy, industry, community, practice, cultural and institutional outcomes</t>
        </is>
      </c>
      <c r="E59" s="50"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0" t="inlineStr">
        <is>
          <t>TR2(a)</t>
        </is>
      </c>
      <c r="G59" s="50" t="inlineStr">
        <is>
          <t>Confirm end-2026 target status</t>
        </is>
      </c>
      <c r="H59" s="52">
        <f>IFERROR(IF(INDEX('Faculties'!$L$10:$L$30,MATCH($F59,'Faculties'!$B$10:$B$30,0))="","Cell will autofill based on response",INDEX('Faculties'!$L$10:$L$30,MATCH($F59,'Faculties'!$B$10:$B$30,0))),"N/A")</f>
        <v/>
      </c>
      <c r="I59" s="52">
        <f>IFERROR(IF(INDEX('Faculties'!$L$37:$L$57,MATCH($F59,'Faculties'!$B$37:$B$57,0))="","Cell will autofill based on response",INDEX('Faculties'!$L$37:$L$57,MATCH($F59,'Faculties'!$B$37:$B$57,0))),"N/A")</f>
        <v/>
      </c>
      <c r="J59" s="52">
        <f>IFERROR(IF(INDEX('Faculties'!$L$64:$L$84,MATCH($F59,'Faculties'!$B$64:$B$84,0))="","Cell will autofill based on response",INDEX('Faculties'!$L$64:$L$84,MATCH($F59,'Faculties'!$B$64:$B$84,0))),"N/A")</f>
        <v/>
      </c>
      <c r="K59" s="52">
        <f>IFERROR(IF(INDEX('Faculties'!$L$91:$L$111,MATCH($F59,'Faculties'!$B$91:$B$111,0))="","Cell will autofill based on response",INDEX('Faculties'!$L$91:$L$111,MATCH($F59,'Faculties'!$B$91:$B$111,0))),"N/A")</f>
        <v/>
      </c>
      <c r="L59" s="52">
        <f>IFERROR(IF(INDEX('CI&amp;S'!$L$10:$L$15,MATCH($F59,'CI&amp;S'!$B$10:$B$15,0))="","Cell will autofill based on response",INDEX('CI&amp;S'!$L$10:$L$15,MATCH($F59,'CI&amp;S'!$B$10:$B$15,0))),"N/A")</f>
        <v/>
      </c>
      <c r="M59" s="52">
        <f>IFERROR(IF(INDEX('CI&amp;S'!$L$22:$L$39,MATCH($F59,'CI&amp;S'!$B$22:$B$39,0))="","Cell will autofill based on response",INDEX('CI&amp;S'!$L$22:$L$39,MATCH($F59,'CI&amp;S'!$B$22:$B$39,0))),"N/A")</f>
        <v/>
      </c>
      <c r="N59" s="52">
        <f>IFERROR(IF(INDEX('CFOG'!$L$10:$L$16,MATCH($F59,'CFOG'!$B$10:$B$16,0))="","Cell will autofill based on response",INDEX('CFOG'!$L$10:$L$16,MATCH($F59,'CFOG'!$B$10:$B$16,0))),"N/A")</f>
        <v/>
      </c>
      <c r="O59" s="52">
        <f>IFERROR(IF(INDEX('CFOG'!$L$23:$L$24,MATCH($F59,'CFOG'!$B$23:$B$24,0))="","Cell will autofill based on response",INDEX('CFOG'!$L$23:$L$24,MATCH($F59,'CFOG'!$B$23:$B$24,0))),"N/A")</f>
        <v/>
      </c>
      <c r="P59" s="52">
        <f>IFERROR(IF(INDEX('ESG'!$L$10:$L$17,MATCH($F59,'ESG'!$B$10:$B$17,0))="","Cell will autofill based on response",INDEX('ESG'!$L$10:$L$17,MATCH($F59,'ESG'!$B$10:$B$17,0))),"N/A")</f>
        <v/>
      </c>
      <c r="Q59" s="52">
        <f>IFERROR(IF(INDEX('CIOG'!$L$10:$L$14,MATCH($F59,'CIOG'!$B$10:$B$14,0))="","Cell will autofill based on response",INDEX('CIOG'!$L$10:$L$14,MATCH($F59,'CIOG'!$B$10:$B$14,0))),"N/A")</f>
        <v/>
      </c>
      <c r="R59" s="52">
        <f>IFERROR(IF(INDEX('MRE'!$L$10:$L$12,MATCH($F59,'MRE'!$B$10:$B$12,0))="","Cell will autofill based on response",INDEX('MRE'!$L$10:$L$12,MATCH($F59,'MRE'!$B$10:$B$12,0))),"N/A")</f>
        <v/>
      </c>
      <c r="S59" s="52">
        <f>IFERROR(IF(INDEX('L&amp;R'!$L$10:$L$11,MATCH($F59,'L&amp;R'!$B$10:$B$11,0))="","Cell will autofill based on response",INDEX('L&amp;R'!$L$10:$L$11,MATCH($F59,'L&amp;R'!$B$10:$B$11,0))),"N/A")</f>
        <v/>
      </c>
      <c r="U59" s="10">
        <f>COUNTIF($H59:$S59,"Cell will autofill based on response")</f>
        <v/>
      </c>
      <c r="V59" s="10">
        <f>COUNTIF($H59:$S59,"Not yet started")</f>
        <v/>
      </c>
      <c r="W59" s="10">
        <f>COUNTIF($H59:$S59,"Not met")</f>
        <v/>
      </c>
      <c r="X59" s="10">
        <f>COUNTIF($H59:$S59,"Partially met")</f>
        <v/>
      </c>
      <c r="Y59" s="10">
        <f>COUNTIF($H59:$S59,"Met or exceeded")</f>
        <v/>
      </c>
      <c r="Z59" s="10">
        <f>3*Y59+2*X59+W59</f>
        <v/>
      </c>
      <c r="AA59" s="10">
        <f>Y59+X59+W59+V59</f>
        <v/>
      </c>
      <c r="AB59" s="53">
        <f>IF(AA59&gt;0,Z59/AA59,"No valid responses to date")</f>
        <v/>
      </c>
      <c r="AC59" s="10">
        <f>IF(ISNUMBER(AB59),INDEX(Lists!$G$2:$G$5,MATCH(ROUND(AB59,0),Lists!$H$2:$H$5,0)),"")</f>
        <v/>
      </c>
      <c r="AD59" s="54">
        <f>IF(AA59&gt;0,Y59/AA59,"")</f>
        <v/>
      </c>
      <c r="AE59" s="54">
        <f>IF(AA59&gt;0,(Y59+X59)/AA59,"")</f>
        <v/>
      </c>
      <c r="AF59" s="10">
        <f>IF(AA59=0,"",IF(AD59&gt;0.75,"Met or exceeded",IF(AE59&gt;=0.5,"Partially met","Not met")))</f>
        <v/>
      </c>
    </row>
    <row r="60">
      <c r="A60">
        <f>F60&amp;"|"&amp;G60</f>
        <v/>
      </c>
      <c r="B60" s="13" t="inlineStr"/>
      <c r="C60" s="8" t="inlineStr"/>
      <c r="D60" s="8" t="inlineStr"/>
      <c r="E60" s="8" t="inlineStr"/>
      <c r="F60" s="8" t="inlineStr">
        <is>
          <t>TR2(a)</t>
        </is>
      </c>
      <c r="G60" s="8" t="inlineStr">
        <is>
          <t>OPTION 1:  Target-level reporting</t>
        </is>
      </c>
      <c r="H60" s="52">
        <f>IFERROR(IF(INDEX('Faculties'!$M$10:$M$30,MATCH($F60,'Faculties'!$B$10:$B$30,0))="","Cell will autofill based on response",INDEX('Faculties'!$M$10:$M$30,MATCH($F60,'Faculties'!$B$10:$B$30,0))),"N/A")</f>
        <v/>
      </c>
      <c r="I60" s="52">
        <f>IFERROR(IF(INDEX('Faculties'!$M$37:$M$57,MATCH($F60,'Faculties'!$B$37:$B$57,0))="","Cell will autofill based on response",INDEX('Faculties'!$M$37:$M$57,MATCH($F60,'Faculties'!$B$37:$B$57,0))),"N/A")</f>
        <v/>
      </c>
      <c r="J60" s="52">
        <f>IFERROR(IF(INDEX('Faculties'!$M$64:$M$84,MATCH($F60,'Faculties'!$B$64:$B$84,0))="","Cell will autofill based on response",INDEX('Faculties'!$M$64:$M$84,MATCH($F60,'Faculties'!$B$64:$B$84,0))),"N/A")</f>
        <v/>
      </c>
      <c r="K60" s="52">
        <f>IFERROR(IF(INDEX('Faculties'!$M$91:$M$111,MATCH($F60,'Faculties'!$B$91:$B$111,0))="","Cell will autofill based on response",INDEX('Faculties'!$M$91:$M$111,MATCH($F60,'Faculties'!$B$91:$B$111,0))),"N/A")</f>
        <v/>
      </c>
      <c r="L60" s="52">
        <f>IFERROR(IF(INDEX('CI&amp;S'!$M$10:$M$15,MATCH($F60,'CI&amp;S'!$B$10:$B$15,0))="","Cell will autofill based on response",INDEX('CI&amp;S'!$M$10:$M$15,MATCH($F60,'CI&amp;S'!$B$10:$B$15,0))),"N/A")</f>
        <v/>
      </c>
      <c r="M60" s="52">
        <f>IFERROR(IF(INDEX('CI&amp;S'!$M$22:$M$39,MATCH($F60,'CI&amp;S'!$B$22:$B$39,0))="","Cell will autofill based on response",INDEX('CI&amp;S'!$M$22:$M$39,MATCH($F60,'CI&amp;S'!$B$22:$B$39,0))),"N/A")</f>
        <v/>
      </c>
      <c r="N60" s="52">
        <f>IFERROR(IF(INDEX('CFOG'!$M$10:$M$16,MATCH($F60,'CFOG'!$B$10:$B$16,0))="","Cell will autofill based on response",INDEX('CFOG'!$M$10:$M$16,MATCH($F60,'CFOG'!$B$10:$B$16,0))),"N/A")</f>
        <v/>
      </c>
      <c r="O60" s="52">
        <f>IFERROR(IF(INDEX('CFOG'!$M$23:$M$24,MATCH($F60,'CFOG'!$B$23:$B$24,0))="","Cell will autofill based on response",INDEX('CFOG'!$M$23:$M$24,MATCH($F60,'CFOG'!$B$23:$B$24,0))),"N/A")</f>
        <v/>
      </c>
      <c r="P60" s="52">
        <f>IFERROR(IF(INDEX('ESG'!$M$10:$M$17,MATCH($F60,'ESG'!$B$10:$B$17,0))="","Cell will autofill based on response",INDEX('ESG'!$M$10:$M$17,MATCH($F60,'ESG'!$B$10:$B$17,0))),"N/A")</f>
        <v/>
      </c>
      <c r="Q60" s="52">
        <f>IFERROR(IF(INDEX('CIOG'!$M$10:$M$14,MATCH($F60,'CIOG'!$B$10:$B$14,0))="","Cell will autofill based on response",INDEX('CIOG'!$M$10:$M$14,MATCH($F60,'CIOG'!$B$10:$B$14,0))),"N/A")</f>
        <v/>
      </c>
      <c r="R60" s="52">
        <f>IFERROR(IF(INDEX('MRE'!$M$10:$M$12,MATCH($F60,'MRE'!$B$10:$B$12,0))="","Cell will autofill based on response",INDEX('MRE'!$M$10:$M$12,MATCH($F60,'MRE'!$B$10:$B$12,0))),"N/A")</f>
        <v/>
      </c>
      <c r="S60" s="52">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2">
        <f>IFERROR(IF(INDEX('Faculties'!$N$10:$N$30,MATCH($F61,'Faculties'!$B$10:$B$30,0))="","Cell will autofill based on response",INDEX('Faculties'!$N$10:$N$30,MATCH($F61,'Faculties'!$B$10:$B$30,0))),"N/A")</f>
        <v/>
      </c>
      <c r="I61" s="52">
        <f>IFERROR(IF(INDEX('Faculties'!$N$37:$N$57,MATCH($F61,'Faculties'!$B$37:$B$57,0))="","Cell will autofill based on response",INDEX('Faculties'!$N$37:$N$57,MATCH($F61,'Faculties'!$B$37:$B$57,0))),"N/A")</f>
        <v/>
      </c>
      <c r="J61" s="52">
        <f>IFERROR(IF(INDEX('Faculties'!$N$64:$N$84,MATCH($F61,'Faculties'!$B$64:$B$84,0))="","Cell will autofill based on response",INDEX('Faculties'!$N$64:$N$84,MATCH($F61,'Faculties'!$B$64:$B$84,0))),"N/A")</f>
        <v/>
      </c>
      <c r="K61" s="52">
        <f>IFERROR(IF(INDEX('Faculties'!$N$91:$N$111,MATCH($F61,'Faculties'!$B$91:$B$111,0))="","Cell will autofill based on response",INDEX('Faculties'!$N$91:$N$111,MATCH($F61,'Faculties'!$B$91:$B$111,0))),"N/A")</f>
        <v/>
      </c>
      <c r="L61" s="52">
        <f>IFERROR(IF(INDEX('CI&amp;S'!$N$10:$N$15,MATCH($F61,'CI&amp;S'!$B$10:$B$15,0))="","Cell will autofill based on response",INDEX('CI&amp;S'!$N$10:$N$15,MATCH($F61,'CI&amp;S'!$B$10:$B$15,0))),"N/A")</f>
        <v/>
      </c>
      <c r="M61" s="52">
        <f>IFERROR(IF(INDEX('CI&amp;S'!$N$22:$N$39,MATCH($F61,'CI&amp;S'!$B$22:$B$39,0))="","Cell will autofill based on response",INDEX('CI&amp;S'!$N$22:$N$39,MATCH($F61,'CI&amp;S'!$B$22:$B$39,0))),"N/A")</f>
        <v/>
      </c>
      <c r="N61" s="52">
        <f>IFERROR(IF(INDEX('CFOG'!$N$10:$N$16,MATCH($F61,'CFOG'!$B$10:$B$16,0))="","Cell will autofill based on response",INDEX('CFOG'!$N$10:$N$16,MATCH($F61,'CFOG'!$B$10:$B$16,0))),"N/A")</f>
        <v/>
      </c>
      <c r="O61" s="52">
        <f>IFERROR(IF(INDEX('CFOG'!$N$23:$N$24,MATCH($F61,'CFOG'!$B$23:$B$24,0))="","Cell will autofill based on response",INDEX('CFOG'!$N$23:$N$24,MATCH($F61,'CFOG'!$B$23:$B$24,0))),"N/A")</f>
        <v/>
      </c>
      <c r="P61" s="52">
        <f>IFERROR(IF(INDEX('ESG'!$N$10:$N$17,MATCH($F61,'ESG'!$B$10:$B$17,0))="","Cell will autofill based on response",INDEX('ESG'!$N$10:$N$17,MATCH($F61,'ESG'!$B$10:$B$17,0))),"N/A")</f>
        <v/>
      </c>
      <c r="Q61" s="52">
        <f>IFERROR(IF(INDEX('CIOG'!$N$10:$N$14,MATCH($F61,'CIOG'!$B$10:$B$14,0))="","Cell will autofill based on response",INDEX('CIOG'!$N$10:$N$14,MATCH($F61,'CIOG'!$B$10:$B$14,0))),"N/A")</f>
        <v/>
      </c>
      <c r="R61" s="52">
        <f>IFERROR(IF(INDEX('MRE'!$N$10:$N$12,MATCH($F61,'MRE'!$B$10:$B$12,0))="","Cell will autofill based on response",INDEX('MRE'!$N$10:$N$12,MATCH($F61,'MRE'!$B$10:$B$12,0))),"N/A")</f>
        <v/>
      </c>
      <c r="S61" s="52">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2">
        <f>IFERROR(IF(INDEX('Faculties'!$O$10:$O$30,MATCH($F62,'Faculties'!$B$10:$B$30,0))="","Cell will autofill based on response",INDEX('Faculties'!$O$10:$O$30,MATCH($F62,'Faculties'!$B$10:$B$30,0))),"N/A")</f>
        <v/>
      </c>
      <c r="I62" s="52">
        <f>IFERROR(IF(INDEX('Faculties'!$O$37:$O$57,MATCH($F62,'Faculties'!$B$37:$B$57,0))="","Cell will autofill based on response",INDEX('Faculties'!$O$37:$O$57,MATCH($F62,'Faculties'!$B$37:$B$57,0))),"N/A")</f>
        <v/>
      </c>
      <c r="J62" s="52">
        <f>IFERROR(IF(INDEX('Faculties'!$O$64:$O$84,MATCH($F62,'Faculties'!$B$64:$B$84,0))="","Cell will autofill based on response",INDEX('Faculties'!$O$64:$O$84,MATCH($F62,'Faculties'!$B$64:$B$84,0))),"N/A")</f>
        <v/>
      </c>
      <c r="K62" s="52">
        <f>IFERROR(IF(INDEX('Faculties'!$O$91:$O$111,MATCH($F62,'Faculties'!$B$91:$B$111,0))="","Cell will autofill based on response",INDEX('Faculties'!$O$91:$O$111,MATCH($F62,'Faculties'!$B$91:$B$111,0))),"N/A")</f>
        <v/>
      </c>
      <c r="L62" s="52">
        <f>IFERROR(IF(INDEX('CI&amp;S'!$O$10:$O$15,MATCH($F62,'CI&amp;S'!$B$10:$B$15,0))="","Cell will autofill based on response",INDEX('CI&amp;S'!$O$10:$O$15,MATCH($F62,'CI&amp;S'!$B$10:$B$15,0))),"N/A")</f>
        <v/>
      </c>
      <c r="M62" s="52">
        <f>IFERROR(IF(INDEX('CI&amp;S'!$O$22:$O$39,MATCH($F62,'CI&amp;S'!$B$22:$B$39,0))="","Cell will autofill based on response",INDEX('CI&amp;S'!$O$22:$O$39,MATCH($F62,'CI&amp;S'!$B$22:$B$39,0))),"N/A")</f>
        <v/>
      </c>
      <c r="N62" s="52">
        <f>IFERROR(IF(INDEX('CFOG'!$O$10:$O$16,MATCH($F62,'CFOG'!$B$10:$B$16,0))="","Cell will autofill based on response",INDEX('CFOG'!$O$10:$O$16,MATCH($F62,'CFOG'!$B$10:$B$16,0))),"N/A")</f>
        <v/>
      </c>
      <c r="O62" s="52">
        <f>IFERROR(IF(INDEX('CFOG'!$O$23:$O$24,MATCH($F62,'CFOG'!$B$23:$B$24,0))="","Cell will autofill based on response",INDEX('CFOG'!$O$23:$O$24,MATCH($F62,'CFOG'!$B$23:$B$24,0))),"N/A")</f>
        <v/>
      </c>
      <c r="P62" s="52">
        <f>IFERROR(IF(INDEX('ESG'!$O$10:$O$17,MATCH($F62,'ESG'!$B$10:$B$17,0))="","Cell will autofill based on response",INDEX('ESG'!$O$10:$O$17,MATCH($F62,'ESG'!$B$10:$B$17,0))),"N/A")</f>
        <v/>
      </c>
      <c r="Q62" s="52">
        <f>IFERROR(IF(INDEX('CIOG'!$O$10:$O$14,MATCH($F62,'CIOG'!$B$10:$B$14,0))="","Cell will autofill based on response",INDEX('CIOG'!$O$10:$O$14,MATCH($F62,'CIOG'!$B$10:$B$14,0))),"N/A")</f>
        <v/>
      </c>
      <c r="R62" s="52">
        <f>IFERROR(IF(INDEX('MRE'!$O$10:$O$12,MATCH($F62,'MRE'!$B$10:$B$12,0))="","Cell will autofill based on response",INDEX('MRE'!$O$10:$O$12,MATCH($F62,'MRE'!$B$10:$B$12,0))),"N/A")</f>
        <v/>
      </c>
      <c r="S62" s="52">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2">
        <f>IFERROR(IF(INDEX('Faculties'!$P$10:$P$30,MATCH($F63,'Faculties'!$B$10:$B$30,0))="","Cell will autofill based on response",INDEX('Faculties'!$P$10:$P$30,MATCH($F63,'Faculties'!$B$10:$B$30,0))),"N/A")</f>
        <v/>
      </c>
      <c r="I63" s="52">
        <f>IFERROR(IF(INDEX('Faculties'!$P$37:$P$57,MATCH($F63,'Faculties'!$B$37:$B$57,0))="","Cell will autofill based on response",INDEX('Faculties'!$P$37:$P$57,MATCH($F63,'Faculties'!$B$37:$B$57,0))),"N/A")</f>
        <v/>
      </c>
      <c r="J63" s="52">
        <f>IFERROR(IF(INDEX('Faculties'!$P$64:$P$84,MATCH($F63,'Faculties'!$B$64:$B$84,0))="","Cell will autofill based on response",INDEX('Faculties'!$P$64:$P$84,MATCH($F63,'Faculties'!$B$64:$B$84,0))),"N/A")</f>
        <v/>
      </c>
      <c r="K63" s="52">
        <f>IFERROR(IF(INDEX('Faculties'!$P$91:$P$111,MATCH($F63,'Faculties'!$B$91:$B$111,0))="","Cell will autofill based on response",INDEX('Faculties'!$P$91:$P$111,MATCH($F63,'Faculties'!$B$91:$B$111,0))),"N/A")</f>
        <v/>
      </c>
      <c r="L63" s="52">
        <f>IFERROR(IF(INDEX('CI&amp;S'!$P$10:$P$15,MATCH($F63,'CI&amp;S'!$B$10:$B$15,0))="","Cell will autofill based on response",INDEX('CI&amp;S'!$P$10:$P$15,MATCH($F63,'CI&amp;S'!$B$10:$B$15,0))),"N/A")</f>
        <v/>
      </c>
      <c r="M63" s="52">
        <f>IFERROR(IF(INDEX('CI&amp;S'!$P$22:$P$39,MATCH($F63,'CI&amp;S'!$B$22:$B$39,0))="","Cell will autofill based on response",INDEX('CI&amp;S'!$P$22:$P$39,MATCH($F63,'CI&amp;S'!$B$22:$B$39,0))),"N/A")</f>
        <v/>
      </c>
      <c r="N63" s="52">
        <f>IFERROR(IF(INDEX('CFOG'!$P$10:$P$16,MATCH($F63,'CFOG'!$B$10:$B$16,0))="","Cell will autofill based on response",INDEX('CFOG'!$P$10:$P$16,MATCH($F63,'CFOG'!$B$10:$B$16,0))),"N/A")</f>
        <v/>
      </c>
      <c r="O63" s="52">
        <f>IFERROR(IF(INDEX('CFOG'!$P$23:$P$24,MATCH($F63,'CFOG'!$B$23:$B$24,0))="","Cell will autofill based on response",INDEX('CFOG'!$P$23:$P$24,MATCH($F63,'CFOG'!$B$23:$B$24,0))),"N/A")</f>
        <v/>
      </c>
      <c r="P63" s="52">
        <f>IFERROR(IF(INDEX('ESG'!$P$10:$P$17,MATCH($F63,'ESG'!$B$10:$B$17,0))="","Cell will autofill based on response",INDEX('ESG'!$P$10:$P$17,MATCH($F63,'ESG'!$B$10:$B$17,0))),"N/A")</f>
        <v/>
      </c>
      <c r="Q63" s="52">
        <f>IFERROR(IF(INDEX('CIOG'!$P$10:$P$14,MATCH($F63,'CIOG'!$B$10:$B$14,0))="","Cell will autofill based on response",INDEX('CIOG'!$P$10:$P$14,MATCH($F63,'CIOG'!$B$10:$B$14,0))),"N/A")</f>
        <v/>
      </c>
      <c r="R63" s="52">
        <f>IFERROR(IF(INDEX('MRE'!$P$10:$P$12,MATCH($F63,'MRE'!$B$10:$B$12,0))="","Cell will autofill based on response",INDEX('MRE'!$P$10:$P$12,MATCH($F63,'MRE'!$B$10:$B$12,0))),"N/A")</f>
        <v/>
      </c>
      <c r="S63" s="52">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2">
        <f>IFERROR(IF(INDEX('Faculties'!$Q$10:$Q$30,MATCH($F64,'Faculties'!$B$10:$B$30,0))="","Cell will autofill based on response",INDEX('Faculties'!$Q$10:$Q$30,MATCH($F64,'Faculties'!$B$10:$B$30,0))),"N/A")</f>
        <v/>
      </c>
      <c r="I64" s="52">
        <f>IFERROR(IF(INDEX('Faculties'!$Q$37:$Q$57,MATCH($F64,'Faculties'!$B$37:$B$57,0))="","Cell will autofill based on response",INDEX('Faculties'!$Q$37:$Q$57,MATCH($F64,'Faculties'!$B$37:$B$57,0))),"N/A")</f>
        <v/>
      </c>
      <c r="J64" s="52">
        <f>IFERROR(IF(INDEX('Faculties'!$Q$64:$Q$84,MATCH($F64,'Faculties'!$B$64:$B$84,0))="","Cell will autofill based on response",INDEX('Faculties'!$Q$64:$Q$84,MATCH($F64,'Faculties'!$B$64:$B$84,0))),"N/A")</f>
        <v/>
      </c>
      <c r="K64" s="52">
        <f>IFERROR(IF(INDEX('Faculties'!$Q$91:$Q$111,MATCH($F64,'Faculties'!$B$91:$B$111,0))="","Cell will autofill based on response",INDEX('Faculties'!$Q$91:$Q$111,MATCH($F64,'Faculties'!$B$91:$B$111,0))),"N/A")</f>
        <v/>
      </c>
      <c r="L64" s="52">
        <f>IFERROR(IF(INDEX('CI&amp;S'!$Q$10:$Q$15,MATCH($F64,'CI&amp;S'!$B$10:$B$15,0))="","Cell will autofill based on response",INDEX('CI&amp;S'!$Q$10:$Q$15,MATCH($F64,'CI&amp;S'!$B$10:$B$15,0))),"N/A")</f>
        <v/>
      </c>
      <c r="M64" s="52">
        <f>IFERROR(IF(INDEX('CI&amp;S'!$Q$22:$Q$39,MATCH($F64,'CI&amp;S'!$B$22:$B$39,0))="","Cell will autofill based on response",INDEX('CI&amp;S'!$Q$22:$Q$39,MATCH($F64,'CI&amp;S'!$B$22:$B$39,0))),"N/A")</f>
        <v/>
      </c>
      <c r="N64" s="52">
        <f>IFERROR(IF(INDEX('CFOG'!$Q$10:$Q$16,MATCH($F64,'CFOG'!$B$10:$B$16,0))="","Cell will autofill based on response",INDEX('CFOG'!$Q$10:$Q$16,MATCH($F64,'CFOG'!$B$10:$B$16,0))),"N/A")</f>
        <v/>
      </c>
      <c r="O64" s="52">
        <f>IFERROR(IF(INDEX('CFOG'!$Q$23:$Q$24,MATCH($F64,'CFOG'!$B$23:$B$24,0))="","Cell will autofill based on response",INDEX('CFOG'!$Q$23:$Q$24,MATCH($F64,'CFOG'!$B$23:$B$24,0))),"N/A")</f>
        <v/>
      </c>
      <c r="P64" s="52">
        <f>IFERROR(IF(INDEX('ESG'!$Q$10:$Q$17,MATCH($F64,'ESG'!$B$10:$B$17,0))="","Cell will autofill based on response",INDEX('ESG'!$Q$10:$Q$17,MATCH($F64,'ESG'!$B$10:$B$17,0))),"N/A")</f>
        <v/>
      </c>
      <c r="Q64" s="52">
        <f>IFERROR(IF(INDEX('CIOG'!$Q$10:$Q$14,MATCH($F64,'CIOG'!$B$10:$B$14,0))="","Cell will autofill based on response",INDEX('CIOG'!$Q$10:$Q$14,MATCH($F64,'CIOG'!$B$10:$B$14,0))),"N/A")</f>
        <v/>
      </c>
      <c r="R64" s="52">
        <f>IFERROR(IF(INDEX('MRE'!$Q$10:$Q$12,MATCH($F64,'MRE'!$B$10:$B$12,0))="","Cell will autofill based on response",INDEX('MRE'!$Q$10:$Q$12,MATCH($F64,'MRE'!$B$10:$B$12,0))),"N/A")</f>
        <v/>
      </c>
      <c r="S64" s="52">
        <f>IFERROR(IF(INDEX('L&amp;R'!$Q$10:$Q$11,MATCH($F64,'L&amp;R'!$B$10:$B$11,0))="","Cell will autofill based on response",INDEX('L&amp;R'!$Q$10:$Q$11,MATCH($F64,'L&amp;R'!$B$10:$B$11,0))),"N/A")</f>
        <v/>
      </c>
    </row>
    <row r="65">
      <c r="A65">
        <f>F65&amp;"|"&amp;G65</f>
        <v/>
      </c>
      <c r="B65" s="7" t="inlineStr">
        <is>
          <t>TR2(c)</t>
        </is>
      </c>
      <c r="C65" s="50" t="inlineStr">
        <is>
          <t>Transformational research</t>
        </is>
      </c>
      <c r="D65" s="50" t="inlineStr">
        <is>
          <t>Expert-reviewed summary of sustainability-related research outputs, outcomes and influence using available institutional evidence sources</t>
        </is>
      </c>
      <c r="E65" s="50" t="inlineStr">
        <is>
          <t>currently mapped to the SDGs using SciVal</t>
        </is>
      </c>
      <c r="F65" s="50" t="inlineStr">
        <is>
          <t>TR2(c)</t>
        </is>
      </c>
      <c r="G65" s="50" t="inlineStr">
        <is>
          <t>Confirm end-2026 target status</t>
        </is>
      </c>
      <c r="H65" s="52">
        <f>IFERROR(IF(INDEX('Faculties'!$L$10:$L$30,MATCH($F65,'Faculties'!$B$10:$B$30,0))="","Cell will autofill based on response",INDEX('Faculties'!$L$10:$L$30,MATCH($F65,'Faculties'!$B$10:$B$30,0))),"N/A")</f>
        <v/>
      </c>
      <c r="I65" s="52">
        <f>IFERROR(IF(INDEX('Faculties'!$L$37:$L$57,MATCH($F65,'Faculties'!$B$37:$B$57,0))="","Cell will autofill based on response",INDEX('Faculties'!$L$37:$L$57,MATCH($F65,'Faculties'!$B$37:$B$57,0))),"N/A")</f>
        <v/>
      </c>
      <c r="J65" s="52">
        <f>IFERROR(IF(INDEX('Faculties'!$L$64:$L$84,MATCH($F65,'Faculties'!$B$64:$B$84,0))="","Cell will autofill based on response",INDEX('Faculties'!$L$64:$L$84,MATCH($F65,'Faculties'!$B$64:$B$84,0))),"N/A")</f>
        <v/>
      </c>
      <c r="K65" s="52">
        <f>IFERROR(IF(INDEX('Faculties'!$L$91:$L$111,MATCH($F65,'Faculties'!$B$91:$B$111,0))="","Cell will autofill based on response",INDEX('Faculties'!$L$91:$L$111,MATCH($F65,'Faculties'!$B$91:$B$111,0))),"N/A")</f>
        <v/>
      </c>
      <c r="L65" s="52">
        <f>IFERROR(IF(INDEX('CI&amp;S'!$L$10:$L$15,MATCH($F65,'CI&amp;S'!$B$10:$B$15,0))="","Cell will autofill based on response",INDEX('CI&amp;S'!$L$10:$L$15,MATCH($F65,'CI&amp;S'!$B$10:$B$15,0))),"N/A")</f>
        <v/>
      </c>
      <c r="M65" s="52">
        <f>IFERROR(IF(INDEX('CI&amp;S'!$L$22:$L$39,MATCH($F65,'CI&amp;S'!$B$22:$B$39,0))="","Cell will autofill based on response",INDEX('CI&amp;S'!$L$22:$L$39,MATCH($F65,'CI&amp;S'!$B$22:$B$39,0))),"N/A")</f>
        <v/>
      </c>
      <c r="N65" s="52">
        <f>IFERROR(IF(INDEX('CFOG'!$L$10:$L$16,MATCH($F65,'CFOG'!$B$10:$B$16,0))="","Cell will autofill based on response",INDEX('CFOG'!$L$10:$L$16,MATCH($F65,'CFOG'!$B$10:$B$16,0))),"N/A")</f>
        <v/>
      </c>
      <c r="O65" s="52">
        <f>IFERROR(IF(INDEX('CFOG'!$L$23:$L$24,MATCH($F65,'CFOG'!$B$23:$B$24,0))="","Cell will autofill based on response",INDEX('CFOG'!$L$23:$L$24,MATCH($F65,'CFOG'!$B$23:$B$24,0))),"N/A")</f>
        <v/>
      </c>
      <c r="P65" s="52">
        <f>IFERROR(IF(INDEX('ESG'!$L$10:$L$17,MATCH($F65,'ESG'!$B$10:$B$17,0))="","Cell will autofill based on response",INDEX('ESG'!$L$10:$L$17,MATCH($F65,'ESG'!$B$10:$B$17,0))),"N/A")</f>
        <v/>
      </c>
      <c r="Q65" s="52">
        <f>IFERROR(IF(INDEX('CIOG'!$L$10:$L$14,MATCH($F65,'CIOG'!$B$10:$B$14,0))="","Cell will autofill based on response",INDEX('CIOG'!$L$10:$L$14,MATCH($F65,'CIOG'!$B$10:$B$14,0))),"N/A")</f>
        <v/>
      </c>
      <c r="R65" s="52">
        <f>IFERROR(IF(INDEX('MRE'!$L$10:$L$12,MATCH($F65,'MRE'!$B$10:$B$12,0))="","Cell will autofill based on response",INDEX('MRE'!$L$10:$L$12,MATCH($F65,'MRE'!$B$10:$B$12,0))),"N/A")</f>
        <v/>
      </c>
      <c r="S65" s="52">
        <f>IFERROR(IF(INDEX('L&amp;R'!$L$10:$L$11,MATCH($F65,'L&amp;R'!$B$10:$B$11,0))="","Cell will autofill based on response",INDEX('L&amp;R'!$L$10:$L$11,MATCH($F65,'L&amp;R'!$B$10:$B$11,0))),"N/A")</f>
        <v/>
      </c>
      <c r="U65" s="10">
        <f>COUNTIF($H65:$S65,"Cell will autofill based on response")</f>
        <v/>
      </c>
      <c r="V65" s="10">
        <f>COUNTIF($H65:$S65,"Not yet started")</f>
        <v/>
      </c>
      <c r="W65" s="10">
        <f>COUNTIF($H65:$S65,"Not met")</f>
        <v/>
      </c>
      <c r="X65" s="10">
        <f>COUNTIF($H65:$S65,"Partially met")</f>
        <v/>
      </c>
      <c r="Y65" s="10">
        <f>COUNTIF($H65:$S65,"Met or exceeded")</f>
        <v/>
      </c>
      <c r="Z65" s="10">
        <f>3*Y65+2*X65+W65</f>
        <v/>
      </c>
      <c r="AA65" s="10">
        <f>Y65+X65+W65+V65</f>
        <v/>
      </c>
      <c r="AB65" s="53">
        <f>IF(AA65&gt;0,Z65/AA65,"No valid responses to date")</f>
        <v/>
      </c>
      <c r="AC65" s="10">
        <f>IF(ISNUMBER(AB65),INDEX(Lists!$G$2:$G$5,MATCH(ROUND(AB65,0),Lists!$H$2:$H$5,0)),"")</f>
        <v/>
      </c>
      <c r="AD65" s="54">
        <f>IF(AA65&gt;0,Y65/AA65,"")</f>
        <v/>
      </c>
      <c r="AE65" s="54">
        <f>IF(AA65&gt;0,(Y65+X65)/AA65,"")</f>
        <v/>
      </c>
      <c r="AF65" s="10">
        <f>IF(AA65=0,"",IF(AD65&gt;0.75,"Met or exceeded",IF(AE65&gt;=0.5,"Partially met","Not met")))</f>
        <v/>
      </c>
    </row>
    <row r="66">
      <c r="A66">
        <f>F66&amp;"|"&amp;G66</f>
        <v/>
      </c>
      <c r="B66" s="13" t="inlineStr"/>
      <c r="C66" s="8" t="inlineStr"/>
      <c r="D66" s="8" t="inlineStr"/>
      <c r="E66" s="8" t="inlineStr"/>
      <c r="F66" s="8" t="inlineStr">
        <is>
          <t>TR2(c)</t>
        </is>
      </c>
      <c r="G66" s="8" t="inlineStr">
        <is>
          <t>OPTION 1:  Target-level reporting</t>
        </is>
      </c>
      <c r="H66" s="52">
        <f>IFERROR(IF(INDEX('Faculties'!$M$10:$M$30,MATCH($F66,'Faculties'!$B$10:$B$30,0))="","Cell will autofill based on response",INDEX('Faculties'!$M$10:$M$30,MATCH($F66,'Faculties'!$B$10:$B$30,0))),"N/A")</f>
        <v/>
      </c>
      <c r="I66" s="52">
        <f>IFERROR(IF(INDEX('Faculties'!$M$37:$M$57,MATCH($F66,'Faculties'!$B$37:$B$57,0))="","Cell will autofill based on response",INDEX('Faculties'!$M$37:$M$57,MATCH($F66,'Faculties'!$B$37:$B$57,0))),"N/A")</f>
        <v/>
      </c>
      <c r="J66" s="52">
        <f>IFERROR(IF(INDEX('Faculties'!$M$64:$M$84,MATCH($F66,'Faculties'!$B$64:$B$84,0))="","Cell will autofill based on response",INDEX('Faculties'!$M$64:$M$84,MATCH($F66,'Faculties'!$B$64:$B$84,0))),"N/A")</f>
        <v/>
      </c>
      <c r="K66" s="52">
        <f>IFERROR(IF(INDEX('Faculties'!$M$91:$M$111,MATCH($F66,'Faculties'!$B$91:$B$111,0))="","Cell will autofill based on response",INDEX('Faculties'!$M$91:$M$111,MATCH($F66,'Faculties'!$B$91:$B$111,0))),"N/A")</f>
        <v/>
      </c>
      <c r="L66" s="52">
        <f>IFERROR(IF(INDEX('CI&amp;S'!$M$10:$M$15,MATCH($F66,'CI&amp;S'!$B$10:$B$15,0))="","Cell will autofill based on response",INDEX('CI&amp;S'!$M$10:$M$15,MATCH($F66,'CI&amp;S'!$B$10:$B$15,0))),"N/A")</f>
        <v/>
      </c>
      <c r="M66" s="52">
        <f>IFERROR(IF(INDEX('CI&amp;S'!$M$22:$M$39,MATCH($F66,'CI&amp;S'!$B$22:$B$39,0))="","Cell will autofill based on response",INDEX('CI&amp;S'!$M$22:$M$39,MATCH($F66,'CI&amp;S'!$B$22:$B$39,0))),"N/A")</f>
        <v/>
      </c>
      <c r="N66" s="52">
        <f>IFERROR(IF(INDEX('CFOG'!$M$10:$M$16,MATCH($F66,'CFOG'!$B$10:$B$16,0))="","Cell will autofill based on response",INDEX('CFOG'!$M$10:$M$16,MATCH($F66,'CFOG'!$B$10:$B$16,0))),"N/A")</f>
        <v/>
      </c>
      <c r="O66" s="52">
        <f>IFERROR(IF(INDEX('CFOG'!$M$23:$M$24,MATCH($F66,'CFOG'!$B$23:$B$24,0))="","Cell will autofill based on response",INDEX('CFOG'!$M$23:$M$24,MATCH($F66,'CFOG'!$B$23:$B$24,0))),"N/A")</f>
        <v/>
      </c>
      <c r="P66" s="52">
        <f>IFERROR(IF(INDEX('ESG'!$M$10:$M$17,MATCH($F66,'ESG'!$B$10:$B$17,0))="","Cell will autofill based on response",INDEX('ESG'!$M$10:$M$17,MATCH($F66,'ESG'!$B$10:$B$17,0))),"N/A")</f>
        <v/>
      </c>
      <c r="Q66" s="52">
        <f>IFERROR(IF(INDEX('CIOG'!$M$10:$M$14,MATCH($F66,'CIOG'!$B$10:$B$14,0))="","Cell will autofill based on response",INDEX('CIOG'!$M$10:$M$14,MATCH($F66,'CIOG'!$B$10:$B$14,0))),"N/A")</f>
        <v/>
      </c>
      <c r="R66" s="52">
        <f>IFERROR(IF(INDEX('MRE'!$M$10:$M$12,MATCH($F66,'MRE'!$B$10:$B$12,0))="","Cell will autofill based on response",INDEX('MRE'!$M$10:$M$12,MATCH($F66,'MRE'!$B$10:$B$12,0))),"N/A")</f>
        <v/>
      </c>
      <c r="S66" s="52">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2">
        <f>IFERROR(IF(INDEX('Faculties'!$N$10:$N$30,MATCH($F67,'Faculties'!$B$10:$B$30,0))="","Cell will autofill based on response",INDEX('Faculties'!$N$10:$N$30,MATCH($F67,'Faculties'!$B$10:$B$30,0))),"N/A")</f>
        <v/>
      </c>
      <c r="I67" s="52">
        <f>IFERROR(IF(INDEX('Faculties'!$N$37:$N$57,MATCH($F67,'Faculties'!$B$37:$B$57,0))="","Cell will autofill based on response",INDEX('Faculties'!$N$37:$N$57,MATCH($F67,'Faculties'!$B$37:$B$57,0))),"N/A")</f>
        <v/>
      </c>
      <c r="J67" s="52">
        <f>IFERROR(IF(INDEX('Faculties'!$N$64:$N$84,MATCH($F67,'Faculties'!$B$64:$B$84,0))="","Cell will autofill based on response",INDEX('Faculties'!$N$64:$N$84,MATCH($F67,'Faculties'!$B$64:$B$84,0))),"N/A")</f>
        <v/>
      </c>
      <c r="K67" s="52">
        <f>IFERROR(IF(INDEX('Faculties'!$N$91:$N$111,MATCH($F67,'Faculties'!$B$91:$B$111,0))="","Cell will autofill based on response",INDEX('Faculties'!$N$91:$N$111,MATCH($F67,'Faculties'!$B$91:$B$111,0))),"N/A")</f>
        <v/>
      </c>
      <c r="L67" s="52">
        <f>IFERROR(IF(INDEX('CI&amp;S'!$N$10:$N$15,MATCH($F67,'CI&amp;S'!$B$10:$B$15,0))="","Cell will autofill based on response",INDEX('CI&amp;S'!$N$10:$N$15,MATCH($F67,'CI&amp;S'!$B$10:$B$15,0))),"N/A")</f>
        <v/>
      </c>
      <c r="M67" s="52">
        <f>IFERROR(IF(INDEX('CI&amp;S'!$N$22:$N$39,MATCH($F67,'CI&amp;S'!$B$22:$B$39,0))="","Cell will autofill based on response",INDEX('CI&amp;S'!$N$22:$N$39,MATCH($F67,'CI&amp;S'!$B$22:$B$39,0))),"N/A")</f>
        <v/>
      </c>
      <c r="N67" s="52">
        <f>IFERROR(IF(INDEX('CFOG'!$N$10:$N$16,MATCH($F67,'CFOG'!$B$10:$B$16,0))="","Cell will autofill based on response",INDEX('CFOG'!$N$10:$N$16,MATCH($F67,'CFOG'!$B$10:$B$16,0))),"N/A")</f>
        <v/>
      </c>
      <c r="O67" s="52">
        <f>IFERROR(IF(INDEX('CFOG'!$N$23:$N$24,MATCH($F67,'CFOG'!$B$23:$B$24,0))="","Cell will autofill based on response",INDEX('CFOG'!$N$23:$N$24,MATCH($F67,'CFOG'!$B$23:$B$24,0))),"N/A")</f>
        <v/>
      </c>
      <c r="P67" s="52">
        <f>IFERROR(IF(INDEX('ESG'!$N$10:$N$17,MATCH($F67,'ESG'!$B$10:$B$17,0))="","Cell will autofill based on response",INDEX('ESG'!$N$10:$N$17,MATCH($F67,'ESG'!$B$10:$B$17,0))),"N/A")</f>
        <v/>
      </c>
      <c r="Q67" s="52">
        <f>IFERROR(IF(INDEX('CIOG'!$N$10:$N$14,MATCH($F67,'CIOG'!$B$10:$B$14,0))="","Cell will autofill based on response",INDEX('CIOG'!$N$10:$N$14,MATCH($F67,'CIOG'!$B$10:$B$14,0))),"N/A")</f>
        <v/>
      </c>
      <c r="R67" s="52">
        <f>IFERROR(IF(INDEX('MRE'!$N$10:$N$12,MATCH($F67,'MRE'!$B$10:$B$12,0))="","Cell will autofill based on response",INDEX('MRE'!$N$10:$N$12,MATCH($F67,'MRE'!$B$10:$B$12,0))),"N/A")</f>
        <v/>
      </c>
      <c r="S67" s="52">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2">
        <f>IFERROR(IF(INDEX('Faculties'!$O$10:$O$30,MATCH($F68,'Faculties'!$B$10:$B$30,0))="","Cell will autofill based on response",INDEX('Faculties'!$O$10:$O$30,MATCH($F68,'Faculties'!$B$10:$B$30,0))),"N/A")</f>
        <v/>
      </c>
      <c r="I68" s="52">
        <f>IFERROR(IF(INDEX('Faculties'!$O$37:$O$57,MATCH($F68,'Faculties'!$B$37:$B$57,0))="","Cell will autofill based on response",INDEX('Faculties'!$O$37:$O$57,MATCH($F68,'Faculties'!$B$37:$B$57,0))),"N/A")</f>
        <v/>
      </c>
      <c r="J68" s="52">
        <f>IFERROR(IF(INDEX('Faculties'!$O$64:$O$84,MATCH($F68,'Faculties'!$B$64:$B$84,0))="","Cell will autofill based on response",INDEX('Faculties'!$O$64:$O$84,MATCH($F68,'Faculties'!$B$64:$B$84,0))),"N/A")</f>
        <v/>
      </c>
      <c r="K68" s="52">
        <f>IFERROR(IF(INDEX('Faculties'!$O$91:$O$111,MATCH($F68,'Faculties'!$B$91:$B$111,0))="","Cell will autofill based on response",INDEX('Faculties'!$O$91:$O$111,MATCH($F68,'Faculties'!$B$91:$B$111,0))),"N/A")</f>
        <v/>
      </c>
      <c r="L68" s="52">
        <f>IFERROR(IF(INDEX('CI&amp;S'!$O$10:$O$15,MATCH($F68,'CI&amp;S'!$B$10:$B$15,0))="","Cell will autofill based on response",INDEX('CI&amp;S'!$O$10:$O$15,MATCH($F68,'CI&amp;S'!$B$10:$B$15,0))),"N/A")</f>
        <v/>
      </c>
      <c r="M68" s="52">
        <f>IFERROR(IF(INDEX('CI&amp;S'!$O$22:$O$39,MATCH($F68,'CI&amp;S'!$B$22:$B$39,0))="","Cell will autofill based on response",INDEX('CI&amp;S'!$O$22:$O$39,MATCH($F68,'CI&amp;S'!$B$22:$B$39,0))),"N/A")</f>
        <v/>
      </c>
      <c r="N68" s="52">
        <f>IFERROR(IF(INDEX('CFOG'!$O$10:$O$16,MATCH($F68,'CFOG'!$B$10:$B$16,0))="","Cell will autofill based on response",INDEX('CFOG'!$O$10:$O$16,MATCH($F68,'CFOG'!$B$10:$B$16,0))),"N/A")</f>
        <v/>
      </c>
      <c r="O68" s="52">
        <f>IFERROR(IF(INDEX('CFOG'!$O$23:$O$24,MATCH($F68,'CFOG'!$B$23:$B$24,0))="","Cell will autofill based on response",INDEX('CFOG'!$O$23:$O$24,MATCH($F68,'CFOG'!$B$23:$B$24,0))),"N/A")</f>
        <v/>
      </c>
      <c r="P68" s="52">
        <f>IFERROR(IF(INDEX('ESG'!$O$10:$O$17,MATCH($F68,'ESG'!$B$10:$B$17,0))="","Cell will autofill based on response",INDEX('ESG'!$O$10:$O$17,MATCH($F68,'ESG'!$B$10:$B$17,0))),"N/A")</f>
        <v/>
      </c>
      <c r="Q68" s="52">
        <f>IFERROR(IF(INDEX('CIOG'!$O$10:$O$14,MATCH($F68,'CIOG'!$B$10:$B$14,0))="","Cell will autofill based on response",INDEX('CIOG'!$O$10:$O$14,MATCH($F68,'CIOG'!$B$10:$B$14,0))),"N/A")</f>
        <v/>
      </c>
      <c r="R68" s="52">
        <f>IFERROR(IF(INDEX('MRE'!$O$10:$O$12,MATCH($F68,'MRE'!$B$10:$B$12,0))="","Cell will autofill based on response",INDEX('MRE'!$O$10:$O$12,MATCH($F68,'MRE'!$B$10:$B$12,0))),"N/A")</f>
        <v/>
      </c>
      <c r="S68" s="52">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2">
        <f>IFERROR(IF(INDEX('Faculties'!$P$10:$P$30,MATCH($F69,'Faculties'!$B$10:$B$30,0))="","Cell will autofill based on response",INDEX('Faculties'!$P$10:$P$30,MATCH($F69,'Faculties'!$B$10:$B$30,0))),"N/A")</f>
        <v/>
      </c>
      <c r="I69" s="52">
        <f>IFERROR(IF(INDEX('Faculties'!$P$37:$P$57,MATCH($F69,'Faculties'!$B$37:$B$57,0))="","Cell will autofill based on response",INDEX('Faculties'!$P$37:$P$57,MATCH($F69,'Faculties'!$B$37:$B$57,0))),"N/A")</f>
        <v/>
      </c>
      <c r="J69" s="52">
        <f>IFERROR(IF(INDEX('Faculties'!$P$64:$P$84,MATCH($F69,'Faculties'!$B$64:$B$84,0))="","Cell will autofill based on response",INDEX('Faculties'!$P$64:$P$84,MATCH($F69,'Faculties'!$B$64:$B$84,0))),"N/A")</f>
        <v/>
      </c>
      <c r="K69" s="52">
        <f>IFERROR(IF(INDEX('Faculties'!$P$91:$P$111,MATCH($F69,'Faculties'!$B$91:$B$111,0))="","Cell will autofill based on response",INDEX('Faculties'!$P$91:$P$111,MATCH($F69,'Faculties'!$B$91:$B$111,0))),"N/A")</f>
        <v/>
      </c>
      <c r="L69" s="52">
        <f>IFERROR(IF(INDEX('CI&amp;S'!$P$10:$P$15,MATCH($F69,'CI&amp;S'!$B$10:$B$15,0))="","Cell will autofill based on response",INDEX('CI&amp;S'!$P$10:$P$15,MATCH($F69,'CI&amp;S'!$B$10:$B$15,0))),"N/A")</f>
        <v/>
      </c>
      <c r="M69" s="52">
        <f>IFERROR(IF(INDEX('CI&amp;S'!$P$22:$P$39,MATCH($F69,'CI&amp;S'!$B$22:$B$39,0))="","Cell will autofill based on response",INDEX('CI&amp;S'!$P$22:$P$39,MATCH($F69,'CI&amp;S'!$B$22:$B$39,0))),"N/A")</f>
        <v/>
      </c>
      <c r="N69" s="52">
        <f>IFERROR(IF(INDEX('CFOG'!$P$10:$P$16,MATCH($F69,'CFOG'!$B$10:$B$16,0))="","Cell will autofill based on response",INDEX('CFOG'!$P$10:$P$16,MATCH($F69,'CFOG'!$B$10:$B$16,0))),"N/A")</f>
        <v/>
      </c>
      <c r="O69" s="52">
        <f>IFERROR(IF(INDEX('CFOG'!$P$23:$P$24,MATCH($F69,'CFOG'!$B$23:$B$24,0))="","Cell will autofill based on response",INDEX('CFOG'!$P$23:$P$24,MATCH($F69,'CFOG'!$B$23:$B$24,0))),"N/A")</f>
        <v/>
      </c>
      <c r="P69" s="52">
        <f>IFERROR(IF(INDEX('ESG'!$P$10:$P$17,MATCH($F69,'ESG'!$B$10:$B$17,0))="","Cell will autofill based on response",INDEX('ESG'!$P$10:$P$17,MATCH($F69,'ESG'!$B$10:$B$17,0))),"N/A")</f>
        <v/>
      </c>
      <c r="Q69" s="52">
        <f>IFERROR(IF(INDEX('CIOG'!$P$10:$P$14,MATCH($F69,'CIOG'!$B$10:$B$14,0))="","Cell will autofill based on response",INDEX('CIOG'!$P$10:$P$14,MATCH($F69,'CIOG'!$B$10:$B$14,0))),"N/A")</f>
        <v/>
      </c>
      <c r="R69" s="52">
        <f>IFERROR(IF(INDEX('MRE'!$P$10:$P$12,MATCH($F69,'MRE'!$B$10:$B$12,0))="","Cell will autofill based on response",INDEX('MRE'!$P$10:$P$12,MATCH($F69,'MRE'!$B$10:$B$12,0))),"N/A")</f>
        <v/>
      </c>
      <c r="S69" s="52">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2">
        <f>IFERROR(IF(INDEX('Faculties'!$Q$10:$Q$30,MATCH($F70,'Faculties'!$B$10:$B$30,0))="","Cell will autofill based on response",INDEX('Faculties'!$Q$10:$Q$30,MATCH($F70,'Faculties'!$B$10:$B$30,0))),"N/A")</f>
        <v/>
      </c>
      <c r="I70" s="52">
        <f>IFERROR(IF(INDEX('Faculties'!$Q$37:$Q$57,MATCH($F70,'Faculties'!$B$37:$B$57,0))="","Cell will autofill based on response",INDEX('Faculties'!$Q$37:$Q$57,MATCH($F70,'Faculties'!$B$37:$B$57,0))),"N/A")</f>
        <v/>
      </c>
      <c r="J70" s="52">
        <f>IFERROR(IF(INDEX('Faculties'!$Q$64:$Q$84,MATCH($F70,'Faculties'!$B$64:$B$84,0))="","Cell will autofill based on response",INDEX('Faculties'!$Q$64:$Q$84,MATCH($F70,'Faculties'!$B$64:$B$84,0))),"N/A")</f>
        <v/>
      </c>
      <c r="K70" s="52">
        <f>IFERROR(IF(INDEX('Faculties'!$Q$91:$Q$111,MATCH($F70,'Faculties'!$B$91:$B$111,0))="","Cell will autofill based on response",INDEX('Faculties'!$Q$91:$Q$111,MATCH($F70,'Faculties'!$B$91:$B$111,0))),"N/A")</f>
        <v/>
      </c>
      <c r="L70" s="52">
        <f>IFERROR(IF(INDEX('CI&amp;S'!$Q$10:$Q$15,MATCH($F70,'CI&amp;S'!$B$10:$B$15,0))="","Cell will autofill based on response",INDEX('CI&amp;S'!$Q$10:$Q$15,MATCH($F70,'CI&amp;S'!$B$10:$B$15,0))),"N/A")</f>
        <v/>
      </c>
      <c r="M70" s="52">
        <f>IFERROR(IF(INDEX('CI&amp;S'!$Q$22:$Q$39,MATCH($F70,'CI&amp;S'!$B$22:$B$39,0))="","Cell will autofill based on response",INDEX('CI&amp;S'!$Q$22:$Q$39,MATCH($F70,'CI&amp;S'!$B$22:$B$39,0))),"N/A")</f>
        <v/>
      </c>
      <c r="N70" s="52">
        <f>IFERROR(IF(INDEX('CFOG'!$Q$10:$Q$16,MATCH($F70,'CFOG'!$B$10:$B$16,0))="","Cell will autofill based on response",INDEX('CFOG'!$Q$10:$Q$16,MATCH($F70,'CFOG'!$B$10:$B$16,0))),"N/A")</f>
        <v/>
      </c>
      <c r="O70" s="52">
        <f>IFERROR(IF(INDEX('CFOG'!$Q$23:$Q$24,MATCH($F70,'CFOG'!$B$23:$B$24,0))="","Cell will autofill based on response",INDEX('CFOG'!$Q$23:$Q$24,MATCH($F70,'CFOG'!$B$23:$B$24,0))),"N/A")</f>
        <v/>
      </c>
      <c r="P70" s="52">
        <f>IFERROR(IF(INDEX('ESG'!$Q$10:$Q$17,MATCH($F70,'ESG'!$B$10:$B$17,0))="","Cell will autofill based on response",INDEX('ESG'!$Q$10:$Q$17,MATCH($F70,'ESG'!$B$10:$B$17,0))),"N/A")</f>
        <v/>
      </c>
      <c r="Q70" s="52">
        <f>IFERROR(IF(INDEX('CIOG'!$Q$10:$Q$14,MATCH($F70,'CIOG'!$B$10:$B$14,0))="","Cell will autofill based on response",INDEX('CIOG'!$Q$10:$Q$14,MATCH($F70,'CIOG'!$B$10:$B$14,0))),"N/A")</f>
        <v/>
      </c>
      <c r="R70" s="52">
        <f>IFERROR(IF(INDEX('MRE'!$Q$10:$Q$12,MATCH($F70,'MRE'!$B$10:$B$12,0))="","Cell will autofill based on response",INDEX('MRE'!$Q$10:$Q$12,MATCH($F70,'MRE'!$B$10:$B$12,0))),"N/A")</f>
        <v/>
      </c>
      <c r="S70" s="52">
        <f>IFERROR(IF(INDEX('L&amp;R'!$Q$10:$Q$11,MATCH($F70,'L&amp;R'!$B$10:$B$11,0))="","Cell will autofill based on response",INDEX('L&amp;R'!$Q$10:$Q$11,MATCH($F70,'L&amp;R'!$B$10:$B$11,0))),"N/A")</f>
        <v/>
      </c>
    </row>
    <row r="71">
      <c r="A71">
        <f>F71&amp;"|"&amp;G71</f>
        <v/>
      </c>
      <c r="B71" s="7" t="inlineStr">
        <is>
          <t>TR2(d)</t>
        </is>
      </c>
      <c r="C71" s="50" t="inlineStr">
        <is>
          <t>Transformational research</t>
        </is>
      </c>
      <c r="D71" s="50" t="inlineStr">
        <is>
          <t>Case-based evidence demonstrating how research has contributed to meaningful sustainability outcomes.</t>
        </is>
      </c>
      <c r="E71" s="50"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0" t="inlineStr">
        <is>
          <t>TR2(d)</t>
        </is>
      </c>
      <c r="G71" s="50" t="inlineStr">
        <is>
          <t>Confirm end-2026 target status</t>
        </is>
      </c>
      <c r="H71" s="52">
        <f>IFERROR(IF(INDEX('Faculties'!$L$10:$L$30,MATCH($F71,'Faculties'!$B$10:$B$30,0))="","Cell will autofill based on response",INDEX('Faculties'!$L$10:$L$30,MATCH($F71,'Faculties'!$B$10:$B$30,0))),"N/A")</f>
        <v/>
      </c>
      <c r="I71" s="52">
        <f>IFERROR(IF(INDEX('Faculties'!$L$37:$L$57,MATCH($F71,'Faculties'!$B$37:$B$57,0))="","Cell will autofill based on response",INDEX('Faculties'!$L$37:$L$57,MATCH($F71,'Faculties'!$B$37:$B$57,0))),"N/A")</f>
        <v/>
      </c>
      <c r="J71" s="52">
        <f>IFERROR(IF(INDEX('Faculties'!$L$64:$L$84,MATCH($F71,'Faculties'!$B$64:$B$84,0))="","Cell will autofill based on response",INDEX('Faculties'!$L$64:$L$84,MATCH($F71,'Faculties'!$B$64:$B$84,0))),"N/A")</f>
        <v/>
      </c>
      <c r="K71" s="52">
        <f>IFERROR(IF(INDEX('Faculties'!$L$91:$L$111,MATCH($F71,'Faculties'!$B$91:$B$111,0))="","Cell will autofill based on response",INDEX('Faculties'!$L$91:$L$111,MATCH($F71,'Faculties'!$B$91:$B$111,0))),"N/A")</f>
        <v/>
      </c>
      <c r="L71" s="52">
        <f>IFERROR(IF(INDEX('CI&amp;S'!$L$10:$L$15,MATCH($F71,'CI&amp;S'!$B$10:$B$15,0))="","Cell will autofill based on response",INDEX('CI&amp;S'!$L$10:$L$15,MATCH($F71,'CI&amp;S'!$B$10:$B$15,0))),"N/A")</f>
        <v/>
      </c>
      <c r="M71" s="52">
        <f>IFERROR(IF(INDEX('CI&amp;S'!$L$22:$L$39,MATCH($F71,'CI&amp;S'!$B$22:$B$39,0))="","Cell will autofill based on response",INDEX('CI&amp;S'!$L$22:$L$39,MATCH($F71,'CI&amp;S'!$B$22:$B$39,0))),"N/A")</f>
        <v/>
      </c>
      <c r="N71" s="52">
        <f>IFERROR(IF(INDEX('CFOG'!$L$10:$L$16,MATCH($F71,'CFOG'!$B$10:$B$16,0))="","Cell will autofill based on response",INDEX('CFOG'!$L$10:$L$16,MATCH($F71,'CFOG'!$B$10:$B$16,0))),"N/A")</f>
        <v/>
      </c>
      <c r="O71" s="52">
        <f>IFERROR(IF(INDEX('CFOG'!$L$23:$L$24,MATCH($F71,'CFOG'!$B$23:$B$24,0))="","Cell will autofill based on response",INDEX('CFOG'!$L$23:$L$24,MATCH($F71,'CFOG'!$B$23:$B$24,0))),"N/A")</f>
        <v/>
      </c>
      <c r="P71" s="52">
        <f>IFERROR(IF(INDEX('ESG'!$L$10:$L$17,MATCH($F71,'ESG'!$B$10:$B$17,0))="","Cell will autofill based on response",INDEX('ESG'!$L$10:$L$17,MATCH($F71,'ESG'!$B$10:$B$17,0))),"N/A")</f>
        <v/>
      </c>
      <c r="Q71" s="52">
        <f>IFERROR(IF(INDEX('CIOG'!$L$10:$L$14,MATCH($F71,'CIOG'!$B$10:$B$14,0))="","Cell will autofill based on response",INDEX('CIOG'!$L$10:$L$14,MATCH($F71,'CIOG'!$B$10:$B$14,0))),"N/A")</f>
        <v/>
      </c>
      <c r="R71" s="52">
        <f>IFERROR(IF(INDEX('MRE'!$L$10:$L$12,MATCH($F71,'MRE'!$B$10:$B$12,0))="","Cell will autofill based on response",INDEX('MRE'!$L$10:$L$12,MATCH($F71,'MRE'!$B$10:$B$12,0))),"N/A")</f>
        <v/>
      </c>
      <c r="S71" s="52">
        <f>IFERROR(IF(INDEX('L&amp;R'!$L$10:$L$11,MATCH($F71,'L&amp;R'!$B$10:$B$11,0))="","Cell will autofill based on response",INDEX('L&amp;R'!$L$10:$L$11,MATCH($F71,'L&amp;R'!$B$10:$B$11,0))),"N/A")</f>
        <v/>
      </c>
      <c r="U71" s="10">
        <f>COUNTIF($H71:$S71,"Cell will autofill based on response")</f>
        <v/>
      </c>
      <c r="V71" s="10">
        <f>COUNTIF($H71:$S71,"Not yet started")</f>
        <v/>
      </c>
      <c r="W71" s="10">
        <f>COUNTIF($H71:$S71,"Not met")</f>
        <v/>
      </c>
      <c r="X71" s="10">
        <f>COUNTIF($H71:$S71,"Partially met")</f>
        <v/>
      </c>
      <c r="Y71" s="10">
        <f>COUNTIF($H71:$S71,"Met or exceeded")</f>
        <v/>
      </c>
      <c r="Z71" s="10">
        <f>3*Y71+2*X71+W71</f>
        <v/>
      </c>
      <c r="AA71" s="10">
        <f>Y71+X71+W71+V71</f>
        <v/>
      </c>
      <c r="AB71" s="53">
        <f>IF(AA71&gt;0,Z71/AA71,"No valid responses to date")</f>
        <v/>
      </c>
      <c r="AC71" s="10">
        <f>IF(ISNUMBER(AB71),INDEX(Lists!$G$2:$G$5,MATCH(ROUND(AB71,0),Lists!$H$2:$H$5,0)),"")</f>
        <v/>
      </c>
      <c r="AD71" s="54">
        <f>IF(AA71&gt;0,Y71/AA71,"")</f>
        <v/>
      </c>
      <c r="AE71" s="54">
        <f>IF(AA71&gt;0,(Y71+X71)/AA71,"")</f>
        <v/>
      </c>
      <c r="AF71" s="10">
        <f>IF(AA71=0,"",IF(AD71&gt;0.75,"Met or exceeded",IF(AE71&gt;=0.5,"Partially met","Not met")))</f>
        <v/>
      </c>
    </row>
    <row r="72">
      <c r="A72">
        <f>F72&amp;"|"&amp;G72</f>
        <v/>
      </c>
      <c r="B72" s="13" t="inlineStr"/>
      <c r="C72" s="8" t="inlineStr"/>
      <c r="D72" s="8" t="inlineStr"/>
      <c r="E72" s="8" t="inlineStr"/>
      <c r="F72" s="8" t="inlineStr">
        <is>
          <t>TR2(d)</t>
        </is>
      </c>
      <c r="G72" s="8" t="inlineStr">
        <is>
          <t>OPTION 1:  Target-level reporting</t>
        </is>
      </c>
      <c r="H72" s="52">
        <f>IFERROR(IF(INDEX('Faculties'!$M$10:$M$30,MATCH($F72,'Faculties'!$B$10:$B$30,0))="","Cell will autofill based on response",INDEX('Faculties'!$M$10:$M$30,MATCH($F72,'Faculties'!$B$10:$B$30,0))),"N/A")</f>
        <v/>
      </c>
      <c r="I72" s="52">
        <f>IFERROR(IF(INDEX('Faculties'!$M$37:$M$57,MATCH($F72,'Faculties'!$B$37:$B$57,0))="","Cell will autofill based on response",INDEX('Faculties'!$M$37:$M$57,MATCH($F72,'Faculties'!$B$37:$B$57,0))),"N/A")</f>
        <v/>
      </c>
      <c r="J72" s="52">
        <f>IFERROR(IF(INDEX('Faculties'!$M$64:$M$84,MATCH($F72,'Faculties'!$B$64:$B$84,0))="","Cell will autofill based on response",INDEX('Faculties'!$M$64:$M$84,MATCH($F72,'Faculties'!$B$64:$B$84,0))),"N/A")</f>
        <v/>
      </c>
      <c r="K72" s="52">
        <f>IFERROR(IF(INDEX('Faculties'!$M$91:$M$111,MATCH($F72,'Faculties'!$B$91:$B$111,0))="","Cell will autofill based on response",INDEX('Faculties'!$M$91:$M$111,MATCH($F72,'Faculties'!$B$91:$B$111,0))),"N/A")</f>
        <v/>
      </c>
      <c r="L72" s="52">
        <f>IFERROR(IF(INDEX('CI&amp;S'!$M$10:$M$15,MATCH($F72,'CI&amp;S'!$B$10:$B$15,0))="","Cell will autofill based on response",INDEX('CI&amp;S'!$M$10:$M$15,MATCH($F72,'CI&amp;S'!$B$10:$B$15,0))),"N/A")</f>
        <v/>
      </c>
      <c r="M72" s="52">
        <f>IFERROR(IF(INDEX('CI&amp;S'!$M$22:$M$39,MATCH($F72,'CI&amp;S'!$B$22:$B$39,0))="","Cell will autofill based on response",INDEX('CI&amp;S'!$M$22:$M$39,MATCH($F72,'CI&amp;S'!$B$22:$B$39,0))),"N/A")</f>
        <v/>
      </c>
      <c r="N72" s="52">
        <f>IFERROR(IF(INDEX('CFOG'!$M$10:$M$16,MATCH($F72,'CFOG'!$B$10:$B$16,0))="","Cell will autofill based on response",INDEX('CFOG'!$M$10:$M$16,MATCH($F72,'CFOG'!$B$10:$B$16,0))),"N/A")</f>
        <v/>
      </c>
      <c r="O72" s="52">
        <f>IFERROR(IF(INDEX('CFOG'!$M$23:$M$24,MATCH($F72,'CFOG'!$B$23:$B$24,0))="","Cell will autofill based on response",INDEX('CFOG'!$M$23:$M$24,MATCH($F72,'CFOG'!$B$23:$B$24,0))),"N/A")</f>
        <v/>
      </c>
      <c r="P72" s="52">
        <f>IFERROR(IF(INDEX('ESG'!$M$10:$M$17,MATCH($F72,'ESG'!$B$10:$B$17,0))="","Cell will autofill based on response",INDEX('ESG'!$M$10:$M$17,MATCH($F72,'ESG'!$B$10:$B$17,0))),"N/A")</f>
        <v/>
      </c>
      <c r="Q72" s="52">
        <f>IFERROR(IF(INDEX('CIOG'!$M$10:$M$14,MATCH($F72,'CIOG'!$B$10:$B$14,0))="","Cell will autofill based on response",INDEX('CIOG'!$M$10:$M$14,MATCH($F72,'CIOG'!$B$10:$B$14,0))),"N/A")</f>
        <v/>
      </c>
      <c r="R72" s="52">
        <f>IFERROR(IF(INDEX('MRE'!$M$10:$M$12,MATCH($F72,'MRE'!$B$10:$B$12,0))="","Cell will autofill based on response",INDEX('MRE'!$M$10:$M$12,MATCH($F72,'MRE'!$B$10:$B$12,0))),"N/A")</f>
        <v/>
      </c>
      <c r="S72" s="52">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2">
        <f>IFERROR(IF(INDEX('Faculties'!$N$10:$N$30,MATCH($F73,'Faculties'!$B$10:$B$30,0))="","Cell will autofill based on response",INDEX('Faculties'!$N$10:$N$30,MATCH($F73,'Faculties'!$B$10:$B$30,0))),"N/A")</f>
        <v/>
      </c>
      <c r="I73" s="52">
        <f>IFERROR(IF(INDEX('Faculties'!$N$37:$N$57,MATCH($F73,'Faculties'!$B$37:$B$57,0))="","Cell will autofill based on response",INDEX('Faculties'!$N$37:$N$57,MATCH($F73,'Faculties'!$B$37:$B$57,0))),"N/A")</f>
        <v/>
      </c>
      <c r="J73" s="52">
        <f>IFERROR(IF(INDEX('Faculties'!$N$64:$N$84,MATCH($F73,'Faculties'!$B$64:$B$84,0))="","Cell will autofill based on response",INDEX('Faculties'!$N$64:$N$84,MATCH($F73,'Faculties'!$B$64:$B$84,0))),"N/A")</f>
        <v/>
      </c>
      <c r="K73" s="52">
        <f>IFERROR(IF(INDEX('Faculties'!$N$91:$N$111,MATCH($F73,'Faculties'!$B$91:$B$111,0))="","Cell will autofill based on response",INDEX('Faculties'!$N$91:$N$111,MATCH($F73,'Faculties'!$B$91:$B$111,0))),"N/A")</f>
        <v/>
      </c>
      <c r="L73" s="52">
        <f>IFERROR(IF(INDEX('CI&amp;S'!$N$10:$N$15,MATCH($F73,'CI&amp;S'!$B$10:$B$15,0))="","Cell will autofill based on response",INDEX('CI&amp;S'!$N$10:$N$15,MATCH($F73,'CI&amp;S'!$B$10:$B$15,0))),"N/A")</f>
        <v/>
      </c>
      <c r="M73" s="52">
        <f>IFERROR(IF(INDEX('CI&amp;S'!$N$22:$N$39,MATCH($F73,'CI&amp;S'!$B$22:$B$39,0))="","Cell will autofill based on response",INDEX('CI&amp;S'!$N$22:$N$39,MATCH($F73,'CI&amp;S'!$B$22:$B$39,0))),"N/A")</f>
        <v/>
      </c>
      <c r="N73" s="52">
        <f>IFERROR(IF(INDEX('CFOG'!$N$10:$N$16,MATCH($F73,'CFOG'!$B$10:$B$16,0))="","Cell will autofill based on response",INDEX('CFOG'!$N$10:$N$16,MATCH($F73,'CFOG'!$B$10:$B$16,0))),"N/A")</f>
        <v/>
      </c>
      <c r="O73" s="52">
        <f>IFERROR(IF(INDEX('CFOG'!$N$23:$N$24,MATCH($F73,'CFOG'!$B$23:$B$24,0))="","Cell will autofill based on response",INDEX('CFOG'!$N$23:$N$24,MATCH($F73,'CFOG'!$B$23:$B$24,0))),"N/A")</f>
        <v/>
      </c>
      <c r="P73" s="52">
        <f>IFERROR(IF(INDEX('ESG'!$N$10:$N$17,MATCH($F73,'ESG'!$B$10:$B$17,0))="","Cell will autofill based on response",INDEX('ESG'!$N$10:$N$17,MATCH($F73,'ESG'!$B$10:$B$17,0))),"N/A")</f>
        <v/>
      </c>
      <c r="Q73" s="52">
        <f>IFERROR(IF(INDEX('CIOG'!$N$10:$N$14,MATCH($F73,'CIOG'!$B$10:$B$14,0))="","Cell will autofill based on response",INDEX('CIOG'!$N$10:$N$14,MATCH($F73,'CIOG'!$B$10:$B$14,0))),"N/A")</f>
        <v/>
      </c>
      <c r="R73" s="52">
        <f>IFERROR(IF(INDEX('MRE'!$N$10:$N$12,MATCH($F73,'MRE'!$B$10:$B$12,0))="","Cell will autofill based on response",INDEX('MRE'!$N$10:$N$12,MATCH($F73,'MRE'!$B$10:$B$12,0))),"N/A")</f>
        <v/>
      </c>
      <c r="S73" s="52">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2">
        <f>IFERROR(IF(INDEX('Faculties'!$O$10:$O$30,MATCH($F74,'Faculties'!$B$10:$B$30,0))="","Cell will autofill based on response",INDEX('Faculties'!$O$10:$O$30,MATCH($F74,'Faculties'!$B$10:$B$30,0))),"N/A")</f>
        <v/>
      </c>
      <c r="I74" s="52">
        <f>IFERROR(IF(INDEX('Faculties'!$O$37:$O$57,MATCH($F74,'Faculties'!$B$37:$B$57,0))="","Cell will autofill based on response",INDEX('Faculties'!$O$37:$O$57,MATCH($F74,'Faculties'!$B$37:$B$57,0))),"N/A")</f>
        <v/>
      </c>
      <c r="J74" s="52">
        <f>IFERROR(IF(INDEX('Faculties'!$O$64:$O$84,MATCH($F74,'Faculties'!$B$64:$B$84,0))="","Cell will autofill based on response",INDEX('Faculties'!$O$64:$O$84,MATCH($F74,'Faculties'!$B$64:$B$84,0))),"N/A")</f>
        <v/>
      </c>
      <c r="K74" s="52">
        <f>IFERROR(IF(INDEX('Faculties'!$O$91:$O$111,MATCH($F74,'Faculties'!$B$91:$B$111,0))="","Cell will autofill based on response",INDEX('Faculties'!$O$91:$O$111,MATCH($F74,'Faculties'!$B$91:$B$111,0))),"N/A")</f>
        <v/>
      </c>
      <c r="L74" s="52">
        <f>IFERROR(IF(INDEX('CI&amp;S'!$O$10:$O$15,MATCH($F74,'CI&amp;S'!$B$10:$B$15,0))="","Cell will autofill based on response",INDEX('CI&amp;S'!$O$10:$O$15,MATCH($F74,'CI&amp;S'!$B$10:$B$15,0))),"N/A")</f>
        <v/>
      </c>
      <c r="M74" s="52">
        <f>IFERROR(IF(INDEX('CI&amp;S'!$O$22:$O$39,MATCH($F74,'CI&amp;S'!$B$22:$B$39,0))="","Cell will autofill based on response",INDEX('CI&amp;S'!$O$22:$O$39,MATCH($F74,'CI&amp;S'!$B$22:$B$39,0))),"N/A")</f>
        <v/>
      </c>
      <c r="N74" s="52">
        <f>IFERROR(IF(INDEX('CFOG'!$O$10:$O$16,MATCH($F74,'CFOG'!$B$10:$B$16,0))="","Cell will autofill based on response",INDEX('CFOG'!$O$10:$O$16,MATCH($F74,'CFOG'!$B$10:$B$16,0))),"N/A")</f>
        <v/>
      </c>
      <c r="O74" s="52">
        <f>IFERROR(IF(INDEX('CFOG'!$O$23:$O$24,MATCH($F74,'CFOG'!$B$23:$B$24,0))="","Cell will autofill based on response",INDEX('CFOG'!$O$23:$O$24,MATCH($F74,'CFOG'!$B$23:$B$24,0))),"N/A")</f>
        <v/>
      </c>
      <c r="P74" s="52">
        <f>IFERROR(IF(INDEX('ESG'!$O$10:$O$17,MATCH($F74,'ESG'!$B$10:$B$17,0))="","Cell will autofill based on response",INDEX('ESG'!$O$10:$O$17,MATCH($F74,'ESG'!$B$10:$B$17,0))),"N/A")</f>
        <v/>
      </c>
      <c r="Q74" s="52">
        <f>IFERROR(IF(INDEX('CIOG'!$O$10:$O$14,MATCH($F74,'CIOG'!$B$10:$B$14,0))="","Cell will autofill based on response",INDEX('CIOG'!$O$10:$O$14,MATCH($F74,'CIOG'!$B$10:$B$14,0))),"N/A")</f>
        <v/>
      </c>
      <c r="R74" s="52">
        <f>IFERROR(IF(INDEX('MRE'!$O$10:$O$12,MATCH($F74,'MRE'!$B$10:$B$12,0))="","Cell will autofill based on response",INDEX('MRE'!$O$10:$O$12,MATCH($F74,'MRE'!$B$10:$B$12,0))),"N/A")</f>
        <v/>
      </c>
      <c r="S74" s="52">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2">
        <f>IFERROR(IF(INDEX('Faculties'!$P$10:$P$30,MATCH($F75,'Faculties'!$B$10:$B$30,0))="","Cell will autofill based on response",INDEX('Faculties'!$P$10:$P$30,MATCH($F75,'Faculties'!$B$10:$B$30,0))),"N/A")</f>
        <v/>
      </c>
      <c r="I75" s="52">
        <f>IFERROR(IF(INDEX('Faculties'!$P$37:$P$57,MATCH($F75,'Faculties'!$B$37:$B$57,0))="","Cell will autofill based on response",INDEX('Faculties'!$P$37:$P$57,MATCH($F75,'Faculties'!$B$37:$B$57,0))),"N/A")</f>
        <v/>
      </c>
      <c r="J75" s="52">
        <f>IFERROR(IF(INDEX('Faculties'!$P$64:$P$84,MATCH($F75,'Faculties'!$B$64:$B$84,0))="","Cell will autofill based on response",INDEX('Faculties'!$P$64:$P$84,MATCH($F75,'Faculties'!$B$64:$B$84,0))),"N/A")</f>
        <v/>
      </c>
      <c r="K75" s="52">
        <f>IFERROR(IF(INDEX('Faculties'!$P$91:$P$111,MATCH($F75,'Faculties'!$B$91:$B$111,0))="","Cell will autofill based on response",INDEX('Faculties'!$P$91:$P$111,MATCH($F75,'Faculties'!$B$91:$B$111,0))),"N/A")</f>
        <v/>
      </c>
      <c r="L75" s="52">
        <f>IFERROR(IF(INDEX('CI&amp;S'!$P$10:$P$15,MATCH($F75,'CI&amp;S'!$B$10:$B$15,0))="","Cell will autofill based on response",INDEX('CI&amp;S'!$P$10:$P$15,MATCH($F75,'CI&amp;S'!$B$10:$B$15,0))),"N/A")</f>
        <v/>
      </c>
      <c r="M75" s="52">
        <f>IFERROR(IF(INDEX('CI&amp;S'!$P$22:$P$39,MATCH($F75,'CI&amp;S'!$B$22:$B$39,0))="","Cell will autofill based on response",INDEX('CI&amp;S'!$P$22:$P$39,MATCH($F75,'CI&amp;S'!$B$22:$B$39,0))),"N/A")</f>
        <v/>
      </c>
      <c r="N75" s="52">
        <f>IFERROR(IF(INDEX('CFOG'!$P$10:$P$16,MATCH($F75,'CFOG'!$B$10:$B$16,0))="","Cell will autofill based on response",INDEX('CFOG'!$P$10:$P$16,MATCH($F75,'CFOG'!$B$10:$B$16,0))),"N/A")</f>
        <v/>
      </c>
      <c r="O75" s="52">
        <f>IFERROR(IF(INDEX('CFOG'!$P$23:$P$24,MATCH($F75,'CFOG'!$B$23:$B$24,0))="","Cell will autofill based on response",INDEX('CFOG'!$P$23:$P$24,MATCH($F75,'CFOG'!$B$23:$B$24,0))),"N/A")</f>
        <v/>
      </c>
      <c r="P75" s="52">
        <f>IFERROR(IF(INDEX('ESG'!$P$10:$P$17,MATCH($F75,'ESG'!$B$10:$B$17,0))="","Cell will autofill based on response",INDEX('ESG'!$P$10:$P$17,MATCH($F75,'ESG'!$B$10:$B$17,0))),"N/A")</f>
        <v/>
      </c>
      <c r="Q75" s="52">
        <f>IFERROR(IF(INDEX('CIOG'!$P$10:$P$14,MATCH($F75,'CIOG'!$B$10:$B$14,0))="","Cell will autofill based on response",INDEX('CIOG'!$P$10:$P$14,MATCH($F75,'CIOG'!$B$10:$B$14,0))),"N/A")</f>
        <v/>
      </c>
      <c r="R75" s="52">
        <f>IFERROR(IF(INDEX('MRE'!$P$10:$P$12,MATCH($F75,'MRE'!$B$10:$B$12,0))="","Cell will autofill based on response",INDEX('MRE'!$P$10:$P$12,MATCH($F75,'MRE'!$B$10:$B$12,0))),"N/A")</f>
        <v/>
      </c>
      <c r="S75" s="52">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2">
        <f>IFERROR(IF(INDEX('Faculties'!$Q$10:$Q$30,MATCH($F76,'Faculties'!$B$10:$B$30,0))="","Cell will autofill based on response",INDEX('Faculties'!$Q$10:$Q$30,MATCH($F76,'Faculties'!$B$10:$B$30,0))),"N/A")</f>
        <v/>
      </c>
      <c r="I76" s="52">
        <f>IFERROR(IF(INDEX('Faculties'!$Q$37:$Q$57,MATCH($F76,'Faculties'!$B$37:$B$57,0))="","Cell will autofill based on response",INDEX('Faculties'!$Q$37:$Q$57,MATCH($F76,'Faculties'!$B$37:$B$57,0))),"N/A")</f>
        <v/>
      </c>
      <c r="J76" s="52">
        <f>IFERROR(IF(INDEX('Faculties'!$Q$64:$Q$84,MATCH($F76,'Faculties'!$B$64:$B$84,0))="","Cell will autofill based on response",INDEX('Faculties'!$Q$64:$Q$84,MATCH($F76,'Faculties'!$B$64:$B$84,0))),"N/A")</f>
        <v/>
      </c>
      <c r="K76" s="52">
        <f>IFERROR(IF(INDEX('Faculties'!$Q$91:$Q$111,MATCH($F76,'Faculties'!$B$91:$B$111,0))="","Cell will autofill based on response",INDEX('Faculties'!$Q$91:$Q$111,MATCH($F76,'Faculties'!$B$91:$B$111,0))),"N/A")</f>
        <v/>
      </c>
      <c r="L76" s="52">
        <f>IFERROR(IF(INDEX('CI&amp;S'!$Q$10:$Q$15,MATCH($F76,'CI&amp;S'!$B$10:$B$15,0))="","Cell will autofill based on response",INDEX('CI&amp;S'!$Q$10:$Q$15,MATCH($F76,'CI&amp;S'!$B$10:$B$15,0))),"N/A")</f>
        <v/>
      </c>
      <c r="M76" s="52">
        <f>IFERROR(IF(INDEX('CI&amp;S'!$Q$22:$Q$39,MATCH($F76,'CI&amp;S'!$B$22:$B$39,0))="","Cell will autofill based on response",INDEX('CI&amp;S'!$Q$22:$Q$39,MATCH($F76,'CI&amp;S'!$B$22:$B$39,0))),"N/A")</f>
        <v/>
      </c>
      <c r="N76" s="52">
        <f>IFERROR(IF(INDEX('CFOG'!$Q$10:$Q$16,MATCH($F76,'CFOG'!$B$10:$B$16,0))="","Cell will autofill based on response",INDEX('CFOG'!$Q$10:$Q$16,MATCH($F76,'CFOG'!$B$10:$B$16,0))),"N/A")</f>
        <v/>
      </c>
      <c r="O76" s="52">
        <f>IFERROR(IF(INDEX('CFOG'!$Q$23:$Q$24,MATCH($F76,'CFOG'!$B$23:$B$24,0))="","Cell will autofill based on response",INDEX('CFOG'!$Q$23:$Q$24,MATCH($F76,'CFOG'!$B$23:$B$24,0))),"N/A")</f>
        <v/>
      </c>
      <c r="P76" s="52">
        <f>IFERROR(IF(INDEX('ESG'!$Q$10:$Q$17,MATCH($F76,'ESG'!$B$10:$B$17,0))="","Cell will autofill based on response",INDEX('ESG'!$Q$10:$Q$17,MATCH($F76,'ESG'!$B$10:$B$17,0))),"N/A")</f>
        <v/>
      </c>
      <c r="Q76" s="52">
        <f>IFERROR(IF(INDEX('CIOG'!$Q$10:$Q$14,MATCH($F76,'CIOG'!$B$10:$B$14,0))="","Cell will autofill based on response",INDEX('CIOG'!$Q$10:$Q$14,MATCH($F76,'CIOG'!$B$10:$B$14,0))),"N/A")</f>
        <v/>
      </c>
      <c r="R76" s="52">
        <f>IFERROR(IF(INDEX('MRE'!$Q$10:$Q$12,MATCH($F76,'MRE'!$B$10:$B$12,0))="","Cell will autofill based on response",INDEX('MRE'!$Q$10:$Q$12,MATCH($F76,'MRE'!$B$10:$B$12,0))),"N/A")</f>
        <v/>
      </c>
      <c r="S76" s="52">
        <f>IFERROR(IF(INDEX('L&amp;R'!$Q$10:$Q$11,MATCH($F76,'L&amp;R'!$B$10:$B$11,0))="","Cell will autofill based on response",INDEX('L&amp;R'!$Q$10:$Q$11,MATCH($F76,'L&amp;R'!$B$10:$B$11,0))),"N/A")</f>
        <v/>
      </c>
    </row>
    <row r="77">
      <c r="A77">
        <f>F77&amp;"|"&amp;G77</f>
        <v/>
      </c>
      <c r="B77" s="7" t="inlineStr">
        <is>
          <t>TR3(a)</t>
        </is>
      </c>
      <c r="C77" s="50" t="inlineStr">
        <is>
          <t>Transformational research</t>
        </is>
      </c>
      <c r="D77" s="50" t="inlineStr">
        <is>
          <t>Evidence that sustainability considerations are integrated into relevant research systems, planning processes, guidance, training, induction or support services</t>
        </is>
      </c>
      <c r="E77" s="50" t="inlineStr">
        <is>
          <t>Please describe how sustainability considerations are integrated into research systems, planning processes, guidance, training, induction or support services within your Faculty/Portfolio, could include examples of any new or improved processes.</t>
        </is>
      </c>
      <c r="F77" s="50" t="inlineStr">
        <is>
          <t>TR3(a)</t>
        </is>
      </c>
      <c r="G77" s="50" t="inlineStr">
        <is>
          <t>Confirm end-2026 target status</t>
        </is>
      </c>
      <c r="H77" s="52">
        <f>IFERROR(IF(INDEX('Faculties'!$L$10:$L$30,MATCH($F77,'Faculties'!$B$10:$B$30,0))="","Cell will autofill based on response",INDEX('Faculties'!$L$10:$L$30,MATCH($F77,'Faculties'!$B$10:$B$30,0))),"N/A")</f>
        <v/>
      </c>
      <c r="I77" s="52">
        <f>IFERROR(IF(INDEX('Faculties'!$L$37:$L$57,MATCH($F77,'Faculties'!$B$37:$B$57,0))="","Cell will autofill based on response",INDEX('Faculties'!$L$37:$L$57,MATCH($F77,'Faculties'!$B$37:$B$57,0))),"N/A")</f>
        <v/>
      </c>
      <c r="J77" s="52">
        <f>IFERROR(IF(INDEX('Faculties'!$L$64:$L$84,MATCH($F77,'Faculties'!$B$64:$B$84,0))="","Cell will autofill based on response",INDEX('Faculties'!$L$64:$L$84,MATCH($F77,'Faculties'!$B$64:$B$84,0))),"N/A")</f>
        <v/>
      </c>
      <c r="K77" s="52">
        <f>IFERROR(IF(INDEX('Faculties'!$L$91:$L$111,MATCH($F77,'Faculties'!$B$91:$B$111,0))="","Cell will autofill based on response",INDEX('Faculties'!$L$91:$L$111,MATCH($F77,'Faculties'!$B$91:$B$111,0))),"N/A")</f>
        <v/>
      </c>
      <c r="L77" s="52">
        <f>IFERROR(IF(INDEX('CI&amp;S'!$L$10:$L$15,MATCH($F77,'CI&amp;S'!$B$10:$B$15,0))="","Cell will autofill based on response",INDEX('CI&amp;S'!$L$10:$L$15,MATCH($F77,'CI&amp;S'!$B$10:$B$15,0))),"N/A")</f>
        <v/>
      </c>
      <c r="M77" s="52">
        <f>IFERROR(IF(INDEX('CI&amp;S'!$L$22:$L$39,MATCH($F77,'CI&amp;S'!$B$22:$B$39,0))="","Cell will autofill based on response",INDEX('CI&amp;S'!$L$22:$L$39,MATCH($F77,'CI&amp;S'!$B$22:$B$39,0))),"N/A")</f>
        <v/>
      </c>
      <c r="N77" s="52">
        <f>IFERROR(IF(INDEX('CFOG'!$L$10:$L$16,MATCH($F77,'CFOG'!$B$10:$B$16,0))="","Cell will autofill based on response",INDEX('CFOG'!$L$10:$L$16,MATCH($F77,'CFOG'!$B$10:$B$16,0))),"N/A")</f>
        <v/>
      </c>
      <c r="O77" s="52">
        <f>IFERROR(IF(INDEX('CFOG'!$L$23:$L$24,MATCH($F77,'CFOG'!$B$23:$B$24,0))="","Cell will autofill based on response",INDEX('CFOG'!$L$23:$L$24,MATCH($F77,'CFOG'!$B$23:$B$24,0))),"N/A")</f>
        <v/>
      </c>
      <c r="P77" s="52">
        <f>IFERROR(IF(INDEX('ESG'!$L$10:$L$17,MATCH($F77,'ESG'!$B$10:$B$17,0))="","Cell will autofill based on response",INDEX('ESG'!$L$10:$L$17,MATCH($F77,'ESG'!$B$10:$B$17,0))),"N/A")</f>
        <v/>
      </c>
      <c r="Q77" s="52">
        <f>IFERROR(IF(INDEX('CIOG'!$L$10:$L$14,MATCH($F77,'CIOG'!$B$10:$B$14,0))="","Cell will autofill based on response",INDEX('CIOG'!$L$10:$L$14,MATCH($F77,'CIOG'!$B$10:$B$14,0))),"N/A")</f>
        <v/>
      </c>
      <c r="R77" s="52">
        <f>IFERROR(IF(INDEX('MRE'!$L$10:$L$12,MATCH($F77,'MRE'!$B$10:$B$12,0))="","Cell will autofill based on response",INDEX('MRE'!$L$10:$L$12,MATCH($F77,'MRE'!$B$10:$B$12,0))),"N/A")</f>
        <v/>
      </c>
      <c r="S77" s="52">
        <f>IFERROR(IF(INDEX('L&amp;R'!$L$10:$L$11,MATCH($F77,'L&amp;R'!$B$10:$B$11,0))="","Cell will autofill based on response",INDEX('L&amp;R'!$L$10:$L$11,MATCH($F77,'L&amp;R'!$B$10:$B$11,0))),"N/A")</f>
        <v/>
      </c>
      <c r="U77" s="10">
        <f>COUNTIF($H77:$S77,"Cell will autofill based on response")</f>
        <v/>
      </c>
      <c r="V77" s="10">
        <f>COUNTIF($H77:$S77,"Not yet started")</f>
        <v/>
      </c>
      <c r="W77" s="10">
        <f>COUNTIF($H77:$S77,"Not met")</f>
        <v/>
      </c>
      <c r="X77" s="10">
        <f>COUNTIF($H77:$S77,"Partially met")</f>
        <v/>
      </c>
      <c r="Y77" s="10">
        <f>COUNTIF($H77:$S77,"Met or exceeded")</f>
        <v/>
      </c>
      <c r="Z77" s="10">
        <f>3*Y77+2*X77+W77</f>
        <v/>
      </c>
      <c r="AA77" s="10">
        <f>Y77+X77+W77+V77</f>
        <v/>
      </c>
      <c r="AB77" s="53">
        <f>IF(AA77&gt;0,Z77/AA77,"No valid responses to date")</f>
        <v/>
      </c>
      <c r="AC77" s="10">
        <f>IF(ISNUMBER(AB77),INDEX(Lists!$G$2:$G$5,MATCH(ROUND(AB77,0),Lists!$H$2:$H$5,0)),"")</f>
        <v/>
      </c>
      <c r="AD77" s="54">
        <f>IF(AA77&gt;0,Y77/AA77,"")</f>
        <v/>
      </c>
      <c r="AE77" s="54">
        <f>IF(AA77&gt;0,(Y77+X77)/AA77,"")</f>
        <v/>
      </c>
      <c r="AF77" s="10">
        <f>IF(AA77=0,"",IF(AD77&gt;0.75,"Met or exceeded",IF(AE77&gt;=0.5,"Partially met","Not met")))</f>
        <v/>
      </c>
    </row>
    <row r="78">
      <c r="A78">
        <f>F78&amp;"|"&amp;G78</f>
        <v/>
      </c>
      <c r="B78" s="13" t="inlineStr"/>
      <c r="C78" s="8" t="inlineStr"/>
      <c r="D78" s="8" t="inlineStr"/>
      <c r="E78" s="8" t="inlineStr"/>
      <c r="F78" s="8" t="inlineStr">
        <is>
          <t>TR3(a)</t>
        </is>
      </c>
      <c r="G78" s="8" t="inlineStr">
        <is>
          <t>OPTION 1:  Target-level reporting</t>
        </is>
      </c>
      <c r="H78" s="52">
        <f>IFERROR(IF(INDEX('Faculties'!$M$10:$M$30,MATCH($F78,'Faculties'!$B$10:$B$30,0))="","Cell will autofill based on response",INDEX('Faculties'!$M$10:$M$30,MATCH($F78,'Faculties'!$B$10:$B$30,0))),"N/A")</f>
        <v/>
      </c>
      <c r="I78" s="52">
        <f>IFERROR(IF(INDEX('Faculties'!$M$37:$M$57,MATCH($F78,'Faculties'!$B$37:$B$57,0))="","Cell will autofill based on response",INDEX('Faculties'!$M$37:$M$57,MATCH($F78,'Faculties'!$B$37:$B$57,0))),"N/A")</f>
        <v/>
      </c>
      <c r="J78" s="52">
        <f>IFERROR(IF(INDEX('Faculties'!$M$64:$M$84,MATCH($F78,'Faculties'!$B$64:$B$84,0))="","Cell will autofill based on response",INDEX('Faculties'!$M$64:$M$84,MATCH($F78,'Faculties'!$B$64:$B$84,0))),"N/A")</f>
        <v/>
      </c>
      <c r="K78" s="52">
        <f>IFERROR(IF(INDEX('Faculties'!$M$91:$M$111,MATCH($F78,'Faculties'!$B$91:$B$111,0))="","Cell will autofill based on response",INDEX('Faculties'!$M$91:$M$111,MATCH($F78,'Faculties'!$B$91:$B$111,0))),"N/A")</f>
        <v/>
      </c>
      <c r="L78" s="52">
        <f>IFERROR(IF(INDEX('CI&amp;S'!$M$10:$M$15,MATCH($F78,'CI&amp;S'!$B$10:$B$15,0))="","Cell will autofill based on response",INDEX('CI&amp;S'!$M$10:$M$15,MATCH($F78,'CI&amp;S'!$B$10:$B$15,0))),"N/A")</f>
        <v/>
      </c>
      <c r="M78" s="52">
        <f>IFERROR(IF(INDEX('CI&amp;S'!$M$22:$M$39,MATCH($F78,'CI&amp;S'!$B$22:$B$39,0))="","Cell will autofill based on response",INDEX('CI&amp;S'!$M$22:$M$39,MATCH($F78,'CI&amp;S'!$B$22:$B$39,0))),"N/A")</f>
        <v/>
      </c>
      <c r="N78" s="52">
        <f>IFERROR(IF(INDEX('CFOG'!$M$10:$M$16,MATCH($F78,'CFOG'!$B$10:$B$16,0))="","Cell will autofill based on response",INDEX('CFOG'!$M$10:$M$16,MATCH($F78,'CFOG'!$B$10:$B$16,0))),"N/A")</f>
        <v/>
      </c>
      <c r="O78" s="52">
        <f>IFERROR(IF(INDEX('CFOG'!$M$23:$M$24,MATCH($F78,'CFOG'!$B$23:$B$24,0))="","Cell will autofill based on response",INDEX('CFOG'!$M$23:$M$24,MATCH($F78,'CFOG'!$B$23:$B$24,0))),"N/A")</f>
        <v/>
      </c>
      <c r="P78" s="52">
        <f>IFERROR(IF(INDEX('ESG'!$M$10:$M$17,MATCH($F78,'ESG'!$B$10:$B$17,0))="","Cell will autofill based on response",INDEX('ESG'!$M$10:$M$17,MATCH($F78,'ESG'!$B$10:$B$17,0))),"N/A")</f>
        <v/>
      </c>
      <c r="Q78" s="52">
        <f>IFERROR(IF(INDEX('CIOG'!$M$10:$M$14,MATCH($F78,'CIOG'!$B$10:$B$14,0))="","Cell will autofill based on response",INDEX('CIOG'!$M$10:$M$14,MATCH($F78,'CIOG'!$B$10:$B$14,0))),"N/A")</f>
        <v/>
      </c>
      <c r="R78" s="52">
        <f>IFERROR(IF(INDEX('MRE'!$M$10:$M$12,MATCH($F78,'MRE'!$B$10:$B$12,0))="","Cell will autofill based on response",INDEX('MRE'!$M$10:$M$12,MATCH($F78,'MRE'!$B$10:$B$12,0))),"N/A")</f>
        <v/>
      </c>
      <c r="S78" s="52">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2">
        <f>IFERROR(IF(INDEX('Faculties'!$N$10:$N$30,MATCH($F79,'Faculties'!$B$10:$B$30,0))="","Cell will autofill based on response",INDEX('Faculties'!$N$10:$N$30,MATCH($F79,'Faculties'!$B$10:$B$30,0))),"N/A")</f>
        <v/>
      </c>
      <c r="I79" s="52">
        <f>IFERROR(IF(INDEX('Faculties'!$N$37:$N$57,MATCH($F79,'Faculties'!$B$37:$B$57,0))="","Cell will autofill based on response",INDEX('Faculties'!$N$37:$N$57,MATCH($F79,'Faculties'!$B$37:$B$57,0))),"N/A")</f>
        <v/>
      </c>
      <c r="J79" s="52">
        <f>IFERROR(IF(INDEX('Faculties'!$N$64:$N$84,MATCH($F79,'Faculties'!$B$64:$B$84,0))="","Cell will autofill based on response",INDEX('Faculties'!$N$64:$N$84,MATCH($F79,'Faculties'!$B$64:$B$84,0))),"N/A")</f>
        <v/>
      </c>
      <c r="K79" s="52">
        <f>IFERROR(IF(INDEX('Faculties'!$N$91:$N$111,MATCH($F79,'Faculties'!$B$91:$B$111,0))="","Cell will autofill based on response",INDEX('Faculties'!$N$91:$N$111,MATCH($F79,'Faculties'!$B$91:$B$111,0))),"N/A")</f>
        <v/>
      </c>
      <c r="L79" s="52">
        <f>IFERROR(IF(INDEX('CI&amp;S'!$N$10:$N$15,MATCH($F79,'CI&amp;S'!$B$10:$B$15,0))="","Cell will autofill based on response",INDEX('CI&amp;S'!$N$10:$N$15,MATCH($F79,'CI&amp;S'!$B$10:$B$15,0))),"N/A")</f>
        <v/>
      </c>
      <c r="M79" s="52">
        <f>IFERROR(IF(INDEX('CI&amp;S'!$N$22:$N$39,MATCH($F79,'CI&amp;S'!$B$22:$B$39,0))="","Cell will autofill based on response",INDEX('CI&amp;S'!$N$22:$N$39,MATCH($F79,'CI&amp;S'!$B$22:$B$39,0))),"N/A")</f>
        <v/>
      </c>
      <c r="N79" s="52">
        <f>IFERROR(IF(INDEX('CFOG'!$N$10:$N$16,MATCH($F79,'CFOG'!$B$10:$B$16,0))="","Cell will autofill based on response",INDEX('CFOG'!$N$10:$N$16,MATCH($F79,'CFOG'!$B$10:$B$16,0))),"N/A")</f>
        <v/>
      </c>
      <c r="O79" s="52">
        <f>IFERROR(IF(INDEX('CFOG'!$N$23:$N$24,MATCH($F79,'CFOG'!$B$23:$B$24,0))="","Cell will autofill based on response",INDEX('CFOG'!$N$23:$N$24,MATCH($F79,'CFOG'!$B$23:$B$24,0))),"N/A")</f>
        <v/>
      </c>
      <c r="P79" s="52">
        <f>IFERROR(IF(INDEX('ESG'!$N$10:$N$17,MATCH($F79,'ESG'!$B$10:$B$17,0))="","Cell will autofill based on response",INDEX('ESG'!$N$10:$N$17,MATCH($F79,'ESG'!$B$10:$B$17,0))),"N/A")</f>
        <v/>
      </c>
      <c r="Q79" s="52">
        <f>IFERROR(IF(INDEX('CIOG'!$N$10:$N$14,MATCH($F79,'CIOG'!$B$10:$B$14,0))="","Cell will autofill based on response",INDEX('CIOG'!$N$10:$N$14,MATCH($F79,'CIOG'!$B$10:$B$14,0))),"N/A")</f>
        <v/>
      </c>
      <c r="R79" s="52">
        <f>IFERROR(IF(INDEX('MRE'!$N$10:$N$12,MATCH($F79,'MRE'!$B$10:$B$12,0))="","Cell will autofill based on response",INDEX('MRE'!$N$10:$N$12,MATCH($F79,'MRE'!$B$10:$B$12,0))),"N/A")</f>
        <v/>
      </c>
      <c r="S79" s="52">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2">
        <f>IFERROR(IF(INDEX('Faculties'!$O$10:$O$30,MATCH($F80,'Faculties'!$B$10:$B$30,0))="","Cell will autofill based on response",INDEX('Faculties'!$O$10:$O$30,MATCH($F80,'Faculties'!$B$10:$B$30,0))),"N/A")</f>
        <v/>
      </c>
      <c r="I80" s="52">
        <f>IFERROR(IF(INDEX('Faculties'!$O$37:$O$57,MATCH($F80,'Faculties'!$B$37:$B$57,0))="","Cell will autofill based on response",INDEX('Faculties'!$O$37:$O$57,MATCH($F80,'Faculties'!$B$37:$B$57,0))),"N/A")</f>
        <v/>
      </c>
      <c r="J80" s="52">
        <f>IFERROR(IF(INDEX('Faculties'!$O$64:$O$84,MATCH($F80,'Faculties'!$B$64:$B$84,0))="","Cell will autofill based on response",INDEX('Faculties'!$O$64:$O$84,MATCH($F80,'Faculties'!$B$64:$B$84,0))),"N/A")</f>
        <v/>
      </c>
      <c r="K80" s="52">
        <f>IFERROR(IF(INDEX('Faculties'!$O$91:$O$111,MATCH($F80,'Faculties'!$B$91:$B$111,0))="","Cell will autofill based on response",INDEX('Faculties'!$O$91:$O$111,MATCH($F80,'Faculties'!$B$91:$B$111,0))),"N/A")</f>
        <v/>
      </c>
      <c r="L80" s="52">
        <f>IFERROR(IF(INDEX('CI&amp;S'!$O$10:$O$15,MATCH($F80,'CI&amp;S'!$B$10:$B$15,0))="","Cell will autofill based on response",INDEX('CI&amp;S'!$O$10:$O$15,MATCH($F80,'CI&amp;S'!$B$10:$B$15,0))),"N/A")</f>
        <v/>
      </c>
      <c r="M80" s="52">
        <f>IFERROR(IF(INDEX('CI&amp;S'!$O$22:$O$39,MATCH($F80,'CI&amp;S'!$B$22:$B$39,0))="","Cell will autofill based on response",INDEX('CI&amp;S'!$O$22:$O$39,MATCH($F80,'CI&amp;S'!$B$22:$B$39,0))),"N/A")</f>
        <v/>
      </c>
      <c r="N80" s="52">
        <f>IFERROR(IF(INDEX('CFOG'!$O$10:$O$16,MATCH($F80,'CFOG'!$B$10:$B$16,0))="","Cell will autofill based on response",INDEX('CFOG'!$O$10:$O$16,MATCH($F80,'CFOG'!$B$10:$B$16,0))),"N/A")</f>
        <v/>
      </c>
      <c r="O80" s="52">
        <f>IFERROR(IF(INDEX('CFOG'!$O$23:$O$24,MATCH($F80,'CFOG'!$B$23:$B$24,0))="","Cell will autofill based on response",INDEX('CFOG'!$O$23:$O$24,MATCH($F80,'CFOG'!$B$23:$B$24,0))),"N/A")</f>
        <v/>
      </c>
      <c r="P80" s="52">
        <f>IFERROR(IF(INDEX('ESG'!$O$10:$O$17,MATCH($F80,'ESG'!$B$10:$B$17,0))="","Cell will autofill based on response",INDEX('ESG'!$O$10:$O$17,MATCH($F80,'ESG'!$B$10:$B$17,0))),"N/A")</f>
        <v/>
      </c>
      <c r="Q80" s="52">
        <f>IFERROR(IF(INDEX('CIOG'!$O$10:$O$14,MATCH($F80,'CIOG'!$B$10:$B$14,0))="","Cell will autofill based on response",INDEX('CIOG'!$O$10:$O$14,MATCH($F80,'CIOG'!$B$10:$B$14,0))),"N/A")</f>
        <v/>
      </c>
      <c r="R80" s="52">
        <f>IFERROR(IF(INDEX('MRE'!$O$10:$O$12,MATCH($F80,'MRE'!$B$10:$B$12,0))="","Cell will autofill based on response",INDEX('MRE'!$O$10:$O$12,MATCH($F80,'MRE'!$B$10:$B$12,0))),"N/A")</f>
        <v/>
      </c>
      <c r="S80" s="52">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2">
        <f>IFERROR(IF(INDEX('Faculties'!$P$10:$P$30,MATCH($F81,'Faculties'!$B$10:$B$30,0))="","Cell will autofill based on response",INDEX('Faculties'!$P$10:$P$30,MATCH($F81,'Faculties'!$B$10:$B$30,0))),"N/A")</f>
        <v/>
      </c>
      <c r="I81" s="52">
        <f>IFERROR(IF(INDEX('Faculties'!$P$37:$P$57,MATCH($F81,'Faculties'!$B$37:$B$57,0))="","Cell will autofill based on response",INDEX('Faculties'!$P$37:$P$57,MATCH($F81,'Faculties'!$B$37:$B$57,0))),"N/A")</f>
        <v/>
      </c>
      <c r="J81" s="52">
        <f>IFERROR(IF(INDEX('Faculties'!$P$64:$P$84,MATCH($F81,'Faculties'!$B$64:$B$84,0))="","Cell will autofill based on response",INDEX('Faculties'!$P$64:$P$84,MATCH($F81,'Faculties'!$B$64:$B$84,0))),"N/A")</f>
        <v/>
      </c>
      <c r="K81" s="52">
        <f>IFERROR(IF(INDEX('Faculties'!$P$91:$P$111,MATCH($F81,'Faculties'!$B$91:$B$111,0))="","Cell will autofill based on response",INDEX('Faculties'!$P$91:$P$111,MATCH($F81,'Faculties'!$B$91:$B$111,0))),"N/A")</f>
        <v/>
      </c>
      <c r="L81" s="52">
        <f>IFERROR(IF(INDEX('CI&amp;S'!$P$10:$P$15,MATCH($F81,'CI&amp;S'!$B$10:$B$15,0))="","Cell will autofill based on response",INDEX('CI&amp;S'!$P$10:$P$15,MATCH($F81,'CI&amp;S'!$B$10:$B$15,0))),"N/A")</f>
        <v/>
      </c>
      <c r="M81" s="52">
        <f>IFERROR(IF(INDEX('CI&amp;S'!$P$22:$P$39,MATCH($F81,'CI&amp;S'!$B$22:$B$39,0))="","Cell will autofill based on response",INDEX('CI&amp;S'!$P$22:$P$39,MATCH($F81,'CI&amp;S'!$B$22:$B$39,0))),"N/A")</f>
        <v/>
      </c>
      <c r="N81" s="52">
        <f>IFERROR(IF(INDEX('CFOG'!$P$10:$P$16,MATCH($F81,'CFOG'!$B$10:$B$16,0))="","Cell will autofill based on response",INDEX('CFOG'!$P$10:$P$16,MATCH($F81,'CFOG'!$B$10:$B$16,0))),"N/A")</f>
        <v/>
      </c>
      <c r="O81" s="52">
        <f>IFERROR(IF(INDEX('CFOG'!$P$23:$P$24,MATCH($F81,'CFOG'!$B$23:$B$24,0))="","Cell will autofill based on response",INDEX('CFOG'!$P$23:$P$24,MATCH($F81,'CFOG'!$B$23:$B$24,0))),"N/A")</f>
        <v/>
      </c>
      <c r="P81" s="52">
        <f>IFERROR(IF(INDEX('ESG'!$P$10:$P$17,MATCH($F81,'ESG'!$B$10:$B$17,0))="","Cell will autofill based on response",INDEX('ESG'!$P$10:$P$17,MATCH($F81,'ESG'!$B$10:$B$17,0))),"N/A")</f>
        <v/>
      </c>
      <c r="Q81" s="52">
        <f>IFERROR(IF(INDEX('CIOG'!$P$10:$P$14,MATCH($F81,'CIOG'!$B$10:$B$14,0))="","Cell will autofill based on response",INDEX('CIOG'!$P$10:$P$14,MATCH($F81,'CIOG'!$B$10:$B$14,0))),"N/A")</f>
        <v/>
      </c>
      <c r="R81" s="52">
        <f>IFERROR(IF(INDEX('MRE'!$P$10:$P$12,MATCH($F81,'MRE'!$B$10:$B$12,0))="","Cell will autofill based on response",INDEX('MRE'!$P$10:$P$12,MATCH($F81,'MRE'!$B$10:$B$12,0))),"N/A")</f>
        <v/>
      </c>
      <c r="S81" s="52">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2">
        <f>IFERROR(IF(INDEX('Faculties'!$Q$10:$Q$30,MATCH($F82,'Faculties'!$B$10:$B$30,0))="","Cell will autofill based on response",INDEX('Faculties'!$Q$10:$Q$30,MATCH($F82,'Faculties'!$B$10:$B$30,0))),"N/A")</f>
        <v/>
      </c>
      <c r="I82" s="52">
        <f>IFERROR(IF(INDEX('Faculties'!$Q$37:$Q$57,MATCH($F82,'Faculties'!$B$37:$B$57,0))="","Cell will autofill based on response",INDEX('Faculties'!$Q$37:$Q$57,MATCH($F82,'Faculties'!$B$37:$B$57,0))),"N/A")</f>
        <v/>
      </c>
      <c r="J82" s="52">
        <f>IFERROR(IF(INDEX('Faculties'!$Q$64:$Q$84,MATCH($F82,'Faculties'!$B$64:$B$84,0))="","Cell will autofill based on response",INDEX('Faculties'!$Q$64:$Q$84,MATCH($F82,'Faculties'!$B$64:$B$84,0))),"N/A")</f>
        <v/>
      </c>
      <c r="K82" s="52">
        <f>IFERROR(IF(INDEX('Faculties'!$Q$91:$Q$111,MATCH($F82,'Faculties'!$B$91:$B$111,0))="","Cell will autofill based on response",INDEX('Faculties'!$Q$91:$Q$111,MATCH($F82,'Faculties'!$B$91:$B$111,0))),"N/A")</f>
        <v/>
      </c>
      <c r="L82" s="52">
        <f>IFERROR(IF(INDEX('CI&amp;S'!$Q$10:$Q$15,MATCH($F82,'CI&amp;S'!$B$10:$B$15,0))="","Cell will autofill based on response",INDEX('CI&amp;S'!$Q$10:$Q$15,MATCH($F82,'CI&amp;S'!$B$10:$B$15,0))),"N/A")</f>
        <v/>
      </c>
      <c r="M82" s="52">
        <f>IFERROR(IF(INDEX('CI&amp;S'!$Q$22:$Q$39,MATCH($F82,'CI&amp;S'!$B$22:$B$39,0))="","Cell will autofill based on response",INDEX('CI&amp;S'!$Q$22:$Q$39,MATCH($F82,'CI&amp;S'!$B$22:$B$39,0))),"N/A")</f>
        <v/>
      </c>
      <c r="N82" s="52">
        <f>IFERROR(IF(INDEX('CFOG'!$Q$10:$Q$16,MATCH($F82,'CFOG'!$B$10:$B$16,0))="","Cell will autofill based on response",INDEX('CFOG'!$Q$10:$Q$16,MATCH($F82,'CFOG'!$B$10:$B$16,0))),"N/A")</f>
        <v/>
      </c>
      <c r="O82" s="52">
        <f>IFERROR(IF(INDEX('CFOG'!$Q$23:$Q$24,MATCH($F82,'CFOG'!$B$23:$B$24,0))="","Cell will autofill based on response",INDEX('CFOG'!$Q$23:$Q$24,MATCH($F82,'CFOG'!$B$23:$B$24,0))),"N/A")</f>
        <v/>
      </c>
      <c r="P82" s="52">
        <f>IFERROR(IF(INDEX('ESG'!$Q$10:$Q$17,MATCH($F82,'ESG'!$B$10:$B$17,0))="","Cell will autofill based on response",INDEX('ESG'!$Q$10:$Q$17,MATCH($F82,'ESG'!$B$10:$B$17,0))),"N/A")</f>
        <v/>
      </c>
      <c r="Q82" s="52">
        <f>IFERROR(IF(INDEX('CIOG'!$Q$10:$Q$14,MATCH($F82,'CIOG'!$B$10:$B$14,0))="","Cell will autofill based on response",INDEX('CIOG'!$Q$10:$Q$14,MATCH($F82,'CIOG'!$B$10:$B$14,0))),"N/A")</f>
        <v/>
      </c>
      <c r="R82" s="52">
        <f>IFERROR(IF(INDEX('MRE'!$Q$10:$Q$12,MATCH($F82,'MRE'!$B$10:$B$12,0))="","Cell will autofill based on response",INDEX('MRE'!$Q$10:$Q$12,MATCH($F82,'MRE'!$B$10:$B$12,0))),"N/A")</f>
        <v/>
      </c>
      <c r="S82" s="52">
        <f>IFERROR(IF(INDEX('L&amp;R'!$Q$10:$Q$11,MATCH($F82,'L&amp;R'!$B$10:$B$11,0))="","Cell will autofill based on response",INDEX('L&amp;R'!$Q$10:$Q$11,MATCH($F82,'L&amp;R'!$B$10:$B$11,0))),"N/A")</f>
        <v/>
      </c>
    </row>
    <row r="83">
      <c r="A83">
        <f>F83&amp;"|"&amp;G83</f>
        <v/>
      </c>
      <c r="B83" s="7" t="inlineStr">
        <is>
          <t>TR3(b)</t>
        </is>
      </c>
      <c r="C83" s="50" t="inlineStr">
        <is>
          <t>Transformational research</t>
        </is>
      </c>
      <c r="D83" s="50" t="inlineStr">
        <is>
          <t>Demonstrated examples of more sustainable research practices in laboratories, fieldwork, procurement, travel or infrastructure use</t>
        </is>
      </c>
      <c r="E83" s="50"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0" t="inlineStr">
        <is>
          <t>TR3(b)</t>
        </is>
      </c>
      <c r="G83" s="50" t="inlineStr">
        <is>
          <t>Confirm end-2026 target status</t>
        </is>
      </c>
      <c r="H83" s="52">
        <f>IFERROR(IF(INDEX('Faculties'!$L$10:$L$30,MATCH($F83,'Faculties'!$B$10:$B$30,0))="","Cell will autofill based on response",INDEX('Faculties'!$L$10:$L$30,MATCH($F83,'Faculties'!$B$10:$B$30,0))),"N/A")</f>
        <v/>
      </c>
      <c r="I83" s="52">
        <f>IFERROR(IF(INDEX('Faculties'!$L$37:$L$57,MATCH($F83,'Faculties'!$B$37:$B$57,0))="","Cell will autofill based on response",INDEX('Faculties'!$L$37:$L$57,MATCH($F83,'Faculties'!$B$37:$B$57,0))),"N/A")</f>
        <v/>
      </c>
      <c r="J83" s="52">
        <f>IFERROR(IF(INDEX('Faculties'!$L$64:$L$84,MATCH($F83,'Faculties'!$B$64:$B$84,0))="","Cell will autofill based on response",INDEX('Faculties'!$L$64:$L$84,MATCH($F83,'Faculties'!$B$64:$B$84,0))),"N/A")</f>
        <v/>
      </c>
      <c r="K83" s="52">
        <f>IFERROR(IF(INDEX('Faculties'!$L$91:$L$111,MATCH($F83,'Faculties'!$B$91:$B$111,0))="","Cell will autofill based on response",INDEX('Faculties'!$L$91:$L$111,MATCH($F83,'Faculties'!$B$91:$B$111,0))),"N/A")</f>
        <v/>
      </c>
      <c r="L83" s="52">
        <f>IFERROR(IF(INDEX('CI&amp;S'!$L$10:$L$15,MATCH($F83,'CI&amp;S'!$B$10:$B$15,0))="","Cell will autofill based on response",INDEX('CI&amp;S'!$L$10:$L$15,MATCH($F83,'CI&amp;S'!$B$10:$B$15,0))),"N/A")</f>
        <v/>
      </c>
      <c r="M83" s="52">
        <f>IFERROR(IF(INDEX('CI&amp;S'!$L$22:$L$39,MATCH($F83,'CI&amp;S'!$B$22:$B$39,0))="","Cell will autofill based on response",INDEX('CI&amp;S'!$L$22:$L$39,MATCH($F83,'CI&amp;S'!$B$22:$B$39,0))),"N/A")</f>
        <v/>
      </c>
      <c r="N83" s="52">
        <f>IFERROR(IF(INDEX('CFOG'!$L$10:$L$16,MATCH($F83,'CFOG'!$B$10:$B$16,0))="","Cell will autofill based on response",INDEX('CFOG'!$L$10:$L$16,MATCH($F83,'CFOG'!$B$10:$B$16,0))),"N/A")</f>
        <v/>
      </c>
      <c r="O83" s="52">
        <f>IFERROR(IF(INDEX('CFOG'!$L$23:$L$24,MATCH($F83,'CFOG'!$B$23:$B$24,0))="","Cell will autofill based on response",INDEX('CFOG'!$L$23:$L$24,MATCH($F83,'CFOG'!$B$23:$B$24,0))),"N/A")</f>
        <v/>
      </c>
      <c r="P83" s="52">
        <f>IFERROR(IF(INDEX('ESG'!$L$10:$L$17,MATCH($F83,'ESG'!$B$10:$B$17,0))="","Cell will autofill based on response",INDEX('ESG'!$L$10:$L$17,MATCH($F83,'ESG'!$B$10:$B$17,0))),"N/A")</f>
        <v/>
      </c>
      <c r="Q83" s="52">
        <f>IFERROR(IF(INDEX('CIOG'!$L$10:$L$14,MATCH($F83,'CIOG'!$B$10:$B$14,0))="","Cell will autofill based on response",INDEX('CIOG'!$L$10:$L$14,MATCH($F83,'CIOG'!$B$10:$B$14,0))),"N/A")</f>
        <v/>
      </c>
      <c r="R83" s="52">
        <f>IFERROR(IF(INDEX('MRE'!$L$10:$L$12,MATCH($F83,'MRE'!$B$10:$B$12,0))="","Cell will autofill based on response",INDEX('MRE'!$L$10:$L$12,MATCH($F83,'MRE'!$B$10:$B$12,0))),"N/A")</f>
        <v/>
      </c>
      <c r="S83" s="52">
        <f>IFERROR(IF(INDEX('L&amp;R'!$L$10:$L$11,MATCH($F83,'L&amp;R'!$B$10:$B$11,0))="","Cell will autofill based on response",INDEX('L&amp;R'!$L$10:$L$11,MATCH($F83,'L&amp;R'!$B$10:$B$11,0))),"N/A")</f>
        <v/>
      </c>
      <c r="U83" s="10">
        <f>COUNTIF($H83:$S83,"Cell will autofill based on response")</f>
        <v/>
      </c>
      <c r="V83" s="10">
        <f>COUNTIF($H83:$S83,"Not yet started")</f>
        <v/>
      </c>
      <c r="W83" s="10">
        <f>COUNTIF($H83:$S83,"Not met")</f>
        <v/>
      </c>
      <c r="X83" s="10">
        <f>COUNTIF($H83:$S83,"Partially met")</f>
        <v/>
      </c>
      <c r="Y83" s="10">
        <f>COUNTIF($H83:$S83,"Met or exceeded")</f>
        <v/>
      </c>
      <c r="Z83" s="10">
        <f>3*Y83+2*X83+W83</f>
        <v/>
      </c>
      <c r="AA83" s="10">
        <f>Y83+X83+W83+V83</f>
        <v/>
      </c>
      <c r="AB83" s="53">
        <f>IF(AA83&gt;0,Z83/AA83,"No valid responses to date")</f>
        <v/>
      </c>
      <c r="AC83" s="10">
        <f>IF(ISNUMBER(AB83),INDEX(Lists!$G$2:$G$5,MATCH(ROUND(AB83,0),Lists!$H$2:$H$5,0)),"")</f>
        <v/>
      </c>
      <c r="AD83" s="54">
        <f>IF(AA83&gt;0,Y83/AA83,"")</f>
        <v/>
      </c>
      <c r="AE83" s="54">
        <f>IF(AA83&gt;0,(Y83+X83)/AA83,"")</f>
        <v/>
      </c>
      <c r="AF83" s="10">
        <f>IF(AA83=0,"",IF(AD83&gt;0.75,"Met or exceeded",IF(AE83&gt;=0.5,"Partially met","Not met")))</f>
        <v/>
      </c>
    </row>
    <row r="84">
      <c r="A84">
        <f>F84&amp;"|"&amp;G84</f>
        <v/>
      </c>
      <c r="B84" s="13" t="inlineStr"/>
      <c r="C84" s="8" t="inlineStr"/>
      <c r="D84" s="8" t="inlineStr"/>
      <c r="E84" s="8" t="inlineStr"/>
      <c r="F84" s="8" t="inlineStr">
        <is>
          <t>TR3(b)</t>
        </is>
      </c>
      <c r="G84" s="8" t="inlineStr">
        <is>
          <t>OPTION 1:  Target-level reporting</t>
        </is>
      </c>
      <c r="H84" s="52">
        <f>IFERROR(IF(INDEX('Faculties'!$M$10:$M$30,MATCH($F84,'Faculties'!$B$10:$B$30,0))="","Cell will autofill based on response",INDEX('Faculties'!$M$10:$M$30,MATCH($F84,'Faculties'!$B$10:$B$30,0))),"N/A")</f>
        <v/>
      </c>
      <c r="I84" s="52">
        <f>IFERROR(IF(INDEX('Faculties'!$M$37:$M$57,MATCH($F84,'Faculties'!$B$37:$B$57,0))="","Cell will autofill based on response",INDEX('Faculties'!$M$37:$M$57,MATCH($F84,'Faculties'!$B$37:$B$57,0))),"N/A")</f>
        <v/>
      </c>
      <c r="J84" s="52">
        <f>IFERROR(IF(INDEX('Faculties'!$M$64:$M$84,MATCH($F84,'Faculties'!$B$64:$B$84,0))="","Cell will autofill based on response",INDEX('Faculties'!$M$64:$M$84,MATCH($F84,'Faculties'!$B$64:$B$84,0))),"N/A")</f>
        <v/>
      </c>
      <c r="K84" s="52">
        <f>IFERROR(IF(INDEX('Faculties'!$M$91:$M$111,MATCH($F84,'Faculties'!$B$91:$B$111,0))="","Cell will autofill based on response",INDEX('Faculties'!$M$91:$M$111,MATCH($F84,'Faculties'!$B$91:$B$111,0))),"N/A")</f>
        <v/>
      </c>
      <c r="L84" s="52">
        <f>IFERROR(IF(INDEX('CI&amp;S'!$M$10:$M$15,MATCH($F84,'CI&amp;S'!$B$10:$B$15,0))="","Cell will autofill based on response",INDEX('CI&amp;S'!$M$10:$M$15,MATCH($F84,'CI&amp;S'!$B$10:$B$15,0))),"N/A")</f>
        <v/>
      </c>
      <c r="M84" s="52">
        <f>IFERROR(IF(INDEX('CI&amp;S'!$M$22:$M$39,MATCH($F84,'CI&amp;S'!$B$22:$B$39,0))="","Cell will autofill based on response",INDEX('CI&amp;S'!$M$22:$M$39,MATCH($F84,'CI&amp;S'!$B$22:$B$39,0))),"N/A")</f>
        <v/>
      </c>
      <c r="N84" s="52">
        <f>IFERROR(IF(INDEX('CFOG'!$M$10:$M$16,MATCH($F84,'CFOG'!$B$10:$B$16,0))="","Cell will autofill based on response",INDEX('CFOG'!$M$10:$M$16,MATCH($F84,'CFOG'!$B$10:$B$16,0))),"N/A")</f>
        <v/>
      </c>
      <c r="O84" s="52">
        <f>IFERROR(IF(INDEX('CFOG'!$M$23:$M$24,MATCH($F84,'CFOG'!$B$23:$B$24,0))="","Cell will autofill based on response",INDEX('CFOG'!$M$23:$M$24,MATCH($F84,'CFOG'!$B$23:$B$24,0))),"N/A")</f>
        <v/>
      </c>
      <c r="P84" s="52">
        <f>IFERROR(IF(INDEX('ESG'!$M$10:$M$17,MATCH($F84,'ESG'!$B$10:$B$17,0))="","Cell will autofill based on response",INDEX('ESG'!$M$10:$M$17,MATCH($F84,'ESG'!$B$10:$B$17,0))),"N/A")</f>
        <v/>
      </c>
      <c r="Q84" s="52">
        <f>IFERROR(IF(INDEX('CIOG'!$M$10:$M$14,MATCH($F84,'CIOG'!$B$10:$B$14,0))="","Cell will autofill based on response",INDEX('CIOG'!$M$10:$M$14,MATCH($F84,'CIOG'!$B$10:$B$14,0))),"N/A")</f>
        <v/>
      </c>
      <c r="R84" s="52">
        <f>IFERROR(IF(INDEX('MRE'!$M$10:$M$12,MATCH($F84,'MRE'!$B$10:$B$12,0))="","Cell will autofill based on response",INDEX('MRE'!$M$10:$M$12,MATCH($F84,'MRE'!$B$10:$B$12,0))),"N/A")</f>
        <v/>
      </c>
      <c r="S84" s="52">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2">
        <f>IFERROR(IF(INDEX('Faculties'!$N$10:$N$30,MATCH($F85,'Faculties'!$B$10:$B$30,0))="","Cell will autofill based on response",INDEX('Faculties'!$N$10:$N$30,MATCH($F85,'Faculties'!$B$10:$B$30,0))),"N/A")</f>
        <v/>
      </c>
      <c r="I85" s="52">
        <f>IFERROR(IF(INDEX('Faculties'!$N$37:$N$57,MATCH($F85,'Faculties'!$B$37:$B$57,0))="","Cell will autofill based on response",INDEX('Faculties'!$N$37:$N$57,MATCH($F85,'Faculties'!$B$37:$B$57,0))),"N/A")</f>
        <v/>
      </c>
      <c r="J85" s="52">
        <f>IFERROR(IF(INDEX('Faculties'!$N$64:$N$84,MATCH($F85,'Faculties'!$B$64:$B$84,0))="","Cell will autofill based on response",INDEX('Faculties'!$N$64:$N$84,MATCH($F85,'Faculties'!$B$64:$B$84,0))),"N/A")</f>
        <v/>
      </c>
      <c r="K85" s="52">
        <f>IFERROR(IF(INDEX('Faculties'!$N$91:$N$111,MATCH($F85,'Faculties'!$B$91:$B$111,0))="","Cell will autofill based on response",INDEX('Faculties'!$N$91:$N$111,MATCH($F85,'Faculties'!$B$91:$B$111,0))),"N/A")</f>
        <v/>
      </c>
      <c r="L85" s="52">
        <f>IFERROR(IF(INDEX('CI&amp;S'!$N$10:$N$15,MATCH($F85,'CI&amp;S'!$B$10:$B$15,0))="","Cell will autofill based on response",INDEX('CI&amp;S'!$N$10:$N$15,MATCH($F85,'CI&amp;S'!$B$10:$B$15,0))),"N/A")</f>
        <v/>
      </c>
      <c r="M85" s="52">
        <f>IFERROR(IF(INDEX('CI&amp;S'!$N$22:$N$39,MATCH($F85,'CI&amp;S'!$B$22:$B$39,0))="","Cell will autofill based on response",INDEX('CI&amp;S'!$N$22:$N$39,MATCH($F85,'CI&amp;S'!$B$22:$B$39,0))),"N/A")</f>
        <v/>
      </c>
      <c r="N85" s="52">
        <f>IFERROR(IF(INDEX('CFOG'!$N$10:$N$16,MATCH($F85,'CFOG'!$B$10:$B$16,0))="","Cell will autofill based on response",INDEX('CFOG'!$N$10:$N$16,MATCH($F85,'CFOG'!$B$10:$B$16,0))),"N/A")</f>
        <v/>
      </c>
      <c r="O85" s="52">
        <f>IFERROR(IF(INDEX('CFOG'!$N$23:$N$24,MATCH($F85,'CFOG'!$B$23:$B$24,0))="","Cell will autofill based on response",INDEX('CFOG'!$N$23:$N$24,MATCH($F85,'CFOG'!$B$23:$B$24,0))),"N/A")</f>
        <v/>
      </c>
      <c r="P85" s="52">
        <f>IFERROR(IF(INDEX('ESG'!$N$10:$N$17,MATCH($F85,'ESG'!$B$10:$B$17,0))="","Cell will autofill based on response",INDEX('ESG'!$N$10:$N$17,MATCH($F85,'ESG'!$B$10:$B$17,0))),"N/A")</f>
        <v/>
      </c>
      <c r="Q85" s="52">
        <f>IFERROR(IF(INDEX('CIOG'!$N$10:$N$14,MATCH($F85,'CIOG'!$B$10:$B$14,0))="","Cell will autofill based on response",INDEX('CIOG'!$N$10:$N$14,MATCH($F85,'CIOG'!$B$10:$B$14,0))),"N/A")</f>
        <v/>
      </c>
      <c r="R85" s="52">
        <f>IFERROR(IF(INDEX('MRE'!$N$10:$N$12,MATCH($F85,'MRE'!$B$10:$B$12,0))="","Cell will autofill based on response",INDEX('MRE'!$N$10:$N$12,MATCH($F85,'MRE'!$B$10:$B$12,0))),"N/A")</f>
        <v/>
      </c>
      <c r="S85" s="52">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2">
        <f>IFERROR(IF(INDEX('Faculties'!$O$10:$O$30,MATCH($F86,'Faculties'!$B$10:$B$30,0))="","Cell will autofill based on response",INDEX('Faculties'!$O$10:$O$30,MATCH($F86,'Faculties'!$B$10:$B$30,0))),"N/A")</f>
        <v/>
      </c>
      <c r="I86" s="52">
        <f>IFERROR(IF(INDEX('Faculties'!$O$37:$O$57,MATCH($F86,'Faculties'!$B$37:$B$57,0))="","Cell will autofill based on response",INDEX('Faculties'!$O$37:$O$57,MATCH($F86,'Faculties'!$B$37:$B$57,0))),"N/A")</f>
        <v/>
      </c>
      <c r="J86" s="52">
        <f>IFERROR(IF(INDEX('Faculties'!$O$64:$O$84,MATCH($F86,'Faculties'!$B$64:$B$84,0))="","Cell will autofill based on response",INDEX('Faculties'!$O$64:$O$84,MATCH($F86,'Faculties'!$B$64:$B$84,0))),"N/A")</f>
        <v/>
      </c>
      <c r="K86" s="52">
        <f>IFERROR(IF(INDEX('Faculties'!$O$91:$O$111,MATCH($F86,'Faculties'!$B$91:$B$111,0))="","Cell will autofill based on response",INDEX('Faculties'!$O$91:$O$111,MATCH($F86,'Faculties'!$B$91:$B$111,0))),"N/A")</f>
        <v/>
      </c>
      <c r="L86" s="52">
        <f>IFERROR(IF(INDEX('CI&amp;S'!$O$10:$O$15,MATCH($F86,'CI&amp;S'!$B$10:$B$15,0))="","Cell will autofill based on response",INDEX('CI&amp;S'!$O$10:$O$15,MATCH($F86,'CI&amp;S'!$B$10:$B$15,0))),"N/A")</f>
        <v/>
      </c>
      <c r="M86" s="52">
        <f>IFERROR(IF(INDEX('CI&amp;S'!$O$22:$O$39,MATCH($F86,'CI&amp;S'!$B$22:$B$39,0))="","Cell will autofill based on response",INDEX('CI&amp;S'!$O$22:$O$39,MATCH($F86,'CI&amp;S'!$B$22:$B$39,0))),"N/A")</f>
        <v/>
      </c>
      <c r="N86" s="52">
        <f>IFERROR(IF(INDEX('CFOG'!$O$10:$O$16,MATCH($F86,'CFOG'!$B$10:$B$16,0))="","Cell will autofill based on response",INDEX('CFOG'!$O$10:$O$16,MATCH($F86,'CFOG'!$B$10:$B$16,0))),"N/A")</f>
        <v/>
      </c>
      <c r="O86" s="52">
        <f>IFERROR(IF(INDEX('CFOG'!$O$23:$O$24,MATCH($F86,'CFOG'!$B$23:$B$24,0))="","Cell will autofill based on response",INDEX('CFOG'!$O$23:$O$24,MATCH($F86,'CFOG'!$B$23:$B$24,0))),"N/A")</f>
        <v/>
      </c>
      <c r="P86" s="52">
        <f>IFERROR(IF(INDEX('ESG'!$O$10:$O$17,MATCH($F86,'ESG'!$B$10:$B$17,0))="","Cell will autofill based on response",INDEX('ESG'!$O$10:$O$17,MATCH($F86,'ESG'!$B$10:$B$17,0))),"N/A")</f>
        <v/>
      </c>
      <c r="Q86" s="52">
        <f>IFERROR(IF(INDEX('CIOG'!$O$10:$O$14,MATCH($F86,'CIOG'!$B$10:$B$14,0))="","Cell will autofill based on response",INDEX('CIOG'!$O$10:$O$14,MATCH($F86,'CIOG'!$B$10:$B$14,0))),"N/A")</f>
        <v/>
      </c>
      <c r="R86" s="52">
        <f>IFERROR(IF(INDEX('MRE'!$O$10:$O$12,MATCH($F86,'MRE'!$B$10:$B$12,0))="","Cell will autofill based on response",INDEX('MRE'!$O$10:$O$12,MATCH($F86,'MRE'!$B$10:$B$12,0))),"N/A")</f>
        <v/>
      </c>
      <c r="S86" s="52">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2">
        <f>IFERROR(IF(INDEX('Faculties'!$P$10:$P$30,MATCH($F87,'Faculties'!$B$10:$B$30,0))="","Cell will autofill based on response",INDEX('Faculties'!$P$10:$P$30,MATCH($F87,'Faculties'!$B$10:$B$30,0))),"N/A")</f>
        <v/>
      </c>
      <c r="I87" s="52">
        <f>IFERROR(IF(INDEX('Faculties'!$P$37:$P$57,MATCH($F87,'Faculties'!$B$37:$B$57,0))="","Cell will autofill based on response",INDEX('Faculties'!$P$37:$P$57,MATCH($F87,'Faculties'!$B$37:$B$57,0))),"N/A")</f>
        <v/>
      </c>
      <c r="J87" s="52">
        <f>IFERROR(IF(INDEX('Faculties'!$P$64:$P$84,MATCH($F87,'Faculties'!$B$64:$B$84,0))="","Cell will autofill based on response",INDEX('Faculties'!$P$64:$P$84,MATCH($F87,'Faculties'!$B$64:$B$84,0))),"N/A")</f>
        <v/>
      </c>
      <c r="K87" s="52">
        <f>IFERROR(IF(INDEX('Faculties'!$P$91:$P$111,MATCH($F87,'Faculties'!$B$91:$B$111,0))="","Cell will autofill based on response",INDEX('Faculties'!$P$91:$P$111,MATCH($F87,'Faculties'!$B$91:$B$111,0))),"N/A")</f>
        <v/>
      </c>
      <c r="L87" s="52">
        <f>IFERROR(IF(INDEX('CI&amp;S'!$P$10:$P$15,MATCH($F87,'CI&amp;S'!$B$10:$B$15,0))="","Cell will autofill based on response",INDEX('CI&amp;S'!$P$10:$P$15,MATCH($F87,'CI&amp;S'!$B$10:$B$15,0))),"N/A")</f>
        <v/>
      </c>
      <c r="M87" s="52">
        <f>IFERROR(IF(INDEX('CI&amp;S'!$P$22:$P$39,MATCH($F87,'CI&amp;S'!$B$22:$B$39,0))="","Cell will autofill based on response",INDEX('CI&amp;S'!$P$22:$P$39,MATCH($F87,'CI&amp;S'!$B$22:$B$39,0))),"N/A")</f>
        <v/>
      </c>
      <c r="N87" s="52">
        <f>IFERROR(IF(INDEX('CFOG'!$P$10:$P$16,MATCH($F87,'CFOG'!$B$10:$B$16,0))="","Cell will autofill based on response",INDEX('CFOG'!$P$10:$P$16,MATCH($F87,'CFOG'!$B$10:$B$16,0))),"N/A")</f>
        <v/>
      </c>
      <c r="O87" s="52">
        <f>IFERROR(IF(INDEX('CFOG'!$P$23:$P$24,MATCH($F87,'CFOG'!$B$23:$B$24,0))="","Cell will autofill based on response",INDEX('CFOG'!$P$23:$P$24,MATCH($F87,'CFOG'!$B$23:$B$24,0))),"N/A")</f>
        <v/>
      </c>
      <c r="P87" s="52">
        <f>IFERROR(IF(INDEX('ESG'!$P$10:$P$17,MATCH($F87,'ESG'!$B$10:$B$17,0))="","Cell will autofill based on response",INDEX('ESG'!$P$10:$P$17,MATCH($F87,'ESG'!$B$10:$B$17,0))),"N/A")</f>
        <v/>
      </c>
      <c r="Q87" s="52">
        <f>IFERROR(IF(INDEX('CIOG'!$P$10:$P$14,MATCH($F87,'CIOG'!$B$10:$B$14,0))="","Cell will autofill based on response",INDEX('CIOG'!$P$10:$P$14,MATCH($F87,'CIOG'!$B$10:$B$14,0))),"N/A")</f>
        <v/>
      </c>
      <c r="R87" s="52">
        <f>IFERROR(IF(INDEX('MRE'!$P$10:$P$12,MATCH($F87,'MRE'!$B$10:$B$12,0))="","Cell will autofill based on response",INDEX('MRE'!$P$10:$P$12,MATCH($F87,'MRE'!$B$10:$B$12,0))),"N/A")</f>
        <v/>
      </c>
      <c r="S87" s="52">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2">
        <f>IFERROR(IF(INDEX('Faculties'!$Q$10:$Q$30,MATCH($F88,'Faculties'!$B$10:$B$30,0))="","Cell will autofill based on response",INDEX('Faculties'!$Q$10:$Q$30,MATCH($F88,'Faculties'!$B$10:$B$30,0))),"N/A")</f>
        <v/>
      </c>
      <c r="I88" s="52">
        <f>IFERROR(IF(INDEX('Faculties'!$Q$37:$Q$57,MATCH($F88,'Faculties'!$B$37:$B$57,0))="","Cell will autofill based on response",INDEX('Faculties'!$Q$37:$Q$57,MATCH($F88,'Faculties'!$B$37:$B$57,0))),"N/A")</f>
        <v/>
      </c>
      <c r="J88" s="52">
        <f>IFERROR(IF(INDEX('Faculties'!$Q$64:$Q$84,MATCH($F88,'Faculties'!$B$64:$B$84,0))="","Cell will autofill based on response",INDEX('Faculties'!$Q$64:$Q$84,MATCH($F88,'Faculties'!$B$64:$B$84,0))),"N/A")</f>
        <v/>
      </c>
      <c r="K88" s="52">
        <f>IFERROR(IF(INDEX('Faculties'!$Q$91:$Q$111,MATCH($F88,'Faculties'!$B$91:$B$111,0))="","Cell will autofill based on response",INDEX('Faculties'!$Q$91:$Q$111,MATCH($F88,'Faculties'!$B$91:$B$111,0))),"N/A")</f>
        <v/>
      </c>
      <c r="L88" s="52">
        <f>IFERROR(IF(INDEX('CI&amp;S'!$Q$10:$Q$15,MATCH($F88,'CI&amp;S'!$B$10:$B$15,0))="","Cell will autofill based on response",INDEX('CI&amp;S'!$Q$10:$Q$15,MATCH($F88,'CI&amp;S'!$B$10:$B$15,0))),"N/A")</f>
        <v/>
      </c>
      <c r="M88" s="52">
        <f>IFERROR(IF(INDEX('CI&amp;S'!$Q$22:$Q$39,MATCH($F88,'CI&amp;S'!$B$22:$B$39,0))="","Cell will autofill based on response",INDEX('CI&amp;S'!$Q$22:$Q$39,MATCH($F88,'CI&amp;S'!$B$22:$B$39,0))),"N/A")</f>
        <v/>
      </c>
      <c r="N88" s="52">
        <f>IFERROR(IF(INDEX('CFOG'!$Q$10:$Q$16,MATCH($F88,'CFOG'!$B$10:$B$16,0))="","Cell will autofill based on response",INDEX('CFOG'!$Q$10:$Q$16,MATCH($F88,'CFOG'!$B$10:$B$16,0))),"N/A")</f>
        <v/>
      </c>
      <c r="O88" s="52">
        <f>IFERROR(IF(INDEX('CFOG'!$Q$23:$Q$24,MATCH($F88,'CFOG'!$B$23:$B$24,0))="","Cell will autofill based on response",INDEX('CFOG'!$Q$23:$Q$24,MATCH($F88,'CFOG'!$B$23:$B$24,0))),"N/A")</f>
        <v/>
      </c>
      <c r="P88" s="52">
        <f>IFERROR(IF(INDEX('ESG'!$Q$10:$Q$17,MATCH($F88,'ESG'!$B$10:$B$17,0))="","Cell will autofill based on response",INDEX('ESG'!$Q$10:$Q$17,MATCH($F88,'ESG'!$B$10:$B$17,0))),"N/A")</f>
        <v/>
      </c>
      <c r="Q88" s="52">
        <f>IFERROR(IF(INDEX('CIOG'!$Q$10:$Q$14,MATCH($F88,'CIOG'!$B$10:$B$14,0))="","Cell will autofill based on response",INDEX('CIOG'!$Q$10:$Q$14,MATCH($F88,'CIOG'!$B$10:$B$14,0))),"N/A")</f>
        <v/>
      </c>
      <c r="R88" s="52">
        <f>IFERROR(IF(INDEX('MRE'!$Q$10:$Q$12,MATCH($F88,'MRE'!$B$10:$B$12,0))="","Cell will autofill based on response",INDEX('MRE'!$Q$10:$Q$12,MATCH($F88,'MRE'!$B$10:$B$12,0))),"N/A")</f>
        <v/>
      </c>
      <c r="S88" s="52">
        <f>IFERROR(IF(INDEX('L&amp;R'!$Q$10:$Q$11,MATCH($F88,'L&amp;R'!$B$10:$B$11,0))="","Cell will autofill based on response",INDEX('L&amp;R'!$Q$10:$Q$11,MATCH($F88,'L&amp;R'!$B$10:$B$11,0))),"N/A")</f>
        <v/>
      </c>
    </row>
    <row r="89">
      <c r="A89">
        <f>F89&amp;"|"&amp;G89</f>
        <v/>
      </c>
      <c r="B89" s="7" t="inlineStr">
        <is>
          <t>TR3(c)</t>
        </is>
      </c>
      <c r="C89" s="50" t="inlineStr">
        <is>
          <t>Transformational research</t>
        </is>
      </c>
      <c r="D89" s="50" t="inlineStr">
        <is>
          <t>Evidence of progress in sustainability-related research culture, capability and awareness, informed by periodic staff and graduate researcher surveys</t>
        </is>
      </c>
      <c r="E89" s="50"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0" t="inlineStr">
        <is>
          <t>TR3(c)</t>
        </is>
      </c>
      <c r="G89" s="50" t="inlineStr">
        <is>
          <t>Confirm end-2026 target status</t>
        </is>
      </c>
      <c r="H89" s="52">
        <f>IFERROR(IF(INDEX('Faculties'!$L$10:$L$30,MATCH($F89,'Faculties'!$B$10:$B$30,0))="","Cell will autofill based on response",INDEX('Faculties'!$L$10:$L$30,MATCH($F89,'Faculties'!$B$10:$B$30,0))),"N/A")</f>
        <v/>
      </c>
      <c r="I89" s="52">
        <f>IFERROR(IF(INDEX('Faculties'!$L$37:$L$57,MATCH($F89,'Faculties'!$B$37:$B$57,0))="","Cell will autofill based on response",INDEX('Faculties'!$L$37:$L$57,MATCH($F89,'Faculties'!$B$37:$B$57,0))),"N/A")</f>
        <v/>
      </c>
      <c r="J89" s="52">
        <f>IFERROR(IF(INDEX('Faculties'!$L$64:$L$84,MATCH($F89,'Faculties'!$B$64:$B$84,0))="","Cell will autofill based on response",INDEX('Faculties'!$L$64:$L$84,MATCH($F89,'Faculties'!$B$64:$B$84,0))),"N/A")</f>
        <v/>
      </c>
      <c r="K89" s="52">
        <f>IFERROR(IF(INDEX('Faculties'!$L$91:$L$111,MATCH($F89,'Faculties'!$B$91:$B$111,0))="","Cell will autofill based on response",INDEX('Faculties'!$L$91:$L$111,MATCH($F89,'Faculties'!$B$91:$B$111,0))),"N/A")</f>
        <v/>
      </c>
      <c r="L89" s="52">
        <f>IFERROR(IF(INDEX('CI&amp;S'!$L$10:$L$15,MATCH($F89,'CI&amp;S'!$B$10:$B$15,0))="","Cell will autofill based on response",INDEX('CI&amp;S'!$L$10:$L$15,MATCH($F89,'CI&amp;S'!$B$10:$B$15,0))),"N/A")</f>
        <v/>
      </c>
      <c r="M89" s="52">
        <f>IFERROR(IF(INDEX('CI&amp;S'!$L$22:$L$39,MATCH($F89,'CI&amp;S'!$B$22:$B$39,0))="","Cell will autofill based on response",INDEX('CI&amp;S'!$L$22:$L$39,MATCH($F89,'CI&amp;S'!$B$22:$B$39,0))),"N/A")</f>
        <v/>
      </c>
      <c r="N89" s="52">
        <f>IFERROR(IF(INDEX('CFOG'!$L$10:$L$16,MATCH($F89,'CFOG'!$B$10:$B$16,0))="","Cell will autofill based on response",INDEX('CFOG'!$L$10:$L$16,MATCH($F89,'CFOG'!$B$10:$B$16,0))),"N/A")</f>
        <v/>
      </c>
      <c r="O89" s="52">
        <f>IFERROR(IF(INDEX('CFOG'!$L$23:$L$24,MATCH($F89,'CFOG'!$B$23:$B$24,0))="","Cell will autofill based on response",INDEX('CFOG'!$L$23:$L$24,MATCH($F89,'CFOG'!$B$23:$B$24,0))),"N/A")</f>
        <v/>
      </c>
      <c r="P89" s="52">
        <f>IFERROR(IF(INDEX('ESG'!$L$10:$L$17,MATCH($F89,'ESG'!$B$10:$B$17,0))="","Cell will autofill based on response",INDEX('ESG'!$L$10:$L$17,MATCH($F89,'ESG'!$B$10:$B$17,0))),"N/A")</f>
        <v/>
      </c>
      <c r="Q89" s="52">
        <f>IFERROR(IF(INDEX('CIOG'!$L$10:$L$14,MATCH($F89,'CIOG'!$B$10:$B$14,0))="","Cell will autofill based on response",INDEX('CIOG'!$L$10:$L$14,MATCH($F89,'CIOG'!$B$10:$B$14,0))),"N/A")</f>
        <v/>
      </c>
      <c r="R89" s="52">
        <f>IFERROR(IF(INDEX('MRE'!$L$10:$L$12,MATCH($F89,'MRE'!$B$10:$B$12,0))="","Cell will autofill based on response",INDEX('MRE'!$L$10:$L$12,MATCH($F89,'MRE'!$B$10:$B$12,0))),"N/A")</f>
        <v/>
      </c>
      <c r="S89" s="52">
        <f>IFERROR(IF(INDEX('L&amp;R'!$L$10:$L$11,MATCH($F89,'L&amp;R'!$B$10:$B$11,0))="","Cell will autofill based on response",INDEX('L&amp;R'!$L$10:$L$11,MATCH($F89,'L&amp;R'!$B$10:$B$11,0))),"N/A")</f>
        <v/>
      </c>
      <c r="U89" s="10">
        <f>COUNTIF($H89:$S89,"Cell will autofill based on response")</f>
        <v/>
      </c>
      <c r="V89" s="10">
        <f>COUNTIF($H89:$S89,"Not yet started")</f>
        <v/>
      </c>
      <c r="W89" s="10">
        <f>COUNTIF($H89:$S89,"Not met")</f>
        <v/>
      </c>
      <c r="X89" s="10">
        <f>COUNTIF($H89:$S89,"Partially met")</f>
        <v/>
      </c>
      <c r="Y89" s="10">
        <f>COUNTIF($H89:$S89,"Met or exceeded")</f>
        <v/>
      </c>
      <c r="Z89" s="10">
        <f>3*Y89+2*X89+W89</f>
        <v/>
      </c>
      <c r="AA89" s="10">
        <f>Y89+X89+W89+V89</f>
        <v/>
      </c>
      <c r="AB89" s="53">
        <f>IF(AA89&gt;0,Z89/AA89,"No valid responses to date")</f>
        <v/>
      </c>
      <c r="AC89" s="10">
        <f>IF(ISNUMBER(AB89),INDEX(Lists!$G$2:$G$5,MATCH(ROUND(AB89,0),Lists!$H$2:$H$5,0)),"")</f>
        <v/>
      </c>
      <c r="AD89" s="54">
        <f>IF(AA89&gt;0,Y89/AA89,"")</f>
        <v/>
      </c>
      <c r="AE89" s="54">
        <f>IF(AA89&gt;0,(Y89+X89)/AA89,"")</f>
        <v/>
      </c>
      <c r="AF89" s="10">
        <f>IF(AA89=0,"",IF(AD89&gt;0.75,"Met or exceeded",IF(AE89&gt;=0.5,"Partially met","Not met")))</f>
        <v/>
      </c>
    </row>
    <row r="90">
      <c r="A90">
        <f>F90&amp;"|"&amp;G90</f>
        <v/>
      </c>
      <c r="B90" s="13" t="inlineStr"/>
      <c r="C90" s="8" t="inlineStr"/>
      <c r="D90" s="8" t="inlineStr"/>
      <c r="E90" s="8" t="inlineStr"/>
      <c r="F90" s="8" t="inlineStr">
        <is>
          <t>TR3(c)</t>
        </is>
      </c>
      <c r="G90" s="8" t="inlineStr">
        <is>
          <t>OPTION 1:  Target-level reporting</t>
        </is>
      </c>
      <c r="H90" s="52">
        <f>IFERROR(IF(INDEX('Faculties'!$M$10:$M$30,MATCH($F90,'Faculties'!$B$10:$B$30,0))="","Cell will autofill based on response",INDEX('Faculties'!$M$10:$M$30,MATCH($F90,'Faculties'!$B$10:$B$30,0))),"N/A")</f>
        <v/>
      </c>
      <c r="I90" s="52">
        <f>IFERROR(IF(INDEX('Faculties'!$M$37:$M$57,MATCH($F90,'Faculties'!$B$37:$B$57,0))="","Cell will autofill based on response",INDEX('Faculties'!$M$37:$M$57,MATCH($F90,'Faculties'!$B$37:$B$57,0))),"N/A")</f>
        <v/>
      </c>
      <c r="J90" s="52">
        <f>IFERROR(IF(INDEX('Faculties'!$M$64:$M$84,MATCH($F90,'Faculties'!$B$64:$B$84,0))="","Cell will autofill based on response",INDEX('Faculties'!$M$64:$M$84,MATCH($F90,'Faculties'!$B$64:$B$84,0))),"N/A")</f>
        <v/>
      </c>
      <c r="K90" s="52">
        <f>IFERROR(IF(INDEX('Faculties'!$M$91:$M$111,MATCH($F90,'Faculties'!$B$91:$B$111,0))="","Cell will autofill based on response",INDEX('Faculties'!$M$91:$M$111,MATCH($F90,'Faculties'!$B$91:$B$111,0))),"N/A")</f>
        <v/>
      </c>
      <c r="L90" s="52">
        <f>IFERROR(IF(INDEX('CI&amp;S'!$M$10:$M$15,MATCH($F90,'CI&amp;S'!$B$10:$B$15,0))="","Cell will autofill based on response",INDEX('CI&amp;S'!$M$10:$M$15,MATCH($F90,'CI&amp;S'!$B$10:$B$15,0))),"N/A")</f>
        <v/>
      </c>
      <c r="M90" s="52">
        <f>IFERROR(IF(INDEX('CI&amp;S'!$M$22:$M$39,MATCH($F90,'CI&amp;S'!$B$22:$B$39,0))="","Cell will autofill based on response",INDEX('CI&amp;S'!$M$22:$M$39,MATCH($F90,'CI&amp;S'!$B$22:$B$39,0))),"N/A")</f>
        <v/>
      </c>
      <c r="N90" s="52">
        <f>IFERROR(IF(INDEX('CFOG'!$M$10:$M$16,MATCH($F90,'CFOG'!$B$10:$B$16,0))="","Cell will autofill based on response",INDEX('CFOG'!$M$10:$M$16,MATCH($F90,'CFOG'!$B$10:$B$16,0))),"N/A")</f>
        <v/>
      </c>
      <c r="O90" s="52">
        <f>IFERROR(IF(INDEX('CFOG'!$M$23:$M$24,MATCH($F90,'CFOG'!$B$23:$B$24,0))="","Cell will autofill based on response",INDEX('CFOG'!$M$23:$M$24,MATCH($F90,'CFOG'!$B$23:$B$24,0))),"N/A")</f>
        <v/>
      </c>
      <c r="P90" s="52">
        <f>IFERROR(IF(INDEX('ESG'!$M$10:$M$17,MATCH($F90,'ESG'!$B$10:$B$17,0))="","Cell will autofill based on response",INDEX('ESG'!$M$10:$M$17,MATCH($F90,'ESG'!$B$10:$B$17,0))),"N/A")</f>
        <v/>
      </c>
      <c r="Q90" s="52">
        <f>IFERROR(IF(INDEX('CIOG'!$M$10:$M$14,MATCH($F90,'CIOG'!$B$10:$B$14,0))="","Cell will autofill based on response",INDEX('CIOG'!$M$10:$M$14,MATCH($F90,'CIOG'!$B$10:$B$14,0))),"N/A")</f>
        <v/>
      </c>
      <c r="R90" s="52">
        <f>IFERROR(IF(INDEX('MRE'!$M$10:$M$12,MATCH($F90,'MRE'!$B$10:$B$12,0))="","Cell will autofill based on response",INDEX('MRE'!$M$10:$M$12,MATCH($F90,'MRE'!$B$10:$B$12,0))),"N/A")</f>
        <v/>
      </c>
      <c r="S90" s="52">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2">
        <f>IFERROR(IF(INDEX('Faculties'!$N$10:$N$30,MATCH($F91,'Faculties'!$B$10:$B$30,0))="","Cell will autofill based on response",INDEX('Faculties'!$N$10:$N$30,MATCH($F91,'Faculties'!$B$10:$B$30,0))),"N/A")</f>
        <v/>
      </c>
      <c r="I91" s="52">
        <f>IFERROR(IF(INDEX('Faculties'!$N$37:$N$57,MATCH($F91,'Faculties'!$B$37:$B$57,0))="","Cell will autofill based on response",INDEX('Faculties'!$N$37:$N$57,MATCH($F91,'Faculties'!$B$37:$B$57,0))),"N/A")</f>
        <v/>
      </c>
      <c r="J91" s="52">
        <f>IFERROR(IF(INDEX('Faculties'!$N$64:$N$84,MATCH($F91,'Faculties'!$B$64:$B$84,0))="","Cell will autofill based on response",INDEX('Faculties'!$N$64:$N$84,MATCH($F91,'Faculties'!$B$64:$B$84,0))),"N/A")</f>
        <v/>
      </c>
      <c r="K91" s="52">
        <f>IFERROR(IF(INDEX('Faculties'!$N$91:$N$111,MATCH($F91,'Faculties'!$B$91:$B$111,0))="","Cell will autofill based on response",INDEX('Faculties'!$N$91:$N$111,MATCH($F91,'Faculties'!$B$91:$B$111,0))),"N/A")</f>
        <v/>
      </c>
      <c r="L91" s="52">
        <f>IFERROR(IF(INDEX('CI&amp;S'!$N$10:$N$15,MATCH($F91,'CI&amp;S'!$B$10:$B$15,0))="","Cell will autofill based on response",INDEX('CI&amp;S'!$N$10:$N$15,MATCH($F91,'CI&amp;S'!$B$10:$B$15,0))),"N/A")</f>
        <v/>
      </c>
      <c r="M91" s="52">
        <f>IFERROR(IF(INDEX('CI&amp;S'!$N$22:$N$39,MATCH($F91,'CI&amp;S'!$B$22:$B$39,0))="","Cell will autofill based on response",INDEX('CI&amp;S'!$N$22:$N$39,MATCH($F91,'CI&amp;S'!$B$22:$B$39,0))),"N/A")</f>
        <v/>
      </c>
      <c r="N91" s="52">
        <f>IFERROR(IF(INDEX('CFOG'!$N$10:$N$16,MATCH($F91,'CFOG'!$B$10:$B$16,0))="","Cell will autofill based on response",INDEX('CFOG'!$N$10:$N$16,MATCH($F91,'CFOG'!$B$10:$B$16,0))),"N/A")</f>
        <v/>
      </c>
      <c r="O91" s="52">
        <f>IFERROR(IF(INDEX('CFOG'!$N$23:$N$24,MATCH($F91,'CFOG'!$B$23:$B$24,0))="","Cell will autofill based on response",INDEX('CFOG'!$N$23:$N$24,MATCH($F91,'CFOG'!$B$23:$B$24,0))),"N/A")</f>
        <v/>
      </c>
      <c r="P91" s="52">
        <f>IFERROR(IF(INDEX('ESG'!$N$10:$N$17,MATCH($F91,'ESG'!$B$10:$B$17,0))="","Cell will autofill based on response",INDEX('ESG'!$N$10:$N$17,MATCH($F91,'ESG'!$B$10:$B$17,0))),"N/A")</f>
        <v/>
      </c>
      <c r="Q91" s="52">
        <f>IFERROR(IF(INDEX('CIOG'!$N$10:$N$14,MATCH($F91,'CIOG'!$B$10:$B$14,0))="","Cell will autofill based on response",INDEX('CIOG'!$N$10:$N$14,MATCH($F91,'CIOG'!$B$10:$B$14,0))),"N/A")</f>
        <v/>
      </c>
      <c r="R91" s="52">
        <f>IFERROR(IF(INDEX('MRE'!$N$10:$N$12,MATCH($F91,'MRE'!$B$10:$B$12,0))="","Cell will autofill based on response",INDEX('MRE'!$N$10:$N$12,MATCH($F91,'MRE'!$B$10:$B$12,0))),"N/A")</f>
        <v/>
      </c>
      <c r="S91" s="52">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2">
        <f>IFERROR(IF(INDEX('Faculties'!$O$10:$O$30,MATCH($F92,'Faculties'!$B$10:$B$30,0))="","Cell will autofill based on response",INDEX('Faculties'!$O$10:$O$30,MATCH($F92,'Faculties'!$B$10:$B$30,0))),"N/A")</f>
        <v/>
      </c>
      <c r="I92" s="52">
        <f>IFERROR(IF(INDEX('Faculties'!$O$37:$O$57,MATCH($F92,'Faculties'!$B$37:$B$57,0))="","Cell will autofill based on response",INDEX('Faculties'!$O$37:$O$57,MATCH($F92,'Faculties'!$B$37:$B$57,0))),"N/A")</f>
        <v/>
      </c>
      <c r="J92" s="52">
        <f>IFERROR(IF(INDEX('Faculties'!$O$64:$O$84,MATCH($F92,'Faculties'!$B$64:$B$84,0))="","Cell will autofill based on response",INDEX('Faculties'!$O$64:$O$84,MATCH($F92,'Faculties'!$B$64:$B$84,0))),"N/A")</f>
        <v/>
      </c>
      <c r="K92" s="52">
        <f>IFERROR(IF(INDEX('Faculties'!$O$91:$O$111,MATCH($F92,'Faculties'!$B$91:$B$111,0))="","Cell will autofill based on response",INDEX('Faculties'!$O$91:$O$111,MATCH($F92,'Faculties'!$B$91:$B$111,0))),"N/A")</f>
        <v/>
      </c>
      <c r="L92" s="52">
        <f>IFERROR(IF(INDEX('CI&amp;S'!$O$10:$O$15,MATCH($F92,'CI&amp;S'!$B$10:$B$15,0))="","Cell will autofill based on response",INDEX('CI&amp;S'!$O$10:$O$15,MATCH($F92,'CI&amp;S'!$B$10:$B$15,0))),"N/A")</f>
        <v/>
      </c>
      <c r="M92" s="52">
        <f>IFERROR(IF(INDEX('CI&amp;S'!$O$22:$O$39,MATCH($F92,'CI&amp;S'!$B$22:$B$39,0))="","Cell will autofill based on response",INDEX('CI&amp;S'!$O$22:$O$39,MATCH($F92,'CI&amp;S'!$B$22:$B$39,0))),"N/A")</f>
        <v/>
      </c>
      <c r="N92" s="52">
        <f>IFERROR(IF(INDEX('CFOG'!$O$10:$O$16,MATCH($F92,'CFOG'!$B$10:$B$16,0))="","Cell will autofill based on response",INDEX('CFOG'!$O$10:$O$16,MATCH($F92,'CFOG'!$B$10:$B$16,0))),"N/A")</f>
        <v/>
      </c>
      <c r="O92" s="52">
        <f>IFERROR(IF(INDEX('CFOG'!$O$23:$O$24,MATCH($F92,'CFOG'!$B$23:$B$24,0))="","Cell will autofill based on response",INDEX('CFOG'!$O$23:$O$24,MATCH($F92,'CFOG'!$B$23:$B$24,0))),"N/A")</f>
        <v/>
      </c>
      <c r="P92" s="52">
        <f>IFERROR(IF(INDEX('ESG'!$O$10:$O$17,MATCH($F92,'ESG'!$B$10:$B$17,0))="","Cell will autofill based on response",INDEX('ESG'!$O$10:$O$17,MATCH($F92,'ESG'!$B$10:$B$17,0))),"N/A")</f>
        <v/>
      </c>
      <c r="Q92" s="52">
        <f>IFERROR(IF(INDEX('CIOG'!$O$10:$O$14,MATCH($F92,'CIOG'!$B$10:$B$14,0))="","Cell will autofill based on response",INDEX('CIOG'!$O$10:$O$14,MATCH($F92,'CIOG'!$B$10:$B$14,0))),"N/A")</f>
        <v/>
      </c>
      <c r="R92" s="52">
        <f>IFERROR(IF(INDEX('MRE'!$O$10:$O$12,MATCH($F92,'MRE'!$B$10:$B$12,0))="","Cell will autofill based on response",INDEX('MRE'!$O$10:$O$12,MATCH($F92,'MRE'!$B$10:$B$12,0))),"N/A")</f>
        <v/>
      </c>
      <c r="S92" s="52">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2">
        <f>IFERROR(IF(INDEX('Faculties'!$P$10:$P$30,MATCH($F93,'Faculties'!$B$10:$B$30,0))="","Cell will autofill based on response",INDEX('Faculties'!$P$10:$P$30,MATCH($F93,'Faculties'!$B$10:$B$30,0))),"N/A")</f>
        <v/>
      </c>
      <c r="I93" s="52">
        <f>IFERROR(IF(INDEX('Faculties'!$P$37:$P$57,MATCH($F93,'Faculties'!$B$37:$B$57,0))="","Cell will autofill based on response",INDEX('Faculties'!$P$37:$P$57,MATCH($F93,'Faculties'!$B$37:$B$57,0))),"N/A")</f>
        <v/>
      </c>
      <c r="J93" s="52">
        <f>IFERROR(IF(INDEX('Faculties'!$P$64:$P$84,MATCH($F93,'Faculties'!$B$64:$B$84,0))="","Cell will autofill based on response",INDEX('Faculties'!$P$64:$P$84,MATCH($F93,'Faculties'!$B$64:$B$84,0))),"N/A")</f>
        <v/>
      </c>
      <c r="K93" s="52">
        <f>IFERROR(IF(INDEX('Faculties'!$P$91:$P$111,MATCH($F93,'Faculties'!$B$91:$B$111,0))="","Cell will autofill based on response",INDEX('Faculties'!$P$91:$P$111,MATCH($F93,'Faculties'!$B$91:$B$111,0))),"N/A")</f>
        <v/>
      </c>
      <c r="L93" s="52">
        <f>IFERROR(IF(INDEX('CI&amp;S'!$P$10:$P$15,MATCH($F93,'CI&amp;S'!$B$10:$B$15,0))="","Cell will autofill based on response",INDEX('CI&amp;S'!$P$10:$P$15,MATCH($F93,'CI&amp;S'!$B$10:$B$15,0))),"N/A")</f>
        <v/>
      </c>
      <c r="M93" s="52">
        <f>IFERROR(IF(INDEX('CI&amp;S'!$P$22:$P$39,MATCH($F93,'CI&amp;S'!$B$22:$B$39,0))="","Cell will autofill based on response",INDEX('CI&amp;S'!$P$22:$P$39,MATCH($F93,'CI&amp;S'!$B$22:$B$39,0))),"N/A")</f>
        <v/>
      </c>
      <c r="N93" s="52">
        <f>IFERROR(IF(INDEX('CFOG'!$P$10:$P$16,MATCH($F93,'CFOG'!$B$10:$B$16,0))="","Cell will autofill based on response",INDEX('CFOG'!$P$10:$P$16,MATCH($F93,'CFOG'!$B$10:$B$16,0))),"N/A")</f>
        <v/>
      </c>
      <c r="O93" s="52">
        <f>IFERROR(IF(INDEX('CFOG'!$P$23:$P$24,MATCH($F93,'CFOG'!$B$23:$B$24,0))="","Cell will autofill based on response",INDEX('CFOG'!$P$23:$P$24,MATCH($F93,'CFOG'!$B$23:$B$24,0))),"N/A")</f>
        <v/>
      </c>
      <c r="P93" s="52">
        <f>IFERROR(IF(INDEX('ESG'!$P$10:$P$17,MATCH($F93,'ESG'!$B$10:$B$17,0))="","Cell will autofill based on response",INDEX('ESG'!$P$10:$P$17,MATCH($F93,'ESG'!$B$10:$B$17,0))),"N/A")</f>
        <v/>
      </c>
      <c r="Q93" s="52">
        <f>IFERROR(IF(INDEX('CIOG'!$P$10:$P$14,MATCH($F93,'CIOG'!$B$10:$B$14,0))="","Cell will autofill based on response",INDEX('CIOG'!$P$10:$P$14,MATCH($F93,'CIOG'!$B$10:$B$14,0))),"N/A")</f>
        <v/>
      </c>
      <c r="R93" s="52">
        <f>IFERROR(IF(INDEX('MRE'!$P$10:$P$12,MATCH($F93,'MRE'!$B$10:$B$12,0))="","Cell will autofill based on response",INDEX('MRE'!$P$10:$P$12,MATCH($F93,'MRE'!$B$10:$B$12,0))),"N/A")</f>
        <v/>
      </c>
      <c r="S93" s="52">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2">
        <f>IFERROR(IF(INDEX('Faculties'!$Q$10:$Q$30,MATCH($F94,'Faculties'!$B$10:$B$30,0))="","Cell will autofill based on response",INDEX('Faculties'!$Q$10:$Q$30,MATCH($F94,'Faculties'!$B$10:$B$30,0))),"N/A")</f>
        <v/>
      </c>
      <c r="I94" s="52">
        <f>IFERROR(IF(INDEX('Faculties'!$Q$37:$Q$57,MATCH($F94,'Faculties'!$B$37:$B$57,0))="","Cell will autofill based on response",INDEX('Faculties'!$Q$37:$Q$57,MATCH($F94,'Faculties'!$B$37:$B$57,0))),"N/A")</f>
        <v/>
      </c>
      <c r="J94" s="52">
        <f>IFERROR(IF(INDEX('Faculties'!$Q$64:$Q$84,MATCH($F94,'Faculties'!$B$64:$B$84,0))="","Cell will autofill based on response",INDEX('Faculties'!$Q$64:$Q$84,MATCH($F94,'Faculties'!$B$64:$B$84,0))),"N/A")</f>
        <v/>
      </c>
      <c r="K94" s="52">
        <f>IFERROR(IF(INDEX('Faculties'!$Q$91:$Q$111,MATCH($F94,'Faculties'!$B$91:$B$111,0))="","Cell will autofill based on response",INDEX('Faculties'!$Q$91:$Q$111,MATCH($F94,'Faculties'!$B$91:$B$111,0))),"N/A")</f>
        <v/>
      </c>
      <c r="L94" s="52">
        <f>IFERROR(IF(INDEX('CI&amp;S'!$Q$10:$Q$15,MATCH($F94,'CI&amp;S'!$B$10:$B$15,0))="","Cell will autofill based on response",INDEX('CI&amp;S'!$Q$10:$Q$15,MATCH($F94,'CI&amp;S'!$B$10:$B$15,0))),"N/A")</f>
        <v/>
      </c>
      <c r="M94" s="52">
        <f>IFERROR(IF(INDEX('CI&amp;S'!$Q$22:$Q$39,MATCH($F94,'CI&amp;S'!$B$22:$B$39,0))="","Cell will autofill based on response",INDEX('CI&amp;S'!$Q$22:$Q$39,MATCH($F94,'CI&amp;S'!$B$22:$B$39,0))),"N/A")</f>
        <v/>
      </c>
      <c r="N94" s="52">
        <f>IFERROR(IF(INDEX('CFOG'!$Q$10:$Q$16,MATCH($F94,'CFOG'!$B$10:$B$16,0))="","Cell will autofill based on response",INDEX('CFOG'!$Q$10:$Q$16,MATCH($F94,'CFOG'!$B$10:$B$16,0))),"N/A")</f>
        <v/>
      </c>
      <c r="O94" s="52">
        <f>IFERROR(IF(INDEX('CFOG'!$Q$23:$Q$24,MATCH($F94,'CFOG'!$B$23:$B$24,0))="","Cell will autofill based on response",INDEX('CFOG'!$Q$23:$Q$24,MATCH($F94,'CFOG'!$B$23:$B$24,0))),"N/A")</f>
        <v/>
      </c>
      <c r="P94" s="52">
        <f>IFERROR(IF(INDEX('ESG'!$Q$10:$Q$17,MATCH($F94,'ESG'!$B$10:$B$17,0))="","Cell will autofill based on response",INDEX('ESG'!$Q$10:$Q$17,MATCH($F94,'ESG'!$B$10:$B$17,0))),"N/A")</f>
        <v/>
      </c>
      <c r="Q94" s="52">
        <f>IFERROR(IF(INDEX('CIOG'!$Q$10:$Q$14,MATCH($F94,'CIOG'!$B$10:$B$14,0))="","Cell will autofill based on response",INDEX('CIOG'!$Q$10:$Q$14,MATCH($F94,'CIOG'!$B$10:$B$14,0))),"N/A")</f>
        <v/>
      </c>
      <c r="R94" s="52">
        <f>IFERROR(IF(INDEX('MRE'!$Q$10:$Q$12,MATCH($F94,'MRE'!$B$10:$B$12,0))="","Cell will autofill based on response",INDEX('MRE'!$Q$10:$Q$12,MATCH($F94,'MRE'!$B$10:$B$12,0))),"N/A")</f>
        <v/>
      </c>
      <c r="S94" s="52">
        <f>IFERROR(IF(INDEX('L&amp;R'!$Q$10:$Q$11,MATCH($F94,'L&amp;R'!$B$10:$B$11,0))="","Cell will autofill based on response",INDEX('L&amp;R'!$Q$10:$Q$11,MATCH($F94,'L&amp;R'!$B$10:$B$11,0))),"N/A")</f>
        <v/>
      </c>
    </row>
    <row r="95">
      <c r="A95">
        <f>F95&amp;"|"&amp;G95</f>
        <v/>
      </c>
      <c r="B95" s="7" t="inlineStr">
        <is>
          <t>TR3(d)</t>
        </is>
      </c>
      <c r="C95" s="50" t="inlineStr">
        <is>
          <t>Transformational research</t>
        </is>
      </c>
      <c r="D95" s="50" t="inlineStr">
        <is>
          <t>Expert assessment of progress in embedding sustainable research practices across the institution.</t>
        </is>
      </c>
      <c r="E95" s="50" t="inlineStr">
        <is>
          <t>Faculty/Portfolio’s assessment of progress in embedding sustainable research practices, highlighting areas of strong progress, remaining gaps and priority actions for further improvement.</t>
        </is>
      </c>
      <c r="F95" s="50" t="inlineStr">
        <is>
          <t>TR3(d)</t>
        </is>
      </c>
      <c r="G95" s="50" t="inlineStr">
        <is>
          <t>Confirm end-2026 target status</t>
        </is>
      </c>
      <c r="H95" s="52">
        <f>IFERROR(IF(INDEX('Faculties'!$L$10:$L$30,MATCH($F95,'Faculties'!$B$10:$B$30,0))="","Cell will autofill based on response",INDEX('Faculties'!$L$10:$L$30,MATCH($F95,'Faculties'!$B$10:$B$30,0))),"N/A")</f>
        <v/>
      </c>
      <c r="I95" s="52">
        <f>IFERROR(IF(INDEX('Faculties'!$L$37:$L$57,MATCH($F95,'Faculties'!$B$37:$B$57,0))="","Cell will autofill based on response",INDEX('Faculties'!$L$37:$L$57,MATCH($F95,'Faculties'!$B$37:$B$57,0))),"N/A")</f>
        <v/>
      </c>
      <c r="J95" s="52">
        <f>IFERROR(IF(INDEX('Faculties'!$L$64:$L$84,MATCH($F95,'Faculties'!$B$64:$B$84,0))="","Cell will autofill based on response",INDEX('Faculties'!$L$64:$L$84,MATCH($F95,'Faculties'!$B$64:$B$84,0))),"N/A")</f>
        <v/>
      </c>
      <c r="K95" s="52">
        <f>IFERROR(IF(INDEX('Faculties'!$L$91:$L$111,MATCH($F95,'Faculties'!$B$91:$B$111,0))="","Cell will autofill based on response",INDEX('Faculties'!$L$91:$L$111,MATCH($F95,'Faculties'!$B$91:$B$111,0))),"N/A")</f>
        <v/>
      </c>
      <c r="L95" s="52">
        <f>IFERROR(IF(INDEX('CI&amp;S'!$L$10:$L$15,MATCH($F95,'CI&amp;S'!$B$10:$B$15,0))="","Cell will autofill based on response",INDEX('CI&amp;S'!$L$10:$L$15,MATCH($F95,'CI&amp;S'!$B$10:$B$15,0))),"N/A")</f>
        <v/>
      </c>
      <c r="M95" s="52">
        <f>IFERROR(IF(INDEX('CI&amp;S'!$L$22:$L$39,MATCH($F95,'CI&amp;S'!$B$22:$B$39,0))="","Cell will autofill based on response",INDEX('CI&amp;S'!$L$22:$L$39,MATCH($F95,'CI&amp;S'!$B$22:$B$39,0))),"N/A")</f>
        <v/>
      </c>
      <c r="N95" s="52">
        <f>IFERROR(IF(INDEX('CFOG'!$L$10:$L$16,MATCH($F95,'CFOG'!$B$10:$B$16,0))="","Cell will autofill based on response",INDEX('CFOG'!$L$10:$L$16,MATCH($F95,'CFOG'!$B$10:$B$16,0))),"N/A")</f>
        <v/>
      </c>
      <c r="O95" s="52">
        <f>IFERROR(IF(INDEX('CFOG'!$L$23:$L$24,MATCH($F95,'CFOG'!$B$23:$B$24,0))="","Cell will autofill based on response",INDEX('CFOG'!$L$23:$L$24,MATCH($F95,'CFOG'!$B$23:$B$24,0))),"N/A")</f>
        <v/>
      </c>
      <c r="P95" s="52">
        <f>IFERROR(IF(INDEX('ESG'!$L$10:$L$17,MATCH($F95,'ESG'!$B$10:$B$17,0))="","Cell will autofill based on response",INDEX('ESG'!$L$10:$L$17,MATCH($F95,'ESG'!$B$10:$B$17,0))),"N/A")</f>
        <v/>
      </c>
      <c r="Q95" s="52">
        <f>IFERROR(IF(INDEX('CIOG'!$L$10:$L$14,MATCH($F95,'CIOG'!$B$10:$B$14,0))="","Cell will autofill based on response",INDEX('CIOG'!$L$10:$L$14,MATCH($F95,'CIOG'!$B$10:$B$14,0))),"N/A")</f>
        <v/>
      </c>
      <c r="R95" s="52">
        <f>IFERROR(IF(INDEX('MRE'!$L$10:$L$12,MATCH($F95,'MRE'!$B$10:$B$12,0))="","Cell will autofill based on response",INDEX('MRE'!$L$10:$L$12,MATCH($F95,'MRE'!$B$10:$B$12,0))),"N/A")</f>
        <v/>
      </c>
      <c r="S95" s="52">
        <f>IFERROR(IF(INDEX('L&amp;R'!$L$10:$L$11,MATCH($F95,'L&amp;R'!$B$10:$B$11,0))="","Cell will autofill based on response",INDEX('L&amp;R'!$L$10:$L$11,MATCH($F95,'L&amp;R'!$B$10:$B$11,0))),"N/A")</f>
        <v/>
      </c>
      <c r="U95" s="10">
        <f>COUNTIF($H95:$S95,"Cell will autofill based on response")</f>
        <v/>
      </c>
      <c r="V95" s="10">
        <f>COUNTIF($H95:$S95,"Not yet started")</f>
        <v/>
      </c>
      <c r="W95" s="10">
        <f>COUNTIF($H95:$S95,"Not met")</f>
        <v/>
      </c>
      <c r="X95" s="10">
        <f>COUNTIF($H95:$S95,"Partially met")</f>
        <v/>
      </c>
      <c r="Y95" s="10">
        <f>COUNTIF($H95:$S95,"Met or exceeded")</f>
        <v/>
      </c>
      <c r="Z95" s="10">
        <f>3*Y95+2*X95+W95</f>
        <v/>
      </c>
      <c r="AA95" s="10">
        <f>Y95+X95+W95+V95</f>
        <v/>
      </c>
      <c r="AB95" s="53">
        <f>IF(AA95&gt;0,Z95/AA95,"No valid responses to date")</f>
        <v/>
      </c>
      <c r="AC95" s="10">
        <f>IF(ISNUMBER(AB95),INDEX(Lists!$G$2:$G$5,MATCH(ROUND(AB95,0),Lists!$H$2:$H$5,0)),"")</f>
        <v/>
      </c>
      <c r="AD95" s="54">
        <f>IF(AA95&gt;0,Y95/AA95,"")</f>
        <v/>
      </c>
      <c r="AE95" s="54">
        <f>IF(AA95&gt;0,(Y95+X95)/AA95,"")</f>
        <v/>
      </c>
      <c r="AF95" s="10">
        <f>IF(AA95=0,"",IF(AD95&gt;0.75,"Met or exceeded",IF(AE95&gt;=0.5,"Partially met","Not met")))</f>
        <v/>
      </c>
    </row>
    <row r="96">
      <c r="A96">
        <f>F96&amp;"|"&amp;G96</f>
        <v/>
      </c>
      <c r="B96" s="13" t="inlineStr"/>
      <c r="C96" s="8" t="inlineStr"/>
      <c r="D96" s="8" t="inlineStr"/>
      <c r="E96" s="8" t="inlineStr"/>
      <c r="F96" s="8" t="inlineStr">
        <is>
          <t>TR3(d)</t>
        </is>
      </c>
      <c r="G96" s="8" t="inlineStr">
        <is>
          <t>OPTION 1:  Target-level reporting</t>
        </is>
      </c>
      <c r="H96" s="52">
        <f>IFERROR(IF(INDEX('Faculties'!$M$10:$M$30,MATCH($F96,'Faculties'!$B$10:$B$30,0))="","Cell will autofill based on response",INDEX('Faculties'!$M$10:$M$30,MATCH($F96,'Faculties'!$B$10:$B$30,0))),"N/A")</f>
        <v/>
      </c>
      <c r="I96" s="52">
        <f>IFERROR(IF(INDEX('Faculties'!$M$37:$M$57,MATCH($F96,'Faculties'!$B$37:$B$57,0))="","Cell will autofill based on response",INDEX('Faculties'!$M$37:$M$57,MATCH($F96,'Faculties'!$B$37:$B$57,0))),"N/A")</f>
        <v/>
      </c>
      <c r="J96" s="52">
        <f>IFERROR(IF(INDEX('Faculties'!$M$64:$M$84,MATCH($F96,'Faculties'!$B$64:$B$84,0))="","Cell will autofill based on response",INDEX('Faculties'!$M$64:$M$84,MATCH($F96,'Faculties'!$B$64:$B$84,0))),"N/A")</f>
        <v/>
      </c>
      <c r="K96" s="52">
        <f>IFERROR(IF(INDEX('Faculties'!$M$91:$M$111,MATCH($F96,'Faculties'!$B$91:$B$111,0))="","Cell will autofill based on response",INDEX('Faculties'!$M$91:$M$111,MATCH($F96,'Faculties'!$B$91:$B$111,0))),"N/A")</f>
        <v/>
      </c>
      <c r="L96" s="52">
        <f>IFERROR(IF(INDEX('CI&amp;S'!$M$10:$M$15,MATCH($F96,'CI&amp;S'!$B$10:$B$15,0))="","Cell will autofill based on response",INDEX('CI&amp;S'!$M$10:$M$15,MATCH($F96,'CI&amp;S'!$B$10:$B$15,0))),"N/A")</f>
        <v/>
      </c>
      <c r="M96" s="52">
        <f>IFERROR(IF(INDEX('CI&amp;S'!$M$22:$M$39,MATCH($F96,'CI&amp;S'!$B$22:$B$39,0))="","Cell will autofill based on response",INDEX('CI&amp;S'!$M$22:$M$39,MATCH($F96,'CI&amp;S'!$B$22:$B$39,0))),"N/A")</f>
        <v/>
      </c>
      <c r="N96" s="52">
        <f>IFERROR(IF(INDEX('CFOG'!$M$10:$M$16,MATCH($F96,'CFOG'!$B$10:$B$16,0))="","Cell will autofill based on response",INDEX('CFOG'!$M$10:$M$16,MATCH($F96,'CFOG'!$B$10:$B$16,0))),"N/A")</f>
        <v/>
      </c>
      <c r="O96" s="52">
        <f>IFERROR(IF(INDEX('CFOG'!$M$23:$M$24,MATCH($F96,'CFOG'!$B$23:$B$24,0))="","Cell will autofill based on response",INDEX('CFOG'!$M$23:$M$24,MATCH($F96,'CFOG'!$B$23:$B$24,0))),"N/A")</f>
        <v/>
      </c>
      <c r="P96" s="52">
        <f>IFERROR(IF(INDEX('ESG'!$M$10:$M$17,MATCH($F96,'ESG'!$B$10:$B$17,0))="","Cell will autofill based on response",INDEX('ESG'!$M$10:$M$17,MATCH($F96,'ESG'!$B$10:$B$17,0))),"N/A")</f>
        <v/>
      </c>
      <c r="Q96" s="52">
        <f>IFERROR(IF(INDEX('CIOG'!$M$10:$M$14,MATCH($F96,'CIOG'!$B$10:$B$14,0))="","Cell will autofill based on response",INDEX('CIOG'!$M$10:$M$14,MATCH($F96,'CIOG'!$B$10:$B$14,0))),"N/A")</f>
        <v/>
      </c>
      <c r="R96" s="52">
        <f>IFERROR(IF(INDEX('MRE'!$M$10:$M$12,MATCH($F96,'MRE'!$B$10:$B$12,0))="","Cell will autofill based on response",INDEX('MRE'!$M$10:$M$12,MATCH($F96,'MRE'!$B$10:$B$12,0))),"N/A")</f>
        <v/>
      </c>
      <c r="S96" s="52">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2">
        <f>IFERROR(IF(INDEX('Faculties'!$N$10:$N$30,MATCH($F97,'Faculties'!$B$10:$B$30,0))="","Cell will autofill based on response",INDEX('Faculties'!$N$10:$N$30,MATCH($F97,'Faculties'!$B$10:$B$30,0))),"N/A")</f>
        <v/>
      </c>
      <c r="I97" s="52">
        <f>IFERROR(IF(INDEX('Faculties'!$N$37:$N$57,MATCH($F97,'Faculties'!$B$37:$B$57,0))="","Cell will autofill based on response",INDEX('Faculties'!$N$37:$N$57,MATCH($F97,'Faculties'!$B$37:$B$57,0))),"N/A")</f>
        <v/>
      </c>
      <c r="J97" s="52">
        <f>IFERROR(IF(INDEX('Faculties'!$N$64:$N$84,MATCH($F97,'Faculties'!$B$64:$B$84,0))="","Cell will autofill based on response",INDEX('Faculties'!$N$64:$N$84,MATCH($F97,'Faculties'!$B$64:$B$84,0))),"N/A")</f>
        <v/>
      </c>
      <c r="K97" s="52">
        <f>IFERROR(IF(INDEX('Faculties'!$N$91:$N$111,MATCH($F97,'Faculties'!$B$91:$B$111,0))="","Cell will autofill based on response",INDEX('Faculties'!$N$91:$N$111,MATCH($F97,'Faculties'!$B$91:$B$111,0))),"N/A")</f>
        <v/>
      </c>
      <c r="L97" s="52">
        <f>IFERROR(IF(INDEX('CI&amp;S'!$N$10:$N$15,MATCH($F97,'CI&amp;S'!$B$10:$B$15,0))="","Cell will autofill based on response",INDEX('CI&amp;S'!$N$10:$N$15,MATCH($F97,'CI&amp;S'!$B$10:$B$15,0))),"N/A")</f>
        <v/>
      </c>
      <c r="M97" s="52">
        <f>IFERROR(IF(INDEX('CI&amp;S'!$N$22:$N$39,MATCH($F97,'CI&amp;S'!$B$22:$B$39,0))="","Cell will autofill based on response",INDEX('CI&amp;S'!$N$22:$N$39,MATCH($F97,'CI&amp;S'!$B$22:$B$39,0))),"N/A")</f>
        <v/>
      </c>
      <c r="N97" s="52">
        <f>IFERROR(IF(INDEX('CFOG'!$N$10:$N$16,MATCH($F97,'CFOG'!$B$10:$B$16,0))="","Cell will autofill based on response",INDEX('CFOG'!$N$10:$N$16,MATCH($F97,'CFOG'!$B$10:$B$16,0))),"N/A")</f>
        <v/>
      </c>
      <c r="O97" s="52">
        <f>IFERROR(IF(INDEX('CFOG'!$N$23:$N$24,MATCH($F97,'CFOG'!$B$23:$B$24,0))="","Cell will autofill based on response",INDEX('CFOG'!$N$23:$N$24,MATCH($F97,'CFOG'!$B$23:$B$24,0))),"N/A")</f>
        <v/>
      </c>
      <c r="P97" s="52">
        <f>IFERROR(IF(INDEX('ESG'!$N$10:$N$17,MATCH($F97,'ESG'!$B$10:$B$17,0))="","Cell will autofill based on response",INDEX('ESG'!$N$10:$N$17,MATCH($F97,'ESG'!$B$10:$B$17,0))),"N/A")</f>
        <v/>
      </c>
      <c r="Q97" s="52">
        <f>IFERROR(IF(INDEX('CIOG'!$N$10:$N$14,MATCH($F97,'CIOG'!$B$10:$B$14,0))="","Cell will autofill based on response",INDEX('CIOG'!$N$10:$N$14,MATCH($F97,'CIOG'!$B$10:$B$14,0))),"N/A")</f>
        <v/>
      </c>
      <c r="R97" s="52">
        <f>IFERROR(IF(INDEX('MRE'!$N$10:$N$12,MATCH($F97,'MRE'!$B$10:$B$12,0))="","Cell will autofill based on response",INDEX('MRE'!$N$10:$N$12,MATCH($F97,'MRE'!$B$10:$B$12,0))),"N/A")</f>
        <v/>
      </c>
      <c r="S97" s="52">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2">
        <f>IFERROR(IF(INDEX('Faculties'!$O$10:$O$30,MATCH($F98,'Faculties'!$B$10:$B$30,0))="","Cell will autofill based on response",INDEX('Faculties'!$O$10:$O$30,MATCH($F98,'Faculties'!$B$10:$B$30,0))),"N/A")</f>
        <v/>
      </c>
      <c r="I98" s="52">
        <f>IFERROR(IF(INDEX('Faculties'!$O$37:$O$57,MATCH($F98,'Faculties'!$B$37:$B$57,0))="","Cell will autofill based on response",INDEX('Faculties'!$O$37:$O$57,MATCH($F98,'Faculties'!$B$37:$B$57,0))),"N/A")</f>
        <v/>
      </c>
      <c r="J98" s="52">
        <f>IFERROR(IF(INDEX('Faculties'!$O$64:$O$84,MATCH($F98,'Faculties'!$B$64:$B$84,0))="","Cell will autofill based on response",INDEX('Faculties'!$O$64:$O$84,MATCH($F98,'Faculties'!$B$64:$B$84,0))),"N/A")</f>
        <v/>
      </c>
      <c r="K98" s="52">
        <f>IFERROR(IF(INDEX('Faculties'!$O$91:$O$111,MATCH($F98,'Faculties'!$B$91:$B$111,0))="","Cell will autofill based on response",INDEX('Faculties'!$O$91:$O$111,MATCH($F98,'Faculties'!$B$91:$B$111,0))),"N/A")</f>
        <v/>
      </c>
      <c r="L98" s="52">
        <f>IFERROR(IF(INDEX('CI&amp;S'!$O$10:$O$15,MATCH($F98,'CI&amp;S'!$B$10:$B$15,0))="","Cell will autofill based on response",INDEX('CI&amp;S'!$O$10:$O$15,MATCH($F98,'CI&amp;S'!$B$10:$B$15,0))),"N/A")</f>
        <v/>
      </c>
      <c r="M98" s="52">
        <f>IFERROR(IF(INDEX('CI&amp;S'!$O$22:$O$39,MATCH($F98,'CI&amp;S'!$B$22:$B$39,0))="","Cell will autofill based on response",INDEX('CI&amp;S'!$O$22:$O$39,MATCH($F98,'CI&amp;S'!$B$22:$B$39,0))),"N/A")</f>
        <v/>
      </c>
      <c r="N98" s="52">
        <f>IFERROR(IF(INDEX('CFOG'!$O$10:$O$16,MATCH($F98,'CFOG'!$B$10:$B$16,0))="","Cell will autofill based on response",INDEX('CFOG'!$O$10:$O$16,MATCH($F98,'CFOG'!$B$10:$B$16,0))),"N/A")</f>
        <v/>
      </c>
      <c r="O98" s="52">
        <f>IFERROR(IF(INDEX('CFOG'!$O$23:$O$24,MATCH($F98,'CFOG'!$B$23:$B$24,0))="","Cell will autofill based on response",INDEX('CFOG'!$O$23:$O$24,MATCH($F98,'CFOG'!$B$23:$B$24,0))),"N/A")</f>
        <v/>
      </c>
      <c r="P98" s="52">
        <f>IFERROR(IF(INDEX('ESG'!$O$10:$O$17,MATCH($F98,'ESG'!$B$10:$B$17,0))="","Cell will autofill based on response",INDEX('ESG'!$O$10:$O$17,MATCH($F98,'ESG'!$B$10:$B$17,0))),"N/A")</f>
        <v/>
      </c>
      <c r="Q98" s="52">
        <f>IFERROR(IF(INDEX('CIOG'!$O$10:$O$14,MATCH($F98,'CIOG'!$B$10:$B$14,0))="","Cell will autofill based on response",INDEX('CIOG'!$O$10:$O$14,MATCH($F98,'CIOG'!$B$10:$B$14,0))),"N/A")</f>
        <v/>
      </c>
      <c r="R98" s="52">
        <f>IFERROR(IF(INDEX('MRE'!$O$10:$O$12,MATCH($F98,'MRE'!$B$10:$B$12,0))="","Cell will autofill based on response",INDEX('MRE'!$O$10:$O$12,MATCH($F98,'MRE'!$B$10:$B$12,0))),"N/A")</f>
        <v/>
      </c>
      <c r="S98" s="52">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2">
        <f>IFERROR(IF(INDEX('Faculties'!$P$10:$P$30,MATCH($F99,'Faculties'!$B$10:$B$30,0))="","Cell will autofill based on response",INDEX('Faculties'!$P$10:$P$30,MATCH($F99,'Faculties'!$B$10:$B$30,0))),"N/A")</f>
        <v/>
      </c>
      <c r="I99" s="52">
        <f>IFERROR(IF(INDEX('Faculties'!$P$37:$P$57,MATCH($F99,'Faculties'!$B$37:$B$57,0))="","Cell will autofill based on response",INDEX('Faculties'!$P$37:$P$57,MATCH($F99,'Faculties'!$B$37:$B$57,0))),"N/A")</f>
        <v/>
      </c>
      <c r="J99" s="52">
        <f>IFERROR(IF(INDEX('Faculties'!$P$64:$P$84,MATCH($F99,'Faculties'!$B$64:$B$84,0))="","Cell will autofill based on response",INDEX('Faculties'!$P$64:$P$84,MATCH($F99,'Faculties'!$B$64:$B$84,0))),"N/A")</f>
        <v/>
      </c>
      <c r="K99" s="52">
        <f>IFERROR(IF(INDEX('Faculties'!$P$91:$P$111,MATCH($F99,'Faculties'!$B$91:$B$111,0))="","Cell will autofill based on response",INDEX('Faculties'!$P$91:$P$111,MATCH($F99,'Faculties'!$B$91:$B$111,0))),"N/A")</f>
        <v/>
      </c>
      <c r="L99" s="52">
        <f>IFERROR(IF(INDEX('CI&amp;S'!$P$10:$P$15,MATCH($F99,'CI&amp;S'!$B$10:$B$15,0))="","Cell will autofill based on response",INDEX('CI&amp;S'!$P$10:$P$15,MATCH($F99,'CI&amp;S'!$B$10:$B$15,0))),"N/A")</f>
        <v/>
      </c>
      <c r="M99" s="52">
        <f>IFERROR(IF(INDEX('CI&amp;S'!$P$22:$P$39,MATCH($F99,'CI&amp;S'!$B$22:$B$39,0))="","Cell will autofill based on response",INDEX('CI&amp;S'!$P$22:$P$39,MATCH($F99,'CI&amp;S'!$B$22:$B$39,0))),"N/A")</f>
        <v/>
      </c>
      <c r="N99" s="52">
        <f>IFERROR(IF(INDEX('CFOG'!$P$10:$P$16,MATCH($F99,'CFOG'!$B$10:$B$16,0))="","Cell will autofill based on response",INDEX('CFOG'!$P$10:$P$16,MATCH($F99,'CFOG'!$B$10:$B$16,0))),"N/A")</f>
        <v/>
      </c>
      <c r="O99" s="52">
        <f>IFERROR(IF(INDEX('CFOG'!$P$23:$P$24,MATCH($F99,'CFOG'!$B$23:$B$24,0))="","Cell will autofill based on response",INDEX('CFOG'!$P$23:$P$24,MATCH($F99,'CFOG'!$B$23:$B$24,0))),"N/A")</f>
        <v/>
      </c>
      <c r="P99" s="52">
        <f>IFERROR(IF(INDEX('ESG'!$P$10:$P$17,MATCH($F99,'ESG'!$B$10:$B$17,0))="","Cell will autofill based on response",INDEX('ESG'!$P$10:$P$17,MATCH($F99,'ESG'!$B$10:$B$17,0))),"N/A")</f>
        <v/>
      </c>
      <c r="Q99" s="52">
        <f>IFERROR(IF(INDEX('CIOG'!$P$10:$P$14,MATCH($F99,'CIOG'!$B$10:$B$14,0))="","Cell will autofill based on response",INDEX('CIOG'!$P$10:$P$14,MATCH($F99,'CIOG'!$B$10:$B$14,0))),"N/A")</f>
        <v/>
      </c>
      <c r="R99" s="52">
        <f>IFERROR(IF(INDEX('MRE'!$P$10:$P$12,MATCH($F99,'MRE'!$B$10:$B$12,0))="","Cell will autofill based on response",INDEX('MRE'!$P$10:$P$12,MATCH($F99,'MRE'!$B$10:$B$12,0))),"N/A")</f>
        <v/>
      </c>
      <c r="S99" s="52">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2">
        <f>IFERROR(IF(INDEX('Faculties'!$Q$10:$Q$30,MATCH($F100,'Faculties'!$B$10:$B$30,0))="","Cell will autofill based on response",INDEX('Faculties'!$Q$10:$Q$30,MATCH($F100,'Faculties'!$B$10:$B$30,0))),"N/A")</f>
        <v/>
      </c>
      <c r="I100" s="52">
        <f>IFERROR(IF(INDEX('Faculties'!$Q$37:$Q$57,MATCH($F100,'Faculties'!$B$37:$B$57,0))="","Cell will autofill based on response",INDEX('Faculties'!$Q$37:$Q$57,MATCH($F100,'Faculties'!$B$37:$B$57,0))),"N/A")</f>
        <v/>
      </c>
      <c r="J100" s="52">
        <f>IFERROR(IF(INDEX('Faculties'!$Q$64:$Q$84,MATCH($F100,'Faculties'!$B$64:$B$84,0))="","Cell will autofill based on response",INDEX('Faculties'!$Q$64:$Q$84,MATCH($F100,'Faculties'!$B$64:$B$84,0))),"N/A")</f>
        <v/>
      </c>
      <c r="K100" s="52">
        <f>IFERROR(IF(INDEX('Faculties'!$Q$91:$Q$111,MATCH($F100,'Faculties'!$B$91:$B$111,0))="","Cell will autofill based on response",INDEX('Faculties'!$Q$91:$Q$111,MATCH($F100,'Faculties'!$B$91:$B$111,0))),"N/A")</f>
        <v/>
      </c>
      <c r="L100" s="52">
        <f>IFERROR(IF(INDEX('CI&amp;S'!$Q$10:$Q$15,MATCH($F100,'CI&amp;S'!$B$10:$B$15,0))="","Cell will autofill based on response",INDEX('CI&amp;S'!$Q$10:$Q$15,MATCH($F100,'CI&amp;S'!$B$10:$B$15,0))),"N/A")</f>
        <v/>
      </c>
      <c r="M100" s="52">
        <f>IFERROR(IF(INDEX('CI&amp;S'!$Q$22:$Q$39,MATCH($F100,'CI&amp;S'!$B$22:$B$39,0))="","Cell will autofill based on response",INDEX('CI&amp;S'!$Q$22:$Q$39,MATCH($F100,'CI&amp;S'!$B$22:$B$39,0))),"N/A")</f>
        <v/>
      </c>
      <c r="N100" s="52">
        <f>IFERROR(IF(INDEX('CFOG'!$Q$10:$Q$16,MATCH($F100,'CFOG'!$B$10:$B$16,0))="","Cell will autofill based on response",INDEX('CFOG'!$Q$10:$Q$16,MATCH($F100,'CFOG'!$B$10:$B$16,0))),"N/A")</f>
        <v/>
      </c>
      <c r="O100" s="52">
        <f>IFERROR(IF(INDEX('CFOG'!$Q$23:$Q$24,MATCH($F100,'CFOG'!$B$23:$B$24,0))="","Cell will autofill based on response",INDEX('CFOG'!$Q$23:$Q$24,MATCH($F100,'CFOG'!$B$23:$B$24,0))),"N/A")</f>
        <v/>
      </c>
      <c r="P100" s="52">
        <f>IFERROR(IF(INDEX('ESG'!$Q$10:$Q$17,MATCH($F100,'ESG'!$B$10:$B$17,0))="","Cell will autofill based on response",INDEX('ESG'!$Q$10:$Q$17,MATCH($F100,'ESG'!$B$10:$B$17,0))),"N/A")</f>
        <v/>
      </c>
      <c r="Q100" s="52">
        <f>IFERROR(IF(INDEX('CIOG'!$Q$10:$Q$14,MATCH($F100,'CIOG'!$B$10:$B$14,0))="","Cell will autofill based on response",INDEX('CIOG'!$Q$10:$Q$14,MATCH($F100,'CIOG'!$B$10:$B$14,0))),"N/A")</f>
        <v/>
      </c>
      <c r="R100" s="52">
        <f>IFERROR(IF(INDEX('MRE'!$Q$10:$Q$12,MATCH($F100,'MRE'!$B$10:$B$12,0))="","Cell will autofill based on response",INDEX('MRE'!$Q$10:$Q$12,MATCH($F100,'MRE'!$B$10:$B$12,0))),"N/A")</f>
        <v/>
      </c>
      <c r="S100" s="52">
        <f>IFERROR(IF(INDEX('L&amp;R'!$Q$10:$Q$11,MATCH($F100,'L&amp;R'!$B$10:$B$11,0))="","Cell will autofill based on response",INDEX('L&amp;R'!$Q$10:$Q$11,MATCH($F100,'L&amp;R'!$B$10:$B$11,0))),"N/A")</f>
        <v/>
      </c>
    </row>
    <row r="101">
      <c r="A101">
        <f>F101&amp;"|"&amp;G101</f>
        <v/>
      </c>
      <c r="B101" s="7" t="inlineStr">
        <is>
          <t>CL1(c)</t>
        </is>
      </c>
      <c r="C101" s="50" t="inlineStr">
        <is>
          <t>Climate leadership</t>
        </is>
      </c>
      <c r="D101" s="50" t="inlineStr">
        <is>
          <t>Review of Climate Leadership targets by 2030.[2]</t>
        </is>
      </c>
      <c r="E101" s="50" t="inlineStr"/>
      <c r="F101" s="50" t="inlineStr">
        <is>
          <t>CL1(c)</t>
        </is>
      </c>
      <c r="G101" s="50" t="inlineStr">
        <is>
          <t>Confirm end-2026 target status</t>
        </is>
      </c>
      <c r="H101" s="52">
        <f>IFERROR(IF(INDEX('Faculties'!$L$10:$L$30,MATCH($F101,'Faculties'!$B$10:$B$30,0))="","Cell will autofill based on response",INDEX('Faculties'!$L$10:$L$30,MATCH($F101,'Faculties'!$B$10:$B$30,0))),"N/A")</f>
        <v/>
      </c>
      <c r="I101" s="52">
        <f>IFERROR(IF(INDEX('Faculties'!$L$37:$L$57,MATCH($F101,'Faculties'!$B$37:$B$57,0))="","Cell will autofill based on response",INDEX('Faculties'!$L$37:$L$57,MATCH($F101,'Faculties'!$B$37:$B$57,0))),"N/A")</f>
        <v/>
      </c>
      <c r="J101" s="52">
        <f>IFERROR(IF(INDEX('Faculties'!$L$64:$L$84,MATCH($F101,'Faculties'!$B$64:$B$84,0))="","Cell will autofill based on response",INDEX('Faculties'!$L$64:$L$84,MATCH($F101,'Faculties'!$B$64:$B$84,0))),"N/A")</f>
        <v/>
      </c>
      <c r="K101" s="52">
        <f>IFERROR(IF(INDEX('Faculties'!$L$91:$L$111,MATCH($F101,'Faculties'!$B$91:$B$111,0))="","Cell will autofill based on response",INDEX('Faculties'!$L$91:$L$111,MATCH($F101,'Faculties'!$B$91:$B$111,0))),"N/A")</f>
        <v/>
      </c>
      <c r="L101" s="52">
        <f>IFERROR(IF(INDEX('CI&amp;S'!$L$10:$L$15,MATCH($F101,'CI&amp;S'!$B$10:$B$15,0))="","Cell will autofill based on response",INDEX('CI&amp;S'!$L$10:$L$15,MATCH($F101,'CI&amp;S'!$B$10:$B$15,0))),"N/A")</f>
        <v/>
      </c>
      <c r="M101" s="52">
        <f>IFERROR(IF(INDEX('CI&amp;S'!$L$22:$L$39,MATCH($F101,'CI&amp;S'!$B$22:$B$39,0))="","Cell will autofill based on response",INDEX('CI&amp;S'!$L$22:$L$39,MATCH($F101,'CI&amp;S'!$B$22:$B$39,0))),"N/A")</f>
        <v/>
      </c>
      <c r="N101" s="52">
        <f>IFERROR(IF(INDEX('CFOG'!$L$10:$L$16,MATCH($F101,'CFOG'!$B$10:$B$16,0))="","Cell will autofill based on response",INDEX('CFOG'!$L$10:$L$16,MATCH($F101,'CFOG'!$B$10:$B$16,0))),"N/A")</f>
        <v/>
      </c>
      <c r="O101" s="52">
        <f>IFERROR(IF(INDEX('CFOG'!$L$23:$L$24,MATCH($F101,'CFOG'!$B$23:$B$24,0))="","Cell will autofill based on response",INDEX('CFOG'!$L$23:$L$24,MATCH($F101,'CFOG'!$B$23:$B$24,0))),"N/A")</f>
        <v/>
      </c>
      <c r="P101" s="52">
        <f>IFERROR(IF(INDEX('ESG'!$L$10:$L$17,MATCH($F101,'ESG'!$B$10:$B$17,0))="","Cell will autofill based on response",INDEX('ESG'!$L$10:$L$17,MATCH($F101,'ESG'!$B$10:$B$17,0))),"N/A")</f>
        <v/>
      </c>
      <c r="Q101" s="52">
        <f>IFERROR(IF(INDEX('CIOG'!$L$10:$L$14,MATCH($F101,'CIOG'!$B$10:$B$14,0))="","Cell will autofill based on response",INDEX('CIOG'!$L$10:$L$14,MATCH($F101,'CIOG'!$B$10:$B$14,0))),"N/A")</f>
        <v/>
      </c>
      <c r="R101" s="52">
        <f>IFERROR(IF(INDEX('MRE'!$L$10:$L$12,MATCH($F101,'MRE'!$B$10:$B$12,0))="","Cell will autofill based on response",INDEX('MRE'!$L$10:$L$12,MATCH($F101,'MRE'!$B$10:$B$12,0))),"N/A")</f>
        <v/>
      </c>
      <c r="S101" s="52">
        <f>IFERROR(IF(INDEX('L&amp;R'!$L$10:$L$11,MATCH($F101,'L&amp;R'!$B$10:$B$11,0))="","Cell will autofill based on response",INDEX('L&amp;R'!$L$10:$L$11,MATCH($F101,'L&amp;R'!$B$10:$B$11,0))),"N/A")</f>
        <v/>
      </c>
      <c r="U101" s="10">
        <f>COUNTIF($H101:$S101,"Cell will autofill based on response")</f>
        <v/>
      </c>
      <c r="V101" s="10">
        <f>COUNTIF($H101:$S101,"Not yet started")</f>
        <v/>
      </c>
      <c r="W101" s="10">
        <f>COUNTIF($H101:$S101,"Not met")</f>
        <v/>
      </c>
      <c r="X101" s="10">
        <f>COUNTIF($H101:$S101,"Partially met")</f>
        <v/>
      </c>
      <c r="Y101" s="10">
        <f>COUNTIF($H101:$S101,"Met or exceeded")</f>
        <v/>
      </c>
      <c r="Z101" s="10">
        <f>3*Y101+2*X101+W101</f>
        <v/>
      </c>
      <c r="AA101" s="10">
        <f>Y101+X101+W101+V101</f>
        <v/>
      </c>
      <c r="AB101" s="53">
        <f>IF(AA101&gt;0,Z101/AA101,"No valid responses to date")</f>
        <v/>
      </c>
      <c r="AC101" s="10">
        <f>IF(ISNUMBER(AB101),INDEX(Lists!$G$2:$G$5,MATCH(ROUND(AB101,0),Lists!$H$2:$H$5,0)),"")</f>
        <v/>
      </c>
      <c r="AD101" s="54">
        <f>IF(AA101&gt;0,Y101/AA101,"")</f>
        <v/>
      </c>
      <c r="AE101" s="54">
        <f>IF(AA101&gt;0,(Y101+X101)/AA101,"")</f>
        <v/>
      </c>
      <c r="AF101" s="10">
        <f>IF(AA101=0,"",IF(AD101&gt;0.75,"Met or exceeded",IF(AE101&gt;=0.5,"Partially met","Not met")))</f>
        <v/>
      </c>
    </row>
    <row r="102">
      <c r="A102">
        <f>F102&amp;"|"&amp;G102</f>
        <v/>
      </c>
      <c r="B102" s="13" t="inlineStr"/>
      <c r="C102" s="8" t="inlineStr"/>
      <c r="D102" s="8" t="inlineStr"/>
      <c r="E102" s="8" t="inlineStr"/>
      <c r="F102" s="8" t="inlineStr">
        <is>
          <t>CL1(c)</t>
        </is>
      </c>
      <c r="G102" s="8" t="inlineStr">
        <is>
          <t>OPTION 1:  Target-level reporting</t>
        </is>
      </c>
      <c r="H102" s="52">
        <f>IFERROR(IF(INDEX('Faculties'!$M$10:$M$30,MATCH($F102,'Faculties'!$B$10:$B$30,0))="","Cell will autofill based on response",INDEX('Faculties'!$M$10:$M$30,MATCH($F102,'Faculties'!$B$10:$B$30,0))),"N/A")</f>
        <v/>
      </c>
      <c r="I102" s="52">
        <f>IFERROR(IF(INDEX('Faculties'!$M$37:$M$57,MATCH($F102,'Faculties'!$B$37:$B$57,0))="","Cell will autofill based on response",INDEX('Faculties'!$M$37:$M$57,MATCH($F102,'Faculties'!$B$37:$B$57,0))),"N/A")</f>
        <v/>
      </c>
      <c r="J102" s="52">
        <f>IFERROR(IF(INDEX('Faculties'!$M$64:$M$84,MATCH($F102,'Faculties'!$B$64:$B$84,0))="","Cell will autofill based on response",INDEX('Faculties'!$M$64:$M$84,MATCH($F102,'Faculties'!$B$64:$B$84,0))),"N/A")</f>
        <v/>
      </c>
      <c r="K102" s="52">
        <f>IFERROR(IF(INDEX('Faculties'!$M$91:$M$111,MATCH($F102,'Faculties'!$B$91:$B$111,0))="","Cell will autofill based on response",INDEX('Faculties'!$M$91:$M$111,MATCH($F102,'Faculties'!$B$91:$B$111,0))),"N/A")</f>
        <v/>
      </c>
      <c r="L102" s="52">
        <f>IFERROR(IF(INDEX('CI&amp;S'!$M$10:$M$15,MATCH($F102,'CI&amp;S'!$B$10:$B$15,0))="","Cell will autofill based on response",INDEX('CI&amp;S'!$M$10:$M$15,MATCH($F102,'CI&amp;S'!$B$10:$B$15,0))),"N/A")</f>
        <v/>
      </c>
      <c r="M102" s="52">
        <f>IFERROR(IF(INDEX('CI&amp;S'!$M$22:$M$39,MATCH($F102,'CI&amp;S'!$B$22:$B$39,0))="","Cell will autofill based on response",INDEX('CI&amp;S'!$M$22:$M$39,MATCH($F102,'CI&amp;S'!$B$22:$B$39,0))),"N/A")</f>
        <v/>
      </c>
      <c r="N102" s="52">
        <f>IFERROR(IF(INDEX('CFOG'!$M$10:$M$16,MATCH($F102,'CFOG'!$B$10:$B$16,0))="","Cell will autofill based on response",INDEX('CFOG'!$M$10:$M$16,MATCH($F102,'CFOG'!$B$10:$B$16,0))),"N/A")</f>
        <v/>
      </c>
      <c r="O102" s="52">
        <f>IFERROR(IF(INDEX('CFOG'!$M$23:$M$24,MATCH($F102,'CFOG'!$B$23:$B$24,0))="","Cell will autofill based on response",INDEX('CFOG'!$M$23:$M$24,MATCH($F102,'CFOG'!$B$23:$B$24,0))),"N/A")</f>
        <v/>
      </c>
      <c r="P102" s="52">
        <f>IFERROR(IF(INDEX('ESG'!$M$10:$M$17,MATCH($F102,'ESG'!$B$10:$B$17,0))="","Cell will autofill based on response",INDEX('ESG'!$M$10:$M$17,MATCH($F102,'ESG'!$B$10:$B$17,0))),"N/A")</f>
        <v/>
      </c>
      <c r="Q102" s="52">
        <f>IFERROR(IF(INDEX('CIOG'!$M$10:$M$14,MATCH($F102,'CIOG'!$B$10:$B$14,0))="","Cell will autofill based on response",INDEX('CIOG'!$M$10:$M$14,MATCH($F102,'CIOG'!$B$10:$B$14,0))),"N/A")</f>
        <v/>
      </c>
      <c r="R102" s="52">
        <f>IFERROR(IF(INDEX('MRE'!$M$10:$M$12,MATCH($F102,'MRE'!$B$10:$B$12,0))="","Cell will autofill based on response",INDEX('MRE'!$M$10:$M$12,MATCH($F102,'MRE'!$B$10:$B$12,0))),"N/A")</f>
        <v/>
      </c>
      <c r="S102" s="52">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2">
        <f>IFERROR(IF(INDEX('Faculties'!$N$10:$N$30,MATCH($F103,'Faculties'!$B$10:$B$30,0))="","Cell will autofill based on response",INDEX('Faculties'!$N$10:$N$30,MATCH($F103,'Faculties'!$B$10:$B$30,0))),"N/A")</f>
        <v/>
      </c>
      <c r="I103" s="52">
        <f>IFERROR(IF(INDEX('Faculties'!$N$37:$N$57,MATCH($F103,'Faculties'!$B$37:$B$57,0))="","Cell will autofill based on response",INDEX('Faculties'!$N$37:$N$57,MATCH($F103,'Faculties'!$B$37:$B$57,0))),"N/A")</f>
        <v/>
      </c>
      <c r="J103" s="52">
        <f>IFERROR(IF(INDEX('Faculties'!$N$64:$N$84,MATCH($F103,'Faculties'!$B$64:$B$84,0))="","Cell will autofill based on response",INDEX('Faculties'!$N$64:$N$84,MATCH($F103,'Faculties'!$B$64:$B$84,0))),"N/A")</f>
        <v/>
      </c>
      <c r="K103" s="52">
        <f>IFERROR(IF(INDEX('Faculties'!$N$91:$N$111,MATCH($F103,'Faculties'!$B$91:$B$111,0))="","Cell will autofill based on response",INDEX('Faculties'!$N$91:$N$111,MATCH($F103,'Faculties'!$B$91:$B$111,0))),"N/A")</f>
        <v/>
      </c>
      <c r="L103" s="52">
        <f>IFERROR(IF(INDEX('CI&amp;S'!$N$10:$N$15,MATCH($F103,'CI&amp;S'!$B$10:$B$15,0))="","Cell will autofill based on response",INDEX('CI&amp;S'!$N$10:$N$15,MATCH($F103,'CI&amp;S'!$B$10:$B$15,0))),"N/A")</f>
        <v/>
      </c>
      <c r="M103" s="52">
        <f>IFERROR(IF(INDEX('CI&amp;S'!$N$22:$N$39,MATCH($F103,'CI&amp;S'!$B$22:$B$39,0))="","Cell will autofill based on response",INDEX('CI&amp;S'!$N$22:$N$39,MATCH($F103,'CI&amp;S'!$B$22:$B$39,0))),"N/A")</f>
        <v/>
      </c>
      <c r="N103" s="52">
        <f>IFERROR(IF(INDEX('CFOG'!$N$10:$N$16,MATCH($F103,'CFOG'!$B$10:$B$16,0))="","Cell will autofill based on response",INDEX('CFOG'!$N$10:$N$16,MATCH($F103,'CFOG'!$B$10:$B$16,0))),"N/A")</f>
        <v/>
      </c>
      <c r="O103" s="52">
        <f>IFERROR(IF(INDEX('CFOG'!$N$23:$N$24,MATCH($F103,'CFOG'!$B$23:$B$24,0))="","Cell will autofill based on response",INDEX('CFOG'!$N$23:$N$24,MATCH($F103,'CFOG'!$B$23:$B$24,0))),"N/A")</f>
        <v/>
      </c>
      <c r="P103" s="52">
        <f>IFERROR(IF(INDEX('ESG'!$N$10:$N$17,MATCH($F103,'ESG'!$B$10:$B$17,0))="","Cell will autofill based on response",INDEX('ESG'!$N$10:$N$17,MATCH($F103,'ESG'!$B$10:$B$17,0))),"N/A")</f>
        <v/>
      </c>
      <c r="Q103" s="52">
        <f>IFERROR(IF(INDEX('CIOG'!$N$10:$N$14,MATCH($F103,'CIOG'!$B$10:$B$14,0))="","Cell will autofill based on response",INDEX('CIOG'!$N$10:$N$14,MATCH($F103,'CIOG'!$B$10:$B$14,0))),"N/A")</f>
        <v/>
      </c>
      <c r="R103" s="52">
        <f>IFERROR(IF(INDEX('MRE'!$N$10:$N$12,MATCH($F103,'MRE'!$B$10:$B$12,0))="","Cell will autofill based on response",INDEX('MRE'!$N$10:$N$12,MATCH($F103,'MRE'!$B$10:$B$12,0))),"N/A")</f>
        <v/>
      </c>
      <c r="S103" s="52">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2">
        <f>IFERROR(IF(INDEX('Faculties'!$O$10:$O$30,MATCH($F104,'Faculties'!$B$10:$B$30,0))="","Cell will autofill based on response",INDEX('Faculties'!$O$10:$O$30,MATCH($F104,'Faculties'!$B$10:$B$30,0))),"N/A")</f>
        <v/>
      </c>
      <c r="I104" s="52">
        <f>IFERROR(IF(INDEX('Faculties'!$O$37:$O$57,MATCH($F104,'Faculties'!$B$37:$B$57,0))="","Cell will autofill based on response",INDEX('Faculties'!$O$37:$O$57,MATCH($F104,'Faculties'!$B$37:$B$57,0))),"N/A")</f>
        <v/>
      </c>
      <c r="J104" s="52">
        <f>IFERROR(IF(INDEX('Faculties'!$O$64:$O$84,MATCH($F104,'Faculties'!$B$64:$B$84,0))="","Cell will autofill based on response",INDEX('Faculties'!$O$64:$O$84,MATCH($F104,'Faculties'!$B$64:$B$84,0))),"N/A")</f>
        <v/>
      </c>
      <c r="K104" s="52">
        <f>IFERROR(IF(INDEX('Faculties'!$O$91:$O$111,MATCH($F104,'Faculties'!$B$91:$B$111,0))="","Cell will autofill based on response",INDEX('Faculties'!$O$91:$O$111,MATCH($F104,'Faculties'!$B$91:$B$111,0))),"N/A")</f>
        <v/>
      </c>
      <c r="L104" s="52">
        <f>IFERROR(IF(INDEX('CI&amp;S'!$O$10:$O$15,MATCH($F104,'CI&amp;S'!$B$10:$B$15,0))="","Cell will autofill based on response",INDEX('CI&amp;S'!$O$10:$O$15,MATCH($F104,'CI&amp;S'!$B$10:$B$15,0))),"N/A")</f>
        <v/>
      </c>
      <c r="M104" s="52">
        <f>IFERROR(IF(INDEX('CI&amp;S'!$O$22:$O$39,MATCH($F104,'CI&amp;S'!$B$22:$B$39,0))="","Cell will autofill based on response",INDEX('CI&amp;S'!$O$22:$O$39,MATCH($F104,'CI&amp;S'!$B$22:$B$39,0))),"N/A")</f>
        <v/>
      </c>
      <c r="N104" s="52">
        <f>IFERROR(IF(INDEX('CFOG'!$O$10:$O$16,MATCH($F104,'CFOG'!$B$10:$B$16,0))="","Cell will autofill based on response",INDEX('CFOG'!$O$10:$O$16,MATCH($F104,'CFOG'!$B$10:$B$16,0))),"N/A")</f>
        <v/>
      </c>
      <c r="O104" s="52">
        <f>IFERROR(IF(INDEX('CFOG'!$O$23:$O$24,MATCH($F104,'CFOG'!$B$23:$B$24,0))="","Cell will autofill based on response",INDEX('CFOG'!$O$23:$O$24,MATCH($F104,'CFOG'!$B$23:$B$24,0))),"N/A")</f>
        <v/>
      </c>
      <c r="P104" s="52">
        <f>IFERROR(IF(INDEX('ESG'!$O$10:$O$17,MATCH($F104,'ESG'!$B$10:$B$17,0))="","Cell will autofill based on response",INDEX('ESG'!$O$10:$O$17,MATCH($F104,'ESG'!$B$10:$B$17,0))),"N/A")</f>
        <v/>
      </c>
      <c r="Q104" s="52">
        <f>IFERROR(IF(INDEX('CIOG'!$O$10:$O$14,MATCH($F104,'CIOG'!$B$10:$B$14,0))="","Cell will autofill based on response",INDEX('CIOG'!$O$10:$O$14,MATCH($F104,'CIOG'!$B$10:$B$14,0))),"N/A")</f>
        <v/>
      </c>
      <c r="R104" s="52">
        <f>IFERROR(IF(INDEX('MRE'!$O$10:$O$12,MATCH($F104,'MRE'!$B$10:$B$12,0))="","Cell will autofill based on response",INDEX('MRE'!$O$10:$O$12,MATCH($F104,'MRE'!$B$10:$B$12,0))),"N/A")</f>
        <v/>
      </c>
      <c r="S104" s="52">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2">
        <f>IFERROR(IF(INDEX('Faculties'!$P$10:$P$30,MATCH($F105,'Faculties'!$B$10:$B$30,0))="","Cell will autofill based on response",INDEX('Faculties'!$P$10:$P$30,MATCH($F105,'Faculties'!$B$10:$B$30,0))),"N/A")</f>
        <v/>
      </c>
      <c r="I105" s="52">
        <f>IFERROR(IF(INDEX('Faculties'!$P$37:$P$57,MATCH($F105,'Faculties'!$B$37:$B$57,0))="","Cell will autofill based on response",INDEX('Faculties'!$P$37:$P$57,MATCH($F105,'Faculties'!$B$37:$B$57,0))),"N/A")</f>
        <v/>
      </c>
      <c r="J105" s="52">
        <f>IFERROR(IF(INDEX('Faculties'!$P$64:$P$84,MATCH($F105,'Faculties'!$B$64:$B$84,0))="","Cell will autofill based on response",INDEX('Faculties'!$P$64:$P$84,MATCH($F105,'Faculties'!$B$64:$B$84,0))),"N/A")</f>
        <v/>
      </c>
      <c r="K105" s="52">
        <f>IFERROR(IF(INDEX('Faculties'!$P$91:$P$111,MATCH($F105,'Faculties'!$B$91:$B$111,0))="","Cell will autofill based on response",INDEX('Faculties'!$P$91:$P$111,MATCH($F105,'Faculties'!$B$91:$B$111,0))),"N/A")</f>
        <v/>
      </c>
      <c r="L105" s="52">
        <f>IFERROR(IF(INDEX('CI&amp;S'!$P$10:$P$15,MATCH($F105,'CI&amp;S'!$B$10:$B$15,0))="","Cell will autofill based on response",INDEX('CI&amp;S'!$P$10:$P$15,MATCH($F105,'CI&amp;S'!$B$10:$B$15,0))),"N/A")</f>
        <v/>
      </c>
      <c r="M105" s="52">
        <f>IFERROR(IF(INDEX('CI&amp;S'!$P$22:$P$39,MATCH($F105,'CI&amp;S'!$B$22:$B$39,0))="","Cell will autofill based on response",INDEX('CI&amp;S'!$P$22:$P$39,MATCH($F105,'CI&amp;S'!$B$22:$B$39,0))),"N/A")</f>
        <v/>
      </c>
      <c r="N105" s="52">
        <f>IFERROR(IF(INDEX('CFOG'!$P$10:$P$16,MATCH($F105,'CFOG'!$B$10:$B$16,0))="","Cell will autofill based on response",INDEX('CFOG'!$P$10:$P$16,MATCH($F105,'CFOG'!$B$10:$B$16,0))),"N/A")</f>
        <v/>
      </c>
      <c r="O105" s="52">
        <f>IFERROR(IF(INDEX('CFOG'!$P$23:$P$24,MATCH($F105,'CFOG'!$B$23:$B$24,0))="","Cell will autofill based on response",INDEX('CFOG'!$P$23:$P$24,MATCH($F105,'CFOG'!$B$23:$B$24,0))),"N/A")</f>
        <v/>
      </c>
      <c r="P105" s="52">
        <f>IFERROR(IF(INDEX('ESG'!$P$10:$P$17,MATCH($F105,'ESG'!$B$10:$B$17,0))="","Cell will autofill based on response",INDEX('ESG'!$P$10:$P$17,MATCH($F105,'ESG'!$B$10:$B$17,0))),"N/A")</f>
        <v/>
      </c>
      <c r="Q105" s="52">
        <f>IFERROR(IF(INDEX('CIOG'!$P$10:$P$14,MATCH($F105,'CIOG'!$B$10:$B$14,0))="","Cell will autofill based on response",INDEX('CIOG'!$P$10:$P$14,MATCH($F105,'CIOG'!$B$10:$B$14,0))),"N/A")</f>
        <v/>
      </c>
      <c r="R105" s="52">
        <f>IFERROR(IF(INDEX('MRE'!$P$10:$P$12,MATCH($F105,'MRE'!$B$10:$B$12,0))="","Cell will autofill based on response",INDEX('MRE'!$P$10:$P$12,MATCH($F105,'MRE'!$B$10:$B$12,0))),"N/A")</f>
        <v/>
      </c>
      <c r="S105" s="52">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2">
        <f>IFERROR(IF(INDEX('Faculties'!$Q$10:$Q$30,MATCH($F106,'Faculties'!$B$10:$B$30,0))="","Cell will autofill based on response",INDEX('Faculties'!$Q$10:$Q$30,MATCH($F106,'Faculties'!$B$10:$B$30,0))),"N/A")</f>
        <v/>
      </c>
      <c r="I106" s="52">
        <f>IFERROR(IF(INDEX('Faculties'!$Q$37:$Q$57,MATCH($F106,'Faculties'!$B$37:$B$57,0))="","Cell will autofill based on response",INDEX('Faculties'!$Q$37:$Q$57,MATCH($F106,'Faculties'!$B$37:$B$57,0))),"N/A")</f>
        <v/>
      </c>
      <c r="J106" s="52">
        <f>IFERROR(IF(INDEX('Faculties'!$Q$64:$Q$84,MATCH($F106,'Faculties'!$B$64:$B$84,0))="","Cell will autofill based on response",INDEX('Faculties'!$Q$64:$Q$84,MATCH($F106,'Faculties'!$B$64:$B$84,0))),"N/A")</f>
        <v/>
      </c>
      <c r="K106" s="52">
        <f>IFERROR(IF(INDEX('Faculties'!$Q$91:$Q$111,MATCH($F106,'Faculties'!$B$91:$B$111,0))="","Cell will autofill based on response",INDEX('Faculties'!$Q$91:$Q$111,MATCH($F106,'Faculties'!$B$91:$B$111,0))),"N/A")</f>
        <v/>
      </c>
      <c r="L106" s="52">
        <f>IFERROR(IF(INDEX('CI&amp;S'!$Q$10:$Q$15,MATCH($F106,'CI&amp;S'!$B$10:$B$15,0))="","Cell will autofill based on response",INDEX('CI&amp;S'!$Q$10:$Q$15,MATCH($F106,'CI&amp;S'!$B$10:$B$15,0))),"N/A")</f>
        <v/>
      </c>
      <c r="M106" s="52">
        <f>IFERROR(IF(INDEX('CI&amp;S'!$Q$22:$Q$39,MATCH($F106,'CI&amp;S'!$B$22:$B$39,0))="","Cell will autofill based on response",INDEX('CI&amp;S'!$Q$22:$Q$39,MATCH($F106,'CI&amp;S'!$B$22:$B$39,0))),"N/A")</f>
        <v/>
      </c>
      <c r="N106" s="52">
        <f>IFERROR(IF(INDEX('CFOG'!$Q$10:$Q$16,MATCH($F106,'CFOG'!$B$10:$B$16,0))="","Cell will autofill based on response",INDEX('CFOG'!$Q$10:$Q$16,MATCH($F106,'CFOG'!$B$10:$B$16,0))),"N/A")</f>
        <v/>
      </c>
      <c r="O106" s="52">
        <f>IFERROR(IF(INDEX('CFOG'!$Q$23:$Q$24,MATCH($F106,'CFOG'!$B$23:$B$24,0))="","Cell will autofill based on response",INDEX('CFOG'!$Q$23:$Q$24,MATCH($F106,'CFOG'!$B$23:$B$24,0))),"N/A")</f>
        <v/>
      </c>
      <c r="P106" s="52">
        <f>IFERROR(IF(INDEX('ESG'!$Q$10:$Q$17,MATCH($F106,'ESG'!$B$10:$B$17,0))="","Cell will autofill based on response",INDEX('ESG'!$Q$10:$Q$17,MATCH($F106,'ESG'!$B$10:$B$17,0))),"N/A")</f>
        <v/>
      </c>
      <c r="Q106" s="52">
        <f>IFERROR(IF(INDEX('CIOG'!$Q$10:$Q$14,MATCH($F106,'CIOG'!$B$10:$B$14,0))="","Cell will autofill based on response",INDEX('CIOG'!$Q$10:$Q$14,MATCH($F106,'CIOG'!$B$10:$B$14,0))),"N/A")</f>
        <v/>
      </c>
      <c r="R106" s="52">
        <f>IFERROR(IF(INDEX('MRE'!$Q$10:$Q$12,MATCH($F106,'MRE'!$B$10:$B$12,0))="","Cell will autofill based on response",INDEX('MRE'!$Q$10:$Q$12,MATCH($F106,'MRE'!$B$10:$B$12,0))),"N/A")</f>
        <v/>
      </c>
      <c r="S106" s="52">
        <f>IFERROR(IF(INDEX('L&amp;R'!$Q$10:$Q$11,MATCH($F106,'L&amp;R'!$B$10:$B$11,0))="","Cell will autofill based on response",INDEX('L&amp;R'!$Q$10:$Q$11,MATCH($F106,'L&amp;R'!$B$10:$B$11,0))),"N/A")</f>
        <v/>
      </c>
    </row>
    <row r="107">
      <c r="A107">
        <f>F107&amp;"|"&amp;G107</f>
        <v/>
      </c>
      <c r="B107" s="7" t="inlineStr">
        <is>
          <t>CL2(a)</t>
        </is>
      </c>
      <c r="C107" s="50" t="inlineStr">
        <is>
          <t>Climate leadership</t>
        </is>
      </c>
      <c r="D107" s="50" t="inlineStr">
        <is>
          <t>By 2028, develop and document institutional mapping of research and education activities that are designed to contribute to global decarbonisation</t>
        </is>
      </c>
      <c r="E107" s="50"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0" t="inlineStr">
        <is>
          <t>CL2(a)</t>
        </is>
      </c>
      <c r="G107" s="50" t="inlineStr">
        <is>
          <t>Confirm end-2026 target status</t>
        </is>
      </c>
      <c r="H107" s="52">
        <f>IFERROR(IF(INDEX('Faculties'!$L$10:$L$30,MATCH($F107,'Faculties'!$B$10:$B$30,0))="","Cell will autofill based on response",INDEX('Faculties'!$L$10:$L$30,MATCH($F107,'Faculties'!$B$10:$B$30,0))),"N/A")</f>
        <v/>
      </c>
      <c r="I107" s="52">
        <f>IFERROR(IF(INDEX('Faculties'!$L$37:$L$57,MATCH($F107,'Faculties'!$B$37:$B$57,0))="","Cell will autofill based on response",INDEX('Faculties'!$L$37:$L$57,MATCH($F107,'Faculties'!$B$37:$B$57,0))),"N/A")</f>
        <v/>
      </c>
      <c r="J107" s="52">
        <f>IFERROR(IF(INDEX('Faculties'!$L$64:$L$84,MATCH($F107,'Faculties'!$B$64:$B$84,0))="","Cell will autofill based on response",INDEX('Faculties'!$L$64:$L$84,MATCH($F107,'Faculties'!$B$64:$B$84,0))),"N/A")</f>
        <v/>
      </c>
      <c r="K107" s="52">
        <f>IFERROR(IF(INDEX('Faculties'!$L$91:$L$111,MATCH($F107,'Faculties'!$B$91:$B$111,0))="","Cell will autofill based on response",INDEX('Faculties'!$L$91:$L$111,MATCH($F107,'Faculties'!$B$91:$B$111,0))),"N/A")</f>
        <v/>
      </c>
      <c r="L107" s="52">
        <f>IFERROR(IF(INDEX('CI&amp;S'!$L$10:$L$15,MATCH($F107,'CI&amp;S'!$B$10:$B$15,0))="","Cell will autofill based on response",INDEX('CI&amp;S'!$L$10:$L$15,MATCH($F107,'CI&amp;S'!$B$10:$B$15,0))),"N/A")</f>
        <v/>
      </c>
      <c r="M107" s="52">
        <f>IFERROR(IF(INDEX('CI&amp;S'!$L$22:$L$39,MATCH($F107,'CI&amp;S'!$B$22:$B$39,0))="","Cell will autofill based on response",INDEX('CI&amp;S'!$L$22:$L$39,MATCH($F107,'CI&amp;S'!$B$22:$B$39,0))),"N/A")</f>
        <v/>
      </c>
      <c r="N107" s="52">
        <f>IFERROR(IF(INDEX('CFOG'!$L$10:$L$16,MATCH($F107,'CFOG'!$B$10:$B$16,0))="","Cell will autofill based on response",INDEX('CFOG'!$L$10:$L$16,MATCH($F107,'CFOG'!$B$10:$B$16,0))),"N/A")</f>
        <v/>
      </c>
      <c r="O107" s="52">
        <f>IFERROR(IF(INDEX('CFOG'!$L$23:$L$24,MATCH($F107,'CFOG'!$B$23:$B$24,0))="","Cell will autofill based on response",INDEX('CFOG'!$L$23:$L$24,MATCH($F107,'CFOG'!$B$23:$B$24,0))),"N/A")</f>
        <v/>
      </c>
      <c r="P107" s="52">
        <f>IFERROR(IF(INDEX('ESG'!$L$10:$L$17,MATCH($F107,'ESG'!$B$10:$B$17,0))="","Cell will autofill based on response",INDEX('ESG'!$L$10:$L$17,MATCH($F107,'ESG'!$B$10:$B$17,0))),"N/A")</f>
        <v/>
      </c>
      <c r="Q107" s="52">
        <f>IFERROR(IF(INDEX('CIOG'!$L$10:$L$14,MATCH($F107,'CIOG'!$B$10:$B$14,0))="","Cell will autofill based on response",INDEX('CIOG'!$L$10:$L$14,MATCH($F107,'CIOG'!$B$10:$B$14,0))),"N/A")</f>
        <v/>
      </c>
      <c r="R107" s="52">
        <f>IFERROR(IF(INDEX('MRE'!$L$10:$L$12,MATCH($F107,'MRE'!$B$10:$B$12,0))="","Cell will autofill based on response",INDEX('MRE'!$L$10:$L$12,MATCH($F107,'MRE'!$B$10:$B$12,0))),"N/A")</f>
        <v/>
      </c>
      <c r="S107" s="52">
        <f>IFERROR(IF(INDEX('L&amp;R'!$L$10:$L$11,MATCH($F107,'L&amp;R'!$B$10:$B$11,0))="","Cell will autofill based on response",INDEX('L&amp;R'!$L$10:$L$11,MATCH($F107,'L&amp;R'!$B$10:$B$11,0))),"N/A")</f>
        <v/>
      </c>
      <c r="U107" s="10">
        <f>COUNTIF($H107:$S107,"Cell will autofill based on response")</f>
        <v/>
      </c>
      <c r="V107" s="10">
        <f>COUNTIF($H107:$S107,"Not yet started")</f>
        <v/>
      </c>
      <c r="W107" s="10">
        <f>COUNTIF($H107:$S107,"Not met")</f>
        <v/>
      </c>
      <c r="X107" s="10">
        <f>COUNTIF($H107:$S107,"Partially met")</f>
        <v/>
      </c>
      <c r="Y107" s="10">
        <f>COUNTIF($H107:$S107,"Met or exceeded")</f>
        <v/>
      </c>
      <c r="Z107" s="10">
        <f>3*Y107+2*X107+W107</f>
        <v/>
      </c>
      <c r="AA107" s="10">
        <f>Y107+X107+W107+V107</f>
        <v/>
      </c>
      <c r="AB107" s="53">
        <f>IF(AA107&gt;0,Z107/AA107,"No valid responses to date")</f>
        <v/>
      </c>
      <c r="AC107" s="10">
        <f>IF(ISNUMBER(AB107),INDEX(Lists!$G$2:$G$5,MATCH(ROUND(AB107,0),Lists!$H$2:$H$5,0)),"")</f>
        <v/>
      </c>
      <c r="AD107" s="54">
        <f>IF(AA107&gt;0,Y107/AA107,"")</f>
        <v/>
      </c>
      <c r="AE107" s="54">
        <f>IF(AA107&gt;0,(Y107+X107)/AA107,"")</f>
        <v/>
      </c>
      <c r="AF107" s="10">
        <f>IF(AA107=0,"",IF(AD107&gt;0.75,"Met or exceeded",IF(AE107&gt;=0.5,"Partially met","Not met")))</f>
        <v/>
      </c>
    </row>
    <row r="108">
      <c r="A108">
        <f>F108&amp;"|"&amp;G108</f>
        <v/>
      </c>
      <c r="B108" s="13" t="inlineStr"/>
      <c r="C108" s="8" t="inlineStr"/>
      <c r="D108" s="8" t="inlineStr"/>
      <c r="E108" s="8" t="inlineStr"/>
      <c r="F108" s="8" t="inlineStr">
        <is>
          <t>CL2(a)</t>
        </is>
      </c>
      <c r="G108" s="8" t="inlineStr">
        <is>
          <t>OPTION 1:  Target-level reporting</t>
        </is>
      </c>
      <c r="H108" s="52">
        <f>IFERROR(IF(INDEX('Faculties'!$M$10:$M$30,MATCH($F108,'Faculties'!$B$10:$B$30,0))="","Cell will autofill based on response",INDEX('Faculties'!$M$10:$M$30,MATCH($F108,'Faculties'!$B$10:$B$30,0))),"N/A")</f>
        <v/>
      </c>
      <c r="I108" s="52">
        <f>IFERROR(IF(INDEX('Faculties'!$M$37:$M$57,MATCH($F108,'Faculties'!$B$37:$B$57,0))="","Cell will autofill based on response",INDEX('Faculties'!$M$37:$M$57,MATCH($F108,'Faculties'!$B$37:$B$57,0))),"N/A")</f>
        <v/>
      </c>
      <c r="J108" s="52">
        <f>IFERROR(IF(INDEX('Faculties'!$M$64:$M$84,MATCH($F108,'Faculties'!$B$64:$B$84,0))="","Cell will autofill based on response",INDEX('Faculties'!$M$64:$M$84,MATCH($F108,'Faculties'!$B$64:$B$84,0))),"N/A")</f>
        <v/>
      </c>
      <c r="K108" s="52">
        <f>IFERROR(IF(INDEX('Faculties'!$M$91:$M$111,MATCH($F108,'Faculties'!$B$91:$B$111,0))="","Cell will autofill based on response",INDEX('Faculties'!$M$91:$M$111,MATCH($F108,'Faculties'!$B$91:$B$111,0))),"N/A")</f>
        <v/>
      </c>
      <c r="L108" s="52">
        <f>IFERROR(IF(INDEX('CI&amp;S'!$M$10:$M$15,MATCH($F108,'CI&amp;S'!$B$10:$B$15,0))="","Cell will autofill based on response",INDEX('CI&amp;S'!$M$10:$M$15,MATCH($F108,'CI&amp;S'!$B$10:$B$15,0))),"N/A")</f>
        <v/>
      </c>
      <c r="M108" s="52">
        <f>IFERROR(IF(INDEX('CI&amp;S'!$M$22:$M$39,MATCH($F108,'CI&amp;S'!$B$22:$B$39,0))="","Cell will autofill based on response",INDEX('CI&amp;S'!$M$22:$M$39,MATCH($F108,'CI&amp;S'!$B$22:$B$39,0))),"N/A")</f>
        <v/>
      </c>
      <c r="N108" s="52">
        <f>IFERROR(IF(INDEX('CFOG'!$M$10:$M$16,MATCH($F108,'CFOG'!$B$10:$B$16,0))="","Cell will autofill based on response",INDEX('CFOG'!$M$10:$M$16,MATCH($F108,'CFOG'!$B$10:$B$16,0))),"N/A")</f>
        <v/>
      </c>
      <c r="O108" s="52">
        <f>IFERROR(IF(INDEX('CFOG'!$M$23:$M$24,MATCH($F108,'CFOG'!$B$23:$B$24,0))="","Cell will autofill based on response",INDEX('CFOG'!$M$23:$M$24,MATCH($F108,'CFOG'!$B$23:$B$24,0))),"N/A")</f>
        <v/>
      </c>
      <c r="P108" s="52">
        <f>IFERROR(IF(INDEX('ESG'!$M$10:$M$17,MATCH($F108,'ESG'!$B$10:$B$17,0))="","Cell will autofill based on response",INDEX('ESG'!$M$10:$M$17,MATCH($F108,'ESG'!$B$10:$B$17,0))),"N/A")</f>
        <v/>
      </c>
      <c r="Q108" s="52">
        <f>IFERROR(IF(INDEX('CIOG'!$M$10:$M$14,MATCH($F108,'CIOG'!$B$10:$B$14,0))="","Cell will autofill based on response",INDEX('CIOG'!$M$10:$M$14,MATCH($F108,'CIOG'!$B$10:$B$14,0))),"N/A")</f>
        <v/>
      </c>
      <c r="R108" s="52">
        <f>IFERROR(IF(INDEX('MRE'!$M$10:$M$12,MATCH($F108,'MRE'!$B$10:$B$12,0))="","Cell will autofill based on response",INDEX('MRE'!$M$10:$M$12,MATCH($F108,'MRE'!$B$10:$B$12,0))),"N/A")</f>
        <v/>
      </c>
      <c r="S108" s="52">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2">
        <f>IFERROR(IF(INDEX('Faculties'!$N$10:$N$30,MATCH($F109,'Faculties'!$B$10:$B$30,0))="","Cell will autofill based on response",INDEX('Faculties'!$N$10:$N$30,MATCH($F109,'Faculties'!$B$10:$B$30,0))),"N/A")</f>
        <v/>
      </c>
      <c r="I109" s="52">
        <f>IFERROR(IF(INDEX('Faculties'!$N$37:$N$57,MATCH($F109,'Faculties'!$B$37:$B$57,0))="","Cell will autofill based on response",INDEX('Faculties'!$N$37:$N$57,MATCH($F109,'Faculties'!$B$37:$B$57,0))),"N/A")</f>
        <v/>
      </c>
      <c r="J109" s="52">
        <f>IFERROR(IF(INDEX('Faculties'!$N$64:$N$84,MATCH($F109,'Faculties'!$B$64:$B$84,0))="","Cell will autofill based on response",INDEX('Faculties'!$N$64:$N$84,MATCH($F109,'Faculties'!$B$64:$B$84,0))),"N/A")</f>
        <v/>
      </c>
      <c r="K109" s="52">
        <f>IFERROR(IF(INDEX('Faculties'!$N$91:$N$111,MATCH($F109,'Faculties'!$B$91:$B$111,0))="","Cell will autofill based on response",INDEX('Faculties'!$N$91:$N$111,MATCH($F109,'Faculties'!$B$91:$B$111,0))),"N/A")</f>
        <v/>
      </c>
      <c r="L109" s="52">
        <f>IFERROR(IF(INDEX('CI&amp;S'!$N$10:$N$15,MATCH($F109,'CI&amp;S'!$B$10:$B$15,0))="","Cell will autofill based on response",INDEX('CI&amp;S'!$N$10:$N$15,MATCH($F109,'CI&amp;S'!$B$10:$B$15,0))),"N/A")</f>
        <v/>
      </c>
      <c r="M109" s="52">
        <f>IFERROR(IF(INDEX('CI&amp;S'!$N$22:$N$39,MATCH($F109,'CI&amp;S'!$B$22:$B$39,0))="","Cell will autofill based on response",INDEX('CI&amp;S'!$N$22:$N$39,MATCH($F109,'CI&amp;S'!$B$22:$B$39,0))),"N/A")</f>
        <v/>
      </c>
      <c r="N109" s="52">
        <f>IFERROR(IF(INDEX('CFOG'!$N$10:$N$16,MATCH($F109,'CFOG'!$B$10:$B$16,0))="","Cell will autofill based on response",INDEX('CFOG'!$N$10:$N$16,MATCH($F109,'CFOG'!$B$10:$B$16,0))),"N/A")</f>
        <v/>
      </c>
      <c r="O109" s="52">
        <f>IFERROR(IF(INDEX('CFOG'!$N$23:$N$24,MATCH($F109,'CFOG'!$B$23:$B$24,0))="","Cell will autofill based on response",INDEX('CFOG'!$N$23:$N$24,MATCH($F109,'CFOG'!$B$23:$B$24,0))),"N/A")</f>
        <v/>
      </c>
      <c r="P109" s="52">
        <f>IFERROR(IF(INDEX('ESG'!$N$10:$N$17,MATCH($F109,'ESG'!$B$10:$B$17,0))="","Cell will autofill based on response",INDEX('ESG'!$N$10:$N$17,MATCH($F109,'ESG'!$B$10:$B$17,0))),"N/A")</f>
        <v/>
      </c>
      <c r="Q109" s="52">
        <f>IFERROR(IF(INDEX('CIOG'!$N$10:$N$14,MATCH($F109,'CIOG'!$B$10:$B$14,0))="","Cell will autofill based on response",INDEX('CIOG'!$N$10:$N$14,MATCH($F109,'CIOG'!$B$10:$B$14,0))),"N/A")</f>
        <v/>
      </c>
      <c r="R109" s="52">
        <f>IFERROR(IF(INDEX('MRE'!$N$10:$N$12,MATCH($F109,'MRE'!$B$10:$B$12,0))="","Cell will autofill based on response",INDEX('MRE'!$N$10:$N$12,MATCH($F109,'MRE'!$B$10:$B$12,0))),"N/A")</f>
        <v/>
      </c>
      <c r="S109" s="52">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2">
        <f>IFERROR(IF(INDEX('Faculties'!$O$10:$O$30,MATCH($F110,'Faculties'!$B$10:$B$30,0))="","Cell will autofill based on response",INDEX('Faculties'!$O$10:$O$30,MATCH($F110,'Faculties'!$B$10:$B$30,0))),"N/A")</f>
        <v/>
      </c>
      <c r="I110" s="52">
        <f>IFERROR(IF(INDEX('Faculties'!$O$37:$O$57,MATCH($F110,'Faculties'!$B$37:$B$57,0))="","Cell will autofill based on response",INDEX('Faculties'!$O$37:$O$57,MATCH($F110,'Faculties'!$B$37:$B$57,0))),"N/A")</f>
        <v/>
      </c>
      <c r="J110" s="52">
        <f>IFERROR(IF(INDEX('Faculties'!$O$64:$O$84,MATCH($F110,'Faculties'!$B$64:$B$84,0))="","Cell will autofill based on response",INDEX('Faculties'!$O$64:$O$84,MATCH($F110,'Faculties'!$B$64:$B$84,0))),"N/A")</f>
        <v/>
      </c>
      <c r="K110" s="52">
        <f>IFERROR(IF(INDEX('Faculties'!$O$91:$O$111,MATCH($F110,'Faculties'!$B$91:$B$111,0))="","Cell will autofill based on response",INDEX('Faculties'!$O$91:$O$111,MATCH($F110,'Faculties'!$B$91:$B$111,0))),"N/A")</f>
        <v/>
      </c>
      <c r="L110" s="52">
        <f>IFERROR(IF(INDEX('CI&amp;S'!$O$10:$O$15,MATCH($F110,'CI&amp;S'!$B$10:$B$15,0))="","Cell will autofill based on response",INDEX('CI&amp;S'!$O$10:$O$15,MATCH($F110,'CI&amp;S'!$B$10:$B$15,0))),"N/A")</f>
        <v/>
      </c>
      <c r="M110" s="52">
        <f>IFERROR(IF(INDEX('CI&amp;S'!$O$22:$O$39,MATCH($F110,'CI&amp;S'!$B$22:$B$39,0))="","Cell will autofill based on response",INDEX('CI&amp;S'!$O$22:$O$39,MATCH($F110,'CI&amp;S'!$B$22:$B$39,0))),"N/A")</f>
        <v/>
      </c>
      <c r="N110" s="52">
        <f>IFERROR(IF(INDEX('CFOG'!$O$10:$O$16,MATCH($F110,'CFOG'!$B$10:$B$16,0))="","Cell will autofill based on response",INDEX('CFOG'!$O$10:$O$16,MATCH($F110,'CFOG'!$B$10:$B$16,0))),"N/A")</f>
        <v/>
      </c>
      <c r="O110" s="52">
        <f>IFERROR(IF(INDEX('CFOG'!$O$23:$O$24,MATCH($F110,'CFOG'!$B$23:$B$24,0))="","Cell will autofill based on response",INDEX('CFOG'!$O$23:$O$24,MATCH($F110,'CFOG'!$B$23:$B$24,0))),"N/A")</f>
        <v/>
      </c>
      <c r="P110" s="52">
        <f>IFERROR(IF(INDEX('ESG'!$O$10:$O$17,MATCH($F110,'ESG'!$B$10:$B$17,0))="","Cell will autofill based on response",INDEX('ESG'!$O$10:$O$17,MATCH($F110,'ESG'!$B$10:$B$17,0))),"N/A")</f>
        <v/>
      </c>
      <c r="Q110" s="52">
        <f>IFERROR(IF(INDEX('CIOG'!$O$10:$O$14,MATCH($F110,'CIOG'!$B$10:$B$14,0))="","Cell will autofill based on response",INDEX('CIOG'!$O$10:$O$14,MATCH($F110,'CIOG'!$B$10:$B$14,0))),"N/A")</f>
        <v/>
      </c>
      <c r="R110" s="52">
        <f>IFERROR(IF(INDEX('MRE'!$O$10:$O$12,MATCH($F110,'MRE'!$B$10:$B$12,0))="","Cell will autofill based on response",INDEX('MRE'!$O$10:$O$12,MATCH($F110,'MRE'!$B$10:$B$12,0))),"N/A")</f>
        <v/>
      </c>
      <c r="S110" s="52">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2">
        <f>IFERROR(IF(INDEX('Faculties'!$P$10:$P$30,MATCH($F111,'Faculties'!$B$10:$B$30,0))="","Cell will autofill based on response",INDEX('Faculties'!$P$10:$P$30,MATCH($F111,'Faculties'!$B$10:$B$30,0))),"N/A")</f>
        <v/>
      </c>
      <c r="I111" s="52">
        <f>IFERROR(IF(INDEX('Faculties'!$P$37:$P$57,MATCH($F111,'Faculties'!$B$37:$B$57,0))="","Cell will autofill based on response",INDEX('Faculties'!$P$37:$P$57,MATCH($F111,'Faculties'!$B$37:$B$57,0))),"N/A")</f>
        <v/>
      </c>
      <c r="J111" s="52">
        <f>IFERROR(IF(INDEX('Faculties'!$P$64:$P$84,MATCH($F111,'Faculties'!$B$64:$B$84,0))="","Cell will autofill based on response",INDEX('Faculties'!$P$64:$P$84,MATCH($F111,'Faculties'!$B$64:$B$84,0))),"N/A")</f>
        <v/>
      </c>
      <c r="K111" s="52">
        <f>IFERROR(IF(INDEX('Faculties'!$P$91:$P$111,MATCH($F111,'Faculties'!$B$91:$B$111,0))="","Cell will autofill based on response",INDEX('Faculties'!$P$91:$P$111,MATCH($F111,'Faculties'!$B$91:$B$111,0))),"N/A")</f>
        <v/>
      </c>
      <c r="L111" s="52">
        <f>IFERROR(IF(INDEX('CI&amp;S'!$P$10:$P$15,MATCH($F111,'CI&amp;S'!$B$10:$B$15,0))="","Cell will autofill based on response",INDEX('CI&amp;S'!$P$10:$P$15,MATCH($F111,'CI&amp;S'!$B$10:$B$15,0))),"N/A")</f>
        <v/>
      </c>
      <c r="M111" s="52">
        <f>IFERROR(IF(INDEX('CI&amp;S'!$P$22:$P$39,MATCH($F111,'CI&amp;S'!$B$22:$B$39,0))="","Cell will autofill based on response",INDEX('CI&amp;S'!$P$22:$P$39,MATCH($F111,'CI&amp;S'!$B$22:$B$39,0))),"N/A")</f>
        <v/>
      </c>
      <c r="N111" s="52">
        <f>IFERROR(IF(INDEX('CFOG'!$P$10:$P$16,MATCH($F111,'CFOG'!$B$10:$B$16,0))="","Cell will autofill based on response",INDEX('CFOG'!$P$10:$P$16,MATCH($F111,'CFOG'!$B$10:$B$16,0))),"N/A")</f>
        <v/>
      </c>
      <c r="O111" s="52">
        <f>IFERROR(IF(INDEX('CFOG'!$P$23:$P$24,MATCH($F111,'CFOG'!$B$23:$B$24,0))="","Cell will autofill based on response",INDEX('CFOG'!$P$23:$P$24,MATCH($F111,'CFOG'!$B$23:$B$24,0))),"N/A")</f>
        <v/>
      </c>
      <c r="P111" s="52">
        <f>IFERROR(IF(INDEX('ESG'!$P$10:$P$17,MATCH($F111,'ESG'!$B$10:$B$17,0))="","Cell will autofill based on response",INDEX('ESG'!$P$10:$P$17,MATCH($F111,'ESG'!$B$10:$B$17,0))),"N/A")</f>
        <v/>
      </c>
      <c r="Q111" s="52">
        <f>IFERROR(IF(INDEX('CIOG'!$P$10:$P$14,MATCH($F111,'CIOG'!$B$10:$B$14,0))="","Cell will autofill based on response",INDEX('CIOG'!$P$10:$P$14,MATCH($F111,'CIOG'!$B$10:$B$14,0))),"N/A")</f>
        <v/>
      </c>
      <c r="R111" s="52">
        <f>IFERROR(IF(INDEX('MRE'!$P$10:$P$12,MATCH($F111,'MRE'!$B$10:$B$12,0))="","Cell will autofill based on response",INDEX('MRE'!$P$10:$P$12,MATCH($F111,'MRE'!$B$10:$B$12,0))),"N/A")</f>
        <v/>
      </c>
      <c r="S111" s="52">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2">
        <f>IFERROR(IF(INDEX('Faculties'!$Q$10:$Q$30,MATCH($F112,'Faculties'!$B$10:$B$30,0))="","Cell will autofill based on response",INDEX('Faculties'!$Q$10:$Q$30,MATCH($F112,'Faculties'!$B$10:$B$30,0))),"N/A")</f>
        <v/>
      </c>
      <c r="I112" s="52">
        <f>IFERROR(IF(INDEX('Faculties'!$Q$37:$Q$57,MATCH($F112,'Faculties'!$B$37:$B$57,0))="","Cell will autofill based on response",INDEX('Faculties'!$Q$37:$Q$57,MATCH($F112,'Faculties'!$B$37:$B$57,0))),"N/A")</f>
        <v/>
      </c>
      <c r="J112" s="52">
        <f>IFERROR(IF(INDEX('Faculties'!$Q$64:$Q$84,MATCH($F112,'Faculties'!$B$64:$B$84,0))="","Cell will autofill based on response",INDEX('Faculties'!$Q$64:$Q$84,MATCH($F112,'Faculties'!$B$64:$B$84,0))),"N/A")</f>
        <v/>
      </c>
      <c r="K112" s="52">
        <f>IFERROR(IF(INDEX('Faculties'!$Q$91:$Q$111,MATCH($F112,'Faculties'!$B$91:$B$111,0))="","Cell will autofill based on response",INDEX('Faculties'!$Q$91:$Q$111,MATCH($F112,'Faculties'!$B$91:$B$111,0))),"N/A")</f>
        <v/>
      </c>
      <c r="L112" s="52">
        <f>IFERROR(IF(INDEX('CI&amp;S'!$Q$10:$Q$15,MATCH($F112,'CI&amp;S'!$B$10:$B$15,0))="","Cell will autofill based on response",INDEX('CI&amp;S'!$Q$10:$Q$15,MATCH($F112,'CI&amp;S'!$B$10:$B$15,0))),"N/A")</f>
        <v/>
      </c>
      <c r="M112" s="52">
        <f>IFERROR(IF(INDEX('CI&amp;S'!$Q$22:$Q$39,MATCH($F112,'CI&amp;S'!$B$22:$B$39,0))="","Cell will autofill based on response",INDEX('CI&amp;S'!$Q$22:$Q$39,MATCH($F112,'CI&amp;S'!$B$22:$B$39,0))),"N/A")</f>
        <v/>
      </c>
      <c r="N112" s="52">
        <f>IFERROR(IF(INDEX('CFOG'!$Q$10:$Q$16,MATCH($F112,'CFOG'!$B$10:$B$16,0))="","Cell will autofill based on response",INDEX('CFOG'!$Q$10:$Q$16,MATCH($F112,'CFOG'!$B$10:$B$16,0))),"N/A")</f>
        <v/>
      </c>
      <c r="O112" s="52">
        <f>IFERROR(IF(INDEX('CFOG'!$Q$23:$Q$24,MATCH($F112,'CFOG'!$B$23:$B$24,0))="","Cell will autofill based on response",INDEX('CFOG'!$Q$23:$Q$24,MATCH($F112,'CFOG'!$B$23:$B$24,0))),"N/A")</f>
        <v/>
      </c>
      <c r="P112" s="52">
        <f>IFERROR(IF(INDEX('ESG'!$Q$10:$Q$17,MATCH($F112,'ESG'!$B$10:$B$17,0))="","Cell will autofill based on response",INDEX('ESG'!$Q$10:$Q$17,MATCH($F112,'ESG'!$B$10:$B$17,0))),"N/A")</f>
        <v/>
      </c>
      <c r="Q112" s="52">
        <f>IFERROR(IF(INDEX('CIOG'!$Q$10:$Q$14,MATCH($F112,'CIOG'!$B$10:$B$14,0))="","Cell will autofill based on response",INDEX('CIOG'!$Q$10:$Q$14,MATCH($F112,'CIOG'!$B$10:$B$14,0))),"N/A")</f>
        <v/>
      </c>
      <c r="R112" s="52">
        <f>IFERROR(IF(INDEX('MRE'!$Q$10:$Q$12,MATCH($F112,'MRE'!$B$10:$B$12,0))="","Cell will autofill based on response",INDEX('MRE'!$Q$10:$Q$12,MATCH($F112,'MRE'!$B$10:$B$12,0))),"N/A")</f>
        <v/>
      </c>
      <c r="S112" s="52">
        <f>IFERROR(IF(INDEX('L&amp;R'!$Q$10:$Q$11,MATCH($F112,'L&amp;R'!$B$10:$B$11,0))="","Cell will autofill based on response",INDEX('L&amp;R'!$Q$10:$Q$11,MATCH($F112,'L&amp;R'!$B$10:$B$11,0))),"N/A")</f>
        <v/>
      </c>
    </row>
    <row r="113">
      <c r="A113">
        <f>F113&amp;"|"&amp;G113</f>
        <v/>
      </c>
      <c r="B113" s="7" t="inlineStr">
        <is>
          <t>CL2(c)</t>
        </is>
      </c>
      <c r="C113" s="50" t="inlineStr">
        <is>
          <t>Climate leadership</t>
        </is>
      </c>
      <c r="D113" s="50" t="inlineStr">
        <is>
          <t>Ongoing communications that evidence the University’s climate action, research and learning to inform policy, sector and community decarbonisation efforts.</t>
        </is>
      </c>
      <c r="E113" s="50" t="inlineStr">
        <is>
          <t>List and describe communications from the faculty in terms of climate action, research and learning to inform policy, sector and community decarbonisation efforts</t>
        </is>
      </c>
      <c r="F113" s="50" t="inlineStr">
        <is>
          <t>CL2(c)</t>
        </is>
      </c>
      <c r="G113" s="50" t="inlineStr">
        <is>
          <t>Confirm end-2026 target status</t>
        </is>
      </c>
      <c r="H113" s="52">
        <f>IFERROR(IF(INDEX('Faculties'!$L$10:$L$30,MATCH($F113,'Faculties'!$B$10:$B$30,0))="","Cell will autofill based on response",INDEX('Faculties'!$L$10:$L$30,MATCH($F113,'Faculties'!$B$10:$B$30,0))),"N/A")</f>
        <v/>
      </c>
      <c r="I113" s="52">
        <f>IFERROR(IF(INDEX('Faculties'!$L$37:$L$57,MATCH($F113,'Faculties'!$B$37:$B$57,0))="","Cell will autofill based on response",INDEX('Faculties'!$L$37:$L$57,MATCH($F113,'Faculties'!$B$37:$B$57,0))),"N/A")</f>
        <v/>
      </c>
      <c r="J113" s="52">
        <f>IFERROR(IF(INDEX('Faculties'!$L$64:$L$84,MATCH($F113,'Faculties'!$B$64:$B$84,0))="","Cell will autofill based on response",INDEX('Faculties'!$L$64:$L$84,MATCH($F113,'Faculties'!$B$64:$B$84,0))),"N/A")</f>
        <v/>
      </c>
      <c r="K113" s="52">
        <f>IFERROR(IF(INDEX('Faculties'!$L$91:$L$111,MATCH($F113,'Faculties'!$B$91:$B$111,0))="","Cell will autofill based on response",INDEX('Faculties'!$L$91:$L$111,MATCH($F113,'Faculties'!$B$91:$B$111,0))),"N/A")</f>
        <v/>
      </c>
      <c r="L113" s="52">
        <f>IFERROR(IF(INDEX('CI&amp;S'!$L$10:$L$15,MATCH($F113,'CI&amp;S'!$B$10:$B$15,0))="","Cell will autofill based on response",INDEX('CI&amp;S'!$L$10:$L$15,MATCH($F113,'CI&amp;S'!$B$10:$B$15,0))),"N/A")</f>
        <v/>
      </c>
      <c r="M113" s="52">
        <f>IFERROR(IF(INDEX('CI&amp;S'!$L$22:$L$39,MATCH($F113,'CI&amp;S'!$B$22:$B$39,0))="","Cell will autofill based on response",INDEX('CI&amp;S'!$L$22:$L$39,MATCH($F113,'CI&amp;S'!$B$22:$B$39,0))),"N/A")</f>
        <v/>
      </c>
      <c r="N113" s="52">
        <f>IFERROR(IF(INDEX('CFOG'!$L$10:$L$16,MATCH($F113,'CFOG'!$B$10:$B$16,0))="","Cell will autofill based on response",INDEX('CFOG'!$L$10:$L$16,MATCH($F113,'CFOG'!$B$10:$B$16,0))),"N/A")</f>
        <v/>
      </c>
      <c r="O113" s="52">
        <f>IFERROR(IF(INDEX('CFOG'!$L$23:$L$24,MATCH($F113,'CFOG'!$B$23:$B$24,0))="","Cell will autofill based on response",INDEX('CFOG'!$L$23:$L$24,MATCH($F113,'CFOG'!$B$23:$B$24,0))),"N/A")</f>
        <v/>
      </c>
      <c r="P113" s="52">
        <f>IFERROR(IF(INDEX('ESG'!$L$10:$L$17,MATCH($F113,'ESG'!$B$10:$B$17,0))="","Cell will autofill based on response",INDEX('ESG'!$L$10:$L$17,MATCH($F113,'ESG'!$B$10:$B$17,0))),"N/A")</f>
        <v/>
      </c>
      <c r="Q113" s="52">
        <f>IFERROR(IF(INDEX('CIOG'!$L$10:$L$14,MATCH($F113,'CIOG'!$B$10:$B$14,0))="","Cell will autofill based on response",INDEX('CIOG'!$L$10:$L$14,MATCH($F113,'CIOG'!$B$10:$B$14,0))),"N/A")</f>
        <v/>
      </c>
      <c r="R113" s="52">
        <f>IFERROR(IF(INDEX('MRE'!$L$10:$L$12,MATCH($F113,'MRE'!$B$10:$B$12,0))="","Cell will autofill based on response",INDEX('MRE'!$L$10:$L$12,MATCH($F113,'MRE'!$B$10:$B$12,0))),"N/A")</f>
        <v/>
      </c>
      <c r="S113" s="52">
        <f>IFERROR(IF(INDEX('L&amp;R'!$L$10:$L$11,MATCH($F113,'L&amp;R'!$B$10:$B$11,0))="","Cell will autofill based on response",INDEX('L&amp;R'!$L$10:$L$11,MATCH($F113,'L&amp;R'!$B$10:$B$11,0))),"N/A")</f>
        <v/>
      </c>
      <c r="U113" s="10">
        <f>COUNTIF($H113:$S113,"Cell will autofill based on response")</f>
        <v/>
      </c>
      <c r="V113" s="10">
        <f>COUNTIF($H113:$S113,"Not yet started")</f>
        <v/>
      </c>
      <c r="W113" s="10">
        <f>COUNTIF($H113:$S113,"Not met")</f>
        <v/>
      </c>
      <c r="X113" s="10">
        <f>COUNTIF($H113:$S113,"Partially met")</f>
        <v/>
      </c>
      <c r="Y113" s="10">
        <f>COUNTIF($H113:$S113,"Met or exceeded")</f>
        <v/>
      </c>
      <c r="Z113" s="10">
        <f>3*Y113+2*X113+W113</f>
        <v/>
      </c>
      <c r="AA113" s="10">
        <f>Y113+X113+W113+V113</f>
        <v/>
      </c>
      <c r="AB113" s="53">
        <f>IF(AA113&gt;0,Z113/AA113,"No valid responses to date")</f>
        <v/>
      </c>
      <c r="AC113" s="10">
        <f>IF(ISNUMBER(AB113),INDEX(Lists!$G$2:$G$5,MATCH(ROUND(AB113,0),Lists!$H$2:$H$5,0)),"")</f>
        <v/>
      </c>
      <c r="AD113" s="54">
        <f>IF(AA113&gt;0,Y113/AA113,"")</f>
        <v/>
      </c>
      <c r="AE113" s="54">
        <f>IF(AA113&gt;0,(Y113+X113)/AA113,"")</f>
        <v/>
      </c>
      <c r="AF113" s="10">
        <f>IF(AA113=0,"",IF(AD113&gt;0.75,"Met or exceeded",IF(AE113&gt;=0.5,"Partially met","Not met")))</f>
        <v/>
      </c>
    </row>
    <row r="114">
      <c r="A114">
        <f>F114&amp;"|"&amp;G114</f>
        <v/>
      </c>
      <c r="B114" s="13" t="inlineStr"/>
      <c r="C114" s="8" t="inlineStr"/>
      <c r="D114" s="8" t="inlineStr"/>
      <c r="E114" s="8" t="inlineStr"/>
      <c r="F114" s="8" t="inlineStr">
        <is>
          <t>CL2(c)</t>
        </is>
      </c>
      <c r="G114" s="8" t="inlineStr">
        <is>
          <t>OPTION 1:  Target-level reporting</t>
        </is>
      </c>
      <c r="H114" s="52">
        <f>IFERROR(IF(INDEX('Faculties'!$M$10:$M$30,MATCH($F114,'Faculties'!$B$10:$B$30,0))="","Cell will autofill based on response",INDEX('Faculties'!$M$10:$M$30,MATCH($F114,'Faculties'!$B$10:$B$30,0))),"N/A")</f>
        <v/>
      </c>
      <c r="I114" s="52">
        <f>IFERROR(IF(INDEX('Faculties'!$M$37:$M$57,MATCH($F114,'Faculties'!$B$37:$B$57,0))="","Cell will autofill based on response",INDEX('Faculties'!$M$37:$M$57,MATCH($F114,'Faculties'!$B$37:$B$57,0))),"N/A")</f>
        <v/>
      </c>
      <c r="J114" s="52">
        <f>IFERROR(IF(INDEX('Faculties'!$M$64:$M$84,MATCH($F114,'Faculties'!$B$64:$B$84,0))="","Cell will autofill based on response",INDEX('Faculties'!$M$64:$M$84,MATCH($F114,'Faculties'!$B$64:$B$84,0))),"N/A")</f>
        <v/>
      </c>
      <c r="K114" s="52">
        <f>IFERROR(IF(INDEX('Faculties'!$M$91:$M$111,MATCH($F114,'Faculties'!$B$91:$B$111,0))="","Cell will autofill based on response",INDEX('Faculties'!$M$91:$M$111,MATCH($F114,'Faculties'!$B$91:$B$111,0))),"N/A")</f>
        <v/>
      </c>
      <c r="L114" s="52">
        <f>IFERROR(IF(INDEX('CI&amp;S'!$M$10:$M$15,MATCH($F114,'CI&amp;S'!$B$10:$B$15,0))="","Cell will autofill based on response",INDEX('CI&amp;S'!$M$10:$M$15,MATCH($F114,'CI&amp;S'!$B$10:$B$15,0))),"N/A")</f>
        <v/>
      </c>
      <c r="M114" s="52">
        <f>IFERROR(IF(INDEX('CI&amp;S'!$M$22:$M$39,MATCH($F114,'CI&amp;S'!$B$22:$B$39,0))="","Cell will autofill based on response",INDEX('CI&amp;S'!$M$22:$M$39,MATCH($F114,'CI&amp;S'!$B$22:$B$39,0))),"N/A")</f>
        <v/>
      </c>
      <c r="N114" s="52">
        <f>IFERROR(IF(INDEX('CFOG'!$M$10:$M$16,MATCH($F114,'CFOG'!$B$10:$B$16,0))="","Cell will autofill based on response",INDEX('CFOG'!$M$10:$M$16,MATCH($F114,'CFOG'!$B$10:$B$16,0))),"N/A")</f>
        <v/>
      </c>
      <c r="O114" s="52">
        <f>IFERROR(IF(INDEX('CFOG'!$M$23:$M$24,MATCH($F114,'CFOG'!$B$23:$B$24,0))="","Cell will autofill based on response",INDEX('CFOG'!$M$23:$M$24,MATCH($F114,'CFOG'!$B$23:$B$24,0))),"N/A")</f>
        <v/>
      </c>
      <c r="P114" s="52">
        <f>IFERROR(IF(INDEX('ESG'!$M$10:$M$17,MATCH($F114,'ESG'!$B$10:$B$17,0))="","Cell will autofill based on response",INDEX('ESG'!$M$10:$M$17,MATCH($F114,'ESG'!$B$10:$B$17,0))),"N/A")</f>
        <v/>
      </c>
      <c r="Q114" s="52">
        <f>IFERROR(IF(INDEX('CIOG'!$M$10:$M$14,MATCH($F114,'CIOG'!$B$10:$B$14,0))="","Cell will autofill based on response",INDEX('CIOG'!$M$10:$M$14,MATCH($F114,'CIOG'!$B$10:$B$14,0))),"N/A")</f>
        <v/>
      </c>
      <c r="R114" s="52">
        <f>IFERROR(IF(INDEX('MRE'!$M$10:$M$12,MATCH($F114,'MRE'!$B$10:$B$12,0))="","Cell will autofill based on response",INDEX('MRE'!$M$10:$M$12,MATCH($F114,'MRE'!$B$10:$B$12,0))),"N/A")</f>
        <v/>
      </c>
      <c r="S114" s="52">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2">
        <f>IFERROR(IF(INDEX('Faculties'!$N$10:$N$30,MATCH($F115,'Faculties'!$B$10:$B$30,0))="","Cell will autofill based on response",INDEX('Faculties'!$N$10:$N$30,MATCH($F115,'Faculties'!$B$10:$B$30,0))),"N/A")</f>
        <v/>
      </c>
      <c r="I115" s="52">
        <f>IFERROR(IF(INDEX('Faculties'!$N$37:$N$57,MATCH($F115,'Faculties'!$B$37:$B$57,0))="","Cell will autofill based on response",INDEX('Faculties'!$N$37:$N$57,MATCH($F115,'Faculties'!$B$37:$B$57,0))),"N/A")</f>
        <v/>
      </c>
      <c r="J115" s="52">
        <f>IFERROR(IF(INDEX('Faculties'!$N$64:$N$84,MATCH($F115,'Faculties'!$B$64:$B$84,0))="","Cell will autofill based on response",INDEX('Faculties'!$N$64:$N$84,MATCH($F115,'Faculties'!$B$64:$B$84,0))),"N/A")</f>
        <v/>
      </c>
      <c r="K115" s="52">
        <f>IFERROR(IF(INDEX('Faculties'!$N$91:$N$111,MATCH($F115,'Faculties'!$B$91:$B$111,0))="","Cell will autofill based on response",INDEX('Faculties'!$N$91:$N$111,MATCH($F115,'Faculties'!$B$91:$B$111,0))),"N/A")</f>
        <v/>
      </c>
      <c r="L115" s="52">
        <f>IFERROR(IF(INDEX('CI&amp;S'!$N$10:$N$15,MATCH($F115,'CI&amp;S'!$B$10:$B$15,0))="","Cell will autofill based on response",INDEX('CI&amp;S'!$N$10:$N$15,MATCH($F115,'CI&amp;S'!$B$10:$B$15,0))),"N/A")</f>
        <v/>
      </c>
      <c r="M115" s="52">
        <f>IFERROR(IF(INDEX('CI&amp;S'!$N$22:$N$39,MATCH($F115,'CI&amp;S'!$B$22:$B$39,0))="","Cell will autofill based on response",INDEX('CI&amp;S'!$N$22:$N$39,MATCH($F115,'CI&amp;S'!$B$22:$B$39,0))),"N/A")</f>
        <v/>
      </c>
      <c r="N115" s="52">
        <f>IFERROR(IF(INDEX('CFOG'!$N$10:$N$16,MATCH($F115,'CFOG'!$B$10:$B$16,0))="","Cell will autofill based on response",INDEX('CFOG'!$N$10:$N$16,MATCH($F115,'CFOG'!$B$10:$B$16,0))),"N/A")</f>
        <v/>
      </c>
      <c r="O115" s="52">
        <f>IFERROR(IF(INDEX('CFOG'!$N$23:$N$24,MATCH($F115,'CFOG'!$B$23:$B$24,0))="","Cell will autofill based on response",INDEX('CFOG'!$N$23:$N$24,MATCH($F115,'CFOG'!$B$23:$B$24,0))),"N/A")</f>
        <v/>
      </c>
      <c r="P115" s="52">
        <f>IFERROR(IF(INDEX('ESG'!$N$10:$N$17,MATCH($F115,'ESG'!$B$10:$B$17,0))="","Cell will autofill based on response",INDEX('ESG'!$N$10:$N$17,MATCH($F115,'ESG'!$B$10:$B$17,0))),"N/A")</f>
        <v/>
      </c>
      <c r="Q115" s="52">
        <f>IFERROR(IF(INDEX('CIOG'!$N$10:$N$14,MATCH($F115,'CIOG'!$B$10:$B$14,0))="","Cell will autofill based on response",INDEX('CIOG'!$N$10:$N$14,MATCH($F115,'CIOG'!$B$10:$B$14,0))),"N/A")</f>
        <v/>
      </c>
      <c r="R115" s="52">
        <f>IFERROR(IF(INDEX('MRE'!$N$10:$N$12,MATCH($F115,'MRE'!$B$10:$B$12,0))="","Cell will autofill based on response",INDEX('MRE'!$N$10:$N$12,MATCH($F115,'MRE'!$B$10:$B$12,0))),"N/A")</f>
        <v/>
      </c>
      <c r="S115" s="52">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2">
        <f>IFERROR(IF(INDEX('Faculties'!$O$10:$O$30,MATCH($F116,'Faculties'!$B$10:$B$30,0))="","Cell will autofill based on response",INDEX('Faculties'!$O$10:$O$30,MATCH($F116,'Faculties'!$B$10:$B$30,0))),"N/A")</f>
        <v/>
      </c>
      <c r="I116" s="52">
        <f>IFERROR(IF(INDEX('Faculties'!$O$37:$O$57,MATCH($F116,'Faculties'!$B$37:$B$57,0))="","Cell will autofill based on response",INDEX('Faculties'!$O$37:$O$57,MATCH($F116,'Faculties'!$B$37:$B$57,0))),"N/A")</f>
        <v/>
      </c>
      <c r="J116" s="52">
        <f>IFERROR(IF(INDEX('Faculties'!$O$64:$O$84,MATCH($F116,'Faculties'!$B$64:$B$84,0))="","Cell will autofill based on response",INDEX('Faculties'!$O$64:$O$84,MATCH($F116,'Faculties'!$B$64:$B$84,0))),"N/A")</f>
        <v/>
      </c>
      <c r="K116" s="52">
        <f>IFERROR(IF(INDEX('Faculties'!$O$91:$O$111,MATCH($F116,'Faculties'!$B$91:$B$111,0))="","Cell will autofill based on response",INDEX('Faculties'!$O$91:$O$111,MATCH($F116,'Faculties'!$B$91:$B$111,0))),"N/A")</f>
        <v/>
      </c>
      <c r="L116" s="52">
        <f>IFERROR(IF(INDEX('CI&amp;S'!$O$10:$O$15,MATCH($F116,'CI&amp;S'!$B$10:$B$15,0))="","Cell will autofill based on response",INDEX('CI&amp;S'!$O$10:$O$15,MATCH($F116,'CI&amp;S'!$B$10:$B$15,0))),"N/A")</f>
        <v/>
      </c>
      <c r="M116" s="52">
        <f>IFERROR(IF(INDEX('CI&amp;S'!$O$22:$O$39,MATCH($F116,'CI&amp;S'!$B$22:$B$39,0))="","Cell will autofill based on response",INDEX('CI&amp;S'!$O$22:$O$39,MATCH($F116,'CI&amp;S'!$B$22:$B$39,0))),"N/A")</f>
        <v/>
      </c>
      <c r="N116" s="52">
        <f>IFERROR(IF(INDEX('CFOG'!$O$10:$O$16,MATCH($F116,'CFOG'!$B$10:$B$16,0))="","Cell will autofill based on response",INDEX('CFOG'!$O$10:$O$16,MATCH($F116,'CFOG'!$B$10:$B$16,0))),"N/A")</f>
        <v/>
      </c>
      <c r="O116" s="52">
        <f>IFERROR(IF(INDEX('CFOG'!$O$23:$O$24,MATCH($F116,'CFOG'!$B$23:$B$24,0))="","Cell will autofill based on response",INDEX('CFOG'!$O$23:$O$24,MATCH($F116,'CFOG'!$B$23:$B$24,0))),"N/A")</f>
        <v/>
      </c>
      <c r="P116" s="52">
        <f>IFERROR(IF(INDEX('ESG'!$O$10:$O$17,MATCH($F116,'ESG'!$B$10:$B$17,0))="","Cell will autofill based on response",INDEX('ESG'!$O$10:$O$17,MATCH($F116,'ESG'!$B$10:$B$17,0))),"N/A")</f>
        <v/>
      </c>
      <c r="Q116" s="52">
        <f>IFERROR(IF(INDEX('CIOG'!$O$10:$O$14,MATCH($F116,'CIOG'!$B$10:$B$14,0))="","Cell will autofill based on response",INDEX('CIOG'!$O$10:$O$14,MATCH($F116,'CIOG'!$B$10:$B$14,0))),"N/A")</f>
        <v/>
      </c>
      <c r="R116" s="52">
        <f>IFERROR(IF(INDEX('MRE'!$O$10:$O$12,MATCH($F116,'MRE'!$B$10:$B$12,0))="","Cell will autofill based on response",INDEX('MRE'!$O$10:$O$12,MATCH($F116,'MRE'!$B$10:$B$12,0))),"N/A")</f>
        <v/>
      </c>
      <c r="S116" s="52">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2">
        <f>IFERROR(IF(INDEX('Faculties'!$P$10:$P$30,MATCH($F117,'Faculties'!$B$10:$B$30,0))="","Cell will autofill based on response",INDEX('Faculties'!$P$10:$P$30,MATCH($F117,'Faculties'!$B$10:$B$30,0))),"N/A")</f>
        <v/>
      </c>
      <c r="I117" s="52">
        <f>IFERROR(IF(INDEX('Faculties'!$P$37:$P$57,MATCH($F117,'Faculties'!$B$37:$B$57,0))="","Cell will autofill based on response",INDEX('Faculties'!$P$37:$P$57,MATCH($F117,'Faculties'!$B$37:$B$57,0))),"N/A")</f>
        <v/>
      </c>
      <c r="J117" s="52">
        <f>IFERROR(IF(INDEX('Faculties'!$P$64:$P$84,MATCH($F117,'Faculties'!$B$64:$B$84,0))="","Cell will autofill based on response",INDEX('Faculties'!$P$64:$P$84,MATCH($F117,'Faculties'!$B$64:$B$84,0))),"N/A")</f>
        <v/>
      </c>
      <c r="K117" s="52">
        <f>IFERROR(IF(INDEX('Faculties'!$P$91:$P$111,MATCH($F117,'Faculties'!$B$91:$B$111,0))="","Cell will autofill based on response",INDEX('Faculties'!$P$91:$P$111,MATCH($F117,'Faculties'!$B$91:$B$111,0))),"N/A")</f>
        <v/>
      </c>
      <c r="L117" s="52">
        <f>IFERROR(IF(INDEX('CI&amp;S'!$P$10:$P$15,MATCH($F117,'CI&amp;S'!$B$10:$B$15,0))="","Cell will autofill based on response",INDEX('CI&amp;S'!$P$10:$P$15,MATCH($F117,'CI&amp;S'!$B$10:$B$15,0))),"N/A")</f>
        <v/>
      </c>
      <c r="M117" s="52">
        <f>IFERROR(IF(INDEX('CI&amp;S'!$P$22:$P$39,MATCH($F117,'CI&amp;S'!$B$22:$B$39,0))="","Cell will autofill based on response",INDEX('CI&amp;S'!$P$22:$P$39,MATCH($F117,'CI&amp;S'!$B$22:$B$39,0))),"N/A")</f>
        <v/>
      </c>
      <c r="N117" s="52">
        <f>IFERROR(IF(INDEX('CFOG'!$P$10:$P$16,MATCH($F117,'CFOG'!$B$10:$B$16,0))="","Cell will autofill based on response",INDEX('CFOG'!$P$10:$P$16,MATCH($F117,'CFOG'!$B$10:$B$16,0))),"N/A")</f>
        <v/>
      </c>
      <c r="O117" s="52">
        <f>IFERROR(IF(INDEX('CFOG'!$P$23:$P$24,MATCH($F117,'CFOG'!$B$23:$B$24,0))="","Cell will autofill based on response",INDEX('CFOG'!$P$23:$P$24,MATCH($F117,'CFOG'!$B$23:$B$24,0))),"N/A")</f>
        <v/>
      </c>
      <c r="P117" s="52">
        <f>IFERROR(IF(INDEX('ESG'!$P$10:$P$17,MATCH($F117,'ESG'!$B$10:$B$17,0))="","Cell will autofill based on response",INDEX('ESG'!$P$10:$P$17,MATCH($F117,'ESG'!$B$10:$B$17,0))),"N/A")</f>
        <v/>
      </c>
      <c r="Q117" s="52">
        <f>IFERROR(IF(INDEX('CIOG'!$P$10:$P$14,MATCH($F117,'CIOG'!$B$10:$B$14,0))="","Cell will autofill based on response",INDEX('CIOG'!$P$10:$P$14,MATCH($F117,'CIOG'!$B$10:$B$14,0))),"N/A")</f>
        <v/>
      </c>
      <c r="R117" s="52">
        <f>IFERROR(IF(INDEX('MRE'!$P$10:$P$12,MATCH($F117,'MRE'!$B$10:$B$12,0))="","Cell will autofill based on response",INDEX('MRE'!$P$10:$P$12,MATCH($F117,'MRE'!$B$10:$B$12,0))),"N/A")</f>
        <v/>
      </c>
      <c r="S117" s="52">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2">
        <f>IFERROR(IF(INDEX('Faculties'!$Q$10:$Q$30,MATCH($F118,'Faculties'!$B$10:$B$30,0))="","Cell will autofill based on response",INDEX('Faculties'!$Q$10:$Q$30,MATCH($F118,'Faculties'!$B$10:$B$30,0))),"N/A")</f>
        <v/>
      </c>
      <c r="I118" s="52">
        <f>IFERROR(IF(INDEX('Faculties'!$Q$37:$Q$57,MATCH($F118,'Faculties'!$B$37:$B$57,0))="","Cell will autofill based on response",INDEX('Faculties'!$Q$37:$Q$57,MATCH($F118,'Faculties'!$B$37:$B$57,0))),"N/A")</f>
        <v/>
      </c>
      <c r="J118" s="52">
        <f>IFERROR(IF(INDEX('Faculties'!$Q$64:$Q$84,MATCH($F118,'Faculties'!$B$64:$B$84,0))="","Cell will autofill based on response",INDEX('Faculties'!$Q$64:$Q$84,MATCH($F118,'Faculties'!$B$64:$B$84,0))),"N/A")</f>
        <v/>
      </c>
      <c r="K118" s="52">
        <f>IFERROR(IF(INDEX('Faculties'!$Q$91:$Q$111,MATCH($F118,'Faculties'!$B$91:$B$111,0))="","Cell will autofill based on response",INDEX('Faculties'!$Q$91:$Q$111,MATCH($F118,'Faculties'!$B$91:$B$111,0))),"N/A")</f>
        <v/>
      </c>
      <c r="L118" s="52">
        <f>IFERROR(IF(INDEX('CI&amp;S'!$Q$10:$Q$15,MATCH($F118,'CI&amp;S'!$B$10:$B$15,0))="","Cell will autofill based on response",INDEX('CI&amp;S'!$Q$10:$Q$15,MATCH($F118,'CI&amp;S'!$B$10:$B$15,0))),"N/A")</f>
        <v/>
      </c>
      <c r="M118" s="52">
        <f>IFERROR(IF(INDEX('CI&amp;S'!$Q$22:$Q$39,MATCH($F118,'CI&amp;S'!$B$22:$B$39,0))="","Cell will autofill based on response",INDEX('CI&amp;S'!$Q$22:$Q$39,MATCH($F118,'CI&amp;S'!$B$22:$B$39,0))),"N/A")</f>
        <v/>
      </c>
      <c r="N118" s="52">
        <f>IFERROR(IF(INDEX('CFOG'!$Q$10:$Q$16,MATCH($F118,'CFOG'!$B$10:$B$16,0))="","Cell will autofill based on response",INDEX('CFOG'!$Q$10:$Q$16,MATCH($F118,'CFOG'!$B$10:$B$16,0))),"N/A")</f>
        <v/>
      </c>
      <c r="O118" s="52">
        <f>IFERROR(IF(INDEX('CFOG'!$Q$23:$Q$24,MATCH($F118,'CFOG'!$B$23:$B$24,0))="","Cell will autofill based on response",INDEX('CFOG'!$Q$23:$Q$24,MATCH($F118,'CFOG'!$B$23:$B$24,0))),"N/A")</f>
        <v/>
      </c>
      <c r="P118" s="52">
        <f>IFERROR(IF(INDEX('ESG'!$Q$10:$Q$17,MATCH($F118,'ESG'!$B$10:$B$17,0))="","Cell will autofill based on response",INDEX('ESG'!$Q$10:$Q$17,MATCH($F118,'ESG'!$B$10:$B$17,0))),"N/A")</f>
        <v/>
      </c>
      <c r="Q118" s="52">
        <f>IFERROR(IF(INDEX('CIOG'!$Q$10:$Q$14,MATCH($F118,'CIOG'!$B$10:$B$14,0))="","Cell will autofill based on response",INDEX('CIOG'!$Q$10:$Q$14,MATCH($F118,'CIOG'!$B$10:$B$14,0))),"N/A")</f>
        <v/>
      </c>
      <c r="R118" s="52">
        <f>IFERROR(IF(INDEX('MRE'!$Q$10:$Q$12,MATCH($F118,'MRE'!$B$10:$B$12,0))="","Cell will autofill based on response",INDEX('MRE'!$Q$10:$Q$12,MATCH($F118,'MRE'!$B$10:$B$12,0))),"N/A")</f>
        <v/>
      </c>
      <c r="S118" s="52">
        <f>IFERROR(IF(INDEX('L&amp;R'!$Q$10:$Q$11,MATCH($F118,'L&amp;R'!$B$10:$B$11,0))="","Cell will autofill based on response",INDEX('L&amp;R'!$Q$10:$Q$11,MATCH($F118,'L&amp;R'!$B$10:$B$11,0))),"N/A")</f>
        <v/>
      </c>
    </row>
    <row r="119">
      <c r="A119">
        <f>F119&amp;"|"&amp;G119</f>
        <v/>
      </c>
      <c r="B119" s="7" t="inlineStr">
        <is>
          <t>CL3(a)</t>
        </is>
      </c>
      <c r="C119" s="50" t="inlineStr">
        <is>
          <t>Climate leadership</t>
        </is>
      </c>
      <c r="D119"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0" t="inlineStr">
        <is>
          <t>Provide update of University maturity assesment. Include maturity ratings, key gaps and priority improvement actions.when available</t>
        </is>
      </c>
      <c r="F119" s="50" t="inlineStr">
        <is>
          <t>CL3(a)</t>
        </is>
      </c>
      <c r="G119" s="50" t="inlineStr">
        <is>
          <t>Confirm end-2026 target status</t>
        </is>
      </c>
      <c r="H119" s="52">
        <f>IFERROR(IF(INDEX('Faculties'!$L$10:$L$30,MATCH($F119,'Faculties'!$B$10:$B$30,0))="","Cell will autofill based on response",INDEX('Faculties'!$L$10:$L$30,MATCH($F119,'Faculties'!$B$10:$B$30,0))),"N/A")</f>
        <v/>
      </c>
      <c r="I119" s="52">
        <f>IFERROR(IF(INDEX('Faculties'!$L$37:$L$57,MATCH($F119,'Faculties'!$B$37:$B$57,0))="","Cell will autofill based on response",INDEX('Faculties'!$L$37:$L$57,MATCH($F119,'Faculties'!$B$37:$B$57,0))),"N/A")</f>
        <v/>
      </c>
      <c r="J119" s="52">
        <f>IFERROR(IF(INDEX('Faculties'!$L$64:$L$84,MATCH($F119,'Faculties'!$B$64:$B$84,0))="","Cell will autofill based on response",INDEX('Faculties'!$L$64:$L$84,MATCH($F119,'Faculties'!$B$64:$B$84,0))),"N/A")</f>
        <v/>
      </c>
      <c r="K119" s="52">
        <f>IFERROR(IF(INDEX('Faculties'!$L$91:$L$111,MATCH($F119,'Faculties'!$B$91:$B$111,0))="","Cell will autofill based on response",INDEX('Faculties'!$L$91:$L$111,MATCH($F119,'Faculties'!$B$91:$B$111,0))),"N/A")</f>
        <v/>
      </c>
      <c r="L119" s="52">
        <f>IFERROR(IF(INDEX('CI&amp;S'!$L$10:$L$15,MATCH($F119,'CI&amp;S'!$B$10:$B$15,0))="","Cell will autofill based on response",INDEX('CI&amp;S'!$L$10:$L$15,MATCH($F119,'CI&amp;S'!$B$10:$B$15,0))),"N/A")</f>
        <v/>
      </c>
      <c r="M119" s="52">
        <f>IFERROR(IF(INDEX('CI&amp;S'!$L$22:$L$39,MATCH($F119,'CI&amp;S'!$B$22:$B$39,0))="","Cell will autofill based on response",INDEX('CI&amp;S'!$L$22:$L$39,MATCH($F119,'CI&amp;S'!$B$22:$B$39,0))),"N/A")</f>
        <v/>
      </c>
      <c r="N119" s="52">
        <f>IFERROR(IF(INDEX('CFOG'!$L$10:$L$16,MATCH($F119,'CFOG'!$B$10:$B$16,0))="","Cell will autofill based on response",INDEX('CFOG'!$L$10:$L$16,MATCH($F119,'CFOG'!$B$10:$B$16,0))),"N/A")</f>
        <v/>
      </c>
      <c r="O119" s="52">
        <f>IFERROR(IF(INDEX('CFOG'!$L$23:$L$24,MATCH($F119,'CFOG'!$B$23:$B$24,0))="","Cell will autofill based on response",INDEX('CFOG'!$L$23:$L$24,MATCH($F119,'CFOG'!$B$23:$B$24,0))),"N/A")</f>
        <v/>
      </c>
      <c r="P119" s="52">
        <f>IFERROR(IF(INDEX('ESG'!$L$10:$L$17,MATCH($F119,'ESG'!$B$10:$B$17,0))="","Cell will autofill based on response",INDEX('ESG'!$L$10:$L$17,MATCH($F119,'ESG'!$B$10:$B$17,0))),"N/A")</f>
        <v/>
      </c>
      <c r="Q119" s="52">
        <f>IFERROR(IF(INDEX('CIOG'!$L$10:$L$14,MATCH($F119,'CIOG'!$B$10:$B$14,0))="","Cell will autofill based on response",INDEX('CIOG'!$L$10:$L$14,MATCH($F119,'CIOG'!$B$10:$B$14,0))),"N/A")</f>
        <v/>
      </c>
      <c r="R119" s="52">
        <f>IFERROR(IF(INDEX('MRE'!$L$10:$L$12,MATCH($F119,'MRE'!$B$10:$B$12,0))="","Cell will autofill based on response",INDEX('MRE'!$L$10:$L$12,MATCH($F119,'MRE'!$B$10:$B$12,0))),"N/A")</f>
        <v/>
      </c>
      <c r="S119" s="52">
        <f>IFERROR(IF(INDEX('L&amp;R'!$L$10:$L$11,MATCH($F119,'L&amp;R'!$B$10:$B$11,0))="","Cell will autofill based on response",INDEX('L&amp;R'!$L$10:$L$11,MATCH($F119,'L&amp;R'!$B$10:$B$11,0))),"N/A")</f>
        <v/>
      </c>
      <c r="U119" s="10">
        <f>COUNTIF($H119:$S119,"Cell will autofill based on response")</f>
        <v/>
      </c>
      <c r="V119" s="10">
        <f>COUNTIF($H119:$S119,"Not yet started")</f>
        <v/>
      </c>
      <c r="W119" s="10">
        <f>COUNTIF($H119:$S119,"Not met")</f>
        <v/>
      </c>
      <c r="X119" s="10">
        <f>COUNTIF($H119:$S119,"Partially met")</f>
        <v/>
      </c>
      <c r="Y119" s="10">
        <f>COUNTIF($H119:$S119,"Met or exceeded")</f>
        <v/>
      </c>
      <c r="Z119" s="10">
        <f>3*Y119+2*X119+W119</f>
        <v/>
      </c>
      <c r="AA119" s="10">
        <f>Y119+X119+W119+V119</f>
        <v/>
      </c>
      <c r="AB119" s="53">
        <f>IF(AA119&gt;0,Z119/AA119,"No valid responses to date")</f>
        <v/>
      </c>
      <c r="AC119" s="10">
        <f>IF(ISNUMBER(AB119),INDEX(Lists!$G$2:$G$5,MATCH(ROUND(AB119,0),Lists!$H$2:$H$5,0)),"")</f>
        <v/>
      </c>
      <c r="AD119" s="54">
        <f>IF(AA119&gt;0,Y119/AA119,"")</f>
        <v/>
      </c>
      <c r="AE119" s="54">
        <f>IF(AA119&gt;0,(Y119+X119)/AA119,"")</f>
        <v/>
      </c>
      <c r="AF119" s="10">
        <f>IF(AA119=0,"",IF(AD119&gt;0.75,"Met or exceeded",IF(AE119&gt;=0.5,"Partially met","Not met")))</f>
        <v/>
      </c>
    </row>
    <row r="120">
      <c r="A120">
        <f>F120&amp;"|"&amp;G120</f>
        <v/>
      </c>
      <c r="B120" s="13" t="inlineStr"/>
      <c r="C120" s="8" t="inlineStr"/>
      <c r="D120" s="8" t="inlineStr"/>
      <c r="E120" s="8" t="inlineStr"/>
      <c r="F120" s="8" t="inlineStr">
        <is>
          <t>CL3(a)</t>
        </is>
      </c>
      <c r="G120" s="8" t="inlineStr">
        <is>
          <t>OPTION 1:  Target-level reporting</t>
        </is>
      </c>
      <c r="H120" s="52">
        <f>IFERROR(IF(INDEX('Faculties'!$M$10:$M$30,MATCH($F120,'Faculties'!$B$10:$B$30,0))="","Cell will autofill based on response",INDEX('Faculties'!$M$10:$M$30,MATCH($F120,'Faculties'!$B$10:$B$30,0))),"N/A")</f>
        <v/>
      </c>
      <c r="I120" s="52">
        <f>IFERROR(IF(INDEX('Faculties'!$M$37:$M$57,MATCH($F120,'Faculties'!$B$37:$B$57,0))="","Cell will autofill based on response",INDEX('Faculties'!$M$37:$M$57,MATCH($F120,'Faculties'!$B$37:$B$57,0))),"N/A")</f>
        <v/>
      </c>
      <c r="J120" s="52">
        <f>IFERROR(IF(INDEX('Faculties'!$M$64:$M$84,MATCH($F120,'Faculties'!$B$64:$B$84,0))="","Cell will autofill based on response",INDEX('Faculties'!$M$64:$M$84,MATCH($F120,'Faculties'!$B$64:$B$84,0))),"N/A")</f>
        <v/>
      </c>
      <c r="K120" s="52">
        <f>IFERROR(IF(INDEX('Faculties'!$M$91:$M$111,MATCH($F120,'Faculties'!$B$91:$B$111,0))="","Cell will autofill based on response",INDEX('Faculties'!$M$91:$M$111,MATCH($F120,'Faculties'!$B$91:$B$111,0))),"N/A")</f>
        <v/>
      </c>
      <c r="L120" s="52">
        <f>IFERROR(IF(INDEX('CI&amp;S'!$M$10:$M$15,MATCH($F120,'CI&amp;S'!$B$10:$B$15,0))="","Cell will autofill based on response",INDEX('CI&amp;S'!$M$10:$M$15,MATCH($F120,'CI&amp;S'!$B$10:$B$15,0))),"N/A")</f>
        <v/>
      </c>
      <c r="M120" s="52">
        <f>IFERROR(IF(INDEX('CI&amp;S'!$M$22:$M$39,MATCH($F120,'CI&amp;S'!$B$22:$B$39,0))="","Cell will autofill based on response",INDEX('CI&amp;S'!$M$22:$M$39,MATCH($F120,'CI&amp;S'!$B$22:$B$39,0))),"N/A")</f>
        <v/>
      </c>
      <c r="N120" s="52">
        <f>IFERROR(IF(INDEX('CFOG'!$M$10:$M$16,MATCH($F120,'CFOG'!$B$10:$B$16,0))="","Cell will autofill based on response",INDEX('CFOG'!$M$10:$M$16,MATCH($F120,'CFOG'!$B$10:$B$16,0))),"N/A")</f>
        <v/>
      </c>
      <c r="O120" s="52">
        <f>IFERROR(IF(INDEX('CFOG'!$M$23:$M$24,MATCH($F120,'CFOG'!$B$23:$B$24,0))="","Cell will autofill based on response",INDEX('CFOG'!$M$23:$M$24,MATCH($F120,'CFOG'!$B$23:$B$24,0))),"N/A")</f>
        <v/>
      </c>
      <c r="P120" s="52">
        <f>IFERROR(IF(INDEX('ESG'!$M$10:$M$17,MATCH($F120,'ESG'!$B$10:$B$17,0))="","Cell will autofill based on response",INDEX('ESG'!$M$10:$M$17,MATCH($F120,'ESG'!$B$10:$B$17,0))),"N/A")</f>
        <v/>
      </c>
      <c r="Q120" s="52">
        <f>IFERROR(IF(INDEX('CIOG'!$M$10:$M$14,MATCH($F120,'CIOG'!$B$10:$B$14,0))="","Cell will autofill based on response",INDEX('CIOG'!$M$10:$M$14,MATCH($F120,'CIOG'!$B$10:$B$14,0))),"N/A")</f>
        <v/>
      </c>
      <c r="R120" s="52">
        <f>IFERROR(IF(INDEX('MRE'!$M$10:$M$12,MATCH($F120,'MRE'!$B$10:$B$12,0))="","Cell will autofill based on response",INDEX('MRE'!$M$10:$M$12,MATCH($F120,'MRE'!$B$10:$B$12,0))),"N/A")</f>
        <v/>
      </c>
      <c r="S120" s="52">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2">
        <f>IFERROR(IF(INDEX('Faculties'!$N$10:$N$30,MATCH($F121,'Faculties'!$B$10:$B$30,0))="","Cell will autofill based on response",INDEX('Faculties'!$N$10:$N$30,MATCH($F121,'Faculties'!$B$10:$B$30,0))),"N/A")</f>
        <v/>
      </c>
      <c r="I121" s="52">
        <f>IFERROR(IF(INDEX('Faculties'!$N$37:$N$57,MATCH($F121,'Faculties'!$B$37:$B$57,0))="","Cell will autofill based on response",INDEX('Faculties'!$N$37:$N$57,MATCH($F121,'Faculties'!$B$37:$B$57,0))),"N/A")</f>
        <v/>
      </c>
      <c r="J121" s="52">
        <f>IFERROR(IF(INDEX('Faculties'!$N$64:$N$84,MATCH($F121,'Faculties'!$B$64:$B$84,0))="","Cell will autofill based on response",INDEX('Faculties'!$N$64:$N$84,MATCH($F121,'Faculties'!$B$64:$B$84,0))),"N/A")</f>
        <v/>
      </c>
      <c r="K121" s="52">
        <f>IFERROR(IF(INDEX('Faculties'!$N$91:$N$111,MATCH($F121,'Faculties'!$B$91:$B$111,0))="","Cell will autofill based on response",INDEX('Faculties'!$N$91:$N$111,MATCH($F121,'Faculties'!$B$91:$B$111,0))),"N/A")</f>
        <v/>
      </c>
      <c r="L121" s="52">
        <f>IFERROR(IF(INDEX('CI&amp;S'!$N$10:$N$15,MATCH($F121,'CI&amp;S'!$B$10:$B$15,0))="","Cell will autofill based on response",INDEX('CI&amp;S'!$N$10:$N$15,MATCH($F121,'CI&amp;S'!$B$10:$B$15,0))),"N/A")</f>
        <v/>
      </c>
      <c r="M121" s="52">
        <f>IFERROR(IF(INDEX('CI&amp;S'!$N$22:$N$39,MATCH($F121,'CI&amp;S'!$B$22:$B$39,0))="","Cell will autofill based on response",INDEX('CI&amp;S'!$N$22:$N$39,MATCH($F121,'CI&amp;S'!$B$22:$B$39,0))),"N/A")</f>
        <v/>
      </c>
      <c r="N121" s="52">
        <f>IFERROR(IF(INDEX('CFOG'!$N$10:$N$16,MATCH($F121,'CFOG'!$B$10:$B$16,0))="","Cell will autofill based on response",INDEX('CFOG'!$N$10:$N$16,MATCH($F121,'CFOG'!$B$10:$B$16,0))),"N/A")</f>
        <v/>
      </c>
      <c r="O121" s="52">
        <f>IFERROR(IF(INDEX('CFOG'!$N$23:$N$24,MATCH($F121,'CFOG'!$B$23:$B$24,0))="","Cell will autofill based on response",INDEX('CFOG'!$N$23:$N$24,MATCH($F121,'CFOG'!$B$23:$B$24,0))),"N/A")</f>
        <v/>
      </c>
      <c r="P121" s="52">
        <f>IFERROR(IF(INDEX('ESG'!$N$10:$N$17,MATCH($F121,'ESG'!$B$10:$B$17,0))="","Cell will autofill based on response",INDEX('ESG'!$N$10:$N$17,MATCH($F121,'ESG'!$B$10:$B$17,0))),"N/A")</f>
        <v/>
      </c>
      <c r="Q121" s="52">
        <f>IFERROR(IF(INDEX('CIOG'!$N$10:$N$14,MATCH($F121,'CIOG'!$B$10:$B$14,0))="","Cell will autofill based on response",INDEX('CIOG'!$N$10:$N$14,MATCH($F121,'CIOG'!$B$10:$B$14,0))),"N/A")</f>
        <v/>
      </c>
      <c r="R121" s="52">
        <f>IFERROR(IF(INDEX('MRE'!$N$10:$N$12,MATCH($F121,'MRE'!$B$10:$B$12,0))="","Cell will autofill based on response",INDEX('MRE'!$N$10:$N$12,MATCH($F121,'MRE'!$B$10:$B$12,0))),"N/A")</f>
        <v/>
      </c>
      <c r="S121" s="52">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2">
        <f>IFERROR(IF(INDEX('Faculties'!$O$10:$O$30,MATCH($F122,'Faculties'!$B$10:$B$30,0))="","Cell will autofill based on response",INDEX('Faculties'!$O$10:$O$30,MATCH($F122,'Faculties'!$B$10:$B$30,0))),"N/A")</f>
        <v/>
      </c>
      <c r="I122" s="52">
        <f>IFERROR(IF(INDEX('Faculties'!$O$37:$O$57,MATCH($F122,'Faculties'!$B$37:$B$57,0))="","Cell will autofill based on response",INDEX('Faculties'!$O$37:$O$57,MATCH($F122,'Faculties'!$B$37:$B$57,0))),"N/A")</f>
        <v/>
      </c>
      <c r="J122" s="52">
        <f>IFERROR(IF(INDEX('Faculties'!$O$64:$O$84,MATCH($F122,'Faculties'!$B$64:$B$84,0))="","Cell will autofill based on response",INDEX('Faculties'!$O$64:$O$84,MATCH($F122,'Faculties'!$B$64:$B$84,0))),"N/A")</f>
        <v/>
      </c>
      <c r="K122" s="52">
        <f>IFERROR(IF(INDEX('Faculties'!$O$91:$O$111,MATCH($F122,'Faculties'!$B$91:$B$111,0))="","Cell will autofill based on response",INDEX('Faculties'!$O$91:$O$111,MATCH($F122,'Faculties'!$B$91:$B$111,0))),"N/A")</f>
        <v/>
      </c>
      <c r="L122" s="52">
        <f>IFERROR(IF(INDEX('CI&amp;S'!$O$10:$O$15,MATCH($F122,'CI&amp;S'!$B$10:$B$15,0))="","Cell will autofill based on response",INDEX('CI&amp;S'!$O$10:$O$15,MATCH($F122,'CI&amp;S'!$B$10:$B$15,0))),"N/A")</f>
        <v/>
      </c>
      <c r="M122" s="52">
        <f>IFERROR(IF(INDEX('CI&amp;S'!$O$22:$O$39,MATCH($F122,'CI&amp;S'!$B$22:$B$39,0))="","Cell will autofill based on response",INDEX('CI&amp;S'!$O$22:$O$39,MATCH($F122,'CI&amp;S'!$B$22:$B$39,0))),"N/A")</f>
        <v/>
      </c>
      <c r="N122" s="52">
        <f>IFERROR(IF(INDEX('CFOG'!$O$10:$O$16,MATCH($F122,'CFOG'!$B$10:$B$16,0))="","Cell will autofill based on response",INDEX('CFOG'!$O$10:$O$16,MATCH($F122,'CFOG'!$B$10:$B$16,0))),"N/A")</f>
        <v/>
      </c>
      <c r="O122" s="52">
        <f>IFERROR(IF(INDEX('CFOG'!$O$23:$O$24,MATCH($F122,'CFOG'!$B$23:$B$24,0))="","Cell will autofill based on response",INDEX('CFOG'!$O$23:$O$24,MATCH($F122,'CFOG'!$B$23:$B$24,0))),"N/A")</f>
        <v/>
      </c>
      <c r="P122" s="52">
        <f>IFERROR(IF(INDEX('ESG'!$O$10:$O$17,MATCH($F122,'ESG'!$B$10:$B$17,0))="","Cell will autofill based on response",INDEX('ESG'!$O$10:$O$17,MATCH($F122,'ESG'!$B$10:$B$17,0))),"N/A")</f>
        <v/>
      </c>
      <c r="Q122" s="52">
        <f>IFERROR(IF(INDEX('CIOG'!$O$10:$O$14,MATCH($F122,'CIOG'!$B$10:$B$14,0))="","Cell will autofill based on response",INDEX('CIOG'!$O$10:$O$14,MATCH($F122,'CIOG'!$B$10:$B$14,0))),"N/A")</f>
        <v/>
      </c>
      <c r="R122" s="52">
        <f>IFERROR(IF(INDEX('MRE'!$O$10:$O$12,MATCH($F122,'MRE'!$B$10:$B$12,0))="","Cell will autofill based on response",INDEX('MRE'!$O$10:$O$12,MATCH($F122,'MRE'!$B$10:$B$12,0))),"N/A")</f>
        <v/>
      </c>
      <c r="S122" s="52">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2">
        <f>IFERROR(IF(INDEX('Faculties'!$P$10:$P$30,MATCH($F123,'Faculties'!$B$10:$B$30,0))="","Cell will autofill based on response",INDEX('Faculties'!$P$10:$P$30,MATCH($F123,'Faculties'!$B$10:$B$30,0))),"N/A")</f>
        <v/>
      </c>
      <c r="I123" s="52">
        <f>IFERROR(IF(INDEX('Faculties'!$P$37:$P$57,MATCH($F123,'Faculties'!$B$37:$B$57,0))="","Cell will autofill based on response",INDEX('Faculties'!$P$37:$P$57,MATCH($F123,'Faculties'!$B$37:$B$57,0))),"N/A")</f>
        <v/>
      </c>
      <c r="J123" s="52">
        <f>IFERROR(IF(INDEX('Faculties'!$P$64:$P$84,MATCH($F123,'Faculties'!$B$64:$B$84,0))="","Cell will autofill based on response",INDEX('Faculties'!$P$64:$P$84,MATCH($F123,'Faculties'!$B$64:$B$84,0))),"N/A")</f>
        <v/>
      </c>
      <c r="K123" s="52">
        <f>IFERROR(IF(INDEX('Faculties'!$P$91:$P$111,MATCH($F123,'Faculties'!$B$91:$B$111,0))="","Cell will autofill based on response",INDEX('Faculties'!$P$91:$P$111,MATCH($F123,'Faculties'!$B$91:$B$111,0))),"N/A")</f>
        <v/>
      </c>
      <c r="L123" s="52">
        <f>IFERROR(IF(INDEX('CI&amp;S'!$P$10:$P$15,MATCH($F123,'CI&amp;S'!$B$10:$B$15,0))="","Cell will autofill based on response",INDEX('CI&amp;S'!$P$10:$P$15,MATCH($F123,'CI&amp;S'!$B$10:$B$15,0))),"N/A")</f>
        <v/>
      </c>
      <c r="M123" s="52">
        <f>IFERROR(IF(INDEX('CI&amp;S'!$P$22:$P$39,MATCH($F123,'CI&amp;S'!$B$22:$B$39,0))="","Cell will autofill based on response",INDEX('CI&amp;S'!$P$22:$P$39,MATCH($F123,'CI&amp;S'!$B$22:$B$39,0))),"N/A")</f>
        <v/>
      </c>
      <c r="N123" s="52">
        <f>IFERROR(IF(INDEX('CFOG'!$P$10:$P$16,MATCH($F123,'CFOG'!$B$10:$B$16,0))="","Cell will autofill based on response",INDEX('CFOG'!$P$10:$P$16,MATCH($F123,'CFOG'!$B$10:$B$16,0))),"N/A")</f>
        <v/>
      </c>
      <c r="O123" s="52">
        <f>IFERROR(IF(INDEX('CFOG'!$P$23:$P$24,MATCH($F123,'CFOG'!$B$23:$B$24,0))="","Cell will autofill based on response",INDEX('CFOG'!$P$23:$P$24,MATCH($F123,'CFOG'!$B$23:$B$24,0))),"N/A")</f>
        <v/>
      </c>
      <c r="P123" s="52">
        <f>IFERROR(IF(INDEX('ESG'!$P$10:$P$17,MATCH($F123,'ESG'!$B$10:$B$17,0))="","Cell will autofill based on response",INDEX('ESG'!$P$10:$P$17,MATCH($F123,'ESG'!$B$10:$B$17,0))),"N/A")</f>
        <v/>
      </c>
      <c r="Q123" s="52">
        <f>IFERROR(IF(INDEX('CIOG'!$P$10:$P$14,MATCH($F123,'CIOG'!$B$10:$B$14,0))="","Cell will autofill based on response",INDEX('CIOG'!$P$10:$P$14,MATCH($F123,'CIOG'!$B$10:$B$14,0))),"N/A")</f>
        <v/>
      </c>
      <c r="R123" s="52">
        <f>IFERROR(IF(INDEX('MRE'!$P$10:$P$12,MATCH($F123,'MRE'!$B$10:$B$12,0))="","Cell will autofill based on response",INDEX('MRE'!$P$10:$P$12,MATCH($F123,'MRE'!$B$10:$B$12,0))),"N/A")</f>
        <v/>
      </c>
      <c r="S123" s="52">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2">
        <f>IFERROR(IF(INDEX('Faculties'!$Q$10:$Q$30,MATCH($F124,'Faculties'!$B$10:$B$30,0))="","Cell will autofill based on response",INDEX('Faculties'!$Q$10:$Q$30,MATCH($F124,'Faculties'!$B$10:$B$30,0))),"N/A")</f>
        <v/>
      </c>
      <c r="I124" s="52">
        <f>IFERROR(IF(INDEX('Faculties'!$Q$37:$Q$57,MATCH($F124,'Faculties'!$B$37:$B$57,0))="","Cell will autofill based on response",INDEX('Faculties'!$Q$37:$Q$57,MATCH($F124,'Faculties'!$B$37:$B$57,0))),"N/A")</f>
        <v/>
      </c>
      <c r="J124" s="52">
        <f>IFERROR(IF(INDEX('Faculties'!$Q$64:$Q$84,MATCH($F124,'Faculties'!$B$64:$B$84,0))="","Cell will autofill based on response",INDEX('Faculties'!$Q$64:$Q$84,MATCH($F124,'Faculties'!$B$64:$B$84,0))),"N/A")</f>
        <v/>
      </c>
      <c r="K124" s="52">
        <f>IFERROR(IF(INDEX('Faculties'!$Q$91:$Q$111,MATCH($F124,'Faculties'!$B$91:$B$111,0))="","Cell will autofill based on response",INDEX('Faculties'!$Q$91:$Q$111,MATCH($F124,'Faculties'!$B$91:$B$111,0))),"N/A")</f>
        <v/>
      </c>
      <c r="L124" s="52">
        <f>IFERROR(IF(INDEX('CI&amp;S'!$Q$10:$Q$15,MATCH($F124,'CI&amp;S'!$B$10:$B$15,0))="","Cell will autofill based on response",INDEX('CI&amp;S'!$Q$10:$Q$15,MATCH($F124,'CI&amp;S'!$B$10:$B$15,0))),"N/A")</f>
        <v/>
      </c>
      <c r="M124" s="52">
        <f>IFERROR(IF(INDEX('CI&amp;S'!$Q$22:$Q$39,MATCH($F124,'CI&amp;S'!$B$22:$B$39,0))="","Cell will autofill based on response",INDEX('CI&amp;S'!$Q$22:$Q$39,MATCH($F124,'CI&amp;S'!$B$22:$B$39,0))),"N/A")</f>
        <v/>
      </c>
      <c r="N124" s="52">
        <f>IFERROR(IF(INDEX('CFOG'!$Q$10:$Q$16,MATCH($F124,'CFOG'!$B$10:$B$16,0))="","Cell will autofill based on response",INDEX('CFOG'!$Q$10:$Q$16,MATCH($F124,'CFOG'!$B$10:$B$16,0))),"N/A")</f>
        <v/>
      </c>
      <c r="O124" s="52">
        <f>IFERROR(IF(INDEX('CFOG'!$Q$23:$Q$24,MATCH($F124,'CFOG'!$B$23:$B$24,0))="","Cell will autofill based on response",INDEX('CFOG'!$Q$23:$Q$24,MATCH($F124,'CFOG'!$B$23:$B$24,0))),"N/A")</f>
        <v/>
      </c>
      <c r="P124" s="52">
        <f>IFERROR(IF(INDEX('ESG'!$Q$10:$Q$17,MATCH($F124,'ESG'!$B$10:$B$17,0))="","Cell will autofill based on response",INDEX('ESG'!$Q$10:$Q$17,MATCH($F124,'ESG'!$B$10:$B$17,0))),"N/A")</f>
        <v/>
      </c>
      <c r="Q124" s="52">
        <f>IFERROR(IF(INDEX('CIOG'!$Q$10:$Q$14,MATCH($F124,'CIOG'!$B$10:$B$14,0))="","Cell will autofill based on response",INDEX('CIOG'!$Q$10:$Q$14,MATCH($F124,'CIOG'!$B$10:$B$14,0))),"N/A")</f>
        <v/>
      </c>
      <c r="R124" s="52">
        <f>IFERROR(IF(INDEX('MRE'!$Q$10:$Q$12,MATCH($F124,'MRE'!$B$10:$B$12,0))="","Cell will autofill based on response",INDEX('MRE'!$Q$10:$Q$12,MATCH($F124,'MRE'!$B$10:$B$12,0))),"N/A")</f>
        <v/>
      </c>
      <c r="S124" s="52">
        <f>IFERROR(IF(INDEX('L&amp;R'!$Q$10:$Q$11,MATCH($F124,'L&amp;R'!$B$10:$B$11,0))="","Cell will autofill based on response",INDEX('L&amp;R'!$Q$10:$Q$11,MATCH($F124,'L&amp;R'!$B$10:$B$11,0))),"N/A")</f>
        <v/>
      </c>
    </row>
    <row r="125">
      <c r="A125">
        <f>F125&amp;"|"&amp;G125</f>
        <v/>
      </c>
      <c r="B125" s="7" t="inlineStr">
        <is>
          <t>NB1(b)</t>
        </is>
      </c>
      <c r="C125" s="50" t="inlineStr">
        <is>
          <t>Nature and biodiversity</t>
        </is>
      </c>
      <c r="D125" s="50" t="inlineStr">
        <is>
          <t>Size, health and diversity of remnant vegetation at the Dookie and Creswick campuses</t>
        </is>
      </c>
      <c r="E125" s="50" t="inlineStr"/>
      <c r="F125" s="50" t="inlineStr">
        <is>
          <t>NB1(b)</t>
        </is>
      </c>
      <c r="G125" s="50" t="inlineStr">
        <is>
          <t>Confirm end-2026 target status</t>
        </is>
      </c>
      <c r="H125" s="52">
        <f>IFERROR(IF(INDEX('Faculties'!$L$10:$L$30,MATCH($F125,'Faculties'!$B$10:$B$30,0))="","Cell will autofill based on response",INDEX('Faculties'!$L$10:$L$30,MATCH($F125,'Faculties'!$B$10:$B$30,0))),"N/A")</f>
        <v/>
      </c>
      <c r="I125" s="52">
        <f>IFERROR(IF(INDEX('Faculties'!$L$37:$L$57,MATCH($F125,'Faculties'!$B$37:$B$57,0))="","Cell will autofill based on response",INDEX('Faculties'!$L$37:$L$57,MATCH($F125,'Faculties'!$B$37:$B$57,0))),"N/A")</f>
        <v/>
      </c>
      <c r="J125" s="52">
        <f>IFERROR(IF(INDEX('Faculties'!$L$64:$L$84,MATCH($F125,'Faculties'!$B$64:$B$84,0))="","Cell will autofill based on response",INDEX('Faculties'!$L$64:$L$84,MATCH($F125,'Faculties'!$B$64:$B$84,0))),"N/A")</f>
        <v/>
      </c>
      <c r="K125" s="52">
        <f>IFERROR(IF(INDEX('Faculties'!$L$91:$L$111,MATCH($F125,'Faculties'!$B$91:$B$111,0))="","Cell will autofill based on response",INDEX('Faculties'!$L$91:$L$111,MATCH($F125,'Faculties'!$B$91:$B$111,0))),"N/A")</f>
        <v/>
      </c>
      <c r="L125" s="52">
        <f>IFERROR(IF(INDEX('CI&amp;S'!$L$10:$L$15,MATCH($F125,'CI&amp;S'!$B$10:$B$15,0))="","Cell will autofill based on response",INDEX('CI&amp;S'!$L$10:$L$15,MATCH($F125,'CI&amp;S'!$B$10:$B$15,0))),"N/A")</f>
        <v/>
      </c>
      <c r="M125" s="52">
        <f>IFERROR(IF(INDEX('CI&amp;S'!$L$22:$L$39,MATCH($F125,'CI&amp;S'!$B$22:$B$39,0))="","Cell will autofill based on response",INDEX('CI&amp;S'!$L$22:$L$39,MATCH($F125,'CI&amp;S'!$B$22:$B$39,0))),"N/A")</f>
        <v/>
      </c>
      <c r="N125" s="52">
        <f>IFERROR(IF(INDEX('CFOG'!$L$10:$L$16,MATCH($F125,'CFOG'!$B$10:$B$16,0))="","Cell will autofill based on response",INDEX('CFOG'!$L$10:$L$16,MATCH($F125,'CFOG'!$B$10:$B$16,0))),"N/A")</f>
        <v/>
      </c>
      <c r="O125" s="52">
        <f>IFERROR(IF(INDEX('CFOG'!$L$23:$L$24,MATCH($F125,'CFOG'!$B$23:$B$24,0))="","Cell will autofill based on response",INDEX('CFOG'!$L$23:$L$24,MATCH($F125,'CFOG'!$B$23:$B$24,0))),"N/A")</f>
        <v/>
      </c>
      <c r="P125" s="52">
        <f>IFERROR(IF(INDEX('ESG'!$L$10:$L$17,MATCH($F125,'ESG'!$B$10:$B$17,0))="","Cell will autofill based on response",INDEX('ESG'!$L$10:$L$17,MATCH($F125,'ESG'!$B$10:$B$17,0))),"N/A")</f>
        <v/>
      </c>
      <c r="Q125" s="52">
        <f>IFERROR(IF(INDEX('CIOG'!$L$10:$L$14,MATCH($F125,'CIOG'!$B$10:$B$14,0))="","Cell will autofill based on response",INDEX('CIOG'!$L$10:$L$14,MATCH($F125,'CIOG'!$B$10:$B$14,0))),"N/A")</f>
        <v/>
      </c>
      <c r="R125" s="52">
        <f>IFERROR(IF(INDEX('MRE'!$L$10:$L$12,MATCH($F125,'MRE'!$B$10:$B$12,0))="","Cell will autofill based on response",INDEX('MRE'!$L$10:$L$12,MATCH($F125,'MRE'!$B$10:$B$12,0))),"N/A")</f>
        <v/>
      </c>
      <c r="S125" s="52">
        <f>IFERROR(IF(INDEX('L&amp;R'!$L$10:$L$11,MATCH($F125,'L&amp;R'!$B$10:$B$11,0))="","Cell will autofill based on response",INDEX('L&amp;R'!$L$10:$L$11,MATCH($F125,'L&amp;R'!$B$10:$B$11,0))),"N/A")</f>
        <v/>
      </c>
      <c r="U125" s="10">
        <f>COUNTIF($H125:$S125,"Cell will autofill based on response")</f>
        <v/>
      </c>
      <c r="V125" s="10">
        <f>COUNTIF($H125:$S125,"Not yet started")</f>
        <v/>
      </c>
      <c r="W125" s="10">
        <f>COUNTIF($H125:$S125,"Not met")</f>
        <v/>
      </c>
      <c r="X125" s="10">
        <f>COUNTIF($H125:$S125,"Partially met")</f>
        <v/>
      </c>
      <c r="Y125" s="10">
        <f>COUNTIF($H125:$S125,"Met or exceeded")</f>
        <v/>
      </c>
      <c r="Z125" s="10">
        <f>3*Y125+2*X125+W125</f>
        <v/>
      </c>
      <c r="AA125" s="10">
        <f>Y125+X125+W125+V125</f>
        <v/>
      </c>
      <c r="AB125" s="53">
        <f>IF(AA125&gt;0,Z125/AA125,"No valid responses to date")</f>
        <v/>
      </c>
      <c r="AC125" s="10">
        <f>IF(ISNUMBER(AB125),INDEX(Lists!$G$2:$G$5,MATCH(ROUND(AB125,0),Lists!$H$2:$H$5,0)),"")</f>
        <v/>
      </c>
      <c r="AD125" s="54">
        <f>IF(AA125&gt;0,Y125/AA125,"")</f>
        <v/>
      </c>
      <c r="AE125" s="54">
        <f>IF(AA125&gt;0,(Y125+X125)/AA125,"")</f>
        <v/>
      </c>
      <c r="AF125" s="10">
        <f>IF(AA125=0,"",IF(AD125&gt;0.75,"Met or exceeded",IF(AE125&gt;=0.5,"Partially met","Not met")))</f>
        <v/>
      </c>
    </row>
    <row r="126">
      <c r="A126">
        <f>F126&amp;"|"&amp;G126</f>
        <v/>
      </c>
      <c r="B126" s="13" t="inlineStr"/>
      <c r="C126" s="8" t="inlineStr"/>
      <c r="D126" s="8" t="inlineStr"/>
      <c r="E126" s="8" t="inlineStr"/>
      <c r="F126" s="8" t="inlineStr">
        <is>
          <t>NB1(b)</t>
        </is>
      </c>
      <c r="G126" s="8" t="inlineStr">
        <is>
          <t>OPTION 1:  Target-level reporting</t>
        </is>
      </c>
      <c r="H126" s="52">
        <f>IFERROR(IF(INDEX('Faculties'!$M$10:$M$30,MATCH($F126,'Faculties'!$B$10:$B$30,0))="","Cell will autofill based on response",INDEX('Faculties'!$M$10:$M$30,MATCH($F126,'Faculties'!$B$10:$B$30,0))),"N/A")</f>
        <v/>
      </c>
      <c r="I126" s="52">
        <f>IFERROR(IF(INDEX('Faculties'!$M$37:$M$57,MATCH($F126,'Faculties'!$B$37:$B$57,0))="","Cell will autofill based on response",INDEX('Faculties'!$M$37:$M$57,MATCH($F126,'Faculties'!$B$37:$B$57,0))),"N/A")</f>
        <v/>
      </c>
      <c r="J126" s="52">
        <f>IFERROR(IF(INDEX('Faculties'!$M$64:$M$84,MATCH($F126,'Faculties'!$B$64:$B$84,0))="","Cell will autofill based on response",INDEX('Faculties'!$M$64:$M$84,MATCH($F126,'Faculties'!$B$64:$B$84,0))),"N/A")</f>
        <v/>
      </c>
      <c r="K126" s="52">
        <f>IFERROR(IF(INDEX('Faculties'!$M$91:$M$111,MATCH($F126,'Faculties'!$B$91:$B$111,0))="","Cell will autofill based on response",INDEX('Faculties'!$M$91:$M$111,MATCH($F126,'Faculties'!$B$91:$B$111,0))),"N/A")</f>
        <v/>
      </c>
      <c r="L126" s="52">
        <f>IFERROR(IF(INDEX('CI&amp;S'!$M$10:$M$15,MATCH($F126,'CI&amp;S'!$B$10:$B$15,0))="","Cell will autofill based on response",INDEX('CI&amp;S'!$M$10:$M$15,MATCH($F126,'CI&amp;S'!$B$10:$B$15,0))),"N/A")</f>
        <v/>
      </c>
      <c r="M126" s="52">
        <f>IFERROR(IF(INDEX('CI&amp;S'!$M$22:$M$39,MATCH($F126,'CI&amp;S'!$B$22:$B$39,0))="","Cell will autofill based on response",INDEX('CI&amp;S'!$M$22:$M$39,MATCH($F126,'CI&amp;S'!$B$22:$B$39,0))),"N/A")</f>
        <v/>
      </c>
      <c r="N126" s="52">
        <f>IFERROR(IF(INDEX('CFOG'!$M$10:$M$16,MATCH($F126,'CFOG'!$B$10:$B$16,0))="","Cell will autofill based on response",INDEX('CFOG'!$M$10:$M$16,MATCH($F126,'CFOG'!$B$10:$B$16,0))),"N/A")</f>
        <v/>
      </c>
      <c r="O126" s="52">
        <f>IFERROR(IF(INDEX('CFOG'!$M$23:$M$24,MATCH($F126,'CFOG'!$B$23:$B$24,0))="","Cell will autofill based on response",INDEX('CFOG'!$M$23:$M$24,MATCH($F126,'CFOG'!$B$23:$B$24,0))),"N/A")</f>
        <v/>
      </c>
      <c r="P126" s="52">
        <f>IFERROR(IF(INDEX('ESG'!$M$10:$M$17,MATCH($F126,'ESG'!$B$10:$B$17,0))="","Cell will autofill based on response",INDEX('ESG'!$M$10:$M$17,MATCH($F126,'ESG'!$B$10:$B$17,0))),"N/A")</f>
        <v/>
      </c>
      <c r="Q126" s="52">
        <f>IFERROR(IF(INDEX('CIOG'!$M$10:$M$14,MATCH($F126,'CIOG'!$B$10:$B$14,0))="","Cell will autofill based on response",INDEX('CIOG'!$M$10:$M$14,MATCH($F126,'CIOG'!$B$10:$B$14,0))),"N/A")</f>
        <v/>
      </c>
      <c r="R126" s="52">
        <f>IFERROR(IF(INDEX('MRE'!$M$10:$M$12,MATCH($F126,'MRE'!$B$10:$B$12,0))="","Cell will autofill based on response",INDEX('MRE'!$M$10:$M$12,MATCH($F126,'MRE'!$B$10:$B$12,0))),"N/A")</f>
        <v/>
      </c>
      <c r="S126" s="52">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2">
        <f>IFERROR(IF(INDEX('Faculties'!$N$10:$N$30,MATCH($F127,'Faculties'!$B$10:$B$30,0))="","Cell will autofill based on response",INDEX('Faculties'!$N$10:$N$30,MATCH($F127,'Faculties'!$B$10:$B$30,0))),"N/A")</f>
        <v/>
      </c>
      <c r="I127" s="52">
        <f>IFERROR(IF(INDEX('Faculties'!$N$37:$N$57,MATCH($F127,'Faculties'!$B$37:$B$57,0))="","Cell will autofill based on response",INDEX('Faculties'!$N$37:$N$57,MATCH($F127,'Faculties'!$B$37:$B$57,0))),"N/A")</f>
        <v/>
      </c>
      <c r="J127" s="52">
        <f>IFERROR(IF(INDEX('Faculties'!$N$64:$N$84,MATCH($F127,'Faculties'!$B$64:$B$84,0))="","Cell will autofill based on response",INDEX('Faculties'!$N$64:$N$84,MATCH($F127,'Faculties'!$B$64:$B$84,0))),"N/A")</f>
        <v/>
      </c>
      <c r="K127" s="52">
        <f>IFERROR(IF(INDEX('Faculties'!$N$91:$N$111,MATCH($F127,'Faculties'!$B$91:$B$111,0))="","Cell will autofill based on response",INDEX('Faculties'!$N$91:$N$111,MATCH($F127,'Faculties'!$B$91:$B$111,0))),"N/A")</f>
        <v/>
      </c>
      <c r="L127" s="52">
        <f>IFERROR(IF(INDEX('CI&amp;S'!$N$10:$N$15,MATCH($F127,'CI&amp;S'!$B$10:$B$15,0))="","Cell will autofill based on response",INDEX('CI&amp;S'!$N$10:$N$15,MATCH($F127,'CI&amp;S'!$B$10:$B$15,0))),"N/A")</f>
        <v/>
      </c>
      <c r="M127" s="52">
        <f>IFERROR(IF(INDEX('CI&amp;S'!$N$22:$N$39,MATCH($F127,'CI&amp;S'!$B$22:$B$39,0))="","Cell will autofill based on response",INDEX('CI&amp;S'!$N$22:$N$39,MATCH($F127,'CI&amp;S'!$B$22:$B$39,0))),"N/A")</f>
        <v/>
      </c>
      <c r="N127" s="52">
        <f>IFERROR(IF(INDEX('CFOG'!$N$10:$N$16,MATCH($F127,'CFOG'!$B$10:$B$16,0))="","Cell will autofill based on response",INDEX('CFOG'!$N$10:$N$16,MATCH($F127,'CFOG'!$B$10:$B$16,0))),"N/A")</f>
        <v/>
      </c>
      <c r="O127" s="52">
        <f>IFERROR(IF(INDEX('CFOG'!$N$23:$N$24,MATCH($F127,'CFOG'!$B$23:$B$24,0))="","Cell will autofill based on response",INDEX('CFOG'!$N$23:$N$24,MATCH($F127,'CFOG'!$B$23:$B$24,0))),"N/A")</f>
        <v/>
      </c>
      <c r="P127" s="52">
        <f>IFERROR(IF(INDEX('ESG'!$N$10:$N$17,MATCH($F127,'ESG'!$B$10:$B$17,0))="","Cell will autofill based on response",INDEX('ESG'!$N$10:$N$17,MATCH($F127,'ESG'!$B$10:$B$17,0))),"N/A")</f>
        <v/>
      </c>
      <c r="Q127" s="52">
        <f>IFERROR(IF(INDEX('CIOG'!$N$10:$N$14,MATCH($F127,'CIOG'!$B$10:$B$14,0))="","Cell will autofill based on response",INDEX('CIOG'!$N$10:$N$14,MATCH($F127,'CIOG'!$B$10:$B$14,0))),"N/A")</f>
        <v/>
      </c>
      <c r="R127" s="52">
        <f>IFERROR(IF(INDEX('MRE'!$N$10:$N$12,MATCH($F127,'MRE'!$B$10:$B$12,0))="","Cell will autofill based on response",INDEX('MRE'!$N$10:$N$12,MATCH($F127,'MRE'!$B$10:$B$12,0))),"N/A")</f>
        <v/>
      </c>
      <c r="S127" s="52">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2">
        <f>IFERROR(IF(INDEX('Faculties'!$O$10:$O$30,MATCH($F128,'Faculties'!$B$10:$B$30,0))="","Cell will autofill based on response",INDEX('Faculties'!$O$10:$O$30,MATCH($F128,'Faculties'!$B$10:$B$30,0))),"N/A")</f>
        <v/>
      </c>
      <c r="I128" s="52">
        <f>IFERROR(IF(INDEX('Faculties'!$O$37:$O$57,MATCH($F128,'Faculties'!$B$37:$B$57,0))="","Cell will autofill based on response",INDEX('Faculties'!$O$37:$O$57,MATCH($F128,'Faculties'!$B$37:$B$57,0))),"N/A")</f>
        <v/>
      </c>
      <c r="J128" s="52">
        <f>IFERROR(IF(INDEX('Faculties'!$O$64:$O$84,MATCH($F128,'Faculties'!$B$64:$B$84,0))="","Cell will autofill based on response",INDEX('Faculties'!$O$64:$O$84,MATCH($F128,'Faculties'!$B$64:$B$84,0))),"N/A")</f>
        <v/>
      </c>
      <c r="K128" s="52">
        <f>IFERROR(IF(INDEX('Faculties'!$O$91:$O$111,MATCH($F128,'Faculties'!$B$91:$B$111,0))="","Cell will autofill based on response",INDEX('Faculties'!$O$91:$O$111,MATCH($F128,'Faculties'!$B$91:$B$111,0))),"N/A")</f>
        <v/>
      </c>
      <c r="L128" s="52">
        <f>IFERROR(IF(INDEX('CI&amp;S'!$O$10:$O$15,MATCH($F128,'CI&amp;S'!$B$10:$B$15,0))="","Cell will autofill based on response",INDEX('CI&amp;S'!$O$10:$O$15,MATCH($F128,'CI&amp;S'!$B$10:$B$15,0))),"N/A")</f>
        <v/>
      </c>
      <c r="M128" s="52">
        <f>IFERROR(IF(INDEX('CI&amp;S'!$O$22:$O$39,MATCH($F128,'CI&amp;S'!$B$22:$B$39,0))="","Cell will autofill based on response",INDEX('CI&amp;S'!$O$22:$O$39,MATCH($F128,'CI&amp;S'!$B$22:$B$39,0))),"N/A")</f>
        <v/>
      </c>
      <c r="N128" s="52">
        <f>IFERROR(IF(INDEX('CFOG'!$O$10:$O$16,MATCH($F128,'CFOG'!$B$10:$B$16,0))="","Cell will autofill based on response",INDEX('CFOG'!$O$10:$O$16,MATCH($F128,'CFOG'!$B$10:$B$16,0))),"N/A")</f>
        <v/>
      </c>
      <c r="O128" s="52">
        <f>IFERROR(IF(INDEX('CFOG'!$O$23:$O$24,MATCH($F128,'CFOG'!$B$23:$B$24,0))="","Cell will autofill based on response",INDEX('CFOG'!$O$23:$O$24,MATCH($F128,'CFOG'!$B$23:$B$24,0))),"N/A")</f>
        <v/>
      </c>
      <c r="P128" s="52">
        <f>IFERROR(IF(INDEX('ESG'!$O$10:$O$17,MATCH($F128,'ESG'!$B$10:$B$17,0))="","Cell will autofill based on response",INDEX('ESG'!$O$10:$O$17,MATCH($F128,'ESG'!$B$10:$B$17,0))),"N/A")</f>
        <v/>
      </c>
      <c r="Q128" s="52">
        <f>IFERROR(IF(INDEX('CIOG'!$O$10:$O$14,MATCH($F128,'CIOG'!$B$10:$B$14,0))="","Cell will autofill based on response",INDEX('CIOG'!$O$10:$O$14,MATCH($F128,'CIOG'!$B$10:$B$14,0))),"N/A")</f>
        <v/>
      </c>
      <c r="R128" s="52">
        <f>IFERROR(IF(INDEX('MRE'!$O$10:$O$12,MATCH($F128,'MRE'!$B$10:$B$12,0))="","Cell will autofill based on response",INDEX('MRE'!$O$10:$O$12,MATCH($F128,'MRE'!$B$10:$B$12,0))),"N/A")</f>
        <v/>
      </c>
      <c r="S128" s="52">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2">
        <f>IFERROR(IF(INDEX('Faculties'!$P$10:$P$30,MATCH($F129,'Faculties'!$B$10:$B$30,0))="","Cell will autofill based on response",INDEX('Faculties'!$P$10:$P$30,MATCH($F129,'Faculties'!$B$10:$B$30,0))),"N/A")</f>
        <v/>
      </c>
      <c r="I129" s="52">
        <f>IFERROR(IF(INDEX('Faculties'!$P$37:$P$57,MATCH($F129,'Faculties'!$B$37:$B$57,0))="","Cell will autofill based on response",INDEX('Faculties'!$P$37:$P$57,MATCH($F129,'Faculties'!$B$37:$B$57,0))),"N/A")</f>
        <v/>
      </c>
      <c r="J129" s="52">
        <f>IFERROR(IF(INDEX('Faculties'!$P$64:$P$84,MATCH($F129,'Faculties'!$B$64:$B$84,0))="","Cell will autofill based on response",INDEX('Faculties'!$P$64:$P$84,MATCH($F129,'Faculties'!$B$64:$B$84,0))),"N/A")</f>
        <v/>
      </c>
      <c r="K129" s="52">
        <f>IFERROR(IF(INDEX('Faculties'!$P$91:$P$111,MATCH($F129,'Faculties'!$B$91:$B$111,0))="","Cell will autofill based on response",INDEX('Faculties'!$P$91:$P$111,MATCH($F129,'Faculties'!$B$91:$B$111,0))),"N/A")</f>
        <v/>
      </c>
      <c r="L129" s="52">
        <f>IFERROR(IF(INDEX('CI&amp;S'!$P$10:$P$15,MATCH($F129,'CI&amp;S'!$B$10:$B$15,0))="","Cell will autofill based on response",INDEX('CI&amp;S'!$P$10:$P$15,MATCH($F129,'CI&amp;S'!$B$10:$B$15,0))),"N/A")</f>
        <v/>
      </c>
      <c r="M129" s="52">
        <f>IFERROR(IF(INDEX('CI&amp;S'!$P$22:$P$39,MATCH($F129,'CI&amp;S'!$B$22:$B$39,0))="","Cell will autofill based on response",INDEX('CI&amp;S'!$P$22:$P$39,MATCH($F129,'CI&amp;S'!$B$22:$B$39,0))),"N/A")</f>
        <v/>
      </c>
      <c r="N129" s="52">
        <f>IFERROR(IF(INDEX('CFOG'!$P$10:$P$16,MATCH($F129,'CFOG'!$B$10:$B$16,0))="","Cell will autofill based on response",INDEX('CFOG'!$P$10:$P$16,MATCH($F129,'CFOG'!$B$10:$B$16,0))),"N/A")</f>
        <v/>
      </c>
      <c r="O129" s="52">
        <f>IFERROR(IF(INDEX('CFOG'!$P$23:$P$24,MATCH($F129,'CFOG'!$B$23:$B$24,0))="","Cell will autofill based on response",INDEX('CFOG'!$P$23:$P$24,MATCH($F129,'CFOG'!$B$23:$B$24,0))),"N/A")</f>
        <v/>
      </c>
      <c r="P129" s="52">
        <f>IFERROR(IF(INDEX('ESG'!$P$10:$P$17,MATCH($F129,'ESG'!$B$10:$B$17,0))="","Cell will autofill based on response",INDEX('ESG'!$P$10:$P$17,MATCH($F129,'ESG'!$B$10:$B$17,0))),"N/A")</f>
        <v/>
      </c>
      <c r="Q129" s="52">
        <f>IFERROR(IF(INDEX('CIOG'!$P$10:$P$14,MATCH($F129,'CIOG'!$B$10:$B$14,0))="","Cell will autofill based on response",INDEX('CIOG'!$P$10:$P$14,MATCH($F129,'CIOG'!$B$10:$B$14,0))),"N/A")</f>
        <v/>
      </c>
      <c r="R129" s="52">
        <f>IFERROR(IF(INDEX('MRE'!$P$10:$P$12,MATCH($F129,'MRE'!$B$10:$B$12,0))="","Cell will autofill based on response",INDEX('MRE'!$P$10:$P$12,MATCH($F129,'MRE'!$B$10:$B$12,0))),"N/A")</f>
        <v/>
      </c>
      <c r="S129" s="52">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2">
        <f>IFERROR(IF(INDEX('Faculties'!$Q$10:$Q$30,MATCH($F130,'Faculties'!$B$10:$B$30,0))="","Cell will autofill based on response",INDEX('Faculties'!$Q$10:$Q$30,MATCH($F130,'Faculties'!$B$10:$B$30,0))),"N/A")</f>
        <v/>
      </c>
      <c r="I130" s="52">
        <f>IFERROR(IF(INDEX('Faculties'!$Q$37:$Q$57,MATCH($F130,'Faculties'!$B$37:$B$57,0))="","Cell will autofill based on response",INDEX('Faculties'!$Q$37:$Q$57,MATCH($F130,'Faculties'!$B$37:$B$57,0))),"N/A")</f>
        <v/>
      </c>
      <c r="J130" s="52">
        <f>IFERROR(IF(INDEX('Faculties'!$Q$64:$Q$84,MATCH($F130,'Faculties'!$B$64:$B$84,0))="","Cell will autofill based on response",INDEX('Faculties'!$Q$64:$Q$84,MATCH($F130,'Faculties'!$B$64:$B$84,0))),"N/A")</f>
        <v/>
      </c>
      <c r="K130" s="52">
        <f>IFERROR(IF(INDEX('Faculties'!$Q$91:$Q$111,MATCH($F130,'Faculties'!$B$91:$B$111,0))="","Cell will autofill based on response",INDEX('Faculties'!$Q$91:$Q$111,MATCH($F130,'Faculties'!$B$91:$B$111,0))),"N/A")</f>
        <v/>
      </c>
      <c r="L130" s="52">
        <f>IFERROR(IF(INDEX('CI&amp;S'!$Q$10:$Q$15,MATCH($F130,'CI&amp;S'!$B$10:$B$15,0))="","Cell will autofill based on response",INDEX('CI&amp;S'!$Q$10:$Q$15,MATCH($F130,'CI&amp;S'!$B$10:$B$15,0))),"N/A")</f>
        <v/>
      </c>
      <c r="M130" s="52">
        <f>IFERROR(IF(INDEX('CI&amp;S'!$Q$22:$Q$39,MATCH($F130,'CI&amp;S'!$B$22:$B$39,0))="","Cell will autofill based on response",INDEX('CI&amp;S'!$Q$22:$Q$39,MATCH($F130,'CI&amp;S'!$B$22:$B$39,0))),"N/A")</f>
        <v/>
      </c>
      <c r="N130" s="52">
        <f>IFERROR(IF(INDEX('CFOG'!$Q$10:$Q$16,MATCH($F130,'CFOG'!$B$10:$B$16,0))="","Cell will autofill based on response",INDEX('CFOG'!$Q$10:$Q$16,MATCH($F130,'CFOG'!$B$10:$B$16,0))),"N/A")</f>
        <v/>
      </c>
      <c r="O130" s="52">
        <f>IFERROR(IF(INDEX('CFOG'!$Q$23:$Q$24,MATCH($F130,'CFOG'!$B$23:$B$24,0))="","Cell will autofill based on response",INDEX('CFOG'!$Q$23:$Q$24,MATCH($F130,'CFOG'!$B$23:$B$24,0))),"N/A")</f>
        <v/>
      </c>
      <c r="P130" s="52">
        <f>IFERROR(IF(INDEX('ESG'!$Q$10:$Q$17,MATCH($F130,'ESG'!$B$10:$B$17,0))="","Cell will autofill based on response",INDEX('ESG'!$Q$10:$Q$17,MATCH($F130,'ESG'!$B$10:$B$17,0))),"N/A")</f>
        <v/>
      </c>
      <c r="Q130" s="52">
        <f>IFERROR(IF(INDEX('CIOG'!$Q$10:$Q$14,MATCH($F130,'CIOG'!$B$10:$B$14,0))="","Cell will autofill based on response",INDEX('CIOG'!$Q$10:$Q$14,MATCH($F130,'CIOG'!$B$10:$B$14,0))),"N/A")</f>
        <v/>
      </c>
      <c r="R130" s="52">
        <f>IFERROR(IF(INDEX('MRE'!$Q$10:$Q$12,MATCH($F130,'MRE'!$B$10:$B$12,0))="","Cell will autofill based on response",INDEX('MRE'!$Q$10:$Q$12,MATCH($F130,'MRE'!$B$10:$B$12,0))),"N/A")</f>
        <v/>
      </c>
      <c r="S130" s="52">
        <f>IFERROR(IF(INDEX('L&amp;R'!$Q$10:$Q$11,MATCH($F130,'L&amp;R'!$B$10:$B$11,0))="","Cell will autofill based on response",INDEX('L&amp;R'!$Q$10:$Q$11,MATCH($F130,'L&amp;R'!$B$10:$B$11,0))),"N/A")</f>
        <v/>
      </c>
    </row>
    <row r="131">
      <c r="A131">
        <f>F131&amp;"|"&amp;G131</f>
        <v/>
      </c>
      <c r="B131" s="7" t="inlineStr">
        <is>
          <t>NB1(c)</t>
        </is>
      </c>
      <c r="C131" s="50" t="inlineStr">
        <is>
          <t>Nature and biodiversity</t>
        </is>
      </c>
      <c r="D131" s="50" t="inlineStr">
        <is>
          <t>Defined quality measurement framework</t>
        </is>
      </c>
      <c r="E131" s="50" t="inlineStr"/>
      <c r="F131" s="50" t="inlineStr">
        <is>
          <t>NB1(c)</t>
        </is>
      </c>
      <c r="G131" s="50" t="inlineStr">
        <is>
          <t>Confirm end-2026 target status</t>
        </is>
      </c>
      <c r="H131" s="52">
        <f>IFERROR(IF(INDEX('Faculties'!$L$10:$L$30,MATCH($F131,'Faculties'!$B$10:$B$30,0))="","Cell will autofill based on response",INDEX('Faculties'!$L$10:$L$30,MATCH($F131,'Faculties'!$B$10:$B$30,0))),"N/A")</f>
        <v/>
      </c>
      <c r="I131" s="52">
        <f>IFERROR(IF(INDEX('Faculties'!$L$37:$L$57,MATCH($F131,'Faculties'!$B$37:$B$57,0))="","Cell will autofill based on response",INDEX('Faculties'!$L$37:$L$57,MATCH($F131,'Faculties'!$B$37:$B$57,0))),"N/A")</f>
        <v/>
      </c>
      <c r="J131" s="52">
        <f>IFERROR(IF(INDEX('Faculties'!$L$64:$L$84,MATCH($F131,'Faculties'!$B$64:$B$84,0))="","Cell will autofill based on response",INDEX('Faculties'!$L$64:$L$84,MATCH($F131,'Faculties'!$B$64:$B$84,0))),"N/A")</f>
        <v/>
      </c>
      <c r="K131" s="52">
        <f>IFERROR(IF(INDEX('Faculties'!$L$91:$L$111,MATCH($F131,'Faculties'!$B$91:$B$111,0))="","Cell will autofill based on response",INDEX('Faculties'!$L$91:$L$111,MATCH($F131,'Faculties'!$B$91:$B$111,0))),"N/A")</f>
        <v/>
      </c>
      <c r="L131" s="52">
        <f>IFERROR(IF(INDEX('CI&amp;S'!$L$10:$L$15,MATCH($F131,'CI&amp;S'!$B$10:$B$15,0))="","Cell will autofill based on response",INDEX('CI&amp;S'!$L$10:$L$15,MATCH($F131,'CI&amp;S'!$B$10:$B$15,0))),"N/A")</f>
        <v/>
      </c>
      <c r="M131" s="52">
        <f>IFERROR(IF(INDEX('CI&amp;S'!$L$22:$L$39,MATCH($F131,'CI&amp;S'!$B$22:$B$39,0))="","Cell will autofill based on response",INDEX('CI&amp;S'!$L$22:$L$39,MATCH($F131,'CI&amp;S'!$B$22:$B$39,0))),"N/A")</f>
        <v/>
      </c>
      <c r="N131" s="52">
        <f>IFERROR(IF(INDEX('CFOG'!$L$10:$L$16,MATCH($F131,'CFOG'!$B$10:$B$16,0))="","Cell will autofill based on response",INDEX('CFOG'!$L$10:$L$16,MATCH($F131,'CFOG'!$B$10:$B$16,0))),"N/A")</f>
        <v/>
      </c>
      <c r="O131" s="52">
        <f>IFERROR(IF(INDEX('CFOG'!$L$23:$L$24,MATCH($F131,'CFOG'!$B$23:$B$24,0))="","Cell will autofill based on response",INDEX('CFOG'!$L$23:$L$24,MATCH($F131,'CFOG'!$B$23:$B$24,0))),"N/A")</f>
        <v/>
      </c>
      <c r="P131" s="52">
        <f>IFERROR(IF(INDEX('ESG'!$L$10:$L$17,MATCH($F131,'ESG'!$B$10:$B$17,0))="","Cell will autofill based on response",INDEX('ESG'!$L$10:$L$17,MATCH($F131,'ESG'!$B$10:$B$17,0))),"N/A")</f>
        <v/>
      </c>
      <c r="Q131" s="52">
        <f>IFERROR(IF(INDEX('CIOG'!$L$10:$L$14,MATCH($F131,'CIOG'!$B$10:$B$14,0))="","Cell will autofill based on response",INDEX('CIOG'!$L$10:$L$14,MATCH($F131,'CIOG'!$B$10:$B$14,0))),"N/A")</f>
        <v/>
      </c>
      <c r="R131" s="52">
        <f>IFERROR(IF(INDEX('MRE'!$L$10:$L$12,MATCH($F131,'MRE'!$B$10:$B$12,0))="","Cell will autofill based on response",INDEX('MRE'!$L$10:$L$12,MATCH($F131,'MRE'!$B$10:$B$12,0))),"N/A")</f>
        <v/>
      </c>
      <c r="S131" s="52">
        <f>IFERROR(IF(INDEX('L&amp;R'!$L$10:$L$11,MATCH($F131,'L&amp;R'!$B$10:$B$11,0))="","Cell will autofill based on response",INDEX('L&amp;R'!$L$10:$L$11,MATCH($F131,'L&amp;R'!$B$10:$B$11,0))),"N/A")</f>
        <v/>
      </c>
      <c r="U131" s="10">
        <f>COUNTIF($H131:$S131,"Cell will autofill based on response")</f>
        <v/>
      </c>
      <c r="V131" s="10">
        <f>COUNTIF($H131:$S131,"Not yet started")</f>
        <v/>
      </c>
      <c r="W131" s="10">
        <f>COUNTIF($H131:$S131,"Not met")</f>
        <v/>
      </c>
      <c r="X131" s="10">
        <f>COUNTIF($H131:$S131,"Partially met")</f>
        <v/>
      </c>
      <c r="Y131" s="10">
        <f>COUNTIF($H131:$S131,"Met or exceeded")</f>
        <v/>
      </c>
      <c r="Z131" s="10">
        <f>3*Y131+2*X131+W131</f>
        <v/>
      </c>
      <c r="AA131" s="10">
        <f>Y131+X131+W131+V131</f>
        <v/>
      </c>
      <c r="AB131" s="53">
        <f>IF(AA131&gt;0,Z131/AA131,"No valid responses to date")</f>
        <v/>
      </c>
      <c r="AC131" s="10">
        <f>IF(ISNUMBER(AB131),INDEX(Lists!$G$2:$G$5,MATCH(ROUND(AB131,0),Lists!$H$2:$H$5,0)),"")</f>
        <v/>
      </c>
      <c r="AD131" s="54">
        <f>IF(AA131&gt;0,Y131/AA131,"")</f>
        <v/>
      </c>
      <c r="AE131" s="54">
        <f>IF(AA131&gt;0,(Y131+X131)/AA131,"")</f>
        <v/>
      </c>
      <c r="AF131" s="10">
        <f>IF(AA131=0,"",IF(AD131&gt;0.75,"Met or exceeded",IF(AE131&gt;=0.5,"Partially met","Not met")))</f>
        <v/>
      </c>
    </row>
    <row r="132">
      <c r="A132">
        <f>F132&amp;"|"&amp;G132</f>
        <v/>
      </c>
      <c r="B132" s="13" t="inlineStr"/>
      <c r="C132" s="8" t="inlineStr"/>
      <c r="D132" s="8" t="inlineStr"/>
      <c r="E132" s="8" t="inlineStr"/>
      <c r="F132" s="8" t="inlineStr">
        <is>
          <t>NB1(c)</t>
        </is>
      </c>
      <c r="G132" s="8" t="inlineStr">
        <is>
          <t>OPTION 1:  Target-level reporting</t>
        </is>
      </c>
      <c r="H132" s="52">
        <f>IFERROR(IF(INDEX('Faculties'!$M$10:$M$30,MATCH($F132,'Faculties'!$B$10:$B$30,0))="","Cell will autofill based on response",INDEX('Faculties'!$M$10:$M$30,MATCH($F132,'Faculties'!$B$10:$B$30,0))),"N/A")</f>
        <v/>
      </c>
      <c r="I132" s="52">
        <f>IFERROR(IF(INDEX('Faculties'!$M$37:$M$57,MATCH($F132,'Faculties'!$B$37:$B$57,0))="","Cell will autofill based on response",INDEX('Faculties'!$M$37:$M$57,MATCH($F132,'Faculties'!$B$37:$B$57,0))),"N/A")</f>
        <v/>
      </c>
      <c r="J132" s="52">
        <f>IFERROR(IF(INDEX('Faculties'!$M$64:$M$84,MATCH($F132,'Faculties'!$B$64:$B$84,0))="","Cell will autofill based on response",INDEX('Faculties'!$M$64:$M$84,MATCH($F132,'Faculties'!$B$64:$B$84,0))),"N/A")</f>
        <v/>
      </c>
      <c r="K132" s="52">
        <f>IFERROR(IF(INDEX('Faculties'!$M$91:$M$111,MATCH($F132,'Faculties'!$B$91:$B$111,0))="","Cell will autofill based on response",INDEX('Faculties'!$M$91:$M$111,MATCH($F132,'Faculties'!$B$91:$B$111,0))),"N/A")</f>
        <v/>
      </c>
      <c r="L132" s="52">
        <f>IFERROR(IF(INDEX('CI&amp;S'!$M$10:$M$15,MATCH($F132,'CI&amp;S'!$B$10:$B$15,0))="","Cell will autofill based on response",INDEX('CI&amp;S'!$M$10:$M$15,MATCH($F132,'CI&amp;S'!$B$10:$B$15,0))),"N/A")</f>
        <v/>
      </c>
      <c r="M132" s="52">
        <f>IFERROR(IF(INDEX('CI&amp;S'!$M$22:$M$39,MATCH($F132,'CI&amp;S'!$B$22:$B$39,0))="","Cell will autofill based on response",INDEX('CI&amp;S'!$M$22:$M$39,MATCH($F132,'CI&amp;S'!$B$22:$B$39,0))),"N/A")</f>
        <v/>
      </c>
      <c r="N132" s="52">
        <f>IFERROR(IF(INDEX('CFOG'!$M$10:$M$16,MATCH($F132,'CFOG'!$B$10:$B$16,0))="","Cell will autofill based on response",INDEX('CFOG'!$M$10:$M$16,MATCH($F132,'CFOG'!$B$10:$B$16,0))),"N/A")</f>
        <v/>
      </c>
      <c r="O132" s="52">
        <f>IFERROR(IF(INDEX('CFOG'!$M$23:$M$24,MATCH($F132,'CFOG'!$B$23:$B$24,0))="","Cell will autofill based on response",INDEX('CFOG'!$M$23:$M$24,MATCH($F132,'CFOG'!$B$23:$B$24,0))),"N/A")</f>
        <v/>
      </c>
      <c r="P132" s="52">
        <f>IFERROR(IF(INDEX('ESG'!$M$10:$M$17,MATCH($F132,'ESG'!$B$10:$B$17,0))="","Cell will autofill based on response",INDEX('ESG'!$M$10:$M$17,MATCH($F132,'ESG'!$B$10:$B$17,0))),"N/A")</f>
        <v/>
      </c>
      <c r="Q132" s="52">
        <f>IFERROR(IF(INDEX('CIOG'!$M$10:$M$14,MATCH($F132,'CIOG'!$B$10:$B$14,0))="","Cell will autofill based on response",INDEX('CIOG'!$M$10:$M$14,MATCH($F132,'CIOG'!$B$10:$B$14,0))),"N/A")</f>
        <v/>
      </c>
      <c r="R132" s="52">
        <f>IFERROR(IF(INDEX('MRE'!$M$10:$M$12,MATCH($F132,'MRE'!$B$10:$B$12,0))="","Cell will autofill based on response",INDEX('MRE'!$M$10:$M$12,MATCH($F132,'MRE'!$B$10:$B$12,0))),"N/A")</f>
        <v/>
      </c>
      <c r="S132" s="52">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2">
        <f>IFERROR(IF(INDEX('Faculties'!$N$10:$N$30,MATCH($F133,'Faculties'!$B$10:$B$30,0))="","Cell will autofill based on response",INDEX('Faculties'!$N$10:$N$30,MATCH($F133,'Faculties'!$B$10:$B$30,0))),"N/A")</f>
        <v/>
      </c>
      <c r="I133" s="52">
        <f>IFERROR(IF(INDEX('Faculties'!$N$37:$N$57,MATCH($F133,'Faculties'!$B$37:$B$57,0))="","Cell will autofill based on response",INDEX('Faculties'!$N$37:$N$57,MATCH($F133,'Faculties'!$B$37:$B$57,0))),"N/A")</f>
        <v/>
      </c>
      <c r="J133" s="52">
        <f>IFERROR(IF(INDEX('Faculties'!$N$64:$N$84,MATCH($F133,'Faculties'!$B$64:$B$84,0))="","Cell will autofill based on response",INDEX('Faculties'!$N$64:$N$84,MATCH($F133,'Faculties'!$B$64:$B$84,0))),"N/A")</f>
        <v/>
      </c>
      <c r="K133" s="52">
        <f>IFERROR(IF(INDEX('Faculties'!$N$91:$N$111,MATCH($F133,'Faculties'!$B$91:$B$111,0))="","Cell will autofill based on response",INDEX('Faculties'!$N$91:$N$111,MATCH($F133,'Faculties'!$B$91:$B$111,0))),"N/A")</f>
        <v/>
      </c>
      <c r="L133" s="52">
        <f>IFERROR(IF(INDEX('CI&amp;S'!$N$10:$N$15,MATCH($F133,'CI&amp;S'!$B$10:$B$15,0))="","Cell will autofill based on response",INDEX('CI&amp;S'!$N$10:$N$15,MATCH($F133,'CI&amp;S'!$B$10:$B$15,0))),"N/A")</f>
        <v/>
      </c>
      <c r="M133" s="52">
        <f>IFERROR(IF(INDEX('CI&amp;S'!$N$22:$N$39,MATCH($F133,'CI&amp;S'!$B$22:$B$39,0))="","Cell will autofill based on response",INDEX('CI&amp;S'!$N$22:$N$39,MATCH($F133,'CI&amp;S'!$B$22:$B$39,0))),"N/A")</f>
        <v/>
      </c>
      <c r="N133" s="52">
        <f>IFERROR(IF(INDEX('CFOG'!$N$10:$N$16,MATCH($F133,'CFOG'!$B$10:$B$16,0))="","Cell will autofill based on response",INDEX('CFOG'!$N$10:$N$16,MATCH($F133,'CFOG'!$B$10:$B$16,0))),"N/A")</f>
        <v/>
      </c>
      <c r="O133" s="52">
        <f>IFERROR(IF(INDEX('CFOG'!$N$23:$N$24,MATCH($F133,'CFOG'!$B$23:$B$24,0))="","Cell will autofill based on response",INDEX('CFOG'!$N$23:$N$24,MATCH($F133,'CFOG'!$B$23:$B$24,0))),"N/A")</f>
        <v/>
      </c>
      <c r="P133" s="52">
        <f>IFERROR(IF(INDEX('ESG'!$N$10:$N$17,MATCH($F133,'ESG'!$B$10:$B$17,0))="","Cell will autofill based on response",INDEX('ESG'!$N$10:$N$17,MATCH($F133,'ESG'!$B$10:$B$17,0))),"N/A")</f>
        <v/>
      </c>
      <c r="Q133" s="52">
        <f>IFERROR(IF(INDEX('CIOG'!$N$10:$N$14,MATCH($F133,'CIOG'!$B$10:$B$14,0))="","Cell will autofill based on response",INDEX('CIOG'!$N$10:$N$14,MATCH($F133,'CIOG'!$B$10:$B$14,0))),"N/A")</f>
        <v/>
      </c>
      <c r="R133" s="52">
        <f>IFERROR(IF(INDEX('MRE'!$N$10:$N$12,MATCH($F133,'MRE'!$B$10:$B$12,0))="","Cell will autofill based on response",INDEX('MRE'!$N$10:$N$12,MATCH($F133,'MRE'!$B$10:$B$12,0))),"N/A")</f>
        <v/>
      </c>
      <c r="S133" s="52">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2">
        <f>IFERROR(IF(INDEX('Faculties'!$O$10:$O$30,MATCH($F134,'Faculties'!$B$10:$B$30,0))="","Cell will autofill based on response",INDEX('Faculties'!$O$10:$O$30,MATCH($F134,'Faculties'!$B$10:$B$30,0))),"N/A")</f>
        <v/>
      </c>
      <c r="I134" s="52">
        <f>IFERROR(IF(INDEX('Faculties'!$O$37:$O$57,MATCH($F134,'Faculties'!$B$37:$B$57,0))="","Cell will autofill based on response",INDEX('Faculties'!$O$37:$O$57,MATCH($F134,'Faculties'!$B$37:$B$57,0))),"N/A")</f>
        <v/>
      </c>
      <c r="J134" s="52">
        <f>IFERROR(IF(INDEX('Faculties'!$O$64:$O$84,MATCH($F134,'Faculties'!$B$64:$B$84,0))="","Cell will autofill based on response",INDEX('Faculties'!$O$64:$O$84,MATCH($F134,'Faculties'!$B$64:$B$84,0))),"N/A")</f>
        <v/>
      </c>
      <c r="K134" s="52">
        <f>IFERROR(IF(INDEX('Faculties'!$O$91:$O$111,MATCH($F134,'Faculties'!$B$91:$B$111,0))="","Cell will autofill based on response",INDEX('Faculties'!$O$91:$O$111,MATCH($F134,'Faculties'!$B$91:$B$111,0))),"N/A")</f>
        <v/>
      </c>
      <c r="L134" s="52">
        <f>IFERROR(IF(INDEX('CI&amp;S'!$O$10:$O$15,MATCH($F134,'CI&amp;S'!$B$10:$B$15,0))="","Cell will autofill based on response",INDEX('CI&amp;S'!$O$10:$O$15,MATCH($F134,'CI&amp;S'!$B$10:$B$15,0))),"N/A")</f>
        <v/>
      </c>
      <c r="M134" s="52">
        <f>IFERROR(IF(INDEX('CI&amp;S'!$O$22:$O$39,MATCH($F134,'CI&amp;S'!$B$22:$B$39,0))="","Cell will autofill based on response",INDEX('CI&amp;S'!$O$22:$O$39,MATCH($F134,'CI&amp;S'!$B$22:$B$39,0))),"N/A")</f>
        <v/>
      </c>
      <c r="N134" s="52">
        <f>IFERROR(IF(INDEX('CFOG'!$O$10:$O$16,MATCH($F134,'CFOG'!$B$10:$B$16,0))="","Cell will autofill based on response",INDEX('CFOG'!$O$10:$O$16,MATCH($F134,'CFOG'!$B$10:$B$16,0))),"N/A")</f>
        <v/>
      </c>
      <c r="O134" s="52">
        <f>IFERROR(IF(INDEX('CFOG'!$O$23:$O$24,MATCH($F134,'CFOG'!$B$23:$B$24,0))="","Cell will autofill based on response",INDEX('CFOG'!$O$23:$O$24,MATCH($F134,'CFOG'!$B$23:$B$24,0))),"N/A")</f>
        <v/>
      </c>
      <c r="P134" s="52">
        <f>IFERROR(IF(INDEX('ESG'!$O$10:$O$17,MATCH($F134,'ESG'!$B$10:$B$17,0))="","Cell will autofill based on response",INDEX('ESG'!$O$10:$O$17,MATCH($F134,'ESG'!$B$10:$B$17,0))),"N/A")</f>
        <v/>
      </c>
      <c r="Q134" s="52">
        <f>IFERROR(IF(INDEX('CIOG'!$O$10:$O$14,MATCH($F134,'CIOG'!$B$10:$B$14,0))="","Cell will autofill based on response",INDEX('CIOG'!$O$10:$O$14,MATCH($F134,'CIOG'!$B$10:$B$14,0))),"N/A")</f>
        <v/>
      </c>
      <c r="R134" s="52">
        <f>IFERROR(IF(INDEX('MRE'!$O$10:$O$12,MATCH($F134,'MRE'!$B$10:$B$12,0))="","Cell will autofill based on response",INDEX('MRE'!$O$10:$O$12,MATCH($F134,'MRE'!$B$10:$B$12,0))),"N/A")</f>
        <v/>
      </c>
      <c r="S134" s="52">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2">
        <f>IFERROR(IF(INDEX('Faculties'!$P$10:$P$30,MATCH($F135,'Faculties'!$B$10:$B$30,0))="","Cell will autofill based on response",INDEX('Faculties'!$P$10:$P$30,MATCH($F135,'Faculties'!$B$10:$B$30,0))),"N/A")</f>
        <v/>
      </c>
      <c r="I135" s="52">
        <f>IFERROR(IF(INDEX('Faculties'!$P$37:$P$57,MATCH($F135,'Faculties'!$B$37:$B$57,0))="","Cell will autofill based on response",INDEX('Faculties'!$P$37:$P$57,MATCH($F135,'Faculties'!$B$37:$B$57,0))),"N/A")</f>
        <v/>
      </c>
      <c r="J135" s="52">
        <f>IFERROR(IF(INDEX('Faculties'!$P$64:$P$84,MATCH($F135,'Faculties'!$B$64:$B$84,0))="","Cell will autofill based on response",INDEX('Faculties'!$P$64:$P$84,MATCH($F135,'Faculties'!$B$64:$B$84,0))),"N/A")</f>
        <v/>
      </c>
      <c r="K135" s="52">
        <f>IFERROR(IF(INDEX('Faculties'!$P$91:$P$111,MATCH($F135,'Faculties'!$B$91:$B$111,0))="","Cell will autofill based on response",INDEX('Faculties'!$P$91:$P$111,MATCH($F135,'Faculties'!$B$91:$B$111,0))),"N/A")</f>
        <v/>
      </c>
      <c r="L135" s="52">
        <f>IFERROR(IF(INDEX('CI&amp;S'!$P$10:$P$15,MATCH($F135,'CI&amp;S'!$B$10:$B$15,0))="","Cell will autofill based on response",INDEX('CI&amp;S'!$P$10:$P$15,MATCH($F135,'CI&amp;S'!$B$10:$B$15,0))),"N/A")</f>
        <v/>
      </c>
      <c r="M135" s="52">
        <f>IFERROR(IF(INDEX('CI&amp;S'!$P$22:$P$39,MATCH($F135,'CI&amp;S'!$B$22:$B$39,0))="","Cell will autofill based on response",INDEX('CI&amp;S'!$P$22:$P$39,MATCH($F135,'CI&amp;S'!$B$22:$B$39,0))),"N/A")</f>
        <v/>
      </c>
      <c r="N135" s="52">
        <f>IFERROR(IF(INDEX('CFOG'!$P$10:$P$16,MATCH($F135,'CFOG'!$B$10:$B$16,0))="","Cell will autofill based on response",INDEX('CFOG'!$P$10:$P$16,MATCH($F135,'CFOG'!$B$10:$B$16,0))),"N/A")</f>
        <v/>
      </c>
      <c r="O135" s="52">
        <f>IFERROR(IF(INDEX('CFOG'!$P$23:$P$24,MATCH($F135,'CFOG'!$B$23:$B$24,0))="","Cell will autofill based on response",INDEX('CFOG'!$P$23:$P$24,MATCH($F135,'CFOG'!$B$23:$B$24,0))),"N/A")</f>
        <v/>
      </c>
      <c r="P135" s="52">
        <f>IFERROR(IF(INDEX('ESG'!$P$10:$P$17,MATCH($F135,'ESG'!$B$10:$B$17,0))="","Cell will autofill based on response",INDEX('ESG'!$P$10:$P$17,MATCH($F135,'ESG'!$B$10:$B$17,0))),"N/A")</f>
        <v/>
      </c>
      <c r="Q135" s="52">
        <f>IFERROR(IF(INDEX('CIOG'!$P$10:$P$14,MATCH($F135,'CIOG'!$B$10:$B$14,0))="","Cell will autofill based on response",INDEX('CIOG'!$P$10:$P$14,MATCH($F135,'CIOG'!$B$10:$B$14,0))),"N/A")</f>
        <v/>
      </c>
      <c r="R135" s="52">
        <f>IFERROR(IF(INDEX('MRE'!$P$10:$P$12,MATCH($F135,'MRE'!$B$10:$B$12,0))="","Cell will autofill based on response",INDEX('MRE'!$P$10:$P$12,MATCH($F135,'MRE'!$B$10:$B$12,0))),"N/A")</f>
        <v/>
      </c>
      <c r="S135" s="52">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2">
        <f>IFERROR(IF(INDEX('Faculties'!$Q$10:$Q$30,MATCH($F136,'Faculties'!$B$10:$B$30,0))="","Cell will autofill based on response",INDEX('Faculties'!$Q$10:$Q$30,MATCH($F136,'Faculties'!$B$10:$B$30,0))),"N/A")</f>
        <v/>
      </c>
      <c r="I136" s="52">
        <f>IFERROR(IF(INDEX('Faculties'!$Q$37:$Q$57,MATCH($F136,'Faculties'!$B$37:$B$57,0))="","Cell will autofill based on response",INDEX('Faculties'!$Q$37:$Q$57,MATCH($F136,'Faculties'!$B$37:$B$57,0))),"N/A")</f>
        <v/>
      </c>
      <c r="J136" s="52">
        <f>IFERROR(IF(INDEX('Faculties'!$Q$64:$Q$84,MATCH($F136,'Faculties'!$B$64:$B$84,0))="","Cell will autofill based on response",INDEX('Faculties'!$Q$64:$Q$84,MATCH($F136,'Faculties'!$B$64:$B$84,0))),"N/A")</f>
        <v/>
      </c>
      <c r="K136" s="52">
        <f>IFERROR(IF(INDEX('Faculties'!$Q$91:$Q$111,MATCH($F136,'Faculties'!$B$91:$B$111,0))="","Cell will autofill based on response",INDEX('Faculties'!$Q$91:$Q$111,MATCH($F136,'Faculties'!$B$91:$B$111,0))),"N/A")</f>
        <v/>
      </c>
      <c r="L136" s="52">
        <f>IFERROR(IF(INDEX('CI&amp;S'!$Q$10:$Q$15,MATCH($F136,'CI&amp;S'!$B$10:$B$15,0))="","Cell will autofill based on response",INDEX('CI&amp;S'!$Q$10:$Q$15,MATCH($F136,'CI&amp;S'!$B$10:$B$15,0))),"N/A")</f>
        <v/>
      </c>
      <c r="M136" s="52">
        <f>IFERROR(IF(INDEX('CI&amp;S'!$Q$22:$Q$39,MATCH($F136,'CI&amp;S'!$B$22:$B$39,0))="","Cell will autofill based on response",INDEX('CI&amp;S'!$Q$22:$Q$39,MATCH($F136,'CI&amp;S'!$B$22:$B$39,0))),"N/A")</f>
        <v/>
      </c>
      <c r="N136" s="52">
        <f>IFERROR(IF(INDEX('CFOG'!$Q$10:$Q$16,MATCH($F136,'CFOG'!$B$10:$B$16,0))="","Cell will autofill based on response",INDEX('CFOG'!$Q$10:$Q$16,MATCH($F136,'CFOG'!$B$10:$B$16,0))),"N/A")</f>
        <v/>
      </c>
      <c r="O136" s="52">
        <f>IFERROR(IF(INDEX('CFOG'!$Q$23:$Q$24,MATCH($F136,'CFOG'!$B$23:$B$24,0))="","Cell will autofill based on response",INDEX('CFOG'!$Q$23:$Q$24,MATCH($F136,'CFOG'!$B$23:$B$24,0))),"N/A")</f>
        <v/>
      </c>
      <c r="P136" s="52">
        <f>IFERROR(IF(INDEX('ESG'!$Q$10:$Q$17,MATCH($F136,'ESG'!$B$10:$B$17,0))="","Cell will autofill based on response",INDEX('ESG'!$Q$10:$Q$17,MATCH($F136,'ESG'!$B$10:$B$17,0))),"N/A")</f>
        <v/>
      </c>
      <c r="Q136" s="52">
        <f>IFERROR(IF(INDEX('CIOG'!$Q$10:$Q$14,MATCH($F136,'CIOG'!$B$10:$B$14,0))="","Cell will autofill based on response",INDEX('CIOG'!$Q$10:$Q$14,MATCH($F136,'CIOG'!$B$10:$B$14,0))),"N/A")</f>
        <v/>
      </c>
      <c r="R136" s="52">
        <f>IFERROR(IF(INDEX('MRE'!$Q$10:$Q$12,MATCH($F136,'MRE'!$B$10:$B$12,0))="","Cell will autofill based on response",INDEX('MRE'!$Q$10:$Q$12,MATCH($F136,'MRE'!$B$10:$B$12,0))),"N/A")</f>
        <v/>
      </c>
      <c r="S136" s="52">
        <f>IFERROR(IF(INDEX('L&amp;R'!$Q$10:$Q$11,MATCH($F136,'L&amp;R'!$B$10:$B$11,0))="","Cell will autofill based on response",INDEX('L&amp;R'!$Q$10:$Q$11,MATCH($F136,'L&amp;R'!$B$10:$B$11,0))),"N/A")</f>
        <v/>
      </c>
    </row>
    <row r="137">
      <c r="A137">
        <f>F137&amp;"|"&amp;G137</f>
        <v/>
      </c>
      <c r="B137" s="7" t="inlineStr">
        <is>
          <t>NB1(d)</t>
        </is>
      </c>
      <c r="C137" s="50" t="inlineStr">
        <is>
          <t>Nature and biodiversity</t>
        </is>
      </c>
      <c r="D137" s="50" t="inlineStr">
        <is>
          <t>Defined and quantified campus connectivity</t>
        </is>
      </c>
      <c r="E137" s="50" t="inlineStr">
        <is>
          <t>Please provide the current definition and quantified assessment of campus ecological connectivity, could include the methodology used, campuses covered, baseline or benchmark values, and any material change over the reporting period.</t>
        </is>
      </c>
      <c r="F137" s="50" t="inlineStr">
        <is>
          <t>NB1(d)</t>
        </is>
      </c>
      <c r="G137" s="50" t="inlineStr">
        <is>
          <t>Confirm end-2026 target status</t>
        </is>
      </c>
      <c r="H137" s="52">
        <f>IFERROR(IF(INDEX('Faculties'!$L$10:$L$30,MATCH($F137,'Faculties'!$B$10:$B$30,0))="","Cell will autofill based on response",INDEX('Faculties'!$L$10:$L$30,MATCH($F137,'Faculties'!$B$10:$B$30,0))),"N/A")</f>
        <v/>
      </c>
      <c r="I137" s="52">
        <f>IFERROR(IF(INDEX('Faculties'!$L$37:$L$57,MATCH($F137,'Faculties'!$B$37:$B$57,0))="","Cell will autofill based on response",INDEX('Faculties'!$L$37:$L$57,MATCH($F137,'Faculties'!$B$37:$B$57,0))),"N/A")</f>
        <v/>
      </c>
      <c r="J137" s="52">
        <f>IFERROR(IF(INDEX('Faculties'!$L$64:$L$84,MATCH($F137,'Faculties'!$B$64:$B$84,0))="","Cell will autofill based on response",INDEX('Faculties'!$L$64:$L$84,MATCH($F137,'Faculties'!$B$64:$B$84,0))),"N/A")</f>
        <v/>
      </c>
      <c r="K137" s="52">
        <f>IFERROR(IF(INDEX('Faculties'!$L$91:$L$111,MATCH($F137,'Faculties'!$B$91:$B$111,0))="","Cell will autofill based on response",INDEX('Faculties'!$L$91:$L$111,MATCH($F137,'Faculties'!$B$91:$B$111,0))),"N/A")</f>
        <v/>
      </c>
      <c r="L137" s="52">
        <f>IFERROR(IF(INDEX('CI&amp;S'!$L$10:$L$15,MATCH($F137,'CI&amp;S'!$B$10:$B$15,0))="","Cell will autofill based on response",INDEX('CI&amp;S'!$L$10:$L$15,MATCH($F137,'CI&amp;S'!$B$10:$B$15,0))),"N/A")</f>
        <v/>
      </c>
      <c r="M137" s="52">
        <f>IFERROR(IF(INDEX('CI&amp;S'!$L$22:$L$39,MATCH($F137,'CI&amp;S'!$B$22:$B$39,0))="","Cell will autofill based on response",INDEX('CI&amp;S'!$L$22:$L$39,MATCH($F137,'CI&amp;S'!$B$22:$B$39,0))),"N/A")</f>
        <v/>
      </c>
      <c r="N137" s="52">
        <f>IFERROR(IF(INDEX('CFOG'!$L$10:$L$16,MATCH($F137,'CFOG'!$B$10:$B$16,0))="","Cell will autofill based on response",INDEX('CFOG'!$L$10:$L$16,MATCH($F137,'CFOG'!$B$10:$B$16,0))),"N/A")</f>
        <v/>
      </c>
      <c r="O137" s="52">
        <f>IFERROR(IF(INDEX('CFOG'!$L$23:$L$24,MATCH($F137,'CFOG'!$B$23:$B$24,0))="","Cell will autofill based on response",INDEX('CFOG'!$L$23:$L$24,MATCH($F137,'CFOG'!$B$23:$B$24,0))),"N/A")</f>
        <v/>
      </c>
      <c r="P137" s="52">
        <f>IFERROR(IF(INDEX('ESG'!$L$10:$L$17,MATCH($F137,'ESG'!$B$10:$B$17,0))="","Cell will autofill based on response",INDEX('ESG'!$L$10:$L$17,MATCH($F137,'ESG'!$B$10:$B$17,0))),"N/A")</f>
        <v/>
      </c>
      <c r="Q137" s="52">
        <f>IFERROR(IF(INDEX('CIOG'!$L$10:$L$14,MATCH($F137,'CIOG'!$B$10:$B$14,0))="","Cell will autofill based on response",INDEX('CIOG'!$L$10:$L$14,MATCH($F137,'CIOG'!$B$10:$B$14,0))),"N/A")</f>
        <v/>
      </c>
      <c r="R137" s="52">
        <f>IFERROR(IF(INDEX('MRE'!$L$10:$L$12,MATCH($F137,'MRE'!$B$10:$B$12,0))="","Cell will autofill based on response",INDEX('MRE'!$L$10:$L$12,MATCH($F137,'MRE'!$B$10:$B$12,0))),"N/A")</f>
        <v/>
      </c>
      <c r="S137" s="52">
        <f>IFERROR(IF(INDEX('L&amp;R'!$L$10:$L$11,MATCH($F137,'L&amp;R'!$B$10:$B$11,0))="","Cell will autofill based on response",INDEX('L&amp;R'!$L$10:$L$11,MATCH($F137,'L&amp;R'!$B$10:$B$11,0))),"N/A")</f>
        <v/>
      </c>
      <c r="U137" s="10">
        <f>COUNTIF($H137:$S137,"Cell will autofill based on response")</f>
        <v/>
      </c>
      <c r="V137" s="10">
        <f>COUNTIF($H137:$S137,"Not yet started")</f>
        <v/>
      </c>
      <c r="W137" s="10">
        <f>COUNTIF($H137:$S137,"Not met")</f>
        <v/>
      </c>
      <c r="X137" s="10">
        <f>COUNTIF($H137:$S137,"Partially met")</f>
        <v/>
      </c>
      <c r="Y137" s="10">
        <f>COUNTIF($H137:$S137,"Met or exceeded")</f>
        <v/>
      </c>
      <c r="Z137" s="10">
        <f>3*Y137+2*X137+W137</f>
        <v/>
      </c>
      <c r="AA137" s="10">
        <f>Y137+X137+W137+V137</f>
        <v/>
      </c>
      <c r="AB137" s="53">
        <f>IF(AA137&gt;0,Z137/AA137,"No valid responses to date")</f>
        <v/>
      </c>
      <c r="AC137" s="10">
        <f>IF(ISNUMBER(AB137),INDEX(Lists!$G$2:$G$5,MATCH(ROUND(AB137,0),Lists!$H$2:$H$5,0)),"")</f>
        <v/>
      </c>
      <c r="AD137" s="54">
        <f>IF(AA137&gt;0,Y137/AA137,"")</f>
        <v/>
      </c>
      <c r="AE137" s="54">
        <f>IF(AA137&gt;0,(Y137+X137)/AA137,"")</f>
        <v/>
      </c>
      <c r="AF137" s="10">
        <f>IF(AA137=0,"",IF(AD137&gt;0.75,"Met or exceeded",IF(AE137&gt;=0.5,"Partially met","Not met")))</f>
        <v/>
      </c>
    </row>
    <row r="138">
      <c r="A138">
        <f>F138&amp;"|"&amp;G138</f>
        <v/>
      </c>
      <c r="B138" s="13" t="inlineStr"/>
      <c r="C138" s="8" t="inlineStr"/>
      <c r="D138" s="8" t="inlineStr"/>
      <c r="E138" s="8" t="inlineStr"/>
      <c r="F138" s="8" t="inlineStr">
        <is>
          <t>NB1(d)</t>
        </is>
      </c>
      <c r="G138" s="8" t="inlineStr">
        <is>
          <t>OPTION 1:  Target-level reporting</t>
        </is>
      </c>
      <c r="H138" s="52">
        <f>IFERROR(IF(INDEX('Faculties'!$M$10:$M$30,MATCH($F138,'Faculties'!$B$10:$B$30,0))="","Cell will autofill based on response",INDEX('Faculties'!$M$10:$M$30,MATCH($F138,'Faculties'!$B$10:$B$30,0))),"N/A")</f>
        <v/>
      </c>
      <c r="I138" s="52">
        <f>IFERROR(IF(INDEX('Faculties'!$M$37:$M$57,MATCH($F138,'Faculties'!$B$37:$B$57,0))="","Cell will autofill based on response",INDEX('Faculties'!$M$37:$M$57,MATCH($F138,'Faculties'!$B$37:$B$57,0))),"N/A")</f>
        <v/>
      </c>
      <c r="J138" s="52">
        <f>IFERROR(IF(INDEX('Faculties'!$M$64:$M$84,MATCH($F138,'Faculties'!$B$64:$B$84,0))="","Cell will autofill based on response",INDEX('Faculties'!$M$64:$M$84,MATCH($F138,'Faculties'!$B$64:$B$84,0))),"N/A")</f>
        <v/>
      </c>
      <c r="K138" s="52">
        <f>IFERROR(IF(INDEX('Faculties'!$M$91:$M$111,MATCH($F138,'Faculties'!$B$91:$B$111,0))="","Cell will autofill based on response",INDEX('Faculties'!$M$91:$M$111,MATCH($F138,'Faculties'!$B$91:$B$111,0))),"N/A")</f>
        <v/>
      </c>
      <c r="L138" s="52">
        <f>IFERROR(IF(INDEX('CI&amp;S'!$M$10:$M$15,MATCH($F138,'CI&amp;S'!$B$10:$B$15,0))="","Cell will autofill based on response",INDEX('CI&amp;S'!$M$10:$M$15,MATCH($F138,'CI&amp;S'!$B$10:$B$15,0))),"N/A")</f>
        <v/>
      </c>
      <c r="M138" s="52">
        <f>IFERROR(IF(INDEX('CI&amp;S'!$M$22:$M$39,MATCH($F138,'CI&amp;S'!$B$22:$B$39,0))="","Cell will autofill based on response",INDEX('CI&amp;S'!$M$22:$M$39,MATCH($F138,'CI&amp;S'!$B$22:$B$39,0))),"N/A")</f>
        <v/>
      </c>
      <c r="N138" s="52">
        <f>IFERROR(IF(INDEX('CFOG'!$M$10:$M$16,MATCH($F138,'CFOG'!$B$10:$B$16,0))="","Cell will autofill based on response",INDEX('CFOG'!$M$10:$M$16,MATCH($F138,'CFOG'!$B$10:$B$16,0))),"N/A")</f>
        <v/>
      </c>
      <c r="O138" s="52">
        <f>IFERROR(IF(INDEX('CFOG'!$M$23:$M$24,MATCH($F138,'CFOG'!$B$23:$B$24,0))="","Cell will autofill based on response",INDEX('CFOG'!$M$23:$M$24,MATCH($F138,'CFOG'!$B$23:$B$24,0))),"N/A")</f>
        <v/>
      </c>
      <c r="P138" s="52">
        <f>IFERROR(IF(INDEX('ESG'!$M$10:$M$17,MATCH($F138,'ESG'!$B$10:$B$17,0))="","Cell will autofill based on response",INDEX('ESG'!$M$10:$M$17,MATCH($F138,'ESG'!$B$10:$B$17,0))),"N/A")</f>
        <v/>
      </c>
      <c r="Q138" s="52">
        <f>IFERROR(IF(INDEX('CIOG'!$M$10:$M$14,MATCH($F138,'CIOG'!$B$10:$B$14,0))="","Cell will autofill based on response",INDEX('CIOG'!$M$10:$M$14,MATCH($F138,'CIOG'!$B$10:$B$14,0))),"N/A")</f>
        <v/>
      </c>
      <c r="R138" s="52">
        <f>IFERROR(IF(INDEX('MRE'!$M$10:$M$12,MATCH($F138,'MRE'!$B$10:$B$12,0))="","Cell will autofill based on response",INDEX('MRE'!$M$10:$M$12,MATCH($F138,'MRE'!$B$10:$B$12,0))),"N/A")</f>
        <v/>
      </c>
      <c r="S138" s="52">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2">
        <f>IFERROR(IF(INDEX('Faculties'!$N$10:$N$30,MATCH($F139,'Faculties'!$B$10:$B$30,0))="","Cell will autofill based on response",INDEX('Faculties'!$N$10:$N$30,MATCH($F139,'Faculties'!$B$10:$B$30,0))),"N/A")</f>
        <v/>
      </c>
      <c r="I139" s="52">
        <f>IFERROR(IF(INDEX('Faculties'!$N$37:$N$57,MATCH($F139,'Faculties'!$B$37:$B$57,0))="","Cell will autofill based on response",INDEX('Faculties'!$N$37:$N$57,MATCH($F139,'Faculties'!$B$37:$B$57,0))),"N/A")</f>
        <v/>
      </c>
      <c r="J139" s="52">
        <f>IFERROR(IF(INDEX('Faculties'!$N$64:$N$84,MATCH($F139,'Faculties'!$B$64:$B$84,0))="","Cell will autofill based on response",INDEX('Faculties'!$N$64:$N$84,MATCH($F139,'Faculties'!$B$64:$B$84,0))),"N/A")</f>
        <v/>
      </c>
      <c r="K139" s="52">
        <f>IFERROR(IF(INDEX('Faculties'!$N$91:$N$111,MATCH($F139,'Faculties'!$B$91:$B$111,0))="","Cell will autofill based on response",INDEX('Faculties'!$N$91:$N$111,MATCH($F139,'Faculties'!$B$91:$B$111,0))),"N/A")</f>
        <v/>
      </c>
      <c r="L139" s="52">
        <f>IFERROR(IF(INDEX('CI&amp;S'!$N$10:$N$15,MATCH($F139,'CI&amp;S'!$B$10:$B$15,0))="","Cell will autofill based on response",INDEX('CI&amp;S'!$N$10:$N$15,MATCH($F139,'CI&amp;S'!$B$10:$B$15,0))),"N/A")</f>
        <v/>
      </c>
      <c r="M139" s="52">
        <f>IFERROR(IF(INDEX('CI&amp;S'!$N$22:$N$39,MATCH($F139,'CI&amp;S'!$B$22:$B$39,0))="","Cell will autofill based on response",INDEX('CI&amp;S'!$N$22:$N$39,MATCH($F139,'CI&amp;S'!$B$22:$B$39,0))),"N/A")</f>
        <v/>
      </c>
      <c r="N139" s="52">
        <f>IFERROR(IF(INDEX('CFOG'!$N$10:$N$16,MATCH($F139,'CFOG'!$B$10:$B$16,0))="","Cell will autofill based on response",INDEX('CFOG'!$N$10:$N$16,MATCH($F139,'CFOG'!$B$10:$B$16,0))),"N/A")</f>
        <v/>
      </c>
      <c r="O139" s="52">
        <f>IFERROR(IF(INDEX('CFOG'!$N$23:$N$24,MATCH($F139,'CFOG'!$B$23:$B$24,0))="","Cell will autofill based on response",INDEX('CFOG'!$N$23:$N$24,MATCH($F139,'CFOG'!$B$23:$B$24,0))),"N/A")</f>
        <v/>
      </c>
      <c r="P139" s="52">
        <f>IFERROR(IF(INDEX('ESG'!$N$10:$N$17,MATCH($F139,'ESG'!$B$10:$B$17,0))="","Cell will autofill based on response",INDEX('ESG'!$N$10:$N$17,MATCH($F139,'ESG'!$B$10:$B$17,0))),"N/A")</f>
        <v/>
      </c>
      <c r="Q139" s="52">
        <f>IFERROR(IF(INDEX('CIOG'!$N$10:$N$14,MATCH($F139,'CIOG'!$B$10:$B$14,0))="","Cell will autofill based on response",INDEX('CIOG'!$N$10:$N$14,MATCH($F139,'CIOG'!$B$10:$B$14,0))),"N/A")</f>
        <v/>
      </c>
      <c r="R139" s="52">
        <f>IFERROR(IF(INDEX('MRE'!$N$10:$N$12,MATCH($F139,'MRE'!$B$10:$B$12,0))="","Cell will autofill based on response",INDEX('MRE'!$N$10:$N$12,MATCH($F139,'MRE'!$B$10:$B$12,0))),"N/A")</f>
        <v/>
      </c>
      <c r="S139" s="52">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2">
        <f>IFERROR(IF(INDEX('Faculties'!$O$10:$O$30,MATCH($F140,'Faculties'!$B$10:$B$30,0))="","Cell will autofill based on response",INDEX('Faculties'!$O$10:$O$30,MATCH($F140,'Faculties'!$B$10:$B$30,0))),"N/A")</f>
        <v/>
      </c>
      <c r="I140" s="52">
        <f>IFERROR(IF(INDEX('Faculties'!$O$37:$O$57,MATCH($F140,'Faculties'!$B$37:$B$57,0))="","Cell will autofill based on response",INDEX('Faculties'!$O$37:$O$57,MATCH($F140,'Faculties'!$B$37:$B$57,0))),"N/A")</f>
        <v/>
      </c>
      <c r="J140" s="52">
        <f>IFERROR(IF(INDEX('Faculties'!$O$64:$O$84,MATCH($F140,'Faculties'!$B$64:$B$84,0))="","Cell will autofill based on response",INDEX('Faculties'!$O$64:$O$84,MATCH($F140,'Faculties'!$B$64:$B$84,0))),"N/A")</f>
        <v/>
      </c>
      <c r="K140" s="52">
        <f>IFERROR(IF(INDEX('Faculties'!$O$91:$O$111,MATCH($F140,'Faculties'!$B$91:$B$111,0))="","Cell will autofill based on response",INDEX('Faculties'!$O$91:$O$111,MATCH($F140,'Faculties'!$B$91:$B$111,0))),"N/A")</f>
        <v/>
      </c>
      <c r="L140" s="52">
        <f>IFERROR(IF(INDEX('CI&amp;S'!$O$10:$O$15,MATCH($F140,'CI&amp;S'!$B$10:$B$15,0))="","Cell will autofill based on response",INDEX('CI&amp;S'!$O$10:$O$15,MATCH($F140,'CI&amp;S'!$B$10:$B$15,0))),"N/A")</f>
        <v/>
      </c>
      <c r="M140" s="52">
        <f>IFERROR(IF(INDEX('CI&amp;S'!$O$22:$O$39,MATCH($F140,'CI&amp;S'!$B$22:$B$39,0))="","Cell will autofill based on response",INDEX('CI&amp;S'!$O$22:$O$39,MATCH($F140,'CI&amp;S'!$B$22:$B$39,0))),"N/A")</f>
        <v/>
      </c>
      <c r="N140" s="52">
        <f>IFERROR(IF(INDEX('CFOG'!$O$10:$O$16,MATCH($F140,'CFOG'!$B$10:$B$16,0))="","Cell will autofill based on response",INDEX('CFOG'!$O$10:$O$16,MATCH($F140,'CFOG'!$B$10:$B$16,0))),"N/A")</f>
        <v/>
      </c>
      <c r="O140" s="52">
        <f>IFERROR(IF(INDEX('CFOG'!$O$23:$O$24,MATCH($F140,'CFOG'!$B$23:$B$24,0))="","Cell will autofill based on response",INDEX('CFOG'!$O$23:$O$24,MATCH($F140,'CFOG'!$B$23:$B$24,0))),"N/A")</f>
        <v/>
      </c>
      <c r="P140" s="52">
        <f>IFERROR(IF(INDEX('ESG'!$O$10:$O$17,MATCH($F140,'ESG'!$B$10:$B$17,0))="","Cell will autofill based on response",INDEX('ESG'!$O$10:$O$17,MATCH($F140,'ESG'!$B$10:$B$17,0))),"N/A")</f>
        <v/>
      </c>
      <c r="Q140" s="52">
        <f>IFERROR(IF(INDEX('CIOG'!$O$10:$O$14,MATCH($F140,'CIOG'!$B$10:$B$14,0))="","Cell will autofill based on response",INDEX('CIOG'!$O$10:$O$14,MATCH($F140,'CIOG'!$B$10:$B$14,0))),"N/A")</f>
        <v/>
      </c>
      <c r="R140" s="52">
        <f>IFERROR(IF(INDEX('MRE'!$O$10:$O$12,MATCH($F140,'MRE'!$B$10:$B$12,0))="","Cell will autofill based on response",INDEX('MRE'!$O$10:$O$12,MATCH($F140,'MRE'!$B$10:$B$12,0))),"N/A")</f>
        <v/>
      </c>
      <c r="S140" s="52">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2">
        <f>IFERROR(IF(INDEX('Faculties'!$P$10:$P$30,MATCH($F141,'Faculties'!$B$10:$B$30,0))="","Cell will autofill based on response",INDEX('Faculties'!$P$10:$P$30,MATCH($F141,'Faculties'!$B$10:$B$30,0))),"N/A")</f>
        <v/>
      </c>
      <c r="I141" s="52">
        <f>IFERROR(IF(INDEX('Faculties'!$P$37:$P$57,MATCH($F141,'Faculties'!$B$37:$B$57,0))="","Cell will autofill based on response",INDEX('Faculties'!$P$37:$P$57,MATCH($F141,'Faculties'!$B$37:$B$57,0))),"N/A")</f>
        <v/>
      </c>
      <c r="J141" s="52">
        <f>IFERROR(IF(INDEX('Faculties'!$P$64:$P$84,MATCH($F141,'Faculties'!$B$64:$B$84,0))="","Cell will autofill based on response",INDEX('Faculties'!$P$64:$P$84,MATCH($F141,'Faculties'!$B$64:$B$84,0))),"N/A")</f>
        <v/>
      </c>
      <c r="K141" s="52">
        <f>IFERROR(IF(INDEX('Faculties'!$P$91:$P$111,MATCH($F141,'Faculties'!$B$91:$B$111,0))="","Cell will autofill based on response",INDEX('Faculties'!$P$91:$P$111,MATCH($F141,'Faculties'!$B$91:$B$111,0))),"N/A")</f>
        <v/>
      </c>
      <c r="L141" s="52">
        <f>IFERROR(IF(INDEX('CI&amp;S'!$P$10:$P$15,MATCH($F141,'CI&amp;S'!$B$10:$B$15,0))="","Cell will autofill based on response",INDEX('CI&amp;S'!$P$10:$P$15,MATCH($F141,'CI&amp;S'!$B$10:$B$15,0))),"N/A")</f>
        <v/>
      </c>
      <c r="M141" s="52">
        <f>IFERROR(IF(INDEX('CI&amp;S'!$P$22:$P$39,MATCH($F141,'CI&amp;S'!$B$22:$B$39,0))="","Cell will autofill based on response",INDEX('CI&amp;S'!$P$22:$P$39,MATCH($F141,'CI&amp;S'!$B$22:$B$39,0))),"N/A")</f>
        <v/>
      </c>
      <c r="N141" s="52">
        <f>IFERROR(IF(INDEX('CFOG'!$P$10:$P$16,MATCH($F141,'CFOG'!$B$10:$B$16,0))="","Cell will autofill based on response",INDEX('CFOG'!$P$10:$P$16,MATCH($F141,'CFOG'!$B$10:$B$16,0))),"N/A")</f>
        <v/>
      </c>
      <c r="O141" s="52">
        <f>IFERROR(IF(INDEX('CFOG'!$P$23:$P$24,MATCH($F141,'CFOG'!$B$23:$B$24,0))="","Cell will autofill based on response",INDEX('CFOG'!$P$23:$P$24,MATCH($F141,'CFOG'!$B$23:$B$24,0))),"N/A")</f>
        <v/>
      </c>
      <c r="P141" s="52">
        <f>IFERROR(IF(INDEX('ESG'!$P$10:$P$17,MATCH($F141,'ESG'!$B$10:$B$17,0))="","Cell will autofill based on response",INDEX('ESG'!$P$10:$P$17,MATCH($F141,'ESG'!$B$10:$B$17,0))),"N/A")</f>
        <v/>
      </c>
      <c r="Q141" s="52">
        <f>IFERROR(IF(INDEX('CIOG'!$P$10:$P$14,MATCH($F141,'CIOG'!$B$10:$B$14,0))="","Cell will autofill based on response",INDEX('CIOG'!$P$10:$P$14,MATCH($F141,'CIOG'!$B$10:$B$14,0))),"N/A")</f>
        <v/>
      </c>
      <c r="R141" s="52">
        <f>IFERROR(IF(INDEX('MRE'!$P$10:$P$12,MATCH($F141,'MRE'!$B$10:$B$12,0))="","Cell will autofill based on response",INDEX('MRE'!$P$10:$P$12,MATCH($F141,'MRE'!$B$10:$B$12,0))),"N/A")</f>
        <v/>
      </c>
      <c r="S141" s="52">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2">
        <f>IFERROR(IF(INDEX('Faculties'!$Q$10:$Q$30,MATCH($F142,'Faculties'!$B$10:$B$30,0))="","Cell will autofill based on response",INDEX('Faculties'!$Q$10:$Q$30,MATCH($F142,'Faculties'!$B$10:$B$30,0))),"N/A")</f>
        <v/>
      </c>
      <c r="I142" s="52">
        <f>IFERROR(IF(INDEX('Faculties'!$Q$37:$Q$57,MATCH($F142,'Faculties'!$B$37:$B$57,0))="","Cell will autofill based on response",INDEX('Faculties'!$Q$37:$Q$57,MATCH($F142,'Faculties'!$B$37:$B$57,0))),"N/A")</f>
        <v/>
      </c>
      <c r="J142" s="52">
        <f>IFERROR(IF(INDEX('Faculties'!$Q$64:$Q$84,MATCH($F142,'Faculties'!$B$64:$B$84,0))="","Cell will autofill based on response",INDEX('Faculties'!$Q$64:$Q$84,MATCH($F142,'Faculties'!$B$64:$B$84,0))),"N/A")</f>
        <v/>
      </c>
      <c r="K142" s="52">
        <f>IFERROR(IF(INDEX('Faculties'!$Q$91:$Q$111,MATCH($F142,'Faculties'!$B$91:$B$111,0))="","Cell will autofill based on response",INDEX('Faculties'!$Q$91:$Q$111,MATCH($F142,'Faculties'!$B$91:$B$111,0))),"N/A")</f>
        <v/>
      </c>
      <c r="L142" s="52">
        <f>IFERROR(IF(INDEX('CI&amp;S'!$Q$10:$Q$15,MATCH($F142,'CI&amp;S'!$B$10:$B$15,0))="","Cell will autofill based on response",INDEX('CI&amp;S'!$Q$10:$Q$15,MATCH($F142,'CI&amp;S'!$B$10:$B$15,0))),"N/A")</f>
        <v/>
      </c>
      <c r="M142" s="52">
        <f>IFERROR(IF(INDEX('CI&amp;S'!$Q$22:$Q$39,MATCH($F142,'CI&amp;S'!$B$22:$B$39,0))="","Cell will autofill based on response",INDEX('CI&amp;S'!$Q$22:$Q$39,MATCH($F142,'CI&amp;S'!$B$22:$B$39,0))),"N/A")</f>
        <v/>
      </c>
      <c r="N142" s="52">
        <f>IFERROR(IF(INDEX('CFOG'!$Q$10:$Q$16,MATCH($F142,'CFOG'!$B$10:$B$16,0))="","Cell will autofill based on response",INDEX('CFOG'!$Q$10:$Q$16,MATCH($F142,'CFOG'!$B$10:$B$16,0))),"N/A")</f>
        <v/>
      </c>
      <c r="O142" s="52">
        <f>IFERROR(IF(INDEX('CFOG'!$Q$23:$Q$24,MATCH($F142,'CFOG'!$B$23:$B$24,0))="","Cell will autofill based on response",INDEX('CFOG'!$Q$23:$Q$24,MATCH($F142,'CFOG'!$B$23:$B$24,0))),"N/A")</f>
        <v/>
      </c>
      <c r="P142" s="52">
        <f>IFERROR(IF(INDEX('ESG'!$Q$10:$Q$17,MATCH($F142,'ESG'!$B$10:$B$17,0))="","Cell will autofill based on response",INDEX('ESG'!$Q$10:$Q$17,MATCH($F142,'ESG'!$B$10:$B$17,0))),"N/A")</f>
        <v/>
      </c>
      <c r="Q142" s="52">
        <f>IFERROR(IF(INDEX('CIOG'!$Q$10:$Q$14,MATCH($F142,'CIOG'!$B$10:$B$14,0))="","Cell will autofill based on response",INDEX('CIOG'!$Q$10:$Q$14,MATCH($F142,'CIOG'!$B$10:$B$14,0))),"N/A")</f>
        <v/>
      </c>
      <c r="R142" s="52">
        <f>IFERROR(IF(INDEX('MRE'!$Q$10:$Q$12,MATCH($F142,'MRE'!$B$10:$B$12,0))="","Cell will autofill based on response",INDEX('MRE'!$Q$10:$Q$12,MATCH($F142,'MRE'!$B$10:$B$12,0))),"N/A")</f>
        <v/>
      </c>
      <c r="S142" s="52">
        <f>IFERROR(IF(INDEX('L&amp;R'!$Q$10:$Q$11,MATCH($F142,'L&amp;R'!$B$10:$B$11,0))="","Cell will autofill based on response",INDEX('L&amp;R'!$Q$10:$Q$11,MATCH($F142,'L&amp;R'!$B$10:$B$11,0))),"N/A")</f>
        <v/>
      </c>
    </row>
    <row r="143">
      <c r="A143">
        <f>F143&amp;"|"&amp;G143</f>
        <v/>
      </c>
      <c r="B143" s="7" t="inlineStr">
        <is>
          <t>NB2(a)</t>
        </is>
      </c>
      <c r="C143" s="50" t="inlineStr">
        <is>
          <t>Nature and biodiversity</t>
        </is>
      </c>
      <c r="D143" s="50" t="inlineStr">
        <is>
          <t>Documented baseline nature footprint analysis</t>
        </is>
      </c>
      <c r="E143" s="50" t="inlineStr">
        <is>
          <t>Impact Encore Measurement</t>
        </is>
      </c>
      <c r="F143" s="50" t="inlineStr">
        <is>
          <t>NB2(a)</t>
        </is>
      </c>
      <c r="G143" s="50" t="inlineStr">
        <is>
          <t>Confirm end-2026 target status</t>
        </is>
      </c>
      <c r="H143" s="52">
        <f>IFERROR(IF(INDEX('Faculties'!$L$10:$L$30,MATCH($F143,'Faculties'!$B$10:$B$30,0))="","Cell will autofill based on response",INDEX('Faculties'!$L$10:$L$30,MATCH($F143,'Faculties'!$B$10:$B$30,0))),"N/A")</f>
        <v/>
      </c>
      <c r="I143" s="52">
        <f>IFERROR(IF(INDEX('Faculties'!$L$37:$L$57,MATCH($F143,'Faculties'!$B$37:$B$57,0))="","Cell will autofill based on response",INDEX('Faculties'!$L$37:$L$57,MATCH($F143,'Faculties'!$B$37:$B$57,0))),"N/A")</f>
        <v/>
      </c>
      <c r="J143" s="52">
        <f>IFERROR(IF(INDEX('Faculties'!$L$64:$L$84,MATCH($F143,'Faculties'!$B$64:$B$84,0))="","Cell will autofill based on response",INDEX('Faculties'!$L$64:$L$84,MATCH($F143,'Faculties'!$B$64:$B$84,0))),"N/A")</f>
        <v/>
      </c>
      <c r="K143" s="52">
        <f>IFERROR(IF(INDEX('Faculties'!$L$91:$L$111,MATCH($F143,'Faculties'!$B$91:$B$111,0))="","Cell will autofill based on response",INDEX('Faculties'!$L$91:$L$111,MATCH($F143,'Faculties'!$B$91:$B$111,0))),"N/A")</f>
        <v/>
      </c>
      <c r="L143" s="52">
        <f>IFERROR(IF(INDEX('CI&amp;S'!$L$10:$L$15,MATCH($F143,'CI&amp;S'!$B$10:$B$15,0))="","Cell will autofill based on response",INDEX('CI&amp;S'!$L$10:$L$15,MATCH($F143,'CI&amp;S'!$B$10:$B$15,0))),"N/A")</f>
        <v/>
      </c>
      <c r="M143" s="52">
        <f>IFERROR(IF(INDEX('CI&amp;S'!$L$22:$L$39,MATCH($F143,'CI&amp;S'!$B$22:$B$39,0))="","Cell will autofill based on response",INDEX('CI&amp;S'!$L$22:$L$39,MATCH($F143,'CI&amp;S'!$B$22:$B$39,0))),"N/A")</f>
        <v/>
      </c>
      <c r="N143" s="52">
        <f>IFERROR(IF(INDEX('CFOG'!$L$10:$L$16,MATCH($F143,'CFOG'!$B$10:$B$16,0))="","Cell will autofill based on response",INDEX('CFOG'!$L$10:$L$16,MATCH($F143,'CFOG'!$B$10:$B$16,0))),"N/A")</f>
        <v/>
      </c>
      <c r="O143" s="52">
        <f>IFERROR(IF(INDEX('CFOG'!$L$23:$L$24,MATCH($F143,'CFOG'!$B$23:$B$24,0))="","Cell will autofill based on response",INDEX('CFOG'!$L$23:$L$24,MATCH($F143,'CFOG'!$B$23:$B$24,0))),"N/A")</f>
        <v/>
      </c>
      <c r="P143" s="52">
        <f>IFERROR(IF(INDEX('ESG'!$L$10:$L$17,MATCH($F143,'ESG'!$B$10:$B$17,0))="","Cell will autofill based on response",INDEX('ESG'!$L$10:$L$17,MATCH($F143,'ESG'!$B$10:$B$17,0))),"N/A")</f>
        <v/>
      </c>
      <c r="Q143" s="52">
        <f>IFERROR(IF(INDEX('CIOG'!$L$10:$L$14,MATCH($F143,'CIOG'!$B$10:$B$14,0))="","Cell will autofill based on response",INDEX('CIOG'!$L$10:$L$14,MATCH($F143,'CIOG'!$B$10:$B$14,0))),"N/A")</f>
        <v/>
      </c>
      <c r="R143" s="52">
        <f>IFERROR(IF(INDEX('MRE'!$L$10:$L$12,MATCH($F143,'MRE'!$B$10:$B$12,0))="","Cell will autofill based on response",INDEX('MRE'!$L$10:$L$12,MATCH($F143,'MRE'!$B$10:$B$12,0))),"N/A")</f>
        <v/>
      </c>
      <c r="S143" s="52">
        <f>IFERROR(IF(INDEX('L&amp;R'!$L$10:$L$11,MATCH($F143,'L&amp;R'!$B$10:$B$11,0))="","Cell will autofill based on response",INDEX('L&amp;R'!$L$10:$L$11,MATCH($F143,'L&amp;R'!$B$10:$B$11,0))),"N/A")</f>
        <v/>
      </c>
      <c r="U143" s="10">
        <f>COUNTIF($H143:$S143,"Cell will autofill based on response")</f>
        <v/>
      </c>
      <c r="V143" s="10">
        <f>COUNTIF($H143:$S143,"Not yet started")</f>
        <v/>
      </c>
      <c r="W143" s="10">
        <f>COUNTIF($H143:$S143,"Not met")</f>
        <v/>
      </c>
      <c r="X143" s="10">
        <f>COUNTIF($H143:$S143,"Partially met")</f>
        <v/>
      </c>
      <c r="Y143" s="10">
        <f>COUNTIF($H143:$S143,"Met or exceeded")</f>
        <v/>
      </c>
      <c r="Z143" s="10">
        <f>3*Y143+2*X143+W143</f>
        <v/>
      </c>
      <c r="AA143" s="10">
        <f>Y143+X143+W143+V143</f>
        <v/>
      </c>
      <c r="AB143" s="53">
        <f>IF(AA143&gt;0,Z143/AA143,"No valid responses to date")</f>
        <v/>
      </c>
      <c r="AC143" s="10">
        <f>IF(ISNUMBER(AB143),INDEX(Lists!$G$2:$G$5,MATCH(ROUND(AB143,0),Lists!$H$2:$H$5,0)),"")</f>
        <v/>
      </c>
      <c r="AD143" s="54">
        <f>IF(AA143&gt;0,Y143/AA143,"")</f>
        <v/>
      </c>
      <c r="AE143" s="54">
        <f>IF(AA143&gt;0,(Y143+X143)/AA143,"")</f>
        <v/>
      </c>
      <c r="AF143" s="10">
        <f>IF(AA143=0,"",IF(AD143&gt;0.75,"Met or exceeded",IF(AE143&gt;=0.5,"Partially met","Not met")))</f>
        <v/>
      </c>
    </row>
    <row r="144">
      <c r="A144">
        <f>F144&amp;"|"&amp;G144</f>
        <v/>
      </c>
      <c r="B144" s="13" t="inlineStr"/>
      <c r="C144" s="8" t="inlineStr"/>
      <c r="D144" s="8" t="inlineStr"/>
      <c r="E144" s="8" t="inlineStr"/>
      <c r="F144" s="8" t="inlineStr">
        <is>
          <t>NB2(a)</t>
        </is>
      </c>
      <c r="G144" s="8" t="inlineStr">
        <is>
          <t>OPTION 1:  Target-level reporting</t>
        </is>
      </c>
      <c r="H144" s="52">
        <f>IFERROR(IF(INDEX('Faculties'!$M$10:$M$30,MATCH($F144,'Faculties'!$B$10:$B$30,0))="","Cell will autofill based on response",INDEX('Faculties'!$M$10:$M$30,MATCH($F144,'Faculties'!$B$10:$B$30,0))),"N/A")</f>
        <v/>
      </c>
      <c r="I144" s="52">
        <f>IFERROR(IF(INDEX('Faculties'!$M$37:$M$57,MATCH($F144,'Faculties'!$B$37:$B$57,0))="","Cell will autofill based on response",INDEX('Faculties'!$M$37:$M$57,MATCH($F144,'Faculties'!$B$37:$B$57,0))),"N/A")</f>
        <v/>
      </c>
      <c r="J144" s="52">
        <f>IFERROR(IF(INDEX('Faculties'!$M$64:$M$84,MATCH($F144,'Faculties'!$B$64:$B$84,0))="","Cell will autofill based on response",INDEX('Faculties'!$M$64:$M$84,MATCH($F144,'Faculties'!$B$64:$B$84,0))),"N/A")</f>
        <v/>
      </c>
      <c r="K144" s="52">
        <f>IFERROR(IF(INDEX('Faculties'!$M$91:$M$111,MATCH($F144,'Faculties'!$B$91:$B$111,0))="","Cell will autofill based on response",INDEX('Faculties'!$M$91:$M$111,MATCH($F144,'Faculties'!$B$91:$B$111,0))),"N/A")</f>
        <v/>
      </c>
      <c r="L144" s="52">
        <f>IFERROR(IF(INDEX('CI&amp;S'!$M$10:$M$15,MATCH($F144,'CI&amp;S'!$B$10:$B$15,0))="","Cell will autofill based on response",INDEX('CI&amp;S'!$M$10:$M$15,MATCH($F144,'CI&amp;S'!$B$10:$B$15,0))),"N/A")</f>
        <v/>
      </c>
      <c r="M144" s="52">
        <f>IFERROR(IF(INDEX('CI&amp;S'!$M$22:$M$39,MATCH($F144,'CI&amp;S'!$B$22:$B$39,0))="","Cell will autofill based on response",INDEX('CI&amp;S'!$M$22:$M$39,MATCH($F144,'CI&amp;S'!$B$22:$B$39,0))),"N/A")</f>
        <v/>
      </c>
      <c r="N144" s="52">
        <f>IFERROR(IF(INDEX('CFOG'!$M$10:$M$16,MATCH($F144,'CFOG'!$B$10:$B$16,0))="","Cell will autofill based on response",INDEX('CFOG'!$M$10:$M$16,MATCH($F144,'CFOG'!$B$10:$B$16,0))),"N/A")</f>
        <v/>
      </c>
      <c r="O144" s="52">
        <f>IFERROR(IF(INDEX('CFOG'!$M$23:$M$24,MATCH($F144,'CFOG'!$B$23:$B$24,0))="","Cell will autofill based on response",INDEX('CFOG'!$M$23:$M$24,MATCH($F144,'CFOG'!$B$23:$B$24,0))),"N/A")</f>
        <v/>
      </c>
      <c r="P144" s="52">
        <f>IFERROR(IF(INDEX('ESG'!$M$10:$M$17,MATCH($F144,'ESG'!$B$10:$B$17,0))="","Cell will autofill based on response",INDEX('ESG'!$M$10:$M$17,MATCH($F144,'ESG'!$B$10:$B$17,0))),"N/A")</f>
        <v/>
      </c>
      <c r="Q144" s="52">
        <f>IFERROR(IF(INDEX('CIOG'!$M$10:$M$14,MATCH($F144,'CIOG'!$B$10:$B$14,0))="","Cell will autofill based on response",INDEX('CIOG'!$M$10:$M$14,MATCH($F144,'CIOG'!$B$10:$B$14,0))),"N/A")</f>
        <v/>
      </c>
      <c r="R144" s="52">
        <f>IFERROR(IF(INDEX('MRE'!$M$10:$M$12,MATCH($F144,'MRE'!$B$10:$B$12,0))="","Cell will autofill based on response",INDEX('MRE'!$M$10:$M$12,MATCH($F144,'MRE'!$B$10:$B$12,0))),"N/A")</f>
        <v/>
      </c>
      <c r="S144" s="52">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2">
        <f>IFERROR(IF(INDEX('Faculties'!$N$10:$N$30,MATCH($F145,'Faculties'!$B$10:$B$30,0))="","Cell will autofill based on response",INDEX('Faculties'!$N$10:$N$30,MATCH($F145,'Faculties'!$B$10:$B$30,0))),"N/A")</f>
        <v/>
      </c>
      <c r="I145" s="52">
        <f>IFERROR(IF(INDEX('Faculties'!$N$37:$N$57,MATCH($F145,'Faculties'!$B$37:$B$57,0))="","Cell will autofill based on response",INDEX('Faculties'!$N$37:$N$57,MATCH($F145,'Faculties'!$B$37:$B$57,0))),"N/A")</f>
        <v/>
      </c>
      <c r="J145" s="52">
        <f>IFERROR(IF(INDEX('Faculties'!$N$64:$N$84,MATCH($F145,'Faculties'!$B$64:$B$84,0))="","Cell will autofill based on response",INDEX('Faculties'!$N$64:$N$84,MATCH($F145,'Faculties'!$B$64:$B$84,0))),"N/A")</f>
        <v/>
      </c>
      <c r="K145" s="52">
        <f>IFERROR(IF(INDEX('Faculties'!$N$91:$N$111,MATCH($F145,'Faculties'!$B$91:$B$111,0))="","Cell will autofill based on response",INDEX('Faculties'!$N$91:$N$111,MATCH($F145,'Faculties'!$B$91:$B$111,0))),"N/A")</f>
        <v/>
      </c>
      <c r="L145" s="52">
        <f>IFERROR(IF(INDEX('CI&amp;S'!$N$10:$N$15,MATCH($F145,'CI&amp;S'!$B$10:$B$15,0))="","Cell will autofill based on response",INDEX('CI&amp;S'!$N$10:$N$15,MATCH($F145,'CI&amp;S'!$B$10:$B$15,0))),"N/A")</f>
        <v/>
      </c>
      <c r="M145" s="52">
        <f>IFERROR(IF(INDEX('CI&amp;S'!$N$22:$N$39,MATCH($F145,'CI&amp;S'!$B$22:$B$39,0))="","Cell will autofill based on response",INDEX('CI&amp;S'!$N$22:$N$39,MATCH($F145,'CI&amp;S'!$B$22:$B$39,0))),"N/A")</f>
        <v/>
      </c>
      <c r="N145" s="52">
        <f>IFERROR(IF(INDEX('CFOG'!$N$10:$N$16,MATCH($F145,'CFOG'!$B$10:$B$16,0))="","Cell will autofill based on response",INDEX('CFOG'!$N$10:$N$16,MATCH($F145,'CFOG'!$B$10:$B$16,0))),"N/A")</f>
        <v/>
      </c>
      <c r="O145" s="52">
        <f>IFERROR(IF(INDEX('CFOG'!$N$23:$N$24,MATCH($F145,'CFOG'!$B$23:$B$24,0))="","Cell will autofill based on response",INDEX('CFOG'!$N$23:$N$24,MATCH($F145,'CFOG'!$B$23:$B$24,0))),"N/A")</f>
        <v/>
      </c>
      <c r="P145" s="52">
        <f>IFERROR(IF(INDEX('ESG'!$N$10:$N$17,MATCH($F145,'ESG'!$B$10:$B$17,0))="","Cell will autofill based on response",INDEX('ESG'!$N$10:$N$17,MATCH($F145,'ESG'!$B$10:$B$17,0))),"N/A")</f>
        <v/>
      </c>
      <c r="Q145" s="52">
        <f>IFERROR(IF(INDEX('CIOG'!$N$10:$N$14,MATCH($F145,'CIOG'!$B$10:$B$14,0))="","Cell will autofill based on response",INDEX('CIOG'!$N$10:$N$14,MATCH($F145,'CIOG'!$B$10:$B$14,0))),"N/A")</f>
        <v/>
      </c>
      <c r="R145" s="52">
        <f>IFERROR(IF(INDEX('MRE'!$N$10:$N$12,MATCH($F145,'MRE'!$B$10:$B$12,0))="","Cell will autofill based on response",INDEX('MRE'!$N$10:$N$12,MATCH($F145,'MRE'!$B$10:$B$12,0))),"N/A")</f>
        <v/>
      </c>
      <c r="S145" s="52">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2">
        <f>IFERROR(IF(INDEX('Faculties'!$O$10:$O$30,MATCH($F146,'Faculties'!$B$10:$B$30,0))="","Cell will autofill based on response",INDEX('Faculties'!$O$10:$O$30,MATCH($F146,'Faculties'!$B$10:$B$30,0))),"N/A")</f>
        <v/>
      </c>
      <c r="I146" s="52">
        <f>IFERROR(IF(INDEX('Faculties'!$O$37:$O$57,MATCH($F146,'Faculties'!$B$37:$B$57,0))="","Cell will autofill based on response",INDEX('Faculties'!$O$37:$O$57,MATCH($F146,'Faculties'!$B$37:$B$57,0))),"N/A")</f>
        <v/>
      </c>
      <c r="J146" s="52">
        <f>IFERROR(IF(INDEX('Faculties'!$O$64:$O$84,MATCH($F146,'Faculties'!$B$64:$B$84,0))="","Cell will autofill based on response",INDEX('Faculties'!$O$64:$O$84,MATCH($F146,'Faculties'!$B$64:$B$84,0))),"N/A")</f>
        <v/>
      </c>
      <c r="K146" s="52">
        <f>IFERROR(IF(INDEX('Faculties'!$O$91:$O$111,MATCH($F146,'Faculties'!$B$91:$B$111,0))="","Cell will autofill based on response",INDEX('Faculties'!$O$91:$O$111,MATCH($F146,'Faculties'!$B$91:$B$111,0))),"N/A")</f>
        <v/>
      </c>
      <c r="L146" s="52">
        <f>IFERROR(IF(INDEX('CI&amp;S'!$O$10:$O$15,MATCH($F146,'CI&amp;S'!$B$10:$B$15,0))="","Cell will autofill based on response",INDEX('CI&amp;S'!$O$10:$O$15,MATCH($F146,'CI&amp;S'!$B$10:$B$15,0))),"N/A")</f>
        <v/>
      </c>
      <c r="M146" s="52">
        <f>IFERROR(IF(INDEX('CI&amp;S'!$O$22:$O$39,MATCH($F146,'CI&amp;S'!$B$22:$B$39,0))="","Cell will autofill based on response",INDEX('CI&amp;S'!$O$22:$O$39,MATCH($F146,'CI&amp;S'!$B$22:$B$39,0))),"N/A")</f>
        <v/>
      </c>
      <c r="N146" s="52">
        <f>IFERROR(IF(INDEX('CFOG'!$O$10:$O$16,MATCH($F146,'CFOG'!$B$10:$B$16,0))="","Cell will autofill based on response",INDEX('CFOG'!$O$10:$O$16,MATCH($F146,'CFOG'!$B$10:$B$16,0))),"N/A")</f>
        <v/>
      </c>
      <c r="O146" s="52">
        <f>IFERROR(IF(INDEX('CFOG'!$O$23:$O$24,MATCH($F146,'CFOG'!$B$23:$B$24,0))="","Cell will autofill based on response",INDEX('CFOG'!$O$23:$O$24,MATCH($F146,'CFOG'!$B$23:$B$24,0))),"N/A")</f>
        <v/>
      </c>
      <c r="P146" s="52">
        <f>IFERROR(IF(INDEX('ESG'!$O$10:$O$17,MATCH($F146,'ESG'!$B$10:$B$17,0))="","Cell will autofill based on response",INDEX('ESG'!$O$10:$O$17,MATCH($F146,'ESG'!$B$10:$B$17,0))),"N/A")</f>
        <v/>
      </c>
      <c r="Q146" s="52">
        <f>IFERROR(IF(INDEX('CIOG'!$O$10:$O$14,MATCH($F146,'CIOG'!$B$10:$B$14,0))="","Cell will autofill based on response",INDEX('CIOG'!$O$10:$O$14,MATCH($F146,'CIOG'!$B$10:$B$14,0))),"N/A")</f>
        <v/>
      </c>
      <c r="R146" s="52">
        <f>IFERROR(IF(INDEX('MRE'!$O$10:$O$12,MATCH($F146,'MRE'!$B$10:$B$12,0))="","Cell will autofill based on response",INDEX('MRE'!$O$10:$O$12,MATCH($F146,'MRE'!$B$10:$B$12,0))),"N/A")</f>
        <v/>
      </c>
      <c r="S146" s="52">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2">
        <f>IFERROR(IF(INDEX('Faculties'!$P$10:$P$30,MATCH($F147,'Faculties'!$B$10:$B$30,0))="","Cell will autofill based on response",INDEX('Faculties'!$P$10:$P$30,MATCH($F147,'Faculties'!$B$10:$B$30,0))),"N/A")</f>
        <v/>
      </c>
      <c r="I147" s="52">
        <f>IFERROR(IF(INDEX('Faculties'!$P$37:$P$57,MATCH($F147,'Faculties'!$B$37:$B$57,0))="","Cell will autofill based on response",INDEX('Faculties'!$P$37:$P$57,MATCH($F147,'Faculties'!$B$37:$B$57,0))),"N/A")</f>
        <v/>
      </c>
      <c r="J147" s="52">
        <f>IFERROR(IF(INDEX('Faculties'!$P$64:$P$84,MATCH($F147,'Faculties'!$B$64:$B$84,0))="","Cell will autofill based on response",INDEX('Faculties'!$P$64:$P$84,MATCH($F147,'Faculties'!$B$64:$B$84,0))),"N/A")</f>
        <v/>
      </c>
      <c r="K147" s="52">
        <f>IFERROR(IF(INDEX('Faculties'!$P$91:$P$111,MATCH($F147,'Faculties'!$B$91:$B$111,0))="","Cell will autofill based on response",INDEX('Faculties'!$P$91:$P$111,MATCH($F147,'Faculties'!$B$91:$B$111,0))),"N/A")</f>
        <v/>
      </c>
      <c r="L147" s="52">
        <f>IFERROR(IF(INDEX('CI&amp;S'!$P$10:$P$15,MATCH($F147,'CI&amp;S'!$B$10:$B$15,0))="","Cell will autofill based on response",INDEX('CI&amp;S'!$P$10:$P$15,MATCH($F147,'CI&amp;S'!$B$10:$B$15,0))),"N/A")</f>
        <v/>
      </c>
      <c r="M147" s="52">
        <f>IFERROR(IF(INDEX('CI&amp;S'!$P$22:$P$39,MATCH($F147,'CI&amp;S'!$B$22:$B$39,0))="","Cell will autofill based on response",INDEX('CI&amp;S'!$P$22:$P$39,MATCH($F147,'CI&amp;S'!$B$22:$B$39,0))),"N/A")</f>
        <v/>
      </c>
      <c r="N147" s="52">
        <f>IFERROR(IF(INDEX('CFOG'!$P$10:$P$16,MATCH($F147,'CFOG'!$B$10:$B$16,0))="","Cell will autofill based on response",INDEX('CFOG'!$P$10:$P$16,MATCH($F147,'CFOG'!$B$10:$B$16,0))),"N/A")</f>
        <v/>
      </c>
      <c r="O147" s="52">
        <f>IFERROR(IF(INDEX('CFOG'!$P$23:$P$24,MATCH($F147,'CFOG'!$B$23:$B$24,0))="","Cell will autofill based on response",INDEX('CFOG'!$P$23:$P$24,MATCH($F147,'CFOG'!$B$23:$B$24,0))),"N/A")</f>
        <v/>
      </c>
      <c r="P147" s="52">
        <f>IFERROR(IF(INDEX('ESG'!$P$10:$P$17,MATCH($F147,'ESG'!$B$10:$B$17,0))="","Cell will autofill based on response",INDEX('ESG'!$P$10:$P$17,MATCH($F147,'ESG'!$B$10:$B$17,0))),"N/A")</f>
        <v/>
      </c>
      <c r="Q147" s="52">
        <f>IFERROR(IF(INDEX('CIOG'!$P$10:$P$14,MATCH($F147,'CIOG'!$B$10:$B$14,0))="","Cell will autofill based on response",INDEX('CIOG'!$P$10:$P$14,MATCH($F147,'CIOG'!$B$10:$B$14,0))),"N/A")</f>
        <v/>
      </c>
      <c r="R147" s="52">
        <f>IFERROR(IF(INDEX('MRE'!$P$10:$P$12,MATCH($F147,'MRE'!$B$10:$B$12,0))="","Cell will autofill based on response",INDEX('MRE'!$P$10:$P$12,MATCH($F147,'MRE'!$B$10:$B$12,0))),"N/A")</f>
        <v/>
      </c>
      <c r="S147" s="52">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2">
        <f>IFERROR(IF(INDEX('Faculties'!$Q$10:$Q$30,MATCH($F148,'Faculties'!$B$10:$B$30,0))="","Cell will autofill based on response",INDEX('Faculties'!$Q$10:$Q$30,MATCH($F148,'Faculties'!$B$10:$B$30,0))),"N/A")</f>
        <v/>
      </c>
      <c r="I148" s="52">
        <f>IFERROR(IF(INDEX('Faculties'!$Q$37:$Q$57,MATCH($F148,'Faculties'!$B$37:$B$57,0))="","Cell will autofill based on response",INDEX('Faculties'!$Q$37:$Q$57,MATCH($F148,'Faculties'!$B$37:$B$57,0))),"N/A")</f>
        <v/>
      </c>
      <c r="J148" s="52">
        <f>IFERROR(IF(INDEX('Faculties'!$Q$64:$Q$84,MATCH($F148,'Faculties'!$B$64:$B$84,0))="","Cell will autofill based on response",INDEX('Faculties'!$Q$64:$Q$84,MATCH($F148,'Faculties'!$B$64:$B$84,0))),"N/A")</f>
        <v/>
      </c>
      <c r="K148" s="52">
        <f>IFERROR(IF(INDEX('Faculties'!$Q$91:$Q$111,MATCH($F148,'Faculties'!$B$91:$B$111,0))="","Cell will autofill based on response",INDEX('Faculties'!$Q$91:$Q$111,MATCH($F148,'Faculties'!$B$91:$B$111,0))),"N/A")</f>
        <v/>
      </c>
      <c r="L148" s="52">
        <f>IFERROR(IF(INDEX('CI&amp;S'!$Q$10:$Q$15,MATCH($F148,'CI&amp;S'!$B$10:$B$15,0))="","Cell will autofill based on response",INDEX('CI&amp;S'!$Q$10:$Q$15,MATCH($F148,'CI&amp;S'!$B$10:$B$15,0))),"N/A")</f>
        <v/>
      </c>
      <c r="M148" s="52">
        <f>IFERROR(IF(INDEX('CI&amp;S'!$Q$22:$Q$39,MATCH($F148,'CI&amp;S'!$B$22:$B$39,0))="","Cell will autofill based on response",INDEX('CI&amp;S'!$Q$22:$Q$39,MATCH($F148,'CI&amp;S'!$B$22:$B$39,0))),"N/A")</f>
        <v/>
      </c>
      <c r="N148" s="52">
        <f>IFERROR(IF(INDEX('CFOG'!$Q$10:$Q$16,MATCH($F148,'CFOG'!$B$10:$B$16,0))="","Cell will autofill based on response",INDEX('CFOG'!$Q$10:$Q$16,MATCH($F148,'CFOG'!$B$10:$B$16,0))),"N/A")</f>
        <v/>
      </c>
      <c r="O148" s="52">
        <f>IFERROR(IF(INDEX('CFOG'!$Q$23:$Q$24,MATCH($F148,'CFOG'!$B$23:$B$24,0))="","Cell will autofill based on response",INDEX('CFOG'!$Q$23:$Q$24,MATCH($F148,'CFOG'!$B$23:$B$24,0))),"N/A")</f>
        <v/>
      </c>
      <c r="P148" s="52">
        <f>IFERROR(IF(INDEX('ESG'!$Q$10:$Q$17,MATCH($F148,'ESG'!$B$10:$B$17,0))="","Cell will autofill based on response",INDEX('ESG'!$Q$10:$Q$17,MATCH($F148,'ESG'!$B$10:$B$17,0))),"N/A")</f>
        <v/>
      </c>
      <c r="Q148" s="52">
        <f>IFERROR(IF(INDEX('CIOG'!$Q$10:$Q$14,MATCH($F148,'CIOG'!$B$10:$B$14,0))="","Cell will autofill based on response",INDEX('CIOG'!$Q$10:$Q$14,MATCH($F148,'CIOG'!$B$10:$B$14,0))),"N/A")</f>
        <v/>
      </c>
      <c r="R148" s="52">
        <f>IFERROR(IF(INDEX('MRE'!$Q$10:$Q$12,MATCH($F148,'MRE'!$B$10:$B$12,0))="","Cell will autofill based on response",INDEX('MRE'!$Q$10:$Q$12,MATCH($F148,'MRE'!$B$10:$B$12,0))),"N/A")</f>
        <v/>
      </c>
      <c r="S148" s="52">
        <f>IFERROR(IF(INDEX('L&amp;R'!$Q$10:$Q$11,MATCH($F148,'L&amp;R'!$B$10:$B$11,0))="","Cell will autofill based on response",INDEX('L&amp;R'!$Q$10:$Q$11,MATCH($F148,'L&amp;R'!$B$10:$B$11,0))),"N/A")</f>
        <v/>
      </c>
    </row>
    <row r="149">
      <c r="A149">
        <f>F149&amp;"|"&amp;G149</f>
        <v/>
      </c>
      <c r="B149" s="7" t="inlineStr">
        <is>
          <t>NB2(b)</t>
        </is>
      </c>
      <c r="C149" s="50" t="inlineStr">
        <is>
          <t>Nature and biodiversity</t>
        </is>
      </c>
      <c r="D149" s="50" t="inlineStr">
        <is>
          <t>Evidence of established framework to monitor and track supply-chain nature impacts over time</t>
        </is>
      </c>
      <c r="E149" s="50" t="inlineStr">
        <is>
          <t>Please describe the framework established to monitor and track supply-chain impacts on nature over time, could include metrics, data sources, governance/ownership, reporting frequency and current implementation status.</t>
        </is>
      </c>
      <c r="F149" s="50" t="inlineStr">
        <is>
          <t>NB2(b)</t>
        </is>
      </c>
      <c r="G149" s="50" t="inlineStr">
        <is>
          <t>Confirm end-2026 target status</t>
        </is>
      </c>
      <c r="H149" s="52">
        <f>IFERROR(IF(INDEX('Faculties'!$L$10:$L$30,MATCH($F149,'Faculties'!$B$10:$B$30,0))="","Cell will autofill based on response",INDEX('Faculties'!$L$10:$L$30,MATCH($F149,'Faculties'!$B$10:$B$30,0))),"N/A")</f>
        <v/>
      </c>
      <c r="I149" s="52">
        <f>IFERROR(IF(INDEX('Faculties'!$L$37:$L$57,MATCH($F149,'Faculties'!$B$37:$B$57,0))="","Cell will autofill based on response",INDEX('Faculties'!$L$37:$L$57,MATCH($F149,'Faculties'!$B$37:$B$57,0))),"N/A")</f>
        <v/>
      </c>
      <c r="J149" s="52">
        <f>IFERROR(IF(INDEX('Faculties'!$L$64:$L$84,MATCH($F149,'Faculties'!$B$64:$B$84,0))="","Cell will autofill based on response",INDEX('Faculties'!$L$64:$L$84,MATCH($F149,'Faculties'!$B$64:$B$84,0))),"N/A")</f>
        <v/>
      </c>
      <c r="K149" s="52">
        <f>IFERROR(IF(INDEX('Faculties'!$L$91:$L$111,MATCH($F149,'Faculties'!$B$91:$B$111,0))="","Cell will autofill based on response",INDEX('Faculties'!$L$91:$L$111,MATCH($F149,'Faculties'!$B$91:$B$111,0))),"N/A")</f>
        <v/>
      </c>
      <c r="L149" s="52">
        <f>IFERROR(IF(INDEX('CI&amp;S'!$L$10:$L$15,MATCH($F149,'CI&amp;S'!$B$10:$B$15,0))="","Cell will autofill based on response",INDEX('CI&amp;S'!$L$10:$L$15,MATCH($F149,'CI&amp;S'!$B$10:$B$15,0))),"N/A")</f>
        <v/>
      </c>
      <c r="M149" s="52">
        <f>IFERROR(IF(INDEX('CI&amp;S'!$L$22:$L$39,MATCH($F149,'CI&amp;S'!$B$22:$B$39,0))="","Cell will autofill based on response",INDEX('CI&amp;S'!$L$22:$L$39,MATCH($F149,'CI&amp;S'!$B$22:$B$39,0))),"N/A")</f>
        <v/>
      </c>
      <c r="N149" s="52">
        <f>IFERROR(IF(INDEX('CFOG'!$L$10:$L$16,MATCH($F149,'CFOG'!$B$10:$B$16,0))="","Cell will autofill based on response",INDEX('CFOG'!$L$10:$L$16,MATCH($F149,'CFOG'!$B$10:$B$16,0))),"N/A")</f>
        <v/>
      </c>
      <c r="O149" s="52">
        <f>IFERROR(IF(INDEX('CFOG'!$L$23:$L$24,MATCH($F149,'CFOG'!$B$23:$B$24,0))="","Cell will autofill based on response",INDEX('CFOG'!$L$23:$L$24,MATCH($F149,'CFOG'!$B$23:$B$24,0))),"N/A")</f>
        <v/>
      </c>
      <c r="P149" s="52">
        <f>IFERROR(IF(INDEX('ESG'!$L$10:$L$17,MATCH($F149,'ESG'!$B$10:$B$17,0))="","Cell will autofill based on response",INDEX('ESG'!$L$10:$L$17,MATCH($F149,'ESG'!$B$10:$B$17,0))),"N/A")</f>
        <v/>
      </c>
      <c r="Q149" s="52">
        <f>IFERROR(IF(INDEX('CIOG'!$L$10:$L$14,MATCH($F149,'CIOG'!$B$10:$B$14,0))="","Cell will autofill based on response",INDEX('CIOG'!$L$10:$L$14,MATCH($F149,'CIOG'!$B$10:$B$14,0))),"N/A")</f>
        <v/>
      </c>
      <c r="R149" s="52">
        <f>IFERROR(IF(INDEX('MRE'!$L$10:$L$12,MATCH($F149,'MRE'!$B$10:$B$12,0))="","Cell will autofill based on response",INDEX('MRE'!$L$10:$L$12,MATCH($F149,'MRE'!$B$10:$B$12,0))),"N/A")</f>
        <v/>
      </c>
      <c r="S149" s="52">
        <f>IFERROR(IF(INDEX('L&amp;R'!$L$10:$L$11,MATCH($F149,'L&amp;R'!$B$10:$B$11,0))="","Cell will autofill based on response",INDEX('L&amp;R'!$L$10:$L$11,MATCH($F149,'L&amp;R'!$B$10:$B$11,0))),"N/A")</f>
        <v/>
      </c>
      <c r="U149" s="10">
        <f>COUNTIF($H149:$S149,"Cell will autofill based on response")</f>
        <v/>
      </c>
      <c r="V149" s="10">
        <f>COUNTIF($H149:$S149,"Not yet started")</f>
        <v/>
      </c>
      <c r="W149" s="10">
        <f>COUNTIF($H149:$S149,"Not met")</f>
        <v/>
      </c>
      <c r="X149" s="10">
        <f>COUNTIF($H149:$S149,"Partially met")</f>
        <v/>
      </c>
      <c r="Y149" s="10">
        <f>COUNTIF($H149:$S149,"Met or exceeded")</f>
        <v/>
      </c>
      <c r="Z149" s="10">
        <f>3*Y149+2*X149+W149</f>
        <v/>
      </c>
      <c r="AA149" s="10">
        <f>Y149+X149+W149+V149</f>
        <v/>
      </c>
      <c r="AB149" s="53">
        <f>IF(AA149&gt;0,Z149/AA149,"No valid responses to date")</f>
        <v/>
      </c>
      <c r="AC149" s="10">
        <f>IF(ISNUMBER(AB149),INDEX(Lists!$G$2:$G$5,MATCH(ROUND(AB149,0),Lists!$H$2:$H$5,0)),"")</f>
        <v/>
      </c>
      <c r="AD149" s="54">
        <f>IF(AA149&gt;0,Y149/AA149,"")</f>
        <v/>
      </c>
      <c r="AE149" s="54">
        <f>IF(AA149&gt;0,(Y149+X149)/AA149,"")</f>
        <v/>
      </c>
      <c r="AF149" s="10">
        <f>IF(AA149=0,"",IF(AD149&gt;0.75,"Met or exceeded",IF(AE149&gt;=0.5,"Partially met","Not met")))</f>
        <v/>
      </c>
    </row>
    <row r="150">
      <c r="A150">
        <f>F150&amp;"|"&amp;G150</f>
        <v/>
      </c>
      <c r="B150" s="13" t="inlineStr"/>
      <c r="C150" s="8" t="inlineStr"/>
      <c r="D150" s="8" t="inlineStr"/>
      <c r="E150" s="8" t="inlineStr"/>
      <c r="F150" s="8" t="inlineStr">
        <is>
          <t>NB2(b)</t>
        </is>
      </c>
      <c r="G150" s="8" t="inlineStr">
        <is>
          <t>OPTION 1:  Target-level reporting</t>
        </is>
      </c>
      <c r="H150" s="52">
        <f>IFERROR(IF(INDEX('Faculties'!$M$10:$M$30,MATCH($F150,'Faculties'!$B$10:$B$30,0))="","Cell will autofill based on response",INDEX('Faculties'!$M$10:$M$30,MATCH($F150,'Faculties'!$B$10:$B$30,0))),"N/A")</f>
        <v/>
      </c>
      <c r="I150" s="52">
        <f>IFERROR(IF(INDEX('Faculties'!$M$37:$M$57,MATCH($F150,'Faculties'!$B$37:$B$57,0))="","Cell will autofill based on response",INDEX('Faculties'!$M$37:$M$57,MATCH($F150,'Faculties'!$B$37:$B$57,0))),"N/A")</f>
        <v/>
      </c>
      <c r="J150" s="52">
        <f>IFERROR(IF(INDEX('Faculties'!$M$64:$M$84,MATCH($F150,'Faculties'!$B$64:$B$84,0))="","Cell will autofill based on response",INDEX('Faculties'!$M$64:$M$84,MATCH($F150,'Faculties'!$B$64:$B$84,0))),"N/A")</f>
        <v/>
      </c>
      <c r="K150" s="52">
        <f>IFERROR(IF(INDEX('Faculties'!$M$91:$M$111,MATCH($F150,'Faculties'!$B$91:$B$111,0))="","Cell will autofill based on response",INDEX('Faculties'!$M$91:$M$111,MATCH($F150,'Faculties'!$B$91:$B$111,0))),"N/A")</f>
        <v/>
      </c>
      <c r="L150" s="52">
        <f>IFERROR(IF(INDEX('CI&amp;S'!$M$10:$M$15,MATCH($F150,'CI&amp;S'!$B$10:$B$15,0))="","Cell will autofill based on response",INDEX('CI&amp;S'!$M$10:$M$15,MATCH($F150,'CI&amp;S'!$B$10:$B$15,0))),"N/A")</f>
        <v/>
      </c>
      <c r="M150" s="52">
        <f>IFERROR(IF(INDEX('CI&amp;S'!$M$22:$M$39,MATCH($F150,'CI&amp;S'!$B$22:$B$39,0))="","Cell will autofill based on response",INDEX('CI&amp;S'!$M$22:$M$39,MATCH($F150,'CI&amp;S'!$B$22:$B$39,0))),"N/A")</f>
        <v/>
      </c>
      <c r="N150" s="52">
        <f>IFERROR(IF(INDEX('CFOG'!$M$10:$M$16,MATCH($F150,'CFOG'!$B$10:$B$16,0))="","Cell will autofill based on response",INDEX('CFOG'!$M$10:$M$16,MATCH($F150,'CFOG'!$B$10:$B$16,0))),"N/A")</f>
        <v/>
      </c>
      <c r="O150" s="52">
        <f>IFERROR(IF(INDEX('CFOG'!$M$23:$M$24,MATCH($F150,'CFOG'!$B$23:$B$24,0))="","Cell will autofill based on response",INDEX('CFOG'!$M$23:$M$24,MATCH($F150,'CFOG'!$B$23:$B$24,0))),"N/A")</f>
        <v/>
      </c>
      <c r="P150" s="52">
        <f>IFERROR(IF(INDEX('ESG'!$M$10:$M$17,MATCH($F150,'ESG'!$B$10:$B$17,0))="","Cell will autofill based on response",INDEX('ESG'!$M$10:$M$17,MATCH($F150,'ESG'!$B$10:$B$17,0))),"N/A")</f>
        <v/>
      </c>
      <c r="Q150" s="52">
        <f>IFERROR(IF(INDEX('CIOG'!$M$10:$M$14,MATCH($F150,'CIOG'!$B$10:$B$14,0))="","Cell will autofill based on response",INDEX('CIOG'!$M$10:$M$14,MATCH($F150,'CIOG'!$B$10:$B$14,0))),"N/A")</f>
        <v/>
      </c>
      <c r="R150" s="52">
        <f>IFERROR(IF(INDEX('MRE'!$M$10:$M$12,MATCH($F150,'MRE'!$B$10:$B$12,0))="","Cell will autofill based on response",INDEX('MRE'!$M$10:$M$12,MATCH($F150,'MRE'!$B$10:$B$12,0))),"N/A")</f>
        <v/>
      </c>
      <c r="S150" s="52">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2">
        <f>IFERROR(IF(INDEX('Faculties'!$N$10:$N$30,MATCH($F151,'Faculties'!$B$10:$B$30,0))="","Cell will autofill based on response",INDEX('Faculties'!$N$10:$N$30,MATCH($F151,'Faculties'!$B$10:$B$30,0))),"N/A")</f>
        <v/>
      </c>
      <c r="I151" s="52">
        <f>IFERROR(IF(INDEX('Faculties'!$N$37:$N$57,MATCH($F151,'Faculties'!$B$37:$B$57,0))="","Cell will autofill based on response",INDEX('Faculties'!$N$37:$N$57,MATCH($F151,'Faculties'!$B$37:$B$57,0))),"N/A")</f>
        <v/>
      </c>
      <c r="J151" s="52">
        <f>IFERROR(IF(INDEX('Faculties'!$N$64:$N$84,MATCH($F151,'Faculties'!$B$64:$B$84,0))="","Cell will autofill based on response",INDEX('Faculties'!$N$64:$N$84,MATCH($F151,'Faculties'!$B$64:$B$84,0))),"N/A")</f>
        <v/>
      </c>
      <c r="K151" s="52">
        <f>IFERROR(IF(INDEX('Faculties'!$N$91:$N$111,MATCH($F151,'Faculties'!$B$91:$B$111,0))="","Cell will autofill based on response",INDEX('Faculties'!$N$91:$N$111,MATCH($F151,'Faculties'!$B$91:$B$111,0))),"N/A")</f>
        <v/>
      </c>
      <c r="L151" s="52">
        <f>IFERROR(IF(INDEX('CI&amp;S'!$N$10:$N$15,MATCH($F151,'CI&amp;S'!$B$10:$B$15,0))="","Cell will autofill based on response",INDEX('CI&amp;S'!$N$10:$N$15,MATCH($F151,'CI&amp;S'!$B$10:$B$15,0))),"N/A")</f>
        <v/>
      </c>
      <c r="M151" s="52">
        <f>IFERROR(IF(INDEX('CI&amp;S'!$N$22:$N$39,MATCH($F151,'CI&amp;S'!$B$22:$B$39,0))="","Cell will autofill based on response",INDEX('CI&amp;S'!$N$22:$N$39,MATCH($F151,'CI&amp;S'!$B$22:$B$39,0))),"N/A")</f>
        <v/>
      </c>
      <c r="N151" s="52">
        <f>IFERROR(IF(INDEX('CFOG'!$N$10:$N$16,MATCH($F151,'CFOG'!$B$10:$B$16,0))="","Cell will autofill based on response",INDEX('CFOG'!$N$10:$N$16,MATCH($F151,'CFOG'!$B$10:$B$16,0))),"N/A")</f>
        <v/>
      </c>
      <c r="O151" s="52">
        <f>IFERROR(IF(INDEX('CFOG'!$N$23:$N$24,MATCH($F151,'CFOG'!$B$23:$B$24,0))="","Cell will autofill based on response",INDEX('CFOG'!$N$23:$N$24,MATCH($F151,'CFOG'!$B$23:$B$24,0))),"N/A")</f>
        <v/>
      </c>
      <c r="P151" s="52">
        <f>IFERROR(IF(INDEX('ESG'!$N$10:$N$17,MATCH($F151,'ESG'!$B$10:$B$17,0))="","Cell will autofill based on response",INDEX('ESG'!$N$10:$N$17,MATCH($F151,'ESG'!$B$10:$B$17,0))),"N/A")</f>
        <v/>
      </c>
      <c r="Q151" s="52">
        <f>IFERROR(IF(INDEX('CIOG'!$N$10:$N$14,MATCH($F151,'CIOG'!$B$10:$B$14,0))="","Cell will autofill based on response",INDEX('CIOG'!$N$10:$N$14,MATCH($F151,'CIOG'!$B$10:$B$14,0))),"N/A")</f>
        <v/>
      </c>
      <c r="R151" s="52">
        <f>IFERROR(IF(INDEX('MRE'!$N$10:$N$12,MATCH($F151,'MRE'!$B$10:$B$12,0))="","Cell will autofill based on response",INDEX('MRE'!$N$10:$N$12,MATCH($F151,'MRE'!$B$10:$B$12,0))),"N/A")</f>
        <v/>
      </c>
      <c r="S151" s="52">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2">
        <f>IFERROR(IF(INDEX('Faculties'!$O$10:$O$30,MATCH($F152,'Faculties'!$B$10:$B$30,0))="","Cell will autofill based on response",INDEX('Faculties'!$O$10:$O$30,MATCH($F152,'Faculties'!$B$10:$B$30,0))),"N/A")</f>
        <v/>
      </c>
      <c r="I152" s="52">
        <f>IFERROR(IF(INDEX('Faculties'!$O$37:$O$57,MATCH($F152,'Faculties'!$B$37:$B$57,0))="","Cell will autofill based on response",INDEX('Faculties'!$O$37:$O$57,MATCH($F152,'Faculties'!$B$37:$B$57,0))),"N/A")</f>
        <v/>
      </c>
      <c r="J152" s="52">
        <f>IFERROR(IF(INDEX('Faculties'!$O$64:$O$84,MATCH($F152,'Faculties'!$B$64:$B$84,0))="","Cell will autofill based on response",INDEX('Faculties'!$O$64:$O$84,MATCH($F152,'Faculties'!$B$64:$B$84,0))),"N/A")</f>
        <v/>
      </c>
      <c r="K152" s="52">
        <f>IFERROR(IF(INDEX('Faculties'!$O$91:$O$111,MATCH($F152,'Faculties'!$B$91:$B$111,0))="","Cell will autofill based on response",INDEX('Faculties'!$O$91:$O$111,MATCH($F152,'Faculties'!$B$91:$B$111,0))),"N/A")</f>
        <v/>
      </c>
      <c r="L152" s="52">
        <f>IFERROR(IF(INDEX('CI&amp;S'!$O$10:$O$15,MATCH($F152,'CI&amp;S'!$B$10:$B$15,0))="","Cell will autofill based on response",INDEX('CI&amp;S'!$O$10:$O$15,MATCH($F152,'CI&amp;S'!$B$10:$B$15,0))),"N/A")</f>
        <v/>
      </c>
      <c r="M152" s="52">
        <f>IFERROR(IF(INDEX('CI&amp;S'!$O$22:$O$39,MATCH($F152,'CI&amp;S'!$B$22:$B$39,0))="","Cell will autofill based on response",INDEX('CI&amp;S'!$O$22:$O$39,MATCH($F152,'CI&amp;S'!$B$22:$B$39,0))),"N/A")</f>
        <v/>
      </c>
      <c r="N152" s="52">
        <f>IFERROR(IF(INDEX('CFOG'!$O$10:$O$16,MATCH($F152,'CFOG'!$B$10:$B$16,0))="","Cell will autofill based on response",INDEX('CFOG'!$O$10:$O$16,MATCH($F152,'CFOG'!$B$10:$B$16,0))),"N/A")</f>
        <v/>
      </c>
      <c r="O152" s="52">
        <f>IFERROR(IF(INDEX('CFOG'!$O$23:$O$24,MATCH($F152,'CFOG'!$B$23:$B$24,0))="","Cell will autofill based on response",INDEX('CFOG'!$O$23:$O$24,MATCH($F152,'CFOG'!$B$23:$B$24,0))),"N/A")</f>
        <v/>
      </c>
      <c r="P152" s="52">
        <f>IFERROR(IF(INDEX('ESG'!$O$10:$O$17,MATCH($F152,'ESG'!$B$10:$B$17,0))="","Cell will autofill based on response",INDEX('ESG'!$O$10:$O$17,MATCH($F152,'ESG'!$B$10:$B$17,0))),"N/A")</f>
        <v/>
      </c>
      <c r="Q152" s="52">
        <f>IFERROR(IF(INDEX('CIOG'!$O$10:$O$14,MATCH($F152,'CIOG'!$B$10:$B$14,0))="","Cell will autofill based on response",INDEX('CIOG'!$O$10:$O$14,MATCH($F152,'CIOG'!$B$10:$B$14,0))),"N/A")</f>
        <v/>
      </c>
      <c r="R152" s="52">
        <f>IFERROR(IF(INDEX('MRE'!$O$10:$O$12,MATCH($F152,'MRE'!$B$10:$B$12,0))="","Cell will autofill based on response",INDEX('MRE'!$O$10:$O$12,MATCH($F152,'MRE'!$B$10:$B$12,0))),"N/A")</f>
        <v/>
      </c>
      <c r="S152" s="52">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2">
        <f>IFERROR(IF(INDEX('Faculties'!$P$10:$P$30,MATCH($F153,'Faculties'!$B$10:$B$30,0))="","Cell will autofill based on response",INDEX('Faculties'!$P$10:$P$30,MATCH($F153,'Faculties'!$B$10:$B$30,0))),"N/A")</f>
        <v/>
      </c>
      <c r="I153" s="52">
        <f>IFERROR(IF(INDEX('Faculties'!$P$37:$P$57,MATCH($F153,'Faculties'!$B$37:$B$57,0))="","Cell will autofill based on response",INDEX('Faculties'!$P$37:$P$57,MATCH($F153,'Faculties'!$B$37:$B$57,0))),"N/A")</f>
        <v/>
      </c>
      <c r="J153" s="52">
        <f>IFERROR(IF(INDEX('Faculties'!$P$64:$P$84,MATCH($F153,'Faculties'!$B$64:$B$84,0))="","Cell will autofill based on response",INDEX('Faculties'!$P$64:$P$84,MATCH($F153,'Faculties'!$B$64:$B$84,0))),"N/A")</f>
        <v/>
      </c>
      <c r="K153" s="52">
        <f>IFERROR(IF(INDEX('Faculties'!$P$91:$P$111,MATCH($F153,'Faculties'!$B$91:$B$111,0))="","Cell will autofill based on response",INDEX('Faculties'!$P$91:$P$111,MATCH($F153,'Faculties'!$B$91:$B$111,0))),"N/A")</f>
        <v/>
      </c>
      <c r="L153" s="52">
        <f>IFERROR(IF(INDEX('CI&amp;S'!$P$10:$P$15,MATCH($F153,'CI&amp;S'!$B$10:$B$15,0))="","Cell will autofill based on response",INDEX('CI&amp;S'!$P$10:$P$15,MATCH($F153,'CI&amp;S'!$B$10:$B$15,0))),"N/A")</f>
        <v/>
      </c>
      <c r="M153" s="52">
        <f>IFERROR(IF(INDEX('CI&amp;S'!$P$22:$P$39,MATCH($F153,'CI&amp;S'!$B$22:$B$39,0))="","Cell will autofill based on response",INDEX('CI&amp;S'!$P$22:$P$39,MATCH($F153,'CI&amp;S'!$B$22:$B$39,0))),"N/A")</f>
        <v/>
      </c>
      <c r="N153" s="52">
        <f>IFERROR(IF(INDEX('CFOG'!$P$10:$P$16,MATCH($F153,'CFOG'!$B$10:$B$16,0))="","Cell will autofill based on response",INDEX('CFOG'!$P$10:$P$16,MATCH($F153,'CFOG'!$B$10:$B$16,0))),"N/A")</f>
        <v/>
      </c>
      <c r="O153" s="52">
        <f>IFERROR(IF(INDEX('CFOG'!$P$23:$P$24,MATCH($F153,'CFOG'!$B$23:$B$24,0))="","Cell will autofill based on response",INDEX('CFOG'!$P$23:$P$24,MATCH($F153,'CFOG'!$B$23:$B$24,0))),"N/A")</f>
        <v/>
      </c>
      <c r="P153" s="52">
        <f>IFERROR(IF(INDEX('ESG'!$P$10:$P$17,MATCH($F153,'ESG'!$B$10:$B$17,0))="","Cell will autofill based on response",INDEX('ESG'!$P$10:$P$17,MATCH($F153,'ESG'!$B$10:$B$17,0))),"N/A")</f>
        <v/>
      </c>
      <c r="Q153" s="52">
        <f>IFERROR(IF(INDEX('CIOG'!$P$10:$P$14,MATCH($F153,'CIOG'!$B$10:$B$14,0))="","Cell will autofill based on response",INDEX('CIOG'!$P$10:$P$14,MATCH($F153,'CIOG'!$B$10:$B$14,0))),"N/A")</f>
        <v/>
      </c>
      <c r="R153" s="52">
        <f>IFERROR(IF(INDEX('MRE'!$P$10:$P$12,MATCH($F153,'MRE'!$B$10:$B$12,0))="","Cell will autofill based on response",INDEX('MRE'!$P$10:$P$12,MATCH($F153,'MRE'!$B$10:$B$12,0))),"N/A")</f>
        <v/>
      </c>
      <c r="S153" s="52">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2">
        <f>IFERROR(IF(INDEX('Faculties'!$Q$10:$Q$30,MATCH($F154,'Faculties'!$B$10:$B$30,0))="","Cell will autofill based on response",INDEX('Faculties'!$Q$10:$Q$30,MATCH($F154,'Faculties'!$B$10:$B$30,0))),"N/A")</f>
        <v/>
      </c>
      <c r="I154" s="52">
        <f>IFERROR(IF(INDEX('Faculties'!$Q$37:$Q$57,MATCH($F154,'Faculties'!$B$37:$B$57,0))="","Cell will autofill based on response",INDEX('Faculties'!$Q$37:$Q$57,MATCH($F154,'Faculties'!$B$37:$B$57,0))),"N/A")</f>
        <v/>
      </c>
      <c r="J154" s="52">
        <f>IFERROR(IF(INDEX('Faculties'!$Q$64:$Q$84,MATCH($F154,'Faculties'!$B$64:$B$84,0))="","Cell will autofill based on response",INDEX('Faculties'!$Q$64:$Q$84,MATCH($F154,'Faculties'!$B$64:$B$84,0))),"N/A")</f>
        <v/>
      </c>
      <c r="K154" s="52">
        <f>IFERROR(IF(INDEX('Faculties'!$Q$91:$Q$111,MATCH($F154,'Faculties'!$B$91:$B$111,0))="","Cell will autofill based on response",INDEX('Faculties'!$Q$91:$Q$111,MATCH($F154,'Faculties'!$B$91:$B$111,0))),"N/A")</f>
        <v/>
      </c>
      <c r="L154" s="52">
        <f>IFERROR(IF(INDEX('CI&amp;S'!$Q$10:$Q$15,MATCH($F154,'CI&amp;S'!$B$10:$B$15,0))="","Cell will autofill based on response",INDEX('CI&amp;S'!$Q$10:$Q$15,MATCH($F154,'CI&amp;S'!$B$10:$B$15,0))),"N/A")</f>
        <v/>
      </c>
      <c r="M154" s="52">
        <f>IFERROR(IF(INDEX('CI&amp;S'!$Q$22:$Q$39,MATCH($F154,'CI&amp;S'!$B$22:$B$39,0))="","Cell will autofill based on response",INDEX('CI&amp;S'!$Q$22:$Q$39,MATCH($F154,'CI&amp;S'!$B$22:$B$39,0))),"N/A")</f>
        <v/>
      </c>
      <c r="N154" s="52">
        <f>IFERROR(IF(INDEX('CFOG'!$Q$10:$Q$16,MATCH($F154,'CFOG'!$B$10:$B$16,0))="","Cell will autofill based on response",INDEX('CFOG'!$Q$10:$Q$16,MATCH($F154,'CFOG'!$B$10:$B$16,0))),"N/A")</f>
        <v/>
      </c>
      <c r="O154" s="52">
        <f>IFERROR(IF(INDEX('CFOG'!$Q$23:$Q$24,MATCH($F154,'CFOG'!$B$23:$B$24,0))="","Cell will autofill based on response",INDEX('CFOG'!$Q$23:$Q$24,MATCH($F154,'CFOG'!$B$23:$B$24,0))),"N/A")</f>
        <v/>
      </c>
      <c r="P154" s="52">
        <f>IFERROR(IF(INDEX('ESG'!$Q$10:$Q$17,MATCH($F154,'ESG'!$B$10:$B$17,0))="","Cell will autofill based on response",INDEX('ESG'!$Q$10:$Q$17,MATCH($F154,'ESG'!$B$10:$B$17,0))),"N/A")</f>
        <v/>
      </c>
      <c r="Q154" s="52">
        <f>IFERROR(IF(INDEX('CIOG'!$Q$10:$Q$14,MATCH($F154,'CIOG'!$B$10:$B$14,0))="","Cell will autofill based on response",INDEX('CIOG'!$Q$10:$Q$14,MATCH($F154,'CIOG'!$B$10:$B$14,0))),"N/A")</f>
        <v/>
      </c>
      <c r="R154" s="52">
        <f>IFERROR(IF(INDEX('MRE'!$Q$10:$Q$12,MATCH($F154,'MRE'!$B$10:$B$12,0))="","Cell will autofill based on response",INDEX('MRE'!$Q$10:$Q$12,MATCH($F154,'MRE'!$B$10:$B$12,0))),"N/A")</f>
        <v/>
      </c>
      <c r="S154" s="52">
        <f>IFERROR(IF(INDEX('L&amp;R'!$Q$10:$Q$11,MATCH($F154,'L&amp;R'!$B$10:$B$11,0))="","Cell will autofill based on response",INDEX('L&amp;R'!$Q$10:$Q$11,MATCH($F154,'L&amp;R'!$B$10:$B$11,0))),"N/A")</f>
        <v/>
      </c>
    </row>
    <row r="155">
      <c r="A155">
        <f>F155&amp;"|"&amp;G155</f>
        <v/>
      </c>
      <c r="B155" s="7" t="inlineStr">
        <is>
          <t>NB2(c)</t>
        </is>
      </c>
      <c r="C155" s="50" t="inlineStr">
        <is>
          <t>Nature and biodiversity</t>
        </is>
      </c>
      <c r="D155" s="50" t="inlineStr">
        <is>
          <t>Evidence of prioritised high risk procurement categories or suppliers for nature impact management</t>
        </is>
      </c>
      <c r="E155" s="50" t="inlineStr">
        <is>
          <t>Please provide the prioritised high-risk procurement categories and/or suppliers identified for nature-impact management, could include the basis for prioritisation and any risk-management, engagement or mitigation actions undertaken or planned.</t>
        </is>
      </c>
      <c r="F155" s="50" t="inlineStr">
        <is>
          <t>NB2(c)</t>
        </is>
      </c>
      <c r="G155" s="50" t="inlineStr">
        <is>
          <t>Confirm end-2026 target status</t>
        </is>
      </c>
      <c r="H155" s="52">
        <f>IFERROR(IF(INDEX('Faculties'!$L$10:$L$30,MATCH($F155,'Faculties'!$B$10:$B$30,0))="","Cell will autofill based on response",INDEX('Faculties'!$L$10:$L$30,MATCH($F155,'Faculties'!$B$10:$B$30,0))),"N/A")</f>
        <v/>
      </c>
      <c r="I155" s="52">
        <f>IFERROR(IF(INDEX('Faculties'!$L$37:$L$57,MATCH($F155,'Faculties'!$B$37:$B$57,0))="","Cell will autofill based on response",INDEX('Faculties'!$L$37:$L$57,MATCH($F155,'Faculties'!$B$37:$B$57,0))),"N/A")</f>
        <v/>
      </c>
      <c r="J155" s="52">
        <f>IFERROR(IF(INDEX('Faculties'!$L$64:$L$84,MATCH($F155,'Faculties'!$B$64:$B$84,0))="","Cell will autofill based on response",INDEX('Faculties'!$L$64:$L$84,MATCH($F155,'Faculties'!$B$64:$B$84,0))),"N/A")</f>
        <v/>
      </c>
      <c r="K155" s="52">
        <f>IFERROR(IF(INDEX('Faculties'!$L$91:$L$111,MATCH($F155,'Faculties'!$B$91:$B$111,0))="","Cell will autofill based on response",INDEX('Faculties'!$L$91:$L$111,MATCH($F155,'Faculties'!$B$91:$B$111,0))),"N/A")</f>
        <v/>
      </c>
      <c r="L155" s="52">
        <f>IFERROR(IF(INDEX('CI&amp;S'!$L$10:$L$15,MATCH($F155,'CI&amp;S'!$B$10:$B$15,0))="","Cell will autofill based on response",INDEX('CI&amp;S'!$L$10:$L$15,MATCH($F155,'CI&amp;S'!$B$10:$B$15,0))),"N/A")</f>
        <v/>
      </c>
      <c r="M155" s="52">
        <f>IFERROR(IF(INDEX('CI&amp;S'!$L$22:$L$39,MATCH($F155,'CI&amp;S'!$B$22:$B$39,0))="","Cell will autofill based on response",INDEX('CI&amp;S'!$L$22:$L$39,MATCH($F155,'CI&amp;S'!$B$22:$B$39,0))),"N/A")</f>
        <v/>
      </c>
      <c r="N155" s="52">
        <f>IFERROR(IF(INDEX('CFOG'!$L$10:$L$16,MATCH($F155,'CFOG'!$B$10:$B$16,0))="","Cell will autofill based on response",INDEX('CFOG'!$L$10:$L$16,MATCH($F155,'CFOG'!$B$10:$B$16,0))),"N/A")</f>
        <v/>
      </c>
      <c r="O155" s="52">
        <f>IFERROR(IF(INDEX('CFOG'!$L$23:$L$24,MATCH($F155,'CFOG'!$B$23:$B$24,0))="","Cell will autofill based on response",INDEX('CFOG'!$L$23:$L$24,MATCH($F155,'CFOG'!$B$23:$B$24,0))),"N/A")</f>
        <v/>
      </c>
      <c r="P155" s="52">
        <f>IFERROR(IF(INDEX('ESG'!$L$10:$L$17,MATCH($F155,'ESG'!$B$10:$B$17,0))="","Cell will autofill based on response",INDEX('ESG'!$L$10:$L$17,MATCH($F155,'ESG'!$B$10:$B$17,0))),"N/A")</f>
        <v/>
      </c>
      <c r="Q155" s="52">
        <f>IFERROR(IF(INDEX('CIOG'!$L$10:$L$14,MATCH($F155,'CIOG'!$B$10:$B$14,0))="","Cell will autofill based on response",INDEX('CIOG'!$L$10:$L$14,MATCH($F155,'CIOG'!$B$10:$B$14,0))),"N/A")</f>
        <v/>
      </c>
      <c r="R155" s="52">
        <f>IFERROR(IF(INDEX('MRE'!$L$10:$L$12,MATCH($F155,'MRE'!$B$10:$B$12,0))="","Cell will autofill based on response",INDEX('MRE'!$L$10:$L$12,MATCH($F155,'MRE'!$B$10:$B$12,0))),"N/A")</f>
        <v/>
      </c>
      <c r="S155" s="52">
        <f>IFERROR(IF(INDEX('L&amp;R'!$L$10:$L$11,MATCH($F155,'L&amp;R'!$B$10:$B$11,0))="","Cell will autofill based on response",INDEX('L&amp;R'!$L$10:$L$11,MATCH($F155,'L&amp;R'!$B$10:$B$11,0))),"N/A")</f>
        <v/>
      </c>
      <c r="U155" s="10">
        <f>COUNTIF($H155:$S155,"Cell will autofill based on response")</f>
        <v/>
      </c>
      <c r="V155" s="10">
        <f>COUNTIF($H155:$S155,"Not yet started")</f>
        <v/>
      </c>
      <c r="W155" s="10">
        <f>COUNTIF($H155:$S155,"Not met")</f>
        <v/>
      </c>
      <c r="X155" s="10">
        <f>COUNTIF($H155:$S155,"Partially met")</f>
        <v/>
      </c>
      <c r="Y155" s="10">
        <f>COUNTIF($H155:$S155,"Met or exceeded")</f>
        <v/>
      </c>
      <c r="Z155" s="10">
        <f>3*Y155+2*X155+W155</f>
        <v/>
      </c>
      <c r="AA155" s="10">
        <f>Y155+X155+W155+V155</f>
        <v/>
      </c>
      <c r="AB155" s="53">
        <f>IF(AA155&gt;0,Z155/AA155,"No valid responses to date")</f>
        <v/>
      </c>
      <c r="AC155" s="10">
        <f>IF(ISNUMBER(AB155),INDEX(Lists!$G$2:$G$5,MATCH(ROUND(AB155,0),Lists!$H$2:$H$5,0)),"")</f>
        <v/>
      </c>
      <c r="AD155" s="54">
        <f>IF(AA155&gt;0,Y155/AA155,"")</f>
        <v/>
      </c>
      <c r="AE155" s="54">
        <f>IF(AA155&gt;0,(Y155+X155)/AA155,"")</f>
        <v/>
      </c>
      <c r="AF155" s="10">
        <f>IF(AA155=0,"",IF(AD155&gt;0.75,"Met or exceeded",IF(AE155&gt;=0.5,"Partially met","Not met")))</f>
        <v/>
      </c>
    </row>
    <row r="156">
      <c r="A156">
        <f>F156&amp;"|"&amp;G156</f>
        <v/>
      </c>
      <c r="B156" s="13" t="inlineStr"/>
      <c r="C156" s="8" t="inlineStr"/>
      <c r="D156" s="8" t="inlineStr"/>
      <c r="E156" s="8" t="inlineStr"/>
      <c r="F156" s="8" t="inlineStr">
        <is>
          <t>NB2(c)</t>
        </is>
      </c>
      <c r="G156" s="8" t="inlineStr">
        <is>
          <t>OPTION 1:  Target-level reporting</t>
        </is>
      </c>
      <c r="H156" s="52">
        <f>IFERROR(IF(INDEX('Faculties'!$M$10:$M$30,MATCH($F156,'Faculties'!$B$10:$B$30,0))="","Cell will autofill based on response",INDEX('Faculties'!$M$10:$M$30,MATCH($F156,'Faculties'!$B$10:$B$30,0))),"N/A")</f>
        <v/>
      </c>
      <c r="I156" s="52">
        <f>IFERROR(IF(INDEX('Faculties'!$M$37:$M$57,MATCH($F156,'Faculties'!$B$37:$B$57,0))="","Cell will autofill based on response",INDEX('Faculties'!$M$37:$M$57,MATCH($F156,'Faculties'!$B$37:$B$57,0))),"N/A")</f>
        <v/>
      </c>
      <c r="J156" s="52">
        <f>IFERROR(IF(INDEX('Faculties'!$M$64:$M$84,MATCH($F156,'Faculties'!$B$64:$B$84,0))="","Cell will autofill based on response",INDEX('Faculties'!$M$64:$M$84,MATCH($F156,'Faculties'!$B$64:$B$84,0))),"N/A")</f>
        <v/>
      </c>
      <c r="K156" s="52">
        <f>IFERROR(IF(INDEX('Faculties'!$M$91:$M$111,MATCH($F156,'Faculties'!$B$91:$B$111,0))="","Cell will autofill based on response",INDEX('Faculties'!$M$91:$M$111,MATCH($F156,'Faculties'!$B$91:$B$111,0))),"N/A")</f>
        <v/>
      </c>
      <c r="L156" s="52">
        <f>IFERROR(IF(INDEX('CI&amp;S'!$M$10:$M$15,MATCH($F156,'CI&amp;S'!$B$10:$B$15,0))="","Cell will autofill based on response",INDEX('CI&amp;S'!$M$10:$M$15,MATCH($F156,'CI&amp;S'!$B$10:$B$15,0))),"N/A")</f>
        <v/>
      </c>
      <c r="M156" s="52">
        <f>IFERROR(IF(INDEX('CI&amp;S'!$M$22:$M$39,MATCH($F156,'CI&amp;S'!$B$22:$B$39,0))="","Cell will autofill based on response",INDEX('CI&amp;S'!$M$22:$M$39,MATCH($F156,'CI&amp;S'!$B$22:$B$39,0))),"N/A")</f>
        <v/>
      </c>
      <c r="N156" s="52">
        <f>IFERROR(IF(INDEX('CFOG'!$M$10:$M$16,MATCH($F156,'CFOG'!$B$10:$B$16,0))="","Cell will autofill based on response",INDEX('CFOG'!$M$10:$M$16,MATCH($F156,'CFOG'!$B$10:$B$16,0))),"N/A")</f>
        <v/>
      </c>
      <c r="O156" s="52">
        <f>IFERROR(IF(INDEX('CFOG'!$M$23:$M$24,MATCH($F156,'CFOG'!$B$23:$B$24,0))="","Cell will autofill based on response",INDEX('CFOG'!$M$23:$M$24,MATCH($F156,'CFOG'!$B$23:$B$24,0))),"N/A")</f>
        <v/>
      </c>
      <c r="P156" s="52">
        <f>IFERROR(IF(INDEX('ESG'!$M$10:$M$17,MATCH($F156,'ESG'!$B$10:$B$17,0))="","Cell will autofill based on response",INDEX('ESG'!$M$10:$M$17,MATCH($F156,'ESG'!$B$10:$B$17,0))),"N/A")</f>
        <v/>
      </c>
      <c r="Q156" s="52">
        <f>IFERROR(IF(INDEX('CIOG'!$M$10:$M$14,MATCH($F156,'CIOG'!$B$10:$B$14,0))="","Cell will autofill based on response",INDEX('CIOG'!$M$10:$M$14,MATCH($F156,'CIOG'!$B$10:$B$14,0))),"N/A")</f>
        <v/>
      </c>
      <c r="R156" s="52">
        <f>IFERROR(IF(INDEX('MRE'!$M$10:$M$12,MATCH($F156,'MRE'!$B$10:$B$12,0))="","Cell will autofill based on response",INDEX('MRE'!$M$10:$M$12,MATCH($F156,'MRE'!$B$10:$B$12,0))),"N/A")</f>
        <v/>
      </c>
      <c r="S156" s="52">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2">
        <f>IFERROR(IF(INDEX('Faculties'!$N$10:$N$30,MATCH($F157,'Faculties'!$B$10:$B$30,0))="","Cell will autofill based on response",INDEX('Faculties'!$N$10:$N$30,MATCH($F157,'Faculties'!$B$10:$B$30,0))),"N/A")</f>
        <v/>
      </c>
      <c r="I157" s="52">
        <f>IFERROR(IF(INDEX('Faculties'!$N$37:$N$57,MATCH($F157,'Faculties'!$B$37:$B$57,0))="","Cell will autofill based on response",INDEX('Faculties'!$N$37:$N$57,MATCH($F157,'Faculties'!$B$37:$B$57,0))),"N/A")</f>
        <v/>
      </c>
      <c r="J157" s="52">
        <f>IFERROR(IF(INDEX('Faculties'!$N$64:$N$84,MATCH($F157,'Faculties'!$B$64:$B$84,0))="","Cell will autofill based on response",INDEX('Faculties'!$N$64:$N$84,MATCH($F157,'Faculties'!$B$64:$B$84,0))),"N/A")</f>
        <v/>
      </c>
      <c r="K157" s="52">
        <f>IFERROR(IF(INDEX('Faculties'!$N$91:$N$111,MATCH($F157,'Faculties'!$B$91:$B$111,0))="","Cell will autofill based on response",INDEX('Faculties'!$N$91:$N$111,MATCH($F157,'Faculties'!$B$91:$B$111,0))),"N/A")</f>
        <v/>
      </c>
      <c r="L157" s="52">
        <f>IFERROR(IF(INDEX('CI&amp;S'!$N$10:$N$15,MATCH($F157,'CI&amp;S'!$B$10:$B$15,0))="","Cell will autofill based on response",INDEX('CI&amp;S'!$N$10:$N$15,MATCH($F157,'CI&amp;S'!$B$10:$B$15,0))),"N/A")</f>
        <v/>
      </c>
      <c r="M157" s="52">
        <f>IFERROR(IF(INDEX('CI&amp;S'!$N$22:$N$39,MATCH($F157,'CI&amp;S'!$B$22:$B$39,0))="","Cell will autofill based on response",INDEX('CI&amp;S'!$N$22:$N$39,MATCH($F157,'CI&amp;S'!$B$22:$B$39,0))),"N/A")</f>
        <v/>
      </c>
      <c r="N157" s="52">
        <f>IFERROR(IF(INDEX('CFOG'!$N$10:$N$16,MATCH($F157,'CFOG'!$B$10:$B$16,0))="","Cell will autofill based on response",INDEX('CFOG'!$N$10:$N$16,MATCH($F157,'CFOG'!$B$10:$B$16,0))),"N/A")</f>
        <v/>
      </c>
      <c r="O157" s="52">
        <f>IFERROR(IF(INDEX('CFOG'!$N$23:$N$24,MATCH($F157,'CFOG'!$B$23:$B$24,0))="","Cell will autofill based on response",INDEX('CFOG'!$N$23:$N$24,MATCH($F157,'CFOG'!$B$23:$B$24,0))),"N/A")</f>
        <v/>
      </c>
      <c r="P157" s="52">
        <f>IFERROR(IF(INDEX('ESG'!$N$10:$N$17,MATCH($F157,'ESG'!$B$10:$B$17,0))="","Cell will autofill based on response",INDEX('ESG'!$N$10:$N$17,MATCH($F157,'ESG'!$B$10:$B$17,0))),"N/A")</f>
        <v/>
      </c>
      <c r="Q157" s="52">
        <f>IFERROR(IF(INDEX('CIOG'!$N$10:$N$14,MATCH($F157,'CIOG'!$B$10:$B$14,0))="","Cell will autofill based on response",INDEX('CIOG'!$N$10:$N$14,MATCH($F157,'CIOG'!$B$10:$B$14,0))),"N/A")</f>
        <v/>
      </c>
      <c r="R157" s="52">
        <f>IFERROR(IF(INDEX('MRE'!$N$10:$N$12,MATCH($F157,'MRE'!$B$10:$B$12,0))="","Cell will autofill based on response",INDEX('MRE'!$N$10:$N$12,MATCH($F157,'MRE'!$B$10:$B$12,0))),"N/A")</f>
        <v/>
      </c>
      <c r="S157" s="52">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2">
        <f>IFERROR(IF(INDEX('Faculties'!$O$10:$O$30,MATCH($F158,'Faculties'!$B$10:$B$30,0))="","Cell will autofill based on response",INDEX('Faculties'!$O$10:$O$30,MATCH($F158,'Faculties'!$B$10:$B$30,0))),"N/A")</f>
        <v/>
      </c>
      <c r="I158" s="52">
        <f>IFERROR(IF(INDEX('Faculties'!$O$37:$O$57,MATCH($F158,'Faculties'!$B$37:$B$57,0))="","Cell will autofill based on response",INDEX('Faculties'!$O$37:$O$57,MATCH($F158,'Faculties'!$B$37:$B$57,0))),"N/A")</f>
        <v/>
      </c>
      <c r="J158" s="52">
        <f>IFERROR(IF(INDEX('Faculties'!$O$64:$O$84,MATCH($F158,'Faculties'!$B$64:$B$84,0))="","Cell will autofill based on response",INDEX('Faculties'!$O$64:$O$84,MATCH($F158,'Faculties'!$B$64:$B$84,0))),"N/A")</f>
        <v/>
      </c>
      <c r="K158" s="52">
        <f>IFERROR(IF(INDEX('Faculties'!$O$91:$O$111,MATCH($F158,'Faculties'!$B$91:$B$111,0))="","Cell will autofill based on response",INDEX('Faculties'!$O$91:$O$111,MATCH($F158,'Faculties'!$B$91:$B$111,0))),"N/A")</f>
        <v/>
      </c>
      <c r="L158" s="52">
        <f>IFERROR(IF(INDEX('CI&amp;S'!$O$10:$O$15,MATCH($F158,'CI&amp;S'!$B$10:$B$15,0))="","Cell will autofill based on response",INDEX('CI&amp;S'!$O$10:$O$15,MATCH($F158,'CI&amp;S'!$B$10:$B$15,0))),"N/A")</f>
        <v/>
      </c>
      <c r="M158" s="52">
        <f>IFERROR(IF(INDEX('CI&amp;S'!$O$22:$O$39,MATCH($F158,'CI&amp;S'!$B$22:$B$39,0))="","Cell will autofill based on response",INDEX('CI&amp;S'!$O$22:$O$39,MATCH($F158,'CI&amp;S'!$B$22:$B$39,0))),"N/A")</f>
        <v/>
      </c>
      <c r="N158" s="52">
        <f>IFERROR(IF(INDEX('CFOG'!$O$10:$O$16,MATCH($F158,'CFOG'!$B$10:$B$16,0))="","Cell will autofill based on response",INDEX('CFOG'!$O$10:$O$16,MATCH($F158,'CFOG'!$B$10:$B$16,0))),"N/A")</f>
        <v/>
      </c>
      <c r="O158" s="52">
        <f>IFERROR(IF(INDEX('CFOG'!$O$23:$O$24,MATCH($F158,'CFOG'!$B$23:$B$24,0))="","Cell will autofill based on response",INDEX('CFOG'!$O$23:$O$24,MATCH($F158,'CFOG'!$B$23:$B$24,0))),"N/A")</f>
        <v/>
      </c>
      <c r="P158" s="52">
        <f>IFERROR(IF(INDEX('ESG'!$O$10:$O$17,MATCH($F158,'ESG'!$B$10:$B$17,0))="","Cell will autofill based on response",INDEX('ESG'!$O$10:$O$17,MATCH($F158,'ESG'!$B$10:$B$17,0))),"N/A")</f>
        <v/>
      </c>
      <c r="Q158" s="52">
        <f>IFERROR(IF(INDEX('CIOG'!$O$10:$O$14,MATCH($F158,'CIOG'!$B$10:$B$14,0))="","Cell will autofill based on response",INDEX('CIOG'!$O$10:$O$14,MATCH($F158,'CIOG'!$B$10:$B$14,0))),"N/A")</f>
        <v/>
      </c>
      <c r="R158" s="52">
        <f>IFERROR(IF(INDEX('MRE'!$O$10:$O$12,MATCH($F158,'MRE'!$B$10:$B$12,0))="","Cell will autofill based on response",INDEX('MRE'!$O$10:$O$12,MATCH($F158,'MRE'!$B$10:$B$12,0))),"N/A")</f>
        <v/>
      </c>
      <c r="S158" s="52">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2">
        <f>IFERROR(IF(INDEX('Faculties'!$P$10:$P$30,MATCH($F159,'Faculties'!$B$10:$B$30,0))="","Cell will autofill based on response",INDEX('Faculties'!$P$10:$P$30,MATCH($F159,'Faculties'!$B$10:$B$30,0))),"N/A")</f>
        <v/>
      </c>
      <c r="I159" s="52">
        <f>IFERROR(IF(INDEX('Faculties'!$P$37:$P$57,MATCH($F159,'Faculties'!$B$37:$B$57,0))="","Cell will autofill based on response",INDEX('Faculties'!$P$37:$P$57,MATCH($F159,'Faculties'!$B$37:$B$57,0))),"N/A")</f>
        <v/>
      </c>
      <c r="J159" s="52">
        <f>IFERROR(IF(INDEX('Faculties'!$P$64:$P$84,MATCH($F159,'Faculties'!$B$64:$B$84,0))="","Cell will autofill based on response",INDEX('Faculties'!$P$64:$P$84,MATCH($F159,'Faculties'!$B$64:$B$84,0))),"N/A")</f>
        <v/>
      </c>
      <c r="K159" s="52">
        <f>IFERROR(IF(INDEX('Faculties'!$P$91:$P$111,MATCH($F159,'Faculties'!$B$91:$B$111,0))="","Cell will autofill based on response",INDEX('Faculties'!$P$91:$P$111,MATCH($F159,'Faculties'!$B$91:$B$111,0))),"N/A")</f>
        <v/>
      </c>
      <c r="L159" s="52">
        <f>IFERROR(IF(INDEX('CI&amp;S'!$P$10:$P$15,MATCH($F159,'CI&amp;S'!$B$10:$B$15,0))="","Cell will autofill based on response",INDEX('CI&amp;S'!$P$10:$P$15,MATCH($F159,'CI&amp;S'!$B$10:$B$15,0))),"N/A")</f>
        <v/>
      </c>
      <c r="M159" s="52">
        <f>IFERROR(IF(INDEX('CI&amp;S'!$P$22:$P$39,MATCH($F159,'CI&amp;S'!$B$22:$B$39,0))="","Cell will autofill based on response",INDEX('CI&amp;S'!$P$22:$P$39,MATCH($F159,'CI&amp;S'!$B$22:$B$39,0))),"N/A")</f>
        <v/>
      </c>
      <c r="N159" s="52">
        <f>IFERROR(IF(INDEX('CFOG'!$P$10:$P$16,MATCH($F159,'CFOG'!$B$10:$B$16,0))="","Cell will autofill based on response",INDEX('CFOG'!$P$10:$P$16,MATCH($F159,'CFOG'!$B$10:$B$16,0))),"N/A")</f>
        <v/>
      </c>
      <c r="O159" s="52">
        <f>IFERROR(IF(INDEX('CFOG'!$P$23:$P$24,MATCH($F159,'CFOG'!$B$23:$B$24,0))="","Cell will autofill based on response",INDEX('CFOG'!$P$23:$P$24,MATCH($F159,'CFOG'!$B$23:$B$24,0))),"N/A")</f>
        <v/>
      </c>
      <c r="P159" s="52">
        <f>IFERROR(IF(INDEX('ESG'!$P$10:$P$17,MATCH($F159,'ESG'!$B$10:$B$17,0))="","Cell will autofill based on response",INDEX('ESG'!$P$10:$P$17,MATCH($F159,'ESG'!$B$10:$B$17,0))),"N/A")</f>
        <v/>
      </c>
      <c r="Q159" s="52">
        <f>IFERROR(IF(INDEX('CIOG'!$P$10:$P$14,MATCH($F159,'CIOG'!$B$10:$B$14,0))="","Cell will autofill based on response",INDEX('CIOG'!$P$10:$P$14,MATCH($F159,'CIOG'!$B$10:$B$14,0))),"N/A")</f>
        <v/>
      </c>
      <c r="R159" s="52">
        <f>IFERROR(IF(INDEX('MRE'!$P$10:$P$12,MATCH($F159,'MRE'!$B$10:$B$12,0))="","Cell will autofill based on response",INDEX('MRE'!$P$10:$P$12,MATCH($F159,'MRE'!$B$10:$B$12,0))),"N/A")</f>
        <v/>
      </c>
      <c r="S159" s="52">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2">
        <f>IFERROR(IF(INDEX('Faculties'!$Q$10:$Q$30,MATCH($F160,'Faculties'!$B$10:$B$30,0))="","Cell will autofill based on response",INDEX('Faculties'!$Q$10:$Q$30,MATCH($F160,'Faculties'!$B$10:$B$30,0))),"N/A")</f>
        <v/>
      </c>
      <c r="I160" s="52">
        <f>IFERROR(IF(INDEX('Faculties'!$Q$37:$Q$57,MATCH($F160,'Faculties'!$B$37:$B$57,0))="","Cell will autofill based on response",INDEX('Faculties'!$Q$37:$Q$57,MATCH($F160,'Faculties'!$B$37:$B$57,0))),"N/A")</f>
        <v/>
      </c>
      <c r="J160" s="52">
        <f>IFERROR(IF(INDEX('Faculties'!$Q$64:$Q$84,MATCH($F160,'Faculties'!$B$64:$B$84,0))="","Cell will autofill based on response",INDEX('Faculties'!$Q$64:$Q$84,MATCH($F160,'Faculties'!$B$64:$B$84,0))),"N/A")</f>
        <v/>
      </c>
      <c r="K160" s="52">
        <f>IFERROR(IF(INDEX('Faculties'!$Q$91:$Q$111,MATCH($F160,'Faculties'!$B$91:$B$111,0))="","Cell will autofill based on response",INDEX('Faculties'!$Q$91:$Q$111,MATCH($F160,'Faculties'!$B$91:$B$111,0))),"N/A")</f>
        <v/>
      </c>
      <c r="L160" s="52">
        <f>IFERROR(IF(INDEX('CI&amp;S'!$Q$10:$Q$15,MATCH($F160,'CI&amp;S'!$B$10:$B$15,0))="","Cell will autofill based on response",INDEX('CI&amp;S'!$Q$10:$Q$15,MATCH($F160,'CI&amp;S'!$B$10:$B$15,0))),"N/A")</f>
        <v/>
      </c>
      <c r="M160" s="52">
        <f>IFERROR(IF(INDEX('CI&amp;S'!$Q$22:$Q$39,MATCH($F160,'CI&amp;S'!$B$22:$B$39,0))="","Cell will autofill based on response",INDEX('CI&amp;S'!$Q$22:$Q$39,MATCH($F160,'CI&amp;S'!$B$22:$B$39,0))),"N/A")</f>
        <v/>
      </c>
      <c r="N160" s="52">
        <f>IFERROR(IF(INDEX('CFOG'!$Q$10:$Q$16,MATCH($F160,'CFOG'!$B$10:$B$16,0))="","Cell will autofill based on response",INDEX('CFOG'!$Q$10:$Q$16,MATCH($F160,'CFOG'!$B$10:$B$16,0))),"N/A")</f>
        <v/>
      </c>
      <c r="O160" s="52">
        <f>IFERROR(IF(INDEX('CFOG'!$Q$23:$Q$24,MATCH($F160,'CFOG'!$B$23:$B$24,0))="","Cell will autofill based on response",INDEX('CFOG'!$Q$23:$Q$24,MATCH($F160,'CFOG'!$B$23:$B$24,0))),"N/A")</f>
        <v/>
      </c>
      <c r="P160" s="52">
        <f>IFERROR(IF(INDEX('ESG'!$Q$10:$Q$17,MATCH($F160,'ESG'!$B$10:$B$17,0))="","Cell will autofill based on response",INDEX('ESG'!$Q$10:$Q$17,MATCH($F160,'ESG'!$B$10:$B$17,0))),"N/A")</f>
        <v/>
      </c>
      <c r="Q160" s="52">
        <f>IFERROR(IF(INDEX('CIOG'!$Q$10:$Q$14,MATCH($F160,'CIOG'!$B$10:$B$14,0))="","Cell will autofill based on response",INDEX('CIOG'!$Q$10:$Q$14,MATCH($F160,'CIOG'!$B$10:$B$14,0))),"N/A")</f>
        <v/>
      </c>
      <c r="R160" s="52">
        <f>IFERROR(IF(INDEX('MRE'!$Q$10:$Q$12,MATCH($F160,'MRE'!$B$10:$B$12,0))="","Cell will autofill based on response",INDEX('MRE'!$Q$10:$Q$12,MATCH($F160,'MRE'!$B$10:$B$12,0))),"N/A")</f>
        <v/>
      </c>
      <c r="S160" s="52">
        <f>IFERROR(IF(INDEX('L&amp;R'!$Q$10:$Q$11,MATCH($F160,'L&amp;R'!$B$10:$B$11,0))="","Cell will autofill based on response",INDEX('L&amp;R'!$Q$10:$Q$11,MATCH($F160,'L&amp;R'!$B$10:$B$11,0))),"N/A")</f>
        <v/>
      </c>
    </row>
    <row r="161">
      <c r="A161">
        <f>F161&amp;"|"&amp;G161</f>
        <v/>
      </c>
      <c r="B161" s="7" t="inlineStr">
        <is>
          <t>AI1(a)</t>
        </is>
      </c>
      <c r="C161" s="50" t="inlineStr">
        <is>
          <t>Responsible AI</t>
        </is>
      </c>
      <c r="D161" s="50" t="inlineStr">
        <is>
          <t>Established measurement of estimated operational impacts and opportunities (eg operational impacts could include energy, water, emissions and intensity measures)</t>
        </is>
      </c>
      <c r="E161" s="50" t="inlineStr"/>
      <c r="F161" s="50" t="inlineStr">
        <is>
          <t>AI1(a)</t>
        </is>
      </c>
      <c r="G161" s="50" t="inlineStr">
        <is>
          <t>Confirm end-2026 target status</t>
        </is>
      </c>
      <c r="H161" s="52">
        <f>IFERROR(IF(INDEX('Faculties'!$L$10:$L$30,MATCH($F161,'Faculties'!$B$10:$B$30,0))="","Cell will autofill based on response",INDEX('Faculties'!$L$10:$L$30,MATCH($F161,'Faculties'!$B$10:$B$30,0))),"N/A")</f>
        <v/>
      </c>
      <c r="I161" s="52">
        <f>IFERROR(IF(INDEX('Faculties'!$L$37:$L$57,MATCH($F161,'Faculties'!$B$37:$B$57,0))="","Cell will autofill based on response",INDEX('Faculties'!$L$37:$L$57,MATCH($F161,'Faculties'!$B$37:$B$57,0))),"N/A")</f>
        <v/>
      </c>
      <c r="J161" s="52">
        <f>IFERROR(IF(INDEX('Faculties'!$L$64:$L$84,MATCH($F161,'Faculties'!$B$64:$B$84,0))="","Cell will autofill based on response",INDEX('Faculties'!$L$64:$L$84,MATCH($F161,'Faculties'!$B$64:$B$84,0))),"N/A")</f>
        <v/>
      </c>
      <c r="K161" s="52">
        <f>IFERROR(IF(INDEX('Faculties'!$L$91:$L$111,MATCH($F161,'Faculties'!$B$91:$B$111,0))="","Cell will autofill based on response",INDEX('Faculties'!$L$91:$L$111,MATCH($F161,'Faculties'!$B$91:$B$111,0))),"N/A")</f>
        <v/>
      </c>
      <c r="L161" s="52">
        <f>IFERROR(IF(INDEX('CI&amp;S'!$L$10:$L$15,MATCH($F161,'CI&amp;S'!$B$10:$B$15,0))="","Cell will autofill based on response",INDEX('CI&amp;S'!$L$10:$L$15,MATCH($F161,'CI&amp;S'!$B$10:$B$15,0))),"N/A")</f>
        <v/>
      </c>
      <c r="M161" s="52">
        <f>IFERROR(IF(INDEX('CI&amp;S'!$L$22:$L$39,MATCH($F161,'CI&amp;S'!$B$22:$B$39,0))="","Cell will autofill based on response",INDEX('CI&amp;S'!$L$22:$L$39,MATCH($F161,'CI&amp;S'!$B$22:$B$39,0))),"N/A")</f>
        <v/>
      </c>
      <c r="N161" s="52">
        <f>IFERROR(IF(INDEX('CFOG'!$L$10:$L$16,MATCH($F161,'CFOG'!$B$10:$B$16,0))="","Cell will autofill based on response",INDEX('CFOG'!$L$10:$L$16,MATCH($F161,'CFOG'!$B$10:$B$16,0))),"N/A")</f>
        <v/>
      </c>
      <c r="O161" s="52">
        <f>IFERROR(IF(INDEX('CFOG'!$L$23:$L$24,MATCH($F161,'CFOG'!$B$23:$B$24,0))="","Cell will autofill based on response",INDEX('CFOG'!$L$23:$L$24,MATCH($F161,'CFOG'!$B$23:$B$24,0))),"N/A")</f>
        <v/>
      </c>
      <c r="P161" s="52">
        <f>IFERROR(IF(INDEX('ESG'!$L$10:$L$17,MATCH($F161,'ESG'!$B$10:$B$17,0))="","Cell will autofill based on response",INDEX('ESG'!$L$10:$L$17,MATCH($F161,'ESG'!$B$10:$B$17,0))),"N/A")</f>
        <v/>
      </c>
      <c r="Q161" s="52">
        <f>IFERROR(IF(INDEX('CIOG'!$L$10:$L$14,MATCH($F161,'CIOG'!$B$10:$B$14,0))="","Cell will autofill based on response",INDEX('CIOG'!$L$10:$L$14,MATCH($F161,'CIOG'!$B$10:$B$14,0))),"N/A")</f>
        <v/>
      </c>
      <c r="R161" s="52">
        <f>IFERROR(IF(INDEX('MRE'!$L$10:$L$12,MATCH($F161,'MRE'!$B$10:$B$12,0))="","Cell will autofill based on response",INDEX('MRE'!$L$10:$L$12,MATCH($F161,'MRE'!$B$10:$B$12,0))),"N/A")</f>
        <v/>
      </c>
      <c r="S161" s="52">
        <f>IFERROR(IF(INDEX('L&amp;R'!$L$10:$L$11,MATCH($F161,'L&amp;R'!$B$10:$B$11,0))="","Cell will autofill based on response",INDEX('L&amp;R'!$L$10:$L$11,MATCH($F161,'L&amp;R'!$B$10:$B$11,0))),"N/A")</f>
        <v/>
      </c>
      <c r="U161" s="10">
        <f>COUNTIF($H161:$S161,"Cell will autofill based on response")</f>
        <v/>
      </c>
      <c r="V161" s="10">
        <f>COUNTIF($H161:$S161,"Not yet started")</f>
        <v/>
      </c>
      <c r="W161" s="10">
        <f>COUNTIF($H161:$S161,"Not met")</f>
        <v/>
      </c>
      <c r="X161" s="10">
        <f>COUNTIF($H161:$S161,"Partially met")</f>
        <v/>
      </c>
      <c r="Y161" s="10">
        <f>COUNTIF($H161:$S161,"Met or exceeded")</f>
        <v/>
      </c>
      <c r="Z161" s="10">
        <f>3*Y161+2*X161+W161</f>
        <v/>
      </c>
      <c r="AA161" s="10">
        <f>Y161+X161+W161+V161</f>
        <v/>
      </c>
      <c r="AB161" s="53">
        <f>IF(AA161&gt;0,Z161/AA161,"No valid responses to date")</f>
        <v/>
      </c>
      <c r="AC161" s="10">
        <f>IF(ISNUMBER(AB161),INDEX(Lists!$G$2:$G$5,MATCH(ROUND(AB161,0),Lists!$H$2:$H$5,0)),"")</f>
        <v/>
      </c>
      <c r="AD161" s="54">
        <f>IF(AA161&gt;0,Y161/AA161,"")</f>
        <v/>
      </c>
      <c r="AE161" s="54">
        <f>IF(AA161&gt;0,(Y161+X161)/AA161,"")</f>
        <v/>
      </c>
      <c r="AF161" s="10">
        <f>IF(AA161=0,"",IF(AD161&gt;0.75,"Met or exceeded",IF(AE161&gt;=0.5,"Partially met","Not met")))</f>
        <v/>
      </c>
    </row>
    <row r="162">
      <c r="A162">
        <f>F162&amp;"|"&amp;G162</f>
        <v/>
      </c>
      <c r="B162" s="13" t="inlineStr"/>
      <c r="C162" s="8" t="inlineStr"/>
      <c r="D162" s="8" t="inlineStr"/>
      <c r="E162" s="8" t="inlineStr"/>
      <c r="F162" s="8" t="inlineStr">
        <is>
          <t>AI1(a)</t>
        </is>
      </c>
      <c r="G162" s="8" t="inlineStr">
        <is>
          <t>OPTION 1:  Target-level reporting</t>
        </is>
      </c>
      <c r="H162" s="52">
        <f>IFERROR(IF(INDEX('Faculties'!$M$10:$M$30,MATCH($F162,'Faculties'!$B$10:$B$30,0))="","Cell will autofill based on response",INDEX('Faculties'!$M$10:$M$30,MATCH($F162,'Faculties'!$B$10:$B$30,0))),"N/A")</f>
        <v/>
      </c>
      <c r="I162" s="52">
        <f>IFERROR(IF(INDEX('Faculties'!$M$37:$M$57,MATCH($F162,'Faculties'!$B$37:$B$57,0))="","Cell will autofill based on response",INDEX('Faculties'!$M$37:$M$57,MATCH($F162,'Faculties'!$B$37:$B$57,0))),"N/A")</f>
        <v/>
      </c>
      <c r="J162" s="52">
        <f>IFERROR(IF(INDEX('Faculties'!$M$64:$M$84,MATCH($F162,'Faculties'!$B$64:$B$84,0))="","Cell will autofill based on response",INDEX('Faculties'!$M$64:$M$84,MATCH($F162,'Faculties'!$B$64:$B$84,0))),"N/A")</f>
        <v/>
      </c>
      <c r="K162" s="52">
        <f>IFERROR(IF(INDEX('Faculties'!$M$91:$M$111,MATCH($F162,'Faculties'!$B$91:$B$111,0))="","Cell will autofill based on response",INDEX('Faculties'!$M$91:$M$111,MATCH($F162,'Faculties'!$B$91:$B$111,0))),"N/A")</f>
        <v/>
      </c>
      <c r="L162" s="52">
        <f>IFERROR(IF(INDEX('CI&amp;S'!$M$10:$M$15,MATCH($F162,'CI&amp;S'!$B$10:$B$15,0))="","Cell will autofill based on response",INDEX('CI&amp;S'!$M$10:$M$15,MATCH($F162,'CI&amp;S'!$B$10:$B$15,0))),"N/A")</f>
        <v/>
      </c>
      <c r="M162" s="52">
        <f>IFERROR(IF(INDEX('CI&amp;S'!$M$22:$M$39,MATCH($F162,'CI&amp;S'!$B$22:$B$39,0))="","Cell will autofill based on response",INDEX('CI&amp;S'!$M$22:$M$39,MATCH($F162,'CI&amp;S'!$B$22:$B$39,0))),"N/A")</f>
        <v/>
      </c>
      <c r="N162" s="52">
        <f>IFERROR(IF(INDEX('CFOG'!$M$10:$M$16,MATCH($F162,'CFOG'!$B$10:$B$16,0))="","Cell will autofill based on response",INDEX('CFOG'!$M$10:$M$16,MATCH($F162,'CFOG'!$B$10:$B$16,0))),"N/A")</f>
        <v/>
      </c>
      <c r="O162" s="52">
        <f>IFERROR(IF(INDEX('CFOG'!$M$23:$M$24,MATCH($F162,'CFOG'!$B$23:$B$24,0))="","Cell will autofill based on response",INDEX('CFOG'!$M$23:$M$24,MATCH($F162,'CFOG'!$B$23:$B$24,0))),"N/A")</f>
        <v/>
      </c>
      <c r="P162" s="52">
        <f>IFERROR(IF(INDEX('ESG'!$M$10:$M$17,MATCH($F162,'ESG'!$B$10:$B$17,0))="","Cell will autofill based on response",INDEX('ESG'!$M$10:$M$17,MATCH($F162,'ESG'!$B$10:$B$17,0))),"N/A")</f>
        <v/>
      </c>
      <c r="Q162" s="52">
        <f>IFERROR(IF(INDEX('CIOG'!$M$10:$M$14,MATCH($F162,'CIOG'!$B$10:$B$14,0))="","Cell will autofill based on response",INDEX('CIOG'!$M$10:$M$14,MATCH($F162,'CIOG'!$B$10:$B$14,0))),"N/A")</f>
        <v/>
      </c>
      <c r="R162" s="52">
        <f>IFERROR(IF(INDEX('MRE'!$M$10:$M$12,MATCH($F162,'MRE'!$B$10:$B$12,0))="","Cell will autofill based on response",INDEX('MRE'!$M$10:$M$12,MATCH($F162,'MRE'!$B$10:$B$12,0))),"N/A")</f>
        <v/>
      </c>
      <c r="S162" s="52">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2">
        <f>IFERROR(IF(INDEX('Faculties'!$N$10:$N$30,MATCH($F163,'Faculties'!$B$10:$B$30,0))="","Cell will autofill based on response",INDEX('Faculties'!$N$10:$N$30,MATCH($F163,'Faculties'!$B$10:$B$30,0))),"N/A")</f>
        <v/>
      </c>
      <c r="I163" s="52">
        <f>IFERROR(IF(INDEX('Faculties'!$N$37:$N$57,MATCH($F163,'Faculties'!$B$37:$B$57,0))="","Cell will autofill based on response",INDEX('Faculties'!$N$37:$N$57,MATCH($F163,'Faculties'!$B$37:$B$57,0))),"N/A")</f>
        <v/>
      </c>
      <c r="J163" s="52">
        <f>IFERROR(IF(INDEX('Faculties'!$N$64:$N$84,MATCH($F163,'Faculties'!$B$64:$B$84,0))="","Cell will autofill based on response",INDEX('Faculties'!$N$64:$N$84,MATCH($F163,'Faculties'!$B$64:$B$84,0))),"N/A")</f>
        <v/>
      </c>
      <c r="K163" s="52">
        <f>IFERROR(IF(INDEX('Faculties'!$N$91:$N$111,MATCH($F163,'Faculties'!$B$91:$B$111,0))="","Cell will autofill based on response",INDEX('Faculties'!$N$91:$N$111,MATCH($F163,'Faculties'!$B$91:$B$111,0))),"N/A")</f>
        <v/>
      </c>
      <c r="L163" s="52">
        <f>IFERROR(IF(INDEX('CI&amp;S'!$N$10:$N$15,MATCH($F163,'CI&amp;S'!$B$10:$B$15,0))="","Cell will autofill based on response",INDEX('CI&amp;S'!$N$10:$N$15,MATCH($F163,'CI&amp;S'!$B$10:$B$15,0))),"N/A")</f>
        <v/>
      </c>
      <c r="M163" s="52">
        <f>IFERROR(IF(INDEX('CI&amp;S'!$N$22:$N$39,MATCH($F163,'CI&amp;S'!$B$22:$B$39,0))="","Cell will autofill based on response",INDEX('CI&amp;S'!$N$22:$N$39,MATCH($F163,'CI&amp;S'!$B$22:$B$39,0))),"N/A")</f>
        <v/>
      </c>
      <c r="N163" s="52">
        <f>IFERROR(IF(INDEX('CFOG'!$N$10:$N$16,MATCH($F163,'CFOG'!$B$10:$B$16,0))="","Cell will autofill based on response",INDEX('CFOG'!$N$10:$N$16,MATCH($F163,'CFOG'!$B$10:$B$16,0))),"N/A")</f>
        <v/>
      </c>
      <c r="O163" s="52">
        <f>IFERROR(IF(INDEX('CFOG'!$N$23:$N$24,MATCH($F163,'CFOG'!$B$23:$B$24,0))="","Cell will autofill based on response",INDEX('CFOG'!$N$23:$N$24,MATCH($F163,'CFOG'!$B$23:$B$24,0))),"N/A")</f>
        <v/>
      </c>
      <c r="P163" s="52">
        <f>IFERROR(IF(INDEX('ESG'!$N$10:$N$17,MATCH($F163,'ESG'!$B$10:$B$17,0))="","Cell will autofill based on response",INDEX('ESG'!$N$10:$N$17,MATCH($F163,'ESG'!$B$10:$B$17,0))),"N/A")</f>
        <v/>
      </c>
      <c r="Q163" s="52">
        <f>IFERROR(IF(INDEX('CIOG'!$N$10:$N$14,MATCH($F163,'CIOG'!$B$10:$B$14,0))="","Cell will autofill based on response",INDEX('CIOG'!$N$10:$N$14,MATCH($F163,'CIOG'!$B$10:$B$14,0))),"N/A")</f>
        <v/>
      </c>
      <c r="R163" s="52">
        <f>IFERROR(IF(INDEX('MRE'!$N$10:$N$12,MATCH($F163,'MRE'!$B$10:$B$12,0))="","Cell will autofill based on response",INDEX('MRE'!$N$10:$N$12,MATCH($F163,'MRE'!$B$10:$B$12,0))),"N/A")</f>
        <v/>
      </c>
      <c r="S163" s="52">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2">
        <f>IFERROR(IF(INDEX('Faculties'!$O$10:$O$30,MATCH($F164,'Faculties'!$B$10:$B$30,0))="","Cell will autofill based on response",INDEX('Faculties'!$O$10:$O$30,MATCH($F164,'Faculties'!$B$10:$B$30,0))),"N/A")</f>
        <v/>
      </c>
      <c r="I164" s="52">
        <f>IFERROR(IF(INDEX('Faculties'!$O$37:$O$57,MATCH($F164,'Faculties'!$B$37:$B$57,0))="","Cell will autofill based on response",INDEX('Faculties'!$O$37:$O$57,MATCH($F164,'Faculties'!$B$37:$B$57,0))),"N/A")</f>
        <v/>
      </c>
      <c r="J164" s="52">
        <f>IFERROR(IF(INDEX('Faculties'!$O$64:$O$84,MATCH($F164,'Faculties'!$B$64:$B$84,0))="","Cell will autofill based on response",INDEX('Faculties'!$O$64:$O$84,MATCH($F164,'Faculties'!$B$64:$B$84,0))),"N/A")</f>
        <v/>
      </c>
      <c r="K164" s="52">
        <f>IFERROR(IF(INDEX('Faculties'!$O$91:$O$111,MATCH($F164,'Faculties'!$B$91:$B$111,0))="","Cell will autofill based on response",INDEX('Faculties'!$O$91:$O$111,MATCH($F164,'Faculties'!$B$91:$B$111,0))),"N/A")</f>
        <v/>
      </c>
      <c r="L164" s="52">
        <f>IFERROR(IF(INDEX('CI&amp;S'!$O$10:$O$15,MATCH($F164,'CI&amp;S'!$B$10:$B$15,0))="","Cell will autofill based on response",INDEX('CI&amp;S'!$O$10:$O$15,MATCH($F164,'CI&amp;S'!$B$10:$B$15,0))),"N/A")</f>
        <v/>
      </c>
      <c r="M164" s="52">
        <f>IFERROR(IF(INDEX('CI&amp;S'!$O$22:$O$39,MATCH($F164,'CI&amp;S'!$B$22:$B$39,0))="","Cell will autofill based on response",INDEX('CI&amp;S'!$O$22:$O$39,MATCH($F164,'CI&amp;S'!$B$22:$B$39,0))),"N/A")</f>
        <v/>
      </c>
      <c r="N164" s="52">
        <f>IFERROR(IF(INDEX('CFOG'!$O$10:$O$16,MATCH($F164,'CFOG'!$B$10:$B$16,0))="","Cell will autofill based on response",INDEX('CFOG'!$O$10:$O$16,MATCH($F164,'CFOG'!$B$10:$B$16,0))),"N/A")</f>
        <v/>
      </c>
      <c r="O164" s="52">
        <f>IFERROR(IF(INDEX('CFOG'!$O$23:$O$24,MATCH($F164,'CFOG'!$B$23:$B$24,0))="","Cell will autofill based on response",INDEX('CFOG'!$O$23:$O$24,MATCH($F164,'CFOG'!$B$23:$B$24,0))),"N/A")</f>
        <v/>
      </c>
      <c r="P164" s="52">
        <f>IFERROR(IF(INDEX('ESG'!$O$10:$O$17,MATCH($F164,'ESG'!$B$10:$B$17,0))="","Cell will autofill based on response",INDEX('ESG'!$O$10:$O$17,MATCH($F164,'ESG'!$B$10:$B$17,0))),"N/A")</f>
        <v/>
      </c>
      <c r="Q164" s="52">
        <f>IFERROR(IF(INDEX('CIOG'!$O$10:$O$14,MATCH($F164,'CIOG'!$B$10:$B$14,0))="","Cell will autofill based on response",INDEX('CIOG'!$O$10:$O$14,MATCH($F164,'CIOG'!$B$10:$B$14,0))),"N/A")</f>
        <v/>
      </c>
      <c r="R164" s="52">
        <f>IFERROR(IF(INDEX('MRE'!$O$10:$O$12,MATCH($F164,'MRE'!$B$10:$B$12,0))="","Cell will autofill based on response",INDEX('MRE'!$O$10:$O$12,MATCH($F164,'MRE'!$B$10:$B$12,0))),"N/A")</f>
        <v/>
      </c>
      <c r="S164" s="52">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2">
        <f>IFERROR(IF(INDEX('Faculties'!$P$10:$P$30,MATCH($F165,'Faculties'!$B$10:$B$30,0))="","Cell will autofill based on response",INDEX('Faculties'!$P$10:$P$30,MATCH($F165,'Faculties'!$B$10:$B$30,0))),"N/A")</f>
        <v/>
      </c>
      <c r="I165" s="52">
        <f>IFERROR(IF(INDEX('Faculties'!$P$37:$P$57,MATCH($F165,'Faculties'!$B$37:$B$57,0))="","Cell will autofill based on response",INDEX('Faculties'!$P$37:$P$57,MATCH($F165,'Faculties'!$B$37:$B$57,0))),"N/A")</f>
        <v/>
      </c>
      <c r="J165" s="52">
        <f>IFERROR(IF(INDEX('Faculties'!$P$64:$P$84,MATCH($F165,'Faculties'!$B$64:$B$84,0))="","Cell will autofill based on response",INDEX('Faculties'!$P$64:$P$84,MATCH($F165,'Faculties'!$B$64:$B$84,0))),"N/A")</f>
        <v/>
      </c>
      <c r="K165" s="52">
        <f>IFERROR(IF(INDEX('Faculties'!$P$91:$P$111,MATCH($F165,'Faculties'!$B$91:$B$111,0))="","Cell will autofill based on response",INDEX('Faculties'!$P$91:$P$111,MATCH($F165,'Faculties'!$B$91:$B$111,0))),"N/A")</f>
        <v/>
      </c>
      <c r="L165" s="52">
        <f>IFERROR(IF(INDEX('CI&amp;S'!$P$10:$P$15,MATCH($F165,'CI&amp;S'!$B$10:$B$15,0))="","Cell will autofill based on response",INDEX('CI&amp;S'!$P$10:$P$15,MATCH($F165,'CI&amp;S'!$B$10:$B$15,0))),"N/A")</f>
        <v/>
      </c>
      <c r="M165" s="52">
        <f>IFERROR(IF(INDEX('CI&amp;S'!$P$22:$P$39,MATCH($F165,'CI&amp;S'!$B$22:$B$39,0))="","Cell will autofill based on response",INDEX('CI&amp;S'!$P$22:$P$39,MATCH($F165,'CI&amp;S'!$B$22:$B$39,0))),"N/A")</f>
        <v/>
      </c>
      <c r="N165" s="52">
        <f>IFERROR(IF(INDEX('CFOG'!$P$10:$P$16,MATCH($F165,'CFOG'!$B$10:$B$16,0))="","Cell will autofill based on response",INDEX('CFOG'!$P$10:$P$16,MATCH($F165,'CFOG'!$B$10:$B$16,0))),"N/A")</f>
        <v/>
      </c>
      <c r="O165" s="52">
        <f>IFERROR(IF(INDEX('CFOG'!$P$23:$P$24,MATCH($F165,'CFOG'!$B$23:$B$24,0))="","Cell will autofill based on response",INDEX('CFOG'!$P$23:$P$24,MATCH($F165,'CFOG'!$B$23:$B$24,0))),"N/A")</f>
        <v/>
      </c>
      <c r="P165" s="52">
        <f>IFERROR(IF(INDEX('ESG'!$P$10:$P$17,MATCH($F165,'ESG'!$B$10:$B$17,0))="","Cell will autofill based on response",INDEX('ESG'!$P$10:$P$17,MATCH($F165,'ESG'!$B$10:$B$17,0))),"N/A")</f>
        <v/>
      </c>
      <c r="Q165" s="52">
        <f>IFERROR(IF(INDEX('CIOG'!$P$10:$P$14,MATCH($F165,'CIOG'!$B$10:$B$14,0))="","Cell will autofill based on response",INDEX('CIOG'!$P$10:$P$14,MATCH($F165,'CIOG'!$B$10:$B$14,0))),"N/A")</f>
        <v/>
      </c>
      <c r="R165" s="52">
        <f>IFERROR(IF(INDEX('MRE'!$P$10:$P$12,MATCH($F165,'MRE'!$B$10:$B$12,0))="","Cell will autofill based on response",INDEX('MRE'!$P$10:$P$12,MATCH($F165,'MRE'!$B$10:$B$12,0))),"N/A")</f>
        <v/>
      </c>
      <c r="S165" s="52">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2">
        <f>IFERROR(IF(INDEX('Faculties'!$Q$10:$Q$30,MATCH($F166,'Faculties'!$B$10:$B$30,0))="","Cell will autofill based on response",INDEX('Faculties'!$Q$10:$Q$30,MATCH($F166,'Faculties'!$B$10:$B$30,0))),"N/A")</f>
        <v/>
      </c>
      <c r="I166" s="52">
        <f>IFERROR(IF(INDEX('Faculties'!$Q$37:$Q$57,MATCH($F166,'Faculties'!$B$37:$B$57,0))="","Cell will autofill based on response",INDEX('Faculties'!$Q$37:$Q$57,MATCH($F166,'Faculties'!$B$37:$B$57,0))),"N/A")</f>
        <v/>
      </c>
      <c r="J166" s="52">
        <f>IFERROR(IF(INDEX('Faculties'!$Q$64:$Q$84,MATCH($F166,'Faculties'!$B$64:$B$84,0))="","Cell will autofill based on response",INDEX('Faculties'!$Q$64:$Q$84,MATCH($F166,'Faculties'!$B$64:$B$84,0))),"N/A")</f>
        <v/>
      </c>
      <c r="K166" s="52">
        <f>IFERROR(IF(INDEX('Faculties'!$Q$91:$Q$111,MATCH($F166,'Faculties'!$B$91:$B$111,0))="","Cell will autofill based on response",INDEX('Faculties'!$Q$91:$Q$111,MATCH($F166,'Faculties'!$B$91:$B$111,0))),"N/A")</f>
        <v/>
      </c>
      <c r="L166" s="52">
        <f>IFERROR(IF(INDEX('CI&amp;S'!$Q$10:$Q$15,MATCH($F166,'CI&amp;S'!$B$10:$B$15,0))="","Cell will autofill based on response",INDEX('CI&amp;S'!$Q$10:$Q$15,MATCH($F166,'CI&amp;S'!$B$10:$B$15,0))),"N/A")</f>
        <v/>
      </c>
      <c r="M166" s="52">
        <f>IFERROR(IF(INDEX('CI&amp;S'!$Q$22:$Q$39,MATCH($F166,'CI&amp;S'!$B$22:$B$39,0))="","Cell will autofill based on response",INDEX('CI&amp;S'!$Q$22:$Q$39,MATCH($F166,'CI&amp;S'!$B$22:$B$39,0))),"N/A")</f>
        <v/>
      </c>
      <c r="N166" s="52">
        <f>IFERROR(IF(INDEX('CFOG'!$Q$10:$Q$16,MATCH($F166,'CFOG'!$B$10:$B$16,0))="","Cell will autofill based on response",INDEX('CFOG'!$Q$10:$Q$16,MATCH($F166,'CFOG'!$B$10:$B$16,0))),"N/A")</f>
        <v/>
      </c>
      <c r="O166" s="52">
        <f>IFERROR(IF(INDEX('CFOG'!$Q$23:$Q$24,MATCH($F166,'CFOG'!$B$23:$B$24,0))="","Cell will autofill based on response",INDEX('CFOG'!$Q$23:$Q$24,MATCH($F166,'CFOG'!$B$23:$B$24,0))),"N/A")</f>
        <v/>
      </c>
      <c r="P166" s="52">
        <f>IFERROR(IF(INDEX('ESG'!$Q$10:$Q$17,MATCH($F166,'ESG'!$B$10:$B$17,0))="","Cell will autofill based on response",INDEX('ESG'!$Q$10:$Q$17,MATCH($F166,'ESG'!$B$10:$B$17,0))),"N/A")</f>
        <v/>
      </c>
      <c r="Q166" s="52">
        <f>IFERROR(IF(INDEX('CIOG'!$Q$10:$Q$14,MATCH($F166,'CIOG'!$B$10:$B$14,0))="","Cell will autofill based on response",INDEX('CIOG'!$Q$10:$Q$14,MATCH($F166,'CIOG'!$B$10:$B$14,0))),"N/A")</f>
        <v/>
      </c>
      <c r="R166" s="52">
        <f>IFERROR(IF(INDEX('MRE'!$Q$10:$Q$12,MATCH($F166,'MRE'!$B$10:$B$12,0))="","Cell will autofill based on response",INDEX('MRE'!$Q$10:$Q$12,MATCH($F166,'MRE'!$B$10:$B$12,0))),"N/A")</f>
        <v/>
      </c>
      <c r="S166" s="52">
        <f>IFERROR(IF(INDEX('L&amp;R'!$Q$10:$Q$11,MATCH($F166,'L&amp;R'!$B$10:$B$11,0))="","Cell will autofill based on response",INDEX('L&amp;R'!$Q$10:$Q$11,MATCH($F166,'L&amp;R'!$B$10:$B$11,0))),"N/A")</f>
        <v/>
      </c>
    </row>
    <row r="167">
      <c r="A167">
        <f>F167&amp;"|"&amp;G167</f>
        <v/>
      </c>
      <c r="B167" s="7" t="inlineStr">
        <is>
          <t>AI1(b)</t>
        </is>
      </c>
      <c r="C167" s="50" t="inlineStr">
        <is>
          <t>Responsible AI</t>
        </is>
      </c>
      <c r="D167" s="50" t="inlineStr">
        <is>
          <t>Case studies of sustainability and AI-related education, research and collaboration activities.</t>
        </is>
      </c>
      <c r="E167" s="50" t="inlineStr">
        <is>
          <t>Please provide case studies from your Faculty/Portfolio of sustainability and AI-related education, research or collaboration activities, describing the activity, participants or partners, sustainability issue addressed and key outcomes or lessons.</t>
        </is>
      </c>
      <c r="F167" s="50" t="inlineStr">
        <is>
          <t>AI1(b)</t>
        </is>
      </c>
      <c r="G167" s="50" t="inlineStr">
        <is>
          <t>Confirm end-2026 target status</t>
        </is>
      </c>
      <c r="H167" s="52">
        <f>IFERROR(IF(INDEX('Faculties'!$L$10:$L$30,MATCH($F167,'Faculties'!$B$10:$B$30,0))="","Cell will autofill based on response",INDEX('Faculties'!$L$10:$L$30,MATCH($F167,'Faculties'!$B$10:$B$30,0))),"N/A")</f>
        <v/>
      </c>
      <c r="I167" s="52">
        <f>IFERROR(IF(INDEX('Faculties'!$L$37:$L$57,MATCH($F167,'Faculties'!$B$37:$B$57,0))="","Cell will autofill based on response",INDEX('Faculties'!$L$37:$L$57,MATCH($F167,'Faculties'!$B$37:$B$57,0))),"N/A")</f>
        <v/>
      </c>
      <c r="J167" s="52">
        <f>IFERROR(IF(INDEX('Faculties'!$L$64:$L$84,MATCH($F167,'Faculties'!$B$64:$B$84,0))="","Cell will autofill based on response",INDEX('Faculties'!$L$64:$L$84,MATCH($F167,'Faculties'!$B$64:$B$84,0))),"N/A")</f>
        <v/>
      </c>
      <c r="K167" s="52">
        <f>IFERROR(IF(INDEX('Faculties'!$L$91:$L$111,MATCH($F167,'Faculties'!$B$91:$B$111,0))="","Cell will autofill based on response",INDEX('Faculties'!$L$91:$L$111,MATCH($F167,'Faculties'!$B$91:$B$111,0))),"N/A")</f>
        <v/>
      </c>
      <c r="L167" s="52">
        <f>IFERROR(IF(INDEX('CI&amp;S'!$L$10:$L$15,MATCH($F167,'CI&amp;S'!$B$10:$B$15,0))="","Cell will autofill based on response",INDEX('CI&amp;S'!$L$10:$L$15,MATCH($F167,'CI&amp;S'!$B$10:$B$15,0))),"N/A")</f>
        <v/>
      </c>
      <c r="M167" s="52">
        <f>IFERROR(IF(INDEX('CI&amp;S'!$L$22:$L$39,MATCH($F167,'CI&amp;S'!$B$22:$B$39,0))="","Cell will autofill based on response",INDEX('CI&amp;S'!$L$22:$L$39,MATCH($F167,'CI&amp;S'!$B$22:$B$39,0))),"N/A")</f>
        <v/>
      </c>
      <c r="N167" s="52">
        <f>IFERROR(IF(INDEX('CFOG'!$L$10:$L$16,MATCH($F167,'CFOG'!$B$10:$B$16,0))="","Cell will autofill based on response",INDEX('CFOG'!$L$10:$L$16,MATCH($F167,'CFOG'!$B$10:$B$16,0))),"N/A")</f>
        <v/>
      </c>
      <c r="O167" s="52">
        <f>IFERROR(IF(INDEX('CFOG'!$L$23:$L$24,MATCH($F167,'CFOG'!$B$23:$B$24,0))="","Cell will autofill based on response",INDEX('CFOG'!$L$23:$L$24,MATCH($F167,'CFOG'!$B$23:$B$24,0))),"N/A")</f>
        <v/>
      </c>
      <c r="P167" s="52">
        <f>IFERROR(IF(INDEX('ESG'!$L$10:$L$17,MATCH($F167,'ESG'!$B$10:$B$17,0))="","Cell will autofill based on response",INDEX('ESG'!$L$10:$L$17,MATCH($F167,'ESG'!$B$10:$B$17,0))),"N/A")</f>
        <v/>
      </c>
      <c r="Q167" s="52">
        <f>IFERROR(IF(INDEX('CIOG'!$L$10:$L$14,MATCH($F167,'CIOG'!$B$10:$B$14,0))="","Cell will autofill based on response",INDEX('CIOG'!$L$10:$L$14,MATCH($F167,'CIOG'!$B$10:$B$14,0))),"N/A")</f>
        <v/>
      </c>
      <c r="R167" s="52">
        <f>IFERROR(IF(INDEX('MRE'!$L$10:$L$12,MATCH($F167,'MRE'!$B$10:$B$12,0))="","Cell will autofill based on response",INDEX('MRE'!$L$10:$L$12,MATCH($F167,'MRE'!$B$10:$B$12,0))),"N/A")</f>
        <v/>
      </c>
      <c r="S167" s="52">
        <f>IFERROR(IF(INDEX('L&amp;R'!$L$10:$L$11,MATCH($F167,'L&amp;R'!$B$10:$B$11,0))="","Cell will autofill based on response",INDEX('L&amp;R'!$L$10:$L$11,MATCH($F167,'L&amp;R'!$B$10:$B$11,0))),"N/A")</f>
        <v/>
      </c>
      <c r="U167" s="10">
        <f>COUNTIF($H167:$S167,"Cell will autofill based on response")</f>
        <v/>
      </c>
      <c r="V167" s="10">
        <f>COUNTIF($H167:$S167,"Not yet started")</f>
        <v/>
      </c>
      <c r="W167" s="10">
        <f>COUNTIF($H167:$S167,"Not met")</f>
        <v/>
      </c>
      <c r="X167" s="10">
        <f>COUNTIF($H167:$S167,"Partially met")</f>
        <v/>
      </c>
      <c r="Y167" s="10">
        <f>COUNTIF($H167:$S167,"Met or exceeded")</f>
        <v/>
      </c>
      <c r="Z167" s="10">
        <f>3*Y167+2*X167+W167</f>
        <v/>
      </c>
      <c r="AA167" s="10">
        <f>Y167+X167+W167+V167</f>
        <v/>
      </c>
      <c r="AB167" s="53">
        <f>IF(AA167&gt;0,Z167/AA167,"No valid responses to date")</f>
        <v/>
      </c>
      <c r="AC167" s="10">
        <f>IF(ISNUMBER(AB167),INDEX(Lists!$G$2:$G$5,MATCH(ROUND(AB167,0),Lists!$H$2:$H$5,0)),"")</f>
        <v/>
      </c>
      <c r="AD167" s="54">
        <f>IF(AA167&gt;0,Y167/AA167,"")</f>
        <v/>
      </c>
      <c r="AE167" s="54">
        <f>IF(AA167&gt;0,(Y167+X167)/AA167,"")</f>
        <v/>
      </c>
      <c r="AF167" s="10">
        <f>IF(AA167=0,"",IF(AD167&gt;0.75,"Met or exceeded",IF(AE167&gt;=0.5,"Partially met","Not met")))</f>
        <v/>
      </c>
    </row>
    <row r="168">
      <c r="A168">
        <f>F168&amp;"|"&amp;G168</f>
        <v/>
      </c>
      <c r="B168" s="13" t="inlineStr"/>
      <c r="C168" s="8" t="inlineStr"/>
      <c r="D168" s="8" t="inlineStr"/>
      <c r="E168" s="8" t="inlineStr"/>
      <c r="F168" s="8" t="inlineStr">
        <is>
          <t>AI1(b)</t>
        </is>
      </c>
      <c r="G168" s="8" t="inlineStr">
        <is>
          <t>OPTION 1:  Target-level reporting</t>
        </is>
      </c>
      <c r="H168" s="52">
        <f>IFERROR(IF(INDEX('Faculties'!$M$10:$M$30,MATCH($F168,'Faculties'!$B$10:$B$30,0))="","Cell will autofill based on response",INDEX('Faculties'!$M$10:$M$30,MATCH($F168,'Faculties'!$B$10:$B$30,0))),"N/A")</f>
        <v/>
      </c>
      <c r="I168" s="52">
        <f>IFERROR(IF(INDEX('Faculties'!$M$37:$M$57,MATCH($F168,'Faculties'!$B$37:$B$57,0))="","Cell will autofill based on response",INDEX('Faculties'!$M$37:$M$57,MATCH($F168,'Faculties'!$B$37:$B$57,0))),"N/A")</f>
        <v/>
      </c>
      <c r="J168" s="52">
        <f>IFERROR(IF(INDEX('Faculties'!$M$64:$M$84,MATCH($F168,'Faculties'!$B$64:$B$84,0))="","Cell will autofill based on response",INDEX('Faculties'!$M$64:$M$84,MATCH($F168,'Faculties'!$B$64:$B$84,0))),"N/A")</f>
        <v/>
      </c>
      <c r="K168" s="52">
        <f>IFERROR(IF(INDEX('Faculties'!$M$91:$M$111,MATCH($F168,'Faculties'!$B$91:$B$111,0))="","Cell will autofill based on response",INDEX('Faculties'!$M$91:$M$111,MATCH($F168,'Faculties'!$B$91:$B$111,0))),"N/A")</f>
        <v/>
      </c>
      <c r="L168" s="52">
        <f>IFERROR(IF(INDEX('CI&amp;S'!$M$10:$M$15,MATCH($F168,'CI&amp;S'!$B$10:$B$15,0))="","Cell will autofill based on response",INDEX('CI&amp;S'!$M$10:$M$15,MATCH($F168,'CI&amp;S'!$B$10:$B$15,0))),"N/A")</f>
        <v/>
      </c>
      <c r="M168" s="52">
        <f>IFERROR(IF(INDEX('CI&amp;S'!$M$22:$M$39,MATCH($F168,'CI&amp;S'!$B$22:$B$39,0))="","Cell will autofill based on response",INDEX('CI&amp;S'!$M$22:$M$39,MATCH($F168,'CI&amp;S'!$B$22:$B$39,0))),"N/A")</f>
        <v/>
      </c>
      <c r="N168" s="52">
        <f>IFERROR(IF(INDEX('CFOG'!$M$10:$M$16,MATCH($F168,'CFOG'!$B$10:$B$16,0))="","Cell will autofill based on response",INDEX('CFOG'!$M$10:$M$16,MATCH($F168,'CFOG'!$B$10:$B$16,0))),"N/A")</f>
        <v/>
      </c>
      <c r="O168" s="52">
        <f>IFERROR(IF(INDEX('CFOG'!$M$23:$M$24,MATCH($F168,'CFOG'!$B$23:$B$24,0))="","Cell will autofill based on response",INDEX('CFOG'!$M$23:$M$24,MATCH($F168,'CFOG'!$B$23:$B$24,0))),"N/A")</f>
        <v/>
      </c>
      <c r="P168" s="52">
        <f>IFERROR(IF(INDEX('ESG'!$M$10:$M$17,MATCH($F168,'ESG'!$B$10:$B$17,0))="","Cell will autofill based on response",INDEX('ESG'!$M$10:$M$17,MATCH($F168,'ESG'!$B$10:$B$17,0))),"N/A")</f>
        <v/>
      </c>
      <c r="Q168" s="52">
        <f>IFERROR(IF(INDEX('CIOG'!$M$10:$M$14,MATCH($F168,'CIOG'!$B$10:$B$14,0))="","Cell will autofill based on response",INDEX('CIOG'!$M$10:$M$14,MATCH($F168,'CIOG'!$B$10:$B$14,0))),"N/A")</f>
        <v/>
      </c>
      <c r="R168" s="52">
        <f>IFERROR(IF(INDEX('MRE'!$M$10:$M$12,MATCH($F168,'MRE'!$B$10:$B$12,0))="","Cell will autofill based on response",INDEX('MRE'!$M$10:$M$12,MATCH($F168,'MRE'!$B$10:$B$12,0))),"N/A")</f>
        <v/>
      </c>
      <c r="S168" s="52">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2">
        <f>IFERROR(IF(INDEX('Faculties'!$N$10:$N$30,MATCH($F169,'Faculties'!$B$10:$B$30,0))="","Cell will autofill based on response",INDEX('Faculties'!$N$10:$N$30,MATCH($F169,'Faculties'!$B$10:$B$30,0))),"N/A")</f>
        <v/>
      </c>
      <c r="I169" s="52">
        <f>IFERROR(IF(INDEX('Faculties'!$N$37:$N$57,MATCH($F169,'Faculties'!$B$37:$B$57,0))="","Cell will autofill based on response",INDEX('Faculties'!$N$37:$N$57,MATCH($F169,'Faculties'!$B$37:$B$57,0))),"N/A")</f>
        <v/>
      </c>
      <c r="J169" s="52">
        <f>IFERROR(IF(INDEX('Faculties'!$N$64:$N$84,MATCH($F169,'Faculties'!$B$64:$B$84,0))="","Cell will autofill based on response",INDEX('Faculties'!$N$64:$N$84,MATCH($F169,'Faculties'!$B$64:$B$84,0))),"N/A")</f>
        <v/>
      </c>
      <c r="K169" s="52">
        <f>IFERROR(IF(INDEX('Faculties'!$N$91:$N$111,MATCH($F169,'Faculties'!$B$91:$B$111,0))="","Cell will autofill based on response",INDEX('Faculties'!$N$91:$N$111,MATCH($F169,'Faculties'!$B$91:$B$111,0))),"N/A")</f>
        <v/>
      </c>
      <c r="L169" s="52">
        <f>IFERROR(IF(INDEX('CI&amp;S'!$N$10:$N$15,MATCH($F169,'CI&amp;S'!$B$10:$B$15,0))="","Cell will autofill based on response",INDEX('CI&amp;S'!$N$10:$N$15,MATCH($F169,'CI&amp;S'!$B$10:$B$15,0))),"N/A")</f>
        <v/>
      </c>
      <c r="M169" s="52">
        <f>IFERROR(IF(INDEX('CI&amp;S'!$N$22:$N$39,MATCH($F169,'CI&amp;S'!$B$22:$B$39,0))="","Cell will autofill based on response",INDEX('CI&amp;S'!$N$22:$N$39,MATCH($F169,'CI&amp;S'!$B$22:$B$39,0))),"N/A")</f>
        <v/>
      </c>
      <c r="N169" s="52">
        <f>IFERROR(IF(INDEX('CFOG'!$N$10:$N$16,MATCH($F169,'CFOG'!$B$10:$B$16,0))="","Cell will autofill based on response",INDEX('CFOG'!$N$10:$N$16,MATCH($F169,'CFOG'!$B$10:$B$16,0))),"N/A")</f>
        <v/>
      </c>
      <c r="O169" s="52">
        <f>IFERROR(IF(INDEX('CFOG'!$N$23:$N$24,MATCH($F169,'CFOG'!$B$23:$B$24,0))="","Cell will autofill based on response",INDEX('CFOG'!$N$23:$N$24,MATCH($F169,'CFOG'!$B$23:$B$24,0))),"N/A")</f>
        <v/>
      </c>
      <c r="P169" s="52">
        <f>IFERROR(IF(INDEX('ESG'!$N$10:$N$17,MATCH($F169,'ESG'!$B$10:$B$17,0))="","Cell will autofill based on response",INDEX('ESG'!$N$10:$N$17,MATCH($F169,'ESG'!$B$10:$B$17,0))),"N/A")</f>
        <v/>
      </c>
      <c r="Q169" s="52">
        <f>IFERROR(IF(INDEX('CIOG'!$N$10:$N$14,MATCH($F169,'CIOG'!$B$10:$B$14,0))="","Cell will autofill based on response",INDEX('CIOG'!$N$10:$N$14,MATCH($F169,'CIOG'!$B$10:$B$14,0))),"N/A")</f>
        <v/>
      </c>
      <c r="R169" s="52">
        <f>IFERROR(IF(INDEX('MRE'!$N$10:$N$12,MATCH($F169,'MRE'!$B$10:$B$12,0))="","Cell will autofill based on response",INDEX('MRE'!$N$10:$N$12,MATCH($F169,'MRE'!$B$10:$B$12,0))),"N/A")</f>
        <v/>
      </c>
      <c r="S169" s="52">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2">
        <f>IFERROR(IF(INDEX('Faculties'!$O$10:$O$30,MATCH($F170,'Faculties'!$B$10:$B$30,0))="","Cell will autofill based on response",INDEX('Faculties'!$O$10:$O$30,MATCH($F170,'Faculties'!$B$10:$B$30,0))),"N/A")</f>
        <v/>
      </c>
      <c r="I170" s="52">
        <f>IFERROR(IF(INDEX('Faculties'!$O$37:$O$57,MATCH($F170,'Faculties'!$B$37:$B$57,0))="","Cell will autofill based on response",INDEX('Faculties'!$O$37:$O$57,MATCH($F170,'Faculties'!$B$37:$B$57,0))),"N/A")</f>
        <v/>
      </c>
      <c r="J170" s="52">
        <f>IFERROR(IF(INDEX('Faculties'!$O$64:$O$84,MATCH($F170,'Faculties'!$B$64:$B$84,0))="","Cell will autofill based on response",INDEX('Faculties'!$O$64:$O$84,MATCH($F170,'Faculties'!$B$64:$B$84,0))),"N/A")</f>
        <v/>
      </c>
      <c r="K170" s="52">
        <f>IFERROR(IF(INDEX('Faculties'!$O$91:$O$111,MATCH($F170,'Faculties'!$B$91:$B$111,0))="","Cell will autofill based on response",INDEX('Faculties'!$O$91:$O$111,MATCH($F170,'Faculties'!$B$91:$B$111,0))),"N/A")</f>
        <v/>
      </c>
      <c r="L170" s="52">
        <f>IFERROR(IF(INDEX('CI&amp;S'!$O$10:$O$15,MATCH($F170,'CI&amp;S'!$B$10:$B$15,0))="","Cell will autofill based on response",INDEX('CI&amp;S'!$O$10:$O$15,MATCH($F170,'CI&amp;S'!$B$10:$B$15,0))),"N/A")</f>
        <v/>
      </c>
      <c r="M170" s="52">
        <f>IFERROR(IF(INDEX('CI&amp;S'!$O$22:$O$39,MATCH($F170,'CI&amp;S'!$B$22:$B$39,0))="","Cell will autofill based on response",INDEX('CI&amp;S'!$O$22:$O$39,MATCH($F170,'CI&amp;S'!$B$22:$B$39,0))),"N/A")</f>
        <v/>
      </c>
      <c r="N170" s="52">
        <f>IFERROR(IF(INDEX('CFOG'!$O$10:$O$16,MATCH($F170,'CFOG'!$B$10:$B$16,0))="","Cell will autofill based on response",INDEX('CFOG'!$O$10:$O$16,MATCH($F170,'CFOG'!$B$10:$B$16,0))),"N/A")</f>
        <v/>
      </c>
      <c r="O170" s="52">
        <f>IFERROR(IF(INDEX('CFOG'!$O$23:$O$24,MATCH($F170,'CFOG'!$B$23:$B$24,0))="","Cell will autofill based on response",INDEX('CFOG'!$O$23:$O$24,MATCH($F170,'CFOG'!$B$23:$B$24,0))),"N/A")</f>
        <v/>
      </c>
      <c r="P170" s="52">
        <f>IFERROR(IF(INDEX('ESG'!$O$10:$O$17,MATCH($F170,'ESG'!$B$10:$B$17,0))="","Cell will autofill based on response",INDEX('ESG'!$O$10:$O$17,MATCH($F170,'ESG'!$B$10:$B$17,0))),"N/A")</f>
        <v/>
      </c>
      <c r="Q170" s="52">
        <f>IFERROR(IF(INDEX('CIOG'!$O$10:$O$14,MATCH($F170,'CIOG'!$B$10:$B$14,0))="","Cell will autofill based on response",INDEX('CIOG'!$O$10:$O$14,MATCH($F170,'CIOG'!$B$10:$B$14,0))),"N/A")</f>
        <v/>
      </c>
      <c r="R170" s="52">
        <f>IFERROR(IF(INDEX('MRE'!$O$10:$O$12,MATCH($F170,'MRE'!$B$10:$B$12,0))="","Cell will autofill based on response",INDEX('MRE'!$O$10:$O$12,MATCH($F170,'MRE'!$B$10:$B$12,0))),"N/A")</f>
        <v/>
      </c>
      <c r="S170" s="52">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2">
        <f>IFERROR(IF(INDEX('Faculties'!$P$10:$P$30,MATCH($F171,'Faculties'!$B$10:$B$30,0))="","Cell will autofill based on response",INDEX('Faculties'!$P$10:$P$30,MATCH($F171,'Faculties'!$B$10:$B$30,0))),"N/A")</f>
        <v/>
      </c>
      <c r="I171" s="52">
        <f>IFERROR(IF(INDEX('Faculties'!$P$37:$P$57,MATCH($F171,'Faculties'!$B$37:$B$57,0))="","Cell will autofill based on response",INDEX('Faculties'!$P$37:$P$57,MATCH($F171,'Faculties'!$B$37:$B$57,0))),"N/A")</f>
        <v/>
      </c>
      <c r="J171" s="52">
        <f>IFERROR(IF(INDEX('Faculties'!$P$64:$P$84,MATCH($F171,'Faculties'!$B$64:$B$84,0))="","Cell will autofill based on response",INDEX('Faculties'!$P$64:$P$84,MATCH($F171,'Faculties'!$B$64:$B$84,0))),"N/A")</f>
        <v/>
      </c>
      <c r="K171" s="52">
        <f>IFERROR(IF(INDEX('Faculties'!$P$91:$P$111,MATCH($F171,'Faculties'!$B$91:$B$111,0))="","Cell will autofill based on response",INDEX('Faculties'!$P$91:$P$111,MATCH($F171,'Faculties'!$B$91:$B$111,0))),"N/A")</f>
        <v/>
      </c>
      <c r="L171" s="52">
        <f>IFERROR(IF(INDEX('CI&amp;S'!$P$10:$P$15,MATCH($F171,'CI&amp;S'!$B$10:$B$15,0))="","Cell will autofill based on response",INDEX('CI&amp;S'!$P$10:$P$15,MATCH($F171,'CI&amp;S'!$B$10:$B$15,0))),"N/A")</f>
        <v/>
      </c>
      <c r="M171" s="52">
        <f>IFERROR(IF(INDEX('CI&amp;S'!$P$22:$P$39,MATCH($F171,'CI&amp;S'!$B$22:$B$39,0))="","Cell will autofill based on response",INDEX('CI&amp;S'!$P$22:$P$39,MATCH($F171,'CI&amp;S'!$B$22:$B$39,0))),"N/A")</f>
        <v/>
      </c>
      <c r="N171" s="52">
        <f>IFERROR(IF(INDEX('CFOG'!$P$10:$P$16,MATCH($F171,'CFOG'!$B$10:$B$16,0))="","Cell will autofill based on response",INDEX('CFOG'!$P$10:$P$16,MATCH($F171,'CFOG'!$B$10:$B$16,0))),"N/A")</f>
        <v/>
      </c>
      <c r="O171" s="52">
        <f>IFERROR(IF(INDEX('CFOG'!$P$23:$P$24,MATCH($F171,'CFOG'!$B$23:$B$24,0))="","Cell will autofill based on response",INDEX('CFOG'!$P$23:$P$24,MATCH($F171,'CFOG'!$B$23:$B$24,0))),"N/A")</f>
        <v/>
      </c>
      <c r="P171" s="52">
        <f>IFERROR(IF(INDEX('ESG'!$P$10:$P$17,MATCH($F171,'ESG'!$B$10:$B$17,0))="","Cell will autofill based on response",INDEX('ESG'!$P$10:$P$17,MATCH($F171,'ESG'!$B$10:$B$17,0))),"N/A")</f>
        <v/>
      </c>
      <c r="Q171" s="52">
        <f>IFERROR(IF(INDEX('CIOG'!$P$10:$P$14,MATCH($F171,'CIOG'!$B$10:$B$14,0))="","Cell will autofill based on response",INDEX('CIOG'!$P$10:$P$14,MATCH($F171,'CIOG'!$B$10:$B$14,0))),"N/A")</f>
        <v/>
      </c>
      <c r="R171" s="52">
        <f>IFERROR(IF(INDEX('MRE'!$P$10:$P$12,MATCH($F171,'MRE'!$B$10:$B$12,0))="","Cell will autofill based on response",INDEX('MRE'!$P$10:$P$12,MATCH($F171,'MRE'!$B$10:$B$12,0))),"N/A")</f>
        <v/>
      </c>
      <c r="S171" s="52">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2">
        <f>IFERROR(IF(INDEX('Faculties'!$Q$10:$Q$30,MATCH($F172,'Faculties'!$B$10:$B$30,0))="","Cell will autofill based on response",INDEX('Faculties'!$Q$10:$Q$30,MATCH($F172,'Faculties'!$B$10:$B$30,0))),"N/A")</f>
        <v/>
      </c>
      <c r="I172" s="52">
        <f>IFERROR(IF(INDEX('Faculties'!$Q$37:$Q$57,MATCH($F172,'Faculties'!$B$37:$B$57,0))="","Cell will autofill based on response",INDEX('Faculties'!$Q$37:$Q$57,MATCH($F172,'Faculties'!$B$37:$B$57,0))),"N/A")</f>
        <v/>
      </c>
      <c r="J172" s="52">
        <f>IFERROR(IF(INDEX('Faculties'!$Q$64:$Q$84,MATCH($F172,'Faculties'!$B$64:$B$84,0))="","Cell will autofill based on response",INDEX('Faculties'!$Q$64:$Q$84,MATCH($F172,'Faculties'!$B$64:$B$84,0))),"N/A")</f>
        <v/>
      </c>
      <c r="K172" s="52">
        <f>IFERROR(IF(INDEX('Faculties'!$Q$91:$Q$111,MATCH($F172,'Faculties'!$B$91:$B$111,0))="","Cell will autofill based on response",INDEX('Faculties'!$Q$91:$Q$111,MATCH($F172,'Faculties'!$B$91:$B$111,0))),"N/A")</f>
        <v/>
      </c>
      <c r="L172" s="52">
        <f>IFERROR(IF(INDEX('CI&amp;S'!$Q$10:$Q$15,MATCH($F172,'CI&amp;S'!$B$10:$B$15,0))="","Cell will autofill based on response",INDEX('CI&amp;S'!$Q$10:$Q$15,MATCH($F172,'CI&amp;S'!$B$10:$B$15,0))),"N/A")</f>
        <v/>
      </c>
      <c r="M172" s="52">
        <f>IFERROR(IF(INDEX('CI&amp;S'!$Q$22:$Q$39,MATCH($F172,'CI&amp;S'!$B$22:$B$39,0))="","Cell will autofill based on response",INDEX('CI&amp;S'!$Q$22:$Q$39,MATCH($F172,'CI&amp;S'!$B$22:$B$39,0))),"N/A")</f>
        <v/>
      </c>
      <c r="N172" s="52">
        <f>IFERROR(IF(INDEX('CFOG'!$Q$10:$Q$16,MATCH($F172,'CFOG'!$B$10:$B$16,0))="","Cell will autofill based on response",INDEX('CFOG'!$Q$10:$Q$16,MATCH($F172,'CFOG'!$B$10:$B$16,0))),"N/A")</f>
        <v/>
      </c>
      <c r="O172" s="52">
        <f>IFERROR(IF(INDEX('CFOG'!$Q$23:$Q$24,MATCH($F172,'CFOG'!$B$23:$B$24,0))="","Cell will autofill based on response",INDEX('CFOG'!$Q$23:$Q$24,MATCH($F172,'CFOG'!$B$23:$B$24,0))),"N/A")</f>
        <v/>
      </c>
      <c r="P172" s="52">
        <f>IFERROR(IF(INDEX('ESG'!$Q$10:$Q$17,MATCH($F172,'ESG'!$B$10:$B$17,0))="","Cell will autofill based on response",INDEX('ESG'!$Q$10:$Q$17,MATCH($F172,'ESG'!$B$10:$B$17,0))),"N/A")</f>
        <v/>
      </c>
      <c r="Q172" s="52">
        <f>IFERROR(IF(INDEX('CIOG'!$Q$10:$Q$14,MATCH($F172,'CIOG'!$B$10:$B$14,0))="","Cell will autofill based on response",INDEX('CIOG'!$Q$10:$Q$14,MATCH($F172,'CIOG'!$B$10:$B$14,0))),"N/A")</f>
        <v/>
      </c>
      <c r="R172" s="52">
        <f>IFERROR(IF(INDEX('MRE'!$Q$10:$Q$12,MATCH($F172,'MRE'!$B$10:$B$12,0))="","Cell will autofill based on response",INDEX('MRE'!$Q$10:$Q$12,MATCH($F172,'MRE'!$B$10:$B$12,0))),"N/A")</f>
        <v/>
      </c>
      <c r="S172" s="52">
        <f>IFERROR(IF(INDEX('L&amp;R'!$Q$10:$Q$11,MATCH($F172,'L&amp;R'!$B$10:$B$11,0))="","Cell will autofill based on response",INDEX('L&amp;R'!$Q$10:$Q$11,MATCH($F172,'L&amp;R'!$B$10:$B$11,0))),"N/A")</f>
        <v/>
      </c>
    </row>
    <row r="173">
      <c r="A173">
        <f>F173&amp;"|"&amp;G173</f>
        <v/>
      </c>
      <c r="B173" s="7" t="inlineStr">
        <is>
          <t>EI1(a)</t>
        </is>
      </c>
      <c r="C173" s="50" t="inlineStr">
        <is>
          <t>Estate and infrastructure</t>
        </is>
      </c>
      <c r="D173" s="50" t="inlineStr">
        <is>
          <t>Evidence of increased maturity of estate and infrastructure planning, development and operations to support the other priority areas in Sustainability 2030</t>
        </is>
      </c>
      <c r="E173" s="50"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0" t="inlineStr">
        <is>
          <t>EI1(a)</t>
        </is>
      </c>
      <c r="G173" s="50" t="inlineStr">
        <is>
          <t>Confirm end-2026 target status</t>
        </is>
      </c>
      <c r="H173" s="52">
        <f>IFERROR(IF(INDEX('Faculties'!$L$10:$L$30,MATCH($F173,'Faculties'!$B$10:$B$30,0))="","Cell will autofill based on response",INDEX('Faculties'!$L$10:$L$30,MATCH($F173,'Faculties'!$B$10:$B$30,0))),"N/A")</f>
        <v/>
      </c>
      <c r="I173" s="52">
        <f>IFERROR(IF(INDEX('Faculties'!$L$37:$L$57,MATCH($F173,'Faculties'!$B$37:$B$57,0))="","Cell will autofill based on response",INDEX('Faculties'!$L$37:$L$57,MATCH($F173,'Faculties'!$B$37:$B$57,0))),"N/A")</f>
        <v/>
      </c>
      <c r="J173" s="52">
        <f>IFERROR(IF(INDEX('Faculties'!$L$64:$L$84,MATCH($F173,'Faculties'!$B$64:$B$84,0))="","Cell will autofill based on response",INDEX('Faculties'!$L$64:$L$84,MATCH($F173,'Faculties'!$B$64:$B$84,0))),"N/A")</f>
        <v/>
      </c>
      <c r="K173" s="52">
        <f>IFERROR(IF(INDEX('Faculties'!$L$91:$L$111,MATCH($F173,'Faculties'!$B$91:$B$111,0))="","Cell will autofill based on response",INDEX('Faculties'!$L$91:$L$111,MATCH($F173,'Faculties'!$B$91:$B$111,0))),"N/A")</f>
        <v/>
      </c>
      <c r="L173" s="52">
        <f>IFERROR(IF(INDEX('CI&amp;S'!$L$10:$L$15,MATCH($F173,'CI&amp;S'!$B$10:$B$15,0))="","Cell will autofill based on response",INDEX('CI&amp;S'!$L$10:$L$15,MATCH($F173,'CI&amp;S'!$B$10:$B$15,0))),"N/A")</f>
        <v/>
      </c>
      <c r="M173" s="52">
        <f>IFERROR(IF(INDEX('CI&amp;S'!$L$22:$L$39,MATCH($F173,'CI&amp;S'!$B$22:$B$39,0))="","Cell will autofill based on response",INDEX('CI&amp;S'!$L$22:$L$39,MATCH($F173,'CI&amp;S'!$B$22:$B$39,0))),"N/A")</f>
        <v/>
      </c>
      <c r="N173" s="52">
        <f>IFERROR(IF(INDEX('CFOG'!$L$10:$L$16,MATCH($F173,'CFOG'!$B$10:$B$16,0))="","Cell will autofill based on response",INDEX('CFOG'!$L$10:$L$16,MATCH($F173,'CFOG'!$B$10:$B$16,0))),"N/A")</f>
        <v/>
      </c>
      <c r="O173" s="52">
        <f>IFERROR(IF(INDEX('CFOG'!$L$23:$L$24,MATCH($F173,'CFOG'!$B$23:$B$24,0))="","Cell will autofill based on response",INDEX('CFOG'!$L$23:$L$24,MATCH($F173,'CFOG'!$B$23:$B$24,0))),"N/A")</f>
        <v/>
      </c>
      <c r="P173" s="52">
        <f>IFERROR(IF(INDEX('ESG'!$L$10:$L$17,MATCH($F173,'ESG'!$B$10:$B$17,0))="","Cell will autofill based on response",INDEX('ESG'!$L$10:$L$17,MATCH($F173,'ESG'!$B$10:$B$17,0))),"N/A")</f>
        <v/>
      </c>
      <c r="Q173" s="52">
        <f>IFERROR(IF(INDEX('CIOG'!$L$10:$L$14,MATCH($F173,'CIOG'!$B$10:$B$14,0))="","Cell will autofill based on response",INDEX('CIOG'!$L$10:$L$14,MATCH($F173,'CIOG'!$B$10:$B$14,0))),"N/A")</f>
        <v/>
      </c>
      <c r="R173" s="52">
        <f>IFERROR(IF(INDEX('MRE'!$L$10:$L$12,MATCH($F173,'MRE'!$B$10:$B$12,0))="","Cell will autofill based on response",INDEX('MRE'!$L$10:$L$12,MATCH($F173,'MRE'!$B$10:$B$12,0))),"N/A")</f>
        <v/>
      </c>
      <c r="S173" s="52">
        <f>IFERROR(IF(INDEX('L&amp;R'!$L$10:$L$11,MATCH($F173,'L&amp;R'!$B$10:$B$11,0))="","Cell will autofill based on response",INDEX('L&amp;R'!$L$10:$L$11,MATCH($F173,'L&amp;R'!$B$10:$B$11,0))),"N/A")</f>
        <v/>
      </c>
      <c r="U173" s="10">
        <f>COUNTIF($H173:$S173,"Cell will autofill based on response")</f>
        <v/>
      </c>
      <c r="V173" s="10">
        <f>COUNTIF($H173:$S173,"Not yet started")</f>
        <v/>
      </c>
      <c r="W173" s="10">
        <f>COUNTIF($H173:$S173,"Not met")</f>
        <v/>
      </c>
      <c r="X173" s="10">
        <f>COUNTIF($H173:$S173,"Partially met")</f>
        <v/>
      </c>
      <c r="Y173" s="10">
        <f>COUNTIF($H173:$S173,"Met or exceeded")</f>
        <v/>
      </c>
      <c r="Z173" s="10">
        <f>3*Y173+2*X173+W173</f>
        <v/>
      </c>
      <c r="AA173" s="10">
        <f>Y173+X173+W173+V173</f>
        <v/>
      </c>
      <c r="AB173" s="53">
        <f>IF(AA173&gt;0,Z173/AA173,"No valid responses to date")</f>
        <v/>
      </c>
      <c r="AC173" s="10">
        <f>IF(ISNUMBER(AB173),INDEX(Lists!$G$2:$G$5,MATCH(ROUND(AB173,0),Lists!$H$2:$H$5,0)),"")</f>
        <v/>
      </c>
      <c r="AD173" s="54">
        <f>IF(AA173&gt;0,Y173/AA173,"")</f>
        <v/>
      </c>
      <c r="AE173" s="54">
        <f>IF(AA173&gt;0,(Y173+X173)/AA173,"")</f>
        <v/>
      </c>
      <c r="AF173" s="10">
        <f>IF(AA173=0,"",IF(AD173&gt;0.75,"Met or exceeded",IF(AE173&gt;=0.5,"Partially met","Not met")))</f>
        <v/>
      </c>
    </row>
    <row r="174">
      <c r="A174">
        <f>F174&amp;"|"&amp;G174</f>
        <v/>
      </c>
      <c r="B174" s="13" t="inlineStr"/>
      <c r="C174" s="8" t="inlineStr"/>
      <c r="D174" s="8" t="inlineStr"/>
      <c r="E174" s="8" t="inlineStr"/>
      <c r="F174" s="8" t="inlineStr">
        <is>
          <t>EI1(a)</t>
        </is>
      </c>
      <c r="G174" s="8" t="inlineStr">
        <is>
          <t>OPTION 1:  Target-level reporting</t>
        </is>
      </c>
      <c r="H174" s="52">
        <f>IFERROR(IF(INDEX('Faculties'!$M$10:$M$30,MATCH($F174,'Faculties'!$B$10:$B$30,0))="","Cell will autofill based on response",INDEX('Faculties'!$M$10:$M$30,MATCH($F174,'Faculties'!$B$10:$B$30,0))),"N/A")</f>
        <v/>
      </c>
      <c r="I174" s="52">
        <f>IFERROR(IF(INDEX('Faculties'!$M$37:$M$57,MATCH($F174,'Faculties'!$B$37:$B$57,0))="","Cell will autofill based on response",INDEX('Faculties'!$M$37:$M$57,MATCH($F174,'Faculties'!$B$37:$B$57,0))),"N/A")</f>
        <v/>
      </c>
      <c r="J174" s="52">
        <f>IFERROR(IF(INDEX('Faculties'!$M$64:$M$84,MATCH($F174,'Faculties'!$B$64:$B$84,0))="","Cell will autofill based on response",INDEX('Faculties'!$M$64:$M$84,MATCH($F174,'Faculties'!$B$64:$B$84,0))),"N/A")</f>
        <v/>
      </c>
      <c r="K174" s="52">
        <f>IFERROR(IF(INDEX('Faculties'!$M$91:$M$111,MATCH($F174,'Faculties'!$B$91:$B$111,0))="","Cell will autofill based on response",INDEX('Faculties'!$M$91:$M$111,MATCH($F174,'Faculties'!$B$91:$B$111,0))),"N/A")</f>
        <v/>
      </c>
      <c r="L174" s="52">
        <f>IFERROR(IF(INDEX('CI&amp;S'!$M$10:$M$15,MATCH($F174,'CI&amp;S'!$B$10:$B$15,0))="","Cell will autofill based on response",INDEX('CI&amp;S'!$M$10:$M$15,MATCH($F174,'CI&amp;S'!$B$10:$B$15,0))),"N/A")</f>
        <v/>
      </c>
      <c r="M174" s="52">
        <f>IFERROR(IF(INDEX('CI&amp;S'!$M$22:$M$39,MATCH($F174,'CI&amp;S'!$B$22:$B$39,0))="","Cell will autofill based on response",INDEX('CI&amp;S'!$M$22:$M$39,MATCH($F174,'CI&amp;S'!$B$22:$B$39,0))),"N/A")</f>
        <v/>
      </c>
      <c r="N174" s="52">
        <f>IFERROR(IF(INDEX('CFOG'!$M$10:$M$16,MATCH($F174,'CFOG'!$B$10:$B$16,0))="","Cell will autofill based on response",INDEX('CFOG'!$M$10:$M$16,MATCH($F174,'CFOG'!$B$10:$B$16,0))),"N/A")</f>
        <v/>
      </c>
      <c r="O174" s="52">
        <f>IFERROR(IF(INDEX('CFOG'!$M$23:$M$24,MATCH($F174,'CFOG'!$B$23:$B$24,0))="","Cell will autofill based on response",INDEX('CFOG'!$M$23:$M$24,MATCH($F174,'CFOG'!$B$23:$B$24,0))),"N/A")</f>
        <v/>
      </c>
      <c r="P174" s="52">
        <f>IFERROR(IF(INDEX('ESG'!$M$10:$M$17,MATCH($F174,'ESG'!$B$10:$B$17,0))="","Cell will autofill based on response",INDEX('ESG'!$M$10:$M$17,MATCH($F174,'ESG'!$B$10:$B$17,0))),"N/A")</f>
        <v/>
      </c>
      <c r="Q174" s="52">
        <f>IFERROR(IF(INDEX('CIOG'!$M$10:$M$14,MATCH($F174,'CIOG'!$B$10:$B$14,0))="","Cell will autofill based on response",INDEX('CIOG'!$M$10:$M$14,MATCH($F174,'CIOG'!$B$10:$B$14,0))),"N/A")</f>
        <v/>
      </c>
      <c r="R174" s="52">
        <f>IFERROR(IF(INDEX('MRE'!$M$10:$M$12,MATCH($F174,'MRE'!$B$10:$B$12,0))="","Cell will autofill based on response",INDEX('MRE'!$M$10:$M$12,MATCH($F174,'MRE'!$B$10:$B$12,0))),"N/A")</f>
        <v/>
      </c>
      <c r="S174" s="52">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2">
        <f>IFERROR(IF(INDEX('Faculties'!$N$10:$N$30,MATCH($F175,'Faculties'!$B$10:$B$30,0))="","Cell will autofill based on response",INDEX('Faculties'!$N$10:$N$30,MATCH($F175,'Faculties'!$B$10:$B$30,0))),"N/A")</f>
        <v/>
      </c>
      <c r="I175" s="52">
        <f>IFERROR(IF(INDEX('Faculties'!$N$37:$N$57,MATCH($F175,'Faculties'!$B$37:$B$57,0))="","Cell will autofill based on response",INDEX('Faculties'!$N$37:$N$57,MATCH($F175,'Faculties'!$B$37:$B$57,0))),"N/A")</f>
        <v/>
      </c>
      <c r="J175" s="52">
        <f>IFERROR(IF(INDEX('Faculties'!$N$64:$N$84,MATCH($F175,'Faculties'!$B$64:$B$84,0))="","Cell will autofill based on response",INDEX('Faculties'!$N$64:$N$84,MATCH($F175,'Faculties'!$B$64:$B$84,0))),"N/A")</f>
        <v/>
      </c>
      <c r="K175" s="52">
        <f>IFERROR(IF(INDEX('Faculties'!$N$91:$N$111,MATCH($F175,'Faculties'!$B$91:$B$111,0))="","Cell will autofill based on response",INDEX('Faculties'!$N$91:$N$111,MATCH($F175,'Faculties'!$B$91:$B$111,0))),"N/A")</f>
        <v/>
      </c>
      <c r="L175" s="52">
        <f>IFERROR(IF(INDEX('CI&amp;S'!$N$10:$N$15,MATCH($F175,'CI&amp;S'!$B$10:$B$15,0))="","Cell will autofill based on response",INDEX('CI&amp;S'!$N$10:$N$15,MATCH($F175,'CI&amp;S'!$B$10:$B$15,0))),"N/A")</f>
        <v/>
      </c>
      <c r="M175" s="52">
        <f>IFERROR(IF(INDEX('CI&amp;S'!$N$22:$N$39,MATCH($F175,'CI&amp;S'!$B$22:$B$39,0))="","Cell will autofill based on response",INDEX('CI&amp;S'!$N$22:$N$39,MATCH($F175,'CI&amp;S'!$B$22:$B$39,0))),"N/A")</f>
        <v/>
      </c>
      <c r="N175" s="52">
        <f>IFERROR(IF(INDEX('CFOG'!$N$10:$N$16,MATCH($F175,'CFOG'!$B$10:$B$16,0))="","Cell will autofill based on response",INDEX('CFOG'!$N$10:$N$16,MATCH($F175,'CFOG'!$B$10:$B$16,0))),"N/A")</f>
        <v/>
      </c>
      <c r="O175" s="52">
        <f>IFERROR(IF(INDEX('CFOG'!$N$23:$N$24,MATCH($F175,'CFOG'!$B$23:$B$24,0))="","Cell will autofill based on response",INDEX('CFOG'!$N$23:$N$24,MATCH($F175,'CFOG'!$B$23:$B$24,0))),"N/A")</f>
        <v/>
      </c>
      <c r="P175" s="52">
        <f>IFERROR(IF(INDEX('ESG'!$N$10:$N$17,MATCH($F175,'ESG'!$B$10:$B$17,0))="","Cell will autofill based on response",INDEX('ESG'!$N$10:$N$17,MATCH($F175,'ESG'!$B$10:$B$17,0))),"N/A")</f>
        <v/>
      </c>
      <c r="Q175" s="52">
        <f>IFERROR(IF(INDEX('CIOG'!$N$10:$N$14,MATCH($F175,'CIOG'!$B$10:$B$14,0))="","Cell will autofill based on response",INDEX('CIOG'!$N$10:$N$14,MATCH($F175,'CIOG'!$B$10:$B$14,0))),"N/A")</f>
        <v/>
      </c>
      <c r="R175" s="52">
        <f>IFERROR(IF(INDEX('MRE'!$N$10:$N$12,MATCH($F175,'MRE'!$B$10:$B$12,0))="","Cell will autofill based on response",INDEX('MRE'!$N$10:$N$12,MATCH($F175,'MRE'!$B$10:$B$12,0))),"N/A")</f>
        <v/>
      </c>
      <c r="S175" s="52">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2">
        <f>IFERROR(IF(INDEX('Faculties'!$O$10:$O$30,MATCH($F176,'Faculties'!$B$10:$B$30,0))="","Cell will autofill based on response",INDEX('Faculties'!$O$10:$O$30,MATCH($F176,'Faculties'!$B$10:$B$30,0))),"N/A")</f>
        <v/>
      </c>
      <c r="I176" s="52">
        <f>IFERROR(IF(INDEX('Faculties'!$O$37:$O$57,MATCH($F176,'Faculties'!$B$37:$B$57,0))="","Cell will autofill based on response",INDEX('Faculties'!$O$37:$O$57,MATCH($F176,'Faculties'!$B$37:$B$57,0))),"N/A")</f>
        <v/>
      </c>
      <c r="J176" s="52">
        <f>IFERROR(IF(INDEX('Faculties'!$O$64:$O$84,MATCH($F176,'Faculties'!$B$64:$B$84,0))="","Cell will autofill based on response",INDEX('Faculties'!$O$64:$O$84,MATCH($F176,'Faculties'!$B$64:$B$84,0))),"N/A")</f>
        <v/>
      </c>
      <c r="K176" s="52">
        <f>IFERROR(IF(INDEX('Faculties'!$O$91:$O$111,MATCH($F176,'Faculties'!$B$91:$B$111,0))="","Cell will autofill based on response",INDEX('Faculties'!$O$91:$O$111,MATCH($F176,'Faculties'!$B$91:$B$111,0))),"N/A")</f>
        <v/>
      </c>
      <c r="L176" s="52">
        <f>IFERROR(IF(INDEX('CI&amp;S'!$O$10:$O$15,MATCH($F176,'CI&amp;S'!$B$10:$B$15,0))="","Cell will autofill based on response",INDEX('CI&amp;S'!$O$10:$O$15,MATCH($F176,'CI&amp;S'!$B$10:$B$15,0))),"N/A")</f>
        <v/>
      </c>
      <c r="M176" s="52">
        <f>IFERROR(IF(INDEX('CI&amp;S'!$O$22:$O$39,MATCH($F176,'CI&amp;S'!$B$22:$B$39,0))="","Cell will autofill based on response",INDEX('CI&amp;S'!$O$22:$O$39,MATCH($F176,'CI&amp;S'!$B$22:$B$39,0))),"N/A")</f>
        <v/>
      </c>
      <c r="N176" s="52">
        <f>IFERROR(IF(INDEX('CFOG'!$O$10:$O$16,MATCH($F176,'CFOG'!$B$10:$B$16,0))="","Cell will autofill based on response",INDEX('CFOG'!$O$10:$O$16,MATCH($F176,'CFOG'!$B$10:$B$16,0))),"N/A")</f>
        <v/>
      </c>
      <c r="O176" s="52">
        <f>IFERROR(IF(INDEX('CFOG'!$O$23:$O$24,MATCH($F176,'CFOG'!$B$23:$B$24,0))="","Cell will autofill based on response",INDEX('CFOG'!$O$23:$O$24,MATCH($F176,'CFOG'!$B$23:$B$24,0))),"N/A")</f>
        <v/>
      </c>
      <c r="P176" s="52">
        <f>IFERROR(IF(INDEX('ESG'!$O$10:$O$17,MATCH($F176,'ESG'!$B$10:$B$17,0))="","Cell will autofill based on response",INDEX('ESG'!$O$10:$O$17,MATCH($F176,'ESG'!$B$10:$B$17,0))),"N/A")</f>
        <v/>
      </c>
      <c r="Q176" s="52">
        <f>IFERROR(IF(INDEX('CIOG'!$O$10:$O$14,MATCH($F176,'CIOG'!$B$10:$B$14,0))="","Cell will autofill based on response",INDEX('CIOG'!$O$10:$O$14,MATCH($F176,'CIOG'!$B$10:$B$14,0))),"N/A")</f>
        <v/>
      </c>
      <c r="R176" s="52">
        <f>IFERROR(IF(INDEX('MRE'!$O$10:$O$12,MATCH($F176,'MRE'!$B$10:$B$12,0))="","Cell will autofill based on response",INDEX('MRE'!$O$10:$O$12,MATCH($F176,'MRE'!$B$10:$B$12,0))),"N/A")</f>
        <v/>
      </c>
      <c r="S176" s="52">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2">
        <f>IFERROR(IF(INDEX('Faculties'!$P$10:$P$30,MATCH($F177,'Faculties'!$B$10:$B$30,0))="","Cell will autofill based on response",INDEX('Faculties'!$P$10:$P$30,MATCH($F177,'Faculties'!$B$10:$B$30,0))),"N/A")</f>
        <v/>
      </c>
      <c r="I177" s="52">
        <f>IFERROR(IF(INDEX('Faculties'!$P$37:$P$57,MATCH($F177,'Faculties'!$B$37:$B$57,0))="","Cell will autofill based on response",INDEX('Faculties'!$P$37:$P$57,MATCH($F177,'Faculties'!$B$37:$B$57,0))),"N/A")</f>
        <v/>
      </c>
      <c r="J177" s="52">
        <f>IFERROR(IF(INDEX('Faculties'!$P$64:$P$84,MATCH($F177,'Faculties'!$B$64:$B$84,0))="","Cell will autofill based on response",INDEX('Faculties'!$P$64:$P$84,MATCH($F177,'Faculties'!$B$64:$B$84,0))),"N/A")</f>
        <v/>
      </c>
      <c r="K177" s="52">
        <f>IFERROR(IF(INDEX('Faculties'!$P$91:$P$111,MATCH($F177,'Faculties'!$B$91:$B$111,0))="","Cell will autofill based on response",INDEX('Faculties'!$P$91:$P$111,MATCH($F177,'Faculties'!$B$91:$B$111,0))),"N/A")</f>
        <v/>
      </c>
      <c r="L177" s="52">
        <f>IFERROR(IF(INDEX('CI&amp;S'!$P$10:$P$15,MATCH($F177,'CI&amp;S'!$B$10:$B$15,0))="","Cell will autofill based on response",INDEX('CI&amp;S'!$P$10:$P$15,MATCH($F177,'CI&amp;S'!$B$10:$B$15,0))),"N/A")</f>
        <v/>
      </c>
      <c r="M177" s="52">
        <f>IFERROR(IF(INDEX('CI&amp;S'!$P$22:$P$39,MATCH($F177,'CI&amp;S'!$B$22:$B$39,0))="","Cell will autofill based on response",INDEX('CI&amp;S'!$P$22:$P$39,MATCH($F177,'CI&amp;S'!$B$22:$B$39,0))),"N/A")</f>
        <v/>
      </c>
      <c r="N177" s="52">
        <f>IFERROR(IF(INDEX('CFOG'!$P$10:$P$16,MATCH($F177,'CFOG'!$B$10:$B$16,0))="","Cell will autofill based on response",INDEX('CFOG'!$P$10:$P$16,MATCH($F177,'CFOG'!$B$10:$B$16,0))),"N/A")</f>
        <v/>
      </c>
      <c r="O177" s="52">
        <f>IFERROR(IF(INDEX('CFOG'!$P$23:$P$24,MATCH($F177,'CFOG'!$B$23:$B$24,0))="","Cell will autofill based on response",INDEX('CFOG'!$P$23:$P$24,MATCH($F177,'CFOG'!$B$23:$B$24,0))),"N/A")</f>
        <v/>
      </c>
      <c r="P177" s="52">
        <f>IFERROR(IF(INDEX('ESG'!$P$10:$P$17,MATCH($F177,'ESG'!$B$10:$B$17,0))="","Cell will autofill based on response",INDEX('ESG'!$P$10:$P$17,MATCH($F177,'ESG'!$B$10:$B$17,0))),"N/A")</f>
        <v/>
      </c>
      <c r="Q177" s="52">
        <f>IFERROR(IF(INDEX('CIOG'!$P$10:$P$14,MATCH($F177,'CIOG'!$B$10:$B$14,0))="","Cell will autofill based on response",INDEX('CIOG'!$P$10:$P$14,MATCH($F177,'CIOG'!$B$10:$B$14,0))),"N/A")</f>
        <v/>
      </c>
      <c r="R177" s="52">
        <f>IFERROR(IF(INDEX('MRE'!$P$10:$P$12,MATCH($F177,'MRE'!$B$10:$B$12,0))="","Cell will autofill based on response",INDEX('MRE'!$P$10:$P$12,MATCH($F177,'MRE'!$B$10:$B$12,0))),"N/A")</f>
        <v/>
      </c>
      <c r="S177" s="52">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2">
        <f>IFERROR(IF(INDEX('Faculties'!$Q$10:$Q$30,MATCH($F178,'Faculties'!$B$10:$B$30,0))="","Cell will autofill based on response",INDEX('Faculties'!$Q$10:$Q$30,MATCH($F178,'Faculties'!$B$10:$B$30,0))),"N/A")</f>
        <v/>
      </c>
      <c r="I178" s="52">
        <f>IFERROR(IF(INDEX('Faculties'!$Q$37:$Q$57,MATCH($F178,'Faculties'!$B$37:$B$57,0))="","Cell will autofill based on response",INDEX('Faculties'!$Q$37:$Q$57,MATCH($F178,'Faculties'!$B$37:$B$57,0))),"N/A")</f>
        <v/>
      </c>
      <c r="J178" s="52">
        <f>IFERROR(IF(INDEX('Faculties'!$Q$64:$Q$84,MATCH($F178,'Faculties'!$B$64:$B$84,0))="","Cell will autofill based on response",INDEX('Faculties'!$Q$64:$Q$84,MATCH($F178,'Faculties'!$B$64:$B$84,0))),"N/A")</f>
        <v/>
      </c>
      <c r="K178" s="52">
        <f>IFERROR(IF(INDEX('Faculties'!$Q$91:$Q$111,MATCH($F178,'Faculties'!$B$91:$B$111,0))="","Cell will autofill based on response",INDEX('Faculties'!$Q$91:$Q$111,MATCH($F178,'Faculties'!$B$91:$B$111,0))),"N/A")</f>
        <v/>
      </c>
      <c r="L178" s="52">
        <f>IFERROR(IF(INDEX('CI&amp;S'!$Q$10:$Q$15,MATCH($F178,'CI&amp;S'!$B$10:$B$15,0))="","Cell will autofill based on response",INDEX('CI&amp;S'!$Q$10:$Q$15,MATCH($F178,'CI&amp;S'!$B$10:$B$15,0))),"N/A")</f>
        <v/>
      </c>
      <c r="M178" s="52">
        <f>IFERROR(IF(INDEX('CI&amp;S'!$Q$22:$Q$39,MATCH($F178,'CI&amp;S'!$B$22:$B$39,0))="","Cell will autofill based on response",INDEX('CI&amp;S'!$Q$22:$Q$39,MATCH($F178,'CI&amp;S'!$B$22:$B$39,0))),"N/A")</f>
        <v/>
      </c>
      <c r="N178" s="52">
        <f>IFERROR(IF(INDEX('CFOG'!$Q$10:$Q$16,MATCH($F178,'CFOG'!$B$10:$B$16,0))="","Cell will autofill based on response",INDEX('CFOG'!$Q$10:$Q$16,MATCH($F178,'CFOG'!$B$10:$B$16,0))),"N/A")</f>
        <v/>
      </c>
      <c r="O178" s="52">
        <f>IFERROR(IF(INDEX('CFOG'!$Q$23:$Q$24,MATCH($F178,'CFOG'!$B$23:$B$24,0))="","Cell will autofill based on response",INDEX('CFOG'!$Q$23:$Q$24,MATCH($F178,'CFOG'!$B$23:$B$24,0))),"N/A")</f>
        <v/>
      </c>
      <c r="P178" s="52">
        <f>IFERROR(IF(INDEX('ESG'!$Q$10:$Q$17,MATCH($F178,'ESG'!$B$10:$B$17,0))="","Cell will autofill based on response",INDEX('ESG'!$Q$10:$Q$17,MATCH($F178,'ESG'!$B$10:$B$17,0))),"N/A")</f>
        <v/>
      </c>
      <c r="Q178" s="52">
        <f>IFERROR(IF(INDEX('CIOG'!$Q$10:$Q$14,MATCH($F178,'CIOG'!$B$10:$B$14,0))="","Cell will autofill based on response",INDEX('CIOG'!$Q$10:$Q$14,MATCH($F178,'CIOG'!$B$10:$B$14,0))),"N/A")</f>
        <v/>
      </c>
      <c r="R178" s="52">
        <f>IFERROR(IF(INDEX('MRE'!$Q$10:$Q$12,MATCH($F178,'MRE'!$B$10:$B$12,0))="","Cell will autofill based on response",INDEX('MRE'!$Q$10:$Q$12,MATCH($F178,'MRE'!$B$10:$B$12,0))),"N/A")</f>
        <v/>
      </c>
      <c r="S178" s="52">
        <f>IFERROR(IF(INDEX('L&amp;R'!$Q$10:$Q$11,MATCH($F178,'L&amp;R'!$B$10:$B$11,0))="","Cell will autofill based on response",INDEX('L&amp;R'!$Q$10:$Q$11,MATCH($F178,'L&amp;R'!$B$10:$B$11,0))),"N/A")</f>
        <v/>
      </c>
    </row>
    <row r="179">
      <c r="A179">
        <f>F179&amp;"|"&amp;G179</f>
        <v/>
      </c>
      <c r="B179" s="7" t="inlineStr">
        <is>
          <t>EI1(b)</t>
        </is>
      </c>
      <c r="C179" s="50" t="inlineStr">
        <is>
          <t>Estate and infrastructure</t>
        </is>
      </c>
      <c r="D179" s="50" t="inlineStr">
        <is>
          <t>Estimated sustainability impacts of the University’s estate and infrastructure capital plan to inform progress towards emissions reduction targets and other priority areas (to the extent enabled by available information)</t>
        </is>
      </c>
      <c r="E179" s="50"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0" t="inlineStr">
        <is>
          <t>EI1(b)</t>
        </is>
      </c>
      <c r="G179" s="50" t="inlineStr">
        <is>
          <t>Confirm end-2026 target status</t>
        </is>
      </c>
      <c r="H179" s="52">
        <f>IFERROR(IF(INDEX('Faculties'!$L$10:$L$30,MATCH($F179,'Faculties'!$B$10:$B$30,0))="","Cell will autofill based on response",INDEX('Faculties'!$L$10:$L$30,MATCH($F179,'Faculties'!$B$10:$B$30,0))),"N/A")</f>
        <v/>
      </c>
      <c r="I179" s="52">
        <f>IFERROR(IF(INDEX('Faculties'!$L$37:$L$57,MATCH($F179,'Faculties'!$B$37:$B$57,0))="","Cell will autofill based on response",INDEX('Faculties'!$L$37:$L$57,MATCH($F179,'Faculties'!$B$37:$B$57,0))),"N/A")</f>
        <v/>
      </c>
      <c r="J179" s="52">
        <f>IFERROR(IF(INDEX('Faculties'!$L$64:$L$84,MATCH($F179,'Faculties'!$B$64:$B$84,0))="","Cell will autofill based on response",INDEX('Faculties'!$L$64:$L$84,MATCH($F179,'Faculties'!$B$64:$B$84,0))),"N/A")</f>
        <v/>
      </c>
      <c r="K179" s="52">
        <f>IFERROR(IF(INDEX('Faculties'!$L$91:$L$111,MATCH($F179,'Faculties'!$B$91:$B$111,0))="","Cell will autofill based on response",INDEX('Faculties'!$L$91:$L$111,MATCH($F179,'Faculties'!$B$91:$B$111,0))),"N/A")</f>
        <v/>
      </c>
      <c r="L179" s="52">
        <f>IFERROR(IF(INDEX('CI&amp;S'!$L$10:$L$15,MATCH($F179,'CI&amp;S'!$B$10:$B$15,0))="","Cell will autofill based on response",INDEX('CI&amp;S'!$L$10:$L$15,MATCH($F179,'CI&amp;S'!$B$10:$B$15,0))),"N/A")</f>
        <v/>
      </c>
      <c r="M179" s="52">
        <f>IFERROR(IF(INDEX('CI&amp;S'!$L$22:$L$39,MATCH($F179,'CI&amp;S'!$B$22:$B$39,0))="","Cell will autofill based on response",INDEX('CI&amp;S'!$L$22:$L$39,MATCH($F179,'CI&amp;S'!$B$22:$B$39,0))),"N/A")</f>
        <v/>
      </c>
      <c r="N179" s="52">
        <f>IFERROR(IF(INDEX('CFOG'!$L$10:$L$16,MATCH($F179,'CFOG'!$B$10:$B$16,0))="","Cell will autofill based on response",INDEX('CFOG'!$L$10:$L$16,MATCH($F179,'CFOG'!$B$10:$B$16,0))),"N/A")</f>
        <v/>
      </c>
      <c r="O179" s="52">
        <f>IFERROR(IF(INDEX('CFOG'!$L$23:$L$24,MATCH($F179,'CFOG'!$B$23:$B$24,0))="","Cell will autofill based on response",INDEX('CFOG'!$L$23:$L$24,MATCH($F179,'CFOG'!$B$23:$B$24,0))),"N/A")</f>
        <v/>
      </c>
      <c r="P179" s="52">
        <f>IFERROR(IF(INDEX('ESG'!$L$10:$L$17,MATCH($F179,'ESG'!$B$10:$B$17,0))="","Cell will autofill based on response",INDEX('ESG'!$L$10:$L$17,MATCH($F179,'ESG'!$B$10:$B$17,0))),"N/A")</f>
        <v/>
      </c>
      <c r="Q179" s="52">
        <f>IFERROR(IF(INDEX('CIOG'!$L$10:$L$14,MATCH($F179,'CIOG'!$B$10:$B$14,0))="","Cell will autofill based on response",INDEX('CIOG'!$L$10:$L$14,MATCH($F179,'CIOG'!$B$10:$B$14,0))),"N/A")</f>
        <v/>
      </c>
      <c r="R179" s="52">
        <f>IFERROR(IF(INDEX('MRE'!$L$10:$L$12,MATCH($F179,'MRE'!$B$10:$B$12,0))="","Cell will autofill based on response",INDEX('MRE'!$L$10:$L$12,MATCH($F179,'MRE'!$B$10:$B$12,0))),"N/A")</f>
        <v/>
      </c>
      <c r="S179" s="52">
        <f>IFERROR(IF(INDEX('L&amp;R'!$L$10:$L$11,MATCH($F179,'L&amp;R'!$B$10:$B$11,0))="","Cell will autofill based on response",INDEX('L&amp;R'!$L$10:$L$11,MATCH($F179,'L&amp;R'!$B$10:$B$11,0))),"N/A")</f>
        <v/>
      </c>
      <c r="U179" s="10">
        <f>COUNTIF($H179:$S179,"Cell will autofill based on response")</f>
        <v/>
      </c>
      <c r="V179" s="10">
        <f>COUNTIF($H179:$S179,"Not yet started")</f>
        <v/>
      </c>
      <c r="W179" s="10">
        <f>COUNTIF($H179:$S179,"Not met")</f>
        <v/>
      </c>
      <c r="X179" s="10">
        <f>COUNTIF($H179:$S179,"Partially met")</f>
        <v/>
      </c>
      <c r="Y179" s="10">
        <f>COUNTIF($H179:$S179,"Met or exceeded")</f>
        <v/>
      </c>
      <c r="Z179" s="10">
        <f>3*Y179+2*X179+W179</f>
        <v/>
      </c>
      <c r="AA179" s="10">
        <f>Y179+X179+W179+V179</f>
        <v/>
      </c>
      <c r="AB179" s="53">
        <f>IF(AA179&gt;0,Z179/AA179,"No valid responses to date")</f>
        <v/>
      </c>
      <c r="AC179" s="10">
        <f>IF(ISNUMBER(AB179),INDEX(Lists!$G$2:$G$5,MATCH(ROUND(AB179,0),Lists!$H$2:$H$5,0)),"")</f>
        <v/>
      </c>
      <c r="AD179" s="54">
        <f>IF(AA179&gt;0,Y179/AA179,"")</f>
        <v/>
      </c>
      <c r="AE179" s="54">
        <f>IF(AA179&gt;0,(Y179+X179)/AA179,"")</f>
        <v/>
      </c>
      <c r="AF179" s="10">
        <f>IF(AA179=0,"",IF(AD179&gt;0.75,"Met or exceeded",IF(AE179&gt;=0.5,"Partially met","Not met")))</f>
        <v/>
      </c>
    </row>
    <row r="180">
      <c r="A180">
        <f>F180&amp;"|"&amp;G180</f>
        <v/>
      </c>
      <c r="B180" s="13" t="inlineStr"/>
      <c r="C180" s="8" t="inlineStr"/>
      <c r="D180" s="8" t="inlineStr"/>
      <c r="E180" s="8" t="inlineStr"/>
      <c r="F180" s="8" t="inlineStr">
        <is>
          <t>EI1(b)</t>
        </is>
      </c>
      <c r="G180" s="8" t="inlineStr">
        <is>
          <t>OPTION 1:  Target-level reporting</t>
        </is>
      </c>
      <c r="H180" s="52">
        <f>IFERROR(IF(INDEX('Faculties'!$M$10:$M$30,MATCH($F180,'Faculties'!$B$10:$B$30,0))="","Cell will autofill based on response",INDEX('Faculties'!$M$10:$M$30,MATCH($F180,'Faculties'!$B$10:$B$30,0))),"N/A")</f>
        <v/>
      </c>
      <c r="I180" s="52">
        <f>IFERROR(IF(INDEX('Faculties'!$M$37:$M$57,MATCH($F180,'Faculties'!$B$37:$B$57,0))="","Cell will autofill based on response",INDEX('Faculties'!$M$37:$M$57,MATCH($F180,'Faculties'!$B$37:$B$57,0))),"N/A")</f>
        <v/>
      </c>
      <c r="J180" s="52">
        <f>IFERROR(IF(INDEX('Faculties'!$M$64:$M$84,MATCH($F180,'Faculties'!$B$64:$B$84,0))="","Cell will autofill based on response",INDEX('Faculties'!$M$64:$M$84,MATCH($F180,'Faculties'!$B$64:$B$84,0))),"N/A")</f>
        <v/>
      </c>
      <c r="K180" s="52">
        <f>IFERROR(IF(INDEX('Faculties'!$M$91:$M$111,MATCH($F180,'Faculties'!$B$91:$B$111,0))="","Cell will autofill based on response",INDEX('Faculties'!$M$91:$M$111,MATCH($F180,'Faculties'!$B$91:$B$111,0))),"N/A")</f>
        <v/>
      </c>
      <c r="L180" s="52">
        <f>IFERROR(IF(INDEX('CI&amp;S'!$M$10:$M$15,MATCH($F180,'CI&amp;S'!$B$10:$B$15,0))="","Cell will autofill based on response",INDEX('CI&amp;S'!$M$10:$M$15,MATCH($F180,'CI&amp;S'!$B$10:$B$15,0))),"N/A")</f>
        <v/>
      </c>
      <c r="M180" s="52">
        <f>IFERROR(IF(INDEX('CI&amp;S'!$M$22:$M$39,MATCH($F180,'CI&amp;S'!$B$22:$B$39,0))="","Cell will autofill based on response",INDEX('CI&amp;S'!$M$22:$M$39,MATCH($F180,'CI&amp;S'!$B$22:$B$39,0))),"N/A")</f>
        <v/>
      </c>
      <c r="N180" s="52">
        <f>IFERROR(IF(INDEX('CFOG'!$M$10:$M$16,MATCH($F180,'CFOG'!$B$10:$B$16,0))="","Cell will autofill based on response",INDEX('CFOG'!$M$10:$M$16,MATCH($F180,'CFOG'!$B$10:$B$16,0))),"N/A")</f>
        <v/>
      </c>
      <c r="O180" s="52">
        <f>IFERROR(IF(INDEX('CFOG'!$M$23:$M$24,MATCH($F180,'CFOG'!$B$23:$B$24,0))="","Cell will autofill based on response",INDEX('CFOG'!$M$23:$M$24,MATCH($F180,'CFOG'!$B$23:$B$24,0))),"N/A")</f>
        <v/>
      </c>
      <c r="P180" s="52">
        <f>IFERROR(IF(INDEX('ESG'!$M$10:$M$17,MATCH($F180,'ESG'!$B$10:$B$17,0))="","Cell will autofill based on response",INDEX('ESG'!$M$10:$M$17,MATCH($F180,'ESG'!$B$10:$B$17,0))),"N/A")</f>
        <v/>
      </c>
      <c r="Q180" s="52">
        <f>IFERROR(IF(INDEX('CIOG'!$M$10:$M$14,MATCH($F180,'CIOG'!$B$10:$B$14,0))="","Cell will autofill based on response",INDEX('CIOG'!$M$10:$M$14,MATCH($F180,'CIOG'!$B$10:$B$14,0))),"N/A")</f>
        <v/>
      </c>
      <c r="R180" s="52">
        <f>IFERROR(IF(INDEX('MRE'!$M$10:$M$12,MATCH($F180,'MRE'!$B$10:$B$12,0))="","Cell will autofill based on response",INDEX('MRE'!$M$10:$M$12,MATCH($F180,'MRE'!$B$10:$B$12,0))),"N/A")</f>
        <v/>
      </c>
      <c r="S180" s="52">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2">
        <f>IFERROR(IF(INDEX('Faculties'!$N$10:$N$30,MATCH($F181,'Faculties'!$B$10:$B$30,0))="","Cell will autofill based on response",INDEX('Faculties'!$N$10:$N$30,MATCH($F181,'Faculties'!$B$10:$B$30,0))),"N/A")</f>
        <v/>
      </c>
      <c r="I181" s="52">
        <f>IFERROR(IF(INDEX('Faculties'!$N$37:$N$57,MATCH($F181,'Faculties'!$B$37:$B$57,0))="","Cell will autofill based on response",INDEX('Faculties'!$N$37:$N$57,MATCH($F181,'Faculties'!$B$37:$B$57,0))),"N/A")</f>
        <v/>
      </c>
      <c r="J181" s="52">
        <f>IFERROR(IF(INDEX('Faculties'!$N$64:$N$84,MATCH($F181,'Faculties'!$B$64:$B$84,0))="","Cell will autofill based on response",INDEX('Faculties'!$N$64:$N$84,MATCH($F181,'Faculties'!$B$64:$B$84,0))),"N/A")</f>
        <v/>
      </c>
      <c r="K181" s="52">
        <f>IFERROR(IF(INDEX('Faculties'!$N$91:$N$111,MATCH($F181,'Faculties'!$B$91:$B$111,0))="","Cell will autofill based on response",INDEX('Faculties'!$N$91:$N$111,MATCH($F181,'Faculties'!$B$91:$B$111,0))),"N/A")</f>
        <v/>
      </c>
      <c r="L181" s="52">
        <f>IFERROR(IF(INDEX('CI&amp;S'!$N$10:$N$15,MATCH($F181,'CI&amp;S'!$B$10:$B$15,0))="","Cell will autofill based on response",INDEX('CI&amp;S'!$N$10:$N$15,MATCH($F181,'CI&amp;S'!$B$10:$B$15,0))),"N/A")</f>
        <v/>
      </c>
      <c r="M181" s="52">
        <f>IFERROR(IF(INDEX('CI&amp;S'!$N$22:$N$39,MATCH($F181,'CI&amp;S'!$B$22:$B$39,0))="","Cell will autofill based on response",INDEX('CI&amp;S'!$N$22:$N$39,MATCH($F181,'CI&amp;S'!$B$22:$B$39,0))),"N/A")</f>
        <v/>
      </c>
      <c r="N181" s="52">
        <f>IFERROR(IF(INDEX('CFOG'!$N$10:$N$16,MATCH($F181,'CFOG'!$B$10:$B$16,0))="","Cell will autofill based on response",INDEX('CFOG'!$N$10:$N$16,MATCH($F181,'CFOG'!$B$10:$B$16,0))),"N/A")</f>
        <v/>
      </c>
      <c r="O181" s="52">
        <f>IFERROR(IF(INDEX('CFOG'!$N$23:$N$24,MATCH($F181,'CFOG'!$B$23:$B$24,0))="","Cell will autofill based on response",INDEX('CFOG'!$N$23:$N$24,MATCH($F181,'CFOG'!$B$23:$B$24,0))),"N/A")</f>
        <v/>
      </c>
      <c r="P181" s="52">
        <f>IFERROR(IF(INDEX('ESG'!$N$10:$N$17,MATCH($F181,'ESG'!$B$10:$B$17,0))="","Cell will autofill based on response",INDEX('ESG'!$N$10:$N$17,MATCH($F181,'ESG'!$B$10:$B$17,0))),"N/A")</f>
        <v/>
      </c>
      <c r="Q181" s="52">
        <f>IFERROR(IF(INDEX('CIOG'!$N$10:$N$14,MATCH($F181,'CIOG'!$B$10:$B$14,0))="","Cell will autofill based on response",INDEX('CIOG'!$N$10:$N$14,MATCH($F181,'CIOG'!$B$10:$B$14,0))),"N/A")</f>
        <v/>
      </c>
      <c r="R181" s="52">
        <f>IFERROR(IF(INDEX('MRE'!$N$10:$N$12,MATCH($F181,'MRE'!$B$10:$B$12,0))="","Cell will autofill based on response",INDEX('MRE'!$N$10:$N$12,MATCH($F181,'MRE'!$B$10:$B$12,0))),"N/A")</f>
        <v/>
      </c>
      <c r="S181" s="52">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2">
        <f>IFERROR(IF(INDEX('Faculties'!$O$10:$O$30,MATCH($F182,'Faculties'!$B$10:$B$30,0))="","Cell will autofill based on response",INDEX('Faculties'!$O$10:$O$30,MATCH($F182,'Faculties'!$B$10:$B$30,0))),"N/A")</f>
        <v/>
      </c>
      <c r="I182" s="52">
        <f>IFERROR(IF(INDEX('Faculties'!$O$37:$O$57,MATCH($F182,'Faculties'!$B$37:$B$57,0))="","Cell will autofill based on response",INDEX('Faculties'!$O$37:$O$57,MATCH($F182,'Faculties'!$B$37:$B$57,0))),"N/A")</f>
        <v/>
      </c>
      <c r="J182" s="52">
        <f>IFERROR(IF(INDEX('Faculties'!$O$64:$O$84,MATCH($F182,'Faculties'!$B$64:$B$84,0))="","Cell will autofill based on response",INDEX('Faculties'!$O$64:$O$84,MATCH($F182,'Faculties'!$B$64:$B$84,0))),"N/A")</f>
        <v/>
      </c>
      <c r="K182" s="52">
        <f>IFERROR(IF(INDEX('Faculties'!$O$91:$O$111,MATCH($F182,'Faculties'!$B$91:$B$111,0))="","Cell will autofill based on response",INDEX('Faculties'!$O$91:$O$111,MATCH($F182,'Faculties'!$B$91:$B$111,0))),"N/A")</f>
        <v/>
      </c>
      <c r="L182" s="52">
        <f>IFERROR(IF(INDEX('CI&amp;S'!$O$10:$O$15,MATCH($F182,'CI&amp;S'!$B$10:$B$15,0))="","Cell will autofill based on response",INDEX('CI&amp;S'!$O$10:$O$15,MATCH($F182,'CI&amp;S'!$B$10:$B$15,0))),"N/A")</f>
        <v/>
      </c>
      <c r="M182" s="52">
        <f>IFERROR(IF(INDEX('CI&amp;S'!$O$22:$O$39,MATCH($F182,'CI&amp;S'!$B$22:$B$39,0))="","Cell will autofill based on response",INDEX('CI&amp;S'!$O$22:$O$39,MATCH($F182,'CI&amp;S'!$B$22:$B$39,0))),"N/A")</f>
        <v/>
      </c>
      <c r="N182" s="52">
        <f>IFERROR(IF(INDEX('CFOG'!$O$10:$O$16,MATCH($F182,'CFOG'!$B$10:$B$16,0))="","Cell will autofill based on response",INDEX('CFOG'!$O$10:$O$16,MATCH($F182,'CFOG'!$B$10:$B$16,0))),"N/A")</f>
        <v/>
      </c>
      <c r="O182" s="52">
        <f>IFERROR(IF(INDEX('CFOG'!$O$23:$O$24,MATCH($F182,'CFOG'!$B$23:$B$24,0))="","Cell will autofill based on response",INDEX('CFOG'!$O$23:$O$24,MATCH($F182,'CFOG'!$B$23:$B$24,0))),"N/A")</f>
        <v/>
      </c>
      <c r="P182" s="52">
        <f>IFERROR(IF(INDEX('ESG'!$O$10:$O$17,MATCH($F182,'ESG'!$B$10:$B$17,0))="","Cell will autofill based on response",INDEX('ESG'!$O$10:$O$17,MATCH($F182,'ESG'!$B$10:$B$17,0))),"N/A")</f>
        <v/>
      </c>
      <c r="Q182" s="52">
        <f>IFERROR(IF(INDEX('CIOG'!$O$10:$O$14,MATCH($F182,'CIOG'!$B$10:$B$14,0))="","Cell will autofill based on response",INDEX('CIOG'!$O$10:$O$14,MATCH($F182,'CIOG'!$B$10:$B$14,0))),"N/A")</f>
        <v/>
      </c>
      <c r="R182" s="52">
        <f>IFERROR(IF(INDEX('MRE'!$O$10:$O$12,MATCH($F182,'MRE'!$B$10:$B$12,0))="","Cell will autofill based on response",INDEX('MRE'!$O$10:$O$12,MATCH($F182,'MRE'!$B$10:$B$12,0))),"N/A")</f>
        <v/>
      </c>
      <c r="S182" s="52">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2">
        <f>IFERROR(IF(INDEX('Faculties'!$P$10:$P$30,MATCH($F183,'Faculties'!$B$10:$B$30,0))="","Cell will autofill based on response",INDEX('Faculties'!$P$10:$P$30,MATCH($F183,'Faculties'!$B$10:$B$30,0))),"N/A")</f>
        <v/>
      </c>
      <c r="I183" s="52">
        <f>IFERROR(IF(INDEX('Faculties'!$P$37:$P$57,MATCH($F183,'Faculties'!$B$37:$B$57,0))="","Cell will autofill based on response",INDEX('Faculties'!$P$37:$P$57,MATCH($F183,'Faculties'!$B$37:$B$57,0))),"N/A")</f>
        <v/>
      </c>
      <c r="J183" s="52">
        <f>IFERROR(IF(INDEX('Faculties'!$P$64:$P$84,MATCH($F183,'Faculties'!$B$64:$B$84,0))="","Cell will autofill based on response",INDEX('Faculties'!$P$64:$P$84,MATCH($F183,'Faculties'!$B$64:$B$84,0))),"N/A")</f>
        <v/>
      </c>
      <c r="K183" s="52">
        <f>IFERROR(IF(INDEX('Faculties'!$P$91:$P$111,MATCH($F183,'Faculties'!$B$91:$B$111,0))="","Cell will autofill based on response",INDEX('Faculties'!$P$91:$P$111,MATCH($F183,'Faculties'!$B$91:$B$111,0))),"N/A")</f>
        <v/>
      </c>
      <c r="L183" s="52">
        <f>IFERROR(IF(INDEX('CI&amp;S'!$P$10:$P$15,MATCH($F183,'CI&amp;S'!$B$10:$B$15,0))="","Cell will autofill based on response",INDEX('CI&amp;S'!$P$10:$P$15,MATCH($F183,'CI&amp;S'!$B$10:$B$15,0))),"N/A")</f>
        <v/>
      </c>
      <c r="M183" s="52">
        <f>IFERROR(IF(INDEX('CI&amp;S'!$P$22:$P$39,MATCH($F183,'CI&amp;S'!$B$22:$B$39,0))="","Cell will autofill based on response",INDEX('CI&amp;S'!$P$22:$P$39,MATCH($F183,'CI&amp;S'!$B$22:$B$39,0))),"N/A")</f>
        <v/>
      </c>
      <c r="N183" s="52">
        <f>IFERROR(IF(INDEX('CFOG'!$P$10:$P$16,MATCH($F183,'CFOG'!$B$10:$B$16,0))="","Cell will autofill based on response",INDEX('CFOG'!$P$10:$P$16,MATCH($F183,'CFOG'!$B$10:$B$16,0))),"N/A")</f>
        <v/>
      </c>
      <c r="O183" s="52">
        <f>IFERROR(IF(INDEX('CFOG'!$P$23:$P$24,MATCH($F183,'CFOG'!$B$23:$B$24,0))="","Cell will autofill based on response",INDEX('CFOG'!$P$23:$P$24,MATCH($F183,'CFOG'!$B$23:$B$24,0))),"N/A")</f>
        <v/>
      </c>
      <c r="P183" s="52">
        <f>IFERROR(IF(INDEX('ESG'!$P$10:$P$17,MATCH($F183,'ESG'!$B$10:$B$17,0))="","Cell will autofill based on response",INDEX('ESG'!$P$10:$P$17,MATCH($F183,'ESG'!$B$10:$B$17,0))),"N/A")</f>
        <v/>
      </c>
      <c r="Q183" s="52">
        <f>IFERROR(IF(INDEX('CIOG'!$P$10:$P$14,MATCH($F183,'CIOG'!$B$10:$B$14,0))="","Cell will autofill based on response",INDEX('CIOG'!$P$10:$P$14,MATCH($F183,'CIOG'!$B$10:$B$14,0))),"N/A")</f>
        <v/>
      </c>
      <c r="R183" s="52">
        <f>IFERROR(IF(INDEX('MRE'!$P$10:$P$12,MATCH($F183,'MRE'!$B$10:$B$12,0))="","Cell will autofill based on response",INDEX('MRE'!$P$10:$P$12,MATCH($F183,'MRE'!$B$10:$B$12,0))),"N/A")</f>
        <v/>
      </c>
      <c r="S183" s="52">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2">
        <f>IFERROR(IF(INDEX('Faculties'!$Q$10:$Q$30,MATCH($F184,'Faculties'!$B$10:$B$30,0))="","Cell will autofill based on response",INDEX('Faculties'!$Q$10:$Q$30,MATCH($F184,'Faculties'!$B$10:$B$30,0))),"N/A")</f>
        <v/>
      </c>
      <c r="I184" s="52">
        <f>IFERROR(IF(INDEX('Faculties'!$Q$37:$Q$57,MATCH($F184,'Faculties'!$B$37:$B$57,0))="","Cell will autofill based on response",INDEX('Faculties'!$Q$37:$Q$57,MATCH($F184,'Faculties'!$B$37:$B$57,0))),"N/A")</f>
        <v/>
      </c>
      <c r="J184" s="52">
        <f>IFERROR(IF(INDEX('Faculties'!$Q$64:$Q$84,MATCH($F184,'Faculties'!$B$64:$B$84,0))="","Cell will autofill based on response",INDEX('Faculties'!$Q$64:$Q$84,MATCH($F184,'Faculties'!$B$64:$B$84,0))),"N/A")</f>
        <v/>
      </c>
      <c r="K184" s="52">
        <f>IFERROR(IF(INDEX('Faculties'!$Q$91:$Q$111,MATCH($F184,'Faculties'!$B$91:$B$111,0))="","Cell will autofill based on response",INDEX('Faculties'!$Q$91:$Q$111,MATCH($F184,'Faculties'!$B$91:$B$111,0))),"N/A")</f>
        <v/>
      </c>
      <c r="L184" s="52">
        <f>IFERROR(IF(INDEX('CI&amp;S'!$Q$10:$Q$15,MATCH($F184,'CI&amp;S'!$B$10:$B$15,0))="","Cell will autofill based on response",INDEX('CI&amp;S'!$Q$10:$Q$15,MATCH($F184,'CI&amp;S'!$B$10:$B$15,0))),"N/A")</f>
        <v/>
      </c>
      <c r="M184" s="52">
        <f>IFERROR(IF(INDEX('CI&amp;S'!$Q$22:$Q$39,MATCH($F184,'CI&amp;S'!$B$22:$B$39,0))="","Cell will autofill based on response",INDEX('CI&amp;S'!$Q$22:$Q$39,MATCH($F184,'CI&amp;S'!$B$22:$B$39,0))),"N/A")</f>
        <v/>
      </c>
      <c r="N184" s="52">
        <f>IFERROR(IF(INDEX('CFOG'!$Q$10:$Q$16,MATCH($F184,'CFOG'!$B$10:$B$16,0))="","Cell will autofill based on response",INDEX('CFOG'!$Q$10:$Q$16,MATCH($F184,'CFOG'!$B$10:$B$16,0))),"N/A")</f>
        <v/>
      </c>
      <c r="O184" s="52">
        <f>IFERROR(IF(INDEX('CFOG'!$Q$23:$Q$24,MATCH($F184,'CFOG'!$B$23:$B$24,0))="","Cell will autofill based on response",INDEX('CFOG'!$Q$23:$Q$24,MATCH($F184,'CFOG'!$B$23:$B$24,0))),"N/A")</f>
        <v/>
      </c>
      <c r="P184" s="52">
        <f>IFERROR(IF(INDEX('ESG'!$Q$10:$Q$17,MATCH($F184,'ESG'!$B$10:$B$17,0))="","Cell will autofill based on response",INDEX('ESG'!$Q$10:$Q$17,MATCH($F184,'ESG'!$B$10:$B$17,0))),"N/A")</f>
        <v/>
      </c>
      <c r="Q184" s="52">
        <f>IFERROR(IF(INDEX('CIOG'!$Q$10:$Q$14,MATCH($F184,'CIOG'!$B$10:$B$14,0))="","Cell will autofill based on response",INDEX('CIOG'!$Q$10:$Q$14,MATCH($F184,'CIOG'!$B$10:$B$14,0))),"N/A")</f>
        <v/>
      </c>
      <c r="R184" s="52">
        <f>IFERROR(IF(INDEX('MRE'!$Q$10:$Q$12,MATCH($F184,'MRE'!$B$10:$B$12,0))="","Cell will autofill based on response",INDEX('MRE'!$Q$10:$Q$12,MATCH($F184,'MRE'!$B$10:$B$12,0))),"N/A")</f>
        <v/>
      </c>
      <c r="S184" s="52">
        <f>IFERROR(IF(INDEX('L&amp;R'!$Q$10:$Q$11,MATCH($F184,'L&amp;R'!$B$10:$B$11,0))="","Cell will autofill based on response",INDEX('L&amp;R'!$Q$10:$Q$11,MATCH($F184,'L&amp;R'!$B$10:$B$11,0))),"N/A")</f>
        <v/>
      </c>
    </row>
    <row r="185">
      <c r="A185">
        <f>F185&amp;"|"&amp;G185</f>
        <v/>
      </c>
      <c r="B185" s="7" t="inlineStr">
        <is>
          <t>EI1(c)</t>
        </is>
      </c>
      <c r="C185" s="50" t="inlineStr">
        <is>
          <t>Estate and infrastructure</t>
        </is>
      </c>
      <c r="D185" s="50" t="inlineStr">
        <is>
          <t>Reporting on relevant activities and impacts for the University’s major estate and infrastructure projects and programs aligned with the other priority areas in Sustainability 2030</t>
        </is>
      </c>
      <c r="E185" s="50"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0" t="inlineStr">
        <is>
          <t>EI1(c)</t>
        </is>
      </c>
      <c r="G185" s="50" t="inlineStr">
        <is>
          <t>Confirm end-2026 target status</t>
        </is>
      </c>
      <c r="H185" s="52">
        <f>IFERROR(IF(INDEX('Faculties'!$L$10:$L$30,MATCH($F185,'Faculties'!$B$10:$B$30,0))="","Cell will autofill based on response",INDEX('Faculties'!$L$10:$L$30,MATCH($F185,'Faculties'!$B$10:$B$30,0))),"N/A")</f>
        <v/>
      </c>
      <c r="I185" s="52">
        <f>IFERROR(IF(INDEX('Faculties'!$L$37:$L$57,MATCH($F185,'Faculties'!$B$37:$B$57,0))="","Cell will autofill based on response",INDEX('Faculties'!$L$37:$L$57,MATCH($F185,'Faculties'!$B$37:$B$57,0))),"N/A")</f>
        <v/>
      </c>
      <c r="J185" s="52">
        <f>IFERROR(IF(INDEX('Faculties'!$L$64:$L$84,MATCH($F185,'Faculties'!$B$64:$B$84,0))="","Cell will autofill based on response",INDEX('Faculties'!$L$64:$L$84,MATCH($F185,'Faculties'!$B$64:$B$84,0))),"N/A")</f>
        <v/>
      </c>
      <c r="K185" s="52">
        <f>IFERROR(IF(INDEX('Faculties'!$L$91:$L$111,MATCH($F185,'Faculties'!$B$91:$B$111,0))="","Cell will autofill based on response",INDEX('Faculties'!$L$91:$L$111,MATCH($F185,'Faculties'!$B$91:$B$111,0))),"N/A")</f>
        <v/>
      </c>
      <c r="L185" s="52">
        <f>IFERROR(IF(INDEX('CI&amp;S'!$L$10:$L$15,MATCH($F185,'CI&amp;S'!$B$10:$B$15,0))="","Cell will autofill based on response",INDEX('CI&amp;S'!$L$10:$L$15,MATCH($F185,'CI&amp;S'!$B$10:$B$15,0))),"N/A")</f>
        <v/>
      </c>
      <c r="M185" s="52">
        <f>IFERROR(IF(INDEX('CI&amp;S'!$L$22:$L$39,MATCH($F185,'CI&amp;S'!$B$22:$B$39,0))="","Cell will autofill based on response",INDEX('CI&amp;S'!$L$22:$L$39,MATCH($F185,'CI&amp;S'!$B$22:$B$39,0))),"N/A")</f>
        <v/>
      </c>
      <c r="N185" s="52">
        <f>IFERROR(IF(INDEX('CFOG'!$L$10:$L$16,MATCH($F185,'CFOG'!$B$10:$B$16,0))="","Cell will autofill based on response",INDEX('CFOG'!$L$10:$L$16,MATCH($F185,'CFOG'!$B$10:$B$16,0))),"N/A")</f>
        <v/>
      </c>
      <c r="O185" s="52">
        <f>IFERROR(IF(INDEX('CFOG'!$L$23:$L$24,MATCH($F185,'CFOG'!$B$23:$B$24,0))="","Cell will autofill based on response",INDEX('CFOG'!$L$23:$L$24,MATCH($F185,'CFOG'!$B$23:$B$24,0))),"N/A")</f>
        <v/>
      </c>
      <c r="P185" s="52">
        <f>IFERROR(IF(INDEX('ESG'!$L$10:$L$17,MATCH($F185,'ESG'!$B$10:$B$17,0))="","Cell will autofill based on response",INDEX('ESG'!$L$10:$L$17,MATCH($F185,'ESG'!$B$10:$B$17,0))),"N/A")</f>
        <v/>
      </c>
      <c r="Q185" s="52">
        <f>IFERROR(IF(INDEX('CIOG'!$L$10:$L$14,MATCH($F185,'CIOG'!$B$10:$B$14,0))="","Cell will autofill based on response",INDEX('CIOG'!$L$10:$L$14,MATCH($F185,'CIOG'!$B$10:$B$14,0))),"N/A")</f>
        <v/>
      </c>
      <c r="R185" s="52">
        <f>IFERROR(IF(INDEX('MRE'!$L$10:$L$12,MATCH($F185,'MRE'!$B$10:$B$12,0))="","Cell will autofill based on response",INDEX('MRE'!$L$10:$L$12,MATCH($F185,'MRE'!$B$10:$B$12,0))),"N/A")</f>
        <v/>
      </c>
      <c r="S185" s="52">
        <f>IFERROR(IF(INDEX('L&amp;R'!$L$10:$L$11,MATCH($F185,'L&amp;R'!$B$10:$B$11,0))="","Cell will autofill based on response",INDEX('L&amp;R'!$L$10:$L$11,MATCH($F185,'L&amp;R'!$B$10:$B$11,0))),"N/A")</f>
        <v/>
      </c>
      <c r="U185" s="10">
        <f>COUNTIF($H185:$S185,"Cell will autofill based on response")</f>
        <v/>
      </c>
      <c r="V185" s="10">
        <f>COUNTIF($H185:$S185,"Not yet started")</f>
        <v/>
      </c>
      <c r="W185" s="10">
        <f>COUNTIF($H185:$S185,"Not met")</f>
        <v/>
      </c>
      <c r="X185" s="10">
        <f>COUNTIF($H185:$S185,"Partially met")</f>
        <v/>
      </c>
      <c r="Y185" s="10">
        <f>COUNTIF($H185:$S185,"Met or exceeded")</f>
        <v/>
      </c>
      <c r="Z185" s="10">
        <f>3*Y185+2*X185+W185</f>
        <v/>
      </c>
      <c r="AA185" s="10">
        <f>Y185+X185+W185+V185</f>
        <v/>
      </c>
      <c r="AB185" s="53">
        <f>IF(AA185&gt;0,Z185/AA185,"No valid responses to date")</f>
        <v/>
      </c>
      <c r="AC185" s="10">
        <f>IF(ISNUMBER(AB185),INDEX(Lists!$G$2:$G$5,MATCH(ROUND(AB185,0),Lists!$H$2:$H$5,0)),"")</f>
        <v/>
      </c>
      <c r="AD185" s="54">
        <f>IF(AA185&gt;0,Y185/AA185,"")</f>
        <v/>
      </c>
      <c r="AE185" s="54">
        <f>IF(AA185&gt;0,(Y185+X185)/AA185,"")</f>
        <v/>
      </c>
      <c r="AF185" s="10">
        <f>IF(AA185=0,"",IF(AD185&gt;0.75,"Met or exceeded",IF(AE185&gt;=0.5,"Partially met","Not met")))</f>
        <v/>
      </c>
    </row>
    <row r="186">
      <c r="A186">
        <f>F186&amp;"|"&amp;G186</f>
        <v/>
      </c>
      <c r="B186" s="13" t="inlineStr"/>
      <c r="C186" s="8" t="inlineStr"/>
      <c r="D186" s="8" t="inlineStr"/>
      <c r="E186" s="8" t="inlineStr"/>
      <c r="F186" s="8" t="inlineStr">
        <is>
          <t>EI1(c)</t>
        </is>
      </c>
      <c r="G186" s="8" t="inlineStr">
        <is>
          <t>OPTION 1:  Target-level reporting</t>
        </is>
      </c>
      <c r="H186" s="52">
        <f>IFERROR(IF(INDEX('Faculties'!$M$10:$M$30,MATCH($F186,'Faculties'!$B$10:$B$30,0))="","Cell will autofill based on response",INDEX('Faculties'!$M$10:$M$30,MATCH($F186,'Faculties'!$B$10:$B$30,0))),"N/A")</f>
        <v/>
      </c>
      <c r="I186" s="52">
        <f>IFERROR(IF(INDEX('Faculties'!$M$37:$M$57,MATCH($F186,'Faculties'!$B$37:$B$57,0))="","Cell will autofill based on response",INDEX('Faculties'!$M$37:$M$57,MATCH($F186,'Faculties'!$B$37:$B$57,0))),"N/A")</f>
        <v/>
      </c>
      <c r="J186" s="52">
        <f>IFERROR(IF(INDEX('Faculties'!$M$64:$M$84,MATCH($F186,'Faculties'!$B$64:$B$84,0))="","Cell will autofill based on response",INDEX('Faculties'!$M$64:$M$84,MATCH($F186,'Faculties'!$B$64:$B$84,0))),"N/A")</f>
        <v/>
      </c>
      <c r="K186" s="52">
        <f>IFERROR(IF(INDEX('Faculties'!$M$91:$M$111,MATCH($F186,'Faculties'!$B$91:$B$111,0))="","Cell will autofill based on response",INDEX('Faculties'!$M$91:$M$111,MATCH($F186,'Faculties'!$B$91:$B$111,0))),"N/A")</f>
        <v/>
      </c>
      <c r="L186" s="52">
        <f>IFERROR(IF(INDEX('CI&amp;S'!$M$10:$M$15,MATCH($F186,'CI&amp;S'!$B$10:$B$15,0))="","Cell will autofill based on response",INDEX('CI&amp;S'!$M$10:$M$15,MATCH($F186,'CI&amp;S'!$B$10:$B$15,0))),"N/A")</f>
        <v/>
      </c>
      <c r="M186" s="52">
        <f>IFERROR(IF(INDEX('CI&amp;S'!$M$22:$M$39,MATCH($F186,'CI&amp;S'!$B$22:$B$39,0))="","Cell will autofill based on response",INDEX('CI&amp;S'!$M$22:$M$39,MATCH($F186,'CI&amp;S'!$B$22:$B$39,0))),"N/A")</f>
        <v/>
      </c>
      <c r="N186" s="52">
        <f>IFERROR(IF(INDEX('CFOG'!$M$10:$M$16,MATCH($F186,'CFOG'!$B$10:$B$16,0))="","Cell will autofill based on response",INDEX('CFOG'!$M$10:$M$16,MATCH($F186,'CFOG'!$B$10:$B$16,0))),"N/A")</f>
        <v/>
      </c>
      <c r="O186" s="52">
        <f>IFERROR(IF(INDEX('CFOG'!$M$23:$M$24,MATCH($F186,'CFOG'!$B$23:$B$24,0))="","Cell will autofill based on response",INDEX('CFOG'!$M$23:$M$24,MATCH($F186,'CFOG'!$B$23:$B$24,0))),"N/A")</f>
        <v/>
      </c>
      <c r="P186" s="52">
        <f>IFERROR(IF(INDEX('ESG'!$M$10:$M$17,MATCH($F186,'ESG'!$B$10:$B$17,0))="","Cell will autofill based on response",INDEX('ESG'!$M$10:$M$17,MATCH($F186,'ESG'!$B$10:$B$17,0))),"N/A")</f>
        <v/>
      </c>
      <c r="Q186" s="52">
        <f>IFERROR(IF(INDEX('CIOG'!$M$10:$M$14,MATCH($F186,'CIOG'!$B$10:$B$14,0))="","Cell will autofill based on response",INDEX('CIOG'!$M$10:$M$14,MATCH($F186,'CIOG'!$B$10:$B$14,0))),"N/A")</f>
        <v/>
      </c>
      <c r="R186" s="52">
        <f>IFERROR(IF(INDEX('MRE'!$M$10:$M$12,MATCH($F186,'MRE'!$B$10:$B$12,0))="","Cell will autofill based on response",INDEX('MRE'!$M$10:$M$12,MATCH($F186,'MRE'!$B$10:$B$12,0))),"N/A")</f>
        <v/>
      </c>
      <c r="S186" s="52">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2">
        <f>IFERROR(IF(INDEX('Faculties'!$N$10:$N$30,MATCH($F187,'Faculties'!$B$10:$B$30,0))="","Cell will autofill based on response",INDEX('Faculties'!$N$10:$N$30,MATCH($F187,'Faculties'!$B$10:$B$30,0))),"N/A")</f>
        <v/>
      </c>
      <c r="I187" s="52">
        <f>IFERROR(IF(INDEX('Faculties'!$N$37:$N$57,MATCH($F187,'Faculties'!$B$37:$B$57,0))="","Cell will autofill based on response",INDEX('Faculties'!$N$37:$N$57,MATCH($F187,'Faculties'!$B$37:$B$57,0))),"N/A")</f>
        <v/>
      </c>
      <c r="J187" s="52">
        <f>IFERROR(IF(INDEX('Faculties'!$N$64:$N$84,MATCH($F187,'Faculties'!$B$64:$B$84,0))="","Cell will autofill based on response",INDEX('Faculties'!$N$64:$N$84,MATCH($F187,'Faculties'!$B$64:$B$84,0))),"N/A")</f>
        <v/>
      </c>
      <c r="K187" s="52">
        <f>IFERROR(IF(INDEX('Faculties'!$N$91:$N$111,MATCH($F187,'Faculties'!$B$91:$B$111,0))="","Cell will autofill based on response",INDEX('Faculties'!$N$91:$N$111,MATCH($F187,'Faculties'!$B$91:$B$111,0))),"N/A")</f>
        <v/>
      </c>
      <c r="L187" s="52">
        <f>IFERROR(IF(INDEX('CI&amp;S'!$N$10:$N$15,MATCH($F187,'CI&amp;S'!$B$10:$B$15,0))="","Cell will autofill based on response",INDEX('CI&amp;S'!$N$10:$N$15,MATCH($F187,'CI&amp;S'!$B$10:$B$15,0))),"N/A")</f>
        <v/>
      </c>
      <c r="M187" s="52">
        <f>IFERROR(IF(INDEX('CI&amp;S'!$N$22:$N$39,MATCH($F187,'CI&amp;S'!$B$22:$B$39,0))="","Cell will autofill based on response",INDEX('CI&amp;S'!$N$22:$N$39,MATCH($F187,'CI&amp;S'!$B$22:$B$39,0))),"N/A")</f>
        <v/>
      </c>
      <c r="N187" s="52">
        <f>IFERROR(IF(INDEX('CFOG'!$N$10:$N$16,MATCH($F187,'CFOG'!$B$10:$B$16,0))="","Cell will autofill based on response",INDEX('CFOG'!$N$10:$N$16,MATCH($F187,'CFOG'!$B$10:$B$16,0))),"N/A")</f>
        <v/>
      </c>
      <c r="O187" s="52">
        <f>IFERROR(IF(INDEX('CFOG'!$N$23:$N$24,MATCH($F187,'CFOG'!$B$23:$B$24,0))="","Cell will autofill based on response",INDEX('CFOG'!$N$23:$N$24,MATCH($F187,'CFOG'!$B$23:$B$24,0))),"N/A")</f>
        <v/>
      </c>
      <c r="P187" s="52">
        <f>IFERROR(IF(INDEX('ESG'!$N$10:$N$17,MATCH($F187,'ESG'!$B$10:$B$17,0))="","Cell will autofill based on response",INDEX('ESG'!$N$10:$N$17,MATCH($F187,'ESG'!$B$10:$B$17,0))),"N/A")</f>
        <v/>
      </c>
      <c r="Q187" s="52">
        <f>IFERROR(IF(INDEX('CIOG'!$N$10:$N$14,MATCH($F187,'CIOG'!$B$10:$B$14,0))="","Cell will autofill based on response",INDEX('CIOG'!$N$10:$N$14,MATCH($F187,'CIOG'!$B$10:$B$14,0))),"N/A")</f>
        <v/>
      </c>
      <c r="R187" s="52">
        <f>IFERROR(IF(INDEX('MRE'!$N$10:$N$12,MATCH($F187,'MRE'!$B$10:$B$12,0))="","Cell will autofill based on response",INDEX('MRE'!$N$10:$N$12,MATCH($F187,'MRE'!$B$10:$B$12,0))),"N/A")</f>
        <v/>
      </c>
      <c r="S187" s="52">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2">
        <f>IFERROR(IF(INDEX('Faculties'!$O$10:$O$30,MATCH($F188,'Faculties'!$B$10:$B$30,0))="","Cell will autofill based on response",INDEX('Faculties'!$O$10:$O$30,MATCH($F188,'Faculties'!$B$10:$B$30,0))),"N/A")</f>
        <v/>
      </c>
      <c r="I188" s="52">
        <f>IFERROR(IF(INDEX('Faculties'!$O$37:$O$57,MATCH($F188,'Faculties'!$B$37:$B$57,0))="","Cell will autofill based on response",INDEX('Faculties'!$O$37:$O$57,MATCH($F188,'Faculties'!$B$37:$B$57,0))),"N/A")</f>
        <v/>
      </c>
      <c r="J188" s="52">
        <f>IFERROR(IF(INDEX('Faculties'!$O$64:$O$84,MATCH($F188,'Faculties'!$B$64:$B$84,0))="","Cell will autofill based on response",INDEX('Faculties'!$O$64:$O$84,MATCH($F188,'Faculties'!$B$64:$B$84,0))),"N/A")</f>
        <v/>
      </c>
      <c r="K188" s="52">
        <f>IFERROR(IF(INDEX('Faculties'!$O$91:$O$111,MATCH($F188,'Faculties'!$B$91:$B$111,0))="","Cell will autofill based on response",INDEX('Faculties'!$O$91:$O$111,MATCH($F188,'Faculties'!$B$91:$B$111,0))),"N/A")</f>
        <v/>
      </c>
      <c r="L188" s="52">
        <f>IFERROR(IF(INDEX('CI&amp;S'!$O$10:$O$15,MATCH($F188,'CI&amp;S'!$B$10:$B$15,0))="","Cell will autofill based on response",INDEX('CI&amp;S'!$O$10:$O$15,MATCH($F188,'CI&amp;S'!$B$10:$B$15,0))),"N/A")</f>
        <v/>
      </c>
      <c r="M188" s="52">
        <f>IFERROR(IF(INDEX('CI&amp;S'!$O$22:$O$39,MATCH($F188,'CI&amp;S'!$B$22:$B$39,0))="","Cell will autofill based on response",INDEX('CI&amp;S'!$O$22:$O$39,MATCH($F188,'CI&amp;S'!$B$22:$B$39,0))),"N/A")</f>
        <v/>
      </c>
      <c r="N188" s="52">
        <f>IFERROR(IF(INDEX('CFOG'!$O$10:$O$16,MATCH($F188,'CFOG'!$B$10:$B$16,0))="","Cell will autofill based on response",INDEX('CFOG'!$O$10:$O$16,MATCH($F188,'CFOG'!$B$10:$B$16,0))),"N/A")</f>
        <v/>
      </c>
      <c r="O188" s="52">
        <f>IFERROR(IF(INDEX('CFOG'!$O$23:$O$24,MATCH($F188,'CFOG'!$B$23:$B$24,0))="","Cell will autofill based on response",INDEX('CFOG'!$O$23:$O$24,MATCH($F188,'CFOG'!$B$23:$B$24,0))),"N/A")</f>
        <v/>
      </c>
      <c r="P188" s="52">
        <f>IFERROR(IF(INDEX('ESG'!$O$10:$O$17,MATCH($F188,'ESG'!$B$10:$B$17,0))="","Cell will autofill based on response",INDEX('ESG'!$O$10:$O$17,MATCH($F188,'ESG'!$B$10:$B$17,0))),"N/A")</f>
        <v/>
      </c>
      <c r="Q188" s="52">
        <f>IFERROR(IF(INDEX('CIOG'!$O$10:$O$14,MATCH($F188,'CIOG'!$B$10:$B$14,0))="","Cell will autofill based on response",INDEX('CIOG'!$O$10:$O$14,MATCH($F188,'CIOG'!$B$10:$B$14,0))),"N/A")</f>
        <v/>
      </c>
      <c r="R188" s="52">
        <f>IFERROR(IF(INDEX('MRE'!$O$10:$O$12,MATCH($F188,'MRE'!$B$10:$B$12,0))="","Cell will autofill based on response",INDEX('MRE'!$O$10:$O$12,MATCH($F188,'MRE'!$B$10:$B$12,0))),"N/A")</f>
        <v/>
      </c>
      <c r="S188" s="52">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2">
        <f>IFERROR(IF(INDEX('Faculties'!$P$10:$P$30,MATCH($F189,'Faculties'!$B$10:$B$30,0))="","Cell will autofill based on response",INDEX('Faculties'!$P$10:$P$30,MATCH($F189,'Faculties'!$B$10:$B$30,0))),"N/A")</f>
        <v/>
      </c>
      <c r="I189" s="52">
        <f>IFERROR(IF(INDEX('Faculties'!$P$37:$P$57,MATCH($F189,'Faculties'!$B$37:$B$57,0))="","Cell will autofill based on response",INDEX('Faculties'!$P$37:$P$57,MATCH($F189,'Faculties'!$B$37:$B$57,0))),"N/A")</f>
        <v/>
      </c>
      <c r="J189" s="52">
        <f>IFERROR(IF(INDEX('Faculties'!$P$64:$P$84,MATCH($F189,'Faculties'!$B$64:$B$84,0))="","Cell will autofill based on response",INDEX('Faculties'!$P$64:$P$84,MATCH($F189,'Faculties'!$B$64:$B$84,0))),"N/A")</f>
        <v/>
      </c>
      <c r="K189" s="52">
        <f>IFERROR(IF(INDEX('Faculties'!$P$91:$P$111,MATCH($F189,'Faculties'!$B$91:$B$111,0))="","Cell will autofill based on response",INDEX('Faculties'!$P$91:$P$111,MATCH($F189,'Faculties'!$B$91:$B$111,0))),"N/A")</f>
        <v/>
      </c>
      <c r="L189" s="52">
        <f>IFERROR(IF(INDEX('CI&amp;S'!$P$10:$P$15,MATCH($F189,'CI&amp;S'!$B$10:$B$15,0))="","Cell will autofill based on response",INDEX('CI&amp;S'!$P$10:$P$15,MATCH($F189,'CI&amp;S'!$B$10:$B$15,0))),"N/A")</f>
        <v/>
      </c>
      <c r="M189" s="52">
        <f>IFERROR(IF(INDEX('CI&amp;S'!$P$22:$P$39,MATCH($F189,'CI&amp;S'!$B$22:$B$39,0))="","Cell will autofill based on response",INDEX('CI&amp;S'!$P$22:$P$39,MATCH($F189,'CI&amp;S'!$B$22:$B$39,0))),"N/A")</f>
        <v/>
      </c>
      <c r="N189" s="52">
        <f>IFERROR(IF(INDEX('CFOG'!$P$10:$P$16,MATCH($F189,'CFOG'!$B$10:$B$16,0))="","Cell will autofill based on response",INDEX('CFOG'!$P$10:$P$16,MATCH($F189,'CFOG'!$B$10:$B$16,0))),"N/A")</f>
        <v/>
      </c>
      <c r="O189" s="52">
        <f>IFERROR(IF(INDEX('CFOG'!$P$23:$P$24,MATCH($F189,'CFOG'!$B$23:$B$24,0))="","Cell will autofill based on response",INDEX('CFOG'!$P$23:$P$24,MATCH($F189,'CFOG'!$B$23:$B$24,0))),"N/A")</f>
        <v/>
      </c>
      <c r="P189" s="52">
        <f>IFERROR(IF(INDEX('ESG'!$P$10:$P$17,MATCH($F189,'ESG'!$B$10:$B$17,0))="","Cell will autofill based on response",INDEX('ESG'!$P$10:$P$17,MATCH($F189,'ESG'!$B$10:$B$17,0))),"N/A")</f>
        <v/>
      </c>
      <c r="Q189" s="52">
        <f>IFERROR(IF(INDEX('CIOG'!$P$10:$P$14,MATCH($F189,'CIOG'!$B$10:$B$14,0))="","Cell will autofill based on response",INDEX('CIOG'!$P$10:$P$14,MATCH($F189,'CIOG'!$B$10:$B$14,0))),"N/A")</f>
        <v/>
      </c>
      <c r="R189" s="52">
        <f>IFERROR(IF(INDEX('MRE'!$P$10:$P$12,MATCH($F189,'MRE'!$B$10:$B$12,0))="","Cell will autofill based on response",INDEX('MRE'!$P$10:$P$12,MATCH($F189,'MRE'!$B$10:$B$12,0))),"N/A")</f>
        <v/>
      </c>
      <c r="S189" s="52">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2">
        <f>IFERROR(IF(INDEX('Faculties'!$Q$10:$Q$30,MATCH($F190,'Faculties'!$B$10:$B$30,0))="","Cell will autofill based on response",INDEX('Faculties'!$Q$10:$Q$30,MATCH($F190,'Faculties'!$B$10:$B$30,0))),"N/A")</f>
        <v/>
      </c>
      <c r="I190" s="52">
        <f>IFERROR(IF(INDEX('Faculties'!$Q$37:$Q$57,MATCH($F190,'Faculties'!$B$37:$B$57,0))="","Cell will autofill based on response",INDEX('Faculties'!$Q$37:$Q$57,MATCH($F190,'Faculties'!$B$37:$B$57,0))),"N/A")</f>
        <v/>
      </c>
      <c r="J190" s="52">
        <f>IFERROR(IF(INDEX('Faculties'!$Q$64:$Q$84,MATCH($F190,'Faculties'!$B$64:$B$84,0))="","Cell will autofill based on response",INDEX('Faculties'!$Q$64:$Q$84,MATCH($F190,'Faculties'!$B$64:$B$84,0))),"N/A")</f>
        <v/>
      </c>
      <c r="K190" s="52">
        <f>IFERROR(IF(INDEX('Faculties'!$Q$91:$Q$111,MATCH($F190,'Faculties'!$B$91:$B$111,0))="","Cell will autofill based on response",INDEX('Faculties'!$Q$91:$Q$111,MATCH($F190,'Faculties'!$B$91:$B$111,0))),"N/A")</f>
        <v/>
      </c>
      <c r="L190" s="52">
        <f>IFERROR(IF(INDEX('CI&amp;S'!$Q$10:$Q$15,MATCH($F190,'CI&amp;S'!$B$10:$B$15,0))="","Cell will autofill based on response",INDEX('CI&amp;S'!$Q$10:$Q$15,MATCH($F190,'CI&amp;S'!$B$10:$B$15,0))),"N/A")</f>
        <v/>
      </c>
      <c r="M190" s="52">
        <f>IFERROR(IF(INDEX('CI&amp;S'!$Q$22:$Q$39,MATCH($F190,'CI&amp;S'!$B$22:$B$39,0))="","Cell will autofill based on response",INDEX('CI&amp;S'!$Q$22:$Q$39,MATCH($F190,'CI&amp;S'!$B$22:$B$39,0))),"N/A")</f>
        <v/>
      </c>
      <c r="N190" s="52">
        <f>IFERROR(IF(INDEX('CFOG'!$Q$10:$Q$16,MATCH($F190,'CFOG'!$B$10:$B$16,0))="","Cell will autofill based on response",INDEX('CFOG'!$Q$10:$Q$16,MATCH($F190,'CFOG'!$B$10:$B$16,0))),"N/A")</f>
        <v/>
      </c>
      <c r="O190" s="52">
        <f>IFERROR(IF(INDEX('CFOG'!$Q$23:$Q$24,MATCH($F190,'CFOG'!$B$23:$B$24,0))="","Cell will autofill based on response",INDEX('CFOG'!$Q$23:$Q$24,MATCH($F190,'CFOG'!$B$23:$B$24,0))),"N/A")</f>
        <v/>
      </c>
      <c r="P190" s="52">
        <f>IFERROR(IF(INDEX('ESG'!$Q$10:$Q$17,MATCH($F190,'ESG'!$B$10:$B$17,0))="","Cell will autofill based on response",INDEX('ESG'!$Q$10:$Q$17,MATCH($F190,'ESG'!$B$10:$B$17,0))),"N/A")</f>
        <v/>
      </c>
      <c r="Q190" s="52">
        <f>IFERROR(IF(INDEX('CIOG'!$Q$10:$Q$14,MATCH($F190,'CIOG'!$B$10:$B$14,0))="","Cell will autofill based on response",INDEX('CIOG'!$Q$10:$Q$14,MATCH($F190,'CIOG'!$B$10:$B$14,0))),"N/A")</f>
        <v/>
      </c>
      <c r="R190" s="52">
        <f>IFERROR(IF(INDEX('MRE'!$Q$10:$Q$12,MATCH($F190,'MRE'!$B$10:$B$12,0))="","Cell will autofill based on response",INDEX('MRE'!$Q$10:$Q$12,MATCH($F190,'MRE'!$B$10:$B$12,0))),"N/A")</f>
        <v/>
      </c>
      <c r="S190" s="52">
        <f>IFERROR(IF(INDEX('L&amp;R'!$Q$10:$Q$11,MATCH($F190,'L&amp;R'!$B$10:$B$11,0))="","Cell will autofill based on response",INDEX('L&amp;R'!$Q$10:$Q$11,MATCH($F190,'L&amp;R'!$B$10:$B$11,0))),"N/A")</f>
        <v/>
      </c>
    </row>
    <row r="191">
      <c r="A191">
        <f>F191&amp;"|"&amp;G191</f>
        <v/>
      </c>
      <c r="B191" s="7" t="inlineStr">
        <is>
          <t>EI1(d)</t>
        </is>
      </c>
      <c r="C191" s="50" t="inlineStr">
        <is>
          <t>Estate and infrastructure</t>
        </is>
      </c>
      <c r="D191" s="50" t="inlineStr">
        <is>
          <t>Evidence of understanding and integration of Indigenous approaches to sustainability in estate planning and development programs and projects.</t>
        </is>
      </c>
      <c r="E191" s="50"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0" t="inlineStr">
        <is>
          <t>EI1(d)</t>
        </is>
      </c>
      <c r="G191" s="50" t="inlineStr">
        <is>
          <t>Confirm end-2026 target status</t>
        </is>
      </c>
      <c r="H191" s="52">
        <f>IFERROR(IF(INDEX('Faculties'!$L$10:$L$30,MATCH($F191,'Faculties'!$B$10:$B$30,0))="","Cell will autofill based on response",INDEX('Faculties'!$L$10:$L$30,MATCH($F191,'Faculties'!$B$10:$B$30,0))),"N/A")</f>
        <v/>
      </c>
      <c r="I191" s="52">
        <f>IFERROR(IF(INDEX('Faculties'!$L$37:$L$57,MATCH($F191,'Faculties'!$B$37:$B$57,0))="","Cell will autofill based on response",INDEX('Faculties'!$L$37:$L$57,MATCH($F191,'Faculties'!$B$37:$B$57,0))),"N/A")</f>
        <v/>
      </c>
      <c r="J191" s="52">
        <f>IFERROR(IF(INDEX('Faculties'!$L$64:$L$84,MATCH($F191,'Faculties'!$B$64:$B$84,0))="","Cell will autofill based on response",INDEX('Faculties'!$L$64:$L$84,MATCH($F191,'Faculties'!$B$64:$B$84,0))),"N/A")</f>
        <v/>
      </c>
      <c r="K191" s="52">
        <f>IFERROR(IF(INDEX('Faculties'!$L$91:$L$111,MATCH($F191,'Faculties'!$B$91:$B$111,0))="","Cell will autofill based on response",INDEX('Faculties'!$L$91:$L$111,MATCH($F191,'Faculties'!$B$91:$B$111,0))),"N/A")</f>
        <v/>
      </c>
      <c r="L191" s="52">
        <f>IFERROR(IF(INDEX('CI&amp;S'!$L$10:$L$15,MATCH($F191,'CI&amp;S'!$B$10:$B$15,0))="","Cell will autofill based on response",INDEX('CI&amp;S'!$L$10:$L$15,MATCH($F191,'CI&amp;S'!$B$10:$B$15,0))),"N/A")</f>
        <v/>
      </c>
      <c r="M191" s="52">
        <f>IFERROR(IF(INDEX('CI&amp;S'!$L$22:$L$39,MATCH($F191,'CI&amp;S'!$B$22:$B$39,0))="","Cell will autofill based on response",INDEX('CI&amp;S'!$L$22:$L$39,MATCH($F191,'CI&amp;S'!$B$22:$B$39,0))),"N/A")</f>
        <v/>
      </c>
      <c r="N191" s="52">
        <f>IFERROR(IF(INDEX('CFOG'!$L$10:$L$16,MATCH($F191,'CFOG'!$B$10:$B$16,0))="","Cell will autofill based on response",INDEX('CFOG'!$L$10:$L$16,MATCH($F191,'CFOG'!$B$10:$B$16,0))),"N/A")</f>
        <v/>
      </c>
      <c r="O191" s="52">
        <f>IFERROR(IF(INDEX('CFOG'!$L$23:$L$24,MATCH($F191,'CFOG'!$B$23:$B$24,0))="","Cell will autofill based on response",INDEX('CFOG'!$L$23:$L$24,MATCH($F191,'CFOG'!$B$23:$B$24,0))),"N/A")</f>
        <v/>
      </c>
      <c r="P191" s="52">
        <f>IFERROR(IF(INDEX('ESG'!$L$10:$L$17,MATCH($F191,'ESG'!$B$10:$B$17,0))="","Cell will autofill based on response",INDEX('ESG'!$L$10:$L$17,MATCH($F191,'ESG'!$B$10:$B$17,0))),"N/A")</f>
        <v/>
      </c>
      <c r="Q191" s="52">
        <f>IFERROR(IF(INDEX('CIOG'!$L$10:$L$14,MATCH($F191,'CIOG'!$B$10:$B$14,0))="","Cell will autofill based on response",INDEX('CIOG'!$L$10:$L$14,MATCH($F191,'CIOG'!$B$10:$B$14,0))),"N/A")</f>
        <v/>
      </c>
      <c r="R191" s="52">
        <f>IFERROR(IF(INDEX('MRE'!$L$10:$L$12,MATCH($F191,'MRE'!$B$10:$B$12,0))="","Cell will autofill based on response",INDEX('MRE'!$L$10:$L$12,MATCH($F191,'MRE'!$B$10:$B$12,0))),"N/A")</f>
        <v/>
      </c>
      <c r="S191" s="52">
        <f>IFERROR(IF(INDEX('L&amp;R'!$L$10:$L$11,MATCH($F191,'L&amp;R'!$B$10:$B$11,0))="","Cell will autofill based on response",INDEX('L&amp;R'!$L$10:$L$11,MATCH($F191,'L&amp;R'!$B$10:$B$11,0))),"N/A")</f>
        <v/>
      </c>
      <c r="U191" s="10">
        <f>COUNTIF($H191:$S191,"Cell will autofill based on response")</f>
        <v/>
      </c>
      <c r="V191" s="10">
        <f>COUNTIF($H191:$S191,"Not yet started")</f>
        <v/>
      </c>
      <c r="W191" s="10">
        <f>COUNTIF($H191:$S191,"Not met")</f>
        <v/>
      </c>
      <c r="X191" s="10">
        <f>COUNTIF($H191:$S191,"Partially met")</f>
        <v/>
      </c>
      <c r="Y191" s="10">
        <f>COUNTIF($H191:$S191,"Met or exceeded")</f>
        <v/>
      </c>
      <c r="Z191" s="10">
        <f>3*Y191+2*X191+W191</f>
        <v/>
      </c>
      <c r="AA191" s="10">
        <f>Y191+X191+W191+V191</f>
        <v/>
      </c>
      <c r="AB191" s="53">
        <f>IF(AA191&gt;0,Z191/AA191,"No valid responses to date")</f>
        <v/>
      </c>
      <c r="AC191" s="10">
        <f>IF(ISNUMBER(AB191),INDEX(Lists!$G$2:$G$5,MATCH(ROUND(AB191,0),Lists!$H$2:$H$5,0)),"")</f>
        <v/>
      </c>
      <c r="AD191" s="54">
        <f>IF(AA191&gt;0,Y191/AA191,"")</f>
        <v/>
      </c>
      <c r="AE191" s="54">
        <f>IF(AA191&gt;0,(Y191+X191)/AA191,"")</f>
        <v/>
      </c>
      <c r="AF191" s="10">
        <f>IF(AA191=0,"",IF(AD191&gt;0.75,"Met or exceeded",IF(AE191&gt;=0.5,"Partially met","Not met")))</f>
        <v/>
      </c>
    </row>
    <row r="192">
      <c r="A192">
        <f>F192&amp;"|"&amp;G192</f>
        <v/>
      </c>
      <c r="B192" s="13" t="inlineStr"/>
      <c r="C192" s="8" t="inlineStr"/>
      <c r="D192" s="8" t="inlineStr"/>
      <c r="E192" s="8" t="inlineStr"/>
      <c r="F192" s="8" t="inlineStr">
        <is>
          <t>EI1(d)</t>
        </is>
      </c>
      <c r="G192" s="8" t="inlineStr">
        <is>
          <t>OPTION 1:  Target-level reporting</t>
        </is>
      </c>
      <c r="H192" s="52">
        <f>IFERROR(IF(INDEX('Faculties'!$M$10:$M$30,MATCH($F192,'Faculties'!$B$10:$B$30,0))="","Cell will autofill based on response",INDEX('Faculties'!$M$10:$M$30,MATCH($F192,'Faculties'!$B$10:$B$30,0))),"N/A")</f>
        <v/>
      </c>
      <c r="I192" s="52">
        <f>IFERROR(IF(INDEX('Faculties'!$M$37:$M$57,MATCH($F192,'Faculties'!$B$37:$B$57,0))="","Cell will autofill based on response",INDEX('Faculties'!$M$37:$M$57,MATCH($F192,'Faculties'!$B$37:$B$57,0))),"N/A")</f>
        <v/>
      </c>
      <c r="J192" s="52">
        <f>IFERROR(IF(INDEX('Faculties'!$M$64:$M$84,MATCH($F192,'Faculties'!$B$64:$B$84,0))="","Cell will autofill based on response",INDEX('Faculties'!$M$64:$M$84,MATCH($F192,'Faculties'!$B$64:$B$84,0))),"N/A")</f>
        <v/>
      </c>
      <c r="K192" s="52">
        <f>IFERROR(IF(INDEX('Faculties'!$M$91:$M$111,MATCH($F192,'Faculties'!$B$91:$B$111,0))="","Cell will autofill based on response",INDEX('Faculties'!$M$91:$M$111,MATCH($F192,'Faculties'!$B$91:$B$111,0))),"N/A")</f>
        <v/>
      </c>
      <c r="L192" s="52">
        <f>IFERROR(IF(INDEX('CI&amp;S'!$M$10:$M$15,MATCH($F192,'CI&amp;S'!$B$10:$B$15,0))="","Cell will autofill based on response",INDEX('CI&amp;S'!$M$10:$M$15,MATCH($F192,'CI&amp;S'!$B$10:$B$15,0))),"N/A")</f>
        <v/>
      </c>
      <c r="M192" s="52">
        <f>IFERROR(IF(INDEX('CI&amp;S'!$M$22:$M$39,MATCH($F192,'CI&amp;S'!$B$22:$B$39,0))="","Cell will autofill based on response",INDEX('CI&amp;S'!$M$22:$M$39,MATCH($F192,'CI&amp;S'!$B$22:$B$39,0))),"N/A")</f>
        <v/>
      </c>
      <c r="N192" s="52">
        <f>IFERROR(IF(INDEX('CFOG'!$M$10:$M$16,MATCH($F192,'CFOG'!$B$10:$B$16,0))="","Cell will autofill based on response",INDEX('CFOG'!$M$10:$M$16,MATCH($F192,'CFOG'!$B$10:$B$16,0))),"N/A")</f>
        <v/>
      </c>
      <c r="O192" s="52">
        <f>IFERROR(IF(INDEX('CFOG'!$M$23:$M$24,MATCH($F192,'CFOG'!$B$23:$B$24,0))="","Cell will autofill based on response",INDEX('CFOG'!$M$23:$M$24,MATCH($F192,'CFOG'!$B$23:$B$24,0))),"N/A")</f>
        <v/>
      </c>
      <c r="P192" s="52">
        <f>IFERROR(IF(INDEX('ESG'!$M$10:$M$17,MATCH($F192,'ESG'!$B$10:$B$17,0))="","Cell will autofill based on response",INDEX('ESG'!$M$10:$M$17,MATCH($F192,'ESG'!$B$10:$B$17,0))),"N/A")</f>
        <v/>
      </c>
      <c r="Q192" s="52">
        <f>IFERROR(IF(INDEX('CIOG'!$M$10:$M$14,MATCH($F192,'CIOG'!$B$10:$B$14,0))="","Cell will autofill based on response",INDEX('CIOG'!$M$10:$M$14,MATCH($F192,'CIOG'!$B$10:$B$14,0))),"N/A")</f>
        <v/>
      </c>
      <c r="R192" s="52">
        <f>IFERROR(IF(INDEX('MRE'!$M$10:$M$12,MATCH($F192,'MRE'!$B$10:$B$12,0))="","Cell will autofill based on response",INDEX('MRE'!$M$10:$M$12,MATCH($F192,'MRE'!$B$10:$B$12,0))),"N/A")</f>
        <v/>
      </c>
      <c r="S192" s="52">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2">
        <f>IFERROR(IF(INDEX('Faculties'!$N$10:$N$30,MATCH($F193,'Faculties'!$B$10:$B$30,0))="","Cell will autofill based on response",INDEX('Faculties'!$N$10:$N$30,MATCH($F193,'Faculties'!$B$10:$B$30,0))),"N/A")</f>
        <v/>
      </c>
      <c r="I193" s="52">
        <f>IFERROR(IF(INDEX('Faculties'!$N$37:$N$57,MATCH($F193,'Faculties'!$B$37:$B$57,0))="","Cell will autofill based on response",INDEX('Faculties'!$N$37:$N$57,MATCH($F193,'Faculties'!$B$37:$B$57,0))),"N/A")</f>
        <v/>
      </c>
      <c r="J193" s="52">
        <f>IFERROR(IF(INDEX('Faculties'!$N$64:$N$84,MATCH($F193,'Faculties'!$B$64:$B$84,0))="","Cell will autofill based on response",INDEX('Faculties'!$N$64:$N$84,MATCH($F193,'Faculties'!$B$64:$B$84,0))),"N/A")</f>
        <v/>
      </c>
      <c r="K193" s="52">
        <f>IFERROR(IF(INDEX('Faculties'!$N$91:$N$111,MATCH($F193,'Faculties'!$B$91:$B$111,0))="","Cell will autofill based on response",INDEX('Faculties'!$N$91:$N$111,MATCH($F193,'Faculties'!$B$91:$B$111,0))),"N/A")</f>
        <v/>
      </c>
      <c r="L193" s="52">
        <f>IFERROR(IF(INDEX('CI&amp;S'!$N$10:$N$15,MATCH($F193,'CI&amp;S'!$B$10:$B$15,0))="","Cell will autofill based on response",INDEX('CI&amp;S'!$N$10:$N$15,MATCH($F193,'CI&amp;S'!$B$10:$B$15,0))),"N/A")</f>
        <v/>
      </c>
      <c r="M193" s="52">
        <f>IFERROR(IF(INDEX('CI&amp;S'!$N$22:$N$39,MATCH($F193,'CI&amp;S'!$B$22:$B$39,0))="","Cell will autofill based on response",INDEX('CI&amp;S'!$N$22:$N$39,MATCH($F193,'CI&amp;S'!$B$22:$B$39,0))),"N/A")</f>
        <v/>
      </c>
      <c r="N193" s="52">
        <f>IFERROR(IF(INDEX('CFOG'!$N$10:$N$16,MATCH($F193,'CFOG'!$B$10:$B$16,0))="","Cell will autofill based on response",INDEX('CFOG'!$N$10:$N$16,MATCH($F193,'CFOG'!$B$10:$B$16,0))),"N/A")</f>
        <v/>
      </c>
      <c r="O193" s="52">
        <f>IFERROR(IF(INDEX('CFOG'!$N$23:$N$24,MATCH($F193,'CFOG'!$B$23:$B$24,0))="","Cell will autofill based on response",INDEX('CFOG'!$N$23:$N$24,MATCH($F193,'CFOG'!$B$23:$B$24,0))),"N/A")</f>
        <v/>
      </c>
      <c r="P193" s="52">
        <f>IFERROR(IF(INDEX('ESG'!$N$10:$N$17,MATCH($F193,'ESG'!$B$10:$B$17,0))="","Cell will autofill based on response",INDEX('ESG'!$N$10:$N$17,MATCH($F193,'ESG'!$B$10:$B$17,0))),"N/A")</f>
        <v/>
      </c>
      <c r="Q193" s="52">
        <f>IFERROR(IF(INDEX('CIOG'!$N$10:$N$14,MATCH($F193,'CIOG'!$B$10:$B$14,0))="","Cell will autofill based on response",INDEX('CIOG'!$N$10:$N$14,MATCH($F193,'CIOG'!$B$10:$B$14,0))),"N/A")</f>
        <v/>
      </c>
      <c r="R193" s="52">
        <f>IFERROR(IF(INDEX('MRE'!$N$10:$N$12,MATCH($F193,'MRE'!$B$10:$B$12,0))="","Cell will autofill based on response",INDEX('MRE'!$N$10:$N$12,MATCH($F193,'MRE'!$B$10:$B$12,0))),"N/A")</f>
        <v/>
      </c>
      <c r="S193" s="52">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2">
        <f>IFERROR(IF(INDEX('Faculties'!$O$10:$O$30,MATCH($F194,'Faculties'!$B$10:$B$30,0))="","Cell will autofill based on response",INDEX('Faculties'!$O$10:$O$30,MATCH($F194,'Faculties'!$B$10:$B$30,0))),"N/A")</f>
        <v/>
      </c>
      <c r="I194" s="52">
        <f>IFERROR(IF(INDEX('Faculties'!$O$37:$O$57,MATCH($F194,'Faculties'!$B$37:$B$57,0))="","Cell will autofill based on response",INDEX('Faculties'!$O$37:$O$57,MATCH($F194,'Faculties'!$B$37:$B$57,0))),"N/A")</f>
        <v/>
      </c>
      <c r="J194" s="52">
        <f>IFERROR(IF(INDEX('Faculties'!$O$64:$O$84,MATCH($F194,'Faculties'!$B$64:$B$84,0))="","Cell will autofill based on response",INDEX('Faculties'!$O$64:$O$84,MATCH($F194,'Faculties'!$B$64:$B$84,0))),"N/A")</f>
        <v/>
      </c>
      <c r="K194" s="52">
        <f>IFERROR(IF(INDEX('Faculties'!$O$91:$O$111,MATCH($F194,'Faculties'!$B$91:$B$111,0))="","Cell will autofill based on response",INDEX('Faculties'!$O$91:$O$111,MATCH($F194,'Faculties'!$B$91:$B$111,0))),"N/A")</f>
        <v/>
      </c>
      <c r="L194" s="52">
        <f>IFERROR(IF(INDEX('CI&amp;S'!$O$10:$O$15,MATCH($F194,'CI&amp;S'!$B$10:$B$15,0))="","Cell will autofill based on response",INDEX('CI&amp;S'!$O$10:$O$15,MATCH($F194,'CI&amp;S'!$B$10:$B$15,0))),"N/A")</f>
        <v/>
      </c>
      <c r="M194" s="52">
        <f>IFERROR(IF(INDEX('CI&amp;S'!$O$22:$O$39,MATCH($F194,'CI&amp;S'!$B$22:$B$39,0))="","Cell will autofill based on response",INDEX('CI&amp;S'!$O$22:$O$39,MATCH($F194,'CI&amp;S'!$B$22:$B$39,0))),"N/A")</f>
        <v/>
      </c>
      <c r="N194" s="52">
        <f>IFERROR(IF(INDEX('CFOG'!$O$10:$O$16,MATCH($F194,'CFOG'!$B$10:$B$16,0))="","Cell will autofill based on response",INDEX('CFOG'!$O$10:$O$16,MATCH($F194,'CFOG'!$B$10:$B$16,0))),"N/A")</f>
        <v/>
      </c>
      <c r="O194" s="52">
        <f>IFERROR(IF(INDEX('CFOG'!$O$23:$O$24,MATCH($F194,'CFOG'!$B$23:$B$24,0))="","Cell will autofill based on response",INDEX('CFOG'!$O$23:$O$24,MATCH($F194,'CFOG'!$B$23:$B$24,0))),"N/A")</f>
        <v/>
      </c>
      <c r="P194" s="52">
        <f>IFERROR(IF(INDEX('ESG'!$O$10:$O$17,MATCH($F194,'ESG'!$B$10:$B$17,0))="","Cell will autofill based on response",INDEX('ESG'!$O$10:$O$17,MATCH($F194,'ESG'!$B$10:$B$17,0))),"N/A")</f>
        <v/>
      </c>
      <c r="Q194" s="52">
        <f>IFERROR(IF(INDEX('CIOG'!$O$10:$O$14,MATCH($F194,'CIOG'!$B$10:$B$14,0))="","Cell will autofill based on response",INDEX('CIOG'!$O$10:$O$14,MATCH($F194,'CIOG'!$B$10:$B$14,0))),"N/A")</f>
        <v/>
      </c>
      <c r="R194" s="52">
        <f>IFERROR(IF(INDEX('MRE'!$O$10:$O$12,MATCH($F194,'MRE'!$B$10:$B$12,0))="","Cell will autofill based on response",INDEX('MRE'!$O$10:$O$12,MATCH($F194,'MRE'!$B$10:$B$12,0))),"N/A")</f>
        <v/>
      </c>
      <c r="S194" s="52">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2">
        <f>IFERROR(IF(INDEX('Faculties'!$P$10:$P$30,MATCH($F195,'Faculties'!$B$10:$B$30,0))="","Cell will autofill based on response",INDEX('Faculties'!$P$10:$P$30,MATCH($F195,'Faculties'!$B$10:$B$30,0))),"N/A")</f>
        <v/>
      </c>
      <c r="I195" s="52">
        <f>IFERROR(IF(INDEX('Faculties'!$P$37:$P$57,MATCH($F195,'Faculties'!$B$37:$B$57,0))="","Cell will autofill based on response",INDEX('Faculties'!$P$37:$P$57,MATCH($F195,'Faculties'!$B$37:$B$57,0))),"N/A")</f>
        <v/>
      </c>
      <c r="J195" s="52">
        <f>IFERROR(IF(INDEX('Faculties'!$P$64:$P$84,MATCH($F195,'Faculties'!$B$64:$B$84,0))="","Cell will autofill based on response",INDEX('Faculties'!$P$64:$P$84,MATCH($F195,'Faculties'!$B$64:$B$84,0))),"N/A")</f>
        <v/>
      </c>
      <c r="K195" s="52">
        <f>IFERROR(IF(INDEX('Faculties'!$P$91:$P$111,MATCH($F195,'Faculties'!$B$91:$B$111,0))="","Cell will autofill based on response",INDEX('Faculties'!$P$91:$P$111,MATCH($F195,'Faculties'!$B$91:$B$111,0))),"N/A")</f>
        <v/>
      </c>
      <c r="L195" s="52">
        <f>IFERROR(IF(INDEX('CI&amp;S'!$P$10:$P$15,MATCH($F195,'CI&amp;S'!$B$10:$B$15,0))="","Cell will autofill based on response",INDEX('CI&amp;S'!$P$10:$P$15,MATCH($F195,'CI&amp;S'!$B$10:$B$15,0))),"N/A")</f>
        <v/>
      </c>
      <c r="M195" s="52">
        <f>IFERROR(IF(INDEX('CI&amp;S'!$P$22:$P$39,MATCH($F195,'CI&amp;S'!$B$22:$B$39,0))="","Cell will autofill based on response",INDEX('CI&amp;S'!$P$22:$P$39,MATCH($F195,'CI&amp;S'!$B$22:$B$39,0))),"N/A")</f>
        <v/>
      </c>
      <c r="N195" s="52">
        <f>IFERROR(IF(INDEX('CFOG'!$P$10:$P$16,MATCH($F195,'CFOG'!$B$10:$B$16,0))="","Cell will autofill based on response",INDEX('CFOG'!$P$10:$P$16,MATCH($F195,'CFOG'!$B$10:$B$16,0))),"N/A")</f>
        <v/>
      </c>
      <c r="O195" s="52">
        <f>IFERROR(IF(INDEX('CFOG'!$P$23:$P$24,MATCH($F195,'CFOG'!$B$23:$B$24,0))="","Cell will autofill based on response",INDEX('CFOG'!$P$23:$P$24,MATCH($F195,'CFOG'!$B$23:$B$24,0))),"N/A")</f>
        <v/>
      </c>
      <c r="P195" s="52">
        <f>IFERROR(IF(INDEX('ESG'!$P$10:$P$17,MATCH($F195,'ESG'!$B$10:$B$17,0))="","Cell will autofill based on response",INDEX('ESG'!$P$10:$P$17,MATCH($F195,'ESG'!$B$10:$B$17,0))),"N/A")</f>
        <v/>
      </c>
      <c r="Q195" s="52">
        <f>IFERROR(IF(INDEX('CIOG'!$P$10:$P$14,MATCH($F195,'CIOG'!$B$10:$B$14,0))="","Cell will autofill based on response",INDEX('CIOG'!$P$10:$P$14,MATCH($F195,'CIOG'!$B$10:$B$14,0))),"N/A")</f>
        <v/>
      </c>
      <c r="R195" s="52">
        <f>IFERROR(IF(INDEX('MRE'!$P$10:$P$12,MATCH($F195,'MRE'!$B$10:$B$12,0))="","Cell will autofill based on response",INDEX('MRE'!$P$10:$P$12,MATCH($F195,'MRE'!$B$10:$B$12,0))),"N/A")</f>
        <v/>
      </c>
      <c r="S195" s="52">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2">
        <f>IFERROR(IF(INDEX('Faculties'!$Q$10:$Q$30,MATCH($F196,'Faculties'!$B$10:$B$30,0))="","Cell will autofill based on response",INDEX('Faculties'!$Q$10:$Q$30,MATCH($F196,'Faculties'!$B$10:$B$30,0))),"N/A")</f>
        <v/>
      </c>
      <c r="I196" s="52">
        <f>IFERROR(IF(INDEX('Faculties'!$Q$37:$Q$57,MATCH($F196,'Faculties'!$B$37:$B$57,0))="","Cell will autofill based on response",INDEX('Faculties'!$Q$37:$Q$57,MATCH($F196,'Faculties'!$B$37:$B$57,0))),"N/A")</f>
        <v/>
      </c>
      <c r="J196" s="52">
        <f>IFERROR(IF(INDEX('Faculties'!$Q$64:$Q$84,MATCH($F196,'Faculties'!$B$64:$B$84,0))="","Cell will autofill based on response",INDEX('Faculties'!$Q$64:$Q$84,MATCH($F196,'Faculties'!$B$64:$B$84,0))),"N/A")</f>
        <v/>
      </c>
      <c r="K196" s="52">
        <f>IFERROR(IF(INDEX('Faculties'!$Q$91:$Q$111,MATCH($F196,'Faculties'!$B$91:$B$111,0))="","Cell will autofill based on response",INDEX('Faculties'!$Q$91:$Q$111,MATCH($F196,'Faculties'!$B$91:$B$111,0))),"N/A")</f>
        <v/>
      </c>
      <c r="L196" s="52">
        <f>IFERROR(IF(INDEX('CI&amp;S'!$Q$10:$Q$15,MATCH($F196,'CI&amp;S'!$B$10:$B$15,0))="","Cell will autofill based on response",INDEX('CI&amp;S'!$Q$10:$Q$15,MATCH($F196,'CI&amp;S'!$B$10:$B$15,0))),"N/A")</f>
        <v/>
      </c>
      <c r="M196" s="52">
        <f>IFERROR(IF(INDEX('CI&amp;S'!$Q$22:$Q$39,MATCH($F196,'CI&amp;S'!$B$22:$B$39,0))="","Cell will autofill based on response",INDEX('CI&amp;S'!$Q$22:$Q$39,MATCH($F196,'CI&amp;S'!$B$22:$B$39,0))),"N/A")</f>
        <v/>
      </c>
      <c r="N196" s="52">
        <f>IFERROR(IF(INDEX('CFOG'!$Q$10:$Q$16,MATCH($F196,'CFOG'!$B$10:$B$16,0))="","Cell will autofill based on response",INDEX('CFOG'!$Q$10:$Q$16,MATCH($F196,'CFOG'!$B$10:$B$16,0))),"N/A")</f>
        <v/>
      </c>
      <c r="O196" s="52">
        <f>IFERROR(IF(INDEX('CFOG'!$Q$23:$Q$24,MATCH($F196,'CFOG'!$B$23:$B$24,0))="","Cell will autofill based on response",INDEX('CFOG'!$Q$23:$Q$24,MATCH($F196,'CFOG'!$B$23:$B$24,0))),"N/A")</f>
        <v/>
      </c>
      <c r="P196" s="52">
        <f>IFERROR(IF(INDEX('ESG'!$Q$10:$Q$17,MATCH($F196,'ESG'!$B$10:$B$17,0))="","Cell will autofill based on response",INDEX('ESG'!$Q$10:$Q$17,MATCH($F196,'ESG'!$B$10:$B$17,0))),"N/A")</f>
        <v/>
      </c>
      <c r="Q196" s="52">
        <f>IFERROR(IF(INDEX('CIOG'!$Q$10:$Q$14,MATCH($F196,'CIOG'!$B$10:$B$14,0))="","Cell will autofill based on response",INDEX('CIOG'!$Q$10:$Q$14,MATCH($F196,'CIOG'!$B$10:$B$14,0))),"N/A")</f>
        <v/>
      </c>
      <c r="R196" s="52">
        <f>IFERROR(IF(INDEX('MRE'!$Q$10:$Q$12,MATCH($F196,'MRE'!$B$10:$B$12,0))="","Cell will autofill based on response",INDEX('MRE'!$Q$10:$Q$12,MATCH($F196,'MRE'!$B$10:$B$12,0))),"N/A")</f>
        <v/>
      </c>
      <c r="S196" s="52">
        <f>IFERROR(IF(INDEX('L&amp;R'!$Q$10:$Q$11,MATCH($F196,'L&amp;R'!$B$10:$B$11,0))="","Cell will autofill based on response",INDEX('L&amp;R'!$Q$10:$Q$11,MATCH($F196,'L&amp;R'!$B$10:$B$11,0))),"N/A")</f>
        <v/>
      </c>
    </row>
    <row r="197">
      <c r="A197">
        <f>F197&amp;"|"&amp;G197</f>
        <v/>
      </c>
      <c r="B197" s="7" t="inlineStr">
        <is>
          <t>RP1(a)</t>
        </is>
      </c>
      <c r="C197" s="50" t="inlineStr">
        <is>
          <t>Responsible procurement</t>
        </is>
      </c>
      <c r="D197" s="50" t="inlineStr">
        <is>
          <t>Case studies of maturity improvement related to responsible procurement process and systems.</t>
        </is>
      </c>
      <c r="E197" s="50" t="inlineStr">
        <is>
          <t>Maturity score if framework established; % procurement staff trained</t>
        </is>
      </c>
      <c r="F197" s="50" t="inlineStr">
        <is>
          <t>RP1(a)</t>
        </is>
      </c>
      <c r="G197" s="50" t="inlineStr">
        <is>
          <t>Confirm end-2026 target status</t>
        </is>
      </c>
      <c r="H197" s="52">
        <f>IFERROR(IF(INDEX('Faculties'!$L$10:$L$30,MATCH($F197,'Faculties'!$B$10:$B$30,0))="","Cell will autofill based on response",INDEX('Faculties'!$L$10:$L$30,MATCH($F197,'Faculties'!$B$10:$B$30,0))),"N/A")</f>
        <v/>
      </c>
      <c r="I197" s="52">
        <f>IFERROR(IF(INDEX('Faculties'!$L$37:$L$57,MATCH($F197,'Faculties'!$B$37:$B$57,0))="","Cell will autofill based on response",INDEX('Faculties'!$L$37:$L$57,MATCH($F197,'Faculties'!$B$37:$B$57,0))),"N/A")</f>
        <v/>
      </c>
      <c r="J197" s="52">
        <f>IFERROR(IF(INDEX('Faculties'!$L$64:$L$84,MATCH($F197,'Faculties'!$B$64:$B$84,0))="","Cell will autofill based on response",INDEX('Faculties'!$L$64:$L$84,MATCH($F197,'Faculties'!$B$64:$B$84,0))),"N/A")</f>
        <v/>
      </c>
      <c r="K197" s="52">
        <f>IFERROR(IF(INDEX('Faculties'!$L$91:$L$111,MATCH($F197,'Faculties'!$B$91:$B$111,0))="","Cell will autofill based on response",INDEX('Faculties'!$L$91:$L$111,MATCH($F197,'Faculties'!$B$91:$B$111,0))),"N/A")</f>
        <v/>
      </c>
      <c r="L197" s="52">
        <f>IFERROR(IF(INDEX('CI&amp;S'!$L$10:$L$15,MATCH($F197,'CI&amp;S'!$B$10:$B$15,0))="","Cell will autofill based on response",INDEX('CI&amp;S'!$L$10:$L$15,MATCH($F197,'CI&amp;S'!$B$10:$B$15,0))),"N/A")</f>
        <v/>
      </c>
      <c r="M197" s="52">
        <f>IFERROR(IF(INDEX('CI&amp;S'!$L$22:$L$39,MATCH($F197,'CI&amp;S'!$B$22:$B$39,0))="","Cell will autofill based on response",INDEX('CI&amp;S'!$L$22:$L$39,MATCH($F197,'CI&amp;S'!$B$22:$B$39,0))),"N/A")</f>
        <v/>
      </c>
      <c r="N197" s="52">
        <f>IFERROR(IF(INDEX('CFOG'!$L$10:$L$16,MATCH($F197,'CFOG'!$B$10:$B$16,0))="","Cell will autofill based on response",INDEX('CFOG'!$L$10:$L$16,MATCH($F197,'CFOG'!$B$10:$B$16,0))),"N/A")</f>
        <v/>
      </c>
      <c r="O197" s="52">
        <f>IFERROR(IF(INDEX('CFOG'!$L$23:$L$24,MATCH($F197,'CFOG'!$B$23:$B$24,0))="","Cell will autofill based on response",INDEX('CFOG'!$L$23:$L$24,MATCH($F197,'CFOG'!$B$23:$B$24,0))),"N/A")</f>
        <v/>
      </c>
      <c r="P197" s="52">
        <f>IFERROR(IF(INDEX('ESG'!$L$10:$L$17,MATCH($F197,'ESG'!$B$10:$B$17,0))="","Cell will autofill based on response",INDEX('ESG'!$L$10:$L$17,MATCH($F197,'ESG'!$B$10:$B$17,0))),"N/A")</f>
        <v/>
      </c>
      <c r="Q197" s="52">
        <f>IFERROR(IF(INDEX('CIOG'!$L$10:$L$14,MATCH($F197,'CIOG'!$B$10:$B$14,0))="","Cell will autofill based on response",INDEX('CIOG'!$L$10:$L$14,MATCH($F197,'CIOG'!$B$10:$B$14,0))),"N/A")</f>
        <v/>
      </c>
      <c r="R197" s="52">
        <f>IFERROR(IF(INDEX('MRE'!$L$10:$L$12,MATCH($F197,'MRE'!$B$10:$B$12,0))="","Cell will autofill based on response",INDEX('MRE'!$L$10:$L$12,MATCH($F197,'MRE'!$B$10:$B$12,0))),"N/A")</f>
        <v/>
      </c>
      <c r="S197" s="52">
        <f>IFERROR(IF(INDEX('L&amp;R'!$L$10:$L$11,MATCH($F197,'L&amp;R'!$B$10:$B$11,0))="","Cell will autofill based on response",INDEX('L&amp;R'!$L$10:$L$11,MATCH($F197,'L&amp;R'!$B$10:$B$11,0))),"N/A")</f>
        <v/>
      </c>
      <c r="U197" s="10">
        <f>COUNTIF($H197:$S197,"Cell will autofill based on response")</f>
        <v/>
      </c>
      <c r="V197" s="10">
        <f>COUNTIF($H197:$S197,"Not yet started")</f>
        <v/>
      </c>
      <c r="W197" s="10">
        <f>COUNTIF($H197:$S197,"Not met")</f>
        <v/>
      </c>
      <c r="X197" s="10">
        <f>COUNTIF($H197:$S197,"Partially met")</f>
        <v/>
      </c>
      <c r="Y197" s="10">
        <f>COUNTIF($H197:$S197,"Met or exceeded")</f>
        <v/>
      </c>
      <c r="Z197" s="10">
        <f>3*Y197+2*X197+W197</f>
        <v/>
      </c>
      <c r="AA197" s="10">
        <f>Y197+X197+W197+V197</f>
        <v/>
      </c>
      <c r="AB197" s="53">
        <f>IF(AA197&gt;0,Z197/AA197,"No valid responses to date")</f>
        <v/>
      </c>
      <c r="AC197" s="10">
        <f>IF(ISNUMBER(AB197),INDEX(Lists!$G$2:$G$5,MATCH(ROUND(AB197,0),Lists!$H$2:$H$5,0)),"")</f>
        <v/>
      </c>
      <c r="AD197" s="54">
        <f>IF(AA197&gt;0,Y197/AA197,"")</f>
        <v/>
      </c>
      <c r="AE197" s="54">
        <f>IF(AA197&gt;0,(Y197+X197)/AA197,"")</f>
        <v/>
      </c>
      <c r="AF197" s="10">
        <f>IF(AA197=0,"",IF(AD197&gt;0.75,"Met or exceeded",IF(AE197&gt;=0.5,"Partially met","Not met")))</f>
        <v/>
      </c>
    </row>
    <row r="198">
      <c r="A198">
        <f>F198&amp;"|"&amp;G198</f>
        <v/>
      </c>
      <c r="B198" s="13" t="inlineStr"/>
      <c r="C198" s="8" t="inlineStr"/>
      <c r="D198" s="8" t="inlineStr"/>
      <c r="E198" s="8" t="inlineStr"/>
      <c r="F198" s="8" t="inlineStr">
        <is>
          <t>RP1(a)</t>
        </is>
      </c>
      <c r="G198" s="8" t="inlineStr">
        <is>
          <t>OPTION 1:  Target-level reporting</t>
        </is>
      </c>
      <c r="H198" s="52">
        <f>IFERROR(IF(INDEX('Faculties'!$M$10:$M$30,MATCH($F198,'Faculties'!$B$10:$B$30,0))="","Cell will autofill based on response",INDEX('Faculties'!$M$10:$M$30,MATCH($F198,'Faculties'!$B$10:$B$30,0))),"N/A")</f>
        <v/>
      </c>
      <c r="I198" s="52">
        <f>IFERROR(IF(INDEX('Faculties'!$M$37:$M$57,MATCH($F198,'Faculties'!$B$37:$B$57,0))="","Cell will autofill based on response",INDEX('Faculties'!$M$37:$M$57,MATCH($F198,'Faculties'!$B$37:$B$57,0))),"N/A")</f>
        <v/>
      </c>
      <c r="J198" s="52">
        <f>IFERROR(IF(INDEX('Faculties'!$M$64:$M$84,MATCH($F198,'Faculties'!$B$64:$B$84,0))="","Cell will autofill based on response",INDEX('Faculties'!$M$64:$M$84,MATCH($F198,'Faculties'!$B$64:$B$84,0))),"N/A")</f>
        <v/>
      </c>
      <c r="K198" s="52">
        <f>IFERROR(IF(INDEX('Faculties'!$M$91:$M$111,MATCH($F198,'Faculties'!$B$91:$B$111,0))="","Cell will autofill based on response",INDEX('Faculties'!$M$91:$M$111,MATCH($F198,'Faculties'!$B$91:$B$111,0))),"N/A")</f>
        <v/>
      </c>
      <c r="L198" s="52">
        <f>IFERROR(IF(INDEX('CI&amp;S'!$M$10:$M$15,MATCH($F198,'CI&amp;S'!$B$10:$B$15,0))="","Cell will autofill based on response",INDEX('CI&amp;S'!$M$10:$M$15,MATCH($F198,'CI&amp;S'!$B$10:$B$15,0))),"N/A")</f>
        <v/>
      </c>
      <c r="M198" s="52">
        <f>IFERROR(IF(INDEX('CI&amp;S'!$M$22:$M$39,MATCH($F198,'CI&amp;S'!$B$22:$B$39,0))="","Cell will autofill based on response",INDEX('CI&amp;S'!$M$22:$M$39,MATCH($F198,'CI&amp;S'!$B$22:$B$39,0))),"N/A")</f>
        <v/>
      </c>
      <c r="N198" s="52">
        <f>IFERROR(IF(INDEX('CFOG'!$M$10:$M$16,MATCH($F198,'CFOG'!$B$10:$B$16,0))="","Cell will autofill based on response",INDEX('CFOG'!$M$10:$M$16,MATCH($F198,'CFOG'!$B$10:$B$16,0))),"N/A")</f>
        <v/>
      </c>
      <c r="O198" s="52">
        <f>IFERROR(IF(INDEX('CFOG'!$M$23:$M$24,MATCH($F198,'CFOG'!$B$23:$B$24,0))="","Cell will autofill based on response",INDEX('CFOG'!$M$23:$M$24,MATCH($F198,'CFOG'!$B$23:$B$24,0))),"N/A")</f>
        <v/>
      </c>
      <c r="P198" s="52">
        <f>IFERROR(IF(INDEX('ESG'!$M$10:$M$17,MATCH($F198,'ESG'!$B$10:$B$17,0))="","Cell will autofill based on response",INDEX('ESG'!$M$10:$M$17,MATCH($F198,'ESG'!$B$10:$B$17,0))),"N/A")</f>
        <v/>
      </c>
      <c r="Q198" s="52">
        <f>IFERROR(IF(INDEX('CIOG'!$M$10:$M$14,MATCH($F198,'CIOG'!$B$10:$B$14,0))="","Cell will autofill based on response",INDEX('CIOG'!$M$10:$M$14,MATCH($F198,'CIOG'!$B$10:$B$14,0))),"N/A")</f>
        <v/>
      </c>
      <c r="R198" s="52">
        <f>IFERROR(IF(INDEX('MRE'!$M$10:$M$12,MATCH($F198,'MRE'!$B$10:$B$12,0))="","Cell will autofill based on response",INDEX('MRE'!$M$10:$M$12,MATCH($F198,'MRE'!$B$10:$B$12,0))),"N/A")</f>
        <v/>
      </c>
      <c r="S198" s="52">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2">
        <f>IFERROR(IF(INDEX('Faculties'!$N$10:$N$30,MATCH($F199,'Faculties'!$B$10:$B$30,0))="","Cell will autofill based on response",INDEX('Faculties'!$N$10:$N$30,MATCH($F199,'Faculties'!$B$10:$B$30,0))),"N/A")</f>
        <v/>
      </c>
      <c r="I199" s="52">
        <f>IFERROR(IF(INDEX('Faculties'!$N$37:$N$57,MATCH($F199,'Faculties'!$B$37:$B$57,0))="","Cell will autofill based on response",INDEX('Faculties'!$N$37:$N$57,MATCH($F199,'Faculties'!$B$37:$B$57,0))),"N/A")</f>
        <v/>
      </c>
      <c r="J199" s="52">
        <f>IFERROR(IF(INDEX('Faculties'!$N$64:$N$84,MATCH($F199,'Faculties'!$B$64:$B$84,0))="","Cell will autofill based on response",INDEX('Faculties'!$N$64:$N$84,MATCH($F199,'Faculties'!$B$64:$B$84,0))),"N/A")</f>
        <v/>
      </c>
      <c r="K199" s="52">
        <f>IFERROR(IF(INDEX('Faculties'!$N$91:$N$111,MATCH($F199,'Faculties'!$B$91:$B$111,0))="","Cell will autofill based on response",INDEX('Faculties'!$N$91:$N$111,MATCH($F199,'Faculties'!$B$91:$B$111,0))),"N/A")</f>
        <v/>
      </c>
      <c r="L199" s="52">
        <f>IFERROR(IF(INDEX('CI&amp;S'!$N$10:$N$15,MATCH($F199,'CI&amp;S'!$B$10:$B$15,0))="","Cell will autofill based on response",INDEX('CI&amp;S'!$N$10:$N$15,MATCH($F199,'CI&amp;S'!$B$10:$B$15,0))),"N/A")</f>
        <v/>
      </c>
      <c r="M199" s="52">
        <f>IFERROR(IF(INDEX('CI&amp;S'!$N$22:$N$39,MATCH($F199,'CI&amp;S'!$B$22:$B$39,0))="","Cell will autofill based on response",INDEX('CI&amp;S'!$N$22:$N$39,MATCH($F199,'CI&amp;S'!$B$22:$B$39,0))),"N/A")</f>
        <v/>
      </c>
      <c r="N199" s="52">
        <f>IFERROR(IF(INDEX('CFOG'!$N$10:$N$16,MATCH($F199,'CFOG'!$B$10:$B$16,0))="","Cell will autofill based on response",INDEX('CFOG'!$N$10:$N$16,MATCH($F199,'CFOG'!$B$10:$B$16,0))),"N/A")</f>
        <v/>
      </c>
      <c r="O199" s="52">
        <f>IFERROR(IF(INDEX('CFOG'!$N$23:$N$24,MATCH($F199,'CFOG'!$B$23:$B$24,0))="","Cell will autofill based on response",INDEX('CFOG'!$N$23:$N$24,MATCH($F199,'CFOG'!$B$23:$B$24,0))),"N/A")</f>
        <v/>
      </c>
      <c r="P199" s="52">
        <f>IFERROR(IF(INDEX('ESG'!$N$10:$N$17,MATCH($F199,'ESG'!$B$10:$B$17,0))="","Cell will autofill based on response",INDEX('ESG'!$N$10:$N$17,MATCH($F199,'ESG'!$B$10:$B$17,0))),"N/A")</f>
        <v/>
      </c>
      <c r="Q199" s="52">
        <f>IFERROR(IF(INDEX('CIOG'!$N$10:$N$14,MATCH($F199,'CIOG'!$B$10:$B$14,0))="","Cell will autofill based on response",INDEX('CIOG'!$N$10:$N$14,MATCH($F199,'CIOG'!$B$10:$B$14,0))),"N/A")</f>
        <v/>
      </c>
      <c r="R199" s="52">
        <f>IFERROR(IF(INDEX('MRE'!$N$10:$N$12,MATCH($F199,'MRE'!$B$10:$B$12,0))="","Cell will autofill based on response",INDEX('MRE'!$N$10:$N$12,MATCH($F199,'MRE'!$B$10:$B$12,0))),"N/A")</f>
        <v/>
      </c>
      <c r="S199" s="52">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2">
        <f>IFERROR(IF(INDEX('Faculties'!$O$10:$O$30,MATCH($F200,'Faculties'!$B$10:$B$30,0))="","Cell will autofill based on response",INDEX('Faculties'!$O$10:$O$30,MATCH($F200,'Faculties'!$B$10:$B$30,0))),"N/A")</f>
        <v/>
      </c>
      <c r="I200" s="52">
        <f>IFERROR(IF(INDEX('Faculties'!$O$37:$O$57,MATCH($F200,'Faculties'!$B$37:$B$57,0))="","Cell will autofill based on response",INDEX('Faculties'!$O$37:$O$57,MATCH($F200,'Faculties'!$B$37:$B$57,0))),"N/A")</f>
        <v/>
      </c>
      <c r="J200" s="52">
        <f>IFERROR(IF(INDEX('Faculties'!$O$64:$O$84,MATCH($F200,'Faculties'!$B$64:$B$84,0))="","Cell will autofill based on response",INDEX('Faculties'!$O$64:$O$84,MATCH($F200,'Faculties'!$B$64:$B$84,0))),"N/A")</f>
        <v/>
      </c>
      <c r="K200" s="52">
        <f>IFERROR(IF(INDEX('Faculties'!$O$91:$O$111,MATCH($F200,'Faculties'!$B$91:$B$111,0))="","Cell will autofill based on response",INDEX('Faculties'!$O$91:$O$111,MATCH($F200,'Faculties'!$B$91:$B$111,0))),"N/A")</f>
        <v/>
      </c>
      <c r="L200" s="52">
        <f>IFERROR(IF(INDEX('CI&amp;S'!$O$10:$O$15,MATCH($F200,'CI&amp;S'!$B$10:$B$15,0))="","Cell will autofill based on response",INDEX('CI&amp;S'!$O$10:$O$15,MATCH($F200,'CI&amp;S'!$B$10:$B$15,0))),"N/A")</f>
        <v/>
      </c>
      <c r="M200" s="52">
        <f>IFERROR(IF(INDEX('CI&amp;S'!$O$22:$O$39,MATCH($F200,'CI&amp;S'!$B$22:$B$39,0))="","Cell will autofill based on response",INDEX('CI&amp;S'!$O$22:$O$39,MATCH($F200,'CI&amp;S'!$B$22:$B$39,0))),"N/A")</f>
        <v/>
      </c>
      <c r="N200" s="52">
        <f>IFERROR(IF(INDEX('CFOG'!$O$10:$O$16,MATCH($F200,'CFOG'!$B$10:$B$16,0))="","Cell will autofill based on response",INDEX('CFOG'!$O$10:$O$16,MATCH($F200,'CFOG'!$B$10:$B$16,0))),"N/A")</f>
        <v/>
      </c>
      <c r="O200" s="52">
        <f>IFERROR(IF(INDEX('CFOG'!$O$23:$O$24,MATCH($F200,'CFOG'!$B$23:$B$24,0))="","Cell will autofill based on response",INDEX('CFOG'!$O$23:$O$24,MATCH($F200,'CFOG'!$B$23:$B$24,0))),"N/A")</f>
        <v/>
      </c>
      <c r="P200" s="52">
        <f>IFERROR(IF(INDEX('ESG'!$O$10:$O$17,MATCH($F200,'ESG'!$B$10:$B$17,0))="","Cell will autofill based on response",INDEX('ESG'!$O$10:$O$17,MATCH($F200,'ESG'!$B$10:$B$17,0))),"N/A")</f>
        <v/>
      </c>
      <c r="Q200" s="52">
        <f>IFERROR(IF(INDEX('CIOG'!$O$10:$O$14,MATCH($F200,'CIOG'!$B$10:$B$14,0))="","Cell will autofill based on response",INDEX('CIOG'!$O$10:$O$14,MATCH($F200,'CIOG'!$B$10:$B$14,0))),"N/A")</f>
        <v/>
      </c>
      <c r="R200" s="52">
        <f>IFERROR(IF(INDEX('MRE'!$O$10:$O$12,MATCH($F200,'MRE'!$B$10:$B$12,0))="","Cell will autofill based on response",INDEX('MRE'!$O$10:$O$12,MATCH($F200,'MRE'!$B$10:$B$12,0))),"N/A")</f>
        <v/>
      </c>
      <c r="S200" s="52">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2">
        <f>IFERROR(IF(INDEX('Faculties'!$P$10:$P$30,MATCH($F201,'Faculties'!$B$10:$B$30,0))="","Cell will autofill based on response",INDEX('Faculties'!$P$10:$P$30,MATCH($F201,'Faculties'!$B$10:$B$30,0))),"N/A")</f>
        <v/>
      </c>
      <c r="I201" s="52">
        <f>IFERROR(IF(INDEX('Faculties'!$P$37:$P$57,MATCH($F201,'Faculties'!$B$37:$B$57,0))="","Cell will autofill based on response",INDEX('Faculties'!$P$37:$P$57,MATCH($F201,'Faculties'!$B$37:$B$57,0))),"N/A")</f>
        <v/>
      </c>
      <c r="J201" s="52">
        <f>IFERROR(IF(INDEX('Faculties'!$P$64:$P$84,MATCH($F201,'Faculties'!$B$64:$B$84,0))="","Cell will autofill based on response",INDEX('Faculties'!$P$64:$P$84,MATCH($F201,'Faculties'!$B$64:$B$84,0))),"N/A")</f>
        <v/>
      </c>
      <c r="K201" s="52">
        <f>IFERROR(IF(INDEX('Faculties'!$P$91:$P$111,MATCH($F201,'Faculties'!$B$91:$B$111,0))="","Cell will autofill based on response",INDEX('Faculties'!$P$91:$P$111,MATCH($F201,'Faculties'!$B$91:$B$111,0))),"N/A")</f>
        <v/>
      </c>
      <c r="L201" s="52">
        <f>IFERROR(IF(INDEX('CI&amp;S'!$P$10:$P$15,MATCH($F201,'CI&amp;S'!$B$10:$B$15,0))="","Cell will autofill based on response",INDEX('CI&amp;S'!$P$10:$P$15,MATCH($F201,'CI&amp;S'!$B$10:$B$15,0))),"N/A")</f>
        <v/>
      </c>
      <c r="M201" s="52">
        <f>IFERROR(IF(INDEX('CI&amp;S'!$P$22:$P$39,MATCH($F201,'CI&amp;S'!$B$22:$B$39,0))="","Cell will autofill based on response",INDEX('CI&amp;S'!$P$22:$P$39,MATCH($F201,'CI&amp;S'!$B$22:$B$39,0))),"N/A")</f>
        <v/>
      </c>
      <c r="N201" s="52">
        <f>IFERROR(IF(INDEX('CFOG'!$P$10:$P$16,MATCH($F201,'CFOG'!$B$10:$B$16,0))="","Cell will autofill based on response",INDEX('CFOG'!$P$10:$P$16,MATCH($F201,'CFOG'!$B$10:$B$16,0))),"N/A")</f>
        <v/>
      </c>
      <c r="O201" s="52">
        <f>IFERROR(IF(INDEX('CFOG'!$P$23:$P$24,MATCH($F201,'CFOG'!$B$23:$B$24,0))="","Cell will autofill based on response",INDEX('CFOG'!$P$23:$P$24,MATCH($F201,'CFOG'!$B$23:$B$24,0))),"N/A")</f>
        <v/>
      </c>
      <c r="P201" s="52">
        <f>IFERROR(IF(INDEX('ESG'!$P$10:$P$17,MATCH($F201,'ESG'!$B$10:$B$17,0))="","Cell will autofill based on response",INDEX('ESG'!$P$10:$P$17,MATCH($F201,'ESG'!$B$10:$B$17,0))),"N/A")</f>
        <v/>
      </c>
      <c r="Q201" s="52">
        <f>IFERROR(IF(INDEX('CIOG'!$P$10:$P$14,MATCH($F201,'CIOG'!$B$10:$B$14,0))="","Cell will autofill based on response",INDEX('CIOG'!$P$10:$P$14,MATCH($F201,'CIOG'!$B$10:$B$14,0))),"N/A")</f>
        <v/>
      </c>
      <c r="R201" s="52">
        <f>IFERROR(IF(INDEX('MRE'!$P$10:$P$12,MATCH($F201,'MRE'!$B$10:$B$12,0))="","Cell will autofill based on response",INDEX('MRE'!$P$10:$P$12,MATCH($F201,'MRE'!$B$10:$B$12,0))),"N/A")</f>
        <v/>
      </c>
      <c r="S201" s="52">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2">
        <f>IFERROR(IF(INDEX('Faculties'!$Q$10:$Q$30,MATCH($F202,'Faculties'!$B$10:$B$30,0))="","Cell will autofill based on response",INDEX('Faculties'!$Q$10:$Q$30,MATCH($F202,'Faculties'!$B$10:$B$30,0))),"N/A")</f>
        <v/>
      </c>
      <c r="I202" s="52">
        <f>IFERROR(IF(INDEX('Faculties'!$Q$37:$Q$57,MATCH($F202,'Faculties'!$B$37:$B$57,0))="","Cell will autofill based on response",INDEX('Faculties'!$Q$37:$Q$57,MATCH($F202,'Faculties'!$B$37:$B$57,0))),"N/A")</f>
        <v/>
      </c>
      <c r="J202" s="52">
        <f>IFERROR(IF(INDEX('Faculties'!$Q$64:$Q$84,MATCH($F202,'Faculties'!$B$64:$B$84,0))="","Cell will autofill based on response",INDEX('Faculties'!$Q$64:$Q$84,MATCH($F202,'Faculties'!$B$64:$B$84,0))),"N/A")</f>
        <v/>
      </c>
      <c r="K202" s="52">
        <f>IFERROR(IF(INDEX('Faculties'!$Q$91:$Q$111,MATCH($F202,'Faculties'!$B$91:$B$111,0))="","Cell will autofill based on response",INDEX('Faculties'!$Q$91:$Q$111,MATCH($F202,'Faculties'!$B$91:$B$111,0))),"N/A")</f>
        <v/>
      </c>
      <c r="L202" s="52">
        <f>IFERROR(IF(INDEX('CI&amp;S'!$Q$10:$Q$15,MATCH($F202,'CI&amp;S'!$B$10:$B$15,0))="","Cell will autofill based on response",INDEX('CI&amp;S'!$Q$10:$Q$15,MATCH($F202,'CI&amp;S'!$B$10:$B$15,0))),"N/A")</f>
        <v/>
      </c>
      <c r="M202" s="52">
        <f>IFERROR(IF(INDEX('CI&amp;S'!$Q$22:$Q$39,MATCH($F202,'CI&amp;S'!$B$22:$B$39,0))="","Cell will autofill based on response",INDEX('CI&amp;S'!$Q$22:$Q$39,MATCH($F202,'CI&amp;S'!$B$22:$B$39,0))),"N/A")</f>
        <v/>
      </c>
      <c r="N202" s="52">
        <f>IFERROR(IF(INDEX('CFOG'!$Q$10:$Q$16,MATCH($F202,'CFOG'!$B$10:$B$16,0))="","Cell will autofill based on response",INDEX('CFOG'!$Q$10:$Q$16,MATCH($F202,'CFOG'!$B$10:$B$16,0))),"N/A")</f>
        <v/>
      </c>
      <c r="O202" s="52">
        <f>IFERROR(IF(INDEX('CFOG'!$Q$23:$Q$24,MATCH($F202,'CFOG'!$B$23:$B$24,0))="","Cell will autofill based on response",INDEX('CFOG'!$Q$23:$Q$24,MATCH($F202,'CFOG'!$B$23:$B$24,0))),"N/A")</f>
        <v/>
      </c>
      <c r="P202" s="52">
        <f>IFERROR(IF(INDEX('ESG'!$Q$10:$Q$17,MATCH($F202,'ESG'!$B$10:$B$17,0))="","Cell will autofill based on response",INDEX('ESG'!$Q$10:$Q$17,MATCH($F202,'ESG'!$B$10:$B$17,0))),"N/A")</f>
        <v/>
      </c>
      <c r="Q202" s="52">
        <f>IFERROR(IF(INDEX('CIOG'!$Q$10:$Q$14,MATCH($F202,'CIOG'!$B$10:$B$14,0))="","Cell will autofill based on response",INDEX('CIOG'!$Q$10:$Q$14,MATCH($F202,'CIOG'!$B$10:$B$14,0))),"N/A")</f>
        <v/>
      </c>
      <c r="R202" s="52">
        <f>IFERROR(IF(INDEX('MRE'!$Q$10:$Q$12,MATCH($F202,'MRE'!$B$10:$B$12,0))="","Cell will autofill based on response",INDEX('MRE'!$Q$10:$Q$12,MATCH($F202,'MRE'!$B$10:$B$12,0))),"N/A")</f>
        <v/>
      </c>
      <c r="S202" s="52">
        <f>IFERROR(IF(INDEX('L&amp;R'!$Q$10:$Q$11,MATCH($F202,'L&amp;R'!$B$10:$B$11,0))="","Cell will autofill based on response",INDEX('L&amp;R'!$Q$10:$Q$11,MATCH($F202,'L&amp;R'!$B$10:$B$11,0))),"N/A")</f>
        <v/>
      </c>
    </row>
    <row r="203">
      <c r="A203">
        <f>F203&amp;"|"&amp;G203</f>
        <v/>
      </c>
      <c r="B203" s="7" t="inlineStr">
        <is>
          <t>MS1(a)</t>
        </is>
      </c>
      <c r="C203" s="50" t="inlineStr">
        <is>
          <t>Modern slavery and human rights</t>
        </is>
      </c>
      <c r="D203" s="50" t="inlineStr">
        <is>
          <t>Annual progress reporting via the Modern Slavery Statement</t>
        </is>
      </c>
      <c r="E203" s="50" t="inlineStr">
        <is>
          <t>Annual Modern Slavery Statement, with case studies</t>
        </is>
      </c>
      <c r="F203" s="50" t="inlineStr">
        <is>
          <t>MS1(a)</t>
        </is>
      </c>
      <c r="G203" s="50" t="inlineStr">
        <is>
          <t>Confirm end-2026 target status</t>
        </is>
      </c>
      <c r="H203" s="52">
        <f>IFERROR(IF(INDEX('Faculties'!$L$10:$L$30,MATCH($F203,'Faculties'!$B$10:$B$30,0))="","Cell will autofill based on response",INDEX('Faculties'!$L$10:$L$30,MATCH($F203,'Faculties'!$B$10:$B$30,0))),"N/A")</f>
        <v/>
      </c>
      <c r="I203" s="52">
        <f>IFERROR(IF(INDEX('Faculties'!$L$37:$L$57,MATCH($F203,'Faculties'!$B$37:$B$57,0))="","Cell will autofill based on response",INDEX('Faculties'!$L$37:$L$57,MATCH($F203,'Faculties'!$B$37:$B$57,0))),"N/A")</f>
        <v/>
      </c>
      <c r="J203" s="52">
        <f>IFERROR(IF(INDEX('Faculties'!$L$64:$L$84,MATCH($F203,'Faculties'!$B$64:$B$84,0))="","Cell will autofill based on response",INDEX('Faculties'!$L$64:$L$84,MATCH($F203,'Faculties'!$B$64:$B$84,0))),"N/A")</f>
        <v/>
      </c>
      <c r="K203" s="52">
        <f>IFERROR(IF(INDEX('Faculties'!$L$91:$L$111,MATCH($F203,'Faculties'!$B$91:$B$111,0))="","Cell will autofill based on response",INDEX('Faculties'!$L$91:$L$111,MATCH($F203,'Faculties'!$B$91:$B$111,0))),"N/A")</f>
        <v/>
      </c>
      <c r="L203" s="52">
        <f>IFERROR(IF(INDEX('CI&amp;S'!$L$10:$L$15,MATCH($F203,'CI&amp;S'!$B$10:$B$15,0))="","Cell will autofill based on response",INDEX('CI&amp;S'!$L$10:$L$15,MATCH($F203,'CI&amp;S'!$B$10:$B$15,0))),"N/A")</f>
        <v/>
      </c>
      <c r="M203" s="52">
        <f>IFERROR(IF(INDEX('CI&amp;S'!$L$22:$L$39,MATCH($F203,'CI&amp;S'!$B$22:$B$39,0))="","Cell will autofill based on response",INDEX('CI&amp;S'!$L$22:$L$39,MATCH($F203,'CI&amp;S'!$B$22:$B$39,0))),"N/A")</f>
        <v/>
      </c>
      <c r="N203" s="52">
        <f>IFERROR(IF(INDEX('CFOG'!$L$10:$L$16,MATCH($F203,'CFOG'!$B$10:$B$16,0))="","Cell will autofill based on response",INDEX('CFOG'!$L$10:$L$16,MATCH($F203,'CFOG'!$B$10:$B$16,0))),"N/A")</f>
        <v/>
      </c>
      <c r="O203" s="52">
        <f>IFERROR(IF(INDEX('CFOG'!$L$23:$L$24,MATCH($F203,'CFOG'!$B$23:$B$24,0))="","Cell will autofill based on response",INDEX('CFOG'!$L$23:$L$24,MATCH($F203,'CFOG'!$B$23:$B$24,0))),"N/A")</f>
        <v/>
      </c>
      <c r="P203" s="52">
        <f>IFERROR(IF(INDEX('ESG'!$L$10:$L$17,MATCH($F203,'ESG'!$B$10:$B$17,0))="","Cell will autofill based on response",INDEX('ESG'!$L$10:$L$17,MATCH($F203,'ESG'!$B$10:$B$17,0))),"N/A")</f>
        <v/>
      </c>
      <c r="Q203" s="52">
        <f>IFERROR(IF(INDEX('CIOG'!$L$10:$L$14,MATCH($F203,'CIOG'!$B$10:$B$14,0))="","Cell will autofill based on response",INDEX('CIOG'!$L$10:$L$14,MATCH($F203,'CIOG'!$B$10:$B$14,0))),"N/A")</f>
        <v/>
      </c>
      <c r="R203" s="52">
        <f>IFERROR(IF(INDEX('MRE'!$L$10:$L$12,MATCH($F203,'MRE'!$B$10:$B$12,0))="","Cell will autofill based on response",INDEX('MRE'!$L$10:$L$12,MATCH($F203,'MRE'!$B$10:$B$12,0))),"N/A")</f>
        <v/>
      </c>
      <c r="S203" s="52">
        <f>IFERROR(IF(INDEX('L&amp;R'!$L$10:$L$11,MATCH($F203,'L&amp;R'!$B$10:$B$11,0))="","Cell will autofill based on response",INDEX('L&amp;R'!$L$10:$L$11,MATCH($F203,'L&amp;R'!$B$10:$B$11,0))),"N/A")</f>
        <v/>
      </c>
      <c r="U203" s="10">
        <f>COUNTIF($H203:$S203,"Cell will autofill based on response")</f>
        <v/>
      </c>
      <c r="V203" s="10">
        <f>COUNTIF($H203:$S203,"Not yet started")</f>
        <v/>
      </c>
      <c r="W203" s="10">
        <f>COUNTIF($H203:$S203,"Not met")</f>
        <v/>
      </c>
      <c r="X203" s="10">
        <f>COUNTIF($H203:$S203,"Partially met")</f>
        <v/>
      </c>
      <c r="Y203" s="10">
        <f>COUNTIF($H203:$S203,"Met or exceeded")</f>
        <v/>
      </c>
      <c r="Z203" s="10">
        <f>3*Y203+2*X203+W203</f>
        <v/>
      </c>
      <c r="AA203" s="10">
        <f>Y203+X203+W203+V203</f>
        <v/>
      </c>
      <c r="AB203" s="53">
        <f>IF(AA203&gt;0,Z203/AA203,"No valid responses to date")</f>
        <v/>
      </c>
      <c r="AC203" s="10">
        <f>IF(ISNUMBER(AB203),INDEX(Lists!$G$2:$G$5,MATCH(ROUND(AB203,0),Lists!$H$2:$H$5,0)),"")</f>
        <v/>
      </c>
      <c r="AD203" s="54">
        <f>IF(AA203&gt;0,Y203/AA203,"")</f>
        <v/>
      </c>
      <c r="AE203" s="54">
        <f>IF(AA203&gt;0,(Y203+X203)/AA203,"")</f>
        <v/>
      </c>
      <c r="AF203" s="10">
        <f>IF(AA203=0,"",IF(AD203&gt;0.75,"Met or exceeded",IF(AE203&gt;=0.5,"Partially met","Not met")))</f>
        <v/>
      </c>
    </row>
    <row r="204">
      <c r="A204">
        <f>F204&amp;"|"&amp;G204</f>
        <v/>
      </c>
      <c r="B204" s="13" t="inlineStr"/>
      <c r="C204" s="8" t="inlineStr"/>
      <c r="D204" s="8" t="inlineStr"/>
      <c r="E204" s="8" t="inlineStr"/>
      <c r="F204" s="8" t="inlineStr">
        <is>
          <t>MS1(a)</t>
        </is>
      </c>
      <c r="G204" s="8" t="inlineStr">
        <is>
          <t>OPTION 1:  Target-level reporting</t>
        </is>
      </c>
      <c r="H204" s="52">
        <f>IFERROR(IF(INDEX('Faculties'!$M$10:$M$30,MATCH($F204,'Faculties'!$B$10:$B$30,0))="","Cell will autofill based on response",INDEX('Faculties'!$M$10:$M$30,MATCH($F204,'Faculties'!$B$10:$B$30,0))),"N/A")</f>
        <v/>
      </c>
      <c r="I204" s="52">
        <f>IFERROR(IF(INDEX('Faculties'!$M$37:$M$57,MATCH($F204,'Faculties'!$B$37:$B$57,0))="","Cell will autofill based on response",INDEX('Faculties'!$M$37:$M$57,MATCH($F204,'Faculties'!$B$37:$B$57,0))),"N/A")</f>
        <v/>
      </c>
      <c r="J204" s="52">
        <f>IFERROR(IF(INDEX('Faculties'!$M$64:$M$84,MATCH($F204,'Faculties'!$B$64:$B$84,0))="","Cell will autofill based on response",INDEX('Faculties'!$M$64:$M$84,MATCH($F204,'Faculties'!$B$64:$B$84,0))),"N/A")</f>
        <v/>
      </c>
      <c r="K204" s="52">
        <f>IFERROR(IF(INDEX('Faculties'!$M$91:$M$111,MATCH($F204,'Faculties'!$B$91:$B$111,0))="","Cell will autofill based on response",INDEX('Faculties'!$M$91:$M$111,MATCH($F204,'Faculties'!$B$91:$B$111,0))),"N/A")</f>
        <v/>
      </c>
      <c r="L204" s="52">
        <f>IFERROR(IF(INDEX('CI&amp;S'!$M$10:$M$15,MATCH($F204,'CI&amp;S'!$B$10:$B$15,0))="","Cell will autofill based on response",INDEX('CI&amp;S'!$M$10:$M$15,MATCH($F204,'CI&amp;S'!$B$10:$B$15,0))),"N/A")</f>
        <v/>
      </c>
      <c r="M204" s="52">
        <f>IFERROR(IF(INDEX('CI&amp;S'!$M$22:$M$39,MATCH($F204,'CI&amp;S'!$B$22:$B$39,0))="","Cell will autofill based on response",INDEX('CI&amp;S'!$M$22:$M$39,MATCH($F204,'CI&amp;S'!$B$22:$B$39,0))),"N/A")</f>
        <v/>
      </c>
      <c r="N204" s="52">
        <f>IFERROR(IF(INDEX('CFOG'!$M$10:$M$16,MATCH($F204,'CFOG'!$B$10:$B$16,0))="","Cell will autofill based on response",INDEX('CFOG'!$M$10:$M$16,MATCH($F204,'CFOG'!$B$10:$B$16,0))),"N/A")</f>
        <v/>
      </c>
      <c r="O204" s="52">
        <f>IFERROR(IF(INDEX('CFOG'!$M$23:$M$24,MATCH($F204,'CFOG'!$B$23:$B$24,0))="","Cell will autofill based on response",INDEX('CFOG'!$M$23:$M$24,MATCH($F204,'CFOG'!$B$23:$B$24,0))),"N/A")</f>
        <v/>
      </c>
      <c r="P204" s="52">
        <f>IFERROR(IF(INDEX('ESG'!$M$10:$M$17,MATCH($F204,'ESG'!$B$10:$B$17,0))="","Cell will autofill based on response",INDEX('ESG'!$M$10:$M$17,MATCH($F204,'ESG'!$B$10:$B$17,0))),"N/A")</f>
        <v/>
      </c>
      <c r="Q204" s="52">
        <f>IFERROR(IF(INDEX('CIOG'!$M$10:$M$14,MATCH($F204,'CIOG'!$B$10:$B$14,0))="","Cell will autofill based on response",INDEX('CIOG'!$M$10:$M$14,MATCH($F204,'CIOG'!$B$10:$B$14,0))),"N/A")</f>
        <v/>
      </c>
      <c r="R204" s="52">
        <f>IFERROR(IF(INDEX('MRE'!$M$10:$M$12,MATCH($F204,'MRE'!$B$10:$B$12,0))="","Cell will autofill based on response",INDEX('MRE'!$M$10:$M$12,MATCH($F204,'MRE'!$B$10:$B$12,0))),"N/A")</f>
        <v/>
      </c>
      <c r="S204" s="52">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2">
        <f>IFERROR(IF(INDEX('Faculties'!$N$10:$N$30,MATCH($F205,'Faculties'!$B$10:$B$30,0))="","Cell will autofill based on response",INDEX('Faculties'!$N$10:$N$30,MATCH($F205,'Faculties'!$B$10:$B$30,0))),"N/A")</f>
        <v/>
      </c>
      <c r="I205" s="52">
        <f>IFERROR(IF(INDEX('Faculties'!$N$37:$N$57,MATCH($F205,'Faculties'!$B$37:$B$57,0))="","Cell will autofill based on response",INDEX('Faculties'!$N$37:$N$57,MATCH($F205,'Faculties'!$B$37:$B$57,0))),"N/A")</f>
        <v/>
      </c>
      <c r="J205" s="52">
        <f>IFERROR(IF(INDEX('Faculties'!$N$64:$N$84,MATCH($F205,'Faculties'!$B$64:$B$84,0))="","Cell will autofill based on response",INDEX('Faculties'!$N$64:$N$84,MATCH($F205,'Faculties'!$B$64:$B$84,0))),"N/A")</f>
        <v/>
      </c>
      <c r="K205" s="52">
        <f>IFERROR(IF(INDEX('Faculties'!$N$91:$N$111,MATCH($F205,'Faculties'!$B$91:$B$111,0))="","Cell will autofill based on response",INDEX('Faculties'!$N$91:$N$111,MATCH($F205,'Faculties'!$B$91:$B$111,0))),"N/A")</f>
        <v/>
      </c>
      <c r="L205" s="52">
        <f>IFERROR(IF(INDEX('CI&amp;S'!$N$10:$N$15,MATCH($F205,'CI&amp;S'!$B$10:$B$15,0))="","Cell will autofill based on response",INDEX('CI&amp;S'!$N$10:$N$15,MATCH($F205,'CI&amp;S'!$B$10:$B$15,0))),"N/A")</f>
        <v/>
      </c>
      <c r="M205" s="52">
        <f>IFERROR(IF(INDEX('CI&amp;S'!$N$22:$N$39,MATCH($F205,'CI&amp;S'!$B$22:$B$39,0))="","Cell will autofill based on response",INDEX('CI&amp;S'!$N$22:$N$39,MATCH($F205,'CI&amp;S'!$B$22:$B$39,0))),"N/A")</f>
        <v/>
      </c>
      <c r="N205" s="52">
        <f>IFERROR(IF(INDEX('CFOG'!$N$10:$N$16,MATCH($F205,'CFOG'!$B$10:$B$16,0))="","Cell will autofill based on response",INDEX('CFOG'!$N$10:$N$16,MATCH($F205,'CFOG'!$B$10:$B$16,0))),"N/A")</f>
        <v/>
      </c>
      <c r="O205" s="52">
        <f>IFERROR(IF(INDEX('CFOG'!$N$23:$N$24,MATCH($F205,'CFOG'!$B$23:$B$24,0))="","Cell will autofill based on response",INDEX('CFOG'!$N$23:$N$24,MATCH($F205,'CFOG'!$B$23:$B$24,0))),"N/A")</f>
        <v/>
      </c>
      <c r="P205" s="52">
        <f>IFERROR(IF(INDEX('ESG'!$N$10:$N$17,MATCH($F205,'ESG'!$B$10:$B$17,0))="","Cell will autofill based on response",INDEX('ESG'!$N$10:$N$17,MATCH($F205,'ESG'!$B$10:$B$17,0))),"N/A")</f>
        <v/>
      </c>
      <c r="Q205" s="52">
        <f>IFERROR(IF(INDEX('CIOG'!$N$10:$N$14,MATCH($F205,'CIOG'!$B$10:$B$14,0))="","Cell will autofill based on response",INDEX('CIOG'!$N$10:$N$14,MATCH($F205,'CIOG'!$B$10:$B$14,0))),"N/A")</f>
        <v/>
      </c>
      <c r="R205" s="52">
        <f>IFERROR(IF(INDEX('MRE'!$N$10:$N$12,MATCH($F205,'MRE'!$B$10:$B$12,0))="","Cell will autofill based on response",INDEX('MRE'!$N$10:$N$12,MATCH($F205,'MRE'!$B$10:$B$12,0))),"N/A")</f>
        <v/>
      </c>
      <c r="S205" s="52">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2">
        <f>IFERROR(IF(INDEX('Faculties'!$O$10:$O$30,MATCH($F206,'Faculties'!$B$10:$B$30,0))="","Cell will autofill based on response",INDEX('Faculties'!$O$10:$O$30,MATCH($F206,'Faculties'!$B$10:$B$30,0))),"N/A")</f>
        <v/>
      </c>
      <c r="I206" s="52">
        <f>IFERROR(IF(INDEX('Faculties'!$O$37:$O$57,MATCH($F206,'Faculties'!$B$37:$B$57,0))="","Cell will autofill based on response",INDEX('Faculties'!$O$37:$O$57,MATCH($F206,'Faculties'!$B$37:$B$57,0))),"N/A")</f>
        <v/>
      </c>
      <c r="J206" s="52">
        <f>IFERROR(IF(INDEX('Faculties'!$O$64:$O$84,MATCH($F206,'Faculties'!$B$64:$B$84,0))="","Cell will autofill based on response",INDEX('Faculties'!$O$64:$O$84,MATCH($F206,'Faculties'!$B$64:$B$84,0))),"N/A")</f>
        <v/>
      </c>
      <c r="K206" s="52">
        <f>IFERROR(IF(INDEX('Faculties'!$O$91:$O$111,MATCH($F206,'Faculties'!$B$91:$B$111,0))="","Cell will autofill based on response",INDEX('Faculties'!$O$91:$O$111,MATCH($F206,'Faculties'!$B$91:$B$111,0))),"N/A")</f>
        <v/>
      </c>
      <c r="L206" s="52">
        <f>IFERROR(IF(INDEX('CI&amp;S'!$O$10:$O$15,MATCH($F206,'CI&amp;S'!$B$10:$B$15,0))="","Cell will autofill based on response",INDEX('CI&amp;S'!$O$10:$O$15,MATCH($F206,'CI&amp;S'!$B$10:$B$15,0))),"N/A")</f>
        <v/>
      </c>
      <c r="M206" s="52">
        <f>IFERROR(IF(INDEX('CI&amp;S'!$O$22:$O$39,MATCH($F206,'CI&amp;S'!$B$22:$B$39,0))="","Cell will autofill based on response",INDEX('CI&amp;S'!$O$22:$O$39,MATCH($F206,'CI&amp;S'!$B$22:$B$39,0))),"N/A")</f>
        <v/>
      </c>
      <c r="N206" s="52">
        <f>IFERROR(IF(INDEX('CFOG'!$O$10:$O$16,MATCH($F206,'CFOG'!$B$10:$B$16,0))="","Cell will autofill based on response",INDEX('CFOG'!$O$10:$O$16,MATCH($F206,'CFOG'!$B$10:$B$16,0))),"N/A")</f>
        <v/>
      </c>
      <c r="O206" s="52">
        <f>IFERROR(IF(INDEX('CFOG'!$O$23:$O$24,MATCH($F206,'CFOG'!$B$23:$B$24,0))="","Cell will autofill based on response",INDEX('CFOG'!$O$23:$O$24,MATCH($F206,'CFOG'!$B$23:$B$24,0))),"N/A")</f>
        <v/>
      </c>
      <c r="P206" s="52">
        <f>IFERROR(IF(INDEX('ESG'!$O$10:$O$17,MATCH($F206,'ESG'!$B$10:$B$17,0))="","Cell will autofill based on response",INDEX('ESG'!$O$10:$O$17,MATCH($F206,'ESG'!$B$10:$B$17,0))),"N/A")</f>
        <v/>
      </c>
      <c r="Q206" s="52">
        <f>IFERROR(IF(INDEX('CIOG'!$O$10:$O$14,MATCH($F206,'CIOG'!$B$10:$B$14,0))="","Cell will autofill based on response",INDEX('CIOG'!$O$10:$O$14,MATCH($F206,'CIOG'!$B$10:$B$14,0))),"N/A")</f>
        <v/>
      </c>
      <c r="R206" s="52">
        <f>IFERROR(IF(INDEX('MRE'!$O$10:$O$12,MATCH($F206,'MRE'!$B$10:$B$12,0))="","Cell will autofill based on response",INDEX('MRE'!$O$10:$O$12,MATCH($F206,'MRE'!$B$10:$B$12,0))),"N/A")</f>
        <v/>
      </c>
      <c r="S206" s="52">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2">
        <f>IFERROR(IF(INDEX('Faculties'!$P$10:$P$30,MATCH($F207,'Faculties'!$B$10:$B$30,0))="","Cell will autofill based on response",INDEX('Faculties'!$P$10:$P$30,MATCH($F207,'Faculties'!$B$10:$B$30,0))),"N/A")</f>
        <v/>
      </c>
      <c r="I207" s="52">
        <f>IFERROR(IF(INDEX('Faculties'!$P$37:$P$57,MATCH($F207,'Faculties'!$B$37:$B$57,0))="","Cell will autofill based on response",INDEX('Faculties'!$P$37:$P$57,MATCH($F207,'Faculties'!$B$37:$B$57,0))),"N/A")</f>
        <v/>
      </c>
      <c r="J207" s="52">
        <f>IFERROR(IF(INDEX('Faculties'!$P$64:$P$84,MATCH($F207,'Faculties'!$B$64:$B$84,0))="","Cell will autofill based on response",INDEX('Faculties'!$P$64:$P$84,MATCH($F207,'Faculties'!$B$64:$B$84,0))),"N/A")</f>
        <v/>
      </c>
      <c r="K207" s="52">
        <f>IFERROR(IF(INDEX('Faculties'!$P$91:$P$111,MATCH($F207,'Faculties'!$B$91:$B$111,0))="","Cell will autofill based on response",INDEX('Faculties'!$P$91:$P$111,MATCH($F207,'Faculties'!$B$91:$B$111,0))),"N/A")</f>
        <v/>
      </c>
      <c r="L207" s="52">
        <f>IFERROR(IF(INDEX('CI&amp;S'!$P$10:$P$15,MATCH($F207,'CI&amp;S'!$B$10:$B$15,0))="","Cell will autofill based on response",INDEX('CI&amp;S'!$P$10:$P$15,MATCH($F207,'CI&amp;S'!$B$10:$B$15,0))),"N/A")</f>
        <v/>
      </c>
      <c r="M207" s="52">
        <f>IFERROR(IF(INDEX('CI&amp;S'!$P$22:$P$39,MATCH($F207,'CI&amp;S'!$B$22:$B$39,0))="","Cell will autofill based on response",INDEX('CI&amp;S'!$P$22:$P$39,MATCH($F207,'CI&amp;S'!$B$22:$B$39,0))),"N/A")</f>
        <v/>
      </c>
      <c r="N207" s="52">
        <f>IFERROR(IF(INDEX('CFOG'!$P$10:$P$16,MATCH($F207,'CFOG'!$B$10:$B$16,0))="","Cell will autofill based on response",INDEX('CFOG'!$P$10:$P$16,MATCH($F207,'CFOG'!$B$10:$B$16,0))),"N/A")</f>
        <v/>
      </c>
      <c r="O207" s="52">
        <f>IFERROR(IF(INDEX('CFOG'!$P$23:$P$24,MATCH($F207,'CFOG'!$B$23:$B$24,0))="","Cell will autofill based on response",INDEX('CFOG'!$P$23:$P$24,MATCH($F207,'CFOG'!$B$23:$B$24,0))),"N/A")</f>
        <v/>
      </c>
      <c r="P207" s="52">
        <f>IFERROR(IF(INDEX('ESG'!$P$10:$P$17,MATCH($F207,'ESG'!$B$10:$B$17,0))="","Cell will autofill based on response",INDEX('ESG'!$P$10:$P$17,MATCH($F207,'ESG'!$B$10:$B$17,0))),"N/A")</f>
        <v/>
      </c>
      <c r="Q207" s="52">
        <f>IFERROR(IF(INDEX('CIOG'!$P$10:$P$14,MATCH($F207,'CIOG'!$B$10:$B$14,0))="","Cell will autofill based on response",INDEX('CIOG'!$P$10:$P$14,MATCH($F207,'CIOG'!$B$10:$B$14,0))),"N/A")</f>
        <v/>
      </c>
      <c r="R207" s="52">
        <f>IFERROR(IF(INDEX('MRE'!$P$10:$P$12,MATCH($F207,'MRE'!$B$10:$B$12,0))="","Cell will autofill based on response",INDEX('MRE'!$P$10:$P$12,MATCH($F207,'MRE'!$B$10:$B$12,0))),"N/A")</f>
        <v/>
      </c>
      <c r="S207" s="52">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2">
        <f>IFERROR(IF(INDEX('Faculties'!$Q$10:$Q$30,MATCH($F208,'Faculties'!$B$10:$B$30,0))="","Cell will autofill based on response",INDEX('Faculties'!$Q$10:$Q$30,MATCH($F208,'Faculties'!$B$10:$B$30,0))),"N/A")</f>
        <v/>
      </c>
      <c r="I208" s="52">
        <f>IFERROR(IF(INDEX('Faculties'!$Q$37:$Q$57,MATCH($F208,'Faculties'!$B$37:$B$57,0))="","Cell will autofill based on response",INDEX('Faculties'!$Q$37:$Q$57,MATCH($F208,'Faculties'!$B$37:$B$57,0))),"N/A")</f>
        <v/>
      </c>
      <c r="J208" s="52">
        <f>IFERROR(IF(INDEX('Faculties'!$Q$64:$Q$84,MATCH($F208,'Faculties'!$B$64:$B$84,0))="","Cell will autofill based on response",INDEX('Faculties'!$Q$64:$Q$84,MATCH($F208,'Faculties'!$B$64:$B$84,0))),"N/A")</f>
        <v/>
      </c>
      <c r="K208" s="52">
        <f>IFERROR(IF(INDEX('Faculties'!$Q$91:$Q$111,MATCH($F208,'Faculties'!$B$91:$B$111,0))="","Cell will autofill based on response",INDEX('Faculties'!$Q$91:$Q$111,MATCH($F208,'Faculties'!$B$91:$B$111,0))),"N/A")</f>
        <v/>
      </c>
      <c r="L208" s="52">
        <f>IFERROR(IF(INDEX('CI&amp;S'!$Q$10:$Q$15,MATCH($F208,'CI&amp;S'!$B$10:$B$15,0))="","Cell will autofill based on response",INDEX('CI&amp;S'!$Q$10:$Q$15,MATCH($F208,'CI&amp;S'!$B$10:$B$15,0))),"N/A")</f>
        <v/>
      </c>
      <c r="M208" s="52">
        <f>IFERROR(IF(INDEX('CI&amp;S'!$Q$22:$Q$39,MATCH($F208,'CI&amp;S'!$B$22:$B$39,0))="","Cell will autofill based on response",INDEX('CI&amp;S'!$Q$22:$Q$39,MATCH($F208,'CI&amp;S'!$B$22:$B$39,0))),"N/A")</f>
        <v/>
      </c>
      <c r="N208" s="52">
        <f>IFERROR(IF(INDEX('CFOG'!$Q$10:$Q$16,MATCH($F208,'CFOG'!$B$10:$B$16,0))="","Cell will autofill based on response",INDEX('CFOG'!$Q$10:$Q$16,MATCH($F208,'CFOG'!$B$10:$B$16,0))),"N/A")</f>
        <v/>
      </c>
      <c r="O208" s="52">
        <f>IFERROR(IF(INDEX('CFOG'!$Q$23:$Q$24,MATCH($F208,'CFOG'!$B$23:$B$24,0))="","Cell will autofill based on response",INDEX('CFOG'!$Q$23:$Q$24,MATCH($F208,'CFOG'!$B$23:$B$24,0))),"N/A")</f>
        <v/>
      </c>
      <c r="P208" s="52">
        <f>IFERROR(IF(INDEX('ESG'!$Q$10:$Q$17,MATCH($F208,'ESG'!$B$10:$B$17,0))="","Cell will autofill based on response",INDEX('ESG'!$Q$10:$Q$17,MATCH($F208,'ESG'!$B$10:$B$17,0))),"N/A")</f>
        <v/>
      </c>
      <c r="Q208" s="52">
        <f>IFERROR(IF(INDEX('CIOG'!$Q$10:$Q$14,MATCH($F208,'CIOG'!$B$10:$B$14,0))="","Cell will autofill based on response",INDEX('CIOG'!$Q$10:$Q$14,MATCH($F208,'CIOG'!$B$10:$B$14,0))),"N/A")</f>
        <v/>
      </c>
      <c r="R208" s="52">
        <f>IFERROR(IF(INDEX('MRE'!$Q$10:$Q$12,MATCH($F208,'MRE'!$B$10:$B$12,0))="","Cell will autofill based on response",INDEX('MRE'!$Q$10:$Q$12,MATCH($F208,'MRE'!$B$10:$B$12,0))),"N/A")</f>
        <v/>
      </c>
      <c r="S208" s="52">
        <f>IFERROR(IF(INDEX('L&amp;R'!$Q$10:$Q$11,MATCH($F208,'L&amp;R'!$B$10:$B$11,0))="","Cell will autofill based on response",INDEX('L&amp;R'!$Q$10:$Q$11,MATCH($F208,'L&amp;R'!$B$10:$B$11,0))),"N/A")</f>
        <v/>
      </c>
    </row>
    <row r="209">
      <c r="A209">
        <f>F209&amp;"|"&amp;G209</f>
        <v/>
      </c>
      <c r="B209" s="7" t="inlineStr">
        <is>
          <t>RI1(b)</t>
        </is>
      </c>
      <c r="C209" s="50" t="inlineStr">
        <is>
          <t>Responsible investments</t>
        </is>
      </c>
      <c r="D209" s="50" t="inlineStr">
        <is>
          <t>Continuous improvement of the reporting of the University’s sustainability-related investment profile metrics, could include investment in climate mitigation and transition solutions, and compliance with related obligations (eg UNPRI).</t>
        </is>
      </c>
      <c r="E209" s="50" t="inlineStr">
        <is>
          <t>Report on relevant sustainability-related investment portfolio metrics and report on how the University has complied with its related obligations</t>
        </is>
      </c>
      <c r="F209" s="50" t="inlineStr">
        <is>
          <t>RI1(b)</t>
        </is>
      </c>
      <c r="G209" s="50" t="inlineStr">
        <is>
          <t>Confirm end-2026 target status</t>
        </is>
      </c>
      <c r="H209" s="52">
        <f>IFERROR(IF(INDEX('Faculties'!$L$10:$L$30,MATCH($F209,'Faculties'!$B$10:$B$30,0))="","Cell will autofill based on response",INDEX('Faculties'!$L$10:$L$30,MATCH($F209,'Faculties'!$B$10:$B$30,0))),"N/A")</f>
        <v/>
      </c>
      <c r="I209" s="52">
        <f>IFERROR(IF(INDEX('Faculties'!$L$37:$L$57,MATCH($F209,'Faculties'!$B$37:$B$57,0))="","Cell will autofill based on response",INDEX('Faculties'!$L$37:$L$57,MATCH($F209,'Faculties'!$B$37:$B$57,0))),"N/A")</f>
        <v/>
      </c>
      <c r="J209" s="52">
        <f>IFERROR(IF(INDEX('Faculties'!$L$64:$L$84,MATCH($F209,'Faculties'!$B$64:$B$84,0))="","Cell will autofill based on response",INDEX('Faculties'!$L$64:$L$84,MATCH($F209,'Faculties'!$B$64:$B$84,0))),"N/A")</f>
        <v/>
      </c>
      <c r="K209" s="52">
        <f>IFERROR(IF(INDEX('Faculties'!$L$91:$L$111,MATCH($F209,'Faculties'!$B$91:$B$111,0))="","Cell will autofill based on response",INDEX('Faculties'!$L$91:$L$111,MATCH($F209,'Faculties'!$B$91:$B$111,0))),"N/A")</f>
        <v/>
      </c>
      <c r="L209" s="52">
        <f>IFERROR(IF(INDEX('CI&amp;S'!$L$10:$L$15,MATCH($F209,'CI&amp;S'!$B$10:$B$15,0))="","Cell will autofill based on response",INDEX('CI&amp;S'!$L$10:$L$15,MATCH($F209,'CI&amp;S'!$B$10:$B$15,0))),"N/A")</f>
        <v/>
      </c>
      <c r="M209" s="52">
        <f>IFERROR(IF(INDEX('CI&amp;S'!$L$22:$L$39,MATCH($F209,'CI&amp;S'!$B$22:$B$39,0))="","Cell will autofill based on response",INDEX('CI&amp;S'!$L$22:$L$39,MATCH($F209,'CI&amp;S'!$B$22:$B$39,0))),"N/A")</f>
        <v/>
      </c>
      <c r="N209" s="52">
        <f>IFERROR(IF(INDEX('CFOG'!$L$10:$L$16,MATCH($F209,'CFOG'!$B$10:$B$16,0))="","Cell will autofill based on response",INDEX('CFOG'!$L$10:$L$16,MATCH($F209,'CFOG'!$B$10:$B$16,0))),"N/A")</f>
        <v/>
      </c>
      <c r="O209" s="52">
        <f>IFERROR(IF(INDEX('CFOG'!$L$23:$L$24,MATCH($F209,'CFOG'!$B$23:$B$24,0))="","Cell will autofill based on response",INDEX('CFOG'!$L$23:$L$24,MATCH($F209,'CFOG'!$B$23:$B$24,0))),"N/A")</f>
        <v/>
      </c>
      <c r="P209" s="52">
        <f>IFERROR(IF(INDEX('ESG'!$L$10:$L$17,MATCH($F209,'ESG'!$B$10:$B$17,0))="","Cell will autofill based on response",INDEX('ESG'!$L$10:$L$17,MATCH($F209,'ESG'!$B$10:$B$17,0))),"N/A")</f>
        <v/>
      </c>
      <c r="Q209" s="52">
        <f>IFERROR(IF(INDEX('CIOG'!$L$10:$L$14,MATCH($F209,'CIOG'!$B$10:$B$14,0))="","Cell will autofill based on response",INDEX('CIOG'!$L$10:$L$14,MATCH($F209,'CIOG'!$B$10:$B$14,0))),"N/A")</f>
        <v/>
      </c>
      <c r="R209" s="52">
        <f>IFERROR(IF(INDEX('MRE'!$L$10:$L$12,MATCH($F209,'MRE'!$B$10:$B$12,0))="","Cell will autofill based on response",INDEX('MRE'!$L$10:$L$12,MATCH($F209,'MRE'!$B$10:$B$12,0))),"N/A")</f>
        <v/>
      </c>
      <c r="S209" s="52">
        <f>IFERROR(IF(INDEX('L&amp;R'!$L$10:$L$11,MATCH($F209,'L&amp;R'!$B$10:$B$11,0))="","Cell will autofill based on response",INDEX('L&amp;R'!$L$10:$L$11,MATCH($F209,'L&amp;R'!$B$10:$B$11,0))),"N/A")</f>
        <v/>
      </c>
      <c r="U209" s="10">
        <f>COUNTIF($H209:$S209,"Cell will autofill based on response")</f>
        <v/>
      </c>
      <c r="V209" s="10">
        <f>COUNTIF($H209:$S209,"Not yet started")</f>
        <v/>
      </c>
      <c r="W209" s="10">
        <f>COUNTIF($H209:$S209,"Not met")</f>
        <v/>
      </c>
      <c r="X209" s="10">
        <f>COUNTIF($H209:$S209,"Partially met")</f>
        <v/>
      </c>
      <c r="Y209" s="10">
        <f>COUNTIF($H209:$S209,"Met or exceeded")</f>
        <v/>
      </c>
      <c r="Z209" s="10">
        <f>3*Y209+2*X209+W209</f>
        <v/>
      </c>
      <c r="AA209" s="10">
        <f>Y209+X209+W209+V209</f>
        <v/>
      </c>
      <c r="AB209" s="53">
        <f>IF(AA209&gt;0,Z209/AA209,"No valid responses to date")</f>
        <v/>
      </c>
      <c r="AC209" s="10">
        <f>IF(ISNUMBER(AB209),INDEX(Lists!$G$2:$G$5,MATCH(ROUND(AB209,0),Lists!$H$2:$H$5,0)),"")</f>
        <v/>
      </c>
      <c r="AD209" s="54">
        <f>IF(AA209&gt;0,Y209/AA209,"")</f>
        <v/>
      </c>
      <c r="AE209" s="54">
        <f>IF(AA209&gt;0,(Y209+X209)/AA209,"")</f>
        <v/>
      </c>
      <c r="AF209" s="10">
        <f>IF(AA209=0,"",IF(AD209&gt;0.75,"Met or exceeded",IF(AE209&gt;=0.5,"Partially met","Not met")))</f>
        <v/>
      </c>
    </row>
    <row r="210">
      <c r="A210">
        <f>F210&amp;"|"&amp;G210</f>
        <v/>
      </c>
      <c r="B210" s="13" t="inlineStr"/>
      <c r="C210" s="8" t="inlineStr"/>
      <c r="D210" s="8" t="inlineStr"/>
      <c r="E210" s="8" t="inlineStr"/>
      <c r="F210" s="8" t="inlineStr">
        <is>
          <t>RI1(b)</t>
        </is>
      </c>
      <c r="G210" s="8" t="inlineStr">
        <is>
          <t>OPTION 1:  Target-level reporting</t>
        </is>
      </c>
      <c r="H210" s="52">
        <f>IFERROR(IF(INDEX('Faculties'!$M$10:$M$30,MATCH($F210,'Faculties'!$B$10:$B$30,0))="","Cell will autofill based on response",INDEX('Faculties'!$M$10:$M$30,MATCH($F210,'Faculties'!$B$10:$B$30,0))),"N/A")</f>
        <v/>
      </c>
      <c r="I210" s="52">
        <f>IFERROR(IF(INDEX('Faculties'!$M$37:$M$57,MATCH($F210,'Faculties'!$B$37:$B$57,0))="","Cell will autofill based on response",INDEX('Faculties'!$M$37:$M$57,MATCH($F210,'Faculties'!$B$37:$B$57,0))),"N/A")</f>
        <v/>
      </c>
      <c r="J210" s="52">
        <f>IFERROR(IF(INDEX('Faculties'!$M$64:$M$84,MATCH($F210,'Faculties'!$B$64:$B$84,0))="","Cell will autofill based on response",INDEX('Faculties'!$M$64:$M$84,MATCH($F210,'Faculties'!$B$64:$B$84,0))),"N/A")</f>
        <v/>
      </c>
      <c r="K210" s="52">
        <f>IFERROR(IF(INDEX('Faculties'!$M$91:$M$111,MATCH($F210,'Faculties'!$B$91:$B$111,0))="","Cell will autofill based on response",INDEX('Faculties'!$M$91:$M$111,MATCH($F210,'Faculties'!$B$91:$B$111,0))),"N/A")</f>
        <v/>
      </c>
      <c r="L210" s="52">
        <f>IFERROR(IF(INDEX('CI&amp;S'!$M$10:$M$15,MATCH($F210,'CI&amp;S'!$B$10:$B$15,0))="","Cell will autofill based on response",INDEX('CI&amp;S'!$M$10:$M$15,MATCH($F210,'CI&amp;S'!$B$10:$B$15,0))),"N/A")</f>
        <v/>
      </c>
      <c r="M210" s="52">
        <f>IFERROR(IF(INDEX('CI&amp;S'!$M$22:$M$39,MATCH($F210,'CI&amp;S'!$B$22:$B$39,0))="","Cell will autofill based on response",INDEX('CI&amp;S'!$M$22:$M$39,MATCH($F210,'CI&amp;S'!$B$22:$B$39,0))),"N/A")</f>
        <v/>
      </c>
      <c r="N210" s="52">
        <f>IFERROR(IF(INDEX('CFOG'!$M$10:$M$16,MATCH($F210,'CFOG'!$B$10:$B$16,0))="","Cell will autofill based on response",INDEX('CFOG'!$M$10:$M$16,MATCH($F210,'CFOG'!$B$10:$B$16,0))),"N/A")</f>
        <v/>
      </c>
      <c r="O210" s="52">
        <f>IFERROR(IF(INDEX('CFOG'!$M$23:$M$24,MATCH($F210,'CFOG'!$B$23:$B$24,0))="","Cell will autofill based on response",INDEX('CFOG'!$M$23:$M$24,MATCH($F210,'CFOG'!$B$23:$B$24,0))),"N/A")</f>
        <v/>
      </c>
      <c r="P210" s="52">
        <f>IFERROR(IF(INDEX('ESG'!$M$10:$M$17,MATCH($F210,'ESG'!$B$10:$B$17,0))="","Cell will autofill based on response",INDEX('ESG'!$M$10:$M$17,MATCH($F210,'ESG'!$B$10:$B$17,0))),"N/A")</f>
        <v/>
      </c>
      <c r="Q210" s="52">
        <f>IFERROR(IF(INDEX('CIOG'!$M$10:$M$14,MATCH($F210,'CIOG'!$B$10:$B$14,0))="","Cell will autofill based on response",INDEX('CIOG'!$M$10:$M$14,MATCH($F210,'CIOG'!$B$10:$B$14,0))),"N/A")</f>
        <v/>
      </c>
      <c r="R210" s="52">
        <f>IFERROR(IF(INDEX('MRE'!$M$10:$M$12,MATCH($F210,'MRE'!$B$10:$B$12,0))="","Cell will autofill based on response",INDEX('MRE'!$M$10:$M$12,MATCH($F210,'MRE'!$B$10:$B$12,0))),"N/A")</f>
        <v/>
      </c>
      <c r="S210" s="52">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2">
        <f>IFERROR(IF(INDEX('Faculties'!$N$10:$N$30,MATCH($F211,'Faculties'!$B$10:$B$30,0))="","Cell will autofill based on response",INDEX('Faculties'!$N$10:$N$30,MATCH($F211,'Faculties'!$B$10:$B$30,0))),"N/A")</f>
        <v/>
      </c>
      <c r="I211" s="52">
        <f>IFERROR(IF(INDEX('Faculties'!$N$37:$N$57,MATCH($F211,'Faculties'!$B$37:$B$57,0))="","Cell will autofill based on response",INDEX('Faculties'!$N$37:$N$57,MATCH($F211,'Faculties'!$B$37:$B$57,0))),"N/A")</f>
        <v/>
      </c>
      <c r="J211" s="52">
        <f>IFERROR(IF(INDEX('Faculties'!$N$64:$N$84,MATCH($F211,'Faculties'!$B$64:$B$84,0))="","Cell will autofill based on response",INDEX('Faculties'!$N$64:$N$84,MATCH($F211,'Faculties'!$B$64:$B$84,0))),"N/A")</f>
        <v/>
      </c>
      <c r="K211" s="52">
        <f>IFERROR(IF(INDEX('Faculties'!$N$91:$N$111,MATCH($F211,'Faculties'!$B$91:$B$111,0))="","Cell will autofill based on response",INDEX('Faculties'!$N$91:$N$111,MATCH($F211,'Faculties'!$B$91:$B$111,0))),"N/A")</f>
        <v/>
      </c>
      <c r="L211" s="52">
        <f>IFERROR(IF(INDEX('CI&amp;S'!$N$10:$N$15,MATCH($F211,'CI&amp;S'!$B$10:$B$15,0))="","Cell will autofill based on response",INDEX('CI&amp;S'!$N$10:$N$15,MATCH($F211,'CI&amp;S'!$B$10:$B$15,0))),"N/A")</f>
        <v/>
      </c>
      <c r="M211" s="52">
        <f>IFERROR(IF(INDEX('CI&amp;S'!$N$22:$N$39,MATCH($F211,'CI&amp;S'!$B$22:$B$39,0))="","Cell will autofill based on response",INDEX('CI&amp;S'!$N$22:$N$39,MATCH($F211,'CI&amp;S'!$B$22:$B$39,0))),"N/A")</f>
        <v/>
      </c>
      <c r="N211" s="52">
        <f>IFERROR(IF(INDEX('CFOG'!$N$10:$N$16,MATCH($F211,'CFOG'!$B$10:$B$16,0))="","Cell will autofill based on response",INDEX('CFOG'!$N$10:$N$16,MATCH($F211,'CFOG'!$B$10:$B$16,0))),"N/A")</f>
        <v/>
      </c>
      <c r="O211" s="52">
        <f>IFERROR(IF(INDEX('CFOG'!$N$23:$N$24,MATCH($F211,'CFOG'!$B$23:$B$24,0))="","Cell will autofill based on response",INDEX('CFOG'!$N$23:$N$24,MATCH($F211,'CFOG'!$B$23:$B$24,0))),"N/A")</f>
        <v/>
      </c>
      <c r="P211" s="52">
        <f>IFERROR(IF(INDEX('ESG'!$N$10:$N$17,MATCH($F211,'ESG'!$B$10:$B$17,0))="","Cell will autofill based on response",INDEX('ESG'!$N$10:$N$17,MATCH($F211,'ESG'!$B$10:$B$17,0))),"N/A")</f>
        <v/>
      </c>
      <c r="Q211" s="52">
        <f>IFERROR(IF(INDEX('CIOG'!$N$10:$N$14,MATCH($F211,'CIOG'!$B$10:$B$14,0))="","Cell will autofill based on response",INDEX('CIOG'!$N$10:$N$14,MATCH($F211,'CIOG'!$B$10:$B$14,0))),"N/A")</f>
        <v/>
      </c>
      <c r="R211" s="52">
        <f>IFERROR(IF(INDEX('MRE'!$N$10:$N$12,MATCH($F211,'MRE'!$B$10:$B$12,0))="","Cell will autofill based on response",INDEX('MRE'!$N$10:$N$12,MATCH($F211,'MRE'!$B$10:$B$12,0))),"N/A")</f>
        <v/>
      </c>
      <c r="S211" s="52">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2">
        <f>IFERROR(IF(INDEX('Faculties'!$O$10:$O$30,MATCH($F212,'Faculties'!$B$10:$B$30,0))="","Cell will autofill based on response",INDEX('Faculties'!$O$10:$O$30,MATCH($F212,'Faculties'!$B$10:$B$30,0))),"N/A")</f>
        <v/>
      </c>
      <c r="I212" s="52">
        <f>IFERROR(IF(INDEX('Faculties'!$O$37:$O$57,MATCH($F212,'Faculties'!$B$37:$B$57,0))="","Cell will autofill based on response",INDEX('Faculties'!$O$37:$O$57,MATCH($F212,'Faculties'!$B$37:$B$57,0))),"N/A")</f>
        <v/>
      </c>
      <c r="J212" s="52">
        <f>IFERROR(IF(INDEX('Faculties'!$O$64:$O$84,MATCH($F212,'Faculties'!$B$64:$B$84,0))="","Cell will autofill based on response",INDEX('Faculties'!$O$64:$O$84,MATCH($F212,'Faculties'!$B$64:$B$84,0))),"N/A")</f>
        <v/>
      </c>
      <c r="K212" s="52">
        <f>IFERROR(IF(INDEX('Faculties'!$O$91:$O$111,MATCH($F212,'Faculties'!$B$91:$B$111,0))="","Cell will autofill based on response",INDEX('Faculties'!$O$91:$O$111,MATCH($F212,'Faculties'!$B$91:$B$111,0))),"N/A")</f>
        <v/>
      </c>
      <c r="L212" s="52">
        <f>IFERROR(IF(INDEX('CI&amp;S'!$O$10:$O$15,MATCH($F212,'CI&amp;S'!$B$10:$B$15,0))="","Cell will autofill based on response",INDEX('CI&amp;S'!$O$10:$O$15,MATCH($F212,'CI&amp;S'!$B$10:$B$15,0))),"N/A")</f>
        <v/>
      </c>
      <c r="M212" s="52">
        <f>IFERROR(IF(INDEX('CI&amp;S'!$O$22:$O$39,MATCH($F212,'CI&amp;S'!$B$22:$B$39,0))="","Cell will autofill based on response",INDEX('CI&amp;S'!$O$22:$O$39,MATCH($F212,'CI&amp;S'!$B$22:$B$39,0))),"N/A")</f>
        <v/>
      </c>
      <c r="N212" s="52">
        <f>IFERROR(IF(INDEX('CFOG'!$O$10:$O$16,MATCH($F212,'CFOG'!$B$10:$B$16,0))="","Cell will autofill based on response",INDEX('CFOG'!$O$10:$O$16,MATCH($F212,'CFOG'!$B$10:$B$16,0))),"N/A")</f>
        <v/>
      </c>
      <c r="O212" s="52">
        <f>IFERROR(IF(INDEX('CFOG'!$O$23:$O$24,MATCH($F212,'CFOG'!$B$23:$B$24,0))="","Cell will autofill based on response",INDEX('CFOG'!$O$23:$O$24,MATCH($F212,'CFOG'!$B$23:$B$24,0))),"N/A")</f>
        <v/>
      </c>
      <c r="P212" s="52">
        <f>IFERROR(IF(INDEX('ESG'!$O$10:$O$17,MATCH($F212,'ESG'!$B$10:$B$17,0))="","Cell will autofill based on response",INDEX('ESG'!$O$10:$O$17,MATCH($F212,'ESG'!$B$10:$B$17,0))),"N/A")</f>
        <v/>
      </c>
      <c r="Q212" s="52">
        <f>IFERROR(IF(INDEX('CIOG'!$O$10:$O$14,MATCH($F212,'CIOG'!$B$10:$B$14,0))="","Cell will autofill based on response",INDEX('CIOG'!$O$10:$O$14,MATCH($F212,'CIOG'!$B$10:$B$14,0))),"N/A")</f>
        <v/>
      </c>
      <c r="R212" s="52">
        <f>IFERROR(IF(INDEX('MRE'!$O$10:$O$12,MATCH($F212,'MRE'!$B$10:$B$12,0))="","Cell will autofill based on response",INDEX('MRE'!$O$10:$O$12,MATCH($F212,'MRE'!$B$10:$B$12,0))),"N/A")</f>
        <v/>
      </c>
      <c r="S212" s="52">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2">
        <f>IFERROR(IF(INDEX('Faculties'!$P$10:$P$30,MATCH($F213,'Faculties'!$B$10:$B$30,0))="","Cell will autofill based on response",INDEX('Faculties'!$P$10:$P$30,MATCH($F213,'Faculties'!$B$10:$B$30,0))),"N/A")</f>
        <v/>
      </c>
      <c r="I213" s="52">
        <f>IFERROR(IF(INDEX('Faculties'!$P$37:$P$57,MATCH($F213,'Faculties'!$B$37:$B$57,0))="","Cell will autofill based on response",INDEX('Faculties'!$P$37:$P$57,MATCH($F213,'Faculties'!$B$37:$B$57,0))),"N/A")</f>
        <v/>
      </c>
      <c r="J213" s="52">
        <f>IFERROR(IF(INDEX('Faculties'!$P$64:$P$84,MATCH($F213,'Faculties'!$B$64:$B$84,0))="","Cell will autofill based on response",INDEX('Faculties'!$P$64:$P$84,MATCH($F213,'Faculties'!$B$64:$B$84,0))),"N/A")</f>
        <v/>
      </c>
      <c r="K213" s="52">
        <f>IFERROR(IF(INDEX('Faculties'!$P$91:$P$111,MATCH($F213,'Faculties'!$B$91:$B$111,0))="","Cell will autofill based on response",INDEX('Faculties'!$P$91:$P$111,MATCH($F213,'Faculties'!$B$91:$B$111,0))),"N/A")</f>
        <v/>
      </c>
      <c r="L213" s="52">
        <f>IFERROR(IF(INDEX('CI&amp;S'!$P$10:$P$15,MATCH($F213,'CI&amp;S'!$B$10:$B$15,0))="","Cell will autofill based on response",INDEX('CI&amp;S'!$P$10:$P$15,MATCH($F213,'CI&amp;S'!$B$10:$B$15,0))),"N/A")</f>
        <v/>
      </c>
      <c r="M213" s="52">
        <f>IFERROR(IF(INDEX('CI&amp;S'!$P$22:$P$39,MATCH($F213,'CI&amp;S'!$B$22:$B$39,0))="","Cell will autofill based on response",INDEX('CI&amp;S'!$P$22:$P$39,MATCH($F213,'CI&amp;S'!$B$22:$B$39,0))),"N/A")</f>
        <v/>
      </c>
      <c r="N213" s="52">
        <f>IFERROR(IF(INDEX('CFOG'!$P$10:$P$16,MATCH($F213,'CFOG'!$B$10:$B$16,0))="","Cell will autofill based on response",INDEX('CFOG'!$P$10:$P$16,MATCH($F213,'CFOG'!$B$10:$B$16,0))),"N/A")</f>
        <v/>
      </c>
      <c r="O213" s="52">
        <f>IFERROR(IF(INDEX('CFOG'!$P$23:$P$24,MATCH($F213,'CFOG'!$B$23:$B$24,0))="","Cell will autofill based on response",INDEX('CFOG'!$P$23:$P$24,MATCH($F213,'CFOG'!$B$23:$B$24,0))),"N/A")</f>
        <v/>
      </c>
      <c r="P213" s="52">
        <f>IFERROR(IF(INDEX('ESG'!$P$10:$P$17,MATCH($F213,'ESG'!$B$10:$B$17,0))="","Cell will autofill based on response",INDEX('ESG'!$P$10:$P$17,MATCH($F213,'ESG'!$B$10:$B$17,0))),"N/A")</f>
        <v/>
      </c>
      <c r="Q213" s="52">
        <f>IFERROR(IF(INDEX('CIOG'!$P$10:$P$14,MATCH($F213,'CIOG'!$B$10:$B$14,0))="","Cell will autofill based on response",INDEX('CIOG'!$P$10:$P$14,MATCH($F213,'CIOG'!$B$10:$B$14,0))),"N/A")</f>
        <v/>
      </c>
      <c r="R213" s="52">
        <f>IFERROR(IF(INDEX('MRE'!$P$10:$P$12,MATCH($F213,'MRE'!$B$10:$B$12,0))="","Cell will autofill based on response",INDEX('MRE'!$P$10:$P$12,MATCH($F213,'MRE'!$B$10:$B$12,0))),"N/A")</f>
        <v/>
      </c>
      <c r="S213" s="52">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2">
        <f>IFERROR(IF(INDEX('Faculties'!$Q$10:$Q$30,MATCH($F214,'Faculties'!$B$10:$B$30,0))="","Cell will autofill based on response",INDEX('Faculties'!$Q$10:$Q$30,MATCH($F214,'Faculties'!$B$10:$B$30,0))),"N/A")</f>
        <v/>
      </c>
      <c r="I214" s="52">
        <f>IFERROR(IF(INDEX('Faculties'!$Q$37:$Q$57,MATCH($F214,'Faculties'!$B$37:$B$57,0))="","Cell will autofill based on response",INDEX('Faculties'!$Q$37:$Q$57,MATCH($F214,'Faculties'!$B$37:$B$57,0))),"N/A")</f>
        <v/>
      </c>
      <c r="J214" s="52">
        <f>IFERROR(IF(INDEX('Faculties'!$Q$64:$Q$84,MATCH($F214,'Faculties'!$B$64:$B$84,0))="","Cell will autofill based on response",INDEX('Faculties'!$Q$64:$Q$84,MATCH($F214,'Faculties'!$B$64:$B$84,0))),"N/A")</f>
        <v/>
      </c>
      <c r="K214" s="52">
        <f>IFERROR(IF(INDEX('Faculties'!$Q$91:$Q$111,MATCH($F214,'Faculties'!$B$91:$B$111,0))="","Cell will autofill based on response",INDEX('Faculties'!$Q$91:$Q$111,MATCH($F214,'Faculties'!$B$91:$B$111,0))),"N/A")</f>
        <v/>
      </c>
      <c r="L214" s="52">
        <f>IFERROR(IF(INDEX('CI&amp;S'!$Q$10:$Q$15,MATCH($F214,'CI&amp;S'!$B$10:$B$15,0))="","Cell will autofill based on response",INDEX('CI&amp;S'!$Q$10:$Q$15,MATCH($F214,'CI&amp;S'!$B$10:$B$15,0))),"N/A")</f>
        <v/>
      </c>
      <c r="M214" s="52">
        <f>IFERROR(IF(INDEX('CI&amp;S'!$Q$22:$Q$39,MATCH($F214,'CI&amp;S'!$B$22:$B$39,0))="","Cell will autofill based on response",INDEX('CI&amp;S'!$Q$22:$Q$39,MATCH($F214,'CI&amp;S'!$B$22:$B$39,0))),"N/A")</f>
        <v/>
      </c>
      <c r="N214" s="52">
        <f>IFERROR(IF(INDEX('CFOG'!$Q$10:$Q$16,MATCH($F214,'CFOG'!$B$10:$B$16,0))="","Cell will autofill based on response",INDEX('CFOG'!$Q$10:$Q$16,MATCH($F214,'CFOG'!$B$10:$B$16,0))),"N/A")</f>
        <v/>
      </c>
      <c r="O214" s="52">
        <f>IFERROR(IF(INDEX('CFOG'!$Q$23:$Q$24,MATCH($F214,'CFOG'!$B$23:$B$24,0))="","Cell will autofill based on response",INDEX('CFOG'!$Q$23:$Q$24,MATCH($F214,'CFOG'!$B$23:$B$24,0))),"N/A")</f>
        <v/>
      </c>
      <c r="P214" s="52">
        <f>IFERROR(IF(INDEX('ESG'!$Q$10:$Q$17,MATCH($F214,'ESG'!$B$10:$B$17,0))="","Cell will autofill based on response",INDEX('ESG'!$Q$10:$Q$17,MATCH($F214,'ESG'!$B$10:$B$17,0))),"N/A")</f>
        <v/>
      </c>
      <c r="Q214" s="52">
        <f>IFERROR(IF(INDEX('CIOG'!$Q$10:$Q$14,MATCH($F214,'CIOG'!$B$10:$B$14,0))="","Cell will autofill based on response",INDEX('CIOG'!$Q$10:$Q$14,MATCH($F214,'CIOG'!$B$10:$B$14,0))),"N/A")</f>
        <v/>
      </c>
      <c r="R214" s="52">
        <f>IFERROR(IF(INDEX('MRE'!$Q$10:$Q$12,MATCH($F214,'MRE'!$B$10:$B$12,0))="","Cell will autofill based on response",INDEX('MRE'!$Q$10:$Q$12,MATCH($F214,'MRE'!$B$10:$B$12,0))),"N/A")</f>
        <v/>
      </c>
      <c r="S214" s="52">
        <f>IFERROR(IF(INDEX('L&amp;R'!$Q$10:$Q$11,MATCH($F214,'L&amp;R'!$B$10:$B$11,0))="","Cell will autofill based on response",INDEX('L&amp;R'!$Q$10:$Q$11,MATCH($F214,'L&amp;R'!$B$10:$B$11,0))),"N/A")</f>
        <v/>
      </c>
    </row>
    <row r="215">
      <c r="A215">
        <f>F215&amp;"|"&amp;G215</f>
        <v/>
      </c>
      <c r="B215" s="7" t="inlineStr">
        <is>
          <t>EN1(a)</t>
        </is>
      </c>
      <c r="C215" s="50" t="inlineStr">
        <is>
          <t>Enablers</t>
        </is>
      </c>
      <c r="D215" s="50" t="inlineStr">
        <is>
          <t>Evidence of sustainability outcomes informed by Indigenous knowledges</t>
        </is>
      </c>
      <c r="E215" s="50"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0" t="inlineStr">
        <is>
          <t>EN1(a)</t>
        </is>
      </c>
      <c r="G215" s="50" t="inlineStr">
        <is>
          <t>Confirm end-2026 target status</t>
        </is>
      </c>
      <c r="H215" s="52">
        <f>IFERROR(IF(INDEX('Faculties'!$L$10:$L$30,MATCH($F215,'Faculties'!$B$10:$B$30,0))="","Cell will autofill based on response",INDEX('Faculties'!$L$10:$L$30,MATCH($F215,'Faculties'!$B$10:$B$30,0))),"N/A")</f>
        <v/>
      </c>
      <c r="I215" s="52">
        <f>IFERROR(IF(INDEX('Faculties'!$L$37:$L$57,MATCH($F215,'Faculties'!$B$37:$B$57,0))="","Cell will autofill based on response",INDEX('Faculties'!$L$37:$L$57,MATCH($F215,'Faculties'!$B$37:$B$57,0))),"N/A")</f>
        <v/>
      </c>
      <c r="J215" s="52">
        <f>IFERROR(IF(INDEX('Faculties'!$L$64:$L$84,MATCH($F215,'Faculties'!$B$64:$B$84,0))="","Cell will autofill based on response",INDEX('Faculties'!$L$64:$L$84,MATCH($F215,'Faculties'!$B$64:$B$84,0))),"N/A")</f>
        <v/>
      </c>
      <c r="K215" s="52">
        <f>IFERROR(IF(INDEX('Faculties'!$L$91:$L$111,MATCH($F215,'Faculties'!$B$91:$B$111,0))="","Cell will autofill based on response",INDEX('Faculties'!$L$91:$L$111,MATCH($F215,'Faculties'!$B$91:$B$111,0))),"N/A")</f>
        <v/>
      </c>
      <c r="L215" s="52">
        <f>IFERROR(IF(INDEX('CI&amp;S'!$L$10:$L$15,MATCH($F215,'CI&amp;S'!$B$10:$B$15,0))="","Cell will autofill based on response",INDEX('CI&amp;S'!$L$10:$L$15,MATCH($F215,'CI&amp;S'!$B$10:$B$15,0))),"N/A")</f>
        <v/>
      </c>
      <c r="M215" s="52">
        <f>IFERROR(IF(INDEX('CI&amp;S'!$L$22:$L$39,MATCH($F215,'CI&amp;S'!$B$22:$B$39,0))="","Cell will autofill based on response",INDEX('CI&amp;S'!$L$22:$L$39,MATCH($F215,'CI&amp;S'!$B$22:$B$39,0))),"N/A")</f>
        <v/>
      </c>
      <c r="N215" s="52">
        <f>IFERROR(IF(INDEX('CFOG'!$L$10:$L$16,MATCH($F215,'CFOG'!$B$10:$B$16,0))="","Cell will autofill based on response",INDEX('CFOG'!$L$10:$L$16,MATCH($F215,'CFOG'!$B$10:$B$16,0))),"N/A")</f>
        <v/>
      </c>
      <c r="O215" s="52">
        <f>IFERROR(IF(INDEX('CFOG'!$L$23:$L$24,MATCH($F215,'CFOG'!$B$23:$B$24,0))="","Cell will autofill based on response",INDEX('CFOG'!$L$23:$L$24,MATCH($F215,'CFOG'!$B$23:$B$24,0))),"N/A")</f>
        <v/>
      </c>
      <c r="P215" s="52">
        <f>IFERROR(IF(INDEX('ESG'!$L$10:$L$17,MATCH($F215,'ESG'!$B$10:$B$17,0))="","Cell will autofill based on response",INDEX('ESG'!$L$10:$L$17,MATCH($F215,'ESG'!$B$10:$B$17,0))),"N/A")</f>
        <v/>
      </c>
      <c r="Q215" s="52">
        <f>IFERROR(IF(INDEX('CIOG'!$L$10:$L$14,MATCH($F215,'CIOG'!$B$10:$B$14,0))="","Cell will autofill based on response",INDEX('CIOG'!$L$10:$L$14,MATCH($F215,'CIOG'!$B$10:$B$14,0))),"N/A")</f>
        <v/>
      </c>
      <c r="R215" s="52">
        <f>IFERROR(IF(INDEX('MRE'!$L$10:$L$12,MATCH($F215,'MRE'!$B$10:$B$12,0))="","Cell will autofill based on response",INDEX('MRE'!$L$10:$L$12,MATCH($F215,'MRE'!$B$10:$B$12,0))),"N/A")</f>
        <v/>
      </c>
      <c r="S215" s="52">
        <f>IFERROR(IF(INDEX('L&amp;R'!$L$10:$L$11,MATCH($F215,'L&amp;R'!$B$10:$B$11,0))="","Cell will autofill based on response",INDEX('L&amp;R'!$L$10:$L$11,MATCH($F215,'L&amp;R'!$B$10:$B$11,0))),"N/A")</f>
        <v/>
      </c>
      <c r="U215" s="10">
        <f>COUNTIF($H215:$S215,"Cell will autofill based on response")</f>
        <v/>
      </c>
      <c r="V215" s="10">
        <f>COUNTIF($H215:$S215,"Not yet started")</f>
        <v/>
      </c>
      <c r="W215" s="10">
        <f>COUNTIF($H215:$S215,"Not met")</f>
        <v/>
      </c>
      <c r="X215" s="10">
        <f>COUNTIF($H215:$S215,"Partially met")</f>
        <v/>
      </c>
      <c r="Y215" s="10">
        <f>COUNTIF($H215:$S215,"Met or exceeded")</f>
        <v/>
      </c>
      <c r="Z215" s="10">
        <f>3*Y215+2*X215+W215</f>
        <v/>
      </c>
      <c r="AA215" s="10">
        <f>Y215+X215+W215+V215</f>
        <v/>
      </c>
      <c r="AB215" s="53">
        <f>IF(AA215&gt;0,Z215/AA215,"No valid responses to date")</f>
        <v/>
      </c>
      <c r="AC215" s="10">
        <f>IF(ISNUMBER(AB215),INDEX(Lists!$G$2:$G$5,MATCH(ROUND(AB215,0),Lists!$H$2:$H$5,0)),"")</f>
        <v/>
      </c>
      <c r="AD215" s="54">
        <f>IF(AA215&gt;0,Y215/AA215,"")</f>
        <v/>
      </c>
      <c r="AE215" s="54">
        <f>IF(AA215&gt;0,(Y215+X215)/AA215,"")</f>
        <v/>
      </c>
      <c r="AF215" s="10">
        <f>IF(AA215=0,"",IF(AD215&gt;0.75,"Met or exceeded",IF(AE215&gt;=0.5,"Partially met","Not met")))</f>
        <v/>
      </c>
    </row>
    <row r="216">
      <c r="A216">
        <f>F216&amp;"|"&amp;G216</f>
        <v/>
      </c>
      <c r="B216" s="13" t="inlineStr"/>
      <c r="C216" s="8" t="inlineStr"/>
      <c r="D216" s="8" t="inlineStr"/>
      <c r="E216" s="8" t="inlineStr"/>
      <c r="F216" s="8" t="inlineStr">
        <is>
          <t>EN1(a)</t>
        </is>
      </c>
      <c r="G216" s="8" t="inlineStr">
        <is>
          <t>OPTION 1:  Target-level reporting</t>
        </is>
      </c>
      <c r="H216" s="52">
        <f>IFERROR(IF(INDEX('Faculties'!$M$10:$M$30,MATCH($F216,'Faculties'!$B$10:$B$30,0))="","Cell will autofill based on response",INDEX('Faculties'!$M$10:$M$30,MATCH($F216,'Faculties'!$B$10:$B$30,0))),"N/A")</f>
        <v/>
      </c>
      <c r="I216" s="52">
        <f>IFERROR(IF(INDEX('Faculties'!$M$37:$M$57,MATCH($F216,'Faculties'!$B$37:$B$57,0))="","Cell will autofill based on response",INDEX('Faculties'!$M$37:$M$57,MATCH($F216,'Faculties'!$B$37:$B$57,0))),"N/A")</f>
        <v/>
      </c>
      <c r="J216" s="52">
        <f>IFERROR(IF(INDEX('Faculties'!$M$64:$M$84,MATCH($F216,'Faculties'!$B$64:$B$84,0))="","Cell will autofill based on response",INDEX('Faculties'!$M$64:$M$84,MATCH($F216,'Faculties'!$B$64:$B$84,0))),"N/A")</f>
        <v/>
      </c>
      <c r="K216" s="52">
        <f>IFERROR(IF(INDEX('Faculties'!$M$91:$M$111,MATCH($F216,'Faculties'!$B$91:$B$111,0))="","Cell will autofill based on response",INDEX('Faculties'!$M$91:$M$111,MATCH($F216,'Faculties'!$B$91:$B$111,0))),"N/A")</f>
        <v/>
      </c>
      <c r="L216" s="52">
        <f>IFERROR(IF(INDEX('CI&amp;S'!$M$10:$M$15,MATCH($F216,'CI&amp;S'!$B$10:$B$15,0))="","Cell will autofill based on response",INDEX('CI&amp;S'!$M$10:$M$15,MATCH($F216,'CI&amp;S'!$B$10:$B$15,0))),"N/A")</f>
        <v/>
      </c>
      <c r="M216" s="52">
        <f>IFERROR(IF(INDEX('CI&amp;S'!$M$22:$M$39,MATCH($F216,'CI&amp;S'!$B$22:$B$39,0))="","Cell will autofill based on response",INDEX('CI&amp;S'!$M$22:$M$39,MATCH($F216,'CI&amp;S'!$B$22:$B$39,0))),"N/A")</f>
        <v/>
      </c>
      <c r="N216" s="52">
        <f>IFERROR(IF(INDEX('CFOG'!$M$10:$M$16,MATCH($F216,'CFOG'!$B$10:$B$16,0))="","Cell will autofill based on response",INDEX('CFOG'!$M$10:$M$16,MATCH($F216,'CFOG'!$B$10:$B$16,0))),"N/A")</f>
        <v/>
      </c>
      <c r="O216" s="52">
        <f>IFERROR(IF(INDEX('CFOG'!$M$23:$M$24,MATCH($F216,'CFOG'!$B$23:$B$24,0))="","Cell will autofill based on response",INDEX('CFOG'!$M$23:$M$24,MATCH($F216,'CFOG'!$B$23:$B$24,0))),"N/A")</f>
        <v/>
      </c>
      <c r="P216" s="52">
        <f>IFERROR(IF(INDEX('ESG'!$M$10:$M$17,MATCH($F216,'ESG'!$B$10:$B$17,0))="","Cell will autofill based on response",INDEX('ESG'!$M$10:$M$17,MATCH($F216,'ESG'!$B$10:$B$17,0))),"N/A")</f>
        <v/>
      </c>
      <c r="Q216" s="52">
        <f>IFERROR(IF(INDEX('CIOG'!$M$10:$M$14,MATCH($F216,'CIOG'!$B$10:$B$14,0))="","Cell will autofill based on response",INDEX('CIOG'!$M$10:$M$14,MATCH($F216,'CIOG'!$B$10:$B$14,0))),"N/A")</f>
        <v/>
      </c>
      <c r="R216" s="52">
        <f>IFERROR(IF(INDEX('MRE'!$M$10:$M$12,MATCH($F216,'MRE'!$B$10:$B$12,0))="","Cell will autofill based on response",INDEX('MRE'!$M$10:$M$12,MATCH($F216,'MRE'!$B$10:$B$12,0))),"N/A")</f>
        <v/>
      </c>
      <c r="S216" s="52">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2">
        <f>IFERROR(IF(INDEX('Faculties'!$N$10:$N$30,MATCH($F217,'Faculties'!$B$10:$B$30,0))="","Cell will autofill based on response",INDEX('Faculties'!$N$10:$N$30,MATCH($F217,'Faculties'!$B$10:$B$30,0))),"N/A")</f>
        <v/>
      </c>
      <c r="I217" s="52">
        <f>IFERROR(IF(INDEX('Faculties'!$N$37:$N$57,MATCH($F217,'Faculties'!$B$37:$B$57,0))="","Cell will autofill based on response",INDEX('Faculties'!$N$37:$N$57,MATCH($F217,'Faculties'!$B$37:$B$57,0))),"N/A")</f>
        <v/>
      </c>
      <c r="J217" s="52">
        <f>IFERROR(IF(INDEX('Faculties'!$N$64:$N$84,MATCH($F217,'Faculties'!$B$64:$B$84,0))="","Cell will autofill based on response",INDEX('Faculties'!$N$64:$N$84,MATCH($F217,'Faculties'!$B$64:$B$84,0))),"N/A")</f>
        <v/>
      </c>
      <c r="K217" s="52">
        <f>IFERROR(IF(INDEX('Faculties'!$N$91:$N$111,MATCH($F217,'Faculties'!$B$91:$B$111,0))="","Cell will autofill based on response",INDEX('Faculties'!$N$91:$N$111,MATCH($F217,'Faculties'!$B$91:$B$111,0))),"N/A")</f>
        <v/>
      </c>
      <c r="L217" s="52">
        <f>IFERROR(IF(INDEX('CI&amp;S'!$N$10:$N$15,MATCH($F217,'CI&amp;S'!$B$10:$B$15,0))="","Cell will autofill based on response",INDEX('CI&amp;S'!$N$10:$N$15,MATCH($F217,'CI&amp;S'!$B$10:$B$15,0))),"N/A")</f>
        <v/>
      </c>
      <c r="M217" s="52">
        <f>IFERROR(IF(INDEX('CI&amp;S'!$N$22:$N$39,MATCH($F217,'CI&amp;S'!$B$22:$B$39,0))="","Cell will autofill based on response",INDEX('CI&amp;S'!$N$22:$N$39,MATCH($F217,'CI&amp;S'!$B$22:$B$39,0))),"N/A")</f>
        <v/>
      </c>
      <c r="N217" s="52">
        <f>IFERROR(IF(INDEX('CFOG'!$N$10:$N$16,MATCH($F217,'CFOG'!$B$10:$B$16,0))="","Cell will autofill based on response",INDEX('CFOG'!$N$10:$N$16,MATCH($F217,'CFOG'!$B$10:$B$16,0))),"N/A")</f>
        <v/>
      </c>
      <c r="O217" s="52">
        <f>IFERROR(IF(INDEX('CFOG'!$N$23:$N$24,MATCH($F217,'CFOG'!$B$23:$B$24,0))="","Cell will autofill based on response",INDEX('CFOG'!$N$23:$N$24,MATCH($F217,'CFOG'!$B$23:$B$24,0))),"N/A")</f>
        <v/>
      </c>
      <c r="P217" s="52">
        <f>IFERROR(IF(INDEX('ESG'!$N$10:$N$17,MATCH($F217,'ESG'!$B$10:$B$17,0))="","Cell will autofill based on response",INDEX('ESG'!$N$10:$N$17,MATCH($F217,'ESG'!$B$10:$B$17,0))),"N/A")</f>
        <v/>
      </c>
      <c r="Q217" s="52">
        <f>IFERROR(IF(INDEX('CIOG'!$N$10:$N$14,MATCH($F217,'CIOG'!$B$10:$B$14,0))="","Cell will autofill based on response",INDEX('CIOG'!$N$10:$N$14,MATCH($F217,'CIOG'!$B$10:$B$14,0))),"N/A")</f>
        <v/>
      </c>
      <c r="R217" s="52">
        <f>IFERROR(IF(INDEX('MRE'!$N$10:$N$12,MATCH($F217,'MRE'!$B$10:$B$12,0))="","Cell will autofill based on response",INDEX('MRE'!$N$10:$N$12,MATCH($F217,'MRE'!$B$10:$B$12,0))),"N/A")</f>
        <v/>
      </c>
      <c r="S217" s="52">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2">
        <f>IFERROR(IF(INDEX('Faculties'!$O$10:$O$30,MATCH($F218,'Faculties'!$B$10:$B$30,0))="","Cell will autofill based on response",INDEX('Faculties'!$O$10:$O$30,MATCH($F218,'Faculties'!$B$10:$B$30,0))),"N/A")</f>
        <v/>
      </c>
      <c r="I218" s="52">
        <f>IFERROR(IF(INDEX('Faculties'!$O$37:$O$57,MATCH($F218,'Faculties'!$B$37:$B$57,0))="","Cell will autofill based on response",INDEX('Faculties'!$O$37:$O$57,MATCH($F218,'Faculties'!$B$37:$B$57,0))),"N/A")</f>
        <v/>
      </c>
      <c r="J218" s="52">
        <f>IFERROR(IF(INDEX('Faculties'!$O$64:$O$84,MATCH($F218,'Faculties'!$B$64:$B$84,0))="","Cell will autofill based on response",INDEX('Faculties'!$O$64:$O$84,MATCH($F218,'Faculties'!$B$64:$B$84,0))),"N/A")</f>
        <v/>
      </c>
      <c r="K218" s="52">
        <f>IFERROR(IF(INDEX('Faculties'!$O$91:$O$111,MATCH($F218,'Faculties'!$B$91:$B$111,0))="","Cell will autofill based on response",INDEX('Faculties'!$O$91:$O$111,MATCH($F218,'Faculties'!$B$91:$B$111,0))),"N/A")</f>
        <v/>
      </c>
      <c r="L218" s="52">
        <f>IFERROR(IF(INDEX('CI&amp;S'!$O$10:$O$15,MATCH($F218,'CI&amp;S'!$B$10:$B$15,0))="","Cell will autofill based on response",INDEX('CI&amp;S'!$O$10:$O$15,MATCH($F218,'CI&amp;S'!$B$10:$B$15,0))),"N/A")</f>
        <v/>
      </c>
      <c r="M218" s="52">
        <f>IFERROR(IF(INDEX('CI&amp;S'!$O$22:$O$39,MATCH($F218,'CI&amp;S'!$B$22:$B$39,0))="","Cell will autofill based on response",INDEX('CI&amp;S'!$O$22:$O$39,MATCH($F218,'CI&amp;S'!$B$22:$B$39,0))),"N/A")</f>
        <v/>
      </c>
      <c r="N218" s="52">
        <f>IFERROR(IF(INDEX('CFOG'!$O$10:$O$16,MATCH($F218,'CFOG'!$B$10:$B$16,0))="","Cell will autofill based on response",INDEX('CFOG'!$O$10:$O$16,MATCH($F218,'CFOG'!$B$10:$B$16,0))),"N/A")</f>
        <v/>
      </c>
      <c r="O218" s="52">
        <f>IFERROR(IF(INDEX('CFOG'!$O$23:$O$24,MATCH($F218,'CFOG'!$B$23:$B$24,0))="","Cell will autofill based on response",INDEX('CFOG'!$O$23:$O$24,MATCH($F218,'CFOG'!$B$23:$B$24,0))),"N/A")</f>
        <v/>
      </c>
      <c r="P218" s="52">
        <f>IFERROR(IF(INDEX('ESG'!$O$10:$O$17,MATCH($F218,'ESG'!$B$10:$B$17,0))="","Cell will autofill based on response",INDEX('ESG'!$O$10:$O$17,MATCH($F218,'ESG'!$B$10:$B$17,0))),"N/A")</f>
        <v/>
      </c>
      <c r="Q218" s="52">
        <f>IFERROR(IF(INDEX('CIOG'!$O$10:$O$14,MATCH($F218,'CIOG'!$B$10:$B$14,0))="","Cell will autofill based on response",INDEX('CIOG'!$O$10:$O$14,MATCH($F218,'CIOG'!$B$10:$B$14,0))),"N/A")</f>
        <v/>
      </c>
      <c r="R218" s="52">
        <f>IFERROR(IF(INDEX('MRE'!$O$10:$O$12,MATCH($F218,'MRE'!$B$10:$B$12,0))="","Cell will autofill based on response",INDEX('MRE'!$O$10:$O$12,MATCH($F218,'MRE'!$B$10:$B$12,0))),"N/A")</f>
        <v/>
      </c>
      <c r="S218" s="52">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2">
        <f>IFERROR(IF(INDEX('Faculties'!$P$10:$P$30,MATCH($F219,'Faculties'!$B$10:$B$30,0))="","Cell will autofill based on response",INDEX('Faculties'!$P$10:$P$30,MATCH($F219,'Faculties'!$B$10:$B$30,0))),"N/A")</f>
        <v/>
      </c>
      <c r="I219" s="52">
        <f>IFERROR(IF(INDEX('Faculties'!$P$37:$P$57,MATCH($F219,'Faculties'!$B$37:$B$57,0))="","Cell will autofill based on response",INDEX('Faculties'!$P$37:$P$57,MATCH($F219,'Faculties'!$B$37:$B$57,0))),"N/A")</f>
        <v/>
      </c>
      <c r="J219" s="52">
        <f>IFERROR(IF(INDEX('Faculties'!$P$64:$P$84,MATCH($F219,'Faculties'!$B$64:$B$84,0))="","Cell will autofill based on response",INDEX('Faculties'!$P$64:$P$84,MATCH($F219,'Faculties'!$B$64:$B$84,0))),"N/A")</f>
        <v/>
      </c>
      <c r="K219" s="52">
        <f>IFERROR(IF(INDEX('Faculties'!$P$91:$P$111,MATCH($F219,'Faculties'!$B$91:$B$111,0))="","Cell will autofill based on response",INDEX('Faculties'!$P$91:$P$111,MATCH($F219,'Faculties'!$B$91:$B$111,0))),"N/A")</f>
        <v/>
      </c>
      <c r="L219" s="52">
        <f>IFERROR(IF(INDEX('CI&amp;S'!$P$10:$P$15,MATCH($F219,'CI&amp;S'!$B$10:$B$15,0))="","Cell will autofill based on response",INDEX('CI&amp;S'!$P$10:$P$15,MATCH($F219,'CI&amp;S'!$B$10:$B$15,0))),"N/A")</f>
        <v/>
      </c>
      <c r="M219" s="52">
        <f>IFERROR(IF(INDEX('CI&amp;S'!$P$22:$P$39,MATCH($F219,'CI&amp;S'!$B$22:$B$39,0))="","Cell will autofill based on response",INDEX('CI&amp;S'!$P$22:$P$39,MATCH($F219,'CI&amp;S'!$B$22:$B$39,0))),"N/A")</f>
        <v/>
      </c>
      <c r="N219" s="52">
        <f>IFERROR(IF(INDEX('CFOG'!$P$10:$P$16,MATCH($F219,'CFOG'!$B$10:$B$16,0))="","Cell will autofill based on response",INDEX('CFOG'!$P$10:$P$16,MATCH($F219,'CFOG'!$B$10:$B$16,0))),"N/A")</f>
        <v/>
      </c>
      <c r="O219" s="52">
        <f>IFERROR(IF(INDEX('CFOG'!$P$23:$P$24,MATCH($F219,'CFOG'!$B$23:$B$24,0))="","Cell will autofill based on response",INDEX('CFOG'!$P$23:$P$24,MATCH($F219,'CFOG'!$B$23:$B$24,0))),"N/A")</f>
        <v/>
      </c>
      <c r="P219" s="52">
        <f>IFERROR(IF(INDEX('ESG'!$P$10:$P$17,MATCH($F219,'ESG'!$B$10:$B$17,0))="","Cell will autofill based on response",INDEX('ESG'!$P$10:$P$17,MATCH($F219,'ESG'!$B$10:$B$17,0))),"N/A")</f>
        <v/>
      </c>
      <c r="Q219" s="52">
        <f>IFERROR(IF(INDEX('CIOG'!$P$10:$P$14,MATCH($F219,'CIOG'!$B$10:$B$14,0))="","Cell will autofill based on response",INDEX('CIOG'!$P$10:$P$14,MATCH($F219,'CIOG'!$B$10:$B$14,0))),"N/A")</f>
        <v/>
      </c>
      <c r="R219" s="52">
        <f>IFERROR(IF(INDEX('MRE'!$P$10:$P$12,MATCH($F219,'MRE'!$B$10:$B$12,0))="","Cell will autofill based on response",INDEX('MRE'!$P$10:$P$12,MATCH($F219,'MRE'!$B$10:$B$12,0))),"N/A")</f>
        <v/>
      </c>
      <c r="S219" s="52">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2">
        <f>IFERROR(IF(INDEX('Faculties'!$Q$10:$Q$30,MATCH($F220,'Faculties'!$B$10:$B$30,0))="","Cell will autofill based on response",INDEX('Faculties'!$Q$10:$Q$30,MATCH($F220,'Faculties'!$B$10:$B$30,0))),"N/A")</f>
        <v/>
      </c>
      <c r="I220" s="52">
        <f>IFERROR(IF(INDEX('Faculties'!$Q$37:$Q$57,MATCH($F220,'Faculties'!$B$37:$B$57,0))="","Cell will autofill based on response",INDEX('Faculties'!$Q$37:$Q$57,MATCH($F220,'Faculties'!$B$37:$B$57,0))),"N/A")</f>
        <v/>
      </c>
      <c r="J220" s="52">
        <f>IFERROR(IF(INDEX('Faculties'!$Q$64:$Q$84,MATCH($F220,'Faculties'!$B$64:$B$84,0))="","Cell will autofill based on response",INDEX('Faculties'!$Q$64:$Q$84,MATCH($F220,'Faculties'!$B$64:$B$84,0))),"N/A")</f>
        <v/>
      </c>
      <c r="K220" s="52">
        <f>IFERROR(IF(INDEX('Faculties'!$Q$91:$Q$111,MATCH($F220,'Faculties'!$B$91:$B$111,0))="","Cell will autofill based on response",INDEX('Faculties'!$Q$91:$Q$111,MATCH($F220,'Faculties'!$B$91:$B$111,0))),"N/A")</f>
        <v/>
      </c>
      <c r="L220" s="52">
        <f>IFERROR(IF(INDEX('CI&amp;S'!$Q$10:$Q$15,MATCH($F220,'CI&amp;S'!$B$10:$B$15,0))="","Cell will autofill based on response",INDEX('CI&amp;S'!$Q$10:$Q$15,MATCH($F220,'CI&amp;S'!$B$10:$B$15,0))),"N/A")</f>
        <v/>
      </c>
      <c r="M220" s="52">
        <f>IFERROR(IF(INDEX('CI&amp;S'!$Q$22:$Q$39,MATCH($F220,'CI&amp;S'!$B$22:$B$39,0))="","Cell will autofill based on response",INDEX('CI&amp;S'!$Q$22:$Q$39,MATCH($F220,'CI&amp;S'!$B$22:$B$39,0))),"N/A")</f>
        <v/>
      </c>
      <c r="N220" s="52">
        <f>IFERROR(IF(INDEX('CFOG'!$Q$10:$Q$16,MATCH($F220,'CFOG'!$B$10:$B$16,0))="","Cell will autofill based on response",INDEX('CFOG'!$Q$10:$Q$16,MATCH($F220,'CFOG'!$B$10:$B$16,0))),"N/A")</f>
        <v/>
      </c>
      <c r="O220" s="52">
        <f>IFERROR(IF(INDEX('CFOG'!$Q$23:$Q$24,MATCH($F220,'CFOG'!$B$23:$B$24,0))="","Cell will autofill based on response",INDEX('CFOG'!$Q$23:$Q$24,MATCH($F220,'CFOG'!$B$23:$B$24,0))),"N/A")</f>
        <v/>
      </c>
      <c r="P220" s="52">
        <f>IFERROR(IF(INDEX('ESG'!$Q$10:$Q$17,MATCH($F220,'ESG'!$B$10:$B$17,0))="","Cell will autofill based on response",INDEX('ESG'!$Q$10:$Q$17,MATCH($F220,'ESG'!$B$10:$B$17,0))),"N/A")</f>
        <v/>
      </c>
      <c r="Q220" s="52">
        <f>IFERROR(IF(INDEX('CIOG'!$Q$10:$Q$14,MATCH($F220,'CIOG'!$B$10:$B$14,0))="","Cell will autofill based on response",INDEX('CIOG'!$Q$10:$Q$14,MATCH($F220,'CIOG'!$B$10:$B$14,0))),"N/A")</f>
        <v/>
      </c>
      <c r="R220" s="52">
        <f>IFERROR(IF(INDEX('MRE'!$Q$10:$Q$12,MATCH($F220,'MRE'!$B$10:$B$12,0))="","Cell will autofill based on response",INDEX('MRE'!$Q$10:$Q$12,MATCH($F220,'MRE'!$B$10:$B$12,0))),"N/A")</f>
        <v/>
      </c>
      <c r="S220" s="52">
        <f>IFERROR(IF(INDEX('L&amp;R'!$Q$10:$Q$11,MATCH($F220,'L&amp;R'!$B$10:$B$11,0))="","Cell will autofill based on response",INDEX('L&amp;R'!$Q$10:$Q$11,MATCH($F220,'L&amp;R'!$B$10:$B$11,0))),"N/A")</f>
        <v/>
      </c>
    </row>
    <row r="221">
      <c r="A221">
        <f>F221&amp;"|"&amp;G221</f>
        <v/>
      </c>
      <c r="B221" s="7" t="inlineStr">
        <is>
          <t>EN1(b)</t>
        </is>
      </c>
      <c r="C221" s="50" t="inlineStr">
        <is>
          <t>Enablers</t>
        </is>
      </c>
      <c r="D221" s="50" t="inlineStr">
        <is>
          <t>Living laboratories enabling applied learning, research and operational sustainability outcomes</t>
        </is>
      </c>
      <c r="E221" s="50" t="inlineStr">
        <is>
          <t>Comment on living labs in the Faculty - outputs, outcomes, and impact</t>
        </is>
      </c>
      <c r="F221" s="50" t="inlineStr">
        <is>
          <t>EN1(b)</t>
        </is>
      </c>
      <c r="G221" s="50" t="inlineStr">
        <is>
          <t>Confirm end-2026 target status</t>
        </is>
      </c>
      <c r="H221" s="52">
        <f>IFERROR(IF(INDEX('Faculties'!$L$10:$L$30,MATCH($F221,'Faculties'!$B$10:$B$30,0))="","Cell will autofill based on response",INDEX('Faculties'!$L$10:$L$30,MATCH($F221,'Faculties'!$B$10:$B$30,0))),"N/A")</f>
        <v/>
      </c>
      <c r="I221" s="52">
        <f>IFERROR(IF(INDEX('Faculties'!$L$37:$L$57,MATCH($F221,'Faculties'!$B$37:$B$57,0))="","Cell will autofill based on response",INDEX('Faculties'!$L$37:$L$57,MATCH($F221,'Faculties'!$B$37:$B$57,0))),"N/A")</f>
        <v/>
      </c>
      <c r="J221" s="52">
        <f>IFERROR(IF(INDEX('Faculties'!$L$64:$L$84,MATCH($F221,'Faculties'!$B$64:$B$84,0))="","Cell will autofill based on response",INDEX('Faculties'!$L$64:$L$84,MATCH($F221,'Faculties'!$B$64:$B$84,0))),"N/A")</f>
        <v/>
      </c>
      <c r="K221" s="52">
        <f>IFERROR(IF(INDEX('Faculties'!$L$91:$L$111,MATCH($F221,'Faculties'!$B$91:$B$111,0))="","Cell will autofill based on response",INDEX('Faculties'!$L$91:$L$111,MATCH($F221,'Faculties'!$B$91:$B$111,0))),"N/A")</f>
        <v/>
      </c>
      <c r="L221" s="52">
        <f>IFERROR(IF(INDEX('CI&amp;S'!$L$10:$L$15,MATCH($F221,'CI&amp;S'!$B$10:$B$15,0))="","Cell will autofill based on response",INDEX('CI&amp;S'!$L$10:$L$15,MATCH($F221,'CI&amp;S'!$B$10:$B$15,0))),"N/A")</f>
        <v/>
      </c>
      <c r="M221" s="52">
        <f>IFERROR(IF(INDEX('CI&amp;S'!$L$22:$L$39,MATCH($F221,'CI&amp;S'!$B$22:$B$39,0))="","Cell will autofill based on response",INDEX('CI&amp;S'!$L$22:$L$39,MATCH($F221,'CI&amp;S'!$B$22:$B$39,0))),"N/A")</f>
        <v/>
      </c>
      <c r="N221" s="52">
        <f>IFERROR(IF(INDEX('CFOG'!$L$10:$L$16,MATCH($F221,'CFOG'!$B$10:$B$16,0))="","Cell will autofill based on response",INDEX('CFOG'!$L$10:$L$16,MATCH($F221,'CFOG'!$B$10:$B$16,0))),"N/A")</f>
        <v/>
      </c>
      <c r="O221" s="52">
        <f>IFERROR(IF(INDEX('CFOG'!$L$23:$L$24,MATCH($F221,'CFOG'!$B$23:$B$24,0))="","Cell will autofill based on response",INDEX('CFOG'!$L$23:$L$24,MATCH($F221,'CFOG'!$B$23:$B$24,0))),"N/A")</f>
        <v/>
      </c>
      <c r="P221" s="52">
        <f>IFERROR(IF(INDEX('ESG'!$L$10:$L$17,MATCH($F221,'ESG'!$B$10:$B$17,0))="","Cell will autofill based on response",INDEX('ESG'!$L$10:$L$17,MATCH($F221,'ESG'!$B$10:$B$17,0))),"N/A")</f>
        <v/>
      </c>
      <c r="Q221" s="52">
        <f>IFERROR(IF(INDEX('CIOG'!$L$10:$L$14,MATCH($F221,'CIOG'!$B$10:$B$14,0))="","Cell will autofill based on response",INDEX('CIOG'!$L$10:$L$14,MATCH($F221,'CIOG'!$B$10:$B$14,0))),"N/A")</f>
        <v/>
      </c>
      <c r="R221" s="52">
        <f>IFERROR(IF(INDEX('MRE'!$L$10:$L$12,MATCH($F221,'MRE'!$B$10:$B$12,0))="","Cell will autofill based on response",INDEX('MRE'!$L$10:$L$12,MATCH($F221,'MRE'!$B$10:$B$12,0))),"N/A")</f>
        <v/>
      </c>
      <c r="S221" s="52">
        <f>IFERROR(IF(INDEX('L&amp;R'!$L$10:$L$11,MATCH($F221,'L&amp;R'!$B$10:$B$11,0))="","Cell will autofill based on response",INDEX('L&amp;R'!$L$10:$L$11,MATCH($F221,'L&amp;R'!$B$10:$B$11,0))),"N/A")</f>
        <v/>
      </c>
      <c r="U221" s="10">
        <f>COUNTIF($H221:$S221,"Cell will autofill based on response")</f>
        <v/>
      </c>
      <c r="V221" s="10">
        <f>COUNTIF($H221:$S221,"Not yet started")</f>
        <v/>
      </c>
      <c r="W221" s="10">
        <f>COUNTIF($H221:$S221,"Not met")</f>
        <v/>
      </c>
      <c r="X221" s="10">
        <f>COUNTIF($H221:$S221,"Partially met")</f>
        <v/>
      </c>
      <c r="Y221" s="10">
        <f>COUNTIF($H221:$S221,"Met or exceeded")</f>
        <v/>
      </c>
      <c r="Z221" s="10">
        <f>3*Y221+2*X221+W221</f>
        <v/>
      </c>
      <c r="AA221" s="10">
        <f>Y221+X221+W221+V221</f>
        <v/>
      </c>
      <c r="AB221" s="53">
        <f>IF(AA221&gt;0,Z221/AA221,"No valid responses to date")</f>
        <v/>
      </c>
      <c r="AC221" s="10">
        <f>IF(ISNUMBER(AB221),INDEX(Lists!$G$2:$G$5,MATCH(ROUND(AB221,0),Lists!$H$2:$H$5,0)),"")</f>
        <v/>
      </c>
      <c r="AD221" s="54">
        <f>IF(AA221&gt;0,Y221/AA221,"")</f>
        <v/>
      </c>
      <c r="AE221" s="54">
        <f>IF(AA221&gt;0,(Y221+X221)/AA221,"")</f>
        <v/>
      </c>
      <c r="AF221" s="10">
        <f>IF(AA221=0,"",IF(AD221&gt;0.75,"Met or exceeded",IF(AE221&gt;=0.5,"Partially met","Not met")))</f>
        <v/>
      </c>
    </row>
    <row r="222">
      <c r="A222">
        <f>F222&amp;"|"&amp;G222</f>
        <v/>
      </c>
      <c r="B222" s="13" t="inlineStr"/>
      <c r="C222" s="8" t="inlineStr"/>
      <c r="D222" s="8" t="inlineStr"/>
      <c r="E222" s="8" t="inlineStr"/>
      <c r="F222" s="8" t="inlineStr">
        <is>
          <t>EN1(b)</t>
        </is>
      </c>
      <c r="G222" s="8" t="inlineStr">
        <is>
          <t>OPTION 1:  Target-level reporting</t>
        </is>
      </c>
      <c r="H222" s="52">
        <f>IFERROR(IF(INDEX('Faculties'!$M$10:$M$30,MATCH($F222,'Faculties'!$B$10:$B$30,0))="","Cell will autofill based on response",INDEX('Faculties'!$M$10:$M$30,MATCH($F222,'Faculties'!$B$10:$B$30,0))),"N/A")</f>
        <v/>
      </c>
      <c r="I222" s="52">
        <f>IFERROR(IF(INDEX('Faculties'!$M$37:$M$57,MATCH($F222,'Faculties'!$B$37:$B$57,0))="","Cell will autofill based on response",INDEX('Faculties'!$M$37:$M$57,MATCH($F222,'Faculties'!$B$37:$B$57,0))),"N/A")</f>
        <v/>
      </c>
      <c r="J222" s="52">
        <f>IFERROR(IF(INDEX('Faculties'!$M$64:$M$84,MATCH($F222,'Faculties'!$B$64:$B$84,0))="","Cell will autofill based on response",INDEX('Faculties'!$M$64:$M$84,MATCH($F222,'Faculties'!$B$64:$B$84,0))),"N/A")</f>
        <v/>
      </c>
      <c r="K222" s="52">
        <f>IFERROR(IF(INDEX('Faculties'!$M$91:$M$111,MATCH($F222,'Faculties'!$B$91:$B$111,0))="","Cell will autofill based on response",INDEX('Faculties'!$M$91:$M$111,MATCH($F222,'Faculties'!$B$91:$B$111,0))),"N/A")</f>
        <v/>
      </c>
      <c r="L222" s="52">
        <f>IFERROR(IF(INDEX('CI&amp;S'!$M$10:$M$15,MATCH($F222,'CI&amp;S'!$B$10:$B$15,0))="","Cell will autofill based on response",INDEX('CI&amp;S'!$M$10:$M$15,MATCH($F222,'CI&amp;S'!$B$10:$B$15,0))),"N/A")</f>
        <v/>
      </c>
      <c r="M222" s="52">
        <f>IFERROR(IF(INDEX('CI&amp;S'!$M$22:$M$39,MATCH($F222,'CI&amp;S'!$B$22:$B$39,0))="","Cell will autofill based on response",INDEX('CI&amp;S'!$M$22:$M$39,MATCH($F222,'CI&amp;S'!$B$22:$B$39,0))),"N/A")</f>
        <v/>
      </c>
      <c r="N222" s="52">
        <f>IFERROR(IF(INDEX('CFOG'!$M$10:$M$16,MATCH($F222,'CFOG'!$B$10:$B$16,0))="","Cell will autofill based on response",INDEX('CFOG'!$M$10:$M$16,MATCH($F222,'CFOG'!$B$10:$B$16,0))),"N/A")</f>
        <v/>
      </c>
      <c r="O222" s="52">
        <f>IFERROR(IF(INDEX('CFOG'!$M$23:$M$24,MATCH($F222,'CFOG'!$B$23:$B$24,0))="","Cell will autofill based on response",INDEX('CFOG'!$M$23:$M$24,MATCH($F222,'CFOG'!$B$23:$B$24,0))),"N/A")</f>
        <v/>
      </c>
      <c r="P222" s="52">
        <f>IFERROR(IF(INDEX('ESG'!$M$10:$M$17,MATCH($F222,'ESG'!$B$10:$B$17,0))="","Cell will autofill based on response",INDEX('ESG'!$M$10:$M$17,MATCH($F222,'ESG'!$B$10:$B$17,0))),"N/A")</f>
        <v/>
      </c>
      <c r="Q222" s="52">
        <f>IFERROR(IF(INDEX('CIOG'!$M$10:$M$14,MATCH($F222,'CIOG'!$B$10:$B$14,0))="","Cell will autofill based on response",INDEX('CIOG'!$M$10:$M$14,MATCH($F222,'CIOG'!$B$10:$B$14,0))),"N/A")</f>
        <v/>
      </c>
      <c r="R222" s="52">
        <f>IFERROR(IF(INDEX('MRE'!$M$10:$M$12,MATCH($F222,'MRE'!$B$10:$B$12,0))="","Cell will autofill based on response",INDEX('MRE'!$M$10:$M$12,MATCH($F222,'MRE'!$B$10:$B$12,0))),"N/A")</f>
        <v/>
      </c>
      <c r="S222" s="52">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2">
        <f>IFERROR(IF(INDEX('Faculties'!$N$10:$N$30,MATCH($F223,'Faculties'!$B$10:$B$30,0))="","Cell will autofill based on response",INDEX('Faculties'!$N$10:$N$30,MATCH($F223,'Faculties'!$B$10:$B$30,0))),"N/A")</f>
        <v/>
      </c>
      <c r="I223" s="52">
        <f>IFERROR(IF(INDEX('Faculties'!$N$37:$N$57,MATCH($F223,'Faculties'!$B$37:$B$57,0))="","Cell will autofill based on response",INDEX('Faculties'!$N$37:$N$57,MATCH($F223,'Faculties'!$B$37:$B$57,0))),"N/A")</f>
        <v/>
      </c>
      <c r="J223" s="52">
        <f>IFERROR(IF(INDEX('Faculties'!$N$64:$N$84,MATCH($F223,'Faculties'!$B$64:$B$84,0))="","Cell will autofill based on response",INDEX('Faculties'!$N$64:$N$84,MATCH($F223,'Faculties'!$B$64:$B$84,0))),"N/A")</f>
        <v/>
      </c>
      <c r="K223" s="52">
        <f>IFERROR(IF(INDEX('Faculties'!$N$91:$N$111,MATCH($F223,'Faculties'!$B$91:$B$111,0))="","Cell will autofill based on response",INDEX('Faculties'!$N$91:$N$111,MATCH($F223,'Faculties'!$B$91:$B$111,0))),"N/A")</f>
        <v/>
      </c>
      <c r="L223" s="52">
        <f>IFERROR(IF(INDEX('CI&amp;S'!$N$10:$N$15,MATCH($F223,'CI&amp;S'!$B$10:$B$15,0))="","Cell will autofill based on response",INDEX('CI&amp;S'!$N$10:$N$15,MATCH($F223,'CI&amp;S'!$B$10:$B$15,0))),"N/A")</f>
        <v/>
      </c>
      <c r="M223" s="52">
        <f>IFERROR(IF(INDEX('CI&amp;S'!$N$22:$N$39,MATCH($F223,'CI&amp;S'!$B$22:$B$39,0))="","Cell will autofill based on response",INDEX('CI&amp;S'!$N$22:$N$39,MATCH($F223,'CI&amp;S'!$B$22:$B$39,0))),"N/A")</f>
        <v/>
      </c>
      <c r="N223" s="52">
        <f>IFERROR(IF(INDEX('CFOG'!$N$10:$N$16,MATCH($F223,'CFOG'!$B$10:$B$16,0))="","Cell will autofill based on response",INDEX('CFOG'!$N$10:$N$16,MATCH($F223,'CFOG'!$B$10:$B$16,0))),"N/A")</f>
        <v/>
      </c>
      <c r="O223" s="52">
        <f>IFERROR(IF(INDEX('CFOG'!$N$23:$N$24,MATCH($F223,'CFOG'!$B$23:$B$24,0))="","Cell will autofill based on response",INDEX('CFOG'!$N$23:$N$24,MATCH($F223,'CFOG'!$B$23:$B$24,0))),"N/A")</f>
        <v/>
      </c>
      <c r="P223" s="52">
        <f>IFERROR(IF(INDEX('ESG'!$N$10:$N$17,MATCH($F223,'ESG'!$B$10:$B$17,0))="","Cell will autofill based on response",INDEX('ESG'!$N$10:$N$17,MATCH($F223,'ESG'!$B$10:$B$17,0))),"N/A")</f>
        <v/>
      </c>
      <c r="Q223" s="52">
        <f>IFERROR(IF(INDEX('CIOG'!$N$10:$N$14,MATCH($F223,'CIOG'!$B$10:$B$14,0))="","Cell will autofill based on response",INDEX('CIOG'!$N$10:$N$14,MATCH($F223,'CIOG'!$B$10:$B$14,0))),"N/A")</f>
        <v/>
      </c>
      <c r="R223" s="52">
        <f>IFERROR(IF(INDEX('MRE'!$N$10:$N$12,MATCH($F223,'MRE'!$B$10:$B$12,0))="","Cell will autofill based on response",INDEX('MRE'!$N$10:$N$12,MATCH($F223,'MRE'!$B$10:$B$12,0))),"N/A")</f>
        <v/>
      </c>
      <c r="S223" s="52">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2">
        <f>IFERROR(IF(INDEX('Faculties'!$O$10:$O$30,MATCH($F224,'Faculties'!$B$10:$B$30,0))="","Cell will autofill based on response",INDEX('Faculties'!$O$10:$O$30,MATCH($F224,'Faculties'!$B$10:$B$30,0))),"N/A")</f>
        <v/>
      </c>
      <c r="I224" s="52">
        <f>IFERROR(IF(INDEX('Faculties'!$O$37:$O$57,MATCH($F224,'Faculties'!$B$37:$B$57,0))="","Cell will autofill based on response",INDEX('Faculties'!$O$37:$O$57,MATCH($F224,'Faculties'!$B$37:$B$57,0))),"N/A")</f>
        <v/>
      </c>
      <c r="J224" s="52">
        <f>IFERROR(IF(INDEX('Faculties'!$O$64:$O$84,MATCH($F224,'Faculties'!$B$64:$B$84,0))="","Cell will autofill based on response",INDEX('Faculties'!$O$64:$O$84,MATCH($F224,'Faculties'!$B$64:$B$84,0))),"N/A")</f>
        <v/>
      </c>
      <c r="K224" s="52">
        <f>IFERROR(IF(INDEX('Faculties'!$O$91:$O$111,MATCH($F224,'Faculties'!$B$91:$B$111,0))="","Cell will autofill based on response",INDEX('Faculties'!$O$91:$O$111,MATCH($F224,'Faculties'!$B$91:$B$111,0))),"N/A")</f>
        <v/>
      </c>
      <c r="L224" s="52">
        <f>IFERROR(IF(INDEX('CI&amp;S'!$O$10:$O$15,MATCH($F224,'CI&amp;S'!$B$10:$B$15,0))="","Cell will autofill based on response",INDEX('CI&amp;S'!$O$10:$O$15,MATCH($F224,'CI&amp;S'!$B$10:$B$15,0))),"N/A")</f>
        <v/>
      </c>
      <c r="M224" s="52">
        <f>IFERROR(IF(INDEX('CI&amp;S'!$O$22:$O$39,MATCH($F224,'CI&amp;S'!$B$22:$B$39,0))="","Cell will autofill based on response",INDEX('CI&amp;S'!$O$22:$O$39,MATCH($F224,'CI&amp;S'!$B$22:$B$39,0))),"N/A")</f>
        <v/>
      </c>
      <c r="N224" s="52">
        <f>IFERROR(IF(INDEX('CFOG'!$O$10:$O$16,MATCH($F224,'CFOG'!$B$10:$B$16,0))="","Cell will autofill based on response",INDEX('CFOG'!$O$10:$O$16,MATCH($F224,'CFOG'!$B$10:$B$16,0))),"N/A")</f>
        <v/>
      </c>
      <c r="O224" s="52">
        <f>IFERROR(IF(INDEX('CFOG'!$O$23:$O$24,MATCH($F224,'CFOG'!$B$23:$B$24,0))="","Cell will autofill based on response",INDEX('CFOG'!$O$23:$O$24,MATCH($F224,'CFOG'!$B$23:$B$24,0))),"N/A")</f>
        <v/>
      </c>
      <c r="P224" s="52">
        <f>IFERROR(IF(INDEX('ESG'!$O$10:$O$17,MATCH($F224,'ESG'!$B$10:$B$17,0))="","Cell will autofill based on response",INDEX('ESG'!$O$10:$O$17,MATCH($F224,'ESG'!$B$10:$B$17,0))),"N/A")</f>
        <v/>
      </c>
      <c r="Q224" s="52">
        <f>IFERROR(IF(INDEX('CIOG'!$O$10:$O$14,MATCH($F224,'CIOG'!$B$10:$B$14,0))="","Cell will autofill based on response",INDEX('CIOG'!$O$10:$O$14,MATCH($F224,'CIOG'!$B$10:$B$14,0))),"N/A")</f>
        <v/>
      </c>
      <c r="R224" s="52">
        <f>IFERROR(IF(INDEX('MRE'!$O$10:$O$12,MATCH($F224,'MRE'!$B$10:$B$12,0))="","Cell will autofill based on response",INDEX('MRE'!$O$10:$O$12,MATCH($F224,'MRE'!$B$10:$B$12,0))),"N/A")</f>
        <v/>
      </c>
      <c r="S224" s="52">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2">
        <f>IFERROR(IF(INDEX('Faculties'!$P$10:$P$30,MATCH($F225,'Faculties'!$B$10:$B$30,0))="","Cell will autofill based on response",INDEX('Faculties'!$P$10:$P$30,MATCH($F225,'Faculties'!$B$10:$B$30,0))),"N/A")</f>
        <v/>
      </c>
      <c r="I225" s="52">
        <f>IFERROR(IF(INDEX('Faculties'!$P$37:$P$57,MATCH($F225,'Faculties'!$B$37:$B$57,0))="","Cell will autofill based on response",INDEX('Faculties'!$P$37:$P$57,MATCH($F225,'Faculties'!$B$37:$B$57,0))),"N/A")</f>
        <v/>
      </c>
      <c r="J225" s="52">
        <f>IFERROR(IF(INDEX('Faculties'!$P$64:$P$84,MATCH($F225,'Faculties'!$B$64:$B$84,0))="","Cell will autofill based on response",INDEX('Faculties'!$P$64:$P$84,MATCH($F225,'Faculties'!$B$64:$B$84,0))),"N/A")</f>
        <v/>
      </c>
      <c r="K225" s="52">
        <f>IFERROR(IF(INDEX('Faculties'!$P$91:$P$111,MATCH($F225,'Faculties'!$B$91:$B$111,0))="","Cell will autofill based on response",INDEX('Faculties'!$P$91:$P$111,MATCH($F225,'Faculties'!$B$91:$B$111,0))),"N/A")</f>
        <v/>
      </c>
      <c r="L225" s="52">
        <f>IFERROR(IF(INDEX('CI&amp;S'!$P$10:$P$15,MATCH($F225,'CI&amp;S'!$B$10:$B$15,0))="","Cell will autofill based on response",INDEX('CI&amp;S'!$P$10:$P$15,MATCH($F225,'CI&amp;S'!$B$10:$B$15,0))),"N/A")</f>
        <v/>
      </c>
      <c r="M225" s="52">
        <f>IFERROR(IF(INDEX('CI&amp;S'!$P$22:$P$39,MATCH($F225,'CI&amp;S'!$B$22:$B$39,0))="","Cell will autofill based on response",INDEX('CI&amp;S'!$P$22:$P$39,MATCH($F225,'CI&amp;S'!$B$22:$B$39,0))),"N/A")</f>
        <v/>
      </c>
      <c r="N225" s="52">
        <f>IFERROR(IF(INDEX('CFOG'!$P$10:$P$16,MATCH($F225,'CFOG'!$B$10:$B$16,0))="","Cell will autofill based on response",INDEX('CFOG'!$P$10:$P$16,MATCH($F225,'CFOG'!$B$10:$B$16,0))),"N/A")</f>
        <v/>
      </c>
      <c r="O225" s="52">
        <f>IFERROR(IF(INDEX('CFOG'!$P$23:$P$24,MATCH($F225,'CFOG'!$B$23:$B$24,0))="","Cell will autofill based on response",INDEX('CFOG'!$P$23:$P$24,MATCH($F225,'CFOG'!$B$23:$B$24,0))),"N/A")</f>
        <v/>
      </c>
      <c r="P225" s="52">
        <f>IFERROR(IF(INDEX('ESG'!$P$10:$P$17,MATCH($F225,'ESG'!$B$10:$B$17,0))="","Cell will autofill based on response",INDEX('ESG'!$P$10:$P$17,MATCH($F225,'ESG'!$B$10:$B$17,0))),"N/A")</f>
        <v/>
      </c>
      <c r="Q225" s="52">
        <f>IFERROR(IF(INDEX('CIOG'!$P$10:$P$14,MATCH($F225,'CIOG'!$B$10:$B$14,0))="","Cell will autofill based on response",INDEX('CIOG'!$P$10:$P$14,MATCH($F225,'CIOG'!$B$10:$B$14,0))),"N/A")</f>
        <v/>
      </c>
      <c r="R225" s="52">
        <f>IFERROR(IF(INDEX('MRE'!$P$10:$P$12,MATCH($F225,'MRE'!$B$10:$B$12,0))="","Cell will autofill based on response",INDEX('MRE'!$P$10:$P$12,MATCH($F225,'MRE'!$B$10:$B$12,0))),"N/A")</f>
        <v/>
      </c>
      <c r="S225" s="52">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2">
        <f>IFERROR(IF(INDEX('Faculties'!$Q$10:$Q$30,MATCH($F226,'Faculties'!$B$10:$B$30,0))="","Cell will autofill based on response",INDEX('Faculties'!$Q$10:$Q$30,MATCH($F226,'Faculties'!$B$10:$B$30,0))),"N/A")</f>
        <v/>
      </c>
      <c r="I226" s="52">
        <f>IFERROR(IF(INDEX('Faculties'!$Q$37:$Q$57,MATCH($F226,'Faculties'!$B$37:$B$57,0))="","Cell will autofill based on response",INDEX('Faculties'!$Q$37:$Q$57,MATCH($F226,'Faculties'!$B$37:$B$57,0))),"N/A")</f>
        <v/>
      </c>
      <c r="J226" s="52">
        <f>IFERROR(IF(INDEX('Faculties'!$Q$64:$Q$84,MATCH($F226,'Faculties'!$B$64:$B$84,0))="","Cell will autofill based on response",INDEX('Faculties'!$Q$64:$Q$84,MATCH($F226,'Faculties'!$B$64:$B$84,0))),"N/A")</f>
        <v/>
      </c>
      <c r="K226" s="52">
        <f>IFERROR(IF(INDEX('Faculties'!$Q$91:$Q$111,MATCH($F226,'Faculties'!$B$91:$B$111,0))="","Cell will autofill based on response",INDEX('Faculties'!$Q$91:$Q$111,MATCH($F226,'Faculties'!$B$91:$B$111,0))),"N/A")</f>
        <v/>
      </c>
      <c r="L226" s="52">
        <f>IFERROR(IF(INDEX('CI&amp;S'!$Q$10:$Q$15,MATCH($F226,'CI&amp;S'!$B$10:$B$15,0))="","Cell will autofill based on response",INDEX('CI&amp;S'!$Q$10:$Q$15,MATCH($F226,'CI&amp;S'!$B$10:$B$15,0))),"N/A")</f>
        <v/>
      </c>
      <c r="M226" s="52">
        <f>IFERROR(IF(INDEX('CI&amp;S'!$Q$22:$Q$39,MATCH($F226,'CI&amp;S'!$B$22:$B$39,0))="","Cell will autofill based on response",INDEX('CI&amp;S'!$Q$22:$Q$39,MATCH($F226,'CI&amp;S'!$B$22:$B$39,0))),"N/A")</f>
        <v/>
      </c>
      <c r="N226" s="52">
        <f>IFERROR(IF(INDEX('CFOG'!$Q$10:$Q$16,MATCH($F226,'CFOG'!$B$10:$B$16,0))="","Cell will autofill based on response",INDEX('CFOG'!$Q$10:$Q$16,MATCH($F226,'CFOG'!$B$10:$B$16,0))),"N/A")</f>
        <v/>
      </c>
      <c r="O226" s="52">
        <f>IFERROR(IF(INDEX('CFOG'!$Q$23:$Q$24,MATCH($F226,'CFOG'!$B$23:$B$24,0))="","Cell will autofill based on response",INDEX('CFOG'!$Q$23:$Q$24,MATCH($F226,'CFOG'!$B$23:$B$24,0))),"N/A")</f>
        <v/>
      </c>
      <c r="P226" s="52">
        <f>IFERROR(IF(INDEX('ESG'!$Q$10:$Q$17,MATCH($F226,'ESG'!$B$10:$B$17,0))="","Cell will autofill based on response",INDEX('ESG'!$Q$10:$Q$17,MATCH($F226,'ESG'!$B$10:$B$17,0))),"N/A")</f>
        <v/>
      </c>
      <c r="Q226" s="52">
        <f>IFERROR(IF(INDEX('CIOG'!$Q$10:$Q$14,MATCH($F226,'CIOG'!$B$10:$B$14,0))="","Cell will autofill based on response",INDEX('CIOG'!$Q$10:$Q$14,MATCH($F226,'CIOG'!$B$10:$B$14,0))),"N/A")</f>
        <v/>
      </c>
      <c r="R226" s="52">
        <f>IFERROR(IF(INDEX('MRE'!$Q$10:$Q$12,MATCH($F226,'MRE'!$B$10:$B$12,0))="","Cell will autofill based on response",INDEX('MRE'!$Q$10:$Q$12,MATCH($F226,'MRE'!$B$10:$B$12,0))),"N/A")</f>
        <v/>
      </c>
      <c r="S226" s="52">
        <f>IFERROR(IF(INDEX('L&amp;R'!$Q$10:$Q$11,MATCH($F226,'L&amp;R'!$B$10:$B$11,0))="","Cell will autofill based on response",INDEX('L&amp;R'!$Q$10:$Q$11,MATCH($F226,'L&amp;R'!$B$10:$B$11,0))),"N/A")</f>
        <v/>
      </c>
    </row>
    <row r="227">
      <c r="A227">
        <f>F227&amp;"|"&amp;G227</f>
        <v/>
      </c>
      <c r="B227" s="7" t="inlineStr">
        <is>
          <t>EN1(c)</t>
        </is>
      </c>
      <c r="C227" s="50" t="inlineStr">
        <is>
          <t>Enablers</t>
        </is>
      </c>
      <c r="D227" s="50" t="inlineStr">
        <is>
          <t>Coordinated internal engagement and external partnerships contributing to delivery of sustainability outcomes across priority areas.</t>
        </is>
      </c>
      <c r="E227" s="50"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0" t="inlineStr">
        <is>
          <t>EN1(c)</t>
        </is>
      </c>
      <c r="G227" s="50" t="inlineStr">
        <is>
          <t>Confirm end-2026 target status</t>
        </is>
      </c>
      <c r="H227" s="52">
        <f>IFERROR(IF(INDEX('Faculties'!$L$10:$L$30,MATCH($F227,'Faculties'!$B$10:$B$30,0))="","Cell will autofill based on response",INDEX('Faculties'!$L$10:$L$30,MATCH($F227,'Faculties'!$B$10:$B$30,0))),"N/A")</f>
        <v/>
      </c>
      <c r="I227" s="52">
        <f>IFERROR(IF(INDEX('Faculties'!$L$37:$L$57,MATCH($F227,'Faculties'!$B$37:$B$57,0))="","Cell will autofill based on response",INDEX('Faculties'!$L$37:$L$57,MATCH($F227,'Faculties'!$B$37:$B$57,0))),"N/A")</f>
        <v/>
      </c>
      <c r="J227" s="52">
        <f>IFERROR(IF(INDEX('Faculties'!$L$64:$L$84,MATCH($F227,'Faculties'!$B$64:$B$84,0))="","Cell will autofill based on response",INDEX('Faculties'!$L$64:$L$84,MATCH($F227,'Faculties'!$B$64:$B$84,0))),"N/A")</f>
        <v/>
      </c>
      <c r="K227" s="52">
        <f>IFERROR(IF(INDEX('Faculties'!$L$91:$L$111,MATCH($F227,'Faculties'!$B$91:$B$111,0))="","Cell will autofill based on response",INDEX('Faculties'!$L$91:$L$111,MATCH($F227,'Faculties'!$B$91:$B$111,0))),"N/A")</f>
        <v/>
      </c>
      <c r="L227" s="52">
        <f>IFERROR(IF(INDEX('CI&amp;S'!$L$10:$L$15,MATCH($F227,'CI&amp;S'!$B$10:$B$15,0))="","Cell will autofill based on response",INDEX('CI&amp;S'!$L$10:$L$15,MATCH($F227,'CI&amp;S'!$B$10:$B$15,0))),"N/A")</f>
        <v/>
      </c>
      <c r="M227" s="52">
        <f>IFERROR(IF(INDEX('CI&amp;S'!$L$22:$L$39,MATCH($F227,'CI&amp;S'!$B$22:$B$39,0))="","Cell will autofill based on response",INDEX('CI&amp;S'!$L$22:$L$39,MATCH($F227,'CI&amp;S'!$B$22:$B$39,0))),"N/A")</f>
        <v/>
      </c>
      <c r="N227" s="52">
        <f>IFERROR(IF(INDEX('CFOG'!$L$10:$L$16,MATCH($F227,'CFOG'!$B$10:$B$16,0))="","Cell will autofill based on response",INDEX('CFOG'!$L$10:$L$16,MATCH($F227,'CFOG'!$B$10:$B$16,0))),"N/A")</f>
        <v/>
      </c>
      <c r="O227" s="52">
        <f>IFERROR(IF(INDEX('CFOG'!$L$23:$L$24,MATCH($F227,'CFOG'!$B$23:$B$24,0))="","Cell will autofill based on response",INDEX('CFOG'!$L$23:$L$24,MATCH($F227,'CFOG'!$B$23:$B$24,0))),"N/A")</f>
        <v/>
      </c>
      <c r="P227" s="52">
        <f>IFERROR(IF(INDEX('ESG'!$L$10:$L$17,MATCH($F227,'ESG'!$B$10:$B$17,0))="","Cell will autofill based on response",INDEX('ESG'!$L$10:$L$17,MATCH($F227,'ESG'!$B$10:$B$17,0))),"N/A")</f>
        <v/>
      </c>
      <c r="Q227" s="52">
        <f>IFERROR(IF(INDEX('CIOG'!$L$10:$L$14,MATCH($F227,'CIOG'!$B$10:$B$14,0))="","Cell will autofill based on response",INDEX('CIOG'!$L$10:$L$14,MATCH($F227,'CIOG'!$B$10:$B$14,0))),"N/A")</f>
        <v/>
      </c>
      <c r="R227" s="52">
        <f>IFERROR(IF(INDEX('MRE'!$L$10:$L$12,MATCH($F227,'MRE'!$B$10:$B$12,0))="","Cell will autofill based on response",INDEX('MRE'!$L$10:$L$12,MATCH($F227,'MRE'!$B$10:$B$12,0))),"N/A")</f>
        <v/>
      </c>
      <c r="S227" s="52">
        <f>IFERROR(IF(INDEX('L&amp;R'!$L$10:$L$11,MATCH($F227,'L&amp;R'!$B$10:$B$11,0))="","Cell will autofill based on response",INDEX('L&amp;R'!$L$10:$L$11,MATCH($F227,'L&amp;R'!$B$10:$B$11,0))),"N/A")</f>
        <v/>
      </c>
      <c r="U227" s="10">
        <f>COUNTIF($H227:$S227,"Cell will autofill based on response")</f>
        <v/>
      </c>
      <c r="V227" s="10">
        <f>COUNTIF($H227:$S227,"Not yet started")</f>
        <v/>
      </c>
      <c r="W227" s="10">
        <f>COUNTIF($H227:$S227,"Not met")</f>
        <v/>
      </c>
      <c r="X227" s="10">
        <f>COUNTIF($H227:$S227,"Partially met")</f>
        <v/>
      </c>
      <c r="Y227" s="10">
        <f>COUNTIF($H227:$S227,"Met or exceeded")</f>
        <v/>
      </c>
      <c r="Z227" s="10">
        <f>3*Y227+2*X227+W227</f>
        <v/>
      </c>
      <c r="AA227" s="10">
        <f>Y227+X227+W227+V227</f>
        <v/>
      </c>
      <c r="AB227" s="53">
        <f>IF(AA227&gt;0,Z227/AA227,"No valid responses to date")</f>
        <v/>
      </c>
      <c r="AC227" s="10">
        <f>IF(ISNUMBER(AB227),INDEX(Lists!$G$2:$G$5,MATCH(ROUND(AB227,0),Lists!$H$2:$H$5,0)),"")</f>
        <v/>
      </c>
      <c r="AD227" s="54">
        <f>IF(AA227&gt;0,Y227/AA227,"")</f>
        <v/>
      </c>
      <c r="AE227" s="54">
        <f>IF(AA227&gt;0,(Y227+X227)/AA227,"")</f>
        <v/>
      </c>
      <c r="AF227" s="10">
        <f>IF(AA227=0,"",IF(AD227&gt;0.75,"Met or exceeded",IF(AE227&gt;=0.5,"Partially met","Not met")))</f>
        <v/>
      </c>
    </row>
    <row r="228">
      <c r="A228">
        <f>F228&amp;"|"&amp;G228</f>
        <v/>
      </c>
      <c r="B228" s="13" t="inlineStr"/>
      <c r="C228" s="8" t="inlineStr"/>
      <c r="D228" s="8" t="inlineStr"/>
      <c r="E228" s="8" t="inlineStr"/>
      <c r="F228" s="8" t="inlineStr">
        <is>
          <t>EN1(c)</t>
        </is>
      </c>
      <c r="G228" s="8" t="inlineStr">
        <is>
          <t>OPTION 1:  Target-level reporting</t>
        </is>
      </c>
      <c r="H228" s="52">
        <f>IFERROR(IF(INDEX('Faculties'!$M$10:$M$30,MATCH($F228,'Faculties'!$B$10:$B$30,0))="","Cell will autofill based on response",INDEX('Faculties'!$M$10:$M$30,MATCH($F228,'Faculties'!$B$10:$B$30,0))),"N/A")</f>
        <v/>
      </c>
      <c r="I228" s="52">
        <f>IFERROR(IF(INDEX('Faculties'!$M$37:$M$57,MATCH($F228,'Faculties'!$B$37:$B$57,0))="","Cell will autofill based on response",INDEX('Faculties'!$M$37:$M$57,MATCH($F228,'Faculties'!$B$37:$B$57,0))),"N/A")</f>
        <v/>
      </c>
      <c r="J228" s="52">
        <f>IFERROR(IF(INDEX('Faculties'!$M$64:$M$84,MATCH($F228,'Faculties'!$B$64:$B$84,0))="","Cell will autofill based on response",INDEX('Faculties'!$M$64:$M$84,MATCH($F228,'Faculties'!$B$64:$B$84,0))),"N/A")</f>
        <v/>
      </c>
      <c r="K228" s="52">
        <f>IFERROR(IF(INDEX('Faculties'!$M$91:$M$111,MATCH($F228,'Faculties'!$B$91:$B$111,0))="","Cell will autofill based on response",INDEX('Faculties'!$M$91:$M$111,MATCH($F228,'Faculties'!$B$91:$B$111,0))),"N/A")</f>
        <v/>
      </c>
      <c r="L228" s="52">
        <f>IFERROR(IF(INDEX('CI&amp;S'!$M$10:$M$15,MATCH($F228,'CI&amp;S'!$B$10:$B$15,0))="","Cell will autofill based on response",INDEX('CI&amp;S'!$M$10:$M$15,MATCH($F228,'CI&amp;S'!$B$10:$B$15,0))),"N/A")</f>
        <v/>
      </c>
      <c r="M228" s="52">
        <f>IFERROR(IF(INDEX('CI&amp;S'!$M$22:$M$39,MATCH($F228,'CI&amp;S'!$B$22:$B$39,0))="","Cell will autofill based on response",INDEX('CI&amp;S'!$M$22:$M$39,MATCH($F228,'CI&amp;S'!$B$22:$B$39,0))),"N/A")</f>
        <v/>
      </c>
      <c r="N228" s="52">
        <f>IFERROR(IF(INDEX('CFOG'!$M$10:$M$16,MATCH($F228,'CFOG'!$B$10:$B$16,0))="","Cell will autofill based on response",INDEX('CFOG'!$M$10:$M$16,MATCH($F228,'CFOG'!$B$10:$B$16,0))),"N/A")</f>
        <v/>
      </c>
      <c r="O228" s="52">
        <f>IFERROR(IF(INDEX('CFOG'!$M$23:$M$24,MATCH($F228,'CFOG'!$B$23:$B$24,0))="","Cell will autofill based on response",INDEX('CFOG'!$M$23:$M$24,MATCH($F228,'CFOG'!$B$23:$B$24,0))),"N/A")</f>
        <v/>
      </c>
      <c r="P228" s="52">
        <f>IFERROR(IF(INDEX('ESG'!$M$10:$M$17,MATCH($F228,'ESG'!$B$10:$B$17,0))="","Cell will autofill based on response",INDEX('ESG'!$M$10:$M$17,MATCH($F228,'ESG'!$B$10:$B$17,0))),"N/A")</f>
        <v/>
      </c>
      <c r="Q228" s="52">
        <f>IFERROR(IF(INDEX('CIOG'!$M$10:$M$14,MATCH($F228,'CIOG'!$B$10:$B$14,0))="","Cell will autofill based on response",INDEX('CIOG'!$M$10:$M$14,MATCH($F228,'CIOG'!$B$10:$B$14,0))),"N/A")</f>
        <v/>
      </c>
      <c r="R228" s="52">
        <f>IFERROR(IF(INDEX('MRE'!$M$10:$M$12,MATCH($F228,'MRE'!$B$10:$B$12,0))="","Cell will autofill based on response",INDEX('MRE'!$M$10:$M$12,MATCH($F228,'MRE'!$B$10:$B$12,0))),"N/A")</f>
        <v/>
      </c>
      <c r="S228" s="52">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2">
        <f>IFERROR(IF(INDEX('Faculties'!$N$10:$N$30,MATCH($F229,'Faculties'!$B$10:$B$30,0))="","Cell will autofill based on response",INDEX('Faculties'!$N$10:$N$30,MATCH($F229,'Faculties'!$B$10:$B$30,0))),"N/A")</f>
        <v/>
      </c>
      <c r="I229" s="52">
        <f>IFERROR(IF(INDEX('Faculties'!$N$37:$N$57,MATCH($F229,'Faculties'!$B$37:$B$57,0))="","Cell will autofill based on response",INDEX('Faculties'!$N$37:$N$57,MATCH($F229,'Faculties'!$B$37:$B$57,0))),"N/A")</f>
        <v/>
      </c>
      <c r="J229" s="52">
        <f>IFERROR(IF(INDEX('Faculties'!$N$64:$N$84,MATCH($F229,'Faculties'!$B$64:$B$84,0))="","Cell will autofill based on response",INDEX('Faculties'!$N$64:$N$84,MATCH($F229,'Faculties'!$B$64:$B$84,0))),"N/A")</f>
        <v/>
      </c>
      <c r="K229" s="52">
        <f>IFERROR(IF(INDEX('Faculties'!$N$91:$N$111,MATCH($F229,'Faculties'!$B$91:$B$111,0))="","Cell will autofill based on response",INDEX('Faculties'!$N$91:$N$111,MATCH($F229,'Faculties'!$B$91:$B$111,0))),"N/A")</f>
        <v/>
      </c>
      <c r="L229" s="52">
        <f>IFERROR(IF(INDEX('CI&amp;S'!$N$10:$N$15,MATCH($F229,'CI&amp;S'!$B$10:$B$15,0))="","Cell will autofill based on response",INDEX('CI&amp;S'!$N$10:$N$15,MATCH($F229,'CI&amp;S'!$B$10:$B$15,0))),"N/A")</f>
        <v/>
      </c>
      <c r="M229" s="52">
        <f>IFERROR(IF(INDEX('CI&amp;S'!$N$22:$N$39,MATCH($F229,'CI&amp;S'!$B$22:$B$39,0))="","Cell will autofill based on response",INDEX('CI&amp;S'!$N$22:$N$39,MATCH($F229,'CI&amp;S'!$B$22:$B$39,0))),"N/A")</f>
        <v/>
      </c>
      <c r="N229" s="52">
        <f>IFERROR(IF(INDEX('CFOG'!$N$10:$N$16,MATCH($F229,'CFOG'!$B$10:$B$16,0))="","Cell will autofill based on response",INDEX('CFOG'!$N$10:$N$16,MATCH($F229,'CFOG'!$B$10:$B$16,0))),"N/A")</f>
        <v/>
      </c>
      <c r="O229" s="52">
        <f>IFERROR(IF(INDEX('CFOG'!$N$23:$N$24,MATCH($F229,'CFOG'!$B$23:$B$24,0))="","Cell will autofill based on response",INDEX('CFOG'!$N$23:$N$24,MATCH($F229,'CFOG'!$B$23:$B$24,0))),"N/A")</f>
        <v/>
      </c>
      <c r="P229" s="52">
        <f>IFERROR(IF(INDEX('ESG'!$N$10:$N$17,MATCH($F229,'ESG'!$B$10:$B$17,0))="","Cell will autofill based on response",INDEX('ESG'!$N$10:$N$17,MATCH($F229,'ESG'!$B$10:$B$17,0))),"N/A")</f>
        <v/>
      </c>
      <c r="Q229" s="52">
        <f>IFERROR(IF(INDEX('CIOG'!$N$10:$N$14,MATCH($F229,'CIOG'!$B$10:$B$14,0))="","Cell will autofill based on response",INDEX('CIOG'!$N$10:$N$14,MATCH($F229,'CIOG'!$B$10:$B$14,0))),"N/A")</f>
        <v/>
      </c>
      <c r="R229" s="52">
        <f>IFERROR(IF(INDEX('MRE'!$N$10:$N$12,MATCH($F229,'MRE'!$B$10:$B$12,0))="","Cell will autofill based on response",INDEX('MRE'!$N$10:$N$12,MATCH($F229,'MRE'!$B$10:$B$12,0))),"N/A")</f>
        <v/>
      </c>
      <c r="S229" s="52">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2">
        <f>IFERROR(IF(INDEX('Faculties'!$O$10:$O$30,MATCH($F230,'Faculties'!$B$10:$B$30,0))="","Cell will autofill based on response",INDEX('Faculties'!$O$10:$O$30,MATCH($F230,'Faculties'!$B$10:$B$30,0))),"N/A")</f>
        <v/>
      </c>
      <c r="I230" s="52">
        <f>IFERROR(IF(INDEX('Faculties'!$O$37:$O$57,MATCH($F230,'Faculties'!$B$37:$B$57,0))="","Cell will autofill based on response",INDEX('Faculties'!$O$37:$O$57,MATCH($F230,'Faculties'!$B$37:$B$57,0))),"N/A")</f>
        <v/>
      </c>
      <c r="J230" s="52">
        <f>IFERROR(IF(INDEX('Faculties'!$O$64:$O$84,MATCH($F230,'Faculties'!$B$64:$B$84,0))="","Cell will autofill based on response",INDEX('Faculties'!$O$64:$O$84,MATCH($F230,'Faculties'!$B$64:$B$84,0))),"N/A")</f>
        <v/>
      </c>
      <c r="K230" s="52">
        <f>IFERROR(IF(INDEX('Faculties'!$O$91:$O$111,MATCH($F230,'Faculties'!$B$91:$B$111,0))="","Cell will autofill based on response",INDEX('Faculties'!$O$91:$O$111,MATCH($F230,'Faculties'!$B$91:$B$111,0))),"N/A")</f>
        <v/>
      </c>
      <c r="L230" s="52">
        <f>IFERROR(IF(INDEX('CI&amp;S'!$O$10:$O$15,MATCH($F230,'CI&amp;S'!$B$10:$B$15,0))="","Cell will autofill based on response",INDEX('CI&amp;S'!$O$10:$O$15,MATCH($F230,'CI&amp;S'!$B$10:$B$15,0))),"N/A")</f>
        <v/>
      </c>
      <c r="M230" s="52">
        <f>IFERROR(IF(INDEX('CI&amp;S'!$O$22:$O$39,MATCH($F230,'CI&amp;S'!$B$22:$B$39,0))="","Cell will autofill based on response",INDEX('CI&amp;S'!$O$22:$O$39,MATCH($F230,'CI&amp;S'!$B$22:$B$39,0))),"N/A")</f>
        <v/>
      </c>
      <c r="N230" s="52">
        <f>IFERROR(IF(INDEX('CFOG'!$O$10:$O$16,MATCH($F230,'CFOG'!$B$10:$B$16,0))="","Cell will autofill based on response",INDEX('CFOG'!$O$10:$O$16,MATCH($F230,'CFOG'!$B$10:$B$16,0))),"N/A")</f>
        <v/>
      </c>
      <c r="O230" s="52">
        <f>IFERROR(IF(INDEX('CFOG'!$O$23:$O$24,MATCH($F230,'CFOG'!$B$23:$B$24,0))="","Cell will autofill based on response",INDEX('CFOG'!$O$23:$O$24,MATCH($F230,'CFOG'!$B$23:$B$24,0))),"N/A")</f>
        <v/>
      </c>
      <c r="P230" s="52">
        <f>IFERROR(IF(INDEX('ESG'!$O$10:$O$17,MATCH($F230,'ESG'!$B$10:$B$17,0))="","Cell will autofill based on response",INDEX('ESG'!$O$10:$O$17,MATCH($F230,'ESG'!$B$10:$B$17,0))),"N/A")</f>
        <v/>
      </c>
      <c r="Q230" s="52">
        <f>IFERROR(IF(INDEX('CIOG'!$O$10:$O$14,MATCH($F230,'CIOG'!$B$10:$B$14,0))="","Cell will autofill based on response",INDEX('CIOG'!$O$10:$O$14,MATCH($F230,'CIOG'!$B$10:$B$14,0))),"N/A")</f>
        <v/>
      </c>
      <c r="R230" s="52">
        <f>IFERROR(IF(INDEX('MRE'!$O$10:$O$12,MATCH($F230,'MRE'!$B$10:$B$12,0))="","Cell will autofill based on response",INDEX('MRE'!$O$10:$O$12,MATCH($F230,'MRE'!$B$10:$B$12,0))),"N/A")</f>
        <v/>
      </c>
      <c r="S230" s="52">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2">
        <f>IFERROR(IF(INDEX('Faculties'!$P$10:$P$30,MATCH($F231,'Faculties'!$B$10:$B$30,0))="","Cell will autofill based on response",INDEX('Faculties'!$P$10:$P$30,MATCH($F231,'Faculties'!$B$10:$B$30,0))),"N/A")</f>
        <v/>
      </c>
      <c r="I231" s="52">
        <f>IFERROR(IF(INDEX('Faculties'!$P$37:$P$57,MATCH($F231,'Faculties'!$B$37:$B$57,0))="","Cell will autofill based on response",INDEX('Faculties'!$P$37:$P$57,MATCH($F231,'Faculties'!$B$37:$B$57,0))),"N/A")</f>
        <v/>
      </c>
      <c r="J231" s="52">
        <f>IFERROR(IF(INDEX('Faculties'!$P$64:$P$84,MATCH($F231,'Faculties'!$B$64:$B$84,0))="","Cell will autofill based on response",INDEX('Faculties'!$P$64:$P$84,MATCH($F231,'Faculties'!$B$64:$B$84,0))),"N/A")</f>
        <v/>
      </c>
      <c r="K231" s="52">
        <f>IFERROR(IF(INDEX('Faculties'!$P$91:$P$111,MATCH($F231,'Faculties'!$B$91:$B$111,0))="","Cell will autofill based on response",INDEX('Faculties'!$P$91:$P$111,MATCH($F231,'Faculties'!$B$91:$B$111,0))),"N/A")</f>
        <v/>
      </c>
      <c r="L231" s="52">
        <f>IFERROR(IF(INDEX('CI&amp;S'!$P$10:$P$15,MATCH($F231,'CI&amp;S'!$B$10:$B$15,0))="","Cell will autofill based on response",INDEX('CI&amp;S'!$P$10:$P$15,MATCH($F231,'CI&amp;S'!$B$10:$B$15,0))),"N/A")</f>
        <v/>
      </c>
      <c r="M231" s="52">
        <f>IFERROR(IF(INDEX('CI&amp;S'!$P$22:$P$39,MATCH($F231,'CI&amp;S'!$B$22:$B$39,0))="","Cell will autofill based on response",INDEX('CI&amp;S'!$P$22:$P$39,MATCH($F231,'CI&amp;S'!$B$22:$B$39,0))),"N/A")</f>
        <v/>
      </c>
      <c r="N231" s="52">
        <f>IFERROR(IF(INDEX('CFOG'!$P$10:$P$16,MATCH($F231,'CFOG'!$B$10:$B$16,0))="","Cell will autofill based on response",INDEX('CFOG'!$P$10:$P$16,MATCH($F231,'CFOG'!$B$10:$B$16,0))),"N/A")</f>
        <v/>
      </c>
      <c r="O231" s="52">
        <f>IFERROR(IF(INDEX('CFOG'!$P$23:$P$24,MATCH($F231,'CFOG'!$B$23:$B$24,0))="","Cell will autofill based on response",INDEX('CFOG'!$P$23:$P$24,MATCH($F231,'CFOG'!$B$23:$B$24,0))),"N/A")</f>
        <v/>
      </c>
      <c r="P231" s="52">
        <f>IFERROR(IF(INDEX('ESG'!$P$10:$P$17,MATCH($F231,'ESG'!$B$10:$B$17,0))="","Cell will autofill based on response",INDEX('ESG'!$P$10:$P$17,MATCH($F231,'ESG'!$B$10:$B$17,0))),"N/A")</f>
        <v/>
      </c>
      <c r="Q231" s="52">
        <f>IFERROR(IF(INDEX('CIOG'!$P$10:$P$14,MATCH($F231,'CIOG'!$B$10:$B$14,0))="","Cell will autofill based on response",INDEX('CIOG'!$P$10:$P$14,MATCH($F231,'CIOG'!$B$10:$B$14,0))),"N/A")</f>
        <v/>
      </c>
      <c r="R231" s="52">
        <f>IFERROR(IF(INDEX('MRE'!$P$10:$P$12,MATCH($F231,'MRE'!$B$10:$B$12,0))="","Cell will autofill based on response",INDEX('MRE'!$P$10:$P$12,MATCH($F231,'MRE'!$B$10:$B$12,0))),"N/A")</f>
        <v/>
      </c>
      <c r="S231" s="52">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2">
        <f>IFERROR(IF(INDEX('Faculties'!$Q$10:$Q$30,MATCH($F232,'Faculties'!$B$10:$B$30,0))="","Cell will autofill based on response",INDEX('Faculties'!$Q$10:$Q$30,MATCH($F232,'Faculties'!$B$10:$B$30,0))),"N/A")</f>
        <v/>
      </c>
      <c r="I232" s="52">
        <f>IFERROR(IF(INDEX('Faculties'!$Q$37:$Q$57,MATCH($F232,'Faculties'!$B$37:$B$57,0))="","Cell will autofill based on response",INDEX('Faculties'!$Q$37:$Q$57,MATCH($F232,'Faculties'!$B$37:$B$57,0))),"N/A")</f>
        <v/>
      </c>
      <c r="J232" s="52">
        <f>IFERROR(IF(INDEX('Faculties'!$Q$64:$Q$84,MATCH($F232,'Faculties'!$B$64:$B$84,0))="","Cell will autofill based on response",INDEX('Faculties'!$Q$64:$Q$84,MATCH($F232,'Faculties'!$B$64:$B$84,0))),"N/A")</f>
        <v/>
      </c>
      <c r="K232" s="52">
        <f>IFERROR(IF(INDEX('Faculties'!$Q$91:$Q$111,MATCH($F232,'Faculties'!$B$91:$B$111,0))="","Cell will autofill based on response",INDEX('Faculties'!$Q$91:$Q$111,MATCH($F232,'Faculties'!$B$91:$B$111,0))),"N/A")</f>
        <v/>
      </c>
      <c r="L232" s="52">
        <f>IFERROR(IF(INDEX('CI&amp;S'!$Q$10:$Q$15,MATCH($F232,'CI&amp;S'!$B$10:$B$15,0))="","Cell will autofill based on response",INDEX('CI&amp;S'!$Q$10:$Q$15,MATCH($F232,'CI&amp;S'!$B$10:$B$15,0))),"N/A")</f>
        <v/>
      </c>
      <c r="M232" s="52">
        <f>IFERROR(IF(INDEX('CI&amp;S'!$Q$22:$Q$39,MATCH($F232,'CI&amp;S'!$B$22:$B$39,0))="","Cell will autofill based on response",INDEX('CI&amp;S'!$Q$22:$Q$39,MATCH($F232,'CI&amp;S'!$B$22:$B$39,0))),"N/A")</f>
        <v/>
      </c>
      <c r="N232" s="52">
        <f>IFERROR(IF(INDEX('CFOG'!$Q$10:$Q$16,MATCH($F232,'CFOG'!$B$10:$B$16,0))="","Cell will autofill based on response",INDEX('CFOG'!$Q$10:$Q$16,MATCH($F232,'CFOG'!$B$10:$B$16,0))),"N/A")</f>
        <v/>
      </c>
      <c r="O232" s="52">
        <f>IFERROR(IF(INDEX('CFOG'!$Q$23:$Q$24,MATCH($F232,'CFOG'!$B$23:$B$24,0))="","Cell will autofill based on response",INDEX('CFOG'!$Q$23:$Q$24,MATCH($F232,'CFOG'!$B$23:$B$24,0))),"N/A")</f>
        <v/>
      </c>
      <c r="P232" s="52">
        <f>IFERROR(IF(INDEX('ESG'!$Q$10:$Q$17,MATCH($F232,'ESG'!$B$10:$B$17,0))="","Cell will autofill based on response",INDEX('ESG'!$Q$10:$Q$17,MATCH($F232,'ESG'!$B$10:$B$17,0))),"N/A")</f>
        <v/>
      </c>
      <c r="Q232" s="52">
        <f>IFERROR(IF(INDEX('CIOG'!$Q$10:$Q$14,MATCH($F232,'CIOG'!$B$10:$B$14,0))="","Cell will autofill based on response",INDEX('CIOG'!$Q$10:$Q$14,MATCH($F232,'CIOG'!$B$10:$B$14,0))),"N/A")</f>
        <v/>
      </c>
      <c r="R232" s="52">
        <f>IFERROR(IF(INDEX('MRE'!$Q$10:$Q$12,MATCH($F232,'MRE'!$B$10:$B$12,0))="","Cell will autofill based on response",INDEX('MRE'!$Q$10:$Q$12,MATCH($F232,'MRE'!$B$10:$B$12,0))),"N/A")</f>
        <v/>
      </c>
      <c r="S232" s="52">
        <f>IFERROR(IF(INDEX('L&amp;R'!$Q$10:$Q$11,MATCH($F232,'L&amp;R'!$B$10:$B$11,0))="","Cell will autofill based on response",INDEX('L&amp;R'!$Q$10:$Q$11,MATCH($F232,'L&amp;R'!$B$10:$B$11,0))),"N/A")</f>
        <v/>
      </c>
    </row>
    <row r="233">
      <c r="A233">
        <f>F233&amp;"|"&amp;G233</f>
        <v/>
      </c>
      <c r="B233" s="7" t="inlineStr">
        <is>
          <t>EN1(d)</t>
        </is>
      </c>
      <c r="C233" s="50" t="inlineStr">
        <is>
          <t>Enablers</t>
        </is>
      </c>
      <c r="D233" s="50" t="inlineStr">
        <is>
          <t>Sustainability objectives integrated into governance and decision‑making processes, supported by transparent reporting.</t>
        </is>
      </c>
      <c r="E233" s="50"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0" t="inlineStr">
        <is>
          <t>EN1(d)</t>
        </is>
      </c>
      <c r="G233" s="50" t="inlineStr">
        <is>
          <t>Confirm end-2026 target status</t>
        </is>
      </c>
      <c r="H233" s="52">
        <f>IFERROR(IF(INDEX('Faculties'!$L$10:$L$30,MATCH($F233,'Faculties'!$B$10:$B$30,0))="","Cell will autofill based on response",INDEX('Faculties'!$L$10:$L$30,MATCH($F233,'Faculties'!$B$10:$B$30,0))),"N/A")</f>
        <v/>
      </c>
      <c r="I233" s="52">
        <f>IFERROR(IF(INDEX('Faculties'!$L$37:$L$57,MATCH($F233,'Faculties'!$B$37:$B$57,0))="","Cell will autofill based on response",INDEX('Faculties'!$L$37:$L$57,MATCH($F233,'Faculties'!$B$37:$B$57,0))),"N/A")</f>
        <v/>
      </c>
      <c r="J233" s="52">
        <f>IFERROR(IF(INDEX('Faculties'!$L$64:$L$84,MATCH($F233,'Faculties'!$B$64:$B$84,0))="","Cell will autofill based on response",INDEX('Faculties'!$L$64:$L$84,MATCH($F233,'Faculties'!$B$64:$B$84,0))),"N/A")</f>
        <v/>
      </c>
      <c r="K233" s="52">
        <f>IFERROR(IF(INDEX('Faculties'!$L$91:$L$111,MATCH($F233,'Faculties'!$B$91:$B$111,0))="","Cell will autofill based on response",INDEX('Faculties'!$L$91:$L$111,MATCH($F233,'Faculties'!$B$91:$B$111,0))),"N/A")</f>
        <v/>
      </c>
      <c r="L233" s="52">
        <f>IFERROR(IF(INDEX('CI&amp;S'!$L$10:$L$15,MATCH($F233,'CI&amp;S'!$B$10:$B$15,0))="","Cell will autofill based on response",INDEX('CI&amp;S'!$L$10:$L$15,MATCH($F233,'CI&amp;S'!$B$10:$B$15,0))),"N/A")</f>
        <v/>
      </c>
      <c r="M233" s="52">
        <f>IFERROR(IF(INDEX('CI&amp;S'!$L$22:$L$39,MATCH($F233,'CI&amp;S'!$B$22:$B$39,0))="","Cell will autofill based on response",INDEX('CI&amp;S'!$L$22:$L$39,MATCH($F233,'CI&amp;S'!$B$22:$B$39,0))),"N/A")</f>
        <v/>
      </c>
      <c r="N233" s="52">
        <f>IFERROR(IF(INDEX('CFOG'!$L$10:$L$16,MATCH($F233,'CFOG'!$B$10:$B$16,0))="","Cell will autofill based on response",INDEX('CFOG'!$L$10:$L$16,MATCH($F233,'CFOG'!$B$10:$B$16,0))),"N/A")</f>
        <v/>
      </c>
      <c r="O233" s="52">
        <f>IFERROR(IF(INDEX('CFOG'!$L$23:$L$24,MATCH($F233,'CFOG'!$B$23:$B$24,0))="","Cell will autofill based on response",INDEX('CFOG'!$L$23:$L$24,MATCH($F233,'CFOG'!$B$23:$B$24,0))),"N/A")</f>
        <v/>
      </c>
      <c r="P233" s="52">
        <f>IFERROR(IF(INDEX('ESG'!$L$10:$L$17,MATCH($F233,'ESG'!$B$10:$B$17,0))="","Cell will autofill based on response",INDEX('ESG'!$L$10:$L$17,MATCH($F233,'ESG'!$B$10:$B$17,0))),"N/A")</f>
        <v/>
      </c>
      <c r="Q233" s="52">
        <f>IFERROR(IF(INDEX('CIOG'!$L$10:$L$14,MATCH($F233,'CIOG'!$B$10:$B$14,0))="","Cell will autofill based on response",INDEX('CIOG'!$L$10:$L$14,MATCH($F233,'CIOG'!$B$10:$B$14,0))),"N/A")</f>
        <v/>
      </c>
      <c r="R233" s="52">
        <f>IFERROR(IF(INDEX('MRE'!$L$10:$L$12,MATCH($F233,'MRE'!$B$10:$B$12,0))="","Cell will autofill based on response",INDEX('MRE'!$L$10:$L$12,MATCH($F233,'MRE'!$B$10:$B$12,0))),"N/A")</f>
        <v/>
      </c>
      <c r="S233" s="52">
        <f>IFERROR(IF(INDEX('L&amp;R'!$L$10:$L$11,MATCH($F233,'L&amp;R'!$B$10:$B$11,0))="","Cell will autofill based on response",INDEX('L&amp;R'!$L$10:$L$11,MATCH($F233,'L&amp;R'!$B$10:$B$11,0))),"N/A")</f>
        <v/>
      </c>
      <c r="U233" s="10">
        <f>COUNTIF($H233:$S233,"Cell will autofill based on response")</f>
        <v/>
      </c>
      <c r="V233" s="10">
        <f>COUNTIF($H233:$S233,"Not yet started")</f>
        <v/>
      </c>
      <c r="W233" s="10">
        <f>COUNTIF($H233:$S233,"Not met")</f>
        <v/>
      </c>
      <c r="X233" s="10">
        <f>COUNTIF($H233:$S233,"Partially met")</f>
        <v/>
      </c>
      <c r="Y233" s="10">
        <f>COUNTIF($H233:$S233,"Met or exceeded")</f>
        <v/>
      </c>
      <c r="Z233" s="10">
        <f>3*Y233+2*X233+W233</f>
        <v/>
      </c>
      <c r="AA233" s="10">
        <f>Y233+X233+W233+V233</f>
        <v/>
      </c>
      <c r="AB233" s="53">
        <f>IF(AA233&gt;0,Z233/AA233,"No valid responses to date")</f>
        <v/>
      </c>
      <c r="AC233" s="10">
        <f>IF(ISNUMBER(AB233),INDEX(Lists!$G$2:$G$5,MATCH(ROUND(AB233,0),Lists!$H$2:$H$5,0)),"")</f>
        <v/>
      </c>
      <c r="AD233" s="54">
        <f>IF(AA233&gt;0,Y233/AA233,"")</f>
        <v/>
      </c>
      <c r="AE233" s="54">
        <f>IF(AA233&gt;0,(Y233+X233)/AA233,"")</f>
        <v/>
      </c>
      <c r="AF233" s="10">
        <f>IF(AA233=0,"",IF(AD233&gt;0.75,"Met or exceeded",IF(AE233&gt;=0.5,"Partially met","Not met")))</f>
        <v/>
      </c>
    </row>
    <row r="234">
      <c r="A234">
        <f>F234&amp;"|"&amp;G234</f>
        <v/>
      </c>
      <c r="B234" s="13" t="inlineStr"/>
      <c r="C234" s="8" t="inlineStr"/>
      <c r="D234" s="8" t="inlineStr"/>
      <c r="E234" s="8" t="inlineStr"/>
      <c r="F234" s="8" t="inlineStr">
        <is>
          <t>EN1(d)</t>
        </is>
      </c>
      <c r="G234" s="8" t="inlineStr">
        <is>
          <t>OPTION 1:  Target-level reporting</t>
        </is>
      </c>
      <c r="H234" s="52">
        <f>IFERROR(IF(INDEX('Faculties'!$M$10:$M$30,MATCH($F234,'Faculties'!$B$10:$B$30,0))="","Cell will autofill based on response",INDEX('Faculties'!$M$10:$M$30,MATCH($F234,'Faculties'!$B$10:$B$30,0))),"N/A")</f>
        <v/>
      </c>
      <c r="I234" s="52">
        <f>IFERROR(IF(INDEX('Faculties'!$M$37:$M$57,MATCH($F234,'Faculties'!$B$37:$B$57,0))="","Cell will autofill based on response",INDEX('Faculties'!$M$37:$M$57,MATCH($F234,'Faculties'!$B$37:$B$57,0))),"N/A")</f>
        <v/>
      </c>
      <c r="J234" s="52">
        <f>IFERROR(IF(INDEX('Faculties'!$M$64:$M$84,MATCH($F234,'Faculties'!$B$64:$B$84,0))="","Cell will autofill based on response",INDEX('Faculties'!$M$64:$M$84,MATCH($F234,'Faculties'!$B$64:$B$84,0))),"N/A")</f>
        <v/>
      </c>
      <c r="K234" s="52">
        <f>IFERROR(IF(INDEX('Faculties'!$M$91:$M$111,MATCH($F234,'Faculties'!$B$91:$B$111,0))="","Cell will autofill based on response",INDEX('Faculties'!$M$91:$M$111,MATCH($F234,'Faculties'!$B$91:$B$111,0))),"N/A")</f>
        <v/>
      </c>
      <c r="L234" s="52">
        <f>IFERROR(IF(INDEX('CI&amp;S'!$M$10:$M$15,MATCH($F234,'CI&amp;S'!$B$10:$B$15,0))="","Cell will autofill based on response",INDEX('CI&amp;S'!$M$10:$M$15,MATCH($F234,'CI&amp;S'!$B$10:$B$15,0))),"N/A")</f>
        <v/>
      </c>
      <c r="M234" s="52">
        <f>IFERROR(IF(INDEX('CI&amp;S'!$M$22:$M$39,MATCH($F234,'CI&amp;S'!$B$22:$B$39,0))="","Cell will autofill based on response",INDEX('CI&amp;S'!$M$22:$M$39,MATCH($F234,'CI&amp;S'!$B$22:$B$39,0))),"N/A")</f>
        <v/>
      </c>
      <c r="N234" s="52">
        <f>IFERROR(IF(INDEX('CFOG'!$M$10:$M$16,MATCH($F234,'CFOG'!$B$10:$B$16,0))="","Cell will autofill based on response",INDEX('CFOG'!$M$10:$M$16,MATCH($F234,'CFOG'!$B$10:$B$16,0))),"N/A")</f>
        <v/>
      </c>
      <c r="O234" s="52">
        <f>IFERROR(IF(INDEX('CFOG'!$M$23:$M$24,MATCH($F234,'CFOG'!$B$23:$B$24,0))="","Cell will autofill based on response",INDEX('CFOG'!$M$23:$M$24,MATCH($F234,'CFOG'!$B$23:$B$24,0))),"N/A")</f>
        <v/>
      </c>
      <c r="P234" s="52">
        <f>IFERROR(IF(INDEX('ESG'!$M$10:$M$17,MATCH($F234,'ESG'!$B$10:$B$17,0))="","Cell will autofill based on response",INDEX('ESG'!$M$10:$M$17,MATCH($F234,'ESG'!$B$10:$B$17,0))),"N/A")</f>
        <v/>
      </c>
      <c r="Q234" s="52">
        <f>IFERROR(IF(INDEX('CIOG'!$M$10:$M$14,MATCH($F234,'CIOG'!$B$10:$B$14,0))="","Cell will autofill based on response",INDEX('CIOG'!$M$10:$M$14,MATCH($F234,'CIOG'!$B$10:$B$14,0))),"N/A")</f>
        <v/>
      </c>
      <c r="R234" s="52">
        <f>IFERROR(IF(INDEX('MRE'!$M$10:$M$12,MATCH($F234,'MRE'!$B$10:$B$12,0))="","Cell will autofill based on response",INDEX('MRE'!$M$10:$M$12,MATCH($F234,'MRE'!$B$10:$B$12,0))),"N/A")</f>
        <v/>
      </c>
      <c r="S234" s="52">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2">
        <f>IFERROR(IF(INDEX('Faculties'!$N$10:$N$30,MATCH($F235,'Faculties'!$B$10:$B$30,0))="","Cell will autofill based on response",INDEX('Faculties'!$N$10:$N$30,MATCH($F235,'Faculties'!$B$10:$B$30,0))),"N/A")</f>
        <v/>
      </c>
      <c r="I235" s="52">
        <f>IFERROR(IF(INDEX('Faculties'!$N$37:$N$57,MATCH($F235,'Faculties'!$B$37:$B$57,0))="","Cell will autofill based on response",INDEX('Faculties'!$N$37:$N$57,MATCH($F235,'Faculties'!$B$37:$B$57,0))),"N/A")</f>
        <v/>
      </c>
      <c r="J235" s="52">
        <f>IFERROR(IF(INDEX('Faculties'!$N$64:$N$84,MATCH($F235,'Faculties'!$B$64:$B$84,0))="","Cell will autofill based on response",INDEX('Faculties'!$N$64:$N$84,MATCH($F235,'Faculties'!$B$64:$B$84,0))),"N/A")</f>
        <v/>
      </c>
      <c r="K235" s="52">
        <f>IFERROR(IF(INDEX('Faculties'!$N$91:$N$111,MATCH($F235,'Faculties'!$B$91:$B$111,0))="","Cell will autofill based on response",INDEX('Faculties'!$N$91:$N$111,MATCH($F235,'Faculties'!$B$91:$B$111,0))),"N/A")</f>
        <v/>
      </c>
      <c r="L235" s="52">
        <f>IFERROR(IF(INDEX('CI&amp;S'!$N$10:$N$15,MATCH($F235,'CI&amp;S'!$B$10:$B$15,0))="","Cell will autofill based on response",INDEX('CI&amp;S'!$N$10:$N$15,MATCH($F235,'CI&amp;S'!$B$10:$B$15,0))),"N/A")</f>
        <v/>
      </c>
      <c r="M235" s="52">
        <f>IFERROR(IF(INDEX('CI&amp;S'!$N$22:$N$39,MATCH($F235,'CI&amp;S'!$B$22:$B$39,0))="","Cell will autofill based on response",INDEX('CI&amp;S'!$N$22:$N$39,MATCH($F235,'CI&amp;S'!$B$22:$B$39,0))),"N/A")</f>
        <v/>
      </c>
      <c r="N235" s="52">
        <f>IFERROR(IF(INDEX('CFOG'!$N$10:$N$16,MATCH($F235,'CFOG'!$B$10:$B$16,0))="","Cell will autofill based on response",INDEX('CFOG'!$N$10:$N$16,MATCH($F235,'CFOG'!$B$10:$B$16,0))),"N/A")</f>
        <v/>
      </c>
      <c r="O235" s="52">
        <f>IFERROR(IF(INDEX('CFOG'!$N$23:$N$24,MATCH($F235,'CFOG'!$B$23:$B$24,0))="","Cell will autofill based on response",INDEX('CFOG'!$N$23:$N$24,MATCH($F235,'CFOG'!$B$23:$B$24,0))),"N/A")</f>
        <v/>
      </c>
      <c r="P235" s="52">
        <f>IFERROR(IF(INDEX('ESG'!$N$10:$N$17,MATCH($F235,'ESG'!$B$10:$B$17,0))="","Cell will autofill based on response",INDEX('ESG'!$N$10:$N$17,MATCH($F235,'ESG'!$B$10:$B$17,0))),"N/A")</f>
        <v/>
      </c>
      <c r="Q235" s="52">
        <f>IFERROR(IF(INDEX('CIOG'!$N$10:$N$14,MATCH($F235,'CIOG'!$B$10:$B$14,0))="","Cell will autofill based on response",INDEX('CIOG'!$N$10:$N$14,MATCH($F235,'CIOG'!$B$10:$B$14,0))),"N/A")</f>
        <v/>
      </c>
      <c r="R235" s="52">
        <f>IFERROR(IF(INDEX('MRE'!$N$10:$N$12,MATCH($F235,'MRE'!$B$10:$B$12,0))="","Cell will autofill based on response",INDEX('MRE'!$N$10:$N$12,MATCH($F235,'MRE'!$B$10:$B$12,0))),"N/A")</f>
        <v/>
      </c>
      <c r="S235" s="52">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2">
        <f>IFERROR(IF(INDEX('Faculties'!$O$10:$O$30,MATCH($F236,'Faculties'!$B$10:$B$30,0))="","Cell will autofill based on response",INDEX('Faculties'!$O$10:$O$30,MATCH($F236,'Faculties'!$B$10:$B$30,0))),"N/A")</f>
        <v/>
      </c>
      <c r="I236" s="52">
        <f>IFERROR(IF(INDEX('Faculties'!$O$37:$O$57,MATCH($F236,'Faculties'!$B$37:$B$57,0))="","Cell will autofill based on response",INDEX('Faculties'!$O$37:$O$57,MATCH($F236,'Faculties'!$B$37:$B$57,0))),"N/A")</f>
        <v/>
      </c>
      <c r="J236" s="52">
        <f>IFERROR(IF(INDEX('Faculties'!$O$64:$O$84,MATCH($F236,'Faculties'!$B$64:$B$84,0))="","Cell will autofill based on response",INDEX('Faculties'!$O$64:$O$84,MATCH($F236,'Faculties'!$B$64:$B$84,0))),"N/A")</f>
        <v/>
      </c>
      <c r="K236" s="52">
        <f>IFERROR(IF(INDEX('Faculties'!$O$91:$O$111,MATCH($F236,'Faculties'!$B$91:$B$111,0))="","Cell will autofill based on response",INDEX('Faculties'!$O$91:$O$111,MATCH($F236,'Faculties'!$B$91:$B$111,0))),"N/A")</f>
        <v/>
      </c>
      <c r="L236" s="52">
        <f>IFERROR(IF(INDEX('CI&amp;S'!$O$10:$O$15,MATCH($F236,'CI&amp;S'!$B$10:$B$15,0))="","Cell will autofill based on response",INDEX('CI&amp;S'!$O$10:$O$15,MATCH($F236,'CI&amp;S'!$B$10:$B$15,0))),"N/A")</f>
        <v/>
      </c>
      <c r="M236" s="52">
        <f>IFERROR(IF(INDEX('CI&amp;S'!$O$22:$O$39,MATCH($F236,'CI&amp;S'!$B$22:$B$39,0))="","Cell will autofill based on response",INDEX('CI&amp;S'!$O$22:$O$39,MATCH($F236,'CI&amp;S'!$B$22:$B$39,0))),"N/A")</f>
        <v/>
      </c>
      <c r="N236" s="52">
        <f>IFERROR(IF(INDEX('CFOG'!$O$10:$O$16,MATCH($F236,'CFOG'!$B$10:$B$16,0))="","Cell will autofill based on response",INDEX('CFOG'!$O$10:$O$16,MATCH($F236,'CFOG'!$B$10:$B$16,0))),"N/A")</f>
        <v/>
      </c>
      <c r="O236" s="52">
        <f>IFERROR(IF(INDEX('CFOG'!$O$23:$O$24,MATCH($F236,'CFOG'!$B$23:$B$24,0))="","Cell will autofill based on response",INDEX('CFOG'!$O$23:$O$24,MATCH($F236,'CFOG'!$B$23:$B$24,0))),"N/A")</f>
        <v/>
      </c>
      <c r="P236" s="52">
        <f>IFERROR(IF(INDEX('ESG'!$O$10:$O$17,MATCH($F236,'ESG'!$B$10:$B$17,0))="","Cell will autofill based on response",INDEX('ESG'!$O$10:$O$17,MATCH($F236,'ESG'!$B$10:$B$17,0))),"N/A")</f>
        <v/>
      </c>
      <c r="Q236" s="52">
        <f>IFERROR(IF(INDEX('CIOG'!$O$10:$O$14,MATCH($F236,'CIOG'!$B$10:$B$14,0))="","Cell will autofill based on response",INDEX('CIOG'!$O$10:$O$14,MATCH($F236,'CIOG'!$B$10:$B$14,0))),"N/A")</f>
        <v/>
      </c>
      <c r="R236" s="52">
        <f>IFERROR(IF(INDEX('MRE'!$O$10:$O$12,MATCH($F236,'MRE'!$B$10:$B$12,0))="","Cell will autofill based on response",INDEX('MRE'!$O$10:$O$12,MATCH($F236,'MRE'!$B$10:$B$12,0))),"N/A")</f>
        <v/>
      </c>
      <c r="S236" s="52">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2">
        <f>IFERROR(IF(INDEX('Faculties'!$P$10:$P$30,MATCH($F237,'Faculties'!$B$10:$B$30,0))="","Cell will autofill based on response",INDEX('Faculties'!$P$10:$P$30,MATCH($F237,'Faculties'!$B$10:$B$30,0))),"N/A")</f>
        <v/>
      </c>
      <c r="I237" s="52">
        <f>IFERROR(IF(INDEX('Faculties'!$P$37:$P$57,MATCH($F237,'Faculties'!$B$37:$B$57,0))="","Cell will autofill based on response",INDEX('Faculties'!$P$37:$P$57,MATCH($F237,'Faculties'!$B$37:$B$57,0))),"N/A")</f>
        <v/>
      </c>
      <c r="J237" s="52">
        <f>IFERROR(IF(INDEX('Faculties'!$P$64:$P$84,MATCH($F237,'Faculties'!$B$64:$B$84,0))="","Cell will autofill based on response",INDEX('Faculties'!$P$64:$P$84,MATCH($F237,'Faculties'!$B$64:$B$84,0))),"N/A")</f>
        <v/>
      </c>
      <c r="K237" s="52">
        <f>IFERROR(IF(INDEX('Faculties'!$P$91:$P$111,MATCH($F237,'Faculties'!$B$91:$B$111,0))="","Cell will autofill based on response",INDEX('Faculties'!$P$91:$P$111,MATCH($F237,'Faculties'!$B$91:$B$111,0))),"N/A")</f>
        <v/>
      </c>
      <c r="L237" s="52">
        <f>IFERROR(IF(INDEX('CI&amp;S'!$P$10:$P$15,MATCH($F237,'CI&amp;S'!$B$10:$B$15,0))="","Cell will autofill based on response",INDEX('CI&amp;S'!$P$10:$P$15,MATCH($F237,'CI&amp;S'!$B$10:$B$15,0))),"N/A")</f>
        <v/>
      </c>
      <c r="M237" s="52">
        <f>IFERROR(IF(INDEX('CI&amp;S'!$P$22:$P$39,MATCH($F237,'CI&amp;S'!$B$22:$B$39,0))="","Cell will autofill based on response",INDEX('CI&amp;S'!$P$22:$P$39,MATCH($F237,'CI&amp;S'!$B$22:$B$39,0))),"N/A")</f>
        <v/>
      </c>
      <c r="N237" s="52">
        <f>IFERROR(IF(INDEX('CFOG'!$P$10:$P$16,MATCH($F237,'CFOG'!$B$10:$B$16,0))="","Cell will autofill based on response",INDEX('CFOG'!$P$10:$P$16,MATCH($F237,'CFOG'!$B$10:$B$16,0))),"N/A")</f>
        <v/>
      </c>
      <c r="O237" s="52">
        <f>IFERROR(IF(INDEX('CFOG'!$P$23:$P$24,MATCH($F237,'CFOG'!$B$23:$B$24,0))="","Cell will autofill based on response",INDEX('CFOG'!$P$23:$P$24,MATCH($F237,'CFOG'!$B$23:$B$24,0))),"N/A")</f>
        <v/>
      </c>
      <c r="P237" s="52">
        <f>IFERROR(IF(INDEX('ESG'!$P$10:$P$17,MATCH($F237,'ESG'!$B$10:$B$17,0))="","Cell will autofill based on response",INDEX('ESG'!$P$10:$P$17,MATCH($F237,'ESG'!$B$10:$B$17,0))),"N/A")</f>
        <v/>
      </c>
      <c r="Q237" s="52">
        <f>IFERROR(IF(INDEX('CIOG'!$P$10:$P$14,MATCH($F237,'CIOG'!$B$10:$B$14,0))="","Cell will autofill based on response",INDEX('CIOG'!$P$10:$P$14,MATCH($F237,'CIOG'!$B$10:$B$14,0))),"N/A")</f>
        <v/>
      </c>
      <c r="R237" s="52">
        <f>IFERROR(IF(INDEX('MRE'!$P$10:$P$12,MATCH($F237,'MRE'!$B$10:$B$12,0))="","Cell will autofill based on response",INDEX('MRE'!$P$10:$P$12,MATCH($F237,'MRE'!$B$10:$B$12,0))),"N/A")</f>
        <v/>
      </c>
      <c r="S237" s="52">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2">
        <f>IFERROR(IF(INDEX('Faculties'!$Q$10:$Q$30,MATCH($F238,'Faculties'!$B$10:$B$30,0))="","Cell will autofill based on response",INDEX('Faculties'!$Q$10:$Q$30,MATCH($F238,'Faculties'!$B$10:$B$30,0))),"N/A")</f>
        <v/>
      </c>
      <c r="I238" s="52">
        <f>IFERROR(IF(INDEX('Faculties'!$Q$37:$Q$57,MATCH($F238,'Faculties'!$B$37:$B$57,0))="","Cell will autofill based on response",INDEX('Faculties'!$Q$37:$Q$57,MATCH($F238,'Faculties'!$B$37:$B$57,0))),"N/A")</f>
        <v/>
      </c>
      <c r="J238" s="52">
        <f>IFERROR(IF(INDEX('Faculties'!$Q$64:$Q$84,MATCH($F238,'Faculties'!$B$64:$B$84,0))="","Cell will autofill based on response",INDEX('Faculties'!$Q$64:$Q$84,MATCH($F238,'Faculties'!$B$64:$B$84,0))),"N/A")</f>
        <v/>
      </c>
      <c r="K238" s="52">
        <f>IFERROR(IF(INDEX('Faculties'!$Q$91:$Q$111,MATCH($F238,'Faculties'!$B$91:$B$111,0))="","Cell will autofill based on response",INDEX('Faculties'!$Q$91:$Q$111,MATCH($F238,'Faculties'!$B$91:$B$111,0))),"N/A")</f>
        <v/>
      </c>
      <c r="L238" s="52">
        <f>IFERROR(IF(INDEX('CI&amp;S'!$Q$10:$Q$15,MATCH($F238,'CI&amp;S'!$B$10:$B$15,0))="","Cell will autofill based on response",INDEX('CI&amp;S'!$Q$10:$Q$15,MATCH($F238,'CI&amp;S'!$B$10:$B$15,0))),"N/A")</f>
        <v/>
      </c>
      <c r="M238" s="52">
        <f>IFERROR(IF(INDEX('CI&amp;S'!$Q$22:$Q$39,MATCH($F238,'CI&amp;S'!$B$22:$B$39,0))="","Cell will autofill based on response",INDEX('CI&amp;S'!$Q$22:$Q$39,MATCH($F238,'CI&amp;S'!$B$22:$B$39,0))),"N/A")</f>
        <v/>
      </c>
      <c r="N238" s="52">
        <f>IFERROR(IF(INDEX('CFOG'!$Q$10:$Q$16,MATCH($F238,'CFOG'!$B$10:$B$16,0))="","Cell will autofill based on response",INDEX('CFOG'!$Q$10:$Q$16,MATCH($F238,'CFOG'!$B$10:$B$16,0))),"N/A")</f>
        <v/>
      </c>
      <c r="O238" s="52">
        <f>IFERROR(IF(INDEX('CFOG'!$Q$23:$Q$24,MATCH($F238,'CFOG'!$B$23:$B$24,0))="","Cell will autofill based on response",INDEX('CFOG'!$Q$23:$Q$24,MATCH($F238,'CFOG'!$B$23:$B$24,0))),"N/A")</f>
        <v/>
      </c>
      <c r="P238" s="52">
        <f>IFERROR(IF(INDEX('ESG'!$Q$10:$Q$17,MATCH($F238,'ESG'!$B$10:$B$17,0))="","Cell will autofill based on response",INDEX('ESG'!$Q$10:$Q$17,MATCH($F238,'ESG'!$B$10:$B$17,0))),"N/A")</f>
        <v/>
      </c>
      <c r="Q238" s="52">
        <f>IFERROR(IF(INDEX('CIOG'!$Q$10:$Q$14,MATCH($F238,'CIOG'!$B$10:$B$14,0))="","Cell will autofill based on response",INDEX('CIOG'!$Q$10:$Q$14,MATCH($F238,'CIOG'!$B$10:$B$14,0))),"N/A")</f>
        <v/>
      </c>
      <c r="R238" s="52">
        <f>IFERROR(IF(INDEX('MRE'!$Q$10:$Q$12,MATCH($F238,'MRE'!$B$10:$B$12,0))="","Cell will autofill based on response",INDEX('MRE'!$Q$10:$Q$12,MATCH($F238,'MRE'!$B$10:$B$12,0))),"N/A")</f>
        <v/>
      </c>
      <c r="S238" s="52">
        <f>IFERROR(IF(INDEX('L&amp;R'!$Q$10:$Q$11,MATCH($F238,'L&amp;R'!$B$10:$B$11,0))="","Cell will autofill based on response",INDEX('L&amp;R'!$Q$10:$Q$11,MATCH($F238,'L&amp;R'!$B$10:$B$11,0))),"N/A")</f>
        <v/>
      </c>
    </row>
  </sheetData>
  <autoFilter ref="B10:AF238"/>
  <mergeCells count="1">
    <mergeCell ref="D4:N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Legal &amp; Risk – Risk &amp; resilience</t>
        </is>
      </c>
      <c r="O6" s="6" t="inlineStr">
        <is>
          <t>No. of units requested</t>
        </is>
      </c>
    </row>
    <row r="7">
      <c r="B7" s="7" t="inlineStr">
        <is>
          <t>EE1(a)</t>
        </is>
      </c>
      <c r="C7" s="55">
        <f>IF('A1. Data scoring'!H11&lt;&gt;"N/A","Yes","No")</f>
        <v/>
      </c>
      <c r="D7" s="55">
        <f>IF('A1. Data scoring'!I11&lt;&gt;"N/A","Yes","No")</f>
        <v/>
      </c>
      <c r="E7" s="55">
        <f>IF('A1. Data scoring'!J11&lt;&gt;"N/A","Yes","No")</f>
        <v/>
      </c>
      <c r="F7" s="55">
        <f>IF('A1. Data scoring'!K11&lt;&gt;"N/A","Yes","No")</f>
        <v/>
      </c>
      <c r="G7" s="55">
        <f>IF('A1. Data scoring'!L11&lt;&gt;"N/A","Yes","No")</f>
        <v/>
      </c>
      <c r="H7" s="55">
        <f>IF('A1. Data scoring'!M11&lt;&gt;"N/A","Yes","No")</f>
        <v/>
      </c>
      <c r="I7" s="55">
        <f>IF('A1. Data scoring'!N11&lt;&gt;"N/A","Yes","No")</f>
        <v/>
      </c>
      <c r="J7" s="55">
        <f>IF('A1. Data scoring'!O11&lt;&gt;"N/A","Yes","No")</f>
        <v/>
      </c>
      <c r="K7" s="55">
        <f>IF('A1. Data scoring'!P11&lt;&gt;"N/A","Yes","No")</f>
        <v/>
      </c>
      <c r="L7" s="55">
        <f>IF('A1. Data scoring'!Q11&lt;&gt;"N/A","Yes","No")</f>
        <v/>
      </c>
      <c r="M7" s="55">
        <f>IF('A1. Data scoring'!R11&lt;&gt;"N/A","Yes","No")</f>
        <v/>
      </c>
      <c r="N7" s="55">
        <f>IF('A1. Data scoring'!S11&lt;&gt;"N/A","Yes","No")</f>
        <v/>
      </c>
      <c r="O7" s="8">
        <f>COUNTIF(C7:N7,"Yes")</f>
        <v/>
      </c>
    </row>
    <row r="8">
      <c r="B8" s="7" t="inlineStr">
        <is>
          <t>EE1(b)</t>
        </is>
      </c>
      <c r="C8" s="55">
        <f>IF('A1. Data scoring'!H17&lt;&gt;"N/A","Yes","No")</f>
        <v/>
      </c>
      <c r="D8" s="55">
        <f>IF('A1. Data scoring'!I17&lt;&gt;"N/A","Yes","No")</f>
        <v/>
      </c>
      <c r="E8" s="55">
        <f>IF('A1. Data scoring'!J17&lt;&gt;"N/A","Yes","No")</f>
        <v/>
      </c>
      <c r="F8" s="55">
        <f>IF('A1. Data scoring'!K17&lt;&gt;"N/A","Yes","No")</f>
        <v/>
      </c>
      <c r="G8" s="55">
        <f>IF('A1. Data scoring'!L17&lt;&gt;"N/A","Yes","No")</f>
        <v/>
      </c>
      <c r="H8" s="55">
        <f>IF('A1. Data scoring'!M17&lt;&gt;"N/A","Yes","No")</f>
        <v/>
      </c>
      <c r="I8" s="55">
        <f>IF('A1. Data scoring'!N17&lt;&gt;"N/A","Yes","No")</f>
        <v/>
      </c>
      <c r="J8" s="55">
        <f>IF('A1. Data scoring'!O17&lt;&gt;"N/A","Yes","No")</f>
        <v/>
      </c>
      <c r="K8" s="55">
        <f>IF('A1. Data scoring'!P17&lt;&gt;"N/A","Yes","No")</f>
        <v/>
      </c>
      <c r="L8" s="55">
        <f>IF('A1. Data scoring'!Q17&lt;&gt;"N/A","Yes","No")</f>
        <v/>
      </c>
      <c r="M8" s="55">
        <f>IF('A1. Data scoring'!R17&lt;&gt;"N/A","Yes","No")</f>
        <v/>
      </c>
      <c r="N8" s="55">
        <f>IF('A1. Data scoring'!S17&lt;&gt;"N/A","Yes","No")</f>
        <v/>
      </c>
      <c r="O8" s="8">
        <f>COUNTIF(C8:N8,"Yes")</f>
        <v/>
      </c>
    </row>
    <row r="9">
      <c r="B9" s="7" t="inlineStr">
        <is>
          <t>EE1(c)</t>
        </is>
      </c>
      <c r="C9" s="55">
        <f>IF('A1. Data scoring'!H23&lt;&gt;"N/A","Yes","No")</f>
        <v/>
      </c>
      <c r="D9" s="55">
        <f>IF('A1. Data scoring'!I23&lt;&gt;"N/A","Yes","No")</f>
        <v/>
      </c>
      <c r="E9" s="55">
        <f>IF('A1. Data scoring'!J23&lt;&gt;"N/A","Yes","No")</f>
        <v/>
      </c>
      <c r="F9" s="55">
        <f>IF('A1. Data scoring'!K23&lt;&gt;"N/A","Yes","No")</f>
        <v/>
      </c>
      <c r="G9" s="55">
        <f>IF('A1. Data scoring'!L23&lt;&gt;"N/A","Yes","No")</f>
        <v/>
      </c>
      <c r="H9" s="55">
        <f>IF('A1. Data scoring'!M23&lt;&gt;"N/A","Yes","No")</f>
        <v/>
      </c>
      <c r="I9" s="55">
        <f>IF('A1. Data scoring'!N23&lt;&gt;"N/A","Yes","No")</f>
        <v/>
      </c>
      <c r="J9" s="55">
        <f>IF('A1. Data scoring'!O23&lt;&gt;"N/A","Yes","No")</f>
        <v/>
      </c>
      <c r="K9" s="55">
        <f>IF('A1. Data scoring'!P23&lt;&gt;"N/A","Yes","No")</f>
        <v/>
      </c>
      <c r="L9" s="55">
        <f>IF('A1. Data scoring'!Q23&lt;&gt;"N/A","Yes","No")</f>
        <v/>
      </c>
      <c r="M9" s="55">
        <f>IF('A1. Data scoring'!R23&lt;&gt;"N/A","Yes","No")</f>
        <v/>
      </c>
      <c r="N9" s="55">
        <f>IF('A1. Data scoring'!S23&lt;&gt;"N/A","Yes","No")</f>
        <v/>
      </c>
      <c r="O9" s="8">
        <f>COUNTIF(C9:N9,"Yes")</f>
        <v/>
      </c>
    </row>
    <row r="10">
      <c r="B10" s="7" t="inlineStr">
        <is>
          <t>EE1(d)</t>
        </is>
      </c>
      <c r="C10" s="55">
        <f>IF('A1. Data scoring'!H29&lt;&gt;"N/A","Yes","No")</f>
        <v/>
      </c>
      <c r="D10" s="55">
        <f>IF('A1. Data scoring'!I29&lt;&gt;"N/A","Yes","No")</f>
        <v/>
      </c>
      <c r="E10" s="55">
        <f>IF('A1. Data scoring'!J29&lt;&gt;"N/A","Yes","No")</f>
        <v/>
      </c>
      <c r="F10" s="55">
        <f>IF('A1. Data scoring'!K29&lt;&gt;"N/A","Yes","No")</f>
        <v/>
      </c>
      <c r="G10" s="55">
        <f>IF('A1. Data scoring'!L29&lt;&gt;"N/A","Yes","No")</f>
        <v/>
      </c>
      <c r="H10" s="55">
        <f>IF('A1. Data scoring'!M29&lt;&gt;"N/A","Yes","No")</f>
        <v/>
      </c>
      <c r="I10" s="55">
        <f>IF('A1. Data scoring'!N29&lt;&gt;"N/A","Yes","No")</f>
        <v/>
      </c>
      <c r="J10" s="55">
        <f>IF('A1. Data scoring'!O29&lt;&gt;"N/A","Yes","No")</f>
        <v/>
      </c>
      <c r="K10" s="55">
        <f>IF('A1. Data scoring'!P29&lt;&gt;"N/A","Yes","No")</f>
        <v/>
      </c>
      <c r="L10" s="55">
        <f>IF('A1. Data scoring'!Q29&lt;&gt;"N/A","Yes","No")</f>
        <v/>
      </c>
      <c r="M10" s="55">
        <f>IF('A1. Data scoring'!R29&lt;&gt;"N/A","Yes","No")</f>
        <v/>
      </c>
      <c r="N10" s="55">
        <f>IF('A1. Data scoring'!S29&lt;&gt;"N/A","Yes","No")</f>
        <v/>
      </c>
      <c r="O10" s="8">
        <f>COUNTIF(C10:N10,"Yes")</f>
        <v/>
      </c>
    </row>
    <row r="11">
      <c r="B11" s="7" t="inlineStr">
        <is>
          <t>TR1(a)</t>
        </is>
      </c>
      <c r="C11" s="55">
        <f>IF('A1. Data scoring'!H35&lt;&gt;"N/A","Yes","No")</f>
        <v/>
      </c>
      <c r="D11" s="55">
        <f>IF('A1. Data scoring'!I35&lt;&gt;"N/A","Yes","No")</f>
        <v/>
      </c>
      <c r="E11" s="55">
        <f>IF('A1. Data scoring'!J35&lt;&gt;"N/A","Yes","No")</f>
        <v/>
      </c>
      <c r="F11" s="55">
        <f>IF('A1. Data scoring'!K35&lt;&gt;"N/A","Yes","No")</f>
        <v/>
      </c>
      <c r="G11" s="55">
        <f>IF('A1. Data scoring'!L35&lt;&gt;"N/A","Yes","No")</f>
        <v/>
      </c>
      <c r="H11" s="55">
        <f>IF('A1. Data scoring'!M35&lt;&gt;"N/A","Yes","No")</f>
        <v/>
      </c>
      <c r="I11" s="55">
        <f>IF('A1. Data scoring'!N35&lt;&gt;"N/A","Yes","No")</f>
        <v/>
      </c>
      <c r="J11" s="55">
        <f>IF('A1. Data scoring'!O35&lt;&gt;"N/A","Yes","No")</f>
        <v/>
      </c>
      <c r="K11" s="55">
        <f>IF('A1. Data scoring'!P35&lt;&gt;"N/A","Yes","No")</f>
        <v/>
      </c>
      <c r="L11" s="55">
        <f>IF('A1. Data scoring'!Q35&lt;&gt;"N/A","Yes","No")</f>
        <v/>
      </c>
      <c r="M11" s="55">
        <f>IF('A1. Data scoring'!R35&lt;&gt;"N/A","Yes","No")</f>
        <v/>
      </c>
      <c r="N11" s="55">
        <f>IF('A1. Data scoring'!S35&lt;&gt;"N/A","Yes","No")</f>
        <v/>
      </c>
      <c r="O11" s="8">
        <f>COUNTIF(C11:N11,"Yes")</f>
        <v/>
      </c>
    </row>
    <row r="12">
      <c r="B12" s="7" t="inlineStr">
        <is>
          <t>TR1(b)</t>
        </is>
      </c>
      <c r="C12" s="55">
        <f>IF('A1. Data scoring'!H41&lt;&gt;"N/A","Yes","No")</f>
        <v/>
      </c>
      <c r="D12" s="55">
        <f>IF('A1. Data scoring'!I41&lt;&gt;"N/A","Yes","No")</f>
        <v/>
      </c>
      <c r="E12" s="55">
        <f>IF('A1. Data scoring'!J41&lt;&gt;"N/A","Yes","No")</f>
        <v/>
      </c>
      <c r="F12" s="55">
        <f>IF('A1. Data scoring'!K41&lt;&gt;"N/A","Yes","No")</f>
        <v/>
      </c>
      <c r="G12" s="55">
        <f>IF('A1. Data scoring'!L41&lt;&gt;"N/A","Yes","No")</f>
        <v/>
      </c>
      <c r="H12" s="55">
        <f>IF('A1. Data scoring'!M41&lt;&gt;"N/A","Yes","No")</f>
        <v/>
      </c>
      <c r="I12" s="55">
        <f>IF('A1. Data scoring'!N41&lt;&gt;"N/A","Yes","No")</f>
        <v/>
      </c>
      <c r="J12" s="55">
        <f>IF('A1. Data scoring'!O41&lt;&gt;"N/A","Yes","No")</f>
        <v/>
      </c>
      <c r="K12" s="55">
        <f>IF('A1. Data scoring'!P41&lt;&gt;"N/A","Yes","No")</f>
        <v/>
      </c>
      <c r="L12" s="55">
        <f>IF('A1. Data scoring'!Q41&lt;&gt;"N/A","Yes","No")</f>
        <v/>
      </c>
      <c r="M12" s="55">
        <f>IF('A1. Data scoring'!R41&lt;&gt;"N/A","Yes","No")</f>
        <v/>
      </c>
      <c r="N12" s="55">
        <f>IF('A1. Data scoring'!S41&lt;&gt;"N/A","Yes","No")</f>
        <v/>
      </c>
      <c r="O12" s="8">
        <f>COUNTIF(C12:N12,"Yes")</f>
        <v/>
      </c>
    </row>
    <row r="13">
      <c r="B13" s="7" t="inlineStr">
        <is>
          <t>TR1(c)</t>
        </is>
      </c>
      <c r="C13" s="55">
        <f>IF('A1. Data scoring'!H47&lt;&gt;"N/A","Yes","No")</f>
        <v/>
      </c>
      <c r="D13" s="55">
        <f>IF('A1. Data scoring'!I47&lt;&gt;"N/A","Yes","No")</f>
        <v/>
      </c>
      <c r="E13" s="55">
        <f>IF('A1. Data scoring'!J47&lt;&gt;"N/A","Yes","No")</f>
        <v/>
      </c>
      <c r="F13" s="55">
        <f>IF('A1. Data scoring'!K47&lt;&gt;"N/A","Yes","No")</f>
        <v/>
      </c>
      <c r="G13" s="55">
        <f>IF('A1. Data scoring'!L47&lt;&gt;"N/A","Yes","No")</f>
        <v/>
      </c>
      <c r="H13" s="55">
        <f>IF('A1. Data scoring'!M47&lt;&gt;"N/A","Yes","No")</f>
        <v/>
      </c>
      <c r="I13" s="55">
        <f>IF('A1. Data scoring'!N47&lt;&gt;"N/A","Yes","No")</f>
        <v/>
      </c>
      <c r="J13" s="55">
        <f>IF('A1. Data scoring'!O47&lt;&gt;"N/A","Yes","No")</f>
        <v/>
      </c>
      <c r="K13" s="55">
        <f>IF('A1. Data scoring'!P47&lt;&gt;"N/A","Yes","No")</f>
        <v/>
      </c>
      <c r="L13" s="55">
        <f>IF('A1. Data scoring'!Q47&lt;&gt;"N/A","Yes","No")</f>
        <v/>
      </c>
      <c r="M13" s="55">
        <f>IF('A1. Data scoring'!R47&lt;&gt;"N/A","Yes","No")</f>
        <v/>
      </c>
      <c r="N13" s="55">
        <f>IF('A1. Data scoring'!S47&lt;&gt;"N/A","Yes","No")</f>
        <v/>
      </c>
      <c r="O13" s="8">
        <f>COUNTIF(C13:N13,"Yes")</f>
        <v/>
      </c>
    </row>
    <row r="14">
      <c r="B14" s="7" t="inlineStr">
        <is>
          <t>TR1(d)</t>
        </is>
      </c>
      <c r="C14" s="55">
        <f>IF('A1. Data scoring'!H53&lt;&gt;"N/A","Yes","No")</f>
        <v/>
      </c>
      <c r="D14" s="55">
        <f>IF('A1. Data scoring'!I53&lt;&gt;"N/A","Yes","No")</f>
        <v/>
      </c>
      <c r="E14" s="55">
        <f>IF('A1. Data scoring'!J53&lt;&gt;"N/A","Yes","No")</f>
        <v/>
      </c>
      <c r="F14" s="55">
        <f>IF('A1. Data scoring'!K53&lt;&gt;"N/A","Yes","No")</f>
        <v/>
      </c>
      <c r="G14" s="55">
        <f>IF('A1. Data scoring'!L53&lt;&gt;"N/A","Yes","No")</f>
        <v/>
      </c>
      <c r="H14" s="55">
        <f>IF('A1. Data scoring'!M53&lt;&gt;"N/A","Yes","No")</f>
        <v/>
      </c>
      <c r="I14" s="55">
        <f>IF('A1. Data scoring'!N53&lt;&gt;"N/A","Yes","No")</f>
        <v/>
      </c>
      <c r="J14" s="55">
        <f>IF('A1. Data scoring'!O53&lt;&gt;"N/A","Yes","No")</f>
        <v/>
      </c>
      <c r="K14" s="55">
        <f>IF('A1. Data scoring'!P53&lt;&gt;"N/A","Yes","No")</f>
        <v/>
      </c>
      <c r="L14" s="55">
        <f>IF('A1. Data scoring'!Q53&lt;&gt;"N/A","Yes","No")</f>
        <v/>
      </c>
      <c r="M14" s="55">
        <f>IF('A1. Data scoring'!R53&lt;&gt;"N/A","Yes","No")</f>
        <v/>
      </c>
      <c r="N14" s="55">
        <f>IF('A1. Data scoring'!S53&lt;&gt;"N/A","Yes","No")</f>
        <v/>
      </c>
      <c r="O14" s="8">
        <f>COUNTIF(C14:N14,"Yes")</f>
        <v/>
      </c>
    </row>
    <row r="15">
      <c r="B15" s="7" t="inlineStr">
        <is>
          <t>TR2(a)</t>
        </is>
      </c>
      <c r="C15" s="55">
        <f>IF('A1. Data scoring'!H59&lt;&gt;"N/A","Yes","No")</f>
        <v/>
      </c>
      <c r="D15" s="55">
        <f>IF('A1. Data scoring'!I59&lt;&gt;"N/A","Yes","No")</f>
        <v/>
      </c>
      <c r="E15" s="55">
        <f>IF('A1. Data scoring'!J59&lt;&gt;"N/A","Yes","No")</f>
        <v/>
      </c>
      <c r="F15" s="55">
        <f>IF('A1. Data scoring'!K59&lt;&gt;"N/A","Yes","No")</f>
        <v/>
      </c>
      <c r="G15" s="55">
        <f>IF('A1. Data scoring'!L59&lt;&gt;"N/A","Yes","No")</f>
        <v/>
      </c>
      <c r="H15" s="55">
        <f>IF('A1. Data scoring'!M59&lt;&gt;"N/A","Yes","No")</f>
        <v/>
      </c>
      <c r="I15" s="55">
        <f>IF('A1. Data scoring'!N59&lt;&gt;"N/A","Yes","No")</f>
        <v/>
      </c>
      <c r="J15" s="55">
        <f>IF('A1. Data scoring'!O59&lt;&gt;"N/A","Yes","No")</f>
        <v/>
      </c>
      <c r="K15" s="55">
        <f>IF('A1. Data scoring'!P59&lt;&gt;"N/A","Yes","No")</f>
        <v/>
      </c>
      <c r="L15" s="55">
        <f>IF('A1. Data scoring'!Q59&lt;&gt;"N/A","Yes","No")</f>
        <v/>
      </c>
      <c r="M15" s="55">
        <f>IF('A1. Data scoring'!R59&lt;&gt;"N/A","Yes","No")</f>
        <v/>
      </c>
      <c r="N15" s="55">
        <f>IF('A1. Data scoring'!S59&lt;&gt;"N/A","Yes","No")</f>
        <v/>
      </c>
      <c r="O15" s="8">
        <f>COUNTIF(C15:N15,"Yes")</f>
        <v/>
      </c>
    </row>
    <row r="16">
      <c r="B16" s="7" t="inlineStr">
        <is>
          <t>TR2(c)</t>
        </is>
      </c>
      <c r="C16" s="55">
        <f>IF('A1. Data scoring'!H65&lt;&gt;"N/A","Yes","No")</f>
        <v/>
      </c>
      <c r="D16" s="55">
        <f>IF('A1. Data scoring'!I65&lt;&gt;"N/A","Yes","No")</f>
        <v/>
      </c>
      <c r="E16" s="55">
        <f>IF('A1. Data scoring'!J65&lt;&gt;"N/A","Yes","No")</f>
        <v/>
      </c>
      <c r="F16" s="55">
        <f>IF('A1. Data scoring'!K65&lt;&gt;"N/A","Yes","No")</f>
        <v/>
      </c>
      <c r="G16" s="55">
        <f>IF('A1. Data scoring'!L65&lt;&gt;"N/A","Yes","No")</f>
        <v/>
      </c>
      <c r="H16" s="55">
        <f>IF('A1. Data scoring'!M65&lt;&gt;"N/A","Yes","No")</f>
        <v/>
      </c>
      <c r="I16" s="55">
        <f>IF('A1. Data scoring'!N65&lt;&gt;"N/A","Yes","No")</f>
        <v/>
      </c>
      <c r="J16" s="55">
        <f>IF('A1. Data scoring'!O65&lt;&gt;"N/A","Yes","No")</f>
        <v/>
      </c>
      <c r="K16" s="55">
        <f>IF('A1. Data scoring'!P65&lt;&gt;"N/A","Yes","No")</f>
        <v/>
      </c>
      <c r="L16" s="55">
        <f>IF('A1. Data scoring'!Q65&lt;&gt;"N/A","Yes","No")</f>
        <v/>
      </c>
      <c r="M16" s="55">
        <f>IF('A1. Data scoring'!R65&lt;&gt;"N/A","Yes","No")</f>
        <v/>
      </c>
      <c r="N16" s="55">
        <f>IF('A1. Data scoring'!S65&lt;&gt;"N/A","Yes","No")</f>
        <v/>
      </c>
      <c r="O16" s="8">
        <f>COUNTIF(C16:N16,"Yes")</f>
        <v/>
      </c>
    </row>
    <row r="17">
      <c r="B17" s="7" t="inlineStr">
        <is>
          <t>TR2(d)</t>
        </is>
      </c>
      <c r="C17" s="55">
        <f>IF('A1. Data scoring'!H71&lt;&gt;"N/A","Yes","No")</f>
        <v/>
      </c>
      <c r="D17" s="55">
        <f>IF('A1. Data scoring'!I71&lt;&gt;"N/A","Yes","No")</f>
        <v/>
      </c>
      <c r="E17" s="55">
        <f>IF('A1. Data scoring'!J71&lt;&gt;"N/A","Yes","No")</f>
        <v/>
      </c>
      <c r="F17" s="55">
        <f>IF('A1. Data scoring'!K71&lt;&gt;"N/A","Yes","No")</f>
        <v/>
      </c>
      <c r="G17" s="55">
        <f>IF('A1. Data scoring'!L71&lt;&gt;"N/A","Yes","No")</f>
        <v/>
      </c>
      <c r="H17" s="55">
        <f>IF('A1. Data scoring'!M71&lt;&gt;"N/A","Yes","No")</f>
        <v/>
      </c>
      <c r="I17" s="55">
        <f>IF('A1. Data scoring'!N71&lt;&gt;"N/A","Yes","No")</f>
        <v/>
      </c>
      <c r="J17" s="55">
        <f>IF('A1. Data scoring'!O71&lt;&gt;"N/A","Yes","No")</f>
        <v/>
      </c>
      <c r="K17" s="55">
        <f>IF('A1. Data scoring'!P71&lt;&gt;"N/A","Yes","No")</f>
        <v/>
      </c>
      <c r="L17" s="55">
        <f>IF('A1. Data scoring'!Q71&lt;&gt;"N/A","Yes","No")</f>
        <v/>
      </c>
      <c r="M17" s="55">
        <f>IF('A1. Data scoring'!R71&lt;&gt;"N/A","Yes","No")</f>
        <v/>
      </c>
      <c r="N17" s="55">
        <f>IF('A1. Data scoring'!S71&lt;&gt;"N/A","Yes","No")</f>
        <v/>
      </c>
      <c r="O17" s="8">
        <f>COUNTIF(C17:N17,"Yes")</f>
        <v/>
      </c>
    </row>
    <row r="18">
      <c r="B18" s="7" t="inlineStr">
        <is>
          <t>TR3(a)</t>
        </is>
      </c>
      <c r="C18" s="55">
        <f>IF('A1. Data scoring'!H77&lt;&gt;"N/A","Yes","No")</f>
        <v/>
      </c>
      <c r="D18" s="55">
        <f>IF('A1. Data scoring'!I77&lt;&gt;"N/A","Yes","No")</f>
        <v/>
      </c>
      <c r="E18" s="55">
        <f>IF('A1. Data scoring'!J77&lt;&gt;"N/A","Yes","No")</f>
        <v/>
      </c>
      <c r="F18" s="55">
        <f>IF('A1. Data scoring'!K77&lt;&gt;"N/A","Yes","No")</f>
        <v/>
      </c>
      <c r="G18" s="55">
        <f>IF('A1. Data scoring'!L77&lt;&gt;"N/A","Yes","No")</f>
        <v/>
      </c>
      <c r="H18" s="55">
        <f>IF('A1. Data scoring'!M77&lt;&gt;"N/A","Yes","No")</f>
        <v/>
      </c>
      <c r="I18" s="55">
        <f>IF('A1. Data scoring'!N77&lt;&gt;"N/A","Yes","No")</f>
        <v/>
      </c>
      <c r="J18" s="55">
        <f>IF('A1. Data scoring'!O77&lt;&gt;"N/A","Yes","No")</f>
        <v/>
      </c>
      <c r="K18" s="55">
        <f>IF('A1. Data scoring'!P77&lt;&gt;"N/A","Yes","No")</f>
        <v/>
      </c>
      <c r="L18" s="55">
        <f>IF('A1. Data scoring'!Q77&lt;&gt;"N/A","Yes","No")</f>
        <v/>
      </c>
      <c r="M18" s="55">
        <f>IF('A1. Data scoring'!R77&lt;&gt;"N/A","Yes","No")</f>
        <v/>
      </c>
      <c r="N18" s="55">
        <f>IF('A1. Data scoring'!S77&lt;&gt;"N/A","Yes","No")</f>
        <v/>
      </c>
      <c r="O18" s="8">
        <f>COUNTIF(C18:N18,"Yes")</f>
        <v/>
      </c>
    </row>
    <row r="19">
      <c r="B19" s="7" t="inlineStr">
        <is>
          <t>TR3(b)</t>
        </is>
      </c>
      <c r="C19" s="55">
        <f>IF('A1. Data scoring'!H83&lt;&gt;"N/A","Yes","No")</f>
        <v/>
      </c>
      <c r="D19" s="55">
        <f>IF('A1. Data scoring'!I83&lt;&gt;"N/A","Yes","No")</f>
        <v/>
      </c>
      <c r="E19" s="55">
        <f>IF('A1. Data scoring'!J83&lt;&gt;"N/A","Yes","No")</f>
        <v/>
      </c>
      <c r="F19" s="55">
        <f>IF('A1. Data scoring'!K83&lt;&gt;"N/A","Yes","No")</f>
        <v/>
      </c>
      <c r="G19" s="55">
        <f>IF('A1. Data scoring'!L83&lt;&gt;"N/A","Yes","No")</f>
        <v/>
      </c>
      <c r="H19" s="55">
        <f>IF('A1. Data scoring'!M83&lt;&gt;"N/A","Yes","No")</f>
        <v/>
      </c>
      <c r="I19" s="55">
        <f>IF('A1. Data scoring'!N83&lt;&gt;"N/A","Yes","No")</f>
        <v/>
      </c>
      <c r="J19" s="55">
        <f>IF('A1. Data scoring'!O83&lt;&gt;"N/A","Yes","No")</f>
        <v/>
      </c>
      <c r="K19" s="55">
        <f>IF('A1. Data scoring'!P83&lt;&gt;"N/A","Yes","No")</f>
        <v/>
      </c>
      <c r="L19" s="55">
        <f>IF('A1. Data scoring'!Q83&lt;&gt;"N/A","Yes","No")</f>
        <v/>
      </c>
      <c r="M19" s="55">
        <f>IF('A1. Data scoring'!R83&lt;&gt;"N/A","Yes","No")</f>
        <v/>
      </c>
      <c r="N19" s="55">
        <f>IF('A1. Data scoring'!S83&lt;&gt;"N/A","Yes","No")</f>
        <v/>
      </c>
      <c r="O19" s="8">
        <f>COUNTIF(C19:N19,"Yes")</f>
        <v/>
      </c>
    </row>
    <row r="20">
      <c r="B20" s="7" t="inlineStr">
        <is>
          <t>TR3(c)</t>
        </is>
      </c>
      <c r="C20" s="55">
        <f>IF('A1. Data scoring'!H89&lt;&gt;"N/A","Yes","No")</f>
        <v/>
      </c>
      <c r="D20" s="55">
        <f>IF('A1. Data scoring'!I89&lt;&gt;"N/A","Yes","No")</f>
        <v/>
      </c>
      <c r="E20" s="55">
        <f>IF('A1. Data scoring'!J89&lt;&gt;"N/A","Yes","No")</f>
        <v/>
      </c>
      <c r="F20" s="55">
        <f>IF('A1. Data scoring'!K89&lt;&gt;"N/A","Yes","No")</f>
        <v/>
      </c>
      <c r="G20" s="55">
        <f>IF('A1. Data scoring'!L89&lt;&gt;"N/A","Yes","No")</f>
        <v/>
      </c>
      <c r="H20" s="55">
        <f>IF('A1. Data scoring'!M89&lt;&gt;"N/A","Yes","No")</f>
        <v/>
      </c>
      <c r="I20" s="55">
        <f>IF('A1. Data scoring'!N89&lt;&gt;"N/A","Yes","No")</f>
        <v/>
      </c>
      <c r="J20" s="55">
        <f>IF('A1. Data scoring'!O89&lt;&gt;"N/A","Yes","No")</f>
        <v/>
      </c>
      <c r="K20" s="55">
        <f>IF('A1. Data scoring'!P89&lt;&gt;"N/A","Yes","No")</f>
        <v/>
      </c>
      <c r="L20" s="55">
        <f>IF('A1. Data scoring'!Q89&lt;&gt;"N/A","Yes","No")</f>
        <v/>
      </c>
      <c r="M20" s="55">
        <f>IF('A1. Data scoring'!R89&lt;&gt;"N/A","Yes","No")</f>
        <v/>
      </c>
      <c r="N20" s="55">
        <f>IF('A1. Data scoring'!S89&lt;&gt;"N/A","Yes","No")</f>
        <v/>
      </c>
      <c r="O20" s="8">
        <f>COUNTIF(C20:N20,"Yes")</f>
        <v/>
      </c>
    </row>
    <row r="21">
      <c r="B21" s="7" t="inlineStr">
        <is>
          <t>TR3(d)</t>
        </is>
      </c>
      <c r="C21" s="55">
        <f>IF('A1. Data scoring'!H95&lt;&gt;"N/A","Yes","No")</f>
        <v/>
      </c>
      <c r="D21" s="55">
        <f>IF('A1. Data scoring'!I95&lt;&gt;"N/A","Yes","No")</f>
        <v/>
      </c>
      <c r="E21" s="55">
        <f>IF('A1. Data scoring'!J95&lt;&gt;"N/A","Yes","No")</f>
        <v/>
      </c>
      <c r="F21" s="55">
        <f>IF('A1. Data scoring'!K95&lt;&gt;"N/A","Yes","No")</f>
        <v/>
      </c>
      <c r="G21" s="55">
        <f>IF('A1. Data scoring'!L95&lt;&gt;"N/A","Yes","No")</f>
        <v/>
      </c>
      <c r="H21" s="55">
        <f>IF('A1. Data scoring'!M95&lt;&gt;"N/A","Yes","No")</f>
        <v/>
      </c>
      <c r="I21" s="55">
        <f>IF('A1. Data scoring'!N95&lt;&gt;"N/A","Yes","No")</f>
        <v/>
      </c>
      <c r="J21" s="55">
        <f>IF('A1. Data scoring'!O95&lt;&gt;"N/A","Yes","No")</f>
        <v/>
      </c>
      <c r="K21" s="55">
        <f>IF('A1. Data scoring'!P95&lt;&gt;"N/A","Yes","No")</f>
        <v/>
      </c>
      <c r="L21" s="55">
        <f>IF('A1. Data scoring'!Q95&lt;&gt;"N/A","Yes","No")</f>
        <v/>
      </c>
      <c r="M21" s="55">
        <f>IF('A1. Data scoring'!R95&lt;&gt;"N/A","Yes","No")</f>
        <v/>
      </c>
      <c r="N21" s="55">
        <f>IF('A1. Data scoring'!S95&lt;&gt;"N/A","Yes","No")</f>
        <v/>
      </c>
      <c r="O21" s="8">
        <f>COUNTIF(C21:N21,"Yes")</f>
        <v/>
      </c>
    </row>
    <row r="22">
      <c r="B22" s="7" t="inlineStr">
        <is>
          <t>CL1(c)</t>
        </is>
      </c>
      <c r="C22" s="55">
        <f>IF('A1. Data scoring'!H101&lt;&gt;"N/A","Yes","No")</f>
        <v/>
      </c>
      <c r="D22" s="55">
        <f>IF('A1. Data scoring'!I101&lt;&gt;"N/A","Yes","No")</f>
        <v/>
      </c>
      <c r="E22" s="55">
        <f>IF('A1. Data scoring'!J101&lt;&gt;"N/A","Yes","No")</f>
        <v/>
      </c>
      <c r="F22" s="55">
        <f>IF('A1. Data scoring'!K101&lt;&gt;"N/A","Yes","No")</f>
        <v/>
      </c>
      <c r="G22" s="55">
        <f>IF('A1. Data scoring'!L101&lt;&gt;"N/A","Yes","No")</f>
        <v/>
      </c>
      <c r="H22" s="55">
        <f>IF('A1. Data scoring'!M101&lt;&gt;"N/A","Yes","No")</f>
        <v/>
      </c>
      <c r="I22" s="55">
        <f>IF('A1. Data scoring'!N101&lt;&gt;"N/A","Yes","No")</f>
        <v/>
      </c>
      <c r="J22" s="55">
        <f>IF('A1. Data scoring'!O101&lt;&gt;"N/A","Yes","No")</f>
        <v/>
      </c>
      <c r="K22" s="55">
        <f>IF('A1. Data scoring'!P101&lt;&gt;"N/A","Yes","No")</f>
        <v/>
      </c>
      <c r="L22" s="55">
        <f>IF('A1. Data scoring'!Q101&lt;&gt;"N/A","Yes","No")</f>
        <v/>
      </c>
      <c r="M22" s="55">
        <f>IF('A1. Data scoring'!R101&lt;&gt;"N/A","Yes","No")</f>
        <v/>
      </c>
      <c r="N22" s="55">
        <f>IF('A1. Data scoring'!S101&lt;&gt;"N/A","Yes","No")</f>
        <v/>
      </c>
      <c r="O22" s="8">
        <f>COUNTIF(C22:N22,"Yes")</f>
        <v/>
      </c>
    </row>
    <row r="23">
      <c r="B23" s="7" t="inlineStr">
        <is>
          <t>CL2(a)</t>
        </is>
      </c>
      <c r="C23" s="55">
        <f>IF('A1. Data scoring'!H107&lt;&gt;"N/A","Yes","No")</f>
        <v/>
      </c>
      <c r="D23" s="55">
        <f>IF('A1. Data scoring'!I107&lt;&gt;"N/A","Yes","No")</f>
        <v/>
      </c>
      <c r="E23" s="55">
        <f>IF('A1. Data scoring'!J107&lt;&gt;"N/A","Yes","No")</f>
        <v/>
      </c>
      <c r="F23" s="55">
        <f>IF('A1. Data scoring'!K107&lt;&gt;"N/A","Yes","No")</f>
        <v/>
      </c>
      <c r="G23" s="55">
        <f>IF('A1. Data scoring'!L107&lt;&gt;"N/A","Yes","No")</f>
        <v/>
      </c>
      <c r="H23" s="55">
        <f>IF('A1. Data scoring'!M107&lt;&gt;"N/A","Yes","No")</f>
        <v/>
      </c>
      <c r="I23" s="55">
        <f>IF('A1. Data scoring'!N107&lt;&gt;"N/A","Yes","No")</f>
        <v/>
      </c>
      <c r="J23" s="55">
        <f>IF('A1. Data scoring'!O107&lt;&gt;"N/A","Yes","No")</f>
        <v/>
      </c>
      <c r="K23" s="55">
        <f>IF('A1. Data scoring'!P107&lt;&gt;"N/A","Yes","No")</f>
        <v/>
      </c>
      <c r="L23" s="55">
        <f>IF('A1. Data scoring'!Q107&lt;&gt;"N/A","Yes","No")</f>
        <v/>
      </c>
      <c r="M23" s="55">
        <f>IF('A1. Data scoring'!R107&lt;&gt;"N/A","Yes","No")</f>
        <v/>
      </c>
      <c r="N23" s="55">
        <f>IF('A1. Data scoring'!S107&lt;&gt;"N/A","Yes","No")</f>
        <v/>
      </c>
      <c r="O23" s="8">
        <f>COUNTIF(C23:N23,"Yes")</f>
        <v/>
      </c>
    </row>
    <row r="24">
      <c r="B24" s="7" t="inlineStr">
        <is>
          <t>CL2(c)</t>
        </is>
      </c>
      <c r="C24" s="55">
        <f>IF('A1. Data scoring'!H113&lt;&gt;"N/A","Yes","No")</f>
        <v/>
      </c>
      <c r="D24" s="55">
        <f>IF('A1. Data scoring'!I113&lt;&gt;"N/A","Yes","No")</f>
        <v/>
      </c>
      <c r="E24" s="55">
        <f>IF('A1. Data scoring'!J113&lt;&gt;"N/A","Yes","No")</f>
        <v/>
      </c>
      <c r="F24" s="55">
        <f>IF('A1. Data scoring'!K113&lt;&gt;"N/A","Yes","No")</f>
        <v/>
      </c>
      <c r="G24" s="55">
        <f>IF('A1. Data scoring'!L113&lt;&gt;"N/A","Yes","No")</f>
        <v/>
      </c>
      <c r="H24" s="55">
        <f>IF('A1. Data scoring'!M113&lt;&gt;"N/A","Yes","No")</f>
        <v/>
      </c>
      <c r="I24" s="55">
        <f>IF('A1. Data scoring'!N113&lt;&gt;"N/A","Yes","No")</f>
        <v/>
      </c>
      <c r="J24" s="55">
        <f>IF('A1. Data scoring'!O113&lt;&gt;"N/A","Yes","No")</f>
        <v/>
      </c>
      <c r="K24" s="55">
        <f>IF('A1. Data scoring'!P113&lt;&gt;"N/A","Yes","No")</f>
        <v/>
      </c>
      <c r="L24" s="55">
        <f>IF('A1. Data scoring'!Q113&lt;&gt;"N/A","Yes","No")</f>
        <v/>
      </c>
      <c r="M24" s="55">
        <f>IF('A1. Data scoring'!R113&lt;&gt;"N/A","Yes","No")</f>
        <v/>
      </c>
      <c r="N24" s="55">
        <f>IF('A1. Data scoring'!S113&lt;&gt;"N/A","Yes","No")</f>
        <v/>
      </c>
      <c r="O24" s="8">
        <f>COUNTIF(C24:N24,"Yes")</f>
        <v/>
      </c>
    </row>
    <row r="25">
      <c r="B25" s="7" t="inlineStr">
        <is>
          <t>CL3(a)</t>
        </is>
      </c>
      <c r="C25" s="55">
        <f>IF('A1. Data scoring'!H119&lt;&gt;"N/A","Yes","No")</f>
        <v/>
      </c>
      <c r="D25" s="55">
        <f>IF('A1. Data scoring'!I119&lt;&gt;"N/A","Yes","No")</f>
        <v/>
      </c>
      <c r="E25" s="55">
        <f>IF('A1. Data scoring'!J119&lt;&gt;"N/A","Yes","No")</f>
        <v/>
      </c>
      <c r="F25" s="55">
        <f>IF('A1. Data scoring'!K119&lt;&gt;"N/A","Yes","No")</f>
        <v/>
      </c>
      <c r="G25" s="55">
        <f>IF('A1. Data scoring'!L119&lt;&gt;"N/A","Yes","No")</f>
        <v/>
      </c>
      <c r="H25" s="55">
        <f>IF('A1. Data scoring'!M119&lt;&gt;"N/A","Yes","No")</f>
        <v/>
      </c>
      <c r="I25" s="55">
        <f>IF('A1. Data scoring'!N119&lt;&gt;"N/A","Yes","No")</f>
        <v/>
      </c>
      <c r="J25" s="55">
        <f>IF('A1. Data scoring'!O119&lt;&gt;"N/A","Yes","No")</f>
        <v/>
      </c>
      <c r="K25" s="55">
        <f>IF('A1. Data scoring'!P119&lt;&gt;"N/A","Yes","No")</f>
        <v/>
      </c>
      <c r="L25" s="55">
        <f>IF('A1. Data scoring'!Q119&lt;&gt;"N/A","Yes","No")</f>
        <v/>
      </c>
      <c r="M25" s="55">
        <f>IF('A1. Data scoring'!R119&lt;&gt;"N/A","Yes","No")</f>
        <v/>
      </c>
      <c r="N25" s="55">
        <f>IF('A1. Data scoring'!S119&lt;&gt;"N/A","Yes","No")</f>
        <v/>
      </c>
      <c r="O25" s="8">
        <f>COUNTIF(C25:N25,"Yes")</f>
        <v/>
      </c>
    </row>
    <row r="26">
      <c r="B26" s="7" t="inlineStr">
        <is>
          <t>NB1(b)</t>
        </is>
      </c>
      <c r="C26" s="55">
        <f>IF('A1. Data scoring'!H125&lt;&gt;"N/A","Yes","No")</f>
        <v/>
      </c>
      <c r="D26" s="55">
        <f>IF('A1. Data scoring'!I125&lt;&gt;"N/A","Yes","No")</f>
        <v/>
      </c>
      <c r="E26" s="55">
        <f>IF('A1. Data scoring'!J125&lt;&gt;"N/A","Yes","No")</f>
        <v/>
      </c>
      <c r="F26" s="55">
        <f>IF('A1. Data scoring'!K125&lt;&gt;"N/A","Yes","No")</f>
        <v/>
      </c>
      <c r="G26" s="55">
        <f>IF('A1. Data scoring'!L125&lt;&gt;"N/A","Yes","No")</f>
        <v/>
      </c>
      <c r="H26" s="55">
        <f>IF('A1. Data scoring'!M125&lt;&gt;"N/A","Yes","No")</f>
        <v/>
      </c>
      <c r="I26" s="55">
        <f>IF('A1. Data scoring'!N125&lt;&gt;"N/A","Yes","No")</f>
        <v/>
      </c>
      <c r="J26" s="55">
        <f>IF('A1. Data scoring'!O125&lt;&gt;"N/A","Yes","No")</f>
        <v/>
      </c>
      <c r="K26" s="55">
        <f>IF('A1. Data scoring'!P125&lt;&gt;"N/A","Yes","No")</f>
        <v/>
      </c>
      <c r="L26" s="55">
        <f>IF('A1. Data scoring'!Q125&lt;&gt;"N/A","Yes","No")</f>
        <v/>
      </c>
      <c r="M26" s="55">
        <f>IF('A1. Data scoring'!R125&lt;&gt;"N/A","Yes","No")</f>
        <v/>
      </c>
      <c r="N26" s="55">
        <f>IF('A1. Data scoring'!S125&lt;&gt;"N/A","Yes","No")</f>
        <v/>
      </c>
      <c r="O26" s="8">
        <f>COUNTIF(C26:N26,"Yes")</f>
        <v/>
      </c>
    </row>
    <row r="27">
      <c r="B27" s="7" t="inlineStr">
        <is>
          <t>NB1(c)</t>
        </is>
      </c>
      <c r="C27" s="55">
        <f>IF('A1. Data scoring'!H131&lt;&gt;"N/A","Yes","No")</f>
        <v/>
      </c>
      <c r="D27" s="55">
        <f>IF('A1. Data scoring'!I131&lt;&gt;"N/A","Yes","No")</f>
        <v/>
      </c>
      <c r="E27" s="55">
        <f>IF('A1. Data scoring'!J131&lt;&gt;"N/A","Yes","No")</f>
        <v/>
      </c>
      <c r="F27" s="55">
        <f>IF('A1. Data scoring'!K131&lt;&gt;"N/A","Yes","No")</f>
        <v/>
      </c>
      <c r="G27" s="55">
        <f>IF('A1. Data scoring'!L131&lt;&gt;"N/A","Yes","No")</f>
        <v/>
      </c>
      <c r="H27" s="55">
        <f>IF('A1. Data scoring'!M131&lt;&gt;"N/A","Yes","No")</f>
        <v/>
      </c>
      <c r="I27" s="55">
        <f>IF('A1. Data scoring'!N131&lt;&gt;"N/A","Yes","No")</f>
        <v/>
      </c>
      <c r="J27" s="55">
        <f>IF('A1. Data scoring'!O131&lt;&gt;"N/A","Yes","No")</f>
        <v/>
      </c>
      <c r="K27" s="55">
        <f>IF('A1. Data scoring'!P131&lt;&gt;"N/A","Yes","No")</f>
        <v/>
      </c>
      <c r="L27" s="55">
        <f>IF('A1. Data scoring'!Q131&lt;&gt;"N/A","Yes","No")</f>
        <v/>
      </c>
      <c r="M27" s="55">
        <f>IF('A1. Data scoring'!R131&lt;&gt;"N/A","Yes","No")</f>
        <v/>
      </c>
      <c r="N27" s="55">
        <f>IF('A1. Data scoring'!S131&lt;&gt;"N/A","Yes","No")</f>
        <v/>
      </c>
      <c r="O27" s="8">
        <f>COUNTIF(C27:N27,"Yes")</f>
        <v/>
      </c>
    </row>
    <row r="28">
      <c r="B28" s="7" t="inlineStr">
        <is>
          <t>NB1(d)</t>
        </is>
      </c>
      <c r="C28" s="55">
        <f>IF('A1. Data scoring'!H137&lt;&gt;"N/A","Yes","No")</f>
        <v/>
      </c>
      <c r="D28" s="55">
        <f>IF('A1. Data scoring'!I137&lt;&gt;"N/A","Yes","No")</f>
        <v/>
      </c>
      <c r="E28" s="55">
        <f>IF('A1. Data scoring'!J137&lt;&gt;"N/A","Yes","No")</f>
        <v/>
      </c>
      <c r="F28" s="55">
        <f>IF('A1. Data scoring'!K137&lt;&gt;"N/A","Yes","No")</f>
        <v/>
      </c>
      <c r="G28" s="55">
        <f>IF('A1. Data scoring'!L137&lt;&gt;"N/A","Yes","No")</f>
        <v/>
      </c>
      <c r="H28" s="55">
        <f>IF('A1. Data scoring'!M137&lt;&gt;"N/A","Yes","No")</f>
        <v/>
      </c>
      <c r="I28" s="55">
        <f>IF('A1. Data scoring'!N137&lt;&gt;"N/A","Yes","No")</f>
        <v/>
      </c>
      <c r="J28" s="55">
        <f>IF('A1. Data scoring'!O137&lt;&gt;"N/A","Yes","No")</f>
        <v/>
      </c>
      <c r="K28" s="55">
        <f>IF('A1. Data scoring'!P137&lt;&gt;"N/A","Yes","No")</f>
        <v/>
      </c>
      <c r="L28" s="55">
        <f>IF('A1. Data scoring'!Q137&lt;&gt;"N/A","Yes","No")</f>
        <v/>
      </c>
      <c r="M28" s="55">
        <f>IF('A1. Data scoring'!R137&lt;&gt;"N/A","Yes","No")</f>
        <v/>
      </c>
      <c r="N28" s="55">
        <f>IF('A1. Data scoring'!S137&lt;&gt;"N/A","Yes","No")</f>
        <v/>
      </c>
      <c r="O28" s="8">
        <f>COUNTIF(C28:N28,"Yes")</f>
        <v/>
      </c>
    </row>
    <row r="29">
      <c r="B29" s="7" t="inlineStr">
        <is>
          <t>NB2(a)</t>
        </is>
      </c>
      <c r="C29" s="55">
        <f>IF('A1. Data scoring'!H143&lt;&gt;"N/A","Yes","No")</f>
        <v/>
      </c>
      <c r="D29" s="55">
        <f>IF('A1. Data scoring'!I143&lt;&gt;"N/A","Yes","No")</f>
        <v/>
      </c>
      <c r="E29" s="55">
        <f>IF('A1. Data scoring'!J143&lt;&gt;"N/A","Yes","No")</f>
        <v/>
      </c>
      <c r="F29" s="55">
        <f>IF('A1. Data scoring'!K143&lt;&gt;"N/A","Yes","No")</f>
        <v/>
      </c>
      <c r="G29" s="55">
        <f>IF('A1. Data scoring'!L143&lt;&gt;"N/A","Yes","No")</f>
        <v/>
      </c>
      <c r="H29" s="55">
        <f>IF('A1. Data scoring'!M143&lt;&gt;"N/A","Yes","No")</f>
        <v/>
      </c>
      <c r="I29" s="55">
        <f>IF('A1. Data scoring'!N143&lt;&gt;"N/A","Yes","No")</f>
        <v/>
      </c>
      <c r="J29" s="55">
        <f>IF('A1. Data scoring'!O143&lt;&gt;"N/A","Yes","No")</f>
        <v/>
      </c>
      <c r="K29" s="55">
        <f>IF('A1. Data scoring'!P143&lt;&gt;"N/A","Yes","No")</f>
        <v/>
      </c>
      <c r="L29" s="55">
        <f>IF('A1. Data scoring'!Q143&lt;&gt;"N/A","Yes","No")</f>
        <v/>
      </c>
      <c r="M29" s="55">
        <f>IF('A1. Data scoring'!R143&lt;&gt;"N/A","Yes","No")</f>
        <v/>
      </c>
      <c r="N29" s="55">
        <f>IF('A1. Data scoring'!S143&lt;&gt;"N/A","Yes","No")</f>
        <v/>
      </c>
      <c r="O29" s="8">
        <f>COUNTIF(C29:N29,"Yes")</f>
        <v/>
      </c>
    </row>
    <row r="30">
      <c r="B30" s="7" t="inlineStr">
        <is>
          <t>NB2(b)</t>
        </is>
      </c>
      <c r="C30" s="55">
        <f>IF('A1. Data scoring'!H149&lt;&gt;"N/A","Yes","No")</f>
        <v/>
      </c>
      <c r="D30" s="55">
        <f>IF('A1. Data scoring'!I149&lt;&gt;"N/A","Yes","No")</f>
        <v/>
      </c>
      <c r="E30" s="55">
        <f>IF('A1. Data scoring'!J149&lt;&gt;"N/A","Yes","No")</f>
        <v/>
      </c>
      <c r="F30" s="55">
        <f>IF('A1. Data scoring'!K149&lt;&gt;"N/A","Yes","No")</f>
        <v/>
      </c>
      <c r="G30" s="55">
        <f>IF('A1. Data scoring'!L149&lt;&gt;"N/A","Yes","No")</f>
        <v/>
      </c>
      <c r="H30" s="55">
        <f>IF('A1. Data scoring'!M149&lt;&gt;"N/A","Yes","No")</f>
        <v/>
      </c>
      <c r="I30" s="55">
        <f>IF('A1. Data scoring'!N149&lt;&gt;"N/A","Yes","No")</f>
        <v/>
      </c>
      <c r="J30" s="55">
        <f>IF('A1. Data scoring'!O149&lt;&gt;"N/A","Yes","No")</f>
        <v/>
      </c>
      <c r="K30" s="55">
        <f>IF('A1. Data scoring'!P149&lt;&gt;"N/A","Yes","No")</f>
        <v/>
      </c>
      <c r="L30" s="55">
        <f>IF('A1. Data scoring'!Q149&lt;&gt;"N/A","Yes","No")</f>
        <v/>
      </c>
      <c r="M30" s="55">
        <f>IF('A1. Data scoring'!R149&lt;&gt;"N/A","Yes","No")</f>
        <v/>
      </c>
      <c r="N30" s="55">
        <f>IF('A1. Data scoring'!S149&lt;&gt;"N/A","Yes","No")</f>
        <v/>
      </c>
      <c r="O30" s="8">
        <f>COUNTIF(C30:N30,"Yes")</f>
        <v/>
      </c>
    </row>
    <row r="31">
      <c r="B31" s="7" t="inlineStr">
        <is>
          <t>NB2(c)</t>
        </is>
      </c>
      <c r="C31" s="55">
        <f>IF('A1. Data scoring'!H155&lt;&gt;"N/A","Yes","No")</f>
        <v/>
      </c>
      <c r="D31" s="55">
        <f>IF('A1. Data scoring'!I155&lt;&gt;"N/A","Yes","No")</f>
        <v/>
      </c>
      <c r="E31" s="55">
        <f>IF('A1. Data scoring'!J155&lt;&gt;"N/A","Yes","No")</f>
        <v/>
      </c>
      <c r="F31" s="55">
        <f>IF('A1. Data scoring'!K155&lt;&gt;"N/A","Yes","No")</f>
        <v/>
      </c>
      <c r="G31" s="55">
        <f>IF('A1. Data scoring'!L155&lt;&gt;"N/A","Yes","No")</f>
        <v/>
      </c>
      <c r="H31" s="55">
        <f>IF('A1. Data scoring'!M155&lt;&gt;"N/A","Yes","No")</f>
        <v/>
      </c>
      <c r="I31" s="55">
        <f>IF('A1. Data scoring'!N155&lt;&gt;"N/A","Yes","No")</f>
        <v/>
      </c>
      <c r="J31" s="55">
        <f>IF('A1. Data scoring'!O155&lt;&gt;"N/A","Yes","No")</f>
        <v/>
      </c>
      <c r="K31" s="55">
        <f>IF('A1. Data scoring'!P155&lt;&gt;"N/A","Yes","No")</f>
        <v/>
      </c>
      <c r="L31" s="55">
        <f>IF('A1. Data scoring'!Q155&lt;&gt;"N/A","Yes","No")</f>
        <v/>
      </c>
      <c r="M31" s="55">
        <f>IF('A1. Data scoring'!R155&lt;&gt;"N/A","Yes","No")</f>
        <v/>
      </c>
      <c r="N31" s="55">
        <f>IF('A1. Data scoring'!S155&lt;&gt;"N/A","Yes","No")</f>
        <v/>
      </c>
      <c r="O31" s="8">
        <f>COUNTIF(C31:N31,"Yes")</f>
        <v/>
      </c>
    </row>
    <row r="32">
      <c r="B32" s="7" t="inlineStr">
        <is>
          <t>AI1(a)</t>
        </is>
      </c>
      <c r="C32" s="55">
        <f>IF('A1. Data scoring'!H161&lt;&gt;"N/A","Yes","No")</f>
        <v/>
      </c>
      <c r="D32" s="55">
        <f>IF('A1. Data scoring'!I161&lt;&gt;"N/A","Yes","No")</f>
        <v/>
      </c>
      <c r="E32" s="55">
        <f>IF('A1. Data scoring'!J161&lt;&gt;"N/A","Yes","No")</f>
        <v/>
      </c>
      <c r="F32" s="55">
        <f>IF('A1. Data scoring'!K161&lt;&gt;"N/A","Yes","No")</f>
        <v/>
      </c>
      <c r="G32" s="55">
        <f>IF('A1. Data scoring'!L161&lt;&gt;"N/A","Yes","No")</f>
        <v/>
      </c>
      <c r="H32" s="55">
        <f>IF('A1. Data scoring'!M161&lt;&gt;"N/A","Yes","No")</f>
        <v/>
      </c>
      <c r="I32" s="55">
        <f>IF('A1. Data scoring'!N161&lt;&gt;"N/A","Yes","No")</f>
        <v/>
      </c>
      <c r="J32" s="55">
        <f>IF('A1. Data scoring'!O161&lt;&gt;"N/A","Yes","No")</f>
        <v/>
      </c>
      <c r="K32" s="55">
        <f>IF('A1. Data scoring'!P161&lt;&gt;"N/A","Yes","No")</f>
        <v/>
      </c>
      <c r="L32" s="55">
        <f>IF('A1. Data scoring'!Q161&lt;&gt;"N/A","Yes","No")</f>
        <v/>
      </c>
      <c r="M32" s="55">
        <f>IF('A1. Data scoring'!R161&lt;&gt;"N/A","Yes","No")</f>
        <v/>
      </c>
      <c r="N32" s="55">
        <f>IF('A1. Data scoring'!S161&lt;&gt;"N/A","Yes","No")</f>
        <v/>
      </c>
      <c r="O32" s="8">
        <f>COUNTIF(C32:N32,"Yes")</f>
        <v/>
      </c>
    </row>
    <row r="33">
      <c r="B33" s="7" t="inlineStr">
        <is>
          <t>AI1(b)</t>
        </is>
      </c>
      <c r="C33" s="55">
        <f>IF('A1. Data scoring'!H167&lt;&gt;"N/A","Yes","No")</f>
        <v/>
      </c>
      <c r="D33" s="55">
        <f>IF('A1. Data scoring'!I167&lt;&gt;"N/A","Yes","No")</f>
        <v/>
      </c>
      <c r="E33" s="55">
        <f>IF('A1. Data scoring'!J167&lt;&gt;"N/A","Yes","No")</f>
        <v/>
      </c>
      <c r="F33" s="55">
        <f>IF('A1. Data scoring'!K167&lt;&gt;"N/A","Yes","No")</f>
        <v/>
      </c>
      <c r="G33" s="55">
        <f>IF('A1. Data scoring'!L167&lt;&gt;"N/A","Yes","No")</f>
        <v/>
      </c>
      <c r="H33" s="55">
        <f>IF('A1. Data scoring'!M167&lt;&gt;"N/A","Yes","No")</f>
        <v/>
      </c>
      <c r="I33" s="55">
        <f>IF('A1. Data scoring'!N167&lt;&gt;"N/A","Yes","No")</f>
        <v/>
      </c>
      <c r="J33" s="55">
        <f>IF('A1. Data scoring'!O167&lt;&gt;"N/A","Yes","No")</f>
        <v/>
      </c>
      <c r="K33" s="55">
        <f>IF('A1. Data scoring'!P167&lt;&gt;"N/A","Yes","No")</f>
        <v/>
      </c>
      <c r="L33" s="55">
        <f>IF('A1. Data scoring'!Q167&lt;&gt;"N/A","Yes","No")</f>
        <v/>
      </c>
      <c r="M33" s="55">
        <f>IF('A1. Data scoring'!R167&lt;&gt;"N/A","Yes","No")</f>
        <v/>
      </c>
      <c r="N33" s="55">
        <f>IF('A1. Data scoring'!S167&lt;&gt;"N/A","Yes","No")</f>
        <v/>
      </c>
      <c r="O33" s="8">
        <f>COUNTIF(C33:N33,"Yes")</f>
        <v/>
      </c>
    </row>
    <row r="34">
      <c r="B34" s="7" t="inlineStr">
        <is>
          <t>EI1(a)</t>
        </is>
      </c>
      <c r="C34" s="55">
        <f>IF('A1. Data scoring'!H173&lt;&gt;"N/A","Yes","No")</f>
        <v/>
      </c>
      <c r="D34" s="55">
        <f>IF('A1. Data scoring'!I173&lt;&gt;"N/A","Yes","No")</f>
        <v/>
      </c>
      <c r="E34" s="55">
        <f>IF('A1. Data scoring'!J173&lt;&gt;"N/A","Yes","No")</f>
        <v/>
      </c>
      <c r="F34" s="55">
        <f>IF('A1. Data scoring'!K173&lt;&gt;"N/A","Yes","No")</f>
        <v/>
      </c>
      <c r="G34" s="55">
        <f>IF('A1. Data scoring'!L173&lt;&gt;"N/A","Yes","No")</f>
        <v/>
      </c>
      <c r="H34" s="55">
        <f>IF('A1. Data scoring'!M173&lt;&gt;"N/A","Yes","No")</f>
        <v/>
      </c>
      <c r="I34" s="55">
        <f>IF('A1. Data scoring'!N173&lt;&gt;"N/A","Yes","No")</f>
        <v/>
      </c>
      <c r="J34" s="55">
        <f>IF('A1. Data scoring'!O173&lt;&gt;"N/A","Yes","No")</f>
        <v/>
      </c>
      <c r="K34" s="55">
        <f>IF('A1. Data scoring'!P173&lt;&gt;"N/A","Yes","No")</f>
        <v/>
      </c>
      <c r="L34" s="55">
        <f>IF('A1. Data scoring'!Q173&lt;&gt;"N/A","Yes","No")</f>
        <v/>
      </c>
      <c r="M34" s="55">
        <f>IF('A1. Data scoring'!R173&lt;&gt;"N/A","Yes","No")</f>
        <v/>
      </c>
      <c r="N34" s="55">
        <f>IF('A1. Data scoring'!S173&lt;&gt;"N/A","Yes","No")</f>
        <v/>
      </c>
      <c r="O34" s="8">
        <f>COUNTIF(C34:N34,"Yes")</f>
        <v/>
      </c>
    </row>
    <row r="35">
      <c r="B35" s="7" t="inlineStr">
        <is>
          <t>EI1(b)</t>
        </is>
      </c>
      <c r="C35" s="55">
        <f>IF('A1. Data scoring'!H179&lt;&gt;"N/A","Yes","No")</f>
        <v/>
      </c>
      <c r="D35" s="55">
        <f>IF('A1. Data scoring'!I179&lt;&gt;"N/A","Yes","No")</f>
        <v/>
      </c>
      <c r="E35" s="55">
        <f>IF('A1. Data scoring'!J179&lt;&gt;"N/A","Yes","No")</f>
        <v/>
      </c>
      <c r="F35" s="55">
        <f>IF('A1. Data scoring'!K179&lt;&gt;"N/A","Yes","No")</f>
        <v/>
      </c>
      <c r="G35" s="55">
        <f>IF('A1. Data scoring'!L179&lt;&gt;"N/A","Yes","No")</f>
        <v/>
      </c>
      <c r="H35" s="55">
        <f>IF('A1. Data scoring'!M179&lt;&gt;"N/A","Yes","No")</f>
        <v/>
      </c>
      <c r="I35" s="55">
        <f>IF('A1. Data scoring'!N179&lt;&gt;"N/A","Yes","No")</f>
        <v/>
      </c>
      <c r="J35" s="55">
        <f>IF('A1. Data scoring'!O179&lt;&gt;"N/A","Yes","No")</f>
        <v/>
      </c>
      <c r="K35" s="55">
        <f>IF('A1. Data scoring'!P179&lt;&gt;"N/A","Yes","No")</f>
        <v/>
      </c>
      <c r="L35" s="55">
        <f>IF('A1. Data scoring'!Q179&lt;&gt;"N/A","Yes","No")</f>
        <v/>
      </c>
      <c r="M35" s="55">
        <f>IF('A1. Data scoring'!R179&lt;&gt;"N/A","Yes","No")</f>
        <v/>
      </c>
      <c r="N35" s="55">
        <f>IF('A1. Data scoring'!S179&lt;&gt;"N/A","Yes","No")</f>
        <v/>
      </c>
      <c r="O35" s="8">
        <f>COUNTIF(C35:N35,"Yes")</f>
        <v/>
      </c>
    </row>
    <row r="36">
      <c r="B36" s="7" t="inlineStr">
        <is>
          <t>EI1(c)</t>
        </is>
      </c>
      <c r="C36" s="55">
        <f>IF('A1. Data scoring'!H185&lt;&gt;"N/A","Yes","No")</f>
        <v/>
      </c>
      <c r="D36" s="55">
        <f>IF('A1. Data scoring'!I185&lt;&gt;"N/A","Yes","No")</f>
        <v/>
      </c>
      <c r="E36" s="55">
        <f>IF('A1. Data scoring'!J185&lt;&gt;"N/A","Yes","No")</f>
        <v/>
      </c>
      <c r="F36" s="55">
        <f>IF('A1. Data scoring'!K185&lt;&gt;"N/A","Yes","No")</f>
        <v/>
      </c>
      <c r="G36" s="55">
        <f>IF('A1. Data scoring'!L185&lt;&gt;"N/A","Yes","No")</f>
        <v/>
      </c>
      <c r="H36" s="55">
        <f>IF('A1. Data scoring'!M185&lt;&gt;"N/A","Yes","No")</f>
        <v/>
      </c>
      <c r="I36" s="55">
        <f>IF('A1. Data scoring'!N185&lt;&gt;"N/A","Yes","No")</f>
        <v/>
      </c>
      <c r="J36" s="55">
        <f>IF('A1. Data scoring'!O185&lt;&gt;"N/A","Yes","No")</f>
        <v/>
      </c>
      <c r="K36" s="55">
        <f>IF('A1. Data scoring'!P185&lt;&gt;"N/A","Yes","No")</f>
        <v/>
      </c>
      <c r="L36" s="55">
        <f>IF('A1. Data scoring'!Q185&lt;&gt;"N/A","Yes","No")</f>
        <v/>
      </c>
      <c r="M36" s="55">
        <f>IF('A1. Data scoring'!R185&lt;&gt;"N/A","Yes","No")</f>
        <v/>
      </c>
      <c r="N36" s="55">
        <f>IF('A1. Data scoring'!S185&lt;&gt;"N/A","Yes","No")</f>
        <v/>
      </c>
      <c r="O36" s="8">
        <f>COUNTIF(C36:N36,"Yes")</f>
        <v/>
      </c>
    </row>
    <row r="37">
      <c r="B37" s="7" t="inlineStr">
        <is>
          <t>EI1(d)</t>
        </is>
      </c>
      <c r="C37" s="55">
        <f>IF('A1. Data scoring'!H191&lt;&gt;"N/A","Yes","No")</f>
        <v/>
      </c>
      <c r="D37" s="55">
        <f>IF('A1. Data scoring'!I191&lt;&gt;"N/A","Yes","No")</f>
        <v/>
      </c>
      <c r="E37" s="55">
        <f>IF('A1. Data scoring'!J191&lt;&gt;"N/A","Yes","No")</f>
        <v/>
      </c>
      <c r="F37" s="55">
        <f>IF('A1. Data scoring'!K191&lt;&gt;"N/A","Yes","No")</f>
        <v/>
      </c>
      <c r="G37" s="55">
        <f>IF('A1. Data scoring'!L191&lt;&gt;"N/A","Yes","No")</f>
        <v/>
      </c>
      <c r="H37" s="55">
        <f>IF('A1. Data scoring'!M191&lt;&gt;"N/A","Yes","No")</f>
        <v/>
      </c>
      <c r="I37" s="55">
        <f>IF('A1. Data scoring'!N191&lt;&gt;"N/A","Yes","No")</f>
        <v/>
      </c>
      <c r="J37" s="55">
        <f>IF('A1. Data scoring'!O191&lt;&gt;"N/A","Yes","No")</f>
        <v/>
      </c>
      <c r="K37" s="55">
        <f>IF('A1. Data scoring'!P191&lt;&gt;"N/A","Yes","No")</f>
        <v/>
      </c>
      <c r="L37" s="55">
        <f>IF('A1. Data scoring'!Q191&lt;&gt;"N/A","Yes","No")</f>
        <v/>
      </c>
      <c r="M37" s="55">
        <f>IF('A1. Data scoring'!R191&lt;&gt;"N/A","Yes","No")</f>
        <v/>
      </c>
      <c r="N37" s="55">
        <f>IF('A1. Data scoring'!S191&lt;&gt;"N/A","Yes","No")</f>
        <v/>
      </c>
      <c r="O37" s="8">
        <f>COUNTIF(C37:N37,"Yes")</f>
        <v/>
      </c>
    </row>
    <row r="38">
      <c r="B38" s="7" t="inlineStr">
        <is>
          <t>RP1(a)</t>
        </is>
      </c>
      <c r="C38" s="55">
        <f>IF('A1. Data scoring'!H197&lt;&gt;"N/A","Yes","No")</f>
        <v/>
      </c>
      <c r="D38" s="55">
        <f>IF('A1. Data scoring'!I197&lt;&gt;"N/A","Yes","No")</f>
        <v/>
      </c>
      <c r="E38" s="55">
        <f>IF('A1. Data scoring'!J197&lt;&gt;"N/A","Yes","No")</f>
        <v/>
      </c>
      <c r="F38" s="55">
        <f>IF('A1. Data scoring'!K197&lt;&gt;"N/A","Yes","No")</f>
        <v/>
      </c>
      <c r="G38" s="55">
        <f>IF('A1. Data scoring'!L197&lt;&gt;"N/A","Yes","No")</f>
        <v/>
      </c>
      <c r="H38" s="55">
        <f>IF('A1. Data scoring'!M197&lt;&gt;"N/A","Yes","No")</f>
        <v/>
      </c>
      <c r="I38" s="55">
        <f>IF('A1. Data scoring'!N197&lt;&gt;"N/A","Yes","No")</f>
        <v/>
      </c>
      <c r="J38" s="55">
        <f>IF('A1. Data scoring'!O197&lt;&gt;"N/A","Yes","No")</f>
        <v/>
      </c>
      <c r="K38" s="55">
        <f>IF('A1. Data scoring'!P197&lt;&gt;"N/A","Yes","No")</f>
        <v/>
      </c>
      <c r="L38" s="55">
        <f>IF('A1. Data scoring'!Q197&lt;&gt;"N/A","Yes","No")</f>
        <v/>
      </c>
      <c r="M38" s="55">
        <f>IF('A1. Data scoring'!R197&lt;&gt;"N/A","Yes","No")</f>
        <v/>
      </c>
      <c r="N38" s="55">
        <f>IF('A1. Data scoring'!S197&lt;&gt;"N/A","Yes","No")</f>
        <v/>
      </c>
      <c r="O38" s="8">
        <f>COUNTIF(C38:N38,"Yes")</f>
        <v/>
      </c>
    </row>
    <row r="39">
      <c r="B39" s="7" t="inlineStr">
        <is>
          <t>MS1(a)</t>
        </is>
      </c>
      <c r="C39" s="55">
        <f>IF('A1. Data scoring'!H203&lt;&gt;"N/A","Yes","No")</f>
        <v/>
      </c>
      <c r="D39" s="55">
        <f>IF('A1. Data scoring'!I203&lt;&gt;"N/A","Yes","No")</f>
        <v/>
      </c>
      <c r="E39" s="55">
        <f>IF('A1. Data scoring'!J203&lt;&gt;"N/A","Yes","No")</f>
        <v/>
      </c>
      <c r="F39" s="55">
        <f>IF('A1. Data scoring'!K203&lt;&gt;"N/A","Yes","No")</f>
        <v/>
      </c>
      <c r="G39" s="55">
        <f>IF('A1. Data scoring'!L203&lt;&gt;"N/A","Yes","No")</f>
        <v/>
      </c>
      <c r="H39" s="55">
        <f>IF('A1. Data scoring'!M203&lt;&gt;"N/A","Yes","No")</f>
        <v/>
      </c>
      <c r="I39" s="55">
        <f>IF('A1. Data scoring'!N203&lt;&gt;"N/A","Yes","No")</f>
        <v/>
      </c>
      <c r="J39" s="55">
        <f>IF('A1. Data scoring'!O203&lt;&gt;"N/A","Yes","No")</f>
        <v/>
      </c>
      <c r="K39" s="55">
        <f>IF('A1. Data scoring'!P203&lt;&gt;"N/A","Yes","No")</f>
        <v/>
      </c>
      <c r="L39" s="55">
        <f>IF('A1. Data scoring'!Q203&lt;&gt;"N/A","Yes","No")</f>
        <v/>
      </c>
      <c r="M39" s="55">
        <f>IF('A1. Data scoring'!R203&lt;&gt;"N/A","Yes","No")</f>
        <v/>
      </c>
      <c r="N39" s="55">
        <f>IF('A1. Data scoring'!S203&lt;&gt;"N/A","Yes","No")</f>
        <v/>
      </c>
      <c r="O39" s="8">
        <f>COUNTIF(C39:N39,"Yes")</f>
        <v/>
      </c>
    </row>
    <row r="40">
      <c r="B40" s="7" t="inlineStr">
        <is>
          <t>RI1(b)</t>
        </is>
      </c>
      <c r="C40" s="55">
        <f>IF('A1. Data scoring'!H209&lt;&gt;"N/A","Yes","No")</f>
        <v/>
      </c>
      <c r="D40" s="55">
        <f>IF('A1. Data scoring'!I209&lt;&gt;"N/A","Yes","No")</f>
        <v/>
      </c>
      <c r="E40" s="55">
        <f>IF('A1. Data scoring'!J209&lt;&gt;"N/A","Yes","No")</f>
        <v/>
      </c>
      <c r="F40" s="55">
        <f>IF('A1. Data scoring'!K209&lt;&gt;"N/A","Yes","No")</f>
        <v/>
      </c>
      <c r="G40" s="55">
        <f>IF('A1. Data scoring'!L209&lt;&gt;"N/A","Yes","No")</f>
        <v/>
      </c>
      <c r="H40" s="55">
        <f>IF('A1. Data scoring'!M209&lt;&gt;"N/A","Yes","No")</f>
        <v/>
      </c>
      <c r="I40" s="55">
        <f>IF('A1. Data scoring'!N209&lt;&gt;"N/A","Yes","No")</f>
        <v/>
      </c>
      <c r="J40" s="55">
        <f>IF('A1. Data scoring'!O209&lt;&gt;"N/A","Yes","No")</f>
        <v/>
      </c>
      <c r="K40" s="55">
        <f>IF('A1. Data scoring'!P209&lt;&gt;"N/A","Yes","No")</f>
        <v/>
      </c>
      <c r="L40" s="55">
        <f>IF('A1. Data scoring'!Q209&lt;&gt;"N/A","Yes","No")</f>
        <v/>
      </c>
      <c r="M40" s="55">
        <f>IF('A1. Data scoring'!R209&lt;&gt;"N/A","Yes","No")</f>
        <v/>
      </c>
      <c r="N40" s="55">
        <f>IF('A1. Data scoring'!S209&lt;&gt;"N/A","Yes","No")</f>
        <v/>
      </c>
      <c r="O40" s="8">
        <f>COUNTIF(C40:N40,"Yes")</f>
        <v/>
      </c>
    </row>
    <row r="41">
      <c r="B41" s="7" t="inlineStr">
        <is>
          <t>EN1(a)</t>
        </is>
      </c>
      <c r="C41" s="55">
        <f>IF('A1. Data scoring'!H215&lt;&gt;"N/A","Yes","No")</f>
        <v/>
      </c>
      <c r="D41" s="55">
        <f>IF('A1. Data scoring'!I215&lt;&gt;"N/A","Yes","No")</f>
        <v/>
      </c>
      <c r="E41" s="55">
        <f>IF('A1. Data scoring'!J215&lt;&gt;"N/A","Yes","No")</f>
        <v/>
      </c>
      <c r="F41" s="55">
        <f>IF('A1. Data scoring'!K215&lt;&gt;"N/A","Yes","No")</f>
        <v/>
      </c>
      <c r="G41" s="55">
        <f>IF('A1. Data scoring'!L215&lt;&gt;"N/A","Yes","No")</f>
        <v/>
      </c>
      <c r="H41" s="55">
        <f>IF('A1. Data scoring'!M215&lt;&gt;"N/A","Yes","No")</f>
        <v/>
      </c>
      <c r="I41" s="55">
        <f>IF('A1. Data scoring'!N215&lt;&gt;"N/A","Yes","No")</f>
        <v/>
      </c>
      <c r="J41" s="55">
        <f>IF('A1. Data scoring'!O215&lt;&gt;"N/A","Yes","No")</f>
        <v/>
      </c>
      <c r="K41" s="55">
        <f>IF('A1. Data scoring'!P215&lt;&gt;"N/A","Yes","No")</f>
        <v/>
      </c>
      <c r="L41" s="55">
        <f>IF('A1. Data scoring'!Q215&lt;&gt;"N/A","Yes","No")</f>
        <v/>
      </c>
      <c r="M41" s="55">
        <f>IF('A1. Data scoring'!R215&lt;&gt;"N/A","Yes","No")</f>
        <v/>
      </c>
      <c r="N41" s="55">
        <f>IF('A1. Data scoring'!S215&lt;&gt;"N/A","Yes","No")</f>
        <v/>
      </c>
      <c r="O41" s="8">
        <f>COUNTIF(C41:N41,"Yes")</f>
        <v/>
      </c>
    </row>
    <row r="42">
      <c r="B42" s="7" t="inlineStr">
        <is>
          <t>EN1(b)</t>
        </is>
      </c>
      <c r="C42" s="55">
        <f>IF('A1. Data scoring'!H221&lt;&gt;"N/A","Yes","No")</f>
        <v/>
      </c>
      <c r="D42" s="55">
        <f>IF('A1. Data scoring'!I221&lt;&gt;"N/A","Yes","No")</f>
        <v/>
      </c>
      <c r="E42" s="55">
        <f>IF('A1. Data scoring'!J221&lt;&gt;"N/A","Yes","No")</f>
        <v/>
      </c>
      <c r="F42" s="55">
        <f>IF('A1. Data scoring'!K221&lt;&gt;"N/A","Yes","No")</f>
        <v/>
      </c>
      <c r="G42" s="55">
        <f>IF('A1. Data scoring'!L221&lt;&gt;"N/A","Yes","No")</f>
        <v/>
      </c>
      <c r="H42" s="55">
        <f>IF('A1. Data scoring'!M221&lt;&gt;"N/A","Yes","No")</f>
        <v/>
      </c>
      <c r="I42" s="55">
        <f>IF('A1. Data scoring'!N221&lt;&gt;"N/A","Yes","No")</f>
        <v/>
      </c>
      <c r="J42" s="55">
        <f>IF('A1. Data scoring'!O221&lt;&gt;"N/A","Yes","No")</f>
        <v/>
      </c>
      <c r="K42" s="55">
        <f>IF('A1. Data scoring'!P221&lt;&gt;"N/A","Yes","No")</f>
        <v/>
      </c>
      <c r="L42" s="55">
        <f>IF('A1. Data scoring'!Q221&lt;&gt;"N/A","Yes","No")</f>
        <v/>
      </c>
      <c r="M42" s="55">
        <f>IF('A1. Data scoring'!R221&lt;&gt;"N/A","Yes","No")</f>
        <v/>
      </c>
      <c r="N42" s="55">
        <f>IF('A1. Data scoring'!S221&lt;&gt;"N/A","Yes","No")</f>
        <v/>
      </c>
      <c r="O42" s="8">
        <f>COUNTIF(C42:N42,"Yes")</f>
        <v/>
      </c>
    </row>
    <row r="43">
      <c r="B43" s="7" t="inlineStr">
        <is>
          <t>EN1(c)</t>
        </is>
      </c>
      <c r="C43" s="55">
        <f>IF('A1. Data scoring'!H227&lt;&gt;"N/A","Yes","No")</f>
        <v/>
      </c>
      <c r="D43" s="55">
        <f>IF('A1. Data scoring'!I227&lt;&gt;"N/A","Yes","No")</f>
        <v/>
      </c>
      <c r="E43" s="55">
        <f>IF('A1. Data scoring'!J227&lt;&gt;"N/A","Yes","No")</f>
        <v/>
      </c>
      <c r="F43" s="55">
        <f>IF('A1. Data scoring'!K227&lt;&gt;"N/A","Yes","No")</f>
        <v/>
      </c>
      <c r="G43" s="55">
        <f>IF('A1. Data scoring'!L227&lt;&gt;"N/A","Yes","No")</f>
        <v/>
      </c>
      <c r="H43" s="55">
        <f>IF('A1. Data scoring'!M227&lt;&gt;"N/A","Yes","No")</f>
        <v/>
      </c>
      <c r="I43" s="55">
        <f>IF('A1. Data scoring'!N227&lt;&gt;"N/A","Yes","No")</f>
        <v/>
      </c>
      <c r="J43" s="55">
        <f>IF('A1. Data scoring'!O227&lt;&gt;"N/A","Yes","No")</f>
        <v/>
      </c>
      <c r="K43" s="55">
        <f>IF('A1. Data scoring'!P227&lt;&gt;"N/A","Yes","No")</f>
        <v/>
      </c>
      <c r="L43" s="55">
        <f>IF('A1. Data scoring'!Q227&lt;&gt;"N/A","Yes","No")</f>
        <v/>
      </c>
      <c r="M43" s="55">
        <f>IF('A1. Data scoring'!R227&lt;&gt;"N/A","Yes","No")</f>
        <v/>
      </c>
      <c r="N43" s="55">
        <f>IF('A1. Data scoring'!S227&lt;&gt;"N/A","Yes","No")</f>
        <v/>
      </c>
      <c r="O43" s="8">
        <f>COUNTIF(C43:N43,"Yes")</f>
        <v/>
      </c>
    </row>
    <row r="44">
      <c r="B44" s="7" t="inlineStr">
        <is>
          <t>EN1(d)</t>
        </is>
      </c>
      <c r="C44" s="55">
        <f>IF('A1. Data scoring'!H233&lt;&gt;"N/A","Yes","No")</f>
        <v/>
      </c>
      <c r="D44" s="55">
        <f>IF('A1. Data scoring'!I233&lt;&gt;"N/A","Yes","No")</f>
        <v/>
      </c>
      <c r="E44" s="55">
        <f>IF('A1. Data scoring'!J233&lt;&gt;"N/A","Yes","No")</f>
        <v/>
      </c>
      <c r="F44" s="55">
        <f>IF('A1. Data scoring'!K233&lt;&gt;"N/A","Yes","No")</f>
        <v/>
      </c>
      <c r="G44" s="55">
        <f>IF('A1. Data scoring'!L233&lt;&gt;"N/A","Yes","No")</f>
        <v/>
      </c>
      <c r="H44" s="55">
        <f>IF('A1. Data scoring'!M233&lt;&gt;"N/A","Yes","No")</f>
        <v/>
      </c>
      <c r="I44" s="55">
        <f>IF('A1. Data scoring'!N233&lt;&gt;"N/A","Yes","No")</f>
        <v/>
      </c>
      <c r="J44" s="55">
        <f>IF('A1. Data scoring'!O233&lt;&gt;"N/A","Yes","No")</f>
        <v/>
      </c>
      <c r="K44" s="55">
        <f>IF('A1. Data scoring'!P233&lt;&gt;"N/A","Yes","No")</f>
        <v/>
      </c>
      <c r="L44" s="55">
        <f>IF('A1. Data scoring'!Q233&lt;&gt;"N/A","Yes","No")</f>
        <v/>
      </c>
      <c r="M44" s="55">
        <f>IF('A1. Data scoring'!R233&lt;&gt;"N/A","Yes","No")</f>
        <v/>
      </c>
      <c r="N44" s="55">
        <f>IF('A1. Data scoring'!S233&lt;&gt;"N/A","Yes","No")</f>
        <v/>
      </c>
      <c r="O44" s="8">
        <f>COUNTIF(C44:N44,"Yes")</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16" customWidth="1" min="13" max="13"/>
    <col width="16" customWidth="1" min="14" max="14"/>
    <col width="40" customWidth="1" min="15" max="15"/>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Target score (text)</t>
        </is>
      </c>
      <c r="N7" s="6" t="inlineStr">
        <is>
          <t>Threshold status (SR25 rule)</t>
        </is>
      </c>
      <c r="O7" s="6" t="inlineStr">
        <is>
          <t>Reviewer notes</t>
        </is>
      </c>
    </row>
    <row r="8">
      <c r="B8" s="7" t="inlineStr">
        <is>
          <t>EE1(a)</t>
        </is>
      </c>
      <c r="C8" s="50" t="inlineStr">
        <is>
          <t>Evidence of innovative approaches to sustainability teaching and learning</t>
        </is>
      </c>
      <c r="D8" s="56" t="inlineStr">
        <is>
          <t>Unit</t>
        </is>
      </c>
      <c r="E8" s="56" t="inlineStr">
        <is>
          <t>ABP</t>
        </is>
      </c>
      <c r="F8" s="56" t="inlineStr">
        <is>
          <t>ARTS</t>
        </is>
      </c>
      <c r="G8" s="56" t="inlineStr">
        <is>
          <t>FBE</t>
        </is>
      </c>
      <c r="H8" s="56" t="inlineStr">
        <is>
          <t>SCI</t>
        </is>
      </c>
      <c r="I8" s="56" t="inlineStr">
        <is>
          <t>CI&amp;S – Sustainability Strategy</t>
        </is>
      </c>
      <c r="M8" s="57">
        <f>'A1. Data scoring'!AC11</f>
        <v/>
      </c>
      <c r="N8" s="57">
        <f>'A1. Data scoring'!AF11</f>
        <v/>
      </c>
      <c r="O8" s="8" t="n"/>
    </row>
    <row r="9" ht="18" customHeight="1">
      <c r="B9" s="58" t="inlineStr">
        <is>
          <t>EE1(a)</t>
        </is>
      </c>
      <c r="D9" s="13" t="inlineStr">
        <is>
          <t>Confirm end-2026 target status</t>
        </is>
      </c>
      <c r="E9" s="59">
        <f>'A1. Data scoring'!H11</f>
        <v/>
      </c>
      <c r="F9" s="59">
        <f>'A1. Data scoring'!I11</f>
        <v/>
      </c>
      <c r="G9" s="59">
        <f>'A1. Data scoring'!J11</f>
        <v/>
      </c>
      <c r="H9" s="59">
        <f>'A1. Data scoring'!K11</f>
        <v/>
      </c>
      <c r="I9" s="59">
        <f>'A1. Data scoring'!M11</f>
        <v/>
      </c>
      <c r="O9" s="60" t="n"/>
    </row>
    <row r="10" ht="60" customHeight="1">
      <c r="B10" s="58" t="inlineStr">
        <is>
          <t>EE1(a)</t>
        </is>
      </c>
      <c r="D10" s="13" t="inlineStr">
        <is>
          <t>OPTION 1:  Target-level reporting</t>
        </is>
      </c>
      <c r="E10" s="59">
        <f>'A1. Data scoring'!H12</f>
        <v/>
      </c>
      <c r="F10" s="59">
        <f>'A1. Data scoring'!I12</f>
        <v/>
      </c>
      <c r="G10" s="59">
        <f>'A1. Data scoring'!J12</f>
        <v/>
      </c>
      <c r="H10" s="59">
        <f>'A1. Data scoring'!K12</f>
        <v/>
      </c>
      <c r="I10" s="59">
        <f>'A1. Data scoring'!M12</f>
        <v/>
      </c>
      <c r="O10" s="60" t="n"/>
    </row>
    <row r="11" ht="60" customHeight="1">
      <c r="B11" s="58" t="inlineStr">
        <is>
          <t>EE1(a)</t>
        </is>
      </c>
      <c r="D11" s="13" t="inlineStr">
        <is>
          <t>OPTION 2:  Indicator level reporting</t>
        </is>
      </c>
      <c r="E11" s="59">
        <f>'A1. Data scoring'!H13</f>
        <v/>
      </c>
      <c r="F11" s="59">
        <f>'A1. Data scoring'!I13</f>
        <v/>
      </c>
      <c r="G11" s="59">
        <f>'A1. Data scoring'!J13</f>
        <v/>
      </c>
      <c r="H11" s="59">
        <f>'A1. Data scoring'!K13</f>
        <v/>
      </c>
      <c r="I11" s="59">
        <f>'A1. Data scoring'!M13</f>
        <v/>
      </c>
      <c r="O11" s="60" t="n"/>
    </row>
    <row r="12" ht="18" customHeight="1">
      <c r="B12" s="58" t="inlineStr">
        <is>
          <t>EE1(a)</t>
        </is>
      </c>
      <c r="D12" s="13" t="inlineStr">
        <is>
          <t>Supporting information/comments</t>
        </is>
      </c>
      <c r="E12" s="59">
        <f>'A1. Data scoring'!H14</f>
        <v/>
      </c>
      <c r="F12" s="59">
        <f>'A1. Data scoring'!I14</f>
        <v/>
      </c>
      <c r="G12" s="59">
        <f>'A1. Data scoring'!J14</f>
        <v/>
      </c>
      <c r="H12" s="59">
        <f>'A1. Data scoring'!K14</f>
        <v/>
      </c>
      <c r="I12" s="59">
        <f>'A1. Data scoring'!M14</f>
        <v/>
      </c>
      <c r="O12" s="60" t="n"/>
    </row>
    <row r="13" ht="18" customHeight="1">
      <c r="B13" s="58" t="inlineStr">
        <is>
          <t>EE1(a)</t>
        </is>
      </c>
      <c r="D13" s="13" t="inlineStr">
        <is>
          <t>Data source and limitations</t>
        </is>
      </c>
      <c r="E13" s="59">
        <f>'A1. Data scoring'!H15</f>
        <v/>
      </c>
      <c r="F13" s="59">
        <f>'A1. Data scoring'!I15</f>
        <v/>
      </c>
      <c r="G13" s="59">
        <f>'A1. Data scoring'!J15</f>
        <v/>
      </c>
      <c r="H13" s="59">
        <f>'A1. Data scoring'!K15</f>
        <v/>
      </c>
      <c r="I13" s="59">
        <f>'A1. Data scoring'!M15</f>
        <v/>
      </c>
      <c r="O13" s="60" t="n"/>
    </row>
    <row r="14" ht="18" customHeight="1">
      <c r="B14" s="58" t="inlineStr">
        <is>
          <t>EE1(a)</t>
        </is>
      </c>
      <c r="D14" s="13" t="inlineStr">
        <is>
          <t>Data owner confirms</t>
        </is>
      </c>
      <c r="E14" s="59">
        <f>'A1. Data scoring'!H16</f>
        <v/>
      </c>
      <c r="F14" s="59">
        <f>'A1. Data scoring'!I16</f>
        <v/>
      </c>
      <c r="G14" s="59">
        <f>'A1. Data scoring'!J16</f>
        <v/>
      </c>
      <c r="H14" s="59">
        <f>'A1. Data scoring'!K16</f>
        <v/>
      </c>
      <c r="I14" s="59">
        <f>'A1. Data scoring'!M16</f>
        <v/>
      </c>
      <c r="O14" s="61" t="n"/>
    </row>
    <row r="16">
      <c r="B16" s="7" t="inlineStr">
        <is>
          <t>EE1(b)</t>
        </is>
      </c>
      <c r="C16" s="50" t="inlineStr">
        <is>
          <t>Pilots of possible approaches for understanding and developing students’ sustainability self-efficacy</t>
        </is>
      </c>
      <c r="D16" s="56" t="inlineStr">
        <is>
          <t>Unit</t>
        </is>
      </c>
      <c r="E16" s="56" t="inlineStr">
        <is>
          <t>ABP</t>
        </is>
      </c>
      <c r="F16" s="56" t="inlineStr">
        <is>
          <t>ARTS</t>
        </is>
      </c>
      <c r="G16" s="56" t="inlineStr">
        <is>
          <t>FBE</t>
        </is>
      </c>
      <c r="H16" s="56" t="inlineStr">
        <is>
          <t>SCI</t>
        </is>
      </c>
      <c r="I16" s="56" t="inlineStr">
        <is>
          <t>CI&amp;S – Sustainability Strategy</t>
        </is>
      </c>
      <c r="M16" s="57">
        <f>'A1. Data scoring'!AC17</f>
        <v/>
      </c>
      <c r="N16" s="57">
        <f>'A1. Data scoring'!AF17</f>
        <v/>
      </c>
      <c r="O16" s="8" t="n"/>
    </row>
    <row r="17" ht="18" customHeight="1">
      <c r="B17" s="58" t="inlineStr">
        <is>
          <t>EE1(b)</t>
        </is>
      </c>
      <c r="D17" s="13" t="inlineStr">
        <is>
          <t>Confirm end-2026 target status</t>
        </is>
      </c>
      <c r="E17" s="59">
        <f>'A1. Data scoring'!H17</f>
        <v/>
      </c>
      <c r="F17" s="59">
        <f>'A1. Data scoring'!I17</f>
        <v/>
      </c>
      <c r="G17" s="59">
        <f>'A1. Data scoring'!J17</f>
        <v/>
      </c>
      <c r="H17" s="59">
        <f>'A1. Data scoring'!K17</f>
        <v/>
      </c>
      <c r="I17" s="59">
        <f>'A1. Data scoring'!M17</f>
        <v/>
      </c>
      <c r="O17" s="60" t="n"/>
    </row>
    <row r="18" ht="60" customHeight="1">
      <c r="B18" s="58" t="inlineStr">
        <is>
          <t>EE1(b)</t>
        </is>
      </c>
      <c r="D18" s="13" t="inlineStr">
        <is>
          <t>OPTION 1:  Target-level reporting</t>
        </is>
      </c>
      <c r="E18" s="59">
        <f>'A1. Data scoring'!H18</f>
        <v/>
      </c>
      <c r="F18" s="59">
        <f>'A1. Data scoring'!I18</f>
        <v/>
      </c>
      <c r="G18" s="59">
        <f>'A1. Data scoring'!J18</f>
        <v/>
      </c>
      <c r="H18" s="59">
        <f>'A1. Data scoring'!K18</f>
        <v/>
      </c>
      <c r="I18" s="59">
        <f>'A1. Data scoring'!M18</f>
        <v/>
      </c>
      <c r="O18" s="60" t="n"/>
    </row>
    <row r="19" ht="60" customHeight="1">
      <c r="B19" s="58" t="inlineStr">
        <is>
          <t>EE1(b)</t>
        </is>
      </c>
      <c r="D19" s="13" t="inlineStr">
        <is>
          <t>OPTION 2:  Indicator level reporting</t>
        </is>
      </c>
      <c r="E19" s="59">
        <f>'A1. Data scoring'!H19</f>
        <v/>
      </c>
      <c r="F19" s="59">
        <f>'A1. Data scoring'!I19</f>
        <v/>
      </c>
      <c r="G19" s="59">
        <f>'A1. Data scoring'!J19</f>
        <v/>
      </c>
      <c r="H19" s="59">
        <f>'A1. Data scoring'!K19</f>
        <v/>
      </c>
      <c r="I19" s="59">
        <f>'A1. Data scoring'!M19</f>
        <v/>
      </c>
      <c r="O19" s="60" t="n"/>
    </row>
    <row r="20" ht="18" customHeight="1">
      <c r="B20" s="58" t="inlineStr">
        <is>
          <t>EE1(b)</t>
        </is>
      </c>
      <c r="D20" s="13" t="inlineStr">
        <is>
          <t>Supporting information/comments</t>
        </is>
      </c>
      <c r="E20" s="59">
        <f>'A1. Data scoring'!H20</f>
        <v/>
      </c>
      <c r="F20" s="59">
        <f>'A1. Data scoring'!I20</f>
        <v/>
      </c>
      <c r="G20" s="59">
        <f>'A1. Data scoring'!J20</f>
        <v/>
      </c>
      <c r="H20" s="59">
        <f>'A1. Data scoring'!K20</f>
        <v/>
      </c>
      <c r="I20" s="59">
        <f>'A1. Data scoring'!M20</f>
        <v/>
      </c>
      <c r="O20" s="60" t="n"/>
    </row>
    <row r="21" ht="18" customHeight="1">
      <c r="B21" s="58" t="inlineStr">
        <is>
          <t>EE1(b)</t>
        </is>
      </c>
      <c r="D21" s="13" t="inlineStr">
        <is>
          <t>Data source and limitations</t>
        </is>
      </c>
      <c r="E21" s="59">
        <f>'A1. Data scoring'!H21</f>
        <v/>
      </c>
      <c r="F21" s="59">
        <f>'A1. Data scoring'!I21</f>
        <v/>
      </c>
      <c r="G21" s="59">
        <f>'A1. Data scoring'!J21</f>
        <v/>
      </c>
      <c r="H21" s="59">
        <f>'A1. Data scoring'!K21</f>
        <v/>
      </c>
      <c r="I21" s="59">
        <f>'A1. Data scoring'!M21</f>
        <v/>
      </c>
      <c r="O21" s="60" t="n"/>
    </row>
    <row r="22" ht="18" customHeight="1">
      <c r="B22" s="58" t="inlineStr">
        <is>
          <t>EE1(b)</t>
        </is>
      </c>
      <c r="D22" s="13" t="inlineStr">
        <is>
          <t>Data owner confirms</t>
        </is>
      </c>
      <c r="E22" s="59">
        <f>'A1. Data scoring'!H22</f>
        <v/>
      </c>
      <c r="F22" s="59">
        <f>'A1. Data scoring'!I22</f>
        <v/>
      </c>
      <c r="G22" s="59">
        <f>'A1. Data scoring'!J22</f>
        <v/>
      </c>
      <c r="H22" s="59">
        <f>'A1. Data scoring'!K22</f>
        <v/>
      </c>
      <c r="I22" s="59">
        <f>'A1. Data scoring'!M22</f>
        <v/>
      </c>
      <c r="O22" s="61" t="n"/>
    </row>
    <row r="24">
      <c r="B24" s="7" t="inlineStr">
        <is>
          <t>EE1(c)</t>
        </is>
      </c>
      <c r="C24" s="50" t="inlineStr">
        <is>
          <t>Evidence of sustainability focused experiential and co curricular learning (eg Wattle Fellowship; Melbourne Plus)</t>
        </is>
      </c>
      <c r="D24" s="56" t="inlineStr">
        <is>
          <t>Unit</t>
        </is>
      </c>
      <c r="E24" s="56" t="inlineStr">
        <is>
          <t>ABP</t>
        </is>
      </c>
      <c r="F24" s="56" t="inlineStr">
        <is>
          <t>ARTS</t>
        </is>
      </c>
      <c r="G24" s="56" t="inlineStr">
        <is>
          <t>FBE</t>
        </is>
      </c>
      <c r="H24" s="56" t="inlineStr">
        <is>
          <t>SCI</t>
        </is>
      </c>
      <c r="I24" s="56" t="inlineStr">
        <is>
          <t>CI&amp;S – Sustainability Strategy</t>
        </is>
      </c>
      <c r="M24" s="57">
        <f>'A1. Data scoring'!AC23</f>
        <v/>
      </c>
      <c r="N24" s="57">
        <f>'A1. Data scoring'!AF23</f>
        <v/>
      </c>
      <c r="O24" s="8" t="n"/>
    </row>
    <row r="25" ht="18" customHeight="1">
      <c r="B25" s="58" t="inlineStr">
        <is>
          <t>EE1(c)</t>
        </is>
      </c>
      <c r="D25" s="13" t="inlineStr">
        <is>
          <t>Confirm end-2026 target status</t>
        </is>
      </c>
      <c r="E25" s="59">
        <f>'A1. Data scoring'!H23</f>
        <v/>
      </c>
      <c r="F25" s="59">
        <f>'A1. Data scoring'!I23</f>
        <v/>
      </c>
      <c r="G25" s="59">
        <f>'A1. Data scoring'!J23</f>
        <v/>
      </c>
      <c r="H25" s="59">
        <f>'A1. Data scoring'!K23</f>
        <v/>
      </c>
      <c r="I25" s="59">
        <f>'A1. Data scoring'!M23</f>
        <v/>
      </c>
      <c r="O25" s="60" t="n"/>
    </row>
    <row r="26" ht="60" customHeight="1">
      <c r="B26" s="58" t="inlineStr">
        <is>
          <t>EE1(c)</t>
        </is>
      </c>
      <c r="D26" s="13" t="inlineStr">
        <is>
          <t>OPTION 1:  Target-level reporting</t>
        </is>
      </c>
      <c r="E26" s="59">
        <f>'A1. Data scoring'!H24</f>
        <v/>
      </c>
      <c r="F26" s="59">
        <f>'A1. Data scoring'!I24</f>
        <v/>
      </c>
      <c r="G26" s="59">
        <f>'A1. Data scoring'!J24</f>
        <v/>
      </c>
      <c r="H26" s="59">
        <f>'A1. Data scoring'!K24</f>
        <v/>
      </c>
      <c r="I26" s="59">
        <f>'A1. Data scoring'!M24</f>
        <v/>
      </c>
      <c r="O26" s="60" t="n"/>
    </row>
    <row r="27" ht="60" customHeight="1">
      <c r="B27" s="58" t="inlineStr">
        <is>
          <t>EE1(c)</t>
        </is>
      </c>
      <c r="D27" s="13" t="inlineStr">
        <is>
          <t>OPTION 2:  Indicator level reporting</t>
        </is>
      </c>
      <c r="E27" s="59">
        <f>'A1. Data scoring'!H25</f>
        <v/>
      </c>
      <c r="F27" s="59">
        <f>'A1. Data scoring'!I25</f>
        <v/>
      </c>
      <c r="G27" s="59">
        <f>'A1. Data scoring'!J25</f>
        <v/>
      </c>
      <c r="H27" s="59">
        <f>'A1. Data scoring'!K25</f>
        <v/>
      </c>
      <c r="I27" s="59">
        <f>'A1. Data scoring'!M25</f>
        <v/>
      </c>
      <c r="O27" s="60" t="n"/>
    </row>
    <row r="28" ht="18" customHeight="1">
      <c r="B28" s="58" t="inlineStr">
        <is>
          <t>EE1(c)</t>
        </is>
      </c>
      <c r="D28" s="13" t="inlineStr">
        <is>
          <t>Supporting information/comments</t>
        </is>
      </c>
      <c r="E28" s="59">
        <f>'A1. Data scoring'!H26</f>
        <v/>
      </c>
      <c r="F28" s="59">
        <f>'A1. Data scoring'!I26</f>
        <v/>
      </c>
      <c r="G28" s="59">
        <f>'A1. Data scoring'!J26</f>
        <v/>
      </c>
      <c r="H28" s="59">
        <f>'A1. Data scoring'!K26</f>
        <v/>
      </c>
      <c r="I28" s="59">
        <f>'A1. Data scoring'!M26</f>
        <v/>
      </c>
      <c r="O28" s="60" t="n"/>
    </row>
    <row r="29" ht="18" customHeight="1">
      <c r="B29" s="58" t="inlineStr">
        <is>
          <t>EE1(c)</t>
        </is>
      </c>
      <c r="D29" s="13" t="inlineStr">
        <is>
          <t>Data source and limitations</t>
        </is>
      </c>
      <c r="E29" s="59">
        <f>'A1. Data scoring'!H27</f>
        <v/>
      </c>
      <c r="F29" s="59">
        <f>'A1. Data scoring'!I27</f>
        <v/>
      </c>
      <c r="G29" s="59">
        <f>'A1. Data scoring'!J27</f>
        <v/>
      </c>
      <c r="H29" s="59">
        <f>'A1. Data scoring'!K27</f>
        <v/>
      </c>
      <c r="I29" s="59">
        <f>'A1. Data scoring'!M27</f>
        <v/>
      </c>
      <c r="O29" s="60" t="n"/>
    </row>
    <row r="30" ht="18" customHeight="1">
      <c r="B30" s="58" t="inlineStr">
        <is>
          <t>EE1(c)</t>
        </is>
      </c>
      <c r="D30" s="13" t="inlineStr">
        <is>
          <t>Data owner confirms</t>
        </is>
      </c>
      <c r="E30" s="59">
        <f>'A1. Data scoring'!H28</f>
        <v/>
      </c>
      <c r="F30" s="59">
        <f>'A1. Data scoring'!I28</f>
        <v/>
      </c>
      <c r="G30" s="59">
        <f>'A1. Data scoring'!J28</f>
        <v/>
      </c>
      <c r="H30" s="59">
        <f>'A1. Data scoring'!K28</f>
        <v/>
      </c>
      <c r="I30" s="59">
        <f>'A1. Data scoring'!M28</f>
        <v/>
      </c>
      <c r="O30" s="61" t="n"/>
    </row>
    <row r="32">
      <c r="B32" s="7" t="inlineStr">
        <is>
          <t>EE1(d)</t>
        </is>
      </c>
      <c r="C32" s="50" t="inlineStr">
        <is>
          <t>Alumni profiles demonstrating how graduates contribute to sustainability through their careers or communities.</t>
        </is>
      </c>
      <c r="D32" s="56" t="inlineStr">
        <is>
          <t>Unit</t>
        </is>
      </c>
      <c r="E32" s="56" t="inlineStr">
        <is>
          <t>ABP</t>
        </is>
      </c>
      <c r="F32" s="56" t="inlineStr">
        <is>
          <t>ARTS</t>
        </is>
      </c>
      <c r="G32" s="56" t="inlineStr">
        <is>
          <t>FBE</t>
        </is>
      </c>
      <c r="H32" s="56" t="inlineStr">
        <is>
          <t>SCI</t>
        </is>
      </c>
      <c r="I32" s="56" t="inlineStr">
        <is>
          <t>CI&amp;S – Sustainability Strategy</t>
        </is>
      </c>
      <c r="M32" s="57">
        <f>'A1. Data scoring'!AC29</f>
        <v/>
      </c>
      <c r="N32" s="57">
        <f>'A1. Data scoring'!AF29</f>
        <v/>
      </c>
      <c r="O32" s="8" t="n"/>
    </row>
    <row r="33" ht="18" customHeight="1">
      <c r="B33" s="58" t="inlineStr">
        <is>
          <t>EE1(d)</t>
        </is>
      </c>
      <c r="D33" s="13" t="inlineStr">
        <is>
          <t>Confirm end-2026 target status</t>
        </is>
      </c>
      <c r="E33" s="59">
        <f>'A1. Data scoring'!H29</f>
        <v/>
      </c>
      <c r="F33" s="59">
        <f>'A1. Data scoring'!I29</f>
        <v/>
      </c>
      <c r="G33" s="59">
        <f>'A1. Data scoring'!J29</f>
        <v/>
      </c>
      <c r="H33" s="59">
        <f>'A1. Data scoring'!K29</f>
        <v/>
      </c>
      <c r="I33" s="59">
        <f>'A1. Data scoring'!M29</f>
        <v/>
      </c>
      <c r="O33" s="60" t="n"/>
    </row>
    <row r="34" ht="60" customHeight="1">
      <c r="B34" s="58" t="inlineStr">
        <is>
          <t>EE1(d)</t>
        </is>
      </c>
      <c r="D34" s="13" t="inlineStr">
        <is>
          <t>OPTION 1:  Target-level reporting</t>
        </is>
      </c>
      <c r="E34" s="59">
        <f>'A1. Data scoring'!H30</f>
        <v/>
      </c>
      <c r="F34" s="59">
        <f>'A1. Data scoring'!I30</f>
        <v/>
      </c>
      <c r="G34" s="59">
        <f>'A1. Data scoring'!J30</f>
        <v/>
      </c>
      <c r="H34" s="59">
        <f>'A1. Data scoring'!K30</f>
        <v/>
      </c>
      <c r="I34" s="59">
        <f>'A1. Data scoring'!M30</f>
        <v/>
      </c>
      <c r="O34" s="60" t="n"/>
    </row>
    <row r="35" ht="60" customHeight="1">
      <c r="B35" s="58" t="inlineStr">
        <is>
          <t>EE1(d)</t>
        </is>
      </c>
      <c r="D35" s="13" t="inlineStr">
        <is>
          <t>OPTION 2:  Indicator level reporting</t>
        </is>
      </c>
      <c r="E35" s="59">
        <f>'A1. Data scoring'!H31</f>
        <v/>
      </c>
      <c r="F35" s="59">
        <f>'A1. Data scoring'!I31</f>
        <v/>
      </c>
      <c r="G35" s="59">
        <f>'A1. Data scoring'!J31</f>
        <v/>
      </c>
      <c r="H35" s="59">
        <f>'A1. Data scoring'!K31</f>
        <v/>
      </c>
      <c r="I35" s="59">
        <f>'A1. Data scoring'!M31</f>
        <v/>
      </c>
      <c r="O35" s="60" t="n"/>
    </row>
    <row r="36" ht="18" customHeight="1">
      <c r="B36" s="58" t="inlineStr">
        <is>
          <t>EE1(d)</t>
        </is>
      </c>
      <c r="D36" s="13" t="inlineStr">
        <is>
          <t>Supporting information/comments</t>
        </is>
      </c>
      <c r="E36" s="59">
        <f>'A1. Data scoring'!H32</f>
        <v/>
      </c>
      <c r="F36" s="59">
        <f>'A1. Data scoring'!I32</f>
        <v/>
      </c>
      <c r="G36" s="59">
        <f>'A1. Data scoring'!J32</f>
        <v/>
      </c>
      <c r="H36" s="59">
        <f>'A1. Data scoring'!K32</f>
        <v/>
      </c>
      <c r="I36" s="59">
        <f>'A1. Data scoring'!M32</f>
        <v/>
      </c>
      <c r="O36" s="60" t="n"/>
    </row>
    <row r="37" ht="18" customHeight="1">
      <c r="B37" s="58" t="inlineStr">
        <is>
          <t>EE1(d)</t>
        </is>
      </c>
      <c r="D37" s="13" t="inlineStr">
        <is>
          <t>Data source and limitations</t>
        </is>
      </c>
      <c r="E37" s="59">
        <f>'A1. Data scoring'!H33</f>
        <v/>
      </c>
      <c r="F37" s="59">
        <f>'A1. Data scoring'!I33</f>
        <v/>
      </c>
      <c r="G37" s="59">
        <f>'A1. Data scoring'!J33</f>
        <v/>
      </c>
      <c r="H37" s="59">
        <f>'A1. Data scoring'!K33</f>
        <v/>
      </c>
      <c r="I37" s="59">
        <f>'A1. Data scoring'!M33</f>
        <v/>
      </c>
      <c r="O37" s="60" t="n"/>
    </row>
    <row r="38" ht="18" customHeight="1">
      <c r="B38" s="58" t="inlineStr">
        <is>
          <t>EE1(d)</t>
        </is>
      </c>
      <c r="D38" s="13" t="inlineStr">
        <is>
          <t>Data owner confirms</t>
        </is>
      </c>
      <c r="E38" s="59">
        <f>'A1. Data scoring'!H34</f>
        <v/>
      </c>
      <c r="F38" s="59">
        <f>'A1. Data scoring'!I34</f>
        <v/>
      </c>
      <c r="G38" s="59">
        <f>'A1. Data scoring'!J34</f>
        <v/>
      </c>
      <c r="H38" s="59">
        <f>'A1. Data scoring'!K34</f>
        <v/>
      </c>
      <c r="I38" s="59">
        <f>'A1. Data scoring'!M34</f>
        <v/>
      </c>
      <c r="O38" s="61" t="n"/>
    </row>
    <row r="40">
      <c r="B40" s="7" t="inlineStr">
        <is>
          <t>TR1(a)</t>
        </is>
      </c>
      <c r="C40" s="50" t="inlineStr">
        <is>
          <t>Expert-reviewed evidence of researchers contributing to operational sustainability priorities through partnerships, advisory input, living labs, applied projects or decision-support</t>
        </is>
      </c>
      <c r="D40" s="56" t="inlineStr">
        <is>
          <t>Unit</t>
        </is>
      </c>
      <c r="E40" s="56" t="inlineStr">
        <is>
          <t>ABP</t>
        </is>
      </c>
      <c r="F40" s="56" t="inlineStr">
        <is>
          <t>ARTS</t>
        </is>
      </c>
      <c r="G40" s="56" t="inlineStr">
        <is>
          <t>FBE</t>
        </is>
      </c>
      <c r="H40" s="56" t="inlineStr">
        <is>
          <t>SCI</t>
        </is>
      </c>
      <c r="I40" s="56" t="inlineStr">
        <is>
          <t>CI&amp;S – Sustainability Strategy</t>
        </is>
      </c>
      <c r="M40" s="57">
        <f>'A1. Data scoring'!AC35</f>
        <v/>
      </c>
      <c r="N40" s="57">
        <f>'A1. Data scoring'!AF35</f>
        <v/>
      </c>
      <c r="O40" s="8" t="n"/>
    </row>
    <row r="41" ht="18" customHeight="1">
      <c r="B41" s="58" t="inlineStr">
        <is>
          <t>TR1(a)</t>
        </is>
      </c>
      <c r="D41" s="13" t="inlineStr">
        <is>
          <t>Confirm end-2026 target status</t>
        </is>
      </c>
      <c r="E41" s="59">
        <f>'A1. Data scoring'!H35</f>
        <v/>
      </c>
      <c r="F41" s="59">
        <f>'A1. Data scoring'!I35</f>
        <v/>
      </c>
      <c r="G41" s="59">
        <f>'A1. Data scoring'!J35</f>
        <v/>
      </c>
      <c r="H41" s="59">
        <f>'A1. Data scoring'!K35</f>
        <v/>
      </c>
      <c r="I41" s="59">
        <f>'A1. Data scoring'!M35</f>
        <v/>
      </c>
      <c r="O41" s="60" t="n"/>
    </row>
    <row r="42" ht="60" customHeight="1">
      <c r="B42" s="58" t="inlineStr">
        <is>
          <t>TR1(a)</t>
        </is>
      </c>
      <c r="D42" s="13" t="inlineStr">
        <is>
          <t>OPTION 1:  Target-level reporting</t>
        </is>
      </c>
      <c r="E42" s="59">
        <f>'A1. Data scoring'!H36</f>
        <v/>
      </c>
      <c r="F42" s="59">
        <f>'A1. Data scoring'!I36</f>
        <v/>
      </c>
      <c r="G42" s="59">
        <f>'A1. Data scoring'!J36</f>
        <v/>
      </c>
      <c r="H42" s="59">
        <f>'A1. Data scoring'!K36</f>
        <v/>
      </c>
      <c r="I42" s="59">
        <f>'A1. Data scoring'!M36</f>
        <v/>
      </c>
      <c r="O42" s="60" t="n"/>
    </row>
    <row r="43" ht="60" customHeight="1">
      <c r="B43" s="58" t="inlineStr">
        <is>
          <t>TR1(a)</t>
        </is>
      </c>
      <c r="D43" s="13" t="inlineStr">
        <is>
          <t>OPTION 2:  Indicator level reporting</t>
        </is>
      </c>
      <c r="E43" s="59">
        <f>'A1. Data scoring'!H37</f>
        <v/>
      </c>
      <c r="F43" s="59">
        <f>'A1. Data scoring'!I37</f>
        <v/>
      </c>
      <c r="G43" s="59">
        <f>'A1. Data scoring'!J37</f>
        <v/>
      </c>
      <c r="H43" s="59">
        <f>'A1. Data scoring'!K37</f>
        <v/>
      </c>
      <c r="I43" s="59">
        <f>'A1. Data scoring'!M37</f>
        <v/>
      </c>
      <c r="O43" s="60" t="n"/>
    </row>
    <row r="44" ht="18" customHeight="1">
      <c r="B44" s="58" t="inlineStr">
        <is>
          <t>TR1(a)</t>
        </is>
      </c>
      <c r="D44" s="13" t="inlineStr">
        <is>
          <t>Supporting information/comments</t>
        </is>
      </c>
      <c r="E44" s="59">
        <f>'A1. Data scoring'!H38</f>
        <v/>
      </c>
      <c r="F44" s="59">
        <f>'A1. Data scoring'!I38</f>
        <v/>
      </c>
      <c r="G44" s="59">
        <f>'A1. Data scoring'!J38</f>
        <v/>
      </c>
      <c r="H44" s="59">
        <f>'A1. Data scoring'!K38</f>
        <v/>
      </c>
      <c r="I44" s="59">
        <f>'A1. Data scoring'!M38</f>
        <v/>
      </c>
      <c r="O44" s="60" t="n"/>
    </row>
    <row r="45" ht="18" customHeight="1">
      <c r="B45" s="58" t="inlineStr">
        <is>
          <t>TR1(a)</t>
        </is>
      </c>
      <c r="D45" s="13" t="inlineStr">
        <is>
          <t>Data source and limitations</t>
        </is>
      </c>
      <c r="E45" s="59">
        <f>'A1. Data scoring'!H39</f>
        <v/>
      </c>
      <c r="F45" s="59">
        <f>'A1. Data scoring'!I39</f>
        <v/>
      </c>
      <c r="G45" s="59">
        <f>'A1. Data scoring'!J39</f>
        <v/>
      </c>
      <c r="H45" s="59">
        <f>'A1. Data scoring'!K39</f>
        <v/>
      </c>
      <c r="I45" s="59">
        <f>'A1. Data scoring'!M39</f>
        <v/>
      </c>
      <c r="O45" s="60" t="n"/>
    </row>
    <row r="46" ht="18" customHeight="1">
      <c r="B46" s="58" t="inlineStr">
        <is>
          <t>TR1(a)</t>
        </is>
      </c>
      <c r="D46" s="13" t="inlineStr">
        <is>
          <t>Data owner confirms</t>
        </is>
      </c>
      <c r="E46" s="59">
        <f>'A1. Data scoring'!H40</f>
        <v/>
      </c>
      <c r="F46" s="59">
        <f>'A1. Data scoring'!I40</f>
        <v/>
      </c>
      <c r="G46" s="59">
        <f>'A1. Data scoring'!J40</f>
        <v/>
      </c>
      <c r="H46" s="59">
        <f>'A1. Data scoring'!K40</f>
        <v/>
      </c>
      <c r="I46" s="59">
        <f>'A1. Data scoring'!M40</f>
        <v/>
      </c>
      <c r="O46" s="61" t="n"/>
    </row>
    <row r="48">
      <c r="B48" s="7" t="inlineStr">
        <is>
          <t>TR1(b)</t>
        </is>
      </c>
      <c r="C48" s="50" t="inlineStr">
        <is>
          <t>Evidence of institutional pathways that enable ongoing collaboration between academic and professional staff</t>
        </is>
      </c>
      <c r="D48" s="56" t="inlineStr">
        <is>
          <t>Unit</t>
        </is>
      </c>
      <c r="E48" s="56" t="inlineStr">
        <is>
          <t>ABP</t>
        </is>
      </c>
      <c r="F48" s="56" t="inlineStr">
        <is>
          <t>ARTS</t>
        </is>
      </c>
      <c r="G48" s="56" t="inlineStr">
        <is>
          <t>FBE</t>
        </is>
      </c>
      <c r="H48" s="56" t="inlineStr">
        <is>
          <t>SCI</t>
        </is>
      </c>
      <c r="M48" s="57">
        <f>'A1. Data scoring'!AC41</f>
        <v/>
      </c>
      <c r="N48" s="57">
        <f>'A1. Data scoring'!AF41</f>
        <v/>
      </c>
      <c r="O48" s="8" t="n"/>
    </row>
    <row r="49" ht="18" customHeight="1">
      <c r="B49" s="58" t="inlineStr">
        <is>
          <t>TR1(b)</t>
        </is>
      </c>
      <c r="D49" s="13" t="inlineStr">
        <is>
          <t>Confirm end-2026 target status</t>
        </is>
      </c>
      <c r="E49" s="59">
        <f>'A1. Data scoring'!H41</f>
        <v/>
      </c>
      <c r="F49" s="59">
        <f>'A1. Data scoring'!I41</f>
        <v/>
      </c>
      <c r="G49" s="59">
        <f>'A1. Data scoring'!J41</f>
        <v/>
      </c>
      <c r="H49" s="59">
        <f>'A1. Data scoring'!K41</f>
        <v/>
      </c>
      <c r="O49" s="60" t="n"/>
    </row>
    <row r="50" ht="60" customHeight="1">
      <c r="B50" s="58" t="inlineStr">
        <is>
          <t>TR1(b)</t>
        </is>
      </c>
      <c r="D50" s="13" t="inlineStr">
        <is>
          <t>OPTION 1:  Target-level reporting</t>
        </is>
      </c>
      <c r="E50" s="59">
        <f>'A1. Data scoring'!H42</f>
        <v/>
      </c>
      <c r="F50" s="59">
        <f>'A1. Data scoring'!I42</f>
        <v/>
      </c>
      <c r="G50" s="59">
        <f>'A1. Data scoring'!J42</f>
        <v/>
      </c>
      <c r="H50" s="59">
        <f>'A1. Data scoring'!K42</f>
        <v/>
      </c>
      <c r="O50" s="60" t="n"/>
    </row>
    <row r="51" ht="60" customHeight="1">
      <c r="B51" s="58" t="inlineStr">
        <is>
          <t>TR1(b)</t>
        </is>
      </c>
      <c r="D51" s="13" t="inlineStr">
        <is>
          <t>OPTION 2:  Indicator level reporting</t>
        </is>
      </c>
      <c r="E51" s="59">
        <f>'A1. Data scoring'!H43</f>
        <v/>
      </c>
      <c r="F51" s="59">
        <f>'A1. Data scoring'!I43</f>
        <v/>
      </c>
      <c r="G51" s="59">
        <f>'A1. Data scoring'!J43</f>
        <v/>
      </c>
      <c r="H51" s="59">
        <f>'A1. Data scoring'!K43</f>
        <v/>
      </c>
      <c r="O51" s="60" t="n"/>
    </row>
    <row r="52" ht="18" customHeight="1">
      <c r="B52" s="58" t="inlineStr">
        <is>
          <t>TR1(b)</t>
        </is>
      </c>
      <c r="D52" s="13" t="inlineStr">
        <is>
          <t>Supporting information/comments</t>
        </is>
      </c>
      <c r="E52" s="59">
        <f>'A1. Data scoring'!H44</f>
        <v/>
      </c>
      <c r="F52" s="59">
        <f>'A1. Data scoring'!I44</f>
        <v/>
      </c>
      <c r="G52" s="59">
        <f>'A1. Data scoring'!J44</f>
        <v/>
      </c>
      <c r="H52" s="59">
        <f>'A1. Data scoring'!K44</f>
        <v/>
      </c>
      <c r="O52" s="60" t="n"/>
    </row>
    <row r="53" ht="18" customHeight="1">
      <c r="B53" s="58" t="inlineStr">
        <is>
          <t>TR1(b)</t>
        </is>
      </c>
      <c r="D53" s="13" t="inlineStr">
        <is>
          <t>Data source and limitations</t>
        </is>
      </c>
      <c r="E53" s="59">
        <f>'A1. Data scoring'!H45</f>
        <v/>
      </c>
      <c r="F53" s="59">
        <f>'A1. Data scoring'!I45</f>
        <v/>
      </c>
      <c r="G53" s="59">
        <f>'A1. Data scoring'!J45</f>
        <v/>
      </c>
      <c r="H53" s="59">
        <f>'A1. Data scoring'!K45</f>
        <v/>
      </c>
      <c r="O53" s="60" t="n"/>
    </row>
    <row r="54" ht="18" customHeight="1">
      <c r="B54" s="58" t="inlineStr">
        <is>
          <t>TR1(b)</t>
        </is>
      </c>
      <c r="D54" s="13" t="inlineStr">
        <is>
          <t>Data owner confirms</t>
        </is>
      </c>
      <c r="E54" s="59">
        <f>'A1. Data scoring'!H46</f>
        <v/>
      </c>
      <c r="F54" s="59">
        <f>'A1. Data scoring'!I46</f>
        <v/>
      </c>
      <c r="G54" s="59">
        <f>'A1. Data scoring'!J46</f>
        <v/>
      </c>
      <c r="H54" s="59">
        <f>'A1. Data scoring'!K46</f>
        <v/>
      </c>
      <c r="O54" s="61" t="n"/>
    </row>
    <row r="56">
      <c r="B56" s="7" t="inlineStr">
        <is>
          <t>TR1(c)</t>
        </is>
      </c>
      <c r="C56" s="50" t="inlineStr">
        <is>
          <t>Expert assessment of the quality, relevance and continuity of these collaborations</t>
        </is>
      </c>
      <c r="D56" s="56" t="inlineStr">
        <is>
          <t>Unit</t>
        </is>
      </c>
      <c r="E56" s="56" t="inlineStr">
        <is>
          <t>ABP</t>
        </is>
      </c>
      <c r="F56" s="56" t="inlineStr">
        <is>
          <t>ARTS</t>
        </is>
      </c>
      <c r="G56" s="56" t="inlineStr">
        <is>
          <t>FBE</t>
        </is>
      </c>
      <c r="H56" s="56" t="inlineStr">
        <is>
          <t>SCI</t>
        </is>
      </c>
      <c r="M56" s="57">
        <f>'A1. Data scoring'!AC47</f>
        <v/>
      </c>
      <c r="N56" s="57">
        <f>'A1. Data scoring'!AF47</f>
        <v/>
      </c>
      <c r="O56" s="8" t="n"/>
    </row>
    <row r="57" ht="18" customHeight="1">
      <c r="B57" s="58" t="inlineStr">
        <is>
          <t>TR1(c)</t>
        </is>
      </c>
      <c r="D57" s="13" t="inlineStr">
        <is>
          <t>Confirm end-2026 target status</t>
        </is>
      </c>
      <c r="E57" s="59">
        <f>'A1. Data scoring'!H47</f>
        <v/>
      </c>
      <c r="F57" s="59">
        <f>'A1. Data scoring'!I47</f>
        <v/>
      </c>
      <c r="G57" s="59">
        <f>'A1. Data scoring'!J47</f>
        <v/>
      </c>
      <c r="H57" s="59">
        <f>'A1. Data scoring'!K47</f>
        <v/>
      </c>
      <c r="O57" s="60" t="n"/>
    </row>
    <row r="58" ht="60" customHeight="1">
      <c r="B58" s="58" t="inlineStr">
        <is>
          <t>TR1(c)</t>
        </is>
      </c>
      <c r="D58" s="13" t="inlineStr">
        <is>
          <t>OPTION 1:  Target-level reporting</t>
        </is>
      </c>
      <c r="E58" s="59">
        <f>'A1. Data scoring'!H48</f>
        <v/>
      </c>
      <c r="F58" s="59">
        <f>'A1. Data scoring'!I48</f>
        <v/>
      </c>
      <c r="G58" s="59">
        <f>'A1. Data scoring'!J48</f>
        <v/>
      </c>
      <c r="H58" s="59">
        <f>'A1. Data scoring'!K48</f>
        <v/>
      </c>
      <c r="O58" s="60" t="n"/>
    </row>
    <row r="59" ht="60" customHeight="1">
      <c r="B59" s="58" t="inlineStr">
        <is>
          <t>TR1(c)</t>
        </is>
      </c>
      <c r="D59" s="13" t="inlineStr">
        <is>
          <t>OPTION 2:  Indicator level reporting</t>
        </is>
      </c>
      <c r="E59" s="59">
        <f>'A1. Data scoring'!H49</f>
        <v/>
      </c>
      <c r="F59" s="59">
        <f>'A1. Data scoring'!I49</f>
        <v/>
      </c>
      <c r="G59" s="59">
        <f>'A1. Data scoring'!J49</f>
        <v/>
      </c>
      <c r="H59" s="59">
        <f>'A1. Data scoring'!K49</f>
        <v/>
      </c>
      <c r="O59" s="60" t="n"/>
    </row>
    <row r="60" ht="18" customHeight="1">
      <c r="B60" s="58" t="inlineStr">
        <is>
          <t>TR1(c)</t>
        </is>
      </c>
      <c r="D60" s="13" t="inlineStr">
        <is>
          <t>Supporting information/comments</t>
        </is>
      </c>
      <c r="E60" s="59">
        <f>'A1. Data scoring'!H50</f>
        <v/>
      </c>
      <c r="F60" s="59">
        <f>'A1. Data scoring'!I50</f>
        <v/>
      </c>
      <c r="G60" s="59">
        <f>'A1. Data scoring'!J50</f>
        <v/>
      </c>
      <c r="H60" s="59">
        <f>'A1. Data scoring'!K50</f>
        <v/>
      </c>
      <c r="O60" s="60" t="n"/>
    </row>
    <row r="61" ht="18" customHeight="1">
      <c r="B61" s="58" t="inlineStr">
        <is>
          <t>TR1(c)</t>
        </is>
      </c>
      <c r="D61" s="13" t="inlineStr">
        <is>
          <t>Data source and limitations</t>
        </is>
      </c>
      <c r="E61" s="59">
        <f>'A1. Data scoring'!H51</f>
        <v/>
      </c>
      <c r="F61" s="59">
        <f>'A1. Data scoring'!I51</f>
        <v/>
      </c>
      <c r="G61" s="59">
        <f>'A1. Data scoring'!J51</f>
        <v/>
      </c>
      <c r="H61" s="59">
        <f>'A1. Data scoring'!K51</f>
        <v/>
      </c>
      <c r="O61" s="60" t="n"/>
    </row>
    <row r="62" ht="18" customHeight="1">
      <c r="B62" s="58" t="inlineStr">
        <is>
          <t>TR1(c)</t>
        </is>
      </c>
      <c r="D62" s="13" t="inlineStr">
        <is>
          <t>Data owner confirms</t>
        </is>
      </c>
      <c r="E62" s="59">
        <f>'A1. Data scoring'!H52</f>
        <v/>
      </c>
      <c r="F62" s="59">
        <f>'A1. Data scoring'!I52</f>
        <v/>
      </c>
      <c r="G62" s="59">
        <f>'A1. Data scoring'!J52</f>
        <v/>
      </c>
      <c r="H62" s="59">
        <f>'A1. Data scoring'!K52</f>
        <v/>
      </c>
      <c r="O62" s="61" t="n"/>
    </row>
    <row r="64">
      <c r="B64" s="7" t="inlineStr">
        <is>
          <t>TR1(d)</t>
        </is>
      </c>
      <c r="C64" s="50" t="inlineStr">
        <is>
          <t>Periodic feedback from participants on the effectiveness and mutual benefit of collaboration mechanisms.</t>
        </is>
      </c>
      <c r="D64" s="56" t="inlineStr">
        <is>
          <t>Unit</t>
        </is>
      </c>
      <c r="E64" s="56" t="inlineStr">
        <is>
          <t>ABP</t>
        </is>
      </c>
      <c r="F64" s="56" t="inlineStr">
        <is>
          <t>ARTS</t>
        </is>
      </c>
      <c r="G64" s="56" t="inlineStr">
        <is>
          <t>FBE</t>
        </is>
      </c>
      <c r="H64" s="56" t="inlineStr">
        <is>
          <t>SCI</t>
        </is>
      </c>
      <c r="M64" s="57">
        <f>'A1. Data scoring'!AC53</f>
        <v/>
      </c>
      <c r="N64" s="57">
        <f>'A1. Data scoring'!AF53</f>
        <v/>
      </c>
      <c r="O64" s="8" t="n"/>
    </row>
    <row r="65" ht="18" customHeight="1">
      <c r="B65" s="58" t="inlineStr">
        <is>
          <t>TR1(d)</t>
        </is>
      </c>
      <c r="D65" s="13" t="inlineStr">
        <is>
          <t>Confirm end-2026 target status</t>
        </is>
      </c>
      <c r="E65" s="59">
        <f>'A1. Data scoring'!H53</f>
        <v/>
      </c>
      <c r="F65" s="59">
        <f>'A1. Data scoring'!I53</f>
        <v/>
      </c>
      <c r="G65" s="59">
        <f>'A1. Data scoring'!J53</f>
        <v/>
      </c>
      <c r="H65" s="59">
        <f>'A1. Data scoring'!K53</f>
        <v/>
      </c>
      <c r="O65" s="60" t="n"/>
    </row>
    <row r="66" ht="60" customHeight="1">
      <c r="B66" s="58" t="inlineStr">
        <is>
          <t>TR1(d)</t>
        </is>
      </c>
      <c r="D66" s="13" t="inlineStr">
        <is>
          <t>OPTION 1:  Target-level reporting</t>
        </is>
      </c>
      <c r="E66" s="59">
        <f>'A1. Data scoring'!H54</f>
        <v/>
      </c>
      <c r="F66" s="59">
        <f>'A1. Data scoring'!I54</f>
        <v/>
      </c>
      <c r="G66" s="59">
        <f>'A1. Data scoring'!J54</f>
        <v/>
      </c>
      <c r="H66" s="59">
        <f>'A1. Data scoring'!K54</f>
        <v/>
      </c>
      <c r="O66" s="60" t="n"/>
    </row>
    <row r="67" ht="60" customHeight="1">
      <c r="B67" s="58" t="inlineStr">
        <is>
          <t>TR1(d)</t>
        </is>
      </c>
      <c r="D67" s="13" t="inlineStr">
        <is>
          <t>OPTION 2:  Indicator level reporting</t>
        </is>
      </c>
      <c r="E67" s="59">
        <f>'A1. Data scoring'!H55</f>
        <v/>
      </c>
      <c r="F67" s="59">
        <f>'A1. Data scoring'!I55</f>
        <v/>
      </c>
      <c r="G67" s="59">
        <f>'A1. Data scoring'!J55</f>
        <v/>
      </c>
      <c r="H67" s="59">
        <f>'A1. Data scoring'!K55</f>
        <v/>
      </c>
      <c r="O67" s="60" t="n"/>
    </row>
    <row r="68" ht="18" customHeight="1">
      <c r="B68" s="58" t="inlineStr">
        <is>
          <t>TR1(d)</t>
        </is>
      </c>
      <c r="D68" s="13" t="inlineStr">
        <is>
          <t>Supporting information/comments</t>
        </is>
      </c>
      <c r="E68" s="59">
        <f>'A1. Data scoring'!H56</f>
        <v/>
      </c>
      <c r="F68" s="59">
        <f>'A1. Data scoring'!I56</f>
        <v/>
      </c>
      <c r="G68" s="59">
        <f>'A1. Data scoring'!J56</f>
        <v/>
      </c>
      <c r="H68" s="59">
        <f>'A1. Data scoring'!K56</f>
        <v/>
      </c>
      <c r="O68" s="60" t="n"/>
    </row>
    <row r="69" ht="18" customHeight="1">
      <c r="B69" s="58" t="inlineStr">
        <is>
          <t>TR1(d)</t>
        </is>
      </c>
      <c r="D69" s="13" t="inlineStr">
        <is>
          <t>Data source and limitations</t>
        </is>
      </c>
      <c r="E69" s="59">
        <f>'A1. Data scoring'!H57</f>
        <v/>
      </c>
      <c r="F69" s="59">
        <f>'A1. Data scoring'!I57</f>
        <v/>
      </c>
      <c r="G69" s="59">
        <f>'A1. Data scoring'!J57</f>
        <v/>
      </c>
      <c r="H69" s="59">
        <f>'A1. Data scoring'!K57</f>
        <v/>
      </c>
      <c r="O69" s="60" t="n"/>
    </row>
    <row r="70" ht="18" customHeight="1">
      <c r="B70" s="58" t="inlineStr">
        <is>
          <t>TR1(d)</t>
        </is>
      </c>
      <c r="D70" s="13" t="inlineStr">
        <is>
          <t>Data owner confirms</t>
        </is>
      </c>
      <c r="E70" s="59">
        <f>'A1. Data scoring'!H58</f>
        <v/>
      </c>
      <c r="F70" s="59">
        <f>'A1. Data scoring'!I58</f>
        <v/>
      </c>
      <c r="G70" s="59">
        <f>'A1. Data scoring'!J58</f>
        <v/>
      </c>
      <c r="H70" s="59">
        <f>'A1. Data scoring'!K58</f>
        <v/>
      </c>
      <c r="O70" s="61" t="n"/>
    </row>
    <row r="72">
      <c r="B72" s="7" t="inlineStr">
        <is>
          <t>TR2(a)</t>
        </is>
      </c>
      <c r="C72" s="50" t="inlineStr">
        <is>
          <t>Evidence of sustainability-related research impact across diverse pathways, could include policy, industry, community, practice, cultural and institutional outcomes</t>
        </is>
      </c>
      <c r="D72" s="56" t="inlineStr">
        <is>
          <t>Unit</t>
        </is>
      </c>
      <c r="E72" s="56" t="inlineStr">
        <is>
          <t>ABP</t>
        </is>
      </c>
      <c r="F72" s="56" t="inlineStr">
        <is>
          <t>ARTS</t>
        </is>
      </c>
      <c r="G72" s="56" t="inlineStr">
        <is>
          <t>FBE</t>
        </is>
      </c>
      <c r="H72" s="56" t="inlineStr">
        <is>
          <t>SCI</t>
        </is>
      </c>
      <c r="M72" s="57">
        <f>'A1. Data scoring'!AC59</f>
        <v/>
      </c>
      <c r="N72" s="57">
        <f>'A1. Data scoring'!AF59</f>
        <v/>
      </c>
      <c r="O72" s="8" t="n"/>
    </row>
    <row r="73" ht="18" customHeight="1">
      <c r="B73" s="58" t="inlineStr">
        <is>
          <t>TR2(a)</t>
        </is>
      </c>
      <c r="D73" s="13" t="inlineStr">
        <is>
          <t>Confirm end-2026 target status</t>
        </is>
      </c>
      <c r="E73" s="59">
        <f>'A1. Data scoring'!H59</f>
        <v/>
      </c>
      <c r="F73" s="59">
        <f>'A1. Data scoring'!I59</f>
        <v/>
      </c>
      <c r="G73" s="59">
        <f>'A1. Data scoring'!J59</f>
        <v/>
      </c>
      <c r="H73" s="59">
        <f>'A1. Data scoring'!K59</f>
        <v/>
      </c>
      <c r="O73" s="60" t="n"/>
    </row>
    <row r="74" ht="60" customHeight="1">
      <c r="B74" s="58" t="inlineStr">
        <is>
          <t>TR2(a)</t>
        </is>
      </c>
      <c r="D74" s="13" t="inlineStr">
        <is>
          <t>OPTION 1:  Target-level reporting</t>
        </is>
      </c>
      <c r="E74" s="59">
        <f>'A1. Data scoring'!H60</f>
        <v/>
      </c>
      <c r="F74" s="59">
        <f>'A1. Data scoring'!I60</f>
        <v/>
      </c>
      <c r="G74" s="59">
        <f>'A1. Data scoring'!J60</f>
        <v/>
      </c>
      <c r="H74" s="59">
        <f>'A1. Data scoring'!K60</f>
        <v/>
      </c>
      <c r="O74" s="60" t="n"/>
    </row>
    <row r="75" ht="60" customHeight="1">
      <c r="B75" s="58" t="inlineStr">
        <is>
          <t>TR2(a)</t>
        </is>
      </c>
      <c r="D75" s="13" t="inlineStr">
        <is>
          <t>OPTION 2:  Indicator level reporting</t>
        </is>
      </c>
      <c r="E75" s="59">
        <f>'A1. Data scoring'!H61</f>
        <v/>
      </c>
      <c r="F75" s="59">
        <f>'A1. Data scoring'!I61</f>
        <v/>
      </c>
      <c r="G75" s="59">
        <f>'A1. Data scoring'!J61</f>
        <v/>
      </c>
      <c r="H75" s="59">
        <f>'A1. Data scoring'!K61</f>
        <v/>
      </c>
      <c r="O75" s="60" t="n"/>
    </row>
    <row r="76" ht="18" customHeight="1">
      <c r="B76" s="58" t="inlineStr">
        <is>
          <t>TR2(a)</t>
        </is>
      </c>
      <c r="D76" s="13" t="inlineStr">
        <is>
          <t>Supporting information/comments</t>
        </is>
      </c>
      <c r="E76" s="59">
        <f>'A1. Data scoring'!H62</f>
        <v/>
      </c>
      <c r="F76" s="59">
        <f>'A1. Data scoring'!I62</f>
        <v/>
      </c>
      <c r="G76" s="59">
        <f>'A1. Data scoring'!J62</f>
        <v/>
      </c>
      <c r="H76" s="59">
        <f>'A1. Data scoring'!K62</f>
        <v/>
      </c>
      <c r="O76" s="60" t="n"/>
    </row>
    <row r="77" ht="18" customHeight="1">
      <c r="B77" s="58" t="inlineStr">
        <is>
          <t>TR2(a)</t>
        </is>
      </c>
      <c r="D77" s="13" t="inlineStr">
        <is>
          <t>Data source and limitations</t>
        </is>
      </c>
      <c r="E77" s="59">
        <f>'A1. Data scoring'!H63</f>
        <v/>
      </c>
      <c r="F77" s="59">
        <f>'A1. Data scoring'!I63</f>
        <v/>
      </c>
      <c r="G77" s="59">
        <f>'A1. Data scoring'!J63</f>
        <v/>
      </c>
      <c r="H77" s="59">
        <f>'A1. Data scoring'!K63</f>
        <v/>
      </c>
      <c r="O77" s="60" t="n"/>
    </row>
    <row r="78" ht="18" customHeight="1">
      <c r="B78" s="58" t="inlineStr">
        <is>
          <t>TR2(a)</t>
        </is>
      </c>
      <c r="D78" s="13" t="inlineStr">
        <is>
          <t>Data owner confirms</t>
        </is>
      </c>
      <c r="E78" s="59">
        <f>'A1. Data scoring'!H64</f>
        <v/>
      </c>
      <c r="F78" s="59">
        <f>'A1. Data scoring'!I64</f>
        <v/>
      </c>
      <c r="G78" s="59">
        <f>'A1. Data scoring'!J64</f>
        <v/>
      </c>
      <c r="H78" s="59">
        <f>'A1. Data scoring'!K64</f>
        <v/>
      </c>
      <c r="O78" s="61" t="n"/>
    </row>
    <row r="80">
      <c r="B80" s="7" t="inlineStr">
        <is>
          <t>TR2(c)</t>
        </is>
      </c>
      <c r="C80" s="50" t="inlineStr">
        <is>
          <t>Expert-reviewed summary of sustainability-related research outputs, outcomes and influence using available institutional evidence sources</t>
        </is>
      </c>
      <c r="D80" s="56" t="inlineStr">
        <is>
          <t>Unit</t>
        </is>
      </c>
      <c r="E80" s="56" t="inlineStr">
        <is>
          <t>MRE – Research</t>
        </is>
      </c>
      <c r="M80" s="57">
        <f>'A1. Data scoring'!AC65</f>
        <v/>
      </c>
      <c r="N80" s="57">
        <f>'A1. Data scoring'!AF65</f>
        <v/>
      </c>
      <c r="O80" s="8" t="n"/>
    </row>
    <row r="81" ht="18" customHeight="1">
      <c r="B81" s="58" t="inlineStr">
        <is>
          <t>TR2(c)</t>
        </is>
      </c>
      <c r="D81" s="13" t="inlineStr">
        <is>
          <t>Confirm end-2026 target status</t>
        </is>
      </c>
      <c r="E81" s="59">
        <f>'A1. Data scoring'!R65</f>
        <v/>
      </c>
      <c r="O81" s="60" t="n"/>
    </row>
    <row r="82" ht="60" customHeight="1">
      <c r="B82" s="58" t="inlineStr">
        <is>
          <t>TR2(c)</t>
        </is>
      </c>
      <c r="D82" s="13" t="inlineStr">
        <is>
          <t>OPTION 1:  Target-level reporting</t>
        </is>
      </c>
      <c r="E82" s="59">
        <f>'A1. Data scoring'!R66</f>
        <v/>
      </c>
      <c r="O82" s="60" t="n"/>
    </row>
    <row r="83" ht="60" customHeight="1">
      <c r="B83" s="58" t="inlineStr">
        <is>
          <t>TR2(c)</t>
        </is>
      </c>
      <c r="D83" s="13" t="inlineStr">
        <is>
          <t>OPTION 2:  Indicator level reporting</t>
        </is>
      </c>
      <c r="E83" s="59">
        <f>'A1. Data scoring'!R67</f>
        <v/>
      </c>
      <c r="O83" s="60" t="n"/>
    </row>
    <row r="84" ht="18" customHeight="1">
      <c r="B84" s="58" t="inlineStr">
        <is>
          <t>TR2(c)</t>
        </is>
      </c>
      <c r="D84" s="13" t="inlineStr">
        <is>
          <t>Supporting information/comments</t>
        </is>
      </c>
      <c r="E84" s="59">
        <f>'A1. Data scoring'!R68</f>
        <v/>
      </c>
      <c r="O84" s="60" t="n"/>
    </row>
    <row r="85" ht="18" customHeight="1">
      <c r="B85" s="58" t="inlineStr">
        <is>
          <t>TR2(c)</t>
        </is>
      </c>
      <c r="D85" s="13" t="inlineStr">
        <is>
          <t>Data source and limitations</t>
        </is>
      </c>
      <c r="E85" s="59">
        <f>'A1. Data scoring'!R69</f>
        <v/>
      </c>
      <c r="O85" s="60" t="n"/>
    </row>
    <row r="86" ht="18" customHeight="1">
      <c r="B86" s="58" t="inlineStr">
        <is>
          <t>TR2(c)</t>
        </is>
      </c>
      <c r="D86" s="13" t="inlineStr">
        <is>
          <t>Data owner confirms</t>
        </is>
      </c>
      <c r="E86" s="59">
        <f>'A1. Data scoring'!R70</f>
        <v/>
      </c>
      <c r="O86" s="61" t="n"/>
    </row>
    <row r="88">
      <c r="B88" s="7" t="inlineStr">
        <is>
          <t>TR2(d)</t>
        </is>
      </c>
      <c r="C88" s="50" t="inlineStr">
        <is>
          <t>Case-based evidence demonstrating how research has contributed to meaningful sustainability outcomes.</t>
        </is>
      </c>
      <c r="D88" s="56" t="inlineStr">
        <is>
          <t>Unit</t>
        </is>
      </c>
      <c r="E88" s="56" t="inlineStr">
        <is>
          <t>ABP</t>
        </is>
      </c>
      <c r="F88" s="56" t="inlineStr">
        <is>
          <t>ARTS</t>
        </is>
      </c>
      <c r="G88" s="56" t="inlineStr">
        <is>
          <t>FBE</t>
        </is>
      </c>
      <c r="H88" s="56" t="inlineStr">
        <is>
          <t>SCI</t>
        </is>
      </c>
      <c r="I88" s="56" t="inlineStr">
        <is>
          <t>CI&amp;S – Sustainability Strategy</t>
        </is>
      </c>
      <c r="M88" s="57">
        <f>'A1. Data scoring'!AC71</f>
        <v/>
      </c>
      <c r="N88" s="57">
        <f>'A1. Data scoring'!AF71</f>
        <v/>
      </c>
      <c r="O88" s="8" t="n"/>
    </row>
    <row r="89" ht="18" customHeight="1">
      <c r="B89" s="58" t="inlineStr">
        <is>
          <t>TR2(d)</t>
        </is>
      </c>
      <c r="D89" s="13" t="inlineStr">
        <is>
          <t>Confirm end-2026 target status</t>
        </is>
      </c>
      <c r="E89" s="59">
        <f>'A1. Data scoring'!H71</f>
        <v/>
      </c>
      <c r="F89" s="59">
        <f>'A1. Data scoring'!I71</f>
        <v/>
      </c>
      <c r="G89" s="59">
        <f>'A1. Data scoring'!J71</f>
        <v/>
      </c>
      <c r="H89" s="59">
        <f>'A1. Data scoring'!K71</f>
        <v/>
      </c>
      <c r="I89" s="59">
        <f>'A1. Data scoring'!M71</f>
        <v/>
      </c>
      <c r="O89" s="60" t="n"/>
    </row>
    <row r="90" ht="60" customHeight="1">
      <c r="B90" s="58" t="inlineStr">
        <is>
          <t>TR2(d)</t>
        </is>
      </c>
      <c r="D90" s="13" t="inlineStr">
        <is>
          <t>OPTION 1:  Target-level reporting</t>
        </is>
      </c>
      <c r="E90" s="59">
        <f>'A1. Data scoring'!H72</f>
        <v/>
      </c>
      <c r="F90" s="59">
        <f>'A1. Data scoring'!I72</f>
        <v/>
      </c>
      <c r="G90" s="59">
        <f>'A1. Data scoring'!J72</f>
        <v/>
      </c>
      <c r="H90" s="59">
        <f>'A1. Data scoring'!K72</f>
        <v/>
      </c>
      <c r="I90" s="59">
        <f>'A1. Data scoring'!M72</f>
        <v/>
      </c>
      <c r="O90" s="60" t="n"/>
    </row>
    <row r="91" ht="60" customHeight="1">
      <c r="B91" s="58" t="inlineStr">
        <is>
          <t>TR2(d)</t>
        </is>
      </c>
      <c r="D91" s="13" t="inlineStr">
        <is>
          <t>OPTION 2:  Indicator level reporting</t>
        </is>
      </c>
      <c r="E91" s="59">
        <f>'A1. Data scoring'!H73</f>
        <v/>
      </c>
      <c r="F91" s="59">
        <f>'A1. Data scoring'!I73</f>
        <v/>
      </c>
      <c r="G91" s="59">
        <f>'A1. Data scoring'!J73</f>
        <v/>
      </c>
      <c r="H91" s="59">
        <f>'A1. Data scoring'!K73</f>
        <v/>
      </c>
      <c r="I91" s="59">
        <f>'A1. Data scoring'!M73</f>
        <v/>
      </c>
      <c r="O91" s="60" t="n"/>
    </row>
    <row r="92" ht="18" customHeight="1">
      <c r="B92" s="58" t="inlineStr">
        <is>
          <t>TR2(d)</t>
        </is>
      </c>
      <c r="D92" s="13" t="inlineStr">
        <is>
          <t>Supporting information/comments</t>
        </is>
      </c>
      <c r="E92" s="59">
        <f>'A1. Data scoring'!H74</f>
        <v/>
      </c>
      <c r="F92" s="59">
        <f>'A1. Data scoring'!I74</f>
        <v/>
      </c>
      <c r="G92" s="59">
        <f>'A1. Data scoring'!J74</f>
        <v/>
      </c>
      <c r="H92" s="59">
        <f>'A1. Data scoring'!K74</f>
        <v/>
      </c>
      <c r="I92" s="59">
        <f>'A1. Data scoring'!M74</f>
        <v/>
      </c>
      <c r="O92" s="60" t="n"/>
    </row>
    <row r="93" ht="18" customHeight="1">
      <c r="B93" s="58" t="inlineStr">
        <is>
          <t>TR2(d)</t>
        </is>
      </c>
      <c r="D93" s="13" t="inlineStr">
        <is>
          <t>Data source and limitations</t>
        </is>
      </c>
      <c r="E93" s="59">
        <f>'A1. Data scoring'!H75</f>
        <v/>
      </c>
      <c r="F93" s="59">
        <f>'A1. Data scoring'!I75</f>
        <v/>
      </c>
      <c r="G93" s="59">
        <f>'A1. Data scoring'!J75</f>
        <v/>
      </c>
      <c r="H93" s="59">
        <f>'A1. Data scoring'!K75</f>
        <v/>
      </c>
      <c r="I93" s="59">
        <f>'A1. Data scoring'!M75</f>
        <v/>
      </c>
      <c r="O93" s="60" t="n"/>
    </row>
    <row r="94" ht="18" customHeight="1">
      <c r="B94" s="58" t="inlineStr">
        <is>
          <t>TR2(d)</t>
        </is>
      </c>
      <c r="D94" s="13" t="inlineStr">
        <is>
          <t>Data owner confirms</t>
        </is>
      </c>
      <c r="E94" s="59">
        <f>'A1. Data scoring'!H76</f>
        <v/>
      </c>
      <c r="F94" s="59">
        <f>'A1. Data scoring'!I76</f>
        <v/>
      </c>
      <c r="G94" s="59">
        <f>'A1. Data scoring'!J76</f>
        <v/>
      </c>
      <c r="H94" s="59">
        <f>'A1. Data scoring'!K76</f>
        <v/>
      </c>
      <c r="I94" s="59">
        <f>'A1. Data scoring'!M76</f>
        <v/>
      </c>
      <c r="O94" s="61" t="n"/>
    </row>
    <row r="96">
      <c r="B96" s="7" t="inlineStr">
        <is>
          <t>TR3(a)</t>
        </is>
      </c>
      <c r="C96" s="50" t="inlineStr">
        <is>
          <t>Evidence that sustainability considerations are integrated into relevant research systems, planning processes, guidance, training, induction or support services</t>
        </is>
      </c>
      <c r="D96" s="56" t="inlineStr">
        <is>
          <t>Unit</t>
        </is>
      </c>
      <c r="E96" s="56" t="inlineStr">
        <is>
          <t>ABP</t>
        </is>
      </c>
      <c r="F96" s="56" t="inlineStr">
        <is>
          <t>ARTS</t>
        </is>
      </c>
      <c r="G96" s="56" t="inlineStr">
        <is>
          <t>FBE</t>
        </is>
      </c>
      <c r="H96" s="56" t="inlineStr">
        <is>
          <t>SCI</t>
        </is>
      </c>
      <c r="I96" s="56" t="inlineStr">
        <is>
          <t>CI&amp;S – Sustainability Strategy</t>
        </is>
      </c>
      <c r="M96" s="57">
        <f>'A1. Data scoring'!AC77</f>
        <v/>
      </c>
      <c r="N96" s="57">
        <f>'A1. Data scoring'!AF77</f>
        <v/>
      </c>
      <c r="O96" s="8" t="n"/>
    </row>
    <row r="97" ht="18" customHeight="1">
      <c r="B97" s="58" t="inlineStr">
        <is>
          <t>TR3(a)</t>
        </is>
      </c>
      <c r="D97" s="13" t="inlineStr">
        <is>
          <t>Confirm end-2026 target status</t>
        </is>
      </c>
      <c r="E97" s="59">
        <f>'A1. Data scoring'!H77</f>
        <v/>
      </c>
      <c r="F97" s="59">
        <f>'A1. Data scoring'!I77</f>
        <v/>
      </c>
      <c r="G97" s="59">
        <f>'A1. Data scoring'!J77</f>
        <v/>
      </c>
      <c r="H97" s="59">
        <f>'A1. Data scoring'!K77</f>
        <v/>
      </c>
      <c r="I97" s="59">
        <f>'A1. Data scoring'!M77</f>
        <v/>
      </c>
      <c r="O97" s="60" t="n"/>
    </row>
    <row r="98" ht="60" customHeight="1">
      <c r="B98" s="58" t="inlineStr">
        <is>
          <t>TR3(a)</t>
        </is>
      </c>
      <c r="D98" s="13" t="inlineStr">
        <is>
          <t>OPTION 1:  Target-level reporting</t>
        </is>
      </c>
      <c r="E98" s="59">
        <f>'A1. Data scoring'!H78</f>
        <v/>
      </c>
      <c r="F98" s="59">
        <f>'A1. Data scoring'!I78</f>
        <v/>
      </c>
      <c r="G98" s="59">
        <f>'A1. Data scoring'!J78</f>
        <v/>
      </c>
      <c r="H98" s="59">
        <f>'A1. Data scoring'!K78</f>
        <v/>
      </c>
      <c r="I98" s="59">
        <f>'A1. Data scoring'!M78</f>
        <v/>
      </c>
      <c r="O98" s="60" t="n"/>
    </row>
    <row r="99" ht="60" customHeight="1">
      <c r="B99" s="58" t="inlineStr">
        <is>
          <t>TR3(a)</t>
        </is>
      </c>
      <c r="D99" s="13" t="inlineStr">
        <is>
          <t>OPTION 2:  Indicator level reporting</t>
        </is>
      </c>
      <c r="E99" s="59">
        <f>'A1. Data scoring'!H79</f>
        <v/>
      </c>
      <c r="F99" s="59">
        <f>'A1. Data scoring'!I79</f>
        <v/>
      </c>
      <c r="G99" s="59">
        <f>'A1. Data scoring'!J79</f>
        <v/>
      </c>
      <c r="H99" s="59">
        <f>'A1. Data scoring'!K79</f>
        <v/>
      </c>
      <c r="I99" s="59">
        <f>'A1. Data scoring'!M79</f>
        <v/>
      </c>
      <c r="O99" s="60" t="n"/>
    </row>
    <row r="100" ht="18" customHeight="1">
      <c r="B100" s="58" t="inlineStr">
        <is>
          <t>TR3(a)</t>
        </is>
      </c>
      <c r="D100" s="13" t="inlineStr">
        <is>
          <t>Supporting information/comments</t>
        </is>
      </c>
      <c r="E100" s="59">
        <f>'A1. Data scoring'!H80</f>
        <v/>
      </c>
      <c r="F100" s="59">
        <f>'A1. Data scoring'!I80</f>
        <v/>
      </c>
      <c r="G100" s="59">
        <f>'A1. Data scoring'!J80</f>
        <v/>
      </c>
      <c r="H100" s="59">
        <f>'A1. Data scoring'!K80</f>
        <v/>
      </c>
      <c r="I100" s="59">
        <f>'A1. Data scoring'!M80</f>
        <v/>
      </c>
      <c r="O100" s="60" t="n"/>
    </row>
    <row r="101" ht="18" customHeight="1">
      <c r="B101" s="58" t="inlineStr">
        <is>
          <t>TR3(a)</t>
        </is>
      </c>
      <c r="D101" s="13" t="inlineStr">
        <is>
          <t>Data source and limitations</t>
        </is>
      </c>
      <c r="E101" s="59">
        <f>'A1. Data scoring'!H81</f>
        <v/>
      </c>
      <c r="F101" s="59">
        <f>'A1. Data scoring'!I81</f>
        <v/>
      </c>
      <c r="G101" s="59">
        <f>'A1. Data scoring'!J81</f>
        <v/>
      </c>
      <c r="H101" s="59">
        <f>'A1. Data scoring'!K81</f>
        <v/>
      </c>
      <c r="I101" s="59">
        <f>'A1. Data scoring'!M81</f>
        <v/>
      </c>
      <c r="O101" s="60" t="n"/>
    </row>
    <row r="102" ht="18" customHeight="1">
      <c r="B102" s="58" t="inlineStr">
        <is>
          <t>TR3(a)</t>
        </is>
      </c>
      <c r="D102" s="13" t="inlineStr">
        <is>
          <t>Data owner confirms</t>
        </is>
      </c>
      <c r="E102" s="59">
        <f>'A1. Data scoring'!H82</f>
        <v/>
      </c>
      <c r="F102" s="59">
        <f>'A1. Data scoring'!I82</f>
        <v/>
      </c>
      <c r="G102" s="59">
        <f>'A1. Data scoring'!J82</f>
        <v/>
      </c>
      <c r="H102" s="59">
        <f>'A1. Data scoring'!K82</f>
        <v/>
      </c>
      <c r="I102" s="59">
        <f>'A1. Data scoring'!M82</f>
        <v/>
      </c>
      <c r="O102" s="61" t="n"/>
    </row>
    <row r="104">
      <c r="B104" s="7" t="inlineStr">
        <is>
          <t>TR3(b)</t>
        </is>
      </c>
      <c r="C104" s="50" t="inlineStr">
        <is>
          <t>Demonstrated examples of more sustainable research practices in laboratories, fieldwork, procurement, travel or infrastructure use</t>
        </is>
      </c>
      <c r="D104" s="56" t="inlineStr">
        <is>
          <t>Unit</t>
        </is>
      </c>
      <c r="E104" s="56" t="inlineStr">
        <is>
          <t>ABP</t>
        </is>
      </c>
      <c r="F104" s="56" t="inlineStr">
        <is>
          <t>ARTS</t>
        </is>
      </c>
      <c r="G104" s="56" t="inlineStr">
        <is>
          <t>FBE</t>
        </is>
      </c>
      <c r="H104" s="56" t="inlineStr">
        <is>
          <t>SCI</t>
        </is>
      </c>
      <c r="I104" s="56" t="inlineStr">
        <is>
          <t>CI&amp;S – Sustainability Strategy</t>
        </is>
      </c>
      <c r="J104" s="56" t="inlineStr">
        <is>
          <t>CFOG – Procurement</t>
        </is>
      </c>
      <c r="M104" s="57">
        <f>'A1. Data scoring'!AC83</f>
        <v/>
      </c>
      <c r="N104" s="57">
        <f>'A1. Data scoring'!AF83</f>
        <v/>
      </c>
      <c r="O104" s="8" t="n"/>
    </row>
    <row r="105" ht="18" customHeight="1">
      <c r="B105" s="58" t="inlineStr">
        <is>
          <t>TR3(b)</t>
        </is>
      </c>
      <c r="D105" s="13" t="inlineStr">
        <is>
          <t>Confirm end-2026 target status</t>
        </is>
      </c>
      <c r="E105" s="59">
        <f>'A1. Data scoring'!H83</f>
        <v/>
      </c>
      <c r="F105" s="59">
        <f>'A1. Data scoring'!I83</f>
        <v/>
      </c>
      <c r="G105" s="59">
        <f>'A1. Data scoring'!J83</f>
        <v/>
      </c>
      <c r="H105" s="59">
        <f>'A1. Data scoring'!K83</f>
        <v/>
      </c>
      <c r="I105" s="59">
        <f>'A1. Data scoring'!M83</f>
        <v/>
      </c>
      <c r="J105" s="59">
        <f>'A1. Data scoring'!N83</f>
        <v/>
      </c>
      <c r="O105" s="60" t="n"/>
    </row>
    <row r="106" ht="60" customHeight="1">
      <c r="B106" s="58" t="inlineStr">
        <is>
          <t>TR3(b)</t>
        </is>
      </c>
      <c r="D106" s="13" t="inlineStr">
        <is>
          <t>OPTION 1:  Target-level reporting</t>
        </is>
      </c>
      <c r="E106" s="59">
        <f>'A1. Data scoring'!H84</f>
        <v/>
      </c>
      <c r="F106" s="59">
        <f>'A1. Data scoring'!I84</f>
        <v/>
      </c>
      <c r="G106" s="59">
        <f>'A1. Data scoring'!J84</f>
        <v/>
      </c>
      <c r="H106" s="59">
        <f>'A1. Data scoring'!K84</f>
        <v/>
      </c>
      <c r="I106" s="59">
        <f>'A1. Data scoring'!M84</f>
        <v/>
      </c>
      <c r="J106" s="59">
        <f>'A1. Data scoring'!N84</f>
        <v/>
      </c>
      <c r="O106" s="60" t="n"/>
    </row>
    <row r="107" ht="60" customHeight="1">
      <c r="B107" s="58" t="inlineStr">
        <is>
          <t>TR3(b)</t>
        </is>
      </c>
      <c r="D107" s="13" t="inlineStr">
        <is>
          <t>OPTION 2:  Indicator level reporting</t>
        </is>
      </c>
      <c r="E107" s="59">
        <f>'A1. Data scoring'!H85</f>
        <v/>
      </c>
      <c r="F107" s="59">
        <f>'A1. Data scoring'!I85</f>
        <v/>
      </c>
      <c r="G107" s="59">
        <f>'A1. Data scoring'!J85</f>
        <v/>
      </c>
      <c r="H107" s="59">
        <f>'A1. Data scoring'!K85</f>
        <v/>
      </c>
      <c r="I107" s="59">
        <f>'A1. Data scoring'!M85</f>
        <v/>
      </c>
      <c r="J107" s="59">
        <f>'A1. Data scoring'!N85</f>
        <v/>
      </c>
      <c r="O107" s="60" t="n"/>
    </row>
    <row r="108" ht="18" customHeight="1">
      <c r="B108" s="58" t="inlineStr">
        <is>
          <t>TR3(b)</t>
        </is>
      </c>
      <c r="D108" s="13" t="inlineStr">
        <is>
          <t>Supporting information/comments</t>
        </is>
      </c>
      <c r="E108" s="59">
        <f>'A1. Data scoring'!H86</f>
        <v/>
      </c>
      <c r="F108" s="59">
        <f>'A1. Data scoring'!I86</f>
        <v/>
      </c>
      <c r="G108" s="59">
        <f>'A1. Data scoring'!J86</f>
        <v/>
      </c>
      <c r="H108" s="59">
        <f>'A1. Data scoring'!K86</f>
        <v/>
      </c>
      <c r="I108" s="59">
        <f>'A1. Data scoring'!M86</f>
        <v/>
      </c>
      <c r="J108" s="59">
        <f>'A1. Data scoring'!N86</f>
        <v/>
      </c>
      <c r="O108" s="60" t="n"/>
    </row>
    <row r="109" ht="18" customHeight="1">
      <c r="B109" s="58" t="inlineStr">
        <is>
          <t>TR3(b)</t>
        </is>
      </c>
      <c r="D109" s="13" t="inlineStr">
        <is>
          <t>Data source and limitations</t>
        </is>
      </c>
      <c r="E109" s="59">
        <f>'A1. Data scoring'!H87</f>
        <v/>
      </c>
      <c r="F109" s="59">
        <f>'A1. Data scoring'!I87</f>
        <v/>
      </c>
      <c r="G109" s="59">
        <f>'A1. Data scoring'!J87</f>
        <v/>
      </c>
      <c r="H109" s="59">
        <f>'A1. Data scoring'!K87</f>
        <v/>
      </c>
      <c r="I109" s="59">
        <f>'A1. Data scoring'!M87</f>
        <v/>
      </c>
      <c r="J109" s="59">
        <f>'A1. Data scoring'!N87</f>
        <v/>
      </c>
      <c r="O109" s="60" t="n"/>
    </row>
    <row r="110" ht="18" customHeight="1">
      <c r="B110" s="58" t="inlineStr">
        <is>
          <t>TR3(b)</t>
        </is>
      </c>
      <c r="D110" s="13" t="inlineStr">
        <is>
          <t>Data owner confirms</t>
        </is>
      </c>
      <c r="E110" s="59">
        <f>'A1. Data scoring'!H88</f>
        <v/>
      </c>
      <c r="F110" s="59">
        <f>'A1. Data scoring'!I88</f>
        <v/>
      </c>
      <c r="G110" s="59">
        <f>'A1. Data scoring'!J88</f>
        <v/>
      </c>
      <c r="H110" s="59">
        <f>'A1. Data scoring'!K88</f>
        <v/>
      </c>
      <c r="I110" s="59">
        <f>'A1. Data scoring'!M88</f>
        <v/>
      </c>
      <c r="J110" s="59">
        <f>'A1. Data scoring'!N88</f>
        <v/>
      </c>
      <c r="O110" s="61" t="n"/>
    </row>
    <row r="112">
      <c r="B112" s="7" t="inlineStr">
        <is>
          <t>TR3(c)</t>
        </is>
      </c>
      <c r="C112" s="50" t="inlineStr">
        <is>
          <t>Evidence of progress in sustainability-related research culture, capability and awareness, informed by periodic staff and graduate researcher surveys</t>
        </is>
      </c>
      <c r="D112" s="56" t="inlineStr">
        <is>
          <t>Unit</t>
        </is>
      </c>
      <c r="E112" s="56" t="inlineStr">
        <is>
          <t>ABP</t>
        </is>
      </c>
      <c r="F112" s="56" t="inlineStr">
        <is>
          <t>ARTS</t>
        </is>
      </c>
      <c r="G112" s="56" t="inlineStr">
        <is>
          <t>FBE</t>
        </is>
      </c>
      <c r="H112" s="56" t="inlineStr">
        <is>
          <t>SCI</t>
        </is>
      </c>
      <c r="M112" s="57">
        <f>'A1. Data scoring'!AC89</f>
        <v/>
      </c>
      <c r="N112" s="57">
        <f>'A1. Data scoring'!AF89</f>
        <v/>
      </c>
      <c r="O112" s="8" t="n"/>
    </row>
    <row r="113" ht="18" customHeight="1">
      <c r="B113" s="58" t="inlineStr">
        <is>
          <t>TR3(c)</t>
        </is>
      </c>
      <c r="D113" s="13" t="inlineStr">
        <is>
          <t>Confirm end-2026 target status</t>
        </is>
      </c>
      <c r="E113" s="59">
        <f>'A1. Data scoring'!H89</f>
        <v/>
      </c>
      <c r="F113" s="59">
        <f>'A1. Data scoring'!I89</f>
        <v/>
      </c>
      <c r="G113" s="59">
        <f>'A1. Data scoring'!J89</f>
        <v/>
      </c>
      <c r="H113" s="59">
        <f>'A1. Data scoring'!K89</f>
        <v/>
      </c>
      <c r="O113" s="60" t="n"/>
    </row>
    <row r="114" ht="60" customHeight="1">
      <c r="B114" s="58" t="inlineStr">
        <is>
          <t>TR3(c)</t>
        </is>
      </c>
      <c r="D114" s="13" t="inlineStr">
        <is>
          <t>OPTION 1:  Target-level reporting</t>
        </is>
      </c>
      <c r="E114" s="59">
        <f>'A1. Data scoring'!H90</f>
        <v/>
      </c>
      <c r="F114" s="59">
        <f>'A1. Data scoring'!I90</f>
        <v/>
      </c>
      <c r="G114" s="59">
        <f>'A1. Data scoring'!J90</f>
        <v/>
      </c>
      <c r="H114" s="59">
        <f>'A1. Data scoring'!K90</f>
        <v/>
      </c>
      <c r="O114" s="60" t="n"/>
    </row>
    <row r="115" ht="60" customHeight="1">
      <c r="B115" s="58" t="inlineStr">
        <is>
          <t>TR3(c)</t>
        </is>
      </c>
      <c r="D115" s="13" t="inlineStr">
        <is>
          <t>OPTION 2:  Indicator level reporting</t>
        </is>
      </c>
      <c r="E115" s="59">
        <f>'A1. Data scoring'!H91</f>
        <v/>
      </c>
      <c r="F115" s="59">
        <f>'A1. Data scoring'!I91</f>
        <v/>
      </c>
      <c r="G115" s="59">
        <f>'A1. Data scoring'!J91</f>
        <v/>
      </c>
      <c r="H115" s="59">
        <f>'A1. Data scoring'!K91</f>
        <v/>
      </c>
      <c r="O115" s="60" t="n"/>
    </row>
    <row r="116" ht="18" customHeight="1">
      <c r="B116" s="58" t="inlineStr">
        <is>
          <t>TR3(c)</t>
        </is>
      </c>
      <c r="D116" s="13" t="inlineStr">
        <is>
          <t>Supporting information/comments</t>
        </is>
      </c>
      <c r="E116" s="59">
        <f>'A1. Data scoring'!H92</f>
        <v/>
      </c>
      <c r="F116" s="59">
        <f>'A1. Data scoring'!I92</f>
        <v/>
      </c>
      <c r="G116" s="59">
        <f>'A1. Data scoring'!J92</f>
        <v/>
      </c>
      <c r="H116" s="59">
        <f>'A1. Data scoring'!K92</f>
        <v/>
      </c>
      <c r="O116" s="60" t="n"/>
    </row>
    <row r="117" ht="18" customHeight="1">
      <c r="B117" s="58" t="inlineStr">
        <is>
          <t>TR3(c)</t>
        </is>
      </c>
      <c r="D117" s="13" t="inlineStr">
        <is>
          <t>Data source and limitations</t>
        </is>
      </c>
      <c r="E117" s="59">
        <f>'A1. Data scoring'!H93</f>
        <v/>
      </c>
      <c r="F117" s="59">
        <f>'A1. Data scoring'!I93</f>
        <v/>
      </c>
      <c r="G117" s="59">
        <f>'A1. Data scoring'!J93</f>
        <v/>
      </c>
      <c r="H117" s="59">
        <f>'A1. Data scoring'!K93</f>
        <v/>
      </c>
      <c r="O117" s="60" t="n"/>
    </row>
    <row r="118" ht="18" customHeight="1">
      <c r="B118" s="58" t="inlineStr">
        <is>
          <t>TR3(c)</t>
        </is>
      </c>
      <c r="D118" s="13" t="inlineStr">
        <is>
          <t>Data owner confirms</t>
        </is>
      </c>
      <c r="E118" s="59">
        <f>'A1. Data scoring'!H94</f>
        <v/>
      </c>
      <c r="F118" s="59">
        <f>'A1. Data scoring'!I94</f>
        <v/>
      </c>
      <c r="G118" s="59">
        <f>'A1. Data scoring'!J94</f>
        <v/>
      </c>
      <c r="H118" s="59">
        <f>'A1. Data scoring'!K94</f>
        <v/>
      </c>
      <c r="O118" s="61" t="n"/>
    </row>
    <row r="120">
      <c r="B120" s="7" t="inlineStr">
        <is>
          <t>TR3(d)</t>
        </is>
      </c>
      <c r="C120" s="50" t="inlineStr">
        <is>
          <t>Expert assessment of progress in embedding sustainable research practices across the institution.</t>
        </is>
      </c>
      <c r="D120" s="56" t="inlineStr">
        <is>
          <t>Unit</t>
        </is>
      </c>
      <c r="E120" s="56" t="inlineStr">
        <is>
          <t>ABP</t>
        </is>
      </c>
      <c r="F120" s="56" t="inlineStr">
        <is>
          <t>ARTS</t>
        </is>
      </c>
      <c r="G120" s="56" t="inlineStr">
        <is>
          <t>FBE</t>
        </is>
      </c>
      <c r="H120" s="56" t="inlineStr">
        <is>
          <t>SCI</t>
        </is>
      </c>
      <c r="M120" s="57">
        <f>'A1. Data scoring'!AC95</f>
        <v/>
      </c>
      <c r="N120" s="57">
        <f>'A1. Data scoring'!AF95</f>
        <v/>
      </c>
      <c r="O120" s="8" t="n"/>
    </row>
    <row r="121" ht="18" customHeight="1">
      <c r="B121" s="58" t="inlineStr">
        <is>
          <t>TR3(d)</t>
        </is>
      </c>
      <c r="D121" s="13" t="inlineStr">
        <is>
          <t>Confirm end-2026 target status</t>
        </is>
      </c>
      <c r="E121" s="59">
        <f>'A1. Data scoring'!H95</f>
        <v/>
      </c>
      <c r="F121" s="59">
        <f>'A1. Data scoring'!I95</f>
        <v/>
      </c>
      <c r="G121" s="59">
        <f>'A1. Data scoring'!J95</f>
        <v/>
      </c>
      <c r="H121" s="59">
        <f>'A1. Data scoring'!K95</f>
        <v/>
      </c>
      <c r="O121" s="60" t="n"/>
    </row>
    <row r="122" ht="60" customHeight="1">
      <c r="B122" s="58" t="inlineStr">
        <is>
          <t>TR3(d)</t>
        </is>
      </c>
      <c r="D122" s="13" t="inlineStr">
        <is>
          <t>OPTION 1:  Target-level reporting</t>
        </is>
      </c>
      <c r="E122" s="59">
        <f>'A1. Data scoring'!H96</f>
        <v/>
      </c>
      <c r="F122" s="59">
        <f>'A1. Data scoring'!I96</f>
        <v/>
      </c>
      <c r="G122" s="59">
        <f>'A1. Data scoring'!J96</f>
        <v/>
      </c>
      <c r="H122" s="59">
        <f>'A1. Data scoring'!K96</f>
        <v/>
      </c>
      <c r="O122" s="60" t="n"/>
    </row>
    <row r="123" ht="60" customHeight="1">
      <c r="B123" s="58" t="inlineStr">
        <is>
          <t>TR3(d)</t>
        </is>
      </c>
      <c r="D123" s="13" t="inlineStr">
        <is>
          <t>OPTION 2:  Indicator level reporting</t>
        </is>
      </c>
      <c r="E123" s="59">
        <f>'A1. Data scoring'!H97</f>
        <v/>
      </c>
      <c r="F123" s="59">
        <f>'A1. Data scoring'!I97</f>
        <v/>
      </c>
      <c r="G123" s="59">
        <f>'A1. Data scoring'!J97</f>
        <v/>
      </c>
      <c r="H123" s="59">
        <f>'A1. Data scoring'!K97</f>
        <v/>
      </c>
      <c r="O123" s="60" t="n"/>
    </row>
    <row r="124" ht="18" customHeight="1">
      <c r="B124" s="58" t="inlineStr">
        <is>
          <t>TR3(d)</t>
        </is>
      </c>
      <c r="D124" s="13" t="inlineStr">
        <is>
          <t>Supporting information/comments</t>
        </is>
      </c>
      <c r="E124" s="59">
        <f>'A1. Data scoring'!H98</f>
        <v/>
      </c>
      <c r="F124" s="59">
        <f>'A1. Data scoring'!I98</f>
        <v/>
      </c>
      <c r="G124" s="59">
        <f>'A1. Data scoring'!J98</f>
        <v/>
      </c>
      <c r="H124" s="59">
        <f>'A1. Data scoring'!K98</f>
        <v/>
      </c>
      <c r="O124" s="60" t="n"/>
    </row>
    <row r="125" ht="18" customHeight="1">
      <c r="B125" s="58" t="inlineStr">
        <is>
          <t>TR3(d)</t>
        </is>
      </c>
      <c r="D125" s="13" t="inlineStr">
        <is>
          <t>Data source and limitations</t>
        </is>
      </c>
      <c r="E125" s="59">
        <f>'A1. Data scoring'!H99</f>
        <v/>
      </c>
      <c r="F125" s="59">
        <f>'A1. Data scoring'!I99</f>
        <v/>
      </c>
      <c r="G125" s="59">
        <f>'A1. Data scoring'!J99</f>
        <v/>
      </c>
      <c r="H125" s="59">
        <f>'A1. Data scoring'!K99</f>
        <v/>
      </c>
      <c r="O125" s="60" t="n"/>
    </row>
    <row r="126" ht="18" customHeight="1">
      <c r="B126" s="58" t="inlineStr">
        <is>
          <t>TR3(d)</t>
        </is>
      </c>
      <c r="D126" s="13" t="inlineStr">
        <is>
          <t>Data owner confirms</t>
        </is>
      </c>
      <c r="E126" s="59">
        <f>'A1. Data scoring'!H100</f>
        <v/>
      </c>
      <c r="F126" s="59">
        <f>'A1. Data scoring'!I100</f>
        <v/>
      </c>
      <c r="G126" s="59">
        <f>'A1. Data scoring'!J100</f>
        <v/>
      </c>
      <c r="H126" s="59">
        <f>'A1. Data scoring'!K100</f>
        <v/>
      </c>
      <c r="O126" s="61" t="n"/>
    </row>
    <row r="128">
      <c r="B128" s="7" t="inlineStr">
        <is>
          <t>CL1(c)</t>
        </is>
      </c>
      <c r="C128" s="50" t="inlineStr">
        <is>
          <t>Review of Climate Leadership targets by 2030.[2]</t>
        </is>
      </c>
      <c r="D128" s="56" t="inlineStr">
        <is>
          <t>Unit</t>
        </is>
      </c>
      <c r="E128" s="56" t="inlineStr">
        <is>
          <t>CI&amp;S – Sustainability Strategy</t>
        </is>
      </c>
      <c r="M128" s="57">
        <f>'A1. Data scoring'!AC101</f>
        <v/>
      </c>
      <c r="N128" s="57">
        <f>'A1. Data scoring'!AF101</f>
        <v/>
      </c>
      <c r="O128" s="8" t="n"/>
    </row>
    <row r="129" ht="18" customHeight="1">
      <c r="B129" s="58" t="inlineStr">
        <is>
          <t>CL1(c)</t>
        </is>
      </c>
      <c r="D129" s="13" t="inlineStr">
        <is>
          <t>Confirm end-2026 target status</t>
        </is>
      </c>
      <c r="E129" s="59">
        <f>'A1. Data scoring'!M101</f>
        <v/>
      </c>
      <c r="O129" s="60" t="n"/>
    </row>
    <row r="130" ht="60" customHeight="1">
      <c r="B130" s="58" t="inlineStr">
        <is>
          <t>CL1(c)</t>
        </is>
      </c>
      <c r="D130" s="13" t="inlineStr">
        <is>
          <t>OPTION 1:  Target-level reporting</t>
        </is>
      </c>
      <c r="E130" s="59">
        <f>'A1. Data scoring'!M102</f>
        <v/>
      </c>
      <c r="O130" s="60" t="n"/>
    </row>
    <row r="131" ht="60" customHeight="1">
      <c r="B131" s="58" t="inlineStr">
        <is>
          <t>CL1(c)</t>
        </is>
      </c>
      <c r="D131" s="13" t="inlineStr">
        <is>
          <t>OPTION 2:  Indicator level reporting</t>
        </is>
      </c>
      <c r="E131" s="59">
        <f>'A1. Data scoring'!M103</f>
        <v/>
      </c>
      <c r="O131" s="60" t="n"/>
    </row>
    <row r="132" ht="18" customHeight="1">
      <c r="B132" s="58" t="inlineStr">
        <is>
          <t>CL1(c)</t>
        </is>
      </c>
      <c r="D132" s="13" t="inlineStr">
        <is>
          <t>Supporting information/comments</t>
        </is>
      </c>
      <c r="E132" s="59">
        <f>'A1. Data scoring'!M104</f>
        <v/>
      </c>
      <c r="O132" s="60" t="n"/>
    </row>
    <row r="133" ht="18" customHeight="1">
      <c r="B133" s="58" t="inlineStr">
        <is>
          <t>CL1(c)</t>
        </is>
      </c>
      <c r="D133" s="13" t="inlineStr">
        <is>
          <t>Data source and limitations</t>
        </is>
      </c>
      <c r="E133" s="59">
        <f>'A1. Data scoring'!M105</f>
        <v/>
      </c>
      <c r="O133" s="60" t="n"/>
    </row>
    <row r="134" ht="18" customHeight="1">
      <c r="B134" s="58" t="inlineStr">
        <is>
          <t>CL1(c)</t>
        </is>
      </c>
      <c r="D134" s="13" t="inlineStr">
        <is>
          <t>Data owner confirms</t>
        </is>
      </c>
      <c r="E134" s="59">
        <f>'A1. Data scoring'!M106</f>
        <v/>
      </c>
      <c r="O134" s="61" t="n"/>
    </row>
    <row r="136">
      <c r="B136" s="7" t="inlineStr">
        <is>
          <t>CL2(a)</t>
        </is>
      </c>
      <c r="C136" s="50" t="inlineStr">
        <is>
          <t>By 2028, develop and document institutional mapping of research and education activities that are designed to contribute to global decarbonisation</t>
        </is>
      </c>
      <c r="D136" s="56" t="inlineStr">
        <is>
          <t>Unit</t>
        </is>
      </c>
      <c r="E136" s="56" t="inlineStr">
        <is>
          <t>ABP</t>
        </is>
      </c>
      <c r="F136" s="56" t="inlineStr">
        <is>
          <t>ARTS</t>
        </is>
      </c>
      <c r="G136" s="56" t="inlineStr">
        <is>
          <t>FBE</t>
        </is>
      </c>
      <c r="H136" s="56" t="inlineStr">
        <is>
          <t>SCI</t>
        </is>
      </c>
      <c r="I136" s="56" t="inlineStr">
        <is>
          <t>CI&amp;S – Sustainability Strategy</t>
        </is>
      </c>
      <c r="M136" s="57">
        <f>'A1. Data scoring'!AC107</f>
        <v/>
      </c>
      <c r="N136" s="57">
        <f>'A1. Data scoring'!AF107</f>
        <v/>
      </c>
      <c r="O136" s="8" t="n"/>
    </row>
    <row r="137" ht="18" customHeight="1">
      <c r="B137" s="58" t="inlineStr">
        <is>
          <t>CL2(a)</t>
        </is>
      </c>
      <c r="D137" s="13" t="inlineStr">
        <is>
          <t>Confirm end-2026 target status</t>
        </is>
      </c>
      <c r="E137" s="59">
        <f>'A1. Data scoring'!H107</f>
        <v/>
      </c>
      <c r="F137" s="59">
        <f>'A1. Data scoring'!I107</f>
        <v/>
      </c>
      <c r="G137" s="59">
        <f>'A1. Data scoring'!J107</f>
        <v/>
      </c>
      <c r="H137" s="59">
        <f>'A1. Data scoring'!K107</f>
        <v/>
      </c>
      <c r="I137" s="59">
        <f>'A1. Data scoring'!M107</f>
        <v/>
      </c>
      <c r="O137" s="60" t="n"/>
    </row>
    <row r="138" ht="60" customHeight="1">
      <c r="B138" s="58" t="inlineStr">
        <is>
          <t>CL2(a)</t>
        </is>
      </c>
      <c r="D138" s="13" t="inlineStr">
        <is>
          <t>OPTION 1:  Target-level reporting</t>
        </is>
      </c>
      <c r="E138" s="59">
        <f>'A1. Data scoring'!H108</f>
        <v/>
      </c>
      <c r="F138" s="59">
        <f>'A1. Data scoring'!I108</f>
        <v/>
      </c>
      <c r="G138" s="59">
        <f>'A1. Data scoring'!J108</f>
        <v/>
      </c>
      <c r="H138" s="59">
        <f>'A1. Data scoring'!K108</f>
        <v/>
      </c>
      <c r="I138" s="59">
        <f>'A1. Data scoring'!M108</f>
        <v/>
      </c>
      <c r="O138" s="60" t="n"/>
    </row>
    <row r="139" ht="60" customHeight="1">
      <c r="B139" s="58" t="inlineStr">
        <is>
          <t>CL2(a)</t>
        </is>
      </c>
      <c r="D139" s="13" t="inlineStr">
        <is>
          <t>OPTION 2:  Indicator level reporting</t>
        </is>
      </c>
      <c r="E139" s="59">
        <f>'A1. Data scoring'!H109</f>
        <v/>
      </c>
      <c r="F139" s="59">
        <f>'A1. Data scoring'!I109</f>
        <v/>
      </c>
      <c r="G139" s="59">
        <f>'A1. Data scoring'!J109</f>
        <v/>
      </c>
      <c r="H139" s="59">
        <f>'A1. Data scoring'!K109</f>
        <v/>
      </c>
      <c r="I139" s="59">
        <f>'A1. Data scoring'!M109</f>
        <v/>
      </c>
      <c r="O139" s="60" t="n"/>
    </row>
    <row r="140" ht="18" customHeight="1">
      <c r="B140" s="58" t="inlineStr">
        <is>
          <t>CL2(a)</t>
        </is>
      </c>
      <c r="D140" s="13" t="inlineStr">
        <is>
          <t>Supporting information/comments</t>
        </is>
      </c>
      <c r="E140" s="59">
        <f>'A1. Data scoring'!H110</f>
        <v/>
      </c>
      <c r="F140" s="59">
        <f>'A1. Data scoring'!I110</f>
        <v/>
      </c>
      <c r="G140" s="59">
        <f>'A1. Data scoring'!J110</f>
        <v/>
      </c>
      <c r="H140" s="59">
        <f>'A1. Data scoring'!K110</f>
        <v/>
      </c>
      <c r="I140" s="59">
        <f>'A1. Data scoring'!M110</f>
        <v/>
      </c>
      <c r="O140" s="60" t="n"/>
    </row>
    <row r="141" ht="18" customHeight="1">
      <c r="B141" s="58" t="inlineStr">
        <is>
          <t>CL2(a)</t>
        </is>
      </c>
      <c r="D141" s="13" t="inlineStr">
        <is>
          <t>Data source and limitations</t>
        </is>
      </c>
      <c r="E141" s="59">
        <f>'A1. Data scoring'!H111</f>
        <v/>
      </c>
      <c r="F141" s="59">
        <f>'A1. Data scoring'!I111</f>
        <v/>
      </c>
      <c r="G141" s="59">
        <f>'A1. Data scoring'!J111</f>
        <v/>
      </c>
      <c r="H141" s="59">
        <f>'A1. Data scoring'!K111</f>
        <v/>
      </c>
      <c r="I141" s="59">
        <f>'A1. Data scoring'!M111</f>
        <v/>
      </c>
      <c r="O141" s="60" t="n"/>
    </row>
    <row r="142" ht="18" customHeight="1">
      <c r="B142" s="58" t="inlineStr">
        <is>
          <t>CL2(a)</t>
        </is>
      </c>
      <c r="D142" s="13" t="inlineStr">
        <is>
          <t>Data owner confirms</t>
        </is>
      </c>
      <c r="E142" s="59">
        <f>'A1. Data scoring'!H112</f>
        <v/>
      </c>
      <c r="F142" s="59">
        <f>'A1. Data scoring'!I112</f>
        <v/>
      </c>
      <c r="G142" s="59">
        <f>'A1. Data scoring'!J112</f>
        <v/>
      </c>
      <c r="H142" s="59">
        <f>'A1. Data scoring'!K112</f>
        <v/>
      </c>
      <c r="I142" s="59">
        <f>'A1. Data scoring'!M112</f>
        <v/>
      </c>
      <c r="O142" s="61" t="n"/>
    </row>
    <row r="144">
      <c r="B144" s="7" t="inlineStr">
        <is>
          <t>CL2(c)</t>
        </is>
      </c>
      <c r="C144" s="50" t="inlineStr">
        <is>
          <t>Ongoing communications that evidence the University’s climate action, research and learning to inform policy, sector and community decarbonisation efforts.</t>
        </is>
      </c>
      <c r="D144" s="56" t="inlineStr">
        <is>
          <t>Unit</t>
        </is>
      </c>
      <c r="E144" s="56" t="inlineStr">
        <is>
          <t>ABP</t>
        </is>
      </c>
      <c r="F144" s="56" t="inlineStr">
        <is>
          <t>ARTS</t>
        </is>
      </c>
      <c r="G144" s="56" t="inlineStr">
        <is>
          <t>FBE</t>
        </is>
      </c>
      <c r="H144" s="56" t="inlineStr">
        <is>
          <t>SCI</t>
        </is>
      </c>
      <c r="M144" s="57">
        <f>'A1. Data scoring'!AC113</f>
        <v/>
      </c>
      <c r="N144" s="57">
        <f>'A1. Data scoring'!AF113</f>
        <v/>
      </c>
      <c r="O144" s="8" t="n"/>
    </row>
    <row r="145" ht="18" customHeight="1">
      <c r="B145" s="58" t="inlineStr">
        <is>
          <t>CL2(c)</t>
        </is>
      </c>
      <c r="D145" s="13" t="inlineStr">
        <is>
          <t>Confirm end-2026 target status</t>
        </is>
      </c>
      <c r="E145" s="59">
        <f>'A1. Data scoring'!H113</f>
        <v/>
      </c>
      <c r="F145" s="59">
        <f>'A1. Data scoring'!I113</f>
        <v/>
      </c>
      <c r="G145" s="59">
        <f>'A1. Data scoring'!J113</f>
        <v/>
      </c>
      <c r="H145" s="59">
        <f>'A1. Data scoring'!K113</f>
        <v/>
      </c>
      <c r="O145" s="60" t="n"/>
    </row>
    <row r="146" ht="60" customHeight="1">
      <c r="B146" s="58" t="inlineStr">
        <is>
          <t>CL2(c)</t>
        </is>
      </c>
      <c r="D146" s="13" t="inlineStr">
        <is>
          <t>OPTION 1:  Target-level reporting</t>
        </is>
      </c>
      <c r="E146" s="59">
        <f>'A1. Data scoring'!H114</f>
        <v/>
      </c>
      <c r="F146" s="59">
        <f>'A1. Data scoring'!I114</f>
        <v/>
      </c>
      <c r="G146" s="59">
        <f>'A1. Data scoring'!J114</f>
        <v/>
      </c>
      <c r="H146" s="59">
        <f>'A1. Data scoring'!K114</f>
        <v/>
      </c>
      <c r="O146" s="60" t="n"/>
    </row>
    <row r="147" ht="60" customHeight="1">
      <c r="B147" s="58" t="inlineStr">
        <is>
          <t>CL2(c)</t>
        </is>
      </c>
      <c r="D147" s="13" t="inlineStr">
        <is>
          <t>OPTION 2:  Indicator level reporting</t>
        </is>
      </c>
      <c r="E147" s="59">
        <f>'A1. Data scoring'!H115</f>
        <v/>
      </c>
      <c r="F147" s="59">
        <f>'A1. Data scoring'!I115</f>
        <v/>
      </c>
      <c r="G147" s="59">
        <f>'A1. Data scoring'!J115</f>
        <v/>
      </c>
      <c r="H147" s="59">
        <f>'A1. Data scoring'!K115</f>
        <v/>
      </c>
      <c r="O147" s="60" t="n"/>
    </row>
    <row r="148" ht="18" customHeight="1">
      <c r="B148" s="58" t="inlineStr">
        <is>
          <t>CL2(c)</t>
        </is>
      </c>
      <c r="D148" s="13" t="inlineStr">
        <is>
          <t>Supporting information/comments</t>
        </is>
      </c>
      <c r="E148" s="59">
        <f>'A1. Data scoring'!H116</f>
        <v/>
      </c>
      <c r="F148" s="59">
        <f>'A1. Data scoring'!I116</f>
        <v/>
      </c>
      <c r="G148" s="59">
        <f>'A1. Data scoring'!J116</f>
        <v/>
      </c>
      <c r="H148" s="59">
        <f>'A1. Data scoring'!K116</f>
        <v/>
      </c>
      <c r="O148" s="60" t="n"/>
    </row>
    <row r="149" ht="18" customHeight="1">
      <c r="B149" s="58" t="inlineStr">
        <is>
          <t>CL2(c)</t>
        </is>
      </c>
      <c r="D149" s="13" t="inlineStr">
        <is>
          <t>Data source and limitations</t>
        </is>
      </c>
      <c r="E149" s="59">
        <f>'A1. Data scoring'!H117</f>
        <v/>
      </c>
      <c r="F149" s="59">
        <f>'A1. Data scoring'!I117</f>
        <v/>
      </c>
      <c r="G149" s="59">
        <f>'A1. Data scoring'!J117</f>
        <v/>
      </c>
      <c r="H149" s="59">
        <f>'A1. Data scoring'!K117</f>
        <v/>
      </c>
      <c r="O149" s="60" t="n"/>
    </row>
    <row r="150" ht="18" customHeight="1">
      <c r="B150" s="58" t="inlineStr">
        <is>
          <t>CL2(c)</t>
        </is>
      </c>
      <c r="D150" s="13" t="inlineStr">
        <is>
          <t>Data owner confirms</t>
        </is>
      </c>
      <c r="E150" s="59">
        <f>'A1. Data scoring'!H118</f>
        <v/>
      </c>
      <c r="F150" s="59">
        <f>'A1. Data scoring'!I118</f>
        <v/>
      </c>
      <c r="G150" s="59">
        <f>'A1. Data scoring'!J118</f>
        <v/>
      </c>
      <c r="H150" s="59">
        <f>'A1. Data scoring'!K118</f>
        <v/>
      </c>
      <c r="O150" s="61" t="n"/>
    </row>
    <row r="152">
      <c r="B152" s="7" t="inlineStr">
        <is>
          <t>CL3(a)</t>
        </is>
      </c>
      <c r="C152" s="50"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6" t="inlineStr">
        <is>
          <t>Unit</t>
        </is>
      </c>
      <c r="E152" s="56" t="inlineStr">
        <is>
          <t>CI&amp;S – Estate Planning &amp; Development</t>
        </is>
      </c>
      <c r="F152" s="56" t="inlineStr">
        <is>
          <t>Legal &amp; Risk – Risk &amp; resilience</t>
        </is>
      </c>
      <c r="M152" s="57">
        <f>'A1. Data scoring'!AC119</f>
        <v/>
      </c>
      <c r="N152" s="57">
        <f>'A1. Data scoring'!AF119</f>
        <v/>
      </c>
      <c r="O152" s="8" t="n"/>
    </row>
    <row r="153" ht="18" customHeight="1">
      <c r="B153" s="58" t="inlineStr">
        <is>
          <t>CL3(a)</t>
        </is>
      </c>
      <c r="D153" s="13" t="inlineStr">
        <is>
          <t>Confirm end-2026 target status</t>
        </is>
      </c>
      <c r="E153" s="59">
        <f>'A1. Data scoring'!L119</f>
        <v/>
      </c>
      <c r="F153" s="59">
        <f>'A1. Data scoring'!S119</f>
        <v/>
      </c>
      <c r="O153" s="60" t="n"/>
    </row>
    <row r="154" ht="60" customHeight="1">
      <c r="B154" s="58" t="inlineStr">
        <is>
          <t>CL3(a)</t>
        </is>
      </c>
      <c r="D154" s="13" t="inlineStr">
        <is>
          <t>OPTION 1:  Target-level reporting</t>
        </is>
      </c>
      <c r="E154" s="59">
        <f>'A1. Data scoring'!L120</f>
        <v/>
      </c>
      <c r="F154" s="59">
        <f>'A1. Data scoring'!S120</f>
        <v/>
      </c>
      <c r="O154" s="60" t="n"/>
    </row>
    <row r="155" ht="60" customHeight="1">
      <c r="B155" s="58" t="inlineStr">
        <is>
          <t>CL3(a)</t>
        </is>
      </c>
      <c r="D155" s="13" t="inlineStr">
        <is>
          <t>OPTION 2:  Indicator level reporting</t>
        </is>
      </c>
      <c r="E155" s="59">
        <f>'A1. Data scoring'!L121</f>
        <v/>
      </c>
      <c r="F155" s="59">
        <f>'A1. Data scoring'!S121</f>
        <v/>
      </c>
      <c r="O155" s="60" t="n"/>
    </row>
    <row r="156" ht="18" customHeight="1">
      <c r="B156" s="58" t="inlineStr">
        <is>
          <t>CL3(a)</t>
        </is>
      </c>
      <c r="D156" s="13" t="inlineStr">
        <is>
          <t>Supporting information/comments</t>
        </is>
      </c>
      <c r="E156" s="59">
        <f>'A1. Data scoring'!L122</f>
        <v/>
      </c>
      <c r="F156" s="59">
        <f>'A1. Data scoring'!S122</f>
        <v/>
      </c>
      <c r="O156" s="60" t="n"/>
    </row>
    <row r="157" ht="18" customHeight="1">
      <c r="B157" s="58" t="inlineStr">
        <is>
          <t>CL3(a)</t>
        </is>
      </c>
      <c r="D157" s="13" t="inlineStr">
        <is>
          <t>Data source and limitations</t>
        </is>
      </c>
      <c r="E157" s="59">
        <f>'A1. Data scoring'!L123</f>
        <v/>
      </c>
      <c r="F157" s="59">
        <f>'A1. Data scoring'!S123</f>
        <v/>
      </c>
      <c r="O157" s="60" t="n"/>
    </row>
    <row r="158" ht="18" customHeight="1">
      <c r="B158" s="58" t="inlineStr">
        <is>
          <t>CL3(a)</t>
        </is>
      </c>
      <c r="D158" s="13" t="inlineStr">
        <is>
          <t>Data owner confirms</t>
        </is>
      </c>
      <c r="E158" s="59">
        <f>'A1. Data scoring'!L124</f>
        <v/>
      </c>
      <c r="F158" s="59">
        <f>'A1. Data scoring'!S124</f>
        <v/>
      </c>
      <c r="O158" s="61" t="n"/>
    </row>
    <row r="160">
      <c r="B160" s="7" t="inlineStr">
        <is>
          <t>NB1(b)</t>
        </is>
      </c>
      <c r="C160" s="50" t="inlineStr">
        <is>
          <t>Size, health and diversity of remnant vegetation at the Dookie and Creswick campuses</t>
        </is>
      </c>
      <c r="D160" s="56" t="inlineStr">
        <is>
          <t>Unit</t>
        </is>
      </c>
      <c r="E160" s="56" t="inlineStr">
        <is>
          <t>ESG – Campus Operations &amp; Sustainability Delivery</t>
        </is>
      </c>
      <c r="M160" s="57">
        <f>'A1. Data scoring'!AC125</f>
        <v/>
      </c>
      <c r="N160" s="57">
        <f>'A1. Data scoring'!AF125</f>
        <v/>
      </c>
      <c r="O160" s="8" t="n"/>
    </row>
    <row r="161" ht="18" customHeight="1">
      <c r="B161" s="58" t="inlineStr">
        <is>
          <t>NB1(b)</t>
        </is>
      </c>
      <c r="D161" s="13" t="inlineStr">
        <is>
          <t>Confirm end-2026 target status</t>
        </is>
      </c>
      <c r="E161" s="59">
        <f>'A1. Data scoring'!P125</f>
        <v/>
      </c>
      <c r="O161" s="60" t="n"/>
    </row>
    <row r="162" ht="60" customHeight="1">
      <c r="B162" s="58" t="inlineStr">
        <is>
          <t>NB1(b)</t>
        </is>
      </c>
      <c r="D162" s="13" t="inlineStr">
        <is>
          <t>OPTION 1:  Target-level reporting</t>
        </is>
      </c>
      <c r="E162" s="59">
        <f>'A1. Data scoring'!P126</f>
        <v/>
      </c>
      <c r="O162" s="60" t="n"/>
    </row>
    <row r="163" ht="60" customHeight="1">
      <c r="B163" s="58" t="inlineStr">
        <is>
          <t>NB1(b)</t>
        </is>
      </c>
      <c r="D163" s="13" t="inlineStr">
        <is>
          <t>OPTION 2:  Indicator level reporting</t>
        </is>
      </c>
      <c r="E163" s="59">
        <f>'A1. Data scoring'!P127</f>
        <v/>
      </c>
      <c r="O163" s="60" t="n"/>
    </row>
    <row r="164" ht="18" customHeight="1">
      <c r="B164" s="58" t="inlineStr">
        <is>
          <t>NB1(b)</t>
        </is>
      </c>
      <c r="D164" s="13" t="inlineStr">
        <is>
          <t>Supporting information/comments</t>
        </is>
      </c>
      <c r="E164" s="59">
        <f>'A1. Data scoring'!P128</f>
        <v/>
      </c>
      <c r="O164" s="60" t="n"/>
    </row>
    <row r="165" ht="18" customHeight="1">
      <c r="B165" s="58" t="inlineStr">
        <is>
          <t>NB1(b)</t>
        </is>
      </c>
      <c r="D165" s="13" t="inlineStr">
        <is>
          <t>Data source and limitations</t>
        </is>
      </c>
      <c r="E165" s="59">
        <f>'A1. Data scoring'!P129</f>
        <v/>
      </c>
      <c r="O165" s="60" t="n"/>
    </row>
    <row r="166" ht="18" customHeight="1">
      <c r="B166" s="58" t="inlineStr">
        <is>
          <t>NB1(b)</t>
        </is>
      </c>
      <c r="D166" s="13" t="inlineStr">
        <is>
          <t>Data owner confirms</t>
        </is>
      </c>
      <c r="E166" s="59">
        <f>'A1. Data scoring'!P130</f>
        <v/>
      </c>
      <c r="O166" s="61" t="n"/>
    </row>
    <row r="168">
      <c r="B168" s="7" t="inlineStr">
        <is>
          <t>NB1(c)</t>
        </is>
      </c>
      <c r="C168" s="50" t="inlineStr">
        <is>
          <t>Defined quality measurement framework</t>
        </is>
      </c>
      <c r="D168" s="56" t="inlineStr">
        <is>
          <t>Unit</t>
        </is>
      </c>
      <c r="E168" s="56" t="inlineStr">
        <is>
          <t>ESG – Campus Operations &amp; Sustainability Delivery</t>
        </is>
      </c>
      <c r="M168" s="57">
        <f>'A1. Data scoring'!AC131</f>
        <v/>
      </c>
      <c r="N168" s="57">
        <f>'A1. Data scoring'!AF131</f>
        <v/>
      </c>
      <c r="O168" s="8" t="n"/>
    </row>
    <row r="169" ht="18" customHeight="1">
      <c r="B169" s="58" t="inlineStr">
        <is>
          <t>NB1(c)</t>
        </is>
      </c>
      <c r="D169" s="13" t="inlineStr">
        <is>
          <t>Confirm end-2026 target status</t>
        </is>
      </c>
      <c r="E169" s="59">
        <f>'A1. Data scoring'!P131</f>
        <v/>
      </c>
      <c r="O169" s="60" t="n"/>
    </row>
    <row r="170" ht="60" customHeight="1">
      <c r="B170" s="58" t="inlineStr">
        <is>
          <t>NB1(c)</t>
        </is>
      </c>
      <c r="D170" s="13" t="inlineStr">
        <is>
          <t>OPTION 1:  Target-level reporting</t>
        </is>
      </c>
      <c r="E170" s="59">
        <f>'A1. Data scoring'!P132</f>
        <v/>
      </c>
      <c r="O170" s="60" t="n"/>
    </row>
    <row r="171" ht="60" customHeight="1">
      <c r="B171" s="58" t="inlineStr">
        <is>
          <t>NB1(c)</t>
        </is>
      </c>
      <c r="D171" s="13" t="inlineStr">
        <is>
          <t>OPTION 2:  Indicator level reporting</t>
        </is>
      </c>
      <c r="E171" s="59">
        <f>'A1. Data scoring'!P133</f>
        <v/>
      </c>
      <c r="O171" s="60" t="n"/>
    </row>
    <row r="172" ht="18" customHeight="1">
      <c r="B172" s="58" t="inlineStr">
        <is>
          <t>NB1(c)</t>
        </is>
      </c>
      <c r="D172" s="13" t="inlineStr">
        <is>
          <t>Supporting information/comments</t>
        </is>
      </c>
      <c r="E172" s="59">
        <f>'A1. Data scoring'!P134</f>
        <v/>
      </c>
      <c r="O172" s="60" t="n"/>
    </row>
    <row r="173" ht="18" customHeight="1">
      <c r="B173" s="58" t="inlineStr">
        <is>
          <t>NB1(c)</t>
        </is>
      </c>
      <c r="D173" s="13" t="inlineStr">
        <is>
          <t>Data source and limitations</t>
        </is>
      </c>
      <c r="E173" s="59">
        <f>'A1. Data scoring'!P135</f>
        <v/>
      </c>
      <c r="O173" s="60" t="n"/>
    </row>
    <row r="174" ht="18" customHeight="1">
      <c r="B174" s="58" t="inlineStr">
        <is>
          <t>NB1(c)</t>
        </is>
      </c>
      <c r="D174" s="13" t="inlineStr">
        <is>
          <t>Data owner confirms</t>
        </is>
      </c>
      <c r="E174" s="59">
        <f>'A1. Data scoring'!P136</f>
        <v/>
      </c>
      <c r="O174" s="61" t="n"/>
    </row>
    <row r="176">
      <c r="B176" s="7" t="inlineStr">
        <is>
          <t>NB1(d)</t>
        </is>
      </c>
      <c r="C176" s="50" t="inlineStr">
        <is>
          <t>Defined and quantified campus connectivity</t>
        </is>
      </c>
      <c r="D176" s="56" t="inlineStr">
        <is>
          <t>Unit</t>
        </is>
      </c>
      <c r="E176" s="56" t="inlineStr">
        <is>
          <t>ESG – Campus Operations &amp; Sustainability Delivery</t>
        </is>
      </c>
      <c r="M176" s="57">
        <f>'A1. Data scoring'!AC137</f>
        <v/>
      </c>
      <c r="N176" s="57">
        <f>'A1. Data scoring'!AF137</f>
        <v/>
      </c>
      <c r="O176" s="8" t="n"/>
    </row>
    <row r="177" ht="18" customHeight="1">
      <c r="B177" s="58" t="inlineStr">
        <is>
          <t>NB1(d)</t>
        </is>
      </c>
      <c r="D177" s="13" t="inlineStr">
        <is>
          <t>Confirm end-2026 target status</t>
        </is>
      </c>
      <c r="E177" s="59">
        <f>'A1. Data scoring'!P137</f>
        <v/>
      </c>
      <c r="O177" s="60" t="n"/>
    </row>
    <row r="178" ht="60" customHeight="1">
      <c r="B178" s="58" t="inlineStr">
        <is>
          <t>NB1(d)</t>
        </is>
      </c>
      <c r="D178" s="13" t="inlineStr">
        <is>
          <t>OPTION 1:  Target-level reporting</t>
        </is>
      </c>
      <c r="E178" s="59">
        <f>'A1. Data scoring'!P138</f>
        <v/>
      </c>
      <c r="O178" s="60" t="n"/>
    </row>
    <row r="179" ht="60" customHeight="1">
      <c r="B179" s="58" t="inlineStr">
        <is>
          <t>NB1(d)</t>
        </is>
      </c>
      <c r="D179" s="13" t="inlineStr">
        <is>
          <t>OPTION 2:  Indicator level reporting</t>
        </is>
      </c>
      <c r="E179" s="59">
        <f>'A1. Data scoring'!P139</f>
        <v/>
      </c>
      <c r="O179" s="60" t="n"/>
    </row>
    <row r="180" ht="18" customHeight="1">
      <c r="B180" s="58" t="inlineStr">
        <is>
          <t>NB1(d)</t>
        </is>
      </c>
      <c r="D180" s="13" t="inlineStr">
        <is>
          <t>Supporting information/comments</t>
        </is>
      </c>
      <c r="E180" s="59">
        <f>'A1. Data scoring'!P140</f>
        <v/>
      </c>
      <c r="O180" s="60" t="n"/>
    </row>
    <row r="181" ht="18" customHeight="1">
      <c r="B181" s="58" t="inlineStr">
        <is>
          <t>NB1(d)</t>
        </is>
      </c>
      <c r="D181" s="13" t="inlineStr">
        <is>
          <t>Data source and limitations</t>
        </is>
      </c>
      <c r="E181" s="59">
        <f>'A1. Data scoring'!P141</f>
        <v/>
      </c>
      <c r="O181" s="60" t="n"/>
    </row>
    <row r="182" ht="18" customHeight="1">
      <c r="B182" s="58" t="inlineStr">
        <is>
          <t>NB1(d)</t>
        </is>
      </c>
      <c r="D182" s="13" t="inlineStr">
        <is>
          <t>Data owner confirms</t>
        </is>
      </c>
      <c r="E182" s="59">
        <f>'A1. Data scoring'!P142</f>
        <v/>
      </c>
      <c r="O182" s="61" t="n"/>
    </row>
    <row r="184">
      <c r="B184" s="7" t="inlineStr">
        <is>
          <t>NB2(a)</t>
        </is>
      </c>
      <c r="C184" s="50" t="inlineStr">
        <is>
          <t>Documented baseline nature footprint analysis</t>
        </is>
      </c>
      <c r="D184" s="56" t="inlineStr">
        <is>
          <t>Unit</t>
        </is>
      </c>
      <c r="E184" s="56" t="inlineStr">
        <is>
          <t>MRE – Research</t>
        </is>
      </c>
      <c r="M184" s="57">
        <f>'A1. Data scoring'!AC143</f>
        <v/>
      </c>
      <c r="N184" s="57">
        <f>'A1. Data scoring'!AF143</f>
        <v/>
      </c>
      <c r="O184" s="8" t="n"/>
    </row>
    <row r="185" ht="18" customHeight="1">
      <c r="B185" s="58" t="inlineStr">
        <is>
          <t>NB2(a)</t>
        </is>
      </c>
      <c r="D185" s="13" t="inlineStr">
        <is>
          <t>Confirm end-2026 target status</t>
        </is>
      </c>
      <c r="E185" s="59">
        <f>'A1. Data scoring'!R143</f>
        <v/>
      </c>
      <c r="O185" s="60" t="n"/>
    </row>
    <row r="186" ht="60" customHeight="1">
      <c r="B186" s="58" t="inlineStr">
        <is>
          <t>NB2(a)</t>
        </is>
      </c>
      <c r="D186" s="13" t="inlineStr">
        <is>
          <t>OPTION 1:  Target-level reporting</t>
        </is>
      </c>
      <c r="E186" s="59">
        <f>'A1. Data scoring'!R144</f>
        <v/>
      </c>
      <c r="O186" s="60" t="n"/>
    </row>
    <row r="187" ht="60" customHeight="1">
      <c r="B187" s="58" t="inlineStr">
        <is>
          <t>NB2(a)</t>
        </is>
      </c>
      <c r="D187" s="13" t="inlineStr">
        <is>
          <t>OPTION 2:  Indicator level reporting</t>
        </is>
      </c>
      <c r="E187" s="59">
        <f>'A1. Data scoring'!R145</f>
        <v/>
      </c>
      <c r="O187" s="60" t="n"/>
    </row>
    <row r="188" ht="18" customHeight="1">
      <c r="B188" s="58" t="inlineStr">
        <is>
          <t>NB2(a)</t>
        </is>
      </c>
      <c r="D188" s="13" t="inlineStr">
        <is>
          <t>Supporting information/comments</t>
        </is>
      </c>
      <c r="E188" s="59">
        <f>'A1. Data scoring'!R146</f>
        <v/>
      </c>
      <c r="O188" s="60" t="n"/>
    </row>
    <row r="189" ht="18" customHeight="1">
      <c r="B189" s="58" t="inlineStr">
        <is>
          <t>NB2(a)</t>
        </is>
      </c>
      <c r="D189" s="13" t="inlineStr">
        <is>
          <t>Data source and limitations</t>
        </is>
      </c>
      <c r="E189" s="59">
        <f>'A1. Data scoring'!R147</f>
        <v/>
      </c>
      <c r="O189" s="60" t="n"/>
    </row>
    <row r="190" ht="18" customHeight="1">
      <c r="B190" s="58" t="inlineStr">
        <is>
          <t>NB2(a)</t>
        </is>
      </c>
      <c r="D190" s="13" t="inlineStr">
        <is>
          <t>Data owner confirms</t>
        </is>
      </c>
      <c r="E190" s="59">
        <f>'A1. Data scoring'!R148</f>
        <v/>
      </c>
      <c r="O190" s="61" t="n"/>
    </row>
    <row r="192">
      <c r="B192" s="7" t="inlineStr">
        <is>
          <t>NB2(b)</t>
        </is>
      </c>
      <c r="C192" s="50" t="inlineStr">
        <is>
          <t>Evidence of established framework to monitor and track supply-chain nature impacts over time</t>
        </is>
      </c>
      <c r="D192" s="56" t="inlineStr">
        <is>
          <t>Unit</t>
        </is>
      </c>
      <c r="E192" s="56" t="inlineStr">
        <is>
          <t>ESG – Campus Operations &amp; Sustainability Delivery</t>
        </is>
      </c>
      <c r="M192" s="57">
        <f>'A1. Data scoring'!AC149</f>
        <v/>
      </c>
      <c r="N192" s="57">
        <f>'A1. Data scoring'!AF149</f>
        <v/>
      </c>
      <c r="O192" s="8" t="n"/>
    </row>
    <row r="193" ht="18" customHeight="1">
      <c r="B193" s="58" t="inlineStr">
        <is>
          <t>NB2(b)</t>
        </is>
      </c>
      <c r="D193" s="13" t="inlineStr">
        <is>
          <t>Confirm end-2026 target status</t>
        </is>
      </c>
      <c r="E193" s="59">
        <f>'A1. Data scoring'!P149</f>
        <v/>
      </c>
      <c r="O193" s="60" t="n"/>
    </row>
    <row r="194" ht="60" customHeight="1">
      <c r="B194" s="58" t="inlineStr">
        <is>
          <t>NB2(b)</t>
        </is>
      </c>
      <c r="D194" s="13" t="inlineStr">
        <is>
          <t>OPTION 1:  Target-level reporting</t>
        </is>
      </c>
      <c r="E194" s="59">
        <f>'A1. Data scoring'!P150</f>
        <v/>
      </c>
      <c r="O194" s="60" t="n"/>
    </row>
    <row r="195" ht="60" customHeight="1">
      <c r="B195" s="58" t="inlineStr">
        <is>
          <t>NB2(b)</t>
        </is>
      </c>
      <c r="D195" s="13" t="inlineStr">
        <is>
          <t>OPTION 2:  Indicator level reporting</t>
        </is>
      </c>
      <c r="E195" s="59">
        <f>'A1. Data scoring'!P151</f>
        <v/>
      </c>
      <c r="O195" s="60" t="n"/>
    </row>
    <row r="196" ht="18" customHeight="1">
      <c r="B196" s="58" t="inlineStr">
        <is>
          <t>NB2(b)</t>
        </is>
      </c>
      <c r="D196" s="13" t="inlineStr">
        <is>
          <t>Supporting information/comments</t>
        </is>
      </c>
      <c r="E196" s="59">
        <f>'A1. Data scoring'!P152</f>
        <v/>
      </c>
      <c r="O196" s="60" t="n"/>
    </row>
    <row r="197" ht="18" customHeight="1">
      <c r="B197" s="58" t="inlineStr">
        <is>
          <t>NB2(b)</t>
        </is>
      </c>
      <c r="D197" s="13" t="inlineStr">
        <is>
          <t>Data source and limitations</t>
        </is>
      </c>
      <c r="E197" s="59">
        <f>'A1. Data scoring'!P153</f>
        <v/>
      </c>
      <c r="O197" s="60" t="n"/>
    </row>
    <row r="198" ht="18" customHeight="1">
      <c r="B198" s="58" t="inlineStr">
        <is>
          <t>NB2(b)</t>
        </is>
      </c>
      <c r="D198" s="13" t="inlineStr">
        <is>
          <t>Data owner confirms</t>
        </is>
      </c>
      <c r="E198" s="59">
        <f>'A1. Data scoring'!P154</f>
        <v/>
      </c>
      <c r="O198" s="61" t="n"/>
    </row>
    <row r="200">
      <c r="B200" s="7" t="inlineStr">
        <is>
          <t>NB2(c)</t>
        </is>
      </c>
      <c r="C200" s="50" t="inlineStr">
        <is>
          <t>Evidence of prioritised high risk procurement categories or suppliers for nature impact management</t>
        </is>
      </c>
      <c r="D200" s="56" t="inlineStr">
        <is>
          <t>Unit</t>
        </is>
      </c>
      <c r="E200" s="56" t="inlineStr">
        <is>
          <t>CFOG – Procurement</t>
        </is>
      </c>
      <c r="F200" s="56" t="inlineStr">
        <is>
          <t>ESG – Campus Operations &amp; Sustainability Delivery</t>
        </is>
      </c>
      <c r="M200" s="57">
        <f>'A1. Data scoring'!AC155</f>
        <v/>
      </c>
      <c r="N200" s="57">
        <f>'A1. Data scoring'!AF155</f>
        <v/>
      </c>
      <c r="O200" s="8" t="n"/>
    </row>
    <row r="201" ht="18" customHeight="1">
      <c r="B201" s="58" t="inlineStr">
        <is>
          <t>NB2(c)</t>
        </is>
      </c>
      <c r="D201" s="13" t="inlineStr">
        <is>
          <t>Confirm end-2026 target status</t>
        </is>
      </c>
      <c r="E201" s="59">
        <f>'A1. Data scoring'!N155</f>
        <v/>
      </c>
      <c r="F201" s="59">
        <f>'A1. Data scoring'!P155</f>
        <v/>
      </c>
      <c r="O201" s="60" t="n"/>
    </row>
    <row r="202" ht="60" customHeight="1">
      <c r="B202" s="58" t="inlineStr">
        <is>
          <t>NB2(c)</t>
        </is>
      </c>
      <c r="D202" s="13" t="inlineStr">
        <is>
          <t>OPTION 1:  Target-level reporting</t>
        </is>
      </c>
      <c r="E202" s="59">
        <f>'A1. Data scoring'!N156</f>
        <v/>
      </c>
      <c r="F202" s="59">
        <f>'A1. Data scoring'!P156</f>
        <v/>
      </c>
      <c r="O202" s="60" t="n"/>
    </row>
    <row r="203" ht="60" customHeight="1">
      <c r="B203" s="58" t="inlineStr">
        <is>
          <t>NB2(c)</t>
        </is>
      </c>
      <c r="D203" s="13" t="inlineStr">
        <is>
          <t>OPTION 2:  Indicator level reporting</t>
        </is>
      </c>
      <c r="E203" s="59">
        <f>'A1. Data scoring'!N157</f>
        <v/>
      </c>
      <c r="F203" s="59">
        <f>'A1. Data scoring'!P157</f>
        <v/>
      </c>
      <c r="O203" s="60" t="n"/>
    </row>
    <row r="204" ht="18" customHeight="1">
      <c r="B204" s="58" t="inlineStr">
        <is>
          <t>NB2(c)</t>
        </is>
      </c>
      <c r="D204" s="13" t="inlineStr">
        <is>
          <t>Supporting information/comments</t>
        </is>
      </c>
      <c r="E204" s="59">
        <f>'A1. Data scoring'!N158</f>
        <v/>
      </c>
      <c r="F204" s="59">
        <f>'A1. Data scoring'!P158</f>
        <v/>
      </c>
      <c r="O204" s="60" t="n"/>
    </row>
    <row r="205" ht="18" customHeight="1">
      <c r="B205" s="58" t="inlineStr">
        <is>
          <t>NB2(c)</t>
        </is>
      </c>
      <c r="D205" s="13" t="inlineStr">
        <is>
          <t>Data source and limitations</t>
        </is>
      </c>
      <c r="E205" s="59">
        <f>'A1. Data scoring'!N159</f>
        <v/>
      </c>
      <c r="F205" s="59">
        <f>'A1. Data scoring'!P159</f>
        <v/>
      </c>
      <c r="O205" s="60" t="n"/>
    </row>
    <row r="206" ht="18" customHeight="1">
      <c r="B206" s="58" t="inlineStr">
        <is>
          <t>NB2(c)</t>
        </is>
      </c>
      <c r="D206" s="13" t="inlineStr">
        <is>
          <t>Data owner confirms</t>
        </is>
      </c>
      <c r="E206" s="59">
        <f>'A1. Data scoring'!N160</f>
        <v/>
      </c>
      <c r="F206" s="59">
        <f>'A1. Data scoring'!P160</f>
        <v/>
      </c>
      <c r="O206" s="61" t="n"/>
    </row>
    <row r="208">
      <c r="B208" s="7" t="inlineStr">
        <is>
          <t>AI1(a)</t>
        </is>
      </c>
      <c r="C208" s="50" t="inlineStr">
        <is>
          <t>Established measurement of estimated operational impacts and opportunities (eg operational impacts could include energy, water, emissions and intensity measures)</t>
        </is>
      </c>
      <c r="D208" s="56" t="inlineStr">
        <is>
          <t>Unit</t>
        </is>
      </c>
      <c r="E208" s="56" t="inlineStr">
        <is>
          <t>CI&amp;S – Sustainability Strategy</t>
        </is>
      </c>
      <c r="F208" s="56" t="inlineStr">
        <is>
          <t>CIOG – Responsible AI &amp; digital</t>
        </is>
      </c>
      <c r="M208" s="57">
        <f>'A1. Data scoring'!AC161</f>
        <v/>
      </c>
      <c r="N208" s="57">
        <f>'A1. Data scoring'!AF161</f>
        <v/>
      </c>
      <c r="O208" s="8" t="n"/>
    </row>
    <row r="209" ht="18" customHeight="1">
      <c r="B209" s="58" t="inlineStr">
        <is>
          <t>AI1(a)</t>
        </is>
      </c>
      <c r="D209" s="13" t="inlineStr">
        <is>
          <t>Confirm end-2026 target status</t>
        </is>
      </c>
      <c r="E209" s="59">
        <f>'A1. Data scoring'!M161</f>
        <v/>
      </c>
      <c r="F209" s="59">
        <f>'A1. Data scoring'!Q161</f>
        <v/>
      </c>
      <c r="O209" s="60" t="n"/>
    </row>
    <row r="210" ht="60" customHeight="1">
      <c r="B210" s="58" t="inlineStr">
        <is>
          <t>AI1(a)</t>
        </is>
      </c>
      <c r="D210" s="13" t="inlineStr">
        <is>
          <t>OPTION 1:  Target-level reporting</t>
        </is>
      </c>
      <c r="E210" s="59">
        <f>'A1. Data scoring'!M162</f>
        <v/>
      </c>
      <c r="F210" s="59">
        <f>'A1. Data scoring'!Q162</f>
        <v/>
      </c>
      <c r="O210" s="60" t="n"/>
    </row>
    <row r="211" ht="60" customHeight="1">
      <c r="B211" s="58" t="inlineStr">
        <is>
          <t>AI1(a)</t>
        </is>
      </c>
      <c r="D211" s="13" t="inlineStr">
        <is>
          <t>OPTION 2:  Indicator level reporting</t>
        </is>
      </c>
      <c r="E211" s="59">
        <f>'A1. Data scoring'!M163</f>
        <v/>
      </c>
      <c r="F211" s="59">
        <f>'A1. Data scoring'!Q163</f>
        <v/>
      </c>
      <c r="O211" s="60" t="n"/>
    </row>
    <row r="212" ht="18" customHeight="1">
      <c r="B212" s="58" t="inlineStr">
        <is>
          <t>AI1(a)</t>
        </is>
      </c>
      <c r="D212" s="13" t="inlineStr">
        <is>
          <t>Supporting information/comments</t>
        </is>
      </c>
      <c r="E212" s="59">
        <f>'A1. Data scoring'!M164</f>
        <v/>
      </c>
      <c r="F212" s="59">
        <f>'A1. Data scoring'!Q164</f>
        <v/>
      </c>
      <c r="O212" s="60" t="n"/>
    </row>
    <row r="213" ht="18" customHeight="1">
      <c r="B213" s="58" t="inlineStr">
        <is>
          <t>AI1(a)</t>
        </is>
      </c>
      <c r="D213" s="13" t="inlineStr">
        <is>
          <t>Data source and limitations</t>
        </is>
      </c>
      <c r="E213" s="59">
        <f>'A1. Data scoring'!M165</f>
        <v/>
      </c>
      <c r="F213" s="59">
        <f>'A1. Data scoring'!Q165</f>
        <v/>
      </c>
      <c r="O213" s="60" t="n"/>
    </row>
    <row r="214" ht="18" customHeight="1">
      <c r="B214" s="58" t="inlineStr">
        <is>
          <t>AI1(a)</t>
        </is>
      </c>
      <c r="D214" s="13" t="inlineStr">
        <is>
          <t>Data owner confirms</t>
        </is>
      </c>
      <c r="E214" s="59">
        <f>'A1. Data scoring'!M166</f>
        <v/>
      </c>
      <c r="F214" s="59">
        <f>'A1. Data scoring'!Q166</f>
        <v/>
      </c>
      <c r="O214" s="61" t="n"/>
    </row>
    <row r="216">
      <c r="B216" s="7" t="inlineStr">
        <is>
          <t>AI1(b)</t>
        </is>
      </c>
      <c r="C216" s="50" t="inlineStr">
        <is>
          <t>Case studies of sustainability and AI-related education, research and collaboration activities.</t>
        </is>
      </c>
      <c r="D216" s="56" t="inlineStr">
        <is>
          <t>Unit</t>
        </is>
      </c>
      <c r="E216" s="56" t="inlineStr">
        <is>
          <t>CI&amp;S – Sustainability Strategy</t>
        </is>
      </c>
      <c r="F216" s="56" t="inlineStr">
        <is>
          <t>CIOG – Responsible AI &amp; digital</t>
        </is>
      </c>
      <c r="M216" s="57">
        <f>'A1. Data scoring'!AC167</f>
        <v/>
      </c>
      <c r="N216" s="57">
        <f>'A1. Data scoring'!AF167</f>
        <v/>
      </c>
      <c r="O216" s="8" t="n"/>
    </row>
    <row r="217" ht="18" customHeight="1">
      <c r="B217" s="58" t="inlineStr">
        <is>
          <t>AI1(b)</t>
        </is>
      </c>
      <c r="D217" s="13" t="inlineStr">
        <is>
          <t>Confirm end-2026 target status</t>
        </is>
      </c>
      <c r="E217" s="59">
        <f>'A1. Data scoring'!M167</f>
        <v/>
      </c>
      <c r="F217" s="59">
        <f>'A1. Data scoring'!Q167</f>
        <v/>
      </c>
      <c r="O217" s="60" t="n"/>
    </row>
    <row r="218" ht="60" customHeight="1">
      <c r="B218" s="58" t="inlineStr">
        <is>
          <t>AI1(b)</t>
        </is>
      </c>
      <c r="D218" s="13" t="inlineStr">
        <is>
          <t>OPTION 1:  Target-level reporting</t>
        </is>
      </c>
      <c r="E218" s="59">
        <f>'A1. Data scoring'!M168</f>
        <v/>
      </c>
      <c r="F218" s="59">
        <f>'A1. Data scoring'!Q168</f>
        <v/>
      </c>
      <c r="O218" s="60" t="n"/>
    </row>
    <row r="219" ht="60" customHeight="1">
      <c r="B219" s="58" t="inlineStr">
        <is>
          <t>AI1(b)</t>
        </is>
      </c>
      <c r="D219" s="13" t="inlineStr">
        <is>
          <t>OPTION 2:  Indicator level reporting</t>
        </is>
      </c>
      <c r="E219" s="59">
        <f>'A1. Data scoring'!M169</f>
        <v/>
      </c>
      <c r="F219" s="59">
        <f>'A1. Data scoring'!Q169</f>
        <v/>
      </c>
      <c r="O219" s="60" t="n"/>
    </row>
    <row r="220" ht="18" customHeight="1">
      <c r="B220" s="58" t="inlineStr">
        <is>
          <t>AI1(b)</t>
        </is>
      </c>
      <c r="D220" s="13" t="inlineStr">
        <is>
          <t>Supporting information/comments</t>
        </is>
      </c>
      <c r="E220" s="59">
        <f>'A1. Data scoring'!M170</f>
        <v/>
      </c>
      <c r="F220" s="59">
        <f>'A1. Data scoring'!Q170</f>
        <v/>
      </c>
      <c r="O220" s="60" t="n"/>
    </row>
    <row r="221" ht="18" customHeight="1">
      <c r="B221" s="58" t="inlineStr">
        <is>
          <t>AI1(b)</t>
        </is>
      </c>
      <c r="D221" s="13" t="inlineStr">
        <is>
          <t>Data source and limitations</t>
        </is>
      </c>
      <c r="E221" s="59">
        <f>'A1. Data scoring'!M171</f>
        <v/>
      </c>
      <c r="F221" s="59">
        <f>'A1. Data scoring'!Q171</f>
        <v/>
      </c>
      <c r="O221" s="60" t="n"/>
    </row>
    <row r="222" ht="18" customHeight="1">
      <c r="B222" s="58" t="inlineStr">
        <is>
          <t>AI1(b)</t>
        </is>
      </c>
      <c r="D222" s="13" t="inlineStr">
        <is>
          <t>Data owner confirms</t>
        </is>
      </c>
      <c r="E222" s="59">
        <f>'A1. Data scoring'!M172</f>
        <v/>
      </c>
      <c r="F222" s="59">
        <f>'A1. Data scoring'!Q172</f>
        <v/>
      </c>
      <c r="O222" s="61" t="n"/>
    </row>
    <row r="224">
      <c r="B224" s="7" t="inlineStr">
        <is>
          <t>EI1(a)</t>
        </is>
      </c>
      <c r="C224" s="50" t="inlineStr">
        <is>
          <t>Evidence of increased maturity of estate and infrastructure planning, development and operations to support the other priority areas in Sustainability 2030</t>
        </is>
      </c>
      <c r="D224" s="56" t="inlineStr">
        <is>
          <t>Unit</t>
        </is>
      </c>
      <c r="E224" s="56" t="inlineStr">
        <is>
          <t>CI&amp;S – Estate Planning &amp; Development</t>
        </is>
      </c>
      <c r="M224" s="57">
        <f>'A1. Data scoring'!AC173</f>
        <v/>
      </c>
      <c r="N224" s="57">
        <f>'A1. Data scoring'!AF173</f>
        <v/>
      </c>
      <c r="O224" s="8" t="n"/>
    </row>
    <row r="225" ht="18" customHeight="1">
      <c r="B225" s="58" t="inlineStr">
        <is>
          <t>EI1(a)</t>
        </is>
      </c>
      <c r="D225" s="13" t="inlineStr">
        <is>
          <t>Confirm end-2026 target status</t>
        </is>
      </c>
      <c r="E225" s="59">
        <f>'A1. Data scoring'!L173</f>
        <v/>
      </c>
      <c r="O225" s="60" t="n"/>
    </row>
    <row r="226" ht="60" customHeight="1">
      <c r="B226" s="58" t="inlineStr">
        <is>
          <t>EI1(a)</t>
        </is>
      </c>
      <c r="D226" s="13" t="inlineStr">
        <is>
          <t>OPTION 1:  Target-level reporting</t>
        </is>
      </c>
      <c r="E226" s="59">
        <f>'A1. Data scoring'!L174</f>
        <v/>
      </c>
      <c r="O226" s="60" t="n"/>
    </row>
    <row r="227" ht="60" customHeight="1">
      <c r="B227" s="58" t="inlineStr">
        <is>
          <t>EI1(a)</t>
        </is>
      </c>
      <c r="D227" s="13" t="inlineStr">
        <is>
          <t>OPTION 2:  Indicator level reporting</t>
        </is>
      </c>
      <c r="E227" s="59">
        <f>'A1. Data scoring'!L175</f>
        <v/>
      </c>
      <c r="O227" s="60" t="n"/>
    </row>
    <row r="228" ht="18" customHeight="1">
      <c r="B228" s="58" t="inlineStr">
        <is>
          <t>EI1(a)</t>
        </is>
      </c>
      <c r="D228" s="13" t="inlineStr">
        <is>
          <t>Supporting information/comments</t>
        </is>
      </c>
      <c r="E228" s="59">
        <f>'A1. Data scoring'!L176</f>
        <v/>
      </c>
      <c r="O228" s="60" t="n"/>
    </row>
    <row r="229" ht="18" customHeight="1">
      <c r="B229" s="58" t="inlineStr">
        <is>
          <t>EI1(a)</t>
        </is>
      </c>
      <c r="D229" s="13" t="inlineStr">
        <is>
          <t>Data source and limitations</t>
        </is>
      </c>
      <c r="E229" s="59">
        <f>'A1. Data scoring'!L177</f>
        <v/>
      </c>
      <c r="O229" s="60" t="n"/>
    </row>
    <row r="230" ht="18" customHeight="1">
      <c r="B230" s="58" t="inlineStr">
        <is>
          <t>EI1(a)</t>
        </is>
      </c>
      <c r="D230" s="13" t="inlineStr">
        <is>
          <t>Data owner confirms</t>
        </is>
      </c>
      <c r="E230" s="59">
        <f>'A1. Data scoring'!L178</f>
        <v/>
      </c>
      <c r="O230" s="61" t="n"/>
    </row>
    <row r="232">
      <c r="B232" s="7" t="inlineStr">
        <is>
          <t>EI1(b)</t>
        </is>
      </c>
      <c r="C232" s="50" t="inlineStr">
        <is>
          <t>Estimated sustainability impacts of the University’s estate and infrastructure capital plan to inform progress towards emissions reduction targets and other priority areas (to the extent enabled by available information)</t>
        </is>
      </c>
      <c r="D232" s="56" t="inlineStr">
        <is>
          <t>Unit</t>
        </is>
      </c>
      <c r="E232" s="56" t="inlineStr">
        <is>
          <t>CI&amp;S – Estate Planning &amp; Development</t>
        </is>
      </c>
      <c r="M232" s="57">
        <f>'A1. Data scoring'!AC179</f>
        <v/>
      </c>
      <c r="N232" s="57">
        <f>'A1. Data scoring'!AF179</f>
        <v/>
      </c>
      <c r="O232" s="8" t="n"/>
    </row>
    <row r="233" ht="18" customHeight="1">
      <c r="B233" s="58" t="inlineStr">
        <is>
          <t>EI1(b)</t>
        </is>
      </c>
      <c r="D233" s="13" t="inlineStr">
        <is>
          <t>Confirm end-2026 target status</t>
        </is>
      </c>
      <c r="E233" s="59">
        <f>'A1. Data scoring'!L179</f>
        <v/>
      </c>
      <c r="O233" s="60" t="n"/>
    </row>
    <row r="234" ht="60" customHeight="1">
      <c r="B234" s="58" t="inlineStr">
        <is>
          <t>EI1(b)</t>
        </is>
      </c>
      <c r="D234" s="13" t="inlineStr">
        <is>
          <t>OPTION 1:  Target-level reporting</t>
        </is>
      </c>
      <c r="E234" s="59">
        <f>'A1. Data scoring'!L180</f>
        <v/>
      </c>
      <c r="O234" s="60" t="n"/>
    </row>
    <row r="235" ht="60" customHeight="1">
      <c r="B235" s="58" t="inlineStr">
        <is>
          <t>EI1(b)</t>
        </is>
      </c>
      <c r="D235" s="13" t="inlineStr">
        <is>
          <t>OPTION 2:  Indicator level reporting</t>
        </is>
      </c>
      <c r="E235" s="59">
        <f>'A1. Data scoring'!L181</f>
        <v/>
      </c>
      <c r="O235" s="60" t="n"/>
    </row>
    <row r="236" ht="18" customHeight="1">
      <c r="B236" s="58" t="inlineStr">
        <is>
          <t>EI1(b)</t>
        </is>
      </c>
      <c r="D236" s="13" t="inlineStr">
        <is>
          <t>Supporting information/comments</t>
        </is>
      </c>
      <c r="E236" s="59">
        <f>'A1. Data scoring'!L182</f>
        <v/>
      </c>
      <c r="O236" s="60" t="n"/>
    </row>
    <row r="237" ht="18" customHeight="1">
      <c r="B237" s="58" t="inlineStr">
        <is>
          <t>EI1(b)</t>
        </is>
      </c>
      <c r="D237" s="13" t="inlineStr">
        <is>
          <t>Data source and limitations</t>
        </is>
      </c>
      <c r="E237" s="59">
        <f>'A1. Data scoring'!L183</f>
        <v/>
      </c>
      <c r="O237" s="60" t="n"/>
    </row>
    <row r="238" ht="18" customHeight="1">
      <c r="B238" s="58" t="inlineStr">
        <is>
          <t>EI1(b)</t>
        </is>
      </c>
      <c r="D238" s="13" t="inlineStr">
        <is>
          <t>Data owner confirms</t>
        </is>
      </c>
      <c r="E238" s="59">
        <f>'A1. Data scoring'!L184</f>
        <v/>
      </c>
      <c r="O238" s="61" t="n"/>
    </row>
    <row r="240">
      <c r="B240" s="7" t="inlineStr">
        <is>
          <t>EI1(c)</t>
        </is>
      </c>
      <c r="C240" s="50" t="inlineStr">
        <is>
          <t>Reporting on relevant activities and impacts for the University’s major estate and infrastructure projects and programs aligned with the other priority areas in Sustainability 2030</t>
        </is>
      </c>
      <c r="D240" s="56" t="inlineStr">
        <is>
          <t>Unit</t>
        </is>
      </c>
      <c r="E240" s="56" t="inlineStr">
        <is>
          <t>CI&amp;S – Estate Planning &amp; Development</t>
        </is>
      </c>
      <c r="M240" s="57">
        <f>'A1. Data scoring'!AC185</f>
        <v/>
      </c>
      <c r="N240" s="57">
        <f>'A1. Data scoring'!AF185</f>
        <v/>
      </c>
      <c r="O240" s="8" t="n"/>
    </row>
    <row r="241" ht="18" customHeight="1">
      <c r="B241" s="58" t="inlineStr">
        <is>
          <t>EI1(c)</t>
        </is>
      </c>
      <c r="D241" s="13" t="inlineStr">
        <is>
          <t>Confirm end-2026 target status</t>
        </is>
      </c>
      <c r="E241" s="59">
        <f>'A1. Data scoring'!L185</f>
        <v/>
      </c>
      <c r="O241" s="60" t="n"/>
    </row>
    <row r="242" ht="60" customHeight="1">
      <c r="B242" s="58" t="inlineStr">
        <is>
          <t>EI1(c)</t>
        </is>
      </c>
      <c r="D242" s="13" t="inlineStr">
        <is>
          <t>OPTION 1:  Target-level reporting</t>
        </is>
      </c>
      <c r="E242" s="59">
        <f>'A1. Data scoring'!L186</f>
        <v/>
      </c>
      <c r="O242" s="60" t="n"/>
    </row>
    <row r="243" ht="60" customHeight="1">
      <c r="B243" s="58" t="inlineStr">
        <is>
          <t>EI1(c)</t>
        </is>
      </c>
      <c r="D243" s="13" t="inlineStr">
        <is>
          <t>OPTION 2:  Indicator level reporting</t>
        </is>
      </c>
      <c r="E243" s="59">
        <f>'A1. Data scoring'!L187</f>
        <v/>
      </c>
      <c r="O243" s="60" t="n"/>
    </row>
    <row r="244" ht="18" customHeight="1">
      <c r="B244" s="58" t="inlineStr">
        <is>
          <t>EI1(c)</t>
        </is>
      </c>
      <c r="D244" s="13" t="inlineStr">
        <is>
          <t>Supporting information/comments</t>
        </is>
      </c>
      <c r="E244" s="59">
        <f>'A1. Data scoring'!L188</f>
        <v/>
      </c>
      <c r="O244" s="60" t="n"/>
    </row>
    <row r="245" ht="18" customHeight="1">
      <c r="B245" s="58" t="inlineStr">
        <is>
          <t>EI1(c)</t>
        </is>
      </c>
      <c r="D245" s="13" t="inlineStr">
        <is>
          <t>Data source and limitations</t>
        </is>
      </c>
      <c r="E245" s="59">
        <f>'A1. Data scoring'!L189</f>
        <v/>
      </c>
      <c r="O245" s="60" t="n"/>
    </row>
    <row r="246" ht="18" customHeight="1">
      <c r="B246" s="58" t="inlineStr">
        <is>
          <t>EI1(c)</t>
        </is>
      </c>
      <c r="D246" s="13" t="inlineStr">
        <is>
          <t>Data owner confirms</t>
        </is>
      </c>
      <c r="E246" s="59">
        <f>'A1. Data scoring'!L190</f>
        <v/>
      </c>
      <c r="O246" s="61" t="n"/>
    </row>
    <row r="248">
      <c r="B248" s="7" t="inlineStr">
        <is>
          <t>EI1(d)</t>
        </is>
      </c>
      <c r="C248" s="50" t="inlineStr">
        <is>
          <t>Evidence of understanding and integration of Indigenous approaches to sustainability in estate planning and development programs and projects.</t>
        </is>
      </c>
      <c r="D248" s="56" t="inlineStr">
        <is>
          <t>Unit</t>
        </is>
      </c>
      <c r="E248" s="56" t="inlineStr">
        <is>
          <t>CI&amp;S – Estate Planning &amp; Development</t>
        </is>
      </c>
      <c r="M248" s="57">
        <f>'A1. Data scoring'!AC191</f>
        <v/>
      </c>
      <c r="N248" s="57">
        <f>'A1. Data scoring'!AF191</f>
        <v/>
      </c>
      <c r="O248" s="8" t="n"/>
    </row>
    <row r="249" ht="18" customHeight="1">
      <c r="B249" s="58" t="inlineStr">
        <is>
          <t>EI1(d)</t>
        </is>
      </c>
      <c r="D249" s="13" t="inlineStr">
        <is>
          <t>Confirm end-2026 target status</t>
        </is>
      </c>
      <c r="E249" s="59">
        <f>'A1. Data scoring'!L191</f>
        <v/>
      </c>
      <c r="O249" s="60" t="n"/>
    </row>
    <row r="250" ht="60" customHeight="1">
      <c r="B250" s="58" t="inlineStr">
        <is>
          <t>EI1(d)</t>
        </is>
      </c>
      <c r="D250" s="13" t="inlineStr">
        <is>
          <t>OPTION 1:  Target-level reporting</t>
        </is>
      </c>
      <c r="E250" s="59">
        <f>'A1. Data scoring'!L192</f>
        <v/>
      </c>
      <c r="O250" s="60" t="n"/>
    </row>
    <row r="251" ht="60" customHeight="1">
      <c r="B251" s="58" t="inlineStr">
        <is>
          <t>EI1(d)</t>
        </is>
      </c>
      <c r="D251" s="13" t="inlineStr">
        <is>
          <t>OPTION 2:  Indicator level reporting</t>
        </is>
      </c>
      <c r="E251" s="59">
        <f>'A1. Data scoring'!L193</f>
        <v/>
      </c>
      <c r="O251" s="60" t="n"/>
    </row>
    <row r="252" ht="18" customHeight="1">
      <c r="B252" s="58" t="inlineStr">
        <is>
          <t>EI1(d)</t>
        </is>
      </c>
      <c r="D252" s="13" t="inlineStr">
        <is>
          <t>Supporting information/comments</t>
        </is>
      </c>
      <c r="E252" s="59">
        <f>'A1. Data scoring'!L194</f>
        <v/>
      </c>
      <c r="O252" s="60" t="n"/>
    </row>
    <row r="253" ht="18" customHeight="1">
      <c r="B253" s="58" t="inlineStr">
        <is>
          <t>EI1(d)</t>
        </is>
      </c>
      <c r="D253" s="13" t="inlineStr">
        <is>
          <t>Data source and limitations</t>
        </is>
      </c>
      <c r="E253" s="59">
        <f>'A1. Data scoring'!L195</f>
        <v/>
      </c>
      <c r="O253" s="60" t="n"/>
    </row>
    <row r="254" ht="18" customHeight="1">
      <c r="B254" s="58" t="inlineStr">
        <is>
          <t>EI1(d)</t>
        </is>
      </c>
      <c r="D254" s="13" t="inlineStr">
        <is>
          <t>Data owner confirms</t>
        </is>
      </c>
      <c r="E254" s="59">
        <f>'A1. Data scoring'!L196</f>
        <v/>
      </c>
      <c r="O254" s="61" t="n"/>
    </row>
    <row r="256">
      <c r="B256" s="7" t="inlineStr">
        <is>
          <t>RP1(a)</t>
        </is>
      </c>
      <c r="C256" s="50" t="inlineStr">
        <is>
          <t>Case studies of maturity improvement related to responsible procurement process and systems.</t>
        </is>
      </c>
      <c r="D256" s="56" t="inlineStr">
        <is>
          <t>Unit</t>
        </is>
      </c>
      <c r="E256" s="56" t="inlineStr">
        <is>
          <t>CFOG – Procurement</t>
        </is>
      </c>
      <c r="M256" s="57">
        <f>'A1. Data scoring'!AC197</f>
        <v/>
      </c>
      <c r="N256" s="57">
        <f>'A1. Data scoring'!AF197</f>
        <v/>
      </c>
      <c r="O256" s="8" t="n"/>
    </row>
    <row r="257" ht="18" customHeight="1">
      <c r="B257" s="58" t="inlineStr">
        <is>
          <t>RP1(a)</t>
        </is>
      </c>
      <c r="D257" s="13" t="inlineStr">
        <is>
          <t>Confirm end-2026 target status</t>
        </is>
      </c>
      <c r="E257" s="59">
        <f>'A1. Data scoring'!N197</f>
        <v/>
      </c>
      <c r="O257" s="60" t="n"/>
    </row>
    <row r="258" ht="60" customHeight="1">
      <c r="B258" s="58" t="inlineStr">
        <is>
          <t>RP1(a)</t>
        </is>
      </c>
      <c r="D258" s="13" t="inlineStr">
        <is>
          <t>OPTION 1:  Target-level reporting</t>
        </is>
      </c>
      <c r="E258" s="59">
        <f>'A1. Data scoring'!N198</f>
        <v/>
      </c>
      <c r="O258" s="60" t="n"/>
    </row>
    <row r="259" ht="60" customHeight="1">
      <c r="B259" s="58" t="inlineStr">
        <is>
          <t>RP1(a)</t>
        </is>
      </c>
      <c r="D259" s="13" t="inlineStr">
        <is>
          <t>OPTION 2:  Indicator level reporting</t>
        </is>
      </c>
      <c r="E259" s="59">
        <f>'A1. Data scoring'!N199</f>
        <v/>
      </c>
      <c r="O259" s="60" t="n"/>
    </row>
    <row r="260" ht="18" customHeight="1">
      <c r="B260" s="58" t="inlineStr">
        <is>
          <t>RP1(a)</t>
        </is>
      </c>
      <c r="D260" s="13" t="inlineStr">
        <is>
          <t>Supporting information/comments</t>
        </is>
      </c>
      <c r="E260" s="59">
        <f>'A1. Data scoring'!N200</f>
        <v/>
      </c>
      <c r="O260" s="60" t="n"/>
    </row>
    <row r="261" ht="18" customHeight="1">
      <c r="B261" s="58" t="inlineStr">
        <is>
          <t>RP1(a)</t>
        </is>
      </c>
      <c r="D261" s="13" t="inlineStr">
        <is>
          <t>Data source and limitations</t>
        </is>
      </c>
      <c r="E261" s="59">
        <f>'A1. Data scoring'!N201</f>
        <v/>
      </c>
      <c r="O261" s="60" t="n"/>
    </row>
    <row r="262" ht="18" customHeight="1">
      <c r="B262" s="58" t="inlineStr">
        <is>
          <t>RP1(a)</t>
        </is>
      </c>
      <c r="D262" s="13" t="inlineStr">
        <is>
          <t>Data owner confirms</t>
        </is>
      </c>
      <c r="E262" s="59">
        <f>'A1. Data scoring'!N202</f>
        <v/>
      </c>
      <c r="O262" s="61" t="n"/>
    </row>
    <row r="264">
      <c r="B264" s="7" t="inlineStr">
        <is>
          <t>MS1(a)</t>
        </is>
      </c>
      <c r="C264" s="50" t="inlineStr">
        <is>
          <t>Annual progress reporting via the Modern Slavery Statement</t>
        </is>
      </c>
      <c r="D264" s="56" t="inlineStr">
        <is>
          <t>Unit</t>
        </is>
      </c>
      <c r="E264" s="56" t="inlineStr">
        <is>
          <t>CI&amp;S – Sustainability Strategy</t>
        </is>
      </c>
      <c r="F264" s="56" t="inlineStr">
        <is>
          <t>CFOG – Procurement</t>
        </is>
      </c>
      <c r="M264" s="57">
        <f>'A1. Data scoring'!AC203</f>
        <v/>
      </c>
      <c r="N264" s="57">
        <f>'A1. Data scoring'!AF203</f>
        <v/>
      </c>
      <c r="O264" s="8" t="n"/>
    </row>
    <row r="265" ht="18" customHeight="1">
      <c r="B265" s="58" t="inlineStr">
        <is>
          <t>MS1(a)</t>
        </is>
      </c>
      <c r="D265" s="13" t="inlineStr">
        <is>
          <t>Confirm end-2026 target status</t>
        </is>
      </c>
      <c r="E265" s="59">
        <f>'A1. Data scoring'!M203</f>
        <v/>
      </c>
      <c r="F265" s="59">
        <f>'A1. Data scoring'!N203</f>
        <v/>
      </c>
      <c r="O265" s="60" t="n"/>
    </row>
    <row r="266" ht="60" customHeight="1">
      <c r="B266" s="58" t="inlineStr">
        <is>
          <t>MS1(a)</t>
        </is>
      </c>
      <c r="D266" s="13" t="inlineStr">
        <is>
          <t>OPTION 1:  Target-level reporting</t>
        </is>
      </c>
      <c r="E266" s="59">
        <f>'A1. Data scoring'!M204</f>
        <v/>
      </c>
      <c r="F266" s="59">
        <f>'A1. Data scoring'!N204</f>
        <v/>
      </c>
      <c r="O266" s="60" t="n"/>
    </row>
    <row r="267" ht="60" customHeight="1">
      <c r="B267" s="58" t="inlineStr">
        <is>
          <t>MS1(a)</t>
        </is>
      </c>
      <c r="D267" s="13" t="inlineStr">
        <is>
          <t>OPTION 2:  Indicator level reporting</t>
        </is>
      </c>
      <c r="E267" s="59">
        <f>'A1. Data scoring'!M205</f>
        <v/>
      </c>
      <c r="F267" s="59">
        <f>'A1. Data scoring'!N205</f>
        <v/>
      </c>
      <c r="O267" s="60" t="n"/>
    </row>
    <row r="268" ht="18" customHeight="1">
      <c r="B268" s="58" t="inlineStr">
        <is>
          <t>MS1(a)</t>
        </is>
      </c>
      <c r="D268" s="13" t="inlineStr">
        <is>
          <t>Supporting information/comments</t>
        </is>
      </c>
      <c r="E268" s="59">
        <f>'A1. Data scoring'!M206</f>
        <v/>
      </c>
      <c r="F268" s="59">
        <f>'A1. Data scoring'!N206</f>
        <v/>
      </c>
      <c r="O268" s="60" t="n"/>
    </row>
    <row r="269" ht="18" customHeight="1">
      <c r="B269" s="58" t="inlineStr">
        <is>
          <t>MS1(a)</t>
        </is>
      </c>
      <c r="D269" s="13" t="inlineStr">
        <is>
          <t>Data source and limitations</t>
        </is>
      </c>
      <c r="E269" s="59">
        <f>'A1. Data scoring'!M207</f>
        <v/>
      </c>
      <c r="F269" s="59">
        <f>'A1. Data scoring'!N207</f>
        <v/>
      </c>
      <c r="O269" s="60" t="n"/>
    </row>
    <row r="270" ht="18" customHeight="1">
      <c r="B270" s="58" t="inlineStr">
        <is>
          <t>MS1(a)</t>
        </is>
      </c>
      <c r="D270" s="13" t="inlineStr">
        <is>
          <t>Data owner confirms</t>
        </is>
      </c>
      <c r="E270" s="59">
        <f>'A1. Data scoring'!M208</f>
        <v/>
      </c>
      <c r="F270" s="59">
        <f>'A1. Data scoring'!N208</f>
        <v/>
      </c>
      <c r="O270" s="61" t="n"/>
    </row>
    <row r="272">
      <c r="B272" s="7" t="inlineStr">
        <is>
          <t>RI1(b)</t>
        </is>
      </c>
      <c r="C272" s="50" t="inlineStr">
        <is>
          <t>Continuous improvement of the reporting of the University’s sustainability-related investment profile metrics, could include investment in climate mitigation and transition solutions, and compliance with related obligations (eg UNPRI).</t>
        </is>
      </c>
      <c r="D272" s="56" t="inlineStr">
        <is>
          <t>Unit</t>
        </is>
      </c>
      <c r="E272" s="56" t="inlineStr">
        <is>
          <t>CI&amp;S – Sustainability Strategy</t>
        </is>
      </c>
      <c r="F272" s="56" t="inlineStr">
        <is>
          <t>CFOG – Treasury &amp; Investments</t>
        </is>
      </c>
      <c r="M272" s="57">
        <f>'A1. Data scoring'!AC209</f>
        <v/>
      </c>
      <c r="N272" s="57">
        <f>'A1. Data scoring'!AF209</f>
        <v/>
      </c>
      <c r="O272" s="8" t="n"/>
    </row>
    <row r="273" ht="18" customHeight="1">
      <c r="B273" s="58" t="inlineStr">
        <is>
          <t>RI1(b)</t>
        </is>
      </c>
      <c r="D273" s="13" t="inlineStr">
        <is>
          <t>Confirm end-2026 target status</t>
        </is>
      </c>
      <c r="E273" s="59">
        <f>'A1. Data scoring'!M209</f>
        <v/>
      </c>
      <c r="F273" s="59">
        <f>'A1. Data scoring'!O209</f>
        <v/>
      </c>
      <c r="O273" s="60" t="n"/>
    </row>
    <row r="274" ht="60" customHeight="1">
      <c r="B274" s="58" t="inlineStr">
        <is>
          <t>RI1(b)</t>
        </is>
      </c>
      <c r="D274" s="13" t="inlineStr">
        <is>
          <t>OPTION 1:  Target-level reporting</t>
        </is>
      </c>
      <c r="E274" s="59">
        <f>'A1. Data scoring'!M210</f>
        <v/>
      </c>
      <c r="F274" s="59">
        <f>'A1. Data scoring'!O210</f>
        <v/>
      </c>
      <c r="O274" s="60" t="n"/>
    </row>
    <row r="275" ht="60" customHeight="1">
      <c r="B275" s="58" t="inlineStr">
        <is>
          <t>RI1(b)</t>
        </is>
      </c>
      <c r="D275" s="13" t="inlineStr">
        <is>
          <t>OPTION 2:  Indicator level reporting</t>
        </is>
      </c>
      <c r="E275" s="59">
        <f>'A1. Data scoring'!M211</f>
        <v/>
      </c>
      <c r="F275" s="59">
        <f>'A1. Data scoring'!O211</f>
        <v/>
      </c>
      <c r="O275" s="60" t="n"/>
    </row>
    <row r="276" ht="18" customHeight="1">
      <c r="B276" s="58" t="inlineStr">
        <is>
          <t>RI1(b)</t>
        </is>
      </c>
      <c r="D276" s="13" t="inlineStr">
        <is>
          <t>Supporting information/comments</t>
        </is>
      </c>
      <c r="E276" s="59">
        <f>'A1. Data scoring'!M212</f>
        <v/>
      </c>
      <c r="F276" s="59">
        <f>'A1. Data scoring'!O212</f>
        <v/>
      </c>
      <c r="O276" s="60" t="n"/>
    </row>
    <row r="277" ht="18" customHeight="1">
      <c r="B277" s="58" t="inlineStr">
        <is>
          <t>RI1(b)</t>
        </is>
      </c>
      <c r="D277" s="13" t="inlineStr">
        <is>
          <t>Data source and limitations</t>
        </is>
      </c>
      <c r="E277" s="59">
        <f>'A1. Data scoring'!M213</f>
        <v/>
      </c>
      <c r="F277" s="59">
        <f>'A1. Data scoring'!O213</f>
        <v/>
      </c>
      <c r="O277" s="60" t="n"/>
    </row>
    <row r="278" ht="18" customHeight="1">
      <c r="B278" s="58" t="inlineStr">
        <is>
          <t>RI1(b)</t>
        </is>
      </c>
      <c r="D278" s="13" t="inlineStr">
        <is>
          <t>Data owner confirms</t>
        </is>
      </c>
      <c r="E278" s="59">
        <f>'A1. Data scoring'!M214</f>
        <v/>
      </c>
      <c r="F278" s="59">
        <f>'A1. Data scoring'!O214</f>
        <v/>
      </c>
      <c r="O278" s="61" t="n"/>
    </row>
    <row r="280">
      <c r="B280" s="7" t="inlineStr">
        <is>
          <t>EN1(a)</t>
        </is>
      </c>
      <c r="C280" s="50" t="inlineStr">
        <is>
          <t>Evidence of sustainability outcomes informed by Indigenous knowledges</t>
        </is>
      </c>
      <c r="D280" s="56" t="inlineStr">
        <is>
          <t>Unit</t>
        </is>
      </c>
      <c r="E280" s="56" t="inlineStr">
        <is>
          <t>ABP</t>
        </is>
      </c>
      <c r="F280" s="56" t="inlineStr">
        <is>
          <t>ARTS</t>
        </is>
      </c>
      <c r="G280" s="56" t="inlineStr">
        <is>
          <t>FBE</t>
        </is>
      </c>
      <c r="H280" s="56" t="inlineStr">
        <is>
          <t>SCI</t>
        </is>
      </c>
      <c r="M280" s="57">
        <f>'A1. Data scoring'!AC215</f>
        <v/>
      </c>
      <c r="N280" s="57">
        <f>'A1. Data scoring'!AF215</f>
        <v/>
      </c>
      <c r="O280" s="8" t="n"/>
    </row>
    <row r="281" ht="18" customHeight="1">
      <c r="B281" s="58" t="inlineStr">
        <is>
          <t>EN1(a)</t>
        </is>
      </c>
      <c r="D281" s="13" t="inlineStr">
        <is>
          <t>Confirm end-2026 target status</t>
        </is>
      </c>
      <c r="E281" s="59">
        <f>'A1. Data scoring'!H215</f>
        <v/>
      </c>
      <c r="F281" s="59">
        <f>'A1. Data scoring'!I215</f>
        <v/>
      </c>
      <c r="G281" s="59">
        <f>'A1. Data scoring'!J215</f>
        <v/>
      </c>
      <c r="H281" s="59">
        <f>'A1. Data scoring'!K215</f>
        <v/>
      </c>
      <c r="O281" s="60" t="n"/>
    </row>
    <row r="282" ht="60" customHeight="1">
      <c r="B282" s="58" t="inlineStr">
        <is>
          <t>EN1(a)</t>
        </is>
      </c>
      <c r="D282" s="13" t="inlineStr">
        <is>
          <t>OPTION 1:  Target-level reporting</t>
        </is>
      </c>
      <c r="E282" s="59">
        <f>'A1. Data scoring'!H216</f>
        <v/>
      </c>
      <c r="F282" s="59">
        <f>'A1. Data scoring'!I216</f>
        <v/>
      </c>
      <c r="G282" s="59">
        <f>'A1. Data scoring'!J216</f>
        <v/>
      </c>
      <c r="H282" s="59">
        <f>'A1. Data scoring'!K216</f>
        <v/>
      </c>
      <c r="O282" s="60" t="n"/>
    </row>
    <row r="283" ht="60" customHeight="1">
      <c r="B283" s="58" t="inlineStr">
        <is>
          <t>EN1(a)</t>
        </is>
      </c>
      <c r="D283" s="13" t="inlineStr">
        <is>
          <t>OPTION 2:  Indicator level reporting</t>
        </is>
      </c>
      <c r="E283" s="59">
        <f>'A1. Data scoring'!H217</f>
        <v/>
      </c>
      <c r="F283" s="59">
        <f>'A1. Data scoring'!I217</f>
        <v/>
      </c>
      <c r="G283" s="59">
        <f>'A1. Data scoring'!J217</f>
        <v/>
      </c>
      <c r="H283" s="59">
        <f>'A1. Data scoring'!K217</f>
        <v/>
      </c>
      <c r="O283" s="60" t="n"/>
    </row>
    <row r="284" ht="18" customHeight="1">
      <c r="B284" s="58" t="inlineStr">
        <is>
          <t>EN1(a)</t>
        </is>
      </c>
      <c r="D284" s="13" t="inlineStr">
        <is>
          <t>Supporting information/comments</t>
        </is>
      </c>
      <c r="E284" s="59">
        <f>'A1. Data scoring'!H218</f>
        <v/>
      </c>
      <c r="F284" s="59">
        <f>'A1. Data scoring'!I218</f>
        <v/>
      </c>
      <c r="G284" s="59">
        <f>'A1. Data scoring'!J218</f>
        <v/>
      </c>
      <c r="H284" s="59">
        <f>'A1. Data scoring'!K218</f>
        <v/>
      </c>
      <c r="O284" s="60" t="n"/>
    </row>
    <row r="285" ht="18" customHeight="1">
      <c r="B285" s="58" t="inlineStr">
        <is>
          <t>EN1(a)</t>
        </is>
      </c>
      <c r="D285" s="13" t="inlineStr">
        <is>
          <t>Data source and limitations</t>
        </is>
      </c>
      <c r="E285" s="59">
        <f>'A1. Data scoring'!H219</f>
        <v/>
      </c>
      <c r="F285" s="59">
        <f>'A1. Data scoring'!I219</f>
        <v/>
      </c>
      <c r="G285" s="59">
        <f>'A1. Data scoring'!J219</f>
        <v/>
      </c>
      <c r="H285" s="59">
        <f>'A1. Data scoring'!K219</f>
        <v/>
      </c>
      <c r="O285" s="60" t="n"/>
    </row>
    <row r="286" ht="18" customHeight="1">
      <c r="B286" s="58" t="inlineStr">
        <is>
          <t>EN1(a)</t>
        </is>
      </c>
      <c r="D286" s="13" t="inlineStr">
        <is>
          <t>Data owner confirms</t>
        </is>
      </c>
      <c r="E286" s="59">
        <f>'A1. Data scoring'!H220</f>
        <v/>
      </c>
      <c r="F286" s="59">
        <f>'A1. Data scoring'!I220</f>
        <v/>
      </c>
      <c r="G286" s="59">
        <f>'A1. Data scoring'!J220</f>
        <v/>
      </c>
      <c r="H286" s="59">
        <f>'A1. Data scoring'!K220</f>
        <v/>
      </c>
      <c r="O286" s="61" t="n"/>
    </row>
    <row r="288">
      <c r="B288" s="7" t="inlineStr">
        <is>
          <t>EN1(b)</t>
        </is>
      </c>
      <c r="C288" s="50" t="inlineStr">
        <is>
          <t>Living laboratories enabling applied learning, research and operational sustainability outcomes</t>
        </is>
      </c>
      <c r="D288" s="56" t="inlineStr">
        <is>
          <t>Unit</t>
        </is>
      </c>
      <c r="E288" s="56" t="inlineStr">
        <is>
          <t>ABP</t>
        </is>
      </c>
      <c r="F288" s="56" t="inlineStr">
        <is>
          <t>ARTS</t>
        </is>
      </c>
      <c r="G288" s="56" t="inlineStr">
        <is>
          <t>FBE</t>
        </is>
      </c>
      <c r="H288" s="56" t="inlineStr">
        <is>
          <t>SCI</t>
        </is>
      </c>
      <c r="I288" s="56" t="inlineStr">
        <is>
          <t>CI&amp;S – Sustainability Strategy</t>
        </is>
      </c>
      <c r="M288" s="57">
        <f>'A1. Data scoring'!AC221</f>
        <v/>
      </c>
      <c r="N288" s="57">
        <f>'A1. Data scoring'!AF221</f>
        <v/>
      </c>
      <c r="O288" s="8" t="n"/>
    </row>
    <row r="289" ht="18" customHeight="1">
      <c r="B289" s="58" t="inlineStr">
        <is>
          <t>EN1(b)</t>
        </is>
      </c>
      <c r="D289" s="13" t="inlineStr">
        <is>
          <t>Confirm end-2026 target status</t>
        </is>
      </c>
      <c r="E289" s="59">
        <f>'A1. Data scoring'!H221</f>
        <v/>
      </c>
      <c r="F289" s="59">
        <f>'A1. Data scoring'!I221</f>
        <v/>
      </c>
      <c r="G289" s="59">
        <f>'A1. Data scoring'!J221</f>
        <v/>
      </c>
      <c r="H289" s="59">
        <f>'A1. Data scoring'!K221</f>
        <v/>
      </c>
      <c r="I289" s="59">
        <f>'A1. Data scoring'!M221</f>
        <v/>
      </c>
      <c r="O289" s="60" t="n"/>
    </row>
    <row r="290" ht="60" customHeight="1">
      <c r="B290" s="58" t="inlineStr">
        <is>
          <t>EN1(b)</t>
        </is>
      </c>
      <c r="D290" s="13" t="inlineStr">
        <is>
          <t>OPTION 1:  Target-level reporting</t>
        </is>
      </c>
      <c r="E290" s="59">
        <f>'A1. Data scoring'!H222</f>
        <v/>
      </c>
      <c r="F290" s="59">
        <f>'A1. Data scoring'!I222</f>
        <v/>
      </c>
      <c r="G290" s="59">
        <f>'A1. Data scoring'!J222</f>
        <v/>
      </c>
      <c r="H290" s="59">
        <f>'A1. Data scoring'!K222</f>
        <v/>
      </c>
      <c r="I290" s="59">
        <f>'A1. Data scoring'!M222</f>
        <v/>
      </c>
      <c r="O290" s="60" t="n"/>
    </row>
    <row r="291" ht="60" customHeight="1">
      <c r="B291" s="58" t="inlineStr">
        <is>
          <t>EN1(b)</t>
        </is>
      </c>
      <c r="D291" s="13" t="inlineStr">
        <is>
          <t>OPTION 2:  Indicator level reporting</t>
        </is>
      </c>
      <c r="E291" s="59">
        <f>'A1. Data scoring'!H223</f>
        <v/>
      </c>
      <c r="F291" s="59">
        <f>'A1. Data scoring'!I223</f>
        <v/>
      </c>
      <c r="G291" s="59">
        <f>'A1. Data scoring'!J223</f>
        <v/>
      </c>
      <c r="H291" s="59">
        <f>'A1. Data scoring'!K223</f>
        <v/>
      </c>
      <c r="I291" s="59">
        <f>'A1. Data scoring'!M223</f>
        <v/>
      </c>
      <c r="O291" s="60" t="n"/>
    </row>
    <row r="292" ht="18" customHeight="1">
      <c r="B292" s="58" t="inlineStr">
        <is>
          <t>EN1(b)</t>
        </is>
      </c>
      <c r="D292" s="13" t="inlineStr">
        <is>
          <t>Supporting information/comments</t>
        </is>
      </c>
      <c r="E292" s="59">
        <f>'A1. Data scoring'!H224</f>
        <v/>
      </c>
      <c r="F292" s="59">
        <f>'A1. Data scoring'!I224</f>
        <v/>
      </c>
      <c r="G292" s="59">
        <f>'A1. Data scoring'!J224</f>
        <v/>
      </c>
      <c r="H292" s="59">
        <f>'A1. Data scoring'!K224</f>
        <v/>
      </c>
      <c r="I292" s="59">
        <f>'A1. Data scoring'!M224</f>
        <v/>
      </c>
      <c r="O292" s="60" t="n"/>
    </row>
    <row r="293" ht="18" customHeight="1">
      <c r="B293" s="58" t="inlineStr">
        <is>
          <t>EN1(b)</t>
        </is>
      </c>
      <c r="D293" s="13" t="inlineStr">
        <is>
          <t>Data source and limitations</t>
        </is>
      </c>
      <c r="E293" s="59">
        <f>'A1. Data scoring'!H225</f>
        <v/>
      </c>
      <c r="F293" s="59">
        <f>'A1. Data scoring'!I225</f>
        <v/>
      </c>
      <c r="G293" s="59">
        <f>'A1. Data scoring'!J225</f>
        <v/>
      </c>
      <c r="H293" s="59">
        <f>'A1. Data scoring'!K225</f>
        <v/>
      </c>
      <c r="I293" s="59">
        <f>'A1. Data scoring'!M225</f>
        <v/>
      </c>
      <c r="O293" s="60" t="n"/>
    </row>
    <row r="294" ht="18" customHeight="1">
      <c r="B294" s="58" t="inlineStr">
        <is>
          <t>EN1(b)</t>
        </is>
      </c>
      <c r="D294" s="13" t="inlineStr">
        <is>
          <t>Data owner confirms</t>
        </is>
      </c>
      <c r="E294" s="59">
        <f>'A1. Data scoring'!H226</f>
        <v/>
      </c>
      <c r="F294" s="59">
        <f>'A1. Data scoring'!I226</f>
        <v/>
      </c>
      <c r="G294" s="59">
        <f>'A1. Data scoring'!J226</f>
        <v/>
      </c>
      <c r="H294" s="59">
        <f>'A1. Data scoring'!K226</f>
        <v/>
      </c>
      <c r="I294" s="59">
        <f>'A1. Data scoring'!M226</f>
        <v/>
      </c>
      <c r="O294" s="61" t="n"/>
    </row>
    <row r="296">
      <c r="B296" s="7" t="inlineStr">
        <is>
          <t>EN1(c)</t>
        </is>
      </c>
      <c r="C296" s="50" t="inlineStr">
        <is>
          <t>Coordinated internal engagement and external partnerships contributing to delivery of sustainability outcomes across priority areas.</t>
        </is>
      </c>
      <c r="D296" s="56" t="inlineStr">
        <is>
          <t>Unit</t>
        </is>
      </c>
      <c r="E296" s="56" t="inlineStr">
        <is>
          <t>ABP</t>
        </is>
      </c>
      <c r="F296" s="56" t="inlineStr">
        <is>
          <t>ARTS</t>
        </is>
      </c>
      <c r="G296" s="56" t="inlineStr">
        <is>
          <t>FBE</t>
        </is>
      </c>
      <c r="H296" s="56" t="inlineStr">
        <is>
          <t>SCI</t>
        </is>
      </c>
      <c r="I296" s="56" t="inlineStr">
        <is>
          <t>CI&amp;S – Sustainability Strategy</t>
        </is>
      </c>
      <c r="J296" s="56" t="inlineStr">
        <is>
          <t>CFOG – Procurement</t>
        </is>
      </c>
      <c r="K296" s="56" t="inlineStr">
        <is>
          <t>ESG – Campus Operations &amp; Sustainability Delivery</t>
        </is>
      </c>
      <c r="L296" s="56" t="inlineStr">
        <is>
          <t>CIOG – Responsible AI &amp; digital</t>
        </is>
      </c>
      <c r="M296" s="57">
        <f>'A1. Data scoring'!AC227</f>
        <v/>
      </c>
      <c r="N296" s="57">
        <f>'A1. Data scoring'!AF227</f>
        <v/>
      </c>
      <c r="O296" s="8" t="n"/>
    </row>
    <row r="297" ht="18" customHeight="1">
      <c r="B297" s="58" t="inlineStr">
        <is>
          <t>EN1(c)</t>
        </is>
      </c>
      <c r="D297" s="13" t="inlineStr">
        <is>
          <t>Confirm end-2026 target status</t>
        </is>
      </c>
      <c r="E297" s="59">
        <f>'A1. Data scoring'!H227</f>
        <v/>
      </c>
      <c r="F297" s="59">
        <f>'A1. Data scoring'!I227</f>
        <v/>
      </c>
      <c r="G297" s="59">
        <f>'A1. Data scoring'!J227</f>
        <v/>
      </c>
      <c r="H297" s="59">
        <f>'A1. Data scoring'!K227</f>
        <v/>
      </c>
      <c r="I297" s="59">
        <f>'A1. Data scoring'!M227</f>
        <v/>
      </c>
      <c r="J297" s="59">
        <f>'A1. Data scoring'!N227</f>
        <v/>
      </c>
      <c r="K297" s="59">
        <f>'A1. Data scoring'!P227</f>
        <v/>
      </c>
      <c r="L297" s="59">
        <f>'A1. Data scoring'!Q227</f>
        <v/>
      </c>
      <c r="O297" s="60" t="n"/>
    </row>
    <row r="298" ht="60" customHeight="1">
      <c r="B298" s="58" t="inlineStr">
        <is>
          <t>EN1(c)</t>
        </is>
      </c>
      <c r="D298" s="13" t="inlineStr">
        <is>
          <t>OPTION 1:  Target-level reporting</t>
        </is>
      </c>
      <c r="E298" s="59">
        <f>'A1. Data scoring'!H228</f>
        <v/>
      </c>
      <c r="F298" s="59">
        <f>'A1. Data scoring'!I228</f>
        <v/>
      </c>
      <c r="G298" s="59">
        <f>'A1. Data scoring'!J228</f>
        <v/>
      </c>
      <c r="H298" s="59">
        <f>'A1. Data scoring'!K228</f>
        <v/>
      </c>
      <c r="I298" s="59">
        <f>'A1. Data scoring'!M228</f>
        <v/>
      </c>
      <c r="J298" s="59">
        <f>'A1. Data scoring'!N228</f>
        <v/>
      </c>
      <c r="K298" s="59">
        <f>'A1. Data scoring'!P228</f>
        <v/>
      </c>
      <c r="L298" s="59">
        <f>'A1. Data scoring'!Q228</f>
        <v/>
      </c>
      <c r="O298" s="60" t="n"/>
    </row>
    <row r="299" ht="60" customHeight="1">
      <c r="B299" s="58" t="inlineStr">
        <is>
          <t>EN1(c)</t>
        </is>
      </c>
      <c r="D299" s="13" t="inlineStr">
        <is>
          <t>OPTION 2:  Indicator level reporting</t>
        </is>
      </c>
      <c r="E299" s="59">
        <f>'A1. Data scoring'!H229</f>
        <v/>
      </c>
      <c r="F299" s="59">
        <f>'A1. Data scoring'!I229</f>
        <v/>
      </c>
      <c r="G299" s="59">
        <f>'A1. Data scoring'!J229</f>
        <v/>
      </c>
      <c r="H299" s="59">
        <f>'A1. Data scoring'!K229</f>
        <v/>
      </c>
      <c r="I299" s="59">
        <f>'A1. Data scoring'!M229</f>
        <v/>
      </c>
      <c r="J299" s="59">
        <f>'A1. Data scoring'!N229</f>
        <v/>
      </c>
      <c r="K299" s="59">
        <f>'A1. Data scoring'!P229</f>
        <v/>
      </c>
      <c r="L299" s="59">
        <f>'A1. Data scoring'!Q229</f>
        <v/>
      </c>
      <c r="O299" s="60" t="n"/>
    </row>
    <row r="300" ht="18" customHeight="1">
      <c r="B300" s="58" t="inlineStr">
        <is>
          <t>EN1(c)</t>
        </is>
      </c>
      <c r="D300" s="13" t="inlineStr">
        <is>
          <t>Supporting information/comments</t>
        </is>
      </c>
      <c r="E300" s="59">
        <f>'A1. Data scoring'!H230</f>
        <v/>
      </c>
      <c r="F300" s="59">
        <f>'A1. Data scoring'!I230</f>
        <v/>
      </c>
      <c r="G300" s="59">
        <f>'A1. Data scoring'!J230</f>
        <v/>
      </c>
      <c r="H300" s="59">
        <f>'A1. Data scoring'!K230</f>
        <v/>
      </c>
      <c r="I300" s="59">
        <f>'A1. Data scoring'!M230</f>
        <v/>
      </c>
      <c r="J300" s="59">
        <f>'A1. Data scoring'!N230</f>
        <v/>
      </c>
      <c r="K300" s="59">
        <f>'A1. Data scoring'!P230</f>
        <v/>
      </c>
      <c r="L300" s="59">
        <f>'A1. Data scoring'!Q230</f>
        <v/>
      </c>
      <c r="O300" s="60" t="n"/>
    </row>
    <row r="301" ht="18" customHeight="1">
      <c r="B301" s="58" t="inlineStr">
        <is>
          <t>EN1(c)</t>
        </is>
      </c>
      <c r="D301" s="13" t="inlineStr">
        <is>
          <t>Data source and limitations</t>
        </is>
      </c>
      <c r="E301" s="59">
        <f>'A1. Data scoring'!H231</f>
        <v/>
      </c>
      <c r="F301" s="59">
        <f>'A1. Data scoring'!I231</f>
        <v/>
      </c>
      <c r="G301" s="59">
        <f>'A1. Data scoring'!J231</f>
        <v/>
      </c>
      <c r="H301" s="59">
        <f>'A1. Data scoring'!K231</f>
        <v/>
      </c>
      <c r="I301" s="59">
        <f>'A1. Data scoring'!M231</f>
        <v/>
      </c>
      <c r="J301" s="59">
        <f>'A1. Data scoring'!N231</f>
        <v/>
      </c>
      <c r="K301" s="59">
        <f>'A1. Data scoring'!P231</f>
        <v/>
      </c>
      <c r="L301" s="59">
        <f>'A1. Data scoring'!Q231</f>
        <v/>
      </c>
      <c r="O301" s="60" t="n"/>
    </row>
    <row r="302" ht="18" customHeight="1">
      <c r="B302" s="58" t="inlineStr">
        <is>
          <t>EN1(c)</t>
        </is>
      </c>
      <c r="D302" s="13" t="inlineStr">
        <is>
          <t>Data owner confirms</t>
        </is>
      </c>
      <c r="E302" s="59">
        <f>'A1. Data scoring'!H232</f>
        <v/>
      </c>
      <c r="F302" s="59">
        <f>'A1. Data scoring'!I232</f>
        <v/>
      </c>
      <c r="G302" s="59">
        <f>'A1. Data scoring'!J232</f>
        <v/>
      </c>
      <c r="H302" s="59">
        <f>'A1. Data scoring'!K232</f>
        <v/>
      </c>
      <c r="I302" s="59">
        <f>'A1. Data scoring'!M232</f>
        <v/>
      </c>
      <c r="J302" s="59">
        <f>'A1. Data scoring'!N232</f>
        <v/>
      </c>
      <c r="K302" s="59">
        <f>'A1. Data scoring'!P232</f>
        <v/>
      </c>
      <c r="L302" s="59">
        <f>'A1. Data scoring'!Q232</f>
        <v/>
      </c>
      <c r="O302" s="61" t="n"/>
    </row>
    <row r="304">
      <c r="B304" s="7" t="inlineStr">
        <is>
          <t>EN1(d)</t>
        </is>
      </c>
      <c r="C304" s="50" t="inlineStr">
        <is>
          <t>Sustainability objectives integrated into governance and decision‑making processes, supported by transparent reporting.</t>
        </is>
      </c>
      <c r="D304" s="56" t="inlineStr">
        <is>
          <t>Unit</t>
        </is>
      </c>
      <c r="E304" s="56" t="inlineStr">
        <is>
          <t>ABP</t>
        </is>
      </c>
      <c r="F304" s="56" t="inlineStr">
        <is>
          <t>ARTS</t>
        </is>
      </c>
      <c r="G304" s="56" t="inlineStr">
        <is>
          <t>FBE</t>
        </is>
      </c>
      <c r="H304" s="56" t="inlineStr">
        <is>
          <t>SCI</t>
        </is>
      </c>
      <c r="I304" s="56" t="inlineStr">
        <is>
          <t>CI&amp;S – Sustainability Strategy</t>
        </is>
      </c>
      <c r="J304" s="56" t="inlineStr">
        <is>
          <t>CFOG – Procurement</t>
        </is>
      </c>
      <c r="K304" s="56" t="inlineStr">
        <is>
          <t>ESG – Campus Operations &amp; Sustainability Delivery</t>
        </is>
      </c>
      <c r="L304" s="56" t="inlineStr">
        <is>
          <t>CIOG – Responsible AI &amp; digital</t>
        </is>
      </c>
      <c r="M304" s="57">
        <f>'A1. Data scoring'!AC233</f>
        <v/>
      </c>
      <c r="N304" s="57">
        <f>'A1. Data scoring'!AF233</f>
        <v/>
      </c>
      <c r="O304" s="8" t="n"/>
    </row>
    <row r="305" ht="18" customHeight="1">
      <c r="B305" s="58" t="inlineStr">
        <is>
          <t>EN1(d)</t>
        </is>
      </c>
      <c r="D305" s="13" t="inlineStr">
        <is>
          <t>Confirm end-2026 target status</t>
        </is>
      </c>
      <c r="E305" s="59">
        <f>'A1. Data scoring'!H233</f>
        <v/>
      </c>
      <c r="F305" s="59">
        <f>'A1. Data scoring'!I233</f>
        <v/>
      </c>
      <c r="G305" s="59">
        <f>'A1. Data scoring'!J233</f>
        <v/>
      </c>
      <c r="H305" s="59">
        <f>'A1. Data scoring'!K233</f>
        <v/>
      </c>
      <c r="I305" s="59">
        <f>'A1. Data scoring'!M233</f>
        <v/>
      </c>
      <c r="J305" s="59">
        <f>'A1. Data scoring'!N233</f>
        <v/>
      </c>
      <c r="K305" s="59">
        <f>'A1. Data scoring'!P233</f>
        <v/>
      </c>
      <c r="L305" s="59">
        <f>'A1. Data scoring'!Q233</f>
        <v/>
      </c>
      <c r="O305" s="60" t="n"/>
    </row>
    <row r="306" ht="60" customHeight="1">
      <c r="B306" s="58" t="inlineStr">
        <is>
          <t>EN1(d)</t>
        </is>
      </c>
      <c r="D306" s="13" t="inlineStr">
        <is>
          <t>OPTION 1:  Target-level reporting</t>
        </is>
      </c>
      <c r="E306" s="59">
        <f>'A1. Data scoring'!H234</f>
        <v/>
      </c>
      <c r="F306" s="59">
        <f>'A1. Data scoring'!I234</f>
        <v/>
      </c>
      <c r="G306" s="59">
        <f>'A1. Data scoring'!J234</f>
        <v/>
      </c>
      <c r="H306" s="59">
        <f>'A1. Data scoring'!K234</f>
        <v/>
      </c>
      <c r="I306" s="59">
        <f>'A1. Data scoring'!M234</f>
        <v/>
      </c>
      <c r="J306" s="59">
        <f>'A1. Data scoring'!N234</f>
        <v/>
      </c>
      <c r="K306" s="59">
        <f>'A1. Data scoring'!P234</f>
        <v/>
      </c>
      <c r="L306" s="59">
        <f>'A1. Data scoring'!Q234</f>
        <v/>
      </c>
      <c r="O306" s="60" t="n"/>
    </row>
    <row r="307" ht="60" customHeight="1">
      <c r="B307" s="58" t="inlineStr">
        <is>
          <t>EN1(d)</t>
        </is>
      </c>
      <c r="D307" s="13" t="inlineStr">
        <is>
          <t>OPTION 2:  Indicator level reporting</t>
        </is>
      </c>
      <c r="E307" s="59">
        <f>'A1. Data scoring'!H235</f>
        <v/>
      </c>
      <c r="F307" s="59">
        <f>'A1. Data scoring'!I235</f>
        <v/>
      </c>
      <c r="G307" s="59">
        <f>'A1. Data scoring'!J235</f>
        <v/>
      </c>
      <c r="H307" s="59">
        <f>'A1. Data scoring'!K235</f>
        <v/>
      </c>
      <c r="I307" s="59">
        <f>'A1. Data scoring'!M235</f>
        <v/>
      </c>
      <c r="J307" s="59">
        <f>'A1. Data scoring'!N235</f>
        <v/>
      </c>
      <c r="K307" s="59">
        <f>'A1. Data scoring'!P235</f>
        <v/>
      </c>
      <c r="L307" s="59">
        <f>'A1. Data scoring'!Q235</f>
        <v/>
      </c>
      <c r="O307" s="60" t="n"/>
    </row>
    <row r="308" ht="18" customHeight="1">
      <c r="B308" s="58" t="inlineStr">
        <is>
          <t>EN1(d)</t>
        </is>
      </c>
      <c r="D308" s="13" t="inlineStr">
        <is>
          <t>Supporting information/comments</t>
        </is>
      </c>
      <c r="E308" s="59">
        <f>'A1. Data scoring'!H236</f>
        <v/>
      </c>
      <c r="F308" s="59">
        <f>'A1. Data scoring'!I236</f>
        <v/>
      </c>
      <c r="G308" s="59">
        <f>'A1. Data scoring'!J236</f>
        <v/>
      </c>
      <c r="H308" s="59">
        <f>'A1. Data scoring'!K236</f>
        <v/>
      </c>
      <c r="I308" s="59">
        <f>'A1. Data scoring'!M236</f>
        <v/>
      </c>
      <c r="J308" s="59">
        <f>'A1. Data scoring'!N236</f>
        <v/>
      </c>
      <c r="K308" s="59">
        <f>'A1. Data scoring'!P236</f>
        <v/>
      </c>
      <c r="L308" s="59">
        <f>'A1. Data scoring'!Q236</f>
        <v/>
      </c>
      <c r="O308" s="60" t="n"/>
    </row>
    <row r="309" ht="18" customHeight="1">
      <c r="B309" s="58" t="inlineStr">
        <is>
          <t>EN1(d)</t>
        </is>
      </c>
      <c r="D309" s="13" t="inlineStr">
        <is>
          <t>Data source and limitations</t>
        </is>
      </c>
      <c r="E309" s="59">
        <f>'A1. Data scoring'!H237</f>
        <v/>
      </c>
      <c r="F309" s="59">
        <f>'A1. Data scoring'!I237</f>
        <v/>
      </c>
      <c r="G309" s="59">
        <f>'A1. Data scoring'!J237</f>
        <v/>
      </c>
      <c r="H309" s="59">
        <f>'A1. Data scoring'!K237</f>
        <v/>
      </c>
      <c r="I309" s="59">
        <f>'A1. Data scoring'!M237</f>
        <v/>
      </c>
      <c r="J309" s="59">
        <f>'A1. Data scoring'!N237</f>
        <v/>
      </c>
      <c r="K309" s="59">
        <f>'A1. Data scoring'!P237</f>
        <v/>
      </c>
      <c r="L309" s="59">
        <f>'A1. Data scoring'!Q237</f>
        <v/>
      </c>
      <c r="O309" s="60" t="n"/>
    </row>
    <row r="310" ht="18" customHeight="1">
      <c r="B310" s="58" t="inlineStr">
        <is>
          <t>EN1(d)</t>
        </is>
      </c>
      <c r="D310" s="13" t="inlineStr">
        <is>
          <t>Data owner confirms</t>
        </is>
      </c>
      <c r="E310" s="59">
        <f>'A1. Data scoring'!H238</f>
        <v/>
      </c>
      <c r="F310" s="59">
        <f>'A1. Data scoring'!I238</f>
        <v/>
      </c>
      <c r="G310" s="59">
        <f>'A1. Data scoring'!J238</f>
        <v/>
      </c>
      <c r="H310" s="59">
        <f>'A1. Data scoring'!K238</f>
        <v/>
      </c>
      <c r="I310" s="59">
        <f>'A1. Data scoring'!M238</f>
        <v/>
      </c>
      <c r="J310" s="59">
        <f>'A1. Data scoring'!N238</f>
        <v/>
      </c>
      <c r="K310" s="59">
        <f>'A1. Data scoring'!P238</f>
        <v/>
      </c>
      <c r="L310" s="59">
        <f>'A1. Data scoring'!Q238</f>
        <v/>
      </c>
      <c r="O310" s="61" t="n"/>
    </row>
  </sheetData>
  <autoFilter ref="B7:O312"/>
  <mergeCells count="77">
    <mergeCell ref="O80:O86"/>
    <mergeCell ref="O64:O70"/>
    <mergeCell ref="C185:C190"/>
    <mergeCell ref="O248:O254"/>
    <mergeCell ref="C225:C230"/>
    <mergeCell ref="C265:C270"/>
    <mergeCell ref="O232:O238"/>
    <mergeCell ref="C177:C182"/>
    <mergeCell ref="C41:C46"/>
    <mergeCell ref="O144:O150"/>
    <mergeCell ref="O272:O278"/>
    <mergeCell ref="O48:O54"/>
    <mergeCell ref="O224:O230"/>
    <mergeCell ref="C201:C206"/>
    <mergeCell ref="C105:C110"/>
    <mergeCell ref="O208:O214"/>
    <mergeCell ref="C129:C134"/>
    <mergeCell ref="C17:C22"/>
    <mergeCell ref="O24:O30"/>
    <mergeCell ref="O16:O22"/>
    <mergeCell ref="O88:O94"/>
    <mergeCell ref="C49:C54"/>
    <mergeCell ref="O264:O270"/>
    <mergeCell ref="C97:C102"/>
    <mergeCell ref="C281:C286"/>
    <mergeCell ref="C113:C118"/>
    <mergeCell ref="C65:C70"/>
    <mergeCell ref="D4:J5"/>
    <mergeCell ref="O72:O78"/>
    <mergeCell ref="C193:C198"/>
    <mergeCell ref="C273:C278"/>
    <mergeCell ref="O240:O246"/>
    <mergeCell ref="O96:O102"/>
    <mergeCell ref="O136:O142"/>
    <mergeCell ref="C257:C262"/>
    <mergeCell ref="C297:C302"/>
    <mergeCell ref="C153:C158"/>
    <mergeCell ref="O304:O310"/>
    <mergeCell ref="O120:O126"/>
    <mergeCell ref="C241:C246"/>
    <mergeCell ref="O176:O182"/>
    <mergeCell ref="O288:O294"/>
    <mergeCell ref="C209:C214"/>
    <mergeCell ref="O184:O190"/>
    <mergeCell ref="C249:C254"/>
    <mergeCell ref="O216:O222"/>
    <mergeCell ref="O112:O118"/>
    <mergeCell ref="O296:O302"/>
    <mergeCell ref="C57:C62"/>
    <mergeCell ref="O280:O286"/>
    <mergeCell ref="O56:O62"/>
    <mergeCell ref="C33:C38"/>
    <mergeCell ref="C73:C78"/>
    <mergeCell ref="O32:O38"/>
    <mergeCell ref="O40:O46"/>
    <mergeCell ref="C25:C30"/>
    <mergeCell ref="C9:C14"/>
    <mergeCell ref="O152:O158"/>
    <mergeCell ref="C169:C174"/>
    <mergeCell ref="C233:C238"/>
    <mergeCell ref="O160:O166"/>
    <mergeCell ref="O200:O206"/>
    <mergeCell ref="C81:C86"/>
    <mergeCell ref="C161:C166"/>
    <mergeCell ref="C217:C222"/>
    <mergeCell ref="O128:O134"/>
    <mergeCell ref="O168:O174"/>
    <mergeCell ref="C289:C294"/>
    <mergeCell ref="C145:C150"/>
    <mergeCell ref="O192:O198"/>
    <mergeCell ref="C89:C94"/>
    <mergeCell ref="C137:C142"/>
    <mergeCell ref="O104:O110"/>
    <mergeCell ref="O8:O14"/>
    <mergeCell ref="C121:C126"/>
    <mergeCell ref="C305:C310"/>
    <mergeCell ref="O256:O26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s>
  <sheetData>
    <row r="1">
      <c r="A1" s="1" t="inlineStr">
        <is>
          <t>↑</t>
        </is>
      </c>
      <c r="B1" s="2" t="inlineStr">
        <is>
          <t>End-2026 target status assessment and reporting</t>
        </is>
      </c>
    </row>
    <row r="2">
      <c r="B2" s="3" t="inlineStr">
        <is>
          <t>T2. Single target review</t>
        </is>
      </c>
    </row>
    <row r="4">
      <c r="B4" s="32" t="inlineStr">
        <is>
          <t>Target selected</t>
        </is>
      </c>
      <c r="C4" s="62" t="inlineStr">
        <is>
          <t>EE1(a)</t>
        </is>
      </c>
      <c r="D4" t="inlineStr">
        <is>
          <t>← select an indicator ref from the dropdown</t>
        </is>
      </c>
    </row>
    <row r="5" ht="45" customHeight="1">
      <c r="B5" s="63" t="inlineStr">
        <is>
          <t>Priority area</t>
        </is>
      </c>
      <c r="C5" s="64">
        <f>IFERROR(INDEX('1. Requirements matrix'!$D$6:$D$43,MATCH($C$4,'1. Requirements matrix'!$B$6:$B$43,0)),"")</f>
        <v/>
      </c>
    </row>
    <row r="6" ht="45" customHeight="1">
      <c r="B6" s="63" t="inlineStr">
        <is>
          <t>Target</t>
        </is>
      </c>
      <c r="C6" s="64">
        <f>IFERROR(INDEX('1. Requirements matrix'!$E$6:$E$43,MATCH($C$4,'1. Requirements matrix'!$B$6:$B$43,0)),"")</f>
        <v/>
      </c>
    </row>
    <row r="7" ht="45" customHeight="1">
      <c r="B7" s="63" t="inlineStr">
        <is>
          <t>Indicator</t>
        </is>
      </c>
      <c r="C7" s="64">
        <f>IFERROR(INDEX('1. Requirements matrix'!$F$6:$F$43,MATCH($C$4,'1. Requirements matrix'!$B$6:$B$43,0)),"")</f>
        <v/>
      </c>
    </row>
    <row r="8" ht="45" customHeight="1">
      <c r="B8" s="63" t="inlineStr">
        <is>
          <t>Reporting requirement</t>
        </is>
      </c>
      <c r="C8" s="64">
        <f>IFERROR(INDEX('1. Requirements matrix'!$G$6:$G$43,MATCH($C$4,'1. Requirements matrix'!$B$6:$B$43,0)),"")</f>
        <v/>
      </c>
    </row>
    <row r="9" ht="45" customHeight="1">
      <c r="B9" s="63" t="inlineStr">
        <is>
          <t>Request issued to</t>
        </is>
      </c>
      <c r="C9" s="64">
        <f>IFERROR(INDEX('1. Requirements matrix'!$I$6:$I$43,MATCH($C$4,'1. Requirements matrix'!$B$6:$B$43,0)),"")</f>
        <v/>
      </c>
    </row>
    <row r="11">
      <c r="B11" s="65" t="inlineStr">
        <is>
          <t>Target score (text)</t>
        </is>
      </c>
      <c r="D11" s="65" t="inlineStr">
        <is>
          <t>Threshold status (SR25 rule)</t>
        </is>
      </c>
      <c r="F11" s="65" t="inlineStr">
        <is>
          <t>% met</t>
        </is>
      </c>
      <c r="H11" s="65" t="inlineStr">
        <is>
          <t>Total valid responses</t>
        </is>
      </c>
      <c r="J11" s="65" t="inlineStr">
        <is>
          <t>Requested, no response received</t>
        </is>
      </c>
    </row>
    <row r="12">
      <c r="B12" s="66">
        <f>IFERROR(INDEX('A1. Data scoring'!$AC$11:$AC$238,MATCH($C$4&amp;"|"&amp;"Confirm end-2026 target status",'A1. Data scoring'!$A$11:$A$238,0)),"")</f>
        <v/>
      </c>
      <c r="D12" s="66">
        <f>IFERROR(INDEX('A1. Data scoring'!$AF$11:$AF$238,MATCH($C$4&amp;"|"&amp;"Confirm end-2026 target status",'A1. Data scoring'!$A$11:$A$238,0)),"")</f>
        <v/>
      </c>
      <c r="F12" s="67">
        <f>IFERROR(INDEX('A1. Data scoring'!$AD$11:$AD$238,MATCH($C$4&amp;"|"&amp;"Confirm end-2026 target status",'A1. Data scoring'!$A$11:$A$238,0)),"")</f>
        <v/>
      </c>
      <c r="H12" s="66">
        <f>IFERROR(INDEX('A1. Data scoring'!$AA$11:$AA$238,MATCH($C$4&amp;"|"&amp;"Confirm end-2026 target status",'A1. Data scoring'!$A$11:$A$238,0)),"")</f>
        <v/>
      </c>
      <c r="J12" s="66">
        <f>IFERROR(INDEX('A1. Data scoring'!$U$11:$U$238,MATCH($C$4&amp;"|"&amp;"Confirm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Legal &amp; Risk – Risk &amp; resilience</t>
        </is>
      </c>
    </row>
    <row r="15">
      <c r="B15" s="56" t="inlineStr">
        <is>
          <t>Requested?</t>
        </is>
      </c>
      <c r="C15" s="68">
        <f>IFERROR(INDEX('0.5 Target Check'!C$7:C$44,MATCH($C$4,'0.5 Target Check'!$B$7:$B$44,0)),"")</f>
        <v/>
      </c>
      <c r="D15" s="68">
        <f>IFERROR(INDEX('0.5 Target Check'!D$7:D$44,MATCH($C$4,'0.5 Target Check'!$B$7:$B$44,0)),"")</f>
        <v/>
      </c>
      <c r="E15" s="68">
        <f>IFERROR(INDEX('0.5 Target Check'!E$7:E$44,MATCH($C$4,'0.5 Target Check'!$B$7:$B$44,0)),"")</f>
        <v/>
      </c>
      <c r="F15" s="68">
        <f>IFERROR(INDEX('0.5 Target Check'!F$7:F$44,MATCH($C$4,'0.5 Target Check'!$B$7:$B$44,0)),"")</f>
        <v/>
      </c>
      <c r="G15" s="68">
        <f>IFERROR(INDEX('0.5 Target Check'!G$7:G$44,MATCH($C$4,'0.5 Target Check'!$B$7:$B$44,0)),"")</f>
        <v/>
      </c>
      <c r="H15" s="68">
        <f>IFERROR(INDEX('0.5 Target Check'!H$7:H$44,MATCH($C$4,'0.5 Target Check'!$B$7:$B$44,0)),"")</f>
        <v/>
      </c>
      <c r="I15" s="68">
        <f>IFERROR(INDEX('0.5 Target Check'!I$7:I$44,MATCH($C$4,'0.5 Target Check'!$B$7:$B$44,0)),"")</f>
        <v/>
      </c>
      <c r="J15" s="68">
        <f>IFERROR(INDEX('0.5 Target Check'!J$7:J$44,MATCH($C$4,'0.5 Target Check'!$B$7:$B$44,0)),"")</f>
        <v/>
      </c>
      <c r="K15" s="68">
        <f>IFERROR(INDEX('0.5 Target Check'!K$7:K$44,MATCH($C$4,'0.5 Target Check'!$B$7:$B$44,0)),"")</f>
        <v/>
      </c>
      <c r="L15" s="68">
        <f>IFERROR(INDEX('0.5 Target Check'!L$7:L$44,MATCH($C$4,'0.5 Target Check'!$B$7:$B$44,0)),"")</f>
        <v/>
      </c>
      <c r="M15" s="68">
        <f>IFERROR(INDEX('0.5 Target Check'!M$7:M$44,MATCH($C$4,'0.5 Target Check'!$B$7:$B$44,0)),"")</f>
        <v/>
      </c>
      <c r="N15" s="68">
        <f>IFERROR(INDEX('0.5 Target Check'!N$7:N$44,MATCH($C$4,'0.5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EE1(c)</t>
        </is>
      </c>
      <c r="C8" s="8" t="inlineStr">
        <is>
          <t>Evidence of sustainability focused experiential and co curricular learning (eg Wattle Fellowship; Melbourne Plus)</t>
        </is>
      </c>
      <c r="D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E8" s="8"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F8" s="8" t="inlineStr">
        <is>
          <t>N/A – new indicator</t>
        </is>
      </c>
      <c r="G8" s="8" t="inlineStr">
        <is>
          <t>None (new indicator)</t>
        </is>
      </c>
    </row>
    <row r="9" ht="130" customHeight="1">
      <c r="B9" s="7" t="inlineStr">
        <is>
          <t>EE1(d)</t>
        </is>
      </c>
      <c r="C9" s="8" t="inlineStr">
        <is>
          <t>Alumni profiles demonstrating how graduates contribute to sustainability through their careers or communities.</t>
        </is>
      </c>
      <c r="D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E9" s="8" t="inlineStr">
        <is>
          <t>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F9" s="8" t="inlineStr">
        <is>
          <t>4b(i)</t>
        </is>
      </c>
      <c r="G9" s="8" t="inlineStr">
        <is>
          <t>Points to the faculty's end-2025 response and rating</t>
        </is>
      </c>
    </row>
    <row r="10" ht="13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10" s="8" t="inlineStr">
        <is>
          <t>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F10" s="8" t="inlineStr">
        <is>
          <t>2a</t>
        </is>
      </c>
      <c r="G10" s="8" t="inlineStr">
        <is>
          <t>Points to the faculty's end-2025 response and rating</t>
        </is>
      </c>
    </row>
    <row r="11" ht="130" customHeight="1">
      <c r="B11" s="7" t="inlineStr">
        <is>
          <t>TR1(b)</t>
        </is>
      </c>
      <c r="C11" s="8" t="inlineStr">
        <is>
          <t>Evidence of institutional pathways that enable ongoing collaboration between academic and professional staff</t>
        </is>
      </c>
      <c r="D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E11" s="8"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F11" s="8" t="inlineStr">
        <is>
          <t>N/A – new indicator</t>
        </is>
      </c>
      <c r="G11" s="8" t="inlineStr">
        <is>
          <t>None (new indicator)</t>
        </is>
      </c>
    </row>
    <row r="12" ht="130" customHeight="1">
      <c r="B12" s="7" t="inlineStr">
        <is>
          <t>TR1(c)</t>
        </is>
      </c>
      <c r="C12" s="8" t="inlineStr">
        <is>
          <t>Expert assessment of the quality, relevance and continuity of these collaborations</t>
        </is>
      </c>
      <c r="D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E12" s="8" t="inlineStr">
        <is>
          <t>For the collaborations described in TR1(a)–(b), please give a short assessment (a paragraph is sufficient) of their quality, relevance and continuity: are they ongoing, useful to the University's operational priorities, and producing outcomes?</t>
        </is>
      </c>
      <c r="F12" s="8" t="inlineStr">
        <is>
          <t>N/A – new indicator</t>
        </is>
      </c>
      <c r="G12" s="8" t="inlineStr">
        <is>
          <t>None (new indicator)</t>
        </is>
      </c>
    </row>
    <row r="13" ht="130" customHeight="1">
      <c r="B13" s="7" t="inlineStr">
        <is>
          <t>TR1(d)</t>
        </is>
      </c>
      <c r="C13" s="8" t="inlineStr">
        <is>
          <t>Periodic feedback from participants on the effectiveness and mutual benefit of collaboration mechanisms.</t>
        </is>
      </c>
      <c r="D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E13" s="8"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F13" s="8" t="inlineStr">
        <is>
          <t>N/A – new indicator</t>
        </is>
      </c>
      <c r="G13" s="8" t="inlineStr">
        <is>
          <t>None (new indicator)</t>
        </is>
      </c>
    </row>
    <row r="14" ht="130" customHeight="1">
      <c r="B14" s="7" t="inlineStr">
        <is>
          <t>TR2(a)</t>
        </is>
      </c>
      <c r="C14" s="8" t="inlineStr">
        <is>
          <t>Evidence of sustainability-related research impact across diverse pathways, could include policy, industry, community, practice, cultural and institutional outcomes</t>
        </is>
      </c>
      <c r="D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14" s="8" t="inlineStr">
        <is>
          <t>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14" s="8" t="inlineStr">
        <is>
          <t>5b(i)</t>
        </is>
      </c>
      <c r="G14" s="8" t="inlineStr">
        <is>
          <t>Points to the faculty's end-2025 response and rating</t>
        </is>
      </c>
    </row>
    <row r="15" ht="130" customHeight="1">
      <c r="B15" s="7" t="inlineStr">
        <is>
          <t>TR2(d)</t>
        </is>
      </c>
      <c r="C15" s="8" t="inlineStr">
        <is>
          <t>Case-based evidence demonstrating how research has contributed to meaningful sustainability outcomes.</t>
        </is>
      </c>
      <c r="D15"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5" s="8" t="inlineStr">
        <is>
          <t>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F15" s="8" t="inlineStr">
        <is>
          <t>5b(i)</t>
        </is>
      </c>
      <c r="G15" s="8" t="inlineStr">
        <is>
          <t>Points to the faculty's end-2025 response and rating</t>
        </is>
      </c>
    </row>
    <row r="16" ht="130" customHeight="1">
      <c r="B16" s="7" t="inlineStr">
        <is>
          <t>TR3(a)</t>
        </is>
      </c>
      <c r="C16" s="8" t="inlineStr">
        <is>
          <t>Evidence that sustainability considerations are integrated into relevant research systems, planning processes, guidance, training, induction or support services</t>
        </is>
      </c>
      <c r="D16" s="8" t="inlineStr">
        <is>
          <t>Please describe how sustainability considerations are integrated into research systems, planning processes, guidance, training, induction or support services within your Faculty/Portfolio, could include examples of any new or improved processes.</t>
        </is>
      </c>
      <c r="E16" s="8" t="inlineStr">
        <is>
          <t>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F16" s="8" t="inlineStr">
        <is>
          <t>5c(ii)</t>
        </is>
      </c>
      <c r="G16" s="8" t="inlineStr">
        <is>
          <t>Points to the faculty's end-2025 response and rating</t>
        </is>
      </c>
    </row>
    <row r="17" ht="130" customHeight="1">
      <c r="B17" s="7" t="inlineStr">
        <is>
          <t>TR3(b)</t>
        </is>
      </c>
      <c r="C17" s="8" t="inlineStr">
        <is>
          <t>Demonstrated examples of more sustainable research practices in laboratories, fieldwork, procurement, travel or infrastructure use</t>
        </is>
      </c>
      <c r="D1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7" s="8" t="inlineStr">
        <is>
          <t>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F17" s="8" t="inlineStr">
        <is>
          <t>5c(ii)</t>
        </is>
      </c>
      <c r="G17" s="8" t="inlineStr">
        <is>
          <t>Points to the faculty's end-2025 response and rating</t>
        </is>
      </c>
    </row>
    <row r="18" ht="130" customHeight="1">
      <c r="B18" s="7" t="inlineStr">
        <is>
          <t>TR3(c)</t>
        </is>
      </c>
      <c r="C18" s="8" t="inlineStr">
        <is>
          <t>Evidence of progress in sustainability-related research culture, capability and awareness, informed by periodic staff and graduate researcher surveys</t>
        </is>
      </c>
      <c r="D18"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E18" s="8"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F18" s="8" t="inlineStr">
        <is>
          <t>N/A – new indicator</t>
        </is>
      </c>
      <c r="G18" s="8" t="inlineStr">
        <is>
          <t>None (new indicator)</t>
        </is>
      </c>
    </row>
    <row r="19" ht="130" customHeight="1">
      <c r="B19" s="7" t="inlineStr">
        <is>
          <t>TR3(d)</t>
        </is>
      </c>
      <c r="C19" s="8" t="inlineStr">
        <is>
          <t>Expert assessment of progress in embedding sustainable research practices across the institution.</t>
        </is>
      </c>
      <c r="D19" s="8" t="inlineStr">
        <is>
          <t>Faculty/Portfolio’s assessment of progress in embedding sustainable research practices, highlighting areas of strong progress, remaining gaps and priority actions for further improvement.</t>
        </is>
      </c>
      <c r="E19" s="8" t="inlineStr">
        <is>
          <t>Drawing on your responses to TR3(a)–(c), please provide a short overall assessment (2–3 sentences) of your faculty's progress in embedding sustainable research practices: where progress is strongest, the main gaps, and priority actions for 2027.</t>
        </is>
      </c>
      <c r="F19" s="8" t="inlineStr">
        <is>
          <t>N/A – new indicator</t>
        </is>
      </c>
      <c r="G19" s="8" t="inlineStr">
        <is>
          <t>None (new indicator)</t>
        </is>
      </c>
    </row>
    <row r="20" ht="130" customHeight="1">
      <c r="B20" s="7" t="inlineStr">
        <is>
          <t>CL2(a)</t>
        </is>
      </c>
      <c r="C20" s="8" t="inlineStr">
        <is>
          <t>By 2028, develop and document institutional mapping of research and education activities that are designed to contribute to global decarbonisation</t>
        </is>
      </c>
      <c r="D20"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E20" s="8"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F20" s="8" t="inlineStr">
        <is>
          <t>N/A – new indicator</t>
        </is>
      </c>
      <c r="G20" s="8" t="inlineStr">
        <is>
          <t>None (new indicator)</t>
        </is>
      </c>
    </row>
    <row r="21" ht="130" customHeight="1">
      <c r="B21" s="7" t="inlineStr">
        <is>
          <t>CL2(c)</t>
        </is>
      </c>
      <c r="C21" s="8" t="inlineStr">
        <is>
          <t>Ongoing communications that evidence the University’s climate action, research and learning to inform policy, sector and community decarbonisation efforts.</t>
        </is>
      </c>
      <c r="D21" s="8" t="inlineStr">
        <is>
          <t>List and describe communications from the faculty in terms of climate action, research and learning to inform policy, sector and community decarbonisation efforts</t>
        </is>
      </c>
      <c r="E21" s="8"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F21" s="8" t="inlineStr">
        <is>
          <t>N/A – new indicator</t>
        </is>
      </c>
      <c r="G21" s="8" t="inlineStr">
        <is>
          <t>None (new indicator)</t>
        </is>
      </c>
    </row>
    <row r="22" ht="130" customHeight="1">
      <c r="B22" s="7" t="inlineStr">
        <is>
          <t>EN1(a)</t>
        </is>
      </c>
      <c r="C22" s="8" t="inlineStr">
        <is>
          <t>Evidence of sustainability outcomes informed by Indigenous knowledges</t>
        </is>
      </c>
      <c r="D2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22" s="8" t="inlineStr">
        <is>
          <t>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22" s="8" t="inlineStr">
        <is>
          <t>6a</t>
        </is>
      </c>
      <c r="G22" s="8" t="inlineStr">
        <is>
          <t>Points to the faculty's end-2025 response and rating</t>
        </is>
      </c>
    </row>
    <row r="23" ht="130" customHeight="1">
      <c r="B23" s="7" t="inlineStr">
        <is>
          <t>EN1(b)</t>
        </is>
      </c>
      <c r="C23" s="8" t="inlineStr">
        <is>
          <t>Living laboratories enabling applied learning, research and operational sustainability outcomes</t>
        </is>
      </c>
      <c r="D23" s="8" t="inlineStr">
        <is>
          <t>Comment on living labs in the Faculty - outputs, outcomes, and impact</t>
        </is>
      </c>
      <c r="E23" s="8" t="inlineStr">
        <is>
          <t>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F23" s="8" t="inlineStr">
        <is>
          <t>2a</t>
        </is>
      </c>
      <c r="G23" s="8" t="inlineStr">
        <is>
          <t>Points to the faculty's end-2025 response and rating</t>
        </is>
      </c>
    </row>
    <row r="24" ht="130" customHeight="1">
      <c r="B24" s="7" t="inlineStr">
        <is>
          <t>EN1(c)</t>
        </is>
      </c>
      <c r="C24" s="8" t="inlineStr">
        <is>
          <t>Coordinated internal engagement and external partnerships contributing to delivery of sustainability outcomes across priority areas.</t>
        </is>
      </c>
      <c r="D2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24" s="8" t="inlineStr">
        <is>
          <t>Please list the key sustainability-focused communities of practice, internal networks or external partnerships active in your faculty in 2026 (name, partners, priority area), and provide a short description of one that has contributed to a Sustainability 2030 outcome.</t>
        </is>
      </c>
      <c r="F24" s="8" t="inlineStr">
        <is>
          <t>3a(ii)</t>
        </is>
      </c>
      <c r="G24" s="8" t="inlineStr">
        <is>
          <t>Points to the faculty's end-2025 response and rating</t>
        </is>
      </c>
    </row>
    <row r="25" ht="130" customHeight="1">
      <c r="B25" s="7" t="inlineStr">
        <is>
          <t>EN1(d)</t>
        </is>
      </c>
      <c r="C25" s="8" t="inlineStr">
        <is>
          <t>Sustainability objectives integrated into governance and decision‑making processes, supported by transparent reporting.</t>
        </is>
      </c>
      <c r="D2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E25" s="8"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F25" s="8" t="inlineStr">
        <is>
          <t>N/A – new indicator</t>
        </is>
      </c>
      <c r="G25" s="8" t="inlineStr">
        <is>
          <t>None (new indicator)</t>
        </is>
      </c>
    </row>
  </sheetData>
  <mergeCells count="1">
    <mergeCell ref="B3:G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32" t="inlineStr">
        <is>
          <t>How to use this spreadsheet</t>
        </is>
      </c>
      <c r="C5" s="9"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69" t="inlineStr">
        <is>
          <t>Faculty/Portfolio</t>
        </is>
      </c>
      <c r="C8" s="69" t="inlineStr">
        <is>
          <t>Title</t>
        </is>
      </c>
      <c r="D8" s="69" t="inlineStr">
        <is>
          <t>Description</t>
        </is>
      </c>
      <c r="E8" s="69" t="inlineStr">
        <is>
          <t>Related Sustainability 2030 targets (optional)</t>
        </is>
      </c>
      <c r="F8" s="69" t="inlineStr">
        <is>
          <t>Images and other media</t>
        </is>
      </c>
      <c r="G8" s="69" t="inlineStr">
        <is>
          <t>Links and supporting documentation</t>
        </is>
      </c>
      <c r="H8" s="69" t="inlineStr">
        <is>
          <t>SST: shortlisted for case study?</t>
        </is>
      </c>
      <c r="I8" s="69" t="inlineStr">
        <is>
          <t>SST: permission to publish confirmed?</t>
        </is>
      </c>
      <c r="J8" s="69" t="inlineStr">
        <is>
          <t>SST notes</t>
        </is>
      </c>
    </row>
    <row r="9" ht="90" customHeight="1">
      <c r="B9" s="59" t="inlineStr"/>
      <c r="C9" s="59" t="inlineStr"/>
      <c r="D9" s="5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E9" s="59" t="inlineStr"/>
      <c r="F9" s="59" t="inlineStr">
        <is>
          <t>(link to OneDrive/SharePoint files or published online content preferred)</t>
        </is>
      </c>
      <c r="G9" s="59" t="inlineStr"/>
      <c r="H9" s="59" t="inlineStr"/>
      <c r="I9" s="59" t="inlineStr"/>
      <c r="J9" s="59" t="inlineStr"/>
    </row>
    <row r="10" ht="120" customHeight="1">
      <c r="B10" s="8" t="n"/>
      <c r="C10" s="8" t="n"/>
      <c r="D10" s="8" t="n"/>
      <c r="E10" s="8" t="n"/>
      <c r="F10" s="8" t="n"/>
      <c r="G10" s="8" t="n"/>
      <c r="H10" s="8" t="n"/>
      <c r="I10" s="8" t="n"/>
      <c r="J10" s="8" t="n"/>
    </row>
    <row r="11" ht="120" customHeight="1">
      <c r="B11" s="8" t="n"/>
      <c r="C11" s="8" t="n"/>
      <c r="D11" s="8" t="n"/>
      <c r="E11" s="8" t="n"/>
      <c r="F11" s="8" t="n"/>
      <c r="G11" s="8" t="n"/>
      <c r="H11" s="8" t="n"/>
      <c r="I11" s="8" t="n"/>
      <c r="J11" s="8" t="n"/>
    </row>
    <row r="12" ht="120" customHeight="1">
      <c r="B12" s="8" t="n"/>
      <c r="C12" s="8" t="n"/>
      <c r="D12" s="8" t="n"/>
      <c r="E12" s="8" t="n"/>
      <c r="F12" s="8" t="n"/>
      <c r="G12" s="8" t="n"/>
      <c r="H12" s="8" t="n"/>
      <c r="I12" s="8" t="n"/>
      <c r="J12" s="8" t="n"/>
    </row>
    <row r="13" ht="120" customHeight="1">
      <c r="B13" s="8" t="n"/>
      <c r="C13" s="8" t="n"/>
      <c r="D13" s="8" t="n"/>
      <c r="E13" s="8" t="n"/>
      <c r="F13" s="8" t="n"/>
      <c r="G13" s="8" t="n"/>
      <c r="H13" s="8" t="n"/>
      <c r="I13" s="8" t="n"/>
      <c r="J13" s="8" t="n"/>
    </row>
    <row r="14" ht="120" customHeight="1">
      <c r="B14" s="8" t="n"/>
      <c r="C14" s="8" t="n"/>
      <c r="D14" s="8" t="n"/>
      <c r="E14" s="8" t="n"/>
      <c r="F14" s="8" t="n"/>
      <c r="G14" s="8" t="n"/>
      <c r="H14" s="8" t="n"/>
      <c r="I14" s="8" t="n"/>
      <c r="J14" s="8" t="n"/>
    </row>
    <row r="15" ht="120" customHeight="1">
      <c r="B15" s="8" t="n"/>
      <c r="C15" s="8" t="n"/>
      <c r="D15" s="8" t="n"/>
      <c r="E15" s="8" t="n"/>
      <c r="F15" s="8" t="n"/>
      <c r="G15" s="8" t="n"/>
      <c r="H15" s="8" t="n"/>
      <c r="I15" s="8" t="n"/>
      <c r="J15" s="8" t="n"/>
    </row>
    <row r="16" ht="120" customHeight="1">
      <c r="B16" s="8" t="n"/>
      <c r="C16" s="8" t="n"/>
      <c r="D16" s="8" t="n"/>
      <c r="E16" s="8" t="n"/>
      <c r="F16" s="8" t="n"/>
      <c r="G16" s="8" t="n"/>
      <c r="H16" s="8" t="n"/>
      <c r="I16" s="8" t="n"/>
      <c r="J16" s="8" t="n"/>
    </row>
    <row r="17" ht="120" customHeight="1">
      <c r="B17" s="8" t="n"/>
      <c r="C17" s="8" t="n"/>
      <c r="D17" s="8" t="n"/>
      <c r="E17" s="8" t="n"/>
      <c r="F17" s="8" t="n"/>
      <c r="G17" s="8" t="n"/>
      <c r="H17" s="8" t="n"/>
      <c r="I17" s="8" t="n"/>
      <c r="J17" s="8" t="n"/>
    </row>
    <row r="18" ht="120" customHeight="1">
      <c r="B18" s="8" t="n"/>
      <c r="C18" s="8" t="n"/>
      <c r="D18" s="8" t="n"/>
      <c r="E18" s="8" t="n"/>
      <c r="F18" s="8" t="n"/>
      <c r="G18" s="8" t="n"/>
      <c r="H18" s="8" t="n"/>
      <c r="I18" s="8" t="n"/>
      <c r="J18" s="8" t="n"/>
    </row>
    <row r="19" ht="120" customHeight="1">
      <c r="B19" s="8" t="n"/>
      <c r="C19" s="8" t="n"/>
      <c r="D19" s="8" t="n"/>
      <c r="E19" s="8" t="n"/>
      <c r="F19" s="8" t="n"/>
      <c r="G19" s="8" t="n"/>
      <c r="H19" s="8" t="n"/>
      <c r="I19" s="8" t="n"/>
      <c r="J19" s="8" t="n"/>
    </row>
    <row r="20" ht="120" customHeight="1">
      <c r="B20" s="8" t="n"/>
      <c r="C20" s="8" t="n"/>
      <c r="D20" s="8" t="n"/>
      <c r="E20" s="8" t="n"/>
      <c r="F20" s="8" t="n"/>
      <c r="G20" s="8" t="n"/>
      <c r="H20" s="8" t="n"/>
      <c r="I20" s="8" t="n"/>
      <c r="J20" s="8" t="n"/>
    </row>
    <row r="21" ht="120" customHeight="1">
      <c r="B21" s="8" t="n"/>
      <c r="C21" s="8" t="n"/>
      <c r="D21" s="8" t="n"/>
      <c r="E21" s="8" t="n"/>
      <c r="F21" s="8" t="n"/>
      <c r="G21" s="8" t="n"/>
      <c r="H21" s="8" t="n"/>
      <c r="I21" s="8" t="n"/>
      <c r="J21" s="8" t="n"/>
    </row>
  </sheetData>
  <mergeCells count="1">
    <mergeCell ref="C5:F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30" customWidth="1" min="4" max="4"/>
    <col width="18" customWidth="1" min="5" max="5"/>
    <col width="40" customWidth="1" min="6" max="6"/>
    <col width="36" customWidth="1" min="7" max="7"/>
    <col width="30" customWidth="1" min="8" max="8"/>
    <col width="16" customWidth="1" min="9" max="9"/>
    <col width="12" customWidth="1" min="10" max="10"/>
    <col width="16" customWidth="1" min="11" max="11"/>
    <col width="30" customWidth="1" min="12" max="12"/>
    <col width="22" customWidth="1" min="13" max="13"/>
    <col width="11" customWidth="1" min="14" max="14"/>
    <col width="13" customWidth="1" min="15" max="15"/>
    <col width="14" customWidth="1" min="16" max="16"/>
    <col width="18" customWidth="1" min="17" max="17"/>
    <col width="11" customWidth="1" min="18" max="18"/>
    <col width="26" customWidth="1" min="19" max="19"/>
  </cols>
  <sheetData>
    <row r="1">
      <c r="A1" s="1" t="inlineStr">
        <is>
          <t>↑</t>
        </is>
      </c>
      <c r="B1" s="2" t="inlineStr">
        <is>
          <t>End-2026 target status assessment and reporting</t>
        </is>
      </c>
    </row>
    <row r="2">
      <c r="B2" s="3" t="inlineStr">
        <is>
          <t>Evidence register</t>
        </is>
      </c>
    </row>
    <row r="3">
      <c r="B3" s="20" t="inlineStr">
        <is>
          <t>Every material figure or claim needs a named owner, definition, source, reporting boundary, period, quality note and confirmation record (SR26 approach – Data quality).</t>
        </is>
      </c>
    </row>
    <row r="5">
      <c r="B5" s="6" t="inlineStr">
        <is>
          <t>Evidence ID</t>
        </is>
      </c>
      <c r="C5" s="6" t="inlineStr">
        <is>
          <t>Ref</t>
        </is>
      </c>
      <c r="D5" s="6" t="inlineStr">
        <is>
          <t>Indicator</t>
        </is>
      </c>
      <c r="E5" s="6" t="inlineStr">
        <is>
          <t>Faculty/Portfolio</t>
        </is>
      </c>
      <c r="F5" s="6" t="inlineStr">
        <is>
          <t>Claim / figure used in report</t>
        </is>
      </c>
      <c r="G5" s="6" t="inlineStr">
        <is>
          <t>Evidence description</t>
        </is>
      </c>
      <c r="H5" s="6" t="inlineStr">
        <is>
          <t>Link / file location</t>
        </is>
      </c>
      <c r="I5" s="6" t="inlineStr">
        <is>
          <t>Source system</t>
        </is>
      </c>
      <c r="J5" s="6" t="inlineStr">
        <is>
          <t>Reporting period</t>
        </is>
      </c>
      <c r="K5" s="6" t="inlineStr">
        <is>
          <t>Reporting boundary</t>
        </is>
      </c>
      <c r="L5" s="6" t="inlineStr">
        <is>
          <t>Limitations / quality note</t>
        </is>
      </c>
      <c r="M5" s="6" t="inlineStr">
        <is>
          <t>Data owner (name, role)</t>
        </is>
      </c>
      <c r="N5" s="6" t="inlineStr">
        <is>
          <t>Owner confirmed?</t>
        </is>
      </c>
      <c r="O5" s="6" t="inlineStr">
        <is>
          <t>Confirmation date</t>
        </is>
      </c>
      <c r="P5" s="6" t="inlineStr">
        <is>
          <t>SST reviewer</t>
        </is>
      </c>
      <c r="Q5" s="6" t="inlineStr">
        <is>
          <t>Report section</t>
        </is>
      </c>
      <c r="R5" s="6" t="inlineStr">
        <is>
          <t>Databook aligned?</t>
        </is>
      </c>
      <c r="S5" s="6" t="inlineStr">
        <is>
          <t>Status / notes</t>
        </is>
      </c>
    </row>
    <row r="6">
      <c r="B6" s="8">
        <f>IF(C6="","","EV-"&amp;TEXT(ROW()-5,"000"))</f>
        <v/>
      </c>
      <c r="C6" s="8" t="n"/>
      <c r="D6" s="8" t="n"/>
      <c r="E6" s="8" t="n"/>
      <c r="F6" s="8" t="n"/>
      <c r="G6" s="8" t="n"/>
      <c r="H6" s="8" t="n"/>
      <c r="I6" s="8" t="n"/>
      <c r="J6" s="8" t="n"/>
      <c r="K6" s="8" t="n"/>
      <c r="L6" s="8" t="n"/>
      <c r="M6" s="8" t="n"/>
      <c r="N6" s="8" t="n"/>
      <c r="O6" s="8" t="n"/>
      <c r="P6" s="8" t="n"/>
      <c r="Q6" s="8" t="n"/>
      <c r="R6" s="8" t="n"/>
      <c r="S6" s="8" t="n"/>
    </row>
    <row r="7">
      <c r="B7" s="8">
        <f>IF(C7="","","EV-"&amp;TEXT(ROW()-5,"000"))</f>
        <v/>
      </c>
      <c r="C7" s="8" t="n"/>
      <c r="D7" s="8" t="n"/>
      <c r="E7" s="8" t="n"/>
      <c r="F7" s="8" t="n"/>
      <c r="G7" s="8" t="n"/>
      <c r="H7" s="8" t="n"/>
      <c r="I7" s="8" t="n"/>
      <c r="J7" s="8" t="n"/>
      <c r="K7" s="8" t="n"/>
      <c r="L7" s="8" t="n"/>
      <c r="M7" s="8" t="n"/>
      <c r="N7" s="8" t="n"/>
      <c r="O7" s="8" t="n"/>
      <c r="P7" s="8" t="n"/>
      <c r="Q7" s="8" t="n"/>
      <c r="R7" s="8" t="n"/>
      <c r="S7" s="8" t="n"/>
    </row>
    <row r="8">
      <c r="B8" s="8">
        <f>IF(C8="","","EV-"&amp;TEXT(ROW()-5,"000"))</f>
        <v/>
      </c>
      <c r="C8" s="8" t="n"/>
      <c r="D8" s="8" t="n"/>
      <c r="E8" s="8" t="n"/>
      <c r="F8" s="8" t="n"/>
      <c r="G8" s="8" t="n"/>
      <c r="H8" s="8" t="n"/>
      <c r="I8" s="8" t="n"/>
      <c r="J8" s="8" t="n"/>
      <c r="K8" s="8" t="n"/>
      <c r="L8" s="8" t="n"/>
      <c r="M8" s="8" t="n"/>
      <c r="N8" s="8" t="n"/>
      <c r="O8" s="8" t="n"/>
      <c r="P8" s="8" t="n"/>
      <c r="Q8" s="8" t="n"/>
      <c r="R8" s="8" t="n"/>
      <c r="S8" s="8" t="n"/>
    </row>
    <row r="9">
      <c r="B9" s="8">
        <f>IF(C9="","","EV-"&amp;TEXT(ROW()-5,"000"))</f>
        <v/>
      </c>
      <c r="C9" s="8" t="n"/>
      <c r="D9" s="8" t="n"/>
      <c r="E9" s="8" t="n"/>
      <c r="F9" s="8" t="n"/>
      <c r="G9" s="8" t="n"/>
      <c r="H9" s="8" t="n"/>
      <c r="I9" s="8" t="n"/>
      <c r="J9" s="8" t="n"/>
      <c r="K9" s="8" t="n"/>
      <c r="L9" s="8" t="n"/>
      <c r="M9" s="8" t="n"/>
      <c r="N9" s="8" t="n"/>
      <c r="O9" s="8" t="n"/>
      <c r="P9" s="8" t="n"/>
      <c r="Q9" s="8" t="n"/>
      <c r="R9" s="8" t="n"/>
      <c r="S9" s="8" t="n"/>
    </row>
    <row r="10">
      <c r="B10" s="8">
        <f>IF(C10="","","EV-"&amp;TEXT(ROW()-5,"000"))</f>
        <v/>
      </c>
      <c r="C10" s="8" t="n"/>
      <c r="D10" s="8" t="n"/>
      <c r="E10" s="8" t="n"/>
      <c r="F10" s="8" t="n"/>
      <c r="G10" s="8" t="n"/>
      <c r="H10" s="8" t="n"/>
      <c r="I10" s="8" t="n"/>
      <c r="J10" s="8" t="n"/>
      <c r="K10" s="8" t="n"/>
      <c r="L10" s="8" t="n"/>
      <c r="M10" s="8" t="n"/>
      <c r="N10" s="8" t="n"/>
      <c r="O10" s="8" t="n"/>
      <c r="P10" s="8" t="n"/>
      <c r="Q10" s="8" t="n"/>
      <c r="R10" s="8" t="n"/>
      <c r="S10" s="8" t="n"/>
    </row>
    <row r="11">
      <c r="B11" s="8">
        <f>IF(C11="","","EV-"&amp;TEXT(ROW()-5,"000"))</f>
        <v/>
      </c>
      <c r="C11" s="8" t="n"/>
      <c r="D11" s="8" t="n"/>
      <c r="E11" s="8" t="n"/>
      <c r="F11" s="8" t="n"/>
      <c r="G11" s="8" t="n"/>
      <c r="H11" s="8" t="n"/>
      <c r="I11" s="8" t="n"/>
      <c r="J11" s="8" t="n"/>
      <c r="K11" s="8" t="n"/>
      <c r="L11" s="8" t="n"/>
      <c r="M11" s="8" t="n"/>
      <c r="N11" s="8" t="n"/>
      <c r="O11" s="8" t="n"/>
      <c r="P11" s="8" t="n"/>
      <c r="Q11" s="8" t="n"/>
      <c r="R11" s="8" t="n"/>
      <c r="S11" s="8" t="n"/>
    </row>
    <row r="12">
      <c r="B12" s="8">
        <f>IF(C12="","","EV-"&amp;TEXT(ROW()-5,"000"))</f>
        <v/>
      </c>
      <c r="C12" s="8" t="n"/>
      <c r="D12" s="8" t="n"/>
      <c r="E12" s="8" t="n"/>
      <c r="F12" s="8" t="n"/>
      <c r="G12" s="8" t="n"/>
      <c r="H12" s="8" t="n"/>
      <c r="I12" s="8" t="n"/>
      <c r="J12" s="8" t="n"/>
      <c r="K12" s="8" t="n"/>
      <c r="L12" s="8" t="n"/>
      <c r="M12" s="8" t="n"/>
      <c r="N12" s="8" t="n"/>
      <c r="O12" s="8" t="n"/>
      <c r="P12" s="8" t="n"/>
      <c r="Q12" s="8" t="n"/>
      <c r="R12" s="8" t="n"/>
      <c r="S12" s="8" t="n"/>
    </row>
    <row r="13">
      <c r="B13" s="8">
        <f>IF(C13="","","EV-"&amp;TEXT(ROW()-5,"000"))</f>
        <v/>
      </c>
      <c r="C13" s="8" t="n"/>
      <c r="D13" s="8" t="n"/>
      <c r="E13" s="8" t="n"/>
      <c r="F13" s="8" t="n"/>
      <c r="G13" s="8" t="n"/>
      <c r="H13" s="8" t="n"/>
      <c r="I13" s="8" t="n"/>
      <c r="J13" s="8" t="n"/>
      <c r="K13" s="8" t="n"/>
      <c r="L13" s="8" t="n"/>
      <c r="M13" s="8" t="n"/>
      <c r="N13" s="8" t="n"/>
      <c r="O13" s="8" t="n"/>
      <c r="P13" s="8" t="n"/>
      <c r="Q13" s="8" t="n"/>
      <c r="R13" s="8" t="n"/>
      <c r="S13" s="8" t="n"/>
    </row>
    <row r="14">
      <c r="B14" s="8">
        <f>IF(C14="","","EV-"&amp;TEXT(ROW()-5,"000"))</f>
        <v/>
      </c>
      <c r="C14" s="8" t="n"/>
      <c r="D14" s="8" t="n"/>
      <c r="E14" s="8" t="n"/>
      <c r="F14" s="8" t="n"/>
      <c r="G14" s="8" t="n"/>
      <c r="H14" s="8" t="n"/>
      <c r="I14" s="8" t="n"/>
      <c r="J14" s="8" t="n"/>
      <c r="K14" s="8" t="n"/>
      <c r="L14" s="8" t="n"/>
      <c r="M14" s="8" t="n"/>
      <c r="N14" s="8" t="n"/>
      <c r="O14" s="8" t="n"/>
      <c r="P14" s="8" t="n"/>
      <c r="Q14" s="8" t="n"/>
      <c r="R14" s="8" t="n"/>
      <c r="S14" s="8" t="n"/>
    </row>
    <row r="15">
      <c r="B15" s="8">
        <f>IF(C15="","","EV-"&amp;TEXT(ROW()-5,"000"))</f>
        <v/>
      </c>
      <c r="C15" s="8" t="n"/>
      <c r="D15" s="8" t="n"/>
      <c r="E15" s="8" t="n"/>
      <c r="F15" s="8" t="n"/>
      <c r="G15" s="8" t="n"/>
      <c r="H15" s="8" t="n"/>
      <c r="I15" s="8" t="n"/>
      <c r="J15" s="8" t="n"/>
      <c r="K15" s="8" t="n"/>
      <c r="L15" s="8" t="n"/>
      <c r="M15" s="8" t="n"/>
      <c r="N15" s="8" t="n"/>
      <c r="O15" s="8" t="n"/>
      <c r="P15" s="8" t="n"/>
      <c r="Q15" s="8" t="n"/>
      <c r="R15" s="8" t="n"/>
      <c r="S15" s="8" t="n"/>
    </row>
    <row r="16">
      <c r="B16" s="8">
        <f>IF(C16="","","EV-"&amp;TEXT(ROW()-5,"000"))</f>
        <v/>
      </c>
      <c r="C16" s="8" t="n"/>
      <c r="D16" s="8" t="n"/>
      <c r="E16" s="8" t="n"/>
      <c r="F16" s="8" t="n"/>
      <c r="G16" s="8" t="n"/>
      <c r="H16" s="8" t="n"/>
      <c r="I16" s="8" t="n"/>
      <c r="J16" s="8" t="n"/>
      <c r="K16" s="8" t="n"/>
      <c r="L16" s="8" t="n"/>
      <c r="M16" s="8" t="n"/>
      <c r="N16" s="8" t="n"/>
      <c r="O16" s="8" t="n"/>
      <c r="P16" s="8" t="n"/>
      <c r="Q16" s="8" t="n"/>
      <c r="R16" s="8" t="n"/>
      <c r="S16" s="8" t="n"/>
    </row>
    <row r="17">
      <c r="B17" s="8">
        <f>IF(C17="","","EV-"&amp;TEXT(ROW()-5,"000"))</f>
        <v/>
      </c>
      <c r="C17" s="8" t="n"/>
      <c r="D17" s="8" t="n"/>
      <c r="E17" s="8" t="n"/>
      <c r="F17" s="8" t="n"/>
      <c r="G17" s="8" t="n"/>
      <c r="H17" s="8" t="n"/>
      <c r="I17" s="8" t="n"/>
      <c r="J17" s="8" t="n"/>
      <c r="K17" s="8" t="n"/>
      <c r="L17" s="8" t="n"/>
      <c r="M17" s="8" t="n"/>
      <c r="N17" s="8" t="n"/>
      <c r="O17" s="8" t="n"/>
      <c r="P17" s="8" t="n"/>
      <c r="Q17" s="8" t="n"/>
      <c r="R17" s="8" t="n"/>
      <c r="S17" s="8" t="n"/>
    </row>
    <row r="18">
      <c r="B18" s="8">
        <f>IF(C18="","","EV-"&amp;TEXT(ROW()-5,"000"))</f>
        <v/>
      </c>
      <c r="C18" s="8" t="n"/>
      <c r="D18" s="8" t="n"/>
      <c r="E18" s="8" t="n"/>
      <c r="F18" s="8" t="n"/>
      <c r="G18" s="8" t="n"/>
      <c r="H18" s="8" t="n"/>
      <c r="I18" s="8" t="n"/>
      <c r="J18" s="8" t="n"/>
      <c r="K18" s="8" t="n"/>
      <c r="L18" s="8" t="n"/>
      <c r="M18" s="8" t="n"/>
      <c r="N18" s="8" t="n"/>
      <c r="O18" s="8" t="n"/>
      <c r="P18" s="8" t="n"/>
      <c r="Q18" s="8" t="n"/>
      <c r="R18" s="8" t="n"/>
      <c r="S18" s="8" t="n"/>
    </row>
    <row r="19">
      <c r="B19" s="8">
        <f>IF(C19="","","EV-"&amp;TEXT(ROW()-5,"000"))</f>
        <v/>
      </c>
      <c r="C19" s="8" t="n"/>
      <c r="D19" s="8" t="n"/>
      <c r="E19" s="8" t="n"/>
      <c r="F19" s="8" t="n"/>
      <c r="G19" s="8" t="n"/>
      <c r="H19" s="8" t="n"/>
      <c r="I19" s="8" t="n"/>
      <c r="J19" s="8" t="n"/>
      <c r="K19" s="8" t="n"/>
      <c r="L19" s="8" t="n"/>
      <c r="M19" s="8" t="n"/>
      <c r="N19" s="8" t="n"/>
      <c r="O19" s="8" t="n"/>
      <c r="P19" s="8" t="n"/>
      <c r="Q19" s="8" t="n"/>
      <c r="R19" s="8" t="n"/>
      <c r="S19" s="8" t="n"/>
    </row>
    <row r="20">
      <c r="B20" s="8">
        <f>IF(C20="","","EV-"&amp;TEXT(ROW()-5,"000"))</f>
        <v/>
      </c>
      <c r="C20" s="8" t="n"/>
      <c r="D20" s="8" t="n"/>
      <c r="E20" s="8" t="n"/>
      <c r="F20" s="8" t="n"/>
      <c r="G20" s="8" t="n"/>
      <c r="H20" s="8" t="n"/>
      <c r="I20" s="8" t="n"/>
      <c r="J20" s="8" t="n"/>
      <c r="K20" s="8" t="n"/>
      <c r="L20" s="8" t="n"/>
      <c r="M20" s="8" t="n"/>
      <c r="N20" s="8" t="n"/>
      <c r="O20" s="8" t="n"/>
      <c r="P20" s="8" t="n"/>
      <c r="Q20" s="8" t="n"/>
      <c r="R20" s="8" t="n"/>
      <c r="S20" s="8" t="n"/>
    </row>
    <row r="21">
      <c r="B21" s="8">
        <f>IF(C21="","","EV-"&amp;TEXT(ROW()-5,"000"))</f>
        <v/>
      </c>
      <c r="C21" s="8" t="n"/>
      <c r="D21" s="8" t="n"/>
      <c r="E21" s="8" t="n"/>
      <c r="F21" s="8" t="n"/>
      <c r="G21" s="8" t="n"/>
      <c r="H21" s="8" t="n"/>
      <c r="I21" s="8" t="n"/>
      <c r="J21" s="8" t="n"/>
      <c r="K21" s="8" t="n"/>
      <c r="L21" s="8" t="n"/>
      <c r="M21" s="8" t="n"/>
      <c r="N21" s="8" t="n"/>
      <c r="O21" s="8" t="n"/>
      <c r="P21" s="8" t="n"/>
      <c r="Q21" s="8" t="n"/>
      <c r="R21" s="8" t="n"/>
      <c r="S21" s="8" t="n"/>
    </row>
    <row r="22">
      <c r="B22" s="8">
        <f>IF(C22="","","EV-"&amp;TEXT(ROW()-5,"000"))</f>
        <v/>
      </c>
      <c r="C22" s="8" t="n"/>
      <c r="D22" s="8" t="n"/>
      <c r="E22" s="8" t="n"/>
      <c r="F22" s="8" t="n"/>
      <c r="G22" s="8" t="n"/>
      <c r="H22" s="8" t="n"/>
      <c r="I22" s="8" t="n"/>
      <c r="J22" s="8" t="n"/>
      <c r="K22" s="8" t="n"/>
      <c r="L22" s="8" t="n"/>
      <c r="M22" s="8" t="n"/>
      <c r="N22" s="8" t="n"/>
      <c r="O22" s="8" t="n"/>
      <c r="P22" s="8" t="n"/>
      <c r="Q22" s="8" t="n"/>
      <c r="R22" s="8" t="n"/>
      <c r="S22" s="8" t="n"/>
    </row>
    <row r="23">
      <c r="B23" s="8">
        <f>IF(C23="","","EV-"&amp;TEXT(ROW()-5,"000"))</f>
        <v/>
      </c>
      <c r="C23" s="8" t="n"/>
      <c r="D23" s="8" t="n"/>
      <c r="E23" s="8" t="n"/>
      <c r="F23" s="8" t="n"/>
      <c r="G23" s="8" t="n"/>
      <c r="H23" s="8" t="n"/>
      <c r="I23" s="8" t="n"/>
      <c r="J23" s="8" t="n"/>
      <c r="K23" s="8" t="n"/>
      <c r="L23" s="8" t="n"/>
      <c r="M23" s="8" t="n"/>
      <c r="N23" s="8" t="n"/>
      <c r="O23" s="8" t="n"/>
      <c r="P23" s="8" t="n"/>
      <c r="Q23" s="8" t="n"/>
      <c r="R23" s="8" t="n"/>
      <c r="S23" s="8" t="n"/>
    </row>
    <row r="24">
      <c r="B24" s="8">
        <f>IF(C24="","","EV-"&amp;TEXT(ROW()-5,"000"))</f>
        <v/>
      </c>
      <c r="C24" s="8" t="n"/>
      <c r="D24" s="8" t="n"/>
      <c r="E24" s="8" t="n"/>
      <c r="F24" s="8" t="n"/>
      <c r="G24" s="8" t="n"/>
      <c r="H24" s="8" t="n"/>
      <c r="I24" s="8" t="n"/>
      <c r="J24" s="8" t="n"/>
      <c r="K24" s="8" t="n"/>
      <c r="L24" s="8" t="n"/>
      <c r="M24" s="8" t="n"/>
      <c r="N24" s="8" t="n"/>
      <c r="O24" s="8" t="n"/>
      <c r="P24" s="8" t="n"/>
      <c r="Q24" s="8" t="n"/>
      <c r="R24" s="8" t="n"/>
      <c r="S24" s="8" t="n"/>
    </row>
    <row r="25">
      <c r="B25" s="8">
        <f>IF(C25="","","EV-"&amp;TEXT(ROW()-5,"000"))</f>
        <v/>
      </c>
      <c r="C25" s="8" t="n"/>
      <c r="D25" s="8" t="n"/>
      <c r="E25" s="8" t="n"/>
      <c r="F25" s="8" t="n"/>
      <c r="G25" s="8" t="n"/>
      <c r="H25" s="8" t="n"/>
      <c r="I25" s="8" t="n"/>
      <c r="J25" s="8" t="n"/>
      <c r="K25" s="8" t="n"/>
      <c r="L25" s="8" t="n"/>
      <c r="M25" s="8" t="n"/>
      <c r="N25" s="8" t="n"/>
      <c r="O25" s="8" t="n"/>
      <c r="P25" s="8" t="n"/>
      <c r="Q25" s="8" t="n"/>
      <c r="R25" s="8" t="n"/>
      <c r="S25" s="8" t="n"/>
    </row>
    <row r="26">
      <c r="B26" s="8">
        <f>IF(C26="","","EV-"&amp;TEXT(ROW()-5,"000"))</f>
        <v/>
      </c>
      <c r="C26" s="8" t="n"/>
      <c r="D26" s="8" t="n"/>
      <c r="E26" s="8" t="n"/>
      <c r="F26" s="8" t="n"/>
      <c r="G26" s="8" t="n"/>
      <c r="H26" s="8" t="n"/>
      <c r="I26" s="8" t="n"/>
      <c r="J26" s="8" t="n"/>
      <c r="K26" s="8" t="n"/>
      <c r="L26" s="8" t="n"/>
      <c r="M26" s="8" t="n"/>
      <c r="N26" s="8" t="n"/>
      <c r="O26" s="8" t="n"/>
      <c r="P26" s="8" t="n"/>
      <c r="Q26" s="8" t="n"/>
      <c r="R26" s="8" t="n"/>
      <c r="S26" s="8" t="n"/>
    </row>
    <row r="27">
      <c r="B27" s="8">
        <f>IF(C27="","","EV-"&amp;TEXT(ROW()-5,"000"))</f>
        <v/>
      </c>
      <c r="C27" s="8" t="n"/>
      <c r="D27" s="8" t="n"/>
      <c r="E27" s="8" t="n"/>
      <c r="F27" s="8" t="n"/>
      <c r="G27" s="8" t="n"/>
      <c r="H27" s="8" t="n"/>
      <c r="I27" s="8" t="n"/>
      <c r="J27" s="8" t="n"/>
      <c r="K27" s="8" t="n"/>
      <c r="L27" s="8" t="n"/>
      <c r="M27" s="8" t="n"/>
      <c r="N27" s="8" t="n"/>
      <c r="O27" s="8" t="n"/>
      <c r="P27" s="8" t="n"/>
      <c r="Q27" s="8" t="n"/>
      <c r="R27" s="8" t="n"/>
      <c r="S27" s="8" t="n"/>
    </row>
    <row r="28">
      <c r="B28" s="8">
        <f>IF(C28="","","EV-"&amp;TEXT(ROW()-5,"000"))</f>
        <v/>
      </c>
      <c r="C28" s="8" t="n"/>
      <c r="D28" s="8" t="n"/>
      <c r="E28" s="8" t="n"/>
      <c r="F28" s="8" t="n"/>
      <c r="G28" s="8" t="n"/>
      <c r="H28" s="8" t="n"/>
      <c r="I28" s="8" t="n"/>
      <c r="J28" s="8" t="n"/>
      <c r="K28" s="8" t="n"/>
      <c r="L28" s="8" t="n"/>
      <c r="M28" s="8" t="n"/>
      <c r="N28" s="8" t="n"/>
      <c r="O28" s="8" t="n"/>
      <c r="P28" s="8" t="n"/>
      <c r="Q28" s="8" t="n"/>
      <c r="R28" s="8" t="n"/>
      <c r="S28" s="8" t="n"/>
    </row>
    <row r="29">
      <c r="B29" s="8">
        <f>IF(C29="","","EV-"&amp;TEXT(ROW()-5,"000"))</f>
        <v/>
      </c>
      <c r="C29" s="8" t="n"/>
      <c r="D29" s="8" t="n"/>
      <c r="E29" s="8" t="n"/>
      <c r="F29" s="8" t="n"/>
      <c r="G29" s="8" t="n"/>
      <c r="H29" s="8" t="n"/>
      <c r="I29" s="8" t="n"/>
      <c r="J29" s="8" t="n"/>
      <c r="K29" s="8" t="n"/>
      <c r="L29" s="8" t="n"/>
      <c r="M29" s="8" t="n"/>
      <c r="N29" s="8" t="n"/>
      <c r="O29" s="8" t="n"/>
      <c r="P29" s="8" t="n"/>
      <c r="Q29" s="8" t="n"/>
      <c r="R29" s="8" t="n"/>
      <c r="S29" s="8" t="n"/>
    </row>
    <row r="30">
      <c r="B30" s="8">
        <f>IF(C30="","","EV-"&amp;TEXT(ROW()-5,"000"))</f>
        <v/>
      </c>
      <c r="C30" s="8" t="n"/>
      <c r="D30" s="8" t="n"/>
      <c r="E30" s="8" t="n"/>
      <c r="F30" s="8" t="n"/>
      <c r="G30" s="8" t="n"/>
      <c r="H30" s="8" t="n"/>
      <c r="I30" s="8" t="n"/>
      <c r="J30" s="8" t="n"/>
      <c r="K30" s="8" t="n"/>
      <c r="L30" s="8" t="n"/>
      <c r="M30" s="8" t="n"/>
      <c r="N30" s="8" t="n"/>
      <c r="O30" s="8" t="n"/>
      <c r="P30" s="8" t="n"/>
      <c r="Q30" s="8" t="n"/>
      <c r="R30" s="8" t="n"/>
      <c r="S30" s="8" t="n"/>
    </row>
    <row r="31">
      <c r="B31" s="8">
        <f>IF(C31="","","EV-"&amp;TEXT(ROW()-5,"000"))</f>
        <v/>
      </c>
      <c r="C31" s="8" t="n"/>
      <c r="D31" s="8" t="n"/>
      <c r="E31" s="8" t="n"/>
      <c r="F31" s="8" t="n"/>
      <c r="G31" s="8" t="n"/>
      <c r="H31" s="8" t="n"/>
      <c r="I31" s="8" t="n"/>
      <c r="J31" s="8" t="n"/>
      <c r="K31" s="8" t="n"/>
      <c r="L31" s="8" t="n"/>
      <c r="M31" s="8" t="n"/>
      <c r="N31" s="8" t="n"/>
      <c r="O31" s="8" t="n"/>
      <c r="P31" s="8" t="n"/>
      <c r="Q31" s="8" t="n"/>
      <c r="R31" s="8" t="n"/>
      <c r="S31" s="8" t="n"/>
    </row>
    <row r="32">
      <c r="B32" s="8">
        <f>IF(C32="","","EV-"&amp;TEXT(ROW()-5,"000"))</f>
        <v/>
      </c>
      <c r="C32" s="8" t="n"/>
      <c r="D32" s="8" t="n"/>
      <c r="E32" s="8" t="n"/>
      <c r="F32" s="8" t="n"/>
      <c r="G32" s="8" t="n"/>
      <c r="H32" s="8" t="n"/>
      <c r="I32" s="8" t="n"/>
      <c r="J32" s="8" t="n"/>
      <c r="K32" s="8" t="n"/>
      <c r="L32" s="8" t="n"/>
      <c r="M32" s="8" t="n"/>
      <c r="N32" s="8" t="n"/>
      <c r="O32" s="8" t="n"/>
      <c r="P32" s="8" t="n"/>
      <c r="Q32" s="8" t="n"/>
      <c r="R32" s="8" t="n"/>
      <c r="S32" s="8" t="n"/>
    </row>
    <row r="33">
      <c r="B33" s="8">
        <f>IF(C33="","","EV-"&amp;TEXT(ROW()-5,"000"))</f>
        <v/>
      </c>
      <c r="C33" s="8" t="n"/>
      <c r="D33" s="8" t="n"/>
      <c r="E33" s="8" t="n"/>
      <c r="F33" s="8" t="n"/>
      <c r="G33" s="8" t="n"/>
      <c r="H33" s="8" t="n"/>
      <c r="I33" s="8" t="n"/>
      <c r="J33" s="8" t="n"/>
      <c r="K33" s="8" t="n"/>
      <c r="L33" s="8" t="n"/>
      <c r="M33" s="8" t="n"/>
      <c r="N33" s="8" t="n"/>
      <c r="O33" s="8" t="n"/>
      <c r="P33" s="8" t="n"/>
      <c r="Q33" s="8" t="n"/>
      <c r="R33" s="8" t="n"/>
      <c r="S33" s="8" t="n"/>
    </row>
    <row r="34">
      <c r="B34" s="8">
        <f>IF(C34="","","EV-"&amp;TEXT(ROW()-5,"000"))</f>
        <v/>
      </c>
      <c r="C34" s="8" t="n"/>
      <c r="D34" s="8" t="n"/>
      <c r="E34" s="8" t="n"/>
      <c r="F34" s="8" t="n"/>
      <c r="G34" s="8" t="n"/>
      <c r="H34" s="8" t="n"/>
      <c r="I34" s="8" t="n"/>
      <c r="J34" s="8" t="n"/>
      <c r="K34" s="8" t="n"/>
      <c r="L34" s="8" t="n"/>
      <c r="M34" s="8" t="n"/>
      <c r="N34" s="8" t="n"/>
      <c r="O34" s="8" t="n"/>
      <c r="P34" s="8" t="n"/>
      <c r="Q34" s="8" t="n"/>
      <c r="R34" s="8" t="n"/>
      <c r="S34" s="8" t="n"/>
    </row>
    <row r="35">
      <c r="B35" s="8">
        <f>IF(C35="","","EV-"&amp;TEXT(ROW()-5,"000"))</f>
        <v/>
      </c>
      <c r="C35" s="8" t="n"/>
      <c r="D35" s="8" t="n"/>
      <c r="E35" s="8" t="n"/>
      <c r="F35" s="8" t="n"/>
      <c r="G35" s="8" t="n"/>
      <c r="H35" s="8" t="n"/>
      <c r="I35" s="8" t="n"/>
      <c r="J35" s="8" t="n"/>
      <c r="K35" s="8" t="n"/>
      <c r="L35" s="8" t="n"/>
      <c r="M35" s="8" t="n"/>
      <c r="N35" s="8" t="n"/>
      <c r="O35" s="8" t="n"/>
      <c r="P35" s="8" t="n"/>
      <c r="Q35" s="8" t="n"/>
      <c r="R35" s="8" t="n"/>
      <c r="S35" s="8" t="n"/>
    </row>
    <row r="36">
      <c r="B36" s="8">
        <f>IF(C36="","","EV-"&amp;TEXT(ROW()-5,"000"))</f>
        <v/>
      </c>
      <c r="C36" s="8" t="n"/>
      <c r="D36" s="8" t="n"/>
      <c r="E36" s="8" t="n"/>
      <c r="F36" s="8" t="n"/>
      <c r="G36" s="8" t="n"/>
      <c r="H36" s="8" t="n"/>
      <c r="I36" s="8" t="n"/>
      <c r="J36" s="8" t="n"/>
      <c r="K36" s="8" t="n"/>
      <c r="L36" s="8" t="n"/>
      <c r="M36" s="8" t="n"/>
      <c r="N36" s="8" t="n"/>
      <c r="O36" s="8" t="n"/>
      <c r="P36" s="8" t="n"/>
      <c r="Q36" s="8" t="n"/>
      <c r="R36" s="8" t="n"/>
      <c r="S36" s="8" t="n"/>
    </row>
    <row r="37">
      <c r="B37" s="8">
        <f>IF(C37="","","EV-"&amp;TEXT(ROW()-5,"000"))</f>
        <v/>
      </c>
      <c r="C37" s="8" t="n"/>
      <c r="D37" s="8" t="n"/>
      <c r="E37" s="8" t="n"/>
      <c r="F37" s="8" t="n"/>
      <c r="G37" s="8" t="n"/>
      <c r="H37" s="8" t="n"/>
      <c r="I37" s="8" t="n"/>
      <c r="J37" s="8" t="n"/>
      <c r="K37" s="8" t="n"/>
      <c r="L37" s="8" t="n"/>
      <c r="M37" s="8" t="n"/>
      <c r="N37" s="8" t="n"/>
      <c r="O37" s="8" t="n"/>
      <c r="P37" s="8" t="n"/>
      <c r="Q37" s="8" t="n"/>
      <c r="R37" s="8" t="n"/>
      <c r="S37" s="8" t="n"/>
    </row>
    <row r="38">
      <c r="B38" s="8">
        <f>IF(C38="","","EV-"&amp;TEXT(ROW()-5,"000"))</f>
        <v/>
      </c>
      <c r="C38" s="8" t="n"/>
      <c r="D38" s="8" t="n"/>
      <c r="E38" s="8" t="n"/>
      <c r="F38" s="8" t="n"/>
      <c r="G38" s="8" t="n"/>
      <c r="H38" s="8" t="n"/>
      <c r="I38" s="8" t="n"/>
      <c r="J38" s="8" t="n"/>
      <c r="K38" s="8" t="n"/>
      <c r="L38" s="8" t="n"/>
      <c r="M38" s="8" t="n"/>
      <c r="N38" s="8" t="n"/>
      <c r="O38" s="8" t="n"/>
      <c r="P38" s="8" t="n"/>
      <c r="Q38" s="8" t="n"/>
      <c r="R38" s="8" t="n"/>
      <c r="S38" s="8" t="n"/>
    </row>
    <row r="39">
      <c r="B39" s="8">
        <f>IF(C39="","","EV-"&amp;TEXT(ROW()-5,"000"))</f>
        <v/>
      </c>
      <c r="C39" s="8" t="n"/>
      <c r="D39" s="8" t="n"/>
      <c r="E39" s="8" t="n"/>
      <c r="F39" s="8" t="n"/>
      <c r="G39" s="8" t="n"/>
      <c r="H39" s="8" t="n"/>
      <c r="I39" s="8" t="n"/>
      <c r="J39" s="8" t="n"/>
      <c r="K39" s="8" t="n"/>
      <c r="L39" s="8" t="n"/>
      <c r="M39" s="8" t="n"/>
      <c r="N39" s="8" t="n"/>
      <c r="O39" s="8" t="n"/>
      <c r="P39" s="8" t="n"/>
      <c r="Q39" s="8" t="n"/>
      <c r="R39" s="8" t="n"/>
      <c r="S39" s="8" t="n"/>
    </row>
    <row r="40">
      <c r="B40" s="8">
        <f>IF(C40="","","EV-"&amp;TEXT(ROW()-5,"000"))</f>
        <v/>
      </c>
      <c r="C40" s="8" t="n"/>
      <c r="D40" s="8" t="n"/>
      <c r="E40" s="8" t="n"/>
      <c r="F40" s="8" t="n"/>
      <c r="G40" s="8" t="n"/>
      <c r="H40" s="8" t="n"/>
      <c r="I40" s="8" t="n"/>
      <c r="J40" s="8" t="n"/>
      <c r="K40" s="8" t="n"/>
      <c r="L40" s="8" t="n"/>
      <c r="M40" s="8" t="n"/>
      <c r="N40" s="8" t="n"/>
      <c r="O40" s="8" t="n"/>
      <c r="P40" s="8" t="n"/>
      <c r="Q40" s="8" t="n"/>
      <c r="R40" s="8" t="n"/>
      <c r="S40" s="8" t="n"/>
    </row>
    <row r="41">
      <c r="B41" s="8">
        <f>IF(C41="","","EV-"&amp;TEXT(ROW()-5,"000"))</f>
        <v/>
      </c>
      <c r="C41" s="8" t="n"/>
      <c r="D41" s="8" t="n"/>
      <c r="E41" s="8" t="n"/>
      <c r="F41" s="8" t="n"/>
      <c r="G41" s="8" t="n"/>
      <c r="H41" s="8" t="n"/>
      <c r="I41" s="8" t="n"/>
      <c r="J41" s="8" t="n"/>
      <c r="K41" s="8" t="n"/>
      <c r="L41" s="8" t="n"/>
      <c r="M41" s="8" t="n"/>
      <c r="N41" s="8" t="n"/>
      <c r="O41" s="8" t="n"/>
      <c r="P41" s="8" t="n"/>
      <c r="Q41" s="8" t="n"/>
      <c r="R41" s="8" t="n"/>
      <c r="S41" s="8" t="n"/>
    </row>
    <row r="42">
      <c r="B42" s="8">
        <f>IF(C42="","","EV-"&amp;TEXT(ROW()-5,"000"))</f>
        <v/>
      </c>
      <c r="C42" s="8" t="n"/>
      <c r="D42" s="8" t="n"/>
      <c r="E42" s="8" t="n"/>
      <c r="F42" s="8" t="n"/>
      <c r="G42" s="8" t="n"/>
      <c r="H42" s="8" t="n"/>
      <c r="I42" s="8" t="n"/>
      <c r="J42" s="8" t="n"/>
      <c r="K42" s="8" t="n"/>
      <c r="L42" s="8" t="n"/>
      <c r="M42" s="8" t="n"/>
      <c r="N42" s="8" t="n"/>
      <c r="O42" s="8" t="n"/>
      <c r="P42" s="8" t="n"/>
      <c r="Q42" s="8" t="n"/>
      <c r="R42" s="8" t="n"/>
      <c r="S42" s="8" t="n"/>
    </row>
    <row r="43">
      <c r="B43" s="8">
        <f>IF(C43="","","EV-"&amp;TEXT(ROW()-5,"000"))</f>
        <v/>
      </c>
      <c r="C43" s="8" t="n"/>
      <c r="D43" s="8" t="n"/>
      <c r="E43" s="8" t="n"/>
      <c r="F43" s="8" t="n"/>
      <c r="G43" s="8" t="n"/>
      <c r="H43" s="8" t="n"/>
      <c r="I43" s="8" t="n"/>
      <c r="J43" s="8" t="n"/>
      <c r="K43" s="8" t="n"/>
      <c r="L43" s="8" t="n"/>
      <c r="M43" s="8" t="n"/>
      <c r="N43" s="8" t="n"/>
      <c r="O43" s="8" t="n"/>
      <c r="P43" s="8" t="n"/>
      <c r="Q43" s="8" t="n"/>
      <c r="R43" s="8" t="n"/>
      <c r="S43" s="8" t="n"/>
    </row>
    <row r="44">
      <c r="B44" s="8">
        <f>IF(C44="","","EV-"&amp;TEXT(ROW()-5,"000"))</f>
        <v/>
      </c>
      <c r="C44" s="8" t="n"/>
      <c r="D44" s="8" t="n"/>
      <c r="E44" s="8" t="n"/>
      <c r="F44" s="8" t="n"/>
      <c r="G44" s="8" t="n"/>
      <c r="H44" s="8" t="n"/>
      <c r="I44" s="8" t="n"/>
      <c r="J44" s="8" t="n"/>
      <c r="K44" s="8" t="n"/>
      <c r="L44" s="8" t="n"/>
      <c r="M44" s="8" t="n"/>
      <c r="N44" s="8" t="n"/>
      <c r="O44" s="8" t="n"/>
      <c r="P44" s="8" t="n"/>
      <c r="Q44" s="8" t="n"/>
      <c r="R44" s="8" t="n"/>
      <c r="S44" s="8" t="n"/>
    </row>
    <row r="45">
      <c r="B45" s="8">
        <f>IF(C45="","","EV-"&amp;TEXT(ROW()-5,"000"))</f>
        <v/>
      </c>
      <c r="C45" s="8" t="n"/>
      <c r="D45" s="8" t="n"/>
      <c r="E45" s="8" t="n"/>
      <c r="F45" s="8" t="n"/>
      <c r="G45" s="8" t="n"/>
      <c r="H45" s="8" t="n"/>
      <c r="I45" s="8" t="n"/>
      <c r="J45" s="8" t="n"/>
      <c r="K45" s="8" t="n"/>
      <c r="L45" s="8" t="n"/>
      <c r="M45" s="8" t="n"/>
      <c r="N45" s="8" t="n"/>
      <c r="O45" s="8" t="n"/>
      <c r="P45" s="8" t="n"/>
      <c r="Q45" s="8" t="n"/>
      <c r="R45" s="8" t="n"/>
      <c r="S45" s="8" t="n"/>
    </row>
    <row r="46">
      <c r="B46" s="8">
        <f>IF(C46="","","EV-"&amp;TEXT(ROW()-5,"000"))</f>
        <v/>
      </c>
      <c r="C46" s="8" t="n"/>
      <c r="D46" s="8" t="n"/>
      <c r="E46" s="8" t="n"/>
      <c r="F46" s="8" t="n"/>
      <c r="G46" s="8" t="n"/>
      <c r="H46" s="8" t="n"/>
      <c r="I46" s="8" t="n"/>
      <c r="J46" s="8" t="n"/>
      <c r="K46" s="8" t="n"/>
      <c r="L46" s="8" t="n"/>
      <c r="M46" s="8" t="n"/>
      <c r="N46" s="8" t="n"/>
      <c r="O46" s="8" t="n"/>
      <c r="P46" s="8" t="n"/>
      <c r="Q46" s="8" t="n"/>
      <c r="R46" s="8" t="n"/>
      <c r="S46" s="8" t="n"/>
    </row>
    <row r="47">
      <c r="B47" s="8">
        <f>IF(C47="","","EV-"&amp;TEXT(ROW()-5,"000"))</f>
        <v/>
      </c>
      <c r="C47" s="8" t="n"/>
      <c r="D47" s="8" t="n"/>
      <c r="E47" s="8" t="n"/>
      <c r="F47" s="8" t="n"/>
      <c r="G47" s="8" t="n"/>
      <c r="H47" s="8" t="n"/>
      <c r="I47" s="8" t="n"/>
      <c r="J47" s="8" t="n"/>
      <c r="K47" s="8" t="n"/>
      <c r="L47" s="8" t="n"/>
      <c r="M47" s="8" t="n"/>
      <c r="N47" s="8" t="n"/>
      <c r="O47" s="8" t="n"/>
      <c r="P47" s="8" t="n"/>
      <c r="Q47" s="8" t="n"/>
      <c r="R47" s="8" t="n"/>
      <c r="S47" s="8" t="n"/>
    </row>
    <row r="48">
      <c r="B48" s="8">
        <f>IF(C48="","","EV-"&amp;TEXT(ROW()-5,"000"))</f>
        <v/>
      </c>
      <c r="C48" s="8" t="n"/>
      <c r="D48" s="8" t="n"/>
      <c r="E48" s="8" t="n"/>
      <c r="F48" s="8" t="n"/>
      <c r="G48" s="8" t="n"/>
      <c r="H48" s="8" t="n"/>
      <c r="I48" s="8" t="n"/>
      <c r="J48" s="8" t="n"/>
      <c r="K48" s="8" t="n"/>
      <c r="L48" s="8" t="n"/>
      <c r="M48" s="8" t="n"/>
      <c r="N48" s="8" t="n"/>
      <c r="O48" s="8" t="n"/>
      <c r="P48" s="8" t="n"/>
      <c r="Q48" s="8" t="n"/>
      <c r="R48" s="8" t="n"/>
      <c r="S48" s="8" t="n"/>
    </row>
    <row r="49">
      <c r="B49" s="8">
        <f>IF(C49="","","EV-"&amp;TEXT(ROW()-5,"000"))</f>
        <v/>
      </c>
      <c r="C49" s="8" t="n"/>
      <c r="D49" s="8" t="n"/>
      <c r="E49" s="8" t="n"/>
      <c r="F49" s="8" t="n"/>
      <c r="G49" s="8" t="n"/>
      <c r="H49" s="8" t="n"/>
      <c r="I49" s="8" t="n"/>
      <c r="J49" s="8" t="n"/>
      <c r="K49" s="8" t="n"/>
      <c r="L49" s="8" t="n"/>
      <c r="M49" s="8" t="n"/>
      <c r="N49" s="8" t="n"/>
      <c r="O49" s="8" t="n"/>
      <c r="P49" s="8" t="n"/>
      <c r="Q49" s="8" t="n"/>
      <c r="R49" s="8" t="n"/>
      <c r="S49" s="8" t="n"/>
    </row>
    <row r="50">
      <c r="B50" s="8">
        <f>IF(C50="","","EV-"&amp;TEXT(ROW()-5,"000"))</f>
        <v/>
      </c>
      <c r="C50" s="8" t="n"/>
      <c r="D50" s="8" t="n"/>
      <c r="E50" s="8" t="n"/>
      <c r="F50" s="8" t="n"/>
      <c r="G50" s="8" t="n"/>
      <c r="H50" s="8" t="n"/>
      <c r="I50" s="8" t="n"/>
      <c r="J50" s="8" t="n"/>
      <c r="K50" s="8" t="n"/>
      <c r="L50" s="8" t="n"/>
      <c r="M50" s="8" t="n"/>
      <c r="N50" s="8" t="n"/>
      <c r="O50" s="8" t="n"/>
      <c r="P50" s="8" t="n"/>
      <c r="Q50" s="8" t="n"/>
      <c r="R50" s="8" t="n"/>
      <c r="S50" s="8" t="n"/>
    </row>
    <row r="51">
      <c r="B51" s="8">
        <f>IF(C51="","","EV-"&amp;TEXT(ROW()-5,"000"))</f>
        <v/>
      </c>
      <c r="C51" s="8" t="n"/>
      <c r="D51" s="8" t="n"/>
      <c r="E51" s="8" t="n"/>
      <c r="F51" s="8" t="n"/>
      <c r="G51" s="8" t="n"/>
      <c r="H51" s="8" t="n"/>
      <c r="I51" s="8" t="n"/>
      <c r="J51" s="8" t="n"/>
      <c r="K51" s="8" t="n"/>
      <c r="L51" s="8" t="n"/>
      <c r="M51" s="8" t="n"/>
      <c r="N51" s="8" t="n"/>
      <c r="O51" s="8" t="n"/>
      <c r="P51" s="8" t="n"/>
      <c r="Q51" s="8" t="n"/>
      <c r="R51" s="8" t="n"/>
      <c r="S51" s="8" t="n"/>
    </row>
    <row r="52">
      <c r="B52" s="8">
        <f>IF(C52="","","EV-"&amp;TEXT(ROW()-5,"000"))</f>
        <v/>
      </c>
      <c r="C52" s="8" t="n"/>
      <c r="D52" s="8" t="n"/>
      <c r="E52" s="8" t="n"/>
      <c r="F52" s="8" t="n"/>
      <c r="G52" s="8" t="n"/>
      <c r="H52" s="8" t="n"/>
      <c r="I52" s="8" t="n"/>
      <c r="J52" s="8" t="n"/>
      <c r="K52" s="8" t="n"/>
      <c r="L52" s="8" t="n"/>
      <c r="M52" s="8" t="n"/>
      <c r="N52" s="8" t="n"/>
      <c r="O52" s="8" t="n"/>
      <c r="P52" s="8" t="n"/>
      <c r="Q52" s="8" t="n"/>
      <c r="R52" s="8" t="n"/>
      <c r="S52" s="8" t="n"/>
    </row>
    <row r="53">
      <c r="B53" s="8">
        <f>IF(C53="","","EV-"&amp;TEXT(ROW()-5,"000"))</f>
        <v/>
      </c>
      <c r="C53" s="8" t="n"/>
      <c r="D53" s="8" t="n"/>
      <c r="E53" s="8" t="n"/>
      <c r="F53" s="8" t="n"/>
      <c r="G53" s="8" t="n"/>
      <c r="H53" s="8" t="n"/>
      <c r="I53" s="8" t="n"/>
      <c r="J53" s="8" t="n"/>
      <c r="K53" s="8" t="n"/>
      <c r="L53" s="8" t="n"/>
      <c r="M53" s="8" t="n"/>
      <c r="N53" s="8" t="n"/>
      <c r="O53" s="8" t="n"/>
      <c r="P53" s="8" t="n"/>
      <c r="Q53" s="8" t="n"/>
      <c r="R53" s="8" t="n"/>
      <c r="S53" s="8" t="n"/>
    </row>
    <row r="54">
      <c r="B54" s="8">
        <f>IF(C54="","","EV-"&amp;TEXT(ROW()-5,"000"))</f>
        <v/>
      </c>
      <c r="C54" s="8" t="n"/>
      <c r="D54" s="8" t="n"/>
      <c r="E54" s="8" t="n"/>
      <c r="F54" s="8" t="n"/>
      <c r="G54" s="8" t="n"/>
      <c r="H54" s="8" t="n"/>
      <c r="I54" s="8" t="n"/>
      <c r="J54" s="8" t="n"/>
      <c r="K54" s="8" t="n"/>
      <c r="L54" s="8" t="n"/>
      <c r="M54" s="8" t="n"/>
      <c r="N54" s="8" t="n"/>
      <c r="O54" s="8" t="n"/>
      <c r="P54" s="8" t="n"/>
      <c r="Q54" s="8" t="n"/>
      <c r="R54" s="8" t="n"/>
      <c r="S54" s="8" t="n"/>
    </row>
    <row r="55">
      <c r="B55" s="8">
        <f>IF(C55="","","EV-"&amp;TEXT(ROW()-5,"000"))</f>
        <v/>
      </c>
      <c r="C55" s="8" t="n"/>
      <c r="D55" s="8" t="n"/>
      <c r="E55" s="8" t="n"/>
      <c r="F55" s="8" t="n"/>
      <c r="G55" s="8" t="n"/>
      <c r="H55" s="8" t="n"/>
      <c r="I55" s="8" t="n"/>
      <c r="J55" s="8" t="n"/>
      <c r="K55" s="8" t="n"/>
      <c r="L55" s="8" t="n"/>
      <c r="M55" s="8" t="n"/>
      <c r="N55" s="8" t="n"/>
      <c r="O55" s="8" t="n"/>
      <c r="P55" s="8" t="n"/>
      <c r="Q55" s="8" t="n"/>
      <c r="R55" s="8" t="n"/>
      <c r="S55" s="8" t="n"/>
    </row>
    <row r="56">
      <c r="B56" s="8">
        <f>IF(C56="","","EV-"&amp;TEXT(ROW()-5,"000"))</f>
        <v/>
      </c>
      <c r="C56" s="8" t="n"/>
      <c r="D56" s="8" t="n"/>
      <c r="E56" s="8" t="n"/>
      <c r="F56" s="8" t="n"/>
      <c r="G56" s="8" t="n"/>
      <c r="H56" s="8" t="n"/>
      <c r="I56" s="8" t="n"/>
      <c r="J56" s="8" t="n"/>
      <c r="K56" s="8" t="n"/>
      <c r="L56" s="8" t="n"/>
      <c r="M56" s="8" t="n"/>
      <c r="N56" s="8" t="n"/>
      <c r="O56" s="8" t="n"/>
      <c r="P56" s="8" t="n"/>
      <c r="Q56" s="8" t="n"/>
      <c r="R56" s="8" t="n"/>
      <c r="S56" s="8" t="n"/>
    </row>
    <row r="57">
      <c r="B57" s="8">
        <f>IF(C57="","","EV-"&amp;TEXT(ROW()-5,"000"))</f>
        <v/>
      </c>
      <c r="C57" s="8" t="n"/>
      <c r="D57" s="8" t="n"/>
      <c r="E57" s="8" t="n"/>
      <c r="F57" s="8" t="n"/>
      <c r="G57" s="8" t="n"/>
      <c r="H57" s="8" t="n"/>
      <c r="I57" s="8" t="n"/>
      <c r="J57" s="8" t="n"/>
      <c r="K57" s="8" t="n"/>
      <c r="L57" s="8" t="n"/>
      <c r="M57" s="8" t="n"/>
      <c r="N57" s="8" t="n"/>
      <c r="O57" s="8" t="n"/>
      <c r="P57" s="8" t="n"/>
      <c r="Q57" s="8" t="n"/>
      <c r="R57" s="8" t="n"/>
      <c r="S57" s="8" t="n"/>
    </row>
    <row r="58">
      <c r="B58" s="8">
        <f>IF(C58="","","EV-"&amp;TEXT(ROW()-5,"000"))</f>
        <v/>
      </c>
      <c r="C58" s="8" t="n"/>
      <c r="D58" s="8" t="n"/>
      <c r="E58" s="8" t="n"/>
      <c r="F58" s="8" t="n"/>
      <c r="G58" s="8" t="n"/>
      <c r="H58" s="8" t="n"/>
      <c r="I58" s="8" t="n"/>
      <c r="J58" s="8" t="n"/>
      <c r="K58" s="8" t="n"/>
      <c r="L58" s="8" t="n"/>
      <c r="M58" s="8" t="n"/>
      <c r="N58" s="8" t="n"/>
      <c r="O58" s="8" t="n"/>
      <c r="P58" s="8" t="n"/>
      <c r="Q58" s="8" t="n"/>
      <c r="R58" s="8" t="n"/>
      <c r="S58" s="8" t="n"/>
    </row>
    <row r="59">
      <c r="B59" s="8">
        <f>IF(C59="","","EV-"&amp;TEXT(ROW()-5,"000"))</f>
        <v/>
      </c>
      <c r="C59" s="8" t="n"/>
      <c r="D59" s="8" t="n"/>
      <c r="E59" s="8" t="n"/>
      <c r="F59" s="8" t="n"/>
      <c r="G59" s="8" t="n"/>
      <c r="H59" s="8" t="n"/>
      <c r="I59" s="8" t="n"/>
      <c r="J59" s="8" t="n"/>
      <c r="K59" s="8" t="n"/>
      <c r="L59" s="8" t="n"/>
      <c r="M59" s="8" t="n"/>
      <c r="N59" s="8" t="n"/>
      <c r="O59" s="8" t="n"/>
      <c r="P59" s="8" t="n"/>
      <c r="Q59" s="8" t="n"/>
      <c r="R59" s="8" t="n"/>
      <c r="S59" s="8" t="n"/>
    </row>
    <row r="60">
      <c r="B60" s="8">
        <f>IF(C60="","","EV-"&amp;TEXT(ROW()-5,"000"))</f>
        <v/>
      </c>
      <c r="C60" s="8" t="n"/>
      <c r="D60" s="8" t="n"/>
      <c r="E60" s="8" t="n"/>
      <c r="F60" s="8" t="n"/>
      <c r="G60" s="8" t="n"/>
      <c r="H60" s="8" t="n"/>
      <c r="I60" s="8" t="n"/>
      <c r="J60" s="8" t="n"/>
      <c r="K60" s="8" t="n"/>
      <c r="L60" s="8" t="n"/>
      <c r="M60" s="8" t="n"/>
      <c r="N60" s="8" t="n"/>
      <c r="O60" s="8" t="n"/>
      <c r="P60" s="8" t="n"/>
      <c r="Q60" s="8" t="n"/>
      <c r="R60" s="8" t="n"/>
      <c r="S60" s="8" t="n"/>
    </row>
    <row r="61">
      <c r="B61" s="8">
        <f>IF(C61="","","EV-"&amp;TEXT(ROW()-5,"000"))</f>
        <v/>
      </c>
      <c r="C61" s="8" t="n"/>
      <c r="D61" s="8" t="n"/>
      <c r="E61" s="8" t="n"/>
      <c r="F61" s="8" t="n"/>
      <c r="G61" s="8" t="n"/>
      <c r="H61" s="8" t="n"/>
      <c r="I61" s="8" t="n"/>
      <c r="J61" s="8" t="n"/>
      <c r="K61" s="8" t="n"/>
      <c r="L61" s="8" t="n"/>
      <c r="M61" s="8" t="n"/>
      <c r="N61" s="8" t="n"/>
      <c r="O61" s="8" t="n"/>
      <c r="P61" s="8" t="n"/>
      <c r="Q61" s="8" t="n"/>
      <c r="R61" s="8" t="n"/>
      <c r="S61" s="8" t="n"/>
    </row>
    <row r="62">
      <c r="B62" s="8">
        <f>IF(C62="","","EV-"&amp;TEXT(ROW()-5,"000"))</f>
        <v/>
      </c>
      <c r="C62" s="8" t="n"/>
      <c r="D62" s="8" t="n"/>
      <c r="E62" s="8" t="n"/>
      <c r="F62" s="8" t="n"/>
      <c r="G62" s="8" t="n"/>
      <c r="H62" s="8" t="n"/>
      <c r="I62" s="8" t="n"/>
      <c r="J62" s="8" t="n"/>
      <c r="K62" s="8" t="n"/>
      <c r="L62" s="8" t="n"/>
      <c r="M62" s="8" t="n"/>
      <c r="N62" s="8" t="n"/>
      <c r="O62" s="8" t="n"/>
      <c r="P62" s="8" t="n"/>
      <c r="Q62" s="8" t="n"/>
      <c r="R62" s="8" t="n"/>
      <c r="S62" s="8" t="n"/>
    </row>
    <row r="63">
      <c r="B63" s="8">
        <f>IF(C63="","","EV-"&amp;TEXT(ROW()-5,"000"))</f>
        <v/>
      </c>
      <c r="C63" s="8" t="n"/>
      <c r="D63" s="8" t="n"/>
      <c r="E63" s="8" t="n"/>
      <c r="F63" s="8" t="n"/>
      <c r="G63" s="8" t="n"/>
      <c r="H63" s="8" t="n"/>
      <c r="I63" s="8" t="n"/>
      <c r="J63" s="8" t="n"/>
      <c r="K63" s="8" t="n"/>
      <c r="L63" s="8" t="n"/>
      <c r="M63" s="8" t="n"/>
      <c r="N63" s="8" t="n"/>
      <c r="O63" s="8" t="n"/>
      <c r="P63" s="8" t="n"/>
      <c r="Q63" s="8" t="n"/>
      <c r="R63" s="8" t="n"/>
      <c r="S63" s="8" t="n"/>
    </row>
    <row r="64">
      <c r="B64" s="8">
        <f>IF(C64="","","EV-"&amp;TEXT(ROW()-5,"000"))</f>
        <v/>
      </c>
      <c r="C64" s="8" t="n"/>
      <c r="D64" s="8" t="n"/>
      <c r="E64" s="8" t="n"/>
      <c r="F64" s="8" t="n"/>
      <c r="G64" s="8" t="n"/>
      <c r="H64" s="8" t="n"/>
      <c r="I64" s="8" t="n"/>
      <c r="J64" s="8" t="n"/>
      <c r="K64" s="8" t="n"/>
      <c r="L64" s="8" t="n"/>
      <c r="M64" s="8" t="n"/>
      <c r="N64" s="8" t="n"/>
      <c r="O64" s="8" t="n"/>
      <c r="P64" s="8" t="n"/>
      <c r="Q64" s="8" t="n"/>
      <c r="R64" s="8" t="n"/>
      <c r="S64" s="8" t="n"/>
    </row>
    <row r="65">
      <c r="B65" s="8">
        <f>IF(C65="","","EV-"&amp;TEXT(ROW()-5,"000"))</f>
        <v/>
      </c>
      <c r="C65" s="8" t="n"/>
      <c r="D65" s="8" t="n"/>
      <c r="E65" s="8" t="n"/>
      <c r="F65" s="8" t="n"/>
      <c r="G65" s="8" t="n"/>
      <c r="H65" s="8" t="n"/>
      <c r="I65" s="8" t="n"/>
      <c r="J65" s="8" t="n"/>
      <c r="K65" s="8" t="n"/>
      <c r="L65" s="8" t="n"/>
      <c r="M65" s="8" t="n"/>
      <c r="N65" s="8" t="n"/>
      <c r="O65" s="8" t="n"/>
      <c r="P65" s="8" t="n"/>
      <c r="Q65" s="8" t="n"/>
      <c r="R65" s="8" t="n"/>
      <c r="S65" s="8" t="n"/>
    </row>
    <row r="66">
      <c r="B66" s="8">
        <f>IF(C66="","","EV-"&amp;TEXT(ROW()-5,"000"))</f>
        <v/>
      </c>
      <c r="C66" s="8" t="n"/>
      <c r="D66" s="8" t="n"/>
      <c r="E66" s="8" t="n"/>
      <c r="F66" s="8" t="n"/>
      <c r="G66" s="8" t="n"/>
      <c r="H66" s="8" t="n"/>
      <c r="I66" s="8" t="n"/>
      <c r="J66" s="8" t="n"/>
      <c r="K66" s="8" t="n"/>
      <c r="L66" s="8" t="n"/>
      <c r="M66" s="8" t="n"/>
      <c r="N66" s="8" t="n"/>
      <c r="O66" s="8" t="n"/>
      <c r="P66" s="8" t="n"/>
      <c r="Q66" s="8" t="n"/>
      <c r="R66" s="8" t="n"/>
      <c r="S66" s="8" t="n"/>
    </row>
    <row r="67">
      <c r="B67" s="8">
        <f>IF(C67="","","EV-"&amp;TEXT(ROW()-5,"000"))</f>
        <v/>
      </c>
      <c r="C67" s="8" t="n"/>
      <c r="D67" s="8" t="n"/>
      <c r="E67" s="8" t="n"/>
      <c r="F67" s="8" t="n"/>
      <c r="G67" s="8" t="n"/>
      <c r="H67" s="8" t="n"/>
      <c r="I67" s="8" t="n"/>
      <c r="J67" s="8" t="n"/>
      <c r="K67" s="8" t="n"/>
      <c r="L67" s="8" t="n"/>
      <c r="M67" s="8" t="n"/>
      <c r="N67" s="8" t="n"/>
      <c r="O67" s="8" t="n"/>
      <c r="P67" s="8" t="n"/>
      <c r="Q67" s="8" t="n"/>
      <c r="R67" s="8" t="n"/>
      <c r="S67" s="8" t="n"/>
    </row>
    <row r="68">
      <c r="B68" s="8">
        <f>IF(C68="","","EV-"&amp;TEXT(ROW()-5,"000"))</f>
        <v/>
      </c>
      <c r="C68" s="8" t="n"/>
      <c r="D68" s="8" t="n"/>
      <c r="E68" s="8" t="n"/>
      <c r="F68" s="8" t="n"/>
      <c r="G68" s="8" t="n"/>
      <c r="H68" s="8" t="n"/>
      <c r="I68" s="8" t="n"/>
      <c r="J68" s="8" t="n"/>
      <c r="K68" s="8" t="n"/>
      <c r="L68" s="8" t="n"/>
      <c r="M68" s="8" t="n"/>
      <c r="N68" s="8" t="n"/>
      <c r="O68" s="8" t="n"/>
      <c r="P68" s="8" t="n"/>
      <c r="Q68" s="8" t="n"/>
      <c r="R68" s="8" t="n"/>
      <c r="S68" s="8" t="n"/>
    </row>
    <row r="69">
      <c r="B69" s="8">
        <f>IF(C69="","","EV-"&amp;TEXT(ROW()-5,"000"))</f>
        <v/>
      </c>
      <c r="C69" s="8" t="n"/>
      <c r="D69" s="8" t="n"/>
      <c r="E69" s="8" t="n"/>
      <c r="F69" s="8" t="n"/>
      <c r="G69" s="8" t="n"/>
      <c r="H69" s="8" t="n"/>
      <c r="I69" s="8" t="n"/>
      <c r="J69" s="8" t="n"/>
      <c r="K69" s="8" t="n"/>
      <c r="L69" s="8" t="n"/>
      <c r="M69" s="8" t="n"/>
      <c r="N69" s="8" t="n"/>
      <c r="O69" s="8" t="n"/>
      <c r="P69" s="8" t="n"/>
      <c r="Q69" s="8" t="n"/>
      <c r="R69" s="8" t="n"/>
      <c r="S69" s="8" t="n"/>
    </row>
    <row r="70">
      <c r="B70" s="8">
        <f>IF(C70="","","EV-"&amp;TEXT(ROW()-5,"000"))</f>
        <v/>
      </c>
      <c r="C70" s="8" t="n"/>
      <c r="D70" s="8" t="n"/>
      <c r="E70" s="8" t="n"/>
      <c r="F70" s="8" t="n"/>
      <c r="G70" s="8" t="n"/>
      <c r="H70" s="8" t="n"/>
      <c r="I70" s="8" t="n"/>
      <c r="J70" s="8" t="n"/>
      <c r="K70" s="8" t="n"/>
      <c r="L70" s="8" t="n"/>
      <c r="M70" s="8" t="n"/>
      <c r="N70" s="8" t="n"/>
      <c r="O70" s="8" t="n"/>
      <c r="P70" s="8" t="n"/>
      <c r="Q70" s="8" t="n"/>
      <c r="R70" s="8" t="n"/>
      <c r="S70" s="8" t="n"/>
    </row>
    <row r="71">
      <c r="B71" s="8">
        <f>IF(C71="","","EV-"&amp;TEXT(ROW()-5,"000"))</f>
        <v/>
      </c>
      <c r="C71" s="8" t="n"/>
      <c r="D71" s="8" t="n"/>
      <c r="E71" s="8" t="n"/>
      <c r="F71" s="8" t="n"/>
      <c r="G71" s="8" t="n"/>
      <c r="H71" s="8" t="n"/>
      <c r="I71" s="8" t="n"/>
      <c r="J71" s="8" t="n"/>
      <c r="K71" s="8" t="n"/>
      <c r="L71" s="8" t="n"/>
      <c r="M71" s="8" t="n"/>
      <c r="N71" s="8" t="n"/>
      <c r="O71" s="8" t="n"/>
      <c r="P71" s="8" t="n"/>
      <c r="Q71" s="8" t="n"/>
      <c r="R71" s="8" t="n"/>
      <c r="S71" s="8" t="n"/>
    </row>
    <row r="72">
      <c r="B72" s="8">
        <f>IF(C72="","","EV-"&amp;TEXT(ROW()-5,"000"))</f>
        <v/>
      </c>
      <c r="C72" s="8" t="n"/>
      <c r="D72" s="8" t="n"/>
      <c r="E72" s="8" t="n"/>
      <c r="F72" s="8" t="n"/>
      <c r="G72" s="8" t="n"/>
      <c r="H72" s="8" t="n"/>
      <c r="I72" s="8" t="n"/>
      <c r="J72" s="8" t="n"/>
      <c r="K72" s="8" t="n"/>
      <c r="L72" s="8" t="n"/>
      <c r="M72" s="8" t="n"/>
      <c r="N72" s="8" t="n"/>
      <c r="O72" s="8" t="n"/>
      <c r="P72" s="8" t="n"/>
      <c r="Q72" s="8" t="n"/>
      <c r="R72" s="8" t="n"/>
      <c r="S72" s="8" t="n"/>
    </row>
    <row r="73">
      <c r="B73" s="8">
        <f>IF(C73="","","EV-"&amp;TEXT(ROW()-5,"000"))</f>
        <v/>
      </c>
      <c r="C73" s="8" t="n"/>
      <c r="D73" s="8" t="n"/>
      <c r="E73" s="8" t="n"/>
      <c r="F73" s="8" t="n"/>
      <c r="G73" s="8" t="n"/>
      <c r="H73" s="8" t="n"/>
      <c r="I73" s="8" t="n"/>
      <c r="J73" s="8" t="n"/>
      <c r="K73" s="8" t="n"/>
      <c r="L73" s="8" t="n"/>
      <c r="M73" s="8" t="n"/>
      <c r="N73" s="8" t="n"/>
      <c r="O73" s="8" t="n"/>
      <c r="P73" s="8" t="n"/>
      <c r="Q73" s="8" t="n"/>
      <c r="R73" s="8" t="n"/>
      <c r="S73" s="8" t="n"/>
    </row>
    <row r="74">
      <c r="B74" s="8">
        <f>IF(C74="","","EV-"&amp;TEXT(ROW()-5,"000"))</f>
        <v/>
      </c>
      <c r="C74" s="8" t="n"/>
      <c r="D74" s="8" t="n"/>
      <c r="E74" s="8" t="n"/>
      <c r="F74" s="8" t="n"/>
      <c r="G74" s="8" t="n"/>
      <c r="H74" s="8" t="n"/>
      <c r="I74" s="8" t="n"/>
      <c r="J74" s="8" t="n"/>
      <c r="K74" s="8" t="n"/>
      <c r="L74" s="8" t="n"/>
      <c r="M74" s="8" t="n"/>
      <c r="N74" s="8" t="n"/>
      <c r="O74" s="8" t="n"/>
      <c r="P74" s="8" t="n"/>
      <c r="Q74" s="8" t="n"/>
      <c r="R74" s="8" t="n"/>
      <c r="S74" s="8" t="n"/>
    </row>
    <row r="75">
      <c r="B75" s="8">
        <f>IF(C75="","","EV-"&amp;TEXT(ROW()-5,"000"))</f>
        <v/>
      </c>
      <c r="C75" s="8" t="n"/>
      <c r="D75" s="8" t="n"/>
      <c r="E75" s="8" t="n"/>
      <c r="F75" s="8" t="n"/>
      <c r="G75" s="8" t="n"/>
      <c r="H75" s="8" t="n"/>
      <c r="I75" s="8" t="n"/>
      <c r="J75" s="8" t="n"/>
      <c r="K75" s="8" t="n"/>
      <c r="L75" s="8" t="n"/>
      <c r="M75" s="8" t="n"/>
      <c r="N75" s="8" t="n"/>
      <c r="O75" s="8" t="n"/>
      <c r="P75" s="8" t="n"/>
      <c r="Q75" s="8" t="n"/>
      <c r="R75" s="8" t="n"/>
      <c r="S75" s="8" t="n"/>
    </row>
    <row r="76">
      <c r="B76" s="8">
        <f>IF(C76="","","EV-"&amp;TEXT(ROW()-5,"000"))</f>
        <v/>
      </c>
      <c r="C76" s="8" t="n"/>
      <c r="D76" s="8" t="n"/>
      <c r="E76" s="8" t="n"/>
      <c r="F76" s="8" t="n"/>
      <c r="G76" s="8" t="n"/>
      <c r="H76" s="8" t="n"/>
      <c r="I76" s="8" t="n"/>
      <c r="J76" s="8" t="n"/>
      <c r="K76" s="8" t="n"/>
      <c r="L76" s="8" t="n"/>
      <c r="M76" s="8" t="n"/>
      <c r="N76" s="8" t="n"/>
      <c r="O76" s="8" t="n"/>
      <c r="P76" s="8" t="n"/>
      <c r="Q76" s="8" t="n"/>
      <c r="R76" s="8" t="n"/>
      <c r="S76" s="8" t="n"/>
    </row>
    <row r="77">
      <c r="B77" s="8">
        <f>IF(C77="","","EV-"&amp;TEXT(ROW()-5,"000"))</f>
        <v/>
      </c>
      <c r="C77" s="8" t="n"/>
      <c r="D77" s="8" t="n"/>
      <c r="E77" s="8" t="n"/>
      <c r="F77" s="8" t="n"/>
      <c r="G77" s="8" t="n"/>
      <c r="H77" s="8" t="n"/>
      <c r="I77" s="8" t="n"/>
      <c r="J77" s="8" t="n"/>
      <c r="K77" s="8" t="n"/>
      <c r="L77" s="8" t="n"/>
      <c r="M77" s="8" t="n"/>
      <c r="N77" s="8" t="n"/>
      <c r="O77" s="8" t="n"/>
      <c r="P77" s="8" t="n"/>
      <c r="Q77" s="8" t="n"/>
      <c r="R77" s="8" t="n"/>
      <c r="S77" s="8" t="n"/>
    </row>
    <row r="78">
      <c r="B78" s="8">
        <f>IF(C78="","","EV-"&amp;TEXT(ROW()-5,"000"))</f>
        <v/>
      </c>
      <c r="C78" s="8" t="n"/>
      <c r="D78" s="8" t="n"/>
      <c r="E78" s="8" t="n"/>
      <c r="F78" s="8" t="n"/>
      <c r="G78" s="8" t="n"/>
      <c r="H78" s="8" t="n"/>
      <c r="I78" s="8" t="n"/>
      <c r="J78" s="8" t="n"/>
      <c r="K78" s="8" t="n"/>
      <c r="L78" s="8" t="n"/>
      <c r="M78" s="8" t="n"/>
      <c r="N78" s="8" t="n"/>
      <c r="O78" s="8" t="n"/>
      <c r="P78" s="8" t="n"/>
      <c r="Q78" s="8" t="n"/>
      <c r="R78" s="8" t="n"/>
      <c r="S78" s="8" t="n"/>
    </row>
    <row r="79">
      <c r="B79" s="8">
        <f>IF(C79="","","EV-"&amp;TEXT(ROW()-5,"000"))</f>
        <v/>
      </c>
      <c r="C79" s="8" t="n"/>
      <c r="D79" s="8" t="n"/>
      <c r="E79" s="8" t="n"/>
      <c r="F79" s="8" t="n"/>
      <c r="G79" s="8" t="n"/>
      <c r="H79" s="8" t="n"/>
      <c r="I79" s="8" t="n"/>
      <c r="J79" s="8" t="n"/>
      <c r="K79" s="8" t="n"/>
      <c r="L79" s="8" t="n"/>
      <c r="M79" s="8" t="n"/>
      <c r="N79" s="8" t="n"/>
      <c r="O79" s="8" t="n"/>
      <c r="P79" s="8" t="n"/>
      <c r="Q79" s="8" t="n"/>
      <c r="R79" s="8" t="n"/>
      <c r="S79" s="8" t="n"/>
    </row>
    <row r="80">
      <c r="B80" s="8">
        <f>IF(C80="","","EV-"&amp;TEXT(ROW()-5,"000"))</f>
        <v/>
      </c>
      <c r="C80" s="8" t="n"/>
      <c r="D80" s="8" t="n"/>
      <c r="E80" s="8" t="n"/>
      <c r="F80" s="8" t="n"/>
      <c r="G80" s="8" t="n"/>
      <c r="H80" s="8" t="n"/>
      <c r="I80" s="8" t="n"/>
      <c r="J80" s="8" t="n"/>
      <c r="K80" s="8" t="n"/>
      <c r="L80" s="8" t="n"/>
      <c r="M80" s="8" t="n"/>
      <c r="N80" s="8" t="n"/>
      <c r="O80" s="8" t="n"/>
      <c r="P80" s="8" t="n"/>
      <c r="Q80" s="8" t="n"/>
      <c r="R80" s="8" t="n"/>
      <c r="S80" s="8" t="n"/>
    </row>
    <row r="81">
      <c r="B81" s="8">
        <f>IF(C81="","","EV-"&amp;TEXT(ROW()-5,"000"))</f>
        <v/>
      </c>
      <c r="C81" s="8" t="n"/>
      <c r="D81" s="8" t="n"/>
      <c r="E81" s="8" t="n"/>
      <c r="F81" s="8" t="n"/>
      <c r="G81" s="8" t="n"/>
      <c r="H81" s="8" t="n"/>
      <c r="I81" s="8" t="n"/>
      <c r="J81" s="8" t="n"/>
      <c r="K81" s="8" t="n"/>
      <c r="L81" s="8" t="n"/>
      <c r="M81" s="8" t="n"/>
      <c r="N81" s="8" t="n"/>
      <c r="O81" s="8" t="n"/>
      <c r="P81" s="8" t="n"/>
      <c r="Q81" s="8" t="n"/>
      <c r="R81" s="8" t="n"/>
      <c r="S81" s="8" t="n"/>
    </row>
    <row r="82">
      <c r="B82" s="8">
        <f>IF(C82="","","EV-"&amp;TEXT(ROW()-5,"000"))</f>
        <v/>
      </c>
      <c r="C82" s="8" t="n"/>
      <c r="D82" s="8" t="n"/>
      <c r="E82" s="8" t="n"/>
      <c r="F82" s="8" t="n"/>
      <c r="G82" s="8" t="n"/>
      <c r="H82" s="8" t="n"/>
      <c r="I82" s="8" t="n"/>
      <c r="J82" s="8" t="n"/>
      <c r="K82" s="8" t="n"/>
      <c r="L82" s="8" t="n"/>
      <c r="M82" s="8" t="n"/>
      <c r="N82" s="8" t="n"/>
      <c r="O82" s="8" t="n"/>
      <c r="P82" s="8" t="n"/>
      <c r="Q82" s="8" t="n"/>
      <c r="R82" s="8" t="n"/>
      <c r="S82" s="8" t="n"/>
    </row>
    <row r="83">
      <c r="B83" s="8">
        <f>IF(C83="","","EV-"&amp;TEXT(ROW()-5,"000"))</f>
        <v/>
      </c>
      <c r="C83" s="8" t="n"/>
      <c r="D83" s="8" t="n"/>
      <c r="E83" s="8" t="n"/>
      <c r="F83" s="8" t="n"/>
      <c r="G83" s="8" t="n"/>
      <c r="H83" s="8" t="n"/>
      <c r="I83" s="8" t="n"/>
      <c r="J83" s="8" t="n"/>
      <c r="K83" s="8" t="n"/>
      <c r="L83" s="8" t="n"/>
      <c r="M83" s="8" t="n"/>
      <c r="N83" s="8" t="n"/>
      <c r="O83" s="8" t="n"/>
      <c r="P83" s="8" t="n"/>
      <c r="Q83" s="8" t="n"/>
      <c r="R83" s="8" t="n"/>
      <c r="S83" s="8" t="n"/>
    </row>
    <row r="84">
      <c r="B84" s="8">
        <f>IF(C84="","","EV-"&amp;TEXT(ROW()-5,"000"))</f>
        <v/>
      </c>
      <c r="C84" s="8" t="n"/>
      <c r="D84" s="8" t="n"/>
      <c r="E84" s="8" t="n"/>
      <c r="F84" s="8" t="n"/>
      <c r="G84" s="8" t="n"/>
      <c r="H84" s="8" t="n"/>
      <c r="I84" s="8" t="n"/>
      <c r="J84" s="8" t="n"/>
      <c r="K84" s="8" t="n"/>
      <c r="L84" s="8" t="n"/>
      <c r="M84" s="8" t="n"/>
      <c r="N84" s="8" t="n"/>
      <c r="O84" s="8" t="n"/>
      <c r="P84" s="8" t="n"/>
      <c r="Q84" s="8" t="n"/>
      <c r="R84" s="8" t="n"/>
      <c r="S84" s="8" t="n"/>
    </row>
    <row r="85">
      <c r="B85" s="8">
        <f>IF(C85="","","EV-"&amp;TEXT(ROW()-5,"000"))</f>
        <v/>
      </c>
      <c r="C85" s="8" t="n"/>
      <c r="D85" s="8" t="n"/>
      <c r="E85" s="8" t="n"/>
      <c r="F85" s="8" t="n"/>
      <c r="G85" s="8" t="n"/>
      <c r="H85" s="8" t="n"/>
      <c r="I85" s="8" t="n"/>
      <c r="J85" s="8" t="n"/>
      <c r="K85" s="8" t="n"/>
      <c r="L85" s="8" t="n"/>
      <c r="M85" s="8" t="n"/>
      <c r="N85" s="8" t="n"/>
      <c r="O85" s="8" t="n"/>
      <c r="P85" s="8" t="n"/>
      <c r="Q85" s="8" t="n"/>
      <c r="R85" s="8" t="n"/>
      <c r="S85" s="8" t="n"/>
    </row>
    <row r="86">
      <c r="B86" s="8">
        <f>IF(C86="","","EV-"&amp;TEXT(ROW()-5,"000"))</f>
        <v/>
      </c>
      <c r="C86" s="8" t="n"/>
      <c r="D86" s="8" t="n"/>
      <c r="E86" s="8" t="n"/>
      <c r="F86" s="8" t="n"/>
      <c r="G86" s="8" t="n"/>
      <c r="H86" s="8" t="n"/>
      <c r="I86" s="8" t="n"/>
      <c r="J86" s="8" t="n"/>
      <c r="K86" s="8" t="n"/>
      <c r="L86" s="8" t="n"/>
      <c r="M86" s="8" t="n"/>
      <c r="N86" s="8" t="n"/>
      <c r="O86" s="8" t="n"/>
      <c r="P86" s="8" t="n"/>
      <c r="Q86" s="8" t="n"/>
      <c r="R86" s="8" t="n"/>
      <c r="S86" s="8" t="n"/>
    </row>
    <row r="87">
      <c r="B87" s="8">
        <f>IF(C87="","","EV-"&amp;TEXT(ROW()-5,"000"))</f>
        <v/>
      </c>
      <c r="C87" s="8" t="n"/>
      <c r="D87" s="8" t="n"/>
      <c r="E87" s="8" t="n"/>
      <c r="F87" s="8" t="n"/>
      <c r="G87" s="8" t="n"/>
      <c r="H87" s="8" t="n"/>
      <c r="I87" s="8" t="n"/>
      <c r="J87" s="8" t="n"/>
      <c r="K87" s="8" t="n"/>
      <c r="L87" s="8" t="n"/>
      <c r="M87" s="8" t="n"/>
      <c r="N87" s="8" t="n"/>
      <c r="O87" s="8" t="n"/>
      <c r="P87" s="8" t="n"/>
      <c r="Q87" s="8" t="n"/>
      <c r="R87" s="8" t="n"/>
      <c r="S87" s="8" t="n"/>
    </row>
    <row r="88">
      <c r="B88" s="8">
        <f>IF(C88="","","EV-"&amp;TEXT(ROW()-5,"000"))</f>
        <v/>
      </c>
      <c r="C88" s="8" t="n"/>
      <c r="D88" s="8" t="n"/>
      <c r="E88" s="8" t="n"/>
      <c r="F88" s="8" t="n"/>
      <c r="G88" s="8" t="n"/>
      <c r="H88" s="8" t="n"/>
      <c r="I88" s="8" t="n"/>
      <c r="J88" s="8" t="n"/>
      <c r="K88" s="8" t="n"/>
      <c r="L88" s="8" t="n"/>
      <c r="M88" s="8" t="n"/>
      <c r="N88" s="8" t="n"/>
      <c r="O88" s="8" t="n"/>
      <c r="P88" s="8" t="n"/>
      <c r="Q88" s="8" t="n"/>
      <c r="R88" s="8" t="n"/>
      <c r="S88" s="8" t="n"/>
    </row>
    <row r="89">
      <c r="B89" s="8">
        <f>IF(C89="","","EV-"&amp;TEXT(ROW()-5,"000"))</f>
        <v/>
      </c>
      <c r="C89" s="8" t="n"/>
      <c r="D89" s="8" t="n"/>
      <c r="E89" s="8" t="n"/>
      <c r="F89" s="8" t="n"/>
      <c r="G89" s="8" t="n"/>
      <c r="H89" s="8" t="n"/>
      <c r="I89" s="8" t="n"/>
      <c r="J89" s="8" t="n"/>
      <c r="K89" s="8" t="n"/>
      <c r="L89" s="8" t="n"/>
      <c r="M89" s="8" t="n"/>
      <c r="N89" s="8" t="n"/>
      <c r="O89" s="8" t="n"/>
      <c r="P89" s="8" t="n"/>
      <c r="Q89" s="8" t="n"/>
      <c r="R89" s="8" t="n"/>
      <c r="S89" s="8" t="n"/>
    </row>
    <row r="90">
      <c r="B90" s="8">
        <f>IF(C90="","","EV-"&amp;TEXT(ROW()-5,"000"))</f>
        <v/>
      </c>
      <c r="C90" s="8" t="n"/>
      <c r="D90" s="8" t="n"/>
      <c r="E90" s="8" t="n"/>
      <c r="F90" s="8" t="n"/>
      <c r="G90" s="8" t="n"/>
      <c r="H90" s="8" t="n"/>
      <c r="I90" s="8" t="n"/>
      <c r="J90" s="8" t="n"/>
      <c r="K90" s="8" t="n"/>
      <c r="L90" s="8" t="n"/>
      <c r="M90" s="8" t="n"/>
      <c r="N90" s="8" t="n"/>
      <c r="O90" s="8" t="n"/>
      <c r="P90" s="8" t="n"/>
      <c r="Q90" s="8" t="n"/>
      <c r="R90" s="8" t="n"/>
      <c r="S90" s="8" t="n"/>
    </row>
    <row r="91">
      <c r="B91" s="8">
        <f>IF(C91="","","EV-"&amp;TEXT(ROW()-5,"000"))</f>
        <v/>
      </c>
      <c r="C91" s="8" t="n"/>
      <c r="D91" s="8" t="n"/>
      <c r="E91" s="8" t="n"/>
      <c r="F91" s="8" t="n"/>
      <c r="G91" s="8" t="n"/>
      <c r="H91" s="8" t="n"/>
      <c r="I91" s="8" t="n"/>
      <c r="J91" s="8" t="n"/>
      <c r="K91" s="8" t="n"/>
      <c r="L91" s="8" t="n"/>
      <c r="M91" s="8" t="n"/>
      <c r="N91" s="8" t="n"/>
      <c r="O91" s="8" t="n"/>
      <c r="P91" s="8" t="n"/>
      <c r="Q91" s="8" t="n"/>
      <c r="R91" s="8" t="n"/>
      <c r="S91" s="8" t="n"/>
    </row>
    <row r="92">
      <c r="B92" s="8">
        <f>IF(C92="","","EV-"&amp;TEXT(ROW()-5,"000"))</f>
        <v/>
      </c>
      <c r="C92" s="8" t="n"/>
      <c r="D92" s="8" t="n"/>
      <c r="E92" s="8" t="n"/>
      <c r="F92" s="8" t="n"/>
      <c r="G92" s="8" t="n"/>
      <c r="H92" s="8" t="n"/>
      <c r="I92" s="8" t="n"/>
      <c r="J92" s="8" t="n"/>
      <c r="K92" s="8" t="n"/>
      <c r="L92" s="8" t="n"/>
      <c r="M92" s="8" t="n"/>
      <c r="N92" s="8" t="n"/>
      <c r="O92" s="8" t="n"/>
      <c r="P92" s="8" t="n"/>
      <c r="Q92" s="8" t="n"/>
      <c r="R92" s="8" t="n"/>
      <c r="S92" s="8" t="n"/>
    </row>
    <row r="93">
      <c r="B93" s="8">
        <f>IF(C93="","","EV-"&amp;TEXT(ROW()-5,"000"))</f>
        <v/>
      </c>
      <c r="C93" s="8" t="n"/>
      <c r="D93" s="8" t="n"/>
      <c r="E93" s="8" t="n"/>
      <c r="F93" s="8" t="n"/>
      <c r="G93" s="8" t="n"/>
      <c r="H93" s="8" t="n"/>
      <c r="I93" s="8" t="n"/>
      <c r="J93" s="8" t="n"/>
      <c r="K93" s="8" t="n"/>
      <c r="L93" s="8" t="n"/>
      <c r="M93" s="8" t="n"/>
      <c r="N93" s="8" t="n"/>
      <c r="O93" s="8" t="n"/>
      <c r="P93" s="8" t="n"/>
      <c r="Q93" s="8" t="n"/>
      <c r="R93" s="8" t="n"/>
      <c r="S93" s="8" t="n"/>
    </row>
    <row r="94">
      <c r="B94" s="8">
        <f>IF(C94="","","EV-"&amp;TEXT(ROW()-5,"000"))</f>
        <v/>
      </c>
      <c r="C94" s="8" t="n"/>
      <c r="D94" s="8" t="n"/>
      <c r="E94" s="8" t="n"/>
      <c r="F94" s="8" t="n"/>
      <c r="G94" s="8" t="n"/>
      <c r="H94" s="8" t="n"/>
      <c r="I94" s="8" t="n"/>
      <c r="J94" s="8" t="n"/>
      <c r="K94" s="8" t="n"/>
      <c r="L94" s="8" t="n"/>
      <c r="M94" s="8" t="n"/>
      <c r="N94" s="8" t="n"/>
      <c r="O94" s="8" t="n"/>
      <c r="P94" s="8" t="n"/>
      <c r="Q94" s="8" t="n"/>
      <c r="R94" s="8" t="n"/>
      <c r="S94" s="8" t="n"/>
    </row>
    <row r="95">
      <c r="B95" s="8">
        <f>IF(C95="","","EV-"&amp;TEXT(ROW()-5,"000"))</f>
        <v/>
      </c>
      <c r="C95" s="8" t="n"/>
      <c r="D95" s="8" t="n"/>
      <c r="E95" s="8" t="n"/>
      <c r="F95" s="8" t="n"/>
      <c r="G95" s="8" t="n"/>
      <c r="H95" s="8" t="n"/>
      <c r="I95" s="8" t="n"/>
      <c r="J95" s="8" t="n"/>
      <c r="K95" s="8" t="n"/>
      <c r="L95" s="8" t="n"/>
      <c r="M95" s="8" t="n"/>
      <c r="N95" s="8" t="n"/>
      <c r="O95" s="8" t="n"/>
      <c r="P95" s="8" t="n"/>
      <c r="Q95" s="8" t="n"/>
      <c r="R95" s="8" t="n"/>
      <c r="S95" s="8" t="n"/>
    </row>
    <row r="96">
      <c r="B96" s="8">
        <f>IF(C96="","","EV-"&amp;TEXT(ROW()-5,"000"))</f>
        <v/>
      </c>
      <c r="C96" s="8" t="n"/>
      <c r="D96" s="8" t="n"/>
      <c r="E96" s="8" t="n"/>
      <c r="F96" s="8" t="n"/>
      <c r="G96" s="8" t="n"/>
      <c r="H96" s="8" t="n"/>
      <c r="I96" s="8" t="n"/>
      <c r="J96" s="8" t="n"/>
      <c r="K96" s="8" t="n"/>
      <c r="L96" s="8" t="n"/>
      <c r="M96" s="8" t="n"/>
      <c r="N96" s="8" t="n"/>
      <c r="O96" s="8" t="n"/>
      <c r="P96" s="8" t="n"/>
      <c r="Q96" s="8" t="n"/>
      <c r="R96" s="8" t="n"/>
      <c r="S96" s="8" t="n"/>
    </row>
    <row r="97">
      <c r="B97" s="8">
        <f>IF(C97="","","EV-"&amp;TEXT(ROW()-5,"000"))</f>
        <v/>
      </c>
      <c r="C97" s="8" t="n"/>
      <c r="D97" s="8" t="n"/>
      <c r="E97" s="8" t="n"/>
      <c r="F97" s="8" t="n"/>
      <c r="G97" s="8" t="n"/>
      <c r="H97" s="8" t="n"/>
      <c r="I97" s="8" t="n"/>
      <c r="J97" s="8" t="n"/>
      <c r="K97" s="8" t="n"/>
      <c r="L97" s="8" t="n"/>
      <c r="M97" s="8" t="n"/>
      <c r="N97" s="8" t="n"/>
      <c r="O97" s="8" t="n"/>
      <c r="P97" s="8" t="n"/>
      <c r="Q97" s="8" t="n"/>
      <c r="R97" s="8" t="n"/>
      <c r="S97" s="8" t="n"/>
    </row>
    <row r="98">
      <c r="B98" s="8">
        <f>IF(C98="","","EV-"&amp;TEXT(ROW()-5,"000"))</f>
        <v/>
      </c>
      <c r="C98" s="8" t="n"/>
      <c r="D98" s="8" t="n"/>
      <c r="E98" s="8" t="n"/>
      <c r="F98" s="8" t="n"/>
      <c r="G98" s="8" t="n"/>
      <c r="H98" s="8" t="n"/>
      <c r="I98" s="8" t="n"/>
      <c r="J98" s="8" t="n"/>
      <c r="K98" s="8" t="n"/>
      <c r="L98" s="8" t="n"/>
      <c r="M98" s="8" t="n"/>
      <c r="N98" s="8" t="n"/>
      <c r="O98" s="8" t="n"/>
      <c r="P98" s="8" t="n"/>
      <c r="Q98" s="8" t="n"/>
      <c r="R98" s="8" t="n"/>
      <c r="S98" s="8" t="n"/>
    </row>
    <row r="99">
      <c r="B99" s="8">
        <f>IF(C99="","","EV-"&amp;TEXT(ROW()-5,"000"))</f>
        <v/>
      </c>
      <c r="C99" s="8" t="n"/>
      <c r="D99" s="8" t="n"/>
      <c r="E99" s="8" t="n"/>
      <c r="F99" s="8" t="n"/>
      <c r="G99" s="8" t="n"/>
      <c r="H99" s="8" t="n"/>
      <c r="I99" s="8" t="n"/>
      <c r="J99" s="8" t="n"/>
      <c r="K99" s="8" t="n"/>
      <c r="L99" s="8" t="n"/>
      <c r="M99" s="8" t="n"/>
      <c r="N99" s="8" t="n"/>
      <c r="O99" s="8" t="n"/>
      <c r="P99" s="8" t="n"/>
      <c r="Q99" s="8" t="n"/>
      <c r="R99" s="8" t="n"/>
      <c r="S99" s="8" t="n"/>
    </row>
    <row r="100">
      <c r="B100" s="8">
        <f>IF(C100="","","EV-"&amp;TEXT(ROW()-5,"000"))</f>
        <v/>
      </c>
      <c r="C100" s="8" t="n"/>
      <c r="D100" s="8" t="n"/>
      <c r="E100" s="8" t="n"/>
      <c r="F100" s="8" t="n"/>
      <c r="G100" s="8" t="n"/>
      <c r="H100" s="8" t="n"/>
      <c r="I100" s="8" t="n"/>
      <c r="J100" s="8" t="n"/>
      <c r="K100" s="8" t="n"/>
      <c r="L100" s="8" t="n"/>
      <c r="M100" s="8" t="n"/>
      <c r="N100" s="8" t="n"/>
      <c r="O100" s="8" t="n"/>
      <c r="P100" s="8" t="n"/>
      <c r="Q100" s="8" t="n"/>
      <c r="R100" s="8" t="n"/>
      <c r="S100" s="8" t="n"/>
    </row>
    <row r="101">
      <c r="B101" s="8">
        <f>IF(C101="","","EV-"&amp;TEXT(ROW()-5,"000"))</f>
        <v/>
      </c>
      <c r="C101" s="8" t="n"/>
      <c r="D101" s="8" t="n"/>
      <c r="E101" s="8" t="n"/>
      <c r="F101" s="8" t="n"/>
      <c r="G101" s="8" t="n"/>
      <c r="H101" s="8" t="n"/>
      <c r="I101" s="8" t="n"/>
      <c r="J101" s="8" t="n"/>
      <c r="K101" s="8" t="n"/>
      <c r="L101" s="8" t="n"/>
      <c r="M101" s="8" t="n"/>
      <c r="N101" s="8" t="n"/>
      <c r="O101" s="8" t="n"/>
      <c r="P101" s="8" t="n"/>
      <c r="Q101" s="8" t="n"/>
      <c r="R101" s="8" t="n"/>
      <c r="S101" s="8" t="n"/>
    </row>
    <row r="102">
      <c r="B102" s="8">
        <f>IF(C102="","","EV-"&amp;TEXT(ROW()-5,"000"))</f>
        <v/>
      </c>
      <c r="C102" s="8" t="n"/>
      <c r="D102" s="8" t="n"/>
      <c r="E102" s="8" t="n"/>
      <c r="F102" s="8" t="n"/>
      <c r="G102" s="8" t="n"/>
      <c r="H102" s="8" t="n"/>
      <c r="I102" s="8" t="n"/>
      <c r="J102" s="8" t="n"/>
      <c r="K102" s="8" t="n"/>
      <c r="L102" s="8" t="n"/>
      <c r="M102" s="8" t="n"/>
      <c r="N102" s="8" t="n"/>
      <c r="O102" s="8" t="n"/>
      <c r="P102" s="8" t="n"/>
      <c r="Q102" s="8" t="n"/>
      <c r="R102" s="8" t="n"/>
      <c r="S102" s="8" t="n"/>
    </row>
    <row r="103">
      <c r="B103" s="8">
        <f>IF(C103="","","EV-"&amp;TEXT(ROW()-5,"000"))</f>
        <v/>
      </c>
      <c r="C103" s="8" t="n"/>
      <c r="D103" s="8" t="n"/>
      <c r="E103" s="8" t="n"/>
      <c r="F103" s="8" t="n"/>
      <c r="G103" s="8" t="n"/>
      <c r="H103" s="8" t="n"/>
      <c r="I103" s="8" t="n"/>
      <c r="J103" s="8" t="n"/>
      <c r="K103" s="8" t="n"/>
      <c r="L103" s="8" t="n"/>
      <c r="M103" s="8" t="n"/>
      <c r="N103" s="8" t="n"/>
      <c r="O103" s="8" t="n"/>
      <c r="P103" s="8" t="n"/>
      <c r="Q103" s="8" t="n"/>
      <c r="R103" s="8" t="n"/>
      <c r="S103" s="8" t="n"/>
    </row>
    <row r="104">
      <c r="B104" s="8">
        <f>IF(C104="","","EV-"&amp;TEXT(ROW()-5,"000"))</f>
        <v/>
      </c>
      <c r="C104" s="8" t="n"/>
      <c r="D104" s="8" t="n"/>
      <c r="E104" s="8" t="n"/>
      <c r="F104" s="8" t="n"/>
      <c r="G104" s="8" t="n"/>
      <c r="H104" s="8" t="n"/>
      <c r="I104" s="8" t="n"/>
      <c r="J104" s="8" t="n"/>
      <c r="K104" s="8" t="n"/>
      <c r="L104" s="8" t="n"/>
      <c r="M104" s="8" t="n"/>
      <c r="N104" s="8" t="n"/>
      <c r="O104" s="8" t="n"/>
      <c r="P104" s="8" t="n"/>
      <c r="Q104" s="8" t="n"/>
      <c r="R104" s="8" t="n"/>
      <c r="S104" s="8" t="n"/>
    </row>
    <row r="105">
      <c r="B105" s="8">
        <f>IF(C105="","","EV-"&amp;TEXT(ROW()-5,"000"))</f>
        <v/>
      </c>
      <c r="C105" s="8" t="n"/>
      <c r="D105" s="8" t="n"/>
      <c r="E105" s="8" t="n"/>
      <c r="F105" s="8" t="n"/>
      <c r="G105" s="8" t="n"/>
      <c r="H105" s="8" t="n"/>
      <c r="I105" s="8" t="n"/>
      <c r="J105" s="8" t="n"/>
      <c r="K105" s="8" t="n"/>
      <c r="L105" s="8" t="n"/>
      <c r="M105" s="8" t="n"/>
      <c r="N105" s="8" t="n"/>
      <c r="O105" s="8" t="n"/>
      <c r="P105" s="8" t="n"/>
      <c r="Q105" s="8" t="n"/>
      <c r="R105" s="8" t="n"/>
      <c r="S105" s="8" t="n"/>
    </row>
    <row r="106">
      <c r="B106" s="8">
        <f>IF(C106="","","EV-"&amp;TEXT(ROW()-5,"000"))</f>
        <v/>
      </c>
      <c r="C106" s="8" t="n"/>
      <c r="D106" s="8" t="n"/>
      <c r="E106" s="8" t="n"/>
      <c r="F106" s="8" t="n"/>
      <c r="G106" s="8" t="n"/>
      <c r="H106" s="8" t="n"/>
      <c r="I106" s="8" t="n"/>
      <c r="J106" s="8" t="n"/>
      <c r="K106" s="8" t="n"/>
      <c r="L106" s="8" t="n"/>
      <c r="M106" s="8" t="n"/>
      <c r="N106" s="8" t="n"/>
      <c r="O106" s="8" t="n"/>
      <c r="P106" s="8" t="n"/>
      <c r="Q106" s="8" t="n"/>
      <c r="R106" s="8" t="n"/>
      <c r="S106" s="8" t="n"/>
    </row>
    <row r="107">
      <c r="B107" s="8">
        <f>IF(C107="","","EV-"&amp;TEXT(ROW()-5,"000"))</f>
        <v/>
      </c>
      <c r="C107" s="8" t="n"/>
      <c r="D107" s="8" t="n"/>
      <c r="E107" s="8" t="n"/>
      <c r="F107" s="8" t="n"/>
      <c r="G107" s="8" t="n"/>
      <c r="H107" s="8" t="n"/>
      <c r="I107" s="8" t="n"/>
      <c r="J107" s="8" t="n"/>
      <c r="K107" s="8" t="n"/>
      <c r="L107" s="8" t="n"/>
      <c r="M107" s="8" t="n"/>
      <c r="N107" s="8" t="n"/>
      <c r="O107" s="8" t="n"/>
      <c r="P107" s="8" t="n"/>
      <c r="Q107" s="8" t="n"/>
      <c r="R107" s="8" t="n"/>
      <c r="S107" s="8" t="n"/>
    </row>
    <row r="108">
      <c r="B108" s="8">
        <f>IF(C108="","","EV-"&amp;TEXT(ROW()-5,"000"))</f>
        <v/>
      </c>
      <c r="C108" s="8" t="n"/>
      <c r="D108" s="8" t="n"/>
      <c r="E108" s="8" t="n"/>
      <c r="F108" s="8" t="n"/>
      <c r="G108" s="8" t="n"/>
      <c r="H108" s="8" t="n"/>
      <c r="I108" s="8" t="n"/>
      <c r="J108" s="8" t="n"/>
      <c r="K108" s="8" t="n"/>
      <c r="L108" s="8" t="n"/>
      <c r="M108" s="8" t="n"/>
      <c r="N108" s="8" t="n"/>
      <c r="O108" s="8" t="n"/>
      <c r="P108" s="8" t="n"/>
      <c r="Q108" s="8" t="n"/>
      <c r="R108" s="8" t="n"/>
      <c r="S108" s="8" t="n"/>
    </row>
    <row r="109">
      <c r="B109" s="8">
        <f>IF(C109="","","EV-"&amp;TEXT(ROW()-5,"000"))</f>
        <v/>
      </c>
      <c r="C109" s="8" t="n"/>
      <c r="D109" s="8" t="n"/>
      <c r="E109" s="8" t="n"/>
      <c r="F109" s="8" t="n"/>
      <c r="G109" s="8" t="n"/>
      <c r="H109" s="8" t="n"/>
      <c r="I109" s="8" t="n"/>
      <c r="J109" s="8" t="n"/>
      <c r="K109" s="8" t="n"/>
      <c r="L109" s="8" t="n"/>
      <c r="M109" s="8" t="n"/>
      <c r="N109" s="8" t="n"/>
      <c r="O109" s="8" t="n"/>
      <c r="P109" s="8" t="n"/>
      <c r="Q109" s="8" t="n"/>
      <c r="R109" s="8" t="n"/>
      <c r="S109" s="8" t="n"/>
    </row>
    <row r="110">
      <c r="B110" s="8">
        <f>IF(C110="","","EV-"&amp;TEXT(ROW()-5,"000"))</f>
        <v/>
      </c>
      <c r="C110" s="8" t="n"/>
      <c r="D110" s="8" t="n"/>
      <c r="E110" s="8" t="n"/>
      <c r="F110" s="8" t="n"/>
      <c r="G110" s="8" t="n"/>
      <c r="H110" s="8" t="n"/>
      <c r="I110" s="8" t="n"/>
      <c r="J110" s="8" t="n"/>
      <c r="K110" s="8" t="n"/>
      <c r="L110" s="8" t="n"/>
      <c r="M110" s="8" t="n"/>
      <c r="N110" s="8" t="n"/>
      <c r="O110" s="8" t="n"/>
      <c r="P110" s="8" t="n"/>
      <c r="Q110" s="8" t="n"/>
      <c r="R110" s="8" t="n"/>
      <c r="S110" s="8" t="n"/>
    </row>
    <row r="111">
      <c r="B111" s="8">
        <f>IF(C111="","","EV-"&amp;TEXT(ROW()-5,"000"))</f>
        <v/>
      </c>
      <c r="C111" s="8" t="n"/>
      <c r="D111" s="8" t="n"/>
      <c r="E111" s="8" t="n"/>
      <c r="F111" s="8" t="n"/>
      <c r="G111" s="8" t="n"/>
      <c r="H111" s="8" t="n"/>
      <c r="I111" s="8" t="n"/>
      <c r="J111" s="8" t="n"/>
      <c r="K111" s="8" t="n"/>
      <c r="L111" s="8" t="n"/>
      <c r="M111" s="8" t="n"/>
      <c r="N111" s="8" t="n"/>
      <c r="O111" s="8" t="n"/>
      <c r="P111" s="8" t="n"/>
      <c r="Q111" s="8" t="n"/>
      <c r="R111" s="8" t="n"/>
      <c r="S111" s="8" t="n"/>
    </row>
    <row r="112">
      <c r="B112" s="8">
        <f>IF(C112="","","EV-"&amp;TEXT(ROW()-5,"000"))</f>
        <v/>
      </c>
      <c r="C112" s="8" t="n"/>
      <c r="D112" s="8" t="n"/>
      <c r="E112" s="8" t="n"/>
      <c r="F112" s="8" t="n"/>
      <c r="G112" s="8" t="n"/>
      <c r="H112" s="8" t="n"/>
      <c r="I112" s="8" t="n"/>
      <c r="J112" s="8" t="n"/>
      <c r="K112" s="8" t="n"/>
      <c r="L112" s="8" t="n"/>
      <c r="M112" s="8" t="n"/>
      <c r="N112" s="8" t="n"/>
      <c r="O112" s="8" t="n"/>
      <c r="P112" s="8" t="n"/>
      <c r="Q112" s="8" t="n"/>
      <c r="R112" s="8" t="n"/>
      <c r="S112" s="8" t="n"/>
    </row>
    <row r="113">
      <c r="B113" s="8">
        <f>IF(C113="","","EV-"&amp;TEXT(ROW()-5,"000"))</f>
        <v/>
      </c>
      <c r="C113" s="8" t="n"/>
      <c r="D113" s="8" t="n"/>
      <c r="E113" s="8" t="n"/>
      <c r="F113" s="8" t="n"/>
      <c r="G113" s="8" t="n"/>
      <c r="H113" s="8" t="n"/>
      <c r="I113" s="8" t="n"/>
      <c r="J113" s="8" t="n"/>
      <c r="K113" s="8" t="n"/>
      <c r="L113" s="8" t="n"/>
      <c r="M113" s="8" t="n"/>
      <c r="N113" s="8" t="n"/>
      <c r="O113" s="8" t="n"/>
      <c r="P113" s="8" t="n"/>
      <c r="Q113" s="8" t="n"/>
      <c r="R113" s="8" t="n"/>
      <c r="S113" s="8" t="n"/>
    </row>
    <row r="114">
      <c r="B114" s="8">
        <f>IF(C114="","","EV-"&amp;TEXT(ROW()-5,"000"))</f>
        <v/>
      </c>
      <c r="C114" s="8" t="n"/>
      <c r="D114" s="8" t="n"/>
      <c r="E114" s="8" t="n"/>
      <c r="F114" s="8" t="n"/>
      <c r="G114" s="8" t="n"/>
      <c r="H114" s="8" t="n"/>
      <c r="I114" s="8" t="n"/>
      <c r="J114" s="8" t="n"/>
      <c r="K114" s="8" t="n"/>
      <c r="L114" s="8" t="n"/>
      <c r="M114" s="8" t="n"/>
      <c r="N114" s="8" t="n"/>
      <c r="O114" s="8" t="n"/>
      <c r="P114" s="8" t="n"/>
      <c r="Q114" s="8" t="n"/>
      <c r="R114" s="8" t="n"/>
      <c r="S114" s="8" t="n"/>
    </row>
    <row r="115">
      <c r="B115" s="8">
        <f>IF(C115="","","EV-"&amp;TEXT(ROW()-5,"000"))</f>
        <v/>
      </c>
      <c r="C115" s="8" t="n"/>
      <c r="D115" s="8" t="n"/>
      <c r="E115" s="8" t="n"/>
      <c r="F115" s="8" t="n"/>
      <c r="G115" s="8" t="n"/>
      <c r="H115" s="8" t="n"/>
      <c r="I115" s="8" t="n"/>
      <c r="J115" s="8" t="n"/>
      <c r="K115" s="8" t="n"/>
      <c r="L115" s="8" t="n"/>
      <c r="M115" s="8" t="n"/>
      <c r="N115" s="8" t="n"/>
      <c r="O115" s="8" t="n"/>
      <c r="P115" s="8" t="n"/>
      <c r="Q115" s="8" t="n"/>
      <c r="R115" s="8" t="n"/>
      <c r="S115" s="8" t="n"/>
    </row>
    <row r="116">
      <c r="B116" s="8">
        <f>IF(C116="","","EV-"&amp;TEXT(ROW()-5,"000"))</f>
        <v/>
      </c>
      <c r="C116" s="8" t="n"/>
      <c r="D116" s="8" t="n"/>
      <c r="E116" s="8" t="n"/>
      <c r="F116" s="8" t="n"/>
      <c r="G116" s="8" t="n"/>
      <c r="H116" s="8" t="n"/>
      <c r="I116" s="8" t="n"/>
      <c r="J116" s="8" t="n"/>
      <c r="K116" s="8" t="n"/>
      <c r="L116" s="8" t="n"/>
      <c r="M116" s="8" t="n"/>
      <c r="N116" s="8" t="n"/>
      <c r="O116" s="8" t="n"/>
      <c r="P116" s="8" t="n"/>
      <c r="Q116" s="8" t="n"/>
      <c r="R116" s="8" t="n"/>
      <c r="S116" s="8" t="n"/>
    </row>
    <row r="117">
      <c r="B117" s="8">
        <f>IF(C117="","","EV-"&amp;TEXT(ROW()-5,"000"))</f>
        <v/>
      </c>
      <c r="C117" s="8" t="n"/>
      <c r="D117" s="8" t="n"/>
      <c r="E117" s="8" t="n"/>
      <c r="F117" s="8" t="n"/>
      <c r="G117" s="8" t="n"/>
      <c r="H117" s="8" t="n"/>
      <c r="I117" s="8" t="n"/>
      <c r="J117" s="8" t="n"/>
      <c r="K117" s="8" t="n"/>
      <c r="L117" s="8" t="n"/>
      <c r="M117" s="8" t="n"/>
      <c r="N117" s="8" t="n"/>
      <c r="O117" s="8" t="n"/>
      <c r="P117" s="8" t="n"/>
      <c r="Q117" s="8" t="n"/>
      <c r="R117" s="8" t="n"/>
      <c r="S117" s="8" t="n"/>
    </row>
    <row r="118">
      <c r="B118" s="8">
        <f>IF(C118="","","EV-"&amp;TEXT(ROW()-5,"000"))</f>
        <v/>
      </c>
      <c r="C118" s="8" t="n"/>
      <c r="D118" s="8" t="n"/>
      <c r="E118" s="8" t="n"/>
      <c r="F118" s="8" t="n"/>
      <c r="G118" s="8" t="n"/>
      <c r="H118" s="8" t="n"/>
      <c r="I118" s="8" t="n"/>
      <c r="J118" s="8" t="n"/>
      <c r="K118" s="8" t="n"/>
      <c r="L118" s="8" t="n"/>
      <c r="M118" s="8" t="n"/>
      <c r="N118" s="8" t="n"/>
      <c r="O118" s="8" t="n"/>
      <c r="P118" s="8" t="n"/>
      <c r="Q118" s="8" t="n"/>
      <c r="R118" s="8" t="n"/>
      <c r="S118" s="8" t="n"/>
    </row>
    <row r="119">
      <c r="B119" s="8">
        <f>IF(C119="","","EV-"&amp;TEXT(ROW()-5,"000"))</f>
        <v/>
      </c>
      <c r="C119" s="8" t="n"/>
      <c r="D119" s="8" t="n"/>
      <c r="E119" s="8" t="n"/>
      <c r="F119" s="8" t="n"/>
      <c r="G119" s="8" t="n"/>
      <c r="H119" s="8" t="n"/>
      <c r="I119" s="8" t="n"/>
      <c r="J119" s="8" t="n"/>
      <c r="K119" s="8" t="n"/>
      <c r="L119" s="8" t="n"/>
      <c r="M119" s="8" t="n"/>
      <c r="N119" s="8" t="n"/>
      <c r="O119" s="8" t="n"/>
      <c r="P119" s="8" t="n"/>
      <c r="Q119" s="8" t="n"/>
      <c r="R119" s="8" t="n"/>
      <c r="S119" s="8" t="n"/>
    </row>
    <row r="120">
      <c r="B120" s="8">
        <f>IF(C120="","","EV-"&amp;TEXT(ROW()-5,"000"))</f>
        <v/>
      </c>
      <c r="C120" s="8" t="n"/>
      <c r="D120" s="8" t="n"/>
      <c r="E120" s="8" t="n"/>
      <c r="F120" s="8" t="n"/>
      <c r="G120" s="8" t="n"/>
      <c r="H120" s="8" t="n"/>
      <c r="I120" s="8" t="n"/>
      <c r="J120" s="8" t="n"/>
      <c r="K120" s="8" t="n"/>
      <c r="L120" s="8" t="n"/>
      <c r="M120" s="8" t="n"/>
      <c r="N120" s="8" t="n"/>
      <c r="O120" s="8" t="n"/>
      <c r="P120" s="8" t="n"/>
      <c r="Q120" s="8" t="n"/>
      <c r="R120" s="8" t="n"/>
      <c r="S120" s="8" t="n"/>
    </row>
    <row r="121">
      <c r="B121" s="8">
        <f>IF(C121="","","EV-"&amp;TEXT(ROW()-5,"000"))</f>
        <v/>
      </c>
      <c r="C121" s="8" t="n"/>
      <c r="D121" s="8" t="n"/>
      <c r="E121" s="8" t="n"/>
      <c r="F121" s="8" t="n"/>
      <c r="G121" s="8" t="n"/>
      <c r="H121" s="8" t="n"/>
      <c r="I121" s="8" t="n"/>
      <c r="J121" s="8" t="n"/>
      <c r="K121" s="8" t="n"/>
      <c r="L121" s="8" t="n"/>
      <c r="M121" s="8" t="n"/>
      <c r="N121" s="8" t="n"/>
      <c r="O121" s="8" t="n"/>
      <c r="P121" s="8" t="n"/>
      <c r="Q121" s="8" t="n"/>
      <c r="R121" s="8" t="n"/>
      <c r="S121" s="8" t="n"/>
    </row>
    <row r="122">
      <c r="B122" s="8">
        <f>IF(C122="","","EV-"&amp;TEXT(ROW()-5,"000"))</f>
        <v/>
      </c>
      <c r="C122" s="8" t="n"/>
      <c r="D122" s="8" t="n"/>
      <c r="E122" s="8" t="n"/>
      <c r="F122" s="8" t="n"/>
      <c r="G122" s="8" t="n"/>
      <c r="H122" s="8" t="n"/>
      <c r="I122" s="8" t="n"/>
      <c r="J122" s="8" t="n"/>
      <c r="K122" s="8" t="n"/>
      <c r="L122" s="8" t="n"/>
      <c r="M122" s="8" t="n"/>
      <c r="N122" s="8" t="n"/>
      <c r="O122" s="8" t="n"/>
      <c r="P122" s="8" t="n"/>
      <c r="Q122" s="8" t="n"/>
      <c r="R122" s="8" t="n"/>
      <c r="S122" s="8" t="n"/>
    </row>
    <row r="123">
      <c r="B123" s="8">
        <f>IF(C123="","","EV-"&amp;TEXT(ROW()-5,"000"))</f>
        <v/>
      </c>
      <c r="C123" s="8" t="n"/>
      <c r="D123" s="8" t="n"/>
      <c r="E123" s="8" t="n"/>
      <c r="F123" s="8" t="n"/>
      <c r="G123" s="8" t="n"/>
      <c r="H123" s="8" t="n"/>
      <c r="I123" s="8" t="n"/>
      <c r="J123" s="8" t="n"/>
      <c r="K123" s="8" t="n"/>
      <c r="L123" s="8" t="n"/>
      <c r="M123" s="8" t="n"/>
      <c r="N123" s="8" t="n"/>
      <c r="O123" s="8" t="n"/>
      <c r="P123" s="8" t="n"/>
      <c r="Q123" s="8" t="n"/>
      <c r="R123" s="8" t="n"/>
      <c r="S123" s="8" t="n"/>
    </row>
    <row r="124">
      <c r="B124" s="8">
        <f>IF(C124="","","EV-"&amp;TEXT(ROW()-5,"000"))</f>
        <v/>
      </c>
      <c r="C124" s="8" t="n"/>
      <c r="D124" s="8" t="n"/>
      <c r="E124" s="8" t="n"/>
      <c r="F124" s="8" t="n"/>
      <c r="G124" s="8" t="n"/>
      <c r="H124" s="8" t="n"/>
      <c r="I124" s="8" t="n"/>
      <c r="J124" s="8" t="n"/>
      <c r="K124" s="8" t="n"/>
      <c r="L124" s="8" t="n"/>
      <c r="M124" s="8" t="n"/>
      <c r="N124" s="8" t="n"/>
      <c r="O124" s="8" t="n"/>
      <c r="P124" s="8" t="n"/>
      <c r="Q124" s="8" t="n"/>
      <c r="R124" s="8" t="n"/>
      <c r="S124" s="8" t="n"/>
    </row>
    <row r="125">
      <c r="B125" s="8">
        <f>IF(C125="","","EV-"&amp;TEXT(ROW()-5,"000"))</f>
        <v/>
      </c>
      <c r="C125" s="8" t="n"/>
      <c r="D125" s="8" t="n"/>
      <c r="E125" s="8" t="n"/>
      <c r="F125" s="8" t="n"/>
      <c r="G125" s="8" t="n"/>
      <c r="H125" s="8" t="n"/>
      <c r="I125" s="8" t="n"/>
      <c r="J125" s="8" t="n"/>
      <c r="K125" s="8" t="n"/>
      <c r="L125" s="8" t="n"/>
      <c r="M125" s="8" t="n"/>
      <c r="N125" s="8" t="n"/>
      <c r="O125" s="8" t="n"/>
      <c r="P125" s="8" t="n"/>
      <c r="Q125" s="8" t="n"/>
      <c r="R125" s="8" t="n"/>
      <c r="S125" s="8" t="n"/>
    </row>
    <row r="126">
      <c r="B126" s="8">
        <f>IF(C126="","","EV-"&amp;TEXT(ROW()-5,"000"))</f>
        <v/>
      </c>
      <c r="C126" s="8" t="n"/>
      <c r="D126" s="8" t="n"/>
      <c r="E126" s="8" t="n"/>
      <c r="F126" s="8" t="n"/>
      <c r="G126" s="8" t="n"/>
      <c r="H126" s="8" t="n"/>
      <c r="I126" s="8" t="n"/>
      <c r="J126" s="8" t="n"/>
      <c r="K126" s="8" t="n"/>
      <c r="L126" s="8" t="n"/>
      <c r="M126" s="8" t="n"/>
      <c r="N126" s="8" t="n"/>
      <c r="O126" s="8" t="n"/>
      <c r="P126" s="8" t="n"/>
      <c r="Q126" s="8" t="n"/>
      <c r="R126" s="8" t="n"/>
      <c r="S126" s="8" t="n"/>
    </row>
    <row r="127">
      <c r="B127" s="8">
        <f>IF(C127="","","EV-"&amp;TEXT(ROW()-5,"000"))</f>
        <v/>
      </c>
      <c r="C127" s="8" t="n"/>
      <c r="D127" s="8" t="n"/>
      <c r="E127" s="8" t="n"/>
      <c r="F127" s="8" t="n"/>
      <c r="G127" s="8" t="n"/>
      <c r="H127" s="8" t="n"/>
      <c r="I127" s="8" t="n"/>
      <c r="J127" s="8" t="n"/>
      <c r="K127" s="8" t="n"/>
      <c r="L127" s="8" t="n"/>
      <c r="M127" s="8" t="n"/>
      <c r="N127" s="8" t="n"/>
      <c r="O127" s="8" t="n"/>
      <c r="P127" s="8" t="n"/>
      <c r="Q127" s="8" t="n"/>
      <c r="R127" s="8" t="n"/>
      <c r="S127" s="8" t="n"/>
    </row>
    <row r="128">
      <c r="B128" s="8">
        <f>IF(C128="","","EV-"&amp;TEXT(ROW()-5,"000"))</f>
        <v/>
      </c>
      <c r="C128" s="8" t="n"/>
      <c r="D128" s="8" t="n"/>
      <c r="E128" s="8" t="n"/>
      <c r="F128" s="8" t="n"/>
      <c r="G128" s="8" t="n"/>
      <c r="H128" s="8" t="n"/>
      <c r="I128" s="8" t="n"/>
      <c r="J128" s="8" t="n"/>
      <c r="K128" s="8" t="n"/>
      <c r="L128" s="8" t="n"/>
      <c r="M128" s="8" t="n"/>
      <c r="N128" s="8" t="n"/>
      <c r="O128" s="8" t="n"/>
      <c r="P128" s="8" t="n"/>
      <c r="Q128" s="8" t="n"/>
      <c r="R128" s="8" t="n"/>
      <c r="S128" s="8" t="n"/>
    </row>
    <row r="129">
      <c r="B129" s="8">
        <f>IF(C129="","","EV-"&amp;TEXT(ROW()-5,"000"))</f>
        <v/>
      </c>
      <c r="C129" s="8" t="n"/>
      <c r="D129" s="8" t="n"/>
      <c r="E129" s="8" t="n"/>
      <c r="F129" s="8" t="n"/>
      <c r="G129" s="8" t="n"/>
      <c r="H129" s="8" t="n"/>
      <c r="I129" s="8" t="n"/>
      <c r="J129" s="8" t="n"/>
      <c r="K129" s="8" t="n"/>
      <c r="L129" s="8" t="n"/>
      <c r="M129" s="8" t="n"/>
      <c r="N129" s="8" t="n"/>
      <c r="O129" s="8" t="n"/>
      <c r="P129" s="8" t="n"/>
      <c r="Q129" s="8" t="n"/>
      <c r="R129" s="8" t="n"/>
      <c r="S129" s="8" t="n"/>
    </row>
    <row r="130">
      <c r="B130" s="8">
        <f>IF(C130="","","EV-"&amp;TEXT(ROW()-5,"000"))</f>
        <v/>
      </c>
      <c r="C130" s="8" t="n"/>
      <c r="D130" s="8" t="n"/>
      <c r="E130" s="8" t="n"/>
      <c r="F130" s="8" t="n"/>
      <c r="G130" s="8" t="n"/>
      <c r="H130" s="8" t="n"/>
      <c r="I130" s="8" t="n"/>
      <c r="J130" s="8" t="n"/>
      <c r="K130" s="8" t="n"/>
      <c r="L130" s="8" t="n"/>
      <c r="M130" s="8" t="n"/>
      <c r="N130" s="8" t="n"/>
      <c r="O130" s="8" t="n"/>
      <c r="P130" s="8" t="n"/>
      <c r="Q130" s="8" t="n"/>
      <c r="R130" s="8" t="n"/>
      <c r="S130" s="8" t="n"/>
    </row>
    <row r="131">
      <c r="B131" s="8">
        <f>IF(C131="","","EV-"&amp;TEXT(ROW()-5,"000"))</f>
        <v/>
      </c>
      <c r="C131" s="8" t="n"/>
      <c r="D131" s="8" t="n"/>
      <c r="E131" s="8" t="n"/>
      <c r="F131" s="8" t="n"/>
      <c r="G131" s="8" t="n"/>
      <c r="H131" s="8" t="n"/>
      <c r="I131" s="8" t="n"/>
      <c r="J131" s="8" t="n"/>
      <c r="K131" s="8" t="n"/>
      <c r="L131" s="8" t="n"/>
      <c r="M131" s="8" t="n"/>
      <c r="N131" s="8" t="n"/>
      <c r="O131" s="8" t="n"/>
      <c r="P131" s="8" t="n"/>
      <c r="Q131" s="8" t="n"/>
      <c r="R131" s="8" t="n"/>
      <c r="S131" s="8" t="n"/>
    </row>
    <row r="132">
      <c r="B132" s="8">
        <f>IF(C132="","","EV-"&amp;TEXT(ROW()-5,"000"))</f>
        <v/>
      </c>
      <c r="C132" s="8" t="n"/>
      <c r="D132" s="8" t="n"/>
      <c r="E132" s="8" t="n"/>
      <c r="F132" s="8" t="n"/>
      <c r="G132" s="8" t="n"/>
      <c r="H132" s="8" t="n"/>
      <c r="I132" s="8" t="n"/>
      <c r="J132" s="8" t="n"/>
      <c r="K132" s="8" t="n"/>
      <c r="L132" s="8" t="n"/>
      <c r="M132" s="8" t="n"/>
      <c r="N132" s="8" t="n"/>
      <c r="O132" s="8" t="n"/>
      <c r="P132" s="8" t="n"/>
      <c r="Q132" s="8" t="n"/>
      <c r="R132" s="8" t="n"/>
      <c r="S132" s="8" t="n"/>
    </row>
    <row r="133">
      <c r="B133" s="8">
        <f>IF(C133="","","EV-"&amp;TEXT(ROW()-5,"000"))</f>
        <v/>
      </c>
      <c r="C133" s="8" t="n"/>
      <c r="D133" s="8" t="n"/>
      <c r="E133" s="8" t="n"/>
      <c r="F133" s="8" t="n"/>
      <c r="G133" s="8" t="n"/>
      <c r="H133" s="8" t="n"/>
      <c r="I133" s="8" t="n"/>
      <c r="J133" s="8" t="n"/>
      <c r="K133" s="8" t="n"/>
      <c r="L133" s="8" t="n"/>
      <c r="M133" s="8" t="n"/>
      <c r="N133" s="8" t="n"/>
      <c r="O133" s="8" t="n"/>
      <c r="P133" s="8" t="n"/>
      <c r="Q133" s="8" t="n"/>
      <c r="R133" s="8" t="n"/>
      <c r="S133" s="8" t="n"/>
    </row>
    <row r="134">
      <c r="B134" s="8">
        <f>IF(C134="","","EV-"&amp;TEXT(ROW()-5,"000"))</f>
        <v/>
      </c>
      <c r="C134" s="8" t="n"/>
      <c r="D134" s="8" t="n"/>
      <c r="E134" s="8" t="n"/>
      <c r="F134" s="8" t="n"/>
      <c r="G134" s="8" t="n"/>
      <c r="H134" s="8" t="n"/>
      <c r="I134" s="8" t="n"/>
      <c r="J134" s="8" t="n"/>
      <c r="K134" s="8" t="n"/>
      <c r="L134" s="8" t="n"/>
      <c r="M134" s="8" t="n"/>
      <c r="N134" s="8" t="n"/>
      <c r="O134" s="8" t="n"/>
      <c r="P134" s="8" t="n"/>
      <c r="Q134" s="8" t="n"/>
      <c r="R134" s="8" t="n"/>
      <c r="S134" s="8" t="n"/>
    </row>
    <row r="135">
      <c r="B135" s="8">
        <f>IF(C135="","","EV-"&amp;TEXT(ROW()-5,"000"))</f>
        <v/>
      </c>
      <c r="C135" s="8" t="n"/>
      <c r="D135" s="8" t="n"/>
      <c r="E135" s="8" t="n"/>
      <c r="F135" s="8" t="n"/>
      <c r="G135" s="8" t="n"/>
      <c r="H135" s="8" t="n"/>
      <c r="I135" s="8" t="n"/>
      <c r="J135" s="8" t="n"/>
      <c r="K135" s="8" t="n"/>
      <c r="L135" s="8" t="n"/>
      <c r="M135" s="8" t="n"/>
      <c r="N135" s="8" t="n"/>
      <c r="O135" s="8" t="n"/>
      <c r="P135" s="8" t="n"/>
      <c r="Q135" s="8" t="n"/>
      <c r="R135" s="8" t="n"/>
      <c r="S135" s="8" t="n"/>
    </row>
    <row r="136">
      <c r="B136" s="8">
        <f>IF(C136="","","EV-"&amp;TEXT(ROW()-5,"000"))</f>
        <v/>
      </c>
      <c r="C136" s="8" t="n"/>
      <c r="D136" s="8" t="n"/>
      <c r="E136" s="8" t="n"/>
      <c r="F136" s="8" t="n"/>
      <c r="G136" s="8" t="n"/>
      <c r="H136" s="8" t="n"/>
      <c r="I136" s="8" t="n"/>
      <c r="J136" s="8" t="n"/>
      <c r="K136" s="8" t="n"/>
      <c r="L136" s="8" t="n"/>
      <c r="M136" s="8" t="n"/>
      <c r="N136" s="8" t="n"/>
      <c r="O136" s="8" t="n"/>
      <c r="P136" s="8" t="n"/>
      <c r="Q136" s="8" t="n"/>
      <c r="R136" s="8" t="n"/>
      <c r="S136" s="8" t="n"/>
    </row>
    <row r="137">
      <c r="B137" s="8">
        <f>IF(C137="","","EV-"&amp;TEXT(ROW()-5,"000"))</f>
        <v/>
      </c>
      <c r="C137" s="8" t="n"/>
      <c r="D137" s="8" t="n"/>
      <c r="E137" s="8" t="n"/>
      <c r="F137" s="8" t="n"/>
      <c r="G137" s="8" t="n"/>
      <c r="H137" s="8" t="n"/>
      <c r="I137" s="8" t="n"/>
      <c r="J137" s="8" t="n"/>
      <c r="K137" s="8" t="n"/>
      <c r="L137" s="8" t="n"/>
      <c r="M137" s="8" t="n"/>
      <c r="N137" s="8" t="n"/>
      <c r="O137" s="8" t="n"/>
      <c r="P137" s="8" t="n"/>
      <c r="Q137" s="8" t="n"/>
      <c r="R137" s="8" t="n"/>
      <c r="S137" s="8" t="n"/>
    </row>
    <row r="138">
      <c r="B138" s="8">
        <f>IF(C138="","","EV-"&amp;TEXT(ROW()-5,"000"))</f>
        <v/>
      </c>
      <c r="C138" s="8" t="n"/>
      <c r="D138" s="8" t="n"/>
      <c r="E138" s="8" t="n"/>
      <c r="F138" s="8" t="n"/>
      <c r="G138" s="8" t="n"/>
      <c r="H138" s="8" t="n"/>
      <c r="I138" s="8" t="n"/>
      <c r="J138" s="8" t="n"/>
      <c r="K138" s="8" t="n"/>
      <c r="L138" s="8" t="n"/>
      <c r="M138" s="8" t="n"/>
      <c r="N138" s="8" t="n"/>
      <c r="O138" s="8" t="n"/>
      <c r="P138" s="8" t="n"/>
      <c r="Q138" s="8" t="n"/>
      <c r="R138" s="8" t="n"/>
      <c r="S138" s="8" t="n"/>
    </row>
    <row r="139">
      <c r="B139" s="8">
        <f>IF(C139="","","EV-"&amp;TEXT(ROW()-5,"000"))</f>
        <v/>
      </c>
      <c r="C139" s="8" t="n"/>
      <c r="D139" s="8" t="n"/>
      <c r="E139" s="8" t="n"/>
      <c r="F139" s="8" t="n"/>
      <c r="G139" s="8" t="n"/>
      <c r="H139" s="8" t="n"/>
      <c r="I139" s="8" t="n"/>
      <c r="J139" s="8" t="n"/>
      <c r="K139" s="8" t="n"/>
      <c r="L139" s="8" t="n"/>
      <c r="M139" s="8" t="n"/>
      <c r="N139" s="8" t="n"/>
      <c r="O139" s="8" t="n"/>
      <c r="P139" s="8" t="n"/>
      <c r="Q139" s="8" t="n"/>
      <c r="R139" s="8" t="n"/>
      <c r="S139" s="8" t="n"/>
    </row>
    <row r="140">
      <c r="B140" s="8">
        <f>IF(C140="","","EV-"&amp;TEXT(ROW()-5,"000"))</f>
        <v/>
      </c>
      <c r="C140" s="8" t="n"/>
      <c r="D140" s="8" t="n"/>
      <c r="E140" s="8" t="n"/>
      <c r="F140" s="8" t="n"/>
      <c r="G140" s="8" t="n"/>
      <c r="H140" s="8" t="n"/>
      <c r="I140" s="8" t="n"/>
      <c r="J140" s="8" t="n"/>
      <c r="K140" s="8" t="n"/>
      <c r="L140" s="8" t="n"/>
      <c r="M140" s="8" t="n"/>
      <c r="N140" s="8" t="n"/>
      <c r="O140" s="8" t="n"/>
      <c r="P140" s="8" t="n"/>
      <c r="Q140" s="8" t="n"/>
      <c r="R140" s="8" t="n"/>
      <c r="S140" s="8" t="n"/>
    </row>
    <row r="141">
      <c r="B141" s="8">
        <f>IF(C141="","","EV-"&amp;TEXT(ROW()-5,"000"))</f>
        <v/>
      </c>
      <c r="C141" s="8" t="n"/>
      <c r="D141" s="8" t="n"/>
      <c r="E141" s="8" t="n"/>
      <c r="F141" s="8" t="n"/>
      <c r="G141" s="8" t="n"/>
      <c r="H141" s="8" t="n"/>
      <c r="I141" s="8" t="n"/>
      <c r="J141" s="8" t="n"/>
      <c r="K141" s="8" t="n"/>
      <c r="L141" s="8" t="n"/>
      <c r="M141" s="8" t="n"/>
      <c r="N141" s="8" t="n"/>
      <c r="O141" s="8" t="n"/>
      <c r="P141" s="8" t="n"/>
      <c r="Q141" s="8" t="n"/>
      <c r="R141" s="8" t="n"/>
      <c r="S141" s="8" t="n"/>
    </row>
    <row r="142">
      <c r="B142" s="8">
        <f>IF(C142="","","EV-"&amp;TEXT(ROW()-5,"000"))</f>
        <v/>
      </c>
      <c r="C142" s="8" t="n"/>
      <c r="D142" s="8" t="n"/>
      <c r="E142" s="8" t="n"/>
      <c r="F142" s="8" t="n"/>
      <c r="G142" s="8" t="n"/>
      <c r="H142" s="8" t="n"/>
      <c r="I142" s="8" t="n"/>
      <c r="J142" s="8" t="n"/>
      <c r="K142" s="8" t="n"/>
      <c r="L142" s="8" t="n"/>
      <c r="M142" s="8" t="n"/>
      <c r="N142" s="8" t="n"/>
      <c r="O142" s="8" t="n"/>
      <c r="P142" s="8" t="n"/>
      <c r="Q142" s="8" t="n"/>
      <c r="R142" s="8" t="n"/>
      <c r="S142" s="8" t="n"/>
    </row>
    <row r="143">
      <c r="B143" s="8">
        <f>IF(C143="","","EV-"&amp;TEXT(ROW()-5,"000"))</f>
        <v/>
      </c>
      <c r="C143" s="8" t="n"/>
      <c r="D143" s="8" t="n"/>
      <c r="E143" s="8" t="n"/>
      <c r="F143" s="8" t="n"/>
      <c r="G143" s="8" t="n"/>
      <c r="H143" s="8" t="n"/>
      <c r="I143" s="8" t="n"/>
      <c r="J143" s="8" t="n"/>
      <c r="K143" s="8" t="n"/>
      <c r="L143" s="8" t="n"/>
      <c r="M143" s="8" t="n"/>
      <c r="N143" s="8" t="n"/>
      <c r="O143" s="8" t="n"/>
      <c r="P143" s="8" t="n"/>
      <c r="Q143" s="8" t="n"/>
      <c r="R143" s="8" t="n"/>
      <c r="S143" s="8" t="n"/>
    </row>
    <row r="144">
      <c r="B144" s="8">
        <f>IF(C144="","","EV-"&amp;TEXT(ROW()-5,"000"))</f>
        <v/>
      </c>
      <c r="C144" s="8" t="n"/>
      <c r="D144" s="8" t="n"/>
      <c r="E144" s="8" t="n"/>
      <c r="F144" s="8" t="n"/>
      <c r="G144" s="8" t="n"/>
      <c r="H144" s="8" t="n"/>
      <c r="I144" s="8" t="n"/>
      <c r="J144" s="8" t="n"/>
      <c r="K144" s="8" t="n"/>
      <c r="L144" s="8" t="n"/>
      <c r="M144" s="8" t="n"/>
      <c r="N144" s="8" t="n"/>
      <c r="O144" s="8" t="n"/>
      <c r="P144" s="8" t="n"/>
      <c r="Q144" s="8" t="n"/>
      <c r="R144" s="8" t="n"/>
      <c r="S144" s="8" t="n"/>
    </row>
    <row r="145">
      <c r="B145" s="8">
        <f>IF(C145="","","EV-"&amp;TEXT(ROW()-5,"000"))</f>
        <v/>
      </c>
      <c r="C145" s="8" t="n"/>
      <c r="D145" s="8" t="n"/>
      <c r="E145" s="8" t="n"/>
      <c r="F145" s="8" t="n"/>
      <c r="G145" s="8" t="n"/>
      <c r="H145" s="8" t="n"/>
      <c r="I145" s="8" t="n"/>
      <c r="J145" s="8" t="n"/>
      <c r="K145" s="8" t="n"/>
      <c r="L145" s="8" t="n"/>
      <c r="M145" s="8" t="n"/>
      <c r="N145" s="8" t="n"/>
      <c r="O145" s="8" t="n"/>
      <c r="P145" s="8" t="n"/>
      <c r="Q145" s="8" t="n"/>
      <c r="R145" s="8" t="n"/>
      <c r="S145" s="8" t="n"/>
    </row>
    <row r="146">
      <c r="B146" s="8">
        <f>IF(C146="","","EV-"&amp;TEXT(ROW()-5,"000"))</f>
        <v/>
      </c>
      <c r="C146" s="8" t="n"/>
      <c r="D146" s="8" t="n"/>
      <c r="E146" s="8" t="n"/>
      <c r="F146" s="8" t="n"/>
      <c r="G146" s="8" t="n"/>
      <c r="H146" s="8" t="n"/>
      <c r="I146" s="8" t="n"/>
      <c r="J146" s="8" t="n"/>
      <c r="K146" s="8" t="n"/>
      <c r="L146" s="8" t="n"/>
      <c r="M146" s="8" t="n"/>
      <c r="N146" s="8" t="n"/>
      <c r="O146" s="8" t="n"/>
      <c r="P146" s="8" t="n"/>
      <c r="Q146" s="8" t="n"/>
      <c r="R146" s="8" t="n"/>
      <c r="S146" s="8" t="n"/>
    </row>
    <row r="147">
      <c r="B147" s="8">
        <f>IF(C147="","","EV-"&amp;TEXT(ROW()-5,"000"))</f>
        <v/>
      </c>
      <c r="C147" s="8" t="n"/>
      <c r="D147" s="8" t="n"/>
      <c r="E147" s="8" t="n"/>
      <c r="F147" s="8" t="n"/>
      <c r="G147" s="8" t="n"/>
      <c r="H147" s="8" t="n"/>
      <c r="I147" s="8" t="n"/>
      <c r="J147" s="8" t="n"/>
      <c r="K147" s="8" t="n"/>
      <c r="L147" s="8" t="n"/>
      <c r="M147" s="8" t="n"/>
      <c r="N147" s="8" t="n"/>
      <c r="O147" s="8" t="n"/>
      <c r="P147" s="8" t="n"/>
      <c r="Q147" s="8" t="n"/>
      <c r="R147" s="8" t="n"/>
      <c r="S147" s="8" t="n"/>
    </row>
    <row r="148">
      <c r="B148" s="8">
        <f>IF(C148="","","EV-"&amp;TEXT(ROW()-5,"000"))</f>
        <v/>
      </c>
      <c r="C148" s="8" t="n"/>
      <c r="D148" s="8" t="n"/>
      <c r="E148" s="8" t="n"/>
      <c r="F148" s="8" t="n"/>
      <c r="G148" s="8" t="n"/>
      <c r="H148" s="8" t="n"/>
      <c r="I148" s="8" t="n"/>
      <c r="J148" s="8" t="n"/>
      <c r="K148" s="8" t="n"/>
      <c r="L148" s="8" t="n"/>
      <c r="M148" s="8" t="n"/>
      <c r="N148" s="8" t="n"/>
      <c r="O148" s="8" t="n"/>
      <c r="P148" s="8" t="n"/>
      <c r="Q148" s="8" t="n"/>
      <c r="R148" s="8" t="n"/>
      <c r="S148" s="8" t="n"/>
    </row>
    <row r="149">
      <c r="B149" s="8">
        <f>IF(C149="","","EV-"&amp;TEXT(ROW()-5,"000"))</f>
        <v/>
      </c>
      <c r="C149" s="8" t="n"/>
      <c r="D149" s="8" t="n"/>
      <c r="E149" s="8" t="n"/>
      <c r="F149" s="8" t="n"/>
      <c r="G149" s="8" t="n"/>
      <c r="H149" s="8" t="n"/>
      <c r="I149" s="8" t="n"/>
      <c r="J149" s="8" t="n"/>
      <c r="K149" s="8" t="n"/>
      <c r="L149" s="8" t="n"/>
      <c r="M149" s="8" t="n"/>
      <c r="N149" s="8" t="n"/>
      <c r="O149" s="8" t="n"/>
      <c r="P149" s="8" t="n"/>
      <c r="Q149" s="8" t="n"/>
      <c r="R149" s="8" t="n"/>
      <c r="S149" s="8" t="n"/>
    </row>
    <row r="150">
      <c r="B150" s="8">
        <f>IF(C150="","","EV-"&amp;TEXT(ROW()-5,"000"))</f>
        <v/>
      </c>
      <c r="C150" s="8" t="n"/>
      <c r="D150" s="8" t="n"/>
      <c r="E150" s="8" t="n"/>
      <c r="F150" s="8" t="n"/>
      <c r="G150" s="8" t="n"/>
      <c r="H150" s="8" t="n"/>
      <c r="I150" s="8" t="n"/>
      <c r="J150" s="8" t="n"/>
      <c r="K150" s="8" t="n"/>
      <c r="L150" s="8" t="n"/>
      <c r="M150" s="8" t="n"/>
      <c r="N150" s="8" t="n"/>
      <c r="O150" s="8" t="n"/>
      <c r="P150" s="8" t="n"/>
      <c r="Q150" s="8" t="n"/>
      <c r="R150" s="8" t="n"/>
      <c r="S150" s="8" t="n"/>
    </row>
    <row r="151">
      <c r="B151" s="8">
        <f>IF(C151="","","EV-"&amp;TEXT(ROW()-5,"000"))</f>
        <v/>
      </c>
      <c r="C151" s="8" t="n"/>
      <c r="D151" s="8" t="n"/>
      <c r="E151" s="8" t="n"/>
      <c r="F151" s="8" t="n"/>
      <c r="G151" s="8" t="n"/>
      <c r="H151" s="8" t="n"/>
      <c r="I151" s="8" t="n"/>
      <c r="J151" s="8" t="n"/>
      <c r="K151" s="8" t="n"/>
      <c r="L151" s="8" t="n"/>
      <c r="M151" s="8" t="n"/>
      <c r="N151" s="8" t="n"/>
      <c r="O151" s="8" t="n"/>
      <c r="P151" s="8" t="n"/>
      <c r="Q151" s="8" t="n"/>
      <c r="R151" s="8" t="n"/>
      <c r="S151" s="8" t="n"/>
    </row>
    <row r="152">
      <c r="B152" s="8">
        <f>IF(C152="","","EV-"&amp;TEXT(ROW()-5,"000"))</f>
        <v/>
      </c>
      <c r="C152" s="8" t="n"/>
      <c r="D152" s="8" t="n"/>
      <c r="E152" s="8" t="n"/>
      <c r="F152" s="8" t="n"/>
      <c r="G152" s="8" t="n"/>
      <c r="H152" s="8" t="n"/>
      <c r="I152" s="8" t="n"/>
      <c r="J152" s="8" t="n"/>
      <c r="K152" s="8" t="n"/>
      <c r="L152" s="8" t="n"/>
      <c r="M152" s="8" t="n"/>
      <c r="N152" s="8" t="n"/>
      <c r="O152" s="8" t="n"/>
      <c r="P152" s="8" t="n"/>
      <c r="Q152" s="8" t="n"/>
      <c r="R152" s="8" t="n"/>
      <c r="S152" s="8" t="n"/>
    </row>
    <row r="153">
      <c r="B153" s="8">
        <f>IF(C153="","","EV-"&amp;TEXT(ROW()-5,"000"))</f>
        <v/>
      </c>
      <c r="C153" s="8" t="n"/>
      <c r="D153" s="8" t="n"/>
      <c r="E153" s="8" t="n"/>
      <c r="F153" s="8" t="n"/>
      <c r="G153" s="8" t="n"/>
      <c r="H153" s="8" t="n"/>
      <c r="I153" s="8" t="n"/>
      <c r="J153" s="8" t="n"/>
      <c r="K153" s="8" t="n"/>
      <c r="L153" s="8" t="n"/>
      <c r="M153" s="8" t="n"/>
      <c r="N153" s="8" t="n"/>
      <c r="O153" s="8" t="n"/>
      <c r="P153" s="8" t="n"/>
      <c r="Q153" s="8" t="n"/>
      <c r="R153" s="8" t="n"/>
      <c r="S153" s="8" t="n"/>
    </row>
    <row r="154">
      <c r="B154" s="8">
        <f>IF(C154="","","EV-"&amp;TEXT(ROW()-5,"000"))</f>
        <v/>
      </c>
      <c r="C154" s="8" t="n"/>
      <c r="D154" s="8" t="n"/>
      <c r="E154" s="8" t="n"/>
      <c r="F154" s="8" t="n"/>
      <c r="G154" s="8" t="n"/>
      <c r="H154" s="8" t="n"/>
      <c r="I154" s="8" t="n"/>
      <c r="J154" s="8" t="n"/>
      <c r="K154" s="8" t="n"/>
      <c r="L154" s="8" t="n"/>
      <c r="M154" s="8" t="n"/>
      <c r="N154" s="8" t="n"/>
      <c r="O154" s="8" t="n"/>
      <c r="P154" s="8" t="n"/>
      <c r="Q154" s="8" t="n"/>
      <c r="R154" s="8" t="n"/>
      <c r="S154" s="8" t="n"/>
    </row>
    <row r="155">
      <c r="B155" s="8">
        <f>IF(C155="","","EV-"&amp;TEXT(ROW()-5,"000"))</f>
        <v/>
      </c>
      <c r="C155" s="8" t="n"/>
      <c r="D155" s="8" t="n"/>
      <c r="E155" s="8" t="n"/>
      <c r="F155" s="8" t="n"/>
      <c r="G155" s="8" t="n"/>
      <c r="H155" s="8" t="n"/>
      <c r="I155" s="8" t="n"/>
      <c r="J155" s="8" t="n"/>
      <c r="K155" s="8" t="n"/>
      <c r="L155" s="8" t="n"/>
      <c r="M155" s="8" t="n"/>
      <c r="N155" s="8" t="n"/>
      <c r="O155" s="8" t="n"/>
      <c r="P155" s="8" t="n"/>
      <c r="Q155" s="8" t="n"/>
      <c r="R155" s="8" t="n"/>
      <c r="S155" s="8" t="n"/>
    </row>
    <row r="156">
      <c r="B156" s="8">
        <f>IF(C156="","","EV-"&amp;TEXT(ROW()-5,"000"))</f>
        <v/>
      </c>
      <c r="C156" s="8" t="n"/>
      <c r="D156" s="8" t="n"/>
      <c r="E156" s="8" t="n"/>
      <c r="F156" s="8" t="n"/>
      <c r="G156" s="8" t="n"/>
      <c r="H156" s="8" t="n"/>
      <c r="I156" s="8" t="n"/>
      <c r="J156" s="8" t="n"/>
      <c r="K156" s="8" t="n"/>
      <c r="L156" s="8" t="n"/>
      <c r="M156" s="8" t="n"/>
      <c r="N156" s="8" t="n"/>
      <c r="O156" s="8" t="n"/>
      <c r="P156" s="8" t="n"/>
      <c r="Q156" s="8" t="n"/>
      <c r="R156" s="8" t="n"/>
      <c r="S156" s="8" t="n"/>
    </row>
    <row r="157">
      <c r="B157" s="8">
        <f>IF(C157="","","EV-"&amp;TEXT(ROW()-5,"000"))</f>
        <v/>
      </c>
      <c r="C157" s="8" t="n"/>
      <c r="D157" s="8" t="n"/>
      <c r="E157" s="8" t="n"/>
      <c r="F157" s="8" t="n"/>
      <c r="G157" s="8" t="n"/>
      <c r="H157" s="8" t="n"/>
      <c r="I157" s="8" t="n"/>
      <c r="J157" s="8" t="n"/>
      <c r="K157" s="8" t="n"/>
      <c r="L157" s="8" t="n"/>
      <c r="M157" s="8" t="n"/>
      <c r="N157" s="8" t="n"/>
      <c r="O157" s="8" t="n"/>
      <c r="P157" s="8" t="n"/>
      <c r="Q157" s="8" t="n"/>
      <c r="R157" s="8" t="n"/>
      <c r="S157" s="8" t="n"/>
    </row>
    <row r="158">
      <c r="B158" s="8">
        <f>IF(C158="","","EV-"&amp;TEXT(ROW()-5,"000"))</f>
        <v/>
      </c>
      <c r="C158" s="8" t="n"/>
      <c r="D158" s="8" t="n"/>
      <c r="E158" s="8" t="n"/>
      <c r="F158" s="8" t="n"/>
      <c r="G158" s="8" t="n"/>
      <c r="H158" s="8" t="n"/>
      <c r="I158" s="8" t="n"/>
      <c r="J158" s="8" t="n"/>
      <c r="K158" s="8" t="n"/>
      <c r="L158" s="8" t="n"/>
      <c r="M158" s="8" t="n"/>
      <c r="N158" s="8" t="n"/>
      <c r="O158" s="8" t="n"/>
      <c r="P158" s="8" t="n"/>
      <c r="Q158" s="8" t="n"/>
      <c r="R158" s="8" t="n"/>
      <c r="S158" s="8" t="n"/>
    </row>
    <row r="159">
      <c r="B159" s="8">
        <f>IF(C159="","","EV-"&amp;TEXT(ROW()-5,"000"))</f>
        <v/>
      </c>
      <c r="C159" s="8" t="n"/>
      <c r="D159" s="8" t="n"/>
      <c r="E159" s="8" t="n"/>
      <c r="F159" s="8" t="n"/>
      <c r="G159" s="8" t="n"/>
      <c r="H159" s="8" t="n"/>
      <c r="I159" s="8" t="n"/>
      <c r="J159" s="8" t="n"/>
      <c r="K159" s="8" t="n"/>
      <c r="L159" s="8" t="n"/>
      <c r="M159" s="8" t="n"/>
      <c r="N159" s="8" t="n"/>
      <c r="O159" s="8" t="n"/>
      <c r="P159" s="8" t="n"/>
      <c r="Q159" s="8" t="n"/>
      <c r="R159" s="8" t="n"/>
      <c r="S159" s="8" t="n"/>
    </row>
    <row r="160">
      <c r="B160" s="8">
        <f>IF(C160="","","EV-"&amp;TEXT(ROW()-5,"000"))</f>
        <v/>
      </c>
      <c r="C160" s="8" t="n"/>
      <c r="D160" s="8" t="n"/>
      <c r="E160" s="8" t="n"/>
      <c r="F160" s="8" t="n"/>
      <c r="G160" s="8" t="n"/>
      <c r="H160" s="8" t="n"/>
      <c r="I160" s="8" t="n"/>
      <c r="J160" s="8" t="n"/>
      <c r="K160" s="8" t="n"/>
      <c r="L160" s="8" t="n"/>
      <c r="M160" s="8" t="n"/>
      <c r="N160" s="8" t="n"/>
      <c r="O160" s="8" t="n"/>
      <c r="P160" s="8" t="n"/>
      <c r="Q160" s="8" t="n"/>
      <c r="R160" s="8" t="n"/>
      <c r="S160" s="8" t="n"/>
    </row>
    <row r="161">
      <c r="B161" s="8">
        <f>IF(C161="","","EV-"&amp;TEXT(ROW()-5,"000"))</f>
        <v/>
      </c>
      <c r="C161" s="8" t="n"/>
      <c r="D161" s="8" t="n"/>
      <c r="E161" s="8" t="n"/>
      <c r="F161" s="8" t="n"/>
      <c r="G161" s="8" t="n"/>
      <c r="H161" s="8" t="n"/>
      <c r="I161" s="8" t="n"/>
      <c r="J161" s="8" t="n"/>
      <c r="K161" s="8" t="n"/>
      <c r="L161" s="8" t="n"/>
      <c r="M161" s="8" t="n"/>
      <c r="N161" s="8" t="n"/>
      <c r="O161" s="8" t="n"/>
      <c r="P161" s="8" t="n"/>
      <c r="Q161" s="8" t="n"/>
      <c r="R161" s="8" t="n"/>
      <c r="S161" s="8" t="n"/>
    </row>
    <row r="162">
      <c r="B162" s="8">
        <f>IF(C162="","","EV-"&amp;TEXT(ROW()-5,"000"))</f>
        <v/>
      </c>
      <c r="C162" s="8" t="n"/>
      <c r="D162" s="8" t="n"/>
      <c r="E162" s="8" t="n"/>
      <c r="F162" s="8" t="n"/>
      <c r="G162" s="8" t="n"/>
      <c r="H162" s="8" t="n"/>
      <c r="I162" s="8" t="n"/>
      <c r="J162" s="8" t="n"/>
      <c r="K162" s="8" t="n"/>
      <c r="L162" s="8" t="n"/>
      <c r="M162" s="8" t="n"/>
      <c r="N162" s="8" t="n"/>
      <c r="O162" s="8" t="n"/>
      <c r="P162" s="8" t="n"/>
      <c r="Q162" s="8" t="n"/>
      <c r="R162" s="8" t="n"/>
      <c r="S162" s="8" t="n"/>
    </row>
    <row r="163">
      <c r="B163" s="8">
        <f>IF(C163="","","EV-"&amp;TEXT(ROW()-5,"000"))</f>
        <v/>
      </c>
      <c r="C163" s="8" t="n"/>
      <c r="D163" s="8" t="n"/>
      <c r="E163" s="8" t="n"/>
      <c r="F163" s="8" t="n"/>
      <c r="G163" s="8" t="n"/>
      <c r="H163" s="8" t="n"/>
      <c r="I163" s="8" t="n"/>
      <c r="J163" s="8" t="n"/>
      <c r="K163" s="8" t="n"/>
      <c r="L163" s="8" t="n"/>
      <c r="M163" s="8" t="n"/>
      <c r="N163" s="8" t="n"/>
      <c r="O163" s="8" t="n"/>
      <c r="P163" s="8" t="n"/>
      <c r="Q163" s="8" t="n"/>
      <c r="R163" s="8" t="n"/>
      <c r="S163" s="8" t="n"/>
    </row>
    <row r="164">
      <c r="B164" s="8">
        <f>IF(C164="","","EV-"&amp;TEXT(ROW()-5,"000"))</f>
        <v/>
      </c>
      <c r="C164" s="8" t="n"/>
      <c r="D164" s="8" t="n"/>
      <c r="E164" s="8" t="n"/>
      <c r="F164" s="8" t="n"/>
      <c r="G164" s="8" t="n"/>
      <c r="H164" s="8" t="n"/>
      <c r="I164" s="8" t="n"/>
      <c r="J164" s="8" t="n"/>
      <c r="K164" s="8" t="n"/>
      <c r="L164" s="8" t="n"/>
      <c r="M164" s="8" t="n"/>
      <c r="N164" s="8" t="n"/>
      <c r="O164" s="8" t="n"/>
      <c r="P164" s="8" t="n"/>
      <c r="Q164" s="8" t="n"/>
      <c r="R164" s="8" t="n"/>
      <c r="S164" s="8" t="n"/>
    </row>
    <row r="165">
      <c r="B165" s="8">
        <f>IF(C165="","","EV-"&amp;TEXT(ROW()-5,"000"))</f>
        <v/>
      </c>
      <c r="C165" s="8" t="n"/>
      <c r="D165" s="8" t="n"/>
      <c r="E165" s="8" t="n"/>
      <c r="F165" s="8" t="n"/>
      <c r="G165" s="8" t="n"/>
      <c r="H165" s="8" t="n"/>
      <c r="I165" s="8" t="n"/>
      <c r="J165" s="8" t="n"/>
      <c r="K165" s="8" t="n"/>
      <c r="L165" s="8" t="n"/>
      <c r="M165" s="8" t="n"/>
      <c r="N165" s="8" t="n"/>
      <c r="O165" s="8" t="n"/>
      <c r="P165" s="8" t="n"/>
      <c r="Q165" s="8" t="n"/>
      <c r="R165" s="8" t="n"/>
      <c r="S165" s="8" t="n"/>
    </row>
    <row r="166">
      <c r="B166" s="8">
        <f>IF(C166="","","EV-"&amp;TEXT(ROW()-5,"000"))</f>
        <v/>
      </c>
      <c r="C166" s="8" t="n"/>
      <c r="D166" s="8" t="n"/>
      <c r="E166" s="8" t="n"/>
      <c r="F166" s="8" t="n"/>
      <c r="G166" s="8" t="n"/>
      <c r="H166" s="8" t="n"/>
      <c r="I166" s="8" t="n"/>
      <c r="J166" s="8" t="n"/>
      <c r="K166" s="8" t="n"/>
      <c r="L166" s="8" t="n"/>
      <c r="M166" s="8" t="n"/>
      <c r="N166" s="8" t="n"/>
      <c r="O166" s="8" t="n"/>
      <c r="P166" s="8" t="n"/>
      <c r="Q166" s="8" t="n"/>
      <c r="R166" s="8" t="n"/>
      <c r="S166" s="8" t="n"/>
    </row>
    <row r="167">
      <c r="B167" s="8">
        <f>IF(C167="","","EV-"&amp;TEXT(ROW()-5,"000"))</f>
        <v/>
      </c>
      <c r="C167" s="8" t="n"/>
      <c r="D167" s="8" t="n"/>
      <c r="E167" s="8" t="n"/>
      <c r="F167" s="8" t="n"/>
      <c r="G167" s="8" t="n"/>
      <c r="H167" s="8" t="n"/>
      <c r="I167" s="8" t="n"/>
      <c r="J167" s="8" t="n"/>
      <c r="K167" s="8" t="n"/>
      <c r="L167" s="8" t="n"/>
      <c r="M167" s="8" t="n"/>
      <c r="N167" s="8" t="n"/>
      <c r="O167" s="8" t="n"/>
      <c r="P167" s="8" t="n"/>
      <c r="Q167" s="8" t="n"/>
      <c r="R167" s="8" t="n"/>
      <c r="S167" s="8" t="n"/>
    </row>
    <row r="168">
      <c r="B168" s="8">
        <f>IF(C168="","","EV-"&amp;TEXT(ROW()-5,"000"))</f>
        <v/>
      </c>
      <c r="C168" s="8" t="n"/>
      <c r="D168" s="8" t="n"/>
      <c r="E168" s="8" t="n"/>
      <c r="F168" s="8" t="n"/>
      <c r="G168" s="8" t="n"/>
      <c r="H168" s="8" t="n"/>
      <c r="I168" s="8" t="n"/>
      <c r="J168" s="8" t="n"/>
      <c r="K168" s="8" t="n"/>
      <c r="L168" s="8" t="n"/>
      <c r="M168" s="8" t="n"/>
      <c r="N168" s="8" t="n"/>
      <c r="O168" s="8" t="n"/>
      <c r="P168" s="8" t="n"/>
      <c r="Q168" s="8" t="n"/>
      <c r="R168" s="8" t="n"/>
      <c r="S168" s="8" t="n"/>
    </row>
    <row r="169">
      <c r="B169" s="8">
        <f>IF(C169="","","EV-"&amp;TEXT(ROW()-5,"000"))</f>
        <v/>
      </c>
      <c r="C169" s="8" t="n"/>
      <c r="D169" s="8" t="n"/>
      <c r="E169" s="8" t="n"/>
      <c r="F169" s="8" t="n"/>
      <c r="G169" s="8" t="n"/>
      <c r="H169" s="8" t="n"/>
      <c r="I169" s="8" t="n"/>
      <c r="J169" s="8" t="n"/>
      <c r="K169" s="8" t="n"/>
      <c r="L169" s="8" t="n"/>
      <c r="M169" s="8" t="n"/>
      <c r="N169" s="8" t="n"/>
      <c r="O169" s="8" t="n"/>
      <c r="P169" s="8" t="n"/>
      <c r="Q169" s="8" t="n"/>
      <c r="R169" s="8" t="n"/>
      <c r="S169" s="8" t="n"/>
    </row>
    <row r="170">
      <c r="B170" s="8">
        <f>IF(C170="","","EV-"&amp;TEXT(ROW()-5,"000"))</f>
        <v/>
      </c>
      <c r="C170" s="8" t="n"/>
      <c r="D170" s="8" t="n"/>
      <c r="E170" s="8" t="n"/>
      <c r="F170" s="8" t="n"/>
      <c r="G170" s="8" t="n"/>
      <c r="H170" s="8" t="n"/>
      <c r="I170" s="8" t="n"/>
      <c r="J170" s="8" t="n"/>
      <c r="K170" s="8" t="n"/>
      <c r="L170" s="8" t="n"/>
      <c r="M170" s="8" t="n"/>
      <c r="N170" s="8" t="n"/>
      <c r="O170" s="8" t="n"/>
      <c r="P170" s="8" t="n"/>
      <c r="Q170" s="8" t="n"/>
      <c r="R170" s="8" t="n"/>
      <c r="S170" s="8" t="n"/>
    </row>
    <row r="171">
      <c r="B171" s="8">
        <f>IF(C171="","","EV-"&amp;TEXT(ROW()-5,"000"))</f>
        <v/>
      </c>
      <c r="C171" s="8" t="n"/>
      <c r="D171" s="8" t="n"/>
      <c r="E171" s="8" t="n"/>
      <c r="F171" s="8" t="n"/>
      <c r="G171" s="8" t="n"/>
      <c r="H171" s="8" t="n"/>
      <c r="I171" s="8" t="n"/>
      <c r="J171" s="8" t="n"/>
      <c r="K171" s="8" t="n"/>
      <c r="L171" s="8" t="n"/>
      <c r="M171" s="8" t="n"/>
      <c r="N171" s="8" t="n"/>
      <c r="O171" s="8" t="n"/>
      <c r="P171" s="8" t="n"/>
      <c r="Q171" s="8" t="n"/>
      <c r="R171" s="8" t="n"/>
      <c r="S171" s="8" t="n"/>
    </row>
    <row r="172">
      <c r="B172" s="8">
        <f>IF(C172="","","EV-"&amp;TEXT(ROW()-5,"000"))</f>
        <v/>
      </c>
      <c r="C172" s="8" t="n"/>
      <c r="D172" s="8" t="n"/>
      <c r="E172" s="8" t="n"/>
      <c r="F172" s="8" t="n"/>
      <c r="G172" s="8" t="n"/>
      <c r="H172" s="8" t="n"/>
      <c r="I172" s="8" t="n"/>
      <c r="J172" s="8" t="n"/>
      <c r="K172" s="8" t="n"/>
      <c r="L172" s="8" t="n"/>
      <c r="M172" s="8" t="n"/>
      <c r="N172" s="8" t="n"/>
      <c r="O172" s="8" t="n"/>
      <c r="P172" s="8" t="n"/>
      <c r="Q172" s="8" t="n"/>
      <c r="R172" s="8" t="n"/>
      <c r="S172" s="8" t="n"/>
    </row>
    <row r="173">
      <c r="B173" s="8">
        <f>IF(C173="","","EV-"&amp;TEXT(ROW()-5,"000"))</f>
        <v/>
      </c>
      <c r="C173" s="8" t="n"/>
      <c r="D173" s="8" t="n"/>
      <c r="E173" s="8" t="n"/>
      <c r="F173" s="8" t="n"/>
      <c r="G173" s="8" t="n"/>
      <c r="H173" s="8" t="n"/>
      <c r="I173" s="8" t="n"/>
      <c r="J173" s="8" t="n"/>
      <c r="K173" s="8" t="n"/>
      <c r="L173" s="8" t="n"/>
      <c r="M173" s="8" t="n"/>
      <c r="N173" s="8" t="n"/>
      <c r="O173" s="8" t="n"/>
      <c r="P173" s="8" t="n"/>
      <c r="Q173" s="8" t="n"/>
      <c r="R173" s="8" t="n"/>
      <c r="S173" s="8" t="n"/>
    </row>
    <row r="174">
      <c r="B174" s="8">
        <f>IF(C174="","","EV-"&amp;TEXT(ROW()-5,"000"))</f>
        <v/>
      </c>
      <c r="C174" s="8" t="n"/>
      <c r="D174" s="8" t="n"/>
      <c r="E174" s="8" t="n"/>
      <c r="F174" s="8" t="n"/>
      <c r="G174" s="8" t="n"/>
      <c r="H174" s="8" t="n"/>
      <c r="I174" s="8" t="n"/>
      <c r="J174" s="8" t="n"/>
      <c r="K174" s="8" t="n"/>
      <c r="L174" s="8" t="n"/>
      <c r="M174" s="8" t="n"/>
      <c r="N174" s="8" t="n"/>
      <c r="O174" s="8" t="n"/>
      <c r="P174" s="8" t="n"/>
      <c r="Q174" s="8" t="n"/>
      <c r="R174" s="8" t="n"/>
      <c r="S174" s="8" t="n"/>
    </row>
    <row r="175">
      <c r="B175" s="8">
        <f>IF(C175="","","EV-"&amp;TEXT(ROW()-5,"000"))</f>
        <v/>
      </c>
      <c r="C175" s="8" t="n"/>
      <c r="D175" s="8" t="n"/>
      <c r="E175" s="8" t="n"/>
      <c r="F175" s="8" t="n"/>
      <c r="G175" s="8" t="n"/>
      <c r="H175" s="8" t="n"/>
      <c r="I175" s="8" t="n"/>
      <c r="J175" s="8" t="n"/>
      <c r="K175" s="8" t="n"/>
      <c r="L175" s="8" t="n"/>
      <c r="M175" s="8" t="n"/>
      <c r="N175" s="8" t="n"/>
      <c r="O175" s="8" t="n"/>
      <c r="P175" s="8" t="n"/>
      <c r="Q175" s="8" t="n"/>
      <c r="R175" s="8" t="n"/>
      <c r="S175" s="8" t="n"/>
    </row>
    <row r="176">
      <c r="B176" s="8">
        <f>IF(C176="","","EV-"&amp;TEXT(ROW()-5,"000"))</f>
        <v/>
      </c>
      <c r="C176" s="8" t="n"/>
      <c r="D176" s="8" t="n"/>
      <c r="E176" s="8" t="n"/>
      <c r="F176" s="8" t="n"/>
      <c r="G176" s="8" t="n"/>
      <c r="H176" s="8" t="n"/>
      <c r="I176" s="8" t="n"/>
      <c r="J176" s="8" t="n"/>
      <c r="K176" s="8" t="n"/>
      <c r="L176" s="8" t="n"/>
      <c r="M176" s="8" t="n"/>
      <c r="N176" s="8" t="n"/>
      <c r="O176" s="8" t="n"/>
      <c r="P176" s="8" t="n"/>
      <c r="Q176" s="8" t="n"/>
      <c r="R176" s="8" t="n"/>
      <c r="S176" s="8" t="n"/>
    </row>
    <row r="177">
      <c r="B177" s="8">
        <f>IF(C177="","","EV-"&amp;TEXT(ROW()-5,"000"))</f>
        <v/>
      </c>
      <c r="C177" s="8" t="n"/>
      <c r="D177" s="8" t="n"/>
      <c r="E177" s="8" t="n"/>
      <c r="F177" s="8" t="n"/>
      <c r="G177" s="8" t="n"/>
      <c r="H177" s="8" t="n"/>
      <c r="I177" s="8" t="n"/>
      <c r="J177" s="8" t="n"/>
      <c r="K177" s="8" t="n"/>
      <c r="L177" s="8" t="n"/>
      <c r="M177" s="8" t="n"/>
      <c r="N177" s="8" t="n"/>
      <c r="O177" s="8" t="n"/>
      <c r="P177" s="8" t="n"/>
      <c r="Q177" s="8" t="n"/>
      <c r="R177" s="8" t="n"/>
      <c r="S177" s="8" t="n"/>
    </row>
    <row r="178">
      <c r="B178" s="8">
        <f>IF(C178="","","EV-"&amp;TEXT(ROW()-5,"000"))</f>
        <v/>
      </c>
      <c r="C178" s="8" t="n"/>
      <c r="D178" s="8" t="n"/>
      <c r="E178" s="8" t="n"/>
      <c r="F178" s="8" t="n"/>
      <c r="G178" s="8" t="n"/>
      <c r="H178" s="8" t="n"/>
      <c r="I178" s="8" t="n"/>
      <c r="J178" s="8" t="n"/>
      <c r="K178" s="8" t="n"/>
      <c r="L178" s="8" t="n"/>
      <c r="M178" s="8" t="n"/>
      <c r="N178" s="8" t="n"/>
      <c r="O178" s="8" t="n"/>
      <c r="P178" s="8" t="n"/>
      <c r="Q178" s="8" t="n"/>
      <c r="R178" s="8" t="n"/>
      <c r="S178" s="8" t="n"/>
    </row>
    <row r="179">
      <c r="B179" s="8">
        <f>IF(C179="","","EV-"&amp;TEXT(ROW()-5,"000"))</f>
        <v/>
      </c>
      <c r="C179" s="8" t="n"/>
      <c r="D179" s="8" t="n"/>
      <c r="E179" s="8" t="n"/>
      <c r="F179" s="8" t="n"/>
      <c r="G179" s="8" t="n"/>
      <c r="H179" s="8" t="n"/>
      <c r="I179" s="8" t="n"/>
      <c r="J179" s="8" t="n"/>
      <c r="K179" s="8" t="n"/>
      <c r="L179" s="8" t="n"/>
      <c r="M179" s="8" t="n"/>
      <c r="N179" s="8" t="n"/>
      <c r="O179" s="8" t="n"/>
      <c r="P179" s="8" t="n"/>
      <c r="Q179" s="8" t="n"/>
      <c r="R179" s="8" t="n"/>
      <c r="S179" s="8" t="n"/>
    </row>
    <row r="180">
      <c r="B180" s="8">
        <f>IF(C180="","","EV-"&amp;TEXT(ROW()-5,"000"))</f>
        <v/>
      </c>
      <c r="C180" s="8" t="n"/>
      <c r="D180" s="8" t="n"/>
      <c r="E180" s="8" t="n"/>
      <c r="F180" s="8" t="n"/>
      <c r="G180" s="8" t="n"/>
      <c r="H180" s="8" t="n"/>
      <c r="I180" s="8" t="n"/>
      <c r="J180" s="8" t="n"/>
      <c r="K180" s="8" t="n"/>
      <c r="L180" s="8" t="n"/>
      <c r="M180" s="8" t="n"/>
      <c r="N180" s="8" t="n"/>
      <c r="O180" s="8" t="n"/>
      <c r="P180" s="8" t="n"/>
      <c r="Q180" s="8" t="n"/>
      <c r="R180" s="8" t="n"/>
      <c r="S180" s="8" t="n"/>
    </row>
    <row r="181">
      <c r="B181" s="8">
        <f>IF(C181="","","EV-"&amp;TEXT(ROW()-5,"000"))</f>
        <v/>
      </c>
      <c r="C181" s="8" t="n"/>
      <c r="D181" s="8" t="n"/>
      <c r="E181" s="8" t="n"/>
      <c r="F181" s="8" t="n"/>
      <c r="G181" s="8" t="n"/>
      <c r="H181" s="8" t="n"/>
      <c r="I181" s="8" t="n"/>
      <c r="J181" s="8" t="n"/>
      <c r="K181" s="8" t="n"/>
      <c r="L181" s="8" t="n"/>
      <c r="M181" s="8" t="n"/>
      <c r="N181" s="8" t="n"/>
      <c r="O181" s="8" t="n"/>
      <c r="P181" s="8" t="n"/>
      <c r="Q181" s="8" t="n"/>
      <c r="R181" s="8" t="n"/>
      <c r="S181" s="8" t="n"/>
    </row>
    <row r="182">
      <c r="B182" s="8">
        <f>IF(C182="","","EV-"&amp;TEXT(ROW()-5,"000"))</f>
        <v/>
      </c>
      <c r="C182" s="8" t="n"/>
      <c r="D182" s="8" t="n"/>
      <c r="E182" s="8" t="n"/>
      <c r="F182" s="8" t="n"/>
      <c r="G182" s="8" t="n"/>
      <c r="H182" s="8" t="n"/>
      <c r="I182" s="8" t="n"/>
      <c r="J182" s="8" t="n"/>
      <c r="K182" s="8" t="n"/>
      <c r="L182" s="8" t="n"/>
      <c r="M182" s="8" t="n"/>
      <c r="N182" s="8" t="n"/>
      <c r="O182" s="8" t="n"/>
      <c r="P182" s="8" t="n"/>
      <c r="Q182" s="8" t="n"/>
      <c r="R182" s="8" t="n"/>
      <c r="S182" s="8" t="n"/>
    </row>
    <row r="183">
      <c r="B183" s="8">
        <f>IF(C183="","","EV-"&amp;TEXT(ROW()-5,"000"))</f>
        <v/>
      </c>
      <c r="C183" s="8" t="n"/>
      <c r="D183" s="8" t="n"/>
      <c r="E183" s="8" t="n"/>
      <c r="F183" s="8" t="n"/>
      <c r="G183" s="8" t="n"/>
      <c r="H183" s="8" t="n"/>
      <c r="I183" s="8" t="n"/>
      <c r="J183" s="8" t="n"/>
      <c r="K183" s="8" t="n"/>
      <c r="L183" s="8" t="n"/>
      <c r="M183" s="8" t="n"/>
      <c r="N183" s="8" t="n"/>
      <c r="O183" s="8" t="n"/>
      <c r="P183" s="8" t="n"/>
      <c r="Q183" s="8" t="n"/>
      <c r="R183" s="8" t="n"/>
      <c r="S183" s="8" t="n"/>
    </row>
    <row r="184">
      <c r="B184" s="8">
        <f>IF(C184="","","EV-"&amp;TEXT(ROW()-5,"000"))</f>
        <v/>
      </c>
      <c r="C184" s="8" t="n"/>
      <c r="D184" s="8" t="n"/>
      <c r="E184" s="8" t="n"/>
      <c r="F184" s="8" t="n"/>
      <c r="G184" s="8" t="n"/>
      <c r="H184" s="8" t="n"/>
      <c r="I184" s="8" t="n"/>
      <c r="J184" s="8" t="n"/>
      <c r="K184" s="8" t="n"/>
      <c r="L184" s="8" t="n"/>
      <c r="M184" s="8" t="n"/>
      <c r="N184" s="8" t="n"/>
      <c r="O184" s="8" t="n"/>
      <c r="P184" s="8" t="n"/>
      <c r="Q184" s="8" t="n"/>
      <c r="R184" s="8" t="n"/>
      <c r="S184" s="8" t="n"/>
    </row>
    <row r="185">
      <c r="B185" s="8">
        <f>IF(C185="","","EV-"&amp;TEXT(ROW()-5,"000"))</f>
        <v/>
      </c>
      <c r="C185" s="8" t="n"/>
      <c r="D185" s="8" t="n"/>
      <c r="E185" s="8" t="n"/>
      <c r="F185" s="8" t="n"/>
      <c r="G185" s="8" t="n"/>
      <c r="H185" s="8" t="n"/>
      <c r="I185" s="8" t="n"/>
      <c r="J185" s="8" t="n"/>
      <c r="K185" s="8" t="n"/>
      <c r="L185" s="8" t="n"/>
      <c r="M185" s="8" t="n"/>
      <c r="N185" s="8" t="n"/>
      <c r="O185" s="8" t="n"/>
      <c r="P185" s="8" t="n"/>
      <c r="Q185" s="8" t="n"/>
      <c r="R185" s="8" t="n"/>
      <c r="S185" s="8" t="n"/>
    </row>
    <row r="186">
      <c r="B186" s="8">
        <f>IF(C186="","","EV-"&amp;TEXT(ROW()-5,"000"))</f>
        <v/>
      </c>
      <c r="C186" s="8" t="n"/>
      <c r="D186" s="8" t="n"/>
      <c r="E186" s="8" t="n"/>
      <c r="F186" s="8" t="n"/>
      <c r="G186" s="8" t="n"/>
      <c r="H186" s="8" t="n"/>
      <c r="I186" s="8" t="n"/>
      <c r="J186" s="8" t="n"/>
      <c r="K186" s="8" t="n"/>
      <c r="L186" s="8" t="n"/>
      <c r="M186" s="8" t="n"/>
      <c r="N186" s="8" t="n"/>
      <c r="O186" s="8" t="n"/>
      <c r="P186" s="8" t="n"/>
      <c r="Q186" s="8" t="n"/>
      <c r="R186" s="8" t="n"/>
      <c r="S186" s="8" t="n"/>
    </row>
    <row r="187">
      <c r="B187" s="8">
        <f>IF(C187="","","EV-"&amp;TEXT(ROW()-5,"000"))</f>
        <v/>
      </c>
      <c r="C187" s="8" t="n"/>
      <c r="D187" s="8" t="n"/>
      <c r="E187" s="8" t="n"/>
      <c r="F187" s="8" t="n"/>
      <c r="G187" s="8" t="n"/>
      <c r="H187" s="8" t="n"/>
      <c r="I187" s="8" t="n"/>
      <c r="J187" s="8" t="n"/>
      <c r="K187" s="8" t="n"/>
      <c r="L187" s="8" t="n"/>
      <c r="M187" s="8" t="n"/>
      <c r="N187" s="8" t="n"/>
      <c r="O187" s="8" t="n"/>
      <c r="P187" s="8" t="n"/>
      <c r="Q187" s="8" t="n"/>
      <c r="R187" s="8" t="n"/>
      <c r="S187" s="8" t="n"/>
    </row>
    <row r="188">
      <c r="B188" s="8">
        <f>IF(C188="","","EV-"&amp;TEXT(ROW()-5,"000"))</f>
        <v/>
      </c>
      <c r="C188" s="8" t="n"/>
      <c r="D188" s="8" t="n"/>
      <c r="E188" s="8" t="n"/>
      <c r="F188" s="8" t="n"/>
      <c r="G188" s="8" t="n"/>
      <c r="H188" s="8" t="n"/>
      <c r="I188" s="8" t="n"/>
      <c r="J188" s="8" t="n"/>
      <c r="K188" s="8" t="n"/>
      <c r="L188" s="8" t="n"/>
      <c r="M188" s="8" t="n"/>
      <c r="N188" s="8" t="n"/>
      <c r="O188" s="8" t="n"/>
      <c r="P188" s="8" t="n"/>
      <c r="Q188" s="8" t="n"/>
      <c r="R188" s="8" t="n"/>
      <c r="S188" s="8" t="n"/>
    </row>
    <row r="189">
      <c r="B189" s="8">
        <f>IF(C189="","","EV-"&amp;TEXT(ROW()-5,"000"))</f>
        <v/>
      </c>
      <c r="C189" s="8" t="n"/>
      <c r="D189" s="8" t="n"/>
      <c r="E189" s="8" t="n"/>
      <c r="F189" s="8" t="n"/>
      <c r="G189" s="8" t="n"/>
      <c r="H189" s="8" t="n"/>
      <c r="I189" s="8" t="n"/>
      <c r="J189" s="8" t="n"/>
      <c r="K189" s="8" t="n"/>
      <c r="L189" s="8" t="n"/>
      <c r="M189" s="8" t="n"/>
      <c r="N189" s="8" t="n"/>
      <c r="O189" s="8" t="n"/>
      <c r="P189" s="8" t="n"/>
      <c r="Q189" s="8" t="n"/>
      <c r="R189" s="8" t="n"/>
      <c r="S189" s="8" t="n"/>
    </row>
    <row r="190">
      <c r="B190" s="8">
        <f>IF(C190="","","EV-"&amp;TEXT(ROW()-5,"000"))</f>
        <v/>
      </c>
      <c r="C190" s="8" t="n"/>
      <c r="D190" s="8" t="n"/>
      <c r="E190" s="8" t="n"/>
      <c r="F190" s="8" t="n"/>
      <c r="G190" s="8" t="n"/>
      <c r="H190" s="8" t="n"/>
      <c r="I190" s="8" t="n"/>
      <c r="J190" s="8" t="n"/>
      <c r="K190" s="8" t="n"/>
      <c r="L190" s="8" t="n"/>
      <c r="M190" s="8" t="n"/>
      <c r="N190" s="8" t="n"/>
      <c r="O190" s="8" t="n"/>
      <c r="P190" s="8" t="n"/>
      <c r="Q190" s="8" t="n"/>
      <c r="R190" s="8" t="n"/>
      <c r="S190" s="8" t="n"/>
    </row>
    <row r="191">
      <c r="B191" s="8">
        <f>IF(C191="","","EV-"&amp;TEXT(ROW()-5,"000"))</f>
        <v/>
      </c>
      <c r="C191" s="8" t="n"/>
      <c r="D191" s="8" t="n"/>
      <c r="E191" s="8" t="n"/>
      <c r="F191" s="8" t="n"/>
      <c r="G191" s="8" t="n"/>
      <c r="H191" s="8" t="n"/>
      <c r="I191" s="8" t="n"/>
      <c r="J191" s="8" t="n"/>
      <c r="K191" s="8" t="n"/>
      <c r="L191" s="8" t="n"/>
      <c r="M191" s="8" t="n"/>
      <c r="N191" s="8" t="n"/>
      <c r="O191" s="8" t="n"/>
      <c r="P191" s="8" t="n"/>
      <c r="Q191" s="8" t="n"/>
      <c r="R191" s="8" t="n"/>
      <c r="S191" s="8" t="n"/>
    </row>
    <row r="192">
      <c r="B192" s="8">
        <f>IF(C192="","","EV-"&amp;TEXT(ROW()-5,"000"))</f>
        <v/>
      </c>
      <c r="C192" s="8" t="n"/>
      <c r="D192" s="8" t="n"/>
      <c r="E192" s="8" t="n"/>
      <c r="F192" s="8" t="n"/>
      <c r="G192" s="8" t="n"/>
      <c r="H192" s="8" t="n"/>
      <c r="I192" s="8" t="n"/>
      <c r="J192" s="8" t="n"/>
      <c r="K192" s="8" t="n"/>
      <c r="L192" s="8" t="n"/>
      <c r="M192" s="8" t="n"/>
      <c r="N192" s="8" t="n"/>
      <c r="O192" s="8" t="n"/>
      <c r="P192" s="8" t="n"/>
      <c r="Q192" s="8" t="n"/>
      <c r="R192" s="8" t="n"/>
      <c r="S192" s="8" t="n"/>
    </row>
    <row r="193">
      <c r="B193" s="8">
        <f>IF(C193="","","EV-"&amp;TEXT(ROW()-5,"000"))</f>
        <v/>
      </c>
      <c r="C193" s="8" t="n"/>
      <c r="D193" s="8" t="n"/>
      <c r="E193" s="8" t="n"/>
      <c r="F193" s="8" t="n"/>
      <c r="G193" s="8" t="n"/>
      <c r="H193" s="8" t="n"/>
      <c r="I193" s="8" t="n"/>
      <c r="J193" s="8" t="n"/>
      <c r="K193" s="8" t="n"/>
      <c r="L193" s="8" t="n"/>
      <c r="M193" s="8" t="n"/>
      <c r="N193" s="8" t="n"/>
      <c r="O193" s="8" t="n"/>
      <c r="P193" s="8" t="n"/>
      <c r="Q193" s="8" t="n"/>
      <c r="R193" s="8" t="n"/>
      <c r="S193" s="8" t="n"/>
    </row>
    <row r="194">
      <c r="B194" s="8">
        <f>IF(C194="","","EV-"&amp;TEXT(ROW()-5,"000"))</f>
        <v/>
      </c>
      <c r="C194" s="8" t="n"/>
      <c r="D194" s="8" t="n"/>
      <c r="E194" s="8" t="n"/>
      <c r="F194" s="8" t="n"/>
      <c r="G194" s="8" t="n"/>
      <c r="H194" s="8" t="n"/>
      <c r="I194" s="8" t="n"/>
      <c r="J194" s="8" t="n"/>
      <c r="K194" s="8" t="n"/>
      <c r="L194" s="8" t="n"/>
      <c r="M194" s="8" t="n"/>
      <c r="N194" s="8" t="n"/>
      <c r="O194" s="8" t="n"/>
      <c r="P194" s="8" t="n"/>
      <c r="Q194" s="8" t="n"/>
      <c r="R194" s="8" t="n"/>
      <c r="S194" s="8" t="n"/>
    </row>
    <row r="195">
      <c r="B195" s="8">
        <f>IF(C195="","","EV-"&amp;TEXT(ROW()-5,"000"))</f>
        <v/>
      </c>
      <c r="C195" s="8" t="n"/>
      <c r="D195" s="8" t="n"/>
      <c r="E195" s="8" t="n"/>
      <c r="F195" s="8" t="n"/>
      <c r="G195" s="8" t="n"/>
      <c r="H195" s="8" t="n"/>
      <c r="I195" s="8" t="n"/>
      <c r="J195" s="8" t="n"/>
      <c r="K195" s="8" t="n"/>
      <c r="L195" s="8" t="n"/>
      <c r="M195" s="8" t="n"/>
      <c r="N195" s="8" t="n"/>
      <c r="O195" s="8" t="n"/>
      <c r="P195" s="8" t="n"/>
      <c r="Q195" s="8" t="n"/>
      <c r="R195" s="8" t="n"/>
      <c r="S195" s="8" t="n"/>
    </row>
    <row r="196">
      <c r="B196" s="8">
        <f>IF(C196="","","EV-"&amp;TEXT(ROW()-5,"000"))</f>
        <v/>
      </c>
      <c r="C196" s="8" t="n"/>
      <c r="D196" s="8" t="n"/>
      <c r="E196" s="8" t="n"/>
      <c r="F196" s="8" t="n"/>
      <c r="G196" s="8" t="n"/>
      <c r="H196" s="8" t="n"/>
      <c r="I196" s="8" t="n"/>
      <c r="J196" s="8" t="n"/>
      <c r="K196" s="8" t="n"/>
      <c r="L196" s="8" t="n"/>
      <c r="M196" s="8" t="n"/>
      <c r="N196" s="8" t="n"/>
      <c r="O196" s="8" t="n"/>
      <c r="P196" s="8" t="n"/>
      <c r="Q196" s="8" t="n"/>
      <c r="R196" s="8" t="n"/>
      <c r="S196" s="8" t="n"/>
    </row>
    <row r="197">
      <c r="B197" s="8">
        <f>IF(C197="","","EV-"&amp;TEXT(ROW()-5,"000"))</f>
        <v/>
      </c>
      <c r="C197" s="8" t="n"/>
      <c r="D197" s="8" t="n"/>
      <c r="E197" s="8" t="n"/>
      <c r="F197" s="8" t="n"/>
      <c r="G197" s="8" t="n"/>
      <c r="H197" s="8" t="n"/>
      <c r="I197" s="8" t="n"/>
      <c r="J197" s="8" t="n"/>
      <c r="K197" s="8" t="n"/>
      <c r="L197" s="8" t="n"/>
      <c r="M197" s="8" t="n"/>
      <c r="N197" s="8" t="n"/>
      <c r="O197" s="8" t="n"/>
      <c r="P197" s="8" t="n"/>
      <c r="Q197" s="8" t="n"/>
      <c r="R197" s="8" t="n"/>
      <c r="S197" s="8" t="n"/>
    </row>
    <row r="198">
      <c r="B198" s="8">
        <f>IF(C198="","","EV-"&amp;TEXT(ROW()-5,"000"))</f>
        <v/>
      </c>
      <c r="C198" s="8" t="n"/>
      <c r="D198" s="8" t="n"/>
      <c r="E198" s="8" t="n"/>
      <c r="F198" s="8" t="n"/>
      <c r="G198" s="8" t="n"/>
      <c r="H198" s="8" t="n"/>
      <c r="I198" s="8" t="n"/>
      <c r="J198" s="8" t="n"/>
      <c r="K198" s="8" t="n"/>
      <c r="L198" s="8" t="n"/>
      <c r="M198" s="8" t="n"/>
      <c r="N198" s="8" t="n"/>
      <c r="O198" s="8" t="n"/>
      <c r="P198" s="8" t="n"/>
      <c r="Q198" s="8" t="n"/>
      <c r="R198" s="8" t="n"/>
      <c r="S198" s="8" t="n"/>
    </row>
    <row r="199">
      <c r="B199" s="8">
        <f>IF(C199="","","EV-"&amp;TEXT(ROW()-5,"000"))</f>
        <v/>
      </c>
      <c r="C199" s="8" t="n"/>
      <c r="D199" s="8" t="n"/>
      <c r="E199" s="8" t="n"/>
      <c r="F199" s="8" t="n"/>
      <c r="G199" s="8" t="n"/>
      <c r="H199" s="8" t="n"/>
      <c r="I199" s="8" t="n"/>
      <c r="J199" s="8" t="n"/>
      <c r="K199" s="8" t="n"/>
      <c r="L199" s="8" t="n"/>
      <c r="M199" s="8" t="n"/>
      <c r="N199" s="8" t="n"/>
      <c r="O199" s="8" t="n"/>
      <c r="P199" s="8" t="n"/>
      <c r="Q199" s="8" t="n"/>
      <c r="R199" s="8" t="n"/>
      <c r="S199" s="8" t="n"/>
    </row>
    <row r="200">
      <c r="B200" s="8">
        <f>IF(C200="","","EV-"&amp;TEXT(ROW()-5,"000"))</f>
        <v/>
      </c>
      <c r="C200" s="8" t="n"/>
      <c r="D200" s="8" t="n"/>
      <c r="E200" s="8" t="n"/>
      <c r="F200" s="8" t="n"/>
      <c r="G200" s="8" t="n"/>
      <c r="H200" s="8" t="n"/>
      <c r="I200" s="8" t="n"/>
      <c r="J200" s="8" t="n"/>
      <c r="K200" s="8" t="n"/>
      <c r="L200" s="8" t="n"/>
      <c r="M200" s="8" t="n"/>
      <c r="N200" s="8" t="n"/>
      <c r="O200" s="8" t="n"/>
      <c r="P200" s="8" t="n"/>
      <c r="Q200" s="8" t="n"/>
      <c r="R200" s="8" t="n"/>
      <c r="S200" s="8" t="n"/>
    </row>
    <row r="201">
      <c r="B201" s="8">
        <f>IF(C201="","","EV-"&amp;TEXT(ROW()-5,"000"))</f>
        <v/>
      </c>
      <c r="C201" s="8" t="n"/>
      <c r="D201" s="8" t="n"/>
      <c r="E201" s="8" t="n"/>
      <c r="F201" s="8" t="n"/>
      <c r="G201" s="8" t="n"/>
      <c r="H201" s="8" t="n"/>
      <c r="I201" s="8" t="n"/>
      <c r="J201" s="8" t="n"/>
      <c r="K201" s="8" t="n"/>
      <c r="L201" s="8" t="n"/>
      <c r="M201" s="8" t="n"/>
      <c r="N201" s="8" t="n"/>
      <c r="O201" s="8" t="n"/>
      <c r="P201" s="8" t="n"/>
      <c r="Q201" s="8" t="n"/>
      <c r="R201" s="8" t="n"/>
      <c r="S201" s="8" t="n"/>
    </row>
    <row r="202">
      <c r="B202" s="8">
        <f>IF(C202="","","EV-"&amp;TEXT(ROW()-5,"000"))</f>
        <v/>
      </c>
      <c r="C202" s="8" t="n"/>
      <c r="D202" s="8" t="n"/>
      <c r="E202" s="8" t="n"/>
      <c r="F202" s="8" t="n"/>
      <c r="G202" s="8" t="n"/>
      <c r="H202" s="8" t="n"/>
      <c r="I202" s="8" t="n"/>
      <c r="J202" s="8" t="n"/>
      <c r="K202" s="8" t="n"/>
      <c r="L202" s="8" t="n"/>
      <c r="M202" s="8" t="n"/>
      <c r="N202" s="8" t="n"/>
      <c r="O202" s="8" t="n"/>
      <c r="P202" s="8" t="n"/>
      <c r="Q202" s="8" t="n"/>
      <c r="R202" s="8" t="n"/>
      <c r="S202" s="8" t="n"/>
    </row>
    <row r="203">
      <c r="B203" s="8">
        <f>IF(C203="","","EV-"&amp;TEXT(ROW()-5,"000"))</f>
        <v/>
      </c>
      <c r="C203" s="8" t="n"/>
      <c r="D203" s="8" t="n"/>
      <c r="E203" s="8" t="n"/>
      <c r="F203" s="8" t="n"/>
      <c r="G203" s="8" t="n"/>
      <c r="H203" s="8" t="n"/>
      <c r="I203" s="8" t="n"/>
      <c r="J203" s="8" t="n"/>
      <c r="K203" s="8" t="n"/>
      <c r="L203" s="8" t="n"/>
      <c r="M203" s="8" t="n"/>
      <c r="N203" s="8" t="n"/>
      <c r="O203" s="8" t="n"/>
      <c r="P203" s="8" t="n"/>
      <c r="Q203" s="8" t="n"/>
      <c r="R203" s="8" t="n"/>
      <c r="S203" s="8" t="n"/>
    </row>
    <row r="204">
      <c r="B204" s="8">
        <f>IF(C204="","","EV-"&amp;TEXT(ROW()-5,"000"))</f>
        <v/>
      </c>
      <c r="C204" s="8" t="n"/>
      <c r="D204" s="8" t="n"/>
      <c r="E204" s="8" t="n"/>
      <c r="F204" s="8" t="n"/>
      <c r="G204" s="8" t="n"/>
      <c r="H204" s="8" t="n"/>
      <c r="I204" s="8" t="n"/>
      <c r="J204" s="8" t="n"/>
      <c r="K204" s="8" t="n"/>
      <c r="L204" s="8" t="n"/>
      <c r="M204" s="8" t="n"/>
      <c r="N204" s="8" t="n"/>
      <c r="O204" s="8" t="n"/>
      <c r="P204" s="8" t="n"/>
      <c r="Q204" s="8" t="n"/>
      <c r="R204" s="8" t="n"/>
      <c r="S204" s="8" t="n"/>
    </row>
    <row r="205">
      <c r="B205" s="8">
        <f>IF(C205="","","EV-"&amp;TEXT(ROW()-5,"000"))</f>
        <v/>
      </c>
      <c r="C205" s="8" t="n"/>
      <c r="D205" s="8" t="n"/>
      <c r="E205" s="8" t="n"/>
      <c r="F205" s="8" t="n"/>
      <c r="G205" s="8" t="n"/>
      <c r="H205" s="8" t="n"/>
      <c r="I205" s="8" t="n"/>
      <c r="J205" s="8" t="n"/>
      <c r="K205" s="8" t="n"/>
      <c r="L205" s="8" t="n"/>
      <c r="M205" s="8" t="n"/>
      <c r="N205" s="8" t="n"/>
      <c r="O205" s="8" t="n"/>
      <c r="P205" s="8" t="n"/>
      <c r="Q205" s="8" t="n"/>
      <c r="R205" s="8" t="n"/>
      <c r="S205" s="8" t="n"/>
    </row>
  </sheetData>
  <dataValidations count="2">
    <dataValidation sqref="N6:N205" showDropDown="0" showInputMessage="0" showErrorMessage="0" allowBlank="1" errorTitle="Invalid entry" error="Please select from the dropdown" type="list">
      <formula1>=Lists!$E$2:$E$4</formula1>
    </dataValidation>
    <dataValidation sqref="R6:R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4" customWidth="1" min="1" max="1"/>
    <col width="5" customWidth="1" min="2" max="2"/>
    <col width="12" customWidth="1" min="3" max="3"/>
    <col width="70" customWidth="1" min="4" max="4"/>
    <col width="24" customWidth="1" min="5" max="5"/>
    <col width="18" customWidth="1" min="6" max="6"/>
    <col width="26" customWidth="1" min="7" max="7"/>
    <col width="10" customWidth="1" min="8" max="8"/>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Ref / unit</t>
        </is>
      </c>
      <c r="F4" s="6" t="inlineStr">
        <is>
          <t>Owner</t>
        </is>
      </c>
      <c r="G4" s="6" t="inlineStr">
        <is>
          <t>Proposed action</t>
        </is>
      </c>
      <c r="H4" s="6" t="inlineStr">
        <is>
          <t>Status</t>
        </is>
      </c>
    </row>
    <row r="5">
      <c r="B5" s="8" t="n">
        <v>1</v>
      </c>
      <c r="C5" s="44" t="n">
        <v>46300</v>
      </c>
      <c r="D5" s="8" t="inlineStr">
        <is>
          <t>Climate resilience maturity (CL3(a)) and Estate &amp; infrastructure indicators – confirm owner and request with Gerard.</t>
        </is>
      </c>
      <c r="E5" s="8" t="inlineStr">
        <is>
          <t>CL3(a); EI1(a)–(d)</t>
        </is>
      </c>
      <c r="F5" s="8" t="inlineStr">
        <is>
          <t>Stefanus</t>
        </is>
      </c>
      <c r="G5" s="8" t="inlineStr">
        <is>
          <t>Meet Gerard</t>
        </is>
      </c>
      <c r="H5" s="8" t="inlineStr">
        <is>
          <t>Open</t>
        </is>
      </c>
    </row>
    <row r="6">
      <c r="B6" s="8" t="n">
        <v>2</v>
      </c>
      <c r="C6" s="44" t="n">
        <v>46300</v>
      </c>
      <c r="D6" s="8" t="inlineStr">
        <is>
          <t>Confirm whether CGOP, CDEP and CDSS structures have changed since the 2025 master spreadsheet stakeholder mapping.</t>
        </is>
      </c>
      <c r="E6" s="8" t="inlineStr">
        <is>
          <t>Stakeholder map</t>
        </is>
      </c>
      <c r="F6" s="8" t="inlineStr">
        <is>
          <t>Stefanus</t>
        </is>
      </c>
      <c r="G6" s="8" t="inlineStr">
        <is>
          <t>Confirm with team</t>
        </is>
      </c>
      <c r="H6" s="8" t="inlineStr">
        <is>
          <t>Open</t>
        </is>
      </c>
    </row>
    <row r="7">
      <c r="B7" s="8" t="n">
        <v>3</v>
      </c>
      <c r="C7" s="44" t="n">
        <v>46300</v>
      </c>
      <c r="D7" s="8" t="inlineStr">
        <is>
          <t>Business Services split into CIOG (AI) and ESG (nature &amp; biodiversity, waste &amp; circular economy, part of quant. climate leadership) – confirm contacts.</t>
        </is>
      </c>
      <c r="E7" s="8" t="inlineStr">
        <is>
          <t>CIOG; ESG</t>
        </is>
      </c>
      <c r="F7" s="8" t="inlineStr">
        <is>
          <t>TBC</t>
        </is>
      </c>
      <c r="G7" s="8" t="inlineStr">
        <is>
          <t>Confirm contacts</t>
        </is>
      </c>
      <c r="H7" s="8" t="inlineStr">
        <is>
          <t>Open</t>
        </is>
      </c>
    </row>
    <row r="8">
      <c r="B8" s="8" t="n">
        <v>4</v>
      </c>
      <c r="C8" s="44" t="n">
        <v>46300</v>
      </c>
      <c r="D8" s="8" t="inlineStr">
        <is>
          <t>Procurement sits with CFOG (RP1(a) procurement case studies routed to CFOG – Procurement although the Qual sheet names no stakeholder); estate planning centralised in CI&amp;S – requests issued centrally, not to faculties.</t>
        </is>
      </c>
      <c r="E8" s="8" t="inlineStr">
        <is>
          <t>CFOG; CI&amp;S</t>
        </is>
      </c>
      <c r="F8" s="8" t="inlineStr">
        <is>
          <t>—</t>
        </is>
      </c>
      <c r="G8" s="8" t="inlineStr">
        <is>
          <t>Noted</t>
        </is>
      </c>
      <c r="H8" s="8" t="inlineStr">
        <is>
          <t>Closed</t>
        </is>
      </c>
    </row>
    <row r="9">
      <c r="B9" s="8" t="n">
        <v>5</v>
      </c>
      <c r="C9" s="44" t="n">
        <v>46300</v>
      </c>
      <c r="D9" s="8" t="inlineStr">
        <is>
          <t>Chancellery units had SR25 requests but no SR26 qualitative indicator names them – confirm if requests are needed.</t>
        </is>
      </c>
      <c r="E9" s="8" t="inlineStr">
        <is>
          <t>Stakeholder map</t>
        </is>
      </c>
      <c r="F9" s="8" t="inlineStr">
        <is>
          <t>TBC</t>
        </is>
      </c>
      <c r="G9" s="8" t="inlineStr">
        <is>
          <t>Decide</t>
        </is>
      </c>
      <c r="H9" s="8" t="inlineStr">
        <is>
          <t>Open</t>
        </is>
      </c>
    </row>
    <row r="10">
      <c r="B10" s="8" t="n">
        <v>6</v>
      </c>
      <c r="C10" s="44" t="n">
        <v>46300</v>
      </c>
      <c r="D10" s="8" t="inlineStr">
        <is>
          <t>Legal &amp; Risk asked for climate resilience maturity CL3(a), following SR25 (8a(i)/(ii): University Risk 16 Climate Change; flood emergency response plans). CL3(a) is also with CI&amp;S (Gerard) – agree who leads.</t>
        </is>
      </c>
      <c r="E10" s="8" t="inlineStr">
        <is>
          <t>CL3(a); L&amp;R; CI&amp;S</t>
        </is>
      </c>
      <c r="F10" s="8" t="inlineStr">
        <is>
          <t>Stefanus</t>
        </is>
      </c>
      <c r="G10" s="8" t="inlineStr">
        <is>
          <t>Confirm with Gerard</t>
        </is>
      </c>
      <c r="H10" s="8" t="inlineStr">
        <is>
          <t>Open</t>
        </is>
      </c>
    </row>
    <row r="11">
      <c r="B11" s="8" t="n">
        <v>7</v>
      </c>
      <c r="C11" s="44" t="n">
        <v>46300</v>
      </c>
      <c r="D11" s="8" t="inlineStr">
        <is>
          <t>TR2(b) 'Documented progress of strategic initiatives, incl. Impact Accelerators' reuses the TR2(d) case-study wording and has no stakeholder in the Qual sheet – left as-is.</t>
        </is>
      </c>
      <c r="E11" s="8" t="inlineStr">
        <is>
          <t>TR2(b)</t>
        </is>
      </c>
      <c r="F11" s="8" t="inlineStr">
        <is>
          <t>TBC</t>
        </is>
      </c>
      <c r="G11" s="8" t="inlineStr">
        <is>
          <t>Review wording/owner</t>
        </is>
      </c>
      <c r="H11" s="8" t="inlineStr">
        <is>
          <t>Open</t>
        </is>
      </c>
    </row>
    <row r="12">
      <c r="B12" s="8" t="n">
        <v>8</v>
      </c>
      <c r="C12" s="44" t="n">
        <v>46300</v>
      </c>
      <c r="D12" s="8" t="inlineStr">
        <is>
          <t>Quantitative-only rows (no stakeholder in the Qual sheet) removed from the requirements matrix and moved to '2. Quant coverage'; Databook gaps requested in Tab 4 of the owning central unit's request.</t>
        </is>
      </c>
      <c r="E12" s="8" t="inlineStr">
        <is>
          <t>TR2(b); CL1(a)-(b); CL2(b); NB1(a); CE1-2; RP2; RI1(a)</t>
        </is>
      </c>
      <c r="F12" s="8" t="inlineStr">
        <is>
          <t>Stefanus</t>
        </is>
      </c>
      <c r="G12" s="8" t="inlineStr">
        <is>
          <t>Confirm owners and Databook coverage with Chris</t>
        </is>
      </c>
      <c r="H12" s="8" t="inlineStr">
        <is>
          <t>Open</t>
        </is>
      </c>
    </row>
    <row r="13">
      <c r="B13" s="8" t="n">
        <v>9</v>
      </c>
      <c r="C13" s="44" t="n">
        <v>46300</v>
      </c>
      <c r="D13" s="8" t="inlineStr">
        <is>
          <t>Target status rating (Met/Partially met/Not met) retained pending revamp of the traffic-light framework.</t>
        </is>
      </c>
      <c r="E13" s="8" t="inlineStr">
        <is>
          <t>All</t>
        </is>
      </c>
      <c r="F13" s="8" t="inlineStr">
        <is>
          <t>Director, Sustainability</t>
        </is>
      </c>
      <c r="G13" s="8" t="inlineStr">
        <is>
          <t>Update templates once agreed</t>
        </is>
      </c>
      <c r="H13" s="8" t="inlineStr">
        <is>
          <t>Open</t>
        </is>
      </c>
    </row>
    <row r="14">
      <c r="B14" s="8" t="n">
        <v>10</v>
      </c>
      <c r="C14" s="44" t="n">
        <v>46300</v>
      </c>
      <c r="D14" s="8" t="inlineStr">
        <is>
          <t>Due dates are placeholders based on the SR26 approach timeline (stories early Dec; requests due January).</t>
        </is>
      </c>
      <c r="E14" s="8" t="inlineStr">
        <is>
          <t>All</t>
        </is>
      </c>
      <c r="F14" s="8" t="inlineStr">
        <is>
          <t>TBC</t>
        </is>
      </c>
      <c r="G14" s="8" t="inlineStr">
        <is>
          <t>Confirm dates</t>
        </is>
      </c>
      <c r="H14" s="8" t="inlineStr">
        <is>
          <t>Open</t>
        </is>
      </c>
    </row>
    <row r="15">
      <c r="B15" s="8" t="n">
        <v>11</v>
      </c>
      <c r="C15" s="44" t="n">
        <v>46300</v>
      </c>
      <c r="D15" s="8" t="inlineStr">
        <is>
          <t>20 indicators are requested from each faculty (SR25 sent 10). Monitor burden in pilot.</t>
        </is>
      </c>
      <c r="E15" s="8" t="inlineStr">
        <is>
          <t>Faculties</t>
        </is>
      </c>
      <c r="F15" s="8" t="inlineStr">
        <is>
          <t>TBC</t>
        </is>
      </c>
      <c r="G15" s="8" t="inlineStr">
        <is>
          <t>Review after pilot</t>
        </is>
      </c>
      <c r="H15" s="8" t="inlineStr">
        <is>
          <t>Open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30"/>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P0. Project overview</t>
        </is>
      </c>
    </row>
    <row r="4">
      <c r="B4" s="31" t="inlineStr">
        <is>
          <t>1. Purpose</t>
        </is>
      </c>
    </row>
    <row r="5" ht="30" customHeight="1">
      <c r="B5" s="4" t="inlineStr">
        <is>
          <t>This workbook</t>
        </is>
      </c>
      <c r="C5" s="5" t="inlineStr">
        <is>
          <t>Single working file for SR26 data collection and project delivery: requirements, requests, responses, scoring, evidence, plus project plan, timeline, comms/web to-do list and content-contributor checklist (P-tabs).</t>
        </is>
      </c>
    </row>
    <row r="6" ht="30" customHeight="1">
      <c r="B6" s="4" t="inlineStr">
        <is>
          <t>SR26 in one line</t>
        </is>
      </c>
      <c r="C6" s="5" t="inlineStr">
        <is>
          <t>Transition-year report covering CY2026: distinguish activity under the former Sustainability Plan 2030 from foundations and early actions after the Sustainability 2030 launch (~20 Oct 2026 TBC). No published traffic lights in 2026.</t>
        </is>
      </c>
    </row>
    <row r="8">
      <c r="B8" s="31" t="inlineStr">
        <is>
          <t>2. Lessons from SR25 and actions for SR26</t>
        </is>
      </c>
    </row>
    <row r="9" ht="30" customHeight="1">
      <c r="B9" s="4" t="inlineStr">
        <is>
          <t>Keep tailored data requests</t>
        </is>
      </c>
      <c r="C9" s="5" t="inlineStr">
        <is>
          <t>SR25 streamlined requests achieved a 100% response rate → keep targeted, faculty-specific requests (see Request wording log); avoid complex requests.</t>
        </is>
      </c>
    </row>
    <row r="10" ht="20" customHeight="1">
      <c r="B10" s="4" t="inlineStr">
        <is>
          <t>Keep independent senior review</t>
        </is>
      </c>
      <c r="C10" s="5" t="inlineStr">
        <is>
          <t>Retain Target Status Review Group as the Sustainability Reporting Review Group (~15 Feb 2027).</t>
        </is>
      </c>
    </row>
    <row r="11" ht="30" customHeight="1">
      <c r="B11" s="4" t="inlineStr">
        <is>
          <t>Strengthen data controls</t>
        </is>
      </c>
      <c r="C11" s="5" t="inlineStr">
        <is>
          <t>Central Evidence register, data owner confirmation (columns Q–R on every request), data source records, Databook alignment.</t>
        </is>
      </c>
    </row>
    <row r="12" ht="20" customHeight="1">
      <c r="B12" s="4" t="inlineStr">
        <is>
          <t>Integrate with Annual Report</t>
        </is>
      </c>
      <c r="C12" s="5" t="inlineStr">
        <is>
          <t>Engage Annual Report team in October; shared dependency map; late operational data (Feb–Mar) on a later pathway.</t>
        </is>
      </c>
    </row>
    <row r="13" ht="20" customHeight="1">
      <c r="B13" s="4" t="inlineStr">
        <is>
          <t>Agree comms roles early</t>
        </is>
      </c>
      <c r="C13" s="5" t="inlineStr">
        <is>
          <t>RASCI with Strategic Communications, comms, digital and design at project start (P2).</t>
        </is>
      </c>
    </row>
    <row r="14" ht="20" customHeight="1">
      <c r="B14" s="4" t="inlineStr">
        <is>
          <t>Plan web and close from the outset</t>
        </is>
      </c>
      <c r="C14" s="5" t="inlineStr">
        <is>
          <t>Year-specific report URL, central landing page, analytics measures agreed before launch, formal retrospective (P3, P2).</t>
        </is>
      </c>
    </row>
    <row r="15" ht="30" customHeight="1">
      <c r="B15" s="4" t="inlineStr">
        <is>
          <t>Simpler project management</t>
        </is>
      </c>
      <c r="C15" s="5" t="inlineStr">
        <is>
          <t>This simplified tracker; induction walkthrough; direct messages for assigned tasks, group channel for shared updates; blocker escalation as a standing meeting item.</t>
        </is>
      </c>
    </row>
    <row r="16" ht="30" customHeight="1">
      <c r="B16" s="4" t="inlineStr">
        <is>
          <t>Follow up non-approval</t>
        </is>
      </c>
      <c r="C16" s="5" t="inlineStr">
        <is>
          <t>SR25: FBE filled in the template but did not approve; Science disagreed with metrics → track 'Owner confirmed' in the Request tracker and chase; offer January support meetings.</t>
        </is>
      </c>
    </row>
    <row r="18">
      <c r="B18" s="31" t="inlineStr">
        <is>
          <t>3. How to use this workbook</t>
        </is>
      </c>
    </row>
    <row r="19" ht="30" customHeight="1">
      <c r="B19" s="4" t="inlineStr">
        <is>
          <t>Records management</t>
        </is>
      </c>
      <c r="C19" s="5" t="inlineStr">
        <is>
          <t>Save on the Sustainability Strategy Team SharePoint (Sustainability report 2026 &gt; Report development). One document owner per working file; notify collaborators when a new version is saved. Avoid extra sub-folders in the data folder.</t>
        </is>
      </c>
    </row>
    <row r="20" ht="30" customHeight="1">
      <c r="B20" s="4" t="inlineStr">
        <is>
          <t>Responses</t>
        </is>
      </c>
      <c r="C20" s="5" t="inlineStr">
        <is>
          <t>Paste returned responses into the Faculties / central-unit tabs without inserting rows inside a block (A1/0.5/T2 formulas look up by Ref).</t>
        </is>
      </c>
    </row>
    <row r="21" ht="20" customHeight="1">
      <c r="B21" s="4" t="inlineStr">
        <is>
          <t>Regenerating</t>
        </is>
      </c>
      <c r="C21" s="5" t="inlineStr">
        <is>
          <t>Templates are generated by build.py – update settings there to add faculties/units, then re-run.</t>
        </is>
      </c>
    </row>
    <row r="23">
      <c r="B23" s="31" t="inlineStr">
        <is>
          <t>4. Key reference documents</t>
        </is>
      </c>
    </row>
    <row r="24" ht="20" customHeight="1">
      <c r="B24" s="4" t="inlineStr">
        <is>
          <t>SR26 approach</t>
        </is>
      </c>
      <c r="C24" s="5" t="inlineStr">
        <is>
          <t>2026 Sustainability reporting approach &amp; target status assessment framework – DRAFT Sep 2026</t>
        </is>
      </c>
    </row>
    <row r="25" ht="45" customHeight="1">
      <c r="B25" s="4" t="inlineStr">
        <is>
          <t>SR25 documents</t>
        </is>
      </c>
      <c r="C25" s="5" t="inlineStr">
        <is>
          <t>SR25 Reporting framework (Jan 2026); Faculty/portfolio engagement plan and comms 2025-26; 2025 end-year reporting master spreadsheet V0.2; Target status review process doc (Jan 2026); Target status assessment (final 18.3.26); SR25 Final (Word); SR25 Project close report and key lessons learnt</t>
        </is>
      </c>
    </row>
    <row r="26" ht="20" customHeight="1">
      <c r="B26" s="4" t="inlineStr">
        <is>
          <t>Targets</t>
        </is>
      </c>
      <c r="C26" s="5" t="inlineStr">
        <is>
          <t>Sustainability 2030 Updated Targets (Not for distribution) – Qual and Quan worksheets</t>
        </is>
      </c>
    </row>
    <row r="28">
      <c r="B28" s="31" t="inlineStr">
        <is>
          <t>5. Team processes</t>
        </is>
      </c>
    </row>
    <row r="29" ht="20" customHeight="1">
      <c r="B29" s="4" t="inlineStr">
        <is>
          <t>Meetings</t>
        </is>
      </c>
      <c r="C29" s="5" t="inlineStr">
        <is>
          <t>Weekly production meeting (SST + comms/design); standing items: progress, blockers/escalation, decisions.</t>
        </is>
      </c>
    </row>
    <row r="30" ht="20" customHeight="1">
      <c r="B30" s="4" t="inlineStr">
        <is>
          <t>Communication</t>
        </is>
      </c>
      <c r="C30" s="5" t="inlineStr">
        <is>
          <t>Direct messages for individual tasks; group channel for shared updates.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4" customWidth="1" min="1" max="1"/>
    <col width="26" customWidth="1" min="2" max="2"/>
    <col width="110" customWidth="1" min="3" max="3"/>
  </cols>
  <sheetData>
    <row r="1">
      <c r="A1" s="1" t="inlineStr">
        <is>
          <t>↑</t>
        </is>
      </c>
      <c r="B1" s="2" t="inlineStr">
        <is>
          <t>2026 Sustainability Report</t>
        </is>
      </c>
    </row>
    <row r="2">
      <c r="B2" s="3" t="inlineStr">
        <is>
          <t>P1. SR26 Project plan on a page</t>
        </is>
      </c>
    </row>
    <row r="4">
      <c r="B4" s="31" t="inlineStr">
        <is>
          <t>Project plan on a page</t>
        </is>
      </c>
    </row>
    <row r="5" ht="20" customHeight="1">
      <c r="B5" s="4" t="inlineStr">
        <is>
          <t>Version control</t>
        </is>
      </c>
      <c r="C5" s="5" t="inlineStr">
        <is>
          <t>DRAFT v0.4 – based on SR26 approach (Sep 2026)</t>
        </is>
      </c>
    </row>
    <row r="6" ht="30" customHeight="1">
      <c r="B6" s="4" t="inlineStr">
        <is>
          <t>Context</t>
        </is>
      </c>
      <c r="C6" s="5" t="inlineStr">
        <is>
          <t>The annual Sustainability Report is the University's core public account of sustainability progress. SR26 is a transition report following the refreshed Sustainability 2030 launch (~20 Oct 2026).</t>
        </is>
      </c>
    </row>
    <row r="7" ht="60" customHeight="1">
      <c r="B7" s="4" t="inlineStr">
        <is>
          <t>Objectives / principles</t>
        </is>
      </c>
      <c r="C7" s="5" t="inlineStr">
        <is>
          <t>Accurate and transparent (clear transition-year framing) • Fit-for-purpose (request only what is necessary, available and usable) • Evidence-led (each request linked to an indicator, report use and evidence) • Integrated (Databook is the primary quantitative source) • Reusable (templates and roles for 2027+) • Accessible (one web page per priority area: narrative + case studies) • Credible (independent review; traffic-light ratings deferred to 2027 reporting)</t>
        </is>
      </c>
    </row>
    <row r="8" ht="30" customHeight="1">
      <c r="B8" s="4" t="inlineStr">
        <is>
          <t>Reporting model</t>
        </is>
      </c>
      <c r="C8" s="5" t="inlineStr">
        <is>
          <t>Webpages by priority area; transition-year framing; no published traffic lights (internal ratings only); Databook for quantitative data; targeted qualitative requests; early case-study pipeline; Sustainability Reporting Review Group.</t>
        </is>
      </c>
    </row>
    <row r="9" ht="20" customHeight="1">
      <c r="B9" s="4" t="inlineStr">
        <is>
          <t>Workstreams</t>
        </is>
      </c>
      <c r="C9" s="5" t="inlineStr">
        <is>
          <t>Governance • Data collection &amp; analysis (this workbook) • Content development • Communications &amp; web build</t>
        </is>
      </c>
    </row>
    <row r="10" ht="60" customHeight="1">
      <c r="B10" s="4" t="inlineStr">
        <is>
          <t>Key stakeholders</t>
        </is>
      </c>
      <c r="C10" s="5" t="inlineStr">
        <is>
          <t>Director, Sustainability (decision owner) • COO • VCAG • University Executive • University Council • Investment Management Committee • Sustainability Reporting Review Group • Associate Deans Sustainability • Priority-area working groups • Central data owners (CI&amp;S, CFOG, ESG, CIOG, MRE, Legal &amp; Risk) • Strategic Communications, digital &amp; design • University Annual Report team</t>
        </is>
      </c>
    </row>
    <row r="11" ht="30" customHeight="1">
      <c r="B11" s="4" t="inlineStr">
        <is>
          <t>Phases</t>
        </is>
      </c>
      <c r="C11" s="5" t="inlineStr">
        <is>
          <t>Sep–Oct 2026 Set-up • Oct 2026 Process design &amp; launch • Nov–Dec 2026 Evidence collection • Jan 2027 Drafting &amp; validation • Feb–May 2027 Review &amp; governance • May–Jun 2027 Publication &amp; close-out</t>
        </is>
      </c>
    </row>
    <row r="12" ht="30" customHeight="1">
      <c r="B12" s="4" t="inlineStr">
        <is>
          <t>Outputs</t>
        </is>
      </c>
      <c r="C12" s="5" t="inlineStr">
        <is>
          <t>Requirements matrix • Request templates • Evidence register • Case-study pipeline • Draft report &amp; issues paper • VCAG/UE/Council papers • Report website • Retrospective</t>
        </is>
      </c>
    </row>
    <row r="13" ht="30" customHeight="1">
      <c r="B13" s="4" t="inlineStr">
        <is>
          <t>Success measures</t>
        </is>
      </c>
      <c r="C13" s="5" t="inlineStr">
        <is>
          <t>Response rate • Reporting burden • Project effort • Data-quality issues • Web sessions, users and views • Stakeholder feedback</t>
        </is>
      </c>
    </row>
    <row r="15">
      <c r="B15" s="31" t="inlineStr">
        <is>
          <t>Key risks and controls</t>
        </is>
      </c>
    </row>
    <row r="16" ht="20" customHeight="1">
      <c r="B16" s="4" t="inlineStr">
        <is>
          <t>Full-year implication</t>
        </is>
      </c>
      <c r="C16" s="5" t="inlineStr">
        <is>
          <t>Report implies a full year of progress against targets launched 20 Oct → explicit transition-year framing.</t>
        </is>
      </c>
    </row>
    <row r="17" ht="30" customHeight="1">
      <c r="B17" s="4" t="inlineStr">
        <is>
          <t>Onerous requests</t>
        </is>
      </c>
      <c r="C17" s="5" t="inlineStr">
        <is>
          <t>Requests onerous or non-comparable → necessity and usability test; pilot templates; don't ask for data areas can't hold.</t>
        </is>
      </c>
    </row>
    <row r="18" ht="30" customHeight="1">
      <c r="B18" s="4" t="inlineStr">
        <is>
          <t>Databook overlap</t>
        </is>
      </c>
      <c r="C18" s="5" t="inlineStr">
        <is>
          <t>Databook and narrative requests overlap/conflict → one requirements matrix and evidence register; one source of truth per indicator.</t>
        </is>
      </c>
    </row>
    <row r="19" ht="20" customHeight="1">
      <c r="B19" s="4" t="inlineStr">
        <is>
          <t>New working groups</t>
        </is>
      </c>
      <c r="C19" s="5" t="inlineStr">
        <is>
          <t>Asked to evidence delivery before established → maturity-based 2026 request.</t>
        </is>
      </c>
    </row>
    <row r="20" ht="20" customHeight="1">
      <c r="B20" s="4" t="inlineStr">
        <is>
          <t>Case studies dominate</t>
        </is>
      </c>
      <c r="C20" s="5" t="inlineStr">
        <is>
          <t>→ selection criteria: relevance, evidence, outcome, transferability, balance, permission.</t>
        </is>
      </c>
    </row>
    <row r="21" ht="20" customHeight="1">
      <c r="B21" s="4" t="inlineStr">
        <is>
          <t>Late responses</t>
        </is>
      </c>
      <c r="C21" s="5" t="inlineStr">
        <is>
          <t>→ issue requirements early, support meetings, senior sponsorship, escalate gaps.</t>
        </is>
      </c>
    </row>
    <row r="22" ht="20" customHeight="1">
      <c r="B22" s="4" t="inlineStr">
        <is>
          <t>Review group role</t>
        </is>
      </c>
      <c r="C22" s="5" t="inlineStr">
        <is>
          <t>Unclear without traffic lights → approve review criteria and decision rights in advance.</t>
        </is>
      </c>
    </row>
    <row r="23" ht="20" customHeight="1">
      <c r="B23" s="4" t="inlineStr">
        <is>
          <t>Annual Report divergence</t>
        </is>
      </c>
      <c r="C23" s="5" t="inlineStr">
        <is>
          <t>→ engage in October; shared dependency/data map; reconcile shared figures.</t>
        </is>
      </c>
    </row>
    <row r="25">
      <c r="B25" s="31" t="inlineStr">
        <is>
          <t>Decisions required (from SR26 approach)</t>
        </is>
      </c>
    </row>
    <row r="26" ht="20" customHeight="1">
      <c r="B26" s="4" t="inlineStr">
        <is>
          <t>1. Transition-year model</t>
        </is>
      </c>
      <c r="C26" s="5" t="inlineStr">
        <is>
          <t>Director, Sustainability – Approved (internal traffic lights: sub-decision)</t>
        </is>
      </c>
    </row>
    <row r="27" ht="20" customHeight="1">
      <c r="B27" s="4" t="inlineStr">
        <is>
          <t>2. Evidence &amp; engagement model</t>
        </is>
      </c>
      <c r="C27" s="5" t="inlineStr">
        <is>
          <t>Director, Sustainability – Pending (awaiting Stefanus' WIP)</t>
        </is>
      </c>
    </row>
    <row r="28" ht="20" customHeight="1">
      <c r="B28" s="4" t="inlineStr">
        <is>
          <t>3. Assurance &amp; governance pathway</t>
        </is>
      </c>
      <c r="C28" s="5" t="inlineStr">
        <is>
          <t>Director, Sustainability – Closed</t>
        </is>
      </c>
    </row>
    <row r="29" ht="20" customHeight="1">
      <c r="B29" s="4" t="inlineStr">
        <is>
          <t>4. Modern slavery timeline alignment</t>
        </is>
      </c>
      <c r="C29" s="5" t="inlineStr">
        <is>
          <t>Director, Sustainability (and Head of Procurement) – Open, watch item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G49"/>
  <sheetViews>
    <sheetView showGridLines="0" workbookViewId="0">
      <pane xSplit="3" ySplit="9" topLeftCell="D10" activePane="bottomRight" state="frozen"/>
      <selection pane="topRight"/>
      <selection pane="bottomLeft"/>
      <selection pane="bottomRight" activeCell="A1" sqref="A1"/>
    </sheetView>
  </sheetViews>
  <sheetFormatPr baseColWidth="8" defaultRowHeight="15"/>
  <cols>
    <col width="4" customWidth="1" min="1" max="1"/>
    <col width="52" customWidth="1" min="2" max="2"/>
    <col width="22" customWidth="1" min="3" max="3"/>
    <col width="11" customWidth="1" min="4" max="4"/>
    <col width="11" customWidth="1" min="5" max="5"/>
    <col width="14" customWidth="1" min="6" max="6"/>
    <col width="16" customWidth="1" min="7" max="7"/>
    <col width="12" customWidth="1" min="8" max="8"/>
    <col width="14" customWidth="1" min="9" max="9"/>
    <col width="10" customWidth="1" min="10" max="10"/>
    <col width="14"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 width="3.2" customWidth="1" min="43" max="43"/>
    <col width="3.2" customWidth="1" min="44" max="44"/>
    <col width="3.2" customWidth="1" min="45" max="45"/>
    <col width="3.2" customWidth="1" min="46" max="46"/>
    <col width="3.2" customWidth="1" min="47" max="47"/>
    <col width="3.2" customWidth="1" min="48" max="48"/>
    <col width="3.2" customWidth="1" min="49" max="49"/>
    <col width="3.2" customWidth="1" min="50" max="50"/>
    <col width="3.2" customWidth="1" min="51" max="51"/>
    <col width="3.2" customWidth="1" min="52" max="52"/>
    <col width="3.2" customWidth="1" min="53" max="53"/>
    <col width="3.2" customWidth="1" min="54" max="54"/>
    <col width="3.2" customWidth="1" min="55" max="55"/>
    <col width="3.2" customWidth="1" min="56" max="56"/>
    <col width="3.2" customWidth="1" min="57" max="57"/>
    <col width="3.2" customWidth="1" min="58" max="58"/>
    <col width="3.2" customWidth="1" min="59" max="59"/>
  </cols>
  <sheetData>
    <row r="1">
      <c r="A1" s="1" t="inlineStr">
        <is>
          <t>↑</t>
        </is>
      </c>
      <c r="B1" s="2" t="inlineStr">
        <is>
          <t>2026 Sustainability Report</t>
        </is>
      </c>
    </row>
    <row r="2">
      <c r="B2" s="3" t="inlineStr">
        <is>
          <t>P2. Timeline, RASCI &amp; task register</t>
        </is>
      </c>
    </row>
    <row r="3">
      <c r="B3" s="20" t="inlineStr">
        <is>
          <t>Indicative dates from the SR26 approach – confirm governance dates with governance offices. Gantt bars fill automatically from Start/End.</t>
        </is>
      </c>
    </row>
    <row r="8">
      <c r="L8" s="32" t="inlineStr">
        <is>
          <t>Sep</t>
        </is>
      </c>
      <c r="M8" s="32" t="inlineStr"/>
      <c r="N8" s="32" t="inlineStr"/>
      <c r="O8" s="32" t="inlineStr"/>
      <c r="P8" s="32" t="inlineStr">
        <is>
          <t>Oct</t>
        </is>
      </c>
      <c r="Q8" s="32" t="inlineStr"/>
      <c r="R8" s="32" t="inlineStr"/>
      <c r="S8" s="32" t="inlineStr"/>
      <c r="T8" s="32" t="inlineStr">
        <is>
          <t>Nov</t>
        </is>
      </c>
      <c r="U8" s="32" t="inlineStr"/>
      <c r="V8" s="32" t="inlineStr"/>
      <c r="W8" s="32" t="inlineStr"/>
      <c r="X8" s="32" t="inlineStr"/>
      <c r="Y8" s="32" t="inlineStr">
        <is>
          <t>Dec</t>
        </is>
      </c>
      <c r="Z8" s="32" t="inlineStr"/>
      <c r="AA8" s="32" t="inlineStr"/>
      <c r="AB8" s="32" t="inlineStr"/>
      <c r="AC8" s="32" t="inlineStr">
        <is>
          <t>Jan</t>
        </is>
      </c>
      <c r="AD8" s="32" t="inlineStr"/>
      <c r="AE8" s="32" t="inlineStr"/>
      <c r="AF8" s="32" t="inlineStr"/>
      <c r="AG8" s="32" t="inlineStr">
        <is>
          <t>Feb</t>
        </is>
      </c>
      <c r="AH8" s="32" t="inlineStr"/>
      <c r="AI8" s="32" t="inlineStr"/>
      <c r="AJ8" s="32" t="inlineStr"/>
      <c r="AK8" s="32" t="inlineStr">
        <is>
          <t>Mar</t>
        </is>
      </c>
      <c r="AL8" s="32" t="inlineStr"/>
      <c r="AM8" s="32" t="inlineStr"/>
      <c r="AN8" s="32" t="inlineStr"/>
      <c r="AO8" s="32" t="inlineStr"/>
      <c r="AP8" s="32" t="inlineStr">
        <is>
          <t>Apr</t>
        </is>
      </c>
      <c r="AQ8" s="32" t="inlineStr"/>
      <c r="AR8" s="32" t="inlineStr"/>
      <c r="AS8" s="32" t="inlineStr"/>
      <c r="AT8" s="32" t="inlineStr">
        <is>
          <t>May</t>
        </is>
      </c>
      <c r="AU8" s="32" t="inlineStr"/>
      <c r="AV8" s="32" t="inlineStr"/>
      <c r="AW8" s="32" t="inlineStr"/>
      <c r="AX8" s="32" t="inlineStr"/>
      <c r="AY8" s="32" t="inlineStr">
        <is>
          <t>Jun</t>
        </is>
      </c>
      <c r="AZ8" s="32" t="inlineStr"/>
      <c r="BA8" s="32" t="inlineStr"/>
      <c r="BB8" s="32" t="inlineStr"/>
      <c r="BC8" s="32" t="inlineStr">
        <is>
          <t>Jul</t>
        </is>
      </c>
      <c r="BD8" s="32" t="inlineStr"/>
      <c r="BE8" s="32" t="inlineStr"/>
      <c r="BF8" s="32" t="inlineStr"/>
      <c r="BG8" s="32" t="inlineStr">
        <is>
          <t>Aug</t>
        </is>
      </c>
    </row>
    <row r="9">
      <c r="B9" s="6" t="inlineStr">
        <is>
          <t>Phase / key activity</t>
        </is>
      </c>
      <c r="C9" s="6" t="inlineStr">
        <is>
          <t>Key milestone</t>
        </is>
      </c>
      <c r="D9" s="6" t="inlineStr">
        <is>
          <t>Start</t>
        </is>
      </c>
      <c r="E9" s="6" t="inlineStr">
        <is>
          <t>End</t>
        </is>
      </c>
      <c r="F9" s="6" t="inlineStr">
        <is>
          <t>R</t>
        </is>
      </c>
      <c r="G9" s="6" t="inlineStr">
        <is>
          <t>A</t>
        </is>
      </c>
      <c r="H9" s="6" t="inlineStr">
        <is>
          <t>S</t>
        </is>
      </c>
      <c r="I9" s="6" t="inlineStr">
        <is>
          <t>C/I</t>
        </is>
      </c>
      <c r="J9" s="6" t="inlineStr">
        <is>
          <t>Priority</t>
        </is>
      </c>
      <c r="K9" s="6" t="inlineStr">
        <is>
          <t>Status</t>
        </is>
      </c>
      <c r="L9" s="70" t="n">
        <v>46272</v>
      </c>
      <c r="M9" s="70" t="n">
        <v>46279</v>
      </c>
      <c r="N9" s="70" t="n">
        <v>46286</v>
      </c>
      <c r="O9" s="70" t="n">
        <v>46293</v>
      </c>
      <c r="P9" s="70" t="n">
        <v>46300</v>
      </c>
      <c r="Q9" s="70" t="n">
        <v>46307</v>
      </c>
      <c r="R9" s="70" t="n">
        <v>46314</v>
      </c>
      <c r="S9" s="70" t="n">
        <v>46321</v>
      </c>
      <c r="T9" s="70" t="n">
        <v>46328</v>
      </c>
      <c r="U9" s="70" t="n">
        <v>46335</v>
      </c>
      <c r="V9" s="70" t="n">
        <v>46342</v>
      </c>
      <c r="W9" s="70" t="n">
        <v>46349</v>
      </c>
      <c r="X9" s="70" t="n">
        <v>46356</v>
      </c>
      <c r="Y9" s="70" t="n">
        <v>46363</v>
      </c>
      <c r="Z9" s="70" t="n">
        <v>46370</v>
      </c>
      <c r="AA9" s="70" t="n">
        <v>46377</v>
      </c>
      <c r="AB9" s="70" t="n">
        <v>46384</v>
      </c>
      <c r="AC9" s="70" t="n">
        <v>46391</v>
      </c>
      <c r="AD9" s="70" t="n">
        <v>46398</v>
      </c>
      <c r="AE9" s="70" t="n">
        <v>46405</v>
      </c>
      <c r="AF9" s="70" t="n">
        <v>46412</v>
      </c>
      <c r="AG9" s="70" t="n">
        <v>46419</v>
      </c>
      <c r="AH9" s="70" t="n">
        <v>46426</v>
      </c>
      <c r="AI9" s="70" t="n">
        <v>46433</v>
      </c>
      <c r="AJ9" s="70" t="n">
        <v>46440</v>
      </c>
      <c r="AK9" s="70" t="n">
        <v>46447</v>
      </c>
      <c r="AL9" s="70" t="n">
        <v>46454</v>
      </c>
      <c r="AM9" s="70" t="n">
        <v>46461</v>
      </c>
      <c r="AN9" s="70" t="n">
        <v>46468</v>
      </c>
      <c r="AO9" s="70" t="n">
        <v>46475</v>
      </c>
      <c r="AP9" s="70" t="n">
        <v>46482</v>
      </c>
      <c r="AQ9" s="70" t="n">
        <v>46489</v>
      </c>
      <c r="AR9" s="70" t="n">
        <v>46496</v>
      </c>
      <c r="AS9" s="70" t="n">
        <v>46503</v>
      </c>
      <c r="AT9" s="70" t="n">
        <v>46510</v>
      </c>
      <c r="AU9" s="70" t="n">
        <v>46517</v>
      </c>
      <c r="AV9" s="70" t="n">
        <v>46524</v>
      </c>
      <c r="AW9" s="70" t="n">
        <v>46531</v>
      </c>
      <c r="AX9" s="70" t="n">
        <v>46538</v>
      </c>
      <c r="AY9" s="70" t="n">
        <v>46545</v>
      </c>
      <c r="AZ9" s="70" t="n">
        <v>46552</v>
      </c>
      <c r="BA9" s="70" t="n">
        <v>46559</v>
      </c>
      <c r="BB9" s="70" t="n">
        <v>46566</v>
      </c>
      <c r="BC9" s="70" t="n">
        <v>46573</v>
      </c>
      <c r="BD9" s="70" t="n">
        <v>46580</v>
      </c>
      <c r="BE9" s="70" t="n">
        <v>46587</v>
      </c>
      <c r="BF9" s="70" t="n">
        <v>46594</v>
      </c>
      <c r="BG9" s="70" t="n">
        <v>46601</v>
      </c>
    </row>
    <row r="10">
      <c r="B10" s="71" t="inlineStr">
        <is>
          <t>Project set-up (Sep–Oct 2026)</t>
        </is>
      </c>
      <c r="C10" s="72" t="n"/>
      <c r="D10" s="72" t="n"/>
      <c r="E10" s="72" t="n"/>
      <c r="F10" s="72" t="n"/>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row>
    <row r="11">
      <c r="B11" s="8" t="inlineStr">
        <is>
          <t>Confirm scope, reporting model, governance pathway and decisions</t>
        </is>
      </c>
      <c r="C11" s="8" t="inlineStr">
        <is>
          <t>Decision log</t>
        </is>
      </c>
      <c r="D11" s="44" t="n">
        <v>46279</v>
      </c>
      <c r="E11" s="44" t="n">
        <v>46311</v>
      </c>
      <c r="F11" s="8" t="inlineStr">
        <is>
          <t>SST</t>
        </is>
      </c>
      <c r="G11" s="8" t="inlineStr">
        <is>
          <t>Director, Sustainability</t>
        </is>
      </c>
      <c r="H11" s="8" t="inlineStr"/>
      <c r="I11" s="8" t="inlineStr">
        <is>
          <t>VCAG (I)</t>
        </is>
      </c>
      <c r="J11" s="8" t="inlineStr">
        <is>
          <t>High</t>
        </is>
      </c>
      <c r="K11" s="8" t="inlineStr">
        <is>
          <t>Not yet started</t>
        </is>
      </c>
      <c r="L11">
        <f>IF(AND(L$9+6&gt;=$D11,L$9&lt;=$E11),1,"")</f>
        <v/>
      </c>
      <c r="M11">
        <f>IF(AND(M$9+6&gt;=$D11,M$9&lt;=$E11),1,"")</f>
        <v/>
      </c>
      <c r="N11">
        <f>IF(AND(N$9+6&gt;=$D11,N$9&lt;=$E11),1,"")</f>
        <v/>
      </c>
      <c r="O11">
        <f>IF(AND(O$9+6&gt;=$D11,O$9&lt;=$E11),1,"")</f>
        <v/>
      </c>
      <c r="P11">
        <f>IF(AND(P$9+6&gt;=$D11,P$9&lt;=$E11),1,"")</f>
        <v/>
      </c>
      <c r="Q11">
        <f>IF(AND(Q$9+6&gt;=$D11,Q$9&lt;=$E11),1,"")</f>
        <v/>
      </c>
      <c r="R11">
        <f>IF(AND(R$9+6&gt;=$D11,R$9&lt;=$E11),1,"")</f>
        <v/>
      </c>
      <c r="S11">
        <f>IF(AND(S$9+6&gt;=$D11,S$9&lt;=$E11),1,"")</f>
        <v/>
      </c>
      <c r="T11">
        <f>IF(AND(T$9+6&gt;=$D11,T$9&lt;=$E11),1,"")</f>
        <v/>
      </c>
      <c r="U11">
        <f>IF(AND(U$9+6&gt;=$D11,U$9&lt;=$E11),1,"")</f>
        <v/>
      </c>
      <c r="V11">
        <f>IF(AND(V$9+6&gt;=$D11,V$9&lt;=$E11),1,"")</f>
        <v/>
      </c>
      <c r="W11">
        <f>IF(AND(W$9+6&gt;=$D11,W$9&lt;=$E11),1,"")</f>
        <v/>
      </c>
      <c r="X11">
        <f>IF(AND(X$9+6&gt;=$D11,X$9&lt;=$E11),1,"")</f>
        <v/>
      </c>
      <c r="Y11">
        <f>IF(AND(Y$9+6&gt;=$D11,Y$9&lt;=$E11),1,"")</f>
        <v/>
      </c>
      <c r="Z11">
        <f>IF(AND(Z$9+6&gt;=$D11,Z$9&lt;=$E11),1,"")</f>
        <v/>
      </c>
      <c r="AA11">
        <f>IF(AND(AA$9+6&gt;=$D11,AA$9&lt;=$E11),1,"")</f>
        <v/>
      </c>
      <c r="AB11">
        <f>IF(AND(AB$9+6&gt;=$D11,AB$9&lt;=$E11),1,"")</f>
        <v/>
      </c>
      <c r="AC11">
        <f>IF(AND(AC$9+6&gt;=$D11,AC$9&lt;=$E11),1,"")</f>
        <v/>
      </c>
      <c r="AD11">
        <f>IF(AND(AD$9+6&gt;=$D11,AD$9&lt;=$E11),1,"")</f>
        <v/>
      </c>
      <c r="AE11">
        <f>IF(AND(AE$9+6&gt;=$D11,AE$9&lt;=$E11),1,"")</f>
        <v/>
      </c>
      <c r="AF11">
        <f>IF(AND(AF$9+6&gt;=$D11,AF$9&lt;=$E11),1,"")</f>
        <v/>
      </c>
      <c r="AG11">
        <f>IF(AND(AG$9+6&gt;=$D11,AG$9&lt;=$E11),1,"")</f>
        <v/>
      </c>
      <c r="AH11">
        <f>IF(AND(AH$9+6&gt;=$D11,AH$9&lt;=$E11),1,"")</f>
        <v/>
      </c>
      <c r="AI11">
        <f>IF(AND(AI$9+6&gt;=$D11,AI$9&lt;=$E11),1,"")</f>
        <v/>
      </c>
      <c r="AJ11">
        <f>IF(AND(AJ$9+6&gt;=$D11,AJ$9&lt;=$E11),1,"")</f>
        <v/>
      </c>
      <c r="AK11">
        <f>IF(AND(AK$9+6&gt;=$D11,AK$9&lt;=$E11),1,"")</f>
        <v/>
      </c>
      <c r="AL11">
        <f>IF(AND(AL$9+6&gt;=$D11,AL$9&lt;=$E11),1,"")</f>
        <v/>
      </c>
      <c r="AM11">
        <f>IF(AND(AM$9+6&gt;=$D11,AM$9&lt;=$E11),1,"")</f>
        <v/>
      </c>
      <c r="AN11">
        <f>IF(AND(AN$9+6&gt;=$D11,AN$9&lt;=$E11),1,"")</f>
        <v/>
      </c>
      <c r="AO11">
        <f>IF(AND(AO$9+6&gt;=$D11,AO$9&lt;=$E11),1,"")</f>
        <v/>
      </c>
      <c r="AP11">
        <f>IF(AND(AP$9+6&gt;=$D11,AP$9&lt;=$E11),1,"")</f>
        <v/>
      </c>
      <c r="AQ11">
        <f>IF(AND(AQ$9+6&gt;=$D11,AQ$9&lt;=$E11),1,"")</f>
        <v/>
      </c>
      <c r="AR11">
        <f>IF(AND(AR$9+6&gt;=$D11,AR$9&lt;=$E11),1,"")</f>
        <v/>
      </c>
      <c r="AS11">
        <f>IF(AND(AS$9+6&gt;=$D11,AS$9&lt;=$E11),1,"")</f>
        <v/>
      </c>
      <c r="AT11">
        <f>IF(AND(AT$9+6&gt;=$D11,AT$9&lt;=$E11),1,"")</f>
        <v/>
      </c>
      <c r="AU11">
        <f>IF(AND(AU$9+6&gt;=$D11,AU$9&lt;=$E11),1,"")</f>
        <v/>
      </c>
      <c r="AV11">
        <f>IF(AND(AV$9+6&gt;=$D11,AV$9&lt;=$E11),1,"")</f>
        <v/>
      </c>
      <c r="AW11">
        <f>IF(AND(AW$9+6&gt;=$D11,AW$9&lt;=$E11),1,"")</f>
        <v/>
      </c>
      <c r="AX11">
        <f>IF(AND(AX$9+6&gt;=$D11,AX$9&lt;=$E11),1,"")</f>
        <v/>
      </c>
      <c r="AY11">
        <f>IF(AND(AY$9+6&gt;=$D11,AY$9&lt;=$E11),1,"")</f>
        <v/>
      </c>
      <c r="AZ11">
        <f>IF(AND(AZ$9+6&gt;=$D11,AZ$9&lt;=$E11),1,"")</f>
        <v/>
      </c>
      <c r="BA11">
        <f>IF(AND(BA$9+6&gt;=$D11,BA$9&lt;=$E11),1,"")</f>
        <v/>
      </c>
      <c r="BB11">
        <f>IF(AND(BB$9+6&gt;=$D11,BB$9&lt;=$E11),1,"")</f>
        <v/>
      </c>
      <c r="BC11">
        <f>IF(AND(BC$9+6&gt;=$D11,BC$9&lt;=$E11),1,"")</f>
        <v/>
      </c>
      <c r="BD11">
        <f>IF(AND(BD$9+6&gt;=$D11,BD$9&lt;=$E11),1,"")</f>
        <v/>
      </c>
      <c r="BE11">
        <f>IF(AND(BE$9+6&gt;=$D11,BE$9&lt;=$E11),1,"")</f>
        <v/>
      </c>
      <c r="BF11">
        <f>IF(AND(BF$9+6&gt;=$D11,BF$9&lt;=$E11),1,"")</f>
        <v/>
      </c>
      <c r="BG11">
        <f>IF(AND(BG$9+6&gt;=$D11,BG$9&lt;=$E11),1,"")</f>
        <v/>
      </c>
    </row>
    <row r="12">
      <c r="B12" s="8" t="inlineStr">
        <is>
          <t>Project charter, schedule, RASCI, decision log, issues register</t>
        </is>
      </c>
      <c r="C12" s="8" t="inlineStr">
        <is>
          <t>Approved by Oct</t>
        </is>
      </c>
      <c r="D12" s="44" t="n">
        <v>46293</v>
      </c>
      <c r="E12" s="44" t="n">
        <v>46318</v>
      </c>
      <c r="F12" s="8" t="inlineStr">
        <is>
          <t>SST</t>
        </is>
      </c>
      <c r="G12" s="8" t="inlineStr">
        <is>
          <t>Director, Sustainability</t>
        </is>
      </c>
      <c r="H12" s="8" t="inlineStr"/>
      <c r="I12" s="8" t="inlineStr">
        <is>
          <t>Comms, design</t>
        </is>
      </c>
      <c r="J12" s="8" t="inlineStr">
        <is>
          <t>High</t>
        </is>
      </c>
      <c r="K12" s="8" t="inlineStr">
        <is>
          <t>Not yet started</t>
        </is>
      </c>
      <c r="L12">
        <f>IF(AND(L$9+6&gt;=$D12,L$9&lt;=$E12),1,"")</f>
        <v/>
      </c>
      <c r="M12">
        <f>IF(AND(M$9+6&gt;=$D12,M$9&lt;=$E12),1,"")</f>
        <v/>
      </c>
      <c r="N12">
        <f>IF(AND(N$9+6&gt;=$D12,N$9&lt;=$E12),1,"")</f>
        <v/>
      </c>
      <c r="O12">
        <f>IF(AND(O$9+6&gt;=$D12,O$9&lt;=$E12),1,"")</f>
        <v/>
      </c>
      <c r="P12">
        <f>IF(AND(P$9+6&gt;=$D12,P$9&lt;=$E12),1,"")</f>
        <v/>
      </c>
      <c r="Q12">
        <f>IF(AND(Q$9+6&gt;=$D12,Q$9&lt;=$E12),1,"")</f>
        <v/>
      </c>
      <c r="R12">
        <f>IF(AND(R$9+6&gt;=$D12,R$9&lt;=$E12),1,"")</f>
        <v/>
      </c>
      <c r="S12">
        <f>IF(AND(S$9+6&gt;=$D12,S$9&lt;=$E12),1,"")</f>
        <v/>
      </c>
      <c r="T12">
        <f>IF(AND(T$9+6&gt;=$D12,T$9&lt;=$E12),1,"")</f>
        <v/>
      </c>
      <c r="U12">
        <f>IF(AND(U$9+6&gt;=$D12,U$9&lt;=$E12),1,"")</f>
        <v/>
      </c>
      <c r="V12">
        <f>IF(AND(V$9+6&gt;=$D12,V$9&lt;=$E12),1,"")</f>
        <v/>
      </c>
      <c r="W12">
        <f>IF(AND(W$9+6&gt;=$D12,W$9&lt;=$E12),1,"")</f>
        <v/>
      </c>
      <c r="X12">
        <f>IF(AND(X$9+6&gt;=$D12,X$9&lt;=$E12),1,"")</f>
        <v/>
      </c>
      <c r="Y12">
        <f>IF(AND(Y$9+6&gt;=$D12,Y$9&lt;=$E12),1,"")</f>
        <v/>
      </c>
      <c r="Z12">
        <f>IF(AND(Z$9+6&gt;=$D12,Z$9&lt;=$E12),1,"")</f>
        <v/>
      </c>
      <c r="AA12">
        <f>IF(AND(AA$9+6&gt;=$D12,AA$9&lt;=$E12),1,"")</f>
        <v/>
      </c>
      <c r="AB12">
        <f>IF(AND(AB$9+6&gt;=$D12,AB$9&lt;=$E12),1,"")</f>
        <v/>
      </c>
      <c r="AC12">
        <f>IF(AND(AC$9+6&gt;=$D12,AC$9&lt;=$E12),1,"")</f>
        <v/>
      </c>
      <c r="AD12">
        <f>IF(AND(AD$9+6&gt;=$D12,AD$9&lt;=$E12),1,"")</f>
        <v/>
      </c>
      <c r="AE12">
        <f>IF(AND(AE$9+6&gt;=$D12,AE$9&lt;=$E12),1,"")</f>
        <v/>
      </c>
      <c r="AF12">
        <f>IF(AND(AF$9+6&gt;=$D12,AF$9&lt;=$E12),1,"")</f>
        <v/>
      </c>
      <c r="AG12">
        <f>IF(AND(AG$9+6&gt;=$D12,AG$9&lt;=$E12),1,"")</f>
        <v/>
      </c>
      <c r="AH12">
        <f>IF(AND(AH$9+6&gt;=$D12,AH$9&lt;=$E12),1,"")</f>
        <v/>
      </c>
      <c r="AI12">
        <f>IF(AND(AI$9+6&gt;=$D12,AI$9&lt;=$E12),1,"")</f>
        <v/>
      </c>
      <c r="AJ12">
        <f>IF(AND(AJ$9+6&gt;=$D12,AJ$9&lt;=$E12),1,"")</f>
        <v/>
      </c>
      <c r="AK12">
        <f>IF(AND(AK$9+6&gt;=$D12,AK$9&lt;=$E12),1,"")</f>
        <v/>
      </c>
      <c r="AL12">
        <f>IF(AND(AL$9+6&gt;=$D12,AL$9&lt;=$E12),1,"")</f>
        <v/>
      </c>
      <c r="AM12">
        <f>IF(AND(AM$9+6&gt;=$D12,AM$9&lt;=$E12),1,"")</f>
        <v/>
      </c>
      <c r="AN12">
        <f>IF(AND(AN$9+6&gt;=$D12,AN$9&lt;=$E12),1,"")</f>
        <v/>
      </c>
      <c r="AO12">
        <f>IF(AND(AO$9+6&gt;=$D12,AO$9&lt;=$E12),1,"")</f>
        <v/>
      </c>
      <c r="AP12">
        <f>IF(AND(AP$9+6&gt;=$D12,AP$9&lt;=$E12),1,"")</f>
        <v/>
      </c>
      <c r="AQ12">
        <f>IF(AND(AQ$9+6&gt;=$D12,AQ$9&lt;=$E12),1,"")</f>
        <v/>
      </c>
      <c r="AR12">
        <f>IF(AND(AR$9+6&gt;=$D12,AR$9&lt;=$E12),1,"")</f>
        <v/>
      </c>
      <c r="AS12">
        <f>IF(AND(AS$9+6&gt;=$D12,AS$9&lt;=$E12),1,"")</f>
        <v/>
      </c>
      <c r="AT12">
        <f>IF(AND(AT$9+6&gt;=$D12,AT$9&lt;=$E12),1,"")</f>
        <v/>
      </c>
      <c r="AU12">
        <f>IF(AND(AU$9+6&gt;=$D12,AU$9&lt;=$E12),1,"")</f>
        <v/>
      </c>
      <c r="AV12">
        <f>IF(AND(AV$9+6&gt;=$D12,AV$9&lt;=$E12),1,"")</f>
        <v/>
      </c>
      <c r="AW12">
        <f>IF(AND(AW$9+6&gt;=$D12,AW$9&lt;=$E12),1,"")</f>
        <v/>
      </c>
      <c r="AX12">
        <f>IF(AND(AX$9+6&gt;=$D12,AX$9&lt;=$E12),1,"")</f>
        <v/>
      </c>
      <c r="AY12">
        <f>IF(AND(AY$9+6&gt;=$D12,AY$9&lt;=$E12),1,"")</f>
        <v/>
      </c>
      <c r="AZ12">
        <f>IF(AND(AZ$9+6&gt;=$D12,AZ$9&lt;=$E12),1,"")</f>
        <v/>
      </c>
      <c r="BA12">
        <f>IF(AND(BA$9+6&gt;=$D12,BA$9&lt;=$E12),1,"")</f>
        <v/>
      </c>
      <c r="BB12">
        <f>IF(AND(BB$9+6&gt;=$D12,BB$9&lt;=$E12),1,"")</f>
        <v/>
      </c>
      <c r="BC12">
        <f>IF(AND(BC$9+6&gt;=$D12,BC$9&lt;=$E12),1,"")</f>
        <v/>
      </c>
      <c r="BD12">
        <f>IF(AND(BD$9+6&gt;=$D12,BD$9&lt;=$E12),1,"")</f>
        <v/>
      </c>
      <c r="BE12">
        <f>IF(AND(BE$9+6&gt;=$D12,BE$9&lt;=$E12),1,"")</f>
        <v/>
      </c>
      <c r="BF12">
        <f>IF(AND(BF$9+6&gt;=$D12,BF$9&lt;=$E12),1,"")</f>
        <v/>
      </c>
      <c r="BG12">
        <f>IF(AND(BG$9+6&gt;=$D12,BG$9&lt;=$E12),1,"")</f>
        <v/>
      </c>
    </row>
    <row r="13">
      <c r="B13" s="8" t="inlineStr">
        <is>
          <t>Map refreshed targets/indicators to Databook, systems, owners</t>
        </is>
      </c>
      <c r="C13" s="8" t="inlineStr">
        <is>
          <t>Requirements matrix</t>
        </is>
      </c>
      <c r="D13" s="44" t="n">
        <v>46286</v>
      </c>
      <c r="E13" s="44" t="n">
        <v>46311</v>
      </c>
      <c r="F13" s="8" t="inlineStr">
        <is>
          <t>Stefanus</t>
        </is>
      </c>
      <c r="G13" s="8" t="inlineStr">
        <is>
          <t>Gerard Healey</t>
        </is>
      </c>
      <c r="H13" s="8" t="inlineStr">
        <is>
          <t>Rose</t>
        </is>
      </c>
      <c r="I13" s="8" t="inlineStr">
        <is>
          <t>Data owners</t>
        </is>
      </c>
      <c r="J13" s="8" t="inlineStr">
        <is>
          <t>High</t>
        </is>
      </c>
      <c r="K13" s="8" t="inlineStr">
        <is>
          <t>Not yet started</t>
        </is>
      </c>
      <c r="L13">
        <f>IF(AND(L$9+6&gt;=$D13,L$9&lt;=$E13),1,"")</f>
        <v/>
      </c>
      <c r="M13">
        <f>IF(AND(M$9+6&gt;=$D13,M$9&lt;=$E13),1,"")</f>
        <v/>
      </c>
      <c r="N13">
        <f>IF(AND(N$9+6&gt;=$D13,N$9&lt;=$E13),1,"")</f>
        <v/>
      </c>
      <c r="O13">
        <f>IF(AND(O$9+6&gt;=$D13,O$9&lt;=$E13),1,"")</f>
        <v/>
      </c>
      <c r="P13">
        <f>IF(AND(P$9+6&gt;=$D13,P$9&lt;=$E13),1,"")</f>
        <v/>
      </c>
      <c r="Q13">
        <f>IF(AND(Q$9+6&gt;=$D13,Q$9&lt;=$E13),1,"")</f>
        <v/>
      </c>
      <c r="R13">
        <f>IF(AND(R$9+6&gt;=$D13,R$9&lt;=$E13),1,"")</f>
        <v/>
      </c>
      <c r="S13">
        <f>IF(AND(S$9+6&gt;=$D13,S$9&lt;=$E13),1,"")</f>
        <v/>
      </c>
      <c r="T13">
        <f>IF(AND(T$9+6&gt;=$D13,T$9&lt;=$E13),1,"")</f>
        <v/>
      </c>
      <c r="U13">
        <f>IF(AND(U$9+6&gt;=$D13,U$9&lt;=$E13),1,"")</f>
        <v/>
      </c>
      <c r="V13">
        <f>IF(AND(V$9+6&gt;=$D13,V$9&lt;=$E13),1,"")</f>
        <v/>
      </c>
      <c r="W13">
        <f>IF(AND(W$9+6&gt;=$D13,W$9&lt;=$E13),1,"")</f>
        <v/>
      </c>
      <c r="X13">
        <f>IF(AND(X$9+6&gt;=$D13,X$9&lt;=$E13),1,"")</f>
        <v/>
      </c>
      <c r="Y13">
        <f>IF(AND(Y$9+6&gt;=$D13,Y$9&lt;=$E13),1,"")</f>
        <v/>
      </c>
      <c r="Z13">
        <f>IF(AND(Z$9+6&gt;=$D13,Z$9&lt;=$E13),1,"")</f>
        <v/>
      </c>
      <c r="AA13">
        <f>IF(AND(AA$9+6&gt;=$D13,AA$9&lt;=$E13),1,"")</f>
        <v/>
      </c>
      <c r="AB13">
        <f>IF(AND(AB$9+6&gt;=$D13,AB$9&lt;=$E13),1,"")</f>
        <v/>
      </c>
      <c r="AC13">
        <f>IF(AND(AC$9+6&gt;=$D13,AC$9&lt;=$E13),1,"")</f>
        <v/>
      </c>
      <c r="AD13">
        <f>IF(AND(AD$9+6&gt;=$D13,AD$9&lt;=$E13),1,"")</f>
        <v/>
      </c>
      <c r="AE13">
        <f>IF(AND(AE$9+6&gt;=$D13,AE$9&lt;=$E13),1,"")</f>
        <v/>
      </c>
      <c r="AF13">
        <f>IF(AND(AF$9+6&gt;=$D13,AF$9&lt;=$E13),1,"")</f>
        <v/>
      </c>
      <c r="AG13">
        <f>IF(AND(AG$9+6&gt;=$D13,AG$9&lt;=$E13),1,"")</f>
        <v/>
      </c>
      <c r="AH13">
        <f>IF(AND(AH$9+6&gt;=$D13,AH$9&lt;=$E13),1,"")</f>
        <v/>
      </c>
      <c r="AI13">
        <f>IF(AND(AI$9+6&gt;=$D13,AI$9&lt;=$E13),1,"")</f>
        <v/>
      </c>
      <c r="AJ13">
        <f>IF(AND(AJ$9+6&gt;=$D13,AJ$9&lt;=$E13),1,"")</f>
        <v/>
      </c>
      <c r="AK13">
        <f>IF(AND(AK$9+6&gt;=$D13,AK$9&lt;=$E13),1,"")</f>
        <v/>
      </c>
      <c r="AL13">
        <f>IF(AND(AL$9+6&gt;=$D13,AL$9&lt;=$E13),1,"")</f>
        <v/>
      </c>
      <c r="AM13">
        <f>IF(AND(AM$9+6&gt;=$D13,AM$9&lt;=$E13),1,"")</f>
        <v/>
      </c>
      <c r="AN13">
        <f>IF(AND(AN$9+6&gt;=$D13,AN$9&lt;=$E13),1,"")</f>
        <v/>
      </c>
      <c r="AO13">
        <f>IF(AND(AO$9+6&gt;=$D13,AO$9&lt;=$E13),1,"")</f>
        <v/>
      </c>
      <c r="AP13">
        <f>IF(AND(AP$9+6&gt;=$D13,AP$9&lt;=$E13),1,"")</f>
        <v/>
      </c>
      <c r="AQ13">
        <f>IF(AND(AQ$9+6&gt;=$D13,AQ$9&lt;=$E13),1,"")</f>
        <v/>
      </c>
      <c r="AR13">
        <f>IF(AND(AR$9+6&gt;=$D13,AR$9&lt;=$E13),1,"")</f>
        <v/>
      </c>
      <c r="AS13">
        <f>IF(AND(AS$9+6&gt;=$D13,AS$9&lt;=$E13),1,"")</f>
        <v/>
      </c>
      <c r="AT13">
        <f>IF(AND(AT$9+6&gt;=$D13,AT$9&lt;=$E13),1,"")</f>
        <v/>
      </c>
      <c r="AU13">
        <f>IF(AND(AU$9+6&gt;=$D13,AU$9&lt;=$E13),1,"")</f>
        <v/>
      </c>
      <c r="AV13">
        <f>IF(AND(AV$9+6&gt;=$D13,AV$9&lt;=$E13),1,"")</f>
        <v/>
      </c>
      <c r="AW13">
        <f>IF(AND(AW$9+6&gt;=$D13,AW$9&lt;=$E13),1,"")</f>
        <v/>
      </c>
      <c r="AX13">
        <f>IF(AND(AX$9+6&gt;=$D13,AX$9&lt;=$E13),1,"")</f>
        <v/>
      </c>
      <c r="AY13">
        <f>IF(AND(AY$9+6&gt;=$D13,AY$9&lt;=$E13),1,"")</f>
        <v/>
      </c>
      <c r="AZ13">
        <f>IF(AND(AZ$9+6&gt;=$D13,AZ$9&lt;=$E13),1,"")</f>
        <v/>
      </c>
      <c r="BA13">
        <f>IF(AND(BA$9+6&gt;=$D13,BA$9&lt;=$E13),1,"")</f>
        <v/>
      </c>
      <c r="BB13">
        <f>IF(AND(BB$9+6&gt;=$D13,BB$9&lt;=$E13),1,"")</f>
        <v/>
      </c>
      <c r="BC13">
        <f>IF(AND(BC$9+6&gt;=$D13,BC$9&lt;=$E13),1,"")</f>
        <v/>
      </c>
      <c r="BD13">
        <f>IF(AND(BD$9+6&gt;=$D13,BD$9&lt;=$E13),1,"")</f>
        <v/>
      </c>
      <c r="BE13">
        <f>IF(AND(BE$9+6&gt;=$D13,BE$9&lt;=$E13),1,"")</f>
        <v/>
      </c>
      <c r="BF13">
        <f>IF(AND(BF$9+6&gt;=$D13,BF$9&lt;=$E13),1,"")</f>
        <v/>
      </c>
      <c r="BG13">
        <f>IF(AND(BG$9+6&gt;=$D13,BG$9&lt;=$E13),1,"")</f>
        <v/>
      </c>
    </row>
    <row r="14">
      <c r="B14" s="8" t="inlineStr">
        <is>
          <t>Confirm stakeholder structure (CGOP/CDEP/CDSS) and owners (Gerard: resilience, estate)</t>
        </is>
      </c>
      <c r="C14" s="8" t="inlineStr">
        <is>
          <t>Stakeholder map</t>
        </is>
      </c>
      <c r="D14" s="44" t="n">
        <v>46300</v>
      </c>
      <c r="E14" s="44" t="n">
        <v>46311</v>
      </c>
      <c r="F14" s="8" t="inlineStr">
        <is>
          <t>Stefanus</t>
        </is>
      </c>
      <c r="G14" s="8" t="inlineStr">
        <is>
          <t>Gerard Healey</t>
        </is>
      </c>
      <c r="H14" s="8" t="inlineStr"/>
      <c r="I14" s="8" t="inlineStr"/>
      <c r="J14" s="8" t="inlineStr">
        <is>
          <t>High</t>
        </is>
      </c>
      <c r="K14" s="8" t="inlineStr">
        <is>
          <t>Not yet started</t>
        </is>
      </c>
      <c r="L14">
        <f>IF(AND(L$9+6&gt;=$D14,L$9&lt;=$E14),1,"")</f>
        <v/>
      </c>
      <c r="M14">
        <f>IF(AND(M$9+6&gt;=$D14,M$9&lt;=$E14),1,"")</f>
        <v/>
      </c>
      <c r="N14">
        <f>IF(AND(N$9+6&gt;=$D14,N$9&lt;=$E14),1,"")</f>
        <v/>
      </c>
      <c r="O14">
        <f>IF(AND(O$9+6&gt;=$D14,O$9&lt;=$E14),1,"")</f>
        <v/>
      </c>
      <c r="P14">
        <f>IF(AND(P$9+6&gt;=$D14,P$9&lt;=$E14),1,"")</f>
        <v/>
      </c>
      <c r="Q14">
        <f>IF(AND(Q$9+6&gt;=$D14,Q$9&lt;=$E14),1,"")</f>
        <v/>
      </c>
      <c r="R14">
        <f>IF(AND(R$9+6&gt;=$D14,R$9&lt;=$E14),1,"")</f>
        <v/>
      </c>
      <c r="S14">
        <f>IF(AND(S$9+6&gt;=$D14,S$9&lt;=$E14),1,"")</f>
        <v/>
      </c>
      <c r="T14">
        <f>IF(AND(T$9+6&gt;=$D14,T$9&lt;=$E14),1,"")</f>
        <v/>
      </c>
      <c r="U14">
        <f>IF(AND(U$9+6&gt;=$D14,U$9&lt;=$E14),1,"")</f>
        <v/>
      </c>
      <c r="V14">
        <f>IF(AND(V$9+6&gt;=$D14,V$9&lt;=$E14),1,"")</f>
        <v/>
      </c>
      <c r="W14">
        <f>IF(AND(W$9+6&gt;=$D14,W$9&lt;=$E14),1,"")</f>
        <v/>
      </c>
      <c r="X14">
        <f>IF(AND(X$9+6&gt;=$D14,X$9&lt;=$E14),1,"")</f>
        <v/>
      </c>
      <c r="Y14">
        <f>IF(AND(Y$9+6&gt;=$D14,Y$9&lt;=$E14),1,"")</f>
        <v/>
      </c>
      <c r="Z14">
        <f>IF(AND(Z$9+6&gt;=$D14,Z$9&lt;=$E14),1,"")</f>
        <v/>
      </c>
      <c r="AA14">
        <f>IF(AND(AA$9+6&gt;=$D14,AA$9&lt;=$E14),1,"")</f>
        <v/>
      </c>
      <c r="AB14">
        <f>IF(AND(AB$9+6&gt;=$D14,AB$9&lt;=$E14),1,"")</f>
        <v/>
      </c>
      <c r="AC14">
        <f>IF(AND(AC$9+6&gt;=$D14,AC$9&lt;=$E14),1,"")</f>
        <v/>
      </c>
      <c r="AD14">
        <f>IF(AND(AD$9+6&gt;=$D14,AD$9&lt;=$E14),1,"")</f>
        <v/>
      </c>
      <c r="AE14">
        <f>IF(AND(AE$9+6&gt;=$D14,AE$9&lt;=$E14),1,"")</f>
        <v/>
      </c>
      <c r="AF14">
        <f>IF(AND(AF$9+6&gt;=$D14,AF$9&lt;=$E14),1,"")</f>
        <v/>
      </c>
      <c r="AG14">
        <f>IF(AND(AG$9+6&gt;=$D14,AG$9&lt;=$E14),1,"")</f>
        <v/>
      </c>
      <c r="AH14">
        <f>IF(AND(AH$9+6&gt;=$D14,AH$9&lt;=$E14),1,"")</f>
        <v/>
      </c>
      <c r="AI14">
        <f>IF(AND(AI$9+6&gt;=$D14,AI$9&lt;=$E14),1,"")</f>
        <v/>
      </c>
      <c r="AJ14">
        <f>IF(AND(AJ$9+6&gt;=$D14,AJ$9&lt;=$E14),1,"")</f>
        <v/>
      </c>
      <c r="AK14">
        <f>IF(AND(AK$9+6&gt;=$D14,AK$9&lt;=$E14),1,"")</f>
        <v/>
      </c>
      <c r="AL14">
        <f>IF(AND(AL$9+6&gt;=$D14,AL$9&lt;=$E14),1,"")</f>
        <v/>
      </c>
      <c r="AM14">
        <f>IF(AND(AM$9+6&gt;=$D14,AM$9&lt;=$E14),1,"")</f>
        <v/>
      </c>
      <c r="AN14">
        <f>IF(AND(AN$9+6&gt;=$D14,AN$9&lt;=$E14),1,"")</f>
        <v/>
      </c>
      <c r="AO14">
        <f>IF(AND(AO$9+6&gt;=$D14,AO$9&lt;=$E14),1,"")</f>
        <v/>
      </c>
      <c r="AP14">
        <f>IF(AND(AP$9+6&gt;=$D14,AP$9&lt;=$E14),1,"")</f>
        <v/>
      </c>
      <c r="AQ14">
        <f>IF(AND(AQ$9+6&gt;=$D14,AQ$9&lt;=$E14),1,"")</f>
        <v/>
      </c>
      <c r="AR14">
        <f>IF(AND(AR$9+6&gt;=$D14,AR$9&lt;=$E14),1,"")</f>
        <v/>
      </c>
      <c r="AS14">
        <f>IF(AND(AS$9+6&gt;=$D14,AS$9&lt;=$E14),1,"")</f>
        <v/>
      </c>
      <c r="AT14">
        <f>IF(AND(AT$9+6&gt;=$D14,AT$9&lt;=$E14),1,"")</f>
        <v/>
      </c>
      <c r="AU14">
        <f>IF(AND(AU$9+6&gt;=$D14,AU$9&lt;=$E14),1,"")</f>
        <v/>
      </c>
      <c r="AV14">
        <f>IF(AND(AV$9+6&gt;=$D14,AV$9&lt;=$E14),1,"")</f>
        <v/>
      </c>
      <c r="AW14">
        <f>IF(AND(AW$9+6&gt;=$D14,AW$9&lt;=$E14),1,"")</f>
        <v/>
      </c>
      <c r="AX14">
        <f>IF(AND(AX$9+6&gt;=$D14,AX$9&lt;=$E14),1,"")</f>
        <v/>
      </c>
      <c r="AY14">
        <f>IF(AND(AY$9+6&gt;=$D14,AY$9&lt;=$E14),1,"")</f>
        <v/>
      </c>
      <c r="AZ14">
        <f>IF(AND(AZ$9+6&gt;=$D14,AZ$9&lt;=$E14),1,"")</f>
        <v/>
      </c>
      <c r="BA14">
        <f>IF(AND(BA$9+6&gt;=$D14,BA$9&lt;=$E14),1,"")</f>
        <v/>
      </c>
      <c r="BB14">
        <f>IF(AND(BB$9+6&gt;=$D14,BB$9&lt;=$E14),1,"")</f>
        <v/>
      </c>
      <c r="BC14">
        <f>IF(AND(BC$9+6&gt;=$D14,BC$9&lt;=$E14),1,"")</f>
        <v/>
      </c>
      <c r="BD14">
        <f>IF(AND(BD$9+6&gt;=$D14,BD$9&lt;=$E14),1,"")</f>
        <v/>
      </c>
      <c r="BE14">
        <f>IF(AND(BE$9+6&gt;=$D14,BE$9&lt;=$E14),1,"")</f>
        <v/>
      </c>
      <c r="BF14">
        <f>IF(AND(BF$9+6&gt;=$D14,BF$9&lt;=$E14),1,"")</f>
        <v/>
      </c>
      <c r="BG14">
        <f>IF(AND(BG$9+6&gt;=$D14,BG$9&lt;=$E14),1,"")</f>
        <v/>
      </c>
    </row>
    <row r="15">
      <c r="B15" s="8" t="inlineStr">
        <is>
          <t>Pilot request templates with 4 faculties (ABP, Arts, FBE, Science)</t>
        </is>
      </c>
      <c r="C15" s="8" t="inlineStr">
        <is>
          <t>Pilot feedback</t>
        </is>
      </c>
      <c r="D15" s="44" t="n">
        <v>46307</v>
      </c>
      <c r="E15" s="44" t="n">
        <v>46325</v>
      </c>
      <c r="F15" s="8" t="inlineStr">
        <is>
          <t>Stefanus</t>
        </is>
      </c>
      <c r="G15" s="8" t="inlineStr">
        <is>
          <t>Gerard Healey</t>
        </is>
      </c>
      <c r="H15" s="8" t="inlineStr"/>
      <c r="I15" s="8" t="inlineStr">
        <is>
          <t>ADs Sustainability</t>
        </is>
      </c>
      <c r="J15" s="8" t="inlineStr">
        <is>
          <t>High</t>
        </is>
      </c>
      <c r="K15" s="8" t="inlineStr">
        <is>
          <t>Not yet started</t>
        </is>
      </c>
      <c r="L15">
        <f>IF(AND(L$9+6&gt;=$D15,L$9&lt;=$E15),1,"")</f>
        <v/>
      </c>
      <c r="M15">
        <f>IF(AND(M$9+6&gt;=$D15,M$9&lt;=$E15),1,"")</f>
        <v/>
      </c>
      <c r="N15">
        <f>IF(AND(N$9+6&gt;=$D15,N$9&lt;=$E15),1,"")</f>
        <v/>
      </c>
      <c r="O15">
        <f>IF(AND(O$9+6&gt;=$D15,O$9&lt;=$E15),1,"")</f>
        <v/>
      </c>
      <c r="P15">
        <f>IF(AND(P$9+6&gt;=$D15,P$9&lt;=$E15),1,"")</f>
        <v/>
      </c>
      <c r="Q15">
        <f>IF(AND(Q$9+6&gt;=$D15,Q$9&lt;=$E15),1,"")</f>
        <v/>
      </c>
      <c r="R15">
        <f>IF(AND(R$9+6&gt;=$D15,R$9&lt;=$E15),1,"")</f>
        <v/>
      </c>
      <c r="S15">
        <f>IF(AND(S$9+6&gt;=$D15,S$9&lt;=$E15),1,"")</f>
        <v/>
      </c>
      <c r="T15">
        <f>IF(AND(T$9+6&gt;=$D15,T$9&lt;=$E15),1,"")</f>
        <v/>
      </c>
      <c r="U15">
        <f>IF(AND(U$9+6&gt;=$D15,U$9&lt;=$E15),1,"")</f>
        <v/>
      </c>
      <c r="V15">
        <f>IF(AND(V$9+6&gt;=$D15,V$9&lt;=$E15),1,"")</f>
        <v/>
      </c>
      <c r="W15">
        <f>IF(AND(W$9+6&gt;=$D15,W$9&lt;=$E15),1,"")</f>
        <v/>
      </c>
      <c r="X15">
        <f>IF(AND(X$9+6&gt;=$D15,X$9&lt;=$E15),1,"")</f>
        <v/>
      </c>
      <c r="Y15">
        <f>IF(AND(Y$9+6&gt;=$D15,Y$9&lt;=$E15),1,"")</f>
        <v/>
      </c>
      <c r="Z15">
        <f>IF(AND(Z$9+6&gt;=$D15,Z$9&lt;=$E15),1,"")</f>
        <v/>
      </c>
      <c r="AA15">
        <f>IF(AND(AA$9+6&gt;=$D15,AA$9&lt;=$E15),1,"")</f>
        <v/>
      </c>
      <c r="AB15">
        <f>IF(AND(AB$9+6&gt;=$D15,AB$9&lt;=$E15),1,"")</f>
        <v/>
      </c>
      <c r="AC15">
        <f>IF(AND(AC$9+6&gt;=$D15,AC$9&lt;=$E15),1,"")</f>
        <v/>
      </c>
      <c r="AD15">
        <f>IF(AND(AD$9+6&gt;=$D15,AD$9&lt;=$E15),1,"")</f>
        <v/>
      </c>
      <c r="AE15">
        <f>IF(AND(AE$9+6&gt;=$D15,AE$9&lt;=$E15),1,"")</f>
        <v/>
      </c>
      <c r="AF15">
        <f>IF(AND(AF$9+6&gt;=$D15,AF$9&lt;=$E15),1,"")</f>
        <v/>
      </c>
      <c r="AG15">
        <f>IF(AND(AG$9+6&gt;=$D15,AG$9&lt;=$E15),1,"")</f>
        <v/>
      </c>
      <c r="AH15">
        <f>IF(AND(AH$9+6&gt;=$D15,AH$9&lt;=$E15),1,"")</f>
        <v/>
      </c>
      <c r="AI15">
        <f>IF(AND(AI$9+6&gt;=$D15,AI$9&lt;=$E15),1,"")</f>
        <v/>
      </c>
      <c r="AJ15">
        <f>IF(AND(AJ$9+6&gt;=$D15,AJ$9&lt;=$E15),1,"")</f>
        <v/>
      </c>
      <c r="AK15">
        <f>IF(AND(AK$9+6&gt;=$D15,AK$9&lt;=$E15),1,"")</f>
        <v/>
      </c>
      <c r="AL15">
        <f>IF(AND(AL$9+6&gt;=$D15,AL$9&lt;=$E15),1,"")</f>
        <v/>
      </c>
      <c r="AM15">
        <f>IF(AND(AM$9+6&gt;=$D15,AM$9&lt;=$E15),1,"")</f>
        <v/>
      </c>
      <c r="AN15">
        <f>IF(AND(AN$9+6&gt;=$D15,AN$9&lt;=$E15),1,"")</f>
        <v/>
      </c>
      <c r="AO15">
        <f>IF(AND(AO$9+6&gt;=$D15,AO$9&lt;=$E15),1,"")</f>
        <v/>
      </c>
      <c r="AP15">
        <f>IF(AND(AP$9+6&gt;=$D15,AP$9&lt;=$E15),1,"")</f>
        <v/>
      </c>
      <c r="AQ15">
        <f>IF(AND(AQ$9+6&gt;=$D15,AQ$9&lt;=$E15),1,"")</f>
        <v/>
      </c>
      <c r="AR15">
        <f>IF(AND(AR$9+6&gt;=$D15,AR$9&lt;=$E15),1,"")</f>
        <v/>
      </c>
      <c r="AS15">
        <f>IF(AND(AS$9+6&gt;=$D15,AS$9&lt;=$E15),1,"")</f>
        <v/>
      </c>
      <c r="AT15">
        <f>IF(AND(AT$9+6&gt;=$D15,AT$9&lt;=$E15),1,"")</f>
        <v/>
      </c>
      <c r="AU15">
        <f>IF(AND(AU$9+6&gt;=$D15,AU$9&lt;=$E15),1,"")</f>
        <v/>
      </c>
      <c r="AV15">
        <f>IF(AND(AV$9+6&gt;=$D15,AV$9&lt;=$E15),1,"")</f>
        <v/>
      </c>
      <c r="AW15">
        <f>IF(AND(AW$9+6&gt;=$D15,AW$9&lt;=$E15),1,"")</f>
        <v/>
      </c>
      <c r="AX15">
        <f>IF(AND(AX$9+6&gt;=$D15,AX$9&lt;=$E15),1,"")</f>
        <v/>
      </c>
      <c r="AY15">
        <f>IF(AND(AY$9+6&gt;=$D15,AY$9&lt;=$E15),1,"")</f>
        <v/>
      </c>
      <c r="AZ15">
        <f>IF(AND(AZ$9+6&gt;=$D15,AZ$9&lt;=$E15),1,"")</f>
        <v/>
      </c>
      <c r="BA15">
        <f>IF(AND(BA$9+6&gt;=$D15,BA$9&lt;=$E15),1,"")</f>
        <v/>
      </c>
      <c r="BB15">
        <f>IF(AND(BB$9+6&gt;=$D15,BB$9&lt;=$E15),1,"")</f>
        <v/>
      </c>
      <c r="BC15">
        <f>IF(AND(BC$9+6&gt;=$D15,BC$9&lt;=$E15),1,"")</f>
        <v/>
      </c>
      <c r="BD15">
        <f>IF(AND(BD$9+6&gt;=$D15,BD$9&lt;=$E15),1,"")</f>
        <v/>
      </c>
      <c r="BE15">
        <f>IF(AND(BE$9+6&gt;=$D15,BE$9&lt;=$E15),1,"")</f>
        <v/>
      </c>
      <c r="BF15">
        <f>IF(AND(BF$9+6&gt;=$D15,BF$9&lt;=$E15),1,"")</f>
        <v/>
      </c>
      <c r="BG15">
        <f>IF(AND(BG$9+6&gt;=$D15,BG$9&lt;=$E15),1,"")</f>
        <v/>
      </c>
    </row>
    <row r="16">
      <c r="B16" s="8" t="inlineStr">
        <is>
          <t>Approve Review Group criteria, decision rights, escalation pathway</t>
        </is>
      </c>
      <c r="C16" s="8" t="inlineStr">
        <is>
          <t>Before collection</t>
        </is>
      </c>
      <c r="D16" s="44" t="n">
        <v>46300</v>
      </c>
      <c r="E16" s="44" t="n">
        <v>46325</v>
      </c>
      <c r="F16" s="8" t="inlineStr">
        <is>
          <t>SST</t>
        </is>
      </c>
      <c r="G16" s="8" t="inlineStr">
        <is>
          <t>Director, Sustainability</t>
        </is>
      </c>
      <c r="H16" s="8" t="inlineStr"/>
      <c r="I16" s="8" t="inlineStr">
        <is>
          <t>Review Group</t>
        </is>
      </c>
      <c r="J16" s="8" t="inlineStr">
        <is>
          <t>Medium</t>
        </is>
      </c>
      <c r="K16" s="8" t="inlineStr">
        <is>
          <t>Not yet started</t>
        </is>
      </c>
      <c r="L16">
        <f>IF(AND(L$9+6&gt;=$D16,L$9&lt;=$E16),1,"")</f>
        <v/>
      </c>
      <c r="M16">
        <f>IF(AND(M$9+6&gt;=$D16,M$9&lt;=$E16),1,"")</f>
        <v/>
      </c>
      <c r="N16">
        <f>IF(AND(N$9+6&gt;=$D16,N$9&lt;=$E16),1,"")</f>
        <v/>
      </c>
      <c r="O16">
        <f>IF(AND(O$9+6&gt;=$D16,O$9&lt;=$E16),1,"")</f>
        <v/>
      </c>
      <c r="P16">
        <f>IF(AND(P$9+6&gt;=$D16,P$9&lt;=$E16),1,"")</f>
        <v/>
      </c>
      <c r="Q16">
        <f>IF(AND(Q$9+6&gt;=$D16,Q$9&lt;=$E16),1,"")</f>
        <v/>
      </c>
      <c r="R16">
        <f>IF(AND(R$9+6&gt;=$D16,R$9&lt;=$E16),1,"")</f>
        <v/>
      </c>
      <c r="S16">
        <f>IF(AND(S$9+6&gt;=$D16,S$9&lt;=$E16),1,"")</f>
        <v/>
      </c>
      <c r="T16">
        <f>IF(AND(T$9+6&gt;=$D16,T$9&lt;=$E16),1,"")</f>
        <v/>
      </c>
      <c r="U16">
        <f>IF(AND(U$9+6&gt;=$D16,U$9&lt;=$E16),1,"")</f>
        <v/>
      </c>
      <c r="V16">
        <f>IF(AND(V$9+6&gt;=$D16,V$9&lt;=$E16),1,"")</f>
        <v/>
      </c>
      <c r="W16">
        <f>IF(AND(W$9+6&gt;=$D16,W$9&lt;=$E16),1,"")</f>
        <v/>
      </c>
      <c r="X16">
        <f>IF(AND(X$9+6&gt;=$D16,X$9&lt;=$E16),1,"")</f>
        <v/>
      </c>
      <c r="Y16">
        <f>IF(AND(Y$9+6&gt;=$D16,Y$9&lt;=$E16),1,"")</f>
        <v/>
      </c>
      <c r="Z16">
        <f>IF(AND(Z$9+6&gt;=$D16,Z$9&lt;=$E16),1,"")</f>
        <v/>
      </c>
      <c r="AA16">
        <f>IF(AND(AA$9+6&gt;=$D16,AA$9&lt;=$E16),1,"")</f>
        <v/>
      </c>
      <c r="AB16">
        <f>IF(AND(AB$9+6&gt;=$D16,AB$9&lt;=$E16),1,"")</f>
        <v/>
      </c>
      <c r="AC16">
        <f>IF(AND(AC$9+6&gt;=$D16,AC$9&lt;=$E16),1,"")</f>
        <v/>
      </c>
      <c r="AD16">
        <f>IF(AND(AD$9+6&gt;=$D16,AD$9&lt;=$E16),1,"")</f>
        <v/>
      </c>
      <c r="AE16">
        <f>IF(AND(AE$9+6&gt;=$D16,AE$9&lt;=$E16),1,"")</f>
        <v/>
      </c>
      <c r="AF16">
        <f>IF(AND(AF$9+6&gt;=$D16,AF$9&lt;=$E16),1,"")</f>
        <v/>
      </c>
      <c r="AG16">
        <f>IF(AND(AG$9+6&gt;=$D16,AG$9&lt;=$E16),1,"")</f>
        <v/>
      </c>
      <c r="AH16">
        <f>IF(AND(AH$9+6&gt;=$D16,AH$9&lt;=$E16),1,"")</f>
        <v/>
      </c>
      <c r="AI16">
        <f>IF(AND(AI$9+6&gt;=$D16,AI$9&lt;=$E16),1,"")</f>
        <v/>
      </c>
      <c r="AJ16">
        <f>IF(AND(AJ$9+6&gt;=$D16,AJ$9&lt;=$E16),1,"")</f>
        <v/>
      </c>
      <c r="AK16">
        <f>IF(AND(AK$9+6&gt;=$D16,AK$9&lt;=$E16),1,"")</f>
        <v/>
      </c>
      <c r="AL16">
        <f>IF(AND(AL$9+6&gt;=$D16,AL$9&lt;=$E16),1,"")</f>
        <v/>
      </c>
      <c r="AM16">
        <f>IF(AND(AM$9+6&gt;=$D16,AM$9&lt;=$E16),1,"")</f>
        <v/>
      </c>
      <c r="AN16">
        <f>IF(AND(AN$9+6&gt;=$D16,AN$9&lt;=$E16),1,"")</f>
        <v/>
      </c>
      <c r="AO16">
        <f>IF(AND(AO$9+6&gt;=$D16,AO$9&lt;=$E16),1,"")</f>
        <v/>
      </c>
      <c r="AP16">
        <f>IF(AND(AP$9+6&gt;=$D16,AP$9&lt;=$E16),1,"")</f>
        <v/>
      </c>
      <c r="AQ16">
        <f>IF(AND(AQ$9+6&gt;=$D16,AQ$9&lt;=$E16),1,"")</f>
        <v/>
      </c>
      <c r="AR16">
        <f>IF(AND(AR$9+6&gt;=$D16,AR$9&lt;=$E16),1,"")</f>
        <v/>
      </c>
      <c r="AS16">
        <f>IF(AND(AS$9+6&gt;=$D16,AS$9&lt;=$E16),1,"")</f>
        <v/>
      </c>
      <c r="AT16">
        <f>IF(AND(AT$9+6&gt;=$D16,AT$9&lt;=$E16),1,"")</f>
        <v/>
      </c>
      <c r="AU16">
        <f>IF(AND(AU$9+6&gt;=$D16,AU$9&lt;=$E16),1,"")</f>
        <v/>
      </c>
      <c r="AV16">
        <f>IF(AND(AV$9+6&gt;=$D16,AV$9&lt;=$E16),1,"")</f>
        <v/>
      </c>
      <c r="AW16">
        <f>IF(AND(AW$9+6&gt;=$D16,AW$9&lt;=$E16),1,"")</f>
        <v/>
      </c>
      <c r="AX16">
        <f>IF(AND(AX$9+6&gt;=$D16,AX$9&lt;=$E16),1,"")</f>
        <v/>
      </c>
      <c r="AY16">
        <f>IF(AND(AY$9+6&gt;=$D16,AY$9&lt;=$E16),1,"")</f>
        <v/>
      </c>
      <c r="AZ16">
        <f>IF(AND(AZ$9+6&gt;=$D16,AZ$9&lt;=$E16),1,"")</f>
        <v/>
      </c>
      <c r="BA16">
        <f>IF(AND(BA$9+6&gt;=$D16,BA$9&lt;=$E16),1,"")</f>
        <v/>
      </c>
      <c r="BB16">
        <f>IF(AND(BB$9+6&gt;=$D16,BB$9&lt;=$E16),1,"")</f>
        <v/>
      </c>
      <c r="BC16">
        <f>IF(AND(BC$9+6&gt;=$D16,BC$9&lt;=$E16),1,"")</f>
        <v/>
      </c>
      <c r="BD16">
        <f>IF(AND(BD$9+6&gt;=$D16,BD$9&lt;=$E16),1,"")</f>
        <v/>
      </c>
      <c r="BE16">
        <f>IF(AND(BE$9+6&gt;=$D16,BE$9&lt;=$E16),1,"")</f>
        <v/>
      </c>
      <c r="BF16">
        <f>IF(AND(BF$9+6&gt;=$D16,BF$9&lt;=$E16),1,"")</f>
        <v/>
      </c>
      <c r="BG16">
        <f>IF(AND(BG$9+6&gt;=$D16,BG$9&lt;=$E16),1,"")</f>
        <v/>
      </c>
    </row>
    <row r="17">
      <c r="B17" s="71" t="inlineStr">
        <is>
          <t>Process design &amp; launch (Oct 2026)</t>
        </is>
      </c>
      <c r="C17" s="72" t="n"/>
      <c r="D17" s="72" t="n"/>
      <c r="E17" s="72" t="n"/>
      <c r="F17" s="72" t="n"/>
      <c r="G17" s="72" t="n"/>
      <c r="H17" s="72" t="n"/>
      <c r="I17" s="72" t="n"/>
      <c r="J17" s="72" t="n"/>
      <c r="K17" s="72" t="n"/>
      <c r="L17" s="72" t="n"/>
      <c r="M17" s="72" t="n"/>
      <c r="N17" s="72" t="n"/>
      <c r="O17" s="72" t="n"/>
      <c r="P17" s="72" t="n"/>
      <c r="Q17" s="72" t="n"/>
      <c r="R17" s="72" t="n"/>
      <c r="S17" s="72" t="n"/>
      <c r="T17" s="72" t="n"/>
      <c r="U17" s="72" t="n"/>
      <c r="V17" s="72" t="n"/>
      <c r="W17" s="72" t="n"/>
      <c r="X17" s="72" t="n"/>
      <c r="Y17" s="72" t="n"/>
      <c r="Z17" s="72" t="n"/>
      <c r="AA17" s="72" t="n"/>
      <c r="AB17" s="72" t="n"/>
      <c r="AC17" s="72" t="n"/>
      <c r="AD17" s="72" t="n"/>
      <c r="AE17" s="72" t="n"/>
      <c r="AF17" s="72" t="n"/>
      <c r="AG17" s="72" t="n"/>
      <c r="AH17" s="72" t="n"/>
      <c r="AI17" s="72" t="n"/>
      <c r="AJ17" s="72" t="n"/>
      <c r="AK17" s="72" t="n"/>
      <c r="AL17" s="72" t="n"/>
      <c r="AM17" s="72" t="n"/>
      <c r="AN17" s="72" t="n"/>
      <c r="AO17" s="72" t="n"/>
      <c r="AP17" s="72" t="n"/>
      <c r="AQ17" s="72" t="n"/>
      <c r="AR17" s="72" t="n"/>
      <c r="AS17" s="72" t="n"/>
      <c r="AT17" s="72" t="n"/>
      <c r="AU17" s="72" t="n"/>
      <c r="AV17" s="72" t="n"/>
      <c r="AW17" s="72" t="n"/>
      <c r="AX17" s="72" t="n"/>
      <c r="AY17" s="72" t="n"/>
      <c r="AZ17" s="72" t="n"/>
      <c r="BA17" s="72" t="n"/>
      <c r="BB17" s="72" t="n"/>
      <c r="BC17" s="72" t="n"/>
      <c r="BD17" s="72" t="n"/>
      <c r="BE17" s="72" t="n"/>
      <c r="BF17" s="72" t="n"/>
      <c r="BG17" s="72" t="n"/>
    </row>
    <row r="18">
      <c r="B18" s="8" t="inlineStr">
        <is>
          <t>Finalise templates and evidence register</t>
        </is>
      </c>
      <c r="C18" s="8" t="inlineStr">
        <is>
          <t>Templates final</t>
        </is>
      </c>
      <c r="D18" s="44" t="n">
        <v>46314</v>
      </c>
      <c r="E18" s="44" t="n">
        <v>46325</v>
      </c>
      <c r="F18" s="8" t="inlineStr">
        <is>
          <t>Stefanus</t>
        </is>
      </c>
      <c r="G18" s="8" t="inlineStr">
        <is>
          <t>Gerard Healey</t>
        </is>
      </c>
      <c r="H18" s="8" t="inlineStr"/>
      <c r="I18" s="8" t="inlineStr"/>
      <c r="J18" s="8" t="inlineStr">
        <is>
          <t>High</t>
        </is>
      </c>
      <c r="K18" s="8" t="inlineStr">
        <is>
          <t>Not yet started</t>
        </is>
      </c>
      <c r="L18">
        <f>IF(AND(L$9+6&gt;=$D18,L$9&lt;=$E18),1,"")</f>
        <v/>
      </c>
      <c r="M18">
        <f>IF(AND(M$9+6&gt;=$D18,M$9&lt;=$E18),1,"")</f>
        <v/>
      </c>
      <c r="N18">
        <f>IF(AND(N$9+6&gt;=$D18,N$9&lt;=$E18),1,"")</f>
        <v/>
      </c>
      <c r="O18">
        <f>IF(AND(O$9+6&gt;=$D18,O$9&lt;=$E18),1,"")</f>
        <v/>
      </c>
      <c r="P18">
        <f>IF(AND(P$9+6&gt;=$D18,P$9&lt;=$E18),1,"")</f>
        <v/>
      </c>
      <c r="Q18">
        <f>IF(AND(Q$9+6&gt;=$D18,Q$9&lt;=$E18),1,"")</f>
        <v/>
      </c>
      <c r="R18">
        <f>IF(AND(R$9+6&gt;=$D18,R$9&lt;=$E18),1,"")</f>
        <v/>
      </c>
      <c r="S18">
        <f>IF(AND(S$9+6&gt;=$D18,S$9&lt;=$E18),1,"")</f>
        <v/>
      </c>
      <c r="T18">
        <f>IF(AND(T$9+6&gt;=$D18,T$9&lt;=$E18),1,"")</f>
        <v/>
      </c>
      <c r="U18">
        <f>IF(AND(U$9+6&gt;=$D18,U$9&lt;=$E18),1,"")</f>
        <v/>
      </c>
      <c r="V18">
        <f>IF(AND(V$9+6&gt;=$D18,V$9&lt;=$E18),1,"")</f>
        <v/>
      </c>
      <c r="W18">
        <f>IF(AND(W$9+6&gt;=$D18,W$9&lt;=$E18),1,"")</f>
        <v/>
      </c>
      <c r="X18">
        <f>IF(AND(X$9+6&gt;=$D18,X$9&lt;=$E18),1,"")</f>
        <v/>
      </c>
      <c r="Y18">
        <f>IF(AND(Y$9+6&gt;=$D18,Y$9&lt;=$E18),1,"")</f>
        <v/>
      </c>
      <c r="Z18">
        <f>IF(AND(Z$9+6&gt;=$D18,Z$9&lt;=$E18),1,"")</f>
        <v/>
      </c>
      <c r="AA18">
        <f>IF(AND(AA$9+6&gt;=$D18,AA$9&lt;=$E18),1,"")</f>
        <v/>
      </c>
      <c r="AB18">
        <f>IF(AND(AB$9+6&gt;=$D18,AB$9&lt;=$E18),1,"")</f>
        <v/>
      </c>
      <c r="AC18">
        <f>IF(AND(AC$9+6&gt;=$D18,AC$9&lt;=$E18),1,"")</f>
        <v/>
      </c>
      <c r="AD18">
        <f>IF(AND(AD$9+6&gt;=$D18,AD$9&lt;=$E18),1,"")</f>
        <v/>
      </c>
      <c r="AE18">
        <f>IF(AND(AE$9+6&gt;=$D18,AE$9&lt;=$E18),1,"")</f>
        <v/>
      </c>
      <c r="AF18">
        <f>IF(AND(AF$9+6&gt;=$D18,AF$9&lt;=$E18),1,"")</f>
        <v/>
      </c>
      <c r="AG18">
        <f>IF(AND(AG$9+6&gt;=$D18,AG$9&lt;=$E18),1,"")</f>
        <v/>
      </c>
      <c r="AH18">
        <f>IF(AND(AH$9+6&gt;=$D18,AH$9&lt;=$E18),1,"")</f>
        <v/>
      </c>
      <c r="AI18">
        <f>IF(AND(AI$9+6&gt;=$D18,AI$9&lt;=$E18),1,"")</f>
        <v/>
      </c>
      <c r="AJ18">
        <f>IF(AND(AJ$9+6&gt;=$D18,AJ$9&lt;=$E18),1,"")</f>
        <v/>
      </c>
      <c r="AK18">
        <f>IF(AND(AK$9+6&gt;=$D18,AK$9&lt;=$E18),1,"")</f>
        <v/>
      </c>
      <c r="AL18">
        <f>IF(AND(AL$9+6&gt;=$D18,AL$9&lt;=$E18),1,"")</f>
        <v/>
      </c>
      <c r="AM18">
        <f>IF(AND(AM$9+6&gt;=$D18,AM$9&lt;=$E18),1,"")</f>
        <v/>
      </c>
      <c r="AN18">
        <f>IF(AND(AN$9+6&gt;=$D18,AN$9&lt;=$E18),1,"")</f>
        <v/>
      </c>
      <c r="AO18">
        <f>IF(AND(AO$9+6&gt;=$D18,AO$9&lt;=$E18),1,"")</f>
        <v/>
      </c>
      <c r="AP18">
        <f>IF(AND(AP$9+6&gt;=$D18,AP$9&lt;=$E18),1,"")</f>
        <v/>
      </c>
      <c r="AQ18">
        <f>IF(AND(AQ$9+6&gt;=$D18,AQ$9&lt;=$E18),1,"")</f>
        <v/>
      </c>
      <c r="AR18">
        <f>IF(AND(AR$9+6&gt;=$D18,AR$9&lt;=$E18),1,"")</f>
        <v/>
      </c>
      <c r="AS18">
        <f>IF(AND(AS$9+6&gt;=$D18,AS$9&lt;=$E18),1,"")</f>
        <v/>
      </c>
      <c r="AT18">
        <f>IF(AND(AT$9+6&gt;=$D18,AT$9&lt;=$E18),1,"")</f>
        <v/>
      </c>
      <c r="AU18">
        <f>IF(AND(AU$9+6&gt;=$D18,AU$9&lt;=$E18),1,"")</f>
        <v/>
      </c>
      <c r="AV18">
        <f>IF(AND(AV$9+6&gt;=$D18,AV$9&lt;=$E18),1,"")</f>
        <v/>
      </c>
      <c r="AW18">
        <f>IF(AND(AW$9+6&gt;=$D18,AW$9&lt;=$E18),1,"")</f>
        <v/>
      </c>
      <c r="AX18">
        <f>IF(AND(AX$9+6&gt;=$D18,AX$9&lt;=$E18),1,"")</f>
        <v/>
      </c>
      <c r="AY18">
        <f>IF(AND(AY$9+6&gt;=$D18,AY$9&lt;=$E18),1,"")</f>
        <v/>
      </c>
      <c r="AZ18">
        <f>IF(AND(AZ$9+6&gt;=$D18,AZ$9&lt;=$E18),1,"")</f>
        <v/>
      </c>
      <c r="BA18">
        <f>IF(AND(BA$9+6&gt;=$D18,BA$9&lt;=$E18),1,"")</f>
        <v/>
      </c>
      <c r="BB18">
        <f>IF(AND(BB$9+6&gt;=$D18,BB$9&lt;=$E18),1,"")</f>
        <v/>
      </c>
      <c r="BC18">
        <f>IF(AND(BC$9+6&gt;=$D18,BC$9&lt;=$E18),1,"")</f>
        <v/>
      </c>
      <c r="BD18">
        <f>IF(AND(BD$9+6&gt;=$D18,BD$9&lt;=$E18),1,"")</f>
        <v/>
      </c>
      <c r="BE18">
        <f>IF(AND(BE$9+6&gt;=$D18,BE$9&lt;=$E18),1,"")</f>
        <v/>
      </c>
      <c r="BF18">
        <f>IF(AND(BF$9+6&gt;=$D18,BF$9&lt;=$E18),1,"")</f>
        <v/>
      </c>
      <c r="BG18">
        <f>IF(AND(BG$9+6&gt;=$D18,BG$9&lt;=$E18),1,"")</f>
        <v/>
      </c>
    </row>
    <row r="19">
      <c r="B19" s="8" t="inlineStr">
        <is>
          <t>Coordinate with University Annual Report team (dependency map)</t>
        </is>
      </c>
      <c r="C19" s="8" t="inlineStr">
        <is>
          <t>Shared data map</t>
        </is>
      </c>
      <c r="D19" s="44" t="n">
        <v>46300</v>
      </c>
      <c r="E19" s="44" t="n">
        <v>46325</v>
      </c>
      <c r="F19" s="8" t="inlineStr">
        <is>
          <t>SST</t>
        </is>
      </c>
      <c r="G19" s="8" t="inlineStr">
        <is>
          <t>Director, Sustainability</t>
        </is>
      </c>
      <c r="H19" s="8" t="inlineStr"/>
      <c r="I19" s="8" t="inlineStr">
        <is>
          <t>Annual Report team</t>
        </is>
      </c>
      <c r="J19" s="8" t="inlineStr">
        <is>
          <t>High</t>
        </is>
      </c>
      <c r="K19" s="8" t="inlineStr">
        <is>
          <t>Not yet started</t>
        </is>
      </c>
      <c r="L19">
        <f>IF(AND(L$9+6&gt;=$D19,L$9&lt;=$E19),1,"")</f>
        <v/>
      </c>
      <c r="M19">
        <f>IF(AND(M$9+6&gt;=$D19,M$9&lt;=$E19),1,"")</f>
        <v/>
      </c>
      <c r="N19">
        <f>IF(AND(N$9+6&gt;=$D19,N$9&lt;=$E19),1,"")</f>
        <v/>
      </c>
      <c r="O19">
        <f>IF(AND(O$9+6&gt;=$D19,O$9&lt;=$E19),1,"")</f>
        <v/>
      </c>
      <c r="P19">
        <f>IF(AND(P$9+6&gt;=$D19,P$9&lt;=$E19),1,"")</f>
        <v/>
      </c>
      <c r="Q19">
        <f>IF(AND(Q$9+6&gt;=$D19,Q$9&lt;=$E19),1,"")</f>
        <v/>
      </c>
      <c r="R19">
        <f>IF(AND(R$9+6&gt;=$D19,R$9&lt;=$E19),1,"")</f>
        <v/>
      </c>
      <c r="S19">
        <f>IF(AND(S$9+6&gt;=$D19,S$9&lt;=$E19),1,"")</f>
        <v/>
      </c>
      <c r="T19">
        <f>IF(AND(T$9+6&gt;=$D19,T$9&lt;=$E19),1,"")</f>
        <v/>
      </c>
      <c r="U19">
        <f>IF(AND(U$9+6&gt;=$D19,U$9&lt;=$E19),1,"")</f>
        <v/>
      </c>
      <c r="V19">
        <f>IF(AND(V$9+6&gt;=$D19,V$9&lt;=$E19),1,"")</f>
        <v/>
      </c>
      <c r="W19">
        <f>IF(AND(W$9+6&gt;=$D19,W$9&lt;=$E19),1,"")</f>
        <v/>
      </c>
      <c r="X19">
        <f>IF(AND(X$9+6&gt;=$D19,X$9&lt;=$E19),1,"")</f>
        <v/>
      </c>
      <c r="Y19">
        <f>IF(AND(Y$9+6&gt;=$D19,Y$9&lt;=$E19),1,"")</f>
        <v/>
      </c>
      <c r="Z19">
        <f>IF(AND(Z$9+6&gt;=$D19,Z$9&lt;=$E19),1,"")</f>
        <v/>
      </c>
      <c r="AA19">
        <f>IF(AND(AA$9+6&gt;=$D19,AA$9&lt;=$E19),1,"")</f>
        <v/>
      </c>
      <c r="AB19">
        <f>IF(AND(AB$9+6&gt;=$D19,AB$9&lt;=$E19),1,"")</f>
        <v/>
      </c>
      <c r="AC19">
        <f>IF(AND(AC$9+6&gt;=$D19,AC$9&lt;=$E19),1,"")</f>
        <v/>
      </c>
      <c r="AD19">
        <f>IF(AND(AD$9+6&gt;=$D19,AD$9&lt;=$E19),1,"")</f>
        <v/>
      </c>
      <c r="AE19">
        <f>IF(AND(AE$9+6&gt;=$D19,AE$9&lt;=$E19),1,"")</f>
        <v/>
      </c>
      <c r="AF19">
        <f>IF(AND(AF$9+6&gt;=$D19,AF$9&lt;=$E19),1,"")</f>
        <v/>
      </c>
      <c r="AG19">
        <f>IF(AND(AG$9+6&gt;=$D19,AG$9&lt;=$E19),1,"")</f>
        <v/>
      </c>
      <c r="AH19">
        <f>IF(AND(AH$9+6&gt;=$D19,AH$9&lt;=$E19),1,"")</f>
        <v/>
      </c>
      <c r="AI19">
        <f>IF(AND(AI$9+6&gt;=$D19,AI$9&lt;=$E19),1,"")</f>
        <v/>
      </c>
      <c r="AJ19">
        <f>IF(AND(AJ$9+6&gt;=$D19,AJ$9&lt;=$E19),1,"")</f>
        <v/>
      </c>
      <c r="AK19">
        <f>IF(AND(AK$9+6&gt;=$D19,AK$9&lt;=$E19),1,"")</f>
        <v/>
      </c>
      <c r="AL19">
        <f>IF(AND(AL$9+6&gt;=$D19,AL$9&lt;=$E19),1,"")</f>
        <v/>
      </c>
      <c r="AM19">
        <f>IF(AND(AM$9+6&gt;=$D19,AM$9&lt;=$E19),1,"")</f>
        <v/>
      </c>
      <c r="AN19">
        <f>IF(AND(AN$9+6&gt;=$D19,AN$9&lt;=$E19),1,"")</f>
        <v/>
      </c>
      <c r="AO19">
        <f>IF(AND(AO$9+6&gt;=$D19,AO$9&lt;=$E19),1,"")</f>
        <v/>
      </c>
      <c r="AP19">
        <f>IF(AND(AP$9+6&gt;=$D19,AP$9&lt;=$E19),1,"")</f>
        <v/>
      </c>
      <c r="AQ19">
        <f>IF(AND(AQ$9+6&gt;=$D19,AQ$9&lt;=$E19),1,"")</f>
        <v/>
      </c>
      <c r="AR19">
        <f>IF(AND(AR$9+6&gt;=$D19,AR$9&lt;=$E19),1,"")</f>
        <v/>
      </c>
      <c r="AS19">
        <f>IF(AND(AS$9+6&gt;=$D19,AS$9&lt;=$E19),1,"")</f>
        <v/>
      </c>
      <c r="AT19">
        <f>IF(AND(AT$9+6&gt;=$D19,AT$9&lt;=$E19),1,"")</f>
        <v/>
      </c>
      <c r="AU19">
        <f>IF(AND(AU$9+6&gt;=$D19,AU$9&lt;=$E19),1,"")</f>
        <v/>
      </c>
      <c r="AV19">
        <f>IF(AND(AV$9+6&gt;=$D19,AV$9&lt;=$E19),1,"")</f>
        <v/>
      </c>
      <c r="AW19">
        <f>IF(AND(AW$9+6&gt;=$D19,AW$9&lt;=$E19),1,"")</f>
        <v/>
      </c>
      <c r="AX19">
        <f>IF(AND(AX$9+6&gt;=$D19,AX$9&lt;=$E19),1,"")</f>
        <v/>
      </c>
      <c r="AY19">
        <f>IF(AND(AY$9+6&gt;=$D19,AY$9&lt;=$E19),1,"")</f>
        <v/>
      </c>
      <c r="AZ19">
        <f>IF(AND(AZ$9+6&gt;=$D19,AZ$9&lt;=$E19),1,"")</f>
        <v/>
      </c>
      <c r="BA19">
        <f>IF(AND(BA$9+6&gt;=$D19,BA$9&lt;=$E19),1,"")</f>
        <v/>
      </c>
      <c r="BB19">
        <f>IF(AND(BB$9+6&gt;=$D19,BB$9&lt;=$E19),1,"")</f>
        <v/>
      </c>
      <c r="BC19">
        <f>IF(AND(BC$9+6&gt;=$D19,BC$9&lt;=$E19),1,"")</f>
        <v/>
      </c>
      <c r="BD19">
        <f>IF(AND(BD$9+6&gt;=$D19,BD$9&lt;=$E19),1,"")</f>
        <v/>
      </c>
      <c r="BE19">
        <f>IF(AND(BE$9+6&gt;=$D19,BE$9&lt;=$E19),1,"")</f>
        <v/>
      </c>
      <c r="BF19">
        <f>IF(AND(BF$9+6&gt;=$D19,BF$9&lt;=$E19),1,"")</f>
        <v/>
      </c>
      <c r="BG19">
        <f>IF(AND(BG$9+6&gt;=$D19,BG$9&lt;=$E19),1,"")</f>
        <v/>
      </c>
    </row>
    <row r="20">
      <c r="B20" s="8" t="inlineStr">
        <is>
          <t>Convene Strategic Comms, digital &amp; design; agree comms RASCI</t>
        </is>
      </c>
      <c r="C20" s="8" t="inlineStr">
        <is>
          <t>Kick-off</t>
        </is>
      </c>
      <c r="D20" s="44" t="n">
        <v>46300</v>
      </c>
      <c r="E20" s="44" t="n">
        <v>46318</v>
      </c>
      <c r="F20" s="8" t="inlineStr">
        <is>
          <t>SST</t>
        </is>
      </c>
      <c r="G20" s="8" t="inlineStr">
        <is>
          <t>Director, Sustainability</t>
        </is>
      </c>
      <c r="H20" s="8" t="inlineStr">
        <is>
          <t>Strategic Comms</t>
        </is>
      </c>
      <c r="I20" s="8" t="inlineStr">
        <is>
          <t>Design, digital</t>
        </is>
      </c>
      <c r="J20" s="8" t="inlineStr">
        <is>
          <t>High</t>
        </is>
      </c>
      <c r="K20" s="8" t="inlineStr">
        <is>
          <t>Not yet started</t>
        </is>
      </c>
      <c r="L20">
        <f>IF(AND(L$9+6&gt;=$D20,L$9&lt;=$E20),1,"")</f>
        <v/>
      </c>
      <c r="M20">
        <f>IF(AND(M$9+6&gt;=$D20,M$9&lt;=$E20),1,"")</f>
        <v/>
      </c>
      <c r="N20">
        <f>IF(AND(N$9+6&gt;=$D20,N$9&lt;=$E20),1,"")</f>
        <v/>
      </c>
      <c r="O20">
        <f>IF(AND(O$9+6&gt;=$D20,O$9&lt;=$E20),1,"")</f>
        <v/>
      </c>
      <c r="P20">
        <f>IF(AND(P$9+6&gt;=$D20,P$9&lt;=$E20),1,"")</f>
        <v/>
      </c>
      <c r="Q20">
        <f>IF(AND(Q$9+6&gt;=$D20,Q$9&lt;=$E20),1,"")</f>
        <v/>
      </c>
      <c r="R20">
        <f>IF(AND(R$9+6&gt;=$D20,R$9&lt;=$E20),1,"")</f>
        <v/>
      </c>
      <c r="S20">
        <f>IF(AND(S$9+6&gt;=$D20,S$9&lt;=$E20),1,"")</f>
        <v/>
      </c>
      <c r="T20">
        <f>IF(AND(T$9+6&gt;=$D20,T$9&lt;=$E20),1,"")</f>
        <v/>
      </c>
      <c r="U20">
        <f>IF(AND(U$9+6&gt;=$D20,U$9&lt;=$E20),1,"")</f>
        <v/>
      </c>
      <c r="V20">
        <f>IF(AND(V$9+6&gt;=$D20,V$9&lt;=$E20),1,"")</f>
        <v/>
      </c>
      <c r="W20">
        <f>IF(AND(W$9+6&gt;=$D20,W$9&lt;=$E20),1,"")</f>
        <v/>
      </c>
      <c r="X20">
        <f>IF(AND(X$9+6&gt;=$D20,X$9&lt;=$E20),1,"")</f>
        <v/>
      </c>
      <c r="Y20">
        <f>IF(AND(Y$9+6&gt;=$D20,Y$9&lt;=$E20),1,"")</f>
        <v/>
      </c>
      <c r="Z20">
        <f>IF(AND(Z$9+6&gt;=$D20,Z$9&lt;=$E20),1,"")</f>
        <v/>
      </c>
      <c r="AA20">
        <f>IF(AND(AA$9+6&gt;=$D20,AA$9&lt;=$E20),1,"")</f>
        <v/>
      </c>
      <c r="AB20">
        <f>IF(AND(AB$9+6&gt;=$D20,AB$9&lt;=$E20),1,"")</f>
        <v/>
      </c>
      <c r="AC20">
        <f>IF(AND(AC$9+6&gt;=$D20,AC$9&lt;=$E20),1,"")</f>
        <v/>
      </c>
      <c r="AD20">
        <f>IF(AND(AD$9+6&gt;=$D20,AD$9&lt;=$E20),1,"")</f>
        <v/>
      </c>
      <c r="AE20">
        <f>IF(AND(AE$9+6&gt;=$D20,AE$9&lt;=$E20),1,"")</f>
        <v/>
      </c>
      <c r="AF20">
        <f>IF(AND(AF$9+6&gt;=$D20,AF$9&lt;=$E20),1,"")</f>
        <v/>
      </c>
      <c r="AG20">
        <f>IF(AND(AG$9+6&gt;=$D20,AG$9&lt;=$E20),1,"")</f>
        <v/>
      </c>
      <c r="AH20">
        <f>IF(AND(AH$9+6&gt;=$D20,AH$9&lt;=$E20),1,"")</f>
        <v/>
      </c>
      <c r="AI20">
        <f>IF(AND(AI$9+6&gt;=$D20,AI$9&lt;=$E20),1,"")</f>
        <v/>
      </c>
      <c r="AJ20">
        <f>IF(AND(AJ$9+6&gt;=$D20,AJ$9&lt;=$E20),1,"")</f>
        <v/>
      </c>
      <c r="AK20">
        <f>IF(AND(AK$9+6&gt;=$D20,AK$9&lt;=$E20),1,"")</f>
        <v/>
      </c>
      <c r="AL20">
        <f>IF(AND(AL$9+6&gt;=$D20,AL$9&lt;=$E20),1,"")</f>
        <v/>
      </c>
      <c r="AM20">
        <f>IF(AND(AM$9+6&gt;=$D20,AM$9&lt;=$E20),1,"")</f>
        <v/>
      </c>
      <c r="AN20">
        <f>IF(AND(AN$9+6&gt;=$D20,AN$9&lt;=$E20),1,"")</f>
        <v/>
      </c>
      <c r="AO20">
        <f>IF(AND(AO$9+6&gt;=$D20,AO$9&lt;=$E20),1,"")</f>
        <v/>
      </c>
      <c r="AP20">
        <f>IF(AND(AP$9+6&gt;=$D20,AP$9&lt;=$E20),1,"")</f>
        <v/>
      </c>
      <c r="AQ20">
        <f>IF(AND(AQ$9+6&gt;=$D20,AQ$9&lt;=$E20),1,"")</f>
        <v/>
      </c>
      <c r="AR20">
        <f>IF(AND(AR$9+6&gt;=$D20,AR$9&lt;=$E20),1,"")</f>
        <v/>
      </c>
      <c r="AS20">
        <f>IF(AND(AS$9+6&gt;=$D20,AS$9&lt;=$E20),1,"")</f>
        <v/>
      </c>
      <c r="AT20">
        <f>IF(AND(AT$9+6&gt;=$D20,AT$9&lt;=$E20),1,"")</f>
        <v/>
      </c>
      <c r="AU20">
        <f>IF(AND(AU$9+6&gt;=$D20,AU$9&lt;=$E20),1,"")</f>
        <v/>
      </c>
      <c r="AV20">
        <f>IF(AND(AV$9+6&gt;=$D20,AV$9&lt;=$E20),1,"")</f>
        <v/>
      </c>
      <c r="AW20">
        <f>IF(AND(AW$9+6&gt;=$D20,AW$9&lt;=$E20),1,"")</f>
        <v/>
      </c>
      <c r="AX20">
        <f>IF(AND(AX$9+6&gt;=$D20,AX$9&lt;=$E20),1,"")</f>
        <v/>
      </c>
      <c r="AY20">
        <f>IF(AND(AY$9+6&gt;=$D20,AY$9&lt;=$E20),1,"")</f>
        <v/>
      </c>
      <c r="AZ20">
        <f>IF(AND(AZ$9+6&gt;=$D20,AZ$9&lt;=$E20),1,"")</f>
        <v/>
      </c>
      <c r="BA20">
        <f>IF(AND(BA$9+6&gt;=$D20,BA$9&lt;=$E20),1,"")</f>
        <v/>
      </c>
      <c r="BB20">
        <f>IF(AND(BB$9+6&gt;=$D20,BB$9&lt;=$E20),1,"")</f>
        <v/>
      </c>
      <c r="BC20">
        <f>IF(AND(BC$9+6&gt;=$D20,BC$9&lt;=$E20),1,"")</f>
        <v/>
      </c>
      <c r="BD20">
        <f>IF(AND(BD$9+6&gt;=$D20,BD$9&lt;=$E20),1,"")</f>
        <v/>
      </c>
      <c r="BE20">
        <f>IF(AND(BE$9+6&gt;=$D20,BE$9&lt;=$E20),1,"")</f>
        <v/>
      </c>
      <c r="BF20">
        <f>IF(AND(BF$9+6&gt;=$D20,BF$9&lt;=$E20),1,"")</f>
        <v/>
      </c>
      <c r="BG20">
        <f>IF(AND(BG$9+6&gt;=$D20,BG$9&lt;=$E20),1,"")</f>
        <v/>
      </c>
    </row>
    <row r="21">
      <c r="B21" s="8" t="inlineStr">
        <is>
          <t>Sustainability 2030 launch</t>
        </is>
      </c>
      <c r="C21" s="8" t="inlineStr">
        <is>
          <t>~20 Oct (TBC)</t>
        </is>
      </c>
      <c r="D21" s="44" t="n">
        <v>46315</v>
      </c>
      <c r="E21" s="44" t="n">
        <v>46315</v>
      </c>
      <c r="F21" s="8" t="inlineStr"/>
      <c r="G21" s="8" t="inlineStr"/>
      <c r="H21" s="8" t="inlineStr"/>
      <c r="I21" s="8" t="inlineStr"/>
      <c r="J21" s="8" t="inlineStr">
        <is>
          <t>Milestone</t>
        </is>
      </c>
      <c r="K21" s="8" t="inlineStr">
        <is>
          <t>Not yet started</t>
        </is>
      </c>
      <c r="L21">
        <f>IF(AND(L$9+6&gt;=$D21,L$9&lt;=$E21),1,"")</f>
        <v/>
      </c>
      <c r="M21">
        <f>IF(AND(M$9+6&gt;=$D21,M$9&lt;=$E21),1,"")</f>
        <v/>
      </c>
      <c r="N21">
        <f>IF(AND(N$9+6&gt;=$D21,N$9&lt;=$E21),1,"")</f>
        <v/>
      </c>
      <c r="O21">
        <f>IF(AND(O$9+6&gt;=$D21,O$9&lt;=$E21),1,"")</f>
        <v/>
      </c>
      <c r="P21">
        <f>IF(AND(P$9+6&gt;=$D21,P$9&lt;=$E21),1,"")</f>
        <v/>
      </c>
      <c r="Q21">
        <f>IF(AND(Q$9+6&gt;=$D21,Q$9&lt;=$E21),1,"")</f>
        <v/>
      </c>
      <c r="R21">
        <f>IF(AND(R$9+6&gt;=$D21,R$9&lt;=$E21),1,"")</f>
        <v/>
      </c>
      <c r="S21">
        <f>IF(AND(S$9+6&gt;=$D21,S$9&lt;=$E21),1,"")</f>
        <v/>
      </c>
      <c r="T21">
        <f>IF(AND(T$9+6&gt;=$D21,T$9&lt;=$E21),1,"")</f>
        <v/>
      </c>
      <c r="U21">
        <f>IF(AND(U$9+6&gt;=$D21,U$9&lt;=$E21),1,"")</f>
        <v/>
      </c>
      <c r="V21">
        <f>IF(AND(V$9+6&gt;=$D21,V$9&lt;=$E21),1,"")</f>
        <v/>
      </c>
      <c r="W21">
        <f>IF(AND(W$9+6&gt;=$D21,W$9&lt;=$E21),1,"")</f>
        <v/>
      </c>
      <c r="X21">
        <f>IF(AND(X$9+6&gt;=$D21,X$9&lt;=$E21),1,"")</f>
        <v/>
      </c>
      <c r="Y21">
        <f>IF(AND(Y$9+6&gt;=$D21,Y$9&lt;=$E21),1,"")</f>
        <v/>
      </c>
      <c r="Z21">
        <f>IF(AND(Z$9+6&gt;=$D21,Z$9&lt;=$E21),1,"")</f>
        <v/>
      </c>
      <c r="AA21">
        <f>IF(AND(AA$9+6&gt;=$D21,AA$9&lt;=$E21),1,"")</f>
        <v/>
      </c>
      <c r="AB21">
        <f>IF(AND(AB$9+6&gt;=$D21,AB$9&lt;=$E21),1,"")</f>
        <v/>
      </c>
      <c r="AC21">
        <f>IF(AND(AC$9+6&gt;=$D21,AC$9&lt;=$E21),1,"")</f>
        <v/>
      </c>
      <c r="AD21">
        <f>IF(AND(AD$9+6&gt;=$D21,AD$9&lt;=$E21),1,"")</f>
        <v/>
      </c>
      <c r="AE21">
        <f>IF(AND(AE$9+6&gt;=$D21,AE$9&lt;=$E21),1,"")</f>
        <v/>
      </c>
      <c r="AF21">
        <f>IF(AND(AF$9+6&gt;=$D21,AF$9&lt;=$E21),1,"")</f>
        <v/>
      </c>
      <c r="AG21">
        <f>IF(AND(AG$9+6&gt;=$D21,AG$9&lt;=$E21),1,"")</f>
        <v/>
      </c>
      <c r="AH21">
        <f>IF(AND(AH$9+6&gt;=$D21,AH$9&lt;=$E21),1,"")</f>
        <v/>
      </c>
      <c r="AI21">
        <f>IF(AND(AI$9+6&gt;=$D21,AI$9&lt;=$E21),1,"")</f>
        <v/>
      </c>
      <c r="AJ21">
        <f>IF(AND(AJ$9+6&gt;=$D21,AJ$9&lt;=$E21),1,"")</f>
        <v/>
      </c>
      <c r="AK21">
        <f>IF(AND(AK$9+6&gt;=$D21,AK$9&lt;=$E21),1,"")</f>
        <v/>
      </c>
      <c r="AL21">
        <f>IF(AND(AL$9+6&gt;=$D21,AL$9&lt;=$E21),1,"")</f>
        <v/>
      </c>
      <c r="AM21">
        <f>IF(AND(AM$9+6&gt;=$D21,AM$9&lt;=$E21),1,"")</f>
        <v/>
      </c>
      <c r="AN21">
        <f>IF(AND(AN$9+6&gt;=$D21,AN$9&lt;=$E21),1,"")</f>
        <v/>
      </c>
      <c r="AO21">
        <f>IF(AND(AO$9+6&gt;=$D21,AO$9&lt;=$E21),1,"")</f>
        <v/>
      </c>
      <c r="AP21">
        <f>IF(AND(AP$9+6&gt;=$D21,AP$9&lt;=$E21),1,"")</f>
        <v/>
      </c>
      <c r="AQ21">
        <f>IF(AND(AQ$9+6&gt;=$D21,AQ$9&lt;=$E21),1,"")</f>
        <v/>
      </c>
      <c r="AR21">
        <f>IF(AND(AR$9+6&gt;=$D21,AR$9&lt;=$E21),1,"")</f>
        <v/>
      </c>
      <c r="AS21">
        <f>IF(AND(AS$9+6&gt;=$D21,AS$9&lt;=$E21),1,"")</f>
        <v/>
      </c>
      <c r="AT21">
        <f>IF(AND(AT$9+6&gt;=$D21,AT$9&lt;=$E21),1,"")</f>
        <v/>
      </c>
      <c r="AU21">
        <f>IF(AND(AU$9+6&gt;=$D21,AU$9&lt;=$E21),1,"")</f>
        <v/>
      </c>
      <c r="AV21">
        <f>IF(AND(AV$9+6&gt;=$D21,AV$9&lt;=$E21),1,"")</f>
        <v/>
      </c>
      <c r="AW21">
        <f>IF(AND(AW$9+6&gt;=$D21,AW$9&lt;=$E21),1,"")</f>
        <v/>
      </c>
      <c r="AX21">
        <f>IF(AND(AX$9+6&gt;=$D21,AX$9&lt;=$E21),1,"")</f>
        <v/>
      </c>
      <c r="AY21">
        <f>IF(AND(AY$9+6&gt;=$D21,AY$9&lt;=$E21),1,"")</f>
        <v/>
      </c>
      <c r="AZ21">
        <f>IF(AND(AZ$9+6&gt;=$D21,AZ$9&lt;=$E21),1,"")</f>
        <v/>
      </c>
      <c r="BA21">
        <f>IF(AND(BA$9+6&gt;=$D21,BA$9&lt;=$E21),1,"")</f>
        <v/>
      </c>
      <c r="BB21">
        <f>IF(AND(BB$9+6&gt;=$D21,BB$9&lt;=$E21),1,"")</f>
        <v/>
      </c>
      <c r="BC21">
        <f>IF(AND(BC$9+6&gt;=$D21,BC$9&lt;=$E21),1,"")</f>
        <v/>
      </c>
      <c r="BD21">
        <f>IF(AND(BD$9+6&gt;=$D21,BD$9&lt;=$E21),1,"")</f>
        <v/>
      </c>
      <c r="BE21">
        <f>IF(AND(BE$9+6&gt;=$D21,BE$9&lt;=$E21),1,"")</f>
        <v/>
      </c>
      <c r="BF21">
        <f>IF(AND(BF$9+6&gt;=$D21,BF$9&lt;=$E21),1,"")</f>
        <v/>
      </c>
      <c r="BG21">
        <f>IF(AND(BG$9+6&gt;=$D21,BG$9&lt;=$E21),1,"")</f>
        <v/>
      </c>
    </row>
    <row r="22">
      <c r="B22" s="8" t="inlineStr">
        <is>
          <t>Brief contributor groups / working groups (after launch)</t>
        </is>
      </c>
      <c r="C22" s="8" t="inlineStr"/>
      <c r="D22" s="44" t="n">
        <v>46315</v>
      </c>
      <c r="E22" s="44" t="n">
        <v>46332</v>
      </c>
      <c r="F22" s="8" t="inlineStr">
        <is>
          <t>SST</t>
        </is>
      </c>
      <c r="G22" s="8" t="inlineStr"/>
      <c r="H22" s="8" t="inlineStr"/>
      <c r="I22" s="8" t="inlineStr">
        <is>
          <t>Working groups</t>
        </is>
      </c>
      <c r="J22" s="8" t="inlineStr">
        <is>
          <t>Medium</t>
        </is>
      </c>
      <c r="K22" s="8" t="inlineStr">
        <is>
          <t>Not yet started</t>
        </is>
      </c>
      <c r="L22">
        <f>IF(AND(L$9+6&gt;=$D22,L$9&lt;=$E22),1,"")</f>
        <v/>
      </c>
      <c r="M22">
        <f>IF(AND(M$9+6&gt;=$D22,M$9&lt;=$E22),1,"")</f>
        <v/>
      </c>
      <c r="N22">
        <f>IF(AND(N$9+6&gt;=$D22,N$9&lt;=$E22),1,"")</f>
        <v/>
      </c>
      <c r="O22">
        <f>IF(AND(O$9+6&gt;=$D22,O$9&lt;=$E22),1,"")</f>
        <v/>
      </c>
      <c r="P22">
        <f>IF(AND(P$9+6&gt;=$D22,P$9&lt;=$E22),1,"")</f>
        <v/>
      </c>
      <c r="Q22">
        <f>IF(AND(Q$9+6&gt;=$D22,Q$9&lt;=$E22),1,"")</f>
        <v/>
      </c>
      <c r="R22">
        <f>IF(AND(R$9+6&gt;=$D22,R$9&lt;=$E22),1,"")</f>
        <v/>
      </c>
      <c r="S22">
        <f>IF(AND(S$9+6&gt;=$D22,S$9&lt;=$E22),1,"")</f>
        <v/>
      </c>
      <c r="T22">
        <f>IF(AND(T$9+6&gt;=$D22,T$9&lt;=$E22),1,"")</f>
        <v/>
      </c>
      <c r="U22">
        <f>IF(AND(U$9+6&gt;=$D22,U$9&lt;=$E22),1,"")</f>
        <v/>
      </c>
      <c r="V22">
        <f>IF(AND(V$9+6&gt;=$D22,V$9&lt;=$E22),1,"")</f>
        <v/>
      </c>
      <c r="W22">
        <f>IF(AND(W$9+6&gt;=$D22,W$9&lt;=$E22),1,"")</f>
        <v/>
      </c>
      <c r="X22">
        <f>IF(AND(X$9+6&gt;=$D22,X$9&lt;=$E22),1,"")</f>
        <v/>
      </c>
      <c r="Y22">
        <f>IF(AND(Y$9+6&gt;=$D22,Y$9&lt;=$E22),1,"")</f>
        <v/>
      </c>
      <c r="Z22">
        <f>IF(AND(Z$9+6&gt;=$D22,Z$9&lt;=$E22),1,"")</f>
        <v/>
      </c>
      <c r="AA22">
        <f>IF(AND(AA$9+6&gt;=$D22,AA$9&lt;=$E22),1,"")</f>
        <v/>
      </c>
      <c r="AB22">
        <f>IF(AND(AB$9+6&gt;=$D22,AB$9&lt;=$E22),1,"")</f>
        <v/>
      </c>
      <c r="AC22">
        <f>IF(AND(AC$9+6&gt;=$D22,AC$9&lt;=$E22),1,"")</f>
        <v/>
      </c>
      <c r="AD22">
        <f>IF(AND(AD$9+6&gt;=$D22,AD$9&lt;=$E22),1,"")</f>
        <v/>
      </c>
      <c r="AE22">
        <f>IF(AND(AE$9+6&gt;=$D22,AE$9&lt;=$E22),1,"")</f>
        <v/>
      </c>
      <c r="AF22">
        <f>IF(AND(AF$9+6&gt;=$D22,AF$9&lt;=$E22),1,"")</f>
        <v/>
      </c>
      <c r="AG22">
        <f>IF(AND(AG$9+6&gt;=$D22,AG$9&lt;=$E22),1,"")</f>
        <v/>
      </c>
      <c r="AH22">
        <f>IF(AND(AH$9+6&gt;=$D22,AH$9&lt;=$E22),1,"")</f>
        <v/>
      </c>
      <c r="AI22">
        <f>IF(AND(AI$9+6&gt;=$D22,AI$9&lt;=$E22),1,"")</f>
        <v/>
      </c>
      <c r="AJ22">
        <f>IF(AND(AJ$9+6&gt;=$D22,AJ$9&lt;=$E22),1,"")</f>
        <v/>
      </c>
      <c r="AK22">
        <f>IF(AND(AK$9+6&gt;=$D22,AK$9&lt;=$E22),1,"")</f>
        <v/>
      </c>
      <c r="AL22">
        <f>IF(AND(AL$9+6&gt;=$D22,AL$9&lt;=$E22),1,"")</f>
        <v/>
      </c>
      <c r="AM22">
        <f>IF(AND(AM$9+6&gt;=$D22,AM$9&lt;=$E22),1,"")</f>
        <v/>
      </c>
      <c r="AN22">
        <f>IF(AND(AN$9+6&gt;=$D22,AN$9&lt;=$E22),1,"")</f>
        <v/>
      </c>
      <c r="AO22">
        <f>IF(AND(AO$9+6&gt;=$D22,AO$9&lt;=$E22),1,"")</f>
        <v/>
      </c>
      <c r="AP22">
        <f>IF(AND(AP$9+6&gt;=$D22,AP$9&lt;=$E22),1,"")</f>
        <v/>
      </c>
      <c r="AQ22">
        <f>IF(AND(AQ$9+6&gt;=$D22,AQ$9&lt;=$E22),1,"")</f>
        <v/>
      </c>
      <c r="AR22">
        <f>IF(AND(AR$9+6&gt;=$D22,AR$9&lt;=$E22),1,"")</f>
        <v/>
      </c>
      <c r="AS22">
        <f>IF(AND(AS$9+6&gt;=$D22,AS$9&lt;=$E22),1,"")</f>
        <v/>
      </c>
      <c r="AT22">
        <f>IF(AND(AT$9+6&gt;=$D22,AT$9&lt;=$E22),1,"")</f>
        <v/>
      </c>
      <c r="AU22">
        <f>IF(AND(AU$9+6&gt;=$D22,AU$9&lt;=$E22),1,"")</f>
        <v/>
      </c>
      <c r="AV22">
        <f>IF(AND(AV$9+6&gt;=$D22,AV$9&lt;=$E22),1,"")</f>
        <v/>
      </c>
      <c r="AW22">
        <f>IF(AND(AW$9+6&gt;=$D22,AW$9&lt;=$E22),1,"")</f>
        <v/>
      </c>
      <c r="AX22">
        <f>IF(AND(AX$9+6&gt;=$D22,AX$9&lt;=$E22),1,"")</f>
        <v/>
      </c>
      <c r="AY22">
        <f>IF(AND(AY$9+6&gt;=$D22,AY$9&lt;=$E22),1,"")</f>
        <v/>
      </c>
      <c r="AZ22">
        <f>IF(AND(AZ$9+6&gt;=$D22,AZ$9&lt;=$E22),1,"")</f>
        <v/>
      </c>
      <c r="BA22">
        <f>IF(AND(BA$9+6&gt;=$D22,BA$9&lt;=$E22),1,"")</f>
        <v/>
      </c>
      <c r="BB22">
        <f>IF(AND(BB$9+6&gt;=$D22,BB$9&lt;=$E22),1,"")</f>
        <v/>
      </c>
      <c r="BC22">
        <f>IF(AND(BC$9+6&gt;=$D22,BC$9&lt;=$E22),1,"")</f>
        <v/>
      </c>
      <c r="BD22">
        <f>IF(AND(BD$9+6&gt;=$D22,BD$9&lt;=$E22),1,"")</f>
        <v/>
      </c>
      <c r="BE22">
        <f>IF(AND(BE$9+6&gt;=$D22,BE$9&lt;=$E22),1,"")</f>
        <v/>
      </c>
      <c r="BF22">
        <f>IF(AND(BF$9+6&gt;=$D22,BF$9&lt;=$E22),1,"")</f>
        <v/>
      </c>
      <c r="BG22">
        <f>IF(AND(BG$9+6&gt;=$D22,BG$9&lt;=$E22),1,"")</f>
        <v/>
      </c>
    </row>
    <row r="23">
      <c r="B23" s="8" t="inlineStr">
        <is>
          <t>Joint ADs Sustainability &amp; ADs T&amp;L session</t>
        </is>
      </c>
      <c r="C23" s="8" t="inlineStr">
        <is>
          <t>Structured prompt in advance</t>
        </is>
      </c>
      <c r="D23" s="44" t="n">
        <v>46314</v>
      </c>
      <c r="E23" s="44" t="n">
        <v>46325</v>
      </c>
      <c r="F23" s="8" t="inlineStr">
        <is>
          <t>SST</t>
        </is>
      </c>
      <c r="G23" s="8" t="inlineStr"/>
      <c r="H23" s="8" t="inlineStr"/>
      <c r="I23" s="8" t="inlineStr">
        <is>
          <t>ADs</t>
        </is>
      </c>
      <c r="J23" s="8" t="inlineStr">
        <is>
          <t>Medium</t>
        </is>
      </c>
      <c r="K23" s="8" t="inlineStr">
        <is>
          <t>Not yet started</t>
        </is>
      </c>
      <c r="L23">
        <f>IF(AND(L$9+6&gt;=$D23,L$9&lt;=$E23),1,"")</f>
        <v/>
      </c>
      <c r="M23">
        <f>IF(AND(M$9+6&gt;=$D23,M$9&lt;=$E23),1,"")</f>
        <v/>
      </c>
      <c r="N23">
        <f>IF(AND(N$9+6&gt;=$D23,N$9&lt;=$E23),1,"")</f>
        <v/>
      </c>
      <c r="O23">
        <f>IF(AND(O$9+6&gt;=$D23,O$9&lt;=$E23),1,"")</f>
        <v/>
      </c>
      <c r="P23">
        <f>IF(AND(P$9+6&gt;=$D23,P$9&lt;=$E23),1,"")</f>
        <v/>
      </c>
      <c r="Q23">
        <f>IF(AND(Q$9+6&gt;=$D23,Q$9&lt;=$E23),1,"")</f>
        <v/>
      </c>
      <c r="R23">
        <f>IF(AND(R$9+6&gt;=$D23,R$9&lt;=$E23),1,"")</f>
        <v/>
      </c>
      <c r="S23">
        <f>IF(AND(S$9+6&gt;=$D23,S$9&lt;=$E23),1,"")</f>
        <v/>
      </c>
      <c r="T23">
        <f>IF(AND(T$9+6&gt;=$D23,T$9&lt;=$E23),1,"")</f>
        <v/>
      </c>
      <c r="U23">
        <f>IF(AND(U$9+6&gt;=$D23,U$9&lt;=$E23),1,"")</f>
        <v/>
      </c>
      <c r="V23">
        <f>IF(AND(V$9+6&gt;=$D23,V$9&lt;=$E23),1,"")</f>
        <v/>
      </c>
      <c r="W23">
        <f>IF(AND(W$9+6&gt;=$D23,W$9&lt;=$E23),1,"")</f>
        <v/>
      </c>
      <c r="X23">
        <f>IF(AND(X$9+6&gt;=$D23,X$9&lt;=$E23),1,"")</f>
        <v/>
      </c>
      <c r="Y23">
        <f>IF(AND(Y$9+6&gt;=$D23,Y$9&lt;=$E23),1,"")</f>
        <v/>
      </c>
      <c r="Z23">
        <f>IF(AND(Z$9+6&gt;=$D23,Z$9&lt;=$E23),1,"")</f>
        <v/>
      </c>
      <c r="AA23">
        <f>IF(AND(AA$9+6&gt;=$D23,AA$9&lt;=$E23),1,"")</f>
        <v/>
      </c>
      <c r="AB23">
        <f>IF(AND(AB$9+6&gt;=$D23,AB$9&lt;=$E23),1,"")</f>
        <v/>
      </c>
      <c r="AC23">
        <f>IF(AND(AC$9+6&gt;=$D23,AC$9&lt;=$E23),1,"")</f>
        <v/>
      </c>
      <c r="AD23">
        <f>IF(AND(AD$9+6&gt;=$D23,AD$9&lt;=$E23),1,"")</f>
        <v/>
      </c>
      <c r="AE23">
        <f>IF(AND(AE$9+6&gt;=$D23,AE$9&lt;=$E23),1,"")</f>
        <v/>
      </c>
      <c r="AF23">
        <f>IF(AND(AF$9+6&gt;=$D23,AF$9&lt;=$E23),1,"")</f>
        <v/>
      </c>
      <c r="AG23">
        <f>IF(AND(AG$9+6&gt;=$D23,AG$9&lt;=$E23),1,"")</f>
        <v/>
      </c>
      <c r="AH23">
        <f>IF(AND(AH$9+6&gt;=$D23,AH$9&lt;=$E23),1,"")</f>
        <v/>
      </c>
      <c r="AI23">
        <f>IF(AND(AI$9+6&gt;=$D23,AI$9&lt;=$E23),1,"")</f>
        <v/>
      </c>
      <c r="AJ23">
        <f>IF(AND(AJ$9+6&gt;=$D23,AJ$9&lt;=$E23),1,"")</f>
        <v/>
      </c>
      <c r="AK23">
        <f>IF(AND(AK$9+6&gt;=$D23,AK$9&lt;=$E23),1,"")</f>
        <v/>
      </c>
      <c r="AL23">
        <f>IF(AND(AL$9+6&gt;=$D23,AL$9&lt;=$E23),1,"")</f>
        <v/>
      </c>
      <c r="AM23">
        <f>IF(AND(AM$9+6&gt;=$D23,AM$9&lt;=$E23),1,"")</f>
        <v/>
      </c>
      <c r="AN23">
        <f>IF(AND(AN$9+6&gt;=$D23,AN$9&lt;=$E23),1,"")</f>
        <v/>
      </c>
      <c r="AO23">
        <f>IF(AND(AO$9+6&gt;=$D23,AO$9&lt;=$E23),1,"")</f>
        <v/>
      </c>
      <c r="AP23">
        <f>IF(AND(AP$9+6&gt;=$D23,AP$9&lt;=$E23),1,"")</f>
        <v/>
      </c>
      <c r="AQ23">
        <f>IF(AND(AQ$9+6&gt;=$D23,AQ$9&lt;=$E23),1,"")</f>
        <v/>
      </c>
      <c r="AR23">
        <f>IF(AND(AR$9+6&gt;=$D23,AR$9&lt;=$E23),1,"")</f>
        <v/>
      </c>
      <c r="AS23">
        <f>IF(AND(AS$9+6&gt;=$D23,AS$9&lt;=$E23),1,"")</f>
        <v/>
      </c>
      <c r="AT23">
        <f>IF(AND(AT$9+6&gt;=$D23,AT$9&lt;=$E23),1,"")</f>
        <v/>
      </c>
      <c r="AU23">
        <f>IF(AND(AU$9+6&gt;=$D23,AU$9&lt;=$E23),1,"")</f>
        <v/>
      </c>
      <c r="AV23">
        <f>IF(AND(AV$9+6&gt;=$D23,AV$9&lt;=$E23),1,"")</f>
        <v/>
      </c>
      <c r="AW23">
        <f>IF(AND(AW$9+6&gt;=$D23,AW$9&lt;=$E23),1,"")</f>
        <v/>
      </c>
      <c r="AX23">
        <f>IF(AND(AX$9+6&gt;=$D23,AX$9&lt;=$E23),1,"")</f>
        <v/>
      </c>
      <c r="AY23">
        <f>IF(AND(AY$9+6&gt;=$D23,AY$9&lt;=$E23),1,"")</f>
        <v/>
      </c>
      <c r="AZ23">
        <f>IF(AND(AZ$9+6&gt;=$D23,AZ$9&lt;=$E23),1,"")</f>
        <v/>
      </c>
      <c r="BA23">
        <f>IF(AND(BA$9+6&gt;=$D23,BA$9&lt;=$E23),1,"")</f>
        <v/>
      </c>
      <c r="BB23">
        <f>IF(AND(BB$9+6&gt;=$D23,BB$9&lt;=$E23),1,"")</f>
        <v/>
      </c>
      <c r="BC23">
        <f>IF(AND(BC$9+6&gt;=$D23,BC$9&lt;=$E23),1,"")</f>
        <v/>
      </c>
      <c r="BD23">
        <f>IF(AND(BD$9+6&gt;=$D23,BD$9&lt;=$E23),1,"")</f>
        <v/>
      </c>
      <c r="BE23">
        <f>IF(AND(BE$9+6&gt;=$D23,BE$9&lt;=$E23),1,"")</f>
        <v/>
      </c>
      <c r="BF23">
        <f>IF(AND(BF$9+6&gt;=$D23,BF$9&lt;=$E23),1,"")</f>
        <v/>
      </c>
      <c r="BG23">
        <f>IF(AND(BG$9+6&gt;=$D23,BG$9&lt;=$E23),1,"")</f>
        <v/>
      </c>
    </row>
    <row r="24">
      <c r="B24" s="8" t="inlineStr">
        <is>
          <t>Open case-study calls (University-wide + faculty networks)</t>
        </is>
      </c>
      <c r="C24" s="8" t="inlineStr">
        <is>
          <t>Close early Dec</t>
        </is>
      </c>
      <c r="D24" s="44" t="n">
        <v>46315</v>
      </c>
      <c r="E24" s="44" t="n">
        <v>46360</v>
      </c>
      <c r="F24" s="8" t="inlineStr">
        <is>
          <t>SST</t>
        </is>
      </c>
      <c r="G24" s="8" t="inlineStr"/>
      <c r="H24" s="8" t="inlineStr">
        <is>
          <t>Comms</t>
        </is>
      </c>
      <c r="I24" s="8" t="inlineStr">
        <is>
          <t>All staff</t>
        </is>
      </c>
      <c r="J24" s="8" t="inlineStr">
        <is>
          <t>Medium</t>
        </is>
      </c>
      <c r="K24" s="8" t="inlineStr">
        <is>
          <t>Not yet started</t>
        </is>
      </c>
      <c r="L24">
        <f>IF(AND(L$9+6&gt;=$D24,L$9&lt;=$E24),1,"")</f>
        <v/>
      </c>
      <c r="M24">
        <f>IF(AND(M$9+6&gt;=$D24,M$9&lt;=$E24),1,"")</f>
        <v/>
      </c>
      <c r="N24">
        <f>IF(AND(N$9+6&gt;=$D24,N$9&lt;=$E24),1,"")</f>
        <v/>
      </c>
      <c r="O24">
        <f>IF(AND(O$9+6&gt;=$D24,O$9&lt;=$E24),1,"")</f>
        <v/>
      </c>
      <c r="P24">
        <f>IF(AND(P$9+6&gt;=$D24,P$9&lt;=$E24),1,"")</f>
        <v/>
      </c>
      <c r="Q24">
        <f>IF(AND(Q$9+6&gt;=$D24,Q$9&lt;=$E24),1,"")</f>
        <v/>
      </c>
      <c r="R24">
        <f>IF(AND(R$9+6&gt;=$D24,R$9&lt;=$E24),1,"")</f>
        <v/>
      </c>
      <c r="S24">
        <f>IF(AND(S$9+6&gt;=$D24,S$9&lt;=$E24),1,"")</f>
        <v/>
      </c>
      <c r="T24">
        <f>IF(AND(T$9+6&gt;=$D24,T$9&lt;=$E24),1,"")</f>
        <v/>
      </c>
      <c r="U24">
        <f>IF(AND(U$9+6&gt;=$D24,U$9&lt;=$E24),1,"")</f>
        <v/>
      </c>
      <c r="V24">
        <f>IF(AND(V$9+6&gt;=$D24,V$9&lt;=$E24),1,"")</f>
        <v/>
      </c>
      <c r="W24">
        <f>IF(AND(W$9+6&gt;=$D24,W$9&lt;=$E24),1,"")</f>
        <v/>
      </c>
      <c r="X24">
        <f>IF(AND(X$9+6&gt;=$D24,X$9&lt;=$E24),1,"")</f>
        <v/>
      </c>
      <c r="Y24">
        <f>IF(AND(Y$9+6&gt;=$D24,Y$9&lt;=$E24),1,"")</f>
        <v/>
      </c>
      <c r="Z24">
        <f>IF(AND(Z$9+6&gt;=$D24,Z$9&lt;=$E24),1,"")</f>
        <v/>
      </c>
      <c r="AA24">
        <f>IF(AND(AA$9+6&gt;=$D24,AA$9&lt;=$E24),1,"")</f>
        <v/>
      </c>
      <c r="AB24">
        <f>IF(AND(AB$9+6&gt;=$D24,AB$9&lt;=$E24),1,"")</f>
        <v/>
      </c>
      <c r="AC24">
        <f>IF(AND(AC$9+6&gt;=$D24,AC$9&lt;=$E24),1,"")</f>
        <v/>
      </c>
      <c r="AD24">
        <f>IF(AND(AD$9+6&gt;=$D24,AD$9&lt;=$E24),1,"")</f>
        <v/>
      </c>
      <c r="AE24">
        <f>IF(AND(AE$9+6&gt;=$D24,AE$9&lt;=$E24),1,"")</f>
        <v/>
      </c>
      <c r="AF24">
        <f>IF(AND(AF$9+6&gt;=$D24,AF$9&lt;=$E24),1,"")</f>
        <v/>
      </c>
      <c r="AG24">
        <f>IF(AND(AG$9+6&gt;=$D24,AG$9&lt;=$E24),1,"")</f>
        <v/>
      </c>
      <c r="AH24">
        <f>IF(AND(AH$9+6&gt;=$D24,AH$9&lt;=$E24),1,"")</f>
        <v/>
      </c>
      <c r="AI24">
        <f>IF(AND(AI$9+6&gt;=$D24,AI$9&lt;=$E24),1,"")</f>
        <v/>
      </c>
      <c r="AJ24">
        <f>IF(AND(AJ$9+6&gt;=$D24,AJ$9&lt;=$E24),1,"")</f>
        <v/>
      </c>
      <c r="AK24">
        <f>IF(AND(AK$9+6&gt;=$D24,AK$9&lt;=$E24),1,"")</f>
        <v/>
      </c>
      <c r="AL24">
        <f>IF(AND(AL$9+6&gt;=$D24,AL$9&lt;=$E24),1,"")</f>
        <v/>
      </c>
      <c r="AM24">
        <f>IF(AND(AM$9+6&gt;=$D24,AM$9&lt;=$E24),1,"")</f>
        <v/>
      </c>
      <c r="AN24">
        <f>IF(AND(AN$9+6&gt;=$D24,AN$9&lt;=$E24),1,"")</f>
        <v/>
      </c>
      <c r="AO24">
        <f>IF(AND(AO$9+6&gt;=$D24,AO$9&lt;=$E24),1,"")</f>
        <v/>
      </c>
      <c r="AP24">
        <f>IF(AND(AP$9+6&gt;=$D24,AP$9&lt;=$E24),1,"")</f>
        <v/>
      </c>
      <c r="AQ24">
        <f>IF(AND(AQ$9+6&gt;=$D24,AQ$9&lt;=$E24),1,"")</f>
        <v/>
      </c>
      <c r="AR24">
        <f>IF(AND(AR$9+6&gt;=$D24,AR$9&lt;=$E24),1,"")</f>
        <v/>
      </c>
      <c r="AS24">
        <f>IF(AND(AS$9+6&gt;=$D24,AS$9&lt;=$E24),1,"")</f>
        <v/>
      </c>
      <c r="AT24">
        <f>IF(AND(AT$9+6&gt;=$D24,AT$9&lt;=$E24),1,"")</f>
        <v/>
      </c>
      <c r="AU24">
        <f>IF(AND(AU$9+6&gt;=$D24,AU$9&lt;=$E24),1,"")</f>
        <v/>
      </c>
      <c r="AV24">
        <f>IF(AND(AV$9+6&gt;=$D24,AV$9&lt;=$E24),1,"")</f>
        <v/>
      </c>
      <c r="AW24">
        <f>IF(AND(AW$9+6&gt;=$D24,AW$9&lt;=$E24),1,"")</f>
        <v/>
      </c>
      <c r="AX24">
        <f>IF(AND(AX$9+6&gt;=$D24,AX$9&lt;=$E24),1,"")</f>
        <v/>
      </c>
      <c r="AY24">
        <f>IF(AND(AY$9+6&gt;=$D24,AY$9&lt;=$E24),1,"")</f>
        <v/>
      </c>
      <c r="AZ24">
        <f>IF(AND(AZ$9+6&gt;=$D24,AZ$9&lt;=$E24),1,"")</f>
        <v/>
      </c>
      <c r="BA24">
        <f>IF(AND(BA$9+6&gt;=$D24,BA$9&lt;=$E24),1,"")</f>
        <v/>
      </c>
      <c r="BB24">
        <f>IF(AND(BB$9+6&gt;=$D24,BB$9&lt;=$E24),1,"")</f>
        <v/>
      </c>
      <c r="BC24">
        <f>IF(AND(BC$9+6&gt;=$D24,BC$9&lt;=$E24),1,"")</f>
        <v/>
      </c>
      <c r="BD24">
        <f>IF(AND(BD$9+6&gt;=$D24,BD$9&lt;=$E24),1,"")</f>
        <v/>
      </c>
      <c r="BE24">
        <f>IF(AND(BE$9+6&gt;=$D24,BE$9&lt;=$E24),1,"")</f>
        <v/>
      </c>
      <c r="BF24">
        <f>IF(AND(BF$9+6&gt;=$D24,BF$9&lt;=$E24),1,"")</f>
        <v/>
      </c>
      <c r="BG24">
        <f>IF(AND(BG$9+6&gt;=$D24,BG$9&lt;=$E24),1,"")</f>
        <v/>
      </c>
    </row>
    <row r="25">
      <c r="B25" s="71" t="inlineStr">
        <is>
          <t>Evidence collection (Nov–Dec 2026)</t>
        </is>
      </c>
      <c r="C25" s="72" t="n"/>
      <c r="D25" s="72" t="n"/>
      <c r="E25" s="72" t="n"/>
      <c r="F25" s="72" t="n"/>
      <c r="G25" s="72" t="n"/>
      <c r="H25" s="72" t="n"/>
      <c r="I25" s="72" t="n"/>
      <c r="J25" s="72" t="n"/>
      <c r="K25" s="72" t="n"/>
      <c r="L25" s="72" t="n"/>
      <c r="M25" s="72" t="n"/>
      <c r="N25" s="72" t="n"/>
      <c r="O25" s="72" t="n"/>
      <c r="P25" s="72" t="n"/>
      <c r="Q25" s="72" t="n"/>
      <c r="R25" s="72" t="n"/>
      <c r="S25" s="72" t="n"/>
      <c r="T25" s="72" t="n"/>
      <c r="U25" s="72" t="n"/>
      <c r="V25" s="72" t="n"/>
      <c r="W25" s="72" t="n"/>
      <c r="X25" s="72" t="n"/>
      <c r="Y25" s="72" t="n"/>
      <c r="Z25" s="72" t="n"/>
      <c r="AA25" s="72" t="n"/>
      <c r="AB25" s="72" t="n"/>
      <c r="AC25" s="72" t="n"/>
      <c r="AD25" s="72" t="n"/>
      <c r="AE25" s="72" t="n"/>
      <c r="AF25" s="72" t="n"/>
      <c r="AG25" s="72" t="n"/>
      <c r="AH25" s="72" t="n"/>
      <c r="AI25" s="72" t="n"/>
      <c r="AJ25" s="72" t="n"/>
      <c r="AK25" s="72" t="n"/>
      <c r="AL25" s="72" t="n"/>
      <c r="AM25" s="72" t="n"/>
      <c r="AN25" s="72" t="n"/>
      <c r="AO25" s="72" t="n"/>
      <c r="AP25" s="72" t="n"/>
      <c r="AQ25" s="72" t="n"/>
      <c r="AR25" s="72" t="n"/>
      <c r="AS25" s="72" t="n"/>
      <c r="AT25" s="72" t="n"/>
      <c r="AU25" s="72" t="n"/>
      <c r="AV25" s="72" t="n"/>
      <c r="AW25" s="72" t="n"/>
      <c r="AX25" s="72" t="n"/>
      <c r="AY25" s="72" t="n"/>
      <c r="AZ25" s="72" t="n"/>
      <c r="BA25" s="72" t="n"/>
      <c r="BB25" s="72" t="n"/>
      <c r="BC25" s="72" t="n"/>
      <c r="BD25" s="72" t="n"/>
      <c r="BE25" s="72" t="n"/>
      <c r="BF25" s="72" t="n"/>
      <c r="BG25" s="72" t="n"/>
    </row>
    <row r="26">
      <c r="B26" s="8" t="inlineStr">
        <is>
          <t>Issue tailored requests (faculties, central units)</t>
        </is>
      </c>
      <c r="C26" s="8" t="inlineStr">
        <is>
          <t>Request tracker</t>
        </is>
      </c>
      <c r="D26" s="44" t="n">
        <v>46328</v>
      </c>
      <c r="E26" s="44" t="n">
        <v>46346</v>
      </c>
      <c r="F26" s="8" t="inlineStr">
        <is>
          <t>SST</t>
        </is>
      </c>
      <c r="G26" s="8" t="inlineStr">
        <is>
          <t>Director, Sustainability</t>
        </is>
      </c>
      <c r="H26" s="8" t="inlineStr">
        <is>
          <t>COO (sponsor)</t>
        </is>
      </c>
      <c r="I26" s="8" t="inlineStr"/>
      <c r="J26" s="8" t="inlineStr">
        <is>
          <t>High</t>
        </is>
      </c>
      <c r="K26" s="8" t="inlineStr">
        <is>
          <t>Not yet started</t>
        </is>
      </c>
      <c r="L26">
        <f>IF(AND(L$9+6&gt;=$D26,L$9&lt;=$E26),1,"")</f>
        <v/>
      </c>
      <c r="M26">
        <f>IF(AND(M$9+6&gt;=$D26,M$9&lt;=$E26),1,"")</f>
        <v/>
      </c>
      <c r="N26">
        <f>IF(AND(N$9+6&gt;=$D26,N$9&lt;=$E26),1,"")</f>
        <v/>
      </c>
      <c r="O26">
        <f>IF(AND(O$9+6&gt;=$D26,O$9&lt;=$E26),1,"")</f>
        <v/>
      </c>
      <c r="P26">
        <f>IF(AND(P$9+6&gt;=$D26,P$9&lt;=$E26),1,"")</f>
        <v/>
      </c>
      <c r="Q26">
        <f>IF(AND(Q$9+6&gt;=$D26,Q$9&lt;=$E26),1,"")</f>
        <v/>
      </c>
      <c r="R26">
        <f>IF(AND(R$9+6&gt;=$D26,R$9&lt;=$E26),1,"")</f>
        <v/>
      </c>
      <c r="S26">
        <f>IF(AND(S$9+6&gt;=$D26,S$9&lt;=$E26),1,"")</f>
        <v/>
      </c>
      <c r="T26">
        <f>IF(AND(T$9+6&gt;=$D26,T$9&lt;=$E26),1,"")</f>
        <v/>
      </c>
      <c r="U26">
        <f>IF(AND(U$9+6&gt;=$D26,U$9&lt;=$E26),1,"")</f>
        <v/>
      </c>
      <c r="V26">
        <f>IF(AND(V$9+6&gt;=$D26,V$9&lt;=$E26),1,"")</f>
        <v/>
      </c>
      <c r="W26">
        <f>IF(AND(W$9+6&gt;=$D26,W$9&lt;=$E26),1,"")</f>
        <v/>
      </c>
      <c r="X26">
        <f>IF(AND(X$9+6&gt;=$D26,X$9&lt;=$E26),1,"")</f>
        <v/>
      </c>
      <c r="Y26">
        <f>IF(AND(Y$9+6&gt;=$D26,Y$9&lt;=$E26),1,"")</f>
        <v/>
      </c>
      <c r="Z26">
        <f>IF(AND(Z$9+6&gt;=$D26,Z$9&lt;=$E26),1,"")</f>
        <v/>
      </c>
      <c r="AA26">
        <f>IF(AND(AA$9+6&gt;=$D26,AA$9&lt;=$E26),1,"")</f>
        <v/>
      </c>
      <c r="AB26">
        <f>IF(AND(AB$9+6&gt;=$D26,AB$9&lt;=$E26),1,"")</f>
        <v/>
      </c>
      <c r="AC26">
        <f>IF(AND(AC$9+6&gt;=$D26,AC$9&lt;=$E26),1,"")</f>
        <v/>
      </c>
      <c r="AD26">
        <f>IF(AND(AD$9+6&gt;=$D26,AD$9&lt;=$E26),1,"")</f>
        <v/>
      </c>
      <c r="AE26">
        <f>IF(AND(AE$9+6&gt;=$D26,AE$9&lt;=$E26),1,"")</f>
        <v/>
      </c>
      <c r="AF26">
        <f>IF(AND(AF$9+6&gt;=$D26,AF$9&lt;=$E26),1,"")</f>
        <v/>
      </c>
      <c r="AG26">
        <f>IF(AND(AG$9+6&gt;=$D26,AG$9&lt;=$E26),1,"")</f>
        <v/>
      </c>
      <c r="AH26">
        <f>IF(AND(AH$9+6&gt;=$D26,AH$9&lt;=$E26),1,"")</f>
        <v/>
      </c>
      <c r="AI26">
        <f>IF(AND(AI$9+6&gt;=$D26,AI$9&lt;=$E26),1,"")</f>
        <v/>
      </c>
      <c r="AJ26">
        <f>IF(AND(AJ$9+6&gt;=$D26,AJ$9&lt;=$E26),1,"")</f>
        <v/>
      </c>
      <c r="AK26">
        <f>IF(AND(AK$9+6&gt;=$D26,AK$9&lt;=$E26),1,"")</f>
        <v/>
      </c>
      <c r="AL26">
        <f>IF(AND(AL$9+6&gt;=$D26,AL$9&lt;=$E26),1,"")</f>
        <v/>
      </c>
      <c r="AM26">
        <f>IF(AND(AM$9+6&gt;=$D26,AM$9&lt;=$E26),1,"")</f>
        <v/>
      </c>
      <c r="AN26">
        <f>IF(AND(AN$9+6&gt;=$D26,AN$9&lt;=$E26),1,"")</f>
        <v/>
      </c>
      <c r="AO26">
        <f>IF(AND(AO$9+6&gt;=$D26,AO$9&lt;=$E26),1,"")</f>
        <v/>
      </c>
      <c r="AP26">
        <f>IF(AND(AP$9+6&gt;=$D26,AP$9&lt;=$E26),1,"")</f>
        <v/>
      </c>
      <c r="AQ26">
        <f>IF(AND(AQ$9+6&gt;=$D26,AQ$9&lt;=$E26),1,"")</f>
        <v/>
      </c>
      <c r="AR26">
        <f>IF(AND(AR$9+6&gt;=$D26,AR$9&lt;=$E26),1,"")</f>
        <v/>
      </c>
      <c r="AS26">
        <f>IF(AND(AS$9+6&gt;=$D26,AS$9&lt;=$E26),1,"")</f>
        <v/>
      </c>
      <c r="AT26">
        <f>IF(AND(AT$9+6&gt;=$D26,AT$9&lt;=$E26),1,"")</f>
        <v/>
      </c>
      <c r="AU26">
        <f>IF(AND(AU$9+6&gt;=$D26,AU$9&lt;=$E26),1,"")</f>
        <v/>
      </c>
      <c r="AV26">
        <f>IF(AND(AV$9+6&gt;=$D26,AV$9&lt;=$E26),1,"")</f>
        <v/>
      </c>
      <c r="AW26">
        <f>IF(AND(AW$9+6&gt;=$D26,AW$9&lt;=$E26),1,"")</f>
        <v/>
      </c>
      <c r="AX26">
        <f>IF(AND(AX$9+6&gt;=$D26,AX$9&lt;=$E26),1,"")</f>
        <v/>
      </c>
      <c r="AY26">
        <f>IF(AND(AY$9+6&gt;=$D26,AY$9&lt;=$E26),1,"")</f>
        <v/>
      </c>
      <c r="AZ26">
        <f>IF(AND(AZ$9+6&gt;=$D26,AZ$9&lt;=$E26),1,"")</f>
        <v/>
      </c>
      <c r="BA26">
        <f>IF(AND(BA$9+6&gt;=$D26,BA$9&lt;=$E26),1,"")</f>
        <v/>
      </c>
      <c r="BB26">
        <f>IF(AND(BB$9+6&gt;=$D26,BB$9&lt;=$E26),1,"")</f>
        <v/>
      </c>
      <c r="BC26">
        <f>IF(AND(BC$9+6&gt;=$D26,BC$9&lt;=$E26),1,"")</f>
        <v/>
      </c>
      <c r="BD26">
        <f>IF(AND(BD$9+6&gt;=$D26,BD$9&lt;=$E26),1,"")</f>
        <v/>
      </c>
      <c r="BE26">
        <f>IF(AND(BE$9+6&gt;=$D26,BE$9&lt;=$E26),1,"")</f>
        <v/>
      </c>
      <c r="BF26">
        <f>IF(AND(BF$9+6&gt;=$D26,BF$9&lt;=$E26),1,"")</f>
        <v/>
      </c>
      <c r="BG26">
        <f>IF(AND(BG$9+6&gt;=$D26,BG$9&lt;=$E26),1,"")</f>
        <v/>
      </c>
    </row>
    <row r="27">
      <c r="B27" s="8" t="inlineStr">
        <is>
          <t>Highlighted stories due</t>
        </is>
      </c>
      <c r="C27" s="8" t="inlineStr">
        <is>
          <t>4 Dec (TBC)</t>
        </is>
      </c>
      <c r="D27" s="44" t="n">
        <v>46360</v>
      </c>
      <c r="E27" s="44" t="n">
        <v>46360</v>
      </c>
      <c r="F27" s="8" t="inlineStr"/>
      <c r="G27" s="8" t="inlineStr"/>
      <c r="H27" s="8" t="inlineStr"/>
      <c r="I27" s="8" t="inlineStr"/>
      <c r="J27" s="8" t="inlineStr">
        <is>
          <t>Milestone</t>
        </is>
      </c>
      <c r="K27" s="8" t="inlineStr">
        <is>
          <t>Not yet started</t>
        </is>
      </c>
      <c r="L27">
        <f>IF(AND(L$9+6&gt;=$D27,L$9&lt;=$E27),1,"")</f>
        <v/>
      </c>
      <c r="M27">
        <f>IF(AND(M$9+6&gt;=$D27,M$9&lt;=$E27),1,"")</f>
        <v/>
      </c>
      <c r="N27">
        <f>IF(AND(N$9+6&gt;=$D27,N$9&lt;=$E27),1,"")</f>
        <v/>
      </c>
      <c r="O27">
        <f>IF(AND(O$9+6&gt;=$D27,O$9&lt;=$E27),1,"")</f>
        <v/>
      </c>
      <c r="P27">
        <f>IF(AND(P$9+6&gt;=$D27,P$9&lt;=$E27),1,"")</f>
        <v/>
      </c>
      <c r="Q27">
        <f>IF(AND(Q$9+6&gt;=$D27,Q$9&lt;=$E27),1,"")</f>
        <v/>
      </c>
      <c r="R27">
        <f>IF(AND(R$9+6&gt;=$D27,R$9&lt;=$E27),1,"")</f>
        <v/>
      </c>
      <c r="S27">
        <f>IF(AND(S$9+6&gt;=$D27,S$9&lt;=$E27),1,"")</f>
        <v/>
      </c>
      <c r="T27">
        <f>IF(AND(T$9+6&gt;=$D27,T$9&lt;=$E27),1,"")</f>
        <v/>
      </c>
      <c r="U27">
        <f>IF(AND(U$9+6&gt;=$D27,U$9&lt;=$E27),1,"")</f>
        <v/>
      </c>
      <c r="V27">
        <f>IF(AND(V$9+6&gt;=$D27,V$9&lt;=$E27),1,"")</f>
        <v/>
      </c>
      <c r="W27">
        <f>IF(AND(W$9+6&gt;=$D27,W$9&lt;=$E27),1,"")</f>
        <v/>
      </c>
      <c r="X27">
        <f>IF(AND(X$9+6&gt;=$D27,X$9&lt;=$E27),1,"")</f>
        <v/>
      </c>
      <c r="Y27">
        <f>IF(AND(Y$9+6&gt;=$D27,Y$9&lt;=$E27),1,"")</f>
        <v/>
      </c>
      <c r="Z27">
        <f>IF(AND(Z$9+6&gt;=$D27,Z$9&lt;=$E27),1,"")</f>
        <v/>
      </c>
      <c r="AA27">
        <f>IF(AND(AA$9+6&gt;=$D27,AA$9&lt;=$E27),1,"")</f>
        <v/>
      </c>
      <c r="AB27">
        <f>IF(AND(AB$9+6&gt;=$D27,AB$9&lt;=$E27),1,"")</f>
        <v/>
      </c>
      <c r="AC27">
        <f>IF(AND(AC$9+6&gt;=$D27,AC$9&lt;=$E27),1,"")</f>
        <v/>
      </c>
      <c r="AD27">
        <f>IF(AND(AD$9+6&gt;=$D27,AD$9&lt;=$E27),1,"")</f>
        <v/>
      </c>
      <c r="AE27">
        <f>IF(AND(AE$9+6&gt;=$D27,AE$9&lt;=$E27),1,"")</f>
        <v/>
      </c>
      <c r="AF27">
        <f>IF(AND(AF$9+6&gt;=$D27,AF$9&lt;=$E27),1,"")</f>
        <v/>
      </c>
      <c r="AG27">
        <f>IF(AND(AG$9+6&gt;=$D27,AG$9&lt;=$E27),1,"")</f>
        <v/>
      </c>
      <c r="AH27">
        <f>IF(AND(AH$9+6&gt;=$D27,AH$9&lt;=$E27),1,"")</f>
        <v/>
      </c>
      <c r="AI27">
        <f>IF(AND(AI$9+6&gt;=$D27,AI$9&lt;=$E27),1,"")</f>
        <v/>
      </c>
      <c r="AJ27">
        <f>IF(AND(AJ$9+6&gt;=$D27,AJ$9&lt;=$E27),1,"")</f>
        <v/>
      </c>
      <c r="AK27">
        <f>IF(AND(AK$9+6&gt;=$D27,AK$9&lt;=$E27),1,"")</f>
        <v/>
      </c>
      <c r="AL27">
        <f>IF(AND(AL$9+6&gt;=$D27,AL$9&lt;=$E27),1,"")</f>
        <v/>
      </c>
      <c r="AM27">
        <f>IF(AND(AM$9+6&gt;=$D27,AM$9&lt;=$E27),1,"")</f>
        <v/>
      </c>
      <c r="AN27">
        <f>IF(AND(AN$9+6&gt;=$D27,AN$9&lt;=$E27),1,"")</f>
        <v/>
      </c>
      <c r="AO27">
        <f>IF(AND(AO$9+6&gt;=$D27,AO$9&lt;=$E27),1,"")</f>
        <v/>
      </c>
      <c r="AP27">
        <f>IF(AND(AP$9+6&gt;=$D27,AP$9&lt;=$E27),1,"")</f>
        <v/>
      </c>
      <c r="AQ27">
        <f>IF(AND(AQ$9+6&gt;=$D27,AQ$9&lt;=$E27),1,"")</f>
        <v/>
      </c>
      <c r="AR27">
        <f>IF(AND(AR$9+6&gt;=$D27,AR$9&lt;=$E27),1,"")</f>
        <v/>
      </c>
      <c r="AS27">
        <f>IF(AND(AS$9+6&gt;=$D27,AS$9&lt;=$E27),1,"")</f>
        <v/>
      </c>
      <c r="AT27">
        <f>IF(AND(AT$9+6&gt;=$D27,AT$9&lt;=$E27),1,"")</f>
        <v/>
      </c>
      <c r="AU27">
        <f>IF(AND(AU$9+6&gt;=$D27,AU$9&lt;=$E27),1,"")</f>
        <v/>
      </c>
      <c r="AV27">
        <f>IF(AND(AV$9+6&gt;=$D27,AV$9&lt;=$E27),1,"")</f>
        <v/>
      </c>
      <c r="AW27">
        <f>IF(AND(AW$9+6&gt;=$D27,AW$9&lt;=$E27),1,"")</f>
        <v/>
      </c>
      <c r="AX27">
        <f>IF(AND(AX$9+6&gt;=$D27,AX$9&lt;=$E27),1,"")</f>
        <v/>
      </c>
      <c r="AY27">
        <f>IF(AND(AY$9+6&gt;=$D27,AY$9&lt;=$E27),1,"")</f>
        <v/>
      </c>
      <c r="AZ27">
        <f>IF(AND(AZ$9+6&gt;=$D27,AZ$9&lt;=$E27),1,"")</f>
        <v/>
      </c>
      <c r="BA27">
        <f>IF(AND(BA$9+6&gt;=$D27,BA$9&lt;=$E27),1,"")</f>
        <v/>
      </c>
      <c r="BB27">
        <f>IF(AND(BB$9+6&gt;=$D27,BB$9&lt;=$E27),1,"")</f>
        <v/>
      </c>
      <c r="BC27">
        <f>IF(AND(BC$9+6&gt;=$D27,BC$9&lt;=$E27),1,"")</f>
        <v/>
      </c>
      <c r="BD27">
        <f>IF(AND(BD$9+6&gt;=$D27,BD$9&lt;=$E27),1,"")</f>
        <v/>
      </c>
      <c r="BE27">
        <f>IF(AND(BE$9+6&gt;=$D27,BE$9&lt;=$E27),1,"")</f>
        <v/>
      </c>
      <c r="BF27">
        <f>IF(AND(BF$9+6&gt;=$D27,BF$9&lt;=$E27),1,"")</f>
        <v/>
      </c>
      <c r="BG27">
        <f>IF(AND(BG$9+6&gt;=$D27,BG$9&lt;=$E27),1,"")</f>
        <v/>
      </c>
    </row>
    <row r="28">
      <c r="B28" s="8" t="inlineStr">
        <is>
          <t>Collect narrative, evidence, case studies; maintain evidence register</t>
        </is>
      </c>
      <c r="C28" s="8" t="inlineStr"/>
      <c r="D28" s="44" t="n">
        <v>46328</v>
      </c>
      <c r="E28" s="44" t="n">
        <v>46416</v>
      </c>
      <c r="F28" s="8" t="inlineStr">
        <is>
          <t>SST</t>
        </is>
      </c>
      <c r="G28" s="8" t="inlineStr"/>
      <c r="H28" s="8" t="inlineStr"/>
      <c r="I28" s="8" t="inlineStr"/>
      <c r="J28" s="8" t="inlineStr">
        <is>
          <t>High</t>
        </is>
      </c>
      <c r="K28" s="8" t="inlineStr">
        <is>
          <t>Not yet started</t>
        </is>
      </c>
      <c r="L28">
        <f>IF(AND(L$9+6&gt;=$D28,L$9&lt;=$E28),1,"")</f>
        <v/>
      </c>
      <c r="M28">
        <f>IF(AND(M$9+6&gt;=$D28,M$9&lt;=$E28),1,"")</f>
        <v/>
      </c>
      <c r="N28">
        <f>IF(AND(N$9+6&gt;=$D28,N$9&lt;=$E28),1,"")</f>
        <v/>
      </c>
      <c r="O28">
        <f>IF(AND(O$9+6&gt;=$D28,O$9&lt;=$E28),1,"")</f>
        <v/>
      </c>
      <c r="P28">
        <f>IF(AND(P$9+6&gt;=$D28,P$9&lt;=$E28),1,"")</f>
        <v/>
      </c>
      <c r="Q28">
        <f>IF(AND(Q$9+6&gt;=$D28,Q$9&lt;=$E28),1,"")</f>
        <v/>
      </c>
      <c r="R28">
        <f>IF(AND(R$9+6&gt;=$D28,R$9&lt;=$E28),1,"")</f>
        <v/>
      </c>
      <c r="S28">
        <f>IF(AND(S$9+6&gt;=$D28,S$9&lt;=$E28),1,"")</f>
        <v/>
      </c>
      <c r="T28">
        <f>IF(AND(T$9+6&gt;=$D28,T$9&lt;=$E28),1,"")</f>
        <v/>
      </c>
      <c r="U28">
        <f>IF(AND(U$9+6&gt;=$D28,U$9&lt;=$E28),1,"")</f>
        <v/>
      </c>
      <c r="V28">
        <f>IF(AND(V$9+6&gt;=$D28,V$9&lt;=$E28),1,"")</f>
        <v/>
      </c>
      <c r="W28">
        <f>IF(AND(W$9+6&gt;=$D28,W$9&lt;=$E28),1,"")</f>
        <v/>
      </c>
      <c r="X28">
        <f>IF(AND(X$9+6&gt;=$D28,X$9&lt;=$E28),1,"")</f>
        <v/>
      </c>
      <c r="Y28">
        <f>IF(AND(Y$9+6&gt;=$D28,Y$9&lt;=$E28),1,"")</f>
        <v/>
      </c>
      <c r="Z28">
        <f>IF(AND(Z$9+6&gt;=$D28,Z$9&lt;=$E28),1,"")</f>
        <v/>
      </c>
      <c r="AA28">
        <f>IF(AND(AA$9+6&gt;=$D28,AA$9&lt;=$E28),1,"")</f>
        <v/>
      </c>
      <c r="AB28">
        <f>IF(AND(AB$9+6&gt;=$D28,AB$9&lt;=$E28),1,"")</f>
        <v/>
      </c>
      <c r="AC28">
        <f>IF(AND(AC$9+6&gt;=$D28,AC$9&lt;=$E28),1,"")</f>
        <v/>
      </c>
      <c r="AD28">
        <f>IF(AND(AD$9+6&gt;=$D28,AD$9&lt;=$E28),1,"")</f>
        <v/>
      </c>
      <c r="AE28">
        <f>IF(AND(AE$9+6&gt;=$D28,AE$9&lt;=$E28),1,"")</f>
        <v/>
      </c>
      <c r="AF28">
        <f>IF(AND(AF$9+6&gt;=$D28,AF$9&lt;=$E28),1,"")</f>
        <v/>
      </c>
      <c r="AG28">
        <f>IF(AND(AG$9+6&gt;=$D28,AG$9&lt;=$E28),1,"")</f>
        <v/>
      </c>
      <c r="AH28">
        <f>IF(AND(AH$9+6&gt;=$D28,AH$9&lt;=$E28),1,"")</f>
        <v/>
      </c>
      <c r="AI28">
        <f>IF(AND(AI$9+6&gt;=$D28,AI$9&lt;=$E28),1,"")</f>
        <v/>
      </c>
      <c r="AJ28">
        <f>IF(AND(AJ$9+6&gt;=$D28,AJ$9&lt;=$E28),1,"")</f>
        <v/>
      </c>
      <c r="AK28">
        <f>IF(AND(AK$9+6&gt;=$D28,AK$9&lt;=$E28),1,"")</f>
        <v/>
      </c>
      <c r="AL28">
        <f>IF(AND(AL$9+6&gt;=$D28,AL$9&lt;=$E28),1,"")</f>
        <v/>
      </c>
      <c r="AM28">
        <f>IF(AND(AM$9+6&gt;=$D28,AM$9&lt;=$E28),1,"")</f>
        <v/>
      </c>
      <c r="AN28">
        <f>IF(AND(AN$9+6&gt;=$D28,AN$9&lt;=$E28),1,"")</f>
        <v/>
      </c>
      <c r="AO28">
        <f>IF(AND(AO$9+6&gt;=$D28,AO$9&lt;=$E28),1,"")</f>
        <v/>
      </c>
      <c r="AP28">
        <f>IF(AND(AP$9+6&gt;=$D28,AP$9&lt;=$E28),1,"")</f>
        <v/>
      </c>
      <c r="AQ28">
        <f>IF(AND(AQ$9+6&gt;=$D28,AQ$9&lt;=$E28),1,"")</f>
        <v/>
      </c>
      <c r="AR28">
        <f>IF(AND(AR$9+6&gt;=$D28,AR$9&lt;=$E28),1,"")</f>
        <v/>
      </c>
      <c r="AS28">
        <f>IF(AND(AS$9+6&gt;=$D28,AS$9&lt;=$E28),1,"")</f>
        <v/>
      </c>
      <c r="AT28">
        <f>IF(AND(AT$9+6&gt;=$D28,AT$9&lt;=$E28),1,"")</f>
        <v/>
      </c>
      <c r="AU28">
        <f>IF(AND(AU$9+6&gt;=$D28,AU$9&lt;=$E28),1,"")</f>
        <v/>
      </c>
      <c r="AV28">
        <f>IF(AND(AV$9+6&gt;=$D28,AV$9&lt;=$E28),1,"")</f>
        <v/>
      </c>
      <c r="AW28">
        <f>IF(AND(AW$9+6&gt;=$D28,AW$9&lt;=$E28),1,"")</f>
        <v/>
      </c>
      <c r="AX28">
        <f>IF(AND(AX$9+6&gt;=$D28,AX$9&lt;=$E28),1,"")</f>
        <v/>
      </c>
      <c r="AY28">
        <f>IF(AND(AY$9+6&gt;=$D28,AY$9&lt;=$E28),1,"")</f>
        <v/>
      </c>
      <c r="AZ28">
        <f>IF(AND(AZ$9+6&gt;=$D28,AZ$9&lt;=$E28),1,"")</f>
        <v/>
      </c>
      <c r="BA28">
        <f>IF(AND(BA$9+6&gt;=$D28,BA$9&lt;=$E28),1,"")</f>
        <v/>
      </c>
      <c r="BB28">
        <f>IF(AND(BB$9+6&gt;=$D28,BB$9&lt;=$E28),1,"")</f>
        <v/>
      </c>
      <c r="BC28">
        <f>IF(AND(BC$9+6&gt;=$D28,BC$9&lt;=$E28),1,"")</f>
        <v/>
      </c>
      <c r="BD28">
        <f>IF(AND(BD$9+6&gt;=$D28,BD$9&lt;=$E28),1,"")</f>
        <v/>
      </c>
      <c r="BE28">
        <f>IF(AND(BE$9+6&gt;=$D28,BE$9&lt;=$E28),1,"")</f>
        <v/>
      </c>
      <c r="BF28">
        <f>IF(AND(BF$9+6&gt;=$D28,BF$9&lt;=$E28),1,"")</f>
        <v/>
      </c>
      <c r="BG28">
        <f>IF(AND(BG$9+6&gt;=$D28,BG$9&lt;=$E28),1,"")</f>
        <v/>
      </c>
    </row>
    <row r="29">
      <c r="B29" s="8" t="inlineStr">
        <is>
          <t>Reminders / chasing</t>
        </is>
      </c>
      <c r="C29" s="8" t="inlineStr"/>
      <c r="D29" s="44" t="n">
        <v>46349</v>
      </c>
      <c r="E29" s="44" t="n">
        <v>46409</v>
      </c>
      <c r="F29" s="8" t="inlineStr">
        <is>
          <t>SST</t>
        </is>
      </c>
      <c r="G29" s="8" t="inlineStr"/>
      <c r="H29" s="8" t="inlineStr"/>
      <c r="I29" s="8" t="inlineStr"/>
      <c r="J29" s="8" t="inlineStr">
        <is>
          <t>Medium</t>
        </is>
      </c>
      <c r="K29" s="8" t="inlineStr">
        <is>
          <t>Not yet started</t>
        </is>
      </c>
      <c r="L29">
        <f>IF(AND(L$9+6&gt;=$D29,L$9&lt;=$E29),1,"")</f>
        <v/>
      </c>
      <c r="M29">
        <f>IF(AND(M$9+6&gt;=$D29,M$9&lt;=$E29),1,"")</f>
        <v/>
      </c>
      <c r="N29">
        <f>IF(AND(N$9+6&gt;=$D29,N$9&lt;=$E29),1,"")</f>
        <v/>
      </c>
      <c r="O29">
        <f>IF(AND(O$9+6&gt;=$D29,O$9&lt;=$E29),1,"")</f>
        <v/>
      </c>
      <c r="P29">
        <f>IF(AND(P$9+6&gt;=$D29,P$9&lt;=$E29),1,"")</f>
        <v/>
      </c>
      <c r="Q29">
        <f>IF(AND(Q$9+6&gt;=$D29,Q$9&lt;=$E29),1,"")</f>
        <v/>
      </c>
      <c r="R29">
        <f>IF(AND(R$9+6&gt;=$D29,R$9&lt;=$E29),1,"")</f>
        <v/>
      </c>
      <c r="S29">
        <f>IF(AND(S$9+6&gt;=$D29,S$9&lt;=$E29),1,"")</f>
        <v/>
      </c>
      <c r="T29">
        <f>IF(AND(T$9+6&gt;=$D29,T$9&lt;=$E29),1,"")</f>
        <v/>
      </c>
      <c r="U29">
        <f>IF(AND(U$9+6&gt;=$D29,U$9&lt;=$E29),1,"")</f>
        <v/>
      </c>
      <c r="V29">
        <f>IF(AND(V$9+6&gt;=$D29,V$9&lt;=$E29),1,"")</f>
        <v/>
      </c>
      <c r="W29">
        <f>IF(AND(W$9+6&gt;=$D29,W$9&lt;=$E29),1,"")</f>
        <v/>
      </c>
      <c r="X29">
        <f>IF(AND(X$9+6&gt;=$D29,X$9&lt;=$E29),1,"")</f>
        <v/>
      </c>
      <c r="Y29">
        <f>IF(AND(Y$9+6&gt;=$D29,Y$9&lt;=$E29),1,"")</f>
        <v/>
      </c>
      <c r="Z29">
        <f>IF(AND(Z$9+6&gt;=$D29,Z$9&lt;=$E29),1,"")</f>
        <v/>
      </c>
      <c r="AA29">
        <f>IF(AND(AA$9+6&gt;=$D29,AA$9&lt;=$E29),1,"")</f>
        <v/>
      </c>
      <c r="AB29">
        <f>IF(AND(AB$9+6&gt;=$D29,AB$9&lt;=$E29),1,"")</f>
        <v/>
      </c>
      <c r="AC29">
        <f>IF(AND(AC$9+6&gt;=$D29,AC$9&lt;=$E29),1,"")</f>
        <v/>
      </c>
      <c r="AD29">
        <f>IF(AND(AD$9+6&gt;=$D29,AD$9&lt;=$E29),1,"")</f>
        <v/>
      </c>
      <c r="AE29">
        <f>IF(AND(AE$9+6&gt;=$D29,AE$9&lt;=$E29),1,"")</f>
        <v/>
      </c>
      <c r="AF29">
        <f>IF(AND(AF$9+6&gt;=$D29,AF$9&lt;=$E29),1,"")</f>
        <v/>
      </c>
      <c r="AG29">
        <f>IF(AND(AG$9+6&gt;=$D29,AG$9&lt;=$E29),1,"")</f>
        <v/>
      </c>
      <c r="AH29">
        <f>IF(AND(AH$9+6&gt;=$D29,AH$9&lt;=$E29),1,"")</f>
        <v/>
      </c>
      <c r="AI29">
        <f>IF(AND(AI$9+6&gt;=$D29,AI$9&lt;=$E29),1,"")</f>
        <v/>
      </c>
      <c r="AJ29">
        <f>IF(AND(AJ$9+6&gt;=$D29,AJ$9&lt;=$E29),1,"")</f>
        <v/>
      </c>
      <c r="AK29">
        <f>IF(AND(AK$9+6&gt;=$D29,AK$9&lt;=$E29),1,"")</f>
        <v/>
      </c>
      <c r="AL29">
        <f>IF(AND(AL$9+6&gt;=$D29,AL$9&lt;=$E29),1,"")</f>
        <v/>
      </c>
      <c r="AM29">
        <f>IF(AND(AM$9+6&gt;=$D29,AM$9&lt;=$E29),1,"")</f>
        <v/>
      </c>
      <c r="AN29">
        <f>IF(AND(AN$9+6&gt;=$D29,AN$9&lt;=$E29),1,"")</f>
        <v/>
      </c>
      <c r="AO29">
        <f>IF(AND(AO$9+6&gt;=$D29,AO$9&lt;=$E29),1,"")</f>
        <v/>
      </c>
      <c r="AP29">
        <f>IF(AND(AP$9+6&gt;=$D29,AP$9&lt;=$E29),1,"")</f>
        <v/>
      </c>
      <c r="AQ29">
        <f>IF(AND(AQ$9+6&gt;=$D29,AQ$9&lt;=$E29),1,"")</f>
        <v/>
      </c>
      <c r="AR29">
        <f>IF(AND(AR$9+6&gt;=$D29,AR$9&lt;=$E29),1,"")</f>
        <v/>
      </c>
      <c r="AS29">
        <f>IF(AND(AS$9+6&gt;=$D29,AS$9&lt;=$E29),1,"")</f>
        <v/>
      </c>
      <c r="AT29">
        <f>IF(AND(AT$9+6&gt;=$D29,AT$9&lt;=$E29),1,"")</f>
        <v/>
      </c>
      <c r="AU29">
        <f>IF(AND(AU$9+6&gt;=$D29,AU$9&lt;=$E29),1,"")</f>
        <v/>
      </c>
      <c r="AV29">
        <f>IF(AND(AV$9+6&gt;=$D29,AV$9&lt;=$E29),1,"")</f>
        <v/>
      </c>
      <c r="AW29">
        <f>IF(AND(AW$9+6&gt;=$D29,AW$9&lt;=$E29),1,"")</f>
        <v/>
      </c>
      <c r="AX29">
        <f>IF(AND(AX$9+6&gt;=$D29,AX$9&lt;=$E29),1,"")</f>
        <v/>
      </c>
      <c r="AY29">
        <f>IF(AND(AY$9+6&gt;=$D29,AY$9&lt;=$E29),1,"")</f>
        <v/>
      </c>
      <c r="AZ29">
        <f>IF(AND(AZ$9+6&gt;=$D29,AZ$9&lt;=$E29),1,"")</f>
        <v/>
      </c>
      <c r="BA29">
        <f>IF(AND(BA$9+6&gt;=$D29,BA$9&lt;=$E29),1,"")</f>
        <v/>
      </c>
      <c r="BB29">
        <f>IF(AND(BB$9+6&gt;=$D29,BB$9&lt;=$E29),1,"")</f>
        <v/>
      </c>
      <c r="BC29">
        <f>IF(AND(BC$9+6&gt;=$D29,BC$9&lt;=$E29),1,"")</f>
        <v/>
      </c>
      <c r="BD29">
        <f>IF(AND(BD$9+6&gt;=$D29,BD$9&lt;=$E29),1,"")</f>
        <v/>
      </c>
      <c r="BE29">
        <f>IF(AND(BE$9+6&gt;=$D29,BE$9&lt;=$E29),1,"")</f>
        <v/>
      </c>
      <c r="BF29">
        <f>IF(AND(BF$9+6&gt;=$D29,BF$9&lt;=$E29),1,"")</f>
        <v/>
      </c>
      <c r="BG29">
        <f>IF(AND(BG$9+6&gt;=$D29,BG$9&lt;=$E29),1,"")</f>
        <v/>
      </c>
    </row>
    <row r="30">
      <c r="B30" s="8" t="inlineStr">
        <is>
          <t>Commence drafting</t>
        </is>
      </c>
      <c r="C30" s="8" t="inlineStr"/>
      <c r="D30" s="44" t="n">
        <v>46357</v>
      </c>
      <c r="E30" s="44" t="n">
        <v>46416</v>
      </c>
      <c r="F30" s="8" t="inlineStr">
        <is>
          <t>SST</t>
        </is>
      </c>
      <c r="G30" s="8" t="inlineStr"/>
      <c r="H30" s="8" t="inlineStr"/>
      <c r="I30" s="8" t="inlineStr"/>
      <c r="J30" s="8" t="inlineStr">
        <is>
          <t>Medium</t>
        </is>
      </c>
      <c r="K30" s="8" t="inlineStr">
        <is>
          <t>Not yet started</t>
        </is>
      </c>
      <c r="L30">
        <f>IF(AND(L$9+6&gt;=$D30,L$9&lt;=$E30),1,"")</f>
        <v/>
      </c>
      <c r="M30">
        <f>IF(AND(M$9+6&gt;=$D30,M$9&lt;=$E30),1,"")</f>
        <v/>
      </c>
      <c r="N30">
        <f>IF(AND(N$9+6&gt;=$D30,N$9&lt;=$E30),1,"")</f>
        <v/>
      </c>
      <c r="O30">
        <f>IF(AND(O$9+6&gt;=$D30,O$9&lt;=$E30),1,"")</f>
        <v/>
      </c>
      <c r="P30">
        <f>IF(AND(P$9+6&gt;=$D30,P$9&lt;=$E30),1,"")</f>
        <v/>
      </c>
      <c r="Q30">
        <f>IF(AND(Q$9+6&gt;=$D30,Q$9&lt;=$E30),1,"")</f>
        <v/>
      </c>
      <c r="R30">
        <f>IF(AND(R$9+6&gt;=$D30,R$9&lt;=$E30),1,"")</f>
        <v/>
      </c>
      <c r="S30">
        <f>IF(AND(S$9+6&gt;=$D30,S$9&lt;=$E30),1,"")</f>
        <v/>
      </c>
      <c r="T30">
        <f>IF(AND(T$9+6&gt;=$D30,T$9&lt;=$E30),1,"")</f>
        <v/>
      </c>
      <c r="U30">
        <f>IF(AND(U$9+6&gt;=$D30,U$9&lt;=$E30),1,"")</f>
        <v/>
      </c>
      <c r="V30">
        <f>IF(AND(V$9+6&gt;=$D30,V$9&lt;=$E30),1,"")</f>
        <v/>
      </c>
      <c r="W30">
        <f>IF(AND(W$9+6&gt;=$D30,W$9&lt;=$E30),1,"")</f>
        <v/>
      </c>
      <c r="X30">
        <f>IF(AND(X$9+6&gt;=$D30,X$9&lt;=$E30),1,"")</f>
        <v/>
      </c>
      <c r="Y30">
        <f>IF(AND(Y$9+6&gt;=$D30,Y$9&lt;=$E30),1,"")</f>
        <v/>
      </c>
      <c r="Z30">
        <f>IF(AND(Z$9+6&gt;=$D30,Z$9&lt;=$E30),1,"")</f>
        <v/>
      </c>
      <c r="AA30">
        <f>IF(AND(AA$9+6&gt;=$D30,AA$9&lt;=$E30),1,"")</f>
        <v/>
      </c>
      <c r="AB30">
        <f>IF(AND(AB$9+6&gt;=$D30,AB$9&lt;=$E30),1,"")</f>
        <v/>
      </c>
      <c r="AC30">
        <f>IF(AND(AC$9+6&gt;=$D30,AC$9&lt;=$E30),1,"")</f>
        <v/>
      </c>
      <c r="AD30">
        <f>IF(AND(AD$9+6&gt;=$D30,AD$9&lt;=$E30),1,"")</f>
        <v/>
      </c>
      <c r="AE30">
        <f>IF(AND(AE$9+6&gt;=$D30,AE$9&lt;=$E30),1,"")</f>
        <v/>
      </c>
      <c r="AF30">
        <f>IF(AND(AF$9+6&gt;=$D30,AF$9&lt;=$E30),1,"")</f>
        <v/>
      </c>
      <c r="AG30">
        <f>IF(AND(AG$9+6&gt;=$D30,AG$9&lt;=$E30),1,"")</f>
        <v/>
      </c>
      <c r="AH30">
        <f>IF(AND(AH$9+6&gt;=$D30,AH$9&lt;=$E30),1,"")</f>
        <v/>
      </c>
      <c r="AI30">
        <f>IF(AND(AI$9+6&gt;=$D30,AI$9&lt;=$E30),1,"")</f>
        <v/>
      </c>
      <c r="AJ30">
        <f>IF(AND(AJ$9+6&gt;=$D30,AJ$9&lt;=$E30),1,"")</f>
        <v/>
      </c>
      <c r="AK30">
        <f>IF(AND(AK$9+6&gt;=$D30,AK$9&lt;=$E30),1,"")</f>
        <v/>
      </c>
      <c r="AL30">
        <f>IF(AND(AL$9+6&gt;=$D30,AL$9&lt;=$E30),1,"")</f>
        <v/>
      </c>
      <c r="AM30">
        <f>IF(AND(AM$9+6&gt;=$D30,AM$9&lt;=$E30),1,"")</f>
        <v/>
      </c>
      <c r="AN30">
        <f>IF(AND(AN$9+6&gt;=$D30,AN$9&lt;=$E30),1,"")</f>
        <v/>
      </c>
      <c r="AO30">
        <f>IF(AND(AO$9+6&gt;=$D30,AO$9&lt;=$E30),1,"")</f>
        <v/>
      </c>
      <c r="AP30">
        <f>IF(AND(AP$9+6&gt;=$D30,AP$9&lt;=$E30),1,"")</f>
        <v/>
      </c>
      <c r="AQ30">
        <f>IF(AND(AQ$9+6&gt;=$D30,AQ$9&lt;=$E30),1,"")</f>
        <v/>
      </c>
      <c r="AR30">
        <f>IF(AND(AR$9+6&gt;=$D30,AR$9&lt;=$E30),1,"")</f>
        <v/>
      </c>
      <c r="AS30">
        <f>IF(AND(AS$9+6&gt;=$D30,AS$9&lt;=$E30),1,"")</f>
        <v/>
      </c>
      <c r="AT30">
        <f>IF(AND(AT$9+6&gt;=$D30,AT$9&lt;=$E30),1,"")</f>
        <v/>
      </c>
      <c r="AU30">
        <f>IF(AND(AU$9+6&gt;=$D30,AU$9&lt;=$E30),1,"")</f>
        <v/>
      </c>
      <c r="AV30">
        <f>IF(AND(AV$9+6&gt;=$D30,AV$9&lt;=$E30),1,"")</f>
        <v/>
      </c>
      <c r="AW30">
        <f>IF(AND(AW$9+6&gt;=$D30,AW$9&lt;=$E30),1,"")</f>
        <v/>
      </c>
      <c r="AX30">
        <f>IF(AND(AX$9+6&gt;=$D30,AX$9&lt;=$E30),1,"")</f>
        <v/>
      </c>
      <c r="AY30">
        <f>IF(AND(AY$9+6&gt;=$D30,AY$9&lt;=$E30),1,"")</f>
        <v/>
      </c>
      <c r="AZ30">
        <f>IF(AND(AZ$9+6&gt;=$D30,AZ$9&lt;=$E30),1,"")</f>
        <v/>
      </c>
      <c r="BA30">
        <f>IF(AND(BA$9+6&gt;=$D30,BA$9&lt;=$E30),1,"")</f>
        <v/>
      </c>
      <c r="BB30">
        <f>IF(AND(BB$9+6&gt;=$D30,BB$9&lt;=$E30),1,"")</f>
        <v/>
      </c>
      <c r="BC30">
        <f>IF(AND(BC$9+6&gt;=$D30,BC$9&lt;=$E30),1,"")</f>
        <v/>
      </c>
      <c r="BD30">
        <f>IF(AND(BD$9+6&gt;=$D30,BD$9&lt;=$E30),1,"")</f>
        <v/>
      </c>
      <c r="BE30">
        <f>IF(AND(BE$9+6&gt;=$D30,BE$9&lt;=$E30),1,"")</f>
        <v/>
      </c>
      <c r="BF30">
        <f>IF(AND(BF$9+6&gt;=$D30,BF$9&lt;=$E30),1,"")</f>
        <v/>
      </c>
      <c r="BG30">
        <f>IF(AND(BG$9+6&gt;=$D30,BG$9&lt;=$E30),1,"")</f>
        <v/>
      </c>
    </row>
    <row r="31">
      <c r="B31" s="71" t="inlineStr">
        <is>
          <t>Drafting &amp; data validation (Jan 2027)</t>
        </is>
      </c>
      <c r="C31" s="72" t="n"/>
      <c r="D31" s="72" t="n"/>
      <c r="E31" s="72" t="n"/>
      <c r="F31" s="72" t="n"/>
      <c r="G31" s="72" t="n"/>
      <c r="H31" s="72" t="n"/>
      <c r="I31" s="72" t="n"/>
      <c r="J31" s="72" t="n"/>
      <c r="K31" s="72" t="n"/>
      <c r="L31" s="72" t="n"/>
      <c r="M31" s="72" t="n"/>
      <c r="N31" s="72" t="n"/>
      <c r="O31" s="72" t="n"/>
      <c r="P31" s="72" t="n"/>
      <c r="Q31" s="72" t="n"/>
      <c r="R31" s="72" t="n"/>
      <c r="S31" s="72" t="n"/>
      <c r="T31" s="72" t="n"/>
      <c r="U31" s="72" t="n"/>
      <c r="V31" s="72" t="n"/>
      <c r="W31" s="72" t="n"/>
      <c r="X31" s="72" t="n"/>
      <c r="Y31" s="72" t="n"/>
      <c r="Z31" s="72" t="n"/>
      <c r="AA31" s="72" t="n"/>
      <c r="AB31" s="72" t="n"/>
      <c r="AC31" s="72" t="n"/>
      <c r="AD31" s="72" t="n"/>
      <c r="AE31" s="72" t="n"/>
      <c r="AF31" s="72" t="n"/>
      <c r="AG31" s="72" t="n"/>
      <c r="AH31" s="72" t="n"/>
      <c r="AI31" s="72" t="n"/>
      <c r="AJ31" s="72" t="n"/>
      <c r="AK31" s="72" t="n"/>
      <c r="AL31" s="72" t="n"/>
      <c r="AM31" s="72" t="n"/>
      <c r="AN31" s="72" t="n"/>
      <c r="AO31" s="72" t="n"/>
      <c r="AP31" s="72" t="n"/>
      <c r="AQ31" s="72" t="n"/>
      <c r="AR31" s="72" t="n"/>
      <c r="AS31" s="72" t="n"/>
      <c r="AT31" s="72" t="n"/>
      <c r="AU31" s="72" t="n"/>
      <c r="AV31" s="72" t="n"/>
      <c r="AW31" s="72" t="n"/>
      <c r="AX31" s="72" t="n"/>
      <c r="AY31" s="72" t="n"/>
      <c r="AZ31" s="72" t="n"/>
      <c r="BA31" s="72" t="n"/>
      <c r="BB31" s="72" t="n"/>
      <c r="BC31" s="72" t="n"/>
      <c r="BD31" s="72" t="n"/>
      <c r="BE31" s="72" t="n"/>
      <c r="BF31" s="72" t="n"/>
      <c r="BG31" s="72" t="n"/>
    </row>
    <row r="32">
      <c r="B32" s="8" t="inlineStr">
        <is>
          <t>Reporting requests due</t>
        </is>
      </c>
      <c r="C32" s="8" t="inlineStr">
        <is>
          <t>15 Jan (TBC)</t>
        </is>
      </c>
      <c r="D32" s="44" t="n">
        <v>46402</v>
      </c>
      <c r="E32" s="44" t="n">
        <v>46402</v>
      </c>
      <c r="F32" s="8" t="inlineStr"/>
      <c r="G32" s="8" t="inlineStr"/>
      <c r="H32" s="8" t="inlineStr"/>
      <c r="I32" s="8" t="inlineStr"/>
      <c r="J32" s="8" t="inlineStr">
        <is>
          <t>Milestone</t>
        </is>
      </c>
      <c r="K32" s="8" t="inlineStr">
        <is>
          <t>Not yet started</t>
        </is>
      </c>
      <c r="L32">
        <f>IF(AND(L$9+6&gt;=$D32,L$9&lt;=$E32),1,"")</f>
        <v/>
      </c>
      <c r="M32">
        <f>IF(AND(M$9+6&gt;=$D32,M$9&lt;=$E32),1,"")</f>
        <v/>
      </c>
      <c r="N32">
        <f>IF(AND(N$9+6&gt;=$D32,N$9&lt;=$E32),1,"")</f>
        <v/>
      </c>
      <c r="O32">
        <f>IF(AND(O$9+6&gt;=$D32,O$9&lt;=$E32),1,"")</f>
        <v/>
      </c>
      <c r="P32">
        <f>IF(AND(P$9+6&gt;=$D32,P$9&lt;=$E32),1,"")</f>
        <v/>
      </c>
      <c r="Q32">
        <f>IF(AND(Q$9+6&gt;=$D32,Q$9&lt;=$E32),1,"")</f>
        <v/>
      </c>
      <c r="R32">
        <f>IF(AND(R$9+6&gt;=$D32,R$9&lt;=$E32),1,"")</f>
        <v/>
      </c>
      <c r="S32">
        <f>IF(AND(S$9+6&gt;=$D32,S$9&lt;=$E32),1,"")</f>
        <v/>
      </c>
      <c r="T32">
        <f>IF(AND(T$9+6&gt;=$D32,T$9&lt;=$E32),1,"")</f>
        <v/>
      </c>
      <c r="U32">
        <f>IF(AND(U$9+6&gt;=$D32,U$9&lt;=$E32),1,"")</f>
        <v/>
      </c>
      <c r="V32">
        <f>IF(AND(V$9+6&gt;=$D32,V$9&lt;=$E32),1,"")</f>
        <v/>
      </c>
      <c r="W32">
        <f>IF(AND(W$9+6&gt;=$D32,W$9&lt;=$E32),1,"")</f>
        <v/>
      </c>
      <c r="X32">
        <f>IF(AND(X$9+6&gt;=$D32,X$9&lt;=$E32),1,"")</f>
        <v/>
      </c>
      <c r="Y32">
        <f>IF(AND(Y$9+6&gt;=$D32,Y$9&lt;=$E32),1,"")</f>
        <v/>
      </c>
      <c r="Z32">
        <f>IF(AND(Z$9+6&gt;=$D32,Z$9&lt;=$E32),1,"")</f>
        <v/>
      </c>
      <c r="AA32">
        <f>IF(AND(AA$9+6&gt;=$D32,AA$9&lt;=$E32),1,"")</f>
        <v/>
      </c>
      <c r="AB32">
        <f>IF(AND(AB$9+6&gt;=$D32,AB$9&lt;=$E32),1,"")</f>
        <v/>
      </c>
      <c r="AC32">
        <f>IF(AND(AC$9+6&gt;=$D32,AC$9&lt;=$E32),1,"")</f>
        <v/>
      </c>
      <c r="AD32">
        <f>IF(AND(AD$9+6&gt;=$D32,AD$9&lt;=$E32),1,"")</f>
        <v/>
      </c>
      <c r="AE32">
        <f>IF(AND(AE$9+6&gt;=$D32,AE$9&lt;=$E32),1,"")</f>
        <v/>
      </c>
      <c r="AF32">
        <f>IF(AND(AF$9+6&gt;=$D32,AF$9&lt;=$E32),1,"")</f>
        <v/>
      </c>
      <c r="AG32">
        <f>IF(AND(AG$9+6&gt;=$D32,AG$9&lt;=$E32),1,"")</f>
        <v/>
      </c>
      <c r="AH32">
        <f>IF(AND(AH$9+6&gt;=$D32,AH$9&lt;=$E32),1,"")</f>
        <v/>
      </c>
      <c r="AI32">
        <f>IF(AND(AI$9+6&gt;=$D32,AI$9&lt;=$E32),1,"")</f>
        <v/>
      </c>
      <c r="AJ32">
        <f>IF(AND(AJ$9+6&gt;=$D32,AJ$9&lt;=$E32),1,"")</f>
        <v/>
      </c>
      <c r="AK32">
        <f>IF(AND(AK$9+6&gt;=$D32,AK$9&lt;=$E32),1,"")</f>
        <v/>
      </c>
      <c r="AL32">
        <f>IF(AND(AL$9+6&gt;=$D32,AL$9&lt;=$E32),1,"")</f>
        <v/>
      </c>
      <c r="AM32">
        <f>IF(AND(AM$9+6&gt;=$D32,AM$9&lt;=$E32),1,"")</f>
        <v/>
      </c>
      <c r="AN32">
        <f>IF(AND(AN$9+6&gt;=$D32,AN$9&lt;=$E32),1,"")</f>
        <v/>
      </c>
      <c r="AO32">
        <f>IF(AND(AO$9+6&gt;=$D32,AO$9&lt;=$E32),1,"")</f>
        <v/>
      </c>
      <c r="AP32">
        <f>IF(AND(AP$9+6&gt;=$D32,AP$9&lt;=$E32),1,"")</f>
        <v/>
      </c>
      <c r="AQ32">
        <f>IF(AND(AQ$9+6&gt;=$D32,AQ$9&lt;=$E32),1,"")</f>
        <v/>
      </c>
      <c r="AR32">
        <f>IF(AND(AR$9+6&gt;=$D32,AR$9&lt;=$E32),1,"")</f>
        <v/>
      </c>
      <c r="AS32">
        <f>IF(AND(AS$9+6&gt;=$D32,AS$9&lt;=$E32),1,"")</f>
        <v/>
      </c>
      <c r="AT32">
        <f>IF(AND(AT$9+6&gt;=$D32,AT$9&lt;=$E32),1,"")</f>
        <v/>
      </c>
      <c r="AU32">
        <f>IF(AND(AU$9+6&gt;=$D32,AU$9&lt;=$E32),1,"")</f>
        <v/>
      </c>
      <c r="AV32">
        <f>IF(AND(AV$9+6&gt;=$D32,AV$9&lt;=$E32),1,"")</f>
        <v/>
      </c>
      <c r="AW32">
        <f>IF(AND(AW$9+6&gt;=$D32,AW$9&lt;=$E32),1,"")</f>
        <v/>
      </c>
      <c r="AX32">
        <f>IF(AND(AX$9+6&gt;=$D32,AX$9&lt;=$E32),1,"")</f>
        <v/>
      </c>
      <c r="AY32">
        <f>IF(AND(AY$9+6&gt;=$D32,AY$9&lt;=$E32),1,"")</f>
        <v/>
      </c>
      <c r="AZ32">
        <f>IF(AND(AZ$9+6&gt;=$D32,AZ$9&lt;=$E32),1,"")</f>
        <v/>
      </c>
      <c r="BA32">
        <f>IF(AND(BA$9+6&gt;=$D32,BA$9&lt;=$E32),1,"")</f>
        <v/>
      </c>
      <c r="BB32">
        <f>IF(AND(BB$9+6&gt;=$D32,BB$9&lt;=$E32),1,"")</f>
        <v/>
      </c>
      <c r="BC32">
        <f>IF(AND(BC$9+6&gt;=$D32,BC$9&lt;=$E32),1,"")</f>
        <v/>
      </c>
      <c r="BD32">
        <f>IF(AND(BD$9+6&gt;=$D32,BD$9&lt;=$E32),1,"")</f>
        <v/>
      </c>
      <c r="BE32">
        <f>IF(AND(BE$9+6&gt;=$D32,BE$9&lt;=$E32),1,"")</f>
        <v/>
      </c>
      <c r="BF32">
        <f>IF(AND(BF$9+6&gt;=$D32,BF$9&lt;=$E32),1,"")</f>
        <v/>
      </c>
      <c r="BG32">
        <f>IF(AND(BG$9+6&gt;=$D32,BG$9&lt;=$E32),1,"")</f>
        <v/>
      </c>
    </row>
    <row r="33">
      <c r="B33" s="8" t="inlineStr">
        <is>
          <t>Targeted support meetings (new owners, complex indicators, late respondents)</t>
        </is>
      </c>
      <c r="C33" s="8" t="inlineStr"/>
      <c r="D33" s="44" t="n">
        <v>46391</v>
      </c>
      <c r="E33" s="44" t="n">
        <v>46409</v>
      </c>
      <c r="F33" s="8" t="inlineStr">
        <is>
          <t>SST</t>
        </is>
      </c>
      <c r="G33" s="8" t="inlineStr"/>
      <c r="H33" s="8" t="inlineStr"/>
      <c r="I33" s="8" t="inlineStr">
        <is>
          <t>Data owners</t>
        </is>
      </c>
      <c r="J33" s="8" t="inlineStr">
        <is>
          <t>Medium</t>
        </is>
      </c>
      <c r="K33" s="8" t="inlineStr">
        <is>
          <t>Not yet started</t>
        </is>
      </c>
      <c r="L33">
        <f>IF(AND(L$9+6&gt;=$D33,L$9&lt;=$E33),1,"")</f>
        <v/>
      </c>
      <c r="M33">
        <f>IF(AND(M$9+6&gt;=$D33,M$9&lt;=$E33),1,"")</f>
        <v/>
      </c>
      <c r="N33">
        <f>IF(AND(N$9+6&gt;=$D33,N$9&lt;=$E33),1,"")</f>
        <v/>
      </c>
      <c r="O33">
        <f>IF(AND(O$9+6&gt;=$D33,O$9&lt;=$E33),1,"")</f>
        <v/>
      </c>
      <c r="P33">
        <f>IF(AND(P$9+6&gt;=$D33,P$9&lt;=$E33),1,"")</f>
        <v/>
      </c>
      <c r="Q33">
        <f>IF(AND(Q$9+6&gt;=$D33,Q$9&lt;=$E33),1,"")</f>
        <v/>
      </c>
      <c r="R33">
        <f>IF(AND(R$9+6&gt;=$D33,R$9&lt;=$E33),1,"")</f>
        <v/>
      </c>
      <c r="S33">
        <f>IF(AND(S$9+6&gt;=$D33,S$9&lt;=$E33),1,"")</f>
        <v/>
      </c>
      <c r="T33">
        <f>IF(AND(T$9+6&gt;=$D33,T$9&lt;=$E33),1,"")</f>
        <v/>
      </c>
      <c r="U33">
        <f>IF(AND(U$9+6&gt;=$D33,U$9&lt;=$E33),1,"")</f>
        <v/>
      </c>
      <c r="V33">
        <f>IF(AND(V$9+6&gt;=$D33,V$9&lt;=$E33),1,"")</f>
        <v/>
      </c>
      <c r="W33">
        <f>IF(AND(W$9+6&gt;=$D33,W$9&lt;=$E33),1,"")</f>
        <v/>
      </c>
      <c r="X33">
        <f>IF(AND(X$9+6&gt;=$D33,X$9&lt;=$E33),1,"")</f>
        <v/>
      </c>
      <c r="Y33">
        <f>IF(AND(Y$9+6&gt;=$D33,Y$9&lt;=$E33),1,"")</f>
        <v/>
      </c>
      <c r="Z33">
        <f>IF(AND(Z$9+6&gt;=$D33,Z$9&lt;=$E33),1,"")</f>
        <v/>
      </c>
      <c r="AA33">
        <f>IF(AND(AA$9+6&gt;=$D33,AA$9&lt;=$E33),1,"")</f>
        <v/>
      </c>
      <c r="AB33">
        <f>IF(AND(AB$9+6&gt;=$D33,AB$9&lt;=$E33),1,"")</f>
        <v/>
      </c>
      <c r="AC33">
        <f>IF(AND(AC$9+6&gt;=$D33,AC$9&lt;=$E33),1,"")</f>
        <v/>
      </c>
      <c r="AD33">
        <f>IF(AND(AD$9+6&gt;=$D33,AD$9&lt;=$E33),1,"")</f>
        <v/>
      </c>
      <c r="AE33">
        <f>IF(AND(AE$9+6&gt;=$D33,AE$9&lt;=$E33),1,"")</f>
        <v/>
      </c>
      <c r="AF33">
        <f>IF(AND(AF$9+6&gt;=$D33,AF$9&lt;=$E33),1,"")</f>
        <v/>
      </c>
      <c r="AG33">
        <f>IF(AND(AG$9+6&gt;=$D33,AG$9&lt;=$E33),1,"")</f>
        <v/>
      </c>
      <c r="AH33">
        <f>IF(AND(AH$9+6&gt;=$D33,AH$9&lt;=$E33),1,"")</f>
        <v/>
      </c>
      <c r="AI33">
        <f>IF(AND(AI$9+6&gt;=$D33,AI$9&lt;=$E33),1,"")</f>
        <v/>
      </c>
      <c r="AJ33">
        <f>IF(AND(AJ$9+6&gt;=$D33,AJ$9&lt;=$E33),1,"")</f>
        <v/>
      </c>
      <c r="AK33">
        <f>IF(AND(AK$9+6&gt;=$D33,AK$9&lt;=$E33),1,"")</f>
        <v/>
      </c>
      <c r="AL33">
        <f>IF(AND(AL$9+6&gt;=$D33,AL$9&lt;=$E33),1,"")</f>
        <v/>
      </c>
      <c r="AM33">
        <f>IF(AND(AM$9+6&gt;=$D33,AM$9&lt;=$E33),1,"")</f>
        <v/>
      </c>
      <c r="AN33">
        <f>IF(AND(AN$9+6&gt;=$D33,AN$9&lt;=$E33),1,"")</f>
        <v/>
      </c>
      <c r="AO33">
        <f>IF(AND(AO$9+6&gt;=$D33,AO$9&lt;=$E33),1,"")</f>
        <v/>
      </c>
      <c r="AP33">
        <f>IF(AND(AP$9+6&gt;=$D33,AP$9&lt;=$E33),1,"")</f>
        <v/>
      </c>
      <c r="AQ33">
        <f>IF(AND(AQ$9+6&gt;=$D33,AQ$9&lt;=$E33),1,"")</f>
        <v/>
      </c>
      <c r="AR33">
        <f>IF(AND(AR$9+6&gt;=$D33,AR$9&lt;=$E33),1,"")</f>
        <v/>
      </c>
      <c r="AS33">
        <f>IF(AND(AS$9+6&gt;=$D33,AS$9&lt;=$E33),1,"")</f>
        <v/>
      </c>
      <c r="AT33">
        <f>IF(AND(AT$9+6&gt;=$D33,AT$9&lt;=$E33),1,"")</f>
        <v/>
      </c>
      <c r="AU33">
        <f>IF(AND(AU$9+6&gt;=$D33,AU$9&lt;=$E33),1,"")</f>
        <v/>
      </c>
      <c r="AV33">
        <f>IF(AND(AV$9+6&gt;=$D33,AV$9&lt;=$E33),1,"")</f>
        <v/>
      </c>
      <c r="AW33">
        <f>IF(AND(AW$9+6&gt;=$D33,AW$9&lt;=$E33),1,"")</f>
        <v/>
      </c>
      <c r="AX33">
        <f>IF(AND(AX$9+6&gt;=$D33,AX$9&lt;=$E33),1,"")</f>
        <v/>
      </c>
      <c r="AY33">
        <f>IF(AND(AY$9+6&gt;=$D33,AY$9&lt;=$E33),1,"")</f>
        <v/>
      </c>
      <c r="AZ33">
        <f>IF(AND(AZ$9+6&gt;=$D33,AZ$9&lt;=$E33),1,"")</f>
        <v/>
      </c>
      <c r="BA33">
        <f>IF(AND(BA$9+6&gt;=$D33,BA$9&lt;=$E33),1,"")</f>
        <v/>
      </c>
      <c r="BB33">
        <f>IF(AND(BB$9+6&gt;=$D33,BB$9&lt;=$E33),1,"")</f>
        <v/>
      </c>
      <c r="BC33">
        <f>IF(AND(BC$9+6&gt;=$D33,BC$9&lt;=$E33),1,"")</f>
        <v/>
      </c>
      <c r="BD33">
        <f>IF(AND(BD$9+6&gt;=$D33,BD$9&lt;=$E33),1,"")</f>
        <v/>
      </c>
      <c r="BE33">
        <f>IF(AND(BE$9+6&gt;=$D33,BE$9&lt;=$E33),1,"")</f>
        <v/>
      </c>
      <c r="BF33">
        <f>IF(AND(BF$9+6&gt;=$D33,BF$9&lt;=$E33),1,"")</f>
        <v/>
      </c>
      <c r="BG33">
        <f>IF(AND(BG$9+6&gt;=$D33,BG$9&lt;=$E33),1,"")</f>
        <v/>
      </c>
    </row>
    <row r="34">
      <c r="B34" s="8" t="inlineStr">
        <is>
          <t>Confirm provisional quantitative data (Databook)</t>
        </is>
      </c>
      <c r="C34" s="8" t="inlineStr"/>
      <c r="D34" s="44" t="n">
        <v>46391</v>
      </c>
      <c r="E34" s="44" t="n">
        <v>46416</v>
      </c>
      <c r="F34" s="8" t="inlineStr">
        <is>
          <t>SST</t>
        </is>
      </c>
      <c r="G34" s="8" t="inlineStr"/>
      <c r="H34" s="8" t="inlineStr">
        <is>
          <t>Data owners</t>
        </is>
      </c>
      <c r="I34" s="8" t="inlineStr"/>
      <c r="J34" s="8" t="inlineStr">
        <is>
          <t>High</t>
        </is>
      </c>
      <c r="K34" s="8" t="inlineStr">
        <is>
          <t>Not yet started</t>
        </is>
      </c>
      <c r="L34">
        <f>IF(AND(L$9+6&gt;=$D34,L$9&lt;=$E34),1,"")</f>
        <v/>
      </c>
      <c r="M34">
        <f>IF(AND(M$9+6&gt;=$D34,M$9&lt;=$E34),1,"")</f>
        <v/>
      </c>
      <c r="N34">
        <f>IF(AND(N$9+6&gt;=$D34,N$9&lt;=$E34),1,"")</f>
        <v/>
      </c>
      <c r="O34">
        <f>IF(AND(O$9+6&gt;=$D34,O$9&lt;=$E34),1,"")</f>
        <v/>
      </c>
      <c r="P34">
        <f>IF(AND(P$9+6&gt;=$D34,P$9&lt;=$E34),1,"")</f>
        <v/>
      </c>
      <c r="Q34">
        <f>IF(AND(Q$9+6&gt;=$D34,Q$9&lt;=$E34),1,"")</f>
        <v/>
      </c>
      <c r="R34">
        <f>IF(AND(R$9+6&gt;=$D34,R$9&lt;=$E34),1,"")</f>
        <v/>
      </c>
      <c r="S34">
        <f>IF(AND(S$9+6&gt;=$D34,S$9&lt;=$E34),1,"")</f>
        <v/>
      </c>
      <c r="T34">
        <f>IF(AND(T$9+6&gt;=$D34,T$9&lt;=$E34),1,"")</f>
        <v/>
      </c>
      <c r="U34">
        <f>IF(AND(U$9+6&gt;=$D34,U$9&lt;=$E34),1,"")</f>
        <v/>
      </c>
      <c r="V34">
        <f>IF(AND(V$9+6&gt;=$D34,V$9&lt;=$E34),1,"")</f>
        <v/>
      </c>
      <c r="W34">
        <f>IF(AND(W$9+6&gt;=$D34,W$9&lt;=$E34),1,"")</f>
        <v/>
      </c>
      <c r="X34">
        <f>IF(AND(X$9+6&gt;=$D34,X$9&lt;=$E34),1,"")</f>
        <v/>
      </c>
      <c r="Y34">
        <f>IF(AND(Y$9+6&gt;=$D34,Y$9&lt;=$E34),1,"")</f>
        <v/>
      </c>
      <c r="Z34">
        <f>IF(AND(Z$9+6&gt;=$D34,Z$9&lt;=$E34),1,"")</f>
        <v/>
      </c>
      <c r="AA34">
        <f>IF(AND(AA$9+6&gt;=$D34,AA$9&lt;=$E34),1,"")</f>
        <v/>
      </c>
      <c r="AB34">
        <f>IF(AND(AB$9+6&gt;=$D34,AB$9&lt;=$E34),1,"")</f>
        <v/>
      </c>
      <c r="AC34">
        <f>IF(AND(AC$9+6&gt;=$D34,AC$9&lt;=$E34),1,"")</f>
        <v/>
      </c>
      <c r="AD34">
        <f>IF(AND(AD$9+6&gt;=$D34,AD$9&lt;=$E34),1,"")</f>
        <v/>
      </c>
      <c r="AE34">
        <f>IF(AND(AE$9+6&gt;=$D34,AE$9&lt;=$E34),1,"")</f>
        <v/>
      </c>
      <c r="AF34">
        <f>IF(AND(AF$9+6&gt;=$D34,AF$9&lt;=$E34),1,"")</f>
        <v/>
      </c>
      <c r="AG34">
        <f>IF(AND(AG$9+6&gt;=$D34,AG$9&lt;=$E34),1,"")</f>
        <v/>
      </c>
      <c r="AH34">
        <f>IF(AND(AH$9+6&gt;=$D34,AH$9&lt;=$E34),1,"")</f>
        <v/>
      </c>
      <c r="AI34">
        <f>IF(AND(AI$9+6&gt;=$D34,AI$9&lt;=$E34),1,"")</f>
        <v/>
      </c>
      <c r="AJ34">
        <f>IF(AND(AJ$9+6&gt;=$D34,AJ$9&lt;=$E34),1,"")</f>
        <v/>
      </c>
      <c r="AK34">
        <f>IF(AND(AK$9+6&gt;=$D34,AK$9&lt;=$E34),1,"")</f>
        <v/>
      </c>
      <c r="AL34">
        <f>IF(AND(AL$9+6&gt;=$D34,AL$9&lt;=$E34),1,"")</f>
        <v/>
      </c>
      <c r="AM34">
        <f>IF(AND(AM$9+6&gt;=$D34,AM$9&lt;=$E34),1,"")</f>
        <v/>
      </c>
      <c r="AN34">
        <f>IF(AND(AN$9+6&gt;=$D34,AN$9&lt;=$E34),1,"")</f>
        <v/>
      </c>
      <c r="AO34">
        <f>IF(AND(AO$9+6&gt;=$D34,AO$9&lt;=$E34),1,"")</f>
        <v/>
      </c>
      <c r="AP34">
        <f>IF(AND(AP$9+6&gt;=$D34,AP$9&lt;=$E34),1,"")</f>
        <v/>
      </c>
      <c r="AQ34">
        <f>IF(AND(AQ$9+6&gt;=$D34,AQ$9&lt;=$E34),1,"")</f>
        <v/>
      </c>
      <c r="AR34">
        <f>IF(AND(AR$9+6&gt;=$D34,AR$9&lt;=$E34),1,"")</f>
        <v/>
      </c>
      <c r="AS34">
        <f>IF(AND(AS$9+6&gt;=$D34,AS$9&lt;=$E34),1,"")</f>
        <v/>
      </c>
      <c r="AT34">
        <f>IF(AND(AT$9+6&gt;=$D34,AT$9&lt;=$E34),1,"")</f>
        <v/>
      </c>
      <c r="AU34">
        <f>IF(AND(AU$9+6&gt;=$D34,AU$9&lt;=$E34),1,"")</f>
        <v/>
      </c>
      <c r="AV34">
        <f>IF(AND(AV$9+6&gt;=$D34,AV$9&lt;=$E34),1,"")</f>
        <v/>
      </c>
      <c r="AW34">
        <f>IF(AND(AW$9+6&gt;=$D34,AW$9&lt;=$E34),1,"")</f>
        <v/>
      </c>
      <c r="AX34">
        <f>IF(AND(AX$9+6&gt;=$D34,AX$9&lt;=$E34),1,"")</f>
        <v/>
      </c>
      <c r="AY34">
        <f>IF(AND(AY$9+6&gt;=$D34,AY$9&lt;=$E34),1,"")</f>
        <v/>
      </c>
      <c r="AZ34">
        <f>IF(AND(AZ$9+6&gt;=$D34,AZ$9&lt;=$E34),1,"")</f>
        <v/>
      </c>
      <c r="BA34">
        <f>IF(AND(BA$9+6&gt;=$D34,BA$9&lt;=$E34),1,"")</f>
        <v/>
      </c>
      <c r="BB34">
        <f>IF(AND(BB$9+6&gt;=$D34,BB$9&lt;=$E34),1,"")</f>
        <v/>
      </c>
      <c r="BC34">
        <f>IF(AND(BC$9+6&gt;=$D34,BC$9&lt;=$E34),1,"")</f>
        <v/>
      </c>
      <c r="BD34">
        <f>IF(AND(BD$9+6&gt;=$D34,BD$9&lt;=$E34),1,"")</f>
        <v/>
      </c>
      <c r="BE34">
        <f>IF(AND(BE$9+6&gt;=$D34,BE$9&lt;=$E34),1,"")</f>
        <v/>
      </c>
      <c r="BF34">
        <f>IF(AND(BF$9+6&gt;=$D34,BF$9&lt;=$E34),1,"")</f>
        <v/>
      </c>
      <c r="BG34">
        <f>IF(AND(BG$9+6&gt;=$D34,BG$9&lt;=$E34),1,"")</f>
        <v/>
      </c>
    </row>
    <row r="35">
      <c r="B35" s="8" t="inlineStr">
        <is>
          <t>Preliminary target status assessment (internal) – A1/T2 tabs</t>
        </is>
      </c>
      <c r="C35" s="8" t="inlineStr"/>
      <c r="D35" s="44" t="n">
        <v>46405</v>
      </c>
      <c r="E35" s="44" t="n">
        <v>46423</v>
      </c>
      <c r="F35" s="8" t="inlineStr">
        <is>
          <t>Rose (TBC)</t>
        </is>
      </c>
      <c r="G35" s="8" t="inlineStr">
        <is>
          <t>Director, Sustainability</t>
        </is>
      </c>
      <c r="H35" s="8" t="inlineStr">
        <is>
          <t>SST</t>
        </is>
      </c>
      <c r="I35" s="8" t="inlineStr"/>
      <c r="J35" s="8" t="inlineStr">
        <is>
          <t>High</t>
        </is>
      </c>
      <c r="K35" s="8" t="inlineStr">
        <is>
          <t>Not yet started</t>
        </is>
      </c>
      <c r="L35">
        <f>IF(AND(L$9+6&gt;=$D35,L$9&lt;=$E35),1,"")</f>
        <v/>
      </c>
      <c r="M35">
        <f>IF(AND(M$9+6&gt;=$D35,M$9&lt;=$E35),1,"")</f>
        <v/>
      </c>
      <c r="N35">
        <f>IF(AND(N$9+6&gt;=$D35,N$9&lt;=$E35),1,"")</f>
        <v/>
      </c>
      <c r="O35">
        <f>IF(AND(O$9+6&gt;=$D35,O$9&lt;=$E35),1,"")</f>
        <v/>
      </c>
      <c r="P35">
        <f>IF(AND(P$9+6&gt;=$D35,P$9&lt;=$E35),1,"")</f>
        <v/>
      </c>
      <c r="Q35">
        <f>IF(AND(Q$9+6&gt;=$D35,Q$9&lt;=$E35),1,"")</f>
        <v/>
      </c>
      <c r="R35">
        <f>IF(AND(R$9+6&gt;=$D35,R$9&lt;=$E35),1,"")</f>
        <v/>
      </c>
      <c r="S35">
        <f>IF(AND(S$9+6&gt;=$D35,S$9&lt;=$E35),1,"")</f>
        <v/>
      </c>
      <c r="T35">
        <f>IF(AND(T$9+6&gt;=$D35,T$9&lt;=$E35),1,"")</f>
        <v/>
      </c>
      <c r="U35">
        <f>IF(AND(U$9+6&gt;=$D35,U$9&lt;=$E35),1,"")</f>
        <v/>
      </c>
      <c r="V35">
        <f>IF(AND(V$9+6&gt;=$D35,V$9&lt;=$E35),1,"")</f>
        <v/>
      </c>
      <c r="W35">
        <f>IF(AND(W$9+6&gt;=$D35,W$9&lt;=$E35),1,"")</f>
        <v/>
      </c>
      <c r="X35">
        <f>IF(AND(X$9+6&gt;=$D35,X$9&lt;=$E35),1,"")</f>
        <v/>
      </c>
      <c r="Y35">
        <f>IF(AND(Y$9+6&gt;=$D35,Y$9&lt;=$E35),1,"")</f>
        <v/>
      </c>
      <c r="Z35">
        <f>IF(AND(Z$9+6&gt;=$D35,Z$9&lt;=$E35),1,"")</f>
        <v/>
      </c>
      <c r="AA35">
        <f>IF(AND(AA$9+6&gt;=$D35,AA$9&lt;=$E35),1,"")</f>
        <v/>
      </c>
      <c r="AB35">
        <f>IF(AND(AB$9+6&gt;=$D35,AB$9&lt;=$E35),1,"")</f>
        <v/>
      </c>
      <c r="AC35">
        <f>IF(AND(AC$9+6&gt;=$D35,AC$9&lt;=$E35),1,"")</f>
        <v/>
      </c>
      <c r="AD35">
        <f>IF(AND(AD$9+6&gt;=$D35,AD$9&lt;=$E35),1,"")</f>
        <v/>
      </c>
      <c r="AE35">
        <f>IF(AND(AE$9+6&gt;=$D35,AE$9&lt;=$E35),1,"")</f>
        <v/>
      </c>
      <c r="AF35">
        <f>IF(AND(AF$9+6&gt;=$D35,AF$9&lt;=$E35),1,"")</f>
        <v/>
      </c>
      <c r="AG35">
        <f>IF(AND(AG$9+6&gt;=$D35,AG$9&lt;=$E35),1,"")</f>
        <v/>
      </c>
      <c r="AH35">
        <f>IF(AND(AH$9+6&gt;=$D35,AH$9&lt;=$E35),1,"")</f>
        <v/>
      </c>
      <c r="AI35">
        <f>IF(AND(AI$9+6&gt;=$D35,AI$9&lt;=$E35),1,"")</f>
        <v/>
      </c>
      <c r="AJ35">
        <f>IF(AND(AJ$9+6&gt;=$D35,AJ$9&lt;=$E35),1,"")</f>
        <v/>
      </c>
      <c r="AK35">
        <f>IF(AND(AK$9+6&gt;=$D35,AK$9&lt;=$E35),1,"")</f>
        <v/>
      </c>
      <c r="AL35">
        <f>IF(AND(AL$9+6&gt;=$D35,AL$9&lt;=$E35),1,"")</f>
        <v/>
      </c>
      <c r="AM35">
        <f>IF(AND(AM$9+6&gt;=$D35,AM$9&lt;=$E35),1,"")</f>
        <v/>
      </c>
      <c r="AN35">
        <f>IF(AND(AN$9+6&gt;=$D35,AN$9&lt;=$E35),1,"")</f>
        <v/>
      </c>
      <c r="AO35">
        <f>IF(AND(AO$9+6&gt;=$D35,AO$9&lt;=$E35),1,"")</f>
        <v/>
      </c>
      <c r="AP35">
        <f>IF(AND(AP$9+6&gt;=$D35,AP$9&lt;=$E35),1,"")</f>
        <v/>
      </c>
      <c r="AQ35">
        <f>IF(AND(AQ$9+6&gt;=$D35,AQ$9&lt;=$E35),1,"")</f>
        <v/>
      </c>
      <c r="AR35">
        <f>IF(AND(AR$9+6&gt;=$D35,AR$9&lt;=$E35),1,"")</f>
        <v/>
      </c>
      <c r="AS35">
        <f>IF(AND(AS$9+6&gt;=$D35,AS$9&lt;=$E35),1,"")</f>
        <v/>
      </c>
      <c r="AT35">
        <f>IF(AND(AT$9+6&gt;=$D35,AT$9&lt;=$E35),1,"")</f>
        <v/>
      </c>
      <c r="AU35">
        <f>IF(AND(AU$9+6&gt;=$D35,AU$9&lt;=$E35),1,"")</f>
        <v/>
      </c>
      <c r="AV35">
        <f>IF(AND(AV$9+6&gt;=$D35,AV$9&lt;=$E35),1,"")</f>
        <v/>
      </c>
      <c r="AW35">
        <f>IF(AND(AW$9+6&gt;=$D35,AW$9&lt;=$E35),1,"")</f>
        <v/>
      </c>
      <c r="AX35">
        <f>IF(AND(AX$9+6&gt;=$D35,AX$9&lt;=$E35),1,"")</f>
        <v/>
      </c>
      <c r="AY35">
        <f>IF(AND(AY$9+6&gt;=$D35,AY$9&lt;=$E35),1,"")</f>
        <v/>
      </c>
      <c r="AZ35">
        <f>IF(AND(AZ$9+6&gt;=$D35,AZ$9&lt;=$E35),1,"")</f>
        <v/>
      </c>
      <c r="BA35">
        <f>IF(AND(BA$9+6&gt;=$D35,BA$9&lt;=$E35),1,"")</f>
        <v/>
      </c>
      <c r="BB35">
        <f>IF(AND(BB$9+6&gt;=$D35,BB$9&lt;=$E35),1,"")</f>
        <v/>
      </c>
      <c r="BC35">
        <f>IF(AND(BC$9+6&gt;=$D35,BC$9&lt;=$E35),1,"")</f>
        <v/>
      </c>
      <c r="BD35">
        <f>IF(AND(BD$9+6&gt;=$D35,BD$9&lt;=$E35),1,"")</f>
        <v/>
      </c>
      <c r="BE35">
        <f>IF(AND(BE$9+6&gt;=$D35,BE$9&lt;=$E35),1,"")</f>
        <v/>
      </c>
      <c r="BF35">
        <f>IF(AND(BF$9+6&gt;=$D35,BF$9&lt;=$E35),1,"")</f>
        <v/>
      </c>
      <c r="BG35">
        <f>IF(AND(BG$9+6&gt;=$D35,BG$9&lt;=$E35),1,"")</f>
        <v/>
      </c>
    </row>
    <row r="36">
      <c r="B36" s="8" t="inlineStr">
        <is>
          <t>Full draft + issues paper; close evidence gaps</t>
        </is>
      </c>
      <c r="C36" s="8" t="inlineStr"/>
      <c r="D36" s="44" t="n">
        <v>46398</v>
      </c>
      <c r="E36" s="44" t="n">
        <v>46423</v>
      </c>
      <c r="F36" s="8" t="inlineStr">
        <is>
          <t>SST</t>
        </is>
      </c>
      <c r="G36" s="8" t="inlineStr">
        <is>
          <t>Director, Sustainability</t>
        </is>
      </c>
      <c r="H36" s="8" t="inlineStr"/>
      <c r="I36" s="8" t="inlineStr"/>
      <c r="J36" s="8" t="inlineStr">
        <is>
          <t>High</t>
        </is>
      </c>
      <c r="K36" s="8" t="inlineStr">
        <is>
          <t>Not yet started</t>
        </is>
      </c>
      <c r="L36">
        <f>IF(AND(L$9+6&gt;=$D36,L$9&lt;=$E36),1,"")</f>
        <v/>
      </c>
      <c r="M36">
        <f>IF(AND(M$9+6&gt;=$D36,M$9&lt;=$E36),1,"")</f>
        <v/>
      </c>
      <c r="N36">
        <f>IF(AND(N$9+6&gt;=$D36,N$9&lt;=$E36),1,"")</f>
        <v/>
      </c>
      <c r="O36">
        <f>IF(AND(O$9+6&gt;=$D36,O$9&lt;=$E36),1,"")</f>
        <v/>
      </c>
      <c r="P36">
        <f>IF(AND(P$9+6&gt;=$D36,P$9&lt;=$E36),1,"")</f>
        <v/>
      </c>
      <c r="Q36">
        <f>IF(AND(Q$9+6&gt;=$D36,Q$9&lt;=$E36),1,"")</f>
        <v/>
      </c>
      <c r="R36">
        <f>IF(AND(R$9+6&gt;=$D36,R$9&lt;=$E36),1,"")</f>
        <v/>
      </c>
      <c r="S36">
        <f>IF(AND(S$9+6&gt;=$D36,S$9&lt;=$E36),1,"")</f>
        <v/>
      </c>
      <c r="T36">
        <f>IF(AND(T$9+6&gt;=$D36,T$9&lt;=$E36),1,"")</f>
        <v/>
      </c>
      <c r="U36">
        <f>IF(AND(U$9+6&gt;=$D36,U$9&lt;=$E36),1,"")</f>
        <v/>
      </c>
      <c r="V36">
        <f>IF(AND(V$9+6&gt;=$D36,V$9&lt;=$E36),1,"")</f>
        <v/>
      </c>
      <c r="W36">
        <f>IF(AND(W$9+6&gt;=$D36,W$9&lt;=$E36),1,"")</f>
        <v/>
      </c>
      <c r="X36">
        <f>IF(AND(X$9+6&gt;=$D36,X$9&lt;=$E36),1,"")</f>
        <v/>
      </c>
      <c r="Y36">
        <f>IF(AND(Y$9+6&gt;=$D36,Y$9&lt;=$E36),1,"")</f>
        <v/>
      </c>
      <c r="Z36">
        <f>IF(AND(Z$9+6&gt;=$D36,Z$9&lt;=$E36),1,"")</f>
        <v/>
      </c>
      <c r="AA36">
        <f>IF(AND(AA$9+6&gt;=$D36,AA$9&lt;=$E36),1,"")</f>
        <v/>
      </c>
      <c r="AB36">
        <f>IF(AND(AB$9+6&gt;=$D36,AB$9&lt;=$E36),1,"")</f>
        <v/>
      </c>
      <c r="AC36">
        <f>IF(AND(AC$9+6&gt;=$D36,AC$9&lt;=$E36),1,"")</f>
        <v/>
      </c>
      <c r="AD36">
        <f>IF(AND(AD$9+6&gt;=$D36,AD$9&lt;=$E36),1,"")</f>
        <v/>
      </c>
      <c r="AE36">
        <f>IF(AND(AE$9+6&gt;=$D36,AE$9&lt;=$E36),1,"")</f>
        <v/>
      </c>
      <c r="AF36">
        <f>IF(AND(AF$9+6&gt;=$D36,AF$9&lt;=$E36),1,"")</f>
        <v/>
      </c>
      <c r="AG36">
        <f>IF(AND(AG$9+6&gt;=$D36,AG$9&lt;=$E36),1,"")</f>
        <v/>
      </c>
      <c r="AH36">
        <f>IF(AND(AH$9+6&gt;=$D36,AH$9&lt;=$E36),1,"")</f>
        <v/>
      </c>
      <c r="AI36">
        <f>IF(AND(AI$9+6&gt;=$D36,AI$9&lt;=$E36),1,"")</f>
        <v/>
      </c>
      <c r="AJ36">
        <f>IF(AND(AJ$9+6&gt;=$D36,AJ$9&lt;=$E36),1,"")</f>
        <v/>
      </c>
      <c r="AK36">
        <f>IF(AND(AK$9+6&gt;=$D36,AK$9&lt;=$E36),1,"")</f>
        <v/>
      </c>
      <c r="AL36">
        <f>IF(AND(AL$9+6&gt;=$D36,AL$9&lt;=$E36),1,"")</f>
        <v/>
      </c>
      <c r="AM36">
        <f>IF(AND(AM$9+6&gt;=$D36,AM$9&lt;=$E36),1,"")</f>
        <v/>
      </c>
      <c r="AN36">
        <f>IF(AND(AN$9+6&gt;=$D36,AN$9&lt;=$E36),1,"")</f>
        <v/>
      </c>
      <c r="AO36">
        <f>IF(AND(AO$9+6&gt;=$D36,AO$9&lt;=$E36),1,"")</f>
        <v/>
      </c>
      <c r="AP36">
        <f>IF(AND(AP$9+6&gt;=$D36,AP$9&lt;=$E36),1,"")</f>
        <v/>
      </c>
      <c r="AQ36">
        <f>IF(AND(AQ$9+6&gt;=$D36,AQ$9&lt;=$E36),1,"")</f>
        <v/>
      </c>
      <c r="AR36">
        <f>IF(AND(AR$9+6&gt;=$D36,AR$9&lt;=$E36),1,"")</f>
        <v/>
      </c>
      <c r="AS36">
        <f>IF(AND(AS$9+6&gt;=$D36,AS$9&lt;=$E36),1,"")</f>
        <v/>
      </c>
      <c r="AT36">
        <f>IF(AND(AT$9+6&gt;=$D36,AT$9&lt;=$E36),1,"")</f>
        <v/>
      </c>
      <c r="AU36">
        <f>IF(AND(AU$9+6&gt;=$D36,AU$9&lt;=$E36),1,"")</f>
        <v/>
      </c>
      <c r="AV36">
        <f>IF(AND(AV$9+6&gt;=$D36,AV$9&lt;=$E36),1,"")</f>
        <v/>
      </c>
      <c r="AW36">
        <f>IF(AND(AW$9+6&gt;=$D36,AW$9&lt;=$E36),1,"")</f>
        <v/>
      </c>
      <c r="AX36">
        <f>IF(AND(AX$9+6&gt;=$D36,AX$9&lt;=$E36),1,"")</f>
        <v/>
      </c>
      <c r="AY36">
        <f>IF(AND(AY$9+6&gt;=$D36,AY$9&lt;=$E36),1,"")</f>
        <v/>
      </c>
      <c r="AZ36">
        <f>IF(AND(AZ$9+6&gt;=$D36,AZ$9&lt;=$E36),1,"")</f>
        <v/>
      </c>
      <c r="BA36">
        <f>IF(AND(BA$9+6&gt;=$D36,BA$9&lt;=$E36),1,"")</f>
        <v/>
      </c>
      <c r="BB36">
        <f>IF(AND(BB$9+6&gt;=$D36,BB$9&lt;=$E36),1,"")</f>
        <v/>
      </c>
      <c r="BC36">
        <f>IF(AND(BC$9+6&gt;=$D36,BC$9&lt;=$E36),1,"")</f>
        <v/>
      </c>
      <c r="BD36">
        <f>IF(AND(BD$9+6&gt;=$D36,BD$9&lt;=$E36),1,"")</f>
        <v/>
      </c>
      <c r="BE36">
        <f>IF(AND(BE$9+6&gt;=$D36,BE$9&lt;=$E36),1,"")</f>
        <v/>
      </c>
      <c r="BF36">
        <f>IF(AND(BF$9+6&gt;=$D36,BF$9&lt;=$E36),1,"")</f>
        <v/>
      </c>
      <c r="BG36">
        <f>IF(AND(BG$9+6&gt;=$D36,BG$9&lt;=$E36),1,"")</f>
        <v/>
      </c>
    </row>
    <row r="37">
      <c r="B37" s="71" t="inlineStr">
        <is>
          <t>Review &amp; governance (Feb–May 2027)</t>
        </is>
      </c>
      <c r="C37" s="72" t="n"/>
      <c r="D37" s="72" t="n"/>
      <c r="E37" s="72" t="n"/>
      <c r="F37" s="72" t="n"/>
      <c r="G37" s="72" t="n"/>
      <c r="H37" s="72" t="n"/>
      <c r="I37" s="72" t="n"/>
      <c r="J37" s="72" t="n"/>
      <c r="K37" s="72" t="n"/>
      <c r="L37" s="72" t="n"/>
      <c r="M37" s="72" t="n"/>
      <c r="N37" s="72" t="n"/>
      <c r="O37" s="72" t="n"/>
      <c r="P37" s="72" t="n"/>
      <c r="Q37" s="72" t="n"/>
      <c r="R37" s="72" t="n"/>
      <c r="S37" s="72" t="n"/>
      <c r="T37" s="72" t="n"/>
      <c r="U37" s="72" t="n"/>
      <c r="V37" s="72" t="n"/>
      <c r="W37" s="72" t="n"/>
      <c r="X37" s="72" t="n"/>
      <c r="Y37" s="72" t="n"/>
      <c r="Z37" s="72" t="n"/>
      <c r="AA37" s="72" t="n"/>
      <c r="AB37" s="72" t="n"/>
      <c r="AC37" s="72" t="n"/>
      <c r="AD37" s="72" t="n"/>
      <c r="AE37" s="72" t="n"/>
      <c r="AF37" s="72" t="n"/>
      <c r="AG37" s="72" t="n"/>
      <c r="AH37" s="72" t="n"/>
      <c r="AI37" s="72" t="n"/>
      <c r="AJ37" s="72" t="n"/>
      <c r="AK37" s="72" t="n"/>
      <c r="AL37" s="72" t="n"/>
      <c r="AM37" s="72" t="n"/>
      <c r="AN37" s="72" t="n"/>
      <c r="AO37" s="72" t="n"/>
      <c r="AP37" s="72" t="n"/>
      <c r="AQ37" s="72" t="n"/>
      <c r="AR37" s="72" t="n"/>
      <c r="AS37" s="72" t="n"/>
      <c r="AT37" s="72" t="n"/>
      <c r="AU37" s="72" t="n"/>
      <c r="AV37" s="72" t="n"/>
      <c r="AW37" s="72" t="n"/>
      <c r="AX37" s="72" t="n"/>
      <c r="AY37" s="72" t="n"/>
      <c r="AZ37" s="72" t="n"/>
      <c r="BA37" s="72" t="n"/>
      <c r="BB37" s="72" t="n"/>
      <c r="BC37" s="72" t="n"/>
      <c r="BD37" s="72" t="n"/>
      <c r="BE37" s="72" t="n"/>
      <c r="BF37" s="72" t="n"/>
      <c r="BG37" s="72" t="n"/>
    </row>
    <row r="38">
      <c r="B38" s="8" t="inlineStr">
        <is>
          <t>VCAG papers due (Review Group findings)</t>
        </is>
      </c>
      <c r="C38" s="8" t="inlineStr">
        <is>
          <t>10 Feb</t>
        </is>
      </c>
      <c r="D38" s="44" t="n">
        <v>46428</v>
      </c>
      <c r="E38" s="44" t="n">
        <v>46428</v>
      </c>
      <c r="F38" s="8" t="inlineStr">
        <is>
          <t>SST</t>
        </is>
      </c>
      <c r="G38" s="8" t="inlineStr">
        <is>
          <t>Director, Sustainability</t>
        </is>
      </c>
      <c r="H38" s="8" t="inlineStr"/>
      <c r="I38" s="8" t="inlineStr"/>
      <c r="J38" s="8" t="inlineStr">
        <is>
          <t>Milestone</t>
        </is>
      </c>
      <c r="K38" s="8" t="inlineStr">
        <is>
          <t>Not yet started</t>
        </is>
      </c>
      <c r="L38">
        <f>IF(AND(L$9+6&gt;=$D38,L$9&lt;=$E38),1,"")</f>
        <v/>
      </c>
      <c r="M38">
        <f>IF(AND(M$9+6&gt;=$D38,M$9&lt;=$E38),1,"")</f>
        <v/>
      </c>
      <c r="N38">
        <f>IF(AND(N$9+6&gt;=$D38,N$9&lt;=$E38),1,"")</f>
        <v/>
      </c>
      <c r="O38">
        <f>IF(AND(O$9+6&gt;=$D38,O$9&lt;=$E38),1,"")</f>
        <v/>
      </c>
      <c r="P38">
        <f>IF(AND(P$9+6&gt;=$D38,P$9&lt;=$E38),1,"")</f>
        <v/>
      </c>
      <c r="Q38">
        <f>IF(AND(Q$9+6&gt;=$D38,Q$9&lt;=$E38),1,"")</f>
        <v/>
      </c>
      <c r="R38">
        <f>IF(AND(R$9+6&gt;=$D38,R$9&lt;=$E38),1,"")</f>
        <v/>
      </c>
      <c r="S38">
        <f>IF(AND(S$9+6&gt;=$D38,S$9&lt;=$E38),1,"")</f>
        <v/>
      </c>
      <c r="T38">
        <f>IF(AND(T$9+6&gt;=$D38,T$9&lt;=$E38),1,"")</f>
        <v/>
      </c>
      <c r="U38">
        <f>IF(AND(U$9+6&gt;=$D38,U$9&lt;=$E38),1,"")</f>
        <v/>
      </c>
      <c r="V38">
        <f>IF(AND(V$9+6&gt;=$D38,V$9&lt;=$E38),1,"")</f>
        <v/>
      </c>
      <c r="W38">
        <f>IF(AND(W$9+6&gt;=$D38,W$9&lt;=$E38),1,"")</f>
        <v/>
      </c>
      <c r="X38">
        <f>IF(AND(X$9+6&gt;=$D38,X$9&lt;=$E38),1,"")</f>
        <v/>
      </c>
      <c r="Y38">
        <f>IF(AND(Y$9+6&gt;=$D38,Y$9&lt;=$E38),1,"")</f>
        <v/>
      </c>
      <c r="Z38">
        <f>IF(AND(Z$9+6&gt;=$D38,Z$9&lt;=$E38),1,"")</f>
        <v/>
      </c>
      <c r="AA38">
        <f>IF(AND(AA$9+6&gt;=$D38,AA$9&lt;=$E38),1,"")</f>
        <v/>
      </c>
      <c r="AB38">
        <f>IF(AND(AB$9+6&gt;=$D38,AB$9&lt;=$E38),1,"")</f>
        <v/>
      </c>
      <c r="AC38">
        <f>IF(AND(AC$9+6&gt;=$D38,AC$9&lt;=$E38),1,"")</f>
        <v/>
      </c>
      <c r="AD38">
        <f>IF(AND(AD$9+6&gt;=$D38,AD$9&lt;=$E38),1,"")</f>
        <v/>
      </c>
      <c r="AE38">
        <f>IF(AND(AE$9+6&gt;=$D38,AE$9&lt;=$E38),1,"")</f>
        <v/>
      </c>
      <c r="AF38">
        <f>IF(AND(AF$9+6&gt;=$D38,AF$9&lt;=$E38),1,"")</f>
        <v/>
      </c>
      <c r="AG38">
        <f>IF(AND(AG$9+6&gt;=$D38,AG$9&lt;=$E38),1,"")</f>
        <v/>
      </c>
      <c r="AH38">
        <f>IF(AND(AH$9+6&gt;=$D38,AH$9&lt;=$E38),1,"")</f>
        <v/>
      </c>
      <c r="AI38">
        <f>IF(AND(AI$9+6&gt;=$D38,AI$9&lt;=$E38),1,"")</f>
        <v/>
      </c>
      <c r="AJ38">
        <f>IF(AND(AJ$9+6&gt;=$D38,AJ$9&lt;=$E38),1,"")</f>
        <v/>
      </c>
      <c r="AK38">
        <f>IF(AND(AK$9+6&gt;=$D38,AK$9&lt;=$E38),1,"")</f>
        <v/>
      </c>
      <c r="AL38">
        <f>IF(AND(AL$9+6&gt;=$D38,AL$9&lt;=$E38),1,"")</f>
        <v/>
      </c>
      <c r="AM38">
        <f>IF(AND(AM$9+6&gt;=$D38,AM$9&lt;=$E38),1,"")</f>
        <v/>
      </c>
      <c r="AN38">
        <f>IF(AND(AN$9+6&gt;=$D38,AN$9&lt;=$E38),1,"")</f>
        <v/>
      </c>
      <c r="AO38">
        <f>IF(AND(AO$9+6&gt;=$D38,AO$9&lt;=$E38),1,"")</f>
        <v/>
      </c>
      <c r="AP38">
        <f>IF(AND(AP$9+6&gt;=$D38,AP$9&lt;=$E38),1,"")</f>
        <v/>
      </c>
      <c r="AQ38">
        <f>IF(AND(AQ$9+6&gt;=$D38,AQ$9&lt;=$E38),1,"")</f>
        <v/>
      </c>
      <c r="AR38">
        <f>IF(AND(AR$9+6&gt;=$D38,AR$9&lt;=$E38),1,"")</f>
        <v/>
      </c>
      <c r="AS38">
        <f>IF(AND(AS$9+6&gt;=$D38,AS$9&lt;=$E38),1,"")</f>
        <v/>
      </c>
      <c r="AT38">
        <f>IF(AND(AT$9+6&gt;=$D38,AT$9&lt;=$E38),1,"")</f>
        <v/>
      </c>
      <c r="AU38">
        <f>IF(AND(AU$9+6&gt;=$D38,AU$9&lt;=$E38),1,"")</f>
        <v/>
      </c>
      <c r="AV38">
        <f>IF(AND(AV$9+6&gt;=$D38,AV$9&lt;=$E38),1,"")</f>
        <v/>
      </c>
      <c r="AW38">
        <f>IF(AND(AW$9+6&gt;=$D38,AW$9&lt;=$E38),1,"")</f>
        <v/>
      </c>
      <c r="AX38">
        <f>IF(AND(AX$9+6&gt;=$D38,AX$9&lt;=$E38),1,"")</f>
        <v/>
      </c>
      <c r="AY38">
        <f>IF(AND(AY$9+6&gt;=$D38,AY$9&lt;=$E38),1,"")</f>
        <v/>
      </c>
      <c r="AZ38">
        <f>IF(AND(AZ$9+6&gt;=$D38,AZ$9&lt;=$E38),1,"")</f>
        <v/>
      </c>
      <c r="BA38">
        <f>IF(AND(BA$9+6&gt;=$D38,BA$9&lt;=$E38),1,"")</f>
        <v/>
      </c>
      <c r="BB38">
        <f>IF(AND(BB$9+6&gt;=$D38,BB$9&lt;=$E38),1,"")</f>
        <v/>
      </c>
      <c r="BC38">
        <f>IF(AND(BC$9+6&gt;=$D38,BC$9&lt;=$E38),1,"")</f>
        <v/>
      </c>
      <c r="BD38">
        <f>IF(AND(BD$9+6&gt;=$D38,BD$9&lt;=$E38),1,"")</f>
        <v/>
      </c>
      <c r="BE38">
        <f>IF(AND(BE$9+6&gt;=$D38,BE$9&lt;=$E38),1,"")</f>
        <v/>
      </c>
      <c r="BF38">
        <f>IF(AND(BF$9+6&gt;=$D38,BF$9&lt;=$E38),1,"")</f>
        <v/>
      </c>
      <c r="BG38">
        <f>IF(AND(BG$9+6&gt;=$D38,BG$9&lt;=$E38),1,"")</f>
        <v/>
      </c>
    </row>
    <row r="39">
      <c r="B39" s="8" t="inlineStr">
        <is>
          <t>Sustainability Reporting Review Group</t>
        </is>
      </c>
      <c r="C39" s="8" t="inlineStr">
        <is>
          <t>~15 Feb (8–10 Feb TBC)</t>
        </is>
      </c>
      <c r="D39" s="44" t="n">
        <v>46426</v>
      </c>
      <c r="E39" s="44" t="n">
        <v>46433</v>
      </c>
      <c r="F39" s="8" t="inlineStr">
        <is>
          <t>Rose (convenor, TBC)</t>
        </is>
      </c>
      <c r="G39" s="8" t="inlineStr"/>
      <c r="H39" s="8" t="inlineStr"/>
      <c r="I39" s="8" t="inlineStr"/>
      <c r="J39" s="8" t="inlineStr">
        <is>
          <t>Milestone</t>
        </is>
      </c>
      <c r="K39" s="8" t="inlineStr">
        <is>
          <t>Not yet started</t>
        </is>
      </c>
      <c r="L39">
        <f>IF(AND(L$9+6&gt;=$D39,L$9&lt;=$E39),1,"")</f>
        <v/>
      </c>
      <c r="M39">
        <f>IF(AND(M$9+6&gt;=$D39,M$9&lt;=$E39),1,"")</f>
        <v/>
      </c>
      <c r="N39">
        <f>IF(AND(N$9+6&gt;=$D39,N$9&lt;=$E39),1,"")</f>
        <v/>
      </c>
      <c r="O39">
        <f>IF(AND(O$9+6&gt;=$D39,O$9&lt;=$E39),1,"")</f>
        <v/>
      </c>
      <c r="P39">
        <f>IF(AND(P$9+6&gt;=$D39,P$9&lt;=$E39),1,"")</f>
        <v/>
      </c>
      <c r="Q39">
        <f>IF(AND(Q$9+6&gt;=$D39,Q$9&lt;=$E39),1,"")</f>
        <v/>
      </c>
      <c r="R39">
        <f>IF(AND(R$9+6&gt;=$D39,R$9&lt;=$E39),1,"")</f>
        <v/>
      </c>
      <c r="S39">
        <f>IF(AND(S$9+6&gt;=$D39,S$9&lt;=$E39),1,"")</f>
        <v/>
      </c>
      <c r="T39">
        <f>IF(AND(T$9+6&gt;=$D39,T$9&lt;=$E39),1,"")</f>
        <v/>
      </c>
      <c r="U39">
        <f>IF(AND(U$9+6&gt;=$D39,U$9&lt;=$E39),1,"")</f>
        <v/>
      </c>
      <c r="V39">
        <f>IF(AND(V$9+6&gt;=$D39,V$9&lt;=$E39),1,"")</f>
        <v/>
      </c>
      <c r="W39">
        <f>IF(AND(W$9+6&gt;=$D39,W$9&lt;=$E39),1,"")</f>
        <v/>
      </c>
      <c r="X39">
        <f>IF(AND(X$9+6&gt;=$D39,X$9&lt;=$E39),1,"")</f>
        <v/>
      </c>
      <c r="Y39">
        <f>IF(AND(Y$9+6&gt;=$D39,Y$9&lt;=$E39),1,"")</f>
        <v/>
      </c>
      <c r="Z39">
        <f>IF(AND(Z$9+6&gt;=$D39,Z$9&lt;=$E39),1,"")</f>
        <v/>
      </c>
      <c r="AA39">
        <f>IF(AND(AA$9+6&gt;=$D39,AA$9&lt;=$E39),1,"")</f>
        <v/>
      </c>
      <c r="AB39">
        <f>IF(AND(AB$9+6&gt;=$D39,AB$9&lt;=$E39),1,"")</f>
        <v/>
      </c>
      <c r="AC39">
        <f>IF(AND(AC$9+6&gt;=$D39,AC$9&lt;=$E39),1,"")</f>
        <v/>
      </c>
      <c r="AD39">
        <f>IF(AND(AD$9+6&gt;=$D39,AD$9&lt;=$E39),1,"")</f>
        <v/>
      </c>
      <c r="AE39">
        <f>IF(AND(AE$9+6&gt;=$D39,AE$9&lt;=$E39),1,"")</f>
        <v/>
      </c>
      <c r="AF39">
        <f>IF(AND(AF$9+6&gt;=$D39,AF$9&lt;=$E39),1,"")</f>
        <v/>
      </c>
      <c r="AG39">
        <f>IF(AND(AG$9+6&gt;=$D39,AG$9&lt;=$E39),1,"")</f>
        <v/>
      </c>
      <c r="AH39">
        <f>IF(AND(AH$9+6&gt;=$D39,AH$9&lt;=$E39),1,"")</f>
        <v/>
      </c>
      <c r="AI39">
        <f>IF(AND(AI$9+6&gt;=$D39,AI$9&lt;=$E39),1,"")</f>
        <v/>
      </c>
      <c r="AJ39">
        <f>IF(AND(AJ$9+6&gt;=$D39,AJ$9&lt;=$E39),1,"")</f>
        <v/>
      </c>
      <c r="AK39">
        <f>IF(AND(AK$9+6&gt;=$D39,AK$9&lt;=$E39),1,"")</f>
        <v/>
      </c>
      <c r="AL39">
        <f>IF(AND(AL$9+6&gt;=$D39,AL$9&lt;=$E39),1,"")</f>
        <v/>
      </c>
      <c r="AM39">
        <f>IF(AND(AM$9+6&gt;=$D39,AM$9&lt;=$E39),1,"")</f>
        <v/>
      </c>
      <c r="AN39">
        <f>IF(AND(AN$9+6&gt;=$D39,AN$9&lt;=$E39),1,"")</f>
        <v/>
      </c>
      <c r="AO39">
        <f>IF(AND(AO$9+6&gt;=$D39,AO$9&lt;=$E39),1,"")</f>
        <v/>
      </c>
      <c r="AP39">
        <f>IF(AND(AP$9+6&gt;=$D39,AP$9&lt;=$E39),1,"")</f>
        <v/>
      </c>
      <c r="AQ39">
        <f>IF(AND(AQ$9+6&gt;=$D39,AQ$9&lt;=$E39),1,"")</f>
        <v/>
      </c>
      <c r="AR39">
        <f>IF(AND(AR$9+6&gt;=$D39,AR$9&lt;=$E39),1,"")</f>
        <v/>
      </c>
      <c r="AS39">
        <f>IF(AND(AS$9+6&gt;=$D39,AS$9&lt;=$E39),1,"")</f>
        <v/>
      </c>
      <c r="AT39">
        <f>IF(AND(AT$9+6&gt;=$D39,AT$9&lt;=$E39),1,"")</f>
        <v/>
      </c>
      <c r="AU39">
        <f>IF(AND(AU$9+6&gt;=$D39,AU$9&lt;=$E39),1,"")</f>
        <v/>
      </c>
      <c r="AV39">
        <f>IF(AND(AV$9+6&gt;=$D39,AV$9&lt;=$E39),1,"")</f>
        <v/>
      </c>
      <c r="AW39">
        <f>IF(AND(AW$9+6&gt;=$D39,AW$9&lt;=$E39),1,"")</f>
        <v/>
      </c>
      <c r="AX39">
        <f>IF(AND(AX$9+6&gt;=$D39,AX$9&lt;=$E39),1,"")</f>
        <v/>
      </c>
      <c r="AY39">
        <f>IF(AND(AY$9+6&gt;=$D39,AY$9&lt;=$E39),1,"")</f>
        <v/>
      </c>
      <c r="AZ39">
        <f>IF(AND(AZ$9+6&gt;=$D39,AZ$9&lt;=$E39),1,"")</f>
        <v/>
      </c>
      <c r="BA39">
        <f>IF(AND(BA$9+6&gt;=$D39,BA$9&lt;=$E39),1,"")</f>
        <v/>
      </c>
      <c r="BB39">
        <f>IF(AND(BB$9+6&gt;=$D39,BB$9&lt;=$E39),1,"")</f>
        <v/>
      </c>
      <c r="BC39">
        <f>IF(AND(BC$9+6&gt;=$D39,BC$9&lt;=$E39),1,"")</f>
        <v/>
      </c>
      <c r="BD39">
        <f>IF(AND(BD$9+6&gt;=$D39,BD$9&lt;=$E39),1,"")</f>
        <v/>
      </c>
      <c r="BE39">
        <f>IF(AND(BE$9+6&gt;=$D39,BE$9&lt;=$E39),1,"")</f>
        <v/>
      </c>
      <c r="BF39">
        <f>IF(AND(BF$9+6&gt;=$D39,BF$9&lt;=$E39),1,"")</f>
        <v/>
      </c>
      <c r="BG39">
        <f>IF(AND(BG$9+6&gt;=$D39,BG$9&lt;=$E39),1,"")</f>
        <v/>
      </c>
    </row>
    <row r="40">
      <c r="B40" s="8" t="inlineStr">
        <is>
          <t>VCAG – notes Review Group findings</t>
        </is>
      </c>
      <c r="C40" s="8" t="inlineStr">
        <is>
          <t>16 Feb</t>
        </is>
      </c>
      <c r="D40" s="44" t="n">
        <v>46434</v>
      </c>
      <c r="E40" s="44" t="n">
        <v>46434</v>
      </c>
      <c r="F40" s="8" t="inlineStr"/>
      <c r="G40" s="8" t="inlineStr"/>
      <c r="H40" s="8" t="inlineStr"/>
      <c r="I40" s="8" t="inlineStr"/>
      <c r="J40" s="8" t="inlineStr">
        <is>
          <t>Milestone</t>
        </is>
      </c>
      <c r="K40" s="8" t="inlineStr">
        <is>
          <t>Not yet started</t>
        </is>
      </c>
      <c r="L40">
        <f>IF(AND(L$9+6&gt;=$D40,L$9&lt;=$E40),1,"")</f>
        <v/>
      </c>
      <c r="M40">
        <f>IF(AND(M$9+6&gt;=$D40,M$9&lt;=$E40),1,"")</f>
        <v/>
      </c>
      <c r="N40">
        <f>IF(AND(N$9+6&gt;=$D40,N$9&lt;=$E40),1,"")</f>
        <v/>
      </c>
      <c r="O40">
        <f>IF(AND(O$9+6&gt;=$D40,O$9&lt;=$E40),1,"")</f>
        <v/>
      </c>
      <c r="P40">
        <f>IF(AND(P$9+6&gt;=$D40,P$9&lt;=$E40),1,"")</f>
        <v/>
      </c>
      <c r="Q40">
        <f>IF(AND(Q$9+6&gt;=$D40,Q$9&lt;=$E40),1,"")</f>
        <v/>
      </c>
      <c r="R40">
        <f>IF(AND(R$9+6&gt;=$D40,R$9&lt;=$E40),1,"")</f>
        <v/>
      </c>
      <c r="S40">
        <f>IF(AND(S$9+6&gt;=$D40,S$9&lt;=$E40),1,"")</f>
        <v/>
      </c>
      <c r="T40">
        <f>IF(AND(T$9+6&gt;=$D40,T$9&lt;=$E40),1,"")</f>
        <v/>
      </c>
      <c r="U40">
        <f>IF(AND(U$9+6&gt;=$D40,U$9&lt;=$E40),1,"")</f>
        <v/>
      </c>
      <c r="V40">
        <f>IF(AND(V$9+6&gt;=$D40,V$9&lt;=$E40),1,"")</f>
        <v/>
      </c>
      <c r="W40">
        <f>IF(AND(W$9+6&gt;=$D40,W$9&lt;=$E40),1,"")</f>
        <v/>
      </c>
      <c r="X40">
        <f>IF(AND(X$9+6&gt;=$D40,X$9&lt;=$E40),1,"")</f>
        <v/>
      </c>
      <c r="Y40">
        <f>IF(AND(Y$9+6&gt;=$D40,Y$9&lt;=$E40),1,"")</f>
        <v/>
      </c>
      <c r="Z40">
        <f>IF(AND(Z$9+6&gt;=$D40,Z$9&lt;=$E40),1,"")</f>
        <v/>
      </c>
      <c r="AA40">
        <f>IF(AND(AA$9+6&gt;=$D40,AA$9&lt;=$E40),1,"")</f>
        <v/>
      </c>
      <c r="AB40">
        <f>IF(AND(AB$9+6&gt;=$D40,AB$9&lt;=$E40),1,"")</f>
        <v/>
      </c>
      <c r="AC40">
        <f>IF(AND(AC$9+6&gt;=$D40,AC$9&lt;=$E40),1,"")</f>
        <v/>
      </c>
      <c r="AD40">
        <f>IF(AND(AD$9+6&gt;=$D40,AD$9&lt;=$E40),1,"")</f>
        <v/>
      </c>
      <c r="AE40">
        <f>IF(AND(AE$9+6&gt;=$D40,AE$9&lt;=$E40),1,"")</f>
        <v/>
      </c>
      <c r="AF40">
        <f>IF(AND(AF$9+6&gt;=$D40,AF$9&lt;=$E40),1,"")</f>
        <v/>
      </c>
      <c r="AG40">
        <f>IF(AND(AG$9+6&gt;=$D40,AG$9&lt;=$E40),1,"")</f>
        <v/>
      </c>
      <c r="AH40">
        <f>IF(AND(AH$9+6&gt;=$D40,AH$9&lt;=$E40),1,"")</f>
        <v/>
      </c>
      <c r="AI40">
        <f>IF(AND(AI$9+6&gt;=$D40,AI$9&lt;=$E40),1,"")</f>
        <v/>
      </c>
      <c r="AJ40">
        <f>IF(AND(AJ$9+6&gt;=$D40,AJ$9&lt;=$E40),1,"")</f>
        <v/>
      </c>
      <c r="AK40">
        <f>IF(AND(AK$9+6&gt;=$D40,AK$9&lt;=$E40),1,"")</f>
        <v/>
      </c>
      <c r="AL40">
        <f>IF(AND(AL$9+6&gt;=$D40,AL$9&lt;=$E40),1,"")</f>
        <v/>
      </c>
      <c r="AM40">
        <f>IF(AND(AM$9+6&gt;=$D40,AM$9&lt;=$E40),1,"")</f>
        <v/>
      </c>
      <c r="AN40">
        <f>IF(AND(AN$9+6&gt;=$D40,AN$9&lt;=$E40),1,"")</f>
        <v/>
      </c>
      <c r="AO40">
        <f>IF(AND(AO$9+6&gt;=$D40,AO$9&lt;=$E40),1,"")</f>
        <v/>
      </c>
      <c r="AP40">
        <f>IF(AND(AP$9+6&gt;=$D40,AP$9&lt;=$E40),1,"")</f>
        <v/>
      </c>
      <c r="AQ40">
        <f>IF(AND(AQ$9+6&gt;=$D40,AQ$9&lt;=$E40),1,"")</f>
        <v/>
      </c>
      <c r="AR40">
        <f>IF(AND(AR$9+6&gt;=$D40,AR$9&lt;=$E40),1,"")</f>
        <v/>
      </c>
      <c r="AS40">
        <f>IF(AND(AS$9+6&gt;=$D40,AS$9&lt;=$E40),1,"")</f>
        <v/>
      </c>
      <c r="AT40">
        <f>IF(AND(AT$9+6&gt;=$D40,AT$9&lt;=$E40),1,"")</f>
        <v/>
      </c>
      <c r="AU40">
        <f>IF(AND(AU$9+6&gt;=$D40,AU$9&lt;=$E40),1,"")</f>
        <v/>
      </c>
      <c r="AV40">
        <f>IF(AND(AV$9+6&gt;=$D40,AV$9&lt;=$E40),1,"")</f>
        <v/>
      </c>
      <c r="AW40">
        <f>IF(AND(AW$9+6&gt;=$D40,AW$9&lt;=$E40),1,"")</f>
        <v/>
      </c>
      <c r="AX40">
        <f>IF(AND(AX$9+6&gt;=$D40,AX$9&lt;=$E40),1,"")</f>
        <v/>
      </c>
      <c r="AY40">
        <f>IF(AND(AY$9+6&gt;=$D40,AY$9&lt;=$E40),1,"")</f>
        <v/>
      </c>
      <c r="AZ40">
        <f>IF(AND(AZ$9+6&gt;=$D40,AZ$9&lt;=$E40),1,"")</f>
        <v/>
      </c>
      <c r="BA40">
        <f>IF(AND(BA$9+6&gt;=$D40,BA$9&lt;=$E40),1,"")</f>
        <v/>
      </c>
      <c r="BB40">
        <f>IF(AND(BB$9+6&gt;=$D40,BB$9&lt;=$E40),1,"")</f>
        <v/>
      </c>
      <c r="BC40">
        <f>IF(AND(BC$9+6&gt;=$D40,BC$9&lt;=$E40),1,"")</f>
        <v/>
      </c>
      <c r="BD40">
        <f>IF(AND(BD$9+6&gt;=$D40,BD$9&lt;=$E40),1,"")</f>
        <v/>
      </c>
      <c r="BE40">
        <f>IF(AND(BE$9+6&gt;=$D40,BE$9&lt;=$E40),1,"")</f>
        <v/>
      </c>
      <c r="BF40">
        <f>IF(AND(BF$9+6&gt;=$D40,BF$9&lt;=$E40),1,"")</f>
        <v/>
      </c>
      <c r="BG40">
        <f>IF(AND(BG$9+6&gt;=$D40,BG$9&lt;=$E40),1,"")</f>
        <v/>
      </c>
    </row>
    <row r="41">
      <c r="B41" s="8" t="inlineStr">
        <is>
          <t>Investment Management Committee – Responsible Investments section</t>
        </is>
      </c>
      <c r="C41" s="8" t="inlineStr">
        <is>
          <t>~25 Feb (papers ~18 Feb)</t>
        </is>
      </c>
      <c r="D41" s="44" t="n">
        <v>46436</v>
      </c>
      <c r="E41" s="44" t="n">
        <v>46443</v>
      </c>
      <c r="F41" s="8" t="inlineStr">
        <is>
          <t>SST</t>
        </is>
      </c>
      <c r="G41" s="8" t="inlineStr"/>
      <c r="H41" s="8" t="inlineStr"/>
      <c r="I41" s="8" t="inlineStr"/>
      <c r="J41" s="8" t="inlineStr">
        <is>
          <t>Milestone</t>
        </is>
      </c>
      <c r="K41" s="8" t="inlineStr">
        <is>
          <t>Not yet started</t>
        </is>
      </c>
      <c r="L41">
        <f>IF(AND(L$9+6&gt;=$D41,L$9&lt;=$E41),1,"")</f>
        <v/>
      </c>
      <c r="M41">
        <f>IF(AND(M$9+6&gt;=$D41,M$9&lt;=$E41),1,"")</f>
        <v/>
      </c>
      <c r="N41">
        <f>IF(AND(N$9+6&gt;=$D41,N$9&lt;=$E41),1,"")</f>
        <v/>
      </c>
      <c r="O41">
        <f>IF(AND(O$9+6&gt;=$D41,O$9&lt;=$E41),1,"")</f>
        <v/>
      </c>
      <c r="P41">
        <f>IF(AND(P$9+6&gt;=$D41,P$9&lt;=$E41),1,"")</f>
        <v/>
      </c>
      <c r="Q41">
        <f>IF(AND(Q$9+6&gt;=$D41,Q$9&lt;=$E41),1,"")</f>
        <v/>
      </c>
      <c r="R41">
        <f>IF(AND(R$9+6&gt;=$D41,R$9&lt;=$E41),1,"")</f>
        <v/>
      </c>
      <c r="S41">
        <f>IF(AND(S$9+6&gt;=$D41,S$9&lt;=$E41),1,"")</f>
        <v/>
      </c>
      <c r="T41">
        <f>IF(AND(T$9+6&gt;=$D41,T$9&lt;=$E41),1,"")</f>
        <v/>
      </c>
      <c r="U41">
        <f>IF(AND(U$9+6&gt;=$D41,U$9&lt;=$E41),1,"")</f>
        <v/>
      </c>
      <c r="V41">
        <f>IF(AND(V$9+6&gt;=$D41,V$9&lt;=$E41),1,"")</f>
        <v/>
      </c>
      <c r="W41">
        <f>IF(AND(W$9+6&gt;=$D41,W$9&lt;=$E41),1,"")</f>
        <v/>
      </c>
      <c r="X41">
        <f>IF(AND(X$9+6&gt;=$D41,X$9&lt;=$E41),1,"")</f>
        <v/>
      </c>
      <c r="Y41">
        <f>IF(AND(Y$9+6&gt;=$D41,Y$9&lt;=$E41),1,"")</f>
        <v/>
      </c>
      <c r="Z41">
        <f>IF(AND(Z$9+6&gt;=$D41,Z$9&lt;=$E41),1,"")</f>
        <v/>
      </c>
      <c r="AA41">
        <f>IF(AND(AA$9+6&gt;=$D41,AA$9&lt;=$E41),1,"")</f>
        <v/>
      </c>
      <c r="AB41">
        <f>IF(AND(AB$9+6&gt;=$D41,AB$9&lt;=$E41),1,"")</f>
        <v/>
      </c>
      <c r="AC41">
        <f>IF(AND(AC$9+6&gt;=$D41,AC$9&lt;=$E41),1,"")</f>
        <v/>
      </c>
      <c r="AD41">
        <f>IF(AND(AD$9+6&gt;=$D41,AD$9&lt;=$E41),1,"")</f>
        <v/>
      </c>
      <c r="AE41">
        <f>IF(AND(AE$9+6&gt;=$D41,AE$9&lt;=$E41),1,"")</f>
        <v/>
      </c>
      <c r="AF41">
        <f>IF(AND(AF$9+6&gt;=$D41,AF$9&lt;=$E41),1,"")</f>
        <v/>
      </c>
      <c r="AG41">
        <f>IF(AND(AG$9+6&gt;=$D41,AG$9&lt;=$E41),1,"")</f>
        <v/>
      </c>
      <c r="AH41">
        <f>IF(AND(AH$9+6&gt;=$D41,AH$9&lt;=$E41),1,"")</f>
        <v/>
      </c>
      <c r="AI41">
        <f>IF(AND(AI$9+6&gt;=$D41,AI$9&lt;=$E41),1,"")</f>
        <v/>
      </c>
      <c r="AJ41">
        <f>IF(AND(AJ$9+6&gt;=$D41,AJ$9&lt;=$E41),1,"")</f>
        <v/>
      </c>
      <c r="AK41">
        <f>IF(AND(AK$9+6&gt;=$D41,AK$9&lt;=$E41),1,"")</f>
        <v/>
      </c>
      <c r="AL41">
        <f>IF(AND(AL$9+6&gt;=$D41,AL$9&lt;=$E41),1,"")</f>
        <v/>
      </c>
      <c r="AM41">
        <f>IF(AND(AM$9+6&gt;=$D41,AM$9&lt;=$E41),1,"")</f>
        <v/>
      </c>
      <c r="AN41">
        <f>IF(AND(AN$9+6&gt;=$D41,AN$9&lt;=$E41),1,"")</f>
        <v/>
      </c>
      <c r="AO41">
        <f>IF(AND(AO$9+6&gt;=$D41,AO$9&lt;=$E41),1,"")</f>
        <v/>
      </c>
      <c r="AP41">
        <f>IF(AND(AP$9+6&gt;=$D41,AP$9&lt;=$E41),1,"")</f>
        <v/>
      </c>
      <c r="AQ41">
        <f>IF(AND(AQ$9+6&gt;=$D41,AQ$9&lt;=$E41),1,"")</f>
        <v/>
      </c>
      <c r="AR41">
        <f>IF(AND(AR$9+6&gt;=$D41,AR$9&lt;=$E41),1,"")</f>
        <v/>
      </c>
      <c r="AS41">
        <f>IF(AND(AS$9+6&gt;=$D41,AS$9&lt;=$E41),1,"")</f>
        <v/>
      </c>
      <c r="AT41">
        <f>IF(AND(AT$9+6&gt;=$D41,AT$9&lt;=$E41),1,"")</f>
        <v/>
      </c>
      <c r="AU41">
        <f>IF(AND(AU$9+6&gt;=$D41,AU$9&lt;=$E41),1,"")</f>
        <v/>
      </c>
      <c r="AV41">
        <f>IF(AND(AV$9+6&gt;=$D41,AV$9&lt;=$E41),1,"")</f>
        <v/>
      </c>
      <c r="AW41">
        <f>IF(AND(AW$9+6&gt;=$D41,AW$9&lt;=$E41),1,"")</f>
        <v/>
      </c>
      <c r="AX41">
        <f>IF(AND(AX$9+6&gt;=$D41,AX$9&lt;=$E41),1,"")</f>
        <v/>
      </c>
      <c r="AY41">
        <f>IF(AND(AY$9+6&gt;=$D41,AY$9&lt;=$E41),1,"")</f>
        <v/>
      </c>
      <c r="AZ41">
        <f>IF(AND(AZ$9+6&gt;=$D41,AZ$9&lt;=$E41),1,"")</f>
        <v/>
      </c>
      <c r="BA41">
        <f>IF(AND(BA$9+6&gt;=$D41,BA$9&lt;=$E41),1,"")</f>
        <v/>
      </c>
      <c r="BB41">
        <f>IF(AND(BB$9+6&gt;=$D41,BB$9&lt;=$E41),1,"")</f>
        <v/>
      </c>
      <c r="BC41">
        <f>IF(AND(BC$9+6&gt;=$D41,BC$9&lt;=$E41),1,"")</f>
        <v/>
      </c>
      <c r="BD41">
        <f>IF(AND(BD$9+6&gt;=$D41,BD$9&lt;=$E41),1,"")</f>
        <v/>
      </c>
      <c r="BE41">
        <f>IF(AND(BE$9+6&gt;=$D41,BE$9&lt;=$E41),1,"")</f>
        <v/>
      </c>
      <c r="BF41">
        <f>IF(AND(BF$9+6&gt;=$D41,BF$9&lt;=$E41),1,"")</f>
        <v/>
      </c>
      <c r="BG41">
        <f>IF(AND(BG$9+6&gt;=$D41,BG$9&lt;=$E41),1,"")</f>
        <v/>
      </c>
    </row>
    <row r="42">
      <c r="B42" s="8" t="inlineStr">
        <is>
          <t>Full-report finalisation; Strategic Comms review; reconcile Annual Report data</t>
        </is>
      </c>
      <c r="C42" s="8" t="inlineStr"/>
      <c r="D42" s="44" t="n">
        <v>46434</v>
      </c>
      <c r="E42" s="44" t="n">
        <v>46444</v>
      </c>
      <c r="F42" s="8" t="inlineStr">
        <is>
          <t>SST</t>
        </is>
      </c>
      <c r="G42" s="8" t="inlineStr"/>
      <c r="H42" s="8" t="inlineStr">
        <is>
          <t>Strategic Comms</t>
        </is>
      </c>
      <c r="I42" s="8" t="inlineStr"/>
      <c r="J42" s="8" t="inlineStr">
        <is>
          <t>High</t>
        </is>
      </c>
      <c r="K42" s="8" t="inlineStr">
        <is>
          <t>Not yet started</t>
        </is>
      </c>
      <c r="L42">
        <f>IF(AND(L$9+6&gt;=$D42,L$9&lt;=$E42),1,"")</f>
        <v/>
      </c>
      <c r="M42">
        <f>IF(AND(M$9+6&gt;=$D42,M$9&lt;=$E42),1,"")</f>
        <v/>
      </c>
      <c r="N42">
        <f>IF(AND(N$9+6&gt;=$D42,N$9&lt;=$E42),1,"")</f>
        <v/>
      </c>
      <c r="O42">
        <f>IF(AND(O$9+6&gt;=$D42,O$9&lt;=$E42),1,"")</f>
        <v/>
      </c>
      <c r="P42">
        <f>IF(AND(P$9+6&gt;=$D42,P$9&lt;=$E42),1,"")</f>
        <v/>
      </c>
      <c r="Q42">
        <f>IF(AND(Q$9+6&gt;=$D42,Q$9&lt;=$E42),1,"")</f>
        <v/>
      </c>
      <c r="R42">
        <f>IF(AND(R$9+6&gt;=$D42,R$9&lt;=$E42),1,"")</f>
        <v/>
      </c>
      <c r="S42">
        <f>IF(AND(S$9+6&gt;=$D42,S$9&lt;=$E42),1,"")</f>
        <v/>
      </c>
      <c r="T42">
        <f>IF(AND(T$9+6&gt;=$D42,T$9&lt;=$E42),1,"")</f>
        <v/>
      </c>
      <c r="U42">
        <f>IF(AND(U$9+6&gt;=$D42,U$9&lt;=$E42),1,"")</f>
        <v/>
      </c>
      <c r="V42">
        <f>IF(AND(V$9+6&gt;=$D42,V$9&lt;=$E42),1,"")</f>
        <v/>
      </c>
      <c r="W42">
        <f>IF(AND(W$9+6&gt;=$D42,W$9&lt;=$E42),1,"")</f>
        <v/>
      </c>
      <c r="X42">
        <f>IF(AND(X$9+6&gt;=$D42,X$9&lt;=$E42),1,"")</f>
        <v/>
      </c>
      <c r="Y42">
        <f>IF(AND(Y$9+6&gt;=$D42,Y$9&lt;=$E42),1,"")</f>
        <v/>
      </c>
      <c r="Z42">
        <f>IF(AND(Z$9+6&gt;=$D42,Z$9&lt;=$E42),1,"")</f>
        <v/>
      </c>
      <c r="AA42">
        <f>IF(AND(AA$9+6&gt;=$D42,AA$9&lt;=$E42),1,"")</f>
        <v/>
      </c>
      <c r="AB42">
        <f>IF(AND(AB$9+6&gt;=$D42,AB$9&lt;=$E42),1,"")</f>
        <v/>
      </c>
      <c r="AC42">
        <f>IF(AND(AC$9+6&gt;=$D42,AC$9&lt;=$E42),1,"")</f>
        <v/>
      </c>
      <c r="AD42">
        <f>IF(AND(AD$9+6&gt;=$D42,AD$9&lt;=$E42),1,"")</f>
        <v/>
      </c>
      <c r="AE42">
        <f>IF(AND(AE$9+6&gt;=$D42,AE$9&lt;=$E42),1,"")</f>
        <v/>
      </c>
      <c r="AF42">
        <f>IF(AND(AF$9+6&gt;=$D42,AF$9&lt;=$E42),1,"")</f>
        <v/>
      </c>
      <c r="AG42">
        <f>IF(AND(AG$9+6&gt;=$D42,AG$9&lt;=$E42),1,"")</f>
        <v/>
      </c>
      <c r="AH42">
        <f>IF(AND(AH$9+6&gt;=$D42,AH$9&lt;=$E42),1,"")</f>
        <v/>
      </c>
      <c r="AI42">
        <f>IF(AND(AI$9+6&gt;=$D42,AI$9&lt;=$E42),1,"")</f>
        <v/>
      </c>
      <c r="AJ42">
        <f>IF(AND(AJ$9+6&gt;=$D42,AJ$9&lt;=$E42),1,"")</f>
        <v/>
      </c>
      <c r="AK42">
        <f>IF(AND(AK$9+6&gt;=$D42,AK$9&lt;=$E42),1,"")</f>
        <v/>
      </c>
      <c r="AL42">
        <f>IF(AND(AL$9+6&gt;=$D42,AL$9&lt;=$E42),1,"")</f>
        <v/>
      </c>
      <c r="AM42">
        <f>IF(AND(AM$9+6&gt;=$D42,AM$9&lt;=$E42),1,"")</f>
        <v/>
      </c>
      <c r="AN42">
        <f>IF(AND(AN$9+6&gt;=$D42,AN$9&lt;=$E42),1,"")</f>
        <v/>
      </c>
      <c r="AO42">
        <f>IF(AND(AO$9+6&gt;=$D42,AO$9&lt;=$E42),1,"")</f>
        <v/>
      </c>
      <c r="AP42">
        <f>IF(AND(AP$9+6&gt;=$D42,AP$9&lt;=$E42),1,"")</f>
        <v/>
      </c>
      <c r="AQ42">
        <f>IF(AND(AQ$9+6&gt;=$D42,AQ$9&lt;=$E42),1,"")</f>
        <v/>
      </c>
      <c r="AR42">
        <f>IF(AND(AR$9+6&gt;=$D42,AR$9&lt;=$E42),1,"")</f>
        <v/>
      </c>
      <c r="AS42">
        <f>IF(AND(AS$9+6&gt;=$D42,AS$9&lt;=$E42),1,"")</f>
        <v/>
      </c>
      <c r="AT42">
        <f>IF(AND(AT$9+6&gt;=$D42,AT$9&lt;=$E42),1,"")</f>
        <v/>
      </c>
      <c r="AU42">
        <f>IF(AND(AU$9+6&gt;=$D42,AU$9&lt;=$E42),1,"")</f>
        <v/>
      </c>
      <c r="AV42">
        <f>IF(AND(AV$9+6&gt;=$D42,AV$9&lt;=$E42),1,"")</f>
        <v/>
      </c>
      <c r="AW42">
        <f>IF(AND(AW$9+6&gt;=$D42,AW$9&lt;=$E42),1,"")</f>
        <v/>
      </c>
      <c r="AX42">
        <f>IF(AND(AX$9+6&gt;=$D42,AX$9&lt;=$E42),1,"")</f>
        <v/>
      </c>
      <c r="AY42">
        <f>IF(AND(AY$9+6&gt;=$D42,AY$9&lt;=$E42),1,"")</f>
        <v/>
      </c>
      <c r="AZ42">
        <f>IF(AND(AZ$9+6&gt;=$D42,AZ$9&lt;=$E42),1,"")</f>
        <v/>
      </c>
      <c r="BA42">
        <f>IF(AND(BA$9+6&gt;=$D42,BA$9&lt;=$E42),1,"")</f>
        <v/>
      </c>
      <c r="BB42">
        <f>IF(AND(BB$9+6&gt;=$D42,BB$9&lt;=$E42),1,"")</f>
        <v/>
      </c>
      <c r="BC42">
        <f>IF(AND(BC$9+6&gt;=$D42,BC$9&lt;=$E42),1,"")</f>
        <v/>
      </c>
      <c r="BD42">
        <f>IF(AND(BD$9+6&gt;=$D42,BD$9&lt;=$E42),1,"")</f>
        <v/>
      </c>
      <c r="BE42">
        <f>IF(AND(BE$9+6&gt;=$D42,BE$9&lt;=$E42),1,"")</f>
        <v/>
      </c>
      <c r="BF42">
        <f>IF(AND(BF$9+6&gt;=$D42,BF$9&lt;=$E42),1,"")</f>
        <v/>
      </c>
      <c r="BG42">
        <f>IF(AND(BG$9+6&gt;=$D42,BG$9&lt;=$E42),1,"")</f>
        <v/>
      </c>
    </row>
    <row r="43">
      <c r="B43" s="8" t="inlineStr">
        <is>
          <t>VCAG – notes full report</t>
        </is>
      </c>
      <c r="C43" s="8" t="inlineStr">
        <is>
          <t>~2 Mar (papers ~25 Feb)</t>
        </is>
      </c>
      <c r="D43" s="44" t="n">
        <v>46448</v>
      </c>
      <c r="E43" s="44" t="n">
        <v>46448</v>
      </c>
      <c r="F43" s="8" t="inlineStr"/>
      <c r="G43" s="8" t="inlineStr"/>
      <c r="H43" s="8" t="inlineStr"/>
      <c r="I43" s="8" t="inlineStr"/>
      <c r="J43" s="8" t="inlineStr">
        <is>
          <t>Milestone</t>
        </is>
      </c>
      <c r="K43" s="8" t="inlineStr">
        <is>
          <t>Not yet started</t>
        </is>
      </c>
      <c r="L43">
        <f>IF(AND(L$9+6&gt;=$D43,L$9&lt;=$E43),1,"")</f>
        <v/>
      </c>
      <c r="M43">
        <f>IF(AND(M$9+6&gt;=$D43,M$9&lt;=$E43),1,"")</f>
        <v/>
      </c>
      <c r="N43">
        <f>IF(AND(N$9+6&gt;=$D43,N$9&lt;=$E43),1,"")</f>
        <v/>
      </c>
      <c r="O43">
        <f>IF(AND(O$9+6&gt;=$D43,O$9&lt;=$E43),1,"")</f>
        <v/>
      </c>
      <c r="P43">
        <f>IF(AND(P$9+6&gt;=$D43,P$9&lt;=$E43),1,"")</f>
        <v/>
      </c>
      <c r="Q43">
        <f>IF(AND(Q$9+6&gt;=$D43,Q$9&lt;=$E43),1,"")</f>
        <v/>
      </c>
      <c r="R43">
        <f>IF(AND(R$9+6&gt;=$D43,R$9&lt;=$E43),1,"")</f>
        <v/>
      </c>
      <c r="S43">
        <f>IF(AND(S$9+6&gt;=$D43,S$9&lt;=$E43),1,"")</f>
        <v/>
      </c>
      <c r="T43">
        <f>IF(AND(T$9+6&gt;=$D43,T$9&lt;=$E43),1,"")</f>
        <v/>
      </c>
      <c r="U43">
        <f>IF(AND(U$9+6&gt;=$D43,U$9&lt;=$E43),1,"")</f>
        <v/>
      </c>
      <c r="V43">
        <f>IF(AND(V$9+6&gt;=$D43,V$9&lt;=$E43),1,"")</f>
        <v/>
      </c>
      <c r="W43">
        <f>IF(AND(W$9+6&gt;=$D43,W$9&lt;=$E43),1,"")</f>
        <v/>
      </c>
      <c r="X43">
        <f>IF(AND(X$9+6&gt;=$D43,X$9&lt;=$E43),1,"")</f>
        <v/>
      </c>
      <c r="Y43">
        <f>IF(AND(Y$9+6&gt;=$D43,Y$9&lt;=$E43),1,"")</f>
        <v/>
      </c>
      <c r="Z43">
        <f>IF(AND(Z$9+6&gt;=$D43,Z$9&lt;=$E43),1,"")</f>
        <v/>
      </c>
      <c r="AA43">
        <f>IF(AND(AA$9+6&gt;=$D43,AA$9&lt;=$E43),1,"")</f>
        <v/>
      </c>
      <c r="AB43">
        <f>IF(AND(AB$9+6&gt;=$D43,AB$9&lt;=$E43),1,"")</f>
        <v/>
      </c>
      <c r="AC43">
        <f>IF(AND(AC$9+6&gt;=$D43,AC$9&lt;=$E43),1,"")</f>
        <v/>
      </c>
      <c r="AD43">
        <f>IF(AND(AD$9+6&gt;=$D43,AD$9&lt;=$E43),1,"")</f>
        <v/>
      </c>
      <c r="AE43">
        <f>IF(AND(AE$9+6&gt;=$D43,AE$9&lt;=$E43),1,"")</f>
        <v/>
      </c>
      <c r="AF43">
        <f>IF(AND(AF$9+6&gt;=$D43,AF$9&lt;=$E43),1,"")</f>
        <v/>
      </c>
      <c r="AG43">
        <f>IF(AND(AG$9+6&gt;=$D43,AG$9&lt;=$E43),1,"")</f>
        <v/>
      </c>
      <c r="AH43">
        <f>IF(AND(AH$9+6&gt;=$D43,AH$9&lt;=$E43),1,"")</f>
        <v/>
      </c>
      <c r="AI43">
        <f>IF(AND(AI$9+6&gt;=$D43,AI$9&lt;=$E43),1,"")</f>
        <v/>
      </c>
      <c r="AJ43">
        <f>IF(AND(AJ$9+6&gt;=$D43,AJ$9&lt;=$E43),1,"")</f>
        <v/>
      </c>
      <c r="AK43">
        <f>IF(AND(AK$9+6&gt;=$D43,AK$9&lt;=$E43),1,"")</f>
        <v/>
      </c>
      <c r="AL43">
        <f>IF(AND(AL$9+6&gt;=$D43,AL$9&lt;=$E43),1,"")</f>
        <v/>
      </c>
      <c r="AM43">
        <f>IF(AND(AM$9+6&gt;=$D43,AM$9&lt;=$E43),1,"")</f>
        <v/>
      </c>
      <c r="AN43">
        <f>IF(AND(AN$9+6&gt;=$D43,AN$9&lt;=$E43),1,"")</f>
        <v/>
      </c>
      <c r="AO43">
        <f>IF(AND(AO$9+6&gt;=$D43,AO$9&lt;=$E43),1,"")</f>
        <v/>
      </c>
      <c r="AP43">
        <f>IF(AND(AP$9+6&gt;=$D43,AP$9&lt;=$E43),1,"")</f>
        <v/>
      </c>
      <c r="AQ43">
        <f>IF(AND(AQ$9+6&gt;=$D43,AQ$9&lt;=$E43),1,"")</f>
        <v/>
      </c>
      <c r="AR43">
        <f>IF(AND(AR$9+6&gt;=$D43,AR$9&lt;=$E43),1,"")</f>
        <v/>
      </c>
      <c r="AS43">
        <f>IF(AND(AS$9+6&gt;=$D43,AS$9&lt;=$E43),1,"")</f>
        <v/>
      </c>
      <c r="AT43">
        <f>IF(AND(AT$9+6&gt;=$D43,AT$9&lt;=$E43),1,"")</f>
        <v/>
      </c>
      <c r="AU43">
        <f>IF(AND(AU$9+6&gt;=$D43,AU$9&lt;=$E43),1,"")</f>
        <v/>
      </c>
      <c r="AV43">
        <f>IF(AND(AV$9+6&gt;=$D43,AV$9&lt;=$E43),1,"")</f>
        <v/>
      </c>
      <c r="AW43">
        <f>IF(AND(AW$9+6&gt;=$D43,AW$9&lt;=$E43),1,"")</f>
        <v/>
      </c>
      <c r="AX43">
        <f>IF(AND(AX$9+6&gt;=$D43,AX$9&lt;=$E43),1,"")</f>
        <v/>
      </c>
      <c r="AY43">
        <f>IF(AND(AY$9+6&gt;=$D43,AY$9&lt;=$E43),1,"")</f>
        <v/>
      </c>
      <c r="AZ43">
        <f>IF(AND(AZ$9+6&gt;=$D43,AZ$9&lt;=$E43),1,"")</f>
        <v/>
      </c>
      <c r="BA43">
        <f>IF(AND(BA$9+6&gt;=$D43,BA$9&lt;=$E43),1,"")</f>
        <v/>
      </c>
      <c r="BB43">
        <f>IF(AND(BB$9+6&gt;=$D43,BB$9&lt;=$E43),1,"")</f>
        <v/>
      </c>
      <c r="BC43">
        <f>IF(AND(BC$9+6&gt;=$D43,BC$9&lt;=$E43),1,"")</f>
        <v/>
      </c>
      <c r="BD43">
        <f>IF(AND(BD$9+6&gt;=$D43,BD$9&lt;=$E43),1,"")</f>
        <v/>
      </c>
      <c r="BE43">
        <f>IF(AND(BE$9+6&gt;=$D43,BE$9&lt;=$E43),1,"")</f>
        <v/>
      </c>
      <c r="BF43">
        <f>IF(AND(BF$9+6&gt;=$D43,BF$9&lt;=$E43),1,"")</f>
        <v/>
      </c>
      <c r="BG43">
        <f>IF(AND(BG$9+6&gt;=$D43,BG$9&lt;=$E43),1,"")</f>
        <v/>
      </c>
    </row>
    <row r="44">
      <c r="B44" s="8" t="inlineStr">
        <is>
          <t>University Executive – notes report</t>
        </is>
      </c>
      <c r="C44" s="8" t="inlineStr">
        <is>
          <t>~25 Mar (papers ~12 Mar)</t>
        </is>
      </c>
      <c r="D44" s="44" t="n">
        <v>46471</v>
      </c>
      <c r="E44" s="44" t="n">
        <v>46471</v>
      </c>
      <c r="F44" s="8" t="inlineStr"/>
      <c r="G44" s="8" t="inlineStr"/>
      <c r="H44" s="8" t="inlineStr"/>
      <c r="I44" s="8" t="inlineStr"/>
      <c r="J44" s="8" t="inlineStr">
        <is>
          <t>Milestone</t>
        </is>
      </c>
      <c r="K44" s="8" t="inlineStr">
        <is>
          <t>Not yet started</t>
        </is>
      </c>
      <c r="L44">
        <f>IF(AND(L$9+6&gt;=$D44,L$9&lt;=$E44),1,"")</f>
        <v/>
      </c>
      <c r="M44">
        <f>IF(AND(M$9+6&gt;=$D44,M$9&lt;=$E44),1,"")</f>
        <v/>
      </c>
      <c r="N44">
        <f>IF(AND(N$9+6&gt;=$D44,N$9&lt;=$E44),1,"")</f>
        <v/>
      </c>
      <c r="O44">
        <f>IF(AND(O$9+6&gt;=$D44,O$9&lt;=$E44),1,"")</f>
        <v/>
      </c>
      <c r="P44">
        <f>IF(AND(P$9+6&gt;=$D44,P$9&lt;=$E44),1,"")</f>
        <v/>
      </c>
      <c r="Q44">
        <f>IF(AND(Q$9+6&gt;=$D44,Q$9&lt;=$E44),1,"")</f>
        <v/>
      </c>
      <c r="R44">
        <f>IF(AND(R$9+6&gt;=$D44,R$9&lt;=$E44),1,"")</f>
        <v/>
      </c>
      <c r="S44">
        <f>IF(AND(S$9+6&gt;=$D44,S$9&lt;=$E44),1,"")</f>
        <v/>
      </c>
      <c r="T44">
        <f>IF(AND(T$9+6&gt;=$D44,T$9&lt;=$E44),1,"")</f>
        <v/>
      </c>
      <c r="U44">
        <f>IF(AND(U$9+6&gt;=$D44,U$9&lt;=$E44),1,"")</f>
        <v/>
      </c>
      <c r="V44">
        <f>IF(AND(V$9+6&gt;=$D44,V$9&lt;=$E44),1,"")</f>
        <v/>
      </c>
      <c r="W44">
        <f>IF(AND(W$9+6&gt;=$D44,W$9&lt;=$E44),1,"")</f>
        <v/>
      </c>
      <c r="X44">
        <f>IF(AND(X$9+6&gt;=$D44,X$9&lt;=$E44),1,"")</f>
        <v/>
      </c>
      <c r="Y44">
        <f>IF(AND(Y$9+6&gt;=$D44,Y$9&lt;=$E44),1,"")</f>
        <v/>
      </c>
      <c r="Z44">
        <f>IF(AND(Z$9+6&gt;=$D44,Z$9&lt;=$E44),1,"")</f>
        <v/>
      </c>
      <c r="AA44">
        <f>IF(AND(AA$9+6&gt;=$D44,AA$9&lt;=$E44),1,"")</f>
        <v/>
      </c>
      <c r="AB44">
        <f>IF(AND(AB$9+6&gt;=$D44,AB$9&lt;=$E44),1,"")</f>
        <v/>
      </c>
      <c r="AC44">
        <f>IF(AND(AC$9+6&gt;=$D44,AC$9&lt;=$E44),1,"")</f>
        <v/>
      </c>
      <c r="AD44">
        <f>IF(AND(AD$9+6&gt;=$D44,AD$9&lt;=$E44),1,"")</f>
        <v/>
      </c>
      <c r="AE44">
        <f>IF(AND(AE$9+6&gt;=$D44,AE$9&lt;=$E44),1,"")</f>
        <v/>
      </c>
      <c r="AF44">
        <f>IF(AND(AF$9+6&gt;=$D44,AF$9&lt;=$E44),1,"")</f>
        <v/>
      </c>
      <c r="AG44">
        <f>IF(AND(AG$9+6&gt;=$D44,AG$9&lt;=$E44),1,"")</f>
        <v/>
      </c>
      <c r="AH44">
        <f>IF(AND(AH$9+6&gt;=$D44,AH$9&lt;=$E44),1,"")</f>
        <v/>
      </c>
      <c r="AI44">
        <f>IF(AND(AI$9+6&gt;=$D44,AI$9&lt;=$E44),1,"")</f>
        <v/>
      </c>
      <c r="AJ44">
        <f>IF(AND(AJ$9+6&gt;=$D44,AJ$9&lt;=$E44),1,"")</f>
        <v/>
      </c>
      <c r="AK44">
        <f>IF(AND(AK$9+6&gt;=$D44,AK$9&lt;=$E44),1,"")</f>
        <v/>
      </c>
      <c r="AL44">
        <f>IF(AND(AL$9+6&gt;=$D44,AL$9&lt;=$E44),1,"")</f>
        <v/>
      </c>
      <c r="AM44">
        <f>IF(AND(AM$9+6&gt;=$D44,AM$9&lt;=$E44),1,"")</f>
        <v/>
      </c>
      <c r="AN44">
        <f>IF(AND(AN$9+6&gt;=$D44,AN$9&lt;=$E44),1,"")</f>
        <v/>
      </c>
      <c r="AO44">
        <f>IF(AND(AO$9+6&gt;=$D44,AO$9&lt;=$E44),1,"")</f>
        <v/>
      </c>
      <c r="AP44">
        <f>IF(AND(AP$9+6&gt;=$D44,AP$9&lt;=$E44),1,"")</f>
        <v/>
      </c>
      <c r="AQ44">
        <f>IF(AND(AQ$9+6&gt;=$D44,AQ$9&lt;=$E44),1,"")</f>
        <v/>
      </c>
      <c r="AR44">
        <f>IF(AND(AR$9+6&gt;=$D44,AR$9&lt;=$E44),1,"")</f>
        <v/>
      </c>
      <c r="AS44">
        <f>IF(AND(AS$9+6&gt;=$D44,AS$9&lt;=$E44),1,"")</f>
        <v/>
      </c>
      <c r="AT44">
        <f>IF(AND(AT$9+6&gt;=$D44,AT$9&lt;=$E44),1,"")</f>
        <v/>
      </c>
      <c r="AU44">
        <f>IF(AND(AU$9+6&gt;=$D44,AU$9&lt;=$E44),1,"")</f>
        <v/>
      </c>
      <c r="AV44">
        <f>IF(AND(AV$9+6&gt;=$D44,AV$9&lt;=$E44),1,"")</f>
        <v/>
      </c>
      <c r="AW44">
        <f>IF(AND(AW$9+6&gt;=$D44,AW$9&lt;=$E44),1,"")</f>
        <v/>
      </c>
      <c r="AX44">
        <f>IF(AND(AX$9+6&gt;=$D44,AX$9&lt;=$E44),1,"")</f>
        <v/>
      </c>
      <c r="AY44">
        <f>IF(AND(AY$9+6&gt;=$D44,AY$9&lt;=$E44),1,"")</f>
        <v/>
      </c>
      <c r="AZ44">
        <f>IF(AND(AZ$9+6&gt;=$D44,AZ$9&lt;=$E44),1,"")</f>
        <v/>
      </c>
      <c r="BA44">
        <f>IF(AND(BA$9+6&gt;=$D44,BA$9&lt;=$E44),1,"")</f>
        <v/>
      </c>
      <c r="BB44">
        <f>IF(AND(BB$9+6&gt;=$D44,BB$9&lt;=$E44),1,"")</f>
        <v/>
      </c>
      <c r="BC44">
        <f>IF(AND(BC$9+6&gt;=$D44,BC$9&lt;=$E44),1,"")</f>
        <v/>
      </c>
      <c r="BD44">
        <f>IF(AND(BD$9+6&gt;=$D44,BD$9&lt;=$E44),1,"")</f>
        <v/>
      </c>
      <c r="BE44">
        <f>IF(AND(BE$9+6&gt;=$D44,BE$9&lt;=$E44),1,"")</f>
        <v/>
      </c>
      <c r="BF44">
        <f>IF(AND(BF$9+6&gt;=$D44,BF$9&lt;=$E44),1,"")</f>
        <v/>
      </c>
      <c r="BG44">
        <f>IF(AND(BG$9+6&gt;=$D44,BG$9&lt;=$E44),1,"")</f>
        <v/>
      </c>
    </row>
    <row r="45">
      <c r="B45" s="8" t="inlineStr">
        <is>
          <t>University Council – approves report</t>
        </is>
      </c>
      <c r="C45" s="8" t="inlineStr">
        <is>
          <t>~6 May (papers ~10 Apr)</t>
        </is>
      </c>
      <c r="D45" s="44" t="n">
        <v>46513</v>
      </c>
      <c r="E45" s="44" t="n">
        <v>46513</v>
      </c>
      <c r="F45" s="8" t="inlineStr"/>
      <c r="G45" s="8" t="inlineStr"/>
      <c r="H45" s="8" t="inlineStr"/>
      <c r="I45" s="8" t="inlineStr"/>
      <c r="J45" s="8" t="inlineStr">
        <is>
          <t>Milestone</t>
        </is>
      </c>
      <c r="K45" s="8" t="inlineStr">
        <is>
          <t>Not yet started</t>
        </is>
      </c>
      <c r="L45">
        <f>IF(AND(L$9+6&gt;=$D45,L$9&lt;=$E45),1,"")</f>
        <v/>
      </c>
      <c r="M45">
        <f>IF(AND(M$9+6&gt;=$D45,M$9&lt;=$E45),1,"")</f>
        <v/>
      </c>
      <c r="N45">
        <f>IF(AND(N$9+6&gt;=$D45,N$9&lt;=$E45),1,"")</f>
        <v/>
      </c>
      <c r="O45">
        <f>IF(AND(O$9+6&gt;=$D45,O$9&lt;=$E45),1,"")</f>
        <v/>
      </c>
      <c r="P45">
        <f>IF(AND(P$9+6&gt;=$D45,P$9&lt;=$E45),1,"")</f>
        <v/>
      </c>
      <c r="Q45">
        <f>IF(AND(Q$9+6&gt;=$D45,Q$9&lt;=$E45),1,"")</f>
        <v/>
      </c>
      <c r="R45">
        <f>IF(AND(R$9+6&gt;=$D45,R$9&lt;=$E45),1,"")</f>
        <v/>
      </c>
      <c r="S45">
        <f>IF(AND(S$9+6&gt;=$D45,S$9&lt;=$E45),1,"")</f>
        <v/>
      </c>
      <c r="T45">
        <f>IF(AND(T$9+6&gt;=$D45,T$9&lt;=$E45),1,"")</f>
        <v/>
      </c>
      <c r="U45">
        <f>IF(AND(U$9+6&gt;=$D45,U$9&lt;=$E45),1,"")</f>
        <v/>
      </c>
      <c r="V45">
        <f>IF(AND(V$9+6&gt;=$D45,V$9&lt;=$E45),1,"")</f>
        <v/>
      </c>
      <c r="W45">
        <f>IF(AND(W$9+6&gt;=$D45,W$9&lt;=$E45),1,"")</f>
        <v/>
      </c>
      <c r="X45">
        <f>IF(AND(X$9+6&gt;=$D45,X$9&lt;=$E45),1,"")</f>
        <v/>
      </c>
      <c r="Y45">
        <f>IF(AND(Y$9+6&gt;=$D45,Y$9&lt;=$E45),1,"")</f>
        <v/>
      </c>
      <c r="Z45">
        <f>IF(AND(Z$9+6&gt;=$D45,Z$9&lt;=$E45),1,"")</f>
        <v/>
      </c>
      <c r="AA45">
        <f>IF(AND(AA$9+6&gt;=$D45,AA$9&lt;=$E45),1,"")</f>
        <v/>
      </c>
      <c r="AB45">
        <f>IF(AND(AB$9+6&gt;=$D45,AB$9&lt;=$E45),1,"")</f>
        <v/>
      </c>
      <c r="AC45">
        <f>IF(AND(AC$9+6&gt;=$D45,AC$9&lt;=$E45),1,"")</f>
        <v/>
      </c>
      <c r="AD45">
        <f>IF(AND(AD$9+6&gt;=$D45,AD$9&lt;=$E45),1,"")</f>
        <v/>
      </c>
      <c r="AE45">
        <f>IF(AND(AE$9+6&gt;=$D45,AE$9&lt;=$E45),1,"")</f>
        <v/>
      </c>
      <c r="AF45">
        <f>IF(AND(AF$9+6&gt;=$D45,AF$9&lt;=$E45),1,"")</f>
        <v/>
      </c>
      <c r="AG45">
        <f>IF(AND(AG$9+6&gt;=$D45,AG$9&lt;=$E45),1,"")</f>
        <v/>
      </c>
      <c r="AH45">
        <f>IF(AND(AH$9+6&gt;=$D45,AH$9&lt;=$E45),1,"")</f>
        <v/>
      </c>
      <c r="AI45">
        <f>IF(AND(AI$9+6&gt;=$D45,AI$9&lt;=$E45),1,"")</f>
        <v/>
      </c>
      <c r="AJ45">
        <f>IF(AND(AJ$9+6&gt;=$D45,AJ$9&lt;=$E45),1,"")</f>
        <v/>
      </c>
      <c r="AK45">
        <f>IF(AND(AK$9+6&gt;=$D45,AK$9&lt;=$E45),1,"")</f>
        <v/>
      </c>
      <c r="AL45">
        <f>IF(AND(AL$9+6&gt;=$D45,AL$9&lt;=$E45),1,"")</f>
        <v/>
      </c>
      <c r="AM45">
        <f>IF(AND(AM$9+6&gt;=$D45,AM$9&lt;=$E45),1,"")</f>
        <v/>
      </c>
      <c r="AN45">
        <f>IF(AND(AN$9+6&gt;=$D45,AN$9&lt;=$E45),1,"")</f>
        <v/>
      </c>
      <c r="AO45">
        <f>IF(AND(AO$9+6&gt;=$D45,AO$9&lt;=$E45),1,"")</f>
        <v/>
      </c>
      <c r="AP45">
        <f>IF(AND(AP$9+6&gt;=$D45,AP$9&lt;=$E45),1,"")</f>
        <v/>
      </c>
      <c r="AQ45">
        <f>IF(AND(AQ$9+6&gt;=$D45,AQ$9&lt;=$E45),1,"")</f>
        <v/>
      </c>
      <c r="AR45">
        <f>IF(AND(AR$9+6&gt;=$D45,AR$9&lt;=$E45),1,"")</f>
        <v/>
      </c>
      <c r="AS45">
        <f>IF(AND(AS$9+6&gt;=$D45,AS$9&lt;=$E45),1,"")</f>
        <v/>
      </c>
      <c r="AT45">
        <f>IF(AND(AT$9+6&gt;=$D45,AT$9&lt;=$E45),1,"")</f>
        <v/>
      </c>
      <c r="AU45">
        <f>IF(AND(AU$9+6&gt;=$D45,AU$9&lt;=$E45),1,"")</f>
        <v/>
      </c>
      <c r="AV45">
        <f>IF(AND(AV$9+6&gt;=$D45,AV$9&lt;=$E45),1,"")</f>
        <v/>
      </c>
      <c r="AW45">
        <f>IF(AND(AW$9+6&gt;=$D45,AW$9&lt;=$E45),1,"")</f>
        <v/>
      </c>
      <c r="AX45">
        <f>IF(AND(AX$9+6&gt;=$D45,AX$9&lt;=$E45),1,"")</f>
        <v/>
      </c>
      <c r="AY45">
        <f>IF(AND(AY$9+6&gt;=$D45,AY$9&lt;=$E45),1,"")</f>
        <v/>
      </c>
      <c r="AZ45">
        <f>IF(AND(AZ$9+6&gt;=$D45,AZ$9&lt;=$E45),1,"")</f>
        <v/>
      </c>
      <c r="BA45">
        <f>IF(AND(BA$9+6&gt;=$D45,BA$9&lt;=$E45),1,"")</f>
        <v/>
      </c>
      <c r="BB45">
        <f>IF(AND(BB$9+6&gt;=$D45,BB$9&lt;=$E45),1,"")</f>
        <v/>
      </c>
      <c r="BC45">
        <f>IF(AND(BC$9+6&gt;=$D45,BC$9&lt;=$E45),1,"")</f>
        <v/>
      </c>
      <c r="BD45">
        <f>IF(AND(BD$9+6&gt;=$D45,BD$9&lt;=$E45),1,"")</f>
        <v/>
      </c>
      <c r="BE45">
        <f>IF(AND(BE$9+6&gt;=$D45,BE$9&lt;=$E45),1,"")</f>
        <v/>
      </c>
      <c r="BF45">
        <f>IF(AND(BF$9+6&gt;=$D45,BF$9&lt;=$E45),1,"")</f>
        <v/>
      </c>
      <c r="BG45">
        <f>IF(AND(BG$9+6&gt;=$D45,BG$9&lt;=$E45),1,"")</f>
        <v/>
      </c>
    </row>
    <row r="46">
      <c r="B46" s="71" t="inlineStr">
        <is>
          <t>Publication &amp; close-out (May–Jun 2027)</t>
        </is>
      </c>
      <c r="C46" s="72" t="n"/>
      <c r="D46" s="72" t="n"/>
      <c r="E46" s="72" t="n"/>
      <c r="F46" s="72" t="n"/>
      <c r="G46" s="72" t="n"/>
      <c r="H46" s="72" t="n"/>
      <c r="I46" s="72" t="n"/>
      <c r="J46" s="72" t="n"/>
      <c r="K46" s="72" t="n"/>
      <c r="L46" s="72" t="n"/>
      <c r="M46" s="72" t="n"/>
      <c r="N46" s="72" t="n"/>
      <c r="O46" s="72" t="n"/>
      <c r="P46" s="72" t="n"/>
      <c r="Q46" s="72" t="n"/>
      <c r="R46" s="72" t="n"/>
      <c r="S46" s="72" t="n"/>
      <c r="T46" s="72" t="n"/>
      <c r="U46" s="72" t="n"/>
      <c r="V46" s="72" t="n"/>
      <c r="W46" s="72" t="n"/>
      <c r="X46" s="72" t="n"/>
      <c r="Y46" s="72" t="n"/>
      <c r="Z46" s="72" t="n"/>
      <c r="AA46" s="72" t="n"/>
      <c r="AB46" s="72" t="n"/>
      <c r="AC46" s="72" t="n"/>
      <c r="AD46" s="72" t="n"/>
      <c r="AE46" s="72" t="n"/>
      <c r="AF46" s="72" t="n"/>
      <c r="AG46" s="72" t="n"/>
      <c r="AH46" s="72" t="n"/>
      <c r="AI46" s="72" t="n"/>
      <c r="AJ46" s="72" t="n"/>
      <c r="AK46" s="72" t="n"/>
      <c r="AL46" s="72" t="n"/>
      <c r="AM46" s="72" t="n"/>
      <c r="AN46" s="72" t="n"/>
      <c r="AO46" s="72" t="n"/>
      <c r="AP46" s="72" t="n"/>
      <c r="AQ46" s="72" t="n"/>
      <c r="AR46" s="72" t="n"/>
      <c r="AS46" s="72" t="n"/>
      <c r="AT46" s="72" t="n"/>
      <c r="AU46" s="72" t="n"/>
      <c r="AV46" s="72" t="n"/>
      <c r="AW46" s="72" t="n"/>
      <c r="AX46" s="72" t="n"/>
      <c r="AY46" s="72" t="n"/>
      <c r="AZ46" s="72" t="n"/>
      <c r="BA46" s="72" t="n"/>
      <c r="BB46" s="72" t="n"/>
      <c r="BC46" s="72" t="n"/>
      <c r="BD46" s="72" t="n"/>
      <c r="BE46" s="72" t="n"/>
      <c r="BF46" s="72" t="n"/>
      <c r="BG46" s="72" t="n"/>
    </row>
    <row r="47">
      <c r="B47" s="8" t="inlineStr">
        <is>
          <t>Web build; QA, accessibility and web checks; agree analytics measures</t>
        </is>
      </c>
      <c r="C47" s="8" t="inlineStr">
        <is>
          <t>Before launch</t>
        </is>
      </c>
      <c r="D47" s="44" t="n">
        <v>46447</v>
      </c>
      <c r="E47" s="44" t="n">
        <v>46535</v>
      </c>
      <c r="F47" s="8" t="inlineStr">
        <is>
          <t>Comms/digital</t>
        </is>
      </c>
      <c r="G47" s="8" t="inlineStr"/>
      <c r="H47" s="8" t="inlineStr">
        <is>
          <t>SST</t>
        </is>
      </c>
      <c r="I47" s="8" t="inlineStr"/>
      <c r="J47" s="8" t="inlineStr">
        <is>
          <t>High</t>
        </is>
      </c>
      <c r="K47" s="8" t="inlineStr">
        <is>
          <t>Not yet started</t>
        </is>
      </c>
      <c r="L47">
        <f>IF(AND(L$9+6&gt;=$D47,L$9&lt;=$E47),1,"")</f>
        <v/>
      </c>
      <c r="M47">
        <f>IF(AND(M$9+6&gt;=$D47,M$9&lt;=$E47),1,"")</f>
        <v/>
      </c>
      <c r="N47">
        <f>IF(AND(N$9+6&gt;=$D47,N$9&lt;=$E47),1,"")</f>
        <v/>
      </c>
      <c r="O47">
        <f>IF(AND(O$9+6&gt;=$D47,O$9&lt;=$E47),1,"")</f>
        <v/>
      </c>
      <c r="P47">
        <f>IF(AND(P$9+6&gt;=$D47,P$9&lt;=$E47),1,"")</f>
        <v/>
      </c>
      <c r="Q47">
        <f>IF(AND(Q$9+6&gt;=$D47,Q$9&lt;=$E47),1,"")</f>
        <v/>
      </c>
      <c r="R47">
        <f>IF(AND(R$9+6&gt;=$D47,R$9&lt;=$E47),1,"")</f>
        <v/>
      </c>
      <c r="S47">
        <f>IF(AND(S$9+6&gt;=$D47,S$9&lt;=$E47),1,"")</f>
        <v/>
      </c>
      <c r="T47">
        <f>IF(AND(T$9+6&gt;=$D47,T$9&lt;=$E47),1,"")</f>
        <v/>
      </c>
      <c r="U47">
        <f>IF(AND(U$9+6&gt;=$D47,U$9&lt;=$E47),1,"")</f>
        <v/>
      </c>
      <c r="V47">
        <f>IF(AND(V$9+6&gt;=$D47,V$9&lt;=$E47),1,"")</f>
        <v/>
      </c>
      <c r="W47">
        <f>IF(AND(W$9+6&gt;=$D47,W$9&lt;=$E47),1,"")</f>
        <v/>
      </c>
      <c r="X47">
        <f>IF(AND(X$9+6&gt;=$D47,X$9&lt;=$E47),1,"")</f>
        <v/>
      </c>
      <c r="Y47">
        <f>IF(AND(Y$9+6&gt;=$D47,Y$9&lt;=$E47),1,"")</f>
        <v/>
      </c>
      <c r="Z47">
        <f>IF(AND(Z$9+6&gt;=$D47,Z$9&lt;=$E47),1,"")</f>
        <v/>
      </c>
      <c r="AA47">
        <f>IF(AND(AA$9+6&gt;=$D47,AA$9&lt;=$E47),1,"")</f>
        <v/>
      </c>
      <c r="AB47">
        <f>IF(AND(AB$9+6&gt;=$D47,AB$9&lt;=$E47),1,"")</f>
        <v/>
      </c>
      <c r="AC47">
        <f>IF(AND(AC$9+6&gt;=$D47,AC$9&lt;=$E47),1,"")</f>
        <v/>
      </c>
      <c r="AD47">
        <f>IF(AND(AD$9+6&gt;=$D47,AD$9&lt;=$E47),1,"")</f>
        <v/>
      </c>
      <c r="AE47">
        <f>IF(AND(AE$9+6&gt;=$D47,AE$9&lt;=$E47),1,"")</f>
        <v/>
      </c>
      <c r="AF47">
        <f>IF(AND(AF$9+6&gt;=$D47,AF$9&lt;=$E47),1,"")</f>
        <v/>
      </c>
      <c r="AG47">
        <f>IF(AND(AG$9+6&gt;=$D47,AG$9&lt;=$E47),1,"")</f>
        <v/>
      </c>
      <c r="AH47">
        <f>IF(AND(AH$9+6&gt;=$D47,AH$9&lt;=$E47),1,"")</f>
        <v/>
      </c>
      <c r="AI47">
        <f>IF(AND(AI$9+6&gt;=$D47,AI$9&lt;=$E47),1,"")</f>
        <v/>
      </c>
      <c r="AJ47">
        <f>IF(AND(AJ$9+6&gt;=$D47,AJ$9&lt;=$E47),1,"")</f>
        <v/>
      </c>
      <c r="AK47">
        <f>IF(AND(AK$9+6&gt;=$D47,AK$9&lt;=$E47),1,"")</f>
        <v/>
      </c>
      <c r="AL47">
        <f>IF(AND(AL$9+6&gt;=$D47,AL$9&lt;=$E47),1,"")</f>
        <v/>
      </c>
      <c r="AM47">
        <f>IF(AND(AM$9+6&gt;=$D47,AM$9&lt;=$E47),1,"")</f>
        <v/>
      </c>
      <c r="AN47">
        <f>IF(AND(AN$9+6&gt;=$D47,AN$9&lt;=$E47),1,"")</f>
        <v/>
      </c>
      <c r="AO47">
        <f>IF(AND(AO$9+6&gt;=$D47,AO$9&lt;=$E47),1,"")</f>
        <v/>
      </c>
      <c r="AP47">
        <f>IF(AND(AP$9+6&gt;=$D47,AP$9&lt;=$E47),1,"")</f>
        <v/>
      </c>
      <c r="AQ47">
        <f>IF(AND(AQ$9+6&gt;=$D47,AQ$9&lt;=$E47),1,"")</f>
        <v/>
      </c>
      <c r="AR47">
        <f>IF(AND(AR$9+6&gt;=$D47,AR$9&lt;=$E47),1,"")</f>
        <v/>
      </c>
      <c r="AS47">
        <f>IF(AND(AS$9+6&gt;=$D47,AS$9&lt;=$E47),1,"")</f>
        <v/>
      </c>
      <c r="AT47">
        <f>IF(AND(AT$9+6&gt;=$D47,AT$9&lt;=$E47),1,"")</f>
        <v/>
      </c>
      <c r="AU47">
        <f>IF(AND(AU$9+6&gt;=$D47,AU$9&lt;=$E47),1,"")</f>
        <v/>
      </c>
      <c r="AV47">
        <f>IF(AND(AV$9+6&gt;=$D47,AV$9&lt;=$E47),1,"")</f>
        <v/>
      </c>
      <c r="AW47">
        <f>IF(AND(AW$9+6&gt;=$D47,AW$9&lt;=$E47),1,"")</f>
        <v/>
      </c>
      <c r="AX47">
        <f>IF(AND(AX$9+6&gt;=$D47,AX$9&lt;=$E47),1,"")</f>
        <v/>
      </c>
      <c r="AY47">
        <f>IF(AND(AY$9+6&gt;=$D47,AY$9&lt;=$E47),1,"")</f>
        <v/>
      </c>
      <c r="AZ47">
        <f>IF(AND(AZ$9+6&gt;=$D47,AZ$9&lt;=$E47),1,"")</f>
        <v/>
      </c>
      <c r="BA47">
        <f>IF(AND(BA$9+6&gt;=$D47,BA$9&lt;=$E47),1,"")</f>
        <v/>
      </c>
      <c r="BB47">
        <f>IF(AND(BB$9+6&gt;=$D47,BB$9&lt;=$E47),1,"")</f>
        <v/>
      </c>
      <c r="BC47">
        <f>IF(AND(BC$9+6&gt;=$D47,BC$9&lt;=$E47),1,"")</f>
        <v/>
      </c>
      <c r="BD47">
        <f>IF(AND(BD$9+6&gt;=$D47,BD$9&lt;=$E47),1,"")</f>
        <v/>
      </c>
      <c r="BE47">
        <f>IF(AND(BE$9+6&gt;=$D47,BE$9&lt;=$E47),1,"")</f>
        <v/>
      </c>
      <c r="BF47">
        <f>IF(AND(BF$9+6&gt;=$D47,BF$9&lt;=$E47),1,"")</f>
        <v/>
      </c>
      <c r="BG47">
        <f>IF(AND(BG$9+6&gt;=$D47,BG$9&lt;=$E47),1,"")</f>
        <v/>
      </c>
    </row>
    <row r="48">
      <c r="B48" s="8" t="inlineStr">
        <is>
          <t>Publish report (year-specific URL + landing page)</t>
        </is>
      </c>
      <c r="C48" s="8" t="inlineStr">
        <is>
          <t>June</t>
        </is>
      </c>
      <c r="D48" s="44" t="n">
        <v>46539</v>
      </c>
      <c r="E48" s="44" t="n">
        <v>46568</v>
      </c>
      <c r="F48" s="8" t="inlineStr">
        <is>
          <t>Comms/digital</t>
        </is>
      </c>
      <c r="G48" s="8" t="inlineStr">
        <is>
          <t>Director, Sustainability</t>
        </is>
      </c>
      <c r="H48" s="8" t="inlineStr"/>
      <c r="I48" s="8" t="inlineStr"/>
      <c r="J48" s="8" t="inlineStr">
        <is>
          <t>Milestone</t>
        </is>
      </c>
      <c r="K48" s="8" t="inlineStr">
        <is>
          <t>Not yet started</t>
        </is>
      </c>
      <c r="L48">
        <f>IF(AND(L$9+6&gt;=$D48,L$9&lt;=$E48),1,"")</f>
        <v/>
      </c>
      <c r="M48">
        <f>IF(AND(M$9+6&gt;=$D48,M$9&lt;=$E48),1,"")</f>
        <v/>
      </c>
      <c r="N48">
        <f>IF(AND(N$9+6&gt;=$D48,N$9&lt;=$E48),1,"")</f>
        <v/>
      </c>
      <c r="O48">
        <f>IF(AND(O$9+6&gt;=$D48,O$9&lt;=$E48),1,"")</f>
        <v/>
      </c>
      <c r="P48">
        <f>IF(AND(P$9+6&gt;=$D48,P$9&lt;=$E48),1,"")</f>
        <v/>
      </c>
      <c r="Q48">
        <f>IF(AND(Q$9+6&gt;=$D48,Q$9&lt;=$E48),1,"")</f>
        <v/>
      </c>
      <c r="R48">
        <f>IF(AND(R$9+6&gt;=$D48,R$9&lt;=$E48),1,"")</f>
        <v/>
      </c>
      <c r="S48">
        <f>IF(AND(S$9+6&gt;=$D48,S$9&lt;=$E48),1,"")</f>
        <v/>
      </c>
      <c r="T48">
        <f>IF(AND(T$9+6&gt;=$D48,T$9&lt;=$E48),1,"")</f>
        <v/>
      </c>
      <c r="U48">
        <f>IF(AND(U$9+6&gt;=$D48,U$9&lt;=$E48),1,"")</f>
        <v/>
      </c>
      <c r="V48">
        <f>IF(AND(V$9+6&gt;=$D48,V$9&lt;=$E48),1,"")</f>
        <v/>
      </c>
      <c r="W48">
        <f>IF(AND(W$9+6&gt;=$D48,W$9&lt;=$E48),1,"")</f>
        <v/>
      </c>
      <c r="X48">
        <f>IF(AND(X$9+6&gt;=$D48,X$9&lt;=$E48),1,"")</f>
        <v/>
      </c>
      <c r="Y48">
        <f>IF(AND(Y$9+6&gt;=$D48,Y$9&lt;=$E48),1,"")</f>
        <v/>
      </c>
      <c r="Z48">
        <f>IF(AND(Z$9+6&gt;=$D48,Z$9&lt;=$E48),1,"")</f>
        <v/>
      </c>
      <c r="AA48">
        <f>IF(AND(AA$9+6&gt;=$D48,AA$9&lt;=$E48),1,"")</f>
        <v/>
      </c>
      <c r="AB48">
        <f>IF(AND(AB$9+6&gt;=$D48,AB$9&lt;=$E48),1,"")</f>
        <v/>
      </c>
      <c r="AC48">
        <f>IF(AND(AC$9+6&gt;=$D48,AC$9&lt;=$E48),1,"")</f>
        <v/>
      </c>
      <c r="AD48">
        <f>IF(AND(AD$9+6&gt;=$D48,AD$9&lt;=$E48),1,"")</f>
        <v/>
      </c>
      <c r="AE48">
        <f>IF(AND(AE$9+6&gt;=$D48,AE$9&lt;=$E48),1,"")</f>
        <v/>
      </c>
      <c r="AF48">
        <f>IF(AND(AF$9+6&gt;=$D48,AF$9&lt;=$E48),1,"")</f>
        <v/>
      </c>
      <c r="AG48">
        <f>IF(AND(AG$9+6&gt;=$D48,AG$9&lt;=$E48),1,"")</f>
        <v/>
      </c>
      <c r="AH48">
        <f>IF(AND(AH$9+6&gt;=$D48,AH$9&lt;=$E48),1,"")</f>
        <v/>
      </c>
      <c r="AI48">
        <f>IF(AND(AI$9+6&gt;=$D48,AI$9&lt;=$E48),1,"")</f>
        <v/>
      </c>
      <c r="AJ48">
        <f>IF(AND(AJ$9+6&gt;=$D48,AJ$9&lt;=$E48),1,"")</f>
        <v/>
      </c>
      <c r="AK48">
        <f>IF(AND(AK$9+6&gt;=$D48,AK$9&lt;=$E48),1,"")</f>
        <v/>
      </c>
      <c r="AL48">
        <f>IF(AND(AL$9+6&gt;=$D48,AL$9&lt;=$E48),1,"")</f>
        <v/>
      </c>
      <c r="AM48">
        <f>IF(AND(AM$9+6&gt;=$D48,AM$9&lt;=$E48),1,"")</f>
        <v/>
      </c>
      <c r="AN48">
        <f>IF(AND(AN$9+6&gt;=$D48,AN$9&lt;=$E48),1,"")</f>
        <v/>
      </c>
      <c r="AO48">
        <f>IF(AND(AO$9+6&gt;=$D48,AO$9&lt;=$E48),1,"")</f>
        <v/>
      </c>
      <c r="AP48">
        <f>IF(AND(AP$9+6&gt;=$D48,AP$9&lt;=$E48),1,"")</f>
        <v/>
      </c>
      <c r="AQ48">
        <f>IF(AND(AQ$9+6&gt;=$D48,AQ$9&lt;=$E48),1,"")</f>
        <v/>
      </c>
      <c r="AR48">
        <f>IF(AND(AR$9+6&gt;=$D48,AR$9&lt;=$E48),1,"")</f>
        <v/>
      </c>
      <c r="AS48">
        <f>IF(AND(AS$9+6&gt;=$D48,AS$9&lt;=$E48),1,"")</f>
        <v/>
      </c>
      <c r="AT48">
        <f>IF(AND(AT$9+6&gt;=$D48,AT$9&lt;=$E48),1,"")</f>
        <v/>
      </c>
      <c r="AU48">
        <f>IF(AND(AU$9+6&gt;=$D48,AU$9&lt;=$E48),1,"")</f>
        <v/>
      </c>
      <c r="AV48">
        <f>IF(AND(AV$9+6&gt;=$D48,AV$9&lt;=$E48),1,"")</f>
        <v/>
      </c>
      <c r="AW48">
        <f>IF(AND(AW$9+6&gt;=$D48,AW$9&lt;=$E48),1,"")</f>
        <v/>
      </c>
      <c r="AX48">
        <f>IF(AND(AX$9+6&gt;=$D48,AX$9&lt;=$E48),1,"")</f>
        <v/>
      </c>
      <c r="AY48">
        <f>IF(AND(AY$9+6&gt;=$D48,AY$9&lt;=$E48),1,"")</f>
        <v/>
      </c>
      <c r="AZ48">
        <f>IF(AND(AZ$9+6&gt;=$D48,AZ$9&lt;=$E48),1,"")</f>
        <v/>
      </c>
      <c r="BA48">
        <f>IF(AND(BA$9+6&gt;=$D48,BA$9&lt;=$E48),1,"")</f>
        <v/>
      </c>
      <c r="BB48">
        <f>IF(AND(BB$9+6&gt;=$D48,BB$9&lt;=$E48),1,"")</f>
        <v/>
      </c>
      <c r="BC48">
        <f>IF(AND(BC$9+6&gt;=$D48,BC$9&lt;=$E48),1,"")</f>
        <v/>
      </c>
      <c r="BD48">
        <f>IF(AND(BD$9+6&gt;=$D48,BD$9&lt;=$E48),1,"")</f>
        <v/>
      </c>
      <c r="BE48">
        <f>IF(AND(BE$9+6&gt;=$D48,BE$9&lt;=$E48),1,"")</f>
        <v/>
      </c>
      <c r="BF48">
        <f>IF(AND(BF$9+6&gt;=$D48,BF$9&lt;=$E48),1,"")</f>
        <v/>
      </c>
      <c r="BG48">
        <f>IF(AND(BG$9+6&gt;=$D48,BG$9&lt;=$E48),1,"")</f>
        <v/>
      </c>
    </row>
    <row r="49">
      <c r="B49" s="8" t="inlineStr">
        <is>
          <t>Monitor engagement; project retrospective; improvements for 2027 cycle</t>
        </is>
      </c>
      <c r="C49" s="8" t="inlineStr"/>
      <c r="D49" s="44" t="n">
        <v>46539</v>
      </c>
      <c r="E49" s="44" t="n">
        <v>46598</v>
      </c>
      <c r="F49" s="8" t="inlineStr">
        <is>
          <t>SST</t>
        </is>
      </c>
      <c r="G49" s="8" t="inlineStr"/>
      <c r="H49" s="8" t="inlineStr">
        <is>
          <t>Comms, design</t>
        </is>
      </c>
      <c r="I49" s="8" t="inlineStr"/>
      <c r="J49" s="8" t="inlineStr">
        <is>
          <t>Medium</t>
        </is>
      </c>
      <c r="K49" s="8" t="inlineStr">
        <is>
          <t>Not yet started</t>
        </is>
      </c>
      <c r="L49">
        <f>IF(AND(L$9+6&gt;=$D49,L$9&lt;=$E49),1,"")</f>
        <v/>
      </c>
      <c r="M49">
        <f>IF(AND(M$9+6&gt;=$D49,M$9&lt;=$E49),1,"")</f>
        <v/>
      </c>
      <c r="N49">
        <f>IF(AND(N$9+6&gt;=$D49,N$9&lt;=$E49),1,"")</f>
        <v/>
      </c>
      <c r="O49">
        <f>IF(AND(O$9+6&gt;=$D49,O$9&lt;=$E49),1,"")</f>
        <v/>
      </c>
      <c r="P49">
        <f>IF(AND(P$9+6&gt;=$D49,P$9&lt;=$E49),1,"")</f>
        <v/>
      </c>
      <c r="Q49">
        <f>IF(AND(Q$9+6&gt;=$D49,Q$9&lt;=$E49),1,"")</f>
        <v/>
      </c>
      <c r="R49">
        <f>IF(AND(R$9+6&gt;=$D49,R$9&lt;=$E49),1,"")</f>
        <v/>
      </c>
      <c r="S49">
        <f>IF(AND(S$9+6&gt;=$D49,S$9&lt;=$E49),1,"")</f>
        <v/>
      </c>
      <c r="T49">
        <f>IF(AND(T$9+6&gt;=$D49,T$9&lt;=$E49),1,"")</f>
        <v/>
      </c>
      <c r="U49">
        <f>IF(AND(U$9+6&gt;=$D49,U$9&lt;=$E49),1,"")</f>
        <v/>
      </c>
      <c r="V49">
        <f>IF(AND(V$9+6&gt;=$D49,V$9&lt;=$E49),1,"")</f>
        <v/>
      </c>
      <c r="W49">
        <f>IF(AND(W$9+6&gt;=$D49,W$9&lt;=$E49),1,"")</f>
        <v/>
      </c>
      <c r="X49">
        <f>IF(AND(X$9+6&gt;=$D49,X$9&lt;=$E49),1,"")</f>
        <v/>
      </c>
      <c r="Y49">
        <f>IF(AND(Y$9+6&gt;=$D49,Y$9&lt;=$E49),1,"")</f>
        <v/>
      </c>
      <c r="Z49">
        <f>IF(AND(Z$9+6&gt;=$D49,Z$9&lt;=$E49),1,"")</f>
        <v/>
      </c>
      <c r="AA49">
        <f>IF(AND(AA$9+6&gt;=$D49,AA$9&lt;=$E49),1,"")</f>
        <v/>
      </c>
      <c r="AB49">
        <f>IF(AND(AB$9+6&gt;=$D49,AB$9&lt;=$E49),1,"")</f>
        <v/>
      </c>
      <c r="AC49">
        <f>IF(AND(AC$9+6&gt;=$D49,AC$9&lt;=$E49),1,"")</f>
        <v/>
      </c>
      <c r="AD49">
        <f>IF(AND(AD$9+6&gt;=$D49,AD$9&lt;=$E49),1,"")</f>
        <v/>
      </c>
      <c r="AE49">
        <f>IF(AND(AE$9+6&gt;=$D49,AE$9&lt;=$E49),1,"")</f>
        <v/>
      </c>
      <c r="AF49">
        <f>IF(AND(AF$9+6&gt;=$D49,AF$9&lt;=$E49),1,"")</f>
        <v/>
      </c>
      <c r="AG49">
        <f>IF(AND(AG$9+6&gt;=$D49,AG$9&lt;=$E49),1,"")</f>
        <v/>
      </c>
      <c r="AH49">
        <f>IF(AND(AH$9+6&gt;=$D49,AH$9&lt;=$E49),1,"")</f>
        <v/>
      </c>
      <c r="AI49">
        <f>IF(AND(AI$9+6&gt;=$D49,AI$9&lt;=$E49),1,"")</f>
        <v/>
      </c>
      <c r="AJ49">
        <f>IF(AND(AJ$9+6&gt;=$D49,AJ$9&lt;=$E49),1,"")</f>
        <v/>
      </c>
      <c r="AK49">
        <f>IF(AND(AK$9+6&gt;=$D49,AK$9&lt;=$E49),1,"")</f>
        <v/>
      </c>
      <c r="AL49">
        <f>IF(AND(AL$9+6&gt;=$D49,AL$9&lt;=$E49),1,"")</f>
        <v/>
      </c>
      <c r="AM49">
        <f>IF(AND(AM$9+6&gt;=$D49,AM$9&lt;=$E49),1,"")</f>
        <v/>
      </c>
      <c r="AN49">
        <f>IF(AND(AN$9+6&gt;=$D49,AN$9&lt;=$E49),1,"")</f>
        <v/>
      </c>
      <c r="AO49">
        <f>IF(AND(AO$9+6&gt;=$D49,AO$9&lt;=$E49),1,"")</f>
        <v/>
      </c>
      <c r="AP49">
        <f>IF(AND(AP$9+6&gt;=$D49,AP$9&lt;=$E49),1,"")</f>
        <v/>
      </c>
      <c r="AQ49">
        <f>IF(AND(AQ$9+6&gt;=$D49,AQ$9&lt;=$E49),1,"")</f>
        <v/>
      </c>
      <c r="AR49">
        <f>IF(AND(AR$9+6&gt;=$D49,AR$9&lt;=$E49),1,"")</f>
        <v/>
      </c>
      <c r="AS49">
        <f>IF(AND(AS$9+6&gt;=$D49,AS$9&lt;=$E49),1,"")</f>
        <v/>
      </c>
      <c r="AT49">
        <f>IF(AND(AT$9+6&gt;=$D49,AT$9&lt;=$E49),1,"")</f>
        <v/>
      </c>
      <c r="AU49">
        <f>IF(AND(AU$9+6&gt;=$D49,AU$9&lt;=$E49),1,"")</f>
        <v/>
      </c>
      <c r="AV49">
        <f>IF(AND(AV$9+6&gt;=$D49,AV$9&lt;=$E49),1,"")</f>
        <v/>
      </c>
      <c r="AW49">
        <f>IF(AND(AW$9+6&gt;=$D49,AW$9&lt;=$E49),1,"")</f>
        <v/>
      </c>
      <c r="AX49">
        <f>IF(AND(AX$9+6&gt;=$D49,AX$9&lt;=$E49),1,"")</f>
        <v/>
      </c>
      <c r="AY49">
        <f>IF(AND(AY$9+6&gt;=$D49,AY$9&lt;=$E49),1,"")</f>
        <v/>
      </c>
      <c r="AZ49">
        <f>IF(AND(AZ$9+6&gt;=$D49,AZ$9&lt;=$E49),1,"")</f>
        <v/>
      </c>
      <c r="BA49">
        <f>IF(AND(BA$9+6&gt;=$D49,BA$9&lt;=$E49),1,"")</f>
        <v/>
      </c>
      <c r="BB49">
        <f>IF(AND(BB$9+6&gt;=$D49,BB$9&lt;=$E49),1,"")</f>
        <v/>
      </c>
      <c r="BC49">
        <f>IF(AND(BC$9+6&gt;=$D49,BC$9&lt;=$E49),1,"")</f>
        <v/>
      </c>
      <c r="BD49">
        <f>IF(AND(BD$9+6&gt;=$D49,BD$9&lt;=$E49),1,"")</f>
        <v/>
      </c>
      <c r="BE49">
        <f>IF(AND(BE$9+6&gt;=$D49,BE$9&lt;=$E49),1,"")</f>
        <v/>
      </c>
      <c r="BF49">
        <f>IF(AND(BF$9+6&gt;=$D49,BF$9&lt;=$E49),1,"")</f>
        <v/>
      </c>
      <c r="BG49">
        <f>IF(AND(BG$9+6&gt;=$D49,BG$9&lt;=$E49),1,"")</f>
        <v/>
      </c>
    </row>
  </sheetData>
  <conditionalFormatting sqref="L10:BG49">
    <cfRule type="cellIs" priority="1" operator="equal" dxfId="8">
      <formula>1</formula>
    </cfRule>
  </conditionalFormatting>
  <conditionalFormatting sqref="L9:BG9">
    <cfRule type="cellIs" priority="2" operator="between" dxfId="9">
      <formula>TODAY()-6</formula>
      <formula>TODAY()</formula>
    </cfRule>
  </conditionalFormatting>
  <dataValidations count="1">
    <dataValidation sqref="K10:K49" showDropDown="0" showInputMessage="0" showErrorMessage="0" allowBlank="1" errorTitle="Invalid entry" error="Please select from the dropdown" type="list">
      <formula1>"Not yet started,In progress,Complete,On hold,N/A"</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59"/>
  <sheetViews>
    <sheetView showGridLines="0" workbookViewId="0">
      <selection activeCell="A1" sqref="A1"/>
    </sheetView>
  </sheetViews>
  <sheetFormatPr baseColWidth="8" defaultRowHeight="15"/>
  <cols>
    <col width="4" customWidth="1" min="1" max="1"/>
    <col width="26" customWidth="1" min="2" max="2"/>
    <col width="30" customWidth="1" min="3" max="3"/>
    <col width="14" customWidth="1" min="4" max="4"/>
    <col width="12" customWidth="1" min="5" max="5"/>
    <col width="14" customWidth="1" min="6" max="6"/>
    <col width="20" customWidth="1" min="7" max="7"/>
    <col width="50" customWidth="1" min="8" max="8"/>
    <col width="11" customWidth="1" min="9" max="9"/>
    <col width="36" customWidth="1" min="10" max="10"/>
  </cols>
  <sheetData>
    <row r="1">
      <c r="A1" s="1" t="inlineStr">
        <is>
          <t>↑</t>
        </is>
      </c>
      <c r="B1" s="2" t="inlineStr">
        <is>
          <t>2026 Sustainability Report</t>
        </is>
      </c>
    </row>
    <row r="2">
      <c r="B2" s="3" t="inlineStr">
        <is>
          <t>P3. Comms + web build to-do list</t>
        </is>
      </c>
    </row>
    <row r="4">
      <c r="B4" t="inlineStr">
        <is>
          <t>Track comms, web build and design tasks. Priority: Low / Medium / High / Urgent.</t>
        </is>
      </c>
    </row>
    <row r="6">
      <c r="B6" s="6" t="inlineStr">
        <is>
          <t>Report component or page</t>
        </is>
      </c>
      <c r="C6" s="6" t="inlineStr">
        <is>
          <t>Case study/content name</t>
        </is>
      </c>
      <c r="D6" s="6" t="inlineStr">
        <is>
          <t>Lead</t>
        </is>
      </c>
      <c r="E6" s="6" t="inlineStr">
        <is>
          <t>Priority level</t>
        </is>
      </c>
      <c r="F6" s="6" t="inlineStr">
        <is>
          <t>Agreed deadline</t>
        </is>
      </c>
      <c r="G6" s="6" t="inlineStr">
        <is>
          <t>Action needed</t>
        </is>
      </c>
      <c r="H6" s="6" t="inlineStr">
        <is>
          <t>Details</t>
        </is>
      </c>
      <c r="I6" s="6" t="inlineStr">
        <is>
          <t>Complete? (Y/N)</t>
        </is>
      </c>
      <c r="J6" s="6" t="inlineStr">
        <is>
          <t>Updates/blockers/FYI</t>
        </is>
      </c>
    </row>
    <row r="7">
      <c r="B7" s="8" t="inlineStr">
        <is>
          <t>Web – whole report</t>
        </is>
      </c>
      <c r="C7" s="8" t="inlineStr">
        <is>
          <t>Year-specific report URL</t>
        </is>
      </c>
      <c r="D7" s="8" t="inlineStr">
        <is>
          <t>Comms/digital</t>
        </is>
      </c>
      <c r="E7" s="8" t="inlineStr">
        <is>
          <t>High</t>
        </is>
      </c>
      <c r="F7" s="8" t="inlineStr"/>
      <c r="G7" s="8" t="inlineStr">
        <is>
          <t>Set up</t>
        </is>
      </c>
      <c r="H7" s="8" t="inlineStr">
        <is>
          <t>Use a year-specific URL (e.g. /sustainabilityreport/2026) and retain the central reports landing page (SR25 lesson).</t>
        </is>
      </c>
      <c r="I7" s="8" t="inlineStr"/>
      <c r="J7" s="8" t="inlineStr"/>
    </row>
    <row r="8">
      <c r="B8" s="8" t="inlineStr">
        <is>
          <t>Web – whole report</t>
        </is>
      </c>
      <c r="C8" s="8" t="inlineStr">
        <is>
          <t>Analytics measures</t>
        </is>
      </c>
      <c r="D8" s="8" t="inlineStr">
        <is>
          <t>Comms/digital</t>
        </is>
      </c>
      <c r="E8" s="8" t="inlineStr">
        <is>
          <t>High</t>
        </is>
      </c>
      <c r="F8" s="8" t="inlineStr"/>
      <c r="G8" s="8" t="inlineStr">
        <is>
          <t>Agree before launch</t>
        </is>
      </c>
      <c r="H8" s="8" t="inlineStr">
        <is>
          <t>Agree web sessions, users and views measures before launch so project close can report them.</t>
        </is>
      </c>
      <c r="I8" s="8" t="inlineStr"/>
      <c r="J8" s="8" t="inlineStr"/>
    </row>
    <row r="9">
      <c r="B9" s="8" t="inlineStr">
        <is>
          <t>Web – whole report</t>
        </is>
      </c>
      <c r="C9" s="8" t="inlineStr">
        <is>
          <t>Accessibility &amp; reviewer workflow testing</t>
        </is>
      </c>
      <c r="D9" s="8" t="inlineStr">
        <is>
          <t>Comms/digital</t>
        </is>
      </c>
      <c r="E9" s="8" t="inlineStr">
        <is>
          <t>High</t>
        </is>
      </c>
      <c r="F9" s="8" t="inlineStr"/>
      <c r="G9" s="8" t="inlineStr">
        <is>
          <t>Test</t>
        </is>
      </c>
      <c r="H9" s="8" t="inlineStr">
        <is>
          <t>Navigation, links, mobile usability, accessibility, reviewer workflows – before governance approval.</t>
        </is>
      </c>
      <c r="I9" s="8" t="inlineStr"/>
      <c r="J9" s="8" t="inlineStr"/>
    </row>
    <row r="10">
      <c r="B10" s="8" t="inlineStr">
        <is>
          <t>Report introduction</t>
        </is>
      </c>
      <c r="C10" s="8" t="inlineStr">
        <is>
          <t>Transition-year framing</t>
        </is>
      </c>
      <c r="D10" s="8" t="inlineStr">
        <is>
          <t>SST</t>
        </is>
      </c>
      <c r="E10" s="8" t="inlineStr">
        <is>
          <t>High</t>
        </is>
      </c>
      <c r="F10" s="8" t="inlineStr"/>
      <c r="G10" s="8" t="inlineStr">
        <is>
          <t>Draft</t>
        </is>
      </c>
      <c r="H10" s="8" t="inlineStr">
        <is>
          <t>Explain former SP2030 vs Sustainability 2030 (launched ~20 Oct 2026).</t>
        </is>
      </c>
      <c r="I10" s="8" t="inlineStr"/>
      <c r="J10" s="8" t="inlineStr"/>
    </row>
    <row r="11">
      <c r="B11" s="8" t="inlineStr">
        <is>
          <t>Whole report</t>
        </is>
      </c>
      <c r="C11" s="8" t="inlineStr">
        <is>
          <t>Whole-report review</t>
        </is>
      </c>
      <c r="D11" s="8" t="inlineStr">
        <is>
          <t>Strategic Comms</t>
        </is>
      </c>
      <c r="E11" s="8" t="inlineStr">
        <is>
          <t>High</t>
        </is>
      </c>
      <c r="F11" s="8" t="inlineStr"/>
      <c r="G11" s="8" t="inlineStr">
        <is>
          <t>Schedule</t>
        </is>
      </c>
      <c r="H11" s="8" t="inlineStr">
        <is>
          <t>Schedule early enough for material changes.</t>
        </is>
      </c>
      <c r="I11" s="8" t="inlineStr"/>
      <c r="J11" s="8" t="inlineStr"/>
    </row>
    <row r="12">
      <c r="B12" s="8" t="n"/>
      <c r="C12" s="8" t="n"/>
      <c r="D12" s="8" t="n"/>
      <c r="E12" s="8" t="n"/>
      <c r="F12" s="8" t="n"/>
      <c r="G12" s="8" t="n"/>
      <c r="H12" s="8" t="n"/>
      <c r="I12" s="8" t="n"/>
      <c r="J12" s="8" t="n"/>
    </row>
    <row r="13">
      <c r="B13" s="8" t="n"/>
      <c r="C13" s="8" t="n"/>
      <c r="D13" s="8" t="n"/>
      <c r="E13" s="8" t="n"/>
      <c r="F13" s="8" t="n"/>
      <c r="G13" s="8" t="n"/>
      <c r="H13" s="8" t="n"/>
      <c r="I13" s="8" t="n"/>
      <c r="J13" s="8" t="n"/>
    </row>
    <row r="14">
      <c r="B14" s="8" t="n"/>
      <c r="C14" s="8" t="n"/>
      <c r="D14" s="8" t="n"/>
      <c r="E14" s="8" t="n"/>
      <c r="F14" s="8" t="n"/>
      <c r="G14" s="8" t="n"/>
      <c r="H14" s="8" t="n"/>
      <c r="I14" s="8" t="n"/>
      <c r="J14" s="8" t="n"/>
    </row>
    <row r="15">
      <c r="B15" s="8" t="n"/>
      <c r="C15" s="8" t="n"/>
      <c r="D15" s="8" t="n"/>
      <c r="E15" s="8" t="n"/>
      <c r="F15" s="8" t="n"/>
      <c r="G15" s="8" t="n"/>
      <c r="H15" s="8" t="n"/>
      <c r="I15" s="8" t="n"/>
      <c r="J15" s="8" t="n"/>
    </row>
    <row r="16">
      <c r="B16" s="8" t="n"/>
      <c r="C16" s="8" t="n"/>
      <c r="D16" s="8" t="n"/>
      <c r="E16" s="8" t="n"/>
      <c r="F16" s="8" t="n"/>
      <c r="G16" s="8" t="n"/>
      <c r="H16" s="8" t="n"/>
      <c r="I16" s="8" t="n"/>
      <c r="J16" s="8" t="n"/>
    </row>
    <row r="17">
      <c r="B17" s="8" t="n"/>
      <c r="C17" s="8" t="n"/>
      <c r="D17" s="8" t="n"/>
      <c r="E17" s="8" t="n"/>
      <c r="F17" s="8" t="n"/>
      <c r="G17" s="8" t="n"/>
      <c r="H17" s="8" t="n"/>
      <c r="I17" s="8" t="n"/>
      <c r="J17" s="8" t="n"/>
    </row>
    <row r="18">
      <c r="B18" s="8" t="n"/>
      <c r="C18" s="8" t="n"/>
      <c r="D18" s="8" t="n"/>
      <c r="E18" s="8" t="n"/>
      <c r="F18" s="8" t="n"/>
      <c r="G18" s="8" t="n"/>
      <c r="H18" s="8" t="n"/>
      <c r="I18" s="8" t="n"/>
      <c r="J18" s="8" t="n"/>
    </row>
    <row r="19">
      <c r="B19" s="8" t="n"/>
      <c r="C19" s="8" t="n"/>
      <c r="D19" s="8" t="n"/>
      <c r="E19" s="8" t="n"/>
      <c r="F19" s="8" t="n"/>
      <c r="G19" s="8" t="n"/>
      <c r="H19" s="8" t="n"/>
      <c r="I19" s="8" t="n"/>
      <c r="J19" s="8" t="n"/>
    </row>
    <row r="20">
      <c r="B20" s="8" t="n"/>
      <c r="C20" s="8" t="n"/>
      <c r="D20" s="8" t="n"/>
      <c r="E20" s="8" t="n"/>
      <c r="F20" s="8" t="n"/>
      <c r="G20" s="8" t="n"/>
      <c r="H20" s="8" t="n"/>
      <c r="I20" s="8" t="n"/>
      <c r="J20" s="8" t="n"/>
    </row>
    <row r="21">
      <c r="B21" s="8" t="n"/>
      <c r="C21" s="8" t="n"/>
      <c r="D21" s="8" t="n"/>
      <c r="E21" s="8" t="n"/>
      <c r="F21" s="8" t="n"/>
      <c r="G21" s="8" t="n"/>
      <c r="H21" s="8" t="n"/>
      <c r="I21" s="8" t="n"/>
      <c r="J21" s="8" t="n"/>
    </row>
    <row r="22">
      <c r="B22" s="8" t="n"/>
      <c r="C22" s="8" t="n"/>
      <c r="D22" s="8" t="n"/>
      <c r="E22" s="8" t="n"/>
      <c r="F22" s="8" t="n"/>
      <c r="G22" s="8" t="n"/>
      <c r="H22" s="8" t="n"/>
      <c r="I22" s="8" t="n"/>
      <c r="J22" s="8" t="n"/>
    </row>
    <row r="23">
      <c r="B23" s="8" t="n"/>
      <c r="C23" s="8" t="n"/>
      <c r="D23" s="8" t="n"/>
      <c r="E23" s="8" t="n"/>
      <c r="F23" s="8" t="n"/>
      <c r="G23" s="8" t="n"/>
      <c r="H23" s="8" t="n"/>
      <c r="I23" s="8" t="n"/>
      <c r="J23" s="8" t="n"/>
    </row>
    <row r="24">
      <c r="B24" s="8" t="n"/>
      <c r="C24" s="8" t="n"/>
      <c r="D24" s="8" t="n"/>
      <c r="E24" s="8" t="n"/>
      <c r="F24" s="8" t="n"/>
      <c r="G24" s="8" t="n"/>
      <c r="H24" s="8" t="n"/>
      <c r="I24" s="8" t="n"/>
      <c r="J24" s="8" t="n"/>
    </row>
    <row r="25">
      <c r="B25" s="8" t="n"/>
      <c r="C25" s="8" t="n"/>
      <c r="D25" s="8" t="n"/>
      <c r="E25" s="8" t="n"/>
      <c r="F25" s="8" t="n"/>
      <c r="G25" s="8" t="n"/>
      <c r="H25" s="8" t="n"/>
      <c r="I25" s="8" t="n"/>
      <c r="J25" s="8" t="n"/>
    </row>
    <row r="26">
      <c r="B26" s="8" t="n"/>
      <c r="C26" s="8" t="n"/>
      <c r="D26" s="8" t="n"/>
      <c r="E26" s="8" t="n"/>
      <c r="F26" s="8" t="n"/>
      <c r="G26" s="8" t="n"/>
      <c r="H26" s="8" t="n"/>
      <c r="I26" s="8" t="n"/>
      <c r="J26" s="8" t="n"/>
    </row>
    <row r="27">
      <c r="B27" s="8" t="n"/>
      <c r="C27" s="8" t="n"/>
      <c r="D27" s="8" t="n"/>
      <c r="E27" s="8" t="n"/>
      <c r="F27" s="8" t="n"/>
      <c r="G27" s="8" t="n"/>
      <c r="H27" s="8" t="n"/>
      <c r="I27" s="8" t="n"/>
      <c r="J27" s="8" t="n"/>
    </row>
    <row r="28">
      <c r="B28" s="8" t="n"/>
      <c r="C28" s="8" t="n"/>
      <c r="D28" s="8" t="n"/>
      <c r="E28" s="8" t="n"/>
      <c r="F28" s="8" t="n"/>
      <c r="G28" s="8" t="n"/>
      <c r="H28" s="8" t="n"/>
      <c r="I28" s="8" t="n"/>
      <c r="J28" s="8" t="n"/>
    </row>
    <row r="29">
      <c r="B29" s="8" t="n"/>
      <c r="C29" s="8" t="n"/>
      <c r="D29" s="8" t="n"/>
      <c r="E29" s="8" t="n"/>
      <c r="F29" s="8" t="n"/>
      <c r="G29" s="8" t="n"/>
      <c r="H29" s="8" t="n"/>
      <c r="I29" s="8" t="n"/>
      <c r="J29" s="8" t="n"/>
    </row>
    <row r="30">
      <c r="B30" s="8" t="n"/>
      <c r="C30" s="8" t="n"/>
      <c r="D30" s="8" t="n"/>
      <c r="E30" s="8" t="n"/>
      <c r="F30" s="8" t="n"/>
      <c r="G30" s="8" t="n"/>
      <c r="H30" s="8" t="n"/>
      <c r="I30" s="8" t="n"/>
      <c r="J30" s="8" t="n"/>
    </row>
    <row r="31">
      <c r="B31" s="8" t="n"/>
      <c r="C31" s="8" t="n"/>
      <c r="D31" s="8" t="n"/>
      <c r="E31" s="8" t="n"/>
      <c r="F31" s="8" t="n"/>
      <c r="G31" s="8" t="n"/>
      <c r="H31" s="8" t="n"/>
      <c r="I31" s="8" t="n"/>
      <c r="J31" s="8" t="n"/>
    </row>
    <row r="32">
      <c r="B32" s="8" t="n"/>
      <c r="C32" s="8" t="n"/>
      <c r="D32" s="8" t="n"/>
      <c r="E32" s="8" t="n"/>
      <c r="F32" s="8" t="n"/>
      <c r="G32" s="8" t="n"/>
      <c r="H32" s="8" t="n"/>
      <c r="I32" s="8" t="n"/>
      <c r="J32" s="8" t="n"/>
    </row>
    <row r="33">
      <c r="B33" s="8" t="n"/>
      <c r="C33" s="8" t="n"/>
      <c r="D33" s="8" t="n"/>
      <c r="E33" s="8" t="n"/>
      <c r="F33" s="8" t="n"/>
      <c r="G33" s="8" t="n"/>
      <c r="H33" s="8" t="n"/>
      <c r="I33" s="8" t="n"/>
      <c r="J33" s="8" t="n"/>
    </row>
    <row r="34">
      <c r="B34" s="8" t="n"/>
      <c r="C34" s="8" t="n"/>
      <c r="D34" s="8" t="n"/>
      <c r="E34" s="8" t="n"/>
      <c r="F34" s="8" t="n"/>
      <c r="G34" s="8" t="n"/>
      <c r="H34" s="8" t="n"/>
      <c r="I34" s="8" t="n"/>
      <c r="J34" s="8" t="n"/>
    </row>
    <row r="35">
      <c r="B35" s="8" t="n"/>
      <c r="C35" s="8" t="n"/>
      <c r="D35" s="8" t="n"/>
      <c r="E35" s="8" t="n"/>
      <c r="F35" s="8" t="n"/>
      <c r="G35" s="8" t="n"/>
      <c r="H35" s="8" t="n"/>
      <c r="I35" s="8" t="n"/>
      <c r="J35" s="8" t="n"/>
    </row>
    <row r="36">
      <c r="B36" s="8" t="n"/>
      <c r="C36" s="8" t="n"/>
      <c r="D36" s="8" t="n"/>
      <c r="E36" s="8" t="n"/>
      <c r="F36" s="8" t="n"/>
      <c r="G36" s="8" t="n"/>
      <c r="H36" s="8" t="n"/>
      <c r="I36" s="8" t="n"/>
      <c r="J36" s="8" t="n"/>
    </row>
    <row r="37">
      <c r="B37" s="8" t="n"/>
      <c r="C37" s="8" t="n"/>
      <c r="D37" s="8" t="n"/>
      <c r="E37" s="8" t="n"/>
      <c r="F37" s="8" t="n"/>
      <c r="G37" s="8" t="n"/>
      <c r="H37" s="8" t="n"/>
      <c r="I37" s="8" t="n"/>
      <c r="J37" s="8" t="n"/>
    </row>
    <row r="38">
      <c r="B38" s="8" t="n"/>
      <c r="C38" s="8" t="n"/>
      <c r="D38" s="8" t="n"/>
      <c r="E38" s="8" t="n"/>
      <c r="F38" s="8" t="n"/>
      <c r="G38" s="8" t="n"/>
      <c r="H38" s="8" t="n"/>
      <c r="I38" s="8" t="n"/>
      <c r="J38" s="8" t="n"/>
    </row>
    <row r="39">
      <c r="B39" s="8" t="n"/>
      <c r="C39" s="8" t="n"/>
      <c r="D39" s="8" t="n"/>
      <c r="E39" s="8" t="n"/>
      <c r="F39" s="8" t="n"/>
      <c r="G39" s="8" t="n"/>
      <c r="H39" s="8" t="n"/>
      <c r="I39" s="8" t="n"/>
      <c r="J39" s="8" t="n"/>
    </row>
    <row r="40">
      <c r="B40" s="8" t="n"/>
      <c r="C40" s="8" t="n"/>
      <c r="D40" s="8" t="n"/>
      <c r="E40" s="8" t="n"/>
      <c r="F40" s="8" t="n"/>
      <c r="G40" s="8" t="n"/>
      <c r="H40" s="8" t="n"/>
      <c r="I40" s="8" t="n"/>
      <c r="J40" s="8" t="n"/>
    </row>
    <row r="41">
      <c r="B41" s="8" t="n"/>
      <c r="C41" s="8" t="n"/>
      <c r="D41" s="8" t="n"/>
      <c r="E41" s="8" t="n"/>
      <c r="F41" s="8" t="n"/>
      <c r="G41" s="8" t="n"/>
      <c r="H41" s="8" t="n"/>
      <c r="I41" s="8" t="n"/>
      <c r="J41" s="8" t="n"/>
    </row>
    <row r="42">
      <c r="B42" s="8" t="n"/>
      <c r="C42" s="8" t="n"/>
      <c r="D42" s="8" t="n"/>
      <c r="E42" s="8" t="n"/>
      <c r="F42" s="8" t="n"/>
      <c r="G42" s="8" t="n"/>
      <c r="H42" s="8" t="n"/>
      <c r="I42" s="8" t="n"/>
      <c r="J42" s="8" t="n"/>
    </row>
    <row r="43">
      <c r="B43" s="8" t="n"/>
      <c r="C43" s="8" t="n"/>
      <c r="D43" s="8" t="n"/>
      <c r="E43" s="8" t="n"/>
      <c r="F43" s="8" t="n"/>
      <c r="G43" s="8" t="n"/>
      <c r="H43" s="8" t="n"/>
      <c r="I43" s="8" t="n"/>
      <c r="J43" s="8" t="n"/>
    </row>
    <row r="44">
      <c r="B44" s="8" t="n"/>
      <c r="C44" s="8" t="n"/>
      <c r="D44" s="8" t="n"/>
      <c r="E44" s="8" t="n"/>
      <c r="F44" s="8" t="n"/>
      <c r="G44" s="8" t="n"/>
      <c r="H44" s="8" t="n"/>
      <c r="I44" s="8" t="n"/>
      <c r="J44" s="8" t="n"/>
    </row>
    <row r="45">
      <c r="B45" s="8" t="n"/>
      <c r="C45" s="8" t="n"/>
      <c r="D45" s="8" t="n"/>
      <c r="E45" s="8" t="n"/>
      <c r="F45" s="8" t="n"/>
      <c r="G45" s="8" t="n"/>
      <c r="H45" s="8" t="n"/>
      <c r="I45" s="8" t="n"/>
      <c r="J45" s="8" t="n"/>
    </row>
    <row r="46">
      <c r="B46" s="8" t="n"/>
      <c r="C46" s="8" t="n"/>
      <c r="D46" s="8" t="n"/>
      <c r="E46" s="8" t="n"/>
      <c r="F46" s="8" t="n"/>
      <c r="G46" s="8" t="n"/>
      <c r="H46" s="8" t="n"/>
      <c r="I46" s="8" t="n"/>
      <c r="J46" s="8" t="n"/>
    </row>
    <row r="47">
      <c r="B47" s="8" t="n"/>
      <c r="C47" s="8" t="n"/>
      <c r="D47" s="8" t="n"/>
      <c r="E47" s="8" t="n"/>
      <c r="F47" s="8" t="n"/>
      <c r="G47" s="8" t="n"/>
      <c r="H47" s="8" t="n"/>
      <c r="I47" s="8" t="n"/>
      <c r="J47" s="8" t="n"/>
    </row>
    <row r="48">
      <c r="B48" s="8" t="n"/>
      <c r="C48" s="8" t="n"/>
      <c r="D48" s="8" t="n"/>
      <c r="E48" s="8" t="n"/>
      <c r="F48" s="8" t="n"/>
      <c r="G48" s="8" t="n"/>
      <c r="H48" s="8" t="n"/>
      <c r="I48" s="8" t="n"/>
      <c r="J48" s="8" t="n"/>
    </row>
    <row r="49">
      <c r="B49" s="8" t="n"/>
      <c r="C49" s="8" t="n"/>
      <c r="D49" s="8" t="n"/>
      <c r="E49" s="8" t="n"/>
      <c r="F49" s="8" t="n"/>
      <c r="G49" s="8" t="n"/>
      <c r="H49" s="8" t="n"/>
      <c r="I49" s="8" t="n"/>
      <c r="J49" s="8" t="n"/>
    </row>
    <row r="50">
      <c r="B50" s="8" t="n"/>
      <c r="C50" s="8" t="n"/>
      <c r="D50" s="8" t="n"/>
      <c r="E50" s="8" t="n"/>
      <c r="F50" s="8" t="n"/>
      <c r="G50" s="8" t="n"/>
      <c r="H50" s="8" t="n"/>
      <c r="I50" s="8" t="n"/>
      <c r="J50" s="8" t="n"/>
    </row>
    <row r="51">
      <c r="B51" s="8" t="n"/>
      <c r="C51" s="8" t="n"/>
      <c r="D51" s="8" t="n"/>
      <c r="E51" s="8" t="n"/>
      <c r="F51" s="8" t="n"/>
      <c r="G51" s="8" t="n"/>
      <c r="H51" s="8" t="n"/>
      <c r="I51" s="8" t="n"/>
      <c r="J51" s="8" t="n"/>
    </row>
    <row r="52">
      <c r="B52" s="8" t="n"/>
      <c r="C52" s="8" t="n"/>
      <c r="D52" s="8" t="n"/>
      <c r="E52" s="8" t="n"/>
      <c r="F52" s="8" t="n"/>
      <c r="G52" s="8" t="n"/>
      <c r="H52" s="8" t="n"/>
      <c r="I52" s="8" t="n"/>
      <c r="J52" s="8" t="n"/>
    </row>
    <row r="53">
      <c r="B53" s="8" t="n"/>
      <c r="C53" s="8" t="n"/>
      <c r="D53" s="8" t="n"/>
      <c r="E53" s="8" t="n"/>
      <c r="F53" s="8" t="n"/>
      <c r="G53" s="8" t="n"/>
      <c r="H53" s="8" t="n"/>
      <c r="I53" s="8" t="n"/>
      <c r="J53" s="8" t="n"/>
    </row>
    <row r="54">
      <c r="B54" s="8" t="n"/>
      <c r="C54" s="8" t="n"/>
      <c r="D54" s="8" t="n"/>
      <c r="E54" s="8" t="n"/>
      <c r="F54" s="8" t="n"/>
      <c r="G54" s="8" t="n"/>
      <c r="H54" s="8" t="n"/>
      <c r="I54" s="8" t="n"/>
      <c r="J54" s="8" t="n"/>
    </row>
    <row r="55">
      <c r="B55" s="8" t="n"/>
      <c r="C55" s="8" t="n"/>
      <c r="D55" s="8" t="n"/>
      <c r="E55" s="8" t="n"/>
      <c r="F55" s="8" t="n"/>
      <c r="G55" s="8" t="n"/>
      <c r="H55" s="8" t="n"/>
      <c r="I55" s="8" t="n"/>
      <c r="J55" s="8" t="n"/>
    </row>
    <row r="56">
      <c r="B56" s="8" t="n"/>
      <c r="C56" s="8" t="n"/>
      <c r="D56" s="8" t="n"/>
      <c r="E56" s="8" t="n"/>
      <c r="F56" s="8" t="n"/>
      <c r="G56" s="8" t="n"/>
      <c r="H56" s="8" t="n"/>
      <c r="I56" s="8" t="n"/>
      <c r="J56" s="8" t="n"/>
    </row>
    <row r="57">
      <c r="B57" s="8" t="n"/>
      <c r="C57" s="8" t="n"/>
      <c r="D57" s="8" t="n"/>
      <c r="E57" s="8" t="n"/>
      <c r="F57" s="8" t="n"/>
      <c r="G57" s="8" t="n"/>
      <c r="H57" s="8" t="n"/>
      <c r="I57" s="8" t="n"/>
      <c r="J57" s="8" t="n"/>
    </row>
    <row r="58">
      <c r="B58" s="8" t="n"/>
      <c r="C58" s="8" t="n"/>
      <c r="D58" s="8" t="n"/>
      <c r="E58" s="8" t="n"/>
      <c r="F58" s="8" t="n"/>
      <c r="G58" s="8" t="n"/>
      <c r="H58" s="8" t="n"/>
      <c r="I58" s="8" t="n"/>
      <c r="J58" s="8" t="n"/>
    </row>
    <row r="59">
      <c r="B59" s="8" t="n"/>
      <c r="C59" s="8" t="n"/>
      <c r="D59" s="8" t="n"/>
      <c r="E59" s="8" t="n"/>
      <c r="F59" s="8" t="n"/>
      <c r="G59" s="8" t="n"/>
      <c r="H59" s="8" t="n"/>
      <c r="I59" s="8" t="n"/>
      <c r="J59" s="8" t="n"/>
    </row>
  </sheetData>
  <dataValidations count="2">
    <dataValidation sqref="E7:E59" showDropDown="0" showInputMessage="0" showErrorMessage="0" allowBlank="1" errorTitle="Invalid entry" error="Please select from the dropdown" type="list">
      <formula1>"Low,Medium,High,Urgent"</formula1>
    </dataValidation>
    <dataValidation sqref="I7:I59"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66"/>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34" customWidth="1" min="3" max="3"/>
    <col width="1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1" t="inlineStr">
        <is>
          <t>↑</t>
        </is>
      </c>
      <c r="B1" s="2" t="inlineStr">
        <is>
          <t>2026 Sustainability Report</t>
        </is>
      </c>
    </row>
    <row r="2">
      <c r="B2" s="3" t="inlineStr">
        <is>
          <t>P4. Content contributor checklist</t>
        </is>
      </c>
    </row>
    <row r="4">
      <c r="B4" t="inlineStr">
        <is>
          <t>Stakeholder management for report content: review by contributors, images, credits and captions, post-launch follow-up.</t>
        </is>
      </c>
    </row>
    <row r="6">
      <c r="B6" s="6" t="inlineStr">
        <is>
          <t>Report section</t>
        </is>
      </c>
      <c r="C6" s="6" t="inlineStr">
        <is>
          <t>Case study</t>
        </is>
      </c>
      <c r="D6" s="6" t="inlineStr">
        <is>
          <t>Activity areas</t>
        </is>
      </c>
      <c r="E6" s="6" t="inlineStr">
        <is>
          <t>Review required? (Y/N)</t>
        </is>
      </c>
      <c r="F6" s="6" t="inlineStr">
        <is>
          <t>Content contributors</t>
        </is>
      </c>
      <c r="G6" s="6" t="inlineStr">
        <is>
          <t>Project team liaison</t>
        </is>
      </c>
      <c r="H6" s="6" t="inlineStr">
        <is>
          <t>Sent for review (date)</t>
        </is>
      </c>
      <c r="I6" s="6" t="inlineStr">
        <is>
          <t>Changes required? (Y/N)</t>
        </is>
      </c>
      <c r="J6" s="6" t="inlineStr">
        <is>
          <t>SR26 draft updated? (Y/N)</t>
        </is>
      </c>
      <c r="K6" s="6" t="inlineStr">
        <is>
          <t>SR26 website updated? (Y/N)</t>
        </is>
      </c>
      <c r="L6" s="6" t="inlineStr">
        <is>
          <t>Images shared? (Y/N)</t>
        </is>
      </c>
      <c r="M6" s="6" t="inlineStr">
        <is>
          <t>Image URL</t>
        </is>
      </c>
      <c r="N6" s="6" t="inlineStr">
        <is>
          <t>Known image gap</t>
        </is>
      </c>
      <c r="O6" s="6" t="inlineStr">
        <is>
          <t>Credit noted?</t>
        </is>
      </c>
      <c r="P6" s="6" t="inlineStr">
        <is>
          <t>Caption text</t>
        </is>
      </c>
      <c r="Q6" s="6" t="inlineStr">
        <is>
          <t>Permission to publish confirmed?</t>
        </is>
      </c>
      <c r="R6" s="6" t="inlineStr">
        <is>
          <t>Post-launch: send to</t>
        </is>
      </c>
      <c r="S6" s="6" t="inlineStr">
        <is>
          <t>CC</t>
        </is>
      </c>
      <c r="T6" s="6" t="inlineStr">
        <is>
          <t>Sent (date)</t>
        </is>
      </c>
      <c r="U6" s="6" t="inlineStr">
        <is>
          <t>Complete? (Y/N)</t>
        </is>
      </c>
    </row>
    <row r="7">
      <c r="B7" s="8" t="n"/>
      <c r="C7" s="8" t="n"/>
      <c r="D7" s="8" t="n"/>
      <c r="E7" s="8" t="n"/>
      <c r="F7" s="8" t="n"/>
      <c r="G7" s="8" t="n"/>
      <c r="H7" s="8" t="n"/>
      <c r="I7" s="8" t="n"/>
      <c r="J7" s="8" t="n"/>
      <c r="K7" s="8" t="n"/>
      <c r="L7" s="8" t="n"/>
      <c r="M7" s="8" t="n"/>
      <c r="N7" s="8" t="n"/>
      <c r="O7" s="8" t="n"/>
      <c r="P7" s="8" t="n"/>
      <c r="Q7" s="8" t="n"/>
      <c r="R7" s="8" t="n"/>
      <c r="S7" s="8" t="n"/>
      <c r="T7" s="8" t="n"/>
      <c r="U7" s="8" t="n"/>
    </row>
    <row r="8">
      <c r="B8" s="8" t="n"/>
      <c r="C8" s="8" t="n"/>
      <c r="D8" s="8" t="n"/>
      <c r="E8" s="8" t="n"/>
      <c r="F8" s="8" t="n"/>
      <c r="G8" s="8" t="n"/>
      <c r="H8" s="8" t="n"/>
      <c r="I8" s="8" t="n"/>
      <c r="J8" s="8" t="n"/>
      <c r="K8" s="8" t="n"/>
      <c r="L8" s="8" t="n"/>
      <c r="M8" s="8" t="n"/>
      <c r="N8" s="8" t="n"/>
      <c r="O8" s="8" t="n"/>
      <c r="P8" s="8" t="n"/>
      <c r="Q8" s="8" t="n"/>
      <c r="R8" s="8" t="n"/>
      <c r="S8" s="8" t="n"/>
      <c r="T8" s="8" t="n"/>
      <c r="U8" s="8" t="n"/>
    </row>
    <row r="9">
      <c r="B9" s="8" t="n"/>
      <c r="C9" s="8" t="n"/>
      <c r="D9" s="8" t="n"/>
      <c r="E9" s="8" t="n"/>
      <c r="F9" s="8" t="n"/>
      <c r="G9" s="8" t="n"/>
      <c r="H9" s="8" t="n"/>
      <c r="I9" s="8" t="n"/>
      <c r="J9" s="8" t="n"/>
      <c r="K9" s="8" t="n"/>
      <c r="L9" s="8" t="n"/>
      <c r="M9" s="8" t="n"/>
      <c r="N9" s="8" t="n"/>
      <c r="O9" s="8" t="n"/>
      <c r="P9" s="8" t="n"/>
      <c r="Q9" s="8" t="n"/>
      <c r="R9" s="8" t="n"/>
      <c r="S9" s="8" t="n"/>
      <c r="T9" s="8" t="n"/>
      <c r="U9" s="8" t="n"/>
    </row>
    <row r="10">
      <c r="B10" s="8" t="n"/>
      <c r="C10" s="8" t="n"/>
      <c r="D10" s="8" t="n"/>
      <c r="E10" s="8" t="n"/>
      <c r="F10" s="8" t="n"/>
      <c r="G10" s="8" t="n"/>
      <c r="H10" s="8" t="n"/>
      <c r="I10" s="8" t="n"/>
      <c r="J10" s="8" t="n"/>
      <c r="K10" s="8" t="n"/>
      <c r="L10" s="8" t="n"/>
      <c r="M10" s="8" t="n"/>
      <c r="N10" s="8" t="n"/>
      <c r="O10" s="8" t="n"/>
      <c r="P10" s="8" t="n"/>
      <c r="Q10" s="8" t="n"/>
      <c r="R10" s="8" t="n"/>
      <c r="S10" s="8" t="n"/>
      <c r="T10" s="8" t="n"/>
      <c r="U10" s="8" t="n"/>
    </row>
    <row r="11">
      <c r="B11" s="8" t="n"/>
      <c r="C11" s="8" t="n"/>
      <c r="D11" s="8" t="n"/>
      <c r="E11" s="8" t="n"/>
      <c r="F11" s="8" t="n"/>
      <c r="G11" s="8" t="n"/>
      <c r="H11" s="8" t="n"/>
      <c r="I11" s="8" t="n"/>
      <c r="J11" s="8" t="n"/>
      <c r="K11" s="8" t="n"/>
      <c r="L11" s="8" t="n"/>
      <c r="M11" s="8" t="n"/>
      <c r="N11" s="8" t="n"/>
      <c r="O11" s="8" t="n"/>
      <c r="P11" s="8" t="n"/>
      <c r="Q11" s="8" t="n"/>
      <c r="R11" s="8" t="n"/>
      <c r="S11" s="8" t="n"/>
      <c r="T11" s="8" t="n"/>
      <c r="U11" s="8" t="n"/>
    </row>
    <row r="12">
      <c r="B12" s="8" t="n"/>
      <c r="C12" s="8" t="n"/>
      <c r="D12" s="8" t="n"/>
      <c r="E12" s="8" t="n"/>
      <c r="F12" s="8" t="n"/>
      <c r="G12" s="8" t="n"/>
      <c r="H12" s="8" t="n"/>
      <c r="I12" s="8" t="n"/>
      <c r="J12" s="8" t="n"/>
      <c r="K12" s="8" t="n"/>
      <c r="L12" s="8" t="n"/>
      <c r="M12" s="8" t="n"/>
      <c r="N12" s="8" t="n"/>
      <c r="O12" s="8" t="n"/>
      <c r="P12" s="8" t="n"/>
      <c r="Q12" s="8" t="n"/>
      <c r="R12" s="8" t="n"/>
      <c r="S12" s="8" t="n"/>
      <c r="T12" s="8" t="n"/>
      <c r="U12" s="8" t="n"/>
    </row>
    <row r="13">
      <c r="B13" s="8" t="n"/>
      <c r="C13" s="8" t="n"/>
      <c r="D13" s="8" t="n"/>
      <c r="E13" s="8" t="n"/>
      <c r="F13" s="8" t="n"/>
      <c r="G13" s="8" t="n"/>
      <c r="H13" s="8" t="n"/>
      <c r="I13" s="8" t="n"/>
      <c r="J13" s="8" t="n"/>
      <c r="K13" s="8" t="n"/>
      <c r="L13" s="8" t="n"/>
      <c r="M13" s="8" t="n"/>
      <c r="N13" s="8" t="n"/>
      <c r="O13" s="8" t="n"/>
      <c r="P13" s="8" t="n"/>
      <c r="Q13" s="8" t="n"/>
      <c r="R13" s="8" t="n"/>
      <c r="S13" s="8" t="n"/>
      <c r="T13" s="8" t="n"/>
      <c r="U13" s="8" t="n"/>
    </row>
    <row r="14">
      <c r="B14" s="8" t="n"/>
      <c r="C14" s="8" t="n"/>
      <c r="D14" s="8" t="n"/>
      <c r="E14" s="8" t="n"/>
      <c r="F14" s="8" t="n"/>
      <c r="G14" s="8" t="n"/>
      <c r="H14" s="8" t="n"/>
      <c r="I14" s="8" t="n"/>
      <c r="J14" s="8" t="n"/>
      <c r="K14" s="8" t="n"/>
      <c r="L14" s="8" t="n"/>
      <c r="M14" s="8" t="n"/>
      <c r="N14" s="8" t="n"/>
      <c r="O14" s="8" t="n"/>
      <c r="P14" s="8" t="n"/>
      <c r="Q14" s="8" t="n"/>
      <c r="R14" s="8" t="n"/>
      <c r="S14" s="8" t="n"/>
      <c r="T14" s="8" t="n"/>
      <c r="U14" s="8" t="n"/>
    </row>
    <row r="15">
      <c r="B15" s="8" t="n"/>
      <c r="C15" s="8" t="n"/>
      <c r="D15" s="8" t="n"/>
      <c r="E15" s="8" t="n"/>
      <c r="F15" s="8" t="n"/>
      <c r="G15" s="8" t="n"/>
      <c r="H15" s="8" t="n"/>
      <c r="I15" s="8" t="n"/>
      <c r="J15" s="8" t="n"/>
      <c r="K15" s="8" t="n"/>
      <c r="L15" s="8" t="n"/>
      <c r="M15" s="8" t="n"/>
      <c r="N15" s="8" t="n"/>
      <c r="O15" s="8" t="n"/>
      <c r="P15" s="8" t="n"/>
      <c r="Q15" s="8" t="n"/>
      <c r="R15" s="8" t="n"/>
      <c r="S15" s="8" t="n"/>
      <c r="T15" s="8" t="n"/>
      <c r="U15" s="8" t="n"/>
    </row>
    <row r="16">
      <c r="B16" s="8" t="n"/>
      <c r="C16" s="8" t="n"/>
      <c r="D16" s="8" t="n"/>
      <c r="E16" s="8" t="n"/>
      <c r="F16" s="8" t="n"/>
      <c r="G16" s="8" t="n"/>
      <c r="H16" s="8" t="n"/>
      <c r="I16" s="8" t="n"/>
      <c r="J16" s="8" t="n"/>
      <c r="K16" s="8" t="n"/>
      <c r="L16" s="8" t="n"/>
      <c r="M16" s="8" t="n"/>
      <c r="N16" s="8" t="n"/>
      <c r="O16" s="8" t="n"/>
      <c r="P16" s="8" t="n"/>
      <c r="Q16" s="8" t="n"/>
      <c r="R16" s="8" t="n"/>
      <c r="S16" s="8" t="n"/>
      <c r="T16" s="8" t="n"/>
      <c r="U16" s="8" t="n"/>
    </row>
    <row r="17">
      <c r="B17" s="8" t="n"/>
      <c r="C17" s="8" t="n"/>
      <c r="D17" s="8" t="n"/>
      <c r="E17" s="8" t="n"/>
      <c r="F17" s="8" t="n"/>
      <c r="G17" s="8" t="n"/>
      <c r="H17" s="8" t="n"/>
      <c r="I17" s="8" t="n"/>
      <c r="J17" s="8" t="n"/>
      <c r="K17" s="8" t="n"/>
      <c r="L17" s="8" t="n"/>
      <c r="M17" s="8" t="n"/>
      <c r="N17" s="8" t="n"/>
      <c r="O17" s="8" t="n"/>
      <c r="P17" s="8" t="n"/>
      <c r="Q17" s="8" t="n"/>
      <c r="R17" s="8" t="n"/>
      <c r="S17" s="8" t="n"/>
      <c r="T17" s="8" t="n"/>
      <c r="U17" s="8" t="n"/>
    </row>
    <row r="18">
      <c r="B18" s="8" t="n"/>
      <c r="C18" s="8" t="n"/>
      <c r="D18" s="8" t="n"/>
      <c r="E18" s="8" t="n"/>
      <c r="F18" s="8" t="n"/>
      <c r="G18" s="8" t="n"/>
      <c r="H18" s="8" t="n"/>
      <c r="I18" s="8" t="n"/>
      <c r="J18" s="8" t="n"/>
      <c r="K18" s="8" t="n"/>
      <c r="L18" s="8" t="n"/>
      <c r="M18" s="8" t="n"/>
      <c r="N18" s="8" t="n"/>
      <c r="O18" s="8" t="n"/>
      <c r="P18" s="8" t="n"/>
      <c r="Q18" s="8" t="n"/>
      <c r="R18" s="8" t="n"/>
      <c r="S18" s="8" t="n"/>
      <c r="T18" s="8" t="n"/>
      <c r="U18" s="8" t="n"/>
    </row>
    <row r="19">
      <c r="B19" s="8" t="n"/>
      <c r="C19" s="8" t="n"/>
      <c r="D19" s="8" t="n"/>
      <c r="E19" s="8" t="n"/>
      <c r="F19" s="8" t="n"/>
      <c r="G19" s="8" t="n"/>
      <c r="H19" s="8" t="n"/>
      <c r="I19" s="8" t="n"/>
      <c r="J19" s="8" t="n"/>
      <c r="K19" s="8" t="n"/>
      <c r="L19" s="8" t="n"/>
      <c r="M19" s="8" t="n"/>
      <c r="N19" s="8" t="n"/>
      <c r="O19" s="8" t="n"/>
      <c r="P19" s="8" t="n"/>
      <c r="Q19" s="8" t="n"/>
      <c r="R19" s="8" t="n"/>
      <c r="S19" s="8" t="n"/>
      <c r="T19" s="8" t="n"/>
      <c r="U19" s="8" t="n"/>
    </row>
    <row r="20">
      <c r="B20" s="8" t="n"/>
      <c r="C20" s="8" t="n"/>
      <c r="D20" s="8" t="n"/>
      <c r="E20" s="8" t="n"/>
      <c r="F20" s="8" t="n"/>
      <c r="G20" s="8" t="n"/>
      <c r="H20" s="8" t="n"/>
      <c r="I20" s="8" t="n"/>
      <c r="J20" s="8" t="n"/>
      <c r="K20" s="8" t="n"/>
      <c r="L20" s="8" t="n"/>
      <c r="M20" s="8" t="n"/>
      <c r="N20" s="8" t="n"/>
      <c r="O20" s="8" t="n"/>
      <c r="P20" s="8" t="n"/>
      <c r="Q20" s="8" t="n"/>
      <c r="R20" s="8" t="n"/>
      <c r="S20" s="8" t="n"/>
      <c r="T20" s="8" t="n"/>
      <c r="U20" s="8" t="n"/>
    </row>
    <row r="21">
      <c r="B21" s="8" t="n"/>
      <c r="C21" s="8" t="n"/>
      <c r="D21" s="8" t="n"/>
      <c r="E21" s="8" t="n"/>
      <c r="F21" s="8" t="n"/>
      <c r="G21" s="8" t="n"/>
      <c r="H21" s="8" t="n"/>
      <c r="I21" s="8" t="n"/>
      <c r="J21" s="8" t="n"/>
      <c r="K21" s="8" t="n"/>
      <c r="L21" s="8" t="n"/>
      <c r="M21" s="8" t="n"/>
      <c r="N21" s="8" t="n"/>
      <c r="O21" s="8" t="n"/>
      <c r="P21" s="8" t="n"/>
      <c r="Q21" s="8" t="n"/>
      <c r="R21" s="8" t="n"/>
      <c r="S21" s="8" t="n"/>
      <c r="T21" s="8" t="n"/>
      <c r="U21" s="8" t="n"/>
    </row>
    <row r="22">
      <c r="B22" s="8" t="n"/>
      <c r="C22" s="8" t="n"/>
      <c r="D22" s="8" t="n"/>
      <c r="E22" s="8" t="n"/>
      <c r="F22" s="8" t="n"/>
      <c r="G22" s="8" t="n"/>
      <c r="H22" s="8" t="n"/>
      <c r="I22" s="8" t="n"/>
      <c r="J22" s="8" t="n"/>
      <c r="K22" s="8" t="n"/>
      <c r="L22" s="8" t="n"/>
      <c r="M22" s="8" t="n"/>
      <c r="N22" s="8" t="n"/>
      <c r="O22" s="8" t="n"/>
      <c r="P22" s="8" t="n"/>
      <c r="Q22" s="8" t="n"/>
      <c r="R22" s="8" t="n"/>
      <c r="S22" s="8" t="n"/>
      <c r="T22" s="8" t="n"/>
      <c r="U22" s="8" t="n"/>
    </row>
    <row r="23">
      <c r="B23" s="8" t="n"/>
      <c r="C23" s="8" t="n"/>
      <c r="D23" s="8" t="n"/>
      <c r="E23" s="8" t="n"/>
      <c r="F23" s="8" t="n"/>
      <c r="G23" s="8" t="n"/>
      <c r="H23" s="8" t="n"/>
      <c r="I23" s="8" t="n"/>
      <c r="J23" s="8" t="n"/>
      <c r="K23" s="8" t="n"/>
      <c r="L23" s="8" t="n"/>
      <c r="M23" s="8" t="n"/>
      <c r="N23" s="8" t="n"/>
      <c r="O23" s="8" t="n"/>
      <c r="P23" s="8" t="n"/>
      <c r="Q23" s="8" t="n"/>
      <c r="R23" s="8" t="n"/>
      <c r="S23" s="8" t="n"/>
      <c r="T23" s="8" t="n"/>
      <c r="U23" s="8" t="n"/>
    </row>
    <row r="24">
      <c r="B24" s="8" t="n"/>
      <c r="C24" s="8" t="n"/>
      <c r="D24" s="8" t="n"/>
      <c r="E24" s="8" t="n"/>
      <c r="F24" s="8" t="n"/>
      <c r="G24" s="8" t="n"/>
      <c r="H24" s="8" t="n"/>
      <c r="I24" s="8" t="n"/>
      <c r="J24" s="8" t="n"/>
      <c r="K24" s="8" t="n"/>
      <c r="L24" s="8" t="n"/>
      <c r="M24" s="8" t="n"/>
      <c r="N24" s="8" t="n"/>
      <c r="O24" s="8" t="n"/>
      <c r="P24" s="8" t="n"/>
      <c r="Q24" s="8" t="n"/>
      <c r="R24" s="8" t="n"/>
      <c r="S24" s="8" t="n"/>
      <c r="T24" s="8" t="n"/>
      <c r="U24" s="8" t="n"/>
    </row>
    <row r="25">
      <c r="B25" s="8" t="n"/>
      <c r="C25" s="8" t="n"/>
      <c r="D25" s="8" t="n"/>
      <c r="E25" s="8" t="n"/>
      <c r="F25" s="8" t="n"/>
      <c r="G25" s="8" t="n"/>
      <c r="H25" s="8" t="n"/>
      <c r="I25" s="8" t="n"/>
      <c r="J25" s="8" t="n"/>
      <c r="K25" s="8" t="n"/>
      <c r="L25" s="8" t="n"/>
      <c r="M25" s="8" t="n"/>
      <c r="N25" s="8" t="n"/>
      <c r="O25" s="8" t="n"/>
      <c r="P25" s="8" t="n"/>
      <c r="Q25" s="8" t="n"/>
      <c r="R25" s="8" t="n"/>
      <c r="S25" s="8" t="n"/>
      <c r="T25" s="8" t="n"/>
      <c r="U25" s="8" t="n"/>
    </row>
    <row r="26">
      <c r="B26" s="8" t="n"/>
      <c r="C26" s="8" t="n"/>
      <c r="D26" s="8" t="n"/>
      <c r="E26" s="8" t="n"/>
      <c r="F26" s="8" t="n"/>
      <c r="G26" s="8" t="n"/>
      <c r="H26" s="8" t="n"/>
      <c r="I26" s="8" t="n"/>
      <c r="J26" s="8" t="n"/>
      <c r="K26" s="8" t="n"/>
      <c r="L26" s="8" t="n"/>
      <c r="M26" s="8" t="n"/>
      <c r="N26" s="8" t="n"/>
      <c r="O26" s="8" t="n"/>
      <c r="P26" s="8" t="n"/>
      <c r="Q26" s="8" t="n"/>
      <c r="R26" s="8" t="n"/>
      <c r="S26" s="8" t="n"/>
      <c r="T26" s="8" t="n"/>
      <c r="U26" s="8" t="n"/>
    </row>
    <row r="27">
      <c r="B27" s="8" t="n"/>
      <c r="C27" s="8" t="n"/>
      <c r="D27" s="8" t="n"/>
      <c r="E27" s="8" t="n"/>
      <c r="F27" s="8" t="n"/>
      <c r="G27" s="8" t="n"/>
      <c r="H27" s="8" t="n"/>
      <c r="I27" s="8" t="n"/>
      <c r="J27" s="8" t="n"/>
      <c r="K27" s="8" t="n"/>
      <c r="L27" s="8" t="n"/>
      <c r="M27" s="8" t="n"/>
      <c r="N27" s="8" t="n"/>
      <c r="O27" s="8" t="n"/>
      <c r="P27" s="8" t="n"/>
      <c r="Q27" s="8" t="n"/>
      <c r="R27" s="8" t="n"/>
      <c r="S27" s="8" t="n"/>
      <c r="T27" s="8" t="n"/>
      <c r="U27" s="8" t="n"/>
    </row>
    <row r="28">
      <c r="B28" s="8" t="n"/>
      <c r="C28" s="8" t="n"/>
      <c r="D28" s="8" t="n"/>
      <c r="E28" s="8" t="n"/>
      <c r="F28" s="8" t="n"/>
      <c r="G28" s="8" t="n"/>
      <c r="H28" s="8" t="n"/>
      <c r="I28" s="8" t="n"/>
      <c r="J28" s="8" t="n"/>
      <c r="K28" s="8" t="n"/>
      <c r="L28" s="8" t="n"/>
      <c r="M28" s="8" t="n"/>
      <c r="N28" s="8" t="n"/>
      <c r="O28" s="8" t="n"/>
      <c r="P28" s="8" t="n"/>
      <c r="Q28" s="8" t="n"/>
      <c r="R28" s="8" t="n"/>
      <c r="S28" s="8" t="n"/>
      <c r="T28" s="8" t="n"/>
      <c r="U28" s="8" t="n"/>
    </row>
    <row r="29">
      <c r="B29" s="8" t="n"/>
      <c r="C29" s="8" t="n"/>
      <c r="D29" s="8" t="n"/>
      <c r="E29" s="8" t="n"/>
      <c r="F29" s="8" t="n"/>
      <c r="G29" s="8" t="n"/>
      <c r="H29" s="8" t="n"/>
      <c r="I29" s="8" t="n"/>
      <c r="J29" s="8" t="n"/>
      <c r="K29" s="8" t="n"/>
      <c r="L29" s="8" t="n"/>
      <c r="M29" s="8" t="n"/>
      <c r="N29" s="8" t="n"/>
      <c r="O29" s="8" t="n"/>
      <c r="P29" s="8" t="n"/>
      <c r="Q29" s="8" t="n"/>
      <c r="R29" s="8" t="n"/>
      <c r="S29" s="8" t="n"/>
      <c r="T29" s="8" t="n"/>
      <c r="U29" s="8" t="n"/>
    </row>
    <row r="30">
      <c r="B30" s="8" t="n"/>
      <c r="C30" s="8" t="n"/>
      <c r="D30" s="8" t="n"/>
      <c r="E30" s="8" t="n"/>
      <c r="F30" s="8" t="n"/>
      <c r="G30" s="8" t="n"/>
      <c r="H30" s="8" t="n"/>
      <c r="I30" s="8" t="n"/>
      <c r="J30" s="8" t="n"/>
      <c r="K30" s="8" t="n"/>
      <c r="L30" s="8" t="n"/>
      <c r="M30" s="8" t="n"/>
      <c r="N30" s="8" t="n"/>
      <c r="O30" s="8" t="n"/>
      <c r="P30" s="8" t="n"/>
      <c r="Q30" s="8" t="n"/>
      <c r="R30" s="8" t="n"/>
      <c r="S30" s="8" t="n"/>
      <c r="T30" s="8" t="n"/>
      <c r="U30" s="8" t="n"/>
    </row>
    <row r="31">
      <c r="B31" s="8" t="n"/>
      <c r="C31" s="8" t="n"/>
      <c r="D31" s="8" t="n"/>
      <c r="E31" s="8" t="n"/>
      <c r="F31" s="8" t="n"/>
      <c r="G31" s="8" t="n"/>
      <c r="H31" s="8" t="n"/>
      <c r="I31" s="8" t="n"/>
      <c r="J31" s="8" t="n"/>
      <c r="K31" s="8" t="n"/>
      <c r="L31" s="8" t="n"/>
      <c r="M31" s="8" t="n"/>
      <c r="N31" s="8" t="n"/>
      <c r="O31" s="8" t="n"/>
      <c r="P31" s="8" t="n"/>
      <c r="Q31" s="8" t="n"/>
      <c r="R31" s="8" t="n"/>
      <c r="S31" s="8" t="n"/>
      <c r="T31" s="8" t="n"/>
      <c r="U31" s="8" t="n"/>
    </row>
    <row r="32">
      <c r="B32" s="8" t="n"/>
      <c r="C32" s="8" t="n"/>
      <c r="D32" s="8" t="n"/>
      <c r="E32" s="8" t="n"/>
      <c r="F32" s="8" t="n"/>
      <c r="G32" s="8" t="n"/>
      <c r="H32" s="8" t="n"/>
      <c r="I32" s="8" t="n"/>
      <c r="J32" s="8" t="n"/>
      <c r="K32" s="8" t="n"/>
      <c r="L32" s="8" t="n"/>
      <c r="M32" s="8" t="n"/>
      <c r="N32" s="8" t="n"/>
      <c r="O32" s="8" t="n"/>
      <c r="P32" s="8" t="n"/>
      <c r="Q32" s="8" t="n"/>
      <c r="R32" s="8" t="n"/>
      <c r="S32" s="8" t="n"/>
      <c r="T32" s="8" t="n"/>
      <c r="U32" s="8" t="n"/>
    </row>
    <row r="33">
      <c r="B33" s="8" t="n"/>
      <c r="C33" s="8" t="n"/>
      <c r="D33" s="8" t="n"/>
      <c r="E33" s="8" t="n"/>
      <c r="F33" s="8" t="n"/>
      <c r="G33" s="8" t="n"/>
      <c r="H33" s="8" t="n"/>
      <c r="I33" s="8" t="n"/>
      <c r="J33" s="8" t="n"/>
      <c r="K33" s="8" t="n"/>
      <c r="L33" s="8" t="n"/>
      <c r="M33" s="8" t="n"/>
      <c r="N33" s="8" t="n"/>
      <c r="O33" s="8" t="n"/>
      <c r="P33" s="8" t="n"/>
      <c r="Q33" s="8" t="n"/>
      <c r="R33" s="8" t="n"/>
      <c r="S33" s="8" t="n"/>
      <c r="T33" s="8" t="n"/>
      <c r="U33" s="8" t="n"/>
    </row>
    <row r="34">
      <c r="B34" s="8" t="n"/>
      <c r="C34" s="8" t="n"/>
      <c r="D34" s="8" t="n"/>
      <c r="E34" s="8" t="n"/>
      <c r="F34" s="8" t="n"/>
      <c r="G34" s="8" t="n"/>
      <c r="H34" s="8" t="n"/>
      <c r="I34" s="8" t="n"/>
      <c r="J34" s="8" t="n"/>
      <c r="K34" s="8" t="n"/>
      <c r="L34" s="8" t="n"/>
      <c r="M34" s="8" t="n"/>
      <c r="N34" s="8" t="n"/>
      <c r="O34" s="8" t="n"/>
      <c r="P34" s="8" t="n"/>
      <c r="Q34" s="8" t="n"/>
      <c r="R34" s="8" t="n"/>
      <c r="S34" s="8" t="n"/>
      <c r="T34" s="8" t="n"/>
      <c r="U34" s="8" t="n"/>
    </row>
    <row r="35">
      <c r="B35" s="8" t="n"/>
      <c r="C35" s="8" t="n"/>
      <c r="D35" s="8" t="n"/>
      <c r="E35" s="8" t="n"/>
      <c r="F35" s="8" t="n"/>
      <c r="G35" s="8" t="n"/>
      <c r="H35" s="8" t="n"/>
      <c r="I35" s="8" t="n"/>
      <c r="J35" s="8" t="n"/>
      <c r="K35" s="8" t="n"/>
      <c r="L35" s="8" t="n"/>
      <c r="M35" s="8" t="n"/>
      <c r="N35" s="8" t="n"/>
      <c r="O35" s="8" t="n"/>
      <c r="P35" s="8" t="n"/>
      <c r="Q35" s="8" t="n"/>
      <c r="R35" s="8" t="n"/>
      <c r="S35" s="8" t="n"/>
      <c r="T35" s="8" t="n"/>
      <c r="U35" s="8" t="n"/>
    </row>
    <row r="36">
      <c r="B36" s="8" t="n"/>
      <c r="C36" s="8" t="n"/>
      <c r="D36" s="8" t="n"/>
      <c r="E36" s="8" t="n"/>
      <c r="F36" s="8" t="n"/>
      <c r="G36" s="8" t="n"/>
      <c r="H36" s="8" t="n"/>
      <c r="I36" s="8" t="n"/>
      <c r="J36" s="8" t="n"/>
      <c r="K36" s="8" t="n"/>
      <c r="L36" s="8" t="n"/>
      <c r="M36" s="8" t="n"/>
      <c r="N36" s="8" t="n"/>
      <c r="O36" s="8" t="n"/>
      <c r="P36" s="8" t="n"/>
      <c r="Q36" s="8" t="n"/>
      <c r="R36" s="8" t="n"/>
      <c r="S36" s="8" t="n"/>
      <c r="T36" s="8" t="n"/>
      <c r="U36" s="8" t="n"/>
    </row>
    <row r="37">
      <c r="B37" s="8" t="n"/>
      <c r="C37" s="8" t="n"/>
      <c r="D37" s="8" t="n"/>
      <c r="E37" s="8" t="n"/>
      <c r="F37" s="8" t="n"/>
      <c r="G37" s="8" t="n"/>
      <c r="H37" s="8" t="n"/>
      <c r="I37" s="8" t="n"/>
      <c r="J37" s="8" t="n"/>
      <c r="K37" s="8" t="n"/>
      <c r="L37" s="8" t="n"/>
      <c r="M37" s="8" t="n"/>
      <c r="N37" s="8" t="n"/>
      <c r="O37" s="8" t="n"/>
      <c r="P37" s="8" t="n"/>
      <c r="Q37" s="8" t="n"/>
      <c r="R37" s="8" t="n"/>
      <c r="S37" s="8" t="n"/>
      <c r="T37" s="8" t="n"/>
      <c r="U37" s="8" t="n"/>
    </row>
    <row r="38">
      <c r="B38" s="8" t="n"/>
      <c r="C38" s="8" t="n"/>
      <c r="D38" s="8" t="n"/>
      <c r="E38" s="8" t="n"/>
      <c r="F38" s="8" t="n"/>
      <c r="G38" s="8" t="n"/>
      <c r="H38" s="8" t="n"/>
      <c r="I38" s="8" t="n"/>
      <c r="J38" s="8" t="n"/>
      <c r="K38" s="8" t="n"/>
      <c r="L38" s="8" t="n"/>
      <c r="M38" s="8" t="n"/>
      <c r="N38" s="8" t="n"/>
      <c r="O38" s="8" t="n"/>
      <c r="P38" s="8" t="n"/>
      <c r="Q38" s="8" t="n"/>
      <c r="R38" s="8" t="n"/>
      <c r="S38" s="8" t="n"/>
      <c r="T38" s="8" t="n"/>
      <c r="U38" s="8" t="n"/>
    </row>
    <row r="39">
      <c r="B39" s="8" t="n"/>
      <c r="C39" s="8" t="n"/>
      <c r="D39" s="8" t="n"/>
      <c r="E39" s="8" t="n"/>
      <c r="F39" s="8" t="n"/>
      <c r="G39" s="8" t="n"/>
      <c r="H39" s="8" t="n"/>
      <c r="I39" s="8" t="n"/>
      <c r="J39" s="8" t="n"/>
      <c r="K39" s="8" t="n"/>
      <c r="L39" s="8" t="n"/>
      <c r="M39" s="8" t="n"/>
      <c r="N39" s="8" t="n"/>
      <c r="O39" s="8" t="n"/>
      <c r="P39" s="8" t="n"/>
      <c r="Q39" s="8" t="n"/>
      <c r="R39" s="8" t="n"/>
      <c r="S39" s="8" t="n"/>
      <c r="T39" s="8" t="n"/>
      <c r="U39" s="8" t="n"/>
    </row>
    <row r="40">
      <c r="B40" s="8" t="n"/>
      <c r="C40" s="8" t="n"/>
      <c r="D40" s="8" t="n"/>
      <c r="E40" s="8" t="n"/>
      <c r="F40" s="8" t="n"/>
      <c r="G40" s="8" t="n"/>
      <c r="H40" s="8" t="n"/>
      <c r="I40" s="8" t="n"/>
      <c r="J40" s="8" t="n"/>
      <c r="K40" s="8" t="n"/>
      <c r="L40" s="8" t="n"/>
      <c r="M40" s="8" t="n"/>
      <c r="N40" s="8" t="n"/>
      <c r="O40" s="8" t="n"/>
      <c r="P40" s="8" t="n"/>
      <c r="Q40" s="8" t="n"/>
      <c r="R40" s="8" t="n"/>
      <c r="S40" s="8" t="n"/>
      <c r="T40" s="8" t="n"/>
      <c r="U40" s="8" t="n"/>
    </row>
    <row r="41">
      <c r="B41" s="8" t="n"/>
      <c r="C41" s="8" t="n"/>
      <c r="D41" s="8" t="n"/>
      <c r="E41" s="8" t="n"/>
      <c r="F41" s="8" t="n"/>
      <c r="G41" s="8" t="n"/>
      <c r="H41" s="8" t="n"/>
      <c r="I41" s="8" t="n"/>
      <c r="J41" s="8" t="n"/>
      <c r="K41" s="8" t="n"/>
      <c r="L41" s="8" t="n"/>
      <c r="M41" s="8" t="n"/>
      <c r="N41" s="8" t="n"/>
      <c r="O41" s="8" t="n"/>
      <c r="P41" s="8" t="n"/>
      <c r="Q41" s="8" t="n"/>
      <c r="R41" s="8" t="n"/>
      <c r="S41" s="8" t="n"/>
      <c r="T41" s="8" t="n"/>
      <c r="U41" s="8" t="n"/>
    </row>
    <row r="42">
      <c r="B42" s="8" t="n"/>
      <c r="C42" s="8" t="n"/>
      <c r="D42" s="8" t="n"/>
      <c r="E42" s="8" t="n"/>
      <c r="F42" s="8" t="n"/>
      <c r="G42" s="8" t="n"/>
      <c r="H42" s="8" t="n"/>
      <c r="I42" s="8" t="n"/>
      <c r="J42" s="8" t="n"/>
      <c r="K42" s="8" t="n"/>
      <c r="L42" s="8" t="n"/>
      <c r="M42" s="8" t="n"/>
      <c r="N42" s="8" t="n"/>
      <c r="O42" s="8" t="n"/>
      <c r="P42" s="8" t="n"/>
      <c r="Q42" s="8" t="n"/>
      <c r="R42" s="8" t="n"/>
      <c r="S42" s="8" t="n"/>
      <c r="T42" s="8" t="n"/>
      <c r="U42" s="8" t="n"/>
    </row>
    <row r="43">
      <c r="B43" s="8" t="n"/>
      <c r="C43" s="8" t="n"/>
      <c r="D43" s="8" t="n"/>
      <c r="E43" s="8" t="n"/>
      <c r="F43" s="8" t="n"/>
      <c r="G43" s="8" t="n"/>
      <c r="H43" s="8" t="n"/>
      <c r="I43" s="8" t="n"/>
      <c r="J43" s="8" t="n"/>
      <c r="K43" s="8" t="n"/>
      <c r="L43" s="8" t="n"/>
      <c r="M43" s="8" t="n"/>
      <c r="N43" s="8" t="n"/>
      <c r="O43" s="8" t="n"/>
      <c r="P43" s="8" t="n"/>
      <c r="Q43" s="8" t="n"/>
      <c r="R43" s="8" t="n"/>
      <c r="S43" s="8" t="n"/>
      <c r="T43" s="8" t="n"/>
      <c r="U43" s="8" t="n"/>
    </row>
    <row r="44">
      <c r="B44" s="8" t="n"/>
      <c r="C44" s="8" t="n"/>
      <c r="D44" s="8" t="n"/>
      <c r="E44" s="8" t="n"/>
      <c r="F44" s="8" t="n"/>
      <c r="G44" s="8" t="n"/>
      <c r="H44" s="8" t="n"/>
      <c r="I44" s="8" t="n"/>
      <c r="J44" s="8" t="n"/>
      <c r="K44" s="8" t="n"/>
      <c r="L44" s="8" t="n"/>
      <c r="M44" s="8" t="n"/>
      <c r="N44" s="8" t="n"/>
      <c r="O44" s="8" t="n"/>
      <c r="P44" s="8" t="n"/>
      <c r="Q44" s="8" t="n"/>
      <c r="R44" s="8" t="n"/>
      <c r="S44" s="8" t="n"/>
      <c r="T44" s="8" t="n"/>
      <c r="U44" s="8" t="n"/>
    </row>
    <row r="45">
      <c r="B45" s="8" t="n"/>
      <c r="C45" s="8" t="n"/>
      <c r="D45" s="8" t="n"/>
      <c r="E45" s="8" t="n"/>
      <c r="F45" s="8" t="n"/>
      <c r="G45" s="8" t="n"/>
      <c r="H45" s="8" t="n"/>
      <c r="I45" s="8" t="n"/>
      <c r="J45" s="8" t="n"/>
      <c r="K45" s="8" t="n"/>
      <c r="L45" s="8" t="n"/>
      <c r="M45" s="8" t="n"/>
      <c r="N45" s="8" t="n"/>
      <c r="O45" s="8" t="n"/>
      <c r="P45" s="8" t="n"/>
      <c r="Q45" s="8" t="n"/>
      <c r="R45" s="8" t="n"/>
      <c r="S45" s="8" t="n"/>
      <c r="T45" s="8" t="n"/>
      <c r="U45" s="8" t="n"/>
    </row>
    <row r="46">
      <c r="B46" s="8" t="n"/>
      <c r="C46" s="8" t="n"/>
      <c r="D46" s="8" t="n"/>
      <c r="E46" s="8" t="n"/>
      <c r="F46" s="8" t="n"/>
      <c r="G46" s="8" t="n"/>
      <c r="H46" s="8" t="n"/>
      <c r="I46" s="8" t="n"/>
      <c r="J46" s="8" t="n"/>
      <c r="K46" s="8" t="n"/>
      <c r="L46" s="8" t="n"/>
      <c r="M46" s="8" t="n"/>
      <c r="N46" s="8" t="n"/>
      <c r="O46" s="8" t="n"/>
      <c r="P46" s="8" t="n"/>
      <c r="Q46" s="8" t="n"/>
      <c r="R46" s="8" t="n"/>
      <c r="S46" s="8" t="n"/>
      <c r="T46" s="8" t="n"/>
      <c r="U46" s="8" t="n"/>
    </row>
    <row r="47">
      <c r="B47" s="8" t="n"/>
      <c r="C47" s="8" t="n"/>
      <c r="D47" s="8" t="n"/>
      <c r="E47" s="8" t="n"/>
      <c r="F47" s="8" t="n"/>
      <c r="G47" s="8" t="n"/>
      <c r="H47" s="8" t="n"/>
      <c r="I47" s="8" t="n"/>
      <c r="J47" s="8" t="n"/>
      <c r="K47" s="8" t="n"/>
      <c r="L47" s="8" t="n"/>
      <c r="M47" s="8" t="n"/>
      <c r="N47" s="8" t="n"/>
      <c r="O47" s="8" t="n"/>
      <c r="P47" s="8" t="n"/>
      <c r="Q47" s="8" t="n"/>
      <c r="R47" s="8" t="n"/>
      <c r="S47" s="8" t="n"/>
      <c r="T47" s="8" t="n"/>
      <c r="U47" s="8" t="n"/>
    </row>
    <row r="48">
      <c r="B48" s="8" t="n"/>
      <c r="C48" s="8" t="n"/>
      <c r="D48" s="8" t="n"/>
      <c r="E48" s="8" t="n"/>
      <c r="F48" s="8" t="n"/>
      <c r="G48" s="8" t="n"/>
      <c r="H48" s="8" t="n"/>
      <c r="I48" s="8" t="n"/>
      <c r="J48" s="8" t="n"/>
      <c r="K48" s="8" t="n"/>
      <c r="L48" s="8" t="n"/>
      <c r="M48" s="8" t="n"/>
      <c r="N48" s="8" t="n"/>
      <c r="O48" s="8" t="n"/>
      <c r="P48" s="8" t="n"/>
      <c r="Q48" s="8" t="n"/>
      <c r="R48" s="8" t="n"/>
      <c r="S48" s="8" t="n"/>
      <c r="T48" s="8" t="n"/>
      <c r="U48" s="8" t="n"/>
    </row>
    <row r="49">
      <c r="B49" s="8" t="n"/>
      <c r="C49" s="8" t="n"/>
      <c r="D49" s="8" t="n"/>
      <c r="E49" s="8" t="n"/>
      <c r="F49" s="8" t="n"/>
      <c r="G49" s="8" t="n"/>
      <c r="H49" s="8" t="n"/>
      <c r="I49" s="8" t="n"/>
      <c r="J49" s="8" t="n"/>
      <c r="K49" s="8" t="n"/>
      <c r="L49" s="8" t="n"/>
      <c r="M49" s="8" t="n"/>
      <c r="N49" s="8" t="n"/>
      <c r="O49" s="8" t="n"/>
      <c r="P49" s="8" t="n"/>
      <c r="Q49" s="8" t="n"/>
      <c r="R49" s="8" t="n"/>
      <c r="S49" s="8" t="n"/>
      <c r="T49" s="8" t="n"/>
      <c r="U49" s="8" t="n"/>
    </row>
    <row r="50">
      <c r="B50" s="8" t="n"/>
      <c r="C50" s="8" t="n"/>
      <c r="D50" s="8" t="n"/>
      <c r="E50" s="8" t="n"/>
      <c r="F50" s="8" t="n"/>
      <c r="G50" s="8" t="n"/>
      <c r="H50" s="8" t="n"/>
      <c r="I50" s="8" t="n"/>
      <c r="J50" s="8" t="n"/>
      <c r="K50" s="8" t="n"/>
      <c r="L50" s="8" t="n"/>
      <c r="M50" s="8" t="n"/>
      <c r="N50" s="8" t="n"/>
      <c r="O50" s="8" t="n"/>
      <c r="P50" s="8" t="n"/>
      <c r="Q50" s="8" t="n"/>
      <c r="R50" s="8" t="n"/>
      <c r="S50" s="8" t="n"/>
      <c r="T50" s="8" t="n"/>
      <c r="U50" s="8" t="n"/>
    </row>
    <row r="51">
      <c r="B51" s="8" t="n"/>
      <c r="C51" s="8" t="n"/>
      <c r="D51" s="8" t="n"/>
      <c r="E51" s="8" t="n"/>
      <c r="F51" s="8" t="n"/>
      <c r="G51" s="8" t="n"/>
      <c r="H51" s="8" t="n"/>
      <c r="I51" s="8" t="n"/>
      <c r="J51" s="8" t="n"/>
      <c r="K51" s="8" t="n"/>
      <c r="L51" s="8" t="n"/>
      <c r="M51" s="8" t="n"/>
      <c r="N51" s="8" t="n"/>
      <c r="O51" s="8" t="n"/>
      <c r="P51" s="8" t="n"/>
      <c r="Q51" s="8" t="n"/>
      <c r="R51" s="8" t="n"/>
      <c r="S51" s="8" t="n"/>
      <c r="T51" s="8" t="n"/>
      <c r="U51" s="8" t="n"/>
    </row>
    <row r="52">
      <c r="B52" s="8" t="n"/>
      <c r="C52" s="8" t="n"/>
      <c r="D52" s="8" t="n"/>
      <c r="E52" s="8" t="n"/>
      <c r="F52" s="8" t="n"/>
      <c r="G52" s="8" t="n"/>
      <c r="H52" s="8" t="n"/>
      <c r="I52" s="8" t="n"/>
      <c r="J52" s="8" t="n"/>
      <c r="K52" s="8" t="n"/>
      <c r="L52" s="8" t="n"/>
      <c r="M52" s="8" t="n"/>
      <c r="N52" s="8" t="n"/>
      <c r="O52" s="8" t="n"/>
      <c r="P52" s="8" t="n"/>
      <c r="Q52" s="8" t="n"/>
      <c r="R52" s="8" t="n"/>
      <c r="S52" s="8" t="n"/>
      <c r="T52" s="8" t="n"/>
      <c r="U52" s="8" t="n"/>
    </row>
    <row r="53">
      <c r="B53" s="8" t="n"/>
      <c r="C53" s="8" t="n"/>
      <c r="D53" s="8" t="n"/>
      <c r="E53" s="8" t="n"/>
      <c r="F53" s="8" t="n"/>
      <c r="G53" s="8" t="n"/>
      <c r="H53" s="8" t="n"/>
      <c r="I53" s="8" t="n"/>
      <c r="J53" s="8" t="n"/>
      <c r="K53" s="8" t="n"/>
      <c r="L53" s="8" t="n"/>
      <c r="M53" s="8" t="n"/>
      <c r="N53" s="8" t="n"/>
      <c r="O53" s="8" t="n"/>
      <c r="P53" s="8" t="n"/>
      <c r="Q53" s="8" t="n"/>
      <c r="R53" s="8" t="n"/>
      <c r="S53" s="8" t="n"/>
      <c r="T53" s="8" t="n"/>
      <c r="U53" s="8" t="n"/>
    </row>
    <row r="54">
      <c r="B54" s="8" t="n"/>
      <c r="C54" s="8" t="n"/>
      <c r="D54" s="8" t="n"/>
      <c r="E54" s="8" t="n"/>
      <c r="F54" s="8" t="n"/>
      <c r="G54" s="8" t="n"/>
      <c r="H54" s="8" t="n"/>
      <c r="I54" s="8" t="n"/>
      <c r="J54" s="8" t="n"/>
      <c r="K54" s="8" t="n"/>
      <c r="L54" s="8" t="n"/>
      <c r="M54" s="8" t="n"/>
      <c r="N54" s="8" t="n"/>
      <c r="O54" s="8" t="n"/>
      <c r="P54" s="8" t="n"/>
      <c r="Q54" s="8" t="n"/>
      <c r="R54" s="8" t="n"/>
      <c r="S54" s="8" t="n"/>
      <c r="T54" s="8" t="n"/>
      <c r="U54" s="8" t="n"/>
    </row>
    <row r="55">
      <c r="B55" s="8" t="n"/>
      <c r="C55" s="8" t="n"/>
      <c r="D55" s="8" t="n"/>
      <c r="E55" s="8" t="n"/>
      <c r="F55" s="8" t="n"/>
      <c r="G55" s="8" t="n"/>
      <c r="H55" s="8" t="n"/>
      <c r="I55" s="8" t="n"/>
      <c r="J55" s="8" t="n"/>
      <c r="K55" s="8" t="n"/>
      <c r="L55" s="8" t="n"/>
      <c r="M55" s="8" t="n"/>
      <c r="N55" s="8" t="n"/>
      <c r="O55" s="8" t="n"/>
      <c r="P55" s="8" t="n"/>
      <c r="Q55" s="8" t="n"/>
      <c r="R55" s="8" t="n"/>
      <c r="S55" s="8" t="n"/>
      <c r="T55" s="8" t="n"/>
      <c r="U55" s="8" t="n"/>
    </row>
    <row r="56">
      <c r="B56" s="8" t="n"/>
      <c r="C56" s="8" t="n"/>
      <c r="D56" s="8" t="n"/>
      <c r="E56" s="8" t="n"/>
      <c r="F56" s="8" t="n"/>
      <c r="G56" s="8" t="n"/>
      <c r="H56" s="8" t="n"/>
      <c r="I56" s="8" t="n"/>
      <c r="J56" s="8" t="n"/>
      <c r="K56" s="8" t="n"/>
      <c r="L56" s="8" t="n"/>
      <c r="M56" s="8" t="n"/>
      <c r="N56" s="8" t="n"/>
      <c r="O56" s="8" t="n"/>
      <c r="P56" s="8" t="n"/>
      <c r="Q56" s="8" t="n"/>
      <c r="R56" s="8" t="n"/>
      <c r="S56" s="8" t="n"/>
      <c r="T56" s="8" t="n"/>
      <c r="U56" s="8" t="n"/>
    </row>
    <row r="57">
      <c r="B57" s="8" t="n"/>
      <c r="C57" s="8" t="n"/>
      <c r="D57" s="8" t="n"/>
      <c r="E57" s="8" t="n"/>
      <c r="F57" s="8" t="n"/>
      <c r="G57" s="8" t="n"/>
      <c r="H57" s="8" t="n"/>
      <c r="I57" s="8" t="n"/>
      <c r="J57" s="8" t="n"/>
      <c r="K57" s="8" t="n"/>
      <c r="L57" s="8" t="n"/>
      <c r="M57" s="8" t="n"/>
      <c r="N57" s="8" t="n"/>
      <c r="O57" s="8" t="n"/>
      <c r="P57" s="8" t="n"/>
      <c r="Q57" s="8" t="n"/>
      <c r="R57" s="8" t="n"/>
      <c r="S57" s="8" t="n"/>
      <c r="T57" s="8" t="n"/>
      <c r="U57" s="8" t="n"/>
    </row>
    <row r="58">
      <c r="B58" s="8" t="n"/>
      <c r="C58" s="8" t="n"/>
      <c r="D58" s="8" t="n"/>
      <c r="E58" s="8" t="n"/>
      <c r="F58" s="8" t="n"/>
      <c r="G58" s="8" t="n"/>
      <c r="H58" s="8" t="n"/>
      <c r="I58" s="8" t="n"/>
      <c r="J58" s="8" t="n"/>
      <c r="K58" s="8" t="n"/>
      <c r="L58" s="8" t="n"/>
      <c r="M58" s="8" t="n"/>
      <c r="N58" s="8" t="n"/>
      <c r="O58" s="8" t="n"/>
      <c r="P58" s="8" t="n"/>
      <c r="Q58" s="8" t="n"/>
      <c r="R58" s="8" t="n"/>
      <c r="S58" s="8" t="n"/>
      <c r="T58" s="8" t="n"/>
      <c r="U58" s="8" t="n"/>
    </row>
    <row r="59">
      <c r="B59" s="8" t="n"/>
      <c r="C59" s="8" t="n"/>
      <c r="D59" s="8" t="n"/>
      <c r="E59" s="8" t="n"/>
      <c r="F59" s="8" t="n"/>
      <c r="G59" s="8" t="n"/>
      <c r="H59" s="8" t="n"/>
      <c r="I59" s="8" t="n"/>
      <c r="J59" s="8" t="n"/>
      <c r="K59" s="8" t="n"/>
      <c r="L59" s="8" t="n"/>
      <c r="M59" s="8" t="n"/>
      <c r="N59" s="8" t="n"/>
      <c r="O59" s="8" t="n"/>
      <c r="P59" s="8" t="n"/>
      <c r="Q59" s="8" t="n"/>
      <c r="R59" s="8" t="n"/>
      <c r="S59" s="8" t="n"/>
      <c r="T59" s="8" t="n"/>
      <c r="U59" s="8" t="n"/>
    </row>
    <row r="60">
      <c r="B60" s="8" t="n"/>
      <c r="C60" s="8" t="n"/>
      <c r="D60" s="8" t="n"/>
      <c r="E60" s="8" t="n"/>
      <c r="F60" s="8" t="n"/>
      <c r="G60" s="8" t="n"/>
      <c r="H60" s="8" t="n"/>
      <c r="I60" s="8" t="n"/>
      <c r="J60" s="8" t="n"/>
      <c r="K60" s="8" t="n"/>
      <c r="L60" s="8" t="n"/>
      <c r="M60" s="8" t="n"/>
      <c r="N60" s="8" t="n"/>
      <c r="O60" s="8" t="n"/>
      <c r="P60" s="8" t="n"/>
      <c r="Q60" s="8" t="n"/>
      <c r="R60" s="8" t="n"/>
      <c r="S60" s="8" t="n"/>
      <c r="T60" s="8" t="n"/>
      <c r="U60" s="8" t="n"/>
    </row>
    <row r="61">
      <c r="B61" s="8" t="n"/>
      <c r="C61" s="8" t="n"/>
      <c r="D61" s="8" t="n"/>
      <c r="E61" s="8" t="n"/>
      <c r="F61" s="8" t="n"/>
      <c r="G61" s="8" t="n"/>
      <c r="H61" s="8" t="n"/>
      <c r="I61" s="8" t="n"/>
      <c r="J61" s="8" t="n"/>
      <c r="K61" s="8" t="n"/>
      <c r="L61" s="8" t="n"/>
      <c r="M61" s="8" t="n"/>
      <c r="N61" s="8" t="n"/>
      <c r="O61" s="8" t="n"/>
      <c r="P61" s="8" t="n"/>
      <c r="Q61" s="8" t="n"/>
      <c r="R61" s="8" t="n"/>
      <c r="S61" s="8" t="n"/>
      <c r="T61" s="8" t="n"/>
      <c r="U61" s="8" t="n"/>
    </row>
    <row r="62">
      <c r="B62" s="8" t="n"/>
      <c r="C62" s="8" t="n"/>
      <c r="D62" s="8" t="n"/>
      <c r="E62" s="8" t="n"/>
      <c r="F62" s="8" t="n"/>
      <c r="G62" s="8" t="n"/>
      <c r="H62" s="8" t="n"/>
      <c r="I62" s="8" t="n"/>
      <c r="J62" s="8" t="n"/>
      <c r="K62" s="8" t="n"/>
      <c r="L62" s="8" t="n"/>
      <c r="M62" s="8" t="n"/>
      <c r="N62" s="8" t="n"/>
      <c r="O62" s="8" t="n"/>
      <c r="P62" s="8" t="n"/>
      <c r="Q62" s="8" t="n"/>
      <c r="R62" s="8" t="n"/>
      <c r="S62" s="8" t="n"/>
      <c r="T62" s="8" t="n"/>
      <c r="U62" s="8" t="n"/>
    </row>
    <row r="63">
      <c r="B63" s="8" t="n"/>
      <c r="C63" s="8" t="n"/>
      <c r="D63" s="8" t="n"/>
      <c r="E63" s="8" t="n"/>
      <c r="F63" s="8" t="n"/>
      <c r="G63" s="8" t="n"/>
      <c r="H63" s="8" t="n"/>
      <c r="I63" s="8" t="n"/>
      <c r="J63" s="8" t="n"/>
      <c r="K63" s="8" t="n"/>
      <c r="L63" s="8" t="n"/>
      <c r="M63" s="8" t="n"/>
      <c r="N63" s="8" t="n"/>
      <c r="O63" s="8" t="n"/>
      <c r="P63" s="8" t="n"/>
      <c r="Q63" s="8" t="n"/>
      <c r="R63" s="8" t="n"/>
      <c r="S63" s="8" t="n"/>
      <c r="T63" s="8" t="n"/>
      <c r="U63" s="8" t="n"/>
    </row>
    <row r="64">
      <c r="B64" s="8" t="n"/>
      <c r="C64" s="8" t="n"/>
      <c r="D64" s="8" t="n"/>
      <c r="E64" s="8" t="n"/>
      <c r="F64" s="8" t="n"/>
      <c r="G64" s="8" t="n"/>
      <c r="H64" s="8" t="n"/>
      <c r="I64" s="8" t="n"/>
      <c r="J64" s="8" t="n"/>
      <c r="K64" s="8" t="n"/>
      <c r="L64" s="8" t="n"/>
      <c r="M64" s="8" t="n"/>
      <c r="N64" s="8" t="n"/>
      <c r="O64" s="8" t="n"/>
      <c r="P64" s="8" t="n"/>
      <c r="Q64" s="8" t="n"/>
      <c r="R64" s="8" t="n"/>
      <c r="S64" s="8" t="n"/>
      <c r="T64" s="8" t="n"/>
      <c r="U64" s="8" t="n"/>
    </row>
    <row r="65">
      <c r="B65" s="8" t="n"/>
      <c r="C65" s="8" t="n"/>
      <c r="D65" s="8" t="n"/>
      <c r="E65" s="8" t="n"/>
      <c r="F65" s="8" t="n"/>
      <c r="G65" s="8" t="n"/>
      <c r="H65" s="8" t="n"/>
      <c r="I65" s="8" t="n"/>
      <c r="J65" s="8" t="n"/>
      <c r="K65" s="8" t="n"/>
      <c r="L65" s="8" t="n"/>
      <c r="M65" s="8" t="n"/>
      <c r="N65" s="8" t="n"/>
      <c r="O65" s="8" t="n"/>
      <c r="P65" s="8" t="n"/>
      <c r="Q65" s="8" t="n"/>
      <c r="R65" s="8" t="n"/>
      <c r="S65" s="8" t="n"/>
      <c r="T65" s="8" t="n"/>
      <c r="U65" s="8" t="n"/>
    </row>
    <row r="66">
      <c r="B66" s="8" t="n"/>
      <c r="C66" s="8" t="n"/>
      <c r="D66" s="8" t="n"/>
      <c r="E66" s="8" t="n"/>
      <c r="F66" s="8" t="n"/>
      <c r="G66" s="8" t="n"/>
      <c r="H66" s="8" t="n"/>
      <c r="I66" s="8" t="n"/>
      <c r="J66" s="8" t="n"/>
      <c r="K66" s="8" t="n"/>
      <c r="L66" s="8" t="n"/>
      <c r="M66" s="8" t="n"/>
      <c r="N66" s="8" t="n"/>
      <c r="O66" s="8" t="n"/>
      <c r="P66" s="8" t="n"/>
      <c r="Q66" s="8" t="n"/>
      <c r="R66" s="8" t="n"/>
      <c r="S66" s="8" t="n"/>
      <c r="T66" s="8" t="n"/>
      <c r="U66" s="8" t="n"/>
    </row>
  </sheetData>
  <dataValidations count="8">
    <dataValidation sqref="B7:B66" showDropDown="0" showInputMessage="0" showErrorMessage="0" allowBlank="1" errorTitle="Invalid entry" error="Please select from the dropdown" type="list">
      <formula1>=Lists!$K$2:$K$14</formula1>
    </dataValidation>
    <dataValidation sqref="E7:E66" showDropDown="0" showInputMessage="0" showErrorMessage="0" allowBlank="1" errorTitle="Invalid entry" error="Please select from the dropdown" type="list">
      <formula1>"Y,N"</formula1>
    </dataValidation>
    <dataValidation sqref="I7:I66" showDropDown="0" showInputMessage="0" showErrorMessage="0" allowBlank="1" errorTitle="Invalid entry" error="Please select from the dropdown" type="list">
      <formula1>"Y,N"</formula1>
    </dataValidation>
    <dataValidation sqref="J7:J66" showDropDown="0" showInputMessage="0" showErrorMessage="0" allowBlank="1" errorTitle="Invalid entry" error="Please select from the dropdown" type="list">
      <formula1>"Y,N"</formula1>
    </dataValidation>
    <dataValidation sqref="K7:K66" showDropDown="0" showInputMessage="0" showErrorMessage="0" allowBlank="1" errorTitle="Invalid entry" error="Please select from the dropdown" type="list">
      <formula1>"Y,N"</formula1>
    </dataValidation>
    <dataValidation sqref="L7:L66" showDropDown="0" showInputMessage="0" showErrorMessage="0" allowBlank="1" errorTitle="Invalid entry" error="Please select from the dropdown" type="list">
      <formula1>"Y,N"</formula1>
    </dataValidation>
    <dataValidation sqref="Q7:Q66" showDropDown="0" showInputMessage="0" showErrorMessage="0" allowBlank="1" errorTitle="Invalid entry" error="Please select from the dropdown" type="list">
      <formula1>"Y,N"</formula1>
    </dataValidation>
    <dataValidation sqref="U7:U66" showDropDown="0" showInputMessage="0" showErrorMessage="0" allowBlank="1" errorTitle="Invalid entry" error="Please select from the dropdown" type="list">
      <formula1>"Y,N"</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4" customWidth="1" min="1" max="1"/>
    <col width="8" customWidth="1" min="2" max="2"/>
    <col width="26" customWidth="1" min="3" max="3"/>
    <col width="30" customWidth="1" min="4" max="4"/>
    <col width="36" customWidth="1" min="5" max="5"/>
    <col width="40" customWidth="1" min="6" max="6"/>
    <col width="50" customWidth="1" min="7" max="7"/>
    <col width="10" customWidth="1" min="8" max="8"/>
    <col width="30" customWidth="1" min="9" max="9"/>
  </cols>
  <sheetData>
    <row r="1">
      <c r="A1" s="1" t="inlineStr">
        <is>
          <t>↑</t>
        </is>
      </c>
      <c r="B1" s="2" t="inlineStr">
        <is>
          <t>2026 Sustainability Report</t>
        </is>
      </c>
    </row>
    <row r="2">
      <c r="B2" s="3" t="inlineStr">
        <is>
          <t>P5. SR26 page index (URLs)</t>
        </is>
      </c>
    </row>
    <row r="5">
      <c r="B5" s="6" t="inlineStr">
        <is>
          <t>Ref</t>
        </is>
      </c>
      <c r="C5" s="6" t="inlineStr">
        <is>
          <t>Sustainability 2030 component</t>
        </is>
      </c>
      <c r="D5" s="6" t="inlineStr">
        <is>
          <t>Page name</t>
        </is>
      </c>
      <c r="E5" s="6" t="inlineStr">
        <is>
          <t>Story / case study</t>
        </is>
      </c>
      <c r="F5" s="6" t="inlineStr">
        <is>
          <t>SR26 link</t>
        </is>
      </c>
      <c r="G5" s="6" t="inlineStr">
        <is>
          <t>Page description</t>
        </is>
      </c>
      <c r="H5" s="6" t="inlineStr">
        <is>
          <t>Character count</t>
        </is>
      </c>
      <c r="I5" s="6" t="inlineStr">
        <is>
          <t>SR25 equivalent page</t>
        </is>
      </c>
    </row>
    <row r="6">
      <c r="B6" s="50" t="inlineStr">
        <is>
          <t>FM01</t>
        </is>
      </c>
      <c r="C6" s="8" t="inlineStr">
        <is>
          <t>N/A</t>
        </is>
      </c>
      <c r="D6" s="8" t="inlineStr">
        <is>
          <t>Landing page</t>
        </is>
      </c>
      <c r="E6" s="8" t="inlineStr"/>
      <c r="F6" s="8" t="inlineStr"/>
      <c r="G6" s="8" t="inlineStr"/>
      <c r="H6" s="8">
        <f>LEN(G6)</f>
        <v/>
      </c>
      <c r="I6" s="8" t="inlineStr"/>
    </row>
    <row r="7">
      <c r="B7" s="50" t="inlineStr">
        <is>
          <t>FM02</t>
        </is>
      </c>
      <c r="C7" s="8" t="inlineStr">
        <is>
          <t>N/A</t>
        </is>
      </c>
      <c r="D7" s="8" t="inlineStr">
        <is>
          <t>Overview (transition year)</t>
        </is>
      </c>
      <c r="E7" s="8" t="inlineStr"/>
      <c r="F7" s="8" t="inlineStr"/>
      <c r="G7" s="8" t="inlineStr"/>
      <c r="H7" s="8">
        <f>LEN(G7)</f>
        <v/>
      </c>
      <c r="I7" s="8" t="inlineStr"/>
    </row>
    <row r="8">
      <c r="B8" s="50" t="inlineStr">
        <is>
          <t>FM03</t>
        </is>
      </c>
      <c r="C8" s="8" t="inlineStr">
        <is>
          <t>N/A</t>
        </is>
      </c>
      <c r="D8" s="8" t="inlineStr">
        <is>
          <t>Our impact</t>
        </is>
      </c>
      <c r="E8" s="8" t="inlineStr"/>
      <c r="F8" s="8" t="inlineStr"/>
      <c r="G8" s="8" t="inlineStr"/>
      <c r="H8" s="8">
        <f>LEN(G8)</f>
        <v/>
      </c>
      <c r="I8" s="8" t="inlineStr"/>
    </row>
    <row r="9">
      <c r="B9" s="50" t="inlineStr">
        <is>
          <t>PA01</t>
        </is>
      </c>
      <c r="C9" s="8" t="inlineStr">
        <is>
          <t>Education and research</t>
        </is>
      </c>
      <c r="D9" s="8" t="inlineStr">
        <is>
          <t>Exceptional education</t>
        </is>
      </c>
      <c r="E9" s="8" t="inlineStr"/>
      <c r="F9" s="8" t="inlineStr"/>
      <c r="G9" s="8" t="inlineStr"/>
      <c r="H9" s="8">
        <f>LEN(G9)</f>
        <v/>
      </c>
      <c r="I9" s="8" t="inlineStr"/>
    </row>
    <row r="10">
      <c r="B10" s="50" t="inlineStr">
        <is>
          <t>PA02</t>
        </is>
      </c>
      <c r="C10" s="8" t="inlineStr">
        <is>
          <t>Education and research</t>
        </is>
      </c>
      <c r="D10" s="8" t="inlineStr">
        <is>
          <t>Transformational research</t>
        </is>
      </c>
      <c r="E10" s="8" t="inlineStr"/>
      <c r="F10" s="8" t="inlineStr"/>
      <c r="G10" s="8" t="inlineStr"/>
      <c r="H10" s="8">
        <f>LEN(G10)</f>
        <v/>
      </c>
      <c r="I10" s="8" t="inlineStr"/>
    </row>
    <row r="11">
      <c r="B11" s="50" t="inlineStr">
        <is>
          <t>PA03</t>
        </is>
      </c>
      <c r="C11" s="8" t="inlineStr">
        <is>
          <t>Sustainability leadership</t>
        </is>
      </c>
      <c r="D11" s="8" t="inlineStr">
        <is>
          <t>Climate leadership</t>
        </is>
      </c>
      <c r="E11" s="8" t="inlineStr"/>
      <c r="F11" s="8" t="inlineStr"/>
      <c r="G11" s="8" t="inlineStr"/>
      <c r="H11" s="8">
        <f>LEN(G11)</f>
        <v/>
      </c>
      <c r="I11" s="8" t="inlineStr"/>
    </row>
    <row r="12">
      <c r="B12" s="50" t="inlineStr">
        <is>
          <t>PA04</t>
        </is>
      </c>
      <c r="C12" s="8" t="inlineStr">
        <is>
          <t>Sustainability leadership</t>
        </is>
      </c>
      <c r="D12" s="8" t="inlineStr">
        <is>
          <t>Nature and biodiversity</t>
        </is>
      </c>
      <c r="E12" s="8" t="inlineStr"/>
      <c r="F12" s="8" t="inlineStr"/>
      <c r="G12" s="8" t="inlineStr"/>
      <c r="H12" s="8">
        <f>LEN(G12)</f>
        <v/>
      </c>
      <c r="I12" s="8" t="inlineStr"/>
    </row>
    <row r="13">
      <c r="B13" s="50" t="inlineStr">
        <is>
          <t>PA05</t>
        </is>
      </c>
      <c r="C13" s="8" t="inlineStr">
        <is>
          <t>Sustainability leadership</t>
        </is>
      </c>
      <c r="D13" s="8" t="inlineStr">
        <is>
          <t>Responsible AI</t>
        </is>
      </c>
      <c r="E13" s="8" t="inlineStr"/>
      <c r="F13" s="8" t="inlineStr"/>
      <c r="G13" s="8" t="inlineStr"/>
      <c r="H13" s="8">
        <f>LEN(G13)</f>
        <v/>
      </c>
      <c r="I13" s="8" t="inlineStr"/>
    </row>
    <row r="14">
      <c r="B14" s="50" t="inlineStr">
        <is>
          <t>PA06</t>
        </is>
      </c>
      <c r="C14" s="8" t="inlineStr">
        <is>
          <t>Resilient University</t>
        </is>
      </c>
      <c r="D14" s="8" t="inlineStr">
        <is>
          <t>Estate and infrastructure</t>
        </is>
      </c>
      <c r="E14" s="8" t="inlineStr"/>
      <c r="F14" s="8" t="inlineStr"/>
      <c r="G14" s="8" t="inlineStr"/>
      <c r="H14" s="8">
        <f>LEN(G14)</f>
        <v/>
      </c>
      <c r="I14" s="8" t="inlineStr"/>
    </row>
    <row r="15">
      <c r="B15" s="50" t="inlineStr">
        <is>
          <t>PA07</t>
        </is>
      </c>
      <c r="C15" s="8" t="inlineStr">
        <is>
          <t>Resilient University</t>
        </is>
      </c>
      <c r="D15" s="8" t="inlineStr">
        <is>
          <t>Circular economy</t>
        </is>
      </c>
      <c r="E15" s="8" t="inlineStr"/>
      <c r="F15" s="8" t="inlineStr"/>
      <c r="G15" s="8" t="inlineStr"/>
      <c r="H15" s="8">
        <f>LEN(G15)</f>
        <v/>
      </c>
      <c r="I15" s="8" t="inlineStr"/>
    </row>
    <row r="16">
      <c r="B16" s="50" t="inlineStr">
        <is>
          <t>PA08</t>
        </is>
      </c>
      <c r="C16" s="8" t="inlineStr">
        <is>
          <t>Resilient University</t>
        </is>
      </c>
      <c r="D16" s="8" t="inlineStr">
        <is>
          <t>Responsible procurement</t>
        </is>
      </c>
      <c r="E16" s="8" t="inlineStr"/>
      <c r="F16" s="8" t="inlineStr"/>
      <c r="G16" s="8" t="inlineStr"/>
      <c r="H16" s="8">
        <f>LEN(G16)</f>
        <v/>
      </c>
      <c r="I16" s="8" t="inlineStr"/>
    </row>
    <row r="17">
      <c r="B17" s="50" t="inlineStr">
        <is>
          <t>PA09</t>
        </is>
      </c>
      <c r="C17" s="8" t="inlineStr">
        <is>
          <t>Resilient University</t>
        </is>
      </c>
      <c r="D17" s="8" t="inlineStr">
        <is>
          <t>Modern slavery and human rights</t>
        </is>
      </c>
      <c r="E17" s="8" t="inlineStr"/>
      <c r="F17" s="8" t="inlineStr"/>
      <c r="G17" s="8" t="inlineStr"/>
      <c r="H17" s="8">
        <f>LEN(G17)</f>
        <v/>
      </c>
      <c r="I17" s="8" t="inlineStr"/>
    </row>
    <row r="18">
      <c r="B18" s="50" t="inlineStr">
        <is>
          <t>PA10</t>
        </is>
      </c>
      <c r="C18" s="8" t="inlineStr">
        <is>
          <t>Resilient University</t>
        </is>
      </c>
      <c r="D18" s="8" t="inlineStr">
        <is>
          <t>Responsible investments</t>
        </is>
      </c>
      <c r="E18" s="8" t="inlineStr"/>
      <c r="F18" s="8" t="inlineStr"/>
      <c r="G18" s="8" t="inlineStr"/>
      <c r="H18" s="8">
        <f>LEN(G18)</f>
        <v/>
      </c>
      <c r="I18" s="8" t="inlineStr"/>
    </row>
    <row r="19">
      <c r="B19" s="50" t="inlineStr">
        <is>
          <t>PA11</t>
        </is>
      </c>
      <c r="C19" s="8" t="inlineStr">
        <is>
          <t>Enablers</t>
        </is>
      </c>
      <c r="D19" s="8" t="inlineStr">
        <is>
          <t>Enablers</t>
        </is>
      </c>
      <c r="E19" s="8" t="inlineStr"/>
      <c r="F19" s="8" t="inlineStr"/>
      <c r="G19" s="8" t="inlineStr"/>
      <c r="H19" s="8">
        <f>LEN(G19)</f>
        <v/>
      </c>
      <c r="I19" s="8"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K14"/>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K1" t="inlineStr">
        <is>
          <t>Report section</t>
        </is>
      </c>
    </row>
    <row r="2">
      <c r="B2" t="inlineStr">
        <is>
          <t>Please select from dropdown</t>
        </is>
      </c>
      <c r="C2" t="inlineStr">
        <is>
          <t>Yes</t>
        </is>
      </c>
      <c r="D2" t="inlineStr">
        <is>
          <t>Not sent</t>
        </is>
      </c>
      <c r="E2" t="inlineStr">
        <is>
          <t>Yes</t>
        </is>
      </c>
      <c r="G2" t="inlineStr">
        <is>
          <t>Met or exceeded</t>
        </is>
      </c>
      <c r="H2" t="n">
        <v>3</v>
      </c>
      <c r="I2" t="n">
        <v>1</v>
      </c>
      <c r="K2" t="inlineStr">
        <is>
          <t>Report introduction</t>
        </is>
      </c>
    </row>
    <row r="3">
      <c r="B3" t="inlineStr">
        <is>
          <t>Met or exceeded</t>
        </is>
      </c>
      <c r="C3" t="inlineStr">
        <is>
          <t>No</t>
        </is>
      </c>
      <c r="D3" t="inlineStr">
        <is>
          <t>Sent</t>
        </is>
      </c>
      <c r="E3" t="inlineStr">
        <is>
          <t>No</t>
        </is>
      </c>
      <c r="G3" t="inlineStr">
        <is>
          <t>Partially met</t>
        </is>
      </c>
      <c r="H3" t="n">
        <v>2</v>
      </c>
      <c r="I3" t="n">
        <v>1</v>
      </c>
      <c r="K3" t="inlineStr">
        <is>
          <t>Our impact</t>
        </is>
      </c>
    </row>
    <row r="4">
      <c r="B4" t="inlineStr">
        <is>
          <t>Partially met</t>
        </is>
      </c>
      <c r="C4" t="inlineStr">
        <is>
          <t>Partially – see comments</t>
        </is>
      </c>
      <c r="D4" t="inlineStr">
        <is>
          <t>Chased</t>
        </is>
      </c>
      <c r="E4" t="inlineStr">
        <is>
          <t>TBC</t>
        </is>
      </c>
      <c r="G4" t="inlineStr">
        <is>
          <t>Not met</t>
        </is>
      </c>
      <c r="H4" t="n">
        <v>1</v>
      </c>
      <c r="I4" t="n">
        <v>1</v>
      </c>
      <c r="K4" t="inlineStr">
        <is>
          <t>Exceptional education</t>
        </is>
      </c>
    </row>
    <row r="5">
      <c r="B5" t="inlineStr">
        <is>
          <t>Not met</t>
        </is>
      </c>
      <c r="D5" t="inlineStr">
        <is>
          <t>Support meeting</t>
        </is>
      </c>
      <c r="G5" t="inlineStr">
        <is>
          <t>Not yet started</t>
        </is>
      </c>
      <c r="H5" t="n">
        <v>0</v>
      </c>
      <c r="I5" t="n">
        <v>1</v>
      </c>
      <c r="K5" t="inlineStr">
        <is>
          <t>Transformational research</t>
        </is>
      </c>
    </row>
    <row r="6">
      <c r="B6" t="inlineStr">
        <is>
          <t>Not yet started</t>
        </is>
      </c>
      <c r="D6" t="inlineStr">
        <is>
          <t>Received</t>
        </is>
      </c>
      <c r="K6" t="inlineStr">
        <is>
          <t>Climate leadership</t>
        </is>
      </c>
    </row>
    <row r="7">
      <c r="B7" t="inlineStr">
        <is>
          <t>Not applicable</t>
        </is>
      </c>
      <c r="D7" t="inlineStr">
        <is>
          <t>Under review</t>
        </is>
      </c>
      <c r="K7" t="inlineStr">
        <is>
          <t>Nature and biodiversity</t>
        </is>
      </c>
    </row>
    <row r="8">
      <c r="D8" t="inlineStr">
        <is>
          <t>Complete</t>
        </is>
      </c>
      <c r="K8" t="inlineStr">
        <is>
          <t>Responsible AI</t>
        </is>
      </c>
    </row>
    <row r="9">
      <c r="D9" t="inlineStr">
        <is>
          <t>Not required</t>
        </is>
      </c>
      <c r="K9" t="inlineStr">
        <is>
          <t>Estate and infrastructure</t>
        </is>
      </c>
    </row>
    <row r="10">
      <c r="K10" t="inlineStr">
        <is>
          <t>Circular economy</t>
        </is>
      </c>
    </row>
    <row r="11">
      <c r="K11" t="inlineStr">
        <is>
          <t>Responsible procurement</t>
        </is>
      </c>
    </row>
    <row r="12">
      <c r="K12" t="inlineStr">
        <is>
          <t>Modern slavery and human rights</t>
        </is>
      </c>
    </row>
    <row r="13">
      <c r="K13" t="inlineStr">
        <is>
          <t>Responsible investments</t>
        </is>
      </c>
    </row>
    <row r="14">
      <c r="K14" t="inlineStr">
        <is>
          <t>Enablers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2026-10-06T02:30:28Z</dcterms:created>
  <dcterms:modified xmlns:dcterms="http://purl.org/dc/terms/" xmlns:xsi="http://www.w3.org/2001/XMLSchema-instance" xsi:type="dcterms:W3CDTF">2026-10-06T02:30:44Z</dcterms:modified>
</cp:coreProperties>
</file>