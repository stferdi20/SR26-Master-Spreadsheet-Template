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workbook.xml" ContentType="application/vnd.openxmlformats-officedocument.spreadsheetml.sheet.main+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Read me" sheetId="1" state="visible" r:id="rId1"/>
    <sheet xmlns:r="http://schemas.openxmlformats.org/officeDocument/2006/relationships" name="1. Requirements matrix" sheetId="2" state="visible" r:id="rId2"/>
    <sheet xmlns:r="http://schemas.openxmlformats.org/officeDocument/2006/relationships" name="2. Quant coverage" sheetId="3" state="visible" r:id="rId3"/>
    <sheet xmlns:r="http://schemas.openxmlformats.org/officeDocument/2006/relationships" name="2b. Databook register" sheetId="4" state="visible" r:id="rId4"/>
    <sheet xmlns:r="http://schemas.openxmlformats.org/officeDocument/2006/relationships" name="3. Stakeholder map" sheetId="5" state="visible" r:id="rId5"/>
    <sheet xmlns:r="http://schemas.openxmlformats.org/officeDocument/2006/relationships" name="3b. RASCI matrix" sheetId="6" state="visible" r:id="rId6"/>
    <sheet xmlns:r="http://schemas.openxmlformats.org/officeDocument/2006/relationships" name="4. Request tracker" sheetId="7" state="visible" r:id="rId7"/>
    <sheet xmlns:r="http://schemas.openxmlformats.org/officeDocument/2006/relationships" name="Faculties" sheetId="8" state="visible" r:id="rId8"/>
    <sheet xmlns:r="http://schemas.openxmlformats.org/officeDocument/2006/relationships" name="CI&amp;S" sheetId="9" state="visible" r:id="rId9"/>
    <sheet xmlns:r="http://schemas.openxmlformats.org/officeDocument/2006/relationships" name="CFOG" sheetId="10" state="visible" r:id="rId10"/>
    <sheet xmlns:r="http://schemas.openxmlformats.org/officeDocument/2006/relationships" name="ESG" sheetId="11" state="visible" r:id="rId11"/>
    <sheet xmlns:r="http://schemas.openxmlformats.org/officeDocument/2006/relationships" name="CIOG" sheetId="12" state="visible" r:id="rId12"/>
    <sheet xmlns:r="http://schemas.openxmlformats.org/officeDocument/2006/relationships" name="MRE" sheetId="13" state="visible" r:id="rId13"/>
    <sheet xmlns:r="http://schemas.openxmlformats.org/officeDocument/2006/relationships" name="AC&amp;M" sheetId="14" state="visible" r:id="rId14"/>
    <sheet xmlns:r="http://schemas.openxmlformats.org/officeDocument/2006/relationships" name="GCE" sheetId="15" state="visible" r:id="rId15"/>
    <sheet xmlns:r="http://schemas.openxmlformats.org/officeDocument/2006/relationships" name="Education" sheetId="16" state="visible" r:id="rId16"/>
    <sheet xmlns:r="http://schemas.openxmlformats.org/officeDocument/2006/relationships" name="SaSS" sheetId="17" state="visible" r:id="rId17"/>
    <sheet xmlns:r="http://schemas.openxmlformats.org/officeDocument/2006/relationships" name="Indigenous" sheetId="18" state="visible" r:id="rId18"/>
    <sheet xmlns:r="http://schemas.openxmlformats.org/officeDocument/2006/relationships" name="L&amp;R" sheetId="19" state="visible" r:id="rId19"/>
    <sheet xmlns:r="http://schemas.openxmlformats.org/officeDocument/2006/relationships" name="A1. Response summary" sheetId="20" state="visible" r:id="rId20"/>
    <sheet xmlns:r="http://schemas.openxmlformats.org/officeDocument/2006/relationships" name="T1. Manual target review" sheetId="21" state="visible" r:id="rId21"/>
    <sheet xmlns:r="http://schemas.openxmlformats.org/officeDocument/2006/relationships" name="T2. Single target review" sheetId="22" state="visible" r:id="rId22"/>
    <sheet xmlns:r="http://schemas.openxmlformats.org/officeDocument/2006/relationships" name="Request wording log" sheetId="23" state="visible" r:id="rId23"/>
    <sheet xmlns:r="http://schemas.openxmlformats.org/officeDocument/2006/relationships" name="Highlighted stories" sheetId="24" state="visible" r:id="rId24"/>
    <sheet xmlns:r="http://schemas.openxmlformats.org/officeDocument/2006/relationships" name="Evidence register" sheetId="25" state="visible" r:id="rId25"/>
    <sheet xmlns:r="http://schemas.openxmlformats.org/officeDocument/2006/relationships" name="Issues log" sheetId="26" state="visible" r:id="rId26"/>
    <sheet xmlns:r="http://schemas.openxmlformats.org/officeDocument/2006/relationships" name="Lists" sheetId="27" state="hidden" r:id="rId27"/>
  </sheets>
  <externalReferences>
    <externalReference r:id="rIdExt1"/>
    <externalReference r:id="rIdExt2"/>
    <externalReference r:id="rIdExt3"/>
    <externalReference r:id="rIdExt4"/>
    <externalReference r:id="rIdExt5"/>
    <externalReference r:id="rIdExt6"/>
    <externalReference r:id="rIdExt7"/>
    <externalReference r:id="rIdExt8"/>
    <externalReference r:id="rIdExt9"/>
    <externalReference r:id="rIdExt10"/>
    <externalReference r:id="rIdExt11"/>
    <externalReference r:id="rIdExt12"/>
    <externalReference r:id="rIdExt13"/>
    <externalReference r:id="rIdExt14"/>
    <externalReference r:id="rIdExt15"/>
    <externalReference r:id="rIdExt16"/>
    <externalReference r:id="rIdExt17"/>
    <externalReference r:id="rIdExt18"/>
    <externalReference r:id="rIdExt19"/>
    <externalReference r:id="rIdExt20"/>
  </externalReferences>
  <definedNames>
    <definedName name="_xlnm._FilterDatabase" localSheetId="1" hidden="1">'1. Requirements matrix'!$B$5:$Q$43</definedName>
    <definedName name="_xlnm._FilterDatabase" localSheetId="2" hidden="1">'2. Quant coverage'!$B$5:$N$34</definedName>
    <definedName name="_xlnm._FilterDatabase" localSheetId="3" hidden="1">'2b. Databook register'!$B$5:$S$323</definedName>
    <definedName name="_xlnm._FilterDatabase" localSheetId="5" hidden="1">'3b. RASCI matrix'!$A$6:$Y$87</definedName>
    <definedName name="_xlnm._FilterDatabase" localSheetId="19" hidden="1">'A1. Response summary'!$B$10:$AH$200</definedName>
    <definedName name="_xlnm._FilterDatabase" localSheetId="20" hidden="1">'T1. Manual target review'!$B$7:$W$274</definedName>
  </definedNames>
  <calcPr calcId="124519" fullCalcOnLoad="1"/>
</workbook>
</file>

<file path=xl/styles.xml><?xml version="1.0" encoding="utf-8"?>
<styleSheet xmlns="http://schemas.openxmlformats.org/spreadsheetml/2006/main">
  <numFmts count="3">
    <numFmt numFmtId="164" formatCode="#,##0.##"/>
    <numFmt numFmtId="165" formatCode="yyyy-mm-dd"/>
    <numFmt numFmtId="166" formatCode="dd/mm/yyyy"/>
  </numFmts>
  <fonts count="25">
    <font>
      <name val="Calibri"/>
      <family val="2"/>
      <color theme="1"/>
      <sz val="11"/>
      <scheme val="minor"/>
    </font>
    <font>
      <name val="Aptos"/>
      <b val="1"/>
      <color rgb="00FFFFFF"/>
      <sz val="22"/>
    </font>
    <font>
      <name val="Aptos"/>
      <b val="1"/>
      <color rgb="00FFFFFF"/>
    </font>
    <font>
      <name val="Aptos"/>
    </font>
    <font>
      <name val="Aptos"/>
      <b val="1"/>
      <color rgb="00FFFFFF"/>
      <sz val="12"/>
    </font>
    <font>
      <name val="Aptos Narrow"/>
      <b val="1"/>
      <sz val="11"/>
    </font>
    <font>
      <name val="Aptos Narrow"/>
      <sz val="11"/>
    </font>
    <font>
      <name val="Aptos"/>
      <i val="1"/>
    </font>
    <font>
      <name val="Aptos"/>
      <sz val="10"/>
    </font>
    <font>
      <name val="Aptos"/>
      <b val="1"/>
      <sz val="11"/>
    </font>
    <font>
      <name val="Aptos"/>
      <b val="1"/>
    </font>
    <font>
      <name val="Aptos"/>
      <b val="1"/>
      <sz val="10"/>
    </font>
    <font>
      <name val="Aptos Narrow"/>
      <sz val="10"/>
    </font>
    <font>
      <name val="Aptos"/>
      <b val="1"/>
      <color rgb="00002060"/>
      <sz val="14"/>
    </font>
    <font>
      <name val="Aptos"/>
      <b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i val="1"/>
      <sz val="9"/>
    </font>
    <font>
      <name val="Aptos Narrow"/>
      <color rgb="00808080"/>
      <sz val="9"/>
    </font>
    <font>
      <name val="Aptos"/>
      <b val="1"/>
      <sz val="14"/>
    </font>
    <font>
      <name val="Aptos"/>
      <b val="1"/>
      <color rgb="00C00000"/>
    </font>
    <font>
      <name val="Aptos"/>
      <b val="1"/>
      <color rgb="00002060"/>
      <sz val="13"/>
    </font>
  </fonts>
  <fills count="18">
    <fill>
      <patternFill/>
    </fill>
    <fill>
      <patternFill patternType="gray125"/>
    </fill>
    <fill>
      <patternFill patternType="solid">
        <fgColor rgb="000B3040"/>
      </patternFill>
    </fill>
    <fill>
      <patternFill patternType="solid">
        <fgColor rgb="00C1E4F5"/>
      </patternFill>
    </fill>
    <fill>
      <patternFill patternType="solid">
        <fgColor rgb="00E2EFDA"/>
      </patternFill>
    </fill>
    <fill>
      <patternFill patternType="solid">
        <fgColor rgb="00FFF2CC"/>
      </patternFill>
    </fill>
    <fill>
      <patternFill patternType="solid">
        <fgColor rgb="00F8CBAD"/>
      </patternFill>
    </fill>
    <fill>
      <patternFill patternType="solid">
        <fgColor rgb="00F2F2F2"/>
      </patternFill>
    </fill>
    <fill>
      <patternFill patternType="solid">
        <fgColor rgb="0000B050"/>
      </patternFill>
    </fill>
    <fill>
      <patternFill patternType="solid">
        <fgColor rgb="00FFFFFF"/>
      </patternFill>
    </fill>
    <fill>
      <patternFill patternType="solid">
        <fgColor rgb="00D9D9D9"/>
      </patternFill>
    </fill>
    <fill>
      <patternFill patternType="solid">
        <fgColor rgb="0092D050"/>
      </patternFill>
    </fill>
    <fill>
      <patternFill patternType="solid">
        <fgColor rgb="00C6EFCE"/>
      </patternFill>
    </fill>
    <fill>
      <patternFill patternType="solid">
        <fgColor rgb="00BDD7EE"/>
      </patternFill>
    </fill>
    <fill>
      <patternFill patternType="solid">
        <fgColor rgb="00FFEB9C"/>
      </patternFill>
    </fill>
    <fill>
      <patternFill patternType="solid">
        <fgColor rgb="00EDEDED"/>
      </patternFill>
    </fill>
    <fill>
      <patternFill patternType="solid">
        <fgColor rgb="00FFC000"/>
      </patternFill>
    </fill>
    <fill>
      <patternFill patternType="solid">
        <fgColor rgb="00000F46"/>
      </patternFill>
    </fill>
  </fills>
  <borders count="6">
    <border>
      <left/>
      <right/>
      <top/>
      <bottom/>
      <diagonal/>
    </border>
    <border>
      <left style="thin">
        <color rgb="00808080"/>
      </left>
      <right style="thin">
        <color rgb="00808080"/>
      </right>
      <top style="thin">
        <color rgb="00808080"/>
      </top>
      <bottom style="thin">
        <color rgb="00808080"/>
      </bottom>
    </border>
    <border>
      <left style="thin">
        <color rgb="00808080"/>
      </left>
      <right/>
      <top/>
      <bottom/>
      <diagonal/>
    </border>
    <border>
      <left style="thin">
        <color rgb="00808080"/>
      </left>
      <right style="thin">
        <color rgb="00808080"/>
      </right>
      <top/>
      <bottom/>
      <diagonal/>
    </border>
    <border>
      <left style="thin">
        <color rgb="00808080"/>
      </left>
      <right style="thin">
        <color rgb="00808080"/>
      </right>
      <top/>
      <bottom style="thin">
        <color rgb="00808080"/>
      </bottom>
      <diagonal/>
    </border>
    <border>
      <left style="medium"/>
      <right style="medium"/>
      <top style="medium"/>
      <bottom style="medium"/>
    </border>
  </borders>
  <cellStyleXfs count="1">
    <xf numFmtId="0" fontId="0" fillId="0" borderId="0"/>
  </cellStyleXfs>
  <cellXfs count="64">
    <xf numFmtId="0" fontId="0" fillId="0" borderId="0" pivotButton="0" quotePrefix="0" xfId="0"/>
    <xf numFmtId="0" fontId="0" fillId="17" borderId="0" pivotButton="0" quotePrefix="0" xfId="0"/>
    <xf numFmtId="0" fontId="1" fillId="17" borderId="0" applyAlignment="1" pivotButton="0" quotePrefix="0" xfId="0">
      <alignment vertical="center" indent="4"/>
    </xf>
    <xf numFmtId="0" fontId="2" fillId="2" borderId="1" applyAlignment="1" pivotButton="0" quotePrefix="0" xfId="0">
      <alignment vertical="top" wrapText="1"/>
    </xf>
    <xf numFmtId="0" fontId="3" fillId="0" borderId="1" applyAlignment="1" pivotButton="0" quotePrefix="0" xfId="0">
      <alignment vertical="top" wrapText="1"/>
    </xf>
    <xf numFmtId="0" fontId="4" fillId="2" borderId="1" applyAlignment="1" pivotButton="0" quotePrefix="0" xfId="0">
      <alignment horizontal="center" vertical="center" wrapText="1"/>
    </xf>
    <xf numFmtId="0" fontId="5" fillId="3" borderId="1" applyAlignment="1" pivotButton="0" quotePrefix="0" xfId="0">
      <alignment vertical="top" wrapText="1"/>
    </xf>
    <xf numFmtId="0" fontId="6" fillId="0" borderId="1" applyAlignment="1" pivotButton="0" quotePrefix="0" xfId="0">
      <alignment vertical="top" wrapText="1"/>
    </xf>
    <xf numFmtId="0" fontId="0" fillId="0" borderId="0" applyAlignment="1" pivotButton="0" quotePrefix="0" xfId="0">
      <alignment vertical="top" wrapText="1"/>
    </xf>
    <xf numFmtId="0" fontId="6" fillId="4" borderId="1" applyAlignment="1" pivotButton="0" quotePrefix="0" xfId="0">
      <alignment vertical="top" wrapText="1"/>
    </xf>
    <xf numFmtId="0" fontId="6" fillId="5" borderId="1" applyAlignment="1" pivotButton="0" quotePrefix="0" xfId="0">
      <alignment vertical="top" wrapText="1"/>
    </xf>
    <xf numFmtId="0" fontId="6" fillId="6" borderId="1" applyAlignment="1" pivotButton="0" quotePrefix="0" xfId="0">
      <alignment vertical="top" wrapText="1"/>
    </xf>
    <xf numFmtId="0" fontId="5" fillId="0" borderId="1" applyAlignment="1" pivotButton="0" quotePrefix="0" xfId="0">
      <alignment vertical="top" wrapText="1"/>
    </xf>
    <xf numFmtId="164" fontId="6" fillId="0" borderId="1" applyAlignment="1" pivotButton="0" quotePrefix="0" xfId="0">
      <alignment vertical="top" wrapText="1"/>
    </xf>
    <xf numFmtId="164" fontId="6" fillId="5" borderId="1" applyAlignment="1" pivotButton="0" quotePrefix="0" xfId="0">
      <alignment vertical="top" wrapText="1"/>
    </xf>
    <xf numFmtId="0" fontId="5" fillId="7" borderId="1" applyAlignment="1" pivotButton="0" quotePrefix="0" xfId="0">
      <alignment vertical="top" wrapText="1"/>
    </xf>
    <xf numFmtId="164" fontId="5" fillId="7" borderId="1" applyAlignment="1" pivotButton="0" quotePrefix="0" xfId="0">
      <alignment vertical="top" wrapText="1"/>
    </xf>
    <xf numFmtId="0" fontId="6" fillId="0" borderId="1" applyAlignment="1" pivotButton="0" quotePrefix="0" xfId="0">
      <alignment vertical="top" wrapText="1" indent="2"/>
    </xf>
    <xf numFmtId="0" fontId="6" fillId="0" borderId="1" applyAlignment="1" pivotButton="0" quotePrefix="0" xfId="0">
      <alignment vertical="top" wrapText="1" indent="4"/>
    </xf>
    <xf numFmtId="0" fontId="7" fillId="0" borderId="0" pivotButton="0" quotePrefix="0" xfId="0"/>
    <xf numFmtId="0" fontId="8" fillId="0" borderId="1" applyAlignment="1" pivotButton="0" quotePrefix="0" xfId="0">
      <alignment horizontal="center" vertical="center" wrapText="1"/>
    </xf>
    <xf numFmtId="0" fontId="10" fillId="0" borderId="0" applyAlignment="1" pivotButton="0" quotePrefix="0" xfId="0">
      <alignment horizontal="center" vertical="center" wrapText="1"/>
    </xf>
    <xf numFmtId="0" fontId="9" fillId="8" borderId="1" applyAlignment="1" pivotButton="0" quotePrefix="0" xfId="0">
      <alignment horizontal="center" vertical="center" wrapText="1"/>
    </xf>
    <xf numFmtId="0" fontId="9" fillId="9" borderId="1" applyAlignment="1" pivotButton="0" quotePrefix="0" xfId="0">
      <alignment horizontal="center" vertical="center" wrapText="1"/>
    </xf>
    <xf numFmtId="0" fontId="10" fillId="10" borderId="0" pivotButton="0" quotePrefix="0" xfId="0"/>
    <xf numFmtId="0" fontId="10" fillId="7" borderId="0" pivotButton="0" quotePrefix="0" xfId="0"/>
    <xf numFmtId="0" fontId="11" fillId="0" borderId="0" applyAlignment="1" pivotButton="0" quotePrefix="0" xfId="0">
      <alignment vertical="top" wrapText="1"/>
    </xf>
    <xf numFmtId="0" fontId="12" fillId="0" borderId="1" applyAlignment="1" pivotButton="0" quotePrefix="0" xfId="0">
      <alignment vertical="top" wrapText="1"/>
    </xf>
    <xf numFmtId="0" fontId="12" fillId="0" borderId="1" applyAlignment="1" pivotButton="0" quotePrefix="0" xfId="0">
      <alignment horizontal="center" vertical="center" wrapText="1"/>
    </xf>
    <xf numFmtId="0" fontId="13" fillId="0" borderId="0" pivotButton="0" quotePrefix="0" xfId="0"/>
    <xf numFmtId="0" fontId="10" fillId="0" borderId="0" pivotButton="0" quotePrefix="0" xfId="0"/>
    <xf numFmtId="0" fontId="14" fillId="0" borderId="0" applyAlignment="1" pivotButton="0" quotePrefix="0" xfId="0">
      <alignment horizontal="center" vertical="center" wrapText="1"/>
    </xf>
    <xf numFmtId="0" fontId="0" fillId="11" borderId="0" pivotButton="0" quotePrefix="0" xfId="0"/>
    <xf numFmtId="0" fontId="0" fillId="0" borderId="0" applyAlignment="1" pivotButton="0" quotePrefix="0" xfId="0">
      <alignment horizontal="center" vertical="center" wrapText="1"/>
    </xf>
    <xf numFmtId="0" fontId="0" fillId="8" borderId="0" pivotButton="0" quotePrefix="0" xfId="0"/>
    <xf numFmtId="0" fontId="0" fillId="12" borderId="0" pivotButton="0" quotePrefix="0" xfId="0"/>
    <xf numFmtId="0" fontId="0" fillId="13" borderId="0" pivotButton="0" quotePrefix="0" xfId="0"/>
    <xf numFmtId="0" fontId="0" fillId="10" borderId="0" pivotButton="0" quotePrefix="0" xfId="0"/>
    <xf numFmtId="0" fontId="0" fillId="14" borderId="0" pivotButton="0" quotePrefix="0" xfId="0"/>
    <xf numFmtId="0" fontId="0" fillId="6" borderId="0" pivotButton="0" quotePrefix="0" xfId="0"/>
    <xf numFmtId="0" fontId="0" fillId="15" borderId="0" pivotButton="0" quotePrefix="0" xfId="0"/>
    <xf numFmtId="9" fontId="0" fillId="0" borderId="0" pivotButton="0" quotePrefix="0" xfId="0"/>
    <xf numFmtId="166" fontId="6" fillId="0" borderId="1" applyAlignment="1" pivotButton="0" quotePrefix="0" xfId="0">
      <alignment vertical="top" wrapText="1"/>
    </xf>
    <xf numFmtId="0" fontId="15" fillId="7" borderId="0" pivotButton="0" quotePrefix="0" xfId="0"/>
    <xf numFmtId="0" fontId="16" fillId="2" borderId="0" applyAlignment="1" pivotButton="0" quotePrefix="0" xfId="0">
      <alignment horizontal="center" vertical="center" wrapText="1"/>
    </xf>
    <xf numFmtId="0" fontId="17" fillId="16" borderId="0" applyAlignment="1" pivotButton="0" quotePrefix="0" xfId="0">
      <alignment horizontal="center" vertical="center" wrapText="1"/>
    </xf>
    <xf numFmtId="0" fontId="19" fillId="16" borderId="1" applyAlignment="1" pivotButton="0" quotePrefix="0" xfId="0">
      <alignment horizontal="center" vertical="center" wrapText="1"/>
    </xf>
    <xf numFmtId="0" fontId="18" fillId="7" borderId="1" applyAlignment="1" pivotButton="0" quotePrefix="0" xfId="0">
      <alignment horizontal="center" vertical="center" wrapText="1"/>
    </xf>
    <xf numFmtId="0" fontId="6" fillId="3" borderId="1" applyAlignment="1" pivotButton="0" quotePrefix="0" xfId="0">
      <alignment vertical="top" wrapText="1"/>
    </xf>
    <xf numFmtId="0" fontId="20" fillId="0" borderId="0" pivotButton="0" quotePrefix="0" xfId="0"/>
    <xf numFmtId="0" fontId="6" fillId="7" borderId="1" applyAlignment="1" pivotButton="0" quotePrefix="0" xfId="0">
      <alignment vertical="top"/>
    </xf>
    <xf numFmtId="0" fontId="5" fillId="10" borderId="1" applyAlignment="1" pivotButton="0" quotePrefix="0" xfId="0">
      <alignment vertical="top" wrapText="1"/>
    </xf>
    <xf numFmtId="0" fontId="5" fillId="4" borderId="1" applyAlignment="1" pivotButton="0" quotePrefix="0" xfId="0">
      <alignment vertical="top" wrapText="1"/>
    </xf>
    <xf numFmtId="0" fontId="21" fillId="0" borderId="1" applyAlignment="1" pivotButton="0" quotePrefix="0" xfId="0">
      <alignment vertical="top" wrapText="1"/>
    </xf>
    <xf numFmtId="0" fontId="6" fillId="7" borderId="1" applyAlignment="1" pivotButton="0" quotePrefix="0" xfId="0">
      <alignment vertical="top" wrapText="1"/>
    </xf>
    <xf numFmtId="0" fontId="0" fillId="0" borderId="3" pivotButton="0" quotePrefix="0" xfId="0"/>
    <xf numFmtId="0" fontId="0" fillId="0" borderId="4" pivotButton="0" quotePrefix="0" xfId="0"/>
    <xf numFmtId="0" fontId="22" fillId="16" borderId="5" pivotButton="0" quotePrefix="0" xfId="0"/>
    <xf numFmtId="0" fontId="23" fillId="0" borderId="0" pivotButton="0" quotePrefix="0" xfId="0"/>
    <xf numFmtId="0" fontId="2" fillId="2" borderId="1" pivotButton="0" quotePrefix="0" xfId="0"/>
    <xf numFmtId="0" fontId="0" fillId="0" borderId="1" applyAlignment="1" pivotButton="0" quotePrefix="0" xfId="0">
      <alignment vertical="top" wrapText="1"/>
    </xf>
    <xf numFmtId="0" fontId="10" fillId="0" borderId="0" applyAlignment="1" pivotButton="0" quotePrefix="0" xfId="0">
      <alignment vertical="top" wrapText="1"/>
    </xf>
    <xf numFmtId="0" fontId="24" fillId="0" borderId="0" pivotButton="0" quotePrefix="0" xfId="0"/>
    <xf numFmtId="0" fontId="6" fillId="10" borderId="1" applyAlignment="1" pivotButton="0" quotePrefix="0" xfId="0">
      <alignment horizontal="center" vertical="center" wrapText="1"/>
    </xf>
  </cellXfs>
  <cellStyles count="1">
    <cellStyle name="Normal" xfId="0" builtinId="0" hidden="0"/>
  </cellStyles>
  <dxfs count="8">
    <dxf>
      <fill>
        <patternFill patternType="solid">
          <fgColor rgb="0000B050"/>
        </patternFill>
      </fill>
    </dxf>
    <dxf>
      <fill>
        <patternFill patternType="solid">
          <fgColor rgb="0092D050"/>
        </patternFill>
      </fill>
    </dxf>
    <dxf>
      <fill>
        <patternFill patternType="solid">
          <fgColor rgb="00C6EFCE"/>
        </patternFill>
      </fill>
    </dxf>
    <dxf>
      <fill>
        <patternFill patternType="solid">
          <fgColor rgb="00BDD7EE"/>
        </patternFill>
      </fill>
    </dxf>
    <dxf>
      <fill>
        <patternFill patternType="solid">
          <fgColor rgb="00D9D9D9"/>
        </patternFill>
      </fill>
    </dxf>
    <dxf>
      <fill>
        <patternFill patternType="solid">
          <fgColor rgb="00FFEB9C"/>
        </patternFill>
      </fill>
    </dxf>
    <dxf>
      <fill>
        <patternFill patternType="solid">
          <fgColor rgb="00F8CBAD"/>
        </patternFill>
      </fill>
    </dxf>
    <dxf>
      <fill>
        <patternFill patternType="solid">
          <fgColor rgb="00EDEDE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 Id="rIdExt1" Type="http://schemas.openxmlformats.org/officeDocument/2006/relationships/externalLink" Target="externalLinks/externalLink1.xml"/><Relationship Id="rIdExt2" Type="http://schemas.openxmlformats.org/officeDocument/2006/relationships/externalLink" Target="externalLinks/externalLink2.xml"/><Relationship Id="rIdExt3" Type="http://schemas.openxmlformats.org/officeDocument/2006/relationships/externalLink" Target="externalLinks/externalLink3.xml"/><Relationship Id="rIdExt4" Type="http://schemas.openxmlformats.org/officeDocument/2006/relationships/externalLink" Target="externalLinks/externalLink4.xml"/><Relationship Id="rIdExt5" Type="http://schemas.openxmlformats.org/officeDocument/2006/relationships/externalLink" Target="externalLinks/externalLink5.xml"/><Relationship Id="rIdExt6" Type="http://schemas.openxmlformats.org/officeDocument/2006/relationships/externalLink" Target="externalLinks/externalLink6.xml"/><Relationship Id="rIdExt7" Type="http://schemas.openxmlformats.org/officeDocument/2006/relationships/externalLink" Target="externalLinks/externalLink7.xml"/><Relationship Id="rIdExt8" Type="http://schemas.openxmlformats.org/officeDocument/2006/relationships/externalLink" Target="externalLinks/externalLink8.xml"/><Relationship Id="rIdExt9" Type="http://schemas.openxmlformats.org/officeDocument/2006/relationships/externalLink" Target="externalLinks/externalLink9.xml"/><Relationship Id="rIdExt10" Type="http://schemas.openxmlformats.org/officeDocument/2006/relationships/externalLink" Target="externalLinks/externalLink10.xml"/><Relationship Id="rIdExt11" Type="http://schemas.openxmlformats.org/officeDocument/2006/relationships/externalLink" Target="externalLinks/externalLink11.xml"/><Relationship Id="rIdExt12" Type="http://schemas.openxmlformats.org/officeDocument/2006/relationships/externalLink" Target="externalLinks/externalLink12.xml"/><Relationship Id="rIdExt13" Type="http://schemas.openxmlformats.org/officeDocument/2006/relationships/externalLink" Target="externalLinks/externalLink13.xml"/><Relationship Id="rIdExt14" Type="http://schemas.openxmlformats.org/officeDocument/2006/relationships/externalLink" Target="externalLinks/externalLink14.xml"/><Relationship Id="rIdExt15" Type="http://schemas.openxmlformats.org/officeDocument/2006/relationships/externalLink" Target="externalLinks/externalLink15.xml"/><Relationship Id="rIdExt16" Type="http://schemas.openxmlformats.org/officeDocument/2006/relationships/externalLink" Target="externalLinks/externalLink16.xml"/><Relationship Id="rIdExt17" Type="http://schemas.openxmlformats.org/officeDocument/2006/relationships/externalLink" Target="externalLinks/externalLink17.xml"/><Relationship Id="rIdExt18" Type="http://schemas.openxmlformats.org/officeDocument/2006/relationships/externalLink" Target="externalLinks/externalLink18.xml"/><Relationship Id="rIdExt19" Type="http://schemas.openxmlformats.org/officeDocument/2006/relationships/externalLink" Target="externalLinks/externalLink19.xml"/><Relationship Id="rIdExt20" Type="http://schemas.openxmlformats.org/officeDocument/2006/relationships/externalLink" Target="externalLinks/externalLink20.xml"/></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image" Target="/xl/media/image7.png" Id="rId1"/></Relationships>
</file>

<file path=xl/drawings/_rels/drawing8.xml.rels><Relationships xmlns="http://schemas.openxmlformats.org/package/2006/relationships"><Relationship Type="http://schemas.openxmlformats.org/officeDocument/2006/relationships/image" Target="/xl/media/image8.png" Id="rId1"/></Relationships>
</file>

<file path=xl/drawings/_rels/drawing9.xml.rels><Relationships xmlns="http://schemas.openxmlformats.org/package/2006/relationships"><Relationship Type="http://schemas.openxmlformats.org/officeDocument/2006/relationships/image" Target="/xl/media/image9.png" Id="rId1"/></Relationships>
</file>

<file path=xl/drawings/_rels/drawing10.xml.rels><Relationships xmlns="http://schemas.openxmlformats.org/package/2006/relationships"><Relationship Type="http://schemas.openxmlformats.org/officeDocument/2006/relationships/image" Target="/xl/media/image10.png" Id="rId1"/></Relationships>
</file>

<file path=xl/drawings/_rels/drawing11.xml.rels><Relationships xmlns="http://schemas.openxmlformats.org/package/2006/relationships"><Relationship Type="http://schemas.openxmlformats.org/officeDocument/2006/relationships/image" Target="/xl/media/image11.png" Id="rId1"/></Relationships>
</file>

<file path=xl/drawings/_rels/drawing12.xml.rels><Relationships xmlns="http://schemas.openxmlformats.org/package/2006/relationships"><Relationship Type="http://schemas.openxmlformats.org/officeDocument/2006/relationships/image" Target="/xl/media/image12.png" Id="rId1"/></Relationships>
</file>

<file path=xl/drawings/_rels/drawing13.xml.rels><Relationships xmlns="http://schemas.openxmlformats.org/package/2006/relationships"><Relationship Type="http://schemas.openxmlformats.org/officeDocument/2006/relationships/image" Target="/xl/media/image13.png" Id="rId1"/></Relationships>
</file>

<file path=xl/drawings/_rels/drawing14.xml.rels><Relationships xmlns="http://schemas.openxmlformats.org/package/2006/relationships"><Relationship Type="http://schemas.openxmlformats.org/officeDocument/2006/relationships/image" Target="/xl/media/image14.png" Id="rId1"/></Relationships>
</file>

<file path=xl/drawings/_rels/drawing15.xml.rels><Relationships xmlns="http://schemas.openxmlformats.org/package/2006/relationships"><Relationship Type="http://schemas.openxmlformats.org/officeDocument/2006/relationships/image" Target="/xl/media/image15.png" Id="rId1"/></Relationships>
</file>

<file path=xl/drawings/_rels/drawing16.xml.rels><Relationships xmlns="http://schemas.openxmlformats.org/package/2006/relationships"><Relationship Type="http://schemas.openxmlformats.org/officeDocument/2006/relationships/image" Target="/xl/media/image16.png" Id="rId1"/></Relationships>
</file>

<file path=xl/drawings/_rels/drawing17.xml.rels><Relationships xmlns="http://schemas.openxmlformats.org/package/2006/relationships"><Relationship Type="http://schemas.openxmlformats.org/officeDocument/2006/relationships/image" Target="/xl/media/image17.png" Id="rId1"/></Relationships>
</file>

<file path=xl/drawings/_rels/drawing18.xml.rels><Relationships xmlns="http://schemas.openxmlformats.org/package/2006/relationships"><Relationship Type="http://schemas.openxmlformats.org/officeDocument/2006/relationships/image" Target="/xl/media/image18.png" Id="rId1"/></Relationships>
</file>

<file path=xl/drawings/_rels/drawing19.xml.rels><Relationships xmlns="http://schemas.openxmlformats.org/package/2006/relationships"><Relationship Type="http://schemas.openxmlformats.org/officeDocument/2006/relationships/image" Target="/xl/media/image19.png" Id="rId1"/></Relationships>
</file>

<file path=xl/drawings/_rels/drawing20.xml.rels><Relationships xmlns="http://schemas.openxmlformats.org/package/2006/relationships"><Relationship Type="http://schemas.openxmlformats.org/officeDocument/2006/relationships/image" Target="/xl/media/image20.png" Id="rId1"/></Relationships>
</file>

<file path=xl/drawings/_rels/drawing21.xml.rels><Relationships xmlns="http://schemas.openxmlformats.org/package/2006/relationships"><Relationship Type="http://schemas.openxmlformats.org/officeDocument/2006/relationships/image" Target="/xl/media/image21.png" Id="rId1"/></Relationships>
</file>

<file path=xl/drawings/_rels/drawing22.xml.rels><Relationships xmlns="http://schemas.openxmlformats.org/package/2006/relationships"><Relationship Type="http://schemas.openxmlformats.org/officeDocument/2006/relationships/image" Target="/xl/media/image22.png" Id="rId1"/></Relationships>
</file>

<file path=xl/drawings/_rels/drawing23.xml.rels><Relationships xmlns="http://schemas.openxmlformats.org/package/2006/relationships"><Relationship Type="http://schemas.openxmlformats.org/officeDocument/2006/relationships/image" Target="/xl/media/image23.png" Id="rId1"/></Relationships>
</file>

<file path=xl/drawings/_rels/drawing24.xml.rels><Relationships xmlns="http://schemas.openxmlformats.org/package/2006/relationships"><Relationship Type="http://schemas.openxmlformats.org/officeDocument/2006/relationships/image" Target="/xl/media/image24.png" Id="rId1"/></Relationships>
</file>

<file path=xl/drawings/_rels/drawing25.xml.rels><Relationships xmlns="http://schemas.openxmlformats.org/package/2006/relationships"><Relationship Type="http://schemas.openxmlformats.org/officeDocument/2006/relationships/image" Target="/xl/media/image25.png" Id="rId1"/></Relationships>
</file>

<file path=xl/drawings/_rels/drawing26.xml.rels><Relationships xmlns="http://schemas.openxmlformats.org/package/2006/relationships"><Relationship Type="http://schemas.openxmlformats.org/officeDocument/2006/relationships/image" Target="/xl/media/image26.png" Id="rId1"/></Relationships>
</file>

<file path=xl/drawings/drawing1.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8.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9.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0.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1.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2.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3.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4.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5.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6.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7.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8.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9.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0.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1.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2.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3.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4.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5.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6.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externalLinks/_rels/externalLink1.xml.rels><?xml version="1.0" encoding="UTF-8" standalone="yes"?>
<Relationships xmlns="http://schemas.openxmlformats.org/package/2006/relationships"><Relationship Id="rId1" Type="http://schemas.openxmlformats.org/officeDocument/2006/relationships/externalLinkPath" Target="ABP%20-%20SR26%20sustainability%20reporting%20request.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RTS%20-%20SR26%20sustainability%20reporting%20request.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BE%20-%20SR26%20sustainability%20reporting%20request.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CI%20-%20SR26%20sustainability%20reporting%20request.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AM%20-%20SR26%20sustainability%20reporting%20request.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EIT%20-%20SR26%20sustainability%20reporting%20request.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oE%20-%20SR26%20sustainability%20reporting%20request.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LS%20-%20SR26%20sustainability%20reporting%20request.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DHS%20-%20SR26%20sustainability%20reporting%20request.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I%26S%20-%20SR26%20sustainability%20reporting%20request.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FOG%20-%20SR26%20sustainability%20reporting%20request.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ESG%20-%20SR26%20sustainability%20reporting%20request.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IOG%20-%20SR26%20sustainability%20reporting%20request.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RE%20-%20SR26%20sustainability%20reporting%20request.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CM%20-%20SR26%20sustainability%20reporting%20request.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GCE%20-%20SR26%20sustainability%20reporting%20request.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Education%20-%20SR26%20sustainability%20reporting%20request.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aSS%20-%20SR26%20sustainability%20reporting%20request.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ndigenous%20-%20SR26%20sustainability%20reporting%20request.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L%26R%20-%20SR26%20sustainability%20reporting%20request.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4. Quantitative data"/>
      <sheetName val="Lists"/>
    </sheetNames>
    <sheetDataSet>
      <sheetData sheetId="0"/>
      <sheetData sheetId="1"/>
      <sheetData sheetId="2"/>
      <sheetData sheetId="3"/>
      <sheetData sheetId="4"/>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4. Quantitative data"/>
      <sheetName val="Lists"/>
    </sheetNames>
    <sheetDataSet>
      <sheetData sheetId="0"/>
      <sheetData sheetId="1"/>
      <sheetData sheetId="2"/>
      <sheetData sheetId="3"/>
      <sheetData sheetId="4"/>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4. Quantitative data"/>
      <sheetName val="Lists"/>
    </sheetNames>
    <sheetDataSet>
      <sheetData sheetId="0"/>
      <sheetData sheetId="1"/>
      <sheetData sheetId="2"/>
      <sheetData sheetId="3"/>
      <sheetData sheetId="4"/>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4. Quantitative data"/>
      <sheetName val="Lists"/>
    </sheetNames>
    <sheetDataSet>
      <sheetData sheetId="0"/>
      <sheetData sheetId="1"/>
      <sheetData sheetId="2"/>
      <sheetData sheetId="3"/>
      <sheetData sheetId="4"/>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4. Quantitative data"/>
      <sheetName val="Lists"/>
    </sheetNames>
    <sheetDataSet>
      <sheetData sheetId="0"/>
      <sheetData sheetId="1"/>
      <sheetData sheetId="2"/>
      <sheetData sheetId="3"/>
      <sheetData sheetId="4"/>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_rels/sheet9.xml.rels><Relationships xmlns="http://schemas.openxmlformats.org/package/2006/relationships"><Relationship Type="http://schemas.openxmlformats.org/officeDocument/2006/relationships/drawing" Target="/xl/drawings/drawing9.xml" Id="rId1"/></Relationships>
</file>

<file path=xl/worksheets/_rels/sheet10.xml.rels><Relationships xmlns="http://schemas.openxmlformats.org/package/2006/relationships"><Relationship Type="http://schemas.openxmlformats.org/officeDocument/2006/relationships/drawing" Target="/xl/drawings/drawing10.xml" Id="rId1"/></Relationships>
</file>

<file path=xl/worksheets/_rels/sheet11.xml.rels><Relationships xmlns="http://schemas.openxmlformats.org/package/2006/relationships"><Relationship Type="http://schemas.openxmlformats.org/officeDocument/2006/relationships/drawing" Target="/xl/drawings/drawing11.xml" Id="rId1"/></Relationships>
</file>

<file path=xl/worksheets/_rels/sheet12.xml.rels><Relationships xmlns="http://schemas.openxmlformats.org/package/2006/relationships"><Relationship Type="http://schemas.openxmlformats.org/officeDocument/2006/relationships/drawing" Target="/xl/drawings/drawing12.xml" Id="rId1"/></Relationships>
</file>

<file path=xl/worksheets/_rels/sheet13.xml.rels><Relationships xmlns="http://schemas.openxmlformats.org/package/2006/relationships"><Relationship Type="http://schemas.openxmlformats.org/officeDocument/2006/relationships/drawing" Target="/xl/drawings/drawing13.xml" Id="rId1"/></Relationships>
</file>

<file path=xl/worksheets/_rels/sheet14.xml.rels><Relationships xmlns="http://schemas.openxmlformats.org/package/2006/relationships"><Relationship Type="http://schemas.openxmlformats.org/officeDocument/2006/relationships/drawing" Target="/xl/drawings/drawing14.xml" Id="rId1"/></Relationships>
</file>

<file path=xl/worksheets/_rels/sheet15.xml.rels><Relationships xmlns="http://schemas.openxmlformats.org/package/2006/relationships"><Relationship Type="http://schemas.openxmlformats.org/officeDocument/2006/relationships/drawing" Target="/xl/drawings/drawing15.xml" Id="rId1"/></Relationships>
</file>

<file path=xl/worksheets/_rels/sheet16.xml.rels><Relationships xmlns="http://schemas.openxmlformats.org/package/2006/relationships"><Relationship Type="http://schemas.openxmlformats.org/officeDocument/2006/relationships/drawing" Target="/xl/drawings/drawing16.xml" Id="rId1"/></Relationships>
</file>

<file path=xl/worksheets/_rels/sheet17.xml.rels><Relationships xmlns="http://schemas.openxmlformats.org/package/2006/relationships"><Relationship Type="http://schemas.openxmlformats.org/officeDocument/2006/relationships/drawing" Target="/xl/drawings/drawing17.xml" Id="rId1"/></Relationships>
</file>

<file path=xl/worksheets/_rels/sheet18.xml.rels><Relationships xmlns="http://schemas.openxmlformats.org/package/2006/relationships"><Relationship Type="http://schemas.openxmlformats.org/officeDocument/2006/relationships/drawing" Target="/xl/drawings/drawing18.xml" Id="rId1"/></Relationships>
</file>

<file path=xl/worksheets/_rels/sheet19.xml.rels><Relationships xmlns="http://schemas.openxmlformats.org/package/2006/relationships"><Relationship Type="http://schemas.openxmlformats.org/officeDocument/2006/relationships/drawing" Target="/xl/drawings/drawing19.xml" Id="rId1"/></Relationships>
</file>

<file path=xl/worksheets/_rels/sheet20.xml.rels><Relationships xmlns="http://schemas.openxmlformats.org/package/2006/relationships"><Relationship Type="http://schemas.openxmlformats.org/officeDocument/2006/relationships/drawing" Target="/xl/drawings/drawing20.xml" Id="rId1"/></Relationships>
</file>

<file path=xl/worksheets/_rels/sheet21.xml.rels><Relationships xmlns="http://schemas.openxmlformats.org/package/2006/relationships"><Relationship Type="http://schemas.openxmlformats.org/officeDocument/2006/relationships/drawing" Target="/xl/drawings/drawing21.xml" Id="rId1"/></Relationships>
</file>

<file path=xl/worksheets/_rels/sheet22.xml.rels><Relationships xmlns="http://schemas.openxmlformats.org/package/2006/relationships"><Relationship Type="http://schemas.openxmlformats.org/officeDocument/2006/relationships/drawing" Target="/xl/drawings/drawing22.xml" Id="rId1"/></Relationships>
</file>

<file path=xl/worksheets/_rels/sheet23.xml.rels><Relationships xmlns="http://schemas.openxmlformats.org/package/2006/relationships"><Relationship Type="http://schemas.openxmlformats.org/officeDocument/2006/relationships/drawing" Target="/xl/drawings/drawing23.xml" Id="rId1"/></Relationships>
</file>

<file path=xl/worksheets/_rels/sheet24.xml.rels><Relationships xmlns="http://schemas.openxmlformats.org/package/2006/relationships"><Relationship Type="http://schemas.openxmlformats.org/officeDocument/2006/relationships/drawing" Target="/xl/drawings/drawing24.xml" Id="rId1"/></Relationships>
</file>

<file path=xl/worksheets/_rels/sheet25.xml.rels><Relationships xmlns="http://schemas.openxmlformats.org/package/2006/relationships"><Relationship Type="http://schemas.openxmlformats.org/officeDocument/2006/relationships/drawing" Target="/xl/drawings/drawing25.xml" Id="rId1"/></Relationships>
</file>

<file path=xl/worksheets/_rels/sheet26.xml.rels><Relationships xmlns="http://schemas.openxmlformats.org/package/2006/relationships"><Relationship Type="http://schemas.openxmlformats.org/officeDocument/2006/relationships/drawing" Target="/xl/drawings/drawing26.xml" Id="rId1"/></Relationships>
</file>

<file path=xl/worksheets/sheet1.xml><?xml version="1.0" encoding="utf-8"?>
<worksheet xmlns="http://schemas.openxmlformats.org/spreadsheetml/2006/main">
  <sheetPr>
    <outlinePr summaryBelow="1" summaryRight="1"/>
    <pageSetUpPr/>
  </sheetPr>
  <dimension ref="A1:R13"/>
  <sheetViews>
    <sheetView showGridLines="0" workbookViewId="0">
      <selection activeCell="A1" sqref="A1"/>
    </sheetView>
  </sheetViews>
  <sheetFormatPr baseColWidth="8" defaultRowHeight="15"/>
  <cols>
    <col width="4" customWidth="1" min="1" max="1"/>
    <col width="22" customWidth="1" min="2" max="2"/>
    <col width="120"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2026 Sustainability Report – data collection master</t>
        </is>
      </c>
      <c r="C2" s="1" t="n"/>
      <c r="D2" s="1" t="n"/>
      <c r="E2" s="1" t="n"/>
      <c r="F2" s="1" t="n"/>
      <c r="G2" s="1" t="n"/>
      <c r="H2" s="1" t="n"/>
      <c r="I2" s="1" t="n"/>
      <c r="J2" s="1" t="n"/>
      <c r="K2" s="1" t="n"/>
      <c r="L2" s="1" t="n"/>
      <c r="M2" s="1" t="n"/>
      <c r="N2" s="1" t="n"/>
      <c r="O2" s="1" t="n"/>
      <c r="P2" s="1" t="n"/>
      <c r="Q2" s="1" t="n"/>
      <c r="R2" s="1" t="n"/>
    </row>
    <row r="3"/>
    <row r="4" ht="45" customHeight="1">
      <c r="B4" s="3" t="inlineStr">
        <is>
          <t>Purpose</t>
        </is>
      </c>
      <c r="C4" s="4" t="inlineStr">
        <is>
          <t>Central record of SR26 data requirements, owners, reporting requests, responses and evidence. Adapted from the 2025 end-year reporting master spreadsheet (V0.2) and the Sustainability 2030 updated targets (Qual and Quan worksheets).</t>
        </is>
      </c>
    </row>
    <row r="5" ht="39" customHeight="1">
      <c r="B5" s="3" t="inlineStr">
        <is>
          <t>Status</t>
        </is>
      </c>
      <c r="C5" s="4" t="inlineStr">
        <is>
          <t>DRAFT v0.23 – 9 faculties (ABP, ARTS, FBE, SCI, FAM, FEIT, FoE, MLS, MDHS) and 11 central units (CI&amp;S, CFOG, ESG, CIOG, MRE, AC&amp;M, GCE, Education, SaSS, Indigenous, L&amp;R).</t>
        </is>
      </c>
    </row>
    <row r="6" ht="60" customHeight="1">
      <c r="B6" s="3" t="inlineStr">
        <is>
          <t>Reporting approach</t>
        </is>
      </c>
      <c r="C6" s="4" t="inlineStr">
        <is>
          <t>Transition year: cover all of CY2026, distinguishing former Sustainability Plan 2030 activity from foundations and early actions after the Sustainability 2030 launch (~20 Oct 2026). Databook is the authoritative quantitative source. No target status rating (Met/Partially met/Not met) is requested in 2026 (team decision) – requests collect commentary and evidence only.</t>
        </is>
      </c>
    </row>
    <row r="7" ht="72" customHeight="1">
      <c r="B7" s="3" t="inlineStr">
        <is>
          <t>Key dates (TBC)</t>
        </is>
      </c>
      <c r="C7" s="4" t="inlineStr">
        <is>
          <t>Early engagement (existing meetings): w/c 26 Oct 2026 | Requests issued: W1 Nov (from 2 Nov) | Collection period incl. optional 1:1 meetings: 2 Nov – 24 Dec (~7 weeks) | Responses and highlighted stories due: Thursday 24 December 2026 (Christmas shutdown) | First review: w/c 4 Jan 2027 | Targeted follow-up: 4–15 Jan | Consolidated master: w/c 18 Jan | Governance paper deadlines: see P2 in the project workbook (placeholders from SR25)</t>
        </is>
      </c>
    </row>
    <row r="8" ht="405" customHeight="1">
      <c r="B8" s="3" t="inlineStr">
        <is>
          <t>Tabs</t>
        </is>
      </c>
      <c r="C8" s="4" t="inlineStr">
        <is>
          <t>1. Requirements matrix – every S2030 qualitative indicator, owner and request
2. Quant coverage – every quantitative indicator checked against the Databook draft, owner and action
2b. Databook register – every Databook data point with columns to confirm definition, source, owner
3. Stakeholder map – SR25 → SR26 unit mapping
3b. RASCI matrix – A/R/S/C/I roles per indicator and area (SR25 RASCI format), with counts
4. Request tracker – sent/chased/received/confirmed status and response rate
Faculties / CI&amp;S / CFOG / ESG / CIOG / MRE / L&amp;R – consolidated responses (copy in from returned request workbooks; same layout)
Highlighted stories – consolidated optional stories and case-study shortlist
A1. Response summary – auto-pulls every unit's responses per indicator; counts units asked, responses received and owner-confirmed
T1. Manual target review – every indicator with responses from the units asked, side by side, plus reviewer notes
T2. Single target review – pick an indicator and see all units' responses and the scored status
Request wording log – original S2030 wording vs tailored faculty request wording
Evidence register – source, evidence, limitations and owner confirmation for every material claim
Issues log – open questions, TBCs and decisions
Project management tabs (overview, plan, timeline, comms/web to-do, content checklist, page index) are in the separate 'SR26 project management' workbook</t>
        </is>
      </c>
    </row>
    <row r="9" ht="39" customHeight="1">
      <c r="B9" s="3" t="inlineStr">
        <is>
          <t>Refs</t>
        </is>
      </c>
      <c r="C9" s="4" t="inlineStr">
        <is>
          <t>Refs are new SR26 codes: priority-area code + target number + indicator letter (e.g. EE1(a) = Exceptional education, target 1, indicator a). 'Related SR25 ref' links to the closest SP2030 (2025) target where one exists.</t>
        </is>
      </c>
    </row>
    <row r="10" ht="39" customHeight="1">
      <c r="B10" s="3" t="inlineStr">
        <is>
          <t>Regenerating</t>
        </is>
      </c>
      <c r="C10" s="4" t="inlineStr">
        <is>
          <t>Workbooks are generated by build.py in the repository. Edit the settings at the top (due dates, faculties, unit mapping) and re-run to produce request workbooks for additional faculties/units.</t>
        </is>
      </c>
    </row>
    <row r="11" ht="945" customHeight="1">
      <c r="B11" s="3" t="inlineStr">
        <is>
          <t>Version history</t>
        </is>
      </c>
      <c r="C11" s="4" t="inlineStr">
        <is>
          <t>v0.1: First draft: requirements matrix, pilot faculty and central-unit requests, tracker, evidence register.
v0.2: SR25-style faculty wording and 'How SST will use'; scoring/T1/T2 formulas; Legal &amp; Risk; project tabs; linked SR25 responses tab.
v0.3: Quantitative indicators separated: removed from requirements matrix; '2. Quant coverage' and '2b. Databook register' against the Databook draft; '4. Quantitative data' tab in central-unit requests.
v0.4: RASCI rebuilt to the SR25 standard ('3b. RASCI matrix'): indicator hierarchy, consolidated portfolios, SST contacts, A/R/S/C/I codes, summary counts.
v0.5: '3c. RASCI triangulation': each SR26 indicator compared with the SR25 RASCI (equivalent targets, translated areas), gaps and suggested actions.
v0.6: Chancellery units added following SR25 (ACM, CGCE, Chancellery Education, SASS, Chancellery Indigenous) with linked SR25 responses; cross-tab consistency check (check.py); Impact column added to Issues log (as SR25).
v0.7: Team review: Chancellery units as separate tabs (AC&amp;M, MRE, GCE, Education, SaSS, Indigenous); faculty requests cut down (ABP walkthrough) – EE1(a)+(c) merged, 'any examples' wording, alumni to SaSS, CL2(a)/(c) to AC&amp;M, TR3(a)/(c)/(d) to MRE; simpler evidence register; highlighted stories compiled per unit with SST priority-area columns; project tabs moved to a separate project workbook.
v0.8: TR1(b)–(d) to MRE only; EN1(d) removed from faculties (9 faculty questions); note on EE1(c) in T1/T2 that faculty answers sit under EE1(a).
v0.9: Team timeline applied: early engagement w/c 26 Oct; requests W1 Nov; due 15 Dec 2026 (responses and stories); first review W3 Dec; follow-up W3–W4 Dec; consolidation W4 Dec; CDSS as contact; optional 1:1 meetings; tracker statuses and project timeline updated.
v0.10: RASCI: the four pilot faculties merged into one 'Faculties' column (identical requests; SR25 contacts kept in the contact row).
v0.11: Removed '3c. RASCI triangulation' (agreed and applied) and '0.5 Target Check' (T2 now reads 'Requested?' from A1).
v0.12: Teams linking (pilot: ABP): request files get stable names and protected layouts; master Faculties ABP rows and ABP story slots linked to the ABP file in the same folder; tracker counts answered and owner-confirmed rows automatically.
v0.13: Formatting fixes in request files: no frozen panes (titles were clipped), 'SR25 response' header no longer merged across hidden columns, wider column H.
v0.14: No target status rating in 2026 (Rose): rating column and definitions removed from all requests; A1 renamed 'A1. Response summary' (units asked, responses received, awaiting, owner confirmed); T1/T2 and tracker updated; columns shift left by one.
v0.15: Fix workbook links: external reference written in Excel's syntax ('[1]Sheet'!A1, not [1]'Sheet'!A1); link lists the request file's actual sheet names.
v0.16: Master unit tabs: SR25 columns I–K group now shows its [+] button (outline level declared as in SR25; collapsed flag on column H).
v0.17: Excel-online formatting pass on every tab: row 1 header and version removed; header rows frozen only (no frozen columns clipping titles); row heights sized to wrapped text; taller title row.
v0.18: Workbook links look up each indicator ref (and story number) in the request file instead of fixed rows, so they survive row changes; all four pilot faculties linked (ABP, Arts, FBE, Science).
v0.19: All 15 request workbooks linked (4 faculties + 11 central units): answers into each unit tab, stories into the compiled tab.
v0.20: Request files for CI&amp;S and L&amp;R named with '&amp;' (CI&amp;S / L&amp;R - SR26 sustainability reporting request.xlsx); master links updated.
v0.21: All 9 faculties: FAM, FEIT, FoE, MLS and MDHS added (same 9 questions, own SR25 responses, linked into the master).
v0.22: CDSS references unified to the Sustainability Strategy team (SST) – same team; MRE section label clarified (MBI = Melbourne Biodiversity Institute, NB2(a) nature footprint).
v0.23: Rose feedback: due 24 Dec 2026 (Christmas shutdown); end-2025 pointer moved to the end of each request and 'build on this' sentence removed; EE1(a) notes the 23 Nov joint ADs session, Melbourne Plus/Wattle note removed; EE1(b) dropped for ABP only; new CLLAP wording; MRE spelled out; P2 Gantt rebuilt with governance paper deadlines (SR25 placeholders, -3 days leader review); University of Melbourne navy banner and logo on all tabs.</t>
        </is>
      </c>
    </row>
    <row r="12" ht="39" customHeight="1">
      <c r="B12" s="3" t="inlineStr">
        <is>
          <t>Request wording</t>
        </is>
      </c>
      <c r="C12" s="4" t="inlineStr">
        <is>
          <t>Faculty requests are rewritten in the SR25 style and point to each faculty's end-2025 response (see Request wording log). Central-unit requests use the S2030 'Qual' worksheet wording as-is.</t>
        </is>
      </c>
    </row>
    <row r="13" ht="39" customHeight="1">
      <c r="B13" s="3" t="inlineStr">
        <is>
          <t>Formulas</t>
        </is>
      </c>
      <c r="C13" s="4" t="inlineStr">
        <is>
          <t>Responses must be pasted into the Faculties/central-unit tabs keeping the same rows – A1, 0.5 and T2 look them up by Ref. Do not insert rows inside a block; add new units by re-running build.py.</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R43"/>
  <sheetViews>
    <sheetView showGridLines="0" workbookViewId="0">
      <pane ySplit="5" topLeftCell="A6" activePane="bottomLeft" state="frozen"/>
      <selection pane="bottomLeft"/>
      <selection pane="bottomLeft"/>
      <selection pane="bottomRight" activeCell="A1" sqref="A1"/>
    </sheetView>
  </sheetViews>
  <sheetFormatPr baseColWidth="8" defaultRowHeight="15"/>
  <cols>
    <col width="13" customWidth="1" min="1" max="1"/>
    <col width="9" customWidth="1" min="2" max="2"/>
    <col width="16" customWidth="1" min="3" max="3"/>
    <col width="18" customWidth="1" min="4" max="4"/>
    <col width="40" customWidth="1" min="5" max="5"/>
    <col width="40" customWidth="1" min="6" max="6"/>
    <col width="50" customWidth="1" min="7" max="7"/>
    <col width="18" customWidth="1" min="8" max="8"/>
    <col width="22" customWidth="1" min="9" max="9"/>
    <col width="40" customWidth="1" min="10" max="10"/>
    <col width="11" customWidth="1" min="11" max="11"/>
    <col width="12" customWidth="1" min="12" max="12"/>
    <col width="30" customWidth="1" min="13" max="13"/>
    <col width="10" customWidth="1" min="14" max="14"/>
    <col width="18" customWidth="1" min="15" max="15"/>
    <col width="24" customWidth="1" min="16" max="16"/>
    <col width="12"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1. Requirements matrix (qualitative)</t>
        </is>
      </c>
      <c r="C2" s="1" t="n"/>
      <c r="D2" s="1" t="n"/>
      <c r="E2" s="1" t="n"/>
      <c r="F2" s="1" t="n"/>
      <c r="G2" s="1" t="n"/>
      <c r="H2" s="1" t="n"/>
      <c r="I2" s="1" t="n"/>
      <c r="J2" s="1" t="n"/>
      <c r="K2" s="1" t="n"/>
      <c r="L2" s="1" t="n"/>
      <c r="M2" s="1" t="n"/>
      <c r="N2" s="1" t="n"/>
      <c r="O2" s="1" t="n"/>
      <c r="P2" s="1" t="n"/>
      <c r="Q2" s="1" t="n"/>
      <c r="R2" s="1" t="n"/>
    </row>
    <row r="3"/>
    <row r="4"/>
    <row r="5" ht="60" customHeight="1">
      <c r="B5" s="5" t="inlineStr">
        <is>
          <t>Ref</t>
        </is>
      </c>
      <c r="C5" s="5" t="inlineStr">
        <is>
          <t>Domain</t>
        </is>
      </c>
      <c r="D5" s="5" t="inlineStr">
        <is>
          <t>Priority area</t>
        </is>
      </c>
      <c r="E5" s="5" t="inlineStr">
        <is>
          <t>Target</t>
        </is>
      </c>
      <c r="F5" s="5" t="inlineStr">
        <is>
          <t>Indicator</t>
        </is>
      </c>
      <c r="G5" s="5" t="inlineStr">
        <is>
          <t>Reporting requirement (S2030 Qual sheet)</t>
        </is>
      </c>
      <c r="H5" s="5" t="inlineStr">
        <is>
          <t>Key stakeholders (S2030 sheet)</t>
        </is>
      </c>
      <c r="I5" s="5" t="inlineStr">
        <is>
          <t>SR26 request issued to</t>
        </is>
      </c>
      <c r="J5" s="5" t="inlineStr">
        <is>
          <t>Specific projects we are aware of (area &amp; person)</t>
        </is>
      </c>
      <c r="K5" s="5" t="inlineStr">
        <is>
          <t>Internal vs External</t>
        </is>
      </c>
      <c r="L5" s="5" t="inlineStr">
        <is>
          <t>Flag for continuous improvement</t>
        </is>
      </c>
      <c r="M5" s="5" t="inlineStr">
        <is>
          <t>Notes</t>
        </is>
      </c>
      <c r="N5" s="5" t="inlineStr">
        <is>
          <t>Related SR25 ref</t>
        </is>
      </c>
      <c r="O5" s="5" t="inlineStr">
        <is>
          <t>Channel</t>
        </is>
      </c>
      <c r="P5" s="5" t="inlineStr">
        <is>
          <t>Quantitative component</t>
        </is>
      </c>
      <c r="Q5" s="5" t="inlineStr">
        <is>
          <t>Owner confirmed?</t>
        </is>
      </c>
    </row>
    <row r="6" ht="105" customHeight="1">
      <c r="B6" s="6" t="inlineStr">
        <is>
          <t>EE1(a)</t>
        </is>
      </c>
      <c r="C6" s="7" t="inlineStr">
        <is>
          <t>Education and research</t>
        </is>
      </c>
      <c r="D6" s="7" t="inlineStr">
        <is>
          <t>Exceptional education</t>
        </is>
      </c>
      <c r="E6" s="7" t="inlineStr">
        <is>
          <t>Provide our students with learning experiences that help them build the knowledge, skills and relationships to lead change for sustainable societies.</t>
        </is>
      </c>
      <c r="F6" s="7" t="inlineStr">
        <is>
          <t>Evidence of innovative approaches to sustainability teaching and learning</t>
        </is>
      </c>
      <c r="G6" s="7"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H6" s="7" t="inlineStr">
        <is>
          <t>Faculties, CI&amp;S</t>
        </is>
      </c>
      <c r="I6" s="7" t="inlineStr">
        <is>
          <t>Faculties, CI&amp;S, Education</t>
        </is>
      </c>
      <c r="J6" s="7" t="inlineStr"/>
      <c r="K6" s="7" t="inlineStr">
        <is>
          <t>Both</t>
        </is>
      </c>
      <c r="L6" s="7" t="inlineStr">
        <is>
          <t>No</t>
        </is>
      </c>
      <c r="M6" s="7" t="inlineStr"/>
      <c r="N6" s="7" t="inlineStr">
        <is>
          <t>4a(ii)</t>
        </is>
      </c>
      <c r="O6" s="7" t="inlineStr">
        <is>
          <t>Tailored request</t>
        </is>
      </c>
      <c r="P6" s="7" t="inlineStr"/>
      <c r="Q6" s="7" t="inlineStr"/>
    </row>
    <row r="7" ht="105" customHeight="1">
      <c r="B7" s="6" t="inlineStr">
        <is>
          <t>EE1(b)</t>
        </is>
      </c>
      <c r="C7" s="7" t="inlineStr">
        <is>
          <t>Education and research</t>
        </is>
      </c>
      <c r="D7" s="7" t="inlineStr">
        <is>
          <t>Exceptional education</t>
        </is>
      </c>
      <c r="E7" s="7" t="inlineStr">
        <is>
          <t>Provide our students with learning experiences that help them build the knowledge, skills and relationships to lead change for sustainable societies.</t>
        </is>
      </c>
      <c r="F7" s="7" t="inlineStr">
        <is>
          <t>Pilots of possible approaches for understanding and developing students’ sustainability self-efficacy</t>
        </is>
      </c>
      <c r="G7" s="7"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H7" s="7" t="inlineStr">
        <is>
          <t>Faculties, CI&amp;S</t>
        </is>
      </c>
      <c r="I7" s="7" t="inlineStr">
        <is>
          <t>Faculties, CI&amp;S, Education</t>
        </is>
      </c>
      <c r="J7" s="7" t="inlineStr">
        <is>
          <t>* Living Lab project (case study): Personalising Sustainability Pathways for students - Sustainability Strengths Compass. Project lead: Dianne Vella Brodrick. Funded partly by the Campus Living Lab Accelerator Program (CLLAP) (SST)</t>
        </is>
      </c>
      <c r="K7" s="7" t="inlineStr">
        <is>
          <t>Both</t>
        </is>
      </c>
      <c r="L7" s="7" t="inlineStr">
        <is>
          <t>No</t>
        </is>
      </c>
      <c r="M7" s="7" t="inlineStr"/>
      <c r="N7" s="7" t="inlineStr"/>
      <c r="O7" s="7" t="inlineStr">
        <is>
          <t>Tailored request</t>
        </is>
      </c>
      <c r="P7" s="7" t="inlineStr"/>
      <c r="Q7" s="7" t="inlineStr"/>
    </row>
    <row r="8" ht="204" customHeight="1">
      <c r="B8" s="6" t="inlineStr">
        <is>
          <t>EE1(c)</t>
        </is>
      </c>
      <c r="C8" s="7" t="inlineStr">
        <is>
          <t>Education and research</t>
        </is>
      </c>
      <c r="D8" s="7" t="inlineStr">
        <is>
          <t>Exceptional education</t>
        </is>
      </c>
      <c r="E8" s="7" t="inlineStr">
        <is>
          <t>Provide our students with learning experiences that help them build the knowledge, skills and relationships to lead change for sustainable societies.</t>
        </is>
      </c>
      <c r="F8" s="7" t="inlineStr">
        <is>
          <t>Evidence of sustainability focused experiential and co curricular learning (eg Wattle Fellowship; Melbourne Plus)</t>
        </is>
      </c>
      <c r="G8" s="7"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H8" s="7" t="inlineStr">
        <is>
          <t>Faculties, CI&amp;S</t>
        </is>
      </c>
      <c r="I8" s="7" t="inlineStr">
        <is>
          <t>CI&amp;S, SaSS</t>
        </is>
      </c>
      <c r="J8" s="7" t="inlineStr">
        <is>
          <t>* Wattle Fellowship (Linh Do); Wattle Fellowship could provide case studies and have an annual report. 
* Student and Scholarly Services (SASS - Melbourne Plus - Jess Trevitt) - how would we frame the ask differently for these data owners since we already know they offer experiential/co-curriculuar learning? SASS and Melbourne Plus can provide number of completions of students in the Sustainability Advocacy stream, and case studies.</t>
        </is>
      </c>
      <c r="K8" s="7" t="inlineStr">
        <is>
          <t>Both</t>
        </is>
      </c>
      <c r="L8" s="7" t="inlineStr">
        <is>
          <t>No</t>
        </is>
      </c>
      <c r="M8" s="7" t="inlineStr"/>
      <c r="N8" s="7" t="inlineStr"/>
      <c r="O8" s="7" t="inlineStr">
        <is>
          <t>Tailored request</t>
        </is>
      </c>
      <c r="P8" s="7" t="inlineStr">
        <is>
          <t>Yes – Yes – data held (2023–2025); see 2. Quant coverage</t>
        </is>
      </c>
      <c r="Q8" s="7" t="inlineStr"/>
    </row>
    <row r="9" ht="122" customHeight="1">
      <c r="B9" s="6" t="inlineStr">
        <is>
          <t>EE1(d)</t>
        </is>
      </c>
      <c r="C9" s="7" t="inlineStr">
        <is>
          <t>Education and research</t>
        </is>
      </c>
      <c r="D9" s="7" t="inlineStr">
        <is>
          <t>Exceptional education</t>
        </is>
      </c>
      <c r="E9" s="7" t="inlineStr">
        <is>
          <t>Provide our students with learning experiences that help them build the knowledge, skills and relationships to lead change for sustainable societies.</t>
        </is>
      </c>
      <c r="F9" s="7" t="inlineStr">
        <is>
          <t>Alumni profiles demonstrating how graduates contribute to sustainability through their careers or communities.</t>
        </is>
      </c>
      <c r="G9" s="7" t="inlineStr">
        <is>
          <t>Please provide examples or profiles of graduates or alumni from your Faculty who demonstrate how they apply sustainability knowledge, skills or capabilities through their careers, communities or other activities. Where available, include any evidence used by the Faculty to understand graduate outcomes related to sustainability.</t>
        </is>
      </c>
      <c r="H9" s="7" t="inlineStr">
        <is>
          <t>Faculties, CI&amp;S</t>
        </is>
      </c>
      <c r="I9" s="7" t="inlineStr">
        <is>
          <t>SaSS</t>
        </is>
      </c>
      <c r="J9" s="7" t="inlineStr"/>
      <c r="K9" s="7" t="inlineStr">
        <is>
          <t>Both</t>
        </is>
      </c>
      <c r="L9" s="7" t="inlineStr">
        <is>
          <t>No</t>
        </is>
      </c>
      <c r="M9" s="7" t="inlineStr"/>
      <c r="N9" s="7" t="inlineStr">
        <is>
          <t>4b(i)</t>
        </is>
      </c>
      <c r="O9" s="7" t="inlineStr">
        <is>
          <t>Tailored request</t>
        </is>
      </c>
      <c r="P9" s="7" t="inlineStr">
        <is>
          <t>Yes – Yes – metrics defined, no data yet; see 2. Quant coverage</t>
        </is>
      </c>
      <c r="Q9" s="7" t="inlineStr"/>
    </row>
    <row r="10" ht="154" customHeight="1">
      <c r="B10" s="6" t="inlineStr">
        <is>
          <t>TR1(a)</t>
        </is>
      </c>
      <c r="C10" s="7" t="inlineStr">
        <is>
          <t>Education and research</t>
        </is>
      </c>
      <c r="D10" s="7" t="inlineStr">
        <is>
          <t>Transformational research</t>
        </is>
      </c>
      <c r="E10" s="7" t="inlineStr">
        <is>
          <t>Utilise the expertise of the University’s researchers through mutually beneficial partnerships to help address the University’s operational sustainability challenges.</t>
        </is>
      </c>
      <c r="F10" s="7" t="inlineStr">
        <is>
          <t>Expert-reviewed evidence of researchers contributing to operational sustainability priorities through partnerships, advisory input, living labs, applied projects or decision-support</t>
        </is>
      </c>
      <c r="G10" s="7"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H10" s="7" t="inlineStr">
        <is>
          <t>Faculties, CI&amp;S</t>
        </is>
      </c>
      <c r="I10" s="7" t="inlineStr">
        <is>
          <t>Faculties, CI&amp;S</t>
        </is>
      </c>
      <c r="J10" s="7" t="inlineStr">
        <is>
          <t>MRE
Campus Living Lab Accelerator Program (CLLAP) case studies (CI&amp;S).
Also Enterprise Services Group - Campus Operations and Delivery (COD) might have collaborations we're not aware of (e.g. Rachael Miller)</t>
        </is>
      </c>
      <c r="K10" s="7" t="inlineStr">
        <is>
          <t>Both</t>
        </is>
      </c>
      <c r="L10" s="7" t="inlineStr">
        <is>
          <t>No</t>
        </is>
      </c>
      <c r="M10" s="7" t="inlineStr"/>
      <c r="N10" s="7" t="inlineStr">
        <is>
          <t>2a</t>
        </is>
      </c>
      <c r="O10" s="7" t="inlineStr">
        <is>
          <t>Tailored request</t>
        </is>
      </c>
      <c r="P10" s="7" t="inlineStr"/>
      <c r="Q10" s="7" t="inlineStr"/>
    </row>
    <row r="11" ht="105" customHeight="1">
      <c r="B11" s="6" t="inlineStr">
        <is>
          <t>TR1(b)</t>
        </is>
      </c>
      <c r="C11" s="7" t="inlineStr">
        <is>
          <t>Education and research</t>
        </is>
      </c>
      <c r="D11" s="7" t="inlineStr">
        <is>
          <t>Transformational research</t>
        </is>
      </c>
      <c r="E11" s="7" t="inlineStr">
        <is>
          <t>Utilise the expertise of the University’s researchers through mutually beneficial partnerships to help address the University’s operational sustainability challenges.</t>
        </is>
      </c>
      <c r="F11" s="7" t="inlineStr">
        <is>
          <t>Evidence of institutional pathways that enable ongoing collaboration between academic and professional staff</t>
        </is>
      </c>
      <c r="G11" s="7" t="inlineStr">
        <is>
          <t>Please describe any pathways, mechanisms or processes within your Faculty/Portfolio that enable ongoing collaboration between academic and professional staff on operational sustainability challenges, could include formal programs, governance arrangements, funding mechanisms or coordination channels.</t>
        </is>
      </c>
      <c r="H11" s="7" t="inlineStr">
        <is>
          <t>Faculties</t>
        </is>
      </c>
      <c r="I11" s="7" t="inlineStr">
        <is>
          <t>MRE</t>
        </is>
      </c>
      <c r="J11" s="7" t="inlineStr">
        <is>
          <t>MRE</t>
        </is>
      </c>
      <c r="K11" s="7" t="inlineStr">
        <is>
          <t>Both</t>
        </is>
      </c>
      <c r="L11" s="7" t="inlineStr">
        <is>
          <t>No</t>
        </is>
      </c>
      <c r="M11" s="7" t="inlineStr"/>
      <c r="N11" s="7" t="inlineStr"/>
      <c r="O11" s="7" t="inlineStr">
        <is>
          <t>Tailored request</t>
        </is>
      </c>
      <c r="P11" s="7" t="inlineStr"/>
      <c r="Q11" s="7" t="inlineStr"/>
    </row>
    <row r="12" ht="105" customHeight="1">
      <c r="B12" s="6" t="inlineStr">
        <is>
          <t>TR1(c)</t>
        </is>
      </c>
      <c r="C12" s="7" t="inlineStr">
        <is>
          <t>Education and research</t>
        </is>
      </c>
      <c r="D12" s="7" t="inlineStr">
        <is>
          <t>Transformational research</t>
        </is>
      </c>
      <c r="E12" s="7" t="inlineStr">
        <is>
          <t>Utilise the expertise of the University’s researchers through mutually beneficial partnerships to help address the University’s operational sustainability challenges.</t>
        </is>
      </c>
      <c r="F12" s="7" t="inlineStr">
        <is>
          <t>Expert assessment of the quality, relevance and continuity of these collaborations</t>
        </is>
      </c>
      <c r="G12" s="7" t="inlineStr">
        <is>
          <t>Please provide an assessment of the quality, relevance and continuity of sustainability-related collaborations involving your Faculty/Portfolio, could include evidence of whether collaborations are sustained, useful to operational priorities and producing relevant outcomes.</t>
        </is>
      </c>
      <c r="H12" s="7" t="inlineStr">
        <is>
          <t>Faculties</t>
        </is>
      </c>
      <c r="I12" s="7" t="inlineStr">
        <is>
          <t>MRE</t>
        </is>
      </c>
      <c r="J12" s="7" t="inlineStr">
        <is>
          <t>MRE</t>
        </is>
      </c>
      <c r="K12" s="7" t="inlineStr">
        <is>
          <t>Both</t>
        </is>
      </c>
      <c r="L12" s="7" t="inlineStr">
        <is>
          <t>No</t>
        </is>
      </c>
      <c r="M12" s="7" t="inlineStr"/>
      <c r="N12" s="7" t="inlineStr"/>
      <c r="O12" s="7" t="inlineStr">
        <is>
          <t>Tailored request</t>
        </is>
      </c>
      <c r="P12" s="7" t="inlineStr"/>
      <c r="Q12" s="7" t="inlineStr"/>
    </row>
    <row r="13" ht="90" customHeight="1">
      <c r="B13" s="6" t="inlineStr">
        <is>
          <t>TR1(d)</t>
        </is>
      </c>
      <c r="C13" s="7" t="inlineStr">
        <is>
          <t>Education and research</t>
        </is>
      </c>
      <c r="D13" s="7" t="inlineStr">
        <is>
          <t>Transformational research</t>
        </is>
      </c>
      <c r="E13" s="7" t="inlineStr">
        <is>
          <t>Utilise the expertise of the University’s researchers through mutually beneficial partnerships to help address the University’s operational sustainability challenges.</t>
        </is>
      </c>
      <c r="F13" s="7" t="inlineStr">
        <is>
          <t>Periodic feedback from participants on the effectiveness and mutual benefit of collaboration mechanisms.</t>
        </is>
      </c>
      <c r="G13" s="7" t="inlineStr">
        <is>
          <t>Please provide any participant feedback or other evidence from your Faculty/Portfolio on the effectiveness and mutual benefit of collaboration mechanisms between researchers and operational teams, could include key findings and any improvements identified.</t>
        </is>
      </c>
      <c r="H13" s="7" t="inlineStr">
        <is>
          <t>Faculties</t>
        </is>
      </c>
      <c r="I13" s="7" t="inlineStr">
        <is>
          <t>MRE</t>
        </is>
      </c>
      <c r="J13" s="7" t="inlineStr">
        <is>
          <t>MRE</t>
        </is>
      </c>
      <c r="K13" s="7" t="inlineStr">
        <is>
          <t>Both</t>
        </is>
      </c>
      <c r="L13" s="7" t="inlineStr">
        <is>
          <t>No</t>
        </is>
      </c>
      <c r="M13" s="7" t="inlineStr"/>
      <c r="N13" s="7" t="inlineStr"/>
      <c r="O13" s="7" t="inlineStr">
        <is>
          <t>Tailored request</t>
        </is>
      </c>
      <c r="P13" s="7" t="inlineStr"/>
      <c r="Q13" s="7" t="inlineStr"/>
    </row>
    <row r="14" ht="369" customHeight="1">
      <c r="B14" s="6" t="inlineStr">
        <is>
          <t>TR2(a)</t>
        </is>
      </c>
      <c r="C14" s="7" t="inlineStr">
        <is>
          <t>Education and research</t>
        </is>
      </c>
      <c r="D14" s="7" t="inlineStr">
        <is>
          <t>Transformational research</t>
        </is>
      </c>
      <c r="E14" s="7" t="inlineStr">
        <is>
          <t>Deliver high-quality research and partnerships that contribute to sustainability outcomes and demonstrable societal benefit.</t>
        </is>
      </c>
      <c r="F14" s="7" t="inlineStr">
        <is>
          <t>Evidence of sustainability-related research impact across diverse pathways, could include policy, industry, community, practice, cultural and institutional outcomes</t>
        </is>
      </c>
      <c r="G14" s="7" t="inlineStr">
        <is>
          <t>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H14" s="7" t="inlineStr">
        <is>
          <t>Faculties</t>
        </is>
      </c>
      <c r="I14" s="7" t="inlineStr">
        <is>
          <t>Faculties, AC&amp;M</t>
        </is>
      </c>
      <c r="J14" s="7" t="inlineStr">
        <is>
          <t>Melbourne Research and Enterprise (Nishi Raja-Stranger and Ivan Marusic) 
Strategic Communications - Research lead will be able to identify examples of impactful sustainability-related research; also Pursuit (may be via Strat Comms too)
Melbourne Climate Futures (Ben Neville, Beth Barber, Belle Workman) - MCF produce an annual impact report we could refer to.
Melbourne Biodiversity Insitute (Brendan Wintle, Alanta Colley, Rachel Morgain)
Possibly Melbourne Energy Institute.
MDHS Climate CATCH Lab and other specific research centres could be approached and asked about their impact, or we could flag specific research centres in faculty requests.</t>
        </is>
      </c>
      <c r="K14" s="7" t="inlineStr">
        <is>
          <t>Both</t>
        </is>
      </c>
      <c r="L14" s="7" t="inlineStr">
        <is>
          <t>No</t>
        </is>
      </c>
      <c r="M14" s="7" t="inlineStr"/>
      <c r="N14" s="7" t="inlineStr">
        <is>
          <t>5b(i)</t>
        </is>
      </c>
      <c r="O14" s="7" t="inlineStr">
        <is>
          <t>Tailored request</t>
        </is>
      </c>
      <c r="P14" s="7" t="inlineStr"/>
      <c r="Q14" s="7" t="inlineStr"/>
    </row>
    <row r="15" ht="90" customHeight="1">
      <c r="B15" s="6" t="inlineStr">
        <is>
          <t>TR2(c)</t>
        </is>
      </c>
      <c r="C15" s="7" t="inlineStr">
        <is>
          <t>Education and research</t>
        </is>
      </c>
      <c r="D15" s="7" t="inlineStr">
        <is>
          <t>Transformational research</t>
        </is>
      </c>
      <c r="E15" s="7" t="inlineStr">
        <is>
          <t>Deliver high-quality research and partnerships that contribute to sustainability outcomes and demonstrable societal benefit.</t>
        </is>
      </c>
      <c r="F15" s="7" t="inlineStr">
        <is>
          <t>Expert-reviewed summary of sustainability-related research outputs, outcomes and influence using available institutional evidence sources</t>
        </is>
      </c>
      <c r="G15" s="7" t="inlineStr">
        <is>
          <t>currently mapped to the SDGs using SciVal</t>
        </is>
      </c>
      <c r="H15" s="7" t="inlineStr">
        <is>
          <t>MRE</t>
        </is>
      </c>
      <c r="I15" s="7" t="inlineStr">
        <is>
          <t>MRE</t>
        </is>
      </c>
      <c r="J15" s="7" t="inlineStr"/>
      <c r="K15" s="7" t="inlineStr">
        <is>
          <t>Both</t>
        </is>
      </c>
      <c r="L15" s="7" t="inlineStr">
        <is>
          <t>No</t>
        </is>
      </c>
      <c r="M15" s="7" t="inlineStr"/>
      <c r="N15" s="7" t="inlineStr"/>
      <c r="O15" s="7" t="inlineStr">
        <is>
          <t>Tailored request</t>
        </is>
      </c>
      <c r="P15" s="7" t="inlineStr">
        <is>
          <t>Yes – Yes – data held (2025); see 2. Quant coverage</t>
        </is>
      </c>
      <c r="Q15" s="7" t="inlineStr"/>
    </row>
    <row r="16" ht="204" customHeight="1">
      <c r="B16" s="6" t="inlineStr">
        <is>
          <t>TR2(d)</t>
        </is>
      </c>
      <c r="C16" s="7" t="inlineStr">
        <is>
          <t>Education and research</t>
        </is>
      </c>
      <c r="D16" s="7" t="inlineStr">
        <is>
          <t>Transformational research</t>
        </is>
      </c>
      <c r="E16" s="7" t="inlineStr">
        <is>
          <t>Deliver high-quality research and partnerships that contribute to sustainability outcomes and demonstrable societal benefit.</t>
        </is>
      </c>
      <c r="F16" s="7" t="inlineStr">
        <is>
          <t>Case-based evidence demonstrating how research has contributed to meaningful sustainability outcomes.</t>
        </is>
      </c>
      <c r="G16" s="7"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H16" s="7" t="inlineStr">
        <is>
          <t>Faculties, CI&amp;S</t>
        </is>
      </c>
      <c r="I16" s="7" t="inlineStr">
        <is>
          <t>Faculties, CI&amp;S</t>
        </is>
      </c>
      <c r="J16" s="7" t="inlineStr">
        <is>
          <t>Strategic Communications - Research lead will be able to identify examples of impactful sustainability-related research; also Pursuit (may be via Strat Comms too)
Melbourne Climate Futures (Ben Neville, Beth Barber, Belle Workman)
Melbourne Biodiversity Insitute (Brendan Wintle, Alanta Colley, Rachel Morgain)
Possibly Melbourne Energy Institute.</t>
        </is>
      </c>
      <c r="K16" s="7" t="inlineStr">
        <is>
          <t>Both</t>
        </is>
      </c>
      <c r="L16" s="7" t="inlineStr">
        <is>
          <t>No</t>
        </is>
      </c>
      <c r="M16" s="7" t="inlineStr"/>
      <c r="N16" s="7" t="inlineStr">
        <is>
          <t>5b(i)</t>
        </is>
      </c>
      <c r="O16" s="7" t="inlineStr">
        <is>
          <t>Tailored request</t>
        </is>
      </c>
      <c r="P16" s="7" t="inlineStr"/>
      <c r="Q16" s="7" t="inlineStr"/>
    </row>
    <row r="17" ht="90" customHeight="1">
      <c r="B17" s="6" t="inlineStr">
        <is>
          <t>TR3(a)</t>
        </is>
      </c>
      <c r="C17" s="7" t="inlineStr">
        <is>
          <t>Education and research</t>
        </is>
      </c>
      <c r="D17" s="7" t="inlineStr">
        <is>
          <t>Transformational research</t>
        </is>
      </c>
      <c r="E17" s="7" t="inlineStr">
        <is>
          <t>Embed sustainability within research systems, processes, capability and culture, so research is conducted responsibly, efficiently and with reduced environmental impact.</t>
        </is>
      </c>
      <c r="F17" s="7" t="inlineStr">
        <is>
          <t>Evidence that sustainability considerations are integrated into relevant research systems, planning processes, guidance, training, induction or support services</t>
        </is>
      </c>
      <c r="G17" s="7" t="inlineStr">
        <is>
          <t>Please describe how sustainability considerations are integrated into research systems, planning processes, guidance, training, induction or support services within your Faculty/Portfolio, could include examples of any new or improved processes.</t>
        </is>
      </c>
      <c r="H17" s="7" t="inlineStr">
        <is>
          <t>Faculties, CI&amp;S</t>
        </is>
      </c>
      <c r="I17" s="7" t="inlineStr">
        <is>
          <t>MRE</t>
        </is>
      </c>
      <c r="J17" s="7" t="inlineStr"/>
      <c r="K17" s="7" t="inlineStr">
        <is>
          <t>Both</t>
        </is>
      </c>
      <c r="L17" s="7" t="inlineStr">
        <is>
          <t>No</t>
        </is>
      </c>
      <c r="M17" s="7" t="inlineStr"/>
      <c r="N17" s="7" t="inlineStr">
        <is>
          <t>5c(ii)</t>
        </is>
      </c>
      <c r="O17" s="7" t="inlineStr">
        <is>
          <t>Tailored request</t>
        </is>
      </c>
      <c r="P17" s="7" t="inlineStr"/>
      <c r="Q17" s="7" t="inlineStr"/>
    </row>
    <row r="18" ht="105" customHeight="1">
      <c r="B18" s="6" t="inlineStr">
        <is>
          <t>TR3(b)</t>
        </is>
      </c>
      <c r="C18" s="7" t="inlineStr">
        <is>
          <t>Education and research</t>
        </is>
      </c>
      <c r="D18" s="7" t="inlineStr">
        <is>
          <t>Transformational research</t>
        </is>
      </c>
      <c r="E18" s="7" t="inlineStr">
        <is>
          <t>Embed sustainability within research systems, processes, capability and culture, so research is conducted responsibly, efficiently and with reduced environmental impact.</t>
        </is>
      </c>
      <c r="F18" s="7" t="inlineStr">
        <is>
          <t>Demonstrated examples of more sustainable research practices in laboratories, fieldwork, procurement, travel or infrastructure use</t>
        </is>
      </c>
      <c r="G18" s="7"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H18" s="7" t="inlineStr">
        <is>
          <t>Faculties, CI&amp;S, CFOG</t>
        </is>
      </c>
      <c r="I18" s="7" t="inlineStr">
        <is>
          <t>Faculties, CI&amp;S, CFOG</t>
        </is>
      </c>
      <c r="J18" s="7" t="inlineStr"/>
      <c r="K18" s="7" t="inlineStr">
        <is>
          <t>Both</t>
        </is>
      </c>
      <c r="L18" s="7" t="inlineStr">
        <is>
          <t>No</t>
        </is>
      </c>
      <c r="M18" s="7" t="inlineStr"/>
      <c r="N18" s="7" t="inlineStr">
        <is>
          <t>5c(ii)</t>
        </is>
      </c>
      <c r="O18" s="7" t="inlineStr">
        <is>
          <t>Tailored request</t>
        </is>
      </c>
      <c r="P18" s="7" t="inlineStr">
        <is>
          <t>Yes – Yes – metrics defined, no data yet; see 2. Quant coverage</t>
        </is>
      </c>
      <c r="Q18" s="7" t="inlineStr"/>
    </row>
    <row r="19" ht="105" customHeight="1">
      <c r="B19" s="6" t="inlineStr">
        <is>
          <t>TR3(c)</t>
        </is>
      </c>
      <c r="C19" s="7" t="inlineStr">
        <is>
          <t>Education and research</t>
        </is>
      </c>
      <c r="D19" s="7" t="inlineStr">
        <is>
          <t>Transformational research</t>
        </is>
      </c>
      <c r="E19" s="7" t="inlineStr">
        <is>
          <t>Embed sustainability within research systems, processes, capability and culture, so research is conducted responsibly, efficiently and with reduced environmental impact.</t>
        </is>
      </c>
      <c r="F19" s="7" t="inlineStr">
        <is>
          <t>Evidence of progress in sustainability-related research culture, capability and awareness, informed by periodic staff and graduate researcher surveys</t>
        </is>
      </c>
      <c r="G19" s="7" t="inlineStr">
        <is>
          <t>Please provide evidence of progress in sustainability-related research culture, capability and awareness within your Faculty/Portfolio. This could include relevant staff and/or graduate researcher survey findings, participation in capability-building activities, or other indicators of change over time.</t>
        </is>
      </c>
      <c r="H19" s="7" t="inlineStr">
        <is>
          <t>Faculties</t>
        </is>
      </c>
      <c r="I19" s="7" t="inlineStr">
        <is>
          <t>MRE</t>
        </is>
      </c>
      <c r="J19" s="7" t="inlineStr">
        <is>
          <t>Melbourne Research and Enterprise (Nishi Raja-Stranger; Ivan Marusic) - MRE will be a key reporter for all research targets.</t>
        </is>
      </c>
      <c r="K19" s="7" t="inlineStr">
        <is>
          <t>Both</t>
        </is>
      </c>
      <c r="L19" s="7" t="inlineStr">
        <is>
          <t>No</t>
        </is>
      </c>
      <c r="M19" s="7" t="inlineStr"/>
      <c r="N19" s="7" t="inlineStr"/>
      <c r="O19" s="7" t="inlineStr">
        <is>
          <t>Tailored request</t>
        </is>
      </c>
      <c r="P19" s="7" t="inlineStr"/>
      <c r="Q19" s="7" t="inlineStr"/>
    </row>
    <row r="20" ht="90" customHeight="1">
      <c r="B20" s="6" t="inlineStr">
        <is>
          <t>TR3(d)</t>
        </is>
      </c>
      <c r="C20" s="7" t="inlineStr">
        <is>
          <t>Education and research</t>
        </is>
      </c>
      <c r="D20" s="7" t="inlineStr">
        <is>
          <t>Transformational research</t>
        </is>
      </c>
      <c r="E20" s="7" t="inlineStr">
        <is>
          <t>Embed sustainability within research systems, processes, capability and culture, so research is conducted responsibly, efficiently and with reduced environmental impact.</t>
        </is>
      </c>
      <c r="F20" s="7" t="inlineStr">
        <is>
          <t>Expert assessment of progress in embedding sustainable research practices across the institution.</t>
        </is>
      </c>
      <c r="G20" s="7" t="inlineStr">
        <is>
          <t>Faculty/Portfolio’s assessment of progress in embedding sustainable research practices, highlighting areas of strong progress, remaining gaps and priority actions for further improvement.</t>
        </is>
      </c>
      <c r="H20" s="7" t="inlineStr">
        <is>
          <t>Faculties</t>
        </is>
      </c>
      <c r="I20" s="7" t="inlineStr">
        <is>
          <t>MRE</t>
        </is>
      </c>
      <c r="J20" s="7" t="inlineStr"/>
      <c r="K20" s="7" t="inlineStr">
        <is>
          <t>Both</t>
        </is>
      </c>
      <c r="L20" s="7" t="inlineStr">
        <is>
          <t>No</t>
        </is>
      </c>
      <c r="M20" s="7" t="inlineStr"/>
      <c r="N20" s="7" t="inlineStr"/>
      <c r="O20" s="7" t="inlineStr">
        <is>
          <t>Tailored request</t>
        </is>
      </c>
      <c r="P20" s="7" t="inlineStr"/>
      <c r="Q20" s="7" t="inlineStr"/>
    </row>
    <row r="21" ht="220" customHeight="1">
      <c r="B21" s="6" t="inlineStr">
        <is>
          <t>CL1(c)</t>
        </is>
      </c>
      <c r="C21" s="7" t="inlineStr">
        <is>
          <t>Sustainability leadership</t>
        </is>
      </c>
      <c r="D21" s="7" t="inlineStr">
        <is>
          <t>Climate leadership</t>
        </is>
      </c>
      <c r="E21" s="7"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c r="F21" s="7" t="inlineStr">
        <is>
          <t>Review of Climate Leadership targets by 2030.[2]</t>
        </is>
      </c>
      <c r="G21" s="7" t="inlineStr"/>
      <c r="H21" s="7" t="inlineStr">
        <is>
          <t>CI&amp;S</t>
        </is>
      </c>
      <c r="I21" s="7" t="inlineStr">
        <is>
          <t>CI&amp;S</t>
        </is>
      </c>
      <c r="J21" s="7" t="inlineStr"/>
      <c r="K21" s="7" t="inlineStr">
        <is>
          <t>Both</t>
        </is>
      </c>
      <c r="L21" s="7" t="inlineStr">
        <is>
          <t>Yes</t>
        </is>
      </c>
      <c r="M21" s="7" t="inlineStr">
        <is>
          <t>Need to review again on 2030. The climate target itself is still two months old</t>
        </is>
      </c>
      <c r="N21" s="7" t="inlineStr"/>
      <c r="O21" s="7" t="inlineStr">
        <is>
          <t>Tailored request</t>
        </is>
      </c>
      <c r="P21" s="7" t="inlineStr">
        <is>
          <t>Yes – No; see 2. Quant coverage</t>
        </is>
      </c>
      <c r="Q21" s="7" t="inlineStr"/>
    </row>
    <row r="22" ht="105" customHeight="1">
      <c r="B22" s="6" t="inlineStr">
        <is>
          <t>CL2(a)</t>
        </is>
      </c>
      <c r="C22" s="7" t="inlineStr">
        <is>
          <t>Sustainability leadership</t>
        </is>
      </c>
      <c r="D22" s="7" t="inlineStr">
        <is>
          <t>Climate leadership</t>
        </is>
      </c>
      <c r="E22" s="7" t="inlineStr">
        <is>
          <t>Develop understanding of our research and education programs that contribute to accelerating global decarbonisation and our own climate transition.</t>
        </is>
      </c>
      <c r="F22" s="7" t="inlineStr">
        <is>
          <t>By 2028, develop and document institutional mapping of research and education activities that are designed to contribute to global decarbonisation</t>
        </is>
      </c>
      <c r="G22" s="7"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H22" s="7" t="inlineStr">
        <is>
          <t>Faculties, CI&amp;S</t>
        </is>
      </c>
      <c r="I22" s="7" t="inlineStr">
        <is>
          <t>AC&amp;M</t>
        </is>
      </c>
      <c r="J22" s="7" t="inlineStr"/>
      <c r="K22" s="7" t="inlineStr">
        <is>
          <t>Both</t>
        </is>
      </c>
      <c r="L22" s="7" t="inlineStr">
        <is>
          <t>No</t>
        </is>
      </c>
      <c r="M22" s="7" t="inlineStr"/>
      <c r="N22" s="7" t="inlineStr"/>
      <c r="O22" s="7" t="inlineStr">
        <is>
          <t>Tailored request</t>
        </is>
      </c>
      <c r="P22" s="7" t="inlineStr">
        <is>
          <t>Yes – Yes – metrics defined, no data yet; see 2. Quant coverage</t>
        </is>
      </c>
      <c r="Q22" s="7" t="inlineStr"/>
    </row>
    <row r="23" ht="90" customHeight="1">
      <c r="B23" s="6" t="inlineStr">
        <is>
          <t>CL2(c)</t>
        </is>
      </c>
      <c r="C23" s="7" t="inlineStr">
        <is>
          <t>Sustainability leadership</t>
        </is>
      </c>
      <c r="D23" s="7" t="inlineStr">
        <is>
          <t>Climate leadership</t>
        </is>
      </c>
      <c r="E23" s="7" t="inlineStr">
        <is>
          <t>Develop understanding of our research and education programs that contribute to accelerating global decarbonisation and our own climate transition.</t>
        </is>
      </c>
      <c r="F23" s="7" t="inlineStr">
        <is>
          <t>Ongoing communications that evidence the University’s climate action, research and learning to inform policy, sector and community decarbonisation efforts.</t>
        </is>
      </c>
      <c r="G23" s="7" t="inlineStr">
        <is>
          <t>List and describe communications from the faculty in terms of climate action, research and learning to inform policy, sector and community decarbonisation efforts</t>
        </is>
      </c>
      <c r="H23" s="7" t="inlineStr">
        <is>
          <t>Faculties,</t>
        </is>
      </c>
      <c r="I23" s="7" t="inlineStr">
        <is>
          <t>AC&amp;M</t>
        </is>
      </c>
      <c r="J23" s="7" t="inlineStr"/>
      <c r="K23" s="7" t="inlineStr">
        <is>
          <t>Both</t>
        </is>
      </c>
      <c r="L23" s="7" t="inlineStr">
        <is>
          <t>No</t>
        </is>
      </c>
      <c r="M23" s="7" t="inlineStr"/>
      <c r="N23" s="7" t="inlineStr"/>
      <c r="O23" s="7" t="inlineStr">
        <is>
          <t>Tailored request</t>
        </is>
      </c>
      <c r="P23" s="7" t="inlineStr">
        <is>
          <t>Yes – Yes – metrics defined, no data yet; see 2. Quant coverage</t>
        </is>
      </c>
      <c r="Q23" s="7" t="inlineStr"/>
    </row>
    <row r="24" ht="204" customHeight="1">
      <c r="B24" s="6" t="inlineStr">
        <is>
          <t>CL3(a)</t>
        </is>
      </c>
      <c r="C24" s="7" t="inlineStr">
        <is>
          <t>Sustainability leadership</t>
        </is>
      </c>
      <c r="D24" s="7" t="inlineStr">
        <is>
          <t>Climate leadership</t>
        </is>
      </c>
      <c r="E24" s="7" t="inlineStr">
        <is>
          <t>Reach and maintain high levels of climate-change resilience maturity</t>
        </is>
      </c>
      <c r="F24" s="7"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G24" s="7" t="inlineStr">
        <is>
          <t>Provide update of University maturity assesment. Include maturity ratings, key gaps and priority improvement actions.when available</t>
        </is>
      </c>
      <c r="H24" s="7" t="inlineStr">
        <is>
          <t>CI&amp;S</t>
        </is>
      </c>
      <c r="I24" s="7" t="inlineStr">
        <is>
          <t>CI&amp;S, L&amp;R</t>
        </is>
      </c>
      <c r="J24" s="7" t="inlineStr"/>
      <c r="K24" s="7" t="inlineStr">
        <is>
          <t>Both</t>
        </is>
      </c>
      <c r="L24" s="7" t="inlineStr">
        <is>
          <t>No</t>
        </is>
      </c>
      <c r="M24" s="7" t="inlineStr">
        <is>
          <t>Could check with Gerard. Gerard is the one who manage this indicator</t>
        </is>
      </c>
      <c r="N24" s="7" t="inlineStr"/>
      <c r="O24" s="7" t="inlineStr">
        <is>
          <t>Tailored request</t>
        </is>
      </c>
      <c r="P24" s="7" t="inlineStr">
        <is>
          <t>Yes – Yes – metrics defined, no data yet; see 2. Quant coverage</t>
        </is>
      </c>
      <c r="Q24" s="7" t="inlineStr"/>
    </row>
    <row r="25" ht="90" customHeight="1">
      <c r="B25" s="6" t="inlineStr">
        <is>
          <t>NB1(b)</t>
        </is>
      </c>
      <c r="C25" s="7" t="inlineStr">
        <is>
          <t>Sustainability leadership</t>
        </is>
      </c>
      <c r="D25" s="7" t="inlineStr">
        <is>
          <t>Nature and biodiversity</t>
        </is>
      </c>
      <c r="E25" s="7" t="inlineStr">
        <is>
          <t>Achieve an increase of biodiversity relative to defined baseline years for each campus.</t>
        </is>
      </c>
      <c r="F25" s="7" t="inlineStr">
        <is>
          <t>Size, health and diversity of remnant vegetation at the Dookie and Creswick campuses</t>
        </is>
      </c>
      <c r="G25" s="7" t="inlineStr"/>
      <c r="H25" s="7" t="inlineStr">
        <is>
          <t>Rachel</t>
        </is>
      </c>
      <c r="I25" s="7" t="inlineStr">
        <is>
          <t>ESG</t>
        </is>
      </c>
      <c r="J25" s="7" t="inlineStr"/>
      <c r="K25" s="7" t="inlineStr">
        <is>
          <t>Internal</t>
        </is>
      </c>
      <c r="L25" s="7" t="inlineStr">
        <is>
          <t>No</t>
        </is>
      </c>
      <c r="M25" s="7" t="inlineStr">
        <is>
          <t>Havent been previously disclose publicly</t>
        </is>
      </c>
      <c r="N25" s="7" t="inlineStr"/>
      <c r="O25" s="7" t="inlineStr">
        <is>
          <t>Tailored request</t>
        </is>
      </c>
      <c r="P25" s="7" t="inlineStr">
        <is>
          <t>Yes – No; see 2. Quant coverage</t>
        </is>
      </c>
      <c r="Q25" s="7" t="inlineStr"/>
    </row>
    <row r="26" ht="90" customHeight="1">
      <c r="B26" s="6" t="inlineStr">
        <is>
          <t>NB1(c)</t>
        </is>
      </c>
      <c r="C26" s="7" t="inlineStr">
        <is>
          <t>Sustainability leadership</t>
        </is>
      </c>
      <c r="D26" s="7" t="inlineStr">
        <is>
          <t>Nature and biodiversity</t>
        </is>
      </c>
      <c r="E26" s="7" t="inlineStr">
        <is>
          <t>Achieve an increase of biodiversity relative to defined baseline years for each campus.</t>
        </is>
      </c>
      <c r="F26" s="7" t="inlineStr">
        <is>
          <t>Defined quality measurement framework</t>
        </is>
      </c>
      <c r="G26" s="7" t="inlineStr"/>
      <c r="H26" s="7" t="inlineStr">
        <is>
          <t>ESG</t>
        </is>
      </c>
      <c r="I26" s="7" t="inlineStr">
        <is>
          <t>ESG</t>
        </is>
      </c>
      <c r="J26" s="7" t="inlineStr"/>
      <c r="K26" s="7" t="inlineStr">
        <is>
          <t>Both</t>
        </is>
      </c>
      <c r="L26" s="7" t="inlineStr">
        <is>
          <t>No</t>
        </is>
      </c>
      <c r="M26" s="7" t="inlineStr">
        <is>
          <t>Follow up with Rachel</t>
        </is>
      </c>
      <c r="N26" s="7" t="inlineStr"/>
      <c r="O26" s="7" t="inlineStr">
        <is>
          <t>Tailored request</t>
        </is>
      </c>
      <c r="P26" s="7" t="inlineStr">
        <is>
          <t>Yes – No; see 2. Quant coverage</t>
        </is>
      </c>
      <c r="Q26" s="7" t="inlineStr"/>
    </row>
    <row r="27" ht="90" customHeight="1">
      <c r="B27" s="6" t="inlineStr">
        <is>
          <t>NB1(d)</t>
        </is>
      </c>
      <c r="C27" s="7" t="inlineStr">
        <is>
          <t>Sustainability leadership</t>
        </is>
      </c>
      <c r="D27" s="7" t="inlineStr">
        <is>
          <t>Nature and biodiversity</t>
        </is>
      </c>
      <c r="E27" s="7" t="inlineStr">
        <is>
          <t>Achieve an increase of biodiversity relative to defined baseline years for each campus.</t>
        </is>
      </c>
      <c r="F27" s="7" t="inlineStr">
        <is>
          <t>Defined and quantified campus connectivity</t>
        </is>
      </c>
      <c r="G27" s="7" t="inlineStr">
        <is>
          <t>Please provide the current definition and quantified assessment of campus ecological connectivity, could include the methodology used, campuses covered, baseline or benchmark values, and any material change over the reporting period.</t>
        </is>
      </c>
      <c r="H27" s="7" t="inlineStr">
        <is>
          <t>ESG</t>
        </is>
      </c>
      <c r="I27" s="7" t="inlineStr">
        <is>
          <t>ESG</t>
        </is>
      </c>
      <c r="J27" s="7" t="inlineStr"/>
      <c r="K27" s="7" t="inlineStr">
        <is>
          <t>Both</t>
        </is>
      </c>
      <c r="L27" s="7" t="inlineStr">
        <is>
          <t>No</t>
        </is>
      </c>
      <c r="M27" s="7" t="inlineStr"/>
      <c r="N27" s="7" t="inlineStr"/>
      <c r="O27" s="7" t="inlineStr">
        <is>
          <t>Tailored request</t>
        </is>
      </c>
      <c r="P27" s="7" t="inlineStr">
        <is>
          <t>Yes – No; see 2. Quant coverage</t>
        </is>
      </c>
      <c r="Q27" s="7" t="inlineStr"/>
    </row>
    <row r="28" ht="90" customHeight="1">
      <c r="B28" s="6" t="inlineStr">
        <is>
          <t>NB2(a)</t>
        </is>
      </c>
      <c r="C28" s="7" t="inlineStr">
        <is>
          <t>Sustainability leadership</t>
        </is>
      </c>
      <c r="D28" s="7" t="inlineStr">
        <is>
          <t>Nature and biodiversity</t>
        </is>
      </c>
      <c r="E28" s="7" t="inlineStr">
        <is>
          <t>Improve our understanding of our supply chain impacts on nature.</t>
        </is>
      </c>
      <c r="F28" s="7" t="inlineStr">
        <is>
          <t>Documented baseline nature footprint analysis</t>
        </is>
      </c>
      <c r="G28" s="7" t="inlineStr">
        <is>
          <t>Impact Encore Measurement</t>
        </is>
      </c>
      <c r="H28" s="7" t="inlineStr">
        <is>
          <t>MBI</t>
        </is>
      </c>
      <c r="I28" s="7" t="inlineStr">
        <is>
          <t>MRE</t>
        </is>
      </c>
      <c r="J28" s="7" t="inlineStr"/>
      <c r="K28" s="7" t="inlineStr">
        <is>
          <t>Both</t>
        </is>
      </c>
      <c r="L28" s="7" t="inlineStr">
        <is>
          <t>No</t>
        </is>
      </c>
      <c r="M28" s="7" t="inlineStr"/>
      <c r="N28" s="7" t="inlineStr"/>
      <c r="O28" s="7" t="inlineStr">
        <is>
          <t>Tailored request</t>
        </is>
      </c>
      <c r="P28" s="7" t="inlineStr">
        <is>
          <t>Yes – Yes – metrics defined, no data yet; see 2. Quant coverage</t>
        </is>
      </c>
      <c r="Q28" s="7" t="inlineStr"/>
    </row>
    <row r="29" ht="90" customHeight="1">
      <c r="B29" s="6" t="inlineStr">
        <is>
          <t>NB2(b)</t>
        </is>
      </c>
      <c r="C29" s="7" t="inlineStr">
        <is>
          <t>Sustainability leadership</t>
        </is>
      </c>
      <c r="D29" s="7" t="inlineStr">
        <is>
          <t>Nature and biodiversity</t>
        </is>
      </c>
      <c r="E29" s="7" t="inlineStr">
        <is>
          <t>Improve our understanding of our supply chain impacts on nature.</t>
        </is>
      </c>
      <c r="F29" s="7" t="inlineStr">
        <is>
          <t>Evidence of established framework to monitor and track supply-chain nature impacts over time</t>
        </is>
      </c>
      <c r="G29" s="7" t="inlineStr">
        <is>
          <t>Please describe the framework established to monitor and track supply-chain impacts on nature over time, could include metrics, data sources, governance/ownership, reporting frequency and current implementation status.</t>
        </is>
      </c>
      <c r="H29" s="7" t="inlineStr">
        <is>
          <t>ESG</t>
        </is>
      </c>
      <c r="I29" s="7" t="inlineStr">
        <is>
          <t>ESG</t>
        </is>
      </c>
      <c r="J29" s="7" t="inlineStr">
        <is>
          <t>Melbourne Biodiversity Institute (MBI) - Brendan Wintle and August Wylynko</t>
        </is>
      </c>
      <c r="K29" s="7" t="inlineStr">
        <is>
          <t>Both</t>
        </is>
      </c>
      <c r="L29" s="7" t="inlineStr">
        <is>
          <t>No</t>
        </is>
      </c>
      <c r="M29" s="7" t="inlineStr"/>
      <c r="N29" s="7" t="inlineStr"/>
      <c r="O29" s="7" t="inlineStr">
        <is>
          <t>Tailored request</t>
        </is>
      </c>
      <c r="P29" s="7" t="inlineStr"/>
      <c r="Q29" s="7" t="inlineStr"/>
    </row>
    <row r="30" ht="90" customHeight="1">
      <c r="B30" s="6" t="inlineStr">
        <is>
          <t>NB2(c)</t>
        </is>
      </c>
      <c r="C30" s="7" t="inlineStr">
        <is>
          <t>Sustainability leadership</t>
        </is>
      </c>
      <c r="D30" s="7" t="inlineStr">
        <is>
          <t>Nature and biodiversity</t>
        </is>
      </c>
      <c r="E30" s="7" t="inlineStr">
        <is>
          <t>Improve our understanding of our supply chain impacts on nature.</t>
        </is>
      </c>
      <c r="F30" s="7" t="inlineStr">
        <is>
          <t>Evidence of prioritised high risk procurement categories or suppliers for nature impact management</t>
        </is>
      </c>
      <c r="G30" s="7" t="inlineStr">
        <is>
          <t>Please provide the prioritised high-risk procurement categories and/or suppliers identified for nature-impact management, could include the basis for prioritisation and any risk-management, engagement or mitigation actions undertaken or planned.</t>
        </is>
      </c>
      <c r="H30" s="7" t="inlineStr">
        <is>
          <t>ESG, CFOG</t>
        </is>
      </c>
      <c r="I30" s="7" t="inlineStr">
        <is>
          <t>CFOG, ESG</t>
        </is>
      </c>
      <c r="J30" s="7" t="inlineStr">
        <is>
          <t>MBI</t>
        </is>
      </c>
      <c r="K30" s="7" t="inlineStr">
        <is>
          <t>Both</t>
        </is>
      </c>
      <c r="L30" s="7" t="inlineStr">
        <is>
          <t>No</t>
        </is>
      </c>
      <c r="M30" s="7" t="inlineStr"/>
      <c r="N30" s="7" t="inlineStr"/>
      <c r="O30" s="7" t="inlineStr">
        <is>
          <t>Tailored request</t>
        </is>
      </c>
      <c r="P30" s="7" t="inlineStr"/>
      <c r="Q30" s="7" t="inlineStr"/>
    </row>
    <row r="31" ht="90" customHeight="1">
      <c r="B31" s="6" t="inlineStr">
        <is>
          <t>AI1(a)</t>
        </is>
      </c>
      <c r="C31" s="7" t="inlineStr">
        <is>
          <t>Sustainability leadership</t>
        </is>
      </c>
      <c r="D31" s="7" t="inlineStr">
        <is>
          <t>Responsible AI</t>
        </is>
      </c>
      <c r="E31" s="7" t="inlineStr">
        <is>
          <t>Improve understanding of our sustainability-related risks and opportunities of AI technologies by 2028.</t>
        </is>
      </c>
      <c r="F31" s="7" t="inlineStr">
        <is>
          <t>Established measurement of estimated operational impacts and opportunities (eg operational impacts could include energy, water, emissions and intensity measures)</t>
        </is>
      </c>
      <c r="G31" s="7" t="inlineStr"/>
      <c r="H31" s="7" t="inlineStr">
        <is>
          <t>CI&amp;S, CIOG</t>
        </is>
      </c>
      <c r="I31" s="7" t="inlineStr">
        <is>
          <t>CI&amp;S, CIOG</t>
        </is>
      </c>
      <c r="J31" s="7" t="inlineStr"/>
      <c r="K31" s="7" t="inlineStr">
        <is>
          <t>Both</t>
        </is>
      </c>
      <c r="L31" s="7" t="inlineStr">
        <is>
          <t>Yes</t>
        </is>
      </c>
      <c r="M31" s="7" t="inlineStr">
        <is>
          <t>Rose &amp; Sally currently actively managing this target and indicator. High level overview on 2026, will work on the detailed measurement next year</t>
        </is>
      </c>
      <c r="N31" s="7" t="inlineStr"/>
      <c r="O31" s="7" t="inlineStr">
        <is>
          <t>Tailored request</t>
        </is>
      </c>
      <c r="P31" s="7" t="inlineStr">
        <is>
          <t>Yes – No; see 2. Quant coverage</t>
        </is>
      </c>
      <c r="Q31" s="7" t="inlineStr"/>
    </row>
    <row r="32" ht="90" customHeight="1">
      <c r="B32" s="6" t="inlineStr">
        <is>
          <t>AI1(b)</t>
        </is>
      </c>
      <c r="C32" s="7" t="inlineStr">
        <is>
          <t>Sustainability leadership</t>
        </is>
      </c>
      <c r="D32" s="7" t="inlineStr">
        <is>
          <t>Responsible AI</t>
        </is>
      </c>
      <c r="E32" s="7" t="inlineStr">
        <is>
          <t>Improve understanding of our sustainability-related risks and opportunities of AI technologies by 2028.</t>
        </is>
      </c>
      <c r="F32" s="7" t="inlineStr">
        <is>
          <t>Case studies of sustainability and AI-related education, research and collaboration activities.</t>
        </is>
      </c>
      <c r="G32" s="7" t="inlineStr">
        <is>
          <t>Please provide case studies from your Faculty/Portfolio of sustainability and AI-related education, research or collaboration activities, describing the activity, participants or partners, sustainability issue addressed and key outcomes or lessons.</t>
        </is>
      </c>
      <c r="H32" s="7" t="inlineStr">
        <is>
          <t>CI&amp;S, CIOG</t>
        </is>
      </c>
      <c r="I32" s="7" t="inlineStr">
        <is>
          <t>CI&amp;S, CIOG</t>
        </is>
      </c>
      <c r="J32" s="7" t="inlineStr">
        <is>
          <t>AI Steering Committee - developing AI roadmap, which includes responsible AI as a key pillar.</t>
        </is>
      </c>
      <c r="K32" s="7" t="inlineStr">
        <is>
          <t>Both</t>
        </is>
      </c>
      <c r="L32" s="7" t="inlineStr">
        <is>
          <t>No</t>
        </is>
      </c>
      <c r="M32" s="7" t="inlineStr"/>
      <c r="N32" s="7" t="inlineStr"/>
      <c r="O32" s="7" t="inlineStr">
        <is>
          <t>Tailored request</t>
        </is>
      </c>
      <c r="P32" s="7" t="inlineStr"/>
      <c r="Q32" s="7" t="inlineStr"/>
    </row>
    <row r="33" ht="105" customHeight="1">
      <c r="B33" s="6" t="inlineStr">
        <is>
          <t>EI1(a)</t>
        </is>
      </c>
      <c r="C33" s="7" t="inlineStr">
        <is>
          <t>Resilient University</t>
        </is>
      </c>
      <c r="D33" s="7" t="inlineStr">
        <is>
          <t>Estate and infrastructure</t>
        </is>
      </c>
      <c r="E33" s="7" t="inlineStr">
        <is>
          <t>Integrate environmental sustainability in the way that the University achieves strategic and operational objectives for our estate and infrastructure.</t>
        </is>
      </c>
      <c r="F33" s="7" t="inlineStr">
        <is>
          <t>Evidence of increased maturity of estate and infrastructure planning, development and operations to support the other priority areas in Sustainability 2030</t>
        </is>
      </c>
      <c r="G33" s="7" t="inlineStr">
        <is>
          <t>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H33" s="7" t="inlineStr">
        <is>
          <t>CI&amp;S</t>
        </is>
      </c>
      <c r="I33" s="7" t="inlineStr">
        <is>
          <t>CI&amp;S</t>
        </is>
      </c>
      <c r="J33" s="7" t="inlineStr">
        <is>
          <t>CI&amp;S - Estate Planning and Development teams</t>
        </is>
      </c>
      <c r="K33" s="7" t="inlineStr">
        <is>
          <t>Both</t>
        </is>
      </c>
      <c r="L33" s="7" t="inlineStr">
        <is>
          <t>No</t>
        </is>
      </c>
      <c r="M33" s="7" t="inlineStr">
        <is>
          <t>Facilitated by Gerard</t>
        </is>
      </c>
      <c r="N33" s="7" t="inlineStr"/>
      <c r="O33" s="7" t="inlineStr">
        <is>
          <t>Tailored request</t>
        </is>
      </c>
      <c r="P33" s="7" t="inlineStr">
        <is>
          <t>Yes – No; see 2. Quant coverage</t>
        </is>
      </c>
      <c r="Q33" s="7" t="inlineStr"/>
    </row>
    <row r="34" ht="105" customHeight="1">
      <c r="B34" s="6" t="inlineStr">
        <is>
          <t>EI1(b)</t>
        </is>
      </c>
      <c r="C34" s="7" t="inlineStr">
        <is>
          <t>Resilient University</t>
        </is>
      </c>
      <c r="D34" s="7" t="inlineStr">
        <is>
          <t>Estate and infrastructure</t>
        </is>
      </c>
      <c r="E34" s="7" t="inlineStr">
        <is>
          <t>Integrate environmental sustainability in the way that the University achieves strategic and operational objectives for our estate and infrastructure.</t>
        </is>
      </c>
      <c r="F34" s="7" t="inlineStr">
        <is>
          <t>Estimated sustainability impacts of the University’s estate and infrastructure capital plan to inform progress towards emissions reduction targets and other priority areas (to the extent enabled by available information)</t>
        </is>
      </c>
      <c r="G34" s="7"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H34" s="7" t="inlineStr">
        <is>
          <t>CI&amp;S</t>
        </is>
      </c>
      <c r="I34" s="7" t="inlineStr">
        <is>
          <t>CI&amp;S</t>
        </is>
      </c>
      <c r="J34" s="7" t="inlineStr">
        <is>
          <t>CI&amp;S - Estate Planning and Development teams</t>
        </is>
      </c>
      <c r="K34" s="7" t="inlineStr">
        <is>
          <t>Both</t>
        </is>
      </c>
      <c r="L34" s="7" t="inlineStr">
        <is>
          <t>No</t>
        </is>
      </c>
      <c r="M34" s="7" t="inlineStr"/>
      <c r="N34" s="7" t="inlineStr"/>
      <c r="O34" s="7" t="inlineStr">
        <is>
          <t>Tailored request</t>
        </is>
      </c>
      <c r="P34" s="7" t="inlineStr">
        <is>
          <t>Yes – No; see 2. Quant coverage</t>
        </is>
      </c>
      <c r="Q34" s="7" t="inlineStr"/>
    </row>
    <row r="35" ht="105" customHeight="1">
      <c r="B35" s="6" t="inlineStr">
        <is>
          <t>EI1(c)</t>
        </is>
      </c>
      <c r="C35" s="7" t="inlineStr">
        <is>
          <t>Resilient University</t>
        </is>
      </c>
      <c r="D35" s="7" t="inlineStr">
        <is>
          <t>Estate and infrastructure</t>
        </is>
      </c>
      <c r="E35" s="7" t="inlineStr">
        <is>
          <t>Integrate environmental sustainability in the way that the University achieves strategic and operational objectives for our estate and infrastructure.</t>
        </is>
      </c>
      <c r="F35" s="7" t="inlineStr">
        <is>
          <t>Reporting on relevant activities and impacts for the University’s major estate and infrastructure projects and programs aligned with the other priority areas in Sustainability 2030</t>
        </is>
      </c>
      <c r="G35" s="7"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H35" s="7" t="inlineStr">
        <is>
          <t>CI&amp;S</t>
        </is>
      </c>
      <c r="I35" s="7" t="inlineStr">
        <is>
          <t>CI&amp;S</t>
        </is>
      </c>
      <c r="J35" s="7" t="inlineStr">
        <is>
          <t>CI&amp;S - Estate Planning and Development teams</t>
        </is>
      </c>
      <c r="K35" s="7" t="inlineStr">
        <is>
          <t>Both</t>
        </is>
      </c>
      <c r="L35" s="7" t="inlineStr">
        <is>
          <t>No</t>
        </is>
      </c>
      <c r="M35" s="7" t="inlineStr"/>
      <c r="N35" s="7" t="inlineStr"/>
      <c r="O35" s="7" t="inlineStr">
        <is>
          <t>Tailored request</t>
        </is>
      </c>
      <c r="P35" s="7" t="inlineStr">
        <is>
          <t>Yes – No; see 2. Quant coverage</t>
        </is>
      </c>
      <c r="Q35" s="7" t="inlineStr"/>
    </row>
    <row r="36" ht="105" customHeight="1">
      <c r="B36" s="6" t="inlineStr">
        <is>
          <t>EI1(d)</t>
        </is>
      </c>
      <c r="C36" s="7" t="inlineStr">
        <is>
          <t>Resilient University</t>
        </is>
      </c>
      <c r="D36" s="7" t="inlineStr">
        <is>
          <t>Estate and infrastructure</t>
        </is>
      </c>
      <c r="E36" s="7" t="inlineStr">
        <is>
          <t>Integrate environmental sustainability in the way that the University achieves strategic and operational objectives for our estate and infrastructure.</t>
        </is>
      </c>
      <c r="F36" s="7" t="inlineStr">
        <is>
          <t>Evidence of understanding and integration of Indigenous approaches to sustainability in estate planning and development programs and projects.</t>
        </is>
      </c>
      <c r="G36" s="7"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H36" s="7" t="inlineStr">
        <is>
          <t>CI&amp;S</t>
        </is>
      </c>
      <c r="I36" s="7" t="inlineStr">
        <is>
          <t>CI&amp;S</t>
        </is>
      </c>
      <c r="J36" s="7" t="inlineStr">
        <is>
          <t>CI&amp;S - Estate Planning and Development teams</t>
        </is>
      </c>
      <c r="K36" s="7" t="inlineStr">
        <is>
          <t>Both</t>
        </is>
      </c>
      <c r="L36" s="7" t="inlineStr">
        <is>
          <t>No</t>
        </is>
      </c>
      <c r="M36" s="7" t="inlineStr"/>
      <c r="N36" s="7" t="inlineStr"/>
      <c r="O36" s="7" t="inlineStr">
        <is>
          <t>Tailored request</t>
        </is>
      </c>
      <c r="P36" s="7" t="inlineStr"/>
      <c r="Q36" s="7" t="inlineStr"/>
    </row>
    <row r="37" ht="90" customHeight="1">
      <c r="B37" s="6" t="inlineStr">
        <is>
          <t>RP1(a)</t>
        </is>
      </c>
      <c r="C37" s="7" t="inlineStr">
        <is>
          <t>Resilient University</t>
        </is>
      </c>
      <c r="D37" s="7" t="inlineStr">
        <is>
          <t>Responsible procurement</t>
        </is>
      </c>
      <c r="E37" s="7" t="inlineStr">
        <is>
          <t>Strengthen our ethical and sustainable procurement approach.</t>
        </is>
      </c>
      <c r="F37" s="7" t="inlineStr">
        <is>
          <t>Case studies of maturity improvement related to responsible procurement process and systems.</t>
        </is>
      </c>
      <c r="G37" s="7" t="inlineStr">
        <is>
          <t>Maturity score if framework established; % procurement staff trained</t>
        </is>
      </c>
      <c r="H37" s="7" t="inlineStr"/>
      <c r="I37" s="7" t="inlineStr">
        <is>
          <t>CFOG</t>
        </is>
      </c>
      <c r="J37" s="7" t="inlineStr"/>
      <c r="K37" s="7" t="inlineStr">
        <is>
          <t>Both</t>
        </is>
      </c>
      <c r="L37" s="7" t="inlineStr">
        <is>
          <t>No</t>
        </is>
      </c>
      <c r="M37" s="7" t="inlineStr">
        <is>
          <t>Quantitative metrics could support qualitative case studies to demonstrate system/process improvements</t>
        </is>
      </c>
      <c r="N37" s="7" t="inlineStr"/>
      <c r="O37" s="7" t="inlineStr">
        <is>
          <t>Tailored request</t>
        </is>
      </c>
      <c r="P37" s="7" t="inlineStr">
        <is>
          <t>Yes – No; see 2. Quant coverage</t>
        </is>
      </c>
      <c r="Q37" s="7" t="inlineStr"/>
    </row>
    <row r="38" ht="90" customHeight="1">
      <c r="B38" s="6" t="inlineStr">
        <is>
          <t>MS1(a)</t>
        </is>
      </c>
      <c r="C38" s="7" t="inlineStr">
        <is>
          <t>Resilient University</t>
        </is>
      </c>
      <c r="D38" s="7" t="inlineStr">
        <is>
          <t>Modern slavery and human rights</t>
        </is>
      </c>
      <c r="E38" s="7" t="inlineStr">
        <is>
          <t>Manage our approach to modern slavery and human rights-related risks and opportunities.</t>
        </is>
      </c>
      <c r="F38" s="7" t="inlineStr">
        <is>
          <t>Annual progress reporting via the Modern Slavery Statement</t>
        </is>
      </c>
      <c r="G38" s="7" t="inlineStr">
        <is>
          <t>Annual Modern Slavery Statement, with case studies</t>
        </is>
      </c>
      <c r="H38" s="7" t="inlineStr">
        <is>
          <t>CFOG, CI&amp;S</t>
        </is>
      </c>
      <c r="I38" s="7" t="inlineStr">
        <is>
          <t>CI&amp;S, CFOG</t>
        </is>
      </c>
      <c r="J38" s="7" t="inlineStr">
        <is>
          <t>CFOG - Procurement; Modern Slavery Working Group (existing).</t>
        </is>
      </c>
      <c r="K38" s="7" t="inlineStr">
        <is>
          <t>External</t>
        </is>
      </c>
      <c r="L38" s="7" t="inlineStr">
        <is>
          <t>No</t>
        </is>
      </c>
      <c r="M38" s="7" t="inlineStr"/>
      <c r="N38" s="7" t="inlineStr"/>
      <c r="O38" s="7" t="inlineStr">
        <is>
          <t>Tailored request</t>
        </is>
      </c>
      <c r="P38" s="7" t="inlineStr"/>
      <c r="Q38" s="7" t="inlineStr"/>
    </row>
    <row r="39" ht="105" customHeight="1">
      <c r="B39" s="6" t="inlineStr">
        <is>
          <t>RI1(b)</t>
        </is>
      </c>
      <c r="C39" s="7" t="inlineStr">
        <is>
          <t>Resilient University</t>
        </is>
      </c>
      <c r="D39" s="7" t="inlineStr">
        <is>
          <t>Responsible investments</t>
        </is>
      </c>
      <c r="E39" s="7" t="inlineStr">
        <is>
          <t>Achieve net zero financed emissions for the University’s investment portfolio by 2050.</t>
        </is>
      </c>
      <c r="F39" s="7" t="inlineStr">
        <is>
          <t>Continuous improvement of the reporting of the University’s sustainability-related investment profile metrics, could include investment in climate mitigation and transition solutions, and compliance with related obligations (eg UNPRI).</t>
        </is>
      </c>
      <c r="G39" s="7" t="inlineStr">
        <is>
          <t>Report on relevant sustainability-related investment portfolio metrics and report on how the University has complied with its related obligations</t>
        </is>
      </c>
      <c r="H39" s="7" t="inlineStr">
        <is>
          <t>CFOG, CI&amp;S</t>
        </is>
      </c>
      <c r="I39" s="7" t="inlineStr">
        <is>
          <t>CI&amp;S, CFOG</t>
        </is>
      </c>
      <c r="J39" s="7" t="inlineStr"/>
      <c r="K39" s="7" t="inlineStr">
        <is>
          <t>Both</t>
        </is>
      </c>
      <c r="L39" s="7" t="inlineStr">
        <is>
          <t>No</t>
        </is>
      </c>
      <c r="M39" s="7" t="inlineStr"/>
      <c r="N39" s="7" t="inlineStr"/>
      <c r="O39" s="7" t="inlineStr">
        <is>
          <t>Tailored request</t>
        </is>
      </c>
      <c r="P39" s="7" t="inlineStr">
        <is>
          <t>Yes – Yes – data held (2023–2025); see 2. Quant coverage</t>
        </is>
      </c>
      <c r="Q39" s="7" t="inlineStr"/>
    </row>
    <row r="40" ht="105" customHeight="1">
      <c r="B40" s="6" t="inlineStr">
        <is>
          <t>EN1(a)</t>
        </is>
      </c>
      <c r="C40" s="7" t="inlineStr">
        <is>
          <t>Enablers</t>
        </is>
      </c>
      <c r="D40" s="7" t="inlineStr">
        <is>
          <t>Enablers</t>
        </is>
      </c>
      <c r="E40" s="7" t="inlineStr">
        <is>
          <t>Enablers</t>
        </is>
      </c>
      <c r="F40" s="7" t="inlineStr">
        <is>
          <t>Evidence of sustainability outcomes informed by Indigenous knowledges</t>
        </is>
      </c>
      <c r="G40" s="7"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H40" s="7" t="inlineStr">
        <is>
          <t>Faculties</t>
        </is>
      </c>
      <c r="I40" s="7" t="inlineStr">
        <is>
          <t>Faculties, GCE, Indigenous</t>
        </is>
      </c>
      <c r="J40" s="7" t="inlineStr">
        <is>
          <t>For discussion - it would be good to chat about the nuances of this one</t>
        </is>
      </c>
      <c r="K40" s="7" t="inlineStr">
        <is>
          <t>Both</t>
        </is>
      </c>
      <c r="L40" s="7" t="inlineStr">
        <is>
          <t>No</t>
        </is>
      </c>
      <c r="M40" s="7" t="inlineStr"/>
      <c r="N40" s="7" t="inlineStr">
        <is>
          <t>6a</t>
        </is>
      </c>
      <c r="O40" s="7" t="inlineStr">
        <is>
          <t>Tailored request</t>
        </is>
      </c>
      <c r="P40" s="7" t="inlineStr"/>
      <c r="Q40" s="7" t="inlineStr"/>
    </row>
    <row r="41" ht="90" customHeight="1">
      <c r="B41" s="6" t="inlineStr">
        <is>
          <t>EN1(b)</t>
        </is>
      </c>
      <c r="C41" s="7" t="inlineStr">
        <is>
          <t>Enablers</t>
        </is>
      </c>
      <c r="D41" s="7" t="inlineStr">
        <is>
          <t>Enablers</t>
        </is>
      </c>
      <c r="E41" s="7" t="inlineStr">
        <is>
          <t>Enablers</t>
        </is>
      </c>
      <c r="F41" s="7" t="inlineStr">
        <is>
          <t>Living laboratories enabling applied learning, research and operational sustainability outcomes</t>
        </is>
      </c>
      <c r="G41" s="7" t="inlineStr">
        <is>
          <t>Comment on living labs in the Faculty - outputs, outcomes, and impact</t>
        </is>
      </c>
      <c r="H41" s="7" t="inlineStr">
        <is>
          <t>Faculties, CI&amp;S</t>
        </is>
      </c>
      <c r="I41" s="7" t="inlineStr">
        <is>
          <t>Faculties, CI&amp;S</t>
        </is>
      </c>
      <c r="J41" s="7" t="inlineStr">
        <is>
          <t>SST is a key data owner: Can report on projects and outcomes from the Campus Living Lab Accelerator Program. Also will gather case studies from individual projects (4)</t>
        </is>
      </c>
      <c r="K41" s="7" t="inlineStr">
        <is>
          <t>Both</t>
        </is>
      </c>
      <c r="L41" s="7" t="inlineStr">
        <is>
          <t>No</t>
        </is>
      </c>
      <c r="M41" s="7" t="inlineStr"/>
      <c r="N41" s="7" t="inlineStr">
        <is>
          <t>2a</t>
        </is>
      </c>
      <c r="O41" s="7" t="inlineStr">
        <is>
          <t>Tailored request</t>
        </is>
      </c>
      <c r="P41" s="7" t="inlineStr">
        <is>
          <t>Yes – Yes – metrics defined, no data yet; see 2. Quant coverage</t>
        </is>
      </c>
      <c r="Q41" s="7" t="inlineStr"/>
    </row>
    <row r="42" ht="352" customHeight="1">
      <c r="B42" s="6" t="inlineStr">
        <is>
          <t>EN1(c)</t>
        </is>
      </c>
      <c r="C42" s="7" t="inlineStr">
        <is>
          <t>Enablers</t>
        </is>
      </c>
      <c r="D42" s="7" t="inlineStr">
        <is>
          <t>Enablers</t>
        </is>
      </c>
      <c r="E42" s="7" t="inlineStr">
        <is>
          <t>Enablers</t>
        </is>
      </c>
      <c r="F42" s="7" t="inlineStr">
        <is>
          <t>Coordinated internal engagement and external partnerships contributing to delivery of sustainability outcomes across priority areas.</t>
        </is>
      </c>
      <c r="G42" s="7"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H42" s="7" t="inlineStr">
        <is>
          <t>Faculties, CIOG, CFOG, CI&amp;S, ESG</t>
        </is>
      </c>
      <c r="I42" s="7" t="inlineStr">
        <is>
          <t>Faculties, CI&amp;S, CFOG, ESG, CIOG, AC&amp;M, GCE, Education</t>
        </is>
      </c>
      <c r="J42" s="7" t="inlineStr">
        <is>
          <t>Noting a gap - we used to collect data from Advancement on the number of sustainability-focused events and attendees. We don't have an indicator that captures that now but it would fit under Engagement and Partnerships. For discussion: Should we collect this data and find a place to report it? (Data owners: Advancement, Karl Brown)
The Global, Culture and Engagement team also provided us with case studies where sustainability is embedded in partnerships, or where students are engaging with sustainability in learning opportunities. They will have a case study this year about the winter school they ran which was focused on the SDGs. Main data owners/contacts: Charmaine Monteiro (Global); Padmini Sebastian (Engagement); also - we haven't engaged the 'Culture' part of GCE - should we engage them this year for case studies?</t>
        </is>
      </c>
      <c r="K42" s="7" t="inlineStr">
        <is>
          <t>Both</t>
        </is>
      </c>
      <c r="L42" s="7" t="inlineStr">
        <is>
          <t>No</t>
        </is>
      </c>
      <c r="M42" s="7" t="inlineStr"/>
      <c r="N42" s="7" t="inlineStr">
        <is>
          <t>3a(ii)</t>
        </is>
      </c>
      <c r="O42" s="7" t="inlineStr">
        <is>
          <t>Tailored request</t>
        </is>
      </c>
      <c r="P42" s="7" t="inlineStr"/>
      <c r="Q42" s="7" t="inlineStr"/>
    </row>
    <row r="43" ht="105" customHeight="1">
      <c r="B43" s="6" t="inlineStr">
        <is>
          <t>EN1(d)</t>
        </is>
      </c>
      <c r="C43" s="7" t="inlineStr">
        <is>
          <t>Enablers</t>
        </is>
      </c>
      <c r="D43" s="7" t="inlineStr">
        <is>
          <t>Enablers</t>
        </is>
      </c>
      <c r="E43" s="7" t="inlineStr">
        <is>
          <t>Enablers</t>
        </is>
      </c>
      <c r="F43" s="7" t="inlineStr">
        <is>
          <t>Sustainability objectives integrated into governance and decision‑making processes, supported by transparent reporting.</t>
        </is>
      </c>
      <c r="G43" s="7"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H43" s="7" t="inlineStr">
        <is>
          <t>Faculties, CIOG, CFOG, CI&amp;S, ESG</t>
        </is>
      </c>
      <c r="I43" s="7" t="inlineStr">
        <is>
          <t>CI&amp;S, CFOG, ESG, CIOG</t>
        </is>
      </c>
      <c r="J43" s="7" t="inlineStr">
        <is>
          <t>Reporting working group set up - talking about potential alignment with ASRS in future. Collaboration of SST, FBE (Accounting) and the Finance team in CFOG. Sally is the key contact for more info.</t>
        </is>
      </c>
      <c r="K43" s="7" t="inlineStr">
        <is>
          <t>Both</t>
        </is>
      </c>
      <c r="L43" s="7" t="inlineStr">
        <is>
          <t>No</t>
        </is>
      </c>
      <c r="M43" s="7" t="inlineStr"/>
      <c r="N43" s="7" t="inlineStr"/>
      <c r="O43" s="7" t="inlineStr">
        <is>
          <t>Tailored request</t>
        </is>
      </c>
      <c r="P43" s="7" t="inlineStr"/>
      <c r="Q43" s="7" t="inlineStr"/>
    </row>
  </sheetData>
  <autoFilter ref="B5:Q43"/>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R34"/>
  <sheetViews>
    <sheetView showGridLines="0" workbookViewId="0">
      <pane ySplit="5" topLeftCell="A6" activePane="bottomLeft" state="frozen"/>
      <selection pane="bottomLeft"/>
      <selection pane="bottomLeft"/>
      <selection pane="bottomRight" activeCell="A1" sqref="A1"/>
    </sheetView>
  </sheetViews>
  <sheetFormatPr baseColWidth="8" defaultRowHeight="15"/>
  <cols>
    <col width="13" customWidth="1" min="1" max="1"/>
    <col width="9" customWidth="1" min="2" max="2"/>
    <col width="18" customWidth="1" min="3" max="3"/>
    <col width="42" customWidth="1" min="4" max="4"/>
    <col width="24" customWidth="1" min="5" max="5"/>
    <col width="9" customWidth="1" min="6" max="6"/>
    <col width="40" customWidth="1" min="7" max="7"/>
    <col width="20" customWidth="1" min="8" max="8"/>
    <col width="10" customWidth="1" min="9" max="9"/>
    <col width="14" customWidth="1" min="10" max="10"/>
    <col width="46" customWidth="1" min="11" max="11"/>
    <col width="18" customWidth="1" min="12" max="12"/>
    <col width="13" customWidth="1" min="13" max="13"/>
    <col width="30" customWidth="1" min="14" max="14"/>
    <col width="13"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2. Quantitative indicators – Databook coverage</t>
        </is>
      </c>
      <c r="C2" s="1" t="n"/>
      <c r="D2" s="1" t="n"/>
      <c r="E2" s="1" t="n"/>
      <c r="F2" s="1" t="n"/>
      <c r="G2" s="1" t="n"/>
      <c r="H2" s="1" t="n"/>
      <c r="I2" s="1" t="n"/>
      <c r="J2" s="1" t="n"/>
      <c r="K2" s="1" t="n"/>
      <c r="L2" s="1" t="n"/>
      <c r="M2" s="1" t="n"/>
      <c r="N2" s="1" t="n"/>
      <c r="O2" s="1" t="n"/>
      <c r="P2" s="1" t="n"/>
      <c r="Q2" s="1" t="n"/>
      <c r="R2" s="1" t="n"/>
    </row>
    <row r="3" ht="45" customHeight="1">
      <c r="B3" s="8" t="inlineStr">
        <is>
          <t>The Sustainability Databook is the authoritative quantitative source (SR26 approach). Each quantitative indicator is checked against the Databook draft: figures held are confirmed by the owner; gaps are requested in Tab 4 of that owner's request. Faculties are not asked for quantitative data. Data points are listed in '2b. Databook register'.</t>
        </is>
      </c>
    </row>
    <row r="4"/>
    <row r="5" ht="60" customHeight="1">
      <c r="B5" s="5" t="inlineStr">
        <is>
          <t>Ref</t>
        </is>
      </c>
      <c r="C5" s="5" t="inlineStr">
        <is>
          <t>Priority area</t>
        </is>
      </c>
      <c r="D5" s="5" t="inlineStr">
        <is>
          <t>Indicator</t>
        </is>
      </c>
      <c r="E5" s="5" t="inlineStr">
        <is>
          <t>Type</t>
        </is>
      </c>
      <c r="F5" s="5" t="inlineStr">
        <is>
          <t>Quant? (Y/M)</t>
        </is>
      </c>
      <c r="G5" s="5" t="inlineStr">
        <is>
          <t>Suggested metric (Quan sheet)</t>
        </is>
      </c>
      <c r="H5" s="5" t="inlineStr">
        <is>
          <t>In Databook draft?</t>
        </is>
      </c>
      <c r="I5" s="5" t="inlineStr">
        <is>
          <t>No. of data points</t>
        </is>
      </c>
      <c r="J5" s="5" t="inlineStr">
        <is>
          <t>Suggested data owner</t>
        </is>
      </c>
      <c r="K5" s="5" t="inlineStr">
        <is>
          <t>Action</t>
        </is>
      </c>
      <c r="L5" s="5" t="inlineStr">
        <is>
          <t>Requested in</t>
        </is>
      </c>
      <c r="M5" s="5" t="inlineStr">
        <is>
          <t>Status</t>
        </is>
      </c>
      <c r="N5" s="5" t="inlineStr">
        <is>
          <t>Notes</t>
        </is>
      </c>
    </row>
    <row r="6" ht="75" customHeight="1">
      <c r="B6" s="6" t="inlineStr">
        <is>
          <t>EE1(c)</t>
        </is>
      </c>
      <c r="C6" s="7" t="inlineStr">
        <is>
          <t>Exceptional education</t>
        </is>
      </c>
      <c r="D6" s="7" t="inlineStr">
        <is>
          <t>Evidence of sustainability focused experiential and co curricular learning (eg Wattle Fellowship; Melbourne Plus)</t>
        </is>
      </c>
      <c r="E6" s="7" t="inlineStr">
        <is>
          <t>Mixed – narrative in requirements matrix; metric here</t>
        </is>
      </c>
      <c r="F6" s="7" t="inlineStr">
        <is>
          <t>M</t>
        </is>
      </c>
      <c r="G6" s="7" t="inlineStr">
        <is>
          <t>Number of experiential learning projects; number of participating students</t>
        </is>
      </c>
      <c r="H6" s="9" t="inlineStr">
        <is>
          <t>Yes – data held (2023–2025)</t>
        </is>
      </c>
      <c r="I6" s="7" t="n">
        <v>3</v>
      </c>
      <c r="J6" s="7" t="inlineStr">
        <is>
          <t>SaSS</t>
        </is>
      </c>
      <c r="K6" s="7" t="inlineStr">
        <is>
          <t>Owner confirms existing figures and provides CY2026 (provisional by 24 Dec, final Jan–Feb) – Tab 4 of owner's request</t>
        </is>
      </c>
      <c r="L6" s="7" t="inlineStr">
        <is>
          <t>SaSS request – Tab 4</t>
        </is>
      </c>
      <c r="M6" s="7" t="inlineStr">
        <is>
          <t>Not started</t>
        </is>
      </c>
      <c r="N6" s="7" t="inlineStr"/>
    </row>
    <row r="7" ht="75" customHeight="1">
      <c r="B7" s="6" t="inlineStr">
        <is>
          <t>EE1(d)</t>
        </is>
      </c>
      <c r="C7" s="7" t="inlineStr">
        <is>
          <t>Exceptional education</t>
        </is>
      </c>
      <c r="D7" s="7" t="inlineStr">
        <is>
          <t>Alumni profiles demonstrating how graduates contribute to sustainability through their careers or communities.</t>
        </is>
      </c>
      <c r="E7" s="7" t="inlineStr">
        <is>
          <t>Mixed – narrative in requirements matrix; metric here</t>
        </is>
      </c>
      <c r="F7" s="7" t="inlineStr">
        <is>
          <t>M</t>
        </is>
      </c>
      <c r="G7" s="7" t="inlineStr">
        <is>
          <t>Number of alumni that contribute to sustainability; % profiles demonstrating sustainability contribution; insights form different industries that influenced by alumni</t>
        </is>
      </c>
      <c r="H7" s="10" t="inlineStr">
        <is>
          <t>Yes – metrics defined, no data yet</t>
        </is>
      </c>
      <c r="I7" s="7" t="n">
        <v>2</v>
      </c>
      <c r="J7" s="7" t="inlineStr">
        <is>
          <t>SaSS</t>
        </is>
      </c>
      <c r="K7" s="7" t="inlineStr">
        <is>
          <t>Owner provides CY2026 (and earlier years if available) and confirms metric definition – Tab 4 of owner's request</t>
        </is>
      </c>
      <c r="L7" s="7" t="inlineStr">
        <is>
          <t>SaSS request – Tab 4</t>
        </is>
      </c>
      <c r="M7" s="7" t="inlineStr">
        <is>
          <t>Not started</t>
        </is>
      </c>
      <c r="N7" s="7" t="inlineStr"/>
    </row>
    <row r="8" ht="75" customHeight="1">
      <c r="B8" s="6" t="inlineStr">
        <is>
          <t>TR2(b)</t>
        </is>
      </c>
      <c r="C8" s="7" t="inlineStr">
        <is>
          <t>Transformational research</t>
        </is>
      </c>
      <c r="D8" s="7" t="inlineStr">
        <is>
          <t>Documented progress of relevant strategic initiatives, including Impact Accelerators</t>
        </is>
      </c>
      <c r="E8" s="7" t="inlineStr">
        <is>
          <t>Quantitative only – removed from requirements matrix</t>
        </is>
      </c>
      <c r="F8" s="7" t="inlineStr">
        <is>
          <t>Y</t>
        </is>
      </c>
      <c r="G8" s="7" t="inlineStr">
        <is>
          <t>Percentage of milestone completion rate to the set annual target of strategic initiatives; number of initiatives on track; number of initiatives delivered</t>
        </is>
      </c>
      <c r="H8" s="10" t="inlineStr">
        <is>
          <t>Yes – metrics defined, no data yet</t>
        </is>
      </c>
      <c r="I8" s="7" t="n">
        <v>5</v>
      </c>
      <c r="J8" s="7" t="inlineStr">
        <is>
          <t>MRE</t>
        </is>
      </c>
      <c r="K8" s="7" t="inlineStr">
        <is>
          <t>Owner provides CY2026 (and earlier years if available) and confirms metric definition – Tab 4 of owner's request</t>
        </is>
      </c>
      <c r="L8" s="7" t="inlineStr">
        <is>
          <t>MRE request – Tab 4</t>
        </is>
      </c>
      <c r="M8" s="7" t="inlineStr">
        <is>
          <t>Not started</t>
        </is>
      </c>
      <c r="N8" s="7" t="inlineStr"/>
    </row>
    <row r="9" ht="75" customHeight="1">
      <c r="B9" s="6" t="inlineStr">
        <is>
          <t>TR2(c)</t>
        </is>
      </c>
      <c r="C9" s="7" t="inlineStr">
        <is>
          <t>Transformational research</t>
        </is>
      </c>
      <c r="D9" s="7" t="inlineStr">
        <is>
          <t>Expert-reviewed summary of sustainability-related research outputs, outcomes and influence using available institutional evidence sources</t>
        </is>
      </c>
      <c r="E9" s="7" t="inlineStr">
        <is>
          <t>Mixed – narrative in requirements matrix; metric here</t>
        </is>
      </c>
      <c r="F9" s="7" t="inlineStr">
        <is>
          <t>Y</t>
        </is>
      </c>
      <c r="G9" s="7" t="inlineStr">
        <is>
          <t>currently mapped to the SDGs using SciVal, old metrics explorer (publication mapped to SDG whether they mentioned in mews, media, policy,etc),</t>
        </is>
      </c>
      <c r="H9" s="9" t="inlineStr">
        <is>
          <t>Yes – data held (2025)</t>
        </is>
      </c>
      <c r="I9" s="7" t="n">
        <v>86</v>
      </c>
      <c r="J9" s="7" t="inlineStr">
        <is>
          <t>MRE</t>
        </is>
      </c>
      <c r="K9" s="7" t="inlineStr">
        <is>
          <t>Owner confirms existing figures and provides CY2026 (provisional by 24 Dec, final Jan–Feb) – Tab 4 of owner's request</t>
        </is>
      </c>
      <c r="L9" s="7" t="inlineStr">
        <is>
          <t>MRE request – Tab 4</t>
        </is>
      </c>
      <c r="M9" s="7" t="inlineStr">
        <is>
          <t>Not started</t>
        </is>
      </c>
      <c r="N9" s="7" t="inlineStr"/>
    </row>
    <row r="10" ht="75" customHeight="1">
      <c r="B10" s="6" t="inlineStr">
        <is>
          <t>TR3(b)</t>
        </is>
      </c>
      <c r="C10" s="7" t="inlineStr">
        <is>
          <t>Transformational research</t>
        </is>
      </c>
      <c r="D10" s="7" t="inlineStr">
        <is>
          <t>Demonstrated examples of more sustainable research practices in laboratories, fieldwork, procurement, travel or infrastructure use</t>
        </is>
      </c>
      <c r="E10" s="7" t="inlineStr">
        <is>
          <t>Mixed – narrative in requirements matrix; metric here</t>
        </is>
      </c>
      <c r="F10" s="7" t="inlineStr">
        <is>
          <t>M</t>
        </is>
      </c>
      <c r="G10" s="7" t="inlineStr">
        <is>
          <t>Number of laboratories achieving green lab certification; number of new sustainable activity; number of sustainability fieldwork</t>
        </is>
      </c>
      <c r="H10" s="10" t="inlineStr">
        <is>
          <t>Yes – metrics defined, no data yet</t>
        </is>
      </c>
      <c r="I10" s="7" t="n">
        <v>3</v>
      </c>
      <c r="J10" s="7" t="inlineStr">
        <is>
          <t>MRE</t>
        </is>
      </c>
      <c r="K10" s="7" t="inlineStr">
        <is>
          <t>Owner provides CY2026 (and earlier years if available) and confirms metric definition – Tab 4 of owner's request</t>
        </is>
      </c>
      <c r="L10" s="7" t="inlineStr">
        <is>
          <t>MRE request – Tab 4</t>
        </is>
      </c>
      <c r="M10" s="7" t="inlineStr">
        <is>
          <t>Not started</t>
        </is>
      </c>
      <c r="N10" s="7" t="inlineStr"/>
    </row>
    <row r="11" ht="88" customHeight="1">
      <c r="B11" s="6" t="inlineStr">
        <is>
          <t>CL1(a)</t>
        </is>
      </c>
      <c r="C11" s="7" t="inlineStr">
        <is>
          <t>Climate leadership</t>
        </is>
      </c>
      <c r="D11" s="7" t="inlineStr">
        <is>
          <t>Annual Greenhouse Gas Inventory (including emissions scopes 1, 2 and 3) demonstrates carbon emission reductions, including maintaining procurement of 100% renewable electricity for all scope 2 sources[1]</t>
        </is>
      </c>
      <c r="E11" s="7" t="inlineStr">
        <is>
          <t>Quantitative only – removed from requirements matrix</t>
        </is>
      </c>
      <c r="F11" s="7" t="inlineStr">
        <is>
          <t>Y</t>
        </is>
      </c>
      <c r="G11" s="7" t="inlineStr">
        <is>
          <t>Total scope 1,2 and 3 emissions (tCO2-e); emissions by scope; % reduction from previous baseline; % renewable electircity produced</t>
        </is>
      </c>
      <c r="H11" s="9" t="inlineStr">
        <is>
          <t>Yes – data held (2023–2025)</t>
        </is>
      </c>
      <c r="I11" s="7" t="n">
        <v>78</v>
      </c>
      <c r="J11" s="7" t="inlineStr">
        <is>
          <t>ESG</t>
        </is>
      </c>
      <c r="K11" s="7" t="inlineStr">
        <is>
          <t>Owner confirms existing figures and provides CY2026 (provisional by 24 Dec, final Jan–Feb) – Tab 4 of owner's request</t>
        </is>
      </c>
      <c r="L11" s="7" t="inlineStr">
        <is>
          <t>ESG request – Tab 4</t>
        </is>
      </c>
      <c r="M11" s="7" t="inlineStr">
        <is>
          <t>Not started</t>
        </is>
      </c>
      <c r="N11" s="7" t="inlineStr"/>
    </row>
    <row r="12" ht="75" customHeight="1">
      <c r="B12" s="6" t="inlineStr">
        <is>
          <t>CL1(b)</t>
        </is>
      </c>
      <c r="C12" s="7" t="inlineStr">
        <is>
          <t>Climate leadership</t>
        </is>
      </c>
      <c r="D12" s="7" t="inlineStr">
        <is>
          <t>Development of Greenhouse Gas  intensity metrics</t>
        </is>
      </c>
      <c r="E12" s="7" t="inlineStr">
        <is>
          <t>Quantitative only – removed from requirements matrix</t>
        </is>
      </c>
      <c r="F12" s="7" t="inlineStr">
        <is>
          <t>Y</t>
        </is>
      </c>
      <c r="G12" s="7" t="inlineStr">
        <is>
          <t>Greenhouse gas emissions by FTE, EFTSL, and Gross floor area (https://www.unimelb.edu.au/sustainabilityreport/2025/data-tables#GHGe-scope)</t>
        </is>
      </c>
      <c r="H12" s="9" t="inlineStr">
        <is>
          <t>Yes – data held (2023–2025)</t>
        </is>
      </c>
      <c r="I12" s="7" t="n">
        <v>8</v>
      </c>
      <c r="J12" s="7" t="inlineStr">
        <is>
          <t>ESG</t>
        </is>
      </c>
      <c r="K12" s="7" t="inlineStr">
        <is>
          <t>Owner confirms existing figures and provides CY2026 (provisional by 24 Dec, final Jan–Feb) – Tab 4 of owner's request</t>
        </is>
      </c>
      <c r="L12" s="7" t="inlineStr">
        <is>
          <t>ESG request – Tab 4</t>
        </is>
      </c>
      <c r="M12" s="7" t="inlineStr">
        <is>
          <t>Not started</t>
        </is>
      </c>
      <c r="N12" s="7" t="inlineStr"/>
    </row>
    <row r="13" ht="75" customHeight="1">
      <c r="B13" s="6" t="inlineStr">
        <is>
          <t>CL1(c)</t>
        </is>
      </c>
      <c r="C13" s="7" t="inlineStr">
        <is>
          <t>Climate leadership</t>
        </is>
      </c>
      <c r="D13" s="7" t="inlineStr">
        <is>
          <t>Review of Climate Leadership targets by 2030.[2]</t>
        </is>
      </c>
      <c r="E13" s="7" t="inlineStr">
        <is>
          <t>Mixed – narrative in requirements matrix; metric here</t>
        </is>
      </c>
      <c r="F13" s="7" t="inlineStr">
        <is>
          <t>M</t>
        </is>
      </c>
      <c r="G13" s="7" t="inlineStr"/>
      <c r="H13" s="11" t="inlineStr">
        <is>
          <t>No</t>
        </is>
      </c>
      <c r="I13" s="7" t="n">
        <v>0</v>
      </c>
      <c r="J13" s="7" t="inlineStr">
        <is>
          <t>ESG</t>
        </is>
      </c>
      <c r="K13" s="7" t="inlineStr">
        <is>
          <t>Not in Databook – decide: add metric to Databook, or report this indicator qualitatively only</t>
        </is>
      </c>
      <c r="L13" s="7" t="inlineStr"/>
      <c r="M13" s="7" t="inlineStr">
        <is>
          <t>Not started</t>
        </is>
      </c>
      <c r="N13" s="7" t="inlineStr"/>
    </row>
    <row r="14" ht="75" customHeight="1">
      <c r="B14" s="6" t="inlineStr">
        <is>
          <t>CL2(a)</t>
        </is>
      </c>
      <c r="C14" s="7" t="inlineStr">
        <is>
          <t>Climate leadership</t>
        </is>
      </c>
      <c r="D14" s="7" t="inlineStr">
        <is>
          <t>By 2028, develop and document institutional mapping of research and education activities that are designed to contribute to global decarbonisation</t>
        </is>
      </c>
      <c r="E14" s="7" t="inlineStr">
        <is>
          <t>Mixed – narrative in requirements matrix; metric here</t>
        </is>
      </c>
      <c r="F14" s="7" t="inlineStr">
        <is>
          <t>M</t>
        </is>
      </c>
      <c r="G14" s="7" t="inlineStr">
        <is>
          <t>Number of relevant research projects/programs mapped; number of relevant subjects mapped</t>
        </is>
      </c>
      <c r="H14" s="10" t="inlineStr">
        <is>
          <t>Yes – metrics defined, no data yet</t>
        </is>
      </c>
      <c r="I14" s="7" t="n">
        <v>2</v>
      </c>
      <c r="J14" s="7" t="inlineStr">
        <is>
          <t>SST</t>
        </is>
      </c>
      <c r="K14" s="7" t="inlineStr">
        <is>
          <t>SST – compiled from faculty and CI&amp;S responses</t>
        </is>
      </c>
      <c r="L14" s="7" t="inlineStr"/>
      <c r="M14" s="7" t="inlineStr">
        <is>
          <t>Not started</t>
        </is>
      </c>
      <c r="N14" s="7" t="inlineStr"/>
    </row>
    <row r="15" ht="75" customHeight="1">
      <c r="B15" s="6" t="inlineStr">
        <is>
          <t>CL2(b)</t>
        </is>
      </c>
      <c r="C15" s="7" t="inlineStr">
        <is>
          <t>Climate leadership</t>
        </is>
      </c>
      <c r="D15" s="7" t="inlineStr">
        <is>
          <t>Prioritised pipeline of decarbonisation focused research and education opportunities aligned with University emissions reduction priorities from 2028</t>
        </is>
      </c>
      <c r="E15" s="7" t="inlineStr">
        <is>
          <t>Quantitative only – removed from requirements matrix</t>
        </is>
      </c>
      <c r="F15" s="7" t="inlineStr">
        <is>
          <t>Y</t>
        </is>
      </c>
      <c r="G15" s="7" t="inlineStr">
        <is>
          <t>Number of pipelined projects or research transitioned from opportunity to active per year</t>
        </is>
      </c>
      <c r="H15" s="10" t="inlineStr">
        <is>
          <t>Yes – metrics defined, no data yet</t>
        </is>
      </c>
      <c r="I15" s="7" t="n">
        <v>1</v>
      </c>
      <c r="J15" s="7" t="inlineStr">
        <is>
          <t>SST</t>
        </is>
      </c>
      <c r="K15" s="7" t="inlineStr">
        <is>
          <t>SST – compiled from faculty and CI&amp;S responses</t>
        </is>
      </c>
      <c r="L15" s="7" t="inlineStr"/>
      <c r="M15" s="7" t="inlineStr">
        <is>
          <t>Not started</t>
        </is>
      </c>
      <c r="N15" s="7" t="inlineStr"/>
    </row>
    <row r="16" ht="75" customHeight="1">
      <c r="B16" s="6" t="inlineStr">
        <is>
          <t>CL2(c)</t>
        </is>
      </c>
      <c r="C16" s="7" t="inlineStr">
        <is>
          <t>Climate leadership</t>
        </is>
      </c>
      <c r="D16" s="7" t="inlineStr">
        <is>
          <t>Ongoing communications that evidence the University’s climate action, research and learning to inform policy, sector and community decarbonisation efforts.</t>
        </is>
      </c>
      <c r="E16" s="7" t="inlineStr">
        <is>
          <t>Mixed – narrative in requirements matrix; metric here</t>
        </is>
      </c>
      <c r="F16" s="7" t="inlineStr">
        <is>
          <t>M</t>
        </is>
      </c>
      <c r="G16" s="7" t="inlineStr">
        <is>
          <t>Annual count of published documents, policy briefs, or public engagement events; number of policy/sector engagement; # views of communication material</t>
        </is>
      </c>
      <c r="H16" s="10" t="inlineStr">
        <is>
          <t>Yes – metrics defined, no data yet</t>
        </is>
      </c>
      <c r="I16" s="7" t="n">
        <v>2</v>
      </c>
      <c r="J16" s="7" t="inlineStr">
        <is>
          <t>SST</t>
        </is>
      </c>
      <c r="K16" s="7" t="inlineStr">
        <is>
          <t>SST – compiled from faculty and CI&amp;S responses</t>
        </is>
      </c>
      <c r="L16" s="7" t="inlineStr"/>
      <c r="M16" s="7" t="inlineStr">
        <is>
          <t>Not started</t>
        </is>
      </c>
      <c r="N16" s="7" t="inlineStr"/>
    </row>
    <row r="17" ht="204" customHeight="1">
      <c r="B17" s="6" t="inlineStr">
        <is>
          <t>CL3(a)</t>
        </is>
      </c>
      <c r="C17" s="7" t="inlineStr">
        <is>
          <t>Climate leadership</t>
        </is>
      </c>
      <c r="D17" s="7"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E17" s="7" t="inlineStr">
        <is>
          <t>Mixed – narrative in requirements matrix; metric here</t>
        </is>
      </c>
      <c r="F17" s="7" t="inlineStr">
        <is>
          <t>M</t>
        </is>
      </c>
      <c r="G17" s="7" t="inlineStr">
        <is>
          <t>Maturity score by function; overall/average maturity score; % functions raching target maturity level</t>
        </is>
      </c>
      <c r="H17" s="10" t="inlineStr">
        <is>
          <t>Yes – metrics defined, no data yet</t>
        </is>
      </c>
      <c r="I17" s="7" t="n">
        <v>7</v>
      </c>
      <c r="J17" s="7" t="inlineStr">
        <is>
          <t>CI&amp;S</t>
        </is>
      </c>
      <c r="K17" s="7" t="inlineStr">
        <is>
          <t>Owner provides CY2026 (and earlier years if available) and confirms metric definition – Tab 4 of owner's request</t>
        </is>
      </c>
      <c r="L17" s="7" t="inlineStr">
        <is>
          <t>CI&amp;S request – Tab 4</t>
        </is>
      </c>
      <c r="M17" s="7" t="inlineStr">
        <is>
          <t>Not started</t>
        </is>
      </c>
      <c r="N17" s="7" t="inlineStr"/>
    </row>
    <row r="18" ht="75" customHeight="1">
      <c r="B18" s="6" t="inlineStr">
        <is>
          <t>NB1(a)</t>
        </is>
      </c>
      <c r="C18" s="7" t="inlineStr">
        <is>
          <t>Nature and biodiversity</t>
        </is>
      </c>
      <c r="D18" s="7" t="inlineStr">
        <is>
          <t>Monitoring of biodiversity metrics from the Biodiversity Baseline Data Project</t>
        </is>
      </c>
      <c r="E18" s="7" t="inlineStr">
        <is>
          <t>Quantitative only – removed from requirements matrix</t>
        </is>
      </c>
      <c r="F18" s="7" t="inlineStr">
        <is>
          <t>Y</t>
        </is>
      </c>
      <c r="G18" s="7" t="inlineStr">
        <is>
          <t>7 diversity metrics from https://sustainablecampus.unimelb.edu.au/biodiversity/biodiversity-baseline-data-project#main-content</t>
        </is>
      </c>
      <c r="H18" s="9" t="inlineStr">
        <is>
          <t>Yes – data held (2025)</t>
        </is>
      </c>
      <c r="I18" s="7" t="n">
        <v>63</v>
      </c>
      <c r="J18" s="7" t="inlineStr">
        <is>
          <t>ESG</t>
        </is>
      </c>
      <c r="K18" s="7" t="inlineStr">
        <is>
          <t>Owner confirms existing figures and provides CY2026 (provisional by 24 Dec, final Jan–Feb) – Tab 4 of owner's request</t>
        </is>
      </c>
      <c r="L18" s="7" t="inlineStr">
        <is>
          <t>ESG request – Tab 4</t>
        </is>
      </c>
      <c r="M18" s="7" t="inlineStr">
        <is>
          <t>Not started</t>
        </is>
      </c>
      <c r="N18" s="7" t="inlineStr"/>
    </row>
    <row r="19" ht="75" customHeight="1">
      <c r="B19" s="6" t="inlineStr">
        <is>
          <t>NB1(b)</t>
        </is>
      </c>
      <c r="C19" s="7" t="inlineStr">
        <is>
          <t>Nature and biodiversity</t>
        </is>
      </c>
      <c r="D19" s="7" t="inlineStr">
        <is>
          <t>Size, health and diversity of remnant vegetation at the Dookie and Creswick campuses</t>
        </is>
      </c>
      <c r="E19" s="7" t="inlineStr">
        <is>
          <t>Mixed – narrative in requirements matrix; metric here</t>
        </is>
      </c>
      <c r="F19" s="7" t="inlineStr">
        <is>
          <t>Y</t>
        </is>
      </c>
      <c r="G19" s="7" t="inlineStr"/>
      <c r="H19" s="11" t="inlineStr">
        <is>
          <t>No</t>
        </is>
      </c>
      <c r="I19" s="7" t="n">
        <v>0</v>
      </c>
      <c r="J19" s="7" t="inlineStr">
        <is>
          <t>ESG</t>
        </is>
      </c>
      <c r="K19" s="7" t="inlineStr">
        <is>
          <t>Not in Databook – decide: add metric to Databook, or report this indicator qualitatively only</t>
        </is>
      </c>
      <c r="L19" s="7" t="inlineStr"/>
      <c r="M19" s="7" t="inlineStr">
        <is>
          <t>Not started</t>
        </is>
      </c>
      <c r="N19" s="7" t="inlineStr"/>
    </row>
    <row r="20" ht="75" customHeight="1">
      <c r="B20" s="6" t="inlineStr">
        <is>
          <t>NB1(c)</t>
        </is>
      </c>
      <c r="C20" s="7" t="inlineStr">
        <is>
          <t>Nature and biodiversity</t>
        </is>
      </c>
      <c r="D20" s="7" t="inlineStr">
        <is>
          <t>Defined quality measurement framework</t>
        </is>
      </c>
      <c r="E20" s="7" t="inlineStr">
        <is>
          <t>Mixed – narrative in requirements matrix; metric here</t>
        </is>
      </c>
      <c r="F20" s="7" t="inlineStr">
        <is>
          <t>M</t>
        </is>
      </c>
      <c r="G20" s="7" t="inlineStr"/>
      <c r="H20" s="11" t="inlineStr">
        <is>
          <t>No</t>
        </is>
      </c>
      <c r="I20" s="7" t="n">
        <v>0</v>
      </c>
      <c r="J20" s="7" t="inlineStr">
        <is>
          <t>ESG</t>
        </is>
      </c>
      <c r="K20" s="7" t="inlineStr">
        <is>
          <t>Not in Databook – decide: add metric to Databook, or report this indicator qualitatively only</t>
        </is>
      </c>
      <c r="L20" s="7" t="inlineStr"/>
      <c r="M20" s="7" t="inlineStr">
        <is>
          <t>Not started</t>
        </is>
      </c>
      <c r="N20" s="7" t="inlineStr"/>
    </row>
    <row r="21" ht="105" customHeight="1">
      <c r="B21" s="6" t="inlineStr">
        <is>
          <t>NB1(d)</t>
        </is>
      </c>
      <c r="C21" s="7" t="inlineStr">
        <is>
          <t>Nature and biodiversity</t>
        </is>
      </c>
      <c r="D21" s="7" t="inlineStr">
        <is>
          <t>Defined and quantified campus connectivity</t>
        </is>
      </c>
      <c r="E21" s="7" t="inlineStr">
        <is>
          <t>Mixed – narrative in requirements matrix; metric here</t>
        </is>
      </c>
      <c r="F21" s="7" t="inlineStr">
        <is>
          <t>M</t>
        </is>
      </c>
      <c r="G21" s="7" t="inlineStr">
        <is>
          <t>Please provide the current definition and quantified assessment of campus ecological connectivity, could include the methodology used, campuses covered, baseline or benchmark values, and any material change over the reporting period.</t>
        </is>
      </c>
      <c r="H21" s="11" t="inlineStr">
        <is>
          <t>No</t>
        </is>
      </c>
      <c r="I21" s="7" t="n">
        <v>0</v>
      </c>
      <c r="J21" s="7" t="inlineStr">
        <is>
          <t>ESG</t>
        </is>
      </c>
      <c r="K21" s="7" t="inlineStr">
        <is>
          <t>Not in Databook – decide: add metric to Databook, or report this indicator qualitatively only</t>
        </is>
      </c>
      <c r="L21" s="7" t="inlineStr"/>
      <c r="M21" s="7" t="inlineStr">
        <is>
          <t>Not started</t>
        </is>
      </c>
      <c r="N21" s="7" t="inlineStr"/>
    </row>
    <row r="22" ht="75" customHeight="1">
      <c r="B22" s="6" t="inlineStr">
        <is>
          <t>NB2(a)</t>
        </is>
      </c>
      <c r="C22" s="7" t="inlineStr">
        <is>
          <t>Nature and biodiversity</t>
        </is>
      </c>
      <c r="D22" s="7" t="inlineStr">
        <is>
          <t>Documented baseline nature footprint analysis</t>
        </is>
      </c>
      <c r="E22" s="7" t="inlineStr">
        <is>
          <t>Mixed – narrative in requirements matrix; metric here</t>
        </is>
      </c>
      <c r="F22" s="7" t="inlineStr">
        <is>
          <t>Y</t>
        </is>
      </c>
      <c r="G22" s="7" t="inlineStr">
        <is>
          <t>Impact Encore Measurement</t>
        </is>
      </c>
      <c r="H22" s="10" t="inlineStr">
        <is>
          <t>Yes – metrics defined, no data yet</t>
        </is>
      </c>
      <c r="I22" s="7" t="n">
        <v>7</v>
      </c>
      <c r="J22" s="7" t="inlineStr">
        <is>
          <t>MRE</t>
        </is>
      </c>
      <c r="K22" s="7" t="inlineStr">
        <is>
          <t>Owner provides CY2026 (and earlier years if available) and confirms metric definition – Tab 4 of owner's request</t>
        </is>
      </c>
      <c r="L22" s="7" t="inlineStr">
        <is>
          <t>MRE request – Tab 4</t>
        </is>
      </c>
      <c r="M22" s="7" t="inlineStr">
        <is>
          <t>Not started</t>
        </is>
      </c>
      <c r="N22" s="7" t="inlineStr"/>
    </row>
    <row r="23" ht="75" customHeight="1">
      <c r="B23" s="6" t="inlineStr">
        <is>
          <t>AI1(a)</t>
        </is>
      </c>
      <c r="C23" s="7" t="inlineStr">
        <is>
          <t>Responsible AI</t>
        </is>
      </c>
      <c r="D23" s="7" t="inlineStr">
        <is>
          <t>Established measurement of estimated operational impacts and opportunities (eg operational impacts could include energy, water, emissions and intensity measures)</t>
        </is>
      </c>
      <c r="E23" s="7" t="inlineStr">
        <is>
          <t>Mixed – narrative in requirements matrix; metric here</t>
        </is>
      </c>
      <c r="F23" s="7" t="inlineStr">
        <is>
          <t>M</t>
        </is>
      </c>
      <c r="G23" s="7" t="inlineStr">
        <is>
          <t>Pending denominator</t>
        </is>
      </c>
      <c r="H23" s="11" t="inlineStr">
        <is>
          <t>No</t>
        </is>
      </c>
      <c r="I23" s="7" t="n">
        <v>0</v>
      </c>
      <c r="J23" s="7" t="inlineStr">
        <is>
          <t>CIOG</t>
        </is>
      </c>
      <c r="K23" s="7" t="inlineStr">
        <is>
          <t>Not in Databook – decide: add metric to Databook, or report this indicator qualitatively only</t>
        </is>
      </c>
      <c r="L23" s="7" t="inlineStr"/>
      <c r="M23" s="7" t="inlineStr">
        <is>
          <t>Not started</t>
        </is>
      </c>
      <c r="N23" s="7" t="inlineStr"/>
    </row>
    <row r="24" ht="75" customHeight="1">
      <c r="B24" s="6" t="inlineStr">
        <is>
          <t>EI1(a)</t>
        </is>
      </c>
      <c r="C24" s="7" t="inlineStr">
        <is>
          <t>Estate and infrastructure</t>
        </is>
      </c>
      <c r="D24" s="7" t="inlineStr">
        <is>
          <t>Evidence of increased maturity of estate and infrastructure planning, development and operations to support the other priority areas in Sustainability 2030</t>
        </is>
      </c>
      <c r="E24" s="7" t="inlineStr">
        <is>
          <t>Mixed – narrative in requirements matrix; metric here</t>
        </is>
      </c>
      <c r="F24" s="7" t="inlineStr">
        <is>
          <t>M</t>
        </is>
      </c>
      <c r="G24" s="7" t="inlineStr">
        <is>
          <t>qual, climate resilience?,</t>
        </is>
      </c>
      <c r="H24" s="11" t="inlineStr">
        <is>
          <t>No</t>
        </is>
      </c>
      <c r="I24" s="7" t="n">
        <v>0</v>
      </c>
      <c r="J24" s="7" t="inlineStr">
        <is>
          <t>CI&amp;S</t>
        </is>
      </c>
      <c r="K24" s="7" t="inlineStr">
        <is>
          <t>Not in Databook – decide: add metric to Databook, or report this indicator qualitatively only</t>
        </is>
      </c>
      <c r="L24" s="7" t="inlineStr"/>
      <c r="M24" s="7" t="inlineStr">
        <is>
          <t>Not started</t>
        </is>
      </c>
      <c r="N24" s="7" t="inlineStr"/>
    </row>
    <row r="25" ht="88" customHeight="1">
      <c r="B25" s="6" t="inlineStr">
        <is>
          <t>EI1(b)</t>
        </is>
      </c>
      <c r="C25" s="7" t="inlineStr">
        <is>
          <t>Estate and infrastructure</t>
        </is>
      </c>
      <c r="D25" s="7" t="inlineStr">
        <is>
          <t>Estimated sustainability impacts of the University’s estate and infrastructure capital plan to inform progress towards emissions reduction targets and other priority areas (to the extent enabled by available information)</t>
        </is>
      </c>
      <c r="E25" s="7" t="inlineStr">
        <is>
          <t>Mixed – narrative in requirements matrix; metric here</t>
        </is>
      </c>
      <c r="F25" s="7" t="inlineStr">
        <is>
          <t>M</t>
        </is>
      </c>
      <c r="G25" s="7" t="inlineStr">
        <is>
          <t>Forecast operational emission (tCO2-e); expected energy consumptions/savings; expected water impact; expected waste material impact; potential biodiversity impact</t>
        </is>
      </c>
      <c r="H25" s="11" t="inlineStr">
        <is>
          <t>No</t>
        </is>
      </c>
      <c r="I25" s="7" t="n">
        <v>0</v>
      </c>
      <c r="J25" s="7" t="inlineStr">
        <is>
          <t>CI&amp;S</t>
        </is>
      </c>
      <c r="K25" s="7" t="inlineStr">
        <is>
          <t>Not in Databook – decide: add metric to Databook, or report this indicator qualitatively only</t>
        </is>
      </c>
      <c r="L25" s="7" t="inlineStr"/>
      <c r="M25" s="7" t="inlineStr">
        <is>
          <t>Not started</t>
        </is>
      </c>
      <c r="N25" s="7" t="inlineStr"/>
    </row>
    <row r="26" ht="88" customHeight="1">
      <c r="B26" s="6" t="inlineStr">
        <is>
          <t>EI1(c)</t>
        </is>
      </c>
      <c r="C26" s="7" t="inlineStr">
        <is>
          <t>Estate and infrastructure</t>
        </is>
      </c>
      <c r="D26" s="7" t="inlineStr">
        <is>
          <t>Reporting on relevant activities and impacts for the University’s major estate and infrastructure projects and programs aligned with the other priority areas in Sustainability 2030</t>
        </is>
      </c>
      <c r="E26" s="7" t="inlineStr">
        <is>
          <t>Mixed – narrative in requirements matrix; metric here</t>
        </is>
      </c>
      <c r="F26" s="7" t="inlineStr">
        <is>
          <t>M</t>
        </is>
      </c>
      <c r="G26" s="7" t="inlineStr">
        <is>
          <t>case by case</t>
        </is>
      </c>
      <c r="H26" s="11" t="inlineStr">
        <is>
          <t>No</t>
        </is>
      </c>
      <c r="I26" s="7" t="n">
        <v>0</v>
      </c>
      <c r="J26" s="7" t="inlineStr">
        <is>
          <t>CI&amp;S</t>
        </is>
      </c>
      <c r="K26" s="7" t="inlineStr">
        <is>
          <t>Not in Databook – decide: add metric to Databook, or report this indicator qualitatively only</t>
        </is>
      </c>
      <c r="L26" s="7" t="inlineStr"/>
      <c r="M26" s="7" t="inlineStr">
        <is>
          <t>Not started</t>
        </is>
      </c>
      <c r="N26" s="7" t="inlineStr"/>
    </row>
    <row r="27" ht="75" customHeight="1">
      <c r="B27" s="6" t="inlineStr">
        <is>
          <t>CE1(a)</t>
        </is>
      </c>
      <c r="C27" s="7" t="inlineStr">
        <is>
          <t>Circular economy</t>
        </is>
      </c>
      <c r="D27" s="7" t="inlineStr">
        <is>
          <t>Comparison of year-to-year tonnes of waste (absolute).</t>
        </is>
      </c>
      <c r="E27" s="7" t="inlineStr">
        <is>
          <t>Quantitative only – removed from requirements matrix</t>
        </is>
      </c>
      <c r="F27" s="7" t="inlineStr">
        <is>
          <t>Y</t>
        </is>
      </c>
      <c r="G27" s="7" t="inlineStr">
        <is>
          <t>tonnes of waste; % change against previous baseline</t>
        </is>
      </c>
      <c r="H27" s="9" t="inlineStr">
        <is>
          <t>Yes – data held (2023–2025)</t>
        </is>
      </c>
      <c r="I27" s="7" t="n">
        <v>3</v>
      </c>
      <c r="J27" s="7" t="inlineStr">
        <is>
          <t>ESG</t>
        </is>
      </c>
      <c r="K27" s="7" t="inlineStr">
        <is>
          <t>Owner confirms existing figures and provides CY2026 (provisional by 24 Dec, final Jan–Feb) – Tab 4 of owner's request</t>
        </is>
      </c>
      <c r="L27" s="7" t="inlineStr">
        <is>
          <t>ESG request – Tab 4</t>
        </is>
      </c>
      <c r="M27" s="7" t="inlineStr">
        <is>
          <t>Not started</t>
        </is>
      </c>
      <c r="N27" s="7" t="inlineStr"/>
    </row>
    <row r="28" ht="75" customHeight="1">
      <c r="B28" s="6" t="inlineStr">
        <is>
          <t>CE2(a)</t>
        </is>
      </c>
      <c r="C28" s="7" t="inlineStr">
        <is>
          <t>Circular economy</t>
        </is>
      </c>
      <c r="D28" s="7" t="inlineStr">
        <is>
          <t>Comparison of year-to-year tonnes of recyclables (absolute).</t>
        </is>
      </c>
      <c r="E28" s="7" t="inlineStr">
        <is>
          <t>Quantitative only – removed from requirements matrix</t>
        </is>
      </c>
      <c r="F28" s="7" t="inlineStr">
        <is>
          <t>Y</t>
        </is>
      </c>
      <c r="G28" s="7" t="inlineStr">
        <is>
          <t>waste diversion rate; tonnes diverted from landfill; % change against previous baseline</t>
        </is>
      </c>
      <c r="H28" s="9" t="inlineStr">
        <is>
          <t>Yes – data held (2023–2025)</t>
        </is>
      </c>
      <c r="I28" s="7" t="n">
        <v>3</v>
      </c>
      <c r="J28" s="7" t="inlineStr">
        <is>
          <t>ESG</t>
        </is>
      </c>
      <c r="K28" s="7" t="inlineStr">
        <is>
          <t>Owner confirms existing figures and provides CY2026 (provisional by 24 Dec, final Jan–Feb) – Tab 4 of owner's request</t>
        </is>
      </c>
      <c r="L28" s="7" t="inlineStr">
        <is>
          <t>ESG request – Tab 4</t>
        </is>
      </c>
      <c r="M28" s="7" t="inlineStr">
        <is>
          <t>Not started</t>
        </is>
      </c>
      <c r="N28" s="7" t="inlineStr"/>
    </row>
    <row r="29" ht="75" customHeight="1">
      <c r="B29" s="6" t="inlineStr">
        <is>
          <t>RP1(a)</t>
        </is>
      </c>
      <c r="C29" s="7" t="inlineStr">
        <is>
          <t>Responsible procurement</t>
        </is>
      </c>
      <c r="D29" s="7" t="inlineStr">
        <is>
          <t>Case studies of maturity improvement related to responsible procurement process and systems.</t>
        </is>
      </c>
      <c r="E29" s="7" t="inlineStr">
        <is>
          <t>Mixed – narrative in requirements matrix; metric here</t>
        </is>
      </c>
      <c r="F29" s="7" t="inlineStr">
        <is>
          <t>Y</t>
        </is>
      </c>
      <c r="G29" s="7" t="inlineStr">
        <is>
          <t>Maturity score if framework established; % procurement staff trained</t>
        </is>
      </c>
      <c r="H29" s="11" t="inlineStr">
        <is>
          <t>No</t>
        </is>
      </c>
      <c r="I29" s="7" t="n">
        <v>0</v>
      </c>
      <c r="J29" s="7" t="inlineStr">
        <is>
          <t>CFOG</t>
        </is>
      </c>
      <c r="K29" s="7" t="inlineStr">
        <is>
          <t>Not in Databook – decide: add metric to Databook, or report this indicator qualitatively only</t>
        </is>
      </c>
      <c r="L29" s="7" t="inlineStr"/>
      <c r="M29" s="7" t="inlineStr">
        <is>
          <t>Not started</t>
        </is>
      </c>
      <c r="N29" s="7" t="inlineStr"/>
    </row>
    <row r="30" ht="75" customHeight="1">
      <c r="B30" s="6" t="inlineStr">
        <is>
          <t>RP2(a)</t>
        </is>
      </c>
      <c r="C30" s="7" t="inlineStr">
        <is>
          <t>Responsible procurement</t>
        </is>
      </c>
      <c r="D30" s="7" t="inlineStr">
        <is>
          <t>Percentage of Indigenous spend of total addressable procurement spend</t>
        </is>
      </c>
      <c r="E30" s="7" t="inlineStr">
        <is>
          <t>Quantitative only – removed from requirements matrix</t>
        </is>
      </c>
      <c r="F30" s="7" t="inlineStr">
        <is>
          <t>Y</t>
        </is>
      </c>
      <c r="G30" s="7" t="inlineStr">
        <is>
          <t>Percentage of Indigenous spend of total addressable procurement spend</t>
        </is>
      </c>
      <c r="H30" s="10" t="inlineStr">
        <is>
          <t>Yes – metrics defined, no data yet</t>
        </is>
      </c>
      <c r="I30" s="7" t="n">
        <v>3</v>
      </c>
      <c r="J30" s="7" t="inlineStr">
        <is>
          <t>CFOG</t>
        </is>
      </c>
      <c r="K30" s="7" t="inlineStr">
        <is>
          <t>Owner provides CY2026 (and earlier years if available) and confirms metric definition – Tab 4 of owner's request</t>
        </is>
      </c>
      <c r="L30" s="7" t="inlineStr">
        <is>
          <t>CFOG request – Tab 4</t>
        </is>
      </c>
      <c r="M30" s="7" t="inlineStr">
        <is>
          <t>Not started</t>
        </is>
      </c>
      <c r="N30" s="7" t="inlineStr"/>
    </row>
    <row r="31" ht="75" customHeight="1">
      <c r="B31" s="6" t="inlineStr">
        <is>
          <t>RP2(b)</t>
        </is>
      </c>
      <c r="C31" s="7" t="inlineStr">
        <is>
          <t>Responsible procurement</t>
        </is>
      </c>
      <c r="D31" s="7" t="inlineStr">
        <is>
          <t>Percentage of social spend of total addressable procurement spend.</t>
        </is>
      </c>
      <c r="E31" s="7" t="inlineStr">
        <is>
          <t>Quantitative only – removed from requirements matrix</t>
        </is>
      </c>
      <c r="F31" s="7" t="inlineStr">
        <is>
          <t>Y</t>
        </is>
      </c>
      <c r="G31" s="7" t="inlineStr">
        <is>
          <t>Percentage of social spend of total addressable procurement spend.</t>
        </is>
      </c>
      <c r="H31" s="10" t="inlineStr">
        <is>
          <t>Yes – metrics defined, no data yet</t>
        </is>
      </c>
      <c r="I31" s="7" t="n">
        <v>3</v>
      </c>
      <c r="J31" s="7" t="inlineStr">
        <is>
          <t>CFOG</t>
        </is>
      </c>
      <c r="K31" s="7" t="inlineStr">
        <is>
          <t>Owner provides CY2026 (and earlier years if available) and confirms metric definition – Tab 4 of owner's request</t>
        </is>
      </c>
      <c r="L31" s="7" t="inlineStr">
        <is>
          <t>CFOG request – Tab 4</t>
        </is>
      </c>
      <c r="M31" s="7" t="inlineStr">
        <is>
          <t>Not started</t>
        </is>
      </c>
      <c r="N31" s="7" t="inlineStr"/>
    </row>
    <row r="32" ht="105" customHeight="1">
      <c r="B32" s="6" t="inlineStr">
        <is>
          <t>RI1(a)</t>
        </is>
      </c>
      <c r="C32" s="7" t="inlineStr">
        <is>
          <t>Responsible investments</t>
        </is>
      </c>
      <c r="D32" s="7" t="inlineStr">
        <is>
          <t>Annual monitoring and reporting on the investment portfolio’s net zero transition progress, including tracking the percentage of assets under management (AUM) managed by investment managers aligned with (or committed to) net zero by 2050</t>
        </is>
      </c>
      <c r="E32" s="7" t="inlineStr">
        <is>
          <t>Quantitative only – removed from requirements matrix</t>
        </is>
      </c>
      <c r="F32" s="7" t="inlineStr">
        <is>
          <t>Y</t>
        </is>
      </c>
      <c r="G32" s="7" t="inlineStr">
        <is>
          <t>Percentage of AUM managed by investment managers aligned with net zero by 2050</t>
        </is>
      </c>
      <c r="H32" s="10" t="inlineStr">
        <is>
          <t>Yes – metrics defined, no data yet</t>
        </is>
      </c>
      <c r="I32" s="7" t="n">
        <v>3</v>
      </c>
      <c r="J32" s="7" t="inlineStr">
        <is>
          <t>CFOG</t>
        </is>
      </c>
      <c r="K32" s="7" t="inlineStr">
        <is>
          <t>Owner provides CY2026 (and earlier years if available) and confirms metric definition – Tab 4 of owner's request</t>
        </is>
      </c>
      <c r="L32" s="7" t="inlineStr">
        <is>
          <t>CFOG request – Tab 4</t>
        </is>
      </c>
      <c r="M32" s="7" t="inlineStr">
        <is>
          <t>Not started</t>
        </is>
      </c>
      <c r="N32" s="7" t="inlineStr"/>
    </row>
    <row r="33" ht="105" customHeight="1">
      <c r="B33" s="6" t="inlineStr">
        <is>
          <t>RI1(b)</t>
        </is>
      </c>
      <c r="C33" s="7" t="inlineStr">
        <is>
          <t>Responsible investments</t>
        </is>
      </c>
      <c r="D33" s="7" t="inlineStr">
        <is>
          <t>Continuous improvement of the reporting of the University’s sustainability-related investment profile metrics, could include investment in climate mitigation and transition solutions, and compliance with related obligations (eg UNPRI).</t>
        </is>
      </c>
      <c r="E33" s="7" t="inlineStr">
        <is>
          <t>Mixed – narrative in requirements matrix; metric here</t>
        </is>
      </c>
      <c r="F33" s="7" t="inlineStr">
        <is>
          <t>M</t>
        </is>
      </c>
      <c r="G33" s="7" t="inlineStr">
        <is>
          <t>$ and % AUM invested in climate/transition solution</t>
        </is>
      </c>
      <c r="H33" s="9" t="inlineStr">
        <is>
          <t>Yes – data held (2023–2025)</t>
        </is>
      </c>
      <c r="I33" s="7" t="n">
        <v>23</v>
      </c>
      <c r="J33" s="7" t="inlineStr">
        <is>
          <t>CFOG</t>
        </is>
      </c>
      <c r="K33" s="7" t="inlineStr">
        <is>
          <t>Owner confirms existing figures and provides CY2026 (provisional by 24 Dec, final Jan–Feb) – Tab 4 of owner's request</t>
        </is>
      </c>
      <c r="L33" s="7" t="inlineStr">
        <is>
          <t>CFOG request – Tab 4</t>
        </is>
      </c>
      <c r="M33" s="7" t="inlineStr">
        <is>
          <t>Not started</t>
        </is>
      </c>
      <c r="N33" s="7" t="inlineStr"/>
    </row>
    <row r="34" ht="75" customHeight="1">
      <c r="B34" s="6" t="inlineStr">
        <is>
          <t>EN1(b)</t>
        </is>
      </c>
      <c r="C34" s="7" t="inlineStr">
        <is>
          <t>Enablers</t>
        </is>
      </c>
      <c r="D34" s="7" t="inlineStr">
        <is>
          <t>Living laboratories enabling applied learning, research and operational sustainability outcomes</t>
        </is>
      </c>
      <c r="E34" s="7" t="inlineStr">
        <is>
          <t>Mixed – narrative in requirements matrix; metric here</t>
        </is>
      </c>
      <c r="F34" s="7" t="inlineStr">
        <is>
          <t>M</t>
        </is>
      </c>
      <c r="G34" s="7" t="inlineStr">
        <is>
          <t>Number of projects funded; $ project funding</t>
        </is>
      </c>
      <c r="H34" s="10" t="inlineStr">
        <is>
          <t>Yes – metrics defined, no data yet</t>
        </is>
      </c>
      <c r="I34" s="7" t="n">
        <v>2</v>
      </c>
      <c r="J34" s="7" t="inlineStr">
        <is>
          <t>CI&amp;S</t>
        </is>
      </c>
      <c r="K34" s="7" t="inlineStr">
        <is>
          <t>Owner provides CY2026 (and earlier years if available) and confirms metric definition – Tab 4 of owner's request</t>
        </is>
      </c>
      <c r="L34" s="7" t="inlineStr">
        <is>
          <t>CI&amp;S request – Tab 4</t>
        </is>
      </c>
      <c r="M34" s="7" t="inlineStr">
        <is>
          <t>Not started</t>
        </is>
      </c>
      <c r="N34" s="7" t="inlineStr"/>
    </row>
  </sheetData>
  <autoFilter ref="B5:N34"/>
  <mergeCells count="1">
    <mergeCell ref="B3:M3"/>
  </mergeCells>
  <dataValidations count="1">
    <dataValidation sqref="M6:M34" showDropDown="0" showInputMessage="0" showErrorMessage="0" allowBlank="1" errorTitle="Invalid entry" error="Please select from the dropdown" type="list">
      <formula1>"Not started,Requested,Received,Confirmed,Not required"</formula1>
    </dataValidation>
  </dataValidation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S323"/>
  <sheetViews>
    <sheetView showGridLines="0" workbookViewId="0">
      <pane ySplit="5" topLeftCell="A6" activePane="bottomLeft" state="frozen"/>
      <selection pane="bottomLeft"/>
      <selection pane="bottomLeft"/>
      <selection pane="bottomRight" activeCell="A1" sqref="A1"/>
    </sheetView>
  </sheetViews>
  <sheetFormatPr baseColWidth="8" defaultRowHeight="15"/>
  <cols>
    <col width="13" customWidth="1" min="1" max="1"/>
    <col width="9" customWidth="1" min="2" max="2"/>
    <col width="16" customWidth="1" min="3" max="3"/>
    <col width="34" customWidth="1" min="4" max="4"/>
    <col width="40" customWidth="1" min="5" max="5"/>
    <col width="12" customWidth="1" min="6" max="6"/>
    <col width="11" customWidth="1" min="7" max="7"/>
    <col width="11" customWidth="1" min="8" max="8"/>
    <col width="11" customWidth="1" min="9" max="9"/>
    <col width="11" customWidth="1" min="10" max="10"/>
    <col width="11" customWidth="1" min="11" max="11"/>
    <col width="12" customWidth="1" min="12" max="12"/>
    <col width="10" customWidth="1" min="13" max="13"/>
    <col width="22" customWidth="1" min="14" max="14"/>
    <col width="18" customWidth="1" min="15" max="15"/>
    <col width="18" customWidth="1" min="16" max="16"/>
    <col width="24" customWidth="1" min="17" max="17"/>
    <col width="11" customWidth="1" min="18" max="18"/>
    <col width="13" customWidth="1" min="19" max="19"/>
  </cols>
  <sheetData>
    <row r="1" ht="8" customHeight="1">
      <c r="A1" s="1" t="n"/>
      <c r="B1" s="1" t="n"/>
      <c r="C1" s="1" t="n"/>
      <c r="D1" s="1" t="n"/>
      <c r="E1" s="1" t="n"/>
      <c r="F1" s="1" t="n"/>
      <c r="G1" s="1" t="n"/>
      <c r="H1" s="1" t="n"/>
      <c r="I1" s="1" t="n"/>
      <c r="J1" s="1" t="n"/>
      <c r="K1" s="1" t="n"/>
      <c r="L1" s="1" t="n"/>
      <c r="M1" s="1" t="n"/>
      <c r="N1" s="1" t="n"/>
      <c r="O1" s="1" t="n"/>
      <c r="P1" s="1" t="n"/>
      <c r="Q1" s="1" t="n"/>
      <c r="R1" s="1" t="n"/>
      <c r="S1" s="1" t="n"/>
    </row>
    <row r="2" ht="58" customHeight="1">
      <c r="A2" s="1" t="n"/>
      <c r="B2" s="2" t="inlineStr">
        <is>
          <t>2b. Databook register (data points)</t>
        </is>
      </c>
      <c r="C2" s="1" t="n"/>
      <c r="D2" s="1" t="n"/>
      <c r="E2" s="1" t="n"/>
      <c r="F2" s="1" t="n"/>
      <c r="G2" s="1" t="n"/>
      <c r="H2" s="1" t="n"/>
      <c r="I2" s="1" t="n"/>
      <c r="J2" s="1" t="n"/>
      <c r="K2" s="1" t="n"/>
      <c r="L2" s="1" t="n"/>
      <c r="M2" s="1" t="n"/>
      <c r="N2" s="1" t="n"/>
      <c r="O2" s="1" t="n"/>
      <c r="P2" s="1" t="n"/>
      <c r="Q2" s="1" t="n"/>
      <c r="R2" s="1" t="n"/>
      <c r="S2" s="1" t="n"/>
    </row>
    <row r="3" ht="39" customHeight="1">
      <c r="B3" s="8" t="inlineStr">
        <is>
          <t>Every data point in the Databook draft. Baseline–CY2025 are copied from the draft for context. Complete the yellow columns as owners confirm figures (SR26 approach: definition, boundary, period, source, owner, quality note and confirmation for each figure).</t>
        </is>
      </c>
    </row>
    <row r="4"/>
    <row r="5" ht="42" customHeight="1">
      <c r="B5" s="5" t="inlineStr">
        <is>
          <t>Ref</t>
        </is>
      </c>
      <c r="C5" s="5" t="inlineStr">
        <is>
          <t>Priority area</t>
        </is>
      </c>
      <c r="D5" s="5" t="inlineStr">
        <is>
          <t>Indicator</t>
        </is>
      </c>
      <c r="E5" s="5" t="inlineStr">
        <is>
          <t>Metric</t>
        </is>
      </c>
      <c r="F5" s="5" t="inlineStr">
        <is>
          <t>Unit</t>
        </is>
      </c>
      <c r="G5" s="5" t="inlineStr">
        <is>
          <t>Baseline</t>
        </is>
      </c>
      <c r="H5" s="5" t="inlineStr">
        <is>
          <t>CY2023</t>
        </is>
      </c>
      <c r="I5" s="5" t="inlineStr">
        <is>
          <t>CY2024</t>
        </is>
      </c>
      <c r="J5" s="5" t="inlineStr">
        <is>
          <t>CY2025</t>
        </is>
      </c>
      <c r="K5" s="5" t="inlineStr">
        <is>
          <t>CY2026</t>
        </is>
      </c>
      <c r="L5" s="5" t="inlineStr">
        <is>
          <t>Data status</t>
        </is>
      </c>
      <c r="M5" s="5" t="inlineStr">
        <is>
          <t>Data owner</t>
        </is>
      </c>
      <c r="N5" s="5" t="inlineStr">
        <is>
          <t>Definition</t>
        </is>
      </c>
      <c r="O5" s="5" t="inlineStr">
        <is>
          <t>Reporting boundary</t>
        </is>
      </c>
      <c r="P5" s="5" t="inlineStr">
        <is>
          <t>Source system</t>
        </is>
      </c>
      <c r="Q5" s="5" t="inlineStr">
        <is>
          <t>Quality note / limitations</t>
        </is>
      </c>
      <c r="R5" s="5" t="inlineStr">
        <is>
          <t>Owner confirmed?</t>
        </is>
      </c>
      <c r="S5" s="5" t="inlineStr">
        <is>
          <t>Confirmation date</t>
        </is>
      </c>
    </row>
    <row r="6" ht="56" customHeight="1">
      <c r="B6" s="12" t="inlineStr">
        <is>
          <t>EE1(c)</t>
        </is>
      </c>
      <c r="C6" s="7" t="inlineStr">
        <is>
          <t>Exceptional Education</t>
        </is>
      </c>
      <c r="D6" s="7" t="inlineStr">
        <is>
          <t>Evidence of sustainability focused experiential and cocurricular learning</t>
        </is>
      </c>
      <c r="E6" s="7" t="inlineStr">
        <is>
          <t>Number of Co-curricular Learning</t>
        </is>
      </c>
      <c r="F6" s="7" t="inlineStr">
        <is>
          <t>#</t>
        </is>
      </c>
      <c r="G6" s="13" t="n"/>
      <c r="H6" s="13" t="n">
        <v>14</v>
      </c>
      <c r="I6" s="13" t="n">
        <v>22</v>
      </c>
      <c r="J6" s="13" t="n">
        <v>10</v>
      </c>
      <c r="K6" s="14" t="n"/>
      <c r="L6" s="7" t="inlineStr">
        <is>
          <t>Data held</t>
        </is>
      </c>
      <c r="M6" s="7" t="inlineStr">
        <is>
          <t>SaSS</t>
        </is>
      </c>
      <c r="N6" s="10" t="inlineStr"/>
      <c r="O6" s="10" t="inlineStr"/>
      <c r="P6" s="10" t="inlineStr"/>
      <c r="Q6" s="10" t="inlineStr"/>
      <c r="R6" s="10" t="inlineStr"/>
      <c r="S6" s="10" t="inlineStr"/>
    </row>
    <row r="7" ht="22" customHeight="1">
      <c r="B7" s="12" t="inlineStr">
        <is>
          <t>EE1(c)</t>
        </is>
      </c>
      <c r="C7" s="7" t="inlineStr"/>
      <c r="D7" s="7" t="inlineStr"/>
      <c r="E7" s="7" t="inlineStr">
        <is>
          <t>Number of Experiential Learning Projects</t>
        </is>
      </c>
      <c r="F7" s="7" t="inlineStr">
        <is>
          <t>#</t>
        </is>
      </c>
      <c r="G7" s="13" t="n"/>
      <c r="H7" s="13" t="n"/>
      <c r="I7" s="13" t="n"/>
      <c r="J7" s="13" t="n"/>
      <c r="K7" s="14" t="n"/>
      <c r="L7" s="7" t="inlineStr">
        <is>
          <t>No data yet</t>
        </is>
      </c>
      <c r="M7" s="7" t="inlineStr">
        <is>
          <t>SaSS</t>
        </is>
      </c>
      <c r="N7" s="10" t="inlineStr"/>
      <c r="O7" s="10" t="inlineStr"/>
      <c r="P7" s="10" t="inlineStr"/>
      <c r="Q7" s="10" t="inlineStr"/>
      <c r="R7" s="10" t="inlineStr"/>
      <c r="S7" s="10" t="inlineStr"/>
    </row>
    <row r="8" ht="22" customHeight="1">
      <c r="B8" s="12" t="inlineStr">
        <is>
          <t>EE1(c)</t>
        </is>
      </c>
      <c r="C8" s="7" t="inlineStr"/>
      <c r="D8" s="7" t="inlineStr"/>
      <c r="E8" s="7" t="inlineStr">
        <is>
          <t>Number of Participating Students</t>
        </is>
      </c>
      <c r="F8" s="7" t="inlineStr">
        <is>
          <t>#</t>
        </is>
      </c>
      <c r="G8" s="13" t="n"/>
      <c r="H8" s="13" t="n"/>
      <c r="I8" s="13" t="n"/>
      <c r="J8" s="13" t="n"/>
      <c r="K8" s="14" t="n"/>
      <c r="L8" s="7" t="inlineStr">
        <is>
          <t>No data yet</t>
        </is>
      </c>
      <c r="M8" s="7" t="inlineStr">
        <is>
          <t>SaSS</t>
        </is>
      </c>
      <c r="N8" s="10" t="inlineStr"/>
      <c r="O8" s="10" t="inlineStr"/>
      <c r="P8" s="10" t="inlineStr"/>
      <c r="Q8" s="10" t="inlineStr"/>
      <c r="R8" s="10" t="inlineStr"/>
      <c r="S8" s="10" t="inlineStr"/>
    </row>
    <row r="9" ht="72" customHeight="1">
      <c r="B9" s="12" t="inlineStr">
        <is>
          <t>EE1(d)</t>
        </is>
      </c>
      <c r="C9" s="7" t="inlineStr">
        <is>
          <t>Exceptional Education</t>
        </is>
      </c>
      <c r="D9" s="7" t="inlineStr">
        <is>
          <t>Alumni profiles demonstrating how graduates contribute to sustainability through their careers or communities</t>
        </is>
      </c>
      <c r="E9" s="7" t="inlineStr">
        <is>
          <t>Alumni that contribute to sustainability</t>
        </is>
      </c>
      <c r="F9" s="7" t="inlineStr">
        <is>
          <t>#</t>
        </is>
      </c>
      <c r="G9" s="13" t="n"/>
      <c r="H9" s="13" t="n"/>
      <c r="I9" s="13" t="n"/>
      <c r="J9" s="13" t="n"/>
      <c r="K9" s="14" t="n"/>
      <c r="L9" s="7" t="inlineStr">
        <is>
          <t>No data yet</t>
        </is>
      </c>
      <c r="M9" s="7" t="inlineStr">
        <is>
          <t>SaSS</t>
        </is>
      </c>
      <c r="N9" s="10" t="inlineStr"/>
      <c r="O9" s="10" t="inlineStr"/>
      <c r="P9" s="10" t="inlineStr"/>
      <c r="Q9" s="10" t="inlineStr"/>
      <c r="R9" s="10" t="inlineStr"/>
      <c r="S9" s="10" t="inlineStr"/>
    </row>
    <row r="10" ht="39" customHeight="1">
      <c r="B10" s="12" t="inlineStr">
        <is>
          <t>EE1(d)</t>
        </is>
      </c>
      <c r="C10" s="7" t="inlineStr"/>
      <c r="D10" s="7" t="inlineStr"/>
      <c r="E10" s="7" t="inlineStr">
        <is>
          <t>Alumni profiles demonstrating sustainability contribution</t>
        </is>
      </c>
      <c r="F10" s="7" t="inlineStr">
        <is>
          <t>%</t>
        </is>
      </c>
      <c r="G10" s="13" t="n"/>
      <c r="H10" s="13" t="n"/>
      <c r="I10" s="13" t="n"/>
      <c r="J10" s="13" t="n"/>
      <c r="K10" s="14" t="n"/>
      <c r="L10" s="7" t="inlineStr">
        <is>
          <t>No data yet</t>
        </is>
      </c>
      <c r="M10" s="7" t="inlineStr">
        <is>
          <t>SaSS</t>
        </is>
      </c>
      <c r="N10" s="10" t="inlineStr"/>
      <c r="O10" s="10" t="inlineStr"/>
      <c r="P10" s="10" t="inlineStr"/>
      <c r="Q10" s="10" t="inlineStr"/>
      <c r="R10" s="10" t="inlineStr"/>
      <c r="S10" s="10" t="inlineStr"/>
    </row>
    <row r="11" ht="56" customHeight="1">
      <c r="B11" s="15" t="inlineStr">
        <is>
          <t>TR2(b)</t>
        </is>
      </c>
      <c r="C11" s="15" t="inlineStr">
        <is>
          <t>Transformational Research</t>
        </is>
      </c>
      <c r="D11" s="15" t="inlineStr">
        <is>
          <t>Documented progress of relevant strategic initiatives, including Impact Accelerators</t>
        </is>
      </c>
      <c r="E11" s="15" t="inlineStr">
        <is>
          <t>Completion rate to the set annual target of strategic initiatives</t>
        </is>
      </c>
      <c r="F11" s="15" t="inlineStr"/>
      <c r="G11" s="16" t="n"/>
      <c r="H11" s="16" t="n"/>
      <c r="I11" s="16" t="n"/>
      <c r="J11" s="16" t="n"/>
      <c r="K11" s="16" t="n"/>
      <c r="L11" s="15" t="inlineStr"/>
      <c r="M11" s="15" t="inlineStr"/>
      <c r="N11" s="15" t="inlineStr"/>
      <c r="O11" s="15" t="inlineStr"/>
      <c r="P11" s="15" t="inlineStr"/>
      <c r="Q11" s="15" t="inlineStr"/>
      <c r="R11" s="15" t="inlineStr"/>
      <c r="S11" s="15" t="inlineStr"/>
    </row>
    <row r="12" ht="22" customHeight="1">
      <c r="B12" s="12" t="inlineStr">
        <is>
          <t>TR2(b)</t>
        </is>
      </c>
      <c r="C12" s="7" t="inlineStr"/>
      <c r="D12" s="7" t="inlineStr"/>
      <c r="E12" s="17" t="inlineStr">
        <is>
          <t>Impact Accelerators</t>
        </is>
      </c>
      <c r="F12" s="7" t="inlineStr">
        <is>
          <t>%</t>
        </is>
      </c>
      <c r="G12" s="13" t="n"/>
      <c r="H12" s="13" t="n"/>
      <c r="I12" s="13" t="n"/>
      <c r="J12" s="13" t="n"/>
      <c r="K12" s="14" t="n"/>
      <c r="L12" s="7" t="inlineStr">
        <is>
          <t>No data yet</t>
        </is>
      </c>
      <c r="M12" s="7" t="inlineStr">
        <is>
          <t>MRE</t>
        </is>
      </c>
      <c r="N12" s="10" t="inlineStr"/>
      <c r="O12" s="10" t="inlineStr"/>
      <c r="P12" s="10" t="inlineStr"/>
      <c r="Q12" s="10" t="inlineStr"/>
      <c r="R12" s="10" t="inlineStr"/>
      <c r="S12" s="10" t="inlineStr"/>
    </row>
    <row r="13" ht="22" customHeight="1">
      <c r="B13" s="12" t="inlineStr">
        <is>
          <t>TR2(b)</t>
        </is>
      </c>
      <c r="C13" s="7" t="inlineStr"/>
      <c r="D13" s="7" t="inlineStr"/>
      <c r="E13" s="17" t="inlineStr">
        <is>
          <t>Strategic Initiatives 2</t>
        </is>
      </c>
      <c r="F13" s="7" t="inlineStr">
        <is>
          <t>%</t>
        </is>
      </c>
      <c r="G13" s="13" t="n"/>
      <c r="H13" s="13" t="n"/>
      <c r="I13" s="13" t="n"/>
      <c r="J13" s="13" t="n"/>
      <c r="K13" s="14" t="n"/>
      <c r="L13" s="7" t="inlineStr">
        <is>
          <t>No data yet</t>
        </is>
      </c>
      <c r="M13" s="7" t="inlineStr">
        <is>
          <t>MRE</t>
        </is>
      </c>
      <c r="N13" s="10" t="inlineStr"/>
      <c r="O13" s="10" t="inlineStr"/>
      <c r="P13" s="10" t="inlineStr"/>
      <c r="Q13" s="10" t="inlineStr"/>
      <c r="R13" s="10" t="inlineStr"/>
      <c r="S13" s="10" t="inlineStr"/>
    </row>
    <row r="14" ht="22" customHeight="1">
      <c r="B14" s="12" t="inlineStr">
        <is>
          <t>TR2(b)</t>
        </is>
      </c>
      <c r="C14" s="7" t="inlineStr"/>
      <c r="D14" s="7" t="inlineStr"/>
      <c r="E14" s="17" t="inlineStr">
        <is>
          <t>Strategic Initiatives 3</t>
        </is>
      </c>
      <c r="F14" s="7" t="inlineStr">
        <is>
          <t>%</t>
        </is>
      </c>
      <c r="G14" s="13" t="n"/>
      <c r="H14" s="13" t="n"/>
      <c r="I14" s="13" t="n"/>
      <c r="J14" s="13" t="n"/>
      <c r="K14" s="14" t="n"/>
      <c r="L14" s="7" t="inlineStr">
        <is>
          <t>No data yet</t>
        </is>
      </c>
      <c r="M14" s="7" t="inlineStr">
        <is>
          <t>MRE</t>
        </is>
      </c>
      <c r="N14" s="10" t="inlineStr"/>
      <c r="O14" s="10" t="inlineStr"/>
      <c r="P14" s="10" t="inlineStr"/>
      <c r="Q14" s="10" t="inlineStr"/>
      <c r="R14" s="10" t="inlineStr"/>
      <c r="S14" s="10" t="inlineStr"/>
    </row>
    <row r="15" ht="22" customHeight="1">
      <c r="B15" s="12" t="inlineStr">
        <is>
          <t>TR2(b)</t>
        </is>
      </c>
      <c r="C15" s="7" t="inlineStr"/>
      <c r="D15" s="7" t="inlineStr"/>
      <c r="E15" s="7" t="inlineStr">
        <is>
          <t>Strategic Initiatives on track</t>
        </is>
      </c>
      <c r="F15" s="7" t="inlineStr">
        <is>
          <t>#</t>
        </is>
      </c>
      <c r="G15" s="13" t="n"/>
      <c r="H15" s="13" t="n"/>
      <c r="I15" s="13" t="n"/>
      <c r="J15" s="13" t="n"/>
      <c r="K15" s="14" t="n"/>
      <c r="L15" s="7" t="inlineStr">
        <is>
          <t>No data yet</t>
        </is>
      </c>
      <c r="M15" s="7" t="inlineStr">
        <is>
          <t>MRE</t>
        </is>
      </c>
      <c r="N15" s="10" t="inlineStr"/>
      <c r="O15" s="10" t="inlineStr"/>
      <c r="P15" s="10" t="inlineStr"/>
      <c r="Q15" s="10" t="inlineStr"/>
      <c r="R15" s="10" t="inlineStr"/>
      <c r="S15" s="10" t="inlineStr"/>
    </row>
    <row r="16" ht="22" customHeight="1">
      <c r="B16" s="12" t="inlineStr">
        <is>
          <t>TR2(b)</t>
        </is>
      </c>
      <c r="C16" s="7" t="inlineStr"/>
      <c r="D16" s="7" t="inlineStr"/>
      <c r="E16" s="7" t="inlineStr">
        <is>
          <t>Strategic Initiatives delivered</t>
        </is>
      </c>
      <c r="F16" s="7" t="inlineStr">
        <is>
          <t>#</t>
        </is>
      </c>
      <c r="G16" s="13" t="n"/>
      <c r="H16" s="13" t="n"/>
      <c r="I16" s="13" t="n"/>
      <c r="J16" s="13" t="n"/>
      <c r="K16" s="14" t="n"/>
      <c r="L16" s="7" t="inlineStr">
        <is>
          <t>No data yet</t>
        </is>
      </c>
      <c r="M16" s="7" t="inlineStr">
        <is>
          <t>MRE</t>
        </is>
      </c>
      <c r="N16" s="10" t="inlineStr"/>
      <c r="O16" s="10" t="inlineStr"/>
      <c r="P16" s="10" t="inlineStr"/>
      <c r="Q16" s="10" t="inlineStr"/>
      <c r="R16" s="10" t="inlineStr"/>
      <c r="S16" s="10" t="inlineStr"/>
    </row>
    <row r="17" ht="88" customHeight="1">
      <c r="B17" s="15" t="inlineStr">
        <is>
          <t>TR2(c)</t>
        </is>
      </c>
      <c r="C17" s="15" t="inlineStr">
        <is>
          <t>Transformational Research</t>
        </is>
      </c>
      <c r="D17" s="15" t="inlineStr">
        <is>
          <t>Expert-reviewed summary of sustainability-related research outputs, outcomes and influence using available institutional evidence sources</t>
        </is>
      </c>
      <c r="E17" s="15" t="inlineStr">
        <is>
          <t>SDG-related research outputs in the top 10% of citations</t>
        </is>
      </c>
      <c r="F17" s="15" t="inlineStr"/>
      <c r="G17" s="16" t="n"/>
      <c r="H17" s="16" t="n"/>
      <c r="I17" s="16" t="n"/>
      <c r="J17" s="16" t="n"/>
      <c r="K17" s="16" t="n"/>
      <c r="L17" s="15" t="inlineStr"/>
      <c r="M17" s="15" t="inlineStr"/>
      <c r="N17" s="15" t="inlineStr"/>
      <c r="O17" s="15" t="inlineStr"/>
      <c r="P17" s="15" t="inlineStr"/>
      <c r="Q17" s="15" t="inlineStr"/>
      <c r="R17" s="15" t="inlineStr"/>
      <c r="S17" s="15" t="inlineStr"/>
    </row>
    <row r="18" ht="22" customHeight="1">
      <c r="B18" s="12" t="inlineStr">
        <is>
          <t>TR2(c)</t>
        </is>
      </c>
      <c r="C18" s="7" t="inlineStr"/>
      <c r="D18" s="7" t="inlineStr"/>
      <c r="E18" s="17" t="inlineStr">
        <is>
          <t>SDG 1 - No Poverty</t>
        </is>
      </c>
      <c r="F18" s="7" t="inlineStr">
        <is>
          <t>#</t>
        </is>
      </c>
      <c r="G18" s="13" t="n"/>
      <c r="H18" s="13" t="n"/>
      <c r="I18" s="13" t="n"/>
      <c r="J18" s="13" t="n">
        <v>424</v>
      </c>
      <c r="K18" s="14" t="n"/>
      <c r="L18" s="7" t="inlineStr">
        <is>
          <t>Data held</t>
        </is>
      </c>
      <c r="M18" s="7" t="inlineStr">
        <is>
          <t>MRE</t>
        </is>
      </c>
      <c r="N18" s="10" t="inlineStr"/>
      <c r="O18" s="10" t="inlineStr"/>
      <c r="P18" s="10" t="inlineStr"/>
      <c r="Q18" s="10" t="inlineStr"/>
      <c r="R18" s="10" t="inlineStr"/>
      <c r="S18" s="10" t="inlineStr"/>
    </row>
    <row r="19" ht="22" customHeight="1">
      <c r="B19" s="12" t="inlineStr">
        <is>
          <t>TR2(c)</t>
        </is>
      </c>
      <c r="C19" s="7" t="inlineStr"/>
      <c r="D19" s="7" t="inlineStr"/>
      <c r="E19" s="17" t="inlineStr">
        <is>
          <t>SDG 2 - Zero Hunger</t>
        </is>
      </c>
      <c r="F19" s="7" t="inlineStr">
        <is>
          <t>#</t>
        </is>
      </c>
      <c r="G19" s="13" t="n"/>
      <c r="H19" s="13" t="n"/>
      <c r="I19" s="13" t="n"/>
      <c r="J19" s="13" t="n">
        <v>781</v>
      </c>
      <c r="K19" s="14" t="n"/>
      <c r="L19" s="7" t="inlineStr">
        <is>
          <t>Data held</t>
        </is>
      </c>
      <c r="M19" s="7" t="inlineStr">
        <is>
          <t>MRE</t>
        </is>
      </c>
      <c r="N19" s="10" t="inlineStr"/>
      <c r="O19" s="10" t="inlineStr"/>
      <c r="P19" s="10" t="inlineStr"/>
      <c r="Q19" s="10" t="inlineStr"/>
      <c r="R19" s="10" t="inlineStr"/>
      <c r="S19" s="10" t="inlineStr"/>
    </row>
    <row r="20" ht="22" customHeight="1">
      <c r="B20" s="12" t="inlineStr">
        <is>
          <t>TR2(c)</t>
        </is>
      </c>
      <c r="C20" s="7" t="inlineStr"/>
      <c r="D20" s="7" t="inlineStr"/>
      <c r="E20" s="17" t="inlineStr">
        <is>
          <t>SDG 3 - Good health and well-being</t>
        </is>
      </c>
      <c r="F20" s="7" t="inlineStr">
        <is>
          <t>#</t>
        </is>
      </c>
      <c r="G20" s="13" t="n"/>
      <c r="H20" s="13" t="n"/>
      <c r="I20" s="13" t="n"/>
      <c r="J20" s="13" t="n">
        <v>15195</v>
      </c>
      <c r="K20" s="14" t="n"/>
      <c r="L20" s="7" t="inlineStr">
        <is>
          <t>Data held</t>
        </is>
      </c>
      <c r="M20" s="7" t="inlineStr">
        <is>
          <t>MRE</t>
        </is>
      </c>
      <c r="N20" s="10" t="inlineStr"/>
      <c r="O20" s="10" t="inlineStr"/>
      <c r="P20" s="10" t="inlineStr"/>
      <c r="Q20" s="10" t="inlineStr"/>
      <c r="R20" s="10" t="inlineStr"/>
      <c r="S20" s="10" t="inlineStr"/>
    </row>
    <row r="21" ht="22" customHeight="1">
      <c r="B21" s="12" t="inlineStr">
        <is>
          <t>TR2(c)</t>
        </is>
      </c>
      <c r="C21" s="7" t="inlineStr"/>
      <c r="D21" s="7" t="inlineStr"/>
      <c r="E21" s="17" t="inlineStr">
        <is>
          <t>SDG 4 - Quality Education</t>
        </is>
      </c>
      <c r="F21" s="7" t="inlineStr">
        <is>
          <t>#</t>
        </is>
      </c>
      <c r="G21" s="13" t="n"/>
      <c r="H21" s="13" t="n"/>
      <c r="I21" s="13" t="n"/>
      <c r="J21" s="13" t="n">
        <v>1292</v>
      </c>
      <c r="K21" s="14" t="n"/>
      <c r="L21" s="7" t="inlineStr">
        <is>
          <t>Data held</t>
        </is>
      </c>
      <c r="M21" s="7" t="inlineStr">
        <is>
          <t>MRE</t>
        </is>
      </c>
      <c r="N21" s="10" t="inlineStr"/>
      <c r="O21" s="10" t="inlineStr"/>
      <c r="P21" s="10" t="inlineStr"/>
      <c r="Q21" s="10" t="inlineStr"/>
      <c r="R21" s="10" t="inlineStr"/>
      <c r="S21" s="10" t="inlineStr"/>
    </row>
    <row r="22" ht="22" customHeight="1">
      <c r="B22" s="12" t="inlineStr">
        <is>
          <t>TR2(c)</t>
        </is>
      </c>
      <c r="C22" s="7" t="inlineStr"/>
      <c r="D22" s="7" t="inlineStr"/>
      <c r="E22" s="17" t="inlineStr">
        <is>
          <t>SDG 5 - Gender Equality</t>
        </is>
      </c>
      <c r="F22" s="7" t="inlineStr">
        <is>
          <t>#</t>
        </is>
      </c>
      <c r="G22" s="13" t="n"/>
      <c r="H22" s="13" t="n"/>
      <c r="I22" s="13" t="n"/>
      <c r="J22" s="13" t="n">
        <v>1275</v>
      </c>
      <c r="K22" s="14" t="n"/>
      <c r="L22" s="7" t="inlineStr">
        <is>
          <t>Data held</t>
        </is>
      </c>
      <c r="M22" s="7" t="inlineStr">
        <is>
          <t>MRE</t>
        </is>
      </c>
      <c r="N22" s="10" t="inlineStr"/>
      <c r="O22" s="10" t="inlineStr"/>
      <c r="P22" s="10" t="inlineStr"/>
      <c r="Q22" s="10" t="inlineStr"/>
      <c r="R22" s="10" t="inlineStr"/>
      <c r="S22" s="10" t="inlineStr"/>
    </row>
    <row r="23" ht="22" customHeight="1">
      <c r="B23" s="12" t="inlineStr">
        <is>
          <t>TR2(c)</t>
        </is>
      </c>
      <c r="C23" s="7" t="inlineStr"/>
      <c r="D23" s="7" t="inlineStr"/>
      <c r="E23" s="17" t="inlineStr">
        <is>
          <t>SDG 6 - Clean water and sanitation</t>
        </is>
      </c>
      <c r="F23" s="7" t="inlineStr">
        <is>
          <t>#</t>
        </is>
      </c>
      <c r="G23" s="13" t="n"/>
      <c r="H23" s="13" t="n"/>
      <c r="I23" s="13" t="n"/>
      <c r="J23" s="13" t="n">
        <v>661</v>
      </c>
      <c r="K23" s="14" t="n"/>
      <c r="L23" s="7" t="inlineStr">
        <is>
          <t>Data held</t>
        </is>
      </c>
      <c r="M23" s="7" t="inlineStr">
        <is>
          <t>MRE</t>
        </is>
      </c>
      <c r="N23" s="10" t="inlineStr"/>
      <c r="O23" s="10" t="inlineStr"/>
      <c r="P23" s="10" t="inlineStr"/>
      <c r="Q23" s="10" t="inlineStr"/>
      <c r="R23" s="10" t="inlineStr"/>
      <c r="S23" s="10" t="inlineStr"/>
    </row>
    <row r="24" ht="22" customHeight="1">
      <c r="B24" s="12" t="inlineStr">
        <is>
          <t>TR2(c)</t>
        </is>
      </c>
      <c r="C24" s="7" t="inlineStr"/>
      <c r="D24" s="7" t="inlineStr"/>
      <c r="E24" s="17" t="inlineStr">
        <is>
          <t>SDG 7 - Affordable and clean energy</t>
        </is>
      </c>
      <c r="F24" s="7" t="inlineStr">
        <is>
          <t>#</t>
        </is>
      </c>
      <c r="G24" s="13" t="n"/>
      <c r="H24" s="13" t="n"/>
      <c r="I24" s="13" t="n"/>
      <c r="J24" s="13" t="n">
        <v>997</v>
      </c>
      <c r="K24" s="14" t="n"/>
      <c r="L24" s="7" t="inlineStr">
        <is>
          <t>Data held</t>
        </is>
      </c>
      <c r="M24" s="7" t="inlineStr">
        <is>
          <t>MRE</t>
        </is>
      </c>
      <c r="N24" s="10" t="inlineStr"/>
      <c r="O24" s="10" t="inlineStr"/>
      <c r="P24" s="10" t="inlineStr"/>
      <c r="Q24" s="10" t="inlineStr"/>
      <c r="R24" s="10" t="inlineStr"/>
      <c r="S24" s="10" t="inlineStr"/>
    </row>
    <row r="25" ht="22" customHeight="1">
      <c r="B25" s="12" t="inlineStr">
        <is>
          <t>TR2(c)</t>
        </is>
      </c>
      <c r="C25" s="7" t="inlineStr"/>
      <c r="D25" s="7" t="inlineStr"/>
      <c r="E25" s="17" t="inlineStr">
        <is>
          <t>SDG 8 - Decent work and economic growth</t>
        </is>
      </c>
      <c r="F25" s="7" t="inlineStr">
        <is>
          <t>#</t>
        </is>
      </c>
      <c r="G25" s="13" t="n"/>
      <c r="H25" s="13" t="n"/>
      <c r="I25" s="13" t="n"/>
      <c r="J25" s="13" t="n">
        <v>995</v>
      </c>
      <c r="K25" s="14" t="n"/>
      <c r="L25" s="7" t="inlineStr">
        <is>
          <t>Data held</t>
        </is>
      </c>
      <c r="M25" s="7" t="inlineStr">
        <is>
          <t>MRE</t>
        </is>
      </c>
      <c r="N25" s="10" t="inlineStr"/>
      <c r="O25" s="10" t="inlineStr"/>
      <c r="P25" s="10" t="inlineStr"/>
      <c r="Q25" s="10" t="inlineStr"/>
      <c r="R25" s="10" t="inlineStr"/>
      <c r="S25" s="10" t="inlineStr"/>
    </row>
    <row r="26" ht="39" customHeight="1">
      <c r="B26" s="12" t="inlineStr">
        <is>
          <t>TR2(c)</t>
        </is>
      </c>
      <c r="C26" s="7" t="inlineStr"/>
      <c r="D26" s="7" t="inlineStr"/>
      <c r="E26" s="17" t="inlineStr">
        <is>
          <t>SDG 9 - Industry, innovation and infrastructure</t>
        </is>
      </c>
      <c r="F26" s="7" t="inlineStr">
        <is>
          <t>#</t>
        </is>
      </c>
      <c r="G26" s="13" t="n"/>
      <c r="H26" s="13" t="n"/>
      <c r="I26" s="13" t="n"/>
      <c r="J26" s="13" t="n">
        <v>1457</v>
      </c>
      <c r="K26" s="14" t="n"/>
      <c r="L26" s="7" t="inlineStr">
        <is>
          <t>Data held</t>
        </is>
      </c>
      <c r="M26" s="7" t="inlineStr">
        <is>
          <t>MRE</t>
        </is>
      </c>
      <c r="N26" s="10" t="inlineStr"/>
      <c r="O26" s="10" t="inlineStr"/>
      <c r="P26" s="10" t="inlineStr"/>
      <c r="Q26" s="10" t="inlineStr"/>
      <c r="R26" s="10" t="inlineStr"/>
      <c r="S26" s="10" t="inlineStr"/>
    </row>
    <row r="27" ht="22" customHeight="1">
      <c r="B27" s="12" t="inlineStr">
        <is>
          <t>TR2(c)</t>
        </is>
      </c>
      <c r="C27" s="7" t="inlineStr"/>
      <c r="D27" s="7" t="inlineStr"/>
      <c r="E27" s="17" t="inlineStr">
        <is>
          <t>SDG 10 - Reduced inequality</t>
        </is>
      </c>
      <c r="F27" s="7" t="inlineStr">
        <is>
          <t>#</t>
        </is>
      </c>
      <c r="G27" s="13" t="n"/>
      <c r="H27" s="13" t="n"/>
      <c r="I27" s="13" t="n"/>
      <c r="J27" s="13" t="n">
        <v>1617</v>
      </c>
      <c r="K27" s="14" t="n"/>
      <c r="L27" s="7" t="inlineStr">
        <is>
          <t>Data held</t>
        </is>
      </c>
      <c r="M27" s="7" t="inlineStr">
        <is>
          <t>MRE</t>
        </is>
      </c>
      <c r="N27" s="10" t="inlineStr"/>
      <c r="O27" s="10" t="inlineStr"/>
      <c r="P27" s="10" t="inlineStr"/>
      <c r="Q27" s="10" t="inlineStr"/>
      <c r="R27" s="10" t="inlineStr"/>
      <c r="S27" s="10" t="inlineStr"/>
    </row>
    <row r="28" ht="39" customHeight="1">
      <c r="B28" s="12" t="inlineStr">
        <is>
          <t>TR2(c)</t>
        </is>
      </c>
      <c r="C28" s="7" t="inlineStr"/>
      <c r="D28" s="7" t="inlineStr"/>
      <c r="E28" s="17" t="inlineStr">
        <is>
          <t>SDG 11 - Sustainable cities and communities</t>
        </is>
      </c>
      <c r="F28" s="7" t="inlineStr">
        <is>
          <t>#</t>
        </is>
      </c>
      <c r="G28" s="13" t="n"/>
      <c r="H28" s="13" t="n"/>
      <c r="I28" s="13" t="n"/>
      <c r="J28" s="13" t="n">
        <v>1436</v>
      </c>
      <c r="K28" s="14" t="n"/>
      <c r="L28" s="7" t="inlineStr">
        <is>
          <t>Data held</t>
        </is>
      </c>
      <c r="M28" s="7" t="inlineStr">
        <is>
          <t>MRE</t>
        </is>
      </c>
      <c r="N28" s="10" t="inlineStr"/>
      <c r="O28" s="10" t="inlineStr"/>
      <c r="P28" s="10" t="inlineStr"/>
      <c r="Q28" s="10" t="inlineStr"/>
      <c r="R28" s="10" t="inlineStr"/>
      <c r="S28" s="10" t="inlineStr"/>
    </row>
    <row r="29" ht="39" customHeight="1">
      <c r="B29" s="12" t="inlineStr">
        <is>
          <t>TR2(c)</t>
        </is>
      </c>
      <c r="C29" s="7" t="inlineStr"/>
      <c r="D29" s="7" t="inlineStr"/>
      <c r="E29" s="17" t="inlineStr">
        <is>
          <t>SDG 12 - Responsible consumption and production</t>
        </is>
      </c>
      <c r="F29" s="7" t="inlineStr">
        <is>
          <t>#</t>
        </is>
      </c>
      <c r="G29" s="13" t="n"/>
      <c r="H29" s="13" t="n"/>
      <c r="I29" s="13" t="n"/>
      <c r="J29" s="13" t="n">
        <v>838</v>
      </c>
      <c r="K29" s="14" t="n"/>
      <c r="L29" s="7" t="inlineStr">
        <is>
          <t>Data held</t>
        </is>
      </c>
      <c r="M29" s="7" t="inlineStr">
        <is>
          <t>MRE</t>
        </is>
      </c>
      <c r="N29" s="10" t="inlineStr"/>
      <c r="O29" s="10" t="inlineStr"/>
      <c r="P29" s="10" t="inlineStr"/>
      <c r="Q29" s="10" t="inlineStr"/>
      <c r="R29" s="10" t="inlineStr"/>
      <c r="S29" s="10" t="inlineStr"/>
    </row>
    <row r="30" ht="22" customHeight="1">
      <c r="B30" s="12" t="inlineStr">
        <is>
          <t>TR2(c)</t>
        </is>
      </c>
      <c r="C30" s="7" t="inlineStr"/>
      <c r="D30" s="7" t="inlineStr"/>
      <c r="E30" s="17" t="inlineStr">
        <is>
          <t>SDG 13 - Climate action</t>
        </is>
      </c>
      <c r="F30" s="7" t="inlineStr">
        <is>
          <t>#</t>
        </is>
      </c>
      <c r="G30" s="13" t="n"/>
      <c r="H30" s="13" t="n"/>
      <c r="I30" s="13" t="n"/>
      <c r="J30" s="13" t="n">
        <v>1624</v>
      </c>
      <c r="K30" s="14" t="n"/>
      <c r="L30" s="7" t="inlineStr">
        <is>
          <t>Data held</t>
        </is>
      </c>
      <c r="M30" s="7" t="inlineStr">
        <is>
          <t>MRE</t>
        </is>
      </c>
      <c r="N30" s="10" t="inlineStr"/>
      <c r="O30" s="10" t="inlineStr"/>
      <c r="P30" s="10" t="inlineStr"/>
      <c r="Q30" s="10" t="inlineStr"/>
      <c r="R30" s="10" t="inlineStr"/>
      <c r="S30" s="10" t="inlineStr"/>
    </row>
    <row r="31" ht="22" customHeight="1">
      <c r="B31" s="12" t="inlineStr">
        <is>
          <t>TR2(c)</t>
        </is>
      </c>
      <c r="C31" s="7" t="inlineStr"/>
      <c r="D31" s="7" t="inlineStr"/>
      <c r="E31" s="17" t="inlineStr">
        <is>
          <t>SDG 14 - Life below water</t>
        </is>
      </c>
      <c r="F31" s="7" t="inlineStr">
        <is>
          <t>#</t>
        </is>
      </c>
      <c r="G31" s="13" t="n"/>
      <c r="H31" s="13" t="n"/>
      <c r="I31" s="13" t="n"/>
      <c r="J31" s="13" t="n">
        <v>442</v>
      </c>
      <c r="K31" s="14" t="n"/>
      <c r="L31" s="7" t="inlineStr">
        <is>
          <t>Data held</t>
        </is>
      </c>
      <c r="M31" s="7" t="inlineStr">
        <is>
          <t>MRE</t>
        </is>
      </c>
      <c r="N31" s="10" t="inlineStr"/>
      <c r="O31" s="10" t="inlineStr"/>
      <c r="P31" s="10" t="inlineStr"/>
      <c r="Q31" s="10" t="inlineStr"/>
      <c r="R31" s="10" t="inlineStr"/>
      <c r="S31" s="10" t="inlineStr"/>
    </row>
    <row r="32" ht="22" customHeight="1">
      <c r="B32" s="12" t="inlineStr">
        <is>
          <t>TR2(c)</t>
        </is>
      </c>
      <c r="C32" s="7" t="inlineStr"/>
      <c r="D32" s="7" t="inlineStr"/>
      <c r="E32" s="17" t="inlineStr">
        <is>
          <t>SDG 15 - Life on land</t>
        </is>
      </c>
      <c r="F32" s="7" t="inlineStr">
        <is>
          <t>#</t>
        </is>
      </c>
      <c r="G32" s="13" t="n"/>
      <c r="H32" s="13" t="n"/>
      <c r="I32" s="13" t="n"/>
      <c r="J32" s="13" t="n">
        <v>1015</v>
      </c>
      <c r="K32" s="14" t="n"/>
      <c r="L32" s="7" t="inlineStr">
        <is>
          <t>Data held</t>
        </is>
      </c>
      <c r="M32" s="7" t="inlineStr">
        <is>
          <t>MRE</t>
        </is>
      </c>
      <c r="N32" s="10" t="inlineStr"/>
      <c r="O32" s="10" t="inlineStr"/>
      <c r="P32" s="10" t="inlineStr"/>
      <c r="Q32" s="10" t="inlineStr"/>
      <c r="R32" s="10" t="inlineStr"/>
      <c r="S32" s="10" t="inlineStr"/>
    </row>
    <row r="33" ht="39" customHeight="1">
      <c r="B33" s="12" t="inlineStr">
        <is>
          <t>TR2(c)</t>
        </is>
      </c>
      <c r="C33" s="7" t="inlineStr"/>
      <c r="D33" s="7" t="inlineStr"/>
      <c r="E33" s="17" t="inlineStr">
        <is>
          <t>SDG 16 - Peace, justice and strong institutions</t>
        </is>
      </c>
      <c r="F33" s="7" t="inlineStr">
        <is>
          <t>#</t>
        </is>
      </c>
      <c r="G33" s="13" t="n"/>
      <c r="H33" s="13" t="n"/>
      <c r="I33" s="13" t="n"/>
      <c r="J33" s="13" t="n">
        <v>1681</v>
      </c>
      <c r="K33" s="14" t="n"/>
      <c r="L33" s="7" t="inlineStr">
        <is>
          <t>Data held</t>
        </is>
      </c>
      <c r="M33" s="7" t="inlineStr">
        <is>
          <t>MRE</t>
        </is>
      </c>
      <c r="N33" s="10" t="inlineStr"/>
      <c r="O33" s="10" t="inlineStr"/>
      <c r="P33" s="10" t="inlineStr"/>
      <c r="Q33" s="10" t="inlineStr"/>
      <c r="R33" s="10" t="inlineStr"/>
      <c r="S33" s="10" t="inlineStr"/>
    </row>
    <row r="34" ht="39" customHeight="1">
      <c r="B34" s="15" t="inlineStr">
        <is>
          <t>TR2(c)</t>
        </is>
      </c>
      <c r="C34" s="15" t="inlineStr"/>
      <c r="D34" s="15" t="inlineStr"/>
      <c r="E34" s="15" t="inlineStr">
        <is>
          <t>SDG-related research outputs in the top 10% of citations (Field-weighted)</t>
        </is>
      </c>
      <c r="F34" s="15" t="inlineStr"/>
      <c r="G34" s="16" t="n"/>
      <c r="H34" s="16" t="n"/>
      <c r="I34" s="16" t="n"/>
      <c r="J34" s="16" t="n"/>
      <c r="K34" s="16" t="n"/>
      <c r="L34" s="15" t="inlineStr"/>
      <c r="M34" s="15" t="inlineStr"/>
      <c r="N34" s="15" t="inlineStr"/>
      <c r="O34" s="15" t="inlineStr"/>
      <c r="P34" s="15" t="inlineStr"/>
      <c r="Q34" s="15" t="inlineStr"/>
      <c r="R34" s="15" t="inlineStr"/>
      <c r="S34" s="15" t="inlineStr"/>
    </row>
    <row r="35" ht="22" customHeight="1">
      <c r="B35" s="12" t="inlineStr">
        <is>
          <t>TR2(c)</t>
        </is>
      </c>
      <c r="C35" s="7" t="inlineStr"/>
      <c r="D35" s="7" t="inlineStr"/>
      <c r="E35" s="17" t="inlineStr">
        <is>
          <t>SDG 1 - No Poverty</t>
        </is>
      </c>
      <c r="F35" s="7" t="inlineStr">
        <is>
          <t>%</t>
        </is>
      </c>
      <c r="G35" s="13" t="n"/>
      <c r="H35" s="13" t="n"/>
      <c r="I35" s="13" t="n"/>
      <c r="J35" s="13" t="n">
        <v>20</v>
      </c>
      <c r="K35" s="14" t="n"/>
      <c r="L35" s="7" t="inlineStr">
        <is>
          <t>Data held</t>
        </is>
      </c>
      <c r="M35" s="7" t="inlineStr">
        <is>
          <t>MRE</t>
        </is>
      </c>
      <c r="N35" s="10" t="inlineStr"/>
      <c r="O35" s="10" t="inlineStr"/>
      <c r="P35" s="10" t="inlineStr"/>
      <c r="Q35" s="10" t="inlineStr"/>
      <c r="R35" s="10" t="inlineStr"/>
      <c r="S35" s="10" t="inlineStr"/>
    </row>
    <row r="36" ht="22" customHeight="1">
      <c r="B36" s="12" t="inlineStr">
        <is>
          <t>TR2(c)</t>
        </is>
      </c>
      <c r="C36" s="7" t="inlineStr"/>
      <c r="D36" s="7" t="inlineStr"/>
      <c r="E36" s="17" t="inlineStr">
        <is>
          <t>SDG 2 - Zero Hunger</t>
        </is>
      </c>
      <c r="F36" s="7" t="inlineStr">
        <is>
          <t>%</t>
        </is>
      </c>
      <c r="G36" s="13" t="n"/>
      <c r="H36" s="13" t="n"/>
      <c r="I36" s="13" t="n"/>
      <c r="J36" s="13" t="n">
        <v>19</v>
      </c>
      <c r="K36" s="14" t="n"/>
      <c r="L36" s="7" t="inlineStr">
        <is>
          <t>Data held</t>
        </is>
      </c>
      <c r="M36" s="7" t="inlineStr">
        <is>
          <t>MRE</t>
        </is>
      </c>
      <c r="N36" s="10" t="inlineStr"/>
      <c r="O36" s="10" t="inlineStr"/>
      <c r="P36" s="10" t="inlineStr"/>
      <c r="Q36" s="10" t="inlineStr"/>
      <c r="R36" s="10" t="inlineStr"/>
      <c r="S36" s="10" t="inlineStr"/>
    </row>
    <row r="37" ht="22" customHeight="1">
      <c r="B37" s="12" t="inlineStr">
        <is>
          <t>TR2(c)</t>
        </is>
      </c>
      <c r="C37" s="7" t="inlineStr"/>
      <c r="D37" s="7" t="inlineStr"/>
      <c r="E37" s="17" t="inlineStr">
        <is>
          <t>SDG 3 - Good health and well-being</t>
        </is>
      </c>
      <c r="F37" s="7" t="inlineStr">
        <is>
          <t>%</t>
        </is>
      </c>
      <c r="G37" s="13" t="n"/>
      <c r="H37" s="13" t="n"/>
      <c r="I37" s="13" t="n"/>
      <c r="J37" s="13" t="n">
        <v>20</v>
      </c>
      <c r="K37" s="14" t="n"/>
      <c r="L37" s="7" t="inlineStr">
        <is>
          <t>Data held</t>
        </is>
      </c>
      <c r="M37" s="7" t="inlineStr">
        <is>
          <t>MRE</t>
        </is>
      </c>
      <c r="N37" s="10" t="inlineStr"/>
      <c r="O37" s="10" t="inlineStr"/>
      <c r="P37" s="10" t="inlineStr"/>
      <c r="Q37" s="10" t="inlineStr"/>
      <c r="R37" s="10" t="inlineStr"/>
      <c r="S37" s="10" t="inlineStr"/>
    </row>
    <row r="38" ht="22" customHeight="1">
      <c r="B38" s="12" t="inlineStr">
        <is>
          <t>TR2(c)</t>
        </is>
      </c>
      <c r="C38" s="7" t="inlineStr"/>
      <c r="D38" s="7" t="inlineStr"/>
      <c r="E38" s="17" t="inlineStr">
        <is>
          <t>SDG 4 - Quality Education</t>
        </is>
      </c>
      <c r="F38" s="7" t="inlineStr">
        <is>
          <t>%</t>
        </is>
      </c>
      <c r="G38" s="13" t="n"/>
      <c r="H38" s="13" t="n"/>
      <c r="I38" s="13" t="n"/>
      <c r="J38" s="13" t="n">
        <v>19</v>
      </c>
      <c r="K38" s="14" t="n"/>
      <c r="L38" s="7" t="inlineStr">
        <is>
          <t>Data held</t>
        </is>
      </c>
      <c r="M38" s="7" t="inlineStr">
        <is>
          <t>MRE</t>
        </is>
      </c>
      <c r="N38" s="10" t="inlineStr"/>
      <c r="O38" s="10" t="inlineStr"/>
      <c r="P38" s="10" t="inlineStr"/>
      <c r="Q38" s="10" t="inlineStr"/>
      <c r="R38" s="10" t="inlineStr"/>
      <c r="S38" s="10" t="inlineStr"/>
    </row>
    <row r="39" ht="22" customHeight="1">
      <c r="B39" s="12" t="inlineStr">
        <is>
          <t>TR2(c)</t>
        </is>
      </c>
      <c r="C39" s="7" t="inlineStr"/>
      <c r="D39" s="7" t="inlineStr"/>
      <c r="E39" s="17" t="inlineStr">
        <is>
          <t>SDG 5 - Gender Equality</t>
        </is>
      </c>
      <c r="F39" s="7" t="inlineStr">
        <is>
          <t>%</t>
        </is>
      </c>
      <c r="G39" s="13" t="n"/>
      <c r="H39" s="13" t="n"/>
      <c r="I39" s="13" t="n"/>
      <c r="J39" s="13" t="n">
        <v>18</v>
      </c>
      <c r="K39" s="14" t="n"/>
      <c r="L39" s="7" t="inlineStr">
        <is>
          <t>Data held</t>
        </is>
      </c>
      <c r="M39" s="7" t="inlineStr">
        <is>
          <t>MRE</t>
        </is>
      </c>
      <c r="N39" s="10" t="inlineStr"/>
      <c r="O39" s="10" t="inlineStr"/>
      <c r="P39" s="10" t="inlineStr"/>
      <c r="Q39" s="10" t="inlineStr"/>
      <c r="R39" s="10" t="inlineStr"/>
      <c r="S39" s="10" t="inlineStr"/>
    </row>
    <row r="40" ht="22" customHeight="1">
      <c r="B40" s="12" t="inlineStr">
        <is>
          <t>TR2(c)</t>
        </is>
      </c>
      <c r="C40" s="7" t="inlineStr"/>
      <c r="D40" s="7" t="inlineStr"/>
      <c r="E40" s="17" t="inlineStr">
        <is>
          <t>SDG 6 - Clean water and sanitation</t>
        </is>
      </c>
      <c r="F40" s="7" t="inlineStr">
        <is>
          <t>%</t>
        </is>
      </c>
      <c r="G40" s="13" t="n"/>
      <c r="H40" s="13" t="n"/>
      <c r="I40" s="13" t="n"/>
      <c r="J40" s="13" t="n">
        <v>17</v>
      </c>
      <c r="K40" s="14" t="n"/>
      <c r="L40" s="7" t="inlineStr">
        <is>
          <t>Data held</t>
        </is>
      </c>
      <c r="M40" s="7" t="inlineStr">
        <is>
          <t>MRE</t>
        </is>
      </c>
      <c r="N40" s="10" t="inlineStr"/>
      <c r="O40" s="10" t="inlineStr"/>
      <c r="P40" s="10" t="inlineStr"/>
      <c r="Q40" s="10" t="inlineStr"/>
      <c r="R40" s="10" t="inlineStr"/>
      <c r="S40" s="10" t="inlineStr"/>
    </row>
    <row r="41" ht="22" customHeight="1">
      <c r="B41" s="12" t="inlineStr">
        <is>
          <t>TR2(c)</t>
        </is>
      </c>
      <c r="C41" s="7" t="inlineStr"/>
      <c r="D41" s="7" t="inlineStr"/>
      <c r="E41" s="17" t="inlineStr">
        <is>
          <t>SDG 7 - Affordable and clean energy</t>
        </is>
      </c>
      <c r="F41" s="7" t="inlineStr">
        <is>
          <t>%</t>
        </is>
      </c>
      <c r="G41" s="13" t="n"/>
      <c r="H41" s="13" t="n"/>
      <c r="I41" s="13" t="n"/>
      <c r="J41" s="13" t="n">
        <v>22</v>
      </c>
      <c r="K41" s="14" t="n"/>
      <c r="L41" s="7" t="inlineStr">
        <is>
          <t>Data held</t>
        </is>
      </c>
      <c r="M41" s="7" t="inlineStr">
        <is>
          <t>MRE</t>
        </is>
      </c>
      <c r="N41" s="10" t="inlineStr"/>
      <c r="O41" s="10" t="inlineStr"/>
      <c r="P41" s="10" t="inlineStr"/>
      <c r="Q41" s="10" t="inlineStr"/>
      <c r="R41" s="10" t="inlineStr"/>
      <c r="S41" s="10" t="inlineStr"/>
    </row>
    <row r="42" ht="22" customHeight="1">
      <c r="B42" s="12" t="inlineStr">
        <is>
          <t>TR2(c)</t>
        </is>
      </c>
      <c r="C42" s="7" t="inlineStr"/>
      <c r="D42" s="7" t="inlineStr"/>
      <c r="E42" s="17" t="inlineStr">
        <is>
          <t>SDG 8 - Decent work and economic growth</t>
        </is>
      </c>
      <c r="F42" s="7" t="inlineStr">
        <is>
          <t>%</t>
        </is>
      </c>
      <c r="G42" s="13" t="n"/>
      <c r="H42" s="13" t="n"/>
      <c r="I42" s="13" t="n"/>
      <c r="J42" s="13" t="n">
        <v>22</v>
      </c>
      <c r="K42" s="14" t="n"/>
      <c r="L42" s="7" t="inlineStr">
        <is>
          <t>Data held</t>
        </is>
      </c>
      <c r="M42" s="7" t="inlineStr">
        <is>
          <t>MRE</t>
        </is>
      </c>
      <c r="N42" s="10" t="inlineStr"/>
      <c r="O42" s="10" t="inlineStr"/>
      <c r="P42" s="10" t="inlineStr"/>
      <c r="Q42" s="10" t="inlineStr"/>
      <c r="R42" s="10" t="inlineStr"/>
      <c r="S42" s="10" t="inlineStr"/>
    </row>
    <row r="43" ht="39" customHeight="1">
      <c r="B43" s="12" t="inlineStr">
        <is>
          <t>TR2(c)</t>
        </is>
      </c>
      <c r="C43" s="7" t="inlineStr"/>
      <c r="D43" s="7" t="inlineStr"/>
      <c r="E43" s="17" t="inlineStr">
        <is>
          <t>SDG 9 - Industry, innovation and infrastructure</t>
        </is>
      </c>
      <c r="F43" s="7" t="inlineStr">
        <is>
          <t>%</t>
        </is>
      </c>
      <c r="G43" s="13" t="n"/>
      <c r="H43" s="13" t="n"/>
      <c r="I43" s="13" t="n"/>
      <c r="J43" s="13" t="n">
        <v>23</v>
      </c>
      <c r="K43" s="14" t="n"/>
      <c r="L43" s="7" t="inlineStr">
        <is>
          <t>Data held</t>
        </is>
      </c>
      <c r="M43" s="7" t="inlineStr">
        <is>
          <t>MRE</t>
        </is>
      </c>
      <c r="N43" s="10" t="inlineStr"/>
      <c r="O43" s="10" t="inlineStr"/>
      <c r="P43" s="10" t="inlineStr"/>
      <c r="Q43" s="10" t="inlineStr"/>
      <c r="R43" s="10" t="inlineStr"/>
      <c r="S43" s="10" t="inlineStr"/>
    </row>
    <row r="44" ht="22" customHeight="1">
      <c r="B44" s="12" t="inlineStr">
        <is>
          <t>TR2(c)</t>
        </is>
      </c>
      <c r="C44" s="7" t="inlineStr"/>
      <c r="D44" s="7" t="inlineStr"/>
      <c r="E44" s="17" t="inlineStr">
        <is>
          <t>SDG 10 - Reduced inequality</t>
        </is>
      </c>
      <c r="F44" s="7" t="inlineStr">
        <is>
          <t>%</t>
        </is>
      </c>
      <c r="G44" s="13" t="n"/>
      <c r="H44" s="13" t="n"/>
      <c r="I44" s="13" t="n"/>
      <c r="J44" s="13" t="n">
        <v>20</v>
      </c>
      <c r="K44" s="14" t="n"/>
      <c r="L44" s="7" t="inlineStr">
        <is>
          <t>Data held</t>
        </is>
      </c>
      <c r="M44" s="7" t="inlineStr">
        <is>
          <t>MRE</t>
        </is>
      </c>
      <c r="N44" s="10" t="inlineStr"/>
      <c r="O44" s="10" t="inlineStr"/>
      <c r="P44" s="10" t="inlineStr"/>
      <c r="Q44" s="10" t="inlineStr"/>
      <c r="R44" s="10" t="inlineStr"/>
      <c r="S44" s="10" t="inlineStr"/>
    </row>
    <row r="45" ht="39" customHeight="1">
      <c r="B45" s="12" t="inlineStr">
        <is>
          <t>TR2(c)</t>
        </is>
      </c>
      <c r="C45" s="7" t="inlineStr"/>
      <c r="D45" s="7" t="inlineStr"/>
      <c r="E45" s="17" t="inlineStr">
        <is>
          <t>SDG 11 - Sustainable cities and communities</t>
        </is>
      </c>
      <c r="F45" s="7" t="inlineStr">
        <is>
          <t>%</t>
        </is>
      </c>
      <c r="G45" s="13" t="n"/>
      <c r="H45" s="13" t="n"/>
      <c r="I45" s="13" t="n"/>
      <c r="J45" s="13" t="n">
        <v>20</v>
      </c>
      <c r="K45" s="14" t="n"/>
      <c r="L45" s="7" t="inlineStr">
        <is>
          <t>Data held</t>
        </is>
      </c>
      <c r="M45" s="7" t="inlineStr">
        <is>
          <t>MRE</t>
        </is>
      </c>
      <c r="N45" s="10" t="inlineStr"/>
      <c r="O45" s="10" t="inlineStr"/>
      <c r="P45" s="10" t="inlineStr"/>
      <c r="Q45" s="10" t="inlineStr"/>
      <c r="R45" s="10" t="inlineStr"/>
      <c r="S45" s="10" t="inlineStr"/>
    </row>
    <row r="46" ht="39" customHeight="1">
      <c r="B46" s="12" t="inlineStr">
        <is>
          <t>TR2(c)</t>
        </is>
      </c>
      <c r="C46" s="7" t="inlineStr"/>
      <c r="D46" s="7" t="inlineStr"/>
      <c r="E46" s="17" t="inlineStr">
        <is>
          <t>SDG 12 - Responsible consumption and production</t>
        </is>
      </c>
      <c r="F46" s="7" t="inlineStr">
        <is>
          <t>%</t>
        </is>
      </c>
      <c r="G46" s="13" t="n"/>
      <c r="H46" s="13" t="n"/>
      <c r="I46" s="13" t="n"/>
      <c r="J46" s="13" t="n">
        <v>20</v>
      </c>
      <c r="K46" s="14" t="n"/>
      <c r="L46" s="7" t="inlineStr">
        <is>
          <t>Data held</t>
        </is>
      </c>
      <c r="M46" s="7" t="inlineStr">
        <is>
          <t>MRE</t>
        </is>
      </c>
      <c r="N46" s="10" t="inlineStr"/>
      <c r="O46" s="10" t="inlineStr"/>
      <c r="P46" s="10" t="inlineStr"/>
      <c r="Q46" s="10" t="inlineStr"/>
      <c r="R46" s="10" t="inlineStr"/>
      <c r="S46" s="10" t="inlineStr"/>
    </row>
    <row r="47" ht="22" customHeight="1">
      <c r="B47" s="12" t="inlineStr">
        <is>
          <t>TR2(c)</t>
        </is>
      </c>
      <c r="C47" s="7" t="inlineStr"/>
      <c r="D47" s="7" t="inlineStr"/>
      <c r="E47" s="17" t="inlineStr">
        <is>
          <t>SDG 13 - Climate action</t>
        </is>
      </c>
      <c r="F47" s="7" t="inlineStr">
        <is>
          <t>%</t>
        </is>
      </c>
      <c r="G47" s="13" t="n"/>
      <c r="H47" s="13" t="n"/>
      <c r="I47" s="13" t="n"/>
      <c r="J47" s="13" t="n">
        <v>26</v>
      </c>
      <c r="K47" s="14" t="n"/>
      <c r="L47" s="7" t="inlineStr">
        <is>
          <t>Data held</t>
        </is>
      </c>
      <c r="M47" s="7" t="inlineStr">
        <is>
          <t>MRE</t>
        </is>
      </c>
      <c r="N47" s="10" t="inlineStr"/>
      <c r="O47" s="10" t="inlineStr"/>
      <c r="P47" s="10" t="inlineStr"/>
      <c r="Q47" s="10" t="inlineStr"/>
      <c r="R47" s="10" t="inlineStr"/>
      <c r="S47" s="10" t="inlineStr"/>
    </row>
    <row r="48" ht="22" customHeight="1">
      <c r="B48" s="12" t="inlineStr">
        <is>
          <t>TR2(c)</t>
        </is>
      </c>
      <c r="C48" s="7" t="inlineStr"/>
      <c r="D48" s="7" t="inlineStr"/>
      <c r="E48" s="17" t="inlineStr">
        <is>
          <t>SDG 14 - Life below water</t>
        </is>
      </c>
      <c r="F48" s="7" t="inlineStr">
        <is>
          <t>%</t>
        </is>
      </c>
      <c r="G48" s="13" t="n"/>
      <c r="H48" s="13" t="n"/>
      <c r="I48" s="13" t="n"/>
      <c r="J48" s="13" t="n">
        <v>20</v>
      </c>
      <c r="K48" s="14" t="n"/>
      <c r="L48" s="7" t="inlineStr">
        <is>
          <t>Data held</t>
        </is>
      </c>
      <c r="M48" s="7" t="inlineStr">
        <is>
          <t>MRE</t>
        </is>
      </c>
      <c r="N48" s="10" t="inlineStr"/>
      <c r="O48" s="10" t="inlineStr"/>
      <c r="P48" s="10" t="inlineStr"/>
      <c r="Q48" s="10" t="inlineStr"/>
      <c r="R48" s="10" t="inlineStr"/>
      <c r="S48" s="10" t="inlineStr"/>
    </row>
    <row r="49" ht="22" customHeight="1">
      <c r="B49" s="12" t="inlineStr">
        <is>
          <t>TR2(c)</t>
        </is>
      </c>
      <c r="C49" s="7" t="inlineStr"/>
      <c r="D49" s="7" t="inlineStr"/>
      <c r="E49" s="17" t="inlineStr">
        <is>
          <t>SDG 15 - Life on land</t>
        </is>
      </c>
      <c r="F49" s="7" t="inlineStr">
        <is>
          <t>%</t>
        </is>
      </c>
      <c r="G49" s="13" t="n"/>
      <c r="H49" s="13" t="n"/>
      <c r="I49" s="13" t="n"/>
      <c r="J49" s="13" t="n">
        <v>17</v>
      </c>
      <c r="K49" s="14" t="n"/>
      <c r="L49" s="7" t="inlineStr">
        <is>
          <t>Data held</t>
        </is>
      </c>
      <c r="M49" s="7" t="inlineStr">
        <is>
          <t>MRE</t>
        </is>
      </c>
      <c r="N49" s="10" t="inlineStr"/>
      <c r="O49" s="10" t="inlineStr"/>
      <c r="P49" s="10" t="inlineStr"/>
      <c r="Q49" s="10" t="inlineStr"/>
      <c r="R49" s="10" t="inlineStr"/>
      <c r="S49" s="10" t="inlineStr"/>
    </row>
    <row r="50" ht="39" customHeight="1">
      <c r="B50" s="12" t="inlineStr">
        <is>
          <t>TR2(c)</t>
        </is>
      </c>
      <c r="C50" s="7" t="inlineStr"/>
      <c r="D50" s="7" t="inlineStr"/>
      <c r="E50" s="17" t="inlineStr">
        <is>
          <t>SDG 16 - Peace, justice and strong institutions</t>
        </is>
      </c>
      <c r="F50" s="7" t="inlineStr">
        <is>
          <t>%</t>
        </is>
      </c>
      <c r="G50" s="13" t="n"/>
      <c r="H50" s="13" t="n"/>
      <c r="I50" s="13" t="n"/>
      <c r="J50" s="13" t="n">
        <v>20</v>
      </c>
      <c r="K50" s="14" t="n"/>
      <c r="L50" s="7" t="inlineStr">
        <is>
          <t>Data held</t>
        </is>
      </c>
      <c r="M50" s="7" t="inlineStr">
        <is>
          <t>MRE</t>
        </is>
      </c>
      <c r="N50" s="10" t="inlineStr"/>
      <c r="O50" s="10" t="inlineStr"/>
      <c r="P50" s="10" t="inlineStr"/>
      <c r="Q50" s="10" t="inlineStr"/>
      <c r="R50" s="10" t="inlineStr"/>
      <c r="S50" s="10" t="inlineStr"/>
    </row>
    <row r="51" ht="39" customHeight="1">
      <c r="B51" s="12" t="inlineStr">
        <is>
          <t>TR2(c)</t>
        </is>
      </c>
      <c r="C51" s="7" t="inlineStr"/>
      <c r="D51" s="7" t="inlineStr"/>
      <c r="E51" s="7" t="inlineStr">
        <is>
          <t>SDG-related research outputs mentioned in Patents</t>
        </is>
      </c>
      <c r="F51" s="7" t="inlineStr">
        <is>
          <t>#</t>
        </is>
      </c>
      <c r="G51" s="13" t="n"/>
      <c r="H51" s="13" t="n"/>
      <c r="I51" s="13" t="n"/>
      <c r="J51" s="13" t="n">
        <v>651</v>
      </c>
      <c r="K51" s="14" t="n"/>
      <c r="L51" s="7" t="inlineStr">
        <is>
          <t>Data held</t>
        </is>
      </c>
      <c r="M51" s="7" t="inlineStr">
        <is>
          <t>MRE</t>
        </is>
      </c>
      <c r="N51" s="10" t="inlineStr"/>
      <c r="O51" s="10" t="inlineStr"/>
      <c r="P51" s="10" t="inlineStr"/>
      <c r="Q51" s="10" t="inlineStr"/>
      <c r="R51" s="10" t="inlineStr"/>
      <c r="S51" s="10" t="inlineStr"/>
    </row>
    <row r="52" ht="22" customHeight="1">
      <c r="B52" s="12" t="inlineStr">
        <is>
          <t>TR2(c)</t>
        </is>
      </c>
      <c r="C52" s="7" t="inlineStr"/>
      <c r="D52" s="7" t="inlineStr"/>
      <c r="E52" s="17" t="inlineStr">
        <is>
          <t>SDG 1 - No Poverty</t>
        </is>
      </c>
      <c r="F52" s="7" t="inlineStr">
        <is>
          <t>#</t>
        </is>
      </c>
      <c r="G52" s="13" t="n"/>
      <c r="H52" s="13" t="n"/>
      <c r="I52" s="13" t="n"/>
      <c r="J52" s="13" t="n">
        <v>0</v>
      </c>
      <c r="K52" s="14" t="n"/>
      <c r="L52" s="7" t="inlineStr">
        <is>
          <t>Data held</t>
        </is>
      </c>
      <c r="M52" s="7" t="inlineStr">
        <is>
          <t>MRE</t>
        </is>
      </c>
      <c r="N52" s="10" t="inlineStr"/>
      <c r="O52" s="10" t="inlineStr"/>
      <c r="P52" s="10" t="inlineStr"/>
      <c r="Q52" s="10" t="inlineStr"/>
      <c r="R52" s="10" t="inlineStr"/>
      <c r="S52" s="10" t="inlineStr"/>
    </row>
    <row r="53" ht="22" customHeight="1">
      <c r="B53" s="12" t="inlineStr">
        <is>
          <t>TR2(c)</t>
        </is>
      </c>
      <c r="C53" s="7" t="inlineStr"/>
      <c r="D53" s="7" t="inlineStr"/>
      <c r="E53" s="17" t="inlineStr">
        <is>
          <t>SDG 2 - Zero Hunger</t>
        </is>
      </c>
      <c r="F53" s="7" t="inlineStr">
        <is>
          <t>#</t>
        </is>
      </c>
      <c r="G53" s="13" t="n"/>
      <c r="H53" s="13" t="n"/>
      <c r="I53" s="13" t="n"/>
      <c r="J53" s="13" t="n">
        <v>6</v>
      </c>
      <c r="K53" s="14" t="n"/>
      <c r="L53" s="7" t="inlineStr">
        <is>
          <t>Data held</t>
        </is>
      </c>
      <c r="M53" s="7" t="inlineStr">
        <is>
          <t>MRE</t>
        </is>
      </c>
      <c r="N53" s="10" t="inlineStr"/>
      <c r="O53" s="10" t="inlineStr"/>
      <c r="P53" s="10" t="inlineStr"/>
      <c r="Q53" s="10" t="inlineStr"/>
      <c r="R53" s="10" t="inlineStr"/>
      <c r="S53" s="10" t="inlineStr"/>
    </row>
    <row r="54" ht="22" customHeight="1">
      <c r="B54" s="12" t="inlineStr">
        <is>
          <t>TR2(c)</t>
        </is>
      </c>
      <c r="C54" s="7" t="inlineStr"/>
      <c r="D54" s="7" t="inlineStr"/>
      <c r="E54" s="17" t="inlineStr">
        <is>
          <t>SDG 3 - Good health and well-being</t>
        </is>
      </c>
      <c r="F54" s="7" t="inlineStr">
        <is>
          <t>#</t>
        </is>
      </c>
      <c r="G54" s="13" t="n"/>
      <c r="H54" s="13" t="n"/>
      <c r="I54" s="13" t="n"/>
      <c r="J54" s="13" t="n">
        <v>564</v>
      </c>
      <c r="K54" s="14" t="n"/>
      <c r="L54" s="7" t="inlineStr">
        <is>
          <t>Data held</t>
        </is>
      </c>
      <c r="M54" s="7" t="inlineStr">
        <is>
          <t>MRE</t>
        </is>
      </c>
      <c r="N54" s="10" t="inlineStr"/>
      <c r="O54" s="10" t="inlineStr"/>
      <c r="P54" s="10" t="inlineStr"/>
      <c r="Q54" s="10" t="inlineStr"/>
      <c r="R54" s="10" t="inlineStr"/>
      <c r="S54" s="10" t="inlineStr"/>
    </row>
    <row r="55" ht="22" customHeight="1">
      <c r="B55" s="12" t="inlineStr">
        <is>
          <t>TR2(c)</t>
        </is>
      </c>
      <c r="C55" s="7" t="inlineStr"/>
      <c r="D55" s="7" t="inlineStr"/>
      <c r="E55" s="17" t="inlineStr">
        <is>
          <t>SDG 4 - Quality Education</t>
        </is>
      </c>
      <c r="F55" s="7" t="inlineStr">
        <is>
          <t>#</t>
        </is>
      </c>
      <c r="G55" s="13" t="n"/>
      <c r="H55" s="13" t="n"/>
      <c r="I55" s="13" t="n"/>
      <c r="J55" s="13" t="n">
        <v>7</v>
      </c>
      <c r="K55" s="14" t="n"/>
      <c r="L55" s="7" t="inlineStr">
        <is>
          <t>Data held</t>
        </is>
      </c>
      <c r="M55" s="7" t="inlineStr">
        <is>
          <t>MRE</t>
        </is>
      </c>
      <c r="N55" s="10" t="inlineStr"/>
      <c r="O55" s="10" t="inlineStr"/>
      <c r="P55" s="10" t="inlineStr"/>
      <c r="Q55" s="10" t="inlineStr"/>
      <c r="R55" s="10" t="inlineStr"/>
      <c r="S55" s="10" t="inlineStr"/>
    </row>
    <row r="56" ht="22" customHeight="1">
      <c r="B56" s="12" t="inlineStr">
        <is>
          <t>TR2(c)</t>
        </is>
      </c>
      <c r="C56" s="7" t="inlineStr"/>
      <c r="D56" s="7" t="inlineStr"/>
      <c r="E56" s="17" t="inlineStr">
        <is>
          <t>SDG 5 - Gender Equality</t>
        </is>
      </c>
      <c r="F56" s="7" t="inlineStr">
        <is>
          <t>#</t>
        </is>
      </c>
      <c r="G56" s="13" t="n"/>
      <c r="H56" s="13" t="n"/>
      <c r="I56" s="13" t="n"/>
      <c r="J56" s="13" t="n">
        <v>0</v>
      </c>
      <c r="K56" s="14" t="n"/>
      <c r="L56" s="7" t="inlineStr">
        <is>
          <t>Data held</t>
        </is>
      </c>
      <c r="M56" s="7" t="inlineStr">
        <is>
          <t>MRE</t>
        </is>
      </c>
      <c r="N56" s="10" t="inlineStr"/>
      <c r="O56" s="10" t="inlineStr"/>
      <c r="P56" s="10" t="inlineStr"/>
      <c r="Q56" s="10" t="inlineStr"/>
      <c r="R56" s="10" t="inlineStr"/>
      <c r="S56" s="10" t="inlineStr"/>
    </row>
    <row r="57" ht="22" customHeight="1">
      <c r="B57" s="12" t="inlineStr">
        <is>
          <t>TR2(c)</t>
        </is>
      </c>
      <c r="C57" s="7" t="inlineStr"/>
      <c r="D57" s="7" t="inlineStr"/>
      <c r="E57" s="17" t="inlineStr">
        <is>
          <t>SDG 6 - Clean water and sanitation</t>
        </is>
      </c>
      <c r="F57" s="7" t="inlineStr">
        <is>
          <t>#</t>
        </is>
      </c>
      <c r="G57" s="13" t="n"/>
      <c r="H57" s="13" t="n"/>
      <c r="I57" s="13" t="n"/>
      <c r="J57" s="13" t="n">
        <v>1</v>
      </c>
      <c r="K57" s="14" t="n"/>
      <c r="L57" s="7" t="inlineStr">
        <is>
          <t>Data held</t>
        </is>
      </c>
      <c r="M57" s="7" t="inlineStr">
        <is>
          <t>MRE</t>
        </is>
      </c>
      <c r="N57" s="10" t="inlineStr"/>
      <c r="O57" s="10" t="inlineStr"/>
      <c r="P57" s="10" t="inlineStr"/>
      <c r="Q57" s="10" t="inlineStr"/>
      <c r="R57" s="10" t="inlineStr"/>
      <c r="S57" s="10" t="inlineStr"/>
    </row>
    <row r="58" ht="22" customHeight="1">
      <c r="B58" s="12" t="inlineStr">
        <is>
          <t>TR2(c)</t>
        </is>
      </c>
      <c r="C58" s="7" t="inlineStr"/>
      <c r="D58" s="7" t="inlineStr"/>
      <c r="E58" s="17" t="inlineStr">
        <is>
          <t>SDG 7 - Affordable and clean energy</t>
        </is>
      </c>
      <c r="F58" s="7" t="inlineStr">
        <is>
          <t>#</t>
        </is>
      </c>
      <c r="G58" s="13" t="n"/>
      <c r="H58" s="13" t="n"/>
      <c r="I58" s="13" t="n"/>
      <c r="J58" s="13" t="n">
        <v>34</v>
      </c>
      <c r="K58" s="14" t="n"/>
      <c r="L58" s="7" t="inlineStr">
        <is>
          <t>Data held</t>
        </is>
      </c>
      <c r="M58" s="7" t="inlineStr">
        <is>
          <t>MRE</t>
        </is>
      </c>
      <c r="N58" s="10" t="inlineStr"/>
      <c r="O58" s="10" t="inlineStr"/>
      <c r="P58" s="10" t="inlineStr"/>
      <c r="Q58" s="10" t="inlineStr"/>
      <c r="R58" s="10" t="inlineStr"/>
      <c r="S58" s="10" t="inlineStr"/>
    </row>
    <row r="59" ht="22" customHeight="1">
      <c r="B59" s="12" t="inlineStr">
        <is>
          <t>TR2(c)</t>
        </is>
      </c>
      <c r="C59" s="7" t="inlineStr"/>
      <c r="D59" s="7" t="inlineStr"/>
      <c r="E59" s="17" t="inlineStr">
        <is>
          <t>SDG 8 - Decent work and economic growth</t>
        </is>
      </c>
      <c r="F59" s="7" t="inlineStr">
        <is>
          <t>#</t>
        </is>
      </c>
      <c r="G59" s="13" t="n"/>
      <c r="H59" s="13" t="n"/>
      <c r="I59" s="13" t="n"/>
      <c r="J59" s="13" t="n">
        <v>0</v>
      </c>
      <c r="K59" s="14" t="n"/>
      <c r="L59" s="7" t="inlineStr">
        <is>
          <t>Data held</t>
        </is>
      </c>
      <c r="M59" s="7" t="inlineStr">
        <is>
          <t>MRE</t>
        </is>
      </c>
      <c r="N59" s="10" t="inlineStr"/>
      <c r="O59" s="10" t="inlineStr"/>
      <c r="P59" s="10" t="inlineStr"/>
      <c r="Q59" s="10" t="inlineStr"/>
      <c r="R59" s="10" t="inlineStr"/>
      <c r="S59" s="10" t="inlineStr"/>
    </row>
    <row r="60" ht="39" customHeight="1">
      <c r="B60" s="12" t="inlineStr">
        <is>
          <t>TR2(c)</t>
        </is>
      </c>
      <c r="C60" s="7" t="inlineStr"/>
      <c r="D60" s="7" t="inlineStr"/>
      <c r="E60" s="17" t="inlineStr">
        <is>
          <t>SDG 9 - Industry, innovation and infrastructure</t>
        </is>
      </c>
      <c r="F60" s="7" t="inlineStr">
        <is>
          <t>#</t>
        </is>
      </c>
      <c r="G60" s="13" t="n"/>
      <c r="H60" s="13" t="n"/>
      <c r="I60" s="13" t="n"/>
      <c r="J60" s="13" t="n">
        <v>1</v>
      </c>
      <c r="K60" s="14" t="n"/>
      <c r="L60" s="7" t="inlineStr">
        <is>
          <t>Data held</t>
        </is>
      </c>
      <c r="M60" s="7" t="inlineStr">
        <is>
          <t>MRE</t>
        </is>
      </c>
      <c r="N60" s="10" t="inlineStr"/>
      <c r="O60" s="10" t="inlineStr"/>
      <c r="P60" s="10" t="inlineStr"/>
      <c r="Q60" s="10" t="inlineStr"/>
      <c r="R60" s="10" t="inlineStr"/>
      <c r="S60" s="10" t="inlineStr"/>
    </row>
    <row r="61" ht="22" customHeight="1">
      <c r="B61" s="12" t="inlineStr">
        <is>
          <t>TR2(c)</t>
        </is>
      </c>
      <c r="C61" s="7" t="inlineStr"/>
      <c r="D61" s="7" t="inlineStr"/>
      <c r="E61" s="17" t="inlineStr">
        <is>
          <t>SDG 10 - Reduced inequality</t>
        </is>
      </c>
      <c r="F61" s="7" t="inlineStr">
        <is>
          <t>#</t>
        </is>
      </c>
      <c r="G61" s="13" t="n"/>
      <c r="H61" s="13" t="n"/>
      <c r="I61" s="13" t="n"/>
      <c r="J61" s="13" t="n">
        <v>1</v>
      </c>
      <c r="K61" s="14" t="n"/>
      <c r="L61" s="7" t="inlineStr">
        <is>
          <t>Data held</t>
        </is>
      </c>
      <c r="M61" s="7" t="inlineStr">
        <is>
          <t>MRE</t>
        </is>
      </c>
      <c r="N61" s="10" t="inlineStr"/>
      <c r="O61" s="10" t="inlineStr"/>
      <c r="P61" s="10" t="inlineStr"/>
      <c r="Q61" s="10" t="inlineStr"/>
      <c r="R61" s="10" t="inlineStr"/>
      <c r="S61" s="10" t="inlineStr"/>
    </row>
    <row r="62" ht="39" customHeight="1">
      <c r="B62" s="12" t="inlineStr">
        <is>
          <t>TR2(c)</t>
        </is>
      </c>
      <c r="C62" s="7" t="inlineStr"/>
      <c r="D62" s="7" t="inlineStr"/>
      <c r="E62" s="17" t="inlineStr">
        <is>
          <t>SDG 11 - Sustainable cities and communities</t>
        </is>
      </c>
      <c r="F62" s="7" t="inlineStr">
        <is>
          <t>#</t>
        </is>
      </c>
      <c r="G62" s="13" t="n"/>
      <c r="H62" s="13" t="n"/>
      <c r="I62" s="13" t="n"/>
      <c r="J62" s="13" t="n">
        <v>6</v>
      </c>
      <c r="K62" s="14" t="n"/>
      <c r="L62" s="7" t="inlineStr">
        <is>
          <t>Data held</t>
        </is>
      </c>
      <c r="M62" s="7" t="inlineStr">
        <is>
          <t>MRE</t>
        </is>
      </c>
      <c r="N62" s="10" t="inlineStr"/>
      <c r="O62" s="10" t="inlineStr"/>
      <c r="P62" s="10" t="inlineStr"/>
      <c r="Q62" s="10" t="inlineStr"/>
      <c r="R62" s="10" t="inlineStr"/>
      <c r="S62" s="10" t="inlineStr"/>
    </row>
    <row r="63" ht="39" customHeight="1">
      <c r="B63" s="12" t="inlineStr">
        <is>
          <t>TR2(c)</t>
        </is>
      </c>
      <c r="C63" s="7" t="inlineStr"/>
      <c r="D63" s="7" t="inlineStr"/>
      <c r="E63" s="17" t="inlineStr">
        <is>
          <t>SDG 12 - Responsible consumption and production</t>
        </is>
      </c>
      <c r="F63" s="7" t="inlineStr">
        <is>
          <t>#</t>
        </is>
      </c>
      <c r="G63" s="13" t="n"/>
      <c r="H63" s="13" t="n"/>
      <c r="I63" s="13" t="n"/>
      <c r="J63" s="13" t="n">
        <v>8</v>
      </c>
      <c r="K63" s="14" t="n"/>
      <c r="L63" s="7" t="inlineStr">
        <is>
          <t>Data held</t>
        </is>
      </c>
      <c r="M63" s="7" t="inlineStr">
        <is>
          <t>MRE</t>
        </is>
      </c>
      <c r="N63" s="10" t="inlineStr"/>
      <c r="O63" s="10" t="inlineStr"/>
      <c r="P63" s="10" t="inlineStr"/>
      <c r="Q63" s="10" t="inlineStr"/>
      <c r="R63" s="10" t="inlineStr"/>
      <c r="S63" s="10" t="inlineStr"/>
    </row>
    <row r="64" ht="22" customHeight="1">
      <c r="B64" s="12" t="inlineStr">
        <is>
          <t>TR2(c)</t>
        </is>
      </c>
      <c r="C64" s="7" t="inlineStr"/>
      <c r="D64" s="7" t="inlineStr"/>
      <c r="E64" s="17" t="inlineStr">
        <is>
          <t>SDG 13 - Climate action</t>
        </is>
      </c>
      <c r="F64" s="7" t="inlineStr">
        <is>
          <t>#</t>
        </is>
      </c>
      <c r="G64" s="13" t="n"/>
      <c r="H64" s="13" t="n"/>
      <c r="I64" s="13" t="n"/>
      <c r="J64" s="13" t="n">
        <v>15</v>
      </c>
      <c r="K64" s="14" t="n"/>
      <c r="L64" s="7" t="inlineStr">
        <is>
          <t>Data held</t>
        </is>
      </c>
      <c r="M64" s="7" t="inlineStr">
        <is>
          <t>MRE</t>
        </is>
      </c>
      <c r="N64" s="10" t="inlineStr"/>
      <c r="O64" s="10" t="inlineStr"/>
      <c r="P64" s="10" t="inlineStr"/>
      <c r="Q64" s="10" t="inlineStr"/>
      <c r="R64" s="10" t="inlineStr"/>
      <c r="S64" s="10" t="inlineStr"/>
    </row>
    <row r="65" ht="22" customHeight="1">
      <c r="B65" s="12" t="inlineStr">
        <is>
          <t>TR2(c)</t>
        </is>
      </c>
      <c r="C65" s="7" t="inlineStr"/>
      <c r="D65" s="7" t="inlineStr"/>
      <c r="E65" s="17" t="inlineStr">
        <is>
          <t>SDG 14 - Life below water</t>
        </is>
      </c>
      <c r="F65" s="7" t="inlineStr">
        <is>
          <t>#</t>
        </is>
      </c>
      <c r="G65" s="13" t="n"/>
      <c r="H65" s="13" t="n"/>
      <c r="I65" s="13" t="n"/>
      <c r="J65" s="13" t="n">
        <v>3</v>
      </c>
      <c r="K65" s="14" t="n"/>
      <c r="L65" s="7" t="inlineStr">
        <is>
          <t>Data held</t>
        </is>
      </c>
      <c r="M65" s="7" t="inlineStr">
        <is>
          <t>MRE</t>
        </is>
      </c>
      <c r="N65" s="10" t="inlineStr"/>
      <c r="O65" s="10" t="inlineStr"/>
      <c r="P65" s="10" t="inlineStr"/>
      <c r="Q65" s="10" t="inlineStr"/>
      <c r="R65" s="10" t="inlineStr"/>
      <c r="S65" s="10" t="inlineStr"/>
    </row>
    <row r="66" ht="22" customHeight="1">
      <c r="B66" s="12" t="inlineStr">
        <is>
          <t>TR2(c)</t>
        </is>
      </c>
      <c r="C66" s="7" t="inlineStr"/>
      <c r="D66" s="7" t="inlineStr"/>
      <c r="E66" s="17" t="inlineStr">
        <is>
          <t>SDG 15 - Life on land</t>
        </is>
      </c>
      <c r="F66" s="7" t="inlineStr">
        <is>
          <t>#</t>
        </is>
      </c>
      <c r="G66" s="13" t="n"/>
      <c r="H66" s="13" t="n"/>
      <c r="I66" s="13" t="n"/>
      <c r="J66" s="13" t="n">
        <v>5</v>
      </c>
      <c r="K66" s="14" t="n"/>
      <c r="L66" s="7" t="inlineStr">
        <is>
          <t>Data held</t>
        </is>
      </c>
      <c r="M66" s="7" t="inlineStr">
        <is>
          <t>MRE</t>
        </is>
      </c>
      <c r="N66" s="10" t="inlineStr"/>
      <c r="O66" s="10" t="inlineStr"/>
      <c r="P66" s="10" t="inlineStr"/>
      <c r="Q66" s="10" t="inlineStr"/>
      <c r="R66" s="10" t="inlineStr"/>
      <c r="S66" s="10" t="inlineStr"/>
    </row>
    <row r="67" ht="39" customHeight="1">
      <c r="B67" s="12" t="inlineStr">
        <is>
          <t>TR2(c)</t>
        </is>
      </c>
      <c r="C67" s="7" t="inlineStr"/>
      <c r="D67" s="7" t="inlineStr"/>
      <c r="E67" s="17" t="inlineStr">
        <is>
          <t>SDG 16 - Peace, justice and strong institutions</t>
        </is>
      </c>
      <c r="F67" s="7" t="inlineStr">
        <is>
          <t>#</t>
        </is>
      </c>
      <c r="G67" s="13" t="n"/>
      <c r="H67" s="13" t="n"/>
      <c r="I67" s="13" t="n"/>
      <c r="J67" s="13" t="n">
        <v>0</v>
      </c>
      <c r="K67" s="14" t="n"/>
      <c r="L67" s="7" t="inlineStr">
        <is>
          <t>Data held</t>
        </is>
      </c>
      <c r="M67" s="7" t="inlineStr">
        <is>
          <t>MRE</t>
        </is>
      </c>
      <c r="N67" s="10" t="inlineStr"/>
      <c r="O67" s="10" t="inlineStr"/>
      <c r="P67" s="10" t="inlineStr"/>
      <c r="Q67" s="10" t="inlineStr"/>
      <c r="R67" s="10" t="inlineStr"/>
      <c r="S67" s="10" t="inlineStr"/>
    </row>
    <row r="68" ht="22" customHeight="1">
      <c r="B68" s="12" t="inlineStr">
        <is>
          <t>TR2(c)</t>
        </is>
      </c>
      <c r="C68" s="7" t="inlineStr"/>
      <c r="D68" s="7" t="inlineStr"/>
      <c r="E68" s="17" t="inlineStr">
        <is>
          <t>SDG 17 - Partnerships</t>
        </is>
      </c>
      <c r="F68" s="7" t="inlineStr">
        <is>
          <t>#</t>
        </is>
      </c>
      <c r="G68" s="13" t="n"/>
      <c r="H68" s="13" t="n"/>
      <c r="I68" s="13" t="n"/>
      <c r="J68" s="13" t="n">
        <v>0</v>
      </c>
      <c r="K68" s="14" t="n"/>
      <c r="L68" s="7" t="inlineStr">
        <is>
          <t>Data held</t>
        </is>
      </c>
      <c r="M68" s="7" t="inlineStr">
        <is>
          <t>MRE</t>
        </is>
      </c>
      <c r="N68" s="10" t="inlineStr"/>
      <c r="O68" s="10" t="inlineStr"/>
      <c r="P68" s="10" t="inlineStr"/>
      <c r="Q68" s="10" t="inlineStr"/>
      <c r="R68" s="10" t="inlineStr"/>
      <c r="S68" s="10" t="inlineStr"/>
    </row>
    <row r="69" ht="39" customHeight="1">
      <c r="B69" s="12" t="inlineStr">
        <is>
          <t>TR2(c)</t>
        </is>
      </c>
      <c r="C69" s="7" t="inlineStr"/>
      <c r="D69" s="7" t="inlineStr"/>
      <c r="E69" s="7" t="inlineStr">
        <is>
          <t>SDG-related research outputs mentioned in Policy and related documents</t>
        </is>
      </c>
      <c r="F69" s="7" t="inlineStr">
        <is>
          <t>#</t>
        </is>
      </c>
      <c r="G69" s="13" t="n"/>
      <c r="H69" s="13" t="n"/>
      <c r="I69" s="13" t="n"/>
      <c r="J69" s="13" t="n">
        <v>1256</v>
      </c>
      <c r="K69" s="14" t="n"/>
      <c r="L69" s="7" t="inlineStr">
        <is>
          <t>Data held</t>
        </is>
      </c>
      <c r="M69" s="7" t="inlineStr">
        <is>
          <t>MRE</t>
        </is>
      </c>
      <c r="N69" s="10" t="inlineStr"/>
      <c r="O69" s="10" t="inlineStr"/>
      <c r="P69" s="10" t="inlineStr"/>
      <c r="Q69" s="10" t="inlineStr"/>
      <c r="R69" s="10" t="inlineStr"/>
      <c r="S69" s="10" t="inlineStr"/>
    </row>
    <row r="70" ht="22" customHeight="1">
      <c r="B70" s="12" t="inlineStr">
        <is>
          <t>TR2(c)</t>
        </is>
      </c>
      <c r="C70" s="7" t="inlineStr"/>
      <c r="D70" s="7" t="inlineStr"/>
      <c r="E70" s="17" t="inlineStr">
        <is>
          <t>SDG 1 - No Poverty</t>
        </is>
      </c>
      <c r="F70" s="7" t="inlineStr">
        <is>
          <t>#</t>
        </is>
      </c>
      <c r="G70" s="13" t="n"/>
      <c r="H70" s="13" t="n"/>
      <c r="I70" s="13" t="n"/>
      <c r="J70" s="13" t="n">
        <v>6</v>
      </c>
      <c r="K70" s="14" t="n"/>
      <c r="L70" s="7" t="inlineStr">
        <is>
          <t>Data held</t>
        </is>
      </c>
      <c r="M70" s="7" t="inlineStr">
        <is>
          <t>MRE</t>
        </is>
      </c>
      <c r="N70" s="10" t="inlineStr"/>
      <c r="O70" s="10" t="inlineStr"/>
      <c r="P70" s="10" t="inlineStr"/>
      <c r="Q70" s="10" t="inlineStr"/>
      <c r="R70" s="10" t="inlineStr"/>
      <c r="S70" s="10" t="inlineStr"/>
    </row>
    <row r="71" ht="22" customHeight="1">
      <c r="B71" s="12" t="inlineStr">
        <is>
          <t>TR2(c)</t>
        </is>
      </c>
      <c r="C71" s="7" t="inlineStr"/>
      <c r="D71" s="7" t="inlineStr"/>
      <c r="E71" s="17" t="inlineStr">
        <is>
          <t>SDG 2 - Zero Hunger</t>
        </is>
      </c>
      <c r="F71" s="7" t="inlineStr">
        <is>
          <t>#</t>
        </is>
      </c>
      <c r="G71" s="13" t="n"/>
      <c r="H71" s="13" t="n"/>
      <c r="I71" s="13" t="n"/>
      <c r="J71" s="13" t="n">
        <v>32</v>
      </c>
      <c r="K71" s="14" t="n"/>
      <c r="L71" s="7" t="inlineStr">
        <is>
          <t>Data held</t>
        </is>
      </c>
      <c r="M71" s="7" t="inlineStr">
        <is>
          <t>MRE</t>
        </is>
      </c>
      <c r="N71" s="10" t="inlineStr"/>
      <c r="O71" s="10" t="inlineStr"/>
      <c r="P71" s="10" t="inlineStr"/>
      <c r="Q71" s="10" t="inlineStr"/>
      <c r="R71" s="10" t="inlineStr"/>
      <c r="S71" s="10" t="inlineStr"/>
    </row>
    <row r="72" ht="22" customHeight="1">
      <c r="B72" s="12" t="inlineStr">
        <is>
          <t>TR2(c)</t>
        </is>
      </c>
      <c r="C72" s="7" t="inlineStr"/>
      <c r="D72" s="7" t="inlineStr"/>
      <c r="E72" s="17" t="inlineStr">
        <is>
          <t>SDG 3 - Good health and well-being</t>
        </is>
      </c>
      <c r="F72" s="7" t="inlineStr">
        <is>
          <t>#</t>
        </is>
      </c>
      <c r="G72" s="13" t="n"/>
      <c r="H72" s="13" t="n"/>
      <c r="I72" s="13" t="n"/>
      <c r="J72" s="13" t="n">
        <v>676</v>
      </c>
      <c r="K72" s="14" t="n"/>
      <c r="L72" s="7" t="inlineStr">
        <is>
          <t>Data held</t>
        </is>
      </c>
      <c r="M72" s="7" t="inlineStr">
        <is>
          <t>MRE</t>
        </is>
      </c>
      <c r="N72" s="10" t="inlineStr"/>
      <c r="O72" s="10" t="inlineStr"/>
      <c r="P72" s="10" t="inlineStr"/>
      <c r="Q72" s="10" t="inlineStr"/>
      <c r="R72" s="10" t="inlineStr"/>
      <c r="S72" s="10" t="inlineStr"/>
    </row>
    <row r="73" ht="22" customHeight="1">
      <c r="B73" s="12" t="inlineStr">
        <is>
          <t>TR2(c)</t>
        </is>
      </c>
      <c r="C73" s="7" t="inlineStr"/>
      <c r="D73" s="7" t="inlineStr"/>
      <c r="E73" s="17" t="inlineStr">
        <is>
          <t>SDG 4 - Quality Education</t>
        </is>
      </c>
      <c r="F73" s="7" t="inlineStr">
        <is>
          <t>#</t>
        </is>
      </c>
      <c r="G73" s="13" t="n"/>
      <c r="H73" s="13" t="n"/>
      <c r="I73" s="13" t="n"/>
      <c r="J73" s="13" t="n">
        <v>48</v>
      </c>
      <c r="K73" s="14" t="n"/>
      <c r="L73" s="7" t="inlineStr">
        <is>
          <t>Data held</t>
        </is>
      </c>
      <c r="M73" s="7" t="inlineStr">
        <is>
          <t>MRE</t>
        </is>
      </c>
      <c r="N73" s="10" t="inlineStr"/>
      <c r="O73" s="10" t="inlineStr"/>
      <c r="P73" s="10" t="inlineStr"/>
      <c r="Q73" s="10" t="inlineStr"/>
      <c r="R73" s="10" t="inlineStr"/>
      <c r="S73" s="10" t="inlineStr"/>
    </row>
    <row r="74" ht="22" customHeight="1">
      <c r="B74" s="12" t="inlineStr">
        <is>
          <t>TR2(c)</t>
        </is>
      </c>
      <c r="C74" s="7" t="inlineStr"/>
      <c r="D74" s="7" t="inlineStr"/>
      <c r="E74" s="17" t="inlineStr">
        <is>
          <t>SDG 5 - Gender Equality</t>
        </is>
      </c>
      <c r="F74" s="7" t="inlineStr">
        <is>
          <t>#</t>
        </is>
      </c>
      <c r="G74" s="13" t="n"/>
      <c r="H74" s="13" t="n"/>
      <c r="I74" s="13" t="n"/>
      <c r="J74" s="13" t="n">
        <v>30</v>
      </c>
      <c r="K74" s="14" t="n"/>
      <c r="L74" s="7" t="inlineStr">
        <is>
          <t>Data held</t>
        </is>
      </c>
      <c r="M74" s="7" t="inlineStr">
        <is>
          <t>MRE</t>
        </is>
      </c>
      <c r="N74" s="10" t="inlineStr"/>
      <c r="O74" s="10" t="inlineStr"/>
      <c r="P74" s="10" t="inlineStr"/>
      <c r="Q74" s="10" t="inlineStr"/>
      <c r="R74" s="10" t="inlineStr"/>
      <c r="S74" s="10" t="inlineStr"/>
    </row>
    <row r="75" ht="22" customHeight="1">
      <c r="B75" s="12" t="inlineStr">
        <is>
          <t>TR2(c)</t>
        </is>
      </c>
      <c r="C75" s="7" t="inlineStr"/>
      <c r="D75" s="7" t="inlineStr"/>
      <c r="E75" s="17" t="inlineStr">
        <is>
          <t>SDG 6 - Clean water and sanitation</t>
        </is>
      </c>
      <c r="F75" s="7" t="inlineStr">
        <is>
          <t>#</t>
        </is>
      </c>
      <c r="G75" s="13" t="n"/>
      <c r="H75" s="13" t="n"/>
      <c r="I75" s="13" t="n"/>
      <c r="J75" s="13" t="n">
        <v>32</v>
      </c>
      <c r="K75" s="14" t="n"/>
      <c r="L75" s="7" t="inlineStr">
        <is>
          <t>Data held</t>
        </is>
      </c>
      <c r="M75" s="7" t="inlineStr">
        <is>
          <t>MRE</t>
        </is>
      </c>
      <c r="N75" s="10" t="inlineStr"/>
      <c r="O75" s="10" t="inlineStr"/>
      <c r="P75" s="10" t="inlineStr"/>
      <c r="Q75" s="10" t="inlineStr"/>
      <c r="R75" s="10" t="inlineStr"/>
      <c r="S75" s="10" t="inlineStr"/>
    </row>
    <row r="76" ht="22" customHeight="1">
      <c r="B76" s="12" t="inlineStr">
        <is>
          <t>TR2(c)</t>
        </is>
      </c>
      <c r="C76" s="7" t="inlineStr"/>
      <c r="D76" s="7" t="inlineStr"/>
      <c r="E76" s="17" t="inlineStr">
        <is>
          <t>SDG 7 - Affordable and clean energy</t>
        </is>
      </c>
      <c r="F76" s="7" t="inlineStr">
        <is>
          <t>#</t>
        </is>
      </c>
      <c r="G76" s="13" t="n"/>
      <c r="H76" s="13" t="n"/>
      <c r="I76" s="13" t="n"/>
      <c r="J76" s="13" t="n">
        <v>12</v>
      </c>
      <c r="K76" s="14" t="n"/>
      <c r="L76" s="7" t="inlineStr">
        <is>
          <t>Data held</t>
        </is>
      </c>
      <c r="M76" s="7" t="inlineStr">
        <is>
          <t>MRE</t>
        </is>
      </c>
      <c r="N76" s="10" t="inlineStr"/>
      <c r="O76" s="10" t="inlineStr"/>
      <c r="P76" s="10" t="inlineStr"/>
      <c r="Q76" s="10" t="inlineStr"/>
      <c r="R76" s="10" t="inlineStr"/>
      <c r="S76" s="10" t="inlineStr"/>
    </row>
    <row r="77" ht="22" customHeight="1">
      <c r="B77" s="12" t="inlineStr">
        <is>
          <t>TR2(c)</t>
        </is>
      </c>
      <c r="C77" s="7" t="inlineStr"/>
      <c r="D77" s="7" t="inlineStr"/>
      <c r="E77" s="17" t="inlineStr">
        <is>
          <t>SDG 8 - Decent work and economic growth</t>
        </is>
      </c>
      <c r="F77" s="7" t="inlineStr">
        <is>
          <t>#</t>
        </is>
      </c>
      <c r="G77" s="13" t="n"/>
      <c r="H77" s="13" t="n"/>
      <c r="I77" s="13" t="n"/>
      <c r="J77" s="13" t="n">
        <v>31</v>
      </c>
      <c r="K77" s="14" t="n"/>
      <c r="L77" s="7" t="inlineStr">
        <is>
          <t>Data held</t>
        </is>
      </c>
      <c r="M77" s="7" t="inlineStr">
        <is>
          <t>MRE</t>
        </is>
      </c>
      <c r="N77" s="10" t="inlineStr"/>
      <c r="O77" s="10" t="inlineStr"/>
      <c r="P77" s="10" t="inlineStr"/>
      <c r="Q77" s="10" t="inlineStr"/>
      <c r="R77" s="10" t="inlineStr"/>
      <c r="S77" s="10" t="inlineStr"/>
    </row>
    <row r="78" ht="39" customHeight="1">
      <c r="B78" s="12" t="inlineStr">
        <is>
          <t>TR2(c)</t>
        </is>
      </c>
      <c r="C78" s="7" t="inlineStr"/>
      <c r="D78" s="7" t="inlineStr"/>
      <c r="E78" s="17" t="inlineStr">
        <is>
          <t>SDG 9 - Industry, innovation and infrastructure</t>
        </is>
      </c>
      <c r="F78" s="7" t="inlineStr">
        <is>
          <t>#</t>
        </is>
      </c>
      <c r="G78" s="13" t="n"/>
      <c r="H78" s="13" t="n"/>
      <c r="I78" s="13" t="n"/>
      <c r="J78" s="13" t="n">
        <v>1</v>
      </c>
      <c r="K78" s="14" t="n"/>
      <c r="L78" s="7" t="inlineStr">
        <is>
          <t>Data held</t>
        </is>
      </c>
      <c r="M78" s="7" t="inlineStr">
        <is>
          <t>MRE</t>
        </is>
      </c>
      <c r="N78" s="10" t="inlineStr"/>
      <c r="O78" s="10" t="inlineStr"/>
      <c r="P78" s="10" t="inlineStr"/>
      <c r="Q78" s="10" t="inlineStr"/>
      <c r="R78" s="10" t="inlineStr"/>
      <c r="S78" s="10" t="inlineStr"/>
    </row>
    <row r="79" ht="22" customHeight="1">
      <c r="B79" s="12" t="inlineStr">
        <is>
          <t>TR2(c)</t>
        </is>
      </c>
      <c r="C79" s="7" t="inlineStr"/>
      <c r="D79" s="7" t="inlineStr"/>
      <c r="E79" s="17" t="inlineStr">
        <is>
          <t>SDG 10 - Reduced inequality</t>
        </is>
      </c>
      <c r="F79" s="7" t="inlineStr">
        <is>
          <t>#</t>
        </is>
      </c>
      <c r="G79" s="13" t="n"/>
      <c r="H79" s="13" t="n"/>
      <c r="I79" s="13" t="n"/>
      <c r="J79" s="13" t="n">
        <v>29</v>
      </c>
      <c r="K79" s="14" t="n"/>
      <c r="L79" s="7" t="inlineStr">
        <is>
          <t>Data held</t>
        </is>
      </c>
      <c r="M79" s="7" t="inlineStr">
        <is>
          <t>MRE</t>
        </is>
      </c>
      <c r="N79" s="10" t="inlineStr"/>
      <c r="O79" s="10" t="inlineStr"/>
      <c r="P79" s="10" t="inlineStr"/>
      <c r="Q79" s="10" t="inlineStr"/>
      <c r="R79" s="10" t="inlineStr"/>
      <c r="S79" s="10" t="inlineStr"/>
    </row>
    <row r="80" ht="39" customHeight="1">
      <c r="B80" s="12" t="inlineStr">
        <is>
          <t>TR2(c)</t>
        </is>
      </c>
      <c r="C80" s="7" t="inlineStr"/>
      <c r="D80" s="7" t="inlineStr"/>
      <c r="E80" s="17" t="inlineStr">
        <is>
          <t>SDG 11 - Sustainable cities and communities</t>
        </is>
      </c>
      <c r="F80" s="7" t="inlineStr">
        <is>
          <t>#</t>
        </is>
      </c>
      <c r="G80" s="13" t="n"/>
      <c r="H80" s="13" t="n"/>
      <c r="I80" s="13" t="n"/>
      <c r="J80" s="13" t="n">
        <v>27</v>
      </c>
      <c r="K80" s="14" t="n"/>
      <c r="L80" s="7" t="inlineStr">
        <is>
          <t>Data held</t>
        </is>
      </c>
      <c r="M80" s="7" t="inlineStr">
        <is>
          <t>MRE</t>
        </is>
      </c>
      <c r="N80" s="10" t="inlineStr"/>
      <c r="O80" s="10" t="inlineStr"/>
      <c r="P80" s="10" t="inlineStr"/>
      <c r="Q80" s="10" t="inlineStr"/>
      <c r="R80" s="10" t="inlineStr"/>
      <c r="S80" s="10" t="inlineStr"/>
    </row>
    <row r="81" ht="39" customHeight="1">
      <c r="B81" s="12" t="inlineStr">
        <is>
          <t>TR2(c)</t>
        </is>
      </c>
      <c r="C81" s="7" t="inlineStr"/>
      <c r="D81" s="7" t="inlineStr"/>
      <c r="E81" s="17" t="inlineStr">
        <is>
          <t>SDG 12 - Responsible consumption and production</t>
        </is>
      </c>
      <c r="F81" s="7" t="inlineStr">
        <is>
          <t>#</t>
        </is>
      </c>
      <c r="G81" s="13" t="n"/>
      <c r="H81" s="13" t="n"/>
      <c r="I81" s="13" t="n"/>
      <c r="J81" s="13" t="n">
        <v>8</v>
      </c>
      <c r="K81" s="14" t="n"/>
      <c r="L81" s="7" t="inlineStr">
        <is>
          <t>Data held</t>
        </is>
      </c>
      <c r="M81" s="7" t="inlineStr">
        <is>
          <t>MRE</t>
        </is>
      </c>
      <c r="N81" s="10" t="inlineStr"/>
      <c r="O81" s="10" t="inlineStr"/>
      <c r="P81" s="10" t="inlineStr"/>
      <c r="Q81" s="10" t="inlineStr"/>
      <c r="R81" s="10" t="inlineStr"/>
      <c r="S81" s="10" t="inlineStr"/>
    </row>
    <row r="82" ht="22" customHeight="1">
      <c r="B82" s="12" t="inlineStr">
        <is>
          <t>TR2(c)</t>
        </is>
      </c>
      <c r="C82" s="7" t="inlineStr"/>
      <c r="D82" s="7" t="inlineStr"/>
      <c r="E82" s="17" t="inlineStr">
        <is>
          <t>SDG 13 - Climate action</t>
        </is>
      </c>
      <c r="F82" s="7" t="inlineStr">
        <is>
          <t>#</t>
        </is>
      </c>
      <c r="G82" s="13" t="n"/>
      <c r="H82" s="13" t="n"/>
      <c r="I82" s="13" t="n"/>
      <c r="J82" s="13" t="n">
        <v>193</v>
      </c>
      <c r="K82" s="14" t="n"/>
      <c r="L82" s="7" t="inlineStr">
        <is>
          <t>Data held</t>
        </is>
      </c>
      <c r="M82" s="7" t="inlineStr">
        <is>
          <t>MRE</t>
        </is>
      </c>
      <c r="N82" s="10" t="inlineStr"/>
      <c r="O82" s="10" t="inlineStr"/>
      <c r="P82" s="10" t="inlineStr"/>
      <c r="Q82" s="10" t="inlineStr"/>
      <c r="R82" s="10" t="inlineStr"/>
      <c r="S82" s="10" t="inlineStr"/>
    </row>
    <row r="83" ht="22" customHeight="1">
      <c r="B83" s="12" t="inlineStr">
        <is>
          <t>TR2(c)</t>
        </is>
      </c>
      <c r="C83" s="7" t="inlineStr"/>
      <c r="D83" s="7" t="inlineStr"/>
      <c r="E83" s="17" t="inlineStr">
        <is>
          <t>SDG 14 - Life below water</t>
        </is>
      </c>
      <c r="F83" s="7" t="inlineStr">
        <is>
          <t>#</t>
        </is>
      </c>
      <c r="G83" s="13" t="n"/>
      <c r="H83" s="13" t="n"/>
      <c r="I83" s="13" t="n"/>
      <c r="J83" s="13" t="n">
        <v>13</v>
      </c>
      <c r="K83" s="14" t="n"/>
      <c r="L83" s="7" t="inlineStr">
        <is>
          <t>Data held</t>
        </is>
      </c>
      <c r="M83" s="7" t="inlineStr">
        <is>
          <t>MRE</t>
        </is>
      </c>
      <c r="N83" s="10" t="inlineStr"/>
      <c r="O83" s="10" t="inlineStr"/>
      <c r="P83" s="10" t="inlineStr"/>
      <c r="Q83" s="10" t="inlineStr"/>
      <c r="R83" s="10" t="inlineStr"/>
      <c r="S83" s="10" t="inlineStr"/>
    </row>
    <row r="84" ht="22" customHeight="1">
      <c r="B84" s="12" t="inlineStr">
        <is>
          <t>TR2(c)</t>
        </is>
      </c>
      <c r="C84" s="7" t="inlineStr"/>
      <c r="D84" s="7" t="inlineStr"/>
      <c r="E84" s="17" t="inlineStr">
        <is>
          <t>SDG 15 - Life on land</t>
        </is>
      </c>
      <c r="F84" s="7" t="inlineStr">
        <is>
          <t>#</t>
        </is>
      </c>
      <c r="G84" s="13" t="n"/>
      <c r="H84" s="13" t="n"/>
      <c r="I84" s="13" t="n"/>
      <c r="J84" s="13" t="n">
        <v>65</v>
      </c>
      <c r="K84" s="14" t="n"/>
      <c r="L84" s="7" t="inlineStr">
        <is>
          <t>Data held</t>
        </is>
      </c>
      <c r="M84" s="7" t="inlineStr">
        <is>
          <t>MRE</t>
        </is>
      </c>
      <c r="N84" s="10" t="inlineStr"/>
      <c r="O84" s="10" t="inlineStr"/>
      <c r="P84" s="10" t="inlineStr"/>
      <c r="Q84" s="10" t="inlineStr"/>
      <c r="R84" s="10" t="inlineStr"/>
      <c r="S84" s="10" t="inlineStr"/>
    </row>
    <row r="85" ht="39" customHeight="1">
      <c r="B85" s="12" t="inlineStr">
        <is>
          <t>TR2(c)</t>
        </is>
      </c>
      <c r="C85" s="7" t="inlineStr"/>
      <c r="D85" s="7" t="inlineStr"/>
      <c r="E85" s="17" t="inlineStr">
        <is>
          <t>SDG 16 - Peace, justice and strong institutions</t>
        </is>
      </c>
      <c r="F85" s="7" t="inlineStr">
        <is>
          <t>#</t>
        </is>
      </c>
      <c r="G85" s="13" t="n"/>
      <c r="H85" s="13" t="n"/>
      <c r="I85" s="13" t="n"/>
      <c r="J85" s="13" t="n">
        <v>52</v>
      </c>
      <c r="K85" s="14" t="n"/>
      <c r="L85" s="7" t="inlineStr">
        <is>
          <t>Data held</t>
        </is>
      </c>
      <c r="M85" s="7" t="inlineStr">
        <is>
          <t>MRE</t>
        </is>
      </c>
      <c r="N85" s="10" t="inlineStr"/>
      <c r="O85" s="10" t="inlineStr"/>
      <c r="P85" s="10" t="inlineStr"/>
      <c r="Q85" s="10" t="inlineStr"/>
      <c r="R85" s="10" t="inlineStr"/>
      <c r="S85" s="10" t="inlineStr"/>
    </row>
    <row r="86" ht="22" customHeight="1">
      <c r="B86" s="12" t="inlineStr">
        <is>
          <t>TR2(c)</t>
        </is>
      </c>
      <c r="C86" s="7" t="inlineStr"/>
      <c r="D86" s="7" t="inlineStr"/>
      <c r="E86" s="17" t="inlineStr">
        <is>
          <t>SDG 17 - Partnerships</t>
        </is>
      </c>
      <c r="F86" s="7" t="inlineStr">
        <is>
          <t>#</t>
        </is>
      </c>
      <c r="G86" s="13" t="n"/>
      <c r="H86" s="13" t="n"/>
      <c r="I86" s="13" t="n"/>
      <c r="J86" s="13" t="n">
        <v>1</v>
      </c>
      <c r="K86" s="14" t="n"/>
      <c r="L86" s="7" t="inlineStr">
        <is>
          <t>Data held</t>
        </is>
      </c>
      <c r="M86" s="7" t="inlineStr">
        <is>
          <t>MRE</t>
        </is>
      </c>
      <c r="N86" s="10" t="inlineStr"/>
      <c r="O86" s="10" t="inlineStr"/>
      <c r="P86" s="10" t="inlineStr"/>
      <c r="Q86" s="10" t="inlineStr"/>
      <c r="R86" s="10" t="inlineStr"/>
      <c r="S86" s="10" t="inlineStr"/>
    </row>
    <row r="87" ht="39" customHeight="1">
      <c r="B87" s="12" t="inlineStr">
        <is>
          <t>TR2(c)</t>
        </is>
      </c>
      <c r="C87" s="7" t="inlineStr"/>
      <c r="D87" s="7" t="inlineStr"/>
      <c r="E87" s="7" t="inlineStr">
        <is>
          <t>SDG-related research outputs mentioned in News and Social Media</t>
        </is>
      </c>
      <c r="F87" s="7" t="inlineStr">
        <is>
          <t>#</t>
        </is>
      </c>
      <c r="G87" s="13" t="n"/>
      <c r="H87" s="13" t="n"/>
      <c r="I87" s="13" t="n"/>
      <c r="J87" s="13" t="n">
        <v>86993</v>
      </c>
      <c r="K87" s="14" t="n"/>
      <c r="L87" s="7" t="inlineStr">
        <is>
          <t>Data held</t>
        </is>
      </c>
      <c r="M87" s="7" t="inlineStr">
        <is>
          <t>MRE</t>
        </is>
      </c>
      <c r="N87" s="10" t="inlineStr"/>
      <c r="O87" s="10" t="inlineStr"/>
      <c r="P87" s="10" t="inlineStr"/>
      <c r="Q87" s="10" t="inlineStr"/>
      <c r="R87" s="10" t="inlineStr"/>
      <c r="S87" s="10" t="inlineStr"/>
    </row>
    <row r="88" ht="22" customHeight="1">
      <c r="B88" s="12" t="inlineStr">
        <is>
          <t>TR2(c)</t>
        </is>
      </c>
      <c r="C88" s="7" t="inlineStr"/>
      <c r="D88" s="7" t="inlineStr"/>
      <c r="E88" s="17" t="inlineStr">
        <is>
          <t>SDG 1 - No Poverty</t>
        </is>
      </c>
      <c r="F88" s="7" t="inlineStr">
        <is>
          <t>#</t>
        </is>
      </c>
      <c r="G88" s="13" t="n"/>
      <c r="H88" s="13" t="n"/>
      <c r="I88" s="13" t="n"/>
      <c r="J88" s="13" t="n">
        <v>17</v>
      </c>
      <c r="K88" s="14" t="n"/>
      <c r="L88" s="7" t="inlineStr">
        <is>
          <t>Data held</t>
        </is>
      </c>
      <c r="M88" s="7" t="inlineStr">
        <is>
          <t>MRE</t>
        </is>
      </c>
      <c r="N88" s="10" t="inlineStr"/>
      <c r="O88" s="10" t="inlineStr"/>
      <c r="P88" s="10" t="inlineStr"/>
      <c r="Q88" s="10" t="inlineStr"/>
      <c r="R88" s="10" t="inlineStr"/>
      <c r="S88" s="10" t="inlineStr"/>
    </row>
    <row r="89" ht="22" customHeight="1">
      <c r="B89" s="12" t="inlineStr">
        <is>
          <t>TR2(c)</t>
        </is>
      </c>
      <c r="C89" s="7" t="inlineStr"/>
      <c r="D89" s="7" t="inlineStr"/>
      <c r="E89" s="17" t="inlineStr">
        <is>
          <t>SDG 2 - Zero Hunger</t>
        </is>
      </c>
      <c r="F89" s="7" t="inlineStr">
        <is>
          <t>#</t>
        </is>
      </c>
      <c r="G89" s="13" t="n"/>
      <c r="H89" s="13" t="n"/>
      <c r="I89" s="13" t="n"/>
      <c r="J89" s="13" t="n">
        <v>731</v>
      </c>
      <c r="K89" s="14" t="n"/>
      <c r="L89" s="7" t="inlineStr">
        <is>
          <t>Data held</t>
        </is>
      </c>
      <c r="M89" s="7" t="inlineStr">
        <is>
          <t>MRE</t>
        </is>
      </c>
      <c r="N89" s="10" t="inlineStr"/>
      <c r="O89" s="10" t="inlineStr"/>
      <c r="P89" s="10" t="inlineStr"/>
      <c r="Q89" s="10" t="inlineStr"/>
      <c r="R89" s="10" t="inlineStr"/>
      <c r="S89" s="10" t="inlineStr"/>
    </row>
    <row r="90" ht="22" customHeight="1">
      <c r="B90" s="12" t="inlineStr">
        <is>
          <t>TR2(c)</t>
        </is>
      </c>
      <c r="C90" s="7" t="inlineStr"/>
      <c r="D90" s="7" t="inlineStr"/>
      <c r="E90" s="17" t="inlineStr">
        <is>
          <t>SDG 3 - Good health and well-being</t>
        </is>
      </c>
      <c r="F90" s="7" t="inlineStr">
        <is>
          <t>#</t>
        </is>
      </c>
      <c r="G90" s="13" t="n"/>
      <c r="H90" s="13" t="n"/>
      <c r="I90" s="13" t="n"/>
      <c r="J90" s="13" t="n">
        <v>55989</v>
      </c>
      <c r="K90" s="14" t="n"/>
      <c r="L90" s="7" t="inlineStr">
        <is>
          <t>Data held</t>
        </is>
      </c>
      <c r="M90" s="7" t="inlineStr">
        <is>
          <t>MRE</t>
        </is>
      </c>
      <c r="N90" s="10" t="inlineStr"/>
      <c r="O90" s="10" t="inlineStr"/>
      <c r="P90" s="10" t="inlineStr"/>
      <c r="Q90" s="10" t="inlineStr"/>
      <c r="R90" s="10" t="inlineStr"/>
      <c r="S90" s="10" t="inlineStr"/>
    </row>
    <row r="91" ht="22" customHeight="1">
      <c r="B91" s="12" t="inlineStr">
        <is>
          <t>TR2(c)</t>
        </is>
      </c>
      <c r="C91" s="7" t="inlineStr"/>
      <c r="D91" s="7" t="inlineStr"/>
      <c r="E91" s="17" t="inlineStr">
        <is>
          <t>SDG 4 - Quality Education</t>
        </is>
      </c>
      <c r="F91" s="7" t="inlineStr">
        <is>
          <t>#</t>
        </is>
      </c>
      <c r="G91" s="13" t="n"/>
      <c r="H91" s="13" t="n"/>
      <c r="I91" s="13" t="n"/>
      <c r="J91" s="13" t="n">
        <v>6263</v>
      </c>
      <c r="K91" s="14" t="n"/>
      <c r="L91" s="7" t="inlineStr">
        <is>
          <t>Data held</t>
        </is>
      </c>
      <c r="M91" s="7" t="inlineStr">
        <is>
          <t>MRE</t>
        </is>
      </c>
      <c r="N91" s="10" t="inlineStr"/>
      <c r="O91" s="10" t="inlineStr"/>
      <c r="P91" s="10" t="inlineStr"/>
      <c r="Q91" s="10" t="inlineStr"/>
      <c r="R91" s="10" t="inlineStr"/>
      <c r="S91" s="10" t="inlineStr"/>
    </row>
    <row r="92" ht="22" customHeight="1">
      <c r="B92" s="12" t="inlineStr">
        <is>
          <t>TR2(c)</t>
        </is>
      </c>
      <c r="C92" s="7" t="inlineStr"/>
      <c r="D92" s="7" t="inlineStr"/>
      <c r="E92" s="17" t="inlineStr">
        <is>
          <t>SDG 5 - Gender Equality</t>
        </is>
      </c>
      <c r="F92" s="7" t="inlineStr">
        <is>
          <t>#</t>
        </is>
      </c>
      <c r="G92" s="13" t="n"/>
      <c r="H92" s="13" t="n"/>
      <c r="I92" s="13" t="n"/>
      <c r="J92" s="13" t="n">
        <v>5286</v>
      </c>
      <c r="K92" s="14" t="n"/>
      <c r="L92" s="7" t="inlineStr">
        <is>
          <t>Data held</t>
        </is>
      </c>
      <c r="M92" s="7" t="inlineStr">
        <is>
          <t>MRE</t>
        </is>
      </c>
      <c r="N92" s="10" t="inlineStr"/>
      <c r="O92" s="10" t="inlineStr"/>
      <c r="P92" s="10" t="inlineStr"/>
      <c r="Q92" s="10" t="inlineStr"/>
      <c r="R92" s="10" t="inlineStr"/>
      <c r="S92" s="10" t="inlineStr"/>
    </row>
    <row r="93" ht="22" customHeight="1">
      <c r="B93" s="12" t="inlineStr">
        <is>
          <t>TR2(c)</t>
        </is>
      </c>
      <c r="C93" s="7" t="inlineStr"/>
      <c r="D93" s="7" t="inlineStr"/>
      <c r="E93" s="17" t="inlineStr">
        <is>
          <t>SDG 6 - Clean water and sanitation</t>
        </is>
      </c>
      <c r="F93" s="7" t="inlineStr">
        <is>
          <t>#</t>
        </is>
      </c>
      <c r="G93" s="13" t="n"/>
      <c r="H93" s="13" t="n"/>
      <c r="I93" s="13" t="n"/>
      <c r="J93" s="13" t="n">
        <v>248</v>
      </c>
      <c r="K93" s="14" t="n"/>
      <c r="L93" s="7" t="inlineStr">
        <is>
          <t>Data held</t>
        </is>
      </c>
      <c r="M93" s="7" t="inlineStr">
        <is>
          <t>MRE</t>
        </is>
      </c>
      <c r="N93" s="10" t="inlineStr"/>
      <c r="O93" s="10" t="inlineStr"/>
      <c r="P93" s="10" t="inlineStr"/>
      <c r="Q93" s="10" t="inlineStr"/>
      <c r="R93" s="10" t="inlineStr"/>
      <c r="S93" s="10" t="inlineStr"/>
    </row>
    <row r="94" ht="22" customHeight="1">
      <c r="B94" s="12" t="inlineStr">
        <is>
          <t>TR2(c)</t>
        </is>
      </c>
      <c r="C94" s="7" t="inlineStr"/>
      <c r="D94" s="7" t="inlineStr"/>
      <c r="E94" s="17" t="inlineStr">
        <is>
          <t>SDG 7 - Affordable and clean energy</t>
        </is>
      </c>
      <c r="F94" s="7" t="inlineStr">
        <is>
          <t>#</t>
        </is>
      </c>
      <c r="G94" s="13" t="n"/>
      <c r="H94" s="13" t="n"/>
      <c r="I94" s="13" t="n"/>
      <c r="J94" s="13" t="n">
        <v>1009</v>
      </c>
      <c r="K94" s="14" t="n"/>
      <c r="L94" s="7" t="inlineStr">
        <is>
          <t>Data held</t>
        </is>
      </c>
      <c r="M94" s="7" t="inlineStr">
        <is>
          <t>MRE</t>
        </is>
      </c>
      <c r="N94" s="10" t="inlineStr"/>
      <c r="O94" s="10" t="inlineStr"/>
      <c r="P94" s="10" t="inlineStr"/>
      <c r="Q94" s="10" t="inlineStr"/>
      <c r="R94" s="10" t="inlineStr"/>
      <c r="S94" s="10" t="inlineStr"/>
    </row>
    <row r="95" ht="22" customHeight="1">
      <c r="B95" s="12" t="inlineStr">
        <is>
          <t>TR2(c)</t>
        </is>
      </c>
      <c r="C95" s="7" t="inlineStr"/>
      <c r="D95" s="7" t="inlineStr"/>
      <c r="E95" s="17" t="inlineStr">
        <is>
          <t>SDG 8 - Decent work and economic growth</t>
        </is>
      </c>
      <c r="F95" s="7" t="inlineStr">
        <is>
          <t>#</t>
        </is>
      </c>
      <c r="G95" s="13" t="n"/>
      <c r="H95" s="13" t="n"/>
      <c r="I95" s="13" t="n"/>
      <c r="J95" s="13" t="n">
        <v>844</v>
      </c>
      <c r="K95" s="14" t="n"/>
      <c r="L95" s="7" t="inlineStr">
        <is>
          <t>Data held</t>
        </is>
      </c>
      <c r="M95" s="7" t="inlineStr">
        <is>
          <t>MRE</t>
        </is>
      </c>
      <c r="N95" s="10" t="inlineStr"/>
      <c r="O95" s="10" t="inlineStr"/>
      <c r="P95" s="10" t="inlineStr"/>
      <c r="Q95" s="10" t="inlineStr"/>
      <c r="R95" s="10" t="inlineStr"/>
      <c r="S95" s="10" t="inlineStr"/>
    </row>
    <row r="96" ht="39" customHeight="1">
      <c r="B96" s="12" t="inlineStr">
        <is>
          <t>TR2(c)</t>
        </is>
      </c>
      <c r="C96" s="7" t="inlineStr"/>
      <c r="D96" s="7" t="inlineStr"/>
      <c r="E96" s="17" t="inlineStr">
        <is>
          <t>SDG 9 - Industry, innovation and infrastructure</t>
        </is>
      </c>
      <c r="F96" s="7" t="inlineStr">
        <is>
          <t>#</t>
        </is>
      </c>
      <c r="G96" s="13" t="n"/>
      <c r="H96" s="13" t="n"/>
      <c r="I96" s="13" t="n"/>
      <c r="J96" s="13" t="n">
        <v>48</v>
      </c>
      <c r="K96" s="14" t="n"/>
      <c r="L96" s="7" t="inlineStr">
        <is>
          <t>Data held</t>
        </is>
      </c>
      <c r="M96" s="7" t="inlineStr">
        <is>
          <t>MRE</t>
        </is>
      </c>
      <c r="N96" s="10" t="inlineStr"/>
      <c r="O96" s="10" t="inlineStr"/>
      <c r="P96" s="10" t="inlineStr"/>
      <c r="Q96" s="10" t="inlineStr"/>
      <c r="R96" s="10" t="inlineStr"/>
      <c r="S96" s="10" t="inlineStr"/>
    </row>
    <row r="97" ht="22" customHeight="1">
      <c r="B97" s="12" t="inlineStr">
        <is>
          <t>TR2(c)</t>
        </is>
      </c>
      <c r="C97" s="7" t="inlineStr"/>
      <c r="D97" s="7" t="inlineStr"/>
      <c r="E97" s="17" t="inlineStr">
        <is>
          <t>SDG 10 - Reduced inequality</t>
        </is>
      </c>
      <c r="F97" s="7" t="inlineStr">
        <is>
          <t>#</t>
        </is>
      </c>
      <c r="G97" s="13" t="n"/>
      <c r="H97" s="13" t="n"/>
      <c r="I97" s="13" t="n"/>
      <c r="J97" s="13" t="n">
        <v>1032</v>
      </c>
      <c r="K97" s="14" t="n"/>
      <c r="L97" s="7" t="inlineStr">
        <is>
          <t>Data held</t>
        </is>
      </c>
      <c r="M97" s="7" t="inlineStr">
        <is>
          <t>MRE</t>
        </is>
      </c>
      <c r="N97" s="10" t="inlineStr"/>
      <c r="O97" s="10" t="inlineStr"/>
      <c r="P97" s="10" t="inlineStr"/>
      <c r="Q97" s="10" t="inlineStr"/>
      <c r="R97" s="10" t="inlineStr"/>
      <c r="S97" s="10" t="inlineStr"/>
    </row>
    <row r="98" ht="39" customHeight="1">
      <c r="B98" s="12" t="inlineStr">
        <is>
          <t>TR2(c)</t>
        </is>
      </c>
      <c r="C98" s="7" t="inlineStr"/>
      <c r="D98" s="7" t="inlineStr"/>
      <c r="E98" s="17" t="inlineStr">
        <is>
          <t>SDG 11 - Sustainable cities and communities</t>
        </is>
      </c>
      <c r="F98" s="7" t="inlineStr">
        <is>
          <t>#</t>
        </is>
      </c>
      <c r="G98" s="13" t="n"/>
      <c r="H98" s="13" t="n"/>
      <c r="I98" s="13" t="n"/>
      <c r="J98" s="13" t="n">
        <v>400</v>
      </c>
      <c r="K98" s="14" t="n"/>
      <c r="L98" s="7" t="inlineStr">
        <is>
          <t>Data held</t>
        </is>
      </c>
      <c r="M98" s="7" t="inlineStr">
        <is>
          <t>MRE</t>
        </is>
      </c>
      <c r="N98" s="10" t="inlineStr"/>
      <c r="O98" s="10" t="inlineStr"/>
      <c r="P98" s="10" t="inlineStr"/>
      <c r="Q98" s="10" t="inlineStr"/>
      <c r="R98" s="10" t="inlineStr"/>
      <c r="S98" s="10" t="inlineStr"/>
    </row>
    <row r="99" ht="39" customHeight="1">
      <c r="B99" s="12" t="inlineStr">
        <is>
          <t>TR2(c)</t>
        </is>
      </c>
      <c r="C99" s="7" t="inlineStr"/>
      <c r="D99" s="7" t="inlineStr"/>
      <c r="E99" s="17" t="inlineStr">
        <is>
          <t>SDG 12 - Responsible consumption and production</t>
        </is>
      </c>
      <c r="F99" s="7" t="inlineStr">
        <is>
          <t>#</t>
        </is>
      </c>
      <c r="G99" s="13" t="n"/>
      <c r="H99" s="13" t="n"/>
      <c r="I99" s="13" t="n"/>
      <c r="J99" s="13" t="n">
        <v>224</v>
      </c>
      <c r="K99" s="14" t="n"/>
      <c r="L99" s="7" t="inlineStr">
        <is>
          <t>Data held</t>
        </is>
      </c>
      <c r="M99" s="7" t="inlineStr">
        <is>
          <t>MRE</t>
        </is>
      </c>
      <c r="N99" s="10" t="inlineStr"/>
      <c r="O99" s="10" t="inlineStr"/>
      <c r="P99" s="10" t="inlineStr"/>
      <c r="Q99" s="10" t="inlineStr"/>
      <c r="R99" s="10" t="inlineStr"/>
      <c r="S99" s="10" t="inlineStr"/>
    </row>
    <row r="100" ht="22" customHeight="1">
      <c r="B100" s="12" t="inlineStr">
        <is>
          <t>TR2(c)</t>
        </is>
      </c>
      <c r="C100" s="7" t="inlineStr"/>
      <c r="D100" s="7" t="inlineStr"/>
      <c r="E100" s="17" t="inlineStr">
        <is>
          <t>SDG 13 - Climate action</t>
        </is>
      </c>
      <c r="F100" s="7" t="inlineStr">
        <is>
          <t>#</t>
        </is>
      </c>
      <c r="G100" s="13" t="n"/>
      <c r="H100" s="13" t="n"/>
      <c r="I100" s="13" t="n"/>
      <c r="J100" s="13" t="n">
        <v>9639</v>
      </c>
      <c r="K100" s="14" t="n"/>
      <c r="L100" s="7" t="inlineStr">
        <is>
          <t>Data held</t>
        </is>
      </c>
      <c r="M100" s="7" t="inlineStr">
        <is>
          <t>MRE</t>
        </is>
      </c>
      <c r="N100" s="10" t="inlineStr"/>
      <c r="O100" s="10" t="inlineStr"/>
      <c r="P100" s="10" t="inlineStr"/>
      <c r="Q100" s="10" t="inlineStr"/>
      <c r="R100" s="10" t="inlineStr"/>
      <c r="S100" s="10" t="inlineStr"/>
    </row>
    <row r="101" ht="22" customHeight="1">
      <c r="B101" s="12" t="inlineStr">
        <is>
          <t>TR2(c)</t>
        </is>
      </c>
      <c r="C101" s="7" t="inlineStr"/>
      <c r="D101" s="7" t="inlineStr"/>
      <c r="E101" s="17" t="inlineStr">
        <is>
          <t>SDG 14 - Life below water</t>
        </is>
      </c>
      <c r="F101" s="7" t="inlineStr">
        <is>
          <t>#</t>
        </is>
      </c>
      <c r="G101" s="13" t="n"/>
      <c r="H101" s="13" t="n"/>
      <c r="I101" s="13" t="n"/>
      <c r="J101" s="13" t="n">
        <v>1503</v>
      </c>
      <c r="K101" s="14" t="n"/>
      <c r="L101" s="7" t="inlineStr">
        <is>
          <t>Data held</t>
        </is>
      </c>
      <c r="M101" s="7" t="inlineStr">
        <is>
          <t>MRE</t>
        </is>
      </c>
      <c r="N101" s="10" t="inlineStr"/>
      <c r="O101" s="10" t="inlineStr"/>
      <c r="P101" s="10" t="inlineStr"/>
      <c r="Q101" s="10" t="inlineStr"/>
      <c r="R101" s="10" t="inlineStr"/>
      <c r="S101" s="10" t="inlineStr"/>
    </row>
    <row r="102" ht="22" customHeight="1">
      <c r="B102" s="12" t="inlineStr">
        <is>
          <t>TR2(c)</t>
        </is>
      </c>
      <c r="C102" s="7" t="inlineStr"/>
      <c r="D102" s="7" t="inlineStr"/>
      <c r="E102" s="17" t="inlineStr">
        <is>
          <t>SDG 15 - Life on land</t>
        </is>
      </c>
      <c r="F102" s="7" t="inlineStr">
        <is>
          <t>#</t>
        </is>
      </c>
      <c r="G102" s="13" t="n"/>
      <c r="H102" s="13" t="n"/>
      <c r="I102" s="13" t="n"/>
      <c r="J102" s="13" t="n">
        <v>2844</v>
      </c>
      <c r="K102" s="14" t="n"/>
      <c r="L102" s="7" t="inlineStr">
        <is>
          <t>Data held</t>
        </is>
      </c>
      <c r="M102" s="7" t="inlineStr">
        <is>
          <t>MRE</t>
        </is>
      </c>
      <c r="N102" s="10" t="inlineStr"/>
      <c r="O102" s="10" t="inlineStr"/>
      <c r="P102" s="10" t="inlineStr"/>
      <c r="Q102" s="10" t="inlineStr"/>
      <c r="R102" s="10" t="inlineStr"/>
      <c r="S102" s="10" t="inlineStr"/>
    </row>
    <row r="103" ht="39" customHeight="1">
      <c r="B103" s="12" t="inlineStr">
        <is>
          <t>TR2(c)</t>
        </is>
      </c>
      <c r="C103" s="7" t="inlineStr"/>
      <c r="D103" s="7" t="inlineStr"/>
      <c r="E103" s="17" t="inlineStr">
        <is>
          <t>SDG 16 - Peace, justice and strong institutions</t>
        </is>
      </c>
      <c r="F103" s="7" t="inlineStr">
        <is>
          <t>#</t>
        </is>
      </c>
      <c r="G103" s="13" t="n"/>
      <c r="H103" s="13" t="n"/>
      <c r="I103" s="13" t="n"/>
      <c r="J103" s="13" t="n">
        <v>916</v>
      </c>
      <c r="K103" s="14" t="n"/>
      <c r="L103" s="7" t="inlineStr">
        <is>
          <t>Data held</t>
        </is>
      </c>
      <c r="M103" s="7" t="inlineStr">
        <is>
          <t>MRE</t>
        </is>
      </c>
      <c r="N103" s="10" t="inlineStr"/>
      <c r="O103" s="10" t="inlineStr"/>
      <c r="P103" s="10" t="inlineStr"/>
      <c r="Q103" s="10" t="inlineStr"/>
      <c r="R103" s="10" t="inlineStr"/>
      <c r="S103" s="10" t="inlineStr"/>
    </row>
    <row r="104" ht="22" customHeight="1">
      <c r="B104" s="12" t="inlineStr">
        <is>
          <t>TR2(c)</t>
        </is>
      </c>
      <c r="C104" s="7" t="inlineStr"/>
      <c r="D104" s="7" t="inlineStr"/>
      <c r="E104" s="17" t="inlineStr">
        <is>
          <t>SDG 17 - Partnerships</t>
        </is>
      </c>
      <c r="F104" s="7" t="inlineStr">
        <is>
          <t>#</t>
        </is>
      </c>
      <c r="G104" s="13" t="n"/>
      <c r="H104" s="13" t="n"/>
      <c r="I104" s="13" t="n"/>
      <c r="J104" s="13" t="n">
        <v>0</v>
      </c>
      <c r="K104" s="14" t="n"/>
      <c r="L104" s="7" t="inlineStr">
        <is>
          <t>Data held</t>
        </is>
      </c>
      <c r="M104" s="7" t="inlineStr">
        <is>
          <t>MRE</t>
        </is>
      </c>
      <c r="N104" s="10" t="inlineStr"/>
      <c r="O104" s="10" t="inlineStr"/>
      <c r="P104" s="10" t="inlineStr"/>
      <c r="Q104" s="10" t="inlineStr"/>
      <c r="R104" s="10" t="inlineStr"/>
      <c r="S104" s="10" t="inlineStr"/>
    </row>
    <row r="105" ht="72" customHeight="1">
      <c r="B105" s="12" t="inlineStr">
        <is>
          <t>TR3(b)</t>
        </is>
      </c>
      <c r="C105" s="7" t="inlineStr">
        <is>
          <t>Transformational Research</t>
        </is>
      </c>
      <c r="D105" s="7" t="inlineStr">
        <is>
          <t>Demonstrated examples of more sustainable research practices in laboratories, fieldwork, procurement, travel or infrastructure use</t>
        </is>
      </c>
      <c r="E105" s="7" t="inlineStr">
        <is>
          <t>Laboratories achieveng Green Lab Ceritifcation</t>
        </is>
      </c>
      <c r="F105" s="7" t="inlineStr">
        <is>
          <t>#</t>
        </is>
      </c>
      <c r="G105" s="13" t="n"/>
      <c r="H105" s="13" t="n"/>
      <c r="I105" s="13" t="n"/>
      <c r="J105" s="13" t="n"/>
      <c r="K105" s="14" t="n"/>
      <c r="L105" s="7" t="inlineStr">
        <is>
          <t>No data yet</t>
        </is>
      </c>
      <c r="M105" s="7" t="inlineStr">
        <is>
          <t>MRE</t>
        </is>
      </c>
      <c r="N105" s="10" t="inlineStr"/>
      <c r="O105" s="10" t="inlineStr"/>
      <c r="P105" s="10" t="inlineStr"/>
      <c r="Q105" s="10" t="inlineStr"/>
      <c r="R105" s="10" t="inlineStr"/>
      <c r="S105" s="10" t="inlineStr"/>
    </row>
    <row r="106" ht="22" customHeight="1">
      <c r="B106" s="12" t="inlineStr">
        <is>
          <t>TR3(b)</t>
        </is>
      </c>
      <c r="C106" s="7" t="inlineStr"/>
      <c r="D106" s="7" t="inlineStr"/>
      <c r="E106" s="7" t="inlineStr">
        <is>
          <t>New Sustainable Activities</t>
        </is>
      </c>
      <c r="F106" s="7" t="inlineStr">
        <is>
          <t>#</t>
        </is>
      </c>
      <c r="G106" s="13" t="n"/>
      <c r="H106" s="13" t="n"/>
      <c r="I106" s="13" t="n"/>
      <c r="J106" s="13" t="n"/>
      <c r="K106" s="14" t="n"/>
      <c r="L106" s="7" t="inlineStr">
        <is>
          <t>No data yet</t>
        </is>
      </c>
      <c r="M106" s="7" t="inlineStr">
        <is>
          <t>MRE</t>
        </is>
      </c>
      <c r="N106" s="10" t="inlineStr"/>
      <c r="O106" s="10" t="inlineStr"/>
      <c r="P106" s="10" t="inlineStr"/>
      <c r="Q106" s="10" t="inlineStr"/>
      <c r="R106" s="10" t="inlineStr"/>
      <c r="S106" s="10" t="inlineStr"/>
    </row>
    <row r="107" ht="22" customHeight="1">
      <c r="B107" s="12" t="inlineStr">
        <is>
          <t>TR3(b)</t>
        </is>
      </c>
      <c r="C107" s="7" t="inlineStr"/>
      <c r="D107" s="7" t="inlineStr"/>
      <c r="E107" s="7" t="inlineStr">
        <is>
          <t>Sustainable Fieldworks</t>
        </is>
      </c>
      <c r="F107" s="7" t="inlineStr">
        <is>
          <t>#</t>
        </is>
      </c>
      <c r="G107" s="13" t="n"/>
      <c r="H107" s="13" t="n"/>
      <c r="I107" s="13" t="n"/>
      <c r="J107" s="13" t="n"/>
      <c r="K107" s="14" t="n"/>
      <c r="L107" s="7" t="inlineStr">
        <is>
          <t>No data yet</t>
        </is>
      </c>
      <c r="M107" s="7" t="inlineStr">
        <is>
          <t>MRE</t>
        </is>
      </c>
      <c r="N107" s="10" t="inlineStr"/>
      <c r="O107" s="10" t="inlineStr"/>
      <c r="P107" s="10" t="inlineStr"/>
      <c r="Q107" s="10" t="inlineStr"/>
      <c r="R107" s="10" t="inlineStr"/>
      <c r="S107" s="10" t="inlineStr"/>
    </row>
    <row r="108" ht="88" customHeight="1">
      <c r="B108" s="12" t="inlineStr">
        <is>
          <t>CL1(a)</t>
        </is>
      </c>
      <c r="C108" s="7" t="inlineStr">
        <is>
          <t>Climate Leadership</t>
        </is>
      </c>
      <c r="D108" s="7" t="inlineStr">
        <is>
          <t>Annual GHG Inventory demonstrateds carbon emission reductions, including maintaining procurement of 100% renewable electricities for all scope 2 sources</t>
        </is>
      </c>
      <c r="E108" s="7" t="inlineStr">
        <is>
          <t>Gross Total Greenhouse Gas Emissions</t>
        </is>
      </c>
      <c r="F108" s="7" t="inlineStr">
        <is>
          <t>tCO2e</t>
        </is>
      </c>
      <c r="G108" s="13" t="n"/>
      <c r="H108" s="13" t="n">
        <v>241128</v>
      </c>
      <c r="I108" s="13" t="n">
        <v>220239</v>
      </c>
      <c r="J108" s="13" t="n">
        <v>170705</v>
      </c>
      <c r="K108" s="14" t="n"/>
      <c r="L108" s="7" t="inlineStr">
        <is>
          <t>Data held</t>
        </is>
      </c>
      <c r="M108" s="7" t="inlineStr">
        <is>
          <t>ESG</t>
        </is>
      </c>
      <c r="N108" s="10" t="inlineStr"/>
      <c r="O108" s="10" t="inlineStr"/>
      <c r="P108" s="10" t="inlineStr"/>
      <c r="Q108" s="10" t="inlineStr"/>
      <c r="R108" s="10" t="inlineStr"/>
      <c r="S108" s="10" t="inlineStr"/>
    </row>
    <row r="109" ht="22" customHeight="1">
      <c r="B109" s="12" t="inlineStr">
        <is>
          <t>CL1(a)</t>
        </is>
      </c>
      <c r="C109" s="7" t="inlineStr"/>
      <c r="D109" s="7" t="inlineStr"/>
      <c r="E109" s="17" t="inlineStr">
        <is>
          <t>Direct Scope 1 emissions</t>
        </is>
      </c>
      <c r="F109" s="7" t="inlineStr">
        <is>
          <t>tCO2e</t>
        </is>
      </c>
      <c r="G109" s="13" t="n"/>
      <c r="H109" s="13" t="n">
        <v>16665</v>
      </c>
      <c r="I109" s="13" t="n">
        <v>15567</v>
      </c>
      <c r="J109" s="13" t="n">
        <v>16484.01</v>
      </c>
      <c r="K109" s="14" t="n"/>
      <c r="L109" s="7" t="inlineStr">
        <is>
          <t>Data held</t>
        </is>
      </c>
      <c r="M109" s="7" t="inlineStr">
        <is>
          <t>ESG</t>
        </is>
      </c>
      <c r="N109" s="10" t="inlineStr"/>
      <c r="O109" s="10" t="inlineStr"/>
      <c r="P109" s="10" t="inlineStr"/>
      <c r="Q109" s="10" t="inlineStr"/>
      <c r="R109" s="10" t="inlineStr"/>
      <c r="S109" s="10" t="inlineStr"/>
    </row>
    <row r="110" ht="22" customHeight="1">
      <c r="B110" s="12" t="inlineStr">
        <is>
          <t>CL1(a)</t>
        </is>
      </c>
      <c r="C110" s="7" t="inlineStr"/>
      <c r="D110" s="7" t="inlineStr"/>
      <c r="E110" s="18" t="inlineStr">
        <is>
          <t>Stationary energy (gaseous fuels)</t>
        </is>
      </c>
      <c r="F110" s="7" t="inlineStr">
        <is>
          <t>tCO2e</t>
        </is>
      </c>
      <c r="G110" s="13" t="n"/>
      <c r="H110" s="13" t="n">
        <v>14192</v>
      </c>
      <c r="I110" s="13" t="n">
        <v>13662</v>
      </c>
      <c r="J110" s="13" t="n">
        <v>13800</v>
      </c>
      <c r="K110" s="14" t="n"/>
      <c r="L110" s="7" t="inlineStr">
        <is>
          <t>Data held</t>
        </is>
      </c>
      <c r="M110" s="7" t="inlineStr">
        <is>
          <t>ESG</t>
        </is>
      </c>
      <c r="N110" s="10" t="inlineStr"/>
      <c r="O110" s="10" t="inlineStr"/>
      <c r="P110" s="10" t="inlineStr"/>
      <c r="Q110" s="10" t="inlineStr"/>
      <c r="R110" s="10" t="inlineStr"/>
      <c r="S110" s="10" t="inlineStr"/>
    </row>
    <row r="111" ht="22" customHeight="1">
      <c r="B111" s="12" t="inlineStr">
        <is>
          <t>CL1(a)</t>
        </is>
      </c>
      <c r="C111" s="7" t="inlineStr"/>
      <c r="D111" s="7" t="inlineStr"/>
      <c r="E111" s="18" t="inlineStr">
        <is>
          <t>Refrigerants</t>
        </is>
      </c>
      <c r="F111" s="7" t="inlineStr">
        <is>
          <t>tCO2e</t>
        </is>
      </c>
      <c r="G111" s="13" t="n"/>
      <c r="H111" s="13" t="n">
        <v>1928</v>
      </c>
      <c r="I111" s="13" t="n">
        <v>1531</v>
      </c>
      <c r="J111" s="13" t="n">
        <v>2244</v>
      </c>
      <c r="K111" s="14" t="n"/>
      <c r="L111" s="7" t="inlineStr">
        <is>
          <t>Data held</t>
        </is>
      </c>
      <c r="M111" s="7" t="inlineStr">
        <is>
          <t>ESG</t>
        </is>
      </c>
      <c r="N111" s="10" t="inlineStr"/>
      <c r="O111" s="10" t="inlineStr"/>
      <c r="P111" s="10" t="inlineStr"/>
      <c r="Q111" s="10" t="inlineStr"/>
      <c r="R111" s="10" t="inlineStr"/>
      <c r="S111" s="10" t="inlineStr"/>
    </row>
    <row r="112" ht="22" customHeight="1">
      <c r="B112" s="12" t="inlineStr">
        <is>
          <t>CL1(a)</t>
        </is>
      </c>
      <c r="C112" s="7" t="inlineStr"/>
      <c r="D112" s="7" t="inlineStr"/>
      <c r="E112" s="18" t="inlineStr">
        <is>
          <t>Transport (land and sea)</t>
        </is>
      </c>
      <c r="F112" s="7" t="inlineStr">
        <is>
          <t>tCO2e</t>
        </is>
      </c>
      <c r="G112" s="13" t="n"/>
      <c r="H112" s="13" t="n">
        <v>390</v>
      </c>
      <c r="I112" s="13" t="n">
        <v>344</v>
      </c>
      <c r="J112" s="13" t="n">
        <v>432</v>
      </c>
      <c r="K112" s="14" t="n"/>
      <c r="L112" s="7" t="inlineStr">
        <is>
          <t>Data held</t>
        </is>
      </c>
      <c r="M112" s="7" t="inlineStr">
        <is>
          <t>ESG</t>
        </is>
      </c>
      <c r="N112" s="10" t="inlineStr"/>
      <c r="O112" s="10" t="inlineStr"/>
      <c r="P112" s="10" t="inlineStr"/>
      <c r="Q112" s="10" t="inlineStr"/>
      <c r="R112" s="10" t="inlineStr"/>
      <c r="S112" s="10" t="inlineStr"/>
    </row>
    <row r="113" ht="22" customHeight="1">
      <c r="B113" s="12" t="inlineStr">
        <is>
          <t>CL1(a)</t>
        </is>
      </c>
      <c r="C113" s="7" t="inlineStr"/>
      <c r="D113" s="7" t="inlineStr"/>
      <c r="E113" s="18" t="inlineStr">
        <is>
          <t>Stationary energy (LPG)</t>
        </is>
      </c>
      <c r="F113" s="7" t="inlineStr">
        <is>
          <t>tCO2e</t>
        </is>
      </c>
      <c r="G113" s="13" t="n"/>
      <c r="H113" s="13" t="n">
        <v>156</v>
      </c>
      <c r="I113" s="13" t="n">
        <v>30</v>
      </c>
      <c r="J113" s="13" t="n">
        <v>0.01</v>
      </c>
      <c r="K113" s="14" t="n"/>
      <c r="L113" s="7" t="inlineStr">
        <is>
          <t>Data held</t>
        </is>
      </c>
      <c r="M113" s="7" t="inlineStr">
        <is>
          <t>ESG</t>
        </is>
      </c>
      <c r="N113" s="10" t="inlineStr"/>
      <c r="O113" s="10" t="inlineStr"/>
      <c r="P113" s="10" t="inlineStr"/>
      <c r="Q113" s="10" t="inlineStr"/>
      <c r="R113" s="10" t="inlineStr"/>
      <c r="S113" s="10" t="inlineStr"/>
    </row>
    <row r="114" ht="22" customHeight="1">
      <c r="B114" s="12" t="inlineStr">
        <is>
          <t>CL1(a)</t>
        </is>
      </c>
      <c r="C114" s="7" t="inlineStr"/>
      <c r="D114" s="7" t="inlineStr"/>
      <c r="E114" s="18" t="inlineStr">
        <is>
          <t>Electricity (Market-Based)</t>
        </is>
      </c>
      <c r="F114" s="7" t="inlineStr">
        <is>
          <t>tCO2e</t>
        </is>
      </c>
      <c r="G114" s="13" t="n"/>
      <c r="H114" s="13" t="n">
        <v>0</v>
      </c>
      <c r="I114" s="13" t="n">
        <v>0</v>
      </c>
      <c r="J114" s="13" t="n">
        <v>0</v>
      </c>
      <c r="K114" s="14" t="n"/>
      <c r="L114" s="7" t="inlineStr">
        <is>
          <t>Data held</t>
        </is>
      </c>
      <c r="M114" s="7" t="inlineStr">
        <is>
          <t>ESG</t>
        </is>
      </c>
      <c r="N114" s="10" t="inlineStr"/>
      <c r="O114" s="10" t="inlineStr"/>
      <c r="P114" s="10" t="inlineStr"/>
      <c r="Q114" s="10" t="inlineStr"/>
      <c r="R114" s="10" t="inlineStr"/>
      <c r="S114" s="10" t="inlineStr"/>
    </row>
    <row r="115" ht="22" customHeight="1">
      <c r="B115" s="12" t="inlineStr">
        <is>
          <t>CL1(a)</t>
        </is>
      </c>
      <c r="C115" s="7" t="inlineStr"/>
      <c r="D115" s="7" t="inlineStr"/>
      <c r="E115" s="18" t="inlineStr">
        <is>
          <t>Professional services</t>
        </is>
      </c>
      <c r="F115" s="7" t="inlineStr">
        <is>
          <t>tCO2e</t>
        </is>
      </c>
      <c r="G115" s="13" t="n"/>
      <c r="H115" s="13" t="n">
        <v>0</v>
      </c>
      <c r="I115" s="13" t="n">
        <v>0</v>
      </c>
      <c r="J115" s="13" t="n">
        <v>0</v>
      </c>
      <c r="K115" s="14" t="n"/>
      <c r="L115" s="7" t="inlineStr">
        <is>
          <t>Data held</t>
        </is>
      </c>
      <c r="M115" s="7" t="inlineStr">
        <is>
          <t>ESG</t>
        </is>
      </c>
      <c r="N115" s="10" t="inlineStr"/>
      <c r="O115" s="10" t="inlineStr"/>
      <c r="P115" s="10" t="inlineStr"/>
      <c r="Q115" s="10" t="inlineStr"/>
      <c r="R115" s="10" t="inlineStr"/>
      <c r="S115" s="10" t="inlineStr"/>
    </row>
    <row r="116" ht="22" customHeight="1">
      <c r="B116" s="12" t="inlineStr">
        <is>
          <t>CL1(a)</t>
        </is>
      </c>
      <c r="C116" s="7" t="inlineStr"/>
      <c r="D116" s="7" t="inlineStr"/>
      <c r="E116" s="18" t="inlineStr">
        <is>
          <t>Construction materials and services</t>
        </is>
      </c>
      <c r="F116" s="7" t="inlineStr">
        <is>
          <t>tCO2e</t>
        </is>
      </c>
      <c r="G116" s="13" t="n"/>
      <c r="H116" s="13" t="n">
        <v>0</v>
      </c>
      <c r="I116" s="13" t="n">
        <v>0</v>
      </c>
      <c r="J116" s="13" t="n">
        <v>0</v>
      </c>
      <c r="K116" s="14" t="n"/>
      <c r="L116" s="7" t="inlineStr">
        <is>
          <t>Data held</t>
        </is>
      </c>
      <c r="M116" s="7" t="inlineStr">
        <is>
          <t>ESG</t>
        </is>
      </c>
      <c r="N116" s="10" t="inlineStr"/>
      <c r="O116" s="10" t="inlineStr"/>
      <c r="P116" s="10" t="inlineStr"/>
      <c r="Q116" s="10" t="inlineStr"/>
      <c r="R116" s="10" t="inlineStr"/>
      <c r="S116" s="10" t="inlineStr"/>
    </row>
    <row r="117" ht="22" customHeight="1">
      <c r="B117" s="12" t="inlineStr">
        <is>
          <t>CL1(a)</t>
        </is>
      </c>
      <c r="C117" s="7" t="inlineStr"/>
      <c r="D117" s="7" t="inlineStr"/>
      <c r="E117" s="18" t="inlineStr">
        <is>
          <t>Transport (air travel)</t>
        </is>
      </c>
      <c r="F117" s="7" t="inlineStr">
        <is>
          <t>tCO2e</t>
        </is>
      </c>
      <c r="G117" s="13" t="n"/>
      <c r="H117" s="13" t="n">
        <v>0</v>
      </c>
      <c r="I117" s="13" t="n">
        <v>0</v>
      </c>
      <c r="J117" s="13" t="n">
        <v>8</v>
      </c>
      <c r="K117" s="14" t="n"/>
      <c r="L117" s="7" t="inlineStr">
        <is>
          <t>Data held</t>
        </is>
      </c>
      <c r="M117" s="7" t="inlineStr">
        <is>
          <t>ESG</t>
        </is>
      </c>
      <c r="N117" s="10" t="inlineStr"/>
      <c r="O117" s="10" t="inlineStr"/>
      <c r="P117" s="10" t="inlineStr"/>
      <c r="Q117" s="10" t="inlineStr"/>
      <c r="R117" s="10" t="inlineStr"/>
      <c r="S117" s="10" t="inlineStr"/>
    </row>
    <row r="118" ht="22" customHeight="1">
      <c r="B118" s="12" t="inlineStr">
        <is>
          <t>CL1(a)</t>
        </is>
      </c>
      <c r="C118" s="7" t="inlineStr"/>
      <c r="D118" s="7" t="inlineStr"/>
      <c r="E118" s="18" t="inlineStr">
        <is>
          <t>ICT services and equipment</t>
        </is>
      </c>
      <c r="F118" s="7" t="inlineStr">
        <is>
          <t>tCO2e</t>
        </is>
      </c>
      <c r="G118" s="13" t="n"/>
      <c r="H118" s="13" t="n">
        <v>0</v>
      </c>
      <c r="I118" s="13" t="n">
        <v>0</v>
      </c>
      <c r="J118" s="13" t="n">
        <v>0</v>
      </c>
      <c r="K118" s="14" t="n"/>
      <c r="L118" s="7" t="inlineStr">
        <is>
          <t>Data held</t>
        </is>
      </c>
      <c r="M118" s="7" t="inlineStr">
        <is>
          <t>ESG</t>
        </is>
      </c>
      <c r="N118" s="10" t="inlineStr"/>
      <c r="O118" s="10" t="inlineStr"/>
      <c r="P118" s="10" t="inlineStr"/>
      <c r="Q118" s="10" t="inlineStr"/>
      <c r="R118" s="10" t="inlineStr"/>
      <c r="S118" s="10" t="inlineStr"/>
    </row>
    <row r="119" ht="22" customHeight="1">
      <c r="B119" s="12" t="inlineStr">
        <is>
          <t>CL1(a)</t>
        </is>
      </c>
      <c r="C119" s="7" t="inlineStr"/>
      <c r="D119" s="7" t="inlineStr"/>
      <c r="E119" s="18" t="inlineStr">
        <is>
          <t>Products</t>
        </is>
      </c>
      <c r="F119" s="7" t="inlineStr">
        <is>
          <t>tCO2e</t>
        </is>
      </c>
      <c r="G119" s="13" t="n"/>
      <c r="H119" s="13" t="n">
        <v>0</v>
      </c>
      <c r="I119" s="13" t="n">
        <v>0</v>
      </c>
      <c r="J119" s="13" t="n">
        <v>0</v>
      </c>
      <c r="K119" s="14" t="n"/>
      <c r="L119" s="7" t="inlineStr">
        <is>
          <t>Data held</t>
        </is>
      </c>
      <c r="M119" s="7" t="inlineStr">
        <is>
          <t>ESG</t>
        </is>
      </c>
      <c r="N119" s="10" t="inlineStr"/>
      <c r="O119" s="10" t="inlineStr"/>
      <c r="P119" s="10" t="inlineStr"/>
      <c r="Q119" s="10" t="inlineStr"/>
      <c r="R119" s="10" t="inlineStr"/>
      <c r="S119" s="10" t="inlineStr"/>
    </row>
    <row r="120" ht="22" customHeight="1">
      <c r="B120" s="12" t="inlineStr">
        <is>
          <t>CL1(a)</t>
        </is>
      </c>
      <c r="C120" s="7" t="inlineStr"/>
      <c r="D120" s="7" t="inlineStr"/>
      <c r="E120" s="18" t="inlineStr">
        <is>
          <t>Food</t>
        </is>
      </c>
      <c r="F120" s="7" t="inlineStr">
        <is>
          <t>tCO2e</t>
        </is>
      </c>
      <c r="G120" s="13" t="n"/>
      <c r="H120" s="13" t="n">
        <v>0</v>
      </c>
      <c r="I120" s="13" t="n">
        <v>0</v>
      </c>
      <c r="J120" s="13" t="n">
        <v>0</v>
      </c>
      <c r="K120" s="14" t="n"/>
      <c r="L120" s="7" t="inlineStr">
        <is>
          <t>Data held</t>
        </is>
      </c>
      <c r="M120" s="7" t="inlineStr">
        <is>
          <t>ESG</t>
        </is>
      </c>
      <c r="N120" s="10" t="inlineStr"/>
      <c r="O120" s="10" t="inlineStr"/>
      <c r="P120" s="10" t="inlineStr"/>
      <c r="Q120" s="10" t="inlineStr"/>
      <c r="R120" s="10" t="inlineStr"/>
      <c r="S120" s="10" t="inlineStr"/>
    </row>
    <row r="121" ht="22" customHeight="1">
      <c r="B121" s="12" t="inlineStr">
        <is>
          <t>CL1(a)</t>
        </is>
      </c>
      <c r="C121" s="7" t="inlineStr"/>
      <c r="D121" s="7" t="inlineStr"/>
      <c r="E121" s="18" t="inlineStr">
        <is>
          <t>Office equipment and supplies</t>
        </is>
      </c>
      <c r="F121" s="7" t="inlineStr">
        <is>
          <t>tCO2e</t>
        </is>
      </c>
      <c r="G121" s="13" t="n"/>
      <c r="H121" s="13" t="n">
        <v>0</v>
      </c>
      <c r="I121" s="13" t="n">
        <v>0</v>
      </c>
      <c r="J121" s="13" t="n">
        <v>0</v>
      </c>
      <c r="K121" s="14" t="n"/>
      <c r="L121" s="7" t="inlineStr">
        <is>
          <t>Data held</t>
        </is>
      </c>
      <c r="M121" s="7" t="inlineStr">
        <is>
          <t>ESG</t>
        </is>
      </c>
      <c r="N121" s="10" t="inlineStr"/>
      <c r="O121" s="10" t="inlineStr"/>
      <c r="P121" s="10" t="inlineStr"/>
      <c r="Q121" s="10" t="inlineStr"/>
      <c r="R121" s="10" t="inlineStr"/>
      <c r="S121" s="10" t="inlineStr"/>
    </row>
    <row r="122" ht="22" customHeight="1">
      <c r="B122" s="12" t="inlineStr">
        <is>
          <t>CL1(a)</t>
        </is>
      </c>
      <c r="C122" s="7" t="inlineStr"/>
      <c r="D122" s="7" t="inlineStr"/>
      <c r="E122" s="18" t="inlineStr">
        <is>
          <t>Accommodation and facilities</t>
        </is>
      </c>
      <c r="F122" s="7" t="inlineStr">
        <is>
          <t>tCO2e</t>
        </is>
      </c>
      <c r="G122" s="13" t="n"/>
      <c r="H122" s="13" t="n">
        <v>0</v>
      </c>
      <c r="I122" s="13" t="n">
        <v>0</v>
      </c>
      <c r="J122" s="13" t="n">
        <v>0</v>
      </c>
      <c r="K122" s="14" t="n"/>
      <c r="L122" s="7" t="inlineStr">
        <is>
          <t>Data held</t>
        </is>
      </c>
      <c r="M122" s="7" t="inlineStr">
        <is>
          <t>ESG</t>
        </is>
      </c>
      <c r="N122" s="10" t="inlineStr"/>
      <c r="O122" s="10" t="inlineStr"/>
      <c r="P122" s="10" t="inlineStr"/>
      <c r="Q122" s="10" t="inlineStr"/>
      <c r="R122" s="10" t="inlineStr"/>
      <c r="S122" s="10" t="inlineStr"/>
    </row>
    <row r="123" ht="22" customHeight="1">
      <c r="B123" s="12" t="inlineStr">
        <is>
          <t>CL1(a)</t>
        </is>
      </c>
      <c r="C123" s="7" t="inlineStr"/>
      <c r="D123" s="7" t="inlineStr"/>
      <c r="E123" s="18" t="inlineStr">
        <is>
          <t>Working from home</t>
        </is>
      </c>
      <c r="F123" s="7" t="inlineStr">
        <is>
          <t>tCO2e</t>
        </is>
      </c>
      <c r="G123" s="13" t="n"/>
      <c r="H123" s="13" t="n">
        <v>0</v>
      </c>
      <c r="I123" s="13" t="n">
        <v>0</v>
      </c>
      <c r="J123" s="13" t="n">
        <v>0</v>
      </c>
      <c r="K123" s="14" t="n"/>
      <c r="L123" s="7" t="inlineStr">
        <is>
          <t>Data held</t>
        </is>
      </c>
      <c r="M123" s="7" t="inlineStr">
        <is>
          <t>ESG</t>
        </is>
      </c>
      <c r="N123" s="10" t="inlineStr"/>
      <c r="O123" s="10" t="inlineStr"/>
      <c r="P123" s="10" t="inlineStr"/>
      <c r="Q123" s="10" t="inlineStr"/>
      <c r="R123" s="10" t="inlineStr"/>
      <c r="S123" s="10" t="inlineStr"/>
    </row>
    <row r="124" ht="22" customHeight="1">
      <c r="B124" s="12" t="inlineStr">
        <is>
          <t>CL1(a)</t>
        </is>
      </c>
      <c r="C124" s="7" t="inlineStr"/>
      <c r="D124" s="7" t="inlineStr"/>
      <c r="E124" s="18" t="inlineStr">
        <is>
          <t>Waste</t>
        </is>
      </c>
      <c r="F124" s="7" t="inlineStr">
        <is>
          <t>tCO2e</t>
        </is>
      </c>
      <c r="G124" s="13" t="n"/>
      <c r="H124" s="13" t="n">
        <v>0</v>
      </c>
      <c r="I124" s="13" t="n">
        <v>0</v>
      </c>
      <c r="J124" s="13" t="n">
        <v>0</v>
      </c>
      <c r="K124" s="14" t="n"/>
      <c r="L124" s="7" t="inlineStr">
        <is>
          <t>Data held</t>
        </is>
      </c>
      <c r="M124" s="7" t="inlineStr">
        <is>
          <t>ESG</t>
        </is>
      </c>
      <c r="N124" s="10" t="inlineStr"/>
      <c r="O124" s="10" t="inlineStr"/>
      <c r="P124" s="10" t="inlineStr"/>
      <c r="Q124" s="10" t="inlineStr"/>
      <c r="R124" s="10" t="inlineStr"/>
      <c r="S124" s="10" t="inlineStr"/>
    </row>
    <row r="125" ht="22" customHeight="1">
      <c r="B125" s="12" t="inlineStr">
        <is>
          <t>CL1(a)</t>
        </is>
      </c>
      <c r="C125" s="7" t="inlineStr"/>
      <c r="D125" s="7" t="inlineStr"/>
      <c r="E125" s="18" t="inlineStr">
        <is>
          <t>Cleaning and chemicals</t>
        </is>
      </c>
      <c r="F125" s="7" t="inlineStr">
        <is>
          <t>tCO2e</t>
        </is>
      </c>
      <c r="G125" s="13" t="n"/>
      <c r="H125" s="13" t="n">
        <v>0</v>
      </c>
      <c r="I125" s="13" t="n">
        <v>0</v>
      </c>
      <c r="J125" s="13" t="n">
        <v>0</v>
      </c>
      <c r="K125" s="14" t="n"/>
      <c r="L125" s="7" t="inlineStr">
        <is>
          <t>Data held</t>
        </is>
      </c>
      <c r="M125" s="7" t="inlineStr">
        <is>
          <t>ESG</t>
        </is>
      </c>
      <c r="N125" s="10" t="inlineStr"/>
      <c r="O125" s="10" t="inlineStr"/>
      <c r="P125" s="10" t="inlineStr"/>
      <c r="Q125" s="10" t="inlineStr"/>
      <c r="R125" s="10" t="inlineStr"/>
      <c r="S125" s="10" t="inlineStr"/>
    </row>
    <row r="126" ht="22" customHeight="1">
      <c r="B126" s="12" t="inlineStr">
        <is>
          <t>CL1(a)</t>
        </is>
      </c>
      <c r="C126" s="7" t="inlineStr"/>
      <c r="D126" s="7" t="inlineStr"/>
      <c r="E126" s="18" t="inlineStr">
        <is>
          <t>Water</t>
        </is>
      </c>
      <c r="F126" s="7" t="inlineStr">
        <is>
          <t>tCO2e</t>
        </is>
      </c>
      <c r="G126" s="13" t="n"/>
      <c r="H126" s="13" t="n">
        <v>0</v>
      </c>
      <c r="I126" s="13" t="n">
        <v>0</v>
      </c>
      <c r="J126" s="13" t="n">
        <v>0</v>
      </c>
      <c r="K126" s="14" t="n"/>
      <c r="L126" s="7" t="inlineStr">
        <is>
          <t>Data held</t>
        </is>
      </c>
      <c r="M126" s="7" t="inlineStr">
        <is>
          <t>ESG</t>
        </is>
      </c>
      <c r="N126" s="10" t="inlineStr"/>
      <c r="O126" s="10" t="inlineStr"/>
      <c r="P126" s="10" t="inlineStr"/>
      <c r="Q126" s="10" t="inlineStr"/>
      <c r="R126" s="10" t="inlineStr"/>
      <c r="S126" s="10" t="inlineStr"/>
    </row>
    <row r="127" ht="22" customHeight="1">
      <c r="B127" s="12" t="inlineStr">
        <is>
          <t>CL1(a)</t>
        </is>
      </c>
      <c r="C127" s="7" t="inlineStr"/>
      <c r="D127" s="7" t="inlineStr"/>
      <c r="E127" s="18" t="inlineStr">
        <is>
          <t>Postage, courier and freight</t>
        </is>
      </c>
      <c r="F127" s="7" t="inlineStr">
        <is>
          <t>tCO2e</t>
        </is>
      </c>
      <c r="G127" s="13" t="n"/>
      <c r="H127" s="13" t="n">
        <v>0</v>
      </c>
      <c r="I127" s="13" t="n">
        <v>0</v>
      </c>
      <c r="J127" s="13" t="n">
        <v>0</v>
      </c>
      <c r="K127" s="14" t="n"/>
      <c r="L127" s="7" t="inlineStr">
        <is>
          <t>Data held</t>
        </is>
      </c>
      <c r="M127" s="7" t="inlineStr">
        <is>
          <t>ESG</t>
        </is>
      </c>
      <c r="N127" s="10" t="inlineStr"/>
      <c r="O127" s="10" t="inlineStr"/>
      <c r="P127" s="10" t="inlineStr"/>
      <c r="Q127" s="10" t="inlineStr"/>
      <c r="R127" s="10" t="inlineStr"/>
      <c r="S127" s="10" t="inlineStr"/>
    </row>
    <row r="128" ht="22" customHeight="1">
      <c r="B128" s="12" t="inlineStr">
        <is>
          <t>CL1(a)</t>
        </is>
      </c>
      <c r="C128" s="7" t="inlineStr"/>
      <c r="D128" s="7" t="inlineStr"/>
      <c r="E128" s="18" t="inlineStr">
        <is>
          <t>Machinery and vehicles</t>
        </is>
      </c>
      <c r="F128" s="7" t="inlineStr">
        <is>
          <t>tCO2e</t>
        </is>
      </c>
      <c r="G128" s="13" t="n"/>
      <c r="H128" s="13" t="n">
        <v>0</v>
      </c>
      <c r="I128" s="13" t="n">
        <v>0</v>
      </c>
      <c r="J128" s="13" t="n">
        <v>0</v>
      </c>
      <c r="K128" s="14" t="n"/>
      <c r="L128" s="7" t="inlineStr">
        <is>
          <t>Data held</t>
        </is>
      </c>
      <c r="M128" s="7" t="inlineStr">
        <is>
          <t>ESG</t>
        </is>
      </c>
      <c r="N128" s="10" t="inlineStr"/>
      <c r="O128" s="10" t="inlineStr"/>
      <c r="P128" s="10" t="inlineStr"/>
      <c r="Q128" s="10" t="inlineStr"/>
      <c r="R128" s="10" t="inlineStr"/>
      <c r="S128" s="10" t="inlineStr"/>
    </row>
    <row r="129" ht="22" customHeight="1">
      <c r="B129" s="12" t="inlineStr">
        <is>
          <t>CL1(a)</t>
        </is>
      </c>
      <c r="C129" s="7" t="inlineStr"/>
      <c r="D129" s="7" t="inlineStr"/>
      <c r="E129" s="18" t="inlineStr">
        <is>
          <t>Horticulture and agriculture</t>
        </is>
      </c>
      <c r="F129" s="7" t="inlineStr">
        <is>
          <t>tCO2e</t>
        </is>
      </c>
      <c r="G129" s="13" t="n"/>
      <c r="H129" s="13" t="n">
        <v>0</v>
      </c>
      <c r="I129" s="13" t="n">
        <v>0</v>
      </c>
      <c r="J129" s="13" t="n">
        <v>0</v>
      </c>
      <c r="K129" s="14" t="n"/>
      <c r="L129" s="7" t="inlineStr">
        <is>
          <t>Data held</t>
        </is>
      </c>
      <c r="M129" s="7" t="inlineStr">
        <is>
          <t>ESG</t>
        </is>
      </c>
      <c r="N129" s="10" t="inlineStr"/>
      <c r="O129" s="10" t="inlineStr"/>
      <c r="P129" s="10" t="inlineStr"/>
      <c r="Q129" s="10" t="inlineStr"/>
      <c r="R129" s="10" t="inlineStr"/>
      <c r="S129" s="10" t="inlineStr"/>
    </row>
    <row r="130" ht="22" customHeight="1">
      <c r="B130" s="12" t="inlineStr">
        <is>
          <t>CL1(a)</t>
        </is>
      </c>
      <c r="C130" s="7" t="inlineStr"/>
      <c r="D130" s="7" t="inlineStr"/>
      <c r="E130" s="18" t="inlineStr">
        <is>
          <t>Roads and landscape</t>
        </is>
      </c>
      <c r="F130" s="7" t="inlineStr">
        <is>
          <t>tCO2e</t>
        </is>
      </c>
      <c r="G130" s="13" t="n"/>
      <c r="H130" s="13" t="n">
        <v>0</v>
      </c>
      <c r="I130" s="13" t="n">
        <v>0</v>
      </c>
      <c r="J130" s="13" t="n">
        <v>0</v>
      </c>
      <c r="K130" s="14" t="n"/>
      <c r="L130" s="7" t="inlineStr">
        <is>
          <t>Data held</t>
        </is>
      </c>
      <c r="M130" s="7" t="inlineStr">
        <is>
          <t>ESG</t>
        </is>
      </c>
      <c r="N130" s="10" t="inlineStr"/>
      <c r="O130" s="10" t="inlineStr"/>
      <c r="P130" s="10" t="inlineStr"/>
      <c r="Q130" s="10" t="inlineStr"/>
      <c r="R130" s="10" t="inlineStr"/>
      <c r="S130" s="10" t="inlineStr"/>
    </row>
    <row r="131" ht="22" customHeight="1">
      <c r="B131" s="12" t="inlineStr">
        <is>
          <t>CL1(a)</t>
        </is>
      </c>
      <c r="C131" s="7" t="inlineStr"/>
      <c r="D131" s="7" t="inlineStr"/>
      <c r="E131" s="18" t="inlineStr">
        <is>
          <t>Other</t>
        </is>
      </c>
      <c r="F131" s="7" t="inlineStr">
        <is>
          <t>tCO2e</t>
        </is>
      </c>
      <c r="G131" s="13" t="n"/>
      <c r="H131" s="13" t="n">
        <v>0</v>
      </c>
      <c r="I131" s="13" t="n">
        <v>0</v>
      </c>
      <c r="J131" s="13" t="n">
        <v>0</v>
      </c>
      <c r="K131" s="14" t="n"/>
      <c r="L131" s="7" t="inlineStr">
        <is>
          <t>Data held</t>
        </is>
      </c>
      <c r="M131" s="7" t="inlineStr">
        <is>
          <t>ESG</t>
        </is>
      </c>
      <c r="N131" s="10" t="inlineStr"/>
      <c r="O131" s="10" t="inlineStr"/>
      <c r="P131" s="10" t="inlineStr"/>
      <c r="Q131" s="10" t="inlineStr"/>
      <c r="R131" s="10" t="inlineStr"/>
      <c r="S131" s="10" t="inlineStr"/>
    </row>
    <row r="132" ht="22" customHeight="1">
      <c r="B132" s="12" t="inlineStr">
        <is>
          <t>CL1(a)</t>
        </is>
      </c>
      <c r="C132" s="7" t="inlineStr"/>
      <c r="D132" s="7" t="inlineStr"/>
      <c r="E132" s="17" t="inlineStr">
        <is>
          <t>Indirect Scope 2 emissions</t>
        </is>
      </c>
      <c r="F132" s="7" t="inlineStr">
        <is>
          <t>tCO2e</t>
        </is>
      </c>
      <c r="G132" s="13" t="n"/>
      <c r="H132" s="13" t="n">
        <v>31414</v>
      </c>
      <c r="I132" s="13" t="n">
        <v>29098</v>
      </c>
      <c r="J132" s="13" t="n">
        <v>0</v>
      </c>
      <c r="K132" s="14" t="n"/>
      <c r="L132" s="7" t="inlineStr">
        <is>
          <t>Data held</t>
        </is>
      </c>
      <c r="M132" s="7" t="inlineStr">
        <is>
          <t>ESG</t>
        </is>
      </c>
      <c r="N132" s="10" t="inlineStr"/>
      <c r="O132" s="10" t="inlineStr"/>
      <c r="P132" s="10" t="inlineStr"/>
      <c r="Q132" s="10" t="inlineStr"/>
      <c r="R132" s="10" t="inlineStr"/>
      <c r="S132" s="10" t="inlineStr"/>
    </row>
    <row r="133" ht="22" customHeight="1">
      <c r="B133" s="12" t="inlineStr">
        <is>
          <t>CL1(a)</t>
        </is>
      </c>
      <c r="C133" s="7" t="inlineStr"/>
      <c r="D133" s="7" t="inlineStr"/>
      <c r="E133" s="18" t="inlineStr">
        <is>
          <t>Stationary energy (gaseous fuels)</t>
        </is>
      </c>
      <c r="F133" s="7" t="inlineStr">
        <is>
          <t>tCO2e</t>
        </is>
      </c>
      <c r="G133" s="13" t="n"/>
      <c r="H133" s="13" t="n">
        <v>0</v>
      </c>
      <c r="I133" s="13" t="n">
        <v>0</v>
      </c>
      <c r="J133" s="13" t="n">
        <v>0</v>
      </c>
      <c r="K133" s="14" t="n"/>
      <c r="L133" s="7" t="inlineStr">
        <is>
          <t>Data held</t>
        </is>
      </c>
      <c r="M133" s="7" t="inlineStr">
        <is>
          <t>ESG</t>
        </is>
      </c>
      <c r="N133" s="10" t="inlineStr"/>
      <c r="O133" s="10" t="inlineStr"/>
      <c r="P133" s="10" t="inlineStr"/>
      <c r="Q133" s="10" t="inlineStr"/>
      <c r="R133" s="10" t="inlineStr"/>
      <c r="S133" s="10" t="inlineStr"/>
    </row>
    <row r="134" ht="22" customHeight="1">
      <c r="B134" s="12" t="inlineStr">
        <is>
          <t>CL1(a)</t>
        </is>
      </c>
      <c r="C134" s="7" t="inlineStr"/>
      <c r="D134" s="7" t="inlineStr"/>
      <c r="E134" s="18" t="inlineStr">
        <is>
          <t>Refrigerants</t>
        </is>
      </c>
      <c r="F134" s="7" t="inlineStr">
        <is>
          <t>tCO2e</t>
        </is>
      </c>
      <c r="G134" s="13" t="n"/>
      <c r="H134" s="13" t="n">
        <v>0</v>
      </c>
      <c r="I134" s="13" t="n">
        <v>0</v>
      </c>
      <c r="J134" s="13" t="n">
        <v>0</v>
      </c>
      <c r="K134" s="14" t="n"/>
      <c r="L134" s="7" t="inlineStr">
        <is>
          <t>Data held</t>
        </is>
      </c>
      <c r="M134" s="7" t="inlineStr">
        <is>
          <t>ESG</t>
        </is>
      </c>
      <c r="N134" s="10" t="inlineStr"/>
      <c r="O134" s="10" t="inlineStr"/>
      <c r="P134" s="10" t="inlineStr"/>
      <c r="Q134" s="10" t="inlineStr"/>
      <c r="R134" s="10" t="inlineStr"/>
      <c r="S134" s="10" t="inlineStr"/>
    </row>
    <row r="135" ht="22" customHeight="1">
      <c r="B135" s="12" t="inlineStr">
        <is>
          <t>CL1(a)</t>
        </is>
      </c>
      <c r="C135" s="7" t="inlineStr"/>
      <c r="D135" s="7" t="inlineStr"/>
      <c r="E135" s="18" t="inlineStr">
        <is>
          <t>Transport (land and sea)</t>
        </is>
      </c>
      <c r="F135" s="7" t="inlineStr">
        <is>
          <t>tCO2e</t>
        </is>
      </c>
      <c r="G135" s="13" t="n"/>
      <c r="H135" s="13" t="n">
        <v>0</v>
      </c>
      <c r="I135" s="13" t="n">
        <v>0</v>
      </c>
      <c r="J135" s="13" t="n">
        <v>0</v>
      </c>
      <c r="K135" s="14" t="n"/>
      <c r="L135" s="7" t="inlineStr">
        <is>
          <t>Data held</t>
        </is>
      </c>
      <c r="M135" s="7" t="inlineStr">
        <is>
          <t>ESG</t>
        </is>
      </c>
      <c r="N135" s="10" t="inlineStr"/>
      <c r="O135" s="10" t="inlineStr"/>
      <c r="P135" s="10" t="inlineStr"/>
      <c r="Q135" s="10" t="inlineStr"/>
      <c r="R135" s="10" t="inlineStr"/>
      <c r="S135" s="10" t="inlineStr"/>
    </row>
    <row r="136" ht="22" customHeight="1">
      <c r="B136" s="12" t="inlineStr">
        <is>
          <t>CL1(a)</t>
        </is>
      </c>
      <c r="C136" s="7" t="inlineStr"/>
      <c r="D136" s="7" t="inlineStr"/>
      <c r="E136" s="18" t="inlineStr">
        <is>
          <t>Stationary energy (LPG)</t>
        </is>
      </c>
      <c r="F136" s="7" t="inlineStr">
        <is>
          <t>tCO2e</t>
        </is>
      </c>
      <c r="G136" s="13" t="n"/>
      <c r="H136" s="13" t="n">
        <v>0</v>
      </c>
      <c r="I136" s="13" t="n">
        <v>0</v>
      </c>
      <c r="J136" s="13" t="n">
        <v>0</v>
      </c>
      <c r="K136" s="14" t="n"/>
      <c r="L136" s="7" t="inlineStr">
        <is>
          <t>Data held</t>
        </is>
      </c>
      <c r="M136" s="7" t="inlineStr">
        <is>
          <t>ESG</t>
        </is>
      </c>
      <c r="N136" s="10" t="inlineStr"/>
      <c r="O136" s="10" t="inlineStr"/>
      <c r="P136" s="10" t="inlineStr"/>
      <c r="Q136" s="10" t="inlineStr"/>
      <c r="R136" s="10" t="inlineStr"/>
      <c r="S136" s="10" t="inlineStr"/>
    </row>
    <row r="137" ht="22" customHeight="1">
      <c r="B137" s="12" t="inlineStr">
        <is>
          <t>CL1(a)</t>
        </is>
      </c>
      <c r="C137" s="7" t="inlineStr"/>
      <c r="D137" s="7" t="inlineStr"/>
      <c r="E137" s="18" t="inlineStr">
        <is>
          <t>Electricity (Market-Based)</t>
        </is>
      </c>
      <c r="F137" s="7" t="inlineStr">
        <is>
          <t>tCO2e</t>
        </is>
      </c>
      <c r="G137" s="13" t="n"/>
      <c r="H137" s="13" t="n">
        <v>31414</v>
      </c>
      <c r="I137" s="13" t="n">
        <v>29098</v>
      </c>
      <c r="J137" s="13" t="n">
        <v>0</v>
      </c>
      <c r="K137" s="14" t="n"/>
      <c r="L137" s="7" t="inlineStr">
        <is>
          <t>Data held</t>
        </is>
      </c>
      <c r="M137" s="7" t="inlineStr">
        <is>
          <t>ESG</t>
        </is>
      </c>
      <c r="N137" s="10" t="inlineStr"/>
      <c r="O137" s="10" t="inlineStr"/>
      <c r="P137" s="10" t="inlineStr"/>
      <c r="Q137" s="10" t="inlineStr"/>
      <c r="R137" s="10" t="inlineStr"/>
      <c r="S137" s="10" t="inlineStr"/>
    </row>
    <row r="138" ht="22" customHeight="1">
      <c r="B138" s="12" t="inlineStr">
        <is>
          <t>CL1(a)</t>
        </is>
      </c>
      <c r="C138" s="7" t="inlineStr"/>
      <c r="D138" s="7" t="inlineStr"/>
      <c r="E138" s="18" t="inlineStr">
        <is>
          <t>Professional services</t>
        </is>
      </c>
      <c r="F138" s="7" t="inlineStr">
        <is>
          <t>tCO2e</t>
        </is>
      </c>
      <c r="G138" s="13" t="n"/>
      <c r="H138" s="13" t="n">
        <v>0</v>
      </c>
      <c r="I138" s="13" t="n">
        <v>0</v>
      </c>
      <c r="J138" s="13" t="n">
        <v>0</v>
      </c>
      <c r="K138" s="14" t="n"/>
      <c r="L138" s="7" t="inlineStr">
        <is>
          <t>Data held</t>
        </is>
      </c>
      <c r="M138" s="7" t="inlineStr">
        <is>
          <t>ESG</t>
        </is>
      </c>
      <c r="N138" s="10" t="inlineStr"/>
      <c r="O138" s="10" t="inlineStr"/>
      <c r="P138" s="10" t="inlineStr"/>
      <c r="Q138" s="10" t="inlineStr"/>
      <c r="R138" s="10" t="inlineStr"/>
      <c r="S138" s="10" t="inlineStr"/>
    </row>
    <row r="139" ht="22" customHeight="1">
      <c r="B139" s="12" t="inlineStr">
        <is>
          <t>CL1(a)</t>
        </is>
      </c>
      <c r="C139" s="7" t="inlineStr"/>
      <c r="D139" s="7" t="inlineStr"/>
      <c r="E139" s="18" t="inlineStr">
        <is>
          <t>Construction materials and services</t>
        </is>
      </c>
      <c r="F139" s="7" t="inlineStr">
        <is>
          <t>tCO2e</t>
        </is>
      </c>
      <c r="G139" s="13" t="n"/>
      <c r="H139" s="13" t="n">
        <v>0</v>
      </c>
      <c r="I139" s="13" t="n">
        <v>0</v>
      </c>
      <c r="J139" s="13" t="n">
        <v>0</v>
      </c>
      <c r="K139" s="14" t="n"/>
      <c r="L139" s="7" t="inlineStr">
        <is>
          <t>Data held</t>
        </is>
      </c>
      <c r="M139" s="7" t="inlineStr">
        <is>
          <t>ESG</t>
        </is>
      </c>
      <c r="N139" s="10" t="inlineStr"/>
      <c r="O139" s="10" t="inlineStr"/>
      <c r="P139" s="10" t="inlineStr"/>
      <c r="Q139" s="10" t="inlineStr"/>
      <c r="R139" s="10" t="inlineStr"/>
      <c r="S139" s="10" t="inlineStr"/>
    </row>
    <row r="140" ht="22" customHeight="1">
      <c r="B140" s="12" t="inlineStr">
        <is>
          <t>CL1(a)</t>
        </is>
      </c>
      <c r="C140" s="7" t="inlineStr"/>
      <c r="D140" s="7" t="inlineStr"/>
      <c r="E140" s="18" t="inlineStr">
        <is>
          <t>Transport (air travel)</t>
        </is>
      </c>
      <c r="F140" s="7" t="inlineStr">
        <is>
          <t>tCO2e</t>
        </is>
      </c>
      <c r="G140" s="13" t="n"/>
      <c r="H140" s="13" t="n">
        <v>0</v>
      </c>
      <c r="I140" s="13" t="n">
        <v>0</v>
      </c>
      <c r="J140" s="13" t="n">
        <v>0</v>
      </c>
      <c r="K140" s="14" t="n"/>
      <c r="L140" s="7" t="inlineStr">
        <is>
          <t>Data held</t>
        </is>
      </c>
      <c r="M140" s="7" t="inlineStr">
        <is>
          <t>ESG</t>
        </is>
      </c>
      <c r="N140" s="10" t="inlineStr"/>
      <c r="O140" s="10" t="inlineStr"/>
      <c r="P140" s="10" t="inlineStr"/>
      <c r="Q140" s="10" t="inlineStr"/>
      <c r="R140" s="10" t="inlineStr"/>
      <c r="S140" s="10" t="inlineStr"/>
    </row>
    <row r="141" ht="22" customHeight="1">
      <c r="B141" s="12" t="inlineStr">
        <is>
          <t>CL1(a)</t>
        </is>
      </c>
      <c r="C141" s="7" t="inlineStr"/>
      <c r="D141" s="7" t="inlineStr"/>
      <c r="E141" s="18" t="inlineStr">
        <is>
          <t>ICT services and equipment</t>
        </is>
      </c>
      <c r="F141" s="7" t="inlineStr">
        <is>
          <t>tCO2e</t>
        </is>
      </c>
      <c r="G141" s="13" t="n"/>
      <c r="H141" s="13" t="n">
        <v>0</v>
      </c>
      <c r="I141" s="13" t="n">
        <v>0</v>
      </c>
      <c r="J141" s="13" t="n">
        <v>0</v>
      </c>
      <c r="K141" s="14" t="n"/>
      <c r="L141" s="7" t="inlineStr">
        <is>
          <t>Data held</t>
        </is>
      </c>
      <c r="M141" s="7" t="inlineStr">
        <is>
          <t>ESG</t>
        </is>
      </c>
      <c r="N141" s="10" t="inlineStr"/>
      <c r="O141" s="10" t="inlineStr"/>
      <c r="P141" s="10" t="inlineStr"/>
      <c r="Q141" s="10" t="inlineStr"/>
      <c r="R141" s="10" t="inlineStr"/>
      <c r="S141" s="10" t="inlineStr"/>
    </row>
    <row r="142" ht="22" customHeight="1">
      <c r="B142" s="12" t="inlineStr">
        <is>
          <t>CL1(a)</t>
        </is>
      </c>
      <c r="C142" s="7" t="inlineStr"/>
      <c r="D142" s="7" t="inlineStr"/>
      <c r="E142" s="18" t="inlineStr">
        <is>
          <t>Products</t>
        </is>
      </c>
      <c r="F142" s="7" t="inlineStr">
        <is>
          <t>tCO2e</t>
        </is>
      </c>
      <c r="G142" s="13" t="n"/>
      <c r="H142" s="13" t="n">
        <v>0</v>
      </c>
      <c r="I142" s="13" t="n">
        <v>0</v>
      </c>
      <c r="J142" s="13" t="n">
        <v>0</v>
      </c>
      <c r="K142" s="14" t="n"/>
      <c r="L142" s="7" t="inlineStr">
        <is>
          <t>Data held</t>
        </is>
      </c>
      <c r="M142" s="7" t="inlineStr">
        <is>
          <t>ESG</t>
        </is>
      </c>
      <c r="N142" s="10" t="inlineStr"/>
      <c r="O142" s="10" t="inlineStr"/>
      <c r="P142" s="10" t="inlineStr"/>
      <c r="Q142" s="10" t="inlineStr"/>
      <c r="R142" s="10" t="inlineStr"/>
      <c r="S142" s="10" t="inlineStr"/>
    </row>
    <row r="143" ht="22" customHeight="1">
      <c r="B143" s="12" t="inlineStr">
        <is>
          <t>CL1(a)</t>
        </is>
      </c>
      <c r="C143" s="7" t="inlineStr"/>
      <c r="D143" s="7" t="inlineStr"/>
      <c r="E143" s="18" t="inlineStr">
        <is>
          <t>Food</t>
        </is>
      </c>
      <c r="F143" s="7" t="inlineStr">
        <is>
          <t>tCO2e</t>
        </is>
      </c>
      <c r="G143" s="13" t="n"/>
      <c r="H143" s="13" t="n">
        <v>0</v>
      </c>
      <c r="I143" s="13" t="n">
        <v>0</v>
      </c>
      <c r="J143" s="13" t="n">
        <v>0</v>
      </c>
      <c r="K143" s="14" t="n"/>
      <c r="L143" s="7" t="inlineStr">
        <is>
          <t>Data held</t>
        </is>
      </c>
      <c r="M143" s="7" t="inlineStr">
        <is>
          <t>ESG</t>
        </is>
      </c>
      <c r="N143" s="10" t="inlineStr"/>
      <c r="O143" s="10" t="inlineStr"/>
      <c r="P143" s="10" t="inlineStr"/>
      <c r="Q143" s="10" t="inlineStr"/>
      <c r="R143" s="10" t="inlineStr"/>
      <c r="S143" s="10" t="inlineStr"/>
    </row>
    <row r="144" ht="22" customHeight="1">
      <c r="B144" s="12" t="inlineStr">
        <is>
          <t>CL1(a)</t>
        </is>
      </c>
      <c r="C144" s="7" t="inlineStr"/>
      <c r="D144" s="7" t="inlineStr"/>
      <c r="E144" s="18" t="inlineStr">
        <is>
          <t>Office equipment and supplies</t>
        </is>
      </c>
      <c r="F144" s="7" t="inlineStr">
        <is>
          <t>tCO2e</t>
        </is>
      </c>
      <c r="G144" s="13" t="n"/>
      <c r="H144" s="13" t="n">
        <v>0</v>
      </c>
      <c r="I144" s="13" t="n">
        <v>0</v>
      </c>
      <c r="J144" s="13" t="n">
        <v>0</v>
      </c>
      <c r="K144" s="14" t="n"/>
      <c r="L144" s="7" t="inlineStr">
        <is>
          <t>Data held</t>
        </is>
      </c>
      <c r="M144" s="7" t="inlineStr">
        <is>
          <t>ESG</t>
        </is>
      </c>
      <c r="N144" s="10" t="inlineStr"/>
      <c r="O144" s="10" t="inlineStr"/>
      <c r="P144" s="10" t="inlineStr"/>
      <c r="Q144" s="10" t="inlineStr"/>
      <c r="R144" s="10" t="inlineStr"/>
      <c r="S144" s="10" t="inlineStr"/>
    </row>
    <row r="145" ht="22" customHeight="1">
      <c r="B145" s="12" t="inlineStr">
        <is>
          <t>CL1(a)</t>
        </is>
      </c>
      <c r="C145" s="7" t="inlineStr"/>
      <c r="D145" s="7" t="inlineStr"/>
      <c r="E145" s="18" t="inlineStr">
        <is>
          <t>Accommodation and facilities</t>
        </is>
      </c>
      <c r="F145" s="7" t="inlineStr">
        <is>
          <t>tCO2e</t>
        </is>
      </c>
      <c r="G145" s="13" t="n"/>
      <c r="H145" s="13" t="n">
        <v>0</v>
      </c>
      <c r="I145" s="13" t="n">
        <v>0</v>
      </c>
      <c r="J145" s="13" t="n">
        <v>0</v>
      </c>
      <c r="K145" s="14" t="n"/>
      <c r="L145" s="7" t="inlineStr">
        <is>
          <t>Data held</t>
        </is>
      </c>
      <c r="M145" s="7" t="inlineStr">
        <is>
          <t>ESG</t>
        </is>
      </c>
      <c r="N145" s="10" t="inlineStr"/>
      <c r="O145" s="10" t="inlineStr"/>
      <c r="P145" s="10" t="inlineStr"/>
      <c r="Q145" s="10" t="inlineStr"/>
      <c r="R145" s="10" t="inlineStr"/>
      <c r="S145" s="10" t="inlineStr"/>
    </row>
    <row r="146" ht="22" customHeight="1">
      <c r="B146" s="12" t="inlineStr">
        <is>
          <t>CL1(a)</t>
        </is>
      </c>
      <c r="C146" s="7" t="inlineStr"/>
      <c r="D146" s="7" t="inlineStr"/>
      <c r="E146" s="18" t="inlineStr">
        <is>
          <t>Working from home</t>
        </is>
      </c>
      <c r="F146" s="7" t="inlineStr">
        <is>
          <t>tCO2e</t>
        </is>
      </c>
      <c r="G146" s="13" t="n"/>
      <c r="H146" s="13" t="n">
        <v>0</v>
      </c>
      <c r="I146" s="13" t="n">
        <v>0</v>
      </c>
      <c r="J146" s="13" t="n">
        <v>0</v>
      </c>
      <c r="K146" s="14" t="n"/>
      <c r="L146" s="7" t="inlineStr">
        <is>
          <t>Data held</t>
        </is>
      </c>
      <c r="M146" s="7" t="inlineStr">
        <is>
          <t>ESG</t>
        </is>
      </c>
      <c r="N146" s="10" t="inlineStr"/>
      <c r="O146" s="10" t="inlineStr"/>
      <c r="P146" s="10" t="inlineStr"/>
      <c r="Q146" s="10" t="inlineStr"/>
      <c r="R146" s="10" t="inlineStr"/>
      <c r="S146" s="10" t="inlineStr"/>
    </row>
    <row r="147" ht="22" customHeight="1">
      <c r="B147" s="12" t="inlineStr">
        <is>
          <t>CL1(a)</t>
        </is>
      </c>
      <c r="C147" s="7" t="inlineStr"/>
      <c r="D147" s="7" t="inlineStr"/>
      <c r="E147" s="18" t="inlineStr">
        <is>
          <t>Waste</t>
        </is>
      </c>
      <c r="F147" s="7" t="inlineStr">
        <is>
          <t>tCO2e</t>
        </is>
      </c>
      <c r="G147" s="13" t="n"/>
      <c r="H147" s="13" t="n">
        <v>0</v>
      </c>
      <c r="I147" s="13" t="n">
        <v>0</v>
      </c>
      <c r="J147" s="13" t="n">
        <v>0</v>
      </c>
      <c r="K147" s="14" t="n"/>
      <c r="L147" s="7" t="inlineStr">
        <is>
          <t>Data held</t>
        </is>
      </c>
      <c r="M147" s="7" t="inlineStr">
        <is>
          <t>ESG</t>
        </is>
      </c>
      <c r="N147" s="10" t="inlineStr"/>
      <c r="O147" s="10" t="inlineStr"/>
      <c r="P147" s="10" t="inlineStr"/>
      <c r="Q147" s="10" t="inlineStr"/>
      <c r="R147" s="10" t="inlineStr"/>
      <c r="S147" s="10" t="inlineStr"/>
    </row>
    <row r="148" ht="22" customHeight="1">
      <c r="B148" s="12" t="inlineStr">
        <is>
          <t>CL1(a)</t>
        </is>
      </c>
      <c r="C148" s="7" t="inlineStr"/>
      <c r="D148" s="7" t="inlineStr"/>
      <c r="E148" s="18" t="inlineStr">
        <is>
          <t>Cleaning and chemicals</t>
        </is>
      </c>
      <c r="F148" s="7" t="inlineStr">
        <is>
          <t>tCO2e</t>
        </is>
      </c>
      <c r="G148" s="13" t="n"/>
      <c r="H148" s="13" t="n">
        <v>0</v>
      </c>
      <c r="I148" s="13" t="n">
        <v>0</v>
      </c>
      <c r="J148" s="13" t="n">
        <v>0</v>
      </c>
      <c r="K148" s="14" t="n"/>
      <c r="L148" s="7" t="inlineStr">
        <is>
          <t>Data held</t>
        </is>
      </c>
      <c r="M148" s="7" t="inlineStr">
        <is>
          <t>ESG</t>
        </is>
      </c>
      <c r="N148" s="10" t="inlineStr"/>
      <c r="O148" s="10" t="inlineStr"/>
      <c r="P148" s="10" t="inlineStr"/>
      <c r="Q148" s="10" t="inlineStr"/>
      <c r="R148" s="10" t="inlineStr"/>
      <c r="S148" s="10" t="inlineStr"/>
    </row>
    <row r="149" ht="22" customHeight="1">
      <c r="B149" s="12" t="inlineStr">
        <is>
          <t>CL1(a)</t>
        </is>
      </c>
      <c r="C149" s="7" t="inlineStr"/>
      <c r="D149" s="7" t="inlineStr"/>
      <c r="E149" s="18" t="inlineStr">
        <is>
          <t>Water</t>
        </is>
      </c>
      <c r="F149" s="7" t="inlineStr">
        <is>
          <t>tCO2e</t>
        </is>
      </c>
      <c r="G149" s="13" t="n"/>
      <c r="H149" s="13" t="n">
        <v>0</v>
      </c>
      <c r="I149" s="13" t="n">
        <v>0</v>
      </c>
      <c r="J149" s="13" t="n">
        <v>0</v>
      </c>
      <c r="K149" s="14" t="n"/>
      <c r="L149" s="7" t="inlineStr">
        <is>
          <t>Data held</t>
        </is>
      </c>
      <c r="M149" s="7" t="inlineStr">
        <is>
          <t>ESG</t>
        </is>
      </c>
      <c r="N149" s="10" t="inlineStr"/>
      <c r="O149" s="10" t="inlineStr"/>
      <c r="P149" s="10" t="inlineStr"/>
      <c r="Q149" s="10" t="inlineStr"/>
      <c r="R149" s="10" t="inlineStr"/>
      <c r="S149" s="10" t="inlineStr"/>
    </row>
    <row r="150" ht="22" customHeight="1">
      <c r="B150" s="12" t="inlineStr">
        <is>
          <t>CL1(a)</t>
        </is>
      </c>
      <c r="C150" s="7" t="inlineStr"/>
      <c r="D150" s="7" t="inlineStr"/>
      <c r="E150" s="18" t="inlineStr">
        <is>
          <t>Postage, courier and freight</t>
        </is>
      </c>
      <c r="F150" s="7" t="inlineStr">
        <is>
          <t>tCO2e</t>
        </is>
      </c>
      <c r="G150" s="13" t="n"/>
      <c r="H150" s="13" t="n">
        <v>0</v>
      </c>
      <c r="I150" s="13" t="n">
        <v>0</v>
      </c>
      <c r="J150" s="13" t="n">
        <v>0</v>
      </c>
      <c r="K150" s="14" t="n"/>
      <c r="L150" s="7" t="inlineStr">
        <is>
          <t>Data held</t>
        </is>
      </c>
      <c r="M150" s="7" t="inlineStr">
        <is>
          <t>ESG</t>
        </is>
      </c>
      <c r="N150" s="10" t="inlineStr"/>
      <c r="O150" s="10" t="inlineStr"/>
      <c r="P150" s="10" t="inlineStr"/>
      <c r="Q150" s="10" t="inlineStr"/>
      <c r="R150" s="10" t="inlineStr"/>
      <c r="S150" s="10" t="inlineStr"/>
    </row>
    <row r="151" ht="22" customHeight="1">
      <c r="B151" s="12" t="inlineStr">
        <is>
          <t>CL1(a)</t>
        </is>
      </c>
      <c r="C151" s="7" t="inlineStr"/>
      <c r="D151" s="7" t="inlineStr"/>
      <c r="E151" s="18" t="inlineStr">
        <is>
          <t>Machinery and vehicles</t>
        </is>
      </c>
      <c r="F151" s="7" t="inlineStr">
        <is>
          <t>tCO2e</t>
        </is>
      </c>
      <c r="G151" s="13" t="n"/>
      <c r="H151" s="13" t="n">
        <v>0</v>
      </c>
      <c r="I151" s="13" t="n">
        <v>0</v>
      </c>
      <c r="J151" s="13" t="n">
        <v>0</v>
      </c>
      <c r="K151" s="14" t="n"/>
      <c r="L151" s="7" t="inlineStr">
        <is>
          <t>Data held</t>
        </is>
      </c>
      <c r="M151" s="7" t="inlineStr">
        <is>
          <t>ESG</t>
        </is>
      </c>
      <c r="N151" s="10" t="inlineStr"/>
      <c r="O151" s="10" t="inlineStr"/>
      <c r="P151" s="10" t="inlineStr"/>
      <c r="Q151" s="10" t="inlineStr"/>
      <c r="R151" s="10" t="inlineStr"/>
      <c r="S151" s="10" t="inlineStr"/>
    </row>
    <row r="152" ht="22" customHeight="1">
      <c r="B152" s="12" t="inlineStr">
        <is>
          <t>CL1(a)</t>
        </is>
      </c>
      <c r="C152" s="7" t="inlineStr"/>
      <c r="D152" s="7" t="inlineStr"/>
      <c r="E152" s="18" t="inlineStr">
        <is>
          <t>Horticulture and agriculture</t>
        </is>
      </c>
      <c r="F152" s="7" t="inlineStr">
        <is>
          <t>tCO2e</t>
        </is>
      </c>
      <c r="G152" s="13" t="n"/>
      <c r="H152" s="13" t="n">
        <v>0</v>
      </c>
      <c r="I152" s="13" t="n">
        <v>0</v>
      </c>
      <c r="J152" s="13" t="n">
        <v>0</v>
      </c>
      <c r="K152" s="14" t="n"/>
      <c r="L152" s="7" t="inlineStr">
        <is>
          <t>Data held</t>
        </is>
      </c>
      <c r="M152" s="7" t="inlineStr">
        <is>
          <t>ESG</t>
        </is>
      </c>
      <c r="N152" s="10" t="inlineStr"/>
      <c r="O152" s="10" t="inlineStr"/>
      <c r="P152" s="10" t="inlineStr"/>
      <c r="Q152" s="10" t="inlineStr"/>
      <c r="R152" s="10" t="inlineStr"/>
      <c r="S152" s="10" t="inlineStr"/>
    </row>
    <row r="153" ht="22" customHeight="1">
      <c r="B153" s="12" t="inlineStr">
        <is>
          <t>CL1(a)</t>
        </is>
      </c>
      <c r="C153" s="7" t="inlineStr"/>
      <c r="D153" s="7" t="inlineStr"/>
      <c r="E153" s="18" t="inlineStr">
        <is>
          <t>Roads and landscape</t>
        </is>
      </c>
      <c r="F153" s="7" t="inlineStr">
        <is>
          <t>tCO2e</t>
        </is>
      </c>
      <c r="G153" s="13" t="n"/>
      <c r="H153" s="13" t="n">
        <v>0</v>
      </c>
      <c r="I153" s="13" t="n">
        <v>0</v>
      </c>
      <c r="J153" s="13" t="n">
        <v>0</v>
      </c>
      <c r="K153" s="14" t="n"/>
      <c r="L153" s="7" t="inlineStr">
        <is>
          <t>Data held</t>
        </is>
      </c>
      <c r="M153" s="7" t="inlineStr">
        <is>
          <t>ESG</t>
        </is>
      </c>
      <c r="N153" s="10" t="inlineStr"/>
      <c r="O153" s="10" t="inlineStr"/>
      <c r="P153" s="10" t="inlineStr"/>
      <c r="Q153" s="10" t="inlineStr"/>
      <c r="R153" s="10" t="inlineStr"/>
      <c r="S153" s="10" t="inlineStr"/>
    </row>
    <row r="154" ht="22" customHeight="1">
      <c r="B154" s="12" t="inlineStr">
        <is>
          <t>CL1(a)</t>
        </is>
      </c>
      <c r="C154" s="7" t="inlineStr"/>
      <c r="D154" s="7" t="inlineStr"/>
      <c r="E154" s="18" t="inlineStr">
        <is>
          <t>Other</t>
        </is>
      </c>
      <c r="F154" s="7" t="inlineStr">
        <is>
          <t>tCO2e</t>
        </is>
      </c>
      <c r="G154" s="13" t="n"/>
      <c r="H154" s="13" t="n">
        <v>0</v>
      </c>
      <c r="I154" s="13" t="n">
        <v>0</v>
      </c>
      <c r="J154" s="13" t="n">
        <v>0</v>
      </c>
      <c r="K154" s="14" t="n"/>
      <c r="L154" s="7" t="inlineStr">
        <is>
          <t>Data held</t>
        </is>
      </c>
      <c r="M154" s="7" t="inlineStr">
        <is>
          <t>ESG</t>
        </is>
      </c>
      <c r="N154" s="10" t="inlineStr"/>
      <c r="O154" s="10" t="inlineStr"/>
      <c r="P154" s="10" t="inlineStr"/>
      <c r="Q154" s="10" t="inlineStr"/>
      <c r="R154" s="10" t="inlineStr"/>
      <c r="S154" s="10" t="inlineStr"/>
    </row>
    <row r="155" ht="22" customHeight="1">
      <c r="B155" s="12" t="inlineStr">
        <is>
          <t>CL1(a)</t>
        </is>
      </c>
      <c r="C155" s="7" t="inlineStr"/>
      <c r="D155" s="7" t="inlineStr"/>
      <c r="E155" s="17" t="inlineStr">
        <is>
          <t>Indirect Scope 3 emissions</t>
        </is>
      </c>
      <c r="F155" s="7" t="inlineStr">
        <is>
          <t>tCO2e</t>
        </is>
      </c>
      <c r="G155" s="13" t="n"/>
      <c r="H155" s="13" t="n">
        <v>193049</v>
      </c>
      <c r="I155" s="13" t="n">
        <v>175574</v>
      </c>
      <c r="J155" s="13" t="n">
        <v>154222</v>
      </c>
      <c r="K155" s="14" t="n"/>
      <c r="L155" s="7" t="inlineStr">
        <is>
          <t>Data held</t>
        </is>
      </c>
      <c r="M155" s="7" t="inlineStr">
        <is>
          <t>ESG</t>
        </is>
      </c>
      <c r="N155" s="10" t="inlineStr"/>
      <c r="O155" s="10" t="inlineStr"/>
      <c r="P155" s="10" t="inlineStr"/>
      <c r="Q155" s="10" t="inlineStr"/>
      <c r="R155" s="10" t="inlineStr"/>
      <c r="S155" s="10" t="inlineStr"/>
    </row>
    <row r="156" ht="22" customHeight="1">
      <c r="B156" s="12" t="inlineStr">
        <is>
          <t>CL1(a)</t>
        </is>
      </c>
      <c r="C156" s="7" t="inlineStr"/>
      <c r="D156" s="7" t="inlineStr"/>
      <c r="E156" s="18" t="inlineStr">
        <is>
          <t>Stationary energy (gaseous fuels)</t>
        </is>
      </c>
      <c r="F156" s="7" t="inlineStr">
        <is>
          <t>tCO2e</t>
        </is>
      </c>
      <c r="G156" s="13" t="n"/>
      <c r="H156" s="13" t="n">
        <v>1102</v>
      </c>
      <c r="I156" s="13" t="n">
        <v>1061</v>
      </c>
      <c r="J156" s="13" t="n">
        <v>2315</v>
      </c>
      <c r="K156" s="14" t="n"/>
      <c r="L156" s="7" t="inlineStr">
        <is>
          <t>Data held</t>
        </is>
      </c>
      <c r="M156" s="7" t="inlineStr">
        <is>
          <t>ESG</t>
        </is>
      </c>
      <c r="N156" s="10" t="inlineStr"/>
      <c r="O156" s="10" t="inlineStr"/>
      <c r="P156" s="10" t="inlineStr"/>
      <c r="Q156" s="10" t="inlineStr"/>
      <c r="R156" s="10" t="inlineStr"/>
      <c r="S156" s="10" t="inlineStr"/>
    </row>
    <row r="157" ht="22" customHeight="1">
      <c r="B157" s="12" t="inlineStr">
        <is>
          <t>CL1(a)</t>
        </is>
      </c>
      <c r="C157" s="7" t="inlineStr"/>
      <c r="D157" s="7" t="inlineStr"/>
      <c r="E157" s="18" t="inlineStr">
        <is>
          <t>Refrigerants</t>
        </is>
      </c>
      <c r="F157" s="7" t="inlineStr">
        <is>
          <t>tCO2e</t>
        </is>
      </c>
      <c r="G157" s="13" t="n"/>
      <c r="H157" s="13" t="n"/>
      <c r="I157" s="13" t="n"/>
      <c r="J157" s="13" t="n">
        <v>80</v>
      </c>
      <c r="K157" s="14" t="n"/>
      <c r="L157" s="7" t="inlineStr">
        <is>
          <t>Data held</t>
        </is>
      </c>
      <c r="M157" s="7" t="inlineStr">
        <is>
          <t>ESG</t>
        </is>
      </c>
      <c r="N157" s="10" t="inlineStr"/>
      <c r="O157" s="10" t="inlineStr"/>
      <c r="P157" s="10" t="inlineStr"/>
      <c r="Q157" s="10" t="inlineStr"/>
      <c r="R157" s="10" t="inlineStr"/>
      <c r="S157" s="10" t="inlineStr"/>
    </row>
    <row r="158" ht="22" customHeight="1">
      <c r="B158" s="12" t="inlineStr">
        <is>
          <t>CL1(a)</t>
        </is>
      </c>
      <c r="C158" s="7" t="inlineStr"/>
      <c r="D158" s="7" t="inlineStr"/>
      <c r="E158" s="18" t="inlineStr">
        <is>
          <t>Transport (land and sea)</t>
        </is>
      </c>
      <c r="F158" s="7" t="inlineStr">
        <is>
          <t>tCO2e</t>
        </is>
      </c>
      <c r="G158" s="13" t="n"/>
      <c r="H158" s="13" t="n">
        <v>7394</v>
      </c>
      <c r="I158" s="13" t="n">
        <v>5564</v>
      </c>
      <c r="J158" s="13" t="n">
        <v>5461</v>
      </c>
      <c r="K158" s="14" t="n"/>
      <c r="L158" s="7" t="inlineStr">
        <is>
          <t>Data held</t>
        </is>
      </c>
      <c r="M158" s="7" t="inlineStr">
        <is>
          <t>ESG</t>
        </is>
      </c>
      <c r="N158" s="10" t="inlineStr"/>
      <c r="O158" s="10" t="inlineStr"/>
      <c r="P158" s="10" t="inlineStr"/>
      <c r="Q158" s="10" t="inlineStr"/>
      <c r="R158" s="10" t="inlineStr"/>
      <c r="S158" s="10" t="inlineStr"/>
    </row>
    <row r="159" ht="22" customHeight="1">
      <c r="B159" s="12" t="inlineStr">
        <is>
          <t>CL1(a)</t>
        </is>
      </c>
      <c r="C159" s="7" t="inlineStr"/>
      <c r="D159" s="7" t="inlineStr"/>
      <c r="E159" s="18" t="inlineStr">
        <is>
          <t>Stationary energy (LPG)</t>
        </is>
      </c>
      <c r="F159" s="7" t="inlineStr">
        <is>
          <t>tCO2e</t>
        </is>
      </c>
      <c r="G159" s="13" t="n"/>
      <c r="H159" s="13" t="n">
        <v>52</v>
      </c>
      <c r="I159" s="13" t="n">
        <v>10</v>
      </c>
      <c r="J159" s="13" t="n">
        <v>0</v>
      </c>
      <c r="K159" s="14" t="n"/>
      <c r="L159" s="7" t="inlineStr">
        <is>
          <t>Data held</t>
        </is>
      </c>
      <c r="M159" s="7" t="inlineStr">
        <is>
          <t>ESG</t>
        </is>
      </c>
      <c r="N159" s="10" t="inlineStr"/>
      <c r="O159" s="10" t="inlineStr"/>
      <c r="P159" s="10" t="inlineStr"/>
      <c r="Q159" s="10" t="inlineStr"/>
      <c r="R159" s="10" t="inlineStr"/>
      <c r="S159" s="10" t="inlineStr"/>
    </row>
    <row r="160" ht="22" customHeight="1">
      <c r="B160" s="12" t="inlineStr">
        <is>
          <t>CL1(a)</t>
        </is>
      </c>
      <c r="C160" s="7" t="inlineStr"/>
      <c r="D160" s="7" t="inlineStr"/>
      <c r="E160" s="18" t="inlineStr">
        <is>
          <t>Electricity (Market-Based)</t>
        </is>
      </c>
      <c r="F160" s="7" t="inlineStr">
        <is>
          <t>tCO2e</t>
        </is>
      </c>
      <c r="G160" s="13" t="n"/>
      <c r="H160" s="13" t="n">
        <v>3878</v>
      </c>
      <c r="I160" s="13" t="n">
        <v>3592</v>
      </c>
      <c r="J160" s="13" t="n">
        <v>4644</v>
      </c>
      <c r="K160" s="14" t="n"/>
      <c r="L160" s="7" t="inlineStr">
        <is>
          <t>Data held</t>
        </is>
      </c>
      <c r="M160" s="7" t="inlineStr">
        <is>
          <t>ESG</t>
        </is>
      </c>
      <c r="N160" s="10" t="inlineStr"/>
      <c r="O160" s="10" t="inlineStr"/>
      <c r="P160" s="10" t="inlineStr"/>
      <c r="Q160" s="10" t="inlineStr"/>
      <c r="R160" s="10" t="inlineStr"/>
      <c r="S160" s="10" t="inlineStr"/>
    </row>
    <row r="161" ht="22" customHeight="1">
      <c r="B161" s="12" t="inlineStr">
        <is>
          <t>CL1(a)</t>
        </is>
      </c>
      <c r="C161" s="7" t="inlineStr"/>
      <c r="D161" s="7" t="inlineStr"/>
      <c r="E161" s="18" t="inlineStr">
        <is>
          <t>Professional services</t>
        </is>
      </c>
      <c r="F161" s="7" t="inlineStr">
        <is>
          <t>tCO2e</t>
        </is>
      </c>
      <c r="G161" s="13" t="n"/>
      <c r="H161" s="13" t="n">
        <v>58053</v>
      </c>
      <c r="I161" s="13" t="n">
        <v>69377</v>
      </c>
      <c r="J161" s="13" t="n">
        <v>69347</v>
      </c>
      <c r="K161" s="14" t="n"/>
      <c r="L161" s="7" t="inlineStr">
        <is>
          <t>Data held</t>
        </is>
      </c>
      <c r="M161" s="7" t="inlineStr">
        <is>
          <t>ESG</t>
        </is>
      </c>
      <c r="N161" s="10" t="inlineStr"/>
      <c r="O161" s="10" t="inlineStr"/>
      <c r="P161" s="10" t="inlineStr"/>
      <c r="Q161" s="10" t="inlineStr"/>
      <c r="R161" s="10" t="inlineStr"/>
      <c r="S161" s="10" t="inlineStr"/>
    </row>
    <row r="162" ht="22" customHeight="1">
      <c r="B162" s="12" t="inlineStr">
        <is>
          <t>CL1(a)</t>
        </is>
      </c>
      <c r="C162" s="7" t="inlineStr"/>
      <c r="D162" s="7" t="inlineStr"/>
      <c r="E162" s="18" t="inlineStr">
        <is>
          <t>Construction materials and services</t>
        </is>
      </c>
      <c r="F162" s="7" t="inlineStr">
        <is>
          <t>tCO2e</t>
        </is>
      </c>
      <c r="G162" s="13" t="n"/>
      <c r="H162" s="13" t="n">
        <v>27169</v>
      </c>
      <c r="I162" s="13" t="n">
        <v>20601</v>
      </c>
      <c r="J162" s="13" t="n">
        <v>15830</v>
      </c>
      <c r="K162" s="14" t="n"/>
      <c r="L162" s="7" t="inlineStr">
        <is>
          <t>Data held</t>
        </is>
      </c>
      <c r="M162" s="7" t="inlineStr">
        <is>
          <t>ESG</t>
        </is>
      </c>
      <c r="N162" s="10" t="inlineStr"/>
      <c r="O162" s="10" t="inlineStr"/>
      <c r="P162" s="10" t="inlineStr"/>
      <c r="Q162" s="10" t="inlineStr"/>
      <c r="R162" s="10" t="inlineStr"/>
      <c r="S162" s="10" t="inlineStr"/>
    </row>
    <row r="163" ht="22" customHeight="1">
      <c r="B163" s="12" t="inlineStr">
        <is>
          <t>CL1(a)</t>
        </is>
      </c>
      <c r="C163" s="7" t="inlineStr"/>
      <c r="D163" s="7" t="inlineStr"/>
      <c r="E163" s="18" t="inlineStr">
        <is>
          <t>Transport (air travel)</t>
        </is>
      </c>
      <c r="F163" s="7" t="inlineStr">
        <is>
          <t>tCO2e</t>
        </is>
      </c>
      <c r="G163" s="13" t="n"/>
      <c r="H163" s="13" t="n">
        <v>33556</v>
      </c>
      <c r="I163" s="13" t="n">
        <v>22092</v>
      </c>
      <c r="J163" s="13" t="n">
        <v>20055</v>
      </c>
      <c r="K163" s="14" t="n"/>
      <c r="L163" s="7" t="inlineStr">
        <is>
          <t>Data held</t>
        </is>
      </c>
      <c r="M163" s="7" t="inlineStr">
        <is>
          <t>ESG</t>
        </is>
      </c>
      <c r="N163" s="10" t="inlineStr"/>
      <c r="O163" s="10" t="inlineStr"/>
      <c r="P163" s="10" t="inlineStr"/>
      <c r="Q163" s="10" t="inlineStr"/>
      <c r="R163" s="10" t="inlineStr"/>
      <c r="S163" s="10" t="inlineStr"/>
    </row>
    <row r="164" ht="22" customHeight="1">
      <c r="B164" s="12" t="inlineStr">
        <is>
          <t>CL1(a)</t>
        </is>
      </c>
      <c r="C164" s="7" t="inlineStr"/>
      <c r="D164" s="7" t="inlineStr"/>
      <c r="E164" s="18" t="inlineStr">
        <is>
          <t>ICT services and equipment</t>
        </is>
      </c>
      <c r="F164" s="7" t="inlineStr">
        <is>
          <t>tCO2e</t>
        </is>
      </c>
      <c r="G164" s="13" t="n"/>
      <c r="H164" s="13" t="n">
        <v>13849</v>
      </c>
      <c r="I164" s="13" t="n">
        <v>20458</v>
      </c>
      <c r="J164" s="13" t="n">
        <v>7239</v>
      </c>
      <c r="K164" s="14" t="n"/>
      <c r="L164" s="7" t="inlineStr">
        <is>
          <t>Data held</t>
        </is>
      </c>
      <c r="M164" s="7" t="inlineStr">
        <is>
          <t>ESG</t>
        </is>
      </c>
      <c r="N164" s="10" t="inlineStr"/>
      <c r="O164" s="10" t="inlineStr"/>
      <c r="P164" s="10" t="inlineStr"/>
      <c r="Q164" s="10" t="inlineStr"/>
      <c r="R164" s="10" t="inlineStr"/>
      <c r="S164" s="10" t="inlineStr"/>
    </row>
    <row r="165" ht="22" customHeight="1">
      <c r="B165" s="12" t="inlineStr">
        <is>
          <t>CL1(a)</t>
        </is>
      </c>
      <c r="C165" s="7" t="inlineStr"/>
      <c r="D165" s="7" t="inlineStr"/>
      <c r="E165" s="18" t="inlineStr">
        <is>
          <t>Products</t>
        </is>
      </c>
      <c r="F165" s="7" t="inlineStr">
        <is>
          <t>tCO2e</t>
        </is>
      </c>
      <c r="G165" s="13" t="n"/>
      <c r="H165" s="13" t="n">
        <v>12048</v>
      </c>
      <c r="I165" s="13" t="n">
        <v>11820</v>
      </c>
      <c r="J165" s="13" t="n">
        <v>8012</v>
      </c>
      <c r="K165" s="14" t="n"/>
      <c r="L165" s="7" t="inlineStr">
        <is>
          <t>Data held</t>
        </is>
      </c>
      <c r="M165" s="7" t="inlineStr">
        <is>
          <t>ESG</t>
        </is>
      </c>
      <c r="N165" s="10" t="inlineStr"/>
      <c r="O165" s="10" t="inlineStr"/>
      <c r="P165" s="10" t="inlineStr"/>
      <c r="Q165" s="10" t="inlineStr"/>
      <c r="R165" s="10" t="inlineStr"/>
      <c r="S165" s="10" t="inlineStr"/>
    </row>
    <row r="166" ht="22" customHeight="1">
      <c r="B166" s="12" t="inlineStr">
        <is>
          <t>CL1(a)</t>
        </is>
      </c>
      <c r="C166" s="7" t="inlineStr"/>
      <c r="D166" s="7" t="inlineStr"/>
      <c r="E166" s="18" t="inlineStr">
        <is>
          <t>Food</t>
        </is>
      </c>
      <c r="F166" s="7" t="inlineStr">
        <is>
          <t>tCO2e</t>
        </is>
      </c>
      <c r="G166" s="13" t="n"/>
      <c r="H166" s="13" t="n">
        <v>5769</v>
      </c>
      <c r="I166" s="13" t="n">
        <v>6203</v>
      </c>
      <c r="J166" s="13" t="n">
        <v>4055</v>
      </c>
      <c r="K166" s="14" t="n"/>
      <c r="L166" s="7" t="inlineStr">
        <is>
          <t>Data held</t>
        </is>
      </c>
      <c r="M166" s="7" t="inlineStr">
        <is>
          <t>ESG</t>
        </is>
      </c>
      <c r="N166" s="10" t="inlineStr"/>
      <c r="O166" s="10" t="inlineStr"/>
      <c r="P166" s="10" t="inlineStr"/>
      <c r="Q166" s="10" t="inlineStr"/>
      <c r="R166" s="10" t="inlineStr"/>
      <c r="S166" s="10" t="inlineStr"/>
    </row>
    <row r="167" ht="22" customHeight="1">
      <c r="B167" s="12" t="inlineStr">
        <is>
          <t>CL1(a)</t>
        </is>
      </c>
      <c r="C167" s="7" t="inlineStr"/>
      <c r="D167" s="7" t="inlineStr"/>
      <c r="E167" s="18" t="inlineStr">
        <is>
          <t>Office equipment and supplies</t>
        </is>
      </c>
      <c r="F167" s="7" t="inlineStr">
        <is>
          <t>tCO2e</t>
        </is>
      </c>
      <c r="G167" s="13" t="n"/>
      <c r="H167" s="13" t="n">
        <v>13961</v>
      </c>
      <c r="I167" s="13" t="n">
        <v>3893</v>
      </c>
      <c r="J167" s="13" t="n">
        <v>3536</v>
      </c>
      <c r="K167" s="14" t="n"/>
      <c r="L167" s="7" t="inlineStr">
        <is>
          <t>Data held</t>
        </is>
      </c>
      <c r="M167" s="7" t="inlineStr">
        <is>
          <t>ESG</t>
        </is>
      </c>
      <c r="N167" s="10" t="inlineStr"/>
      <c r="O167" s="10" t="inlineStr"/>
      <c r="P167" s="10" t="inlineStr"/>
      <c r="Q167" s="10" t="inlineStr"/>
      <c r="R167" s="10" t="inlineStr"/>
      <c r="S167" s="10" t="inlineStr"/>
    </row>
    <row r="168" ht="22" customHeight="1">
      <c r="B168" s="12" t="inlineStr">
        <is>
          <t>CL1(a)</t>
        </is>
      </c>
      <c r="C168" s="7" t="inlineStr"/>
      <c r="D168" s="7" t="inlineStr"/>
      <c r="E168" s="18" t="inlineStr">
        <is>
          <t>Accommodation and facilities</t>
        </is>
      </c>
      <c r="F168" s="7" t="inlineStr">
        <is>
          <t>tCO2e</t>
        </is>
      </c>
      <c r="G168" s="13" t="n"/>
      <c r="H168" s="13" t="n">
        <v>1649</v>
      </c>
      <c r="I168" s="13" t="n">
        <v>2412</v>
      </c>
      <c r="J168" s="13" t="n">
        <v>1552</v>
      </c>
      <c r="K168" s="14" t="n"/>
      <c r="L168" s="7" t="inlineStr">
        <is>
          <t>Data held</t>
        </is>
      </c>
      <c r="M168" s="7" t="inlineStr">
        <is>
          <t>ESG</t>
        </is>
      </c>
      <c r="N168" s="10" t="inlineStr"/>
      <c r="O168" s="10" t="inlineStr"/>
      <c r="P168" s="10" t="inlineStr"/>
      <c r="Q168" s="10" t="inlineStr"/>
      <c r="R168" s="10" t="inlineStr"/>
      <c r="S168" s="10" t="inlineStr"/>
    </row>
    <row r="169" ht="22" customHeight="1">
      <c r="B169" s="12" t="inlineStr">
        <is>
          <t>CL1(a)</t>
        </is>
      </c>
      <c r="C169" s="7" t="inlineStr"/>
      <c r="D169" s="7" t="inlineStr"/>
      <c r="E169" s="18" t="inlineStr">
        <is>
          <t>Working from home</t>
        </is>
      </c>
      <c r="F169" s="7" t="inlineStr">
        <is>
          <t>tCO2e</t>
        </is>
      </c>
      <c r="G169" s="13" t="n"/>
      <c r="H169" s="13" t="n">
        <v>3204</v>
      </c>
      <c r="I169" s="13" t="n">
        <v>2582</v>
      </c>
      <c r="J169" s="13" t="n">
        <v>2607</v>
      </c>
      <c r="K169" s="14" t="n"/>
      <c r="L169" s="7" t="inlineStr">
        <is>
          <t>Data held</t>
        </is>
      </c>
      <c r="M169" s="7" t="inlineStr">
        <is>
          <t>ESG</t>
        </is>
      </c>
      <c r="N169" s="10" t="inlineStr"/>
      <c r="O169" s="10" t="inlineStr"/>
      <c r="P169" s="10" t="inlineStr"/>
      <c r="Q169" s="10" t="inlineStr"/>
      <c r="R169" s="10" t="inlineStr"/>
      <c r="S169" s="10" t="inlineStr"/>
    </row>
    <row r="170" ht="22" customHeight="1">
      <c r="B170" s="12" t="inlineStr">
        <is>
          <t>CL1(a)</t>
        </is>
      </c>
      <c r="C170" s="7" t="inlineStr"/>
      <c r="D170" s="7" t="inlineStr"/>
      <c r="E170" s="18" t="inlineStr">
        <is>
          <t>Waste</t>
        </is>
      </c>
      <c r="F170" s="7" t="inlineStr">
        <is>
          <t>tCO2e</t>
        </is>
      </c>
      <c r="G170" s="13" t="n"/>
      <c r="H170" s="13" t="n">
        <v>2460</v>
      </c>
      <c r="I170" s="13" t="n">
        <v>2265</v>
      </c>
      <c r="J170" s="13" t="n">
        <v>2275</v>
      </c>
      <c r="K170" s="14" t="n"/>
      <c r="L170" s="7" t="inlineStr">
        <is>
          <t>Data held</t>
        </is>
      </c>
      <c r="M170" s="7" t="inlineStr">
        <is>
          <t>ESG</t>
        </is>
      </c>
      <c r="N170" s="10" t="inlineStr"/>
      <c r="O170" s="10" t="inlineStr"/>
      <c r="P170" s="10" t="inlineStr"/>
      <c r="Q170" s="10" t="inlineStr"/>
      <c r="R170" s="10" t="inlineStr"/>
      <c r="S170" s="10" t="inlineStr"/>
    </row>
    <row r="171" ht="22" customHeight="1">
      <c r="B171" s="12" t="inlineStr">
        <is>
          <t>CL1(a)</t>
        </is>
      </c>
      <c r="C171" s="7" t="inlineStr"/>
      <c r="D171" s="7" t="inlineStr"/>
      <c r="E171" s="18" t="inlineStr">
        <is>
          <t>Cleaning and chemicals</t>
        </is>
      </c>
      <c r="F171" s="7" t="inlineStr">
        <is>
          <t>tCO2e</t>
        </is>
      </c>
      <c r="G171" s="13" t="n"/>
      <c r="H171" s="13" t="n">
        <v>1995</v>
      </c>
      <c r="I171" s="13" t="n">
        <v>930</v>
      </c>
      <c r="J171" s="13" t="n">
        <v>1673</v>
      </c>
      <c r="K171" s="14" t="n"/>
      <c r="L171" s="7" t="inlineStr">
        <is>
          <t>Data held</t>
        </is>
      </c>
      <c r="M171" s="7" t="inlineStr">
        <is>
          <t>ESG</t>
        </is>
      </c>
      <c r="N171" s="10" t="inlineStr"/>
      <c r="O171" s="10" t="inlineStr"/>
      <c r="P171" s="10" t="inlineStr"/>
      <c r="Q171" s="10" t="inlineStr"/>
      <c r="R171" s="10" t="inlineStr"/>
      <c r="S171" s="10" t="inlineStr"/>
    </row>
    <row r="172" ht="22" customHeight="1">
      <c r="B172" s="12" t="inlineStr">
        <is>
          <t>CL1(a)</t>
        </is>
      </c>
      <c r="C172" s="7" t="inlineStr"/>
      <c r="D172" s="7" t="inlineStr"/>
      <c r="E172" s="18" t="inlineStr">
        <is>
          <t>Water</t>
        </is>
      </c>
      <c r="F172" s="7" t="inlineStr">
        <is>
          <t>tCO2e</t>
        </is>
      </c>
      <c r="G172" s="13" t="n"/>
      <c r="H172" s="13" t="n">
        <v>801</v>
      </c>
      <c r="I172" s="13" t="n">
        <v>1068</v>
      </c>
      <c r="J172" s="13" t="n">
        <v>1048</v>
      </c>
      <c r="K172" s="14" t="n"/>
      <c r="L172" s="7" t="inlineStr">
        <is>
          <t>Data held</t>
        </is>
      </c>
      <c r="M172" s="7" t="inlineStr">
        <is>
          <t>ESG</t>
        </is>
      </c>
      <c r="N172" s="10" t="inlineStr"/>
      <c r="O172" s="10" t="inlineStr"/>
      <c r="P172" s="10" t="inlineStr"/>
      <c r="Q172" s="10" t="inlineStr"/>
      <c r="R172" s="10" t="inlineStr"/>
      <c r="S172" s="10" t="inlineStr"/>
    </row>
    <row r="173" ht="22" customHeight="1">
      <c r="B173" s="12" t="inlineStr">
        <is>
          <t>CL1(a)</t>
        </is>
      </c>
      <c r="C173" s="7" t="inlineStr"/>
      <c r="D173" s="7" t="inlineStr"/>
      <c r="E173" s="18" t="inlineStr">
        <is>
          <t>Postage, courier and freight</t>
        </is>
      </c>
      <c r="F173" s="7" t="inlineStr">
        <is>
          <t>tCO2e</t>
        </is>
      </c>
      <c r="G173" s="13" t="n"/>
      <c r="H173" s="13" t="n">
        <v>791</v>
      </c>
      <c r="I173" s="13" t="n">
        <v>1138</v>
      </c>
      <c r="J173" s="13" t="n">
        <v>2320</v>
      </c>
      <c r="K173" s="14" t="n"/>
      <c r="L173" s="7" t="inlineStr">
        <is>
          <t>Data held</t>
        </is>
      </c>
      <c r="M173" s="7" t="inlineStr">
        <is>
          <t>ESG</t>
        </is>
      </c>
      <c r="N173" s="10" t="inlineStr"/>
      <c r="O173" s="10" t="inlineStr"/>
      <c r="P173" s="10" t="inlineStr"/>
      <c r="Q173" s="10" t="inlineStr"/>
      <c r="R173" s="10" t="inlineStr"/>
      <c r="S173" s="10" t="inlineStr"/>
    </row>
    <row r="174" ht="22" customHeight="1">
      <c r="B174" s="12" t="inlineStr">
        <is>
          <t>CL1(a)</t>
        </is>
      </c>
      <c r="C174" s="7" t="inlineStr"/>
      <c r="D174" s="7" t="inlineStr"/>
      <c r="E174" s="18" t="inlineStr">
        <is>
          <t>Machinery and vehicles</t>
        </is>
      </c>
      <c r="F174" s="7" t="inlineStr">
        <is>
          <t>tCO2e</t>
        </is>
      </c>
      <c r="G174" s="13" t="n"/>
      <c r="H174" s="13" t="n">
        <v>1142</v>
      </c>
      <c r="I174" s="13" t="n">
        <v>448</v>
      </c>
      <c r="J174" s="13" t="n">
        <v>1939</v>
      </c>
      <c r="K174" s="14" t="n"/>
      <c r="L174" s="7" t="inlineStr">
        <is>
          <t>Data held</t>
        </is>
      </c>
      <c r="M174" s="7" t="inlineStr">
        <is>
          <t>ESG</t>
        </is>
      </c>
      <c r="N174" s="10" t="inlineStr"/>
      <c r="O174" s="10" t="inlineStr"/>
      <c r="P174" s="10" t="inlineStr"/>
      <c r="Q174" s="10" t="inlineStr"/>
      <c r="R174" s="10" t="inlineStr"/>
      <c r="S174" s="10" t="inlineStr"/>
    </row>
    <row r="175" ht="22" customHeight="1">
      <c r="B175" s="12" t="inlineStr">
        <is>
          <t>CL1(a)</t>
        </is>
      </c>
      <c r="C175" s="7" t="inlineStr"/>
      <c r="D175" s="7" t="inlineStr"/>
      <c r="E175" s="18" t="inlineStr">
        <is>
          <t>Horticulture and agriculture</t>
        </is>
      </c>
      <c r="F175" s="7" t="inlineStr">
        <is>
          <t>tCO2e</t>
        </is>
      </c>
      <c r="G175" s="13" t="n"/>
      <c r="H175" s="13" t="n">
        <v>1682</v>
      </c>
      <c r="I175" s="13" t="n">
        <v>58</v>
      </c>
      <c r="J175" s="13" t="n">
        <v>314</v>
      </c>
      <c r="K175" s="14" t="n"/>
      <c r="L175" s="7" t="inlineStr">
        <is>
          <t>Data held</t>
        </is>
      </c>
      <c r="M175" s="7" t="inlineStr">
        <is>
          <t>ESG</t>
        </is>
      </c>
      <c r="N175" s="10" t="inlineStr"/>
      <c r="O175" s="10" t="inlineStr"/>
      <c r="P175" s="10" t="inlineStr"/>
      <c r="Q175" s="10" t="inlineStr"/>
      <c r="R175" s="10" t="inlineStr"/>
      <c r="S175" s="10" t="inlineStr"/>
    </row>
    <row r="176" ht="22" customHeight="1">
      <c r="B176" s="12" t="inlineStr">
        <is>
          <t>CL1(a)</t>
        </is>
      </c>
      <c r="C176" s="7" t="inlineStr"/>
      <c r="D176" s="7" t="inlineStr"/>
      <c r="E176" s="18" t="inlineStr">
        <is>
          <t>Roads and landscape</t>
        </is>
      </c>
      <c r="F176" s="7" t="inlineStr">
        <is>
          <t>tCO2e</t>
        </is>
      </c>
      <c r="G176" s="13" t="n"/>
      <c r="H176" s="13" t="n">
        <v>0</v>
      </c>
      <c r="I176" s="13" t="n">
        <v>0</v>
      </c>
      <c r="J176" s="13" t="n">
        <v>0</v>
      </c>
      <c r="K176" s="14" t="n"/>
      <c r="L176" s="7" t="inlineStr">
        <is>
          <t>Data held</t>
        </is>
      </c>
      <c r="M176" s="7" t="inlineStr">
        <is>
          <t>ESG</t>
        </is>
      </c>
      <c r="N176" s="10" t="inlineStr"/>
      <c r="O176" s="10" t="inlineStr"/>
      <c r="P176" s="10" t="inlineStr"/>
      <c r="Q176" s="10" t="inlineStr"/>
      <c r="R176" s="10" t="inlineStr"/>
      <c r="S176" s="10" t="inlineStr"/>
    </row>
    <row r="177" ht="22" customHeight="1">
      <c r="B177" s="12" t="inlineStr">
        <is>
          <t>CL1(a)</t>
        </is>
      </c>
      <c r="C177" s="7" t="inlineStr"/>
      <c r="D177" s="7" t="inlineStr"/>
      <c r="E177" s="18" t="inlineStr">
        <is>
          <t>Other</t>
        </is>
      </c>
      <c r="F177" s="7" t="inlineStr">
        <is>
          <t>tCO2e</t>
        </is>
      </c>
      <c r="G177" s="13" t="n"/>
      <c r="H177" s="13" t="n">
        <v>2492</v>
      </c>
      <c r="I177" s="13" t="n">
        <v>0</v>
      </c>
      <c r="J177" s="13" t="n">
        <v>0</v>
      </c>
      <c r="K177" s="14" t="n"/>
      <c r="L177" s="7" t="inlineStr">
        <is>
          <t>Data held</t>
        </is>
      </c>
      <c r="M177" s="7" t="inlineStr">
        <is>
          <t>ESG</t>
        </is>
      </c>
      <c r="N177" s="10" t="inlineStr"/>
      <c r="O177" s="10" t="inlineStr"/>
      <c r="P177" s="10" t="inlineStr"/>
      <c r="Q177" s="10" t="inlineStr"/>
      <c r="R177" s="10" t="inlineStr"/>
      <c r="S177" s="10" t="inlineStr"/>
    </row>
    <row r="178" ht="22" customHeight="1">
      <c r="B178" s="12" t="inlineStr">
        <is>
          <t>CL1(a)</t>
        </is>
      </c>
      <c r="C178" s="7" t="inlineStr"/>
      <c r="D178" s="7" t="inlineStr"/>
      <c r="E178" s="7" t="inlineStr">
        <is>
          <t>Total Carbon offsets</t>
        </is>
      </c>
      <c r="F178" s="7" t="inlineStr">
        <is>
          <t>tCO2e</t>
        </is>
      </c>
      <c r="G178" s="13" t="n"/>
      <c r="H178" s="13" t="n">
        <v>68852</v>
      </c>
      <c r="I178" s="13" t="n">
        <v>54782</v>
      </c>
      <c r="J178" s="13" t="n">
        <v>170705</v>
      </c>
      <c r="K178" s="14" t="n"/>
      <c r="L178" s="7" t="inlineStr">
        <is>
          <t>Data held</t>
        </is>
      </c>
      <c r="M178" s="7" t="inlineStr">
        <is>
          <t>ESG</t>
        </is>
      </c>
      <c r="N178" s="10" t="inlineStr"/>
      <c r="O178" s="10" t="inlineStr"/>
      <c r="P178" s="10" t="inlineStr"/>
      <c r="Q178" s="10" t="inlineStr"/>
      <c r="R178" s="10" t="inlineStr"/>
      <c r="S178" s="10" t="inlineStr"/>
    </row>
    <row r="179" ht="22" customHeight="1">
      <c r="B179" s="12" t="inlineStr">
        <is>
          <t>CL1(a)</t>
        </is>
      </c>
      <c r="C179" s="7" t="inlineStr"/>
      <c r="D179" s="7" t="inlineStr"/>
      <c r="E179" s="17" t="inlineStr">
        <is>
          <t>Carbon offsets for scope 1</t>
        </is>
      </c>
      <c r="F179" s="7" t="inlineStr">
        <is>
          <t>tCO2e</t>
        </is>
      </c>
      <c r="G179" s="13" t="n"/>
      <c r="H179" s="13" t="inlineStr">
        <is>
          <t>N/A</t>
        </is>
      </c>
      <c r="I179" s="13" t="inlineStr">
        <is>
          <t>N/A</t>
        </is>
      </c>
      <c r="J179" s="13" t="n">
        <v>16485</v>
      </c>
      <c r="K179" s="14" t="n"/>
      <c r="L179" s="7" t="inlineStr">
        <is>
          <t>Data held</t>
        </is>
      </c>
      <c r="M179" s="7" t="inlineStr">
        <is>
          <t>ESG</t>
        </is>
      </c>
      <c r="N179" s="10" t="inlineStr"/>
      <c r="O179" s="10" t="inlineStr"/>
      <c r="P179" s="10" t="inlineStr"/>
      <c r="Q179" s="10" t="inlineStr"/>
      <c r="R179" s="10" t="inlineStr"/>
      <c r="S179" s="10" t="inlineStr"/>
    </row>
    <row r="180" ht="22" customHeight="1">
      <c r="B180" s="12" t="inlineStr">
        <is>
          <t>CL1(a)</t>
        </is>
      </c>
      <c r="C180" s="7" t="inlineStr"/>
      <c r="D180" s="7" t="inlineStr"/>
      <c r="E180" s="17" t="inlineStr">
        <is>
          <t>Carbon offsets for scope 2</t>
        </is>
      </c>
      <c r="F180" s="7" t="inlineStr">
        <is>
          <t>tCO2e</t>
        </is>
      </c>
      <c r="G180" s="13" t="n"/>
      <c r="H180" s="13" t="inlineStr">
        <is>
          <t>N/A</t>
        </is>
      </c>
      <c r="I180" s="13" t="inlineStr">
        <is>
          <t>N/A</t>
        </is>
      </c>
      <c r="J180" s="13" t="n">
        <v>0</v>
      </c>
      <c r="K180" s="14" t="n"/>
      <c r="L180" s="7" t="inlineStr">
        <is>
          <t>Data held</t>
        </is>
      </c>
      <c r="M180" s="7" t="inlineStr">
        <is>
          <t>ESG</t>
        </is>
      </c>
      <c r="N180" s="10" t="inlineStr"/>
      <c r="O180" s="10" t="inlineStr"/>
      <c r="P180" s="10" t="inlineStr"/>
      <c r="Q180" s="10" t="inlineStr"/>
      <c r="R180" s="10" t="inlineStr"/>
      <c r="S180" s="10" t="inlineStr"/>
    </row>
    <row r="181" ht="22" customHeight="1">
      <c r="B181" s="12" t="inlineStr">
        <is>
          <t>CL1(a)</t>
        </is>
      </c>
      <c r="C181" s="7" t="inlineStr"/>
      <c r="D181" s="7" t="inlineStr"/>
      <c r="E181" s="17" t="inlineStr">
        <is>
          <t>Carbon offsets for scope 3</t>
        </is>
      </c>
      <c r="F181" s="7" t="inlineStr">
        <is>
          <t>tCO2e</t>
        </is>
      </c>
      <c r="G181" s="13" t="n"/>
      <c r="H181" s="13" t="inlineStr">
        <is>
          <t>N/A</t>
        </is>
      </c>
      <c r="I181" s="13" t="inlineStr">
        <is>
          <t>N/A</t>
        </is>
      </c>
      <c r="J181" s="13" t="n">
        <v>154220</v>
      </c>
      <c r="K181" s="14" t="n"/>
      <c r="L181" s="7" t="inlineStr">
        <is>
          <t>Data held</t>
        </is>
      </c>
      <c r="M181" s="7" t="inlineStr">
        <is>
          <t>ESG</t>
        </is>
      </c>
      <c r="N181" s="10" t="inlineStr"/>
      <c r="O181" s="10" t="inlineStr"/>
      <c r="P181" s="10" t="inlineStr"/>
      <c r="Q181" s="10" t="inlineStr"/>
      <c r="R181" s="10" t="inlineStr"/>
      <c r="S181" s="10" t="inlineStr"/>
    </row>
    <row r="182" ht="22" customHeight="1">
      <c r="B182" s="12" t="inlineStr">
        <is>
          <t>CL1(a)</t>
        </is>
      </c>
      <c r="C182" s="7" t="inlineStr"/>
      <c r="D182" s="7" t="inlineStr"/>
      <c r="E182" s="7" t="inlineStr">
        <is>
          <t>Net total emissions</t>
        </is>
      </c>
      <c r="F182" s="7" t="inlineStr">
        <is>
          <t>tCO2e</t>
        </is>
      </c>
      <c r="G182" s="13" t="n"/>
      <c r="H182" s="13" t="n">
        <v>172276</v>
      </c>
      <c r="I182" s="13" t="n">
        <v>165457</v>
      </c>
      <c r="J182" s="13" t="n">
        <v>0</v>
      </c>
      <c r="K182" s="14" t="n"/>
      <c r="L182" s="7" t="inlineStr">
        <is>
          <t>Data held</t>
        </is>
      </c>
      <c r="M182" s="7" t="inlineStr">
        <is>
          <t>ESG</t>
        </is>
      </c>
      <c r="N182" s="10" t="inlineStr"/>
      <c r="O182" s="10" t="inlineStr"/>
      <c r="P182" s="10" t="inlineStr"/>
      <c r="Q182" s="10" t="inlineStr"/>
      <c r="R182" s="10" t="inlineStr"/>
      <c r="S182" s="10" t="inlineStr"/>
    </row>
    <row r="183" ht="22" customHeight="1">
      <c r="B183" s="12" t="inlineStr">
        <is>
          <t>CL1(a)</t>
        </is>
      </c>
      <c r="C183" s="7" t="inlineStr"/>
      <c r="D183" s="7" t="inlineStr"/>
      <c r="E183" s="7" t="inlineStr">
        <is>
          <t>Total Electricity Usage</t>
        </is>
      </c>
      <c r="F183" s="7" t="inlineStr">
        <is>
          <t>MWh</t>
        </is>
      </c>
      <c r="G183" s="13" t="n"/>
      <c r="H183" s="13" t="n">
        <v>115156</v>
      </c>
      <c r="I183" s="13" t="n">
        <v>117811</v>
      </c>
      <c r="J183" s="13" t="n">
        <v>119826</v>
      </c>
      <c r="K183" s="14" t="n"/>
      <c r="L183" s="7" t="inlineStr">
        <is>
          <t>Data held</t>
        </is>
      </c>
      <c r="M183" s="7" t="inlineStr">
        <is>
          <t>ESG</t>
        </is>
      </c>
      <c r="N183" s="10" t="inlineStr"/>
      <c r="O183" s="10" t="inlineStr"/>
      <c r="P183" s="10" t="inlineStr"/>
      <c r="Q183" s="10" t="inlineStr"/>
      <c r="R183" s="10" t="inlineStr"/>
      <c r="S183" s="10" t="inlineStr"/>
    </row>
    <row r="184" ht="22" customHeight="1">
      <c r="B184" s="12" t="inlineStr">
        <is>
          <t>CL1(a)</t>
        </is>
      </c>
      <c r="C184" s="7" t="inlineStr"/>
      <c r="D184" s="7" t="inlineStr"/>
      <c r="E184" s="7" t="inlineStr">
        <is>
          <t>Total on-campus solar</t>
        </is>
      </c>
      <c r="F184" s="7" t="inlineStr">
        <is>
          <t>MWh</t>
        </is>
      </c>
      <c r="G184" s="13" t="n"/>
      <c r="H184" s="13" t="n">
        <v>3439</v>
      </c>
      <c r="I184" s="13" t="n">
        <v>3795</v>
      </c>
      <c r="J184" s="13" t="n">
        <v>3879</v>
      </c>
      <c r="K184" s="14" t="n"/>
      <c r="L184" s="7" t="inlineStr">
        <is>
          <t>Data held</t>
        </is>
      </c>
      <c r="M184" s="7" t="inlineStr">
        <is>
          <t>ESG</t>
        </is>
      </c>
      <c r="N184" s="10" t="inlineStr"/>
      <c r="O184" s="10" t="inlineStr"/>
      <c r="P184" s="10" t="inlineStr"/>
      <c r="Q184" s="10" t="inlineStr"/>
      <c r="R184" s="10" t="inlineStr"/>
      <c r="S184" s="10" t="inlineStr"/>
    </row>
    <row r="185" ht="22" customHeight="1">
      <c r="B185" s="12" t="inlineStr">
        <is>
          <t>CL1(a)</t>
        </is>
      </c>
      <c r="C185" s="7" t="inlineStr"/>
      <c r="D185" s="7" t="inlineStr"/>
      <c r="E185" s="7" t="inlineStr">
        <is>
          <t>Total grid (incl. affiliates)</t>
        </is>
      </c>
      <c r="F185" s="7" t="inlineStr">
        <is>
          <t>#</t>
        </is>
      </c>
      <c r="G185" s="13" t="n"/>
      <c r="H185" s="13" t="n">
        <v>111717</v>
      </c>
      <c r="I185" s="13" t="n">
        <v>114016</v>
      </c>
      <c r="J185" s="13" t="n">
        <v>115947</v>
      </c>
      <c r="K185" s="14" t="n"/>
      <c r="L185" s="7" t="inlineStr">
        <is>
          <t>Data held</t>
        </is>
      </c>
      <c r="M185" s="7" t="inlineStr">
        <is>
          <t>ESG</t>
        </is>
      </c>
      <c r="N185" s="10" t="inlineStr"/>
      <c r="O185" s="10" t="inlineStr"/>
      <c r="P185" s="10" t="inlineStr"/>
      <c r="Q185" s="10" t="inlineStr"/>
      <c r="R185" s="10" t="inlineStr"/>
      <c r="S185" s="10" t="inlineStr"/>
    </row>
    <row r="186" ht="39" customHeight="1">
      <c r="B186" s="12" t="inlineStr">
        <is>
          <t>CL1(b)</t>
        </is>
      </c>
      <c r="C186" s="7" t="inlineStr">
        <is>
          <t>Climate Leadership</t>
        </is>
      </c>
      <c r="D186" s="7" t="inlineStr">
        <is>
          <t>Development of Greenhouse Gas Intensity metrics</t>
        </is>
      </c>
      <c r="E186" s="7" t="inlineStr">
        <is>
          <t>Net emissions /m2 GFA</t>
        </is>
      </c>
      <c r="F186" s="7" t="inlineStr">
        <is>
          <t>tCO2e / m²</t>
        </is>
      </c>
      <c r="G186" s="13" t="n"/>
      <c r="H186" s="13" t="n">
        <v>0.17</v>
      </c>
      <c r="I186" s="13" t="n">
        <v>0.16</v>
      </c>
      <c r="J186" s="13" t="n">
        <v>0</v>
      </c>
      <c r="K186" s="14" t="n"/>
      <c r="L186" s="7" t="inlineStr">
        <is>
          <t>Data held</t>
        </is>
      </c>
      <c r="M186" s="7" t="inlineStr">
        <is>
          <t>ESG</t>
        </is>
      </c>
      <c r="N186" s="10" t="inlineStr"/>
      <c r="O186" s="10" t="inlineStr"/>
      <c r="P186" s="10" t="inlineStr"/>
      <c r="Q186" s="10" t="inlineStr"/>
      <c r="R186" s="10" t="inlineStr"/>
      <c r="S186" s="10" t="inlineStr"/>
    </row>
    <row r="187" ht="22" customHeight="1">
      <c r="B187" s="12" t="inlineStr">
        <is>
          <t>CL1(b)</t>
        </is>
      </c>
      <c r="C187" s="7" t="inlineStr"/>
      <c r="D187" s="7" t="inlineStr"/>
      <c r="E187" s="7" t="inlineStr">
        <is>
          <t>Net emissions /FTE</t>
        </is>
      </c>
      <c r="F187" s="7" t="inlineStr">
        <is>
          <t>tCO2e / FTE</t>
        </is>
      </c>
      <c r="G187" s="13" t="n"/>
      <c r="H187" s="13" t="n">
        <v>16.39</v>
      </c>
      <c r="I187" s="13" t="n">
        <v>14.96</v>
      </c>
      <c r="J187" s="13" t="n">
        <v>0</v>
      </c>
      <c r="K187" s="14" t="n"/>
      <c r="L187" s="7" t="inlineStr">
        <is>
          <t>Data held</t>
        </is>
      </c>
      <c r="M187" s="7" t="inlineStr">
        <is>
          <t>ESG</t>
        </is>
      </c>
      <c r="N187" s="10" t="inlineStr"/>
      <c r="O187" s="10" t="inlineStr"/>
      <c r="P187" s="10" t="inlineStr"/>
      <c r="Q187" s="10" t="inlineStr"/>
      <c r="R187" s="10" t="inlineStr"/>
      <c r="S187" s="10" t="inlineStr"/>
    </row>
    <row r="188" ht="39" customHeight="1">
      <c r="B188" s="12" t="inlineStr">
        <is>
          <t>CL1(b)</t>
        </is>
      </c>
      <c r="C188" s="7" t="inlineStr"/>
      <c r="D188" s="7" t="inlineStr"/>
      <c r="E188" s="7" t="inlineStr">
        <is>
          <t>Net emissions /EFTSL</t>
        </is>
      </c>
      <c r="F188" s="7" t="inlineStr">
        <is>
          <t>tCO2e / EFTSL</t>
        </is>
      </c>
      <c r="G188" s="13" t="n"/>
      <c r="H188" s="13" t="n">
        <v>3.19</v>
      </c>
      <c r="I188" s="13" t="n">
        <v>2.86</v>
      </c>
      <c r="J188" s="13" t="n">
        <v>0</v>
      </c>
      <c r="K188" s="14" t="n"/>
      <c r="L188" s="7" t="inlineStr">
        <is>
          <t>Data held</t>
        </is>
      </c>
      <c r="M188" s="7" t="inlineStr">
        <is>
          <t>ESG</t>
        </is>
      </c>
      <c r="N188" s="10" t="inlineStr"/>
      <c r="O188" s="10" t="inlineStr"/>
      <c r="P188" s="10" t="inlineStr"/>
      <c r="Q188" s="10" t="inlineStr"/>
      <c r="R188" s="10" t="inlineStr"/>
      <c r="S188" s="10" t="inlineStr"/>
    </row>
    <row r="189" ht="39" customHeight="1">
      <c r="B189" s="12" t="inlineStr">
        <is>
          <t>CL1(b)</t>
        </is>
      </c>
      <c r="C189" s="7" t="inlineStr"/>
      <c r="D189" s="7" t="inlineStr"/>
      <c r="E189" s="7" t="inlineStr">
        <is>
          <t>Net emissions /(FTE + EFTSL)</t>
        </is>
      </c>
      <c r="F189" s="7" t="inlineStr">
        <is>
          <t>tCO2e / (FTE + EFTSL)</t>
        </is>
      </c>
      <c r="G189" s="13" t="n"/>
      <c r="H189" s="13" t="n">
        <v>2.67</v>
      </c>
      <c r="I189" s="13" t="n">
        <v>2.4</v>
      </c>
      <c r="J189" s="13" t="n">
        <v>0</v>
      </c>
      <c r="K189" s="14" t="n"/>
      <c r="L189" s="7" t="inlineStr">
        <is>
          <t>Data held</t>
        </is>
      </c>
      <c r="M189" s="7" t="inlineStr">
        <is>
          <t>ESG</t>
        </is>
      </c>
      <c r="N189" s="10" t="inlineStr"/>
      <c r="O189" s="10" t="inlineStr"/>
      <c r="P189" s="10" t="inlineStr"/>
      <c r="Q189" s="10" t="inlineStr"/>
      <c r="R189" s="10" t="inlineStr"/>
      <c r="S189" s="10" t="inlineStr"/>
    </row>
    <row r="190" ht="22" customHeight="1">
      <c r="B190" s="12" t="inlineStr">
        <is>
          <t>CL1(b)</t>
        </is>
      </c>
      <c r="C190" s="7" t="inlineStr"/>
      <c r="D190" s="7" t="inlineStr"/>
      <c r="E190" s="7" t="inlineStr">
        <is>
          <t>Gross emissions /m2 GFA</t>
        </is>
      </c>
      <c r="F190" s="7" t="inlineStr">
        <is>
          <t>tCO2e / m²</t>
        </is>
      </c>
      <c r="G190" s="13" t="n"/>
      <c r="H190" s="13" t="n">
        <v>0.23</v>
      </c>
      <c r="I190" s="13" t="n">
        <v>0.21</v>
      </c>
      <c r="J190" s="13" t="n">
        <v>0.16</v>
      </c>
      <c r="K190" s="14" t="n"/>
      <c r="L190" s="7" t="inlineStr">
        <is>
          <t>Data held</t>
        </is>
      </c>
      <c r="M190" s="7" t="inlineStr">
        <is>
          <t>ESG</t>
        </is>
      </c>
      <c r="N190" s="10" t="inlineStr"/>
      <c r="O190" s="10" t="inlineStr"/>
      <c r="P190" s="10" t="inlineStr"/>
      <c r="Q190" s="10" t="inlineStr"/>
      <c r="R190" s="10" t="inlineStr"/>
      <c r="S190" s="10" t="inlineStr"/>
    </row>
    <row r="191" ht="22" customHeight="1">
      <c r="B191" s="12" t="inlineStr">
        <is>
          <t>CL1(b)</t>
        </is>
      </c>
      <c r="C191" s="7" t="inlineStr"/>
      <c r="D191" s="7" t="inlineStr"/>
      <c r="E191" s="7" t="inlineStr">
        <is>
          <t>Gross emissions /FTE</t>
        </is>
      </c>
      <c r="F191" s="7" t="inlineStr">
        <is>
          <t>tCO2e / FTE</t>
        </is>
      </c>
      <c r="G191" s="13" t="n"/>
      <c r="H191" s="13" t="n">
        <v>23.13</v>
      </c>
      <c r="I191" s="13" t="n">
        <v>19.91</v>
      </c>
      <c r="J191" s="13" t="n">
        <v>15.3</v>
      </c>
      <c r="K191" s="14" t="n"/>
      <c r="L191" s="7" t="inlineStr">
        <is>
          <t>Data held</t>
        </is>
      </c>
      <c r="M191" s="7" t="inlineStr">
        <is>
          <t>ESG</t>
        </is>
      </c>
      <c r="N191" s="10" t="inlineStr"/>
      <c r="O191" s="10" t="inlineStr"/>
      <c r="P191" s="10" t="inlineStr"/>
      <c r="Q191" s="10" t="inlineStr"/>
      <c r="R191" s="10" t="inlineStr"/>
      <c r="S191" s="10" t="inlineStr"/>
    </row>
    <row r="192" ht="39" customHeight="1">
      <c r="B192" s="12" t="inlineStr">
        <is>
          <t>CL1(b)</t>
        </is>
      </c>
      <c r="C192" s="7" t="inlineStr"/>
      <c r="D192" s="7" t="inlineStr"/>
      <c r="E192" s="7" t="inlineStr">
        <is>
          <t>Gross emissions /EFTSL</t>
        </is>
      </c>
      <c r="F192" s="7" t="inlineStr">
        <is>
          <t>tCO2e / EFTSL</t>
        </is>
      </c>
      <c r="G192" s="13" t="n"/>
      <c r="H192" s="13" t="n">
        <v>4.51</v>
      </c>
      <c r="I192" s="13" t="n">
        <v>3.8</v>
      </c>
      <c r="J192" s="13" t="n">
        <v>2.94</v>
      </c>
      <c r="K192" s="14" t="n"/>
      <c r="L192" s="7" t="inlineStr">
        <is>
          <t>Data held</t>
        </is>
      </c>
      <c r="M192" s="7" t="inlineStr">
        <is>
          <t>ESG</t>
        </is>
      </c>
      <c r="N192" s="10" t="inlineStr"/>
      <c r="O192" s="10" t="inlineStr"/>
      <c r="P192" s="10" t="inlineStr"/>
      <c r="Q192" s="10" t="inlineStr"/>
      <c r="R192" s="10" t="inlineStr"/>
      <c r="S192" s="10" t="inlineStr"/>
    </row>
    <row r="193" ht="39" customHeight="1">
      <c r="B193" s="12" t="inlineStr">
        <is>
          <t>CL1(b)</t>
        </is>
      </c>
      <c r="C193" s="7" t="inlineStr"/>
      <c r="D193" s="7" t="inlineStr"/>
      <c r="E193" s="7" t="inlineStr">
        <is>
          <t>Gross emissions /(FTE + EFTSL)</t>
        </is>
      </c>
      <c r="F193" s="7" t="inlineStr">
        <is>
          <t>tCO2e / (FTE + EFTSL)</t>
        </is>
      </c>
      <c r="G193" s="13" t="n"/>
      <c r="H193" s="13" t="n">
        <v>3.77</v>
      </c>
      <c r="I193" s="13" t="n">
        <v>3.19</v>
      </c>
      <c r="J193" s="13" t="n">
        <v>2.46</v>
      </c>
      <c r="K193" s="14" t="n"/>
      <c r="L193" s="7" t="inlineStr">
        <is>
          <t>Data held</t>
        </is>
      </c>
      <c r="M193" s="7" t="inlineStr">
        <is>
          <t>ESG</t>
        </is>
      </c>
      <c r="N193" s="10" t="inlineStr"/>
      <c r="O193" s="10" t="inlineStr"/>
      <c r="P193" s="10" t="inlineStr"/>
      <c r="Q193" s="10" t="inlineStr"/>
      <c r="R193" s="10" t="inlineStr"/>
      <c r="S193" s="10" t="inlineStr"/>
    </row>
    <row r="194" ht="88" customHeight="1">
      <c r="B194" s="12" t="inlineStr">
        <is>
          <t>CL2(a)</t>
        </is>
      </c>
      <c r="C194" s="7" t="inlineStr">
        <is>
          <t>Climate Leadership</t>
        </is>
      </c>
      <c r="D194" s="7" t="inlineStr">
        <is>
          <t>By 2028, develop and document institutional mapping of research and education activities that are designed to contribute to global decarbonisation</t>
        </is>
      </c>
      <c r="E194" s="7" t="inlineStr">
        <is>
          <t>Number of relevant research projects/programs mapped</t>
        </is>
      </c>
      <c r="F194" s="7" t="inlineStr">
        <is>
          <t>#</t>
        </is>
      </c>
      <c r="G194" s="13" t="n"/>
      <c r="H194" s="13" t="n"/>
      <c r="I194" s="13" t="n"/>
      <c r="J194" s="13" t="n"/>
      <c r="K194" s="14" t="n"/>
      <c r="L194" s="7" t="inlineStr">
        <is>
          <t>No data yet</t>
        </is>
      </c>
      <c r="M194" s="7" t="inlineStr">
        <is>
          <t>SST</t>
        </is>
      </c>
      <c r="N194" s="10" t="inlineStr"/>
      <c r="O194" s="10" t="inlineStr"/>
      <c r="P194" s="10" t="inlineStr"/>
      <c r="Q194" s="10" t="inlineStr"/>
      <c r="R194" s="10" t="inlineStr"/>
      <c r="S194" s="10" t="inlineStr"/>
    </row>
    <row r="195" ht="22" customHeight="1">
      <c r="B195" s="12" t="inlineStr">
        <is>
          <t>CL2(a)</t>
        </is>
      </c>
      <c r="C195" s="7" t="inlineStr"/>
      <c r="D195" s="7" t="inlineStr"/>
      <c r="E195" s="7" t="inlineStr">
        <is>
          <t>Number of relevant subjects mapped</t>
        </is>
      </c>
      <c r="F195" s="7" t="inlineStr">
        <is>
          <t>#</t>
        </is>
      </c>
      <c r="G195" s="13" t="n"/>
      <c r="H195" s="13" t="n"/>
      <c r="I195" s="13" t="n"/>
      <c r="J195" s="13" t="n"/>
      <c r="K195" s="14" t="n"/>
      <c r="L195" s="7" t="inlineStr">
        <is>
          <t>No data yet</t>
        </is>
      </c>
      <c r="M195" s="7" t="inlineStr">
        <is>
          <t>SST</t>
        </is>
      </c>
      <c r="N195" s="10" t="inlineStr"/>
      <c r="O195" s="10" t="inlineStr"/>
      <c r="P195" s="10" t="inlineStr"/>
      <c r="Q195" s="10" t="inlineStr"/>
      <c r="R195" s="10" t="inlineStr"/>
      <c r="S195" s="10" t="inlineStr"/>
    </row>
    <row r="196" ht="88" customHeight="1">
      <c r="B196" s="12" t="inlineStr">
        <is>
          <t>CL2(b)</t>
        </is>
      </c>
      <c r="C196" s="7" t="inlineStr">
        <is>
          <t>Climate Leadership</t>
        </is>
      </c>
      <c r="D196" s="7" t="inlineStr">
        <is>
          <t>Prioritised pipeline of decarbonisation focused research and education opportunities aligned with University emissions reduction priorities from 2028</t>
        </is>
      </c>
      <c r="E196" s="7" t="inlineStr">
        <is>
          <t>Number of pipelined projects or research transitioned from opportunity to active</t>
        </is>
      </c>
      <c r="F196" s="7" t="inlineStr">
        <is>
          <t>#</t>
        </is>
      </c>
      <c r="G196" s="13" t="n"/>
      <c r="H196" s="13" t="n"/>
      <c r="I196" s="13" t="n"/>
      <c r="J196" s="13" t="n"/>
      <c r="K196" s="14" t="n"/>
      <c r="L196" s="7" t="inlineStr">
        <is>
          <t>No data yet</t>
        </is>
      </c>
      <c r="M196" s="7" t="inlineStr">
        <is>
          <t>SST</t>
        </is>
      </c>
      <c r="N196" s="10" t="inlineStr"/>
      <c r="O196" s="10" t="inlineStr"/>
      <c r="P196" s="10" t="inlineStr"/>
      <c r="Q196" s="10" t="inlineStr"/>
      <c r="R196" s="10" t="inlineStr"/>
      <c r="S196" s="10" t="inlineStr"/>
    </row>
    <row r="197" ht="88" customHeight="1">
      <c r="B197" s="12" t="inlineStr">
        <is>
          <t>CL2(c)</t>
        </is>
      </c>
      <c r="C197" s="7" t="inlineStr">
        <is>
          <t>Climate Leadership</t>
        </is>
      </c>
      <c r="D197" s="7" t="inlineStr">
        <is>
          <t>Ongoing communications that evidence the university's climate action, research and learning to inform policy, sector and community decarbonisation efforts</t>
        </is>
      </c>
      <c r="E197" s="7" t="inlineStr">
        <is>
          <t>Published documents, policy brief, and public engagement events</t>
        </is>
      </c>
      <c r="F197" s="7" t="inlineStr">
        <is>
          <t>#</t>
        </is>
      </c>
      <c r="G197" s="13" t="n"/>
      <c r="H197" s="13" t="n"/>
      <c r="I197" s="13" t="n"/>
      <c r="J197" s="13" t="n"/>
      <c r="K197" s="14" t="n"/>
      <c r="L197" s="7" t="inlineStr">
        <is>
          <t>No data yet</t>
        </is>
      </c>
      <c r="M197" s="7" t="inlineStr">
        <is>
          <t>SST</t>
        </is>
      </c>
      <c r="N197" s="10" t="inlineStr"/>
      <c r="O197" s="10" t="inlineStr"/>
      <c r="P197" s="10" t="inlineStr"/>
      <c r="Q197" s="10" t="inlineStr"/>
      <c r="R197" s="10" t="inlineStr"/>
      <c r="S197" s="10" t="inlineStr"/>
    </row>
    <row r="198" ht="22" customHeight="1">
      <c r="B198" s="12" t="inlineStr">
        <is>
          <t>CL2(c)</t>
        </is>
      </c>
      <c r="C198" s="7" t="inlineStr"/>
      <c r="D198" s="7" t="inlineStr"/>
      <c r="E198" s="7" t="inlineStr">
        <is>
          <t>Views of communication material</t>
        </is>
      </c>
      <c r="F198" s="7" t="inlineStr">
        <is>
          <t>#</t>
        </is>
      </c>
      <c r="G198" s="13" t="n"/>
      <c r="H198" s="13" t="n"/>
      <c r="I198" s="13" t="n"/>
      <c r="J198" s="13" t="n"/>
      <c r="K198" s="14" t="n"/>
      <c r="L198" s="7" t="inlineStr">
        <is>
          <t>No data yet</t>
        </is>
      </c>
      <c r="M198" s="7" t="inlineStr">
        <is>
          <t>SST</t>
        </is>
      </c>
      <c r="N198" s="10" t="inlineStr"/>
      <c r="O198" s="10" t="inlineStr"/>
      <c r="P198" s="10" t="inlineStr"/>
      <c r="Q198" s="10" t="inlineStr"/>
      <c r="R198" s="10" t="inlineStr"/>
      <c r="S198" s="10" t="inlineStr"/>
    </row>
    <row r="199" ht="72" customHeight="1">
      <c r="B199" s="15" t="inlineStr">
        <is>
          <t>CL3(a)</t>
        </is>
      </c>
      <c r="C199" s="15" t="inlineStr">
        <is>
          <t>Climate Leadership</t>
        </is>
      </c>
      <c r="D199" s="15" t="inlineStr">
        <is>
          <t>Maturity assessment of the University's preparedness for climate-related impacts and capability to respond</t>
        </is>
      </c>
      <c r="E199" s="15" t="inlineStr">
        <is>
          <t>Average Total Maturity Score</t>
        </is>
      </c>
      <c r="F199" s="15" t="inlineStr"/>
      <c r="G199" s="16" t="n"/>
      <c r="H199" s="16" t="n"/>
      <c r="I199" s="16" t="n"/>
      <c r="J199" s="16" t="n"/>
      <c r="K199" s="16" t="n"/>
      <c r="L199" s="15" t="inlineStr"/>
      <c r="M199" s="15" t="inlineStr"/>
      <c r="N199" s="15" t="inlineStr"/>
      <c r="O199" s="15" t="inlineStr"/>
      <c r="P199" s="15" t="inlineStr"/>
      <c r="Q199" s="15" t="inlineStr"/>
      <c r="R199" s="15" t="inlineStr"/>
      <c r="S199" s="15" t="inlineStr"/>
    </row>
    <row r="200" ht="22" customHeight="1">
      <c r="B200" s="12" t="inlineStr">
        <is>
          <t>CL3(a)</t>
        </is>
      </c>
      <c r="C200" s="7" t="inlineStr"/>
      <c r="D200" s="7" t="inlineStr"/>
      <c r="E200" s="17" t="inlineStr">
        <is>
          <t>Maturitu Score - Governance and strategy</t>
        </is>
      </c>
      <c r="F200" s="7" t="inlineStr"/>
      <c r="G200" s="13" t="n"/>
      <c r="H200" s="13" t="n"/>
      <c r="I200" s="13" t="n"/>
      <c r="J200" s="13" t="n"/>
      <c r="K200" s="14" t="n"/>
      <c r="L200" s="7" t="inlineStr">
        <is>
          <t>No data yet</t>
        </is>
      </c>
      <c r="M200" s="7" t="inlineStr">
        <is>
          <t>CI&amp;S</t>
        </is>
      </c>
      <c r="N200" s="10" t="inlineStr"/>
      <c r="O200" s="10" t="inlineStr"/>
      <c r="P200" s="10" t="inlineStr"/>
      <c r="Q200" s="10" t="inlineStr"/>
      <c r="R200" s="10" t="inlineStr"/>
      <c r="S200" s="10" t="inlineStr"/>
    </row>
    <row r="201" ht="22" customHeight="1">
      <c r="B201" s="12" t="inlineStr">
        <is>
          <t>CL3(a)</t>
        </is>
      </c>
      <c r="C201" s="7" t="inlineStr"/>
      <c r="D201" s="7" t="inlineStr"/>
      <c r="E201" s="17" t="inlineStr">
        <is>
          <t>Maturity Score - Health and safety</t>
        </is>
      </c>
      <c r="F201" s="7" t="inlineStr"/>
      <c r="G201" s="13" t="n"/>
      <c r="H201" s="13" t="n"/>
      <c r="I201" s="13" t="n"/>
      <c r="J201" s="13" t="n"/>
      <c r="K201" s="14" t="n"/>
      <c r="L201" s="7" t="inlineStr">
        <is>
          <t>No data yet</t>
        </is>
      </c>
      <c r="M201" s="7" t="inlineStr">
        <is>
          <t>CI&amp;S</t>
        </is>
      </c>
      <c r="N201" s="10" t="inlineStr"/>
      <c r="O201" s="10" t="inlineStr"/>
      <c r="P201" s="10" t="inlineStr"/>
      <c r="Q201" s="10" t="inlineStr"/>
      <c r="R201" s="10" t="inlineStr"/>
      <c r="S201" s="10" t="inlineStr"/>
    </row>
    <row r="202" ht="22" customHeight="1">
      <c r="B202" s="12" t="inlineStr">
        <is>
          <t>CL3(a)</t>
        </is>
      </c>
      <c r="C202" s="7" t="inlineStr"/>
      <c r="D202" s="7" t="inlineStr"/>
      <c r="E202" s="17" t="inlineStr">
        <is>
          <t>Maturity Score - Business continuity</t>
        </is>
      </c>
      <c r="F202" s="7" t="inlineStr"/>
      <c r="G202" s="13" t="n"/>
      <c r="H202" s="13" t="n"/>
      <c r="I202" s="13" t="n"/>
      <c r="J202" s="13" t="n"/>
      <c r="K202" s="14" t="n"/>
      <c r="L202" s="7" t="inlineStr">
        <is>
          <t>No data yet</t>
        </is>
      </c>
      <c r="M202" s="7" t="inlineStr">
        <is>
          <t>CI&amp;S</t>
        </is>
      </c>
      <c r="N202" s="10" t="inlineStr"/>
      <c r="O202" s="10" t="inlineStr"/>
      <c r="P202" s="10" t="inlineStr"/>
      <c r="Q202" s="10" t="inlineStr"/>
      <c r="R202" s="10" t="inlineStr"/>
      <c r="S202" s="10" t="inlineStr"/>
    </row>
    <row r="203" ht="39" customHeight="1">
      <c r="B203" s="12" t="inlineStr">
        <is>
          <t>CL3(a)</t>
        </is>
      </c>
      <c r="C203" s="7" t="inlineStr"/>
      <c r="D203" s="7" t="inlineStr"/>
      <c r="E203" s="17" t="inlineStr">
        <is>
          <t>Maturity Score - Emergency management and critical incidence management</t>
        </is>
      </c>
      <c r="F203" s="7" t="inlineStr"/>
      <c r="G203" s="13" t="n"/>
      <c r="H203" s="13" t="n"/>
      <c r="I203" s="13" t="n"/>
      <c r="J203" s="13" t="n"/>
      <c r="K203" s="14" t="n"/>
      <c r="L203" s="7" t="inlineStr">
        <is>
          <t>No data yet</t>
        </is>
      </c>
      <c r="M203" s="7" t="inlineStr">
        <is>
          <t>CI&amp;S</t>
        </is>
      </c>
      <c r="N203" s="10" t="inlineStr"/>
      <c r="O203" s="10" t="inlineStr"/>
      <c r="P203" s="10" t="inlineStr"/>
      <c r="Q203" s="10" t="inlineStr"/>
      <c r="R203" s="10" t="inlineStr"/>
      <c r="S203" s="10" t="inlineStr"/>
    </row>
    <row r="204" ht="22" customHeight="1">
      <c r="B204" s="12" t="inlineStr">
        <is>
          <t>CL3(a)</t>
        </is>
      </c>
      <c r="C204" s="7" t="inlineStr"/>
      <c r="D204" s="7" t="inlineStr"/>
      <c r="E204" s="17" t="inlineStr">
        <is>
          <t>Maturity Score - Estate and buildings</t>
        </is>
      </c>
      <c r="F204" s="7" t="inlineStr"/>
      <c r="G204" s="13" t="n"/>
      <c r="H204" s="13" t="n"/>
      <c r="I204" s="13" t="n"/>
      <c r="J204" s="13" t="n"/>
      <c r="K204" s="14" t="n"/>
      <c r="L204" s="7" t="inlineStr">
        <is>
          <t>No data yet</t>
        </is>
      </c>
      <c r="M204" s="7" t="inlineStr">
        <is>
          <t>CI&amp;S</t>
        </is>
      </c>
      <c r="N204" s="10" t="inlineStr"/>
      <c r="O204" s="10" t="inlineStr"/>
      <c r="P204" s="10" t="inlineStr"/>
      <c r="Q204" s="10" t="inlineStr"/>
      <c r="R204" s="10" t="inlineStr"/>
      <c r="S204" s="10" t="inlineStr"/>
    </row>
    <row r="205" ht="22" customHeight="1">
      <c r="B205" s="12" t="inlineStr">
        <is>
          <t>CL3(a)</t>
        </is>
      </c>
      <c r="C205" s="7" t="inlineStr"/>
      <c r="D205" s="7" t="inlineStr"/>
      <c r="E205" s="17" t="inlineStr">
        <is>
          <t>Maturity Score - Water management</t>
        </is>
      </c>
      <c r="F205" s="7" t="inlineStr"/>
      <c r="G205" s="13" t="n"/>
      <c r="H205" s="13" t="n"/>
      <c r="I205" s="13" t="n"/>
      <c r="J205" s="13" t="n"/>
      <c r="K205" s="14" t="n"/>
      <c r="L205" s="7" t="inlineStr">
        <is>
          <t>No data yet</t>
        </is>
      </c>
      <c r="M205" s="7" t="inlineStr">
        <is>
          <t>CI&amp;S</t>
        </is>
      </c>
      <c r="N205" s="10" t="inlineStr"/>
      <c r="O205" s="10" t="inlineStr"/>
      <c r="P205" s="10" t="inlineStr"/>
      <c r="Q205" s="10" t="inlineStr"/>
      <c r="R205" s="10" t="inlineStr"/>
      <c r="S205" s="10" t="inlineStr"/>
    </row>
    <row r="206" ht="39" customHeight="1">
      <c r="B206" s="12" t="inlineStr">
        <is>
          <t>CL3(a)</t>
        </is>
      </c>
      <c r="C206" s="7" t="inlineStr"/>
      <c r="D206" s="7" t="inlineStr"/>
      <c r="E206" s="17" t="inlineStr">
        <is>
          <t>Maturity Score - Financial planning and reporting</t>
        </is>
      </c>
      <c r="F206" s="7" t="inlineStr"/>
      <c r="G206" s="13" t="n"/>
      <c r="H206" s="13" t="n"/>
      <c r="I206" s="13" t="n"/>
      <c r="J206" s="13" t="n"/>
      <c r="K206" s="14" t="n"/>
      <c r="L206" s="7" t="inlineStr">
        <is>
          <t>No data yet</t>
        </is>
      </c>
      <c r="M206" s="7" t="inlineStr">
        <is>
          <t>CI&amp;S</t>
        </is>
      </c>
      <c r="N206" s="10" t="inlineStr"/>
      <c r="O206" s="10" t="inlineStr"/>
      <c r="P206" s="10" t="inlineStr"/>
      <c r="Q206" s="10" t="inlineStr"/>
      <c r="R206" s="10" t="inlineStr"/>
      <c r="S206" s="10" t="inlineStr"/>
    </row>
    <row r="207" ht="56" customHeight="1">
      <c r="B207" s="15" t="inlineStr">
        <is>
          <t>NB1(a)</t>
        </is>
      </c>
      <c r="C207" s="15" t="inlineStr">
        <is>
          <t>Nature and Biodiversity</t>
        </is>
      </c>
      <c r="D207" s="15" t="inlineStr">
        <is>
          <t>Monitoring of biodiversity metrics from the Biodiversity Baseline Data Project</t>
        </is>
      </c>
      <c r="E207" s="15" t="inlineStr">
        <is>
          <t>Parkville biodiversity metrics</t>
        </is>
      </c>
      <c r="F207" s="15" t="inlineStr"/>
      <c r="G207" s="16" t="n"/>
      <c r="H207" s="16" t="n"/>
      <c r="I207" s="16" t="n"/>
      <c r="J207" s="16" t="n"/>
      <c r="K207" s="16" t="n"/>
      <c r="L207" s="15" t="inlineStr"/>
      <c r="M207" s="15" t="inlineStr"/>
      <c r="N207" s="15" t="inlineStr"/>
      <c r="O207" s="15" t="inlineStr"/>
      <c r="P207" s="15" t="inlineStr"/>
      <c r="Q207" s="15" t="inlineStr"/>
      <c r="R207" s="15" t="inlineStr"/>
      <c r="S207" s="15" t="inlineStr"/>
    </row>
    <row r="208" ht="22" customHeight="1">
      <c r="B208" s="12" t="inlineStr">
        <is>
          <t>NB1(a)</t>
        </is>
      </c>
      <c r="C208" s="7" t="inlineStr"/>
      <c r="D208" s="7" t="inlineStr"/>
      <c r="E208" s="17" t="inlineStr">
        <is>
          <t>Plantable area (2018 Baseline)</t>
        </is>
      </c>
      <c r="F208" s="7" t="inlineStr">
        <is>
          <t>%</t>
        </is>
      </c>
      <c r="G208" s="13" t="n">
        <v>16</v>
      </c>
      <c r="H208" s="13" t="n"/>
      <c r="I208" s="13" t="n"/>
      <c r="J208" s="13" t="n"/>
      <c r="K208" s="14" t="n"/>
      <c r="L208" s="7" t="inlineStr">
        <is>
          <t>Data held</t>
        </is>
      </c>
      <c r="M208" s="7" t="inlineStr">
        <is>
          <t>ESG</t>
        </is>
      </c>
      <c r="N208" s="10" t="inlineStr"/>
      <c r="O208" s="10" t="inlineStr"/>
      <c r="P208" s="10" t="inlineStr"/>
      <c r="Q208" s="10" t="inlineStr"/>
      <c r="R208" s="10" t="inlineStr"/>
      <c r="S208" s="10" t="inlineStr"/>
    </row>
    <row r="209" ht="39" customHeight="1">
      <c r="B209" s="12" t="inlineStr">
        <is>
          <t>NB1(a)</t>
        </is>
      </c>
      <c r="C209" s="7" t="inlineStr"/>
      <c r="D209" s="7" t="inlineStr"/>
      <c r="E209" s="17" t="inlineStr">
        <is>
          <t>Number of 'Areas of Significance' (2020 Baseline)</t>
        </is>
      </c>
      <c r="F209" s="7" t="inlineStr">
        <is>
          <t>#</t>
        </is>
      </c>
      <c r="G209" s="13" t="n">
        <v>70</v>
      </c>
      <c r="H209" s="13" t="n"/>
      <c r="I209" s="13" t="n"/>
      <c r="J209" s="13" t="n"/>
      <c r="K209" s="14" t="n"/>
      <c r="L209" s="7" t="inlineStr">
        <is>
          <t>Data held</t>
        </is>
      </c>
      <c r="M209" s="7" t="inlineStr">
        <is>
          <t>ESG</t>
        </is>
      </c>
      <c r="N209" s="10" t="inlineStr"/>
      <c r="O209" s="10" t="inlineStr"/>
      <c r="P209" s="10" t="inlineStr"/>
      <c r="Q209" s="10" t="inlineStr"/>
      <c r="R209" s="10" t="inlineStr"/>
      <c r="S209" s="10" t="inlineStr"/>
    </row>
    <row r="210" ht="39" customHeight="1">
      <c r="B210" s="12" t="inlineStr">
        <is>
          <t>NB1(a)</t>
        </is>
      </c>
      <c r="C210" s="7" t="inlineStr"/>
      <c r="D210" s="7" t="inlineStr"/>
      <c r="E210" s="17" t="inlineStr">
        <is>
          <t>Number of understorey plant species (2024 Baseline)</t>
        </is>
      </c>
      <c r="F210" s="7" t="inlineStr">
        <is>
          <t>#</t>
        </is>
      </c>
      <c r="G210" s="13" t="n">
        <v>2177</v>
      </c>
      <c r="H210" s="13" t="n"/>
      <c r="I210" s="13" t="n"/>
      <c r="J210" s="13" t="n"/>
      <c r="K210" s="14" t="n"/>
      <c r="L210" s="7" t="inlineStr">
        <is>
          <t>Data held</t>
        </is>
      </c>
      <c r="M210" s="7" t="inlineStr">
        <is>
          <t>ESG</t>
        </is>
      </c>
      <c r="N210" s="10" t="inlineStr"/>
      <c r="O210" s="10" t="inlineStr"/>
      <c r="P210" s="10" t="inlineStr"/>
      <c r="Q210" s="10" t="inlineStr"/>
      <c r="R210" s="10" t="inlineStr"/>
      <c r="S210" s="10" t="inlineStr"/>
    </row>
    <row r="211" ht="22" customHeight="1">
      <c r="B211" s="12" t="inlineStr">
        <is>
          <t>NB1(a)</t>
        </is>
      </c>
      <c r="C211" s="7" t="inlineStr"/>
      <c r="D211" s="7" t="inlineStr"/>
      <c r="E211" s="17" t="inlineStr">
        <is>
          <t>Number of trees (2004 Baseline)</t>
        </is>
      </c>
      <c r="F211" s="7" t="inlineStr">
        <is>
          <t>#</t>
        </is>
      </c>
      <c r="G211" s="13" t="n">
        <v>2802</v>
      </c>
      <c r="H211" s="13" t="n"/>
      <c r="I211" s="13" t="n"/>
      <c r="J211" s="13" t="n">
        <v>2240</v>
      </c>
      <c r="K211" s="14" t="n"/>
      <c r="L211" s="7" t="inlineStr">
        <is>
          <t>Data held</t>
        </is>
      </c>
      <c r="M211" s="7" t="inlineStr">
        <is>
          <t>ESG</t>
        </is>
      </c>
      <c r="N211" s="10" t="inlineStr"/>
      <c r="O211" s="10" t="inlineStr"/>
      <c r="P211" s="10" t="inlineStr"/>
      <c r="Q211" s="10" t="inlineStr"/>
      <c r="R211" s="10" t="inlineStr"/>
      <c r="S211" s="10" t="inlineStr"/>
    </row>
    <row r="212" ht="22" customHeight="1">
      <c r="B212" s="12" t="inlineStr">
        <is>
          <t>NB1(a)</t>
        </is>
      </c>
      <c r="C212" s="7" t="inlineStr"/>
      <c r="D212" s="7" t="inlineStr"/>
      <c r="E212" s="17" t="inlineStr">
        <is>
          <t>Number of trees species (2004 Baseline)</t>
        </is>
      </c>
      <c r="F212" s="7" t="inlineStr">
        <is>
          <t>#</t>
        </is>
      </c>
      <c r="G212" s="13" t="n">
        <v>300</v>
      </c>
      <c r="H212" s="13" t="n"/>
      <c r="I212" s="13" t="n"/>
      <c r="J212" s="13" t="n"/>
      <c r="K212" s="14" t="n"/>
      <c r="L212" s="7" t="inlineStr">
        <is>
          <t>Data held</t>
        </is>
      </c>
      <c r="M212" s="7" t="inlineStr">
        <is>
          <t>ESG</t>
        </is>
      </c>
      <c r="N212" s="10" t="inlineStr"/>
      <c r="O212" s="10" t="inlineStr"/>
      <c r="P212" s="10" t="inlineStr"/>
      <c r="Q212" s="10" t="inlineStr"/>
      <c r="R212" s="10" t="inlineStr"/>
      <c r="S212" s="10" t="inlineStr"/>
    </row>
    <row r="213" ht="22" customHeight="1">
      <c r="B213" s="12" t="inlineStr">
        <is>
          <t>NB1(a)</t>
        </is>
      </c>
      <c r="C213" s="7" t="inlineStr"/>
      <c r="D213" s="7" t="inlineStr"/>
      <c r="E213" s="17" t="inlineStr">
        <is>
          <t>Tree canopy cover area (2018 Baseline)</t>
        </is>
      </c>
      <c r="F213" s="7" t="inlineStr">
        <is>
          <t>%</t>
        </is>
      </c>
      <c r="G213" s="13" t="n">
        <v>20</v>
      </c>
      <c r="H213" s="13" t="n"/>
      <c r="I213" s="13" t="n"/>
      <c r="J213" s="13" t="n"/>
      <c r="K213" s="14" t="n"/>
      <c r="L213" s="7" t="inlineStr">
        <is>
          <t>Data held</t>
        </is>
      </c>
      <c r="M213" s="7" t="inlineStr">
        <is>
          <t>ESG</t>
        </is>
      </c>
      <c r="N213" s="10" t="inlineStr"/>
      <c r="O213" s="10" t="inlineStr"/>
      <c r="P213" s="10" t="inlineStr"/>
      <c r="Q213" s="10" t="inlineStr"/>
      <c r="R213" s="10" t="inlineStr"/>
      <c r="S213" s="10" t="inlineStr"/>
    </row>
    <row r="214" ht="39" customHeight="1">
      <c r="B214" s="12" t="inlineStr">
        <is>
          <t>NB1(a)</t>
        </is>
      </c>
      <c r="C214" s="7" t="inlineStr"/>
      <c r="D214" s="7" t="inlineStr"/>
      <c r="E214" s="17" t="inlineStr">
        <is>
          <t>Number of fauna &amp; fungi species (2020 Baseline)</t>
        </is>
      </c>
      <c r="F214" s="7" t="inlineStr">
        <is>
          <t>#</t>
        </is>
      </c>
      <c r="G214" s="13" t="n">
        <v>690</v>
      </c>
      <c r="H214" s="13" t="n"/>
      <c r="I214" s="13" t="n"/>
      <c r="J214" s="13" t="n"/>
      <c r="K214" s="14" t="n"/>
      <c r="L214" s="7" t="inlineStr">
        <is>
          <t>Data held</t>
        </is>
      </c>
      <c r="M214" s="7" t="inlineStr">
        <is>
          <t>ESG</t>
        </is>
      </c>
      <c r="N214" s="10" t="inlineStr"/>
      <c r="O214" s="10" t="inlineStr"/>
      <c r="P214" s="10" t="inlineStr"/>
      <c r="Q214" s="10" t="inlineStr"/>
      <c r="R214" s="10" t="inlineStr"/>
      <c r="S214" s="10" t="inlineStr"/>
    </row>
    <row r="215" ht="22" customHeight="1">
      <c r="B215" s="12" t="inlineStr">
        <is>
          <t>NB1(a)</t>
        </is>
      </c>
      <c r="C215" s="7" t="inlineStr"/>
      <c r="D215" s="7" t="inlineStr"/>
      <c r="E215" s="18" t="inlineStr">
        <is>
          <t>Number of fauna species</t>
        </is>
      </c>
      <c r="F215" s="7" t="inlineStr">
        <is>
          <t>#</t>
        </is>
      </c>
      <c r="G215" s="13" t="n">
        <v>663</v>
      </c>
      <c r="H215" s="13" t="n"/>
      <c r="I215" s="13" t="n"/>
      <c r="J215" s="13" t="n"/>
      <c r="K215" s="14" t="n"/>
      <c r="L215" s="7" t="inlineStr">
        <is>
          <t>Data held</t>
        </is>
      </c>
      <c r="M215" s="7" t="inlineStr">
        <is>
          <t>ESG</t>
        </is>
      </c>
      <c r="N215" s="10" t="inlineStr"/>
      <c r="O215" s="10" t="inlineStr"/>
      <c r="P215" s="10" t="inlineStr"/>
      <c r="Q215" s="10" t="inlineStr"/>
      <c r="R215" s="10" t="inlineStr"/>
      <c r="S215" s="10" t="inlineStr"/>
    </row>
    <row r="216" ht="22" customHeight="1">
      <c r="B216" s="12" t="inlineStr">
        <is>
          <t>NB1(a)</t>
        </is>
      </c>
      <c r="C216" s="7" t="inlineStr"/>
      <c r="D216" s="7" t="inlineStr"/>
      <c r="E216" s="18" t="inlineStr">
        <is>
          <t>Number of fungi species</t>
        </is>
      </c>
      <c r="F216" s="7" t="inlineStr">
        <is>
          <t>#</t>
        </is>
      </c>
      <c r="G216" s="13" t="n">
        <v>27</v>
      </c>
      <c r="H216" s="13" t="n"/>
      <c r="I216" s="13" t="n"/>
      <c r="J216" s="13" t="n"/>
      <c r="K216" s="14" t="n"/>
      <c r="L216" s="7" t="inlineStr">
        <is>
          <t>Data held</t>
        </is>
      </c>
      <c r="M216" s="7" t="inlineStr">
        <is>
          <t>ESG</t>
        </is>
      </c>
      <c r="N216" s="10" t="inlineStr"/>
      <c r="O216" s="10" t="inlineStr"/>
      <c r="P216" s="10" t="inlineStr"/>
      <c r="Q216" s="10" t="inlineStr"/>
      <c r="R216" s="10" t="inlineStr"/>
      <c r="S216" s="10" t="inlineStr"/>
    </row>
    <row r="217" ht="22" customHeight="1">
      <c r="B217" s="15" t="inlineStr">
        <is>
          <t>NB1(a)</t>
        </is>
      </c>
      <c r="C217" s="15" t="inlineStr"/>
      <c r="D217" s="15" t="inlineStr"/>
      <c r="E217" s="15" t="inlineStr">
        <is>
          <t>Southbank biodiversity metrics</t>
        </is>
      </c>
      <c r="F217" s="15" t="inlineStr"/>
      <c r="G217" s="16" t="n"/>
      <c r="H217" s="16" t="n"/>
      <c r="I217" s="16" t="n"/>
      <c r="J217" s="16" t="n"/>
      <c r="K217" s="16" t="n"/>
      <c r="L217" s="15" t="inlineStr"/>
      <c r="M217" s="15" t="inlineStr"/>
      <c r="N217" s="15" t="inlineStr"/>
      <c r="O217" s="15" t="inlineStr"/>
      <c r="P217" s="15" t="inlineStr"/>
      <c r="Q217" s="15" t="inlineStr"/>
      <c r="R217" s="15" t="inlineStr"/>
      <c r="S217" s="15" t="inlineStr"/>
    </row>
    <row r="218" ht="22" customHeight="1">
      <c r="B218" s="12" t="inlineStr">
        <is>
          <t>NB1(a)</t>
        </is>
      </c>
      <c r="C218" s="7" t="inlineStr"/>
      <c r="D218" s="7" t="inlineStr"/>
      <c r="E218" s="17" t="inlineStr">
        <is>
          <t>Plantable area (2024 Baseline)</t>
        </is>
      </c>
      <c r="F218" s="7" t="inlineStr">
        <is>
          <t>%</t>
        </is>
      </c>
      <c r="G218" s="13" t="n">
        <v>12</v>
      </c>
      <c r="H218" s="13" t="n"/>
      <c r="I218" s="13" t="n"/>
      <c r="J218" s="13" t="n"/>
      <c r="K218" s="14" t="n"/>
      <c r="L218" s="7" t="inlineStr">
        <is>
          <t>Data held</t>
        </is>
      </c>
      <c r="M218" s="7" t="inlineStr">
        <is>
          <t>ESG</t>
        </is>
      </c>
      <c r="N218" s="10" t="inlineStr"/>
      <c r="O218" s="10" t="inlineStr"/>
      <c r="P218" s="10" t="inlineStr"/>
      <c r="Q218" s="10" t="inlineStr"/>
      <c r="R218" s="10" t="inlineStr"/>
      <c r="S218" s="10" t="inlineStr"/>
    </row>
    <row r="219" ht="39" customHeight="1">
      <c r="B219" s="12" t="inlineStr">
        <is>
          <t>NB1(a)</t>
        </is>
      </c>
      <c r="C219" s="7" t="inlineStr"/>
      <c r="D219" s="7" t="inlineStr"/>
      <c r="E219" s="17" t="inlineStr">
        <is>
          <t>Number of 'Areas of Significance' (2020 Baseline)</t>
        </is>
      </c>
      <c r="F219" s="7" t="inlineStr">
        <is>
          <t>#</t>
        </is>
      </c>
      <c r="G219" s="13" t="n">
        <v>12</v>
      </c>
      <c r="H219" s="13" t="n"/>
      <c r="I219" s="13" t="n"/>
      <c r="J219" s="13" t="n"/>
      <c r="K219" s="14" t="n"/>
      <c r="L219" s="7" t="inlineStr">
        <is>
          <t>Data held</t>
        </is>
      </c>
      <c r="M219" s="7" t="inlineStr">
        <is>
          <t>ESG</t>
        </is>
      </c>
      <c r="N219" s="10" t="inlineStr"/>
      <c r="O219" s="10" t="inlineStr"/>
      <c r="P219" s="10" t="inlineStr"/>
      <c r="Q219" s="10" t="inlineStr"/>
      <c r="R219" s="10" t="inlineStr"/>
      <c r="S219" s="10" t="inlineStr"/>
    </row>
    <row r="220" ht="39" customHeight="1">
      <c r="B220" s="12" t="inlineStr">
        <is>
          <t>NB1(a)</t>
        </is>
      </c>
      <c r="C220" s="7" t="inlineStr"/>
      <c r="D220" s="7" t="inlineStr"/>
      <c r="E220" s="17" t="inlineStr">
        <is>
          <t>Number of understorey plant species (2024 Baseline)</t>
        </is>
      </c>
      <c r="F220" s="7" t="inlineStr">
        <is>
          <t>#</t>
        </is>
      </c>
      <c r="G220" s="13" t="n">
        <v>138</v>
      </c>
      <c r="H220" s="13" t="n"/>
      <c r="I220" s="13" t="n"/>
      <c r="J220" s="13" t="n"/>
      <c r="K220" s="14" t="n"/>
      <c r="L220" s="7" t="inlineStr">
        <is>
          <t>Data held</t>
        </is>
      </c>
      <c r="M220" s="7" t="inlineStr">
        <is>
          <t>ESG</t>
        </is>
      </c>
      <c r="N220" s="10" t="inlineStr"/>
      <c r="O220" s="10" t="inlineStr"/>
      <c r="P220" s="10" t="inlineStr"/>
      <c r="Q220" s="10" t="inlineStr"/>
      <c r="R220" s="10" t="inlineStr"/>
      <c r="S220" s="10" t="inlineStr"/>
    </row>
    <row r="221" ht="22" customHeight="1">
      <c r="B221" s="12" t="inlineStr">
        <is>
          <t>NB1(a)</t>
        </is>
      </c>
      <c r="C221" s="7" t="inlineStr"/>
      <c r="D221" s="7" t="inlineStr"/>
      <c r="E221" s="17" t="inlineStr">
        <is>
          <t>Number of trees (2016 Baseline)</t>
        </is>
      </c>
      <c r="F221" s="7" t="inlineStr">
        <is>
          <t>#</t>
        </is>
      </c>
      <c r="G221" s="13" t="n">
        <v>159</v>
      </c>
      <c r="H221" s="13" t="n"/>
      <c r="I221" s="13" t="n"/>
      <c r="J221" s="13" t="n">
        <v>146</v>
      </c>
      <c r="K221" s="14" t="n"/>
      <c r="L221" s="7" t="inlineStr">
        <is>
          <t>Data held</t>
        </is>
      </c>
      <c r="M221" s="7" t="inlineStr">
        <is>
          <t>ESG</t>
        </is>
      </c>
      <c r="N221" s="10" t="inlineStr"/>
      <c r="O221" s="10" t="inlineStr"/>
      <c r="P221" s="10" t="inlineStr"/>
      <c r="Q221" s="10" t="inlineStr"/>
      <c r="R221" s="10" t="inlineStr"/>
      <c r="S221" s="10" t="inlineStr"/>
    </row>
    <row r="222" ht="22" customHeight="1">
      <c r="B222" s="12" t="inlineStr">
        <is>
          <t>NB1(a)</t>
        </is>
      </c>
      <c r="C222" s="7" t="inlineStr"/>
      <c r="D222" s="7" t="inlineStr"/>
      <c r="E222" s="17" t="inlineStr">
        <is>
          <t>Number of trees species (2016 Baseline)</t>
        </is>
      </c>
      <c r="F222" s="7" t="inlineStr">
        <is>
          <t>#</t>
        </is>
      </c>
      <c r="G222" s="13" t="n">
        <v>40</v>
      </c>
      <c r="H222" s="13" t="n"/>
      <c r="I222" s="13" t="n"/>
      <c r="J222" s="13" t="n"/>
      <c r="K222" s="14" t="n"/>
      <c r="L222" s="7" t="inlineStr">
        <is>
          <t>Data held</t>
        </is>
      </c>
      <c r="M222" s="7" t="inlineStr">
        <is>
          <t>ESG</t>
        </is>
      </c>
      <c r="N222" s="10" t="inlineStr"/>
      <c r="O222" s="10" t="inlineStr"/>
      <c r="P222" s="10" t="inlineStr"/>
      <c r="Q222" s="10" t="inlineStr"/>
      <c r="R222" s="10" t="inlineStr"/>
      <c r="S222" s="10" t="inlineStr"/>
    </row>
    <row r="223" ht="22" customHeight="1">
      <c r="B223" s="12" t="inlineStr">
        <is>
          <t>NB1(a)</t>
        </is>
      </c>
      <c r="C223" s="7" t="inlineStr"/>
      <c r="D223" s="7" t="inlineStr"/>
      <c r="E223" s="17" t="inlineStr">
        <is>
          <t>Tree canopy cover area (2018 Baseline)</t>
        </is>
      </c>
      <c r="F223" s="7" t="inlineStr">
        <is>
          <t>%</t>
        </is>
      </c>
      <c r="G223" s="13" t="n">
        <v>14</v>
      </c>
      <c r="H223" s="13" t="n"/>
      <c r="I223" s="13" t="n"/>
      <c r="J223" s="13" t="n"/>
      <c r="K223" s="14" t="n"/>
      <c r="L223" s="7" t="inlineStr">
        <is>
          <t>Data held</t>
        </is>
      </c>
      <c r="M223" s="7" t="inlineStr">
        <is>
          <t>ESG</t>
        </is>
      </c>
      <c r="N223" s="10" t="inlineStr"/>
      <c r="O223" s="10" t="inlineStr"/>
      <c r="P223" s="10" t="inlineStr"/>
      <c r="Q223" s="10" t="inlineStr"/>
      <c r="R223" s="10" t="inlineStr"/>
      <c r="S223" s="10" t="inlineStr"/>
    </row>
    <row r="224" ht="39" customHeight="1">
      <c r="B224" s="12" t="inlineStr">
        <is>
          <t>NB1(a)</t>
        </is>
      </c>
      <c r="C224" s="7" t="inlineStr"/>
      <c r="D224" s="7" t="inlineStr"/>
      <c r="E224" s="17" t="inlineStr">
        <is>
          <t>Number of fauna &amp; fungi species (2020 Baseline)</t>
        </is>
      </c>
      <c r="F224" s="7" t="inlineStr">
        <is>
          <t>#</t>
        </is>
      </c>
      <c r="G224" s="13" t="n">
        <v>459</v>
      </c>
      <c r="H224" s="13" t="n"/>
      <c r="I224" s="13" t="n"/>
      <c r="J224" s="13" t="n"/>
      <c r="K224" s="14" t="n"/>
      <c r="L224" s="7" t="inlineStr">
        <is>
          <t>Data held</t>
        </is>
      </c>
      <c r="M224" s="7" t="inlineStr">
        <is>
          <t>ESG</t>
        </is>
      </c>
      <c r="N224" s="10" t="inlineStr"/>
      <c r="O224" s="10" t="inlineStr"/>
      <c r="P224" s="10" t="inlineStr"/>
      <c r="Q224" s="10" t="inlineStr"/>
      <c r="R224" s="10" t="inlineStr"/>
      <c r="S224" s="10" t="inlineStr"/>
    </row>
    <row r="225" ht="22" customHeight="1">
      <c r="B225" s="12" t="inlineStr">
        <is>
          <t>NB1(a)</t>
        </is>
      </c>
      <c r="C225" s="7" t="inlineStr"/>
      <c r="D225" s="7" t="inlineStr"/>
      <c r="E225" s="18" t="inlineStr">
        <is>
          <t>Number of fauna species</t>
        </is>
      </c>
      <c r="F225" s="7" t="inlineStr">
        <is>
          <t>#</t>
        </is>
      </c>
      <c r="G225" s="13" t="n">
        <v>430</v>
      </c>
      <c r="H225" s="13" t="n"/>
      <c r="I225" s="13" t="n"/>
      <c r="J225" s="13" t="n"/>
      <c r="K225" s="14" t="n"/>
      <c r="L225" s="7" t="inlineStr">
        <is>
          <t>Data held</t>
        </is>
      </c>
      <c r="M225" s="7" t="inlineStr">
        <is>
          <t>ESG</t>
        </is>
      </c>
      <c r="N225" s="10" t="inlineStr"/>
      <c r="O225" s="10" t="inlineStr"/>
      <c r="P225" s="10" t="inlineStr"/>
      <c r="Q225" s="10" t="inlineStr"/>
      <c r="R225" s="10" t="inlineStr"/>
      <c r="S225" s="10" t="inlineStr"/>
    </row>
    <row r="226" ht="22" customHeight="1">
      <c r="B226" s="12" t="inlineStr">
        <is>
          <t>NB1(a)</t>
        </is>
      </c>
      <c r="C226" s="7" t="inlineStr"/>
      <c r="D226" s="7" t="inlineStr"/>
      <c r="E226" s="18" t="inlineStr">
        <is>
          <t>Number of fungi species</t>
        </is>
      </c>
      <c r="F226" s="7" t="inlineStr">
        <is>
          <t>#</t>
        </is>
      </c>
      <c r="G226" s="13" t="n">
        <v>29</v>
      </c>
      <c r="H226" s="13" t="n"/>
      <c r="I226" s="13" t="n"/>
      <c r="J226" s="13" t="n"/>
      <c r="K226" s="14" t="n"/>
      <c r="L226" s="7" t="inlineStr">
        <is>
          <t>Data held</t>
        </is>
      </c>
      <c r="M226" s="7" t="inlineStr">
        <is>
          <t>ESG</t>
        </is>
      </c>
      <c r="N226" s="10" t="inlineStr"/>
      <c r="O226" s="10" t="inlineStr"/>
      <c r="P226" s="10" t="inlineStr"/>
      <c r="Q226" s="10" t="inlineStr"/>
      <c r="R226" s="10" t="inlineStr"/>
      <c r="S226" s="10" t="inlineStr"/>
    </row>
    <row r="227" ht="22" customHeight="1">
      <c r="B227" s="15" t="inlineStr">
        <is>
          <t>NB1(a)</t>
        </is>
      </c>
      <c r="C227" s="15" t="inlineStr"/>
      <c r="D227" s="15" t="inlineStr"/>
      <c r="E227" s="15" t="inlineStr">
        <is>
          <t>Burnley biodiversity metrics</t>
        </is>
      </c>
      <c r="F227" s="15" t="inlineStr"/>
      <c r="G227" s="16" t="n"/>
      <c r="H227" s="16" t="n"/>
      <c r="I227" s="16" t="n"/>
      <c r="J227" s="16" t="n"/>
      <c r="K227" s="16" t="n"/>
      <c r="L227" s="15" t="inlineStr"/>
      <c r="M227" s="15" t="inlineStr"/>
      <c r="N227" s="15" t="inlineStr"/>
      <c r="O227" s="15" t="inlineStr"/>
      <c r="P227" s="15" t="inlineStr"/>
      <c r="Q227" s="15" t="inlineStr"/>
      <c r="R227" s="15" t="inlineStr"/>
      <c r="S227" s="15" t="inlineStr"/>
    </row>
    <row r="228" ht="22" customHeight="1">
      <c r="B228" s="12" t="inlineStr">
        <is>
          <t>NB1(a)</t>
        </is>
      </c>
      <c r="C228" s="7" t="inlineStr"/>
      <c r="D228" s="7" t="inlineStr"/>
      <c r="E228" s="17" t="inlineStr">
        <is>
          <t>Plantable area (2024 Baseline)</t>
        </is>
      </c>
      <c r="F228" s="7" t="inlineStr">
        <is>
          <t>%</t>
        </is>
      </c>
      <c r="G228" s="13" t="n">
        <v>63</v>
      </c>
      <c r="H228" s="13" t="n"/>
      <c r="I228" s="13" t="n"/>
      <c r="J228" s="13" t="n"/>
      <c r="K228" s="14" t="n"/>
      <c r="L228" s="7" t="inlineStr">
        <is>
          <t>Data held</t>
        </is>
      </c>
      <c r="M228" s="7" t="inlineStr">
        <is>
          <t>ESG</t>
        </is>
      </c>
      <c r="N228" s="10" t="inlineStr"/>
      <c r="O228" s="10" t="inlineStr"/>
      <c r="P228" s="10" t="inlineStr"/>
      <c r="Q228" s="10" t="inlineStr"/>
      <c r="R228" s="10" t="inlineStr"/>
      <c r="S228" s="10" t="inlineStr"/>
    </row>
    <row r="229" ht="39" customHeight="1">
      <c r="B229" s="12" t="inlineStr">
        <is>
          <t>NB1(a)</t>
        </is>
      </c>
      <c r="C229" s="7" t="inlineStr"/>
      <c r="D229" s="7" t="inlineStr"/>
      <c r="E229" s="17" t="inlineStr">
        <is>
          <t>Number of 'Areas of Significance' (2020 Baseline)</t>
        </is>
      </c>
      <c r="F229" s="7" t="inlineStr">
        <is>
          <t>#</t>
        </is>
      </c>
      <c r="G229" s="13" t="n">
        <v>24</v>
      </c>
      <c r="H229" s="13" t="n"/>
      <c r="I229" s="13" t="n"/>
      <c r="J229" s="13" t="n"/>
      <c r="K229" s="14" t="n"/>
      <c r="L229" s="7" t="inlineStr">
        <is>
          <t>Data held</t>
        </is>
      </c>
      <c r="M229" s="7" t="inlineStr">
        <is>
          <t>ESG</t>
        </is>
      </c>
      <c r="N229" s="10" t="inlineStr"/>
      <c r="O229" s="10" t="inlineStr"/>
      <c r="P229" s="10" t="inlineStr"/>
      <c r="Q229" s="10" t="inlineStr"/>
      <c r="R229" s="10" t="inlineStr"/>
      <c r="S229" s="10" t="inlineStr"/>
    </row>
    <row r="230" ht="39" customHeight="1">
      <c r="B230" s="12" t="inlineStr">
        <is>
          <t>NB1(a)</t>
        </is>
      </c>
      <c r="C230" s="7" t="inlineStr"/>
      <c r="D230" s="7" t="inlineStr"/>
      <c r="E230" s="17" t="inlineStr">
        <is>
          <t>Number of understorey plant species (2024 Baseline)</t>
        </is>
      </c>
      <c r="F230" s="7" t="inlineStr">
        <is>
          <t>#</t>
        </is>
      </c>
      <c r="G230" s="13" t="n">
        <v>1644</v>
      </c>
      <c r="H230" s="13" t="n"/>
      <c r="I230" s="13" t="n"/>
      <c r="J230" s="13" t="n"/>
      <c r="K230" s="14" t="n"/>
      <c r="L230" s="7" t="inlineStr">
        <is>
          <t>Data held</t>
        </is>
      </c>
      <c r="M230" s="7" t="inlineStr">
        <is>
          <t>ESG</t>
        </is>
      </c>
      <c r="N230" s="10" t="inlineStr"/>
      <c r="O230" s="10" t="inlineStr"/>
      <c r="P230" s="10" t="inlineStr"/>
      <c r="Q230" s="10" t="inlineStr"/>
      <c r="R230" s="10" t="inlineStr"/>
      <c r="S230" s="10" t="inlineStr"/>
    </row>
    <row r="231" ht="22" customHeight="1">
      <c r="B231" s="12" t="inlineStr">
        <is>
          <t>NB1(a)</t>
        </is>
      </c>
      <c r="C231" s="7" t="inlineStr"/>
      <c r="D231" s="7" t="inlineStr"/>
      <c r="E231" s="17" t="inlineStr">
        <is>
          <t>Number of trees (2016 Baseline)</t>
        </is>
      </c>
      <c r="F231" s="7" t="inlineStr">
        <is>
          <t>#</t>
        </is>
      </c>
      <c r="G231" s="13" t="n">
        <v>777</v>
      </c>
      <c r="H231" s="13" t="n"/>
      <c r="I231" s="13" t="n"/>
      <c r="J231" s="13" t="n">
        <v>785</v>
      </c>
      <c r="K231" s="14" t="n"/>
      <c r="L231" s="7" t="inlineStr">
        <is>
          <t>Data held</t>
        </is>
      </c>
      <c r="M231" s="7" t="inlineStr">
        <is>
          <t>ESG</t>
        </is>
      </c>
      <c r="N231" s="10" t="inlineStr"/>
      <c r="O231" s="10" t="inlineStr"/>
      <c r="P231" s="10" t="inlineStr"/>
      <c r="Q231" s="10" t="inlineStr"/>
      <c r="R231" s="10" t="inlineStr"/>
      <c r="S231" s="10" t="inlineStr"/>
    </row>
    <row r="232" ht="22" customHeight="1">
      <c r="B232" s="12" t="inlineStr">
        <is>
          <t>NB1(a)</t>
        </is>
      </c>
      <c r="C232" s="7" t="inlineStr"/>
      <c r="D232" s="7" t="inlineStr"/>
      <c r="E232" s="17" t="inlineStr">
        <is>
          <t>Number of trees species (2016 Baseline)</t>
        </is>
      </c>
      <c r="F232" s="7" t="inlineStr">
        <is>
          <t>#</t>
        </is>
      </c>
      <c r="G232" s="13" t="n">
        <v>298</v>
      </c>
      <c r="H232" s="13" t="n"/>
      <c r="I232" s="13" t="n"/>
      <c r="J232" s="13" t="n"/>
      <c r="K232" s="14" t="n"/>
      <c r="L232" s="7" t="inlineStr">
        <is>
          <t>Data held</t>
        </is>
      </c>
      <c r="M232" s="7" t="inlineStr">
        <is>
          <t>ESG</t>
        </is>
      </c>
      <c r="N232" s="10" t="inlineStr"/>
      <c r="O232" s="10" t="inlineStr"/>
      <c r="P232" s="10" t="inlineStr"/>
      <c r="Q232" s="10" t="inlineStr"/>
      <c r="R232" s="10" t="inlineStr"/>
      <c r="S232" s="10" t="inlineStr"/>
    </row>
    <row r="233" ht="22" customHeight="1">
      <c r="B233" s="12" t="inlineStr">
        <is>
          <t>NB1(a)</t>
        </is>
      </c>
      <c r="C233" s="7" t="inlineStr"/>
      <c r="D233" s="7" t="inlineStr"/>
      <c r="E233" s="17" t="inlineStr">
        <is>
          <t>Tree canopy cover area (2019 Baseline)</t>
        </is>
      </c>
      <c r="F233" s="7" t="inlineStr">
        <is>
          <t>%</t>
        </is>
      </c>
      <c r="G233" s="13" t="n">
        <v>31</v>
      </c>
      <c r="H233" s="13" t="n"/>
      <c r="I233" s="13" t="n"/>
      <c r="J233" s="13" t="n"/>
      <c r="K233" s="14" t="n"/>
      <c r="L233" s="7" t="inlineStr">
        <is>
          <t>Data held</t>
        </is>
      </c>
      <c r="M233" s="7" t="inlineStr">
        <is>
          <t>ESG</t>
        </is>
      </c>
      <c r="N233" s="10" t="inlineStr"/>
      <c r="O233" s="10" t="inlineStr"/>
      <c r="P233" s="10" t="inlineStr"/>
      <c r="Q233" s="10" t="inlineStr"/>
      <c r="R233" s="10" t="inlineStr"/>
      <c r="S233" s="10" t="inlineStr"/>
    </row>
    <row r="234" ht="39" customHeight="1">
      <c r="B234" s="12" t="inlineStr">
        <is>
          <t>NB1(a)</t>
        </is>
      </c>
      <c r="C234" s="7" t="inlineStr"/>
      <c r="D234" s="7" t="inlineStr"/>
      <c r="E234" s="17" t="inlineStr">
        <is>
          <t>Number of fauna &amp; fungi species (2020 Baseline)</t>
        </is>
      </c>
      <c r="F234" s="7" t="inlineStr">
        <is>
          <t>#</t>
        </is>
      </c>
      <c r="G234" s="13" t="n">
        <v>183</v>
      </c>
      <c r="H234" s="13" t="n"/>
      <c r="I234" s="13" t="n"/>
      <c r="J234" s="13" t="n"/>
      <c r="K234" s="14" t="n"/>
      <c r="L234" s="7" t="inlineStr">
        <is>
          <t>Data held</t>
        </is>
      </c>
      <c r="M234" s="7" t="inlineStr">
        <is>
          <t>ESG</t>
        </is>
      </c>
      <c r="N234" s="10" t="inlineStr"/>
      <c r="O234" s="10" t="inlineStr"/>
      <c r="P234" s="10" t="inlineStr"/>
      <c r="Q234" s="10" t="inlineStr"/>
      <c r="R234" s="10" t="inlineStr"/>
      <c r="S234" s="10" t="inlineStr"/>
    </row>
    <row r="235" ht="22" customHeight="1">
      <c r="B235" s="12" t="inlineStr">
        <is>
          <t>NB1(a)</t>
        </is>
      </c>
      <c r="C235" s="7" t="inlineStr"/>
      <c r="D235" s="7" t="inlineStr"/>
      <c r="E235" s="18" t="inlineStr">
        <is>
          <t>Number of fauna species</t>
        </is>
      </c>
      <c r="F235" s="7" t="inlineStr">
        <is>
          <t>#</t>
        </is>
      </c>
      <c r="G235" s="13" t="n">
        <v>170</v>
      </c>
      <c r="H235" s="13" t="n"/>
      <c r="I235" s="13" t="n"/>
      <c r="J235" s="13" t="n"/>
      <c r="K235" s="14" t="n"/>
      <c r="L235" s="7" t="inlineStr">
        <is>
          <t>Data held</t>
        </is>
      </c>
      <c r="M235" s="7" t="inlineStr">
        <is>
          <t>ESG</t>
        </is>
      </c>
      <c r="N235" s="10" t="inlineStr"/>
      <c r="O235" s="10" t="inlineStr"/>
      <c r="P235" s="10" t="inlineStr"/>
      <c r="Q235" s="10" t="inlineStr"/>
      <c r="R235" s="10" t="inlineStr"/>
      <c r="S235" s="10" t="inlineStr"/>
    </row>
    <row r="236" ht="22" customHeight="1">
      <c r="B236" s="12" t="inlineStr">
        <is>
          <t>NB1(a)</t>
        </is>
      </c>
      <c r="C236" s="7" t="inlineStr"/>
      <c r="D236" s="7" t="inlineStr"/>
      <c r="E236" s="18" t="inlineStr">
        <is>
          <t>Number of fungi species</t>
        </is>
      </c>
      <c r="F236" s="7" t="inlineStr">
        <is>
          <t>#</t>
        </is>
      </c>
      <c r="G236" s="13" t="n">
        <v>13</v>
      </c>
      <c r="H236" s="13" t="n"/>
      <c r="I236" s="13" t="n"/>
      <c r="J236" s="13" t="n"/>
      <c r="K236" s="14" t="n"/>
      <c r="L236" s="7" t="inlineStr">
        <is>
          <t>Data held</t>
        </is>
      </c>
      <c r="M236" s="7" t="inlineStr">
        <is>
          <t>ESG</t>
        </is>
      </c>
      <c r="N236" s="10" t="inlineStr"/>
      <c r="O236" s="10" t="inlineStr"/>
      <c r="P236" s="10" t="inlineStr"/>
      <c r="Q236" s="10" t="inlineStr"/>
      <c r="R236" s="10" t="inlineStr"/>
      <c r="S236" s="10" t="inlineStr"/>
    </row>
    <row r="237" ht="22" customHeight="1">
      <c r="B237" s="15" t="inlineStr">
        <is>
          <t>NB1(a)</t>
        </is>
      </c>
      <c r="C237" s="15" t="inlineStr"/>
      <c r="D237" s="15" t="inlineStr"/>
      <c r="E237" s="15" t="inlineStr">
        <is>
          <t>Werribee biodiversity metrics</t>
        </is>
      </c>
      <c r="F237" s="15" t="inlineStr"/>
      <c r="G237" s="16" t="n"/>
      <c r="H237" s="16" t="n"/>
      <c r="I237" s="16" t="n"/>
      <c r="J237" s="16" t="n"/>
      <c r="K237" s="16" t="n"/>
      <c r="L237" s="15" t="inlineStr"/>
      <c r="M237" s="15" t="inlineStr"/>
      <c r="N237" s="15" t="inlineStr"/>
      <c r="O237" s="15" t="inlineStr"/>
      <c r="P237" s="15" t="inlineStr"/>
      <c r="Q237" s="15" t="inlineStr"/>
      <c r="R237" s="15" t="inlineStr"/>
      <c r="S237" s="15" t="inlineStr"/>
    </row>
    <row r="238" ht="22" customHeight="1">
      <c r="B238" s="12" t="inlineStr">
        <is>
          <t>NB1(a)</t>
        </is>
      </c>
      <c r="C238" s="7" t="inlineStr"/>
      <c r="D238" s="7" t="inlineStr"/>
      <c r="E238" s="17" t="inlineStr">
        <is>
          <t>Plantable area (2024 Baseline)</t>
        </is>
      </c>
      <c r="F238" s="7" t="inlineStr">
        <is>
          <t>%</t>
        </is>
      </c>
      <c r="G238" s="13" t="n">
        <v>68</v>
      </c>
      <c r="H238" s="13" t="n"/>
      <c r="I238" s="13" t="n"/>
      <c r="J238" s="13" t="n"/>
      <c r="K238" s="14" t="n"/>
      <c r="L238" s="7" t="inlineStr">
        <is>
          <t>Data held</t>
        </is>
      </c>
      <c r="M238" s="7" t="inlineStr">
        <is>
          <t>ESG</t>
        </is>
      </c>
      <c r="N238" s="10" t="inlineStr"/>
      <c r="O238" s="10" t="inlineStr"/>
      <c r="P238" s="10" t="inlineStr"/>
      <c r="Q238" s="10" t="inlineStr"/>
      <c r="R238" s="10" t="inlineStr"/>
      <c r="S238" s="10" t="inlineStr"/>
    </row>
    <row r="239" ht="39" customHeight="1">
      <c r="B239" s="12" t="inlineStr">
        <is>
          <t>NB1(a)</t>
        </is>
      </c>
      <c r="C239" s="7" t="inlineStr"/>
      <c r="D239" s="7" t="inlineStr"/>
      <c r="E239" s="17" t="inlineStr">
        <is>
          <t>Number of 'Areas of Significance' (2020 Baseline)</t>
        </is>
      </c>
      <c r="F239" s="7" t="inlineStr">
        <is>
          <t>#</t>
        </is>
      </c>
      <c r="G239" s="13" t="n">
        <v>10</v>
      </c>
      <c r="H239" s="13" t="n"/>
      <c r="I239" s="13" t="n"/>
      <c r="J239" s="13" t="n"/>
      <c r="K239" s="14" t="n"/>
      <c r="L239" s="7" t="inlineStr">
        <is>
          <t>Data held</t>
        </is>
      </c>
      <c r="M239" s="7" t="inlineStr">
        <is>
          <t>ESG</t>
        </is>
      </c>
      <c r="N239" s="10" t="inlineStr"/>
      <c r="O239" s="10" t="inlineStr"/>
      <c r="P239" s="10" t="inlineStr"/>
      <c r="Q239" s="10" t="inlineStr"/>
      <c r="R239" s="10" t="inlineStr"/>
      <c r="S239" s="10" t="inlineStr"/>
    </row>
    <row r="240" ht="39" customHeight="1">
      <c r="B240" s="12" t="inlineStr">
        <is>
          <t>NB1(a)</t>
        </is>
      </c>
      <c r="C240" s="7" t="inlineStr"/>
      <c r="D240" s="7" t="inlineStr"/>
      <c r="E240" s="17" t="inlineStr">
        <is>
          <t>Number of understorey plant species (2024 Baseline)</t>
        </is>
      </c>
      <c r="F240" s="7" t="inlineStr">
        <is>
          <t>#</t>
        </is>
      </c>
      <c r="G240" s="13" t="n">
        <v>209</v>
      </c>
      <c r="H240" s="13" t="n"/>
      <c r="I240" s="13" t="n"/>
      <c r="J240" s="13" t="n"/>
      <c r="K240" s="14" t="n"/>
      <c r="L240" s="7" t="inlineStr">
        <is>
          <t>Data held</t>
        </is>
      </c>
      <c r="M240" s="7" t="inlineStr">
        <is>
          <t>ESG</t>
        </is>
      </c>
      <c r="N240" s="10" t="inlineStr"/>
      <c r="O240" s="10" t="inlineStr"/>
      <c r="P240" s="10" t="inlineStr"/>
      <c r="Q240" s="10" t="inlineStr"/>
      <c r="R240" s="10" t="inlineStr"/>
      <c r="S240" s="10" t="inlineStr"/>
    </row>
    <row r="241" ht="22" customHeight="1">
      <c r="B241" s="12" t="inlineStr">
        <is>
          <t>NB1(a)</t>
        </is>
      </c>
      <c r="C241" s="7" t="inlineStr"/>
      <c r="D241" s="7" t="inlineStr"/>
      <c r="E241" s="17" t="inlineStr">
        <is>
          <t>Number of trees (2016 Baseline)</t>
        </is>
      </c>
      <c r="F241" s="7" t="inlineStr">
        <is>
          <t>#</t>
        </is>
      </c>
      <c r="G241" s="13" t="n">
        <v>2027</v>
      </c>
      <c r="H241" s="13" t="n"/>
      <c r="I241" s="13" t="n"/>
      <c r="J241" s="13" t="n">
        <v>1840</v>
      </c>
      <c r="K241" s="14" t="n"/>
      <c r="L241" s="7" t="inlineStr">
        <is>
          <t>Data held</t>
        </is>
      </c>
      <c r="M241" s="7" t="inlineStr">
        <is>
          <t>ESG</t>
        </is>
      </c>
      <c r="N241" s="10" t="inlineStr"/>
      <c r="O241" s="10" t="inlineStr"/>
      <c r="P241" s="10" t="inlineStr"/>
      <c r="Q241" s="10" t="inlineStr"/>
      <c r="R241" s="10" t="inlineStr"/>
      <c r="S241" s="10" t="inlineStr"/>
    </row>
    <row r="242" ht="22" customHeight="1">
      <c r="B242" s="12" t="inlineStr">
        <is>
          <t>NB1(a)</t>
        </is>
      </c>
      <c r="C242" s="7" t="inlineStr"/>
      <c r="D242" s="7" t="inlineStr"/>
      <c r="E242" s="17" t="inlineStr">
        <is>
          <t>Number of trees species (2016 Baseline)</t>
        </is>
      </c>
      <c r="F242" s="7" t="inlineStr">
        <is>
          <t>#</t>
        </is>
      </c>
      <c r="G242" s="13" t="n">
        <v>132</v>
      </c>
      <c r="H242" s="13" t="n"/>
      <c r="I242" s="13" t="n"/>
      <c r="J242" s="13" t="n"/>
      <c r="K242" s="14" t="n"/>
      <c r="L242" s="7" t="inlineStr">
        <is>
          <t>Data held</t>
        </is>
      </c>
      <c r="M242" s="7" t="inlineStr">
        <is>
          <t>ESG</t>
        </is>
      </c>
      <c r="N242" s="10" t="inlineStr"/>
      <c r="O242" s="10" t="inlineStr"/>
      <c r="P242" s="10" t="inlineStr"/>
      <c r="Q242" s="10" t="inlineStr"/>
      <c r="R242" s="10" t="inlineStr"/>
      <c r="S242" s="10" t="inlineStr"/>
    </row>
    <row r="243" ht="22" customHeight="1">
      <c r="B243" s="12" t="inlineStr">
        <is>
          <t>NB1(a)</t>
        </is>
      </c>
      <c r="C243" s="7" t="inlineStr"/>
      <c r="D243" s="7" t="inlineStr"/>
      <c r="E243" s="17" t="inlineStr">
        <is>
          <t>Tree canopy cover area (2018 Baseline)</t>
        </is>
      </c>
      <c r="F243" s="7" t="inlineStr">
        <is>
          <t>%</t>
        </is>
      </c>
      <c r="G243" s="13" t="n">
        <v>17</v>
      </c>
      <c r="H243" s="13" t="n"/>
      <c r="I243" s="13" t="n"/>
      <c r="J243" s="13" t="n"/>
      <c r="K243" s="14" t="n"/>
      <c r="L243" s="7" t="inlineStr">
        <is>
          <t>Data held</t>
        </is>
      </c>
      <c r="M243" s="7" t="inlineStr">
        <is>
          <t>ESG</t>
        </is>
      </c>
      <c r="N243" s="10" t="inlineStr"/>
      <c r="O243" s="10" t="inlineStr"/>
      <c r="P243" s="10" t="inlineStr"/>
      <c r="Q243" s="10" t="inlineStr"/>
      <c r="R243" s="10" t="inlineStr"/>
      <c r="S243" s="10" t="inlineStr"/>
    </row>
    <row r="244" ht="39" customHeight="1">
      <c r="B244" s="12" t="inlineStr">
        <is>
          <t>NB1(a)</t>
        </is>
      </c>
      <c r="C244" s="7" t="inlineStr"/>
      <c r="D244" s="7" t="inlineStr"/>
      <c r="E244" s="17" t="inlineStr">
        <is>
          <t>Number of fauna &amp; fungi species (2020 Baseline)</t>
        </is>
      </c>
      <c r="F244" s="7" t="inlineStr">
        <is>
          <t>#</t>
        </is>
      </c>
      <c r="G244" s="13" t="n">
        <v>26</v>
      </c>
      <c r="H244" s="13" t="n"/>
      <c r="I244" s="13" t="n"/>
      <c r="J244" s="13" t="n"/>
      <c r="K244" s="14" t="n"/>
      <c r="L244" s="7" t="inlineStr">
        <is>
          <t>Data held</t>
        </is>
      </c>
      <c r="M244" s="7" t="inlineStr">
        <is>
          <t>ESG</t>
        </is>
      </c>
      <c r="N244" s="10" t="inlineStr"/>
      <c r="O244" s="10" t="inlineStr"/>
      <c r="P244" s="10" t="inlineStr"/>
      <c r="Q244" s="10" t="inlineStr"/>
      <c r="R244" s="10" t="inlineStr"/>
      <c r="S244" s="10" t="inlineStr"/>
    </row>
    <row r="245" ht="22" customHeight="1">
      <c r="B245" s="12" t="inlineStr">
        <is>
          <t>NB1(a)</t>
        </is>
      </c>
      <c r="C245" s="7" t="inlineStr"/>
      <c r="D245" s="7" t="inlineStr"/>
      <c r="E245" s="18" t="inlineStr">
        <is>
          <t>Number of fauna species</t>
        </is>
      </c>
      <c r="F245" s="7" t="inlineStr">
        <is>
          <t>#</t>
        </is>
      </c>
      <c r="G245" s="13" t="n">
        <v>26</v>
      </c>
      <c r="H245" s="13" t="n"/>
      <c r="I245" s="13" t="n"/>
      <c r="J245" s="13" t="n"/>
      <c r="K245" s="14" t="n"/>
      <c r="L245" s="7" t="inlineStr">
        <is>
          <t>Data held</t>
        </is>
      </c>
      <c r="M245" s="7" t="inlineStr">
        <is>
          <t>ESG</t>
        </is>
      </c>
      <c r="N245" s="10" t="inlineStr"/>
      <c r="O245" s="10" t="inlineStr"/>
      <c r="P245" s="10" t="inlineStr"/>
      <c r="Q245" s="10" t="inlineStr"/>
      <c r="R245" s="10" t="inlineStr"/>
      <c r="S245" s="10" t="inlineStr"/>
    </row>
    <row r="246" ht="22" customHeight="1">
      <c r="B246" s="12" t="inlineStr">
        <is>
          <t>NB1(a)</t>
        </is>
      </c>
      <c r="C246" s="7" t="inlineStr"/>
      <c r="D246" s="7" t="inlineStr"/>
      <c r="E246" s="18" t="inlineStr">
        <is>
          <t>Number of fungi species</t>
        </is>
      </c>
      <c r="F246" s="7" t="inlineStr">
        <is>
          <t>#</t>
        </is>
      </c>
      <c r="G246" s="13" t="n">
        <v>0</v>
      </c>
      <c r="H246" s="13" t="n"/>
      <c r="I246" s="13" t="n"/>
      <c r="J246" s="13" t="n"/>
      <c r="K246" s="14" t="n"/>
      <c r="L246" s="7" t="inlineStr">
        <is>
          <t>Data held</t>
        </is>
      </c>
      <c r="M246" s="7" t="inlineStr">
        <is>
          <t>ESG</t>
        </is>
      </c>
      <c r="N246" s="10" t="inlineStr"/>
      <c r="O246" s="10" t="inlineStr"/>
      <c r="P246" s="10" t="inlineStr"/>
      <c r="Q246" s="10" t="inlineStr"/>
      <c r="R246" s="10" t="inlineStr"/>
      <c r="S246" s="10" t="inlineStr"/>
    </row>
    <row r="247" ht="22" customHeight="1">
      <c r="B247" s="15" t="inlineStr">
        <is>
          <t>NB1(a)</t>
        </is>
      </c>
      <c r="C247" s="15" t="inlineStr"/>
      <c r="D247" s="15" t="inlineStr"/>
      <c r="E247" s="15" t="inlineStr">
        <is>
          <t>Creswick biodiversity metrics</t>
        </is>
      </c>
      <c r="F247" s="15" t="inlineStr"/>
      <c r="G247" s="16" t="n"/>
      <c r="H247" s="16" t="n"/>
      <c r="I247" s="16" t="n"/>
      <c r="J247" s="16" t="n"/>
      <c r="K247" s="16" t="n"/>
      <c r="L247" s="15" t="inlineStr"/>
      <c r="M247" s="15" t="inlineStr"/>
      <c r="N247" s="15" t="inlineStr"/>
      <c r="O247" s="15" t="inlineStr"/>
      <c r="P247" s="15" t="inlineStr"/>
      <c r="Q247" s="15" t="inlineStr"/>
      <c r="R247" s="15" t="inlineStr"/>
      <c r="S247" s="15" t="inlineStr"/>
    </row>
    <row r="248" ht="22" customHeight="1">
      <c r="B248" s="12" t="inlineStr">
        <is>
          <t>NB1(a)</t>
        </is>
      </c>
      <c r="C248" s="7" t="inlineStr"/>
      <c r="D248" s="7" t="inlineStr"/>
      <c r="E248" s="17" t="inlineStr">
        <is>
          <t>Plantable area (2024 Baseline)</t>
        </is>
      </c>
      <c r="F248" s="7" t="inlineStr">
        <is>
          <t>%</t>
        </is>
      </c>
      <c r="G248" s="13" t="n">
        <v>76</v>
      </c>
      <c r="H248" s="13" t="n"/>
      <c r="I248" s="13" t="n"/>
      <c r="J248" s="13" t="n"/>
      <c r="K248" s="14" t="n"/>
      <c r="L248" s="7" t="inlineStr">
        <is>
          <t>Data held</t>
        </is>
      </c>
      <c r="M248" s="7" t="inlineStr">
        <is>
          <t>ESG</t>
        </is>
      </c>
      <c r="N248" s="10" t="inlineStr"/>
      <c r="O248" s="10" t="inlineStr"/>
      <c r="P248" s="10" t="inlineStr"/>
      <c r="Q248" s="10" t="inlineStr"/>
      <c r="R248" s="10" t="inlineStr"/>
      <c r="S248" s="10" t="inlineStr"/>
    </row>
    <row r="249" ht="39" customHeight="1">
      <c r="B249" s="12" t="inlineStr">
        <is>
          <t>NB1(a)</t>
        </is>
      </c>
      <c r="C249" s="7" t="inlineStr"/>
      <c r="D249" s="7" t="inlineStr"/>
      <c r="E249" s="17" t="inlineStr">
        <is>
          <t>Number of 'Areas of Significance' (2020 Baseline)</t>
        </is>
      </c>
      <c r="F249" s="7" t="inlineStr">
        <is>
          <t>#</t>
        </is>
      </c>
      <c r="G249" s="13" t="n">
        <v>15</v>
      </c>
      <c r="H249" s="13" t="n"/>
      <c r="I249" s="13" t="n"/>
      <c r="J249" s="13" t="n"/>
      <c r="K249" s="14" t="n"/>
      <c r="L249" s="7" t="inlineStr">
        <is>
          <t>Data held</t>
        </is>
      </c>
      <c r="M249" s="7" t="inlineStr">
        <is>
          <t>ESG</t>
        </is>
      </c>
      <c r="N249" s="10" t="inlineStr"/>
      <c r="O249" s="10" t="inlineStr"/>
      <c r="P249" s="10" t="inlineStr"/>
      <c r="Q249" s="10" t="inlineStr"/>
      <c r="R249" s="10" t="inlineStr"/>
      <c r="S249" s="10" t="inlineStr"/>
    </row>
    <row r="250" ht="39" customHeight="1">
      <c r="B250" s="12" t="inlineStr">
        <is>
          <t>NB1(a)</t>
        </is>
      </c>
      <c r="C250" s="7" t="inlineStr"/>
      <c r="D250" s="7" t="inlineStr"/>
      <c r="E250" s="17" t="inlineStr">
        <is>
          <t>Number of understorey plant species (2024 Baseline)</t>
        </is>
      </c>
      <c r="F250" s="7" t="inlineStr">
        <is>
          <t>#</t>
        </is>
      </c>
      <c r="G250" s="13" t="n">
        <v>114</v>
      </c>
      <c r="H250" s="13" t="n"/>
      <c r="I250" s="13" t="n"/>
      <c r="J250" s="13" t="n"/>
      <c r="K250" s="14" t="n"/>
      <c r="L250" s="7" t="inlineStr">
        <is>
          <t>Data held</t>
        </is>
      </c>
      <c r="M250" s="7" t="inlineStr">
        <is>
          <t>ESG</t>
        </is>
      </c>
      <c r="N250" s="10" t="inlineStr"/>
      <c r="O250" s="10" t="inlineStr"/>
      <c r="P250" s="10" t="inlineStr"/>
      <c r="Q250" s="10" t="inlineStr"/>
      <c r="R250" s="10" t="inlineStr"/>
      <c r="S250" s="10" t="inlineStr"/>
    </row>
    <row r="251" ht="22" customHeight="1">
      <c r="B251" s="12" t="inlineStr">
        <is>
          <t>NB1(a)</t>
        </is>
      </c>
      <c r="C251" s="7" t="inlineStr"/>
      <c r="D251" s="7" t="inlineStr"/>
      <c r="E251" s="17" t="inlineStr">
        <is>
          <t>Number of trees (2016 Baseline)</t>
        </is>
      </c>
      <c r="F251" s="7" t="inlineStr">
        <is>
          <t>#</t>
        </is>
      </c>
      <c r="G251" s="13" t="n">
        <v>1951</v>
      </c>
      <c r="H251" s="13" t="n"/>
      <c r="I251" s="13" t="n"/>
      <c r="J251" s="13" t="n">
        <v>2677</v>
      </c>
      <c r="K251" s="14" t="n"/>
      <c r="L251" s="7" t="inlineStr">
        <is>
          <t>Data held</t>
        </is>
      </c>
      <c r="M251" s="7" t="inlineStr">
        <is>
          <t>ESG</t>
        </is>
      </c>
      <c r="N251" s="10" t="inlineStr"/>
      <c r="O251" s="10" t="inlineStr"/>
      <c r="P251" s="10" t="inlineStr"/>
      <c r="Q251" s="10" t="inlineStr"/>
      <c r="R251" s="10" t="inlineStr"/>
      <c r="S251" s="10" t="inlineStr"/>
    </row>
    <row r="252" ht="22" customHeight="1">
      <c r="B252" s="12" t="inlineStr">
        <is>
          <t>NB1(a)</t>
        </is>
      </c>
      <c r="C252" s="7" t="inlineStr"/>
      <c r="D252" s="7" t="inlineStr"/>
      <c r="E252" s="17" t="inlineStr">
        <is>
          <t>Number of trees species (2016 Baseline)</t>
        </is>
      </c>
      <c r="F252" s="7" t="inlineStr">
        <is>
          <t>#</t>
        </is>
      </c>
      <c r="G252" s="13" t="n">
        <v>201</v>
      </c>
      <c r="H252" s="13" t="n"/>
      <c r="I252" s="13" t="n"/>
      <c r="J252" s="13" t="n"/>
      <c r="K252" s="14" t="n"/>
      <c r="L252" s="7" t="inlineStr">
        <is>
          <t>Data held</t>
        </is>
      </c>
      <c r="M252" s="7" t="inlineStr">
        <is>
          <t>ESG</t>
        </is>
      </c>
      <c r="N252" s="10" t="inlineStr"/>
      <c r="O252" s="10" t="inlineStr"/>
      <c r="P252" s="10" t="inlineStr"/>
      <c r="Q252" s="10" t="inlineStr"/>
      <c r="R252" s="10" t="inlineStr"/>
      <c r="S252" s="10" t="inlineStr"/>
    </row>
    <row r="253" ht="22" customHeight="1">
      <c r="B253" s="12" t="inlineStr">
        <is>
          <t>NB1(a)</t>
        </is>
      </c>
      <c r="C253" s="7" t="inlineStr"/>
      <c r="D253" s="7" t="inlineStr"/>
      <c r="E253" s="17" t="inlineStr">
        <is>
          <t>Tree canopy cover area (2010 Baseline)</t>
        </is>
      </c>
      <c r="F253" s="7" t="inlineStr">
        <is>
          <t>%</t>
        </is>
      </c>
      <c r="G253" s="13" t="n">
        <v>45</v>
      </c>
      <c r="H253" s="13" t="n"/>
      <c r="I253" s="13" t="n"/>
      <c r="J253" s="13" t="n"/>
      <c r="K253" s="14" t="n"/>
      <c r="L253" s="7" t="inlineStr">
        <is>
          <t>Data held</t>
        </is>
      </c>
      <c r="M253" s="7" t="inlineStr">
        <is>
          <t>ESG</t>
        </is>
      </c>
      <c r="N253" s="10" t="inlineStr"/>
      <c r="O253" s="10" t="inlineStr"/>
      <c r="P253" s="10" t="inlineStr"/>
      <c r="Q253" s="10" t="inlineStr"/>
      <c r="R253" s="10" t="inlineStr"/>
      <c r="S253" s="10" t="inlineStr"/>
    </row>
    <row r="254" ht="39" customHeight="1">
      <c r="B254" s="12" t="inlineStr">
        <is>
          <t>NB1(a)</t>
        </is>
      </c>
      <c r="C254" s="7" t="inlineStr"/>
      <c r="D254" s="7" t="inlineStr"/>
      <c r="E254" s="17" t="inlineStr">
        <is>
          <t>Number of fauna &amp; fungi species (2020 Baseline)</t>
        </is>
      </c>
      <c r="F254" s="7" t="inlineStr">
        <is>
          <t>#</t>
        </is>
      </c>
      <c r="G254" s="13" t="n">
        <v>140</v>
      </c>
      <c r="H254" s="13" t="n"/>
      <c r="I254" s="13" t="n"/>
      <c r="J254" s="13" t="n"/>
      <c r="K254" s="14" t="n"/>
      <c r="L254" s="7" t="inlineStr">
        <is>
          <t>Data held</t>
        </is>
      </c>
      <c r="M254" s="7" t="inlineStr">
        <is>
          <t>ESG</t>
        </is>
      </c>
      <c r="N254" s="10" t="inlineStr"/>
      <c r="O254" s="10" t="inlineStr"/>
      <c r="P254" s="10" t="inlineStr"/>
      <c r="Q254" s="10" t="inlineStr"/>
      <c r="R254" s="10" t="inlineStr"/>
      <c r="S254" s="10" t="inlineStr"/>
    </row>
    <row r="255" ht="22" customHeight="1">
      <c r="B255" s="12" t="inlineStr">
        <is>
          <t>NB1(a)</t>
        </is>
      </c>
      <c r="C255" s="7" t="inlineStr"/>
      <c r="D255" s="7" t="inlineStr"/>
      <c r="E255" s="18" t="inlineStr">
        <is>
          <t>Number of fauna species</t>
        </is>
      </c>
      <c r="F255" s="7" t="inlineStr">
        <is>
          <t>#</t>
        </is>
      </c>
      <c r="G255" s="13" t="n">
        <v>130</v>
      </c>
      <c r="H255" s="13" t="n"/>
      <c r="I255" s="13" t="n"/>
      <c r="J255" s="13" t="n"/>
      <c r="K255" s="14" t="n"/>
      <c r="L255" s="7" t="inlineStr">
        <is>
          <t>Data held</t>
        </is>
      </c>
      <c r="M255" s="7" t="inlineStr">
        <is>
          <t>ESG</t>
        </is>
      </c>
      <c r="N255" s="10" t="inlineStr"/>
      <c r="O255" s="10" t="inlineStr"/>
      <c r="P255" s="10" t="inlineStr"/>
      <c r="Q255" s="10" t="inlineStr"/>
      <c r="R255" s="10" t="inlineStr"/>
      <c r="S255" s="10" t="inlineStr"/>
    </row>
    <row r="256" ht="22" customHeight="1">
      <c r="B256" s="12" t="inlineStr">
        <is>
          <t>NB1(a)</t>
        </is>
      </c>
      <c r="C256" s="7" t="inlineStr"/>
      <c r="D256" s="7" t="inlineStr"/>
      <c r="E256" s="18" t="inlineStr">
        <is>
          <t>Number of fungi species</t>
        </is>
      </c>
      <c r="F256" s="7" t="inlineStr">
        <is>
          <t>#</t>
        </is>
      </c>
      <c r="G256" s="13" t="n">
        <v>10</v>
      </c>
      <c r="H256" s="13" t="n"/>
      <c r="I256" s="13" t="n"/>
      <c r="J256" s="13" t="n"/>
      <c r="K256" s="14" t="n"/>
      <c r="L256" s="7" t="inlineStr">
        <is>
          <t>Data held</t>
        </is>
      </c>
      <c r="M256" s="7" t="inlineStr">
        <is>
          <t>ESG</t>
        </is>
      </c>
      <c r="N256" s="10" t="inlineStr"/>
      <c r="O256" s="10" t="inlineStr"/>
      <c r="P256" s="10" t="inlineStr"/>
      <c r="Q256" s="10" t="inlineStr"/>
      <c r="R256" s="10" t="inlineStr"/>
      <c r="S256" s="10" t="inlineStr"/>
    </row>
    <row r="257" ht="22" customHeight="1">
      <c r="B257" s="15" t="inlineStr">
        <is>
          <t>NB1(a)</t>
        </is>
      </c>
      <c r="C257" s="15" t="inlineStr"/>
      <c r="D257" s="15" t="inlineStr"/>
      <c r="E257" s="15" t="inlineStr">
        <is>
          <t>Shepparton biodiversity metrics</t>
        </is>
      </c>
      <c r="F257" s="15" t="inlineStr"/>
      <c r="G257" s="16" t="n"/>
      <c r="H257" s="16" t="n"/>
      <c r="I257" s="16" t="n"/>
      <c r="J257" s="16" t="n"/>
      <c r="K257" s="16" t="n"/>
      <c r="L257" s="15" t="inlineStr"/>
      <c r="M257" s="15" t="inlineStr"/>
      <c r="N257" s="15" t="inlineStr"/>
      <c r="O257" s="15" t="inlineStr"/>
      <c r="P257" s="15" t="inlineStr"/>
      <c r="Q257" s="15" t="inlineStr"/>
      <c r="R257" s="15" t="inlineStr"/>
      <c r="S257" s="15" t="inlineStr"/>
    </row>
    <row r="258" ht="22" customHeight="1">
      <c r="B258" s="12" t="inlineStr">
        <is>
          <t>NB1(a)</t>
        </is>
      </c>
      <c r="C258" s="7" t="inlineStr"/>
      <c r="D258" s="7" t="inlineStr"/>
      <c r="E258" s="17" t="inlineStr">
        <is>
          <t>Plantable area (2020 Baseline)</t>
        </is>
      </c>
      <c r="F258" s="7" t="inlineStr">
        <is>
          <t>%</t>
        </is>
      </c>
      <c r="G258" s="13" t="n">
        <v>40</v>
      </c>
      <c r="H258" s="13" t="n"/>
      <c r="I258" s="13" t="n"/>
      <c r="J258" s="13" t="n"/>
      <c r="K258" s="14" t="n"/>
      <c r="L258" s="7" t="inlineStr">
        <is>
          <t>Data held</t>
        </is>
      </c>
      <c r="M258" s="7" t="inlineStr">
        <is>
          <t>ESG</t>
        </is>
      </c>
      <c r="N258" s="10" t="inlineStr"/>
      <c r="O258" s="10" t="inlineStr"/>
      <c r="P258" s="10" t="inlineStr"/>
      <c r="Q258" s="10" t="inlineStr"/>
      <c r="R258" s="10" t="inlineStr"/>
      <c r="S258" s="10" t="inlineStr"/>
    </row>
    <row r="259" ht="39" customHeight="1">
      <c r="B259" s="12" t="inlineStr">
        <is>
          <t>NB1(a)</t>
        </is>
      </c>
      <c r="C259" s="7" t="inlineStr"/>
      <c r="D259" s="7" t="inlineStr"/>
      <c r="E259" s="17" t="inlineStr">
        <is>
          <t>Number of 'Areas of Significance' (2020 Baseline)</t>
        </is>
      </c>
      <c r="F259" s="7" t="inlineStr">
        <is>
          <t>#</t>
        </is>
      </c>
      <c r="G259" s="13" t="n">
        <v>4</v>
      </c>
      <c r="H259" s="13" t="n"/>
      <c r="I259" s="13" t="n"/>
      <c r="J259" s="13" t="n"/>
      <c r="K259" s="14" t="n"/>
      <c r="L259" s="7" t="inlineStr">
        <is>
          <t>Data held</t>
        </is>
      </c>
      <c r="M259" s="7" t="inlineStr">
        <is>
          <t>ESG</t>
        </is>
      </c>
      <c r="N259" s="10" t="inlineStr"/>
      <c r="O259" s="10" t="inlineStr"/>
      <c r="P259" s="10" t="inlineStr"/>
      <c r="Q259" s="10" t="inlineStr"/>
      <c r="R259" s="10" t="inlineStr"/>
      <c r="S259" s="10" t="inlineStr"/>
    </row>
    <row r="260" ht="39" customHeight="1">
      <c r="B260" s="12" t="inlineStr">
        <is>
          <t>NB1(a)</t>
        </is>
      </c>
      <c r="C260" s="7" t="inlineStr"/>
      <c r="D260" s="7" t="inlineStr"/>
      <c r="E260" s="17" t="inlineStr">
        <is>
          <t>Number of understorey plant species (2024 Baseline)</t>
        </is>
      </c>
      <c r="F260" s="7" t="inlineStr">
        <is>
          <t>#</t>
        </is>
      </c>
      <c r="G260" s="13" t="n">
        <v>314</v>
      </c>
      <c r="H260" s="13" t="n"/>
      <c r="I260" s="13" t="n"/>
      <c r="J260" s="13" t="n"/>
      <c r="K260" s="14" t="n"/>
      <c r="L260" s="7" t="inlineStr">
        <is>
          <t>Data held</t>
        </is>
      </c>
      <c r="M260" s="7" t="inlineStr">
        <is>
          <t>ESG</t>
        </is>
      </c>
      <c r="N260" s="10" t="inlineStr"/>
      <c r="O260" s="10" t="inlineStr"/>
      <c r="P260" s="10" t="inlineStr"/>
      <c r="Q260" s="10" t="inlineStr"/>
      <c r="R260" s="10" t="inlineStr"/>
      <c r="S260" s="10" t="inlineStr"/>
    </row>
    <row r="261" ht="22" customHeight="1">
      <c r="B261" s="12" t="inlineStr">
        <is>
          <t>NB1(a)</t>
        </is>
      </c>
      <c r="C261" s="7" t="inlineStr"/>
      <c r="D261" s="7" t="inlineStr"/>
      <c r="E261" s="17" t="inlineStr">
        <is>
          <t>Number of trees (2010 Baseline)</t>
        </is>
      </c>
      <c r="F261" s="7" t="inlineStr">
        <is>
          <t>#</t>
        </is>
      </c>
      <c r="G261" s="13" t="n">
        <v>228</v>
      </c>
      <c r="H261" s="13" t="n"/>
      <c r="I261" s="13" t="n"/>
      <c r="J261" s="13" t="n">
        <v>227</v>
      </c>
      <c r="K261" s="14" t="n"/>
      <c r="L261" s="7" t="inlineStr">
        <is>
          <t>Data held</t>
        </is>
      </c>
      <c r="M261" s="7" t="inlineStr">
        <is>
          <t>ESG</t>
        </is>
      </c>
      <c r="N261" s="10" t="inlineStr"/>
      <c r="O261" s="10" t="inlineStr"/>
      <c r="P261" s="10" t="inlineStr"/>
      <c r="Q261" s="10" t="inlineStr"/>
      <c r="R261" s="10" t="inlineStr"/>
      <c r="S261" s="10" t="inlineStr"/>
    </row>
    <row r="262" ht="22" customHeight="1">
      <c r="B262" s="12" t="inlineStr">
        <is>
          <t>NB1(a)</t>
        </is>
      </c>
      <c r="C262" s="7" t="inlineStr"/>
      <c r="D262" s="7" t="inlineStr"/>
      <c r="E262" s="17" t="inlineStr">
        <is>
          <t>Number of trees species (2010 Baseline)</t>
        </is>
      </c>
      <c r="F262" s="7" t="inlineStr">
        <is>
          <t>#</t>
        </is>
      </c>
      <c r="G262" s="13" t="n">
        <v>45</v>
      </c>
      <c r="H262" s="13" t="n"/>
      <c r="I262" s="13" t="n"/>
      <c r="J262" s="13" t="n"/>
      <c r="K262" s="14" t="n"/>
      <c r="L262" s="7" t="inlineStr">
        <is>
          <t>Data held</t>
        </is>
      </c>
      <c r="M262" s="7" t="inlineStr">
        <is>
          <t>ESG</t>
        </is>
      </c>
      <c r="N262" s="10" t="inlineStr"/>
      <c r="O262" s="10" t="inlineStr"/>
      <c r="P262" s="10" t="inlineStr"/>
      <c r="Q262" s="10" t="inlineStr"/>
      <c r="R262" s="10" t="inlineStr"/>
      <c r="S262" s="10" t="inlineStr"/>
    </row>
    <row r="263" ht="22" customHeight="1">
      <c r="B263" s="12" t="inlineStr">
        <is>
          <t>NB1(a)</t>
        </is>
      </c>
      <c r="C263" s="7" t="inlineStr"/>
      <c r="D263" s="7" t="inlineStr"/>
      <c r="E263" s="17" t="inlineStr">
        <is>
          <t>Tree canopy cover area (2018 Baseline)</t>
        </is>
      </c>
      <c r="F263" s="7" t="inlineStr">
        <is>
          <t>%</t>
        </is>
      </c>
      <c r="G263" s="13" t="n">
        <v>14</v>
      </c>
      <c r="H263" s="13" t="n"/>
      <c r="I263" s="13" t="n"/>
      <c r="J263" s="13" t="n"/>
      <c r="K263" s="14" t="n"/>
      <c r="L263" s="7" t="inlineStr">
        <is>
          <t>Data held</t>
        </is>
      </c>
      <c r="M263" s="7" t="inlineStr">
        <is>
          <t>ESG</t>
        </is>
      </c>
      <c r="N263" s="10" t="inlineStr"/>
      <c r="O263" s="10" t="inlineStr"/>
      <c r="P263" s="10" t="inlineStr"/>
      <c r="Q263" s="10" t="inlineStr"/>
      <c r="R263" s="10" t="inlineStr"/>
      <c r="S263" s="10" t="inlineStr"/>
    </row>
    <row r="264" ht="39" customHeight="1">
      <c r="B264" s="12" t="inlineStr">
        <is>
          <t>NB1(a)</t>
        </is>
      </c>
      <c r="C264" s="7" t="inlineStr"/>
      <c r="D264" s="7" t="inlineStr"/>
      <c r="E264" s="17" t="inlineStr">
        <is>
          <t>Number of fauna &amp; fungi species (2020 Baseline)</t>
        </is>
      </c>
      <c r="F264" s="7" t="inlineStr">
        <is>
          <t>#</t>
        </is>
      </c>
      <c r="G264" s="13" t="n">
        <v>209</v>
      </c>
      <c r="H264" s="13" t="n"/>
      <c r="I264" s="13" t="n"/>
      <c r="J264" s="13" t="n"/>
      <c r="K264" s="14" t="n"/>
      <c r="L264" s="7" t="inlineStr">
        <is>
          <t>Data held</t>
        </is>
      </c>
      <c r="M264" s="7" t="inlineStr">
        <is>
          <t>ESG</t>
        </is>
      </c>
      <c r="N264" s="10" t="inlineStr"/>
      <c r="O264" s="10" t="inlineStr"/>
      <c r="P264" s="10" t="inlineStr"/>
      <c r="Q264" s="10" t="inlineStr"/>
      <c r="R264" s="10" t="inlineStr"/>
      <c r="S264" s="10" t="inlineStr"/>
    </row>
    <row r="265" ht="22" customHeight="1">
      <c r="B265" s="12" t="inlineStr">
        <is>
          <t>NB1(a)</t>
        </is>
      </c>
      <c r="C265" s="7" t="inlineStr"/>
      <c r="D265" s="7" t="inlineStr"/>
      <c r="E265" s="18" t="inlineStr">
        <is>
          <t>Number of fauna species</t>
        </is>
      </c>
      <c r="F265" s="7" t="inlineStr">
        <is>
          <t>#</t>
        </is>
      </c>
      <c r="G265" s="13" t="n">
        <v>206</v>
      </c>
      <c r="H265" s="13" t="n"/>
      <c r="I265" s="13" t="n"/>
      <c r="J265" s="13" t="n"/>
      <c r="K265" s="14" t="n"/>
      <c r="L265" s="7" t="inlineStr">
        <is>
          <t>Data held</t>
        </is>
      </c>
      <c r="M265" s="7" t="inlineStr">
        <is>
          <t>ESG</t>
        </is>
      </c>
      <c r="N265" s="10" t="inlineStr"/>
      <c r="O265" s="10" t="inlineStr"/>
      <c r="P265" s="10" t="inlineStr"/>
      <c r="Q265" s="10" t="inlineStr"/>
      <c r="R265" s="10" t="inlineStr"/>
      <c r="S265" s="10" t="inlineStr"/>
    </row>
    <row r="266" ht="22" customHeight="1">
      <c r="B266" s="12" t="inlineStr">
        <is>
          <t>NB1(a)</t>
        </is>
      </c>
      <c r="C266" s="7" t="inlineStr"/>
      <c r="D266" s="7" t="inlineStr"/>
      <c r="E266" s="18" t="inlineStr">
        <is>
          <t>Number of fungi species</t>
        </is>
      </c>
      <c r="F266" s="7" t="inlineStr">
        <is>
          <t>#</t>
        </is>
      </c>
      <c r="G266" s="13" t="n">
        <v>3</v>
      </c>
      <c r="H266" s="13" t="n"/>
      <c r="I266" s="13" t="n"/>
      <c r="J266" s="13" t="n"/>
      <c r="K266" s="14" t="n"/>
      <c r="L266" s="7" t="inlineStr">
        <is>
          <t>Data held</t>
        </is>
      </c>
      <c r="M266" s="7" t="inlineStr">
        <is>
          <t>ESG</t>
        </is>
      </c>
      <c r="N266" s="10" t="inlineStr"/>
      <c r="O266" s="10" t="inlineStr"/>
      <c r="P266" s="10" t="inlineStr"/>
      <c r="Q266" s="10" t="inlineStr"/>
      <c r="R266" s="10" t="inlineStr"/>
      <c r="S266" s="10" t="inlineStr"/>
    </row>
    <row r="267" ht="22" customHeight="1">
      <c r="B267" s="15" t="inlineStr">
        <is>
          <t>NB1(a)</t>
        </is>
      </c>
      <c r="C267" s="15" t="inlineStr"/>
      <c r="D267" s="15" t="inlineStr"/>
      <c r="E267" s="15" t="inlineStr">
        <is>
          <t>Dookie biodiversity metrics</t>
        </is>
      </c>
      <c r="F267" s="15" t="inlineStr"/>
      <c r="G267" s="16" t="n"/>
      <c r="H267" s="16" t="n"/>
      <c r="I267" s="16" t="n"/>
      <c r="J267" s="16" t="n"/>
      <c r="K267" s="16" t="n"/>
      <c r="L267" s="15" t="inlineStr"/>
      <c r="M267" s="15" t="inlineStr"/>
      <c r="N267" s="15" t="inlineStr"/>
      <c r="O267" s="15" t="inlineStr"/>
      <c r="P267" s="15" t="inlineStr"/>
      <c r="Q267" s="15" t="inlineStr"/>
      <c r="R267" s="15" t="inlineStr"/>
      <c r="S267" s="15" t="inlineStr"/>
    </row>
    <row r="268" ht="22" customHeight="1">
      <c r="B268" s="12" t="inlineStr">
        <is>
          <t>NB1(a)</t>
        </is>
      </c>
      <c r="C268" s="7" t="inlineStr"/>
      <c r="D268" s="7" t="inlineStr"/>
      <c r="E268" s="17" t="inlineStr">
        <is>
          <t>Plantable area (2024 Baseline)</t>
        </is>
      </c>
      <c r="F268" s="7" t="inlineStr">
        <is>
          <t>%</t>
        </is>
      </c>
      <c r="G268" s="13" t="n">
        <v>98</v>
      </c>
      <c r="H268" s="13" t="n"/>
      <c r="I268" s="13" t="n"/>
      <c r="J268" s="13" t="n"/>
      <c r="K268" s="14" t="n"/>
      <c r="L268" s="7" t="inlineStr">
        <is>
          <t>Data held</t>
        </is>
      </c>
      <c r="M268" s="7" t="inlineStr">
        <is>
          <t>ESG</t>
        </is>
      </c>
      <c r="N268" s="10" t="inlineStr"/>
      <c r="O268" s="10" t="inlineStr"/>
      <c r="P268" s="10" t="inlineStr"/>
      <c r="Q268" s="10" t="inlineStr"/>
      <c r="R268" s="10" t="inlineStr"/>
      <c r="S268" s="10" t="inlineStr"/>
    </row>
    <row r="269" ht="39" customHeight="1">
      <c r="B269" s="12" t="inlineStr">
        <is>
          <t>NB1(a)</t>
        </is>
      </c>
      <c r="C269" s="7" t="inlineStr"/>
      <c r="D269" s="7" t="inlineStr"/>
      <c r="E269" s="17" t="inlineStr">
        <is>
          <t>Number of 'Areas of Significance' (2020 Baseline)</t>
        </is>
      </c>
      <c r="F269" s="7" t="inlineStr">
        <is>
          <t>#</t>
        </is>
      </c>
      <c r="G269" s="13" t="n">
        <v>7</v>
      </c>
      <c r="H269" s="13" t="n"/>
      <c r="I269" s="13" t="n"/>
      <c r="J269" s="13" t="n"/>
      <c r="K269" s="14" t="n"/>
      <c r="L269" s="7" t="inlineStr">
        <is>
          <t>Data held</t>
        </is>
      </c>
      <c r="M269" s="7" t="inlineStr">
        <is>
          <t>ESG</t>
        </is>
      </c>
      <c r="N269" s="10" t="inlineStr"/>
      <c r="O269" s="10" t="inlineStr"/>
      <c r="P269" s="10" t="inlineStr"/>
      <c r="Q269" s="10" t="inlineStr"/>
      <c r="R269" s="10" t="inlineStr"/>
      <c r="S269" s="10" t="inlineStr"/>
    </row>
    <row r="270" ht="39" customHeight="1">
      <c r="B270" s="12" t="inlineStr">
        <is>
          <t>NB1(a)</t>
        </is>
      </c>
      <c r="C270" s="7" t="inlineStr"/>
      <c r="D270" s="7" t="inlineStr"/>
      <c r="E270" s="17" t="inlineStr">
        <is>
          <t>Number of understorey plant species (2024 Baseline)</t>
        </is>
      </c>
      <c r="F270" s="7" t="inlineStr">
        <is>
          <t>#</t>
        </is>
      </c>
      <c r="G270" s="13" t="n">
        <v>316</v>
      </c>
      <c r="H270" s="13" t="n"/>
      <c r="I270" s="13" t="n"/>
      <c r="J270" s="13" t="n"/>
      <c r="K270" s="14" t="n"/>
      <c r="L270" s="7" t="inlineStr">
        <is>
          <t>Data held</t>
        </is>
      </c>
      <c r="M270" s="7" t="inlineStr">
        <is>
          <t>ESG</t>
        </is>
      </c>
      <c r="N270" s="10" t="inlineStr"/>
      <c r="O270" s="10" t="inlineStr"/>
      <c r="P270" s="10" t="inlineStr"/>
      <c r="Q270" s="10" t="inlineStr"/>
      <c r="R270" s="10" t="inlineStr"/>
      <c r="S270" s="10" t="inlineStr"/>
    </row>
    <row r="271" ht="22" customHeight="1">
      <c r="B271" s="12" t="inlineStr">
        <is>
          <t>NB1(a)</t>
        </is>
      </c>
      <c r="C271" s="7" t="inlineStr"/>
      <c r="D271" s="7" t="inlineStr"/>
      <c r="E271" s="17" t="inlineStr">
        <is>
          <t>Number of trees (2016 Baseline)</t>
        </is>
      </c>
      <c r="F271" s="7" t="inlineStr">
        <is>
          <t>#</t>
        </is>
      </c>
      <c r="G271" s="13" t="n">
        <v>2974</v>
      </c>
      <c r="H271" s="13" t="n"/>
      <c r="I271" s="13" t="n"/>
      <c r="J271" s="13" t="n">
        <v>2753</v>
      </c>
      <c r="K271" s="14" t="n"/>
      <c r="L271" s="7" t="inlineStr">
        <is>
          <t>Data held</t>
        </is>
      </c>
      <c r="M271" s="7" t="inlineStr">
        <is>
          <t>ESG</t>
        </is>
      </c>
      <c r="N271" s="10" t="inlineStr"/>
      <c r="O271" s="10" t="inlineStr"/>
      <c r="P271" s="10" t="inlineStr"/>
      <c r="Q271" s="10" t="inlineStr"/>
      <c r="R271" s="10" t="inlineStr"/>
      <c r="S271" s="10" t="inlineStr"/>
    </row>
    <row r="272" ht="22" customHeight="1">
      <c r="B272" s="12" t="inlineStr">
        <is>
          <t>NB1(a)</t>
        </is>
      </c>
      <c r="C272" s="7" t="inlineStr"/>
      <c r="D272" s="7" t="inlineStr"/>
      <c r="E272" s="17" t="inlineStr">
        <is>
          <t>Number of trees species (2016 Baseline)</t>
        </is>
      </c>
      <c r="F272" s="7" t="inlineStr">
        <is>
          <t>#</t>
        </is>
      </c>
      <c r="G272" s="13" t="n">
        <v>202</v>
      </c>
      <c r="H272" s="13" t="n"/>
      <c r="I272" s="13" t="n"/>
      <c r="J272" s="13" t="n"/>
      <c r="K272" s="14" t="n"/>
      <c r="L272" s="7" t="inlineStr">
        <is>
          <t>Data held</t>
        </is>
      </c>
      <c r="M272" s="7" t="inlineStr">
        <is>
          <t>ESG</t>
        </is>
      </c>
      <c r="N272" s="10" t="inlineStr"/>
      <c r="O272" s="10" t="inlineStr"/>
      <c r="P272" s="10" t="inlineStr"/>
      <c r="Q272" s="10" t="inlineStr"/>
      <c r="R272" s="10" t="inlineStr"/>
      <c r="S272" s="10" t="inlineStr"/>
    </row>
    <row r="273" ht="22" customHeight="1">
      <c r="B273" s="12" t="inlineStr">
        <is>
          <t>NB1(a)</t>
        </is>
      </c>
      <c r="C273" s="7" t="inlineStr"/>
      <c r="D273" s="7" t="inlineStr"/>
      <c r="E273" s="17" t="inlineStr">
        <is>
          <t>Tree canopy cover area (2010 Baseline)</t>
        </is>
      </c>
      <c r="F273" s="7" t="inlineStr">
        <is>
          <t>%</t>
        </is>
      </c>
      <c r="G273" s="13" t="n">
        <v>12</v>
      </c>
      <c r="H273" s="13" t="n"/>
      <c r="I273" s="13" t="n"/>
      <c r="J273" s="13" t="n"/>
      <c r="K273" s="14" t="n"/>
      <c r="L273" s="7" t="inlineStr">
        <is>
          <t>Data held</t>
        </is>
      </c>
      <c r="M273" s="7" t="inlineStr">
        <is>
          <t>ESG</t>
        </is>
      </c>
      <c r="N273" s="10" t="inlineStr"/>
      <c r="O273" s="10" t="inlineStr"/>
      <c r="P273" s="10" t="inlineStr"/>
      <c r="Q273" s="10" t="inlineStr"/>
      <c r="R273" s="10" t="inlineStr"/>
      <c r="S273" s="10" t="inlineStr"/>
    </row>
    <row r="274" ht="39" customHeight="1">
      <c r="B274" s="12" t="inlineStr">
        <is>
          <t>NB1(a)</t>
        </is>
      </c>
      <c r="C274" s="7" t="inlineStr"/>
      <c r="D274" s="7" t="inlineStr"/>
      <c r="E274" s="17" t="inlineStr">
        <is>
          <t>Number of fauna &amp; fungi species (2020 Baseline)</t>
        </is>
      </c>
      <c r="F274" s="7" t="inlineStr">
        <is>
          <t>#</t>
        </is>
      </c>
      <c r="G274" s="13" t="n">
        <v>289</v>
      </c>
      <c r="H274" s="13" t="n"/>
      <c r="I274" s="13" t="n"/>
      <c r="J274" s="13" t="n"/>
      <c r="K274" s="14" t="n"/>
      <c r="L274" s="7" t="inlineStr">
        <is>
          <t>Data held</t>
        </is>
      </c>
      <c r="M274" s="7" t="inlineStr">
        <is>
          <t>ESG</t>
        </is>
      </c>
      <c r="N274" s="10" t="inlineStr"/>
      <c r="O274" s="10" t="inlineStr"/>
      <c r="P274" s="10" t="inlineStr"/>
      <c r="Q274" s="10" t="inlineStr"/>
      <c r="R274" s="10" t="inlineStr"/>
      <c r="S274" s="10" t="inlineStr"/>
    </row>
    <row r="275" ht="22" customHeight="1">
      <c r="B275" s="12" t="inlineStr">
        <is>
          <t>NB1(a)</t>
        </is>
      </c>
      <c r="C275" s="7" t="inlineStr"/>
      <c r="D275" s="7" t="inlineStr"/>
      <c r="E275" s="18" t="inlineStr">
        <is>
          <t>Number of fauna species</t>
        </is>
      </c>
      <c r="F275" s="7" t="inlineStr">
        <is>
          <t>#</t>
        </is>
      </c>
      <c r="G275" s="13" t="n">
        <v>288</v>
      </c>
      <c r="H275" s="13" t="n"/>
      <c r="I275" s="13" t="n"/>
      <c r="J275" s="13" t="n"/>
      <c r="K275" s="14" t="n"/>
      <c r="L275" s="7" t="inlineStr">
        <is>
          <t>Data held</t>
        </is>
      </c>
      <c r="M275" s="7" t="inlineStr">
        <is>
          <t>ESG</t>
        </is>
      </c>
      <c r="N275" s="10" t="inlineStr"/>
      <c r="O275" s="10" t="inlineStr"/>
      <c r="P275" s="10" t="inlineStr"/>
      <c r="Q275" s="10" t="inlineStr"/>
      <c r="R275" s="10" t="inlineStr"/>
      <c r="S275" s="10" t="inlineStr"/>
    </row>
    <row r="276" ht="22" customHeight="1">
      <c r="B276" s="12" t="inlineStr">
        <is>
          <t>NB1(a)</t>
        </is>
      </c>
      <c r="C276" s="7" t="inlineStr"/>
      <c r="D276" s="7" t="inlineStr"/>
      <c r="E276" s="18" t="inlineStr">
        <is>
          <t>Number of fungi species</t>
        </is>
      </c>
      <c r="F276" s="7" t="inlineStr">
        <is>
          <t>#</t>
        </is>
      </c>
      <c r="G276" s="13" t="n">
        <v>1</v>
      </c>
      <c r="H276" s="13" t="n"/>
      <c r="I276" s="13" t="n"/>
      <c r="J276" s="13" t="n"/>
      <c r="K276" s="14" t="n"/>
      <c r="L276" s="7" t="inlineStr">
        <is>
          <t>Data held</t>
        </is>
      </c>
      <c r="M276" s="7" t="inlineStr">
        <is>
          <t>ESG</t>
        </is>
      </c>
      <c r="N276" s="10" t="inlineStr"/>
      <c r="O276" s="10" t="inlineStr"/>
      <c r="P276" s="10" t="inlineStr"/>
      <c r="Q276" s="10" t="inlineStr"/>
      <c r="R276" s="10" t="inlineStr"/>
      <c r="S276" s="10" t="inlineStr"/>
    </row>
    <row r="277" ht="39" customHeight="1">
      <c r="B277" s="12" t="inlineStr">
        <is>
          <t>NB2(a)</t>
        </is>
      </c>
      <c r="C277" s="7" t="inlineStr">
        <is>
          <t>Nature and Biodiversity</t>
        </is>
      </c>
      <c r="D277" s="7" t="inlineStr">
        <is>
          <t>Documented baseline nature footprint analysis</t>
        </is>
      </c>
      <c r="E277" s="7" t="inlineStr">
        <is>
          <t>Freshwater eutrophication</t>
        </is>
      </c>
      <c r="F277" s="7" t="inlineStr">
        <is>
          <t>kg P eq</t>
        </is>
      </c>
      <c r="G277" s="13" t="n"/>
      <c r="H277" s="13" t="n"/>
      <c r="I277" s="13" t="n"/>
      <c r="J277" s="13" t="n"/>
      <c r="K277" s="14" t="n"/>
      <c r="L277" s="7" t="inlineStr">
        <is>
          <t>No data yet</t>
        </is>
      </c>
      <c r="M277" s="7" t="inlineStr">
        <is>
          <t>MRE</t>
        </is>
      </c>
      <c r="N277" s="10" t="inlineStr"/>
      <c r="O277" s="10" t="inlineStr"/>
      <c r="P277" s="10" t="inlineStr"/>
      <c r="Q277" s="10" t="inlineStr"/>
      <c r="R277" s="10" t="inlineStr"/>
      <c r="S277" s="10" t="inlineStr"/>
    </row>
    <row r="278" ht="22" customHeight="1">
      <c r="B278" s="12" t="inlineStr">
        <is>
          <t>NB2(a)</t>
        </is>
      </c>
      <c r="C278" s="7" t="inlineStr"/>
      <c r="D278" s="7" t="inlineStr"/>
      <c r="E278" s="7" t="inlineStr">
        <is>
          <t>Global warming</t>
        </is>
      </c>
      <c r="F278" s="7" t="inlineStr">
        <is>
          <t>kg CO2 eq</t>
        </is>
      </c>
      <c r="G278" s="13" t="n"/>
      <c r="H278" s="13" t="n"/>
      <c r="I278" s="13" t="n"/>
      <c r="J278" s="13" t="n"/>
      <c r="K278" s="14" t="n"/>
      <c r="L278" s="7" t="inlineStr">
        <is>
          <t>No data yet</t>
        </is>
      </c>
      <c r="M278" s="7" t="inlineStr">
        <is>
          <t>MRE</t>
        </is>
      </c>
      <c r="N278" s="10" t="inlineStr"/>
      <c r="O278" s="10" t="inlineStr"/>
      <c r="P278" s="10" t="inlineStr"/>
      <c r="Q278" s="10" t="inlineStr"/>
      <c r="R278" s="10" t="inlineStr"/>
      <c r="S278" s="10" t="inlineStr"/>
    </row>
    <row r="279" ht="22" customHeight="1">
      <c r="B279" s="12" t="inlineStr">
        <is>
          <t>NB2(a)</t>
        </is>
      </c>
      <c r="C279" s="7" t="inlineStr"/>
      <c r="D279" s="7" t="inlineStr"/>
      <c r="E279" s="7" t="inlineStr">
        <is>
          <t>Land use</t>
        </is>
      </c>
      <c r="F279" s="7" t="inlineStr">
        <is>
          <t>m²a crop eq</t>
        </is>
      </c>
      <c r="G279" s="13" t="n"/>
      <c r="H279" s="13" t="n"/>
      <c r="I279" s="13" t="n"/>
      <c r="J279" s="13" t="n"/>
      <c r="K279" s="14" t="n"/>
      <c r="L279" s="7" t="inlineStr">
        <is>
          <t>No data yet</t>
        </is>
      </c>
      <c r="M279" s="7" t="inlineStr">
        <is>
          <t>MRE</t>
        </is>
      </c>
      <c r="N279" s="10" t="inlineStr"/>
      <c r="O279" s="10" t="inlineStr"/>
      <c r="P279" s="10" t="inlineStr"/>
      <c r="Q279" s="10" t="inlineStr"/>
      <c r="R279" s="10" t="inlineStr"/>
      <c r="S279" s="10" t="inlineStr"/>
    </row>
    <row r="280" ht="22" customHeight="1">
      <c r="B280" s="12" t="inlineStr">
        <is>
          <t>NB2(a)</t>
        </is>
      </c>
      <c r="C280" s="7" t="inlineStr"/>
      <c r="D280" s="7" t="inlineStr"/>
      <c r="E280" s="7" t="inlineStr">
        <is>
          <t>Marine eutrophication</t>
        </is>
      </c>
      <c r="F280" s="7" t="inlineStr">
        <is>
          <t>kg N eq</t>
        </is>
      </c>
      <c r="G280" s="13" t="n"/>
      <c r="H280" s="13" t="n"/>
      <c r="I280" s="13" t="n"/>
      <c r="J280" s="13" t="n"/>
      <c r="K280" s="14" t="n"/>
      <c r="L280" s="7" t="inlineStr">
        <is>
          <t>No data yet</t>
        </is>
      </c>
      <c r="M280" s="7" t="inlineStr">
        <is>
          <t>MRE</t>
        </is>
      </c>
      <c r="N280" s="10" t="inlineStr"/>
      <c r="O280" s="10" t="inlineStr"/>
      <c r="P280" s="10" t="inlineStr"/>
      <c r="Q280" s="10" t="inlineStr"/>
      <c r="R280" s="10" t="inlineStr"/>
      <c r="S280" s="10" t="inlineStr"/>
    </row>
    <row r="281" ht="22" customHeight="1">
      <c r="B281" s="12" t="inlineStr">
        <is>
          <t>NB2(a)</t>
        </is>
      </c>
      <c r="C281" s="7" t="inlineStr"/>
      <c r="D281" s="7" t="inlineStr"/>
      <c r="E281" s="7" t="inlineStr">
        <is>
          <t>Photochemical ozone formation</t>
        </is>
      </c>
      <c r="F281" s="7" t="inlineStr">
        <is>
          <t>kg NOx eq</t>
        </is>
      </c>
      <c r="G281" s="13" t="n"/>
      <c r="H281" s="13" t="n"/>
      <c r="I281" s="13" t="n"/>
      <c r="J281" s="13" t="n"/>
      <c r="K281" s="14" t="n"/>
      <c r="L281" s="7" t="inlineStr">
        <is>
          <t>No data yet</t>
        </is>
      </c>
      <c r="M281" s="7" t="inlineStr">
        <is>
          <t>MRE</t>
        </is>
      </c>
      <c r="N281" s="10" t="inlineStr"/>
      <c r="O281" s="10" t="inlineStr"/>
      <c r="P281" s="10" t="inlineStr"/>
      <c r="Q281" s="10" t="inlineStr"/>
      <c r="R281" s="10" t="inlineStr"/>
      <c r="S281" s="10" t="inlineStr"/>
    </row>
    <row r="282" ht="22" customHeight="1">
      <c r="B282" s="12" t="inlineStr">
        <is>
          <t>NB2(a)</t>
        </is>
      </c>
      <c r="C282" s="7" t="inlineStr"/>
      <c r="D282" s="7" t="inlineStr"/>
      <c r="E282" s="7" t="inlineStr">
        <is>
          <t>Terrestrial acidification</t>
        </is>
      </c>
      <c r="F282" s="7" t="inlineStr">
        <is>
          <t>kg SO2 eq</t>
        </is>
      </c>
      <c r="G282" s="13" t="n"/>
      <c r="H282" s="13" t="n"/>
      <c r="I282" s="13" t="n"/>
      <c r="J282" s="13" t="n"/>
      <c r="K282" s="14" t="n"/>
      <c r="L282" s="7" t="inlineStr">
        <is>
          <t>No data yet</t>
        </is>
      </c>
      <c r="M282" s="7" t="inlineStr">
        <is>
          <t>MRE</t>
        </is>
      </c>
      <c r="N282" s="10" t="inlineStr"/>
      <c r="O282" s="10" t="inlineStr"/>
      <c r="P282" s="10" t="inlineStr"/>
      <c r="Q282" s="10" t="inlineStr"/>
      <c r="R282" s="10" t="inlineStr"/>
      <c r="S282" s="10" t="inlineStr"/>
    </row>
    <row r="283" ht="22" customHeight="1">
      <c r="B283" s="12" t="inlineStr">
        <is>
          <t>NB2(a)</t>
        </is>
      </c>
      <c r="C283" s="7" t="inlineStr"/>
      <c r="D283" s="7" t="inlineStr"/>
      <c r="E283" s="7" t="inlineStr">
        <is>
          <t>Water consumption</t>
        </is>
      </c>
      <c r="F283" s="7" t="inlineStr">
        <is>
          <t>m³</t>
        </is>
      </c>
      <c r="G283" s="13" t="n"/>
      <c r="H283" s="13" t="n"/>
      <c r="I283" s="13" t="n"/>
      <c r="J283" s="13" t="n"/>
      <c r="K283" s="14" t="n"/>
      <c r="L283" s="7" t="inlineStr">
        <is>
          <t>No data yet</t>
        </is>
      </c>
      <c r="M283" s="7" t="inlineStr">
        <is>
          <t>MRE</t>
        </is>
      </c>
      <c r="N283" s="10" t="inlineStr"/>
      <c r="O283" s="10" t="inlineStr"/>
      <c r="P283" s="10" t="inlineStr"/>
      <c r="Q283" s="10" t="inlineStr"/>
      <c r="R283" s="10" t="inlineStr"/>
      <c r="S283" s="10" t="inlineStr"/>
    </row>
    <row r="284" ht="39" customHeight="1">
      <c r="B284" s="12" t="inlineStr">
        <is>
          <t>CE1(a)</t>
        </is>
      </c>
      <c r="C284" s="7" t="inlineStr">
        <is>
          <t>Circular Economy</t>
        </is>
      </c>
      <c r="D284" s="7" t="inlineStr">
        <is>
          <t>Comparison of year-to-year tonnes of waste (absolute)</t>
        </is>
      </c>
      <c r="E284" s="7" t="inlineStr">
        <is>
          <t>Total waste to landfill (excl. demolition and construction waste)</t>
        </is>
      </c>
      <c r="F284" s="7" t="inlineStr">
        <is>
          <t>Tonnes</t>
        </is>
      </c>
      <c r="G284" s="13" t="n"/>
      <c r="H284" s="13" t="n">
        <v>1484</v>
      </c>
      <c r="I284" s="13" t="n">
        <v>1379</v>
      </c>
      <c r="J284" s="13" t="n">
        <v>1269</v>
      </c>
      <c r="K284" s="14" t="n"/>
      <c r="L284" s="7" t="inlineStr">
        <is>
          <t>Data held</t>
        </is>
      </c>
      <c r="M284" s="7" t="inlineStr">
        <is>
          <t>ESG</t>
        </is>
      </c>
      <c r="N284" s="10" t="inlineStr"/>
      <c r="O284" s="10" t="inlineStr"/>
      <c r="P284" s="10" t="inlineStr"/>
      <c r="Q284" s="10" t="inlineStr"/>
      <c r="R284" s="10" t="inlineStr"/>
      <c r="S284" s="10" t="inlineStr"/>
    </row>
    <row r="285" ht="22" customHeight="1">
      <c r="B285" s="12" t="inlineStr">
        <is>
          <t>CE1(a)</t>
        </is>
      </c>
      <c r="C285" s="7" t="inlineStr"/>
      <c r="D285" s="7" t="inlineStr"/>
      <c r="E285" s="7" t="inlineStr">
        <is>
          <t>Waste to landfill intensity</t>
        </is>
      </c>
      <c r="F285" s="7" t="inlineStr">
        <is>
          <t>KG/person</t>
        </is>
      </c>
      <c r="G285" s="13" t="n"/>
      <c r="H285" s="13" t="n">
        <v>22.6</v>
      </c>
      <c r="I285" s="13" t="n">
        <v>18.5</v>
      </c>
      <c r="J285" s="13" t="n">
        <v>18.3</v>
      </c>
      <c r="K285" s="14" t="n"/>
      <c r="L285" s="7" t="inlineStr">
        <is>
          <t>Data held</t>
        </is>
      </c>
      <c r="M285" s="7" t="inlineStr">
        <is>
          <t>ESG</t>
        </is>
      </c>
      <c r="N285" s="10" t="inlineStr"/>
      <c r="O285" s="10" t="inlineStr"/>
      <c r="P285" s="10" t="inlineStr"/>
      <c r="Q285" s="10" t="inlineStr"/>
      <c r="R285" s="10" t="inlineStr"/>
      <c r="S285" s="10" t="inlineStr"/>
    </row>
    <row r="286" ht="22" customHeight="1">
      <c r="B286" s="12" t="inlineStr">
        <is>
          <t>CE1(a)</t>
        </is>
      </c>
      <c r="C286" s="7" t="inlineStr"/>
      <c r="D286" s="7" t="inlineStr"/>
      <c r="E286" s="7" t="inlineStr">
        <is>
          <t>Changes in total waste to landfill YoY</t>
        </is>
      </c>
      <c r="F286" s="7" t="inlineStr">
        <is>
          <t>%</t>
        </is>
      </c>
      <c r="G286" s="13" t="n"/>
      <c r="H286" s="13" t="inlineStr">
        <is>
          <t>N/A</t>
        </is>
      </c>
      <c r="I286" s="13" t="n">
        <v>-7.075471698113208</v>
      </c>
      <c r="J286" s="13" t="n">
        <v>-7.976794778825235</v>
      </c>
      <c r="K286" s="14" t="n"/>
      <c r="L286" s="7" t="inlineStr">
        <is>
          <t>Data held</t>
        </is>
      </c>
      <c r="M286" s="7" t="inlineStr">
        <is>
          <t>ESG</t>
        </is>
      </c>
      <c r="N286" s="10" t="inlineStr"/>
      <c r="O286" s="10" t="inlineStr"/>
      <c r="P286" s="10" t="inlineStr"/>
      <c r="Q286" s="10" t="inlineStr"/>
      <c r="R286" s="10" t="inlineStr"/>
      <c r="S286" s="10" t="inlineStr"/>
    </row>
    <row r="287" ht="39" customHeight="1">
      <c r="B287" s="12" t="inlineStr">
        <is>
          <t>CE2(a)</t>
        </is>
      </c>
      <c r="C287" s="7" t="inlineStr">
        <is>
          <t>Circular Economy</t>
        </is>
      </c>
      <c r="D287" s="7" t="inlineStr">
        <is>
          <t>Comparison of year-to-year tonnes of recyclables (absolute)</t>
        </is>
      </c>
      <c r="E287" s="7" t="inlineStr">
        <is>
          <t>Total waste recycled</t>
        </is>
      </c>
      <c r="F287" s="7" t="inlineStr">
        <is>
          <t>Tonnes</t>
        </is>
      </c>
      <c r="G287" s="13" t="n"/>
      <c r="H287" s="13" t="n">
        <v>801</v>
      </c>
      <c r="I287" s="13" t="n">
        <v>762</v>
      </c>
      <c r="J287" s="13" t="n">
        <v>1511</v>
      </c>
      <c r="K287" s="14" t="n"/>
      <c r="L287" s="7" t="inlineStr">
        <is>
          <t>Data held</t>
        </is>
      </c>
      <c r="M287" s="7" t="inlineStr">
        <is>
          <t>ESG</t>
        </is>
      </c>
      <c r="N287" s="10" t="inlineStr"/>
      <c r="O287" s="10" t="inlineStr"/>
      <c r="P287" s="10" t="inlineStr"/>
      <c r="Q287" s="10" t="inlineStr"/>
      <c r="R287" s="10" t="inlineStr"/>
      <c r="S287" s="10" t="inlineStr"/>
    </row>
    <row r="288" ht="22" customHeight="1">
      <c r="B288" s="12" t="inlineStr">
        <is>
          <t>CE2(a)</t>
        </is>
      </c>
      <c r="C288" s="7" t="inlineStr"/>
      <c r="D288" s="7" t="inlineStr"/>
      <c r="E288" s="7" t="inlineStr">
        <is>
          <t>Changes in total waste recycled YoY</t>
        </is>
      </c>
      <c r="F288" s="7" t="inlineStr">
        <is>
          <t>%</t>
        </is>
      </c>
      <c r="G288" s="13" t="n"/>
      <c r="H288" s="13" t="inlineStr">
        <is>
          <t>N/A</t>
        </is>
      </c>
      <c r="I288" s="13" t="n">
        <v>-4.868913857677903</v>
      </c>
      <c r="J288" s="13" t="n">
        <v>98.29396325459318</v>
      </c>
      <c r="K288" s="14" t="n"/>
      <c r="L288" s="7" t="inlineStr">
        <is>
          <t>Data held</t>
        </is>
      </c>
      <c r="M288" s="7" t="inlineStr">
        <is>
          <t>ESG</t>
        </is>
      </c>
      <c r="N288" s="10" t="inlineStr"/>
      <c r="O288" s="10" t="inlineStr"/>
      <c r="P288" s="10" t="inlineStr"/>
      <c r="Q288" s="10" t="inlineStr"/>
      <c r="R288" s="10" t="inlineStr"/>
      <c r="S288" s="10" t="inlineStr"/>
    </row>
    <row r="289" ht="39" customHeight="1">
      <c r="B289" s="12" t="inlineStr">
        <is>
          <t>CE2(a)</t>
        </is>
      </c>
      <c r="C289" s="7" t="inlineStr"/>
      <c r="D289" s="7" t="inlineStr"/>
      <c r="E289" s="7" t="inlineStr">
        <is>
          <t>Changes in total waste recycled YoY compared to baseline</t>
        </is>
      </c>
      <c r="F289" s="7" t="inlineStr">
        <is>
          <t>%</t>
        </is>
      </c>
      <c r="G289" s="13" t="n"/>
      <c r="H289" s="13" t="inlineStr">
        <is>
          <t>N/A</t>
        </is>
      </c>
      <c r="I289" s="13" t="inlineStr">
        <is>
          <t>N/A</t>
        </is>
      </c>
      <c r="J289" s="13" t="inlineStr">
        <is>
          <t>N/A</t>
        </is>
      </c>
      <c r="K289" s="14" t="n"/>
      <c r="L289" s="7" t="inlineStr">
        <is>
          <t>No data yet</t>
        </is>
      </c>
      <c r="M289" s="7" t="inlineStr">
        <is>
          <t>ESG</t>
        </is>
      </c>
      <c r="N289" s="10" t="inlineStr"/>
      <c r="O289" s="10" t="inlineStr"/>
      <c r="P289" s="10" t="inlineStr"/>
      <c r="Q289" s="10" t="inlineStr"/>
      <c r="R289" s="10" t="inlineStr"/>
      <c r="S289" s="10" t="inlineStr"/>
    </row>
    <row r="290" ht="39" customHeight="1">
      <c r="B290" s="12" t="inlineStr">
        <is>
          <t>RP2(a)</t>
        </is>
      </c>
      <c r="C290" s="7" t="inlineStr">
        <is>
          <t>Responsible Procurement</t>
        </is>
      </c>
      <c r="D290" s="7" t="inlineStr">
        <is>
          <t>Percentage of Indigeneous spend of total addressable procurement spend</t>
        </is>
      </c>
      <c r="E290" s="7" t="inlineStr">
        <is>
          <t>Total procurement spending</t>
        </is>
      </c>
      <c r="F290" s="7" t="inlineStr">
        <is>
          <t>$</t>
        </is>
      </c>
      <c r="G290" s="13" t="n"/>
      <c r="H290" s="13" t="n"/>
      <c r="I290" s="13" t="n"/>
      <c r="J290" s="13" t="n"/>
      <c r="K290" s="14" t="n"/>
      <c r="L290" s="7" t="inlineStr">
        <is>
          <t>No data yet</t>
        </is>
      </c>
      <c r="M290" s="7" t="inlineStr">
        <is>
          <t>CFOG</t>
        </is>
      </c>
      <c r="N290" s="10" t="inlineStr"/>
      <c r="O290" s="10" t="inlineStr"/>
      <c r="P290" s="10" t="inlineStr"/>
      <c r="Q290" s="10" t="inlineStr"/>
      <c r="R290" s="10" t="inlineStr"/>
      <c r="S290" s="10" t="inlineStr"/>
    </row>
    <row r="291" ht="22" customHeight="1">
      <c r="B291" s="12" t="inlineStr">
        <is>
          <t>RP2(a)</t>
        </is>
      </c>
      <c r="C291" s="7" t="inlineStr"/>
      <c r="D291" s="7" t="inlineStr"/>
      <c r="E291" s="7" t="inlineStr">
        <is>
          <t>Total Indigeneous spending</t>
        </is>
      </c>
      <c r="F291" s="7" t="inlineStr">
        <is>
          <t>$</t>
        </is>
      </c>
      <c r="G291" s="13" t="n"/>
      <c r="H291" s="13" t="n"/>
      <c r="I291" s="13" t="n"/>
      <c r="J291" s="13" t="n"/>
      <c r="K291" s="14" t="n"/>
      <c r="L291" s="7" t="inlineStr">
        <is>
          <t>No data yet</t>
        </is>
      </c>
      <c r="M291" s="7" t="inlineStr">
        <is>
          <t>CFOG</t>
        </is>
      </c>
      <c r="N291" s="10" t="inlineStr"/>
      <c r="O291" s="10" t="inlineStr"/>
      <c r="P291" s="10" t="inlineStr"/>
      <c r="Q291" s="10" t="inlineStr"/>
      <c r="R291" s="10" t="inlineStr"/>
      <c r="S291" s="10" t="inlineStr"/>
    </row>
    <row r="292" ht="39" customHeight="1">
      <c r="B292" s="12" t="inlineStr">
        <is>
          <t>RP2(a)</t>
        </is>
      </c>
      <c r="C292" s="7" t="inlineStr"/>
      <c r="D292" s="7" t="inlineStr"/>
      <c r="E292" s="7" t="inlineStr">
        <is>
          <t>Percentage of Indigeneous spend of total addressable procurement spend</t>
        </is>
      </c>
      <c r="F292" s="7" t="inlineStr">
        <is>
          <t>%</t>
        </is>
      </c>
      <c r="G292" s="13" t="n"/>
      <c r="H292" s="13" t="n"/>
      <c r="I292" s="13" t="n"/>
      <c r="J292" s="13" t="n"/>
      <c r="K292" s="14" t="n"/>
      <c r="L292" s="7" t="inlineStr">
        <is>
          <t>No data yet</t>
        </is>
      </c>
      <c r="M292" s="7" t="inlineStr">
        <is>
          <t>CFOG</t>
        </is>
      </c>
      <c r="N292" s="10" t="inlineStr"/>
      <c r="O292" s="10" t="inlineStr"/>
      <c r="P292" s="10" t="inlineStr"/>
      <c r="Q292" s="10" t="inlineStr"/>
      <c r="R292" s="10" t="inlineStr"/>
      <c r="S292" s="10" t="inlineStr"/>
    </row>
    <row r="293" ht="39" customHeight="1">
      <c r="B293" s="12" t="inlineStr">
        <is>
          <t>RP2(b)</t>
        </is>
      </c>
      <c r="C293" s="7" t="inlineStr">
        <is>
          <t>Responsible Procurement</t>
        </is>
      </c>
      <c r="D293" s="7" t="inlineStr">
        <is>
          <t>Percentage of social spend of total addressable procurement spend</t>
        </is>
      </c>
      <c r="E293" s="7" t="inlineStr">
        <is>
          <t>Total procurement spending</t>
        </is>
      </c>
      <c r="F293" s="7" t="inlineStr">
        <is>
          <t>$</t>
        </is>
      </c>
      <c r="G293" s="13" t="n"/>
      <c r="H293" s="13" t="n"/>
      <c r="I293" s="13" t="n"/>
      <c r="J293" s="13" t="n"/>
      <c r="K293" s="14" t="n"/>
      <c r="L293" s="7" t="inlineStr">
        <is>
          <t>No data yet</t>
        </is>
      </c>
      <c r="M293" s="7" t="inlineStr">
        <is>
          <t>CFOG</t>
        </is>
      </c>
      <c r="N293" s="10" t="inlineStr"/>
      <c r="O293" s="10" t="inlineStr"/>
      <c r="P293" s="10" t="inlineStr"/>
      <c r="Q293" s="10" t="inlineStr"/>
      <c r="R293" s="10" t="inlineStr"/>
      <c r="S293" s="10" t="inlineStr"/>
    </row>
    <row r="294" ht="22" customHeight="1">
      <c r="B294" s="12" t="inlineStr">
        <is>
          <t>RP2(b)</t>
        </is>
      </c>
      <c r="C294" s="7" t="inlineStr"/>
      <c r="D294" s="7" t="inlineStr"/>
      <c r="E294" s="7" t="inlineStr">
        <is>
          <t>Total social spending</t>
        </is>
      </c>
      <c r="F294" s="7" t="inlineStr">
        <is>
          <t>$</t>
        </is>
      </c>
      <c r="G294" s="13" t="n"/>
      <c r="H294" s="13" t="n"/>
      <c r="I294" s="13" t="n"/>
      <c r="J294" s="13" t="n"/>
      <c r="K294" s="14" t="n"/>
      <c r="L294" s="7" t="inlineStr">
        <is>
          <t>No data yet</t>
        </is>
      </c>
      <c r="M294" s="7" t="inlineStr">
        <is>
          <t>CFOG</t>
        </is>
      </c>
      <c r="N294" s="10" t="inlineStr"/>
      <c r="O294" s="10" t="inlineStr"/>
      <c r="P294" s="10" t="inlineStr"/>
      <c r="Q294" s="10" t="inlineStr"/>
      <c r="R294" s="10" t="inlineStr"/>
      <c r="S294" s="10" t="inlineStr"/>
    </row>
    <row r="295" ht="39" customHeight="1">
      <c r="B295" s="12" t="inlineStr">
        <is>
          <t>RP2(b)</t>
        </is>
      </c>
      <c r="C295" s="7" t="inlineStr"/>
      <c r="D295" s="7" t="inlineStr"/>
      <c r="E295" s="7" t="inlineStr">
        <is>
          <t>Percentage of Indigeneous spend of total addressable procurement spend</t>
        </is>
      </c>
      <c r="F295" s="7" t="inlineStr">
        <is>
          <t>%</t>
        </is>
      </c>
      <c r="G295" s="13" t="n"/>
      <c r="H295" s="13" t="n"/>
      <c r="I295" s="13" t="n"/>
      <c r="J295" s="13" t="n"/>
      <c r="K295" s="14" t="n"/>
      <c r="L295" s="7" t="inlineStr">
        <is>
          <t>No data yet</t>
        </is>
      </c>
      <c r="M295" s="7" t="inlineStr">
        <is>
          <t>CFOG</t>
        </is>
      </c>
      <c r="N295" s="10" t="inlineStr"/>
      <c r="O295" s="10" t="inlineStr"/>
      <c r="P295" s="10" t="inlineStr"/>
      <c r="Q295" s="10" t="inlineStr"/>
      <c r="R295" s="10" t="inlineStr"/>
      <c r="S295" s="10" t="inlineStr"/>
    </row>
    <row r="296" ht="105" customHeight="1">
      <c r="B296" s="12" t="inlineStr">
        <is>
          <t>RI1(a)</t>
        </is>
      </c>
      <c r="C296" s="7" t="inlineStr">
        <is>
          <t>Responsible Investments</t>
        </is>
      </c>
      <c r="D296" s="7" t="inlineStr">
        <is>
          <t>Annual monitoring and reporting on the investment portfolio's net zero transition progress, including tracking the percentage of AUM managed by investment managers aligned with (or commited to net zero by 2050</t>
        </is>
      </c>
      <c r="E296" s="7" t="inlineStr">
        <is>
          <t>Total Asset Under Management (AUM)</t>
        </is>
      </c>
      <c r="F296" s="7" t="inlineStr">
        <is>
          <t>$</t>
        </is>
      </c>
      <c r="G296" s="13" t="n"/>
      <c r="H296" s="13" t="n"/>
      <c r="I296" s="13" t="n"/>
      <c r="J296" s="13" t="n"/>
      <c r="K296" s="14" t="n"/>
      <c r="L296" s="7" t="inlineStr">
        <is>
          <t>No data yet</t>
        </is>
      </c>
      <c r="M296" s="7" t="inlineStr">
        <is>
          <t>CFOG</t>
        </is>
      </c>
      <c r="N296" s="10" t="inlineStr"/>
      <c r="O296" s="10" t="inlineStr"/>
      <c r="P296" s="10" t="inlineStr"/>
      <c r="Q296" s="10" t="inlineStr"/>
      <c r="R296" s="10" t="inlineStr"/>
      <c r="S296" s="10" t="inlineStr"/>
    </row>
    <row r="297" ht="39" customHeight="1">
      <c r="B297" s="12" t="inlineStr">
        <is>
          <t>RI1(a)</t>
        </is>
      </c>
      <c r="C297" s="7" t="inlineStr"/>
      <c r="D297" s="7" t="inlineStr"/>
      <c r="E297" s="7" t="inlineStr">
        <is>
          <t>AUM managed by Investment Managers aligned with net zero commitment</t>
        </is>
      </c>
      <c r="F297" s="7" t="inlineStr">
        <is>
          <t>$</t>
        </is>
      </c>
      <c r="G297" s="13" t="n"/>
      <c r="H297" s="13" t="n"/>
      <c r="I297" s="13" t="n"/>
      <c r="J297" s="13" t="n"/>
      <c r="K297" s="14" t="n"/>
      <c r="L297" s="7" t="inlineStr">
        <is>
          <t>No data yet</t>
        </is>
      </c>
      <c r="M297" s="7" t="inlineStr">
        <is>
          <t>CFOG</t>
        </is>
      </c>
      <c r="N297" s="10" t="inlineStr"/>
      <c r="O297" s="10" t="inlineStr"/>
      <c r="P297" s="10" t="inlineStr"/>
      <c r="Q297" s="10" t="inlineStr"/>
      <c r="R297" s="10" t="inlineStr"/>
      <c r="S297" s="10" t="inlineStr"/>
    </row>
    <row r="298" ht="39" customHeight="1">
      <c r="B298" s="12" t="inlineStr">
        <is>
          <t>RI1(a)</t>
        </is>
      </c>
      <c r="C298" s="7" t="inlineStr"/>
      <c r="D298" s="7" t="inlineStr"/>
      <c r="E298" s="7" t="inlineStr">
        <is>
          <t>Percentage of AUM managed by Investment Managers aligned with net zero commitment</t>
        </is>
      </c>
      <c r="F298" s="7" t="inlineStr">
        <is>
          <t>%</t>
        </is>
      </c>
      <c r="G298" s="13" t="n"/>
      <c r="H298" s="13" t="n"/>
      <c r="I298" s="13" t="n"/>
      <c r="J298" s="13" t="n"/>
      <c r="K298" s="14" t="n"/>
      <c r="L298" s="7" t="inlineStr">
        <is>
          <t>No data yet</t>
        </is>
      </c>
      <c r="M298" s="7" t="inlineStr">
        <is>
          <t>CFOG</t>
        </is>
      </c>
      <c r="N298" s="10" t="inlineStr"/>
      <c r="O298" s="10" t="inlineStr"/>
      <c r="P298" s="10" t="inlineStr"/>
      <c r="Q298" s="10" t="inlineStr"/>
      <c r="R298" s="10" t="inlineStr"/>
      <c r="S298" s="10" t="inlineStr"/>
    </row>
    <row r="299" ht="122" customHeight="1">
      <c r="B299" s="12" t="inlineStr">
        <is>
          <t>RI1(b)</t>
        </is>
      </c>
      <c r="C299" s="7" t="inlineStr">
        <is>
          <t>Responsible Investments</t>
        </is>
      </c>
      <c r="D299" s="7" t="inlineStr">
        <is>
          <t>Continuous improvement of the reporting of the University's sustainability-related investment profile metrics, including investment in climate mitigation and transition solutions, and compliance with related obligations (e.g. UNPRI)</t>
        </is>
      </c>
      <c r="E299" s="7" t="inlineStr">
        <is>
          <t>Total Asset Under Management (AUM)</t>
        </is>
      </c>
      <c r="F299" s="7" t="inlineStr">
        <is>
          <t>$</t>
        </is>
      </c>
      <c r="G299" s="13" t="n"/>
      <c r="H299" s="13" t="n"/>
      <c r="I299" s="13" t="n"/>
      <c r="J299" s="13" t="n"/>
      <c r="K299" s="14" t="n"/>
      <c r="L299" s="7" t="inlineStr">
        <is>
          <t>No data yet</t>
        </is>
      </c>
      <c r="M299" s="7" t="inlineStr">
        <is>
          <t>CFOG</t>
        </is>
      </c>
      <c r="N299" s="10" t="inlineStr"/>
      <c r="O299" s="10" t="inlineStr"/>
      <c r="P299" s="10" t="inlineStr"/>
      <c r="Q299" s="10" t="inlineStr"/>
      <c r="R299" s="10" t="inlineStr"/>
      <c r="S299" s="10" t="inlineStr"/>
    </row>
    <row r="300" ht="39" customHeight="1">
      <c r="B300" s="12" t="inlineStr">
        <is>
          <t>RI1(b)</t>
        </is>
      </c>
      <c r="C300" s="7" t="inlineStr"/>
      <c r="D300" s="7" t="inlineStr"/>
      <c r="E300" s="7" t="inlineStr">
        <is>
          <t>AUM invested in climate/transition solution</t>
        </is>
      </c>
      <c r="F300" s="7" t="inlineStr">
        <is>
          <t>$</t>
        </is>
      </c>
      <c r="G300" s="13" t="n"/>
      <c r="H300" s="13" t="n"/>
      <c r="I300" s="13" t="n"/>
      <c r="J300" s="13" t="n"/>
      <c r="K300" s="14" t="n"/>
      <c r="L300" s="7" t="inlineStr">
        <is>
          <t>No data yet</t>
        </is>
      </c>
      <c r="M300" s="7" t="inlineStr">
        <is>
          <t>CFOG</t>
        </is>
      </c>
      <c r="N300" s="10" t="inlineStr"/>
      <c r="O300" s="10" t="inlineStr"/>
      <c r="P300" s="10" t="inlineStr"/>
      <c r="Q300" s="10" t="inlineStr"/>
      <c r="R300" s="10" t="inlineStr"/>
      <c r="S300" s="10" t="inlineStr"/>
    </row>
    <row r="301" ht="39" customHeight="1">
      <c r="B301" s="12" t="inlineStr">
        <is>
          <t>RI1(b)</t>
        </is>
      </c>
      <c r="C301" s="7" t="inlineStr"/>
      <c r="D301" s="7" t="inlineStr"/>
      <c r="E301" s="7" t="inlineStr">
        <is>
          <t>Percentage of AUM invested in climate/transition solution</t>
        </is>
      </c>
      <c r="F301" s="7" t="inlineStr">
        <is>
          <t>%</t>
        </is>
      </c>
      <c r="G301" s="13" t="n"/>
      <c r="H301" s="13" t="n"/>
      <c r="I301" s="13" t="n"/>
      <c r="J301" s="13" t="n"/>
      <c r="K301" s="14" t="n"/>
      <c r="L301" s="7" t="inlineStr">
        <is>
          <t>No data yet</t>
        </is>
      </c>
      <c r="M301" s="7" t="inlineStr">
        <is>
          <t>CFOG</t>
        </is>
      </c>
      <c r="N301" s="10" t="inlineStr"/>
      <c r="O301" s="10" t="inlineStr"/>
      <c r="P301" s="10" t="inlineStr"/>
      <c r="Q301" s="10" t="inlineStr"/>
      <c r="R301" s="10" t="inlineStr"/>
      <c r="S301" s="10" t="inlineStr"/>
    </row>
    <row r="302" ht="39" customHeight="1">
      <c r="B302" s="12" t="inlineStr">
        <is>
          <t>RI1(b)</t>
        </is>
      </c>
      <c r="C302" s="7" t="inlineStr"/>
      <c r="D302" s="7" t="inlineStr"/>
      <c r="E302" s="7" t="inlineStr">
        <is>
          <t>Estimated UoM absolute financed carbon emissions</t>
        </is>
      </c>
      <c r="F302" s="7" t="inlineStr">
        <is>
          <t>tCO2-e</t>
        </is>
      </c>
      <c r="G302" s="13" t="n"/>
      <c r="H302" s="13" t="n">
        <v>121733</v>
      </c>
      <c r="I302" s="13" t="n">
        <v>111919</v>
      </c>
      <c r="J302" s="13" t="n">
        <v>123381</v>
      </c>
      <c r="K302" s="14" t="n"/>
      <c r="L302" s="7" t="inlineStr">
        <is>
          <t>Data held</t>
        </is>
      </c>
      <c r="M302" s="7" t="inlineStr">
        <is>
          <t>CFOG</t>
        </is>
      </c>
      <c r="N302" s="10" t="inlineStr"/>
      <c r="O302" s="10" t="inlineStr"/>
      <c r="P302" s="10" t="inlineStr"/>
      <c r="Q302" s="10" t="inlineStr"/>
      <c r="R302" s="10" t="inlineStr"/>
      <c r="S302" s="10" t="inlineStr"/>
    </row>
    <row r="303" ht="22" customHeight="1">
      <c r="B303" s="12" t="inlineStr">
        <is>
          <t>RI1(b)</t>
        </is>
      </c>
      <c r="C303" s="7" t="inlineStr"/>
      <c r="D303" s="7" t="inlineStr"/>
      <c r="E303" s="17" t="inlineStr">
        <is>
          <t>Australian Equities</t>
        </is>
      </c>
      <c r="F303" s="7" t="inlineStr">
        <is>
          <t>tCO2-e</t>
        </is>
      </c>
      <c r="G303" s="13" t="n"/>
      <c r="H303" s="13" t="n">
        <v>101663</v>
      </c>
      <c r="I303" s="13" t="n">
        <v>82052</v>
      </c>
      <c r="J303" s="13" t="n">
        <v>57483</v>
      </c>
      <c r="K303" s="14" t="n"/>
      <c r="L303" s="7" t="inlineStr">
        <is>
          <t>Data held</t>
        </is>
      </c>
      <c r="M303" s="7" t="inlineStr">
        <is>
          <t>CFOG</t>
        </is>
      </c>
      <c r="N303" s="10" t="inlineStr"/>
      <c r="O303" s="10" t="inlineStr"/>
      <c r="P303" s="10" t="inlineStr"/>
      <c r="Q303" s="10" t="inlineStr"/>
      <c r="R303" s="10" t="inlineStr"/>
      <c r="S303" s="10" t="inlineStr"/>
    </row>
    <row r="304" ht="22" customHeight="1">
      <c r="B304" s="12" t="inlineStr">
        <is>
          <t>RI1(b)</t>
        </is>
      </c>
      <c r="C304" s="7" t="inlineStr"/>
      <c r="D304" s="7" t="inlineStr"/>
      <c r="E304" s="17" t="inlineStr">
        <is>
          <t>International Equities</t>
        </is>
      </c>
      <c r="F304" s="7" t="inlineStr">
        <is>
          <t>tCO2-e</t>
        </is>
      </c>
      <c r="G304" s="13" t="n"/>
      <c r="H304" s="13" t="n">
        <v>20070</v>
      </c>
      <c r="I304" s="13" t="n">
        <v>29867</v>
      </c>
      <c r="J304" s="13" t="n">
        <v>27910</v>
      </c>
      <c r="K304" s="14" t="n"/>
      <c r="L304" s="7" t="inlineStr">
        <is>
          <t>Data held</t>
        </is>
      </c>
      <c r="M304" s="7" t="inlineStr">
        <is>
          <t>CFOG</t>
        </is>
      </c>
      <c r="N304" s="10" t="inlineStr"/>
      <c r="O304" s="10" t="inlineStr"/>
      <c r="P304" s="10" t="inlineStr"/>
      <c r="Q304" s="10" t="inlineStr"/>
      <c r="R304" s="10" t="inlineStr"/>
      <c r="S304" s="10" t="inlineStr"/>
    </row>
    <row r="305" ht="22" customHeight="1">
      <c r="B305" s="12" t="inlineStr">
        <is>
          <t>RI1(b)</t>
        </is>
      </c>
      <c r="C305" s="7" t="inlineStr"/>
      <c r="D305" s="7" t="inlineStr"/>
      <c r="E305" s="17" t="inlineStr">
        <is>
          <t>Credit</t>
        </is>
      </c>
      <c r="F305" s="7" t="inlineStr">
        <is>
          <t>tCO2-e</t>
        </is>
      </c>
      <c r="G305" s="13" t="n"/>
      <c r="H305" s="13" t="inlineStr">
        <is>
          <t>N/A</t>
        </is>
      </c>
      <c r="I305" s="13" t="inlineStr">
        <is>
          <t>N/A</t>
        </is>
      </c>
      <c r="J305" s="13" t="n">
        <v>9312</v>
      </c>
      <c r="K305" s="14" t="n"/>
      <c r="L305" s="7" t="inlineStr">
        <is>
          <t>Data held</t>
        </is>
      </c>
      <c r="M305" s="7" t="inlineStr">
        <is>
          <t>CFOG</t>
        </is>
      </c>
      <c r="N305" s="10" t="inlineStr"/>
      <c r="O305" s="10" t="inlineStr"/>
      <c r="P305" s="10" t="inlineStr"/>
      <c r="Q305" s="10" t="inlineStr"/>
      <c r="R305" s="10" t="inlineStr"/>
      <c r="S305" s="10" t="inlineStr"/>
    </row>
    <row r="306" ht="22" customHeight="1">
      <c r="B306" s="12" t="inlineStr">
        <is>
          <t>RI1(b)</t>
        </is>
      </c>
      <c r="C306" s="7" t="inlineStr"/>
      <c r="D306" s="7" t="inlineStr"/>
      <c r="E306" s="17" t="inlineStr">
        <is>
          <t>Fixed Interest</t>
        </is>
      </c>
      <c r="F306" s="7" t="inlineStr">
        <is>
          <t>tCO2-e</t>
        </is>
      </c>
      <c r="G306" s="13" t="n"/>
      <c r="H306" s="13" t="inlineStr">
        <is>
          <t>N/A</t>
        </is>
      </c>
      <c r="I306" s="13" t="inlineStr">
        <is>
          <t>N/A</t>
        </is>
      </c>
      <c r="J306" s="13" t="n">
        <v>28676</v>
      </c>
      <c r="K306" s="14" t="n"/>
      <c r="L306" s="7" t="inlineStr">
        <is>
          <t>Data held</t>
        </is>
      </c>
      <c r="M306" s="7" t="inlineStr">
        <is>
          <t>CFOG</t>
        </is>
      </c>
      <c r="N306" s="10" t="inlineStr"/>
      <c r="O306" s="10" t="inlineStr"/>
      <c r="P306" s="10" t="inlineStr"/>
      <c r="Q306" s="10" t="inlineStr"/>
      <c r="R306" s="10" t="inlineStr"/>
      <c r="S306" s="10" t="inlineStr"/>
    </row>
    <row r="307" ht="39" customHeight="1">
      <c r="B307" s="12" t="inlineStr">
        <is>
          <t>RI1(b)</t>
        </is>
      </c>
      <c r="C307" s="7" t="inlineStr"/>
      <c r="D307" s="7" t="inlineStr"/>
      <c r="E307" s="7" t="inlineStr">
        <is>
          <t>Estimated UoM absolute financed carbon emissions intensity</t>
        </is>
      </c>
      <c r="F307" s="7" t="inlineStr">
        <is>
          <t>tCO2-e / AUD m invested</t>
        </is>
      </c>
      <c r="G307" s="13" t="n"/>
      <c r="H307" s="13" t="n">
        <v>55</v>
      </c>
      <c r="I307" s="13" t="n">
        <v>49</v>
      </c>
      <c r="J307" s="13" t="n">
        <v>38.2</v>
      </c>
      <c r="K307" s="14" t="n"/>
      <c r="L307" s="7" t="inlineStr">
        <is>
          <t>Data held</t>
        </is>
      </c>
      <c r="M307" s="7" t="inlineStr">
        <is>
          <t>CFOG</t>
        </is>
      </c>
      <c r="N307" s="10" t="inlineStr"/>
      <c r="O307" s="10" t="inlineStr"/>
      <c r="P307" s="10" t="inlineStr"/>
      <c r="Q307" s="10" t="inlineStr"/>
      <c r="R307" s="10" t="inlineStr"/>
      <c r="S307" s="10" t="inlineStr"/>
    </row>
    <row r="308" ht="39" customHeight="1">
      <c r="B308" s="12" t="inlineStr">
        <is>
          <t>RI1(b)</t>
        </is>
      </c>
      <c r="C308" s="7" t="inlineStr"/>
      <c r="D308" s="7" t="inlineStr"/>
      <c r="E308" s="17" t="inlineStr">
        <is>
          <t>Australian Equities</t>
        </is>
      </c>
      <c r="F308" s="7" t="inlineStr">
        <is>
          <t>tCO2-e / AUD m invested</t>
        </is>
      </c>
      <c r="G308" s="13" t="n"/>
      <c r="H308" s="13" t="n">
        <v>94</v>
      </c>
      <c r="I308" s="13" t="n">
        <v>72</v>
      </c>
      <c r="J308" s="13" t="n">
        <v>52.6</v>
      </c>
      <c r="K308" s="14" t="n"/>
      <c r="L308" s="7" t="inlineStr">
        <is>
          <t>Data held</t>
        </is>
      </c>
      <c r="M308" s="7" t="inlineStr">
        <is>
          <t>CFOG</t>
        </is>
      </c>
      <c r="N308" s="10" t="inlineStr"/>
      <c r="O308" s="10" t="inlineStr"/>
      <c r="P308" s="10" t="inlineStr"/>
      <c r="Q308" s="10" t="inlineStr"/>
      <c r="R308" s="10" t="inlineStr"/>
      <c r="S308" s="10" t="inlineStr"/>
    </row>
    <row r="309" ht="39" customHeight="1">
      <c r="B309" s="12" t="inlineStr">
        <is>
          <t>RI1(b)</t>
        </is>
      </c>
      <c r="C309" s="7" t="inlineStr"/>
      <c r="D309" s="7" t="inlineStr"/>
      <c r="E309" s="17" t="inlineStr">
        <is>
          <t>International Equities</t>
        </is>
      </c>
      <c r="F309" s="7" t="inlineStr">
        <is>
          <t>tCO2-e / AUD m invested</t>
        </is>
      </c>
      <c r="G309" s="13" t="n"/>
      <c r="H309" s="13" t="n">
        <v>18</v>
      </c>
      <c r="I309" s="13" t="n">
        <v>26</v>
      </c>
      <c r="J309" s="13" t="n">
        <v>23.4</v>
      </c>
      <c r="K309" s="14" t="n"/>
      <c r="L309" s="7" t="inlineStr">
        <is>
          <t>Data held</t>
        </is>
      </c>
      <c r="M309" s="7" t="inlineStr">
        <is>
          <t>CFOG</t>
        </is>
      </c>
      <c r="N309" s="10" t="inlineStr"/>
      <c r="O309" s="10" t="inlineStr"/>
      <c r="P309" s="10" t="inlineStr"/>
      <c r="Q309" s="10" t="inlineStr"/>
      <c r="R309" s="10" t="inlineStr"/>
      <c r="S309" s="10" t="inlineStr"/>
    </row>
    <row r="310" ht="39" customHeight="1">
      <c r="B310" s="12" t="inlineStr">
        <is>
          <t>RI1(b)</t>
        </is>
      </c>
      <c r="C310" s="7" t="inlineStr"/>
      <c r="D310" s="7" t="inlineStr"/>
      <c r="E310" s="17" t="inlineStr">
        <is>
          <t>Credit</t>
        </is>
      </c>
      <c r="F310" s="7" t="inlineStr">
        <is>
          <t>tCO2-e / AUD m invested</t>
        </is>
      </c>
      <c r="G310" s="13" t="n"/>
      <c r="H310" s="13" t="inlineStr">
        <is>
          <t>N/A</t>
        </is>
      </c>
      <c r="I310" s="13" t="inlineStr">
        <is>
          <t>N/A</t>
        </is>
      </c>
      <c r="J310" s="13" t="n">
        <v>43.1</v>
      </c>
      <c r="K310" s="14" t="n"/>
      <c r="L310" s="7" t="inlineStr">
        <is>
          <t>Data held</t>
        </is>
      </c>
      <c r="M310" s="7" t="inlineStr">
        <is>
          <t>CFOG</t>
        </is>
      </c>
      <c r="N310" s="10" t="inlineStr"/>
      <c r="O310" s="10" t="inlineStr"/>
      <c r="P310" s="10" t="inlineStr"/>
      <c r="Q310" s="10" t="inlineStr"/>
      <c r="R310" s="10" t="inlineStr"/>
      <c r="S310" s="10" t="inlineStr"/>
    </row>
    <row r="311" ht="39" customHeight="1">
      <c r="B311" s="12" t="inlineStr">
        <is>
          <t>RI1(b)</t>
        </is>
      </c>
      <c r="C311" s="7" t="inlineStr"/>
      <c r="D311" s="7" t="inlineStr"/>
      <c r="E311" s="17" t="inlineStr">
        <is>
          <t>Fixed Interest</t>
        </is>
      </c>
      <c r="F311" s="7" t="inlineStr">
        <is>
          <t>tCO2-e / AUD m invested</t>
        </is>
      </c>
      <c r="G311" s="13" t="n"/>
      <c r="H311" s="13" t="inlineStr">
        <is>
          <t>N/A</t>
        </is>
      </c>
      <c r="I311" s="13" t="inlineStr">
        <is>
          <t>N/A</t>
        </is>
      </c>
      <c r="J311" s="13" t="n">
        <v>54.3</v>
      </c>
      <c r="K311" s="14" t="n"/>
      <c r="L311" s="7" t="inlineStr">
        <is>
          <t>Data held</t>
        </is>
      </c>
      <c r="M311" s="7" t="inlineStr">
        <is>
          <t>CFOG</t>
        </is>
      </c>
      <c r="N311" s="10" t="inlineStr"/>
      <c r="O311" s="10" t="inlineStr"/>
      <c r="P311" s="10" t="inlineStr"/>
      <c r="Q311" s="10" t="inlineStr"/>
      <c r="R311" s="10" t="inlineStr"/>
      <c r="S311" s="10" t="inlineStr"/>
    </row>
    <row r="312" ht="22" customHeight="1">
      <c r="B312" s="12" t="inlineStr">
        <is>
          <t>RI1(b)</t>
        </is>
      </c>
      <c r="C312" s="7" t="inlineStr"/>
      <c r="D312" s="7" t="inlineStr"/>
      <c r="E312" s="7" t="inlineStr">
        <is>
          <t>Benchmark financed carbon emissions</t>
        </is>
      </c>
      <c r="F312" s="7" t="inlineStr">
        <is>
          <t>tCO2-e</t>
        </is>
      </c>
      <c r="G312" s="13" t="n"/>
      <c r="H312" s="13" t="n">
        <v>103250</v>
      </c>
      <c r="I312" s="13" t="n">
        <v>118609</v>
      </c>
      <c r="J312" s="13" t="n">
        <v>143399</v>
      </c>
      <c r="K312" s="14" t="n"/>
      <c r="L312" s="7" t="inlineStr">
        <is>
          <t>Data held</t>
        </is>
      </c>
      <c r="M312" s="7" t="inlineStr">
        <is>
          <t>CFOG</t>
        </is>
      </c>
      <c r="N312" s="10" t="inlineStr"/>
      <c r="O312" s="10" t="inlineStr"/>
      <c r="P312" s="10" t="inlineStr"/>
      <c r="Q312" s="10" t="inlineStr"/>
      <c r="R312" s="10" t="inlineStr"/>
      <c r="S312" s="10" t="inlineStr"/>
    </row>
    <row r="313" ht="22" customHeight="1">
      <c r="B313" s="12" t="inlineStr">
        <is>
          <t>RI1(b)</t>
        </is>
      </c>
      <c r="C313" s="7" t="inlineStr"/>
      <c r="D313" s="7" t="inlineStr"/>
      <c r="E313" s="17" t="inlineStr">
        <is>
          <t>Australian Equities</t>
        </is>
      </c>
      <c r="F313" s="7" t="inlineStr">
        <is>
          <t>tCO2-e</t>
        </is>
      </c>
      <c r="G313" s="13" t="n"/>
      <c r="H313" s="13" t="n">
        <v>62433</v>
      </c>
      <c r="I313" s="13" t="n">
        <v>76031</v>
      </c>
      <c r="J313" s="13" t="n">
        <v>49827</v>
      </c>
      <c r="K313" s="14" t="n"/>
      <c r="L313" s="7" t="inlineStr">
        <is>
          <t>Data held</t>
        </is>
      </c>
      <c r="M313" s="7" t="inlineStr">
        <is>
          <t>CFOG</t>
        </is>
      </c>
      <c r="N313" s="10" t="inlineStr"/>
      <c r="O313" s="10" t="inlineStr"/>
      <c r="P313" s="10" t="inlineStr"/>
      <c r="Q313" s="10" t="inlineStr"/>
      <c r="R313" s="10" t="inlineStr"/>
      <c r="S313" s="10" t="inlineStr"/>
    </row>
    <row r="314" ht="22" customHeight="1">
      <c r="B314" s="12" t="inlineStr">
        <is>
          <t>RI1(b)</t>
        </is>
      </c>
      <c r="C314" s="7" t="inlineStr"/>
      <c r="D314" s="7" t="inlineStr"/>
      <c r="E314" s="17" t="inlineStr">
        <is>
          <t>International Equities</t>
        </is>
      </c>
      <c r="F314" s="7" t="inlineStr">
        <is>
          <t>tCO2-e</t>
        </is>
      </c>
      <c r="G314" s="13" t="n"/>
      <c r="H314" s="13" t="n">
        <v>40817</v>
      </c>
      <c r="I314" s="13" t="n">
        <v>42578</v>
      </c>
      <c r="J314" s="13" t="n">
        <v>34989</v>
      </c>
      <c r="K314" s="14" t="n"/>
      <c r="L314" s="7" t="inlineStr">
        <is>
          <t>Data held</t>
        </is>
      </c>
      <c r="M314" s="7" t="inlineStr">
        <is>
          <t>CFOG</t>
        </is>
      </c>
      <c r="N314" s="10" t="inlineStr"/>
      <c r="O314" s="10" t="inlineStr"/>
      <c r="P314" s="10" t="inlineStr"/>
      <c r="Q314" s="10" t="inlineStr"/>
      <c r="R314" s="10" t="inlineStr"/>
      <c r="S314" s="10" t="inlineStr"/>
    </row>
    <row r="315" ht="22" customHeight="1">
      <c r="B315" s="12" t="inlineStr">
        <is>
          <t>RI1(b)</t>
        </is>
      </c>
      <c r="C315" s="7" t="inlineStr"/>
      <c r="D315" s="7" t="inlineStr"/>
      <c r="E315" s="17" t="inlineStr">
        <is>
          <t>Credit</t>
        </is>
      </c>
      <c r="F315" s="7" t="inlineStr">
        <is>
          <t>tCO2-e</t>
        </is>
      </c>
      <c r="G315" s="13" t="n"/>
      <c r="H315" s="13" t="inlineStr">
        <is>
          <t>N/A</t>
        </is>
      </c>
      <c r="I315" s="13" t="inlineStr">
        <is>
          <t>N/A</t>
        </is>
      </c>
      <c r="J315" s="13" t="inlineStr">
        <is>
          <t>N/A</t>
        </is>
      </c>
      <c r="K315" s="14" t="n"/>
      <c r="L315" s="7" t="inlineStr">
        <is>
          <t>No data yet</t>
        </is>
      </c>
      <c r="M315" s="7" t="inlineStr">
        <is>
          <t>CFOG</t>
        </is>
      </c>
      <c r="N315" s="10" t="inlineStr"/>
      <c r="O315" s="10" t="inlineStr"/>
      <c r="P315" s="10" t="inlineStr"/>
      <c r="Q315" s="10" t="inlineStr"/>
      <c r="R315" s="10" t="inlineStr"/>
      <c r="S315" s="10" t="inlineStr"/>
    </row>
    <row r="316" ht="22" customHeight="1">
      <c r="B316" s="12" t="inlineStr">
        <is>
          <t>RI1(b)</t>
        </is>
      </c>
      <c r="C316" s="7" t="inlineStr"/>
      <c r="D316" s="7" t="inlineStr"/>
      <c r="E316" s="17" t="inlineStr">
        <is>
          <t>Fixed Interest</t>
        </is>
      </c>
      <c r="F316" s="7" t="inlineStr">
        <is>
          <t>tCO2-e</t>
        </is>
      </c>
      <c r="G316" s="13" t="n"/>
      <c r="H316" s="13" t="inlineStr">
        <is>
          <t>N/A</t>
        </is>
      </c>
      <c r="I316" s="13" t="inlineStr">
        <is>
          <t>N/A</t>
        </is>
      </c>
      <c r="J316" s="13" t="n">
        <v>58583</v>
      </c>
      <c r="K316" s="14" t="n"/>
      <c r="L316" s="7" t="inlineStr">
        <is>
          <t>Data held</t>
        </is>
      </c>
      <c r="M316" s="7" t="inlineStr">
        <is>
          <t>CFOG</t>
        </is>
      </c>
      <c r="N316" s="10" t="inlineStr"/>
      <c r="O316" s="10" t="inlineStr"/>
      <c r="P316" s="10" t="inlineStr"/>
      <c r="Q316" s="10" t="inlineStr"/>
      <c r="R316" s="10" t="inlineStr"/>
      <c r="S316" s="10" t="inlineStr"/>
    </row>
    <row r="317" ht="39" customHeight="1">
      <c r="B317" s="12" t="inlineStr">
        <is>
          <t>RI1(b)</t>
        </is>
      </c>
      <c r="C317" s="7" t="inlineStr"/>
      <c r="D317" s="7" t="inlineStr"/>
      <c r="E317" s="7" t="inlineStr">
        <is>
          <t>Benchmark financed carbon emissions intensity</t>
        </is>
      </c>
      <c r="F317" s="7" t="inlineStr">
        <is>
          <t>tCO2-e / AUD m invested</t>
        </is>
      </c>
      <c r="G317" s="13" t="n"/>
      <c r="H317" s="13" t="n">
        <v>47</v>
      </c>
      <c r="I317" s="13" t="n">
        <v>51</v>
      </c>
      <c r="J317" s="13" t="n">
        <v>48.6</v>
      </c>
      <c r="K317" s="14" t="n"/>
      <c r="L317" s="7" t="inlineStr">
        <is>
          <t>Data held</t>
        </is>
      </c>
      <c r="M317" s="7" t="inlineStr">
        <is>
          <t>CFOG</t>
        </is>
      </c>
      <c r="N317" s="10" t="inlineStr"/>
      <c r="O317" s="10" t="inlineStr"/>
      <c r="P317" s="10" t="inlineStr"/>
      <c r="Q317" s="10" t="inlineStr"/>
      <c r="R317" s="10" t="inlineStr"/>
      <c r="S317" s="10" t="inlineStr"/>
    </row>
    <row r="318" ht="39" customHeight="1">
      <c r="B318" s="12" t="inlineStr">
        <is>
          <t>RI1(b)</t>
        </is>
      </c>
      <c r="C318" s="7" t="inlineStr"/>
      <c r="D318" s="7" t="inlineStr"/>
      <c r="E318" s="17" t="inlineStr">
        <is>
          <t>Australian Equities</t>
        </is>
      </c>
      <c r="F318" s="7" t="inlineStr">
        <is>
          <t>tCO2-e / AUD m invested</t>
        </is>
      </c>
      <c r="G318" s="13" t="n"/>
      <c r="H318" s="13" t="n">
        <v>58</v>
      </c>
      <c r="I318" s="13" t="n">
        <v>67</v>
      </c>
      <c r="J318" s="13" t="n">
        <v>45.6</v>
      </c>
      <c r="K318" s="14" t="n"/>
      <c r="L318" s="7" t="inlineStr">
        <is>
          <t>Data held</t>
        </is>
      </c>
      <c r="M318" s="7" t="inlineStr">
        <is>
          <t>CFOG</t>
        </is>
      </c>
      <c r="N318" s="10" t="inlineStr"/>
      <c r="O318" s="10" t="inlineStr"/>
      <c r="P318" s="10" t="inlineStr"/>
      <c r="Q318" s="10" t="inlineStr"/>
      <c r="R318" s="10" t="inlineStr"/>
      <c r="S318" s="10" t="inlineStr"/>
    </row>
    <row r="319" ht="39" customHeight="1">
      <c r="B319" s="12" t="inlineStr">
        <is>
          <t>RI1(b)</t>
        </is>
      </c>
      <c r="C319" s="7" t="inlineStr"/>
      <c r="D319" s="7" t="inlineStr"/>
      <c r="E319" s="17" t="inlineStr">
        <is>
          <t>International Equities</t>
        </is>
      </c>
      <c r="F319" s="7" t="inlineStr">
        <is>
          <t>tCO2-e / AUD m invested</t>
        </is>
      </c>
      <c r="G319" s="13" t="n"/>
      <c r="H319" s="13" t="n">
        <v>36</v>
      </c>
      <c r="I319" s="13" t="n">
        <v>37</v>
      </c>
      <c r="J319" s="13" t="n">
        <v>26</v>
      </c>
      <c r="K319" s="14" t="n"/>
      <c r="L319" s="7" t="inlineStr">
        <is>
          <t>Data held</t>
        </is>
      </c>
      <c r="M319" s="7" t="inlineStr">
        <is>
          <t>CFOG</t>
        </is>
      </c>
      <c r="N319" s="10" t="inlineStr"/>
      <c r="O319" s="10" t="inlineStr"/>
      <c r="P319" s="10" t="inlineStr"/>
      <c r="Q319" s="10" t="inlineStr"/>
      <c r="R319" s="10" t="inlineStr"/>
      <c r="S319" s="10" t="inlineStr"/>
    </row>
    <row r="320" ht="39" customHeight="1">
      <c r="B320" s="12" t="inlineStr">
        <is>
          <t>RI1(b)</t>
        </is>
      </c>
      <c r="C320" s="7" t="inlineStr"/>
      <c r="D320" s="7" t="inlineStr"/>
      <c r="E320" s="17" t="inlineStr">
        <is>
          <t>Credit</t>
        </is>
      </c>
      <c r="F320" s="7" t="inlineStr">
        <is>
          <t>tCO2-e / AUD m invested</t>
        </is>
      </c>
      <c r="G320" s="13" t="n"/>
      <c r="H320" s="13" t="inlineStr">
        <is>
          <t>N/A</t>
        </is>
      </c>
      <c r="I320" s="13" t="inlineStr">
        <is>
          <t>N/A</t>
        </is>
      </c>
      <c r="J320" s="13" t="inlineStr">
        <is>
          <t>N/A</t>
        </is>
      </c>
      <c r="K320" s="14" t="n"/>
      <c r="L320" s="7" t="inlineStr">
        <is>
          <t>No data yet</t>
        </is>
      </c>
      <c r="M320" s="7" t="inlineStr">
        <is>
          <t>CFOG</t>
        </is>
      </c>
      <c r="N320" s="10" t="inlineStr"/>
      <c r="O320" s="10" t="inlineStr"/>
      <c r="P320" s="10" t="inlineStr"/>
      <c r="Q320" s="10" t="inlineStr"/>
      <c r="R320" s="10" t="inlineStr"/>
      <c r="S320" s="10" t="inlineStr"/>
    </row>
    <row r="321" ht="39" customHeight="1">
      <c r="B321" s="12" t="inlineStr">
        <is>
          <t>RI1(b)</t>
        </is>
      </c>
      <c r="C321" s="7" t="inlineStr"/>
      <c r="D321" s="7" t="inlineStr"/>
      <c r="E321" s="17" t="inlineStr">
        <is>
          <t>Fixed Interest</t>
        </is>
      </c>
      <c r="F321" s="7" t="inlineStr">
        <is>
          <t>tCO2-e / AUD m invested</t>
        </is>
      </c>
      <c r="G321" s="13" t="n"/>
      <c r="H321" s="13" t="inlineStr">
        <is>
          <t>N/A</t>
        </is>
      </c>
      <c r="I321" s="13" t="inlineStr">
        <is>
          <t>N/A</t>
        </is>
      </c>
      <c r="J321" s="13" t="n">
        <v>112.9</v>
      </c>
      <c r="K321" s="14" t="n"/>
      <c r="L321" s="7" t="inlineStr">
        <is>
          <t>Data held</t>
        </is>
      </c>
      <c r="M321" s="7" t="inlineStr">
        <is>
          <t>CFOG</t>
        </is>
      </c>
      <c r="N321" s="10" t="inlineStr"/>
      <c r="O321" s="10" t="inlineStr"/>
      <c r="P321" s="10" t="inlineStr"/>
      <c r="Q321" s="10" t="inlineStr"/>
      <c r="R321" s="10" t="inlineStr"/>
      <c r="S321" s="10" t="inlineStr"/>
    </row>
    <row r="322" ht="56" customHeight="1">
      <c r="B322" s="12" t="inlineStr">
        <is>
          <t>EN1(b)</t>
        </is>
      </c>
      <c r="C322" s="7" t="inlineStr">
        <is>
          <t>Enablers</t>
        </is>
      </c>
      <c r="D322" s="7" t="inlineStr">
        <is>
          <t>Living laboratories enabling applied learning, research and operational sustainability outcomes</t>
        </is>
      </c>
      <c r="E322" s="7" t="inlineStr">
        <is>
          <t>Number of projects funded (CLLAP)</t>
        </is>
      </c>
      <c r="F322" s="7" t="inlineStr">
        <is>
          <t>#</t>
        </is>
      </c>
      <c r="G322" s="13" t="n"/>
      <c r="H322" s="13" t="n"/>
      <c r="I322" s="13" t="n"/>
      <c r="J322" s="13" t="n"/>
      <c r="K322" s="14" t="n"/>
      <c r="L322" s="7" t="inlineStr">
        <is>
          <t>No data yet</t>
        </is>
      </c>
      <c r="M322" s="7" t="inlineStr">
        <is>
          <t>CI&amp;S</t>
        </is>
      </c>
      <c r="N322" s="10" t="inlineStr"/>
      <c r="O322" s="10" t="inlineStr"/>
      <c r="P322" s="10" t="inlineStr"/>
      <c r="Q322" s="10" t="inlineStr"/>
      <c r="R322" s="10" t="inlineStr"/>
      <c r="S322" s="10" t="inlineStr"/>
    </row>
    <row r="323" ht="22" customHeight="1">
      <c r="B323" s="12" t="inlineStr">
        <is>
          <t>EN1(b)</t>
        </is>
      </c>
      <c r="C323" s="7" t="inlineStr"/>
      <c r="D323" s="7" t="inlineStr"/>
      <c r="E323" s="7" t="inlineStr">
        <is>
          <t>Total funding for projects</t>
        </is>
      </c>
      <c r="F323" s="7" t="inlineStr">
        <is>
          <t>$</t>
        </is>
      </c>
      <c r="G323" s="13" t="n"/>
      <c r="H323" s="13" t="n"/>
      <c r="I323" s="13" t="n"/>
      <c r="J323" s="13" t="n"/>
      <c r="K323" s="14" t="n"/>
      <c r="L323" s="7" t="inlineStr">
        <is>
          <t>No data yet</t>
        </is>
      </c>
      <c r="M323" s="7" t="inlineStr">
        <is>
          <t>CI&amp;S</t>
        </is>
      </c>
      <c r="N323" s="10" t="inlineStr"/>
      <c r="O323" s="10" t="inlineStr"/>
      <c r="P323" s="10" t="inlineStr"/>
      <c r="Q323" s="10" t="inlineStr"/>
      <c r="R323" s="10" t="inlineStr"/>
      <c r="S323" s="10" t="inlineStr"/>
    </row>
  </sheetData>
  <autoFilter ref="B5:S323"/>
  <mergeCells count="1">
    <mergeCell ref="B3:N3"/>
  </mergeCells>
  <dataValidations count="1">
    <dataValidation sqref="R6:R324" showDropDown="0" showInputMessage="0" showErrorMessage="0" allowBlank="1" errorTitle="Invalid entry" error="Please select from the dropdown" type="list">
      <formula1>=Lists!$E$2:$E$4</formula1>
    </dataValidation>
  </dataValidation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R30"/>
  <sheetViews>
    <sheetView showGridLines="0" workbookViewId="0">
      <selection activeCell="A1" sqref="A1"/>
    </sheetView>
  </sheetViews>
  <sheetFormatPr baseColWidth="8" defaultRowHeight="15"/>
  <cols>
    <col width="4" customWidth="1" min="1" max="1"/>
    <col width="14" customWidth="1" min="2" max="2"/>
    <col width="40" customWidth="1" min="3" max="3"/>
    <col width="44" customWidth="1" min="4" max="4"/>
    <col width="40" customWidth="1" min="5" max="5"/>
    <col width="18" customWidth="1" min="6" max="6"/>
    <col width="50"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3. Stakeholder map (SR25 → SR26)</t>
        </is>
      </c>
      <c r="C2" s="1" t="n"/>
      <c r="D2" s="1" t="n"/>
      <c r="E2" s="1" t="n"/>
      <c r="F2" s="1" t="n"/>
      <c r="G2" s="1" t="n"/>
      <c r="H2" s="1" t="n"/>
      <c r="I2" s="1" t="n"/>
      <c r="J2" s="1" t="n"/>
      <c r="K2" s="1" t="n"/>
      <c r="L2" s="1" t="n"/>
      <c r="M2" s="1" t="n"/>
      <c r="N2" s="1" t="n"/>
      <c r="O2" s="1" t="n"/>
      <c r="P2" s="1" t="n"/>
      <c r="Q2" s="1" t="n"/>
      <c r="R2" s="1" t="n"/>
    </row>
    <row r="3"/>
    <row r="4" ht="24" customHeight="1">
      <c r="B4" s="5" t="inlineStr">
        <is>
          <t>SR26 unit</t>
        </is>
      </c>
      <c r="C4" s="5" t="inlineStr">
        <is>
          <t>SR26 full name</t>
        </is>
      </c>
      <c r="D4" s="5" t="inlineStr">
        <is>
          <t>SR25 equivalent (2025 master)</t>
        </is>
      </c>
      <c r="E4" s="5" t="inlineStr">
        <is>
          <t>Section / team</t>
        </is>
      </c>
      <c r="F4" s="5" t="inlineStr">
        <is>
          <t>Key contact</t>
        </is>
      </c>
      <c r="G4" s="5" t="inlineStr">
        <is>
          <t>Status / notes</t>
        </is>
      </c>
    </row>
    <row r="5" ht="39" customHeight="1">
      <c r="B5" s="7" t="inlineStr">
        <is>
          <t>Faculty</t>
        </is>
      </c>
      <c r="C5" s="7" t="inlineStr">
        <is>
          <t>Faculty of Architecture, Building and Planning</t>
        </is>
      </c>
      <c r="D5" s="7" t="inlineStr">
        <is>
          <t>Faculties tab – ABP</t>
        </is>
      </c>
      <c r="E5" s="7" t="inlineStr">
        <is>
          <t>Associate Dean Sustainability / faculty sustainability lead</t>
        </is>
      </c>
      <c r="F5" s="7" t="inlineStr">
        <is>
          <t>TBC</t>
        </is>
      </c>
      <c r="G5" s="7" t="inlineStr">
        <is>
          <t>Pilot faculty</t>
        </is>
      </c>
    </row>
    <row r="6" ht="39" customHeight="1">
      <c r="B6" s="7" t="inlineStr">
        <is>
          <t>Faculty</t>
        </is>
      </c>
      <c r="C6" s="7" t="inlineStr">
        <is>
          <t>Faculty of Arts</t>
        </is>
      </c>
      <c r="D6" s="7" t="inlineStr">
        <is>
          <t>Faculties tab – ARTS</t>
        </is>
      </c>
      <c r="E6" s="7" t="inlineStr">
        <is>
          <t>Associate Dean Sustainability / faculty sustainability lead</t>
        </is>
      </c>
      <c r="F6" s="7" t="inlineStr">
        <is>
          <t>TBC</t>
        </is>
      </c>
      <c r="G6" s="7" t="inlineStr">
        <is>
          <t>Pilot faculty</t>
        </is>
      </c>
    </row>
    <row r="7" ht="39" customHeight="1">
      <c r="B7" s="7" t="inlineStr">
        <is>
          <t>Faculty</t>
        </is>
      </c>
      <c r="C7" s="7" t="inlineStr">
        <is>
          <t>Faculty of Business and Economics</t>
        </is>
      </c>
      <c r="D7" s="7" t="inlineStr">
        <is>
          <t>Faculties tab – FBE</t>
        </is>
      </c>
      <c r="E7" s="7" t="inlineStr">
        <is>
          <t>Associate Dean Sustainability / faculty sustainability lead</t>
        </is>
      </c>
      <c r="F7" s="7" t="inlineStr">
        <is>
          <t>TBC</t>
        </is>
      </c>
      <c r="G7" s="7" t="inlineStr">
        <is>
          <t>Pilot faculty</t>
        </is>
      </c>
    </row>
    <row r="8" ht="39" customHeight="1">
      <c r="B8" s="7" t="inlineStr">
        <is>
          <t>Faculty</t>
        </is>
      </c>
      <c r="C8" s="7" t="inlineStr">
        <is>
          <t>Faculty of Science</t>
        </is>
      </c>
      <c r="D8" s="7" t="inlineStr">
        <is>
          <t>Faculties tab – SCI</t>
        </is>
      </c>
      <c r="E8" s="7" t="inlineStr">
        <is>
          <t>Associate Dean Sustainability / faculty sustainability lead</t>
        </is>
      </c>
      <c r="F8" s="7" t="inlineStr">
        <is>
          <t>TBC</t>
        </is>
      </c>
      <c r="G8" s="7" t="inlineStr">
        <is>
          <t>Pilot faculty</t>
        </is>
      </c>
    </row>
    <row r="9" ht="39" customHeight="1">
      <c r="B9" s="7" t="inlineStr">
        <is>
          <t>Faculty</t>
        </is>
      </c>
      <c r="C9" s="7" t="inlineStr">
        <is>
          <t>Faculty of Fine Arts and Music</t>
        </is>
      </c>
      <c r="D9" s="7" t="inlineStr">
        <is>
          <t>Faculties tab – FAM</t>
        </is>
      </c>
      <c r="E9" s="7" t="inlineStr">
        <is>
          <t>Associate Dean Sustainability / faculty sustainability lead</t>
        </is>
      </c>
      <c r="F9" s="7" t="inlineStr">
        <is>
          <t>TBC</t>
        </is>
      </c>
      <c r="G9" s="7" t="inlineStr">
        <is>
          <t>Pilot faculty</t>
        </is>
      </c>
    </row>
    <row r="10" ht="39" customHeight="1">
      <c r="B10" s="7" t="inlineStr">
        <is>
          <t>Faculty</t>
        </is>
      </c>
      <c r="C10" s="7" t="inlineStr">
        <is>
          <t>Faculty of Engineering and Information Technology</t>
        </is>
      </c>
      <c r="D10" s="7" t="inlineStr">
        <is>
          <t>Faculties tab – FEIT</t>
        </is>
      </c>
      <c r="E10" s="7" t="inlineStr">
        <is>
          <t>Associate Dean Sustainability / faculty sustainability lead</t>
        </is>
      </c>
      <c r="F10" s="7" t="inlineStr">
        <is>
          <t>TBC</t>
        </is>
      </c>
      <c r="G10" s="7" t="inlineStr">
        <is>
          <t>Pilot faculty</t>
        </is>
      </c>
    </row>
    <row r="11" ht="39" customHeight="1">
      <c r="B11" s="7" t="inlineStr">
        <is>
          <t>Faculty</t>
        </is>
      </c>
      <c r="C11" s="7" t="inlineStr">
        <is>
          <t>Faculty of Education</t>
        </is>
      </c>
      <c r="D11" s="7" t="inlineStr">
        <is>
          <t>Faculties tab – FoE</t>
        </is>
      </c>
      <c r="E11" s="7" t="inlineStr">
        <is>
          <t>Associate Dean Sustainability / faculty sustainability lead</t>
        </is>
      </c>
      <c r="F11" s="7" t="inlineStr">
        <is>
          <t>TBC</t>
        </is>
      </c>
      <c r="G11" s="7" t="inlineStr">
        <is>
          <t>Pilot faculty</t>
        </is>
      </c>
    </row>
    <row r="12" ht="39" customHeight="1">
      <c r="B12" s="7" t="inlineStr">
        <is>
          <t>Faculty</t>
        </is>
      </c>
      <c r="C12" s="7" t="inlineStr">
        <is>
          <t>Melbourne Law School</t>
        </is>
      </c>
      <c r="D12" s="7" t="inlineStr">
        <is>
          <t>Faculties tab – MLS</t>
        </is>
      </c>
      <c r="E12" s="7" t="inlineStr">
        <is>
          <t>Associate Dean Sustainability / faculty sustainability lead</t>
        </is>
      </c>
      <c r="F12" s="7" t="inlineStr">
        <is>
          <t>TBC</t>
        </is>
      </c>
      <c r="G12" s="7" t="inlineStr">
        <is>
          <t>Pilot faculty</t>
        </is>
      </c>
    </row>
    <row r="13" ht="39" customHeight="1">
      <c r="B13" s="7" t="inlineStr">
        <is>
          <t>Faculty</t>
        </is>
      </c>
      <c r="C13" s="7" t="inlineStr">
        <is>
          <t>Faculty of Medicine, Dentistry and Health Sciences</t>
        </is>
      </c>
      <c r="D13" s="7" t="inlineStr">
        <is>
          <t>Faculties tab – MDHS</t>
        </is>
      </c>
      <c r="E13" s="7" t="inlineStr">
        <is>
          <t>Associate Dean Sustainability / faculty sustainability lead</t>
        </is>
      </c>
      <c r="F13" s="7" t="inlineStr">
        <is>
          <t>TBC</t>
        </is>
      </c>
      <c r="G13" s="7" t="inlineStr">
        <is>
          <t>Pilot faculty</t>
        </is>
      </c>
    </row>
    <row r="14" ht="39" customHeight="1">
      <c r="B14" s="7" t="inlineStr">
        <is>
          <t>CI&amp;S</t>
        </is>
      </c>
      <c r="C14" s="7" t="inlineStr">
        <is>
          <t>Commercial, Infrastructure &amp; Sustainability (CI&amp;S)</t>
        </is>
      </c>
      <c r="D14" s="7" t="inlineStr">
        <is>
          <t>Corporate Development (CD Development &amp; Estate Planning teams; CD Sustainability Strategy)</t>
        </is>
      </c>
      <c r="E14" s="7" t="inlineStr">
        <is>
          <t>CI&amp;S – Estate Planning &amp; Development (TBC: confirm with Gerard)</t>
        </is>
      </c>
      <c r="F14" s="7" t="inlineStr">
        <is>
          <t>TBC</t>
        </is>
      </c>
      <c r="G14" s="7" t="inlineStr"/>
    </row>
    <row r="15" ht="39" customHeight="1">
      <c r="B15" s="7" t="inlineStr">
        <is>
          <t>CI&amp;S</t>
        </is>
      </c>
      <c r="C15" s="7" t="inlineStr">
        <is>
          <t>Commercial, Infrastructure &amp; Sustainability (CI&amp;S)</t>
        </is>
      </c>
      <c r="D15" s="7" t="inlineStr">
        <is>
          <t>Corporate Development (CD Development &amp; Estate Planning teams; CD Sustainability Strategy)</t>
        </is>
      </c>
      <c r="E15" s="7" t="inlineStr">
        <is>
          <t>CI&amp;S – Sustainability Strategy (incl. CLLAP)</t>
        </is>
      </c>
      <c r="F15" s="7" t="inlineStr">
        <is>
          <t>TBC</t>
        </is>
      </c>
      <c r="G15" s="7" t="inlineStr"/>
    </row>
    <row r="16" ht="39" customHeight="1">
      <c r="B16" s="7" t="inlineStr">
        <is>
          <t>CFOG</t>
        </is>
      </c>
      <c r="C16" s="7" t="inlineStr">
        <is>
          <t>Chief Finance Officer Group (CFOG)</t>
        </is>
      </c>
      <c r="D16" s="7" t="inlineStr">
        <is>
          <t>CFOG (Procurement; Accounting; Treasury &amp; Investments; Enterprise Portfolio &amp; Investments)</t>
        </is>
      </c>
      <c r="E16" s="7" t="inlineStr">
        <is>
          <t>CFOG – Procurement</t>
        </is>
      </c>
      <c r="F16" s="7" t="inlineStr">
        <is>
          <t>TBC</t>
        </is>
      </c>
      <c r="G16" s="7" t="inlineStr"/>
    </row>
    <row r="17" ht="39" customHeight="1">
      <c r="B17" s="7" t="inlineStr">
        <is>
          <t>CFOG</t>
        </is>
      </c>
      <c r="C17" s="7" t="inlineStr">
        <is>
          <t>Chief Finance Officer Group (CFOG)</t>
        </is>
      </c>
      <c r="D17" s="7" t="inlineStr">
        <is>
          <t>CFOG (Procurement; Accounting; Treasury &amp; Investments; Enterprise Portfolio &amp; Investments)</t>
        </is>
      </c>
      <c r="E17" s="7" t="inlineStr">
        <is>
          <t>CFOG – Treasury &amp; Investments</t>
        </is>
      </c>
      <c r="F17" s="7" t="inlineStr">
        <is>
          <t>TBC</t>
        </is>
      </c>
      <c r="G17" s="7" t="inlineStr"/>
    </row>
    <row r="18" ht="56" customHeight="1">
      <c r="B18" s="7" t="inlineStr">
        <is>
          <t>ESG</t>
        </is>
      </c>
      <c r="C18" s="7" t="inlineStr">
        <is>
          <t>Enterprise Services Group (ESG)</t>
        </is>
      </c>
      <c r="D18" s="7" t="inlineStr">
        <is>
          <t>Business Services – Sustainability Delivery (nature &amp; biodiversity, waste &amp; circular economy, part of quant. climate leadership)</t>
        </is>
      </c>
      <c r="E18" s="7" t="inlineStr">
        <is>
          <t>ESG – Campus Operations &amp; Sustainability Delivery</t>
        </is>
      </c>
      <c r="F18" s="7" t="inlineStr">
        <is>
          <t>TBC</t>
        </is>
      </c>
      <c r="G18" s="7" t="inlineStr"/>
    </row>
    <row r="19" ht="22" customHeight="1">
      <c r="B19" s="7" t="inlineStr">
        <is>
          <t>CIOG</t>
        </is>
      </c>
      <c r="C19" s="7" t="inlineStr">
        <is>
          <t>Chief Information Officer Group (CIOG)</t>
        </is>
      </c>
      <c r="D19" s="7" t="inlineStr">
        <is>
          <t>Business Services (AI – not requested in SR25)</t>
        </is>
      </c>
      <c r="E19" s="7" t="inlineStr">
        <is>
          <t>CIOG – Responsible AI &amp; digital</t>
        </is>
      </c>
      <c r="F19" s="7" t="inlineStr">
        <is>
          <t>TBC</t>
        </is>
      </c>
      <c r="G19" s="7" t="inlineStr"/>
    </row>
    <row r="20" ht="39" customHeight="1">
      <c r="B20" s="7" t="inlineStr">
        <is>
          <t>MRE</t>
        </is>
      </c>
      <c r="C20" s="7" t="inlineStr">
        <is>
          <t>Melbourne Research and Enterprise (MRE)</t>
        </is>
      </c>
      <c r="D20" s="7" t="inlineStr">
        <is>
          <t>Chancellery Research and Enterprise</t>
        </is>
      </c>
      <c r="E20" s="7" t="inlineStr">
        <is>
          <t>MRE – Research (incl. MBI for NB2(a) nature footprint)</t>
        </is>
      </c>
      <c r="F20" s="7" t="inlineStr">
        <is>
          <t>TBC</t>
        </is>
      </c>
      <c r="G20" s="7" t="inlineStr"/>
    </row>
    <row r="21" ht="39" customHeight="1">
      <c r="B21" s="7" t="inlineStr">
        <is>
          <t>AC&amp;M</t>
        </is>
      </c>
      <c r="C21" s="7" t="inlineStr">
        <is>
          <t>Advancement, Communication and Marketing (AC&amp;M)</t>
        </is>
      </c>
      <c r="D21" s="7" t="inlineStr">
        <is>
          <t>Chancellery – Advancement, Communications &amp; Marketing</t>
        </is>
      </c>
      <c r="E21" s="7" t="inlineStr">
        <is>
          <t>AC&amp;M – Advancement, Communication and Marketing</t>
        </is>
      </c>
      <c r="F21" s="7" t="inlineStr">
        <is>
          <t>TBC</t>
        </is>
      </c>
      <c r="G21" s="7" t="inlineStr"/>
    </row>
    <row r="22" ht="22" customHeight="1">
      <c r="B22" s="7" t="inlineStr">
        <is>
          <t>GCE</t>
        </is>
      </c>
      <c r="C22" s="7" t="inlineStr">
        <is>
          <t>Global, Culture and Engagement (GCE)</t>
        </is>
      </c>
      <c r="D22" s="7" t="inlineStr">
        <is>
          <t>Chancellery – Global, Culture and Engagement</t>
        </is>
      </c>
      <c r="E22" s="7" t="inlineStr">
        <is>
          <t>GCE – Global, Culture and Engagement</t>
        </is>
      </c>
      <c r="F22" s="7" t="inlineStr">
        <is>
          <t>TBC</t>
        </is>
      </c>
      <c r="G22" s="7" t="inlineStr"/>
    </row>
    <row r="23" ht="22" customHeight="1">
      <c r="B23" s="7" t="inlineStr">
        <is>
          <t>Education</t>
        </is>
      </c>
      <c r="C23" s="7" t="inlineStr">
        <is>
          <t>Chancellery Education</t>
        </is>
      </c>
      <c r="D23" s="7" t="inlineStr">
        <is>
          <t>Chancellery – Chancellery Education</t>
        </is>
      </c>
      <c r="E23" s="7" t="inlineStr">
        <is>
          <t>Education – Chancellery Education</t>
        </is>
      </c>
      <c r="F23" s="7" t="inlineStr">
        <is>
          <t>TBC</t>
        </is>
      </c>
      <c r="G23" s="7" t="inlineStr"/>
    </row>
    <row r="24" ht="22" customHeight="1">
      <c r="B24" s="7" t="inlineStr">
        <is>
          <t>SaSS</t>
        </is>
      </c>
      <c r="C24" s="7" t="inlineStr">
        <is>
          <t>Student and Scholarly Services (SaSS)</t>
        </is>
      </c>
      <c r="D24" s="7" t="inlineStr">
        <is>
          <t>Chancellery – Student and scholarly services</t>
        </is>
      </c>
      <c r="E24" s="7" t="inlineStr">
        <is>
          <t>SaSS – Student and Scholarly Services</t>
        </is>
      </c>
      <c r="F24" s="7" t="inlineStr">
        <is>
          <t>TBC</t>
        </is>
      </c>
      <c r="G24" s="7" t="inlineStr"/>
    </row>
    <row r="25" ht="22" customHeight="1">
      <c r="B25" s="7" t="inlineStr">
        <is>
          <t>Indigenous</t>
        </is>
      </c>
      <c r="C25" s="7" t="inlineStr">
        <is>
          <t>Chancellery Indigenous</t>
        </is>
      </c>
      <c r="D25" s="7" t="inlineStr">
        <is>
          <t>Chancellery – Chancellery Indigenous</t>
        </is>
      </c>
      <c r="E25" s="7" t="inlineStr">
        <is>
          <t>Indigenous – Chancellery Indigenous</t>
        </is>
      </c>
      <c r="F25" s="7" t="inlineStr">
        <is>
          <t>TBC</t>
        </is>
      </c>
      <c r="G25" s="7" t="inlineStr"/>
    </row>
    <row r="26" ht="22" customHeight="1">
      <c r="B26" s="7" t="inlineStr">
        <is>
          <t>L&amp;R</t>
        </is>
      </c>
      <c r="C26" s="7" t="inlineStr">
        <is>
          <t>Legal and Risk</t>
        </is>
      </c>
      <c r="D26" s="7" t="inlineStr">
        <is>
          <t>Legal and Risk</t>
        </is>
      </c>
      <c r="E26" s="7" t="inlineStr">
        <is>
          <t>Legal &amp; Risk – Risk &amp; resilience</t>
        </is>
      </c>
      <c r="F26" s="7" t="inlineStr">
        <is>
          <t>TBC</t>
        </is>
      </c>
      <c r="G26" s="7" t="inlineStr"/>
    </row>
    <row r="27" ht="56" customHeight="1">
      <c r="B27" s="7" t="inlineStr">
        <is>
          <t>TBC</t>
        </is>
      </c>
      <c r="C27" s="7" t="inlineStr">
        <is>
          <t>CGOP / CDEP</t>
        </is>
      </c>
      <c r="D27" s="7" t="inlineStr">
        <is>
          <t>Not in SR25 master</t>
        </is>
      </c>
      <c r="E27" s="7" t="inlineStr">
        <is>
          <t>—</t>
        </is>
      </c>
      <c r="F27" s="7" t="inlineStr">
        <is>
          <t>TBC</t>
        </is>
      </c>
      <c r="G27" s="7" t="inlineStr">
        <is>
          <t>Structure changes TBC (CDEP estate planning now in CI&amp;S; SST = CD Sustainability Strategy, the reporting team).</t>
        </is>
      </c>
    </row>
    <row r="28"/>
    <row r="29"/>
    <row r="30" ht="22" customHeight="1">
      <c r="B30" s="19" t="inlineStr">
        <is>
          <t>Who is responsible for each indicator: see '3b. RASCI matrix'.</t>
        </is>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0"/>
    <pageSetUpPr/>
  </sheetPr>
  <dimension ref="A1:Y101"/>
  <sheetViews>
    <sheetView showGridLines="0" workbookViewId="0">
      <pane ySplit="6" topLeftCell="A7" activePane="bottomLeft" state="frozen"/>
      <selection pane="bottomLeft"/>
      <selection pane="bottomLeft"/>
      <selection pane="bottomRight" activeCell="A1" sqref="A1"/>
    </sheetView>
  </sheetViews>
  <sheetFormatPr outlineLevelCol="1" baseColWidth="8" defaultRowHeight="15"/>
  <cols>
    <col width="8" customWidth="1" min="1" max="1"/>
    <col width="9" customWidth="1" min="2" max="2"/>
    <col width="14" customWidth="1" min="3" max="3"/>
    <col width="16" customWidth="1" min="4" max="4"/>
    <col width="50" customWidth="1" min="5" max="5"/>
    <col width="12" customWidth="1" min="6" max="6"/>
    <col width="10" customWidth="1" min="7" max="7"/>
    <col width="4" customWidth="1" min="8" max="8"/>
    <col width="18" customWidth="1" min="9" max="9"/>
    <col width="13" customWidth="1" min="10" max="10"/>
    <col outlineLevel="1" width="13" customWidth="1" min="11" max="11"/>
    <col outlineLevel="1" width="13" customWidth="1" min="12" max="12"/>
    <col outlineLevel="1" width="13" customWidth="1" min="13" max="13"/>
    <col outlineLevel="1" width="13" customWidth="1" min="14" max="14"/>
    <col outlineLevel="1" width="13" customWidth="1" min="15" max="15"/>
    <col outlineLevel="1" width="13" customWidth="1" min="16" max="16"/>
    <col outlineLevel="1" width="13" customWidth="1" min="17" max="17"/>
    <col width="13" customWidth="1" min="18" max="18"/>
    <col outlineLevel="1" width="13" customWidth="1" min="19" max="19"/>
    <col outlineLevel="1" width="13" customWidth="1" min="20" max="20"/>
    <col outlineLevel="1" width="13" customWidth="1" min="21" max="21"/>
    <col outlineLevel="1" width="13" customWidth="1" min="22" max="22"/>
    <col outlineLevel="1" width="13" customWidth="1" min="23" max="23"/>
    <col outlineLevel="1" width="13" customWidth="1" min="24" max="24"/>
    <col outlineLevel="1" width="13" customWidth="1" min="25" max="25"/>
  </cols>
  <sheetData>
    <row r="1" ht="8"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row>
    <row r="2" ht="58" customHeight="1">
      <c r="A2" s="1" t="n"/>
      <c r="B2" s="2" t="inlineStr">
        <is>
          <t>3b. RASCI matrix – SR26 reporting roles</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row>
    <row r="3" ht="81" customHeight="1">
      <c r="B3" s="8" t="inlineStr">
        <is>
          <t>Who is Accountable / Responsible / Support / Consulted / Informed for reporting each Sustainability 2030 indicator in SR26. Green columns are consolidated portfolios (click [+]/[–] above to show or hide their areas). Codes are pre-filled from the requests issued; edit with the dropdown. Accountable owners (A) are TBC – to confirm with the Director, Sustainability.</t>
        </is>
      </c>
      <c r="H3" t="inlineStr">
        <is>
          <t>SST contact (SR25 – confirm) &gt;&gt;</t>
        </is>
      </c>
      <c r="I3" s="20" t="inlineStr">
        <is>
          <t>ABP Gerard; Arts Rose; FBE Katie; SCI Katie; FAM Rose; FEIT Gerard; FoE Rose; MLS Rose; MDHS Gerard</t>
        </is>
      </c>
      <c r="J3" s="20" t="inlineStr">
        <is>
          <t>Director</t>
        </is>
      </c>
      <c r="K3" s="20" t="inlineStr">
        <is>
          <t>Gerard and Davina</t>
        </is>
      </c>
      <c r="L3" s="20" t="inlineStr">
        <is>
          <t>Director</t>
        </is>
      </c>
      <c r="M3" s="20" t="inlineStr">
        <is>
          <t>Chris</t>
        </is>
      </c>
      <c r="N3" s="20" t="inlineStr">
        <is>
          <t>Chris</t>
        </is>
      </c>
      <c r="O3" s="20" t="inlineStr">
        <is>
          <t>All</t>
        </is>
      </c>
      <c r="P3" s="20" t="inlineStr">
        <is>
          <t>TBC</t>
        </is>
      </c>
      <c r="Q3" s="20" t="inlineStr">
        <is>
          <t>Gerard</t>
        </is>
      </c>
      <c r="R3" s="20" t="inlineStr">
        <is>
          <t>Director</t>
        </is>
      </c>
      <c r="S3" s="20" t="inlineStr">
        <is>
          <t>Director</t>
        </is>
      </c>
      <c r="T3" s="20" t="inlineStr">
        <is>
          <t>Rose</t>
        </is>
      </c>
      <c r="U3" s="20" t="inlineStr">
        <is>
          <t>Gerard</t>
        </is>
      </c>
      <c r="V3" s="20" t="inlineStr">
        <is>
          <t>Katie</t>
        </is>
      </c>
      <c r="W3" s="20" t="inlineStr">
        <is>
          <t>Rose</t>
        </is>
      </c>
      <c r="X3" s="20" t="inlineStr">
        <is>
          <t>Gerard</t>
        </is>
      </c>
      <c r="Y3" s="20" t="inlineStr">
        <is>
          <t>All</t>
        </is>
      </c>
    </row>
    <row r="4" ht="36" customHeight="1">
      <c r="H4" t="inlineStr">
        <is>
          <t>Portfolio / Faculty &gt;&gt;</t>
        </is>
      </c>
      <c r="I4" s="20" t="inlineStr">
        <is>
          <t>Faculty (consolidated)</t>
        </is>
      </c>
      <c r="J4" s="20" t="inlineStr">
        <is>
          <t>COO portfolio (consolidated)</t>
        </is>
      </c>
      <c r="K4" s="20" t="inlineStr">
        <is>
          <t>COO portfolio</t>
        </is>
      </c>
      <c r="L4" s="20" t="inlineStr">
        <is>
          <t>COO portfolio</t>
        </is>
      </c>
      <c r="M4" s="20" t="inlineStr">
        <is>
          <t>COO portfolio</t>
        </is>
      </c>
      <c r="N4" s="20" t="inlineStr">
        <is>
          <t>COO portfolio</t>
        </is>
      </c>
      <c r="O4" s="20" t="inlineStr">
        <is>
          <t>COO portfolio</t>
        </is>
      </c>
      <c r="P4" s="20" t="inlineStr">
        <is>
          <t>COO portfolio</t>
        </is>
      </c>
      <c r="Q4" s="20" t="inlineStr">
        <is>
          <t>COO portfolio</t>
        </is>
      </c>
      <c r="R4" s="20" t="inlineStr">
        <is>
          <t>Chancellery (consolidated)</t>
        </is>
      </c>
      <c r="S4" s="20" t="inlineStr">
        <is>
          <t>Chancellery</t>
        </is>
      </c>
      <c r="T4" s="20" t="inlineStr">
        <is>
          <t>Chancellery</t>
        </is>
      </c>
      <c r="U4" s="20" t="inlineStr">
        <is>
          <t>Chancellery</t>
        </is>
      </c>
      <c r="V4" s="20" t="inlineStr">
        <is>
          <t>Chancellery</t>
        </is>
      </c>
      <c r="W4" s="20" t="inlineStr">
        <is>
          <t>Chancellery</t>
        </is>
      </c>
      <c r="X4" s="20" t="inlineStr">
        <is>
          <t>Chancellery</t>
        </is>
      </c>
      <c r="Y4" s="20" t="inlineStr">
        <is>
          <t>Sustainability Strategy</t>
        </is>
      </c>
    </row>
    <row r="5" ht="22" customHeight="1">
      <c r="I5" s="21" t="inlineStr">
        <is>
          <t>Areas Accountable and/or Responsible for SR26 reporting (green = consolidated portfolio, white = individual area)</t>
        </is>
      </c>
    </row>
    <row r="6" ht="96" customHeight="1">
      <c r="A6" s="5" t="inlineStr">
        <is>
          <t>Number</t>
        </is>
      </c>
      <c r="B6" s="5" t="inlineStr">
        <is>
          <t>Category</t>
        </is>
      </c>
      <c r="C6" s="5" t="inlineStr">
        <is>
          <t>Domain</t>
        </is>
      </c>
      <c r="D6" s="5" t="inlineStr">
        <is>
          <t>Priority area</t>
        </is>
      </c>
      <c r="E6" s="5" t="inlineStr">
        <is>
          <t>Target / indicator</t>
        </is>
      </c>
      <c r="F6" s="5" t="inlineStr">
        <is>
          <t>Type</t>
        </is>
      </c>
      <c r="G6" s="5" t="inlineStr">
        <is>
          <t>Related SR25 ref</t>
        </is>
      </c>
      <c r="H6" s="5" t="inlineStr">
        <is>
          <t>Activity area &gt;&gt;</t>
        </is>
      </c>
      <c r="I6" s="22" t="inlineStr">
        <is>
          <t>Faculties (ABP, ARTS, FBE, SCI, FAM, FEIT, FoE, MLS, MDHS)</t>
        </is>
      </c>
      <c r="J6" s="22" t="inlineStr">
        <is>
          <t>COO portfolio (all)</t>
        </is>
      </c>
      <c r="K6" s="23" t="inlineStr">
        <is>
          <t>CI&amp;S – Estate Planning &amp; Development</t>
        </is>
      </c>
      <c r="L6" s="23" t="inlineStr">
        <is>
          <t>CI&amp;S – Sustainability Strategy</t>
        </is>
      </c>
      <c r="M6" s="23" t="inlineStr">
        <is>
          <t>CFOG – Procurement</t>
        </is>
      </c>
      <c r="N6" s="23" t="inlineStr">
        <is>
          <t>CFOG – Treasury &amp; Investments</t>
        </is>
      </c>
      <c r="O6" s="23" t="inlineStr">
        <is>
          <t>ESG – Campus Operations &amp; Sustainability Delivery</t>
        </is>
      </c>
      <c r="P6" s="23" t="inlineStr">
        <is>
          <t>CIOG – Responsible AI &amp; digital</t>
        </is>
      </c>
      <c r="Q6" s="23" t="inlineStr">
        <is>
          <t>Legal &amp; Risk – Risk &amp; resilience</t>
        </is>
      </c>
      <c r="R6" s="22" t="inlineStr">
        <is>
          <t>Chancellery (all)</t>
        </is>
      </c>
      <c r="S6" s="23" t="inlineStr">
        <is>
          <t>MRE – Research</t>
        </is>
      </c>
      <c r="T6" s="23" t="inlineStr">
        <is>
          <t>AC&amp;M – Advancement, Communication and Marketing</t>
        </is>
      </c>
      <c r="U6" s="23" t="inlineStr">
        <is>
          <t>GCE – Global, Culture and Engagement</t>
        </is>
      </c>
      <c r="V6" s="23" t="inlineStr">
        <is>
          <t>Education – Chancellery Education</t>
        </is>
      </c>
      <c r="W6" s="23" t="inlineStr">
        <is>
          <t>SaSS – Student and Scholarly Services</t>
        </is>
      </c>
      <c r="X6" s="23" t="inlineStr">
        <is>
          <t>Indigenous – Chancellery Indigenous</t>
        </is>
      </c>
      <c r="Y6" s="23" t="inlineStr">
        <is>
          <t>SST (compiles / Databook)</t>
        </is>
      </c>
    </row>
    <row r="7" ht="22" customHeight="1">
      <c r="A7" s="24" t="inlineStr">
        <is>
          <t>D1</t>
        </is>
      </c>
      <c r="B7" s="24" t="inlineStr">
        <is>
          <t>Domain</t>
        </is>
      </c>
      <c r="C7" s="24" t="inlineStr"/>
      <c r="D7" s="24" t="inlineStr"/>
      <c r="E7" s="24" t="inlineStr">
        <is>
          <t>Education and research</t>
        </is>
      </c>
      <c r="F7" s="24" t="n"/>
      <c r="G7" s="24" t="n"/>
      <c r="H7" s="24" t="n"/>
      <c r="I7" s="24" t="n"/>
      <c r="J7" s="24" t="n"/>
      <c r="K7" s="24" t="n"/>
      <c r="L7" s="24" t="n"/>
      <c r="M7" s="24" t="n"/>
      <c r="N7" s="24" t="n"/>
      <c r="O7" s="24" t="n"/>
      <c r="P7" s="24" t="n"/>
      <c r="Q7" s="24" t="n"/>
      <c r="R7" s="24" t="n"/>
      <c r="S7" s="24" t="n"/>
      <c r="T7" s="24" t="n"/>
      <c r="U7" s="24" t="n"/>
      <c r="V7" s="24" t="n"/>
      <c r="W7" s="24" t="n"/>
      <c r="X7" s="24" t="n"/>
      <c r="Y7" s="24" t="n"/>
    </row>
    <row r="8" ht="22" customHeight="1">
      <c r="A8" s="25" t="inlineStr">
        <is>
          <t>EE</t>
        </is>
      </c>
      <c r="B8" s="25" t="inlineStr">
        <is>
          <t>Priority</t>
        </is>
      </c>
      <c r="C8" s="25" t="inlineStr"/>
      <c r="D8" s="25" t="inlineStr"/>
      <c r="E8" s="25" t="inlineStr">
        <is>
          <t>Exceptional education</t>
        </is>
      </c>
      <c r="F8" s="25" t="n"/>
      <c r="G8" s="25" t="n"/>
      <c r="H8" s="25" t="n"/>
      <c r="I8" s="25" t="n"/>
      <c r="J8" s="25" t="n"/>
      <c r="K8" s="25" t="n"/>
      <c r="L8" s="25" t="n"/>
      <c r="M8" s="25" t="n"/>
      <c r="N8" s="25" t="n"/>
      <c r="O8" s="25" t="n"/>
      <c r="P8" s="25" t="n"/>
      <c r="Q8" s="25" t="n"/>
      <c r="R8" s="25" t="n"/>
      <c r="S8" s="25" t="n"/>
      <c r="T8" s="25" t="n"/>
      <c r="U8" s="25" t="n"/>
      <c r="V8" s="25" t="n"/>
      <c r="W8" s="25" t="n"/>
      <c r="X8" s="25" t="n"/>
      <c r="Y8" s="25" t="n"/>
    </row>
    <row r="9" ht="51" customHeight="1">
      <c r="A9" s="26" t="inlineStr">
        <is>
          <t>EE1</t>
        </is>
      </c>
      <c r="B9" s="26" t="inlineStr">
        <is>
          <t>Target</t>
        </is>
      </c>
      <c r="C9" s="26" t="inlineStr">
        <is>
          <t>Education and research</t>
        </is>
      </c>
      <c r="D9" s="26" t="inlineStr">
        <is>
          <t>Exceptional education</t>
        </is>
      </c>
      <c r="E9" s="26" t="inlineStr">
        <is>
          <t>Provide our students with learning experiences that help them build the knowledge, skills and relationships to lead change for sustainable societies.</t>
        </is>
      </c>
    </row>
    <row r="10" ht="42" customHeight="1">
      <c r="A10" s="27" t="inlineStr">
        <is>
          <t>EE1(a)</t>
        </is>
      </c>
      <c r="B10" s="27" t="inlineStr">
        <is>
          <t>Indicator</t>
        </is>
      </c>
      <c r="C10" s="27" t="inlineStr">
        <is>
          <t>Education and research</t>
        </is>
      </c>
      <c r="D10" s="27" t="inlineStr">
        <is>
          <t>Exceptional education</t>
        </is>
      </c>
      <c r="E10" s="27" t="inlineStr">
        <is>
          <t>Evidence of innovative approaches to sustainability teaching and learning</t>
        </is>
      </c>
      <c r="F10" s="27" t="inlineStr">
        <is>
          <t>Qualitative</t>
        </is>
      </c>
      <c r="G10" s="27" t="inlineStr">
        <is>
          <t>4a(ii)</t>
        </is>
      </c>
      <c r="I10" s="28" t="inlineStr">
        <is>
          <t>R</t>
        </is>
      </c>
      <c r="J10" s="28" t="inlineStr">
        <is>
          <t>A and R</t>
        </is>
      </c>
      <c r="K10" s="28" t="n"/>
      <c r="L10" s="28" t="inlineStr">
        <is>
          <t>R</t>
        </is>
      </c>
      <c r="M10" s="28" t="n"/>
      <c r="N10" s="28" t="n"/>
      <c r="O10" s="28" t="n"/>
      <c r="P10" s="28" t="n"/>
      <c r="Q10" s="28" t="n"/>
      <c r="R10" s="28" t="inlineStr">
        <is>
          <t>A and R</t>
        </is>
      </c>
      <c r="S10" s="28" t="n"/>
      <c r="T10" s="28" t="n"/>
      <c r="U10" s="28" t="n"/>
      <c r="V10" s="28" t="inlineStr">
        <is>
          <t>R</t>
        </is>
      </c>
      <c r="W10" s="28" t="n"/>
      <c r="X10" s="28" t="n"/>
      <c r="Y10" s="28" t="inlineStr">
        <is>
          <t>S</t>
        </is>
      </c>
    </row>
    <row r="11" ht="42" customHeight="1">
      <c r="A11" s="27" t="inlineStr">
        <is>
          <t>EE1(b)</t>
        </is>
      </c>
      <c r="B11" s="27" t="inlineStr">
        <is>
          <t>Indicator</t>
        </is>
      </c>
      <c r="C11" s="27" t="inlineStr">
        <is>
          <t>Education and research</t>
        </is>
      </c>
      <c r="D11" s="27" t="inlineStr">
        <is>
          <t>Exceptional education</t>
        </is>
      </c>
      <c r="E11" s="27" t="inlineStr">
        <is>
          <t>Pilots of possible approaches for understanding and developing students’ sustainability self-efficacy</t>
        </is>
      </c>
      <c r="F11" s="27" t="inlineStr">
        <is>
          <t>Qualitative</t>
        </is>
      </c>
      <c r="G11" s="27" t="inlineStr"/>
      <c r="I11" s="28" t="inlineStr">
        <is>
          <t>R</t>
        </is>
      </c>
      <c r="J11" s="28" t="inlineStr">
        <is>
          <t>A and R</t>
        </is>
      </c>
      <c r="K11" s="28" t="n"/>
      <c r="L11" s="28" t="inlineStr">
        <is>
          <t>R</t>
        </is>
      </c>
      <c r="M11" s="28" t="n"/>
      <c r="N11" s="28" t="n"/>
      <c r="O11" s="28" t="n"/>
      <c r="P11" s="28" t="n"/>
      <c r="Q11" s="28" t="n"/>
      <c r="R11" s="28" t="inlineStr">
        <is>
          <t>A and R</t>
        </is>
      </c>
      <c r="S11" s="28" t="n"/>
      <c r="T11" s="28" t="n"/>
      <c r="U11" s="28" t="n"/>
      <c r="V11" s="28" t="inlineStr">
        <is>
          <t>R</t>
        </is>
      </c>
      <c r="W11" s="28" t="n"/>
      <c r="X11" s="28" t="n"/>
      <c r="Y11" s="28" t="inlineStr">
        <is>
          <t>S</t>
        </is>
      </c>
    </row>
    <row r="12" ht="42" customHeight="1">
      <c r="A12" s="27" t="inlineStr">
        <is>
          <t>EE1(c)</t>
        </is>
      </c>
      <c r="B12" s="27" t="inlineStr">
        <is>
          <t>Indicator</t>
        </is>
      </c>
      <c r="C12" s="27" t="inlineStr">
        <is>
          <t>Education and research</t>
        </is>
      </c>
      <c r="D12" s="27" t="inlineStr">
        <is>
          <t>Exceptional education</t>
        </is>
      </c>
      <c r="E12" s="27" t="inlineStr">
        <is>
          <t>Evidence of sustainability focused experiential and co curricular learning (eg Wattle Fellowship; Melbourne Plus)</t>
        </is>
      </c>
      <c r="F12" s="27" t="inlineStr">
        <is>
          <t>Mixed</t>
        </is>
      </c>
      <c r="G12" s="27" t="inlineStr"/>
      <c r="I12" s="28" t="n"/>
      <c r="J12" s="28" t="inlineStr">
        <is>
          <t>A and R</t>
        </is>
      </c>
      <c r="K12" s="28" t="n"/>
      <c r="L12" s="28" t="inlineStr">
        <is>
          <t>R</t>
        </is>
      </c>
      <c r="M12" s="28" t="n"/>
      <c r="N12" s="28" t="n"/>
      <c r="O12" s="28" t="n"/>
      <c r="P12" s="28" t="n"/>
      <c r="Q12" s="28" t="n"/>
      <c r="R12" s="28" t="inlineStr">
        <is>
          <t>A and R</t>
        </is>
      </c>
      <c r="S12" s="28" t="n"/>
      <c r="T12" s="28" t="n"/>
      <c r="U12" s="28" t="n"/>
      <c r="V12" s="28" t="n"/>
      <c r="W12" s="28" t="inlineStr">
        <is>
          <t>R</t>
        </is>
      </c>
      <c r="X12" s="28" t="n"/>
      <c r="Y12" s="28" t="inlineStr">
        <is>
          <t>S</t>
        </is>
      </c>
    </row>
    <row r="13" ht="42" customHeight="1">
      <c r="A13" s="27" t="inlineStr">
        <is>
          <t>EE1(d)</t>
        </is>
      </c>
      <c r="B13" s="27" t="inlineStr">
        <is>
          <t>Indicator</t>
        </is>
      </c>
      <c r="C13" s="27" t="inlineStr">
        <is>
          <t>Education and research</t>
        </is>
      </c>
      <c r="D13" s="27" t="inlineStr">
        <is>
          <t>Exceptional education</t>
        </is>
      </c>
      <c r="E13" s="27" t="inlineStr">
        <is>
          <t>Alumni profiles demonstrating how graduates contribute to sustainability through their careers or communities.</t>
        </is>
      </c>
      <c r="F13" s="27" t="inlineStr">
        <is>
          <t>Mixed</t>
        </is>
      </c>
      <c r="G13" s="27" t="inlineStr">
        <is>
          <t>4b(i)</t>
        </is>
      </c>
      <c r="I13" s="28" t="n"/>
      <c r="J13" s="28" t="n"/>
      <c r="K13" s="28" t="n"/>
      <c r="L13" s="28" t="n"/>
      <c r="M13" s="28" t="n"/>
      <c r="N13" s="28" t="n"/>
      <c r="O13" s="28" t="n"/>
      <c r="P13" s="28" t="n"/>
      <c r="Q13" s="28" t="n"/>
      <c r="R13" s="28" t="inlineStr">
        <is>
          <t>A and R</t>
        </is>
      </c>
      <c r="S13" s="28" t="n"/>
      <c r="T13" s="28" t="n"/>
      <c r="U13" s="28" t="n"/>
      <c r="V13" s="28" t="n"/>
      <c r="W13" s="28" t="inlineStr">
        <is>
          <t>R</t>
        </is>
      </c>
      <c r="X13" s="28" t="n"/>
      <c r="Y13" s="28" t="inlineStr">
        <is>
          <t>S</t>
        </is>
      </c>
    </row>
    <row r="14" ht="22" customHeight="1">
      <c r="A14" s="25" t="inlineStr">
        <is>
          <t>TR</t>
        </is>
      </c>
      <c r="B14" s="25" t="inlineStr">
        <is>
          <t>Priority</t>
        </is>
      </c>
      <c r="C14" s="25" t="inlineStr"/>
      <c r="D14" s="25" t="inlineStr"/>
      <c r="E14" s="25" t="inlineStr">
        <is>
          <t>Transformational research</t>
        </is>
      </c>
      <c r="F14" s="25" t="n"/>
      <c r="G14" s="25" t="n"/>
      <c r="H14" s="25" t="n"/>
      <c r="I14" s="25" t="n"/>
      <c r="J14" s="25" t="n"/>
      <c r="K14" s="25" t="n"/>
      <c r="L14" s="25" t="n"/>
      <c r="M14" s="25" t="n"/>
      <c r="N14" s="25" t="n"/>
      <c r="O14" s="25" t="n"/>
      <c r="P14" s="25" t="n"/>
      <c r="Q14" s="25" t="n"/>
      <c r="R14" s="25" t="n"/>
      <c r="S14" s="25" t="n"/>
      <c r="T14" s="25" t="n"/>
      <c r="U14" s="25" t="n"/>
      <c r="V14" s="25" t="n"/>
      <c r="W14" s="25" t="n"/>
      <c r="X14" s="25" t="n"/>
      <c r="Y14" s="25" t="n"/>
    </row>
    <row r="15" ht="66" customHeight="1">
      <c r="A15" s="26" t="inlineStr">
        <is>
          <t>TR1</t>
        </is>
      </c>
      <c r="B15" s="26" t="inlineStr">
        <is>
          <t>Target</t>
        </is>
      </c>
      <c r="C15" s="26" t="inlineStr">
        <is>
          <t>Education and research</t>
        </is>
      </c>
      <c r="D15" s="26" t="inlineStr">
        <is>
          <t>Transformational research</t>
        </is>
      </c>
      <c r="E15" s="26" t="inlineStr">
        <is>
          <t>Utilise the expertise of the University’s researchers through mutually beneficial partnerships to help address the University’s operational sustainability challenges.</t>
        </is>
      </c>
    </row>
    <row r="16" ht="66" customHeight="1">
      <c r="A16" s="27" t="inlineStr">
        <is>
          <t>TR1(a)</t>
        </is>
      </c>
      <c r="B16" s="27" t="inlineStr">
        <is>
          <t>Indicator</t>
        </is>
      </c>
      <c r="C16" s="27" t="inlineStr">
        <is>
          <t>Education and research</t>
        </is>
      </c>
      <c r="D16" s="27" t="inlineStr">
        <is>
          <t>Transformational research</t>
        </is>
      </c>
      <c r="E16" s="27" t="inlineStr">
        <is>
          <t>Expert-reviewed evidence of researchers contributing to operational sustainability priorities through partnerships, advisory input, living labs, applied projects or decision-support</t>
        </is>
      </c>
      <c r="F16" s="27" t="inlineStr">
        <is>
          <t>Qualitative</t>
        </is>
      </c>
      <c r="G16" s="27" t="inlineStr">
        <is>
          <t>2a</t>
        </is>
      </c>
      <c r="I16" s="28" t="inlineStr">
        <is>
          <t>R</t>
        </is>
      </c>
      <c r="J16" s="28" t="inlineStr">
        <is>
          <t>A and R</t>
        </is>
      </c>
      <c r="K16" s="28" t="n"/>
      <c r="L16" s="28" t="inlineStr">
        <is>
          <t>R</t>
        </is>
      </c>
      <c r="M16" s="28" t="n"/>
      <c r="N16" s="28" t="n"/>
      <c r="O16" s="28" t="n"/>
      <c r="P16" s="28" t="n"/>
      <c r="Q16" s="28" t="n"/>
      <c r="R16" s="28" t="n"/>
      <c r="S16" s="28" t="n"/>
      <c r="T16" s="28" t="n"/>
      <c r="U16" s="28" t="n"/>
      <c r="V16" s="28" t="n"/>
      <c r="W16" s="28" t="n"/>
      <c r="X16" s="28" t="n"/>
      <c r="Y16" s="28" t="inlineStr">
        <is>
          <t>S</t>
        </is>
      </c>
    </row>
    <row r="17" ht="42" customHeight="1">
      <c r="A17" s="27" t="inlineStr">
        <is>
          <t>TR1(b)</t>
        </is>
      </c>
      <c r="B17" s="27" t="inlineStr">
        <is>
          <t>Indicator</t>
        </is>
      </c>
      <c r="C17" s="27" t="inlineStr">
        <is>
          <t>Education and research</t>
        </is>
      </c>
      <c r="D17" s="27" t="inlineStr">
        <is>
          <t>Transformational research</t>
        </is>
      </c>
      <c r="E17" s="27" t="inlineStr">
        <is>
          <t>Evidence of institutional pathways that enable ongoing collaboration between academic and professional staff</t>
        </is>
      </c>
      <c r="F17" s="27" t="inlineStr">
        <is>
          <t>Qualitative</t>
        </is>
      </c>
      <c r="G17" s="27" t="inlineStr"/>
      <c r="I17" s="28" t="n"/>
      <c r="J17" s="28" t="n"/>
      <c r="K17" s="28" t="n"/>
      <c r="L17" s="28" t="n"/>
      <c r="M17" s="28" t="n"/>
      <c r="N17" s="28" t="n"/>
      <c r="O17" s="28" t="n"/>
      <c r="P17" s="28" t="n"/>
      <c r="Q17" s="28" t="n"/>
      <c r="R17" s="28" t="inlineStr">
        <is>
          <t>A and R</t>
        </is>
      </c>
      <c r="S17" s="28" t="inlineStr">
        <is>
          <t>R</t>
        </is>
      </c>
      <c r="T17" s="28" t="n"/>
      <c r="U17" s="28" t="n"/>
      <c r="V17" s="28" t="n"/>
      <c r="W17" s="28" t="n"/>
      <c r="X17" s="28" t="n"/>
      <c r="Y17" s="28" t="inlineStr">
        <is>
          <t>S</t>
        </is>
      </c>
    </row>
    <row r="18" ht="42" customHeight="1">
      <c r="A18" s="27" t="inlineStr">
        <is>
          <t>TR1(c)</t>
        </is>
      </c>
      <c r="B18" s="27" t="inlineStr">
        <is>
          <t>Indicator</t>
        </is>
      </c>
      <c r="C18" s="27" t="inlineStr">
        <is>
          <t>Education and research</t>
        </is>
      </c>
      <c r="D18" s="27" t="inlineStr">
        <is>
          <t>Transformational research</t>
        </is>
      </c>
      <c r="E18" s="27" t="inlineStr">
        <is>
          <t>Expert assessment of the quality, relevance and continuity of these collaborations</t>
        </is>
      </c>
      <c r="F18" s="27" t="inlineStr">
        <is>
          <t>Qualitative</t>
        </is>
      </c>
      <c r="G18" s="27" t="inlineStr"/>
      <c r="I18" s="28" t="n"/>
      <c r="J18" s="28" t="n"/>
      <c r="K18" s="28" t="n"/>
      <c r="L18" s="28" t="n"/>
      <c r="M18" s="28" t="n"/>
      <c r="N18" s="28" t="n"/>
      <c r="O18" s="28" t="n"/>
      <c r="P18" s="28" t="n"/>
      <c r="Q18" s="28" t="n"/>
      <c r="R18" s="28" t="inlineStr">
        <is>
          <t>A and R</t>
        </is>
      </c>
      <c r="S18" s="28" t="inlineStr">
        <is>
          <t>R</t>
        </is>
      </c>
      <c r="T18" s="28" t="n"/>
      <c r="U18" s="28" t="n"/>
      <c r="V18" s="28" t="n"/>
      <c r="W18" s="28" t="n"/>
      <c r="X18" s="28" t="n"/>
      <c r="Y18" s="28" t="inlineStr">
        <is>
          <t>S</t>
        </is>
      </c>
    </row>
    <row r="19" ht="42" customHeight="1">
      <c r="A19" s="27" t="inlineStr">
        <is>
          <t>TR1(d)</t>
        </is>
      </c>
      <c r="B19" s="27" t="inlineStr">
        <is>
          <t>Indicator</t>
        </is>
      </c>
      <c r="C19" s="27" t="inlineStr">
        <is>
          <t>Education and research</t>
        </is>
      </c>
      <c r="D19" s="27" t="inlineStr">
        <is>
          <t>Transformational research</t>
        </is>
      </c>
      <c r="E19" s="27" t="inlineStr">
        <is>
          <t>Periodic feedback from participants on the effectiveness and mutual benefit of collaboration mechanisms.</t>
        </is>
      </c>
      <c r="F19" s="27" t="inlineStr">
        <is>
          <t>Qualitative</t>
        </is>
      </c>
      <c r="G19" s="27" t="inlineStr"/>
      <c r="I19" s="28" t="n"/>
      <c r="J19" s="28" t="n"/>
      <c r="K19" s="28" t="n"/>
      <c r="L19" s="28" t="n"/>
      <c r="M19" s="28" t="n"/>
      <c r="N19" s="28" t="n"/>
      <c r="O19" s="28" t="n"/>
      <c r="P19" s="28" t="n"/>
      <c r="Q19" s="28" t="n"/>
      <c r="R19" s="28" t="inlineStr">
        <is>
          <t>A and R</t>
        </is>
      </c>
      <c r="S19" s="28" t="inlineStr">
        <is>
          <t>R</t>
        </is>
      </c>
      <c r="T19" s="28" t="n"/>
      <c r="U19" s="28" t="n"/>
      <c r="V19" s="28" t="n"/>
      <c r="W19" s="28" t="n"/>
      <c r="X19" s="28" t="n"/>
      <c r="Y19" s="28" t="inlineStr">
        <is>
          <t>S</t>
        </is>
      </c>
    </row>
    <row r="20" ht="51" customHeight="1">
      <c r="A20" s="26" t="inlineStr">
        <is>
          <t>TR2</t>
        </is>
      </c>
      <c r="B20" s="26" t="inlineStr">
        <is>
          <t>Target</t>
        </is>
      </c>
      <c r="C20" s="26" t="inlineStr">
        <is>
          <t>Education and research</t>
        </is>
      </c>
      <c r="D20" s="26" t="inlineStr">
        <is>
          <t>Transformational research</t>
        </is>
      </c>
      <c r="E20" s="26" t="inlineStr">
        <is>
          <t>Deliver high-quality research and partnerships that contribute to sustainability outcomes and demonstrable societal benefit.</t>
        </is>
      </c>
    </row>
    <row r="21" ht="51" customHeight="1">
      <c r="A21" s="27" t="inlineStr">
        <is>
          <t>TR2(a)</t>
        </is>
      </c>
      <c r="B21" s="27" t="inlineStr">
        <is>
          <t>Indicator</t>
        </is>
      </c>
      <c r="C21" s="27" t="inlineStr">
        <is>
          <t>Education and research</t>
        </is>
      </c>
      <c r="D21" s="27" t="inlineStr">
        <is>
          <t>Transformational research</t>
        </is>
      </c>
      <c r="E21" s="27" t="inlineStr">
        <is>
          <t>Evidence of sustainability-related research impact across diverse pathways, could include policy, industry, community, practice, cultural and institutional outcomes</t>
        </is>
      </c>
      <c r="F21" s="27" t="inlineStr">
        <is>
          <t>Qualitative</t>
        </is>
      </c>
      <c r="G21" s="27" t="inlineStr">
        <is>
          <t>5b(i)</t>
        </is>
      </c>
      <c r="I21" s="28" t="inlineStr">
        <is>
          <t>R</t>
        </is>
      </c>
      <c r="J21" s="28" t="n"/>
      <c r="K21" s="28" t="n"/>
      <c r="L21" s="28" t="n"/>
      <c r="M21" s="28" t="n"/>
      <c r="N21" s="28" t="n"/>
      <c r="O21" s="28" t="n"/>
      <c r="P21" s="28" t="n"/>
      <c r="Q21" s="28" t="n"/>
      <c r="R21" s="28" t="inlineStr">
        <is>
          <t>A and R</t>
        </is>
      </c>
      <c r="S21" s="28" t="n"/>
      <c r="T21" s="28" t="inlineStr">
        <is>
          <t>R</t>
        </is>
      </c>
      <c r="U21" s="28" t="n"/>
      <c r="V21" s="28" t="n"/>
      <c r="W21" s="28" t="n"/>
      <c r="X21" s="28" t="n"/>
      <c r="Y21" s="28" t="inlineStr">
        <is>
          <t>S</t>
        </is>
      </c>
    </row>
    <row r="22" ht="42" customHeight="1">
      <c r="A22" s="27" t="inlineStr">
        <is>
          <t>TR2(b)</t>
        </is>
      </c>
      <c r="B22" s="27" t="inlineStr">
        <is>
          <t>Indicator</t>
        </is>
      </c>
      <c r="C22" s="27" t="inlineStr">
        <is>
          <t>Education and research</t>
        </is>
      </c>
      <c r="D22" s="27" t="inlineStr">
        <is>
          <t>Transformational research</t>
        </is>
      </c>
      <c r="E22" s="27" t="inlineStr">
        <is>
          <t>Documented progress of relevant strategic initiatives, including Impact Accelerators</t>
        </is>
      </c>
      <c r="F22" s="27" t="inlineStr">
        <is>
          <t>Quantitative</t>
        </is>
      </c>
      <c r="G22" s="27" t="inlineStr"/>
      <c r="I22" s="28" t="n"/>
      <c r="J22" s="28" t="n"/>
      <c r="K22" s="28" t="n"/>
      <c r="L22" s="28" t="n"/>
      <c r="M22" s="28" t="n"/>
      <c r="N22" s="28" t="n"/>
      <c r="O22" s="28" t="n"/>
      <c r="P22" s="28" t="n"/>
      <c r="Q22" s="28" t="n"/>
      <c r="R22" s="28" t="inlineStr">
        <is>
          <t>A and R</t>
        </is>
      </c>
      <c r="S22" s="28" t="inlineStr">
        <is>
          <t>R (quant)</t>
        </is>
      </c>
      <c r="T22" s="28" t="n"/>
      <c r="U22" s="28" t="n"/>
      <c r="V22" s="28" t="n"/>
      <c r="W22" s="28" t="n"/>
      <c r="X22" s="28" t="n"/>
      <c r="Y22" s="28" t="inlineStr">
        <is>
          <t>S</t>
        </is>
      </c>
    </row>
    <row r="23" ht="51" customHeight="1">
      <c r="A23" s="27" t="inlineStr">
        <is>
          <t>TR2(c)</t>
        </is>
      </c>
      <c r="B23" s="27" t="inlineStr">
        <is>
          <t>Indicator</t>
        </is>
      </c>
      <c r="C23" s="27" t="inlineStr">
        <is>
          <t>Education and research</t>
        </is>
      </c>
      <c r="D23" s="27" t="inlineStr">
        <is>
          <t>Transformational research</t>
        </is>
      </c>
      <c r="E23" s="27" t="inlineStr">
        <is>
          <t>Expert-reviewed summary of sustainability-related research outputs, outcomes and influence using available institutional evidence sources</t>
        </is>
      </c>
      <c r="F23" s="27" t="inlineStr">
        <is>
          <t>Mixed</t>
        </is>
      </c>
      <c r="G23" s="27" t="inlineStr"/>
      <c r="I23" s="28" t="n"/>
      <c r="J23" s="28" t="n"/>
      <c r="K23" s="28" t="n"/>
      <c r="L23" s="28" t="n"/>
      <c r="M23" s="28" t="n"/>
      <c r="N23" s="28" t="n"/>
      <c r="O23" s="28" t="n"/>
      <c r="P23" s="28" t="n"/>
      <c r="Q23" s="28" t="n"/>
      <c r="R23" s="28" t="inlineStr">
        <is>
          <t>A and R</t>
        </is>
      </c>
      <c r="S23" s="28" t="inlineStr">
        <is>
          <t>R</t>
        </is>
      </c>
      <c r="T23" s="28" t="n"/>
      <c r="U23" s="28" t="n"/>
      <c r="V23" s="28" t="n"/>
      <c r="W23" s="28" t="n"/>
      <c r="X23" s="28" t="n"/>
      <c r="Y23" s="28" t="inlineStr">
        <is>
          <t>S</t>
        </is>
      </c>
    </row>
    <row r="24" ht="42" customHeight="1">
      <c r="A24" s="27" t="inlineStr">
        <is>
          <t>TR2(d)</t>
        </is>
      </c>
      <c r="B24" s="27" t="inlineStr">
        <is>
          <t>Indicator</t>
        </is>
      </c>
      <c r="C24" s="27" t="inlineStr">
        <is>
          <t>Education and research</t>
        </is>
      </c>
      <c r="D24" s="27" t="inlineStr">
        <is>
          <t>Transformational research</t>
        </is>
      </c>
      <c r="E24" s="27" t="inlineStr">
        <is>
          <t>Case-based evidence demonstrating how research has contributed to meaningful sustainability outcomes.</t>
        </is>
      </c>
      <c r="F24" s="27" t="inlineStr">
        <is>
          <t>Qualitative</t>
        </is>
      </c>
      <c r="G24" s="27" t="inlineStr">
        <is>
          <t>5b(i)</t>
        </is>
      </c>
      <c r="I24" s="28" t="inlineStr">
        <is>
          <t>R</t>
        </is>
      </c>
      <c r="J24" s="28" t="inlineStr">
        <is>
          <t>A and R</t>
        </is>
      </c>
      <c r="K24" s="28" t="n"/>
      <c r="L24" s="28" t="inlineStr">
        <is>
          <t>R</t>
        </is>
      </c>
      <c r="M24" s="28" t="n"/>
      <c r="N24" s="28" t="n"/>
      <c r="O24" s="28" t="n"/>
      <c r="P24" s="28" t="n"/>
      <c r="Q24" s="28" t="n"/>
      <c r="R24" s="28" t="n"/>
      <c r="S24" s="28" t="n"/>
      <c r="T24" s="28" t="n"/>
      <c r="U24" s="28" t="n"/>
      <c r="V24" s="28" t="n"/>
      <c r="W24" s="28" t="n"/>
      <c r="X24" s="28" t="n"/>
      <c r="Y24" s="28" t="inlineStr">
        <is>
          <t>S</t>
        </is>
      </c>
    </row>
    <row r="25" ht="66" customHeight="1">
      <c r="A25" s="26" t="inlineStr">
        <is>
          <t>TR3</t>
        </is>
      </c>
      <c r="B25" s="26" t="inlineStr">
        <is>
          <t>Target</t>
        </is>
      </c>
      <c r="C25" s="26" t="inlineStr">
        <is>
          <t>Education and research</t>
        </is>
      </c>
      <c r="D25" s="26" t="inlineStr">
        <is>
          <t>Transformational research</t>
        </is>
      </c>
      <c r="E25" s="26" t="inlineStr">
        <is>
          <t>Embed sustainability within research systems, processes, capability and culture, so research is conducted responsibly, efficiently and with reduced environmental impact.</t>
        </is>
      </c>
    </row>
    <row r="26" ht="51" customHeight="1">
      <c r="A26" s="27" t="inlineStr">
        <is>
          <t>TR3(a)</t>
        </is>
      </c>
      <c r="B26" s="27" t="inlineStr">
        <is>
          <t>Indicator</t>
        </is>
      </c>
      <c r="C26" s="27" t="inlineStr">
        <is>
          <t>Education and research</t>
        </is>
      </c>
      <c r="D26" s="27" t="inlineStr">
        <is>
          <t>Transformational research</t>
        </is>
      </c>
      <c r="E26" s="27" t="inlineStr">
        <is>
          <t>Evidence that sustainability considerations are integrated into relevant research systems, planning processes, guidance, training, induction or support services</t>
        </is>
      </c>
      <c r="F26" s="27" t="inlineStr">
        <is>
          <t>Qualitative</t>
        </is>
      </c>
      <c r="G26" s="27" t="inlineStr">
        <is>
          <t>5c(ii)</t>
        </is>
      </c>
      <c r="I26" s="28" t="n"/>
      <c r="J26" s="28" t="n"/>
      <c r="K26" s="28" t="n"/>
      <c r="L26" s="28" t="n"/>
      <c r="M26" s="28" t="n"/>
      <c r="N26" s="28" t="n"/>
      <c r="O26" s="28" t="n"/>
      <c r="P26" s="28" t="n"/>
      <c r="Q26" s="28" t="n"/>
      <c r="R26" s="28" t="inlineStr">
        <is>
          <t>A and R</t>
        </is>
      </c>
      <c r="S26" s="28" t="inlineStr">
        <is>
          <t>R</t>
        </is>
      </c>
      <c r="T26" s="28" t="n"/>
      <c r="U26" s="28" t="n"/>
      <c r="V26" s="28" t="n"/>
      <c r="W26" s="28" t="n"/>
      <c r="X26" s="28" t="n"/>
      <c r="Y26" s="28" t="inlineStr">
        <is>
          <t>S</t>
        </is>
      </c>
    </row>
    <row r="27" ht="51" customHeight="1">
      <c r="A27" s="27" t="inlineStr">
        <is>
          <t>TR3(b)</t>
        </is>
      </c>
      <c r="B27" s="27" t="inlineStr">
        <is>
          <t>Indicator</t>
        </is>
      </c>
      <c r="C27" s="27" t="inlineStr">
        <is>
          <t>Education and research</t>
        </is>
      </c>
      <c r="D27" s="27" t="inlineStr">
        <is>
          <t>Transformational research</t>
        </is>
      </c>
      <c r="E27" s="27" t="inlineStr">
        <is>
          <t>Demonstrated examples of more sustainable research practices in laboratories, fieldwork, procurement, travel or infrastructure use</t>
        </is>
      </c>
      <c r="F27" s="27" t="inlineStr">
        <is>
          <t>Mixed</t>
        </is>
      </c>
      <c r="G27" s="27" t="inlineStr">
        <is>
          <t>5c(ii)</t>
        </is>
      </c>
      <c r="I27" s="28" t="inlineStr">
        <is>
          <t>R</t>
        </is>
      </c>
      <c r="J27" s="28" t="inlineStr">
        <is>
          <t>A and R</t>
        </is>
      </c>
      <c r="K27" s="28" t="n"/>
      <c r="L27" s="28" t="inlineStr">
        <is>
          <t>R</t>
        </is>
      </c>
      <c r="M27" s="28" t="inlineStr">
        <is>
          <t>R</t>
        </is>
      </c>
      <c r="N27" s="28" t="n"/>
      <c r="O27" s="28" t="n"/>
      <c r="P27" s="28" t="n"/>
      <c r="Q27" s="28" t="n"/>
      <c r="R27" s="28" t="inlineStr">
        <is>
          <t>A and R</t>
        </is>
      </c>
      <c r="S27" s="28" t="inlineStr">
        <is>
          <t>R (quant)</t>
        </is>
      </c>
      <c r="T27" s="28" t="n"/>
      <c r="U27" s="28" t="n"/>
      <c r="V27" s="28" t="n"/>
      <c r="W27" s="28" t="n"/>
      <c r="X27" s="28" t="n"/>
      <c r="Y27" s="28" t="inlineStr">
        <is>
          <t>S</t>
        </is>
      </c>
    </row>
    <row r="28" ht="51" customHeight="1">
      <c r="A28" s="27" t="inlineStr">
        <is>
          <t>TR3(c)</t>
        </is>
      </c>
      <c r="B28" s="27" t="inlineStr">
        <is>
          <t>Indicator</t>
        </is>
      </c>
      <c r="C28" s="27" t="inlineStr">
        <is>
          <t>Education and research</t>
        </is>
      </c>
      <c r="D28" s="27" t="inlineStr">
        <is>
          <t>Transformational research</t>
        </is>
      </c>
      <c r="E28" s="27" t="inlineStr">
        <is>
          <t>Evidence of progress in sustainability-related research culture, capability and awareness, informed by periodic staff and graduate researcher surveys</t>
        </is>
      </c>
      <c r="F28" s="27" t="inlineStr">
        <is>
          <t>Qualitative</t>
        </is>
      </c>
      <c r="G28" s="27" t="inlineStr"/>
      <c r="I28" s="28" t="n"/>
      <c r="J28" s="28" t="n"/>
      <c r="K28" s="28" t="n"/>
      <c r="L28" s="28" t="n"/>
      <c r="M28" s="28" t="n"/>
      <c r="N28" s="28" t="n"/>
      <c r="O28" s="28" t="n"/>
      <c r="P28" s="28" t="n"/>
      <c r="Q28" s="28" t="n"/>
      <c r="R28" s="28" t="inlineStr">
        <is>
          <t>A and R</t>
        </is>
      </c>
      <c r="S28" s="28" t="inlineStr">
        <is>
          <t>R</t>
        </is>
      </c>
      <c r="T28" s="28" t="n"/>
      <c r="U28" s="28" t="n"/>
      <c r="V28" s="28" t="n"/>
      <c r="W28" s="28" t="n"/>
      <c r="X28" s="28" t="n"/>
      <c r="Y28" s="28" t="inlineStr">
        <is>
          <t>S</t>
        </is>
      </c>
    </row>
    <row r="29" ht="42" customHeight="1">
      <c r="A29" s="27" t="inlineStr">
        <is>
          <t>TR3(d)</t>
        </is>
      </c>
      <c r="B29" s="27" t="inlineStr">
        <is>
          <t>Indicator</t>
        </is>
      </c>
      <c r="C29" s="27" t="inlineStr">
        <is>
          <t>Education and research</t>
        </is>
      </c>
      <c r="D29" s="27" t="inlineStr">
        <is>
          <t>Transformational research</t>
        </is>
      </c>
      <c r="E29" s="27" t="inlineStr">
        <is>
          <t>Expert assessment of progress in embedding sustainable research practices across the institution.</t>
        </is>
      </c>
      <c r="F29" s="27" t="inlineStr">
        <is>
          <t>Qualitative</t>
        </is>
      </c>
      <c r="G29" s="27" t="inlineStr"/>
      <c r="I29" s="28" t="n"/>
      <c r="J29" s="28" t="n"/>
      <c r="K29" s="28" t="n"/>
      <c r="L29" s="28" t="n"/>
      <c r="M29" s="28" t="n"/>
      <c r="N29" s="28" t="n"/>
      <c r="O29" s="28" t="n"/>
      <c r="P29" s="28" t="n"/>
      <c r="Q29" s="28" t="n"/>
      <c r="R29" s="28" t="inlineStr">
        <is>
          <t>A and R</t>
        </is>
      </c>
      <c r="S29" s="28" t="inlineStr">
        <is>
          <t>R</t>
        </is>
      </c>
      <c r="T29" s="28" t="n"/>
      <c r="U29" s="28" t="n"/>
      <c r="V29" s="28" t="n"/>
      <c r="W29" s="28" t="n"/>
      <c r="X29" s="28" t="n"/>
      <c r="Y29" s="28" t="inlineStr">
        <is>
          <t>S</t>
        </is>
      </c>
    </row>
    <row r="30" ht="22" customHeight="1">
      <c r="A30" s="24" t="inlineStr">
        <is>
          <t>D2</t>
        </is>
      </c>
      <c r="B30" s="24" t="inlineStr">
        <is>
          <t>Domain</t>
        </is>
      </c>
      <c r="C30" s="24" t="inlineStr"/>
      <c r="D30" s="24" t="inlineStr"/>
      <c r="E30" s="24" t="inlineStr">
        <is>
          <t>Sustainability leadership</t>
        </is>
      </c>
      <c r="F30" s="24" t="n"/>
      <c r="G30" s="24" t="n"/>
      <c r="H30" s="24" t="n"/>
      <c r="I30" s="24" t="n"/>
      <c r="J30" s="24" t="n"/>
      <c r="K30" s="24" t="n"/>
      <c r="L30" s="24" t="n"/>
      <c r="M30" s="24" t="n"/>
      <c r="N30" s="24" t="n"/>
      <c r="O30" s="24" t="n"/>
      <c r="P30" s="24" t="n"/>
      <c r="Q30" s="24" t="n"/>
      <c r="R30" s="24" t="n"/>
      <c r="S30" s="24" t="n"/>
      <c r="T30" s="24" t="n"/>
      <c r="U30" s="24" t="n"/>
      <c r="V30" s="24" t="n"/>
      <c r="W30" s="24" t="n"/>
      <c r="X30" s="24" t="n"/>
      <c r="Y30" s="24" t="n"/>
    </row>
    <row r="31" ht="22" customHeight="1">
      <c r="A31" s="25" t="inlineStr">
        <is>
          <t>CL</t>
        </is>
      </c>
      <c r="B31" s="25" t="inlineStr">
        <is>
          <t>Priority</t>
        </is>
      </c>
      <c r="C31" s="25" t="inlineStr"/>
      <c r="D31" s="25" t="inlineStr"/>
      <c r="E31" s="25" t="inlineStr">
        <is>
          <t>Climate leadership</t>
        </is>
      </c>
      <c r="F31" s="25" t="n"/>
      <c r="G31" s="25" t="n"/>
      <c r="H31" s="25" t="n"/>
      <c r="I31" s="25" t="n"/>
      <c r="J31" s="25" t="n"/>
      <c r="K31" s="25" t="n"/>
      <c r="L31" s="25" t="n"/>
      <c r="M31" s="25" t="n"/>
      <c r="N31" s="25" t="n"/>
      <c r="O31" s="25" t="n"/>
      <c r="P31" s="25" t="n"/>
      <c r="Q31" s="25" t="n"/>
      <c r="R31" s="25" t="n"/>
      <c r="S31" s="25" t="n"/>
      <c r="T31" s="25" t="n"/>
      <c r="U31" s="25" t="n"/>
      <c r="V31" s="25" t="n"/>
      <c r="W31" s="25" t="n"/>
      <c r="X31" s="25" t="n"/>
      <c r="Y31" s="25" t="n"/>
    </row>
    <row r="32" ht="171" customHeight="1">
      <c r="A32" s="26" t="inlineStr">
        <is>
          <t>CL1</t>
        </is>
      </c>
      <c r="B32" s="26" t="inlineStr">
        <is>
          <t>Target</t>
        </is>
      </c>
      <c r="C32" s="26" t="inlineStr">
        <is>
          <t>Sustainability leadership</t>
        </is>
      </c>
      <c r="D32" s="26" t="inlineStr">
        <is>
          <t>Climate leadership</t>
        </is>
      </c>
      <c r="E32" s="26"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row>
    <row r="33" ht="66" customHeight="1">
      <c r="A33" s="27" t="inlineStr">
        <is>
          <t>CL1(a)</t>
        </is>
      </c>
      <c r="B33" s="27" t="inlineStr">
        <is>
          <t>Indicator</t>
        </is>
      </c>
      <c r="C33" s="27" t="inlineStr">
        <is>
          <t>Sustainability leadership</t>
        </is>
      </c>
      <c r="D33" s="27" t="inlineStr">
        <is>
          <t>Climate leadership</t>
        </is>
      </c>
      <c r="E33" s="27" t="inlineStr">
        <is>
          <t>Annual Greenhouse Gas Inventory (including emissions scopes 1, 2 and 3) demonstrates carbon emission reductions, including maintaining procurement of 100% renewable electricity for all scope 2 sources[1]</t>
        </is>
      </c>
      <c r="F33" s="27" t="inlineStr">
        <is>
          <t>Quantitative</t>
        </is>
      </c>
      <c r="G33" s="27" t="inlineStr"/>
      <c r="I33" s="28" t="n"/>
      <c r="J33" s="28" t="inlineStr">
        <is>
          <t>A and R</t>
        </is>
      </c>
      <c r="K33" s="28" t="n"/>
      <c r="L33" s="28" t="n"/>
      <c r="M33" s="28" t="n"/>
      <c r="N33" s="28" t="n"/>
      <c r="O33" s="28" t="inlineStr">
        <is>
          <t>R (quant)</t>
        </is>
      </c>
      <c r="P33" s="28" t="n"/>
      <c r="Q33" s="28" t="n"/>
      <c r="R33" s="28" t="n"/>
      <c r="S33" s="28" t="n"/>
      <c r="T33" s="28" t="n"/>
      <c r="U33" s="28" t="n"/>
      <c r="V33" s="28" t="n"/>
      <c r="W33" s="28" t="n"/>
      <c r="X33" s="28" t="n"/>
      <c r="Y33" s="28" t="inlineStr">
        <is>
          <t>S</t>
        </is>
      </c>
    </row>
    <row r="34" ht="42" customHeight="1">
      <c r="A34" s="27" t="inlineStr">
        <is>
          <t>CL1(b)</t>
        </is>
      </c>
      <c r="B34" s="27" t="inlineStr">
        <is>
          <t>Indicator</t>
        </is>
      </c>
      <c r="C34" s="27" t="inlineStr">
        <is>
          <t>Sustainability leadership</t>
        </is>
      </c>
      <c r="D34" s="27" t="inlineStr">
        <is>
          <t>Climate leadership</t>
        </is>
      </c>
      <c r="E34" s="27" t="inlineStr">
        <is>
          <t>Development of Greenhouse Gas  intensity metrics</t>
        </is>
      </c>
      <c r="F34" s="27" t="inlineStr">
        <is>
          <t>Quantitative</t>
        </is>
      </c>
      <c r="G34" s="27" t="inlineStr"/>
      <c r="I34" s="28" t="n"/>
      <c r="J34" s="28" t="inlineStr">
        <is>
          <t>A and R</t>
        </is>
      </c>
      <c r="K34" s="28" t="n"/>
      <c r="L34" s="28" t="n"/>
      <c r="M34" s="28" t="n"/>
      <c r="N34" s="28" t="n"/>
      <c r="O34" s="28" t="inlineStr">
        <is>
          <t>R (quant)</t>
        </is>
      </c>
      <c r="P34" s="28" t="n"/>
      <c r="Q34" s="28" t="n"/>
      <c r="R34" s="28" t="n"/>
      <c r="S34" s="28" t="n"/>
      <c r="T34" s="28" t="n"/>
      <c r="U34" s="28" t="n"/>
      <c r="V34" s="28" t="n"/>
      <c r="W34" s="28" t="n"/>
      <c r="X34" s="28" t="n"/>
      <c r="Y34" s="28" t="inlineStr">
        <is>
          <t>S</t>
        </is>
      </c>
    </row>
    <row r="35" ht="42" customHeight="1">
      <c r="A35" s="27" t="inlineStr">
        <is>
          <t>CL1(c)</t>
        </is>
      </c>
      <c r="B35" s="27" t="inlineStr">
        <is>
          <t>Indicator</t>
        </is>
      </c>
      <c r="C35" s="27" t="inlineStr">
        <is>
          <t>Sustainability leadership</t>
        </is>
      </c>
      <c r="D35" s="27" t="inlineStr">
        <is>
          <t>Climate leadership</t>
        </is>
      </c>
      <c r="E35" s="27" t="inlineStr">
        <is>
          <t>Review of Climate Leadership targets by 2030.[2]</t>
        </is>
      </c>
      <c r="F35" s="27" t="inlineStr">
        <is>
          <t>Mixed</t>
        </is>
      </c>
      <c r="G35" s="27" t="inlineStr"/>
      <c r="I35" s="28" t="n"/>
      <c r="J35" s="28" t="inlineStr">
        <is>
          <t>A and R</t>
        </is>
      </c>
      <c r="K35" s="28" t="n"/>
      <c r="L35" s="28" t="inlineStr">
        <is>
          <t>R</t>
        </is>
      </c>
      <c r="M35" s="28" t="n"/>
      <c r="N35" s="28" t="n"/>
      <c r="O35" s="28" t="n"/>
      <c r="P35" s="28" t="n"/>
      <c r="Q35" s="28" t="n"/>
      <c r="R35" s="28" t="n"/>
      <c r="S35" s="28" t="n"/>
      <c r="T35" s="28" t="n"/>
      <c r="U35" s="28" t="n"/>
      <c r="V35" s="28" t="n"/>
      <c r="W35" s="28" t="n"/>
      <c r="X35" s="28" t="n"/>
      <c r="Y35" s="28" t="inlineStr">
        <is>
          <t>S</t>
        </is>
      </c>
    </row>
    <row r="36" ht="51" customHeight="1">
      <c r="A36" s="26" t="inlineStr">
        <is>
          <t>CL2</t>
        </is>
      </c>
      <c r="B36" s="26" t="inlineStr">
        <is>
          <t>Target</t>
        </is>
      </c>
      <c r="C36" s="26" t="inlineStr">
        <is>
          <t>Sustainability leadership</t>
        </is>
      </c>
      <c r="D36" s="26" t="inlineStr">
        <is>
          <t>Climate leadership</t>
        </is>
      </c>
      <c r="E36" s="26" t="inlineStr">
        <is>
          <t>Develop understanding of our research and education programs that contribute to accelerating global decarbonisation and our own climate transition.</t>
        </is>
      </c>
    </row>
    <row r="37" ht="51" customHeight="1">
      <c r="A37" s="27" t="inlineStr">
        <is>
          <t>CL2(a)</t>
        </is>
      </c>
      <c r="B37" s="27" t="inlineStr">
        <is>
          <t>Indicator</t>
        </is>
      </c>
      <c r="C37" s="27" t="inlineStr">
        <is>
          <t>Sustainability leadership</t>
        </is>
      </c>
      <c r="D37" s="27" t="inlineStr">
        <is>
          <t>Climate leadership</t>
        </is>
      </c>
      <c r="E37" s="27" t="inlineStr">
        <is>
          <t>By 2028, develop and document institutional mapping of research and education activities that are designed to contribute to global decarbonisation</t>
        </is>
      </c>
      <c r="F37" s="27" t="inlineStr">
        <is>
          <t>Mixed</t>
        </is>
      </c>
      <c r="G37" s="27" t="inlineStr"/>
      <c r="I37" s="28" t="n"/>
      <c r="J37" s="28" t="n"/>
      <c r="K37" s="28" t="n"/>
      <c r="L37" s="28" t="n"/>
      <c r="M37" s="28" t="n"/>
      <c r="N37" s="28" t="n"/>
      <c r="O37" s="28" t="n"/>
      <c r="P37" s="28" t="n"/>
      <c r="Q37" s="28" t="n"/>
      <c r="R37" s="28" t="inlineStr">
        <is>
          <t>A and R</t>
        </is>
      </c>
      <c r="S37" s="28" t="n"/>
      <c r="T37" s="28" t="inlineStr">
        <is>
          <t>R</t>
        </is>
      </c>
      <c r="U37" s="28" t="n"/>
      <c r="V37" s="28" t="n"/>
      <c r="W37" s="28" t="n"/>
      <c r="X37" s="28" t="n"/>
      <c r="Y37" s="28" t="inlineStr">
        <is>
          <t>R (compile)</t>
        </is>
      </c>
    </row>
    <row r="38" ht="51" customHeight="1">
      <c r="A38" s="27" t="inlineStr">
        <is>
          <t>CL2(b)</t>
        </is>
      </c>
      <c r="B38" s="27" t="inlineStr">
        <is>
          <t>Indicator</t>
        </is>
      </c>
      <c r="C38" s="27" t="inlineStr">
        <is>
          <t>Sustainability leadership</t>
        </is>
      </c>
      <c r="D38" s="27" t="inlineStr">
        <is>
          <t>Climate leadership</t>
        </is>
      </c>
      <c r="E38" s="27" t="inlineStr">
        <is>
          <t>Prioritised pipeline of decarbonisation focused research and education opportunities aligned with University emissions reduction priorities from 2028</t>
        </is>
      </c>
      <c r="F38" s="27" t="inlineStr">
        <is>
          <t>Quantitative</t>
        </is>
      </c>
      <c r="G38" s="27" t="inlineStr"/>
      <c r="I38" s="28" t="n"/>
      <c r="J38" s="28" t="n"/>
      <c r="K38" s="28" t="n"/>
      <c r="L38" s="28" t="n"/>
      <c r="M38" s="28" t="n"/>
      <c r="N38" s="28" t="n"/>
      <c r="O38" s="28" t="n"/>
      <c r="P38" s="28" t="n"/>
      <c r="Q38" s="28" t="n"/>
      <c r="R38" s="28" t="n"/>
      <c r="S38" s="28" t="n"/>
      <c r="T38" s="28" t="n"/>
      <c r="U38" s="28" t="n"/>
      <c r="V38" s="28" t="n"/>
      <c r="W38" s="28" t="n"/>
      <c r="X38" s="28" t="n"/>
      <c r="Y38" s="28" t="inlineStr">
        <is>
          <t>R (compile)</t>
        </is>
      </c>
    </row>
    <row r="39" ht="51" customHeight="1">
      <c r="A39" s="27" t="inlineStr">
        <is>
          <t>CL2(c)</t>
        </is>
      </c>
      <c r="B39" s="27" t="inlineStr">
        <is>
          <t>Indicator</t>
        </is>
      </c>
      <c r="C39" s="27" t="inlineStr">
        <is>
          <t>Sustainability leadership</t>
        </is>
      </c>
      <c r="D39" s="27" t="inlineStr">
        <is>
          <t>Climate leadership</t>
        </is>
      </c>
      <c r="E39" s="27" t="inlineStr">
        <is>
          <t>Ongoing communications that evidence the University’s climate action, research and learning to inform policy, sector and community decarbonisation efforts.</t>
        </is>
      </c>
      <c r="F39" s="27" t="inlineStr">
        <is>
          <t>Mixed</t>
        </is>
      </c>
      <c r="G39" s="27" t="inlineStr"/>
      <c r="I39" s="28" t="n"/>
      <c r="J39" s="28" t="n"/>
      <c r="K39" s="28" t="n"/>
      <c r="L39" s="28" t="n"/>
      <c r="M39" s="28" t="n"/>
      <c r="N39" s="28" t="n"/>
      <c r="O39" s="28" t="n"/>
      <c r="P39" s="28" t="n"/>
      <c r="Q39" s="28" t="n"/>
      <c r="R39" s="28" t="inlineStr">
        <is>
          <t>A and R</t>
        </is>
      </c>
      <c r="S39" s="28" t="n"/>
      <c r="T39" s="28" t="inlineStr">
        <is>
          <t>R</t>
        </is>
      </c>
      <c r="U39" s="28" t="n"/>
      <c r="V39" s="28" t="n"/>
      <c r="W39" s="28" t="n"/>
      <c r="X39" s="28" t="n"/>
      <c r="Y39" s="28" t="inlineStr">
        <is>
          <t>R (compile)</t>
        </is>
      </c>
    </row>
    <row r="40" ht="45" customHeight="1">
      <c r="A40" s="26" t="inlineStr">
        <is>
          <t>CL3</t>
        </is>
      </c>
      <c r="B40" s="26" t="inlineStr">
        <is>
          <t>Target</t>
        </is>
      </c>
      <c r="C40" s="26" t="inlineStr">
        <is>
          <t>Sustainability leadership</t>
        </is>
      </c>
      <c r="D40" s="26" t="inlineStr">
        <is>
          <t>Climate leadership</t>
        </is>
      </c>
      <c r="E40" s="26" t="inlineStr">
        <is>
          <t>Reach and maintain high levels of climate-change resilience maturity</t>
        </is>
      </c>
    </row>
    <row r="41" ht="156" customHeight="1">
      <c r="A41" s="27" t="inlineStr">
        <is>
          <t>CL3(a)</t>
        </is>
      </c>
      <c r="B41" s="27" t="inlineStr">
        <is>
          <t>Indicator</t>
        </is>
      </c>
      <c r="C41" s="27" t="inlineStr">
        <is>
          <t>Sustainability leadership</t>
        </is>
      </c>
      <c r="D41" s="27" t="inlineStr">
        <is>
          <t>Climate leadership</t>
        </is>
      </c>
      <c r="E41" s="27"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41" s="27" t="inlineStr">
        <is>
          <t>Mixed</t>
        </is>
      </c>
      <c r="G41" s="27" t="inlineStr"/>
      <c r="I41" s="28" t="n"/>
      <c r="J41" s="28" t="inlineStr">
        <is>
          <t>A and R</t>
        </is>
      </c>
      <c r="K41" s="28" t="inlineStr">
        <is>
          <t>R</t>
        </is>
      </c>
      <c r="L41" s="28" t="n"/>
      <c r="M41" s="28" t="n"/>
      <c r="N41" s="28" t="n"/>
      <c r="O41" s="28" t="n"/>
      <c r="P41" s="28" t="n"/>
      <c r="Q41" s="28" t="inlineStr">
        <is>
          <t>R</t>
        </is>
      </c>
      <c r="R41" s="28" t="n"/>
      <c r="S41" s="28" t="n"/>
      <c r="T41" s="28" t="n"/>
      <c r="U41" s="28" t="n"/>
      <c r="V41" s="28" t="n"/>
      <c r="W41" s="28" t="n"/>
      <c r="X41" s="28" t="n"/>
      <c r="Y41" s="28" t="inlineStr">
        <is>
          <t>S</t>
        </is>
      </c>
    </row>
    <row r="42" ht="22" customHeight="1">
      <c r="A42" s="25" t="inlineStr">
        <is>
          <t>NB</t>
        </is>
      </c>
      <c r="B42" s="25" t="inlineStr">
        <is>
          <t>Priority</t>
        </is>
      </c>
      <c r="C42" s="25" t="inlineStr"/>
      <c r="D42" s="25" t="inlineStr"/>
      <c r="E42" s="25" t="inlineStr">
        <is>
          <t>Nature and biodiversity</t>
        </is>
      </c>
      <c r="F42" s="25" t="n"/>
      <c r="G42" s="25" t="n"/>
      <c r="H42" s="25" t="n"/>
      <c r="I42" s="25" t="n"/>
      <c r="J42" s="25" t="n"/>
      <c r="K42" s="25" t="n"/>
      <c r="L42" s="25" t="n"/>
      <c r="M42" s="25" t="n"/>
      <c r="N42" s="25" t="n"/>
      <c r="O42" s="25" t="n"/>
      <c r="P42" s="25" t="n"/>
      <c r="Q42" s="25" t="n"/>
      <c r="R42" s="25" t="n"/>
      <c r="S42" s="25" t="n"/>
      <c r="T42" s="25" t="n"/>
      <c r="U42" s="25" t="n"/>
      <c r="V42" s="25" t="n"/>
      <c r="W42" s="25" t="n"/>
      <c r="X42" s="25" t="n"/>
      <c r="Y42" s="25" t="n"/>
    </row>
    <row r="43" ht="45" customHeight="1">
      <c r="A43" s="26" t="inlineStr">
        <is>
          <t>NB1</t>
        </is>
      </c>
      <c r="B43" s="26" t="inlineStr">
        <is>
          <t>Target</t>
        </is>
      </c>
      <c r="C43" s="26" t="inlineStr">
        <is>
          <t>Sustainability leadership</t>
        </is>
      </c>
      <c r="D43" s="26" t="inlineStr">
        <is>
          <t>Nature and biodiversity</t>
        </is>
      </c>
      <c r="E43" s="26" t="inlineStr">
        <is>
          <t>Achieve an increase of biodiversity relative to defined baseline years for each campus.</t>
        </is>
      </c>
    </row>
    <row r="44" ht="42" customHeight="1">
      <c r="A44" s="27" t="inlineStr">
        <is>
          <t>NB1(a)</t>
        </is>
      </c>
      <c r="B44" s="27" t="inlineStr">
        <is>
          <t>Indicator</t>
        </is>
      </c>
      <c r="C44" s="27" t="inlineStr">
        <is>
          <t>Sustainability leadership</t>
        </is>
      </c>
      <c r="D44" s="27" t="inlineStr">
        <is>
          <t>Nature and biodiversity</t>
        </is>
      </c>
      <c r="E44" s="27" t="inlineStr">
        <is>
          <t>Monitoring of biodiversity metrics from the Biodiversity Baseline Data Project</t>
        </is>
      </c>
      <c r="F44" s="27" t="inlineStr">
        <is>
          <t>Quantitative</t>
        </is>
      </c>
      <c r="G44" s="27" t="inlineStr"/>
      <c r="I44" s="28" t="n"/>
      <c r="J44" s="28" t="inlineStr">
        <is>
          <t>A and R</t>
        </is>
      </c>
      <c r="K44" s="28" t="n"/>
      <c r="L44" s="28" t="n"/>
      <c r="M44" s="28" t="n"/>
      <c r="N44" s="28" t="n"/>
      <c r="O44" s="28" t="inlineStr">
        <is>
          <t>R (quant)</t>
        </is>
      </c>
      <c r="P44" s="28" t="n"/>
      <c r="Q44" s="28" t="n"/>
      <c r="R44" s="28" t="n"/>
      <c r="S44" s="28" t="n"/>
      <c r="T44" s="28" t="n"/>
      <c r="U44" s="28" t="n"/>
      <c r="V44" s="28" t="n"/>
      <c r="W44" s="28" t="n"/>
      <c r="X44" s="28" t="n"/>
      <c r="Y44" s="28" t="inlineStr">
        <is>
          <t>S</t>
        </is>
      </c>
    </row>
    <row r="45" ht="42" customHeight="1">
      <c r="A45" s="27" t="inlineStr">
        <is>
          <t>NB1(b)</t>
        </is>
      </c>
      <c r="B45" s="27" t="inlineStr">
        <is>
          <t>Indicator</t>
        </is>
      </c>
      <c r="C45" s="27" t="inlineStr">
        <is>
          <t>Sustainability leadership</t>
        </is>
      </c>
      <c r="D45" s="27" t="inlineStr">
        <is>
          <t>Nature and biodiversity</t>
        </is>
      </c>
      <c r="E45" s="27" t="inlineStr">
        <is>
          <t>Size, health and diversity of remnant vegetation at the Dookie and Creswick campuses</t>
        </is>
      </c>
      <c r="F45" s="27" t="inlineStr">
        <is>
          <t>Mixed</t>
        </is>
      </c>
      <c r="G45" s="27" t="inlineStr"/>
      <c r="I45" s="28" t="n"/>
      <c r="J45" s="28" t="inlineStr">
        <is>
          <t>A and R</t>
        </is>
      </c>
      <c r="K45" s="28" t="n"/>
      <c r="L45" s="28" t="n"/>
      <c r="M45" s="28" t="n"/>
      <c r="N45" s="28" t="n"/>
      <c r="O45" s="28" t="inlineStr">
        <is>
          <t>R</t>
        </is>
      </c>
      <c r="P45" s="28" t="n"/>
      <c r="Q45" s="28" t="n"/>
      <c r="R45" s="28" t="n"/>
      <c r="S45" s="28" t="n"/>
      <c r="T45" s="28" t="n"/>
      <c r="U45" s="28" t="n"/>
      <c r="V45" s="28" t="n"/>
      <c r="W45" s="28" t="n"/>
      <c r="X45" s="28" t="n"/>
      <c r="Y45" s="28" t="inlineStr">
        <is>
          <t>S</t>
        </is>
      </c>
    </row>
    <row r="46" ht="42" customHeight="1">
      <c r="A46" s="27" t="inlineStr">
        <is>
          <t>NB1(c)</t>
        </is>
      </c>
      <c r="B46" s="27" t="inlineStr">
        <is>
          <t>Indicator</t>
        </is>
      </c>
      <c r="C46" s="27" t="inlineStr">
        <is>
          <t>Sustainability leadership</t>
        </is>
      </c>
      <c r="D46" s="27" t="inlineStr">
        <is>
          <t>Nature and biodiversity</t>
        </is>
      </c>
      <c r="E46" s="27" t="inlineStr">
        <is>
          <t>Defined quality measurement framework</t>
        </is>
      </c>
      <c r="F46" s="27" t="inlineStr">
        <is>
          <t>Mixed</t>
        </is>
      </c>
      <c r="G46" s="27" t="inlineStr"/>
      <c r="I46" s="28" t="n"/>
      <c r="J46" s="28" t="inlineStr">
        <is>
          <t>A and R</t>
        </is>
      </c>
      <c r="K46" s="28" t="n"/>
      <c r="L46" s="28" t="n"/>
      <c r="M46" s="28" t="n"/>
      <c r="N46" s="28" t="n"/>
      <c r="O46" s="28" t="inlineStr">
        <is>
          <t>R</t>
        </is>
      </c>
      <c r="P46" s="28" t="n"/>
      <c r="Q46" s="28" t="n"/>
      <c r="R46" s="28" t="n"/>
      <c r="S46" s="28" t="n"/>
      <c r="T46" s="28" t="n"/>
      <c r="U46" s="28" t="n"/>
      <c r="V46" s="28" t="n"/>
      <c r="W46" s="28" t="n"/>
      <c r="X46" s="28" t="n"/>
      <c r="Y46" s="28" t="inlineStr">
        <is>
          <t>S</t>
        </is>
      </c>
    </row>
    <row r="47" ht="42" customHeight="1">
      <c r="A47" s="27" t="inlineStr">
        <is>
          <t>NB1(d)</t>
        </is>
      </c>
      <c r="B47" s="27" t="inlineStr">
        <is>
          <t>Indicator</t>
        </is>
      </c>
      <c r="C47" s="27" t="inlineStr">
        <is>
          <t>Sustainability leadership</t>
        </is>
      </c>
      <c r="D47" s="27" t="inlineStr">
        <is>
          <t>Nature and biodiversity</t>
        </is>
      </c>
      <c r="E47" s="27" t="inlineStr">
        <is>
          <t>Defined and quantified campus connectivity</t>
        </is>
      </c>
      <c r="F47" s="27" t="inlineStr">
        <is>
          <t>Mixed</t>
        </is>
      </c>
      <c r="G47" s="27" t="inlineStr"/>
      <c r="I47" s="28" t="n"/>
      <c r="J47" s="28" t="inlineStr">
        <is>
          <t>A and R</t>
        </is>
      </c>
      <c r="K47" s="28" t="n"/>
      <c r="L47" s="28" t="n"/>
      <c r="M47" s="28" t="n"/>
      <c r="N47" s="28" t="n"/>
      <c r="O47" s="28" t="inlineStr">
        <is>
          <t>R</t>
        </is>
      </c>
      <c r="P47" s="28" t="n"/>
      <c r="Q47" s="28" t="n"/>
      <c r="R47" s="28" t="n"/>
      <c r="S47" s="28" t="n"/>
      <c r="T47" s="28" t="n"/>
      <c r="U47" s="28" t="n"/>
      <c r="V47" s="28" t="n"/>
      <c r="W47" s="28" t="n"/>
      <c r="X47" s="28" t="n"/>
      <c r="Y47" s="28" t="inlineStr">
        <is>
          <t>S</t>
        </is>
      </c>
    </row>
    <row r="48" ht="45" customHeight="1">
      <c r="A48" s="26" t="inlineStr">
        <is>
          <t>NB2</t>
        </is>
      </c>
      <c r="B48" s="26" t="inlineStr">
        <is>
          <t>Target</t>
        </is>
      </c>
      <c r="C48" s="26" t="inlineStr">
        <is>
          <t>Sustainability leadership</t>
        </is>
      </c>
      <c r="D48" s="26" t="inlineStr">
        <is>
          <t>Nature and biodiversity</t>
        </is>
      </c>
      <c r="E48" s="26" t="inlineStr">
        <is>
          <t>Improve our understanding of our supply chain impacts on nature.</t>
        </is>
      </c>
    </row>
    <row r="49" ht="42" customHeight="1">
      <c r="A49" s="27" t="inlineStr">
        <is>
          <t>NB2(a)</t>
        </is>
      </c>
      <c r="B49" s="27" t="inlineStr">
        <is>
          <t>Indicator</t>
        </is>
      </c>
      <c r="C49" s="27" t="inlineStr">
        <is>
          <t>Sustainability leadership</t>
        </is>
      </c>
      <c r="D49" s="27" t="inlineStr">
        <is>
          <t>Nature and biodiversity</t>
        </is>
      </c>
      <c r="E49" s="27" t="inlineStr">
        <is>
          <t>Documented baseline nature footprint analysis</t>
        </is>
      </c>
      <c r="F49" s="27" t="inlineStr">
        <is>
          <t>Mixed</t>
        </is>
      </c>
      <c r="G49" s="27" t="inlineStr"/>
      <c r="I49" s="28" t="n"/>
      <c r="J49" s="28" t="n"/>
      <c r="K49" s="28" t="n"/>
      <c r="L49" s="28" t="n"/>
      <c r="M49" s="28" t="n"/>
      <c r="N49" s="28" t="n"/>
      <c r="O49" s="28" t="n"/>
      <c r="P49" s="28" t="n"/>
      <c r="Q49" s="28" t="n"/>
      <c r="R49" s="28" t="inlineStr">
        <is>
          <t>A and R</t>
        </is>
      </c>
      <c r="S49" s="28" t="inlineStr">
        <is>
          <t>R</t>
        </is>
      </c>
      <c r="T49" s="28" t="n"/>
      <c r="U49" s="28" t="n"/>
      <c r="V49" s="28" t="n"/>
      <c r="W49" s="28" t="n"/>
      <c r="X49" s="28" t="n"/>
      <c r="Y49" s="28" t="inlineStr">
        <is>
          <t>S</t>
        </is>
      </c>
    </row>
    <row r="50" ht="42" customHeight="1">
      <c r="A50" s="27" t="inlineStr">
        <is>
          <t>NB2(b)</t>
        </is>
      </c>
      <c r="B50" s="27" t="inlineStr">
        <is>
          <t>Indicator</t>
        </is>
      </c>
      <c r="C50" s="27" t="inlineStr">
        <is>
          <t>Sustainability leadership</t>
        </is>
      </c>
      <c r="D50" s="27" t="inlineStr">
        <is>
          <t>Nature and biodiversity</t>
        </is>
      </c>
      <c r="E50" s="27" t="inlineStr">
        <is>
          <t>Evidence of established framework to monitor and track supply-chain nature impacts over time</t>
        </is>
      </c>
      <c r="F50" s="27" t="inlineStr">
        <is>
          <t>Qualitative</t>
        </is>
      </c>
      <c r="G50" s="27" t="inlineStr"/>
      <c r="I50" s="28" t="n"/>
      <c r="J50" s="28" t="inlineStr">
        <is>
          <t>A and R</t>
        </is>
      </c>
      <c r="K50" s="28" t="n"/>
      <c r="L50" s="28" t="n"/>
      <c r="M50" s="28" t="n"/>
      <c r="N50" s="28" t="n"/>
      <c r="O50" s="28" t="inlineStr">
        <is>
          <t>R</t>
        </is>
      </c>
      <c r="P50" s="28" t="n"/>
      <c r="Q50" s="28" t="n"/>
      <c r="R50" s="28" t="n"/>
      <c r="S50" s="28" t="n"/>
      <c r="T50" s="28" t="n"/>
      <c r="U50" s="28" t="n"/>
      <c r="V50" s="28" t="n"/>
      <c r="W50" s="28" t="n"/>
      <c r="X50" s="28" t="n"/>
      <c r="Y50" s="28" t="inlineStr">
        <is>
          <t>S</t>
        </is>
      </c>
    </row>
    <row r="51" ht="42" customHeight="1">
      <c r="A51" s="27" t="inlineStr">
        <is>
          <t>NB2(c)</t>
        </is>
      </c>
      <c r="B51" s="27" t="inlineStr">
        <is>
          <t>Indicator</t>
        </is>
      </c>
      <c r="C51" s="27" t="inlineStr">
        <is>
          <t>Sustainability leadership</t>
        </is>
      </c>
      <c r="D51" s="27" t="inlineStr">
        <is>
          <t>Nature and biodiversity</t>
        </is>
      </c>
      <c r="E51" s="27" t="inlineStr">
        <is>
          <t>Evidence of prioritised high risk procurement categories or suppliers for nature impact management</t>
        </is>
      </c>
      <c r="F51" s="27" t="inlineStr">
        <is>
          <t>Qualitative</t>
        </is>
      </c>
      <c r="G51" s="27" t="inlineStr"/>
      <c r="I51" s="28" t="n"/>
      <c r="J51" s="28" t="inlineStr">
        <is>
          <t>A and R</t>
        </is>
      </c>
      <c r="K51" s="28" t="n"/>
      <c r="L51" s="28" t="n"/>
      <c r="M51" s="28" t="inlineStr">
        <is>
          <t>R</t>
        </is>
      </c>
      <c r="N51" s="28" t="n"/>
      <c r="O51" s="28" t="inlineStr">
        <is>
          <t>R</t>
        </is>
      </c>
      <c r="P51" s="28" t="n"/>
      <c r="Q51" s="28" t="n"/>
      <c r="R51" s="28" t="n"/>
      <c r="S51" s="28" t="n"/>
      <c r="T51" s="28" t="n"/>
      <c r="U51" s="28" t="n"/>
      <c r="V51" s="28" t="n"/>
      <c r="W51" s="28" t="n"/>
      <c r="X51" s="28" t="n"/>
      <c r="Y51" s="28" t="inlineStr">
        <is>
          <t>S</t>
        </is>
      </c>
    </row>
    <row r="52" ht="22" customHeight="1">
      <c r="A52" s="25" t="inlineStr">
        <is>
          <t>AI</t>
        </is>
      </c>
      <c r="B52" s="25" t="inlineStr">
        <is>
          <t>Priority</t>
        </is>
      </c>
      <c r="C52" s="25" t="inlineStr"/>
      <c r="D52" s="25" t="inlineStr"/>
      <c r="E52" s="25" t="inlineStr">
        <is>
          <t>Responsible AI</t>
        </is>
      </c>
      <c r="F52" s="25" t="n"/>
      <c r="G52" s="25" t="n"/>
      <c r="H52" s="25" t="n"/>
      <c r="I52" s="25" t="n"/>
      <c r="J52" s="25" t="n"/>
      <c r="K52" s="25" t="n"/>
      <c r="L52" s="25" t="n"/>
      <c r="M52" s="25" t="n"/>
      <c r="N52" s="25" t="n"/>
      <c r="O52" s="25" t="n"/>
      <c r="P52" s="25" t="n"/>
      <c r="Q52" s="25" t="n"/>
      <c r="R52" s="25" t="n"/>
      <c r="S52" s="25" t="n"/>
      <c r="T52" s="25" t="n"/>
      <c r="U52" s="25" t="n"/>
      <c r="V52" s="25" t="n"/>
      <c r="W52" s="25" t="n"/>
      <c r="X52" s="25" t="n"/>
      <c r="Y52" s="25" t="n"/>
    </row>
    <row r="53" ht="45" customHeight="1">
      <c r="A53" s="26" t="inlineStr">
        <is>
          <t>AI1</t>
        </is>
      </c>
      <c r="B53" s="26" t="inlineStr">
        <is>
          <t>Target</t>
        </is>
      </c>
      <c r="C53" s="26" t="inlineStr">
        <is>
          <t>Sustainability leadership</t>
        </is>
      </c>
      <c r="D53" s="26" t="inlineStr">
        <is>
          <t>Responsible AI</t>
        </is>
      </c>
      <c r="E53" s="26" t="inlineStr">
        <is>
          <t>Improve understanding of our sustainability-related risks and opportunities of AI technologies by 2028.</t>
        </is>
      </c>
    </row>
    <row r="54" ht="51" customHeight="1">
      <c r="A54" s="27" t="inlineStr">
        <is>
          <t>AI1(a)</t>
        </is>
      </c>
      <c r="B54" s="27" t="inlineStr">
        <is>
          <t>Indicator</t>
        </is>
      </c>
      <c r="C54" s="27" t="inlineStr">
        <is>
          <t>Sustainability leadership</t>
        </is>
      </c>
      <c r="D54" s="27" t="inlineStr">
        <is>
          <t>Responsible AI</t>
        </is>
      </c>
      <c r="E54" s="27" t="inlineStr">
        <is>
          <t>Established measurement of estimated operational impacts and opportunities (eg operational impacts could include energy, water, emissions and intensity measures)</t>
        </is>
      </c>
      <c r="F54" s="27" t="inlineStr">
        <is>
          <t>Mixed</t>
        </is>
      </c>
      <c r="G54" s="27" t="inlineStr"/>
      <c r="I54" s="28" t="n"/>
      <c r="J54" s="28" t="inlineStr">
        <is>
          <t>A and R</t>
        </is>
      </c>
      <c r="K54" s="28" t="n"/>
      <c r="L54" s="28" t="inlineStr">
        <is>
          <t>R</t>
        </is>
      </c>
      <c r="M54" s="28" t="n"/>
      <c r="N54" s="28" t="n"/>
      <c r="O54" s="28" t="n"/>
      <c r="P54" s="28" t="inlineStr">
        <is>
          <t>R</t>
        </is>
      </c>
      <c r="Q54" s="28" t="n"/>
      <c r="R54" s="28" t="n"/>
      <c r="S54" s="28" t="n"/>
      <c r="T54" s="28" t="n"/>
      <c r="U54" s="28" t="n"/>
      <c r="V54" s="28" t="n"/>
      <c r="W54" s="28" t="n"/>
      <c r="X54" s="28" t="n"/>
      <c r="Y54" s="28" t="inlineStr">
        <is>
          <t>S</t>
        </is>
      </c>
    </row>
    <row r="55" ht="42" customHeight="1">
      <c r="A55" s="27" t="inlineStr">
        <is>
          <t>AI1(b)</t>
        </is>
      </c>
      <c r="B55" s="27" t="inlineStr">
        <is>
          <t>Indicator</t>
        </is>
      </c>
      <c r="C55" s="27" t="inlineStr">
        <is>
          <t>Sustainability leadership</t>
        </is>
      </c>
      <c r="D55" s="27" t="inlineStr">
        <is>
          <t>Responsible AI</t>
        </is>
      </c>
      <c r="E55" s="27" t="inlineStr">
        <is>
          <t>Case studies of sustainability and AI-related education, research and collaboration activities.</t>
        </is>
      </c>
      <c r="F55" s="27" t="inlineStr">
        <is>
          <t>Qualitative</t>
        </is>
      </c>
      <c r="G55" s="27" t="inlineStr"/>
      <c r="I55" s="28" t="n"/>
      <c r="J55" s="28" t="inlineStr">
        <is>
          <t>A and R</t>
        </is>
      </c>
      <c r="K55" s="28" t="n"/>
      <c r="L55" s="28" t="inlineStr">
        <is>
          <t>R</t>
        </is>
      </c>
      <c r="M55" s="28" t="n"/>
      <c r="N55" s="28" t="n"/>
      <c r="O55" s="28" t="n"/>
      <c r="P55" s="28" t="inlineStr">
        <is>
          <t>R</t>
        </is>
      </c>
      <c r="Q55" s="28" t="n"/>
      <c r="R55" s="28" t="n"/>
      <c r="S55" s="28" t="n"/>
      <c r="T55" s="28" t="n"/>
      <c r="U55" s="28" t="n"/>
      <c r="V55" s="28" t="n"/>
      <c r="W55" s="28" t="n"/>
      <c r="X55" s="28" t="n"/>
      <c r="Y55" s="28" t="inlineStr">
        <is>
          <t>S</t>
        </is>
      </c>
    </row>
    <row r="56" ht="22" customHeight="1">
      <c r="A56" s="24" t="inlineStr">
        <is>
          <t>D3</t>
        </is>
      </c>
      <c r="B56" s="24" t="inlineStr">
        <is>
          <t>Domain</t>
        </is>
      </c>
      <c r="C56" s="24" t="inlineStr"/>
      <c r="D56" s="24" t="inlineStr"/>
      <c r="E56" s="24" t="inlineStr">
        <is>
          <t>Resilient University</t>
        </is>
      </c>
      <c r="F56" s="24" t="n"/>
      <c r="G56" s="24" t="n"/>
      <c r="H56" s="24" t="n"/>
      <c r="I56" s="24" t="n"/>
      <c r="J56" s="24" t="n"/>
      <c r="K56" s="24" t="n"/>
      <c r="L56" s="24" t="n"/>
      <c r="M56" s="24" t="n"/>
      <c r="N56" s="24" t="n"/>
      <c r="O56" s="24" t="n"/>
      <c r="P56" s="24" t="n"/>
      <c r="Q56" s="24" t="n"/>
      <c r="R56" s="24" t="n"/>
      <c r="S56" s="24" t="n"/>
      <c r="T56" s="24" t="n"/>
      <c r="U56" s="24" t="n"/>
      <c r="V56" s="24" t="n"/>
      <c r="W56" s="24" t="n"/>
      <c r="X56" s="24" t="n"/>
      <c r="Y56" s="24" t="n"/>
    </row>
    <row r="57" ht="22" customHeight="1">
      <c r="A57" s="25" t="inlineStr">
        <is>
          <t>EI</t>
        </is>
      </c>
      <c r="B57" s="25" t="inlineStr">
        <is>
          <t>Priority</t>
        </is>
      </c>
      <c r="C57" s="25" t="inlineStr"/>
      <c r="D57" s="25" t="inlineStr"/>
      <c r="E57" s="25" t="inlineStr">
        <is>
          <t>Estate and infrastructure</t>
        </is>
      </c>
      <c r="F57" s="25" t="n"/>
      <c r="G57" s="25" t="n"/>
      <c r="H57" s="25" t="n"/>
      <c r="I57" s="25" t="n"/>
      <c r="J57" s="25" t="n"/>
      <c r="K57" s="25" t="n"/>
      <c r="L57" s="25" t="n"/>
      <c r="M57" s="25" t="n"/>
      <c r="N57" s="25" t="n"/>
      <c r="O57" s="25" t="n"/>
      <c r="P57" s="25" t="n"/>
      <c r="Q57" s="25" t="n"/>
      <c r="R57" s="25" t="n"/>
      <c r="S57" s="25" t="n"/>
      <c r="T57" s="25" t="n"/>
      <c r="U57" s="25" t="n"/>
      <c r="V57" s="25" t="n"/>
      <c r="W57" s="25" t="n"/>
      <c r="X57" s="25" t="n"/>
      <c r="Y57" s="25" t="n"/>
    </row>
    <row r="58" ht="51" customHeight="1">
      <c r="A58" s="26" t="inlineStr">
        <is>
          <t>EI1</t>
        </is>
      </c>
      <c r="B58" s="26" t="inlineStr">
        <is>
          <t>Target</t>
        </is>
      </c>
      <c r="C58" s="26" t="inlineStr">
        <is>
          <t>Resilient University</t>
        </is>
      </c>
      <c r="D58" s="26" t="inlineStr">
        <is>
          <t>Estate and infrastructure</t>
        </is>
      </c>
      <c r="E58" s="26" t="inlineStr">
        <is>
          <t>Integrate environmental sustainability in the way that the University achieves strategic and operational objectives for our estate and infrastructure.</t>
        </is>
      </c>
    </row>
    <row r="59" ht="51" customHeight="1">
      <c r="A59" s="27" t="inlineStr">
        <is>
          <t>EI1(a)</t>
        </is>
      </c>
      <c r="B59" s="27" t="inlineStr">
        <is>
          <t>Indicator</t>
        </is>
      </c>
      <c r="C59" s="27" t="inlineStr">
        <is>
          <t>Resilient University</t>
        </is>
      </c>
      <c r="D59" s="27" t="inlineStr">
        <is>
          <t>Estate and infrastructure</t>
        </is>
      </c>
      <c r="E59" s="27" t="inlineStr">
        <is>
          <t>Evidence of increased maturity of estate and infrastructure planning, development and operations to support the other priority areas in Sustainability 2030</t>
        </is>
      </c>
      <c r="F59" s="27" t="inlineStr">
        <is>
          <t>Mixed</t>
        </is>
      </c>
      <c r="G59" s="27" t="inlineStr"/>
      <c r="I59" s="28" t="n"/>
      <c r="J59" s="28" t="inlineStr">
        <is>
          <t>A and R</t>
        </is>
      </c>
      <c r="K59" s="28" t="inlineStr">
        <is>
          <t>R</t>
        </is>
      </c>
      <c r="L59" s="28" t="n"/>
      <c r="M59" s="28" t="n"/>
      <c r="N59" s="28" t="n"/>
      <c r="O59" s="28" t="n"/>
      <c r="P59" s="28" t="n"/>
      <c r="Q59" s="28" t="n"/>
      <c r="R59" s="28" t="n"/>
      <c r="S59" s="28" t="n"/>
      <c r="T59" s="28" t="n"/>
      <c r="U59" s="28" t="n"/>
      <c r="V59" s="28" t="n"/>
      <c r="W59" s="28" t="n"/>
      <c r="X59" s="28" t="n"/>
      <c r="Y59" s="28" t="inlineStr">
        <is>
          <t>S</t>
        </is>
      </c>
    </row>
    <row r="60" ht="66" customHeight="1">
      <c r="A60" s="27" t="inlineStr">
        <is>
          <t>EI1(b)</t>
        </is>
      </c>
      <c r="B60" s="27" t="inlineStr">
        <is>
          <t>Indicator</t>
        </is>
      </c>
      <c r="C60" s="27" t="inlineStr">
        <is>
          <t>Resilient University</t>
        </is>
      </c>
      <c r="D60" s="27" t="inlineStr">
        <is>
          <t>Estate and infrastructure</t>
        </is>
      </c>
      <c r="E60" s="27" t="inlineStr">
        <is>
          <t>Estimated sustainability impacts of the University’s estate and infrastructure capital plan to inform progress towards emissions reduction targets and other priority areas (to the extent enabled by available information)</t>
        </is>
      </c>
      <c r="F60" s="27" t="inlineStr">
        <is>
          <t>Mixed</t>
        </is>
      </c>
      <c r="G60" s="27" t="inlineStr"/>
      <c r="I60" s="28" t="n"/>
      <c r="J60" s="28" t="inlineStr">
        <is>
          <t>A and R</t>
        </is>
      </c>
      <c r="K60" s="28" t="inlineStr">
        <is>
          <t>R</t>
        </is>
      </c>
      <c r="L60" s="28" t="n"/>
      <c r="M60" s="28" t="n"/>
      <c r="N60" s="28" t="n"/>
      <c r="O60" s="28" t="n"/>
      <c r="P60" s="28" t="n"/>
      <c r="Q60" s="28" t="n"/>
      <c r="R60" s="28" t="n"/>
      <c r="S60" s="28" t="n"/>
      <c r="T60" s="28" t="n"/>
      <c r="U60" s="28" t="n"/>
      <c r="V60" s="28" t="n"/>
      <c r="W60" s="28" t="n"/>
      <c r="X60" s="28" t="n"/>
      <c r="Y60" s="28" t="inlineStr">
        <is>
          <t>S</t>
        </is>
      </c>
    </row>
    <row r="61" ht="66" customHeight="1">
      <c r="A61" s="27" t="inlineStr">
        <is>
          <t>EI1(c)</t>
        </is>
      </c>
      <c r="B61" s="27" t="inlineStr">
        <is>
          <t>Indicator</t>
        </is>
      </c>
      <c r="C61" s="27" t="inlineStr">
        <is>
          <t>Resilient University</t>
        </is>
      </c>
      <c r="D61" s="27" t="inlineStr">
        <is>
          <t>Estate and infrastructure</t>
        </is>
      </c>
      <c r="E61" s="27" t="inlineStr">
        <is>
          <t>Reporting on relevant activities and impacts for the University’s major estate and infrastructure projects and programs aligned with the other priority areas in Sustainability 2030</t>
        </is>
      </c>
      <c r="F61" s="27" t="inlineStr">
        <is>
          <t>Mixed</t>
        </is>
      </c>
      <c r="G61" s="27" t="inlineStr"/>
      <c r="I61" s="28" t="n"/>
      <c r="J61" s="28" t="inlineStr">
        <is>
          <t>A and R</t>
        </is>
      </c>
      <c r="K61" s="28" t="inlineStr">
        <is>
          <t>R</t>
        </is>
      </c>
      <c r="L61" s="28" t="n"/>
      <c r="M61" s="28" t="n"/>
      <c r="N61" s="28" t="n"/>
      <c r="O61" s="28" t="n"/>
      <c r="P61" s="28" t="n"/>
      <c r="Q61" s="28" t="n"/>
      <c r="R61" s="28" t="n"/>
      <c r="S61" s="28" t="n"/>
      <c r="T61" s="28" t="n"/>
      <c r="U61" s="28" t="n"/>
      <c r="V61" s="28" t="n"/>
      <c r="W61" s="28" t="n"/>
      <c r="X61" s="28" t="n"/>
      <c r="Y61" s="28" t="inlineStr">
        <is>
          <t>S</t>
        </is>
      </c>
    </row>
    <row r="62" ht="51" customHeight="1">
      <c r="A62" s="27" t="inlineStr">
        <is>
          <t>EI1(d)</t>
        </is>
      </c>
      <c r="B62" s="27" t="inlineStr">
        <is>
          <t>Indicator</t>
        </is>
      </c>
      <c r="C62" s="27" t="inlineStr">
        <is>
          <t>Resilient University</t>
        </is>
      </c>
      <c r="D62" s="27" t="inlineStr">
        <is>
          <t>Estate and infrastructure</t>
        </is>
      </c>
      <c r="E62" s="27" t="inlineStr">
        <is>
          <t>Evidence of understanding and integration of Indigenous approaches to sustainability in estate planning and development programs and projects.</t>
        </is>
      </c>
      <c r="F62" s="27" t="inlineStr">
        <is>
          <t>Qualitative</t>
        </is>
      </c>
      <c r="G62" s="27" t="inlineStr"/>
      <c r="I62" s="28" t="n"/>
      <c r="J62" s="28" t="inlineStr">
        <is>
          <t>A and R</t>
        </is>
      </c>
      <c r="K62" s="28" t="inlineStr">
        <is>
          <t>R</t>
        </is>
      </c>
      <c r="L62" s="28" t="n"/>
      <c r="M62" s="28" t="n"/>
      <c r="N62" s="28" t="n"/>
      <c r="O62" s="28" t="n"/>
      <c r="P62" s="28" t="n"/>
      <c r="Q62" s="28" t="n"/>
      <c r="R62" s="28" t="n"/>
      <c r="S62" s="28" t="n"/>
      <c r="T62" s="28" t="n"/>
      <c r="U62" s="28" t="n"/>
      <c r="V62" s="28" t="n"/>
      <c r="W62" s="28" t="n"/>
      <c r="X62" s="28" t="n"/>
      <c r="Y62" s="28" t="inlineStr">
        <is>
          <t>S</t>
        </is>
      </c>
    </row>
    <row r="63" ht="22" customHeight="1">
      <c r="A63" s="25" t="inlineStr">
        <is>
          <t>CE</t>
        </is>
      </c>
      <c r="B63" s="25" t="inlineStr">
        <is>
          <t>Priority</t>
        </is>
      </c>
      <c r="C63" s="25" t="inlineStr"/>
      <c r="D63" s="25" t="inlineStr"/>
      <c r="E63" s="25" t="inlineStr">
        <is>
          <t>Circular economy</t>
        </is>
      </c>
      <c r="F63" s="25" t="n"/>
      <c r="G63" s="25" t="n"/>
      <c r="H63" s="25" t="n"/>
      <c r="I63" s="25" t="n"/>
      <c r="J63" s="25" t="n"/>
      <c r="K63" s="25" t="n"/>
      <c r="L63" s="25" t="n"/>
      <c r="M63" s="25" t="n"/>
      <c r="N63" s="25" t="n"/>
      <c r="O63" s="25" t="n"/>
      <c r="P63" s="25" t="n"/>
      <c r="Q63" s="25" t="n"/>
      <c r="R63" s="25" t="n"/>
      <c r="S63" s="25" t="n"/>
      <c r="T63" s="25" t="n"/>
      <c r="U63" s="25" t="n"/>
      <c r="V63" s="25" t="n"/>
      <c r="W63" s="25" t="n"/>
      <c r="X63" s="25" t="n"/>
      <c r="Y63" s="25" t="n"/>
    </row>
    <row r="64" ht="45" customHeight="1">
      <c r="A64" s="26" t="inlineStr">
        <is>
          <t>CE1</t>
        </is>
      </c>
      <c r="B64" s="26" t="inlineStr">
        <is>
          <t>Target</t>
        </is>
      </c>
      <c r="C64" s="26" t="inlineStr">
        <is>
          <t>Resilient University</t>
        </is>
      </c>
      <c r="D64" s="26" t="inlineStr">
        <is>
          <t>Circular economy</t>
        </is>
      </c>
      <c r="E64" s="26" t="inlineStr">
        <is>
          <t>Reduce waste to landfill by 10% by CY2030 on the CY2025 baseline.</t>
        </is>
      </c>
    </row>
    <row r="65" ht="42" customHeight="1">
      <c r="A65" s="27" t="inlineStr">
        <is>
          <t>CE1(a)</t>
        </is>
      </c>
      <c r="B65" s="27" t="inlineStr">
        <is>
          <t>Indicator</t>
        </is>
      </c>
      <c r="C65" s="27" t="inlineStr">
        <is>
          <t>Resilient University</t>
        </is>
      </c>
      <c r="D65" s="27" t="inlineStr">
        <is>
          <t>Circular economy</t>
        </is>
      </c>
      <c r="E65" s="27" t="inlineStr">
        <is>
          <t>Comparison of year-to-year tonnes of waste (absolute).</t>
        </is>
      </c>
      <c r="F65" s="27" t="inlineStr">
        <is>
          <t>Quantitative</t>
        </is>
      </c>
      <c r="G65" s="27" t="inlineStr"/>
      <c r="I65" s="28" t="n"/>
      <c r="J65" s="28" t="inlineStr">
        <is>
          <t>A and R</t>
        </is>
      </c>
      <c r="K65" s="28" t="n"/>
      <c r="L65" s="28" t="n"/>
      <c r="M65" s="28" t="n"/>
      <c r="N65" s="28" t="n"/>
      <c r="O65" s="28" t="inlineStr">
        <is>
          <t>R (quant)</t>
        </is>
      </c>
      <c r="P65" s="28" t="n"/>
      <c r="Q65" s="28" t="n"/>
      <c r="R65" s="28" t="n"/>
      <c r="S65" s="28" t="n"/>
      <c r="T65" s="28" t="n"/>
      <c r="U65" s="28" t="n"/>
      <c r="V65" s="28" t="n"/>
      <c r="W65" s="28" t="n"/>
      <c r="X65" s="28" t="n"/>
      <c r="Y65" s="28" t="inlineStr">
        <is>
          <t>S</t>
        </is>
      </c>
    </row>
    <row r="66" ht="45" customHeight="1">
      <c r="A66" s="26" t="inlineStr">
        <is>
          <t>CE2</t>
        </is>
      </c>
      <c r="B66" s="26" t="inlineStr">
        <is>
          <t>Target</t>
        </is>
      </c>
      <c r="C66" s="26" t="inlineStr">
        <is>
          <t>Resilient University</t>
        </is>
      </c>
      <c r="D66" s="26" t="inlineStr">
        <is>
          <t>Circular economy</t>
        </is>
      </c>
      <c r="E66" s="26" t="inlineStr">
        <is>
          <t>Increase diversion of recyclable materials from landfill by 10% by CY2030 on the CY2025 baseline.</t>
        </is>
      </c>
    </row>
    <row r="67" ht="42" customHeight="1">
      <c r="A67" s="27" t="inlineStr">
        <is>
          <t>CE2(a)</t>
        </is>
      </c>
      <c r="B67" s="27" t="inlineStr">
        <is>
          <t>Indicator</t>
        </is>
      </c>
      <c r="C67" s="27" t="inlineStr">
        <is>
          <t>Resilient University</t>
        </is>
      </c>
      <c r="D67" s="27" t="inlineStr">
        <is>
          <t>Circular economy</t>
        </is>
      </c>
      <c r="E67" s="27" t="inlineStr">
        <is>
          <t>Comparison of year-to-year tonnes of recyclables (absolute).</t>
        </is>
      </c>
      <c r="F67" s="27" t="inlineStr">
        <is>
          <t>Quantitative</t>
        </is>
      </c>
      <c r="G67" s="27" t="inlineStr"/>
      <c r="I67" s="28" t="n"/>
      <c r="J67" s="28" t="inlineStr">
        <is>
          <t>A and R</t>
        </is>
      </c>
      <c r="K67" s="28" t="n"/>
      <c r="L67" s="28" t="n"/>
      <c r="M67" s="28" t="n"/>
      <c r="N67" s="28" t="n"/>
      <c r="O67" s="28" t="inlineStr">
        <is>
          <t>R (quant)</t>
        </is>
      </c>
      <c r="P67" s="28" t="n"/>
      <c r="Q67" s="28" t="n"/>
      <c r="R67" s="28" t="n"/>
      <c r="S67" s="28" t="n"/>
      <c r="T67" s="28" t="n"/>
      <c r="U67" s="28" t="n"/>
      <c r="V67" s="28" t="n"/>
      <c r="W67" s="28" t="n"/>
      <c r="X67" s="28" t="n"/>
      <c r="Y67" s="28" t="inlineStr">
        <is>
          <t>S</t>
        </is>
      </c>
    </row>
    <row r="68" ht="22" customHeight="1">
      <c r="A68" s="25" t="inlineStr">
        <is>
          <t>RP</t>
        </is>
      </c>
      <c r="B68" s="25" t="inlineStr">
        <is>
          <t>Priority</t>
        </is>
      </c>
      <c r="C68" s="25" t="inlineStr"/>
      <c r="D68" s="25" t="inlineStr"/>
      <c r="E68" s="25" t="inlineStr">
        <is>
          <t>Responsible procurement</t>
        </is>
      </c>
      <c r="F68" s="25" t="n"/>
      <c r="G68" s="25" t="n"/>
      <c r="H68" s="25" t="n"/>
      <c r="I68" s="25" t="n"/>
      <c r="J68" s="25" t="n"/>
      <c r="K68" s="25" t="n"/>
      <c r="L68" s="25" t="n"/>
      <c r="M68" s="25" t="n"/>
      <c r="N68" s="25" t="n"/>
      <c r="O68" s="25" t="n"/>
      <c r="P68" s="25" t="n"/>
      <c r="Q68" s="25" t="n"/>
      <c r="R68" s="25" t="n"/>
      <c r="S68" s="25" t="n"/>
      <c r="T68" s="25" t="n"/>
      <c r="U68" s="25" t="n"/>
      <c r="V68" s="25" t="n"/>
      <c r="W68" s="25" t="n"/>
      <c r="X68" s="25" t="n"/>
      <c r="Y68" s="25" t="n"/>
    </row>
    <row r="69" ht="45" customHeight="1">
      <c r="A69" s="26" t="inlineStr">
        <is>
          <t>RP1</t>
        </is>
      </c>
      <c r="B69" s="26" t="inlineStr">
        <is>
          <t>Target</t>
        </is>
      </c>
      <c r="C69" s="26" t="inlineStr">
        <is>
          <t>Resilient University</t>
        </is>
      </c>
      <c r="D69" s="26" t="inlineStr">
        <is>
          <t>Responsible procurement</t>
        </is>
      </c>
      <c r="E69" s="26" t="inlineStr">
        <is>
          <t>Strengthen our ethical and sustainable procurement approach.</t>
        </is>
      </c>
    </row>
    <row r="70" ht="42" customHeight="1">
      <c r="A70" s="27" t="inlineStr">
        <is>
          <t>RP1(a)</t>
        </is>
      </c>
      <c r="B70" s="27" t="inlineStr">
        <is>
          <t>Indicator</t>
        </is>
      </c>
      <c r="C70" s="27" t="inlineStr">
        <is>
          <t>Resilient University</t>
        </is>
      </c>
      <c r="D70" s="27" t="inlineStr">
        <is>
          <t>Responsible procurement</t>
        </is>
      </c>
      <c r="E70" s="27" t="inlineStr">
        <is>
          <t>Case studies of maturity improvement related to responsible procurement process and systems.</t>
        </is>
      </c>
      <c r="F70" s="27" t="inlineStr">
        <is>
          <t>Mixed</t>
        </is>
      </c>
      <c r="G70" s="27" t="inlineStr"/>
      <c r="I70" s="28" t="n"/>
      <c r="J70" s="28" t="inlineStr">
        <is>
          <t>A and R</t>
        </is>
      </c>
      <c r="K70" s="28" t="n"/>
      <c r="L70" s="28" t="n"/>
      <c r="M70" s="28" t="inlineStr">
        <is>
          <t>R</t>
        </is>
      </c>
      <c r="N70" s="28" t="n"/>
      <c r="O70" s="28" t="n"/>
      <c r="P70" s="28" t="n"/>
      <c r="Q70" s="28" t="n"/>
      <c r="R70" s="28" t="n"/>
      <c r="S70" s="28" t="n"/>
      <c r="T70" s="28" t="n"/>
      <c r="U70" s="28" t="n"/>
      <c r="V70" s="28" t="n"/>
      <c r="W70" s="28" t="n"/>
      <c r="X70" s="28" t="n"/>
      <c r="Y70" s="28" t="inlineStr">
        <is>
          <t>S</t>
        </is>
      </c>
    </row>
    <row r="71" ht="51" customHeight="1">
      <c r="A71" s="26" t="inlineStr">
        <is>
          <t>RP2</t>
        </is>
      </c>
      <c r="B71" s="26" t="inlineStr">
        <is>
          <t>Target</t>
        </is>
      </c>
      <c r="C71" s="26" t="inlineStr">
        <is>
          <t>Resilient University</t>
        </is>
      </c>
      <c r="D71" s="26" t="inlineStr">
        <is>
          <t>Responsible procurement</t>
        </is>
      </c>
      <c r="E71" s="26" t="inlineStr">
        <is>
          <t>Increase our Indigenous and social spend, reaching 3% Indigenous and 1% social spend of addressable procurement by 2030.</t>
        </is>
      </c>
    </row>
    <row r="72" ht="42" customHeight="1">
      <c r="A72" s="27" t="inlineStr">
        <is>
          <t>RP2(a)</t>
        </is>
      </c>
      <c r="B72" s="27" t="inlineStr">
        <is>
          <t>Indicator</t>
        </is>
      </c>
      <c r="C72" s="27" t="inlineStr">
        <is>
          <t>Resilient University</t>
        </is>
      </c>
      <c r="D72" s="27" t="inlineStr">
        <is>
          <t>Responsible procurement</t>
        </is>
      </c>
      <c r="E72" s="27" t="inlineStr">
        <is>
          <t>Percentage of Indigenous spend of total addressable procurement spend</t>
        </is>
      </c>
      <c r="F72" s="27" t="inlineStr">
        <is>
          <t>Quantitative</t>
        </is>
      </c>
      <c r="G72" s="27" t="inlineStr"/>
      <c r="I72" s="28" t="n"/>
      <c r="J72" s="28" t="inlineStr">
        <is>
          <t>A and R</t>
        </is>
      </c>
      <c r="K72" s="28" t="n"/>
      <c r="L72" s="28" t="n"/>
      <c r="M72" s="28" t="inlineStr">
        <is>
          <t>R (quant)</t>
        </is>
      </c>
      <c r="N72" s="28" t="n"/>
      <c r="O72" s="28" t="n"/>
      <c r="P72" s="28" t="n"/>
      <c r="Q72" s="28" t="n"/>
      <c r="R72" s="28" t="n"/>
      <c r="S72" s="28" t="n"/>
      <c r="T72" s="28" t="n"/>
      <c r="U72" s="28" t="n"/>
      <c r="V72" s="28" t="n"/>
      <c r="W72" s="28" t="n"/>
      <c r="X72" s="28" t="n"/>
      <c r="Y72" s="28" t="inlineStr">
        <is>
          <t>S</t>
        </is>
      </c>
    </row>
    <row r="73" ht="42" customHeight="1">
      <c r="A73" s="27" t="inlineStr">
        <is>
          <t>RP2(b)</t>
        </is>
      </c>
      <c r="B73" s="27" t="inlineStr">
        <is>
          <t>Indicator</t>
        </is>
      </c>
      <c r="C73" s="27" t="inlineStr">
        <is>
          <t>Resilient University</t>
        </is>
      </c>
      <c r="D73" s="27" t="inlineStr">
        <is>
          <t>Responsible procurement</t>
        </is>
      </c>
      <c r="E73" s="27" t="inlineStr">
        <is>
          <t>Percentage of social spend of total addressable procurement spend.</t>
        </is>
      </c>
      <c r="F73" s="27" t="inlineStr">
        <is>
          <t>Quantitative</t>
        </is>
      </c>
      <c r="G73" s="27" t="inlineStr"/>
      <c r="I73" s="28" t="n"/>
      <c r="J73" s="28" t="inlineStr">
        <is>
          <t>A and R</t>
        </is>
      </c>
      <c r="K73" s="28" t="n"/>
      <c r="L73" s="28" t="n"/>
      <c r="M73" s="28" t="inlineStr">
        <is>
          <t>R (quant)</t>
        </is>
      </c>
      <c r="N73" s="28" t="n"/>
      <c r="O73" s="28" t="n"/>
      <c r="P73" s="28" t="n"/>
      <c r="Q73" s="28" t="n"/>
      <c r="R73" s="28" t="n"/>
      <c r="S73" s="28" t="n"/>
      <c r="T73" s="28" t="n"/>
      <c r="U73" s="28" t="n"/>
      <c r="V73" s="28" t="n"/>
      <c r="W73" s="28" t="n"/>
      <c r="X73" s="28" t="n"/>
      <c r="Y73" s="28" t="inlineStr">
        <is>
          <t>S</t>
        </is>
      </c>
    </row>
    <row r="74" ht="22" customHeight="1">
      <c r="A74" s="25" t="inlineStr">
        <is>
          <t>MS</t>
        </is>
      </c>
      <c r="B74" s="25" t="inlineStr">
        <is>
          <t>Priority</t>
        </is>
      </c>
      <c r="C74" s="25" t="inlineStr"/>
      <c r="D74" s="25" t="inlineStr"/>
      <c r="E74" s="25" t="inlineStr">
        <is>
          <t>Modern slavery and human rights</t>
        </is>
      </c>
      <c r="F74" s="25" t="n"/>
      <c r="G74" s="25" t="n"/>
      <c r="H74" s="25" t="n"/>
      <c r="I74" s="25" t="n"/>
      <c r="J74" s="25" t="n"/>
      <c r="K74" s="25" t="n"/>
      <c r="L74" s="25" t="n"/>
      <c r="M74" s="25" t="n"/>
      <c r="N74" s="25" t="n"/>
      <c r="O74" s="25" t="n"/>
      <c r="P74" s="25" t="n"/>
      <c r="Q74" s="25" t="n"/>
      <c r="R74" s="25" t="n"/>
      <c r="S74" s="25" t="n"/>
      <c r="T74" s="25" t="n"/>
      <c r="U74" s="25" t="n"/>
      <c r="V74" s="25" t="n"/>
      <c r="W74" s="25" t="n"/>
      <c r="X74" s="25" t="n"/>
      <c r="Y74" s="25" t="n"/>
    </row>
    <row r="75" ht="45" customHeight="1">
      <c r="A75" s="26" t="inlineStr">
        <is>
          <t>MS1</t>
        </is>
      </c>
      <c r="B75" s="26" t="inlineStr">
        <is>
          <t>Target</t>
        </is>
      </c>
      <c r="C75" s="26" t="inlineStr">
        <is>
          <t>Resilient University</t>
        </is>
      </c>
      <c r="D75" s="26" t="inlineStr">
        <is>
          <t>Modern slavery and human rights</t>
        </is>
      </c>
      <c r="E75" s="26" t="inlineStr">
        <is>
          <t>Manage our approach to modern slavery and human rights-related risks and opportunities.</t>
        </is>
      </c>
    </row>
    <row r="76" ht="42" customHeight="1">
      <c r="A76" s="27" t="inlineStr">
        <is>
          <t>MS1(a)</t>
        </is>
      </c>
      <c r="B76" s="27" t="inlineStr">
        <is>
          <t>Indicator</t>
        </is>
      </c>
      <c r="C76" s="27" t="inlineStr">
        <is>
          <t>Resilient University</t>
        </is>
      </c>
      <c r="D76" s="27" t="inlineStr">
        <is>
          <t>Modern slavery and human rights</t>
        </is>
      </c>
      <c r="E76" s="27" t="inlineStr">
        <is>
          <t>Annual progress reporting via the Modern Slavery Statement</t>
        </is>
      </c>
      <c r="F76" s="27" t="inlineStr">
        <is>
          <t>Qualitative</t>
        </is>
      </c>
      <c r="G76" s="27" t="inlineStr"/>
      <c r="I76" s="28" t="n"/>
      <c r="J76" s="28" t="inlineStr">
        <is>
          <t>A and R</t>
        </is>
      </c>
      <c r="K76" s="28" t="n"/>
      <c r="L76" s="28" t="inlineStr">
        <is>
          <t>R</t>
        </is>
      </c>
      <c r="M76" s="28" t="inlineStr">
        <is>
          <t>R</t>
        </is>
      </c>
      <c r="N76" s="28" t="n"/>
      <c r="O76" s="28" t="n"/>
      <c r="P76" s="28" t="n"/>
      <c r="Q76" s="28" t="n"/>
      <c r="R76" s="28" t="n"/>
      <c r="S76" s="28" t="n"/>
      <c r="T76" s="28" t="n"/>
      <c r="U76" s="28" t="n"/>
      <c r="V76" s="28" t="n"/>
      <c r="W76" s="28" t="n"/>
      <c r="X76" s="28" t="n"/>
      <c r="Y76" s="28" t="inlineStr">
        <is>
          <t>S</t>
        </is>
      </c>
    </row>
    <row r="77" ht="22" customHeight="1">
      <c r="A77" s="25" t="inlineStr">
        <is>
          <t>RI</t>
        </is>
      </c>
      <c r="B77" s="25" t="inlineStr">
        <is>
          <t>Priority</t>
        </is>
      </c>
      <c r="C77" s="25" t="inlineStr"/>
      <c r="D77" s="25" t="inlineStr"/>
      <c r="E77" s="25" t="inlineStr">
        <is>
          <t>Responsible investments</t>
        </is>
      </c>
      <c r="F77" s="25" t="n"/>
      <c r="G77" s="25" t="n"/>
      <c r="H77" s="25" t="n"/>
      <c r="I77" s="25" t="n"/>
      <c r="J77" s="25" t="n"/>
      <c r="K77" s="25" t="n"/>
      <c r="L77" s="25" t="n"/>
      <c r="M77" s="25" t="n"/>
      <c r="N77" s="25" t="n"/>
      <c r="O77" s="25" t="n"/>
      <c r="P77" s="25" t="n"/>
      <c r="Q77" s="25" t="n"/>
      <c r="R77" s="25" t="n"/>
      <c r="S77" s="25" t="n"/>
      <c r="T77" s="25" t="n"/>
      <c r="U77" s="25" t="n"/>
      <c r="V77" s="25" t="n"/>
      <c r="W77" s="25" t="n"/>
      <c r="X77" s="25" t="n"/>
      <c r="Y77" s="25" t="n"/>
    </row>
    <row r="78" ht="45" customHeight="1">
      <c r="A78" s="26" t="inlineStr">
        <is>
          <t>RI1</t>
        </is>
      </c>
      <c r="B78" s="26" t="inlineStr">
        <is>
          <t>Target</t>
        </is>
      </c>
      <c r="C78" s="26" t="inlineStr">
        <is>
          <t>Resilient University</t>
        </is>
      </c>
      <c r="D78" s="26" t="inlineStr">
        <is>
          <t>Responsible investments</t>
        </is>
      </c>
      <c r="E78" s="26" t="inlineStr">
        <is>
          <t>Achieve net zero financed emissions for the University’s investment portfolio by 2050.</t>
        </is>
      </c>
    </row>
    <row r="79" ht="81" customHeight="1">
      <c r="A79" s="27" t="inlineStr">
        <is>
          <t>RI1(a)</t>
        </is>
      </c>
      <c r="B79" s="27" t="inlineStr">
        <is>
          <t>Indicator</t>
        </is>
      </c>
      <c r="C79" s="27" t="inlineStr">
        <is>
          <t>Resilient University</t>
        </is>
      </c>
      <c r="D79" s="27" t="inlineStr">
        <is>
          <t>Responsible investments</t>
        </is>
      </c>
      <c r="E79" s="27" t="inlineStr">
        <is>
          <t>Annual monitoring and reporting on the investment portfolio’s net zero transition progress, including tracking the percentage of assets under management (AUM) managed by investment managers aligned with (or committed to) net zero by 2050</t>
        </is>
      </c>
      <c r="F79" s="27" t="inlineStr">
        <is>
          <t>Quantitative</t>
        </is>
      </c>
      <c r="G79" s="27" t="inlineStr"/>
      <c r="I79" s="28" t="n"/>
      <c r="J79" s="28" t="inlineStr">
        <is>
          <t>A and R</t>
        </is>
      </c>
      <c r="K79" s="28" t="n"/>
      <c r="L79" s="28" t="n"/>
      <c r="M79" s="28" t="n"/>
      <c r="N79" s="28" t="inlineStr">
        <is>
          <t>R (quant)</t>
        </is>
      </c>
      <c r="O79" s="28" t="n"/>
      <c r="P79" s="28" t="n"/>
      <c r="Q79" s="28" t="n"/>
      <c r="R79" s="28" t="n"/>
      <c r="S79" s="28" t="n"/>
      <c r="T79" s="28" t="n"/>
      <c r="U79" s="28" t="n"/>
      <c r="V79" s="28" t="n"/>
      <c r="W79" s="28" t="n"/>
      <c r="X79" s="28" t="n"/>
      <c r="Y79" s="28" t="inlineStr">
        <is>
          <t>S</t>
        </is>
      </c>
    </row>
    <row r="80" ht="81" customHeight="1">
      <c r="A80" s="27" t="inlineStr">
        <is>
          <t>RI1(b)</t>
        </is>
      </c>
      <c r="B80" s="27" t="inlineStr">
        <is>
          <t>Indicator</t>
        </is>
      </c>
      <c r="C80" s="27" t="inlineStr">
        <is>
          <t>Resilient University</t>
        </is>
      </c>
      <c r="D80" s="27" t="inlineStr">
        <is>
          <t>Responsible investments</t>
        </is>
      </c>
      <c r="E80" s="27" t="inlineStr">
        <is>
          <t>Continuous improvement of the reporting of the University’s sustainability-related investment profile metrics, could include investment in climate mitigation and transition solutions, and compliance with related obligations (eg UNPRI).</t>
        </is>
      </c>
      <c r="F80" s="27" t="inlineStr">
        <is>
          <t>Mixed</t>
        </is>
      </c>
      <c r="G80" s="27" t="inlineStr"/>
      <c r="I80" s="28" t="n"/>
      <c r="J80" s="28" t="inlineStr">
        <is>
          <t>A and R</t>
        </is>
      </c>
      <c r="K80" s="28" t="n"/>
      <c r="L80" s="28" t="inlineStr">
        <is>
          <t>R</t>
        </is>
      </c>
      <c r="M80" s="28" t="n"/>
      <c r="N80" s="28" t="inlineStr">
        <is>
          <t>R</t>
        </is>
      </c>
      <c r="O80" s="28" t="n"/>
      <c r="P80" s="28" t="n"/>
      <c r="Q80" s="28" t="n"/>
      <c r="R80" s="28" t="n"/>
      <c r="S80" s="28" t="n"/>
      <c r="T80" s="28" t="n"/>
      <c r="U80" s="28" t="n"/>
      <c r="V80" s="28" t="n"/>
      <c r="W80" s="28" t="n"/>
      <c r="X80" s="28" t="n"/>
      <c r="Y80" s="28" t="inlineStr">
        <is>
          <t>S</t>
        </is>
      </c>
    </row>
    <row r="81" ht="22" customHeight="1">
      <c r="A81" s="24" t="inlineStr">
        <is>
          <t>D4</t>
        </is>
      </c>
      <c r="B81" s="24" t="inlineStr">
        <is>
          <t>Domain</t>
        </is>
      </c>
      <c r="C81" s="24" t="inlineStr"/>
      <c r="D81" s="24" t="inlineStr"/>
      <c r="E81" s="24" t="inlineStr">
        <is>
          <t>Enablers</t>
        </is>
      </c>
      <c r="F81" s="24" t="n"/>
      <c r="G81" s="24" t="n"/>
      <c r="H81" s="24" t="n"/>
      <c r="I81" s="24" t="n"/>
      <c r="J81" s="24" t="n"/>
      <c r="K81" s="24" t="n"/>
      <c r="L81" s="24" t="n"/>
      <c r="M81" s="24" t="n"/>
      <c r="N81" s="24" t="n"/>
      <c r="O81" s="24" t="n"/>
      <c r="P81" s="24" t="n"/>
      <c r="Q81" s="24" t="n"/>
      <c r="R81" s="24" t="n"/>
      <c r="S81" s="24" t="n"/>
      <c r="T81" s="24" t="n"/>
      <c r="U81" s="24" t="n"/>
      <c r="V81" s="24" t="n"/>
      <c r="W81" s="24" t="n"/>
      <c r="X81" s="24" t="n"/>
      <c r="Y81" s="24" t="n"/>
    </row>
    <row r="82" ht="22" customHeight="1">
      <c r="A82" s="25" t="inlineStr">
        <is>
          <t>EN</t>
        </is>
      </c>
      <c r="B82" s="25" t="inlineStr">
        <is>
          <t>Priority</t>
        </is>
      </c>
      <c r="C82" s="25" t="inlineStr"/>
      <c r="D82" s="25" t="inlineStr"/>
      <c r="E82" s="25" t="inlineStr">
        <is>
          <t>Enablers</t>
        </is>
      </c>
      <c r="F82" s="25" t="n"/>
      <c r="G82" s="25" t="n"/>
      <c r="H82" s="25" t="n"/>
      <c r="I82" s="25" t="n"/>
      <c r="J82" s="25" t="n"/>
      <c r="K82" s="25" t="n"/>
      <c r="L82" s="25" t="n"/>
      <c r="M82" s="25" t="n"/>
      <c r="N82" s="25" t="n"/>
      <c r="O82" s="25" t="n"/>
      <c r="P82" s="25" t="n"/>
      <c r="Q82" s="25" t="n"/>
      <c r="R82" s="25" t="n"/>
      <c r="S82" s="25" t="n"/>
      <c r="T82" s="25" t="n"/>
      <c r="U82" s="25" t="n"/>
      <c r="V82" s="25" t="n"/>
      <c r="W82" s="25" t="n"/>
      <c r="X82" s="25" t="n"/>
      <c r="Y82" s="25" t="n"/>
    </row>
    <row r="83" ht="45" customHeight="1">
      <c r="A83" s="26" t="inlineStr">
        <is>
          <t>EN1</t>
        </is>
      </c>
      <c r="B83" s="26" t="inlineStr">
        <is>
          <t>Target</t>
        </is>
      </c>
      <c r="C83" s="26" t="inlineStr">
        <is>
          <t>Enablers</t>
        </is>
      </c>
      <c r="D83" s="26" t="inlineStr">
        <is>
          <t>Enablers</t>
        </is>
      </c>
      <c r="E83" s="26" t="inlineStr">
        <is>
          <t>Enablers</t>
        </is>
      </c>
    </row>
    <row r="84" ht="42" customHeight="1">
      <c r="A84" s="27" t="inlineStr">
        <is>
          <t>EN1(a)</t>
        </is>
      </c>
      <c r="B84" s="27" t="inlineStr">
        <is>
          <t>Indicator</t>
        </is>
      </c>
      <c r="C84" s="27" t="inlineStr">
        <is>
          <t>Enablers</t>
        </is>
      </c>
      <c r="D84" s="27" t="inlineStr">
        <is>
          <t>Enablers</t>
        </is>
      </c>
      <c r="E84" s="27" t="inlineStr">
        <is>
          <t>Evidence of sustainability outcomes informed by Indigenous knowledges</t>
        </is>
      </c>
      <c r="F84" s="27" t="inlineStr">
        <is>
          <t>Qualitative</t>
        </is>
      </c>
      <c r="G84" s="27" t="inlineStr">
        <is>
          <t>6a</t>
        </is>
      </c>
      <c r="I84" s="28" t="inlineStr">
        <is>
          <t>R</t>
        </is>
      </c>
      <c r="J84" s="28" t="n"/>
      <c r="K84" s="28" t="n"/>
      <c r="L84" s="28" t="n"/>
      <c r="M84" s="28" t="n"/>
      <c r="N84" s="28" t="n"/>
      <c r="O84" s="28" t="n"/>
      <c r="P84" s="28" t="n"/>
      <c r="Q84" s="28" t="n"/>
      <c r="R84" s="28" t="inlineStr">
        <is>
          <t>A and R</t>
        </is>
      </c>
      <c r="S84" s="28" t="n"/>
      <c r="T84" s="28" t="n"/>
      <c r="U84" s="28" t="inlineStr">
        <is>
          <t>R</t>
        </is>
      </c>
      <c r="V84" s="28" t="n"/>
      <c r="W84" s="28" t="n"/>
      <c r="X84" s="28" t="inlineStr">
        <is>
          <t>R</t>
        </is>
      </c>
      <c r="Y84" s="28" t="inlineStr">
        <is>
          <t>S</t>
        </is>
      </c>
    </row>
    <row r="85" ht="42" customHeight="1">
      <c r="A85" s="27" t="inlineStr">
        <is>
          <t>EN1(b)</t>
        </is>
      </c>
      <c r="B85" s="27" t="inlineStr">
        <is>
          <t>Indicator</t>
        </is>
      </c>
      <c r="C85" s="27" t="inlineStr">
        <is>
          <t>Enablers</t>
        </is>
      </c>
      <c r="D85" s="27" t="inlineStr">
        <is>
          <t>Enablers</t>
        </is>
      </c>
      <c r="E85" s="27" t="inlineStr">
        <is>
          <t>Living laboratories enabling applied learning, research and operational sustainability outcomes</t>
        </is>
      </c>
      <c r="F85" s="27" t="inlineStr">
        <is>
          <t>Mixed</t>
        </is>
      </c>
      <c r="G85" s="27" t="inlineStr">
        <is>
          <t>2a</t>
        </is>
      </c>
      <c r="I85" s="28" t="inlineStr">
        <is>
          <t>R</t>
        </is>
      </c>
      <c r="J85" s="28" t="inlineStr">
        <is>
          <t>A and R</t>
        </is>
      </c>
      <c r="K85" s="28" t="inlineStr">
        <is>
          <t>R (quant)</t>
        </is>
      </c>
      <c r="L85" s="28" t="inlineStr">
        <is>
          <t>R</t>
        </is>
      </c>
      <c r="M85" s="28" t="n"/>
      <c r="N85" s="28" t="n"/>
      <c r="O85" s="28" t="n"/>
      <c r="P85" s="28" t="n"/>
      <c r="Q85" s="28" t="n"/>
      <c r="R85" s="28" t="n"/>
      <c r="S85" s="28" t="n"/>
      <c r="T85" s="28" t="n"/>
      <c r="U85" s="28" t="n"/>
      <c r="V85" s="28" t="n"/>
      <c r="W85" s="28" t="n"/>
      <c r="X85" s="28" t="n"/>
      <c r="Y85" s="28" t="inlineStr">
        <is>
          <t>S</t>
        </is>
      </c>
    </row>
    <row r="86" ht="51" customHeight="1">
      <c r="A86" s="27" t="inlineStr">
        <is>
          <t>EN1(c)</t>
        </is>
      </c>
      <c r="B86" s="27" t="inlineStr">
        <is>
          <t>Indicator</t>
        </is>
      </c>
      <c r="C86" s="27" t="inlineStr">
        <is>
          <t>Enablers</t>
        </is>
      </c>
      <c r="D86" s="27" t="inlineStr">
        <is>
          <t>Enablers</t>
        </is>
      </c>
      <c r="E86" s="27" t="inlineStr">
        <is>
          <t>Coordinated internal engagement and external partnerships contributing to delivery of sustainability outcomes across priority areas.</t>
        </is>
      </c>
      <c r="F86" s="27" t="inlineStr">
        <is>
          <t>Qualitative</t>
        </is>
      </c>
      <c r="G86" s="27" t="inlineStr">
        <is>
          <t>3a(ii)</t>
        </is>
      </c>
      <c r="I86" s="28" t="inlineStr">
        <is>
          <t>R</t>
        </is>
      </c>
      <c r="J86" s="28" t="inlineStr">
        <is>
          <t>A and R</t>
        </is>
      </c>
      <c r="K86" s="28" t="n"/>
      <c r="L86" s="28" t="inlineStr">
        <is>
          <t>R</t>
        </is>
      </c>
      <c r="M86" s="28" t="inlineStr">
        <is>
          <t>R</t>
        </is>
      </c>
      <c r="N86" s="28" t="n"/>
      <c r="O86" s="28" t="inlineStr">
        <is>
          <t>R</t>
        </is>
      </c>
      <c r="P86" s="28" t="inlineStr">
        <is>
          <t>R</t>
        </is>
      </c>
      <c r="Q86" s="28" t="n"/>
      <c r="R86" s="28" t="inlineStr">
        <is>
          <t>A and R</t>
        </is>
      </c>
      <c r="S86" s="28" t="n"/>
      <c r="T86" s="28" t="inlineStr">
        <is>
          <t>R</t>
        </is>
      </c>
      <c r="U86" s="28" t="inlineStr">
        <is>
          <t>R</t>
        </is>
      </c>
      <c r="V86" s="28" t="inlineStr">
        <is>
          <t>R</t>
        </is>
      </c>
      <c r="W86" s="28" t="n"/>
      <c r="X86" s="28" t="n"/>
      <c r="Y86" s="28" t="inlineStr">
        <is>
          <t>S</t>
        </is>
      </c>
    </row>
    <row r="87" ht="51" customHeight="1">
      <c r="A87" s="27" t="inlineStr">
        <is>
          <t>EN1(d)</t>
        </is>
      </c>
      <c r="B87" s="27" t="inlineStr">
        <is>
          <t>Indicator</t>
        </is>
      </c>
      <c r="C87" s="27" t="inlineStr">
        <is>
          <t>Enablers</t>
        </is>
      </c>
      <c r="D87" s="27" t="inlineStr">
        <is>
          <t>Enablers</t>
        </is>
      </c>
      <c r="E87" s="27" t="inlineStr">
        <is>
          <t>Sustainability objectives integrated into governance and decision‑making processes, supported by transparent reporting.</t>
        </is>
      </c>
      <c r="F87" s="27" t="inlineStr">
        <is>
          <t>Qualitative</t>
        </is>
      </c>
      <c r="G87" s="27" t="inlineStr"/>
      <c r="I87" s="28" t="n"/>
      <c r="J87" s="28" t="inlineStr">
        <is>
          <t>A and R</t>
        </is>
      </c>
      <c r="K87" s="28" t="n"/>
      <c r="L87" s="28" t="inlineStr">
        <is>
          <t>R</t>
        </is>
      </c>
      <c r="M87" s="28" t="inlineStr">
        <is>
          <t>R</t>
        </is>
      </c>
      <c r="N87" s="28" t="n"/>
      <c r="O87" s="28" t="inlineStr">
        <is>
          <t>R</t>
        </is>
      </c>
      <c r="P87" s="28" t="inlineStr">
        <is>
          <t>R</t>
        </is>
      </c>
      <c r="Q87" s="28" t="n"/>
      <c r="R87" s="28" t="n"/>
      <c r="S87" s="28" t="n"/>
      <c r="T87" s="28" t="n"/>
      <c r="U87" s="28" t="n"/>
      <c r="V87" s="28" t="n"/>
      <c r="W87" s="28" t="n"/>
      <c r="X87" s="28" t="n"/>
      <c r="Y87" s="28" t="inlineStr">
        <is>
          <t>S</t>
        </is>
      </c>
    </row>
    <row r="88"/>
    <row r="89" ht="27" customHeight="1">
      <c r="E89" s="29" t="inlineStr">
        <is>
          <t>Summary</t>
        </is>
      </c>
    </row>
    <row r="90" ht="45" customHeight="1">
      <c r="E90" s="30" t="inlineStr">
        <is>
          <t>Area &gt;&gt;</t>
        </is>
      </c>
      <c r="I90" s="31">
        <f>I6</f>
        <v/>
      </c>
      <c r="J90" s="31">
        <f>J6</f>
        <v/>
      </c>
      <c r="K90" s="31">
        <f>K6</f>
        <v/>
      </c>
      <c r="L90" s="31">
        <f>L6</f>
        <v/>
      </c>
      <c r="M90" s="31">
        <f>M6</f>
        <v/>
      </c>
      <c r="N90" s="31">
        <f>N6</f>
        <v/>
      </c>
      <c r="O90" s="31">
        <f>O6</f>
        <v/>
      </c>
      <c r="P90" s="31">
        <f>P6</f>
        <v/>
      </c>
      <c r="Q90" s="31">
        <f>Q6</f>
        <v/>
      </c>
      <c r="R90" s="31">
        <f>R6</f>
        <v/>
      </c>
      <c r="S90" s="31">
        <f>S6</f>
        <v/>
      </c>
      <c r="T90" s="31">
        <f>T6</f>
        <v/>
      </c>
      <c r="U90" s="31">
        <f>U6</f>
        <v/>
      </c>
      <c r="V90" s="31">
        <f>V6</f>
        <v/>
      </c>
      <c r="W90" s="31">
        <f>W6</f>
        <v/>
      </c>
      <c r="X90" s="31">
        <f>X6</f>
        <v/>
      </c>
      <c r="Y90" s="31">
        <f>Y6</f>
        <v/>
      </c>
    </row>
    <row r="91" ht="22" customHeight="1">
      <c r="E91" t="inlineStr">
        <is>
          <t>Accountable</t>
        </is>
      </c>
      <c r="F91" s="32" t="inlineStr">
        <is>
          <t>A</t>
        </is>
      </c>
      <c r="I91" s="33">
        <f>COUNTIF(I10:I87,$F91)</f>
        <v/>
      </c>
      <c r="J91" s="33">
        <f>COUNTIF(J10:J87,$F91)</f>
        <v/>
      </c>
      <c r="K91" s="33">
        <f>COUNTIF(K10:K87,$F91)</f>
        <v/>
      </c>
      <c r="L91" s="33">
        <f>COUNTIF(L10:L87,$F91)</f>
        <v/>
      </c>
      <c r="M91" s="33">
        <f>COUNTIF(M10:M87,$F91)</f>
        <v/>
      </c>
      <c r="N91" s="33">
        <f>COUNTIF(N10:N87,$F91)</f>
        <v/>
      </c>
      <c r="O91" s="33">
        <f>COUNTIF(O10:O87,$F91)</f>
        <v/>
      </c>
      <c r="P91" s="33">
        <f>COUNTIF(P10:P87,$F91)</f>
        <v/>
      </c>
      <c r="Q91" s="33">
        <f>COUNTIF(Q10:Q87,$F91)</f>
        <v/>
      </c>
      <c r="R91" s="33">
        <f>COUNTIF(R10:R87,$F91)</f>
        <v/>
      </c>
      <c r="S91" s="33">
        <f>COUNTIF(S10:S87,$F91)</f>
        <v/>
      </c>
      <c r="T91" s="33">
        <f>COUNTIF(T10:T87,$F91)</f>
        <v/>
      </c>
      <c r="U91" s="33">
        <f>COUNTIF(U10:U87,$F91)</f>
        <v/>
      </c>
      <c r="V91" s="33">
        <f>COUNTIF(V10:V87,$F91)</f>
        <v/>
      </c>
      <c r="W91" s="33">
        <f>COUNTIF(W10:W87,$F91)</f>
        <v/>
      </c>
      <c r="X91" s="33">
        <f>COUNTIF(X10:X87,$F91)</f>
        <v/>
      </c>
      <c r="Y91" s="33">
        <f>COUNTIF(Y10:Y87,$F91)</f>
        <v/>
      </c>
    </row>
    <row r="92" ht="22" customHeight="1">
      <c r="E92" t="inlineStr">
        <is>
          <t>Accountable and Responsible</t>
        </is>
      </c>
      <c r="F92" s="34" t="inlineStr">
        <is>
          <t>A and R</t>
        </is>
      </c>
      <c r="I92" s="33">
        <f>COUNTIF(I10:I87,$F92)</f>
        <v/>
      </c>
      <c r="J92" s="33">
        <f>COUNTIF(J10:J87,$F92)</f>
        <v/>
      </c>
      <c r="K92" s="33">
        <f>COUNTIF(K10:K87,$F92)</f>
        <v/>
      </c>
      <c r="L92" s="33">
        <f>COUNTIF(L10:L87,$F92)</f>
        <v/>
      </c>
      <c r="M92" s="33">
        <f>COUNTIF(M10:M87,$F92)</f>
        <v/>
      </c>
      <c r="N92" s="33">
        <f>COUNTIF(N10:N87,$F92)</f>
        <v/>
      </c>
      <c r="O92" s="33">
        <f>COUNTIF(O10:O87,$F92)</f>
        <v/>
      </c>
      <c r="P92" s="33">
        <f>COUNTIF(P10:P87,$F92)</f>
        <v/>
      </c>
      <c r="Q92" s="33">
        <f>COUNTIF(Q10:Q87,$F92)</f>
        <v/>
      </c>
      <c r="R92" s="33">
        <f>COUNTIF(R10:R87,$F92)</f>
        <v/>
      </c>
      <c r="S92" s="33">
        <f>COUNTIF(S10:S87,$F92)</f>
        <v/>
      </c>
      <c r="T92" s="33">
        <f>COUNTIF(T10:T87,$F92)</f>
        <v/>
      </c>
      <c r="U92" s="33">
        <f>COUNTIF(U10:U87,$F92)</f>
        <v/>
      </c>
      <c r="V92" s="33">
        <f>COUNTIF(V10:V87,$F92)</f>
        <v/>
      </c>
      <c r="W92" s="33">
        <f>COUNTIF(W10:W87,$F92)</f>
        <v/>
      </c>
      <c r="X92" s="33">
        <f>COUNTIF(X10:X87,$F92)</f>
        <v/>
      </c>
      <c r="Y92" s="33">
        <f>COUNTIF(Y10:Y87,$F92)</f>
        <v/>
      </c>
    </row>
    <row r="93" ht="22" customHeight="1">
      <c r="E93" t="inlineStr">
        <is>
          <t>Responsible – narrative request</t>
        </is>
      </c>
      <c r="F93" s="35" t="inlineStr">
        <is>
          <t>R</t>
        </is>
      </c>
      <c r="I93" s="33">
        <f>COUNTIF(I10:I87,$F93)</f>
        <v/>
      </c>
      <c r="J93" s="33">
        <f>COUNTIF(J10:J87,$F93)</f>
        <v/>
      </c>
      <c r="K93" s="33">
        <f>COUNTIF(K10:K87,$F93)</f>
        <v/>
      </c>
      <c r="L93" s="33">
        <f>COUNTIF(L10:L87,$F93)</f>
        <v/>
      </c>
      <c r="M93" s="33">
        <f>COUNTIF(M10:M87,$F93)</f>
        <v/>
      </c>
      <c r="N93" s="33">
        <f>COUNTIF(N10:N87,$F93)</f>
        <v/>
      </c>
      <c r="O93" s="33">
        <f>COUNTIF(O10:O87,$F93)</f>
        <v/>
      </c>
      <c r="P93" s="33">
        <f>COUNTIF(P10:P87,$F93)</f>
        <v/>
      </c>
      <c r="Q93" s="33">
        <f>COUNTIF(Q10:Q87,$F93)</f>
        <v/>
      </c>
      <c r="R93" s="33">
        <f>COUNTIF(R10:R87,$F93)</f>
        <v/>
      </c>
      <c r="S93" s="33">
        <f>COUNTIF(S10:S87,$F93)</f>
        <v/>
      </c>
      <c r="T93" s="33">
        <f>COUNTIF(T10:T87,$F93)</f>
        <v/>
      </c>
      <c r="U93" s="33">
        <f>COUNTIF(U10:U87,$F93)</f>
        <v/>
      </c>
      <c r="V93" s="33">
        <f>COUNTIF(V10:V87,$F93)</f>
        <v/>
      </c>
      <c r="W93" s="33">
        <f>COUNTIF(W10:W87,$F93)</f>
        <v/>
      </c>
      <c r="X93" s="33">
        <f>COUNTIF(X10:X87,$F93)</f>
        <v/>
      </c>
      <c r="Y93" s="33">
        <f>COUNTIF(Y10:Y87,$F93)</f>
        <v/>
      </c>
    </row>
    <row r="94" ht="22" customHeight="1">
      <c r="E94" t="inlineStr">
        <is>
          <t>Responsible – figures for the Databook (Tab 4)</t>
        </is>
      </c>
      <c r="F94" s="36" t="inlineStr">
        <is>
          <t>R (quant)</t>
        </is>
      </c>
      <c r="I94" s="33">
        <f>COUNTIF(I10:I87,$F94)</f>
        <v/>
      </c>
      <c r="J94" s="33">
        <f>COUNTIF(J10:J87,$F94)</f>
        <v/>
      </c>
      <c r="K94" s="33">
        <f>COUNTIF(K10:K87,$F94)</f>
        <v/>
      </c>
      <c r="L94" s="33">
        <f>COUNTIF(L10:L87,$F94)</f>
        <v/>
      </c>
      <c r="M94" s="33">
        <f>COUNTIF(M10:M87,$F94)</f>
        <v/>
      </c>
      <c r="N94" s="33">
        <f>COUNTIF(N10:N87,$F94)</f>
        <v/>
      </c>
      <c r="O94" s="33">
        <f>COUNTIF(O10:O87,$F94)</f>
        <v/>
      </c>
      <c r="P94" s="33">
        <f>COUNTIF(P10:P87,$F94)</f>
        <v/>
      </c>
      <c r="Q94" s="33">
        <f>COUNTIF(Q10:Q87,$F94)</f>
        <v/>
      </c>
      <c r="R94" s="33">
        <f>COUNTIF(R10:R87,$F94)</f>
        <v/>
      </c>
      <c r="S94" s="33">
        <f>COUNTIF(S10:S87,$F94)</f>
        <v/>
      </c>
      <c r="T94" s="33">
        <f>COUNTIF(T10:T87,$F94)</f>
        <v/>
      </c>
      <c r="U94" s="33">
        <f>COUNTIF(U10:U87,$F94)</f>
        <v/>
      </c>
      <c r="V94" s="33">
        <f>COUNTIF(V10:V87,$F94)</f>
        <v/>
      </c>
      <c r="W94" s="33">
        <f>COUNTIF(W10:W87,$F94)</f>
        <v/>
      </c>
      <c r="X94" s="33">
        <f>COUNTIF(X10:X87,$F94)</f>
        <v/>
      </c>
      <c r="Y94" s="33">
        <f>COUNTIF(Y10:Y87,$F94)</f>
        <v/>
      </c>
    </row>
    <row r="95" ht="22" customHeight="1">
      <c r="E95" t="inlineStr">
        <is>
          <t>SST compiles from other responses / no request</t>
        </is>
      </c>
      <c r="F95" s="37" t="inlineStr">
        <is>
          <t>R (compile)</t>
        </is>
      </c>
      <c r="I95" s="33">
        <f>COUNTIF(I10:I87,$F95)</f>
        <v/>
      </c>
      <c r="J95" s="33">
        <f>COUNTIF(J10:J87,$F95)</f>
        <v/>
      </c>
      <c r="K95" s="33">
        <f>COUNTIF(K10:K87,$F95)</f>
        <v/>
      </c>
      <c r="L95" s="33">
        <f>COUNTIF(L10:L87,$F95)</f>
        <v/>
      </c>
      <c r="M95" s="33">
        <f>COUNTIF(M10:M87,$F95)</f>
        <v/>
      </c>
      <c r="N95" s="33">
        <f>COUNTIF(N10:N87,$F95)</f>
        <v/>
      </c>
      <c r="O95" s="33">
        <f>COUNTIF(O10:O87,$F95)</f>
        <v/>
      </c>
      <c r="P95" s="33">
        <f>COUNTIF(P10:P87,$F95)</f>
        <v/>
      </c>
      <c r="Q95" s="33">
        <f>COUNTIF(Q10:Q87,$F95)</f>
        <v/>
      </c>
      <c r="R95" s="33">
        <f>COUNTIF(R10:R87,$F95)</f>
        <v/>
      </c>
      <c r="S95" s="33">
        <f>COUNTIF(S10:S87,$F95)</f>
        <v/>
      </c>
      <c r="T95" s="33">
        <f>COUNTIF(T10:T87,$F95)</f>
        <v/>
      </c>
      <c r="U95" s="33">
        <f>COUNTIF(U10:U87,$F95)</f>
        <v/>
      </c>
      <c r="V95" s="33">
        <f>COUNTIF(V10:V87,$F95)</f>
        <v/>
      </c>
      <c r="W95" s="33">
        <f>COUNTIF(W10:W87,$F95)</f>
        <v/>
      </c>
      <c r="X95" s="33">
        <f>COUNTIF(X10:X87,$F95)</f>
        <v/>
      </c>
      <c r="Y95" s="33">
        <f>COUNTIF(Y10:Y87,$F95)</f>
        <v/>
      </c>
    </row>
    <row r="96" ht="22" customHeight="1">
      <c r="E96" t="inlineStr">
        <is>
          <t>Support</t>
        </is>
      </c>
      <c r="F96" s="38" t="inlineStr">
        <is>
          <t>S</t>
        </is>
      </c>
      <c r="I96" s="33">
        <f>COUNTIF(I10:I87,$F96)</f>
        <v/>
      </c>
      <c r="J96" s="33">
        <f>COUNTIF(J10:J87,$F96)</f>
        <v/>
      </c>
      <c r="K96" s="33">
        <f>COUNTIF(K10:K87,$F96)</f>
        <v/>
      </c>
      <c r="L96" s="33">
        <f>COUNTIF(L10:L87,$F96)</f>
        <v/>
      </c>
      <c r="M96" s="33">
        <f>COUNTIF(M10:M87,$F96)</f>
        <v/>
      </c>
      <c r="N96" s="33">
        <f>COUNTIF(N10:N87,$F96)</f>
        <v/>
      </c>
      <c r="O96" s="33">
        <f>COUNTIF(O10:O87,$F96)</f>
        <v/>
      </c>
      <c r="P96" s="33">
        <f>COUNTIF(P10:P87,$F96)</f>
        <v/>
      </c>
      <c r="Q96" s="33">
        <f>COUNTIF(Q10:Q87,$F96)</f>
        <v/>
      </c>
      <c r="R96" s="33">
        <f>COUNTIF(R10:R87,$F96)</f>
        <v/>
      </c>
      <c r="S96" s="33">
        <f>COUNTIF(S10:S87,$F96)</f>
        <v/>
      </c>
      <c r="T96" s="33">
        <f>COUNTIF(T10:T87,$F96)</f>
        <v/>
      </c>
      <c r="U96" s="33">
        <f>COUNTIF(U10:U87,$F96)</f>
        <v/>
      </c>
      <c r="V96" s="33">
        <f>COUNTIF(V10:V87,$F96)</f>
        <v/>
      </c>
      <c r="W96" s="33">
        <f>COUNTIF(W10:W87,$F96)</f>
        <v/>
      </c>
      <c r="X96" s="33">
        <f>COUNTIF(X10:X87,$F96)</f>
        <v/>
      </c>
      <c r="Y96" s="33">
        <f>COUNTIF(Y10:Y87,$F96)</f>
        <v/>
      </c>
    </row>
    <row r="97" ht="22" customHeight="1">
      <c r="E97" t="inlineStr">
        <is>
          <t>Consulted</t>
        </is>
      </c>
      <c r="F97" s="39" t="inlineStr">
        <is>
          <t>C</t>
        </is>
      </c>
      <c r="I97" s="33">
        <f>COUNTIF(I10:I87,$F97)</f>
        <v/>
      </c>
      <c r="J97" s="33">
        <f>COUNTIF(J10:J87,$F97)</f>
        <v/>
      </c>
      <c r="K97" s="33">
        <f>COUNTIF(K10:K87,$F97)</f>
        <v/>
      </c>
      <c r="L97" s="33">
        <f>COUNTIF(L10:L87,$F97)</f>
        <v/>
      </c>
      <c r="M97" s="33">
        <f>COUNTIF(M10:M87,$F97)</f>
        <v/>
      </c>
      <c r="N97" s="33">
        <f>COUNTIF(N10:N87,$F97)</f>
        <v/>
      </c>
      <c r="O97" s="33">
        <f>COUNTIF(O10:O87,$F97)</f>
        <v/>
      </c>
      <c r="P97" s="33">
        <f>COUNTIF(P10:P87,$F97)</f>
        <v/>
      </c>
      <c r="Q97" s="33">
        <f>COUNTIF(Q10:Q87,$F97)</f>
        <v/>
      </c>
      <c r="R97" s="33">
        <f>COUNTIF(R10:R87,$F97)</f>
        <v/>
      </c>
      <c r="S97" s="33">
        <f>COUNTIF(S10:S87,$F97)</f>
        <v/>
      </c>
      <c r="T97" s="33">
        <f>COUNTIF(T10:T87,$F97)</f>
        <v/>
      </c>
      <c r="U97" s="33">
        <f>COUNTIF(U10:U87,$F97)</f>
        <v/>
      </c>
      <c r="V97" s="33">
        <f>COUNTIF(V10:V87,$F97)</f>
        <v/>
      </c>
      <c r="W97" s="33">
        <f>COUNTIF(W10:W87,$F97)</f>
        <v/>
      </c>
      <c r="X97" s="33">
        <f>COUNTIF(X10:X87,$F97)</f>
        <v/>
      </c>
      <c r="Y97" s="33">
        <f>COUNTIF(Y10:Y87,$F97)</f>
        <v/>
      </c>
    </row>
    <row r="98" ht="22" customHeight="1">
      <c r="E98" t="inlineStr">
        <is>
          <t>Informed</t>
        </is>
      </c>
      <c r="F98" s="40" t="inlineStr">
        <is>
          <t>I</t>
        </is>
      </c>
      <c r="I98" s="33">
        <f>COUNTIF(I10:I87,$F98)</f>
        <v/>
      </c>
      <c r="J98" s="33">
        <f>COUNTIF(J10:J87,$F98)</f>
        <v/>
      </c>
      <c r="K98" s="33">
        <f>COUNTIF(K10:K87,$F98)</f>
        <v/>
      </c>
      <c r="L98" s="33">
        <f>COUNTIF(L10:L87,$F98)</f>
        <v/>
      </c>
      <c r="M98" s="33">
        <f>COUNTIF(M10:M87,$F98)</f>
        <v/>
      </c>
      <c r="N98" s="33">
        <f>COUNTIF(N10:N87,$F98)</f>
        <v/>
      </c>
      <c r="O98" s="33">
        <f>COUNTIF(O10:O87,$F98)</f>
        <v/>
      </c>
      <c r="P98" s="33">
        <f>COUNTIF(P10:P87,$F98)</f>
        <v/>
      </c>
      <c r="Q98" s="33">
        <f>COUNTIF(Q10:Q87,$F98)</f>
        <v/>
      </c>
      <c r="R98" s="33">
        <f>COUNTIF(R10:R87,$F98)</f>
        <v/>
      </c>
      <c r="S98" s="33">
        <f>COUNTIF(S10:S87,$F98)</f>
        <v/>
      </c>
      <c r="T98" s="33">
        <f>COUNTIF(T10:T87,$F98)</f>
        <v/>
      </c>
      <c r="U98" s="33">
        <f>COUNTIF(U10:U87,$F98)</f>
        <v/>
      </c>
      <c r="V98" s="33">
        <f>COUNTIF(V10:V87,$F98)</f>
        <v/>
      </c>
      <c r="W98" s="33">
        <f>COUNTIF(W10:W87,$F98)</f>
        <v/>
      </c>
      <c r="X98" s="33">
        <f>COUNTIF(X10:X87,$F98)</f>
        <v/>
      </c>
      <c r="Y98" s="33">
        <f>COUNTIF(Y10:Y87,$F98)</f>
        <v/>
      </c>
    </row>
    <row r="99" ht="22" customHeight="1">
      <c r="E99" s="30" t="inlineStr">
        <is>
          <t>Total A</t>
        </is>
      </c>
      <c r="I99" s="21">
        <f>I91+I92</f>
        <v/>
      </c>
      <c r="J99" s="21">
        <f>J91+J92</f>
        <v/>
      </c>
      <c r="K99" s="21">
        <f>K91+K92</f>
        <v/>
      </c>
      <c r="L99" s="21">
        <f>L91+L92</f>
        <v/>
      </c>
      <c r="M99" s="21">
        <f>M91+M92</f>
        <v/>
      </c>
      <c r="N99" s="21">
        <f>N91+N92</f>
        <v/>
      </c>
      <c r="O99" s="21">
        <f>O91+O92</f>
        <v/>
      </c>
      <c r="P99" s="21">
        <f>P91+P92</f>
        <v/>
      </c>
      <c r="Q99" s="21">
        <f>Q91+Q92</f>
        <v/>
      </c>
      <c r="R99" s="21">
        <f>R91+R92</f>
        <v/>
      </c>
      <c r="S99" s="21">
        <f>S91+S92</f>
        <v/>
      </c>
      <c r="T99" s="21">
        <f>T91+T92</f>
        <v/>
      </c>
      <c r="U99" s="21">
        <f>U91+U92</f>
        <v/>
      </c>
      <c r="V99" s="21">
        <f>V91+V92</f>
        <v/>
      </c>
      <c r="W99" s="21">
        <f>W91+W92</f>
        <v/>
      </c>
      <c r="X99" s="21">
        <f>X91+X92</f>
        <v/>
      </c>
      <c r="Y99" s="21">
        <f>Y91+Y92</f>
        <v/>
      </c>
    </row>
    <row r="100" ht="22" customHeight="1">
      <c r="E100" s="30" t="inlineStr">
        <is>
          <t>Total R (all types)</t>
        </is>
      </c>
      <c r="I100" s="21">
        <f>I92+I93+I94+I95</f>
        <v/>
      </c>
      <c r="J100" s="21">
        <f>J92+J93+J94+J95</f>
        <v/>
      </c>
      <c r="K100" s="21">
        <f>K92+K93+K94+K95</f>
        <v/>
      </c>
      <c r="L100" s="21">
        <f>L92+L93+L94+L95</f>
        <v/>
      </c>
      <c r="M100" s="21">
        <f>M92+M93+M94+M95</f>
        <v/>
      </c>
      <c r="N100" s="21">
        <f>N92+N93+N94+N95</f>
        <v/>
      </c>
      <c r="O100" s="21">
        <f>O92+O93+O94+O95</f>
        <v/>
      </c>
      <c r="P100" s="21">
        <f>P92+P93+P94+P95</f>
        <v/>
      </c>
      <c r="Q100" s="21">
        <f>Q92+Q93+Q94+Q95</f>
        <v/>
      </c>
      <c r="R100" s="21">
        <f>R92+R93+R94+R95</f>
        <v/>
      </c>
      <c r="S100" s="21">
        <f>S92+S93+S94+S95</f>
        <v/>
      </c>
      <c r="T100" s="21">
        <f>T92+T93+T94+T95</f>
        <v/>
      </c>
      <c r="U100" s="21">
        <f>U92+U93+U94+U95</f>
        <v/>
      </c>
      <c r="V100" s="21">
        <f>V92+V93+V94+V95</f>
        <v/>
      </c>
      <c r="W100" s="21">
        <f>W92+W93+W94+W95</f>
        <v/>
      </c>
      <c r="X100" s="21">
        <f>X92+X93+X94+X95</f>
        <v/>
      </c>
      <c r="Y100" s="21">
        <f>Y92+Y93+Y94+Y95</f>
        <v/>
      </c>
    </row>
    <row r="101" ht="22" customHeight="1">
      <c r="E101" s="30" t="inlineStr">
        <is>
          <t>Total indicators involved</t>
        </is>
      </c>
      <c r="I101" s="21">
        <f>SUM(I91:I98)</f>
        <v/>
      </c>
      <c r="J101" s="21">
        <f>SUM(J91:J98)</f>
        <v/>
      </c>
      <c r="K101" s="21">
        <f>SUM(K91:K98)</f>
        <v/>
      </c>
      <c r="L101" s="21">
        <f>SUM(L91:L98)</f>
        <v/>
      </c>
      <c r="M101" s="21">
        <f>SUM(M91:M98)</f>
        <v/>
      </c>
      <c r="N101" s="21">
        <f>SUM(N91:N98)</f>
        <v/>
      </c>
      <c r="O101" s="21">
        <f>SUM(O91:O98)</f>
        <v/>
      </c>
      <c r="P101" s="21">
        <f>SUM(P91:P98)</f>
        <v/>
      </c>
      <c r="Q101" s="21">
        <f>SUM(Q91:Q98)</f>
        <v/>
      </c>
      <c r="R101" s="21">
        <f>SUM(R91:R98)</f>
        <v/>
      </c>
      <c r="S101" s="21">
        <f>SUM(S91:S98)</f>
        <v/>
      </c>
      <c r="T101" s="21">
        <f>SUM(T91:T98)</f>
        <v/>
      </c>
      <c r="U101" s="21">
        <f>SUM(U91:U98)</f>
        <v/>
      </c>
      <c r="V101" s="21">
        <f>SUM(V91:V98)</f>
        <v/>
      </c>
      <c r="W101" s="21">
        <f>SUM(W91:W98)</f>
        <v/>
      </c>
      <c r="X101" s="21">
        <f>SUM(X91:X98)</f>
        <v/>
      </c>
      <c r="Y101" s="21">
        <f>SUM(Y91:Y98)</f>
        <v/>
      </c>
    </row>
  </sheetData>
  <autoFilter ref="A6:Y87"/>
  <mergeCells count="2">
    <mergeCell ref="I5:Y5"/>
    <mergeCell ref="B3:G5"/>
  </mergeCells>
  <conditionalFormatting sqref="I10:Y87">
    <cfRule type="expression" priority="1" dxfId="0">
      <formula>EXACT(I10,"A and R")</formula>
    </cfRule>
    <cfRule type="expression" priority="2" dxfId="1">
      <formula>EXACT(I10,"A")</formula>
    </cfRule>
    <cfRule type="expression" priority="3" dxfId="2">
      <formula>EXACT(I10,"R")</formula>
    </cfRule>
    <cfRule type="expression" priority="4" dxfId="3">
      <formula>EXACT(I10,"R (quant)")</formula>
    </cfRule>
    <cfRule type="expression" priority="5" dxfId="4">
      <formula>EXACT(I10,"R (compile)")</formula>
    </cfRule>
    <cfRule type="expression" priority="6" dxfId="5">
      <formula>EXACT(I10,"S")</formula>
    </cfRule>
    <cfRule type="expression" priority="7" dxfId="6">
      <formula>EXACT(I10,"C")</formula>
    </cfRule>
    <cfRule type="expression" priority="8" dxfId="7">
      <formula>EXACT(I10,"I")</formula>
    </cfRule>
  </conditionalFormatting>
  <dataValidations count="1">
    <dataValidation sqref="I10:Y87" showDropDown="0" showInputMessage="0" showErrorMessage="0" allowBlank="1" errorTitle="Invalid entry" error="Please select from the dropdown" type="list">
      <formula1>"A,A and R,R,R (quant),R (compile),S,C,I"</formula1>
    </dataValidation>
  </dataValidation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R31"/>
  <sheetViews>
    <sheetView showGridLines="0" workbookViewId="0">
      <pane ySplit="9" topLeftCell="A10" activePane="bottomLeft" state="frozen"/>
      <selection pane="bottomLeft"/>
      <selection pane="bottomLeft"/>
      <selection pane="bottomRight" activeCell="A1" sqref="A1"/>
    </sheetView>
  </sheetViews>
  <sheetFormatPr baseColWidth="8" defaultRowHeight="15"/>
  <cols>
    <col width="4" customWidth="1" min="1" max="1"/>
    <col width="6" customWidth="1" min="2" max="2"/>
    <col width="10" customWidth="1" min="3" max="3"/>
    <col width="46" customWidth="1" min="4" max="4"/>
    <col width="16" customWidth="1" min="5" max="5"/>
    <col width="12" customWidth="1" min="6" max="6"/>
    <col width="44" customWidth="1" min="7" max="7"/>
    <col width="12" customWidth="1" min="8" max="8"/>
    <col width="12" customWidth="1" min="9" max="9"/>
    <col width="12" customWidth="1" min="10" max="10"/>
    <col width="16" customWidth="1" min="11" max="11"/>
    <col width="14" customWidth="1" min="12" max="12"/>
    <col width="12" customWidth="1" min="13" max="13"/>
    <col width="16" customWidth="1" min="14" max="14"/>
    <col width="10" customWidth="1" min="15" max="15"/>
    <col width="40"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4. Request tracker</t>
        </is>
      </c>
      <c r="C2" s="1" t="n"/>
      <c r="D2" s="1" t="n"/>
      <c r="E2" s="1" t="n"/>
      <c r="F2" s="1" t="n"/>
      <c r="G2" s="1" t="n"/>
      <c r="H2" s="1" t="n"/>
      <c r="I2" s="1" t="n"/>
      <c r="J2" s="1" t="n"/>
      <c r="K2" s="1" t="n"/>
      <c r="L2" s="1" t="n"/>
      <c r="M2" s="1" t="n"/>
      <c r="N2" s="1" t="n"/>
      <c r="O2" s="1" t="n"/>
      <c r="P2" s="1" t="n"/>
      <c r="Q2" s="1" t="n"/>
      <c r="R2" s="1" t="n"/>
    </row>
    <row r="3"/>
    <row r="4" ht="27" customHeight="1">
      <c r="B4" s="29" t="inlineStr">
        <is>
          <t>Summary</t>
        </is>
      </c>
    </row>
    <row r="5" ht="22" customHeight="1">
      <c r="C5" s="30" t="inlineStr">
        <is>
          <t>Not sent</t>
        </is>
      </c>
      <c r="E5" s="30" t="inlineStr">
        <is>
          <t>Sent</t>
        </is>
      </c>
      <c r="G5" s="30" t="inlineStr">
        <is>
          <t>1:1 meeting</t>
        </is>
      </c>
      <c r="I5" s="30" t="inlineStr">
        <is>
          <t>Received</t>
        </is>
      </c>
      <c r="L5" s="30" t="inlineStr">
        <is>
          <t>Response rate</t>
        </is>
      </c>
      <c r="N5" s="30" t="inlineStr">
        <is>
          <t>Rows owner-confirmed</t>
        </is>
      </c>
    </row>
    <row r="6">
      <c r="C6">
        <f>COUNTIF($N$10:$N$31,"Not sent")</f>
        <v/>
      </c>
      <c r="E6">
        <f>COUNTIF($N$10:$N$31,"Sent")</f>
        <v/>
      </c>
      <c r="G6">
        <f>COUNTIF($N$10:$N$31,"1:1 meeting")</f>
        <v/>
      </c>
      <c r="I6">
        <f>COUNTIF($N$10:$N$31,"Received")</f>
        <v/>
      </c>
      <c r="L6" s="41">
        <f>IFERROR((COUNTIF($N$10:$N$31,"Received")+COUNTIF($N$10:$N$31,"First review")+COUNTIF($N$10:$N$31,"Follow-up")+COUNTIF($N$10:$N$31,"Complete"))/(COUNTA($N$10:$N$31)-COUNTIF($N$10:$N$31,"Not required")),0)</f>
        <v/>
      </c>
      <c r="N6">
        <f>SUM($M$10:$M$31)&amp;" / "&amp;SUM($F$10:$F$31)</f>
        <v/>
      </c>
    </row>
    <row r="7" ht="22" customHeight="1">
      <c r="C7" s="30" t="inlineStr">
        <is>
          <t>First review</t>
        </is>
      </c>
      <c r="E7" s="30" t="inlineStr">
        <is>
          <t>Follow-up</t>
        </is>
      </c>
      <c r="G7" s="30" t="inlineStr">
        <is>
          <t>Complete</t>
        </is>
      </c>
      <c r="I7" s="30" t="inlineStr">
        <is>
          <t>Not required</t>
        </is>
      </c>
    </row>
    <row r="8">
      <c r="C8">
        <f>COUNTIF($N$10:$N$31,"First review")</f>
        <v/>
      </c>
      <c r="E8">
        <f>COUNTIF($N$10:$N$31,"Follow-up")</f>
        <v/>
      </c>
      <c r="G8">
        <f>COUNTIF($N$10:$N$31,"Complete")</f>
        <v/>
      </c>
      <c r="I8">
        <f>COUNTIF($N$10:$N$31,"Not required")</f>
        <v/>
      </c>
    </row>
    <row r="9" ht="60" customHeight="1">
      <c r="B9" s="5" t="inlineStr">
        <is>
          <t>#</t>
        </is>
      </c>
      <c r="C9" s="5" t="inlineStr">
        <is>
          <t>Group</t>
        </is>
      </c>
      <c r="D9" s="5" t="inlineStr">
        <is>
          <t>Unit / section</t>
        </is>
      </c>
      <c r="E9" s="5" t="inlineStr">
        <is>
          <t>Key contact</t>
        </is>
      </c>
      <c r="F9" s="5" t="inlineStr">
        <is>
          <t>No. of indicators requested</t>
        </is>
      </c>
      <c r="G9" s="5" t="inlineStr">
        <is>
          <t>Request workbook</t>
        </is>
      </c>
      <c r="H9" s="5" t="inlineStr">
        <is>
          <t>Date sent</t>
        </is>
      </c>
      <c r="I9" s="5" t="inlineStr">
        <is>
          <t>Due date</t>
        </is>
      </c>
      <c r="J9" s="5" t="inlineStr">
        <is>
          <t>Reminder date</t>
        </is>
      </c>
      <c r="K9" s="5" t="inlineStr">
        <is>
          <t>Optional 1:1 meeting (date)</t>
        </is>
      </c>
      <c r="L9" s="5" t="inlineStr">
        <is>
          <t>Rows answered (auto)</t>
        </is>
      </c>
      <c r="M9" s="5" t="inlineStr">
        <is>
          <t>Owner confirmed rows (auto)</t>
        </is>
      </c>
      <c r="N9" s="5" t="inlineStr">
        <is>
          <t>Status</t>
        </is>
      </c>
      <c r="O9" s="5" t="inlineStr">
        <is>
          <t>Days overdue</t>
        </is>
      </c>
      <c r="P9" s="5" t="inlineStr">
        <is>
          <t>Notes / follow-up</t>
        </is>
      </c>
    </row>
    <row r="10" ht="39" customHeight="1">
      <c r="B10" s="7" t="inlineStr">
        <is>
          <t>F1</t>
        </is>
      </c>
      <c r="C10" s="7" t="inlineStr">
        <is>
          <t>Faculty</t>
        </is>
      </c>
      <c r="D10" s="7" t="inlineStr">
        <is>
          <t>ABP – Faculty of Architecture, Building and Planning</t>
        </is>
      </c>
      <c r="E10" s="7" t="inlineStr">
        <is>
          <t>TBC</t>
        </is>
      </c>
      <c r="F10" s="7" t="n">
        <v>8</v>
      </c>
      <c r="G10" s="7" t="inlineStr">
        <is>
          <t>ABP - SR26 sustainability reporting request.xlsx</t>
        </is>
      </c>
      <c r="H10" s="42" t="n"/>
      <c r="I10" s="42" t="n">
        <v>46380</v>
      </c>
      <c r="J10" s="42">
        <f>IF(I10="","",I10-7)</f>
        <v/>
      </c>
      <c r="K10" s="42" t="inlineStr"/>
      <c r="L10" s="7">
        <f>SUMPRODUCT(--((LEN('Faculties'!$L$10:$L$18)+LEN('Faculties'!$M$10:$M$18))&gt;0))</f>
        <v/>
      </c>
      <c r="M10" s="7">
        <f>COUNTIF('Faculties'!$P$10:$P$18,"Yes")</f>
        <v/>
      </c>
      <c r="N10" s="7" t="inlineStr">
        <is>
          <t>Not sent</t>
        </is>
      </c>
      <c r="O10" s="7">
        <f>IF(OR(I10="",L10&gt;=F10),"",MAX(0,TODAY()-I10))</f>
        <v/>
      </c>
      <c r="P10" s="7" t="inlineStr"/>
    </row>
    <row r="11" ht="39" customHeight="1">
      <c r="B11" s="7" t="inlineStr">
        <is>
          <t>F2</t>
        </is>
      </c>
      <c r="C11" s="7" t="inlineStr">
        <is>
          <t>Faculty</t>
        </is>
      </c>
      <c r="D11" s="7" t="inlineStr">
        <is>
          <t>ARTS – Faculty of Arts</t>
        </is>
      </c>
      <c r="E11" s="7" t="inlineStr">
        <is>
          <t>TBC</t>
        </is>
      </c>
      <c r="F11" s="7" t="n">
        <v>9</v>
      </c>
      <c r="G11" s="7" t="inlineStr">
        <is>
          <t>ARTS - SR26 sustainability reporting request.xlsx</t>
        </is>
      </c>
      <c r="H11" s="42" t="n"/>
      <c r="I11" s="42" t="n">
        <v>46380</v>
      </c>
      <c r="J11" s="42">
        <f>IF(I11="","",I11-7)</f>
        <v/>
      </c>
      <c r="K11" s="42" t="inlineStr"/>
      <c r="L11" s="7">
        <f>SUMPRODUCT(--((LEN('Faculties'!$L$25:$L$34)+LEN('Faculties'!$M$25:$M$34))&gt;0))</f>
        <v/>
      </c>
      <c r="M11" s="7">
        <f>COUNTIF('Faculties'!$P$25:$P$34,"Yes")</f>
        <v/>
      </c>
      <c r="N11" s="7" t="inlineStr">
        <is>
          <t>Not sent</t>
        </is>
      </c>
      <c r="O11" s="7">
        <f>IF(OR(I11="",L11&gt;=F11),"",MAX(0,TODAY()-I11))</f>
        <v/>
      </c>
      <c r="P11" s="7" t="inlineStr"/>
    </row>
    <row r="12" ht="39" customHeight="1">
      <c r="B12" s="7" t="inlineStr">
        <is>
          <t>F3</t>
        </is>
      </c>
      <c r="C12" s="7" t="inlineStr">
        <is>
          <t>Faculty</t>
        </is>
      </c>
      <c r="D12" s="7" t="inlineStr">
        <is>
          <t>FBE – Faculty of Business and Economics</t>
        </is>
      </c>
      <c r="E12" s="7" t="inlineStr">
        <is>
          <t>TBC</t>
        </is>
      </c>
      <c r="F12" s="7" t="n">
        <v>9</v>
      </c>
      <c r="G12" s="7" t="inlineStr">
        <is>
          <t>FBE - SR26 sustainability reporting request.xlsx</t>
        </is>
      </c>
      <c r="H12" s="42" t="n"/>
      <c r="I12" s="42" t="n">
        <v>46380</v>
      </c>
      <c r="J12" s="42">
        <f>IF(I12="","",I12-7)</f>
        <v/>
      </c>
      <c r="K12" s="42" t="inlineStr"/>
      <c r="L12" s="7">
        <f>SUMPRODUCT(--((LEN('Faculties'!$L$41:$L$50)+LEN('Faculties'!$M$41:$M$50))&gt;0))</f>
        <v/>
      </c>
      <c r="M12" s="7">
        <f>COUNTIF('Faculties'!$P$41:$P$50,"Yes")</f>
        <v/>
      </c>
      <c r="N12" s="7" t="inlineStr">
        <is>
          <t>Not sent</t>
        </is>
      </c>
      <c r="O12" s="7">
        <f>IF(OR(I12="",L12&gt;=F12),"",MAX(0,TODAY()-I12))</f>
        <v/>
      </c>
      <c r="P12" s="7" t="inlineStr"/>
    </row>
    <row r="13" ht="39" customHeight="1">
      <c r="B13" s="7" t="inlineStr">
        <is>
          <t>F4</t>
        </is>
      </c>
      <c r="C13" s="7" t="inlineStr">
        <is>
          <t>Faculty</t>
        </is>
      </c>
      <c r="D13" s="7" t="inlineStr">
        <is>
          <t>SCI – Faculty of Science</t>
        </is>
      </c>
      <c r="E13" s="7" t="inlineStr">
        <is>
          <t>TBC</t>
        </is>
      </c>
      <c r="F13" s="7" t="n">
        <v>9</v>
      </c>
      <c r="G13" s="7" t="inlineStr">
        <is>
          <t>SCI - SR26 sustainability reporting request.xlsx</t>
        </is>
      </c>
      <c r="H13" s="42" t="n"/>
      <c r="I13" s="42" t="n">
        <v>46380</v>
      </c>
      <c r="J13" s="42">
        <f>IF(I13="","",I13-7)</f>
        <v/>
      </c>
      <c r="K13" s="42" t="inlineStr"/>
      <c r="L13" s="7">
        <f>SUMPRODUCT(--((LEN('Faculties'!$L$57:$L$66)+LEN('Faculties'!$M$57:$M$66))&gt;0))</f>
        <v/>
      </c>
      <c r="M13" s="7">
        <f>COUNTIF('Faculties'!$P$57:$P$66,"Yes")</f>
        <v/>
      </c>
      <c r="N13" s="7" t="inlineStr">
        <is>
          <t>Not sent</t>
        </is>
      </c>
      <c r="O13" s="7">
        <f>IF(OR(I13="",L13&gt;=F13),"",MAX(0,TODAY()-I13))</f>
        <v/>
      </c>
      <c r="P13" s="7" t="inlineStr"/>
    </row>
    <row r="14" ht="39" customHeight="1">
      <c r="B14" s="7" t="inlineStr">
        <is>
          <t>F5</t>
        </is>
      </c>
      <c r="C14" s="7" t="inlineStr">
        <is>
          <t>Faculty</t>
        </is>
      </c>
      <c r="D14" s="7" t="inlineStr">
        <is>
          <t>FAM – Faculty of Fine Arts and Music</t>
        </is>
      </c>
      <c r="E14" s="7" t="inlineStr">
        <is>
          <t>TBC</t>
        </is>
      </c>
      <c r="F14" s="7" t="n">
        <v>9</v>
      </c>
      <c r="G14" s="7" t="inlineStr">
        <is>
          <t>FAM - SR26 sustainability reporting request.xlsx</t>
        </is>
      </c>
      <c r="H14" s="42" t="n"/>
      <c r="I14" s="42" t="n">
        <v>46380</v>
      </c>
      <c r="J14" s="42">
        <f>IF(I14="","",I14-7)</f>
        <v/>
      </c>
      <c r="K14" s="42" t="inlineStr"/>
      <c r="L14" s="7">
        <f>SUMPRODUCT(--((LEN('Faculties'!$L$73:$L$82)+LEN('Faculties'!$M$73:$M$82))&gt;0))</f>
        <v/>
      </c>
      <c r="M14" s="7">
        <f>COUNTIF('Faculties'!$P$73:$P$82,"Yes")</f>
        <v/>
      </c>
      <c r="N14" s="7" t="inlineStr">
        <is>
          <t>Not sent</t>
        </is>
      </c>
      <c r="O14" s="7">
        <f>IF(OR(I14="",L14&gt;=F14),"",MAX(0,TODAY()-I14))</f>
        <v/>
      </c>
      <c r="P14" s="7" t="inlineStr"/>
    </row>
    <row r="15" ht="39" customHeight="1">
      <c r="B15" s="7" t="inlineStr">
        <is>
          <t>F6</t>
        </is>
      </c>
      <c r="C15" s="7" t="inlineStr">
        <is>
          <t>Faculty</t>
        </is>
      </c>
      <c r="D15" s="7" t="inlineStr">
        <is>
          <t>FEIT – Faculty of Engineering and Information Technology</t>
        </is>
      </c>
      <c r="E15" s="7" t="inlineStr">
        <is>
          <t>TBC</t>
        </is>
      </c>
      <c r="F15" s="7" t="n">
        <v>9</v>
      </c>
      <c r="G15" s="7" t="inlineStr">
        <is>
          <t>FEIT - SR26 sustainability reporting request.xlsx</t>
        </is>
      </c>
      <c r="H15" s="42" t="n"/>
      <c r="I15" s="42" t="n">
        <v>46380</v>
      </c>
      <c r="J15" s="42">
        <f>IF(I15="","",I15-7)</f>
        <v/>
      </c>
      <c r="K15" s="42" t="inlineStr"/>
      <c r="L15" s="7">
        <f>SUMPRODUCT(--((LEN('Faculties'!$L$89:$L$98)+LEN('Faculties'!$M$89:$M$98))&gt;0))</f>
        <v/>
      </c>
      <c r="M15" s="7">
        <f>COUNTIF('Faculties'!$P$89:$P$98,"Yes")</f>
        <v/>
      </c>
      <c r="N15" s="7" t="inlineStr">
        <is>
          <t>Not sent</t>
        </is>
      </c>
      <c r="O15" s="7">
        <f>IF(OR(I15="",L15&gt;=F15),"",MAX(0,TODAY()-I15))</f>
        <v/>
      </c>
      <c r="P15" s="7" t="inlineStr"/>
    </row>
    <row r="16" ht="39" customHeight="1">
      <c r="B16" s="7" t="inlineStr">
        <is>
          <t>F7</t>
        </is>
      </c>
      <c r="C16" s="7" t="inlineStr">
        <is>
          <t>Faculty</t>
        </is>
      </c>
      <c r="D16" s="7" t="inlineStr">
        <is>
          <t>FoE – Faculty of Education</t>
        </is>
      </c>
      <c r="E16" s="7" t="inlineStr">
        <is>
          <t>TBC</t>
        </is>
      </c>
      <c r="F16" s="7" t="n">
        <v>9</v>
      </c>
      <c r="G16" s="7" t="inlineStr">
        <is>
          <t>FoE - SR26 sustainability reporting request.xlsx</t>
        </is>
      </c>
      <c r="H16" s="42" t="n"/>
      <c r="I16" s="42" t="n">
        <v>46380</v>
      </c>
      <c r="J16" s="42">
        <f>IF(I16="","",I16-7)</f>
        <v/>
      </c>
      <c r="K16" s="42" t="inlineStr"/>
      <c r="L16" s="7">
        <f>SUMPRODUCT(--((LEN('Faculties'!$L$105:$L$114)+LEN('Faculties'!$M$105:$M$114))&gt;0))</f>
        <v/>
      </c>
      <c r="M16" s="7">
        <f>COUNTIF('Faculties'!$P$105:$P$114,"Yes")</f>
        <v/>
      </c>
      <c r="N16" s="7" t="inlineStr">
        <is>
          <t>Not sent</t>
        </is>
      </c>
      <c r="O16" s="7">
        <f>IF(OR(I16="",L16&gt;=F16),"",MAX(0,TODAY()-I16))</f>
        <v/>
      </c>
      <c r="P16" s="7" t="inlineStr"/>
    </row>
    <row r="17" ht="39" customHeight="1">
      <c r="B17" s="7" t="inlineStr">
        <is>
          <t>F8</t>
        </is>
      </c>
      <c r="C17" s="7" t="inlineStr">
        <is>
          <t>Faculty</t>
        </is>
      </c>
      <c r="D17" s="7" t="inlineStr">
        <is>
          <t>MLS – Melbourne Law School</t>
        </is>
      </c>
      <c r="E17" s="7" t="inlineStr">
        <is>
          <t>TBC</t>
        </is>
      </c>
      <c r="F17" s="7" t="n">
        <v>9</v>
      </c>
      <c r="G17" s="7" t="inlineStr">
        <is>
          <t>MLS - SR26 sustainability reporting request.xlsx</t>
        </is>
      </c>
      <c r="H17" s="42" t="n"/>
      <c r="I17" s="42" t="n">
        <v>46380</v>
      </c>
      <c r="J17" s="42">
        <f>IF(I17="","",I17-7)</f>
        <v/>
      </c>
      <c r="K17" s="42" t="inlineStr"/>
      <c r="L17" s="7">
        <f>SUMPRODUCT(--((LEN('Faculties'!$L$121:$L$130)+LEN('Faculties'!$M$121:$M$130))&gt;0))</f>
        <v/>
      </c>
      <c r="M17" s="7">
        <f>COUNTIF('Faculties'!$P$121:$P$130,"Yes")</f>
        <v/>
      </c>
      <c r="N17" s="7" t="inlineStr">
        <is>
          <t>Not sent</t>
        </is>
      </c>
      <c r="O17" s="7">
        <f>IF(OR(I17="",L17&gt;=F17),"",MAX(0,TODAY()-I17))</f>
        <v/>
      </c>
      <c r="P17" s="7" t="inlineStr"/>
    </row>
    <row r="18" ht="39" customHeight="1">
      <c r="B18" s="7" t="inlineStr">
        <is>
          <t>F9</t>
        </is>
      </c>
      <c r="C18" s="7" t="inlineStr">
        <is>
          <t>Faculty</t>
        </is>
      </c>
      <c r="D18" s="7" t="inlineStr">
        <is>
          <t>MDHS – Faculty of Medicine, Dentistry and Health Sciences</t>
        </is>
      </c>
      <c r="E18" s="7" t="inlineStr">
        <is>
          <t>TBC</t>
        </is>
      </c>
      <c r="F18" s="7" t="n">
        <v>9</v>
      </c>
      <c r="G18" s="7" t="inlineStr">
        <is>
          <t>MDHS - SR26 sustainability reporting request.xlsx</t>
        </is>
      </c>
      <c r="H18" s="42" t="n"/>
      <c r="I18" s="42" t="n">
        <v>46380</v>
      </c>
      <c r="J18" s="42">
        <f>IF(I18="","",I18-7)</f>
        <v/>
      </c>
      <c r="K18" s="42" t="inlineStr"/>
      <c r="L18" s="7">
        <f>SUMPRODUCT(--((LEN('Faculties'!$L$137:$L$146)+LEN('Faculties'!$M$137:$M$146))&gt;0))</f>
        <v/>
      </c>
      <c r="M18" s="7">
        <f>COUNTIF('Faculties'!$P$137:$P$146,"Yes")</f>
        <v/>
      </c>
      <c r="N18" s="7" t="inlineStr">
        <is>
          <t>Not sent</t>
        </is>
      </c>
      <c r="O18" s="7">
        <f>IF(OR(I18="",L18&gt;=F18),"",MAX(0,TODAY()-I18))</f>
        <v/>
      </c>
      <c r="P18" s="7" t="inlineStr"/>
    </row>
    <row r="19" ht="39" customHeight="1">
      <c r="B19" s="7" t="inlineStr">
        <is>
          <t>C1</t>
        </is>
      </c>
      <c r="C19" s="7" t="inlineStr">
        <is>
          <t>Central</t>
        </is>
      </c>
      <c r="D19" s="7" t="inlineStr">
        <is>
          <t>CI&amp;S – Estate Planning &amp; Development (TBC: confirm with Gerard)</t>
        </is>
      </c>
      <c r="E19" s="7" t="inlineStr">
        <is>
          <t>TBC</t>
        </is>
      </c>
      <c r="F19" s="7" t="n">
        <v>5</v>
      </c>
      <c r="G19" s="7" t="inlineStr">
        <is>
          <t>CI&amp;S - SR26 sustainability reporting request.xlsx</t>
        </is>
      </c>
      <c r="H19" s="42" t="n"/>
      <c r="I19" s="42" t="n">
        <v>46380</v>
      </c>
      <c r="J19" s="42">
        <f>IF(I19="","",I19-7)</f>
        <v/>
      </c>
      <c r="K19" s="42" t="inlineStr"/>
      <c r="L19" s="7">
        <f>SUMPRODUCT(--((LEN('CI&amp;S'!$L$10:$L$15)+LEN('CI&amp;S'!$M$10:$M$15))&gt;0))</f>
        <v/>
      </c>
      <c r="M19" s="7">
        <f>COUNTIF('CI&amp;S'!$P$10:$P$15,"Yes")</f>
        <v/>
      </c>
      <c r="N19" s="7" t="inlineStr">
        <is>
          <t>Not sent</t>
        </is>
      </c>
      <c r="O19" s="7">
        <f>IF(OR(I19="",L19&gt;=F19),"",MAX(0,TODAY()-I19))</f>
        <v/>
      </c>
      <c r="P19" s="7" t="inlineStr"/>
    </row>
    <row r="20" ht="39" customHeight="1">
      <c r="B20" s="7" t="inlineStr">
        <is>
          <t>C2</t>
        </is>
      </c>
      <c r="C20" s="7" t="inlineStr">
        <is>
          <t>Central</t>
        </is>
      </c>
      <c r="D20" s="7" t="inlineStr">
        <is>
          <t>CI&amp;S – Sustainability Strategy (incl. CLLAP)</t>
        </is>
      </c>
      <c r="E20" s="7" t="inlineStr">
        <is>
          <t>TBC</t>
        </is>
      </c>
      <c r="F20" s="7" t="n">
        <v>14</v>
      </c>
      <c r="G20" s="7" t="inlineStr">
        <is>
          <t>CI&amp;S - SR26 sustainability reporting request.xlsx</t>
        </is>
      </c>
      <c r="H20" s="42" t="n"/>
      <c r="I20" s="42" t="n">
        <v>46380</v>
      </c>
      <c r="J20" s="42">
        <f>IF(I20="","",I20-7)</f>
        <v/>
      </c>
      <c r="K20" s="42" t="inlineStr"/>
      <c r="L20" s="7">
        <f>SUMPRODUCT(--((LEN('CI&amp;S'!$L$22:$L$36)+LEN('CI&amp;S'!$M$22:$M$36))&gt;0))</f>
        <v/>
      </c>
      <c r="M20" s="7">
        <f>COUNTIF('CI&amp;S'!$P$22:$P$36,"Yes")</f>
        <v/>
      </c>
      <c r="N20" s="7" t="inlineStr">
        <is>
          <t>Not sent</t>
        </is>
      </c>
      <c r="O20" s="7">
        <f>IF(OR(I20="",L20&gt;=F20),"",MAX(0,TODAY()-I20))</f>
        <v/>
      </c>
      <c r="P20" s="7" t="inlineStr"/>
    </row>
    <row r="21" ht="39" customHeight="1">
      <c r="B21" s="7" t="inlineStr">
        <is>
          <t>C3</t>
        </is>
      </c>
      <c r="C21" s="7" t="inlineStr">
        <is>
          <t>Central</t>
        </is>
      </c>
      <c r="D21" s="7" t="inlineStr">
        <is>
          <t>CFOG – Procurement</t>
        </is>
      </c>
      <c r="E21" s="7" t="inlineStr">
        <is>
          <t>TBC</t>
        </is>
      </c>
      <c r="F21" s="7" t="n">
        <v>6</v>
      </c>
      <c r="G21" s="7" t="inlineStr">
        <is>
          <t>CFOG - SR26 sustainability reporting request.xlsx</t>
        </is>
      </c>
      <c r="H21" s="42" t="n"/>
      <c r="I21" s="42" t="n">
        <v>46380</v>
      </c>
      <c r="J21" s="42">
        <f>IF(I21="","",I21-7)</f>
        <v/>
      </c>
      <c r="K21" s="42" t="inlineStr"/>
      <c r="L21" s="7">
        <f>SUMPRODUCT(--((LEN('CFOG'!$L$10:$L$16)+LEN('CFOG'!$M$10:$M$16))&gt;0))</f>
        <v/>
      </c>
      <c r="M21" s="7">
        <f>COUNTIF('CFOG'!$P$10:$P$16,"Yes")</f>
        <v/>
      </c>
      <c r="N21" s="7" t="inlineStr">
        <is>
          <t>Not sent</t>
        </is>
      </c>
      <c r="O21" s="7">
        <f>IF(OR(I21="",L21&gt;=F21),"",MAX(0,TODAY()-I21))</f>
        <v/>
      </c>
      <c r="P21" s="7" t="inlineStr"/>
    </row>
    <row r="22" ht="39" customHeight="1">
      <c r="B22" s="7" t="inlineStr">
        <is>
          <t>C4</t>
        </is>
      </c>
      <c r="C22" s="7" t="inlineStr">
        <is>
          <t>Central</t>
        </is>
      </c>
      <c r="D22" s="7" t="inlineStr">
        <is>
          <t>CFOG – Treasury &amp; Investments</t>
        </is>
      </c>
      <c r="E22" s="7" t="inlineStr">
        <is>
          <t>TBC</t>
        </is>
      </c>
      <c r="F22" s="7" t="n">
        <v>1</v>
      </c>
      <c r="G22" s="7" t="inlineStr">
        <is>
          <t>CFOG - SR26 sustainability reporting request.xlsx</t>
        </is>
      </c>
      <c r="H22" s="42" t="n"/>
      <c r="I22" s="42" t="n">
        <v>46380</v>
      </c>
      <c r="J22" s="42">
        <f>IF(I22="","",I22-7)</f>
        <v/>
      </c>
      <c r="K22" s="42" t="inlineStr"/>
      <c r="L22" s="7">
        <f>SUMPRODUCT(--((LEN('CFOG'!$L$23:$L$24)+LEN('CFOG'!$M$23:$M$24))&gt;0))</f>
        <v/>
      </c>
      <c r="M22" s="7">
        <f>COUNTIF('CFOG'!$P$23:$P$24,"Yes")</f>
        <v/>
      </c>
      <c r="N22" s="7" t="inlineStr">
        <is>
          <t>Not sent</t>
        </is>
      </c>
      <c r="O22" s="7">
        <f>IF(OR(I22="",L22&gt;=F22),"",MAX(0,TODAY()-I22))</f>
        <v/>
      </c>
      <c r="P22" s="7" t="inlineStr"/>
    </row>
    <row r="23" ht="39" customHeight="1">
      <c r="B23" s="7" t="inlineStr">
        <is>
          <t>C5</t>
        </is>
      </c>
      <c r="C23" s="7" t="inlineStr">
        <is>
          <t>Central</t>
        </is>
      </c>
      <c r="D23" s="7" t="inlineStr">
        <is>
          <t>ESG – Campus Operations &amp; Sustainability Delivery</t>
        </is>
      </c>
      <c r="E23" s="7" t="inlineStr">
        <is>
          <t>TBC</t>
        </is>
      </c>
      <c r="F23" s="7" t="n">
        <v>7</v>
      </c>
      <c r="G23" s="7" t="inlineStr">
        <is>
          <t>ESG - SR26 sustainability reporting request.xlsx</t>
        </is>
      </c>
      <c r="H23" s="42" t="n"/>
      <c r="I23" s="42" t="n">
        <v>46380</v>
      </c>
      <c r="J23" s="42">
        <f>IF(I23="","",I23-7)</f>
        <v/>
      </c>
      <c r="K23" s="42" t="inlineStr"/>
      <c r="L23" s="7">
        <f>SUMPRODUCT(--((LEN('ESG'!$L$10:$L$17)+LEN('ESG'!$M$10:$M$17))&gt;0))</f>
        <v/>
      </c>
      <c r="M23" s="7">
        <f>COUNTIF('ESG'!$P$10:$P$17,"Yes")</f>
        <v/>
      </c>
      <c r="N23" s="7" t="inlineStr">
        <is>
          <t>Not sent</t>
        </is>
      </c>
      <c r="O23" s="7">
        <f>IF(OR(I23="",L23&gt;=F23),"",MAX(0,TODAY()-I23))</f>
        <v/>
      </c>
      <c r="P23" s="7" t="inlineStr"/>
    </row>
    <row r="24" ht="39" customHeight="1">
      <c r="B24" s="7" t="inlineStr">
        <is>
          <t>C6</t>
        </is>
      </c>
      <c r="C24" s="7" t="inlineStr">
        <is>
          <t>Central</t>
        </is>
      </c>
      <c r="D24" s="7" t="inlineStr">
        <is>
          <t>CIOG – Responsible AI &amp; digital</t>
        </is>
      </c>
      <c r="E24" s="7" t="inlineStr">
        <is>
          <t>TBC</t>
        </is>
      </c>
      <c r="F24" s="7" t="n">
        <v>4</v>
      </c>
      <c r="G24" s="7" t="inlineStr">
        <is>
          <t>CIOG - SR26 sustainability reporting request.xlsx</t>
        </is>
      </c>
      <c r="H24" s="42" t="n"/>
      <c r="I24" s="42" t="n">
        <v>46380</v>
      </c>
      <c r="J24" s="42">
        <f>IF(I24="","",I24-7)</f>
        <v/>
      </c>
      <c r="K24" s="42" t="inlineStr"/>
      <c r="L24" s="7">
        <f>SUMPRODUCT(--((LEN('CIOG'!$L$10:$L$14)+LEN('CIOG'!$M$10:$M$14))&gt;0))</f>
        <v/>
      </c>
      <c r="M24" s="7">
        <f>COUNTIF('CIOG'!$P$10:$P$14,"Yes")</f>
        <v/>
      </c>
      <c r="N24" s="7" t="inlineStr">
        <is>
          <t>Not sent</t>
        </is>
      </c>
      <c r="O24" s="7">
        <f>IF(OR(I24="",L24&gt;=F24),"",MAX(0,TODAY()-I24))</f>
        <v/>
      </c>
      <c r="P24" s="7" t="inlineStr"/>
    </row>
    <row r="25" ht="39" customHeight="1">
      <c r="B25" s="7" t="inlineStr">
        <is>
          <t>C7</t>
        </is>
      </c>
      <c r="C25" s="7" t="inlineStr">
        <is>
          <t>Central</t>
        </is>
      </c>
      <c r="D25" s="7" t="inlineStr">
        <is>
          <t>MRE – Research (incl. MBI for NB2(a) nature footprint)</t>
        </is>
      </c>
      <c r="E25" s="7" t="inlineStr">
        <is>
          <t>TBC</t>
        </is>
      </c>
      <c r="F25" s="7" t="n">
        <v>8</v>
      </c>
      <c r="G25" s="7" t="inlineStr">
        <is>
          <t>MRE - SR26 sustainability reporting request.xlsx</t>
        </is>
      </c>
      <c r="H25" s="42" t="n"/>
      <c r="I25" s="42" t="n">
        <v>46380</v>
      </c>
      <c r="J25" s="42">
        <f>IF(I25="","",I25-7)</f>
        <v/>
      </c>
      <c r="K25" s="42" t="inlineStr"/>
      <c r="L25" s="7">
        <f>SUMPRODUCT(--((LEN('MRE'!$L$10:$L$18)+LEN('MRE'!$M$10:$M$18))&gt;0))</f>
        <v/>
      </c>
      <c r="M25" s="7">
        <f>COUNTIF('MRE'!$P$10:$P$18,"Yes")</f>
        <v/>
      </c>
      <c r="N25" s="7" t="inlineStr">
        <is>
          <t>Not sent</t>
        </is>
      </c>
      <c r="O25" s="7">
        <f>IF(OR(I25="",L25&gt;=F25),"",MAX(0,TODAY()-I25))</f>
        <v/>
      </c>
      <c r="P25" s="7" t="inlineStr"/>
    </row>
    <row r="26" ht="39" customHeight="1">
      <c r="B26" s="7" t="inlineStr">
        <is>
          <t>C8</t>
        </is>
      </c>
      <c r="C26" s="7" t="inlineStr">
        <is>
          <t>Central</t>
        </is>
      </c>
      <c r="D26" s="7" t="inlineStr">
        <is>
          <t>AC&amp;M – Advancement, Communication and Marketing</t>
        </is>
      </c>
      <c r="E26" s="7" t="inlineStr">
        <is>
          <t>TBC</t>
        </is>
      </c>
      <c r="F26" s="7" t="n">
        <v>4</v>
      </c>
      <c r="G26" s="7" t="inlineStr">
        <is>
          <t>ACM - SR26 sustainability reporting request.xlsx</t>
        </is>
      </c>
      <c r="H26" s="42" t="n"/>
      <c r="I26" s="42" t="n">
        <v>46380</v>
      </c>
      <c r="J26" s="42">
        <f>IF(I26="","",I26-7)</f>
        <v/>
      </c>
      <c r="K26" s="42" t="inlineStr"/>
      <c r="L26" s="7">
        <f>SUMPRODUCT(--((LEN('AC&amp;M'!$L$10:$L$14)+LEN('AC&amp;M'!$M$10:$M$14))&gt;0))</f>
        <v/>
      </c>
      <c r="M26" s="7">
        <f>COUNTIF('AC&amp;M'!$P$10:$P$14,"Yes")</f>
        <v/>
      </c>
      <c r="N26" s="7" t="inlineStr">
        <is>
          <t>Not sent</t>
        </is>
      </c>
      <c r="O26" s="7">
        <f>IF(OR(I26="",L26&gt;=F26),"",MAX(0,TODAY()-I26))</f>
        <v/>
      </c>
      <c r="P26" s="7" t="inlineStr"/>
    </row>
    <row r="27" ht="39" customHeight="1">
      <c r="B27" s="7" t="inlineStr">
        <is>
          <t>C9</t>
        </is>
      </c>
      <c r="C27" s="7" t="inlineStr">
        <is>
          <t>Central</t>
        </is>
      </c>
      <c r="D27" s="7" t="inlineStr">
        <is>
          <t>GCE – Global, Culture and Engagement</t>
        </is>
      </c>
      <c r="E27" s="7" t="inlineStr">
        <is>
          <t>TBC</t>
        </is>
      </c>
      <c r="F27" s="7" t="n">
        <v>2</v>
      </c>
      <c r="G27" s="7" t="inlineStr">
        <is>
          <t>GCE - SR26 sustainability reporting request.xlsx</t>
        </is>
      </c>
      <c r="H27" s="42" t="n"/>
      <c r="I27" s="42" t="n">
        <v>46380</v>
      </c>
      <c r="J27" s="42">
        <f>IF(I27="","",I27-7)</f>
        <v/>
      </c>
      <c r="K27" s="42" t="inlineStr"/>
      <c r="L27" s="7">
        <f>SUMPRODUCT(--((LEN('GCE'!$L$10:$L$12)+LEN('GCE'!$M$10:$M$12))&gt;0))</f>
        <v/>
      </c>
      <c r="M27" s="7">
        <f>COUNTIF('GCE'!$P$10:$P$12,"Yes")</f>
        <v/>
      </c>
      <c r="N27" s="7" t="inlineStr">
        <is>
          <t>Not sent</t>
        </is>
      </c>
      <c r="O27" s="7">
        <f>IF(OR(I27="",L27&gt;=F27),"",MAX(0,TODAY()-I27))</f>
        <v/>
      </c>
      <c r="P27" s="7" t="inlineStr"/>
    </row>
    <row r="28" ht="39" customHeight="1">
      <c r="B28" s="7" t="inlineStr">
        <is>
          <t>C10</t>
        </is>
      </c>
      <c r="C28" s="7" t="inlineStr">
        <is>
          <t>Central</t>
        </is>
      </c>
      <c r="D28" s="7" t="inlineStr">
        <is>
          <t>Education – Chancellery Education</t>
        </is>
      </c>
      <c r="E28" s="7" t="inlineStr">
        <is>
          <t>TBC</t>
        </is>
      </c>
      <c r="F28" s="7" t="n">
        <v>3</v>
      </c>
      <c r="G28" s="7" t="inlineStr">
        <is>
          <t>Education - SR26 sustainability reporting request.xlsx</t>
        </is>
      </c>
      <c r="H28" s="42" t="n"/>
      <c r="I28" s="42" t="n">
        <v>46380</v>
      </c>
      <c r="J28" s="42">
        <f>IF(I28="","",I28-7)</f>
        <v/>
      </c>
      <c r="K28" s="42" t="inlineStr"/>
      <c r="L28" s="7">
        <f>SUMPRODUCT(--((LEN('Education'!$L$10:$L$13)+LEN('Education'!$M$10:$M$13))&gt;0))</f>
        <v/>
      </c>
      <c r="M28" s="7">
        <f>COUNTIF('Education'!$P$10:$P$13,"Yes")</f>
        <v/>
      </c>
      <c r="N28" s="7" t="inlineStr">
        <is>
          <t>Not sent</t>
        </is>
      </c>
      <c r="O28" s="7">
        <f>IF(OR(I28="",L28&gt;=F28),"",MAX(0,TODAY()-I28))</f>
        <v/>
      </c>
      <c r="P28" s="7" t="inlineStr"/>
    </row>
    <row r="29" ht="39" customHeight="1">
      <c r="B29" s="7" t="inlineStr">
        <is>
          <t>C11</t>
        </is>
      </c>
      <c r="C29" s="7" t="inlineStr">
        <is>
          <t>Central</t>
        </is>
      </c>
      <c r="D29" s="7" t="inlineStr">
        <is>
          <t>SaSS – Student and Scholarly Services</t>
        </is>
      </c>
      <c r="E29" s="7" t="inlineStr">
        <is>
          <t>TBC</t>
        </is>
      </c>
      <c r="F29" s="7" t="n">
        <v>2</v>
      </c>
      <c r="G29" s="7" t="inlineStr">
        <is>
          <t>SaSS - SR26 sustainability reporting request.xlsx</t>
        </is>
      </c>
      <c r="H29" s="42" t="n"/>
      <c r="I29" s="42" t="n">
        <v>46380</v>
      </c>
      <c r="J29" s="42">
        <f>IF(I29="","",I29-7)</f>
        <v/>
      </c>
      <c r="K29" s="42" t="inlineStr"/>
      <c r="L29" s="7">
        <f>SUMPRODUCT(--((LEN('SaSS'!$L$10:$L$12)+LEN('SaSS'!$M$10:$M$12))&gt;0))</f>
        <v/>
      </c>
      <c r="M29" s="7">
        <f>COUNTIF('SaSS'!$P$10:$P$12,"Yes")</f>
        <v/>
      </c>
      <c r="N29" s="7" t="inlineStr">
        <is>
          <t>Not sent</t>
        </is>
      </c>
      <c r="O29" s="7">
        <f>IF(OR(I29="",L29&gt;=F29),"",MAX(0,TODAY()-I29))</f>
        <v/>
      </c>
      <c r="P29" s="7" t="inlineStr"/>
    </row>
    <row r="30" ht="39" customHeight="1">
      <c r="B30" s="7" t="inlineStr">
        <is>
          <t>C12</t>
        </is>
      </c>
      <c r="C30" s="7" t="inlineStr">
        <is>
          <t>Central</t>
        </is>
      </c>
      <c r="D30" s="7" t="inlineStr">
        <is>
          <t>Indigenous – Chancellery Indigenous</t>
        </is>
      </c>
      <c r="E30" s="7" t="inlineStr">
        <is>
          <t>TBC</t>
        </is>
      </c>
      <c r="F30" s="7" t="n">
        <v>1</v>
      </c>
      <c r="G30" s="7" t="inlineStr">
        <is>
          <t>Indigenous - SR26 sustainability reporting request.xlsx</t>
        </is>
      </c>
      <c r="H30" s="42" t="n"/>
      <c r="I30" s="42" t="n">
        <v>46380</v>
      </c>
      <c r="J30" s="42">
        <f>IF(I30="","",I30-7)</f>
        <v/>
      </c>
      <c r="K30" s="42" t="inlineStr"/>
      <c r="L30" s="7">
        <f>SUMPRODUCT(--((LEN('Indigenous'!$L$10:$L$11)+LEN('Indigenous'!$M$10:$M$11))&gt;0))</f>
        <v/>
      </c>
      <c r="M30" s="7">
        <f>COUNTIF('Indigenous'!$P$10:$P$11,"Yes")</f>
        <v/>
      </c>
      <c r="N30" s="7" t="inlineStr">
        <is>
          <t>Not sent</t>
        </is>
      </c>
      <c r="O30" s="7">
        <f>IF(OR(I30="",L30&gt;=F30),"",MAX(0,TODAY()-I30))</f>
        <v/>
      </c>
      <c r="P30" s="7" t="inlineStr"/>
    </row>
    <row r="31" ht="39" customHeight="1">
      <c r="B31" s="7" t="inlineStr">
        <is>
          <t>C13</t>
        </is>
      </c>
      <c r="C31" s="7" t="inlineStr">
        <is>
          <t>Central</t>
        </is>
      </c>
      <c r="D31" s="7" t="inlineStr">
        <is>
          <t>Legal &amp; Risk – Risk &amp; resilience</t>
        </is>
      </c>
      <c r="E31" s="7" t="inlineStr">
        <is>
          <t>TBC</t>
        </is>
      </c>
      <c r="F31" s="7" t="n">
        <v>1</v>
      </c>
      <c r="G31" s="7" t="inlineStr">
        <is>
          <t>L&amp;R - SR26 sustainability reporting request.xlsx</t>
        </is>
      </c>
      <c r="H31" s="42" t="n"/>
      <c r="I31" s="42" t="n">
        <v>46380</v>
      </c>
      <c r="J31" s="42">
        <f>IF(I31="","",I31-7)</f>
        <v/>
      </c>
      <c r="K31" s="42" t="inlineStr"/>
      <c r="L31" s="7">
        <f>SUMPRODUCT(--((LEN('L&amp;R'!$L$10:$L$11)+LEN('L&amp;R'!$M$10:$M$11))&gt;0))</f>
        <v/>
      </c>
      <c r="M31" s="7">
        <f>COUNTIF('L&amp;R'!$P$10:$P$11,"Yes")</f>
        <v/>
      </c>
      <c r="N31" s="7" t="inlineStr">
        <is>
          <t>Not sent</t>
        </is>
      </c>
      <c r="O31" s="7">
        <f>IF(OR(I31="",L31&gt;=F31),"",MAX(0,TODAY()-I31))</f>
        <v/>
      </c>
      <c r="P31" s="7" t="inlineStr"/>
    </row>
  </sheetData>
  <dataValidations count="1">
    <dataValidation sqref="N10:N31" showDropDown="0" showInputMessage="0" showErrorMessage="0" allowBlank="1" errorTitle="Invalid entry" error="Please select from the dropdown" type="list">
      <formula1>=Lists!$D$2:$D$9</formula1>
    </dataValidation>
  </dataValidation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0"/>
    <pageSetUpPr/>
  </sheetPr>
  <dimension ref="A1:R146"/>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Faculties</t>
        </is>
      </c>
      <c r="C2" s="1" t="n"/>
      <c r="D2" s="1" t="n"/>
      <c r="E2" s="1" t="n"/>
      <c r="F2" s="1" t="n"/>
      <c r="G2" s="1" t="n"/>
      <c r="H2" s="1" t="n"/>
      <c r="I2" s="1" t="n"/>
      <c r="J2" s="1" t="n"/>
      <c r="K2" s="1" t="n"/>
      <c r="L2" s="1" t="n"/>
      <c r="M2" s="1" t="n"/>
      <c r="N2" s="1" t="n"/>
      <c r="O2" s="1" t="n"/>
      <c r="P2" s="1" t="n"/>
      <c r="Q2" s="1" t="n"/>
      <c r="R2" s="1" t="n"/>
    </row>
    <row r="3" ht="22" customHeight="1">
      <c r="B3" s="19" t="inlineStr">
        <is>
          <t>Consolidated responses – paste from returned request workbooks (identical column layout). Click [+] above Columns H–K for end-2025 responses.</t>
        </is>
      </c>
    </row>
    <row r="4"/>
    <row r="5" ht="39" customHeight="1">
      <c r="B5" s="43" t="inlineStr">
        <is>
          <t>1.1  ABP – Faculty of Architecture, Building and Planning</t>
        </is>
      </c>
    </row>
    <row r="6"/>
    <row r="7" ht="27" customHeight="1">
      <c r="C7" s="44" t="inlineStr">
        <is>
          <t>Sustainability 2030 target and indicator</t>
        </is>
      </c>
      <c r="H7" s="44" t="inlineStr">
        <is>
          <t>SR25 response</t>
        </is>
      </c>
      <c r="L7" s="45" t="inlineStr">
        <is>
          <t>End-2026 reporting (PLEASE COMPLETE THIS SECTION)</t>
        </is>
      </c>
    </row>
    <row r="8" ht="60" customHeight="1">
      <c r="B8" s="5" t="inlineStr">
        <is>
          <t>Ref</t>
        </is>
      </c>
      <c r="C8" s="5" t="inlineStr">
        <is>
          <t>Priority area</t>
        </is>
      </c>
      <c r="D8" s="5" t="inlineStr">
        <is>
          <t>Sustainability 2030 target</t>
        </is>
      </c>
      <c r="E8" s="5" t="inlineStr">
        <is>
          <t>Indicator</t>
        </is>
      </c>
      <c r="F8" s="5" t="inlineStr">
        <is>
          <t>2026 Reporting request</t>
        </is>
      </c>
      <c r="G8" s="5" t="inlineStr">
        <is>
          <t>How SST will use this data</t>
        </is>
      </c>
      <c r="H8" s="5" t="inlineStr">
        <is>
          <t>Related SR25 ref</t>
        </is>
      </c>
      <c r="I8" s="5" t="inlineStr">
        <is>
          <t>End-2025 confirmed status</t>
        </is>
      </c>
      <c r="J8" s="5" t="inlineStr">
        <is>
          <t>End-2025 reporting response</t>
        </is>
      </c>
      <c r="K8" s="5"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352" customHeight="1">
      <c r="B10" s="6" t="inlineStr">
        <is>
          <t>EE1(a)</t>
        </is>
      </c>
      <c r="C10" s="48" t="inlineStr">
        <is>
          <t>Exceptional education</t>
        </is>
      </c>
      <c r="D10" s="48" t="inlineStr">
        <is>
          <t>Provide our students with learning experiences that help them build the knowledge, skills and relationships to lead change for sustainable societies.</t>
        </is>
      </c>
      <c r="E10" s="48" t="inlineStr">
        <is>
          <t>Evidence of innovative approaches to sustainability teaching and learning</t>
        </is>
      </c>
      <c r="F10" s="7" t="inlineStr">
        <is>
          <t>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Please note that this indicator will be addressed at the joint Associate Deans Sustainability and Associate Deans Teaching and Learning session on 23 November 2026. Please feel free to summarise what your faculty presented at this session - further information is welcome but not required.
In end-2025 reporting your faculty reported on the related SP2030 target 4a(ii) (see Column J – click [+] above Columns I–K).</t>
        </is>
      </c>
      <c r="G10" s="7"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0" s="7" t="inlineStr">
        <is>
          <t>4a(ii)</t>
        </is>
      </c>
      <c r="I10" s="7" t="inlineStr">
        <is>
          <t>Partially met</t>
        </is>
      </c>
      <c r="J10" s="7" t="inlineStr">
        <is>
          <t>The Faculty has continued to make substantial and discipline-wide progress in embedding sustainability into the curriculum in ways that extend well beyond baseline requirements, ensuring that students critically engage with both the beneficial and harmful impacts of the built environment on environmental and human systems.
A central mechanism for this work in 2025 has been the forward planning and strategic renewal of all Master’s programs across the Faculty, led by Professor Dan Hill under the Designing Futures strategy. This process goes beyond incremental subject updates and instead focuses on holistic program-level reform, explicitly positioning sustainability as a core organising principle rather than an add-on topic.
In practice, this has involved structured, discipline-specific workshops bringing together all academic staff within each program to reflect on:
- the current state of sustainability integration across subjects,
- emerging societal, environmental and industry challenges,
- the skills and capabilities graduates will require to respond responsibly and effectively,
- how sustainability is communicated, scaffolded and reinforced across the program.
A recent example is the Master of Construction Management, where a half-day, facilitated workshop brought together the full academic teaching team to collectively review the program’s direction. Guided by Professor Hill, the session examined course narratives, subject sequencing, learning outcomes and focus areas, with particular attention to how issues such as embodied carbon, circular construction, climate risk, systems thinking and ethical responsibility are integrated throughout the degree. The outcome of this process is a clearer, more coherent approach to sustainability that is embedded across core and specialist subjects, rather than confined to standalone units.
Complementing this program-level work, the Faculty has continued the development of two new sustainability-focused subjects—one at undergraduate level and one at graduate level—both designed to foster interdisciplinary, applied engagement with climate and sustainability challenges. Ongoing curriculum mapping across programs further supports this effort by identifying sustainability-rich learning pathways and informing both subject development and student advising.
Together, these initiatives demonstrate a deliberate and sustained commitment to embedding sustainability deeply and coherently across the curriculum, ensuring that graduates across all disciplines develop a critical understanding of the environmental and human systems they shape through professional practice.</t>
        </is>
      </c>
      <c r="K10" s="7" t="inlineStr"/>
      <c r="L10" s="9">
        <f>IFERROR(IF(INDEX('[1]1. Reporting template'!$L$1:$L$400,MATCH($B10,'[1]1. Reporting template'!$B$1:$B$400,0))="","",INDEX('[1]1. Reporting template'!$L$1:$L$400,MATCH($B10,'[1]1. Reporting template'!$B$1:$B$400,0))),"")</f>
        <v/>
      </c>
      <c r="M10" s="9">
        <f>IFERROR(IF(INDEX('[1]1. Reporting template'!$M$1:$M$400,MATCH($B10,'[1]1. Reporting template'!$B$1:$B$400,0))="","",INDEX('[1]1. Reporting template'!$M$1:$M$400,MATCH($B10,'[1]1. Reporting template'!$B$1:$B$400,0))),"")</f>
        <v/>
      </c>
      <c r="N10" s="9">
        <f>IFERROR(IF(INDEX('[1]1. Reporting template'!$N$1:$N$400,MATCH($B10,'[1]1. Reporting template'!$B$1:$B$400,0))="","",INDEX('[1]1. Reporting template'!$N$1:$N$400,MATCH($B10,'[1]1. Reporting template'!$B$1:$B$400,0))),"")</f>
        <v/>
      </c>
      <c r="O10" s="9">
        <f>IFERROR(IF(INDEX('[1]1. Reporting template'!$O$1:$O$400,MATCH($B10,'[1]1. Reporting template'!$B$1:$B$400,0))="","",INDEX('[1]1. Reporting template'!$O$1:$O$400,MATCH($B10,'[1]1. Reporting template'!$B$1:$B$400,0))),"")</f>
        <v/>
      </c>
      <c r="P10" s="9">
        <f>IFERROR(IF(INDEX('[1]1. Reporting template'!$P$1:$P$400,MATCH($B10,'[1]1. Reporting template'!$B$1:$B$400,0))="","",INDEX('[1]1. Reporting template'!$P$1:$P$400,MATCH($B10,'[1]1. Reporting template'!$B$1:$B$400,0))),"")</f>
        <v/>
      </c>
      <c r="Q10" s="9">
        <f>IFERROR(IF(INDEX('[1]1. Reporting template'!$Q$1:$Q$400,MATCH($B10,'[1]1. Reporting template'!$B$1:$B$400,0))="","",INDEX('[1]1. Reporting template'!$Q$1:$Q$400,MATCH($B10,'[1]1. Reporting template'!$B$1:$B$400,0))),"")</f>
        <v/>
      </c>
    </row>
    <row r="11" ht="270" customHeight="1">
      <c r="B11" s="6" t="inlineStr">
        <is>
          <t>TR1(a)</t>
        </is>
      </c>
      <c r="C11" s="48" t="inlineStr">
        <is>
          <t>Transformational research</t>
        </is>
      </c>
      <c r="D11" s="48" t="inlineStr">
        <is>
          <t>Utilise the expertise of the University’s researchers through mutually beneficial partnerships to help address the University’s operational sustainability challenges.</t>
        </is>
      </c>
      <c r="E11" s="48" t="inlineStr">
        <is>
          <t>Expert-reviewed evidence of researchers contributing to operational sustainability priorities through partnerships, advisory input, living labs, applied projects or decision-support</t>
        </is>
      </c>
      <c r="F11" s="7" t="inlineStr">
        <is>
          <t>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Please note, we will collect case studies on Campus Living Lab Accelerator Program projects directly from project owners - no need to include these.
In end-2025 reporting your faculty reported on the related SP2030 target 2a (see Column J – click [+] above Columns I–K).</t>
        </is>
      </c>
      <c r="G11" s="7" t="inlineStr">
        <is>
          <t>We will report on examples of researchers helping solve the University's own operational sustainability challenges, alongside Campus Living Lab Accelerator Program case studies collected directly from project owners, and share them with operational teams to identify further collaboration.</t>
        </is>
      </c>
      <c r="H11" s="7" t="inlineStr">
        <is>
          <t>2a</t>
        </is>
      </c>
      <c r="I11" s="7" t="inlineStr">
        <is>
          <t>Met or exceeded</t>
        </is>
      </c>
      <c r="J11" s="7"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
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K11" s="7" t="inlineStr"/>
      <c r="L11" s="9">
        <f>IFERROR(IF(INDEX('[1]1. Reporting template'!$L$1:$L$400,MATCH($B11,'[1]1. Reporting template'!$B$1:$B$400,0))="","",INDEX('[1]1. Reporting template'!$L$1:$L$400,MATCH($B11,'[1]1. Reporting template'!$B$1:$B$400,0))),"")</f>
        <v/>
      </c>
      <c r="M11" s="9">
        <f>IFERROR(IF(INDEX('[1]1. Reporting template'!$M$1:$M$400,MATCH($B11,'[1]1. Reporting template'!$B$1:$B$400,0))="","",INDEX('[1]1. Reporting template'!$M$1:$M$400,MATCH($B11,'[1]1. Reporting template'!$B$1:$B$400,0))),"")</f>
        <v/>
      </c>
      <c r="N11" s="9">
        <f>IFERROR(IF(INDEX('[1]1. Reporting template'!$N$1:$N$400,MATCH($B11,'[1]1. Reporting template'!$B$1:$B$400,0))="","",INDEX('[1]1. Reporting template'!$N$1:$N$400,MATCH($B11,'[1]1. Reporting template'!$B$1:$B$400,0))),"")</f>
        <v/>
      </c>
      <c r="O11" s="9">
        <f>IFERROR(IF(INDEX('[1]1. Reporting template'!$O$1:$O$400,MATCH($B11,'[1]1. Reporting template'!$B$1:$B$400,0))="","",INDEX('[1]1. Reporting template'!$O$1:$O$400,MATCH($B11,'[1]1. Reporting template'!$B$1:$B$400,0))),"")</f>
        <v/>
      </c>
      <c r="P11" s="9">
        <f>IFERROR(IF(INDEX('[1]1. Reporting template'!$P$1:$P$400,MATCH($B11,'[1]1. Reporting template'!$B$1:$B$400,0))="","",INDEX('[1]1. Reporting template'!$P$1:$P$400,MATCH($B11,'[1]1. Reporting template'!$B$1:$B$400,0))),"")</f>
        <v/>
      </c>
      <c r="Q11" s="9">
        <f>IFERROR(IF(INDEX('[1]1. Reporting template'!$Q$1:$Q$400,MATCH($B11,'[1]1. Reporting template'!$B$1:$B$400,0))="","",INDEX('[1]1. Reporting template'!$Q$1:$Q$400,MATCH($B11,'[1]1. Reporting template'!$B$1:$B$400,0))),"")</f>
        <v/>
      </c>
    </row>
    <row r="12" ht="270" customHeight="1">
      <c r="B12" s="6" t="inlineStr">
        <is>
          <t>TR2(a)</t>
        </is>
      </c>
      <c r="C12" s="48" t="inlineStr">
        <is>
          <t>Transformational research</t>
        </is>
      </c>
      <c r="D12" s="48" t="inlineStr">
        <is>
          <t>Deliver high-quality research and partnerships that contribute to sustainability outcomes and demonstrable societal benefit.</t>
        </is>
      </c>
      <c r="E12" s="48" t="inlineStr">
        <is>
          <t>Evidence of sustainability-related research impact across diverse pathways, could include policy, industry, community, practice, cultural and institutional outcomes</t>
        </is>
      </c>
      <c r="F12" s="7" t="inlineStr">
        <is>
          <t>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Melbourne Research and Enterprise (MRE) – publication counts are not required.
In end-2025 reporting your faculty reported on the related SP2030 target 5b(i) (see Column J – click [+] above Columns I–K).</t>
        </is>
      </c>
      <c r="G12" s="7" t="inlineStr">
        <is>
          <t>We will collate research impact examples across faculties to show the breadth of sustainability-related research impact in the Transformational research section of the 2026 Sustainability Report, complementing University-wide metrics from Melbourne Research and Enterprise (MRE).</t>
        </is>
      </c>
      <c r="H12" s="7" t="inlineStr">
        <is>
          <t>5b(i)</t>
        </is>
      </c>
      <c r="I12" s="7" t="inlineStr">
        <is>
          <t>Met or exceeded</t>
        </is>
      </c>
      <c r="J12" s="7"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
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K12" s="7" t="inlineStr">
        <is>
          <t>www.beyondepic.io</t>
        </is>
      </c>
      <c r="L12" s="9">
        <f>IFERROR(IF(INDEX('[1]1. Reporting template'!$L$1:$L$400,MATCH($B12,'[1]1. Reporting template'!$B$1:$B$400,0))="","",INDEX('[1]1. Reporting template'!$L$1:$L$400,MATCH($B12,'[1]1. Reporting template'!$B$1:$B$400,0))),"")</f>
        <v/>
      </c>
      <c r="M12" s="9">
        <f>IFERROR(IF(INDEX('[1]1. Reporting template'!$M$1:$M$400,MATCH($B12,'[1]1. Reporting template'!$B$1:$B$400,0))="","",INDEX('[1]1. Reporting template'!$M$1:$M$400,MATCH($B12,'[1]1. Reporting template'!$B$1:$B$400,0))),"")</f>
        <v/>
      </c>
      <c r="N12" s="9">
        <f>IFERROR(IF(INDEX('[1]1. Reporting template'!$N$1:$N$400,MATCH($B12,'[1]1. Reporting template'!$B$1:$B$400,0))="","",INDEX('[1]1. Reporting template'!$N$1:$N$400,MATCH($B12,'[1]1. Reporting template'!$B$1:$B$400,0))),"")</f>
        <v/>
      </c>
      <c r="O12" s="9">
        <f>IFERROR(IF(INDEX('[1]1. Reporting template'!$O$1:$O$400,MATCH($B12,'[1]1. Reporting template'!$B$1:$B$400,0))="","",INDEX('[1]1. Reporting template'!$O$1:$O$400,MATCH($B12,'[1]1. Reporting template'!$B$1:$B$400,0))),"")</f>
        <v/>
      </c>
      <c r="P12" s="9">
        <f>IFERROR(IF(INDEX('[1]1. Reporting template'!$P$1:$P$400,MATCH($B12,'[1]1. Reporting template'!$B$1:$B$400,0))="","",INDEX('[1]1. Reporting template'!$P$1:$P$400,MATCH($B12,'[1]1. Reporting template'!$B$1:$B$400,0))),"")</f>
        <v/>
      </c>
      <c r="Q12" s="9">
        <f>IFERROR(IF(INDEX('[1]1. Reporting template'!$Q$1:$Q$400,MATCH($B12,'[1]1. Reporting template'!$B$1:$B$400,0))="","",INDEX('[1]1. Reporting template'!$Q$1:$Q$400,MATCH($B12,'[1]1. Reporting template'!$B$1:$B$400,0))),"")</f>
        <v/>
      </c>
    </row>
    <row r="13" ht="237" customHeight="1">
      <c r="B13" s="6" t="inlineStr">
        <is>
          <t>TR2(d)</t>
        </is>
      </c>
      <c r="C13" s="48" t="inlineStr">
        <is>
          <t>Transformational research</t>
        </is>
      </c>
      <c r="D13" s="48" t="inlineStr">
        <is>
          <t>Deliver high-quality research and partnerships that contribute to sustainability outcomes and demonstrable societal benefit.</t>
        </is>
      </c>
      <c r="E13" s="48" t="inlineStr">
        <is>
          <t>Case-based evidence demonstrating how research has contributed to meaningful sustainability outcomes.</t>
        </is>
      </c>
      <c r="F13" s="7" t="inlineStr">
        <is>
          <t>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
In end-2025 reporting your faculty reported on the related SP2030 target 5b(i) (see Column J – click [+] above Columns I–K).</t>
        </is>
      </c>
      <c r="G13" s="7" t="inlineStr">
        <is>
          <t>We will select the strongest examples to develop as full research case studies for the 2026 Sustainability Report (we may contact you for more detail and images).</t>
        </is>
      </c>
      <c r="H13" s="7" t="inlineStr">
        <is>
          <t>5b(i)</t>
        </is>
      </c>
      <c r="I13" s="7" t="inlineStr">
        <is>
          <t>Met or exceeded</t>
        </is>
      </c>
      <c r="J13" s="7"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
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K13" s="7" t="inlineStr">
        <is>
          <t>www.beyondepic.io</t>
        </is>
      </c>
      <c r="L13" s="9">
        <f>IFERROR(IF(INDEX('[1]1. Reporting template'!$L$1:$L$400,MATCH($B13,'[1]1. Reporting template'!$B$1:$B$400,0))="","",INDEX('[1]1. Reporting template'!$L$1:$L$400,MATCH($B13,'[1]1. Reporting template'!$B$1:$B$400,0))),"")</f>
        <v/>
      </c>
      <c r="M13" s="9">
        <f>IFERROR(IF(INDEX('[1]1. Reporting template'!$M$1:$M$400,MATCH($B13,'[1]1. Reporting template'!$B$1:$B$400,0))="","",INDEX('[1]1. Reporting template'!$M$1:$M$400,MATCH($B13,'[1]1. Reporting template'!$B$1:$B$400,0))),"")</f>
        <v/>
      </c>
      <c r="N13" s="9">
        <f>IFERROR(IF(INDEX('[1]1. Reporting template'!$N$1:$N$400,MATCH($B13,'[1]1. Reporting template'!$B$1:$B$400,0))="","",INDEX('[1]1. Reporting template'!$N$1:$N$400,MATCH($B13,'[1]1. Reporting template'!$B$1:$B$400,0))),"")</f>
        <v/>
      </c>
      <c r="O13" s="9">
        <f>IFERROR(IF(INDEX('[1]1. Reporting template'!$O$1:$O$400,MATCH($B13,'[1]1. Reporting template'!$B$1:$B$400,0))="","",INDEX('[1]1. Reporting template'!$O$1:$O$400,MATCH($B13,'[1]1. Reporting template'!$B$1:$B$400,0))),"")</f>
        <v/>
      </c>
      <c r="P13" s="9">
        <f>IFERROR(IF(INDEX('[1]1. Reporting template'!$P$1:$P$400,MATCH($B13,'[1]1. Reporting template'!$B$1:$B$400,0))="","",INDEX('[1]1. Reporting template'!$P$1:$P$400,MATCH($B13,'[1]1. Reporting template'!$B$1:$B$400,0))),"")</f>
        <v/>
      </c>
      <c r="Q13" s="9">
        <f>IFERROR(IF(INDEX('[1]1. Reporting template'!$Q$1:$Q$400,MATCH($B13,'[1]1. Reporting template'!$B$1:$B$400,0))="","",INDEX('[1]1. Reporting template'!$Q$1:$Q$400,MATCH($B13,'[1]1. Reporting template'!$B$1:$B$400,0))),"")</f>
        <v/>
      </c>
    </row>
    <row r="14" ht="188" customHeight="1">
      <c r="B14" s="6" t="inlineStr">
        <is>
          <t>TR3(b)</t>
        </is>
      </c>
      <c r="C14" s="48" t="inlineStr">
        <is>
          <t>Transformational research</t>
        </is>
      </c>
      <c r="D14" s="48" t="inlineStr">
        <is>
          <t>Embed sustainability within research systems, processes, capability and culture, so research is conducted responsibly, efficiently and with reduced environmental impact.</t>
        </is>
      </c>
      <c r="E14" s="48" t="inlineStr">
        <is>
          <t>Demonstrated examples of more sustainable research practices in laboratories, fieldwork, procurement, travel or infrastructure use</t>
        </is>
      </c>
      <c r="F14" s="7" t="inlineStr">
        <is>
          <t>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
In end-2025 reporting your faculty reported on the related SP2030 target 5c(ii) (see Column J – click [+] above Columns I–K).</t>
        </is>
      </c>
      <c r="G14" s="7" t="inlineStr">
        <is>
          <t>We will report on ways the University is making research practices more sustainable in the 2026 Sustainability Report, and share practical examples (e.g. green labs) across faculties.</t>
        </is>
      </c>
      <c r="H14" s="7" t="inlineStr">
        <is>
          <t>5c(ii)</t>
        </is>
      </c>
      <c r="I14" s="7" t="inlineStr">
        <is>
          <t>Partially met</t>
        </is>
      </c>
      <c r="J14" s="7" t="inlineStr">
        <is>
          <t>The Faculty has taken deliberate and strategic steps in 2025 to strengthen how sustainability considerations shape research practices and activities. This has focused on making sustainability explicit, visible, and rewarded within the Faculty’s research culture, while building the foundations for longer-term embedding across disciplines.
A major development has been the introduction of formal recognition and incentive mechanisms that foreground sustainability in research excellence. The ABP Sustainability Award, embedded within the Faculty’s Engagement, Culture, Innovation, and Impact awards program, recognises academic and professional staff who demonstrate leadership in integrating sustainability into research practices. By celebrating approaches such as life cycle thinking, low-carbon methodologies, resource efficiency, and collaborative research models, the award signals that sustainability is a core dimension of research quality and impact within ABP.
This cultural shift is reinforced through the ABP Sustainability Grants Program, which supports staff-led projects that actively trial new ways of embedding sustainability into research, teaching, and operational contexts. Grant criteria encourage interdisciplinary collaboration and require applicants to engage directly with the environmental implications of their activities—supporting experimentation, documentation, and knowledge-sharing around more sustainable research practices.
In parallel, Faculty researchers continue to advance methodological leadership that enables more sustainable decision-making in research and practice. Work on hybrid life cycle assessment (LCA), embodied carbon accounting, and environmental benchmarking—particularly through collaborations with Beyond EPiC—has expanded the tools available to researchers, industry, and government to measure and reduce environmental impacts. These methods increasingly inform how research questions are framed, evaluated, and translated into policy and practice.
Together, these initiatives reflect a maturing research culture in which sustainability is increasingly normalised, recognised, and actively shaped through incentives, methods, and shared expectations. While this work will continue to evolve and scale, 2025 represents a clear step change in positioning sustainability as a defining feature of responsible research practice within the Faculty.</t>
        </is>
      </c>
      <c r="K14" s="7" t="inlineStr"/>
      <c r="L14" s="9">
        <f>IFERROR(IF(INDEX('[1]1. Reporting template'!$L$1:$L$400,MATCH($B14,'[1]1. Reporting template'!$B$1:$B$400,0))="","",INDEX('[1]1. Reporting template'!$L$1:$L$400,MATCH($B14,'[1]1. Reporting template'!$B$1:$B$400,0))),"")</f>
        <v/>
      </c>
      <c r="M14" s="9">
        <f>IFERROR(IF(INDEX('[1]1. Reporting template'!$M$1:$M$400,MATCH($B14,'[1]1. Reporting template'!$B$1:$B$400,0))="","",INDEX('[1]1. Reporting template'!$M$1:$M$400,MATCH($B14,'[1]1. Reporting template'!$B$1:$B$400,0))),"")</f>
        <v/>
      </c>
      <c r="N14" s="9">
        <f>IFERROR(IF(INDEX('[1]1. Reporting template'!$N$1:$N$400,MATCH($B14,'[1]1. Reporting template'!$B$1:$B$400,0))="","",INDEX('[1]1. Reporting template'!$N$1:$N$400,MATCH($B14,'[1]1. Reporting template'!$B$1:$B$400,0))),"")</f>
        <v/>
      </c>
      <c r="O14" s="9">
        <f>IFERROR(IF(INDEX('[1]1. Reporting template'!$O$1:$O$400,MATCH($B14,'[1]1. Reporting template'!$B$1:$B$400,0))="","",INDEX('[1]1. Reporting template'!$O$1:$O$400,MATCH($B14,'[1]1. Reporting template'!$B$1:$B$400,0))),"")</f>
        <v/>
      </c>
      <c r="P14" s="9">
        <f>IFERROR(IF(INDEX('[1]1. Reporting template'!$P$1:$P$400,MATCH($B14,'[1]1. Reporting template'!$B$1:$B$400,0))="","",INDEX('[1]1. Reporting template'!$P$1:$P$400,MATCH($B14,'[1]1. Reporting template'!$B$1:$B$400,0))),"")</f>
        <v/>
      </c>
      <c r="Q14" s="9">
        <f>IFERROR(IF(INDEX('[1]1. Reporting template'!$Q$1:$Q$400,MATCH($B14,'[1]1. Reporting template'!$B$1:$B$400,0))="","",INDEX('[1]1. Reporting template'!$Q$1:$Q$400,MATCH($B14,'[1]1. Reporting template'!$B$1:$B$400,0))),"")</f>
        <v/>
      </c>
    </row>
    <row r="15" ht="188" customHeight="1">
      <c r="B15" s="6" t="inlineStr">
        <is>
          <t>EN1(a)</t>
        </is>
      </c>
      <c r="C15" s="48" t="inlineStr">
        <is>
          <t>Enablers</t>
        </is>
      </c>
      <c r="D15" s="48" t="inlineStr">
        <is>
          <t>Enablers</t>
        </is>
      </c>
      <c r="E15" s="48" t="inlineStr">
        <is>
          <t>Evidence of sustainability outcomes informed by Indigenous knowledges</t>
        </is>
      </c>
      <c r="F15" s="7" t="inlineStr">
        <is>
          <t>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
In end-2025 reporting your faculty reported on the related SP2030 target 6a (see Column J – click [+] above Columns I–K).</t>
        </is>
      </c>
      <c r="G15" s="7" t="inlineStr">
        <is>
          <t>We will report on the ways Indigenous knowledges inform sustainability activities across the University, and develop selected examples into case studies with appropriate permissions.</t>
        </is>
      </c>
      <c r="H15" s="7" t="inlineStr">
        <is>
          <t>6a</t>
        </is>
      </c>
      <c r="I15" s="7" t="inlineStr">
        <is>
          <t>Met or exceeded</t>
        </is>
      </c>
      <c r="J15" s="7" t="inlineStr">
        <is>
          <t>In 2025, the Faculty has continued to deepen its engagement with sustainability through Indigenous-led and co-created learning, research, and partnerships, strengthening understanding of sustainability as a Country-centred, relational, and long-term responsibility rather than a purely technical or extractive concept.
A major development is the award of an ARC Linkage Project: Co-designing Housing for First Nations Prosperity, which will commence in 2026. This project represents a significant example of sustainability research grounded in First Nations leadership, knowledge, and lived experience, operating at the intersection of architecture, housing policy, economics, and Indigenous wellbeing.
Led by Associate Professor Rory Hyde and a multidisciplinary team across architecture, public health, policy and design, the project is being co-developed with First Nations organisations and partners in Shepparton, Victoria, including the Kaiela Institute, Beyond Housing, and VACCHO, alongside industry and government partners. The research places First Nations knowledge, lore, and priorities at the centre of housing design and delivery, challenging conventional Western models that have historically failed to meet cultural, social, and environmental needs.
Sustainability in this project is understood holistically: as cultural continuity, social connection, climate resilience, economic viability, and care for Country. Through participatory co-design and strategic design methods, the project will produce a design catalogue and investment model that enables the delivery of housing that is affordable, culturally appropriate, climate-responsive, and socially sustaining. These outcomes directly address the Closing the Gap agenda while also offering transferable insights for broader housing challenges nationally.
Complementing this work, the Faculty continues to support longstanding Indigenous-led collaborations such as Professor Alex Felson’s project on the Great Birrarung Parklands, developed in partnership with the Wurundjeri Woi Wurrung Cultural Heritage Aboriginal Corporation, the Birrarung Council, and other stakeholders. This project brings Indigenous knowledge and climate science together to explore future scenarios for the Yarra River corridor, modelling two-way learning that informs long-term ecological stewardship, governance, and design.
Indigenous perspectives on sustainability are also embedded across teaching and learning in the Faculty, particularly within architecture, landscape architecture, and urban planning studios. These studios engage students with questions of Country, custodianship, and cultural practice, often in dialogue with Indigenous collaborators, reinforcing sustainability as a relational and ethical practice rather than a purely technical one.
Collectively, these initiatives demonstrate that the Faculty’s approach to sustainability is increasingly shaped through Indigenous-led knowledge systems, reciprocal learning, and co-creation, contributing to more just, culturally grounded, and enduring sustainability outcomes across education, research, and practice.</t>
        </is>
      </c>
      <c r="K15" s="7" t="inlineStr"/>
      <c r="L15" s="9">
        <f>IFERROR(IF(INDEX('[1]1. Reporting template'!$L$1:$L$400,MATCH($B15,'[1]1. Reporting template'!$B$1:$B$400,0))="","",INDEX('[1]1. Reporting template'!$L$1:$L$400,MATCH($B15,'[1]1. Reporting template'!$B$1:$B$400,0))),"")</f>
        <v/>
      </c>
      <c r="M15" s="9">
        <f>IFERROR(IF(INDEX('[1]1. Reporting template'!$M$1:$M$400,MATCH($B15,'[1]1. Reporting template'!$B$1:$B$400,0))="","",INDEX('[1]1. Reporting template'!$M$1:$M$400,MATCH($B15,'[1]1. Reporting template'!$B$1:$B$400,0))),"")</f>
        <v/>
      </c>
      <c r="N15" s="9">
        <f>IFERROR(IF(INDEX('[1]1. Reporting template'!$N$1:$N$400,MATCH($B15,'[1]1. Reporting template'!$B$1:$B$400,0))="","",INDEX('[1]1. Reporting template'!$N$1:$N$400,MATCH($B15,'[1]1. Reporting template'!$B$1:$B$400,0))),"")</f>
        <v/>
      </c>
      <c r="O15" s="9">
        <f>IFERROR(IF(INDEX('[1]1. Reporting template'!$O$1:$O$400,MATCH($B15,'[1]1. Reporting template'!$B$1:$B$400,0))="","",INDEX('[1]1. Reporting template'!$O$1:$O$400,MATCH($B15,'[1]1. Reporting template'!$B$1:$B$400,0))),"")</f>
        <v/>
      </c>
      <c r="P15" s="9">
        <f>IFERROR(IF(INDEX('[1]1. Reporting template'!$P$1:$P$400,MATCH($B15,'[1]1. Reporting template'!$B$1:$B$400,0))="","",INDEX('[1]1. Reporting template'!$P$1:$P$400,MATCH($B15,'[1]1. Reporting template'!$B$1:$B$400,0))),"")</f>
        <v/>
      </c>
      <c r="Q15" s="9">
        <f>IFERROR(IF(INDEX('[1]1. Reporting template'!$Q$1:$Q$400,MATCH($B15,'[1]1. Reporting template'!$B$1:$B$400,0))="","",INDEX('[1]1. Reporting template'!$Q$1:$Q$400,MATCH($B15,'[1]1. Reporting template'!$B$1:$B$400,0))),"")</f>
        <v/>
      </c>
    </row>
    <row r="16" ht="220" customHeight="1">
      <c r="B16" s="6" t="inlineStr">
        <is>
          <t>EN1(b)</t>
        </is>
      </c>
      <c r="C16" s="48" t="inlineStr">
        <is>
          <t>Enablers</t>
        </is>
      </c>
      <c r="D16" s="48" t="inlineStr">
        <is>
          <t>Enablers</t>
        </is>
      </c>
      <c r="E16" s="48" t="inlineStr">
        <is>
          <t>Living laboratories enabling applied learning, research and operational sustainability outcomes</t>
        </is>
      </c>
      <c r="F16" s="7" t="inlineStr">
        <is>
          <t>Please give any examples of sustainability-related living labs operating within your faculty in 2026 – their activities, who is involved (students, researchers, operational staff) and their outputs, outcomes or impact.
Please note, we will collect case studies on Campus Living Lab Accelerator Program projects directly from project owners - no need to include these.
In end-2025 reporting your faculty reported on the related SP2030 target 2a (see Column J – click [+] above Columns I–K).</t>
        </is>
      </c>
      <c r="G16" s="7" t="inlineStr">
        <is>
          <t>We will share examples of sustainability-related living labs from across the University in the 2026 Sustainability Report, alongside Campus Living Lab Accelerator Program case studies collected directly from project owners.</t>
        </is>
      </c>
      <c r="H16" s="7" t="inlineStr">
        <is>
          <t>2a</t>
        </is>
      </c>
      <c r="I16" s="7" t="inlineStr">
        <is>
          <t>Met or exceeded</t>
        </is>
      </c>
      <c r="J16" s="7"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
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K16" s="7" t="inlineStr"/>
      <c r="L16" s="9">
        <f>IFERROR(IF(INDEX('[1]1. Reporting template'!$L$1:$L$400,MATCH($B16,'[1]1. Reporting template'!$B$1:$B$400,0))="","",INDEX('[1]1. Reporting template'!$L$1:$L$400,MATCH($B16,'[1]1. Reporting template'!$B$1:$B$400,0))),"")</f>
        <v/>
      </c>
      <c r="M16" s="9">
        <f>IFERROR(IF(INDEX('[1]1. Reporting template'!$M$1:$M$400,MATCH($B16,'[1]1. Reporting template'!$B$1:$B$400,0))="","",INDEX('[1]1. Reporting template'!$M$1:$M$400,MATCH($B16,'[1]1. Reporting template'!$B$1:$B$400,0))),"")</f>
        <v/>
      </c>
      <c r="N16" s="9">
        <f>IFERROR(IF(INDEX('[1]1. Reporting template'!$N$1:$N$400,MATCH($B16,'[1]1. Reporting template'!$B$1:$B$400,0))="","",INDEX('[1]1. Reporting template'!$N$1:$N$400,MATCH($B16,'[1]1. Reporting template'!$B$1:$B$400,0))),"")</f>
        <v/>
      </c>
      <c r="O16" s="9">
        <f>IFERROR(IF(INDEX('[1]1. Reporting template'!$O$1:$O$400,MATCH($B16,'[1]1. Reporting template'!$B$1:$B$400,0))="","",INDEX('[1]1. Reporting template'!$O$1:$O$400,MATCH($B16,'[1]1. Reporting template'!$B$1:$B$400,0))),"")</f>
        <v/>
      </c>
      <c r="P16" s="9">
        <f>IFERROR(IF(INDEX('[1]1. Reporting template'!$P$1:$P$400,MATCH($B16,'[1]1. Reporting template'!$B$1:$B$400,0))="","",INDEX('[1]1. Reporting template'!$P$1:$P$400,MATCH($B16,'[1]1. Reporting template'!$B$1:$B$400,0))),"")</f>
        <v/>
      </c>
      <c r="Q16" s="9">
        <f>IFERROR(IF(INDEX('[1]1. Reporting template'!$Q$1:$Q$400,MATCH($B16,'[1]1. Reporting template'!$B$1:$B$400,0))="","",INDEX('[1]1. Reporting template'!$Q$1:$Q$400,MATCH($B16,'[1]1. Reporting template'!$B$1:$B$400,0))),"")</f>
        <v/>
      </c>
    </row>
    <row r="17" ht="154" customHeight="1">
      <c r="B17" s="6" t="inlineStr">
        <is>
          <t>EN1(c)</t>
        </is>
      </c>
      <c r="C17" s="48" t="inlineStr">
        <is>
          <t>Enablers</t>
        </is>
      </c>
      <c r="D17" s="48" t="inlineStr">
        <is>
          <t>Enablers</t>
        </is>
      </c>
      <c r="E17" s="48" t="inlineStr">
        <is>
          <t>Coordinated internal engagement and external partnerships contributing to delivery of sustainability outcomes across priority areas.</t>
        </is>
      </c>
      <c r="F17" s="7" t="inlineStr">
        <is>
          <t>Please list the key sustainability-focused communities of practice, internal networks or external partnerships active in your faculty in 2026 (name, partners, priority area), and give any examples of activity that contributed to a Sustainability 2030 outcome.
In end-2025 reporting your faculty reported on the related SP2030 target 3a(ii) (see Column J – click [+] above Columns I–K).</t>
        </is>
      </c>
      <c r="G17" s="7" t="inlineStr">
        <is>
          <t>We will report on internal engagement and partnerships contributing to Sustainability 2030 outcomes, and update our record of sustainability-focused communities of practice and contacts across the University.</t>
        </is>
      </c>
      <c r="H17" s="7" t="inlineStr">
        <is>
          <t>3a(ii)</t>
        </is>
      </c>
      <c r="I17" s="7" t="inlineStr">
        <is>
          <t>Met or exceeded</t>
        </is>
      </c>
      <c r="J17" s="7" t="inlineStr">
        <is>
          <t>In 2025, ABP continued to support sustainability-focused communities of practice that enable staff to learn from one another and embed sustainability across formal, non-formal, and informal learning contexts. These communities operate through a combination of structured forums, shared initiatives, and recognition mechanisms that make sustainability practice visible, valued, and transferable across the Faculty.
Core to this ecosystem is the Faculty’s Climate Action Group, which continues to provide a cross-disciplinary forum for peer learning, curriculum coordination, and shared reflection on sustainability pedagogy and practice. The Group has supported sustained collaboration across academic and professional staff and has played a key role in aligning Faculty initiatives with University sustainability priorities.
In 2025, the Faculty also played a leading role in hosting the Architectural Science Association (ASA) Conference, which focused strongly on sustainability, environmental performance, and design-led research. The conference was the largest attended in the 60-year history of the organisation, bringing together academics, practitioners, and industry partners from across Australia and the region. It provided a major platform for knowledge exchange on sustainability-focused teaching, research, and practice, and significantly strengthened both intra- and inter-institutional communities of practice.
Complementing these collaborative forums, the Faculty introduced the ABP Sustainability Award as a mechanism for amplifying and connecting sustainability practice across teaching, research, operations, and Faculty culture. Together, these initiatives demonstrate a mature and multi-layered approach to building sustainability-focused communities of practice—combining regular peer engagement, high-impact knowledge exchange, and recognition of exemplary work to support ongoing learning and leadership in sustainability.
Introduced in 2025, the ABP Sustainability Award functions as a Faculty-wide community-of-practice mechanism by recognising, showcasing, and disseminating exemplary sustainability initiatives led by academic and professional staff. Rather than operating solely as an individual award, the scheme is designed to surface transferable practices and create shared reference points for sustainability leadership across ABP.
The Award recognises excellence across a broad set of criteria, including innovation and leadership, collaboration and engagement, measurable environmental outcomes, integration of sustainability into teaching and learning, influence on policy and professional practice, and contributions to a culture of sustainability within the Faculty. Eligible initiatives span teaching, research, operations, and cultural change, reflecting the diverse ways sustainability is embedded across ABP.
By highlighting concrete examples of effective practice—such as projects that reduce environmental footprints, embed circularity into learning environments, or foster cross-disciplinary collaboration—the Award enables staff to learn from peers and adapt successful approaches within their own contexts. The selection process, chaired by the Assistant Dean (Sustainability) and involving senior Faculty leadership and staff representatives, further reinforces shared standards and collective ownership of sustainability goals.
In this way, the Sustainability Award complements more formal communities of practice by creating a visible, Faculty-wide platform for knowledge sharing, inspiration, and peer learning. It supports sustainability not only as a technical or curricular concern, but as a shared professional and cultural endeavour.</t>
        </is>
      </c>
      <c r="K17" s="7" t="inlineStr"/>
      <c r="L17" s="9">
        <f>IFERROR(IF(INDEX('[1]1. Reporting template'!$L$1:$L$400,MATCH($B17,'[1]1. Reporting template'!$B$1:$B$400,0))="","",INDEX('[1]1. Reporting template'!$L$1:$L$400,MATCH($B17,'[1]1. Reporting template'!$B$1:$B$400,0))),"")</f>
        <v/>
      </c>
      <c r="M17" s="9">
        <f>IFERROR(IF(INDEX('[1]1. Reporting template'!$M$1:$M$400,MATCH($B17,'[1]1. Reporting template'!$B$1:$B$400,0))="","",INDEX('[1]1. Reporting template'!$M$1:$M$400,MATCH($B17,'[1]1. Reporting template'!$B$1:$B$400,0))),"")</f>
        <v/>
      </c>
      <c r="N17" s="9">
        <f>IFERROR(IF(INDEX('[1]1. Reporting template'!$N$1:$N$400,MATCH($B17,'[1]1. Reporting template'!$B$1:$B$400,0))="","",INDEX('[1]1. Reporting template'!$N$1:$N$400,MATCH($B17,'[1]1. Reporting template'!$B$1:$B$400,0))),"")</f>
        <v/>
      </c>
      <c r="O17" s="9">
        <f>IFERROR(IF(INDEX('[1]1. Reporting template'!$O$1:$O$400,MATCH($B17,'[1]1. Reporting template'!$B$1:$B$400,0))="","",INDEX('[1]1. Reporting template'!$O$1:$O$400,MATCH($B17,'[1]1. Reporting template'!$B$1:$B$400,0))),"")</f>
        <v/>
      </c>
      <c r="P17" s="9">
        <f>IFERROR(IF(INDEX('[1]1. Reporting template'!$P$1:$P$400,MATCH($B17,'[1]1. Reporting template'!$B$1:$B$400,0))="","",INDEX('[1]1. Reporting template'!$P$1:$P$400,MATCH($B17,'[1]1. Reporting template'!$B$1:$B$400,0))),"")</f>
        <v/>
      </c>
      <c r="Q17" s="9">
        <f>IFERROR(IF(INDEX('[1]1. Reporting template'!$Q$1:$Q$400,MATCH($B17,'[1]1. Reporting template'!$B$1:$B$400,0))="","",INDEX('[1]1. Reporting template'!$Q$1:$Q$400,MATCH($B17,'[1]1. Reporting template'!$B$1:$B$400,0))),"")</f>
        <v/>
      </c>
    </row>
    <row r="18"/>
    <row r="19"/>
    <row r="20" ht="39" customHeight="1">
      <c r="B20" s="43" t="inlineStr">
        <is>
          <t>1.2  ARTS – Faculty of Arts</t>
        </is>
      </c>
    </row>
    <row r="21"/>
    <row r="22" ht="27" customHeight="1">
      <c r="C22" s="44" t="inlineStr">
        <is>
          <t>Sustainability 2030 target and indicator</t>
        </is>
      </c>
      <c r="H22" s="44" t="inlineStr">
        <is>
          <t>SR25 response</t>
        </is>
      </c>
      <c r="L22" s="45" t="inlineStr">
        <is>
          <t>End-2026 reporting (PLEASE COMPLETE THIS SECTION)</t>
        </is>
      </c>
    </row>
    <row r="23" ht="60" customHeight="1">
      <c r="B23" s="5" t="inlineStr">
        <is>
          <t>Ref</t>
        </is>
      </c>
      <c r="C23" s="5" t="inlineStr">
        <is>
          <t>Priority area</t>
        </is>
      </c>
      <c r="D23" s="5" t="inlineStr">
        <is>
          <t>Sustainability 2030 target</t>
        </is>
      </c>
      <c r="E23" s="5" t="inlineStr">
        <is>
          <t>Indicator</t>
        </is>
      </c>
      <c r="F23" s="5" t="inlineStr">
        <is>
          <t>2026 Reporting request</t>
        </is>
      </c>
      <c r="G23" s="5" t="inlineStr">
        <is>
          <t>How SST will use this data</t>
        </is>
      </c>
      <c r="H23" s="5" t="inlineStr">
        <is>
          <t>Related SR25 ref</t>
        </is>
      </c>
      <c r="I23" s="5" t="inlineStr">
        <is>
          <t>End-2025 confirmed status</t>
        </is>
      </c>
      <c r="J23" s="5" t="inlineStr">
        <is>
          <t>End-2025 reporting response</t>
        </is>
      </c>
      <c r="K23" s="5" t="inlineStr">
        <is>
          <t>Links and supporting information</t>
        </is>
      </c>
      <c r="L23" s="46" t="inlineStr">
        <is>
          <t>OPTION 1:  Target-level reporting (Column D)</t>
        </is>
      </c>
      <c r="M23" s="46" t="inlineStr">
        <is>
          <t>OPTION 2:  Indicator level reporting (Column E/F)</t>
        </is>
      </c>
      <c r="N23" s="46" t="inlineStr">
        <is>
          <t>Supporting information/comments</t>
        </is>
      </c>
      <c r="O23" s="46" t="inlineStr">
        <is>
          <t>Data source and limitations</t>
        </is>
      </c>
      <c r="P23" s="46" t="inlineStr">
        <is>
          <t>Data owner confirms information is accurate</t>
        </is>
      </c>
      <c r="Q23" s="46" t="inlineStr">
        <is>
          <t>Confirmed by (name, role, date)</t>
        </is>
      </c>
    </row>
    <row r="24" ht="81" customHeight="1">
      <c r="B24" s="47" t="inlineStr"/>
      <c r="C24" s="47" t="inlineStr"/>
      <c r="D24" s="47" t="inlineStr"/>
      <c r="E24" s="47" t="inlineStr"/>
      <c r="F24" s="47" t="inlineStr"/>
      <c r="G24" s="47" t="inlineStr"/>
      <c r="H24" s="47" t="inlineStr"/>
      <c r="I24" s="47" t="inlineStr"/>
      <c r="J24" s="47" t="inlineStr"/>
      <c r="K24" s="47" t="inlineStr"/>
      <c r="L24" s="47" t="inlineStr">
        <is>
          <t>A general update on activities in relation to the overarching target (Column D)</t>
        </is>
      </c>
      <c r="M24" s="47" t="inlineStr">
        <is>
          <t>Data and commentary in direct response to the reporting request (Column F)</t>
        </is>
      </c>
      <c r="N24" s="47" t="inlineStr">
        <is>
          <t>Any additional information (e.g. links, images, documents)</t>
        </is>
      </c>
      <c r="O24" s="47" t="inlineStr">
        <is>
          <t>Where did this information come from (system, report, survey, person)? Note any gaps or limitations.</t>
        </is>
      </c>
      <c r="P24" s="47" t="inlineStr">
        <is>
          <t>Select 'Yes' to confirm the information provided is accurate and can be used for reporting</t>
        </is>
      </c>
      <c r="Q24" s="47" t="inlineStr">
        <is>
          <t>Name, role and date of the person confirming</t>
        </is>
      </c>
    </row>
    <row r="25" ht="352" customHeight="1">
      <c r="B25" s="6" t="inlineStr">
        <is>
          <t>EE1(a)</t>
        </is>
      </c>
      <c r="C25" s="48" t="inlineStr">
        <is>
          <t>Exceptional education</t>
        </is>
      </c>
      <c r="D25" s="48" t="inlineStr">
        <is>
          <t>Provide our students with learning experiences that help them build the knowledge, skills and relationships to lead change for sustainable societies.</t>
        </is>
      </c>
      <c r="E25" s="48" t="inlineStr">
        <is>
          <t>Evidence of innovative approaches to sustainability teaching and learning</t>
        </is>
      </c>
      <c r="F25" s="7" t="inlineStr">
        <is>
          <t>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Please note that this indicator will be addressed at the joint Associate Deans Sustainability and Associate Deans Teaching and Learning session on 23 November 2026. Please feel free to summarise what your faculty presented at this session - further information is welcome but not required.
In end-2025 reporting your faculty reported on the related SP2030 target 4a(ii) (see Column J – click [+] above Columns I–K).</t>
        </is>
      </c>
      <c r="G25" s="7"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25" s="7" t="inlineStr">
        <is>
          <t>4a(ii)</t>
        </is>
      </c>
      <c r="I25" s="7" t="inlineStr">
        <is>
          <t>Partially met</t>
        </is>
      </c>
      <c r="J25" s="7" t="inlineStr">
        <is>
          <t>This target poses some specific challenges for the Faculty of Arts because we are a large and diverse entity overwhelmingly teaching academic-focused degrees—the BA, MAs and PhDs (in addition to other smaller initiatives)—across many domains in the Humanities and Social Sciences. As such, it's important to acknowledge and respect that it would not be appropriate for 'sustainability' to be integrated equally into all components in such a varied curriculum. For example, while the SSPS Capstone intensively focused on sustainability through rich and complex case-studies, this cannot be said and should not be expected of a 2nd-year subject in French. However, we have begun discussions with colleagues about putting in place a minor within the BA which we believe would be the best way of meeting this target, amongst other things. In 2026, that discussion will be further elaborated and, we hope, concretised.</t>
        </is>
      </c>
      <c r="K25" s="7" t="inlineStr"/>
      <c r="L25" s="9">
        <f>IFERROR(IF(INDEX('[2]1. Reporting template'!$L$1:$L$400,MATCH($B25,'[2]1. Reporting template'!$B$1:$B$400,0))="","",INDEX('[2]1. Reporting template'!$L$1:$L$400,MATCH($B25,'[2]1. Reporting template'!$B$1:$B$400,0))),"")</f>
        <v/>
      </c>
      <c r="M25" s="9">
        <f>IFERROR(IF(INDEX('[2]1. Reporting template'!$M$1:$M$400,MATCH($B25,'[2]1. Reporting template'!$B$1:$B$400,0))="","",INDEX('[2]1. Reporting template'!$M$1:$M$400,MATCH($B25,'[2]1. Reporting template'!$B$1:$B$400,0))),"")</f>
        <v/>
      </c>
      <c r="N25" s="9">
        <f>IFERROR(IF(INDEX('[2]1. Reporting template'!$N$1:$N$400,MATCH($B25,'[2]1. Reporting template'!$B$1:$B$400,0))="","",INDEX('[2]1. Reporting template'!$N$1:$N$400,MATCH($B25,'[2]1. Reporting template'!$B$1:$B$400,0))),"")</f>
        <v/>
      </c>
      <c r="O25" s="9">
        <f>IFERROR(IF(INDEX('[2]1. Reporting template'!$O$1:$O$400,MATCH($B25,'[2]1. Reporting template'!$B$1:$B$400,0))="","",INDEX('[2]1. Reporting template'!$O$1:$O$400,MATCH($B25,'[2]1. Reporting template'!$B$1:$B$400,0))),"")</f>
        <v/>
      </c>
      <c r="P25" s="9">
        <f>IFERROR(IF(INDEX('[2]1. Reporting template'!$P$1:$P$400,MATCH($B25,'[2]1. Reporting template'!$B$1:$B$400,0))="","",INDEX('[2]1. Reporting template'!$P$1:$P$400,MATCH($B25,'[2]1. Reporting template'!$B$1:$B$400,0))),"")</f>
        <v/>
      </c>
      <c r="Q25" s="9">
        <f>IFERROR(IF(INDEX('[2]1. Reporting template'!$Q$1:$Q$400,MATCH($B25,'[2]1. Reporting template'!$B$1:$B$400,0))="","",INDEX('[2]1. Reporting template'!$Q$1:$Q$400,MATCH($B25,'[2]1. Reporting template'!$B$1:$B$400,0))),"")</f>
        <v/>
      </c>
    </row>
    <row r="26" ht="188" customHeight="1">
      <c r="B26" s="6" t="inlineStr">
        <is>
          <t>EE1(b)</t>
        </is>
      </c>
      <c r="C26" s="48" t="inlineStr">
        <is>
          <t>Exceptional education</t>
        </is>
      </c>
      <c r="D26" s="48" t="inlineStr">
        <is>
          <t>Provide our students with learning experiences that help them build the knowledge, skills and relationships to lead change for sustainable societies.</t>
        </is>
      </c>
      <c r="E26" s="48" t="inlineStr">
        <is>
          <t>Pilots of possible approaches for understanding and developing students’ sustainability self-efficacy</t>
        </is>
      </c>
      <c r="F26" s="7"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26" s="7" t="inlineStr">
        <is>
          <t>This is a new indicator. We will use responses to establish a baseline of how (and whether) faculties are understanding student sustainability self-efficacy, and report on early pilots in the 2026 Sustainability Report. A nil response is useful to us.</t>
        </is>
      </c>
      <c r="H26" s="7" t="inlineStr">
        <is>
          <t>N/A – new indicator</t>
        </is>
      </c>
      <c r="I26" s="7" t="inlineStr"/>
      <c r="J26" s="7" t="inlineStr"/>
      <c r="K26" s="7" t="inlineStr"/>
      <c r="L26" s="9">
        <f>IFERROR(IF(INDEX('[2]1. Reporting template'!$L$1:$L$400,MATCH($B26,'[2]1. Reporting template'!$B$1:$B$400,0))="","",INDEX('[2]1. Reporting template'!$L$1:$L$400,MATCH($B26,'[2]1. Reporting template'!$B$1:$B$400,0))),"")</f>
        <v/>
      </c>
      <c r="M26" s="9">
        <f>IFERROR(IF(INDEX('[2]1. Reporting template'!$M$1:$M$400,MATCH($B26,'[2]1. Reporting template'!$B$1:$B$400,0))="","",INDEX('[2]1. Reporting template'!$M$1:$M$400,MATCH($B26,'[2]1. Reporting template'!$B$1:$B$400,0))),"")</f>
        <v/>
      </c>
      <c r="N26" s="9">
        <f>IFERROR(IF(INDEX('[2]1. Reporting template'!$N$1:$N$400,MATCH($B26,'[2]1. Reporting template'!$B$1:$B$400,0))="","",INDEX('[2]1. Reporting template'!$N$1:$N$400,MATCH($B26,'[2]1. Reporting template'!$B$1:$B$400,0))),"")</f>
        <v/>
      </c>
      <c r="O26" s="9">
        <f>IFERROR(IF(INDEX('[2]1. Reporting template'!$O$1:$O$400,MATCH($B26,'[2]1. Reporting template'!$B$1:$B$400,0))="","",INDEX('[2]1. Reporting template'!$O$1:$O$400,MATCH($B26,'[2]1. Reporting template'!$B$1:$B$400,0))),"")</f>
        <v/>
      </c>
      <c r="P26" s="9">
        <f>IFERROR(IF(INDEX('[2]1. Reporting template'!$P$1:$P$400,MATCH($B26,'[2]1. Reporting template'!$B$1:$B$400,0))="","",INDEX('[2]1. Reporting template'!$P$1:$P$400,MATCH($B26,'[2]1. Reporting template'!$B$1:$B$400,0))),"")</f>
        <v/>
      </c>
      <c r="Q26" s="9">
        <f>IFERROR(IF(INDEX('[2]1. Reporting template'!$Q$1:$Q$400,MATCH($B26,'[2]1. Reporting template'!$B$1:$B$400,0))="","",INDEX('[2]1. Reporting template'!$Q$1:$Q$400,MATCH($B26,'[2]1. Reporting template'!$B$1:$B$400,0))),"")</f>
        <v/>
      </c>
    </row>
    <row r="27" ht="270" customHeight="1">
      <c r="B27" s="6" t="inlineStr">
        <is>
          <t>TR1(a)</t>
        </is>
      </c>
      <c r="C27" s="48" t="inlineStr">
        <is>
          <t>Transformational research</t>
        </is>
      </c>
      <c r="D27" s="48" t="inlineStr">
        <is>
          <t>Utilise the expertise of the University’s researchers through mutually beneficial partnerships to help address the University’s operational sustainability challenges.</t>
        </is>
      </c>
      <c r="E27" s="48" t="inlineStr">
        <is>
          <t>Expert-reviewed evidence of researchers contributing to operational sustainability priorities through partnerships, advisory input, living labs, applied projects or decision-support</t>
        </is>
      </c>
      <c r="F27" s="7" t="inlineStr">
        <is>
          <t>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Please note, we will collect case studies on Campus Living Lab Accelerator Program projects directly from project owners - no need to include these.
In end-2025 reporting your faculty reported on the related SP2030 target 2a (see Column J – click [+] above Columns I–K).</t>
        </is>
      </c>
      <c r="G27" s="7" t="inlineStr">
        <is>
          <t>We will report on examples of researchers helping solve the University's own operational sustainability challenges, alongside Campus Living Lab Accelerator Program case studies collected directly from project owners, and share them with operational teams to identify further collaboration.</t>
        </is>
      </c>
      <c r="H27" s="7" t="inlineStr">
        <is>
          <t>2a</t>
        </is>
      </c>
      <c r="I27" s="7" t="inlineStr">
        <is>
          <t>Met or exceeded</t>
        </is>
      </c>
      <c r="J27" s="7" t="inlineStr">
        <is>
          <t>See attached report. (RH note: Saved in responses folder)</t>
        </is>
      </c>
      <c r="K27" s="7" t="inlineStr">
        <is>
          <t>Draft report on the Living Lab project is here: Report John Medley Living Lab Project FINAL.docx</t>
        </is>
      </c>
      <c r="L27" s="9">
        <f>IFERROR(IF(INDEX('[2]1. Reporting template'!$L$1:$L$400,MATCH($B27,'[2]1. Reporting template'!$B$1:$B$400,0))="","",INDEX('[2]1. Reporting template'!$L$1:$L$400,MATCH($B27,'[2]1. Reporting template'!$B$1:$B$400,0))),"")</f>
        <v/>
      </c>
      <c r="M27" s="9">
        <f>IFERROR(IF(INDEX('[2]1. Reporting template'!$M$1:$M$400,MATCH($B27,'[2]1. Reporting template'!$B$1:$B$400,0))="","",INDEX('[2]1. Reporting template'!$M$1:$M$400,MATCH($B27,'[2]1. Reporting template'!$B$1:$B$400,0))),"")</f>
        <v/>
      </c>
      <c r="N27" s="9">
        <f>IFERROR(IF(INDEX('[2]1. Reporting template'!$N$1:$N$400,MATCH($B27,'[2]1. Reporting template'!$B$1:$B$400,0))="","",INDEX('[2]1. Reporting template'!$N$1:$N$400,MATCH($B27,'[2]1. Reporting template'!$B$1:$B$400,0))),"")</f>
        <v/>
      </c>
      <c r="O27" s="9">
        <f>IFERROR(IF(INDEX('[2]1. Reporting template'!$O$1:$O$400,MATCH($B27,'[2]1. Reporting template'!$B$1:$B$400,0))="","",INDEX('[2]1. Reporting template'!$O$1:$O$400,MATCH($B27,'[2]1. Reporting template'!$B$1:$B$400,0))),"")</f>
        <v/>
      </c>
      <c r="P27" s="9">
        <f>IFERROR(IF(INDEX('[2]1. Reporting template'!$P$1:$P$400,MATCH($B27,'[2]1. Reporting template'!$B$1:$B$400,0))="","",INDEX('[2]1. Reporting template'!$P$1:$P$400,MATCH($B27,'[2]1. Reporting template'!$B$1:$B$400,0))),"")</f>
        <v/>
      </c>
      <c r="Q27" s="9">
        <f>IFERROR(IF(INDEX('[2]1. Reporting template'!$Q$1:$Q$400,MATCH($B27,'[2]1. Reporting template'!$B$1:$B$400,0))="","",INDEX('[2]1. Reporting template'!$Q$1:$Q$400,MATCH($B27,'[2]1. Reporting template'!$B$1:$B$400,0))),"")</f>
        <v/>
      </c>
    </row>
    <row r="28" ht="270" customHeight="1">
      <c r="B28" s="6" t="inlineStr">
        <is>
          <t>TR2(a)</t>
        </is>
      </c>
      <c r="C28" s="48" t="inlineStr">
        <is>
          <t>Transformational research</t>
        </is>
      </c>
      <c r="D28" s="48" t="inlineStr">
        <is>
          <t>Deliver high-quality research and partnerships that contribute to sustainability outcomes and demonstrable societal benefit.</t>
        </is>
      </c>
      <c r="E28" s="48" t="inlineStr">
        <is>
          <t>Evidence of sustainability-related research impact across diverse pathways, could include policy, industry, community, practice, cultural and institutional outcomes</t>
        </is>
      </c>
      <c r="F28" s="7" t="inlineStr">
        <is>
          <t>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Melbourne Research and Enterprise (MRE) – publication counts are not required.
In end-2025 reporting your faculty reported on the related SP2030 target 5b(i) (see Column J – click [+] above Columns I–K).</t>
        </is>
      </c>
      <c r="G28" s="7" t="inlineStr">
        <is>
          <t>We will collate research impact examples across faculties to show the breadth of sustainability-related research impact in the Transformational research section of the 2026 Sustainability Report, complementing University-wide metrics from Melbourne Research and Enterprise (MRE).</t>
        </is>
      </c>
      <c r="H28" s="7" t="inlineStr">
        <is>
          <t>5b(i)</t>
        </is>
      </c>
      <c r="I28" s="7" t="inlineStr">
        <is>
          <t>Met or exceeded</t>
        </is>
      </c>
      <c r="J28" s="7" t="inlineStr">
        <is>
          <t>In addition to the matters listed at mid-2025, the Ass Dean joined the Board of MBI and hosted a major showcase of MBI activities to Arts Faculty researchers which boosted involvement in the BDI's researech clusters</t>
        </is>
      </c>
      <c r="K28" s="7" t="inlineStr"/>
      <c r="L28" s="9">
        <f>IFERROR(IF(INDEX('[2]1. Reporting template'!$L$1:$L$400,MATCH($B28,'[2]1. Reporting template'!$B$1:$B$400,0))="","",INDEX('[2]1. Reporting template'!$L$1:$L$400,MATCH($B28,'[2]1. Reporting template'!$B$1:$B$400,0))),"")</f>
        <v/>
      </c>
      <c r="M28" s="9">
        <f>IFERROR(IF(INDEX('[2]1. Reporting template'!$M$1:$M$400,MATCH($B28,'[2]1. Reporting template'!$B$1:$B$400,0))="","",INDEX('[2]1. Reporting template'!$M$1:$M$400,MATCH($B28,'[2]1. Reporting template'!$B$1:$B$400,0))),"")</f>
        <v/>
      </c>
      <c r="N28" s="9">
        <f>IFERROR(IF(INDEX('[2]1. Reporting template'!$N$1:$N$400,MATCH($B28,'[2]1. Reporting template'!$B$1:$B$400,0))="","",INDEX('[2]1. Reporting template'!$N$1:$N$400,MATCH($B28,'[2]1. Reporting template'!$B$1:$B$400,0))),"")</f>
        <v/>
      </c>
      <c r="O28" s="9">
        <f>IFERROR(IF(INDEX('[2]1. Reporting template'!$O$1:$O$400,MATCH($B28,'[2]1. Reporting template'!$B$1:$B$400,0))="","",INDEX('[2]1. Reporting template'!$O$1:$O$400,MATCH($B28,'[2]1. Reporting template'!$B$1:$B$400,0))),"")</f>
        <v/>
      </c>
      <c r="P28" s="9">
        <f>IFERROR(IF(INDEX('[2]1. Reporting template'!$P$1:$P$400,MATCH($B28,'[2]1. Reporting template'!$B$1:$B$400,0))="","",INDEX('[2]1. Reporting template'!$P$1:$P$400,MATCH($B28,'[2]1. Reporting template'!$B$1:$B$400,0))),"")</f>
        <v/>
      </c>
      <c r="Q28" s="9">
        <f>IFERROR(IF(INDEX('[2]1. Reporting template'!$Q$1:$Q$400,MATCH($B28,'[2]1. Reporting template'!$B$1:$B$400,0))="","",INDEX('[2]1. Reporting template'!$Q$1:$Q$400,MATCH($B28,'[2]1. Reporting template'!$B$1:$B$400,0))),"")</f>
        <v/>
      </c>
    </row>
    <row r="29" ht="237" customHeight="1">
      <c r="B29" s="6" t="inlineStr">
        <is>
          <t>TR2(d)</t>
        </is>
      </c>
      <c r="C29" s="48" t="inlineStr">
        <is>
          <t>Transformational research</t>
        </is>
      </c>
      <c r="D29" s="48" t="inlineStr">
        <is>
          <t>Deliver high-quality research and partnerships that contribute to sustainability outcomes and demonstrable societal benefit.</t>
        </is>
      </c>
      <c r="E29" s="48" t="inlineStr">
        <is>
          <t>Case-based evidence demonstrating how research has contributed to meaningful sustainability outcomes.</t>
        </is>
      </c>
      <c r="F29" s="7" t="inlineStr">
        <is>
          <t>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
In end-2025 reporting your faculty reported on the related SP2030 target 5b(i) (see Column J – click [+] above Columns I–K).</t>
        </is>
      </c>
      <c r="G29" s="7" t="inlineStr">
        <is>
          <t>We will select the strongest examples to develop as full research case studies for the 2026 Sustainability Report (we may contact you for more detail and images).</t>
        </is>
      </c>
      <c r="H29" s="7" t="inlineStr">
        <is>
          <t>5b(i)</t>
        </is>
      </c>
      <c r="I29" s="7" t="inlineStr">
        <is>
          <t>Met or exceeded</t>
        </is>
      </c>
      <c r="J29" s="7" t="inlineStr">
        <is>
          <t>In addition to the matters listed at mid-2025, the Ass Dean joined the Board of MBI and hosted a major showcase of MBI activities to Arts Faculty researchers which boosted involvement in the BDI's researech clusters</t>
        </is>
      </c>
      <c r="K29" s="7" t="inlineStr"/>
      <c r="L29" s="9">
        <f>IFERROR(IF(INDEX('[2]1. Reporting template'!$L$1:$L$400,MATCH($B29,'[2]1. Reporting template'!$B$1:$B$400,0))="","",INDEX('[2]1. Reporting template'!$L$1:$L$400,MATCH($B29,'[2]1. Reporting template'!$B$1:$B$400,0))),"")</f>
        <v/>
      </c>
      <c r="M29" s="9">
        <f>IFERROR(IF(INDEX('[2]1. Reporting template'!$M$1:$M$400,MATCH($B29,'[2]1. Reporting template'!$B$1:$B$400,0))="","",INDEX('[2]1. Reporting template'!$M$1:$M$400,MATCH($B29,'[2]1. Reporting template'!$B$1:$B$400,0))),"")</f>
        <v/>
      </c>
      <c r="N29" s="9">
        <f>IFERROR(IF(INDEX('[2]1. Reporting template'!$N$1:$N$400,MATCH($B29,'[2]1. Reporting template'!$B$1:$B$400,0))="","",INDEX('[2]1. Reporting template'!$N$1:$N$400,MATCH($B29,'[2]1. Reporting template'!$B$1:$B$400,0))),"")</f>
        <v/>
      </c>
      <c r="O29" s="9">
        <f>IFERROR(IF(INDEX('[2]1. Reporting template'!$O$1:$O$400,MATCH($B29,'[2]1. Reporting template'!$B$1:$B$400,0))="","",INDEX('[2]1. Reporting template'!$O$1:$O$400,MATCH($B29,'[2]1. Reporting template'!$B$1:$B$400,0))),"")</f>
        <v/>
      </c>
      <c r="P29" s="9">
        <f>IFERROR(IF(INDEX('[2]1. Reporting template'!$P$1:$P$400,MATCH($B29,'[2]1. Reporting template'!$B$1:$B$400,0))="","",INDEX('[2]1. Reporting template'!$P$1:$P$400,MATCH($B29,'[2]1. Reporting template'!$B$1:$B$400,0))),"")</f>
        <v/>
      </c>
      <c r="Q29" s="9">
        <f>IFERROR(IF(INDEX('[2]1. Reporting template'!$Q$1:$Q$400,MATCH($B29,'[2]1. Reporting template'!$B$1:$B$400,0))="","",INDEX('[2]1. Reporting template'!$Q$1:$Q$400,MATCH($B29,'[2]1. Reporting template'!$B$1:$B$400,0))),"")</f>
        <v/>
      </c>
    </row>
    <row r="30" ht="188" customHeight="1">
      <c r="B30" s="6" t="inlineStr">
        <is>
          <t>TR3(b)</t>
        </is>
      </c>
      <c r="C30" s="48" t="inlineStr">
        <is>
          <t>Transformational research</t>
        </is>
      </c>
      <c r="D30" s="48" t="inlineStr">
        <is>
          <t>Embed sustainability within research systems, processes, capability and culture, so research is conducted responsibly, efficiently and with reduced environmental impact.</t>
        </is>
      </c>
      <c r="E30" s="48" t="inlineStr">
        <is>
          <t>Demonstrated examples of more sustainable research practices in laboratories, fieldwork, procurement, travel or infrastructure use</t>
        </is>
      </c>
      <c r="F30" s="7" t="inlineStr">
        <is>
          <t>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
In end-2025 reporting your faculty reported on the related SP2030 target 5c(ii) (see Column J – click [+] above Columns I–K).</t>
        </is>
      </c>
      <c r="G30" s="7" t="inlineStr">
        <is>
          <t>We will report on ways the University is making research practices more sustainable in the 2026 Sustainability Report, and share practical examples (e.g. green labs) across faculties.</t>
        </is>
      </c>
      <c r="H30" s="7" t="inlineStr">
        <is>
          <t>5c(ii)</t>
        </is>
      </c>
      <c r="I30" s="7" t="inlineStr">
        <is>
          <t>Not met</t>
        </is>
      </c>
      <c r="J30" s="7" t="inlineStr">
        <is>
          <t>This needs more specific attention
In general terms, the Faculty has focused on reducing air travel, the major environmental impact of our research activity.</t>
        </is>
      </c>
      <c r="K30" s="7" t="inlineStr"/>
      <c r="L30" s="9">
        <f>IFERROR(IF(INDEX('[2]1. Reporting template'!$L$1:$L$400,MATCH($B30,'[2]1. Reporting template'!$B$1:$B$400,0))="","",INDEX('[2]1. Reporting template'!$L$1:$L$400,MATCH($B30,'[2]1. Reporting template'!$B$1:$B$400,0))),"")</f>
        <v/>
      </c>
      <c r="M30" s="9">
        <f>IFERROR(IF(INDEX('[2]1. Reporting template'!$M$1:$M$400,MATCH($B30,'[2]1. Reporting template'!$B$1:$B$400,0))="","",INDEX('[2]1. Reporting template'!$M$1:$M$400,MATCH($B30,'[2]1. Reporting template'!$B$1:$B$400,0))),"")</f>
        <v/>
      </c>
      <c r="N30" s="9">
        <f>IFERROR(IF(INDEX('[2]1. Reporting template'!$N$1:$N$400,MATCH($B30,'[2]1. Reporting template'!$B$1:$B$400,0))="","",INDEX('[2]1. Reporting template'!$N$1:$N$400,MATCH($B30,'[2]1. Reporting template'!$B$1:$B$400,0))),"")</f>
        <v/>
      </c>
      <c r="O30" s="9">
        <f>IFERROR(IF(INDEX('[2]1. Reporting template'!$O$1:$O$400,MATCH($B30,'[2]1. Reporting template'!$B$1:$B$400,0))="","",INDEX('[2]1. Reporting template'!$O$1:$O$400,MATCH($B30,'[2]1. Reporting template'!$B$1:$B$400,0))),"")</f>
        <v/>
      </c>
      <c r="P30" s="9">
        <f>IFERROR(IF(INDEX('[2]1. Reporting template'!$P$1:$P$400,MATCH($B30,'[2]1. Reporting template'!$B$1:$B$400,0))="","",INDEX('[2]1. Reporting template'!$P$1:$P$400,MATCH($B30,'[2]1. Reporting template'!$B$1:$B$400,0))),"")</f>
        <v/>
      </c>
      <c r="Q30" s="9">
        <f>IFERROR(IF(INDEX('[2]1. Reporting template'!$Q$1:$Q$400,MATCH($B30,'[2]1. Reporting template'!$B$1:$B$400,0))="","",INDEX('[2]1. Reporting template'!$Q$1:$Q$400,MATCH($B30,'[2]1. Reporting template'!$B$1:$B$400,0))),"")</f>
        <v/>
      </c>
    </row>
    <row r="31" ht="188" customHeight="1">
      <c r="B31" s="6" t="inlineStr">
        <is>
          <t>EN1(a)</t>
        </is>
      </c>
      <c r="C31" s="48" t="inlineStr">
        <is>
          <t>Enablers</t>
        </is>
      </c>
      <c r="D31" s="48" t="inlineStr">
        <is>
          <t>Enablers</t>
        </is>
      </c>
      <c r="E31" s="48" t="inlineStr">
        <is>
          <t>Evidence of sustainability outcomes informed by Indigenous knowledges</t>
        </is>
      </c>
      <c r="F31" s="7" t="inlineStr">
        <is>
          <t>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
In end-2025 reporting your faculty reported on the related SP2030 target 6a (see Column J – click [+] above Columns I–K).</t>
        </is>
      </c>
      <c r="G31" s="7" t="inlineStr">
        <is>
          <t>We will report on the ways Indigenous knowledges inform sustainability activities across the University, and develop selected examples into case studies with appropriate permissions.</t>
        </is>
      </c>
      <c r="H31" s="7" t="inlineStr">
        <is>
          <t>6a</t>
        </is>
      </c>
      <c r="I31" s="7" t="inlineStr">
        <is>
          <t>Partially met</t>
        </is>
      </c>
      <c r="J31" s="7" t="inlineStr">
        <is>
          <t>See previous response. (copied below) 
In addition to housing the Indigenous Studies Program, academic staff have contributed to University-wide Indigenous-led initiatives with important sustainability consequences, and more broadly, champsion such values in their scholarly work.</t>
        </is>
      </c>
      <c r="K31" s="7" t="inlineStr"/>
      <c r="L31" s="9">
        <f>IFERROR(IF(INDEX('[2]1. Reporting template'!$L$1:$L$400,MATCH($B31,'[2]1. Reporting template'!$B$1:$B$400,0))="","",INDEX('[2]1. Reporting template'!$L$1:$L$400,MATCH($B31,'[2]1. Reporting template'!$B$1:$B$400,0))),"")</f>
        <v/>
      </c>
      <c r="M31" s="9">
        <f>IFERROR(IF(INDEX('[2]1. Reporting template'!$M$1:$M$400,MATCH($B31,'[2]1. Reporting template'!$B$1:$B$400,0))="","",INDEX('[2]1. Reporting template'!$M$1:$M$400,MATCH($B31,'[2]1. Reporting template'!$B$1:$B$400,0))),"")</f>
        <v/>
      </c>
      <c r="N31" s="9">
        <f>IFERROR(IF(INDEX('[2]1. Reporting template'!$N$1:$N$400,MATCH($B31,'[2]1. Reporting template'!$B$1:$B$400,0))="","",INDEX('[2]1. Reporting template'!$N$1:$N$400,MATCH($B31,'[2]1. Reporting template'!$B$1:$B$400,0))),"")</f>
        <v/>
      </c>
      <c r="O31" s="9">
        <f>IFERROR(IF(INDEX('[2]1. Reporting template'!$O$1:$O$400,MATCH($B31,'[2]1. Reporting template'!$B$1:$B$400,0))="","",INDEX('[2]1. Reporting template'!$O$1:$O$400,MATCH($B31,'[2]1. Reporting template'!$B$1:$B$400,0))),"")</f>
        <v/>
      </c>
      <c r="P31" s="9">
        <f>IFERROR(IF(INDEX('[2]1. Reporting template'!$P$1:$P$400,MATCH($B31,'[2]1. Reporting template'!$B$1:$B$400,0))="","",INDEX('[2]1. Reporting template'!$P$1:$P$400,MATCH($B31,'[2]1. Reporting template'!$B$1:$B$400,0))),"")</f>
        <v/>
      </c>
      <c r="Q31" s="9">
        <f>IFERROR(IF(INDEX('[2]1. Reporting template'!$Q$1:$Q$400,MATCH($B31,'[2]1. Reporting template'!$B$1:$B$400,0))="","",INDEX('[2]1. Reporting template'!$Q$1:$Q$400,MATCH($B31,'[2]1. Reporting template'!$B$1:$B$400,0))),"")</f>
        <v/>
      </c>
    </row>
    <row r="32" ht="220" customHeight="1">
      <c r="B32" s="6" t="inlineStr">
        <is>
          <t>EN1(b)</t>
        </is>
      </c>
      <c r="C32" s="48" t="inlineStr">
        <is>
          <t>Enablers</t>
        </is>
      </c>
      <c r="D32" s="48" t="inlineStr">
        <is>
          <t>Enablers</t>
        </is>
      </c>
      <c r="E32" s="48" t="inlineStr">
        <is>
          <t>Living laboratories enabling applied learning, research and operational sustainability outcomes</t>
        </is>
      </c>
      <c r="F32" s="7" t="inlineStr">
        <is>
          <t>Please give any examples of sustainability-related living labs operating within your faculty in 2026 – their activities, who is involved (students, researchers, operational staff) and their outputs, outcomes or impact.
Please note, we will collect case studies on Campus Living Lab Accelerator Program projects directly from project owners - no need to include these.
In end-2025 reporting your faculty reported on the related SP2030 target 2a (see Column J – click [+] above Columns I–K).</t>
        </is>
      </c>
      <c r="G32" s="7" t="inlineStr">
        <is>
          <t>We will share examples of sustainability-related living labs from across the University in the 2026 Sustainability Report, alongside Campus Living Lab Accelerator Program case studies collected directly from project owners.</t>
        </is>
      </c>
      <c r="H32" s="7" t="inlineStr">
        <is>
          <t>2a</t>
        </is>
      </c>
      <c r="I32" s="7" t="inlineStr">
        <is>
          <t>Met or exceeded</t>
        </is>
      </c>
      <c r="J32" s="7" t="inlineStr">
        <is>
          <t>See attached report. (RH note: Saved in responses folder)</t>
        </is>
      </c>
      <c r="K32" s="7" t="inlineStr">
        <is>
          <t>Draft report on the Living Lab project is here: Report John Medley Living Lab Project FINAL.docx</t>
        </is>
      </c>
      <c r="L32" s="9">
        <f>IFERROR(IF(INDEX('[2]1. Reporting template'!$L$1:$L$400,MATCH($B32,'[2]1. Reporting template'!$B$1:$B$400,0))="","",INDEX('[2]1. Reporting template'!$L$1:$L$400,MATCH($B32,'[2]1. Reporting template'!$B$1:$B$400,0))),"")</f>
        <v/>
      </c>
      <c r="M32" s="9">
        <f>IFERROR(IF(INDEX('[2]1. Reporting template'!$M$1:$M$400,MATCH($B32,'[2]1. Reporting template'!$B$1:$B$400,0))="","",INDEX('[2]1. Reporting template'!$M$1:$M$400,MATCH($B32,'[2]1. Reporting template'!$B$1:$B$400,0))),"")</f>
        <v/>
      </c>
      <c r="N32" s="9">
        <f>IFERROR(IF(INDEX('[2]1. Reporting template'!$N$1:$N$400,MATCH($B32,'[2]1. Reporting template'!$B$1:$B$400,0))="","",INDEX('[2]1. Reporting template'!$N$1:$N$400,MATCH($B32,'[2]1. Reporting template'!$B$1:$B$400,0))),"")</f>
        <v/>
      </c>
      <c r="O32" s="9">
        <f>IFERROR(IF(INDEX('[2]1. Reporting template'!$O$1:$O$400,MATCH($B32,'[2]1. Reporting template'!$B$1:$B$400,0))="","",INDEX('[2]1. Reporting template'!$O$1:$O$400,MATCH($B32,'[2]1. Reporting template'!$B$1:$B$400,0))),"")</f>
        <v/>
      </c>
      <c r="P32" s="9">
        <f>IFERROR(IF(INDEX('[2]1. Reporting template'!$P$1:$P$400,MATCH($B32,'[2]1. Reporting template'!$B$1:$B$400,0))="","",INDEX('[2]1. Reporting template'!$P$1:$P$400,MATCH($B32,'[2]1. Reporting template'!$B$1:$B$400,0))),"")</f>
        <v/>
      </c>
      <c r="Q32" s="9">
        <f>IFERROR(IF(INDEX('[2]1. Reporting template'!$Q$1:$Q$400,MATCH($B32,'[2]1. Reporting template'!$B$1:$B$400,0))="","",INDEX('[2]1. Reporting template'!$Q$1:$Q$400,MATCH($B32,'[2]1. Reporting template'!$B$1:$B$400,0))),"")</f>
        <v/>
      </c>
    </row>
    <row r="33" ht="154" customHeight="1">
      <c r="B33" s="6" t="inlineStr">
        <is>
          <t>EN1(c)</t>
        </is>
      </c>
      <c r="C33" s="48" t="inlineStr">
        <is>
          <t>Enablers</t>
        </is>
      </c>
      <c r="D33" s="48" t="inlineStr">
        <is>
          <t>Enablers</t>
        </is>
      </c>
      <c r="E33" s="48" t="inlineStr">
        <is>
          <t>Coordinated internal engagement and external partnerships contributing to delivery of sustainability outcomes across priority areas.</t>
        </is>
      </c>
      <c r="F33" s="7" t="inlineStr">
        <is>
          <t>Please list the key sustainability-focused communities of practice, internal networks or external partnerships active in your faculty in 2026 (name, partners, priority area), and give any examples of activity that contributed to a Sustainability 2030 outcome.
In end-2025 reporting your faculty reported on the related SP2030 target 3a(ii) (see Column J – click [+] above Columns I–K).</t>
        </is>
      </c>
      <c r="G33" s="7" t="inlineStr">
        <is>
          <t>We will report on internal engagement and partnerships contributing to Sustainability 2030 outcomes, and update our record of sustainability-focused communities of practice and contacts across the University.</t>
        </is>
      </c>
      <c r="H33" s="7" t="inlineStr">
        <is>
          <t>3a(ii)</t>
        </is>
      </c>
      <c r="I33" s="7" t="inlineStr">
        <is>
          <t>Partially met</t>
        </is>
      </c>
      <c r="J33" s="7" t="inlineStr">
        <is>
          <t>Academics in the Faculty have supported and learned from each other in new ways through the Living Lab and through using the sustainability networks in the Faculty and beyond to showcase and develop T&amp;L initiatives. This is, of course, an ongoing process.</t>
        </is>
      </c>
      <c r="K33" s="7" t="inlineStr"/>
      <c r="L33" s="9">
        <f>IFERROR(IF(INDEX('[2]1. Reporting template'!$L$1:$L$400,MATCH($B33,'[2]1. Reporting template'!$B$1:$B$400,0))="","",INDEX('[2]1. Reporting template'!$L$1:$L$400,MATCH($B33,'[2]1. Reporting template'!$B$1:$B$400,0))),"")</f>
        <v/>
      </c>
      <c r="M33" s="9">
        <f>IFERROR(IF(INDEX('[2]1. Reporting template'!$M$1:$M$400,MATCH($B33,'[2]1. Reporting template'!$B$1:$B$400,0))="","",INDEX('[2]1. Reporting template'!$M$1:$M$400,MATCH($B33,'[2]1. Reporting template'!$B$1:$B$400,0))),"")</f>
        <v/>
      </c>
      <c r="N33" s="9">
        <f>IFERROR(IF(INDEX('[2]1. Reporting template'!$N$1:$N$400,MATCH($B33,'[2]1. Reporting template'!$B$1:$B$400,0))="","",INDEX('[2]1. Reporting template'!$N$1:$N$400,MATCH($B33,'[2]1. Reporting template'!$B$1:$B$400,0))),"")</f>
        <v/>
      </c>
      <c r="O33" s="9">
        <f>IFERROR(IF(INDEX('[2]1. Reporting template'!$O$1:$O$400,MATCH($B33,'[2]1. Reporting template'!$B$1:$B$400,0))="","",INDEX('[2]1. Reporting template'!$O$1:$O$400,MATCH($B33,'[2]1. Reporting template'!$B$1:$B$400,0))),"")</f>
        <v/>
      </c>
      <c r="P33" s="9">
        <f>IFERROR(IF(INDEX('[2]1. Reporting template'!$P$1:$P$400,MATCH($B33,'[2]1. Reporting template'!$B$1:$B$400,0))="","",INDEX('[2]1. Reporting template'!$P$1:$P$400,MATCH($B33,'[2]1. Reporting template'!$B$1:$B$400,0))),"")</f>
        <v/>
      </c>
      <c r="Q33" s="9">
        <f>IFERROR(IF(INDEX('[2]1. Reporting template'!$Q$1:$Q$400,MATCH($B33,'[2]1. Reporting template'!$B$1:$B$400,0))="","",INDEX('[2]1. Reporting template'!$Q$1:$Q$400,MATCH($B33,'[2]1. Reporting template'!$B$1:$B$400,0))),"")</f>
        <v/>
      </c>
    </row>
    <row r="34"/>
    <row r="35"/>
    <row r="36" ht="39" customHeight="1">
      <c r="B36" s="43" t="inlineStr">
        <is>
          <t>1.3  FBE – Faculty of Business and Economics</t>
        </is>
      </c>
    </row>
    <row r="37"/>
    <row r="38" ht="27" customHeight="1">
      <c r="C38" s="44" t="inlineStr">
        <is>
          <t>Sustainability 2030 target and indicator</t>
        </is>
      </c>
      <c r="H38" s="44" t="inlineStr">
        <is>
          <t>SR25 response</t>
        </is>
      </c>
      <c r="L38" s="45" t="inlineStr">
        <is>
          <t>End-2026 reporting (PLEASE COMPLETE THIS SECTION)</t>
        </is>
      </c>
    </row>
    <row r="39" ht="60" customHeight="1">
      <c r="B39" s="5" t="inlineStr">
        <is>
          <t>Ref</t>
        </is>
      </c>
      <c r="C39" s="5" t="inlineStr">
        <is>
          <t>Priority area</t>
        </is>
      </c>
      <c r="D39" s="5" t="inlineStr">
        <is>
          <t>Sustainability 2030 target</t>
        </is>
      </c>
      <c r="E39" s="5" t="inlineStr">
        <is>
          <t>Indicator</t>
        </is>
      </c>
      <c r="F39" s="5" t="inlineStr">
        <is>
          <t>2026 Reporting request</t>
        </is>
      </c>
      <c r="G39" s="5" t="inlineStr">
        <is>
          <t>How SST will use this data</t>
        </is>
      </c>
      <c r="H39" s="5" t="inlineStr">
        <is>
          <t>Related SR25 ref</t>
        </is>
      </c>
      <c r="I39" s="5" t="inlineStr">
        <is>
          <t>End-2025 confirmed status</t>
        </is>
      </c>
      <c r="J39" s="5" t="inlineStr">
        <is>
          <t>End-2025 reporting response</t>
        </is>
      </c>
      <c r="K39" s="5" t="inlineStr">
        <is>
          <t>Links and supporting information</t>
        </is>
      </c>
      <c r="L39" s="46" t="inlineStr">
        <is>
          <t>OPTION 1:  Target-level reporting (Column D)</t>
        </is>
      </c>
      <c r="M39" s="46" t="inlineStr">
        <is>
          <t>OPTION 2:  Indicator level reporting (Column E/F)</t>
        </is>
      </c>
      <c r="N39" s="46" t="inlineStr">
        <is>
          <t>Supporting information/comments</t>
        </is>
      </c>
      <c r="O39" s="46" t="inlineStr">
        <is>
          <t>Data source and limitations</t>
        </is>
      </c>
      <c r="P39" s="46" t="inlineStr">
        <is>
          <t>Data owner confirms information is accurate</t>
        </is>
      </c>
      <c r="Q39" s="46" t="inlineStr">
        <is>
          <t>Confirmed by (name, role, date)</t>
        </is>
      </c>
    </row>
    <row r="40" ht="81" customHeight="1">
      <c r="B40" s="47" t="inlineStr"/>
      <c r="C40" s="47" t="inlineStr"/>
      <c r="D40" s="47" t="inlineStr"/>
      <c r="E40" s="47" t="inlineStr"/>
      <c r="F40" s="47" t="inlineStr"/>
      <c r="G40" s="47" t="inlineStr"/>
      <c r="H40" s="47" t="inlineStr"/>
      <c r="I40" s="47" t="inlineStr"/>
      <c r="J40" s="47" t="inlineStr"/>
      <c r="K40" s="47" t="inlineStr"/>
      <c r="L40" s="47" t="inlineStr">
        <is>
          <t>A general update on activities in relation to the overarching target (Column D)</t>
        </is>
      </c>
      <c r="M40" s="47" t="inlineStr">
        <is>
          <t>Data and commentary in direct response to the reporting request (Column F)</t>
        </is>
      </c>
      <c r="N40" s="47" t="inlineStr">
        <is>
          <t>Any additional information (e.g. links, images, documents)</t>
        </is>
      </c>
      <c r="O40" s="47" t="inlineStr">
        <is>
          <t>Where did this information come from (system, report, survey, person)? Note any gaps or limitations.</t>
        </is>
      </c>
      <c r="P40" s="47" t="inlineStr">
        <is>
          <t>Select 'Yes' to confirm the information provided is accurate and can be used for reporting</t>
        </is>
      </c>
      <c r="Q40" s="47" t="inlineStr">
        <is>
          <t>Name, role and date of the person confirming</t>
        </is>
      </c>
    </row>
    <row r="41" ht="352" customHeight="1">
      <c r="B41" s="6" t="inlineStr">
        <is>
          <t>EE1(a)</t>
        </is>
      </c>
      <c r="C41" s="48" t="inlineStr">
        <is>
          <t>Exceptional education</t>
        </is>
      </c>
      <c r="D41" s="48" t="inlineStr">
        <is>
          <t>Provide our students with learning experiences that help them build the knowledge, skills and relationships to lead change for sustainable societies.</t>
        </is>
      </c>
      <c r="E41" s="48" t="inlineStr">
        <is>
          <t>Evidence of innovative approaches to sustainability teaching and learning</t>
        </is>
      </c>
      <c r="F41" s="7" t="inlineStr">
        <is>
          <t>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Please note that this indicator will be addressed at the joint Associate Deans Sustainability and Associate Deans Teaching and Learning session on 23 November 2026. Please feel free to summarise what your faculty presented at this session - further information is welcome but not required.
In end-2025 reporting your faculty reported on the related SP2030 target 4a(ii) (see Column J – click [+] above Columns I–K).</t>
        </is>
      </c>
      <c r="G41" s="7"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41" s="7" t="inlineStr">
        <is>
          <t>4a(ii)</t>
        </is>
      </c>
      <c r="I41" s="7" t="inlineStr">
        <is>
          <t>Partially met</t>
        </is>
      </c>
      <c r="J41" s="7" t="inlineStr">
        <is>
          <t>The refresh of the Bachelor of Commerce BCOM refresh included explicitly embedding sustainability in course level learning outcomes, major level learning outcomes, and is now a specialisation (Ethics and Sustainability) available to students across all majors. 
See also Sust teaching case study p2</t>
        </is>
      </c>
      <c r="K41" s="7" t="inlineStr"/>
      <c r="L41" s="9">
        <f>IFERROR(IF(INDEX('[3]1. Reporting template'!$L$1:$L$400,MATCH($B41,'[3]1. Reporting template'!$B$1:$B$400,0))="","",INDEX('[3]1. Reporting template'!$L$1:$L$400,MATCH($B41,'[3]1. Reporting template'!$B$1:$B$400,0))),"")</f>
        <v/>
      </c>
      <c r="M41" s="9">
        <f>IFERROR(IF(INDEX('[3]1. Reporting template'!$M$1:$M$400,MATCH($B41,'[3]1. Reporting template'!$B$1:$B$400,0))="","",INDEX('[3]1. Reporting template'!$M$1:$M$400,MATCH($B41,'[3]1. Reporting template'!$B$1:$B$400,0))),"")</f>
        <v/>
      </c>
      <c r="N41" s="9">
        <f>IFERROR(IF(INDEX('[3]1. Reporting template'!$N$1:$N$400,MATCH($B41,'[3]1. Reporting template'!$B$1:$B$400,0))="","",INDEX('[3]1. Reporting template'!$N$1:$N$400,MATCH($B41,'[3]1. Reporting template'!$B$1:$B$400,0))),"")</f>
        <v/>
      </c>
      <c r="O41" s="9">
        <f>IFERROR(IF(INDEX('[3]1. Reporting template'!$O$1:$O$400,MATCH($B41,'[3]1. Reporting template'!$B$1:$B$400,0))="","",INDEX('[3]1. Reporting template'!$O$1:$O$400,MATCH($B41,'[3]1. Reporting template'!$B$1:$B$400,0))),"")</f>
        <v/>
      </c>
      <c r="P41" s="9">
        <f>IFERROR(IF(INDEX('[3]1. Reporting template'!$P$1:$P$400,MATCH($B41,'[3]1. Reporting template'!$B$1:$B$400,0))="","",INDEX('[3]1. Reporting template'!$P$1:$P$400,MATCH($B41,'[3]1. Reporting template'!$B$1:$B$400,0))),"")</f>
        <v/>
      </c>
      <c r="Q41" s="9">
        <f>IFERROR(IF(INDEX('[3]1. Reporting template'!$Q$1:$Q$400,MATCH($B41,'[3]1. Reporting template'!$B$1:$B$400,0))="","",INDEX('[3]1. Reporting template'!$Q$1:$Q$400,MATCH($B41,'[3]1. Reporting template'!$B$1:$B$400,0))),"")</f>
        <v/>
      </c>
    </row>
    <row r="42" ht="188" customHeight="1">
      <c r="B42" s="6" t="inlineStr">
        <is>
          <t>EE1(b)</t>
        </is>
      </c>
      <c r="C42" s="48" t="inlineStr">
        <is>
          <t>Exceptional education</t>
        </is>
      </c>
      <c r="D42" s="48" t="inlineStr">
        <is>
          <t>Provide our students with learning experiences that help them build the knowledge, skills and relationships to lead change for sustainable societies.</t>
        </is>
      </c>
      <c r="E42" s="48" t="inlineStr">
        <is>
          <t>Pilots of possible approaches for understanding and developing students’ sustainability self-efficacy</t>
        </is>
      </c>
      <c r="F42" s="7"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42" s="7" t="inlineStr">
        <is>
          <t>This is a new indicator. We will use responses to establish a baseline of how (and whether) faculties are understanding student sustainability self-efficacy, and report on early pilots in the 2026 Sustainability Report. A nil response is useful to us.</t>
        </is>
      </c>
      <c r="H42" s="7" t="inlineStr">
        <is>
          <t>N/A – new indicator</t>
        </is>
      </c>
      <c r="I42" s="7" t="inlineStr"/>
      <c r="J42" s="7" t="inlineStr"/>
      <c r="K42" s="7" t="inlineStr"/>
      <c r="L42" s="9">
        <f>IFERROR(IF(INDEX('[3]1. Reporting template'!$L$1:$L$400,MATCH($B42,'[3]1. Reporting template'!$B$1:$B$400,0))="","",INDEX('[3]1. Reporting template'!$L$1:$L$400,MATCH($B42,'[3]1. Reporting template'!$B$1:$B$400,0))),"")</f>
        <v/>
      </c>
      <c r="M42" s="9">
        <f>IFERROR(IF(INDEX('[3]1. Reporting template'!$M$1:$M$400,MATCH($B42,'[3]1. Reporting template'!$B$1:$B$400,0))="","",INDEX('[3]1. Reporting template'!$M$1:$M$400,MATCH($B42,'[3]1. Reporting template'!$B$1:$B$400,0))),"")</f>
        <v/>
      </c>
      <c r="N42" s="9">
        <f>IFERROR(IF(INDEX('[3]1. Reporting template'!$N$1:$N$400,MATCH($B42,'[3]1. Reporting template'!$B$1:$B$400,0))="","",INDEX('[3]1. Reporting template'!$N$1:$N$400,MATCH($B42,'[3]1. Reporting template'!$B$1:$B$400,0))),"")</f>
        <v/>
      </c>
      <c r="O42" s="9">
        <f>IFERROR(IF(INDEX('[3]1. Reporting template'!$O$1:$O$400,MATCH($B42,'[3]1. Reporting template'!$B$1:$B$400,0))="","",INDEX('[3]1. Reporting template'!$O$1:$O$400,MATCH($B42,'[3]1. Reporting template'!$B$1:$B$400,0))),"")</f>
        <v/>
      </c>
      <c r="P42" s="9">
        <f>IFERROR(IF(INDEX('[3]1. Reporting template'!$P$1:$P$400,MATCH($B42,'[3]1. Reporting template'!$B$1:$B$400,0))="","",INDEX('[3]1. Reporting template'!$P$1:$P$400,MATCH($B42,'[3]1. Reporting template'!$B$1:$B$400,0))),"")</f>
        <v/>
      </c>
      <c r="Q42" s="9">
        <f>IFERROR(IF(INDEX('[3]1. Reporting template'!$Q$1:$Q$400,MATCH($B42,'[3]1. Reporting template'!$B$1:$B$400,0))="","",INDEX('[3]1. Reporting template'!$Q$1:$Q$400,MATCH($B42,'[3]1. Reporting template'!$B$1:$B$400,0))),"")</f>
        <v/>
      </c>
    </row>
    <row r="43" ht="270" customHeight="1">
      <c r="B43" s="6" t="inlineStr">
        <is>
          <t>TR1(a)</t>
        </is>
      </c>
      <c r="C43" s="48" t="inlineStr">
        <is>
          <t>Transformational research</t>
        </is>
      </c>
      <c r="D43" s="48" t="inlineStr">
        <is>
          <t>Utilise the expertise of the University’s researchers through mutually beneficial partnerships to help address the University’s operational sustainability challenges.</t>
        </is>
      </c>
      <c r="E43" s="48" t="inlineStr">
        <is>
          <t>Expert-reviewed evidence of researchers contributing to operational sustainability priorities through partnerships, advisory input, living labs, applied projects or decision-support</t>
        </is>
      </c>
      <c r="F43" s="7" t="inlineStr">
        <is>
          <t>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Please note, we will collect case studies on Campus Living Lab Accelerator Program projects directly from project owners - no need to include these.
In end-2025 reporting your faculty reported on the related SP2030 target 2a (see Column J – click [+] above Columns I–K).</t>
        </is>
      </c>
      <c r="G43" s="7" t="inlineStr">
        <is>
          <t>We will report on examples of researchers helping solve the University's own operational sustainability challenges, alongside Campus Living Lab Accelerator Program case studies collected directly from project owners, and share them with operational teams to identify further collaboration.</t>
        </is>
      </c>
      <c r="H43" s="7" t="inlineStr">
        <is>
          <t>2a</t>
        </is>
      </c>
      <c r="I43" s="7" t="inlineStr">
        <is>
          <t>Partially met</t>
        </is>
      </c>
      <c r="J43" s="7" t="inlineStr">
        <is>
          <t>CLLAP report on University Investor Stewardship provided separately</t>
        </is>
      </c>
      <c r="K43" s="7" t="inlineStr"/>
      <c r="L43" s="9">
        <f>IFERROR(IF(INDEX('[3]1. Reporting template'!$L$1:$L$400,MATCH($B43,'[3]1. Reporting template'!$B$1:$B$400,0))="","",INDEX('[3]1. Reporting template'!$L$1:$L$400,MATCH($B43,'[3]1. Reporting template'!$B$1:$B$400,0))),"")</f>
        <v/>
      </c>
      <c r="M43" s="9">
        <f>IFERROR(IF(INDEX('[3]1. Reporting template'!$M$1:$M$400,MATCH($B43,'[3]1. Reporting template'!$B$1:$B$400,0))="","",INDEX('[3]1. Reporting template'!$M$1:$M$400,MATCH($B43,'[3]1. Reporting template'!$B$1:$B$400,0))),"")</f>
        <v/>
      </c>
      <c r="N43" s="9">
        <f>IFERROR(IF(INDEX('[3]1. Reporting template'!$N$1:$N$400,MATCH($B43,'[3]1. Reporting template'!$B$1:$B$400,0))="","",INDEX('[3]1. Reporting template'!$N$1:$N$400,MATCH($B43,'[3]1. Reporting template'!$B$1:$B$400,0))),"")</f>
        <v/>
      </c>
      <c r="O43" s="9">
        <f>IFERROR(IF(INDEX('[3]1. Reporting template'!$O$1:$O$400,MATCH($B43,'[3]1. Reporting template'!$B$1:$B$400,0))="","",INDEX('[3]1. Reporting template'!$O$1:$O$400,MATCH($B43,'[3]1. Reporting template'!$B$1:$B$400,0))),"")</f>
        <v/>
      </c>
      <c r="P43" s="9">
        <f>IFERROR(IF(INDEX('[3]1. Reporting template'!$P$1:$P$400,MATCH($B43,'[3]1. Reporting template'!$B$1:$B$400,0))="","",INDEX('[3]1. Reporting template'!$P$1:$P$400,MATCH($B43,'[3]1. Reporting template'!$B$1:$B$400,0))),"")</f>
        <v/>
      </c>
      <c r="Q43" s="9">
        <f>IFERROR(IF(INDEX('[3]1. Reporting template'!$Q$1:$Q$400,MATCH($B43,'[3]1. Reporting template'!$B$1:$B$400,0))="","",INDEX('[3]1. Reporting template'!$Q$1:$Q$400,MATCH($B43,'[3]1. Reporting template'!$B$1:$B$400,0))),"")</f>
        <v/>
      </c>
    </row>
    <row r="44" ht="270" customHeight="1">
      <c r="B44" s="6" t="inlineStr">
        <is>
          <t>TR2(a)</t>
        </is>
      </c>
      <c r="C44" s="48" t="inlineStr">
        <is>
          <t>Transformational research</t>
        </is>
      </c>
      <c r="D44" s="48" t="inlineStr">
        <is>
          <t>Deliver high-quality research and partnerships that contribute to sustainability outcomes and demonstrable societal benefit.</t>
        </is>
      </c>
      <c r="E44" s="48" t="inlineStr">
        <is>
          <t>Evidence of sustainability-related research impact across diverse pathways, could include policy, industry, community, practice, cultural and institutional outcomes</t>
        </is>
      </c>
      <c r="F44" s="7" t="inlineStr">
        <is>
          <t>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Melbourne Research and Enterprise (MRE) – publication counts are not required.
In end-2025 reporting your faculty reported on the related SP2030 target 5b(i) (see Column J – click [+] above Columns I–K).</t>
        </is>
      </c>
      <c r="G44" s="7" t="inlineStr">
        <is>
          <t>We will collate research impact examples across faculties to show the breadth of sustainability-related research impact in the Transformational research section of the 2026 Sustainability Report, complementing University-wide metrics from Melbourne Research and Enterprise (MRE).</t>
        </is>
      </c>
      <c r="H44" s="7" t="inlineStr">
        <is>
          <t>5b(i)</t>
        </is>
      </c>
      <c r="I44" s="7" t="inlineStr">
        <is>
          <t>Partially met</t>
        </is>
      </c>
      <c r="J44" s="7"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
See M&amp;M Sust Research Hub case study p2</t>
        </is>
      </c>
      <c r="K44" s="7" t="inlineStr">
        <is>
          <t>https://fbe.unimelb.edu.au/research/our-research-at-a-glance</t>
        </is>
      </c>
      <c r="L44" s="9">
        <f>IFERROR(IF(INDEX('[3]1. Reporting template'!$L$1:$L$400,MATCH($B44,'[3]1. Reporting template'!$B$1:$B$400,0))="","",INDEX('[3]1. Reporting template'!$L$1:$L$400,MATCH($B44,'[3]1. Reporting template'!$B$1:$B$400,0))),"")</f>
        <v/>
      </c>
      <c r="M44" s="9">
        <f>IFERROR(IF(INDEX('[3]1. Reporting template'!$M$1:$M$400,MATCH($B44,'[3]1. Reporting template'!$B$1:$B$400,0))="","",INDEX('[3]1. Reporting template'!$M$1:$M$400,MATCH($B44,'[3]1. Reporting template'!$B$1:$B$400,0))),"")</f>
        <v/>
      </c>
      <c r="N44" s="9">
        <f>IFERROR(IF(INDEX('[3]1. Reporting template'!$N$1:$N$400,MATCH($B44,'[3]1. Reporting template'!$B$1:$B$400,0))="","",INDEX('[3]1. Reporting template'!$N$1:$N$400,MATCH($B44,'[3]1. Reporting template'!$B$1:$B$400,0))),"")</f>
        <v/>
      </c>
      <c r="O44" s="9">
        <f>IFERROR(IF(INDEX('[3]1. Reporting template'!$O$1:$O$400,MATCH($B44,'[3]1. Reporting template'!$B$1:$B$400,0))="","",INDEX('[3]1. Reporting template'!$O$1:$O$400,MATCH($B44,'[3]1. Reporting template'!$B$1:$B$400,0))),"")</f>
        <v/>
      </c>
      <c r="P44" s="9">
        <f>IFERROR(IF(INDEX('[3]1. Reporting template'!$P$1:$P$400,MATCH($B44,'[3]1. Reporting template'!$B$1:$B$400,0))="","",INDEX('[3]1. Reporting template'!$P$1:$P$400,MATCH($B44,'[3]1. Reporting template'!$B$1:$B$400,0))),"")</f>
        <v/>
      </c>
      <c r="Q44" s="9">
        <f>IFERROR(IF(INDEX('[3]1. Reporting template'!$Q$1:$Q$400,MATCH($B44,'[3]1. Reporting template'!$B$1:$B$400,0))="","",INDEX('[3]1. Reporting template'!$Q$1:$Q$400,MATCH($B44,'[3]1. Reporting template'!$B$1:$B$400,0))),"")</f>
        <v/>
      </c>
    </row>
    <row r="45" ht="237" customHeight="1">
      <c r="B45" s="6" t="inlineStr">
        <is>
          <t>TR2(d)</t>
        </is>
      </c>
      <c r="C45" s="48" t="inlineStr">
        <is>
          <t>Transformational research</t>
        </is>
      </c>
      <c r="D45" s="48" t="inlineStr">
        <is>
          <t>Deliver high-quality research and partnerships that contribute to sustainability outcomes and demonstrable societal benefit.</t>
        </is>
      </c>
      <c r="E45" s="48" t="inlineStr">
        <is>
          <t>Case-based evidence demonstrating how research has contributed to meaningful sustainability outcomes.</t>
        </is>
      </c>
      <c r="F45" s="7" t="inlineStr">
        <is>
          <t>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
In end-2025 reporting your faculty reported on the related SP2030 target 5b(i) (see Column J – click [+] above Columns I–K).</t>
        </is>
      </c>
      <c r="G45" s="7" t="inlineStr">
        <is>
          <t>We will select the strongest examples to develop as full research case studies for the 2026 Sustainability Report (we may contact you for more detail and images).</t>
        </is>
      </c>
      <c r="H45" s="7" t="inlineStr">
        <is>
          <t>5b(i)</t>
        </is>
      </c>
      <c r="I45" s="7" t="inlineStr">
        <is>
          <t>Partially met</t>
        </is>
      </c>
      <c r="J45" s="7"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
See M&amp;M Sust Research Hub case study p2</t>
        </is>
      </c>
      <c r="K45" s="7" t="inlineStr">
        <is>
          <t>https://fbe.unimelb.edu.au/research/our-research-at-a-glance</t>
        </is>
      </c>
      <c r="L45" s="9">
        <f>IFERROR(IF(INDEX('[3]1. Reporting template'!$L$1:$L$400,MATCH($B45,'[3]1. Reporting template'!$B$1:$B$400,0))="","",INDEX('[3]1. Reporting template'!$L$1:$L$400,MATCH($B45,'[3]1. Reporting template'!$B$1:$B$400,0))),"")</f>
        <v/>
      </c>
      <c r="M45" s="9">
        <f>IFERROR(IF(INDEX('[3]1. Reporting template'!$M$1:$M$400,MATCH($B45,'[3]1. Reporting template'!$B$1:$B$400,0))="","",INDEX('[3]1. Reporting template'!$M$1:$M$400,MATCH($B45,'[3]1. Reporting template'!$B$1:$B$400,0))),"")</f>
        <v/>
      </c>
      <c r="N45" s="9">
        <f>IFERROR(IF(INDEX('[3]1. Reporting template'!$N$1:$N$400,MATCH($B45,'[3]1. Reporting template'!$B$1:$B$400,0))="","",INDEX('[3]1. Reporting template'!$N$1:$N$400,MATCH($B45,'[3]1. Reporting template'!$B$1:$B$400,0))),"")</f>
        <v/>
      </c>
      <c r="O45" s="9">
        <f>IFERROR(IF(INDEX('[3]1. Reporting template'!$O$1:$O$400,MATCH($B45,'[3]1. Reporting template'!$B$1:$B$400,0))="","",INDEX('[3]1. Reporting template'!$O$1:$O$400,MATCH($B45,'[3]1. Reporting template'!$B$1:$B$400,0))),"")</f>
        <v/>
      </c>
      <c r="P45" s="9">
        <f>IFERROR(IF(INDEX('[3]1. Reporting template'!$P$1:$P$400,MATCH($B45,'[3]1. Reporting template'!$B$1:$B$400,0))="","",INDEX('[3]1. Reporting template'!$P$1:$P$400,MATCH($B45,'[3]1. Reporting template'!$B$1:$B$400,0))),"")</f>
        <v/>
      </c>
      <c r="Q45" s="9">
        <f>IFERROR(IF(INDEX('[3]1. Reporting template'!$Q$1:$Q$400,MATCH($B45,'[3]1. Reporting template'!$B$1:$B$400,0))="","",INDEX('[3]1. Reporting template'!$Q$1:$Q$400,MATCH($B45,'[3]1. Reporting template'!$B$1:$B$400,0))),"")</f>
        <v/>
      </c>
    </row>
    <row r="46" ht="188" customHeight="1">
      <c r="B46" s="6" t="inlineStr">
        <is>
          <t>TR3(b)</t>
        </is>
      </c>
      <c r="C46" s="48" t="inlineStr">
        <is>
          <t>Transformational research</t>
        </is>
      </c>
      <c r="D46" s="48" t="inlineStr">
        <is>
          <t>Embed sustainability within research systems, processes, capability and culture, so research is conducted responsibly, efficiently and with reduced environmental impact.</t>
        </is>
      </c>
      <c r="E46" s="48" t="inlineStr">
        <is>
          <t>Demonstrated examples of more sustainable research practices in laboratories, fieldwork, procurement, travel or infrastructure use</t>
        </is>
      </c>
      <c r="F46" s="7" t="inlineStr">
        <is>
          <t>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
In end-2025 reporting your faculty reported on the related SP2030 target 5c(ii) (see Column J – click [+] above Columns I–K).</t>
        </is>
      </c>
      <c r="G46" s="7" t="inlineStr">
        <is>
          <t>We will report on ways the University is making research practices more sustainable in the 2026 Sustainability Report, and share practical examples (e.g. green labs) across faculties.</t>
        </is>
      </c>
      <c r="H46" s="7" t="inlineStr">
        <is>
          <t>5c(ii)</t>
        </is>
      </c>
      <c r="I46" s="7" t="inlineStr">
        <is>
          <t>Partially met</t>
        </is>
      </c>
      <c r="J46" s="7" t="inlineStr">
        <is>
          <t>The Department of Management &amp; Marketing Sustainable Research Hub is leading on 'Graduate Researcher Training for Sustainability-Related Research'. Equipping the next generation of researchers with the interdisciplinary and transdisciplinary knowledge and skills, and systems thinking competencies that enables them to recognize and pursue complex sustainability problems in their research, and to recognize the potential impact of their research on sustainability concerns. Development of these capabilities includes curriculum design, experiential learning opportunities, research ethics protocols, and institutional support needed to foster impactful sustainability research. (Also see case study p2)</t>
        </is>
      </c>
      <c r="K46" s="7" t="inlineStr">
        <is>
          <t>https://fbe.unimelb.edu.au/managementmarketing/research/the-sustainability-hub</t>
        </is>
      </c>
      <c r="L46" s="9">
        <f>IFERROR(IF(INDEX('[3]1. Reporting template'!$L$1:$L$400,MATCH($B46,'[3]1. Reporting template'!$B$1:$B$400,0))="","",INDEX('[3]1. Reporting template'!$L$1:$L$400,MATCH($B46,'[3]1. Reporting template'!$B$1:$B$400,0))),"")</f>
        <v/>
      </c>
      <c r="M46" s="9">
        <f>IFERROR(IF(INDEX('[3]1. Reporting template'!$M$1:$M$400,MATCH($B46,'[3]1. Reporting template'!$B$1:$B$400,0))="","",INDEX('[3]1. Reporting template'!$M$1:$M$400,MATCH($B46,'[3]1. Reporting template'!$B$1:$B$400,0))),"")</f>
        <v/>
      </c>
      <c r="N46" s="9">
        <f>IFERROR(IF(INDEX('[3]1. Reporting template'!$N$1:$N$400,MATCH($B46,'[3]1. Reporting template'!$B$1:$B$400,0))="","",INDEX('[3]1. Reporting template'!$N$1:$N$400,MATCH($B46,'[3]1. Reporting template'!$B$1:$B$400,0))),"")</f>
        <v/>
      </c>
      <c r="O46" s="9">
        <f>IFERROR(IF(INDEX('[3]1. Reporting template'!$O$1:$O$400,MATCH($B46,'[3]1. Reporting template'!$B$1:$B$400,0))="","",INDEX('[3]1. Reporting template'!$O$1:$O$400,MATCH($B46,'[3]1. Reporting template'!$B$1:$B$400,0))),"")</f>
        <v/>
      </c>
      <c r="P46" s="9">
        <f>IFERROR(IF(INDEX('[3]1. Reporting template'!$P$1:$P$400,MATCH($B46,'[3]1. Reporting template'!$B$1:$B$400,0))="","",INDEX('[3]1. Reporting template'!$P$1:$P$400,MATCH($B46,'[3]1. Reporting template'!$B$1:$B$400,0))),"")</f>
        <v/>
      </c>
      <c r="Q46" s="9">
        <f>IFERROR(IF(INDEX('[3]1. Reporting template'!$Q$1:$Q$400,MATCH($B46,'[3]1. Reporting template'!$B$1:$B$400,0))="","",INDEX('[3]1. Reporting template'!$Q$1:$Q$400,MATCH($B46,'[3]1. Reporting template'!$B$1:$B$400,0))),"")</f>
        <v/>
      </c>
    </row>
    <row r="47" ht="188" customHeight="1">
      <c r="B47" s="6" t="inlineStr">
        <is>
          <t>EN1(a)</t>
        </is>
      </c>
      <c r="C47" s="48" t="inlineStr">
        <is>
          <t>Enablers</t>
        </is>
      </c>
      <c r="D47" s="48" t="inlineStr">
        <is>
          <t>Enablers</t>
        </is>
      </c>
      <c r="E47" s="48" t="inlineStr">
        <is>
          <t>Evidence of sustainability outcomes informed by Indigenous knowledges</t>
        </is>
      </c>
      <c r="F47" s="7" t="inlineStr">
        <is>
          <t>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
In end-2025 reporting your faculty reported on the related SP2030 target 6a (see Column J – click [+] above Columns I–K).</t>
        </is>
      </c>
      <c r="G47" s="7" t="inlineStr">
        <is>
          <t>We will report on the ways Indigenous knowledges inform sustainability activities across the University, and develop selected examples into case studies with appropriate permissions.</t>
        </is>
      </c>
      <c r="H47" s="7" t="inlineStr">
        <is>
          <t>6a</t>
        </is>
      </c>
      <c r="I47" s="7" t="inlineStr">
        <is>
          <t>Partially met</t>
        </is>
      </c>
      <c r="J47" s="7" t="inlineStr">
        <is>
          <t>The Dilin Duwa Centre for Indigenous Business Leadership is developing research, teaching and engagement programs to enhance the economic skill base of Indigenous Australians, including through entrepreneurship, jobs and procurement. 
The Mabo Centre works to support Traditional Owners achieve successful Native Title outcomes for their communities through research, training, excahange and acceleration.
PhD student Caleb Adams' cross disciplinary thesis topic is 'Understanding and Unlocking Financial Capital: Empowering First Nations Leadership in and for a Green Economy'</t>
        </is>
      </c>
      <c r="K47" s="7" t="inlineStr">
        <is>
          <t>https://dilinduwa.com.au/
https://mabocentre.com/</t>
        </is>
      </c>
      <c r="L47" s="9">
        <f>IFERROR(IF(INDEX('[3]1. Reporting template'!$L$1:$L$400,MATCH($B47,'[3]1. Reporting template'!$B$1:$B$400,0))="","",INDEX('[3]1. Reporting template'!$L$1:$L$400,MATCH($B47,'[3]1. Reporting template'!$B$1:$B$400,0))),"")</f>
        <v/>
      </c>
      <c r="M47" s="9">
        <f>IFERROR(IF(INDEX('[3]1. Reporting template'!$M$1:$M$400,MATCH($B47,'[3]1. Reporting template'!$B$1:$B$400,0))="","",INDEX('[3]1. Reporting template'!$M$1:$M$400,MATCH($B47,'[3]1. Reporting template'!$B$1:$B$400,0))),"")</f>
        <v/>
      </c>
      <c r="N47" s="9">
        <f>IFERROR(IF(INDEX('[3]1. Reporting template'!$N$1:$N$400,MATCH($B47,'[3]1. Reporting template'!$B$1:$B$400,0))="","",INDEX('[3]1. Reporting template'!$N$1:$N$400,MATCH($B47,'[3]1. Reporting template'!$B$1:$B$400,0))),"")</f>
        <v/>
      </c>
      <c r="O47" s="9">
        <f>IFERROR(IF(INDEX('[3]1. Reporting template'!$O$1:$O$400,MATCH($B47,'[3]1. Reporting template'!$B$1:$B$400,0))="","",INDEX('[3]1. Reporting template'!$O$1:$O$400,MATCH($B47,'[3]1. Reporting template'!$B$1:$B$400,0))),"")</f>
        <v/>
      </c>
      <c r="P47" s="9">
        <f>IFERROR(IF(INDEX('[3]1. Reporting template'!$P$1:$P$400,MATCH($B47,'[3]1. Reporting template'!$B$1:$B$400,0))="","",INDEX('[3]1. Reporting template'!$P$1:$P$400,MATCH($B47,'[3]1. Reporting template'!$B$1:$B$400,0))),"")</f>
        <v/>
      </c>
      <c r="Q47" s="9">
        <f>IFERROR(IF(INDEX('[3]1. Reporting template'!$Q$1:$Q$400,MATCH($B47,'[3]1. Reporting template'!$B$1:$B$400,0))="","",INDEX('[3]1. Reporting template'!$Q$1:$Q$400,MATCH($B47,'[3]1. Reporting template'!$B$1:$B$400,0))),"")</f>
        <v/>
      </c>
    </row>
    <row r="48" ht="220" customHeight="1">
      <c r="B48" s="6" t="inlineStr">
        <is>
          <t>EN1(b)</t>
        </is>
      </c>
      <c r="C48" s="48" t="inlineStr">
        <is>
          <t>Enablers</t>
        </is>
      </c>
      <c r="D48" s="48" t="inlineStr">
        <is>
          <t>Enablers</t>
        </is>
      </c>
      <c r="E48" s="48" t="inlineStr">
        <is>
          <t>Living laboratories enabling applied learning, research and operational sustainability outcomes</t>
        </is>
      </c>
      <c r="F48" s="7" t="inlineStr">
        <is>
          <t>Please give any examples of sustainability-related living labs operating within your faculty in 2026 – their activities, who is involved (students, researchers, operational staff) and their outputs, outcomes or impact.
Please note, we will collect case studies on Campus Living Lab Accelerator Program projects directly from project owners - no need to include these.
In end-2025 reporting your faculty reported on the related SP2030 target 2a (see Column J – click [+] above Columns I–K).</t>
        </is>
      </c>
      <c r="G48" s="7" t="inlineStr">
        <is>
          <t>We will share examples of sustainability-related living labs from across the University in the 2026 Sustainability Report, alongside Campus Living Lab Accelerator Program case studies collected directly from project owners.</t>
        </is>
      </c>
      <c r="H48" s="7" t="inlineStr">
        <is>
          <t>2a</t>
        </is>
      </c>
      <c r="I48" s="7" t="inlineStr">
        <is>
          <t>Partially met</t>
        </is>
      </c>
      <c r="J48" s="7" t="inlineStr">
        <is>
          <t>CLLAP report on University Investor Stewardship provided separately</t>
        </is>
      </c>
      <c r="K48" s="7" t="inlineStr"/>
      <c r="L48" s="9">
        <f>IFERROR(IF(INDEX('[3]1. Reporting template'!$L$1:$L$400,MATCH($B48,'[3]1. Reporting template'!$B$1:$B$400,0))="","",INDEX('[3]1. Reporting template'!$L$1:$L$400,MATCH($B48,'[3]1. Reporting template'!$B$1:$B$400,0))),"")</f>
        <v/>
      </c>
      <c r="M48" s="9">
        <f>IFERROR(IF(INDEX('[3]1. Reporting template'!$M$1:$M$400,MATCH($B48,'[3]1. Reporting template'!$B$1:$B$400,0))="","",INDEX('[3]1. Reporting template'!$M$1:$M$400,MATCH($B48,'[3]1. Reporting template'!$B$1:$B$400,0))),"")</f>
        <v/>
      </c>
      <c r="N48" s="9">
        <f>IFERROR(IF(INDEX('[3]1. Reporting template'!$N$1:$N$400,MATCH($B48,'[3]1. Reporting template'!$B$1:$B$400,0))="","",INDEX('[3]1. Reporting template'!$N$1:$N$400,MATCH($B48,'[3]1. Reporting template'!$B$1:$B$400,0))),"")</f>
        <v/>
      </c>
      <c r="O48" s="9">
        <f>IFERROR(IF(INDEX('[3]1. Reporting template'!$O$1:$O$400,MATCH($B48,'[3]1. Reporting template'!$B$1:$B$400,0))="","",INDEX('[3]1. Reporting template'!$O$1:$O$400,MATCH($B48,'[3]1. Reporting template'!$B$1:$B$400,0))),"")</f>
        <v/>
      </c>
      <c r="P48" s="9">
        <f>IFERROR(IF(INDEX('[3]1. Reporting template'!$P$1:$P$400,MATCH($B48,'[3]1. Reporting template'!$B$1:$B$400,0))="","",INDEX('[3]1. Reporting template'!$P$1:$P$400,MATCH($B48,'[3]1. Reporting template'!$B$1:$B$400,0))),"")</f>
        <v/>
      </c>
      <c r="Q48" s="9">
        <f>IFERROR(IF(INDEX('[3]1. Reporting template'!$Q$1:$Q$400,MATCH($B48,'[3]1. Reporting template'!$B$1:$B$400,0))="","",INDEX('[3]1. Reporting template'!$Q$1:$Q$400,MATCH($B48,'[3]1. Reporting template'!$B$1:$B$400,0))),"")</f>
        <v/>
      </c>
    </row>
    <row r="49" ht="154" customHeight="1">
      <c r="B49" s="6" t="inlineStr">
        <is>
          <t>EN1(c)</t>
        </is>
      </c>
      <c r="C49" s="48" t="inlineStr">
        <is>
          <t>Enablers</t>
        </is>
      </c>
      <c r="D49" s="48" t="inlineStr">
        <is>
          <t>Enablers</t>
        </is>
      </c>
      <c r="E49" s="48" t="inlineStr">
        <is>
          <t>Coordinated internal engagement and external partnerships contributing to delivery of sustainability outcomes across priority areas.</t>
        </is>
      </c>
      <c r="F49" s="7" t="inlineStr">
        <is>
          <t>Please list the key sustainability-focused communities of practice, internal networks or external partnerships active in your faculty in 2026 (name, partners, priority area), and give any examples of activity that contributed to a Sustainability 2030 outcome.
In end-2025 reporting your faculty reported on the related SP2030 target 3a(ii) (see Column J – click [+] above Columns I–K).</t>
        </is>
      </c>
      <c r="G49" s="7" t="inlineStr">
        <is>
          <t>We will report on internal engagement and partnerships contributing to Sustainability 2030 outcomes, and update our record of sustainability-focused communities of practice and contacts across the University.</t>
        </is>
      </c>
      <c r="H49" s="7" t="inlineStr">
        <is>
          <t>3a(ii)</t>
        </is>
      </c>
      <c r="I49" s="7" t="inlineStr">
        <is>
          <t>Partially met</t>
        </is>
      </c>
      <c r="J49" s="7" t="inlineStr">
        <is>
          <t>The Faculty leads many cross department events and workshops to further sustainability knowledge and integration. For example, FBE faciliating the Shared Value Project exec ed for the 3rd time in 2025 as well as the SVP summit in 2025 at Melbourne Connect. FBE is deepening its relationship with SVP - which will provide a key highly visable and impactful  pathway to embedding sustsinability and shared value into teaching as well  offering myriad research opportunities. 
The Faculty led a University research engagement event - the Sustainable Finance Futures Forum - on September 17 within Sustainability Week. The event was attended by approximately 80 people from industry and the University community. It featured a keynote by Director of the University's Sustainable Finance Hub, Simon O'Connor, followed by an industry panel and then workshop session on climate scenario analyses led by A/Prof Ben Neville</t>
        </is>
      </c>
      <c r="K49" s="7" t="inlineStr"/>
      <c r="L49" s="9">
        <f>IFERROR(IF(INDEX('[3]1. Reporting template'!$L$1:$L$400,MATCH($B49,'[3]1. Reporting template'!$B$1:$B$400,0))="","",INDEX('[3]1. Reporting template'!$L$1:$L$400,MATCH($B49,'[3]1. Reporting template'!$B$1:$B$400,0))),"")</f>
        <v/>
      </c>
      <c r="M49" s="9">
        <f>IFERROR(IF(INDEX('[3]1. Reporting template'!$M$1:$M$400,MATCH($B49,'[3]1. Reporting template'!$B$1:$B$400,0))="","",INDEX('[3]1. Reporting template'!$M$1:$M$400,MATCH($B49,'[3]1. Reporting template'!$B$1:$B$400,0))),"")</f>
        <v/>
      </c>
      <c r="N49" s="9">
        <f>IFERROR(IF(INDEX('[3]1. Reporting template'!$N$1:$N$400,MATCH($B49,'[3]1. Reporting template'!$B$1:$B$400,0))="","",INDEX('[3]1. Reporting template'!$N$1:$N$400,MATCH($B49,'[3]1. Reporting template'!$B$1:$B$400,0))),"")</f>
        <v/>
      </c>
      <c r="O49" s="9">
        <f>IFERROR(IF(INDEX('[3]1. Reporting template'!$O$1:$O$400,MATCH($B49,'[3]1. Reporting template'!$B$1:$B$400,0))="","",INDEX('[3]1. Reporting template'!$O$1:$O$400,MATCH($B49,'[3]1. Reporting template'!$B$1:$B$400,0))),"")</f>
        <v/>
      </c>
      <c r="P49" s="9">
        <f>IFERROR(IF(INDEX('[3]1. Reporting template'!$P$1:$P$400,MATCH($B49,'[3]1. Reporting template'!$B$1:$B$400,0))="","",INDEX('[3]1. Reporting template'!$P$1:$P$400,MATCH($B49,'[3]1. Reporting template'!$B$1:$B$400,0))),"")</f>
        <v/>
      </c>
      <c r="Q49" s="9">
        <f>IFERROR(IF(INDEX('[3]1. Reporting template'!$Q$1:$Q$400,MATCH($B49,'[3]1. Reporting template'!$B$1:$B$400,0))="","",INDEX('[3]1. Reporting template'!$Q$1:$Q$400,MATCH($B49,'[3]1. Reporting template'!$B$1:$B$400,0))),"")</f>
        <v/>
      </c>
    </row>
    <row r="50"/>
    <row r="51"/>
    <row r="52" ht="39" customHeight="1">
      <c r="B52" s="43" t="inlineStr">
        <is>
          <t>1.4  SCI – Faculty of Science</t>
        </is>
      </c>
    </row>
    <row r="53"/>
    <row r="54" ht="27" customHeight="1">
      <c r="C54" s="44" t="inlineStr">
        <is>
          <t>Sustainability 2030 target and indicator</t>
        </is>
      </c>
      <c r="H54" s="44" t="inlineStr">
        <is>
          <t>SR25 response</t>
        </is>
      </c>
      <c r="L54" s="45" t="inlineStr">
        <is>
          <t>End-2026 reporting (PLEASE COMPLETE THIS SECTION)</t>
        </is>
      </c>
    </row>
    <row r="55" ht="60" customHeight="1">
      <c r="B55" s="5" t="inlineStr">
        <is>
          <t>Ref</t>
        </is>
      </c>
      <c r="C55" s="5" t="inlineStr">
        <is>
          <t>Priority area</t>
        </is>
      </c>
      <c r="D55" s="5" t="inlineStr">
        <is>
          <t>Sustainability 2030 target</t>
        </is>
      </c>
      <c r="E55" s="5" t="inlineStr">
        <is>
          <t>Indicator</t>
        </is>
      </c>
      <c r="F55" s="5" t="inlineStr">
        <is>
          <t>2026 Reporting request</t>
        </is>
      </c>
      <c r="G55" s="5" t="inlineStr">
        <is>
          <t>How SST will use this data</t>
        </is>
      </c>
      <c r="H55" s="5" t="inlineStr">
        <is>
          <t>Related SR25 ref</t>
        </is>
      </c>
      <c r="I55" s="5" t="inlineStr">
        <is>
          <t>End-2025 confirmed status</t>
        </is>
      </c>
      <c r="J55" s="5" t="inlineStr">
        <is>
          <t>End-2025 reporting response</t>
        </is>
      </c>
      <c r="K55" s="5" t="inlineStr">
        <is>
          <t>Links and supporting information</t>
        </is>
      </c>
      <c r="L55" s="46" t="inlineStr">
        <is>
          <t>OPTION 1:  Target-level reporting (Column D)</t>
        </is>
      </c>
      <c r="M55" s="46" t="inlineStr">
        <is>
          <t>OPTION 2:  Indicator level reporting (Column E/F)</t>
        </is>
      </c>
      <c r="N55" s="46" t="inlineStr">
        <is>
          <t>Supporting information/comments</t>
        </is>
      </c>
      <c r="O55" s="46" t="inlineStr">
        <is>
          <t>Data source and limitations</t>
        </is>
      </c>
      <c r="P55" s="46" t="inlineStr">
        <is>
          <t>Data owner confirms information is accurate</t>
        </is>
      </c>
      <c r="Q55" s="46" t="inlineStr">
        <is>
          <t>Confirmed by (name, role, date)</t>
        </is>
      </c>
    </row>
    <row r="56" ht="81" customHeight="1">
      <c r="B56" s="47" t="inlineStr"/>
      <c r="C56" s="47" t="inlineStr"/>
      <c r="D56" s="47" t="inlineStr"/>
      <c r="E56" s="47" t="inlineStr"/>
      <c r="F56" s="47" t="inlineStr"/>
      <c r="G56" s="47" t="inlineStr"/>
      <c r="H56" s="47" t="inlineStr"/>
      <c r="I56" s="47" t="inlineStr"/>
      <c r="J56" s="47" t="inlineStr"/>
      <c r="K56" s="47" t="inlineStr"/>
      <c r="L56" s="47" t="inlineStr">
        <is>
          <t>A general update on activities in relation to the overarching target (Column D)</t>
        </is>
      </c>
      <c r="M56" s="47" t="inlineStr">
        <is>
          <t>Data and commentary in direct response to the reporting request (Column F)</t>
        </is>
      </c>
      <c r="N56" s="47" t="inlineStr">
        <is>
          <t>Any additional information (e.g. links, images, documents)</t>
        </is>
      </c>
      <c r="O56" s="47" t="inlineStr">
        <is>
          <t>Where did this information come from (system, report, survey, person)? Note any gaps or limitations.</t>
        </is>
      </c>
      <c r="P56" s="47" t="inlineStr">
        <is>
          <t>Select 'Yes' to confirm the information provided is accurate and can be used for reporting</t>
        </is>
      </c>
      <c r="Q56" s="47" t="inlineStr">
        <is>
          <t>Name, role and date of the person confirming</t>
        </is>
      </c>
    </row>
    <row r="57" ht="352" customHeight="1">
      <c r="B57" s="6" t="inlineStr">
        <is>
          <t>EE1(a)</t>
        </is>
      </c>
      <c r="C57" s="48" t="inlineStr">
        <is>
          <t>Exceptional education</t>
        </is>
      </c>
      <c r="D57" s="48" t="inlineStr">
        <is>
          <t>Provide our students with learning experiences that help them build the knowledge, skills and relationships to lead change for sustainable societies.</t>
        </is>
      </c>
      <c r="E57" s="48" t="inlineStr">
        <is>
          <t>Evidence of innovative approaches to sustainability teaching and learning</t>
        </is>
      </c>
      <c r="F57" s="7" t="inlineStr">
        <is>
          <t>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Please note that this indicator will be addressed at the joint Associate Deans Sustainability and Associate Deans Teaching and Learning session on 23 November 2026. Please feel free to summarise what your faculty presented at this session - further information is welcome but not required.
In end-2025 reporting your faculty reported on the related SP2030 target 4a(ii) (see Column J – click [+] above Columns I–K).</t>
        </is>
      </c>
      <c r="G57" s="7"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57" s="7" t="inlineStr">
        <is>
          <t>4a(ii)</t>
        </is>
      </c>
      <c r="I57" s="7" t="inlineStr">
        <is>
          <t>Met or exceeded</t>
        </is>
      </c>
      <c r="J57" s="7" t="inlineStr">
        <is>
          <t>Sustainability, conservation, biodiversity are elements of most courses and majors within the FoS. Several additional courses are being considered at PG level in 2026
The FoS education strategy https://staff.unimelb.edu.au/science/learning-and-teaching-support/education-strategy has been developed with the following targets related to sustainability:  
Under Innovate: "Maintain a focus on embedding the principles of sustainability in our teaching and learning practices, including ‘green’ and sustainable laboratory initiatives"; Future ready graduates: "Our programs will embed the concepts of sustainability set out in the University’s Sustainability
Plan 2030 so that our graduates are fluent in contemporary concepts of human, social, economic
and environmental sustainability. "
With the 12 month implementation plan noting that: "Understanding our students’ carbon footprint is the first step towards incorporating sustainability in teaching and learning."</t>
        </is>
      </c>
      <c r="K57" s="7" t="inlineStr"/>
      <c r="L57" s="9">
        <f>IFERROR(IF(INDEX('[4]1. Reporting template'!$L$1:$L$400,MATCH($B57,'[4]1. Reporting template'!$B$1:$B$400,0))="","",INDEX('[4]1. Reporting template'!$L$1:$L$400,MATCH($B57,'[4]1. Reporting template'!$B$1:$B$400,0))),"")</f>
        <v/>
      </c>
      <c r="M57" s="9">
        <f>IFERROR(IF(INDEX('[4]1. Reporting template'!$M$1:$M$400,MATCH($B57,'[4]1. Reporting template'!$B$1:$B$400,0))="","",INDEX('[4]1. Reporting template'!$M$1:$M$400,MATCH($B57,'[4]1. Reporting template'!$B$1:$B$400,0))),"")</f>
        <v/>
      </c>
      <c r="N57" s="9">
        <f>IFERROR(IF(INDEX('[4]1. Reporting template'!$N$1:$N$400,MATCH($B57,'[4]1. Reporting template'!$B$1:$B$400,0))="","",INDEX('[4]1. Reporting template'!$N$1:$N$400,MATCH($B57,'[4]1. Reporting template'!$B$1:$B$400,0))),"")</f>
        <v/>
      </c>
      <c r="O57" s="9">
        <f>IFERROR(IF(INDEX('[4]1. Reporting template'!$O$1:$O$400,MATCH($B57,'[4]1. Reporting template'!$B$1:$B$400,0))="","",INDEX('[4]1. Reporting template'!$O$1:$O$400,MATCH($B57,'[4]1. Reporting template'!$B$1:$B$400,0))),"")</f>
        <v/>
      </c>
      <c r="P57" s="9">
        <f>IFERROR(IF(INDEX('[4]1. Reporting template'!$P$1:$P$400,MATCH($B57,'[4]1. Reporting template'!$B$1:$B$400,0))="","",INDEX('[4]1. Reporting template'!$P$1:$P$400,MATCH($B57,'[4]1. Reporting template'!$B$1:$B$400,0))),"")</f>
        <v/>
      </c>
      <c r="Q57" s="9">
        <f>IFERROR(IF(INDEX('[4]1. Reporting template'!$Q$1:$Q$400,MATCH($B57,'[4]1. Reporting template'!$B$1:$B$400,0))="","",INDEX('[4]1. Reporting template'!$Q$1:$Q$400,MATCH($B57,'[4]1. Reporting template'!$B$1:$B$400,0))),"")</f>
        <v/>
      </c>
    </row>
    <row r="58" ht="188" customHeight="1">
      <c r="B58" s="6" t="inlineStr">
        <is>
          <t>EE1(b)</t>
        </is>
      </c>
      <c r="C58" s="48" t="inlineStr">
        <is>
          <t>Exceptional education</t>
        </is>
      </c>
      <c r="D58" s="48" t="inlineStr">
        <is>
          <t>Provide our students with learning experiences that help them build the knowledge, skills and relationships to lead change for sustainable societies.</t>
        </is>
      </c>
      <c r="E58" s="48" t="inlineStr">
        <is>
          <t>Pilots of possible approaches for understanding and developing students’ sustainability self-efficacy</t>
        </is>
      </c>
      <c r="F58" s="7"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58" s="7" t="inlineStr">
        <is>
          <t>This is a new indicator. We will use responses to establish a baseline of how (and whether) faculties are understanding student sustainability self-efficacy, and report on early pilots in the 2026 Sustainability Report. A nil response is useful to us.</t>
        </is>
      </c>
      <c r="H58" s="7" t="inlineStr">
        <is>
          <t>N/A – new indicator</t>
        </is>
      </c>
      <c r="I58" s="7" t="inlineStr"/>
      <c r="J58" s="7" t="inlineStr"/>
      <c r="K58" s="7" t="inlineStr"/>
      <c r="L58" s="9">
        <f>IFERROR(IF(INDEX('[4]1. Reporting template'!$L$1:$L$400,MATCH($B58,'[4]1. Reporting template'!$B$1:$B$400,0))="","",INDEX('[4]1. Reporting template'!$L$1:$L$400,MATCH($B58,'[4]1. Reporting template'!$B$1:$B$400,0))),"")</f>
        <v/>
      </c>
      <c r="M58" s="9">
        <f>IFERROR(IF(INDEX('[4]1. Reporting template'!$M$1:$M$400,MATCH($B58,'[4]1. Reporting template'!$B$1:$B$400,0))="","",INDEX('[4]1. Reporting template'!$M$1:$M$400,MATCH($B58,'[4]1. Reporting template'!$B$1:$B$400,0))),"")</f>
        <v/>
      </c>
      <c r="N58" s="9">
        <f>IFERROR(IF(INDEX('[4]1. Reporting template'!$N$1:$N$400,MATCH($B58,'[4]1. Reporting template'!$B$1:$B$400,0))="","",INDEX('[4]1. Reporting template'!$N$1:$N$400,MATCH($B58,'[4]1. Reporting template'!$B$1:$B$400,0))),"")</f>
        <v/>
      </c>
      <c r="O58" s="9">
        <f>IFERROR(IF(INDEX('[4]1. Reporting template'!$O$1:$O$400,MATCH($B58,'[4]1. Reporting template'!$B$1:$B$400,0))="","",INDEX('[4]1. Reporting template'!$O$1:$O$400,MATCH($B58,'[4]1. Reporting template'!$B$1:$B$400,0))),"")</f>
        <v/>
      </c>
      <c r="P58" s="9">
        <f>IFERROR(IF(INDEX('[4]1. Reporting template'!$P$1:$P$400,MATCH($B58,'[4]1. Reporting template'!$B$1:$B$400,0))="","",INDEX('[4]1. Reporting template'!$P$1:$P$400,MATCH($B58,'[4]1. Reporting template'!$B$1:$B$400,0))),"")</f>
        <v/>
      </c>
      <c r="Q58" s="9">
        <f>IFERROR(IF(INDEX('[4]1. Reporting template'!$Q$1:$Q$400,MATCH($B58,'[4]1. Reporting template'!$B$1:$B$400,0))="","",INDEX('[4]1. Reporting template'!$Q$1:$Q$400,MATCH($B58,'[4]1. Reporting template'!$B$1:$B$400,0))),"")</f>
        <v/>
      </c>
    </row>
    <row r="59" ht="270" customHeight="1">
      <c r="B59" s="6" t="inlineStr">
        <is>
          <t>TR1(a)</t>
        </is>
      </c>
      <c r="C59" s="48" t="inlineStr">
        <is>
          <t>Transformational research</t>
        </is>
      </c>
      <c r="D59" s="48" t="inlineStr">
        <is>
          <t>Utilise the expertise of the University’s researchers through mutually beneficial partnerships to help address the University’s operational sustainability challenges.</t>
        </is>
      </c>
      <c r="E59" s="48" t="inlineStr">
        <is>
          <t>Expert-reviewed evidence of researchers contributing to operational sustainability priorities through partnerships, advisory input, living labs, applied projects or decision-support</t>
        </is>
      </c>
      <c r="F59" s="7" t="inlineStr">
        <is>
          <t>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Please note, we will collect case studies on Campus Living Lab Accelerator Program projects directly from project owners - no need to include these.
In end-2025 reporting your faculty reported on the related SP2030 target 2a (see Column J – click [+] above Columns I–K).</t>
        </is>
      </c>
      <c r="G59" s="7" t="inlineStr">
        <is>
          <t>We will report on examples of researchers helping solve the University's own operational sustainability challenges, alongside Campus Living Lab Accelerator Program case studies collected directly from project owners, and share them with operational teams to identify further collaboration.</t>
        </is>
      </c>
      <c r="H59" s="7" t="inlineStr">
        <is>
          <t>2a</t>
        </is>
      </c>
      <c r="I59" s="7" t="inlineStr">
        <is>
          <t>Partially met</t>
        </is>
      </c>
      <c r="J59" s="7" t="inlineStr">
        <is>
          <t>The faculty has many projects that can be considered living labs. A centralised approach is required to document them.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K59" s="7" t="inlineStr">
        <is>
          <t>https://www.unimelb.edu.au/newsroom/news/2024/october/native-harvest-cookbook-aims-to-put-indigenous-food-in-every-aussie-kitchen
https://theconversation.com/we-planted-two-woody-meadows-a-decade-ago-to-see-what-would-thrive-now-the-concept-is-popular-across-australia-269611</t>
        </is>
      </c>
      <c r="L59" s="9">
        <f>IFERROR(IF(INDEX('[4]1. Reporting template'!$L$1:$L$400,MATCH($B59,'[4]1. Reporting template'!$B$1:$B$400,0))="","",INDEX('[4]1. Reporting template'!$L$1:$L$400,MATCH($B59,'[4]1. Reporting template'!$B$1:$B$400,0))),"")</f>
        <v/>
      </c>
      <c r="M59" s="9">
        <f>IFERROR(IF(INDEX('[4]1. Reporting template'!$M$1:$M$400,MATCH($B59,'[4]1. Reporting template'!$B$1:$B$400,0))="","",INDEX('[4]1. Reporting template'!$M$1:$M$400,MATCH($B59,'[4]1. Reporting template'!$B$1:$B$400,0))),"")</f>
        <v/>
      </c>
      <c r="N59" s="9">
        <f>IFERROR(IF(INDEX('[4]1. Reporting template'!$N$1:$N$400,MATCH($B59,'[4]1. Reporting template'!$B$1:$B$400,0))="","",INDEX('[4]1. Reporting template'!$N$1:$N$400,MATCH($B59,'[4]1. Reporting template'!$B$1:$B$400,0))),"")</f>
        <v/>
      </c>
      <c r="O59" s="9">
        <f>IFERROR(IF(INDEX('[4]1. Reporting template'!$O$1:$O$400,MATCH($B59,'[4]1. Reporting template'!$B$1:$B$400,0))="","",INDEX('[4]1. Reporting template'!$O$1:$O$400,MATCH($B59,'[4]1. Reporting template'!$B$1:$B$400,0))),"")</f>
        <v/>
      </c>
      <c r="P59" s="9">
        <f>IFERROR(IF(INDEX('[4]1. Reporting template'!$P$1:$P$400,MATCH($B59,'[4]1. Reporting template'!$B$1:$B$400,0))="","",INDEX('[4]1. Reporting template'!$P$1:$P$400,MATCH($B59,'[4]1. Reporting template'!$B$1:$B$400,0))),"")</f>
        <v/>
      </c>
      <c r="Q59" s="9">
        <f>IFERROR(IF(INDEX('[4]1. Reporting template'!$Q$1:$Q$400,MATCH($B59,'[4]1. Reporting template'!$B$1:$B$400,0))="","",INDEX('[4]1. Reporting template'!$Q$1:$Q$400,MATCH($B59,'[4]1. Reporting template'!$B$1:$B$400,0))),"")</f>
        <v/>
      </c>
    </row>
    <row r="60" ht="270" customHeight="1">
      <c r="B60" s="6" t="inlineStr">
        <is>
          <t>TR2(a)</t>
        </is>
      </c>
      <c r="C60" s="48" t="inlineStr">
        <is>
          <t>Transformational research</t>
        </is>
      </c>
      <c r="D60" s="48" t="inlineStr">
        <is>
          <t>Deliver high-quality research and partnerships that contribute to sustainability outcomes and demonstrable societal benefit.</t>
        </is>
      </c>
      <c r="E60" s="48" t="inlineStr">
        <is>
          <t>Evidence of sustainability-related research impact across diverse pathways, could include policy, industry, community, practice, cultural and institutional outcomes</t>
        </is>
      </c>
      <c r="F60" s="7" t="inlineStr">
        <is>
          <t>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Melbourne Research and Enterprise (MRE) – publication counts are not required.
In end-2025 reporting your faculty reported on the related SP2030 target 5b(i) (see Column J – click [+] above Columns I–K).</t>
        </is>
      </c>
      <c r="G60" s="7" t="inlineStr">
        <is>
          <t>We will collate research impact examples across faculties to show the breadth of sustainability-related research impact in the Transformational research section of the 2026 Sustainability Report, complementing University-wide metrics from Melbourne Research and Enterprise (MRE).</t>
        </is>
      </c>
      <c r="H60" s="7" t="inlineStr">
        <is>
          <t>5b(i)</t>
        </is>
      </c>
      <c r="I60" s="7" t="inlineStr">
        <is>
          <t>Met or exceeded</t>
        </is>
      </c>
      <c r="J60" s="7"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K60" s="7" t="inlineStr"/>
      <c r="L60" s="9">
        <f>IFERROR(IF(INDEX('[4]1. Reporting template'!$L$1:$L$400,MATCH($B60,'[4]1. Reporting template'!$B$1:$B$400,0))="","",INDEX('[4]1. Reporting template'!$L$1:$L$400,MATCH($B60,'[4]1. Reporting template'!$B$1:$B$400,0))),"")</f>
        <v/>
      </c>
      <c r="M60" s="9">
        <f>IFERROR(IF(INDEX('[4]1. Reporting template'!$M$1:$M$400,MATCH($B60,'[4]1. Reporting template'!$B$1:$B$400,0))="","",INDEX('[4]1. Reporting template'!$M$1:$M$400,MATCH($B60,'[4]1. Reporting template'!$B$1:$B$400,0))),"")</f>
        <v/>
      </c>
      <c r="N60" s="9">
        <f>IFERROR(IF(INDEX('[4]1. Reporting template'!$N$1:$N$400,MATCH($B60,'[4]1. Reporting template'!$B$1:$B$400,0))="","",INDEX('[4]1. Reporting template'!$N$1:$N$400,MATCH($B60,'[4]1. Reporting template'!$B$1:$B$400,0))),"")</f>
        <v/>
      </c>
      <c r="O60" s="9">
        <f>IFERROR(IF(INDEX('[4]1. Reporting template'!$O$1:$O$400,MATCH($B60,'[4]1. Reporting template'!$B$1:$B$400,0))="","",INDEX('[4]1. Reporting template'!$O$1:$O$400,MATCH($B60,'[4]1. Reporting template'!$B$1:$B$400,0))),"")</f>
        <v/>
      </c>
      <c r="P60" s="9">
        <f>IFERROR(IF(INDEX('[4]1. Reporting template'!$P$1:$P$400,MATCH($B60,'[4]1. Reporting template'!$B$1:$B$400,0))="","",INDEX('[4]1. Reporting template'!$P$1:$P$400,MATCH($B60,'[4]1. Reporting template'!$B$1:$B$400,0))),"")</f>
        <v/>
      </c>
      <c r="Q60" s="9">
        <f>IFERROR(IF(INDEX('[4]1. Reporting template'!$Q$1:$Q$400,MATCH($B60,'[4]1. Reporting template'!$B$1:$B$400,0))="","",INDEX('[4]1. Reporting template'!$Q$1:$Q$400,MATCH($B60,'[4]1. Reporting template'!$B$1:$B$400,0))),"")</f>
        <v/>
      </c>
    </row>
    <row r="61" ht="237" customHeight="1">
      <c r="B61" s="6" t="inlineStr">
        <is>
          <t>TR2(d)</t>
        </is>
      </c>
      <c r="C61" s="48" t="inlineStr">
        <is>
          <t>Transformational research</t>
        </is>
      </c>
      <c r="D61" s="48" t="inlineStr">
        <is>
          <t>Deliver high-quality research and partnerships that contribute to sustainability outcomes and demonstrable societal benefit.</t>
        </is>
      </c>
      <c r="E61" s="48" t="inlineStr">
        <is>
          <t>Case-based evidence demonstrating how research has contributed to meaningful sustainability outcomes.</t>
        </is>
      </c>
      <c r="F61" s="7" t="inlineStr">
        <is>
          <t>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
In end-2025 reporting your faculty reported on the related SP2030 target 5b(i) (see Column J – click [+] above Columns I–K).</t>
        </is>
      </c>
      <c r="G61" s="7" t="inlineStr">
        <is>
          <t>We will select the strongest examples to develop as full research case studies for the 2026 Sustainability Report (we may contact you for more detail and images).</t>
        </is>
      </c>
      <c r="H61" s="7" t="inlineStr">
        <is>
          <t>5b(i)</t>
        </is>
      </c>
      <c r="I61" s="7" t="inlineStr">
        <is>
          <t>Met or exceeded</t>
        </is>
      </c>
      <c r="J61" s="7"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K61" s="7" t="inlineStr"/>
      <c r="L61" s="9">
        <f>IFERROR(IF(INDEX('[4]1. Reporting template'!$L$1:$L$400,MATCH($B61,'[4]1. Reporting template'!$B$1:$B$400,0))="","",INDEX('[4]1. Reporting template'!$L$1:$L$400,MATCH($B61,'[4]1. Reporting template'!$B$1:$B$400,0))),"")</f>
        <v/>
      </c>
      <c r="M61" s="9">
        <f>IFERROR(IF(INDEX('[4]1. Reporting template'!$M$1:$M$400,MATCH($B61,'[4]1. Reporting template'!$B$1:$B$400,0))="","",INDEX('[4]1. Reporting template'!$M$1:$M$400,MATCH($B61,'[4]1. Reporting template'!$B$1:$B$400,0))),"")</f>
        <v/>
      </c>
      <c r="N61" s="9">
        <f>IFERROR(IF(INDEX('[4]1. Reporting template'!$N$1:$N$400,MATCH($B61,'[4]1. Reporting template'!$B$1:$B$400,0))="","",INDEX('[4]1. Reporting template'!$N$1:$N$400,MATCH($B61,'[4]1. Reporting template'!$B$1:$B$400,0))),"")</f>
        <v/>
      </c>
      <c r="O61" s="9">
        <f>IFERROR(IF(INDEX('[4]1. Reporting template'!$O$1:$O$400,MATCH($B61,'[4]1. Reporting template'!$B$1:$B$400,0))="","",INDEX('[4]1. Reporting template'!$O$1:$O$400,MATCH($B61,'[4]1. Reporting template'!$B$1:$B$400,0))),"")</f>
        <v/>
      </c>
      <c r="P61" s="9">
        <f>IFERROR(IF(INDEX('[4]1. Reporting template'!$P$1:$P$400,MATCH($B61,'[4]1. Reporting template'!$B$1:$B$400,0))="","",INDEX('[4]1. Reporting template'!$P$1:$P$400,MATCH($B61,'[4]1. Reporting template'!$B$1:$B$400,0))),"")</f>
        <v/>
      </c>
      <c r="Q61" s="9">
        <f>IFERROR(IF(INDEX('[4]1. Reporting template'!$Q$1:$Q$400,MATCH($B61,'[4]1. Reporting template'!$B$1:$B$400,0))="","",INDEX('[4]1. Reporting template'!$Q$1:$Q$400,MATCH($B61,'[4]1. Reporting template'!$B$1:$B$400,0))),"")</f>
        <v/>
      </c>
    </row>
    <row r="62" ht="188" customHeight="1">
      <c r="B62" s="6" t="inlineStr">
        <is>
          <t>TR3(b)</t>
        </is>
      </c>
      <c r="C62" s="48" t="inlineStr">
        <is>
          <t>Transformational research</t>
        </is>
      </c>
      <c r="D62" s="48" t="inlineStr">
        <is>
          <t>Embed sustainability within research systems, processes, capability and culture, so research is conducted responsibly, efficiently and with reduced environmental impact.</t>
        </is>
      </c>
      <c r="E62" s="48" t="inlineStr">
        <is>
          <t>Demonstrated examples of more sustainable research practices in laboratories, fieldwork, procurement, travel or infrastructure use</t>
        </is>
      </c>
      <c r="F62" s="7" t="inlineStr">
        <is>
          <t>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
In end-2025 reporting your faculty reported on the related SP2030 target 5c(ii) (see Column J – click [+] above Columns I–K).</t>
        </is>
      </c>
      <c r="G62" s="7" t="inlineStr">
        <is>
          <t>We will report on ways the University is making research practices more sustainable in the 2026 Sustainability Report, and share practical examples (e.g. green labs) across faculties.</t>
        </is>
      </c>
      <c r="H62" s="7" t="inlineStr">
        <is>
          <t>5c(ii)</t>
        </is>
      </c>
      <c r="I62" s="7" t="inlineStr">
        <is>
          <t>Partially met</t>
        </is>
      </c>
      <c r="J62" s="7" t="inlineStr">
        <is>
          <t>We have a research strategy and implimentation plan which has clear deliverables for sustainability; 
Link for Research strategy: https://staff.unimelb.edu.au/science/research/research-governance/research-strategy-2023-2030               
Link for Implimentation Plan: https://staff.unimelb.edu.au/science/research/research-governance/research-strategy-2023-2030/Research-Strategy-Implementation-Plan_FINAL_12Dec24.pdf       
which for example includes "Action 10. Improve sustainability of our core business practices"</t>
        </is>
      </c>
      <c r="K62" s="7" t="inlineStr"/>
      <c r="L62" s="9">
        <f>IFERROR(IF(INDEX('[4]1. Reporting template'!$L$1:$L$400,MATCH($B62,'[4]1. Reporting template'!$B$1:$B$400,0))="","",INDEX('[4]1. Reporting template'!$L$1:$L$400,MATCH($B62,'[4]1. Reporting template'!$B$1:$B$400,0))),"")</f>
        <v/>
      </c>
      <c r="M62" s="9">
        <f>IFERROR(IF(INDEX('[4]1. Reporting template'!$M$1:$M$400,MATCH($B62,'[4]1. Reporting template'!$B$1:$B$400,0))="","",INDEX('[4]1. Reporting template'!$M$1:$M$400,MATCH($B62,'[4]1. Reporting template'!$B$1:$B$400,0))),"")</f>
        <v/>
      </c>
      <c r="N62" s="9">
        <f>IFERROR(IF(INDEX('[4]1. Reporting template'!$N$1:$N$400,MATCH($B62,'[4]1. Reporting template'!$B$1:$B$400,0))="","",INDEX('[4]1. Reporting template'!$N$1:$N$400,MATCH($B62,'[4]1. Reporting template'!$B$1:$B$400,0))),"")</f>
        <v/>
      </c>
      <c r="O62" s="9">
        <f>IFERROR(IF(INDEX('[4]1. Reporting template'!$O$1:$O$400,MATCH($B62,'[4]1. Reporting template'!$B$1:$B$400,0))="","",INDEX('[4]1. Reporting template'!$O$1:$O$400,MATCH($B62,'[4]1. Reporting template'!$B$1:$B$400,0))),"")</f>
        <v/>
      </c>
      <c r="P62" s="9">
        <f>IFERROR(IF(INDEX('[4]1. Reporting template'!$P$1:$P$400,MATCH($B62,'[4]1. Reporting template'!$B$1:$B$400,0))="","",INDEX('[4]1. Reporting template'!$P$1:$P$400,MATCH($B62,'[4]1. Reporting template'!$B$1:$B$400,0))),"")</f>
        <v/>
      </c>
      <c r="Q62" s="9">
        <f>IFERROR(IF(INDEX('[4]1. Reporting template'!$Q$1:$Q$400,MATCH($B62,'[4]1. Reporting template'!$B$1:$B$400,0))="","",INDEX('[4]1. Reporting template'!$Q$1:$Q$400,MATCH($B62,'[4]1. Reporting template'!$B$1:$B$400,0))),"")</f>
        <v/>
      </c>
    </row>
    <row r="63" ht="188" customHeight="1">
      <c r="B63" s="6" t="inlineStr">
        <is>
          <t>EN1(a)</t>
        </is>
      </c>
      <c r="C63" s="48" t="inlineStr">
        <is>
          <t>Enablers</t>
        </is>
      </c>
      <c r="D63" s="48" t="inlineStr">
        <is>
          <t>Enablers</t>
        </is>
      </c>
      <c r="E63" s="48" t="inlineStr">
        <is>
          <t>Evidence of sustainability outcomes informed by Indigenous knowledges</t>
        </is>
      </c>
      <c r="F63" s="7" t="inlineStr">
        <is>
          <t>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
In end-2025 reporting your faculty reported on the related SP2030 target 6a (see Column J – click [+] above Columns I–K).</t>
        </is>
      </c>
      <c r="G63" s="7" t="inlineStr">
        <is>
          <t>We will report on the ways Indigenous knowledges inform sustainability activities across the University, and develop selected examples into case studies with appropriate permissions.</t>
        </is>
      </c>
      <c r="H63" s="7" t="inlineStr">
        <is>
          <t>6a</t>
        </is>
      </c>
      <c r="I63" s="7" t="inlineStr">
        <is>
          <t>Partially met</t>
        </is>
      </c>
      <c r="J63" s="7" t="inlineStr">
        <is>
          <t>The Faculty of Science strategy has a specific goal of "Establish Indigenous lead caring for
country course and resources " which sits under the theme of Living Sustaianbly. 
The Indigenous Knowledges Institute and strong Indigenous A/D portfolio within the faculty of science continues to advance and uplift Indigenous knowledge, free, prior and informed consent for working on country, cultural awareness, co-designed research and cultural training - new Indigneous leadership and TrainMe - both online and face to face staff training great examples. 
Robyn Schofield working with Murujuga Rock Art Monitoring Program and being part of the Australian delegation that saw the inscription of Murujuga as a UN World Hertiage site in 2025 is one example.</t>
        </is>
      </c>
      <c r="K63" s="7" t="inlineStr"/>
      <c r="L63" s="9">
        <f>IFERROR(IF(INDEX('[4]1. Reporting template'!$L$1:$L$400,MATCH($B63,'[4]1. Reporting template'!$B$1:$B$400,0))="","",INDEX('[4]1. Reporting template'!$L$1:$L$400,MATCH($B63,'[4]1. Reporting template'!$B$1:$B$400,0))),"")</f>
        <v/>
      </c>
      <c r="M63" s="9">
        <f>IFERROR(IF(INDEX('[4]1. Reporting template'!$M$1:$M$400,MATCH($B63,'[4]1. Reporting template'!$B$1:$B$400,0))="","",INDEX('[4]1. Reporting template'!$M$1:$M$400,MATCH($B63,'[4]1. Reporting template'!$B$1:$B$400,0))),"")</f>
        <v/>
      </c>
      <c r="N63" s="9">
        <f>IFERROR(IF(INDEX('[4]1. Reporting template'!$N$1:$N$400,MATCH($B63,'[4]1. Reporting template'!$B$1:$B$400,0))="","",INDEX('[4]1. Reporting template'!$N$1:$N$400,MATCH($B63,'[4]1. Reporting template'!$B$1:$B$400,0))),"")</f>
        <v/>
      </c>
      <c r="O63" s="9">
        <f>IFERROR(IF(INDEX('[4]1. Reporting template'!$O$1:$O$400,MATCH($B63,'[4]1. Reporting template'!$B$1:$B$400,0))="","",INDEX('[4]1. Reporting template'!$O$1:$O$400,MATCH($B63,'[4]1. Reporting template'!$B$1:$B$400,0))),"")</f>
        <v/>
      </c>
      <c r="P63" s="9">
        <f>IFERROR(IF(INDEX('[4]1. Reporting template'!$P$1:$P$400,MATCH($B63,'[4]1. Reporting template'!$B$1:$B$400,0))="","",INDEX('[4]1. Reporting template'!$P$1:$P$400,MATCH($B63,'[4]1. Reporting template'!$B$1:$B$400,0))),"")</f>
        <v/>
      </c>
      <c r="Q63" s="9">
        <f>IFERROR(IF(INDEX('[4]1. Reporting template'!$Q$1:$Q$400,MATCH($B63,'[4]1. Reporting template'!$B$1:$B$400,0))="","",INDEX('[4]1. Reporting template'!$Q$1:$Q$400,MATCH($B63,'[4]1. Reporting template'!$B$1:$B$400,0))),"")</f>
        <v/>
      </c>
    </row>
    <row r="64" ht="220" customHeight="1">
      <c r="B64" s="6" t="inlineStr">
        <is>
          <t>EN1(b)</t>
        </is>
      </c>
      <c r="C64" s="48" t="inlineStr">
        <is>
          <t>Enablers</t>
        </is>
      </c>
      <c r="D64" s="48" t="inlineStr">
        <is>
          <t>Enablers</t>
        </is>
      </c>
      <c r="E64" s="48" t="inlineStr">
        <is>
          <t>Living laboratories enabling applied learning, research and operational sustainability outcomes</t>
        </is>
      </c>
      <c r="F64" s="7" t="inlineStr">
        <is>
          <t>Please give any examples of sustainability-related living labs operating within your faculty in 2026 – their activities, who is involved (students, researchers, operational staff) and their outputs, outcomes or impact.
Please note, we will collect case studies on Campus Living Lab Accelerator Program projects directly from project owners - no need to include these.
In end-2025 reporting your faculty reported on the related SP2030 target 2a (see Column J – click [+] above Columns I–K).</t>
        </is>
      </c>
      <c r="G64" s="7" t="inlineStr">
        <is>
          <t>We will share examples of sustainability-related living labs from across the University in the 2026 Sustainability Report, alongside Campus Living Lab Accelerator Program case studies collected directly from project owners.</t>
        </is>
      </c>
      <c r="H64" s="7" t="inlineStr">
        <is>
          <t>2a</t>
        </is>
      </c>
      <c r="I64" s="7" t="inlineStr">
        <is>
          <t>Partially met</t>
        </is>
      </c>
      <c r="J64" s="7" t="inlineStr">
        <is>
          <t>The faculty has many projects that can be considered living labs. A centralised approach is required to document them.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K64" s="7" t="inlineStr">
        <is>
          <t>https://www.unimelb.edu.au/newsroom/news/2024/october/native-harvest-cookbook-aims-to-put-indigenous-food-in-every-aussie-kitchen
https://theconversation.com/we-planted-two-woody-meadows-a-decade-ago-to-see-what-would-thrive-now-the-concept-is-popular-across-australia-269611</t>
        </is>
      </c>
      <c r="L64" s="9">
        <f>IFERROR(IF(INDEX('[4]1. Reporting template'!$L$1:$L$400,MATCH($B64,'[4]1. Reporting template'!$B$1:$B$400,0))="","",INDEX('[4]1. Reporting template'!$L$1:$L$400,MATCH($B64,'[4]1. Reporting template'!$B$1:$B$400,0))),"")</f>
        <v/>
      </c>
      <c r="M64" s="9">
        <f>IFERROR(IF(INDEX('[4]1. Reporting template'!$M$1:$M$400,MATCH($B64,'[4]1. Reporting template'!$B$1:$B$400,0))="","",INDEX('[4]1. Reporting template'!$M$1:$M$400,MATCH($B64,'[4]1. Reporting template'!$B$1:$B$400,0))),"")</f>
        <v/>
      </c>
      <c r="N64" s="9">
        <f>IFERROR(IF(INDEX('[4]1. Reporting template'!$N$1:$N$400,MATCH($B64,'[4]1. Reporting template'!$B$1:$B$400,0))="","",INDEX('[4]1. Reporting template'!$N$1:$N$400,MATCH($B64,'[4]1. Reporting template'!$B$1:$B$400,0))),"")</f>
        <v/>
      </c>
      <c r="O64" s="9">
        <f>IFERROR(IF(INDEX('[4]1. Reporting template'!$O$1:$O$400,MATCH($B64,'[4]1. Reporting template'!$B$1:$B$400,0))="","",INDEX('[4]1. Reporting template'!$O$1:$O$400,MATCH($B64,'[4]1. Reporting template'!$B$1:$B$400,0))),"")</f>
        <v/>
      </c>
      <c r="P64" s="9">
        <f>IFERROR(IF(INDEX('[4]1. Reporting template'!$P$1:$P$400,MATCH($B64,'[4]1. Reporting template'!$B$1:$B$400,0))="","",INDEX('[4]1. Reporting template'!$P$1:$P$400,MATCH($B64,'[4]1. Reporting template'!$B$1:$B$400,0))),"")</f>
        <v/>
      </c>
      <c r="Q64" s="9">
        <f>IFERROR(IF(INDEX('[4]1. Reporting template'!$Q$1:$Q$400,MATCH($B64,'[4]1. Reporting template'!$B$1:$B$400,0))="","",INDEX('[4]1. Reporting template'!$Q$1:$Q$400,MATCH($B64,'[4]1. Reporting template'!$B$1:$B$400,0))),"")</f>
        <v/>
      </c>
    </row>
    <row r="65" ht="154" customHeight="1">
      <c r="B65" s="6" t="inlineStr">
        <is>
          <t>EN1(c)</t>
        </is>
      </c>
      <c r="C65" s="48" t="inlineStr">
        <is>
          <t>Enablers</t>
        </is>
      </c>
      <c r="D65" s="48" t="inlineStr">
        <is>
          <t>Enablers</t>
        </is>
      </c>
      <c r="E65" s="48" t="inlineStr">
        <is>
          <t>Coordinated internal engagement and external partnerships contributing to delivery of sustainability outcomes across priority areas.</t>
        </is>
      </c>
      <c r="F65" s="7" t="inlineStr">
        <is>
          <t>Please list the key sustainability-focused communities of practice, internal networks or external partnerships active in your faculty in 2026 (name, partners, priority area), and give any examples of activity that contributed to a Sustainability 2030 outcome.
In end-2025 reporting your faculty reported on the related SP2030 target 3a(ii) (see Column J – click [+] above Columns I–K).</t>
        </is>
      </c>
      <c r="G65" s="7" t="inlineStr">
        <is>
          <t>We will report on internal engagement and partnerships contributing to Sustainability 2030 outcomes, and update our record of sustainability-focused communities of practice and contacts across the University.</t>
        </is>
      </c>
      <c r="H65" s="7" t="inlineStr">
        <is>
          <t>3a(ii)</t>
        </is>
      </c>
      <c r="I65" s="7" t="inlineStr">
        <is>
          <t>Met or exceeded</t>
        </is>
      </c>
      <c r="J65" s="7" t="inlineStr">
        <is>
          <t>The Associate/Assistant Deans of Sustainability exist in every faculty. While we interface with teaching, the DVCA, and A/Ds for UG and Postgraduate teaching are where the embedding of sustainability in formal learning outcomes occurs.
In the FoS the UG Chemistry laboratory sustainability upgrades is a great example of embedding sustainability early in learning for students.</t>
        </is>
      </c>
      <c r="K65" s="7" t="inlineStr"/>
      <c r="L65" s="9">
        <f>IFERROR(IF(INDEX('[4]1. Reporting template'!$L$1:$L$400,MATCH($B65,'[4]1. Reporting template'!$B$1:$B$400,0))="","",INDEX('[4]1. Reporting template'!$L$1:$L$400,MATCH($B65,'[4]1. Reporting template'!$B$1:$B$400,0))),"")</f>
        <v/>
      </c>
      <c r="M65" s="9">
        <f>IFERROR(IF(INDEX('[4]1. Reporting template'!$M$1:$M$400,MATCH($B65,'[4]1. Reporting template'!$B$1:$B$400,0))="","",INDEX('[4]1. Reporting template'!$M$1:$M$400,MATCH($B65,'[4]1. Reporting template'!$B$1:$B$400,0))),"")</f>
        <v/>
      </c>
      <c r="N65" s="9">
        <f>IFERROR(IF(INDEX('[4]1. Reporting template'!$N$1:$N$400,MATCH($B65,'[4]1. Reporting template'!$B$1:$B$400,0))="","",INDEX('[4]1. Reporting template'!$N$1:$N$400,MATCH($B65,'[4]1. Reporting template'!$B$1:$B$400,0))),"")</f>
        <v/>
      </c>
      <c r="O65" s="9">
        <f>IFERROR(IF(INDEX('[4]1. Reporting template'!$O$1:$O$400,MATCH($B65,'[4]1. Reporting template'!$B$1:$B$400,0))="","",INDEX('[4]1. Reporting template'!$O$1:$O$400,MATCH($B65,'[4]1. Reporting template'!$B$1:$B$400,0))),"")</f>
        <v/>
      </c>
      <c r="P65" s="9">
        <f>IFERROR(IF(INDEX('[4]1. Reporting template'!$P$1:$P$400,MATCH($B65,'[4]1. Reporting template'!$B$1:$B$400,0))="","",INDEX('[4]1. Reporting template'!$P$1:$P$400,MATCH($B65,'[4]1. Reporting template'!$B$1:$B$400,0))),"")</f>
        <v/>
      </c>
      <c r="Q65" s="9">
        <f>IFERROR(IF(INDEX('[4]1. Reporting template'!$Q$1:$Q$400,MATCH($B65,'[4]1. Reporting template'!$B$1:$B$400,0))="","",INDEX('[4]1. Reporting template'!$Q$1:$Q$400,MATCH($B65,'[4]1. Reporting template'!$B$1:$B$400,0))),"")</f>
        <v/>
      </c>
    </row>
    <row r="66"/>
    <row r="67"/>
    <row r="68" ht="39" customHeight="1">
      <c r="B68" s="43" t="inlineStr">
        <is>
          <t>1.5  FAM – Faculty of Fine Arts and Music</t>
        </is>
      </c>
    </row>
    <row r="69"/>
    <row r="70" ht="27" customHeight="1">
      <c r="C70" s="44" t="inlineStr">
        <is>
          <t>Sustainability 2030 target and indicator</t>
        </is>
      </c>
      <c r="H70" s="44" t="inlineStr">
        <is>
          <t>SR25 response</t>
        </is>
      </c>
      <c r="L70" s="45" t="inlineStr">
        <is>
          <t>End-2026 reporting (PLEASE COMPLETE THIS SECTION)</t>
        </is>
      </c>
    </row>
    <row r="71" ht="60" customHeight="1">
      <c r="B71" s="5" t="inlineStr">
        <is>
          <t>Ref</t>
        </is>
      </c>
      <c r="C71" s="5" t="inlineStr">
        <is>
          <t>Priority area</t>
        </is>
      </c>
      <c r="D71" s="5" t="inlineStr">
        <is>
          <t>Sustainability 2030 target</t>
        </is>
      </c>
      <c r="E71" s="5" t="inlineStr">
        <is>
          <t>Indicator</t>
        </is>
      </c>
      <c r="F71" s="5" t="inlineStr">
        <is>
          <t>2026 Reporting request</t>
        </is>
      </c>
      <c r="G71" s="5" t="inlineStr">
        <is>
          <t>How SST will use this data</t>
        </is>
      </c>
      <c r="H71" s="5" t="inlineStr">
        <is>
          <t>Related SR25 ref</t>
        </is>
      </c>
      <c r="I71" s="5" t="inlineStr">
        <is>
          <t>End-2025 confirmed status</t>
        </is>
      </c>
      <c r="J71" s="5" t="inlineStr">
        <is>
          <t>End-2025 reporting response</t>
        </is>
      </c>
      <c r="K71" s="5" t="inlineStr">
        <is>
          <t>Links and supporting information</t>
        </is>
      </c>
      <c r="L71" s="46" t="inlineStr">
        <is>
          <t>OPTION 1:  Target-level reporting (Column D)</t>
        </is>
      </c>
      <c r="M71" s="46" t="inlineStr">
        <is>
          <t>OPTION 2:  Indicator level reporting (Column E/F)</t>
        </is>
      </c>
      <c r="N71" s="46" t="inlineStr">
        <is>
          <t>Supporting information/comments</t>
        </is>
      </c>
      <c r="O71" s="46" t="inlineStr">
        <is>
          <t>Data source and limitations</t>
        </is>
      </c>
      <c r="P71" s="46" t="inlineStr">
        <is>
          <t>Data owner confirms information is accurate</t>
        </is>
      </c>
      <c r="Q71" s="46" t="inlineStr">
        <is>
          <t>Confirmed by (name, role, date)</t>
        </is>
      </c>
    </row>
    <row r="72" ht="81" customHeight="1">
      <c r="B72" s="47" t="inlineStr"/>
      <c r="C72" s="47" t="inlineStr"/>
      <c r="D72" s="47" t="inlineStr"/>
      <c r="E72" s="47" t="inlineStr"/>
      <c r="F72" s="47" t="inlineStr"/>
      <c r="G72" s="47" t="inlineStr"/>
      <c r="H72" s="47" t="inlineStr"/>
      <c r="I72" s="47" t="inlineStr"/>
      <c r="J72" s="47" t="inlineStr"/>
      <c r="K72" s="47" t="inlineStr"/>
      <c r="L72" s="47" t="inlineStr">
        <is>
          <t>A general update on activities in relation to the overarching target (Column D)</t>
        </is>
      </c>
      <c r="M72" s="47" t="inlineStr">
        <is>
          <t>Data and commentary in direct response to the reporting request (Column F)</t>
        </is>
      </c>
      <c r="N72" s="47" t="inlineStr">
        <is>
          <t>Any additional information (e.g. links, images, documents)</t>
        </is>
      </c>
      <c r="O72" s="47" t="inlineStr">
        <is>
          <t>Where did this information come from (system, report, survey, person)? Note any gaps or limitations.</t>
        </is>
      </c>
      <c r="P72" s="47" t="inlineStr">
        <is>
          <t>Select 'Yes' to confirm the information provided is accurate and can be used for reporting</t>
        </is>
      </c>
      <c r="Q72" s="47" t="inlineStr">
        <is>
          <t>Name, role and date of the person confirming</t>
        </is>
      </c>
    </row>
    <row r="73" ht="352" customHeight="1">
      <c r="B73" s="6" t="inlineStr">
        <is>
          <t>EE1(a)</t>
        </is>
      </c>
      <c r="C73" s="48" t="inlineStr">
        <is>
          <t>Exceptional education</t>
        </is>
      </c>
      <c r="D73" s="48" t="inlineStr">
        <is>
          <t>Provide our students with learning experiences that help them build the knowledge, skills and relationships to lead change for sustainable societies.</t>
        </is>
      </c>
      <c r="E73" s="48" t="inlineStr">
        <is>
          <t>Evidence of innovative approaches to sustainability teaching and learning</t>
        </is>
      </c>
      <c r="F73" s="7" t="inlineStr">
        <is>
          <t>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Please note that this indicator will be addressed at the joint Associate Deans Sustainability and Associate Deans Teaching and Learning session on 23 November 2026. Please feel free to summarise what your faculty presented at this session - further information is welcome but not required.
In end-2025 reporting your faculty reported on the related SP2030 target 4a(ii) (see Column J – click [+] above Columns I–K).</t>
        </is>
      </c>
      <c r="G73" s="7"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73" s="7" t="inlineStr">
        <is>
          <t>4a(ii)</t>
        </is>
      </c>
      <c r="I73" s="7" t="inlineStr">
        <is>
          <t>Met or exceeded</t>
        </is>
      </c>
      <c r="J73" s="7" t="inlineStr">
        <is>
          <t>With so many academics making up the Faculty's Sustainability Community, we regularly discuss opportunities to integrate and  embed sustainability into the curriculum, and into the productions that are part of the curriculum. Academics use this forum to share how they have introduced elements or whole subjects on sustainability.
The Faculty's production staff also embed sustainability into the curriculum through their practices such as costume design and use, staging, energy use during productions and materials and talk students and academic staff through the impacts of their choices as part of curriculum.
The Faculty incentivises students to explore global and local issues which do or could have an adverse impact on communities through the administration of the Margaret Lawrence Social Justice Award, which is provided for currently enrolled FFAM students to enable them to pursue eligible projects in film or other art forms. In 2025, the award was shared by three recipients.
Please also see the full list of 2025 Faculty subjects that imbed sustainability in the curriculum in tab '4aii', and note the open subject such as the Dance Choreography as Research subject mentioned in item '2a' above where additional opportunities are provided for in the curriculum.
In addition, whilst not in the curriculum, the Faculty supports and encourages current students to extend their exploration of issues in sustainability through program such as the Wattle Fellowship. In 2025, Master of Design Stage Management student  David Wotherspoon was awarded a Wattle Fellowship to explore waste, sustainability and theatre-making. As part of the Fellowship, David established 'Staging for Change', an unconference to share ideas and learn from each other about sustainability and theatre. https://www.youtube.com/watch?v=ArkyjaTGqi8&amp;list=PLjV9J8uqEKeYLIOifb44hYvBKtMoXVeFv&amp;index=25
See tab '4aii'</t>
        </is>
      </c>
      <c r="K73" s="7" t="inlineStr">
        <is>
          <t>https://www.youtube.com/watch?v=ArkyjaTGqi8&amp;list=PLjV9J8uqEKeYLIOifb44hYvBKtMoXVeFv&amp;index=25</t>
        </is>
      </c>
      <c r="L73" s="9">
        <f>IFERROR(IF(INDEX('[5]1. Reporting template'!$L$1:$L$400,MATCH($B73,'[5]1. Reporting template'!$B$1:$B$400,0))="","",INDEX('[5]1. Reporting template'!$L$1:$L$400,MATCH($B73,'[5]1. Reporting template'!$B$1:$B$400,0))),"")</f>
        <v/>
      </c>
      <c r="M73" s="9">
        <f>IFERROR(IF(INDEX('[5]1. Reporting template'!$M$1:$M$400,MATCH($B73,'[5]1. Reporting template'!$B$1:$B$400,0))="","",INDEX('[5]1. Reporting template'!$M$1:$M$400,MATCH($B73,'[5]1. Reporting template'!$B$1:$B$400,0))),"")</f>
        <v/>
      </c>
      <c r="N73" s="9">
        <f>IFERROR(IF(INDEX('[5]1. Reporting template'!$N$1:$N$400,MATCH($B73,'[5]1. Reporting template'!$B$1:$B$400,0))="","",INDEX('[5]1. Reporting template'!$N$1:$N$400,MATCH($B73,'[5]1. Reporting template'!$B$1:$B$400,0))),"")</f>
        <v/>
      </c>
      <c r="O73" s="9">
        <f>IFERROR(IF(INDEX('[5]1. Reporting template'!$O$1:$O$400,MATCH($B73,'[5]1. Reporting template'!$B$1:$B$400,0))="","",INDEX('[5]1. Reporting template'!$O$1:$O$400,MATCH($B73,'[5]1. Reporting template'!$B$1:$B$400,0))),"")</f>
        <v/>
      </c>
      <c r="P73" s="9">
        <f>IFERROR(IF(INDEX('[5]1. Reporting template'!$P$1:$P$400,MATCH($B73,'[5]1. Reporting template'!$B$1:$B$400,0))="","",INDEX('[5]1. Reporting template'!$P$1:$P$400,MATCH($B73,'[5]1. Reporting template'!$B$1:$B$400,0))),"")</f>
        <v/>
      </c>
      <c r="Q73" s="9">
        <f>IFERROR(IF(INDEX('[5]1. Reporting template'!$Q$1:$Q$400,MATCH($B73,'[5]1. Reporting template'!$B$1:$B$400,0))="","",INDEX('[5]1. Reporting template'!$Q$1:$Q$400,MATCH($B73,'[5]1. Reporting template'!$B$1:$B$400,0))),"")</f>
        <v/>
      </c>
    </row>
    <row r="74" ht="188" customHeight="1">
      <c r="B74" s="6" t="inlineStr">
        <is>
          <t>EE1(b)</t>
        </is>
      </c>
      <c r="C74" s="48" t="inlineStr">
        <is>
          <t>Exceptional education</t>
        </is>
      </c>
      <c r="D74" s="48" t="inlineStr">
        <is>
          <t>Provide our students with learning experiences that help them build the knowledge, skills and relationships to lead change for sustainable societies.</t>
        </is>
      </c>
      <c r="E74" s="48" t="inlineStr">
        <is>
          <t>Pilots of possible approaches for understanding and developing students’ sustainability self-efficacy</t>
        </is>
      </c>
      <c r="F74" s="7"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74" s="7" t="inlineStr">
        <is>
          <t>This is a new indicator. We will use responses to establish a baseline of how (and whether) faculties are understanding student sustainability self-efficacy, and report on early pilots in the 2026 Sustainability Report. A nil response is useful to us.</t>
        </is>
      </c>
      <c r="H74" s="7" t="inlineStr">
        <is>
          <t>N/A – new indicator</t>
        </is>
      </c>
      <c r="I74" s="7" t="inlineStr"/>
      <c r="J74" s="7" t="inlineStr"/>
      <c r="K74" s="7" t="inlineStr"/>
      <c r="L74" s="9">
        <f>IFERROR(IF(INDEX('[5]1. Reporting template'!$L$1:$L$400,MATCH($B74,'[5]1. Reporting template'!$B$1:$B$400,0))="","",INDEX('[5]1. Reporting template'!$L$1:$L$400,MATCH($B74,'[5]1. Reporting template'!$B$1:$B$400,0))),"")</f>
        <v/>
      </c>
      <c r="M74" s="9">
        <f>IFERROR(IF(INDEX('[5]1. Reporting template'!$M$1:$M$400,MATCH($B74,'[5]1. Reporting template'!$B$1:$B$400,0))="","",INDEX('[5]1. Reporting template'!$M$1:$M$400,MATCH($B74,'[5]1. Reporting template'!$B$1:$B$400,0))),"")</f>
        <v/>
      </c>
      <c r="N74" s="9">
        <f>IFERROR(IF(INDEX('[5]1. Reporting template'!$N$1:$N$400,MATCH($B74,'[5]1. Reporting template'!$B$1:$B$400,0))="","",INDEX('[5]1. Reporting template'!$N$1:$N$400,MATCH($B74,'[5]1. Reporting template'!$B$1:$B$400,0))),"")</f>
        <v/>
      </c>
      <c r="O74" s="9">
        <f>IFERROR(IF(INDEX('[5]1. Reporting template'!$O$1:$O$400,MATCH($B74,'[5]1. Reporting template'!$B$1:$B$400,0))="","",INDEX('[5]1. Reporting template'!$O$1:$O$400,MATCH($B74,'[5]1. Reporting template'!$B$1:$B$400,0))),"")</f>
        <v/>
      </c>
      <c r="P74" s="9">
        <f>IFERROR(IF(INDEX('[5]1. Reporting template'!$P$1:$P$400,MATCH($B74,'[5]1. Reporting template'!$B$1:$B$400,0))="","",INDEX('[5]1. Reporting template'!$P$1:$P$400,MATCH($B74,'[5]1. Reporting template'!$B$1:$B$400,0))),"")</f>
        <v/>
      </c>
      <c r="Q74" s="9">
        <f>IFERROR(IF(INDEX('[5]1. Reporting template'!$Q$1:$Q$400,MATCH($B74,'[5]1. Reporting template'!$B$1:$B$400,0))="","",INDEX('[5]1. Reporting template'!$Q$1:$Q$400,MATCH($B74,'[5]1. Reporting template'!$B$1:$B$400,0))),"")</f>
        <v/>
      </c>
    </row>
    <row r="75" ht="270" customHeight="1">
      <c r="B75" s="6" t="inlineStr">
        <is>
          <t>TR1(a)</t>
        </is>
      </c>
      <c r="C75" s="48" t="inlineStr">
        <is>
          <t>Transformational research</t>
        </is>
      </c>
      <c r="D75" s="48" t="inlineStr">
        <is>
          <t>Utilise the expertise of the University’s researchers through mutually beneficial partnerships to help address the University’s operational sustainability challenges.</t>
        </is>
      </c>
      <c r="E75" s="48" t="inlineStr">
        <is>
          <t>Expert-reviewed evidence of researchers contributing to operational sustainability priorities through partnerships, advisory input, living labs, applied projects or decision-support</t>
        </is>
      </c>
      <c r="F75" s="7" t="inlineStr">
        <is>
          <t>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Please note, we will collect case studies on Campus Living Lab Accelerator Program projects directly from project owners - no need to include these.
In end-2025 reporting your faculty reported on the related SP2030 target 2a (see Column J – click [+] above Columns I–K).</t>
        </is>
      </c>
      <c r="G75" s="7" t="inlineStr">
        <is>
          <t>We will report on examples of researchers helping solve the University's own operational sustainability challenges, alongside Campus Living Lab Accelerator Program case studies collected directly from project owners, and share them with operational teams to identify further collaboration.</t>
        </is>
      </c>
      <c r="H75" s="7" t="inlineStr">
        <is>
          <t>2a</t>
        </is>
      </c>
      <c r="I75" s="7" t="inlineStr">
        <is>
          <t>Met or exceeded</t>
        </is>
      </c>
      <c r="J75" s="7" t="inlineStr">
        <is>
          <t>Plant Table | Dance | Victorian College of the Arts 
Prof Carol Brown and Gregory Lorenzutti
Master of Arts, Dance students 
Inspired by plant wisdom, Plant Table is a Living Lab that includes VCA Dance and Design and Production academics and students. The first iteration was Theatrum Botanicum (2022), followed by Plant Nation (2024), exploring climate crisis and ‘plant blindness’ (Marie Sierra, Prudence Gibson). Plant Table  and 5 Gestures for Bloom (both 2025) are further iterations of the work on ecological thinking via performance process and production.
Plant Table (2025) is an activation of plant books and plant matter that Prof Carol Brown and Gregory Lorenzutti co-created as a performance installation. It was presented as a Public Program of the University's Museums and Collections Global, Cultural and Engagement at MPavilion. The work has also been presented in libraries in Otautahi / Christchurch (as part of Tiny Fest) and Frankston (as part of the South Side Festival). An important source for this iteration was the chapter in Dhoombak Ghoobgoowanaon on ‘Flora and Failure: A History of Plants and People on the Parkville Campus’. For Plant Table, six Faculty Master of Arts Dance Students participated in the work which was built into the  Choreography as Research Subject [of note for item '4aii' below] and involved the Faculty production and costumes.
5 Gestures for Bloom (2025) was developed and presented in response to Plant Table by students undertaking the VCA Dance 'Choreography as Research' subject. The following text is from the performance overview: "Plant morphologies have long inspired dance forms. Floral movements, like the opening and closing of a flower are metaphors for dance actions, but what happens when dancers collaborate with plant movements to create new hybrids?  Five dancers research and create choreographies in dialogue with the movement of plants and vegetal life. Drawing inspiration from ecological interdependence - such as orchids thriving in symbiosis with fungi and woodlands as composite organisms – as well as their personal memories of plants, their experimental choreographies explore exuberant life forms as expressions of care for our biodiverse world".</t>
        </is>
      </c>
      <c r="K75" s="7" t="inlineStr">
        <is>
          <t>https://events.humanitix.com/5-gestures-for-bloom 
https://events.unimelb.edu.au/MPavilion/event/48264-plant-table-meditations-dances-and-readings
*IMAGES AVAILABLE**</t>
        </is>
      </c>
      <c r="L75" s="9">
        <f>IFERROR(IF(INDEX('[5]1. Reporting template'!$L$1:$L$400,MATCH($B75,'[5]1. Reporting template'!$B$1:$B$400,0))="","",INDEX('[5]1. Reporting template'!$L$1:$L$400,MATCH($B75,'[5]1. Reporting template'!$B$1:$B$400,0))),"")</f>
        <v/>
      </c>
      <c r="M75" s="9">
        <f>IFERROR(IF(INDEX('[5]1. Reporting template'!$M$1:$M$400,MATCH($B75,'[5]1. Reporting template'!$B$1:$B$400,0))="","",INDEX('[5]1. Reporting template'!$M$1:$M$400,MATCH($B75,'[5]1. Reporting template'!$B$1:$B$400,0))),"")</f>
        <v/>
      </c>
      <c r="N75" s="9">
        <f>IFERROR(IF(INDEX('[5]1. Reporting template'!$N$1:$N$400,MATCH($B75,'[5]1. Reporting template'!$B$1:$B$400,0))="","",INDEX('[5]1. Reporting template'!$N$1:$N$400,MATCH($B75,'[5]1. Reporting template'!$B$1:$B$400,0))),"")</f>
        <v/>
      </c>
      <c r="O75" s="9">
        <f>IFERROR(IF(INDEX('[5]1. Reporting template'!$O$1:$O$400,MATCH($B75,'[5]1. Reporting template'!$B$1:$B$400,0))="","",INDEX('[5]1. Reporting template'!$O$1:$O$400,MATCH($B75,'[5]1. Reporting template'!$B$1:$B$400,0))),"")</f>
        <v/>
      </c>
      <c r="P75" s="9">
        <f>IFERROR(IF(INDEX('[5]1. Reporting template'!$P$1:$P$400,MATCH($B75,'[5]1. Reporting template'!$B$1:$B$400,0))="","",INDEX('[5]1. Reporting template'!$P$1:$P$400,MATCH($B75,'[5]1. Reporting template'!$B$1:$B$400,0))),"")</f>
        <v/>
      </c>
      <c r="Q75" s="9">
        <f>IFERROR(IF(INDEX('[5]1. Reporting template'!$Q$1:$Q$400,MATCH($B75,'[5]1. Reporting template'!$B$1:$B$400,0))="","",INDEX('[5]1. Reporting template'!$Q$1:$Q$400,MATCH($B75,'[5]1. Reporting template'!$B$1:$B$400,0))),"")</f>
        <v/>
      </c>
    </row>
    <row r="76" ht="270" customHeight="1">
      <c r="B76" s="6" t="inlineStr">
        <is>
          <t>TR2(a)</t>
        </is>
      </c>
      <c r="C76" s="48" t="inlineStr">
        <is>
          <t>Transformational research</t>
        </is>
      </c>
      <c r="D76" s="48" t="inlineStr">
        <is>
          <t>Deliver high-quality research and partnerships that contribute to sustainability outcomes and demonstrable societal benefit.</t>
        </is>
      </c>
      <c r="E76" s="48" t="inlineStr">
        <is>
          <t>Evidence of sustainability-related research impact across diverse pathways, could include policy, industry, community, practice, cultural and institutional outcomes</t>
        </is>
      </c>
      <c r="F76" s="7" t="inlineStr">
        <is>
          <t>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Melbourne Research and Enterprise (MRE) – publication counts are not required.
In end-2025 reporting your faculty reported on the related SP2030 target 5b(i) (see Column J – click [+] above Columns I–K).</t>
        </is>
      </c>
      <c r="G76" s="7" t="inlineStr">
        <is>
          <t>We will collate research impact examples across faculties to show the breadth of sustainability-related research impact in the Transformational research section of the 2026 Sustainability Report, complementing University-wide metrics from Melbourne Research and Enterprise (MRE).</t>
        </is>
      </c>
      <c r="H76" s="7" t="inlineStr">
        <is>
          <t>5b(i)</t>
        </is>
      </c>
      <c r="I76" s="7" t="inlineStr">
        <is>
          <t>Met or exceeded</t>
        </is>
      </c>
      <c r="J76" s="7" t="inlineStr">
        <is>
          <t>Due to its size and scope, the Faculty does not have sustainability, climate or environment-focussed research institutes. 
We have however outlined key research: 
1) Faculty staff are actively involved in other climate or environment institutes.
- Melbourne Climate Futures
- Melbourne Biodiversity Institute
- Ca'Foscari University of Venice Ecological Art Practices. 
2) Notable PhD completions to date in 2025:
* Amanda Morgan's Scanimalia: Towards Scanning for Oceanic Care looking at human-animal relationships and response-ability for oceanic care. Scanimalia considers what it is to be a human animal, touching on the multifaceted sensory phenomenon of the underwater realms.
* Tiriki Onus's Biganga: Mapping Paths Back to Knowing which examines his practice in biganga (possum skin cloak) production.
3) PhDs under way in 2025:
*Sonic Swells: Methods of Sonifying Surfing, Ocean and Ice 
*The more-than-human artist: plant intelligence and the dancer’s body. Creative interspecies collaboration and ecological thinking in movement based practice.
*Who is Aboriginal Theatre for? The place of audience when decolonising Aboriginal Theatre
*Being out of Place: Plant incursions and other inconveniences
*Embodied Perspectives: Sensing Through Bodies, Air and Water in Oceania
4) Dr Tessa Laird produced Cinemal: The Becoming-Animal of Experimental Film 
https://www.amazon.com.au/Cinemal-Becoming-Animal-Experimental-Tessa-Laird/dp/1517915708 
5) Head of Dance, Prof Carol Brown was awarded Special Studies Program Long to develop Saltlines for Sealion Women which was performed as part of the Wild Dunedin Otepoti New Zealand Festival of Nature. The performance is a response to climate breakdown and rising tides of global violance.  https://www.otago.ac.nz/news/newsroom/sublime-performance-from-caroline-plummer-fellow-in-community-dance
https://www.unive.it/pag/46272/
https://www.unimelb.edu.au/climate/collaboration/research-themes/creative-arts-and-sustainability
https://biodiversity.unimelb.edu.au/our-work
https://www.instagram.com/p/DKYiIHYTLrl/?img_index=4</t>
        </is>
      </c>
      <c r="K76" s="7" t="inlineStr">
        <is>
          <t>See links in column 'm'. 
IMAGES AVAILABLE.</t>
        </is>
      </c>
      <c r="L76" s="9">
        <f>IFERROR(IF(INDEX('[5]1. Reporting template'!$L$1:$L$400,MATCH($B76,'[5]1. Reporting template'!$B$1:$B$400,0))="","",INDEX('[5]1. Reporting template'!$L$1:$L$400,MATCH($B76,'[5]1. Reporting template'!$B$1:$B$400,0))),"")</f>
        <v/>
      </c>
      <c r="M76" s="9">
        <f>IFERROR(IF(INDEX('[5]1. Reporting template'!$M$1:$M$400,MATCH($B76,'[5]1. Reporting template'!$B$1:$B$400,0))="","",INDEX('[5]1. Reporting template'!$M$1:$M$400,MATCH($B76,'[5]1. Reporting template'!$B$1:$B$400,0))),"")</f>
        <v/>
      </c>
      <c r="N76" s="9">
        <f>IFERROR(IF(INDEX('[5]1. Reporting template'!$N$1:$N$400,MATCH($B76,'[5]1. Reporting template'!$B$1:$B$400,0))="","",INDEX('[5]1. Reporting template'!$N$1:$N$400,MATCH($B76,'[5]1. Reporting template'!$B$1:$B$400,0))),"")</f>
        <v/>
      </c>
      <c r="O76" s="9">
        <f>IFERROR(IF(INDEX('[5]1. Reporting template'!$O$1:$O$400,MATCH($B76,'[5]1. Reporting template'!$B$1:$B$400,0))="","",INDEX('[5]1. Reporting template'!$O$1:$O$400,MATCH($B76,'[5]1. Reporting template'!$B$1:$B$400,0))),"")</f>
        <v/>
      </c>
      <c r="P76" s="9">
        <f>IFERROR(IF(INDEX('[5]1. Reporting template'!$P$1:$P$400,MATCH($B76,'[5]1. Reporting template'!$B$1:$B$400,0))="","",INDEX('[5]1. Reporting template'!$P$1:$P$400,MATCH($B76,'[5]1. Reporting template'!$B$1:$B$400,0))),"")</f>
        <v/>
      </c>
      <c r="Q76" s="9">
        <f>IFERROR(IF(INDEX('[5]1. Reporting template'!$Q$1:$Q$400,MATCH($B76,'[5]1. Reporting template'!$B$1:$B$400,0))="","",INDEX('[5]1. Reporting template'!$Q$1:$Q$400,MATCH($B76,'[5]1. Reporting template'!$B$1:$B$400,0))),"")</f>
        <v/>
      </c>
    </row>
    <row r="77" ht="237" customHeight="1">
      <c r="B77" s="6" t="inlineStr">
        <is>
          <t>TR2(d)</t>
        </is>
      </c>
      <c r="C77" s="48" t="inlineStr">
        <is>
          <t>Transformational research</t>
        </is>
      </c>
      <c r="D77" s="48" t="inlineStr">
        <is>
          <t>Deliver high-quality research and partnerships that contribute to sustainability outcomes and demonstrable societal benefit.</t>
        </is>
      </c>
      <c r="E77" s="48" t="inlineStr">
        <is>
          <t>Case-based evidence demonstrating how research has contributed to meaningful sustainability outcomes.</t>
        </is>
      </c>
      <c r="F77" s="7" t="inlineStr">
        <is>
          <t>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
In end-2025 reporting your faculty reported on the related SP2030 target 5b(i) (see Column J – click [+] above Columns I–K).</t>
        </is>
      </c>
      <c r="G77" s="7" t="inlineStr">
        <is>
          <t>We will select the strongest examples to develop as full research case studies for the 2026 Sustainability Report (we may contact you for more detail and images).</t>
        </is>
      </c>
      <c r="H77" s="7" t="inlineStr">
        <is>
          <t>5b(i)</t>
        </is>
      </c>
      <c r="I77" s="7" t="inlineStr">
        <is>
          <t>Met or exceeded</t>
        </is>
      </c>
      <c r="J77" s="7" t="inlineStr">
        <is>
          <t>Due to its size and scope, the Faculty does not have sustainability, climate or environment-focussed research institutes. 
We have however outlined key research: 
1) Faculty staff are actively involved in other climate or environment institutes.
- Melbourne Climate Futures
- Melbourne Biodiversity Institute
- Ca'Foscari University of Venice Ecological Art Practices. 
2) Notable PhD completions to date in 2025:
* Amanda Morgan's Scanimalia: Towards Scanning for Oceanic Care looking at human-animal relationships and response-ability for oceanic care. Scanimalia considers what it is to be a human animal, touching on the multifaceted sensory phenomenon of the underwater realms.
* Tiriki Onus's Biganga: Mapping Paths Back to Knowing which examines his practice in biganga (possum skin cloak) production.
3) PhDs under way in 2025:
*Sonic Swells: Methods of Sonifying Surfing, Ocean and Ice 
*The more-than-human artist: plant intelligence and the dancer’s body. Creative interspecies collaboration and ecological thinking in movement based practice.
*Who is Aboriginal Theatre for? The place of audience when decolonising Aboriginal Theatre
*Being out of Place: Plant incursions and other inconveniences
*Embodied Perspectives: Sensing Through Bodies, Air and Water in Oceania
4) Dr Tessa Laird produced Cinemal: The Becoming-Animal of Experimental Film 
https://www.amazon.com.au/Cinemal-Becoming-Animal-Experimental-Tessa-Laird/dp/1517915708 
5) Head of Dance, Prof Carol Brown was awarded Special Studies Program Long to develop Saltlines for Sealion Women which was performed as part of the Wild Dunedin Otepoti New Zealand Festival of Nature. The performance is a response to climate breakdown and rising tides of global violance.  https://www.otago.ac.nz/news/newsroom/sublime-performance-from-caroline-plummer-fellow-in-community-dance
https://www.unive.it/pag/46272/
https://www.unimelb.edu.au/climate/collaboration/research-themes/creative-arts-and-sustainability
https://biodiversity.unimelb.edu.au/our-work
https://www.instagram.com/p/DKYiIHYTLrl/?img_index=4</t>
        </is>
      </c>
      <c r="K77" s="7" t="inlineStr">
        <is>
          <t>See links in column 'm'. 
IMAGES AVAILABLE.</t>
        </is>
      </c>
      <c r="L77" s="9">
        <f>IFERROR(IF(INDEX('[5]1. Reporting template'!$L$1:$L$400,MATCH($B77,'[5]1. Reporting template'!$B$1:$B$400,0))="","",INDEX('[5]1. Reporting template'!$L$1:$L$400,MATCH($B77,'[5]1. Reporting template'!$B$1:$B$400,0))),"")</f>
        <v/>
      </c>
      <c r="M77" s="9">
        <f>IFERROR(IF(INDEX('[5]1. Reporting template'!$M$1:$M$400,MATCH($B77,'[5]1. Reporting template'!$B$1:$B$400,0))="","",INDEX('[5]1. Reporting template'!$M$1:$M$400,MATCH($B77,'[5]1. Reporting template'!$B$1:$B$400,0))),"")</f>
        <v/>
      </c>
      <c r="N77" s="9">
        <f>IFERROR(IF(INDEX('[5]1. Reporting template'!$N$1:$N$400,MATCH($B77,'[5]1. Reporting template'!$B$1:$B$400,0))="","",INDEX('[5]1. Reporting template'!$N$1:$N$400,MATCH($B77,'[5]1. Reporting template'!$B$1:$B$400,0))),"")</f>
        <v/>
      </c>
      <c r="O77" s="9">
        <f>IFERROR(IF(INDEX('[5]1. Reporting template'!$O$1:$O$400,MATCH($B77,'[5]1. Reporting template'!$B$1:$B$400,0))="","",INDEX('[5]1. Reporting template'!$O$1:$O$400,MATCH($B77,'[5]1. Reporting template'!$B$1:$B$400,0))),"")</f>
        <v/>
      </c>
      <c r="P77" s="9">
        <f>IFERROR(IF(INDEX('[5]1. Reporting template'!$P$1:$P$400,MATCH($B77,'[5]1. Reporting template'!$B$1:$B$400,0))="","",INDEX('[5]1. Reporting template'!$P$1:$P$400,MATCH($B77,'[5]1. Reporting template'!$B$1:$B$400,0))),"")</f>
        <v/>
      </c>
      <c r="Q77" s="9">
        <f>IFERROR(IF(INDEX('[5]1. Reporting template'!$Q$1:$Q$400,MATCH($B77,'[5]1. Reporting template'!$B$1:$B$400,0))="","",INDEX('[5]1. Reporting template'!$Q$1:$Q$400,MATCH($B77,'[5]1. Reporting template'!$B$1:$B$400,0))),"")</f>
        <v/>
      </c>
    </row>
    <row r="78" ht="188" customHeight="1">
      <c r="B78" s="6" t="inlineStr">
        <is>
          <t>TR3(b)</t>
        </is>
      </c>
      <c r="C78" s="48" t="inlineStr">
        <is>
          <t>Transformational research</t>
        </is>
      </c>
      <c r="D78" s="48" t="inlineStr">
        <is>
          <t>Embed sustainability within research systems, processes, capability and culture, so research is conducted responsibly, efficiently and with reduced environmental impact.</t>
        </is>
      </c>
      <c r="E78" s="48" t="inlineStr">
        <is>
          <t>Demonstrated examples of more sustainable research practices in laboratories, fieldwork, procurement, travel or infrastructure use</t>
        </is>
      </c>
      <c r="F78" s="7" t="inlineStr">
        <is>
          <t>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
In end-2025 reporting your faculty reported on the related SP2030 target 5c(ii) (see Column J – click [+] above Columns I–K).</t>
        </is>
      </c>
      <c r="G78" s="7" t="inlineStr">
        <is>
          <t>We will report on ways the University is making research practices more sustainable in the 2026 Sustainability Report, and share practical examples (e.g. green labs) across faculties.</t>
        </is>
      </c>
      <c r="H78" s="7" t="inlineStr">
        <is>
          <t>5c(ii)</t>
        </is>
      </c>
      <c r="I78" s="7" t="inlineStr">
        <is>
          <t>Met or exceeded</t>
        </is>
      </c>
      <c r="J78" s="7" t="inlineStr">
        <is>
          <t>The Faculty has recently commenced a project with Environmental, Social and Governance (ESG) Procurement on resources to address the sustainability impacts of research and teaching and learning. See item '3aii'. Art and costume workshop procurement has traditionally been driven by price and best suppliers, and that specialist suppliers are required. Work is under way to explore how the Faculty could prioritise sustainability in purchasing looking at suppliers who may be able to provide more sustainable materials. Workshop coordinators are assessing the viability of balancing ESG and sustainability gains against the uniqueness of our material needs and budget constraints.
Faculty researchers are encouraged to consider the United Nations’ Sustainable Development Goals as part of our Sustainability communications.</t>
        </is>
      </c>
      <c r="K78" s="7" t="inlineStr">
        <is>
          <t>https://staff.unimelb.edu.au/finearts-music/our-faculty/sustainability</t>
        </is>
      </c>
      <c r="L78" s="9">
        <f>IFERROR(IF(INDEX('[5]1. Reporting template'!$L$1:$L$400,MATCH($B78,'[5]1. Reporting template'!$B$1:$B$400,0))="","",INDEX('[5]1. Reporting template'!$L$1:$L$400,MATCH($B78,'[5]1. Reporting template'!$B$1:$B$400,0))),"")</f>
        <v/>
      </c>
      <c r="M78" s="9">
        <f>IFERROR(IF(INDEX('[5]1. Reporting template'!$M$1:$M$400,MATCH($B78,'[5]1. Reporting template'!$B$1:$B$400,0))="","",INDEX('[5]1. Reporting template'!$M$1:$M$400,MATCH($B78,'[5]1. Reporting template'!$B$1:$B$400,0))),"")</f>
        <v/>
      </c>
      <c r="N78" s="9">
        <f>IFERROR(IF(INDEX('[5]1. Reporting template'!$N$1:$N$400,MATCH($B78,'[5]1. Reporting template'!$B$1:$B$400,0))="","",INDEX('[5]1. Reporting template'!$N$1:$N$400,MATCH($B78,'[5]1. Reporting template'!$B$1:$B$400,0))),"")</f>
        <v/>
      </c>
      <c r="O78" s="9">
        <f>IFERROR(IF(INDEX('[5]1. Reporting template'!$O$1:$O$400,MATCH($B78,'[5]1. Reporting template'!$B$1:$B$400,0))="","",INDEX('[5]1. Reporting template'!$O$1:$O$400,MATCH($B78,'[5]1. Reporting template'!$B$1:$B$400,0))),"")</f>
        <v/>
      </c>
      <c r="P78" s="9">
        <f>IFERROR(IF(INDEX('[5]1. Reporting template'!$P$1:$P$400,MATCH($B78,'[5]1. Reporting template'!$B$1:$B$400,0))="","",INDEX('[5]1. Reporting template'!$P$1:$P$400,MATCH($B78,'[5]1. Reporting template'!$B$1:$B$400,0))),"")</f>
        <v/>
      </c>
      <c r="Q78" s="9">
        <f>IFERROR(IF(INDEX('[5]1. Reporting template'!$Q$1:$Q$400,MATCH($B78,'[5]1. Reporting template'!$B$1:$B$400,0))="","",INDEX('[5]1. Reporting template'!$Q$1:$Q$400,MATCH($B78,'[5]1. Reporting template'!$B$1:$B$400,0))),"")</f>
        <v/>
      </c>
    </row>
    <row r="79" ht="188" customHeight="1">
      <c r="B79" s="6" t="inlineStr">
        <is>
          <t>EN1(a)</t>
        </is>
      </c>
      <c r="C79" s="48" t="inlineStr">
        <is>
          <t>Enablers</t>
        </is>
      </c>
      <c r="D79" s="48" t="inlineStr">
        <is>
          <t>Enablers</t>
        </is>
      </c>
      <c r="E79" s="48" t="inlineStr">
        <is>
          <t>Evidence of sustainability outcomes informed by Indigenous knowledges</t>
        </is>
      </c>
      <c r="F79" s="7" t="inlineStr">
        <is>
          <t>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
In end-2025 reporting your faculty reported on the related SP2030 target 6a (see Column J – click [+] above Columns I–K).</t>
        </is>
      </c>
      <c r="G79" s="7" t="inlineStr">
        <is>
          <t>We will report on the ways Indigenous knowledges inform sustainability activities across the University, and develop selected examples into case studies with appropriate permissions.</t>
        </is>
      </c>
      <c r="H79" s="7" t="inlineStr">
        <is>
          <t>6a</t>
        </is>
      </c>
      <c r="I79" s="7" t="inlineStr">
        <is>
          <t>Met or exceeded</t>
        </is>
      </c>
      <c r="J79" s="7" t="inlineStr">
        <is>
          <t>The Wilin Centre for Indigenous Arts and Cultural Development is situated within the Faculty and fosters innovation in the research, development, advocacy and presentation of Indigenous arts and cultural practice. Staff work with Aboriginal and Torres Strait Islander communities to identify, recruit and support potential and practicing Indigenous artists to study and refine their academic and artistic skills at the Faculty of Fine Arts and Music at the University of Melbourne. Beyond student support, two-way learning and increased understanding of topics and methods related to Indigenous knowledges is central to the work that is done by Wilin across domains of academic pursuit and across the Faculty.
Wilin has an overarching focus on sustainability across all domains. 
The intersection of environmental sustainability and Indigenous knowledges, as enacted through Indigenous arts practices, is evident in Wilin’s teaching, research, and engagement. For example, in the teaching space, Wilin teaches students about how materials for the production of arts are sustainably harvested following intergenerational knowledges and practices, and the role of this harvesting in sustaining vegetation, environments, and in turn animal and human life over generations.  See also tab '4aii - subjects' which outlines all 2025 subjects  that include elements of Indigenous Knowledges.
Social sustainability is explicitly in focus in and is core to Wilin’s teaching, research, and engagement praxis. Key research focuses are: the role of Indigenous diplomacies in sustainability and the tertiary education sector; the role of intergenerational knowledge transmission in sustaining cultural heritage, arts and languages; and data sovereignty and sustainable access to archives. [1]
With respect to engagement, Wilin maintains and builds partnerships across community-controlled organisations and community-based artists, as a strategy to support and sustainably grow participation of Indigenous future students in our Faculty and the University and therefore the arts. The Faculty has a partnership with Ilbijerri and collaborations with many Indigenous artists and organisations centering and honoring Indigenous Knowledges. Many Faculty staff have participated in tailored Indigenous cultural training. Faculty staff and students are invited to experience a Welcome to Country and smoking ceremony at the start of the academic semester. Reconciliation Week commences with the 'Lighting of the Wilin', for all UoM students, staff and the community, to gather and recommit to reconciliation, reflect and celebrate the role of the Wilin Centre for Indigenous Arts and Cultural Development.
[1] Treloyn, Sally, and Tiriki Onus. 2025. “Returns ablaze: Arts-based, practice-led research and the Research Unit for Indigenous Arts and Cultures.” In Ross James (ed.), Indigenous History of the University of Melbourne. Melbourne University Press; Onus, Tiriki, Sally Treloyn, Megan McPherson and Reuben Brown. 2024. Biganga bayiya (Singing the Possum): Reclaiming Indigenous knowledge in the academy. In Fran Edmonds, Sabra Thorner and Maree Clarke (eds), Ngargee: Southeast Australian Aboriginal Art – Culture-Making and Curating for ‘Country’. Canberra: Aboriginal Studies Press; Treloyn, Sally, and Tiriki Onus. 2024. Music analysis, music sustainability, and thrivance: “What can one "know" about any sort of music by means of musical analysis [today]?” In Keeping Time: Dialogues on Music and Archives in Honour of Linda Barwick, edited by Nicholas Thieberger, Amanda Harris, Sally Treloyn and Myfany Turpin, 219-228. University of Sydney Press; Onus, Tiriki, and Sally Treloyn. 2024. Lighting the fire, fanning the flame: The Wilin Centre for Indigenous Arts and Cultural Development. In Ross L Jones, James Waghorne, Marcia Langton (eds), Dhoombak Goobgoowana: A History of Indigenous Australia and the University of Melbourne - Volume 1: Truth. Melbourne University Press;  Onus, Tiriki, and Sally Treloyn. 2024. To sound the drum: A dialogue on value and change in relation to First Nations music and research in the academy. In Macarthur, S., Szuster, J., Watt, P. (eds) Cultures of Work, the Neoliberal Environment and Music in Higher Education, 163–179. Palgrave Critical University Studies. https://doi.org/10.1007/978-3-031-50388-7_8
Research collaborations on Inidgenous Knowledges and sustainability are being explored in Indonesia and India.</t>
        </is>
      </c>
      <c r="K79" s="7" t="inlineStr">
        <is>
          <t>https://www.youtube.com/shorts/cjQyYMiIxec</t>
        </is>
      </c>
      <c r="L79" s="9">
        <f>IFERROR(IF(INDEX('[5]1. Reporting template'!$L$1:$L$400,MATCH($B79,'[5]1. Reporting template'!$B$1:$B$400,0))="","",INDEX('[5]1. Reporting template'!$L$1:$L$400,MATCH($B79,'[5]1. Reporting template'!$B$1:$B$400,0))),"")</f>
        <v/>
      </c>
      <c r="M79" s="9">
        <f>IFERROR(IF(INDEX('[5]1. Reporting template'!$M$1:$M$400,MATCH($B79,'[5]1. Reporting template'!$B$1:$B$400,0))="","",INDEX('[5]1. Reporting template'!$M$1:$M$400,MATCH($B79,'[5]1. Reporting template'!$B$1:$B$400,0))),"")</f>
        <v/>
      </c>
      <c r="N79" s="9">
        <f>IFERROR(IF(INDEX('[5]1. Reporting template'!$N$1:$N$400,MATCH($B79,'[5]1. Reporting template'!$B$1:$B$400,0))="","",INDEX('[5]1. Reporting template'!$N$1:$N$400,MATCH($B79,'[5]1. Reporting template'!$B$1:$B$400,0))),"")</f>
        <v/>
      </c>
      <c r="O79" s="9">
        <f>IFERROR(IF(INDEX('[5]1. Reporting template'!$O$1:$O$400,MATCH($B79,'[5]1. Reporting template'!$B$1:$B$400,0))="","",INDEX('[5]1. Reporting template'!$O$1:$O$400,MATCH($B79,'[5]1. Reporting template'!$B$1:$B$400,0))),"")</f>
        <v/>
      </c>
      <c r="P79" s="9">
        <f>IFERROR(IF(INDEX('[5]1. Reporting template'!$P$1:$P$400,MATCH($B79,'[5]1. Reporting template'!$B$1:$B$400,0))="","",INDEX('[5]1. Reporting template'!$P$1:$P$400,MATCH($B79,'[5]1. Reporting template'!$B$1:$B$400,0))),"")</f>
        <v/>
      </c>
      <c r="Q79" s="9">
        <f>IFERROR(IF(INDEX('[5]1. Reporting template'!$Q$1:$Q$400,MATCH($B79,'[5]1. Reporting template'!$B$1:$B$400,0))="","",INDEX('[5]1. Reporting template'!$Q$1:$Q$400,MATCH($B79,'[5]1. Reporting template'!$B$1:$B$400,0))),"")</f>
        <v/>
      </c>
    </row>
    <row r="80" ht="220" customHeight="1">
      <c r="B80" s="6" t="inlineStr">
        <is>
          <t>EN1(b)</t>
        </is>
      </c>
      <c r="C80" s="48" t="inlineStr">
        <is>
          <t>Enablers</t>
        </is>
      </c>
      <c r="D80" s="48" t="inlineStr">
        <is>
          <t>Enablers</t>
        </is>
      </c>
      <c r="E80" s="48" t="inlineStr">
        <is>
          <t>Living laboratories enabling applied learning, research and operational sustainability outcomes</t>
        </is>
      </c>
      <c r="F80" s="7" t="inlineStr">
        <is>
          <t>Please give any examples of sustainability-related living labs operating within your faculty in 2026 – their activities, who is involved (students, researchers, operational staff) and their outputs, outcomes or impact.
Please note, we will collect case studies on Campus Living Lab Accelerator Program projects directly from project owners - no need to include these.
In end-2025 reporting your faculty reported on the related SP2030 target 2a (see Column J – click [+] above Columns I–K).</t>
        </is>
      </c>
      <c r="G80" s="7" t="inlineStr">
        <is>
          <t>We will share examples of sustainability-related living labs from across the University in the 2026 Sustainability Report, alongside Campus Living Lab Accelerator Program case studies collected directly from project owners.</t>
        </is>
      </c>
      <c r="H80" s="7" t="inlineStr">
        <is>
          <t>2a</t>
        </is>
      </c>
      <c r="I80" s="7" t="inlineStr">
        <is>
          <t>Met or exceeded</t>
        </is>
      </c>
      <c r="J80" s="7" t="inlineStr">
        <is>
          <t>Plant Table | Dance | Victorian College of the Arts 
Prof Carol Brown and Gregory Lorenzutti
Master of Arts, Dance students 
Inspired by plant wisdom, Plant Table is a Living Lab that includes VCA Dance and Design and Production academics and students. The first iteration was Theatrum Botanicum (2022), followed by Plant Nation (2024), exploring climate crisis and ‘plant blindness’ (Marie Sierra, Prudence Gibson). Plant Table  and 5 Gestures for Bloom (both 2025) are further iterations of the work on ecological thinking via performance process and production.
Plant Table (2025) is an activation of plant books and plant matter that Prof Carol Brown and Gregory Lorenzutti co-created as a performance installation. It was presented as a Public Program of the University's Museums and Collections Global, Cultural and Engagement at MPavilion. The work has also been presented in libraries in Otautahi / Christchurch (as part of Tiny Fest) and Frankston (as part of the South Side Festival). An important source for this iteration was the chapter in Dhoombak Ghoobgoowanaon on ‘Flora and Failure: A History of Plants and People on the Parkville Campus’. For Plant Table, six Faculty Master of Arts Dance Students participated in the work which was built into the  Choreography as Research Subject [of note for item '4aii' below] and involved the Faculty production and costumes.
5 Gestures for Bloom (2025) was developed and presented in response to Plant Table by students undertaking the VCA Dance 'Choreography as Research' subject. The following text is from the performance overview: "Plant morphologies have long inspired dance forms. Floral movements, like the opening and closing of a flower are metaphors for dance actions, but what happens when dancers collaborate with plant movements to create new hybrids?  Five dancers research and create choreographies in dialogue with the movement of plants and vegetal life. Drawing inspiration from ecological interdependence - such as orchids thriving in symbiosis with fungi and woodlands as composite organisms – as well as their personal memories of plants, their experimental choreographies explore exuberant life forms as expressions of care for our biodiverse world".</t>
        </is>
      </c>
      <c r="K80" s="7" t="inlineStr">
        <is>
          <t>https://events.humanitix.com/5-gestures-for-bloom 
https://events.unimelb.edu.au/MPavilion/event/48264-plant-table-meditations-dances-and-readings
*IMAGES AVAILABLE**</t>
        </is>
      </c>
      <c r="L80" s="9">
        <f>IFERROR(IF(INDEX('[5]1. Reporting template'!$L$1:$L$400,MATCH($B80,'[5]1. Reporting template'!$B$1:$B$400,0))="","",INDEX('[5]1. Reporting template'!$L$1:$L$400,MATCH($B80,'[5]1. Reporting template'!$B$1:$B$400,0))),"")</f>
        <v/>
      </c>
      <c r="M80" s="9">
        <f>IFERROR(IF(INDEX('[5]1. Reporting template'!$M$1:$M$400,MATCH($B80,'[5]1. Reporting template'!$B$1:$B$400,0))="","",INDEX('[5]1. Reporting template'!$M$1:$M$400,MATCH($B80,'[5]1. Reporting template'!$B$1:$B$400,0))),"")</f>
        <v/>
      </c>
      <c r="N80" s="9">
        <f>IFERROR(IF(INDEX('[5]1. Reporting template'!$N$1:$N$400,MATCH($B80,'[5]1. Reporting template'!$B$1:$B$400,0))="","",INDEX('[5]1. Reporting template'!$N$1:$N$400,MATCH($B80,'[5]1. Reporting template'!$B$1:$B$400,0))),"")</f>
        <v/>
      </c>
      <c r="O80" s="9">
        <f>IFERROR(IF(INDEX('[5]1. Reporting template'!$O$1:$O$400,MATCH($B80,'[5]1. Reporting template'!$B$1:$B$400,0))="","",INDEX('[5]1. Reporting template'!$O$1:$O$400,MATCH($B80,'[5]1. Reporting template'!$B$1:$B$400,0))),"")</f>
        <v/>
      </c>
      <c r="P80" s="9">
        <f>IFERROR(IF(INDEX('[5]1. Reporting template'!$P$1:$P$400,MATCH($B80,'[5]1. Reporting template'!$B$1:$B$400,0))="","",INDEX('[5]1. Reporting template'!$P$1:$P$400,MATCH($B80,'[5]1. Reporting template'!$B$1:$B$400,0))),"")</f>
        <v/>
      </c>
      <c r="Q80" s="9">
        <f>IFERROR(IF(INDEX('[5]1. Reporting template'!$Q$1:$Q$400,MATCH($B80,'[5]1. Reporting template'!$B$1:$B$400,0))="","",INDEX('[5]1. Reporting template'!$Q$1:$Q$400,MATCH($B80,'[5]1. Reporting template'!$B$1:$B$400,0))),"")</f>
        <v/>
      </c>
    </row>
    <row r="81" ht="154" customHeight="1">
      <c r="B81" s="6" t="inlineStr">
        <is>
          <t>EN1(c)</t>
        </is>
      </c>
      <c r="C81" s="48" t="inlineStr">
        <is>
          <t>Enablers</t>
        </is>
      </c>
      <c r="D81" s="48" t="inlineStr">
        <is>
          <t>Enablers</t>
        </is>
      </c>
      <c r="E81" s="48" t="inlineStr">
        <is>
          <t>Coordinated internal engagement and external partnerships contributing to delivery of sustainability outcomes across priority areas.</t>
        </is>
      </c>
      <c r="F81" s="7" t="inlineStr">
        <is>
          <t>Please list the key sustainability-focused communities of practice, internal networks or external partnerships active in your faculty in 2026 (name, partners, priority area), and give any examples of activity that contributed to a Sustainability 2030 outcome.
In end-2025 reporting your faculty reported on the related SP2030 target 3a(ii) (see Column J – click [+] above Columns I–K).</t>
        </is>
      </c>
      <c r="G81" s="7" t="inlineStr">
        <is>
          <t>We will report on internal engagement and partnerships contributing to Sustainability 2030 outcomes, and update our record of sustainability-focused communities of practice and contacts across the University.</t>
        </is>
      </c>
      <c r="H81" s="7" t="inlineStr">
        <is>
          <t>3a(ii)</t>
        </is>
      </c>
      <c r="I81" s="7" t="inlineStr">
        <is>
          <t>Met or exceeded</t>
        </is>
      </c>
      <c r="J81" s="7" t="inlineStr">
        <is>
          <t>*Costume, art supplies and set building - Just and Circular Economy
Faculty professional staff, academics and students have led important work in sustainable procurement practices, as well as use and disposal of materials, sharing information to minimise poor environmental outcomes.
In 2025, Faculty staff began collaborating with staff specialising in sustainable procurement to deliver improved outcomes. 
Faculty staff have worked closely with the Sustainability Delivery Team and Campus Services on delivering a waste management enclosure at Gate 5, 99 Sturt Street. The team has delivered signage, six waste streams and a resource recovery skip. Staff have noticed a clear increase in proper placement of materials in the appropriate bins, and that the area has become tidier. Moving forward, work will continue on waste streams and efficiencies, particularly finding a larger skip to reduce collections with waste provider, Veolia. 
NB The Faculty has a long-standing request for composting at the Southbank Campus, similar to that available at Parkville, that staff and students are keen to utilise.
IMAGES AVAILABLE
* In 2025, a formal Fine Arts and Music Sustainability Community was established to share information and opportunities to improve sustainability across the disciplines. 
* The Prof Marie Sierra and Dr Tessa Laird establshed the Melbourne Climate Futures Creative Arts and Sustainability theme.
* A/Prof Miriama Young establshed the Melbourne Biodiversity Institute (MBI) Levers of Deep Change (research-based) with colleagues. Miriama also produced the soiree for the recent MBI Symposium  https://biodiversity.unimelb.edu.au/biodiversity-institute/mbi-symposium which featured composition 'O Canto que Fica - The Song that Remains' by Professor Ken Murray (guitars); and 'Song of the Cricket' by A/Professor Miriama Young; and 'Saltlines for Sealion Women', a dance choreographed by Professor Carol Brown, Dramatugy by Fiona Graham, Music by Russell Scoones and Videography by Dave Bull.
See tab '3aii'</t>
        </is>
      </c>
      <c r="K81" s="7" t="inlineStr">
        <is>
          <t>https://biodiversity.unimelb.edu.au/biodiversity-institute/mbi-symposium</t>
        </is>
      </c>
      <c r="L81" s="9">
        <f>IFERROR(IF(INDEX('[5]1. Reporting template'!$L$1:$L$400,MATCH($B81,'[5]1. Reporting template'!$B$1:$B$400,0))="","",INDEX('[5]1. Reporting template'!$L$1:$L$400,MATCH($B81,'[5]1. Reporting template'!$B$1:$B$400,0))),"")</f>
        <v/>
      </c>
      <c r="M81" s="9">
        <f>IFERROR(IF(INDEX('[5]1. Reporting template'!$M$1:$M$400,MATCH($B81,'[5]1. Reporting template'!$B$1:$B$400,0))="","",INDEX('[5]1. Reporting template'!$M$1:$M$400,MATCH($B81,'[5]1. Reporting template'!$B$1:$B$400,0))),"")</f>
        <v/>
      </c>
      <c r="N81" s="9">
        <f>IFERROR(IF(INDEX('[5]1. Reporting template'!$N$1:$N$400,MATCH($B81,'[5]1. Reporting template'!$B$1:$B$400,0))="","",INDEX('[5]1. Reporting template'!$N$1:$N$400,MATCH($B81,'[5]1. Reporting template'!$B$1:$B$400,0))),"")</f>
        <v/>
      </c>
      <c r="O81" s="9">
        <f>IFERROR(IF(INDEX('[5]1. Reporting template'!$O$1:$O$400,MATCH($B81,'[5]1. Reporting template'!$B$1:$B$400,0))="","",INDEX('[5]1. Reporting template'!$O$1:$O$400,MATCH($B81,'[5]1. Reporting template'!$B$1:$B$400,0))),"")</f>
        <v/>
      </c>
      <c r="P81" s="9">
        <f>IFERROR(IF(INDEX('[5]1. Reporting template'!$P$1:$P$400,MATCH($B81,'[5]1. Reporting template'!$B$1:$B$400,0))="","",INDEX('[5]1. Reporting template'!$P$1:$P$400,MATCH($B81,'[5]1. Reporting template'!$B$1:$B$400,0))),"")</f>
        <v/>
      </c>
      <c r="Q81" s="9">
        <f>IFERROR(IF(INDEX('[5]1. Reporting template'!$Q$1:$Q$400,MATCH($B81,'[5]1. Reporting template'!$B$1:$B$400,0))="","",INDEX('[5]1. Reporting template'!$Q$1:$Q$400,MATCH($B81,'[5]1. Reporting template'!$B$1:$B$400,0))),"")</f>
        <v/>
      </c>
    </row>
    <row r="82"/>
    <row r="83"/>
    <row r="84" ht="39" customHeight="1">
      <c r="B84" s="43" t="inlineStr">
        <is>
          <t>1.6  FEIT – Faculty of Engineering and Information Technology</t>
        </is>
      </c>
    </row>
    <row r="85"/>
    <row r="86" ht="27" customHeight="1">
      <c r="C86" s="44" t="inlineStr">
        <is>
          <t>Sustainability 2030 target and indicator</t>
        </is>
      </c>
      <c r="H86" s="44" t="inlineStr">
        <is>
          <t>SR25 response</t>
        </is>
      </c>
      <c r="L86" s="45" t="inlineStr">
        <is>
          <t>End-2026 reporting (PLEASE COMPLETE THIS SECTION)</t>
        </is>
      </c>
    </row>
    <row r="87" ht="60" customHeight="1">
      <c r="B87" s="5" t="inlineStr">
        <is>
          <t>Ref</t>
        </is>
      </c>
      <c r="C87" s="5" t="inlineStr">
        <is>
          <t>Priority area</t>
        </is>
      </c>
      <c r="D87" s="5" t="inlineStr">
        <is>
          <t>Sustainability 2030 target</t>
        </is>
      </c>
      <c r="E87" s="5" t="inlineStr">
        <is>
          <t>Indicator</t>
        </is>
      </c>
      <c r="F87" s="5" t="inlineStr">
        <is>
          <t>2026 Reporting request</t>
        </is>
      </c>
      <c r="G87" s="5" t="inlineStr">
        <is>
          <t>How SST will use this data</t>
        </is>
      </c>
      <c r="H87" s="5" t="inlineStr">
        <is>
          <t>Related SR25 ref</t>
        </is>
      </c>
      <c r="I87" s="5" t="inlineStr">
        <is>
          <t>End-2025 confirmed status</t>
        </is>
      </c>
      <c r="J87" s="5" t="inlineStr">
        <is>
          <t>End-2025 reporting response</t>
        </is>
      </c>
      <c r="K87" s="5" t="inlineStr">
        <is>
          <t>Links and supporting information</t>
        </is>
      </c>
      <c r="L87" s="46" t="inlineStr">
        <is>
          <t>OPTION 1:  Target-level reporting (Column D)</t>
        </is>
      </c>
      <c r="M87" s="46" t="inlineStr">
        <is>
          <t>OPTION 2:  Indicator level reporting (Column E/F)</t>
        </is>
      </c>
      <c r="N87" s="46" t="inlineStr">
        <is>
          <t>Supporting information/comments</t>
        </is>
      </c>
      <c r="O87" s="46" t="inlineStr">
        <is>
          <t>Data source and limitations</t>
        </is>
      </c>
      <c r="P87" s="46" t="inlineStr">
        <is>
          <t>Data owner confirms information is accurate</t>
        </is>
      </c>
      <c r="Q87" s="46" t="inlineStr">
        <is>
          <t>Confirmed by (name, role, date)</t>
        </is>
      </c>
    </row>
    <row r="88" ht="81" customHeight="1">
      <c r="B88" s="47" t="inlineStr"/>
      <c r="C88" s="47" t="inlineStr"/>
      <c r="D88" s="47" t="inlineStr"/>
      <c r="E88" s="47" t="inlineStr"/>
      <c r="F88" s="47" t="inlineStr"/>
      <c r="G88" s="47" t="inlineStr"/>
      <c r="H88" s="47" t="inlineStr"/>
      <c r="I88" s="47" t="inlineStr"/>
      <c r="J88" s="47" t="inlineStr"/>
      <c r="K88" s="47" t="inlineStr"/>
      <c r="L88" s="47" t="inlineStr">
        <is>
          <t>A general update on activities in relation to the overarching target (Column D)</t>
        </is>
      </c>
      <c r="M88" s="47" t="inlineStr">
        <is>
          <t>Data and commentary in direct response to the reporting request (Column F)</t>
        </is>
      </c>
      <c r="N88" s="47" t="inlineStr">
        <is>
          <t>Any additional information (e.g. links, images, documents)</t>
        </is>
      </c>
      <c r="O88" s="47" t="inlineStr">
        <is>
          <t>Where did this information come from (system, report, survey, person)? Note any gaps or limitations.</t>
        </is>
      </c>
      <c r="P88" s="47" t="inlineStr">
        <is>
          <t>Select 'Yes' to confirm the information provided is accurate and can be used for reporting</t>
        </is>
      </c>
      <c r="Q88" s="47" t="inlineStr">
        <is>
          <t>Name, role and date of the person confirming</t>
        </is>
      </c>
    </row>
    <row r="89" ht="352" customHeight="1">
      <c r="B89" s="6" t="inlineStr">
        <is>
          <t>EE1(a)</t>
        </is>
      </c>
      <c r="C89" s="48" t="inlineStr">
        <is>
          <t>Exceptional education</t>
        </is>
      </c>
      <c r="D89" s="48" t="inlineStr">
        <is>
          <t>Provide our students with learning experiences that help them build the knowledge, skills and relationships to lead change for sustainable societies.</t>
        </is>
      </c>
      <c r="E89" s="48" t="inlineStr">
        <is>
          <t>Evidence of innovative approaches to sustainability teaching and learning</t>
        </is>
      </c>
      <c r="F89" s="7" t="inlineStr">
        <is>
          <t>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Please note that this indicator will be addressed at the joint Associate Deans Sustainability and Associate Deans Teaching and Learning session on 23 November 2026. Please feel free to summarise what your faculty presented at this session - further information is welcome but not required.
In end-2025 reporting your faculty reported on the related SP2030 target 4a(ii) (see Column J – click [+] above Columns I–K).</t>
        </is>
      </c>
      <c r="G89" s="7"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89" s="7" t="inlineStr">
        <is>
          <t>4a(ii)</t>
        </is>
      </c>
      <c r="I89" s="7" t="inlineStr">
        <is>
          <t>Met or exceeded</t>
        </is>
      </c>
      <c r="J89" s="7" t="inlineStr">
        <is>
          <t>We have Associate Dean of Sustainability, and other sustainability-focused staff at different levels (varying between schools). We have also done the research which shows us proportion of courses with sustainability-related content. Within the FEIT strategic plan refresh the Deputy Dean of Academic and team have developed milestones and activities around sustainability to be included. To date a lot of the work is still in the planning phases - but it is an area of priority that we are hoping to advance further in 2026</t>
        </is>
      </c>
      <c r="K89" s="7" t="inlineStr">
        <is>
          <t>https://eng.unimelb.edu.au/tll/news/the-spotllight/spotllight/spotllight-sustainability-education-and-the-future-of-engineering</t>
        </is>
      </c>
      <c r="L89" s="9">
        <f>IFERROR(IF(INDEX('[6]1. Reporting template'!$L$1:$L$400,MATCH($B89,'[6]1. Reporting template'!$B$1:$B$400,0))="","",INDEX('[6]1. Reporting template'!$L$1:$L$400,MATCH($B89,'[6]1. Reporting template'!$B$1:$B$400,0))),"")</f>
        <v/>
      </c>
      <c r="M89" s="9">
        <f>IFERROR(IF(INDEX('[6]1. Reporting template'!$M$1:$M$400,MATCH($B89,'[6]1. Reporting template'!$B$1:$B$400,0))="","",INDEX('[6]1. Reporting template'!$M$1:$M$400,MATCH($B89,'[6]1. Reporting template'!$B$1:$B$400,0))),"")</f>
        <v/>
      </c>
      <c r="N89" s="9">
        <f>IFERROR(IF(INDEX('[6]1. Reporting template'!$N$1:$N$400,MATCH($B89,'[6]1. Reporting template'!$B$1:$B$400,0))="","",INDEX('[6]1. Reporting template'!$N$1:$N$400,MATCH($B89,'[6]1. Reporting template'!$B$1:$B$400,0))),"")</f>
        <v/>
      </c>
      <c r="O89" s="9">
        <f>IFERROR(IF(INDEX('[6]1. Reporting template'!$O$1:$O$400,MATCH($B89,'[6]1. Reporting template'!$B$1:$B$400,0))="","",INDEX('[6]1. Reporting template'!$O$1:$O$400,MATCH($B89,'[6]1. Reporting template'!$B$1:$B$400,0))),"")</f>
        <v/>
      </c>
      <c r="P89" s="9">
        <f>IFERROR(IF(INDEX('[6]1. Reporting template'!$P$1:$P$400,MATCH($B89,'[6]1. Reporting template'!$B$1:$B$400,0))="","",INDEX('[6]1. Reporting template'!$P$1:$P$400,MATCH($B89,'[6]1. Reporting template'!$B$1:$B$400,0))),"")</f>
        <v/>
      </c>
      <c r="Q89" s="9">
        <f>IFERROR(IF(INDEX('[6]1. Reporting template'!$Q$1:$Q$400,MATCH($B89,'[6]1. Reporting template'!$B$1:$B$400,0))="","",INDEX('[6]1. Reporting template'!$Q$1:$Q$400,MATCH($B89,'[6]1. Reporting template'!$B$1:$B$400,0))),"")</f>
        <v/>
      </c>
    </row>
    <row r="90" ht="188" customHeight="1">
      <c r="B90" s="6" t="inlineStr">
        <is>
          <t>EE1(b)</t>
        </is>
      </c>
      <c r="C90" s="48" t="inlineStr">
        <is>
          <t>Exceptional education</t>
        </is>
      </c>
      <c r="D90" s="48" t="inlineStr">
        <is>
          <t>Provide our students with learning experiences that help them build the knowledge, skills and relationships to lead change for sustainable societies.</t>
        </is>
      </c>
      <c r="E90" s="48" t="inlineStr">
        <is>
          <t>Pilots of possible approaches for understanding and developing students’ sustainability self-efficacy</t>
        </is>
      </c>
      <c r="F90" s="7"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90" s="7" t="inlineStr">
        <is>
          <t>This is a new indicator. We will use responses to establish a baseline of how (and whether) faculties are understanding student sustainability self-efficacy, and report on early pilots in the 2026 Sustainability Report. A nil response is useful to us.</t>
        </is>
      </c>
      <c r="H90" s="7" t="inlineStr">
        <is>
          <t>N/A – new indicator</t>
        </is>
      </c>
      <c r="I90" s="7" t="inlineStr"/>
      <c r="J90" s="7" t="inlineStr"/>
      <c r="K90" s="7" t="inlineStr"/>
      <c r="L90" s="9">
        <f>IFERROR(IF(INDEX('[6]1. Reporting template'!$L$1:$L$400,MATCH($B90,'[6]1. Reporting template'!$B$1:$B$400,0))="","",INDEX('[6]1. Reporting template'!$L$1:$L$400,MATCH($B90,'[6]1. Reporting template'!$B$1:$B$400,0))),"")</f>
        <v/>
      </c>
      <c r="M90" s="9">
        <f>IFERROR(IF(INDEX('[6]1. Reporting template'!$M$1:$M$400,MATCH($B90,'[6]1. Reporting template'!$B$1:$B$400,0))="","",INDEX('[6]1. Reporting template'!$M$1:$M$400,MATCH($B90,'[6]1. Reporting template'!$B$1:$B$400,0))),"")</f>
        <v/>
      </c>
      <c r="N90" s="9">
        <f>IFERROR(IF(INDEX('[6]1. Reporting template'!$N$1:$N$400,MATCH($B90,'[6]1. Reporting template'!$B$1:$B$400,0))="","",INDEX('[6]1. Reporting template'!$N$1:$N$400,MATCH($B90,'[6]1. Reporting template'!$B$1:$B$400,0))),"")</f>
        <v/>
      </c>
      <c r="O90" s="9">
        <f>IFERROR(IF(INDEX('[6]1. Reporting template'!$O$1:$O$400,MATCH($B90,'[6]1. Reporting template'!$B$1:$B$400,0))="","",INDEX('[6]1. Reporting template'!$O$1:$O$400,MATCH($B90,'[6]1. Reporting template'!$B$1:$B$400,0))),"")</f>
        <v/>
      </c>
      <c r="P90" s="9">
        <f>IFERROR(IF(INDEX('[6]1. Reporting template'!$P$1:$P$400,MATCH($B90,'[6]1. Reporting template'!$B$1:$B$400,0))="","",INDEX('[6]1. Reporting template'!$P$1:$P$400,MATCH($B90,'[6]1. Reporting template'!$B$1:$B$400,0))),"")</f>
        <v/>
      </c>
      <c r="Q90" s="9">
        <f>IFERROR(IF(INDEX('[6]1. Reporting template'!$Q$1:$Q$400,MATCH($B90,'[6]1. Reporting template'!$B$1:$B$400,0))="","",INDEX('[6]1. Reporting template'!$Q$1:$Q$400,MATCH($B90,'[6]1. Reporting template'!$B$1:$B$400,0))),"")</f>
        <v/>
      </c>
    </row>
    <row r="91" ht="270" customHeight="1">
      <c r="B91" s="6" t="inlineStr">
        <is>
          <t>TR1(a)</t>
        </is>
      </c>
      <c r="C91" s="48" t="inlineStr">
        <is>
          <t>Transformational research</t>
        </is>
      </c>
      <c r="D91" s="48" t="inlineStr">
        <is>
          <t>Utilise the expertise of the University’s researchers through mutually beneficial partnerships to help address the University’s operational sustainability challenges.</t>
        </is>
      </c>
      <c r="E91" s="48" t="inlineStr">
        <is>
          <t>Expert-reviewed evidence of researchers contributing to operational sustainability priorities through partnerships, advisory input, living labs, applied projects or decision-support</t>
        </is>
      </c>
      <c r="F91" s="7" t="inlineStr">
        <is>
          <t>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Please note, we will collect case studies on Campus Living Lab Accelerator Program projects directly from project owners - no need to include these.
In end-2025 reporting your faculty reported on the related SP2030 target 2a (see Column J – click [+] above Columns I–K).</t>
        </is>
      </c>
      <c r="G91" s="7" t="inlineStr">
        <is>
          <t>We will report on examples of researchers helping solve the University's own operational sustainability challenges, alongside Campus Living Lab Accelerator Program case studies collected directly from project owners, and share them with operational teams to identify further collaboration.</t>
        </is>
      </c>
      <c r="H91" s="7" t="inlineStr">
        <is>
          <t>2a</t>
        </is>
      </c>
      <c r="I91" s="7" t="inlineStr">
        <is>
          <t>Met or exceeded</t>
        </is>
      </c>
      <c r="J91" s="7" t="inlineStr">
        <is>
          <t>We have a number of examples of living labs in FEIT, from our sensors monitoring building usage, health and quality, to the MyGreenLabs certification, as well as our FEIT Community of Practice initiatives, and a number of other projects such as the sustainability self-efficacy measurement tool, and the UMAMI project which developed an AI tool for discovering data and insights about our campus to support sustainability and retrofit decisions.</t>
        </is>
      </c>
      <c r="K91" s="7" t="inlineStr"/>
      <c r="L91" s="9">
        <f>IFERROR(IF(INDEX('[6]1. Reporting template'!$L$1:$L$400,MATCH($B91,'[6]1. Reporting template'!$B$1:$B$400,0))="","",INDEX('[6]1. Reporting template'!$L$1:$L$400,MATCH($B91,'[6]1. Reporting template'!$B$1:$B$400,0))),"")</f>
        <v/>
      </c>
      <c r="M91" s="9">
        <f>IFERROR(IF(INDEX('[6]1. Reporting template'!$M$1:$M$400,MATCH($B91,'[6]1. Reporting template'!$B$1:$B$400,0))="","",INDEX('[6]1. Reporting template'!$M$1:$M$400,MATCH($B91,'[6]1. Reporting template'!$B$1:$B$400,0))),"")</f>
        <v/>
      </c>
      <c r="N91" s="9">
        <f>IFERROR(IF(INDEX('[6]1. Reporting template'!$N$1:$N$400,MATCH($B91,'[6]1. Reporting template'!$B$1:$B$400,0))="","",INDEX('[6]1. Reporting template'!$N$1:$N$400,MATCH($B91,'[6]1. Reporting template'!$B$1:$B$400,0))),"")</f>
        <v/>
      </c>
      <c r="O91" s="9">
        <f>IFERROR(IF(INDEX('[6]1. Reporting template'!$O$1:$O$400,MATCH($B91,'[6]1. Reporting template'!$B$1:$B$400,0))="","",INDEX('[6]1. Reporting template'!$O$1:$O$400,MATCH($B91,'[6]1. Reporting template'!$B$1:$B$400,0))),"")</f>
        <v/>
      </c>
      <c r="P91" s="9">
        <f>IFERROR(IF(INDEX('[6]1. Reporting template'!$P$1:$P$400,MATCH($B91,'[6]1. Reporting template'!$B$1:$B$400,0))="","",INDEX('[6]1. Reporting template'!$P$1:$P$400,MATCH($B91,'[6]1. Reporting template'!$B$1:$B$400,0))),"")</f>
        <v/>
      </c>
      <c r="Q91" s="9">
        <f>IFERROR(IF(INDEX('[6]1. Reporting template'!$Q$1:$Q$400,MATCH($B91,'[6]1. Reporting template'!$B$1:$B$400,0))="","",INDEX('[6]1. Reporting template'!$Q$1:$Q$400,MATCH($B91,'[6]1. Reporting template'!$B$1:$B$400,0))),"")</f>
        <v/>
      </c>
    </row>
    <row r="92" ht="270" customHeight="1">
      <c r="B92" s="6" t="inlineStr">
        <is>
          <t>TR2(a)</t>
        </is>
      </c>
      <c r="C92" s="48" t="inlineStr">
        <is>
          <t>Transformational research</t>
        </is>
      </c>
      <c r="D92" s="48" t="inlineStr">
        <is>
          <t>Deliver high-quality research and partnerships that contribute to sustainability outcomes and demonstrable societal benefit.</t>
        </is>
      </c>
      <c r="E92" s="48" t="inlineStr">
        <is>
          <t>Evidence of sustainability-related research impact across diverse pathways, could include policy, industry, community, practice, cultural and institutional outcomes</t>
        </is>
      </c>
      <c r="F92" s="7" t="inlineStr">
        <is>
          <t>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Melbourne Research and Enterprise (MRE) – publication counts are not required.
In end-2025 reporting your faculty reported on the related SP2030 target 5b(i) (see Column J – click [+] above Columns I–K).</t>
        </is>
      </c>
      <c r="G92" s="7" t="inlineStr">
        <is>
          <t>We will collate research impact examples across faculties to show the breadth of sustainability-related research impact in the Transformational research section of the 2026 Sustainability Report, complementing University-wide metrics from Melbourne Research and Enterprise (MRE).</t>
        </is>
      </c>
      <c r="H92" s="7" t="inlineStr">
        <is>
          <t>5b(i)</t>
        </is>
      </c>
      <c r="I92" s="7" t="inlineStr">
        <is>
          <t>Met or exceeded</t>
        </is>
      </c>
      <c r="J92" s="7" t="inlineStr">
        <is>
          <t>We have a vast range of sustainability research taking place in FEIT - across all schools. There are numberous examples we can reference including the UMAMI project, mygreenlabs, and projects with World Bank that relate to sustainability. As we build connections through our FEIT Sustainability Community of Practice we learn of more and more work taking place in the area of sustainability, and through our recent survey asking staff which SDGs are relevant to them we also saw connections. We also identified 50+ PhD students working on sustainability related topics in FEIT</t>
        </is>
      </c>
      <c r="K92" s="7" t="inlineStr"/>
      <c r="L92" s="9">
        <f>IFERROR(IF(INDEX('[6]1. Reporting template'!$L$1:$L$400,MATCH($B92,'[6]1. Reporting template'!$B$1:$B$400,0))="","",INDEX('[6]1. Reporting template'!$L$1:$L$400,MATCH($B92,'[6]1. Reporting template'!$B$1:$B$400,0))),"")</f>
        <v/>
      </c>
      <c r="M92" s="9">
        <f>IFERROR(IF(INDEX('[6]1. Reporting template'!$M$1:$M$400,MATCH($B92,'[6]1. Reporting template'!$B$1:$B$400,0))="","",INDEX('[6]1. Reporting template'!$M$1:$M$400,MATCH($B92,'[6]1. Reporting template'!$B$1:$B$400,0))),"")</f>
        <v/>
      </c>
      <c r="N92" s="9">
        <f>IFERROR(IF(INDEX('[6]1. Reporting template'!$N$1:$N$400,MATCH($B92,'[6]1. Reporting template'!$B$1:$B$400,0))="","",INDEX('[6]1. Reporting template'!$N$1:$N$400,MATCH($B92,'[6]1. Reporting template'!$B$1:$B$400,0))),"")</f>
        <v/>
      </c>
      <c r="O92" s="9">
        <f>IFERROR(IF(INDEX('[6]1. Reporting template'!$O$1:$O$400,MATCH($B92,'[6]1. Reporting template'!$B$1:$B$400,0))="","",INDEX('[6]1. Reporting template'!$O$1:$O$400,MATCH($B92,'[6]1. Reporting template'!$B$1:$B$400,0))),"")</f>
        <v/>
      </c>
      <c r="P92" s="9">
        <f>IFERROR(IF(INDEX('[6]1. Reporting template'!$P$1:$P$400,MATCH($B92,'[6]1. Reporting template'!$B$1:$B$400,0))="","",INDEX('[6]1. Reporting template'!$P$1:$P$400,MATCH($B92,'[6]1. Reporting template'!$B$1:$B$400,0))),"")</f>
        <v/>
      </c>
      <c r="Q92" s="9">
        <f>IFERROR(IF(INDEX('[6]1. Reporting template'!$Q$1:$Q$400,MATCH($B92,'[6]1. Reporting template'!$B$1:$B$400,0))="","",INDEX('[6]1. Reporting template'!$Q$1:$Q$400,MATCH($B92,'[6]1. Reporting template'!$B$1:$B$400,0))),"")</f>
        <v/>
      </c>
    </row>
    <row r="93" ht="237" customHeight="1">
      <c r="B93" s="6" t="inlineStr">
        <is>
          <t>TR2(d)</t>
        </is>
      </c>
      <c r="C93" s="48" t="inlineStr">
        <is>
          <t>Transformational research</t>
        </is>
      </c>
      <c r="D93" s="48" t="inlineStr">
        <is>
          <t>Deliver high-quality research and partnerships that contribute to sustainability outcomes and demonstrable societal benefit.</t>
        </is>
      </c>
      <c r="E93" s="48" t="inlineStr">
        <is>
          <t>Case-based evidence demonstrating how research has contributed to meaningful sustainability outcomes.</t>
        </is>
      </c>
      <c r="F93" s="7" t="inlineStr">
        <is>
          <t>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
In end-2025 reporting your faculty reported on the related SP2030 target 5b(i) (see Column J – click [+] above Columns I–K).</t>
        </is>
      </c>
      <c r="G93" s="7" t="inlineStr">
        <is>
          <t>We will select the strongest examples to develop as full research case studies for the 2026 Sustainability Report (we may contact you for more detail and images).</t>
        </is>
      </c>
      <c r="H93" s="7" t="inlineStr">
        <is>
          <t>5b(i)</t>
        </is>
      </c>
      <c r="I93" s="7" t="inlineStr">
        <is>
          <t>Met or exceeded</t>
        </is>
      </c>
      <c r="J93" s="7" t="inlineStr">
        <is>
          <t>We have a vast range of sustainability research taking place in FEIT - across all schools. There are numberous examples we can reference including the UMAMI project, mygreenlabs, and projects with World Bank that relate to sustainability. As we build connections through our FEIT Sustainability Community of Practice we learn of more and more work taking place in the area of sustainability, and through our recent survey asking staff which SDGs are relevant to them we also saw connections. We also identified 50+ PhD students working on sustainability related topics in FEIT</t>
        </is>
      </c>
      <c r="K93" s="7" t="inlineStr"/>
      <c r="L93" s="9">
        <f>IFERROR(IF(INDEX('[6]1. Reporting template'!$L$1:$L$400,MATCH($B93,'[6]1. Reporting template'!$B$1:$B$400,0))="","",INDEX('[6]1. Reporting template'!$L$1:$L$400,MATCH($B93,'[6]1. Reporting template'!$B$1:$B$400,0))),"")</f>
        <v/>
      </c>
      <c r="M93" s="9">
        <f>IFERROR(IF(INDEX('[6]1. Reporting template'!$M$1:$M$400,MATCH($B93,'[6]1. Reporting template'!$B$1:$B$400,0))="","",INDEX('[6]1. Reporting template'!$M$1:$M$400,MATCH($B93,'[6]1. Reporting template'!$B$1:$B$400,0))),"")</f>
        <v/>
      </c>
      <c r="N93" s="9">
        <f>IFERROR(IF(INDEX('[6]1. Reporting template'!$N$1:$N$400,MATCH($B93,'[6]1. Reporting template'!$B$1:$B$400,0))="","",INDEX('[6]1. Reporting template'!$N$1:$N$400,MATCH($B93,'[6]1. Reporting template'!$B$1:$B$400,0))),"")</f>
        <v/>
      </c>
      <c r="O93" s="9">
        <f>IFERROR(IF(INDEX('[6]1. Reporting template'!$O$1:$O$400,MATCH($B93,'[6]1. Reporting template'!$B$1:$B$400,0))="","",INDEX('[6]1. Reporting template'!$O$1:$O$400,MATCH($B93,'[6]1. Reporting template'!$B$1:$B$400,0))),"")</f>
        <v/>
      </c>
      <c r="P93" s="9">
        <f>IFERROR(IF(INDEX('[6]1. Reporting template'!$P$1:$P$400,MATCH($B93,'[6]1. Reporting template'!$B$1:$B$400,0))="","",INDEX('[6]1. Reporting template'!$P$1:$P$400,MATCH($B93,'[6]1. Reporting template'!$B$1:$B$400,0))),"")</f>
        <v/>
      </c>
      <c r="Q93" s="9">
        <f>IFERROR(IF(INDEX('[6]1. Reporting template'!$Q$1:$Q$400,MATCH($B93,'[6]1. Reporting template'!$B$1:$B$400,0))="","",INDEX('[6]1. Reporting template'!$Q$1:$Q$400,MATCH($B93,'[6]1. Reporting template'!$B$1:$B$400,0))),"")</f>
        <v/>
      </c>
    </row>
    <row r="94" ht="188" customHeight="1">
      <c r="B94" s="6" t="inlineStr">
        <is>
          <t>TR3(b)</t>
        </is>
      </c>
      <c r="C94" s="48" t="inlineStr">
        <is>
          <t>Transformational research</t>
        </is>
      </c>
      <c r="D94" s="48" t="inlineStr">
        <is>
          <t>Embed sustainability within research systems, processes, capability and culture, so research is conducted responsibly, efficiently and with reduced environmental impact.</t>
        </is>
      </c>
      <c r="E94" s="48" t="inlineStr">
        <is>
          <t>Demonstrated examples of more sustainable research practices in laboratories, fieldwork, procurement, travel or infrastructure use</t>
        </is>
      </c>
      <c r="F94" s="7" t="inlineStr">
        <is>
          <t>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
In end-2025 reporting your faculty reported on the related SP2030 target 5c(ii) (see Column J – click [+] above Columns I–K).</t>
        </is>
      </c>
      <c r="G94" s="7" t="inlineStr">
        <is>
          <t>We will report on ways the University is making research practices more sustainable in the 2026 Sustainability Report, and share practical examples (e.g. green labs) across faculties.</t>
        </is>
      </c>
      <c r="H94" s="7" t="inlineStr">
        <is>
          <t>5c(ii)</t>
        </is>
      </c>
      <c r="I94" s="7" t="inlineStr">
        <is>
          <t>Met or exceeded</t>
        </is>
      </c>
      <c r="J94" s="7" t="inlineStr">
        <is>
          <t>We have completed MyGreenLabs certification for one lab, and working to expand this certification to all FEIT labs. There is also work being undertaken to more efficiently manage materials such as chemicals to reduce wastage, and also general practice initiatives to reduce electrical use, such as turning off lights and monitors when not in use. We are also working on solutions to reduce required travel, and ways to further other operational behaviours like waste management.</t>
        </is>
      </c>
      <c r="K94" s="7" t="inlineStr"/>
      <c r="L94" s="9">
        <f>IFERROR(IF(INDEX('[6]1. Reporting template'!$L$1:$L$400,MATCH($B94,'[6]1. Reporting template'!$B$1:$B$400,0))="","",INDEX('[6]1. Reporting template'!$L$1:$L$400,MATCH($B94,'[6]1. Reporting template'!$B$1:$B$400,0))),"")</f>
        <v/>
      </c>
      <c r="M94" s="9">
        <f>IFERROR(IF(INDEX('[6]1. Reporting template'!$M$1:$M$400,MATCH($B94,'[6]1. Reporting template'!$B$1:$B$400,0))="","",INDEX('[6]1. Reporting template'!$M$1:$M$400,MATCH($B94,'[6]1. Reporting template'!$B$1:$B$400,0))),"")</f>
        <v/>
      </c>
      <c r="N94" s="9">
        <f>IFERROR(IF(INDEX('[6]1. Reporting template'!$N$1:$N$400,MATCH($B94,'[6]1. Reporting template'!$B$1:$B$400,0))="","",INDEX('[6]1. Reporting template'!$N$1:$N$400,MATCH($B94,'[6]1. Reporting template'!$B$1:$B$400,0))),"")</f>
        <v/>
      </c>
      <c r="O94" s="9">
        <f>IFERROR(IF(INDEX('[6]1. Reporting template'!$O$1:$O$400,MATCH($B94,'[6]1. Reporting template'!$B$1:$B$400,0))="","",INDEX('[6]1. Reporting template'!$O$1:$O$400,MATCH($B94,'[6]1. Reporting template'!$B$1:$B$400,0))),"")</f>
        <v/>
      </c>
      <c r="P94" s="9">
        <f>IFERROR(IF(INDEX('[6]1. Reporting template'!$P$1:$P$400,MATCH($B94,'[6]1. Reporting template'!$B$1:$B$400,0))="","",INDEX('[6]1. Reporting template'!$P$1:$P$400,MATCH($B94,'[6]1. Reporting template'!$B$1:$B$400,0))),"")</f>
        <v/>
      </c>
      <c r="Q94" s="9">
        <f>IFERROR(IF(INDEX('[6]1. Reporting template'!$Q$1:$Q$400,MATCH($B94,'[6]1. Reporting template'!$B$1:$B$400,0))="","",INDEX('[6]1. Reporting template'!$Q$1:$Q$400,MATCH($B94,'[6]1. Reporting template'!$B$1:$B$400,0))),"")</f>
        <v/>
      </c>
    </row>
    <row r="95" ht="188" customHeight="1">
      <c r="B95" s="6" t="inlineStr">
        <is>
          <t>EN1(a)</t>
        </is>
      </c>
      <c r="C95" s="48" t="inlineStr">
        <is>
          <t>Enablers</t>
        </is>
      </c>
      <c r="D95" s="48" t="inlineStr">
        <is>
          <t>Enablers</t>
        </is>
      </c>
      <c r="E95" s="48" t="inlineStr">
        <is>
          <t>Evidence of sustainability outcomes informed by Indigenous knowledges</t>
        </is>
      </c>
      <c r="F95" s="7" t="inlineStr">
        <is>
          <t>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
In end-2025 reporting your faculty reported on the related SP2030 target 6a (see Column J – click [+] above Columns I–K).</t>
        </is>
      </c>
      <c r="G95" s="7" t="inlineStr">
        <is>
          <t>We will report on the ways Indigenous knowledges inform sustainability activities across the University, and develop selected examples into case studies with appropriate permissions.</t>
        </is>
      </c>
      <c r="H95" s="7" t="inlineStr">
        <is>
          <t>6a</t>
        </is>
      </c>
      <c r="I95" s="7" t="inlineStr">
        <is>
          <t>Met or exceeded</t>
        </is>
      </c>
      <c r="J95" s="7" t="inlineStr">
        <is>
          <t>We held a session - a panel discussion - as part of the 2025 National Indigenous Engineering Summit. This was organised in collboration with the FEIT Indigneous Engagement Portfolio team. The initiative centred Indigenous leadership and Caring for Country principles, strengthening how sustainability is understood and applied across engineering education and practice.</t>
        </is>
      </c>
      <c r="K95" s="7" t="inlineStr"/>
      <c r="L95" s="9">
        <f>IFERROR(IF(INDEX('[6]1. Reporting template'!$L$1:$L$400,MATCH($B95,'[6]1. Reporting template'!$B$1:$B$400,0))="","",INDEX('[6]1. Reporting template'!$L$1:$L$400,MATCH($B95,'[6]1. Reporting template'!$B$1:$B$400,0))),"")</f>
        <v/>
      </c>
      <c r="M95" s="9">
        <f>IFERROR(IF(INDEX('[6]1. Reporting template'!$M$1:$M$400,MATCH($B95,'[6]1. Reporting template'!$B$1:$B$400,0))="","",INDEX('[6]1. Reporting template'!$M$1:$M$400,MATCH($B95,'[6]1. Reporting template'!$B$1:$B$400,0))),"")</f>
        <v/>
      </c>
      <c r="N95" s="9">
        <f>IFERROR(IF(INDEX('[6]1. Reporting template'!$N$1:$N$400,MATCH($B95,'[6]1. Reporting template'!$B$1:$B$400,0))="","",INDEX('[6]1. Reporting template'!$N$1:$N$400,MATCH($B95,'[6]1. Reporting template'!$B$1:$B$400,0))),"")</f>
        <v/>
      </c>
      <c r="O95" s="9">
        <f>IFERROR(IF(INDEX('[6]1. Reporting template'!$O$1:$O$400,MATCH($B95,'[6]1. Reporting template'!$B$1:$B$400,0))="","",INDEX('[6]1. Reporting template'!$O$1:$O$400,MATCH($B95,'[6]1. Reporting template'!$B$1:$B$400,0))),"")</f>
        <v/>
      </c>
      <c r="P95" s="9">
        <f>IFERROR(IF(INDEX('[6]1. Reporting template'!$P$1:$P$400,MATCH($B95,'[6]1. Reporting template'!$B$1:$B$400,0))="","",INDEX('[6]1. Reporting template'!$P$1:$P$400,MATCH($B95,'[6]1. Reporting template'!$B$1:$B$400,0))),"")</f>
        <v/>
      </c>
      <c r="Q95" s="9">
        <f>IFERROR(IF(INDEX('[6]1. Reporting template'!$Q$1:$Q$400,MATCH($B95,'[6]1. Reporting template'!$B$1:$B$400,0))="","",INDEX('[6]1. Reporting template'!$Q$1:$Q$400,MATCH($B95,'[6]1. Reporting template'!$B$1:$B$400,0))),"")</f>
        <v/>
      </c>
    </row>
    <row r="96" ht="220" customHeight="1">
      <c r="B96" s="6" t="inlineStr">
        <is>
          <t>EN1(b)</t>
        </is>
      </c>
      <c r="C96" s="48" t="inlineStr">
        <is>
          <t>Enablers</t>
        </is>
      </c>
      <c r="D96" s="48" t="inlineStr">
        <is>
          <t>Enablers</t>
        </is>
      </c>
      <c r="E96" s="48" t="inlineStr">
        <is>
          <t>Living laboratories enabling applied learning, research and operational sustainability outcomes</t>
        </is>
      </c>
      <c r="F96" s="7" t="inlineStr">
        <is>
          <t>Please give any examples of sustainability-related living labs operating within your faculty in 2026 – their activities, who is involved (students, researchers, operational staff) and their outputs, outcomes or impact.
Please note, we will collect case studies on Campus Living Lab Accelerator Program projects directly from project owners - no need to include these.
In end-2025 reporting your faculty reported on the related SP2030 target 2a (see Column J – click [+] above Columns I–K).</t>
        </is>
      </c>
      <c r="G96" s="7" t="inlineStr">
        <is>
          <t>We will share examples of sustainability-related living labs from across the University in the 2026 Sustainability Report, alongside Campus Living Lab Accelerator Program case studies collected directly from project owners.</t>
        </is>
      </c>
      <c r="H96" s="7" t="inlineStr">
        <is>
          <t>2a</t>
        </is>
      </c>
      <c r="I96" s="7" t="inlineStr">
        <is>
          <t>Met or exceeded</t>
        </is>
      </c>
      <c r="J96" s="7" t="inlineStr">
        <is>
          <t>We have a number of examples of living labs in FEIT, from our sensors monitoring building usage, health and quality, to the MyGreenLabs certification, as well as our FEIT Community of Practice initiatives, and a number of other projects such as the sustainability self-efficacy measurement tool, and the UMAMI project which developed an AI tool for discovering data and insights about our campus to support sustainability and retrofit decisions.</t>
        </is>
      </c>
      <c r="K96" s="7" t="inlineStr"/>
      <c r="L96" s="9">
        <f>IFERROR(IF(INDEX('[6]1. Reporting template'!$L$1:$L$400,MATCH($B96,'[6]1. Reporting template'!$B$1:$B$400,0))="","",INDEX('[6]1. Reporting template'!$L$1:$L$400,MATCH($B96,'[6]1. Reporting template'!$B$1:$B$400,0))),"")</f>
        <v/>
      </c>
      <c r="M96" s="9">
        <f>IFERROR(IF(INDEX('[6]1. Reporting template'!$M$1:$M$400,MATCH($B96,'[6]1. Reporting template'!$B$1:$B$400,0))="","",INDEX('[6]1. Reporting template'!$M$1:$M$400,MATCH($B96,'[6]1. Reporting template'!$B$1:$B$400,0))),"")</f>
        <v/>
      </c>
      <c r="N96" s="9">
        <f>IFERROR(IF(INDEX('[6]1. Reporting template'!$N$1:$N$400,MATCH($B96,'[6]1. Reporting template'!$B$1:$B$400,0))="","",INDEX('[6]1. Reporting template'!$N$1:$N$400,MATCH($B96,'[6]1. Reporting template'!$B$1:$B$400,0))),"")</f>
        <v/>
      </c>
      <c r="O96" s="9">
        <f>IFERROR(IF(INDEX('[6]1. Reporting template'!$O$1:$O$400,MATCH($B96,'[6]1. Reporting template'!$B$1:$B$400,0))="","",INDEX('[6]1. Reporting template'!$O$1:$O$400,MATCH($B96,'[6]1. Reporting template'!$B$1:$B$400,0))),"")</f>
        <v/>
      </c>
      <c r="P96" s="9">
        <f>IFERROR(IF(INDEX('[6]1. Reporting template'!$P$1:$P$400,MATCH($B96,'[6]1. Reporting template'!$B$1:$B$400,0))="","",INDEX('[6]1. Reporting template'!$P$1:$P$400,MATCH($B96,'[6]1. Reporting template'!$B$1:$B$400,0))),"")</f>
        <v/>
      </c>
      <c r="Q96" s="9">
        <f>IFERROR(IF(INDEX('[6]1. Reporting template'!$Q$1:$Q$400,MATCH($B96,'[6]1. Reporting template'!$B$1:$B$400,0))="","",INDEX('[6]1. Reporting template'!$Q$1:$Q$400,MATCH($B96,'[6]1. Reporting template'!$B$1:$B$400,0))),"")</f>
        <v/>
      </c>
    </row>
    <row r="97" ht="154" customHeight="1">
      <c r="B97" s="6" t="inlineStr">
        <is>
          <t>EN1(c)</t>
        </is>
      </c>
      <c r="C97" s="48" t="inlineStr">
        <is>
          <t>Enablers</t>
        </is>
      </c>
      <c r="D97" s="48" t="inlineStr">
        <is>
          <t>Enablers</t>
        </is>
      </c>
      <c r="E97" s="48" t="inlineStr">
        <is>
          <t>Coordinated internal engagement and external partnerships contributing to delivery of sustainability outcomes across priority areas.</t>
        </is>
      </c>
      <c r="F97" s="7" t="inlineStr">
        <is>
          <t>Please list the key sustainability-focused communities of practice, internal networks or external partnerships active in your faculty in 2026 (name, partners, priority area), and give any examples of activity that contributed to a Sustainability 2030 outcome.
In end-2025 reporting your faculty reported on the related SP2030 target 3a(ii) (see Column J – click [+] above Columns I–K).</t>
        </is>
      </c>
      <c r="G97" s="7" t="inlineStr">
        <is>
          <t>We will report on internal engagement and partnerships contributing to Sustainability 2030 outcomes, and update our record of sustainability-focused communities of practice and contacts across the University.</t>
        </is>
      </c>
      <c r="H97" s="7" t="inlineStr">
        <is>
          <t>3a(ii)</t>
        </is>
      </c>
      <c r="I97" s="7" t="inlineStr">
        <is>
          <t>Met or exceeded</t>
        </is>
      </c>
      <c r="J97" s="7" t="inlineStr">
        <is>
          <t>We held four community of practice meetings in 2025, and also held a panel discussion event, part of the National Engineering Indigenous Summit, which included the sustainability commissioner of Victoria as a panel discussant. There is also the FEIT Sustainability in Education Community of Practice which focuses on embedding sustainability in practice and in learning, and developing ways to further integrate sustainability into the curriculum</t>
        </is>
      </c>
      <c r="K97" s="7" t="inlineStr"/>
      <c r="L97" s="9">
        <f>IFERROR(IF(INDEX('[6]1. Reporting template'!$L$1:$L$400,MATCH($B97,'[6]1. Reporting template'!$B$1:$B$400,0))="","",INDEX('[6]1. Reporting template'!$L$1:$L$400,MATCH($B97,'[6]1. Reporting template'!$B$1:$B$400,0))),"")</f>
        <v/>
      </c>
      <c r="M97" s="9">
        <f>IFERROR(IF(INDEX('[6]1. Reporting template'!$M$1:$M$400,MATCH($B97,'[6]1. Reporting template'!$B$1:$B$400,0))="","",INDEX('[6]1. Reporting template'!$M$1:$M$400,MATCH($B97,'[6]1. Reporting template'!$B$1:$B$400,0))),"")</f>
        <v/>
      </c>
      <c r="N97" s="9">
        <f>IFERROR(IF(INDEX('[6]1. Reporting template'!$N$1:$N$400,MATCH($B97,'[6]1. Reporting template'!$B$1:$B$400,0))="","",INDEX('[6]1. Reporting template'!$N$1:$N$400,MATCH($B97,'[6]1. Reporting template'!$B$1:$B$400,0))),"")</f>
        <v/>
      </c>
      <c r="O97" s="9">
        <f>IFERROR(IF(INDEX('[6]1. Reporting template'!$O$1:$O$400,MATCH($B97,'[6]1. Reporting template'!$B$1:$B$400,0))="","",INDEX('[6]1. Reporting template'!$O$1:$O$400,MATCH($B97,'[6]1. Reporting template'!$B$1:$B$400,0))),"")</f>
        <v/>
      </c>
      <c r="P97" s="9">
        <f>IFERROR(IF(INDEX('[6]1. Reporting template'!$P$1:$P$400,MATCH($B97,'[6]1. Reporting template'!$B$1:$B$400,0))="","",INDEX('[6]1. Reporting template'!$P$1:$P$400,MATCH($B97,'[6]1. Reporting template'!$B$1:$B$400,0))),"")</f>
        <v/>
      </c>
      <c r="Q97" s="9">
        <f>IFERROR(IF(INDEX('[6]1. Reporting template'!$Q$1:$Q$400,MATCH($B97,'[6]1. Reporting template'!$B$1:$B$400,0))="","",INDEX('[6]1. Reporting template'!$Q$1:$Q$400,MATCH($B97,'[6]1. Reporting template'!$B$1:$B$400,0))),"")</f>
        <v/>
      </c>
    </row>
    <row r="98"/>
    <row r="99"/>
    <row r="100" ht="39" customHeight="1">
      <c r="B100" s="43" t="inlineStr">
        <is>
          <t>1.7  FoE – Faculty of Education</t>
        </is>
      </c>
    </row>
    <row r="101"/>
    <row r="102" ht="27" customHeight="1">
      <c r="C102" s="44" t="inlineStr">
        <is>
          <t>Sustainability 2030 target and indicator</t>
        </is>
      </c>
      <c r="H102" s="44" t="inlineStr">
        <is>
          <t>SR25 response</t>
        </is>
      </c>
      <c r="L102" s="45" t="inlineStr">
        <is>
          <t>End-2026 reporting (PLEASE COMPLETE THIS SECTION)</t>
        </is>
      </c>
    </row>
    <row r="103" ht="60" customHeight="1">
      <c r="B103" s="5" t="inlineStr">
        <is>
          <t>Ref</t>
        </is>
      </c>
      <c r="C103" s="5" t="inlineStr">
        <is>
          <t>Priority area</t>
        </is>
      </c>
      <c r="D103" s="5" t="inlineStr">
        <is>
          <t>Sustainability 2030 target</t>
        </is>
      </c>
      <c r="E103" s="5" t="inlineStr">
        <is>
          <t>Indicator</t>
        </is>
      </c>
      <c r="F103" s="5" t="inlineStr">
        <is>
          <t>2026 Reporting request</t>
        </is>
      </c>
      <c r="G103" s="5" t="inlineStr">
        <is>
          <t>How SST will use this data</t>
        </is>
      </c>
      <c r="H103" s="5" t="inlineStr">
        <is>
          <t>Related SR25 ref</t>
        </is>
      </c>
      <c r="I103" s="5" t="inlineStr">
        <is>
          <t>End-2025 confirmed status</t>
        </is>
      </c>
      <c r="J103" s="5" t="inlineStr">
        <is>
          <t>End-2025 reporting response</t>
        </is>
      </c>
      <c r="K103" s="5" t="inlineStr">
        <is>
          <t>Links and supporting information</t>
        </is>
      </c>
      <c r="L103" s="46" t="inlineStr">
        <is>
          <t>OPTION 1:  Target-level reporting (Column D)</t>
        </is>
      </c>
      <c r="M103" s="46" t="inlineStr">
        <is>
          <t>OPTION 2:  Indicator level reporting (Column E/F)</t>
        </is>
      </c>
      <c r="N103" s="46" t="inlineStr">
        <is>
          <t>Supporting information/comments</t>
        </is>
      </c>
      <c r="O103" s="46" t="inlineStr">
        <is>
          <t>Data source and limitations</t>
        </is>
      </c>
      <c r="P103" s="46" t="inlineStr">
        <is>
          <t>Data owner confirms information is accurate</t>
        </is>
      </c>
      <c r="Q103" s="46" t="inlineStr">
        <is>
          <t>Confirmed by (name, role, date)</t>
        </is>
      </c>
    </row>
    <row r="104" ht="81" customHeight="1">
      <c r="B104" s="47" t="inlineStr"/>
      <c r="C104" s="47" t="inlineStr"/>
      <c r="D104" s="47" t="inlineStr"/>
      <c r="E104" s="47" t="inlineStr"/>
      <c r="F104" s="47" t="inlineStr"/>
      <c r="G104" s="47" t="inlineStr"/>
      <c r="H104" s="47" t="inlineStr"/>
      <c r="I104" s="47" t="inlineStr"/>
      <c r="J104" s="47" t="inlineStr"/>
      <c r="K104" s="47" t="inlineStr"/>
      <c r="L104" s="47" t="inlineStr">
        <is>
          <t>A general update on activities in relation to the overarching target (Column D)</t>
        </is>
      </c>
      <c r="M104" s="47" t="inlineStr">
        <is>
          <t>Data and commentary in direct response to the reporting request (Column F)</t>
        </is>
      </c>
      <c r="N104" s="47" t="inlineStr">
        <is>
          <t>Any additional information (e.g. links, images, documents)</t>
        </is>
      </c>
      <c r="O104" s="47" t="inlineStr">
        <is>
          <t>Where did this information come from (system, report, survey, person)? Note any gaps or limitations.</t>
        </is>
      </c>
      <c r="P104" s="47" t="inlineStr">
        <is>
          <t>Select 'Yes' to confirm the information provided is accurate and can be used for reporting</t>
        </is>
      </c>
      <c r="Q104" s="47" t="inlineStr">
        <is>
          <t>Name, role and date of the person confirming</t>
        </is>
      </c>
    </row>
    <row r="105" ht="352" customHeight="1">
      <c r="B105" s="6" t="inlineStr">
        <is>
          <t>EE1(a)</t>
        </is>
      </c>
      <c r="C105" s="48" t="inlineStr">
        <is>
          <t>Exceptional education</t>
        </is>
      </c>
      <c r="D105" s="48" t="inlineStr">
        <is>
          <t>Provide our students with learning experiences that help them build the knowledge, skills and relationships to lead change for sustainable societies.</t>
        </is>
      </c>
      <c r="E105" s="48" t="inlineStr">
        <is>
          <t>Evidence of innovative approaches to sustainability teaching and learning</t>
        </is>
      </c>
      <c r="F105" s="7" t="inlineStr">
        <is>
          <t>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Please note that this indicator will be addressed at the joint Associate Deans Sustainability and Associate Deans Teaching and Learning session on 23 November 2026. Please feel free to summarise what your faculty presented at this session - further information is welcome but not required.
In end-2025 reporting your faculty reported on the related SP2030 target 4a(ii) (see Column J – click [+] above Columns I–K).</t>
        </is>
      </c>
      <c r="G105" s="7"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05" s="7" t="inlineStr">
        <is>
          <t>4a(ii)</t>
        </is>
      </c>
      <c r="I105" s="7" t="inlineStr">
        <is>
          <t>Met or exceeded</t>
        </is>
      </c>
      <c r="J105" s="7" t="inlineStr">
        <is>
          <t>The FoE has adopted the University’s definition of sustainability as ‘meeting the needs of the present without compromising the ability of future generations to meet their own needs’, with a focus to ‘help shape a sustainable planet and…be an international exemplar of an ecologically sustainable community’ (UoM Sustainability Plan 2030, p. 11).  It approaches sustainability through a ‘whole institution approach’ across all domains of institutional activity, including overall governance, students, learning and teaching, research, community engagement, and facilities and operations.In 2025, a total of 45 subjects offered at the FoE included a sustainability focus that aligned with this definition as follows:
MEd - 2 subjects
MSCL-3 subjects
MTESOL -5 subjects
MTeach (Secondary) - 4 subjects
MTeach (Primary) - 2 subjects
MTeach (Early Childhood and Primary) - 5 subjects
MTeach (Early Childhood) - 3 subjects
Other - 21 subjects</t>
        </is>
      </c>
      <c r="K105" s="7" t="inlineStr">
        <is>
          <t>FoE Sustainability Report  (to be published on the FoE sustainability website soon)
FoE Sustainability Action Plan
FoE Sustainability Website</t>
        </is>
      </c>
      <c r="L105" s="9">
        <f>IFERROR(IF(INDEX('[7]1. Reporting template'!$L$1:$L$400,MATCH($B105,'[7]1. Reporting template'!$B$1:$B$400,0))="","",INDEX('[7]1. Reporting template'!$L$1:$L$400,MATCH($B105,'[7]1. Reporting template'!$B$1:$B$400,0))),"")</f>
        <v/>
      </c>
      <c r="M105" s="9">
        <f>IFERROR(IF(INDEX('[7]1. Reporting template'!$M$1:$M$400,MATCH($B105,'[7]1. Reporting template'!$B$1:$B$400,0))="","",INDEX('[7]1. Reporting template'!$M$1:$M$400,MATCH($B105,'[7]1. Reporting template'!$B$1:$B$400,0))),"")</f>
        <v/>
      </c>
      <c r="N105" s="9">
        <f>IFERROR(IF(INDEX('[7]1. Reporting template'!$N$1:$N$400,MATCH($B105,'[7]1. Reporting template'!$B$1:$B$400,0))="","",INDEX('[7]1. Reporting template'!$N$1:$N$400,MATCH($B105,'[7]1. Reporting template'!$B$1:$B$400,0))),"")</f>
        <v/>
      </c>
      <c r="O105" s="9">
        <f>IFERROR(IF(INDEX('[7]1. Reporting template'!$O$1:$O$400,MATCH($B105,'[7]1. Reporting template'!$B$1:$B$400,0))="","",INDEX('[7]1. Reporting template'!$O$1:$O$400,MATCH($B105,'[7]1. Reporting template'!$B$1:$B$400,0))),"")</f>
        <v/>
      </c>
      <c r="P105" s="9">
        <f>IFERROR(IF(INDEX('[7]1. Reporting template'!$P$1:$P$400,MATCH($B105,'[7]1. Reporting template'!$B$1:$B$400,0))="","",INDEX('[7]1. Reporting template'!$P$1:$P$400,MATCH($B105,'[7]1. Reporting template'!$B$1:$B$400,0))),"")</f>
        <v/>
      </c>
      <c r="Q105" s="9">
        <f>IFERROR(IF(INDEX('[7]1. Reporting template'!$Q$1:$Q$400,MATCH($B105,'[7]1. Reporting template'!$B$1:$B$400,0))="","",INDEX('[7]1. Reporting template'!$Q$1:$Q$400,MATCH($B105,'[7]1. Reporting template'!$B$1:$B$400,0))),"")</f>
        <v/>
      </c>
    </row>
    <row r="106" ht="188" customHeight="1">
      <c r="B106" s="6" t="inlineStr">
        <is>
          <t>EE1(b)</t>
        </is>
      </c>
      <c r="C106" s="48" t="inlineStr">
        <is>
          <t>Exceptional education</t>
        </is>
      </c>
      <c r="D106" s="48" t="inlineStr">
        <is>
          <t>Provide our students with learning experiences that help them build the knowledge, skills and relationships to lead change for sustainable societies.</t>
        </is>
      </c>
      <c r="E106" s="48" t="inlineStr">
        <is>
          <t>Pilots of possible approaches for understanding and developing students’ sustainability self-efficacy</t>
        </is>
      </c>
      <c r="F106" s="7"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106" s="7" t="inlineStr">
        <is>
          <t>This is a new indicator. We will use responses to establish a baseline of how (and whether) faculties are understanding student sustainability self-efficacy, and report on early pilots in the 2026 Sustainability Report. A nil response is useful to us.</t>
        </is>
      </c>
      <c r="H106" s="7" t="inlineStr">
        <is>
          <t>N/A – new indicator</t>
        </is>
      </c>
      <c r="I106" s="7" t="inlineStr"/>
      <c r="J106" s="7" t="inlineStr"/>
      <c r="K106" s="7" t="inlineStr"/>
      <c r="L106" s="9">
        <f>IFERROR(IF(INDEX('[7]1. Reporting template'!$L$1:$L$400,MATCH($B106,'[7]1. Reporting template'!$B$1:$B$400,0))="","",INDEX('[7]1. Reporting template'!$L$1:$L$400,MATCH($B106,'[7]1. Reporting template'!$B$1:$B$400,0))),"")</f>
        <v/>
      </c>
      <c r="M106" s="9">
        <f>IFERROR(IF(INDEX('[7]1. Reporting template'!$M$1:$M$400,MATCH($B106,'[7]1. Reporting template'!$B$1:$B$400,0))="","",INDEX('[7]1. Reporting template'!$M$1:$M$400,MATCH($B106,'[7]1. Reporting template'!$B$1:$B$400,0))),"")</f>
        <v/>
      </c>
      <c r="N106" s="9">
        <f>IFERROR(IF(INDEX('[7]1. Reporting template'!$N$1:$N$400,MATCH($B106,'[7]1. Reporting template'!$B$1:$B$400,0))="","",INDEX('[7]1. Reporting template'!$N$1:$N$400,MATCH($B106,'[7]1. Reporting template'!$B$1:$B$400,0))),"")</f>
        <v/>
      </c>
      <c r="O106" s="9">
        <f>IFERROR(IF(INDEX('[7]1. Reporting template'!$O$1:$O$400,MATCH($B106,'[7]1. Reporting template'!$B$1:$B$400,0))="","",INDEX('[7]1. Reporting template'!$O$1:$O$400,MATCH($B106,'[7]1. Reporting template'!$B$1:$B$400,0))),"")</f>
        <v/>
      </c>
      <c r="P106" s="9">
        <f>IFERROR(IF(INDEX('[7]1. Reporting template'!$P$1:$P$400,MATCH($B106,'[7]1. Reporting template'!$B$1:$B$400,0))="","",INDEX('[7]1. Reporting template'!$P$1:$P$400,MATCH($B106,'[7]1. Reporting template'!$B$1:$B$400,0))),"")</f>
        <v/>
      </c>
      <c r="Q106" s="9">
        <f>IFERROR(IF(INDEX('[7]1. Reporting template'!$Q$1:$Q$400,MATCH($B106,'[7]1. Reporting template'!$B$1:$B$400,0))="","",INDEX('[7]1. Reporting template'!$Q$1:$Q$400,MATCH($B106,'[7]1. Reporting template'!$B$1:$B$400,0))),"")</f>
        <v/>
      </c>
    </row>
    <row r="107" ht="270" customHeight="1">
      <c r="B107" s="6" t="inlineStr">
        <is>
          <t>TR1(a)</t>
        </is>
      </c>
      <c r="C107" s="48" t="inlineStr">
        <is>
          <t>Transformational research</t>
        </is>
      </c>
      <c r="D107" s="48" t="inlineStr">
        <is>
          <t>Utilise the expertise of the University’s researchers through mutually beneficial partnerships to help address the University’s operational sustainability challenges.</t>
        </is>
      </c>
      <c r="E107" s="48" t="inlineStr">
        <is>
          <t>Expert-reviewed evidence of researchers contributing to operational sustainability priorities through partnerships, advisory input, living labs, applied projects or decision-support</t>
        </is>
      </c>
      <c r="F107" s="7" t="inlineStr">
        <is>
          <t>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Please note, we will collect case studies on Campus Living Lab Accelerator Program projects directly from project owners - no need to include these.
In end-2025 reporting your faculty reported on the related SP2030 target 2a (see Column J – click [+] above Columns I–K).</t>
        </is>
      </c>
      <c r="G107" s="7" t="inlineStr">
        <is>
          <t>We will report on examples of researchers helping solve the University's own operational sustainability challenges, alongside Campus Living Lab Accelerator Program case studies collected directly from project owners, and share them with operational teams to identify further collaboration.</t>
        </is>
      </c>
      <c r="H107" s="7" t="inlineStr">
        <is>
          <t>2a</t>
        </is>
      </c>
      <c r="I107" s="7" t="inlineStr">
        <is>
          <t>Met or exceeded</t>
        </is>
      </c>
      <c r="J107" s="7" t="inlineStr">
        <is>
          <t>A Native Plant Garden has been opened on Level 4 of the Kwong Lee Dow Building led by Dr Emily Rochette and Steve Constatinos. With the support of the Student Experience team, a Campus Living Lab Accelerator application for $5000 to develop programs that make use of the garden has been successful. Activities included Indigenous knowledge sessions (see LinkedIn Post), embedding outdoor activities into classroom activities, and meditation/yoga sessions.
SWISP (Speculative Wanderings in Space and Place) Lab is an interdisciplinary critical futures living lab and speculative thinking consultancy. It seeks to speculate about reparative futures in the midst of climate collapse. Researchers entangle their research pathways in this collective to pose questions, break, disrupt and wander with/in multigenerational connected communities.</t>
        </is>
      </c>
      <c r="K107" s="7" t="inlineStr">
        <is>
          <t>https://www.linkedin.com/posts/education-unimelb_last-week-our-master-of-teaching-students-activity-7383652828826800128-Gt5A?utm_source=share&amp;utm_medium=member_desktop&amp;rcm=ACoAAA7RBAMBVZqN6gshAQPfw68ImPewn5oQx-w. 
FoE Sustainability Report
FoE Sustainability Webpage</t>
        </is>
      </c>
      <c r="L107" s="9">
        <f>IFERROR(IF(INDEX('[7]1. Reporting template'!$L$1:$L$400,MATCH($B107,'[7]1. Reporting template'!$B$1:$B$400,0))="","",INDEX('[7]1. Reporting template'!$L$1:$L$400,MATCH($B107,'[7]1. Reporting template'!$B$1:$B$400,0))),"")</f>
        <v/>
      </c>
      <c r="M107" s="9">
        <f>IFERROR(IF(INDEX('[7]1. Reporting template'!$M$1:$M$400,MATCH($B107,'[7]1. Reporting template'!$B$1:$B$400,0))="","",INDEX('[7]1. Reporting template'!$M$1:$M$400,MATCH($B107,'[7]1. Reporting template'!$B$1:$B$400,0))),"")</f>
        <v/>
      </c>
      <c r="N107" s="9">
        <f>IFERROR(IF(INDEX('[7]1. Reporting template'!$N$1:$N$400,MATCH($B107,'[7]1. Reporting template'!$B$1:$B$400,0))="","",INDEX('[7]1. Reporting template'!$N$1:$N$400,MATCH($B107,'[7]1. Reporting template'!$B$1:$B$400,0))),"")</f>
        <v/>
      </c>
      <c r="O107" s="9">
        <f>IFERROR(IF(INDEX('[7]1. Reporting template'!$O$1:$O$400,MATCH($B107,'[7]1. Reporting template'!$B$1:$B$400,0))="","",INDEX('[7]1. Reporting template'!$O$1:$O$400,MATCH($B107,'[7]1. Reporting template'!$B$1:$B$400,0))),"")</f>
        <v/>
      </c>
      <c r="P107" s="9">
        <f>IFERROR(IF(INDEX('[7]1. Reporting template'!$P$1:$P$400,MATCH($B107,'[7]1. Reporting template'!$B$1:$B$400,0))="","",INDEX('[7]1. Reporting template'!$P$1:$P$400,MATCH($B107,'[7]1. Reporting template'!$B$1:$B$400,0))),"")</f>
        <v/>
      </c>
      <c r="Q107" s="9">
        <f>IFERROR(IF(INDEX('[7]1. Reporting template'!$Q$1:$Q$400,MATCH($B107,'[7]1. Reporting template'!$B$1:$B$400,0))="","",INDEX('[7]1. Reporting template'!$Q$1:$Q$400,MATCH($B107,'[7]1. Reporting template'!$B$1:$B$400,0))),"")</f>
        <v/>
      </c>
    </row>
    <row r="108" ht="270" customHeight="1">
      <c r="B108" s="6" t="inlineStr">
        <is>
          <t>TR2(a)</t>
        </is>
      </c>
      <c r="C108" s="48" t="inlineStr">
        <is>
          <t>Transformational research</t>
        </is>
      </c>
      <c r="D108" s="48" t="inlineStr">
        <is>
          <t>Deliver high-quality research and partnerships that contribute to sustainability outcomes and demonstrable societal benefit.</t>
        </is>
      </c>
      <c r="E108" s="48" t="inlineStr">
        <is>
          <t>Evidence of sustainability-related research impact across diverse pathways, could include policy, industry, community, practice, cultural and institutional outcomes</t>
        </is>
      </c>
      <c r="F108" s="7" t="inlineStr">
        <is>
          <t>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Melbourne Research and Enterprise (MRE) – publication counts are not required.
In end-2025 reporting your faculty reported on the related SP2030 target 5b(i) (see Column J – click [+] above Columns I–K).</t>
        </is>
      </c>
      <c r="G108" s="7" t="inlineStr">
        <is>
          <t>We will collate research impact examples across faculties to show the breadth of sustainability-related research impact in the Transformational research section of the 2026 Sustainability Report, complementing University-wide metrics from Melbourne Research and Enterprise (MRE).</t>
        </is>
      </c>
      <c r="H108" s="7" t="inlineStr">
        <is>
          <t>5b(i)</t>
        </is>
      </c>
      <c r="I108" s="7" t="inlineStr">
        <is>
          <t>Partially met</t>
        </is>
      </c>
      <c r="J108" s="7" t="inlineStr">
        <is>
          <t>MECCE Project
SWISP Lab
Reading Climate
Promoting Education for Sustainable Development
(RH note: more detailed information on these is available via the link to the FOE Sustainability website)</t>
        </is>
      </c>
      <c r="K108" s="7" t="inlineStr">
        <is>
          <t>FoE Sustainability Website</t>
        </is>
      </c>
      <c r="L108" s="9">
        <f>IFERROR(IF(INDEX('[7]1. Reporting template'!$L$1:$L$400,MATCH($B108,'[7]1. Reporting template'!$B$1:$B$400,0))="","",INDEX('[7]1. Reporting template'!$L$1:$L$400,MATCH($B108,'[7]1. Reporting template'!$B$1:$B$400,0))),"")</f>
        <v/>
      </c>
      <c r="M108" s="9">
        <f>IFERROR(IF(INDEX('[7]1. Reporting template'!$M$1:$M$400,MATCH($B108,'[7]1. Reporting template'!$B$1:$B$400,0))="","",INDEX('[7]1. Reporting template'!$M$1:$M$400,MATCH($B108,'[7]1. Reporting template'!$B$1:$B$400,0))),"")</f>
        <v/>
      </c>
      <c r="N108" s="9">
        <f>IFERROR(IF(INDEX('[7]1. Reporting template'!$N$1:$N$400,MATCH($B108,'[7]1. Reporting template'!$B$1:$B$400,0))="","",INDEX('[7]1. Reporting template'!$N$1:$N$400,MATCH($B108,'[7]1. Reporting template'!$B$1:$B$400,0))),"")</f>
        <v/>
      </c>
      <c r="O108" s="9">
        <f>IFERROR(IF(INDEX('[7]1. Reporting template'!$O$1:$O$400,MATCH($B108,'[7]1. Reporting template'!$B$1:$B$400,0))="","",INDEX('[7]1. Reporting template'!$O$1:$O$400,MATCH($B108,'[7]1. Reporting template'!$B$1:$B$400,0))),"")</f>
        <v/>
      </c>
      <c r="P108" s="9">
        <f>IFERROR(IF(INDEX('[7]1. Reporting template'!$P$1:$P$400,MATCH($B108,'[7]1. Reporting template'!$B$1:$B$400,0))="","",INDEX('[7]1. Reporting template'!$P$1:$P$400,MATCH($B108,'[7]1. Reporting template'!$B$1:$B$400,0))),"")</f>
        <v/>
      </c>
      <c r="Q108" s="9">
        <f>IFERROR(IF(INDEX('[7]1. Reporting template'!$Q$1:$Q$400,MATCH($B108,'[7]1. Reporting template'!$B$1:$B$400,0))="","",INDEX('[7]1. Reporting template'!$Q$1:$Q$400,MATCH($B108,'[7]1. Reporting template'!$B$1:$B$400,0))),"")</f>
        <v/>
      </c>
    </row>
    <row r="109" ht="237" customHeight="1">
      <c r="B109" s="6" t="inlineStr">
        <is>
          <t>TR2(d)</t>
        </is>
      </c>
      <c r="C109" s="48" t="inlineStr">
        <is>
          <t>Transformational research</t>
        </is>
      </c>
      <c r="D109" s="48" t="inlineStr">
        <is>
          <t>Deliver high-quality research and partnerships that contribute to sustainability outcomes and demonstrable societal benefit.</t>
        </is>
      </c>
      <c r="E109" s="48" t="inlineStr">
        <is>
          <t>Case-based evidence demonstrating how research has contributed to meaningful sustainability outcomes.</t>
        </is>
      </c>
      <c r="F109" s="7" t="inlineStr">
        <is>
          <t>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
In end-2025 reporting your faculty reported on the related SP2030 target 5b(i) (see Column J – click [+] above Columns I–K).</t>
        </is>
      </c>
      <c r="G109" s="7" t="inlineStr">
        <is>
          <t>We will select the strongest examples to develop as full research case studies for the 2026 Sustainability Report (we may contact you for more detail and images).</t>
        </is>
      </c>
      <c r="H109" s="7" t="inlineStr">
        <is>
          <t>5b(i)</t>
        </is>
      </c>
      <c r="I109" s="7" t="inlineStr">
        <is>
          <t>Partially met</t>
        </is>
      </c>
      <c r="J109" s="7" t="inlineStr">
        <is>
          <t>MECCE Project
SWISP Lab
Reading Climate
Promoting Education for Sustainable Development
(RH note: more detailed information on these is available via the link to the FOE Sustainability website)</t>
        </is>
      </c>
      <c r="K109" s="7" t="inlineStr">
        <is>
          <t>FoE Sustainability Website</t>
        </is>
      </c>
      <c r="L109" s="9">
        <f>IFERROR(IF(INDEX('[7]1. Reporting template'!$L$1:$L$400,MATCH($B109,'[7]1. Reporting template'!$B$1:$B$400,0))="","",INDEX('[7]1. Reporting template'!$L$1:$L$400,MATCH($B109,'[7]1. Reporting template'!$B$1:$B$400,0))),"")</f>
        <v/>
      </c>
      <c r="M109" s="9">
        <f>IFERROR(IF(INDEX('[7]1. Reporting template'!$M$1:$M$400,MATCH($B109,'[7]1. Reporting template'!$B$1:$B$400,0))="","",INDEX('[7]1. Reporting template'!$M$1:$M$400,MATCH($B109,'[7]1. Reporting template'!$B$1:$B$400,0))),"")</f>
        <v/>
      </c>
      <c r="N109" s="9">
        <f>IFERROR(IF(INDEX('[7]1. Reporting template'!$N$1:$N$400,MATCH($B109,'[7]1. Reporting template'!$B$1:$B$400,0))="","",INDEX('[7]1. Reporting template'!$N$1:$N$400,MATCH($B109,'[7]1. Reporting template'!$B$1:$B$400,0))),"")</f>
        <v/>
      </c>
      <c r="O109" s="9">
        <f>IFERROR(IF(INDEX('[7]1. Reporting template'!$O$1:$O$400,MATCH($B109,'[7]1. Reporting template'!$B$1:$B$400,0))="","",INDEX('[7]1. Reporting template'!$O$1:$O$400,MATCH($B109,'[7]1. Reporting template'!$B$1:$B$400,0))),"")</f>
        <v/>
      </c>
      <c r="P109" s="9">
        <f>IFERROR(IF(INDEX('[7]1. Reporting template'!$P$1:$P$400,MATCH($B109,'[7]1. Reporting template'!$B$1:$B$400,0))="","",INDEX('[7]1. Reporting template'!$P$1:$P$400,MATCH($B109,'[7]1. Reporting template'!$B$1:$B$400,0))),"")</f>
        <v/>
      </c>
      <c r="Q109" s="9">
        <f>IFERROR(IF(INDEX('[7]1. Reporting template'!$Q$1:$Q$400,MATCH($B109,'[7]1. Reporting template'!$B$1:$B$400,0))="","",INDEX('[7]1. Reporting template'!$Q$1:$Q$400,MATCH($B109,'[7]1. Reporting template'!$B$1:$B$400,0))),"")</f>
        <v/>
      </c>
    </row>
    <row r="110" ht="188" customHeight="1">
      <c r="B110" s="6" t="inlineStr">
        <is>
          <t>TR3(b)</t>
        </is>
      </c>
      <c r="C110" s="48" t="inlineStr">
        <is>
          <t>Transformational research</t>
        </is>
      </c>
      <c r="D110" s="48" t="inlineStr">
        <is>
          <t>Embed sustainability within research systems, processes, capability and culture, so research is conducted responsibly, efficiently and with reduced environmental impact.</t>
        </is>
      </c>
      <c r="E110" s="48" t="inlineStr">
        <is>
          <t>Demonstrated examples of more sustainable research practices in laboratories, fieldwork, procurement, travel or infrastructure use</t>
        </is>
      </c>
      <c r="F110" s="7" t="inlineStr">
        <is>
          <t>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
In end-2025 reporting your faculty reported on the related SP2030 target 5c(ii) (see Column J – click [+] above Columns I–K).</t>
        </is>
      </c>
      <c r="G110" s="7" t="inlineStr">
        <is>
          <t>We will report on ways the University is making research practices more sustainable in the 2026 Sustainability Report, and share practical examples (e.g. green labs) across faculties.</t>
        </is>
      </c>
      <c r="H110" s="7" t="inlineStr">
        <is>
          <t>5c(ii)</t>
        </is>
      </c>
      <c r="I110" s="7" t="inlineStr">
        <is>
          <t>Met or exceeded</t>
        </is>
      </c>
      <c r="J110" s="7" t="inlineStr">
        <is>
          <t>A Sustainability Research Guidance document has been developed to guide faculty members and staff on conducting sustainability research as well as reducing the environmental impacts of  research activities and related travels. -</t>
        </is>
      </c>
      <c r="K110" s="7" t="inlineStr">
        <is>
          <t>FoE Sustainability Research Guidance
FoE Sustainability Report
FoE Sustainability Webpage</t>
        </is>
      </c>
      <c r="L110" s="9">
        <f>IFERROR(IF(INDEX('[7]1. Reporting template'!$L$1:$L$400,MATCH($B110,'[7]1. Reporting template'!$B$1:$B$400,0))="","",INDEX('[7]1. Reporting template'!$L$1:$L$400,MATCH($B110,'[7]1. Reporting template'!$B$1:$B$400,0))),"")</f>
        <v/>
      </c>
      <c r="M110" s="9">
        <f>IFERROR(IF(INDEX('[7]1. Reporting template'!$M$1:$M$400,MATCH($B110,'[7]1. Reporting template'!$B$1:$B$400,0))="","",INDEX('[7]1. Reporting template'!$M$1:$M$400,MATCH($B110,'[7]1. Reporting template'!$B$1:$B$400,0))),"")</f>
        <v/>
      </c>
      <c r="N110" s="9">
        <f>IFERROR(IF(INDEX('[7]1. Reporting template'!$N$1:$N$400,MATCH($B110,'[7]1. Reporting template'!$B$1:$B$400,0))="","",INDEX('[7]1. Reporting template'!$N$1:$N$400,MATCH($B110,'[7]1. Reporting template'!$B$1:$B$400,0))),"")</f>
        <v/>
      </c>
      <c r="O110" s="9">
        <f>IFERROR(IF(INDEX('[7]1. Reporting template'!$O$1:$O$400,MATCH($B110,'[7]1. Reporting template'!$B$1:$B$400,0))="","",INDEX('[7]1. Reporting template'!$O$1:$O$400,MATCH($B110,'[7]1. Reporting template'!$B$1:$B$400,0))),"")</f>
        <v/>
      </c>
      <c r="P110" s="9">
        <f>IFERROR(IF(INDEX('[7]1. Reporting template'!$P$1:$P$400,MATCH($B110,'[7]1. Reporting template'!$B$1:$B$400,0))="","",INDEX('[7]1. Reporting template'!$P$1:$P$400,MATCH($B110,'[7]1. Reporting template'!$B$1:$B$400,0))),"")</f>
        <v/>
      </c>
      <c r="Q110" s="9">
        <f>IFERROR(IF(INDEX('[7]1. Reporting template'!$Q$1:$Q$400,MATCH($B110,'[7]1. Reporting template'!$B$1:$B$400,0))="","",INDEX('[7]1. Reporting template'!$Q$1:$Q$400,MATCH($B110,'[7]1. Reporting template'!$B$1:$B$400,0))),"")</f>
        <v/>
      </c>
    </row>
    <row r="111" ht="188" customHeight="1">
      <c r="B111" s="6" t="inlineStr">
        <is>
          <t>EN1(a)</t>
        </is>
      </c>
      <c r="C111" s="48" t="inlineStr">
        <is>
          <t>Enablers</t>
        </is>
      </c>
      <c r="D111" s="48" t="inlineStr">
        <is>
          <t>Enablers</t>
        </is>
      </c>
      <c r="E111" s="48" t="inlineStr">
        <is>
          <t>Evidence of sustainability outcomes informed by Indigenous knowledges</t>
        </is>
      </c>
      <c r="F111" s="7" t="inlineStr">
        <is>
          <t>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
In end-2025 reporting your faculty reported on the related SP2030 target 6a (see Column J – click [+] above Columns I–K).</t>
        </is>
      </c>
      <c r="G111" s="7" t="inlineStr">
        <is>
          <t>We will report on the ways Indigenous knowledges inform sustainability activities across the University, and develop selected examples into case studies with appropriate permissions.</t>
        </is>
      </c>
      <c r="H111" s="7" t="inlineStr">
        <is>
          <t>6a</t>
        </is>
      </c>
      <c r="I111" s="7" t="inlineStr">
        <is>
          <t>Partially met</t>
        </is>
      </c>
      <c r="J111" s="7" t="inlineStr">
        <is>
          <t>As noted above, the Native Plant Garden Living Lab offered  Indigenous knowledge sessions in 2025 (see LinkedIn Post), 
The Indigenous Futures subject ran for the first time in Sem 2 2025 and is a place-based learning program. The Sustainability Portfolio produced materials to support the development of
subjects with a focus on Learning on Country and place-based learning. This included scouting possible learning locations, conducting a literature review, and developing potential assignments. This work was drawn upon for this new subject in the Master of Education.</t>
        </is>
      </c>
      <c r="K111" s="7" t="inlineStr"/>
      <c r="L111" s="9">
        <f>IFERROR(IF(INDEX('[7]1. Reporting template'!$L$1:$L$400,MATCH($B111,'[7]1. Reporting template'!$B$1:$B$400,0))="","",INDEX('[7]1. Reporting template'!$L$1:$L$400,MATCH($B111,'[7]1. Reporting template'!$B$1:$B$400,0))),"")</f>
        <v/>
      </c>
      <c r="M111" s="9">
        <f>IFERROR(IF(INDEX('[7]1. Reporting template'!$M$1:$M$400,MATCH($B111,'[7]1. Reporting template'!$B$1:$B$400,0))="","",INDEX('[7]1. Reporting template'!$M$1:$M$400,MATCH($B111,'[7]1. Reporting template'!$B$1:$B$400,0))),"")</f>
        <v/>
      </c>
      <c r="N111" s="9">
        <f>IFERROR(IF(INDEX('[7]1. Reporting template'!$N$1:$N$400,MATCH($B111,'[7]1. Reporting template'!$B$1:$B$400,0))="","",INDEX('[7]1. Reporting template'!$N$1:$N$400,MATCH($B111,'[7]1. Reporting template'!$B$1:$B$400,0))),"")</f>
        <v/>
      </c>
      <c r="O111" s="9">
        <f>IFERROR(IF(INDEX('[7]1. Reporting template'!$O$1:$O$400,MATCH($B111,'[7]1. Reporting template'!$B$1:$B$400,0))="","",INDEX('[7]1. Reporting template'!$O$1:$O$400,MATCH($B111,'[7]1. Reporting template'!$B$1:$B$400,0))),"")</f>
        <v/>
      </c>
      <c r="P111" s="9">
        <f>IFERROR(IF(INDEX('[7]1. Reporting template'!$P$1:$P$400,MATCH($B111,'[7]1. Reporting template'!$B$1:$B$400,0))="","",INDEX('[7]1. Reporting template'!$P$1:$P$400,MATCH($B111,'[7]1. Reporting template'!$B$1:$B$400,0))),"")</f>
        <v/>
      </c>
      <c r="Q111" s="9">
        <f>IFERROR(IF(INDEX('[7]1. Reporting template'!$Q$1:$Q$400,MATCH($B111,'[7]1. Reporting template'!$B$1:$B$400,0))="","",INDEX('[7]1. Reporting template'!$Q$1:$Q$400,MATCH($B111,'[7]1. Reporting template'!$B$1:$B$400,0))),"")</f>
        <v/>
      </c>
    </row>
    <row r="112" ht="220" customHeight="1">
      <c r="B112" s="6" t="inlineStr">
        <is>
          <t>EN1(b)</t>
        </is>
      </c>
      <c r="C112" s="48" t="inlineStr">
        <is>
          <t>Enablers</t>
        </is>
      </c>
      <c r="D112" s="48" t="inlineStr">
        <is>
          <t>Enablers</t>
        </is>
      </c>
      <c r="E112" s="48" t="inlineStr">
        <is>
          <t>Living laboratories enabling applied learning, research and operational sustainability outcomes</t>
        </is>
      </c>
      <c r="F112" s="7" t="inlineStr">
        <is>
          <t>Please give any examples of sustainability-related living labs operating within your faculty in 2026 – their activities, who is involved (students, researchers, operational staff) and their outputs, outcomes or impact.
Please note, we will collect case studies on Campus Living Lab Accelerator Program projects directly from project owners - no need to include these.
In end-2025 reporting your faculty reported on the related SP2030 target 2a (see Column J – click [+] above Columns I–K).</t>
        </is>
      </c>
      <c r="G112" s="7" t="inlineStr">
        <is>
          <t>We will share examples of sustainability-related living labs from across the University in the 2026 Sustainability Report, alongside Campus Living Lab Accelerator Program case studies collected directly from project owners.</t>
        </is>
      </c>
      <c r="H112" s="7" t="inlineStr">
        <is>
          <t>2a</t>
        </is>
      </c>
      <c r="I112" s="7" t="inlineStr">
        <is>
          <t>Met or exceeded</t>
        </is>
      </c>
      <c r="J112" s="7" t="inlineStr">
        <is>
          <t>A Native Plant Garden has been opened on Level 4 of the Kwong Lee Dow Building led by Dr Emily Rochette and Steve Constatinos. With the support of the Student Experience team, a Campus Living Lab Accelerator application for $5000 to develop programs that make use of the garden has been successful. Activities included Indigenous knowledge sessions (see LinkedIn Post), embedding outdoor activities into classroom activities, and meditation/yoga sessions.
SWISP (Speculative Wanderings in Space and Place) Lab is an interdisciplinary critical futures living lab and speculative thinking consultancy. It seeks to speculate about reparative futures in the midst of climate collapse. Researchers entangle their research pathways in this collective to pose questions, break, disrupt and wander with/in multigenerational connected communities.</t>
        </is>
      </c>
      <c r="K112" s="7" t="inlineStr">
        <is>
          <t>https://www.linkedin.com/posts/education-unimelb_last-week-our-master-of-teaching-students-activity-7383652828826800128-Gt5A?utm_source=share&amp;utm_medium=member_desktop&amp;rcm=ACoAAA7RBAMBVZqN6gshAQPfw68ImPewn5oQx-w. 
FoE Sustainability Report
FoE Sustainability Webpage</t>
        </is>
      </c>
      <c r="L112" s="9">
        <f>IFERROR(IF(INDEX('[7]1. Reporting template'!$L$1:$L$400,MATCH($B112,'[7]1. Reporting template'!$B$1:$B$400,0))="","",INDEX('[7]1. Reporting template'!$L$1:$L$400,MATCH($B112,'[7]1. Reporting template'!$B$1:$B$400,0))),"")</f>
        <v/>
      </c>
      <c r="M112" s="9">
        <f>IFERROR(IF(INDEX('[7]1. Reporting template'!$M$1:$M$400,MATCH($B112,'[7]1. Reporting template'!$B$1:$B$400,0))="","",INDEX('[7]1. Reporting template'!$M$1:$M$400,MATCH($B112,'[7]1. Reporting template'!$B$1:$B$400,0))),"")</f>
        <v/>
      </c>
      <c r="N112" s="9">
        <f>IFERROR(IF(INDEX('[7]1. Reporting template'!$N$1:$N$400,MATCH($B112,'[7]1. Reporting template'!$B$1:$B$400,0))="","",INDEX('[7]1. Reporting template'!$N$1:$N$400,MATCH($B112,'[7]1. Reporting template'!$B$1:$B$400,0))),"")</f>
        <v/>
      </c>
      <c r="O112" s="9">
        <f>IFERROR(IF(INDEX('[7]1. Reporting template'!$O$1:$O$400,MATCH($B112,'[7]1. Reporting template'!$B$1:$B$400,0))="","",INDEX('[7]1. Reporting template'!$O$1:$O$400,MATCH($B112,'[7]1. Reporting template'!$B$1:$B$400,0))),"")</f>
        <v/>
      </c>
      <c r="P112" s="9">
        <f>IFERROR(IF(INDEX('[7]1. Reporting template'!$P$1:$P$400,MATCH($B112,'[7]1. Reporting template'!$B$1:$B$400,0))="","",INDEX('[7]1. Reporting template'!$P$1:$P$400,MATCH($B112,'[7]1. Reporting template'!$B$1:$B$400,0))),"")</f>
        <v/>
      </c>
      <c r="Q112" s="9">
        <f>IFERROR(IF(INDEX('[7]1. Reporting template'!$Q$1:$Q$400,MATCH($B112,'[7]1. Reporting template'!$B$1:$B$400,0))="","",INDEX('[7]1. Reporting template'!$Q$1:$Q$400,MATCH($B112,'[7]1. Reporting template'!$B$1:$B$400,0))),"")</f>
        <v/>
      </c>
    </row>
    <row r="113" ht="154" customHeight="1">
      <c r="B113" s="6" t="inlineStr">
        <is>
          <t>EN1(c)</t>
        </is>
      </c>
      <c r="C113" s="48" t="inlineStr">
        <is>
          <t>Enablers</t>
        </is>
      </c>
      <c r="D113" s="48" t="inlineStr">
        <is>
          <t>Enablers</t>
        </is>
      </c>
      <c r="E113" s="48" t="inlineStr">
        <is>
          <t>Coordinated internal engagement and external partnerships contributing to delivery of sustainability outcomes across priority areas.</t>
        </is>
      </c>
      <c r="F113" s="7" t="inlineStr">
        <is>
          <t>Please list the key sustainability-focused communities of practice, internal networks or external partnerships active in your faculty in 2026 (name, partners, priority area), and give any examples of activity that contributed to a Sustainability 2030 outcome.
In end-2025 reporting your faculty reported on the related SP2030 target 3a(ii) (see Column J – click [+] above Columns I–K).</t>
        </is>
      </c>
      <c r="G113" s="7" t="inlineStr">
        <is>
          <t>We will report on internal engagement and partnerships contributing to Sustainability 2030 outcomes, and update our record of sustainability-focused communities of practice and contacts across the University.</t>
        </is>
      </c>
      <c r="H113" s="7" t="inlineStr">
        <is>
          <t>3a(ii)</t>
        </is>
      </c>
      <c r="I113" s="7" t="inlineStr">
        <is>
          <t>Met or exceeded</t>
        </is>
      </c>
      <c r="J113" s="7" t="inlineStr">
        <is>
          <t>.
- FoE has a Sustainability Committee that is responsible for leading the implementation of the faculty's Sustainability Action Plan across the six main pillars including teaching and learning.N19
- MECCE Project  
- - SWISP Lab  - Reading Climate Project
- Promoting Education for Sustainable Development
- Sustainability Brigade
- Tricky Recyclables' Collections</t>
        </is>
      </c>
      <c r="K113" s="7" t="inlineStr">
        <is>
          <t>FoE Sustainability Learning and Teaching Guidance FoE Sustainability Report
FoE Sustainability Webpage</t>
        </is>
      </c>
      <c r="L113" s="9">
        <f>IFERROR(IF(INDEX('[7]1. Reporting template'!$L$1:$L$400,MATCH($B113,'[7]1. Reporting template'!$B$1:$B$400,0))="","",INDEX('[7]1. Reporting template'!$L$1:$L$400,MATCH($B113,'[7]1. Reporting template'!$B$1:$B$400,0))),"")</f>
        <v/>
      </c>
      <c r="M113" s="9">
        <f>IFERROR(IF(INDEX('[7]1. Reporting template'!$M$1:$M$400,MATCH($B113,'[7]1. Reporting template'!$B$1:$B$400,0))="","",INDEX('[7]1. Reporting template'!$M$1:$M$400,MATCH($B113,'[7]1. Reporting template'!$B$1:$B$400,0))),"")</f>
        <v/>
      </c>
      <c r="N113" s="9">
        <f>IFERROR(IF(INDEX('[7]1. Reporting template'!$N$1:$N$400,MATCH($B113,'[7]1. Reporting template'!$B$1:$B$400,0))="","",INDEX('[7]1. Reporting template'!$N$1:$N$400,MATCH($B113,'[7]1. Reporting template'!$B$1:$B$400,0))),"")</f>
        <v/>
      </c>
      <c r="O113" s="9">
        <f>IFERROR(IF(INDEX('[7]1. Reporting template'!$O$1:$O$400,MATCH($B113,'[7]1. Reporting template'!$B$1:$B$400,0))="","",INDEX('[7]1. Reporting template'!$O$1:$O$400,MATCH($B113,'[7]1. Reporting template'!$B$1:$B$400,0))),"")</f>
        <v/>
      </c>
      <c r="P113" s="9">
        <f>IFERROR(IF(INDEX('[7]1. Reporting template'!$P$1:$P$400,MATCH($B113,'[7]1. Reporting template'!$B$1:$B$400,0))="","",INDEX('[7]1. Reporting template'!$P$1:$P$400,MATCH($B113,'[7]1. Reporting template'!$B$1:$B$400,0))),"")</f>
        <v/>
      </c>
      <c r="Q113" s="9">
        <f>IFERROR(IF(INDEX('[7]1. Reporting template'!$Q$1:$Q$400,MATCH($B113,'[7]1. Reporting template'!$B$1:$B$400,0))="","",INDEX('[7]1. Reporting template'!$Q$1:$Q$400,MATCH($B113,'[7]1. Reporting template'!$B$1:$B$400,0))),"")</f>
        <v/>
      </c>
    </row>
    <row r="114"/>
    <row r="115"/>
    <row r="116" ht="39" customHeight="1">
      <c r="B116" s="43" t="inlineStr">
        <is>
          <t>1.8  MLS – Melbourne Law School</t>
        </is>
      </c>
    </row>
    <row r="117"/>
    <row r="118" ht="27" customHeight="1">
      <c r="C118" s="44" t="inlineStr">
        <is>
          <t>Sustainability 2030 target and indicator</t>
        </is>
      </c>
      <c r="H118" s="44" t="inlineStr">
        <is>
          <t>SR25 response</t>
        </is>
      </c>
      <c r="L118" s="45" t="inlineStr">
        <is>
          <t>End-2026 reporting (PLEASE COMPLETE THIS SECTION)</t>
        </is>
      </c>
    </row>
    <row r="119" ht="60" customHeight="1">
      <c r="B119" s="5" t="inlineStr">
        <is>
          <t>Ref</t>
        </is>
      </c>
      <c r="C119" s="5" t="inlineStr">
        <is>
          <t>Priority area</t>
        </is>
      </c>
      <c r="D119" s="5" t="inlineStr">
        <is>
          <t>Sustainability 2030 target</t>
        </is>
      </c>
      <c r="E119" s="5" t="inlineStr">
        <is>
          <t>Indicator</t>
        </is>
      </c>
      <c r="F119" s="5" t="inlineStr">
        <is>
          <t>2026 Reporting request</t>
        </is>
      </c>
      <c r="G119" s="5" t="inlineStr">
        <is>
          <t>How SST will use this data</t>
        </is>
      </c>
      <c r="H119" s="5" t="inlineStr">
        <is>
          <t>Related SR25 ref</t>
        </is>
      </c>
      <c r="I119" s="5" t="inlineStr">
        <is>
          <t>End-2025 confirmed status</t>
        </is>
      </c>
      <c r="J119" s="5" t="inlineStr">
        <is>
          <t>End-2025 reporting response</t>
        </is>
      </c>
      <c r="K119" s="5" t="inlineStr">
        <is>
          <t>Links and supporting information</t>
        </is>
      </c>
      <c r="L119" s="46" t="inlineStr">
        <is>
          <t>OPTION 1:  Target-level reporting (Column D)</t>
        </is>
      </c>
      <c r="M119" s="46" t="inlineStr">
        <is>
          <t>OPTION 2:  Indicator level reporting (Column E/F)</t>
        </is>
      </c>
      <c r="N119" s="46" t="inlineStr">
        <is>
          <t>Supporting information/comments</t>
        </is>
      </c>
      <c r="O119" s="46" t="inlineStr">
        <is>
          <t>Data source and limitations</t>
        </is>
      </c>
      <c r="P119" s="46" t="inlineStr">
        <is>
          <t>Data owner confirms information is accurate</t>
        </is>
      </c>
      <c r="Q119" s="46" t="inlineStr">
        <is>
          <t>Confirmed by (name, role, date)</t>
        </is>
      </c>
    </row>
    <row r="120" ht="81" customHeight="1">
      <c r="B120" s="47" t="inlineStr"/>
      <c r="C120" s="47" t="inlineStr"/>
      <c r="D120" s="47" t="inlineStr"/>
      <c r="E120" s="47" t="inlineStr"/>
      <c r="F120" s="47" t="inlineStr"/>
      <c r="G120" s="47" t="inlineStr"/>
      <c r="H120" s="47" t="inlineStr"/>
      <c r="I120" s="47" t="inlineStr"/>
      <c r="J120" s="47" t="inlineStr"/>
      <c r="K120" s="47" t="inlineStr"/>
      <c r="L120" s="47" t="inlineStr">
        <is>
          <t>A general update on activities in relation to the overarching target (Column D)</t>
        </is>
      </c>
      <c r="M120" s="47" t="inlineStr">
        <is>
          <t>Data and commentary in direct response to the reporting request (Column F)</t>
        </is>
      </c>
      <c r="N120" s="47" t="inlineStr">
        <is>
          <t>Any additional information (e.g. links, images, documents)</t>
        </is>
      </c>
      <c r="O120" s="47" t="inlineStr">
        <is>
          <t>Where did this information come from (system, report, survey, person)? Note any gaps or limitations.</t>
        </is>
      </c>
      <c r="P120" s="47" t="inlineStr">
        <is>
          <t>Select 'Yes' to confirm the information provided is accurate and can be used for reporting</t>
        </is>
      </c>
      <c r="Q120" s="47" t="inlineStr">
        <is>
          <t>Name, role and date of the person confirming</t>
        </is>
      </c>
    </row>
    <row r="121" ht="352" customHeight="1">
      <c r="B121" s="6" t="inlineStr">
        <is>
          <t>EE1(a)</t>
        </is>
      </c>
      <c r="C121" s="48" t="inlineStr">
        <is>
          <t>Exceptional education</t>
        </is>
      </c>
      <c r="D121" s="48" t="inlineStr">
        <is>
          <t>Provide our students with learning experiences that help them build the knowledge, skills and relationships to lead change for sustainable societies.</t>
        </is>
      </c>
      <c r="E121" s="48" t="inlineStr">
        <is>
          <t>Evidence of innovative approaches to sustainability teaching and learning</t>
        </is>
      </c>
      <c r="F121" s="7" t="inlineStr">
        <is>
          <t>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Please note that this indicator will be addressed at the joint Associate Deans Sustainability and Associate Deans Teaching and Learning session on 23 November 2026. Please feel free to summarise what your faculty presented at this session - further information is welcome but not required.
In end-2025 reporting your faculty reported on the related SP2030 target 4a(ii) (see Column J – click [+] above Columns I–K).</t>
        </is>
      </c>
      <c r="G121" s="7"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21" s="7" t="inlineStr">
        <is>
          <t>4a(ii)</t>
        </is>
      </c>
      <c r="I121" s="7" t="inlineStr">
        <is>
          <t>Partially met</t>
        </is>
      </c>
      <c r="J121" s="7" t="inlineStr">
        <is>
          <t>We have started the process in earnest to examine our sustainability in teaching through a collaborative process  of defining sustainability in law. Our Law School definition is ... Sustainability is about a future where community wellbeing is central to our economy, we have adapted to live within climatic conditions and ecological limits for current and future generations, and law and governance systems are fair and equitable.</t>
        </is>
      </c>
      <c r="K121" s="7" t="inlineStr"/>
      <c r="L121" s="9">
        <f>IFERROR(IF(INDEX('[8]1. Reporting template'!$L$1:$L$400,MATCH($B121,'[8]1. Reporting template'!$B$1:$B$400,0))="","",INDEX('[8]1. Reporting template'!$L$1:$L$400,MATCH($B121,'[8]1. Reporting template'!$B$1:$B$400,0))),"")</f>
        <v/>
      </c>
      <c r="M121" s="9">
        <f>IFERROR(IF(INDEX('[8]1. Reporting template'!$M$1:$M$400,MATCH($B121,'[8]1. Reporting template'!$B$1:$B$400,0))="","",INDEX('[8]1. Reporting template'!$M$1:$M$400,MATCH($B121,'[8]1. Reporting template'!$B$1:$B$400,0))),"")</f>
        <v/>
      </c>
      <c r="N121" s="9">
        <f>IFERROR(IF(INDEX('[8]1. Reporting template'!$N$1:$N$400,MATCH($B121,'[8]1. Reporting template'!$B$1:$B$400,0))="","",INDEX('[8]1. Reporting template'!$N$1:$N$400,MATCH($B121,'[8]1. Reporting template'!$B$1:$B$400,0))),"")</f>
        <v/>
      </c>
      <c r="O121" s="9">
        <f>IFERROR(IF(INDEX('[8]1. Reporting template'!$O$1:$O$400,MATCH($B121,'[8]1. Reporting template'!$B$1:$B$400,0))="","",INDEX('[8]1. Reporting template'!$O$1:$O$400,MATCH($B121,'[8]1. Reporting template'!$B$1:$B$400,0))),"")</f>
        <v/>
      </c>
      <c r="P121" s="9">
        <f>IFERROR(IF(INDEX('[8]1. Reporting template'!$P$1:$P$400,MATCH($B121,'[8]1. Reporting template'!$B$1:$B$400,0))="","",INDEX('[8]1. Reporting template'!$P$1:$P$400,MATCH($B121,'[8]1. Reporting template'!$B$1:$B$400,0))),"")</f>
        <v/>
      </c>
      <c r="Q121" s="9">
        <f>IFERROR(IF(INDEX('[8]1. Reporting template'!$Q$1:$Q$400,MATCH($B121,'[8]1. Reporting template'!$B$1:$B$400,0))="","",INDEX('[8]1. Reporting template'!$Q$1:$Q$400,MATCH($B121,'[8]1. Reporting template'!$B$1:$B$400,0))),"")</f>
        <v/>
      </c>
    </row>
    <row r="122" ht="188" customHeight="1">
      <c r="B122" s="6" t="inlineStr">
        <is>
          <t>EE1(b)</t>
        </is>
      </c>
      <c r="C122" s="48" t="inlineStr">
        <is>
          <t>Exceptional education</t>
        </is>
      </c>
      <c r="D122" s="48" t="inlineStr">
        <is>
          <t>Provide our students with learning experiences that help them build the knowledge, skills and relationships to lead change for sustainable societies.</t>
        </is>
      </c>
      <c r="E122" s="48" t="inlineStr">
        <is>
          <t>Pilots of possible approaches for understanding and developing students’ sustainability self-efficacy</t>
        </is>
      </c>
      <c r="F122" s="7"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122" s="7" t="inlineStr">
        <is>
          <t>This is a new indicator. We will use responses to establish a baseline of how (and whether) faculties are understanding student sustainability self-efficacy, and report on early pilots in the 2026 Sustainability Report. A nil response is useful to us.</t>
        </is>
      </c>
      <c r="H122" s="7" t="inlineStr">
        <is>
          <t>N/A – new indicator</t>
        </is>
      </c>
      <c r="I122" s="7" t="inlineStr"/>
      <c r="J122" s="7" t="inlineStr"/>
      <c r="K122" s="7" t="inlineStr"/>
      <c r="L122" s="9">
        <f>IFERROR(IF(INDEX('[8]1. Reporting template'!$L$1:$L$400,MATCH($B122,'[8]1. Reporting template'!$B$1:$B$400,0))="","",INDEX('[8]1. Reporting template'!$L$1:$L$400,MATCH($B122,'[8]1. Reporting template'!$B$1:$B$400,0))),"")</f>
        <v/>
      </c>
      <c r="M122" s="9">
        <f>IFERROR(IF(INDEX('[8]1. Reporting template'!$M$1:$M$400,MATCH($B122,'[8]1. Reporting template'!$B$1:$B$400,0))="","",INDEX('[8]1. Reporting template'!$M$1:$M$400,MATCH($B122,'[8]1. Reporting template'!$B$1:$B$400,0))),"")</f>
        <v/>
      </c>
      <c r="N122" s="9">
        <f>IFERROR(IF(INDEX('[8]1. Reporting template'!$N$1:$N$400,MATCH($B122,'[8]1. Reporting template'!$B$1:$B$400,0))="","",INDEX('[8]1. Reporting template'!$N$1:$N$400,MATCH($B122,'[8]1. Reporting template'!$B$1:$B$400,0))),"")</f>
        <v/>
      </c>
      <c r="O122" s="9">
        <f>IFERROR(IF(INDEX('[8]1. Reporting template'!$O$1:$O$400,MATCH($B122,'[8]1. Reporting template'!$B$1:$B$400,0))="","",INDEX('[8]1. Reporting template'!$O$1:$O$400,MATCH($B122,'[8]1. Reporting template'!$B$1:$B$400,0))),"")</f>
        <v/>
      </c>
      <c r="P122" s="9">
        <f>IFERROR(IF(INDEX('[8]1. Reporting template'!$P$1:$P$400,MATCH($B122,'[8]1. Reporting template'!$B$1:$B$400,0))="","",INDEX('[8]1. Reporting template'!$P$1:$P$400,MATCH($B122,'[8]1. Reporting template'!$B$1:$B$400,0))),"")</f>
        <v/>
      </c>
      <c r="Q122" s="9">
        <f>IFERROR(IF(INDEX('[8]1. Reporting template'!$Q$1:$Q$400,MATCH($B122,'[8]1. Reporting template'!$B$1:$B$400,0))="","",INDEX('[8]1. Reporting template'!$Q$1:$Q$400,MATCH($B122,'[8]1. Reporting template'!$B$1:$B$400,0))),"")</f>
        <v/>
      </c>
    </row>
    <row r="123" ht="270" customHeight="1">
      <c r="B123" s="6" t="inlineStr">
        <is>
          <t>TR1(a)</t>
        </is>
      </c>
      <c r="C123" s="48" t="inlineStr">
        <is>
          <t>Transformational research</t>
        </is>
      </c>
      <c r="D123" s="48" t="inlineStr">
        <is>
          <t>Utilise the expertise of the University’s researchers through mutually beneficial partnerships to help address the University’s operational sustainability challenges.</t>
        </is>
      </c>
      <c r="E123" s="48" t="inlineStr">
        <is>
          <t>Expert-reviewed evidence of researchers contributing to operational sustainability priorities through partnerships, advisory input, living labs, applied projects or decision-support</t>
        </is>
      </c>
      <c r="F123" s="7" t="inlineStr">
        <is>
          <t>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Please note, we will collect case studies on Campus Living Lab Accelerator Program projects directly from project owners - no need to include these.
In end-2025 reporting your faculty reported on the related SP2030 target 2a (see Column J – click [+] above Columns I–K).</t>
        </is>
      </c>
      <c r="G123" s="7" t="inlineStr">
        <is>
          <t>We will report on examples of researchers helping solve the University's own operational sustainability challenges, alongside Campus Living Lab Accelerator Program case studies collected directly from project owners, and share them with operational teams to identify further collaboration.</t>
        </is>
      </c>
      <c r="H123" s="7" t="inlineStr">
        <is>
          <t>2a</t>
        </is>
      </c>
      <c r="I123" s="7" t="inlineStr">
        <is>
          <t>Partially met</t>
        </is>
      </c>
      <c r="J123" s="7" t="inlineStr">
        <is>
          <t>In the absence of an endorsed lab structure, we have focussed on a lab-like experience within our Melbourne Law Clinics program. We have increased our clinical subject offerings providing students with more opportunities to gain real-world practical experience in sustainability-related areas.  These include: (1) the climate resilience clinic; (2) the law and the environment lab, (3) the sustainability business clinic; and (4) Indigenous legal advocacy.  In addition, there is an Independent Legal Internship option that allows students to select specific sustainability-related practical learning options with partner organisations.
We can provide details of ourt clinics upon request. We have completed an SDG analysis of all clinics (available upon request), which we will post to our law clinics bliog. See: https://blogs.unimelb.edu.au/law-clinics/</t>
        </is>
      </c>
      <c r="K123" s="7" t="inlineStr">
        <is>
          <t>Clinical subjects: https://law.unimelb.edu.au/students/jd/enrichment/mls-clinics/subjects</t>
        </is>
      </c>
      <c r="L123" s="9">
        <f>IFERROR(IF(INDEX('[8]1. Reporting template'!$L$1:$L$400,MATCH($B123,'[8]1. Reporting template'!$B$1:$B$400,0))="","",INDEX('[8]1. Reporting template'!$L$1:$L$400,MATCH($B123,'[8]1. Reporting template'!$B$1:$B$400,0))),"")</f>
        <v/>
      </c>
      <c r="M123" s="9">
        <f>IFERROR(IF(INDEX('[8]1. Reporting template'!$M$1:$M$400,MATCH($B123,'[8]1. Reporting template'!$B$1:$B$400,0))="","",INDEX('[8]1. Reporting template'!$M$1:$M$400,MATCH($B123,'[8]1. Reporting template'!$B$1:$B$400,0))),"")</f>
        <v/>
      </c>
      <c r="N123" s="9">
        <f>IFERROR(IF(INDEX('[8]1. Reporting template'!$N$1:$N$400,MATCH($B123,'[8]1. Reporting template'!$B$1:$B$400,0))="","",INDEX('[8]1. Reporting template'!$N$1:$N$400,MATCH($B123,'[8]1. Reporting template'!$B$1:$B$400,0))),"")</f>
        <v/>
      </c>
      <c r="O123" s="9">
        <f>IFERROR(IF(INDEX('[8]1. Reporting template'!$O$1:$O$400,MATCH($B123,'[8]1. Reporting template'!$B$1:$B$400,0))="","",INDEX('[8]1. Reporting template'!$O$1:$O$400,MATCH($B123,'[8]1. Reporting template'!$B$1:$B$400,0))),"")</f>
        <v/>
      </c>
      <c r="P123" s="9">
        <f>IFERROR(IF(INDEX('[8]1. Reporting template'!$P$1:$P$400,MATCH($B123,'[8]1. Reporting template'!$B$1:$B$400,0))="","",INDEX('[8]1. Reporting template'!$P$1:$P$400,MATCH($B123,'[8]1. Reporting template'!$B$1:$B$400,0))),"")</f>
        <v/>
      </c>
      <c r="Q123" s="9">
        <f>IFERROR(IF(INDEX('[8]1. Reporting template'!$Q$1:$Q$400,MATCH($B123,'[8]1. Reporting template'!$B$1:$B$400,0))="","",INDEX('[8]1. Reporting template'!$Q$1:$Q$400,MATCH($B123,'[8]1. Reporting template'!$B$1:$B$400,0))),"")</f>
        <v/>
      </c>
    </row>
    <row r="124" ht="270" customHeight="1">
      <c r="B124" s="6" t="inlineStr">
        <is>
          <t>TR2(a)</t>
        </is>
      </c>
      <c r="C124" s="48" t="inlineStr">
        <is>
          <t>Transformational research</t>
        </is>
      </c>
      <c r="D124" s="48" t="inlineStr">
        <is>
          <t>Deliver high-quality research and partnerships that contribute to sustainability outcomes and demonstrable societal benefit.</t>
        </is>
      </c>
      <c r="E124" s="48" t="inlineStr">
        <is>
          <t>Evidence of sustainability-related research impact across diverse pathways, could include policy, industry, community, practice, cultural and institutional outcomes</t>
        </is>
      </c>
      <c r="F124" s="7" t="inlineStr">
        <is>
          <t>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Melbourne Research and Enterprise (MRE) – publication counts are not required.
In end-2025 reporting your faculty reported on the related SP2030 target 5b(i) (see Column J – click [+] above Columns I–K).</t>
        </is>
      </c>
      <c r="G124" s="7" t="inlineStr">
        <is>
          <t>We will collate research impact examples across faculties to show the breadth of sustainability-related research impact in the Transformational research section of the 2026 Sustainability Report, complementing University-wide metrics from Melbourne Research and Enterprise (MRE).</t>
        </is>
      </c>
      <c r="H124" s="7" t="inlineStr">
        <is>
          <t>5b(i)</t>
        </is>
      </c>
      <c r="I124" s="7" t="inlineStr">
        <is>
          <t>Met or exceeded</t>
        </is>
      </c>
      <c r="J124" s="7" t="inlineStr">
        <is>
          <t>Melbourne Law School holds numerous sustainability-related research seminars and other events, particularly through the Melbourne Centre for Law and the Environment.  Several video recordings were made in 2025 showcasing Melbourne Law School research in sustainability areas; these recordings will be posted on social media and used in the Law Building to showcase our profile in sustainability-driven research.</t>
        </is>
      </c>
      <c r="K124" s="7" t="inlineStr">
        <is>
          <t>Examples of sustainability-related seminars and other events (including recordings): https://law.unimelb.edu.au/centres/mcle/news-and-events</t>
        </is>
      </c>
      <c r="L124" s="9">
        <f>IFERROR(IF(INDEX('[8]1. Reporting template'!$L$1:$L$400,MATCH($B124,'[8]1. Reporting template'!$B$1:$B$400,0))="","",INDEX('[8]1. Reporting template'!$L$1:$L$400,MATCH($B124,'[8]1. Reporting template'!$B$1:$B$400,0))),"")</f>
        <v/>
      </c>
      <c r="M124" s="9">
        <f>IFERROR(IF(INDEX('[8]1. Reporting template'!$M$1:$M$400,MATCH($B124,'[8]1. Reporting template'!$B$1:$B$400,0))="","",INDEX('[8]1. Reporting template'!$M$1:$M$400,MATCH($B124,'[8]1. Reporting template'!$B$1:$B$400,0))),"")</f>
        <v/>
      </c>
      <c r="N124" s="9">
        <f>IFERROR(IF(INDEX('[8]1. Reporting template'!$N$1:$N$400,MATCH($B124,'[8]1. Reporting template'!$B$1:$B$400,0))="","",INDEX('[8]1. Reporting template'!$N$1:$N$400,MATCH($B124,'[8]1. Reporting template'!$B$1:$B$400,0))),"")</f>
        <v/>
      </c>
      <c r="O124" s="9">
        <f>IFERROR(IF(INDEX('[8]1. Reporting template'!$O$1:$O$400,MATCH($B124,'[8]1. Reporting template'!$B$1:$B$400,0))="","",INDEX('[8]1. Reporting template'!$O$1:$O$400,MATCH($B124,'[8]1. Reporting template'!$B$1:$B$400,0))),"")</f>
        <v/>
      </c>
      <c r="P124" s="9">
        <f>IFERROR(IF(INDEX('[8]1. Reporting template'!$P$1:$P$400,MATCH($B124,'[8]1. Reporting template'!$B$1:$B$400,0))="","",INDEX('[8]1. Reporting template'!$P$1:$P$400,MATCH($B124,'[8]1. Reporting template'!$B$1:$B$400,0))),"")</f>
        <v/>
      </c>
      <c r="Q124" s="9">
        <f>IFERROR(IF(INDEX('[8]1. Reporting template'!$Q$1:$Q$400,MATCH($B124,'[8]1. Reporting template'!$B$1:$B$400,0))="","",INDEX('[8]1. Reporting template'!$Q$1:$Q$400,MATCH($B124,'[8]1. Reporting template'!$B$1:$B$400,0))),"")</f>
        <v/>
      </c>
    </row>
    <row r="125" ht="237" customHeight="1">
      <c r="B125" s="6" t="inlineStr">
        <is>
          <t>TR2(d)</t>
        </is>
      </c>
      <c r="C125" s="48" t="inlineStr">
        <is>
          <t>Transformational research</t>
        </is>
      </c>
      <c r="D125" s="48" t="inlineStr">
        <is>
          <t>Deliver high-quality research and partnerships that contribute to sustainability outcomes and demonstrable societal benefit.</t>
        </is>
      </c>
      <c r="E125" s="48" t="inlineStr">
        <is>
          <t>Case-based evidence demonstrating how research has contributed to meaningful sustainability outcomes.</t>
        </is>
      </c>
      <c r="F125" s="7" t="inlineStr">
        <is>
          <t>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
In end-2025 reporting your faculty reported on the related SP2030 target 5b(i) (see Column J – click [+] above Columns I–K).</t>
        </is>
      </c>
      <c r="G125" s="7" t="inlineStr">
        <is>
          <t>We will select the strongest examples to develop as full research case studies for the 2026 Sustainability Report (we may contact you for more detail and images).</t>
        </is>
      </c>
      <c r="H125" s="7" t="inlineStr">
        <is>
          <t>5b(i)</t>
        </is>
      </c>
      <c r="I125" s="7" t="inlineStr">
        <is>
          <t>Met or exceeded</t>
        </is>
      </c>
      <c r="J125" s="7" t="inlineStr">
        <is>
          <t>Melbourne Law School holds numerous sustainability-related research seminars and other events, particularly through the Melbourne Centre for Law and the Environment.  Several video recordings were made in 2025 showcasing Melbourne Law School research in sustainability areas; these recordings will be posted on social media and used in the Law Building to showcase our profile in sustainability-driven research.</t>
        </is>
      </c>
      <c r="K125" s="7" t="inlineStr">
        <is>
          <t>Examples of sustainability-related seminars and other events (including recordings): https://law.unimelb.edu.au/centres/mcle/news-and-events</t>
        </is>
      </c>
      <c r="L125" s="9">
        <f>IFERROR(IF(INDEX('[8]1. Reporting template'!$L$1:$L$400,MATCH($B125,'[8]1. Reporting template'!$B$1:$B$400,0))="","",INDEX('[8]1. Reporting template'!$L$1:$L$400,MATCH($B125,'[8]1. Reporting template'!$B$1:$B$400,0))),"")</f>
        <v/>
      </c>
      <c r="M125" s="9">
        <f>IFERROR(IF(INDEX('[8]1. Reporting template'!$M$1:$M$400,MATCH($B125,'[8]1. Reporting template'!$B$1:$B$400,0))="","",INDEX('[8]1. Reporting template'!$M$1:$M$400,MATCH($B125,'[8]1. Reporting template'!$B$1:$B$400,0))),"")</f>
        <v/>
      </c>
      <c r="N125" s="9">
        <f>IFERROR(IF(INDEX('[8]1. Reporting template'!$N$1:$N$400,MATCH($B125,'[8]1. Reporting template'!$B$1:$B$400,0))="","",INDEX('[8]1. Reporting template'!$N$1:$N$400,MATCH($B125,'[8]1. Reporting template'!$B$1:$B$400,0))),"")</f>
        <v/>
      </c>
      <c r="O125" s="9">
        <f>IFERROR(IF(INDEX('[8]1. Reporting template'!$O$1:$O$400,MATCH($B125,'[8]1. Reporting template'!$B$1:$B$400,0))="","",INDEX('[8]1. Reporting template'!$O$1:$O$400,MATCH($B125,'[8]1. Reporting template'!$B$1:$B$400,0))),"")</f>
        <v/>
      </c>
      <c r="P125" s="9">
        <f>IFERROR(IF(INDEX('[8]1. Reporting template'!$P$1:$P$400,MATCH($B125,'[8]1. Reporting template'!$B$1:$B$400,0))="","",INDEX('[8]1. Reporting template'!$P$1:$P$400,MATCH($B125,'[8]1. Reporting template'!$B$1:$B$400,0))),"")</f>
        <v/>
      </c>
      <c r="Q125" s="9">
        <f>IFERROR(IF(INDEX('[8]1. Reporting template'!$Q$1:$Q$400,MATCH($B125,'[8]1. Reporting template'!$B$1:$B$400,0))="","",INDEX('[8]1. Reporting template'!$Q$1:$Q$400,MATCH($B125,'[8]1. Reporting template'!$B$1:$B$400,0))),"")</f>
        <v/>
      </c>
    </row>
    <row r="126" ht="188" customHeight="1">
      <c r="B126" s="6" t="inlineStr">
        <is>
          <t>TR3(b)</t>
        </is>
      </c>
      <c r="C126" s="48" t="inlineStr">
        <is>
          <t>Transformational research</t>
        </is>
      </c>
      <c r="D126" s="48" t="inlineStr">
        <is>
          <t>Embed sustainability within research systems, processes, capability and culture, so research is conducted responsibly, efficiently and with reduced environmental impact.</t>
        </is>
      </c>
      <c r="E126" s="48" t="inlineStr">
        <is>
          <t>Demonstrated examples of more sustainable research practices in laboratories, fieldwork, procurement, travel or infrastructure use</t>
        </is>
      </c>
      <c r="F126" s="7" t="inlineStr">
        <is>
          <t>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
In end-2025 reporting your faculty reported on the related SP2030 target 5c(ii) (see Column J – click [+] above Columns I–K).</t>
        </is>
      </c>
      <c r="G126" s="7" t="inlineStr">
        <is>
          <t>We will report on ways the University is making research practices more sustainable in the 2026 Sustainability Report, and share practical examples (e.g. green labs) across faculties.</t>
        </is>
      </c>
      <c r="H126" s="7" t="inlineStr">
        <is>
          <t>5c(ii)</t>
        </is>
      </c>
      <c r="I126" s="7" t="inlineStr">
        <is>
          <t>Met or exceeded</t>
        </is>
      </c>
      <c r="J126" s="7" t="inlineStr">
        <is>
          <t>See above regarding travel. We did an analysis of our research, and the most notable environmental impact of our work relates to travel emissions. We have also built on the university's sustainability events guide for the purpose of developing a check list of sustainability facets for conferences, and are using the imminnent Frontiers of Australiuan Environmental Law Conference to test the check-list.
We can priovide a copy of the sustianability check list upon request.</t>
        </is>
      </c>
      <c r="K126" s="7" t="inlineStr"/>
      <c r="L126" s="9">
        <f>IFERROR(IF(INDEX('[8]1. Reporting template'!$L$1:$L$400,MATCH($B126,'[8]1. Reporting template'!$B$1:$B$400,0))="","",INDEX('[8]1. Reporting template'!$L$1:$L$400,MATCH($B126,'[8]1. Reporting template'!$B$1:$B$400,0))),"")</f>
        <v/>
      </c>
      <c r="M126" s="9">
        <f>IFERROR(IF(INDEX('[8]1. Reporting template'!$M$1:$M$400,MATCH($B126,'[8]1. Reporting template'!$B$1:$B$400,0))="","",INDEX('[8]1. Reporting template'!$M$1:$M$400,MATCH($B126,'[8]1. Reporting template'!$B$1:$B$400,0))),"")</f>
        <v/>
      </c>
      <c r="N126" s="9">
        <f>IFERROR(IF(INDEX('[8]1. Reporting template'!$N$1:$N$400,MATCH($B126,'[8]1. Reporting template'!$B$1:$B$400,0))="","",INDEX('[8]1. Reporting template'!$N$1:$N$400,MATCH($B126,'[8]1. Reporting template'!$B$1:$B$400,0))),"")</f>
        <v/>
      </c>
      <c r="O126" s="9">
        <f>IFERROR(IF(INDEX('[8]1. Reporting template'!$O$1:$O$400,MATCH($B126,'[8]1. Reporting template'!$B$1:$B$400,0))="","",INDEX('[8]1. Reporting template'!$O$1:$O$400,MATCH($B126,'[8]1. Reporting template'!$B$1:$B$400,0))),"")</f>
        <v/>
      </c>
      <c r="P126" s="9">
        <f>IFERROR(IF(INDEX('[8]1. Reporting template'!$P$1:$P$400,MATCH($B126,'[8]1. Reporting template'!$B$1:$B$400,0))="","",INDEX('[8]1. Reporting template'!$P$1:$P$400,MATCH($B126,'[8]1. Reporting template'!$B$1:$B$400,0))),"")</f>
        <v/>
      </c>
      <c r="Q126" s="9">
        <f>IFERROR(IF(INDEX('[8]1. Reporting template'!$Q$1:$Q$400,MATCH($B126,'[8]1. Reporting template'!$B$1:$B$400,0))="","",INDEX('[8]1. Reporting template'!$Q$1:$Q$400,MATCH($B126,'[8]1. Reporting template'!$B$1:$B$400,0))),"")</f>
        <v/>
      </c>
    </row>
    <row r="127" ht="188" customHeight="1">
      <c r="B127" s="6" t="inlineStr">
        <is>
          <t>EN1(a)</t>
        </is>
      </c>
      <c r="C127" s="48" t="inlineStr">
        <is>
          <t>Enablers</t>
        </is>
      </c>
      <c r="D127" s="48" t="inlineStr">
        <is>
          <t>Enablers</t>
        </is>
      </c>
      <c r="E127" s="48" t="inlineStr">
        <is>
          <t>Evidence of sustainability outcomes informed by Indigenous knowledges</t>
        </is>
      </c>
      <c r="F127" s="7" t="inlineStr">
        <is>
          <t>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
In end-2025 reporting your faculty reported on the related SP2030 target 6a (see Column J – click [+] above Columns I–K).</t>
        </is>
      </c>
      <c r="G127" s="7" t="inlineStr">
        <is>
          <t>We will report on the ways Indigenous knowledges inform sustainability activities across the University, and develop selected examples into case studies with appropriate permissions.</t>
        </is>
      </c>
      <c r="H127" s="7" t="inlineStr">
        <is>
          <t>6a</t>
        </is>
      </c>
      <c r="I127" s="7" t="inlineStr">
        <is>
          <t>Met or exceeded</t>
        </is>
      </c>
      <c r="J127" s="7" t="inlineStr">
        <is>
          <t>Melbourne Law School offers specialised On-Country learning experiences and subjects, primarily through its Indigenous Law and Justice Hub, focusing on Indigenous legal systems, sovereignty, and access to justice. These subjects involve on-site, land-based learning, dialogue with Traditional Owners, and engagement with Indigenous organizations. Key themes include Native Title, Treaties, legal traditions, and addressing systemic barriers to justice for First Nations people. Key offerings include: 'Access to Justice on Country' (held on Larrakia Country) and ‘Indigenous Law in Aotearoa and Australia'.
In addition, the Law School offers an Indigenous Legal Advocacy Clinic, focusing on practical legal advocacy, and the Indigenous Law and Justice Hub provides resources, research, and seminars on Indigenous legal interests, including the 'White Noise of Settler Law' podcast. 
These subjects and learning opportunities form part of the broader JD and Melbourne Law Masters curriculum aiming to ground legal study in Indigenous knowledges and perspectives.</t>
        </is>
      </c>
      <c r="K127" s="7" t="inlineStr">
        <is>
          <t>https://law.unimelb.edu.au/iljh/teaching</t>
        </is>
      </c>
      <c r="L127" s="9">
        <f>IFERROR(IF(INDEX('[8]1. Reporting template'!$L$1:$L$400,MATCH($B127,'[8]1. Reporting template'!$B$1:$B$400,0))="","",INDEX('[8]1. Reporting template'!$L$1:$L$400,MATCH($B127,'[8]1. Reporting template'!$B$1:$B$400,0))),"")</f>
        <v/>
      </c>
      <c r="M127" s="9">
        <f>IFERROR(IF(INDEX('[8]1. Reporting template'!$M$1:$M$400,MATCH($B127,'[8]1. Reporting template'!$B$1:$B$400,0))="","",INDEX('[8]1. Reporting template'!$M$1:$M$400,MATCH($B127,'[8]1. Reporting template'!$B$1:$B$400,0))),"")</f>
        <v/>
      </c>
      <c r="N127" s="9">
        <f>IFERROR(IF(INDEX('[8]1. Reporting template'!$N$1:$N$400,MATCH($B127,'[8]1. Reporting template'!$B$1:$B$400,0))="","",INDEX('[8]1. Reporting template'!$N$1:$N$400,MATCH($B127,'[8]1. Reporting template'!$B$1:$B$400,0))),"")</f>
        <v/>
      </c>
      <c r="O127" s="9">
        <f>IFERROR(IF(INDEX('[8]1. Reporting template'!$O$1:$O$400,MATCH($B127,'[8]1. Reporting template'!$B$1:$B$400,0))="","",INDEX('[8]1. Reporting template'!$O$1:$O$400,MATCH($B127,'[8]1. Reporting template'!$B$1:$B$400,0))),"")</f>
        <v/>
      </c>
      <c r="P127" s="9">
        <f>IFERROR(IF(INDEX('[8]1. Reporting template'!$P$1:$P$400,MATCH($B127,'[8]1. Reporting template'!$B$1:$B$400,0))="","",INDEX('[8]1. Reporting template'!$P$1:$P$400,MATCH($B127,'[8]1. Reporting template'!$B$1:$B$400,0))),"")</f>
        <v/>
      </c>
      <c r="Q127" s="9">
        <f>IFERROR(IF(INDEX('[8]1. Reporting template'!$Q$1:$Q$400,MATCH($B127,'[8]1. Reporting template'!$B$1:$B$400,0))="","",INDEX('[8]1. Reporting template'!$Q$1:$Q$400,MATCH($B127,'[8]1. Reporting template'!$B$1:$B$400,0))),"")</f>
        <v/>
      </c>
    </row>
    <row r="128" ht="220" customHeight="1">
      <c r="B128" s="6" t="inlineStr">
        <is>
          <t>EN1(b)</t>
        </is>
      </c>
      <c r="C128" s="48" t="inlineStr">
        <is>
          <t>Enablers</t>
        </is>
      </c>
      <c r="D128" s="48" t="inlineStr">
        <is>
          <t>Enablers</t>
        </is>
      </c>
      <c r="E128" s="48" t="inlineStr">
        <is>
          <t>Living laboratories enabling applied learning, research and operational sustainability outcomes</t>
        </is>
      </c>
      <c r="F128" s="7" t="inlineStr">
        <is>
          <t>Please give any examples of sustainability-related living labs operating within your faculty in 2026 – their activities, who is involved (students, researchers, operational staff) and their outputs, outcomes or impact.
Please note, we will collect case studies on Campus Living Lab Accelerator Program projects directly from project owners - no need to include these.
In end-2025 reporting your faculty reported on the related SP2030 target 2a (see Column J – click [+] above Columns I–K).</t>
        </is>
      </c>
      <c r="G128" s="7" t="inlineStr">
        <is>
          <t>We will share examples of sustainability-related living labs from across the University in the 2026 Sustainability Report, alongside Campus Living Lab Accelerator Program case studies collected directly from project owners.</t>
        </is>
      </c>
      <c r="H128" s="7" t="inlineStr">
        <is>
          <t>2a</t>
        </is>
      </c>
      <c r="I128" s="7" t="inlineStr">
        <is>
          <t>Partially met</t>
        </is>
      </c>
      <c r="J128" s="7" t="inlineStr">
        <is>
          <t>In the absence of an endorsed lab structure, we have focussed on a lab-like experience within our Melbourne Law Clinics program. We have increased our clinical subject offerings providing students with more opportunities to gain real-world practical experience in sustainability-related areas.  These include: (1) the climate resilience clinic; (2) the law and the environment lab, (3) the sustainability business clinic; and (4) Indigenous legal advocacy.  In addition, there is an Independent Legal Internship option that allows students to select specific sustainability-related practical learning options with partner organisations.
We can provide details of ourt clinics upon request. We have completed an SDG analysis of all clinics (available upon request), which we will post to our law clinics bliog. See: https://blogs.unimelb.edu.au/law-clinics/</t>
        </is>
      </c>
      <c r="K128" s="7" t="inlineStr">
        <is>
          <t>Clinical subjects: https://law.unimelb.edu.au/students/jd/enrichment/mls-clinics/subjects</t>
        </is>
      </c>
      <c r="L128" s="9">
        <f>IFERROR(IF(INDEX('[8]1. Reporting template'!$L$1:$L$400,MATCH($B128,'[8]1. Reporting template'!$B$1:$B$400,0))="","",INDEX('[8]1. Reporting template'!$L$1:$L$400,MATCH($B128,'[8]1. Reporting template'!$B$1:$B$400,0))),"")</f>
        <v/>
      </c>
      <c r="M128" s="9">
        <f>IFERROR(IF(INDEX('[8]1. Reporting template'!$M$1:$M$400,MATCH($B128,'[8]1. Reporting template'!$B$1:$B$400,0))="","",INDEX('[8]1. Reporting template'!$M$1:$M$400,MATCH($B128,'[8]1. Reporting template'!$B$1:$B$400,0))),"")</f>
        <v/>
      </c>
      <c r="N128" s="9">
        <f>IFERROR(IF(INDEX('[8]1. Reporting template'!$N$1:$N$400,MATCH($B128,'[8]1. Reporting template'!$B$1:$B$400,0))="","",INDEX('[8]1. Reporting template'!$N$1:$N$400,MATCH($B128,'[8]1. Reporting template'!$B$1:$B$400,0))),"")</f>
        <v/>
      </c>
      <c r="O128" s="9">
        <f>IFERROR(IF(INDEX('[8]1. Reporting template'!$O$1:$O$400,MATCH($B128,'[8]1. Reporting template'!$B$1:$B$400,0))="","",INDEX('[8]1. Reporting template'!$O$1:$O$400,MATCH($B128,'[8]1. Reporting template'!$B$1:$B$400,0))),"")</f>
        <v/>
      </c>
      <c r="P128" s="9">
        <f>IFERROR(IF(INDEX('[8]1. Reporting template'!$P$1:$P$400,MATCH($B128,'[8]1. Reporting template'!$B$1:$B$400,0))="","",INDEX('[8]1. Reporting template'!$P$1:$P$400,MATCH($B128,'[8]1. Reporting template'!$B$1:$B$400,0))),"")</f>
        <v/>
      </c>
      <c r="Q128" s="9">
        <f>IFERROR(IF(INDEX('[8]1. Reporting template'!$Q$1:$Q$400,MATCH($B128,'[8]1. Reporting template'!$B$1:$B$400,0))="","",INDEX('[8]1. Reporting template'!$Q$1:$Q$400,MATCH($B128,'[8]1. Reporting template'!$B$1:$B$400,0))),"")</f>
        <v/>
      </c>
    </row>
    <row r="129" ht="154" customHeight="1">
      <c r="B129" s="6" t="inlineStr">
        <is>
          <t>EN1(c)</t>
        </is>
      </c>
      <c r="C129" s="48" t="inlineStr">
        <is>
          <t>Enablers</t>
        </is>
      </c>
      <c r="D129" s="48" t="inlineStr">
        <is>
          <t>Enablers</t>
        </is>
      </c>
      <c r="E129" s="48" t="inlineStr">
        <is>
          <t>Coordinated internal engagement and external partnerships contributing to delivery of sustainability outcomes across priority areas.</t>
        </is>
      </c>
      <c r="F129" s="7" t="inlineStr">
        <is>
          <t>Please list the key sustainability-focused communities of practice, internal networks or external partnerships active in your faculty in 2026 (name, partners, priority area), and give any examples of activity that contributed to a Sustainability 2030 outcome.
In end-2025 reporting your faculty reported on the related SP2030 target 3a(ii) (see Column J – click [+] above Columns I–K).</t>
        </is>
      </c>
      <c r="G129" s="7" t="inlineStr">
        <is>
          <t>We will report on internal engagement and partnerships contributing to Sustainability 2030 outcomes, and update our record of sustainability-focused communities of practice and contacts across the University.</t>
        </is>
      </c>
      <c r="H129" s="7" t="inlineStr">
        <is>
          <t>3a(ii)</t>
        </is>
      </c>
      <c r="I129" s="7" t="inlineStr">
        <is>
          <t>Met or exceeded</t>
        </is>
      </c>
      <c r="J129" s="7" t="inlineStr">
        <is>
          <t>We have a community of practice on sustainability teaching, which is tasked to share ideas on teaching programs and embedding sustainability within programs. Through this CoP this year, staff contibuted to and presented on their work on Climate Conscious Lawyering. See: https://www.latrobe.edu.au/library/ebureau/publications/featured/becoming-a-climate-conscious-lawyer and the faculty research seminars led by Joo-Cheong Tham and Kate Fischer Doherty. The CoP also oversaw the project to define sustaibaulity for the law school. See elsewhere in this response.</t>
        </is>
      </c>
      <c r="K129" s="7" t="inlineStr"/>
      <c r="L129" s="9">
        <f>IFERROR(IF(INDEX('[8]1. Reporting template'!$L$1:$L$400,MATCH($B129,'[8]1. Reporting template'!$B$1:$B$400,0))="","",INDEX('[8]1. Reporting template'!$L$1:$L$400,MATCH($B129,'[8]1. Reporting template'!$B$1:$B$400,0))),"")</f>
        <v/>
      </c>
      <c r="M129" s="9">
        <f>IFERROR(IF(INDEX('[8]1. Reporting template'!$M$1:$M$400,MATCH($B129,'[8]1. Reporting template'!$B$1:$B$400,0))="","",INDEX('[8]1. Reporting template'!$M$1:$M$400,MATCH($B129,'[8]1. Reporting template'!$B$1:$B$400,0))),"")</f>
        <v/>
      </c>
      <c r="N129" s="9">
        <f>IFERROR(IF(INDEX('[8]1. Reporting template'!$N$1:$N$400,MATCH($B129,'[8]1. Reporting template'!$B$1:$B$400,0))="","",INDEX('[8]1. Reporting template'!$N$1:$N$400,MATCH($B129,'[8]1. Reporting template'!$B$1:$B$400,0))),"")</f>
        <v/>
      </c>
      <c r="O129" s="9">
        <f>IFERROR(IF(INDEX('[8]1. Reporting template'!$O$1:$O$400,MATCH($B129,'[8]1. Reporting template'!$B$1:$B$400,0))="","",INDEX('[8]1. Reporting template'!$O$1:$O$400,MATCH($B129,'[8]1. Reporting template'!$B$1:$B$400,0))),"")</f>
        <v/>
      </c>
      <c r="P129" s="9">
        <f>IFERROR(IF(INDEX('[8]1. Reporting template'!$P$1:$P$400,MATCH($B129,'[8]1. Reporting template'!$B$1:$B$400,0))="","",INDEX('[8]1. Reporting template'!$P$1:$P$400,MATCH($B129,'[8]1. Reporting template'!$B$1:$B$400,0))),"")</f>
        <v/>
      </c>
      <c r="Q129" s="9">
        <f>IFERROR(IF(INDEX('[8]1. Reporting template'!$Q$1:$Q$400,MATCH($B129,'[8]1. Reporting template'!$B$1:$B$400,0))="","",INDEX('[8]1. Reporting template'!$Q$1:$Q$400,MATCH($B129,'[8]1. Reporting template'!$B$1:$B$400,0))),"")</f>
        <v/>
      </c>
    </row>
    <row r="130"/>
    <row r="131"/>
    <row r="132" ht="39" customHeight="1">
      <c r="B132" s="43" t="inlineStr">
        <is>
          <t>1.9  MDHS – Faculty of Medicine, Dentistry and Health Sciences</t>
        </is>
      </c>
    </row>
    <row r="133"/>
    <row r="134" ht="27" customHeight="1">
      <c r="C134" s="44" t="inlineStr">
        <is>
          <t>Sustainability 2030 target and indicator</t>
        </is>
      </c>
      <c r="H134" s="44" t="inlineStr">
        <is>
          <t>SR25 response</t>
        </is>
      </c>
      <c r="L134" s="45" t="inlineStr">
        <is>
          <t>End-2026 reporting (PLEASE COMPLETE THIS SECTION)</t>
        </is>
      </c>
    </row>
    <row r="135" ht="60" customHeight="1">
      <c r="B135" s="5" t="inlineStr">
        <is>
          <t>Ref</t>
        </is>
      </c>
      <c r="C135" s="5" t="inlineStr">
        <is>
          <t>Priority area</t>
        </is>
      </c>
      <c r="D135" s="5" t="inlineStr">
        <is>
          <t>Sustainability 2030 target</t>
        </is>
      </c>
      <c r="E135" s="5" t="inlineStr">
        <is>
          <t>Indicator</t>
        </is>
      </c>
      <c r="F135" s="5" t="inlineStr">
        <is>
          <t>2026 Reporting request</t>
        </is>
      </c>
      <c r="G135" s="5" t="inlineStr">
        <is>
          <t>How SST will use this data</t>
        </is>
      </c>
      <c r="H135" s="5" t="inlineStr">
        <is>
          <t>Related SR25 ref</t>
        </is>
      </c>
      <c r="I135" s="5" t="inlineStr">
        <is>
          <t>End-2025 confirmed status</t>
        </is>
      </c>
      <c r="J135" s="5" t="inlineStr">
        <is>
          <t>End-2025 reporting response</t>
        </is>
      </c>
      <c r="K135" s="5" t="inlineStr">
        <is>
          <t>Links and supporting information</t>
        </is>
      </c>
      <c r="L135" s="46" t="inlineStr">
        <is>
          <t>OPTION 1:  Target-level reporting (Column D)</t>
        </is>
      </c>
      <c r="M135" s="46" t="inlineStr">
        <is>
          <t>OPTION 2:  Indicator level reporting (Column E/F)</t>
        </is>
      </c>
      <c r="N135" s="46" t="inlineStr">
        <is>
          <t>Supporting information/comments</t>
        </is>
      </c>
      <c r="O135" s="46" t="inlineStr">
        <is>
          <t>Data source and limitations</t>
        </is>
      </c>
      <c r="P135" s="46" t="inlineStr">
        <is>
          <t>Data owner confirms information is accurate</t>
        </is>
      </c>
      <c r="Q135" s="46" t="inlineStr">
        <is>
          <t>Confirmed by (name, role, date)</t>
        </is>
      </c>
    </row>
    <row r="136" ht="81" customHeight="1">
      <c r="B136" s="47" t="inlineStr"/>
      <c r="C136" s="47" t="inlineStr"/>
      <c r="D136" s="47" t="inlineStr"/>
      <c r="E136" s="47" t="inlineStr"/>
      <c r="F136" s="47" t="inlineStr"/>
      <c r="G136" s="47" t="inlineStr"/>
      <c r="H136" s="47" t="inlineStr"/>
      <c r="I136" s="47" t="inlineStr"/>
      <c r="J136" s="47" t="inlineStr"/>
      <c r="K136" s="47" t="inlineStr"/>
      <c r="L136" s="47" t="inlineStr">
        <is>
          <t>A general update on activities in relation to the overarching target (Column D)</t>
        </is>
      </c>
      <c r="M136" s="47" t="inlineStr">
        <is>
          <t>Data and commentary in direct response to the reporting request (Column F)</t>
        </is>
      </c>
      <c r="N136" s="47" t="inlineStr">
        <is>
          <t>Any additional information (e.g. links, images, documents)</t>
        </is>
      </c>
      <c r="O136" s="47" t="inlineStr">
        <is>
          <t>Where did this information come from (system, report, survey, person)? Note any gaps or limitations.</t>
        </is>
      </c>
      <c r="P136" s="47" t="inlineStr">
        <is>
          <t>Select 'Yes' to confirm the information provided is accurate and can be used for reporting</t>
        </is>
      </c>
      <c r="Q136" s="47" t="inlineStr">
        <is>
          <t>Name, role and date of the person confirming</t>
        </is>
      </c>
    </row>
    <row r="137" ht="352" customHeight="1">
      <c r="B137" s="6" t="inlineStr">
        <is>
          <t>EE1(a)</t>
        </is>
      </c>
      <c r="C137" s="48" t="inlineStr">
        <is>
          <t>Exceptional education</t>
        </is>
      </c>
      <c r="D137" s="48" t="inlineStr">
        <is>
          <t>Provide our students with learning experiences that help them build the knowledge, skills and relationships to lead change for sustainable societies.</t>
        </is>
      </c>
      <c r="E137" s="48" t="inlineStr">
        <is>
          <t>Evidence of innovative approaches to sustainability teaching and learning</t>
        </is>
      </c>
      <c r="F137" s="7" t="inlineStr">
        <is>
          <t>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Please note that this indicator will be addressed at the joint Associate Deans Sustainability and Associate Deans Teaching and Learning session on 23 November 2026. Please feel free to summarise what your faculty presented at this session - further information is welcome but not required.
In end-2025 reporting your faculty reported on the related SP2030 target 4a(ii) (see Column J – click [+] above Columns I–K).</t>
        </is>
      </c>
      <c r="G137" s="7"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37" s="7" t="inlineStr">
        <is>
          <t>4a(ii)</t>
        </is>
      </c>
      <c r="I137" s="7" t="inlineStr">
        <is>
          <t>Partially met</t>
        </is>
      </c>
      <c r="J137" s="7" t="inlineStr">
        <is>
          <t>MDHS efforts to embed sustainability in our curriculum include: (1) developing a comprehensive curriculum scoping report in 2024-25 to understand gaps, opportunities and recommendations for enhancing our sustainability education; (2) creating a shared repository of teaching and learning materials; (3) developing faculty-wide learning outcomes for sustainability; (4) implementing sustainability in our programs via guest lectures, workshops, student projects and plans for developing sustainability modules that all MDHS students can take; (5) developing the MDHS Sustainability Strategy, including key priorities for education (pending endorsement from Faculty Executive); (6) co-hosting the Students in Sustainable Healthcare Showcase and Awards 2025 with &gt;10 students' presentations; (7) presenting an educational video on sustainability, equity and health for FEIT students (8) MDHS coordinated the first sustainability outreach stall for students at the 'Welcome to Health Sciences' event, which was nominated for a UniMelb Sustainability Award and MDHS Staff Excellence Award; (9) MDHS staff supported student champions to disseminate their Planetary Health Report Card 2025 findings and curriculum recommendations, including at the 2025 MDHS Faculty Conference; (10) The Melbourne Medical School recruited a fixed term academic to develop learning outcomes for sustainability and map the Medical School curriculum to identify gaps and opportunities for further embedding.</t>
        </is>
      </c>
      <c r="K137" s="7" t="inlineStr">
        <is>
          <t>Any of these materials can be shared as needed.</t>
        </is>
      </c>
      <c r="L137" s="9">
        <f>IFERROR(IF(INDEX('[9]1. Reporting template'!$L$1:$L$400,MATCH($B137,'[9]1. Reporting template'!$B$1:$B$400,0))="","",INDEX('[9]1. Reporting template'!$L$1:$L$400,MATCH($B137,'[9]1. Reporting template'!$B$1:$B$400,0))),"")</f>
        <v/>
      </c>
      <c r="M137" s="9">
        <f>IFERROR(IF(INDEX('[9]1. Reporting template'!$M$1:$M$400,MATCH($B137,'[9]1. Reporting template'!$B$1:$B$400,0))="","",INDEX('[9]1. Reporting template'!$M$1:$M$400,MATCH($B137,'[9]1. Reporting template'!$B$1:$B$400,0))),"")</f>
        <v/>
      </c>
      <c r="N137" s="9">
        <f>IFERROR(IF(INDEX('[9]1. Reporting template'!$N$1:$N$400,MATCH($B137,'[9]1. Reporting template'!$B$1:$B$400,0))="","",INDEX('[9]1. Reporting template'!$N$1:$N$400,MATCH($B137,'[9]1. Reporting template'!$B$1:$B$400,0))),"")</f>
        <v/>
      </c>
      <c r="O137" s="9">
        <f>IFERROR(IF(INDEX('[9]1. Reporting template'!$O$1:$O$400,MATCH($B137,'[9]1. Reporting template'!$B$1:$B$400,0))="","",INDEX('[9]1. Reporting template'!$O$1:$O$400,MATCH($B137,'[9]1. Reporting template'!$B$1:$B$400,0))),"")</f>
        <v/>
      </c>
      <c r="P137" s="9">
        <f>IFERROR(IF(INDEX('[9]1. Reporting template'!$P$1:$P$400,MATCH($B137,'[9]1. Reporting template'!$B$1:$B$400,0))="","",INDEX('[9]1. Reporting template'!$P$1:$P$400,MATCH($B137,'[9]1. Reporting template'!$B$1:$B$400,0))),"")</f>
        <v/>
      </c>
      <c r="Q137" s="9">
        <f>IFERROR(IF(INDEX('[9]1. Reporting template'!$Q$1:$Q$400,MATCH($B137,'[9]1. Reporting template'!$B$1:$B$400,0))="","",INDEX('[9]1. Reporting template'!$Q$1:$Q$400,MATCH($B137,'[9]1. Reporting template'!$B$1:$B$400,0))),"")</f>
        <v/>
      </c>
    </row>
    <row r="138" ht="188" customHeight="1">
      <c r="B138" s="6" t="inlineStr">
        <is>
          <t>EE1(b)</t>
        </is>
      </c>
      <c r="C138" s="48" t="inlineStr">
        <is>
          <t>Exceptional education</t>
        </is>
      </c>
      <c r="D138" s="48" t="inlineStr">
        <is>
          <t>Provide our students with learning experiences that help them build the knowledge, skills and relationships to lead change for sustainable societies.</t>
        </is>
      </c>
      <c r="E138" s="48" t="inlineStr">
        <is>
          <t>Pilots of possible approaches for understanding and developing students’ sustainability self-efficacy</t>
        </is>
      </c>
      <c r="F138" s="7"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138" s="7" t="inlineStr">
        <is>
          <t>This is a new indicator. We will use responses to establish a baseline of how (and whether) faculties are understanding student sustainability self-efficacy, and report on early pilots in the 2026 Sustainability Report. A nil response is useful to us.</t>
        </is>
      </c>
      <c r="H138" s="7" t="inlineStr">
        <is>
          <t>N/A – new indicator</t>
        </is>
      </c>
      <c r="I138" s="7" t="inlineStr"/>
      <c r="J138" s="7" t="inlineStr"/>
      <c r="K138" s="7" t="inlineStr"/>
      <c r="L138" s="9">
        <f>IFERROR(IF(INDEX('[9]1. Reporting template'!$L$1:$L$400,MATCH($B138,'[9]1. Reporting template'!$B$1:$B$400,0))="","",INDEX('[9]1. Reporting template'!$L$1:$L$400,MATCH($B138,'[9]1. Reporting template'!$B$1:$B$400,0))),"")</f>
        <v/>
      </c>
      <c r="M138" s="9">
        <f>IFERROR(IF(INDEX('[9]1. Reporting template'!$M$1:$M$400,MATCH($B138,'[9]1. Reporting template'!$B$1:$B$400,0))="","",INDEX('[9]1. Reporting template'!$M$1:$M$400,MATCH($B138,'[9]1. Reporting template'!$B$1:$B$400,0))),"")</f>
        <v/>
      </c>
      <c r="N138" s="9">
        <f>IFERROR(IF(INDEX('[9]1. Reporting template'!$N$1:$N$400,MATCH($B138,'[9]1. Reporting template'!$B$1:$B$400,0))="","",INDEX('[9]1. Reporting template'!$N$1:$N$400,MATCH($B138,'[9]1. Reporting template'!$B$1:$B$400,0))),"")</f>
        <v/>
      </c>
      <c r="O138" s="9">
        <f>IFERROR(IF(INDEX('[9]1. Reporting template'!$O$1:$O$400,MATCH($B138,'[9]1. Reporting template'!$B$1:$B$400,0))="","",INDEX('[9]1. Reporting template'!$O$1:$O$400,MATCH($B138,'[9]1. Reporting template'!$B$1:$B$400,0))),"")</f>
        <v/>
      </c>
      <c r="P138" s="9">
        <f>IFERROR(IF(INDEX('[9]1. Reporting template'!$P$1:$P$400,MATCH($B138,'[9]1. Reporting template'!$B$1:$B$400,0))="","",INDEX('[9]1. Reporting template'!$P$1:$P$400,MATCH($B138,'[9]1. Reporting template'!$B$1:$B$400,0))),"")</f>
        <v/>
      </c>
      <c r="Q138" s="9">
        <f>IFERROR(IF(INDEX('[9]1. Reporting template'!$Q$1:$Q$400,MATCH($B138,'[9]1. Reporting template'!$B$1:$B$400,0))="","",INDEX('[9]1. Reporting template'!$Q$1:$Q$400,MATCH($B138,'[9]1. Reporting template'!$B$1:$B$400,0))),"")</f>
        <v/>
      </c>
    </row>
    <row r="139" ht="270" customHeight="1">
      <c r="B139" s="6" t="inlineStr">
        <is>
          <t>TR1(a)</t>
        </is>
      </c>
      <c r="C139" s="48" t="inlineStr">
        <is>
          <t>Transformational research</t>
        </is>
      </c>
      <c r="D139" s="48" t="inlineStr">
        <is>
          <t>Utilise the expertise of the University’s researchers through mutually beneficial partnerships to help address the University’s operational sustainability challenges.</t>
        </is>
      </c>
      <c r="E139" s="48" t="inlineStr">
        <is>
          <t>Expert-reviewed evidence of researchers contributing to operational sustainability priorities through partnerships, advisory input, living labs, applied projects or decision-support</t>
        </is>
      </c>
      <c r="F139" s="7" t="inlineStr">
        <is>
          <t>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Please note, we will collect case studies on Campus Living Lab Accelerator Program projects directly from project owners - no need to include these.
In end-2025 reporting your faculty reported on the related SP2030 target 2a (see Column J – click [+] above Columns I–K).</t>
        </is>
      </c>
      <c r="G139" s="7" t="inlineStr">
        <is>
          <t>We will report on examples of researchers helping solve the University's own operational sustainability challenges, alongside Campus Living Lab Accelerator Program case studies collected directly from project owners, and share them with operational teams to identify further collaboration.</t>
        </is>
      </c>
      <c r="H139" s="7" t="inlineStr">
        <is>
          <t>2a</t>
        </is>
      </c>
      <c r="I139" s="7" t="inlineStr">
        <is>
          <t>Partially met</t>
        </is>
      </c>
      <c r="J139" s="7" t="inlineStr">
        <is>
          <t>Two living labs associated with MDHS include: (1) The Healthcare Carbon Lab (HCL), which functions as a 'living lab' to confront the pressing challenge of healthcare's environmental footprint. HCL offers students opportunities to work on real-world problems around how health services and health organisations, including the MDHS, can improve their environmental sustainability and carbon footprint. In 2026, the HCL will be coordinating 6 student projects to explore PPE usage, life cycle assessment methodology and reducing waste in healthcare; (2) MDHS is working with SAFES on expanding an existing 'living lab' at the Dookie campus to revegetate the grounds, enhance biodiversity and offer out-of-classroom learning activities for MDHS students. This living lab is being co-funded by the Melbourne Biodiversity Inst.</t>
        </is>
      </c>
      <c r="K139" s="7" t="inlineStr">
        <is>
          <t>https://mdhs.unimelb.edu.au/healthcare-carbon-lab</t>
        </is>
      </c>
      <c r="L139" s="9">
        <f>IFERROR(IF(INDEX('[9]1. Reporting template'!$L$1:$L$400,MATCH($B139,'[9]1. Reporting template'!$B$1:$B$400,0))="","",INDEX('[9]1. Reporting template'!$L$1:$L$400,MATCH($B139,'[9]1. Reporting template'!$B$1:$B$400,0))),"")</f>
        <v/>
      </c>
      <c r="M139" s="9">
        <f>IFERROR(IF(INDEX('[9]1. Reporting template'!$M$1:$M$400,MATCH($B139,'[9]1. Reporting template'!$B$1:$B$400,0))="","",INDEX('[9]1. Reporting template'!$M$1:$M$400,MATCH($B139,'[9]1. Reporting template'!$B$1:$B$400,0))),"")</f>
        <v/>
      </c>
      <c r="N139" s="9">
        <f>IFERROR(IF(INDEX('[9]1. Reporting template'!$N$1:$N$400,MATCH($B139,'[9]1. Reporting template'!$B$1:$B$400,0))="","",INDEX('[9]1. Reporting template'!$N$1:$N$400,MATCH($B139,'[9]1. Reporting template'!$B$1:$B$400,0))),"")</f>
        <v/>
      </c>
      <c r="O139" s="9">
        <f>IFERROR(IF(INDEX('[9]1. Reporting template'!$O$1:$O$400,MATCH($B139,'[9]1. Reporting template'!$B$1:$B$400,0))="","",INDEX('[9]1. Reporting template'!$O$1:$O$400,MATCH($B139,'[9]1. Reporting template'!$B$1:$B$400,0))),"")</f>
        <v/>
      </c>
      <c r="P139" s="9">
        <f>IFERROR(IF(INDEX('[9]1. Reporting template'!$P$1:$P$400,MATCH($B139,'[9]1. Reporting template'!$B$1:$B$400,0))="","",INDEX('[9]1. Reporting template'!$P$1:$P$400,MATCH($B139,'[9]1. Reporting template'!$B$1:$B$400,0))),"")</f>
        <v/>
      </c>
      <c r="Q139" s="9">
        <f>IFERROR(IF(INDEX('[9]1. Reporting template'!$Q$1:$Q$400,MATCH($B139,'[9]1. Reporting template'!$B$1:$B$400,0))="","",INDEX('[9]1. Reporting template'!$Q$1:$Q$400,MATCH($B139,'[9]1. Reporting template'!$B$1:$B$400,0))),"")</f>
        <v/>
      </c>
    </row>
    <row r="140" ht="270" customHeight="1">
      <c r="B140" s="6" t="inlineStr">
        <is>
          <t>TR2(a)</t>
        </is>
      </c>
      <c r="C140" s="48" t="inlineStr">
        <is>
          <t>Transformational research</t>
        </is>
      </c>
      <c r="D140" s="48" t="inlineStr">
        <is>
          <t>Deliver high-quality research and partnerships that contribute to sustainability outcomes and demonstrable societal benefit.</t>
        </is>
      </c>
      <c r="E140" s="48" t="inlineStr">
        <is>
          <t>Evidence of sustainability-related research impact across diverse pathways, could include policy, industry, community, practice, cultural and institutional outcomes</t>
        </is>
      </c>
      <c r="F140" s="7" t="inlineStr">
        <is>
          <t>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Melbourne Research and Enterprise (MRE) – publication counts are not required.
In end-2025 reporting your faculty reported on the related SP2030 target 5b(i) (see Column J – click [+] above Columns I–K).</t>
        </is>
      </c>
      <c r="G140" s="7" t="inlineStr">
        <is>
          <t>We will collate research impact examples across faculties to show the breadth of sustainability-related research impact in the Transformational research section of the 2026 Sustainability Report, complementing University-wide metrics from Melbourne Research and Enterprise (MRE).</t>
        </is>
      </c>
      <c r="H140" s="7" t="inlineStr">
        <is>
          <t>5b(i)</t>
        </is>
      </c>
      <c r="I140" s="7" t="inlineStr">
        <is>
          <t>Met or exceeded</t>
        </is>
      </c>
      <c r="J140" s="7" t="inlineStr">
        <is>
          <t>The relevant research institutes that sit within/across the MDHS include: (1) Climate Collaborative Action for Transformative Change in Health and Healthcare (CATCH) Lab spans nine research streams, including the health impacts of climate change and sustainable healthcare. The Lab offers research placements and projects, internships, showcases and events. The Climate CATCH Lab hosted the World Health Organization’s Collaborating Centre for Climate and Health Policy, Research and Action November 2025 (link for case study in column O). (2)  The Disaster, Climate and Adversity Unit leads research on disaster resilience and recovery, climate change and health and adversity, trauma and resilience. (3) The Healthcare Carbon Lab (HCL)  confronts the pressing challenge of healthcare's environmental footprint. The world-leading Lancet Med Zero is a HCL-partnered initiative and recently launched to develop further evidence to inform how health services, and health organisations can mitigate environmental footprints. (4) The Healthy Environment Research and Action (HERA) is a group of researchers committed to accelerating health-focused action by co-designing, generating, synthesising, and applying evidence on health and wellbeing in relation to environmental change and disasters. The group acts as a platform for research and policy recommendations, and as a portal for external stakeholders to engage with evidence. (5) Healthy Environments and Lives Research Network (HEAL) is coalition of 100 investigators and more than 30 organisations from across Australia that will develop the scientific evidence, and research capacity and capability, to mitigate the long-term health consequences of environmental and climate change and improve the health and wellbeing of communities. (6) The Melbourne Centre for Behaviour Change (MCBC) is one of the few Centres in the world that provides an integrated approach to all aspects of behaviour change. The MCBC develops research relating to human health, behaviour change and environmental sustainability. (7) The Nossal Institute for Global Health is a leading centre of multidisciplinary research and practice dedicated to improving health outcomes across diverse global settings. It develops research and education on sustainability, One Health and interconnected well-being of humans, animals and the environment. (8) Onemda is an Indigenous group specialising in public health with a focus on research and teaching aimed at improving health and wellbeing outcomes. Currently co-leading the 'First Impacted First Heard' project in partnership with the Climate and Health Alliance and the Pacific Climate Change Centre; (9) The Centre for Research Excellence in Healthy Housing is a 5-year project funded by the NHMRC from 2020-2025. It involves over 20 researchers from across Australia and the world and has a focus on the important relationship between climate and housing, including mental health outcomes.</t>
        </is>
      </c>
      <c r="K140" s="7" t="inlineStr">
        <is>
          <t>https://www.unimelb.edu.au/__data/assets/pdf_file/0003/5365281/Climate-CATCH-Lab-Impact-Report-2024-2025_FINAL.pdf</t>
        </is>
      </c>
      <c r="L140" s="9">
        <f>IFERROR(IF(INDEX('[9]1. Reporting template'!$L$1:$L$400,MATCH($B140,'[9]1. Reporting template'!$B$1:$B$400,0))="","",INDEX('[9]1. Reporting template'!$L$1:$L$400,MATCH($B140,'[9]1. Reporting template'!$B$1:$B$400,0))),"")</f>
        <v/>
      </c>
      <c r="M140" s="9">
        <f>IFERROR(IF(INDEX('[9]1. Reporting template'!$M$1:$M$400,MATCH($B140,'[9]1. Reporting template'!$B$1:$B$400,0))="","",INDEX('[9]1. Reporting template'!$M$1:$M$400,MATCH($B140,'[9]1. Reporting template'!$B$1:$B$400,0))),"")</f>
        <v/>
      </c>
      <c r="N140" s="9">
        <f>IFERROR(IF(INDEX('[9]1. Reporting template'!$N$1:$N$400,MATCH($B140,'[9]1. Reporting template'!$B$1:$B$400,0))="","",INDEX('[9]1. Reporting template'!$N$1:$N$400,MATCH($B140,'[9]1. Reporting template'!$B$1:$B$400,0))),"")</f>
        <v/>
      </c>
      <c r="O140" s="9">
        <f>IFERROR(IF(INDEX('[9]1. Reporting template'!$O$1:$O$400,MATCH($B140,'[9]1. Reporting template'!$B$1:$B$400,0))="","",INDEX('[9]1. Reporting template'!$O$1:$O$400,MATCH($B140,'[9]1. Reporting template'!$B$1:$B$400,0))),"")</f>
        <v/>
      </c>
      <c r="P140" s="9">
        <f>IFERROR(IF(INDEX('[9]1. Reporting template'!$P$1:$P$400,MATCH($B140,'[9]1. Reporting template'!$B$1:$B$400,0))="","",INDEX('[9]1. Reporting template'!$P$1:$P$400,MATCH($B140,'[9]1. Reporting template'!$B$1:$B$400,0))),"")</f>
        <v/>
      </c>
      <c r="Q140" s="9">
        <f>IFERROR(IF(INDEX('[9]1. Reporting template'!$Q$1:$Q$400,MATCH($B140,'[9]1. Reporting template'!$B$1:$B$400,0))="","",INDEX('[9]1. Reporting template'!$Q$1:$Q$400,MATCH($B140,'[9]1. Reporting template'!$B$1:$B$400,0))),"")</f>
        <v/>
      </c>
    </row>
    <row r="141" ht="237" customHeight="1">
      <c r="B141" s="6" t="inlineStr">
        <is>
          <t>TR2(d)</t>
        </is>
      </c>
      <c r="C141" s="48" t="inlineStr">
        <is>
          <t>Transformational research</t>
        </is>
      </c>
      <c r="D141" s="48" t="inlineStr">
        <is>
          <t>Deliver high-quality research and partnerships that contribute to sustainability outcomes and demonstrable societal benefit.</t>
        </is>
      </c>
      <c r="E141" s="48" t="inlineStr">
        <is>
          <t>Case-based evidence demonstrating how research has contributed to meaningful sustainability outcomes.</t>
        </is>
      </c>
      <c r="F141" s="7" t="inlineStr">
        <is>
          <t>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
In end-2025 reporting your faculty reported on the related SP2030 target 5b(i) (see Column J – click [+] above Columns I–K).</t>
        </is>
      </c>
      <c r="G141" s="7" t="inlineStr">
        <is>
          <t>We will select the strongest examples to develop as full research case studies for the 2026 Sustainability Report (we may contact you for more detail and images).</t>
        </is>
      </c>
      <c r="H141" s="7" t="inlineStr">
        <is>
          <t>5b(i)</t>
        </is>
      </c>
      <c r="I141" s="7" t="inlineStr">
        <is>
          <t>Met or exceeded</t>
        </is>
      </c>
      <c r="J141" s="7" t="inlineStr">
        <is>
          <t>The relevant research institutes that sit within/across the MDHS include: (1) Climate Collaborative Action for Transformative Change in Health and Healthcare (CATCH) Lab spans nine research streams, including the health impacts of climate change and sustainable healthcare. The Lab offers research placements and projects, internships, showcases and events. The Climate CATCH Lab hosted the World Health Organization’s Collaborating Centre for Climate and Health Policy, Research and Action November 2025 (link for case study in column O). (2)  The Disaster, Climate and Adversity Unit leads research on disaster resilience and recovery, climate change and health and adversity, trauma and resilience. (3) The Healthcare Carbon Lab (HCL)  confronts the pressing challenge of healthcare's environmental footprint. The world-leading Lancet Med Zero is a HCL-partnered initiative and recently launched to develop further evidence to inform how health services, and health organisations can mitigate environmental footprints. (4) The Healthy Environment Research and Action (HERA) is a group of researchers committed to accelerating health-focused action by co-designing, generating, synthesising, and applying evidence on health and wellbeing in relation to environmental change and disasters. The group acts as a platform for research and policy recommendations, and as a portal for external stakeholders to engage with evidence. (5) Healthy Environments and Lives Research Network (HEAL) is coalition of 100 investigators and more than 30 organisations from across Australia that will develop the scientific evidence, and research capacity and capability, to mitigate the long-term health consequences of environmental and climate change and improve the health and wellbeing of communities. (6) The Melbourne Centre for Behaviour Change (MCBC) is one of the few Centres in the world that provides an integrated approach to all aspects of behaviour change. The MCBC develops research relating to human health, behaviour change and environmental sustainability. (7) The Nossal Institute for Global Health is a leading centre of multidisciplinary research and practice dedicated to improving health outcomes across diverse global settings. It develops research and education on sustainability, One Health and interconnected well-being of humans, animals and the environment. (8) Onemda is an Indigenous group specialising in public health with a focus on research and teaching aimed at improving health and wellbeing outcomes. Currently co-leading the 'First Impacted First Heard' project in partnership with the Climate and Health Alliance and the Pacific Climate Change Centre; (9) The Centre for Research Excellence in Healthy Housing is a 5-year project funded by the NHMRC from 2020-2025. It involves over 20 researchers from across Australia and the world and has a focus on the important relationship between climate and housing, including mental health outcomes.</t>
        </is>
      </c>
      <c r="K141" s="7" t="inlineStr">
        <is>
          <t>https://www.unimelb.edu.au/__data/assets/pdf_file/0003/5365281/Climate-CATCH-Lab-Impact-Report-2024-2025_FINAL.pdf</t>
        </is>
      </c>
      <c r="L141" s="9">
        <f>IFERROR(IF(INDEX('[9]1. Reporting template'!$L$1:$L$400,MATCH($B141,'[9]1. Reporting template'!$B$1:$B$400,0))="","",INDEX('[9]1. Reporting template'!$L$1:$L$400,MATCH($B141,'[9]1. Reporting template'!$B$1:$B$400,0))),"")</f>
        <v/>
      </c>
      <c r="M141" s="9">
        <f>IFERROR(IF(INDEX('[9]1. Reporting template'!$M$1:$M$400,MATCH($B141,'[9]1. Reporting template'!$B$1:$B$400,0))="","",INDEX('[9]1. Reporting template'!$M$1:$M$400,MATCH($B141,'[9]1. Reporting template'!$B$1:$B$400,0))),"")</f>
        <v/>
      </c>
      <c r="N141" s="9">
        <f>IFERROR(IF(INDEX('[9]1. Reporting template'!$N$1:$N$400,MATCH($B141,'[9]1. Reporting template'!$B$1:$B$400,0))="","",INDEX('[9]1. Reporting template'!$N$1:$N$400,MATCH($B141,'[9]1. Reporting template'!$B$1:$B$400,0))),"")</f>
        <v/>
      </c>
      <c r="O141" s="9">
        <f>IFERROR(IF(INDEX('[9]1. Reporting template'!$O$1:$O$400,MATCH($B141,'[9]1. Reporting template'!$B$1:$B$400,0))="","",INDEX('[9]1. Reporting template'!$O$1:$O$400,MATCH($B141,'[9]1. Reporting template'!$B$1:$B$400,0))),"")</f>
        <v/>
      </c>
      <c r="P141" s="9">
        <f>IFERROR(IF(INDEX('[9]1. Reporting template'!$P$1:$P$400,MATCH($B141,'[9]1. Reporting template'!$B$1:$B$400,0))="","",INDEX('[9]1. Reporting template'!$P$1:$P$400,MATCH($B141,'[9]1. Reporting template'!$B$1:$B$400,0))),"")</f>
        <v/>
      </c>
      <c r="Q141" s="9">
        <f>IFERROR(IF(INDEX('[9]1. Reporting template'!$Q$1:$Q$400,MATCH($B141,'[9]1. Reporting template'!$B$1:$B$400,0))="","",INDEX('[9]1. Reporting template'!$Q$1:$Q$400,MATCH($B141,'[9]1. Reporting template'!$B$1:$B$400,0))),"")</f>
        <v/>
      </c>
    </row>
    <row r="142" ht="188" customHeight="1">
      <c r="B142" s="6" t="inlineStr">
        <is>
          <t>TR3(b)</t>
        </is>
      </c>
      <c r="C142" s="48" t="inlineStr">
        <is>
          <t>Transformational research</t>
        </is>
      </c>
      <c r="D142" s="48" t="inlineStr">
        <is>
          <t>Embed sustainability within research systems, processes, capability and culture, so research is conducted responsibly, efficiently and with reduced environmental impact.</t>
        </is>
      </c>
      <c r="E142" s="48" t="inlineStr">
        <is>
          <t>Demonstrated examples of more sustainable research practices in laboratories, fieldwork, procurement, travel or infrastructure use</t>
        </is>
      </c>
      <c r="F142" s="7" t="inlineStr">
        <is>
          <t>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
In end-2025 reporting your faculty reported on the related SP2030 target 5c(ii) (see Column J – click [+] above Columns I–K).</t>
        </is>
      </c>
      <c r="G142" s="7" t="inlineStr">
        <is>
          <t>We will report on ways the University is making research practices more sustainable in the 2026 Sustainability Report, and share practical examples (e.g. green labs) across faculties.</t>
        </is>
      </c>
      <c r="H142" s="7" t="inlineStr">
        <is>
          <t>5c(ii)</t>
        </is>
      </c>
      <c r="I142" s="7" t="inlineStr">
        <is>
          <t>Partially met</t>
        </is>
      </c>
      <c r="J142" s="7" t="inlineStr">
        <is>
          <t>(1) The MDHS collaborated with the central procurement team to develop a University-wide Sustainability Supplier Questionnaire for essential lab equipment (2) MDHS training modules are planned for development over 2025-27 for researchers to embed sustainability into their study designs and labs. (3) The Healthcare Carbon Lab may have capacity to assist life cycle analyses to understand the daily environmental footprint of lab users. (4) In 2025, two sustainable lab education sessions were co-delivered to Pathology students by MDHS and the Peter Doherty Inst. (5) There are plans to explore optimising temperature settings of freezer farms in MDHS labs.</t>
        </is>
      </c>
      <c r="K142" s="7" t="inlineStr">
        <is>
          <t>Any of these materials can be shared as needed.</t>
        </is>
      </c>
      <c r="L142" s="9">
        <f>IFERROR(IF(INDEX('[9]1. Reporting template'!$L$1:$L$400,MATCH($B142,'[9]1. Reporting template'!$B$1:$B$400,0))="","",INDEX('[9]1. Reporting template'!$L$1:$L$400,MATCH($B142,'[9]1. Reporting template'!$B$1:$B$400,0))),"")</f>
        <v/>
      </c>
      <c r="M142" s="9">
        <f>IFERROR(IF(INDEX('[9]1. Reporting template'!$M$1:$M$400,MATCH($B142,'[9]1. Reporting template'!$B$1:$B$400,0))="","",INDEX('[9]1. Reporting template'!$M$1:$M$400,MATCH($B142,'[9]1. Reporting template'!$B$1:$B$400,0))),"")</f>
        <v/>
      </c>
      <c r="N142" s="9">
        <f>IFERROR(IF(INDEX('[9]1. Reporting template'!$N$1:$N$400,MATCH($B142,'[9]1. Reporting template'!$B$1:$B$400,0))="","",INDEX('[9]1. Reporting template'!$N$1:$N$400,MATCH($B142,'[9]1. Reporting template'!$B$1:$B$400,0))),"")</f>
        <v/>
      </c>
      <c r="O142" s="9">
        <f>IFERROR(IF(INDEX('[9]1. Reporting template'!$O$1:$O$400,MATCH($B142,'[9]1. Reporting template'!$B$1:$B$400,0))="","",INDEX('[9]1. Reporting template'!$O$1:$O$400,MATCH($B142,'[9]1. Reporting template'!$B$1:$B$400,0))),"")</f>
        <v/>
      </c>
      <c r="P142" s="9">
        <f>IFERROR(IF(INDEX('[9]1. Reporting template'!$P$1:$P$400,MATCH($B142,'[9]1. Reporting template'!$B$1:$B$400,0))="","",INDEX('[9]1. Reporting template'!$P$1:$P$400,MATCH($B142,'[9]1. Reporting template'!$B$1:$B$400,0))),"")</f>
        <v/>
      </c>
      <c r="Q142" s="9">
        <f>IFERROR(IF(INDEX('[9]1. Reporting template'!$Q$1:$Q$400,MATCH($B142,'[9]1. Reporting template'!$B$1:$B$400,0))="","",INDEX('[9]1. Reporting template'!$Q$1:$Q$400,MATCH($B142,'[9]1. Reporting template'!$B$1:$B$400,0))),"")</f>
        <v/>
      </c>
    </row>
    <row r="143" ht="188" customHeight="1">
      <c r="B143" s="6" t="inlineStr">
        <is>
          <t>EN1(a)</t>
        </is>
      </c>
      <c r="C143" s="48" t="inlineStr">
        <is>
          <t>Enablers</t>
        </is>
      </c>
      <c r="D143" s="48" t="inlineStr">
        <is>
          <t>Enablers</t>
        </is>
      </c>
      <c r="E143" s="48" t="inlineStr">
        <is>
          <t>Evidence of sustainability outcomes informed by Indigenous knowledges</t>
        </is>
      </c>
      <c r="F143" s="7" t="inlineStr">
        <is>
          <t>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
In end-2025 reporting your faculty reported on the related SP2030 target 6a (see Column J – click [+] above Columns I–K).</t>
        </is>
      </c>
      <c r="G143" s="7" t="inlineStr">
        <is>
          <t>We will report on the ways Indigenous knowledges inform sustainability activities across the University, and develop selected examples into case studies with appropriate permissions.</t>
        </is>
      </c>
      <c r="H143" s="7" t="inlineStr">
        <is>
          <t>6a</t>
        </is>
      </c>
      <c r="I143" s="7" t="inlineStr">
        <is>
          <t>Partially met</t>
        </is>
      </c>
      <c r="J143" s="7" t="inlineStr">
        <is>
          <t>(1) As per the previous report, the ongoing 2025 project is funded by the World Health Organization, led by the Melbourne School of Population and Global Health and works in collaboration with Onemda, the Pacific Climate Change Centre and Australian Climate and Health Alliance to address the question "How do we actively partner with Indigenous people of Australia and Pacific Island Countries and Territories in setting and implementing the climate, health and equity research and policy agenda?"; (2) The Wurru Wurru Health Unit teaches medical students about planetary health and the health of Country as a determinant of health for First Nations Peoples; (3) The MDHS Sustainability, Climate and Health Strategy was drafted in consultation with the MDHS Deputy Dean Indigenous and the MDHS Associate Dean Indigenous (4) The MDHS Education for Sustainability Group includes the MDHS Associate Dean Indigenous.</t>
        </is>
      </c>
      <c r="K143" s="7" t="inlineStr"/>
      <c r="L143" s="9">
        <f>IFERROR(IF(INDEX('[9]1. Reporting template'!$L$1:$L$400,MATCH($B143,'[9]1. Reporting template'!$B$1:$B$400,0))="","",INDEX('[9]1. Reporting template'!$L$1:$L$400,MATCH($B143,'[9]1. Reporting template'!$B$1:$B$400,0))),"")</f>
        <v/>
      </c>
      <c r="M143" s="9">
        <f>IFERROR(IF(INDEX('[9]1. Reporting template'!$M$1:$M$400,MATCH($B143,'[9]1. Reporting template'!$B$1:$B$400,0))="","",INDEX('[9]1. Reporting template'!$M$1:$M$400,MATCH($B143,'[9]1. Reporting template'!$B$1:$B$400,0))),"")</f>
        <v/>
      </c>
      <c r="N143" s="9">
        <f>IFERROR(IF(INDEX('[9]1. Reporting template'!$N$1:$N$400,MATCH($B143,'[9]1. Reporting template'!$B$1:$B$400,0))="","",INDEX('[9]1. Reporting template'!$N$1:$N$400,MATCH($B143,'[9]1. Reporting template'!$B$1:$B$400,0))),"")</f>
        <v/>
      </c>
      <c r="O143" s="9">
        <f>IFERROR(IF(INDEX('[9]1. Reporting template'!$O$1:$O$400,MATCH($B143,'[9]1. Reporting template'!$B$1:$B$400,0))="","",INDEX('[9]1. Reporting template'!$O$1:$O$400,MATCH($B143,'[9]1. Reporting template'!$B$1:$B$400,0))),"")</f>
        <v/>
      </c>
      <c r="P143" s="9">
        <f>IFERROR(IF(INDEX('[9]1. Reporting template'!$P$1:$P$400,MATCH($B143,'[9]1. Reporting template'!$B$1:$B$400,0))="","",INDEX('[9]1. Reporting template'!$P$1:$P$400,MATCH($B143,'[9]1. Reporting template'!$B$1:$B$400,0))),"")</f>
        <v/>
      </c>
      <c r="Q143" s="9">
        <f>IFERROR(IF(INDEX('[9]1. Reporting template'!$Q$1:$Q$400,MATCH($B143,'[9]1. Reporting template'!$B$1:$B$400,0))="","",INDEX('[9]1. Reporting template'!$Q$1:$Q$400,MATCH($B143,'[9]1. Reporting template'!$B$1:$B$400,0))),"")</f>
        <v/>
      </c>
    </row>
    <row r="144" ht="220" customHeight="1">
      <c r="B144" s="6" t="inlineStr">
        <is>
          <t>EN1(b)</t>
        </is>
      </c>
      <c r="C144" s="48" t="inlineStr">
        <is>
          <t>Enablers</t>
        </is>
      </c>
      <c r="D144" s="48" t="inlineStr">
        <is>
          <t>Enablers</t>
        </is>
      </c>
      <c r="E144" s="48" t="inlineStr">
        <is>
          <t>Living laboratories enabling applied learning, research and operational sustainability outcomes</t>
        </is>
      </c>
      <c r="F144" s="7" t="inlineStr">
        <is>
          <t>Please give any examples of sustainability-related living labs operating within your faculty in 2026 – their activities, who is involved (students, researchers, operational staff) and their outputs, outcomes or impact.
Please note, we will collect case studies on Campus Living Lab Accelerator Program projects directly from project owners - no need to include these.
In end-2025 reporting your faculty reported on the related SP2030 target 2a (see Column J – click [+] above Columns I–K).</t>
        </is>
      </c>
      <c r="G144" s="7" t="inlineStr">
        <is>
          <t>We will share examples of sustainability-related living labs from across the University in the 2026 Sustainability Report, alongside Campus Living Lab Accelerator Program case studies collected directly from project owners.</t>
        </is>
      </c>
      <c r="H144" s="7" t="inlineStr">
        <is>
          <t>2a</t>
        </is>
      </c>
      <c r="I144" s="7" t="inlineStr">
        <is>
          <t>Partially met</t>
        </is>
      </c>
      <c r="J144" s="7" t="inlineStr">
        <is>
          <t>Two living labs associated with MDHS include: (1) The Healthcare Carbon Lab (HCL), which functions as a 'living lab' to confront the pressing challenge of healthcare's environmental footprint. HCL offers students opportunities to work on real-world problems around how health services and health organisations, including the MDHS, can improve their environmental sustainability and carbon footprint. In 2026, the HCL will be coordinating 6 student projects to explore PPE usage, life cycle assessment methodology and reducing waste in healthcare; (2) MDHS is working with SAFES on expanding an existing 'living lab' at the Dookie campus to revegetate the grounds, enhance biodiversity and offer out-of-classroom learning activities for MDHS students. This living lab is being co-funded by the Melbourne Biodiversity Inst.</t>
        </is>
      </c>
      <c r="K144" s="7" t="inlineStr">
        <is>
          <t>https://mdhs.unimelb.edu.au/healthcare-carbon-lab</t>
        </is>
      </c>
      <c r="L144" s="9">
        <f>IFERROR(IF(INDEX('[9]1. Reporting template'!$L$1:$L$400,MATCH($B144,'[9]1. Reporting template'!$B$1:$B$400,0))="","",INDEX('[9]1. Reporting template'!$L$1:$L$400,MATCH($B144,'[9]1. Reporting template'!$B$1:$B$400,0))),"")</f>
        <v/>
      </c>
      <c r="M144" s="9">
        <f>IFERROR(IF(INDEX('[9]1. Reporting template'!$M$1:$M$400,MATCH($B144,'[9]1. Reporting template'!$B$1:$B$400,0))="","",INDEX('[9]1. Reporting template'!$M$1:$M$400,MATCH($B144,'[9]1. Reporting template'!$B$1:$B$400,0))),"")</f>
        <v/>
      </c>
      <c r="N144" s="9">
        <f>IFERROR(IF(INDEX('[9]1. Reporting template'!$N$1:$N$400,MATCH($B144,'[9]1. Reporting template'!$B$1:$B$400,0))="","",INDEX('[9]1. Reporting template'!$N$1:$N$400,MATCH($B144,'[9]1. Reporting template'!$B$1:$B$400,0))),"")</f>
        <v/>
      </c>
      <c r="O144" s="9">
        <f>IFERROR(IF(INDEX('[9]1. Reporting template'!$O$1:$O$400,MATCH($B144,'[9]1. Reporting template'!$B$1:$B$400,0))="","",INDEX('[9]1. Reporting template'!$O$1:$O$400,MATCH($B144,'[9]1. Reporting template'!$B$1:$B$400,0))),"")</f>
        <v/>
      </c>
      <c r="P144" s="9">
        <f>IFERROR(IF(INDEX('[9]1. Reporting template'!$P$1:$P$400,MATCH($B144,'[9]1. Reporting template'!$B$1:$B$400,0))="","",INDEX('[9]1. Reporting template'!$P$1:$P$400,MATCH($B144,'[9]1. Reporting template'!$B$1:$B$400,0))),"")</f>
        <v/>
      </c>
      <c r="Q144" s="9">
        <f>IFERROR(IF(INDEX('[9]1. Reporting template'!$Q$1:$Q$400,MATCH($B144,'[9]1. Reporting template'!$B$1:$B$400,0))="","",INDEX('[9]1. Reporting template'!$Q$1:$Q$400,MATCH($B144,'[9]1. Reporting template'!$B$1:$B$400,0))),"")</f>
        <v/>
      </c>
    </row>
    <row r="145" ht="154" customHeight="1">
      <c r="B145" s="6" t="inlineStr">
        <is>
          <t>EN1(c)</t>
        </is>
      </c>
      <c r="C145" s="48" t="inlineStr">
        <is>
          <t>Enablers</t>
        </is>
      </c>
      <c r="D145" s="48" t="inlineStr">
        <is>
          <t>Enablers</t>
        </is>
      </c>
      <c r="E145" s="48" t="inlineStr">
        <is>
          <t>Coordinated internal engagement and external partnerships contributing to delivery of sustainability outcomes across priority areas.</t>
        </is>
      </c>
      <c r="F145" s="7" t="inlineStr">
        <is>
          <t>Please list the key sustainability-focused communities of practice, internal networks or external partnerships active in your faculty in 2026 (name, partners, priority area), and give any examples of activity that contributed to a Sustainability 2030 outcome.
In end-2025 reporting your faculty reported on the related SP2030 target 3a(ii) (see Column J – click [+] above Columns I–K).</t>
        </is>
      </c>
      <c r="G145" s="7" t="inlineStr">
        <is>
          <t>We will report on internal engagement and partnerships contributing to Sustainability 2030 outcomes, and update our record of sustainability-focused communities of practice and contacts across the University.</t>
        </is>
      </c>
      <c r="H145" s="7" t="inlineStr">
        <is>
          <t>3a(ii)</t>
        </is>
      </c>
      <c r="I145" s="7" t="inlineStr">
        <is>
          <t>Met or exceeded</t>
        </is>
      </c>
      <c r="J145" s="7" t="inlineStr">
        <is>
          <t>As per previous reporting period, there are approximately four sustainability-focused communities of practice in the Faculty. A short case study of the MDHS Education for Sustainability Group/Community of Practice: This Group has been collaborating on: (1) a comprehensive curriculum scoping report in 2024-25 to understand gaps, opportunities and recommendations for enhancing our sustainability education; (2) creating a shared repository of sustainability teaching and learning materials; (3) developing faculty-wide learning outcomes for sustainability and; (4) implementing sustainability in our programs via guest lectures, workshops and plans for developing sustainability modules that all MDHS students can take.</t>
        </is>
      </c>
      <c r="K145" s="7" t="inlineStr">
        <is>
          <t>Any of these materials can be shared as needed.</t>
        </is>
      </c>
      <c r="L145" s="9">
        <f>IFERROR(IF(INDEX('[9]1. Reporting template'!$L$1:$L$400,MATCH($B145,'[9]1. Reporting template'!$B$1:$B$400,0))="","",INDEX('[9]1. Reporting template'!$L$1:$L$400,MATCH($B145,'[9]1. Reporting template'!$B$1:$B$400,0))),"")</f>
        <v/>
      </c>
      <c r="M145" s="9">
        <f>IFERROR(IF(INDEX('[9]1. Reporting template'!$M$1:$M$400,MATCH($B145,'[9]1. Reporting template'!$B$1:$B$400,0))="","",INDEX('[9]1. Reporting template'!$M$1:$M$400,MATCH($B145,'[9]1. Reporting template'!$B$1:$B$400,0))),"")</f>
        <v/>
      </c>
      <c r="N145" s="9">
        <f>IFERROR(IF(INDEX('[9]1. Reporting template'!$N$1:$N$400,MATCH($B145,'[9]1. Reporting template'!$B$1:$B$400,0))="","",INDEX('[9]1. Reporting template'!$N$1:$N$400,MATCH($B145,'[9]1. Reporting template'!$B$1:$B$400,0))),"")</f>
        <v/>
      </c>
      <c r="O145" s="9">
        <f>IFERROR(IF(INDEX('[9]1. Reporting template'!$O$1:$O$400,MATCH($B145,'[9]1. Reporting template'!$B$1:$B$400,0))="","",INDEX('[9]1. Reporting template'!$O$1:$O$400,MATCH($B145,'[9]1. Reporting template'!$B$1:$B$400,0))),"")</f>
        <v/>
      </c>
      <c r="P145" s="9">
        <f>IFERROR(IF(INDEX('[9]1. Reporting template'!$P$1:$P$400,MATCH($B145,'[9]1. Reporting template'!$B$1:$B$400,0))="","",INDEX('[9]1. Reporting template'!$P$1:$P$400,MATCH($B145,'[9]1. Reporting template'!$B$1:$B$400,0))),"")</f>
        <v/>
      </c>
      <c r="Q145" s="9">
        <f>IFERROR(IF(INDEX('[9]1. Reporting template'!$Q$1:$Q$400,MATCH($B145,'[9]1. Reporting template'!$B$1:$B$400,0))="","",INDEX('[9]1. Reporting template'!$Q$1:$Q$400,MATCH($B145,'[9]1. Reporting template'!$B$1:$B$400,0))),"")</f>
        <v/>
      </c>
    </row>
    <row r="146"/>
  </sheetData>
  <mergeCells count="18">
    <mergeCell ref="L7:Q7"/>
    <mergeCell ref="C7:G7"/>
    <mergeCell ref="L54:Q54"/>
    <mergeCell ref="L134:Q134"/>
    <mergeCell ref="C86:G86"/>
    <mergeCell ref="C38:G38"/>
    <mergeCell ref="C54:G54"/>
    <mergeCell ref="L118:Q118"/>
    <mergeCell ref="C134:G134"/>
    <mergeCell ref="L22:Q22"/>
    <mergeCell ref="L70:Q70"/>
    <mergeCell ref="C102:G102"/>
    <mergeCell ref="L86:Q86"/>
    <mergeCell ref="L102:Q102"/>
    <mergeCell ref="C118:G118"/>
    <mergeCell ref="C22:G22"/>
    <mergeCell ref="C70:G70"/>
    <mergeCell ref="L38:Q38"/>
  </mergeCells>
  <dataValidations count="9">
    <dataValidation sqref="P10:P17" showDropDown="0" showInputMessage="0" showErrorMessage="0" allowBlank="1" errorTitle="Invalid entry" error="Please select from the dropdown" type="list">
      <formula1>=Lists!$C$2:$C$4</formula1>
    </dataValidation>
    <dataValidation sqref="P25:P33" showDropDown="0" showInputMessage="0" showErrorMessage="0" allowBlank="1" errorTitle="Invalid entry" error="Please select from the dropdown" type="list">
      <formula1>=Lists!$C$2:$C$4</formula1>
    </dataValidation>
    <dataValidation sqref="P41:P49" showDropDown="0" showInputMessage="0" showErrorMessage="0" allowBlank="1" errorTitle="Invalid entry" error="Please select from the dropdown" type="list">
      <formula1>=Lists!$C$2:$C$4</formula1>
    </dataValidation>
    <dataValidation sqref="P57:P65" showDropDown="0" showInputMessage="0" showErrorMessage="0" allowBlank="1" errorTitle="Invalid entry" error="Please select from the dropdown" type="list">
      <formula1>=Lists!$C$2:$C$4</formula1>
    </dataValidation>
    <dataValidation sqref="P73:P81" showDropDown="0" showInputMessage="0" showErrorMessage="0" allowBlank="1" errorTitle="Invalid entry" error="Please select from the dropdown" type="list">
      <formula1>=Lists!$C$2:$C$4</formula1>
    </dataValidation>
    <dataValidation sqref="P89:P97" showDropDown="0" showInputMessage="0" showErrorMessage="0" allowBlank="1" errorTitle="Invalid entry" error="Please select from the dropdown" type="list">
      <formula1>=Lists!$C$2:$C$4</formula1>
    </dataValidation>
    <dataValidation sqref="P105:P113" showDropDown="0" showInputMessage="0" showErrorMessage="0" allowBlank="1" errorTitle="Invalid entry" error="Please select from the dropdown" type="list">
      <formula1>=Lists!$C$2:$C$4</formula1>
    </dataValidation>
    <dataValidation sqref="P121:P129" showDropDown="0" showInputMessage="0" showErrorMessage="0" allowBlank="1" errorTitle="Invalid entry" error="Please select from the dropdown" type="list">
      <formula1>=Lists!$C$2:$C$4</formula1>
    </dataValidation>
    <dataValidation sqref="P137:P145" showDropDown="0" showInputMessage="0" showErrorMessage="0" allowBlank="1" errorTitle="Invalid entry" error="Please select from the dropdown" type="list">
      <formula1>=Lists!$C$2:$C$4</formula1>
    </dataValidation>
  </dataValidation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0"/>
    <pageSetUpPr/>
  </sheetPr>
  <dimension ref="A1:R36"/>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Commercial, Infrastructure &amp; Sustainability (CI&amp;S)</t>
        </is>
      </c>
      <c r="C2" s="1" t="n"/>
      <c r="D2" s="1" t="n"/>
      <c r="E2" s="1" t="n"/>
      <c r="F2" s="1" t="n"/>
      <c r="G2" s="1" t="n"/>
      <c r="H2" s="1" t="n"/>
      <c r="I2" s="1" t="n"/>
      <c r="J2" s="1" t="n"/>
      <c r="K2" s="1" t="n"/>
      <c r="L2" s="1" t="n"/>
      <c r="M2" s="1" t="n"/>
      <c r="N2" s="1" t="n"/>
      <c r="O2" s="1" t="n"/>
      <c r="P2" s="1" t="n"/>
      <c r="Q2" s="1" t="n"/>
      <c r="R2" s="1" t="n"/>
    </row>
    <row r="3" ht="22" customHeight="1">
      <c r="B3" s="19" t="inlineStr">
        <is>
          <t>Consolidated responses – paste from returned request workbooks (identical column layout). Click [+] above Columns H–K for end-2025 responses.</t>
        </is>
      </c>
    </row>
    <row r="4"/>
    <row r="5" ht="39" customHeight="1">
      <c r="B5" s="43" t="inlineStr">
        <is>
          <t>1.1  CI&amp;S – Estate Planning &amp; Development (TBC: confirm with Gerard)</t>
        </is>
      </c>
    </row>
    <row r="6"/>
    <row r="7" ht="27" customHeight="1">
      <c r="C7" s="44" t="inlineStr">
        <is>
          <t>Sustainability 2030 target and indicator</t>
        </is>
      </c>
      <c r="H7" s="44" t="inlineStr">
        <is>
          <t>SR25 response</t>
        </is>
      </c>
      <c r="L7" s="45" t="inlineStr">
        <is>
          <t>End-2026 reporting (PLEASE COMPLETE THIS SECTION)</t>
        </is>
      </c>
    </row>
    <row r="8" ht="60" customHeight="1">
      <c r="B8" s="5" t="inlineStr">
        <is>
          <t>Ref</t>
        </is>
      </c>
      <c r="C8" s="5" t="inlineStr">
        <is>
          <t>Priority area</t>
        </is>
      </c>
      <c r="D8" s="5" t="inlineStr">
        <is>
          <t>Sustainability 2030 target</t>
        </is>
      </c>
      <c r="E8" s="5" t="inlineStr">
        <is>
          <t>Indicator</t>
        </is>
      </c>
      <c r="F8" s="5" t="inlineStr">
        <is>
          <t>2026 Reporting request</t>
        </is>
      </c>
      <c r="G8" s="5" t="inlineStr">
        <is>
          <t>How SST will use this data</t>
        </is>
      </c>
      <c r="H8" s="5" t="inlineStr">
        <is>
          <t>Related SR25 ref</t>
        </is>
      </c>
      <c r="I8" s="5" t="inlineStr">
        <is>
          <t>End-2025 confirmed status</t>
        </is>
      </c>
      <c r="J8" s="5" t="inlineStr">
        <is>
          <t>End-2025 reporting response</t>
        </is>
      </c>
      <c r="K8" s="5"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204" customHeight="1">
      <c r="B10" s="6" t="inlineStr">
        <is>
          <t>CL3(a)</t>
        </is>
      </c>
      <c r="C10" s="48" t="inlineStr">
        <is>
          <t>Climate leadership</t>
        </is>
      </c>
      <c r="D10" s="48" t="inlineStr">
        <is>
          <t>Reach and maintain high levels of climate-change resilience maturity</t>
        </is>
      </c>
      <c r="E10" s="4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10" s="7" t="inlineStr">
        <is>
          <t>Provide update of University maturity assesment. Include maturity ratings, key gaps and priority improvement actions.when available
We did not receive an end-2025 response for the related SP2030 target 8a(i), so please include any relevant activity from across 2026.</t>
        </is>
      </c>
      <c r="G10" s="7" t="inlineStr">
        <is>
          <t>We will report the University's climate-change resilience maturity rating, key gaps and priority actions in the 2026 Sustainability Report (building on the Climate Change Preparedness Framework assessment reported in 2025).</t>
        </is>
      </c>
      <c r="H10" s="7" t="inlineStr">
        <is>
          <t>8a(i)</t>
        </is>
      </c>
      <c r="I10" s="7" t="inlineStr">
        <is>
          <t>Partially met</t>
        </is>
      </c>
      <c r="J10" s="7" t="inlineStr"/>
      <c r="K10" s="7" t="inlineStr"/>
      <c r="L10" s="9">
        <f>IFERROR(IF(INDEX('[10]1. Reporting template'!$L$1:$L$400,MATCH($B10,'[10]1. Reporting template'!$B$1:$B$400,0))="","",INDEX('[10]1. Reporting template'!$L$1:$L$400,MATCH($B10,'[10]1. Reporting template'!$B$1:$B$400,0))),"")</f>
        <v/>
      </c>
      <c r="M10" s="9">
        <f>IFERROR(IF(INDEX('[10]1. Reporting template'!$M$1:$M$400,MATCH($B10,'[10]1. Reporting template'!$B$1:$B$400,0))="","",INDEX('[10]1. Reporting template'!$M$1:$M$400,MATCH($B10,'[10]1. Reporting template'!$B$1:$B$400,0))),"")</f>
        <v/>
      </c>
      <c r="N10" s="9">
        <f>IFERROR(IF(INDEX('[10]1. Reporting template'!$N$1:$N$400,MATCH($B10,'[10]1. Reporting template'!$B$1:$B$400,0))="","",INDEX('[10]1. Reporting template'!$N$1:$N$400,MATCH($B10,'[10]1. Reporting template'!$B$1:$B$400,0))),"")</f>
        <v/>
      </c>
      <c r="O10" s="9">
        <f>IFERROR(IF(INDEX('[10]1. Reporting template'!$O$1:$O$400,MATCH($B10,'[10]1. Reporting template'!$B$1:$B$400,0))="","",INDEX('[10]1. Reporting template'!$O$1:$O$400,MATCH($B10,'[10]1. Reporting template'!$B$1:$B$400,0))),"")</f>
        <v/>
      </c>
      <c r="P10" s="9">
        <f>IFERROR(IF(INDEX('[10]1. Reporting template'!$P$1:$P$400,MATCH($B10,'[10]1. Reporting template'!$B$1:$B$400,0))="","",INDEX('[10]1. Reporting template'!$P$1:$P$400,MATCH($B10,'[10]1. Reporting template'!$B$1:$B$400,0))),"")</f>
        <v/>
      </c>
      <c r="Q10" s="9">
        <f>IFERROR(IF(INDEX('[10]1. Reporting template'!$Q$1:$Q$400,MATCH($B10,'[10]1. Reporting template'!$B$1:$B$400,0))="","",INDEX('[10]1. Reporting template'!$Q$1:$Q$400,MATCH($B10,'[10]1. Reporting template'!$B$1:$B$400,0))),"")</f>
        <v/>
      </c>
    </row>
    <row r="11" ht="171" customHeight="1">
      <c r="B11" s="6" t="inlineStr">
        <is>
          <t>EI1(a)</t>
        </is>
      </c>
      <c r="C11" s="48" t="inlineStr">
        <is>
          <t>Estate and infrastructure</t>
        </is>
      </c>
      <c r="D11" s="48" t="inlineStr">
        <is>
          <t>Integrate environmental sustainability in the way that the University achieves strategic and operational objectives for our estate and infrastructure.</t>
        </is>
      </c>
      <c r="E11" s="48" t="inlineStr">
        <is>
          <t>Evidence of increased maturity of estate and infrastructure planning, development and operations to support the other priority areas in Sustainability 2030</t>
        </is>
      </c>
      <c r="F11" s="7" t="inlineStr">
        <is>
          <t>Case study evidence of increased sustainability maturity in estate and infrastructure planning, development and operations, could include examples of changes to standards, processes, governance, decision-making or project requirements that support Sustainability 2030 priority areas.
We did not receive an end-2025 response for the related SP2030 target 7b, so please include any relevant activity from across 2026.</t>
        </is>
      </c>
      <c r="G11" s="7" t="inlineStr">
        <is>
          <t>We will use case study evidence to show how sustainability maturity is increasing in estate and infrastructure planning, development and operations in the 2026 Sustainability Report.</t>
        </is>
      </c>
      <c r="H11" s="7" t="inlineStr">
        <is>
          <t>7b</t>
        </is>
      </c>
      <c r="I11" s="7" t="inlineStr"/>
      <c r="J11" s="7" t="inlineStr"/>
      <c r="K11" s="7" t="inlineStr"/>
      <c r="L11" s="9">
        <f>IFERROR(IF(INDEX('[10]1. Reporting template'!$L$1:$L$400,MATCH($B11,'[10]1. Reporting template'!$B$1:$B$400,0))="","",INDEX('[10]1. Reporting template'!$L$1:$L$400,MATCH($B11,'[10]1. Reporting template'!$B$1:$B$400,0))),"")</f>
        <v/>
      </c>
      <c r="M11" s="9">
        <f>IFERROR(IF(INDEX('[10]1. Reporting template'!$M$1:$M$400,MATCH($B11,'[10]1. Reporting template'!$B$1:$B$400,0))="","",INDEX('[10]1. Reporting template'!$M$1:$M$400,MATCH($B11,'[10]1. Reporting template'!$B$1:$B$400,0))),"")</f>
        <v/>
      </c>
      <c r="N11" s="9">
        <f>IFERROR(IF(INDEX('[10]1. Reporting template'!$N$1:$N$400,MATCH($B11,'[10]1. Reporting template'!$B$1:$B$400,0))="","",INDEX('[10]1. Reporting template'!$N$1:$N$400,MATCH($B11,'[10]1. Reporting template'!$B$1:$B$400,0))),"")</f>
        <v/>
      </c>
      <c r="O11" s="9">
        <f>IFERROR(IF(INDEX('[10]1. Reporting template'!$O$1:$O$400,MATCH($B11,'[10]1. Reporting template'!$B$1:$B$400,0))="","",INDEX('[10]1. Reporting template'!$O$1:$O$400,MATCH($B11,'[10]1. Reporting template'!$B$1:$B$400,0))),"")</f>
        <v/>
      </c>
      <c r="P11" s="9">
        <f>IFERROR(IF(INDEX('[10]1. Reporting template'!$P$1:$P$400,MATCH($B11,'[10]1. Reporting template'!$B$1:$B$400,0))="","",INDEX('[10]1. Reporting template'!$P$1:$P$400,MATCH($B11,'[10]1. Reporting template'!$B$1:$B$400,0))),"")</f>
        <v/>
      </c>
      <c r="Q11" s="9">
        <f>IFERROR(IF(INDEX('[10]1. Reporting template'!$Q$1:$Q$400,MATCH($B11,'[10]1. Reporting template'!$B$1:$B$400,0))="","",INDEX('[10]1. Reporting template'!$Q$1:$Q$400,MATCH($B11,'[10]1. Reporting template'!$B$1:$B$400,0))),"")</f>
        <v/>
      </c>
    </row>
    <row r="12" ht="150" customHeight="1">
      <c r="B12" s="6" t="inlineStr">
        <is>
          <t>EI1(b)</t>
        </is>
      </c>
      <c r="C12" s="48" t="inlineStr">
        <is>
          <t>Estate and infrastructure</t>
        </is>
      </c>
      <c r="D12" s="48" t="inlineStr">
        <is>
          <t>Integrate environmental sustainability in the way that the University achieves strategic and operational objectives for our estate and infrastructure.</t>
        </is>
      </c>
      <c r="E12" s="48" t="inlineStr">
        <is>
          <t>Estimated sustainability impacts of the University’s estate and infrastructure capital plan to inform progress towards emissions reduction targets and other priority areas (to the extent enabled by available information)</t>
        </is>
      </c>
      <c r="F12" s="7"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G12" s="7" t="inlineStr">
        <is>
          <t>We will use estimated sustainability impacts of the capital plan to inform progress reporting towards the emissions reduction target and other priority areas (to the extent information is available).</t>
        </is>
      </c>
      <c r="H12" s="7" t="inlineStr">
        <is>
          <t>N/A – new indicator</t>
        </is>
      </c>
      <c r="I12" s="7" t="inlineStr"/>
      <c r="J12" s="7" t="inlineStr"/>
      <c r="K12" s="7" t="inlineStr"/>
      <c r="L12" s="9">
        <f>IFERROR(IF(INDEX('[10]1. Reporting template'!$L$1:$L$400,MATCH($B12,'[10]1. Reporting template'!$B$1:$B$400,0))="","",INDEX('[10]1. Reporting template'!$L$1:$L$400,MATCH($B12,'[10]1. Reporting template'!$B$1:$B$400,0))),"")</f>
        <v/>
      </c>
      <c r="M12" s="9">
        <f>IFERROR(IF(INDEX('[10]1. Reporting template'!$M$1:$M$400,MATCH($B12,'[10]1. Reporting template'!$B$1:$B$400,0))="","",INDEX('[10]1. Reporting template'!$M$1:$M$400,MATCH($B12,'[10]1. Reporting template'!$B$1:$B$400,0))),"")</f>
        <v/>
      </c>
      <c r="N12" s="9">
        <f>IFERROR(IF(INDEX('[10]1. Reporting template'!$N$1:$N$400,MATCH($B12,'[10]1. Reporting template'!$B$1:$B$400,0))="","",INDEX('[10]1. Reporting template'!$N$1:$N$400,MATCH($B12,'[10]1. Reporting template'!$B$1:$B$400,0))),"")</f>
        <v/>
      </c>
      <c r="O12" s="9">
        <f>IFERROR(IF(INDEX('[10]1. Reporting template'!$O$1:$O$400,MATCH($B12,'[10]1. Reporting template'!$B$1:$B$400,0))="","",INDEX('[10]1. Reporting template'!$O$1:$O$400,MATCH($B12,'[10]1. Reporting template'!$B$1:$B$400,0))),"")</f>
        <v/>
      </c>
      <c r="P12" s="9">
        <f>IFERROR(IF(INDEX('[10]1. Reporting template'!$P$1:$P$400,MATCH($B12,'[10]1. Reporting template'!$B$1:$B$400,0))="","",INDEX('[10]1. Reporting template'!$P$1:$P$400,MATCH($B12,'[10]1. Reporting template'!$B$1:$B$400,0))),"")</f>
        <v/>
      </c>
      <c r="Q12" s="9">
        <f>IFERROR(IF(INDEX('[10]1. Reporting template'!$Q$1:$Q$400,MATCH($B12,'[10]1. Reporting template'!$B$1:$B$400,0))="","",INDEX('[10]1. Reporting template'!$Q$1:$Q$400,MATCH($B12,'[10]1. Reporting template'!$B$1:$B$400,0))),"")</f>
        <v/>
      </c>
    </row>
    <row r="13" ht="150" customHeight="1">
      <c r="B13" s="6" t="inlineStr">
        <is>
          <t>EI1(c)</t>
        </is>
      </c>
      <c r="C13" s="48" t="inlineStr">
        <is>
          <t>Estate and infrastructure</t>
        </is>
      </c>
      <c r="D13" s="48" t="inlineStr">
        <is>
          <t>Integrate environmental sustainability in the way that the University achieves strategic and operational objectives for our estate and infrastructure.</t>
        </is>
      </c>
      <c r="E13" s="48" t="inlineStr">
        <is>
          <t>Reporting on relevant activities and impacts for the University’s major estate and infrastructure projects and programs aligned with the other priority areas in Sustainability 2030</t>
        </is>
      </c>
      <c r="F13" s="7"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G13" s="7" t="inlineStr">
        <is>
          <t>We will report on sustainability activities and impacts of major estate and infrastructure projects and programs in the Estate and infrastructure section of the 2026 Sustainability Report.</t>
        </is>
      </c>
      <c r="H13" s="7" t="inlineStr">
        <is>
          <t>N/A – new indicator</t>
        </is>
      </c>
      <c r="I13" s="7" t="inlineStr"/>
      <c r="J13" s="7" t="inlineStr"/>
      <c r="K13" s="7" t="inlineStr"/>
      <c r="L13" s="9">
        <f>IFERROR(IF(INDEX('[10]1. Reporting template'!$L$1:$L$400,MATCH($B13,'[10]1. Reporting template'!$B$1:$B$400,0))="","",INDEX('[10]1. Reporting template'!$L$1:$L$400,MATCH($B13,'[10]1. Reporting template'!$B$1:$B$400,0))),"")</f>
        <v/>
      </c>
      <c r="M13" s="9">
        <f>IFERROR(IF(INDEX('[10]1. Reporting template'!$M$1:$M$400,MATCH($B13,'[10]1. Reporting template'!$B$1:$B$400,0))="","",INDEX('[10]1. Reporting template'!$M$1:$M$400,MATCH($B13,'[10]1. Reporting template'!$B$1:$B$400,0))),"")</f>
        <v/>
      </c>
      <c r="N13" s="9">
        <f>IFERROR(IF(INDEX('[10]1. Reporting template'!$N$1:$N$400,MATCH($B13,'[10]1. Reporting template'!$B$1:$B$400,0))="","",INDEX('[10]1. Reporting template'!$N$1:$N$400,MATCH($B13,'[10]1. Reporting template'!$B$1:$B$400,0))),"")</f>
        <v/>
      </c>
      <c r="O13" s="9">
        <f>IFERROR(IF(INDEX('[10]1. Reporting template'!$O$1:$O$400,MATCH($B13,'[10]1. Reporting template'!$B$1:$B$400,0))="","",INDEX('[10]1. Reporting template'!$O$1:$O$400,MATCH($B13,'[10]1. Reporting template'!$B$1:$B$400,0))),"")</f>
        <v/>
      </c>
      <c r="P13" s="9">
        <f>IFERROR(IF(INDEX('[10]1. Reporting template'!$P$1:$P$400,MATCH($B13,'[10]1. Reporting template'!$B$1:$B$400,0))="","",INDEX('[10]1. Reporting template'!$P$1:$P$400,MATCH($B13,'[10]1. Reporting template'!$B$1:$B$400,0))),"")</f>
        <v/>
      </c>
      <c r="Q13" s="9">
        <f>IFERROR(IF(INDEX('[10]1. Reporting template'!$Q$1:$Q$400,MATCH($B13,'[10]1. Reporting template'!$B$1:$B$400,0))="","",INDEX('[10]1. Reporting template'!$Q$1:$Q$400,MATCH($B13,'[10]1. Reporting template'!$B$1:$B$400,0))),"")</f>
        <v/>
      </c>
    </row>
    <row r="14" ht="150" customHeight="1">
      <c r="B14" s="6" t="inlineStr">
        <is>
          <t>EI1(d)</t>
        </is>
      </c>
      <c r="C14" s="48" t="inlineStr">
        <is>
          <t>Estate and infrastructure</t>
        </is>
      </c>
      <c r="D14" s="48" t="inlineStr">
        <is>
          <t>Integrate environmental sustainability in the way that the University achieves strategic and operational objectives for our estate and infrastructure.</t>
        </is>
      </c>
      <c r="E14" s="48" t="inlineStr">
        <is>
          <t>Evidence of understanding and integration of Indigenous approaches to sustainability in estate planning and development programs and projects.</t>
        </is>
      </c>
      <c r="F14" s="7"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G14" s="7" t="inlineStr">
        <is>
          <t>We will report on how Indigenous approaches to sustainability are informing estate planning and development, with examples where permission to share is confirmed.</t>
        </is>
      </c>
      <c r="H14" s="7" t="inlineStr">
        <is>
          <t>N/A – new indicator</t>
        </is>
      </c>
      <c r="I14" s="7" t="inlineStr"/>
      <c r="J14" s="7" t="inlineStr"/>
      <c r="K14" s="7" t="inlineStr"/>
      <c r="L14" s="9">
        <f>IFERROR(IF(INDEX('[10]1. Reporting template'!$L$1:$L$400,MATCH($B14,'[10]1. Reporting template'!$B$1:$B$400,0))="","",INDEX('[10]1. Reporting template'!$L$1:$L$400,MATCH($B14,'[10]1. Reporting template'!$B$1:$B$400,0))),"")</f>
        <v/>
      </c>
      <c r="M14" s="9">
        <f>IFERROR(IF(INDEX('[10]1. Reporting template'!$M$1:$M$400,MATCH($B14,'[10]1. Reporting template'!$B$1:$B$400,0))="","",INDEX('[10]1. Reporting template'!$M$1:$M$400,MATCH($B14,'[10]1. Reporting template'!$B$1:$B$400,0))),"")</f>
        <v/>
      </c>
      <c r="N14" s="9">
        <f>IFERROR(IF(INDEX('[10]1. Reporting template'!$N$1:$N$400,MATCH($B14,'[10]1. Reporting template'!$B$1:$B$400,0))="","",INDEX('[10]1. Reporting template'!$N$1:$N$400,MATCH($B14,'[10]1. Reporting template'!$B$1:$B$400,0))),"")</f>
        <v/>
      </c>
      <c r="O14" s="9">
        <f>IFERROR(IF(INDEX('[10]1. Reporting template'!$O$1:$O$400,MATCH($B14,'[10]1. Reporting template'!$B$1:$B$400,0))="","",INDEX('[10]1. Reporting template'!$O$1:$O$400,MATCH($B14,'[10]1. Reporting template'!$B$1:$B$400,0))),"")</f>
        <v/>
      </c>
      <c r="P14" s="9">
        <f>IFERROR(IF(INDEX('[10]1. Reporting template'!$P$1:$P$400,MATCH($B14,'[10]1. Reporting template'!$B$1:$B$400,0))="","",INDEX('[10]1. Reporting template'!$P$1:$P$400,MATCH($B14,'[10]1. Reporting template'!$B$1:$B$400,0))),"")</f>
        <v/>
      </c>
      <c r="Q14" s="9">
        <f>IFERROR(IF(INDEX('[10]1. Reporting template'!$Q$1:$Q$400,MATCH($B14,'[10]1. Reporting template'!$B$1:$B$400,0))="","",INDEX('[10]1. Reporting template'!$Q$1:$Q$400,MATCH($B14,'[10]1. Reporting template'!$B$1:$B$400,0))),"")</f>
        <v/>
      </c>
    </row>
    <row r="15"/>
    <row r="16"/>
    <row r="17" ht="39" customHeight="1">
      <c r="B17" s="43" t="inlineStr">
        <is>
          <t>1.2  CI&amp;S – Sustainability Strategy (incl. CLLAP)</t>
        </is>
      </c>
    </row>
    <row r="18"/>
    <row r="19" ht="27" customHeight="1">
      <c r="C19" s="44" t="inlineStr">
        <is>
          <t>Sustainability 2030 target and indicator</t>
        </is>
      </c>
      <c r="H19" s="44" t="inlineStr">
        <is>
          <t>SR25 response</t>
        </is>
      </c>
      <c r="L19" s="45" t="inlineStr">
        <is>
          <t>End-2026 reporting (PLEASE COMPLETE THIS SECTION)</t>
        </is>
      </c>
    </row>
    <row r="20" ht="60" customHeight="1">
      <c r="B20" s="5" t="inlineStr">
        <is>
          <t>Ref</t>
        </is>
      </c>
      <c r="C20" s="5" t="inlineStr">
        <is>
          <t>Priority area</t>
        </is>
      </c>
      <c r="D20" s="5" t="inlineStr">
        <is>
          <t>Sustainability 2030 target</t>
        </is>
      </c>
      <c r="E20" s="5" t="inlineStr">
        <is>
          <t>Indicator</t>
        </is>
      </c>
      <c r="F20" s="5" t="inlineStr">
        <is>
          <t>2026 Reporting request</t>
        </is>
      </c>
      <c r="G20" s="5" t="inlineStr">
        <is>
          <t>How SST will use this data</t>
        </is>
      </c>
      <c r="H20" s="5" t="inlineStr">
        <is>
          <t>Related SR25 ref</t>
        </is>
      </c>
      <c r="I20" s="5" t="inlineStr">
        <is>
          <t>End-2025 confirmed status</t>
        </is>
      </c>
      <c r="J20" s="5" t="inlineStr">
        <is>
          <t>End-2025 reporting response</t>
        </is>
      </c>
      <c r="K20" s="5" t="inlineStr">
        <is>
          <t>Links and supporting information</t>
        </is>
      </c>
      <c r="L20" s="46" t="inlineStr">
        <is>
          <t>OPTION 1:  Target-level reporting (Column D)</t>
        </is>
      </c>
      <c r="M20" s="46" t="inlineStr">
        <is>
          <t>OPTION 2:  Indicator level reporting (Column E/F)</t>
        </is>
      </c>
      <c r="N20" s="46" t="inlineStr">
        <is>
          <t>Supporting information/comments</t>
        </is>
      </c>
      <c r="O20" s="46" t="inlineStr">
        <is>
          <t>Data source and limitations</t>
        </is>
      </c>
      <c r="P20" s="46" t="inlineStr">
        <is>
          <t>Data owner confirms information is accurate</t>
        </is>
      </c>
      <c r="Q20" s="46" t="inlineStr">
        <is>
          <t>Confirmed by (name, role, date)</t>
        </is>
      </c>
    </row>
    <row r="21" ht="81" customHeight="1">
      <c r="B21" s="47" t="inlineStr"/>
      <c r="C21" s="47" t="inlineStr"/>
      <c r="D21" s="47" t="inlineStr"/>
      <c r="E21" s="47" t="inlineStr"/>
      <c r="F21" s="47" t="inlineStr"/>
      <c r="G21" s="47" t="inlineStr"/>
      <c r="H21" s="47" t="inlineStr"/>
      <c r="I21" s="47" t="inlineStr"/>
      <c r="J21" s="47" t="inlineStr"/>
      <c r="K21" s="47" t="inlineStr"/>
      <c r="L21" s="47" t="inlineStr">
        <is>
          <t>A general update on activities in relation to the overarching target (Column D)</t>
        </is>
      </c>
      <c r="M21" s="47" t="inlineStr">
        <is>
          <t>Data and commentary in direct response to the reporting request (Column F)</t>
        </is>
      </c>
      <c r="N21" s="47" t="inlineStr">
        <is>
          <t>Any additional information (e.g. links, images, documents)</t>
        </is>
      </c>
      <c r="O21" s="47" t="inlineStr">
        <is>
          <t>Where did this information come from (system, report, survey, person)? Note any gaps or limitations.</t>
        </is>
      </c>
      <c r="P21" s="47" t="inlineStr">
        <is>
          <t>Select 'Yes' to confirm the information provided is accurate and can be used for reporting</t>
        </is>
      </c>
      <c r="Q21" s="47" t="inlineStr">
        <is>
          <t>Name, role and date of the person confirming</t>
        </is>
      </c>
    </row>
    <row r="22" ht="150" customHeight="1">
      <c r="B22" s="6" t="inlineStr">
        <is>
          <t>EE1(a)</t>
        </is>
      </c>
      <c r="C22" s="48" t="inlineStr">
        <is>
          <t>Exceptional education</t>
        </is>
      </c>
      <c r="D22" s="48" t="inlineStr">
        <is>
          <t>Provide our students with learning experiences that help them build the knowledge, skills and relationships to lead change for sustainable societies.</t>
        </is>
      </c>
      <c r="E22" s="48" t="inlineStr">
        <is>
          <t>Evidence of innovative approaches to sustainability teaching and learning</t>
        </is>
      </c>
      <c r="F22" s="7"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G22" s="7"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22" s="7" t="inlineStr">
        <is>
          <t>N/A – new indicator</t>
        </is>
      </c>
      <c r="I22" s="7" t="inlineStr"/>
      <c r="J22" s="7" t="inlineStr"/>
      <c r="K22" s="7" t="inlineStr"/>
      <c r="L22" s="9">
        <f>IFERROR(IF(INDEX('[10]1. Reporting template'!$L$1:$L$400,MATCH($B22,'[10]1. Reporting template'!$B$1:$B$400,0))="","",INDEX('[10]1. Reporting template'!$L$1:$L$400,MATCH($B22,'[10]1. Reporting template'!$B$1:$B$400,0))),"")</f>
        <v/>
      </c>
      <c r="M22" s="9">
        <f>IFERROR(IF(INDEX('[10]1. Reporting template'!$M$1:$M$400,MATCH($B22,'[10]1. Reporting template'!$B$1:$B$400,0))="","",INDEX('[10]1. Reporting template'!$M$1:$M$400,MATCH($B22,'[10]1. Reporting template'!$B$1:$B$400,0))),"")</f>
        <v/>
      </c>
      <c r="N22" s="9">
        <f>IFERROR(IF(INDEX('[10]1. Reporting template'!$N$1:$N$400,MATCH($B22,'[10]1. Reporting template'!$B$1:$B$400,0))="","",INDEX('[10]1. Reporting template'!$N$1:$N$400,MATCH($B22,'[10]1. Reporting template'!$B$1:$B$400,0))),"")</f>
        <v/>
      </c>
      <c r="O22" s="9">
        <f>IFERROR(IF(INDEX('[10]1. Reporting template'!$O$1:$O$400,MATCH($B22,'[10]1. Reporting template'!$B$1:$B$400,0))="","",INDEX('[10]1. Reporting template'!$O$1:$O$400,MATCH($B22,'[10]1. Reporting template'!$B$1:$B$400,0))),"")</f>
        <v/>
      </c>
      <c r="P22" s="9">
        <f>IFERROR(IF(INDEX('[10]1. Reporting template'!$P$1:$P$400,MATCH($B22,'[10]1. Reporting template'!$B$1:$B$400,0))="","",INDEX('[10]1. Reporting template'!$P$1:$P$400,MATCH($B22,'[10]1. Reporting template'!$B$1:$B$400,0))),"")</f>
        <v/>
      </c>
      <c r="Q22" s="9">
        <f>IFERROR(IF(INDEX('[10]1. Reporting template'!$Q$1:$Q$400,MATCH($B22,'[10]1. Reporting template'!$B$1:$B$400,0))="","",INDEX('[10]1. Reporting template'!$Q$1:$Q$400,MATCH($B22,'[10]1. Reporting template'!$B$1:$B$400,0))),"")</f>
        <v/>
      </c>
    </row>
    <row r="23" ht="150" customHeight="1">
      <c r="B23" s="6" t="inlineStr">
        <is>
          <t>EE1(b)</t>
        </is>
      </c>
      <c r="C23" s="48" t="inlineStr">
        <is>
          <t>Exceptional education</t>
        </is>
      </c>
      <c r="D23" s="48" t="inlineStr">
        <is>
          <t>Provide our students with learning experiences that help them build the knowledge, skills and relationships to lead change for sustainable societies.</t>
        </is>
      </c>
      <c r="E23" s="48" t="inlineStr">
        <is>
          <t>Pilots of possible approaches for understanding and developing students’ sustainability self-efficacy</t>
        </is>
      </c>
      <c r="F23" s="7"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G23" s="7" t="inlineStr">
        <is>
          <t>This is a new indicator. We will use responses to establish a baseline of how (and whether) faculties are understanding student sustainability self-efficacy, and report on early pilots in the 2026 Sustainability Report. A nil response is useful to us.</t>
        </is>
      </c>
      <c r="H23" s="7" t="inlineStr">
        <is>
          <t>N/A – new indicator</t>
        </is>
      </c>
      <c r="I23" s="7" t="inlineStr"/>
      <c r="J23" s="7" t="inlineStr"/>
      <c r="K23" s="7" t="inlineStr"/>
      <c r="L23" s="9">
        <f>IFERROR(IF(INDEX('[10]1. Reporting template'!$L$1:$L$400,MATCH($B23,'[10]1. Reporting template'!$B$1:$B$400,0))="","",INDEX('[10]1. Reporting template'!$L$1:$L$400,MATCH($B23,'[10]1. Reporting template'!$B$1:$B$400,0))),"")</f>
        <v/>
      </c>
      <c r="M23" s="9">
        <f>IFERROR(IF(INDEX('[10]1. Reporting template'!$M$1:$M$400,MATCH($B23,'[10]1. Reporting template'!$B$1:$B$400,0))="","",INDEX('[10]1. Reporting template'!$M$1:$M$400,MATCH($B23,'[10]1. Reporting template'!$B$1:$B$400,0))),"")</f>
        <v/>
      </c>
      <c r="N23" s="9">
        <f>IFERROR(IF(INDEX('[10]1. Reporting template'!$N$1:$N$400,MATCH($B23,'[10]1. Reporting template'!$B$1:$B$400,0))="","",INDEX('[10]1. Reporting template'!$N$1:$N$400,MATCH($B23,'[10]1. Reporting template'!$B$1:$B$400,0))),"")</f>
        <v/>
      </c>
      <c r="O23" s="9">
        <f>IFERROR(IF(INDEX('[10]1. Reporting template'!$O$1:$O$400,MATCH($B23,'[10]1. Reporting template'!$B$1:$B$400,0))="","",INDEX('[10]1. Reporting template'!$O$1:$O$400,MATCH($B23,'[10]1. Reporting template'!$B$1:$B$400,0))),"")</f>
        <v/>
      </c>
      <c r="P23" s="9">
        <f>IFERROR(IF(INDEX('[10]1. Reporting template'!$P$1:$P$400,MATCH($B23,'[10]1. Reporting template'!$B$1:$B$400,0))="","",INDEX('[10]1. Reporting template'!$P$1:$P$400,MATCH($B23,'[10]1. Reporting template'!$B$1:$B$400,0))),"")</f>
        <v/>
      </c>
      <c r="Q23" s="9">
        <f>IFERROR(IF(INDEX('[10]1. Reporting template'!$Q$1:$Q$400,MATCH($B23,'[10]1. Reporting template'!$B$1:$B$400,0))="","",INDEX('[10]1. Reporting template'!$Q$1:$Q$400,MATCH($B23,'[10]1. Reporting template'!$B$1:$B$400,0))),"")</f>
        <v/>
      </c>
    </row>
    <row r="24" ht="150" customHeight="1">
      <c r="B24" s="6" t="inlineStr">
        <is>
          <t>EE1(c)</t>
        </is>
      </c>
      <c r="C24" s="48" t="inlineStr">
        <is>
          <t>Exceptional education</t>
        </is>
      </c>
      <c r="D24" s="48" t="inlineStr">
        <is>
          <t>Provide our students with learning experiences that help them build the knowledge, skills and relationships to lead change for sustainable societies.</t>
        </is>
      </c>
      <c r="E24" s="48" t="inlineStr">
        <is>
          <t>Evidence of sustainability focused experiential and co curricular learning (eg Wattle Fellowship; Melbourne Plus)</t>
        </is>
      </c>
      <c r="F24" s="7"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G24" s="7" t="inlineStr">
        <is>
          <t>We will combine faculty examples with central Wattle Fellowship and Melbourne Plus data to report on the range and reach of sustainability-focused experiential and co-curricular learning across the University.</t>
        </is>
      </c>
      <c r="H24" s="7" t="inlineStr">
        <is>
          <t>N/A – new indicator</t>
        </is>
      </c>
      <c r="I24" s="7" t="inlineStr"/>
      <c r="J24" s="7" t="inlineStr"/>
      <c r="K24" s="7" t="inlineStr"/>
      <c r="L24" s="9">
        <f>IFERROR(IF(INDEX('[10]1. Reporting template'!$L$1:$L$400,MATCH($B24,'[10]1. Reporting template'!$B$1:$B$400,0))="","",INDEX('[10]1. Reporting template'!$L$1:$L$400,MATCH($B24,'[10]1. Reporting template'!$B$1:$B$400,0))),"")</f>
        <v/>
      </c>
      <c r="M24" s="9">
        <f>IFERROR(IF(INDEX('[10]1. Reporting template'!$M$1:$M$400,MATCH($B24,'[10]1. Reporting template'!$B$1:$B$400,0))="","",INDEX('[10]1. Reporting template'!$M$1:$M$400,MATCH($B24,'[10]1. Reporting template'!$B$1:$B$400,0))),"")</f>
        <v/>
      </c>
      <c r="N24" s="9">
        <f>IFERROR(IF(INDEX('[10]1. Reporting template'!$N$1:$N$400,MATCH($B24,'[10]1. Reporting template'!$B$1:$B$400,0))="","",INDEX('[10]1. Reporting template'!$N$1:$N$400,MATCH($B24,'[10]1. Reporting template'!$B$1:$B$400,0))),"")</f>
        <v/>
      </c>
      <c r="O24" s="9">
        <f>IFERROR(IF(INDEX('[10]1. Reporting template'!$O$1:$O$400,MATCH($B24,'[10]1. Reporting template'!$B$1:$B$400,0))="","",INDEX('[10]1. Reporting template'!$O$1:$O$400,MATCH($B24,'[10]1. Reporting template'!$B$1:$B$400,0))),"")</f>
        <v/>
      </c>
      <c r="P24" s="9">
        <f>IFERROR(IF(INDEX('[10]1. Reporting template'!$P$1:$P$400,MATCH($B24,'[10]1. Reporting template'!$B$1:$B$400,0))="","",INDEX('[10]1. Reporting template'!$P$1:$P$400,MATCH($B24,'[10]1. Reporting template'!$B$1:$B$400,0))),"")</f>
        <v/>
      </c>
      <c r="Q24" s="9">
        <f>IFERROR(IF(INDEX('[10]1. Reporting template'!$Q$1:$Q$400,MATCH($B24,'[10]1. Reporting template'!$B$1:$B$400,0))="","",INDEX('[10]1. Reporting template'!$Q$1:$Q$400,MATCH($B24,'[10]1. Reporting template'!$B$1:$B$400,0))),"")</f>
        <v/>
      </c>
    </row>
    <row r="25" ht="188" customHeight="1">
      <c r="B25" s="6" t="inlineStr">
        <is>
          <t>TR1(a)</t>
        </is>
      </c>
      <c r="C25" s="48" t="inlineStr">
        <is>
          <t>Transformational research</t>
        </is>
      </c>
      <c r="D25" s="48" t="inlineStr">
        <is>
          <t>Utilise the expertise of the University’s researchers through mutually beneficial partnerships to help address the University’s operational sustainability challenges.</t>
        </is>
      </c>
      <c r="E25" s="48" t="inlineStr">
        <is>
          <t>Expert-reviewed evidence of researchers contributing to operational sustainability priorities through partnerships, advisory input, living labs, applied projects or decision-support</t>
        </is>
      </c>
      <c r="F25" s="7"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
In end-2025 reporting your area reported on the related SP2030 target 5a(ii) (see Column J – click [+] above Columns I–K).</t>
        </is>
      </c>
      <c r="G25" s="7" t="inlineStr">
        <is>
          <t>We will report on examples of researchers helping solve the University's own operational sustainability challenges, alongside Campus Living Lab Accelerator Program case studies collected directly from project owners, and share them with operational teams to identify further collaboration.</t>
        </is>
      </c>
      <c r="H25" s="7" t="inlineStr">
        <is>
          <t>5a(ii)</t>
        </is>
      </c>
      <c r="I25" s="7" t="inlineStr">
        <is>
          <t>Partially met</t>
        </is>
      </c>
      <c r="J25" s="7" t="inlineStr">
        <is>
          <t>Tangible improvement in some areas, but not all (haven't done ASRS, for example).</t>
        </is>
      </c>
      <c r="K25" s="7" t="inlineStr"/>
      <c r="L25" s="9">
        <f>IFERROR(IF(INDEX('[10]1. Reporting template'!$L$1:$L$400,MATCH($B25,'[10]1. Reporting template'!$B$1:$B$400,0))="","",INDEX('[10]1. Reporting template'!$L$1:$L$400,MATCH($B25,'[10]1. Reporting template'!$B$1:$B$400,0))),"")</f>
        <v/>
      </c>
      <c r="M25" s="9">
        <f>IFERROR(IF(INDEX('[10]1. Reporting template'!$M$1:$M$400,MATCH($B25,'[10]1. Reporting template'!$B$1:$B$400,0))="","",INDEX('[10]1. Reporting template'!$M$1:$M$400,MATCH($B25,'[10]1. Reporting template'!$B$1:$B$400,0))),"")</f>
        <v/>
      </c>
      <c r="N25" s="9">
        <f>IFERROR(IF(INDEX('[10]1. Reporting template'!$N$1:$N$400,MATCH($B25,'[10]1. Reporting template'!$B$1:$B$400,0))="","",INDEX('[10]1. Reporting template'!$N$1:$N$400,MATCH($B25,'[10]1. Reporting template'!$B$1:$B$400,0))),"")</f>
        <v/>
      </c>
      <c r="O25" s="9">
        <f>IFERROR(IF(INDEX('[10]1. Reporting template'!$O$1:$O$400,MATCH($B25,'[10]1. Reporting template'!$B$1:$B$400,0))="","",INDEX('[10]1. Reporting template'!$O$1:$O$400,MATCH($B25,'[10]1. Reporting template'!$B$1:$B$400,0))),"")</f>
        <v/>
      </c>
      <c r="P25" s="9">
        <f>IFERROR(IF(INDEX('[10]1. Reporting template'!$P$1:$P$400,MATCH($B25,'[10]1. Reporting template'!$B$1:$B$400,0))="","",INDEX('[10]1. Reporting template'!$P$1:$P$400,MATCH($B25,'[10]1. Reporting template'!$B$1:$B$400,0))),"")</f>
        <v/>
      </c>
      <c r="Q25" s="9">
        <f>IFERROR(IF(INDEX('[10]1. Reporting template'!$Q$1:$Q$400,MATCH($B25,'[10]1. Reporting template'!$B$1:$B$400,0))="","",INDEX('[10]1. Reporting template'!$Q$1:$Q$400,MATCH($B25,'[10]1. Reporting template'!$B$1:$B$400,0))),"")</f>
        <v/>
      </c>
    </row>
    <row r="26" ht="150" customHeight="1">
      <c r="B26" s="6" t="inlineStr">
        <is>
          <t>TR2(d)</t>
        </is>
      </c>
      <c r="C26" s="48" t="inlineStr">
        <is>
          <t>Transformational research</t>
        </is>
      </c>
      <c r="D26" s="48" t="inlineStr">
        <is>
          <t>Deliver high-quality research and partnerships that contribute to sustainability outcomes and demonstrable societal benefit.</t>
        </is>
      </c>
      <c r="E26" s="48" t="inlineStr">
        <is>
          <t>Case-based evidence demonstrating how research has contributed to meaningful sustainability outcomes.</t>
        </is>
      </c>
      <c r="F26" s="7"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G26" s="7" t="inlineStr">
        <is>
          <t>We will select the strongest examples to develop as full research case studies for the 2026 Sustainability Report (we may contact you for more detail and images).</t>
        </is>
      </c>
      <c r="H26" s="7" t="inlineStr">
        <is>
          <t>N/A – new indicator</t>
        </is>
      </c>
      <c r="I26" s="7" t="inlineStr"/>
      <c r="J26" s="7" t="inlineStr"/>
      <c r="K26" s="7" t="inlineStr"/>
      <c r="L26" s="9">
        <f>IFERROR(IF(INDEX('[10]1. Reporting template'!$L$1:$L$400,MATCH($B26,'[10]1. Reporting template'!$B$1:$B$400,0))="","",INDEX('[10]1. Reporting template'!$L$1:$L$400,MATCH($B26,'[10]1. Reporting template'!$B$1:$B$400,0))),"")</f>
        <v/>
      </c>
      <c r="M26" s="9">
        <f>IFERROR(IF(INDEX('[10]1. Reporting template'!$M$1:$M$400,MATCH($B26,'[10]1. Reporting template'!$B$1:$B$400,0))="","",INDEX('[10]1. Reporting template'!$M$1:$M$400,MATCH($B26,'[10]1. Reporting template'!$B$1:$B$400,0))),"")</f>
        <v/>
      </c>
      <c r="N26" s="9">
        <f>IFERROR(IF(INDEX('[10]1. Reporting template'!$N$1:$N$400,MATCH($B26,'[10]1. Reporting template'!$B$1:$B$400,0))="","",INDEX('[10]1. Reporting template'!$N$1:$N$400,MATCH($B26,'[10]1. Reporting template'!$B$1:$B$400,0))),"")</f>
        <v/>
      </c>
      <c r="O26" s="9">
        <f>IFERROR(IF(INDEX('[10]1. Reporting template'!$O$1:$O$400,MATCH($B26,'[10]1. Reporting template'!$B$1:$B$400,0))="","",INDEX('[10]1. Reporting template'!$O$1:$O$400,MATCH($B26,'[10]1. Reporting template'!$B$1:$B$400,0))),"")</f>
        <v/>
      </c>
      <c r="P26" s="9">
        <f>IFERROR(IF(INDEX('[10]1. Reporting template'!$P$1:$P$400,MATCH($B26,'[10]1. Reporting template'!$B$1:$B$400,0))="","",INDEX('[10]1. Reporting template'!$P$1:$P$400,MATCH($B26,'[10]1. Reporting template'!$B$1:$B$400,0))),"")</f>
        <v/>
      </c>
      <c r="Q26" s="9">
        <f>IFERROR(IF(INDEX('[10]1. Reporting template'!$Q$1:$Q$400,MATCH($B26,'[10]1. Reporting template'!$B$1:$B$400,0))="","",INDEX('[10]1. Reporting template'!$Q$1:$Q$400,MATCH($B26,'[10]1. Reporting template'!$B$1:$B$400,0))),"")</f>
        <v/>
      </c>
    </row>
    <row r="27" ht="150" customHeight="1">
      <c r="B27" s="6" t="inlineStr">
        <is>
          <t>TR3(b)</t>
        </is>
      </c>
      <c r="C27" s="48" t="inlineStr">
        <is>
          <t>Transformational research</t>
        </is>
      </c>
      <c r="D27" s="48" t="inlineStr">
        <is>
          <t>Embed sustainability within research systems, processes, capability and culture, so research is conducted responsibly, efficiently and with reduced environmental impact.</t>
        </is>
      </c>
      <c r="E27" s="48" t="inlineStr">
        <is>
          <t>Demonstrated examples of more sustainable research practices in laboratories, fieldwork, procurement, travel or infrastructure use</t>
        </is>
      </c>
      <c r="F27" s="7"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G27" s="7" t="inlineStr">
        <is>
          <t>We will report on ways the University is making research practices more sustainable in the 2026 Sustainability Report, and share practical examples (e.g. green labs) across faculties.</t>
        </is>
      </c>
      <c r="H27" s="7" t="inlineStr">
        <is>
          <t>N/A – new indicator</t>
        </is>
      </c>
      <c r="I27" s="7" t="inlineStr"/>
      <c r="J27" s="7" t="inlineStr"/>
      <c r="K27" s="7" t="inlineStr"/>
      <c r="L27" s="9">
        <f>IFERROR(IF(INDEX('[10]1. Reporting template'!$L$1:$L$400,MATCH($B27,'[10]1. Reporting template'!$B$1:$B$400,0))="","",INDEX('[10]1. Reporting template'!$L$1:$L$400,MATCH($B27,'[10]1. Reporting template'!$B$1:$B$400,0))),"")</f>
        <v/>
      </c>
      <c r="M27" s="9">
        <f>IFERROR(IF(INDEX('[10]1. Reporting template'!$M$1:$M$400,MATCH($B27,'[10]1. Reporting template'!$B$1:$B$400,0))="","",INDEX('[10]1. Reporting template'!$M$1:$M$400,MATCH($B27,'[10]1. Reporting template'!$B$1:$B$400,0))),"")</f>
        <v/>
      </c>
      <c r="N27" s="9">
        <f>IFERROR(IF(INDEX('[10]1. Reporting template'!$N$1:$N$400,MATCH($B27,'[10]1. Reporting template'!$B$1:$B$400,0))="","",INDEX('[10]1. Reporting template'!$N$1:$N$400,MATCH($B27,'[10]1. Reporting template'!$B$1:$B$400,0))),"")</f>
        <v/>
      </c>
      <c r="O27" s="9">
        <f>IFERROR(IF(INDEX('[10]1. Reporting template'!$O$1:$O$400,MATCH($B27,'[10]1. Reporting template'!$B$1:$B$400,0))="","",INDEX('[10]1. Reporting template'!$O$1:$O$400,MATCH($B27,'[10]1. Reporting template'!$B$1:$B$400,0))),"")</f>
        <v/>
      </c>
      <c r="P27" s="9">
        <f>IFERROR(IF(INDEX('[10]1. Reporting template'!$P$1:$P$400,MATCH($B27,'[10]1. Reporting template'!$B$1:$B$400,0))="","",INDEX('[10]1. Reporting template'!$P$1:$P$400,MATCH($B27,'[10]1. Reporting template'!$B$1:$B$400,0))),"")</f>
        <v/>
      </c>
      <c r="Q27" s="9">
        <f>IFERROR(IF(INDEX('[10]1. Reporting template'!$Q$1:$Q$400,MATCH($B27,'[10]1. Reporting template'!$B$1:$B$400,0))="","",INDEX('[10]1. Reporting template'!$Q$1:$Q$400,MATCH($B27,'[10]1. Reporting template'!$B$1:$B$400,0))),"")</f>
        <v/>
      </c>
    </row>
    <row r="28" ht="220" customHeight="1">
      <c r="B28" s="6" t="inlineStr">
        <is>
          <t>CL1(c)</t>
        </is>
      </c>
      <c r="C28" s="48" t="inlineStr">
        <is>
          <t>Climate leadership</t>
        </is>
      </c>
      <c r="D28" s="48"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c r="E28" s="48" t="inlineStr">
        <is>
          <t>Review of Climate Leadership targets by 2030.[2]</t>
        </is>
      </c>
      <c r="F28" s="7" t="inlineStr">
        <is>
          <t>(Reporting request TBC)</t>
        </is>
      </c>
      <c r="G28" s="7" t="inlineStr">
        <is>
          <t>For internal planning: we will record the status of the planned review of Climate Leadership targets (due by 2030).</t>
        </is>
      </c>
      <c r="H28" s="7" t="inlineStr">
        <is>
          <t>N/A – new indicator</t>
        </is>
      </c>
      <c r="I28" s="7" t="inlineStr"/>
      <c r="J28" s="7" t="inlineStr"/>
      <c r="K28" s="7" t="inlineStr"/>
      <c r="L28" s="9">
        <f>IFERROR(IF(INDEX('[10]1. Reporting template'!$L$1:$L$400,MATCH($B28,'[10]1. Reporting template'!$B$1:$B$400,0))="","",INDEX('[10]1. Reporting template'!$L$1:$L$400,MATCH($B28,'[10]1. Reporting template'!$B$1:$B$400,0))),"")</f>
        <v/>
      </c>
      <c r="M28" s="9">
        <f>IFERROR(IF(INDEX('[10]1. Reporting template'!$M$1:$M$400,MATCH($B28,'[10]1. Reporting template'!$B$1:$B$400,0))="","",INDEX('[10]1. Reporting template'!$M$1:$M$400,MATCH($B28,'[10]1. Reporting template'!$B$1:$B$400,0))),"")</f>
        <v/>
      </c>
      <c r="N28" s="9">
        <f>IFERROR(IF(INDEX('[10]1. Reporting template'!$N$1:$N$400,MATCH($B28,'[10]1. Reporting template'!$B$1:$B$400,0))="","",INDEX('[10]1. Reporting template'!$N$1:$N$400,MATCH($B28,'[10]1. Reporting template'!$B$1:$B$400,0))),"")</f>
        <v/>
      </c>
      <c r="O28" s="9">
        <f>IFERROR(IF(INDEX('[10]1. Reporting template'!$O$1:$O$400,MATCH($B28,'[10]1. Reporting template'!$B$1:$B$400,0))="","",INDEX('[10]1. Reporting template'!$O$1:$O$400,MATCH($B28,'[10]1. Reporting template'!$B$1:$B$400,0))),"")</f>
        <v/>
      </c>
      <c r="P28" s="9">
        <f>IFERROR(IF(INDEX('[10]1. Reporting template'!$P$1:$P$400,MATCH($B28,'[10]1. Reporting template'!$B$1:$B$400,0))="","",INDEX('[10]1. Reporting template'!$P$1:$P$400,MATCH($B28,'[10]1. Reporting template'!$B$1:$B$400,0))),"")</f>
        <v/>
      </c>
      <c r="Q28" s="9">
        <f>IFERROR(IF(INDEX('[10]1. Reporting template'!$Q$1:$Q$400,MATCH($B28,'[10]1. Reporting template'!$B$1:$B$400,0))="","",INDEX('[10]1. Reporting template'!$Q$1:$Q$400,MATCH($B28,'[10]1. Reporting template'!$B$1:$B$400,0))),"")</f>
        <v/>
      </c>
    </row>
    <row r="29" ht="150" customHeight="1">
      <c r="B29" s="6" t="inlineStr">
        <is>
          <t>AI1(a)</t>
        </is>
      </c>
      <c r="C29" s="48" t="inlineStr">
        <is>
          <t>Responsible AI</t>
        </is>
      </c>
      <c r="D29" s="48" t="inlineStr">
        <is>
          <t>Improve understanding of our sustainability-related risks and opportunities of AI technologies by 2028.</t>
        </is>
      </c>
      <c r="E29" s="48" t="inlineStr">
        <is>
          <t>Established measurement of estimated operational impacts and opportunities (eg operational impacts could include energy, water, emissions and intensity measures)</t>
        </is>
      </c>
      <c r="F29" s="7" t="inlineStr">
        <is>
          <t>(Reporting request TBC)</t>
        </is>
      </c>
      <c r="G29" s="7" t="inlineStr">
        <is>
          <t>We will provide a high-level overview of AI's estimated operational impacts and opportunities in 2026, ahead of more detailed measurement from 2027.</t>
        </is>
      </c>
      <c r="H29" s="7" t="inlineStr">
        <is>
          <t>N/A – new indicator</t>
        </is>
      </c>
      <c r="I29" s="7" t="inlineStr"/>
      <c r="J29" s="7" t="inlineStr"/>
      <c r="K29" s="7" t="inlineStr"/>
      <c r="L29" s="9">
        <f>IFERROR(IF(INDEX('[10]1. Reporting template'!$L$1:$L$400,MATCH($B29,'[10]1. Reporting template'!$B$1:$B$400,0))="","",INDEX('[10]1. Reporting template'!$L$1:$L$400,MATCH($B29,'[10]1. Reporting template'!$B$1:$B$400,0))),"")</f>
        <v/>
      </c>
      <c r="M29" s="9">
        <f>IFERROR(IF(INDEX('[10]1. Reporting template'!$M$1:$M$400,MATCH($B29,'[10]1. Reporting template'!$B$1:$B$400,0))="","",INDEX('[10]1. Reporting template'!$M$1:$M$400,MATCH($B29,'[10]1. Reporting template'!$B$1:$B$400,0))),"")</f>
        <v/>
      </c>
      <c r="N29" s="9">
        <f>IFERROR(IF(INDEX('[10]1. Reporting template'!$N$1:$N$400,MATCH($B29,'[10]1. Reporting template'!$B$1:$B$400,0))="","",INDEX('[10]1. Reporting template'!$N$1:$N$400,MATCH($B29,'[10]1. Reporting template'!$B$1:$B$400,0))),"")</f>
        <v/>
      </c>
      <c r="O29" s="9">
        <f>IFERROR(IF(INDEX('[10]1. Reporting template'!$O$1:$O$400,MATCH($B29,'[10]1. Reporting template'!$B$1:$B$400,0))="","",INDEX('[10]1. Reporting template'!$O$1:$O$400,MATCH($B29,'[10]1. Reporting template'!$B$1:$B$400,0))),"")</f>
        <v/>
      </c>
      <c r="P29" s="9">
        <f>IFERROR(IF(INDEX('[10]1. Reporting template'!$P$1:$P$400,MATCH($B29,'[10]1. Reporting template'!$B$1:$B$400,0))="","",INDEX('[10]1. Reporting template'!$P$1:$P$400,MATCH($B29,'[10]1. Reporting template'!$B$1:$B$400,0))),"")</f>
        <v/>
      </c>
      <c r="Q29" s="9">
        <f>IFERROR(IF(INDEX('[10]1. Reporting template'!$Q$1:$Q$400,MATCH($B29,'[10]1. Reporting template'!$B$1:$B$400,0))="","",INDEX('[10]1. Reporting template'!$Q$1:$Q$400,MATCH($B29,'[10]1. Reporting template'!$B$1:$B$400,0))),"")</f>
        <v/>
      </c>
    </row>
    <row r="30" ht="150" customHeight="1">
      <c r="B30" s="6" t="inlineStr">
        <is>
          <t>AI1(b)</t>
        </is>
      </c>
      <c r="C30" s="48" t="inlineStr">
        <is>
          <t>Responsible AI</t>
        </is>
      </c>
      <c r="D30" s="48" t="inlineStr">
        <is>
          <t>Improve understanding of our sustainability-related risks and opportunities of AI technologies by 2028.</t>
        </is>
      </c>
      <c r="E30" s="48" t="inlineStr">
        <is>
          <t>Case studies of sustainability and AI-related education, research and collaboration activities.</t>
        </is>
      </c>
      <c r="F30" s="7" t="inlineStr">
        <is>
          <t>Please provide case studies from your Faculty/Portfolio of sustainability and AI-related education, research or collaboration activities, describing the activity, participants or partners, sustainability issue addressed and key outcomes or lessons.</t>
        </is>
      </c>
      <c r="G30" s="7" t="inlineStr">
        <is>
          <t>We will select examples of sustainability and AI-related education, research and collaboration as case studies for the new Responsible AI section of the 2026 Sustainability Report.</t>
        </is>
      </c>
      <c r="H30" s="7" t="inlineStr">
        <is>
          <t>N/A – new indicator</t>
        </is>
      </c>
      <c r="I30" s="7" t="inlineStr"/>
      <c r="J30" s="7" t="inlineStr"/>
      <c r="K30" s="7" t="inlineStr"/>
      <c r="L30" s="9">
        <f>IFERROR(IF(INDEX('[10]1. Reporting template'!$L$1:$L$400,MATCH($B30,'[10]1. Reporting template'!$B$1:$B$400,0))="","",INDEX('[10]1. Reporting template'!$L$1:$L$400,MATCH($B30,'[10]1. Reporting template'!$B$1:$B$400,0))),"")</f>
        <v/>
      </c>
      <c r="M30" s="9">
        <f>IFERROR(IF(INDEX('[10]1. Reporting template'!$M$1:$M$400,MATCH($B30,'[10]1. Reporting template'!$B$1:$B$400,0))="","",INDEX('[10]1. Reporting template'!$M$1:$M$400,MATCH($B30,'[10]1. Reporting template'!$B$1:$B$400,0))),"")</f>
        <v/>
      </c>
      <c r="N30" s="9">
        <f>IFERROR(IF(INDEX('[10]1. Reporting template'!$N$1:$N$400,MATCH($B30,'[10]1. Reporting template'!$B$1:$B$400,0))="","",INDEX('[10]1. Reporting template'!$N$1:$N$400,MATCH($B30,'[10]1. Reporting template'!$B$1:$B$400,0))),"")</f>
        <v/>
      </c>
      <c r="O30" s="9">
        <f>IFERROR(IF(INDEX('[10]1. Reporting template'!$O$1:$O$400,MATCH($B30,'[10]1. Reporting template'!$B$1:$B$400,0))="","",INDEX('[10]1. Reporting template'!$O$1:$O$400,MATCH($B30,'[10]1. Reporting template'!$B$1:$B$400,0))),"")</f>
        <v/>
      </c>
      <c r="P30" s="9">
        <f>IFERROR(IF(INDEX('[10]1. Reporting template'!$P$1:$P$400,MATCH($B30,'[10]1. Reporting template'!$B$1:$B$400,0))="","",INDEX('[10]1. Reporting template'!$P$1:$P$400,MATCH($B30,'[10]1. Reporting template'!$B$1:$B$400,0))),"")</f>
        <v/>
      </c>
      <c r="Q30" s="9">
        <f>IFERROR(IF(INDEX('[10]1. Reporting template'!$Q$1:$Q$400,MATCH($B30,'[10]1. Reporting template'!$B$1:$B$400,0))="","",INDEX('[10]1. Reporting template'!$Q$1:$Q$400,MATCH($B30,'[10]1. Reporting template'!$B$1:$B$400,0))),"")</f>
        <v/>
      </c>
    </row>
    <row r="31" ht="150" customHeight="1">
      <c r="B31" s="6" t="inlineStr">
        <is>
          <t>MS1(a)</t>
        </is>
      </c>
      <c r="C31" s="48" t="inlineStr">
        <is>
          <t>Modern slavery and human rights</t>
        </is>
      </c>
      <c r="D31" s="48" t="inlineStr">
        <is>
          <t>Manage our approach to modern slavery and human rights-related risks and opportunities.</t>
        </is>
      </c>
      <c r="E31" s="48" t="inlineStr">
        <is>
          <t>Annual progress reporting via the Modern Slavery Statement</t>
        </is>
      </c>
      <c r="F31" s="7" t="inlineStr">
        <is>
          <t>Annual Modern Slavery Statement, with case studies
We did not receive an end-2025 response for the related SP2030 target 11c(ii), so please include any relevant activity from across 2026.</t>
        </is>
      </c>
      <c r="G31" s="7" t="inlineStr">
        <is>
          <t>We will draw on the annual Modern Slavery Statement and case studies to report on the University's approach to modern slavery and human rights risks (timing to be aligned with the Statement).</t>
        </is>
      </c>
      <c r="H31" s="7" t="inlineStr">
        <is>
          <t>11c(ii)</t>
        </is>
      </c>
      <c r="I31" s="7" t="inlineStr"/>
      <c r="J31" s="7" t="inlineStr"/>
      <c r="K31" s="7" t="inlineStr"/>
      <c r="L31" s="9">
        <f>IFERROR(IF(INDEX('[10]1. Reporting template'!$L$1:$L$400,MATCH($B31,'[10]1. Reporting template'!$B$1:$B$400,0))="","",INDEX('[10]1. Reporting template'!$L$1:$L$400,MATCH($B31,'[10]1. Reporting template'!$B$1:$B$400,0))),"")</f>
        <v/>
      </c>
      <c r="M31" s="9">
        <f>IFERROR(IF(INDEX('[10]1. Reporting template'!$M$1:$M$400,MATCH($B31,'[10]1. Reporting template'!$B$1:$B$400,0))="","",INDEX('[10]1. Reporting template'!$M$1:$M$400,MATCH($B31,'[10]1. Reporting template'!$B$1:$B$400,0))),"")</f>
        <v/>
      </c>
      <c r="N31" s="9">
        <f>IFERROR(IF(INDEX('[10]1. Reporting template'!$N$1:$N$400,MATCH($B31,'[10]1. Reporting template'!$B$1:$B$400,0))="","",INDEX('[10]1. Reporting template'!$N$1:$N$400,MATCH($B31,'[10]1. Reporting template'!$B$1:$B$400,0))),"")</f>
        <v/>
      </c>
      <c r="O31" s="9">
        <f>IFERROR(IF(INDEX('[10]1. Reporting template'!$O$1:$O$400,MATCH($B31,'[10]1. Reporting template'!$B$1:$B$400,0))="","",INDEX('[10]1. Reporting template'!$O$1:$O$400,MATCH($B31,'[10]1. Reporting template'!$B$1:$B$400,0))),"")</f>
        <v/>
      </c>
      <c r="P31" s="9">
        <f>IFERROR(IF(INDEX('[10]1. Reporting template'!$P$1:$P$400,MATCH($B31,'[10]1. Reporting template'!$B$1:$B$400,0))="","",INDEX('[10]1. Reporting template'!$P$1:$P$400,MATCH($B31,'[10]1. Reporting template'!$B$1:$B$400,0))),"")</f>
        <v/>
      </c>
      <c r="Q31" s="9">
        <f>IFERROR(IF(INDEX('[10]1. Reporting template'!$Q$1:$Q$400,MATCH($B31,'[10]1. Reporting template'!$B$1:$B$400,0))="","",INDEX('[10]1. Reporting template'!$Q$1:$Q$400,MATCH($B31,'[10]1. Reporting template'!$B$1:$B$400,0))),"")</f>
        <v/>
      </c>
    </row>
    <row r="32" ht="150" customHeight="1">
      <c r="B32" s="6" t="inlineStr">
        <is>
          <t>RI1(b)</t>
        </is>
      </c>
      <c r="C32" s="48" t="inlineStr">
        <is>
          <t>Responsible investments</t>
        </is>
      </c>
      <c r="D32" s="48" t="inlineStr">
        <is>
          <t>Achieve net zero financed emissions for the University’s investment portfolio by 2050.</t>
        </is>
      </c>
      <c r="E32" s="48" t="inlineStr">
        <is>
          <t>Continuous improvement of the reporting of the University’s sustainability-related investment profile metrics, could include investment in climate mitigation and transition solutions, and compliance with related obligations (eg UNPRI).</t>
        </is>
      </c>
      <c r="F32" s="7" t="inlineStr">
        <is>
          <t>Report on relevant sustainability-related investment portfolio metrics and report on how the University has complied with its related obligations
We did not receive an end-2025 response for the related SP2030 target 12b(i), so please include any relevant activity from across 2026.</t>
        </is>
      </c>
      <c r="G32" s="7" t="inlineStr">
        <is>
          <t>We will report on sustainability-related investment portfolio metrics and the University's compliance with related obligations (e.g. UNPRI) in the Responsible investments section of the 2026 Sustainability Report.</t>
        </is>
      </c>
      <c r="H32" s="7" t="inlineStr">
        <is>
          <t>12b(i)</t>
        </is>
      </c>
      <c r="I32" s="7" t="inlineStr"/>
      <c r="J32" s="7" t="inlineStr"/>
      <c r="K32" s="7" t="inlineStr"/>
      <c r="L32" s="9">
        <f>IFERROR(IF(INDEX('[10]1. Reporting template'!$L$1:$L$400,MATCH($B32,'[10]1. Reporting template'!$B$1:$B$400,0))="","",INDEX('[10]1. Reporting template'!$L$1:$L$400,MATCH($B32,'[10]1. Reporting template'!$B$1:$B$400,0))),"")</f>
        <v/>
      </c>
      <c r="M32" s="9">
        <f>IFERROR(IF(INDEX('[10]1. Reporting template'!$M$1:$M$400,MATCH($B32,'[10]1. Reporting template'!$B$1:$B$400,0))="","",INDEX('[10]1. Reporting template'!$M$1:$M$400,MATCH($B32,'[10]1. Reporting template'!$B$1:$B$400,0))),"")</f>
        <v/>
      </c>
      <c r="N32" s="9">
        <f>IFERROR(IF(INDEX('[10]1. Reporting template'!$N$1:$N$400,MATCH($B32,'[10]1. Reporting template'!$B$1:$B$400,0))="","",INDEX('[10]1. Reporting template'!$N$1:$N$400,MATCH($B32,'[10]1. Reporting template'!$B$1:$B$400,0))),"")</f>
        <v/>
      </c>
      <c r="O32" s="9">
        <f>IFERROR(IF(INDEX('[10]1. Reporting template'!$O$1:$O$400,MATCH($B32,'[10]1. Reporting template'!$B$1:$B$400,0))="","",INDEX('[10]1. Reporting template'!$O$1:$O$400,MATCH($B32,'[10]1. Reporting template'!$B$1:$B$400,0))),"")</f>
        <v/>
      </c>
      <c r="P32" s="9">
        <f>IFERROR(IF(INDEX('[10]1. Reporting template'!$P$1:$P$400,MATCH($B32,'[10]1. Reporting template'!$B$1:$B$400,0))="","",INDEX('[10]1. Reporting template'!$P$1:$P$400,MATCH($B32,'[10]1. Reporting template'!$B$1:$B$400,0))),"")</f>
        <v/>
      </c>
      <c r="Q32" s="9">
        <f>IFERROR(IF(INDEX('[10]1. Reporting template'!$Q$1:$Q$400,MATCH($B32,'[10]1. Reporting template'!$B$1:$B$400,0))="","",INDEX('[10]1. Reporting template'!$Q$1:$Q$400,MATCH($B32,'[10]1. Reporting template'!$B$1:$B$400,0))),"")</f>
        <v/>
      </c>
    </row>
    <row r="33" ht="150" customHeight="1">
      <c r="B33" s="6" t="inlineStr">
        <is>
          <t>EN1(b)</t>
        </is>
      </c>
      <c r="C33" s="48" t="inlineStr">
        <is>
          <t>Enablers</t>
        </is>
      </c>
      <c r="D33" s="48" t="inlineStr">
        <is>
          <t>Enablers</t>
        </is>
      </c>
      <c r="E33" s="48" t="inlineStr">
        <is>
          <t>Living laboratories enabling applied learning, research and operational sustainability outcomes</t>
        </is>
      </c>
      <c r="F33" s="7" t="inlineStr">
        <is>
          <t>Please comment on sustainability-related living labs in your area – their activities, outputs, outcomes and impact.
We did not receive an end-2025 response for the related SP2030 target 2a, so please include any relevant activity from across 2026.</t>
        </is>
      </c>
      <c r="G33" s="7" t="inlineStr">
        <is>
          <t>We will share examples of sustainability-related living labs from across the University in the 2026 Sustainability Report, alongside Campus Living Lab Accelerator Program case studies collected directly from project owners.</t>
        </is>
      </c>
      <c r="H33" s="7" t="inlineStr">
        <is>
          <t>2a</t>
        </is>
      </c>
      <c r="I33" s="7" t="inlineStr"/>
      <c r="J33" s="7" t="inlineStr"/>
      <c r="K33" s="7" t="inlineStr"/>
      <c r="L33" s="9">
        <f>IFERROR(IF(INDEX('[10]1. Reporting template'!$L$1:$L$400,MATCH($B33,'[10]1. Reporting template'!$B$1:$B$400,0))="","",INDEX('[10]1. Reporting template'!$L$1:$L$400,MATCH($B33,'[10]1. Reporting template'!$B$1:$B$400,0))),"")</f>
        <v/>
      </c>
      <c r="M33" s="9">
        <f>IFERROR(IF(INDEX('[10]1. Reporting template'!$M$1:$M$400,MATCH($B33,'[10]1. Reporting template'!$B$1:$B$400,0))="","",INDEX('[10]1. Reporting template'!$M$1:$M$400,MATCH($B33,'[10]1. Reporting template'!$B$1:$B$400,0))),"")</f>
        <v/>
      </c>
      <c r="N33" s="9">
        <f>IFERROR(IF(INDEX('[10]1. Reporting template'!$N$1:$N$400,MATCH($B33,'[10]1. Reporting template'!$B$1:$B$400,0))="","",INDEX('[10]1. Reporting template'!$N$1:$N$400,MATCH($B33,'[10]1. Reporting template'!$B$1:$B$400,0))),"")</f>
        <v/>
      </c>
      <c r="O33" s="9">
        <f>IFERROR(IF(INDEX('[10]1. Reporting template'!$O$1:$O$400,MATCH($B33,'[10]1. Reporting template'!$B$1:$B$400,0))="","",INDEX('[10]1. Reporting template'!$O$1:$O$400,MATCH($B33,'[10]1. Reporting template'!$B$1:$B$400,0))),"")</f>
        <v/>
      </c>
      <c r="P33" s="9">
        <f>IFERROR(IF(INDEX('[10]1. Reporting template'!$P$1:$P$400,MATCH($B33,'[10]1. Reporting template'!$B$1:$B$400,0))="","",INDEX('[10]1. Reporting template'!$P$1:$P$400,MATCH($B33,'[10]1. Reporting template'!$B$1:$B$400,0))),"")</f>
        <v/>
      </c>
      <c r="Q33" s="9">
        <f>IFERROR(IF(INDEX('[10]1. Reporting template'!$Q$1:$Q$400,MATCH($B33,'[10]1. Reporting template'!$B$1:$B$400,0))="","",INDEX('[10]1. Reporting template'!$Q$1:$Q$400,MATCH($B33,'[10]1. Reporting template'!$B$1:$B$400,0))),"")</f>
        <v/>
      </c>
    </row>
    <row r="34" ht="150" customHeight="1">
      <c r="B34" s="6" t="inlineStr">
        <is>
          <t>EN1(c)</t>
        </is>
      </c>
      <c r="C34" s="48" t="inlineStr">
        <is>
          <t>Enablers</t>
        </is>
      </c>
      <c r="D34" s="48" t="inlineStr">
        <is>
          <t>Enablers</t>
        </is>
      </c>
      <c r="E34" s="48" t="inlineStr">
        <is>
          <t>Coordinated internal engagement and external partnerships contributing to delivery of sustainability outcomes across priority areas.</t>
        </is>
      </c>
      <c r="F34" s="7"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34" s="7" t="inlineStr">
        <is>
          <t>We will report on internal engagement and partnerships contributing to Sustainability 2030 outcomes, and update our record of sustainability-focused communities of practice and contacts across the University.</t>
        </is>
      </c>
      <c r="H34" s="7" t="inlineStr">
        <is>
          <t>N/A – new indicator</t>
        </is>
      </c>
      <c r="I34" s="7" t="inlineStr"/>
      <c r="J34" s="7" t="inlineStr"/>
      <c r="K34" s="7" t="inlineStr"/>
      <c r="L34" s="9">
        <f>IFERROR(IF(INDEX('[10]1. Reporting template'!$L$1:$L$400,MATCH($B34,'[10]1. Reporting template'!$B$1:$B$400,0))="","",INDEX('[10]1. Reporting template'!$L$1:$L$400,MATCH($B34,'[10]1. Reporting template'!$B$1:$B$400,0))),"")</f>
        <v/>
      </c>
      <c r="M34" s="9">
        <f>IFERROR(IF(INDEX('[10]1. Reporting template'!$M$1:$M$400,MATCH($B34,'[10]1. Reporting template'!$B$1:$B$400,0))="","",INDEX('[10]1. Reporting template'!$M$1:$M$400,MATCH($B34,'[10]1. Reporting template'!$B$1:$B$400,0))),"")</f>
        <v/>
      </c>
      <c r="N34" s="9">
        <f>IFERROR(IF(INDEX('[10]1. Reporting template'!$N$1:$N$400,MATCH($B34,'[10]1. Reporting template'!$B$1:$B$400,0))="","",INDEX('[10]1. Reporting template'!$N$1:$N$400,MATCH($B34,'[10]1. Reporting template'!$B$1:$B$400,0))),"")</f>
        <v/>
      </c>
      <c r="O34" s="9">
        <f>IFERROR(IF(INDEX('[10]1. Reporting template'!$O$1:$O$400,MATCH($B34,'[10]1. Reporting template'!$B$1:$B$400,0))="","",INDEX('[10]1. Reporting template'!$O$1:$O$400,MATCH($B34,'[10]1. Reporting template'!$B$1:$B$400,0))),"")</f>
        <v/>
      </c>
      <c r="P34" s="9">
        <f>IFERROR(IF(INDEX('[10]1. Reporting template'!$P$1:$P$400,MATCH($B34,'[10]1. Reporting template'!$B$1:$B$400,0))="","",INDEX('[10]1. Reporting template'!$P$1:$P$400,MATCH($B34,'[10]1. Reporting template'!$B$1:$B$400,0))),"")</f>
        <v/>
      </c>
      <c r="Q34" s="9">
        <f>IFERROR(IF(INDEX('[10]1. Reporting template'!$Q$1:$Q$400,MATCH($B34,'[10]1. Reporting template'!$B$1:$B$400,0))="","",INDEX('[10]1. Reporting template'!$Q$1:$Q$400,MATCH($B34,'[10]1. Reporting template'!$B$1:$B$400,0))),"")</f>
        <v/>
      </c>
    </row>
    <row r="35" ht="150" customHeight="1">
      <c r="B35" s="6" t="inlineStr">
        <is>
          <t>EN1(d)</t>
        </is>
      </c>
      <c r="C35" s="48" t="inlineStr">
        <is>
          <t>Enablers</t>
        </is>
      </c>
      <c r="D35" s="48" t="inlineStr">
        <is>
          <t>Enablers</t>
        </is>
      </c>
      <c r="E35" s="48" t="inlineStr">
        <is>
          <t>Sustainability objectives integrated into governance and decision‑making processes, supported by transparent reporting.</t>
        </is>
      </c>
      <c r="F35" s="7"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35" s="7" t="inlineStr">
        <is>
          <t>We will report on how sustainability is integrated into governance and decision-making across faculties and portfolios, and use responses as a baseline for the governance enabler from 2027.</t>
        </is>
      </c>
      <c r="H35" s="7" t="inlineStr">
        <is>
          <t>N/A – new indicator</t>
        </is>
      </c>
      <c r="I35" s="7" t="inlineStr"/>
      <c r="J35" s="7" t="inlineStr"/>
      <c r="K35" s="7" t="inlineStr"/>
      <c r="L35" s="9">
        <f>IFERROR(IF(INDEX('[10]1. Reporting template'!$L$1:$L$400,MATCH($B35,'[10]1. Reporting template'!$B$1:$B$400,0))="","",INDEX('[10]1. Reporting template'!$L$1:$L$400,MATCH($B35,'[10]1. Reporting template'!$B$1:$B$400,0))),"")</f>
        <v/>
      </c>
      <c r="M35" s="9">
        <f>IFERROR(IF(INDEX('[10]1. Reporting template'!$M$1:$M$400,MATCH($B35,'[10]1. Reporting template'!$B$1:$B$400,0))="","",INDEX('[10]1. Reporting template'!$M$1:$M$400,MATCH($B35,'[10]1. Reporting template'!$B$1:$B$400,0))),"")</f>
        <v/>
      </c>
      <c r="N35" s="9">
        <f>IFERROR(IF(INDEX('[10]1. Reporting template'!$N$1:$N$400,MATCH($B35,'[10]1. Reporting template'!$B$1:$B$400,0))="","",INDEX('[10]1. Reporting template'!$N$1:$N$400,MATCH($B35,'[10]1. Reporting template'!$B$1:$B$400,0))),"")</f>
        <v/>
      </c>
      <c r="O35" s="9">
        <f>IFERROR(IF(INDEX('[10]1. Reporting template'!$O$1:$O$400,MATCH($B35,'[10]1. Reporting template'!$B$1:$B$400,0))="","",INDEX('[10]1. Reporting template'!$O$1:$O$400,MATCH($B35,'[10]1. Reporting template'!$B$1:$B$400,0))),"")</f>
        <v/>
      </c>
      <c r="P35" s="9">
        <f>IFERROR(IF(INDEX('[10]1. Reporting template'!$P$1:$P$400,MATCH($B35,'[10]1. Reporting template'!$B$1:$B$400,0))="","",INDEX('[10]1. Reporting template'!$P$1:$P$400,MATCH($B35,'[10]1. Reporting template'!$B$1:$B$400,0))),"")</f>
        <v/>
      </c>
      <c r="Q35" s="9">
        <f>IFERROR(IF(INDEX('[10]1. Reporting template'!$Q$1:$Q$400,MATCH($B35,'[10]1. Reporting template'!$B$1:$B$400,0))="","",INDEX('[10]1. Reporting template'!$Q$1:$Q$400,MATCH($B35,'[10]1. Reporting template'!$B$1:$B$400,0))),"")</f>
        <v/>
      </c>
    </row>
    <row r="36"/>
  </sheetData>
  <mergeCells count="4">
    <mergeCell ref="L7:Q7"/>
    <mergeCell ref="C7:G7"/>
    <mergeCell ref="L19:Q19"/>
    <mergeCell ref="C19:G19"/>
  </mergeCells>
  <dataValidations count="2">
    <dataValidation sqref="P10:P14" showDropDown="0" showInputMessage="0" showErrorMessage="0" allowBlank="1" errorTitle="Invalid entry" error="Please select from the dropdown" type="list">
      <formula1>=Lists!$C$2:$C$4</formula1>
    </dataValidation>
    <dataValidation sqref="P22:P35" showDropDown="0" showInputMessage="0" showErrorMessage="0" allowBlank="1" errorTitle="Invalid entry" error="Please select from the dropdown" type="list">
      <formula1>=Lists!$C$2:$C$4</formula1>
    </dataValidation>
  </dataValidations>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0"/>
    <pageSetUpPr/>
  </sheetPr>
  <dimension ref="A1:R24"/>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Chief Finance Officer Group (CFOG)</t>
        </is>
      </c>
      <c r="C2" s="1" t="n"/>
      <c r="D2" s="1" t="n"/>
      <c r="E2" s="1" t="n"/>
      <c r="F2" s="1" t="n"/>
      <c r="G2" s="1" t="n"/>
      <c r="H2" s="1" t="n"/>
      <c r="I2" s="1" t="n"/>
      <c r="J2" s="1" t="n"/>
      <c r="K2" s="1" t="n"/>
      <c r="L2" s="1" t="n"/>
      <c r="M2" s="1" t="n"/>
      <c r="N2" s="1" t="n"/>
      <c r="O2" s="1" t="n"/>
      <c r="P2" s="1" t="n"/>
      <c r="Q2" s="1" t="n"/>
      <c r="R2" s="1" t="n"/>
    </row>
    <row r="3" ht="22" customHeight="1">
      <c r="B3" s="19" t="inlineStr">
        <is>
          <t>Consolidated responses – paste from returned request workbooks (identical column layout). Click [+] above Columns H–K for end-2025 responses.</t>
        </is>
      </c>
    </row>
    <row r="4"/>
    <row r="5" ht="39" customHeight="1">
      <c r="B5" s="43" t="inlineStr">
        <is>
          <t>1.1  CFOG – Procurement</t>
        </is>
      </c>
    </row>
    <row r="6"/>
    <row r="7" ht="27" customHeight="1">
      <c r="C7" s="44" t="inlineStr">
        <is>
          <t>Sustainability 2030 target and indicator</t>
        </is>
      </c>
      <c r="H7" s="44" t="inlineStr">
        <is>
          <t>SR25 response</t>
        </is>
      </c>
      <c r="L7" s="45" t="inlineStr">
        <is>
          <t>End-2026 reporting (PLEASE COMPLETE THIS SECTION)</t>
        </is>
      </c>
    </row>
    <row r="8" ht="60" customHeight="1">
      <c r="B8" s="5" t="inlineStr">
        <is>
          <t>Ref</t>
        </is>
      </c>
      <c r="C8" s="5" t="inlineStr">
        <is>
          <t>Priority area</t>
        </is>
      </c>
      <c r="D8" s="5" t="inlineStr">
        <is>
          <t>Sustainability 2030 target</t>
        </is>
      </c>
      <c r="E8" s="5" t="inlineStr">
        <is>
          <t>Indicator</t>
        </is>
      </c>
      <c r="F8" s="5" t="inlineStr">
        <is>
          <t>2026 Reporting request</t>
        </is>
      </c>
      <c r="G8" s="5" t="inlineStr">
        <is>
          <t>How SST will use this data</t>
        </is>
      </c>
      <c r="H8" s="5" t="inlineStr">
        <is>
          <t>Related SR25 ref</t>
        </is>
      </c>
      <c r="I8" s="5" t="inlineStr">
        <is>
          <t>End-2025 confirmed status</t>
        </is>
      </c>
      <c r="J8" s="5" t="inlineStr">
        <is>
          <t>End-2025 reporting response</t>
        </is>
      </c>
      <c r="K8" s="5"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150" customHeight="1">
      <c r="B10" s="6" t="inlineStr">
        <is>
          <t>TR3(b)</t>
        </is>
      </c>
      <c r="C10" s="48" t="inlineStr">
        <is>
          <t>Transformational research</t>
        </is>
      </c>
      <c r="D10" s="48" t="inlineStr">
        <is>
          <t>Embed sustainability within research systems, processes, capability and culture, so research is conducted responsibly, efficiently and with reduced environmental impact.</t>
        </is>
      </c>
      <c r="E10" s="48" t="inlineStr">
        <is>
          <t>Demonstrated examples of more sustainable research practices in laboratories, fieldwork, procurement, travel or infrastructure use</t>
        </is>
      </c>
      <c r="F10" s="7"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G10" s="7" t="inlineStr">
        <is>
          <t>We will report on ways the University is making research practices more sustainable in the 2026 Sustainability Report, and share practical examples (e.g. green labs) across faculties.</t>
        </is>
      </c>
      <c r="H10" s="7" t="inlineStr">
        <is>
          <t>N/A – new indicator</t>
        </is>
      </c>
      <c r="I10" s="7" t="inlineStr"/>
      <c r="J10" s="7" t="inlineStr"/>
      <c r="K10" s="7" t="inlineStr"/>
      <c r="L10" s="9">
        <f>IFERROR(IF(INDEX('[11]1. Reporting template'!$L$1:$L$400,MATCH($B10,'[11]1. Reporting template'!$B$1:$B$400,0))="","",INDEX('[11]1. Reporting template'!$L$1:$L$400,MATCH($B10,'[11]1. Reporting template'!$B$1:$B$400,0))),"")</f>
        <v/>
      </c>
      <c r="M10" s="9">
        <f>IFERROR(IF(INDEX('[11]1. Reporting template'!$M$1:$M$400,MATCH($B10,'[11]1. Reporting template'!$B$1:$B$400,0))="","",INDEX('[11]1. Reporting template'!$M$1:$M$400,MATCH($B10,'[11]1. Reporting template'!$B$1:$B$400,0))),"")</f>
        <v/>
      </c>
      <c r="N10" s="9">
        <f>IFERROR(IF(INDEX('[11]1. Reporting template'!$N$1:$N$400,MATCH($B10,'[11]1. Reporting template'!$B$1:$B$400,0))="","",INDEX('[11]1. Reporting template'!$N$1:$N$400,MATCH($B10,'[11]1. Reporting template'!$B$1:$B$400,0))),"")</f>
        <v/>
      </c>
      <c r="O10" s="9">
        <f>IFERROR(IF(INDEX('[11]1. Reporting template'!$O$1:$O$400,MATCH($B10,'[11]1. Reporting template'!$B$1:$B$400,0))="","",INDEX('[11]1. Reporting template'!$O$1:$O$400,MATCH($B10,'[11]1. Reporting template'!$B$1:$B$400,0))),"")</f>
        <v/>
      </c>
      <c r="P10" s="9">
        <f>IFERROR(IF(INDEX('[11]1. Reporting template'!$P$1:$P$400,MATCH($B10,'[11]1. Reporting template'!$B$1:$B$400,0))="","",INDEX('[11]1. Reporting template'!$P$1:$P$400,MATCH($B10,'[11]1. Reporting template'!$B$1:$B$400,0))),"")</f>
        <v/>
      </c>
      <c r="Q10" s="9">
        <f>IFERROR(IF(INDEX('[11]1. Reporting template'!$Q$1:$Q$400,MATCH($B10,'[11]1. Reporting template'!$B$1:$B$400,0))="","",INDEX('[11]1. Reporting template'!$Q$1:$Q$400,MATCH($B10,'[11]1. Reporting template'!$B$1:$B$400,0))),"")</f>
        <v/>
      </c>
    </row>
    <row r="11" ht="150" customHeight="1">
      <c r="B11" s="6" t="inlineStr">
        <is>
          <t>NB2(c)</t>
        </is>
      </c>
      <c r="C11" s="48" t="inlineStr">
        <is>
          <t>Nature and biodiversity</t>
        </is>
      </c>
      <c r="D11" s="48" t="inlineStr">
        <is>
          <t>Improve our understanding of our supply chain impacts on nature.</t>
        </is>
      </c>
      <c r="E11" s="48" t="inlineStr">
        <is>
          <t>Evidence of prioritised high risk procurement categories or suppliers for nature impact management</t>
        </is>
      </c>
      <c r="F11" s="7" t="inlineStr">
        <is>
          <t>Please provide the prioritised high-risk procurement categories and/or suppliers identified for nature-impact management, could include the basis for prioritisation and any risk-management, engagement or mitigation actions undertaken or planned.</t>
        </is>
      </c>
      <c r="G11" s="7" t="inlineStr">
        <is>
          <t>We will report on the high-risk procurement categories or suppliers prioritised for nature-impact management, and related actions, in the 2026 Sustainability Report.</t>
        </is>
      </c>
      <c r="H11" s="7" t="inlineStr">
        <is>
          <t>N/A – new indicator</t>
        </is>
      </c>
      <c r="I11" s="7" t="inlineStr"/>
      <c r="J11" s="7" t="inlineStr"/>
      <c r="K11" s="7" t="inlineStr"/>
      <c r="L11" s="9">
        <f>IFERROR(IF(INDEX('[11]1. Reporting template'!$L$1:$L$400,MATCH($B11,'[11]1. Reporting template'!$B$1:$B$400,0))="","",INDEX('[11]1. Reporting template'!$L$1:$L$400,MATCH($B11,'[11]1. Reporting template'!$B$1:$B$400,0))),"")</f>
        <v/>
      </c>
      <c r="M11" s="9">
        <f>IFERROR(IF(INDEX('[11]1. Reporting template'!$M$1:$M$400,MATCH($B11,'[11]1. Reporting template'!$B$1:$B$400,0))="","",INDEX('[11]1. Reporting template'!$M$1:$M$400,MATCH($B11,'[11]1. Reporting template'!$B$1:$B$400,0))),"")</f>
        <v/>
      </c>
      <c r="N11" s="9">
        <f>IFERROR(IF(INDEX('[11]1. Reporting template'!$N$1:$N$400,MATCH($B11,'[11]1. Reporting template'!$B$1:$B$400,0))="","",INDEX('[11]1. Reporting template'!$N$1:$N$400,MATCH($B11,'[11]1. Reporting template'!$B$1:$B$400,0))),"")</f>
        <v/>
      </c>
      <c r="O11" s="9">
        <f>IFERROR(IF(INDEX('[11]1. Reporting template'!$O$1:$O$400,MATCH($B11,'[11]1. Reporting template'!$B$1:$B$400,0))="","",INDEX('[11]1. Reporting template'!$O$1:$O$400,MATCH($B11,'[11]1. Reporting template'!$B$1:$B$400,0))),"")</f>
        <v/>
      </c>
      <c r="P11" s="9">
        <f>IFERROR(IF(INDEX('[11]1. Reporting template'!$P$1:$P$400,MATCH($B11,'[11]1. Reporting template'!$B$1:$B$400,0))="","",INDEX('[11]1. Reporting template'!$P$1:$P$400,MATCH($B11,'[11]1. Reporting template'!$B$1:$B$400,0))),"")</f>
        <v/>
      </c>
      <c r="Q11" s="9">
        <f>IFERROR(IF(INDEX('[11]1. Reporting template'!$Q$1:$Q$400,MATCH($B11,'[11]1. Reporting template'!$B$1:$B$400,0))="","",INDEX('[11]1. Reporting template'!$Q$1:$Q$400,MATCH($B11,'[11]1. Reporting template'!$B$1:$B$400,0))),"")</f>
        <v/>
      </c>
    </row>
    <row r="12" ht="150" customHeight="1">
      <c r="B12" s="6" t="inlineStr">
        <is>
          <t>RP1(a)</t>
        </is>
      </c>
      <c r="C12" s="48" t="inlineStr">
        <is>
          <t>Responsible procurement</t>
        </is>
      </c>
      <c r="D12" s="48" t="inlineStr">
        <is>
          <t>Strengthen our ethical and sustainable procurement approach.</t>
        </is>
      </c>
      <c r="E12" s="48" t="inlineStr">
        <is>
          <t>Case studies of maturity improvement related to responsible procurement process and systems.</t>
        </is>
      </c>
      <c r="F12" s="7" t="inlineStr">
        <is>
          <t>Maturity score if framework established; % procurement staff trained
In end-2025 reporting your area reported on the related SP2030 target 11c(iii) (see Column J – click [+] above Columns I–K).</t>
        </is>
      </c>
      <c r="G12" s="7" t="inlineStr">
        <is>
          <t>We will use case studies (and any maturity score or training data) to show improvement in responsible procurement processes and systems in the 2026 Sustainability Report.</t>
        </is>
      </c>
      <c r="H12" s="7" t="inlineStr">
        <is>
          <t>11c(iii)</t>
        </is>
      </c>
      <c r="I12" s="7" t="inlineStr">
        <is>
          <t>Met or exceeded</t>
        </is>
      </c>
      <c r="J12" s="7" t="inlineStr">
        <is>
          <t>From Matt (20/1/26): This has not changed from prior years, are you able to use what we submitted last report? (RH note: Yes we can use this).
From Matt (28/1/26): In 2025 we increased the University’s systemic approach e.g. embedding more outcome focus questions in tenders, enhancing Modern Slavery clauses, implementing a system approach to collecting subcontracted impact spend.</t>
        </is>
      </c>
      <c r="K12" s="7" t="inlineStr"/>
      <c r="L12" s="9">
        <f>IFERROR(IF(INDEX('[11]1. Reporting template'!$L$1:$L$400,MATCH($B12,'[11]1. Reporting template'!$B$1:$B$400,0))="","",INDEX('[11]1. Reporting template'!$L$1:$L$400,MATCH($B12,'[11]1. Reporting template'!$B$1:$B$400,0))),"")</f>
        <v/>
      </c>
      <c r="M12" s="9">
        <f>IFERROR(IF(INDEX('[11]1. Reporting template'!$M$1:$M$400,MATCH($B12,'[11]1. Reporting template'!$B$1:$B$400,0))="","",INDEX('[11]1. Reporting template'!$M$1:$M$400,MATCH($B12,'[11]1. Reporting template'!$B$1:$B$400,0))),"")</f>
        <v/>
      </c>
      <c r="N12" s="9">
        <f>IFERROR(IF(INDEX('[11]1. Reporting template'!$N$1:$N$400,MATCH($B12,'[11]1. Reporting template'!$B$1:$B$400,0))="","",INDEX('[11]1. Reporting template'!$N$1:$N$400,MATCH($B12,'[11]1. Reporting template'!$B$1:$B$400,0))),"")</f>
        <v/>
      </c>
      <c r="O12" s="9">
        <f>IFERROR(IF(INDEX('[11]1. Reporting template'!$O$1:$O$400,MATCH($B12,'[11]1. Reporting template'!$B$1:$B$400,0))="","",INDEX('[11]1. Reporting template'!$O$1:$O$400,MATCH($B12,'[11]1. Reporting template'!$B$1:$B$400,0))),"")</f>
        <v/>
      </c>
      <c r="P12" s="9">
        <f>IFERROR(IF(INDEX('[11]1. Reporting template'!$P$1:$P$400,MATCH($B12,'[11]1. Reporting template'!$B$1:$B$400,0))="","",INDEX('[11]1. Reporting template'!$P$1:$P$400,MATCH($B12,'[11]1. Reporting template'!$B$1:$B$400,0))),"")</f>
        <v/>
      </c>
      <c r="Q12" s="9">
        <f>IFERROR(IF(INDEX('[11]1. Reporting template'!$Q$1:$Q$400,MATCH($B12,'[11]1. Reporting template'!$B$1:$B$400,0))="","",INDEX('[11]1. Reporting template'!$Q$1:$Q$400,MATCH($B12,'[11]1. Reporting template'!$B$1:$B$400,0))),"")</f>
        <v/>
      </c>
    </row>
    <row r="13" ht="150" customHeight="1">
      <c r="B13" s="6" t="inlineStr">
        <is>
          <t>MS1(a)</t>
        </is>
      </c>
      <c r="C13" s="48" t="inlineStr">
        <is>
          <t>Modern slavery and human rights</t>
        </is>
      </c>
      <c r="D13" s="48" t="inlineStr">
        <is>
          <t>Manage our approach to modern slavery and human rights-related risks and opportunities.</t>
        </is>
      </c>
      <c r="E13" s="48" t="inlineStr">
        <is>
          <t>Annual progress reporting via the Modern Slavery Statement</t>
        </is>
      </c>
      <c r="F13" s="7" t="inlineStr">
        <is>
          <t>Annual Modern Slavery Statement, with case studies
In end-2025 reporting your area reported on the related SP2030 target 11c(i) (see Column J – click [+] above Columns I–K).</t>
        </is>
      </c>
      <c r="G13" s="7" t="inlineStr">
        <is>
          <t>We will draw on the annual Modern Slavery Statement and case studies to report on the University's approach to modern slavery and human rights risks (timing to be aligned with the Statement).</t>
        </is>
      </c>
      <c r="H13" s="7" t="inlineStr">
        <is>
          <t>11c(i)</t>
        </is>
      </c>
      <c r="I13" s="7" t="inlineStr">
        <is>
          <t>Met or exceeded</t>
        </is>
      </c>
      <c r="J13" s="7" t="inlineStr">
        <is>
          <t>From Matt (20/1/26): Link to Annual Modern Slavery Statement; case study excerpt
Link: https://modernslaveryregister.gov.au/statements/22714/
We are currently compiling the 2025 statement which will be published in May (2026). 
In regard to what new information we are Ok with publishing on MS in regard to 2025 our approach is to collate this and have it approved for external consumption via this process.</t>
        </is>
      </c>
      <c r="K13" s="7" t="inlineStr"/>
      <c r="L13" s="9">
        <f>IFERROR(IF(INDEX('[11]1. Reporting template'!$L$1:$L$400,MATCH($B13,'[11]1. Reporting template'!$B$1:$B$400,0))="","",INDEX('[11]1. Reporting template'!$L$1:$L$400,MATCH($B13,'[11]1. Reporting template'!$B$1:$B$400,0))),"")</f>
        <v/>
      </c>
      <c r="M13" s="9">
        <f>IFERROR(IF(INDEX('[11]1. Reporting template'!$M$1:$M$400,MATCH($B13,'[11]1. Reporting template'!$B$1:$B$400,0))="","",INDEX('[11]1. Reporting template'!$M$1:$M$400,MATCH($B13,'[11]1. Reporting template'!$B$1:$B$400,0))),"")</f>
        <v/>
      </c>
      <c r="N13" s="9">
        <f>IFERROR(IF(INDEX('[11]1. Reporting template'!$N$1:$N$400,MATCH($B13,'[11]1. Reporting template'!$B$1:$B$400,0))="","",INDEX('[11]1. Reporting template'!$N$1:$N$400,MATCH($B13,'[11]1. Reporting template'!$B$1:$B$400,0))),"")</f>
        <v/>
      </c>
      <c r="O13" s="9">
        <f>IFERROR(IF(INDEX('[11]1. Reporting template'!$O$1:$O$400,MATCH($B13,'[11]1. Reporting template'!$B$1:$B$400,0))="","",INDEX('[11]1. Reporting template'!$O$1:$O$400,MATCH($B13,'[11]1. Reporting template'!$B$1:$B$400,0))),"")</f>
        <v/>
      </c>
      <c r="P13" s="9">
        <f>IFERROR(IF(INDEX('[11]1. Reporting template'!$P$1:$P$400,MATCH($B13,'[11]1. Reporting template'!$B$1:$B$400,0))="","",INDEX('[11]1. Reporting template'!$P$1:$P$400,MATCH($B13,'[11]1. Reporting template'!$B$1:$B$400,0))),"")</f>
        <v/>
      </c>
      <c r="Q13" s="9">
        <f>IFERROR(IF(INDEX('[11]1. Reporting template'!$Q$1:$Q$400,MATCH($B13,'[11]1. Reporting template'!$B$1:$B$400,0))="","",INDEX('[11]1. Reporting template'!$Q$1:$Q$400,MATCH($B13,'[11]1. Reporting template'!$B$1:$B$400,0))),"")</f>
        <v/>
      </c>
    </row>
    <row r="14" ht="150" customHeight="1">
      <c r="B14" s="6" t="inlineStr">
        <is>
          <t>EN1(c)</t>
        </is>
      </c>
      <c r="C14" s="48" t="inlineStr">
        <is>
          <t>Enablers</t>
        </is>
      </c>
      <c r="D14" s="48" t="inlineStr">
        <is>
          <t>Enablers</t>
        </is>
      </c>
      <c r="E14" s="48" t="inlineStr">
        <is>
          <t>Coordinated internal engagement and external partnerships contributing to delivery of sustainability outcomes across priority areas.</t>
        </is>
      </c>
      <c r="F14" s="7"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4" s="7" t="inlineStr">
        <is>
          <t>We will report on internal engagement and partnerships contributing to Sustainability 2030 outcomes, and update our record of sustainability-focused communities of practice and contacts across the University.</t>
        </is>
      </c>
      <c r="H14" s="7" t="inlineStr">
        <is>
          <t>N/A – new indicator</t>
        </is>
      </c>
      <c r="I14" s="7" t="inlineStr"/>
      <c r="J14" s="7" t="inlineStr"/>
      <c r="K14" s="7" t="inlineStr"/>
      <c r="L14" s="9">
        <f>IFERROR(IF(INDEX('[11]1. Reporting template'!$L$1:$L$400,MATCH($B14,'[11]1. Reporting template'!$B$1:$B$400,0))="","",INDEX('[11]1. Reporting template'!$L$1:$L$400,MATCH($B14,'[11]1. Reporting template'!$B$1:$B$400,0))),"")</f>
        <v/>
      </c>
      <c r="M14" s="9">
        <f>IFERROR(IF(INDEX('[11]1. Reporting template'!$M$1:$M$400,MATCH($B14,'[11]1. Reporting template'!$B$1:$B$400,0))="","",INDEX('[11]1. Reporting template'!$M$1:$M$400,MATCH($B14,'[11]1. Reporting template'!$B$1:$B$400,0))),"")</f>
        <v/>
      </c>
      <c r="N14" s="9">
        <f>IFERROR(IF(INDEX('[11]1. Reporting template'!$N$1:$N$400,MATCH($B14,'[11]1. Reporting template'!$B$1:$B$400,0))="","",INDEX('[11]1. Reporting template'!$N$1:$N$400,MATCH($B14,'[11]1. Reporting template'!$B$1:$B$400,0))),"")</f>
        <v/>
      </c>
      <c r="O14" s="9">
        <f>IFERROR(IF(INDEX('[11]1. Reporting template'!$O$1:$O$400,MATCH($B14,'[11]1. Reporting template'!$B$1:$B$400,0))="","",INDEX('[11]1. Reporting template'!$O$1:$O$400,MATCH($B14,'[11]1. Reporting template'!$B$1:$B$400,0))),"")</f>
        <v/>
      </c>
      <c r="P14" s="9">
        <f>IFERROR(IF(INDEX('[11]1. Reporting template'!$P$1:$P$400,MATCH($B14,'[11]1. Reporting template'!$B$1:$B$400,0))="","",INDEX('[11]1. Reporting template'!$P$1:$P$400,MATCH($B14,'[11]1. Reporting template'!$B$1:$B$400,0))),"")</f>
        <v/>
      </c>
      <c r="Q14" s="9">
        <f>IFERROR(IF(INDEX('[11]1. Reporting template'!$Q$1:$Q$400,MATCH($B14,'[11]1. Reporting template'!$B$1:$B$400,0))="","",INDEX('[11]1. Reporting template'!$Q$1:$Q$400,MATCH($B14,'[11]1. Reporting template'!$B$1:$B$400,0))),"")</f>
        <v/>
      </c>
    </row>
    <row r="15" ht="150" customHeight="1">
      <c r="B15" s="6" t="inlineStr">
        <is>
          <t>EN1(d)</t>
        </is>
      </c>
      <c r="C15" s="48" t="inlineStr">
        <is>
          <t>Enablers</t>
        </is>
      </c>
      <c r="D15" s="48" t="inlineStr">
        <is>
          <t>Enablers</t>
        </is>
      </c>
      <c r="E15" s="48" t="inlineStr">
        <is>
          <t>Sustainability objectives integrated into governance and decision‑making processes, supported by transparent reporting.</t>
        </is>
      </c>
      <c r="F15" s="7"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15" s="7" t="inlineStr">
        <is>
          <t>We will report on how sustainability is integrated into governance and decision-making across faculties and portfolios, and use responses as a baseline for the governance enabler from 2027.</t>
        </is>
      </c>
      <c r="H15" s="7" t="inlineStr">
        <is>
          <t>N/A – new indicator</t>
        </is>
      </c>
      <c r="I15" s="7" t="inlineStr"/>
      <c r="J15" s="7" t="inlineStr"/>
      <c r="K15" s="7" t="inlineStr"/>
      <c r="L15" s="9">
        <f>IFERROR(IF(INDEX('[11]1. Reporting template'!$L$1:$L$400,MATCH($B15,'[11]1. Reporting template'!$B$1:$B$400,0))="","",INDEX('[11]1. Reporting template'!$L$1:$L$400,MATCH($B15,'[11]1. Reporting template'!$B$1:$B$400,0))),"")</f>
        <v/>
      </c>
      <c r="M15" s="9">
        <f>IFERROR(IF(INDEX('[11]1. Reporting template'!$M$1:$M$400,MATCH($B15,'[11]1. Reporting template'!$B$1:$B$400,0))="","",INDEX('[11]1. Reporting template'!$M$1:$M$400,MATCH($B15,'[11]1. Reporting template'!$B$1:$B$400,0))),"")</f>
        <v/>
      </c>
      <c r="N15" s="9">
        <f>IFERROR(IF(INDEX('[11]1. Reporting template'!$N$1:$N$400,MATCH($B15,'[11]1. Reporting template'!$B$1:$B$400,0))="","",INDEX('[11]1. Reporting template'!$N$1:$N$400,MATCH($B15,'[11]1. Reporting template'!$B$1:$B$400,0))),"")</f>
        <v/>
      </c>
      <c r="O15" s="9">
        <f>IFERROR(IF(INDEX('[11]1. Reporting template'!$O$1:$O$400,MATCH($B15,'[11]1. Reporting template'!$B$1:$B$400,0))="","",INDEX('[11]1. Reporting template'!$O$1:$O$400,MATCH($B15,'[11]1. Reporting template'!$B$1:$B$400,0))),"")</f>
        <v/>
      </c>
      <c r="P15" s="9">
        <f>IFERROR(IF(INDEX('[11]1. Reporting template'!$P$1:$P$400,MATCH($B15,'[11]1. Reporting template'!$B$1:$B$400,0))="","",INDEX('[11]1. Reporting template'!$P$1:$P$400,MATCH($B15,'[11]1. Reporting template'!$B$1:$B$400,0))),"")</f>
        <v/>
      </c>
      <c r="Q15" s="9">
        <f>IFERROR(IF(INDEX('[11]1. Reporting template'!$Q$1:$Q$400,MATCH($B15,'[11]1. Reporting template'!$B$1:$B$400,0))="","",INDEX('[11]1. Reporting template'!$Q$1:$Q$400,MATCH($B15,'[11]1. Reporting template'!$B$1:$B$400,0))),"")</f>
        <v/>
      </c>
    </row>
    <row r="16"/>
    <row r="17"/>
    <row r="18" ht="39" customHeight="1">
      <c r="B18" s="43" t="inlineStr">
        <is>
          <t>1.2  CFOG – Treasury &amp; Investments</t>
        </is>
      </c>
    </row>
    <row r="19"/>
    <row r="20" ht="27" customHeight="1">
      <c r="C20" s="44" t="inlineStr">
        <is>
          <t>Sustainability 2030 target and indicator</t>
        </is>
      </c>
      <c r="H20" s="44" t="inlineStr">
        <is>
          <t>SR25 response</t>
        </is>
      </c>
      <c r="L20" s="45" t="inlineStr">
        <is>
          <t>End-2026 reporting (PLEASE COMPLETE THIS SECTION)</t>
        </is>
      </c>
    </row>
    <row r="21" ht="60" customHeight="1">
      <c r="B21" s="5" t="inlineStr">
        <is>
          <t>Ref</t>
        </is>
      </c>
      <c r="C21" s="5" t="inlineStr">
        <is>
          <t>Priority area</t>
        </is>
      </c>
      <c r="D21" s="5" t="inlineStr">
        <is>
          <t>Sustainability 2030 target</t>
        </is>
      </c>
      <c r="E21" s="5" t="inlineStr">
        <is>
          <t>Indicator</t>
        </is>
      </c>
      <c r="F21" s="5" t="inlineStr">
        <is>
          <t>2026 Reporting request</t>
        </is>
      </c>
      <c r="G21" s="5" t="inlineStr">
        <is>
          <t>How SST will use this data</t>
        </is>
      </c>
      <c r="H21" s="5" t="inlineStr">
        <is>
          <t>Related SR25 ref</t>
        </is>
      </c>
      <c r="I21" s="5" t="inlineStr">
        <is>
          <t>End-2025 confirmed status</t>
        </is>
      </c>
      <c r="J21" s="5" t="inlineStr">
        <is>
          <t>End-2025 reporting response</t>
        </is>
      </c>
      <c r="K21" s="5" t="inlineStr">
        <is>
          <t>Links and supporting information</t>
        </is>
      </c>
      <c r="L21" s="46" t="inlineStr">
        <is>
          <t>OPTION 1:  Target-level reporting (Column D)</t>
        </is>
      </c>
      <c r="M21" s="46" t="inlineStr">
        <is>
          <t>OPTION 2:  Indicator level reporting (Column E/F)</t>
        </is>
      </c>
      <c r="N21" s="46" t="inlineStr">
        <is>
          <t>Supporting information/comments</t>
        </is>
      </c>
      <c r="O21" s="46" t="inlineStr">
        <is>
          <t>Data source and limitations</t>
        </is>
      </c>
      <c r="P21" s="46" t="inlineStr">
        <is>
          <t>Data owner confirms information is accurate</t>
        </is>
      </c>
      <c r="Q21" s="46" t="inlineStr">
        <is>
          <t>Confirmed by (name, role, date)</t>
        </is>
      </c>
    </row>
    <row r="22" ht="81" customHeight="1">
      <c r="B22" s="47" t="inlineStr"/>
      <c r="C22" s="47" t="inlineStr"/>
      <c r="D22" s="47" t="inlineStr"/>
      <c r="E22" s="47" t="inlineStr"/>
      <c r="F22" s="47" t="inlineStr"/>
      <c r="G22" s="47" t="inlineStr"/>
      <c r="H22" s="47" t="inlineStr"/>
      <c r="I22" s="47" t="inlineStr"/>
      <c r="J22" s="47" t="inlineStr"/>
      <c r="K22" s="47" t="inlineStr"/>
      <c r="L22" s="47" t="inlineStr">
        <is>
          <t>A general update on activities in relation to the overarching target (Column D)</t>
        </is>
      </c>
      <c r="M22" s="47" t="inlineStr">
        <is>
          <t>Data and commentary in direct response to the reporting request (Column F)</t>
        </is>
      </c>
      <c r="N22" s="47" t="inlineStr">
        <is>
          <t>Any additional information (e.g. links, images, documents)</t>
        </is>
      </c>
      <c r="O22" s="47" t="inlineStr">
        <is>
          <t>Where did this information come from (system, report, survey, person)? Note any gaps or limitations.</t>
        </is>
      </c>
      <c r="P22" s="47" t="inlineStr">
        <is>
          <t>Select 'Yes' to confirm the information provided is accurate and can be used for reporting</t>
        </is>
      </c>
      <c r="Q22" s="47" t="inlineStr">
        <is>
          <t>Name, role and date of the person confirming</t>
        </is>
      </c>
    </row>
    <row r="23" ht="150" customHeight="1">
      <c r="B23" s="6" t="inlineStr">
        <is>
          <t>RI1(b)</t>
        </is>
      </c>
      <c r="C23" s="48" t="inlineStr">
        <is>
          <t>Responsible investments</t>
        </is>
      </c>
      <c r="D23" s="48" t="inlineStr">
        <is>
          <t>Achieve net zero financed emissions for the University’s investment portfolio by 2050.</t>
        </is>
      </c>
      <c r="E23" s="48" t="inlineStr">
        <is>
          <t>Continuous improvement of the reporting of the University’s sustainability-related investment profile metrics, could include investment in climate mitigation and transition solutions, and compliance with related obligations (eg UNPRI).</t>
        </is>
      </c>
      <c r="F23" s="7" t="inlineStr">
        <is>
          <t>Report on relevant sustainability-related investment portfolio metrics and report on how the University has complied with its related obligations
In end-2025 reporting your area reported on the related SP2030 target 12b(i) (see Column J – click [+] above Columns I–K).</t>
        </is>
      </c>
      <c r="G23" s="7" t="inlineStr">
        <is>
          <t>We will report on sustainability-related investment portfolio metrics and the University's compliance with related obligations (e.g. UNPRI) in the Responsible investments section of the 2026 Sustainability Report.</t>
        </is>
      </c>
      <c r="H23" s="7" t="inlineStr">
        <is>
          <t>12b(i)</t>
        </is>
      </c>
      <c r="I23" s="7" t="inlineStr">
        <is>
          <t>Met or exceeded</t>
        </is>
      </c>
      <c r="J23" s="7" t="inlineStr">
        <is>
          <t>Since 2022 the University has published its sustainability-related investment portfolio metrics including carbon intensity. Historically this has only applied to Australian &amp; International equities, but from this year we are able to also include Fixed Income &amp; Credit. Other asset classes will be included as the data relating to them becomes available and is considered reasonable. 
While data and metrics are continuously being refined, we have met our target of enhanced transparent reporting of the investment portfolio.</t>
        </is>
      </c>
      <c r="K23" s="7" t="inlineStr"/>
      <c r="L23" s="9">
        <f>IFERROR(IF(INDEX('[11]1. Reporting template'!$L$1:$L$400,MATCH($B23,'[11]1. Reporting template'!$B$1:$B$400,0))="","",INDEX('[11]1. Reporting template'!$L$1:$L$400,MATCH($B23,'[11]1. Reporting template'!$B$1:$B$400,0))),"")</f>
        <v/>
      </c>
      <c r="M23" s="9">
        <f>IFERROR(IF(INDEX('[11]1. Reporting template'!$M$1:$M$400,MATCH($B23,'[11]1. Reporting template'!$B$1:$B$400,0))="","",INDEX('[11]1. Reporting template'!$M$1:$M$400,MATCH($B23,'[11]1. Reporting template'!$B$1:$B$400,0))),"")</f>
        <v/>
      </c>
      <c r="N23" s="9">
        <f>IFERROR(IF(INDEX('[11]1. Reporting template'!$N$1:$N$400,MATCH($B23,'[11]1. Reporting template'!$B$1:$B$400,0))="","",INDEX('[11]1. Reporting template'!$N$1:$N$400,MATCH($B23,'[11]1. Reporting template'!$B$1:$B$400,0))),"")</f>
        <v/>
      </c>
      <c r="O23" s="9">
        <f>IFERROR(IF(INDEX('[11]1. Reporting template'!$O$1:$O$400,MATCH($B23,'[11]1. Reporting template'!$B$1:$B$400,0))="","",INDEX('[11]1. Reporting template'!$O$1:$O$400,MATCH($B23,'[11]1. Reporting template'!$B$1:$B$400,0))),"")</f>
        <v/>
      </c>
      <c r="P23" s="9">
        <f>IFERROR(IF(INDEX('[11]1. Reporting template'!$P$1:$P$400,MATCH($B23,'[11]1. Reporting template'!$B$1:$B$400,0))="","",INDEX('[11]1. Reporting template'!$P$1:$P$400,MATCH($B23,'[11]1. Reporting template'!$B$1:$B$400,0))),"")</f>
        <v/>
      </c>
      <c r="Q23" s="9">
        <f>IFERROR(IF(INDEX('[11]1. Reporting template'!$Q$1:$Q$400,MATCH($B23,'[11]1. Reporting template'!$B$1:$B$400,0))="","",INDEX('[11]1. Reporting template'!$Q$1:$Q$400,MATCH($B23,'[11]1. Reporting template'!$B$1:$B$400,0))),"")</f>
        <v/>
      </c>
    </row>
    <row r="24"/>
  </sheetData>
  <mergeCells count="4">
    <mergeCell ref="L7:Q7"/>
    <mergeCell ref="C7:G7"/>
    <mergeCell ref="C20:G20"/>
    <mergeCell ref="L20:Q20"/>
  </mergeCells>
  <dataValidations count="2">
    <dataValidation sqref="P10:P15" showDropDown="0" showInputMessage="0" showErrorMessage="0" allowBlank="1" errorTitle="Invalid entry" error="Please select from the dropdown" type="list">
      <formula1>=Lists!$C$2:$C$4</formula1>
    </dataValidation>
    <dataValidation sqref="P23" showDropDown="0" showInputMessage="0" showErrorMessage="0" allowBlank="1" errorTitle="Invalid entry" error="Please select from the dropdown" type="list">
      <formula1>=Lists!$C$2:$C$4</formula1>
    </dataValidation>
  </dataValidations>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0"/>
    <pageSetUpPr/>
  </sheetPr>
  <dimension ref="A1:R17"/>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Enterprise Services Group (ESG)</t>
        </is>
      </c>
      <c r="C2" s="1" t="n"/>
      <c r="D2" s="1" t="n"/>
      <c r="E2" s="1" t="n"/>
      <c r="F2" s="1" t="n"/>
      <c r="G2" s="1" t="n"/>
      <c r="H2" s="1" t="n"/>
      <c r="I2" s="1" t="n"/>
      <c r="J2" s="1" t="n"/>
      <c r="K2" s="1" t="n"/>
      <c r="L2" s="1" t="n"/>
      <c r="M2" s="1" t="n"/>
      <c r="N2" s="1" t="n"/>
      <c r="O2" s="1" t="n"/>
      <c r="P2" s="1" t="n"/>
      <c r="Q2" s="1" t="n"/>
      <c r="R2" s="1" t="n"/>
    </row>
    <row r="3" ht="22" customHeight="1">
      <c r="B3" s="19" t="inlineStr">
        <is>
          <t>Consolidated responses – paste from returned request workbooks (identical column layout). Click [+] above Columns H–K for end-2025 responses.</t>
        </is>
      </c>
    </row>
    <row r="4"/>
    <row r="5" ht="39" customHeight="1">
      <c r="B5" s="43" t="inlineStr">
        <is>
          <t>1.1  ESG – Campus Operations &amp; Sustainability Delivery</t>
        </is>
      </c>
    </row>
    <row r="6"/>
    <row r="7" ht="27" customHeight="1">
      <c r="C7" s="44" t="inlineStr">
        <is>
          <t>Sustainability 2030 target and indicator</t>
        </is>
      </c>
      <c r="H7" s="44" t="inlineStr">
        <is>
          <t>SR25 response</t>
        </is>
      </c>
      <c r="L7" s="45" t="inlineStr">
        <is>
          <t>End-2026 reporting (PLEASE COMPLETE THIS SECTION)</t>
        </is>
      </c>
    </row>
    <row r="8" ht="60" customHeight="1">
      <c r="B8" s="5" t="inlineStr">
        <is>
          <t>Ref</t>
        </is>
      </c>
      <c r="C8" s="5" t="inlineStr">
        <is>
          <t>Priority area</t>
        </is>
      </c>
      <c r="D8" s="5" t="inlineStr">
        <is>
          <t>Sustainability 2030 target</t>
        </is>
      </c>
      <c r="E8" s="5" t="inlineStr">
        <is>
          <t>Indicator</t>
        </is>
      </c>
      <c r="F8" s="5" t="inlineStr">
        <is>
          <t>2026 Reporting request</t>
        </is>
      </c>
      <c r="G8" s="5" t="inlineStr">
        <is>
          <t>How SST will use this data</t>
        </is>
      </c>
      <c r="H8" s="5" t="inlineStr">
        <is>
          <t>Related SR25 ref</t>
        </is>
      </c>
      <c r="I8" s="5" t="inlineStr">
        <is>
          <t>End-2025 confirmed status</t>
        </is>
      </c>
      <c r="J8" s="5" t="inlineStr">
        <is>
          <t>End-2025 reporting response</t>
        </is>
      </c>
      <c r="K8" s="5"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150" customHeight="1">
      <c r="B10" s="6" t="inlineStr">
        <is>
          <t>NB1(b)</t>
        </is>
      </c>
      <c r="C10" s="48" t="inlineStr">
        <is>
          <t>Nature and biodiversity</t>
        </is>
      </c>
      <c r="D10" s="48" t="inlineStr">
        <is>
          <t>Achieve an increase of biodiversity relative to defined baseline years for each campus.</t>
        </is>
      </c>
      <c r="E10" s="48" t="inlineStr">
        <is>
          <t>Size, health and diversity of remnant vegetation at the Dookie and Creswick campuses</t>
        </is>
      </c>
      <c r="F10" s="7" t="inlineStr">
        <is>
          <t>(Reporting request TBC)
In end-2025 reporting your area reported on the related SP2030 target 9a(ii) (see Column J – click [+] above Columns I–K).</t>
        </is>
      </c>
      <c r="G10" s="7" t="inlineStr">
        <is>
          <t>For internal management reporting only: we will track the size, health and diversity of remnant vegetation at Dookie and Creswick. This information will not be published.</t>
        </is>
      </c>
      <c r="H10" s="7" t="inlineStr">
        <is>
          <t>9a(ii)</t>
        </is>
      </c>
      <c r="I10" s="7" t="inlineStr">
        <is>
          <t>Not met</t>
        </is>
      </c>
      <c r="J10" s="7" t="inlineStr">
        <is>
          <t>Dookie Bush Block Living Lab (case study)
Creswick Vegetation Assessment Capstone Project,  (case study)</t>
        </is>
      </c>
      <c r="K10" s="7" t="inlineStr">
        <is>
          <t>https://unimelbcloud.sharepoint.com/:w:/r/teams/Sustainability/Shared%20Documents/General/Governance/Reporting/2026/2025%20Sustainability%20Report/Biodiversity.docx?d=w7b85fae81d704587910e1e9320a6bf31&amp;csf=1&amp;web=1&amp;e=GCfji1</t>
        </is>
      </c>
      <c r="L10" s="9">
        <f>IFERROR(IF(INDEX('[12]1. Reporting template'!$L$1:$L$400,MATCH($B10,'[12]1. Reporting template'!$B$1:$B$400,0))="","",INDEX('[12]1. Reporting template'!$L$1:$L$400,MATCH($B10,'[12]1. Reporting template'!$B$1:$B$400,0))),"")</f>
        <v/>
      </c>
      <c r="M10" s="9">
        <f>IFERROR(IF(INDEX('[12]1. Reporting template'!$M$1:$M$400,MATCH($B10,'[12]1. Reporting template'!$B$1:$B$400,0))="","",INDEX('[12]1. Reporting template'!$M$1:$M$400,MATCH($B10,'[12]1. Reporting template'!$B$1:$B$400,0))),"")</f>
        <v/>
      </c>
      <c r="N10" s="9">
        <f>IFERROR(IF(INDEX('[12]1. Reporting template'!$N$1:$N$400,MATCH($B10,'[12]1. Reporting template'!$B$1:$B$400,0))="","",INDEX('[12]1. Reporting template'!$N$1:$N$400,MATCH($B10,'[12]1. Reporting template'!$B$1:$B$400,0))),"")</f>
        <v/>
      </c>
      <c r="O10" s="9">
        <f>IFERROR(IF(INDEX('[12]1. Reporting template'!$O$1:$O$400,MATCH($B10,'[12]1. Reporting template'!$B$1:$B$400,0))="","",INDEX('[12]1. Reporting template'!$O$1:$O$400,MATCH($B10,'[12]1. Reporting template'!$B$1:$B$400,0))),"")</f>
        <v/>
      </c>
      <c r="P10" s="9">
        <f>IFERROR(IF(INDEX('[12]1. Reporting template'!$P$1:$P$400,MATCH($B10,'[12]1. Reporting template'!$B$1:$B$400,0))="","",INDEX('[12]1. Reporting template'!$P$1:$P$400,MATCH($B10,'[12]1. Reporting template'!$B$1:$B$400,0))),"")</f>
        <v/>
      </c>
      <c r="Q10" s="9">
        <f>IFERROR(IF(INDEX('[12]1. Reporting template'!$Q$1:$Q$400,MATCH($B10,'[12]1. Reporting template'!$B$1:$B$400,0))="","",INDEX('[12]1. Reporting template'!$Q$1:$Q$400,MATCH($B10,'[12]1. Reporting template'!$B$1:$B$400,0))),"")</f>
        <v/>
      </c>
    </row>
    <row r="11" ht="150" customHeight="1">
      <c r="B11" s="6" t="inlineStr">
        <is>
          <t>NB1(c)</t>
        </is>
      </c>
      <c r="C11" s="48" t="inlineStr">
        <is>
          <t>Nature and biodiversity</t>
        </is>
      </c>
      <c r="D11" s="48" t="inlineStr">
        <is>
          <t>Achieve an increase of biodiversity relative to defined baseline years for each campus.</t>
        </is>
      </c>
      <c r="E11" s="48" t="inlineStr">
        <is>
          <t>Defined quality measurement framework</t>
        </is>
      </c>
      <c r="F11" s="7" t="inlineStr">
        <is>
          <t>(Reporting request TBC)
In end-2025 reporting your area reported on the related SP2030 target 9a(i) (see Column J – click [+] above Columns I–K).</t>
        </is>
      </c>
      <c r="G11" s="7" t="inlineStr">
        <is>
          <t>We will report progress on developing the biodiversity quality measurement framework, which will underpin how the biodiversity target is assessed from 2027.</t>
        </is>
      </c>
      <c r="H11" s="7" t="inlineStr">
        <is>
          <t>9a(i)</t>
        </is>
      </c>
      <c r="I11" s="7" t="inlineStr">
        <is>
          <t>Not met</t>
        </is>
      </c>
      <c r="J11" s="7" t="inlineStr">
        <is>
          <t>Two out of seven metrics have achieved net-gain across all campuses. 
Tree Planting Program: 161 trees were planted across three campuses. 
Dookie Community Planting Day, 79 volunteers planted 142 tube stock.</t>
        </is>
      </c>
      <c r="K11" s="7" t="inlineStr">
        <is>
          <t>https://unimelbcloud.sharepoint.com/:w:/r/teams/Sustainability/Shared%20Documents/General/Governance/Reporting/2026/2025%20Sustainability%20Report/Biodiversity.docx?d=w7b85fae81d704587910e1e9320a6bf31&amp;csf=1&amp;web=1&amp;e=GCfji1</t>
        </is>
      </c>
      <c r="L11" s="9">
        <f>IFERROR(IF(INDEX('[12]1. Reporting template'!$L$1:$L$400,MATCH($B11,'[12]1. Reporting template'!$B$1:$B$400,0))="","",INDEX('[12]1. Reporting template'!$L$1:$L$400,MATCH($B11,'[12]1. Reporting template'!$B$1:$B$400,0))),"")</f>
        <v/>
      </c>
      <c r="M11" s="9">
        <f>IFERROR(IF(INDEX('[12]1. Reporting template'!$M$1:$M$400,MATCH($B11,'[12]1. Reporting template'!$B$1:$B$400,0))="","",INDEX('[12]1. Reporting template'!$M$1:$M$400,MATCH($B11,'[12]1. Reporting template'!$B$1:$B$400,0))),"")</f>
        <v/>
      </c>
      <c r="N11" s="9">
        <f>IFERROR(IF(INDEX('[12]1. Reporting template'!$N$1:$N$400,MATCH($B11,'[12]1. Reporting template'!$B$1:$B$400,0))="","",INDEX('[12]1. Reporting template'!$N$1:$N$400,MATCH($B11,'[12]1. Reporting template'!$B$1:$B$400,0))),"")</f>
        <v/>
      </c>
      <c r="O11" s="9">
        <f>IFERROR(IF(INDEX('[12]1. Reporting template'!$O$1:$O$400,MATCH($B11,'[12]1. Reporting template'!$B$1:$B$400,0))="","",INDEX('[12]1. Reporting template'!$O$1:$O$400,MATCH($B11,'[12]1. Reporting template'!$B$1:$B$400,0))),"")</f>
        <v/>
      </c>
      <c r="P11" s="9">
        <f>IFERROR(IF(INDEX('[12]1. Reporting template'!$P$1:$P$400,MATCH($B11,'[12]1. Reporting template'!$B$1:$B$400,0))="","",INDEX('[12]1. Reporting template'!$P$1:$P$400,MATCH($B11,'[12]1. Reporting template'!$B$1:$B$400,0))),"")</f>
        <v/>
      </c>
      <c r="Q11" s="9">
        <f>IFERROR(IF(INDEX('[12]1. Reporting template'!$Q$1:$Q$400,MATCH($B11,'[12]1. Reporting template'!$B$1:$B$400,0))="","",INDEX('[12]1. Reporting template'!$Q$1:$Q$400,MATCH($B11,'[12]1. Reporting template'!$B$1:$B$400,0))),"")</f>
        <v/>
      </c>
    </row>
    <row r="12" ht="154" customHeight="1">
      <c r="B12" s="6" t="inlineStr">
        <is>
          <t>NB1(d)</t>
        </is>
      </c>
      <c r="C12" s="48" t="inlineStr">
        <is>
          <t>Nature and biodiversity</t>
        </is>
      </c>
      <c r="D12" s="48" t="inlineStr">
        <is>
          <t>Achieve an increase of biodiversity relative to defined baseline years for each campus.</t>
        </is>
      </c>
      <c r="E12" s="48" t="inlineStr">
        <is>
          <t>Defined and quantified campus connectivity</t>
        </is>
      </c>
      <c r="F12" s="7" t="inlineStr">
        <is>
          <t>Please provide the current definition and quantified assessment of campus ecological connectivity, could include the methodology used, campuses covered, baseline or benchmark values, and any material change over the reporting period.
We did not receive an end-2025 response for the related SP2030 target 9b(i), so please include any relevant activity from across 2026.</t>
        </is>
      </c>
      <c r="G12" s="7" t="inlineStr">
        <is>
          <t>We will report the definition and baseline for campus ecological connectivity in the 2026 Sustainability Report, to support future tracking against the biodiversity target.</t>
        </is>
      </c>
      <c r="H12" s="7" t="inlineStr">
        <is>
          <t>9b(i)</t>
        </is>
      </c>
      <c r="I12" s="7" t="inlineStr">
        <is>
          <t>Not yet started</t>
        </is>
      </c>
      <c r="J12" s="7" t="inlineStr"/>
      <c r="K12" s="7" t="inlineStr"/>
      <c r="L12" s="9">
        <f>IFERROR(IF(INDEX('[12]1. Reporting template'!$L$1:$L$400,MATCH($B12,'[12]1. Reporting template'!$B$1:$B$400,0))="","",INDEX('[12]1. Reporting template'!$L$1:$L$400,MATCH($B12,'[12]1. Reporting template'!$B$1:$B$400,0))),"")</f>
        <v/>
      </c>
      <c r="M12" s="9">
        <f>IFERROR(IF(INDEX('[12]1. Reporting template'!$M$1:$M$400,MATCH($B12,'[12]1. Reporting template'!$B$1:$B$400,0))="","",INDEX('[12]1. Reporting template'!$M$1:$M$400,MATCH($B12,'[12]1. Reporting template'!$B$1:$B$400,0))),"")</f>
        <v/>
      </c>
      <c r="N12" s="9">
        <f>IFERROR(IF(INDEX('[12]1. Reporting template'!$N$1:$N$400,MATCH($B12,'[12]1. Reporting template'!$B$1:$B$400,0))="","",INDEX('[12]1. Reporting template'!$N$1:$N$400,MATCH($B12,'[12]1. Reporting template'!$B$1:$B$400,0))),"")</f>
        <v/>
      </c>
      <c r="O12" s="9">
        <f>IFERROR(IF(INDEX('[12]1. Reporting template'!$O$1:$O$400,MATCH($B12,'[12]1. Reporting template'!$B$1:$B$400,0))="","",INDEX('[12]1. Reporting template'!$O$1:$O$400,MATCH($B12,'[12]1. Reporting template'!$B$1:$B$400,0))),"")</f>
        <v/>
      </c>
      <c r="P12" s="9">
        <f>IFERROR(IF(INDEX('[12]1. Reporting template'!$P$1:$P$400,MATCH($B12,'[12]1. Reporting template'!$B$1:$B$400,0))="","",INDEX('[12]1. Reporting template'!$P$1:$P$400,MATCH($B12,'[12]1. Reporting template'!$B$1:$B$400,0))),"")</f>
        <v/>
      </c>
      <c r="Q12" s="9">
        <f>IFERROR(IF(INDEX('[12]1. Reporting template'!$Q$1:$Q$400,MATCH($B12,'[12]1. Reporting template'!$B$1:$B$400,0))="","",INDEX('[12]1. Reporting template'!$Q$1:$Q$400,MATCH($B12,'[12]1. Reporting template'!$B$1:$B$400,0))),"")</f>
        <v/>
      </c>
    </row>
    <row r="13" ht="150" customHeight="1">
      <c r="B13" s="6" t="inlineStr">
        <is>
          <t>NB2(b)</t>
        </is>
      </c>
      <c r="C13" s="48" t="inlineStr">
        <is>
          <t>Nature and biodiversity</t>
        </is>
      </c>
      <c r="D13" s="48" t="inlineStr">
        <is>
          <t>Improve our understanding of our supply chain impacts on nature.</t>
        </is>
      </c>
      <c r="E13" s="48" t="inlineStr">
        <is>
          <t>Evidence of established framework to monitor and track supply-chain nature impacts over time</t>
        </is>
      </c>
      <c r="F13" s="7" t="inlineStr">
        <is>
          <t>Please describe the framework established to monitor and track supply-chain impacts on nature over time, could include metrics, data sources, governance/ownership, reporting frequency and current implementation status.</t>
        </is>
      </c>
      <c r="G13" s="7" t="inlineStr">
        <is>
          <t>We will describe the framework for monitoring supply-chain nature impacts, and use it to plan how this target is reported from 2027.</t>
        </is>
      </c>
      <c r="H13" s="7" t="inlineStr">
        <is>
          <t>N/A – new indicator</t>
        </is>
      </c>
      <c r="I13" s="7" t="inlineStr"/>
      <c r="J13" s="7" t="inlineStr"/>
      <c r="K13" s="7" t="inlineStr"/>
      <c r="L13" s="9">
        <f>IFERROR(IF(INDEX('[12]1. Reporting template'!$L$1:$L$400,MATCH($B13,'[12]1. Reporting template'!$B$1:$B$400,0))="","",INDEX('[12]1. Reporting template'!$L$1:$L$400,MATCH($B13,'[12]1. Reporting template'!$B$1:$B$400,0))),"")</f>
        <v/>
      </c>
      <c r="M13" s="9">
        <f>IFERROR(IF(INDEX('[12]1. Reporting template'!$M$1:$M$400,MATCH($B13,'[12]1. Reporting template'!$B$1:$B$400,0))="","",INDEX('[12]1. Reporting template'!$M$1:$M$400,MATCH($B13,'[12]1. Reporting template'!$B$1:$B$400,0))),"")</f>
        <v/>
      </c>
      <c r="N13" s="9">
        <f>IFERROR(IF(INDEX('[12]1. Reporting template'!$N$1:$N$400,MATCH($B13,'[12]1. Reporting template'!$B$1:$B$400,0))="","",INDEX('[12]1. Reporting template'!$N$1:$N$400,MATCH($B13,'[12]1. Reporting template'!$B$1:$B$400,0))),"")</f>
        <v/>
      </c>
      <c r="O13" s="9">
        <f>IFERROR(IF(INDEX('[12]1. Reporting template'!$O$1:$O$400,MATCH($B13,'[12]1. Reporting template'!$B$1:$B$400,0))="","",INDEX('[12]1. Reporting template'!$O$1:$O$400,MATCH($B13,'[12]1. Reporting template'!$B$1:$B$400,0))),"")</f>
        <v/>
      </c>
      <c r="P13" s="9">
        <f>IFERROR(IF(INDEX('[12]1. Reporting template'!$P$1:$P$400,MATCH($B13,'[12]1. Reporting template'!$B$1:$B$400,0))="","",INDEX('[12]1. Reporting template'!$P$1:$P$400,MATCH($B13,'[12]1. Reporting template'!$B$1:$B$400,0))),"")</f>
        <v/>
      </c>
      <c r="Q13" s="9">
        <f>IFERROR(IF(INDEX('[12]1. Reporting template'!$Q$1:$Q$400,MATCH($B13,'[12]1. Reporting template'!$B$1:$B$400,0))="","",INDEX('[12]1. Reporting template'!$Q$1:$Q$400,MATCH($B13,'[12]1. Reporting template'!$B$1:$B$400,0))),"")</f>
        <v/>
      </c>
    </row>
    <row r="14" ht="150" customHeight="1">
      <c r="B14" s="6" t="inlineStr">
        <is>
          <t>NB2(c)</t>
        </is>
      </c>
      <c r="C14" s="48" t="inlineStr">
        <is>
          <t>Nature and biodiversity</t>
        </is>
      </c>
      <c r="D14" s="48" t="inlineStr">
        <is>
          <t>Improve our understanding of our supply chain impacts on nature.</t>
        </is>
      </c>
      <c r="E14" s="48" t="inlineStr">
        <is>
          <t>Evidence of prioritised high risk procurement categories or suppliers for nature impact management</t>
        </is>
      </c>
      <c r="F14" s="7" t="inlineStr">
        <is>
          <t>Please provide the prioritised high-risk procurement categories and/or suppliers identified for nature-impact management, could include the basis for prioritisation and any risk-management, engagement or mitigation actions undertaken or planned.</t>
        </is>
      </c>
      <c r="G14" s="7" t="inlineStr">
        <is>
          <t>We will report on the high-risk procurement categories or suppliers prioritised for nature-impact management, and related actions, in the 2026 Sustainability Report.</t>
        </is>
      </c>
      <c r="H14" s="7" t="inlineStr">
        <is>
          <t>N/A – new indicator</t>
        </is>
      </c>
      <c r="I14" s="7" t="inlineStr"/>
      <c r="J14" s="7" t="inlineStr"/>
      <c r="K14" s="7" t="inlineStr"/>
      <c r="L14" s="9">
        <f>IFERROR(IF(INDEX('[12]1. Reporting template'!$L$1:$L$400,MATCH($B14,'[12]1. Reporting template'!$B$1:$B$400,0))="","",INDEX('[12]1. Reporting template'!$L$1:$L$400,MATCH($B14,'[12]1. Reporting template'!$B$1:$B$400,0))),"")</f>
        <v/>
      </c>
      <c r="M14" s="9">
        <f>IFERROR(IF(INDEX('[12]1. Reporting template'!$M$1:$M$400,MATCH($B14,'[12]1. Reporting template'!$B$1:$B$400,0))="","",INDEX('[12]1. Reporting template'!$M$1:$M$400,MATCH($B14,'[12]1. Reporting template'!$B$1:$B$400,0))),"")</f>
        <v/>
      </c>
      <c r="N14" s="9">
        <f>IFERROR(IF(INDEX('[12]1. Reporting template'!$N$1:$N$400,MATCH($B14,'[12]1. Reporting template'!$B$1:$B$400,0))="","",INDEX('[12]1. Reporting template'!$N$1:$N$400,MATCH($B14,'[12]1. Reporting template'!$B$1:$B$400,0))),"")</f>
        <v/>
      </c>
      <c r="O14" s="9">
        <f>IFERROR(IF(INDEX('[12]1. Reporting template'!$O$1:$O$400,MATCH($B14,'[12]1. Reporting template'!$B$1:$B$400,0))="","",INDEX('[12]1. Reporting template'!$O$1:$O$400,MATCH($B14,'[12]1. Reporting template'!$B$1:$B$400,0))),"")</f>
        <v/>
      </c>
      <c r="P14" s="9">
        <f>IFERROR(IF(INDEX('[12]1. Reporting template'!$P$1:$P$400,MATCH($B14,'[12]1. Reporting template'!$B$1:$B$400,0))="","",INDEX('[12]1. Reporting template'!$P$1:$P$400,MATCH($B14,'[12]1. Reporting template'!$B$1:$B$400,0))),"")</f>
        <v/>
      </c>
      <c r="Q14" s="9">
        <f>IFERROR(IF(INDEX('[12]1. Reporting template'!$Q$1:$Q$400,MATCH($B14,'[12]1. Reporting template'!$B$1:$B$400,0))="","",INDEX('[12]1. Reporting template'!$Q$1:$Q$400,MATCH($B14,'[12]1. Reporting template'!$B$1:$B$400,0))),"")</f>
        <v/>
      </c>
    </row>
    <row r="15" ht="171" customHeight="1">
      <c r="B15" s="6" t="inlineStr">
        <is>
          <t>EN1(c)</t>
        </is>
      </c>
      <c r="C15" s="48" t="inlineStr">
        <is>
          <t>Enablers</t>
        </is>
      </c>
      <c r="D15" s="48" t="inlineStr">
        <is>
          <t>Enablers</t>
        </is>
      </c>
      <c r="E15" s="48" t="inlineStr">
        <is>
          <t>Coordinated internal engagement and external partnerships contributing to delivery of sustainability outcomes across priority areas.</t>
        </is>
      </c>
      <c r="F15" s="7"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
In end-2025 reporting your area reported on the related SP2030 target 7a (see Column J – click [+] above Columns I–K).</t>
        </is>
      </c>
      <c r="G15" s="7" t="inlineStr">
        <is>
          <t>We will report on internal engagement and partnerships contributing to Sustainability 2030 outcomes, and update our record of sustainability-focused communities of practice and contacts across the University.</t>
        </is>
      </c>
      <c r="H15" s="7" t="inlineStr">
        <is>
          <t>7a</t>
        </is>
      </c>
      <c r="I15" s="7" t="inlineStr">
        <is>
          <t>Partially met</t>
        </is>
      </c>
      <c r="J15" s="7" t="inlineStr">
        <is>
          <t>National Reconciliation Week 2025 – Partnering for Country and community</t>
        </is>
      </c>
      <c r="K15" s="7" t="inlineStr"/>
      <c r="L15" s="9">
        <f>IFERROR(IF(INDEX('[12]1. Reporting template'!$L$1:$L$400,MATCH($B15,'[12]1. Reporting template'!$B$1:$B$400,0))="","",INDEX('[12]1. Reporting template'!$L$1:$L$400,MATCH($B15,'[12]1. Reporting template'!$B$1:$B$400,0))),"")</f>
        <v/>
      </c>
      <c r="M15" s="9">
        <f>IFERROR(IF(INDEX('[12]1. Reporting template'!$M$1:$M$400,MATCH($B15,'[12]1. Reporting template'!$B$1:$B$400,0))="","",INDEX('[12]1. Reporting template'!$M$1:$M$400,MATCH($B15,'[12]1. Reporting template'!$B$1:$B$400,0))),"")</f>
        <v/>
      </c>
      <c r="N15" s="9">
        <f>IFERROR(IF(INDEX('[12]1. Reporting template'!$N$1:$N$400,MATCH($B15,'[12]1. Reporting template'!$B$1:$B$400,0))="","",INDEX('[12]1. Reporting template'!$N$1:$N$400,MATCH($B15,'[12]1. Reporting template'!$B$1:$B$400,0))),"")</f>
        <v/>
      </c>
      <c r="O15" s="9">
        <f>IFERROR(IF(INDEX('[12]1. Reporting template'!$O$1:$O$400,MATCH($B15,'[12]1. Reporting template'!$B$1:$B$400,0))="","",INDEX('[12]1. Reporting template'!$O$1:$O$400,MATCH($B15,'[12]1. Reporting template'!$B$1:$B$400,0))),"")</f>
        <v/>
      </c>
      <c r="P15" s="9">
        <f>IFERROR(IF(INDEX('[12]1. Reporting template'!$P$1:$P$400,MATCH($B15,'[12]1. Reporting template'!$B$1:$B$400,0))="","",INDEX('[12]1. Reporting template'!$P$1:$P$400,MATCH($B15,'[12]1. Reporting template'!$B$1:$B$400,0))),"")</f>
        <v/>
      </c>
      <c r="Q15" s="9">
        <f>IFERROR(IF(INDEX('[12]1. Reporting template'!$Q$1:$Q$400,MATCH($B15,'[12]1. Reporting template'!$B$1:$B$400,0))="","",INDEX('[12]1. Reporting template'!$Q$1:$Q$400,MATCH($B15,'[12]1. Reporting template'!$B$1:$B$400,0))),"")</f>
        <v/>
      </c>
    </row>
    <row r="16" ht="150" customHeight="1">
      <c r="B16" s="6" t="inlineStr">
        <is>
          <t>EN1(d)</t>
        </is>
      </c>
      <c r="C16" s="48" t="inlineStr">
        <is>
          <t>Enablers</t>
        </is>
      </c>
      <c r="D16" s="48" t="inlineStr">
        <is>
          <t>Enablers</t>
        </is>
      </c>
      <c r="E16" s="48" t="inlineStr">
        <is>
          <t>Sustainability objectives integrated into governance and decision‑making processes, supported by transparent reporting.</t>
        </is>
      </c>
      <c r="F16" s="7"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16" s="7" t="inlineStr">
        <is>
          <t>We will report on how sustainability is integrated into governance and decision-making across faculties and portfolios, and use responses as a baseline for the governance enabler from 2027.</t>
        </is>
      </c>
      <c r="H16" s="7" t="inlineStr">
        <is>
          <t>N/A – new indicator</t>
        </is>
      </c>
      <c r="I16" s="7" t="inlineStr"/>
      <c r="J16" s="7" t="inlineStr"/>
      <c r="K16" s="7" t="inlineStr"/>
      <c r="L16" s="9">
        <f>IFERROR(IF(INDEX('[12]1. Reporting template'!$L$1:$L$400,MATCH($B16,'[12]1. Reporting template'!$B$1:$B$400,0))="","",INDEX('[12]1. Reporting template'!$L$1:$L$400,MATCH($B16,'[12]1. Reporting template'!$B$1:$B$400,0))),"")</f>
        <v/>
      </c>
      <c r="M16" s="9">
        <f>IFERROR(IF(INDEX('[12]1. Reporting template'!$M$1:$M$400,MATCH($B16,'[12]1. Reporting template'!$B$1:$B$400,0))="","",INDEX('[12]1. Reporting template'!$M$1:$M$400,MATCH($B16,'[12]1. Reporting template'!$B$1:$B$400,0))),"")</f>
        <v/>
      </c>
      <c r="N16" s="9">
        <f>IFERROR(IF(INDEX('[12]1. Reporting template'!$N$1:$N$400,MATCH($B16,'[12]1. Reporting template'!$B$1:$B$400,0))="","",INDEX('[12]1. Reporting template'!$N$1:$N$400,MATCH($B16,'[12]1. Reporting template'!$B$1:$B$400,0))),"")</f>
        <v/>
      </c>
      <c r="O16" s="9">
        <f>IFERROR(IF(INDEX('[12]1. Reporting template'!$O$1:$O$400,MATCH($B16,'[12]1. Reporting template'!$B$1:$B$400,0))="","",INDEX('[12]1. Reporting template'!$O$1:$O$400,MATCH($B16,'[12]1. Reporting template'!$B$1:$B$400,0))),"")</f>
        <v/>
      </c>
      <c r="P16" s="9">
        <f>IFERROR(IF(INDEX('[12]1. Reporting template'!$P$1:$P$400,MATCH($B16,'[12]1. Reporting template'!$B$1:$B$400,0))="","",INDEX('[12]1. Reporting template'!$P$1:$P$400,MATCH($B16,'[12]1. Reporting template'!$B$1:$B$400,0))),"")</f>
        <v/>
      </c>
      <c r="Q16" s="9">
        <f>IFERROR(IF(INDEX('[12]1. Reporting template'!$Q$1:$Q$400,MATCH($B16,'[12]1. Reporting template'!$B$1:$B$400,0))="","",INDEX('[12]1. Reporting template'!$Q$1:$Q$400,MATCH($B16,'[12]1. Reporting template'!$B$1:$B$400,0))),"")</f>
        <v/>
      </c>
    </row>
    <row r="17"/>
  </sheetData>
  <mergeCells count="2">
    <mergeCell ref="L7:Q7"/>
    <mergeCell ref="C7:G7"/>
  </mergeCells>
  <dataValidations count="1">
    <dataValidation sqref="P10:P16" showDropDown="0" showInputMessage="0" showErrorMessage="0" allowBlank="1" errorTitle="Invalid entry" error="Please select from the dropdown" type="list">
      <formula1>=Lists!$C$2:$C$4</formula1>
    </dataValidation>
  </dataValidations>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0"/>
    <pageSetUpPr/>
  </sheetPr>
  <dimension ref="A1:R14"/>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Chief Information Officer Group (CIOG)</t>
        </is>
      </c>
      <c r="C2" s="1" t="n"/>
      <c r="D2" s="1" t="n"/>
      <c r="E2" s="1" t="n"/>
      <c r="F2" s="1" t="n"/>
      <c r="G2" s="1" t="n"/>
      <c r="H2" s="1" t="n"/>
      <c r="I2" s="1" t="n"/>
      <c r="J2" s="1" t="n"/>
      <c r="K2" s="1" t="n"/>
      <c r="L2" s="1" t="n"/>
      <c r="M2" s="1" t="n"/>
      <c r="N2" s="1" t="n"/>
      <c r="O2" s="1" t="n"/>
      <c r="P2" s="1" t="n"/>
      <c r="Q2" s="1" t="n"/>
      <c r="R2" s="1" t="n"/>
    </row>
    <row r="3" ht="22" customHeight="1">
      <c r="B3" s="19" t="inlineStr">
        <is>
          <t>Consolidated responses – paste from returned request workbooks (identical column layout). Click [+] above Columns H–K for end-2025 responses.</t>
        </is>
      </c>
    </row>
    <row r="4"/>
    <row r="5" ht="39" customHeight="1">
      <c r="B5" s="43" t="inlineStr">
        <is>
          <t>1.1  CIOG – Responsible AI &amp; digital</t>
        </is>
      </c>
    </row>
    <row r="6"/>
    <row r="7" ht="27" customHeight="1">
      <c r="C7" s="44" t="inlineStr">
        <is>
          <t>Sustainability 2030 target and indicator</t>
        </is>
      </c>
      <c r="H7" s="44" t="inlineStr">
        <is>
          <t>SR25 response</t>
        </is>
      </c>
      <c r="L7" s="45" t="inlineStr">
        <is>
          <t>End-2026 reporting (PLEASE COMPLETE THIS SECTION)</t>
        </is>
      </c>
    </row>
    <row r="8" ht="60" customHeight="1">
      <c r="B8" s="5" t="inlineStr">
        <is>
          <t>Ref</t>
        </is>
      </c>
      <c r="C8" s="5" t="inlineStr">
        <is>
          <t>Priority area</t>
        </is>
      </c>
      <c r="D8" s="5" t="inlineStr">
        <is>
          <t>Sustainability 2030 target</t>
        </is>
      </c>
      <c r="E8" s="5" t="inlineStr">
        <is>
          <t>Indicator</t>
        </is>
      </c>
      <c r="F8" s="5" t="inlineStr">
        <is>
          <t>2026 Reporting request</t>
        </is>
      </c>
      <c r="G8" s="5" t="inlineStr">
        <is>
          <t>How SST will use this data</t>
        </is>
      </c>
      <c r="H8" s="5" t="inlineStr">
        <is>
          <t>Related SR25 ref</t>
        </is>
      </c>
      <c r="I8" s="5" t="inlineStr">
        <is>
          <t>End-2025 confirmed status</t>
        </is>
      </c>
      <c r="J8" s="5" t="inlineStr">
        <is>
          <t>End-2025 reporting response</t>
        </is>
      </c>
      <c r="K8" s="5"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150" customHeight="1">
      <c r="B10" s="6" t="inlineStr">
        <is>
          <t>AI1(a)</t>
        </is>
      </c>
      <c r="C10" s="48" t="inlineStr">
        <is>
          <t>Responsible AI</t>
        </is>
      </c>
      <c r="D10" s="48" t="inlineStr">
        <is>
          <t>Improve understanding of our sustainability-related risks and opportunities of AI technologies by 2028.</t>
        </is>
      </c>
      <c r="E10" s="48" t="inlineStr">
        <is>
          <t>Established measurement of estimated operational impacts and opportunities (eg operational impacts could include energy, water, emissions and intensity measures)</t>
        </is>
      </c>
      <c r="F10" s="7" t="inlineStr">
        <is>
          <t>(Reporting request TBC)</t>
        </is>
      </c>
      <c r="G10" s="7" t="inlineStr">
        <is>
          <t>We will provide a high-level overview of AI's estimated operational impacts and opportunities in 2026, ahead of more detailed measurement from 2027.</t>
        </is>
      </c>
      <c r="H10" s="7" t="inlineStr"/>
      <c r="I10" s="7" t="inlineStr"/>
      <c r="J10" s="7" t="inlineStr"/>
      <c r="K10" s="7" t="inlineStr"/>
      <c r="L10" s="9">
        <f>IFERROR(IF(INDEX('[13]1. Reporting template'!$L$1:$L$400,MATCH($B10,'[13]1. Reporting template'!$B$1:$B$400,0))="","",INDEX('[13]1. Reporting template'!$L$1:$L$400,MATCH($B10,'[13]1. Reporting template'!$B$1:$B$400,0))),"")</f>
        <v/>
      </c>
      <c r="M10" s="9">
        <f>IFERROR(IF(INDEX('[13]1. Reporting template'!$M$1:$M$400,MATCH($B10,'[13]1. Reporting template'!$B$1:$B$400,0))="","",INDEX('[13]1. Reporting template'!$M$1:$M$400,MATCH($B10,'[13]1. Reporting template'!$B$1:$B$400,0))),"")</f>
        <v/>
      </c>
      <c r="N10" s="9">
        <f>IFERROR(IF(INDEX('[13]1. Reporting template'!$N$1:$N$400,MATCH($B10,'[13]1. Reporting template'!$B$1:$B$400,0))="","",INDEX('[13]1. Reporting template'!$N$1:$N$400,MATCH($B10,'[13]1. Reporting template'!$B$1:$B$400,0))),"")</f>
        <v/>
      </c>
      <c r="O10" s="9">
        <f>IFERROR(IF(INDEX('[13]1. Reporting template'!$O$1:$O$400,MATCH($B10,'[13]1. Reporting template'!$B$1:$B$400,0))="","",INDEX('[13]1. Reporting template'!$O$1:$O$400,MATCH($B10,'[13]1. Reporting template'!$B$1:$B$400,0))),"")</f>
        <v/>
      </c>
      <c r="P10" s="9">
        <f>IFERROR(IF(INDEX('[13]1. Reporting template'!$P$1:$P$400,MATCH($B10,'[13]1. Reporting template'!$B$1:$B$400,0))="","",INDEX('[13]1. Reporting template'!$P$1:$P$400,MATCH($B10,'[13]1. Reporting template'!$B$1:$B$400,0))),"")</f>
        <v/>
      </c>
      <c r="Q10" s="9">
        <f>IFERROR(IF(INDEX('[13]1. Reporting template'!$Q$1:$Q$400,MATCH($B10,'[13]1. Reporting template'!$B$1:$B$400,0))="","",INDEX('[13]1. Reporting template'!$Q$1:$Q$400,MATCH($B10,'[13]1. Reporting template'!$B$1:$B$400,0))),"")</f>
        <v/>
      </c>
    </row>
    <row r="11" ht="150" customHeight="1">
      <c r="B11" s="6" t="inlineStr">
        <is>
          <t>AI1(b)</t>
        </is>
      </c>
      <c r="C11" s="48" t="inlineStr">
        <is>
          <t>Responsible AI</t>
        </is>
      </c>
      <c r="D11" s="48" t="inlineStr">
        <is>
          <t>Improve understanding of our sustainability-related risks and opportunities of AI technologies by 2028.</t>
        </is>
      </c>
      <c r="E11" s="48" t="inlineStr">
        <is>
          <t>Case studies of sustainability and AI-related education, research and collaboration activities.</t>
        </is>
      </c>
      <c r="F11" s="7" t="inlineStr">
        <is>
          <t>Please provide case studies from your Faculty/Portfolio of sustainability and AI-related education, research or collaboration activities, describing the activity, participants or partners, sustainability issue addressed and key outcomes or lessons.</t>
        </is>
      </c>
      <c r="G11" s="7" t="inlineStr">
        <is>
          <t>We will select examples of sustainability and AI-related education, research and collaboration as case studies for the new Responsible AI section of the 2026 Sustainability Report.</t>
        </is>
      </c>
      <c r="H11" s="7" t="inlineStr"/>
      <c r="I11" s="7" t="inlineStr"/>
      <c r="J11" s="7" t="inlineStr"/>
      <c r="K11" s="7" t="inlineStr"/>
      <c r="L11" s="9">
        <f>IFERROR(IF(INDEX('[13]1. Reporting template'!$L$1:$L$400,MATCH($B11,'[13]1. Reporting template'!$B$1:$B$400,0))="","",INDEX('[13]1. Reporting template'!$L$1:$L$400,MATCH($B11,'[13]1. Reporting template'!$B$1:$B$400,0))),"")</f>
        <v/>
      </c>
      <c r="M11" s="9">
        <f>IFERROR(IF(INDEX('[13]1. Reporting template'!$M$1:$M$400,MATCH($B11,'[13]1. Reporting template'!$B$1:$B$400,0))="","",INDEX('[13]1. Reporting template'!$M$1:$M$400,MATCH($B11,'[13]1. Reporting template'!$B$1:$B$400,0))),"")</f>
        <v/>
      </c>
      <c r="N11" s="9">
        <f>IFERROR(IF(INDEX('[13]1. Reporting template'!$N$1:$N$400,MATCH($B11,'[13]1. Reporting template'!$B$1:$B$400,0))="","",INDEX('[13]1. Reporting template'!$N$1:$N$400,MATCH($B11,'[13]1. Reporting template'!$B$1:$B$400,0))),"")</f>
        <v/>
      </c>
      <c r="O11" s="9">
        <f>IFERROR(IF(INDEX('[13]1. Reporting template'!$O$1:$O$400,MATCH($B11,'[13]1. Reporting template'!$B$1:$B$400,0))="","",INDEX('[13]1. Reporting template'!$O$1:$O$400,MATCH($B11,'[13]1. Reporting template'!$B$1:$B$400,0))),"")</f>
        <v/>
      </c>
      <c r="P11" s="9">
        <f>IFERROR(IF(INDEX('[13]1. Reporting template'!$P$1:$P$400,MATCH($B11,'[13]1. Reporting template'!$B$1:$B$400,0))="","",INDEX('[13]1. Reporting template'!$P$1:$P$400,MATCH($B11,'[13]1. Reporting template'!$B$1:$B$400,0))),"")</f>
        <v/>
      </c>
      <c r="Q11" s="9">
        <f>IFERROR(IF(INDEX('[13]1. Reporting template'!$Q$1:$Q$400,MATCH($B11,'[13]1. Reporting template'!$B$1:$B$400,0))="","",INDEX('[13]1. Reporting template'!$Q$1:$Q$400,MATCH($B11,'[13]1. Reporting template'!$B$1:$B$400,0))),"")</f>
        <v/>
      </c>
    </row>
    <row r="12" ht="150" customHeight="1">
      <c r="B12" s="6" t="inlineStr">
        <is>
          <t>EN1(c)</t>
        </is>
      </c>
      <c r="C12" s="48" t="inlineStr">
        <is>
          <t>Enablers</t>
        </is>
      </c>
      <c r="D12" s="48" t="inlineStr">
        <is>
          <t>Enablers</t>
        </is>
      </c>
      <c r="E12" s="48" t="inlineStr">
        <is>
          <t>Coordinated internal engagement and external partnerships contributing to delivery of sustainability outcomes across priority areas.</t>
        </is>
      </c>
      <c r="F12" s="7"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2" s="7" t="inlineStr">
        <is>
          <t>We will report on internal engagement and partnerships contributing to Sustainability 2030 outcomes, and update our record of sustainability-focused communities of practice and contacts across the University.</t>
        </is>
      </c>
      <c r="H12" s="7" t="inlineStr"/>
      <c r="I12" s="7" t="inlineStr"/>
      <c r="J12" s="7" t="inlineStr"/>
      <c r="K12" s="7" t="inlineStr"/>
      <c r="L12" s="9">
        <f>IFERROR(IF(INDEX('[13]1. Reporting template'!$L$1:$L$400,MATCH($B12,'[13]1. Reporting template'!$B$1:$B$400,0))="","",INDEX('[13]1. Reporting template'!$L$1:$L$400,MATCH($B12,'[13]1. Reporting template'!$B$1:$B$400,0))),"")</f>
        <v/>
      </c>
      <c r="M12" s="9">
        <f>IFERROR(IF(INDEX('[13]1. Reporting template'!$M$1:$M$400,MATCH($B12,'[13]1. Reporting template'!$B$1:$B$400,0))="","",INDEX('[13]1. Reporting template'!$M$1:$M$400,MATCH($B12,'[13]1. Reporting template'!$B$1:$B$400,0))),"")</f>
        <v/>
      </c>
      <c r="N12" s="9">
        <f>IFERROR(IF(INDEX('[13]1. Reporting template'!$N$1:$N$400,MATCH($B12,'[13]1. Reporting template'!$B$1:$B$400,0))="","",INDEX('[13]1. Reporting template'!$N$1:$N$400,MATCH($B12,'[13]1. Reporting template'!$B$1:$B$400,0))),"")</f>
        <v/>
      </c>
      <c r="O12" s="9">
        <f>IFERROR(IF(INDEX('[13]1. Reporting template'!$O$1:$O$400,MATCH($B12,'[13]1. Reporting template'!$B$1:$B$400,0))="","",INDEX('[13]1. Reporting template'!$O$1:$O$400,MATCH($B12,'[13]1. Reporting template'!$B$1:$B$400,0))),"")</f>
        <v/>
      </c>
      <c r="P12" s="9">
        <f>IFERROR(IF(INDEX('[13]1. Reporting template'!$P$1:$P$400,MATCH($B12,'[13]1. Reporting template'!$B$1:$B$400,0))="","",INDEX('[13]1. Reporting template'!$P$1:$P$400,MATCH($B12,'[13]1. Reporting template'!$B$1:$B$400,0))),"")</f>
        <v/>
      </c>
      <c r="Q12" s="9">
        <f>IFERROR(IF(INDEX('[13]1. Reporting template'!$Q$1:$Q$400,MATCH($B12,'[13]1. Reporting template'!$B$1:$B$400,0))="","",INDEX('[13]1. Reporting template'!$Q$1:$Q$400,MATCH($B12,'[13]1. Reporting template'!$B$1:$B$400,0))),"")</f>
        <v/>
      </c>
    </row>
    <row r="13" ht="150" customHeight="1">
      <c r="B13" s="6" t="inlineStr">
        <is>
          <t>EN1(d)</t>
        </is>
      </c>
      <c r="C13" s="48" t="inlineStr">
        <is>
          <t>Enablers</t>
        </is>
      </c>
      <c r="D13" s="48" t="inlineStr">
        <is>
          <t>Enablers</t>
        </is>
      </c>
      <c r="E13" s="48" t="inlineStr">
        <is>
          <t>Sustainability objectives integrated into governance and decision‑making processes, supported by transparent reporting.</t>
        </is>
      </c>
      <c r="F13" s="7"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13" s="7" t="inlineStr">
        <is>
          <t>We will report on how sustainability is integrated into governance and decision-making across faculties and portfolios, and use responses as a baseline for the governance enabler from 2027.</t>
        </is>
      </c>
      <c r="H13" s="7" t="inlineStr"/>
      <c r="I13" s="7" t="inlineStr"/>
      <c r="J13" s="7" t="inlineStr"/>
      <c r="K13" s="7" t="inlineStr"/>
      <c r="L13" s="9">
        <f>IFERROR(IF(INDEX('[13]1. Reporting template'!$L$1:$L$400,MATCH($B13,'[13]1. Reporting template'!$B$1:$B$400,0))="","",INDEX('[13]1. Reporting template'!$L$1:$L$400,MATCH($B13,'[13]1. Reporting template'!$B$1:$B$400,0))),"")</f>
        <v/>
      </c>
      <c r="M13" s="9">
        <f>IFERROR(IF(INDEX('[13]1. Reporting template'!$M$1:$M$400,MATCH($B13,'[13]1. Reporting template'!$B$1:$B$400,0))="","",INDEX('[13]1. Reporting template'!$M$1:$M$400,MATCH($B13,'[13]1. Reporting template'!$B$1:$B$400,0))),"")</f>
        <v/>
      </c>
      <c r="N13" s="9">
        <f>IFERROR(IF(INDEX('[13]1. Reporting template'!$N$1:$N$400,MATCH($B13,'[13]1. Reporting template'!$B$1:$B$400,0))="","",INDEX('[13]1. Reporting template'!$N$1:$N$400,MATCH($B13,'[13]1. Reporting template'!$B$1:$B$400,0))),"")</f>
        <v/>
      </c>
      <c r="O13" s="9">
        <f>IFERROR(IF(INDEX('[13]1. Reporting template'!$O$1:$O$400,MATCH($B13,'[13]1. Reporting template'!$B$1:$B$400,0))="","",INDEX('[13]1. Reporting template'!$O$1:$O$400,MATCH($B13,'[13]1. Reporting template'!$B$1:$B$400,0))),"")</f>
        <v/>
      </c>
      <c r="P13" s="9">
        <f>IFERROR(IF(INDEX('[13]1. Reporting template'!$P$1:$P$400,MATCH($B13,'[13]1. Reporting template'!$B$1:$B$400,0))="","",INDEX('[13]1. Reporting template'!$P$1:$P$400,MATCH($B13,'[13]1. Reporting template'!$B$1:$B$400,0))),"")</f>
        <v/>
      </c>
      <c r="Q13" s="9">
        <f>IFERROR(IF(INDEX('[13]1. Reporting template'!$Q$1:$Q$400,MATCH($B13,'[13]1. Reporting template'!$B$1:$B$400,0))="","",INDEX('[13]1. Reporting template'!$Q$1:$Q$400,MATCH($B13,'[13]1. Reporting template'!$B$1:$B$400,0))),"")</f>
        <v/>
      </c>
    </row>
    <row r="14"/>
  </sheetData>
  <mergeCells count="2">
    <mergeCell ref="L7:Q7"/>
    <mergeCell ref="C7:G7"/>
  </mergeCells>
  <dataValidations count="1">
    <dataValidation sqref="P10:P13" showDropDown="0" showInputMessage="0" showErrorMessage="0" allowBlank="1" errorTitle="Invalid entry" error="Please select from the dropdown" type="list">
      <formula1>=Lists!$C$2:$C$4</formula1>
    </dataValidation>
  </dataValidations>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outlinePr summaryBelow="1" summaryRight="0"/>
    <pageSetUpPr/>
  </sheetPr>
  <dimension ref="A1:R18"/>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Melbourne Research and Enterprise (MRE)</t>
        </is>
      </c>
      <c r="C2" s="1" t="n"/>
      <c r="D2" s="1" t="n"/>
      <c r="E2" s="1" t="n"/>
      <c r="F2" s="1" t="n"/>
      <c r="G2" s="1" t="n"/>
      <c r="H2" s="1" t="n"/>
      <c r="I2" s="1" t="n"/>
      <c r="J2" s="1" t="n"/>
      <c r="K2" s="1" t="n"/>
      <c r="L2" s="1" t="n"/>
      <c r="M2" s="1" t="n"/>
      <c r="N2" s="1" t="n"/>
      <c r="O2" s="1" t="n"/>
      <c r="P2" s="1" t="n"/>
      <c r="Q2" s="1" t="n"/>
      <c r="R2" s="1" t="n"/>
    </row>
    <row r="3" ht="22" customHeight="1">
      <c r="B3" s="19" t="inlineStr">
        <is>
          <t>Consolidated responses – paste from returned request workbooks (identical column layout). Click [+] above Columns H–K for end-2025 responses.</t>
        </is>
      </c>
    </row>
    <row r="4"/>
    <row r="5" ht="39" customHeight="1">
      <c r="B5" s="43" t="inlineStr">
        <is>
          <t>1.1  MRE – Research (incl. MBI for NB2(a) nature footprint)</t>
        </is>
      </c>
    </row>
    <row r="6"/>
    <row r="7" ht="27" customHeight="1">
      <c r="C7" s="44" t="inlineStr">
        <is>
          <t>Sustainability 2030 target and indicator</t>
        </is>
      </c>
      <c r="H7" s="44" t="inlineStr">
        <is>
          <t>SR25 response</t>
        </is>
      </c>
      <c r="L7" s="45" t="inlineStr">
        <is>
          <t>End-2026 reporting (PLEASE COMPLETE THIS SECTION)</t>
        </is>
      </c>
    </row>
    <row r="8" ht="60" customHeight="1">
      <c r="B8" s="5" t="inlineStr">
        <is>
          <t>Ref</t>
        </is>
      </c>
      <c r="C8" s="5" t="inlineStr">
        <is>
          <t>Priority area</t>
        </is>
      </c>
      <c r="D8" s="5" t="inlineStr">
        <is>
          <t>Sustainability 2030 target</t>
        </is>
      </c>
      <c r="E8" s="5" t="inlineStr">
        <is>
          <t>Indicator</t>
        </is>
      </c>
      <c r="F8" s="5" t="inlineStr">
        <is>
          <t>2026 Reporting request</t>
        </is>
      </c>
      <c r="G8" s="5" t="inlineStr">
        <is>
          <t>How SST will use this data</t>
        </is>
      </c>
      <c r="H8" s="5" t="inlineStr">
        <is>
          <t>Related SR25 ref</t>
        </is>
      </c>
      <c r="I8" s="5" t="inlineStr">
        <is>
          <t>End-2025 confirmed status</t>
        </is>
      </c>
      <c r="J8" s="5" t="inlineStr">
        <is>
          <t>End-2025 reporting response</t>
        </is>
      </c>
      <c r="K8" s="5"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150" customHeight="1">
      <c r="B10" s="6" t="inlineStr">
        <is>
          <t>TR1(b)</t>
        </is>
      </c>
      <c r="C10" s="48" t="inlineStr">
        <is>
          <t>Transformational research</t>
        </is>
      </c>
      <c r="D10" s="48" t="inlineStr">
        <is>
          <t>Utilise the expertise of the University’s researchers through mutually beneficial partnerships to help address the University’s operational sustainability challenges.</t>
        </is>
      </c>
      <c r="E10" s="48" t="inlineStr">
        <is>
          <t>Evidence of institutional pathways that enable ongoing collaboration between academic and professional staff</t>
        </is>
      </c>
      <c r="F10" s="7" t="inlineStr">
        <is>
          <t>Please describe any pathways, mechanisms or processes within your Faculty/Portfolio that enable ongoing collaboration between academic and professional staff on operational sustainability challenges, could include formal programs, governance arrangements, funding mechanisms or coordination channels.</t>
        </is>
      </c>
      <c r="G10" s="7" t="inlineStr">
        <is>
          <t>We will map existing academic–professional collaboration mechanisms across faculties to establish a baseline for this new indicator and identify models other faculties could adopt.</t>
        </is>
      </c>
      <c r="H10" s="7" t="inlineStr">
        <is>
          <t>N/A – new indicator</t>
        </is>
      </c>
      <c r="I10" s="7" t="inlineStr"/>
      <c r="J10" s="7" t="inlineStr"/>
      <c r="K10" s="7" t="inlineStr"/>
      <c r="L10" s="9">
        <f>IFERROR(IF(INDEX('[14]1. Reporting template'!$L$1:$L$400,MATCH($B10,'[14]1. Reporting template'!$B$1:$B$400,0))="","",INDEX('[14]1. Reporting template'!$L$1:$L$400,MATCH($B10,'[14]1. Reporting template'!$B$1:$B$400,0))),"")</f>
        <v/>
      </c>
      <c r="M10" s="9">
        <f>IFERROR(IF(INDEX('[14]1. Reporting template'!$M$1:$M$400,MATCH($B10,'[14]1. Reporting template'!$B$1:$B$400,0))="","",INDEX('[14]1. Reporting template'!$M$1:$M$400,MATCH($B10,'[14]1. Reporting template'!$B$1:$B$400,0))),"")</f>
        <v/>
      </c>
      <c r="N10" s="9">
        <f>IFERROR(IF(INDEX('[14]1. Reporting template'!$N$1:$N$400,MATCH($B10,'[14]1. Reporting template'!$B$1:$B$400,0))="","",INDEX('[14]1. Reporting template'!$N$1:$N$400,MATCH($B10,'[14]1. Reporting template'!$B$1:$B$400,0))),"")</f>
        <v/>
      </c>
      <c r="O10" s="9">
        <f>IFERROR(IF(INDEX('[14]1. Reporting template'!$O$1:$O$400,MATCH($B10,'[14]1. Reporting template'!$B$1:$B$400,0))="","",INDEX('[14]1. Reporting template'!$O$1:$O$400,MATCH($B10,'[14]1. Reporting template'!$B$1:$B$400,0))),"")</f>
        <v/>
      </c>
      <c r="P10" s="9">
        <f>IFERROR(IF(INDEX('[14]1. Reporting template'!$P$1:$P$400,MATCH($B10,'[14]1. Reporting template'!$B$1:$B$400,0))="","",INDEX('[14]1. Reporting template'!$P$1:$P$400,MATCH($B10,'[14]1. Reporting template'!$B$1:$B$400,0))),"")</f>
        <v/>
      </c>
      <c r="Q10" s="9">
        <f>IFERROR(IF(INDEX('[14]1. Reporting template'!$Q$1:$Q$400,MATCH($B10,'[14]1. Reporting template'!$B$1:$B$400,0))="","",INDEX('[14]1. Reporting template'!$Q$1:$Q$400,MATCH($B10,'[14]1. Reporting template'!$B$1:$B$400,0))),"")</f>
        <v/>
      </c>
    </row>
    <row r="11" ht="150" customHeight="1">
      <c r="B11" s="6" t="inlineStr">
        <is>
          <t>TR1(c)</t>
        </is>
      </c>
      <c r="C11" s="48" t="inlineStr">
        <is>
          <t>Transformational research</t>
        </is>
      </c>
      <c r="D11" s="48" t="inlineStr">
        <is>
          <t>Utilise the expertise of the University’s researchers through mutually beneficial partnerships to help address the University’s operational sustainability challenges.</t>
        </is>
      </c>
      <c r="E11" s="48" t="inlineStr">
        <is>
          <t>Expert assessment of the quality, relevance and continuity of these collaborations</t>
        </is>
      </c>
      <c r="F11" s="7" t="inlineStr">
        <is>
          <t>Please provide an assessment of the quality, relevance and continuity of sustainability-related collaborations involving your Faculty/Portfolio, could include evidence of whether collaborations are sustained, useful to operational priorities and producing relevant outcomes.</t>
        </is>
      </c>
      <c r="G11" s="7" t="inlineStr">
        <is>
          <t>We will use your assessment to describe the quality and continuity of research–operations collaboration in the 2026 report, and as baseline evidence for the interim target status assessment from 2027.</t>
        </is>
      </c>
      <c r="H11" s="7" t="inlineStr">
        <is>
          <t>N/A – new indicator</t>
        </is>
      </c>
      <c r="I11" s="7" t="inlineStr"/>
      <c r="J11" s="7" t="inlineStr"/>
      <c r="K11" s="7" t="inlineStr"/>
      <c r="L11" s="9">
        <f>IFERROR(IF(INDEX('[14]1. Reporting template'!$L$1:$L$400,MATCH($B11,'[14]1. Reporting template'!$B$1:$B$400,0))="","",INDEX('[14]1. Reporting template'!$L$1:$L$400,MATCH($B11,'[14]1. Reporting template'!$B$1:$B$400,0))),"")</f>
        <v/>
      </c>
      <c r="M11" s="9">
        <f>IFERROR(IF(INDEX('[14]1. Reporting template'!$M$1:$M$400,MATCH($B11,'[14]1. Reporting template'!$B$1:$B$400,0))="","",INDEX('[14]1. Reporting template'!$M$1:$M$400,MATCH($B11,'[14]1. Reporting template'!$B$1:$B$400,0))),"")</f>
        <v/>
      </c>
      <c r="N11" s="9">
        <f>IFERROR(IF(INDEX('[14]1. Reporting template'!$N$1:$N$400,MATCH($B11,'[14]1. Reporting template'!$B$1:$B$400,0))="","",INDEX('[14]1. Reporting template'!$N$1:$N$400,MATCH($B11,'[14]1. Reporting template'!$B$1:$B$400,0))),"")</f>
        <v/>
      </c>
      <c r="O11" s="9">
        <f>IFERROR(IF(INDEX('[14]1. Reporting template'!$O$1:$O$400,MATCH($B11,'[14]1. Reporting template'!$B$1:$B$400,0))="","",INDEX('[14]1. Reporting template'!$O$1:$O$400,MATCH($B11,'[14]1. Reporting template'!$B$1:$B$400,0))),"")</f>
        <v/>
      </c>
      <c r="P11" s="9">
        <f>IFERROR(IF(INDEX('[14]1. Reporting template'!$P$1:$P$400,MATCH($B11,'[14]1. Reporting template'!$B$1:$B$400,0))="","",INDEX('[14]1. Reporting template'!$P$1:$P$400,MATCH($B11,'[14]1. Reporting template'!$B$1:$B$400,0))),"")</f>
        <v/>
      </c>
      <c r="Q11" s="9">
        <f>IFERROR(IF(INDEX('[14]1. Reporting template'!$Q$1:$Q$400,MATCH($B11,'[14]1. Reporting template'!$B$1:$B$400,0))="","",INDEX('[14]1. Reporting template'!$Q$1:$Q$400,MATCH($B11,'[14]1. Reporting template'!$B$1:$B$400,0))),"")</f>
        <v/>
      </c>
    </row>
    <row r="12" ht="150" customHeight="1">
      <c r="B12" s="6" t="inlineStr">
        <is>
          <t>TR1(d)</t>
        </is>
      </c>
      <c r="C12" s="48" t="inlineStr">
        <is>
          <t>Transformational research</t>
        </is>
      </c>
      <c r="D12" s="48" t="inlineStr">
        <is>
          <t>Utilise the expertise of the University’s researchers through mutually beneficial partnerships to help address the University’s operational sustainability challenges.</t>
        </is>
      </c>
      <c r="E12" s="48" t="inlineStr">
        <is>
          <t>Periodic feedback from participants on the effectiveness and mutual benefit of collaboration mechanisms.</t>
        </is>
      </c>
      <c r="F12" s="7" t="inlineStr">
        <is>
          <t>Please provide any participant feedback or other evidence from your Faculty/Portfolio on the effectiveness and mutual benefit of collaboration mechanisms between researchers and operational teams, could include key findings and any improvements identified.</t>
        </is>
      </c>
      <c r="G12" s="7" t="inlineStr">
        <is>
          <t>We will use any feedback to understand whether collaboration mechanisms are working and to inform improvements. Where none has been collected, this helps us plan how to gather feedback from 2027.</t>
        </is>
      </c>
      <c r="H12" s="7" t="inlineStr">
        <is>
          <t>N/A – new indicator</t>
        </is>
      </c>
      <c r="I12" s="7" t="inlineStr"/>
      <c r="J12" s="7" t="inlineStr"/>
      <c r="K12" s="7" t="inlineStr"/>
      <c r="L12" s="9">
        <f>IFERROR(IF(INDEX('[14]1. Reporting template'!$L$1:$L$400,MATCH($B12,'[14]1. Reporting template'!$B$1:$B$400,0))="","",INDEX('[14]1. Reporting template'!$L$1:$L$400,MATCH($B12,'[14]1. Reporting template'!$B$1:$B$400,0))),"")</f>
        <v/>
      </c>
      <c r="M12" s="9">
        <f>IFERROR(IF(INDEX('[14]1. Reporting template'!$M$1:$M$400,MATCH($B12,'[14]1. Reporting template'!$B$1:$B$400,0))="","",INDEX('[14]1. Reporting template'!$M$1:$M$400,MATCH($B12,'[14]1. Reporting template'!$B$1:$B$400,0))),"")</f>
        <v/>
      </c>
      <c r="N12" s="9">
        <f>IFERROR(IF(INDEX('[14]1. Reporting template'!$N$1:$N$400,MATCH($B12,'[14]1. Reporting template'!$B$1:$B$400,0))="","",INDEX('[14]1. Reporting template'!$N$1:$N$400,MATCH($B12,'[14]1. Reporting template'!$B$1:$B$400,0))),"")</f>
        <v/>
      </c>
      <c r="O12" s="9">
        <f>IFERROR(IF(INDEX('[14]1. Reporting template'!$O$1:$O$400,MATCH($B12,'[14]1. Reporting template'!$B$1:$B$400,0))="","",INDEX('[14]1. Reporting template'!$O$1:$O$400,MATCH($B12,'[14]1. Reporting template'!$B$1:$B$400,0))),"")</f>
        <v/>
      </c>
      <c r="P12" s="9">
        <f>IFERROR(IF(INDEX('[14]1. Reporting template'!$P$1:$P$400,MATCH($B12,'[14]1. Reporting template'!$B$1:$B$400,0))="","",INDEX('[14]1. Reporting template'!$P$1:$P$400,MATCH($B12,'[14]1. Reporting template'!$B$1:$B$400,0))),"")</f>
        <v/>
      </c>
      <c r="Q12" s="9">
        <f>IFERROR(IF(INDEX('[14]1. Reporting template'!$Q$1:$Q$400,MATCH($B12,'[14]1. Reporting template'!$B$1:$B$400,0))="","",INDEX('[14]1. Reporting template'!$Q$1:$Q$400,MATCH($B12,'[14]1. Reporting template'!$B$1:$B$400,0))),"")</f>
        <v/>
      </c>
    </row>
    <row r="13" ht="150" customHeight="1">
      <c r="B13" s="6" t="inlineStr">
        <is>
          <t>TR2(c)</t>
        </is>
      </c>
      <c r="C13" s="48" t="inlineStr">
        <is>
          <t>Transformational research</t>
        </is>
      </c>
      <c r="D13" s="48" t="inlineStr">
        <is>
          <t>Deliver high-quality research and partnerships that contribute to sustainability outcomes and demonstrable societal benefit.</t>
        </is>
      </c>
      <c r="E13" s="48" t="inlineStr">
        <is>
          <t>Expert-reviewed summary of sustainability-related research outputs, outcomes and influence using available institutional evidence sources</t>
        </is>
      </c>
      <c r="F13" s="7" t="inlineStr">
        <is>
          <t>currently mapped to the SDGs using SciVal
In end-2025 reporting your area reported on the related SP2030 target 5b(iii) (see Column J – click [+] above Columns I–K).</t>
        </is>
      </c>
      <c r="G13" s="7" t="inlineStr">
        <is>
          <t>We will use institutional research output data (e.g. SDG-mapped publications via SciVal) to provide the University-wide quantitative picture of sustainability-related research in the 2026 Sustainability Report.</t>
        </is>
      </c>
      <c r="H13" s="7" t="inlineStr">
        <is>
          <t>5b(iii)</t>
        </is>
      </c>
      <c r="I13" s="7" t="inlineStr">
        <is>
          <t>Met or exceeded</t>
        </is>
      </c>
      <c r="J13" s="7" t="inlineStr">
        <is>
          <t>The University’s research outputs continue to be extensively mentioned in patents, policy, news and social media.</t>
        </is>
      </c>
      <c r="K13" s="7" t="inlineStr"/>
      <c r="L13" s="9">
        <f>IFERROR(IF(INDEX('[14]1. Reporting template'!$L$1:$L$400,MATCH($B13,'[14]1. Reporting template'!$B$1:$B$400,0))="","",INDEX('[14]1. Reporting template'!$L$1:$L$400,MATCH($B13,'[14]1. Reporting template'!$B$1:$B$400,0))),"")</f>
        <v/>
      </c>
      <c r="M13" s="9">
        <f>IFERROR(IF(INDEX('[14]1. Reporting template'!$M$1:$M$400,MATCH($B13,'[14]1. Reporting template'!$B$1:$B$400,0))="","",INDEX('[14]1. Reporting template'!$M$1:$M$400,MATCH($B13,'[14]1. Reporting template'!$B$1:$B$400,0))),"")</f>
        <v/>
      </c>
      <c r="N13" s="9">
        <f>IFERROR(IF(INDEX('[14]1. Reporting template'!$N$1:$N$400,MATCH($B13,'[14]1. Reporting template'!$B$1:$B$400,0))="","",INDEX('[14]1. Reporting template'!$N$1:$N$400,MATCH($B13,'[14]1. Reporting template'!$B$1:$B$400,0))),"")</f>
        <v/>
      </c>
      <c r="O13" s="9">
        <f>IFERROR(IF(INDEX('[14]1. Reporting template'!$O$1:$O$400,MATCH($B13,'[14]1. Reporting template'!$B$1:$B$400,0))="","",INDEX('[14]1. Reporting template'!$O$1:$O$400,MATCH($B13,'[14]1. Reporting template'!$B$1:$B$400,0))),"")</f>
        <v/>
      </c>
      <c r="P13" s="9">
        <f>IFERROR(IF(INDEX('[14]1. Reporting template'!$P$1:$P$400,MATCH($B13,'[14]1. Reporting template'!$B$1:$B$400,0))="","",INDEX('[14]1. Reporting template'!$P$1:$P$400,MATCH($B13,'[14]1. Reporting template'!$B$1:$B$400,0))),"")</f>
        <v/>
      </c>
      <c r="Q13" s="9">
        <f>IFERROR(IF(INDEX('[14]1. Reporting template'!$Q$1:$Q$400,MATCH($B13,'[14]1. Reporting template'!$B$1:$B$400,0))="","",INDEX('[14]1. Reporting template'!$Q$1:$Q$400,MATCH($B13,'[14]1. Reporting template'!$B$1:$B$400,0))),"")</f>
        <v/>
      </c>
    </row>
    <row r="14" ht="154" customHeight="1">
      <c r="B14" s="6" t="inlineStr">
        <is>
          <t>TR3(a)</t>
        </is>
      </c>
      <c r="C14" s="48" t="inlineStr">
        <is>
          <t>Transformational research</t>
        </is>
      </c>
      <c r="D14" s="48" t="inlineStr">
        <is>
          <t>Embed sustainability within research systems, processes, capability and culture, so research is conducted responsibly, efficiently and with reduced environmental impact.</t>
        </is>
      </c>
      <c r="E14" s="48" t="inlineStr">
        <is>
          <t>Evidence that sustainability considerations are integrated into relevant research systems, planning processes, guidance, training, induction or support services</t>
        </is>
      </c>
      <c r="F14" s="7" t="inlineStr">
        <is>
          <t>Please describe how sustainability considerations are integrated into research systems, planning processes, guidance, training, induction or support services within your Faculty/Portfolio, could include examples of any new or improved processes.
In end-2025 reporting your area reported on the related SP2030 target 5c(i) (see Column J – click [+] above Columns I–K).</t>
        </is>
      </c>
      <c r="G14" s="7" t="inlineStr">
        <is>
          <t>We will report on how sustainability is being built into research systems and support across the University, and use responses to establish a baseline for this new target.</t>
        </is>
      </c>
      <c r="H14" s="7" t="inlineStr">
        <is>
          <t>5c(i)</t>
        </is>
      </c>
      <c r="I14" s="7" t="inlineStr">
        <is>
          <t>Partially met</t>
        </is>
      </c>
      <c r="J14" s="7" t="inlineStr">
        <is>
          <t>We continue to encourage all researchers at the University to consider the impacts of their research, including in relation to sustainability through the Research in a Publicly Spirited University, and Openness Transparency agenda in the new Research Strategy.</t>
        </is>
      </c>
      <c r="K14" s="7" t="inlineStr"/>
      <c r="L14" s="9">
        <f>IFERROR(IF(INDEX('[14]1. Reporting template'!$L$1:$L$400,MATCH($B14,'[14]1. Reporting template'!$B$1:$B$400,0))="","",INDEX('[14]1. Reporting template'!$L$1:$L$400,MATCH($B14,'[14]1. Reporting template'!$B$1:$B$400,0))),"")</f>
        <v/>
      </c>
      <c r="M14" s="9">
        <f>IFERROR(IF(INDEX('[14]1. Reporting template'!$M$1:$M$400,MATCH($B14,'[14]1. Reporting template'!$B$1:$B$400,0))="","",INDEX('[14]1. Reporting template'!$M$1:$M$400,MATCH($B14,'[14]1. Reporting template'!$B$1:$B$400,0))),"")</f>
        <v/>
      </c>
      <c r="N14" s="9">
        <f>IFERROR(IF(INDEX('[14]1. Reporting template'!$N$1:$N$400,MATCH($B14,'[14]1. Reporting template'!$B$1:$B$400,0))="","",INDEX('[14]1. Reporting template'!$N$1:$N$400,MATCH($B14,'[14]1. Reporting template'!$B$1:$B$400,0))),"")</f>
        <v/>
      </c>
      <c r="O14" s="9">
        <f>IFERROR(IF(INDEX('[14]1. Reporting template'!$O$1:$O$400,MATCH($B14,'[14]1. Reporting template'!$B$1:$B$400,0))="","",INDEX('[14]1. Reporting template'!$O$1:$O$400,MATCH($B14,'[14]1. Reporting template'!$B$1:$B$400,0))),"")</f>
        <v/>
      </c>
      <c r="P14" s="9">
        <f>IFERROR(IF(INDEX('[14]1. Reporting template'!$P$1:$P$400,MATCH($B14,'[14]1. Reporting template'!$B$1:$B$400,0))="","",INDEX('[14]1. Reporting template'!$P$1:$P$400,MATCH($B14,'[14]1. Reporting template'!$B$1:$B$400,0))),"")</f>
        <v/>
      </c>
      <c r="Q14" s="9">
        <f>IFERROR(IF(INDEX('[14]1. Reporting template'!$Q$1:$Q$400,MATCH($B14,'[14]1. Reporting template'!$B$1:$B$400,0))="","",INDEX('[14]1. Reporting template'!$Q$1:$Q$400,MATCH($B14,'[14]1. Reporting template'!$B$1:$B$400,0))),"")</f>
        <v/>
      </c>
    </row>
    <row r="15" ht="150" customHeight="1">
      <c r="B15" s="6" t="inlineStr">
        <is>
          <t>TR3(c)</t>
        </is>
      </c>
      <c r="C15" s="48" t="inlineStr">
        <is>
          <t>Transformational research</t>
        </is>
      </c>
      <c r="D15" s="48" t="inlineStr">
        <is>
          <t>Embed sustainability within research systems, processes, capability and culture, so research is conducted responsibly, efficiently and with reduced environmental impact.</t>
        </is>
      </c>
      <c r="E15" s="48" t="inlineStr">
        <is>
          <t>Evidence of progress in sustainability-related research culture, capability and awareness, informed by periodic staff and graduate researcher surveys</t>
        </is>
      </c>
      <c r="F15" s="7" t="inlineStr">
        <is>
          <t>Please provide evidence of progress in sustainability-related research culture, capability and awareness within your Faculty/Portfolio. This could include relevant staff and/or graduate researcher survey findings, participation in capability-building activities, or other indicators of change over time.</t>
        </is>
      </c>
      <c r="G15" s="7" t="inlineStr">
        <is>
          <t>We will use any survey or capability data to describe changes in sustainability-related research culture. Where no evidence exists, this helps us plan University-wide measurement (e.g. staff and graduate researcher surveys) from 2027.</t>
        </is>
      </c>
      <c r="H15" s="7" t="inlineStr">
        <is>
          <t>N/A – new indicator</t>
        </is>
      </c>
      <c r="I15" s="7" t="inlineStr"/>
      <c r="J15" s="7" t="inlineStr"/>
      <c r="K15" s="7" t="inlineStr"/>
      <c r="L15" s="9">
        <f>IFERROR(IF(INDEX('[14]1. Reporting template'!$L$1:$L$400,MATCH($B15,'[14]1. Reporting template'!$B$1:$B$400,0))="","",INDEX('[14]1. Reporting template'!$L$1:$L$400,MATCH($B15,'[14]1. Reporting template'!$B$1:$B$400,0))),"")</f>
        <v/>
      </c>
      <c r="M15" s="9">
        <f>IFERROR(IF(INDEX('[14]1. Reporting template'!$M$1:$M$400,MATCH($B15,'[14]1. Reporting template'!$B$1:$B$400,0))="","",INDEX('[14]1. Reporting template'!$M$1:$M$400,MATCH($B15,'[14]1. Reporting template'!$B$1:$B$400,0))),"")</f>
        <v/>
      </c>
      <c r="N15" s="9">
        <f>IFERROR(IF(INDEX('[14]1. Reporting template'!$N$1:$N$400,MATCH($B15,'[14]1. Reporting template'!$B$1:$B$400,0))="","",INDEX('[14]1. Reporting template'!$N$1:$N$400,MATCH($B15,'[14]1. Reporting template'!$B$1:$B$400,0))),"")</f>
        <v/>
      </c>
      <c r="O15" s="9">
        <f>IFERROR(IF(INDEX('[14]1. Reporting template'!$O$1:$O$400,MATCH($B15,'[14]1. Reporting template'!$B$1:$B$400,0))="","",INDEX('[14]1. Reporting template'!$O$1:$O$400,MATCH($B15,'[14]1. Reporting template'!$B$1:$B$400,0))),"")</f>
        <v/>
      </c>
      <c r="P15" s="9">
        <f>IFERROR(IF(INDEX('[14]1. Reporting template'!$P$1:$P$400,MATCH($B15,'[14]1. Reporting template'!$B$1:$B$400,0))="","",INDEX('[14]1. Reporting template'!$P$1:$P$400,MATCH($B15,'[14]1. Reporting template'!$B$1:$B$400,0))),"")</f>
        <v/>
      </c>
      <c r="Q15" s="9">
        <f>IFERROR(IF(INDEX('[14]1. Reporting template'!$Q$1:$Q$400,MATCH($B15,'[14]1. Reporting template'!$B$1:$B$400,0))="","",INDEX('[14]1. Reporting template'!$Q$1:$Q$400,MATCH($B15,'[14]1. Reporting template'!$B$1:$B$400,0))),"")</f>
        <v/>
      </c>
    </row>
    <row r="16" ht="150" customHeight="1">
      <c r="B16" s="6" t="inlineStr">
        <is>
          <t>TR3(d)</t>
        </is>
      </c>
      <c r="C16" s="48" t="inlineStr">
        <is>
          <t>Transformational research</t>
        </is>
      </c>
      <c r="D16" s="48" t="inlineStr">
        <is>
          <t>Embed sustainability within research systems, processes, capability and culture, so research is conducted responsibly, efficiently and with reduced environmental impact.</t>
        </is>
      </c>
      <c r="E16" s="48" t="inlineStr">
        <is>
          <t>Expert assessment of progress in embedding sustainable research practices across the institution.</t>
        </is>
      </c>
      <c r="F16" s="7" t="inlineStr">
        <is>
          <t>Faculty/Portfolio’s assessment of progress in embedding sustainable research practices, highlighting areas of strong progress, remaining gaps and priority actions for further improvement.</t>
        </is>
      </c>
      <c r="G16" s="7" t="inlineStr">
        <is>
          <t>We will use faculty self-assessments to identify strengths, gaps and priority actions in embedding sustainable research practices, to inform internal management reporting and the Transformational research working group.</t>
        </is>
      </c>
      <c r="H16" s="7" t="inlineStr">
        <is>
          <t>N/A – new indicator</t>
        </is>
      </c>
      <c r="I16" s="7" t="inlineStr"/>
      <c r="J16" s="7" t="inlineStr"/>
      <c r="K16" s="7" t="inlineStr"/>
      <c r="L16" s="9">
        <f>IFERROR(IF(INDEX('[14]1. Reporting template'!$L$1:$L$400,MATCH($B16,'[14]1. Reporting template'!$B$1:$B$400,0))="","",INDEX('[14]1. Reporting template'!$L$1:$L$400,MATCH($B16,'[14]1. Reporting template'!$B$1:$B$400,0))),"")</f>
        <v/>
      </c>
      <c r="M16" s="9">
        <f>IFERROR(IF(INDEX('[14]1. Reporting template'!$M$1:$M$400,MATCH($B16,'[14]1. Reporting template'!$B$1:$B$400,0))="","",INDEX('[14]1. Reporting template'!$M$1:$M$400,MATCH($B16,'[14]1. Reporting template'!$B$1:$B$400,0))),"")</f>
        <v/>
      </c>
      <c r="N16" s="9">
        <f>IFERROR(IF(INDEX('[14]1. Reporting template'!$N$1:$N$400,MATCH($B16,'[14]1. Reporting template'!$B$1:$B$400,0))="","",INDEX('[14]1. Reporting template'!$N$1:$N$400,MATCH($B16,'[14]1. Reporting template'!$B$1:$B$400,0))),"")</f>
        <v/>
      </c>
      <c r="O16" s="9">
        <f>IFERROR(IF(INDEX('[14]1. Reporting template'!$O$1:$O$400,MATCH($B16,'[14]1. Reporting template'!$B$1:$B$400,0))="","",INDEX('[14]1. Reporting template'!$O$1:$O$400,MATCH($B16,'[14]1. Reporting template'!$B$1:$B$400,0))),"")</f>
        <v/>
      </c>
      <c r="P16" s="9">
        <f>IFERROR(IF(INDEX('[14]1. Reporting template'!$P$1:$P$400,MATCH($B16,'[14]1. Reporting template'!$B$1:$B$400,0))="","",INDEX('[14]1. Reporting template'!$P$1:$P$400,MATCH($B16,'[14]1. Reporting template'!$B$1:$B$400,0))),"")</f>
        <v/>
      </c>
      <c r="Q16" s="9">
        <f>IFERROR(IF(INDEX('[14]1. Reporting template'!$Q$1:$Q$400,MATCH($B16,'[14]1. Reporting template'!$B$1:$B$400,0))="","",INDEX('[14]1. Reporting template'!$Q$1:$Q$400,MATCH($B16,'[14]1. Reporting template'!$B$1:$B$400,0))),"")</f>
        <v/>
      </c>
    </row>
    <row r="17" ht="150" customHeight="1">
      <c r="B17" s="6" t="inlineStr">
        <is>
          <t>NB2(a)</t>
        </is>
      </c>
      <c r="C17" s="48" t="inlineStr">
        <is>
          <t>Nature and biodiversity</t>
        </is>
      </c>
      <c r="D17" s="48" t="inlineStr">
        <is>
          <t>Improve our understanding of our supply chain impacts on nature.</t>
        </is>
      </c>
      <c r="E17" s="48" t="inlineStr">
        <is>
          <t>Documented baseline nature footprint analysis</t>
        </is>
      </c>
      <c r="F17" s="7" t="inlineStr">
        <is>
          <t>Impact Encore Measurement</t>
        </is>
      </c>
      <c r="G17" s="7" t="inlineStr">
        <is>
          <t>We will report on the baseline nature footprint of the University's supply chain in the Nature and biodiversity section of the 2026 Sustainability Report.</t>
        </is>
      </c>
      <c r="H17" s="7" t="inlineStr">
        <is>
          <t>N/A – new indicator</t>
        </is>
      </c>
      <c r="I17" s="7" t="inlineStr"/>
      <c r="J17" s="7" t="inlineStr"/>
      <c r="K17" s="7" t="inlineStr"/>
      <c r="L17" s="9">
        <f>IFERROR(IF(INDEX('[14]1. Reporting template'!$L$1:$L$400,MATCH($B17,'[14]1. Reporting template'!$B$1:$B$400,0))="","",INDEX('[14]1. Reporting template'!$L$1:$L$400,MATCH($B17,'[14]1. Reporting template'!$B$1:$B$400,0))),"")</f>
        <v/>
      </c>
      <c r="M17" s="9">
        <f>IFERROR(IF(INDEX('[14]1. Reporting template'!$M$1:$M$400,MATCH($B17,'[14]1. Reporting template'!$B$1:$B$400,0))="","",INDEX('[14]1. Reporting template'!$M$1:$M$400,MATCH($B17,'[14]1. Reporting template'!$B$1:$B$400,0))),"")</f>
        <v/>
      </c>
      <c r="N17" s="9">
        <f>IFERROR(IF(INDEX('[14]1. Reporting template'!$N$1:$N$400,MATCH($B17,'[14]1. Reporting template'!$B$1:$B$400,0))="","",INDEX('[14]1. Reporting template'!$N$1:$N$400,MATCH($B17,'[14]1. Reporting template'!$B$1:$B$400,0))),"")</f>
        <v/>
      </c>
      <c r="O17" s="9">
        <f>IFERROR(IF(INDEX('[14]1. Reporting template'!$O$1:$O$400,MATCH($B17,'[14]1. Reporting template'!$B$1:$B$400,0))="","",INDEX('[14]1. Reporting template'!$O$1:$O$400,MATCH($B17,'[14]1. Reporting template'!$B$1:$B$400,0))),"")</f>
        <v/>
      </c>
      <c r="P17" s="9">
        <f>IFERROR(IF(INDEX('[14]1. Reporting template'!$P$1:$P$400,MATCH($B17,'[14]1. Reporting template'!$B$1:$B$400,0))="","",INDEX('[14]1. Reporting template'!$P$1:$P$400,MATCH($B17,'[14]1. Reporting template'!$B$1:$B$400,0))),"")</f>
        <v/>
      </c>
      <c r="Q17" s="9">
        <f>IFERROR(IF(INDEX('[14]1. Reporting template'!$Q$1:$Q$400,MATCH($B17,'[14]1. Reporting template'!$B$1:$B$400,0))="","",INDEX('[14]1. Reporting template'!$Q$1:$Q$400,MATCH($B17,'[14]1. Reporting template'!$B$1:$B$400,0))),"")</f>
        <v/>
      </c>
    </row>
    <row r="18"/>
  </sheetData>
  <mergeCells count="2">
    <mergeCell ref="L7:Q7"/>
    <mergeCell ref="C7:G7"/>
  </mergeCells>
  <dataValidations count="1">
    <dataValidation sqref="P10:P17" showDropDown="0" showInputMessage="0" showErrorMessage="0" allowBlank="1" errorTitle="Invalid entry" error="Please select from the dropdown" type="list">
      <formula1>=Lists!$C$2:$C$4</formula1>
    </dataValidation>
  </dataValidations>
  <pageMargins left="0.75" right="0.75" top="1" bottom="1" header="0.5" footer="0.5"/>
  <drawing xmlns:r="http://schemas.openxmlformats.org/officeDocument/2006/relationships" r:id="rId1"/>
</worksheet>
</file>

<file path=xl/worksheets/sheet14.xml><?xml version="1.0" encoding="utf-8"?>
<worksheet xmlns="http://schemas.openxmlformats.org/spreadsheetml/2006/main">
  <sheetPr>
    <outlinePr summaryBelow="1" summaryRight="0"/>
    <pageSetUpPr/>
  </sheetPr>
  <dimension ref="A1:R14"/>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Advancement, Communication and Marketing (AC&amp;M)</t>
        </is>
      </c>
      <c r="C2" s="1" t="n"/>
      <c r="D2" s="1" t="n"/>
      <c r="E2" s="1" t="n"/>
      <c r="F2" s="1" t="n"/>
      <c r="G2" s="1" t="n"/>
      <c r="H2" s="1" t="n"/>
      <c r="I2" s="1" t="n"/>
      <c r="J2" s="1" t="n"/>
      <c r="K2" s="1" t="n"/>
      <c r="L2" s="1" t="n"/>
      <c r="M2" s="1" t="n"/>
      <c r="N2" s="1" t="n"/>
      <c r="O2" s="1" t="n"/>
      <c r="P2" s="1" t="n"/>
      <c r="Q2" s="1" t="n"/>
      <c r="R2" s="1" t="n"/>
    </row>
    <row r="3" ht="22" customHeight="1">
      <c r="B3" s="19" t="inlineStr">
        <is>
          <t>Consolidated responses – paste from returned request workbooks (identical column layout). Click [+] above Columns H–K for end-2025 responses.</t>
        </is>
      </c>
    </row>
    <row r="4"/>
    <row r="5" ht="39" customHeight="1">
      <c r="B5" s="43" t="inlineStr">
        <is>
          <t>1.1  AC&amp;M – Advancement, Communication and Marketing</t>
        </is>
      </c>
    </row>
    <row r="6"/>
    <row r="7" ht="27" customHeight="1">
      <c r="C7" s="44" t="inlineStr">
        <is>
          <t>Sustainability 2030 target and indicator</t>
        </is>
      </c>
      <c r="H7" s="44" t="inlineStr">
        <is>
          <t>SR25 response</t>
        </is>
      </c>
      <c r="L7" s="45" t="inlineStr">
        <is>
          <t>End-2026 reporting (PLEASE COMPLETE THIS SECTION)</t>
        </is>
      </c>
    </row>
    <row r="8" ht="60" customHeight="1">
      <c r="B8" s="5" t="inlineStr">
        <is>
          <t>Ref</t>
        </is>
      </c>
      <c r="C8" s="5" t="inlineStr">
        <is>
          <t>Priority area</t>
        </is>
      </c>
      <c r="D8" s="5" t="inlineStr">
        <is>
          <t>Sustainability 2030 target</t>
        </is>
      </c>
      <c r="E8" s="5" t="inlineStr">
        <is>
          <t>Indicator</t>
        </is>
      </c>
      <c r="F8" s="5" t="inlineStr">
        <is>
          <t>2026 Reporting request</t>
        </is>
      </c>
      <c r="G8" s="5" t="inlineStr">
        <is>
          <t>How SST will use this data</t>
        </is>
      </c>
      <c r="H8" s="5" t="inlineStr">
        <is>
          <t>Related SR25 ref</t>
        </is>
      </c>
      <c r="I8" s="5" t="inlineStr">
        <is>
          <t>End-2025 confirmed status</t>
        </is>
      </c>
      <c r="J8" s="5" t="inlineStr">
        <is>
          <t>End-2025 reporting response</t>
        </is>
      </c>
      <c r="K8" s="5"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171" customHeight="1">
      <c r="B10" s="6" t="inlineStr">
        <is>
          <t>TR2(a)</t>
        </is>
      </c>
      <c r="C10" s="48" t="inlineStr">
        <is>
          <t>Transformational research</t>
        </is>
      </c>
      <c r="D10" s="48" t="inlineStr">
        <is>
          <t>Deliver high-quality research and partnerships that contribute to sustainability outcomes and demonstrable societal benefit.</t>
        </is>
      </c>
      <c r="E10" s="48" t="inlineStr">
        <is>
          <t>Evidence of sustainability-related research impact across diverse pathways, could include policy, industry, community, practice, cultural and institutional outcomes</t>
        </is>
      </c>
      <c r="F10" s="7" t="inlineStr">
        <is>
          <t>Please provide examples of sustainability-related research impact from your Faculty/Portfolio across policy, industry, community, practice, cultural or institutional pathways. For key examples, briefly describe the research contribution, partner/user and resulting outcome or influence.
In end-2025 reporting your area reported on the related SP2030 target 5b(ii) (see Column J – click [+] above Columns I–K).</t>
        </is>
      </c>
      <c r="G10" s="7" t="inlineStr">
        <is>
          <t>We will collate research impact examples across faculties to show the breadth of sustainability-related research impact in the Transformational research section of the 2026 Sustainability Report, complementing University-wide metrics from Melbourne Research and Enterprise (MRE).</t>
        </is>
      </c>
      <c r="H10" s="7" t="inlineStr">
        <is>
          <t>5b(ii)</t>
        </is>
      </c>
      <c r="I10" s="7" t="inlineStr">
        <is>
          <t>Met or exceeded</t>
        </is>
      </c>
      <c r="J10" s="7" t="inlineStr">
        <is>
          <t>https://pursuit.unimelb.edu.au/articles/the-worlds-most-powerful-ocean-current-could-slow-by-2050
In July 2025, the University launched its new research strategy, Advancing Research 2030: Excellence for Impact. This strategy introduced a new research impact accelerator, Climate sustainability and ecosystem health, to enable focus and partnership on research helping to address climate change and sustainability challenges. This theme was highlighted at the University’s inaugural Open Day 2025 ‘Research at Melbourne’ pavilion, which featured research on Indigenous water rights, Corroboree frog conservation and a multimedia bushfire simulation called ‘Flashover’. 
In 2025, the University published 32 media releases on sustainability initiatives, activities and research outcomes. Pursuit, the University’s research storytelling site, published 55 sustainability stories generating almost 500,000 engagements, while the University’s main social media channels received over two million impressions, 113,000 engagements and 57,000 link clicks on sustainability-related posts. 
Major sustainability stories included our researchers’ leadership at the Conference of the Parties (COP30) climate conference, the possible breakdown of the Antarctic circumpolar current, the mental health benefits of nature prescriptions, and the carbon footprint of pharmaceutical companies. 
But our biggest story of the year was the awarding of the Nobel Prize in Chemistry to Professor Richard Robson for the development of metal-organic frameworks, a new class of materials that could be crucial to the energy revolution and a low-carbon future.</t>
        </is>
      </c>
      <c r="K10" s="7" t="inlineStr">
        <is>
          <t xml:space="preserve">
https://research.unimelb.edu.au/strengths/advancing-research-2030-excellence-for-impact
https://www.unimelb.edu.au/newsroom/news/2025/october/professor-richard-robson-wins-nobel-prize-in-chemistry
https://www.unimelb.edu.au/newsroom/news/2025/november/cop30-climate-pledges-favour-land-based-carbon-removal-over-emission-cuts
https://www.unimelb.edu.au/newsroom/news/2025/november/university-of-melbourne-researchers-attend-cop30
https://www.unimelb.edu.au/newsroom/news/2025/april/scientists-map-the-genome-of-australias-most-iconic-and-endangered-frog
https://finearts-music.unimelb.edu.au/about-us/news/multimedia-artwork-provides-unique-insights-into-bushfires
https://pursuit.unimelb.edu.au/articles/Nature-prescriptions-deliver-mental-health-benefits-worth-more-than-four-times-their-cost
https://pursuit.unimelb.edu.au/articles/australias-largest-pharmaceutical-companies-need-to-do-more-to-reduce-their-carbon-footprint</t>
        </is>
      </c>
      <c r="L10" s="9">
        <f>IFERROR(IF(INDEX('[15]1. Reporting template'!$L$1:$L$400,MATCH($B10,'[15]1. Reporting template'!$B$1:$B$400,0))="","",INDEX('[15]1. Reporting template'!$L$1:$L$400,MATCH($B10,'[15]1. Reporting template'!$B$1:$B$400,0))),"")</f>
        <v/>
      </c>
      <c r="M10" s="9">
        <f>IFERROR(IF(INDEX('[15]1. Reporting template'!$M$1:$M$400,MATCH($B10,'[15]1. Reporting template'!$B$1:$B$400,0))="","",INDEX('[15]1. Reporting template'!$M$1:$M$400,MATCH($B10,'[15]1. Reporting template'!$B$1:$B$400,0))),"")</f>
        <v/>
      </c>
      <c r="N10" s="9">
        <f>IFERROR(IF(INDEX('[15]1. Reporting template'!$N$1:$N$400,MATCH($B10,'[15]1. Reporting template'!$B$1:$B$400,0))="","",INDEX('[15]1. Reporting template'!$N$1:$N$400,MATCH($B10,'[15]1. Reporting template'!$B$1:$B$400,0))),"")</f>
        <v/>
      </c>
      <c r="O10" s="9">
        <f>IFERROR(IF(INDEX('[15]1. Reporting template'!$O$1:$O$400,MATCH($B10,'[15]1. Reporting template'!$B$1:$B$400,0))="","",INDEX('[15]1. Reporting template'!$O$1:$O$400,MATCH($B10,'[15]1. Reporting template'!$B$1:$B$400,0))),"")</f>
        <v/>
      </c>
      <c r="P10" s="9">
        <f>IFERROR(IF(INDEX('[15]1. Reporting template'!$P$1:$P$400,MATCH($B10,'[15]1. Reporting template'!$B$1:$B$400,0))="","",INDEX('[15]1. Reporting template'!$P$1:$P$400,MATCH($B10,'[15]1. Reporting template'!$B$1:$B$400,0))),"")</f>
        <v/>
      </c>
      <c r="Q10" s="9">
        <f>IFERROR(IF(INDEX('[15]1. Reporting template'!$Q$1:$Q$400,MATCH($B10,'[15]1. Reporting template'!$B$1:$B$400,0))="","",INDEX('[15]1. Reporting template'!$Q$1:$Q$400,MATCH($B10,'[15]1. Reporting template'!$B$1:$B$400,0))),"")</f>
        <v/>
      </c>
    </row>
    <row r="11" ht="150" customHeight="1">
      <c r="B11" s="6" t="inlineStr">
        <is>
          <t>CL2(a)</t>
        </is>
      </c>
      <c r="C11" s="48" t="inlineStr">
        <is>
          <t>Climate leadership</t>
        </is>
      </c>
      <c r="D11" s="48" t="inlineStr">
        <is>
          <t>Develop understanding of our research and education programs that contribute to accelerating global decarbonisation and our own climate transition.</t>
        </is>
      </c>
      <c r="E11" s="48" t="inlineStr">
        <is>
          <t>By 2028, develop and document institutional mapping of research and education activities that are designed to contribute to global decarbonisation</t>
        </is>
      </c>
      <c r="F11" s="7"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G11" s="7" t="inlineStr">
        <is>
          <t>We will use these examples to show how the University communicates climate research and learning to external audiences, and as an input to the institutional decarbonisation research and education mapping due by 2028.</t>
        </is>
      </c>
      <c r="H11" s="7" t="inlineStr">
        <is>
          <t>N/A – new indicator</t>
        </is>
      </c>
      <c r="I11" s="7" t="inlineStr"/>
      <c r="J11" s="7" t="inlineStr"/>
      <c r="K11" s="7" t="inlineStr"/>
      <c r="L11" s="9">
        <f>IFERROR(IF(INDEX('[15]1. Reporting template'!$L$1:$L$400,MATCH($B11,'[15]1. Reporting template'!$B$1:$B$400,0))="","",INDEX('[15]1. Reporting template'!$L$1:$L$400,MATCH($B11,'[15]1. Reporting template'!$B$1:$B$400,0))),"")</f>
        <v/>
      </c>
      <c r="M11" s="9">
        <f>IFERROR(IF(INDEX('[15]1. Reporting template'!$M$1:$M$400,MATCH($B11,'[15]1. Reporting template'!$B$1:$B$400,0))="","",INDEX('[15]1. Reporting template'!$M$1:$M$400,MATCH($B11,'[15]1. Reporting template'!$B$1:$B$400,0))),"")</f>
        <v/>
      </c>
      <c r="N11" s="9">
        <f>IFERROR(IF(INDEX('[15]1. Reporting template'!$N$1:$N$400,MATCH($B11,'[15]1. Reporting template'!$B$1:$B$400,0))="","",INDEX('[15]1. Reporting template'!$N$1:$N$400,MATCH($B11,'[15]1. Reporting template'!$B$1:$B$400,0))),"")</f>
        <v/>
      </c>
      <c r="O11" s="9">
        <f>IFERROR(IF(INDEX('[15]1. Reporting template'!$O$1:$O$400,MATCH($B11,'[15]1. Reporting template'!$B$1:$B$400,0))="","",INDEX('[15]1. Reporting template'!$O$1:$O$400,MATCH($B11,'[15]1. Reporting template'!$B$1:$B$400,0))),"")</f>
        <v/>
      </c>
      <c r="P11" s="9">
        <f>IFERROR(IF(INDEX('[15]1. Reporting template'!$P$1:$P$400,MATCH($B11,'[15]1. Reporting template'!$B$1:$B$400,0))="","",INDEX('[15]1. Reporting template'!$P$1:$P$400,MATCH($B11,'[15]1. Reporting template'!$B$1:$B$400,0))),"")</f>
        <v/>
      </c>
      <c r="Q11" s="9">
        <f>IFERROR(IF(INDEX('[15]1. Reporting template'!$Q$1:$Q$400,MATCH($B11,'[15]1. Reporting template'!$B$1:$B$400,0))="","",INDEX('[15]1. Reporting template'!$Q$1:$Q$400,MATCH($B11,'[15]1. Reporting template'!$B$1:$B$400,0))),"")</f>
        <v/>
      </c>
    </row>
    <row r="12" ht="150" customHeight="1">
      <c r="B12" s="6" t="inlineStr">
        <is>
          <t>CL2(c)</t>
        </is>
      </c>
      <c r="C12" s="48" t="inlineStr">
        <is>
          <t>Climate leadership</t>
        </is>
      </c>
      <c r="D12" s="48" t="inlineStr">
        <is>
          <t>Develop understanding of our research and education programs that contribute to accelerating global decarbonisation and our own climate transition.</t>
        </is>
      </c>
      <c r="E12" s="48" t="inlineStr">
        <is>
          <t>Ongoing communications that evidence the University’s climate action, research and learning to inform policy, sector and community decarbonisation efforts.</t>
        </is>
      </c>
      <c r="F12" s="7" t="inlineStr">
        <is>
          <t>List and describe communications from the faculty in terms of climate action, research and learning to inform policy, sector and community decarbonisation efforts
In end-2025 reporting your area reported on the related SP2030 target 5b(ii) (see Column J – click [+] above Columns I–K).</t>
        </is>
      </c>
      <c r="G12" s="7" t="inlineStr">
        <is>
          <t>We will report on the University's ongoing climate communications in the Climate leadership section of the 2026 Sustainability Report, alongside contributions from Melbourne Climate Futures and the Melbourne Energy Institute.</t>
        </is>
      </c>
      <c r="H12" s="7" t="inlineStr">
        <is>
          <t>5b(ii)</t>
        </is>
      </c>
      <c r="I12" s="7" t="inlineStr">
        <is>
          <t>Met or exceeded</t>
        </is>
      </c>
      <c r="J12" s="7" t="inlineStr">
        <is>
          <t>https://pursuit.unimelb.edu.au/articles/the-worlds-most-powerful-ocean-current-could-slow-by-2050
In July 2025, the University launched its new research strategy, Advancing Research 2030: Excellence for Impact. This strategy introduced a new research impact accelerator, Climate sustainability and ecosystem health, to enable focus and partnership on research helping to address climate change and sustainability challenges. This theme was highlighted at the University’s inaugural Open Day 2025 ‘Research at Melbourne’ pavilion, which featured research on Indigenous water rights, Corroboree frog conservation and a multimedia bushfire simulation called ‘Flashover’. 
In 2025, the University published 32 media releases on sustainability initiatives, activities and research outcomes. Pursuit, the University’s research storytelling site, published 55 sustainability stories generating almost 500,000 engagements, while the University’s main social media channels received over two million impressions, 113,000 engagements and 57,000 link clicks on sustainability-related posts. 
Major sustainability stories included our researchers’ leadership at the Conference of the Parties (COP30) climate conference, the possible breakdown of the Antarctic circumpolar current, the mental health benefits of nature prescriptions, and the carbon footprint of pharmaceutical companies. 
But our biggest story of the year was the awarding of the Nobel Prize in Chemistry to Professor Richard Robson for the development of metal-organic frameworks, a new class of materials that could be crucial to the energy revolution and a low-carbon future.</t>
        </is>
      </c>
      <c r="K12" s="7" t="inlineStr">
        <is>
          <t xml:space="preserve">
https://research.unimelb.edu.au/strengths/advancing-research-2030-excellence-for-impact
https://www.unimelb.edu.au/newsroom/news/2025/october/professor-richard-robson-wins-nobel-prize-in-chemistry
https://www.unimelb.edu.au/newsroom/news/2025/november/cop30-climate-pledges-favour-land-based-carbon-removal-over-emission-cuts
https://www.unimelb.edu.au/newsroom/news/2025/november/university-of-melbourne-researchers-attend-cop30
https://www.unimelb.edu.au/newsroom/news/2025/april/scientists-map-the-genome-of-australias-most-iconic-and-endangered-frog
https://finearts-music.unimelb.edu.au/about-us/news/multimedia-artwork-provides-unique-insights-into-bushfires
https://pursuit.unimelb.edu.au/articles/Nature-prescriptions-deliver-mental-health-benefits-worth-more-than-four-times-their-cost
https://pursuit.unimelb.edu.au/articles/australias-largest-pharmaceutical-companies-need-to-do-more-to-reduce-their-carbon-footprint</t>
        </is>
      </c>
      <c r="L12" s="9">
        <f>IFERROR(IF(INDEX('[15]1. Reporting template'!$L$1:$L$400,MATCH($B12,'[15]1. Reporting template'!$B$1:$B$400,0))="","",INDEX('[15]1. Reporting template'!$L$1:$L$400,MATCH($B12,'[15]1. Reporting template'!$B$1:$B$400,0))),"")</f>
        <v/>
      </c>
      <c r="M12" s="9">
        <f>IFERROR(IF(INDEX('[15]1. Reporting template'!$M$1:$M$400,MATCH($B12,'[15]1. Reporting template'!$B$1:$B$400,0))="","",INDEX('[15]1. Reporting template'!$M$1:$M$400,MATCH($B12,'[15]1. Reporting template'!$B$1:$B$400,0))),"")</f>
        <v/>
      </c>
      <c r="N12" s="9">
        <f>IFERROR(IF(INDEX('[15]1. Reporting template'!$N$1:$N$400,MATCH($B12,'[15]1. Reporting template'!$B$1:$B$400,0))="","",INDEX('[15]1. Reporting template'!$N$1:$N$400,MATCH($B12,'[15]1. Reporting template'!$B$1:$B$400,0))),"")</f>
        <v/>
      </c>
      <c r="O12" s="9">
        <f>IFERROR(IF(INDEX('[15]1. Reporting template'!$O$1:$O$400,MATCH($B12,'[15]1. Reporting template'!$B$1:$B$400,0))="","",INDEX('[15]1. Reporting template'!$O$1:$O$400,MATCH($B12,'[15]1. Reporting template'!$B$1:$B$400,0))),"")</f>
        <v/>
      </c>
      <c r="P12" s="9">
        <f>IFERROR(IF(INDEX('[15]1. Reporting template'!$P$1:$P$400,MATCH($B12,'[15]1. Reporting template'!$B$1:$B$400,0))="","",INDEX('[15]1. Reporting template'!$P$1:$P$400,MATCH($B12,'[15]1. Reporting template'!$B$1:$B$400,0))),"")</f>
        <v/>
      </c>
      <c r="Q12" s="9">
        <f>IFERROR(IF(INDEX('[15]1. Reporting template'!$Q$1:$Q$400,MATCH($B12,'[15]1. Reporting template'!$B$1:$B$400,0))="","",INDEX('[15]1. Reporting template'!$Q$1:$Q$400,MATCH($B12,'[15]1. Reporting template'!$B$1:$B$400,0))),"")</f>
        <v/>
      </c>
    </row>
    <row r="13" ht="171" customHeight="1">
      <c r="B13" s="6" t="inlineStr">
        <is>
          <t>EN1(c)</t>
        </is>
      </c>
      <c r="C13" s="48" t="inlineStr">
        <is>
          <t>Enablers</t>
        </is>
      </c>
      <c r="D13" s="48" t="inlineStr">
        <is>
          <t>Enablers</t>
        </is>
      </c>
      <c r="E13" s="48" t="inlineStr">
        <is>
          <t>Coordinated internal engagement and external partnerships contributing to delivery of sustainability outcomes across priority areas.</t>
        </is>
      </c>
      <c r="F13" s="7"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
In end-2025 reporting your area reported on the related SP2030 target 3e (see Column J – click [+] above Columns I–K).</t>
        </is>
      </c>
      <c r="G13" s="7" t="inlineStr">
        <is>
          <t>We will report on internal engagement and partnerships contributing to Sustainability 2030 outcomes, and update our record of sustainability-focused communities of practice and contacts across the University.</t>
        </is>
      </c>
      <c r="H13" s="7" t="inlineStr">
        <is>
          <t>3e</t>
        </is>
      </c>
      <c r="I13" s="7" t="inlineStr">
        <is>
          <t>Met or exceeded</t>
        </is>
      </c>
      <c r="J13" s="7" t="inlineStr">
        <is>
          <t>A total of 1,947 alumni have attended one or more of the 70 climate or sustainability-related events so far this year, a small increase over the 2024 total.  Overall alumni engagement has declined slightly from last year, and so this result is encouraging.  Additional focus on impact in this space has been incorporated into the strategic planning activities for 2026 with the hopes of further widening and deepening engagement.</t>
        </is>
      </c>
      <c r="K13" s="7" t="inlineStr"/>
      <c r="L13" s="9">
        <f>IFERROR(IF(INDEX('[15]1. Reporting template'!$L$1:$L$400,MATCH($B13,'[15]1. Reporting template'!$B$1:$B$400,0))="","",INDEX('[15]1. Reporting template'!$L$1:$L$400,MATCH($B13,'[15]1. Reporting template'!$B$1:$B$400,0))),"")</f>
        <v/>
      </c>
      <c r="M13" s="9">
        <f>IFERROR(IF(INDEX('[15]1. Reporting template'!$M$1:$M$400,MATCH($B13,'[15]1. Reporting template'!$B$1:$B$400,0))="","",INDEX('[15]1. Reporting template'!$M$1:$M$400,MATCH($B13,'[15]1. Reporting template'!$B$1:$B$400,0))),"")</f>
        <v/>
      </c>
      <c r="N13" s="9">
        <f>IFERROR(IF(INDEX('[15]1. Reporting template'!$N$1:$N$400,MATCH($B13,'[15]1. Reporting template'!$B$1:$B$400,0))="","",INDEX('[15]1. Reporting template'!$N$1:$N$400,MATCH($B13,'[15]1. Reporting template'!$B$1:$B$400,0))),"")</f>
        <v/>
      </c>
      <c r="O13" s="9">
        <f>IFERROR(IF(INDEX('[15]1. Reporting template'!$O$1:$O$400,MATCH($B13,'[15]1. Reporting template'!$B$1:$B$400,0))="","",INDEX('[15]1. Reporting template'!$O$1:$O$400,MATCH($B13,'[15]1. Reporting template'!$B$1:$B$400,0))),"")</f>
        <v/>
      </c>
      <c r="P13" s="9">
        <f>IFERROR(IF(INDEX('[15]1. Reporting template'!$P$1:$P$400,MATCH($B13,'[15]1. Reporting template'!$B$1:$B$400,0))="","",INDEX('[15]1. Reporting template'!$P$1:$P$400,MATCH($B13,'[15]1. Reporting template'!$B$1:$B$400,0))),"")</f>
        <v/>
      </c>
      <c r="Q13" s="9">
        <f>IFERROR(IF(INDEX('[15]1. Reporting template'!$Q$1:$Q$400,MATCH($B13,'[15]1. Reporting template'!$B$1:$B$400,0))="","",INDEX('[15]1. Reporting template'!$Q$1:$Q$400,MATCH($B13,'[15]1. Reporting template'!$B$1:$B$400,0))),"")</f>
        <v/>
      </c>
    </row>
    <row r="14"/>
  </sheetData>
  <mergeCells count="2">
    <mergeCell ref="L7:Q7"/>
    <mergeCell ref="C7:G7"/>
  </mergeCells>
  <dataValidations count="1">
    <dataValidation sqref="P10:P13" showDropDown="0" showInputMessage="0" showErrorMessage="0" allowBlank="1" errorTitle="Invalid entry" error="Please select from the dropdown" type="list">
      <formula1>=Lists!$C$2:$C$4</formula1>
    </dataValidation>
  </dataValidations>
  <pageMargins left="0.75" right="0.75" top="1" bottom="1" header="0.5" footer="0.5"/>
  <drawing xmlns:r="http://schemas.openxmlformats.org/officeDocument/2006/relationships" r:id="rId1"/>
</worksheet>
</file>

<file path=xl/worksheets/sheet15.xml><?xml version="1.0" encoding="utf-8"?>
<worksheet xmlns="http://schemas.openxmlformats.org/spreadsheetml/2006/main">
  <sheetPr>
    <outlinePr summaryBelow="1" summaryRight="0"/>
    <pageSetUpPr/>
  </sheetPr>
  <dimension ref="A1:R12"/>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Global, Culture and Engagement (GCE)</t>
        </is>
      </c>
      <c r="C2" s="1" t="n"/>
      <c r="D2" s="1" t="n"/>
      <c r="E2" s="1" t="n"/>
      <c r="F2" s="1" t="n"/>
      <c r="G2" s="1" t="n"/>
      <c r="H2" s="1" t="n"/>
      <c r="I2" s="1" t="n"/>
      <c r="J2" s="1" t="n"/>
      <c r="K2" s="1" t="n"/>
      <c r="L2" s="1" t="n"/>
      <c r="M2" s="1" t="n"/>
      <c r="N2" s="1" t="n"/>
      <c r="O2" s="1" t="n"/>
      <c r="P2" s="1" t="n"/>
      <c r="Q2" s="1" t="n"/>
      <c r="R2" s="1" t="n"/>
    </row>
    <row r="3" ht="22" customHeight="1">
      <c r="B3" s="19" t="inlineStr">
        <is>
          <t>Consolidated responses – paste from returned request workbooks (identical column layout). Click [+] above Columns H–K for end-2025 responses.</t>
        </is>
      </c>
    </row>
    <row r="4"/>
    <row r="5" ht="39" customHeight="1">
      <c r="B5" s="43" t="inlineStr">
        <is>
          <t>1.1  GCE – Global, Culture and Engagement</t>
        </is>
      </c>
    </row>
    <row r="6"/>
    <row r="7" ht="27" customHeight="1">
      <c r="C7" s="44" t="inlineStr">
        <is>
          <t>Sustainability 2030 target and indicator</t>
        </is>
      </c>
      <c r="H7" s="44" t="inlineStr">
        <is>
          <t>SR25 response</t>
        </is>
      </c>
      <c r="L7" s="45" t="inlineStr">
        <is>
          <t>End-2026 reporting (PLEASE COMPLETE THIS SECTION)</t>
        </is>
      </c>
    </row>
    <row r="8" ht="60" customHeight="1">
      <c r="B8" s="5" t="inlineStr">
        <is>
          <t>Ref</t>
        </is>
      </c>
      <c r="C8" s="5" t="inlineStr">
        <is>
          <t>Priority area</t>
        </is>
      </c>
      <c r="D8" s="5" t="inlineStr">
        <is>
          <t>Sustainability 2030 target</t>
        </is>
      </c>
      <c r="E8" s="5" t="inlineStr">
        <is>
          <t>Indicator</t>
        </is>
      </c>
      <c r="F8" s="5" t="inlineStr">
        <is>
          <t>2026 Reporting request</t>
        </is>
      </c>
      <c r="G8" s="5" t="inlineStr">
        <is>
          <t>How SST will use this data</t>
        </is>
      </c>
      <c r="H8" s="5" t="inlineStr">
        <is>
          <t>Related SR25 ref</t>
        </is>
      </c>
      <c r="I8" s="5" t="inlineStr">
        <is>
          <t>End-2025 confirmed status</t>
        </is>
      </c>
      <c r="J8" s="5" t="inlineStr">
        <is>
          <t>End-2025 reporting response</t>
        </is>
      </c>
      <c r="K8" s="5"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150" customHeight="1">
      <c r="B10" s="6" t="inlineStr">
        <is>
          <t>EN1(a)</t>
        </is>
      </c>
      <c r="C10" s="48" t="inlineStr">
        <is>
          <t>Enablers</t>
        </is>
      </c>
      <c r="D10" s="48" t="inlineStr">
        <is>
          <t>Enablers</t>
        </is>
      </c>
      <c r="E10" s="48" t="inlineStr">
        <is>
          <t>Evidence of sustainability outcomes informed by Indigenous knowledges</t>
        </is>
      </c>
      <c r="F10" s="7"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G10" s="7" t="inlineStr">
        <is>
          <t>We will report on the ways Indigenous knowledges inform sustainability activities across the University, and develop selected examples into case studies with appropriate permissions.</t>
        </is>
      </c>
      <c r="H10" s="7" t="inlineStr">
        <is>
          <t>N/A – new indicator</t>
        </is>
      </c>
      <c r="I10" s="7" t="inlineStr"/>
      <c r="J10" s="7" t="inlineStr"/>
      <c r="K10" s="7" t="inlineStr"/>
      <c r="L10" s="9">
        <f>IFERROR(IF(INDEX('[16]1. Reporting template'!$L$1:$L$400,MATCH($B10,'[16]1. Reporting template'!$B$1:$B$400,0))="","",INDEX('[16]1. Reporting template'!$L$1:$L$400,MATCH($B10,'[16]1. Reporting template'!$B$1:$B$400,0))),"")</f>
        <v/>
      </c>
      <c r="M10" s="9">
        <f>IFERROR(IF(INDEX('[16]1. Reporting template'!$M$1:$M$400,MATCH($B10,'[16]1. Reporting template'!$B$1:$B$400,0))="","",INDEX('[16]1. Reporting template'!$M$1:$M$400,MATCH($B10,'[16]1. Reporting template'!$B$1:$B$400,0))),"")</f>
        <v/>
      </c>
      <c r="N10" s="9">
        <f>IFERROR(IF(INDEX('[16]1. Reporting template'!$N$1:$N$400,MATCH($B10,'[16]1. Reporting template'!$B$1:$B$400,0))="","",INDEX('[16]1. Reporting template'!$N$1:$N$400,MATCH($B10,'[16]1. Reporting template'!$B$1:$B$400,0))),"")</f>
        <v/>
      </c>
      <c r="O10" s="9">
        <f>IFERROR(IF(INDEX('[16]1. Reporting template'!$O$1:$O$400,MATCH($B10,'[16]1. Reporting template'!$B$1:$B$400,0))="","",INDEX('[16]1. Reporting template'!$O$1:$O$400,MATCH($B10,'[16]1. Reporting template'!$B$1:$B$400,0))),"")</f>
        <v/>
      </c>
      <c r="P10" s="9">
        <f>IFERROR(IF(INDEX('[16]1. Reporting template'!$P$1:$P$400,MATCH($B10,'[16]1. Reporting template'!$B$1:$B$400,0))="","",INDEX('[16]1. Reporting template'!$P$1:$P$400,MATCH($B10,'[16]1. Reporting template'!$B$1:$B$400,0))),"")</f>
        <v/>
      </c>
      <c r="Q10" s="9">
        <f>IFERROR(IF(INDEX('[16]1. Reporting template'!$Q$1:$Q$400,MATCH($B10,'[16]1. Reporting template'!$B$1:$B$400,0))="","",INDEX('[16]1. Reporting template'!$Q$1:$Q$400,MATCH($B10,'[16]1. Reporting template'!$B$1:$B$400,0))),"")</f>
        <v/>
      </c>
    </row>
    <row r="11" ht="171" customHeight="1">
      <c r="B11" s="6" t="inlineStr">
        <is>
          <t>EN1(c)</t>
        </is>
      </c>
      <c r="C11" s="48" t="inlineStr">
        <is>
          <t>Enablers</t>
        </is>
      </c>
      <c r="D11" s="48" t="inlineStr">
        <is>
          <t>Enablers</t>
        </is>
      </c>
      <c r="E11" s="48" t="inlineStr">
        <is>
          <t>Coordinated internal engagement and external partnerships contributing to delivery of sustainability outcomes across priority areas.</t>
        </is>
      </c>
      <c r="F11" s="7"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
In end-2025 reporting your area reported on the related SP2030 target 7c(ii) (see Column J – click [+] above Columns I–K).</t>
        </is>
      </c>
      <c r="G11" s="7" t="inlineStr">
        <is>
          <t>We will report on internal engagement and partnerships contributing to Sustainability 2030 outcomes, and update our record of sustainability-focused communities of practice and contacts across the University.</t>
        </is>
      </c>
      <c r="H11" s="7" t="inlineStr">
        <is>
          <t>7c(ii)</t>
        </is>
      </c>
      <c r="I11" s="7" t="inlineStr">
        <is>
          <t>Met or exceeded</t>
        </is>
      </c>
      <c r="J11" s="7" t="inlineStr">
        <is>
          <t>Strengthened engagement with the Pacific region
Throughout 2025, the University strengthened its engagement with institutions and communities with our closest neighbours in the Pacific. Drawing on the expertise and focus of leading initiatives such as the Oceania Institute and Melbourne Climate Futures, the University continued to work with regional partners to address the distinct challenges faced by the Pacific region. 
The DVC GCE led a delegation to Samoa, Fiji and the Solomon Islands which focused on opportunities in collaborative research, teaching, and professional development and reinforced the University’s commitment to engagement with educational institutions in the Pacific. The visit included the signing of partnership agreements with Solomon Islands National University and the University of the South Pacific to enhance research, teaching and learning, professional development, and provide opportunities for inbound and outbound student flows. 
Key convening moments in 2025 have included the delivery of the Asia and the Pacific Outlook Series in Honiara, the Oceania Institute Conversations series in Melbourne and the inaugural Oceania Oration delivered by The Honourable Professor Biman Prasad, Deputy Prime Minister of Fiji in August. His address called for reframing perspectives on the Pacific, strengthening regional partnerships, and addressing climate and development challenges collaboratively.</t>
        </is>
      </c>
      <c r="K11" s="7" t="inlineStr">
        <is>
          <t>https://www.unimelb.edu.au/newsroom/news/2025/march/university-of-melbourne-leads-engagement-with-the-pacific-through-education-and-research
https://www.unimelb.edu.au/newsroom/news/2025/february/university-of-melbourne-strengthens-ties-with-pacific
https://www.unimelb.edu.au/newsroom/news/2025/august/university-of-melbourne-hosts-inaugural-oceania-oration-on-pacific-futures</t>
        </is>
      </c>
      <c r="L11" s="9">
        <f>IFERROR(IF(INDEX('[16]1. Reporting template'!$L$1:$L$400,MATCH($B11,'[16]1. Reporting template'!$B$1:$B$400,0))="","",INDEX('[16]1. Reporting template'!$L$1:$L$400,MATCH($B11,'[16]1. Reporting template'!$B$1:$B$400,0))),"")</f>
        <v/>
      </c>
      <c r="M11" s="9">
        <f>IFERROR(IF(INDEX('[16]1. Reporting template'!$M$1:$M$400,MATCH($B11,'[16]1. Reporting template'!$B$1:$B$400,0))="","",INDEX('[16]1. Reporting template'!$M$1:$M$400,MATCH($B11,'[16]1. Reporting template'!$B$1:$B$400,0))),"")</f>
        <v/>
      </c>
      <c r="N11" s="9">
        <f>IFERROR(IF(INDEX('[16]1. Reporting template'!$N$1:$N$400,MATCH($B11,'[16]1. Reporting template'!$B$1:$B$400,0))="","",INDEX('[16]1. Reporting template'!$N$1:$N$400,MATCH($B11,'[16]1. Reporting template'!$B$1:$B$400,0))),"")</f>
        <v/>
      </c>
      <c r="O11" s="9">
        <f>IFERROR(IF(INDEX('[16]1. Reporting template'!$O$1:$O$400,MATCH($B11,'[16]1. Reporting template'!$B$1:$B$400,0))="","",INDEX('[16]1. Reporting template'!$O$1:$O$400,MATCH($B11,'[16]1. Reporting template'!$B$1:$B$400,0))),"")</f>
        <v/>
      </c>
      <c r="P11" s="9">
        <f>IFERROR(IF(INDEX('[16]1. Reporting template'!$P$1:$P$400,MATCH($B11,'[16]1. Reporting template'!$B$1:$B$400,0))="","",INDEX('[16]1. Reporting template'!$P$1:$P$400,MATCH($B11,'[16]1. Reporting template'!$B$1:$B$400,0))),"")</f>
        <v/>
      </c>
      <c r="Q11" s="9">
        <f>IFERROR(IF(INDEX('[16]1. Reporting template'!$Q$1:$Q$400,MATCH($B11,'[16]1. Reporting template'!$B$1:$B$400,0))="","",INDEX('[16]1. Reporting template'!$Q$1:$Q$400,MATCH($B11,'[16]1. Reporting template'!$B$1:$B$400,0))),"")</f>
        <v/>
      </c>
    </row>
    <row r="12"/>
  </sheetData>
  <mergeCells count="2">
    <mergeCell ref="L7:Q7"/>
    <mergeCell ref="C7:G7"/>
  </mergeCells>
  <dataValidations count="1">
    <dataValidation sqref="P10:P11" showDropDown="0" showInputMessage="0" showErrorMessage="0" allowBlank="1" errorTitle="Invalid entry" error="Please select from the dropdown" type="list">
      <formula1>=Lists!$C$2:$C$4</formula1>
    </dataValidation>
  </dataValidations>
  <pageMargins left="0.75" right="0.75" top="1" bottom="1" header="0.5" footer="0.5"/>
  <drawing xmlns:r="http://schemas.openxmlformats.org/officeDocument/2006/relationships" r:id="rId1"/>
</worksheet>
</file>

<file path=xl/worksheets/sheet16.xml><?xml version="1.0" encoding="utf-8"?>
<worksheet xmlns="http://schemas.openxmlformats.org/spreadsheetml/2006/main">
  <sheetPr>
    <outlinePr summaryBelow="1" summaryRight="0"/>
    <pageSetUpPr/>
  </sheetPr>
  <dimension ref="A1:R13"/>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Chancellery Education</t>
        </is>
      </c>
      <c r="C2" s="1" t="n"/>
      <c r="D2" s="1" t="n"/>
      <c r="E2" s="1" t="n"/>
      <c r="F2" s="1" t="n"/>
      <c r="G2" s="1" t="n"/>
      <c r="H2" s="1" t="n"/>
      <c r="I2" s="1" t="n"/>
      <c r="J2" s="1" t="n"/>
      <c r="K2" s="1" t="n"/>
      <c r="L2" s="1" t="n"/>
      <c r="M2" s="1" t="n"/>
      <c r="N2" s="1" t="n"/>
      <c r="O2" s="1" t="n"/>
      <c r="P2" s="1" t="n"/>
      <c r="Q2" s="1" t="n"/>
      <c r="R2" s="1" t="n"/>
    </row>
    <row r="3" ht="22" customHeight="1">
      <c r="B3" s="19" t="inlineStr">
        <is>
          <t>Consolidated responses – paste from returned request workbooks (identical column layout). Click [+] above Columns H–K for end-2025 responses.</t>
        </is>
      </c>
    </row>
    <row r="4"/>
    <row r="5" ht="39" customHeight="1">
      <c r="B5" s="43" t="inlineStr">
        <is>
          <t>1.1  Education – Chancellery Education</t>
        </is>
      </c>
    </row>
    <row r="6"/>
    <row r="7" ht="27" customHeight="1">
      <c r="C7" s="44" t="inlineStr">
        <is>
          <t>Sustainability 2030 target and indicator</t>
        </is>
      </c>
      <c r="H7" s="44" t="inlineStr">
        <is>
          <t>SR25 response</t>
        </is>
      </c>
      <c r="L7" s="45" t="inlineStr">
        <is>
          <t>End-2026 reporting (PLEASE COMPLETE THIS SECTION)</t>
        </is>
      </c>
    </row>
    <row r="8" ht="60" customHeight="1">
      <c r="B8" s="5" t="inlineStr">
        <is>
          <t>Ref</t>
        </is>
      </c>
      <c r="C8" s="5" t="inlineStr">
        <is>
          <t>Priority area</t>
        </is>
      </c>
      <c r="D8" s="5" t="inlineStr">
        <is>
          <t>Sustainability 2030 target</t>
        </is>
      </c>
      <c r="E8" s="5" t="inlineStr">
        <is>
          <t>Indicator</t>
        </is>
      </c>
      <c r="F8" s="5" t="inlineStr">
        <is>
          <t>2026 Reporting request</t>
        </is>
      </c>
      <c r="G8" s="5" t="inlineStr">
        <is>
          <t>How SST will use this data</t>
        </is>
      </c>
      <c r="H8" s="5" t="inlineStr">
        <is>
          <t>Related SR25 ref</t>
        </is>
      </c>
      <c r="I8" s="5" t="inlineStr">
        <is>
          <t>End-2025 confirmed status</t>
        </is>
      </c>
      <c r="J8" s="5" t="inlineStr">
        <is>
          <t>End-2025 reporting response</t>
        </is>
      </c>
      <c r="K8" s="5"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171" customHeight="1">
      <c r="B10" s="6" t="inlineStr">
        <is>
          <t>EE1(a)</t>
        </is>
      </c>
      <c r="C10" s="48" t="inlineStr">
        <is>
          <t>Exceptional education</t>
        </is>
      </c>
      <c r="D10" s="48" t="inlineStr">
        <is>
          <t>Provide our students with learning experiences that help them build the knowledge, skills and relationships to lead change for sustainable societies.</t>
        </is>
      </c>
      <c r="E10" s="48" t="inlineStr">
        <is>
          <t>Evidence of innovative approaches to sustainability teaching and learning</t>
        </is>
      </c>
      <c r="F10" s="7"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
In end-2025 reporting your area reported on the related SP2030 target 4a(ii) (see Column J – click [+] above Columns I–K).</t>
        </is>
      </c>
      <c r="G10" s="7"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0" s="7" t="inlineStr">
        <is>
          <t>4a(ii)</t>
        </is>
      </c>
      <c r="I10" s="7" t="inlineStr">
        <is>
          <t>Not yet started</t>
        </is>
      </c>
      <c r="J10" s="7" t="inlineStr">
        <is>
          <t>The Joining Melbourne Module on sustainability is available to all commencing undergraduate students, and several Discovery subjects (completed by all commencing undergraduate students) embed sustainability themes. Work on embedded sustainability within the curriculum is underway at the faculty-level despite the unfunded nature of the sustainability touchstone work planned within ASE.</t>
        </is>
      </c>
      <c r="K10" s="7" t="inlineStr">
        <is>
          <t>As per mid-2025: this is unfunded (including new curriculum management system). Faculties are pursuing this but central efforts are on hold.</t>
        </is>
      </c>
      <c r="L10" s="9">
        <f>IFERROR(IF(INDEX('[17]1. Reporting template'!$L$1:$L$400,MATCH($B10,'[17]1. Reporting template'!$B$1:$B$400,0))="","",INDEX('[17]1. Reporting template'!$L$1:$L$400,MATCH($B10,'[17]1. Reporting template'!$B$1:$B$400,0))),"")</f>
        <v/>
      </c>
      <c r="M10" s="9">
        <f>IFERROR(IF(INDEX('[17]1. Reporting template'!$M$1:$M$400,MATCH($B10,'[17]1. Reporting template'!$B$1:$B$400,0))="","",INDEX('[17]1. Reporting template'!$M$1:$M$400,MATCH($B10,'[17]1. Reporting template'!$B$1:$B$400,0))),"")</f>
        <v/>
      </c>
      <c r="N10" s="9">
        <f>IFERROR(IF(INDEX('[17]1. Reporting template'!$N$1:$N$400,MATCH($B10,'[17]1. Reporting template'!$B$1:$B$400,0))="","",INDEX('[17]1. Reporting template'!$N$1:$N$400,MATCH($B10,'[17]1. Reporting template'!$B$1:$B$400,0))),"")</f>
        <v/>
      </c>
      <c r="O10" s="9">
        <f>IFERROR(IF(INDEX('[17]1. Reporting template'!$O$1:$O$400,MATCH($B10,'[17]1. Reporting template'!$B$1:$B$400,0))="","",INDEX('[17]1. Reporting template'!$O$1:$O$400,MATCH($B10,'[17]1. Reporting template'!$B$1:$B$400,0))),"")</f>
        <v/>
      </c>
      <c r="P10" s="9">
        <f>IFERROR(IF(INDEX('[17]1. Reporting template'!$P$1:$P$400,MATCH($B10,'[17]1. Reporting template'!$B$1:$B$400,0))="","",INDEX('[17]1. Reporting template'!$P$1:$P$400,MATCH($B10,'[17]1. Reporting template'!$B$1:$B$400,0))),"")</f>
        <v/>
      </c>
      <c r="Q10" s="9">
        <f>IFERROR(IF(INDEX('[17]1. Reporting template'!$Q$1:$Q$400,MATCH($B10,'[17]1. Reporting template'!$B$1:$B$400,0))="","",INDEX('[17]1. Reporting template'!$Q$1:$Q$400,MATCH($B10,'[17]1. Reporting template'!$B$1:$B$400,0))),"")</f>
        <v/>
      </c>
    </row>
    <row r="11" ht="150" customHeight="1">
      <c r="B11" s="6" t="inlineStr">
        <is>
          <t>EE1(b)</t>
        </is>
      </c>
      <c r="C11" s="48" t="inlineStr">
        <is>
          <t>Exceptional education</t>
        </is>
      </c>
      <c r="D11" s="48" t="inlineStr">
        <is>
          <t>Provide our students with learning experiences that help them build the knowledge, skills and relationships to lead change for sustainable societies.</t>
        </is>
      </c>
      <c r="E11" s="48" t="inlineStr">
        <is>
          <t>Pilots of possible approaches for understanding and developing students’ sustainability self-efficacy</t>
        </is>
      </c>
      <c r="F11" s="7"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G11" s="7" t="inlineStr">
        <is>
          <t>This is a new indicator. We will use responses to establish a baseline of how (and whether) faculties are understanding student sustainability self-efficacy, and report on early pilots in the 2026 Sustainability Report. A nil response is useful to us.</t>
        </is>
      </c>
      <c r="H11" s="7" t="inlineStr">
        <is>
          <t>N/A – new indicator</t>
        </is>
      </c>
      <c r="I11" s="7" t="inlineStr"/>
      <c r="J11" s="7" t="inlineStr"/>
      <c r="K11" s="7" t="inlineStr"/>
      <c r="L11" s="9">
        <f>IFERROR(IF(INDEX('[17]1. Reporting template'!$L$1:$L$400,MATCH($B11,'[17]1. Reporting template'!$B$1:$B$400,0))="","",INDEX('[17]1. Reporting template'!$L$1:$L$400,MATCH($B11,'[17]1. Reporting template'!$B$1:$B$400,0))),"")</f>
        <v/>
      </c>
      <c r="M11" s="9">
        <f>IFERROR(IF(INDEX('[17]1. Reporting template'!$M$1:$M$400,MATCH($B11,'[17]1. Reporting template'!$B$1:$B$400,0))="","",INDEX('[17]1. Reporting template'!$M$1:$M$400,MATCH($B11,'[17]1. Reporting template'!$B$1:$B$400,0))),"")</f>
        <v/>
      </c>
      <c r="N11" s="9">
        <f>IFERROR(IF(INDEX('[17]1. Reporting template'!$N$1:$N$400,MATCH($B11,'[17]1. Reporting template'!$B$1:$B$400,0))="","",INDEX('[17]1. Reporting template'!$N$1:$N$400,MATCH($B11,'[17]1. Reporting template'!$B$1:$B$400,0))),"")</f>
        <v/>
      </c>
      <c r="O11" s="9">
        <f>IFERROR(IF(INDEX('[17]1. Reporting template'!$O$1:$O$400,MATCH($B11,'[17]1. Reporting template'!$B$1:$B$400,0))="","",INDEX('[17]1. Reporting template'!$O$1:$O$400,MATCH($B11,'[17]1. Reporting template'!$B$1:$B$400,0))),"")</f>
        <v/>
      </c>
      <c r="P11" s="9">
        <f>IFERROR(IF(INDEX('[17]1. Reporting template'!$P$1:$P$400,MATCH($B11,'[17]1. Reporting template'!$B$1:$B$400,0))="","",INDEX('[17]1. Reporting template'!$P$1:$P$400,MATCH($B11,'[17]1. Reporting template'!$B$1:$B$400,0))),"")</f>
        <v/>
      </c>
      <c r="Q11" s="9">
        <f>IFERROR(IF(INDEX('[17]1. Reporting template'!$Q$1:$Q$400,MATCH($B11,'[17]1. Reporting template'!$B$1:$B$400,0))="","",INDEX('[17]1. Reporting template'!$Q$1:$Q$400,MATCH($B11,'[17]1. Reporting template'!$B$1:$B$400,0))),"")</f>
        <v/>
      </c>
    </row>
    <row r="12" ht="171" customHeight="1">
      <c r="B12" s="6" t="inlineStr">
        <is>
          <t>EN1(c)</t>
        </is>
      </c>
      <c r="C12" s="48" t="inlineStr">
        <is>
          <t>Enablers</t>
        </is>
      </c>
      <c r="D12" s="48" t="inlineStr">
        <is>
          <t>Enablers</t>
        </is>
      </c>
      <c r="E12" s="48" t="inlineStr">
        <is>
          <t>Coordinated internal engagement and external partnerships contributing to delivery of sustainability outcomes across priority areas.</t>
        </is>
      </c>
      <c r="F12" s="7"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
We did not receive an end-2025 response for the related SP2030 target 3a(ii), so please include any relevant activity from across 2026.</t>
        </is>
      </c>
      <c r="G12" s="7" t="inlineStr">
        <is>
          <t>We will report on internal engagement and partnerships contributing to Sustainability 2030 outcomes, and update our record of sustainability-focused communities of practice and contacts across the University.</t>
        </is>
      </c>
      <c r="H12" s="7" t="inlineStr">
        <is>
          <t>3a(ii)</t>
        </is>
      </c>
      <c r="I12" s="7" t="inlineStr"/>
      <c r="J12" s="7" t="inlineStr"/>
      <c r="K12" s="7" t="inlineStr">
        <is>
          <t>As per mid-2025: this is not relevant to Ed portfolio. Suggest removing.</t>
        </is>
      </c>
      <c r="L12" s="9">
        <f>IFERROR(IF(INDEX('[17]1. Reporting template'!$L$1:$L$400,MATCH($B12,'[17]1. Reporting template'!$B$1:$B$400,0))="","",INDEX('[17]1. Reporting template'!$L$1:$L$400,MATCH($B12,'[17]1. Reporting template'!$B$1:$B$400,0))),"")</f>
        <v/>
      </c>
      <c r="M12" s="9">
        <f>IFERROR(IF(INDEX('[17]1. Reporting template'!$M$1:$M$400,MATCH($B12,'[17]1. Reporting template'!$B$1:$B$400,0))="","",INDEX('[17]1. Reporting template'!$M$1:$M$400,MATCH($B12,'[17]1. Reporting template'!$B$1:$B$400,0))),"")</f>
        <v/>
      </c>
      <c r="N12" s="9">
        <f>IFERROR(IF(INDEX('[17]1. Reporting template'!$N$1:$N$400,MATCH($B12,'[17]1. Reporting template'!$B$1:$B$400,0))="","",INDEX('[17]1. Reporting template'!$N$1:$N$400,MATCH($B12,'[17]1. Reporting template'!$B$1:$B$400,0))),"")</f>
        <v/>
      </c>
      <c r="O12" s="9">
        <f>IFERROR(IF(INDEX('[17]1. Reporting template'!$O$1:$O$400,MATCH($B12,'[17]1. Reporting template'!$B$1:$B$400,0))="","",INDEX('[17]1. Reporting template'!$O$1:$O$400,MATCH($B12,'[17]1. Reporting template'!$B$1:$B$400,0))),"")</f>
        <v/>
      </c>
      <c r="P12" s="9">
        <f>IFERROR(IF(INDEX('[17]1. Reporting template'!$P$1:$P$400,MATCH($B12,'[17]1. Reporting template'!$B$1:$B$400,0))="","",INDEX('[17]1. Reporting template'!$P$1:$P$400,MATCH($B12,'[17]1. Reporting template'!$B$1:$B$400,0))),"")</f>
        <v/>
      </c>
      <c r="Q12" s="9">
        <f>IFERROR(IF(INDEX('[17]1. Reporting template'!$Q$1:$Q$400,MATCH($B12,'[17]1. Reporting template'!$B$1:$B$400,0))="","",INDEX('[17]1. Reporting template'!$Q$1:$Q$400,MATCH($B12,'[17]1. Reporting template'!$B$1:$B$400,0))),"")</f>
        <v/>
      </c>
    </row>
    <row r="13"/>
  </sheetData>
  <mergeCells count="2">
    <mergeCell ref="L7:Q7"/>
    <mergeCell ref="C7:G7"/>
  </mergeCells>
  <dataValidations count="1">
    <dataValidation sqref="P10:P12" showDropDown="0" showInputMessage="0" showErrorMessage="0" allowBlank="1" errorTitle="Invalid entry" error="Please select from the dropdown" type="list">
      <formula1>=Lists!$C$2:$C$4</formula1>
    </dataValidation>
  </dataValidations>
  <pageMargins left="0.75" right="0.75" top="1" bottom="1" header="0.5" footer="0.5"/>
  <drawing xmlns:r="http://schemas.openxmlformats.org/officeDocument/2006/relationships" r:id="rId1"/>
</worksheet>
</file>

<file path=xl/worksheets/sheet17.xml><?xml version="1.0" encoding="utf-8"?>
<worksheet xmlns="http://schemas.openxmlformats.org/spreadsheetml/2006/main">
  <sheetPr>
    <outlinePr summaryBelow="1" summaryRight="0"/>
    <pageSetUpPr/>
  </sheetPr>
  <dimension ref="A1:R12"/>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Student and Scholarly Services (SaSS)</t>
        </is>
      </c>
      <c r="C2" s="1" t="n"/>
      <c r="D2" s="1" t="n"/>
      <c r="E2" s="1" t="n"/>
      <c r="F2" s="1" t="n"/>
      <c r="G2" s="1" t="n"/>
      <c r="H2" s="1" t="n"/>
      <c r="I2" s="1" t="n"/>
      <c r="J2" s="1" t="n"/>
      <c r="K2" s="1" t="n"/>
      <c r="L2" s="1" t="n"/>
      <c r="M2" s="1" t="n"/>
      <c r="N2" s="1" t="n"/>
      <c r="O2" s="1" t="n"/>
      <c r="P2" s="1" t="n"/>
      <c r="Q2" s="1" t="n"/>
      <c r="R2" s="1" t="n"/>
    </row>
    <row r="3" ht="22" customHeight="1">
      <c r="B3" s="19" t="inlineStr">
        <is>
          <t>Consolidated responses – paste from returned request workbooks (identical column layout). Click [+] above Columns H–K for end-2025 responses.</t>
        </is>
      </c>
    </row>
    <row r="4"/>
    <row r="5" ht="39" customHeight="1">
      <c r="B5" s="43" t="inlineStr">
        <is>
          <t>1.1  SaSS – Student and Scholarly Services</t>
        </is>
      </c>
    </row>
    <row r="6"/>
    <row r="7" ht="27" customHeight="1">
      <c r="C7" s="44" t="inlineStr">
        <is>
          <t>Sustainability 2030 target and indicator</t>
        </is>
      </c>
      <c r="H7" s="44" t="inlineStr">
        <is>
          <t>SR25 response</t>
        </is>
      </c>
      <c r="L7" s="45" t="inlineStr">
        <is>
          <t>End-2026 reporting (PLEASE COMPLETE THIS SECTION)</t>
        </is>
      </c>
    </row>
    <row r="8" ht="60" customHeight="1">
      <c r="B8" s="5" t="inlineStr">
        <is>
          <t>Ref</t>
        </is>
      </c>
      <c r="C8" s="5" t="inlineStr">
        <is>
          <t>Priority area</t>
        </is>
      </c>
      <c r="D8" s="5" t="inlineStr">
        <is>
          <t>Sustainability 2030 target</t>
        </is>
      </c>
      <c r="E8" s="5" t="inlineStr">
        <is>
          <t>Indicator</t>
        </is>
      </c>
      <c r="F8" s="5" t="inlineStr">
        <is>
          <t>2026 Reporting request</t>
        </is>
      </c>
      <c r="G8" s="5" t="inlineStr">
        <is>
          <t>How SST will use this data</t>
        </is>
      </c>
      <c r="H8" s="5" t="inlineStr">
        <is>
          <t>Related SR25 ref</t>
        </is>
      </c>
      <c r="I8" s="5" t="inlineStr">
        <is>
          <t>End-2025 confirmed status</t>
        </is>
      </c>
      <c r="J8" s="5" t="inlineStr">
        <is>
          <t>End-2025 reporting response</t>
        </is>
      </c>
      <c r="K8" s="5"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171" customHeight="1">
      <c r="B10" s="6" t="inlineStr">
        <is>
          <t>EE1(c)</t>
        </is>
      </c>
      <c r="C10" s="48" t="inlineStr">
        <is>
          <t>Exceptional education</t>
        </is>
      </c>
      <c r="D10" s="48" t="inlineStr">
        <is>
          <t>Provide our students with learning experiences that help them build the knowledge, skills and relationships to lead change for sustainable societies.</t>
        </is>
      </c>
      <c r="E10" s="48" t="inlineStr">
        <is>
          <t>Evidence of sustainability focused experiential and co curricular learning (eg Wattle Fellowship; Melbourne Plus)</t>
        </is>
      </c>
      <c r="F10" s="7"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
In end-2025 reporting your area reported on the related SP2030 target 3b(vii) (see Column J – click [+] above Columns I–K).</t>
        </is>
      </c>
      <c r="G10" s="7" t="inlineStr">
        <is>
          <t>We will combine faculty examples with central Wattle Fellowship and Melbourne Plus data to report on the range and reach of sustainability-focused experiential and co-curricular learning across the University.</t>
        </is>
      </c>
      <c r="H10" s="7" t="inlineStr">
        <is>
          <t>3b(vii)</t>
        </is>
      </c>
      <c r="I10" s="7" t="inlineStr">
        <is>
          <t>Met or exceeded</t>
        </is>
      </c>
      <c r="J10" s="7" t="inlineStr">
        <is>
          <t>Number of student particpation in a sustainability activity in 2025: 466 (14% increase YTY from 2024).
Number of total credentials released for Sustainability Advocacy in 2025: 297 (29% increase YTY from 2024)</t>
        </is>
      </c>
      <c r="K10" s="7" t="inlineStr">
        <is>
          <t>See also case studies on Melbourne Plus in the Chanc. Ed. SASS spreadsheet.</t>
        </is>
      </c>
      <c r="L10" s="9">
        <f>IFERROR(IF(INDEX('[18]1. Reporting template'!$L$1:$L$400,MATCH($B10,'[18]1. Reporting template'!$B$1:$B$400,0))="","",INDEX('[18]1. Reporting template'!$L$1:$L$400,MATCH($B10,'[18]1. Reporting template'!$B$1:$B$400,0))),"")</f>
        <v/>
      </c>
      <c r="M10" s="9">
        <f>IFERROR(IF(INDEX('[18]1. Reporting template'!$M$1:$M$400,MATCH($B10,'[18]1. Reporting template'!$B$1:$B$400,0))="","",INDEX('[18]1. Reporting template'!$M$1:$M$400,MATCH($B10,'[18]1. Reporting template'!$B$1:$B$400,0))),"")</f>
        <v/>
      </c>
      <c r="N10" s="9">
        <f>IFERROR(IF(INDEX('[18]1. Reporting template'!$N$1:$N$400,MATCH($B10,'[18]1. Reporting template'!$B$1:$B$400,0))="","",INDEX('[18]1. Reporting template'!$N$1:$N$400,MATCH($B10,'[18]1. Reporting template'!$B$1:$B$400,0))),"")</f>
        <v/>
      </c>
      <c r="O10" s="9">
        <f>IFERROR(IF(INDEX('[18]1. Reporting template'!$O$1:$O$400,MATCH($B10,'[18]1. Reporting template'!$B$1:$B$400,0))="","",INDEX('[18]1. Reporting template'!$O$1:$O$400,MATCH($B10,'[18]1. Reporting template'!$B$1:$B$400,0))),"")</f>
        <v/>
      </c>
      <c r="P10" s="9">
        <f>IFERROR(IF(INDEX('[18]1. Reporting template'!$P$1:$P$400,MATCH($B10,'[18]1. Reporting template'!$B$1:$B$400,0))="","",INDEX('[18]1. Reporting template'!$P$1:$P$400,MATCH($B10,'[18]1. Reporting template'!$B$1:$B$400,0))),"")</f>
        <v/>
      </c>
      <c r="Q10" s="9">
        <f>IFERROR(IF(INDEX('[18]1. Reporting template'!$Q$1:$Q$400,MATCH($B10,'[18]1. Reporting template'!$B$1:$B$400,0))="","",INDEX('[18]1. Reporting template'!$Q$1:$Q$400,MATCH($B10,'[18]1. Reporting template'!$B$1:$B$400,0))),"")</f>
        <v/>
      </c>
    </row>
    <row r="11" ht="150" customHeight="1">
      <c r="B11" s="6" t="inlineStr">
        <is>
          <t>EE1(d)</t>
        </is>
      </c>
      <c r="C11" s="48" t="inlineStr">
        <is>
          <t>Exceptional education</t>
        </is>
      </c>
      <c r="D11" s="48" t="inlineStr">
        <is>
          <t>Provide our students with learning experiences that help them build the knowledge, skills and relationships to lead change for sustainable societies.</t>
        </is>
      </c>
      <c r="E11" s="48" t="inlineStr">
        <is>
          <t>Alumni profiles demonstrating how graduates contribute to sustainability through their careers or communities.</t>
        </is>
      </c>
      <c r="F11" s="7" t="inlineStr">
        <is>
          <t>Can you list any notable alumni working in sustainability? (Name, course and graduating year, a short summary and a link to a profile if available; please note whether consent to be featured is likely.)
In end-2025 reporting your area reported on the related SP2030 target 3b(ii) (see Column J – click [+] above Columns I–K).</t>
        </is>
      </c>
      <c r="G11" s="7" t="inlineStr">
        <is>
          <t>We will use nominated alumni to develop short graduate profiles for the 2026 Sustainability Report (subject to consent), and record any faculty approaches to tracking graduate outcomes to inform how this indicator is measured from 2027.</t>
        </is>
      </c>
      <c r="H11" s="7" t="inlineStr">
        <is>
          <t>3b(ii)</t>
        </is>
      </c>
      <c r="I11" s="7" t="inlineStr">
        <is>
          <t>Met or exceeded</t>
        </is>
      </c>
      <c r="J11" s="7" t="inlineStr">
        <is>
          <t>A sustainability approach is taken at large scale student events, including MCCs, Exams &amp; Grads (no takeaway containers, reusable cutlery and plates (partnering with Green My Plate), water refill stations etc). The previously printed graduation ceremony program was converted to a digital offering in 2025. 
The team are reviewing the process of testamur creation to reduce waste from templates becoming superseded when updates are made to signatories. 
Digital signage was used for examination venue entrances reducing wasted printed materials, and the continued adoption of digital exam types reduces the volume of exam papers printed.
Campus Canteen
Sustainability remained a strong focus across event delivery and Campus Canteen operations throughout 2025, with significant progress made in reducing waste and embedding more environmentally conscious practices across campus. At major student events, we expanded the use of Green My Plate, ensuring all events attracting more than 1,000 students utilised their reusable plate service. This included Discover Unimelb events such as Moon Festival (1,800 participants) and Diwali (1,450 participants), further reducing single‑use packaging and landfill.
Within the Campus Canteen, the Choose to Reuse program saw strong engagement. At Parkville, 901 kg of landfill was saved through the use of reusable crockery across the year. Students continued to show a strong preference for dining together on campus, with 75% of all meals served as dine‑in. Out of 80,070 meals sold, this equates to approximately 60,053 meals consumed using reusable crockery. These patterns reflect students valuing both sustainability and shared social meal experiences.
In Semester 2, the team continued to broaden its sustainability efforts by trialling options for students to bring their own food containers, with activation timed during Sustainability Week to drive awareness and participation. These trials provided valuable insights into operational feasibility and student appetite for extended low‑waste initiatives.
Collectively these efforts demonstrate meaningful progress in reducing landfill, strengthening sustainable event practices, and embedding reuse behaviours across the University community."
"Collateral
Scholarly Services have updated the design of print Library Guides to remove the date and reduce the need to re-print annually (~5000 per year). We have chosen to update old versions manually so they can be used instead of discarded. Supplies for student workshops have been purchased second-hand where possible – including lego for ABP Library events. For a staff activity, we re-purposed outdated student calendars.
Exams
The Semester 1 Conversion of Written Exams to Digital Exams demonstrates the impact of collaboration between TLI and EG in delivering measurable sustainability outcomes. By embedding digital-first practices in assessment operations, this joint project has already saved 125,000 printed pages and nearly 5,000 sittings from paper use.
Building projects: 
Sustainability is a core principle of the Special Collections Project, informing all proposed works across the Baillieu Library. It underpins decisions relating to the design, form, and function of every element of the redevelopment. As part of this commitment, Project Net Zero has been engaged to proactively divert surplus furniture and fittings from landfill through repurposing, reuse, and donation to community organisations. "
Refer to the 2 tabs for detailed information:SASS- UCRL detail (mid-2025) &amp; SASS - UCRL detail (end-2025) 
"Forms
The Health service has reduced the use of patient forms in 2025 by 75% through increased and better use of EMR and appointment systems (BP/Automed) implemented in 2024. Documents are saved to the central Health Service drive and are then emailed (encrypted) to the patients. Practitioners are not yet fully utilising the emailing function on BP, this will be addressed in 2026. We are continuing e-Faxing testing and we expect that it will be fully operational by Quarter 2 2026, this has been delayed as there have been university network issues preventing implementation. 
Events
All events led by the Health Promotion Program adopt a sustainability-focused approach. This includes eliminating disposable giveaways, using the Choose to Reuse service (reusable cups, plates, and cutlery), and engaging suppliers approved through the Sustainable Event Guidelines. Reusable signage and QR codes have replaced printed collateral to further reduce waste.
As part of Sustainability Week 2025, the Health Promotion Program delivered a range of events, including music therapy sessions in the System Gardens, sustainable cooking workshops, and a panel discussion exploring pressing sustainability issues and their impact on health and wellbeing"
"MU Sport joined SASS in October 2025 and is currently in a transitional phase, with a new strategic plan, partnership roadmap and people plan all due for delivery by the end of February 2026. As such, there was limited capacity to fully engage with and implement the SASS sustainability initiatives into large scale events in 2025 as these had all been fully scoped and planned prior to cutting over into SASS. 
Sustainability is a key consideration in shaping the future plans for MU Sport and will guide the planning and delivery of large scale sporting events in 2026 and beyond."
"All onshore Future Students activities on campus have an active sustainable focus. This embedded practice is front of mind for the team across Future Students, and we are looking to formalise a checklist in our Future Students Activities Plan. 
We're reducing general waste, printing less, limiting ""gimmicky"" or one-use merchandise and when catering, preference vendors who have environmentally sustainable practices or use food trucks where food is made to order. 
We have met our 2025 target by shifting 100% of eligible on‑campus events to food vouchers instead of catering, reducing food waste while meeting required vendor minimums."</t>
        </is>
      </c>
      <c r="K11" s="7" t="inlineStr">
        <is>
          <t>See details in Chancellery Ed. (SASS) spreadsheet, including data on sustainability-themed event participation in UOM managed student accommodation</t>
        </is>
      </c>
      <c r="L11" s="9">
        <f>IFERROR(IF(INDEX('[18]1. Reporting template'!$L$1:$L$400,MATCH($B11,'[18]1. Reporting template'!$B$1:$B$400,0))="","",INDEX('[18]1. Reporting template'!$L$1:$L$400,MATCH($B11,'[18]1. Reporting template'!$B$1:$B$400,0))),"")</f>
        <v/>
      </c>
      <c r="M11" s="9">
        <f>IFERROR(IF(INDEX('[18]1. Reporting template'!$M$1:$M$400,MATCH($B11,'[18]1. Reporting template'!$B$1:$B$400,0))="","",INDEX('[18]1. Reporting template'!$M$1:$M$400,MATCH($B11,'[18]1. Reporting template'!$B$1:$B$400,0))),"")</f>
        <v/>
      </c>
      <c r="N11" s="9">
        <f>IFERROR(IF(INDEX('[18]1. Reporting template'!$N$1:$N$400,MATCH($B11,'[18]1. Reporting template'!$B$1:$B$400,0))="","",INDEX('[18]1. Reporting template'!$N$1:$N$400,MATCH($B11,'[18]1. Reporting template'!$B$1:$B$400,0))),"")</f>
        <v/>
      </c>
      <c r="O11" s="9">
        <f>IFERROR(IF(INDEX('[18]1. Reporting template'!$O$1:$O$400,MATCH($B11,'[18]1. Reporting template'!$B$1:$B$400,0))="","",INDEX('[18]1. Reporting template'!$O$1:$O$400,MATCH($B11,'[18]1. Reporting template'!$B$1:$B$400,0))),"")</f>
        <v/>
      </c>
      <c r="P11" s="9">
        <f>IFERROR(IF(INDEX('[18]1. Reporting template'!$P$1:$P$400,MATCH($B11,'[18]1. Reporting template'!$B$1:$B$400,0))="","",INDEX('[18]1. Reporting template'!$P$1:$P$400,MATCH($B11,'[18]1. Reporting template'!$B$1:$B$400,0))),"")</f>
        <v/>
      </c>
      <c r="Q11" s="9">
        <f>IFERROR(IF(INDEX('[18]1. Reporting template'!$Q$1:$Q$400,MATCH($B11,'[18]1. Reporting template'!$B$1:$B$400,0))="","",INDEX('[18]1. Reporting template'!$Q$1:$Q$400,MATCH($B11,'[18]1. Reporting template'!$B$1:$B$400,0))),"")</f>
        <v/>
      </c>
    </row>
    <row r="12"/>
  </sheetData>
  <mergeCells count="2">
    <mergeCell ref="L7:Q7"/>
    <mergeCell ref="C7:G7"/>
  </mergeCells>
  <dataValidations count="1">
    <dataValidation sqref="P10:P11" showDropDown="0" showInputMessage="0" showErrorMessage="0" allowBlank="1" errorTitle="Invalid entry" error="Please select from the dropdown" type="list">
      <formula1>=Lists!$C$2:$C$4</formula1>
    </dataValidation>
  </dataValidations>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0"/>
    <pageSetUpPr/>
  </sheetPr>
  <dimension ref="A1:R11"/>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Chancellery Indigenous</t>
        </is>
      </c>
      <c r="C2" s="1" t="n"/>
      <c r="D2" s="1" t="n"/>
      <c r="E2" s="1" t="n"/>
      <c r="F2" s="1" t="n"/>
      <c r="G2" s="1" t="n"/>
      <c r="H2" s="1" t="n"/>
      <c r="I2" s="1" t="n"/>
      <c r="J2" s="1" t="n"/>
      <c r="K2" s="1" t="n"/>
      <c r="L2" s="1" t="n"/>
      <c r="M2" s="1" t="n"/>
      <c r="N2" s="1" t="n"/>
      <c r="O2" s="1" t="n"/>
      <c r="P2" s="1" t="n"/>
      <c r="Q2" s="1" t="n"/>
      <c r="R2" s="1" t="n"/>
    </row>
    <row r="3" ht="22" customHeight="1">
      <c r="B3" s="19" t="inlineStr">
        <is>
          <t>Consolidated responses – paste from returned request workbooks (identical column layout). Click [+] above Columns H–K for end-2025 responses.</t>
        </is>
      </c>
    </row>
    <row r="4"/>
    <row r="5" ht="39" customHeight="1">
      <c r="B5" s="43" t="inlineStr">
        <is>
          <t>1.1  Indigenous – Chancellery Indigenous</t>
        </is>
      </c>
    </row>
    <row r="6"/>
    <row r="7" ht="27" customHeight="1">
      <c r="C7" s="44" t="inlineStr">
        <is>
          <t>Sustainability 2030 target and indicator</t>
        </is>
      </c>
      <c r="H7" s="44" t="inlineStr">
        <is>
          <t>SR25 response</t>
        </is>
      </c>
      <c r="L7" s="45" t="inlineStr">
        <is>
          <t>End-2026 reporting (PLEASE COMPLETE THIS SECTION)</t>
        </is>
      </c>
    </row>
    <row r="8" ht="60" customHeight="1">
      <c r="B8" s="5" t="inlineStr">
        <is>
          <t>Ref</t>
        </is>
      </c>
      <c r="C8" s="5" t="inlineStr">
        <is>
          <t>Priority area</t>
        </is>
      </c>
      <c r="D8" s="5" t="inlineStr">
        <is>
          <t>Sustainability 2030 target</t>
        </is>
      </c>
      <c r="E8" s="5" t="inlineStr">
        <is>
          <t>Indicator</t>
        </is>
      </c>
      <c r="F8" s="5" t="inlineStr">
        <is>
          <t>2026 Reporting request</t>
        </is>
      </c>
      <c r="G8" s="5" t="inlineStr">
        <is>
          <t>How SST will use this data</t>
        </is>
      </c>
      <c r="H8" s="5" t="inlineStr">
        <is>
          <t>Related SR25 ref</t>
        </is>
      </c>
      <c r="I8" s="5" t="inlineStr">
        <is>
          <t>End-2025 confirmed status</t>
        </is>
      </c>
      <c r="J8" s="5" t="inlineStr">
        <is>
          <t>End-2025 reporting response</t>
        </is>
      </c>
      <c r="K8" s="5"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171" customHeight="1">
      <c r="B10" s="6" t="inlineStr">
        <is>
          <t>EN1(a)</t>
        </is>
      </c>
      <c r="C10" s="48" t="inlineStr">
        <is>
          <t>Enablers</t>
        </is>
      </c>
      <c r="D10" s="48" t="inlineStr">
        <is>
          <t>Enablers</t>
        </is>
      </c>
      <c r="E10" s="48" t="inlineStr">
        <is>
          <t>Evidence of sustainability outcomes informed by Indigenous knowledges</t>
        </is>
      </c>
      <c r="F10" s="7"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
We did not receive an end-2025 response for the related SP2030 target 6a, so please include any relevant activity from across 2026.</t>
        </is>
      </c>
      <c r="G10" s="7" t="inlineStr">
        <is>
          <t>We will report on the ways Indigenous knowledges inform sustainability activities across the University, and develop selected examples into case studies with appropriate permissions.</t>
        </is>
      </c>
      <c r="H10" s="7" t="inlineStr">
        <is>
          <t>6a</t>
        </is>
      </c>
      <c r="I10" s="7" t="inlineStr"/>
      <c r="J10" s="7" t="inlineStr"/>
      <c r="K10" s="7" t="inlineStr"/>
      <c r="L10" s="9">
        <f>IFERROR(IF(INDEX('[19]1. Reporting template'!$L$1:$L$400,MATCH($B10,'[19]1. Reporting template'!$B$1:$B$400,0))="","",INDEX('[19]1. Reporting template'!$L$1:$L$400,MATCH($B10,'[19]1. Reporting template'!$B$1:$B$400,0))),"")</f>
        <v/>
      </c>
      <c r="M10" s="9">
        <f>IFERROR(IF(INDEX('[19]1. Reporting template'!$M$1:$M$400,MATCH($B10,'[19]1. Reporting template'!$B$1:$B$400,0))="","",INDEX('[19]1. Reporting template'!$M$1:$M$400,MATCH($B10,'[19]1. Reporting template'!$B$1:$B$400,0))),"")</f>
        <v/>
      </c>
      <c r="N10" s="9">
        <f>IFERROR(IF(INDEX('[19]1. Reporting template'!$N$1:$N$400,MATCH($B10,'[19]1. Reporting template'!$B$1:$B$400,0))="","",INDEX('[19]1. Reporting template'!$N$1:$N$400,MATCH($B10,'[19]1. Reporting template'!$B$1:$B$400,0))),"")</f>
        <v/>
      </c>
      <c r="O10" s="9">
        <f>IFERROR(IF(INDEX('[19]1. Reporting template'!$O$1:$O$400,MATCH($B10,'[19]1. Reporting template'!$B$1:$B$400,0))="","",INDEX('[19]1. Reporting template'!$O$1:$O$400,MATCH($B10,'[19]1. Reporting template'!$B$1:$B$400,0))),"")</f>
        <v/>
      </c>
      <c r="P10" s="9">
        <f>IFERROR(IF(INDEX('[19]1. Reporting template'!$P$1:$P$400,MATCH($B10,'[19]1. Reporting template'!$B$1:$B$400,0))="","",INDEX('[19]1. Reporting template'!$P$1:$P$400,MATCH($B10,'[19]1. Reporting template'!$B$1:$B$400,0))),"")</f>
        <v/>
      </c>
      <c r="Q10" s="9">
        <f>IFERROR(IF(INDEX('[19]1. Reporting template'!$Q$1:$Q$400,MATCH($B10,'[19]1. Reporting template'!$B$1:$B$400,0))="","",INDEX('[19]1. Reporting template'!$Q$1:$Q$400,MATCH($B10,'[19]1. Reporting template'!$B$1:$B$400,0))),"")</f>
        <v/>
      </c>
    </row>
    <row r="11"/>
  </sheetData>
  <mergeCells count="2">
    <mergeCell ref="L7:Q7"/>
    <mergeCell ref="C7:G7"/>
  </mergeCells>
  <dataValidations count="1">
    <dataValidation sqref="P10" showDropDown="0" showInputMessage="0" showErrorMessage="0" allowBlank="1" errorTitle="Invalid entry" error="Please select from the dropdown" type="list">
      <formula1>=Lists!$C$2:$C$4</formula1>
    </dataValidation>
  </dataValidations>
  <pageMargins left="0.75" right="0.75" top="1" bottom="1" header="0.5" footer="0.5"/>
  <drawing xmlns:r="http://schemas.openxmlformats.org/officeDocument/2006/relationships" r:id="rId1"/>
</worksheet>
</file>

<file path=xl/worksheets/sheet19.xml><?xml version="1.0" encoding="utf-8"?>
<worksheet xmlns="http://schemas.openxmlformats.org/spreadsheetml/2006/main">
  <sheetPr>
    <outlinePr summaryBelow="1" summaryRight="0"/>
    <pageSetUpPr/>
  </sheetPr>
  <dimension ref="A1:R11"/>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Legal and Risk</t>
        </is>
      </c>
      <c r="C2" s="1" t="n"/>
      <c r="D2" s="1" t="n"/>
      <c r="E2" s="1" t="n"/>
      <c r="F2" s="1" t="n"/>
      <c r="G2" s="1" t="n"/>
      <c r="H2" s="1" t="n"/>
      <c r="I2" s="1" t="n"/>
      <c r="J2" s="1" t="n"/>
      <c r="K2" s="1" t="n"/>
      <c r="L2" s="1" t="n"/>
      <c r="M2" s="1" t="n"/>
      <c r="N2" s="1" t="n"/>
      <c r="O2" s="1" t="n"/>
      <c r="P2" s="1" t="n"/>
      <c r="Q2" s="1" t="n"/>
      <c r="R2" s="1" t="n"/>
    </row>
    <row r="3" ht="22" customHeight="1">
      <c r="B3" s="19" t="inlineStr">
        <is>
          <t>Consolidated responses – paste from returned request workbooks (identical column layout). Click [+] above Columns H–K for end-2025 responses.</t>
        </is>
      </c>
    </row>
    <row r="4"/>
    <row r="5" ht="39" customHeight="1">
      <c r="B5" s="43" t="inlineStr">
        <is>
          <t>1.1  Legal &amp; Risk – Risk &amp; resilience</t>
        </is>
      </c>
    </row>
    <row r="6"/>
    <row r="7" ht="27" customHeight="1">
      <c r="C7" s="44" t="inlineStr">
        <is>
          <t>Sustainability 2030 target and indicator</t>
        </is>
      </c>
      <c r="H7" s="44" t="inlineStr">
        <is>
          <t>SR25 response</t>
        </is>
      </c>
      <c r="L7" s="45" t="inlineStr">
        <is>
          <t>End-2026 reporting (PLEASE COMPLETE THIS SECTION)</t>
        </is>
      </c>
    </row>
    <row r="8" ht="60" customHeight="1">
      <c r="B8" s="5" t="inlineStr">
        <is>
          <t>Ref</t>
        </is>
      </c>
      <c r="C8" s="5" t="inlineStr">
        <is>
          <t>Priority area</t>
        </is>
      </c>
      <c r="D8" s="5" t="inlineStr">
        <is>
          <t>Sustainability 2030 target</t>
        </is>
      </c>
      <c r="E8" s="5" t="inlineStr">
        <is>
          <t>Indicator</t>
        </is>
      </c>
      <c r="F8" s="5" t="inlineStr">
        <is>
          <t>2026 Reporting request</t>
        </is>
      </c>
      <c r="G8" s="5" t="inlineStr">
        <is>
          <t>How SST will use this data</t>
        </is>
      </c>
      <c r="H8" s="5" t="inlineStr">
        <is>
          <t>Related SR25 ref</t>
        </is>
      </c>
      <c r="I8" s="5" t="inlineStr">
        <is>
          <t>End-2025 confirmed status</t>
        </is>
      </c>
      <c r="J8" s="5" t="inlineStr">
        <is>
          <t>End-2025 reporting response</t>
        </is>
      </c>
      <c r="K8" s="5"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204" customHeight="1">
      <c r="B10" s="6" t="inlineStr">
        <is>
          <t>CL3(a)</t>
        </is>
      </c>
      <c r="C10" s="48" t="inlineStr">
        <is>
          <t>Climate leadership</t>
        </is>
      </c>
      <c r="D10" s="48" t="inlineStr">
        <is>
          <t>Reach and maintain high levels of climate-change resilience maturity</t>
        </is>
      </c>
      <c r="E10" s="4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10" s="7" t="inlineStr">
        <is>
          <t>Provide update of University maturity assesment. Include maturity ratings, key gaps and priority improvement actions.when available
In end-2025 reporting your area reported on the related SP2030 target 8a(i) (see Column J – click [+] above Columns I–K).</t>
        </is>
      </c>
      <c r="G10" s="7" t="inlineStr">
        <is>
          <t>We will report the University's climate-change resilience maturity rating, key gaps and priority actions in the 2026 Sustainability Report (building on the Climate Change Preparedness Framework assessment reported in 2025).</t>
        </is>
      </c>
      <c r="H10" s="7" t="inlineStr">
        <is>
          <t>8a(i)</t>
        </is>
      </c>
      <c r="I10" s="7" t="inlineStr">
        <is>
          <t>Met or exceeded</t>
        </is>
      </c>
      <c r="J10" s="7" t="inlineStr">
        <is>
          <t>Review of University Risk 16 Climate Change was completed in Nov 2025, as part of the annual review cycle.
The review identified a positive trend, showing improved levels of climate‑change preparedness, with work underway to complete the end‑of‑2025 assessment.</t>
        </is>
      </c>
      <c r="K10" s="7" t="inlineStr">
        <is>
          <t>All University risks including Risk 16 Climate Change were presented to RMCC and ARC in Nov 25 for their oversight.
There will be a risk presentation of Risk 16 Climate Change at RMCC Meeting 1 in Feb 2026.</t>
        </is>
      </c>
      <c r="L10" s="9">
        <f>IFERROR(IF(INDEX('[20]1. Reporting template'!$L$1:$L$400,MATCH($B10,'[20]1. Reporting template'!$B$1:$B$400,0))="","",INDEX('[20]1. Reporting template'!$L$1:$L$400,MATCH($B10,'[20]1. Reporting template'!$B$1:$B$400,0))),"")</f>
        <v/>
      </c>
      <c r="M10" s="9">
        <f>IFERROR(IF(INDEX('[20]1. Reporting template'!$M$1:$M$400,MATCH($B10,'[20]1. Reporting template'!$B$1:$B$400,0))="","",INDEX('[20]1. Reporting template'!$M$1:$M$400,MATCH($B10,'[20]1. Reporting template'!$B$1:$B$400,0))),"")</f>
        <v/>
      </c>
      <c r="N10" s="9">
        <f>IFERROR(IF(INDEX('[20]1. Reporting template'!$N$1:$N$400,MATCH($B10,'[20]1. Reporting template'!$B$1:$B$400,0))="","",INDEX('[20]1. Reporting template'!$N$1:$N$400,MATCH($B10,'[20]1. Reporting template'!$B$1:$B$400,0))),"")</f>
        <v/>
      </c>
      <c r="O10" s="9">
        <f>IFERROR(IF(INDEX('[20]1. Reporting template'!$O$1:$O$400,MATCH($B10,'[20]1. Reporting template'!$B$1:$B$400,0))="","",INDEX('[20]1. Reporting template'!$O$1:$O$400,MATCH($B10,'[20]1. Reporting template'!$B$1:$B$400,0))),"")</f>
        <v/>
      </c>
      <c r="P10" s="9">
        <f>IFERROR(IF(INDEX('[20]1. Reporting template'!$P$1:$P$400,MATCH($B10,'[20]1. Reporting template'!$B$1:$B$400,0))="","",INDEX('[20]1. Reporting template'!$P$1:$P$400,MATCH($B10,'[20]1. Reporting template'!$B$1:$B$400,0))),"")</f>
        <v/>
      </c>
      <c r="Q10" s="9">
        <f>IFERROR(IF(INDEX('[20]1. Reporting template'!$Q$1:$Q$400,MATCH($B10,'[20]1. Reporting template'!$B$1:$B$400,0))="","",INDEX('[20]1. Reporting template'!$Q$1:$Q$400,MATCH($B10,'[20]1. Reporting template'!$B$1:$B$400,0))),"")</f>
        <v/>
      </c>
    </row>
    <row r="11"/>
  </sheetData>
  <mergeCells count="2">
    <mergeCell ref="L7:Q7"/>
    <mergeCell ref="C7:G7"/>
  </mergeCells>
  <dataValidations count="1">
    <dataValidation sqref="P10" showDropDown="0" showInputMessage="0" showErrorMessage="0" allowBlank="1" errorTitle="Invalid entry" error="Please select from the dropdown" type="list">
      <formula1>=Lists!$C$2:$C$4</formula1>
    </dataValidation>
  </dataValidations>
  <pageMargins left="0.75" right="0.75" top="1" bottom="1" header="0.5" footer="0.5"/>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AH200"/>
  <sheetViews>
    <sheetView showGridLines="0" workbookViewId="0">
      <pane ySplit="10" topLeftCell="A11" activePane="bottomLeft" state="frozen"/>
      <selection pane="bottomLeft"/>
      <selection pane="bottomLeft"/>
      <selection pane="bottomRight" activeCell="A1" sqref="A1"/>
    </sheetView>
  </sheetViews>
  <sheetFormatPr baseColWidth="8" defaultRowHeight="15"/>
  <cols>
    <col hidden="1" width="13" customWidth="1" min="1" max="1"/>
    <col width="9" customWidth="1" min="2" max="2"/>
    <col width="16" customWidth="1" min="3" max="3"/>
    <col width="36" customWidth="1" min="4" max="4"/>
    <col width="36" customWidth="1" min="5" max="5"/>
    <col width="9" customWidth="1" min="6" max="6"/>
    <col width="3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3" customWidth="1" min="30" max="30"/>
    <col width="13" customWidth="1" min="31" max="31"/>
    <col width="13" customWidth="1" min="32" max="32"/>
    <col width="13" customWidth="1" min="33" max="33"/>
    <col width="13" customWidth="1" min="34" max="34"/>
  </cols>
  <sheetData>
    <row r="1" ht="8"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row>
    <row r="2" ht="58" customHeight="1">
      <c r="A2" s="1" t="n"/>
      <c r="B2" s="2" t="inlineStr">
        <is>
          <t>A1. Response summary</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row>
    <row r="3"/>
    <row r="4" ht="22" customHeight="1">
      <c r="C4" s="30" t="inlineStr">
        <is>
          <t>Description</t>
        </is>
      </c>
      <c r="D4" s="8" t="inlineStr">
        <is>
          <t>Pulls every unit's end-2026 response for each indicator from the Faculties and central-unit tabs (do not type in the grey cells). 'N/A' = not requested from that unit. No target status rating is collected in 2026, so the summary columns count responses: units asked, responses received (Option 1 or 2 answered), awaiting response and owner-confirmed.</t>
        </is>
      </c>
    </row>
    <row r="5"/>
    <row r="6"/>
    <row r="7"/>
    <row r="8"/>
    <row r="9" ht="20" customHeight="1">
      <c r="H9" s="49" t="inlineStr">
        <is>
          <t>Faculty</t>
        </is>
      </c>
      <c r="I9" s="49" t="inlineStr">
        <is>
          <t>Faculty</t>
        </is>
      </c>
      <c r="J9" s="49" t="inlineStr">
        <is>
          <t>Faculty</t>
        </is>
      </c>
      <c r="K9" s="49" t="inlineStr">
        <is>
          <t>Faculty</t>
        </is>
      </c>
      <c r="L9" s="49" t="inlineStr">
        <is>
          <t>Faculty</t>
        </is>
      </c>
      <c r="M9" s="49" t="inlineStr">
        <is>
          <t>Faculty</t>
        </is>
      </c>
      <c r="N9" s="49" t="inlineStr">
        <is>
          <t>Faculty</t>
        </is>
      </c>
      <c r="O9" s="49" t="inlineStr">
        <is>
          <t>Faculty</t>
        </is>
      </c>
      <c r="P9" s="49" t="inlineStr">
        <is>
          <t>Faculty</t>
        </is>
      </c>
      <c r="Q9" s="49" t="inlineStr">
        <is>
          <t>Central</t>
        </is>
      </c>
      <c r="R9" s="49" t="inlineStr">
        <is>
          <t>Central</t>
        </is>
      </c>
      <c r="S9" s="49" t="inlineStr">
        <is>
          <t>Central</t>
        </is>
      </c>
      <c r="T9" s="49" t="inlineStr">
        <is>
          <t>Central</t>
        </is>
      </c>
      <c r="U9" s="49" t="inlineStr">
        <is>
          <t>Central</t>
        </is>
      </c>
      <c r="V9" s="49" t="inlineStr">
        <is>
          <t>Central</t>
        </is>
      </c>
      <c r="W9" s="49" t="inlineStr">
        <is>
          <t>Central</t>
        </is>
      </c>
      <c r="X9" s="49" t="inlineStr">
        <is>
          <t>Central</t>
        </is>
      </c>
      <c r="Y9" s="49" t="inlineStr">
        <is>
          <t>Central</t>
        </is>
      </c>
      <c r="Z9" s="49" t="inlineStr">
        <is>
          <t>Central</t>
        </is>
      </c>
      <c r="AA9" s="49" t="inlineStr">
        <is>
          <t>Central</t>
        </is>
      </c>
      <c r="AB9" s="49" t="inlineStr">
        <is>
          <t>Central</t>
        </is>
      </c>
      <c r="AC9" s="49" t="inlineStr">
        <is>
          <t>Central</t>
        </is>
      </c>
    </row>
    <row r="10" ht="78" customHeight="1">
      <c r="B10" s="5" t="inlineStr">
        <is>
          <t>Ref.</t>
        </is>
      </c>
      <c r="C10" s="5" t="inlineStr">
        <is>
          <t>Priority area</t>
        </is>
      </c>
      <c r="D10" s="5" t="inlineStr">
        <is>
          <t>Indicator</t>
        </is>
      </c>
      <c r="E10" s="5" t="inlineStr">
        <is>
          <t>Reporting requirement</t>
        </is>
      </c>
      <c r="F10" s="5" t="inlineStr">
        <is>
          <t>Target code</t>
        </is>
      </c>
      <c r="G10" s="5" t="inlineStr">
        <is>
          <t>Target progress</t>
        </is>
      </c>
      <c r="H10" s="5" t="inlineStr">
        <is>
          <t>ABP</t>
        </is>
      </c>
      <c r="I10" s="5" t="inlineStr">
        <is>
          <t>ARTS</t>
        </is>
      </c>
      <c r="J10" s="5" t="inlineStr">
        <is>
          <t>FBE</t>
        </is>
      </c>
      <c r="K10" s="5" t="inlineStr">
        <is>
          <t>SCI</t>
        </is>
      </c>
      <c r="L10" s="5" t="inlineStr">
        <is>
          <t>FAM</t>
        </is>
      </c>
      <c r="M10" s="5" t="inlineStr">
        <is>
          <t>FEIT</t>
        </is>
      </c>
      <c r="N10" s="5" t="inlineStr">
        <is>
          <t>FoE</t>
        </is>
      </c>
      <c r="O10" s="5" t="inlineStr">
        <is>
          <t>MLS</t>
        </is>
      </c>
      <c r="P10" s="5" t="inlineStr">
        <is>
          <t>MDHS</t>
        </is>
      </c>
      <c r="Q10" s="5" t="inlineStr">
        <is>
          <t>CI&amp;S – Estate Planning &amp; Development</t>
        </is>
      </c>
      <c r="R10" s="5" t="inlineStr">
        <is>
          <t>CI&amp;S – Sustainability Strategy</t>
        </is>
      </c>
      <c r="S10" s="5" t="inlineStr">
        <is>
          <t>CFOG – Procurement</t>
        </is>
      </c>
      <c r="T10" s="5" t="inlineStr">
        <is>
          <t>CFOG – Treasury &amp; Investments</t>
        </is>
      </c>
      <c r="U10" s="5" t="inlineStr">
        <is>
          <t>ESG – Campus Operations &amp; Sustainability Delivery</t>
        </is>
      </c>
      <c r="V10" s="5" t="inlineStr">
        <is>
          <t>CIOG – Responsible AI &amp; digital</t>
        </is>
      </c>
      <c r="W10" s="5" t="inlineStr">
        <is>
          <t>MRE – Research</t>
        </is>
      </c>
      <c r="X10" s="5" t="inlineStr">
        <is>
          <t>AC&amp;M – Advancement, Communication and Marketing</t>
        </is>
      </c>
      <c r="Y10" s="5" t="inlineStr">
        <is>
          <t>GCE – Global, Culture and Engagement</t>
        </is>
      </c>
      <c r="Z10" s="5" t="inlineStr">
        <is>
          <t>Education – Chancellery Education</t>
        </is>
      </c>
      <c r="AA10" s="5" t="inlineStr">
        <is>
          <t>SaSS – Student and Scholarly Services</t>
        </is>
      </c>
      <c r="AB10" s="5" t="inlineStr">
        <is>
          <t>Indigenous – Chancellery Indigenous</t>
        </is>
      </c>
      <c r="AC10" s="5" t="inlineStr">
        <is>
          <t>Legal &amp; Risk – Risk &amp; resilience</t>
        </is>
      </c>
      <c r="AD10" s="5" t="n"/>
      <c r="AE10" s="5" t="inlineStr">
        <is>
          <t>Units asked</t>
        </is>
      </c>
      <c r="AF10" s="5" t="inlineStr">
        <is>
          <t>Responses received</t>
        </is>
      </c>
      <c r="AG10" s="5" t="inlineStr">
        <is>
          <t>Awaiting response</t>
        </is>
      </c>
      <c r="AH10" s="5" t="inlineStr">
        <is>
          <t>Owner confirmed</t>
        </is>
      </c>
    </row>
    <row r="11" ht="154" customHeight="1">
      <c r="A11">
        <f>F11&amp;"|"&amp;G11</f>
        <v/>
      </c>
      <c r="B11" s="6" t="inlineStr">
        <is>
          <t>EE1(a)</t>
        </is>
      </c>
      <c r="C11" s="48" t="inlineStr">
        <is>
          <t>Exceptional education</t>
        </is>
      </c>
      <c r="D11" s="48" t="inlineStr">
        <is>
          <t>Evidence of innovative approaches to sustainability teaching and learning</t>
        </is>
      </c>
      <c r="E11" s="48"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F11" s="48" t="inlineStr">
        <is>
          <t>EE1(a)</t>
        </is>
      </c>
      <c r="G11" s="48" t="inlineStr">
        <is>
          <t>OPTION 1:  Target-level reporting</t>
        </is>
      </c>
      <c r="H11" s="50">
        <f>IFERROR(IF(INDEX('Faculties'!$L$10:$L$18,MATCH($F11,'Faculties'!$B$10:$B$18,0))="","Cell will autofill based on response",INDEX('Faculties'!$L$10:$L$18,MATCH($F11,'Faculties'!$B$10:$B$18,0))),"N/A")</f>
        <v/>
      </c>
      <c r="I11" s="50">
        <f>IFERROR(IF(INDEX('Faculties'!$L$25:$L$34,MATCH($F11,'Faculties'!$B$25:$B$34,0))="","Cell will autofill based on response",INDEX('Faculties'!$L$25:$L$34,MATCH($F11,'Faculties'!$B$25:$B$34,0))),"N/A")</f>
        <v/>
      </c>
      <c r="J11" s="50">
        <f>IFERROR(IF(INDEX('Faculties'!$L$41:$L$50,MATCH($F11,'Faculties'!$B$41:$B$50,0))="","Cell will autofill based on response",INDEX('Faculties'!$L$41:$L$50,MATCH($F11,'Faculties'!$B$41:$B$50,0))),"N/A")</f>
        <v/>
      </c>
      <c r="K11" s="50">
        <f>IFERROR(IF(INDEX('Faculties'!$L$57:$L$66,MATCH($F11,'Faculties'!$B$57:$B$66,0))="","Cell will autofill based on response",INDEX('Faculties'!$L$57:$L$66,MATCH($F11,'Faculties'!$B$57:$B$66,0))),"N/A")</f>
        <v/>
      </c>
      <c r="L11" s="50">
        <f>IFERROR(IF(INDEX('Faculties'!$L$73:$L$82,MATCH($F11,'Faculties'!$B$73:$B$82,0))="","Cell will autofill based on response",INDEX('Faculties'!$L$73:$L$82,MATCH($F11,'Faculties'!$B$73:$B$82,0))),"N/A")</f>
        <v/>
      </c>
      <c r="M11" s="50">
        <f>IFERROR(IF(INDEX('Faculties'!$L$89:$L$98,MATCH($F11,'Faculties'!$B$89:$B$98,0))="","Cell will autofill based on response",INDEX('Faculties'!$L$89:$L$98,MATCH($F11,'Faculties'!$B$89:$B$98,0))),"N/A")</f>
        <v/>
      </c>
      <c r="N11" s="50">
        <f>IFERROR(IF(INDEX('Faculties'!$L$105:$L$114,MATCH($F11,'Faculties'!$B$105:$B$114,0))="","Cell will autofill based on response",INDEX('Faculties'!$L$105:$L$114,MATCH($F11,'Faculties'!$B$105:$B$114,0))),"N/A")</f>
        <v/>
      </c>
      <c r="O11" s="50">
        <f>IFERROR(IF(INDEX('Faculties'!$L$121:$L$130,MATCH($F11,'Faculties'!$B$121:$B$130,0))="","Cell will autofill based on response",INDEX('Faculties'!$L$121:$L$130,MATCH($F11,'Faculties'!$B$121:$B$130,0))),"N/A")</f>
        <v/>
      </c>
      <c r="P11" s="50">
        <f>IFERROR(IF(INDEX('Faculties'!$L$137:$L$146,MATCH($F11,'Faculties'!$B$137:$B$146,0))="","Cell will autofill based on response",INDEX('Faculties'!$L$137:$L$146,MATCH($F11,'Faculties'!$B$137:$B$146,0))),"N/A")</f>
        <v/>
      </c>
      <c r="Q11" s="50">
        <f>IFERROR(IF(INDEX('CI&amp;S'!$L$10:$L$15,MATCH($F11,'CI&amp;S'!$B$10:$B$15,0))="","Cell will autofill based on response",INDEX('CI&amp;S'!$L$10:$L$15,MATCH($F11,'CI&amp;S'!$B$10:$B$15,0))),"N/A")</f>
        <v/>
      </c>
      <c r="R11" s="50">
        <f>IFERROR(IF(INDEX('CI&amp;S'!$L$22:$L$36,MATCH($F11,'CI&amp;S'!$B$22:$B$36,0))="","Cell will autofill based on response",INDEX('CI&amp;S'!$L$22:$L$36,MATCH($F11,'CI&amp;S'!$B$22:$B$36,0))),"N/A")</f>
        <v/>
      </c>
      <c r="S11" s="50">
        <f>IFERROR(IF(INDEX('CFOG'!$L$10:$L$16,MATCH($F11,'CFOG'!$B$10:$B$16,0))="","Cell will autofill based on response",INDEX('CFOG'!$L$10:$L$16,MATCH($F11,'CFOG'!$B$10:$B$16,0))),"N/A")</f>
        <v/>
      </c>
      <c r="T11" s="50">
        <f>IFERROR(IF(INDEX('CFOG'!$L$23:$L$24,MATCH($F11,'CFOG'!$B$23:$B$24,0))="","Cell will autofill based on response",INDEX('CFOG'!$L$23:$L$24,MATCH($F11,'CFOG'!$B$23:$B$24,0))),"N/A")</f>
        <v/>
      </c>
      <c r="U11" s="50">
        <f>IFERROR(IF(INDEX('ESG'!$L$10:$L$17,MATCH($F11,'ESG'!$B$10:$B$17,0))="","Cell will autofill based on response",INDEX('ESG'!$L$10:$L$17,MATCH($F11,'ESG'!$B$10:$B$17,0))),"N/A")</f>
        <v/>
      </c>
      <c r="V11" s="50">
        <f>IFERROR(IF(INDEX('CIOG'!$L$10:$L$14,MATCH($F11,'CIOG'!$B$10:$B$14,0))="","Cell will autofill based on response",INDEX('CIOG'!$L$10:$L$14,MATCH($F11,'CIOG'!$B$10:$B$14,0))),"N/A")</f>
        <v/>
      </c>
      <c r="W11" s="50">
        <f>IFERROR(IF(INDEX('MRE'!$L$10:$L$18,MATCH($F11,'MRE'!$B$10:$B$18,0))="","Cell will autofill based on response",INDEX('MRE'!$L$10:$L$18,MATCH($F11,'MRE'!$B$10:$B$18,0))),"N/A")</f>
        <v/>
      </c>
      <c r="X11" s="50">
        <f>IFERROR(IF(INDEX('AC&amp;M'!$L$10:$L$14,MATCH($F11,'AC&amp;M'!$B$10:$B$14,0))="","Cell will autofill based on response",INDEX('AC&amp;M'!$L$10:$L$14,MATCH($F11,'AC&amp;M'!$B$10:$B$14,0))),"N/A")</f>
        <v/>
      </c>
      <c r="Y11" s="50">
        <f>IFERROR(IF(INDEX('GCE'!$L$10:$L$12,MATCH($F11,'GCE'!$B$10:$B$12,0))="","Cell will autofill based on response",INDEX('GCE'!$L$10:$L$12,MATCH($F11,'GCE'!$B$10:$B$12,0))),"N/A")</f>
        <v/>
      </c>
      <c r="Z11" s="50">
        <f>IFERROR(IF(INDEX('Education'!$L$10:$L$13,MATCH($F11,'Education'!$B$10:$B$13,0))="","Cell will autofill based on response",INDEX('Education'!$L$10:$L$13,MATCH($F11,'Education'!$B$10:$B$13,0))),"N/A")</f>
        <v/>
      </c>
      <c r="AA11" s="50">
        <f>IFERROR(IF(INDEX('SaSS'!$L$10:$L$12,MATCH($F11,'SaSS'!$B$10:$B$12,0))="","Cell will autofill based on response",INDEX('SaSS'!$L$10:$L$12,MATCH($F11,'SaSS'!$B$10:$B$12,0))),"N/A")</f>
        <v/>
      </c>
      <c r="AB11" s="50">
        <f>IFERROR(IF(INDEX('Indigenous'!$L$10:$L$11,MATCH($F11,'Indigenous'!$B$10:$B$11,0))="","Cell will autofill based on response",INDEX('Indigenous'!$L$10:$L$11,MATCH($F11,'Indigenous'!$B$10:$B$11,0))),"N/A")</f>
        <v/>
      </c>
      <c r="AC11" s="50">
        <f>IFERROR(IF(INDEX('L&amp;R'!$L$10:$L$11,MATCH($F11,'L&amp;R'!$B$10:$B$11,0))="","Cell will autofill based on response",INDEX('L&amp;R'!$L$10:$L$11,MATCH($F11,'L&amp;R'!$B$10:$B$11,0))),"N/A")</f>
        <v/>
      </c>
      <c r="AE11" s="9">
        <f>SUMPRODUCT(--($H11:$AC11&lt;&gt;"N/A"))</f>
        <v/>
      </c>
      <c r="AF11" s="9">
        <f>SUMPRODUCT(--(((($H11:$AC11&lt;&gt;"N/A")*($H11:$AC11&lt;&gt;"Cell will autofill based on response"))+(($H12:$AC12&lt;&gt;"N/A")*($H12:$AC12&lt;&gt;"Cell will autofill based on response")))&gt;0))</f>
        <v/>
      </c>
      <c r="AG11" s="9">
        <f>AE11-AF11</f>
        <v/>
      </c>
      <c r="AH11" s="9">
        <f>COUNTIF($H15:$AC15,"Yes")</f>
        <v/>
      </c>
    </row>
    <row r="12" ht="39" customHeight="1">
      <c r="A12">
        <f>F12&amp;"|"&amp;G12</f>
        <v/>
      </c>
      <c r="B12" s="12" t="inlineStr"/>
      <c r="C12" s="7" t="inlineStr"/>
      <c r="D12" s="7" t="inlineStr"/>
      <c r="E12" s="7" t="inlineStr"/>
      <c r="F12" s="7" t="inlineStr">
        <is>
          <t>EE1(a)</t>
        </is>
      </c>
      <c r="G12" s="7" t="inlineStr">
        <is>
          <t>OPTION 2:  Indicator level reporting</t>
        </is>
      </c>
      <c r="H12" s="50">
        <f>IFERROR(IF(INDEX('Faculties'!$M$10:$M$18,MATCH($F12,'Faculties'!$B$10:$B$18,0))="","Cell will autofill based on response",INDEX('Faculties'!$M$10:$M$18,MATCH($F12,'Faculties'!$B$10:$B$18,0))),"N/A")</f>
        <v/>
      </c>
      <c r="I12" s="50">
        <f>IFERROR(IF(INDEX('Faculties'!$M$25:$M$34,MATCH($F12,'Faculties'!$B$25:$B$34,0))="","Cell will autofill based on response",INDEX('Faculties'!$M$25:$M$34,MATCH($F12,'Faculties'!$B$25:$B$34,0))),"N/A")</f>
        <v/>
      </c>
      <c r="J12" s="50">
        <f>IFERROR(IF(INDEX('Faculties'!$M$41:$M$50,MATCH($F12,'Faculties'!$B$41:$B$50,0))="","Cell will autofill based on response",INDEX('Faculties'!$M$41:$M$50,MATCH($F12,'Faculties'!$B$41:$B$50,0))),"N/A")</f>
        <v/>
      </c>
      <c r="K12" s="50">
        <f>IFERROR(IF(INDEX('Faculties'!$M$57:$M$66,MATCH($F12,'Faculties'!$B$57:$B$66,0))="","Cell will autofill based on response",INDEX('Faculties'!$M$57:$M$66,MATCH($F12,'Faculties'!$B$57:$B$66,0))),"N/A")</f>
        <v/>
      </c>
      <c r="L12" s="50">
        <f>IFERROR(IF(INDEX('Faculties'!$M$73:$M$82,MATCH($F12,'Faculties'!$B$73:$B$82,0))="","Cell will autofill based on response",INDEX('Faculties'!$M$73:$M$82,MATCH($F12,'Faculties'!$B$73:$B$82,0))),"N/A")</f>
        <v/>
      </c>
      <c r="M12" s="50">
        <f>IFERROR(IF(INDEX('Faculties'!$M$89:$M$98,MATCH($F12,'Faculties'!$B$89:$B$98,0))="","Cell will autofill based on response",INDEX('Faculties'!$M$89:$M$98,MATCH($F12,'Faculties'!$B$89:$B$98,0))),"N/A")</f>
        <v/>
      </c>
      <c r="N12" s="50">
        <f>IFERROR(IF(INDEX('Faculties'!$M$105:$M$114,MATCH($F12,'Faculties'!$B$105:$B$114,0))="","Cell will autofill based on response",INDEX('Faculties'!$M$105:$M$114,MATCH($F12,'Faculties'!$B$105:$B$114,0))),"N/A")</f>
        <v/>
      </c>
      <c r="O12" s="50">
        <f>IFERROR(IF(INDEX('Faculties'!$M$121:$M$130,MATCH($F12,'Faculties'!$B$121:$B$130,0))="","Cell will autofill based on response",INDEX('Faculties'!$M$121:$M$130,MATCH($F12,'Faculties'!$B$121:$B$130,0))),"N/A")</f>
        <v/>
      </c>
      <c r="P12" s="50">
        <f>IFERROR(IF(INDEX('Faculties'!$M$137:$M$146,MATCH($F12,'Faculties'!$B$137:$B$146,0))="","Cell will autofill based on response",INDEX('Faculties'!$M$137:$M$146,MATCH($F12,'Faculties'!$B$137:$B$146,0))),"N/A")</f>
        <v/>
      </c>
      <c r="Q12" s="50">
        <f>IFERROR(IF(INDEX('CI&amp;S'!$M$10:$M$15,MATCH($F12,'CI&amp;S'!$B$10:$B$15,0))="","Cell will autofill based on response",INDEX('CI&amp;S'!$M$10:$M$15,MATCH($F12,'CI&amp;S'!$B$10:$B$15,0))),"N/A")</f>
        <v/>
      </c>
      <c r="R12" s="50">
        <f>IFERROR(IF(INDEX('CI&amp;S'!$M$22:$M$36,MATCH($F12,'CI&amp;S'!$B$22:$B$36,0))="","Cell will autofill based on response",INDEX('CI&amp;S'!$M$22:$M$36,MATCH($F12,'CI&amp;S'!$B$22:$B$36,0))),"N/A")</f>
        <v/>
      </c>
      <c r="S12" s="50">
        <f>IFERROR(IF(INDEX('CFOG'!$M$10:$M$16,MATCH($F12,'CFOG'!$B$10:$B$16,0))="","Cell will autofill based on response",INDEX('CFOG'!$M$10:$M$16,MATCH($F12,'CFOG'!$B$10:$B$16,0))),"N/A")</f>
        <v/>
      </c>
      <c r="T12" s="50">
        <f>IFERROR(IF(INDEX('CFOG'!$M$23:$M$24,MATCH($F12,'CFOG'!$B$23:$B$24,0))="","Cell will autofill based on response",INDEX('CFOG'!$M$23:$M$24,MATCH($F12,'CFOG'!$B$23:$B$24,0))),"N/A")</f>
        <v/>
      </c>
      <c r="U12" s="50">
        <f>IFERROR(IF(INDEX('ESG'!$M$10:$M$17,MATCH($F12,'ESG'!$B$10:$B$17,0))="","Cell will autofill based on response",INDEX('ESG'!$M$10:$M$17,MATCH($F12,'ESG'!$B$10:$B$17,0))),"N/A")</f>
        <v/>
      </c>
      <c r="V12" s="50">
        <f>IFERROR(IF(INDEX('CIOG'!$M$10:$M$14,MATCH($F12,'CIOG'!$B$10:$B$14,0))="","Cell will autofill based on response",INDEX('CIOG'!$M$10:$M$14,MATCH($F12,'CIOG'!$B$10:$B$14,0))),"N/A")</f>
        <v/>
      </c>
      <c r="W12" s="50">
        <f>IFERROR(IF(INDEX('MRE'!$M$10:$M$18,MATCH($F12,'MRE'!$B$10:$B$18,0))="","Cell will autofill based on response",INDEX('MRE'!$M$10:$M$18,MATCH($F12,'MRE'!$B$10:$B$18,0))),"N/A")</f>
        <v/>
      </c>
      <c r="X12" s="50">
        <f>IFERROR(IF(INDEX('AC&amp;M'!$M$10:$M$14,MATCH($F12,'AC&amp;M'!$B$10:$B$14,0))="","Cell will autofill based on response",INDEX('AC&amp;M'!$M$10:$M$14,MATCH($F12,'AC&amp;M'!$B$10:$B$14,0))),"N/A")</f>
        <v/>
      </c>
      <c r="Y12" s="50">
        <f>IFERROR(IF(INDEX('GCE'!$M$10:$M$12,MATCH($F12,'GCE'!$B$10:$B$12,0))="","Cell will autofill based on response",INDEX('GCE'!$M$10:$M$12,MATCH($F12,'GCE'!$B$10:$B$12,0))),"N/A")</f>
        <v/>
      </c>
      <c r="Z12" s="50">
        <f>IFERROR(IF(INDEX('Education'!$M$10:$M$13,MATCH($F12,'Education'!$B$10:$B$13,0))="","Cell will autofill based on response",INDEX('Education'!$M$10:$M$13,MATCH($F12,'Education'!$B$10:$B$13,0))),"N/A")</f>
        <v/>
      </c>
      <c r="AA12" s="50">
        <f>IFERROR(IF(INDEX('SaSS'!$M$10:$M$12,MATCH($F12,'SaSS'!$B$10:$B$12,0))="","Cell will autofill based on response",INDEX('SaSS'!$M$10:$M$12,MATCH($F12,'SaSS'!$B$10:$B$12,0))),"N/A")</f>
        <v/>
      </c>
      <c r="AB12" s="50">
        <f>IFERROR(IF(INDEX('Indigenous'!$M$10:$M$11,MATCH($F12,'Indigenous'!$B$10:$B$11,0))="","Cell will autofill based on response",INDEX('Indigenous'!$M$10:$M$11,MATCH($F12,'Indigenous'!$B$10:$B$11,0))),"N/A")</f>
        <v/>
      </c>
      <c r="AC12" s="50">
        <f>IFERROR(IF(INDEX('L&amp;R'!$M$10:$M$11,MATCH($F12,'L&amp;R'!$B$10:$B$11,0))="","Cell will autofill based on response",INDEX('L&amp;R'!$M$10:$M$11,MATCH($F12,'L&amp;R'!$B$10:$B$11,0))),"N/A")</f>
        <v/>
      </c>
    </row>
    <row r="13" ht="22" customHeight="1">
      <c r="A13">
        <f>F13&amp;"|"&amp;G13</f>
        <v/>
      </c>
      <c r="B13" s="12" t="inlineStr"/>
      <c r="C13" s="7" t="inlineStr"/>
      <c r="D13" s="7" t="inlineStr"/>
      <c r="E13" s="7" t="inlineStr"/>
      <c r="F13" s="7" t="inlineStr">
        <is>
          <t>EE1(a)</t>
        </is>
      </c>
      <c r="G13" s="7" t="inlineStr">
        <is>
          <t>Supporting information/comments</t>
        </is>
      </c>
      <c r="H13" s="50">
        <f>IFERROR(IF(INDEX('Faculties'!$N$10:$N$18,MATCH($F13,'Faculties'!$B$10:$B$18,0))="","Cell will autofill based on response",INDEX('Faculties'!$N$10:$N$18,MATCH($F13,'Faculties'!$B$10:$B$18,0))),"N/A")</f>
        <v/>
      </c>
      <c r="I13" s="50">
        <f>IFERROR(IF(INDEX('Faculties'!$N$25:$N$34,MATCH($F13,'Faculties'!$B$25:$B$34,0))="","Cell will autofill based on response",INDEX('Faculties'!$N$25:$N$34,MATCH($F13,'Faculties'!$B$25:$B$34,0))),"N/A")</f>
        <v/>
      </c>
      <c r="J13" s="50">
        <f>IFERROR(IF(INDEX('Faculties'!$N$41:$N$50,MATCH($F13,'Faculties'!$B$41:$B$50,0))="","Cell will autofill based on response",INDEX('Faculties'!$N$41:$N$50,MATCH($F13,'Faculties'!$B$41:$B$50,0))),"N/A")</f>
        <v/>
      </c>
      <c r="K13" s="50">
        <f>IFERROR(IF(INDEX('Faculties'!$N$57:$N$66,MATCH($F13,'Faculties'!$B$57:$B$66,0))="","Cell will autofill based on response",INDEX('Faculties'!$N$57:$N$66,MATCH($F13,'Faculties'!$B$57:$B$66,0))),"N/A")</f>
        <v/>
      </c>
      <c r="L13" s="50">
        <f>IFERROR(IF(INDEX('Faculties'!$N$73:$N$82,MATCH($F13,'Faculties'!$B$73:$B$82,0))="","Cell will autofill based on response",INDEX('Faculties'!$N$73:$N$82,MATCH($F13,'Faculties'!$B$73:$B$82,0))),"N/A")</f>
        <v/>
      </c>
      <c r="M13" s="50">
        <f>IFERROR(IF(INDEX('Faculties'!$N$89:$N$98,MATCH($F13,'Faculties'!$B$89:$B$98,0))="","Cell will autofill based on response",INDEX('Faculties'!$N$89:$N$98,MATCH($F13,'Faculties'!$B$89:$B$98,0))),"N/A")</f>
        <v/>
      </c>
      <c r="N13" s="50">
        <f>IFERROR(IF(INDEX('Faculties'!$N$105:$N$114,MATCH($F13,'Faculties'!$B$105:$B$114,0))="","Cell will autofill based on response",INDEX('Faculties'!$N$105:$N$114,MATCH($F13,'Faculties'!$B$105:$B$114,0))),"N/A")</f>
        <v/>
      </c>
      <c r="O13" s="50">
        <f>IFERROR(IF(INDEX('Faculties'!$N$121:$N$130,MATCH($F13,'Faculties'!$B$121:$B$130,0))="","Cell will autofill based on response",INDEX('Faculties'!$N$121:$N$130,MATCH($F13,'Faculties'!$B$121:$B$130,0))),"N/A")</f>
        <v/>
      </c>
      <c r="P13" s="50">
        <f>IFERROR(IF(INDEX('Faculties'!$N$137:$N$146,MATCH($F13,'Faculties'!$B$137:$B$146,0))="","Cell will autofill based on response",INDEX('Faculties'!$N$137:$N$146,MATCH($F13,'Faculties'!$B$137:$B$146,0))),"N/A")</f>
        <v/>
      </c>
      <c r="Q13" s="50">
        <f>IFERROR(IF(INDEX('CI&amp;S'!$N$10:$N$15,MATCH($F13,'CI&amp;S'!$B$10:$B$15,0))="","Cell will autofill based on response",INDEX('CI&amp;S'!$N$10:$N$15,MATCH($F13,'CI&amp;S'!$B$10:$B$15,0))),"N/A")</f>
        <v/>
      </c>
      <c r="R13" s="50">
        <f>IFERROR(IF(INDEX('CI&amp;S'!$N$22:$N$36,MATCH($F13,'CI&amp;S'!$B$22:$B$36,0))="","Cell will autofill based on response",INDEX('CI&amp;S'!$N$22:$N$36,MATCH($F13,'CI&amp;S'!$B$22:$B$36,0))),"N/A")</f>
        <v/>
      </c>
      <c r="S13" s="50">
        <f>IFERROR(IF(INDEX('CFOG'!$N$10:$N$16,MATCH($F13,'CFOG'!$B$10:$B$16,0))="","Cell will autofill based on response",INDEX('CFOG'!$N$10:$N$16,MATCH($F13,'CFOG'!$B$10:$B$16,0))),"N/A")</f>
        <v/>
      </c>
      <c r="T13" s="50">
        <f>IFERROR(IF(INDEX('CFOG'!$N$23:$N$24,MATCH($F13,'CFOG'!$B$23:$B$24,0))="","Cell will autofill based on response",INDEX('CFOG'!$N$23:$N$24,MATCH($F13,'CFOG'!$B$23:$B$24,0))),"N/A")</f>
        <v/>
      </c>
      <c r="U13" s="50">
        <f>IFERROR(IF(INDEX('ESG'!$N$10:$N$17,MATCH($F13,'ESG'!$B$10:$B$17,0))="","Cell will autofill based on response",INDEX('ESG'!$N$10:$N$17,MATCH($F13,'ESG'!$B$10:$B$17,0))),"N/A")</f>
        <v/>
      </c>
      <c r="V13" s="50">
        <f>IFERROR(IF(INDEX('CIOG'!$N$10:$N$14,MATCH($F13,'CIOG'!$B$10:$B$14,0))="","Cell will autofill based on response",INDEX('CIOG'!$N$10:$N$14,MATCH($F13,'CIOG'!$B$10:$B$14,0))),"N/A")</f>
        <v/>
      </c>
      <c r="W13" s="50">
        <f>IFERROR(IF(INDEX('MRE'!$N$10:$N$18,MATCH($F13,'MRE'!$B$10:$B$18,0))="","Cell will autofill based on response",INDEX('MRE'!$N$10:$N$18,MATCH($F13,'MRE'!$B$10:$B$18,0))),"N/A")</f>
        <v/>
      </c>
      <c r="X13" s="50">
        <f>IFERROR(IF(INDEX('AC&amp;M'!$N$10:$N$14,MATCH($F13,'AC&amp;M'!$B$10:$B$14,0))="","Cell will autofill based on response",INDEX('AC&amp;M'!$N$10:$N$14,MATCH($F13,'AC&amp;M'!$B$10:$B$14,0))),"N/A")</f>
        <v/>
      </c>
      <c r="Y13" s="50">
        <f>IFERROR(IF(INDEX('GCE'!$N$10:$N$12,MATCH($F13,'GCE'!$B$10:$B$12,0))="","Cell will autofill based on response",INDEX('GCE'!$N$10:$N$12,MATCH($F13,'GCE'!$B$10:$B$12,0))),"N/A")</f>
        <v/>
      </c>
      <c r="Z13" s="50">
        <f>IFERROR(IF(INDEX('Education'!$N$10:$N$13,MATCH($F13,'Education'!$B$10:$B$13,0))="","Cell will autofill based on response",INDEX('Education'!$N$10:$N$13,MATCH($F13,'Education'!$B$10:$B$13,0))),"N/A")</f>
        <v/>
      </c>
      <c r="AA13" s="50">
        <f>IFERROR(IF(INDEX('SaSS'!$N$10:$N$12,MATCH($F13,'SaSS'!$B$10:$B$12,0))="","Cell will autofill based on response",INDEX('SaSS'!$N$10:$N$12,MATCH($F13,'SaSS'!$B$10:$B$12,0))),"N/A")</f>
        <v/>
      </c>
      <c r="AB13" s="50">
        <f>IFERROR(IF(INDEX('Indigenous'!$N$10:$N$11,MATCH($F13,'Indigenous'!$B$10:$B$11,0))="","Cell will autofill based on response",INDEX('Indigenous'!$N$10:$N$11,MATCH($F13,'Indigenous'!$B$10:$B$11,0))),"N/A")</f>
        <v/>
      </c>
      <c r="AC13" s="50">
        <f>IFERROR(IF(INDEX('L&amp;R'!$N$10:$N$11,MATCH($F13,'L&amp;R'!$B$10:$B$11,0))="","Cell will autofill based on response",INDEX('L&amp;R'!$N$10:$N$11,MATCH($F13,'L&amp;R'!$B$10:$B$11,0))),"N/A")</f>
        <v/>
      </c>
    </row>
    <row r="14" ht="22" customHeight="1">
      <c r="A14">
        <f>F14&amp;"|"&amp;G14</f>
        <v/>
      </c>
      <c r="B14" s="12" t="inlineStr"/>
      <c r="C14" s="7" t="inlineStr"/>
      <c r="D14" s="7" t="inlineStr"/>
      <c r="E14" s="7" t="inlineStr"/>
      <c r="F14" s="7" t="inlineStr">
        <is>
          <t>EE1(a)</t>
        </is>
      </c>
      <c r="G14" s="7" t="inlineStr">
        <is>
          <t>Data source and limitations</t>
        </is>
      </c>
      <c r="H14" s="50">
        <f>IFERROR(IF(INDEX('Faculties'!$O$10:$O$18,MATCH($F14,'Faculties'!$B$10:$B$18,0))="","Cell will autofill based on response",INDEX('Faculties'!$O$10:$O$18,MATCH($F14,'Faculties'!$B$10:$B$18,0))),"N/A")</f>
        <v/>
      </c>
      <c r="I14" s="50">
        <f>IFERROR(IF(INDEX('Faculties'!$O$25:$O$34,MATCH($F14,'Faculties'!$B$25:$B$34,0))="","Cell will autofill based on response",INDEX('Faculties'!$O$25:$O$34,MATCH($F14,'Faculties'!$B$25:$B$34,0))),"N/A")</f>
        <v/>
      </c>
      <c r="J14" s="50">
        <f>IFERROR(IF(INDEX('Faculties'!$O$41:$O$50,MATCH($F14,'Faculties'!$B$41:$B$50,0))="","Cell will autofill based on response",INDEX('Faculties'!$O$41:$O$50,MATCH($F14,'Faculties'!$B$41:$B$50,0))),"N/A")</f>
        <v/>
      </c>
      <c r="K14" s="50">
        <f>IFERROR(IF(INDEX('Faculties'!$O$57:$O$66,MATCH($F14,'Faculties'!$B$57:$B$66,0))="","Cell will autofill based on response",INDEX('Faculties'!$O$57:$O$66,MATCH($F14,'Faculties'!$B$57:$B$66,0))),"N/A")</f>
        <v/>
      </c>
      <c r="L14" s="50">
        <f>IFERROR(IF(INDEX('Faculties'!$O$73:$O$82,MATCH($F14,'Faculties'!$B$73:$B$82,0))="","Cell will autofill based on response",INDEX('Faculties'!$O$73:$O$82,MATCH($F14,'Faculties'!$B$73:$B$82,0))),"N/A")</f>
        <v/>
      </c>
      <c r="M14" s="50">
        <f>IFERROR(IF(INDEX('Faculties'!$O$89:$O$98,MATCH($F14,'Faculties'!$B$89:$B$98,0))="","Cell will autofill based on response",INDEX('Faculties'!$O$89:$O$98,MATCH($F14,'Faculties'!$B$89:$B$98,0))),"N/A")</f>
        <v/>
      </c>
      <c r="N14" s="50">
        <f>IFERROR(IF(INDEX('Faculties'!$O$105:$O$114,MATCH($F14,'Faculties'!$B$105:$B$114,0))="","Cell will autofill based on response",INDEX('Faculties'!$O$105:$O$114,MATCH($F14,'Faculties'!$B$105:$B$114,0))),"N/A")</f>
        <v/>
      </c>
      <c r="O14" s="50">
        <f>IFERROR(IF(INDEX('Faculties'!$O$121:$O$130,MATCH($F14,'Faculties'!$B$121:$B$130,0))="","Cell will autofill based on response",INDEX('Faculties'!$O$121:$O$130,MATCH($F14,'Faculties'!$B$121:$B$130,0))),"N/A")</f>
        <v/>
      </c>
      <c r="P14" s="50">
        <f>IFERROR(IF(INDEX('Faculties'!$O$137:$O$146,MATCH($F14,'Faculties'!$B$137:$B$146,0))="","Cell will autofill based on response",INDEX('Faculties'!$O$137:$O$146,MATCH($F14,'Faculties'!$B$137:$B$146,0))),"N/A")</f>
        <v/>
      </c>
      <c r="Q14" s="50">
        <f>IFERROR(IF(INDEX('CI&amp;S'!$O$10:$O$15,MATCH($F14,'CI&amp;S'!$B$10:$B$15,0))="","Cell will autofill based on response",INDEX('CI&amp;S'!$O$10:$O$15,MATCH($F14,'CI&amp;S'!$B$10:$B$15,0))),"N/A")</f>
        <v/>
      </c>
      <c r="R14" s="50">
        <f>IFERROR(IF(INDEX('CI&amp;S'!$O$22:$O$36,MATCH($F14,'CI&amp;S'!$B$22:$B$36,0))="","Cell will autofill based on response",INDEX('CI&amp;S'!$O$22:$O$36,MATCH($F14,'CI&amp;S'!$B$22:$B$36,0))),"N/A")</f>
        <v/>
      </c>
      <c r="S14" s="50">
        <f>IFERROR(IF(INDEX('CFOG'!$O$10:$O$16,MATCH($F14,'CFOG'!$B$10:$B$16,0))="","Cell will autofill based on response",INDEX('CFOG'!$O$10:$O$16,MATCH($F14,'CFOG'!$B$10:$B$16,0))),"N/A")</f>
        <v/>
      </c>
      <c r="T14" s="50">
        <f>IFERROR(IF(INDEX('CFOG'!$O$23:$O$24,MATCH($F14,'CFOG'!$B$23:$B$24,0))="","Cell will autofill based on response",INDEX('CFOG'!$O$23:$O$24,MATCH($F14,'CFOG'!$B$23:$B$24,0))),"N/A")</f>
        <v/>
      </c>
      <c r="U14" s="50">
        <f>IFERROR(IF(INDEX('ESG'!$O$10:$O$17,MATCH($F14,'ESG'!$B$10:$B$17,0))="","Cell will autofill based on response",INDEX('ESG'!$O$10:$O$17,MATCH($F14,'ESG'!$B$10:$B$17,0))),"N/A")</f>
        <v/>
      </c>
      <c r="V14" s="50">
        <f>IFERROR(IF(INDEX('CIOG'!$O$10:$O$14,MATCH($F14,'CIOG'!$B$10:$B$14,0))="","Cell will autofill based on response",INDEX('CIOG'!$O$10:$O$14,MATCH($F14,'CIOG'!$B$10:$B$14,0))),"N/A")</f>
        <v/>
      </c>
      <c r="W14" s="50">
        <f>IFERROR(IF(INDEX('MRE'!$O$10:$O$18,MATCH($F14,'MRE'!$B$10:$B$18,0))="","Cell will autofill based on response",INDEX('MRE'!$O$10:$O$18,MATCH($F14,'MRE'!$B$10:$B$18,0))),"N/A")</f>
        <v/>
      </c>
      <c r="X14" s="50">
        <f>IFERROR(IF(INDEX('AC&amp;M'!$O$10:$O$14,MATCH($F14,'AC&amp;M'!$B$10:$B$14,0))="","Cell will autofill based on response",INDEX('AC&amp;M'!$O$10:$O$14,MATCH($F14,'AC&amp;M'!$B$10:$B$14,0))),"N/A")</f>
        <v/>
      </c>
      <c r="Y14" s="50">
        <f>IFERROR(IF(INDEX('GCE'!$O$10:$O$12,MATCH($F14,'GCE'!$B$10:$B$12,0))="","Cell will autofill based on response",INDEX('GCE'!$O$10:$O$12,MATCH($F14,'GCE'!$B$10:$B$12,0))),"N/A")</f>
        <v/>
      </c>
      <c r="Z14" s="50">
        <f>IFERROR(IF(INDEX('Education'!$O$10:$O$13,MATCH($F14,'Education'!$B$10:$B$13,0))="","Cell will autofill based on response",INDEX('Education'!$O$10:$O$13,MATCH($F14,'Education'!$B$10:$B$13,0))),"N/A")</f>
        <v/>
      </c>
      <c r="AA14" s="50">
        <f>IFERROR(IF(INDEX('SaSS'!$O$10:$O$12,MATCH($F14,'SaSS'!$B$10:$B$12,0))="","Cell will autofill based on response",INDEX('SaSS'!$O$10:$O$12,MATCH($F14,'SaSS'!$B$10:$B$12,0))),"N/A")</f>
        <v/>
      </c>
      <c r="AB14" s="50">
        <f>IFERROR(IF(INDEX('Indigenous'!$O$10:$O$11,MATCH($F14,'Indigenous'!$B$10:$B$11,0))="","Cell will autofill based on response",INDEX('Indigenous'!$O$10:$O$11,MATCH($F14,'Indigenous'!$B$10:$B$11,0))),"N/A")</f>
        <v/>
      </c>
      <c r="AC14" s="50">
        <f>IFERROR(IF(INDEX('L&amp;R'!$O$10:$O$11,MATCH($F14,'L&amp;R'!$B$10:$B$11,0))="","Cell will autofill based on response",INDEX('L&amp;R'!$O$10:$O$11,MATCH($F14,'L&amp;R'!$B$10:$B$11,0))),"N/A")</f>
        <v/>
      </c>
    </row>
    <row r="15" ht="22" customHeight="1">
      <c r="A15">
        <f>F15&amp;"|"&amp;G15</f>
        <v/>
      </c>
      <c r="B15" s="12" t="inlineStr"/>
      <c r="C15" s="7" t="inlineStr"/>
      <c r="D15" s="7" t="inlineStr"/>
      <c r="E15" s="7" t="inlineStr"/>
      <c r="F15" s="7" t="inlineStr">
        <is>
          <t>EE1(a)</t>
        </is>
      </c>
      <c r="G15" s="7" t="inlineStr">
        <is>
          <t>Data owner confirms</t>
        </is>
      </c>
      <c r="H15" s="50">
        <f>IFERROR(IF(INDEX('Faculties'!$P$10:$P$18,MATCH($F15,'Faculties'!$B$10:$B$18,0))="","Cell will autofill based on response",INDEX('Faculties'!$P$10:$P$18,MATCH($F15,'Faculties'!$B$10:$B$18,0))),"N/A")</f>
        <v/>
      </c>
      <c r="I15" s="50">
        <f>IFERROR(IF(INDEX('Faculties'!$P$25:$P$34,MATCH($F15,'Faculties'!$B$25:$B$34,0))="","Cell will autofill based on response",INDEX('Faculties'!$P$25:$P$34,MATCH($F15,'Faculties'!$B$25:$B$34,0))),"N/A")</f>
        <v/>
      </c>
      <c r="J15" s="50">
        <f>IFERROR(IF(INDEX('Faculties'!$P$41:$P$50,MATCH($F15,'Faculties'!$B$41:$B$50,0))="","Cell will autofill based on response",INDEX('Faculties'!$P$41:$P$50,MATCH($F15,'Faculties'!$B$41:$B$50,0))),"N/A")</f>
        <v/>
      </c>
      <c r="K15" s="50">
        <f>IFERROR(IF(INDEX('Faculties'!$P$57:$P$66,MATCH($F15,'Faculties'!$B$57:$B$66,0))="","Cell will autofill based on response",INDEX('Faculties'!$P$57:$P$66,MATCH($F15,'Faculties'!$B$57:$B$66,0))),"N/A")</f>
        <v/>
      </c>
      <c r="L15" s="50">
        <f>IFERROR(IF(INDEX('Faculties'!$P$73:$P$82,MATCH($F15,'Faculties'!$B$73:$B$82,0))="","Cell will autofill based on response",INDEX('Faculties'!$P$73:$P$82,MATCH($F15,'Faculties'!$B$73:$B$82,0))),"N/A")</f>
        <v/>
      </c>
      <c r="M15" s="50">
        <f>IFERROR(IF(INDEX('Faculties'!$P$89:$P$98,MATCH($F15,'Faculties'!$B$89:$B$98,0))="","Cell will autofill based on response",INDEX('Faculties'!$P$89:$P$98,MATCH($F15,'Faculties'!$B$89:$B$98,0))),"N/A")</f>
        <v/>
      </c>
      <c r="N15" s="50">
        <f>IFERROR(IF(INDEX('Faculties'!$P$105:$P$114,MATCH($F15,'Faculties'!$B$105:$B$114,0))="","Cell will autofill based on response",INDEX('Faculties'!$P$105:$P$114,MATCH($F15,'Faculties'!$B$105:$B$114,0))),"N/A")</f>
        <v/>
      </c>
      <c r="O15" s="50">
        <f>IFERROR(IF(INDEX('Faculties'!$P$121:$P$130,MATCH($F15,'Faculties'!$B$121:$B$130,0))="","Cell will autofill based on response",INDEX('Faculties'!$P$121:$P$130,MATCH($F15,'Faculties'!$B$121:$B$130,0))),"N/A")</f>
        <v/>
      </c>
      <c r="P15" s="50">
        <f>IFERROR(IF(INDEX('Faculties'!$P$137:$P$146,MATCH($F15,'Faculties'!$B$137:$B$146,0))="","Cell will autofill based on response",INDEX('Faculties'!$P$137:$P$146,MATCH($F15,'Faculties'!$B$137:$B$146,0))),"N/A")</f>
        <v/>
      </c>
      <c r="Q15" s="50">
        <f>IFERROR(IF(INDEX('CI&amp;S'!$P$10:$P$15,MATCH($F15,'CI&amp;S'!$B$10:$B$15,0))="","Cell will autofill based on response",INDEX('CI&amp;S'!$P$10:$P$15,MATCH($F15,'CI&amp;S'!$B$10:$B$15,0))),"N/A")</f>
        <v/>
      </c>
      <c r="R15" s="50">
        <f>IFERROR(IF(INDEX('CI&amp;S'!$P$22:$P$36,MATCH($F15,'CI&amp;S'!$B$22:$B$36,0))="","Cell will autofill based on response",INDEX('CI&amp;S'!$P$22:$P$36,MATCH($F15,'CI&amp;S'!$B$22:$B$36,0))),"N/A")</f>
        <v/>
      </c>
      <c r="S15" s="50">
        <f>IFERROR(IF(INDEX('CFOG'!$P$10:$P$16,MATCH($F15,'CFOG'!$B$10:$B$16,0))="","Cell will autofill based on response",INDEX('CFOG'!$P$10:$P$16,MATCH($F15,'CFOG'!$B$10:$B$16,0))),"N/A")</f>
        <v/>
      </c>
      <c r="T15" s="50">
        <f>IFERROR(IF(INDEX('CFOG'!$P$23:$P$24,MATCH($F15,'CFOG'!$B$23:$B$24,0))="","Cell will autofill based on response",INDEX('CFOG'!$P$23:$P$24,MATCH($F15,'CFOG'!$B$23:$B$24,0))),"N/A")</f>
        <v/>
      </c>
      <c r="U15" s="50">
        <f>IFERROR(IF(INDEX('ESG'!$P$10:$P$17,MATCH($F15,'ESG'!$B$10:$B$17,0))="","Cell will autofill based on response",INDEX('ESG'!$P$10:$P$17,MATCH($F15,'ESG'!$B$10:$B$17,0))),"N/A")</f>
        <v/>
      </c>
      <c r="V15" s="50">
        <f>IFERROR(IF(INDEX('CIOG'!$P$10:$P$14,MATCH($F15,'CIOG'!$B$10:$B$14,0))="","Cell will autofill based on response",INDEX('CIOG'!$P$10:$P$14,MATCH($F15,'CIOG'!$B$10:$B$14,0))),"N/A")</f>
        <v/>
      </c>
      <c r="W15" s="50">
        <f>IFERROR(IF(INDEX('MRE'!$P$10:$P$18,MATCH($F15,'MRE'!$B$10:$B$18,0))="","Cell will autofill based on response",INDEX('MRE'!$P$10:$P$18,MATCH($F15,'MRE'!$B$10:$B$18,0))),"N/A")</f>
        <v/>
      </c>
      <c r="X15" s="50">
        <f>IFERROR(IF(INDEX('AC&amp;M'!$P$10:$P$14,MATCH($F15,'AC&amp;M'!$B$10:$B$14,0))="","Cell will autofill based on response",INDEX('AC&amp;M'!$P$10:$P$14,MATCH($F15,'AC&amp;M'!$B$10:$B$14,0))),"N/A")</f>
        <v/>
      </c>
      <c r="Y15" s="50">
        <f>IFERROR(IF(INDEX('GCE'!$P$10:$P$12,MATCH($F15,'GCE'!$B$10:$B$12,0))="","Cell will autofill based on response",INDEX('GCE'!$P$10:$P$12,MATCH($F15,'GCE'!$B$10:$B$12,0))),"N/A")</f>
        <v/>
      </c>
      <c r="Z15" s="50">
        <f>IFERROR(IF(INDEX('Education'!$P$10:$P$13,MATCH($F15,'Education'!$B$10:$B$13,0))="","Cell will autofill based on response",INDEX('Education'!$P$10:$P$13,MATCH($F15,'Education'!$B$10:$B$13,0))),"N/A")</f>
        <v/>
      </c>
      <c r="AA15" s="50">
        <f>IFERROR(IF(INDEX('SaSS'!$P$10:$P$12,MATCH($F15,'SaSS'!$B$10:$B$12,0))="","Cell will autofill based on response",INDEX('SaSS'!$P$10:$P$12,MATCH($F15,'SaSS'!$B$10:$B$12,0))),"N/A")</f>
        <v/>
      </c>
      <c r="AB15" s="50">
        <f>IFERROR(IF(INDEX('Indigenous'!$P$10:$P$11,MATCH($F15,'Indigenous'!$B$10:$B$11,0))="","Cell will autofill based on response",INDEX('Indigenous'!$P$10:$P$11,MATCH($F15,'Indigenous'!$B$10:$B$11,0))),"N/A")</f>
        <v/>
      </c>
      <c r="AC15" s="50">
        <f>IFERROR(IF(INDEX('L&amp;R'!$P$10:$P$11,MATCH($F15,'L&amp;R'!$B$10:$B$11,0))="","Cell will autofill based on response",INDEX('L&amp;R'!$P$10:$P$11,MATCH($F15,'L&amp;R'!$B$10:$B$11,0))),"N/A")</f>
        <v/>
      </c>
    </row>
    <row r="16" ht="122" customHeight="1">
      <c r="A16">
        <f>F16&amp;"|"&amp;G16</f>
        <v/>
      </c>
      <c r="B16" s="6" t="inlineStr">
        <is>
          <t>EE1(b)</t>
        </is>
      </c>
      <c r="C16" s="48" t="inlineStr">
        <is>
          <t>Exceptional education</t>
        </is>
      </c>
      <c r="D16" s="48" t="inlineStr">
        <is>
          <t>Pilots of possible approaches for understanding and developing students’ sustainability self-efficacy</t>
        </is>
      </c>
      <c r="E16" s="48"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F16" s="48" t="inlineStr">
        <is>
          <t>EE1(b)</t>
        </is>
      </c>
      <c r="G16" s="48" t="inlineStr">
        <is>
          <t>OPTION 1:  Target-level reporting</t>
        </is>
      </c>
      <c r="H16" s="50">
        <f>IFERROR(IF(INDEX('Faculties'!$L$10:$L$18,MATCH($F16,'Faculties'!$B$10:$B$18,0))="","Cell will autofill based on response",INDEX('Faculties'!$L$10:$L$18,MATCH($F16,'Faculties'!$B$10:$B$18,0))),"N/A")</f>
        <v/>
      </c>
      <c r="I16" s="50">
        <f>IFERROR(IF(INDEX('Faculties'!$L$25:$L$34,MATCH($F16,'Faculties'!$B$25:$B$34,0))="","Cell will autofill based on response",INDEX('Faculties'!$L$25:$L$34,MATCH($F16,'Faculties'!$B$25:$B$34,0))),"N/A")</f>
        <v/>
      </c>
      <c r="J16" s="50">
        <f>IFERROR(IF(INDEX('Faculties'!$L$41:$L$50,MATCH($F16,'Faculties'!$B$41:$B$50,0))="","Cell will autofill based on response",INDEX('Faculties'!$L$41:$L$50,MATCH($F16,'Faculties'!$B$41:$B$50,0))),"N/A")</f>
        <v/>
      </c>
      <c r="K16" s="50">
        <f>IFERROR(IF(INDEX('Faculties'!$L$57:$L$66,MATCH($F16,'Faculties'!$B$57:$B$66,0))="","Cell will autofill based on response",INDEX('Faculties'!$L$57:$L$66,MATCH($F16,'Faculties'!$B$57:$B$66,0))),"N/A")</f>
        <v/>
      </c>
      <c r="L16" s="50">
        <f>IFERROR(IF(INDEX('Faculties'!$L$73:$L$82,MATCH($F16,'Faculties'!$B$73:$B$82,0))="","Cell will autofill based on response",INDEX('Faculties'!$L$73:$L$82,MATCH($F16,'Faculties'!$B$73:$B$82,0))),"N/A")</f>
        <v/>
      </c>
      <c r="M16" s="50">
        <f>IFERROR(IF(INDEX('Faculties'!$L$89:$L$98,MATCH($F16,'Faculties'!$B$89:$B$98,0))="","Cell will autofill based on response",INDEX('Faculties'!$L$89:$L$98,MATCH($F16,'Faculties'!$B$89:$B$98,0))),"N/A")</f>
        <v/>
      </c>
      <c r="N16" s="50">
        <f>IFERROR(IF(INDEX('Faculties'!$L$105:$L$114,MATCH($F16,'Faculties'!$B$105:$B$114,0))="","Cell will autofill based on response",INDEX('Faculties'!$L$105:$L$114,MATCH($F16,'Faculties'!$B$105:$B$114,0))),"N/A")</f>
        <v/>
      </c>
      <c r="O16" s="50">
        <f>IFERROR(IF(INDEX('Faculties'!$L$121:$L$130,MATCH($F16,'Faculties'!$B$121:$B$130,0))="","Cell will autofill based on response",INDEX('Faculties'!$L$121:$L$130,MATCH($F16,'Faculties'!$B$121:$B$130,0))),"N/A")</f>
        <v/>
      </c>
      <c r="P16" s="50">
        <f>IFERROR(IF(INDEX('Faculties'!$L$137:$L$146,MATCH($F16,'Faculties'!$B$137:$B$146,0))="","Cell will autofill based on response",INDEX('Faculties'!$L$137:$L$146,MATCH($F16,'Faculties'!$B$137:$B$146,0))),"N/A")</f>
        <v/>
      </c>
      <c r="Q16" s="50">
        <f>IFERROR(IF(INDEX('CI&amp;S'!$L$10:$L$15,MATCH($F16,'CI&amp;S'!$B$10:$B$15,0))="","Cell will autofill based on response",INDEX('CI&amp;S'!$L$10:$L$15,MATCH($F16,'CI&amp;S'!$B$10:$B$15,0))),"N/A")</f>
        <v/>
      </c>
      <c r="R16" s="50">
        <f>IFERROR(IF(INDEX('CI&amp;S'!$L$22:$L$36,MATCH($F16,'CI&amp;S'!$B$22:$B$36,0))="","Cell will autofill based on response",INDEX('CI&amp;S'!$L$22:$L$36,MATCH($F16,'CI&amp;S'!$B$22:$B$36,0))),"N/A")</f>
        <v/>
      </c>
      <c r="S16" s="50">
        <f>IFERROR(IF(INDEX('CFOG'!$L$10:$L$16,MATCH($F16,'CFOG'!$B$10:$B$16,0))="","Cell will autofill based on response",INDEX('CFOG'!$L$10:$L$16,MATCH($F16,'CFOG'!$B$10:$B$16,0))),"N/A")</f>
        <v/>
      </c>
      <c r="T16" s="50">
        <f>IFERROR(IF(INDEX('CFOG'!$L$23:$L$24,MATCH($F16,'CFOG'!$B$23:$B$24,0))="","Cell will autofill based on response",INDEX('CFOG'!$L$23:$L$24,MATCH($F16,'CFOG'!$B$23:$B$24,0))),"N/A")</f>
        <v/>
      </c>
      <c r="U16" s="50">
        <f>IFERROR(IF(INDEX('ESG'!$L$10:$L$17,MATCH($F16,'ESG'!$B$10:$B$17,0))="","Cell will autofill based on response",INDEX('ESG'!$L$10:$L$17,MATCH($F16,'ESG'!$B$10:$B$17,0))),"N/A")</f>
        <v/>
      </c>
      <c r="V16" s="50">
        <f>IFERROR(IF(INDEX('CIOG'!$L$10:$L$14,MATCH($F16,'CIOG'!$B$10:$B$14,0))="","Cell will autofill based on response",INDEX('CIOG'!$L$10:$L$14,MATCH($F16,'CIOG'!$B$10:$B$14,0))),"N/A")</f>
        <v/>
      </c>
      <c r="W16" s="50">
        <f>IFERROR(IF(INDEX('MRE'!$L$10:$L$18,MATCH($F16,'MRE'!$B$10:$B$18,0))="","Cell will autofill based on response",INDEX('MRE'!$L$10:$L$18,MATCH($F16,'MRE'!$B$10:$B$18,0))),"N/A")</f>
        <v/>
      </c>
      <c r="X16" s="50">
        <f>IFERROR(IF(INDEX('AC&amp;M'!$L$10:$L$14,MATCH($F16,'AC&amp;M'!$B$10:$B$14,0))="","Cell will autofill based on response",INDEX('AC&amp;M'!$L$10:$L$14,MATCH($F16,'AC&amp;M'!$B$10:$B$14,0))),"N/A")</f>
        <v/>
      </c>
      <c r="Y16" s="50">
        <f>IFERROR(IF(INDEX('GCE'!$L$10:$L$12,MATCH($F16,'GCE'!$B$10:$B$12,0))="","Cell will autofill based on response",INDEX('GCE'!$L$10:$L$12,MATCH($F16,'GCE'!$B$10:$B$12,0))),"N/A")</f>
        <v/>
      </c>
      <c r="Z16" s="50">
        <f>IFERROR(IF(INDEX('Education'!$L$10:$L$13,MATCH($F16,'Education'!$B$10:$B$13,0))="","Cell will autofill based on response",INDEX('Education'!$L$10:$L$13,MATCH($F16,'Education'!$B$10:$B$13,0))),"N/A")</f>
        <v/>
      </c>
      <c r="AA16" s="50">
        <f>IFERROR(IF(INDEX('SaSS'!$L$10:$L$12,MATCH($F16,'SaSS'!$B$10:$B$12,0))="","Cell will autofill based on response",INDEX('SaSS'!$L$10:$L$12,MATCH($F16,'SaSS'!$B$10:$B$12,0))),"N/A")</f>
        <v/>
      </c>
      <c r="AB16" s="50">
        <f>IFERROR(IF(INDEX('Indigenous'!$L$10:$L$11,MATCH($F16,'Indigenous'!$B$10:$B$11,0))="","Cell will autofill based on response",INDEX('Indigenous'!$L$10:$L$11,MATCH($F16,'Indigenous'!$B$10:$B$11,0))),"N/A")</f>
        <v/>
      </c>
      <c r="AC16" s="50">
        <f>IFERROR(IF(INDEX('L&amp;R'!$L$10:$L$11,MATCH($F16,'L&amp;R'!$B$10:$B$11,0))="","Cell will autofill based on response",INDEX('L&amp;R'!$L$10:$L$11,MATCH($F16,'L&amp;R'!$B$10:$B$11,0))),"N/A")</f>
        <v/>
      </c>
      <c r="AE16" s="9">
        <f>SUMPRODUCT(--($H16:$AC16&lt;&gt;"N/A"))</f>
        <v/>
      </c>
      <c r="AF16" s="9">
        <f>SUMPRODUCT(--(((($H16:$AC16&lt;&gt;"N/A")*($H16:$AC16&lt;&gt;"Cell will autofill based on response"))+(($H17:$AC17&lt;&gt;"N/A")*($H17:$AC17&lt;&gt;"Cell will autofill based on response")))&gt;0))</f>
        <v/>
      </c>
      <c r="AG16" s="9">
        <f>AE16-AF16</f>
        <v/>
      </c>
      <c r="AH16" s="9">
        <f>COUNTIF($H20:$AC20,"Yes")</f>
        <v/>
      </c>
    </row>
    <row r="17" ht="39" customHeight="1">
      <c r="A17">
        <f>F17&amp;"|"&amp;G17</f>
        <v/>
      </c>
      <c r="B17" s="12" t="inlineStr"/>
      <c r="C17" s="7" t="inlineStr"/>
      <c r="D17" s="7" t="inlineStr"/>
      <c r="E17" s="7" t="inlineStr"/>
      <c r="F17" s="7" t="inlineStr">
        <is>
          <t>EE1(b)</t>
        </is>
      </c>
      <c r="G17" s="7" t="inlineStr">
        <is>
          <t>OPTION 2:  Indicator level reporting</t>
        </is>
      </c>
      <c r="H17" s="50">
        <f>IFERROR(IF(INDEX('Faculties'!$M$10:$M$18,MATCH($F17,'Faculties'!$B$10:$B$18,0))="","Cell will autofill based on response",INDEX('Faculties'!$M$10:$M$18,MATCH($F17,'Faculties'!$B$10:$B$18,0))),"N/A")</f>
        <v/>
      </c>
      <c r="I17" s="50">
        <f>IFERROR(IF(INDEX('Faculties'!$M$25:$M$34,MATCH($F17,'Faculties'!$B$25:$B$34,0))="","Cell will autofill based on response",INDEX('Faculties'!$M$25:$M$34,MATCH($F17,'Faculties'!$B$25:$B$34,0))),"N/A")</f>
        <v/>
      </c>
      <c r="J17" s="50">
        <f>IFERROR(IF(INDEX('Faculties'!$M$41:$M$50,MATCH($F17,'Faculties'!$B$41:$B$50,0))="","Cell will autofill based on response",INDEX('Faculties'!$M$41:$M$50,MATCH($F17,'Faculties'!$B$41:$B$50,0))),"N/A")</f>
        <v/>
      </c>
      <c r="K17" s="50">
        <f>IFERROR(IF(INDEX('Faculties'!$M$57:$M$66,MATCH($F17,'Faculties'!$B$57:$B$66,0))="","Cell will autofill based on response",INDEX('Faculties'!$M$57:$M$66,MATCH($F17,'Faculties'!$B$57:$B$66,0))),"N/A")</f>
        <v/>
      </c>
      <c r="L17" s="50">
        <f>IFERROR(IF(INDEX('Faculties'!$M$73:$M$82,MATCH($F17,'Faculties'!$B$73:$B$82,0))="","Cell will autofill based on response",INDEX('Faculties'!$M$73:$M$82,MATCH($F17,'Faculties'!$B$73:$B$82,0))),"N/A")</f>
        <v/>
      </c>
      <c r="M17" s="50">
        <f>IFERROR(IF(INDEX('Faculties'!$M$89:$M$98,MATCH($F17,'Faculties'!$B$89:$B$98,0))="","Cell will autofill based on response",INDEX('Faculties'!$M$89:$M$98,MATCH($F17,'Faculties'!$B$89:$B$98,0))),"N/A")</f>
        <v/>
      </c>
      <c r="N17" s="50">
        <f>IFERROR(IF(INDEX('Faculties'!$M$105:$M$114,MATCH($F17,'Faculties'!$B$105:$B$114,0))="","Cell will autofill based on response",INDEX('Faculties'!$M$105:$M$114,MATCH($F17,'Faculties'!$B$105:$B$114,0))),"N/A")</f>
        <v/>
      </c>
      <c r="O17" s="50">
        <f>IFERROR(IF(INDEX('Faculties'!$M$121:$M$130,MATCH($F17,'Faculties'!$B$121:$B$130,0))="","Cell will autofill based on response",INDEX('Faculties'!$M$121:$M$130,MATCH($F17,'Faculties'!$B$121:$B$130,0))),"N/A")</f>
        <v/>
      </c>
      <c r="P17" s="50">
        <f>IFERROR(IF(INDEX('Faculties'!$M$137:$M$146,MATCH($F17,'Faculties'!$B$137:$B$146,0))="","Cell will autofill based on response",INDEX('Faculties'!$M$137:$M$146,MATCH($F17,'Faculties'!$B$137:$B$146,0))),"N/A")</f>
        <v/>
      </c>
      <c r="Q17" s="50">
        <f>IFERROR(IF(INDEX('CI&amp;S'!$M$10:$M$15,MATCH($F17,'CI&amp;S'!$B$10:$B$15,0))="","Cell will autofill based on response",INDEX('CI&amp;S'!$M$10:$M$15,MATCH($F17,'CI&amp;S'!$B$10:$B$15,0))),"N/A")</f>
        <v/>
      </c>
      <c r="R17" s="50">
        <f>IFERROR(IF(INDEX('CI&amp;S'!$M$22:$M$36,MATCH($F17,'CI&amp;S'!$B$22:$B$36,0))="","Cell will autofill based on response",INDEX('CI&amp;S'!$M$22:$M$36,MATCH($F17,'CI&amp;S'!$B$22:$B$36,0))),"N/A")</f>
        <v/>
      </c>
      <c r="S17" s="50">
        <f>IFERROR(IF(INDEX('CFOG'!$M$10:$M$16,MATCH($F17,'CFOG'!$B$10:$B$16,0))="","Cell will autofill based on response",INDEX('CFOG'!$M$10:$M$16,MATCH($F17,'CFOG'!$B$10:$B$16,0))),"N/A")</f>
        <v/>
      </c>
      <c r="T17" s="50">
        <f>IFERROR(IF(INDEX('CFOG'!$M$23:$M$24,MATCH($F17,'CFOG'!$B$23:$B$24,0))="","Cell will autofill based on response",INDEX('CFOG'!$M$23:$M$24,MATCH($F17,'CFOG'!$B$23:$B$24,0))),"N/A")</f>
        <v/>
      </c>
      <c r="U17" s="50">
        <f>IFERROR(IF(INDEX('ESG'!$M$10:$M$17,MATCH($F17,'ESG'!$B$10:$B$17,0))="","Cell will autofill based on response",INDEX('ESG'!$M$10:$M$17,MATCH($F17,'ESG'!$B$10:$B$17,0))),"N/A")</f>
        <v/>
      </c>
      <c r="V17" s="50">
        <f>IFERROR(IF(INDEX('CIOG'!$M$10:$M$14,MATCH($F17,'CIOG'!$B$10:$B$14,0))="","Cell will autofill based on response",INDEX('CIOG'!$M$10:$M$14,MATCH($F17,'CIOG'!$B$10:$B$14,0))),"N/A")</f>
        <v/>
      </c>
      <c r="W17" s="50">
        <f>IFERROR(IF(INDEX('MRE'!$M$10:$M$18,MATCH($F17,'MRE'!$B$10:$B$18,0))="","Cell will autofill based on response",INDEX('MRE'!$M$10:$M$18,MATCH($F17,'MRE'!$B$10:$B$18,0))),"N/A")</f>
        <v/>
      </c>
      <c r="X17" s="50">
        <f>IFERROR(IF(INDEX('AC&amp;M'!$M$10:$M$14,MATCH($F17,'AC&amp;M'!$B$10:$B$14,0))="","Cell will autofill based on response",INDEX('AC&amp;M'!$M$10:$M$14,MATCH($F17,'AC&amp;M'!$B$10:$B$14,0))),"N/A")</f>
        <v/>
      </c>
      <c r="Y17" s="50">
        <f>IFERROR(IF(INDEX('GCE'!$M$10:$M$12,MATCH($F17,'GCE'!$B$10:$B$12,0))="","Cell will autofill based on response",INDEX('GCE'!$M$10:$M$12,MATCH($F17,'GCE'!$B$10:$B$12,0))),"N/A")</f>
        <v/>
      </c>
      <c r="Z17" s="50">
        <f>IFERROR(IF(INDEX('Education'!$M$10:$M$13,MATCH($F17,'Education'!$B$10:$B$13,0))="","Cell will autofill based on response",INDEX('Education'!$M$10:$M$13,MATCH($F17,'Education'!$B$10:$B$13,0))),"N/A")</f>
        <v/>
      </c>
      <c r="AA17" s="50">
        <f>IFERROR(IF(INDEX('SaSS'!$M$10:$M$12,MATCH($F17,'SaSS'!$B$10:$B$12,0))="","Cell will autofill based on response",INDEX('SaSS'!$M$10:$M$12,MATCH($F17,'SaSS'!$B$10:$B$12,0))),"N/A")</f>
        <v/>
      </c>
      <c r="AB17" s="50">
        <f>IFERROR(IF(INDEX('Indigenous'!$M$10:$M$11,MATCH($F17,'Indigenous'!$B$10:$B$11,0))="","Cell will autofill based on response",INDEX('Indigenous'!$M$10:$M$11,MATCH($F17,'Indigenous'!$B$10:$B$11,0))),"N/A")</f>
        <v/>
      </c>
      <c r="AC17" s="50">
        <f>IFERROR(IF(INDEX('L&amp;R'!$M$10:$M$11,MATCH($F17,'L&amp;R'!$B$10:$B$11,0))="","Cell will autofill based on response",INDEX('L&amp;R'!$M$10:$M$11,MATCH($F17,'L&amp;R'!$B$10:$B$11,0))),"N/A")</f>
        <v/>
      </c>
    </row>
    <row r="18" ht="22" customHeight="1">
      <c r="A18">
        <f>F18&amp;"|"&amp;G18</f>
        <v/>
      </c>
      <c r="B18" s="12" t="inlineStr"/>
      <c r="C18" s="7" t="inlineStr"/>
      <c r="D18" s="7" t="inlineStr"/>
      <c r="E18" s="7" t="inlineStr"/>
      <c r="F18" s="7" t="inlineStr">
        <is>
          <t>EE1(b)</t>
        </is>
      </c>
      <c r="G18" s="7" t="inlineStr">
        <is>
          <t>Supporting information/comments</t>
        </is>
      </c>
      <c r="H18" s="50">
        <f>IFERROR(IF(INDEX('Faculties'!$N$10:$N$18,MATCH($F18,'Faculties'!$B$10:$B$18,0))="","Cell will autofill based on response",INDEX('Faculties'!$N$10:$N$18,MATCH($F18,'Faculties'!$B$10:$B$18,0))),"N/A")</f>
        <v/>
      </c>
      <c r="I18" s="50">
        <f>IFERROR(IF(INDEX('Faculties'!$N$25:$N$34,MATCH($F18,'Faculties'!$B$25:$B$34,0))="","Cell will autofill based on response",INDEX('Faculties'!$N$25:$N$34,MATCH($F18,'Faculties'!$B$25:$B$34,0))),"N/A")</f>
        <v/>
      </c>
      <c r="J18" s="50">
        <f>IFERROR(IF(INDEX('Faculties'!$N$41:$N$50,MATCH($F18,'Faculties'!$B$41:$B$50,0))="","Cell will autofill based on response",INDEX('Faculties'!$N$41:$N$50,MATCH($F18,'Faculties'!$B$41:$B$50,0))),"N/A")</f>
        <v/>
      </c>
      <c r="K18" s="50">
        <f>IFERROR(IF(INDEX('Faculties'!$N$57:$N$66,MATCH($F18,'Faculties'!$B$57:$B$66,0))="","Cell will autofill based on response",INDEX('Faculties'!$N$57:$N$66,MATCH($F18,'Faculties'!$B$57:$B$66,0))),"N/A")</f>
        <v/>
      </c>
      <c r="L18" s="50">
        <f>IFERROR(IF(INDEX('Faculties'!$N$73:$N$82,MATCH($F18,'Faculties'!$B$73:$B$82,0))="","Cell will autofill based on response",INDEX('Faculties'!$N$73:$N$82,MATCH($F18,'Faculties'!$B$73:$B$82,0))),"N/A")</f>
        <v/>
      </c>
      <c r="M18" s="50">
        <f>IFERROR(IF(INDEX('Faculties'!$N$89:$N$98,MATCH($F18,'Faculties'!$B$89:$B$98,0))="","Cell will autofill based on response",INDEX('Faculties'!$N$89:$N$98,MATCH($F18,'Faculties'!$B$89:$B$98,0))),"N/A")</f>
        <v/>
      </c>
      <c r="N18" s="50">
        <f>IFERROR(IF(INDEX('Faculties'!$N$105:$N$114,MATCH($F18,'Faculties'!$B$105:$B$114,0))="","Cell will autofill based on response",INDEX('Faculties'!$N$105:$N$114,MATCH($F18,'Faculties'!$B$105:$B$114,0))),"N/A")</f>
        <v/>
      </c>
      <c r="O18" s="50">
        <f>IFERROR(IF(INDEX('Faculties'!$N$121:$N$130,MATCH($F18,'Faculties'!$B$121:$B$130,0))="","Cell will autofill based on response",INDEX('Faculties'!$N$121:$N$130,MATCH($F18,'Faculties'!$B$121:$B$130,0))),"N/A")</f>
        <v/>
      </c>
      <c r="P18" s="50">
        <f>IFERROR(IF(INDEX('Faculties'!$N$137:$N$146,MATCH($F18,'Faculties'!$B$137:$B$146,0))="","Cell will autofill based on response",INDEX('Faculties'!$N$137:$N$146,MATCH($F18,'Faculties'!$B$137:$B$146,0))),"N/A")</f>
        <v/>
      </c>
      <c r="Q18" s="50">
        <f>IFERROR(IF(INDEX('CI&amp;S'!$N$10:$N$15,MATCH($F18,'CI&amp;S'!$B$10:$B$15,0))="","Cell will autofill based on response",INDEX('CI&amp;S'!$N$10:$N$15,MATCH($F18,'CI&amp;S'!$B$10:$B$15,0))),"N/A")</f>
        <v/>
      </c>
      <c r="R18" s="50">
        <f>IFERROR(IF(INDEX('CI&amp;S'!$N$22:$N$36,MATCH($F18,'CI&amp;S'!$B$22:$B$36,0))="","Cell will autofill based on response",INDEX('CI&amp;S'!$N$22:$N$36,MATCH($F18,'CI&amp;S'!$B$22:$B$36,0))),"N/A")</f>
        <v/>
      </c>
      <c r="S18" s="50">
        <f>IFERROR(IF(INDEX('CFOG'!$N$10:$N$16,MATCH($F18,'CFOG'!$B$10:$B$16,0))="","Cell will autofill based on response",INDEX('CFOG'!$N$10:$N$16,MATCH($F18,'CFOG'!$B$10:$B$16,0))),"N/A")</f>
        <v/>
      </c>
      <c r="T18" s="50">
        <f>IFERROR(IF(INDEX('CFOG'!$N$23:$N$24,MATCH($F18,'CFOG'!$B$23:$B$24,0))="","Cell will autofill based on response",INDEX('CFOG'!$N$23:$N$24,MATCH($F18,'CFOG'!$B$23:$B$24,0))),"N/A")</f>
        <v/>
      </c>
      <c r="U18" s="50">
        <f>IFERROR(IF(INDEX('ESG'!$N$10:$N$17,MATCH($F18,'ESG'!$B$10:$B$17,0))="","Cell will autofill based on response",INDEX('ESG'!$N$10:$N$17,MATCH($F18,'ESG'!$B$10:$B$17,0))),"N/A")</f>
        <v/>
      </c>
      <c r="V18" s="50">
        <f>IFERROR(IF(INDEX('CIOG'!$N$10:$N$14,MATCH($F18,'CIOG'!$B$10:$B$14,0))="","Cell will autofill based on response",INDEX('CIOG'!$N$10:$N$14,MATCH($F18,'CIOG'!$B$10:$B$14,0))),"N/A")</f>
        <v/>
      </c>
      <c r="W18" s="50">
        <f>IFERROR(IF(INDEX('MRE'!$N$10:$N$18,MATCH($F18,'MRE'!$B$10:$B$18,0))="","Cell will autofill based on response",INDEX('MRE'!$N$10:$N$18,MATCH($F18,'MRE'!$B$10:$B$18,0))),"N/A")</f>
        <v/>
      </c>
      <c r="X18" s="50">
        <f>IFERROR(IF(INDEX('AC&amp;M'!$N$10:$N$14,MATCH($F18,'AC&amp;M'!$B$10:$B$14,0))="","Cell will autofill based on response",INDEX('AC&amp;M'!$N$10:$N$14,MATCH($F18,'AC&amp;M'!$B$10:$B$14,0))),"N/A")</f>
        <v/>
      </c>
      <c r="Y18" s="50">
        <f>IFERROR(IF(INDEX('GCE'!$N$10:$N$12,MATCH($F18,'GCE'!$B$10:$B$12,0))="","Cell will autofill based on response",INDEX('GCE'!$N$10:$N$12,MATCH($F18,'GCE'!$B$10:$B$12,0))),"N/A")</f>
        <v/>
      </c>
      <c r="Z18" s="50">
        <f>IFERROR(IF(INDEX('Education'!$N$10:$N$13,MATCH($F18,'Education'!$B$10:$B$13,0))="","Cell will autofill based on response",INDEX('Education'!$N$10:$N$13,MATCH($F18,'Education'!$B$10:$B$13,0))),"N/A")</f>
        <v/>
      </c>
      <c r="AA18" s="50">
        <f>IFERROR(IF(INDEX('SaSS'!$N$10:$N$12,MATCH($F18,'SaSS'!$B$10:$B$12,0))="","Cell will autofill based on response",INDEX('SaSS'!$N$10:$N$12,MATCH($F18,'SaSS'!$B$10:$B$12,0))),"N/A")</f>
        <v/>
      </c>
      <c r="AB18" s="50">
        <f>IFERROR(IF(INDEX('Indigenous'!$N$10:$N$11,MATCH($F18,'Indigenous'!$B$10:$B$11,0))="","Cell will autofill based on response",INDEX('Indigenous'!$N$10:$N$11,MATCH($F18,'Indigenous'!$B$10:$B$11,0))),"N/A")</f>
        <v/>
      </c>
      <c r="AC18" s="50">
        <f>IFERROR(IF(INDEX('L&amp;R'!$N$10:$N$11,MATCH($F18,'L&amp;R'!$B$10:$B$11,0))="","Cell will autofill based on response",INDEX('L&amp;R'!$N$10:$N$11,MATCH($F18,'L&amp;R'!$B$10:$B$11,0))),"N/A")</f>
        <v/>
      </c>
    </row>
    <row r="19" ht="22" customHeight="1">
      <c r="A19">
        <f>F19&amp;"|"&amp;G19</f>
        <v/>
      </c>
      <c r="B19" s="12" t="inlineStr"/>
      <c r="C19" s="7" t="inlineStr"/>
      <c r="D19" s="7" t="inlineStr"/>
      <c r="E19" s="7" t="inlineStr"/>
      <c r="F19" s="7" t="inlineStr">
        <is>
          <t>EE1(b)</t>
        </is>
      </c>
      <c r="G19" s="7" t="inlineStr">
        <is>
          <t>Data source and limitations</t>
        </is>
      </c>
      <c r="H19" s="50">
        <f>IFERROR(IF(INDEX('Faculties'!$O$10:$O$18,MATCH($F19,'Faculties'!$B$10:$B$18,0))="","Cell will autofill based on response",INDEX('Faculties'!$O$10:$O$18,MATCH($F19,'Faculties'!$B$10:$B$18,0))),"N/A")</f>
        <v/>
      </c>
      <c r="I19" s="50">
        <f>IFERROR(IF(INDEX('Faculties'!$O$25:$O$34,MATCH($F19,'Faculties'!$B$25:$B$34,0))="","Cell will autofill based on response",INDEX('Faculties'!$O$25:$O$34,MATCH($F19,'Faculties'!$B$25:$B$34,0))),"N/A")</f>
        <v/>
      </c>
      <c r="J19" s="50">
        <f>IFERROR(IF(INDEX('Faculties'!$O$41:$O$50,MATCH($F19,'Faculties'!$B$41:$B$50,0))="","Cell will autofill based on response",INDEX('Faculties'!$O$41:$O$50,MATCH($F19,'Faculties'!$B$41:$B$50,0))),"N/A")</f>
        <v/>
      </c>
      <c r="K19" s="50">
        <f>IFERROR(IF(INDEX('Faculties'!$O$57:$O$66,MATCH($F19,'Faculties'!$B$57:$B$66,0))="","Cell will autofill based on response",INDEX('Faculties'!$O$57:$O$66,MATCH($F19,'Faculties'!$B$57:$B$66,0))),"N/A")</f>
        <v/>
      </c>
      <c r="L19" s="50">
        <f>IFERROR(IF(INDEX('Faculties'!$O$73:$O$82,MATCH($F19,'Faculties'!$B$73:$B$82,0))="","Cell will autofill based on response",INDEX('Faculties'!$O$73:$O$82,MATCH($F19,'Faculties'!$B$73:$B$82,0))),"N/A")</f>
        <v/>
      </c>
      <c r="M19" s="50">
        <f>IFERROR(IF(INDEX('Faculties'!$O$89:$O$98,MATCH($F19,'Faculties'!$B$89:$B$98,0))="","Cell will autofill based on response",INDEX('Faculties'!$O$89:$O$98,MATCH($F19,'Faculties'!$B$89:$B$98,0))),"N/A")</f>
        <v/>
      </c>
      <c r="N19" s="50">
        <f>IFERROR(IF(INDEX('Faculties'!$O$105:$O$114,MATCH($F19,'Faculties'!$B$105:$B$114,0))="","Cell will autofill based on response",INDEX('Faculties'!$O$105:$O$114,MATCH($F19,'Faculties'!$B$105:$B$114,0))),"N/A")</f>
        <v/>
      </c>
      <c r="O19" s="50">
        <f>IFERROR(IF(INDEX('Faculties'!$O$121:$O$130,MATCH($F19,'Faculties'!$B$121:$B$130,0))="","Cell will autofill based on response",INDEX('Faculties'!$O$121:$O$130,MATCH($F19,'Faculties'!$B$121:$B$130,0))),"N/A")</f>
        <v/>
      </c>
      <c r="P19" s="50">
        <f>IFERROR(IF(INDEX('Faculties'!$O$137:$O$146,MATCH($F19,'Faculties'!$B$137:$B$146,0))="","Cell will autofill based on response",INDEX('Faculties'!$O$137:$O$146,MATCH($F19,'Faculties'!$B$137:$B$146,0))),"N/A")</f>
        <v/>
      </c>
      <c r="Q19" s="50">
        <f>IFERROR(IF(INDEX('CI&amp;S'!$O$10:$O$15,MATCH($F19,'CI&amp;S'!$B$10:$B$15,0))="","Cell will autofill based on response",INDEX('CI&amp;S'!$O$10:$O$15,MATCH($F19,'CI&amp;S'!$B$10:$B$15,0))),"N/A")</f>
        <v/>
      </c>
      <c r="R19" s="50">
        <f>IFERROR(IF(INDEX('CI&amp;S'!$O$22:$O$36,MATCH($F19,'CI&amp;S'!$B$22:$B$36,0))="","Cell will autofill based on response",INDEX('CI&amp;S'!$O$22:$O$36,MATCH($F19,'CI&amp;S'!$B$22:$B$36,0))),"N/A")</f>
        <v/>
      </c>
      <c r="S19" s="50">
        <f>IFERROR(IF(INDEX('CFOG'!$O$10:$O$16,MATCH($F19,'CFOG'!$B$10:$B$16,0))="","Cell will autofill based on response",INDEX('CFOG'!$O$10:$O$16,MATCH($F19,'CFOG'!$B$10:$B$16,0))),"N/A")</f>
        <v/>
      </c>
      <c r="T19" s="50">
        <f>IFERROR(IF(INDEX('CFOG'!$O$23:$O$24,MATCH($F19,'CFOG'!$B$23:$B$24,0))="","Cell will autofill based on response",INDEX('CFOG'!$O$23:$O$24,MATCH($F19,'CFOG'!$B$23:$B$24,0))),"N/A")</f>
        <v/>
      </c>
      <c r="U19" s="50">
        <f>IFERROR(IF(INDEX('ESG'!$O$10:$O$17,MATCH($F19,'ESG'!$B$10:$B$17,0))="","Cell will autofill based on response",INDEX('ESG'!$O$10:$O$17,MATCH($F19,'ESG'!$B$10:$B$17,0))),"N/A")</f>
        <v/>
      </c>
      <c r="V19" s="50">
        <f>IFERROR(IF(INDEX('CIOG'!$O$10:$O$14,MATCH($F19,'CIOG'!$B$10:$B$14,0))="","Cell will autofill based on response",INDEX('CIOG'!$O$10:$O$14,MATCH($F19,'CIOG'!$B$10:$B$14,0))),"N/A")</f>
        <v/>
      </c>
      <c r="W19" s="50">
        <f>IFERROR(IF(INDEX('MRE'!$O$10:$O$18,MATCH($F19,'MRE'!$B$10:$B$18,0))="","Cell will autofill based on response",INDEX('MRE'!$O$10:$O$18,MATCH($F19,'MRE'!$B$10:$B$18,0))),"N/A")</f>
        <v/>
      </c>
      <c r="X19" s="50">
        <f>IFERROR(IF(INDEX('AC&amp;M'!$O$10:$O$14,MATCH($F19,'AC&amp;M'!$B$10:$B$14,0))="","Cell will autofill based on response",INDEX('AC&amp;M'!$O$10:$O$14,MATCH($F19,'AC&amp;M'!$B$10:$B$14,0))),"N/A")</f>
        <v/>
      </c>
      <c r="Y19" s="50">
        <f>IFERROR(IF(INDEX('GCE'!$O$10:$O$12,MATCH($F19,'GCE'!$B$10:$B$12,0))="","Cell will autofill based on response",INDEX('GCE'!$O$10:$O$12,MATCH($F19,'GCE'!$B$10:$B$12,0))),"N/A")</f>
        <v/>
      </c>
      <c r="Z19" s="50">
        <f>IFERROR(IF(INDEX('Education'!$O$10:$O$13,MATCH($F19,'Education'!$B$10:$B$13,0))="","Cell will autofill based on response",INDEX('Education'!$O$10:$O$13,MATCH($F19,'Education'!$B$10:$B$13,0))),"N/A")</f>
        <v/>
      </c>
      <c r="AA19" s="50">
        <f>IFERROR(IF(INDEX('SaSS'!$O$10:$O$12,MATCH($F19,'SaSS'!$B$10:$B$12,0))="","Cell will autofill based on response",INDEX('SaSS'!$O$10:$O$12,MATCH($F19,'SaSS'!$B$10:$B$12,0))),"N/A")</f>
        <v/>
      </c>
      <c r="AB19" s="50">
        <f>IFERROR(IF(INDEX('Indigenous'!$O$10:$O$11,MATCH($F19,'Indigenous'!$B$10:$B$11,0))="","Cell will autofill based on response",INDEX('Indigenous'!$O$10:$O$11,MATCH($F19,'Indigenous'!$B$10:$B$11,0))),"N/A")</f>
        <v/>
      </c>
      <c r="AC19" s="50">
        <f>IFERROR(IF(INDEX('L&amp;R'!$O$10:$O$11,MATCH($F19,'L&amp;R'!$B$10:$B$11,0))="","Cell will autofill based on response",INDEX('L&amp;R'!$O$10:$O$11,MATCH($F19,'L&amp;R'!$B$10:$B$11,0))),"N/A")</f>
        <v/>
      </c>
    </row>
    <row r="20" ht="22" customHeight="1">
      <c r="A20">
        <f>F20&amp;"|"&amp;G20</f>
        <v/>
      </c>
      <c r="B20" s="12" t="inlineStr"/>
      <c r="C20" s="7" t="inlineStr"/>
      <c r="D20" s="7" t="inlineStr"/>
      <c r="E20" s="7" t="inlineStr"/>
      <c r="F20" s="7" t="inlineStr">
        <is>
          <t>EE1(b)</t>
        </is>
      </c>
      <c r="G20" s="7" t="inlineStr">
        <is>
          <t>Data owner confirms</t>
        </is>
      </c>
      <c r="H20" s="50">
        <f>IFERROR(IF(INDEX('Faculties'!$P$10:$P$18,MATCH($F20,'Faculties'!$B$10:$B$18,0))="","Cell will autofill based on response",INDEX('Faculties'!$P$10:$P$18,MATCH($F20,'Faculties'!$B$10:$B$18,0))),"N/A")</f>
        <v/>
      </c>
      <c r="I20" s="50">
        <f>IFERROR(IF(INDEX('Faculties'!$P$25:$P$34,MATCH($F20,'Faculties'!$B$25:$B$34,0))="","Cell will autofill based on response",INDEX('Faculties'!$P$25:$P$34,MATCH($F20,'Faculties'!$B$25:$B$34,0))),"N/A")</f>
        <v/>
      </c>
      <c r="J20" s="50">
        <f>IFERROR(IF(INDEX('Faculties'!$P$41:$P$50,MATCH($F20,'Faculties'!$B$41:$B$50,0))="","Cell will autofill based on response",INDEX('Faculties'!$P$41:$P$50,MATCH($F20,'Faculties'!$B$41:$B$50,0))),"N/A")</f>
        <v/>
      </c>
      <c r="K20" s="50">
        <f>IFERROR(IF(INDEX('Faculties'!$P$57:$P$66,MATCH($F20,'Faculties'!$B$57:$B$66,0))="","Cell will autofill based on response",INDEX('Faculties'!$P$57:$P$66,MATCH($F20,'Faculties'!$B$57:$B$66,0))),"N/A")</f>
        <v/>
      </c>
      <c r="L20" s="50">
        <f>IFERROR(IF(INDEX('Faculties'!$P$73:$P$82,MATCH($F20,'Faculties'!$B$73:$B$82,0))="","Cell will autofill based on response",INDEX('Faculties'!$P$73:$P$82,MATCH($F20,'Faculties'!$B$73:$B$82,0))),"N/A")</f>
        <v/>
      </c>
      <c r="M20" s="50">
        <f>IFERROR(IF(INDEX('Faculties'!$P$89:$P$98,MATCH($F20,'Faculties'!$B$89:$B$98,0))="","Cell will autofill based on response",INDEX('Faculties'!$P$89:$P$98,MATCH($F20,'Faculties'!$B$89:$B$98,0))),"N/A")</f>
        <v/>
      </c>
      <c r="N20" s="50">
        <f>IFERROR(IF(INDEX('Faculties'!$P$105:$P$114,MATCH($F20,'Faculties'!$B$105:$B$114,0))="","Cell will autofill based on response",INDEX('Faculties'!$P$105:$P$114,MATCH($F20,'Faculties'!$B$105:$B$114,0))),"N/A")</f>
        <v/>
      </c>
      <c r="O20" s="50">
        <f>IFERROR(IF(INDEX('Faculties'!$P$121:$P$130,MATCH($F20,'Faculties'!$B$121:$B$130,0))="","Cell will autofill based on response",INDEX('Faculties'!$P$121:$P$130,MATCH($F20,'Faculties'!$B$121:$B$130,0))),"N/A")</f>
        <v/>
      </c>
      <c r="P20" s="50">
        <f>IFERROR(IF(INDEX('Faculties'!$P$137:$P$146,MATCH($F20,'Faculties'!$B$137:$B$146,0))="","Cell will autofill based on response",INDEX('Faculties'!$P$137:$P$146,MATCH($F20,'Faculties'!$B$137:$B$146,0))),"N/A")</f>
        <v/>
      </c>
      <c r="Q20" s="50">
        <f>IFERROR(IF(INDEX('CI&amp;S'!$P$10:$P$15,MATCH($F20,'CI&amp;S'!$B$10:$B$15,0))="","Cell will autofill based on response",INDEX('CI&amp;S'!$P$10:$P$15,MATCH($F20,'CI&amp;S'!$B$10:$B$15,0))),"N/A")</f>
        <v/>
      </c>
      <c r="R20" s="50">
        <f>IFERROR(IF(INDEX('CI&amp;S'!$P$22:$P$36,MATCH($F20,'CI&amp;S'!$B$22:$B$36,0))="","Cell will autofill based on response",INDEX('CI&amp;S'!$P$22:$P$36,MATCH($F20,'CI&amp;S'!$B$22:$B$36,0))),"N/A")</f>
        <v/>
      </c>
      <c r="S20" s="50">
        <f>IFERROR(IF(INDEX('CFOG'!$P$10:$P$16,MATCH($F20,'CFOG'!$B$10:$B$16,0))="","Cell will autofill based on response",INDEX('CFOG'!$P$10:$P$16,MATCH($F20,'CFOG'!$B$10:$B$16,0))),"N/A")</f>
        <v/>
      </c>
      <c r="T20" s="50">
        <f>IFERROR(IF(INDEX('CFOG'!$P$23:$P$24,MATCH($F20,'CFOG'!$B$23:$B$24,0))="","Cell will autofill based on response",INDEX('CFOG'!$P$23:$P$24,MATCH($F20,'CFOG'!$B$23:$B$24,0))),"N/A")</f>
        <v/>
      </c>
      <c r="U20" s="50">
        <f>IFERROR(IF(INDEX('ESG'!$P$10:$P$17,MATCH($F20,'ESG'!$B$10:$B$17,0))="","Cell will autofill based on response",INDEX('ESG'!$P$10:$P$17,MATCH($F20,'ESG'!$B$10:$B$17,0))),"N/A")</f>
        <v/>
      </c>
      <c r="V20" s="50">
        <f>IFERROR(IF(INDEX('CIOG'!$P$10:$P$14,MATCH($F20,'CIOG'!$B$10:$B$14,0))="","Cell will autofill based on response",INDEX('CIOG'!$P$10:$P$14,MATCH($F20,'CIOG'!$B$10:$B$14,0))),"N/A")</f>
        <v/>
      </c>
      <c r="W20" s="50">
        <f>IFERROR(IF(INDEX('MRE'!$P$10:$P$18,MATCH($F20,'MRE'!$B$10:$B$18,0))="","Cell will autofill based on response",INDEX('MRE'!$P$10:$P$18,MATCH($F20,'MRE'!$B$10:$B$18,0))),"N/A")</f>
        <v/>
      </c>
      <c r="X20" s="50">
        <f>IFERROR(IF(INDEX('AC&amp;M'!$P$10:$P$14,MATCH($F20,'AC&amp;M'!$B$10:$B$14,0))="","Cell will autofill based on response",INDEX('AC&amp;M'!$P$10:$P$14,MATCH($F20,'AC&amp;M'!$B$10:$B$14,0))),"N/A")</f>
        <v/>
      </c>
      <c r="Y20" s="50">
        <f>IFERROR(IF(INDEX('GCE'!$P$10:$P$12,MATCH($F20,'GCE'!$B$10:$B$12,0))="","Cell will autofill based on response",INDEX('GCE'!$P$10:$P$12,MATCH($F20,'GCE'!$B$10:$B$12,0))),"N/A")</f>
        <v/>
      </c>
      <c r="Z20" s="50">
        <f>IFERROR(IF(INDEX('Education'!$P$10:$P$13,MATCH($F20,'Education'!$B$10:$B$13,0))="","Cell will autofill based on response",INDEX('Education'!$P$10:$P$13,MATCH($F20,'Education'!$B$10:$B$13,0))),"N/A")</f>
        <v/>
      </c>
      <c r="AA20" s="50">
        <f>IFERROR(IF(INDEX('SaSS'!$P$10:$P$12,MATCH($F20,'SaSS'!$B$10:$B$12,0))="","Cell will autofill based on response",INDEX('SaSS'!$P$10:$P$12,MATCH($F20,'SaSS'!$B$10:$B$12,0))),"N/A")</f>
        <v/>
      </c>
      <c r="AB20" s="50">
        <f>IFERROR(IF(INDEX('Indigenous'!$P$10:$P$11,MATCH($F20,'Indigenous'!$B$10:$B$11,0))="","Cell will autofill based on response",INDEX('Indigenous'!$P$10:$P$11,MATCH($F20,'Indigenous'!$B$10:$B$11,0))),"N/A")</f>
        <v/>
      </c>
      <c r="AC20" s="50">
        <f>IFERROR(IF(INDEX('L&amp;R'!$P$10:$P$11,MATCH($F20,'L&amp;R'!$B$10:$B$11,0))="","Cell will autofill based on response",INDEX('L&amp;R'!$P$10:$P$11,MATCH($F20,'L&amp;R'!$B$10:$B$11,0))),"N/A")</f>
        <v/>
      </c>
    </row>
    <row r="21" ht="138" customHeight="1">
      <c r="A21">
        <f>F21&amp;"|"&amp;G21</f>
        <v/>
      </c>
      <c r="B21" s="6" t="inlineStr">
        <is>
          <t>EE1(c)</t>
        </is>
      </c>
      <c r="C21" s="48" t="inlineStr">
        <is>
          <t>Exceptional education</t>
        </is>
      </c>
      <c r="D21" s="48" t="inlineStr">
        <is>
          <t>Evidence of sustainability focused experiential and co curricular learning (eg Wattle Fellowship; Melbourne Plus)</t>
        </is>
      </c>
      <c r="E21" s="48"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F21" s="48" t="inlineStr">
        <is>
          <t>EE1(c)</t>
        </is>
      </c>
      <c r="G21" s="48" t="inlineStr">
        <is>
          <t>OPTION 1:  Target-level reporting</t>
        </is>
      </c>
      <c r="H21" s="50">
        <f>IFERROR(IF(INDEX('Faculties'!$L$10:$L$18,MATCH($F21,'Faculties'!$B$10:$B$18,0))="","Cell will autofill based on response",INDEX('Faculties'!$L$10:$L$18,MATCH($F21,'Faculties'!$B$10:$B$18,0))),"N/A")</f>
        <v/>
      </c>
      <c r="I21" s="50">
        <f>IFERROR(IF(INDEX('Faculties'!$L$25:$L$34,MATCH($F21,'Faculties'!$B$25:$B$34,0))="","Cell will autofill based on response",INDEX('Faculties'!$L$25:$L$34,MATCH($F21,'Faculties'!$B$25:$B$34,0))),"N/A")</f>
        <v/>
      </c>
      <c r="J21" s="50">
        <f>IFERROR(IF(INDEX('Faculties'!$L$41:$L$50,MATCH($F21,'Faculties'!$B$41:$B$50,0))="","Cell will autofill based on response",INDEX('Faculties'!$L$41:$L$50,MATCH($F21,'Faculties'!$B$41:$B$50,0))),"N/A")</f>
        <v/>
      </c>
      <c r="K21" s="50">
        <f>IFERROR(IF(INDEX('Faculties'!$L$57:$L$66,MATCH($F21,'Faculties'!$B$57:$B$66,0))="","Cell will autofill based on response",INDEX('Faculties'!$L$57:$L$66,MATCH($F21,'Faculties'!$B$57:$B$66,0))),"N/A")</f>
        <v/>
      </c>
      <c r="L21" s="50">
        <f>IFERROR(IF(INDEX('Faculties'!$L$73:$L$82,MATCH($F21,'Faculties'!$B$73:$B$82,0))="","Cell will autofill based on response",INDEX('Faculties'!$L$73:$L$82,MATCH($F21,'Faculties'!$B$73:$B$82,0))),"N/A")</f>
        <v/>
      </c>
      <c r="M21" s="50">
        <f>IFERROR(IF(INDEX('Faculties'!$L$89:$L$98,MATCH($F21,'Faculties'!$B$89:$B$98,0))="","Cell will autofill based on response",INDEX('Faculties'!$L$89:$L$98,MATCH($F21,'Faculties'!$B$89:$B$98,0))),"N/A")</f>
        <v/>
      </c>
      <c r="N21" s="50">
        <f>IFERROR(IF(INDEX('Faculties'!$L$105:$L$114,MATCH($F21,'Faculties'!$B$105:$B$114,0))="","Cell will autofill based on response",INDEX('Faculties'!$L$105:$L$114,MATCH($F21,'Faculties'!$B$105:$B$114,0))),"N/A")</f>
        <v/>
      </c>
      <c r="O21" s="50">
        <f>IFERROR(IF(INDEX('Faculties'!$L$121:$L$130,MATCH($F21,'Faculties'!$B$121:$B$130,0))="","Cell will autofill based on response",INDEX('Faculties'!$L$121:$L$130,MATCH($F21,'Faculties'!$B$121:$B$130,0))),"N/A")</f>
        <v/>
      </c>
      <c r="P21" s="50">
        <f>IFERROR(IF(INDEX('Faculties'!$L$137:$L$146,MATCH($F21,'Faculties'!$B$137:$B$146,0))="","Cell will autofill based on response",INDEX('Faculties'!$L$137:$L$146,MATCH($F21,'Faculties'!$B$137:$B$146,0))),"N/A")</f>
        <v/>
      </c>
      <c r="Q21" s="50">
        <f>IFERROR(IF(INDEX('CI&amp;S'!$L$10:$L$15,MATCH($F21,'CI&amp;S'!$B$10:$B$15,0))="","Cell will autofill based on response",INDEX('CI&amp;S'!$L$10:$L$15,MATCH($F21,'CI&amp;S'!$B$10:$B$15,0))),"N/A")</f>
        <v/>
      </c>
      <c r="R21" s="50">
        <f>IFERROR(IF(INDEX('CI&amp;S'!$L$22:$L$36,MATCH($F21,'CI&amp;S'!$B$22:$B$36,0))="","Cell will autofill based on response",INDEX('CI&amp;S'!$L$22:$L$36,MATCH($F21,'CI&amp;S'!$B$22:$B$36,0))),"N/A")</f>
        <v/>
      </c>
      <c r="S21" s="50">
        <f>IFERROR(IF(INDEX('CFOG'!$L$10:$L$16,MATCH($F21,'CFOG'!$B$10:$B$16,0))="","Cell will autofill based on response",INDEX('CFOG'!$L$10:$L$16,MATCH($F21,'CFOG'!$B$10:$B$16,0))),"N/A")</f>
        <v/>
      </c>
      <c r="T21" s="50">
        <f>IFERROR(IF(INDEX('CFOG'!$L$23:$L$24,MATCH($F21,'CFOG'!$B$23:$B$24,0))="","Cell will autofill based on response",INDEX('CFOG'!$L$23:$L$24,MATCH($F21,'CFOG'!$B$23:$B$24,0))),"N/A")</f>
        <v/>
      </c>
      <c r="U21" s="50">
        <f>IFERROR(IF(INDEX('ESG'!$L$10:$L$17,MATCH($F21,'ESG'!$B$10:$B$17,0))="","Cell will autofill based on response",INDEX('ESG'!$L$10:$L$17,MATCH($F21,'ESG'!$B$10:$B$17,0))),"N/A")</f>
        <v/>
      </c>
      <c r="V21" s="50">
        <f>IFERROR(IF(INDEX('CIOG'!$L$10:$L$14,MATCH($F21,'CIOG'!$B$10:$B$14,0))="","Cell will autofill based on response",INDEX('CIOG'!$L$10:$L$14,MATCH($F21,'CIOG'!$B$10:$B$14,0))),"N/A")</f>
        <v/>
      </c>
      <c r="W21" s="50">
        <f>IFERROR(IF(INDEX('MRE'!$L$10:$L$18,MATCH($F21,'MRE'!$B$10:$B$18,0))="","Cell will autofill based on response",INDEX('MRE'!$L$10:$L$18,MATCH($F21,'MRE'!$B$10:$B$18,0))),"N/A")</f>
        <v/>
      </c>
      <c r="X21" s="50">
        <f>IFERROR(IF(INDEX('AC&amp;M'!$L$10:$L$14,MATCH($F21,'AC&amp;M'!$B$10:$B$14,0))="","Cell will autofill based on response",INDEX('AC&amp;M'!$L$10:$L$14,MATCH($F21,'AC&amp;M'!$B$10:$B$14,0))),"N/A")</f>
        <v/>
      </c>
      <c r="Y21" s="50">
        <f>IFERROR(IF(INDEX('GCE'!$L$10:$L$12,MATCH($F21,'GCE'!$B$10:$B$12,0))="","Cell will autofill based on response",INDEX('GCE'!$L$10:$L$12,MATCH($F21,'GCE'!$B$10:$B$12,0))),"N/A")</f>
        <v/>
      </c>
      <c r="Z21" s="50">
        <f>IFERROR(IF(INDEX('Education'!$L$10:$L$13,MATCH($F21,'Education'!$B$10:$B$13,0))="","Cell will autofill based on response",INDEX('Education'!$L$10:$L$13,MATCH($F21,'Education'!$B$10:$B$13,0))),"N/A")</f>
        <v/>
      </c>
      <c r="AA21" s="50">
        <f>IFERROR(IF(INDEX('SaSS'!$L$10:$L$12,MATCH($F21,'SaSS'!$B$10:$B$12,0))="","Cell will autofill based on response",INDEX('SaSS'!$L$10:$L$12,MATCH($F21,'SaSS'!$B$10:$B$12,0))),"N/A")</f>
        <v/>
      </c>
      <c r="AB21" s="50">
        <f>IFERROR(IF(INDEX('Indigenous'!$L$10:$L$11,MATCH($F21,'Indigenous'!$B$10:$B$11,0))="","Cell will autofill based on response",INDEX('Indigenous'!$L$10:$L$11,MATCH($F21,'Indigenous'!$B$10:$B$11,0))),"N/A")</f>
        <v/>
      </c>
      <c r="AC21" s="50">
        <f>IFERROR(IF(INDEX('L&amp;R'!$L$10:$L$11,MATCH($F21,'L&amp;R'!$B$10:$B$11,0))="","Cell will autofill based on response",INDEX('L&amp;R'!$L$10:$L$11,MATCH($F21,'L&amp;R'!$B$10:$B$11,0))),"N/A")</f>
        <v/>
      </c>
      <c r="AE21" s="9">
        <f>SUMPRODUCT(--($H21:$AC21&lt;&gt;"N/A"))</f>
        <v/>
      </c>
      <c r="AF21" s="9">
        <f>SUMPRODUCT(--(((($H21:$AC21&lt;&gt;"N/A")*($H21:$AC21&lt;&gt;"Cell will autofill based on response"))+(($H22:$AC22&lt;&gt;"N/A")*($H22:$AC22&lt;&gt;"Cell will autofill based on response")))&gt;0))</f>
        <v/>
      </c>
      <c r="AG21" s="9">
        <f>AE21-AF21</f>
        <v/>
      </c>
      <c r="AH21" s="9">
        <f>COUNTIF($H25:$AC25,"Yes")</f>
        <v/>
      </c>
    </row>
    <row r="22" ht="39" customHeight="1">
      <c r="A22">
        <f>F22&amp;"|"&amp;G22</f>
        <v/>
      </c>
      <c r="B22" s="12" t="inlineStr"/>
      <c r="C22" s="7" t="inlineStr"/>
      <c r="D22" s="7" t="inlineStr"/>
      <c r="E22" s="7" t="inlineStr"/>
      <c r="F22" s="7" t="inlineStr">
        <is>
          <t>EE1(c)</t>
        </is>
      </c>
      <c r="G22" s="7" t="inlineStr">
        <is>
          <t>OPTION 2:  Indicator level reporting</t>
        </is>
      </c>
      <c r="H22" s="50">
        <f>IFERROR(IF(INDEX('Faculties'!$M$10:$M$18,MATCH($F22,'Faculties'!$B$10:$B$18,0))="","Cell will autofill based on response",INDEX('Faculties'!$M$10:$M$18,MATCH($F22,'Faculties'!$B$10:$B$18,0))),"N/A")</f>
        <v/>
      </c>
      <c r="I22" s="50">
        <f>IFERROR(IF(INDEX('Faculties'!$M$25:$M$34,MATCH($F22,'Faculties'!$B$25:$B$34,0))="","Cell will autofill based on response",INDEX('Faculties'!$M$25:$M$34,MATCH($F22,'Faculties'!$B$25:$B$34,0))),"N/A")</f>
        <v/>
      </c>
      <c r="J22" s="50">
        <f>IFERROR(IF(INDEX('Faculties'!$M$41:$M$50,MATCH($F22,'Faculties'!$B$41:$B$50,0))="","Cell will autofill based on response",INDEX('Faculties'!$M$41:$M$50,MATCH($F22,'Faculties'!$B$41:$B$50,0))),"N/A")</f>
        <v/>
      </c>
      <c r="K22" s="50">
        <f>IFERROR(IF(INDEX('Faculties'!$M$57:$M$66,MATCH($F22,'Faculties'!$B$57:$B$66,0))="","Cell will autofill based on response",INDEX('Faculties'!$M$57:$M$66,MATCH($F22,'Faculties'!$B$57:$B$66,0))),"N/A")</f>
        <v/>
      </c>
      <c r="L22" s="50">
        <f>IFERROR(IF(INDEX('Faculties'!$M$73:$M$82,MATCH($F22,'Faculties'!$B$73:$B$82,0))="","Cell will autofill based on response",INDEX('Faculties'!$M$73:$M$82,MATCH($F22,'Faculties'!$B$73:$B$82,0))),"N/A")</f>
        <v/>
      </c>
      <c r="M22" s="50">
        <f>IFERROR(IF(INDEX('Faculties'!$M$89:$M$98,MATCH($F22,'Faculties'!$B$89:$B$98,0))="","Cell will autofill based on response",INDEX('Faculties'!$M$89:$M$98,MATCH($F22,'Faculties'!$B$89:$B$98,0))),"N/A")</f>
        <v/>
      </c>
      <c r="N22" s="50">
        <f>IFERROR(IF(INDEX('Faculties'!$M$105:$M$114,MATCH($F22,'Faculties'!$B$105:$B$114,0))="","Cell will autofill based on response",INDEX('Faculties'!$M$105:$M$114,MATCH($F22,'Faculties'!$B$105:$B$114,0))),"N/A")</f>
        <v/>
      </c>
      <c r="O22" s="50">
        <f>IFERROR(IF(INDEX('Faculties'!$M$121:$M$130,MATCH($F22,'Faculties'!$B$121:$B$130,0))="","Cell will autofill based on response",INDEX('Faculties'!$M$121:$M$130,MATCH($F22,'Faculties'!$B$121:$B$130,0))),"N/A")</f>
        <v/>
      </c>
      <c r="P22" s="50">
        <f>IFERROR(IF(INDEX('Faculties'!$M$137:$M$146,MATCH($F22,'Faculties'!$B$137:$B$146,0))="","Cell will autofill based on response",INDEX('Faculties'!$M$137:$M$146,MATCH($F22,'Faculties'!$B$137:$B$146,0))),"N/A")</f>
        <v/>
      </c>
      <c r="Q22" s="50">
        <f>IFERROR(IF(INDEX('CI&amp;S'!$M$10:$M$15,MATCH($F22,'CI&amp;S'!$B$10:$B$15,0))="","Cell will autofill based on response",INDEX('CI&amp;S'!$M$10:$M$15,MATCH($F22,'CI&amp;S'!$B$10:$B$15,0))),"N/A")</f>
        <v/>
      </c>
      <c r="R22" s="50">
        <f>IFERROR(IF(INDEX('CI&amp;S'!$M$22:$M$36,MATCH($F22,'CI&amp;S'!$B$22:$B$36,0))="","Cell will autofill based on response",INDEX('CI&amp;S'!$M$22:$M$36,MATCH($F22,'CI&amp;S'!$B$22:$B$36,0))),"N/A")</f>
        <v/>
      </c>
      <c r="S22" s="50">
        <f>IFERROR(IF(INDEX('CFOG'!$M$10:$M$16,MATCH($F22,'CFOG'!$B$10:$B$16,0))="","Cell will autofill based on response",INDEX('CFOG'!$M$10:$M$16,MATCH($F22,'CFOG'!$B$10:$B$16,0))),"N/A")</f>
        <v/>
      </c>
      <c r="T22" s="50">
        <f>IFERROR(IF(INDEX('CFOG'!$M$23:$M$24,MATCH($F22,'CFOG'!$B$23:$B$24,0))="","Cell will autofill based on response",INDEX('CFOG'!$M$23:$M$24,MATCH($F22,'CFOG'!$B$23:$B$24,0))),"N/A")</f>
        <v/>
      </c>
      <c r="U22" s="50">
        <f>IFERROR(IF(INDEX('ESG'!$M$10:$M$17,MATCH($F22,'ESG'!$B$10:$B$17,0))="","Cell will autofill based on response",INDEX('ESG'!$M$10:$M$17,MATCH($F22,'ESG'!$B$10:$B$17,0))),"N/A")</f>
        <v/>
      </c>
      <c r="V22" s="50">
        <f>IFERROR(IF(INDEX('CIOG'!$M$10:$M$14,MATCH($F22,'CIOG'!$B$10:$B$14,0))="","Cell will autofill based on response",INDEX('CIOG'!$M$10:$M$14,MATCH($F22,'CIOG'!$B$10:$B$14,0))),"N/A")</f>
        <v/>
      </c>
      <c r="W22" s="50">
        <f>IFERROR(IF(INDEX('MRE'!$M$10:$M$18,MATCH($F22,'MRE'!$B$10:$B$18,0))="","Cell will autofill based on response",INDEX('MRE'!$M$10:$M$18,MATCH($F22,'MRE'!$B$10:$B$18,0))),"N/A")</f>
        <v/>
      </c>
      <c r="X22" s="50">
        <f>IFERROR(IF(INDEX('AC&amp;M'!$M$10:$M$14,MATCH($F22,'AC&amp;M'!$B$10:$B$14,0))="","Cell will autofill based on response",INDEX('AC&amp;M'!$M$10:$M$14,MATCH($F22,'AC&amp;M'!$B$10:$B$14,0))),"N/A")</f>
        <v/>
      </c>
      <c r="Y22" s="50">
        <f>IFERROR(IF(INDEX('GCE'!$M$10:$M$12,MATCH($F22,'GCE'!$B$10:$B$12,0))="","Cell will autofill based on response",INDEX('GCE'!$M$10:$M$12,MATCH($F22,'GCE'!$B$10:$B$12,0))),"N/A")</f>
        <v/>
      </c>
      <c r="Z22" s="50">
        <f>IFERROR(IF(INDEX('Education'!$M$10:$M$13,MATCH($F22,'Education'!$B$10:$B$13,0))="","Cell will autofill based on response",INDEX('Education'!$M$10:$M$13,MATCH($F22,'Education'!$B$10:$B$13,0))),"N/A")</f>
        <v/>
      </c>
      <c r="AA22" s="50">
        <f>IFERROR(IF(INDEX('SaSS'!$M$10:$M$12,MATCH($F22,'SaSS'!$B$10:$B$12,0))="","Cell will autofill based on response",INDEX('SaSS'!$M$10:$M$12,MATCH($F22,'SaSS'!$B$10:$B$12,0))),"N/A")</f>
        <v/>
      </c>
      <c r="AB22" s="50">
        <f>IFERROR(IF(INDEX('Indigenous'!$M$10:$M$11,MATCH($F22,'Indigenous'!$B$10:$B$11,0))="","Cell will autofill based on response",INDEX('Indigenous'!$M$10:$M$11,MATCH($F22,'Indigenous'!$B$10:$B$11,0))),"N/A")</f>
        <v/>
      </c>
      <c r="AC22" s="50">
        <f>IFERROR(IF(INDEX('L&amp;R'!$M$10:$M$11,MATCH($F22,'L&amp;R'!$B$10:$B$11,0))="","Cell will autofill based on response",INDEX('L&amp;R'!$M$10:$M$11,MATCH($F22,'L&amp;R'!$B$10:$B$11,0))),"N/A")</f>
        <v/>
      </c>
    </row>
    <row r="23" ht="22" customHeight="1">
      <c r="A23">
        <f>F23&amp;"|"&amp;G23</f>
        <v/>
      </c>
      <c r="B23" s="12" t="inlineStr"/>
      <c r="C23" s="7" t="inlineStr"/>
      <c r="D23" s="7" t="inlineStr"/>
      <c r="E23" s="7" t="inlineStr"/>
      <c r="F23" s="7" t="inlineStr">
        <is>
          <t>EE1(c)</t>
        </is>
      </c>
      <c r="G23" s="7" t="inlineStr">
        <is>
          <t>Supporting information/comments</t>
        </is>
      </c>
      <c r="H23" s="50">
        <f>IFERROR(IF(INDEX('Faculties'!$N$10:$N$18,MATCH($F23,'Faculties'!$B$10:$B$18,0))="","Cell will autofill based on response",INDEX('Faculties'!$N$10:$N$18,MATCH($F23,'Faculties'!$B$10:$B$18,0))),"N/A")</f>
        <v/>
      </c>
      <c r="I23" s="50">
        <f>IFERROR(IF(INDEX('Faculties'!$N$25:$N$34,MATCH($F23,'Faculties'!$B$25:$B$34,0))="","Cell will autofill based on response",INDEX('Faculties'!$N$25:$N$34,MATCH($F23,'Faculties'!$B$25:$B$34,0))),"N/A")</f>
        <v/>
      </c>
      <c r="J23" s="50">
        <f>IFERROR(IF(INDEX('Faculties'!$N$41:$N$50,MATCH($F23,'Faculties'!$B$41:$B$50,0))="","Cell will autofill based on response",INDEX('Faculties'!$N$41:$N$50,MATCH($F23,'Faculties'!$B$41:$B$50,0))),"N/A")</f>
        <v/>
      </c>
      <c r="K23" s="50">
        <f>IFERROR(IF(INDEX('Faculties'!$N$57:$N$66,MATCH($F23,'Faculties'!$B$57:$B$66,0))="","Cell will autofill based on response",INDEX('Faculties'!$N$57:$N$66,MATCH($F23,'Faculties'!$B$57:$B$66,0))),"N/A")</f>
        <v/>
      </c>
      <c r="L23" s="50">
        <f>IFERROR(IF(INDEX('Faculties'!$N$73:$N$82,MATCH($F23,'Faculties'!$B$73:$B$82,0))="","Cell will autofill based on response",INDEX('Faculties'!$N$73:$N$82,MATCH($F23,'Faculties'!$B$73:$B$82,0))),"N/A")</f>
        <v/>
      </c>
      <c r="M23" s="50">
        <f>IFERROR(IF(INDEX('Faculties'!$N$89:$N$98,MATCH($F23,'Faculties'!$B$89:$B$98,0))="","Cell will autofill based on response",INDEX('Faculties'!$N$89:$N$98,MATCH($F23,'Faculties'!$B$89:$B$98,0))),"N/A")</f>
        <v/>
      </c>
      <c r="N23" s="50">
        <f>IFERROR(IF(INDEX('Faculties'!$N$105:$N$114,MATCH($F23,'Faculties'!$B$105:$B$114,0))="","Cell will autofill based on response",INDEX('Faculties'!$N$105:$N$114,MATCH($F23,'Faculties'!$B$105:$B$114,0))),"N/A")</f>
        <v/>
      </c>
      <c r="O23" s="50">
        <f>IFERROR(IF(INDEX('Faculties'!$N$121:$N$130,MATCH($F23,'Faculties'!$B$121:$B$130,0))="","Cell will autofill based on response",INDEX('Faculties'!$N$121:$N$130,MATCH($F23,'Faculties'!$B$121:$B$130,0))),"N/A")</f>
        <v/>
      </c>
      <c r="P23" s="50">
        <f>IFERROR(IF(INDEX('Faculties'!$N$137:$N$146,MATCH($F23,'Faculties'!$B$137:$B$146,0))="","Cell will autofill based on response",INDEX('Faculties'!$N$137:$N$146,MATCH($F23,'Faculties'!$B$137:$B$146,0))),"N/A")</f>
        <v/>
      </c>
      <c r="Q23" s="50">
        <f>IFERROR(IF(INDEX('CI&amp;S'!$N$10:$N$15,MATCH($F23,'CI&amp;S'!$B$10:$B$15,0))="","Cell will autofill based on response",INDEX('CI&amp;S'!$N$10:$N$15,MATCH($F23,'CI&amp;S'!$B$10:$B$15,0))),"N/A")</f>
        <v/>
      </c>
      <c r="R23" s="50">
        <f>IFERROR(IF(INDEX('CI&amp;S'!$N$22:$N$36,MATCH($F23,'CI&amp;S'!$B$22:$B$36,0))="","Cell will autofill based on response",INDEX('CI&amp;S'!$N$22:$N$36,MATCH($F23,'CI&amp;S'!$B$22:$B$36,0))),"N/A")</f>
        <v/>
      </c>
      <c r="S23" s="50">
        <f>IFERROR(IF(INDEX('CFOG'!$N$10:$N$16,MATCH($F23,'CFOG'!$B$10:$B$16,0))="","Cell will autofill based on response",INDEX('CFOG'!$N$10:$N$16,MATCH($F23,'CFOG'!$B$10:$B$16,0))),"N/A")</f>
        <v/>
      </c>
      <c r="T23" s="50">
        <f>IFERROR(IF(INDEX('CFOG'!$N$23:$N$24,MATCH($F23,'CFOG'!$B$23:$B$24,0))="","Cell will autofill based on response",INDEX('CFOG'!$N$23:$N$24,MATCH($F23,'CFOG'!$B$23:$B$24,0))),"N/A")</f>
        <v/>
      </c>
      <c r="U23" s="50">
        <f>IFERROR(IF(INDEX('ESG'!$N$10:$N$17,MATCH($F23,'ESG'!$B$10:$B$17,0))="","Cell will autofill based on response",INDEX('ESG'!$N$10:$N$17,MATCH($F23,'ESG'!$B$10:$B$17,0))),"N/A")</f>
        <v/>
      </c>
      <c r="V23" s="50">
        <f>IFERROR(IF(INDEX('CIOG'!$N$10:$N$14,MATCH($F23,'CIOG'!$B$10:$B$14,0))="","Cell will autofill based on response",INDEX('CIOG'!$N$10:$N$14,MATCH($F23,'CIOG'!$B$10:$B$14,0))),"N/A")</f>
        <v/>
      </c>
      <c r="W23" s="50">
        <f>IFERROR(IF(INDEX('MRE'!$N$10:$N$18,MATCH($F23,'MRE'!$B$10:$B$18,0))="","Cell will autofill based on response",INDEX('MRE'!$N$10:$N$18,MATCH($F23,'MRE'!$B$10:$B$18,0))),"N/A")</f>
        <v/>
      </c>
      <c r="X23" s="50">
        <f>IFERROR(IF(INDEX('AC&amp;M'!$N$10:$N$14,MATCH($F23,'AC&amp;M'!$B$10:$B$14,0))="","Cell will autofill based on response",INDEX('AC&amp;M'!$N$10:$N$14,MATCH($F23,'AC&amp;M'!$B$10:$B$14,0))),"N/A")</f>
        <v/>
      </c>
      <c r="Y23" s="50">
        <f>IFERROR(IF(INDEX('GCE'!$N$10:$N$12,MATCH($F23,'GCE'!$B$10:$B$12,0))="","Cell will autofill based on response",INDEX('GCE'!$N$10:$N$12,MATCH($F23,'GCE'!$B$10:$B$12,0))),"N/A")</f>
        <v/>
      </c>
      <c r="Z23" s="50">
        <f>IFERROR(IF(INDEX('Education'!$N$10:$N$13,MATCH($F23,'Education'!$B$10:$B$13,0))="","Cell will autofill based on response",INDEX('Education'!$N$10:$N$13,MATCH($F23,'Education'!$B$10:$B$13,0))),"N/A")</f>
        <v/>
      </c>
      <c r="AA23" s="50">
        <f>IFERROR(IF(INDEX('SaSS'!$N$10:$N$12,MATCH($F23,'SaSS'!$B$10:$B$12,0))="","Cell will autofill based on response",INDEX('SaSS'!$N$10:$N$12,MATCH($F23,'SaSS'!$B$10:$B$12,0))),"N/A")</f>
        <v/>
      </c>
      <c r="AB23" s="50">
        <f>IFERROR(IF(INDEX('Indigenous'!$N$10:$N$11,MATCH($F23,'Indigenous'!$B$10:$B$11,0))="","Cell will autofill based on response",INDEX('Indigenous'!$N$10:$N$11,MATCH($F23,'Indigenous'!$B$10:$B$11,0))),"N/A")</f>
        <v/>
      </c>
      <c r="AC23" s="50">
        <f>IFERROR(IF(INDEX('L&amp;R'!$N$10:$N$11,MATCH($F23,'L&amp;R'!$B$10:$B$11,0))="","Cell will autofill based on response",INDEX('L&amp;R'!$N$10:$N$11,MATCH($F23,'L&amp;R'!$B$10:$B$11,0))),"N/A")</f>
        <v/>
      </c>
    </row>
    <row r="24" ht="22" customHeight="1">
      <c r="A24">
        <f>F24&amp;"|"&amp;G24</f>
        <v/>
      </c>
      <c r="B24" s="12" t="inlineStr"/>
      <c r="C24" s="7" t="inlineStr"/>
      <c r="D24" s="7" t="inlineStr"/>
      <c r="E24" s="7" t="inlineStr"/>
      <c r="F24" s="7" t="inlineStr">
        <is>
          <t>EE1(c)</t>
        </is>
      </c>
      <c r="G24" s="7" t="inlineStr">
        <is>
          <t>Data source and limitations</t>
        </is>
      </c>
      <c r="H24" s="50">
        <f>IFERROR(IF(INDEX('Faculties'!$O$10:$O$18,MATCH($F24,'Faculties'!$B$10:$B$18,0))="","Cell will autofill based on response",INDEX('Faculties'!$O$10:$O$18,MATCH($F24,'Faculties'!$B$10:$B$18,0))),"N/A")</f>
        <v/>
      </c>
      <c r="I24" s="50">
        <f>IFERROR(IF(INDEX('Faculties'!$O$25:$O$34,MATCH($F24,'Faculties'!$B$25:$B$34,0))="","Cell will autofill based on response",INDEX('Faculties'!$O$25:$O$34,MATCH($F24,'Faculties'!$B$25:$B$34,0))),"N/A")</f>
        <v/>
      </c>
      <c r="J24" s="50">
        <f>IFERROR(IF(INDEX('Faculties'!$O$41:$O$50,MATCH($F24,'Faculties'!$B$41:$B$50,0))="","Cell will autofill based on response",INDEX('Faculties'!$O$41:$O$50,MATCH($F24,'Faculties'!$B$41:$B$50,0))),"N/A")</f>
        <v/>
      </c>
      <c r="K24" s="50">
        <f>IFERROR(IF(INDEX('Faculties'!$O$57:$O$66,MATCH($F24,'Faculties'!$B$57:$B$66,0))="","Cell will autofill based on response",INDEX('Faculties'!$O$57:$O$66,MATCH($F24,'Faculties'!$B$57:$B$66,0))),"N/A")</f>
        <v/>
      </c>
      <c r="L24" s="50">
        <f>IFERROR(IF(INDEX('Faculties'!$O$73:$O$82,MATCH($F24,'Faculties'!$B$73:$B$82,0))="","Cell will autofill based on response",INDEX('Faculties'!$O$73:$O$82,MATCH($F24,'Faculties'!$B$73:$B$82,0))),"N/A")</f>
        <v/>
      </c>
      <c r="M24" s="50">
        <f>IFERROR(IF(INDEX('Faculties'!$O$89:$O$98,MATCH($F24,'Faculties'!$B$89:$B$98,0))="","Cell will autofill based on response",INDEX('Faculties'!$O$89:$O$98,MATCH($F24,'Faculties'!$B$89:$B$98,0))),"N/A")</f>
        <v/>
      </c>
      <c r="N24" s="50">
        <f>IFERROR(IF(INDEX('Faculties'!$O$105:$O$114,MATCH($F24,'Faculties'!$B$105:$B$114,0))="","Cell will autofill based on response",INDEX('Faculties'!$O$105:$O$114,MATCH($F24,'Faculties'!$B$105:$B$114,0))),"N/A")</f>
        <v/>
      </c>
      <c r="O24" s="50">
        <f>IFERROR(IF(INDEX('Faculties'!$O$121:$O$130,MATCH($F24,'Faculties'!$B$121:$B$130,0))="","Cell will autofill based on response",INDEX('Faculties'!$O$121:$O$130,MATCH($F24,'Faculties'!$B$121:$B$130,0))),"N/A")</f>
        <v/>
      </c>
      <c r="P24" s="50">
        <f>IFERROR(IF(INDEX('Faculties'!$O$137:$O$146,MATCH($F24,'Faculties'!$B$137:$B$146,0))="","Cell will autofill based on response",INDEX('Faculties'!$O$137:$O$146,MATCH($F24,'Faculties'!$B$137:$B$146,0))),"N/A")</f>
        <v/>
      </c>
      <c r="Q24" s="50">
        <f>IFERROR(IF(INDEX('CI&amp;S'!$O$10:$O$15,MATCH($F24,'CI&amp;S'!$B$10:$B$15,0))="","Cell will autofill based on response",INDEX('CI&amp;S'!$O$10:$O$15,MATCH($F24,'CI&amp;S'!$B$10:$B$15,0))),"N/A")</f>
        <v/>
      </c>
      <c r="R24" s="50">
        <f>IFERROR(IF(INDEX('CI&amp;S'!$O$22:$O$36,MATCH($F24,'CI&amp;S'!$B$22:$B$36,0))="","Cell will autofill based on response",INDEX('CI&amp;S'!$O$22:$O$36,MATCH($F24,'CI&amp;S'!$B$22:$B$36,0))),"N/A")</f>
        <v/>
      </c>
      <c r="S24" s="50">
        <f>IFERROR(IF(INDEX('CFOG'!$O$10:$O$16,MATCH($F24,'CFOG'!$B$10:$B$16,0))="","Cell will autofill based on response",INDEX('CFOG'!$O$10:$O$16,MATCH($F24,'CFOG'!$B$10:$B$16,0))),"N/A")</f>
        <v/>
      </c>
      <c r="T24" s="50">
        <f>IFERROR(IF(INDEX('CFOG'!$O$23:$O$24,MATCH($F24,'CFOG'!$B$23:$B$24,0))="","Cell will autofill based on response",INDEX('CFOG'!$O$23:$O$24,MATCH($F24,'CFOG'!$B$23:$B$24,0))),"N/A")</f>
        <v/>
      </c>
      <c r="U24" s="50">
        <f>IFERROR(IF(INDEX('ESG'!$O$10:$O$17,MATCH($F24,'ESG'!$B$10:$B$17,0))="","Cell will autofill based on response",INDEX('ESG'!$O$10:$O$17,MATCH($F24,'ESG'!$B$10:$B$17,0))),"N/A")</f>
        <v/>
      </c>
      <c r="V24" s="50">
        <f>IFERROR(IF(INDEX('CIOG'!$O$10:$O$14,MATCH($F24,'CIOG'!$B$10:$B$14,0))="","Cell will autofill based on response",INDEX('CIOG'!$O$10:$O$14,MATCH($F24,'CIOG'!$B$10:$B$14,0))),"N/A")</f>
        <v/>
      </c>
      <c r="W24" s="50">
        <f>IFERROR(IF(INDEX('MRE'!$O$10:$O$18,MATCH($F24,'MRE'!$B$10:$B$18,0))="","Cell will autofill based on response",INDEX('MRE'!$O$10:$O$18,MATCH($F24,'MRE'!$B$10:$B$18,0))),"N/A")</f>
        <v/>
      </c>
      <c r="X24" s="50">
        <f>IFERROR(IF(INDEX('AC&amp;M'!$O$10:$O$14,MATCH($F24,'AC&amp;M'!$B$10:$B$14,0))="","Cell will autofill based on response",INDEX('AC&amp;M'!$O$10:$O$14,MATCH($F24,'AC&amp;M'!$B$10:$B$14,0))),"N/A")</f>
        <v/>
      </c>
      <c r="Y24" s="50">
        <f>IFERROR(IF(INDEX('GCE'!$O$10:$O$12,MATCH($F24,'GCE'!$B$10:$B$12,0))="","Cell will autofill based on response",INDEX('GCE'!$O$10:$O$12,MATCH($F24,'GCE'!$B$10:$B$12,0))),"N/A")</f>
        <v/>
      </c>
      <c r="Z24" s="50">
        <f>IFERROR(IF(INDEX('Education'!$O$10:$O$13,MATCH($F24,'Education'!$B$10:$B$13,0))="","Cell will autofill based on response",INDEX('Education'!$O$10:$O$13,MATCH($F24,'Education'!$B$10:$B$13,0))),"N/A")</f>
        <v/>
      </c>
      <c r="AA24" s="50">
        <f>IFERROR(IF(INDEX('SaSS'!$O$10:$O$12,MATCH($F24,'SaSS'!$B$10:$B$12,0))="","Cell will autofill based on response",INDEX('SaSS'!$O$10:$O$12,MATCH($F24,'SaSS'!$B$10:$B$12,0))),"N/A")</f>
        <v/>
      </c>
      <c r="AB24" s="50">
        <f>IFERROR(IF(INDEX('Indigenous'!$O$10:$O$11,MATCH($F24,'Indigenous'!$B$10:$B$11,0))="","Cell will autofill based on response",INDEX('Indigenous'!$O$10:$O$11,MATCH($F24,'Indigenous'!$B$10:$B$11,0))),"N/A")</f>
        <v/>
      </c>
      <c r="AC24" s="50">
        <f>IFERROR(IF(INDEX('L&amp;R'!$O$10:$O$11,MATCH($F24,'L&amp;R'!$B$10:$B$11,0))="","Cell will autofill based on response",INDEX('L&amp;R'!$O$10:$O$11,MATCH($F24,'L&amp;R'!$B$10:$B$11,0))),"N/A")</f>
        <v/>
      </c>
    </row>
    <row r="25" ht="22" customHeight="1">
      <c r="A25">
        <f>F25&amp;"|"&amp;G25</f>
        <v/>
      </c>
      <c r="B25" s="12" t="inlineStr"/>
      <c r="C25" s="7" t="inlineStr"/>
      <c r="D25" s="7" t="inlineStr"/>
      <c r="E25" s="7" t="inlineStr"/>
      <c r="F25" s="7" t="inlineStr">
        <is>
          <t>EE1(c)</t>
        </is>
      </c>
      <c r="G25" s="7" t="inlineStr">
        <is>
          <t>Data owner confirms</t>
        </is>
      </c>
      <c r="H25" s="50">
        <f>IFERROR(IF(INDEX('Faculties'!$P$10:$P$18,MATCH($F25,'Faculties'!$B$10:$B$18,0))="","Cell will autofill based on response",INDEX('Faculties'!$P$10:$P$18,MATCH($F25,'Faculties'!$B$10:$B$18,0))),"N/A")</f>
        <v/>
      </c>
      <c r="I25" s="50">
        <f>IFERROR(IF(INDEX('Faculties'!$P$25:$P$34,MATCH($F25,'Faculties'!$B$25:$B$34,0))="","Cell will autofill based on response",INDEX('Faculties'!$P$25:$P$34,MATCH($F25,'Faculties'!$B$25:$B$34,0))),"N/A")</f>
        <v/>
      </c>
      <c r="J25" s="50">
        <f>IFERROR(IF(INDEX('Faculties'!$P$41:$P$50,MATCH($F25,'Faculties'!$B$41:$B$50,0))="","Cell will autofill based on response",INDEX('Faculties'!$P$41:$P$50,MATCH($F25,'Faculties'!$B$41:$B$50,0))),"N/A")</f>
        <v/>
      </c>
      <c r="K25" s="50">
        <f>IFERROR(IF(INDEX('Faculties'!$P$57:$P$66,MATCH($F25,'Faculties'!$B$57:$B$66,0))="","Cell will autofill based on response",INDEX('Faculties'!$P$57:$P$66,MATCH($F25,'Faculties'!$B$57:$B$66,0))),"N/A")</f>
        <v/>
      </c>
      <c r="L25" s="50">
        <f>IFERROR(IF(INDEX('Faculties'!$P$73:$P$82,MATCH($F25,'Faculties'!$B$73:$B$82,0))="","Cell will autofill based on response",INDEX('Faculties'!$P$73:$P$82,MATCH($F25,'Faculties'!$B$73:$B$82,0))),"N/A")</f>
        <v/>
      </c>
      <c r="M25" s="50">
        <f>IFERROR(IF(INDEX('Faculties'!$P$89:$P$98,MATCH($F25,'Faculties'!$B$89:$B$98,0))="","Cell will autofill based on response",INDEX('Faculties'!$P$89:$P$98,MATCH($F25,'Faculties'!$B$89:$B$98,0))),"N/A")</f>
        <v/>
      </c>
      <c r="N25" s="50">
        <f>IFERROR(IF(INDEX('Faculties'!$P$105:$P$114,MATCH($F25,'Faculties'!$B$105:$B$114,0))="","Cell will autofill based on response",INDEX('Faculties'!$P$105:$P$114,MATCH($F25,'Faculties'!$B$105:$B$114,0))),"N/A")</f>
        <v/>
      </c>
      <c r="O25" s="50">
        <f>IFERROR(IF(INDEX('Faculties'!$P$121:$P$130,MATCH($F25,'Faculties'!$B$121:$B$130,0))="","Cell will autofill based on response",INDEX('Faculties'!$P$121:$P$130,MATCH($F25,'Faculties'!$B$121:$B$130,0))),"N/A")</f>
        <v/>
      </c>
      <c r="P25" s="50">
        <f>IFERROR(IF(INDEX('Faculties'!$P$137:$P$146,MATCH($F25,'Faculties'!$B$137:$B$146,0))="","Cell will autofill based on response",INDEX('Faculties'!$P$137:$P$146,MATCH($F25,'Faculties'!$B$137:$B$146,0))),"N/A")</f>
        <v/>
      </c>
      <c r="Q25" s="50">
        <f>IFERROR(IF(INDEX('CI&amp;S'!$P$10:$P$15,MATCH($F25,'CI&amp;S'!$B$10:$B$15,0))="","Cell will autofill based on response",INDEX('CI&amp;S'!$P$10:$P$15,MATCH($F25,'CI&amp;S'!$B$10:$B$15,0))),"N/A")</f>
        <v/>
      </c>
      <c r="R25" s="50">
        <f>IFERROR(IF(INDEX('CI&amp;S'!$P$22:$P$36,MATCH($F25,'CI&amp;S'!$B$22:$B$36,0))="","Cell will autofill based on response",INDEX('CI&amp;S'!$P$22:$P$36,MATCH($F25,'CI&amp;S'!$B$22:$B$36,0))),"N/A")</f>
        <v/>
      </c>
      <c r="S25" s="50">
        <f>IFERROR(IF(INDEX('CFOG'!$P$10:$P$16,MATCH($F25,'CFOG'!$B$10:$B$16,0))="","Cell will autofill based on response",INDEX('CFOG'!$P$10:$P$16,MATCH($F25,'CFOG'!$B$10:$B$16,0))),"N/A")</f>
        <v/>
      </c>
      <c r="T25" s="50">
        <f>IFERROR(IF(INDEX('CFOG'!$P$23:$P$24,MATCH($F25,'CFOG'!$B$23:$B$24,0))="","Cell will autofill based on response",INDEX('CFOG'!$P$23:$P$24,MATCH($F25,'CFOG'!$B$23:$B$24,0))),"N/A")</f>
        <v/>
      </c>
      <c r="U25" s="50">
        <f>IFERROR(IF(INDEX('ESG'!$P$10:$P$17,MATCH($F25,'ESG'!$B$10:$B$17,0))="","Cell will autofill based on response",INDEX('ESG'!$P$10:$P$17,MATCH($F25,'ESG'!$B$10:$B$17,0))),"N/A")</f>
        <v/>
      </c>
      <c r="V25" s="50">
        <f>IFERROR(IF(INDEX('CIOG'!$P$10:$P$14,MATCH($F25,'CIOG'!$B$10:$B$14,0))="","Cell will autofill based on response",INDEX('CIOG'!$P$10:$P$14,MATCH($F25,'CIOG'!$B$10:$B$14,0))),"N/A")</f>
        <v/>
      </c>
      <c r="W25" s="50">
        <f>IFERROR(IF(INDEX('MRE'!$P$10:$P$18,MATCH($F25,'MRE'!$B$10:$B$18,0))="","Cell will autofill based on response",INDEX('MRE'!$P$10:$P$18,MATCH($F25,'MRE'!$B$10:$B$18,0))),"N/A")</f>
        <v/>
      </c>
      <c r="X25" s="50">
        <f>IFERROR(IF(INDEX('AC&amp;M'!$P$10:$P$14,MATCH($F25,'AC&amp;M'!$B$10:$B$14,0))="","Cell will autofill based on response",INDEX('AC&amp;M'!$P$10:$P$14,MATCH($F25,'AC&amp;M'!$B$10:$B$14,0))),"N/A")</f>
        <v/>
      </c>
      <c r="Y25" s="50">
        <f>IFERROR(IF(INDEX('GCE'!$P$10:$P$12,MATCH($F25,'GCE'!$B$10:$B$12,0))="","Cell will autofill based on response",INDEX('GCE'!$P$10:$P$12,MATCH($F25,'GCE'!$B$10:$B$12,0))),"N/A")</f>
        <v/>
      </c>
      <c r="Z25" s="50">
        <f>IFERROR(IF(INDEX('Education'!$P$10:$P$13,MATCH($F25,'Education'!$B$10:$B$13,0))="","Cell will autofill based on response",INDEX('Education'!$P$10:$P$13,MATCH($F25,'Education'!$B$10:$B$13,0))),"N/A")</f>
        <v/>
      </c>
      <c r="AA25" s="50">
        <f>IFERROR(IF(INDEX('SaSS'!$P$10:$P$12,MATCH($F25,'SaSS'!$B$10:$B$12,0))="","Cell will autofill based on response",INDEX('SaSS'!$P$10:$P$12,MATCH($F25,'SaSS'!$B$10:$B$12,0))),"N/A")</f>
        <v/>
      </c>
      <c r="AB25" s="50">
        <f>IFERROR(IF(INDEX('Indigenous'!$P$10:$P$11,MATCH($F25,'Indigenous'!$B$10:$B$11,0))="","Cell will autofill based on response",INDEX('Indigenous'!$P$10:$P$11,MATCH($F25,'Indigenous'!$B$10:$B$11,0))),"N/A")</f>
        <v/>
      </c>
      <c r="AC25" s="50">
        <f>IFERROR(IF(INDEX('L&amp;R'!$P$10:$P$11,MATCH($F25,'L&amp;R'!$B$10:$B$11,0))="","Cell will autofill based on response",INDEX('L&amp;R'!$P$10:$P$11,MATCH($F25,'L&amp;R'!$B$10:$B$11,0))),"N/A")</f>
        <v/>
      </c>
    </row>
    <row r="26" ht="154" customHeight="1">
      <c r="A26">
        <f>F26&amp;"|"&amp;G26</f>
        <v/>
      </c>
      <c r="B26" s="6" t="inlineStr">
        <is>
          <t>EE1(d)</t>
        </is>
      </c>
      <c r="C26" s="48" t="inlineStr">
        <is>
          <t>Exceptional education</t>
        </is>
      </c>
      <c r="D26" s="48" t="inlineStr">
        <is>
          <t>Alumni profiles demonstrating how graduates contribute to sustainability through their careers or communities.</t>
        </is>
      </c>
      <c r="E26" s="48" t="inlineStr">
        <is>
          <t>Please provide examples or profiles of graduates or alumni from your Faculty who demonstrate how they apply sustainability knowledge, skills or capabilities through their careers, communities or other activities. Where available, include any evidence used by the Faculty to understand graduate outcomes related to sustainability.</t>
        </is>
      </c>
      <c r="F26" s="48" t="inlineStr">
        <is>
          <t>EE1(d)</t>
        </is>
      </c>
      <c r="G26" s="48" t="inlineStr">
        <is>
          <t>OPTION 1:  Target-level reporting</t>
        </is>
      </c>
      <c r="H26" s="50">
        <f>IFERROR(IF(INDEX('Faculties'!$L$10:$L$18,MATCH($F26,'Faculties'!$B$10:$B$18,0))="","Cell will autofill based on response",INDEX('Faculties'!$L$10:$L$18,MATCH($F26,'Faculties'!$B$10:$B$18,0))),"N/A")</f>
        <v/>
      </c>
      <c r="I26" s="50">
        <f>IFERROR(IF(INDEX('Faculties'!$L$25:$L$34,MATCH($F26,'Faculties'!$B$25:$B$34,0))="","Cell will autofill based on response",INDEX('Faculties'!$L$25:$L$34,MATCH($F26,'Faculties'!$B$25:$B$34,0))),"N/A")</f>
        <v/>
      </c>
      <c r="J26" s="50">
        <f>IFERROR(IF(INDEX('Faculties'!$L$41:$L$50,MATCH($F26,'Faculties'!$B$41:$B$50,0))="","Cell will autofill based on response",INDEX('Faculties'!$L$41:$L$50,MATCH($F26,'Faculties'!$B$41:$B$50,0))),"N/A")</f>
        <v/>
      </c>
      <c r="K26" s="50">
        <f>IFERROR(IF(INDEX('Faculties'!$L$57:$L$66,MATCH($F26,'Faculties'!$B$57:$B$66,0))="","Cell will autofill based on response",INDEX('Faculties'!$L$57:$L$66,MATCH($F26,'Faculties'!$B$57:$B$66,0))),"N/A")</f>
        <v/>
      </c>
      <c r="L26" s="50">
        <f>IFERROR(IF(INDEX('Faculties'!$L$73:$L$82,MATCH($F26,'Faculties'!$B$73:$B$82,0))="","Cell will autofill based on response",INDEX('Faculties'!$L$73:$L$82,MATCH($F26,'Faculties'!$B$73:$B$82,0))),"N/A")</f>
        <v/>
      </c>
      <c r="M26" s="50">
        <f>IFERROR(IF(INDEX('Faculties'!$L$89:$L$98,MATCH($F26,'Faculties'!$B$89:$B$98,0))="","Cell will autofill based on response",INDEX('Faculties'!$L$89:$L$98,MATCH($F26,'Faculties'!$B$89:$B$98,0))),"N/A")</f>
        <v/>
      </c>
      <c r="N26" s="50">
        <f>IFERROR(IF(INDEX('Faculties'!$L$105:$L$114,MATCH($F26,'Faculties'!$B$105:$B$114,0))="","Cell will autofill based on response",INDEX('Faculties'!$L$105:$L$114,MATCH($F26,'Faculties'!$B$105:$B$114,0))),"N/A")</f>
        <v/>
      </c>
      <c r="O26" s="50">
        <f>IFERROR(IF(INDEX('Faculties'!$L$121:$L$130,MATCH($F26,'Faculties'!$B$121:$B$130,0))="","Cell will autofill based on response",INDEX('Faculties'!$L$121:$L$130,MATCH($F26,'Faculties'!$B$121:$B$130,0))),"N/A")</f>
        <v/>
      </c>
      <c r="P26" s="50">
        <f>IFERROR(IF(INDEX('Faculties'!$L$137:$L$146,MATCH($F26,'Faculties'!$B$137:$B$146,0))="","Cell will autofill based on response",INDEX('Faculties'!$L$137:$L$146,MATCH($F26,'Faculties'!$B$137:$B$146,0))),"N/A")</f>
        <v/>
      </c>
      <c r="Q26" s="50">
        <f>IFERROR(IF(INDEX('CI&amp;S'!$L$10:$L$15,MATCH($F26,'CI&amp;S'!$B$10:$B$15,0))="","Cell will autofill based on response",INDEX('CI&amp;S'!$L$10:$L$15,MATCH($F26,'CI&amp;S'!$B$10:$B$15,0))),"N/A")</f>
        <v/>
      </c>
      <c r="R26" s="50">
        <f>IFERROR(IF(INDEX('CI&amp;S'!$L$22:$L$36,MATCH($F26,'CI&amp;S'!$B$22:$B$36,0))="","Cell will autofill based on response",INDEX('CI&amp;S'!$L$22:$L$36,MATCH($F26,'CI&amp;S'!$B$22:$B$36,0))),"N/A")</f>
        <v/>
      </c>
      <c r="S26" s="50">
        <f>IFERROR(IF(INDEX('CFOG'!$L$10:$L$16,MATCH($F26,'CFOG'!$B$10:$B$16,0))="","Cell will autofill based on response",INDEX('CFOG'!$L$10:$L$16,MATCH($F26,'CFOG'!$B$10:$B$16,0))),"N/A")</f>
        <v/>
      </c>
      <c r="T26" s="50">
        <f>IFERROR(IF(INDEX('CFOG'!$L$23:$L$24,MATCH($F26,'CFOG'!$B$23:$B$24,0))="","Cell will autofill based on response",INDEX('CFOG'!$L$23:$L$24,MATCH($F26,'CFOG'!$B$23:$B$24,0))),"N/A")</f>
        <v/>
      </c>
      <c r="U26" s="50">
        <f>IFERROR(IF(INDEX('ESG'!$L$10:$L$17,MATCH($F26,'ESG'!$B$10:$B$17,0))="","Cell will autofill based on response",INDEX('ESG'!$L$10:$L$17,MATCH($F26,'ESG'!$B$10:$B$17,0))),"N/A")</f>
        <v/>
      </c>
      <c r="V26" s="50">
        <f>IFERROR(IF(INDEX('CIOG'!$L$10:$L$14,MATCH($F26,'CIOG'!$B$10:$B$14,0))="","Cell will autofill based on response",INDEX('CIOG'!$L$10:$L$14,MATCH($F26,'CIOG'!$B$10:$B$14,0))),"N/A")</f>
        <v/>
      </c>
      <c r="W26" s="50">
        <f>IFERROR(IF(INDEX('MRE'!$L$10:$L$18,MATCH($F26,'MRE'!$B$10:$B$18,0))="","Cell will autofill based on response",INDEX('MRE'!$L$10:$L$18,MATCH($F26,'MRE'!$B$10:$B$18,0))),"N/A")</f>
        <v/>
      </c>
      <c r="X26" s="50">
        <f>IFERROR(IF(INDEX('AC&amp;M'!$L$10:$L$14,MATCH($F26,'AC&amp;M'!$B$10:$B$14,0))="","Cell will autofill based on response",INDEX('AC&amp;M'!$L$10:$L$14,MATCH($F26,'AC&amp;M'!$B$10:$B$14,0))),"N/A")</f>
        <v/>
      </c>
      <c r="Y26" s="50">
        <f>IFERROR(IF(INDEX('GCE'!$L$10:$L$12,MATCH($F26,'GCE'!$B$10:$B$12,0))="","Cell will autofill based on response",INDEX('GCE'!$L$10:$L$12,MATCH($F26,'GCE'!$B$10:$B$12,0))),"N/A")</f>
        <v/>
      </c>
      <c r="Z26" s="50">
        <f>IFERROR(IF(INDEX('Education'!$L$10:$L$13,MATCH($F26,'Education'!$B$10:$B$13,0))="","Cell will autofill based on response",INDEX('Education'!$L$10:$L$13,MATCH($F26,'Education'!$B$10:$B$13,0))),"N/A")</f>
        <v/>
      </c>
      <c r="AA26" s="50">
        <f>IFERROR(IF(INDEX('SaSS'!$L$10:$L$12,MATCH($F26,'SaSS'!$B$10:$B$12,0))="","Cell will autofill based on response",INDEX('SaSS'!$L$10:$L$12,MATCH($F26,'SaSS'!$B$10:$B$12,0))),"N/A")</f>
        <v/>
      </c>
      <c r="AB26" s="50">
        <f>IFERROR(IF(INDEX('Indigenous'!$L$10:$L$11,MATCH($F26,'Indigenous'!$B$10:$B$11,0))="","Cell will autofill based on response",INDEX('Indigenous'!$L$10:$L$11,MATCH($F26,'Indigenous'!$B$10:$B$11,0))),"N/A")</f>
        <v/>
      </c>
      <c r="AC26" s="50">
        <f>IFERROR(IF(INDEX('L&amp;R'!$L$10:$L$11,MATCH($F26,'L&amp;R'!$B$10:$B$11,0))="","Cell will autofill based on response",INDEX('L&amp;R'!$L$10:$L$11,MATCH($F26,'L&amp;R'!$B$10:$B$11,0))),"N/A")</f>
        <v/>
      </c>
      <c r="AE26" s="9">
        <f>SUMPRODUCT(--($H26:$AC26&lt;&gt;"N/A"))</f>
        <v/>
      </c>
      <c r="AF26" s="9">
        <f>SUMPRODUCT(--(((($H26:$AC26&lt;&gt;"N/A")*($H26:$AC26&lt;&gt;"Cell will autofill based on response"))+(($H27:$AC27&lt;&gt;"N/A")*($H27:$AC27&lt;&gt;"Cell will autofill based on response")))&gt;0))</f>
        <v/>
      </c>
      <c r="AG26" s="9">
        <f>AE26-AF26</f>
        <v/>
      </c>
      <c r="AH26" s="9">
        <f>COUNTIF($H30:$AC30,"Yes")</f>
        <v/>
      </c>
    </row>
    <row r="27" ht="39" customHeight="1">
      <c r="A27">
        <f>F27&amp;"|"&amp;G27</f>
        <v/>
      </c>
      <c r="B27" s="12" t="inlineStr"/>
      <c r="C27" s="7" t="inlineStr"/>
      <c r="D27" s="7" t="inlineStr"/>
      <c r="E27" s="7" t="inlineStr"/>
      <c r="F27" s="7" t="inlineStr">
        <is>
          <t>EE1(d)</t>
        </is>
      </c>
      <c r="G27" s="7" t="inlineStr">
        <is>
          <t>OPTION 2:  Indicator level reporting</t>
        </is>
      </c>
      <c r="H27" s="50">
        <f>IFERROR(IF(INDEX('Faculties'!$M$10:$M$18,MATCH($F27,'Faculties'!$B$10:$B$18,0))="","Cell will autofill based on response",INDEX('Faculties'!$M$10:$M$18,MATCH($F27,'Faculties'!$B$10:$B$18,0))),"N/A")</f>
        <v/>
      </c>
      <c r="I27" s="50">
        <f>IFERROR(IF(INDEX('Faculties'!$M$25:$M$34,MATCH($F27,'Faculties'!$B$25:$B$34,0))="","Cell will autofill based on response",INDEX('Faculties'!$M$25:$M$34,MATCH($F27,'Faculties'!$B$25:$B$34,0))),"N/A")</f>
        <v/>
      </c>
      <c r="J27" s="50">
        <f>IFERROR(IF(INDEX('Faculties'!$M$41:$M$50,MATCH($F27,'Faculties'!$B$41:$B$50,0))="","Cell will autofill based on response",INDEX('Faculties'!$M$41:$M$50,MATCH($F27,'Faculties'!$B$41:$B$50,0))),"N/A")</f>
        <v/>
      </c>
      <c r="K27" s="50">
        <f>IFERROR(IF(INDEX('Faculties'!$M$57:$M$66,MATCH($F27,'Faculties'!$B$57:$B$66,0))="","Cell will autofill based on response",INDEX('Faculties'!$M$57:$M$66,MATCH($F27,'Faculties'!$B$57:$B$66,0))),"N/A")</f>
        <v/>
      </c>
      <c r="L27" s="50">
        <f>IFERROR(IF(INDEX('Faculties'!$M$73:$M$82,MATCH($F27,'Faculties'!$B$73:$B$82,0))="","Cell will autofill based on response",INDEX('Faculties'!$M$73:$M$82,MATCH($F27,'Faculties'!$B$73:$B$82,0))),"N/A")</f>
        <v/>
      </c>
      <c r="M27" s="50">
        <f>IFERROR(IF(INDEX('Faculties'!$M$89:$M$98,MATCH($F27,'Faculties'!$B$89:$B$98,0))="","Cell will autofill based on response",INDEX('Faculties'!$M$89:$M$98,MATCH($F27,'Faculties'!$B$89:$B$98,0))),"N/A")</f>
        <v/>
      </c>
      <c r="N27" s="50">
        <f>IFERROR(IF(INDEX('Faculties'!$M$105:$M$114,MATCH($F27,'Faculties'!$B$105:$B$114,0))="","Cell will autofill based on response",INDEX('Faculties'!$M$105:$M$114,MATCH($F27,'Faculties'!$B$105:$B$114,0))),"N/A")</f>
        <v/>
      </c>
      <c r="O27" s="50">
        <f>IFERROR(IF(INDEX('Faculties'!$M$121:$M$130,MATCH($F27,'Faculties'!$B$121:$B$130,0))="","Cell will autofill based on response",INDEX('Faculties'!$M$121:$M$130,MATCH($F27,'Faculties'!$B$121:$B$130,0))),"N/A")</f>
        <v/>
      </c>
      <c r="P27" s="50">
        <f>IFERROR(IF(INDEX('Faculties'!$M$137:$M$146,MATCH($F27,'Faculties'!$B$137:$B$146,0))="","Cell will autofill based on response",INDEX('Faculties'!$M$137:$M$146,MATCH($F27,'Faculties'!$B$137:$B$146,0))),"N/A")</f>
        <v/>
      </c>
      <c r="Q27" s="50">
        <f>IFERROR(IF(INDEX('CI&amp;S'!$M$10:$M$15,MATCH($F27,'CI&amp;S'!$B$10:$B$15,0))="","Cell will autofill based on response",INDEX('CI&amp;S'!$M$10:$M$15,MATCH($F27,'CI&amp;S'!$B$10:$B$15,0))),"N/A")</f>
        <v/>
      </c>
      <c r="R27" s="50">
        <f>IFERROR(IF(INDEX('CI&amp;S'!$M$22:$M$36,MATCH($F27,'CI&amp;S'!$B$22:$B$36,0))="","Cell will autofill based on response",INDEX('CI&amp;S'!$M$22:$M$36,MATCH($F27,'CI&amp;S'!$B$22:$B$36,0))),"N/A")</f>
        <v/>
      </c>
      <c r="S27" s="50">
        <f>IFERROR(IF(INDEX('CFOG'!$M$10:$M$16,MATCH($F27,'CFOG'!$B$10:$B$16,0))="","Cell will autofill based on response",INDEX('CFOG'!$M$10:$M$16,MATCH($F27,'CFOG'!$B$10:$B$16,0))),"N/A")</f>
        <v/>
      </c>
      <c r="T27" s="50">
        <f>IFERROR(IF(INDEX('CFOG'!$M$23:$M$24,MATCH($F27,'CFOG'!$B$23:$B$24,0))="","Cell will autofill based on response",INDEX('CFOG'!$M$23:$M$24,MATCH($F27,'CFOG'!$B$23:$B$24,0))),"N/A")</f>
        <v/>
      </c>
      <c r="U27" s="50">
        <f>IFERROR(IF(INDEX('ESG'!$M$10:$M$17,MATCH($F27,'ESG'!$B$10:$B$17,0))="","Cell will autofill based on response",INDEX('ESG'!$M$10:$M$17,MATCH($F27,'ESG'!$B$10:$B$17,0))),"N/A")</f>
        <v/>
      </c>
      <c r="V27" s="50">
        <f>IFERROR(IF(INDEX('CIOG'!$M$10:$M$14,MATCH($F27,'CIOG'!$B$10:$B$14,0))="","Cell will autofill based on response",INDEX('CIOG'!$M$10:$M$14,MATCH($F27,'CIOG'!$B$10:$B$14,0))),"N/A")</f>
        <v/>
      </c>
      <c r="W27" s="50">
        <f>IFERROR(IF(INDEX('MRE'!$M$10:$M$18,MATCH($F27,'MRE'!$B$10:$B$18,0))="","Cell will autofill based on response",INDEX('MRE'!$M$10:$M$18,MATCH($F27,'MRE'!$B$10:$B$18,0))),"N/A")</f>
        <v/>
      </c>
      <c r="X27" s="50">
        <f>IFERROR(IF(INDEX('AC&amp;M'!$M$10:$M$14,MATCH($F27,'AC&amp;M'!$B$10:$B$14,0))="","Cell will autofill based on response",INDEX('AC&amp;M'!$M$10:$M$14,MATCH($F27,'AC&amp;M'!$B$10:$B$14,0))),"N/A")</f>
        <v/>
      </c>
      <c r="Y27" s="50">
        <f>IFERROR(IF(INDEX('GCE'!$M$10:$M$12,MATCH($F27,'GCE'!$B$10:$B$12,0))="","Cell will autofill based on response",INDEX('GCE'!$M$10:$M$12,MATCH($F27,'GCE'!$B$10:$B$12,0))),"N/A")</f>
        <v/>
      </c>
      <c r="Z27" s="50">
        <f>IFERROR(IF(INDEX('Education'!$M$10:$M$13,MATCH($F27,'Education'!$B$10:$B$13,0))="","Cell will autofill based on response",INDEX('Education'!$M$10:$M$13,MATCH($F27,'Education'!$B$10:$B$13,0))),"N/A")</f>
        <v/>
      </c>
      <c r="AA27" s="50">
        <f>IFERROR(IF(INDEX('SaSS'!$M$10:$M$12,MATCH($F27,'SaSS'!$B$10:$B$12,0))="","Cell will autofill based on response",INDEX('SaSS'!$M$10:$M$12,MATCH($F27,'SaSS'!$B$10:$B$12,0))),"N/A")</f>
        <v/>
      </c>
      <c r="AB27" s="50">
        <f>IFERROR(IF(INDEX('Indigenous'!$M$10:$M$11,MATCH($F27,'Indigenous'!$B$10:$B$11,0))="","Cell will autofill based on response",INDEX('Indigenous'!$M$10:$M$11,MATCH($F27,'Indigenous'!$B$10:$B$11,0))),"N/A")</f>
        <v/>
      </c>
      <c r="AC27" s="50">
        <f>IFERROR(IF(INDEX('L&amp;R'!$M$10:$M$11,MATCH($F27,'L&amp;R'!$B$10:$B$11,0))="","Cell will autofill based on response",INDEX('L&amp;R'!$M$10:$M$11,MATCH($F27,'L&amp;R'!$B$10:$B$11,0))),"N/A")</f>
        <v/>
      </c>
    </row>
    <row r="28" ht="22" customHeight="1">
      <c r="A28">
        <f>F28&amp;"|"&amp;G28</f>
        <v/>
      </c>
      <c r="B28" s="12" t="inlineStr"/>
      <c r="C28" s="7" t="inlineStr"/>
      <c r="D28" s="7" t="inlineStr"/>
      <c r="E28" s="7" t="inlineStr"/>
      <c r="F28" s="7" t="inlineStr">
        <is>
          <t>EE1(d)</t>
        </is>
      </c>
      <c r="G28" s="7" t="inlineStr">
        <is>
          <t>Supporting information/comments</t>
        </is>
      </c>
      <c r="H28" s="50">
        <f>IFERROR(IF(INDEX('Faculties'!$N$10:$N$18,MATCH($F28,'Faculties'!$B$10:$B$18,0))="","Cell will autofill based on response",INDEX('Faculties'!$N$10:$N$18,MATCH($F28,'Faculties'!$B$10:$B$18,0))),"N/A")</f>
        <v/>
      </c>
      <c r="I28" s="50">
        <f>IFERROR(IF(INDEX('Faculties'!$N$25:$N$34,MATCH($F28,'Faculties'!$B$25:$B$34,0))="","Cell will autofill based on response",INDEX('Faculties'!$N$25:$N$34,MATCH($F28,'Faculties'!$B$25:$B$34,0))),"N/A")</f>
        <v/>
      </c>
      <c r="J28" s="50">
        <f>IFERROR(IF(INDEX('Faculties'!$N$41:$N$50,MATCH($F28,'Faculties'!$B$41:$B$50,0))="","Cell will autofill based on response",INDEX('Faculties'!$N$41:$N$50,MATCH($F28,'Faculties'!$B$41:$B$50,0))),"N/A")</f>
        <v/>
      </c>
      <c r="K28" s="50">
        <f>IFERROR(IF(INDEX('Faculties'!$N$57:$N$66,MATCH($F28,'Faculties'!$B$57:$B$66,0))="","Cell will autofill based on response",INDEX('Faculties'!$N$57:$N$66,MATCH($F28,'Faculties'!$B$57:$B$66,0))),"N/A")</f>
        <v/>
      </c>
      <c r="L28" s="50">
        <f>IFERROR(IF(INDEX('Faculties'!$N$73:$N$82,MATCH($F28,'Faculties'!$B$73:$B$82,0))="","Cell will autofill based on response",INDEX('Faculties'!$N$73:$N$82,MATCH($F28,'Faculties'!$B$73:$B$82,0))),"N/A")</f>
        <v/>
      </c>
      <c r="M28" s="50">
        <f>IFERROR(IF(INDEX('Faculties'!$N$89:$N$98,MATCH($F28,'Faculties'!$B$89:$B$98,0))="","Cell will autofill based on response",INDEX('Faculties'!$N$89:$N$98,MATCH($F28,'Faculties'!$B$89:$B$98,0))),"N/A")</f>
        <v/>
      </c>
      <c r="N28" s="50">
        <f>IFERROR(IF(INDEX('Faculties'!$N$105:$N$114,MATCH($F28,'Faculties'!$B$105:$B$114,0))="","Cell will autofill based on response",INDEX('Faculties'!$N$105:$N$114,MATCH($F28,'Faculties'!$B$105:$B$114,0))),"N/A")</f>
        <v/>
      </c>
      <c r="O28" s="50">
        <f>IFERROR(IF(INDEX('Faculties'!$N$121:$N$130,MATCH($F28,'Faculties'!$B$121:$B$130,0))="","Cell will autofill based on response",INDEX('Faculties'!$N$121:$N$130,MATCH($F28,'Faculties'!$B$121:$B$130,0))),"N/A")</f>
        <v/>
      </c>
      <c r="P28" s="50">
        <f>IFERROR(IF(INDEX('Faculties'!$N$137:$N$146,MATCH($F28,'Faculties'!$B$137:$B$146,0))="","Cell will autofill based on response",INDEX('Faculties'!$N$137:$N$146,MATCH($F28,'Faculties'!$B$137:$B$146,0))),"N/A")</f>
        <v/>
      </c>
      <c r="Q28" s="50">
        <f>IFERROR(IF(INDEX('CI&amp;S'!$N$10:$N$15,MATCH($F28,'CI&amp;S'!$B$10:$B$15,0))="","Cell will autofill based on response",INDEX('CI&amp;S'!$N$10:$N$15,MATCH($F28,'CI&amp;S'!$B$10:$B$15,0))),"N/A")</f>
        <v/>
      </c>
      <c r="R28" s="50">
        <f>IFERROR(IF(INDEX('CI&amp;S'!$N$22:$N$36,MATCH($F28,'CI&amp;S'!$B$22:$B$36,0))="","Cell will autofill based on response",INDEX('CI&amp;S'!$N$22:$N$36,MATCH($F28,'CI&amp;S'!$B$22:$B$36,0))),"N/A")</f>
        <v/>
      </c>
      <c r="S28" s="50">
        <f>IFERROR(IF(INDEX('CFOG'!$N$10:$N$16,MATCH($F28,'CFOG'!$B$10:$B$16,0))="","Cell will autofill based on response",INDEX('CFOG'!$N$10:$N$16,MATCH($F28,'CFOG'!$B$10:$B$16,0))),"N/A")</f>
        <v/>
      </c>
      <c r="T28" s="50">
        <f>IFERROR(IF(INDEX('CFOG'!$N$23:$N$24,MATCH($F28,'CFOG'!$B$23:$B$24,0))="","Cell will autofill based on response",INDEX('CFOG'!$N$23:$N$24,MATCH($F28,'CFOG'!$B$23:$B$24,0))),"N/A")</f>
        <v/>
      </c>
      <c r="U28" s="50">
        <f>IFERROR(IF(INDEX('ESG'!$N$10:$N$17,MATCH($F28,'ESG'!$B$10:$B$17,0))="","Cell will autofill based on response",INDEX('ESG'!$N$10:$N$17,MATCH($F28,'ESG'!$B$10:$B$17,0))),"N/A")</f>
        <v/>
      </c>
      <c r="V28" s="50">
        <f>IFERROR(IF(INDEX('CIOG'!$N$10:$N$14,MATCH($F28,'CIOG'!$B$10:$B$14,0))="","Cell will autofill based on response",INDEX('CIOG'!$N$10:$N$14,MATCH($F28,'CIOG'!$B$10:$B$14,0))),"N/A")</f>
        <v/>
      </c>
      <c r="W28" s="50">
        <f>IFERROR(IF(INDEX('MRE'!$N$10:$N$18,MATCH($F28,'MRE'!$B$10:$B$18,0))="","Cell will autofill based on response",INDEX('MRE'!$N$10:$N$18,MATCH($F28,'MRE'!$B$10:$B$18,0))),"N/A")</f>
        <v/>
      </c>
      <c r="X28" s="50">
        <f>IFERROR(IF(INDEX('AC&amp;M'!$N$10:$N$14,MATCH($F28,'AC&amp;M'!$B$10:$B$14,0))="","Cell will autofill based on response",INDEX('AC&amp;M'!$N$10:$N$14,MATCH($F28,'AC&amp;M'!$B$10:$B$14,0))),"N/A")</f>
        <v/>
      </c>
      <c r="Y28" s="50">
        <f>IFERROR(IF(INDEX('GCE'!$N$10:$N$12,MATCH($F28,'GCE'!$B$10:$B$12,0))="","Cell will autofill based on response",INDEX('GCE'!$N$10:$N$12,MATCH($F28,'GCE'!$B$10:$B$12,0))),"N/A")</f>
        <v/>
      </c>
      <c r="Z28" s="50">
        <f>IFERROR(IF(INDEX('Education'!$N$10:$N$13,MATCH($F28,'Education'!$B$10:$B$13,0))="","Cell will autofill based on response",INDEX('Education'!$N$10:$N$13,MATCH($F28,'Education'!$B$10:$B$13,0))),"N/A")</f>
        <v/>
      </c>
      <c r="AA28" s="50">
        <f>IFERROR(IF(INDEX('SaSS'!$N$10:$N$12,MATCH($F28,'SaSS'!$B$10:$B$12,0))="","Cell will autofill based on response",INDEX('SaSS'!$N$10:$N$12,MATCH($F28,'SaSS'!$B$10:$B$12,0))),"N/A")</f>
        <v/>
      </c>
      <c r="AB28" s="50">
        <f>IFERROR(IF(INDEX('Indigenous'!$N$10:$N$11,MATCH($F28,'Indigenous'!$B$10:$B$11,0))="","Cell will autofill based on response",INDEX('Indigenous'!$N$10:$N$11,MATCH($F28,'Indigenous'!$B$10:$B$11,0))),"N/A")</f>
        <v/>
      </c>
      <c r="AC28" s="50">
        <f>IFERROR(IF(INDEX('L&amp;R'!$N$10:$N$11,MATCH($F28,'L&amp;R'!$B$10:$B$11,0))="","Cell will autofill based on response",INDEX('L&amp;R'!$N$10:$N$11,MATCH($F28,'L&amp;R'!$B$10:$B$11,0))),"N/A")</f>
        <v/>
      </c>
    </row>
    <row r="29" ht="22" customHeight="1">
      <c r="A29">
        <f>F29&amp;"|"&amp;G29</f>
        <v/>
      </c>
      <c r="B29" s="12" t="inlineStr"/>
      <c r="C29" s="7" t="inlineStr"/>
      <c r="D29" s="7" t="inlineStr"/>
      <c r="E29" s="7" t="inlineStr"/>
      <c r="F29" s="7" t="inlineStr">
        <is>
          <t>EE1(d)</t>
        </is>
      </c>
      <c r="G29" s="7" t="inlineStr">
        <is>
          <t>Data source and limitations</t>
        </is>
      </c>
      <c r="H29" s="50">
        <f>IFERROR(IF(INDEX('Faculties'!$O$10:$O$18,MATCH($F29,'Faculties'!$B$10:$B$18,0))="","Cell will autofill based on response",INDEX('Faculties'!$O$10:$O$18,MATCH($F29,'Faculties'!$B$10:$B$18,0))),"N/A")</f>
        <v/>
      </c>
      <c r="I29" s="50">
        <f>IFERROR(IF(INDEX('Faculties'!$O$25:$O$34,MATCH($F29,'Faculties'!$B$25:$B$34,0))="","Cell will autofill based on response",INDEX('Faculties'!$O$25:$O$34,MATCH($F29,'Faculties'!$B$25:$B$34,0))),"N/A")</f>
        <v/>
      </c>
      <c r="J29" s="50">
        <f>IFERROR(IF(INDEX('Faculties'!$O$41:$O$50,MATCH($F29,'Faculties'!$B$41:$B$50,0))="","Cell will autofill based on response",INDEX('Faculties'!$O$41:$O$50,MATCH($F29,'Faculties'!$B$41:$B$50,0))),"N/A")</f>
        <v/>
      </c>
      <c r="K29" s="50">
        <f>IFERROR(IF(INDEX('Faculties'!$O$57:$O$66,MATCH($F29,'Faculties'!$B$57:$B$66,0))="","Cell will autofill based on response",INDEX('Faculties'!$O$57:$O$66,MATCH($F29,'Faculties'!$B$57:$B$66,0))),"N/A")</f>
        <v/>
      </c>
      <c r="L29" s="50">
        <f>IFERROR(IF(INDEX('Faculties'!$O$73:$O$82,MATCH($F29,'Faculties'!$B$73:$B$82,0))="","Cell will autofill based on response",INDEX('Faculties'!$O$73:$O$82,MATCH($F29,'Faculties'!$B$73:$B$82,0))),"N/A")</f>
        <v/>
      </c>
      <c r="M29" s="50">
        <f>IFERROR(IF(INDEX('Faculties'!$O$89:$O$98,MATCH($F29,'Faculties'!$B$89:$B$98,0))="","Cell will autofill based on response",INDEX('Faculties'!$O$89:$O$98,MATCH($F29,'Faculties'!$B$89:$B$98,0))),"N/A")</f>
        <v/>
      </c>
      <c r="N29" s="50">
        <f>IFERROR(IF(INDEX('Faculties'!$O$105:$O$114,MATCH($F29,'Faculties'!$B$105:$B$114,0))="","Cell will autofill based on response",INDEX('Faculties'!$O$105:$O$114,MATCH($F29,'Faculties'!$B$105:$B$114,0))),"N/A")</f>
        <v/>
      </c>
      <c r="O29" s="50">
        <f>IFERROR(IF(INDEX('Faculties'!$O$121:$O$130,MATCH($F29,'Faculties'!$B$121:$B$130,0))="","Cell will autofill based on response",INDEX('Faculties'!$O$121:$O$130,MATCH($F29,'Faculties'!$B$121:$B$130,0))),"N/A")</f>
        <v/>
      </c>
      <c r="P29" s="50">
        <f>IFERROR(IF(INDEX('Faculties'!$O$137:$O$146,MATCH($F29,'Faculties'!$B$137:$B$146,0))="","Cell will autofill based on response",INDEX('Faculties'!$O$137:$O$146,MATCH($F29,'Faculties'!$B$137:$B$146,0))),"N/A")</f>
        <v/>
      </c>
      <c r="Q29" s="50">
        <f>IFERROR(IF(INDEX('CI&amp;S'!$O$10:$O$15,MATCH($F29,'CI&amp;S'!$B$10:$B$15,0))="","Cell will autofill based on response",INDEX('CI&amp;S'!$O$10:$O$15,MATCH($F29,'CI&amp;S'!$B$10:$B$15,0))),"N/A")</f>
        <v/>
      </c>
      <c r="R29" s="50">
        <f>IFERROR(IF(INDEX('CI&amp;S'!$O$22:$O$36,MATCH($F29,'CI&amp;S'!$B$22:$B$36,0))="","Cell will autofill based on response",INDEX('CI&amp;S'!$O$22:$O$36,MATCH($F29,'CI&amp;S'!$B$22:$B$36,0))),"N/A")</f>
        <v/>
      </c>
      <c r="S29" s="50">
        <f>IFERROR(IF(INDEX('CFOG'!$O$10:$O$16,MATCH($F29,'CFOG'!$B$10:$B$16,0))="","Cell will autofill based on response",INDEX('CFOG'!$O$10:$O$16,MATCH($F29,'CFOG'!$B$10:$B$16,0))),"N/A")</f>
        <v/>
      </c>
      <c r="T29" s="50">
        <f>IFERROR(IF(INDEX('CFOG'!$O$23:$O$24,MATCH($F29,'CFOG'!$B$23:$B$24,0))="","Cell will autofill based on response",INDEX('CFOG'!$O$23:$O$24,MATCH($F29,'CFOG'!$B$23:$B$24,0))),"N/A")</f>
        <v/>
      </c>
      <c r="U29" s="50">
        <f>IFERROR(IF(INDEX('ESG'!$O$10:$O$17,MATCH($F29,'ESG'!$B$10:$B$17,0))="","Cell will autofill based on response",INDEX('ESG'!$O$10:$O$17,MATCH($F29,'ESG'!$B$10:$B$17,0))),"N/A")</f>
        <v/>
      </c>
      <c r="V29" s="50">
        <f>IFERROR(IF(INDEX('CIOG'!$O$10:$O$14,MATCH($F29,'CIOG'!$B$10:$B$14,0))="","Cell will autofill based on response",INDEX('CIOG'!$O$10:$O$14,MATCH($F29,'CIOG'!$B$10:$B$14,0))),"N/A")</f>
        <v/>
      </c>
      <c r="W29" s="50">
        <f>IFERROR(IF(INDEX('MRE'!$O$10:$O$18,MATCH($F29,'MRE'!$B$10:$B$18,0))="","Cell will autofill based on response",INDEX('MRE'!$O$10:$O$18,MATCH($F29,'MRE'!$B$10:$B$18,0))),"N/A")</f>
        <v/>
      </c>
      <c r="X29" s="50">
        <f>IFERROR(IF(INDEX('AC&amp;M'!$O$10:$O$14,MATCH($F29,'AC&amp;M'!$B$10:$B$14,0))="","Cell will autofill based on response",INDEX('AC&amp;M'!$O$10:$O$14,MATCH($F29,'AC&amp;M'!$B$10:$B$14,0))),"N/A")</f>
        <v/>
      </c>
      <c r="Y29" s="50">
        <f>IFERROR(IF(INDEX('GCE'!$O$10:$O$12,MATCH($F29,'GCE'!$B$10:$B$12,0))="","Cell will autofill based on response",INDEX('GCE'!$O$10:$O$12,MATCH($F29,'GCE'!$B$10:$B$12,0))),"N/A")</f>
        <v/>
      </c>
      <c r="Z29" s="50">
        <f>IFERROR(IF(INDEX('Education'!$O$10:$O$13,MATCH($F29,'Education'!$B$10:$B$13,0))="","Cell will autofill based on response",INDEX('Education'!$O$10:$O$13,MATCH($F29,'Education'!$B$10:$B$13,0))),"N/A")</f>
        <v/>
      </c>
      <c r="AA29" s="50">
        <f>IFERROR(IF(INDEX('SaSS'!$O$10:$O$12,MATCH($F29,'SaSS'!$B$10:$B$12,0))="","Cell will autofill based on response",INDEX('SaSS'!$O$10:$O$12,MATCH($F29,'SaSS'!$B$10:$B$12,0))),"N/A")</f>
        <v/>
      </c>
      <c r="AB29" s="50">
        <f>IFERROR(IF(INDEX('Indigenous'!$O$10:$O$11,MATCH($F29,'Indigenous'!$B$10:$B$11,0))="","Cell will autofill based on response",INDEX('Indigenous'!$O$10:$O$11,MATCH($F29,'Indigenous'!$B$10:$B$11,0))),"N/A")</f>
        <v/>
      </c>
      <c r="AC29" s="50">
        <f>IFERROR(IF(INDEX('L&amp;R'!$O$10:$O$11,MATCH($F29,'L&amp;R'!$B$10:$B$11,0))="","Cell will autofill based on response",INDEX('L&amp;R'!$O$10:$O$11,MATCH($F29,'L&amp;R'!$B$10:$B$11,0))),"N/A")</f>
        <v/>
      </c>
    </row>
    <row r="30" ht="22" customHeight="1">
      <c r="A30">
        <f>F30&amp;"|"&amp;G30</f>
        <v/>
      </c>
      <c r="B30" s="12" t="inlineStr"/>
      <c r="C30" s="7" t="inlineStr"/>
      <c r="D30" s="7" t="inlineStr"/>
      <c r="E30" s="7" t="inlineStr"/>
      <c r="F30" s="7" t="inlineStr">
        <is>
          <t>EE1(d)</t>
        </is>
      </c>
      <c r="G30" s="7" t="inlineStr">
        <is>
          <t>Data owner confirms</t>
        </is>
      </c>
      <c r="H30" s="50">
        <f>IFERROR(IF(INDEX('Faculties'!$P$10:$P$18,MATCH($F30,'Faculties'!$B$10:$B$18,0))="","Cell will autofill based on response",INDEX('Faculties'!$P$10:$P$18,MATCH($F30,'Faculties'!$B$10:$B$18,0))),"N/A")</f>
        <v/>
      </c>
      <c r="I30" s="50">
        <f>IFERROR(IF(INDEX('Faculties'!$P$25:$P$34,MATCH($F30,'Faculties'!$B$25:$B$34,0))="","Cell will autofill based on response",INDEX('Faculties'!$P$25:$P$34,MATCH($F30,'Faculties'!$B$25:$B$34,0))),"N/A")</f>
        <v/>
      </c>
      <c r="J30" s="50">
        <f>IFERROR(IF(INDEX('Faculties'!$P$41:$P$50,MATCH($F30,'Faculties'!$B$41:$B$50,0))="","Cell will autofill based on response",INDEX('Faculties'!$P$41:$P$50,MATCH($F30,'Faculties'!$B$41:$B$50,0))),"N/A")</f>
        <v/>
      </c>
      <c r="K30" s="50">
        <f>IFERROR(IF(INDEX('Faculties'!$P$57:$P$66,MATCH($F30,'Faculties'!$B$57:$B$66,0))="","Cell will autofill based on response",INDEX('Faculties'!$P$57:$P$66,MATCH($F30,'Faculties'!$B$57:$B$66,0))),"N/A")</f>
        <v/>
      </c>
      <c r="L30" s="50">
        <f>IFERROR(IF(INDEX('Faculties'!$P$73:$P$82,MATCH($F30,'Faculties'!$B$73:$B$82,0))="","Cell will autofill based on response",INDEX('Faculties'!$P$73:$P$82,MATCH($F30,'Faculties'!$B$73:$B$82,0))),"N/A")</f>
        <v/>
      </c>
      <c r="M30" s="50">
        <f>IFERROR(IF(INDEX('Faculties'!$P$89:$P$98,MATCH($F30,'Faculties'!$B$89:$B$98,0))="","Cell will autofill based on response",INDEX('Faculties'!$P$89:$P$98,MATCH($F30,'Faculties'!$B$89:$B$98,0))),"N/A")</f>
        <v/>
      </c>
      <c r="N30" s="50">
        <f>IFERROR(IF(INDEX('Faculties'!$P$105:$P$114,MATCH($F30,'Faculties'!$B$105:$B$114,0))="","Cell will autofill based on response",INDEX('Faculties'!$P$105:$P$114,MATCH($F30,'Faculties'!$B$105:$B$114,0))),"N/A")</f>
        <v/>
      </c>
      <c r="O30" s="50">
        <f>IFERROR(IF(INDEX('Faculties'!$P$121:$P$130,MATCH($F30,'Faculties'!$B$121:$B$130,0))="","Cell will autofill based on response",INDEX('Faculties'!$P$121:$P$130,MATCH($F30,'Faculties'!$B$121:$B$130,0))),"N/A")</f>
        <v/>
      </c>
      <c r="P30" s="50">
        <f>IFERROR(IF(INDEX('Faculties'!$P$137:$P$146,MATCH($F30,'Faculties'!$B$137:$B$146,0))="","Cell will autofill based on response",INDEX('Faculties'!$P$137:$P$146,MATCH($F30,'Faculties'!$B$137:$B$146,0))),"N/A")</f>
        <v/>
      </c>
      <c r="Q30" s="50">
        <f>IFERROR(IF(INDEX('CI&amp;S'!$P$10:$P$15,MATCH($F30,'CI&amp;S'!$B$10:$B$15,0))="","Cell will autofill based on response",INDEX('CI&amp;S'!$P$10:$P$15,MATCH($F30,'CI&amp;S'!$B$10:$B$15,0))),"N/A")</f>
        <v/>
      </c>
      <c r="R30" s="50">
        <f>IFERROR(IF(INDEX('CI&amp;S'!$P$22:$P$36,MATCH($F30,'CI&amp;S'!$B$22:$B$36,0))="","Cell will autofill based on response",INDEX('CI&amp;S'!$P$22:$P$36,MATCH($F30,'CI&amp;S'!$B$22:$B$36,0))),"N/A")</f>
        <v/>
      </c>
      <c r="S30" s="50">
        <f>IFERROR(IF(INDEX('CFOG'!$P$10:$P$16,MATCH($F30,'CFOG'!$B$10:$B$16,0))="","Cell will autofill based on response",INDEX('CFOG'!$P$10:$P$16,MATCH($F30,'CFOG'!$B$10:$B$16,0))),"N/A")</f>
        <v/>
      </c>
      <c r="T30" s="50">
        <f>IFERROR(IF(INDEX('CFOG'!$P$23:$P$24,MATCH($F30,'CFOG'!$B$23:$B$24,0))="","Cell will autofill based on response",INDEX('CFOG'!$P$23:$P$24,MATCH($F30,'CFOG'!$B$23:$B$24,0))),"N/A")</f>
        <v/>
      </c>
      <c r="U30" s="50">
        <f>IFERROR(IF(INDEX('ESG'!$P$10:$P$17,MATCH($F30,'ESG'!$B$10:$B$17,0))="","Cell will autofill based on response",INDEX('ESG'!$P$10:$P$17,MATCH($F30,'ESG'!$B$10:$B$17,0))),"N/A")</f>
        <v/>
      </c>
      <c r="V30" s="50">
        <f>IFERROR(IF(INDEX('CIOG'!$P$10:$P$14,MATCH($F30,'CIOG'!$B$10:$B$14,0))="","Cell will autofill based on response",INDEX('CIOG'!$P$10:$P$14,MATCH($F30,'CIOG'!$B$10:$B$14,0))),"N/A")</f>
        <v/>
      </c>
      <c r="W30" s="50">
        <f>IFERROR(IF(INDEX('MRE'!$P$10:$P$18,MATCH($F30,'MRE'!$B$10:$B$18,0))="","Cell will autofill based on response",INDEX('MRE'!$P$10:$P$18,MATCH($F30,'MRE'!$B$10:$B$18,0))),"N/A")</f>
        <v/>
      </c>
      <c r="X30" s="50">
        <f>IFERROR(IF(INDEX('AC&amp;M'!$P$10:$P$14,MATCH($F30,'AC&amp;M'!$B$10:$B$14,0))="","Cell will autofill based on response",INDEX('AC&amp;M'!$P$10:$P$14,MATCH($F30,'AC&amp;M'!$B$10:$B$14,0))),"N/A")</f>
        <v/>
      </c>
      <c r="Y30" s="50">
        <f>IFERROR(IF(INDEX('GCE'!$P$10:$P$12,MATCH($F30,'GCE'!$B$10:$B$12,0))="","Cell will autofill based on response",INDEX('GCE'!$P$10:$P$12,MATCH($F30,'GCE'!$B$10:$B$12,0))),"N/A")</f>
        <v/>
      </c>
      <c r="Z30" s="50">
        <f>IFERROR(IF(INDEX('Education'!$P$10:$P$13,MATCH($F30,'Education'!$B$10:$B$13,0))="","Cell will autofill based on response",INDEX('Education'!$P$10:$P$13,MATCH($F30,'Education'!$B$10:$B$13,0))),"N/A")</f>
        <v/>
      </c>
      <c r="AA30" s="50">
        <f>IFERROR(IF(INDEX('SaSS'!$P$10:$P$12,MATCH($F30,'SaSS'!$B$10:$B$12,0))="","Cell will autofill based on response",INDEX('SaSS'!$P$10:$P$12,MATCH($F30,'SaSS'!$B$10:$B$12,0))),"N/A")</f>
        <v/>
      </c>
      <c r="AB30" s="50">
        <f>IFERROR(IF(INDEX('Indigenous'!$P$10:$P$11,MATCH($F30,'Indigenous'!$B$10:$B$11,0))="","Cell will autofill based on response",INDEX('Indigenous'!$P$10:$P$11,MATCH($F30,'Indigenous'!$B$10:$B$11,0))),"N/A")</f>
        <v/>
      </c>
      <c r="AC30" s="50">
        <f>IFERROR(IF(INDEX('L&amp;R'!$P$10:$P$11,MATCH($F30,'L&amp;R'!$B$10:$B$11,0))="","Cell will autofill based on response",INDEX('L&amp;R'!$P$10:$P$11,MATCH($F30,'L&amp;R'!$B$10:$B$11,0))),"N/A")</f>
        <v/>
      </c>
    </row>
    <row r="31" ht="154" customHeight="1">
      <c r="A31">
        <f>F31&amp;"|"&amp;G31</f>
        <v/>
      </c>
      <c r="B31" s="6" t="inlineStr">
        <is>
          <t>TR1(a)</t>
        </is>
      </c>
      <c r="C31" s="48" t="inlineStr">
        <is>
          <t>Transformational research</t>
        </is>
      </c>
      <c r="D31" s="48" t="inlineStr">
        <is>
          <t>Expert-reviewed evidence of researchers contributing to operational sustainability priorities through partnerships, advisory input, living labs, applied projects or decision-support</t>
        </is>
      </c>
      <c r="E31" s="48"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F31" s="48" t="inlineStr">
        <is>
          <t>TR1(a)</t>
        </is>
      </c>
      <c r="G31" s="48" t="inlineStr">
        <is>
          <t>OPTION 1:  Target-level reporting</t>
        </is>
      </c>
      <c r="H31" s="50">
        <f>IFERROR(IF(INDEX('Faculties'!$L$10:$L$18,MATCH($F31,'Faculties'!$B$10:$B$18,0))="","Cell will autofill based on response",INDEX('Faculties'!$L$10:$L$18,MATCH($F31,'Faculties'!$B$10:$B$18,0))),"N/A")</f>
        <v/>
      </c>
      <c r="I31" s="50">
        <f>IFERROR(IF(INDEX('Faculties'!$L$25:$L$34,MATCH($F31,'Faculties'!$B$25:$B$34,0))="","Cell will autofill based on response",INDEX('Faculties'!$L$25:$L$34,MATCH($F31,'Faculties'!$B$25:$B$34,0))),"N/A")</f>
        <v/>
      </c>
      <c r="J31" s="50">
        <f>IFERROR(IF(INDEX('Faculties'!$L$41:$L$50,MATCH($F31,'Faculties'!$B$41:$B$50,0))="","Cell will autofill based on response",INDEX('Faculties'!$L$41:$L$50,MATCH($F31,'Faculties'!$B$41:$B$50,0))),"N/A")</f>
        <v/>
      </c>
      <c r="K31" s="50">
        <f>IFERROR(IF(INDEX('Faculties'!$L$57:$L$66,MATCH($F31,'Faculties'!$B$57:$B$66,0))="","Cell will autofill based on response",INDEX('Faculties'!$L$57:$L$66,MATCH($F31,'Faculties'!$B$57:$B$66,0))),"N/A")</f>
        <v/>
      </c>
      <c r="L31" s="50">
        <f>IFERROR(IF(INDEX('Faculties'!$L$73:$L$82,MATCH($F31,'Faculties'!$B$73:$B$82,0))="","Cell will autofill based on response",INDEX('Faculties'!$L$73:$L$82,MATCH($F31,'Faculties'!$B$73:$B$82,0))),"N/A")</f>
        <v/>
      </c>
      <c r="M31" s="50">
        <f>IFERROR(IF(INDEX('Faculties'!$L$89:$L$98,MATCH($F31,'Faculties'!$B$89:$B$98,0))="","Cell will autofill based on response",INDEX('Faculties'!$L$89:$L$98,MATCH($F31,'Faculties'!$B$89:$B$98,0))),"N/A")</f>
        <v/>
      </c>
      <c r="N31" s="50">
        <f>IFERROR(IF(INDEX('Faculties'!$L$105:$L$114,MATCH($F31,'Faculties'!$B$105:$B$114,0))="","Cell will autofill based on response",INDEX('Faculties'!$L$105:$L$114,MATCH($F31,'Faculties'!$B$105:$B$114,0))),"N/A")</f>
        <v/>
      </c>
      <c r="O31" s="50">
        <f>IFERROR(IF(INDEX('Faculties'!$L$121:$L$130,MATCH($F31,'Faculties'!$B$121:$B$130,0))="","Cell will autofill based on response",INDEX('Faculties'!$L$121:$L$130,MATCH($F31,'Faculties'!$B$121:$B$130,0))),"N/A")</f>
        <v/>
      </c>
      <c r="P31" s="50">
        <f>IFERROR(IF(INDEX('Faculties'!$L$137:$L$146,MATCH($F31,'Faculties'!$B$137:$B$146,0))="","Cell will autofill based on response",INDEX('Faculties'!$L$137:$L$146,MATCH($F31,'Faculties'!$B$137:$B$146,0))),"N/A")</f>
        <v/>
      </c>
      <c r="Q31" s="50">
        <f>IFERROR(IF(INDEX('CI&amp;S'!$L$10:$L$15,MATCH($F31,'CI&amp;S'!$B$10:$B$15,0))="","Cell will autofill based on response",INDEX('CI&amp;S'!$L$10:$L$15,MATCH($F31,'CI&amp;S'!$B$10:$B$15,0))),"N/A")</f>
        <v/>
      </c>
      <c r="R31" s="50">
        <f>IFERROR(IF(INDEX('CI&amp;S'!$L$22:$L$36,MATCH($F31,'CI&amp;S'!$B$22:$B$36,0))="","Cell will autofill based on response",INDEX('CI&amp;S'!$L$22:$L$36,MATCH($F31,'CI&amp;S'!$B$22:$B$36,0))),"N/A")</f>
        <v/>
      </c>
      <c r="S31" s="50">
        <f>IFERROR(IF(INDEX('CFOG'!$L$10:$L$16,MATCH($F31,'CFOG'!$B$10:$B$16,0))="","Cell will autofill based on response",INDEX('CFOG'!$L$10:$L$16,MATCH($F31,'CFOG'!$B$10:$B$16,0))),"N/A")</f>
        <v/>
      </c>
      <c r="T31" s="50">
        <f>IFERROR(IF(INDEX('CFOG'!$L$23:$L$24,MATCH($F31,'CFOG'!$B$23:$B$24,0))="","Cell will autofill based on response",INDEX('CFOG'!$L$23:$L$24,MATCH($F31,'CFOG'!$B$23:$B$24,0))),"N/A")</f>
        <v/>
      </c>
      <c r="U31" s="50">
        <f>IFERROR(IF(INDEX('ESG'!$L$10:$L$17,MATCH($F31,'ESG'!$B$10:$B$17,0))="","Cell will autofill based on response",INDEX('ESG'!$L$10:$L$17,MATCH($F31,'ESG'!$B$10:$B$17,0))),"N/A")</f>
        <v/>
      </c>
      <c r="V31" s="50">
        <f>IFERROR(IF(INDEX('CIOG'!$L$10:$L$14,MATCH($F31,'CIOG'!$B$10:$B$14,0))="","Cell will autofill based on response",INDEX('CIOG'!$L$10:$L$14,MATCH($F31,'CIOG'!$B$10:$B$14,0))),"N/A")</f>
        <v/>
      </c>
      <c r="W31" s="50">
        <f>IFERROR(IF(INDEX('MRE'!$L$10:$L$18,MATCH($F31,'MRE'!$B$10:$B$18,0))="","Cell will autofill based on response",INDEX('MRE'!$L$10:$L$18,MATCH($F31,'MRE'!$B$10:$B$18,0))),"N/A")</f>
        <v/>
      </c>
      <c r="X31" s="50">
        <f>IFERROR(IF(INDEX('AC&amp;M'!$L$10:$L$14,MATCH($F31,'AC&amp;M'!$B$10:$B$14,0))="","Cell will autofill based on response",INDEX('AC&amp;M'!$L$10:$L$14,MATCH($F31,'AC&amp;M'!$B$10:$B$14,0))),"N/A")</f>
        <v/>
      </c>
      <c r="Y31" s="50">
        <f>IFERROR(IF(INDEX('GCE'!$L$10:$L$12,MATCH($F31,'GCE'!$B$10:$B$12,0))="","Cell will autofill based on response",INDEX('GCE'!$L$10:$L$12,MATCH($F31,'GCE'!$B$10:$B$12,0))),"N/A")</f>
        <v/>
      </c>
      <c r="Z31" s="50">
        <f>IFERROR(IF(INDEX('Education'!$L$10:$L$13,MATCH($F31,'Education'!$B$10:$B$13,0))="","Cell will autofill based on response",INDEX('Education'!$L$10:$L$13,MATCH($F31,'Education'!$B$10:$B$13,0))),"N/A")</f>
        <v/>
      </c>
      <c r="AA31" s="50">
        <f>IFERROR(IF(INDEX('SaSS'!$L$10:$L$12,MATCH($F31,'SaSS'!$B$10:$B$12,0))="","Cell will autofill based on response",INDEX('SaSS'!$L$10:$L$12,MATCH($F31,'SaSS'!$B$10:$B$12,0))),"N/A")</f>
        <v/>
      </c>
      <c r="AB31" s="50">
        <f>IFERROR(IF(INDEX('Indigenous'!$L$10:$L$11,MATCH($F31,'Indigenous'!$B$10:$B$11,0))="","Cell will autofill based on response",INDEX('Indigenous'!$L$10:$L$11,MATCH($F31,'Indigenous'!$B$10:$B$11,0))),"N/A")</f>
        <v/>
      </c>
      <c r="AC31" s="50">
        <f>IFERROR(IF(INDEX('L&amp;R'!$L$10:$L$11,MATCH($F31,'L&amp;R'!$B$10:$B$11,0))="","Cell will autofill based on response",INDEX('L&amp;R'!$L$10:$L$11,MATCH($F31,'L&amp;R'!$B$10:$B$11,0))),"N/A")</f>
        <v/>
      </c>
      <c r="AE31" s="9">
        <f>SUMPRODUCT(--($H31:$AC31&lt;&gt;"N/A"))</f>
        <v/>
      </c>
      <c r="AF31" s="9">
        <f>SUMPRODUCT(--(((($H31:$AC31&lt;&gt;"N/A")*($H31:$AC31&lt;&gt;"Cell will autofill based on response"))+(($H32:$AC32&lt;&gt;"N/A")*($H32:$AC32&lt;&gt;"Cell will autofill based on response")))&gt;0))</f>
        <v/>
      </c>
      <c r="AG31" s="9">
        <f>AE31-AF31</f>
        <v/>
      </c>
      <c r="AH31" s="9">
        <f>COUNTIF($H35:$AC35,"Yes")</f>
        <v/>
      </c>
    </row>
    <row r="32" ht="39" customHeight="1">
      <c r="A32">
        <f>F32&amp;"|"&amp;G32</f>
        <v/>
      </c>
      <c r="B32" s="12" t="inlineStr"/>
      <c r="C32" s="7" t="inlineStr"/>
      <c r="D32" s="7" t="inlineStr"/>
      <c r="E32" s="7" t="inlineStr"/>
      <c r="F32" s="7" t="inlineStr">
        <is>
          <t>TR1(a)</t>
        </is>
      </c>
      <c r="G32" s="7" t="inlineStr">
        <is>
          <t>OPTION 2:  Indicator level reporting</t>
        </is>
      </c>
      <c r="H32" s="50">
        <f>IFERROR(IF(INDEX('Faculties'!$M$10:$M$18,MATCH($F32,'Faculties'!$B$10:$B$18,0))="","Cell will autofill based on response",INDEX('Faculties'!$M$10:$M$18,MATCH($F32,'Faculties'!$B$10:$B$18,0))),"N/A")</f>
        <v/>
      </c>
      <c r="I32" s="50">
        <f>IFERROR(IF(INDEX('Faculties'!$M$25:$M$34,MATCH($F32,'Faculties'!$B$25:$B$34,0))="","Cell will autofill based on response",INDEX('Faculties'!$M$25:$M$34,MATCH($F32,'Faculties'!$B$25:$B$34,0))),"N/A")</f>
        <v/>
      </c>
      <c r="J32" s="50">
        <f>IFERROR(IF(INDEX('Faculties'!$M$41:$M$50,MATCH($F32,'Faculties'!$B$41:$B$50,0))="","Cell will autofill based on response",INDEX('Faculties'!$M$41:$M$50,MATCH($F32,'Faculties'!$B$41:$B$50,0))),"N/A")</f>
        <v/>
      </c>
      <c r="K32" s="50">
        <f>IFERROR(IF(INDEX('Faculties'!$M$57:$M$66,MATCH($F32,'Faculties'!$B$57:$B$66,0))="","Cell will autofill based on response",INDEX('Faculties'!$M$57:$M$66,MATCH($F32,'Faculties'!$B$57:$B$66,0))),"N/A")</f>
        <v/>
      </c>
      <c r="L32" s="50">
        <f>IFERROR(IF(INDEX('Faculties'!$M$73:$M$82,MATCH($F32,'Faculties'!$B$73:$B$82,0))="","Cell will autofill based on response",INDEX('Faculties'!$M$73:$M$82,MATCH($F32,'Faculties'!$B$73:$B$82,0))),"N/A")</f>
        <v/>
      </c>
      <c r="M32" s="50">
        <f>IFERROR(IF(INDEX('Faculties'!$M$89:$M$98,MATCH($F32,'Faculties'!$B$89:$B$98,0))="","Cell will autofill based on response",INDEX('Faculties'!$M$89:$M$98,MATCH($F32,'Faculties'!$B$89:$B$98,0))),"N/A")</f>
        <v/>
      </c>
      <c r="N32" s="50">
        <f>IFERROR(IF(INDEX('Faculties'!$M$105:$M$114,MATCH($F32,'Faculties'!$B$105:$B$114,0))="","Cell will autofill based on response",INDEX('Faculties'!$M$105:$M$114,MATCH($F32,'Faculties'!$B$105:$B$114,0))),"N/A")</f>
        <v/>
      </c>
      <c r="O32" s="50">
        <f>IFERROR(IF(INDEX('Faculties'!$M$121:$M$130,MATCH($F32,'Faculties'!$B$121:$B$130,0))="","Cell will autofill based on response",INDEX('Faculties'!$M$121:$M$130,MATCH($F32,'Faculties'!$B$121:$B$130,0))),"N/A")</f>
        <v/>
      </c>
      <c r="P32" s="50">
        <f>IFERROR(IF(INDEX('Faculties'!$M$137:$M$146,MATCH($F32,'Faculties'!$B$137:$B$146,0))="","Cell will autofill based on response",INDEX('Faculties'!$M$137:$M$146,MATCH($F32,'Faculties'!$B$137:$B$146,0))),"N/A")</f>
        <v/>
      </c>
      <c r="Q32" s="50">
        <f>IFERROR(IF(INDEX('CI&amp;S'!$M$10:$M$15,MATCH($F32,'CI&amp;S'!$B$10:$B$15,0))="","Cell will autofill based on response",INDEX('CI&amp;S'!$M$10:$M$15,MATCH($F32,'CI&amp;S'!$B$10:$B$15,0))),"N/A")</f>
        <v/>
      </c>
      <c r="R32" s="50">
        <f>IFERROR(IF(INDEX('CI&amp;S'!$M$22:$M$36,MATCH($F32,'CI&amp;S'!$B$22:$B$36,0))="","Cell will autofill based on response",INDEX('CI&amp;S'!$M$22:$M$36,MATCH($F32,'CI&amp;S'!$B$22:$B$36,0))),"N/A")</f>
        <v/>
      </c>
      <c r="S32" s="50">
        <f>IFERROR(IF(INDEX('CFOG'!$M$10:$M$16,MATCH($F32,'CFOG'!$B$10:$B$16,0))="","Cell will autofill based on response",INDEX('CFOG'!$M$10:$M$16,MATCH($F32,'CFOG'!$B$10:$B$16,0))),"N/A")</f>
        <v/>
      </c>
      <c r="T32" s="50">
        <f>IFERROR(IF(INDEX('CFOG'!$M$23:$M$24,MATCH($F32,'CFOG'!$B$23:$B$24,0))="","Cell will autofill based on response",INDEX('CFOG'!$M$23:$M$24,MATCH($F32,'CFOG'!$B$23:$B$24,0))),"N/A")</f>
        <v/>
      </c>
      <c r="U32" s="50">
        <f>IFERROR(IF(INDEX('ESG'!$M$10:$M$17,MATCH($F32,'ESG'!$B$10:$B$17,0))="","Cell will autofill based on response",INDEX('ESG'!$M$10:$M$17,MATCH($F32,'ESG'!$B$10:$B$17,0))),"N/A")</f>
        <v/>
      </c>
      <c r="V32" s="50">
        <f>IFERROR(IF(INDEX('CIOG'!$M$10:$M$14,MATCH($F32,'CIOG'!$B$10:$B$14,0))="","Cell will autofill based on response",INDEX('CIOG'!$M$10:$M$14,MATCH($F32,'CIOG'!$B$10:$B$14,0))),"N/A")</f>
        <v/>
      </c>
      <c r="W32" s="50">
        <f>IFERROR(IF(INDEX('MRE'!$M$10:$M$18,MATCH($F32,'MRE'!$B$10:$B$18,0))="","Cell will autofill based on response",INDEX('MRE'!$M$10:$M$18,MATCH($F32,'MRE'!$B$10:$B$18,0))),"N/A")</f>
        <v/>
      </c>
      <c r="X32" s="50">
        <f>IFERROR(IF(INDEX('AC&amp;M'!$M$10:$M$14,MATCH($F32,'AC&amp;M'!$B$10:$B$14,0))="","Cell will autofill based on response",INDEX('AC&amp;M'!$M$10:$M$14,MATCH($F32,'AC&amp;M'!$B$10:$B$14,0))),"N/A")</f>
        <v/>
      </c>
      <c r="Y32" s="50">
        <f>IFERROR(IF(INDEX('GCE'!$M$10:$M$12,MATCH($F32,'GCE'!$B$10:$B$12,0))="","Cell will autofill based on response",INDEX('GCE'!$M$10:$M$12,MATCH($F32,'GCE'!$B$10:$B$12,0))),"N/A")</f>
        <v/>
      </c>
      <c r="Z32" s="50">
        <f>IFERROR(IF(INDEX('Education'!$M$10:$M$13,MATCH($F32,'Education'!$B$10:$B$13,0))="","Cell will autofill based on response",INDEX('Education'!$M$10:$M$13,MATCH($F32,'Education'!$B$10:$B$13,0))),"N/A")</f>
        <v/>
      </c>
      <c r="AA32" s="50">
        <f>IFERROR(IF(INDEX('SaSS'!$M$10:$M$12,MATCH($F32,'SaSS'!$B$10:$B$12,0))="","Cell will autofill based on response",INDEX('SaSS'!$M$10:$M$12,MATCH($F32,'SaSS'!$B$10:$B$12,0))),"N/A")</f>
        <v/>
      </c>
      <c r="AB32" s="50">
        <f>IFERROR(IF(INDEX('Indigenous'!$M$10:$M$11,MATCH($F32,'Indigenous'!$B$10:$B$11,0))="","Cell will autofill based on response",INDEX('Indigenous'!$M$10:$M$11,MATCH($F32,'Indigenous'!$B$10:$B$11,0))),"N/A")</f>
        <v/>
      </c>
      <c r="AC32" s="50">
        <f>IFERROR(IF(INDEX('L&amp;R'!$M$10:$M$11,MATCH($F32,'L&amp;R'!$B$10:$B$11,0))="","Cell will autofill based on response",INDEX('L&amp;R'!$M$10:$M$11,MATCH($F32,'L&amp;R'!$B$10:$B$11,0))),"N/A")</f>
        <v/>
      </c>
    </row>
    <row r="33" ht="22" customHeight="1">
      <c r="A33">
        <f>F33&amp;"|"&amp;G33</f>
        <v/>
      </c>
      <c r="B33" s="12" t="inlineStr"/>
      <c r="C33" s="7" t="inlineStr"/>
      <c r="D33" s="7" t="inlineStr"/>
      <c r="E33" s="7" t="inlineStr"/>
      <c r="F33" s="7" t="inlineStr">
        <is>
          <t>TR1(a)</t>
        </is>
      </c>
      <c r="G33" s="7" t="inlineStr">
        <is>
          <t>Supporting information/comments</t>
        </is>
      </c>
      <c r="H33" s="50">
        <f>IFERROR(IF(INDEX('Faculties'!$N$10:$N$18,MATCH($F33,'Faculties'!$B$10:$B$18,0))="","Cell will autofill based on response",INDEX('Faculties'!$N$10:$N$18,MATCH($F33,'Faculties'!$B$10:$B$18,0))),"N/A")</f>
        <v/>
      </c>
      <c r="I33" s="50">
        <f>IFERROR(IF(INDEX('Faculties'!$N$25:$N$34,MATCH($F33,'Faculties'!$B$25:$B$34,0))="","Cell will autofill based on response",INDEX('Faculties'!$N$25:$N$34,MATCH($F33,'Faculties'!$B$25:$B$34,0))),"N/A")</f>
        <v/>
      </c>
      <c r="J33" s="50">
        <f>IFERROR(IF(INDEX('Faculties'!$N$41:$N$50,MATCH($F33,'Faculties'!$B$41:$B$50,0))="","Cell will autofill based on response",INDEX('Faculties'!$N$41:$N$50,MATCH($F33,'Faculties'!$B$41:$B$50,0))),"N/A")</f>
        <v/>
      </c>
      <c r="K33" s="50">
        <f>IFERROR(IF(INDEX('Faculties'!$N$57:$N$66,MATCH($F33,'Faculties'!$B$57:$B$66,0))="","Cell will autofill based on response",INDEX('Faculties'!$N$57:$N$66,MATCH($F33,'Faculties'!$B$57:$B$66,0))),"N/A")</f>
        <v/>
      </c>
      <c r="L33" s="50">
        <f>IFERROR(IF(INDEX('Faculties'!$N$73:$N$82,MATCH($F33,'Faculties'!$B$73:$B$82,0))="","Cell will autofill based on response",INDEX('Faculties'!$N$73:$N$82,MATCH($F33,'Faculties'!$B$73:$B$82,0))),"N/A")</f>
        <v/>
      </c>
      <c r="M33" s="50">
        <f>IFERROR(IF(INDEX('Faculties'!$N$89:$N$98,MATCH($F33,'Faculties'!$B$89:$B$98,0))="","Cell will autofill based on response",INDEX('Faculties'!$N$89:$N$98,MATCH($F33,'Faculties'!$B$89:$B$98,0))),"N/A")</f>
        <v/>
      </c>
      <c r="N33" s="50">
        <f>IFERROR(IF(INDEX('Faculties'!$N$105:$N$114,MATCH($F33,'Faculties'!$B$105:$B$114,0))="","Cell will autofill based on response",INDEX('Faculties'!$N$105:$N$114,MATCH($F33,'Faculties'!$B$105:$B$114,0))),"N/A")</f>
        <v/>
      </c>
      <c r="O33" s="50">
        <f>IFERROR(IF(INDEX('Faculties'!$N$121:$N$130,MATCH($F33,'Faculties'!$B$121:$B$130,0))="","Cell will autofill based on response",INDEX('Faculties'!$N$121:$N$130,MATCH($F33,'Faculties'!$B$121:$B$130,0))),"N/A")</f>
        <v/>
      </c>
      <c r="P33" s="50">
        <f>IFERROR(IF(INDEX('Faculties'!$N$137:$N$146,MATCH($F33,'Faculties'!$B$137:$B$146,0))="","Cell will autofill based on response",INDEX('Faculties'!$N$137:$N$146,MATCH($F33,'Faculties'!$B$137:$B$146,0))),"N/A")</f>
        <v/>
      </c>
      <c r="Q33" s="50">
        <f>IFERROR(IF(INDEX('CI&amp;S'!$N$10:$N$15,MATCH($F33,'CI&amp;S'!$B$10:$B$15,0))="","Cell will autofill based on response",INDEX('CI&amp;S'!$N$10:$N$15,MATCH($F33,'CI&amp;S'!$B$10:$B$15,0))),"N/A")</f>
        <v/>
      </c>
      <c r="R33" s="50">
        <f>IFERROR(IF(INDEX('CI&amp;S'!$N$22:$N$36,MATCH($F33,'CI&amp;S'!$B$22:$B$36,0))="","Cell will autofill based on response",INDEX('CI&amp;S'!$N$22:$N$36,MATCH($F33,'CI&amp;S'!$B$22:$B$36,0))),"N/A")</f>
        <v/>
      </c>
      <c r="S33" s="50">
        <f>IFERROR(IF(INDEX('CFOG'!$N$10:$N$16,MATCH($F33,'CFOG'!$B$10:$B$16,0))="","Cell will autofill based on response",INDEX('CFOG'!$N$10:$N$16,MATCH($F33,'CFOG'!$B$10:$B$16,0))),"N/A")</f>
        <v/>
      </c>
      <c r="T33" s="50">
        <f>IFERROR(IF(INDEX('CFOG'!$N$23:$N$24,MATCH($F33,'CFOG'!$B$23:$B$24,0))="","Cell will autofill based on response",INDEX('CFOG'!$N$23:$N$24,MATCH($F33,'CFOG'!$B$23:$B$24,0))),"N/A")</f>
        <v/>
      </c>
      <c r="U33" s="50">
        <f>IFERROR(IF(INDEX('ESG'!$N$10:$N$17,MATCH($F33,'ESG'!$B$10:$B$17,0))="","Cell will autofill based on response",INDEX('ESG'!$N$10:$N$17,MATCH($F33,'ESG'!$B$10:$B$17,0))),"N/A")</f>
        <v/>
      </c>
      <c r="V33" s="50">
        <f>IFERROR(IF(INDEX('CIOG'!$N$10:$N$14,MATCH($F33,'CIOG'!$B$10:$B$14,0))="","Cell will autofill based on response",INDEX('CIOG'!$N$10:$N$14,MATCH($F33,'CIOG'!$B$10:$B$14,0))),"N/A")</f>
        <v/>
      </c>
      <c r="W33" s="50">
        <f>IFERROR(IF(INDEX('MRE'!$N$10:$N$18,MATCH($F33,'MRE'!$B$10:$B$18,0))="","Cell will autofill based on response",INDEX('MRE'!$N$10:$N$18,MATCH($F33,'MRE'!$B$10:$B$18,0))),"N/A")</f>
        <v/>
      </c>
      <c r="X33" s="50">
        <f>IFERROR(IF(INDEX('AC&amp;M'!$N$10:$N$14,MATCH($F33,'AC&amp;M'!$B$10:$B$14,0))="","Cell will autofill based on response",INDEX('AC&amp;M'!$N$10:$N$14,MATCH($F33,'AC&amp;M'!$B$10:$B$14,0))),"N/A")</f>
        <v/>
      </c>
      <c r="Y33" s="50">
        <f>IFERROR(IF(INDEX('GCE'!$N$10:$N$12,MATCH($F33,'GCE'!$B$10:$B$12,0))="","Cell will autofill based on response",INDEX('GCE'!$N$10:$N$12,MATCH($F33,'GCE'!$B$10:$B$12,0))),"N/A")</f>
        <v/>
      </c>
      <c r="Z33" s="50">
        <f>IFERROR(IF(INDEX('Education'!$N$10:$N$13,MATCH($F33,'Education'!$B$10:$B$13,0))="","Cell will autofill based on response",INDEX('Education'!$N$10:$N$13,MATCH($F33,'Education'!$B$10:$B$13,0))),"N/A")</f>
        <v/>
      </c>
      <c r="AA33" s="50">
        <f>IFERROR(IF(INDEX('SaSS'!$N$10:$N$12,MATCH($F33,'SaSS'!$B$10:$B$12,0))="","Cell will autofill based on response",INDEX('SaSS'!$N$10:$N$12,MATCH($F33,'SaSS'!$B$10:$B$12,0))),"N/A")</f>
        <v/>
      </c>
      <c r="AB33" s="50">
        <f>IFERROR(IF(INDEX('Indigenous'!$N$10:$N$11,MATCH($F33,'Indigenous'!$B$10:$B$11,0))="","Cell will autofill based on response",INDEX('Indigenous'!$N$10:$N$11,MATCH($F33,'Indigenous'!$B$10:$B$11,0))),"N/A")</f>
        <v/>
      </c>
      <c r="AC33" s="50">
        <f>IFERROR(IF(INDEX('L&amp;R'!$N$10:$N$11,MATCH($F33,'L&amp;R'!$B$10:$B$11,0))="","Cell will autofill based on response",INDEX('L&amp;R'!$N$10:$N$11,MATCH($F33,'L&amp;R'!$B$10:$B$11,0))),"N/A")</f>
        <v/>
      </c>
    </row>
    <row r="34" ht="22" customHeight="1">
      <c r="A34">
        <f>F34&amp;"|"&amp;G34</f>
        <v/>
      </c>
      <c r="B34" s="12" t="inlineStr"/>
      <c r="C34" s="7" t="inlineStr"/>
      <c r="D34" s="7" t="inlineStr"/>
      <c r="E34" s="7" t="inlineStr"/>
      <c r="F34" s="7" t="inlineStr">
        <is>
          <t>TR1(a)</t>
        </is>
      </c>
      <c r="G34" s="7" t="inlineStr">
        <is>
          <t>Data source and limitations</t>
        </is>
      </c>
      <c r="H34" s="50">
        <f>IFERROR(IF(INDEX('Faculties'!$O$10:$O$18,MATCH($F34,'Faculties'!$B$10:$B$18,0))="","Cell will autofill based on response",INDEX('Faculties'!$O$10:$O$18,MATCH($F34,'Faculties'!$B$10:$B$18,0))),"N/A")</f>
        <v/>
      </c>
      <c r="I34" s="50">
        <f>IFERROR(IF(INDEX('Faculties'!$O$25:$O$34,MATCH($F34,'Faculties'!$B$25:$B$34,0))="","Cell will autofill based on response",INDEX('Faculties'!$O$25:$O$34,MATCH($F34,'Faculties'!$B$25:$B$34,0))),"N/A")</f>
        <v/>
      </c>
      <c r="J34" s="50">
        <f>IFERROR(IF(INDEX('Faculties'!$O$41:$O$50,MATCH($F34,'Faculties'!$B$41:$B$50,0))="","Cell will autofill based on response",INDEX('Faculties'!$O$41:$O$50,MATCH($F34,'Faculties'!$B$41:$B$50,0))),"N/A")</f>
        <v/>
      </c>
      <c r="K34" s="50">
        <f>IFERROR(IF(INDEX('Faculties'!$O$57:$O$66,MATCH($F34,'Faculties'!$B$57:$B$66,0))="","Cell will autofill based on response",INDEX('Faculties'!$O$57:$O$66,MATCH($F34,'Faculties'!$B$57:$B$66,0))),"N/A")</f>
        <v/>
      </c>
      <c r="L34" s="50">
        <f>IFERROR(IF(INDEX('Faculties'!$O$73:$O$82,MATCH($F34,'Faculties'!$B$73:$B$82,0))="","Cell will autofill based on response",INDEX('Faculties'!$O$73:$O$82,MATCH($F34,'Faculties'!$B$73:$B$82,0))),"N/A")</f>
        <v/>
      </c>
      <c r="M34" s="50">
        <f>IFERROR(IF(INDEX('Faculties'!$O$89:$O$98,MATCH($F34,'Faculties'!$B$89:$B$98,0))="","Cell will autofill based on response",INDEX('Faculties'!$O$89:$O$98,MATCH($F34,'Faculties'!$B$89:$B$98,0))),"N/A")</f>
        <v/>
      </c>
      <c r="N34" s="50">
        <f>IFERROR(IF(INDEX('Faculties'!$O$105:$O$114,MATCH($F34,'Faculties'!$B$105:$B$114,0))="","Cell will autofill based on response",INDEX('Faculties'!$O$105:$O$114,MATCH($F34,'Faculties'!$B$105:$B$114,0))),"N/A")</f>
        <v/>
      </c>
      <c r="O34" s="50">
        <f>IFERROR(IF(INDEX('Faculties'!$O$121:$O$130,MATCH($F34,'Faculties'!$B$121:$B$130,0))="","Cell will autofill based on response",INDEX('Faculties'!$O$121:$O$130,MATCH($F34,'Faculties'!$B$121:$B$130,0))),"N/A")</f>
        <v/>
      </c>
      <c r="P34" s="50">
        <f>IFERROR(IF(INDEX('Faculties'!$O$137:$O$146,MATCH($F34,'Faculties'!$B$137:$B$146,0))="","Cell will autofill based on response",INDEX('Faculties'!$O$137:$O$146,MATCH($F34,'Faculties'!$B$137:$B$146,0))),"N/A")</f>
        <v/>
      </c>
      <c r="Q34" s="50">
        <f>IFERROR(IF(INDEX('CI&amp;S'!$O$10:$O$15,MATCH($F34,'CI&amp;S'!$B$10:$B$15,0))="","Cell will autofill based on response",INDEX('CI&amp;S'!$O$10:$O$15,MATCH($F34,'CI&amp;S'!$B$10:$B$15,0))),"N/A")</f>
        <v/>
      </c>
      <c r="R34" s="50">
        <f>IFERROR(IF(INDEX('CI&amp;S'!$O$22:$O$36,MATCH($F34,'CI&amp;S'!$B$22:$B$36,0))="","Cell will autofill based on response",INDEX('CI&amp;S'!$O$22:$O$36,MATCH($F34,'CI&amp;S'!$B$22:$B$36,0))),"N/A")</f>
        <v/>
      </c>
      <c r="S34" s="50">
        <f>IFERROR(IF(INDEX('CFOG'!$O$10:$O$16,MATCH($F34,'CFOG'!$B$10:$B$16,0))="","Cell will autofill based on response",INDEX('CFOG'!$O$10:$O$16,MATCH($F34,'CFOG'!$B$10:$B$16,0))),"N/A")</f>
        <v/>
      </c>
      <c r="T34" s="50">
        <f>IFERROR(IF(INDEX('CFOG'!$O$23:$O$24,MATCH($F34,'CFOG'!$B$23:$B$24,0))="","Cell will autofill based on response",INDEX('CFOG'!$O$23:$O$24,MATCH($F34,'CFOG'!$B$23:$B$24,0))),"N/A")</f>
        <v/>
      </c>
      <c r="U34" s="50">
        <f>IFERROR(IF(INDEX('ESG'!$O$10:$O$17,MATCH($F34,'ESG'!$B$10:$B$17,0))="","Cell will autofill based on response",INDEX('ESG'!$O$10:$O$17,MATCH($F34,'ESG'!$B$10:$B$17,0))),"N/A")</f>
        <v/>
      </c>
      <c r="V34" s="50">
        <f>IFERROR(IF(INDEX('CIOG'!$O$10:$O$14,MATCH($F34,'CIOG'!$B$10:$B$14,0))="","Cell will autofill based on response",INDEX('CIOG'!$O$10:$O$14,MATCH($F34,'CIOG'!$B$10:$B$14,0))),"N/A")</f>
        <v/>
      </c>
      <c r="W34" s="50">
        <f>IFERROR(IF(INDEX('MRE'!$O$10:$O$18,MATCH($F34,'MRE'!$B$10:$B$18,0))="","Cell will autofill based on response",INDEX('MRE'!$O$10:$O$18,MATCH($F34,'MRE'!$B$10:$B$18,0))),"N/A")</f>
        <v/>
      </c>
      <c r="X34" s="50">
        <f>IFERROR(IF(INDEX('AC&amp;M'!$O$10:$O$14,MATCH($F34,'AC&amp;M'!$B$10:$B$14,0))="","Cell will autofill based on response",INDEX('AC&amp;M'!$O$10:$O$14,MATCH($F34,'AC&amp;M'!$B$10:$B$14,0))),"N/A")</f>
        <v/>
      </c>
      <c r="Y34" s="50">
        <f>IFERROR(IF(INDEX('GCE'!$O$10:$O$12,MATCH($F34,'GCE'!$B$10:$B$12,0))="","Cell will autofill based on response",INDEX('GCE'!$O$10:$O$12,MATCH($F34,'GCE'!$B$10:$B$12,0))),"N/A")</f>
        <v/>
      </c>
      <c r="Z34" s="50">
        <f>IFERROR(IF(INDEX('Education'!$O$10:$O$13,MATCH($F34,'Education'!$B$10:$B$13,0))="","Cell will autofill based on response",INDEX('Education'!$O$10:$O$13,MATCH($F34,'Education'!$B$10:$B$13,0))),"N/A")</f>
        <v/>
      </c>
      <c r="AA34" s="50">
        <f>IFERROR(IF(INDEX('SaSS'!$O$10:$O$12,MATCH($F34,'SaSS'!$B$10:$B$12,0))="","Cell will autofill based on response",INDEX('SaSS'!$O$10:$O$12,MATCH($F34,'SaSS'!$B$10:$B$12,0))),"N/A")</f>
        <v/>
      </c>
      <c r="AB34" s="50">
        <f>IFERROR(IF(INDEX('Indigenous'!$O$10:$O$11,MATCH($F34,'Indigenous'!$B$10:$B$11,0))="","Cell will autofill based on response",INDEX('Indigenous'!$O$10:$O$11,MATCH($F34,'Indigenous'!$B$10:$B$11,0))),"N/A")</f>
        <v/>
      </c>
      <c r="AC34" s="50">
        <f>IFERROR(IF(INDEX('L&amp;R'!$O$10:$O$11,MATCH($F34,'L&amp;R'!$B$10:$B$11,0))="","Cell will autofill based on response",INDEX('L&amp;R'!$O$10:$O$11,MATCH($F34,'L&amp;R'!$B$10:$B$11,0))),"N/A")</f>
        <v/>
      </c>
    </row>
    <row r="35" ht="22" customHeight="1">
      <c r="A35">
        <f>F35&amp;"|"&amp;G35</f>
        <v/>
      </c>
      <c r="B35" s="12" t="inlineStr"/>
      <c r="C35" s="7" t="inlineStr"/>
      <c r="D35" s="7" t="inlineStr"/>
      <c r="E35" s="7" t="inlineStr"/>
      <c r="F35" s="7" t="inlineStr">
        <is>
          <t>TR1(a)</t>
        </is>
      </c>
      <c r="G35" s="7" t="inlineStr">
        <is>
          <t>Data owner confirms</t>
        </is>
      </c>
      <c r="H35" s="50">
        <f>IFERROR(IF(INDEX('Faculties'!$P$10:$P$18,MATCH($F35,'Faculties'!$B$10:$B$18,0))="","Cell will autofill based on response",INDEX('Faculties'!$P$10:$P$18,MATCH($F35,'Faculties'!$B$10:$B$18,0))),"N/A")</f>
        <v/>
      </c>
      <c r="I35" s="50">
        <f>IFERROR(IF(INDEX('Faculties'!$P$25:$P$34,MATCH($F35,'Faculties'!$B$25:$B$34,0))="","Cell will autofill based on response",INDEX('Faculties'!$P$25:$P$34,MATCH($F35,'Faculties'!$B$25:$B$34,0))),"N/A")</f>
        <v/>
      </c>
      <c r="J35" s="50">
        <f>IFERROR(IF(INDEX('Faculties'!$P$41:$P$50,MATCH($F35,'Faculties'!$B$41:$B$50,0))="","Cell will autofill based on response",INDEX('Faculties'!$P$41:$P$50,MATCH($F35,'Faculties'!$B$41:$B$50,0))),"N/A")</f>
        <v/>
      </c>
      <c r="K35" s="50">
        <f>IFERROR(IF(INDEX('Faculties'!$P$57:$P$66,MATCH($F35,'Faculties'!$B$57:$B$66,0))="","Cell will autofill based on response",INDEX('Faculties'!$P$57:$P$66,MATCH($F35,'Faculties'!$B$57:$B$66,0))),"N/A")</f>
        <v/>
      </c>
      <c r="L35" s="50">
        <f>IFERROR(IF(INDEX('Faculties'!$P$73:$P$82,MATCH($F35,'Faculties'!$B$73:$B$82,0))="","Cell will autofill based on response",INDEX('Faculties'!$P$73:$P$82,MATCH($F35,'Faculties'!$B$73:$B$82,0))),"N/A")</f>
        <v/>
      </c>
      <c r="M35" s="50">
        <f>IFERROR(IF(INDEX('Faculties'!$P$89:$P$98,MATCH($F35,'Faculties'!$B$89:$B$98,0))="","Cell will autofill based on response",INDEX('Faculties'!$P$89:$P$98,MATCH($F35,'Faculties'!$B$89:$B$98,0))),"N/A")</f>
        <v/>
      </c>
      <c r="N35" s="50">
        <f>IFERROR(IF(INDEX('Faculties'!$P$105:$P$114,MATCH($F35,'Faculties'!$B$105:$B$114,0))="","Cell will autofill based on response",INDEX('Faculties'!$P$105:$P$114,MATCH($F35,'Faculties'!$B$105:$B$114,0))),"N/A")</f>
        <v/>
      </c>
      <c r="O35" s="50">
        <f>IFERROR(IF(INDEX('Faculties'!$P$121:$P$130,MATCH($F35,'Faculties'!$B$121:$B$130,0))="","Cell will autofill based on response",INDEX('Faculties'!$P$121:$P$130,MATCH($F35,'Faculties'!$B$121:$B$130,0))),"N/A")</f>
        <v/>
      </c>
      <c r="P35" s="50">
        <f>IFERROR(IF(INDEX('Faculties'!$P$137:$P$146,MATCH($F35,'Faculties'!$B$137:$B$146,0))="","Cell will autofill based on response",INDEX('Faculties'!$P$137:$P$146,MATCH($F35,'Faculties'!$B$137:$B$146,0))),"N/A")</f>
        <v/>
      </c>
      <c r="Q35" s="50">
        <f>IFERROR(IF(INDEX('CI&amp;S'!$P$10:$P$15,MATCH($F35,'CI&amp;S'!$B$10:$B$15,0))="","Cell will autofill based on response",INDEX('CI&amp;S'!$P$10:$P$15,MATCH($F35,'CI&amp;S'!$B$10:$B$15,0))),"N/A")</f>
        <v/>
      </c>
      <c r="R35" s="50">
        <f>IFERROR(IF(INDEX('CI&amp;S'!$P$22:$P$36,MATCH($F35,'CI&amp;S'!$B$22:$B$36,0))="","Cell will autofill based on response",INDEX('CI&amp;S'!$P$22:$P$36,MATCH($F35,'CI&amp;S'!$B$22:$B$36,0))),"N/A")</f>
        <v/>
      </c>
      <c r="S35" s="50">
        <f>IFERROR(IF(INDEX('CFOG'!$P$10:$P$16,MATCH($F35,'CFOG'!$B$10:$B$16,0))="","Cell will autofill based on response",INDEX('CFOG'!$P$10:$P$16,MATCH($F35,'CFOG'!$B$10:$B$16,0))),"N/A")</f>
        <v/>
      </c>
      <c r="T35" s="50">
        <f>IFERROR(IF(INDEX('CFOG'!$P$23:$P$24,MATCH($F35,'CFOG'!$B$23:$B$24,0))="","Cell will autofill based on response",INDEX('CFOG'!$P$23:$P$24,MATCH($F35,'CFOG'!$B$23:$B$24,0))),"N/A")</f>
        <v/>
      </c>
      <c r="U35" s="50">
        <f>IFERROR(IF(INDEX('ESG'!$P$10:$P$17,MATCH($F35,'ESG'!$B$10:$B$17,0))="","Cell will autofill based on response",INDEX('ESG'!$P$10:$P$17,MATCH($F35,'ESG'!$B$10:$B$17,0))),"N/A")</f>
        <v/>
      </c>
      <c r="V35" s="50">
        <f>IFERROR(IF(INDEX('CIOG'!$P$10:$P$14,MATCH($F35,'CIOG'!$B$10:$B$14,0))="","Cell will autofill based on response",INDEX('CIOG'!$P$10:$P$14,MATCH($F35,'CIOG'!$B$10:$B$14,0))),"N/A")</f>
        <v/>
      </c>
      <c r="W35" s="50">
        <f>IFERROR(IF(INDEX('MRE'!$P$10:$P$18,MATCH($F35,'MRE'!$B$10:$B$18,0))="","Cell will autofill based on response",INDEX('MRE'!$P$10:$P$18,MATCH($F35,'MRE'!$B$10:$B$18,0))),"N/A")</f>
        <v/>
      </c>
      <c r="X35" s="50">
        <f>IFERROR(IF(INDEX('AC&amp;M'!$P$10:$P$14,MATCH($F35,'AC&amp;M'!$B$10:$B$14,0))="","Cell will autofill based on response",INDEX('AC&amp;M'!$P$10:$P$14,MATCH($F35,'AC&amp;M'!$B$10:$B$14,0))),"N/A")</f>
        <v/>
      </c>
      <c r="Y35" s="50">
        <f>IFERROR(IF(INDEX('GCE'!$P$10:$P$12,MATCH($F35,'GCE'!$B$10:$B$12,0))="","Cell will autofill based on response",INDEX('GCE'!$P$10:$P$12,MATCH($F35,'GCE'!$B$10:$B$12,0))),"N/A")</f>
        <v/>
      </c>
      <c r="Z35" s="50">
        <f>IFERROR(IF(INDEX('Education'!$P$10:$P$13,MATCH($F35,'Education'!$B$10:$B$13,0))="","Cell will autofill based on response",INDEX('Education'!$P$10:$P$13,MATCH($F35,'Education'!$B$10:$B$13,0))),"N/A")</f>
        <v/>
      </c>
      <c r="AA35" s="50">
        <f>IFERROR(IF(INDEX('SaSS'!$P$10:$P$12,MATCH($F35,'SaSS'!$B$10:$B$12,0))="","Cell will autofill based on response",INDEX('SaSS'!$P$10:$P$12,MATCH($F35,'SaSS'!$B$10:$B$12,0))),"N/A")</f>
        <v/>
      </c>
      <c r="AB35" s="50">
        <f>IFERROR(IF(INDEX('Indigenous'!$P$10:$P$11,MATCH($F35,'Indigenous'!$B$10:$B$11,0))="","Cell will autofill based on response",INDEX('Indigenous'!$P$10:$P$11,MATCH($F35,'Indigenous'!$B$10:$B$11,0))),"N/A")</f>
        <v/>
      </c>
      <c r="AC35" s="50">
        <f>IFERROR(IF(INDEX('L&amp;R'!$P$10:$P$11,MATCH($F35,'L&amp;R'!$B$10:$B$11,0))="","Cell will autofill based on response",INDEX('L&amp;R'!$P$10:$P$11,MATCH($F35,'L&amp;R'!$B$10:$B$11,0))),"N/A")</f>
        <v/>
      </c>
    </row>
    <row r="36" ht="138" customHeight="1">
      <c r="A36">
        <f>F36&amp;"|"&amp;G36</f>
        <v/>
      </c>
      <c r="B36" s="6" t="inlineStr">
        <is>
          <t>TR1(b)</t>
        </is>
      </c>
      <c r="C36" s="48" t="inlineStr">
        <is>
          <t>Transformational research</t>
        </is>
      </c>
      <c r="D36" s="48" t="inlineStr">
        <is>
          <t>Evidence of institutional pathways that enable ongoing collaboration between academic and professional staff</t>
        </is>
      </c>
      <c r="E36" s="48" t="inlineStr">
        <is>
          <t>Please describe any pathways, mechanisms or processes within your Faculty/Portfolio that enable ongoing collaboration between academic and professional staff on operational sustainability challenges, could include formal programs, governance arrangements, funding mechanisms or coordination channels.</t>
        </is>
      </c>
      <c r="F36" s="48" t="inlineStr">
        <is>
          <t>TR1(b)</t>
        </is>
      </c>
      <c r="G36" s="48" t="inlineStr">
        <is>
          <t>OPTION 1:  Target-level reporting</t>
        </is>
      </c>
      <c r="H36" s="50">
        <f>IFERROR(IF(INDEX('Faculties'!$L$10:$L$18,MATCH($F36,'Faculties'!$B$10:$B$18,0))="","Cell will autofill based on response",INDEX('Faculties'!$L$10:$L$18,MATCH($F36,'Faculties'!$B$10:$B$18,0))),"N/A")</f>
        <v/>
      </c>
      <c r="I36" s="50">
        <f>IFERROR(IF(INDEX('Faculties'!$L$25:$L$34,MATCH($F36,'Faculties'!$B$25:$B$34,0))="","Cell will autofill based on response",INDEX('Faculties'!$L$25:$L$34,MATCH($F36,'Faculties'!$B$25:$B$34,0))),"N/A")</f>
        <v/>
      </c>
      <c r="J36" s="50">
        <f>IFERROR(IF(INDEX('Faculties'!$L$41:$L$50,MATCH($F36,'Faculties'!$B$41:$B$50,0))="","Cell will autofill based on response",INDEX('Faculties'!$L$41:$L$50,MATCH($F36,'Faculties'!$B$41:$B$50,0))),"N/A")</f>
        <v/>
      </c>
      <c r="K36" s="50">
        <f>IFERROR(IF(INDEX('Faculties'!$L$57:$L$66,MATCH($F36,'Faculties'!$B$57:$B$66,0))="","Cell will autofill based on response",INDEX('Faculties'!$L$57:$L$66,MATCH($F36,'Faculties'!$B$57:$B$66,0))),"N/A")</f>
        <v/>
      </c>
      <c r="L36" s="50">
        <f>IFERROR(IF(INDEX('Faculties'!$L$73:$L$82,MATCH($F36,'Faculties'!$B$73:$B$82,0))="","Cell will autofill based on response",INDEX('Faculties'!$L$73:$L$82,MATCH($F36,'Faculties'!$B$73:$B$82,0))),"N/A")</f>
        <v/>
      </c>
      <c r="M36" s="50">
        <f>IFERROR(IF(INDEX('Faculties'!$L$89:$L$98,MATCH($F36,'Faculties'!$B$89:$B$98,0))="","Cell will autofill based on response",INDEX('Faculties'!$L$89:$L$98,MATCH($F36,'Faculties'!$B$89:$B$98,0))),"N/A")</f>
        <v/>
      </c>
      <c r="N36" s="50">
        <f>IFERROR(IF(INDEX('Faculties'!$L$105:$L$114,MATCH($F36,'Faculties'!$B$105:$B$114,0))="","Cell will autofill based on response",INDEX('Faculties'!$L$105:$L$114,MATCH($F36,'Faculties'!$B$105:$B$114,0))),"N/A")</f>
        <v/>
      </c>
      <c r="O36" s="50">
        <f>IFERROR(IF(INDEX('Faculties'!$L$121:$L$130,MATCH($F36,'Faculties'!$B$121:$B$130,0))="","Cell will autofill based on response",INDEX('Faculties'!$L$121:$L$130,MATCH($F36,'Faculties'!$B$121:$B$130,0))),"N/A")</f>
        <v/>
      </c>
      <c r="P36" s="50">
        <f>IFERROR(IF(INDEX('Faculties'!$L$137:$L$146,MATCH($F36,'Faculties'!$B$137:$B$146,0))="","Cell will autofill based on response",INDEX('Faculties'!$L$137:$L$146,MATCH($F36,'Faculties'!$B$137:$B$146,0))),"N/A")</f>
        <v/>
      </c>
      <c r="Q36" s="50">
        <f>IFERROR(IF(INDEX('CI&amp;S'!$L$10:$L$15,MATCH($F36,'CI&amp;S'!$B$10:$B$15,0))="","Cell will autofill based on response",INDEX('CI&amp;S'!$L$10:$L$15,MATCH($F36,'CI&amp;S'!$B$10:$B$15,0))),"N/A")</f>
        <v/>
      </c>
      <c r="R36" s="50">
        <f>IFERROR(IF(INDEX('CI&amp;S'!$L$22:$L$36,MATCH($F36,'CI&amp;S'!$B$22:$B$36,0))="","Cell will autofill based on response",INDEX('CI&amp;S'!$L$22:$L$36,MATCH($F36,'CI&amp;S'!$B$22:$B$36,0))),"N/A")</f>
        <v/>
      </c>
      <c r="S36" s="50">
        <f>IFERROR(IF(INDEX('CFOG'!$L$10:$L$16,MATCH($F36,'CFOG'!$B$10:$B$16,0))="","Cell will autofill based on response",INDEX('CFOG'!$L$10:$L$16,MATCH($F36,'CFOG'!$B$10:$B$16,0))),"N/A")</f>
        <v/>
      </c>
      <c r="T36" s="50">
        <f>IFERROR(IF(INDEX('CFOG'!$L$23:$L$24,MATCH($F36,'CFOG'!$B$23:$B$24,0))="","Cell will autofill based on response",INDEX('CFOG'!$L$23:$L$24,MATCH($F36,'CFOG'!$B$23:$B$24,0))),"N/A")</f>
        <v/>
      </c>
      <c r="U36" s="50">
        <f>IFERROR(IF(INDEX('ESG'!$L$10:$L$17,MATCH($F36,'ESG'!$B$10:$B$17,0))="","Cell will autofill based on response",INDEX('ESG'!$L$10:$L$17,MATCH($F36,'ESG'!$B$10:$B$17,0))),"N/A")</f>
        <v/>
      </c>
      <c r="V36" s="50">
        <f>IFERROR(IF(INDEX('CIOG'!$L$10:$L$14,MATCH($F36,'CIOG'!$B$10:$B$14,0))="","Cell will autofill based on response",INDEX('CIOG'!$L$10:$L$14,MATCH($F36,'CIOG'!$B$10:$B$14,0))),"N/A")</f>
        <v/>
      </c>
      <c r="W36" s="50">
        <f>IFERROR(IF(INDEX('MRE'!$L$10:$L$18,MATCH($F36,'MRE'!$B$10:$B$18,0))="","Cell will autofill based on response",INDEX('MRE'!$L$10:$L$18,MATCH($F36,'MRE'!$B$10:$B$18,0))),"N/A")</f>
        <v/>
      </c>
      <c r="X36" s="50">
        <f>IFERROR(IF(INDEX('AC&amp;M'!$L$10:$L$14,MATCH($F36,'AC&amp;M'!$B$10:$B$14,0))="","Cell will autofill based on response",INDEX('AC&amp;M'!$L$10:$L$14,MATCH($F36,'AC&amp;M'!$B$10:$B$14,0))),"N/A")</f>
        <v/>
      </c>
      <c r="Y36" s="50">
        <f>IFERROR(IF(INDEX('GCE'!$L$10:$L$12,MATCH($F36,'GCE'!$B$10:$B$12,0))="","Cell will autofill based on response",INDEX('GCE'!$L$10:$L$12,MATCH($F36,'GCE'!$B$10:$B$12,0))),"N/A")</f>
        <v/>
      </c>
      <c r="Z36" s="50">
        <f>IFERROR(IF(INDEX('Education'!$L$10:$L$13,MATCH($F36,'Education'!$B$10:$B$13,0))="","Cell will autofill based on response",INDEX('Education'!$L$10:$L$13,MATCH($F36,'Education'!$B$10:$B$13,0))),"N/A")</f>
        <v/>
      </c>
      <c r="AA36" s="50">
        <f>IFERROR(IF(INDEX('SaSS'!$L$10:$L$12,MATCH($F36,'SaSS'!$B$10:$B$12,0))="","Cell will autofill based on response",INDEX('SaSS'!$L$10:$L$12,MATCH($F36,'SaSS'!$B$10:$B$12,0))),"N/A")</f>
        <v/>
      </c>
      <c r="AB36" s="50">
        <f>IFERROR(IF(INDEX('Indigenous'!$L$10:$L$11,MATCH($F36,'Indigenous'!$B$10:$B$11,0))="","Cell will autofill based on response",INDEX('Indigenous'!$L$10:$L$11,MATCH($F36,'Indigenous'!$B$10:$B$11,0))),"N/A")</f>
        <v/>
      </c>
      <c r="AC36" s="50">
        <f>IFERROR(IF(INDEX('L&amp;R'!$L$10:$L$11,MATCH($F36,'L&amp;R'!$B$10:$B$11,0))="","Cell will autofill based on response",INDEX('L&amp;R'!$L$10:$L$11,MATCH($F36,'L&amp;R'!$B$10:$B$11,0))),"N/A")</f>
        <v/>
      </c>
      <c r="AE36" s="9">
        <f>SUMPRODUCT(--($H36:$AC36&lt;&gt;"N/A"))</f>
        <v/>
      </c>
      <c r="AF36" s="9">
        <f>SUMPRODUCT(--(((($H36:$AC36&lt;&gt;"N/A")*($H36:$AC36&lt;&gt;"Cell will autofill based on response"))+(($H37:$AC37&lt;&gt;"N/A")*($H37:$AC37&lt;&gt;"Cell will autofill based on response")))&gt;0))</f>
        <v/>
      </c>
      <c r="AG36" s="9">
        <f>AE36-AF36</f>
        <v/>
      </c>
      <c r="AH36" s="9">
        <f>COUNTIF($H40:$AC40,"Yes")</f>
        <v/>
      </c>
    </row>
    <row r="37" ht="39" customHeight="1">
      <c r="A37">
        <f>F37&amp;"|"&amp;G37</f>
        <v/>
      </c>
      <c r="B37" s="12" t="inlineStr"/>
      <c r="C37" s="7" t="inlineStr"/>
      <c r="D37" s="7" t="inlineStr"/>
      <c r="E37" s="7" t="inlineStr"/>
      <c r="F37" s="7" t="inlineStr">
        <is>
          <t>TR1(b)</t>
        </is>
      </c>
      <c r="G37" s="7" t="inlineStr">
        <is>
          <t>OPTION 2:  Indicator level reporting</t>
        </is>
      </c>
      <c r="H37" s="50">
        <f>IFERROR(IF(INDEX('Faculties'!$M$10:$M$18,MATCH($F37,'Faculties'!$B$10:$B$18,0))="","Cell will autofill based on response",INDEX('Faculties'!$M$10:$M$18,MATCH($F37,'Faculties'!$B$10:$B$18,0))),"N/A")</f>
        <v/>
      </c>
      <c r="I37" s="50">
        <f>IFERROR(IF(INDEX('Faculties'!$M$25:$M$34,MATCH($F37,'Faculties'!$B$25:$B$34,0))="","Cell will autofill based on response",INDEX('Faculties'!$M$25:$M$34,MATCH($F37,'Faculties'!$B$25:$B$34,0))),"N/A")</f>
        <v/>
      </c>
      <c r="J37" s="50">
        <f>IFERROR(IF(INDEX('Faculties'!$M$41:$M$50,MATCH($F37,'Faculties'!$B$41:$B$50,0))="","Cell will autofill based on response",INDEX('Faculties'!$M$41:$M$50,MATCH($F37,'Faculties'!$B$41:$B$50,0))),"N/A")</f>
        <v/>
      </c>
      <c r="K37" s="50">
        <f>IFERROR(IF(INDEX('Faculties'!$M$57:$M$66,MATCH($F37,'Faculties'!$B$57:$B$66,0))="","Cell will autofill based on response",INDEX('Faculties'!$M$57:$M$66,MATCH($F37,'Faculties'!$B$57:$B$66,0))),"N/A")</f>
        <v/>
      </c>
      <c r="L37" s="50">
        <f>IFERROR(IF(INDEX('Faculties'!$M$73:$M$82,MATCH($F37,'Faculties'!$B$73:$B$82,0))="","Cell will autofill based on response",INDEX('Faculties'!$M$73:$M$82,MATCH($F37,'Faculties'!$B$73:$B$82,0))),"N/A")</f>
        <v/>
      </c>
      <c r="M37" s="50">
        <f>IFERROR(IF(INDEX('Faculties'!$M$89:$M$98,MATCH($F37,'Faculties'!$B$89:$B$98,0))="","Cell will autofill based on response",INDEX('Faculties'!$M$89:$M$98,MATCH($F37,'Faculties'!$B$89:$B$98,0))),"N/A")</f>
        <v/>
      </c>
      <c r="N37" s="50">
        <f>IFERROR(IF(INDEX('Faculties'!$M$105:$M$114,MATCH($F37,'Faculties'!$B$105:$B$114,0))="","Cell will autofill based on response",INDEX('Faculties'!$M$105:$M$114,MATCH($F37,'Faculties'!$B$105:$B$114,0))),"N/A")</f>
        <v/>
      </c>
      <c r="O37" s="50">
        <f>IFERROR(IF(INDEX('Faculties'!$M$121:$M$130,MATCH($F37,'Faculties'!$B$121:$B$130,0))="","Cell will autofill based on response",INDEX('Faculties'!$M$121:$M$130,MATCH($F37,'Faculties'!$B$121:$B$130,0))),"N/A")</f>
        <v/>
      </c>
      <c r="P37" s="50">
        <f>IFERROR(IF(INDEX('Faculties'!$M$137:$M$146,MATCH($F37,'Faculties'!$B$137:$B$146,0))="","Cell will autofill based on response",INDEX('Faculties'!$M$137:$M$146,MATCH($F37,'Faculties'!$B$137:$B$146,0))),"N/A")</f>
        <v/>
      </c>
      <c r="Q37" s="50">
        <f>IFERROR(IF(INDEX('CI&amp;S'!$M$10:$M$15,MATCH($F37,'CI&amp;S'!$B$10:$B$15,0))="","Cell will autofill based on response",INDEX('CI&amp;S'!$M$10:$M$15,MATCH($F37,'CI&amp;S'!$B$10:$B$15,0))),"N/A")</f>
        <v/>
      </c>
      <c r="R37" s="50">
        <f>IFERROR(IF(INDEX('CI&amp;S'!$M$22:$M$36,MATCH($F37,'CI&amp;S'!$B$22:$B$36,0))="","Cell will autofill based on response",INDEX('CI&amp;S'!$M$22:$M$36,MATCH($F37,'CI&amp;S'!$B$22:$B$36,0))),"N/A")</f>
        <v/>
      </c>
      <c r="S37" s="50">
        <f>IFERROR(IF(INDEX('CFOG'!$M$10:$M$16,MATCH($F37,'CFOG'!$B$10:$B$16,0))="","Cell will autofill based on response",INDEX('CFOG'!$M$10:$M$16,MATCH($F37,'CFOG'!$B$10:$B$16,0))),"N/A")</f>
        <v/>
      </c>
      <c r="T37" s="50">
        <f>IFERROR(IF(INDEX('CFOG'!$M$23:$M$24,MATCH($F37,'CFOG'!$B$23:$B$24,0))="","Cell will autofill based on response",INDEX('CFOG'!$M$23:$M$24,MATCH($F37,'CFOG'!$B$23:$B$24,0))),"N/A")</f>
        <v/>
      </c>
      <c r="U37" s="50">
        <f>IFERROR(IF(INDEX('ESG'!$M$10:$M$17,MATCH($F37,'ESG'!$B$10:$B$17,0))="","Cell will autofill based on response",INDEX('ESG'!$M$10:$M$17,MATCH($F37,'ESG'!$B$10:$B$17,0))),"N/A")</f>
        <v/>
      </c>
      <c r="V37" s="50">
        <f>IFERROR(IF(INDEX('CIOG'!$M$10:$M$14,MATCH($F37,'CIOG'!$B$10:$B$14,0))="","Cell will autofill based on response",INDEX('CIOG'!$M$10:$M$14,MATCH($F37,'CIOG'!$B$10:$B$14,0))),"N/A")</f>
        <v/>
      </c>
      <c r="W37" s="50">
        <f>IFERROR(IF(INDEX('MRE'!$M$10:$M$18,MATCH($F37,'MRE'!$B$10:$B$18,0))="","Cell will autofill based on response",INDEX('MRE'!$M$10:$M$18,MATCH($F37,'MRE'!$B$10:$B$18,0))),"N/A")</f>
        <v/>
      </c>
      <c r="X37" s="50">
        <f>IFERROR(IF(INDEX('AC&amp;M'!$M$10:$M$14,MATCH($F37,'AC&amp;M'!$B$10:$B$14,0))="","Cell will autofill based on response",INDEX('AC&amp;M'!$M$10:$M$14,MATCH($F37,'AC&amp;M'!$B$10:$B$14,0))),"N/A")</f>
        <v/>
      </c>
      <c r="Y37" s="50">
        <f>IFERROR(IF(INDEX('GCE'!$M$10:$M$12,MATCH($F37,'GCE'!$B$10:$B$12,0))="","Cell will autofill based on response",INDEX('GCE'!$M$10:$M$12,MATCH($F37,'GCE'!$B$10:$B$12,0))),"N/A")</f>
        <v/>
      </c>
      <c r="Z37" s="50">
        <f>IFERROR(IF(INDEX('Education'!$M$10:$M$13,MATCH($F37,'Education'!$B$10:$B$13,0))="","Cell will autofill based on response",INDEX('Education'!$M$10:$M$13,MATCH($F37,'Education'!$B$10:$B$13,0))),"N/A")</f>
        <v/>
      </c>
      <c r="AA37" s="50">
        <f>IFERROR(IF(INDEX('SaSS'!$M$10:$M$12,MATCH($F37,'SaSS'!$B$10:$B$12,0))="","Cell will autofill based on response",INDEX('SaSS'!$M$10:$M$12,MATCH($F37,'SaSS'!$B$10:$B$12,0))),"N/A")</f>
        <v/>
      </c>
      <c r="AB37" s="50">
        <f>IFERROR(IF(INDEX('Indigenous'!$M$10:$M$11,MATCH($F37,'Indigenous'!$B$10:$B$11,0))="","Cell will autofill based on response",INDEX('Indigenous'!$M$10:$M$11,MATCH($F37,'Indigenous'!$B$10:$B$11,0))),"N/A")</f>
        <v/>
      </c>
      <c r="AC37" s="50">
        <f>IFERROR(IF(INDEX('L&amp;R'!$M$10:$M$11,MATCH($F37,'L&amp;R'!$B$10:$B$11,0))="","Cell will autofill based on response",INDEX('L&amp;R'!$M$10:$M$11,MATCH($F37,'L&amp;R'!$B$10:$B$11,0))),"N/A")</f>
        <v/>
      </c>
    </row>
    <row r="38" ht="22" customHeight="1">
      <c r="A38">
        <f>F38&amp;"|"&amp;G38</f>
        <v/>
      </c>
      <c r="B38" s="12" t="inlineStr"/>
      <c r="C38" s="7" t="inlineStr"/>
      <c r="D38" s="7" t="inlineStr"/>
      <c r="E38" s="7" t="inlineStr"/>
      <c r="F38" s="7" t="inlineStr">
        <is>
          <t>TR1(b)</t>
        </is>
      </c>
      <c r="G38" s="7" t="inlineStr">
        <is>
          <t>Supporting information/comments</t>
        </is>
      </c>
      <c r="H38" s="50">
        <f>IFERROR(IF(INDEX('Faculties'!$N$10:$N$18,MATCH($F38,'Faculties'!$B$10:$B$18,0))="","Cell will autofill based on response",INDEX('Faculties'!$N$10:$N$18,MATCH($F38,'Faculties'!$B$10:$B$18,0))),"N/A")</f>
        <v/>
      </c>
      <c r="I38" s="50">
        <f>IFERROR(IF(INDEX('Faculties'!$N$25:$N$34,MATCH($F38,'Faculties'!$B$25:$B$34,0))="","Cell will autofill based on response",INDEX('Faculties'!$N$25:$N$34,MATCH($F38,'Faculties'!$B$25:$B$34,0))),"N/A")</f>
        <v/>
      </c>
      <c r="J38" s="50">
        <f>IFERROR(IF(INDEX('Faculties'!$N$41:$N$50,MATCH($F38,'Faculties'!$B$41:$B$50,0))="","Cell will autofill based on response",INDEX('Faculties'!$N$41:$N$50,MATCH($F38,'Faculties'!$B$41:$B$50,0))),"N/A")</f>
        <v/>
      </c>
      <c r="K38" s="50">
        <f>IFERROR(IF(INDEX('Faculties'!$N$57:$N$66,MATCH($F38,'Faculties'!$B$57:$B$66,0))="","Cell will autofill based on response",INDEX('Faculties'!$N$57:$N$66,MATCH($F38,'Faculties'!$B$57:$B$66,0))),"N/A")</f>
        <v/>
      </c>
      <c r="L38" s="50">
        <f>IFERROR(IF(INDEX('Faculties'!$N$73:$N$82,MATCH($F38,'Faculties'!$B$73:$B$82,0))="","Cell will autofill based on response",INDEX('Faculties'!$N$73:$N$82,MATCH($F38,'Faculties'!$B$73:$B$82,0))),"N/A")</f>
        <v/>
      </c>
      <c r="M38" s="50">
        <f>IFERROR(IF(INDEX('Faculties'!$N$89:$N$98,MATCH($F38,'Faculties'!$B$89:$B$98,0))="","Cell will autofill based on response",INDEX('Faculties'!$N$89:$N$98,MATCH($F38,'Faculties'!$B$89:$B$98,0))),"N/A")</f>
        <v/>
      </c>
      <c r="N38" s="50">
        <f>IFERROR(IF(INDEX('Faculties'!$N$105:$N$114,MATCH($F38,'Faculties'!$B$105:$B$114,0))="","Cell will autofill based on response",INDEX('Faculties'!$N$105:$N$114,MATCH($F38,'Faculties'!$B$105:$B$114,0))),"N/A")</f>
        <v/>
      </c>
      <c r="O38" s="50">
        <f>IFERROR(IF(INDEX('Faculties'!$N$121:$N$130,MATCH($F38,'Faculties'!$B$121:$B$130,0))="","Cell will autofill based on response",INDEX('Faculties'!$N$121:$N$130,MATCH($F38,'Faculties'!$B$121:$B$130,0))),"N/A")</f>
        <v/>
      </c>
      <c r="P38" s="50">
        <f>IFERROR(IF(INDEX('Faculties'!$N$137:$N$146,MATCH($F38,'Faculties'!$B$137:$B$146,0))="","Cell will autofill based on response",INDEX('Faculties'!$N$137:$N$146,MATCH($F38,'Faculties'!$B$137:$B$146,0))),"N/A")</f>
        <v/>
      </c>
      <c r="Q38" s="50">
        <f>IFERROR(IF(INDEX('CI&amp;S'!$N$10:$N$15,MATCH($F38,'CI&amp;S'!$B$10:$B$15,0))="","Cell will autofill based on response",INDEX('CI&amp;S'!$N$10:$N$15,MATCH($F38,'CI&amp;S'!$B$10:$B$15,0))),"N/A")</f>
        <v/>
      </c>
      <c r="R38" s="50">
        <f>IFERROR(IF(INDEX('CI&amp;S'!$N$22:$N$36,MATCH($F38,'CI&amp;S'!$B$22:$B$36,0))="","Cell will autofill based on response",INDEX('CI&amp;S'!$N$22:$N$36,MATCH($F38,'CI&amp;S'!$B$22:$B$36,0))),"N/A")</f>
        <v/>
      </c>
      <c r="S38" s="50">
        <f>IFERROR(IF(INDEX('CFOG'!$N$10:$N$16,MATCH($F38,'CFOG'!$B$10:$B$16,0))="","Cell will autofill based on response",INDEX('CFOG'!$N$10:$N$16,MATCH($F38,'CFOG'!$B$10:$B$16,0))),"N/A")</f>
        <v/>
      </c>
      <c r="T38" s="50">
        <f>IFERROR(IF(INDEX('CFOG'!$N$23:$N$24,MATCH($F38,'CFOG'!$B$23:$B$24,0))="","Cell will autofill based on response",INDEX('CFOG'!$N$23:$N$24,MATCH($F38,'CFOG'!$B$23:$B$24,0))),"N/A")</f>
        <v/>
      </c>
      <c r="U38" s="50">
        <f>IFERROR(IF(INDEX('ESG'!$N$10:$N$17,MATCH($F38,'ESG'!$B$10:$B$17,0))="","Cell will autofill based on response",INDEX('ESG'!$N$10:$N$17,MATCH($F38,'ESG'!$B$10:$B$17,0))),"N/A")</f>
        <v/>
      </c>
      <c r="V38" s="50">
        <f>IFERROR(IF(INDEX('CIOG'!$N$10:$N$14,MATCH($F38,'CIOG'!$B$10:$B$14,0))="","Cell will autofill based on response",INDEX('CIOG'!$N$10:$N$14,MATCH($F38,'CIOG'!$B$10:$B$14,0))),"N/A")</f>
        <v/>
      </c>
      <c r="W38" s="50">
        <f>IFERROR(IF(INDEX('MRE'!$N$10:$N$18,MATCH($F38,'MRE'!$B$10:$B$18,0))="","Cell will autofill based on response",INDEX('MRE'!$N$10:$N$18,MATCH($F38,'MRE'!$B$10:$B$18,0))),"N/A")</f>
        <v/>
      </c>
      <c r="X38" s="50">
        <f>IFERROR(IF(INDEX('AC&amp;M'!$N$10:$N$14,MATCH($F38,'AC&amp;M'!$B$10:$B$14,0))="","Cell will autofill based on response",INDEX('AC&amp;M'!$N$10:$N$14,MATCH($F38,'AC&amp;M'!$B$10:$B$14,0))),"N/A")</f>
        <v/>
      </c>
      <c r="Y38" s="50">
        <f>IFERROR(IF(INDEX('GCE'!$N$10:$N$12,MATCH($F38,'GCE'!$B$10:$B$12,0))="","Cell will autofill based on response",INDEX('GCE'!$N$10:$N$12,MATCH($F38,'GCE'!$B$10:$B$12,0))),"N/A")</f>
        <v/>
      </c>
      <c r="Z38" s="50">
        <f>IFERROR(IF(INDEX('Education'!$N$10:$N$13,MATCH($F38,'Education'!$B$10:$B$13,0))="","Cell will autofill based on response",INDEX('Education'!$N$10:$N$13,MATCH($F38,'Education'!$B$10:$B$13,0))),"N/A")</f>
        <v/>
      </c>
      <c r="AA38" s="50">
        <f>IFERROR(IF(INDEX('SaSS'!$N$10:$N$12,MATCH($F38,'SaSS'!$B$10:$B$12,0))="","Cell will autofill based on response",INDEX('SaSS'!$N$10:$N$12,MATCH($F38,'SaSS'!$B$10:$B$12,0))),"N/A")</f>
        <v/>
      </c>
      <c r="AB38" s="50">
        <f>IFERROR(IF(INDEX('Indigenous'!$N$10:$N$11,MATCH($F38,'Indigenous'!$B$10:$B$11,0))="","Cell will autofill based on response",INDEX('Indigenous'!$N$10:$N$11,MATCH($F38,'Indigenous'!$B$10:$B$11,0))),"N/A")</f>
        <v/>
      </c>
      <c r="AC38" s="50">
        <f>IFERROR(IF(INDEX('L&amp;R'!$N$10:$N$11,MATCH($F38,'L&amp;R'!$B$10:$B$11,0))="","Cell will autofill based on response",INDEX('L&amp;R'!$N$10:$N$11,MATCH($F38,'L&amp;R'!$B$10:$B$11,0))),"N/A")</f>
        <v/>
      </c>
    </row>
    <row r="39" ht="22" customHeight="1">
      <c r="A39">
        <f>F39&amp;"|"&amp;G39</f>
        <v/>
      </c>
      <c r="B39" s="12" t="inlineStr"/>
      <c r="C39" s="7" t="inlineStr"/>
      <c r="D39" s="7" t="inlineStr"/>
      <c r="E39" s="7" t="inlineStr"/>
      <c r="F39" s="7" t="inlineStr">
        <is>
          <t>TR1(b)</t>
        </is>
      </c>
      <c r="G39" s="7" t="inlineStr">
        <is>
          <t>Data source and limitations</t>
        </is>
      </c>
      <c r="H39" s="50">
        <f>IFERROR(IF(INDEX('Faculties'!$O$10:$O$18,MATCH($F39,'Faculties'!$B$10:$B$18,0))="","Cell will autofill based on response",INDEX('Faculties'!$O$10:$O$18,MATCH($F39,'Faculties'!$B$10:$B$18,0))),"N/A")</f>
        <v/>
      </c>
      <c r="I39" s="50">
        <f>IFERROR(IF(INDEX('Faculties'!$O$25:$O$34,MATCH($F39,'Faculties'!$B$25:$B$34,0))="","Cell will autofill based on response",INDEX('Faculties'!$O$25:$O$34,MATCH($F39,'Faculties'!$B$25:$B$34,0))),"N/A")</f>
        <v/>
      </c>
      <c r="J39" s="50">
        <f>IFERROR(IF(INDEX('Faculties'!$O$41:$O$50,MATCH($F39,'Faculties'!$B$41:$B$50,0))="","Cell will autofill based on response",INDEX('Faculties'!$O$41:$O$50,MATCH($F39,'Faculties'!$B$41:$B$50,0))),"N/A")</f>
        <v/>
      </c>
      <c r="K39" s="50">
        <f>IFERROR(IF(INDEX('Faculties'!$O$57:$O$66,MATCH($F39,'Faculties'!$B$57:$B$66,0))="","Cell will autofill based on response",INDEX('Faculties'!$O$57:$O$66,MATCH($F39,'Faculties'!$B$57:$B$66,0))),"N/A")</f>
        <v/>
      </c>
      <c r="L39" s="50">
        <f>IFERROR(IF(INDEX('Faculties'!$O$73:$O$82,MATCH($F39,'Faculties'!$B$73:$B$82,0))="","Cell will autofill based on response",INDEX('Faculties'!$O$73:$O$82,MATCH($F39,'Faculties'!$B$73:$B$82,0))),"N/A")</f>
        <v/>
      </c>
      <c r="M39" s="50">
        <f>IFERROR(IF(INDEX('Faculties'!$O$89:$O$98,MATCH($F39,'Faculties'!$B$89:$B$98,0))="","Cell will autofill based on response",INDEX('Faculties'!$O$89:$O$98,MATCH($F39,'Faculties'!$B$89:$B$98,0))),"N/A")</f>
        <v/>
      </c>
      <c r="N39" s="50">
        <f>IFERROR(IF(INDEX('Faculties'!$O$105:$O$114,MATCH($F39,'Faculties'!$B$105:$B$114,0))="","Cell will autofill based on response",INDEX('Faculties'!$O$105:$O$114,MATCH($F39,'Faculties'!$B$105:$B$114,0))),"N/A")</f>
        <v/>
      </c>
      <c r="O39" s="50">
        <f>IFERROR(IF(INDEX('Faculties'!$O$121:$O$130,MATCH($F39,'Faculties'!$B$121:$B$130,0))="","Cell will autofill based on response",INDEX('Faculties'!$O$121:$O$130,MATCH($F39,'Faculties'!$B$121:$B$130,0))),"N/A")</f>
        <v/>
      </c>
      <c r="P39" s="50">
        <f>IFERROR(IF(INDEX('Faculties'!$O$137:$O$146,MATCH($F39,'Faculties'!$B$137:$B$146,0))="","Cell will autofill based on response",INDEX('Faculties'!$O$137:$O$146,MATCH($F39,'Faculties'!$B$137:$B$146,0))),"N/A")</f>
        <v/>
      </c>
      <c r="Q39" s="50">
        <f>IFERROR(IF(INDEX('CI&amp;S'!$O$10:$O$15,MATCH($F39,'CI&amp;S'!$B$10:$B$15,0))="","Cell will autofill based on response",INDEX('CI&amp;S'!$O$10:$O$15,MATCH($F39,'CI&amp;S'!$B$10:$B$15,0))),"N/A")</f>
        <v/>
      </c>
      <c r="R39" s="50">
        <f>IFERROR(IF(INDEX('CI&amp;S'!$O$22:$O$36,MATCH($F39,'CI&amp;S'!$B$22:$B$36,0))="","Cell will autofill based on response",INDEX('CI&amp;S'!$O$22:$O$36,MATCH($F39,'CI&amp;S'!$B$22:$B$36,0))),"N/A")</f>
        <v/>
      </c>
      <c r="S39" s="50">
        <f>IFERROR(IF(INDEX('CFOG'!$O$10:$O$16,MATCH($F39,'CFOG'!$B$10:$B$16,0))="","Cell will autofill based on response",INDEX('CFOG'!$O$10:$O$16,MATCH($F39,'CFOG'!$B$10:$B$16,0))),"N/A")</f>
        <v/>
      </c>
      <c r="T39" s="50">
        <f>IFERROR(IF(INDEX('CFOG'!$O$23:$O$24,MATCH($F39,'CFOG'!$B$23:$B$24,0))="","Cell will autofill based on response",INDEX('CFOG'!$O$23:$O$24,MATCH($F39,'CFOG'!$B$23:$B$24,0))),"N/A")</f>
        <v/>
      </c>
      <c r="U39" s="50">
        <f>IFERROR(IF(INDEX('ESG'!$O$10:$O$17,MATCH($F39,'ESG'!$B$10:$B$17,0))="","Cell will autofill based on response",INDEX('ESG'!$O$10:$O$17,MATCH($F39,'ESG'!$B$10:$B$17,0))),"N/A")</f>
        <v/>
      </c>
      <c r="V39" s="50">
        <f>IFERROR(IF(INDEX('CIOG'!$O$10:$O$14,MATCH($F39,'CIOG'!$B$10:$B$14,0))="","Cell will autofill based on response",INDEX('CIOG'!$O$10:$O$14,MATCH($F39,'CIOG'!$B$10:$B$14,0))),"N/A")</f>
        <v/>
      </c>
      <c r="W39" s="50">
        <f>IFERROR(IF(INDEX('MRE'!$O$10:$O$18,MATCH($F39,'MRE'!$B$10:$B$18,0))="","Cell will autofill based on response",INDEX('MRE'!$O$10:$O$18,MATCH($F39,'MRE'!$B$10:$B$18,0))),"N/A")</f>
        <v/>
      </c>
      <c r="X39" s="50">
        <f>IFERROR(IF(INDEX('AC&amp;M'!$O$10:$O$14,MATCH($F39,'AC&amp;M'!$B$10:$B$14,0))="","Cell will autofill based on response",INDEX('AC&amp;M'!$O$10:$O$14,MATCH($F39,'AC&amp;M'!$B$10:$B$14,0))),"N/A")</f>
        <v/>
      </c>
      <c r="Y39" s="50">
        <f>IFERROR(IF(INDEX('GCE'!$O$10:$O$12,MATCH($F39,'GCE'!$B$10:$B$12,0))="","Cell will autofill based on response",INDEX('GCE'!$O$10:$O$12,MATCH($F39,'GCE'!$B$10:$B$12,0))),"N/A")</f>
        <v/>
      </c>
      <c r="Z39" s="50">
        <f>IFERROR(IF(INDEX('Education'!$O$10:$O$13,MATCH($F39,'Education'!$B$10:$B$13,0))="","Cell will autofill based on response",INDEX('Education'!$O$10:$O$13,MATCH($F39,'Education'!$B$10:$B$13,0))),"N/A")</f>
        <v/>
      </c>
      <c r="AA39" s="50">
        <f>IFERROR(IF(INDEX('SaSS'!$O$10:$O$12,MATCH($F39,'SaSS'!$B$10:$B$12,0))="","Cell will autofill based on response",INDEX('SaSS'!$O$10:$O$12,MATCH($F39,'SaSS'!$B$10:$B$12,0))),"N/A")</f>
        <v/>
      </c>
      <c r="AB39" s="50">
        <f>IFERROR(IF(INDEX('Indigenous'!$O$10:$O$11,MATCH($F39,'Indigenous'!$B$10:$B$11,0))="","Cell will autofill based on response",INDEX('Indigenous'!$O$10:$O$11,MATCH($F39,'Indigenous'!$B$10:$B$11,0))),"N/A")</f>
        <v/>
      </c>
      <c r="AC39" s="50">
        <f>IFERROR(IF(INDEX('L&amp;R'!$O$10:$O$11,MATCH($F39,'L&amp;R'!$B$10:$B$11,0))="","Cell will autofill based on response",INDEX('L&amp;R'!$O$10:$O$11,MATCH($F39,'L&amp;R'!$B$10:$B$11,0))),"N/A")</f>
        <v/>
      </c>
    </row>
    <row r="40" ht="22" customHeight="1">
      <c r="A40">
        <f>F40&amp;"|"&amp;G40</f>
        <v/>
      </c>
      <c r="B40" s="12" t="inlineStr"/>
      <c r="C40" s="7" t="inlineStr"/>
      <c r="D40" s="7" t="inlineStr"/>
      <c r="E40" s="7" t="inlineStr"/>
      <c r="F40" s="7" t="inlineStr">
        <is>
          <t>TR1(b)</t>
        </is>
      </c>
      <c r="G40" s="7" t="inlineStr">
        <is>
          <t>Data owner confirms</t>
        </is>
      </c>
      <c r="H40" s="50">
        <f>IFERROR(IF(INDEX('Faculties'!$P$10:$P$18,MATCH($F40,'Faculties'!$B$10:$B$18,0))="","Cell will autofill based on response",INDEX('Faculties'!$P$10:$P$18,MATCH($F40,'Faculties'!$B$10:$B$18,0))),"N/A")</f>
        <v/>
      </c>
      <c r="I40" s="50">
        <f>IFERROR(IF(INDEX('Faculties'!$P$25:$P$34,MATCH($F40,'Faculties'!$B$25:$B$34,0))="","Cell will autofill based on response",INDEX('Faculties'!$P$25:$P$34,MATCH($F40,'Faculties'!$B$25:$B$34,0))),"N/A")</f>
        <v/>
      </c>
      <c r="J40" s="50">
        <f>IFERROR(IF(INDEX('Faculties'!$P$41:$P$50,MATCH($F40,'Faculties'!$B$41:$B$50,0))="","Cell will autofill based on response",INDEX('Faculties'!$P$41:$P$50,MATCH($F40,'Faculties'!$B$41:$B$50,0))),"N/A")</f>
        <v/>
      </c>
      <c r="K40" s="50">
        <f>IFERROR(IF(INDEX('Faculties'!$P$57:$P$66,MATCH($F40,'Faculties'!$B$57:$B$66,0))="","Cell will autofill based on response",INDEX('Faculties'!$P$57:$P$66,MATCH($F40,'Faculties'!$B$57:$B$66,0))),"N/A")</f>
        <v/>
      </c>
      <c r="L40" s="50">
        <f>IFERROR(IF(INDEX('Faculties'!$P$73:$P$82,MATCH($F40,'Faculties'!$B$73:$B$82,0))="","Cell will autofill based on response",INDEX('Faculties'!$P$73:$P$82,MATCH($F40,'Faculties'!$B$73:$B$82,0))),"N/A")</f>
        <v/>
      </c>
      <c r="M40" s="50">
        <f>IFERROR(IF(INDEX('Faculties'!$P$89:$P$98,MATCH($F40,'Faculties'!$B$89:$B$98,0))="","Cell will autofill based on response",INDEX('Faculties'!$P$89:$P$98,MATCH($F40,'Faculties'!$B$89:$B$98,0))),"N/A")</f>
        <v/>
      </c>
      <c r="N40" s="50">
        <f>IFERROR(IF(INDEX('Faculties'!$P$105:$P$114,MATCH($F40,'Faculties'!$B$105:$B$114,0))="","Cell will autofill based on response",INDEX('Faculties'!$P$105:$P$114,MATCH($F40,'Faculties'!$B$105:$B$114,0))),"N/A")</f>
        <v/>
      </c>
      <c r="O40" s="50">
        <f>IFERROR(IF(INDEX('Faculties'!$P$121:$P$130,MATCH($F40,'Faculties'!$B$121:$B$130,0))="","Cell will autofill based on response",INDEX('Faculties'!$P$121:$P$130,MATCH($F40,'Faculties'!$B$121:$B$130,0))),"N/A")</f>
        <v/>
      </c>
      <c r="P40" s="50">
        <f>IFERROR(IF(INDEX('Faculties'!$P$137:$P$146,MATCH($F40,'Faculties'!$B$137:$B$146,0))="","Cell will autofill based on response",INDEX('Faculties'!$P$137:$P$146,MATCH($F40,'Faculties'!$B$137:$B$146,0))),"N/A")</f>
        <v/>
      </c>
      <c r="Q40" s="50">
        <f>IFERROR(IF(INDEX('CI&amp;S'!$P$10:$P$15,MATCH($F40,'CI&amp;S'!$B$10:$B$15,0))="","Cell will autofill based on response",INDEX('CI&amp;S'!$P$10:$P$15,MATCH($F40,'CI&amp;S'!$B$10:$B$15,0))),"N/A")</f>
        <v/>
      </c>
      <c r="R40" s="50">
        <f>IFERROR(IF(INDEX('CI&amp;S'!$P$22:$P$36,MATCH($F40,'CI&amp;S'!$B$22:$B$36,0))="","Cell will autofill based on response",INDEX('CI&amp;S'!$P$22:$P$36,MATCH($F40,'CI&amp;S'!$B$22:$B$36,0))),"N/A")</f>
        <v/>
      </c>
      <c r="S40" s="50">
        <f>IFERROR(IF(INDEX('CFOG'!$P$10:$P$16,MATCH($F40,'CFOG'!$B$10:$B$16,0))="","Cell will autofill based on response",INDEX('CFOG'!$P$10:$P$16,MATCH($F40,'CFOG'!$B$10:$B$16,0))),"N/A")</f>
        <v/>
      </c>
      <c r="T40" s="50">
        <f>IFERROR(IF(INDEX('CFOG'!$P$23:$P$24,MATCH($F40,'CFOG'!$B$23:$B$24,0))="","Cell will autofill based on response",INDEX('CFOG'!$P$23:$P$24,MATCH($F40,'CFOG'!$B$23:$B$24,0))),"N/A")</f>
        <v/>
      </c>
      <c r="U40" s="50">
        <f>IFERROR(IF(INDEX('ESG'!$P$10:$P$17,MATCH($F40,'ESG'!$B$10:$B$17,0))="","Cell will autofill based on response",INDEX('ESG'!$P$10:$P$17,MATCH($F40,'ESG'!$B$10:$B$17,0))),"N/A")</f>
        <v/>
      </c>
      <c r="V40" s="50">
        <f>IFERROR(IF(INDEX('CIOG'!$P$10:$P$14,MATCH($F40,'CIOG'!$B$10:$B$14,0))="","Cell will autofill based on response",INDEX('CIOG'!$P$10:$P$14,MATCH($F40,'CIOG'!$B$10:$B$14,0))),"N/A")</f>
        <v/>
      </c>
      <c r="W40" s="50">
        <f>IFERROR(IF(INDEX('MRE'!$P$10:$P$18,MATCH($F40,'MRE'!$B$10:$B$18,0))="","Cell will autofill based on response",INDEX('MRE'!$P$10:$P$18,MATCH($F40,'MRE'!$B$10:$B$18,0))),"N/A")</f>
        <v/>
      </c>
      <c r="X40" s="50">
        <f>IFERROR(IF(INDEX('AC&amp;M'!$P$10:$P$14,MATCH($F40,'AC&amp;M'!$B$10:$B$14,0))="","Cell will autofill based on response",INDEX('AC&amp;M'!$P$10:$P$14,MATCH($F40,'AC&amp;M'!$B$10:$B$14,0))),"N/A")</f>
        <v/>
      </c>
      <c r="Y40" s="50">
        <f>IFERROR(IF(INDEX('GCE'!$P$10:$P$12,MATCH($F40,'GCE'!$B$10:$B$12,0))="","Cell will autofill based on response",INDEX('GCE'!$P$10:$P$12,MATCH($F40,'GCE'!$B$10:$B$12,0))),"N/A")</f>
        <v/>
      </c>
      <c r="Z40" s="50">
        <f>IFERROR(IF(INDEX('Education'!$P$10:$P$13,MATCH($F40,'Education'!$B$10:$B$13,0))="","Cell will autofill based on response",INDEX('Education'!$P$10:$P$13,MATCH($F40,'Education'!$B$10:$B$13,0))),"N/A")</f>
        <v/>
      </c>
      <c r="AA40" s="50">
        <f>IFERROR(IF(INDEX('SaSS'!$P$10:$P$12,MATCH($F40,'SaSS'!$B$10:$B$12,0))="","Cell will autofill based on response",INDEX('SaSS'!$P$10:$P$12,MATCH($F40,'SaSS'!$B$10:$B$12,0))),"N/A")</f>
        <v/>
      </c>
      <c r="AB40" s="50">
        <f>IFERROR(IF(INDEX('Indigenous'!$P$10:$P$11,MATCH($F40,'Indigenous'!$B$10:$B$11,0))="","Cell will autofill based on response",INDEX('Indigenous'!$P$10:$P$11,MATCH($F40,'Indigenous'!$B$10:$B$11,0))),"N/A")</f>
        <v/>
      </c>
      <c r="AC40" s="50">
        <f>IFERROR(IF(INDEX('L&amp;R'!$P$10:$P$11,MATCH($F40,'L&amp;R'!$B$10:$B$11,0))="","Cell will autofill based on response",INDEX('L&amp;R'!$P$10:$P$11,MATCH($F40,'L&amp;R'!$B$10:$B$11,0))),"N/A")</f>
        <v/>
      </c>
    </row>
    <row r="41" ht="138" customHeight="1">
      <c r="A41">
        <f>F41&amp;"|"&amp;G41</f>
        <v/>
      </c>
      <c r="B41" s="6" t="inlineStr">
        <is>
          <t>TR1(c)</t>
        </is>
      </c>
      <c r="C41" s="48" t="inlineStr">
        <is>
          <t>Transformational research</t>
        </is>
      </c>
      <c r="D41" s="48" t="inlineStr">
        <is>
          <t>Expert assessment of the quality, relevance and continuity of these collaborations</t>
        </is>
      </c>
      <c r="E41" s="48" t="inlineStr">
        <is>
          <t>Please provide an assessment of the quality, relevance and continuity of sustainability-related collaborations involving your Faculty/Portfolio, could include evidence of whether collaborations are sustained, useful to operational priorities and producing relevant outcomes.</t>
        </is>
      </c>
      <c r="F41" s="48" t="inlineStr">
        <is>
          <t>TR1(c)</t>
        </is>
      </c>
      <c r="G41" s="48" t="inlineStr">
        <is>
          <t>OPTION 1:  Target-level reporting</t>
        </is>
      </c>
      <c r="H41" s="50">
        <f>IFERROR(IF(INDEX('Faculties'!$L$10:$L$18,MATCH($F41,'Faculties'!$B$10:$B$18,0))="","Cell will autofill based on response",INDEX('Faculties'!$L$10:$L$18,MATCH($F41,'Faculties'!$B$10:$B$18,0))),"N/A")</f>
        <v/>
      </c>
      <c r="I41" s="50">
        <f>IFERROR(IF(INDEX('Faculties'!$L$25:$L$34,MATCH($F41,'Faculties'!$B$25:$B$34,0))="","Cell will autofill based on response",INDEX('Faculties'!$L$25:$L$34,MATCH($F41,'Faculties'!$B$25:$B$34,0))),"N/A")</f>
        <v/>
      </c>
      <c r="J41" s="50">
        <f>IFERROR(IF(INDEX('Faculties'!$L$41:$L$50,MATCH($F41,'Faculties'!$B$41:$B$50,0))="","Cell will autofill based on response",INDEX('Faculties'!$L$41:$L$50,MATCH($F41,'Faculties'!$B$41:$B$50,0))),"N/A")</f>
        <v/>
      </c>
      <c r="K41" s="50">
        <f>IFERROR(IF(INDEX('Faculties'!$L$57:$L$66,MATCH($F41,'Faculties'!$B$57:$B$66,0))="","Cell will autofill based on response",INDEX('Faculties'!$L$57:$L$66,MATCH($F41,'Faculties'!$B$57:$B$66,0))),"N/A")</f>
        <v/>
      </c>
      <c r="L41" s="50">
        <f>IFERROR(IF(INDEX('Faculties'!$L$73:$L$82,MATCH($F41,'Faculties'!$B$73:$B$82,0))="","Cell will autofill based on response",INDEX('Faculties'!$L$73:$L$82,MATCH($F41,'Faculties'!$B$73:$B$82,0))),"N/A")</f>
        <v/>
      </c>
      <c r="M41" s="50">
        <f>IFERROR(IF(INDEX('Faculties'!$L$89:$L$98,MATCH($F41,'Faculties'!$B$89:$B$98,0))="","Cell will autofill based on response",INDEX('Faculties'!$L$89:$L$98,MATCH($F41,'Faculties'!$B$89:$B$98,0))),"N/A")</f>
        <v/>
      </c>
      <c r="N41" s="50">
        <f>IFERROR(IF(INDEX('Faculties'!$L$105:$L$114,MATCH($F41,'Faculties'!$B$105:$B$114,0))="","Cell will autofill based on response",INDEX('Faculties'!$L$105:$L$114,MATCH($F41,'Faculties'!$B$105:$B$114,0))),"N/A")</f>
        <v/>
      </c>
      <c r="O41" s="50">
        <f>IFERROR(IF(INDEX('Faculties'!$L$121:$L$130,MATCH($F41,'Faculties'!$B$121:$B$130,0))="","Cell will autofill based on response",INDEX('Faculties'!$L$121:$L$130,MATCH($F41,'Faculties'!$B$121:$B$130,0))),"N/A")</f>
        <v/>
      </c>
      <c r="P41" s="50">
        <f>IFERROR(IF(INDEX('Faculties'!$L$137:$L$146,MATCH($F41,'Faculties'!$B$137:$B$146,0))="","Cell will autofill based on response",INDEX('Faculties'!$L$137:$L$146,MATCH($F41,'Faculties'!$B$137:$B$146,0))),"N/A")</f>
        <v/>
      </c>
      <c r="Q41" s="50">
        <f>IFERROR(IF(INDEX('CI&amp;S'!$L$10:$L$15,MATCH($F41,'CI&amp;S'!$B$10:$B$15,0))="","Cell will autofill based on response",INDEX('CI&amp;S'!$L$10:$L$15,MATCH($F41,'CI&amp;S'!$B$10:$B$15,0))),"N/A")</f>
        <v/>
      </c>
      <c r="R41" s="50">
        <f>IFERROR(IF(INDEX('CI&amp;S'!$L$22:$L$36,MATCH($F41,'CI&amp;S'!$B$22:$B$36,0))="","Cell will autofill based on response",INDEX('CI&amp;S'!$L$22:$L$36,MATCH($F41,'CI&amp;S'!$B$22:$B$36,0))),"N/A")</f>
        <v/>
      </c>
      <c r="S41" s="50">
        <f>IFERROR(IF(INDEX('CFOG'!$L$10:$L$16,MATCH($F41,'CFOG'!$B$10:$B$16,0))="","Cell will autofill based on response",INDEX('CFOG'!$L$10:$L$16,MATCH($F41,'CFOG'!$B$10:$B$16,0))),"N/A")</f>
        <v/>
      </c>
      <c r="T41" s="50">
        <f>IFERROR(IF(INDEX('CFOG'!$L$23:$L$24,MATCH($F41,'CFOG'!$B$23:$B$24,0))="","Cell will autofill based on response",INDEX('CFOG'!$L$23:$L$24,MATCH($F41,'CFOG'!$B$23:$B$24,0))),"N/A")</f>
        <v/>
      </c>
      <c r="U41" s="50">
        <f>IFERROR(IF(INDEX('ESG'!$L$10:$L$17,MATCH($F41,'ESG'!$B$10:$B$17,0))="","Cell will autofill based on response",INDEX('ESG'!$L$10:$L$17,MATCH($F41,'ESG'!$B$10:$B$17,0))),"N/A")</f>
        <v/>
      </c>
      <c r="V41" s="50">
        <f>IFERROR(IF(INDEX('CIOG'!$L$10:$L$14,MATCH($F41,'CIOG'!$B$10:$B$14,0))="","Cell will autofill based on response",INDEX('CIOG'!$L$10:$L$14,MATCH($F41,'CIOG'!$B$10:$B$14,0))),"N/A")</f>
        <v/>
      </c>
      <c r="W41" s="50">
        <f>IFERROR(IF(INDEX('MRE'!$L$10:$L$18,MATCH($F41,'MRE'!$B$10:$B$18,0))="","Cell will autofill based on response",INDEX('MRE'!$L$10:$L$18,MATCH($F41,'MRE'!$B$10:$B$18,0))),"N/A")</f>
        <v/>
      </c>
      <c r="X41" s="50">
        <f>IFERROR(IF(INDEX('AC&amp;M'!$L$10:$L$14,MATCH($F41,'AC&amp;M'!$B$10:$B$14,0))="","Cell will autofill based on response",INDEX('AC&amp;M'!$L$10:$L$14,MATCH($F41,'AC&amp;M'!$B$10:$B$14,0))),"N/A")</f>
        <v/>
      </c>
      <c r="Y41" s="50">
        <f>IFERROR(IF(INDEX('GCE'!$L$10:$L$12,MATCH($F41,'GCE'!$B$10:$B$12,0))="","Cell will autofill based on response",INDEX('GCE'!$L$10:$L$12,MATCH($F41,'GCE'!$B$10:$B$12,0))),"N/A")</f>
        <v/>
      </c>
      <c r="Z41" s="50">
        <f>IFERROR(IF(INDEX('Education'!$L$10:$L$13,MATCH($F41,'Education'!$B$10:$B$13,0))="","Cell will autofill based on response",INDEX('Education'!$L$10:$L$13,MATCH($F41,'Education'!$B$10:$B$13,0))),"N/A")</f>
        <v/>
      </c>
      <c r="AA41" s="50">
        <f>IFERROR(IF(INDEX('SaSS'!$L$10:$L$12,MATCH($F41,'SaSS'!$B$10:$B$12,0))="","Cell will autofill based on response",INDEX('SaSS'!$L$10:$L$12,MATCH($F41,'SaSS'!$B$10:$B$12,0))),"N/A")</f>
        <v/>
      </c>
      <c r="AB41" s="50">
        <f>IFERROR(IF(INDEX('Indigenous'!$L$10:$L$11,MATCH($F41,'Indigenous'!$B$10:$B$11,0))="","Cell will autofill based on response",INDEX('Indigenous'!$L$10:$L$11,MATCH($F41,'Indigenous'!$B$10:$B$11,0))),"N/A")</f>
        <v/>
      </c>
      <c r="AC41" s="50">
        <f>IFERROR(IF(INDEX('L&amp;R'!$L$10:$L$11,MATCH($F41,'L&amp;R'!$B$10:$B$11,0))="","Cell will autofill based on response",INDEX('L&amp;R'!$L$10:$L$11,MATCH($F41,'L&amp;R'!$B$10:$B$11,0))),"N/A")</f>
        <v/>
      </c>
      <c r="AE41" s="9">
        <f>SUMPRODUCT(--($H41:$AC41&lt;&gt;"N/A"))</f>
        <v/>
      </c>
      <c r="AF41" s="9">
        <f>SUMPRODUCT(--(((($H41:$AC41&lt;&gt;"N/A")*($H41:$AC41&lt;&gt;"Cell will autofill based on response"))+(($H42:$AC42&lt;&gt;"N/A")*($H42:$AC42&lt;&gt;"Cell will autofill based on response")))&gt;0))</f>
        <v/>
      </c>
      <c r="AG41" s="9">
        <f>AE41-AF41</f>
        <v/>
      </c>
      <c r="AH41" s="9">
        <f>COUNTIF($H45:$AC45,"Yes")</f>
        <v/>
      </c>
    </row>
    <row r="42" ht="39" customHeight="1">
      <c r="A42">
        <f>F42&amp;"|"&amp;G42</f>
        <v/>
      </c>
      <c r="B42" s="12" t="inlineStr"/>
      <c r="C42" s="7" t="inlineStr"/>
      <c r="D42" s="7" t="inlineStr"/>
      <c r="E42" s="7" t="inlineStr"/>
      <c r="F42" s="7" t="inlineStr">
        <is>
          <t>TR1(c)</t>
        </is>
      </c>
      <c r="G42" s="7" t="inlineStr">
        <is>
          <t>OPTION 2:  Indicator level reporting</t>
        </is>
      </c>
      <c r="H42" s="50">
        <f>IFERROR(IF(INDEX('Faculties'!$M$10:$M$18,MATCH($F42,'Faculties'!$B$10:$B$18,0))="","Cell will autofill based on response",INDEX('Faculties'!$M$10:$M$18,MATCH($F42,'Faculties'!$B$10:$B$18,0))),"N/A")</f>
        <v/>
      </c>
      <c r="I42" s="50">
        <f>IFERROR(IF(INDEX('Faculties'!$M$25:$M$34,MATCH($F42,'Faculties'!$B$25:$B$34,0))="","Cell will autofill based on response",INDEX('Faculties'!$M$25:$M$34,MATCH($F42,'Faculties'!$B$25:$B$34,0))),"N/A")</f>
        <v/>
      </c>
      <c r="J42" s="50">
        <f>IFERROR(IF(INDEX('Faculties'!$M$41:$M$50,MATCH($F42,'Faculties'!$B$41:$B$50,0))="","Cell will autofill based on response",INDEX('Faculties'!$M$41:$M$50,MATCH($F42,'Faculties'!$B$41:$B$50,0))),"N/A")</f>
        <v/>
      </c>
      <c r="K42" s="50">
        <f>IFERROR(IF(INDEX('Faculties'!$M$57:$M$66,MATCH($F42,'Faculties'!$B$57:$B$66,0))="","Cell will autofill based on response",INDEX('Faculties'!$M$57:$M$66,MATCH($F42,'Faculties'!$B$57:$B$66,0))),"N/A")</f>
        <v/>
      </c>
      <c r="L42" s="50">
        <f>IFERROR(IF(INDEX('Faculties'!$M$73:$M$82,MATCH($F42,'Faculties'!$B$73:$B$82,0))="","Cell will autofill based on response",INDEX('Faculties'!$M$73:$M$82,MATCH($F42,'Faculties'!$B$73:$B$82,0))),"N/A")</f>
        <v/>
      </c>
      <c r="M42" s="50">
        <f>IFERROR(IF(INDEX('Faculties'!$M$89:$M$98,MATCH($F42,'Faculties'!$B$89:$B$98,0))="","Cell will autofill based on response",INDEX('Faculties'!$M$89:$M$98,MATCH($F42,'Faculties'!$B$89:$B$98,0))),"N/A")</f>
        <v/>
      </c>
      <c r="N42" s="50">
        <f>IFERROR(IF(INDEX('Faculties'!$M$105:$M$114,MATCH($F42,'Faculties'!$B$105:$B$114,0))="","Cell will autofill based on response",INDEX('Faculties'!$M$105:$M$114,MATCH($F42,'Faculties'!$B$105:$B$114,0))),"N/A")</f>
        <v/>
      </c>
      <c r="O42" s="50">
        <f>IFERROR(IF(INDEX('Faculties'!$M$121:$M$130,MATCH($F42,'Faculties'!$B$121:$B$130,0))="","Cell will autofill based on response",INDEX('Faculties'!$M$121:$M$130,MATCH($F42,'Faculties'!$B$121:$B$130,0))),"N/A")</f>
        <v/>
      </c>
      <c r="P42" s="50">
        <f>IFERROR(IF(INDEX('Faculties'!$M$137:$M$146,MATCH($F42,'Faculties'!$B$137:$B$146,0))="","Cell will autofill based on response",INDEX('Faculties'!$M$137:$M$146,MATCH($F42,'Faculties'!$B$137:$B$146,0))),"N/A")</f>
        <v/>
      </c>
      <c r="Q42" s="50">
        <f>IFERROR(IF(INDEX('CI&amp;S'!$M$10:$M$15,MATCH($F42,'CI&amp;S'!$B$10:$B$15,0))="","Cell will autofill based on response",INDEX('CI&amp;S'!$M$10:$M$15,MATCH($F42,'CI&amp;S'!$B$10:$B$15,0))),"N/A")</f>
        <v/>
      </c>
      <c r="R42" s="50">
        <f>IFERROR(IF(INDEX('CI&amp;S'!$M$22:$M$36,MATCH($F42,'CI&amp;S'!$B$22:$B$36,0))="","Cell will autofill based on response",INDEX('CI&amp;S'!$M$22:$M$36,MATCH($F42,'CI&amp;S'!$B$22:$B$36,0))),"N/A")</f>
        <v/>
      </c>
      <c r="S42" s="50">
        <f>IFERROR(IF(INDEX('CFOG'!$M$10:$M$16,MATCH($F42,'CFOG'!$B$10:$B$16,0))="","Cell will autofill based on response",INDEX('CFOG'!$M$10:$M$16,MATCH($F42,'CFOG'!$B$10:$B$16,0))),"N/A")</f>
        <v/>
      </c>
      <c r="T42" s="50">
        <f>IFERROR(IF(INDEX('CFOG'!$M$23:$M$24,MATCH($F42,'CFOG'!$B$23:$B$24,0))="","Cell will autofill based on response",INDEX('CFOG'!$M$23:$M$24,MATCH($F42,'CFOG'!$B$23:$B$24,0))),"N/A")</f>
        <v/>
      </c>
      <c r="U42" s="50">
        <f>IFERROR(IF(INDEX('ESG'!$M$10:$M$17,MATCH($F42,'ESG'!$B$10:$B$17,0))="","Cell will autofill based on response",INDEX('ESG'!$M$10:$M$17,MATCH($F42,'ESG'!$B$10:$B$17,0))),"N/A")</f>
        <v/>
      </c>
      <c r="V42" s="50">
        <f>IFERROR(IF(INDEX('CIOG'!$M$10:$M$14,MATCH($F42,'CIOG'!$B$10:$B$14,0))="","Cell will autofill based on response",INDEX('CIOG'!$M$10:$M$14,MATCH($F42,'CIOG'!$B$10:$B$14,0))),"N/A")</f>
        <v/>
      </c>
      <c r="W42" s="50">
        <f>IFERROR(IF(INDEX('MRE'!$M$10:$M$18,MATCH($F42,'MRE'!$B$10:$B$18,0))="","Cell will autofill based on response",INDEX('MRE'!$M$10:$M$18,MATCH($F42,'MRE'!$B$10:$B$18,0))),"N/A")</f>
        <v/>
      </c>
      <c r="X42" s="50">
        <f>IFERROR(IF(INDEX('AC&amp;M'!$M$10:$M$14,MATCH($F42,'AC&amp;M'!$B$10:$B$14,0))="","Cell will autofill based on response",INDEX('AC&amp;M'!$M$10:$M$14,MATCH($F42,'AC&amp;M'!$B$10:$B$14,0))),"N/A")</f>
        <v/>
      </c>
      <c r="Y42" s="50">
        <f>IFERROR(IF(INDEX('GCE'!$M$10:$M$12,MATCH($F42,'GCE'!$B$10:$B$12,0))="","Cell will autofill based on response",INDEX('GCE'!$M$10:$M$12,MATCH($F42,'GCE'!$B$10:$B$12,0))),"N/A")</f>
        <v/>
      </c>
      <c r="Z42" s="50">
        <f>IFERROR(IF(INDEX('Education'!$M$10:$M$13,MATCH($F42,'Education'!$B$10:$B$13,0))="","Cell will autofill based on response",INDEX('Education'!$M$10:$M$13,MATCH($F42,'Education'!$B$10:$B$13,0))),"N/A")</f>
        <v/>
      </c>
      <c r="AA42" s="50">
        <f>IFERROR(IF(INDEX('SaSS'!$M$10:$M$12,MATCH($F42,'SaSS'!$B$10:$B$12,0))="","Cell will autofill based on response",INDEX('SaSS'!$M$10:$M$12,MATCH($F42,'SaSS'!$B$10:$B$12,0))),"N/A")</f>
        <v/>
      </c>
      <c r="AB42" s="50">
        <f>IFERROR(IF(INDEX('Indigenous'!$M$10:$M$11,MATCH($F42,'Indigenous'!$B$10:$B$11,0))="","Cell will autofill based on response",INDEX('Indigenous'!$M$10:$M$11,MATCH($F42,'Indigenous'!$B$10:$B$11,0))),"N/A")</f>
        <v/>
      </c>
      <c r="AC42" s="50">
        <f>IFERROR(IF(INDEX('L&amp;R'!$M$10:$M$11,MATCH($F42,'L&amp;R'!$B$10:$B$11,0))="","Cell will autofill based on response",INDEX('L&amp;R'!$M$10:$M$11,MATCH($F42,'L&amp;R'!$B$10:$B$11,0))),"N/A")</f>
        <v/>
      </c>
    </row>
    <row r="43" ht="22" customHeight="1">
      <c r="A43">
        <f>F43&amp;"|"&amp;G43</f>
        <v/>
      </c>
      <c r="B43" s="12" t="inlineStr"/>
      <c r="C43" s="7" t="inlineStr"/>
      <c r="D43" s="7" t="inlineStr"/>
      <c r="E43" s="7" t="inlineStr"/>
      <c r="F43" s="7" t="inlineStr">
        <is>
          <t>TR1(c)</t>
        </is>
      </c>
      <c r="G43" s="7" t="inlineStr">
        <is>
          <t>Supporting information/comments</t>
        </is>
      </c>
      <c r="H43" s="50">
        <f>IFERROR(IF(INDEX('Faculties'!$N$10:$N$18,MATCH($F43,'Faculties'!$B$10:$B$18,0))="","Cell will autofill based on response",INDEX('Faculties'!$N$10:$N$18,MATCH($F43,'Faculties'!$B$10:$B$18,0))),"N/A")</f>
        <v/>
      </c>
      <c r="I43" s="50">
        <f>IFERROR(IF(INDEX('Faculties'!$N$25:$N$34,MATCH($F43,'Faculties'!$B$25:$B$34,0))="","Cell will autofill based on response",INDEX('Faculties'!$N$25:$N$34,MATCH($F43,'Faculties'!$B$25:$B$34,0))),"N/A")</f>
        <v/>
      </c>
      <c r="J43" s="50">
        <f>IFERROR(IF(INDEX('Faculties'!$N$41:$N$50,MATCH($F43,'Faculties'!$B$41:$B$50,0))="","Cell will autofill based on response",INDEX('Faculties'!$N$41:$N$50,MATCH($F43,'Faculties'!$B$41:$B$50,0))),"N/A")</f>
        <v/>
      </c>
      <c r="K43" s="50">
        <f>IFERROR(IF(INDEX('Faculties'!$N$57:$N$66,MATCH($F43,'Faculties'!$B$57:$B$66,0))="","Cell will autofill based on response",INDEX('Faculties'!$N$57:$N$66,MATCH($F43,'Faculties'!$B$57:$B$66,0))),"N/A")</f>
        <v/>
      </c>
      <c r="L43" s="50">
        <f>IFERROR(IF(INDEX('Faculties'!$N$73:$N$82,MATCH($F43,'Faculties'!$B$73:$B$82,0))="","Cell will autofill based on response",INDEX('Faculties'!$N$73:$N$82,MATCH($F43,'Faculties'!$B$73:$B$82,0))),"N/A")</f>
        <v/>
      </c>
      <c r="M43" s="50">
        <f>IFERROR(IF(INDEX('Faculties'!$N$89:$N$98,MATCH($F43,'Faculties'!$B$89:$B$98,0))="","Cell will autofill based on response",INDEX('Faculties'!$N$89:$N$98,MATCH($F43,'Faculties'!$B$89:$B$98,0))),"N/A")</f>
        <v/>
      </c>
      <c r="N43" s="50">
        <f>IFERROR(IF(INDEX('Faculties'!$N$105:$N$114,MATCH($F43,'Faculties'!$B$105:$B$114,0))="","Cell will autofill based on response",INDEX('Faculties'!$N$105:$N$114,MATCH($F43,'Faculties'!$B$105:$B$114,0))),"N/A")</f>
        <v/>
      </c>
      <c r="O43" s="50">
        <f>IFERROR(IF(INDEX('Faculties'!$N$121:$N$130,MATCH($F43,'Faculties'!$B$121:$B$130,0))="","Cell will autofill based on response",INDEX('Faculties'!$N$121:$N$130,MATCH($F43,'Faculties'!$B$121:$B$130,0))),"N/A")</f>
        <v/>
      </c>
      <c r="P43" s="50">
        <f>IFERROR(IF(INDEX('Faculties'!$N$137:$N$146,MATCH($F43,'Faculties'!$B$137:$B$146,0))="","Cell will autofill based on response",INDEX('Faculties'!$N$137:$N$146,MATCH($F43,'Faculties'!$B$137:$B$146,0))),"N/A")</f>
        <v/>
      </c>
      <c r="Q43" s="50">
        <f>IFERROR(IF(INDEX('CI&amp;S'!$N$10:$N$15,MATCH($F43,'CI&amp;S'!$B$10:$B$15,0))="","Cell will autofill based on response",INDEX('CI&amp;S'!$N$10:$N$15,MATCH($F43,'CI&amp;S'!$B$10:$B$15,0))),"N/A")</f>
        <v/>
      </c>
      <c r="R43" s="50">
        <f>IFERROR(IF(INDEX('CI&amp;S'!$N$22:$N$36,MATCH($F43,'CI&amp;S'!$B$22:$B$36,0))="","Cell will autofill based on response",INDEX('CI&amp;S'!$N$22:$N$36,MATCH($F43,'CI&amp;S'!$B$22:$B$36,0))),"N/A")</f>
        <v/>
      </c>
      <c r="S43" s="50">
        <f>IFERROR(IF(INDEX('CFOG'!$N$10:$N$16,MATCH($F43,'CFOG'!$B$10:$B$16,0))="","Cell will autofill based on response",INDEX('CFOG'!$N$10:$N$16,MATCH($F43,'CFOG'!$B$10:$B$16,0))),"N/A")</f>
        <v/>
      </c>
      <c r="T43" s="50">
        <f>IFERROR(IF(INDEX('CFOG'!$N$23:$N$24,MATCH($F43,'CFOG'!$B$23:$B$24,0))="","Cell will autofill based on response",INDEX('CFOG'!$N$23:$N$24,MATCH($F43,'CFOG'!$B$23:$B$24,0))),"N/A")</f>
        <v/>
      </c>
      <c r="U43" s="50">
        <f>IFERROR(IF(INDEX('ESG'!$N$10:$N$17,MATCH($F43,'ESG'!$B$10:$B$17,0))="","Cell will autofill based on response",INDEX('ESG'!$N$10:$N$17,MATCH($F43,'ESG'!$B$10:$B$17,0))),"N/A")</f>
        <v/>
      </c>
      <c r="V43" s="50">
        <f>IFERROR(IF(INDEX('CIOG'!$N$10:$N$14,MATCH($F43,'CIOG'!$B$10:$B$14,0))="","Cell will autofill based on response",INDEX('CIOG'!$N$10:$N$14,MATCH($F43,'CIOG'!$B$10:$B$14,0))),"N/A")</f>
        <v/>
      </c>
      <c r="W43" s="50">
        <f>IFERROR(IF(INDEX('MRE'!$N$10:$N$18,MATCH($F43,'MRE'!$B$10:$B$18,0))="","Cell will autofill based on response",INDEX('MRE'!$N$10:$N$18,MATCH($F43,'MRE'!$B$10:$B$18,0))),"N/A")</f>
        <v/>
      </c>
      <c r="X43" s="50">
        <f>IFERROR(IF(INDEX('AC&amp;M'!$N$10:$N$14,MATCH($F43,'AC&amp;M'!$B$10:$B$14,0))="","Cell will autofill based on response",INDEX('AC&amp;M'!$N$10:$N$14,MATCH($F43,'AC&amp;M'!$B$10:$B$14,0))),"N/A")</f>
        <v/>
      </c>
      <c r="Y43" s="50">
        <f>IFERROR(IF(INDEX('GCE'!$N$10:$N$12,MATCH($F43,'GCE'!$B$10:$B$12,0))="","Cell will autofill based on response",INDEX('GCE'!$N$10:$N$12,MATCH($F43,'GCE'!$B$10:$B$12,0))),"N/A")</f>
        <v/>
      </c>
      <c r="Z43" s="50">
        <f>IFERROR(IF(INDEX('Education'!$N$10:$N$13,MATCH($F43,'Education'!$B$10:$B$13,0))="","Cell will autofill based on response",INDEX('Education'!$N$10:$N$13,MATCH($F43,'Education'!$B$10:$B$13,0))),"N/A")</f>
        <v/>
      </c>
      <c r="AA43" s="50">
        <f>IFERROR(IF(INDEX('SaSS'!$N$10:$N$12,MATCH($F43,'SaSS'!$B$10:$B$12,0))="","Cell will autofill based on response",INDEX('SaSS'!$N$10:$N$12,MATCH($F43,'SaSS'!$B$10:$B$12,0))),"N/A")</f>
        <v/>
      </c>
      <c r="AB43" s="50">
        <f>IFERROR(IF(INDEX('Indigenous'!$N$10:$N$11,MATCH($F43,'Indigenous'!$B$10:$B$11,0))="","Cell will autofill based on response",INDEX('Indigenous'!$N$10:$N$11,MATCH($F43,'Indigenous'!$B$10:$B$11,0))),"N/A")</f>
        <v/>
      </c>
      <c r="AC43" s="50">
        <f>IFERROR(IF(INDEX('L&amp;R'!$N$10:$N$11,MATCH($F43,'L&amp;R'!$B$10:$B$11,0))="","Cell will autofill based on response",INDEX('L&amp;R'!$N$10:$N$11,MATCH($F43,'L&amp;R'!$B$10:$B$11,0))),"N/A")</f>
        <v/>
      </c>
    </row>
    <row r="44" ht="22" customHeight="1">
      <c r="A44">
        <f>F44&amp;"|"&amp;G44</f>
        <v/>
      </c>
      <c r="B44" s="12" t="inlineStr"/>
      <c r="C44" s="7" t="inlineStr"/>
      <c r="D44" s="7" t="inlineStr"/>
      <c r="E44" s="7" t="inlineStr"/>
      <c r="F44" s="7" t="inlineStr">
        <is>
          <t>TR1(c)</t>
        </is>
      </c>
      <c r="G44" s="7" t="inlineStr">
        <is>
          <t>Data source and limitations</t>
        </is>
      </c>
      <c r="H44" s="50">
        <f>IFERROR(IF(INDEX('Faculties'!$O$10:$O$18,MATCH($F44,'Faculties'!$B$10:$B$18,0))="","Cell will autofill based on response",INDEX('Faculties'!$O$10:$O$18,MATCH($F44,'Faculties'!$B$10:$B$18,0))),"N/A")</f>
        <v/>
      </c>
      <c r="I44" s="50">
        <f>IFERROR(IF(INDEX('Faculties'!$O$25:$O$34,MATCH($F44,'Faculties'!$B$25:$B$34,0))="","Cell will autofill based on response",INDEX('Faculties'!$O$25:$O$34,MATCH($F44,'Faculties'!$B$25:$B$34,0))),"N/A")</f>
        <v/>
      </c>
      <c r="J44" s="50">
        <f>IFERROR(IF(INDEX('Faculties'!$O$41:$O$50,MATCH($F44,'Faculties'!$B$41:$B$50,0))="","Cell will autofill based on response",INDEX('Faculties'!$O$41:$O$50,MATCH($F44,'Faculties'!$B$41:$B$50,0))),"N/A")</f>
        <v/>
      </c>
      <c r="K44" s="50">
        <f>IFERROR(IF(INDEX('Faculties'!$O$57:$O$66,MATCH($F44,'Faculties'!$B$57:$B$66,0))="","Cell will autofill based on response",INDEX('Faculties'!$O$57:$O$66,MATCH($F44,'Faculties'!$B$57:$B$66,0))),"N/A")</f>
        <v/>
      </c>
      <c r="L44" s="50">
        <f>IFERROR(IF(INDEX('Faculties'!$O$73:$O$82,MATCH($F44,'Faculties'!$B$73:$B$82,0))="","Cell will autofill based on response",INDEX('Faculties'!$O$73:$O$82,MATCH($F44,'Faculties'!$B$73:$B$82,0))),"N/A")</f>
        <v/>
      </c>
      <c r="M44" s="50">
        <f>IFERROR(IF(INDEX('Faculties'!$O$89:$O$98,MATCH($F44,'Faculties'!$B$89:$B$98,0))="","Cell will autofill based on response",INDEX('Faculties'!$O$89:$O$98,MATCH($F44,'Faculties'!$B$89:$B$98,0))),"N/A")</f>
        <v/>
      </c>
      <c r="N44" s="50">
        <f>IFERROR(IF(INDEX('Faculties'!$O$105:$O$114,MATCH($F44,'Faculties'!$B$105:$B$114,0))="","Cell will autofill based on response",INDEX('Faculties'!$O$105:$O$114,MATCH($F44,'Faculties'!$B$105:$B$114,0))),"N/A")</f>
        <v/>
      </c>
      <c r="O44" s="50">
        <f>IFERROR(IF(INDEX('Faculties'!$O$121:$O$130,MATCH($F44,'Faculties'!$B$121:$B$130,0))="","Cell will autofill based on response",INDEX('Faculties'!$O$121:$O$130,MATCH($F44,'Faculties'!$B$121:$B$130,0))),"N/A")</f>
        <v/>
      </c>
      <c r="P44" s="50">
        <f>IFERROR(IF(INDEX('Faculties'!$O$137:$O$146,MATCH($F44,'Faculties'!$B$137:$B$146,0))="","Cell will autofill based on response",INDEX('Faculties'!$O$137:$O$146,MATCH($F44,'Faculties'!$B$137:$B$146,0))),"N/A")</f>
        <v/>
      </c>
      <c r="Q44" s="50">
        <f>IFERROR(IF(INDEX('CI&amp;S'!$O$10:$O$15,MATCH($F44,'CI&amp;S'!$B$10:$B$15,0))="","Cell will autofill based on response",INDEX('CI&amp;S'!$O$10:$O$15,MATCH($F44,'CI&amp;S'!$B$10:$B$15,0))),"N/A")</f>
        <v/>
      </c>
      <c r="R44" s="50">
        <f>IFERROR(IF(INDEX('CI&amp;S'!$O$22:$O$36,MATCH($F44,'CI&amp;S'!$B$22:$B$36,0))="","Cell will autofill based on response",INDEX('CI&amp;S'!$O$22:$O$36,MATCH($F44,'CI&amp;S'!$B$22:$B$36,0))),"N/A")</f>
        <v/>
      </c>
      <c r="S44" s="50">
        <f>IFERROR(IF(INDEX('CFOG'!$O$10:$O$16,MATCH($F44,'CFOG'!$B$10:$B$16,0))="","Cell will autofill based on response",INDEX('CFOG'!$O$10:$O$16,MATCH($F44,'CFOG'!$B$10:$B$16,0))),"N/A")</f>
        <v/>
      </c>
      <c r="T44" s="50">
        <f>IFERROR(IF(INDEX('CFOG'!$O$23:$O$24,MATCH($F44,'CFOG'!$B$23:$B$24,0))="","Cell will autofill based on response",INDEX('CFOG'!$O$23:$O$24,MATCH($F44,'CFOG'!$B$23:$B$24,0))),"N/A")</f>
        <v/>
      </c>
      <c r="U44" s="50">
        <f>IFERROR(IF(INDEX('ESG'!$O$10:$O$17,MATCH($F44,'ESG'!$B$10:$B$17,0))="","Cell will autofill based on response",INDEX('ESG'!$O$10:$O$17,MATCH($F44,'ESG'!$B$10:$B$17,0))),"N/A")</f>
        <v/>
      </c>
      <c r="V44" s="50">
        <f>IFERROR(IF(INDEX('CIOG'!$O$10:$O$14,MATCH($F44,'CIOG'!$B$10:$B$14,0))="","Cell will autofill based on response",INDEX('CIOG'!$O$10:$O$14,MATCH($F44,'CIOG'!$B$10:$B$14,0))),"N/A")</f>
        <v/>
      </c>
      <c r="W44" s="50">
        <f>IFERROR(IF(INDEX('MRE'!$O$10:$O$18,MATCH($F44,'MRE'!$B$10:$B$18,0))="","Cell will autofill based on response",INDEX('MRE'!$O$10:$O$18,MATCH($F44,'MRE'!$B$10:$B$18,0))),"N/A")</f>
        <v/>
      </c>
      <c r="X44" s="50">
        <f>IFERROR(IF(INDEX('AC&amp;M'!$O$10:$O$14,MATCH($F44,'AC&amp;M'!$B$10:$B$14,0))="","Cell will autofill based on response",INDEX('AC&amp;M'!$O$10:$O$14,MATCH($F44,'AC&amp;M'!$B$10:$B$14,0))),"N/A")</f>
        <v/>
      </c>
      <c r="Y44" s="50">
        <f>IFERROR(IF(INDEX('GCE'!$O$10:$O$12,MATCH($F44,'GCE'!$B$10:$B$12,0))="","Cell will autofill based on response",INDEX('GCE'!$O$10:$O$12,MATCH($F44,'GCE'!$B$10:$B$12,0))),"N/A")</f>
        <v/>
      </c>
      <c r="Z44" s="50">
        <f>IFERROR(IF(INDEX('Education'!$O$10:$O$13,MATCH($F44,'Education'!$B$10:$B$13,0))="","Cell will autofill based on response",INDEX('Education'!$O$10:$O$13,MATCH($F44,'Education'!$B$10:$B$13,0))),"N/A")</f>
        <v/>
      </c>
      <c r="AA44" s="50">
        <f>IFERROR(IF(INDEX('SaSS'!$O$10:$O$12,MATCH($F44,'SaSS'!$B$10:$B$12,0))="","Cell will autofill based on response",INDEX('SaSS'!$O$10:$O$12,MATCH($F44,'SaSS'!$B$10:$B$12,0))),"N/A")</f>
        <v/>
      </c>
      <c r="AB44" s="50">
        <f>IFERROR(IF(INDEX('Indigenous'!$O$10:$O$11,MATCH($F44,'Indigenous'!$B$10:$B$11,0))="","Cell will autofill based on response",INDEX('Indigenous'!$O$10:$O$11,MATCH($F44,'Indigenous'!$B$10:$B$11,0))),"N/A")</f>
        <v/>
      </c>
      <c r="AC44" s="50">
        <f>IFERROR(IF(INDEX('L&amp;R'!$O$10:$O$11,MATCH($F44,'L&amp;R'!$B$10:$B$11,0))="","Cell will autofill based on response",INDEX('L&amp;R'!$O$10:$O$11,MATCH($F44,'L&amp;R'!$B$10:$B$11,0))),"N/A")</f>
        <v/>
      </c>
    </row>
    <row r="45" ht="22" customHeight="1">
      <c r="A45">
        <f>F45&amp;"|"&amp;G45</f>
        <v/>
      </c>
      <c r="B45" s="12" t="inlineStr"/>
      <c r="C45" s="7" t="inlineStr"/>
      <c r="D45" s="7" t="inlineStr"/>
      <c r="E45" s="7" t="inlineStr"/>
      <c r="F45" s="7" t="inlineStr">
        <is>
          <t>TR1(c)</t>
        </is>
      </c>
      <c r="G45" s="7" t="inlineStr">
        <is>
          <t>Data owner confirms</t>
        </is>
      </c>
      <c r="H45" s="50">
        <f>IFERROR(IF(INDEX('Faculties'!$P$10:$P$18,MATCH($F45,'Faculties'!$B$10:$B$18,0))="","Cell will autofill based on response",INDEX('Faculties'!$P$10:$P$18,MATCH($F45,'Faculties'!$B$10:$B$18,0))),"N/A")</f>
        <v/>
      </c>
      <c r="I45" s="50">
        <f>IFERROR(IF(INDEX('Faculties'!$P$25:$P$34,MATCH($F45,'Faculties'!$B$25:$B$34,0))="","Cell will autofill based on response",INDEX('Faculties'!$P$25:$P$34,MATCH($F45,'Faculties'!$B$25:$B$34,0))),"N/A")</f>
        <v/>
      </c>
      <c r="J45" s="50">
        <f>IFERROR(IF(INDEX('Faculties'!$P$41:$P$50,MATCH($F45,'Faculties'!$B$41:$B$50,0))="","Cell will autofill based on response",INDEX('Faculties'!$P$41:$P$50,MATCH($F45,'Faculties'!$B$41:$B$50,0))),"N/A")</f>
        <v/>
      </c>
      <c r="K45" s="50">
        <f>IFERROR(IF(INDEX('Faculties'!$P$57:$P$66,MATCH($F45,'Faculties'!$B$57:$B$66,0))="","Cell will autofill based on response",INDEX('Faculties'!$P$57:$P$66,MATCH($F45,'Faculties'!$B$57:$B$66,0))),"N/A")</f>
        <v/>
      </c>
      <c r="L45" s="50">
        <f>IFERROR(IF(INDEX('Faculties'!$P$73:$P$82,MATCH($F45,'Faculties'!$B$73:$B$82,0))="","Cell will autofill based on response",INDEX('Faculties'!$P$73:$P$82,MATCH($F45,'Faculties'!$B$73:$B$82,0))),"N/A")</f>
        <v/>
      </c>
      <c r="M45" s="50">
        <f>IFERROR(IF(INDEX('Faculties'!$P$89:$P$98,MATCH($F45,'Faculties'!$B$89:$B$98,0))="","Cell will autofill based on response",INDEX('Faculties'!$P$89:$P$98,MATCH($F45,'Faculties'!$B$89:$B$98,0))),"N/A")</f>
        <v/>
      </c>
      <c r="N45" s="50">
        <f>IFERROR(IF(INDEX('Faculties'!$P$105:$P$114,MATCH($F45,'Faculties'!$B$105:$B$114,0))="","Cell will autofill based on response",INDEX('Faculties'!$P$105:$P$114,MATCH($F45,'Faculties'!$B$105:$B$114,0))),"N/A")</f>
        <v/>
      </c>
      <c r="O45" s="50">
        <f>IFERROR(IF(INDEX('Faculties'!$P$121:$P$130,MATCH($F45,'Faculties'!$B$121:$B$130,0))="","Cell will autofill based on response",INDEX('Faculties'!$P$121:$P$130,MATCH($F45,'Faculties'!$B$121:$B$130,0))),"N/A")</f>
        <v/>
      </c>
      <c r="P45" s="50">
        <f>IFERROR(IF(INDEX('Faculties'!$P$137:$P$146,MATCH($F45,'Faculties'!$B$137:$B$146,0))="","Cell will autofill based on response",INDEX('Faculties'!$P$137:$P$146,MATCH($F45,'Faculties'!$B$137:$B$146,0))),"N/A")</f>
        <v/>
      </c>
      <c r="Q45" s="50">
        <f>IFERROR(IF(INDEX('CI&amp;S'!$P$10:$P$15,MATCH($F45,'CI&amp;S'!$B$10:$B$15,0))="","Cell will autofill based on response",INDEX('CI&amp;S'!$P$10:$P$15,MATCH($F45,'CI&amp;S'!$B$10:$B$15,0))),"N/A")</f>
        <v/>
      </c>
      <c r="R45" s="50">
        <f>IFERROR(IF(INDEX('CI&amp;S'!$P$22:$P$36,MATCH($F45,'CI&amp;S'!$B$22:$B$36,0))="","Cell will autofill based on response",INDEX('CI&amp;S'!$P$22:$P$36,MATCH($F45,'CI&amp;S'!$B$22:$B$36,0))),"N/A")</f>
        <v/>
      </c>
      <c r="S45" s="50">
        <f>IFERROR(IF(INDEX('CFOG'!$P$10:$P$16,MATCH($F45,'CFOG'!$B$10:$B$16,0))="","Cell will autofill based on response",INDEX('CFOG'!$P$10:$P$16,MATCH($F45,'CFOG'!$B$10:$B$16,0))),"N/A")</f>
        <v/>
      </c>
      <c r="T45" s="50">
        <f>IFERROR(IF(INDEX('CFOG'!$P$23:$P$24,MATCH($F45,'CFOG'!$B$23:$B$24,0))="","Cell will autofill based on response",INDEX('CFOG'!$P$23:$P$24,MATCH($F45,'CFOG'!$B$23:$B$24,0))),"N/A")</f>
        <v/>
      </c>
      <c r="U45" s="50">
        <f>IFERROR(IF(INDEX('ESG'!$P$10:$P$17,MATCH($F45,'ESG'!$B$10:$B$17,0))="","Cell will autofill based on response",INDEX('ESG'!$P$10:$P$17,MATCH($F45,'ESG'!$B$10:$B$17,0))),"N/A")</f>
        <v/>
      </c>
      <c r="V45" s="50">
        <f>IFERROR(IF(INDEX('CIOG'!$P$10:$P$14,MATCH($F45,'CIOG'!$B$10:$B$14,0))="","Cell will autofill based on response",INDEX('CIOG'!$P$10:$P$14,MATCH($F45,'CIOG'!$B$10:$B$14,0))),"N/A")</f>
        <v/>
      </c>
      <c r="W45" s="50">
        <f>IFERROR(IF(INDEX('MRE'!$P$10:$P$18,MATCH($F45,'MRE'!$B$10:$B$18,0))="","Cell will autofill based on response",INDEX('MRE'!$P$10:$P$18,MATCH($F45,'MRE'!$B$10:$B$18,0))),"N/A")</f>
        <v/>
      </c>
      <c r="X45" s="50">
        <f>IFERROR(IF(INDEX('AC&amp;M'!$P$10:$P$14,MATCH($F45,'AC&amp;M'!$B$10:$B$14,0))="","Cell will autofill based on response",INDEX('AC&amp;M'!$P$10:$P$14,MATCH($F45,'AC&amp;M'!$B$10:$B$14,0))),"N/A")</f>
        <v/>
      </c>
      <c r="Y45" s="50">
        <f>IFERROR(IF(INDEX('GCE'!$P$10:$P$12,MATCH($F45,'GCE'!$B$10:$B$12,0))="","Cell will autofill based on response",INDEX('GCE'!$P$10:$P$12,MATCH($F45,'GCE'!$B$10:$B$12,0))),"N/A")</f>
        <v/>
      </c>
      <c r="Z45" s="50">
        <f>IFERROR(IF(INDEX('Education'!$P$10:$P$13,MATCH($F45,'Education'!$B$10:$B$13,0))="","Cell will autofill based on response",INDEX('Education'!$P$10:$P$13,MATCH($F45,'Education'!$B$10:$B$13,0))),"N/A")</f>
        <v/>
      </c>
      <c r="AA45" s="50">
        <f>IFERROR(IF(INDEX('SaSS'!$P$10:$P$12,MATCH($F45,'SaSS'!$B$10:$B$12,0))="","Cell will autofill based on response",INDEX('SaSS'!$P$10:$P$12,MATCH($F45,'SaSS'!$B$10:$B$12,0))),"N/A")</f>
        <v/>
      </c>
      <c r="AB45" s="50">
        <f>IFERROR(IF(INDEX('Indigenous'!$P$10:$P$11,MATCH($F45,'Indigenous'!$B$10:$B$11,0))="","Cell will autofill based on response",INDEX('Indigenous'!$P$10:$P$11,MATCH($F45,'Indigenous'!$B$10:$B$11,0))),"N/A")</f>
        <v/>
      </c>
      <c r="AC45" s="50">
        <f>IFERROR(IF(INDEX('L&amp;R'!$P$10:$P$11,MATCH($F45,'L&amp;R'!$B$10:$B$11,0))="","Cell will autofill based on response",INDEX('L&amp;R'!$P$10:$P$11,MATCH($F45,'L&amp;R'!$B$10:$B$11,0))),"N/A")</f>
        <v/>
      </c>
    </row>
    <row r="46" ht="122" customHeight="1">
      <c r="A46">
        <f>F46&amp;"|"&amp;G46</f>
        <v/>
      </c>
      <c r="B46" s="6" t="inlineStr">
        <is>
          <t>TR1(d)</t>
        </is>
      </c>
      <c r="C46" s="48" t="inlineStr">
        <is>
          <t>Transformational research</t>
        </is>
      </c>
      <c r="D46" s="48" t="inlineStr">
        <is>
          <t>Periodic feedback from participants on the effectiveness and mutual benefit of collaboration mechanisms.</t>
        </is>
      </c>
      <c r="E46" s="48" t="inlineStr">
        <is>
          <t>Please provide any participant feedback or other evidence from your Faculty/Portfolio on the effectiveness and mutual benefit of collaboration mechanisms between researchers and operational teams, could include key findings and any improvements identified.</t>
        </is>
      </c>
      <c r="F46" s="48" t="inlineStr">
        <is>
          <t>TR1(d)</t>
        </is>
      </c>
      <c r="G46" s="48" t="inlineStr">
        <is>
          <t>OPTION 1:  Target-level reporting</t>
        </is>
      </c>
      <c r="H46" s="50">
        <f>IFERROR(IF(INDEX('Faculties'!$L$10:$L$18,MATCH($F46,'Faculties'!$B$10:$B$18,0))="","Cell will autofill based on response",INDEX('Faculties'!$L$10:$L$18,MATCH($F46,'Faculties'!$B$10:$B$18,0))),"N/A")</f>
        <v/>
      </c>
      <c r="I46" s="50">
        <f>IFERROR(IF(INDEX('Faculties'!$L$25:$L$34,MATCH($F46,'Faculties'!$B$25:$B$34,0))="","Cell will autofill based on response",INDEX('Faculties'!$L$25:$L$34,MATCH($F46,'Faculties'!$B$25:$B$34,0))),"N/A")</f>
        <v/>
      </c>
      <c r="J46" s="50">
        <f>IFERROR(IF(INDEX('Faculties'!$L$41:$L$50,MATCH($F46,'Faculties'!$B$41:$B$50,0))="","Cell will autofill based on response",INDEX('Faculties'!$L$41:$L$50,MATCH($F46,'Faculties'!$B$41:$B$50,0))),"N/A")</f>
        <v/>
      </c>
      <c r="K46" s="50">
        <f>IFERROR(IF(INDEX('Faculties'!$L$57:$L$66,MATCH($F46,'Faculties'!$B$57:$B$66,0))="","Cell will autofill based on response",INDEX('Faculties'!$L$57:$L$66,MATCH($F46,'Faculties'!$B$57:$B$66,0))),"N/A")</f>
        <v/>
      </c>
      <c r="L46" s="50">
        <f>IFERROR(IF(INDEX('Faculties'!$L$73:$L$82,MATCH($F46,'Faculties'!$B$73:$B$82,0))="","Cell will autofill based on response",INDEX('Faculties'!$L$73:$L$82,MATCH($F46,'Faculties'!$B$73:$B$82,0))),"N/A")</f>
        <v/>
      </c>
      <c r="M46" s="50">
        <f>IFERROR(IF(INDEX('Faculties'!$L$89:$L$98,MATCH($F46,'Faculties'!$B$89:$B$98,0))="","Cell will autofill based on response",INDEX('Faculties'!$L$89:$L$98,MATCH($F46,'Faculties'!$B$89:$B$98,0))),"N/A")</f>
        <v/>
      </c>
      <c r="N46" s="50">
        <f>IFERROR(IF(INDEX('Faculties'!$L$105:$L$114,MATCH($F46,'Faculties'!$B$105:$B$114,0))="","Cell will autofill based on response",INDEX('Faculties'!$L$105:$L$114,MATCH($F46,'Faculties'!$B$105:$B$114,0))),"N/A")</f>
        <v/>
      </c>
      <c r="O46" s="50">
        <f>IFERROR(IF(INDEX('Faculties'!$L$121:$L$130,MATCH($F46,'Faculties'!$B$121:$B$130,0))="","Cell will autofill based on response",INDEX('Faculties'!$L$121:$L$130,MATCH($F46,'Faculties'!$B$121:$B$130,0))),"N/A")</f>
        <v/>
      </c>
      <c r="P46" s="50">
        <f>IFERROR(IF(INDEX('Faculties'!$L$137:$L$146,MATCH($F46,'Faculties'!$B$137:$B$146,0))="","Cell will autofill based on response",INDEX('Faculties'!$L$137:$L$146,MATCH($F46,'Faculties'!$B$137:$B$146,0))),"N/A")</f>
        <v/>
      </c>
      <c r="Q46" s="50">
        <f>IFERROR(IF(INDEX('CI&amp;S'!$L$10:$L$15,MATCH($F46,'CI&amp;S'!$B$10:$B$15,0))="","Cell will autofill based on response",INDEX('CI&amp;S'!$L$10:$L$15,MATCH($F46,'CI&amp;S'!$B$10:$B$15,0))),"N/A")</f>
        <v/>
      </c>
      <c r="R46" s="50">
        <f>IFERROR(IF(INDEX('CI&amp;S'!$L$22:$L$36,MATCH($F46,'CI&amp;S'!$B$22:$B$36,0))="","Cell will autofill based on response",INDEX('CI&amp;S'!$L$22:$L$36,MATCH($F46,'CI&amp;S'!$B$22:$B$36,0))),"N/A")</f>
        <v/>
      </c>
      <c r="S46" s="50">
        <f>IFERROR(IF(INDEX('CFOG'!$L$10:$L$16,MATCH($F46,'CFOG'!$B$10:$B$16,0))="","Cell will autofill based on response",INDEX('CFOG'!$L$10:$L$16,MATCH($F46,'CFOG'!$B$10:$B$16,0))),"N/A")</f>
        <v/>
      </c>
      <c r="T46" s="50">
        <f>IFERROR(IF(INDEX('CFOG'!$L$23:$L$24,MATCH($F46,'CFOG'!$B$23:$B$24,0))="","Cell will autofill based on response",INDEX('CFOG'!$L$23:$L$24,MATCH($F46,'CFOG'!$B$23:$B$24,0))),"N/A")</f>
        <v/>
      </c>
      <c r="U46" s="50">
        <f>IFERROR(IF(INDEX('ESG'!$L$10:$L$17,MATCH($F46,'ESG'!$B$10:$B$17,0))="","Cell will autofill based on response",INDEX('ESG'!$L$10:$L$17,MATCH($F46,'ESG'!$B$10:$B$17,0))),"N/A")</f>
        <v/>
      </c>
      <c r="V46" s="50">
        <f>IFERROR(IF(INDEX('CIOG'!$L$10:$L$14,MATCH($F46,'CIOG'!$B$10:$B$14,0))="","Cell will autofill based on response",INDEX('CIOG'!$L$10:$L$14,MATCH($F46,'CIOG'!$B$10:$B$14,0))),"N/A")</f>
        <v/>
      </c>
      <c r="W46" s="50">
        <f>IFERROR(IF(INDEX('MRE'!$L$10:$L$18,MATCH($F46,'MRE'!$B$10:$B$18,0))="","Cell will autofill based on response",INDEX('MRE'!$L$10:$L$18,MATCH($F46,'MRE'!$B$10:$B$18,0))),"N/A")</f>
        <v/>
      </c>
      <c r="X46" s="50">
        <f>IFERROR(IF(INDEX('AC&amp;M'!$L$10:$L$14,MATCH($F46,'AC&amp;M'!$B$10:$B$14,0))="","Cell will autofill based on response",INDEX('AC&amp;M'!$L$10:$L$14,MATCH($F46,'AC&amp;M'!$B$10:$B$14,0))),"N/A")</f>
        <v/>
      </c>
      <c r="Y46" s="50">
        <f>IFERROR(IF(INDEX('GCE'!$L$10:$L$12,MATCH($F46,'GCE'!$B$10:$B$12,0))="","Cell will autofill based on response",INDEX('GCE'!$L$10:$L$12,MATCH($F46,'GCE'!$B$10:$B$12,0))),"N/A")</f>
        <v/>
      </c>
      <c r="Z46" s="50">
        <f>IFERROR(IF(INDEX('Education'!$L$10:$L$13,MATCH($F46,'Education'!$B$10:$B$13,0))="","Cell will autofill based on response",INDEX('Education'!$L$10:$L$13,MATCH($F46,'Education'!$B$10:$B$13,0))),"N/A")</f>
        <v/>
      </c>
      <c r="AA46" s="50">
        <f>IFERROR(IF(INDEX('SaSS'!$L$10:$L$12,MATCH($F46,'SaSS'!$B$10:$B$12,0))="","Cell will autofill based on response",INDEX('SaSS'!$L$10:$L$12,MATCH($F46,'SaSS'!$B$10:$B$12,0))),"N/A")</f>
        <v/>
      </c>
      <c r="AB46" s="50">
        <f>IFERROR(IF(INDEX('Indigenous'!$L$10:$L$11,MATCH($F46,'Indigenous'!$B$10:$B$11,0))="","Cell will autofill based on response",INDEX('Indigenous'!$L$10:$L$11,MATCH($F46,'Indigenous'!$B$10:$B$11,0))),"N/A")</f>
        <v/>
      </c>
      <c r="AC46" s="50">
        <f>IFERROR(IF(INDEX('L&amp;R'!$L$10:$L$11,MATCH($F46,'L&amp;R'!$B$10:$B$11,0))="","Cell will autofill based on response",INDEX('L&amp;R'!$L$10:$L$11,MATCH($F46,'L&amp;R'!$B$10:$B$11,0))),"N/A")</f>
        <v/>
      </c>
      <c r="AE46" s="9">
        <f>SUMPRODUCT(--($H46:$AC46&lt;&gt;"N/A"))</f>
        <v/>
      </c>
      <c r="AF46" s="9">
        <f>SUMPRODUCT(--(((($H46:$AC46&lt;&gt;"N/A")*($H46:$AC46&lt;&gt;"Cell will autofill based on response"))+(($H47:$AC47&lt;&gt;"N/A")*($H47:$AC47&lt;&gt;"Cell will autofill based on response")))&gt;0))</f>
        <v/>
      </c>
      <c r="AG46" s="9">
        <f>AE46-AF46</f>
        <v/>
      </c>
      <c r="AH46" s="9">
        <f>COUNTIF($H50:$AC50,"Yes")</f>
        <v/>
      </c>
    </row>
    <row r="47" ht="39" customHeight="1">
      <c r="A47">
        <f>F47&amp;"|"&amp;G47</f>
        <v/>
      </c>
      <c r="B47" s="12" t="inlineStr"/>
      <c r="C47" s="7" t="inlineStr"/>
      <c r="D47" s="7" t="inlineStr"/>
      <c r="E47" s="7" t="inlineStr"/>
      <c r="F47" s="7" t="inlineStr">
        <is>
          <t>TR1(d)</t>
        </is>
      </c>
      <c r="G47" s="7" t="inlineStr">
        <is>
          <t>OPTION 2:  Indicator level reporting</t>
        </is>
      </c>
      <c r="H47" s="50">
        <f>IFERROR(IF(INDEX('Faculties'!$M$10:$M$18,MATCH($F47,'Faculties'!$B$10:$B$18,0))="","Cell will autofill based on response",INDEX('Faculties'!$M$10:$M$18,MATCH($F47,'Faculties'!$B$10:$B$18,0))),"N/A")</f>
        <v/>
      </c>
      <c r="I47" s="50">
        <f>IFERROR(IF(INDEX('Faculties'!$M$25:$M$34,MATCH($F47,'Faculties'!$B$25:$B$34,0))="","Cell will autofill based on response",INDEX('Faculties'!$M$25:$M$34,MATCH($F47,'Faculties'!$B$25:$B$34,0))),"N/A")</f>
        <v/>
      </c>
      <c r="J47" s="50">
        <f>IFERROR(IF(INDEX('Faculties'!$M$41:$M$50,MATCH($F47,'Faculties'!$B$41:$B$50,0))="","Cell will autofill based on response",INDEX('Faculties'!$M$41:$M$50,MATCH($F47,'Faculties'!$B$41:$B$50,0))),"N/A")</f>
        <v/>
      </c>
      <c r="K47" s="50">
        <f>IFERROR(IF(INDEX('Faculties'!$M$57:$M$66,MATCH($F47,'Faculties'!$B$57:$B$66,0))="","Cell will autofill based on response",INDEX('Faculties'!$M$57:$M$66,MATCH($F47,'Faculties'!$B$57:$B$66,0))),"N/A")</f>
        <v/>
      </c>
      <c r="L47" s="50">
        <f>IFERROR(IF(INDEX('Faculties'!$M$73:$M$82,MATCH($F47,'Faculties'!$B$73:$B$82,0))="","Cell will autofill based on response",INDEX('Faculties'!$M$73:$M$82,MATCH($F47,'Faculties'!$B$73:$B$82,0))),"N/A")</f>
        <v/>
      </c>
      <c r="M47" s="50">
        <f>IFERROR(IF(INDEX('Faculties'!$M$89:$M$98,MATCH($F47,'Faculties'!$B$89:$B$98,0))="","Cell will autofill based on response",INDEX('Faculties'!$M$89:$M$98,MATCH($F47,'Faculties'!$B$89:$B$98,0))),"N/A")</f>
        <v/>
      </c>
      <c r="N47" s="50">
        <f>IFERROR(IF(INDEX('Faculties'!$M$105:$M$114,MATCH($F47,'Faculties'!$B$105:$B$114,0))="","Cell will autofill based on response",INDEX('Faculties'!$M$105:$M$114,MATCH($F47,'Faculties'!$B$105:$B$114,0))),"N/A")</f>
        <v/>
      </c>
      <c r="O47" s="50">
        <f>IFERROR(IF(INDEX('Faculties'!$M$121:$M$130,MATCH($F47,'Faculties'!$B$121:$B$130,0))="","Cell will autofill based on response",INDEX('Faculties'!$M$121:$M$130,MATCH($F47,'Faculties'!$B$121:$B$130,0))),"N/A")</f>
        <v/>
      </c>
      <c r="P47" s="50">
        <f>IFERROR(IF(INDEX('Faculties'!$M$137:$M$146,MATCH($F47,'Faculties'!$B$137:$B$146,0))="","Cell will autofill based on response",INDEX('Faculties'!$M$137:$M$146,MATCH($F47,'Faculties'!$B$137:$B$146,0))),"N/A")</f>
        <v/>
      </c>
      <c r="Q47" s="50">
        <f>IFERROR(IF(INDEX('CI&amp;S'!$M$10:$M$15,MATCH($F47,'CI&amp;S'!$B$10:$B$15,0))="","Cell will autofill based on response",INDEX('CI&amp;S'!$M$10:$M$15,MATCH($F47,'CI&amp;S'!$B$10:$B$15,0))),"N/A")</f>
        <v/>
      </c>
      <c r="R47" s="50">
        <f>IFERROR(IF(INDEX('CI&amp;S'!$M$22:$M$36,MATCH($F47,'CI&amp;S'!$B$22:$B$36,0))="","Cell will autofill based on response",INDEX('CI&amp;S'!$M$22:$M$36,MATCH($F47,'CI&amp;S'!$B$22:$B$36,0))),"N/A")</f>
        <v/>
      </c>
      <c r="S47" s="50">
        <f>IFERROR(IF(INDEX('CFOG'!$M$10:$M$16,MATCH($F47,'CFOG'!$B$10:$B$16,0))="","Cell will autofill based on response",INDEX('CFOG'!$M$10:$M$16,MATCH($F47,'CFOG'!$B$10:$B$16,0))),"N/A")</f>
        <v/>
      </c>
      <c r="T47" s="50">
        <f>IFERROR(IF(INDEX('CFOG'!$M$23:$M$24,MATCH($F47,'CFOG'!$B$23:$B$24,0))="","Cell will autofill based on response",INDEX('CFOG'!$M$23:$M$24,MATCH($F47,'CFOG'!$B$23:$B$24,0))),"N/A")</f>
        <v/>
      </c>
      <c r="U47" s="50">
        <f>IFERROR(IF(INDEX('ESG'!$M$10:$M$17,MATCH($F47,'ESG'!$B$10:$B$17,0))="","Cell will autofill based on response",INDEX('ESG'!$M$10:$M$17,MATCH($F47,'ESG'!$B$10:$B$17,0))),"N/A")</f>
        <v/>
      </c>
      <c r="V47" s="50">
        <f>IFERROR(IF(INDEX('CIOG'!$M$10:$M$14,MATCH($F47,'CIOG'!$B$10:$B$14,0))="","Cell will autofill based on response",INDEX('CIOG'!$M$10:$M$14,MATCH($F47,'CIOG'!$B$10:$B$14,0))),"N/A")</f>
        <v/>
      </c>
      <c r="W47" s="50">
        <f>IFERROR(IF(INDEX('MRE'!$M$10:$M$18,MATCH($F47,'MRE'!$B$10:$B$18,0))="","Cell will autofill based on response",INDEX('MRE'!$M$10:$M$18,MATCH($F47,'MRE'!$B$10:$B$18,0))),"N/A")</f>
        <v/>
      </c>
      <c r="X47" s="50">
        <f>IFERROR(IF(INDEX('AC&amp;M'!$M$10:$M$14,MATCH($F47,'AC&amp;M'!$B$10:$B$14,0))="","Cell will autofill based on response",INDEX('AC&amp;M'!$M$10:$M$14,MATCH($F47,'AC&amp;M'!$B$10:$B$14,0))),"N/A")</f>
        <v/>
      </c>
      <c r="Y47" s="50">
        <f>IFERROR(IF(INDEX('GCE'!$M$10:$M$12,MATCH($F47,'GCE'!$B$10:$B$12,0))="","Cell will autofill based on response",INDEX('GCE'!$M$10:$M$12,MATCH($F47,'GCE'!$B$10:$B$12,0))),"N/A")</f>
        <v/>
      </c>
      <c r="Z47" s="50">
        <f>IFERROR(IF(INDEX('Education'!$M$10:$M$13,MATCH($F47,'Education'!$B$10:$B$13,0))="","Cell will autofill based on response",INDEX('Education'!$M$10:$M$13,MATCH($F47,'Education'!$B$10:$B$13,0))),"N/A")</f>
        <v/>
      </c>
      <c r="AA47" s="50">
        <f>IFERROR(IF(INDEX('SaSS'!$M$10:$M$12,MATCH($F47,'SaSS'!$B$10:$B$12,0))="","Cell will autofill based on response",INDEX('SaSS'!$M$10:$M$12,MATCH($F47,'SaSS'!$B$10:$B$12,0))),"N/A")</f>
        <v/>
      </c>
      <c r="AB47" s="50">
        <f>IFERROR(IF(INDEX('Indigenous'!$M$10:$M$11,MATCH($F47,'Indigenous'!$B$10:$B$11,0))="","Cell will autofill based on response",INDEX('Indigenous'!$M$10:$M$11,MATCH($F47,'Indigenous'!$B$10:$B$11,0))),"N/A")</f>
        <v/>
      </c>
      <c r="AC47" s="50">
        <f>IFERROR(IF(INDEX('L&amp;R'!$M$10:$M$11,MATCH($F47,'L&amp;R'!$B$10:$B$11,0))="","Cell will autofill based on response",INDEX('L&amp;R'!$M$10:$M$11,MATCH($F47,'L&amp;R'!$B$10:$B$11,0))),"N/A")</f>
        <v/>
      </c>
    </row>
    <row r="48" ht="22" customHeight="1">
      <c r="A48">
        <f>F48&amp;"|"&amp;G48</f>
        <v/>
      </c>
      <c r="B48" s="12" t="inlineStr"/>
      <c r="C48" s="7" t="inlineStr"/>
      <c r="D48" s="7" t="inlineStr"/>
      <c r="E48" s="7" t="inlineStr"/>
      <c r="F48" s="7" t="inlineStr">
        <is>
          <t>TR1(d)</t>
        </is>
      </c>
      <c r="G48" s="7" t="inlineStr">
        <is>
          <t>Supporting information/comments</t>
        </is>
      </c>
      <c r="H48" s="50">
        <f>IFERROR(IF(INDEX('Faculties'!$N$10:$N$18,MATCH($F48,'Faculties'!$B$10:$B$18,0))="","Cell will autofill based on response",INDEX('Faculties'!$N$10:$N$18,MATCH($F48,'Faculties'!$B$10:$B$18,0))),"N/A")</f>
        <v/>
      </c>
      <c r="I48" s="50">
        <f>IFERROR(IF(INDEX('Faculties'!$N$25:$N$34,MATCH($F48,'Faculties'!$B$25:$B$34,0))="","Cell will autofill based on response",INDEX('Faculties'!$N$25:$N$34,MATCH($F48,'Faculties'!$B$25:$B$34,0))),"N/A")</f>
        <v/>
      </c>
      <c r="J48" s="50">
        <f>IFERROR(IF(INDEX('Faculties'!$N$41:$N$50,MATCH($F48,'Faculties'!$B$41:$B$50,0))="","Cell will autofill based on response",INDEX('Faculties'!$N$41:$N$50,MATCH($F48,'Faculties'!$B$41:$B$50,0))),"N/A")</f>
        <v/>
      </c>
      <c r="K48" s="50">
        <f>IFERROR(IF(INDEX('Faculties'!$N$57:$N$66,MATCH($F48,'Faculties'!$B$57:$B$66,0))="","Cell will autofill based on response",INDEX('Faculties'!$N$57:$N$66,MATCH($F48,'Faculties'!$B$57:$B$66,0))),"N/A")</f>
        <v/>
      </c>
      <c r="L48" s="50">
        <f>IFERROR(IF(INDEX('Faculties'!$N$73:$N$82,MATCH($F48,'Faculties'!$B$73:$B$82,0))="","Cell will autofill based on response",INDEX('Faculties'!$N$73:$N$82,MATCH($F48,'Faculties'!$B$73:$B$82,0))),"N/A")</f>
        <v/>
      </c>
      <c r="M48" s="50">
        <f>IFERROR(IF(INDEX('Faculties'!$N$89:$N$98,MATCH($F48,'Faculties'!$B$89:$B$98,0))="","Cell will autofill based on response",INDEX('Faculties'!$N$89:$N$98,MATCH($F48,'Faculties'!$B$89:$B$98,0))),"N/A")</f>
        <v/>
      </c>
      <c r="N48" s="50">
        <f>IFERROR(IF(INDEX('Faculties'!$N$105:$N$114,MATCH($F48,'Faculties'!$B$105:$B$114,0))="","Cell will autofill based on response",INDEX('Faculties'!$N$105:$N$114,MATCH($F48,'Faculties'!$B$105:$B$114,0))),"N/A")</f>
        <v/>
      </c>
      <c r="O48" s="50">
        <f>IFERROR(IF(INDEX('Faculties'!$N$121:$N$130,MATCH($F48,'Faculties'!$B$121:$B$130,0))="","Cell will autofill based on response",INDEX('Faculties'!$N$121:$N$130,MATCH($F48,'Faculties'!$B$121:$B$130,0))),"N/A")</f>
        <v/>
      </c>
      <c r="P48" s="50">
        <f>IFERROR(IF(INDEX('Faculties'!$N$137:$N$146,MATCH($F48,'Faculties'!$B$137:$B$146,0))="","Cell will autofill based on response",INDEX('Faculties'!$N$137:$N$146,MATCH($F48,'Faculties'!$B$137:$B$146,0))),"N/A")</f>
        <v/>
      </c>
      <c r="Q48" s="50">
        <f>IFERROR(IF(INDEX('CI&amp;S'!$N$10:$N$15,MATCH($F48,'CI&amp;S'!$B$10:$B$15,0))="","Cell will autofill based on response",INDEX('CI&amp;S'!$N$10:$N$15,MATCH($F48,'CI&amp;S'!$B$10:$B$15,0))),"N/A")</f>
        <v/>
      </c>
      <c r="R48" s="50">
        <f>IFERROR(IF(INDEX('CI&amp;S'!$N$22:$N$36,MATCH($F48,'CI&amp;S'!$B$22:$B$36,0))="","Cell will autofill based on response",INDEX('CI&amp;S'!$N$22:$N$36,MATCH($F48,'CI&amp;S'!$B$22:$B$36,0))),"N/A")</f>
        <v/>
      </c>
      <c r="S48" s="50">
        <f>IFERROR(IF(INDEX('CFOG'!$N$10:$N$16,MATCH($F48,'CFOG'!$B$10:$B$16,0))="","Cell will autofill based on response",INDEX('CFOG'!$N$10:$N$16,MATCH($F48,'CFOG'!$B$10:$B$16,0))),"N/A")</f>
        <v/>
      </c>
      <c r="T48" s="50">
        <f>IFERROR(IF(INDEX('CFOG'!$N$23:$N$24,MATCH($F48,'CFOG'!$B$23:$B$24,0))="","Cell will autofill based on response",INDEX('CFOG'!$N$23:$N$24,MATCH($F48,'CFOG'!$B$23:$B$24,0))),"N/A")</f>
        <v/>
      </c>
      <c r="U48" s="50">
        <f>IFERROR(IF(INDEX('ESG'!$N$10:$N$17,MATCH($F48,'ESG'!$B$10:$B$17,0))="","Cell will autofill based on response",INDEX('ESG'!$N$10:$N$17,MATCH($F48,'ESG'!$B$10:$B$17,0))),"N/A")</f>
        <v/>
      </c>
      <c r="V48" s="50">
        <f>IFERROR(IF(INDEX('CIOG'!$N$10:$N$14,MATCH($F48,'CIOG'!$B$10:$B$14,0))="","Cell will autofill based on response",INDEX('CIOG'!$N$10:$N$14,MATCH($F48,'CIOG'!$B$10:$B$14,0))),"N/A")</f>
        <v/>
      </c>
      <c r="W48" s="50">
        <f>IFERROR(IF(INDEX('MRE'!$N$10:$N$18,MATCH($F48,'MRE'!$B$10:$B$18,0))="","Cell will autofill based on response",INDEX('MRE'!$N$10:$N$18,MATCH($F48,'MRE'!$B$10:$B$18,0))),"N/A")</f>
        <v/>
      </c>
      <c r="X48" s="50">
        <f>IFERROR(IF(INDEX('AC&amp;M'!$N$10:$N$14,MATCH($F48,'AC&amp;M'!$B$10:$B$14,0))="","Cell will autofill based on response",INDEX('AC&amp;M'!$N$10:$N$14,MATCH($F48,'AC&amp;M'!$B$10:$B$14,0))),"N/A")</f>
        <v/>
      </c>
      <c r="Y48" s="50">
        <f>IFERROR(IF(INDEX('GCE'!$N$10:$N$12,MATCH($F48,'GCE'!$B$10:$B$12,0))="","Cell will autofill based on response",INDEX('GCE'!$N$10:$N$12,MATCH($F48,'GCE'!$B$10:$B$12,0))),"N/A")</f>
        <v/>
      </c>
      <c r="Z48" s="50">
        <f>IFERROR(IF(INDEX('Education'!$N$10:$N$13,MATCH($F48,'Education'!$B$10:$B$13,0))="","Cell will autofill based on response",INDEX('Education'!$N$10:$N$13,MATCH($F48,'Education'!$B$10:$B$13,0))),"N/A")</f>
        <v/>
      </c>
      <c r="AA48" s="50">
        <f>IFERROR(IF(INDEX('SaSS'!$N$10:$N$12,MATCH($F48,'SaSS'!$B$10:$B$12,0))="","Cell will autofill based on response",INDEX('SaSS'!$N$10:$N$12,MATCH($F48,'SaSS'!$B$10:$B$12,0))),"N/A")</f>
        <v/>
      </c>
      <c r="AB48" s="50">
        <f>IFERROR(IF(INDEX('Indigenous'!$N$10:$N$11,MATCH($F48,'Indigenous'!$B$10:$B$11,0))="","Cell will autofill based on response",INDEX('Indigenous'!$N$10:$N$11,MATCH($F48,'Indigenous'!$B$10:$B$11,0))),"N/A")</f>
        <v/>
      </c>
      <c r="AC48" s="50">
        <f>IFERROR(IF(INDEX('L&amp;R'!$N$10:$N$11,MATCH($F48,'L&amp;R'!$B$10:$B$11,0))="","Cell will autofill based on response",INDEX('L&amp;R'!$N$10:$N$11,MATCH($F48,'L&amp;R'!$B$10:$B$11,0))),"N/A")</f>
        <v/>
      </c>
    </row>
    <row r="49" ht="22" customHeight="1">
      <c r="A49">
        <f>F49&amp;"|"&amp;G49</f>
        <v/>
      </c>
      <c r="B49" s="12" t="inlineStr"/>
      <c r="C49" s="7" t="inlineStr"/>
      <c r="D49" s="7" t="inlineStr"/>
      <c r="E49" s="7" t="inlineStr"/>
      <c r="F49" s="7" t="inlineStr">
        <is>
          <t>TR1(d)</t>
        </is>
      </c>
      <c r="G49" s="7" t="inlineStr">
        <is>
          <t>Data source and limitations</t>
        </is>
      </c>
      <c r="H49" s="50">
        <f>IFERROR(IF(INDEX('Faculties'!$O$10:$O$18,MATCH($F49,'Faculties'!$B$10:$B$18,0))="","Cell will autofill based on response",INDEX('Faculties'!$O$10:$O$18,MATCH($F49,'Faculties'!$B$10:$B$18,0))),"N/A")</f>
        <v/>
      </c>
      <c r="I49" s="50">
        <f>IFERROR(IF(INDEX('Faculties'!$O$25:$O$34,MATCH($F49,'Faculties'!$B$25:$B$34,0))="","Cell will autofill based on response",INDEX('Faculties'!$O$25:$O$34,MATCH($F49,'Faculties'!$B$25:$B$34,0))),"N/A")</f>
        <v/>
      </c>
      <c r="J49" s="50">
        <f>IFERROR(IF(INDEX('Faculties'!$O$41:$O$50,MATCH($F49,'Faculties'!$B$41:$B$50,0))="","Cell will autofill based on response",INDEX('Faculties'!$O$41:$O$50,MATCH($F49,'Faculties'!$B$41:$B$50,0))),"N/A")</f>
        <v/>
      </c>
      <c r="K49" s="50">
        <f>IFERROR(IF(INDEX('Faculties'!$O$57:$O$66,MATCH($F49,'Faculties'!$B$57:$B$66,0))="","Cell will autofill based on response",INDEX('Faculties'!$O$57:$O$66,MATCH($F49,'Faculties'!$B$57:$B$66,0))),"N/A")</f>
        <v/>
      </c>
      <c r="L49" s="50">
        <f>IFERROR(IF(INDEX('Faculties'!$O$73:$O$82,MATCH($F49,'Faculties'!$B$73:$B$82,0))="","Cell will autofill based on response",INDEX('Faculties'!$O$73:$O$82,MATCH($F49,'Faculties'!$B$73:$B$82,0))),"N/A")</f>
        <v/>
      </c>
      <c r="M49" s="50">
        <f>IFERROR(IF(INDEX('Faculties'!$O$89:$O$98,MATCH($F49,'Faculties'!$B$89:$B$98,0))="","Cell will autofill based on response",INDEX('Faculties'!$O$89:$O$98,MATCH($F49,'Faculties'!$B$89:$B$98,0))),"N/A")</f>
        <v/>
      </c>
      <c r="N49" s="50">
        <f>IFERROR(IF(INDEX('Faculties'!$O$105:$O$114,MATCH($F49,'Faculties'!$B$105:$B$114,0))="","Cell will autofill based on response",INDEX('Faculties'!$O$105:$O$114,MATCH($F49,'Faculties'!$B$105:$B$114,0))),"N/A")</f>
        <v/>
      </c>
      <c r="O49" s="50">
        <f>IFERROR(IF(INDEX('Faculties'!$O$121:$O$130,MATCH($F49,'Faculties'!$B$121:$B$130,0))="","Cell will autofill based on response",INDEX('Faculties'!$O$121:$O$130,MATCH($F49,'Faculties'!$B$121:$B$130,0))),"N/A")</f>
        <v/>
      </c>
      <c r="P49" s="50">
        <f>IFERROR(IF(INDEX('Faculties'!$O$137:$O$146,MATCH($F49,'Faculties'!$B$137:$B$146,0))="","Cell will autofill based on response",INDEX('Faculties'!$O$137:$O$146,MATCH($F49,'Faculties'!$B$137:$B$146,0))),"N/A")</f>
        <v/>
      </c>
      <c r="Q49" s="50">
        <f>IFERROR(IF(INDEX('CI&amp;S'!$O$10:$O$15,MATCH($F49,'CI&amp;S'!$B$10:$B$15,0))="","Cell will autofill based on response",INDEX('CI&amp;S'!$O$10:$O$15,MATCH($F49,'CI&amp;S'!$B$10:$B$15,0))),"N/A")</f>
        <v/>
      </c>
      <c r="R49" s="50">
        <f>IFERROR(IF(INDEX('CI&amp;S'!$O$22:$O$36,MATCH($F49,'CI&amp;S'!$B$22:$B$36,0))="","Cell will autofill based on response",INDEX('CI&amp;S'!$O$22:$O$36,MATCH($F49,'CI&amp;S'!$B$22:$B$36,0))),"N/A")</f>
        <v/>
      </c>
      <c r="S49" s="50">
        <f>IFERROR(IF(INDEX('CFOG'!$O$10:$O$16,MATCH($F49,'CFOG'!$B$10:$B$16,0))="","Cell will autofill based on response",INDEX('CFOG'!$O$10:$O$16,MATCH($F49,'CFOG'!$B$10:$B$16,0))),"N/A")</f>
        <v/>
      </c>
      <c r="T49" s="50">
        <f>IFERROR(IF(INDEX('CFOG'!$O$23:$O$24,MATCH($F49,'CFOG'!$B$23:$B$24,0))="","Cell will autofill based on response",INDEX('CFOG'!$O$23:$O$24,MATCH($F49,'CFOG'!$B$23:$B$24,0))),"N/A")</f>
        <v/>
      </c>
      <c r="U49" s="50">
        <f>IFERROR(IF(INDEX('ESG'!$O$10:$O$17,MATCH($F49,'ESG'!$B$10:$B$17,0))="","Cell will autofill based on response",INDEX('ESG'!$O$10:$O$17,MATCH($F49,'ESG'!$B$10:$B$17,0))),"N/A")</f>
        <v/>
      </c>
      <c r="V49" s="50">
        <f>IFERROR(IF(INDEX('CIOG'!$O$10:$O$14,MATCH($F49,'CIOG'!$B$10:$B$14,0))="","Cell will autofill based on response",INDEX('CIOG'!$O$10:$O$14,MATCH($F49,'CIOG'!$B$10:$B$14,0))),"N/A")</f>
        <v/>
      </c>
      <c r="W49" s="50">
        <f>IFERROR(IF(INDEX('MRE'!$O$10:$O$18,MATCH($F49,'MRE'!$B$10:$B$18,0))="","Cell will autofill based on response",INDEX('MRE'!$O$10:$O$18,MATCH($F49,'MRE'!$B$10:$B$18,0))),"N/A")</f>
        <v/>
      </c>
      <c r="X49" s="50">
        <f>IFERROR(IF(INDEX('AC&amp;M'!$O$10:$O$14,MATCH($F49,'AC&amp;M'!$B$10:$B$14,0))="","Cell will autofill based on response",INDEX('AC&amp;M'!$O$10:$O$14,MATCH($F49,'AC&amp;M'!$B$10:$B$14,0))),"N/A")</f>
        <v/>
      </c>
      <c r="Y49" s="50">
        <f>IFERROR(IF(INDEX('GCE'!$O$10:$O$12,MATCH($F49,'GCE'!$B$10:$B$12,0))="","Cell will autofill based on response",INDEX('GCE'!$O$10:$O$12,MATCH($F49,'GCE'!$B$10:$B$12,0))),"N/A")</f>
        <v/>
      </c>
      <c r="Z49" s="50">
        <f>IFERROR(IF(INDEX('Education'!$O$10:$O$13,MATCH($F49,'Education'!$B$10:$B$13,0))="","Cell will autofill based on response",INDEX('Education'!$O$10:$O$13,MATCH($F49,'Education'!$B$10:$B$13,0))),"N/A")</f>
        <v/>
      </c>
      <c r="AA49" s="50">
        <f>IFERROR(IF(INDEX('SaSS'!$O$10:$O$12,MATCH($F49,'SaSS'!$B$10:$B$12,0))="","Cell will autofill based on response",INDEX('SaSS'!$O$10:$O$12,MATCH($F49,'SaSS'!$B$10:$B$12,0))),"N/A")</f>
        <v/>
      </c>
      <c r="AB49" s="50">
        <f>IFERROR(IF(INDEX('Indigenous'!$O$10:$O$11,MATCH($F49,'Indigenous'!$B$10:$B$11,0))="","Cell will autofill based on response",INDEX('Indigenous'!$O$10:$O$11,MATCH($F49,'Indigenous'!$B$10:$B$11,0))),"N/A")</f>
        <v/>
      </c>
      <c r="AC49" s="50">
        <f>IFERROR(IF(INDEX('L&amp;R'!$O$10:$O$11,MATCH($F49,'L&amp;R'!$B$10:$B$11,0))="","Cell will autofill based on response",INDEX('L&amp;R'!$O$10:$O$11,MATCH($F49,'L&amp;R'!$B$10:$B$11,0))),"N/A")</f>
        <v/>
      </c>
    </row>
    <row r="50" ht="22" customHeight="1">
      <c r="A50">
        <f>F50&amp;"|"&amp;G50</f>
        <v/>
      </c>
      <c r="B50" s="12" t="inlineStr"/>
      <c r="C50" s="7" t="inlineStr"/>
      <c r="D50" s="7" t="inlineStr"/>
      <c r="E50" s="7" t="inlineStr"/>
      <c r="F50" s="7" t="inlineStr">
        <is>
          <t>TR1(d)</t>
        </is>
      </c>
      <c r="G50" s="7" t="inlineStr">
        <is>
          <t>Data owner confirms</t>
        </is>
      </c>
      <c r="H50" s="50">
        <f>IFERROR(IF(INDEX('Faculties'!$P$10:$P$18,MATCH($F50,'Faculties'!$B$10:$B$18,0))="","Cell will autofill based on response",INDEX('Faculties'!$P$10:$P$18,MATCH($F50,'Faculties'!$B$10:$B$18,0))),"N/A")</f>
        <v/>
      </c>
      <c r="I50" s="50">
        <f>IFERROR(IF(INDEX('Faculties'!$P$25:$P$34,MATCH($F50,'Faculties'!$B$25:$B$34,0))="","Cell will autofill based on response",INDEX('Faculties'!$P$25:$P$34,MATCH($F50,'Faculties'!$B$25:$B$34,0))),"N/A")</f>
        <v/>
      </c>
      <c r="J50" s="50">
        <f>IFERROR(IF(INDEX('Faculties'!$P$41:$P$50,MATCH($F50,'Faculties'!$B$41:$B$50,0))="","Cell will autofill based on response",INDEX('Faculties'!$P$41:$P$50,MATCH($F50,'Faculties'!$B$41:$B$50,0))),"N/A")</f>
        <v/>
      </c>
      <c r="K50" s="50">
        <f>IFERROR(IF(INDEX('Faculties'!$P$57:$P$66,MATCH($F50,'Faculties'!$B$57:$B$66,0))="","Cell will autofill based on response",INDEX('Faculties'!$P$57:$P$66,MATCH($F50,'Faculties'!$B$57:$B$66,0))),"N/A")</f>
        <v/>
      </c>
      <c r="L50" s="50">
        <f>IFERROR(IF(INDEX('Faculties'!$P$73:$P$82,MATCH($F50,'Faculties'!$B$73:$B$82,0))="","Cell will autofill based on response",INDEX('Faculties'!$P$73:$P$82,MATCH($F50,'Faculties'!$B$73:$B$82,0))),"N/A")</f>
        <v/>
      </c>
      <c r="M50" s="50">
        <f>IFERROR(IF(INDEX('Faculties'!$P$89:$P$98,MATCH($F50,'Faculties'!$B$89:$B$98,0))="","Cell will autofill based on response",INDEX('Faculties'!$P$89:$P$98,MATCH($F50,'Faculties'!$B$89:$B$98,0))),"N/A")</f>
        <v/>
      </c>
      <c r="N50" s="50">
        <f>IFERROR(IF(INDEX('Faculties'!$P$105:$P$114,MATCH($F50,'Faculties'!$B$105:$B$114,0))="","Cell will autofill based on response",INDEX('Faculties'!$P$105:$P$114,MATCH($F50,'Faculties'!$B$105:$B$114,0))),"N/A")</f>
        <v/>
      </c>
      <c r="O50" s="50">
        <f>IFERROR(IF(INDEX('Faculties'!$P$121:$P$130,MATCH($F50,'Faculties'!$B$121:$B$130,0))="","Cell will autofill based on response",INDEX('Faculties'!$P$121:$P$130,MATCH($F50,'Faculties'!$B$121:$B$130,0))),"N/A")</f>
        <v/>
      </c>
      <c r="P50" s="50">
        <f>IFERROR(IF(INDEX('Faculties'!$P$137:$P$146,MATCH($F50,'Faculties'!$B$137:$B$146,0))="","Cell will autofill based on response",INDEX('Faculties'!$P$137:$P$146,MATCH($F50,'Faculties'!$B$137:$B$146,0))),"N/A")</f>
        <v/>
      </c>
      <c r="Q50" s="50">
        <f>IFERROR(IF(INDEX('CI&amp;S'!$P$10:$P$15,MATCH($F50,'CI&amp;S'!$B$10:$B$15,0))="","Cell will autofill based on response",INDEX('CI&amp;S'!$P$10:$P$15,MATCH($F50,'CI&amp;S'!$B$10:$B$15,0))),"N/A")</f>
        <v/>
      </c>
      <c r="R50" s="50">
        <f>IFERROR(IF(INDEX('CI&amp;S'!$P$22:$P$36,MATCH($F50,'CI&amp;S'!$B$22:$B$36,0))="","Cell will autofill based on response",INDEX('CI&amp;S'!$P$22:$P$36,MATCH($F50,'CI&amp;S'!$B$22:$B$36,0))),"N/A")</f>
        <v/>
      </c>
      <c r="S50" s="50">
        <f>IFERROR(IF(INDEX('CFOG'!$P$10:$P$16,MATCH($F50,'CFOG'!$B$10:$B$16,0))="","Cell will autofill based on response",INDEX('CFOG'!$P$10:$P$16,MATCH($F50,'CFOG'!$B$10:$B$16,0))),"N/A")</f>
        <v/>
      </c>
      <c r="T50" s="50">
        <f>IFERROR(IF(INDEX('CFOG'!$P$23:$P$24,MATCH($F50,'CFOG'!$B$23:$B$24,0))="","Cell will autofill based on response",INDEX('CFOG'!$P$23:$P$24,MATCH($F50,'CFOG'!$B$23:$B$24,0))),"N/A")</f>
        <v/>
      </c>
      <c r="U50" s="50">
        <f>IFERROR(IF(INDEX('ESG'!$P$10:$P$17,MATCH($F50,'ESG'!$B$10:$B$17,0))="","Cell will autofill based on response",INDEX('ESG'!$P$10:$P$17,MATCH($F50,'ESG'!$B$10:$B$17,0))),"N/A")</f>
        <v/>
      </c>
      <c r="V50" s="50">
        <f>IFERROR(IF(INDEX('CIOG'!$P$10:$P$14,MATCH($F50,'CIOG'!$B$10:$B$14,0))="","Cell will autofill based on response",INDEX('CIOG'!$P$10:$P$14,MATCH($F50,'CIOG'!$B$10:$B$14,0))),"N/A")</f>
        <v/>
      </c>
      <c r="W50" s="50">
        <f>IFERROR(IF(INDEX('MRE'!$P$10:$P$18,MATCH($F50,'MRE'!$B$10:$B$18,0))="","Cell will autofill based on response",INDEX('MRE'!$P$10:$P$18,MATCH($F50,'MRE'!$B$10:$B$18,0))),"N/A")</f>
        <v/>
      </c>
      <c r="X50" s="50">
        <f>IFERROR(IF(INDEX('AC&amp;M'!$P$10:$P$14,MATCH($F50,'AC&amp;M'!$B$10:$B$14,0))="","Cell will autofill based on response",INDEX('AC&amp;M'!$P$10:$P$14,MATCH($F50,'AC&amp;M'!$B$10:$B$14,0))),"N/A")</f>
        <v/>
      </c>
      <c r="Y50" s="50">
        <f>IFERROR(IF(INDEX('GCE'!$P$10:$P$12,MATCH($F50,'GCE'!$B$10:$B$12,0))="","Cell will autofill based on response",INDEX('GCE'!$P$10:$P$12,MATCH($F50,'GCE'!$B$10:$B$12,0))),"N/A")</f>
        <v/>
      </c>
      <c r="Z50" s="50">
        <f>IFERROR(IF(INDEX('Education'!$P$10:$P$13,MATCH($F50,'Education'!$B$10:$B$13,0))="","Cell will autofill based on response",INDEX('Education'!$P$10:$P$13,MATCH($F50,'Education'!$B$10:$B$13,0))),"N/A")</f>
        <v/>
      </c>
      <c r="AA50" s="50">
        <f>IFERROR(IF(INDEX('SaSS'!$P$10:$P$12,MATCH($F50,'SaSS'!$B$10:$B$12,0))="","Cell will autofill based on response",INDEX('SaSS'!$P$10:$P$12,MATCH($F50,'SaSS'!$B$10:$B$12,0))),"N/A")</f>
        <v/>
      </c>
      <c r="AB50" s="50">
        <f>IFERROR(IF(INDEX('Indigenous'!$P$10:$P$11,MATCH($F50,'Indigenous'!$B$10:$B$11,0))="","Cell will autofill based on response",INDEX('Indigenous'!$P$10:$P$11,MATCH($F50,'Indigenous'!$B$10:$B$11,0))),"N/A")</f>
        <v/>
      </c>
      <c r="AC50" s="50">
        <f>IFERROR(IF(INDEX('L&amp;R'!$P$10:$P$11,MATCH($F50,'L&amp;R'!$B$10:$B$11,0))="","Cell will autofill based on response",INDEX('L&amp;R'!$P$10:$P$11,MATCH($F50,'L&amp;R'!$B$10:$B$11,0))),"N/A")</f>
        <v/>
      </c>
    </row>
    <row r="51" ht="138" customHeight="1">
      <c r="A51">
        <f>F51&amp;"|"&amp;G51</f>
        <v/>
      </c>
      <c r="B51" s="6" t="inlineStr">
        <is>
          <t>TR2(a)</t>
        </is>
      </c>
      <c r="C51" s="48" t="inlineStr">
        <is>
          <t>Transformational research</t>
        </is>
      </c>
      <c r="D51" s="48" t="inlineStr">
        <is>
          <t>Evidence of sustainability-related research impact across diverse pathways, could include policy, industry, community, practice, cultural and institutional outcomes</t>
        </is>
      </c>
      <c r="E51" s="48" t="inlineStr">
        <is>
          <t>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F51" s="48" t="inlineStr">
        <is>
          <t>TR2(a)</t>
        </is>
      </c>
      <c r="G51" s="48" t="inlineStr">
        <is>
          <t>OPTION 1:  Target-level reporting</t>
        </is>
      </c>
      <c r="H51" s="50">
        <f>IFERROR(IF(INDEX('Faculties'!$L$10:$L$18,MATCH($F51,'Faculties'!$B$10:$B$18,0))="","Cell will autofill based on response",INDEX('Faculties'!$L$10:$L$18,MATCH($F51,'Faculties'!$B$10:$B$18,0))),"N/A")</f>
        <v/>
      </c>
      <c r="I51" s="50">
        <f>IFERROR(IF(INDEX('Faculties'!$L$25:$L$34,MATCH($F51,'Faculties'!$B$25:$B$34,0))="","Cell will autofill based on response",INDEX('Faculties'!$L$25:$L$34,MATCH($F51,'Faculties'!$B$25:$B$34,0))),"N/A")</f>
        <v/>
      </c>
      <c r="J51" s="50">
        <f>IFERROR(IF(INDEX('Faculties'!$L$41:$L$50,MATCH($F51,'Faculties'!$B$41:$B$50,0))="","Cell will autofill based on response",INDEX('Faculties'!$L$41:$L$50,MATCH($F51,'Faculties'!$B$41:$B$50,0))),"N/A")</f>
        <v/>
      </c>
      <c r="K51" s="50">
        <f>IFERROR(IF(INDEX('Faculties'!$L$57:$L$66,MATCH($F51,'Faculties'!$B$57:$B$66,0))="","Cell will autofill based on response",INDEX('Faculties'!$L$57:$L$66,MATCH($F51,'Faculties'!$B$57:$B$66,0))),"N/A")</f>
        <v/>
      </c>
      <c r="L51" s="50">
        <f>IFERROR(IF(INDEX('Faculties'!$L$73:$L$82,MATCH($F51,'Faculties'!$B$73:$B$82,0))="","Cell will autofill based on response",INDEX('Faculties'!$L$73:$L$82,MATCH($F51,'Faculties'!$B$73:$B$82,0))),"N/A")</f>
        <v/>
      </c>
      <c r="M51" s="50">
        <f>IFERROR(IF(INDEX('Faculties'!$L$89:$L$98,MATCH($F51,'Faculties'!$B$89:$B$98,0))="","Cell will autofill based on response",INDEX('Faculties'!$L$89:$L$98,MATCH($F51,'Faculties'!$B$89:$B$98,0))),"N/A")</f>
        <v/>
      </c>
      <c r="N51" s="50">
        <f>IFERROR(IF(INDEX('Faculties'!$L$105:$L$114,MATCH($F51,'Faculties'!$B$105:$B$114,0))="","Cell will autofill based on response",INDEX('Faculties'!$L$105:$L$114,MATCH($F51,'Faculties'!$B$105:$B$114,0))),"N/A")</f>
        <v/>
      </c>
      <c r="O51" s="50">
        <f>IFERROR(IF(INDEX('Faculties'!$L$121:$L$130,MATCH($F51,'Faculties'!$B$121:$B$130,0))="","Cell will autofill based on response",INDEX('Faculties'!$L$121:$L$130,MATCH($F51,'Faculties'!$B$121:$B$130,0))),"N/A")</f>
        <v/>
      </c>
      <c r="P51" s="50">
        <f>IFERROR(IF(INDEX('Faculties'!$L$137:$L$146,MATCH($F51,'Faculties'!$B$137:$B$146,0))="","Cell will autofill based on response",INDEX('Faculties'!$L$137:$L$146,MATCH($F51,'Faculties'!$B$137:$B$146,0))),"N/A")</f>
        <v/>
      </c>
      <c r="Q51" s="50">
        <f>IFERROR(IF(INDEX('CI&amp;S'!$L$10:$L$15,MATCH($F51,'CI&amp;S'!$B$10:$B$15,0))="","Cell will autofill based on response",INDEX('CI&amp;S'!$L$10:$L$15,MATCH($F51,'CI&amp;S'!$B$10:$B$15,0))),"N/A")</f>
        <v/>
      </c>
      <c r="R51" s="50">
        <f>IFERROR(IF(INDEX('CI&amp;S'!$L$22:$L$36,MATCH($F51,'CI&amp;S'!$B$22:$B$36,0))="","Cell will autofill based on response",INDEX('CI&amp;S'!$L$22:$L$36,MATCH($F51,'CI&amp;S'!$B$22:$B$36,0))),"N/A")</f>
        <v/>
      </c>
      <c r="S51" s="50">
        <f>IFERROR(IF(INDEX('CFOG'!$L$10:$L$16,MATCH($F51,'CFOG'!$B$10:$B$16,0))="","Cell will autofill based on response",INDEX('CFOG'!$L$10:$L$16,MATCH($F51,'CFOG'!$B$10:$B$16,0))),"N/A")</f>
        <v/>
      </c>
      <c r="T51" s="50">
        <f>IFERROR(IF(INDEX('CFOG'!$L$23:$L$24,MATCH($F51,'CFOG'!$B$23:$B$24,0))="","Cell will autofill based on response",INDEX('CFOG'!$L$23:$L$24,MATCH($F51,'CFOG'!$B$23:$B$24,0))),"N/A")</f>
        <v/>
      </c>
      <c r="U51" s="50">
        <f>IFERROR(IF(INDEX('ESG'!$L$10:$L$17,MATCH($F51,'ESG'!$B$10:$B$17,0))="","Cell will autofill based on response",INDEX('ESG'!$L$10:$L$17,MATCH($F51,'ESG'!$B$10:$B$17,0))),"N/A")</f>
        <v/>
      </c>
      <c r="V51" s="50">
        <f>IFERROR(IF(INDEX('CIOG'!$L$10:$L$14,MATCH($F51,'CIOG'!$B$10:$B$14,0))="","Cell will autofill based on response",INDEX('CIOG'!$L$10:$L$14,MATCH($F51,'CIOG'!$B$10:$B$14,0))),"N/A")</f>
        <v/>
      </c>
      <c r="W51" s="50">
        <f>IFERROR(IF(INDEX('MRE'!$L$10:$L$18,MATCH($F51,'MRE'!$B$10:$B$18,0))="","Cell will autofill based on response",INDEX('MRE'!$L$10:$L$18,MATCH($F51,'MRE'!$B$10:$B$18,0))),"N/A")</f>
        <v/>
      </c>
      <c r="X51" s="50">
        <f>IFERROR(IF(INDEX('AC&amp;M'!$L$10:$L$14,MATCH($F51,'AC&amp;M'!$B$10:$B$14,0))="","Cell will autofill based on response",INDEX('AC&amp;M'!$L$10:$L$14,MATCH($F51,'AC&amp;M'!$B$10:$B$14,0))),"N/A")</f>
        <v/>
      </c>
      <c r="Y51" s="50">
        <f>IFERROR(IF(INDEX('GCE'!$L$10:$L$12,MATCH($F51,'GCE'!$B$10:$B$12,0))="","Cell will autofill based on response",INDEX('GCE'!$L$10:$L$12,MATCH($F51,'GCE'!$B$10:$B$12,0))),"N/A")</f>
        <v/>
      </c>
      <c r="Z51" s="50">
        <f>IFERROR(IF(INDEX('Education'!$L$10:$L$13,MATCH($F51,'Education'!$B$10:$B$13,0))="","Cell will autofill based on response",INDEX('Education'!$L$10:$L$13,MATCH($F51,'Education'!$B$10:$B$13,0))),"N/A")</f>
        <v/>
      </c>
      <c r="AA51" s="50">
        <f>IFERROR(IF(INDEX('SaSS'!$L$10:$L$12,MATCH($F51,'SaSS'!$B$10:$B$12,0))="","Cell will autofill based on response",INDEX('SaSS'!$L$10:$L$12,MATCH($F51,'SaSS'!$B$10:$B$12,0))),"N/A")</f>
        <v/>
      </c>
      <c r="AB51" s="50">
        <f>IFERROR(IF(INDEX('Indigenous'!$L$10:$L$11,MATCH($F51,'Indigenous'!$B$10:$B$11,0))="","Cell will autofill based on response",INDEX('Indigenous'!$L$10:$L$11,MATCH($F51,'Indigenous'!$B$10:$B$11,0))),"N/A")</f>
        <v/>
      </c>
      <c r="AC51" s="50">
        <f>IFERROR(IF(INDEX('L&amp;R'!$L$10:$L$11,MATCH($F51,'L&amp;R'!$B$10:$B$11,0))="","Cell will autofill based on response",INDEX('L&amp;R'!$L$10:$L$11,MATCH($F51,'L&amp;R'!$B$10:$B$11,0))),"N/A")</f>
        <v/>
      </c>
      <c r="AE51" s="9">
        <f>SUMPRODUCT(--($H51:$AC51&lt;&gt;"N/A"))</f>
        <v/>
      </c>
      <c r="AF51" s="9">
        <f>SUMPRODUCT(--(((($H51:$AC51&lt;&gt;"N/A")*($H51:$AC51&lt;&gt;"Cell will autofill based on response"))+(($H52:$AC52&lt;&gt;"N/A")*($H52:$AC52&lt;&gt;"Cell will autofill based on response")))&gt;0))</f>
        <v/>
      </c>
      <c r="AG51" s="9">
        <f>AE51-AF51</f>
        <v/>
      </c>
      <c r="AH51" s="9">
        <f>COUNTIF($H55:$AC55,"Yes")</f>
        <v/>
      </c>
    </row>
    <row r="52" ht="39" customHeight="1">
      <c r="A52">
        <f>F52&amp;"|"&amp;G52</f>
        <v/>
      </c>
      <c r="B52" s="12" t="inlineStr"/>
      <c r="C52" s="7" t="inlineStr"/>
      <c r="D52" s="7" t="inlineStr"/>
      <c r="E52" s="7" t="inlineStr"/>
      <c r="F52" s="7" t="inlineStr">
        <is>
          <t>TR2(a)</t>
        </is>
      </c>
      <c r="G52" s="7" t="inlineStr">
        <is>
          <t>OPTION 2:  Indicator level reporting</t>
        </is>
      </c>
      <c r="H52" s="50">
        <f>IFERROR(IF(INDEX('Faculties'!$M$10:$M$18,MATCH($F52,'Faculties'!$B$10:$B$18,0))="","Cell will autofill based on response",INDEX('Faculties'!$M$10:$M$18,MATCH($F52,'Faculties'!$B$10:$B$18,0))),"N/A")</f>
        <v/>
      </c>
      <c r="I52" s="50">
        <f>IFERROR(IF(INDEX('Faculties'!$M$25:$M$34,MATCH($F52,'Faculties'!$B$25:$B$34,0))="","Cell will autofill based on response",INDEX('Faculties'!$M$25:$M$34,MATCH($F52,'Faculties'!$B$25:$B$34,0))),"N/A")</f>
        <v/>
      </c>
      <c r="J52" s="50">
        <f>IFERROR(IF(INDEX('Faculties'!$M$41:$M$50,MATCH($F52,'Faculties'!$B$41:$B$50,0))="","Cell will autofill based on response",INDEX('Faculties'!$M$41:$M$50,MATCH($F52,'Faculties'!$B$41:$B$50,0))),"N/A")</f>
        <v/>
      </c>
      <c r="K52" s="50">
        <f>IFERROR(IF(INDEX('Faculties'!$M$57:$M$66,MATCH($F52,'Faculties'!$B$57:$B$66,0))="","Cell will autofill based on response",INDEX('Faculties'!$M$57:$M$66,MATCH($F52,'Faculties'!$B$57:$B$66,0))),"N/A")</f>
        <v/>
      </c>
      <c r="L52" s="50">
        <f>IFERROR(IF(INDEX('Faculties'!$M$73:$M$82,MATCH($F52,'Faculties'!$B$73:$B$82,0))="","Cell will autofill based on response",INDEX('Faculties'!$M$73:$M$82,MATCH($F52,'Faculties'!$B$73:$B$82,0))),"N/A")</f>
        <v/>
      </c>
      <c r="M52" s="50">
        <f>IFERROR(IF(INDEX('Faculties'!$M$89:$M$98,MATCH($F52,'Faculties'!$B$89:$B$98,0))="","Cell will autofill based on response",INDEX('Faculties'!$M$89:$M$98,MATCH($F52,'Faculties'!$B$89:$B$98,0))),"N/A")</f>
        <v/>
      </c>
      <c r="N52" s="50">
        <f>IFERROR(IF(INDEX('Faculties'!$M$105:$M$114,MATCH($F52,'Faculties'!$B$105:$B$114,0))="","Cell will autofill based on response",INDEX('Faculties'!$M$105:$M$114,MATCH($F52,'Faculties'!$B$105:$B$114,0))),"N/A")</f>
        <v/>
      </c>
      <c r="O52" s="50">
        <f>IFERROR(IF(INDEX('Faculties'!$M$121:$M$130,MATCH($F52,'Faculties'!$B$121:$B$130,0))="","Cell will autofill based on response",INDEX('Faculties'!$M$121:$M$130,MATCH($F52,'Faculties'!$B$121:$B$130,0))),"N/A")</f>
        <v/>
      </c>
      <c r="P52" s="50">
        <f>IFERROR(IF(INDEX('Faculties'!$M$137:$M$146,MATCH($F52,'Faculties'!$B$137:$B$146,0))="","Cell will autofill based on response",INDEX('Faculties'!$M$137:$M$146,MATCH($F52,'Faculties'!$B$137:$B$146,0))),"N/A")</f>
        <v/>
      </c>
      <c r="Q52" s="50">
        <f>IFERROR(IF(INDEX('CI&amp;S'!$M$10:$M$15,MATCH($F52,'CI&amp;S'!$B$10:$B$15,0))="","Cell will autofill based on response",INDEX('CI&amp;S'!$M$10:$M$15,MATCH($F52,'CI&amp;S'!$B$10:$B$15,0))),"N/A")</f>
        <v/>
      </c>
      <c r="R52" s="50">
        <f>IFERROR(IF(INDEX('CI&amp;S'!$M$22:$M$36,MATCH($F52,'CI&amp;S'!$B$22:$B$36,0))="","Cell will autofill based on response",INDEX('CI&amp;S'!$M$22:$M$36,MATCH($F52,'CI&amp;S'!$B$22:$B$36,0))),"N/A")</f>
        <v/>
      </c>
      <c r="S52" s="50">
        <f>IFERROR(IF(INDEX('CFOG'!$M$10:$M$16,MATCH($F52,'CFOG'!$B$10:$B$16,0))="","Cell will autofill based on response",INDEX('CFOG'!$M$10:$M$16,MATCH($F52,'CFOG'!$B$10:$B$16,0))),"N/A")</f>
        <v/>
      </c>
      <c r="T52" s="50">
        <f>IFERROR(IF(INDEX('CFOG'!$M$23:$M$24,MATCH($F52,'CFOG'!$B$23:$B$24,0))="","Cell will autofill based on response",INDEX('CFOG'!$M$23:$M$24,MATCH($F52,'CFOG'!$B$23:$B$24,0))),"N/A")</f>
        <v/>
      </c>
      <c r="U52" s="50">
        <f>IFERROR(IF(INDEX('ESG'!$M$10:$M$17,MATCH($F52,'ESG'!$B$10:$B$17,0))="","Cell will autofill based on response",INDEX('ESG'!$M$10:$M$17,MATCH($F52,'ESG'!$B$10:$B$17,0))),"N/A")</f>
        <v/>
      </c>
      <c r="V52" s="50">
        <f>IFERROR(IF(INDEX('CIOG'!$M$10:$M$14,MATCH($F52,'CIOG'!$B$10:$B$14,0))="","Cell will autofill based on response",INDEX('CIOG'!$M$10:$M$14,MATCH($F52,'CIOG'!$B$10:$B$14,0))),"N/A")</f>
        <v/>
      </c>
      <c r="W52" s="50">
        <f>IFERROR(IF(INDEX('MRE'!$M$10:$M$18,MATCH($F52,'MRE'!$B$10:$B$18,0))="","Cell will autofill based on response",INDEX('MRE'!$M$10:$M$18,MATCH($F52,'MRE'!$B$10:$B$18,0))),"N/A")</f>
        <v/>
      </c>
      <c r="X52" s="50">
        <f>IFERROR(IF(INDEX('AC&amp;M'!$M$10:$M$14,MATCH($F52,'AC&amp;M'!$B$10:$B$14,0))="","Cell will autofill based on response",INDEX('AC&amp;M'!$M$10:$M$14,MATCH($F52,'AC&amp;M'!$B$10:$B$14,0))),"N/A")</f>
        <v/>
      </c>
      <c r="Y52" s="50">
        <f>IFERROR(IF(INDEX('GCE'!$M$10:$M$12,MATCH($F52,'GCE'!$B$10:$B$12,0))="","Cell will autofill based on response",INDEX('GCE'!$M$10:$M$12,MATCH($F52,'GCE'!$B$10:$B$12,0))),"N/A")</f>
        <v/>
      </c>
      <c r="Z52" s="50">
        <f>IFERROR(IF(INDEX('Education'!$M$10:$M$13,MATCH($F52,'Education'!$B$10:$B$13,0))="","Cell will autofill based on response",INDEX('Education'!$M$10:$M$13,MATCH($F52,'Education'!$B$10:$B$13,0))),"N/A")</f>
        <v/>
      </c>
      <c r="AA52" s="50">
        <f>IFERROR(IF(INDEX('SaSS'!$M$10:$M$12,MATCH($F52,'SaSS'!$B$10:$B$12,0))="","Cell will autofill based on response",INDEX('SaSS'!$M$10:$M$12,MATCH($F52,'SaSS'!$B$10:$B$12,0))),"N/A")</f>
        <v/>
      </c>
      <c r="AB52" s="50">
        <f>IFERROR(IF(INDEX('Indigenous'!$M$10:$M$11,MATCH($F52,'Indigenous'!$B$10:$B$11,0))="","Cell will autofill based on response",INDEX('Indigenous'!$M$10:$M$11,MATCH($F52,'Indigenous'!$B$10:$B$11,0))),"N/A")</f>
        <v/>
      </c>
      <c r="AC52" s="50">
        <f>IFERROR(IF(INDEX('L&amp;R'!$M$10:$M$11,MATCH($F52,'L&amp;R'!$B$10:$B$11,0))="","Cell will autofill based on response",INDEX('L&amp;R'!$M$10:$M$11,MATCH($F52,'L&amp;R'!$B$10:$B$11,0))),"N/A")</f>
        <v/>
      </c>
    </row>
    <row r="53" ht="22" customHeight="1">
      <c r="A53">
        <f>F53&amp;"|"&amp;G53</f>
        <v/>
      </c>
      <c r="B53" s="12" t="inlineStr"/>
      <c r="C53" s="7" t="inlineStr"/>
      <c r="D53" s="7" t="inlineStr"/>
      <c r="E53" s="7" t="inlineStr"/>
      <c r="F53" s="7" t="inlineStr">
        <is>
          <t>TR2(a)</t>
        </is>
      </c>
      <c r="G53" s="7" t="inlineStr">
        <is>
          <t>Supporting information/comments</t>
        </is>
      </c>
      <c r="H53" s="50">
        <f>IFERROR(IF(INDEX('Faculties'!$N$10:$N$18,MATCH($F53,'Faculties'!$B$10:$B$18,0))="","Cell will autofill based on response",INDEX('Faculties'!$N$10:$N$18,MATCH($F53,'Faculties'!$B$10:$B$18,0))),"N/A")</f>
        <v/>
      </c>
      <c r="I53" s="50">
        <f>IFERROR(IF(INDEX('Faculties'!$N$25:$N$34,MATCH($F53,'Faculties'!$B$25:$B$34,0))="","Cell will autofill based on response",INDEX('Faculties'!$N$25:$N$34,MATCH($F53,'Faculties'!$B$25:$B$34,0))),"N/A")</f>
        <v/>
      </c>
      <c r="J53" s="50">
        <f>IFERROR(IF(INDEX('Faculties'!$N$41:$N$50,MATCH($F53,'Faculties'!$B$41:$B$50,0))="","Cell will autofill based on response",INDEX('Faculties'!$N$41:$N$50,MATCH($F53,'Faculties'!$B$41:$B$50,0))),"N/A")</f>
        <v/>
      </c>
      <c r="K53" s="50">
        <f>IFERROR(IF(INDEX('Faculties'!$N$57:$N$66,MATCH($F53,'Faculties'!$B$57:$B$66,0))="","Cell will autofill based on response",INDEX('Faculties'!$N$57:$N$66,MATCH($F53,'Faculties'!$B$57:$B$66,0))),"N/A")</f>
        <v/>
      </c>
      <c r="L53" s="50">
        <f>IFERROR(IF(INDEX('Faculties'!$N$73:$N$82,MATCH($F53,'Faculties'!$B$73:$B$82,0))="","Cell will autofill based on response",INDEX('Faculties'!$N$73:$N$82,MATCH($F53,'Faculties'!$B$73:$B$82,0))),"N/A")</f>
        <v/>
      </c>
      <c r="M53" s="50">
        <f>IFERROR(IF(INDEX('Faculties'!$N$89:$N$98,MATCH($F53,'Faculties'!$B$89:$B$98,0))="","Cell will autofill based on response",INDEX('Faculties'!$N$89:$N$98,MATCH($F53,'Faculties'!$B$89:$B$98,0))),"N/A")</f>
        <v/>
      </c>
      <c r="N53" s="50">
        <f>IFERROR(IF(INDEX('Faculties'!$N$105:$N$114,MATCH($F53,'Faculties'!$B$105:$B$114,0))="","Cell will autofill based on response",INDEX('Faculties'!$N$105:$N$114,MATCH($F53,'Faculties'!$B$105:$B$114,0))),"N/A")</f>
        <v/>
      </c>
      <c r="O53" s="50">
        <f>IFERROR(IF(INDEX('Faculties'!$N$121:$N$130,MATCH($F53,'Faculties'!$B$121:$B$130,0))="","Cell will autofill based on response",INDEX('Faculties'!$N$121:$N$130,MATCH($F53,'Faculties'!$B$121:$B$130,0))),"N/A")</f>
        <v/>
      </c>
      <c r="P53" s="50">
        <f>IFERROR(IF(INDEX('Faculties'!$N$137:$N$146,MATCH($F53,'Faculties'!$B$137:$B$146,0))="","Cell will autofill based on response",INDEX('Faculties'!$N$137:$N$146,MATCH($F53,'Faculties'!$B$137:$B$146,0))),"N/A")</f>
        <v/>
      </c>
      <c r="Q53" s="50">
        <f>IFERROR(IF(INDEX('CI&amp;S'!$N$10:$N$15,MATCH($F53,'CI&amp;S'!$B$10:$B$15,0))="","Cell will autofill based on response",INDEX('CI&amp;S'!$N$10:$N$15,MATCH($F53,'CI&amp;S'!$B$10:$B$15,0))),"N/A")</f>
        <v/>
      </c>
      <c r="R53" s="50">
        <f>IFERROR(IF(INDEX('CI&amp;S'!$N$22:$N$36,MATCH($F53,'CI&amp;S'!$B$22:$B$36,0))="","Cell will autofill based on response",INDEX('CI&amp;S'!$N$22:$N$36,MATCH($F53,'CI&amp;S'!$B$22:$B$36,0))),"N/A")</f>
        <v/>
      </c>
      <c r="S53" s="50">
        <f>IFERROR(IF(INDEX('CFOG'!$N$10:$N$16,MATCH($F53,'CFOG'!$B$10:$B$16,0))="","Cell will autofill based on response",INDEX('CFOG'!$N$10:$N$16,MATCH($F53,'CFOG'!$B$10:$B$16,0))),"N/A")</f>
        <v/>
      </c>
      <c r="T53" s="50">
        <f>IFERROR(IF(INDEX('CFOG'!$N$23:$N$24,MATCH($F53,'CFOG'!$B$23:$B$24,0))="","Cell will autofill based on response",INDEX('CFOG'!$N$23:$N$24,MATCH($F53,'CFOG'!$B$23:$B$24,0))),"N/A")</f>
        <v/>
      </c>
      <c r="U53" s="50">
        <f>IFERROR(IF(INDEX('ESG'!$N$10:$N$17,MATCH($F53,'ESG'!$B$10:$B$17,0))="","Cell will autofill based on response",INDEX('ESG'!$N$10:$N$17,MATCH($F53,'ESG'!$B$10:$B$17,0))),"N/A")</f>
        <v/>
      </c>
      <c r="V53" s="50">
        <f>IFERROR(IF(INDEX('CIOG'!$N$10:$N$14,MATCH($F53,'CIOG'!$B$10:$B$14,0))="","Cell will autofill based on response",INDEX('CIOG'!$N$10:$N$14,MATCH($F53,'CIOG'!$B$10:$B$14,0))),"N/A")</f>
        <v/>
      </c>
      <c r="W53" s="50">
        <f>IFERROR(IF(INDEX('MRE'!$N$10:$N$18,MATCH($F53,'MRE'!$B$10:$B$18,0))="","Cell will autofill based on response",INDEX('MRE'!$N$10:$N$18,MATCH($F53,'MRE'!$B$10:$B$18,0))),"N/A")</f>
        <v/>
      </c>
      <c r="X53" s="50">
        <f>IFERROR(IF(INDEX('AC&amp;M'!$N$10:$N$14,MATCH($F53,'AC&amp;M'!$B$10:$B$14,0))="","Cell will autofill based on response",INDEX('AC&amp;M'!$N$10:$N$14,MATCH($F53,'AC&amp;M'!$B$10:$B$14,0))),"N/A")</f>
        <v/>
      </c>
      <c r="Y53" s="50">
        <f>IFERROR(IF(INDEX('GCE'!$N$10:$N$12,MATCH($F53,'GCE'!$B$10:$B$12,0))="","Cell will autofill based on response",INDEX('GCE'!$N$10:$N$12,MATCH($F53,'GCE'!$B$10:$B$12,0))),"N/A")</f>
        <v/>
      </c>
      <c r="Z53" s="50">
        <f>IFERROR(IF(INDEX('Education'!$N$10:$N$13,MATCH($F53,'Education'!$B$10:$B$13,0))="","Cell will autofill based on response",INDEX('Education'!$N$10:$N$13,MATCH($F53,'Education'!$B$10:$B$13,0))),"N/A")</f>
        <v/>
      </c>
      <c r="AA53" s="50">
        <f>IFERROR(IF(INDEX('SaSS'!$N$10:$N$12,MATCH($F53,'SaSS'!$B$10:$B$12,0))="","Cell will autofill based on response",INDEX('SaSS'!$N$10:$N$12,MATCH($F53,'SaSS'!$B$10:$B$12,0))),"N/A")</f>
        <v/>
      </c>
      <c r="AB53" s="50">
        <f>IFERROR(IF(INDEX('Indigenous'!$N$10:$N$11,MATCH($F53,'Indigenous'!$B$10:$B$11,0))="","Cell will autofill based on response",INDEX('Indigenous'!$N$10:$N$11,MATCH($F53,'Indigenous'!$B$10:$B$11,0))),"N/A")</f>
        <v/>
      </c>
      <c r="AC53" s="50">
        <f>IFERROR(IF(INDEX('L&amp;R'!$N$10:$N$11,MATCH($F53,'L&amp;R'!$B$10:$B$11,0))="","Cell will autofill based on response",INDEX('L&amp;R'!$N$10:$N$11,MATCH($F53,'L&amp;R'!$B$10:$B$11,0))),"N/A")</f>
        <v/>
      </c>
    </row>
    <row r="54" ht="22" customHeight="1">
      <c r="A54">
        <f>F54&amp;"|"&amp;G54</f>
        <v/>
      </c>
      <c r="B54" s="12" t="inlineStr"/>
      <c r="C54" s="7" t="inlineStr"/>
      <c r="D54" s="7" t="inlineStr"/>
      <c r="E54" s="7" t="inlineStr"/>
      <c r="F54" s="7" t="inlineStr">
        <is>
          <t>TR2(a)</t>
        </is>
      </c>
      <c r="G54" s="7" t="inlineStr">
        <is>
          <t>Data source and limitations</t>
        </is>
      </c>
      <c r="H54" s="50">
        <f>IFERROR(IF(INDEX('Faculties'!$O$10:$O$18,MATCH($F54,'Faculties'!$B$10:$B$18,0))="","Cell will autofill based on response",INDEX('Faculties'!$O$10:$O$18,MATCH($F54,'Faculties'!$B$10:$B$18,0))),"N/A")</f>
        <v/>
      </c>
      <c r="I54" s="50">
        <f>IFERROR(IF(INDEX('Faculties'!$O$25:$O$34,MATCH($F54,'Faculties'!$B$25:$B$34,0))="","Cell will autofill based on response",INDEX('Faculties'!$O$25:$O$34,MATCH($F54,'Faculties'!$B$25:$B$34,0))),"N/A")</f>
        <v/>
      </c>
      <c r="J54" s="50">
        <f>IFERROR(IF(INDEX('Faculties'!$O$41:$O$50,MATCH($F54,'Faculties'!$B$41:$B$50,0))="","Cell will autofill based on response",INDEX('Faculties'!$O$41:$O$50,MATCH($F54,'Faculties'!$B$41:$B$50,0))),"N/A")</f>
        <v/>
      </c>
      <c r="K54" s="50">
        <f>IFERROR(IF(INDEX('Faculties'!$O$57:$O$66,MATCH($F54,'Faculties'!$B$57:$B$66,0))="","Cell will autofill based on response",INDEX('Faculties'!$O$57:$O$66,MATCH($F54,'Faculties'!$B$57:$B$66,0))),"N/A")</f>
        <v/>
      </c>
      <c r="L54" s="50">
        <f>IFERROR(IF(INDEX('Faculties'!$O$73:$O$82,MATCH($F54,'Faculties'!$B$73:$B$82,0))="","Cell will autofill based on response",INDEX('Faculties'!$O$73:$O$82,MATCH($F54,'Faculties'!$B$73:$B$82,0))),"N/A")</f>
        <v/>
      </c>
      <c r="M54" s="50">
        <f>IFERROR(IF(INDEX('Faculties'!$O$89:$O$98,MATCH($F54,'Faculties'!$B$89:$B$98,0))="","Cell will autofill based on response",INDEX('Faculties'!$O$89:$O$98,MATCH($F54,'Faculties'!$B$89:$B$98,0))),"N/A")</f>
        <v/>
      </c>
      <c r="N54" s="50">
        <f>IFERROR(IF(INDEX('Faculties'!$O$105:$O$114,MATCH($F54,'Faculties'!$B$105:$B$114,0))="","Cell will autofill based on response",INDEX('Faculties'!$O$105:$O$114,MATCH($F54,'Faculties'!$B$105:$B$114,0))),"N/A")</f>
        <v/>
      </c>
      <c r="O54" s="50">
        <f>IFERROR(IF(INDEX('Faculties'!$O$121:$O$130,MATCH($F54,'Faculties'!$B$121:$B$130,0))="","Cell will autofill based on response",INDEX('Faculties'!$O$121:$O$130,MATCH($F54,'Faculties'!$B$121:$B$130,0))),"N/A")</f>
        <v/>
      </c>
      <c r="P54" s="50">
        <f>IFERROR(IF(INDEX('Faculties'!$O$137:$O$146,MATCH($F54,'Faculties'!$B$137:$B$146,0))="","Cell will autofill based on response",INDEX('Faculties'!$O$137:$O$146,MATCH($F54,'Faculties'!$B$137:$B$146,0))),"N/A")</f>
        <v/>
      </c>
      <c r="Q54" s="50">
        <f>IFERROR(IF(INDEX('CI&amp;S'!$O$10:$O$15,MATCH($F54,'CI&amp;S'!$B$10:$B$15,0))="","Cell will autofill based on response",INDEX('CI&amp;S'!$O$10:$O$15,MATCH($F54,'CI&amp;S'!$B$10:$B$15,0))),"N/A")</f>
        <v/>
      </c>
      <c r="R54" s="50">
        <f>IFERROR(IF(INDEX('CI&amp;S'!$O$22:$O$36,MATCH($F54,'CI&amp;S'!$B$22:$B$36,0))="","Cell will autofill based on response",INDEX('CI&amp;S'!$O$22:$O$36,MATCH($F54,'CI&amp;S'!$B$22:$B$36,0))),"N/A")</f>
        <v/>
      </c>
      <c r="S54" s="50">
        <f>IFERROR(IF(INDEX('CFOG'!$O$10:$O$16,MATCH($F54,'CFOG'!$B$10:$B$16,0))="","Cell will autofill based on response",INDEX('CFOG'!$O$10:$O$16,MATCH($F54,'CFOG'!$B$10:$B$16,0))),"N/A")</f>
        <v/>
      </c>
      <c r="T54" s="50">
        <f>IFERROR(IF(INDEX('CFOG'!$O$23:$O$24,MATCH($F54,'CFOG'!$B$23:$B$24,0))="","Cell will autofill based on response",INDEX('CFOG'!$O$23:$O$24,MATCH($F54,'CFOG'!$B$23:$B$24,0))),"N/A")</f>
        <v/>
      </c>
      <c r="U54" s="50">
        <f>IFERROR(IF(INDEX('ESG'!$O$10:$O$17,MATCH($F54,'ESG'!$B$10:$B$17,0))="","Cell will autofill based on response",INDEX('ESG'!$O$10:$O$17,MATCH($F54,'ESG'!$B$10:$B$17,0))),"N/A")</f>
        <v/>
      </c>
      <c r="V54" s="50">
        <f>IFERROR(IF(INDEX('CIOG'!$O$10:$O$14,MATCH($F54,'CIOG'!$B$10:$B$14,0))="","Cell will autofill based on response",INDEX('CIOG'!$O$10:$O$14,MATCH($F54,'CIOG'!$B$10:$B$14,0))),"N/A")</f>
        <v/>
      </c>
      <c r="W54" s="50">
        <f>IFERROR(IF(INDEX('MRE'!$O$10:$O$18,MATCH($F54,'MRE'!$B$10:$B$18,0))="","Cell will autofill based on response",INDEX('MRE'!$O$10:$O$18,MATCH($F54,'MRE'!$B$10:$B$18,0))),"N/A")</f>
        <v/>
      </c>
      <c r="X54" s="50">
        <f>IFERROR(IF(INDEX('AC&amp;M'!$O$10:$O$14,MATCH($F54,'AC&amp;M'!$B$10:$B$14,0))="","Cell will autofill based on response",INDEX('AC&amp;M'!$O$10:$O$14,MATCH($F54,'AC&amp;M'!$B$10:$B$14,0))),"N/A")</f>
        <v/>
      </c>
      <c r="Y54" s="50">
        <f>IFERROR(IF(INDEX('GCE'!$O$10:$O$12,MATCH($F54,'GCE'!$B$10:$B$12,0))="","Cell will autofill based on response",INDEX('GCE'!$O$10:$O$12,MATCH($F54,'GCE'!$B$10:$B$12,0))),"N/A")</f>
        <v/>
      </c>
      <c r="Z54" s="50">
        <f>IFERROR(IF(INDEX('Education'!$O$10:$O$13,MATCH($F54,'Education'!$B$10:$B$13,0))="","Cell will autofill based on response",INDEX('Education'!$O$10:$O$13,MATCH($F54,'Education'!$B$10:$B$13,0))),"N/A")</f>
        <v/>
      </c>
      <c r="AA54" s="50">
        <f>IFERROR(IF(INDEX('SaSS'!$O$10:$O$12,MATCH($F54,'SaSS'!$B$10:$B$12,0))="","Cell will autofill based on response",INDEX('SaSS'!$O$10:$O$12,MATCH($F54,'SaSS'!$B$10:$B$12,0))),"N/A")</f>
        <v/>
      </c>
      <c r="AB54" s="50">
        <f>IFERROR(IF(INDEX('Indigenous'!$O$10:$O$11,MATCH($F54,'Indigenous'!$B$10:$B$11,0))="","Cell will autofill based on response",INDEX('Indigenous'!$O$10:$O$11,MATCH($F54,'Indigenous'!$B$10:$B$11,0))),"N/A")</f>
        <v/>
      </c>
      <c r="AC54" s="50">
        <f>IFERROR(IF(INDEX('L&amp;R'!$O$10:$O$11,MATCH($F54,'L&amp;R'!$B$10:$B$11,0))="","Cell will autofill based on response",INDEX('L&amp;R'!$O$10:$O$11,MATCH($F54,'L&amp;R'!$B$10:$B$11,0))),"N/A")</f>
        <v/>
      </c>
    </row>
    <row r="55" ht="22" customHeight="1">
      <c r="A55">
        <f>F55&amp;"|"&amp;G55</f>
        <v/>
      </c>
      <c r="B55" s="12" t="inlineStr"/>
      <c r="C55" s="7" t="inlineStr"/>
      <c r="D55" s="7" t="inlineStr"/>
      <c r="E55" s="7" t="inlineStr"/>
      <c r="F55" s="7" t="inlineStr">
        <is>
          <t>TR2(a)</t>
        </is>
      </c>
      <c r="G55" s="7" t="inlineStr">
        <is>
          <t>Data owner confirms</t>
        </is>
      </c>
      <c r="H55" s="50">
        <f>IFERROR(IF(INDEX('Faculties'!$P$10:$P$18,MATCH($F55,'Faculties'!$B$10:$B$18,0))="","Cell will autofill based on response",INDEX('Faculties'!$P$10:$P$18,MATCH($F55,'Faculties'!$B$10:$B$18,0))),"N/A")</f>
        <v/>
      </c>
      <c r="I55" s="50">
        <f>IFERROR(IF(INDEX('Faculties'!$P$25:$P$34,MATCH($F55,'Faculties'!$B$25:$B$34,0))="","Cell will autofill based on response",INDEX('Faculties'!$P$25:$P$34,MATCH($F55,'Faculties'!$B$25:$B$34,0))),"N/A")</f>
        <v/>
      </c>
      <c r="J55" s="50">
        <f>IFERROR(IF(INDEX('Faculties'!$P$41:$P$50,MATCH($F55,'Faculties'!$B$41:$B$50,0))="","Cell will autofill based on response",INDEX('Faculties'!$P$41:$P$50,MATCH($F55,'Faculties'!$B$41:$B$50,0))),"N/A")</f>
        <v/>
      </c>
      <c r="K55" s="50">
        <f>IFERROR(IF(INDEX('Faculties'!$P$57:$P$66,MATCH($F55,'Faculties'!$B$57:$B$66,0))="","Cell will autofill based on response",INDEX('Faculties'!$P$57:$P$66,MATCH($F55,'Faculties'!$B$57:$B$66,0))),"N/A")</f>
        <v/>
      </c>
      <c r="L55" s="50">
        <f>IFERROR(IF(INDEX('Faculties'!$P$73:$P$82,MATCH($F55,'Faculties'!$B$73:$B$82,0))="","Cell will autofill based on response",INDEX('Faculties'!$P$73:$P$82,MATCH($F55,'Faculties'!$B$73:$B$82,0))),"N/A")</f>
        <v/>
      </c>
      <c r="M55" s="50">
        <f>IFERROR(IF(INDEX('Faculties'!$P$89:$P$98,MATCH($F55,'Faculties'!$B$89:$B$98,0))="","Cell will autofill based on response",INDEX('Faculties'!$P$89:$P$98,MATCH($F55,'Faculties'!$B$89:$B$98,0))),"N/A")</f>
        <v/>
      </c>
      <c r="N55" s="50">
        <f>IFERROR(IF(INDEX('Faculties'!$P$105:$P$114,MATCH($F55,'Faculties'!$B$105:$B$114,0))="","Cell will autofill based on response",INDEX('Faculties'!$P$105:$P$114,MATCH($F55,'Faculties'!$B$105:$B$114,0))),"N/A")</f>
        <v/>
      </c>
      <c r="O55" s="50">
        <f>IFERROR(IF(INDEX('Faculties'!$P$121:$P$130,MATCH($F55,'Faculties'!$B$121:$B$130,0))="","Cell will autofill based on response",INDEX('Faculties'!$P$121:$P$130,MATCH($F55,'Faculties'!$B$121:$B$130,0))),"N/A")</f>
        <v/>
      </c>
      <c r="P55" s="50">
        <f>IFERROR(IF(INDEX('Faculties'!$P$137:$P$146,MATCH($F55,'Faculties'!$B$137:$B$146,0))="","Cell will autofill based on response",INDEX('Faculties'!$P$137:$P$146,MATCH($F55,'Faculties'!$B$137:$B$146,0))),"N/A")</f>
        <v/>
      </c>
      <c r="Q55" s="50">
        <f>IFERROR(IF(INDEX('CI&amp;S'!$P$10:$P$15,MATCH($F55,'CI&amp;S'!$B$10:$B$15,0))="","Cell will autofill based on response",INDEX('CI&amp;S'!$P$10:$P$15,MATCH($F55,'CI&amp;S'!$B$10:$B$15,0))),"N/A")</f>
        <v/>
      </c>
      <c r="R55" s="50">
        <f>IFERROR(IF(INDEX('CI&amp;S'!$P$22:$P$36,MATCH($F55,'CI&amp;S'!$B$22:$B$36,0))="","Cell will autofill based on response",INDEX('CI&amp;S'!$P$22:$P$36,MATCH($F55,'CI&amp;S'!$B$22:$B$36,0))),"N/A")</f>
        <v/>
      </c>
      <c r="S55" s="50">
        <f>IFERROR(IF(INDEX('CFOG'!$P$10:$P$16,MATCH($F55,'CFOG'!$B$10:$B$16,0))="","Cell will autofill based on response",INDEX('CFOG'!$P$10:$P$16,MATCH($F55,'CFOG'!$B$10:$B$16,0))),"N/A")</f>
        <v/>
      </c>
      <c r="T55" s="50">
        <f>IFERROR(IF(INDEX('CFOG'!$P$23:$P$24,MATCH($F55,'CFOG'!$B$23:$B$24,0))="","Cell will autofill based on response",INDEX('CFOG'!$P$23:$P$24,MATCH($F55,'CFOG'!$B$23:$B$24,0))),"N/A")</f>
        <v/>
      </c>
      <c r="U55" s="50">
        <f>IFERROR(IF(INDEX('ESG'!$P$10:$P$17,MATCH($F55,'ESG'!$B$10:$B$17,0))="","Cell will autofill based on response",INDEX('ESG'!$P$10:$P$17,MATCH($F55,'ESG'!$B$10:$B$17,0))),"N/A")</f>
        <v/>
      </c>
      <c r="V55" s="50">
        <f>IFERROR(IF(INDEX('CIOG'!$P$10:$P$14,MATCH($F55,'CIOG'!$B$10:$B$14,0))="","Cell will autofill based on response",INDEX('CIOG'!$P$10:$P$14,MATCH($F55,'CIOG'!$B$10:$B$14,0))),"N/A")</f>
        <v/>
      </c>
      <c r="W55" s="50">
        <f>IFERROR(IF(INDEX('MRE'!$P$10:$P$18,MATCH($F55,'MRE'!$B$10:$B$18,0))="","Cell will autofill based on response",INDEX('MRE'!$P$10:$P$18,MATCH($F55,'MRE'!$B$10:$B$18,0))),"N/A")</f>
        <v/>
      </c>
      <c r="X55" s="50">
        <f>IFERROR(IF(INDEX('AC&amp;M'!$P$10:$P$14,MATCH($F55,'AC&amp;M'!$B$10:$B$14,0))="","Cell will autofill based on response",INDEX('AC&amp;M'!$P$10:$P$14,MATCH($F55,'AC&amp;M'!$B$10:$B$14,0))),"N/A")</f>
        <v/>
      </c>
      <c r="Y55" s="50">
        <f>IFERROR(IF(INDEX('GCE'!$P$10:$P$12,MATCH($F55,'GCE'!$B$10:$B$12,0))="","Cell will autofill based on response",INDEX('GCE'!$P$10:$P$12,MATCH($F55,'GCE'!$B$10:$B$12,0))),"N/A")</f>
        <v/>
      </c>
      <c r="Z55" s="50">
        <f>IFERROR(IF(INDEX('Education'!$P$10:$P$13,MATCH($F55,'Education'!$B$10:$B$13,0))="","Cell will autofill based on response",INDEX('Education'!$P$10:$P$13,MATCH($F55,'Education'!$B$10:$B$13,0))),"N/A")</f>
        <v/>
      </c>
      <c r="AA55" s="50">
        <f>IFERROR(IF(INDEX('SaSS'!$P$10:$P$12,MATCH($F55,'SaSS'!$B$10:$B$12,0))="","Cell will autofill based on response",INDEX('SaSS'!$P$10:$P$12,MATCH($F55,'SaSS'!$B$10:$B$12,0))),"N/A")</f>
        <v/>
      </c>
      <c r="AB55" s="50">
        <f>IFERROR(IF(INDEX('Indigenous'!$P$10:$P$11,MATCH($F55,'Indigenous'!$B$10:$B$11,0))="","Cell will autofill based on response",INDEX('Indigenous'!$P$10:$P$11,MATCH($F55,'Indigenous'!$B$10:$B$11,0))),"N/A")</f>
        <v/>
      </c>
      <c r="AC55" s="50">
        <f>IFERROR(IF(INDEX('L&amp;R'!$P$10:$P$11,MATCH($F55,'L&amp;R'!$B$10:$B$11,0))="","Cell will autofill based on response",INDEX('L&amp;R'!$P$10:$P$11,MATCH($F55,'L&amp;R'!$B$10:$B$11,0))),"N/A")</f>
        <v/>
      </c>
    </row>
    <row r="56" ht="72" customHeight="1">
      <c r="A56">
        <f>F56&amp;"|"&amp;G56</f>
        <v/>
      </c>
      <c r="B56" s="6" t="inlineStr">
        <is>
          <t>TR2(c)</t>
        </is>
      </c>
      <c r="C56" s="48" t="inlineStr">
        <is>
          <t>Transformational research</t>
        </is>
      </c>
      <c r="D56" s="48" t="inlineStr">
        <is>
          <t>Expert-reviewed summary of sustainability-related research outputs, outcomes and influence using available institutional evidence sources</t>
        </is>
      </c>
      <c r="E56" s="48" t="inlineStr">
        <is>
          <t>currently mapped to the SDGs using SciVal</t>
        </is>
      </c>
      <c r="F56" s="48" t="inlineStr">
        <is>
          <t>TR2(c)</t>
        </is>
      </c>
      <c r="G56" s="48" t="inlineStr">
        <is>
          <t>OPTION 1:  Target-level reporting</t>
        </is>
      </c>
      <c r="H56" s="50">
        <f>IFERROR(IF(INDEX('Faculties'!$L$10:$L$18,MATCH($F56,'Faculties'!$B$10:$B$18,0))="","Cell will autofill based on response",INDEX('Faculties'!$L$10:$L$18,MATCH($F56,'Faculties'!$B$10:$B$18,0))),"N/A")</f>
        <v/>
      </c>
      <c r="I56" s="50">
        <f>IFERROR(IF(INDEX('Faculties'!$L$25:$L$34,MATCH($F56,'Faculties'!$B$25:$B$34,0))="","Cell will autofill based on response",INDEX('Faculties'!$L$25:$L$34,MATCH($F56,'Faculties'!$B$25:$B$34,0))),"N/A")</f>
        <v/>
      </c>
      <c r="J56" s="50">
        <f>IFERROR(IF(INDEX('Faculties'!$L$41:$L$50,MATCH($F56,'Faculties'!$B$41:$B$50,0))="","Cell will autofill based on response",INDEX('Faculties'!$L$41:$L$50,MATCH($F56,'Faculties'!$B$41:$B$50,0))),"N/A")</f>
        <v/>
      </c>
      <c r="K56" s="50">
        <f>IFERROR(IF(INDEX('Faculties'!$L$57:$L$66,MATCH($F56,'Faculties'!$B$57:$B$66,0))="","Cell will autofill based on response",INDEX('Faculties'!$L$57:$L$66,MATCH($F56,'Faculties'!$B$57:$B$66,0))),"N/A")</f>
        <v/>
      </c>
      <c r="L56" s="50">
        <f>IFERROR(IF(INDEX('Faculties'!$L$73:$L$82,MATCH($F56,'Faculties'!$B$73:$B$82,0))="","Cell will autofill based on response",INDEX('Faculties'!$L$73:$L$82,MATCH($F56,'Faculties'!$B$73:$B$82,0))),"N/A")</f>
        <v/>
      </c>
      <c r="M56" s="50">
        <f>IFERROR(IF(INDEX('Faculties'!$L$89:$L$98,MATCH($F56,'Faculties'!$B$89:$B$98,0))="","Cell will autofill based on response",INDEX('Faculties'!$L$89:$L$98,MATCH($F56,'Faculties'!$B$89:$B$98,0))),"N/A")</f>
        <v/>
      </c>
      <c r="N56" s="50">
        <f>IFERROR(IF(INDEX('Faculties'!$L$105:$L$114,MATCH($F56,'Faculties'!$B$105:$B$114,0))="","Cell will autofill based on response",INDEX('Faculties'!$L$105:$L$114,MATCH($F56,'Faculties'!$B$105:$B$114,0))),"N/A")</f>
        <v/>
      </c>
      <c r="O56" s="50">
        <f>IFERROR(IF(INDEX('Faculties'!$L$121:$L$130,MATCH($F56,'Faculties'!$B$121:$B$130,0))="","Cell will autofill based on response",INDEX('Faculties'!$L$121:$L$130,MATCH($F56,'Faculties'!$B$121:$B$130,0))),"N/A")</f>
        <v/>
      </c>
      <c r="P56" s="50">
        <f>IFERROR(IF(INDEX('Faculties'!$L$137:$L$146,MATCH($F56,'Faculties'!$B$137:$B$146,0))="","Cell will autofill based on response",INDEX('Faculties'!$L$137:$L$146,MATCH($F56,'Faculties'!$B$137:$B$146,0))),"N/A")</f>
        <v/>
      </c>
      <c r="Q56" s="50">
        <f>IFERROR(IF(INDEX('CI&amp;S'!$L$10:$L$15,MATCH($F56,'CI&amp;S'!$B$10:$B$15,0))="","Cell will autofill based on response",INDEX('CI&amp;S'!$L$10:$L$15,MATCH($F56,'CI&amp;S'!$B$10:$B$15,0))),"N/A")</f>
        <v/>
      </c>
      <c r="R56" s="50">
        <f>IFERROR(IF(INDEX('CI&amp;S'!$L$22:$L$36,MATCH($F56,'CI&amp;S'!$B$22:$B$36,0))="","Cell will autofill based on response",INDEX('CI&amp;S'!$L$22:$L$36,MATCH($F56,'CI&amp;S'!$B$22:$B$36,0))),"N/A")</f>
        <v/>
      </c>
      <c r="S56" s="50">
        <f>IFERROR(IF(INDEX('CFOG'!$L$10:$L$16,MATCH($F56,'CFOG'!$B$10:$B$16,0))="","Cell will autofill based on response",INDEX('CFOG'!$L$10:$L$16,MATCH($F56,'CFOG'!$B$10:$B$16,0))),"N/A")</f>
        <v/>
      </c>
      <c r="T56" s="50">
        <f>IFERROR(IF(INDEX('CFOG'!$L$23:$L$24,MATCH($F56,'CFOG'!$B$23:$B$24,0))="","Cell will autofill based on response",INDEX('CFOG'!$L$23:$L$24,MATCH($F56,'CFOG'!$B$23:$B$24,0))),"N/A")</f>
        <v/>
      </c>
      <c r="U56" s="50">
        <f>IFERROR(IF(INDEX('ESG'!$L$10:$L$17,MATCH($F56,'ESG'!$B$10:$B$17,0))="","Cell will autofill based on response",INDEX('ESG'!$L$10:$L$17,MATCH($F56,'ESG'!$B$10:$B$17,0))),"N/A")</f>
        <v/>
      </c>
      <c r="V56" s="50">
        <f>IFERROR(IF(INDEX('CIOG'!$L$10:$L$14,MATCH($F56,'CIOG'!$B$10:$B$14,0))="","Cell will autofill based on response",INDEX('CIOG'!$L$10:$L$14,MATCH($F56,'CIOG'!$B$10:$B$14,0))),"N/A")</f>
        <v/>
      </c>
      <c r="W56" s="50">
        <f>IFERROR(IF(INDEX('MRE'!$L$10:$L$18,MATCH($F56,'MRE'!$B$10:$B$18,0))="","Cell will autofill based on response",INDEX('MRE'!$L$10:$L$18,MATCH($F56,'MRE'!$B$10:$B$18,0))),"N/A")</f>
        <v/>
      </c>
      <c r="X56" s="50">
        <f>IFERROR(IF(INDEX('AC&amp;M'!$L$10:$L$14,MATCH($F56,'AC&amp;M'!$B$10:$B$14,0))="","Cell will autofill based on response",INDEX('AC&amp;M'!$L$10:$L$14,MATCH($F56,'AC&amp;M'!$B$10:$B$14,0))),"N/A")</f>
        <v/>
      </c>
      <c r="Y56" s="50">
        <f>IFERROR(IF(INDEX('GCE'!$L$10:$L$12,MATCH($F56,'GCE'!$B$10:$B$12,0))="","Cell will autofill based on response",INDEX('GCE'!$L$10:$L$12,MATCH($F56,'GCE'!$B$10:$B$12,0))),"N/A")</f>
        <v/>
      </c>
      <c r="Z56" s="50">
        <f>IFERROR(IF(INDEX('Education'!$L$10:$L$13,MATCH($F56,'Education'!$B$10:$B$13,0))="","Cell will autofill based on response",INDEX('Education'!$L$10:$L$13,MATCH($F56,'Education'!$B$10:$B$13,0))),"N/A")</f>
        <v/>
      </c>
      <c r="AA56" s="50">
        <f>IFERROR(IF(INDEX('SaSS'!$L$10:$L$12,MATCH($F56,'SaSS'!$B$10:$B$12,0))="","Cell will autofill based on response",INDEX('SaSS'!$L$10:$L$12,MATCH($F56,'SaSS'!$B$10:$B$12,0))),"N/A")</f>
        <v/>
      </c>
      <c r="AB56" s="50">
        <f>IFERROR(IF(INDEX('Indigenous'!$L$10:$L$11,MATCH($F56,'Indigenous'!$B$10:$B$11,0))="","Cell will autofill based on response",INDEX('Indigenous'!$L$10:$L$11,MATCH($F56,'Indigenous'!$B$10:$B$11,0))),"N/A")</f>
        <v/>
      </c>
      <c r="AC56" s="50">
        <f>IFERROR(IF(INDEX('L&amp;R'!$L$10:$L$11,MATCH($F56,'L&amp;R'!$B$10:$B$11,0))="","Cell will autofill based on response",INDEX('L&amp;R'!$L$10:$L$11,MATCH($F56,'L&amp;R'!$B$10:$B$11,0))),"N/A")</f>
        <v/>
      </c>
      <c r="AE56" s="9">
        <f>SUMPRODUCT(--($H56:$AC56&lt;&gt;"N/A"))</f>
        <v/>
      </c>
      <c r="AF56" s="9">
        <f>SUMPRODUCT(--(((($H56:$AC56&lt;&gt;"N/A")*($H56:$AC56&lt;&gt;"Cell will autofill based on response"))+(($H57:$AC57&lt;&gt;"N/A")*($H57:$AC57&lt;&gt;"Cell will autofill based on response")))&gt;0))</f>
        <v/>
      </c>
      <c r="AG56" s="9">
        <f>AE56-AF56</f>
        <v/>
      </c>
      <c r="AH56" s="9">
        <f>COUNTIF($H60:$AC60,"Yes")</f>
        <v/>
      </c>
    </row>
    <row r="57" ht="39" customHeight="1">
      <c r="A57">
        <f>F57&amp;"|"&amp;G57</f>
        <v/>
      </c>
      <c r="B57" s="12" t="inlineStr"/>
      <c r="C57" s="7" t="inlineStr"/>
      <c r="D57" s="7" t="inlineStr"/>
      <c r="E57" s="7" t="inlineStr"/>
      <c r="F57" s="7" t="inlineStr">
        <is>
          <t>TR2(c)</t>
        </is>
      </c>
      <c r="G57" s="7" t="inlineStr">
        <is>
          <t>OPTION 2:  Indicator level reporting</t>
        </is>
      </c>
      <c r="H57" s="50">
        <f>IFERROR(IF(INDEX('Faculties'!$M$10:$M$18,MATCH($F57,'Faculties'!$B$10:$B$18,0))="","Cell will autofill based on response",INDEX('Faculties'!$M$10:$M$18,MATCH($F57,'Faculties'!$B$10:$B$18,0))),"N/A")</f>
        <v/>
      </c>
      <c r="I57" s="50">
        <f>IFERROR(IF(INDEX('Faculties'!$M$25:$M$34,MATCH($F57,'Faculties'!$B$25:$B$34,0))="","Cell will autofill based on response",INDEX('Faculties'!$M$25:$M$34,MATCH($F57,'Faculties'!$B$25:$B$34,0))),"N/A")</f>
        <v/>
      </c>
      <c r="J57" s="50">
        <f>IFERROR(IF(INDEX('Faculties'!$M$41:$M$50,MATCH($F57,'Faculties'!$B$41:$B$50,0))="","Cell will autofill based on response",INDEX('Faculties'!$M$41:$M$50,MATCH($F57,'Faculties'!$B$41:$B$50,0))),"N/A")</f>
        <v/>
      </c>
      <c r="K57" s="50">
        <f>IFERROR(IF(INDEX('Faculties'!$M$57:$M$66,MATCH($F57,'Faculties'!$B$57:$B$66,0))="","Cell will autofill based on response",INDEX('Faculties'!$M$57:$M$66,MATCH($F57,'Faculties'!$B$57:$B$66,0))),"N/A")</f>
        <v/>
      </c>
      <c r="L57" s="50">
        <f>IFERROR(IF(INDEX('Faculties'!$M$73:$M$82,MATCH($F57,'Faculties'!$B$73:$B$82,0))="","Cell will autofill based on response",INDEX('Faculties'!$M$73:$M$82,MATCH($F57,'Faculties'!$B$73:$B$82,0))),"N/A")</f>
        <v/>
      </c>
      <c r="M57" s="50">
        <f>IFERROR(IF(INDEX('Faculties'!$M$89:$M$98,MATCH($F57,'Faculties'!$B$89:$B$98,0))="","Cell will autofill based on response",INDEX('Faculties'!$M$89:$M$98,MATCH($F57,'Faculties'!$B$89:$B$98,0))),"N/A")</f>
        <v/>
      </c>
      <c r="N57" s="50">
        <f>IFERROR(IF(INDEX('Faculties'!$M$105:$M$114,MATCH($F57,'Faculties'!$B$105:$B$114,0))="","Cell will autofill based on response",INDEX('Faculties'!$M$105:$M$114,MATCH($F57,'Faculties'!$B$105:$B$114,0))),"N/A")</f>
        <v/>
      </c>
      <c r="O57" s="50">
        <f>IFERROR(IF(INDEX('Faculties'!$M$121:$M$130,MATCH($F57,'Faculties'!$B$121:$B$130,0))="","Cell will autofill based on response",INDEX('Faculties'!$M$121:$M$130,MATCH($F57,'Faculties'!$B$121:$B$130,0))),"N/A")</f>
        <v/>
      </c>
      <c r="P57" s="50">
        <f>IFERROR(IF(INDEX('Faculties'!$M$137:$M$146,MATCH($F57,'Faculties'!$B$137:$B$146,0))="","Cell will autofill based on response",INDEX('Faculties'!$M$137:$M$146,MATCH($F57,'Faculties'!$B$137:$B$146,0))),"N/A")</f>
        <v/>
      </c>
      <c r="Q57" s="50">
        <f>IFERROR(IF(INDEX('CI&amp;S'!$M$10:$M$15,MATCH($F57,'CI&amp;S'!$B$10:$B$15,0))="","Cell will autofill based on response",INDEX('CI&amp;S'!$M$10:$M$15,MATCH($F57,'CI&amp;S'!$B$10:$B$15,0))),"N/A")</f>
        <v/>
      </c>
      <c r="R57" s="50">
        <f>IFERROR(IF(INDEX('CI&amp;S'!$M$22:$M$36,MATCH($F57,'CI&amp;S'!$B$22:$B$36,0))="","Cell will autofill based on response",INDEX('CI&amp;S'!$M$22:$M$36,MATCH($F57,'CI&amp;S'!$B$22:$B$36,0))),"N/A")</f>
        <v/>
      </c>
      <c r="S57" s="50">
        <f>IFERROR(IF(INDEX('CFOG'!$M$10:$M$16,MATCH($F57,'CFOG'!$B$10:$B$16,0))="","Cell will autofill based on response",INDEX('CFOG'!$M$10:$M$16,MATCH($F57,'CFOG'!$B$10:$B$16,0))),"N/A")</f>
        <v/>
      </c>
      <c r="T57" s="50">
        <f>IFERROR(IF(INDEX('CFOG'!$M$23:$M$24,MATCH($F57,'CFOG'!$B$23:$B$24,0))="","Cell will autofill based on response",INDEX('CFOG'!$M$23:$M$24,MATCH($F57,'CFOG'!$B$23:$B$24,0))),"N/A")</f>
        <v/>
      </c>
      <c r="U57" s="50">
        <f>IFERROR(IF(INDEX('ESG'!$M$10:$M$17,MATCH($F57,'ESG'!$B$10:$B$17,0))="","Cell will autofill based on response",INDEX('ESG'!$M$10:$M$17,MATCH($F57,'ESG'!$B$10:$B$17,0))),"N/A")</f>
        <v/>
      </c>
      <c r="V57" s="50">
        <f>IFERROR(IF(INDEX('CIOG'!$M$10:$M$14,MATCH($F57,'CIOG'!$B$10:$B$14,0))="","Cell will autofill based on response",INDEX('CIOG'!$M$10:$M$14,MATCH($F57,'CIOG'!$B$10:$B$14,0))),"N/A")</f>
        <v/>
      </c>
      <c r="W57" s="50">
        <f>IFERROR(IF(INDEX('MRE'!$M$10:$M$18,MATCH($F57,'MRE'!$B$10:$B$18,0))="","Cell will autofill based on response",INDEX('MRE'!$M$10:$M$18,MATCH($F57,'MRE'!$B$10:$B$18,0))),"N/A")</f>
        <v/>
      </c>
      <c r="X57" s="50">
        <f>IFERROR(IF(INDEX('AC&amp;M'!$M$10:$M$14,MATCH($F57,'AC&amp;M'!$B$10:$B$14,0))="","Cell will autofill based on response",INDEX('AC&amp;M'!$M$10:$M$14,MATCH($F57,'AC&amp;M'!$B$10:$B$14,0))),"N/A")</f>
        <v/>
      </c>
      <c r="Y57" s="50">
        <f>IFERROR(IF(INDEX('GCE'!$M$10:$M$12,MATCH($F57,'GCE'!$B$10:$B$12,0))="","Cell will autofill based on response",INDEX('GCE'!$M$10:$M$12,MATCH($F57,'GCE'!$B$10:$B$12,0))),"N/A")</f>
        <v/>
      </c>
      <c r="Z57" s="50">
        <f>IFERROR(IF(INDEX('Education'!$M$10:$M$13,MATCH($F57,'Education'!$B$10:$B$13,0))="","Cell will autofill based on response",INDEX('Education'!$M$10:$M$13,MATCH($F57,'Education'!$B$10:$B$13,0))),"N/A")</f>
        <v/>
      </c>
      <c r="AA57" s="50">
        <f>IFERROR(IF(INDEX('SaSS'!$M$10:$M$12,MATCH($F57,'SaSS'!$B$10:$B$12,0))="","Cell will autofill based on response",INDEX('SaSS'!$M$10:$M$12,MATCH($F57,'SaSS'!$B$10:$B$12,0))),"N/A")</f>
        <v/>
      </c>
      <c r="AB57" s="50">
        <f>IFERROR(IF(INDEX('Indigenous'!$M$10:$M$11,MATCH($F57,'Indigenous'!$B$10:$B$11,0))="","Cell will autofill based on response",INDEX('Indigenous'!$M$10:$M$11,MATCH($F57,'Indigenous'!$B$10:$B$11,0))),"N/A")</f>
        <v/>
      </c>
      <c r="AC57" s="50">
        <f>IFERROR(IF(INDEX('L&amp;R'!$M$10:$M$11,MATCH($F57,'L&amp;R'!$B$10:$B$11,0))="","Cell will autofill based on response",INDEX('L&amp;R'!$M$10:$M$11,MATCH($F57,'L&amp;R'!$B$10:$B$11,0))),"N/A")</f>
        <v/>
      </c>
    </row>
    <row r="58" ht="22" customHeight="1">
      <c r="A58">
        <f>F58&amp;"|"&amp;G58</f>
        <v/>
      </c>
      <c r="B58" s="12" t="inlineStr"/>
      <c r="C58" s="7" t="inlineStr"/>
      <c r="D58" s="7" t="inlineStr"/>
      <c r="E58" s="7" t="inlineStr"/>
      <c r="F58" s="7" t="inlineStr">
        <is>
          <t>TR2(c)</t>
        </is>
      </c>
      <c r="G58" s="7" t="inlineStr">
        <is>
          <t>Supporting information/comments</t>
        </is>
      </c>
      <c r="H58" s="50">
        <f>IFERROR(IF(INDEX('Faculties'!$N$10:$N$18,MATCH($F58,'Faculties'!$B$10:$B$18,0))="","Cell will autofill based on response",INDEX('Faculties'!$N$10:$N$18,MATCH($F58,'Faculties'!$B$10:$B$18,0))),"N/A")</f>
        <v/>
      </c>
      <c r="I58" s="50">
        <f>IFERROR(IF(INDEX('Faculties'!$N$25:$N$34,MATCH($F58,'Faculties'!$B$25:$B$34,0))="","Cell will autofill based on response",INDEX('Faculties'!$N$25:$N$34,MATCH($F58,'Faculties'!$B$25:$B$34,0))),"N/A")</f>
        <v/>
      </c>
      <c r="J58" s="50">
        <f>IFERROR(IF(INDEX('Faculties'!$N$41:$N$50,MATCH($F58,'Faculties'!$B$41:$B$50,0))="","Cell will autofill based on response",INDEX('Faculties'!$N$41:$N$50,MATCH($F58,'Faculties'!$B$41:$B$50,0))),"N/A")</f>
        <v/>
      </c>
      <c r="K58" s="50">
        <f>IFERROR(IF(INDEX('Faculties'!$N$57:$N$66,MATCH($F58,'Faculties'!$B$57:$B$66,0))="","Cell will autofill based on response",INDEX('Faculties'!$N$57:$N$66,MATCH($F58,'Faculties'!$B$57:$B$66,0))),"N/A")</f>
        <v/>
      </c>
      <c r="L58" s="50">
        <f>IFERROR(IF(INDEX('Faculties'!$N$73:$N$82,MATCH($F58,'Faculties'!$B$73:$B$82,0))="","Cell will autofill based on response",INDEX('Faculties'!$N$73:$N$82,MATCH($F58,'Faculties'!$B$73:$B$82,0))),"N/A")</f>
        <v/>
      </c>
      <c r="M58" s="50">
        <f>IFERROR(IF(INDEX('Faculties'!$N$89:$N$98,MATCH($F58,'Faculties'!$B$89:$B$98,0))="","Cell will autofill based on response",INDEX('Faculties'!$N$89:$N$98,MATCH($F58,'Faculties'!$B$89:$B$98,0))),"N/A")</f>
        <v/>
      </c>
      <c r="N58" s="50">
        <f>IFERROR(IF(INDEX('Faculties'!$N$105:$N$114,MATCH($F58,'Faculties'!$B$105:$B$114,0))="","Cell will autofill based on response",INDEX('Faculties'!$N$105:$N$114,MATCH($F58,'Faculties'!$B$105:$B$114,0))),"N/A")</f>
        <v/>
      </c>
      <c r="O58" s="50">
        <f>IFERROR(IF(INDEX('Faculties'!$N$121:$N$130,MATCH($F58,'Faculties'!$B$121:$B$130,0))="","Cell will autofill based on response",INDEX('Faculties'!$N$121:$N$130,MATCH($F58,'Faculties'!$B$121:$B$130,0))),"N/A")</f>
        <v/>
      </c>
      <c r="P58" s="50">
        <f>IFERROR(IF(INDEX('Faculties'!$N$137:$N$146,MATCH($F58,'Faculties'!$B$137:$B$146,0))="","Cell will autofill based on response",INDEX('Faculties'!$N$137:$N$146,MATCH($F58,'Faculties'!$B$137:$B$146,0))),"N/A")</f>
        <v/>
      </c>
      <c r="Q58" s="50">
        <f>IFERROR(IF(INDEX('CI&amp;S'!$N$10:$N$15,MATCH($F58,'CI&amp;S'!$B$10:$B$15,0))="","Cell will autofill based on response",INDEX('CI&amp;S'!$N$10:$N$15,MATCH($F58,'CI&amp;S'!$B$10:$B$15,0))),"N/A")</f>
        <v/>
      </c>
      <c r="R58" s="50">
        <f>IFERROR(IF(INDEX('CI&amp;S'!$N$22:$N$36,MATCH($F58,'CI&amp;S'!$B$22:$B$36,0))="","Cell will autofill based on response",INDEX('CI&amp;S'!$N$22:$N$36,MATCH($F58,'CI&amp;S'!$B$22:$B$36,0))),"N/A")</f>
        <v/>
      </c>
      <c r="S58" s="50">
        <f>IFERROR(IF(INDEX('CFOG'!$N$10:$N$16,MATCH($F58,'CFOG'!$B$10:$B$16,0))="","Cell will autofill based on response",INDEX('CFOG'!$N$10:$N$16,MATCH($F58,'CFOG'!$B$10:$B$16,0))),"N/A")</f>
        <v/>
      </c>
      <c r="T58" s="50">
        <f>IFERROR(IF(INDEX('CFOG'!$N$23:$N$24,MATCH($F58,'CFOG'!$B$23:$B$24,0))="","Cell will autofill based on response",INDEX('CFOG'!$N$23:$N$24,MATCH($F58,'CFOG'!$B$23:$B$24,0))),"N/A")</f>
        <v/>
      </c>
      <c r="U58" s="50">
        <f>IFERROR(IF(INDEX('ESG'!$N$10:$N$17,MATCH($F58,'ESG'!$B$10:$B$17,0))="","Cell will autofill based on response",INDEX('ESG'!$N$10:$N$17,MATCH($F58,'ESG'!$B$10:$B$17,0))),"N/A")</f>
        <v/>
      </c>
      <c r="V58" s="50">
        <f>IFERROR(IF(INDEX('CIOG'!$N$10:$N$14,MATCH($F58,'CIOG'!$B$10:$B$14,0))="","Cell will autofill based on response",INDEX('CIOG'!$N$10:$N$14,MATCH($F58,'CIOG'!$B$10:$B$14,0))),"N/A")</f>
        <v/>
      </c>
      <c r="W58" s="50">
        <f>IFERROR(IF(INDEX('MRE'!$N$10:$N$18,MATCH($F58,'MRE'!$B$10:$B$18,0))="","Cell will autofill based on response",INDEX('MRE'!$N$10:$N$18,MATCH($F58,'MRE'!$B$10:$B$18,0))),"N/A")</f>
        <v/>
      </c>
      <c r="X58" s="50">
        <f>IFERROR(IF(INDEX('AC&amp;M'!$N$10:$N$14,MATCH($F58,'AC&amp;M'!$B$10:$B$14,0))="","Cell will autofill based on response",INDEX('AC&amp;M'!$N$10:$N$14,MATCH($F58,'AC&amp;M'!$B$10:$B$14,0))),"N/A")</f>
        <v/>
      </c>
      <c r="Y58" s="50">
        <f>IFERROR(IF(INDEX('GCE'!$N$10:$N$12,MATCH($F58,'GCE'!$B$10:$B$12,0))="","Cell will autofill based on response",INDEX('GCE'!$N$10:$N$12,MATCH($F58,'GCE'!$B$10:$B$12,0))),"N/A")</f>
        <v/>
      </c>
      <c r="Z58" s="50">
        <f>IFERROR(IF(INDEX('Education'!$N$10:$N$13,MATCH($F58,'Education'!$B$10:$B$13,0))="","Cell will autofill based on response",INDEX('Education'!$N$10:$N$13,MATCH($F58,'Education'!$B$10:$B$13,0))),"N/A")</f>
        <v/>
      </c>
      <c r="AA58" s="50">
        <f>IFERROR(IF(INDEX('SaSS'!$N$10:$N$12,MATCH($F58,'SaSS'!$B$10:$B$12,0))="","Cell will autofill based on response",INDEX('SaSS'!$N$10:$N$12,MATCH($F58,'SaSS'!$B$10:$B$12,0))),"N/A")</f>
        <v/>
      </c>
      <c r="AB58" s="50">
        <f>IFERROR(IF(INDEX('Indigenous'!$N$10:$N$11,MATCH($F58,'Indigenous'!$B$10:$B$11,0))="","Cell will autofill based on response",INDEX('Indigenous'!$N$10:$N$11,MATCH($F58,'Indigenous'!$B$10:$B$11,0))),"N/A")</f>
        <v/>
      </c>
      <c r="AC58" s="50">
        <f>IFERROR(IF(INDEX('L&amp;R'!$N$10:$N$11,MATCH($F58,'L&amp;R'!$B$10:$B$11,0))="","Cell will autofill based on response",INDEX('L&amp;R'!$N$10:$N$11,MATCH($F58,'L&amp;R'!$B$10:$B$11,0))),"N/A")</f>
        <v/>
      </c>
    </row>
    <row r="59" ht="22" customHeight="1">
      <c r="A59">
        <f>F59&amp;"|"&amp;G59</f>
        <v/>
      </c>
      <c r="B59" s="12" t="inlineStr"/>
      <c r="C59" s="7" t="inlineStr"/>
      <c r="D59" s="7" t="inlineStr"/>
      <c r="E59" s="7" t="inlineStr"/>
      <c r="F59" s="7" t="inlineStr">
        <is>
          <t>TR2(c)</t>
        </is>
      </c>
      <c r="G59" s="7" t="inlineStr">
        <is>
          <t>Data source and limitations</t>
        </is>
      </c>
      <c r="H59" s="50">
        <f>IFERROR(IF(INDEX('Faculties'!$O$10:$O$18,MATCH($F59,'Faculties'!$B$10:$B$18,0))="","Cell will autofill based on response",INDEX('Faculties'!$O$10:$O$18,MATCH($F59,'Faculties'!$B$10:$B$18,0))),"N/A")</f>
        <v/>
      </c>
      <c r="I59" s="50">
        <f>IFERROR(IF(INDEX('Faculties'!$O$25:$O$34,MATCH($F59,'Faculties'!$B$25:$B$34,0))="","Cell will autofill based on response",INDEX('Faculties'!$O$25:$O$34,MATCH($F59,'Faculties'!$B$25:$B$34,0))),"N/A")</f>
        <v/>
      </c>
      <c r="J59" s="50">
        <f>IFERROR(IF(INDEX('Faculties'!$O$41:$O$50,MATCH($F59,'Faculties'!$B$41:$B$50,0))="","Cell will autofill based on response",INDEX('Faculties'!$O$41:$O$50,MATCH($F59,'Faculties'!$B$41:$B$50,0))),"N/A")</f>
        <v/>
      </c>
      <c r="K59" s="50">
        <f>IFERROR(IF(INDEX('Faculties'!$O$57:$O$66,MATCH($F59,'Faculties'!$B$57:$B$66,0))="","Cell will autofill based on response",INDEX('Faculties'!$O$57:$O$66,MATCH($F59,'Faculties'!$B$57:$B$66,0))),"N/A")</f>
        <v/>
      </c>
      <c r="L59" s="50">
        <f>IFERROR(IF(INDEX('Faculties'!$O$73:$O$82,MATCH($F59,'Faculties'!$B$73:$B$82,0))="","Cell will autofill based on response",INDEX('Faculties'!$O$73:$O$82,MATCH($F59,'Faculties'!$B$73:$B$82,0))),"N/A")</f>
        <v/>
      </c>
      <c r="M59" s="50">
        <f>IFERROR(IF(INDEX('Faculties'!$O$89:$O$98,MATCH($F59,'Faculties'!$B$89:$B$98,0))="","Cell will autofill based on response",INDEX('Faculties'!$O$89:$O$98,MATCH($F59,'Faculties'!$B$89:$B$98,0))),"N/A")</f>
        <v/>
      </c>
      <c r="N59" s="50">
        <f>IFERROR(IF(INDEX('Faculties'!$O$105:$O$114,MATCH($F59,'Faculties'!$B$105:$B$114,0))="","Cell will autofill based on response",INDEX('Faculties'!$O$105:$O$114,MATCH($F59,'Faculties'!$B$105:$B$114,0))),"N/A")</f>
        <v/>
      </c>
      <c r="O59" s="50">
        <f>IFERROR(IF(INDEX('Faculties'!$O$121:$O$130,MATCH($F59,'Faculties'!$B$121:$B$130,0))="","Cell will autofill based on response",INDEX('Faculties'!$O$121:$O$130,MATCH($F59,'Faculties'!$B$121:$B$130,0))),"N/A")</f>
        <v/>
      </c>
      <c r="P59" s="50">
        <f>IFERROR(IF(INDEX('Faculties'!$O$137:$O$146,MATCH($F59,'Faculties'!$B$137:$B$146,0))="","Cell will autofill based on response",INDEX('Faculties'!$O$137:$O$146,MATCH($F59,'Faculties'!$B$137:$B$146,0))),"N/A")</f>
        <v/>
      </c>
      <c r="Q59" s="50">
        <f>IFERROR(IF(INDEX('CI&amp;S'!$O$10:$O$15,MATCH($F59,'CI&amp;S'!$B$10:$B$15,0))="","Cell will autofill based on response",INDEX('CI&amp;S'!$O$10:$O$15,MATCH($F59,'CI&amp;S'!$B$10:$B$15,0))),"N/A")</f>
        <v/>
      </c>
      <c r="R59" s="50">
        <f>IFERROR(IF(INDEX('CI&amp;S'!$O$22:$O$36,MATCH($F59,'CI&amp;S'!$B$22:$B$36,0))="","Cell will autofill based on response",INDEX('CI&amp;S'!$O$22:$O$36,MATCH($F59,'CI&amp;S'!$B$22:$B$36,0))),"N/A")</f>
        <v/>
      </c>
      <c r="S59" s="50">
        <f>IFERROR(IF(INDEX('CFOG'!$O$10:$O$16,MATCH($F59,'CFOG'!$B$10:$B$16,0))="","Cell will autofill based on response",INDEX('CFOG'!$O$10:$O$16,MATCH($F59,'CFOG'!$B$10:$B$16,0))),"N/A")</f>
        <v/>
      </c>
      <c r="T59" s="50">
        <f>IFERROR(IF(INDEX('CFOG'!$O$23:$O$24,MATCH($F59,'CFOG'!$B$23:$B$24,0))="","Cell will autofill based on response",INDEX('CFOG'!$O$23:$O$24,MATCH($F59,'CFOG'!$B$23:$B$24,0))),"N/A")</f>
        <v/>
      </c>
      <c r="U59" s="50">
        <f>IFERROR(IF(INDEX('ESG'!$O$10:$O$17,MATCH($F59,'ESG'!$B$10:$B$17,0))="","Cell will autofill based on response",INDEX('ESG'!$O$10:$O$17,MATCH($F59,'ESG'!$B$10:$B$17,0))),"N/A")</f>
        <v/>
      </c>
      <c r="V59" s="50">
        <f>IFERROR(IF(INDEX('CIOG'!$O$10:$O$14,MATCH($F59,'CIOG'!$B$10:$B$14,0))="","Cell will autofill based on response",INDEX('CIOG'!$O$10:$O$14,MATCH($F59,'CIOG'!$B$10:$B$14,0))),"N/A")</f>
        <v/>
      </c>
      <c r="W59" s="50">
        <f>IFERROR(IF(INDEX('MRE'!$O$10:$O$18,MATCH($F59,'MRE'!$B$10:$B$18,0))="","Cell will autofill based on response",INDEX('MRE'!$O$10:$O$18,MATCH($F59,'MRE'!$B$10:$B$18,0))),"N/A")</f>
        <v/>
      </c>
      <c r="X59" s="50">
        <f>IFERROR(IF(INDEX('AC&amp;M'!$O$10:$O$14,MATCH($F59,'AC&amp;M'!$B$10:$B$14,0))="","Cell will autofill based on response",INDEX('AC&amp;M'!$O$10:$O$14,MATCH($F59,'AC&amp;M'!$B$10:$B$14,0))),"N/A")</f>
        <v/>
      </c>
      <c r="Y59" s="50">
        <f>IFERROR(IF(INDEX('GCE'!$O$10:$O$12,MATCH($F59,'GCE'!$B$10:$B$12,0))="","Cell will autofill based on response",INDEX('GCE'!$O$10:$O$12,MATCH($F59,'GCE'!$B$10:$B$12,0))),"N/A")</f>
        <v/>
      </c>
      <c r="Z59" s="50">
        <f>IFERROR(IF(INDEX('Education'!$O$10:$O$13,MATCH($F59,'Education'!$B$10:$B$13,0))="","Cell will autofill based on response",INDEX('Education'!$O$10:$O$13,MATCH($F59,'Education'!$B$10:$B$13,0))),"N/A")</f>
        <v/>
      </c>
      <c r="AA59" s="50">
        <f>IFERROR(IF(INDEX('SaSS'!$O$10:$O$12,MATCH($F59,'SaSS'!$B$10:$B$12,0))="","Cell will autofill based on response",INDEX('SaSS'!$O$10:$O$12,MATCH($F59,'SaSS'!$B$10:$B$12,0))),"N/A")</f>
        <v/>
      </c>
      <c r="AB59" s="50">
        <f>IFERROR(IF(INDEX('Indigenous'!$O$10:$O$11,MATCH($F59,'Indigenous'!$B$10:$B$11,0))="","Cell will autofill based on response",INDEX('Indigenous'!$O$10:$O$11,MATCH($F59,'Indigenous'!$B$10:$B$11,0))),"N/A")</f>
        <v/>
      </c>
      <c r="AC59" s="50">
        <f>IFERROR(IF(INDEX('L&amp;R'!$O$10:$O$11,MATCH($F59,'L&amp;R'!$B$10:$B$11,0))="","Cell will autofill based on response",INDEX('L&amp;R'!$O$10:$O$11,MATCH($F59,'L&amp;R'!$B$10:$B$11,0))),"N/A")</f>
        <v/>
      </c>
    </row>
    <row r="60" ht="22" customHeight="1">
      <c r="A60">
        <f>F60&amp;"|"&amp;G60</f>
        <v/>
      </c>
      <c r="B60" s="12" t="inlineStr"/>
      <c r="C60" s="7" t="inlineStr"/>
      <c r="D60" s="7" t="inlineStr"/>
      <c r="E60" s="7" t="inlineStr"/>
      <c r="F60" s="7" t="inlineStr">
        <is>
          <t>TR2(c)</t>
        </is>
      </c>
      <c r="G60" s="7" t="inlineStr">
        <is>
          <t>Data owner confirms</t>
        </is>
      </c>
      <c r="H60" s="50">
        <f>IFERROR(IF(INDEX('Faculties'!$P$10:$P$18,MATCH($F60,'Faculties'!$B$10:$B$18,0))="","Cell will autofill based on response",INDEX('Faculties'!$P$10:$P$18,MATCH($F60,'Faculties'!$B$10:$B$18,0))),"N/A")</f>
        <v/>
      </c>
      <c r="I60" s="50">
        <f>IFERROR(IF(INDEX('Faculties'!$P$25:$P$34,MATCH($F60,'Faculties'!$B$25:$B$34,0))="","Cell will autofill based on response",INDEX('Faculties'!$P$25:$P$34,MATCH($F60,'Faculties'!$B$25:$B$34,0))),"N/A")</f>
        <v/>
      </c>
      <c r="J60" s="50">
        <f>IFERROR(IF(INDEX('Faculties'!$P$41:$P$50,MATCH($F60,'Faculties'!$B$41:$B$50,0))="","Cell will autofill based on response",INDEX('Faculties'!$P$41:$P$50,MATCH($F60,'Faculties'!$B$41:$B$50,0))),"N/A")</f>
        <v/>
      </c>
      <c r="K60" s="50">
        <f>IFERROR(IF(INDEX('Faculties'!$P$57:$P$66,MATCH($F60,'Faculties'!$B$57:$B$66,0))="","Cell will autofill based on response",INDEX('Faculties'!$P$57:$P$66,MATCH($F60,'Faculties'!$B$57:$B$66,0))),"N/A")</f>
        <v/>
      </c>
      <c r="L60" s="50">
        <f>IFERROR(IF(INDEX('Faculties'!$P$73:$P$82,MATCH($F60,'Faculties'!$B$73:$B$82,0))="","Cell will autofill based on response",INDEX('Faculties'!$P$73:$P$82,MATCH($F60,'Faculties'!$B$73:$B$82,0))),"N/A")</f>
        <v/>
      </c>
      <c r="M60" s="50">
        <f>IFERROR(IF(INDEX('Faculties'!$P$89:$P$98,MATCH($F60,'Faculties'!$B$89:$B$98,0))="","Cell will autofill based on response",INDEX('Faculties'!$P$89:$P$98,MATCH($F60,'Faculties'!$B$89:$B$98,0))),"N/A")</f>
        <v/>
      </c>
      <c r="N60" s="50">
        <f>IFERROR(IF(INDEX('Faculties'!$P$105:$P$114,MATCH($F60,'Faculties'!$B$105:$B$114,0))="","Cell will autofill based on response",INDEX('Faculties'!$P$105:$P$114,MATCH($F60,'Faculties'!$B$105:$B$114,0))),"N/A")</f>
        <v/>
      </c>
      <c r="O60" s="50">
        <f>IFERROR(IF(INDEX('Faculties'!$P$121:$P$130,MATCH($F60,'Faculties'!$B$121:$B$130,0))="","Cell will autofill based on response",INDEX('Faculties'!$P$121:$P$130,MATCH($F60,'Faculties'!$B$121:$B$130,0))),"N/A")</f>
        <v/>
      </c>
      <c r="P60" s="50">
        <f>IFERROR(IF(INDEX('Faculties'!$P$137:$P$146,MATCH($F60,'Faculties'!$B$137:$B$146,0))="","Cell will autofill based on response",INDEX('Faculties'!$P$137:$P$146,MATCH($F60,'Faculties'!$B$137:$B$146,0))),"N/A")</f>
        <v/>
      </c>
      <c r="Q60" s="50">
        <f>IFERROR(IF(INDEX('CI&amp;S'!$P$10:$P$15,MATCH($F60,'CI&amp;S'!$B$10:$B$15,0))="","Cell will autofill based on response",INDEX('CI&amp;S'!$P$10:$P$15,MATCH($F60,'CI&amp;S'!$B$10:$B$15,0))),"N/A")</f>
        <v/>
      </c>
      <c r="R60" s="50">
        <f>IFERROR(IF(INDEX('CI&amp;S'!$P$22:$P$36,MATCH($F60,'CI&amp;S'!$B$22:$B$36,0))="","Cell will autofill based on response",INDEX('CI&amp;S'!$P$22:$P$36,MATCH($F60,'CI&amp;S'!$B$22:$B$36,0))),"N/A")</f>
        <v/>
      </c>
      <c r="S60" s="50">
        <f>IFERROR(IF(INDEX('CFOG'!$P$10:$P$16,MATCH($F60,'CFOG'!$B$10:$B$16,0))="","Cell will autofill based on response",INDEX('CFOG'!$P$10:$P$16,MATCH($F60,'CFOG'!$B$10:$B$16,0))),"N/A")</f>
        <v/>
      </c>
      <c r="T60" s="50">
        <f>IFERROR(IF(INDEX('CFOG'!$P$23:$P$24,MATCH($F60,'CFOG'!$B$23:$B$24,0))="","Cell will autofill based on response",INDEX('CFOG'!$P$23:$P$24,MATCH($F60,'CFOG'!$B$23:$B$24,0))),"N/A")</f>
        <v/>
      </c>
      <c r="U60" s="50">
        <f>IFERROR(IF(INDEX('ESG'!$P$10:$P$17,MATCH($F60,'ESG'!$B$10:$B$17,0))="","Cell will autofill based on response",INDEX('ESG'!$P$10:$P$17,MATCH($F60,'ESG'!$B$10:$B$17,0))),"N/A")</f>
        <v/>
      </c>
      <c r="V60" s="50">
        <f>IFERROR(IF(INDEX('CIOG'!$P$10:$P$14,MATCH($F60,'CIOG'!$B$10:$B$14,0))="","Cell will autofill based on response",INDEX('CIOG'!$P$10:$P$14,MATCH($F60,'CIOG'!$B$10:$B$14,0))),"N/A")</f>
        <v/>
      </c>
      <c r="W60" s="50">
        <f>IFERROR(IF(INDEX('MRE'!$P$10:$P$18,MATCH($F60,'MRE'!$B$10:$B$18,0))="","Cell will autofill based on response",INDEX('MRE'!$P$10:$P$18,MATCH($F60,'MRE'!$B$10:$B$18,0))),"N/A")</f>
        <v/>
      </c>
      <c r="X60" s="50">
        <f>IFERROR(IF(INDEX('AC&amp;M'!$P$10:$P$14,MATCH($F60,'AC&amp;M'!$B$10:$B$14,0))="","Cell will autofill based on response",INDEX('AC&amp;M'!$P$10:$P$14,MATCH($F60,'AC&amp;M'!$B$10:$B$14,0))),"N/A")</f>
        <v/>
      </c>
      <c r="Y60" s="50">
        <f>IFERROR(IF(INDEX('GCE'!$P$10:$P$12,MATCH($F60,'GCE'!$B$10:$B$12,0))="","Cell will autofill based on response",INDEX('GCE'!$P$10:$P$12,MATCH($F60,'GCE'!$B$10:$B$12,0))),"N/A")</f>
        <v/>
      </c>
      <c r="Z60" s="50">
        <f>IFERROR(IF(INDEX('Education'!$P$10:$P$13,MATCH($F60,'Education'!$B$10:$B$13,0))="","Cell will autofill based on response",INDEX('Education'!$P$10:$P$13,MATCH($F60,'Education'!$B$10:$B$13,0))),"N/A")</f>
        <v/>
      </c>
      <c r="AA60" s="50">
        <f>IFERROR(IF(INDEX('SaSS'!$P$10:$P$12,MATCH($F60,'SaSS'!$B$10:$B$12,0))="","Cell will autofill based on response",INDEX('SaSS'!$P$10:$P$12,MATCH($F60,'SaSS'!$B$10:$B$12,0))),"N/A")</f>
        <v/>
      </c>
      <c r="AB60" s="50">
        <f>IFERROR(IF(INDEX('Indigenous'!$P$10:$P$11,MATCH($F60,'Indigenous'!$B$10:$B$11,0))="","Cell will autofill based on response",INDEX('Indigenous'!$P$10:$P$11,MATCH($F60,'Indigenous'!$B$10:$B$11,0))),"N/A")</f>
        <v/>
      </c>
      <c r="AC60" s="50">
        <f>IFERROR(IF(INDEX('L&amp;R'!$P$10:$P$11,MATCH($F60,'L&amp;R'!$B$10:$B$11,0))="","Cell will autofill based on response",INDEX('L&amp;R'!$P$10:$P$11,MATCH($F60,'L&amp;R'!$B$10:$B$11,0))),"N/A")</f>
        <v/>
      </c>
    </row>
    <row r="61" ht="122" customHeight="1">
      <c r="A61">
        <f>F61&amp;"|"&amp;G61</f>
        <v/>
      </c>
      <c r="B61" s="6" t="inlineStr">
        <is>
          <t>TR2(d)</t>
        </is>
      </c>
      <c r="C61" s="48" t="inlineStr">
        <is>
          <t>Transformational research</t>
        </is>
      </c>
      <c r="D61" s="48" t="inlineStr">
        <is>
          <t>Case-based evidence demonstrating how research has contributed to meaningful sustainability outcomes.</t>
        </is>
      </c>
      <c r="E61" s="48"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F61" s="48" t="inlineStr">
        <is>
          <t>TR2(d)</t>
        </is>
      </c>
      <c r="G61" s="48" t="inlineStr">
        <is>
          <t>OPTION 1:  Target-level reporting</t>
        </is>
      </c>
      <c r="H61" s="50">
        <f>IFERROR(IF(INDEX('Faculties'!$L$10:$L$18,MATCH($F61,'Faculties'!$B$10:$B$18,0))="","Cell will autofill based on response",INDEX('Faculties'!$L$10:$L$18,MATCH($F61,'Faculties'!$B$10:$B$18,0))),"N/A")</f>
        <v/>
      </c>
      <c r="I61" s="50">
        <f>IFERROR(IF(INDEX('Faculties'!$L$25:$L$34,MATCH($F61,'Faculties'!$B$25:$B$34,0))="","Cell will autofill based on response",INDEX('Faculties'!$L$25:$L$34,MATCH($F61,'Faculties'!$B$25:$B$34,0))),"N/A")</f>
        <v/>
      </c>
      <c r="J61" s="50">
        <f>IFERROR(IF(INDEX('Faculties'!$L$41:$L$50,MATCH($F61,'Faculties'!$B$41:$B$50,0))="","Cell will autofill based on response",INDEX('Faculties'!$L$41:$L$50,MATCH($F61,'Faculties'!$B$41:$B$50,0))),"N/A")</f>
        <v/>
      </c>
      <c r="K61" s="50">
        <f>IFERROR(IF(INDEX('Faculties'!$L$57:$L$66,MATCH($F61,'Faculties'!$B$57:$B$66,0))="","Cell will autofill based on response",INDEX('Faculties'!$L$57:$L$66,MATCH($F61,'Faculties'!$B$57:$B$66,0))),"N/A")</f>
        <v/>
      </c>
      <c r="L61" s="50">
        <f>IFERROR(IF(INDEX('Faculties'!$L$73:$L$82,MATCH($F61,'Faculties'!$B$73:$B$82,0))="","Cell will autofill based on response",INDEX('Faculties'!$L$73:$L$82,MATCH($F61,'Faculties'!$B$73:$B$82,0))),"N/A")</f>
        <v/>
      </c>
      <c r="M61" s="50">
        <f>IFERROR(IF(INDEX('Faculties'!$L$89:$L$98,MATCH($F61,'Faculties'!$B$89:$B$98,0))="","Cell will autofill based on response",INDEX('Faculties'!$L$89:$L$98,MATCH($F61,'Faculties'!$B$89:$B$98,0))),"N/A")</f>
        <v/>
      </c>
      <c r="N61" s="50">
        <f>IFERROR(IF(INDEX('Faculties'!$L$105:$L$114,MATCH($F61,'Faculties'!$B$105:$B$114,0))="","Cell will autofill based on response",INDEX('Faculties'!$L$105:$L$114,MATCH($F61,'Faculties'!$B$105:$B$114,0))),"N/A")</f>
        <v/>
      </c>
      <c r="O61" s="50">
        <f>IFERROR(IF(INDEX('Faculties'!$L$121:$L$130,MATCH($F61,'Faculties'!$B$121:$B$130,0))="","Cell will autofill based on response",INDEX('Faculties'!$L$121:$L$130,MATCH($F61,'Faculties'!$B$121:$B$130,0))),"N/A")</f>
        <v/>
      </c>
      <c r="P61" s="50">
        <f>IFERROR(IF(INDEX('Faculties'!$L$137:$L$146,MATCH($F61,'Faculties'!$B$137:$B$146,0))="","Cell will autofill based on response",INDEX('Faculties'!$L$137:$L$146,MATCH($F61,'Faculties'!$B$137:$B$146,0))),"N/A")</f>
        <v/>
      </c>
      <c r="Q61" s="50">
        <f>IFERROR(IF(INDEX('CI&amp;S'!$L$10:$L$15,MATCH($F61,'CI&amp;S'!$B$10:$B$15,0))="","Cell will autofill based on response",INDEX('CI&amp;S'!$L$10:$L$15,MATCH($F61,'CI&amp;S'!$B$10:$B$15,0))),"N/A")</f>
        <v/>
      </c>
      <c r="R61" s="50">
        <f>IFERROR(IF(INDEX('CI&amp;S'!$L$22:$L$36,MATCH($F61,'CI&amp;S'!$B$22:$B$36,0))="","Cell will autofill based on response",INDEX('CI&amp;S'!$L$22:$L$36,MATCH($F61,'CI&amp;S'!$B$22:$B$36,0))),"N/A")</f>
        <v/>
      </c>
      <c r="S61" s="50">
        <f>IFERROR(IF(INDEX('CFOG'!$L$10:$L$16,MATCH($F61,'CFOG'!$B$10:$B$16,0))="","Cell will autofill based on response",INDEX('CFOG'!$L$10:$L$16,MATCH($F61,'CFOG'!$B$10:$B$16,0))),"N/A")</f>
        <v/>
      </c>
      <c r="T61" s="50">
        <f>IFERROR(IF(INDEX('CFOG'!$L$23:$L$24,MATCH($F61,'CFOG'!$B$23:$B$24,0))="","Cell will autofill based on response",INDEX('CFOG'!$L$23:$L$24,MATCH($F61,'CFOG'!$B$23:$B$24,0))),"N/A")</f>
        <v/>
      </c>
      <c r="U61" s="50">
        <f>IFERROR(IF(INDEX('ESG'!$L$10:$L$17,MATCH($F61,'ESG'!$B$10:$B$17,0))="","Cell will autofill based on response",INDEX('ESG'!$L$10:$L$17,MATCH($F61,'ESG'!$B$10:$B$17,0))),"N/A")</f>
        <v/>
      </c>
      <c r="V61" s="50">
        <f>IFERROR(IF(INDEX('CIOG'!$L$10:$L$14,MATCH($F61,'CIOG'!$B$10:$B$14,0))="","Cell will autofill based on response",INDEX('CIOG'!$L$10:$L$14,MATCH($F61,'CIOG'!$B$10:$B$14,0))),"N/A")</f>
        <v/>
      </c>
      <c r="W61" s="50">
        <f>IFERROR(IF(INDEX('MRE'!$L$10:$L$18,MATCH($F61,'MRE'!$B$10:$B$18,0))="","Cell will autofill based on response",INDEX('MRE'!$L$10:$L$18,MATCH($F61,'MRE'!$B$10:$B$18,0))),"N/A")</f>
        <v/>
      </c>
      <c r="X61" s="50">
        <f>IFERROR(IF(INDEX('AC&amp;M'!$L$10:$L$14,MATCH($F61,'AC&amp;M'!$B$10:$B$14,0))="","Cell will autofill based on response",INDEX('AC&amp;M'!$L$10:$L$14,MATCH($F61,'AC&amp;M'!$B$10:$B$14,0))),"N/A")</f>
        <v/>
      </c>
      <c r="Y61" s="50">
        <f>IFERROR(IF(INDEX('GCE'!$L$10:$L$12,MATCH($F61,'GCE'!$B$10:$B$12,0))="","Cell will autofill based on response",INDEX('GCE'!$L$10:$L$12,MATCH($F61,'GCE'!$B$10:$B$12,0))),"N/A")</f>
        <v/>
      </c>
      <c r="Z61" s="50">
        <f>IFERROR(IF(INDEX('Education'!$L$10:$L$13,MATCH($F61,'Education'!$B$10:$B$13,0))="","Cell will autofill based on response",INDEX('Education'!$L$10:$L$13,MATCH($F61,'Education'!$B$10:$B$13,0))),"N/A")</f>
        <v/>
      </c>
      <c r="AA61" s="50">
        <f>IFERROR(IF(INDEX('SaSS'!$L$10:$L$12,MATCH($F61,'SaSS'!$B$10:$B$12,0))="","Cell will autofill based on response",INDEX('SaSS'!$L$10:$L$12,MATCH($F61,'SaSS'!$B$10:$B$12,0))),"N/A")</f>
        <v/>
      </c>
      <c r="AB61" s="50">
        <f>IFERROR(IF(INDEX('Indigenous'!$L$10:$L$11,MATCH($F61,'Indigenous'!$B$10:$B$11,0))="","Cell will autofill based on response",INDEX('Indigenous'!$L$10:$L$11,MATCH($F61,'Indigenous'!$B$10:$B$11,0))),"N/A")</f>
        <v/>
      </c>
      <c r="AC61" s="50">
        <f>IFERROR(IF(INDEX('L&amp;R'!$L$10:$L$11,MATCH($F61,'L&amp;R'!$B$10:$B$11,0))="","Cell will autofill based on response",INDEX('L&amp;R'!$L$10:$L$11,MATCH($F61,'L&amp;R'!$B$10:$B$11,0))),"N/A")</f>
        <v/>
      </c>
      <c r="AE61" s="9">
        <f>SUMPRODUCT(--($H61:$AC61&lt;&gt;"N/A"))</f>
        <v/>
      </c>
      <c r="AF61" s="9">
        <f>SUMPRODUCT(--(((($H61:$AC61&lt;&gt;"N/A")*($H61:$AC61&lt;&gt;"Cell will autofill based on response"))+(($H62:$AC62&lt;&gt;"N/A")*($H62:$AC62&lt;&gt;"Cell will autofill based on response")))&gt;0))</f>
        <v/>
      </c>
      <c r="AG61" s="9">
        <f>AE61-AF61</f>
        <v/>
      </c>
      <c r="AH61" s="9">
        <f>COUNTIF($H65:$AC65,"Yes")</f>
        <v/>
      </c>
    </row>
    <row r="62" ht="39" customHeight="1">
      <c r="A62">
        <f>F62&amp;"|"&amp;G62</f>
        <v/>
      </c>
      <c r="B62" s="12" t="inlineStr"/>
      <c r="C62" s="7" t="inlineStr"/>
      <c r="D62" s="7" t="inlineStr"/>
      <c r="E62" s="7" t="inlineStr"/>
      <c r="F62" s="7" t="inlineStr">
        <is>
          <t>TR2(d)</t>
        </is>
      </c>
      <c r="G62" s="7" t="inlineStr">
        <is>
          <t>OPTION 2:  Indicator level reporting</t>
        </is>
      </c>
      <c r="H62" s="50">
        <f>IFERROR(IF(INDEX('Faculties'!$M$10:$M$18,MATCH($F62,'Faculties'!$B$10:$B$18,0))="","Cell will autofill based on response",INDEX('Faculties'!$M$10:$M$18,MATCH($F62,'Faculties'!$B$10:$B$18,0))),"N/A")</f>
        <v/>
      </c>
      <c r="I62" s="50">
        <f>IFERROR(IF(INDEX('Faculties'!$M$25:$M$34,MATCH($F62,'Faculties'!$B$25:$B$34,0))="","Cell will autofill based on response",INDEX('Faculties'!$M$25:$M$34,MATCH($F62,'Faculties'!$B$25:$B$34,0))),"N/A")</f>
        <v/>
      </c>
      <c r="J62" s="50">
        <f>IFERROR(IF(INDEX('Faculties'!$M$41:$M$50,MATCH($F62,'Faculties'!$B$41:$B$50,0))="","Cell will autofill based on response",INDEX('Faculties'!$M$41:$M$50,MATCH($F62,'Faculties'!$B$41:$B$50,0))),"N/A")</f>
        <v/>
      </c>
      <c r="K62" s="50">
        <f>IFERROR(IF(INDEX('Faculties'!$M$57:$M$66,MATCH($F62,'Faculties'!$B$57:$B$66,0))="","Cell will autofill based on response",INDEX('Faculties'!$M$57:$M$66,MATCH($F62,'Faculties'!$B$57:$B$66,0))),"N/A")</f>
        <v/>
      </c>
      <c r="L62" s="50">
        <f>IFERROR(IF(INDEX('Faculties'!$M$73:$M$82,MATCH($F62,'Faculties'!$B$73:$B$82,0))="","Cell will autofill based on response",INDEX('Faculties'!$M$73:$M$82,MATCH($F62,'Faculties'!$B$73:$B$82,0))),"N/A")</f>
        <v/>
      </c>
      <c r="M62" s="50">
        <f>IFERROR(IF(INDEX('Faculties'!$M$89:$M$98,MATCH($F62,'Faculties'!$B$89:$B$98,0))="","Cell will autofill based on response",INDEX('Faculties'!$M$89:$M$98,MATCH($F62,'Faculties'!$B$89:$B$98,0))),"N/A")</f>
        <v/>
      </c>
      <c r="N62" s="50">
        <f>IFERROR(IF(INDEX('Faculties'!$M$105:$M$114,MATCH($F62,'Faculties'!$B$105:$B$114,0))="","Cell will autofill based on response",INDEX('Faculties'!$M$105:$M$114,MATCH($F62,'Faculties'!$B$105:$B$114,0))),"N/A")</f>
        <v/>
      </c>
      <c r="O62" s="50">
        <f>IFERROR(IF(INDEX('Faculties'!$M$121:$M$130,MATCH($F62,'Faculties'!$B$121:$B$130,0))="","Cell will autofill based on response",INDEX('Faculties'!$M$121:$M$130,MATCH($F62,'Faculties'!$B$121:$B$130,0))),"N/A")</f>
        <v/>
      </c>
      <c r="P62" s="50">
        <f>IFERROR(IF(INDEX('Faculties'!$M$137:$M$146,MATCH($F62,'Faculties'!$B$137:$B$146,0))="","Cell will autofill based on response",INDEX('Faculties'!$M$137:$M$146,MATCH($F62,'Faculties'!$B$137:$B$146,0))),"N/A")</f>
        <v/>
      </c>
      <c r="Q62" s="50">
        <f>IFERROR(IF(INDEX('CI&amp;S'!$M$10:$M$15,MATCH($F62,'CI&amp;S'!$B$10:$B$15,0))="","Cell will autofill based on response",INDEX('CI&amp;S'!$M$10:$M$15,MATCH($F62,'CI&amp;S'!$B$10:$B$15,0))),"N/A")</f>
        <v/>
      </c>
      <c r="R62" s="50">
        <f>IFERROR(IF(INDEX('CI&amp;S'!$M$22:$M$36,MATCH($F62,'CI&amp;S'!$B$22:$B$36,0))="","Cell will autofill based on response",INDEX('CI&amp;S'!$M$22:$M$36,MATCH($F62,'CI&amp;S'!$B$22:$B$36,0))),"N/A")</f>
        <v/>
      </c>
      <c r="S62" s="50">
        <f>IFERROR(IF(INDEX('CFOG'!$M$10:$M$16,MATCH($F62,'CFOG'!$B$10:$B$16,0))="","Cell will autofill based on response",INDEX('CFOG'!$M$10:$M$16,MATCH($F62,'CFOG'!$B$10:$B$16,0))),"N/A")</f>
        <v/>
      </c>
      <c r="T62" s="50">
        <f>IFERROR(IF(INDEX('CFOG'!$M$23:$M$24,MATCH($F62,'CFOG'!$B$23:$B$24,0))="","Cell will autofill based on response",INDEX('CFOG'!$M$23:$M$24,MATCH($F62,'CFOG'!$B$23:$B$24,0))),"N/A")</f>
        <v/>
      </c>
      <c r="U62" s="50">
        <f>IFERROR(IF(INDEX('ESG'!$M$10:$M$17,MATCH($F62,'ESG'!$B$10:$B$17,0))="","Cell will autofill based on response",INDEX('ESG'!$M$10:$M$17,MATCH($F62,'ESG'!$B$10:$B$17,0))),"N/A")</f>
        <v/>
      </c>
      <c r="V62" s="50">
        <f>IFERROR(IF(INDEX('CIOG'!$M$10:$M$14,MATCH($F62,'CIOG'!$B$10:$B$14,0))="","Cell will autofill based on response",INDEX('CIOG'!$M$10:$M$14,MATCH($F62,'CIOG'!$B$10:$B$14,0))),"N/A")</f>
        <v/>
      </c>
      <c r="W62" s="50">
        <f>IFERROR(IF(INDEX('MRE'!$M$10:$M$18,MATCH($F62,'MRE'!$B$10:$B$18,0))="","Cell will autofill based on response",INDEX('MRE'!$M$10:$M$18,MATCH($F62,'MRE'!$B$10:$B$18,0))),"N/A")</f>
        <v/>
      </c>
      <c r="X62" s="50">
        <f>IFERROR(IF(INDEX('AC&amp;M'!$M$10:$M$14,MATCH($F62,'AC&amp;M'!$B$10:$B$14,0))="","Cell will autofill based on response",INDEX('AC&amp;M'!$M$10:$M$14,MATCH($F62,'AC&amp;M'!$B$10:$B$14,0))),"N/A")</f>
        <v/>
      </c>
      <c r="Y62" s="50">
        <f>IFERROR(IF(INDEX('GCE'!$M$10:$M$12,MATCH($F62,'GCE'!$B$10:$B$12,0))="","Cell will autofill based on response",INDEX('GCE'!$M$10:$M$12,MATCH($F62,'GCE'!$B$10:$B$12,0))),"N/A")</f>
        <v/>
      </c>
      <c r="Z62" s="50">
        <f>IFERROR(IF(INDEX('Education'!$M$10:$M$13,MATCH($F62,'Education'!$B$10:$B$13,0))="","Cell will autofill based on response",INDEX('Education'!$M$10:$M$13,MATCH($F62,'Education'!$B$10:$B$13,0))),"N/A")</f>
        <v/>
      </c>
      <c r="AA62" s="50">
        <f>IFERROR(IF(INDEX('SaSS'!$M$10:$M$12,MATCH($F62,'SaSS'!$B$10:$B$12,0))="","Cell will autofill based on response",INDEX('SaSS'!$M$10:$M$12,MATCH($F62,'SaSS'!$B$10:$B$12,0))),"N/A")</f>
        <v/>
      </c>
      <c r="AB62" s="50">
        <f>IFERROR(IF(INDEX('Indigenous'!$M$10:$M$11,MATCH($F62,'Indigenous'!$B$10:$B$11,0))="","Cell will autofill based on response",INDEX('Indigenous'!$M$10:$M$11,MATCH($F62,'Indigenous'!$B$10:$B$11,0))),"N/A")</f>
        <v/>
      </c>
      <c r="AC62" s="50">
        <f>IFERROR(IF(INDEX('L&amp;R'!$M$10:$M$11,MATCH($F62,'L&amp;R'!$B$10:$B$11,0))="","Cell will autofill based on response",INDEX('L&amp;R'!$M$10:$M$11,MATCH($F62,'L&amp;R'!$B$10:$B$11,0))),"N/A")</f>
        <v/>
      </c>
    </row>
    <row r="63" ht="22" customHeight="1">
      <c r="A63">
        <f>F63&amp;"|"&amp;G63</f>
        <v/>
      </c>
      <c r="B63" s="12" t="inlineStr"/>
      <c r="C63" s="7" t="inlineStr"/>
      <c r="D63" s="7" t="inlineStr"/>
      <c r="E63" s="7" t="inlineStr"/>
      <c r="F63" s="7" t="inlineStr">
        <is>
          <t>TR2(d)</t>
        </is>
      </c>
      <c r="G63" s="7" t="inlineStr">
        <is>
          <t>Supporting information/comments</t>
        </is>
      </c>
      <c r="H63" s="50">
        <f>IFERROR(IF(INDEX('Faculties'!$N$10:$N$18,MATCH($F63,'Faculties'!$B$10:$B$18,0))="","Cell will autofill based on response",INDEX('Faculties'!$N$10:$N$18,MATCH($F63,'Faculties'!$B$10:$B$18,0))),"N/A")</f>
        <v/>
      </c>
      <c r="I63" s="50">
        <f>IFERROR(IF(INDEX('Faculties'!$N$25:$N$34,MATCH($F63,'Faculties'!$B$25:$B$34,0))="","Cell will autofill based on response",INDEX('Faculties'!$N$25:$N$34,MATCH($F63,'Faculties'!$B$25:$B$34,0))),"N/A")</f>
        <v/>
      </c>
      <c r="J63" s="50">
        <f>IFERROR(IF(INDEX('Faculties'!$N$41:$N$50,MATCH($F63,'Faculties'!$B$41:$B$50,0))="","Cell will autofill based on response",INDEX('Faculties'!$N$41:$N$50,MATCH($F63,'Faculties'!$B$41:$B$50,0))),"N/A")</f>
        <v/>
      </c>
      <c r="K63" s="50">
        <f>IFERROR(IF(INDEX('Faculties'!$N$57:$N$66,MATCH($F63,'Faculties'!$B$57:$B$66,0))="","Cell will autofill based on response",INDEX('Faculties'!$N$57:$N$66,MATCH($F63,'Faculties'!$B$57:$B$66,0))),"N/A")</f>
        <v/>
      </c>
      <c r="L63" s="50">
        <f>IFERROR(IF(INDEX('Faculties'!$N$73:$N$82,MATCH($F63,'Faculties'!$B$73:$B$82,0))="","Cell will autofill based on response",INDEX('Faculties'!$N$73:$N$82,MATCH($F63,'Faculties'!$B$73:$B$82,0))),"N/A")</f>
        <v/>
      </c>
      <c r="M63" s="50">
        <f>IFERROR(IF(INDEX('Faculties'!$N$89:$N$98,MATCH($F63,'Faculties'!$B$89:$B$98,0))="","Cell will autofill based on response",INDEX('Faculties'!$N$89:$N$98,MATCH($F63,'Faculties'!$B$89:$B$98,0))),"N/A")</f>
        <v/>
      </c>
      <c r="N63" s="50">
        <f>IFERROR(IF(INDEX('Faculties'!$N$105:$N$114,MATCH($F63,'Faculties'!$B$105:$B$114,0))="","Cell will autofill based on response",INDEX('Faculties'!$N$105:$N$114,MATCH($F63,'Faculties'!$B$105:$B$114,0))),"N/A")</f>
        <v/>
      </c>
      <c r="O63" s="50">
        <f>IFERROR(IF(INDEX('Faculties'!$N$121:$N$130,MATCH($F63,'Faculties'!$B$121:$B$130,0))="","Cell will autofill based on response",INDEX('Faculties'!$N$121:$N$130,MATCH($F63,'Faculties'!$B$121:$B$130,0))),"N/A")</f>
        <v/>
      </c>
      <c r="P63" s="50">
        <f>IFERROR(IF(INDEX('Faculties'!$N$137:$N$146,MATCH($F63,'Faculties'!$B$137:$B$146,0))="","Cell will autofill based on response",INDEX('Faculties'!$N$137:$N$146,MATCH($F63,'Faculties'!$B$137:$B$146,0))),"N/A")</f>
        <v/>
      </c>
      <c r="Q63" s="50">
        <f>IFERROR(IF(INDEX('CI&amp;S'!$N$10:$N$15,MATCH($F63,'CI&amp;S'!$B$10:$B$15,0))="","Cell will autofill based on response",INDEX('CI&amp;S'!$N$10:$N$15,MATCH($F63,'CI&amp;S'!$B$10:$B$15,0))),"N/A")</f>
        <v/>
      </c>
      <c r="R63" s="50">
        <f>IFERROR(IF(INDEX('CI&amp;S'!$N$22:$N$36,MATCH($F63,'CI&amp;S'!$B$22:$B$36,0))="","Cell will autofill based on response",INDEX('CI&amp;S'!$N$22:$N$36,MATCH($F63,'CI&amp;S'!$B$22:$B$36,0))),"N/A")</f>
        <v/>
      </c>
      <c r="S63" s="50">
        <f>IFERROR(IF(INDEX('CFOG'!$N$10:$N$16,MATCH($F63,'CFOG'!$B$10:$B$16,0))="","Cell will autofill based on response",INDEX('CFOG'!$N$10:$N$16,MATCH($F63,'CFOG'!$B$10:$B$16,0))),"N/A")</f>
        <v/>
      </c>
      <c r="T63" s="50">
        <f>IFERROR(IF(INDEX('CFOG'!$N$23:$N$24,MATCH($F63,'CFOG'!$B$23:$B$24,0))="","Cell will autofill based on response",INDEX('CFOG'!$N$23:$N$24,MATCH($F63,'CFOG'!$B$23:$B$24,0))),"N/A")</f>
        <v/>
      </c>
      <c r="U63" s="50">
        <f>IFERROR(IF(INDEX('ESG'!$N$10:$N$17,MATCH($F63,'ESG'!$B$10:$B$17,0))="","Cell will autofill based on response",INDEX('ESG'!$N$10:$N$17,MATCH($F63,'ESG'!$B$10:$B$17,0))),"N/A")</f>
        <v/>
      </c>
      <c r="V63" s="50">
        <f>IFERROR(IF(INDEX('CIOG'!$N$10:$N$14,MATCH($F63,'CIOG'!$B$10:$B$14,0))="","Cell will autofill based on response",INDEX('CIOG'!$N$10:$N$14,MATCH($F63,'CIOG'!$B$10:$B$14,0))),"N/A")</f>
        <v/>
      </c>
      <c r="W63" s="50">
        <f>IFERROR(IF(INDEX('MRE'!$N$10:$N$18,MATCH($F63,'MRE'!$B$10:$B$18,0))="","Cell will autofill based on response",INDEX('MRE'!$N$10:$N$18,MATCH($F63,'MRE'!$B$10:$B$18,0))),"N/A")</f>
        <v/>
      </c>
      <c r="X63" s="50">
        <f>IFERROR(IF(INDEX('AC&amp;M'!$N$10:$N$14,MATCH($F63,'AC&amp;M'!$B$10:$B$14,0))="","Cell will autofill based on response",INDEX('AC&amp;M'!$N$10:$N$14,MATCH($F63,'AC&amp;M'!$B$10:$B$14,0))),"N/A")</f>
        <v/>
      </c>
      <c r="Y63" s="50">
        <f>IFERROR(IF(INDEX('GCE'!$N$10:$N$12,MATCH($F63,'GCE'!$B$10:$B$12,0))="","Cell will autofill based on response",INDEX('GCE'!$N$10:$N$12,MATCH($F63,'GCE'!$B$10:$B$12,0))),"N/A")</f>
        <v/>
      </c>
      <c r="Z63" s="50">
        <f>IFERROR(IF(INDEX('Education'!$N$10:$N$13,MATCH($F63,'Education'!$B$10:$B$13,0))="","Cell will autofill based on response",INDEX('Education'!$N$10:$N$13,MATCH($F63,'Education'!$B$10:$B$13,0))),"N/A")</f>
        <v/>
      </c>
      <c r="AA63" s="50">
        <f>IFERROR(IF(INDEX('SaSS'!$N$10:$N$12,MATCH($F63,'SaSS'!$B$10:$B$12,0))="","Cell will autofill based on response",INDEX('SaSS'!$N$10:$N$12,MATCH($F63,'SaSS'!$B$10:$B$12,0))),"N/A")</f>
        <v/>
      </c>
      <c r="AB63" s="50">
        <f>IFERROR(IF(INDEX('Indigenous'!$N$10:$N$11,MATCH($F63,'Indigenous'!$B$10:$B$11,0))="","Cell will autofill based on response",INDEX('Indigenous'!$N$10:$N$11,MATCH($F63,'Indigenous'!$B$10:$B$11,0))),"N/A")</f>
        <v/>
      </c>
      <c r="AC63" s="50">
        <f>IFERROR(IF(INDEX('L&amp;R'!$N$10:$N$11,MATCH($F63,'L&amp;R'!$B$10:$B$11,0))="","Cell will autofill based on response",INDEX('L&amp;R'!$N$10:$N$11,MATCH($F63,'L&amp;R'!$B$10:$B$11,0))),"N/A")</f>
        <v/>
      </c>
    </row>
    <row r="64" ht="22" customHeight="1">
      <c r="A64">
        <f>F64&amp;"|"&amp;G64</f>
        <v/>
      </c>
      <c r="B64" s="12" t="inlineStr"/>
      <c r="C64" s="7" t="inlineStr"/>
      <c r="D64" s="7" t="inlineStr"/>
      <c r="E64" s="7" t="inlineStr"/>
      <c r="F64" s="7" t="inlineStr">
        <is>
          <t>TR2(d)</t>
        </is>
      </c>
      <c r="G64" s="7" t="inlineStr">
        <is>
          <t>Data source and limitations</t>
        </is>
      </c>
      <c r="H64" s="50">
        <f>IFERROR(IF(INDEX('Faculties'!$O$10:$O$18,MATCH($F64,'Faculties'!$B$10:$B$18,0))="","Cell will autofill based on response",INDEX('Faculties'!$O$10:$O$18,MATCH($F64,'Faculties'!$B$10:$B$18,0))),"N/A")</f>
        <v/>
      </c>
      <c r="I64" s="50">
        <f>IFERROR(IF(INDEX('Faculties'!$O$25:$O$34,MATCH($F64,'Faculties'!$B$25:$B$34,0))="","Cell will autofill based on response",INDEX('Faculties'!$O$25:$O$34,MATCH($F64,'Faculties'!$B$25:$B$34,0))),"N/A")</f>
        <v/>
      </c>
      <c r="J64" s="50">
        <f>IFERROR(IF(INDEX('Faculties'!$O$41:$O$50,MATCH($F64,'Faculties'!$B$41:$B$50,0))="","Cell will autofill based on response",INDEX('Faculties'!$O$41:$O$50,MATCH($F64,'Faculties'!$B$41:$B$50,0))),"N/A")</f>
        <v/>
      </c>
      <c r="K64" s="50">
        <f>IFERROR(IF(INDEX('Faculties'!$O$57:$O$66,MATCH($F64,'Faculties'!$B$57:$B$66,0))="","Cell will autofill based on response",INDEX('Faculties'!$O$57:$O$66,MATCH($F64,'Faculties'!$B$57:$B$66,0))),"N/A")</f>
        <v/>
      </c>
      <c r="L64" s="50">
        <f>IFERROR(IF(INDEX('Faculties'!$O$73:$O$82,MATCH($F64,'Faculties'!$B$73:$B$82,0))="","Cell will autofill based on response",INDEX('Faculties'!$O$73:$O$82,MATCH($F64,'Faculties'!$B$73:$B$82,0))),"N/A")</f>
        <v/>
      </c>
      <c r="M64" s="50">
        <f>IFERROR(IF(INDEX('Faculties'!$O$89:$O$98,MATCH($F64,'Faculties'!$B$89:$B$98,0))="","Cell will autofill based on response",INDEX('Faculties'!$O$89:$O$98,MATCH($F64,'Faculties'!$B$89:$B$98,0))),"N/A")</f>
        <v/>
      </c>
      <c r="N64" s="50">
        <f>IFERROR(IF(INDEX('Faculties'!$O$105:$O$114,MATCH($F64,'Faculties'!$B$105:$B$114,0))="","Cell will autofill based on response",INDEX('Faculties'!$O$105:$O$114,MATCH($F64,'Faculties'!$B$105:$B$114,0))),"N/A")</f>
        <v/>
      </c>
      <c r="O64" s="50">
        <f>IFERROR(IF(INDEX('Faculties'!$O$121:$O$130,MATCH($F64,'Faculties'!$B$121:$B$130,0))="","Cell will autofill based on response",INDEX('Faculties'!$O$121:$O$130,MATCH($F64,'Faculties'!$B$121:$B$130,0))),"N/A")</f>
        <v/>
      </c>
      <c r="P64" s="50">
        <f>IFERROR(IF(INDEX('Faculties'!$O$137:$O$146,MATCH($F64,'Faculties'!$B$137:$B$146,0))="","Cell will autofill based on response",INDEX('Faculties'!$O$137:$O$146,MATCH($F64,'Faculties'!$B$137:$B$146,0))),"N/A")</f>
        <v/>
      </c>
      <c r="Q64" s="50">
        <f>IFERROR(IF(INDEX('CI&amp;S'!$O$10:$O$15,MATCH($F64,'CI&amp;S'!$B$10:$B$15,0))="","Cell will autofill based on response",INDEX('CI&amp;S'!$O$10:$O$15,MATCH($F64,'CI&amp;S'!$B$10:$B$15,0))),"N/A")</f>
        <v/>
      </c>
      <c r="R64" s="50">
        <f>IFERROR(IF(INDEX('CI&amp;S'!$O$22:$O$36,MATCH($F64,'CI&amp;S'!$B$22:$B$36,0))="","Cell will autofill based on response",INDEX('CI&amp;S'!$O$22:$O$36,MATCH($F64,'CI&amp;S'!$B$22:$B$36,0))),"N/A")</f>
        <v/>
      </c>
      <c r="S64" s="50">
        <f>IFERROR(IF(INDEX('CFOG'!$O$10:$O$16,MATCH($F64,'CFOG'!$B$10:$B$16,0))="","Cell will autofill based on response",INDEX('CFOG'!$O$10:$O$16,MATCH($F64,'CFOG'!$B$10:$B$16,0))),"N/A")</f>
        <v/>
      </c>
      <c r="T64" s="50">
        <f>IFERROR(IF(INDEX('CFOG'!$O$23:$O$24,MATCH($F64,'CFOG'!$B$23:$B$24,0))="","Cell will autofill based on response",INDEX('CFOG'!$O$23:$O$24,MATCH($F64,'CFOG'!$B$23:$B$24,0))),"N/A")</f>
        <v/>
      </c>
      <c r="U64" s="50">
        <f>IFERROR(IF(INDEX('ESG'!$O$10:$O$17,MATCH($F64,'ESG'!$B$10:$B$17,0))="","Cell will autofill based on response",INDEX('ESG'!$O$10:$O$17,MATCH($F64,'ESG'!$B$10:$B$17,0))),"N/A")</f>
        <v/>
      </c>
      <c r="V64" s="50">
        <f>IFERROR(IF(INDEX('CIOG'!$O$10:$O$14,MATCH($F64,'CIOG'!$B$10:$B$14,0))="","Cell will autofill based on response",INDEX('CIOG'!$O$10:$O$14,MATCH($F64,'CIOG'!$B$10:$B$14,0))),"N/A")</f>
        <v/>
      </c>
      <c r="W64" s="50">
        <f>IFERROR(IF(INDEX('MRE'!$O$10:$O$18,MATCH($F64,'MRE'!$B$10:$B$18,0))="","Cell will autofill based on response",INDEX('MRE'!$O$10:$O$18,MATCH($F64,'MRE'!$B$10:$B$18,0))),"N/A")</f>
        <v/>
      </c>
      <c r="X64" s="50">
        <f>IFERROR(IF(INDEX('AC&amp;M'!$O$10:$O$14,MATCH($F64,'AC&amp;M'!$B$10:$B$14,0))="","Cell will autofill based on response",INDEX('AC&amp;M'!$O$10:$O$14,MATCH($F64,'AC&amp;M'!$B$10:$B$14,0))),"N/A")</f>
        <v/>
      </c>
      <c r="Y64" s="50">
        <f>IFERROR(IF(INDEX('GCE'!$O$10:$O$12,MATCH($F64,'GCE'!$B$10:$B$12,0))="","Cell will autofill based on response",INDEX('GCE'!$O$10:$O$12,MATCH($F64,'GCE'!$B$10:$B$12,0))),"N/A")</f>
        <v/>
      </c>
      <c r="Z64" s="50">
        <f>IFERROR(IF(INDEX('Education'!$O$10:$O$13,MATCH($F64,'Education'!$B$10:$B$13,0))="","Cell will autofill based on response",INDEX('Education'!$O$10:$O$13,MATCH($F64,'Education'!$B$10:$B$13,0))),"N/A")</f>
        <v/>
      </c>
      <c r="AA64" s="50">
        <f>IFERROR(IF(INDEX('SaSS'!$O$10:$O$12,MATCH($F64,'SaSS'!$B$10:$B$12,0))="","Cell will autofill based on response",INDEX('SaSS'!$O$10:$O$12,MATCH($F64,'SaSS'!$B$10:$B$12,0))),"N/A")</f>
        <v/>
      </c>
      <c r="AB64" s="50">
        <f>IFERROR(IF(INDEX('Indigenous'!$O$10:$O$11,MATCH($F64,'Indigenous'!$B$10:$B$11,0))="","Cell will autofill based on response",INDEX('Indigenous'!$O$10:$O$11,MATCH($F64,'Indigenous'!$B$10:$B$11,0))),"N/A")</f>
        <v/>
      </c>
      <c r="AC64" s="50">
        <f>IFERROR(IF(INDEX('L&amp;R'!$O$10:$O$11,MATCH($F64,'L&amp;R'!$B$10:$B$11,0))="","Cell will autofill based on response",INDEX('L&amp;R'!$O$10:$O$11,MATCH($F64,'L&amp;R'!$B$10:$B$11,0))),"N/A")</f>
        <v/>
      </c>
    </row>
    <row r="65" ht="22" customHeight="1">
      <c r="A65">
        <f>F65&amp;"|"&amp;G65</f>
        <v/>
      </c>
      <c r="B65" s="12" t="inlineStr"/>
      <c r="C65" s="7" t="inlineStr"/>
      <c r="D65" s="7" t="inlineStr"/>
      <c r="E65" s="7" t="inlineStr"/>
      <c r="F65" s="7" t="inlineStr">
        <is>
          <t>TR2(d)</t>
        </is>
      </c>
      <c r="G65" s="7" t="inlineStr">
        <is>
          <t>Data owner confirms</t>
        </is>
      </c>
      <c r="H65" s="50">
        <f>IFERROR(IF(INDEX('Faculties'!$P$10:$P$18,MATCH($F65,'Faculties'!$B$10:$B$18,0))="","Cell will autofill based on response",INDEX('Faculties'!$P$10:$P$18,MATCH($F65,'Faculties'!$B$10:$B$18,0))),"N/A")</f>
        <v/>
      </c>
      <c r="I65" s="50">
        <f>IFERROR(IF(INDEX('Faculties'!$P$25:$P$34,MATCH($F65,'Faculties'!$B$25:$B$34,0))="","Cell will autofill based on response",INDEX('Faculties'!$P$25:$P$34,MATCH($F65,'Faculties'!$B$25:$B$34,0))),"N/A")</f>
        <v/>
      </c>
      <c r="J65" s="50">
        <f>IFERROR(IF(INDEX('Faculties'!$P$41:$P$50,MATCH($F65,'Faculties'!$B$41:$B$50,0))="","Cell will autofill based on response",INDEX('Faculties'!$P$41:$P$50,MATCH($F65,'Faculties'!$B$41:$B$50,0))),"N/A")</f>
        <v/>
      </c>
      <c r="K65" s="50">
        <f>IFERROR(IF(INDEX('Faculties'!$P$57:$P$66,MATCH($F65,'Faculties'!$B$57:$B$66,0))="","Cell will autofill based on response",INDEX('Faculties'!$P$57:$P$66,MATCH($F65,'Faculties'!$B$57:$B$66,0))),"N/A")</f>
        <v/>
      </c>
      <c r="L65" s="50">
        <f>IFERROR(IF(INDEX('Faculties'!$P$73:$P$82,MATCH($F65,'Faculties'!$B$73:$B$82,0))="","Cell will autofill based on response",INDEX('Faculties'!$P$73:$P$82,MATCH($F65,'Faculties'!$B$73:$B$82,0))),"N/A")</f>
        <v/>
      </c>
      <c r="M65" s="50">
        <f>IFERROR(IF(INDEX('Faculties'!$P$89:$P$98,MATCH($F65,'Faculties'!$B$89:$B$98,0))="","Cell will autofill based on response",INDEX('Faculties'!$P$89:$P$98,MATCH($F65,'Faculties'!$B$89:$B$98,0))),"N/A")</f>
        <v/>
      </c>
      <c r="N65" s="50">
        <f>IFERROR(IF(INDEX('Faculties'!$P$105:$P$114,MATCH($F65,'Faculties'!$B$105:$B$114,0))="","Cell will autofill based on response",INDEX('Faculties'!$P$105:$P$114,MATCH($F65,'Faculties'!$B$105:$B$114,0))),"N/A")</f>
        <v/>
      </c>
      <c r="O65" s="50">
        <f>IFERROR(IF(INDEX('Faculties'!$P$121:$P$130,MATCH($F65,'Faculties'!$B$121:$B$130,0))="","Cell will autofill based on response",INDEX('Faculties'!$P$121:$P$130,MATCH($F65,'Faculties'!$B$121:$B$130,0))),"N/A")</f>
        <v/>
      </c>
      <c r="P65" s="50">
        <f>IFERROR(IF(INDEX('Faculties'!$P$137:$P$146,MATCH($F65,'Faculties'!$B$137:$B$146,0))="","Cell will autofill based on response",INDEX('Faculties'!$P$137:$P$146,MATCH($F65,'Faculties'!$B$137:$B$146,0))),"N/A")</f>
        <v/>
      </c>
      <c r="Q65" s="50">
        <f>IFERROR(IF(INDEX('CI&amp;S'!$P$10:$P$15,MATCH($F65,'CI&amp;S'!$B$10:$B$15,0))="","Cell will autofill based on response",INDEX('CI&amp;S'!$P$10:$P$15,MATCH($F65,'CI&amp;S'!$B$10:$B$15,0))),"N/A")</f>
        <v/>
      </c>
      <c r="R65" s="50">
        <f>IFERROR(IF(INDEX('CI&amp;S'!$P$22:$P$36,MATCH($F65,'CI&amp;S'!$B$22:$B$36,0))="","Cell will autofill based on response",INDEX('CI&amp;S'!$P$22:$P$36,MATCH($F65,'CI&amp;S'!$B$22:$B$36,0))),"N/A")</f>
        <v/>
      </c>
      <c r="S65" s="50">
        <f>IFERROR(IF(INDEX('CFOG'!$P$10:$P$16,MATCH($F65,'CFOG'!$B$10:$B$16,0))="","Cell will autofill based on response",INDEX('CFOG'!$P$10:$P$16,MATCH($F65,'CFOG'!$B$10:$B$16,0))),"N/A")</f>
        <v/>
      </c>
      <c r="T65" s="50">
        <f>IFERROR(IF(INDEX('CFOG'!$P$23:$P$24,MATCH($F65,'CFOG'!$B$23:$B$24,0))="","Cell will autofill based on response",INDEX('CFOG'!$P$23:$P$24,MATCH($F65,'CFOG'!$B$23:$B$24,0))),"N/A")</f>
        <v/>
      </c>
      <c r="U65" s="50">
        <f>IFERROR(IF(INDEX('ESG'!$P$10:$P$17,MATCH($F65,'ESG'!$B$10:$B$17,0))="","Cell will autofill based on response",INDEX('ESG'!$P$10:$P$17,MATCH($F65,'ESG'!$B$10:$B$17,0))),"N/A")</f>
        <v/>
      </c>
      <c r="V65" s="50">
        <f>IFERROR(IF(INDEX('CIOG'!$P$10:$P$14,MATCH($F65,'CIOG'!$B$10:$B$14,0))="","Cell will autofill based on response",INDEX('CIOG'!$P$10:$P$14,MATCH($F65,'CIOG'!$B$10:$B$14,0))),"N/A")</f>
        <v/>
      </c>
      <c r="W65" s="50">
        <f>IFERROR(IF(INDEX('MRE'!$P$10:$P$18,MATCH($F65,'MRE'!$B$10:$B$18,0))="","Cell will autofill based on response",INDEX('MRE'!$P$10:$P$18,MATCH($F65,'MRE'!$B$10:$B$18,0))),"N/A")</f>
        <v/>
      </c>
      <c r="X65" s="50">
        <f>IFERROR(IF(INDEX('AC&amp;M'!$P$10:$P$14,MATCH($F65,'AC&amp;M'!$B$10:$B$14,0))="","Cell will autofill based on response",INDEX('AC&amp;M'!$P$10:$P$14,MATCH($F65,'AC&amp;M'!$B$10:$B$14,0))),"N/A")</f>
        <v/>
      </c>
      <c r="Y65" s="50">
        <f>IFERROR(IF(INDEX('GCE'!$P$10:$P$12,MATCH($F65,'GCE'!$B$10:$B$12,0))="","Cell will autofill based on response",INDEX('GCE'!$P$10:$P$12,MATCH($F65,'GCE'!$B$10:$B$12,0))),"N/A")</f>
        <v/>
      </c>
      <c r="Z65" s="50">
        <f>IFERROR(IF(INDEX('Education'!$P$10:$P$13,MATCH($F65,'Education'!$B$10:$B$13,0))="","Cell will autofill based on response",INDEX('Education'!$P$10:$P$13,MATCH($F65,'Education'!$B$10:$B$13,0))),"N/A")</f>
        <v/>
      </c>
      <c r="AA65" s="50">
        <f>IFERROR(IF(INDEX('SaSS'!$P$10:$P$12,MATCH($F65,'SaSS'!$B$10:$B$12,0))="","Cell will autofill based on response",INDEX('SaSS'!$P$10:$P$12,MATCH($F65,'SaSS'!$B$10:$B$12,0))),"N/A")</f>
        <v/>
      </c>
      <c r="AB65" s="50">
        <f>IFERROR(IF(INDEX('Indigenous'!$P$10:$P$11,MATCH($F65,'Indigenous'!$B$10:$B$11,0))="","Cell will autofill based on response",INDEX('Indigenous'!$P$10:$P$11,MATCH($F65,'Indigenous'!$B$10:$B$11,0))),"N/A")</f>
        <v/>
      </c>
      <c r="AC65" s="50">
        <f>IFERROR(IF(INDEX('L&amp;R'!$P$10:$P$11,MATCH($F65,'L&amp;R'!$B$10:$B$11,0))="","Cell will autofill based on response",INDEX('L&amp;R'!$P$10:$P$11,MATCH($F65,'L&amp;R'!$B$10:$B$11,0))),"N/A")</f>
        <v/>
      </c>
    </row>
    <row r="66" ht="122" customHeight="1">
      <c r="A66">
        <f>F66&amp;"|"&amp;G66</f>
        <v/>
      </c>
      <c r="B66" s="6" t="inlineStr">
        <is>
          <t>TR3(a)</t>
        </is>
      </c>
      <c r="C66" s="48" t="inlineStr">
        <is>
          <t>Transformational research</t>
        </is>
      </c>
      <c r="D66" s="48" t="inlineStr">
        <is>
          <t>Evidence that sustainability considerations are integrated into relevant research systems, planning processes, guidance, training, induction or support services</t>
        </is>
      </c>
      <c r="E66" s="48" t="inlineStr">
        <is>
          <t>Please describe how sustainability considerations are integrated into research systems, planning processes, guidance, training, induction or support services within your Faculty/Portfolio, could include examples of any new or improved processes.</t>
        </is>
      </c>
      <c r="F66" s="48" t="inlineStr">
        <is>
          <t>TR3(a)</t>
        </is>
      </c>
      <c r="G66" s="48" t="inlineStr">
        <is>
          <t>OPTION 1:  Target-level reporting</t>
        </is>
      </c>
      <c r="H66" s="50">
        <f>IFERROR(IF(INDEX('Faculties'!$L$10:$L$18,MATCH($F66,'Faculties'!$B$10:$B$18,0))="","Cell will autofill based on response",INDEX('Faculties'!$L$10:$L$18,MATCH($F66,'Faculties'!$B$10:$B$18,0))),"N/A")</f>
        <v/>
      </c>
      <c r="I66" s="50">
        <f>IFERROR(IF(INDEX('Faculties'!$L$25:$L$34,MATCH($F66,'Faculties'!$B$25:$B$34,0))="","Cell will autofill based on response",INDEX('Faculties'!$L$25:$L$34,MATCH($F66,'Faculties'!$B$25:$B$34,0))),"N/A")</f>
        <v/>
      </c>
      <c r="J66" s="50">
        <f>IFERROR(IF(INDEX('Faculties'!$L$41:$L$50,MATCH($F66,'Faculties'!$B$41:$B$50,0))="","Cell will autofill based on response",INDEX('Faculties'!$L$41:$L$50,MATCH($F66,'Faculties'!$B$41:$B$50,0))),"N/A")</f>
        <v/>
      </c>
      <c r="K66" s="50">
        <f>IFERROR(IF(INDEX('Faculties'!$L$57:$L$66,MATCH($F66,'Faculties'!$B$57:$B$66,0))="","Cell will autofill based on response",INDEX('Faculties'!$L$57:$L$66,MATCH($F66,'Faculties'!$B$57:$B$66,0))),"N/A")</f>
        <v/>
      </c>
      <c r="L66" s="50">
        <f>IFERROR(IF(INDEX('Faculties'!$L$73:$L$82,MATCH($F66,'Faculties'!$B$73:$B$82,0))="","Cell will autofill based on response",INDEX('Faculties'!$L$73:$L$82,MATCH($F66,'Faculties'!$B$73:$B$82,0))),"N/A")</f>
        <v/>
      </c>
      <c r="M66" s="50">
        <f>IFERROR(IF(INDEX('Faculties'!$L$89:$L$98,MATCH($F66,'Faculties'!$B$89:$B$98,0))="","Cell will autofill based on response",INDEX('Faculties'!$L$89:$L$98,MATCH($F66,'Faculties'!$B$89:$B$98,0))),"N/A")</f>
        <v/>
      </c>
      <c r="N66" s="50">
        <f>IFERROR(IF(INDEX('Faculties'!$L$105:$L$114,MATCH($F66,'Faculties'!$B$105:$B$114,0))="","Cell will autofill based on response",INDEX('Faculties'!$L$105:$L$114,MATCH($F66,'Faculties'!$B$105:$B$114,0))),"N/A")</f>
        <v/>
      </c>
      <c r="O66" s="50">
        <f>IFERROR(IF(INDEX('Faculties'!$L$121:$L$130,MATCH($F66,'Faculties'!$B$121:$B$130,0))="","Cell will autofill based on response",INDEX('Faculties'!$L$121:$L$130,MATCH($F66,'Faculties'!$B$121:$B$130,0))),"N/A")</f>
        <v/>
      </c>
      <c r="P66" s="50">
        <f>IFERROR(IF(INDEX('Faculties'!$L$137:$L$146,MATCH($F66,'Faculties'!$B$137:$B$146,0))="","Cell will autofill based on response",INDEX('Faculties'!$L$137:$L$146,MATCH($F66,'Faculties'!$B$137:$B$146,0))),"N/A")</f>
        <v/>
      </c>
      <c r="Q66" s="50">
        <f>IFERROR(IF(INDEX('CI&amp;S'!$L$10:$L$15,MATCH($F66,'CI&amp;S'!$B$10:$B$15,0))="","Cell will autofill based on response",INDEX('CI&amp;S'!$L$10:$L$15,MATCH($F66,'CI&amp;S'!$B$10:$B$15,0))),"N/A")</f>
        <v/>
      </c>
      <c r="R66" s="50">
        <f>IFERROR(IF(INDEX('CI&amp;S'!$L$22:$L$36,MATCH($F66,'CI&amp;S'!$B$22:$B$36,0))="","Cell will autofill based on response",INDEX('CI&amp;S'!$L$22:$L$36,MATCH($F66,'CI&amp;S'!$B$22:$B$36,0))),"N/A")</f>
        <v/>
      </c>
      <c r="S66" s="50">
        <f>IFERROR(IF(INDEX('CFOG'!$L$10:$L$16,MATCH($F66,'CFOG'!$B$10:$B$16,0))="","Cell will autofill based on response",INDEX('CFOG'!$L$10:$L$16,MATCH($F66,'CFOG'!$B$10:$B$16,0))),"N/A")</f>
        <v/>
      </c>
      <c r="T66" s="50">
        <f>IFERROR(IF(INDEX('CFOG'!$L$23:$L$24,MATCH($F66,'CFOG'!$B$23:$B$24,0))="","Cell will autofill based on response",INDEX('CFOG'!$L$23:$L$24,MATCH($F66,'CFOG'!$B$23:$B$24,0))),"N/A")</f>
        <v/>
      </c>
      <c r="U66" s="50">
        <f>IFERROR(IF(INDEX('ESG'!$L$10:$L$17,MATCH($F66,'ESG'!$B$10:$B$17,0))="","Cell will autofill based on response",INDEX('ESG'!$L$10:$L$17,MATCH($F66,'ESG'!$B$10:$B$17,0))),"N/A")</f>
        <v/>
      </c>
      <c r="V66" s="50">
        <f>IFERROR(IF(INDEX('CIOG'!$L$10:$L$14,MATCH($F66,'CIOG'!$B$10:$B$14,0))="","Cell will autofill based on response",INDEX('CIOG'!$L$10:$L$14,MATCH($F66,'CIOG'!$B$10:$B$14,0))),"N/A")</f>
        <v/>
      </c>
      <c r="W66" s="50">
        <f>IFERROR(IF(INDEX('MRE'!$L$10:$L$18,MATCH($F66,'MRE'!$B$10:$B$18,0))="","Cell will autofill based on response",INDEX('MRE'!$L$10:$L$18,MATCH($F66,'MRE'!$B$10:$B$18,0))),"N/A")</f>
        <v/>
      </c>
      <c r="X66" s="50">
        <f>IFERROR(IF(INDEX('AC&amp;M'!$L$10:$L$14,MATCH($F66,'AC&amp;M'!$B$10:$B$14,0))="","Cell will autofill based on response",INDEX('AC&amp;M'!$L$10:$L$14,MATCH($F66,'AC&amp;M'!$B$10:$B$14,0))),"N/A")</f>
        <v/>
      </c>
      <c r="Y66" s="50">
        <f>IFERROR(IF(INDEX('GCE'!$L$10:$L$12,MATCH($F66,'GCE'!$B$10:$B$12,0))="","Cell will autofill based on response",INDEX('GCE'!$L$10:$L$12,MATCH($F66,'GCE'!$B$10:$B$12,0))),"N/A")</f>
        <v/>
      </c>
      <c r="Z66" s="50">
        <f>IFERROR(IF(INDEX('Education'!$L$10:$L$13,MATCH($F66,'Education'!$B$10:$B$13,0))="","Cell will autofill based on response",INDEX('Education'!$L$10:$L$13,MATCH($F66,'Education'!$B$10:$B$13,0))),"N/A")</f>
        <v/>
      </c>
      <c r="AA66" s="50">
        <f>IFERROR(IF(INDEX('SaSS'!$L$10:$L$12,MATCH($F66,'SaSS'!$B$10:$B$12,0))="","Cell will autofill based on response",INDEX('SaSS'!$L$10:$L$12,MATCH($F66,'SaSS'!$B$10:$B$12,0))),"N/A")</f>
        <v/>
      </c>
      <c r="AB66" s="50">
        <f>IFERROR(IF(INDEX('Indigenous'!$L$10:$L$11,MATCH($F66,'Indigenous'!$B$10:$B$11,0))="","Cell will autofill based on response",INDEX('Indigenous'!$L$10:$L$11,MATCH($F66,'Indigenous'!$B$10:$B$11,0))),"N/A")</f>
        <v/>
      </c>
      <c r="AC66" s="50">
        <f>IFERROR(IF(INDEX('L&amp;R'!$L$10:$L$11,MATCH($F66,'L&amp;R'!$B$10:$B$11,0))="","Cell will autofill based on response",INDEX('L&amp;R'!$L$10:$L$11,MATCH($F66,'L&amp;R'!$B$10:$B$11,0))),"N/A")</f>
        <v/>
      </c>
      <c r="AE66" s="9">
        <f>SUMPRODUCT(--($H66:$AC66&lt;&gt;"N/A"))</f>
        <v/>
      </c>
      <c r="AF66" s="9">
        <f>SUMPRODUCT(--(((($H66:$AC66&lt;&gt;"N/A")*($H66:$AC66&lt;&gt;"Cell will autofill based on response"))+(($H67:$AC67&lt;&gt;"N/A")*($H67:$AC67&lt;&gt;"Cell will autofill based on response")))&gt;0))</f>
        <v/>
      </c>
      <c r="AG66" s="9">
        <f>AE66-AF66</f>
        <v/>
      </c>
      <c r="AH66" s="9">
        <f>COUNTIF($H70:$AC70,"Yes")</f>
        <v/>
      </c>
    </row>
    <row r="67" ht="39" customHeight="1">
      <c r="A67">
        <f>F67&amp;"|"&amp;G67</f>
        <v/>
      </c>
      <c r="B67" s="12" t="inlineStr"/>
      <c r="C67" s="7" t="inlineStr"/>
      <c r="D67" s="7" t="inlineStr"/>
      <c r="E67" s="7" t="inlineStr"/>
      <c r="F67" s="7" t="inlineStr">
        <is>
          <t>TR3(a)</t>
        </is>
      </c>
      <c r="G67" s="7" t="inlineStr">
        <is>
          <t>OPTION 2:  Indicator level reporting</t>
        </is>
      </c>
      <c r="H67" s="50">
        <f>IFERROR(IF(INDEX('Faculties'!$M$10:$M$18,MATCH($F67,'Faculties'!$B$10:$B$18,0))="","Cell will autofill based on response",INDEX('Faculties'!$M$10:$M$18,MATCH($F67,'Faculties'!$B$10:$B$18,0))),"N/A")</f>
        <v/>
      </c>
      <c r="I67" s="50">
        <f>IFERROR(IF(INDEX('Faculties'!$M$25:$M$34,MATCH($F67,'Faculties'!$B$25:$B$34,0))="","Cell will autofill based on response",INDEX('Faculties'!$M$25:$M$34,MATCH($F67,'Faculties'!$B$25:$B$34,0))),"N/A")</f>
        <v/>
      </c>
      <c r="J67" s="50">
        <f>IFERROR(IF(INDEX('Faculties'!$M$41:$M$50,MATCH($F67,'Faculties'!$B$41:$B$50,0))="","Cell will autofill based on response",INDEX('Faculties'!$M$41:$M$50,MATCH($F67,'Faculties'!$B$41:$B$50,0))),"N/A")</f>
        <v/>
      </c>
      <c r="K67" s="50">
        <f>IFERROR(IF(INDEX('Faculties'!$M$57:$M$66,MATCH($F67,'Faculties'!$B$57:$B$66,0))="","Cell will autofill based on response",INDEX('Faculties'!$M$57:$M$66,MATCH($F67,'Faculties'!$B$57:$B$66,0))),"N/A")</f>
        <v/>
      </c>
      <c r="L67" s="50">
        <f>IFERROR(IF(INDEX('Faculties'!$M$73:$M$82,MATCH($F67,'Faculties'!$B$73:$B$82,0))="","Cell will autofill based on response",INDEX('Faculties'!$M$73:$M$82,MATCH($F67,'Faculties'!$B$73:$B$82,0))),"N/A")</f>
        <v/>
      </c>
      <c r="M67" s="50">
        <f>IFERROR(IF(INDEX('Faculties'!$M$89:$M$98,MATCH($F67,'Faculties'!$B$89:$B$98,0))="","Cell will autofill based on response",INDEX('Faculties'!$M$89:$M$98,MATCH($F67,'Faculties'!$B$89:$B$98,0))),"N/A")</f>
        <v/>
      </c>
      <c r="N67" s="50">
        <f>IFERROR(IF(INDEX('Faculties'!$M$105:$M$114,MATCH($F67,'Faculties'!$B$105:$B$114,0))="","Cell will autofill based on response",INDEX('Faculties'!$M$105:$M$114,MATCH($F67,'Faculties'!$B$105:$B$114,0))),"N/A")</f>
        <v/>
      </c>
      <c r="O67" s="50">
        <f>IFERROR(IF(INDEX('Faculties'!$M$121:$M$130,MATCH($F67,'Faculties'!$B$121:$B$130,0))="","Cell will autofill based on response",INDEX('Faculties'!$M$121:$M$130,MATCH($F67,'Faculties'!$B$121:$B$130,0))),"N/A")</f>
        <v/>
      </c>
      <c r="P67" s="50">
        <f>IFERROR(IF(INDEX('Faculties'!$M$137:$M$146,MATCH($F67,'Faculties'!$B$137:$B$146,0))="","Cell will autofill based on response",INDEX('Faculties'!$M$137:$M$146,MATCH($F67,'Faculties'!$B$137:$B$146,0))),"N/A")</f>
        <v/>
      </c>
      <c r="Q67" s="50">
        <f>IFERROR(IF(INDEX('CI&amp;S'!$M$10:$M$15,MATCH($F67,'CI&amp;S'!$B$10:$B$15,0))="","Cell will autofill based on response",INDEX('CI&amp;S'!$M$10:$M$15,MATCH($F67,'CI&amp;S'!$B$10:$B$15,0))),"N/A")</f>
        <v/>
      </c>
      <c r="R67" s="50">
        <f>IFERROR(IF(INDEX('CI&amp;S'!$M$22:$M$36,MATCH($F67,'CI&amp;S'!$B$22:$B$36,0))="","Cell will autofill based on response",INDEX('CI&amp;S'!$M$22:$M$36,MATCH($F67,'CI&amp;S'!$B$22:$B$36,0))),"N/A")</f>
        <v/>
      </c>
      <c r="S67" s="50">
        <f>IFERROR(IF(INDEX('CFOG'!$M$10:$M$16,MATCH($F67,'CFOG'!$B$10:$B$16,0))="","Cell will autofill based on response",INDEX('CFOG'!$M$10:$M$16,MATCH($F67,'CFOG'!$B$10:$B$16,0))),"N/A")</f>
        <v/>
      </c>
      <c r="T67" s="50">
        <f>IFERROR(IF(INDEX('CFOG'!$M$23:$M$24,MATCH($F67,'CFOG'!$B$23:$B$24,0))="","Cell will autofill based on response",INDEX('CFOG'!$M$23:$M$24,MATCH($F67,'CFOG'!$B$23:$B$24,0))),"N/A")</f>
        <v/>
      </c>
      <c r="U67" s="50">
        <f>IFERROR(IF(INDEX('ESG'!$M$10:$M$17,MATCH($F67,'ESG'!$B$10:$B$17,0))="","Cell will autofill based on response",INDEX('ESG'!$M$10:$M$17,MATCH($F67,'ESG'!$B$10:$B$17,0))),"N/A")</f>
        <v/>
      </c>
      <c r="V67" s="50">
        <f>IFERROR(IF(INDEX('CIOG'!$M$10:$M$14,MATCH($F67,'CIOG'!$B$10:$B$14,0))="","Cell will autofill based on response",INDEX('CIOG'!$M$10:$M$14,MATCH($F67,'CIOG'!$B$10:$B$14,0))),"N/A")</f>
        <v/>
      </c>
      <c r="W67" s="50">
        <f>IFERROR(IF(INDEX('MRE'!$M$10:$M$18,MATCH($F67,'MRE'!$B$10:$B$18,0))="","Cell will autofill based on response",INDEX('MRE'!$M$10:$M$18,MATCH($F67,'MRE'!$B$10:$B$18,0))),"N/A")</f>
        <v/>
      </c>
      <c r="X67" s="50">
        <f>IFERROR(IF(INDEX('AC&amp;M'!$M$10:$M$14,MATCH($F67,'AC&amp;M'!$B$10:$B$14,0))="","Cell will autofill based on response",INDEX('AC&amp;M'!$M$10:$M$14,MATCH($F67,'AC&amp;M'!$B$10:$B$14,0))),"N/A")</f>
        <v/>
      </c>
      <c r="Y67" s="50">
        <f>IFERROR(IF(INDEX('GCE'!$M$10:$M$12,MATCH($F67,'GCE'!$B$10:$B$12,0))="","Cell will autofill based on response",INDEX('GCE'!$M$10:$M$12,MATCH($F67,'GCE'!$B$10:$B$12,0))),"N/A")</f>
        <v/>
      </c>
      <c r="Z67" s="50">
        <f>IFERROR(IF(INDEX('Education'!$M$10:$M$13,MATCH($F67,'Education'!$B$10:$B$13,0))="","Cell will autofill based on response",INDEX('Education'!$M$10:$M$13,MATCH($F67,'Education'!$B$10:$B$13,0))),"N/A")</f>
        <v/>
      </c>
      <c r="AA67" s="50">
        <f>IFERROR(IF(INDEX('SaSS'!$M$10:$M$12,MATCH($F67,'SaSS'!$B$10:$B$12,0))="","Cell will autofill based on response",INDEX('SaSS'!$M$10:$M$12,MATCH($F67,'SaSS'!$B$10:$B$12,0))),"N/A")</f>
        <v/>
      </c>
      <c r="AB67" s="50">
        <f>IFERROR(IF(INDEX('Indigenous'!$M$10:$M$11,MATCH($F67,'Indigenous'!$B$10:$B$11,0))="","Cell will autofill based on response",INDEX('Indigenous'!$M$10:$M$11,MATCH($F67,'Indigenous'!$B$10:$B$11,0))),"N/A")</f>
        <v/>
      </c>
      <c r="AC67" s="50">
        <f>IFERROR(IF(INDEX('L&amp;R'!$M$10:$M$11,MATCH($F67,'L&amp;R'!$B$10:$B$11,0))="","Cell will autofill based on response",INDEX('L&amp;R'!$M$10:$M$11,MATCH($F67,'L&amp;R'!$B$10:$B$11,0))),"N/A")</f>
        <v/>
      </c>
    </row>
    <row r="68" ht="22" customHeight="1">
      <c r="A68">
        <f>F68&amp;"|"&amp;G68</f>
        <v/>
      </c>
      <c r="B68" s="12" t="inlineStr"/>
      <c r="C68" s="7" t="inlineStr"/>
      <c r="D68" s="7" t="inlineStr"/>
      <c r="E68" s="7" t="inlineStr"/>
      <c r="F68" s="7" t="inlineStr">
        <is>
          <t>TR3(a)</t>
        </is>
      </c>
      <c r="G68" s="7" t="inlineStr">
        <is>
          <t>Supporting information/comments</t>
        </is>
      </c>
      <c r="H68" s="50">
        <f>IFERROR(IF(INDEX('Faculties'!$N$10:$N$18,MATCH($F68,'Faculties'!$B$10:$B$18,0))="","Cell will autofill based on response",INDEX('Faculties'!$N$10:$N$18,MATCH($F68,'Faculties'!$B$10:$B$18,0))),"N/A")</f>
        <v/>
      </c>
      <c r="I68" s="50">
        <f>IFERROR(IF(INDEX('Faculties'!$N$25:$N$34,MATCH($F68,'Faculties'!$B$25:$B$34,0))="","Cell will autofill based on response",INDEX('Faculties'!$N$25:$N$34,MATCH($F68,'Faculties'!$B$25:$B$34,0))),"N/A")</f>
        <v/>
      </c>
      <c r="J68" s="50">
        <f>IFERROR(IF(INDEX('Faculties'!$N$41:$N$50,MATCH($F68,'Faculties'!$B$41:$B$50,0))="","Cell will autofill based on response",INDEX('Faculties'!$N$41:$N$50,MATCH($F68,'Faculties'!$B$41:$B$50,0))),"N/A")</f>
        <v/>
      </c>
      <c r="K68" s="50">
        <f>IFERROR(IF(INDEX('Faculties'!$N$57:$N$66,MATCH($F68,'Faculties'!$B$57:$B$66,0))="","Cell will autofill based on response",INDEX('Faculties'!$N$57:$N$66,MATCH($F68,'Faculties'!$B$57:$B$66,0))),"N/A")</f>
        <v/>
      </c>
      <c r="L68" s="50">
        <f>IFERROR(IF(INDEX('Faculties'!$N$73:$N$82,MATCH($F68,'Faculties'!$B$73:$B$82,0))="","Cell will autofill based on response",INDEX('Faculties'!$N$73:$N$82,MATCH($F68,'Faculties'!$B$73:$B$82,0))),"N/A")</f>
        <v/>
      </c>
      <c r="M68" s="50">
        <f>IFERROR(IF(INDEX('Faculties'!$N$89:$N$98,MATCH($F68,'Faculties'!$B$89:$B$98,0))="","Cell will autofill based on response",INDEX('Faculties'!$N$89:$N$98,MATCH($F68,'Faculties'!$B$89:$B$98,0))),"N/A")</f>
        <v/>
      </c>
      <c r="N68" s="50">
        <f>IFERROR(IF(INDEX('Faculties'!$N$105:$N$114,MATCH($F68,'Faculties'!$B$105:$B$114,0))="","Cell will autofill based on response",INDEX('Faculties'!$N$105:$N$114,MATCH($F68,'Faculties'!$B$105:$B$114,0))),"N/A")</f>
        <v/>
      </c>
      <c r="O68" s="50">
        <f>IFERROR(IF(INDEX('Faculties'!$N$121:$N$130,MATCH($F68,'Faculties'!$B$121:$B$130,0))="","Cell will autofill based on response",INDEX('Faculties'!$N$121:$N$130,MATCH($F68,'Faculties'!$B$121:$B$130,0))),"N/A")</f>
        <v/>
      </c>
      <c r="P68" s="50">
        <f>IFERROR(IF(INDEX('Faculties'!$N$137:$N$146,MATCH($F68,'Faculties'!$B$137:$B$146,0))="","Cell will autofill based on response",INDEX('Faculties'!$N$137:$N$146,MATCH($F68,'Faculties'!$B$137:$B$146,0))),"N/A")</f>
        <v/>
      </c>
      <c r="Q68" s="50">
        <f>IFERROR(IF(INDEX('CI&amp;S'!$N$10:$N$15,MATCH($F68,'CI&amp;S'!$B$10:$B$15,0))="","Cell will autofill based on response",INDEX('CI&amp;S'!$N$10:$N$15,MATCH($F68,'CI&amp;S'!$B$10:$B$15,0))),"N/A")</f>
        <v/>
      </c>
      <c r="R68" s="50">
        <f>IFERROR(IF(INDEX('CI&amp;S'!$N$22:$N$36,MATCH($F68,'CI&amp;S'!$B$22:$B$36,0))="","Cell will autofill based on response",INDEX('CI&amp;S'!$N$22:$N$36,MATCH($F68,'CI&amp;S'!$B$22:$B$36,0))),"N/A")</f>
        <v/>
      </c>
      <c r="S68" s="50">
        <f>IFERROR(IF(INDEX('CFOG'!$N$10:$N$16,MATCH($F68,'CFOG'!$B$10:$B$16,0))="","Cell will autofill based on response",INDEX('CFOG'!$N$10:$N$16,MATCH($F68,'CFOG'!$B$10:$B$16,0))),"N/A")</f>
        <v/>
      </c>
      <c r="T68" s="50">
        <f>IFERROR(IF(INDEX('CFOG'!$N$23:$N$24,MATCH($F68,'CFOG'!$B$23:$B$24,0))="","Cell will autofill based on response",INDEX('CFOG'!$N$23:$N$24,MATCH($F68,'CFOG'!$B$23:$B$24,0))),"N/A")</f>
        <v/>
      </c>
      <c r="U68" s="50">
        <f>IFERROR(IF(INDEX('ESG'!$N$10:$N$17,MATCH($F68,'ESG'!$B$10:$B$17,0))="","Cell will autofill based on response",INDEX('ESG'!$N$10:$N$17,MATCH($F68,'ESG'!$B$10:$B$17,0))),"N/A")</f>
        <v/>
      </c>
      <c r="V68" s="50">
        <f>IFERROR(IF(INDEX('CIOG'!$N$10:$N$14,MATCH($F68,'CIOG'!$B$10:$B$14,0))="","Cell will autofill based on response",INDEX('CIOG'!$N$10:$N$14,MATCH($F68,'CIOG'!$B$10:$B$14,0))),"N/A")</f>
        <v/>
      </c>
      <c r="W68" s="50">
        <f>IFERROR(IF(INDEX('MRE'!$N$10:$N$18,MATCH($F68,'MRE'!$B$10:$B$18,0))="","Cell will autofill based on response",INDEX('MRE'!$N$10:$N$18,MATCH($F68,'MRE'!$B$10:$B$18,0))),"N/A")</f>
        <v/>
      </c>
      <c r="X68" s="50">
        <f>IFERROR(IF(INDEX('AC&amp;M'!$N$10:$N$14,MATCH($F68,'AC&amp;M'!$B$10:$B$14,0))="","Cell will autofill based on response",INDEX('AC&amp;M'!$N$10:$N$14,MATCH($F68,'AC&amp;M'!$B$10:$B$14,0))),"N/A")</f>
        <v/>
      </c>
      <c r="Y68" s="50">
        <f>IFERROR(IF(INDEX('GCE'!$N$10:$N$12,MATCH($F68,'GCE'!$B$10:$B$12,0))="","Cell will autofill based on response",INDEX('GCE'!$N$10:$N$12,MATCH($F68,'GCE'!$B$10:$B$12,0))),"N/A")</f>
        <v/>
      </c>
      <c r="Z68" s="50">
        <f>IFERROR(IF(INDEX('Education'!$N$10:$N$13,MATCH($F68,'Education'!$B$10:$B$13,0))="","Cell will autofill based on response",INDEX('Education'!$N$10:$N$13,MATCH($F68,'Education'!$B$10:$B$13,0))),"N/A")</f>
        <v/>
      </c>
      <c r="AA68" s="50">
        <f>IFERROR(IF(INDEX('SaSS'!$N$10:$N$12,MATCH($F68,'SaSS'!$B$10:$B$12,0))="","Cell will autofill based on response",INDEX('SaSS'!$N$10:$N$12,MATCH($F68,'SaSS'!$B$10:$B$12,0))),"N/A")</f>
        <v/>
      </c>
      <c r="AB68" s="50">
        <f>IFERROR(IF(INDEX('Indigenous'!$N$10:$N$11,MATCH($F68,'Indigenous'!$B$10:$B$11,0))="","Cell will autofill based on response",INDEX('Indigenous'!$N$10:$N$11,MATCH($F68,'Indigenous'!$B$10:$B$11,0))),"N/A")</f>
        <v/>
      </c>
      <c r="AC68" s="50">
        <f>IFERROR(IF(INDEX('L&amp;R'!$N$10:$N$11,MATCH($F68,'L&amp;R'!$B$10:$B$11,0))="","Cell will autofill based on response",INDEX('L&amp;R'!$N$10:$N$11,MATCH($F68,'L&amp;R'!$B$10:$B$11,0))),"N/A")</f>
        <v/>
      </c>
    </row>
    <row r="69" ht="22" customHeight="1">
      <c r="A69">
        <f>F69&amp;"|"&amp;G69</f>
        <v/>
      </c>
      <c r="B69" s="12" t="inlineStr"/>
      <c r="C69" s="7" t="inlineStr"/>
      <c r="D69" s="7" t="inlineStr"/>
      <c r="E69" s="7" t="inlineStr"/>
      <c r="F69" s="7" t="inlineStr">
        <is>
          <t>TR3(a)</t>
        </is>
      </c>
      <c r="G69" s="7" t="inlineStr">
        <is>
          <t>Data source and limitations</t>
        </is>
      </c>
      <c r="H69" s="50">
        <f>IFERROR(IF(INDEX('Faculties'!$O$10:$O$18,MATCH($F69,'Faculties'!$B$10:$B$18,0))="","Cell will autofill based on response",INDEX('Faculties'!$O$10:$O$18,MATCH($F69,'Faculties'!$B$10:$B$18,0))),"N/A")</f>
        <v/>
      </c>
      <c r="I69" s="50">
        <f>IFERROR(IF(INDEX('Faculties'!$O$25:$O$34,MATCH($F69,'Faculties'!$B$25:$B$34,0))="","Cell will autofill based on response",INDEX('Faculties'!$O$25:$O$34,MATCH($F69,'Faculties'!$B$25:$B$34,0))),"N/A")</f>
        <v/>
      </c>
      <c r="J69" s="50">
        <f>IFERROR(IF(INDEX('Faculties'!$O$41:$O$50,MATCH($F69,'Faculties'!$B$41:$B$50,0))="","Cell will autofill based on response",INDEX('Faculties'!$O$41:$O$50,MATCH($F69,'Faculties'!$B$41:$B$50,0))),"N/A")</f>
        <v/>
      </c>
      <c r="K69" s="50">
        <f>IFERROR(IF(INDEX('Faculties'!$O$57:$O$66,MATCH($F69,'Faculties'!$B$57:$B$66,0))="","Cell will autofill based on response",INDEX('Faculties'!$O$57:$O$66,MATCH($F69,'Faculties'!$B$57:$B$66,0))),"N/A")</f>
        <v/>
      </c>
      <c r="L69" s="50">
        <f>IFERROR(IF(INDEX('Faculties'!$O$73:$O$82,MATCH($F69,'Faculties'!$B$73:$B$82,0))="","Cell will autofill based on response",INDEX('Faculties'!$O$73:$O$82,MATCH($F69,'Faculties'!$B$73:$B$82,0))),"N/A")</f>
        <v/>
      </c>
      <c r="M69" s="50">
        <f>IFERROR(IF(INDEX('Faculties'!$O$89:$O$98,MATCH($F69,'Faculties'!$B$89:$B$98,0))="","Cell will autofill based on response",INDEX('Faculties'!$O$89:$O$98,MATCH($F69,'Faculties'!$B$89:$B$98,0))),"N/A")</f>
        <v/>
      </c>
      <c r="N69" s="50">
        <f>IFERROR(IF(INDEX('Faculties'!$O$105:$O$114,MATCH($F69,'Faculties'!$B$105:$B$114,0))="","Cell will autofill based on response",INDEX('Faculties'!$O$105:$O$114,MATCH($F69,'Faculties'!$B$105:$B$114,0))),"N/A")</f>
        <v/>
      </c>
      <c r="O69" s="50">
        <f>IFERROR(IF(INDEX('Faculties'!$O$121:$O$130,MATCH($F69,'Faculties'!$B$121:$B$130,0))="","Cell will autofill based on response",INDEX('Faculties'!$O$121:$O$130,MATCH($F69,'Faculties'!$B$121:$B$130,0))),"N/A")</f>
        <v/>
      </c>
      <c r="P69" s="50">
        <f>IFERROR(IF(INDEX('Faculties'!$O$137:$O$146,MATCH($F69,'Faculties'!$B$137:$B$146,0))="","Cell will autofill based on response",INDEX('Faculties'!$O$137:$O$146,MATCH($F69,'Faculties'!$B$137:$B$146,0))),"N/A")</f>
        <v/>
      </c>
      <c r="Q69" s="50">
        <f>IFERROR(IF(INDEX('CI&amp;S'!$O$10:$O$15,MATCH($F69,'CI&amp;S'!$B$10:$B$15,0))="","Cell will autofill based on response",INDEX('CI&amp;S'!$O$10:$O$15,MATCH($F69,'CI&amp;S'!$B$10:$B$15,0))),"N/A")</f>
        <v/>
      </c>
      <c r="R69" s="50">
        <f>IFERROR(IF(INDEX('CI&amp;S'!$O$22:$O$36,MATCH($F69,'CI&amp;S'!$B$22:$B$36,0))="","Cell will autofill based on response",INDEX('CI&amp;S'!$O$22:$O$36,MATCH($F69,'CI&amp;S'!$B$22:$B$36,0))),"N/A")</f>
        <v/>
      </c>
      <c r="S69" s="50">
        <f>IFERROR(IF(INDEX('CFOG'!$O$10:$O$16,MATCH($F69,'CFOG'!$B$10:$B$16,0))="","Cell will autofill based on response",INDEX('CFOG'!$O$10:$O$16,MATCH($F69,'CFOG'!$B$10:$B$16,0))),"N/A")</f>
        <v/>
      </c>
      <c r="T69" s="50">
        <f>IFERROR(IF(INDEX('CFOG'!$O$23:$O$24,MATCH($F69,'CFOG'!$B$23:$B$24,0))="","Cell will autofill based on response",INDEX('CFOG'!$O$23:$O$24,MATCH($F69,'CFOG'!$B$23:$B$24,0))),"N/A")</f>
        <v/>
      </c>
      <c r="U69" s="50">
        <f>IFERROR(IF(INDEX('ESG'!$O$10:$O$17,MATCH($F69,'ESG'!$B$10:$B$17,0))="","Cell will autofill based on response",INDEX('ESG'!$O$10:$O$17,MATCH($F69,'ESG'!$B$10:$B$17,0))),"N/A")</f>
        <v/>
      </c>
      <c r="V69" s="50">
        <f>IFERROR(IF(INDEX('CIOG'!$O$10:$O$14,MATCH($F69,'CIOG'!$B$10:$B$14,0))="","Cell will autofill based on response",INDEX('CIOG'!$O$10:$O$14,MATCH($F69,'CIOG'!$B$10:$B$14,0))),"N/A")</f>
        <v/>
      </c>
      <c r="W69" s="50">
        <f>IFERROR(IF(INDEX('MRE'!$O$10:$O$18,MATCH($F69,'MRE'!$B$10:$B$18,0))="","Cell will autofill based on response",INDEX('MRE'!$O$10:$O$18,MATCH($F69,'MRE'!$B$10:$B$18,0))),"N/A")</f>
        <v/>
      </c>
      <c r="X69" s="50">
        <f>IFERROR(IF(INDEX('AC&amp;M'!$O$10:$O$14,MATCH($F69,'AC&amp;M'!$B$10:$B$14,0))="","Cell will autofill based on response",INDEX('AC&amp;M'!$O$10:$O$14,MATCH($F69,'AC&amp;M'!$B$10:$B$14,0))),"N/A")</f>
        <v/>
      </c>
      <c r="Y69" s="50">
        <f>IFERROR(IF(INDEX('GCE'!$O$10:$O$12,MATCH($F69,'GCE'!$B$10:$B$12,0))="","Cell will autofill based on response",INDEX('GCE'!$O$10:$O$12,MATCH($F69,'GCE'!$B$10:$B$12,0))),"N/A")</f>
        <v/>
      </c>
      <c r="Z69" s="50">
        <f>IFERROR(IF(INDEX('Education'!$O$10:$O$13,MATCH($F69,'Education'!$B$10:$B$13,0))="","Cell will autofill based on response",INDEX('Education'!$O$10:$O$13,MATCH($F69,'Education'!$B$10:$B$13,0))),"N/A")</f>
        <v/>
      </c>
      <c r="AA69" s="50">
        <f>IFERROR(IF(INDEX('SaSS'!$O$10:$O$12,MATCH($F69,'SaSS'!$B$10:$B$12,0))="","Cell will autofill based on response",INDEX('SaSS'!$O$10:$O$12,MATCH($F69,'SaSS'!$B$10:$B$12,0))),"N/A")</f>
        <v/>
      </c>
      <c r="AB69" s="50">
        <f>IFERROR(IF(INDEX('Indigenous'!$O$10:$O$11,MATCH($F69,'Indigenous'!$B$10:$B$11,0))="","Cell will autofill based on response",INDEX('Indigenous'!$O$10:$O$11,MATCH($F69,'Indigenous'!$B$10:$B$11,0))),"N/A")</f>
        <v/>
      </c>
      <c r="AC69" s="50">
        <f>IFERROR(IF(INDEX('L&amp;R'!$O$10:$O$11,MATCH($F69,'L&amp;R'!$B$10:$B$11,0))="","Cell will autofill based on response",INDEX('L&amp;R'!$O$10:$O$11,MATCH($F69,'L&amp;R'!$B$10:$B$11,0))),"N/A")</f>
        <v/>
      </c>
    </row>
    <row r="70" ht="22" customHeight="1">
      <c r="A70">
        <f>F70&amp;"|"&amp;G70</f>
        <v/>
      </c>
      <c r="B70" s="12" t="inlineStr"/>
      <c r="C70" s="7" t="inlineStr"/>
      <c r="D70" s="7" t="inlineStr"/>
      <c r="E70" s="7" t="inlineStr"/>
      <c r="F70" s="7" t="inlineStr">
        <is>
          <t>TR3(a)</t>
        </is>
      </c>
      <c r="G70" s="7" t="inlineStr">
        <is>
          <t>Data owner confirms</t>
        </is>
      </c>
      <c r="H70" s="50">
        <f>IFERROR(IF(INDEX('Faculties'!$P$10:$P$18,MATCH($F70,'Faculties'!$B$10:$B$18,0))="","Cell will autofill based on response",INDEX('Faculties'!$P$10:$P$18,MATCH($F70,'Faculties'!$B$10:$B$18,0))),"N/A")</f>
        <v/>
      </c>
      <c r="I70" s="50">
        <f>IFERROR(IF(INDEX('Faculties'!$P$25:$P$34,MATCH($F70,'Faculties'!$B$25:$B$34,0))="","Cell will autofill based on response",INDEX('Faculties'!$P$25:$P$34,MATCH($F70,'Faculties'!$B$25:$B$34,0))),"N/A")</f>
        <v/>
      </c>
      <c r="J70" s="50">
        <f>IFERROR(IF(INDEX('Faculties'!$P$41:$P$50,MATCH($F70,'Faculties'!$B$41:$B$50,0))="","Cell will autofill based on response",INDEX('Faculties'!$P$41:$P$50,MATCH($F70,'Faculties'!$B$41:$B$50,0))),"N/A")</f>
        <v/>
      </c>
      <c r="K70" s="50">
        <f>IFERROR(IF(INDEX('Faculties'!$P$57:$P$66,MATCH($F70,'Faculties'!$B$57:$B$66,0))="","Cell will autofill based on response",INDEX('Faculties'!$P$57:$P$66,MATCH($F70,'Faculties'!$B$57:$B$66,0))),"N/A")</f>
        <v/>
      </c>
      <c r="L70" s="50">
        <f>IFERROR(IF(INDEX('Faculties'!$P$73:$P$82,MATCH($F70,'Faculties'!$B$73:$B$82,0))="","Cell will autofill based on response",INDEX('Faculties'!$P$73:$P$82,MATCH($F70,'Faculties'!$B$73:$B$82,0))),"N/A")</f>
        <v/>
      </c>
      <c r="M70" s="50">
        <f>IFERROR(IF(INDEX('Faculties'!$P$89:$P$98,MATCH($F70,'Faculties'!$B$89:$B$98,0))="","Cell will autofill based on response",INDEX('Faculties'!$P$89:$P$98,MATCH($F70,'Faculties'!$B$89:$B$98,0))),"N/A")</f>
        <v/>
      </c>
      <c r="N70" s="50">
        <f>IFERROR(IF(INDEX('Faculties'!$P$105:$P$114,MATCH($F70,'Faculties'!$B$105:$B$114,0))="","Cell will autofill based on response",INDEX('Faculties'!$P$105:$P$114,MATCH($F70,'Faculties'!$B$105:$B$114,0))),"N/A")</f>
        <v/>
      </c>
      <c r="O70" s="50">
        <f>IFERROR(IF(INDEX('Faculties'!$P$121:$P$130,MATCH($F70,'Faculties'!$B$121:$B$130,0))="","Cell will autofill based on response",INDEX('Faculties'!$P$121:$P$130,MATCH($F70,'Faculties'!$B$121:$B$130,0))),"N/A")</f>
        <v/>
      </c>
      <c r="P70" s="50">
        <f>IFERROR(IF(INDEX('Faculties'!$P$137:$P$146,MATCH($F70,'Faculties'!$B$137:$B$146,0))="","Cell will autofill based on response",INDEX('Faculties'!$P$137:$P$146,MATCH($F70,'Faculties'!$B$137:$B$146,0))),"N/A")</f>
        <v/>
      </c>
      <c r="Q70" s="50">
        <f>IFERROR(IF(INDEX('CI&amp;S'!$P$10:$P$15,MATCH($F70,'CI&amp;S'!$B$10:$B$15,0))="","Cell will autofill based on response",INDEX('CI&amp;S'!$P$10:$P$15,MATCH($F70,'CI&amp;S'!$B$10:$B$15,0))),"N/A")</f>
        <v/>
      </c>
      <c r="R70" s="50">
        <f>IFERROR(IF(INDEX('CI&amp;S'!$P$22:$P$36,MATCH($F70,'CI&amp;S'!$B$22:$B$36,0))="","Cell will autofill based on response",INDEX('CI&amp;S'!$P$22:$P$36,MATCH($F70,'CI&amp;S'!$B$22:$B$36,0))),"N/A")</f>
        <v/>
      </c>
      <c r="S70" s="50">
        <f>IFERROR(IF(INDEX('CFOG'!$P$10:$P$16,MATCH($F70,'CFOG'!$B$10:$B$16,0))="","Cell will autofill based on response",INDEX('CFOG'!$P$10:$P$16,MATCH($F70,'CFOG'!$B$10:$B$16,0))),"N/A")</f>
        <v/>
      </c>
      <c r="T70" s="50">
        <f>IFERROR(IF(INDEX('CFOG'!$P$23:$P$24,MATCH($F70,'CFOG'!$B$23:$B$24,0))="","Cell will autofill based on response",INDEX('CFOG'!$P$23:$P$24,MATCH($F70,'CFOG'!$B$23:$B$24,0))),"N/A")</f>
        <v/>
      </c>
      <c r="U70" s="50">
        <f>IFERROR(IF(INDEX('ESG'!$P$10:$P$17,MATCH($F70,'ESG'!$B$10:$B$17,0))="","Cell will autofill based on response",INDEX('ESG'!$P$10:$P$17,MATCH($F70,'ESG'!$B$10:$B$17,0))),"N/A")</f>
        <v/>
      </c>
      <c r="V70" s="50">
        <f>IFERROR(IF(INDEX('CIOG'!$P$10:$P$14,MATCH($F70,'CIOG'!$B$10:$B$14,0))="","Cell will autofill based on response",INDEX('CIOG'!$P$10:$P$14,MATCH($F70,'CIOG'!$B$10:$B$14,0))),"N/A")</f>
        <v/>
      </c>
      <c r="W70" s="50">
        <f>IFERROR(IF(INDEX('MRE'!$P$10:$P$18,MATCH($F70,'MRE'!$B$10:$B$18,0))="","Cell will autofill based on response",INDEX('MRE'!$P$10:$P$18,MATCH($F70,'MRE'!$B$10:$B$18,0))),"N/A")</f>
        <v/>
      </c>
      <c r="X70" s="50">
        <f>IFERROR(IF(INDEX('AC&amp;M'!$P$10:$P$14,MATCH($F70,'AC&amp;M'!$B$10:$B$14,0))="","Cell will autofill based on response",INDEX('AC&amp;M'!$P$10:$P$14,MATCH($F70,'AC&amp;M'!$B$10:$B$14,0))),"N/A")</f>
        <v/>
      </c>
      <c r="Y70" s="50">
        <f>IFERROR(IF(INDEX('GCE'!$P$10:$P$12,MATCH($F70,'GCE'!$B$10:$B$12,0))="","Cell will autofill based on response",INDEX('GCE'!$P$10:$P$12,MATCH($F70,'GCE'!$B$10:$B$12,0))),"N/A")</f>
        <v/>
      </c>
      <c r="Z70" s="50">
        <f>IFERROR(IF(INDEX('Education'!$P$10:$P$13,MATCH($F70,'Education'!$B$10:$B$13,0))="","Cell will autofill based on response",INDEX('Education'!$P$10:$P$13,MATCH($F70,'Education'!$B$10:$B$13,0))),"N/A")</f>
        <v/>
      </c>
      <c r="AA70" s="50">
        <f>IFERROR(IF(INDEX('SaSS'!$P$10:$P$12,MATCH($F70,'SaSS'!$B$10:$B$12,0))="","Cell will autofill based on response",INDEX('SaSS'!$P$10:$P$12,MATCH($F70,'SaSS'!$B$10:$B$12,0))),"N/A")</f>
        <v/>
      </c>
      <c r="AB70" s="50">
        <f>IFERROR(IF(INDEX('Indigenous'!$P$10:$P$11,MATCH($F70,'Indigenous'!$B$10:$B$11,0))="","Cell will autofill based on response",INDEX('Indigenous'!$P$10:$P$11,MATCH($F70,'Indigenous'!$B$10:$B$11,0))),"N/A")</f>
        <v/>
      </c>
      <c r="AC70" s="50">
        <f>IFERROR(IF(INDEX('L&amp;R'!$P$10:$P$11,MATCH($F70,'L&amp;R'!$B$10:$B$11,0))="","Cell will autofill based on response",INDEX('L&amp;R'!$P$10:$P$11,MATCH($F70,'L&amp;R'!$B$10:$B$11,0))),"N/A")</f>
        <v/>
      </c>
    </row>
    <row r="71" ht="154" customHeight="1">
      <c r="A71">
        <f>F71&amp;"|"&amp;G71</f>
        <v/>
      </c>
      <c r="B71" s="6" t="inlineStr">
        <is>
          <t>TR3(b)</t>
        </is>
      </c>
      <c r="C71" s="48" t="inlineStr">
        <is>
          <t>Transformational research</t>
        </is>
      </c>
      <c r="D71" s="48" t="inlineStr">
        <is>
          <t>Demonstrated examples of more sustainable research practices in laboratories, fieldwork, procurement, travel or infrastructure use</t>
        </is>
      </c>
      <c r="E71" s="48"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F71" s="48" t="inlineStr">
        <is>
          <t>TR3(b)</t>
        </is>
      </c>
      <c r="G71" s="48" t="inlineStr">
        <is>
          <t>OPTION 1:  Target-level reporting</t>
        </is>
      </c>
      <c r="H71" s="50">
        <f>IFERROR(IF(INDEX('Faculties'!$L$10:$L$18,MATCH($F71,'Faculties'!$B$10:$B$18,0))="","Cell will autofill based on response",INDEX('Faculties'!$L$10:$L$18,MATCH($F71,'Faculties'!$B$10:$B$18,0))),"N/A")</f>
        <v/>
      </c>
      <c r="I71" s="50">
        <f>IFERROR(IF(INDEX('Faculties'!$L$25:$L$34,MATCH($F71,'Faculties'!$B$25:$B$34,0))="","Cell will autofill based on response",INDEX('Faculties'!$L$25:$L$34,MATCH($F71,'Faculties'!$B$25:$B$34,0))),"N/A")</f>
        <v/>
      </c>
      <c r="J71" s="50">
        <f>IFERROR(IF(INDEX('Faculties'!$L$41:$L$50,MATCH($F71,'Faculties'!$B$41:$B$50,0))="","Cell will autofill based on response",INDEX('Faculties'!$L$41:$L$50,MATCH($F71,'Faculties'!$B$41:$B$50,0))),"N/A")</f>
        <v/>
      </c>
      <c r="K71" s="50">
        <f>IFERROR(IF(INDEX('Faculties'!$L$57:$L$66,MATCH($F71,'Faculties'!$B$57:$B$66,0))="","Cell will autofill based on response",INDEX('Faculties'!$L$57:$L$66,MATCH($F71,'Faculties'!$B$57:$B$66,0))),"N/A")</f>
        <v/>
      </c>
      <c r="L71" s="50">
        <f>IFERROR(IF(INDEX('Faculties'!$L$73:$L$82,MATCH($F71,'Faculties'!$B$73:$B$82,0))="","Cell will autofill based on response",INDEX('Faculties'!$L$73:$L$82,MATCH($F71,'Faculties'!$B$73:$B$82,0))),"N/A")</f>
        <v/>
      </c>
      <c r="M71" s="50">
        <f>IFERROR(IF(INDEX('Faculties'!$L$89:$L$98,MATCH($F71,'Faculties'!$B$89:$B$98,0))="","Cell will autofill based on response",INDEX('Faculties'!$L$89:$L$98,MATCH($F71,'Faculties'!$B$89:$B$98,0))),"N/A")</f>
        <v/>
      </c>
      <c r="N71" s="50">
        <f>IFERROR(IF(INDEX('Faculties'!$L$105:$L$114,MATCH($F71,'Faculties'!$B$105:$B$114,0))="","Cell will autofill based on response",INDEX('Faculties'!$L$105:$L$114,MATCH($F71,'Faculties'!$B$105:$B$114,0))),"N/A")</f>
        <v/>
      </c>
      <c r="O71" s="50">
        <f>IFERROR(IF(INDEX('Faculties'!$L$121:$L$130,MATCH($F71,'Faculties'!$B$121:$B$130,0))="","Cell will autofill based on response",INDEX('Faculties'!$L$121:$L$130,MATCH($F71,'Faculties'!$B$121:$B$130,0))),"N/A")</f>
        <v/>
      </c>
      <c r="P71" s="50">
        <f>IFERROR(IF(INDEX('Faculties'!$L$137:$L$146,MATCH($F71,'Faculties'!$B$137:$B$146,0))="","Cell will autofill based on response",INDEX('Faculties'!$L$137:$L$146,MATCH($F71,'Faculties'!$B$137:$B$146,0))),"N/A")</f>
        <v/>
      </c>
      <c r="Q71" s="50">
        <f>IFERROR(IF(INDEX('CI&amp;S'!$L$10:$L$15,MATCH($F71,'CI&amp;S'!$B$10:$B$15,0))="","Cell will autofill based on response",INDEX('CI&amp;S'!$L$10:$L$15,MATCH($F71,'CI&amp;S'!$B$10:$B$15,0))),"N/A")</f>
        <v/>
      </c>
      <c r="R71" s="50">
        <f>IFERROR(IF(INDEX('CI&amp;S'!$L$22:$L$36,MATCH($F71,'CI&amp;S'!$B$22:$B$36,0))="","Cell will autofill based on response",INDEX('CI&amp;S'!$L$22:$L$36,MATCH($F71,'CI&amp;S'!$B$22:$B$36,0))),"N/A")</f>
        <v/>
      </c>
      <c r="S71" s="50">
        <f>IFERROR(IF(INDEX('CFOG'!$L$10:$L$16,MATCH($F71,'CFOG'!$B$10:$B$16,0))="","Cell will autofill based on response",INDEX('CFOG'!$L$10:$L$16,MATCH($F71,'CFOG'!$B$10:$B$16,0))),"N/A")</f>
        <v/>
      </c>
      <c r="T71" s="50">
        <f>IFERROR(IF(INDEX('CFOG'!$L$23:$L$24,MATCH($F71,'CFOG'!$B$23:$B$24,0))="","Cell will autofill based on response",INDEX('CFOG'!$L$23:$L$24,MATCH($F71,'CFOG'!$B$23:$B$24,0))),"N/A")</f>
        <v/>
      </c>
      <c r="U71" s="50">
        <f>IFERROR(IF(INDEX('ESG'!$L$10:$L$17,MATCH($F71,'ESG'!$B$10:$B$17,0))="","Cell will autofill based on response",INDEX('ESG'!$L$10:$L$17,MATCH($F71,'ESG'!$B$10:$B$17,0))),"N/A")</f>
        <v/>
      </c>
      <c r="V71" s="50">
        <f>IFERROR(IF(INDEX('CIOG'!$L$10:$L$14,MATCH($F71,'CIOG'!$B$10:$B$14,0))="","Cell will autofill based on response",INDEX('CIOG'!$L$10:$L$14,MATCH($F71,'CIOG'!$B$10:$B$14,0))),"N/A")</f>
        <v/>
      </c>
      <c r="W71" s="50">
        <f>IFERROR(IF(INDEX('MRE'!$L$10:$L$18,MATCH($F71,'MRE'!$B$10:$B$18,0))="","Cell will autofill based on response",INDEX('MRE'!$L$10:$L$18,MATCH($F71,'MRE'!$B$10:$B$18,0))),"N/A")</f>
        <v/>
      </c>
      <c r="X71" s="50">
        <f>IFERROR(IF(INDEX('AC&amp;M'!$L$10:$L$14,MATCH($F71,'AC&amp;M'!$B$10:$B$14,0))="","Cell will autofill based on response",INDEX('AC&amp;M'!$L$10:$L$14,MATCH($F71,'AC&amp;M'!$B$10:$B$14,0))),"N/A")</f>
        <v/>
      </c>
      <c r="Y71" s="50">
        <f>IFERROR(IF(INDEX('GCE'!$L$10:$L$12,MATCH($F71,'GCE'!$B$10:$B$12,0))="","Cell will autofill based on response",INDEX('GCE'!$L$10:$L$12,MATCH($F71,'GCE'!$B$10:$B$12,0))),"N/A")</f>
        <v/>
      </c>
      <c r="Z71" s="50">
        <f>IFERROR(IF(INDEX('Education'!$L$10:$L$13,MATCH($F71,'Education'!$B$10:$B$13,0))="","Cell will autofill based on response",INDEX('Education'!$L$10:$L$13,MATCH($F71,'Education'!$B$10:$B$13,0))),"N/A")</f>
        <v/>
      </c>
      <c r="AA71" s="50">
        <f>IFERROR(IF(INDEX('SaSS'!$L$10:$L$12,MATCH($F71,'SaSS'!$B$10:$B$12,0))="","Cell will autofill based on response",INDEX('SaSS'!$L$10:$L$12,MATCH($F71,'SaSS'!$B$10:$B$12,0))),"N/A")</f>
        <v/>
      </c>
      <c r="AB71" s="50">
        <f>IFERROR(IF(INDEX('Indigenous'!$L$10:$L$11,MATCH($F71,'Indigenous'!$B$10:$B$11,0))="","Cell will autofill based on response",INDEX('Indigenous'!$L$10:$L$11,MATCH($F71,'Indigenous'!$B$10:$B$11,0))),"N/A")</f>
        <v/>
      </c>
      <c r="AC71" s="50">
        <f>IFERROR(IF(INDEX('L&amp;R'!$L$10:$L$11,MATCH($F71,'L&amp;R'!$B$10:$B$11,0))="","Cell will autofill based on response",INDEX('L&amp;R'!$L$10:$L$11,MATCH($F71,'L&amp;R'!$B$10:$B$11,0))),"N/A")</f>
        <v/>
      </c>
      <c r="AE71" s="9">
        <f>SUMPRODUCT(--($H71:$AC71&lt;&gt;"N/A"))</f>
        <v/>
      </c>
      <c r="AF71" s="9">
        <f>SUMPRODUCT(--(((($H71:$AC71&lt;&gt;"N/A")*($H71:$AC71&lt;&gt;"Cell will autofill based on response"))+(($H72:$AC72&lt;&gt;"N/A")*($H72:$AC72&lt;&gt;"Cell will autofill based on response")))&gt;0))</f>
        <v/>
      </c>
      <c r="AG71" s="9">
        <f>AE71-AF71</f>
        <v/>
      </c>
      <c r="AH71" s="9">
        <f>COUNTIF($H75:$AC75,"Yes")</f>
        <v/>
      </c>
    </row>
    <row r="72" ht="39" customHeight="1">
      <c r="A72">
        <f>F72&amp;"|"&amp;G72</f>
        <v/>
      </c>
      <c r="B72" s="12" t="inlineStr"/>
      <c r="C72" s="7" t="inlineStr"/>
      <c r="D72" s="7" t="inlineStr"/>
      <c r="E72" s="7" t="inlineStr"/>
      <c r="F72" s="7" t="inlineStr">
        <is>
          <t>TR3(b)</t>
        </is>
      </c>
      <c r="G72" s="7" t="inlineStr">
        <is>
          <t>OPTION 2:  Indicator level reporting</t>
        </is>
      </c>
      <c r="H72" s="50">
        <f>IFERROR(IF(INDEX('Faculties'!$M$10:$M$18,MATCH($F72,'Faculties'!$B$10:$B$18,0))="","Cell will autofill based on response",INDEX('Faculties'!$M$10:$M$18,MATCH($F72,'Faculties'!$B$10:$B$18,0))),"N/A")</f>
        <v/>
      </c>
      <c r="I72" s="50">
        <f>IFERROR(IF(INDEX('Faculties'!$M$25:$M$34,MATCH($F72,'Faculties'!$B$25:$B$34,0))="","Cell will autofill based on response",INDEX('Faculties'!$M$25:$M$34,MATCH($F72,'Faculties'!$B$25:$B$34,0))),"N/A")</f>
        <v/>
      </c>
      <c r="J72" s="50">
        <f>IFERROR(IF(INDEX('Faculties'!$M$41:$M$50,MATCH($F72,'Faculties'!$B$41:$B$50,0))="","Cell will autofill based on response",INDEX('Faculties'!$M$41:$M$50,MATCH($F72,'Faculties'!$B$41:$B$50,0))),"N/A")</f>
        <v/>
      </c>
      <c r="K72" s="50">
        <f>IFERROR(IF(INDEX('Faculties'!$M$57:$M$66,MATCH($F72,'Faculties'!$B$57:$B$66,0))="","Cell will autofill based on response",INDEX('Faculties'!$M$57:$M$66,MATCH($F72,'Faculties'!$B$57:$B$66,0))),"N/A")</f>
        <v/>
      </c>
      <c r="L72" s="50">
        <f>IFERROR(IF(INDEX('Faculties'!$M$73:$M$82,MATCH($F72,'Faculties'!$B$73:$B$82,0))="","Cell will autofill based on response",INDEX('Faculties'!$M$73:$M$82,MATCH($F72,'Faculties'!$B$73:$B$82,0))),"N/A")</f>
        <v/>
      </c>
      <c r="M72" s="50">
        <f>IFERROR(IF(INDEX('Faculties'!$M$89:$M$98,MATCH($F72,'Faculties'!$B$89:$B$98,0))="","Cell will autofill based on response",INDEX('Faculties'!$M$89:$M$98,MATCH($F72,'Faculties'!$B$89:$B$98,0))),"N/A")</f>
        <v/>
      </c>
      <c r="N72" s="50">
        <f>IFERROR(IF(INDEX('Faculties'!$M$105:$M$114,MATCH($F72,'Faculties'!$B$105:$B$114,0))="","Cell will autofill based on response",INDEX('Faculties'!$M$105:$M$114,MATCH($F72,'Faculties'!$B$105:$B$114,0))),"N/A")</f>
        <v/>
      </c>
      <c r="O72" s="50">
        <f>IFERROR(IF(INDEX('Faculties'!$M$121:$M$130,MATCH($F72,'Faculties'!$B$121:$B$130,0))="","Cell will autofill based on response",INDEX('Faculties'!$M$121:$M$130,MATCH($F72,'Faculties'!$B$121:$B$130,0))),"N/A")</f>
        <v/>
      </c>
      <c r="P72" s="50">
        <f>IFERROR(IF(INDEX('Faculties'!$M$137:$M$146,MATCH($F72,'Faculties'!$B$137:$B$146,0))="","Cell will autofill based on response",INDEX('Faculties'!$M$137:$M$146,MATCH($F72,'Faculties'!$B$137:$B$146,0))),"N/A")</f>
        <v/>
      </c>
      <c r="Q72" s="50">
        <f>IFERROR(IF(INDEX('CI&amp;S'!$M$10:$M$15,MATCH($F72,'CI&amp;S'!$B$10:$B$15,0))="","Cell will autofill based on response",INDEX('CI&amp;S'!$M$10:$M$15,MATCH($F72,'CI&amp;S'!$B$10:$B$15,0))),"N/A")</f>
        <v/>
      </c>
      <c r="R72" s="50">
        <f>IFERROR(IF(INDEX('CI&amp;S'!$M$22:$M$36,MATCH($F72,'CI&amp;S'!$B$22:$B$36,0))="","Cell will autofill based on response",INDEX('CI&amp;S'!$M$22:$M$36,MATCH($F72,'CI&amp;S'!$B$22:$B$36,0))),"N/A")</f>
        <v/>
      </c>
      <c r="S72" s="50">
        <f>IFERROR(IF(INDEX('CFOG'!$M$10:$M$16,MATCH($F72,'CFOG'!$B$10:$B$16,0))="","Cell will autofill based on response",INDEX('CFOG'!$M$10:$M$16,MATCH($F72,'CFOG'!$B$10:$B$16,0))),"N/A")</f>
        <v/>
      </c>
      <c r="T72" s="50">
        <f>IFERROR(IF(INDEX('CFOG'!$M$23:$M$24,MATCH($F72,'CFOG'!$B$23:$B$24,0))="","Cell will autofill based on response",INDEX('CFOG'!$M$23:$M$24,MATCH($F72,'CFOG'!$B$23:$B$24,0))),"N/A")</f>
        <v/>
      </c>
      <c r="U72" s="50">
        <f>IFERROR(IF(INDEX('ESG'!$M$10:$M$17,MATCH($F72,'ESG'!$B$10:$B$17,0))="","Cell will autofill based on response",INDEX('ESG'!$M$10:$M$17,MATCH($F72,'ESG'!$B$10:$B$17,0))),"N/A")</f>
        <v/>
      </c>
      <c r="V72" s="50">
        <f>IFERROR(IF(INDEX('CIOG'!$M$10:$M$14,MATCH($F72,'CIOG'!$B$10:$B$14,0))="","Cell will autofill based on response",INDEX('CIOG'!$M$10:$M$14,MATCH($F72,'CIOG'!$B$10:$B$14,0))),"N/A")</f>
        <v/>
      </c>
      <c r="W72" s="50">
        <f>IFERROR(IF(INDEX('MRE'!$M$10:$M$18,MATCH($F72,'MRE'!$B$10:$B$18,0))="","Cell will autofill based on response",INDEX('MRE'!$M$10:$M$18,MATCH($F72,'MRE'!$B$10:$B$18,0))),"N/A")</f>
        <v/>
      </c>
      <c r="X72" s="50">
        <f>IFERROR(IF(INDEX('AC&amp;M'!$M$10:$M$14,MATCH($F72,'AC&amp;M'!$B$10:$B$14,0))="","Cell will autofill based on response",INDEX('AC&amp;M'!$M$10:$M$14,MATCH($F72,'AC&amp;M'!$B$10:$B$14,0))),"N/A")</f>
        <v/>
      </c>
      <c r="Y72" s="50">
        <f>IFERROR(IF(INDEX('GCE'!$M$10:$M$12,MATCH($F72,'GCE'!$B$10:$B$12,0))="","Cell will autofill based on response",INDEX('GCE'!$M$10:$M$12,MATCH($F72,'GCE'!$B$10:$B$12,0))),"N/A")</f>
        <v/>
      </c>
      <c r="Z72" s="50">
        <f>IFERROR(IF(INDEX('Education'!$M$10:$M$13,MATCH($F72,'Education'!$B$10:$B$13,0))="","Cell will autofill based on response",INDEX('Education'!$M$10:$M$13,MATCH($F72,'Education'!$B$10:$B$13,0))),"N/A")</f>
        <v/>
      </c>
      <c r="AA72" s="50">
        <f>IFERROR(IF(INDEX('SaSS'!$M$10:$M$12,MATCH($F72,'SaSS'!$B$10:$B$12,0))="","Cell will autofill based on response",INDEX('SaSS'!$M$10:$M$12,MATCH($F72,'SaSS'!$B$10:$B$12,0))),"N/A")</f>
        <v/>
      </c>
      <c r="AB72" s="50">
        <f>IFERROR(IF(INDEX('Indigenous'!$M$10:$M$11,MATCH($F72,'Indigenous'!$B$10:$B$11,0))="","Cell will autofill based on response",INDEX('Indigenous'!$M$10:$M$11,MATCH($F72,'Indigenous'!$B$10:$B$11,0))),"N/A")</f>
        <v/>
      </c>
      <c r="AC72" s="50">
        <f>IFERROR(IF(INDEX('L&amp;R'!$M$10:$M$11,MATCH($F72,'L&amp;R'!$B$10:$B$11,0))="","Cell will autofill based on response",INDEX('L&amp;R'!$M$10:$M$11,MATCH($F72,'L&amp;R'!$B$10:$B$11,0))),"N/A")</f>
        <v/>
      </c>
    </row>
    <row r="73" ht="22" customHeight="1">
      <c r="A73">
        <f>F73&amp;"|"&amp;G73</f>
        <v/>
      </c>
      <c r="B73" s="12" t="inlineStr"/>
      <c r="C73" s="7" t="inlineStr"/>
      <c r="D73" s="7" t="inlineStr"/>
      <c r="E73" s="7" t="inlineStr"/>
      <c r="F73" s="7" t="inlineStr">
        <is>
          <t>TR3(b)</t>
        </is>
      </c>
      <c r="G73" s="7" t="inlineStr">
        <is>
          <t>Supporting information/comments</t>
        </is>
      </c>
      <c r="H73" s="50">
        <f>IFERROR(IF(INDEX('Faculties'!$N$10:$N$18,MATCH($F73,'Faculties'!$B$10:$B$18,0))="","Cell will autofill based on response",INDEX('Faculties'!$N$10:$N$18,MATCH($F73,'Faculties'!$B$10:$B$18,0))),"N/A")</f>
        <v/>
      </c>
      <c r="I73" s="50">
        <f>IFERROR(IF(INDEX('Faculties'!$N$25:$N$34,MATCH($F73,'Faculties'!$B$25:$B$34,0))="","Cell will autofill based on response",INDEX('Faculties'!$N$25:$N$34,MATCH($F73,'Faculties'!$B$25:$B$34,0))),"N/A")</f>
        <v/>
      </c>
      <c r="J73" s="50">
        <f>IFERROR(IF(INDEX('Faculties'!$N$41:$N$50,MATCH($F73,'Faculties'!$B$41:$B$50,0))="","Cell will autofill based on response",INDEX('Faculties'!$N$41:$N$50,MATCH($F73,'Faculties'!$B$41:$B$50,0))),"N/A")</f>
        <v/>
      </c>
      <c r="K73" s="50">
        <f>IFERROR(IF(INDEX('Faculties'!$N$57:$N$66,MATCH($F73,'Faculties'!$B$57:$B$66,0))="","Cell will autofill based on response",INDEX('Faculties'!$N$57:$N$66,MATCH($F73,'Faculties'!$B$57:$B$66,0))),"N/A")</f>
        <v/>
      </c>
      <c r="L73" s="50">
        <f>IFERROR(IF(INDEX('Faculties'!$N$73:$N$82,MATCH($F73,'Faculties'!$B$73:$B$82,0))="","Cell will autofill based on response",INDEX('Faculties'!$N$73:$N$82,MATCH($F73,'Faculties'!$B$73:$B$82,0))),"N/A")</f>
        <v/>
      </c>
      <c r="M73" s="50">
        <f>IFERROR(IF(INDEX('Faculties'!$N$89:$N$98,MATCH($F73,'Faculties'!$B$89:$B$98,0))="","Cell will autofill based on response",INDEX('Faculties'!$N$89:$N$98,MATCH($F73,'Faculties'!$B$89:$B$98,0))),"N/A")</f>
        <v/>
      </c>
      <c r="N73" s="50">
        <f>IFERROR(IF(INDEX('Faculties'!$N$105:$N$114,MATCH($F73,'Faculties'!$B$105:$B$114,0))="","Cell will autofill based on response",INDEX('Faculties'!$N$105:$N$114,MATCH($F73,'Faculties'!$B$105:$B$114,0))),"N/A")</f>
        <v/>
      </c>
      <c r="O73" s="50">
        <f>IFERROR(IF(INDEX('Faculties'!$N$121:$N$130,MATCH($F73,'Faculties'!$B$121:$B$130,0))="","Cell will autofill based on response",INDEX('Faculties'!$N$121:$N$130,MATCH($F73,'Faculties'!$B$121:$B$130,0))),"N/A")</f>
        <v/>
      </c>
      <c r="P73" s="50">
        <f>IFERROR(IF(INDEX('Faculties'!$N$137:$N$146,MATCH($F73,'Faculties'!$B$137:$B$146,0))="","Cell will autofill based on response",INDEX('Faculties'!$N$137:$N$146,MATCH($F73,'Faculties'!$B$137:$B$146,0))),"N/A")</f>
        <v/>
      </c>
      <c r="Q73" s="50">
        <f>IFERROR(IF(INDEX('CI&amp;S'!$N$10:$N$15,MATCH($F73,'CI&amp;S'!$B$10:$B$15,0))="","Cell will autofill based on response",INDEX('CI&amp;S'!$N$10:$N$15,MATCH($F73,'CI&amp;S'!$B$10:$B$15,0))),"N/A")</f>
        <v/>
      </c>
      <c r="R73" s="50">
        <f>IFERROR(IF(INDEX('CI&amp;S'!$N$22:$N$36,MATCH($F73,'CI&amp;S'!$B$22:$B$36,0))="","Cell will autofill based on response",INDEX('CI&amp;S'!$N$22:$N$36,MATCH($F73,'CI&amp;S'!$B$22:$B$36,0))),"N/A")</f>
        <v/>
      </c>
      <c r="S73" s="50">
        <f>IFERROR(IF(INDEX('CFOG'!$N$10:$N$16,MATCH($F73,'CFOG'!$B$10:$B$16,0))="","Cell will autofill based on response",INDEX('CFOG'!$N$10:$N$16,MATCH($F73,'CFOG'!$B$10:$B$16,0))),"N/A")</f>
        <v/>
      </c>
      <c r="T73" s="50">
        <f>IFERROR(IF(INDEX('CFOG'!$N$23:$N$24,MATCH($F73,'CFOG'!$B$23:$B$24,0))="","Cell will autofill based on response",INDEX('CFOG'!$N$23:$N$24,MATCH($F73,'CFOG'!$B$23:$B$24,0))),"N/A")</f>
        <v/>
      </c>
      <c r="U73" s="50">
        <f>IFERROR(IF(INDEX('ESG'!$N$10:$N$17,MATCH($F73,'ESG'!$B$10:$B$17,0))="","Cell will autofill based on response",INDEX('ESG'!$N$10:$N$17,MATCH($F73,'ESG'!$B$10:$B$17,0))),"N/A")</f>
        <v/>
      </c>
      <c r="V73" s="50">
        <f>IFERROR(IF(INDEX('CIOG'!$N$10:$N$14,MATCH($F73,'CIOG'!$B$10:$B$14,0))="","Cell will autofill based on response",INDEX('CIOG'!$N$10:$N$14,MATCH($F73,'CIOG'!$B$10:$B$14,0))),"N/A")</f>
        <v/>
      </c>
      <c r="W73" s="50">
        <f>IFERROR(IF(INDEX('MRE'!$N$10:$N$18,MATCH($F73,'MRE'!$B$10:$B$18,0))="","Cell will autofill based on response",INDEX('MRE'!$N$10:$N$18,MATCH($F73,'MRE'!$B$10:$B$18,0))),"N/A")</f>
        <v/>
      </c>
      <c r="X73" s="50">
        <f>IFERROR(IF(INDEX('AC&amp;M'!$N$10:$N$14,MATCH($F73,'AC&amp;M'!$B$10:$B$14,0))="","Cell will autofill based on response",INDEX('AC&amp;M'!$N$10:$N$14,MATCH($F73,'AC&amp;M'!$B$10:$B$14,0))),"N/A")</f>
        <v/>
      </c>
      <c r="Y73" s="50">
        <f>IFERROR(IF(INDEX('GCE'!$N$10:$N$12,MATCH($F73,'GCE'!$B$10:$B$12,0))="","Cell will autofill based on response",INDEX('GCE'!$N$10:$N$12,MATCH($F73,'GCE'!$B$10:$B$12,0))),"N/A")</f>
        <v/>
      </c>
      <c r="Z73" s="50">
        <f>IFERROR(IF(INDEX('Education'!$N$10:$N$13,MATCH($F73,'Education'!$B$10:$B$13,0))="","Cell will autofill based on response",INDEX('Education'!$N$10:$N$13,MATCH($F73,'Education'!$B$10:$B$13,0))),"N/A")</f>
        <v/>
      </c>
      <c r="AA73" s="50">
        <f>IFERROR(IF(INDEX('SaSS'!$N$10:$N$12,MATCH($F73,'SaSS'!$B$10:$B$12,0))="","Cell will autofill based on response",INDEX('SaSS'!$N$10:$N$12,MATCH($F73,'SaSS'!$B$10:$B$12,0))),"N/A")</f>
        <v/>
      </c>
      <c r="AB73" s="50">
        <f>IFERROR(IF(INDEX('Indigenous'!$N$10:$N$11,MATCH($F73,'Indigenous'!$B$10:$B$11,0))="","Cell will autofill based on response",INDEX('Indigenous'!$N$10:$N$11,MATCH($F73,'Indigenous'!$B$10:$B$11,0))),"N/A")</f>
        <v/>
      </c>
      <c r="AC73" s="50">
        <f>IFERROR(IF(INDEX('L&amp;R'!$N$10:$N$11,MATCH($F73,'L&amp;R'!$B$10:$B$11,0))="","Cell will autofill based on response",INDEX('L&amp;R'!$N$10:$N$11,MATCH($F73,'L&amp;R'!$B$10:$B$11,0))),"N/A")</f>
        <v/>
      </c>
    </row>
    <row r="74" ht="22" customHeight="1">
      <c r="A74">
        <f>F74&amp;"|"&amp;G74</f>
        <v/>
      </c>
      <c r="B74" s="12" t="inlineStr"/>
      <c r="C74" s="7" t="inlineStr"/>
      <c r="D74" s="7" t="inlineStr"/>
      <c r="E74" s="7" t="inlineStr"/>
      <c r="F74" s="7" t="inlineStr">
        <is>
          <t>TR3(b)</t>
        </is>
      </c>
      <c r="G74" s="7" t="inlineStr">
        <is>
          <t>Data source and limitations</t>
        </is>
      </c>
      <c r="H74" s="50">
        <f>IFERROR(IF(INDEX('Faculties'!$O$10:$O$18,MATCH($F74,'Faculties'!$B$10:$B$18,0))="","Cell will autofill based on response",INDEX('Faculties'!$O$10:$O$18,MATCH($F74,'Faculties'!$B$10:$B$18,0))),"N/A")</f>
        <v/>
      </c>
      <c r="I74" s="50">
        <f>IFERROR(IF(INDEX('Faculties'!$O$25:$O$34,MATCH($F74,'Faculties'!$B$25:$B$34,0))="","Cell will autofill based on response",INDEX('Faculties'!$O$25:$O$34,MATCH($F74,'Faculties'!$B$25:$B$34,0))),"N/A")</f>
        <v/>
      </c>
      <c r="J74" s="50">
        <f>IFERROR(IF(INDEX('Faculties'!$O$41:$O$50,MATCH($F74,'Faculties'!$B$41:$B$50,0))="","Cell will autofill based on response",INDEX('Faculties'!$O$41:$O$50,MATCH($F74,'Faculties'!$B$41:$B$50,0))),"N/A")</f>
        <v/>
      </c>
      <c r="K74" s="50">
        <f>IFERROR(IF(INDEX('Faculties'!$O$57:$O$66,MATCH($F74,'Faculties'!$B$57:$B$66,0))="","Cell will autofill based on response",INDEX('Faculties'!$O$57:$O$66,MATCH($F74,'Faculties'!$B$57:$B$66,0))),"N/A")</f>
        <v/>
      </c>
      <c r="L74" s="50">
        <f>IFERROR(IF(INDEX('Faculties'!$O$73:$O$82,MATCH($F74,'Faculties'!$B$73:$B$82,0))="","Cell will autofill based on response",INDEX('Faculties'!$O$73:$O$82,MATCH($F74,'Faculties'!$B$73:$B$82,0))),"N/A")</f>
        <v/>
      </c>
      <c r="M74" s="50">
        <f>IFERROR(IF(INDEX('Faculties'!$O$89:$O$98,MATCH($F74,'Faculties'!$B$89:$B$98,0))="","Cell will autofill based on response",INDEX('Faculties'!$O$89:$O$98,MATCH($F74,'Faculties'!$B$89:$B$98,0))),"N/A")</f>
        <v/>
      </c>
      <c r="N74" s="50">
        <f>IFERROR(IF(INDEX('Faculties'!$O$105:$O$114,MATCH($F74,'Faculties'!$B$105:$B$114,0))="","Cell will autofill based on response",INDEX('Faculties'!$O$105:$O$114,MATCH($F74,'Faculties'!$B$105:$B$114,0))),"N/A")</f>
        <v/>
      </c>
      <c r="O74" s="50">
        <f>IFERROR(IF(INDEX('Faculties'!$O$121:$O$130,MATCH($F74,'Faculties'!$B$121:$B$130,0))="","Cell will autofill based on response",INDEX('Faculties'!$O$121:$O$130,MATCH($F74,'Faculties'!$B$121:$B$130,0))),"N/A")</f>
        <v/>
      </c>
      <c r="P74" s="50">
        <f>IFERROR(IF(INDEX('Faculties'!$O$137:$O$146,MATCH($F74,'Faculties'!$B$137:$B$146,0))="","Cell will autofill based on response",INDEX('Faculties'!$O$137:$O$146,MATCH($F74,'Faculties'!$B$137:$B$146,0))),"N/A")</f>
        <v/>
      </c>
      <c r="Q74" s="50">
        <f>IFERROR(IF(INDEX('CI&amp;S'!$O$10:$O$15,MATCH($F74,'CI&amp;S'!$B$10:$B$15,0))="","Cell will autofill based on response",INDEX('CI&amp;S'!$O$10:$O$15,MATCH($F74,'CI&amp;S'!$B$10:$B$15,0))),"N/A")</f>
        <v/>
      </c>
      <c r="R74" s="50">
        <f>IFERROR(IF(INDEX('CI&amp;S'!$O$22:$O$36,MATCH($F74,'CI&amp;S'!$B$22:$B$36,0))="","Cell will autofill based on response",INDEX('CI&amp;S'!$O$22:$O$36,MATCH($F74,'CI&amp;S'!$B$22:$B$36,0))),"N/A")</f>
        <v/>
      </c>
      <c r="S74" s="50">
        <f>IFERROR(IF(INDEX('CFOG'!$O$10:$O$16,MATCH($F74,'CFOG'!$B$10:$B$16,0))="","Cell will autofill based on response",INDEX('CFOG'!$O$10:$O$16,MATCH($F74,'CFOG'!$B$10:$B$16,0))),"N/A")</f>
        <v/>
      </c>
      <c r="T74" s="50">
        <f>IFERROR(IF(INDEX('CFOG'!$O$23:$O$24,MATCH($F74,'CFOG'!$B$23:$B$24,0))="","Cell will autofill based on response",INDEX('CFOG'!$O$23:$O$24,MATCH($F74,'CFOG'!$B$23:$B$24,0))),"N/A")</f>
        <v/>
      </c>
      <c r="U74" s="50">
        <f>IFERROR(IF(INDEX('ESG'!$O$10:$O$17,MATCH($F74,'ESG'!$B$10:$B$17,0))="","Cell will autofill based on response",INDEX('ESG'!$O$10:$O$17,MATCH($F74,'ESG'!$B$10:$B$17,0))),"N/A")</f>
        <v/>
      </c>
      <c r="V74" s="50">
        <f>IFERROR(IF(INDEX('CIOG'!$O$10:$O$14,MATCH($F74,'CIOG'!$B$10:$B$14,0))="","Cell will autofill based on response",INDEX('CIOG'!$O$10:$O$14,MATCH($F74,'CIOG'!$B$10:$B$14,0))),"N/A")</f>
        <v/>
      </c>
      <c r="W74" s="50">
        <f>IFERROR(IF(INDEX('MRE'!$O$10:$O$18,MATCH($F74,'MRE'!$B$10:$B$18,0))="","Cell will autofill based on response",INDEX('MRE'!$O$10:$O$18,MATCH($F74,'MRE'!$B$10:$B$18,0))),"N/A")</f>
        <v/>
      </c>
      <c r="X74" s="50">
        <f>IFERROR(IF(INDEX('AC&amp;M'!$O$10:$O$14,MATCH($F74,'AC&amp;M'!$B$10:$B$14,0))="","Cell will autofill based on response",INDEX('AC&amp;M'!$O$10:$O$14,MATCH($F74,'AC&amp;M'!$B$10:$B$14,0))),"N/A")</f>
        <v/>
      </c>
      <c r="Y74" s="50">
        <f>IFERROR(IF(INDEX('GCE'!$O$10:$O$12,MATCH($F74,'GCE'!$B$10:$B$12,0))="","Cell will autofill based on response",INDEX('GCE'!$O$10:$O$12,MATCH($F74,'GCE'!$B$10:$B$12,0))),"N/A")</f>
        <v/>
      </c>
      <c r="Z74" s="50">
        <f>IFERROR(IF(INDEX('Education'!$O$10:$O$13,MATCH($F74,'Education'!$B$10:$B$13,0))="","Cell will autofill based on response",INDEX('Education'!$O$10:$O$13,MATCH($F74,'Education'!$B$10:$B$13,0))),"N/A")</f>
        <v/>
      </c>
      <c r="AA74" s="50">
        <f>IFERROR(IF(INDEX('SaSS'!$O$10:$O$12,MATCH($F74,'SaSS'!$B$10:$B$12,0))="","Cell will autofill based on response",INDEX('SaSS'!$O$10:$O$12,MATCH($F74,'SaSS'!$B$10:$B$12,0))),"N/A")</f>
        <v/>
      </c>
      <c r="AB74" s="50">
        <f>IFERROR(IF(INDEX('Indigenous'!$O$10:$O$11,MATCH($F74,'Indigenous'!$B$10:$B$11,0))="","Cell will autofill based on response",INDEX('Indigenous'!$O$10:$O$11,MATCH($F74,'Indigenous'!$B$10:$B$11,0))),"N/A")</f>
        <v/>
      </c>
      <c r="AC74" s="50">
        <f>IFERROR(IF(INDEX('L&amp;R'!$O$10:$O$11,MATCH($F74,'L&amp;R'!$B$10:$B$11,0))="","Cell will autofill based on response",INDEX('L&amp;R'!$O$10:$O$11,MATCH($F74,'L&amp;R'!$B$10:$B$11,0))),"N/A")</f>
        <v/>
      </c>
    </row>
    <row r="75" ht="22" customHeight="1">
      <c r="A75">
        <f>F75&amp;"|"&amp;G75</f>
        <v/>
      </c>
      <c r="B75" s="12" t="inlineStr"/>
      <c r="C75" s="7" t="inlineStr"/>
      <c r="D75" s="7" t="inlineStr"/>
      <c r="E75" s="7" t="inlineStr"/>
      <c r="F75" s="7" t="inlineStr">
        <is>
          <t>TR3(b)</t>
        </is>
      </c>
      <c r="G75" s="7" t="inlineStr">
        <is>
          <t>Data owner confirms</t>
        </is>
      </c>
      <c r="H75" s="50">
        <f>IFERROR(IF(INDEX('Faculties'!$P$10:$P$18,MATCH($F75,'Faculties'!$B$10:$B$18,0))="","Cell will autofill based on response",INDEX('Faculties'!$P$10:$P$18,MATCH($F75,'Faculties'!$B$10:$B$18,0))),"N/A")</f>
        <v/>
      </c>
      <c r="I75" s="50">
        <f>IFERROR(IF(INDEX('Faculties'!$P$25:$P$34,MATCH($F75,'Faculties'!$B$25:$B$34,0))="","Cell will autofill based on response",INDEX('Faculties'!$P$25:$P$34,MATCH($F75,'Faculties'!$B$25:$B$34,0))),"N/A")</f>
        <v/>
      </c>
      <c r="J75" s="50">
        <f>IFERROR(IF(INDEX('Faculties'!$P$41:$P$50,MATCH($F75,'Faculties'!$B$41:$B$50,0))="","Cell will autofill based on response",INDEX('Faculties'!$P$41:$P$50,MATCH($F75,'Faculties'!$B$41:$B$50,0))),"N/A")</f>
        <v/>
      </c>
      <c r="K75" s="50">
        <f>IFERROR(IF(INDEX('Faculties'!$P$57:$P$66,MATCH($F75,'Faculties'!$B$57:$B$66,0))="","Cell will autofill based on response",INDEX('Faculties'!$P$57:$P$66,MATCH($F75,'Faculties'!$B$57:$B$66,0))),"N/A")</f>
        <v/>
      </c>
      <c r="L75" s="50">
        <f>IFERROR(IF(INDEX('Faculties'!$P$73:$P$82,MATCH($F75,'Faculties'!$B$73:$B$82,0))="","Cell will autofill based on response",INDEX('Faculties'!$P$73:$P$82,MATCH($F75,'Faculties'!$B$73:$B$82,0))),"N/A")</f>
        <v/>
      </c>
      <c r="M75" s="50">
        <f>IFERROR(IF(INDEX('Faculties'!$P$89:$P$98,MATCH($F75,'Faculties'!$B$89:$B$98,0))="","Cell will autofill based on response",INDEX('Faculties'!$P$89:$P$98,MATCH($F75,'Faculties'!$B$89:$B$98,0))),"N/A")</f>
        <v/>
      </c>
      <c r="N75" s="50">
        <f>IFERROR(IF(INDEX('Faculties'!$P$105:$P$114,MATCH($F75,'Faculties'!$B$105:$B$114,0))="","Cell will autofill based on response",INDEX('Faculties'!$P$105:$P$114,MATCH($F75,'Faculties'!$B$105:$B$114,0))),"N/A")</f>
        <v/>
      </c>
      <c r="O75" s="50">
        <f>IFERROR(IF(INDEX('Faculties'!$P$121:$P$130,MATCH($F75,'Faculties'!$B$121:$B$130,0))="","Cell will autofill based on response",INDEX('Faculties'!$P$121:$P$130,MATCH($F75,'Faculties'!$B$121:$B$130,0))),"N/A")</f>
        <v/>
      </c>
      <c r="P75" s="50">
        <f>IFERROR(IF(INDEX('Faculties'!$P$137:$P$146,MATCH($F75,'Faculties'!$B$137:$B$146,0))="","Cell will autofill based on response",INDEX('Faculties'!$P$137:$P$146,MATCH($F75,'Faculties'!$B$137:$B$146,0))),"N/A")</f>
        <v/>
      </c>
      <c r="Q75" s="50">
        <f>IFERROR(IF(INDEX('CI&amp;S'!$P$10:$P$15,MATCH($F75,'CI&amp;S'!$B$10:$B$15,0))="","Cell will autofill based on response",INDEX('CI&amp;S'!$P$10:$P$15,MATCH($F75,'CI&amp;S'!$B$10:$B$15,0))),"N/A")</f>
        <v/>
      </c>
      <c r="R75" s="50">
        <f>IFERROR(IF(INDEX('CI&amp;S'!$P$22:$P$36,MATCH($F75,'CI&amp;S'!$B$22:$B$36,0))="","Cell will autofill based on response",INDEX('CI&amp;S'!$P$22:$P$36,MATCH($F75,'CI&amp;S'!$B$22:$B$36,0))),"N/A")</f>
        <v/>
      </c>
      <c r="S75" s="50">
        <f>IFERROR(IF(INDEX('CFOG'!$P$10:$P$16,MATCH($F75,'CFOG'!$B$10:$B$16,0))="","Cell will autofill based on response",INDEX('CFOG'!$P$10:$P$16,MATCH($F75,'CFOG'!$B$10:$B$16,0))),"N/A")</f>
        <v/>
      </c>
      <c r="T75" s="50">
        <f>IFERROR(IF(INDEX('CFOG'!$P$23:$P$24,MATCH($F75,'CFOG'!$B$23:$B$24,0))="","Cell will autofill based on response",INDEX('CFOG'!$P$23:$P$24,MATCH($F75,'CFOG'!$B$23:$B$24,0))),"N/A")</f>
        <v/>
      </c>
      <c r="U75" s="50">
        <f>IFERROR(IF(INDEX('ESG'!$P$10:$P$17,MATCH($F75,'ESG'!$B$10:$B$17,0))="","Cell will autofill based on response",INDEX('ESG'!$P$10:$P$17,MATCH($F75,'ESG'!$B$10:$B$17,0))),"N/A")</f>
        <v/>
      </c>
      <c r="V75" s="50">
        <f>IFERROR(IF(INDEX('CIOG'!$P$10:$P$14,MATCH($F75,'CIOG'!$B$10:$B$14,0))="","Cell will autofill based on response",INDEX('CIOG'!$P$10:$P$14,MATCH($F75,'CIOG'!$B$10:$B$14,0))),"N/A")</f>
        <v/>
      </c>
      <c r="W75" s="50">
        <f>IFERROR(IF(INDEX('MRE'!$P$10:$P$18,MATCH($F75,'MRE'!$B$10:$B$18,0))="","Cell will autofill based on response",INDEX('MRE'!$P$10:$P$18,MATCH($F75,'MRE'!$B$10:$B$18,0))),"N/A")</f>
        <v/>
      </c>
      <c r="X75" s="50">
        <f>IFERROR(IF(INDEX('AC&amp;M'!$P$10:$P$14,MATCH($F75,'AC&amp;M'!$B$10:$B$14,0))="","Cell will autofill based on response",INDEX('AC&amp;M'!$P$10:$P$14,MATCH($F75,'AC&amp;M'!$B$10:$B$14,0))),"N/A")</f>
        <v/>
      </c>
      <c r="Y75" s="50">
        <f>IFERROR(IF(INDEX('GCE'!$P$10:$P$12,MATCH($F75,'GCE'!$B$10:$B$12,0))="","Cell will autofill based on response",INDEX('GCE'!$P$10:$P$12,MATCH($F75,'GCE'!$B$10:$B$12,0))),"N/A")</f>
        <v/>
      </c>
      <c r="Z75" s="50">
        <f>IFERROR(IF(INDEX('Education'!$P$10:$P$13,MATCH($F75,'Education'!$B$10:$B$13,0))="","Cell will autofill based on response",INDEX('Education'!$P$10:$P$13,MATCH($F75,'Education'!$B$10:$B$13,0))),"N/A")</f>
        <v/>
      </c>
      <c r="AA75" s="50">
        <f>IFERROR(IF(INDEX('SaSS'!$P$10:$P$12,MATCH($F75,'SaSS'!$B$10:$B$12,0))="","Cell will autofill based on response",INDEX('SaSS'!$P$10:$P$12,MATCH($F75,'SaSS'!$B$10:$B$12,0))),"N/A")</f>
        <v/>
      </c>
      <c r="AB75" s="50">
        <f>IFERROR(IF(INDEX('Indigenous'!$P$10:$P$11,MATCH($F75,'Indigenous'!$B$10:$B$11,0))="","Cell will autofill based on response",INDEX('Indigenous'!$P$10:$P$11,MATCH($F75,'Indigenous'!$B$10:$B$11,0))),"N/A")</f>
        <v/>
      </c>
      <c r="AC75" s="50">
        <f>IFERROR(IF(INDEX('L&amp;R'!$P$10:$P$11,MATCH($F75,'L&amp;R'!$B$10:$B$11,0))="","Cell will autofill based on response",INDEX('L&amp;R'!$P$10:$P$11,MATCH($F75,'L&amp;R'!$B$10:$B$11,0))),"N/A")</f>
        <v/>
      </c>
    </row>
    <row r="76" ht="154" customHeight="1">
      <c r="A76">
        <f>F76&amp;"|"&amp;G76</f>
        <v/>
      </c>
      <c r="B76" s="6" t="inlineStr">
        <is>
          <t>TR3(c)</t>
        </is>
      </c>
      <c r="C76" s="48" t="inlineStr">
        <is>
          <t>Transformational research</t>
        </is>
      </c>
      <c r="D76" s="48" t="inlineStr">
        <is>
          <t>Evidence of progress in sustainability-related research culture, capability and awareness, informed by periodic staff and graduate researcher surveys</t>
        </is>
      </c>
      <c r="E76" s="48" t="inlineStr">
        <is>
          <t>Please provide evidence of progress in sustainability-related research culture, capability and awareness within your Faculty/Portfolio. This could include relevant staff and/or graduate researcher survey findings, participation in capability-building activities, or other indicators of change over time.</t>
        </is>
      </c>
      <c r="F76" s="48" t="inlineStr">
        <is>
          <t>TR3(c)</t>
        </is>
      </c>
      <c r="G76" s="48" t="inlineStr">
        <is>
          <t>OPTION 1:  Target-level reporting</t>
        </is>
      </c>
      <c r="H76" s="50">
        <f>IFERROR(IF(INDEX('Faculties'!$L$10:$L$18,MATCH($F76,'Faculties'!$B$10:$B$18,0))="","Cell will autofill based on response",INDEX('Faculties'!$L$10:$L$18,MATCH($F76,'Faculties'!$B$10:$B$18,0))),"N/A")</f>
        <v/>
      </c>
      <c r="I76" s="50">
        <f>IFERROR(IF(INDEX('Faculties'!$L$25:$L$34,MATCH($F76,'Faculties'!$B$25:$B$34,0))="","Cell will autofill based on response",INDEX('Faculties'!$L$25:$L$34,MATCH($F76,'Faculties'!$B$25:$B$34,0))),"N/A")</f>
        <v/>
      </c>
      <c r="J76" s="50">
        <f>IFERROR(IF(INDEX('Faculties'!$L$41:$L$50,MATCH($F76,'Faculties'!$B$41:$B$50,0))="","Cell will autofill based on response",INDEX('Faculties'!$L$41:$L$50,MATCH($F76,'Faculties'!$B$41:$B$50,0))),"N/A")</f>
        <v/>
      </c>
      <c r="K76" s="50">
        <f>IFERROR(IF(INDEX('Faculties'!$L$57:$L$66,MATCH($F76,'Faculties'!$B$57:$B$66,0))="","Cell will autofill based on response",INDEX('Faculties'!$L$57:$L$66,MATCH($F76,'Faculties'!$B$57:$B$66,0))),"N/A")</f>
        <v/>
      </c>
      <c r="L76" s="50">
        <f>IFERROR(IF(INDEX('Faculties'!$L$73:$L$82,MATCH($F76,'Faculties'!$B$73:$B$82,0))="","Cell will autofill based on response",INDEX('Faculties'!$L$73:$L$82,MATCH($F76,'Faculties'!$B$73:$B$82,0))),"N/A")</f>
        <v/>
      </c>
      <c r="M76" s="50">
        <f>IFERROR(IF(INDEX('Faculties'!$L$89:$L$98,MATCH($F76,'Faculties'!$B$89:$B$98,0))="","Cell will autofill based on response",INDEX('Faculties'!$L$89:$L$98,MATCH($F76,'Faculties'!$B$89:$B$98,0))),"N/A")</f>
        <v/>
      </c>
      <c r="N76" s="50">
        <f>IFERROR(IF(INDEX('Faculties'!$L$105:$L$114,MATCH($F76,'Faculties'!$B$105:$B$114,0))="","Cell will autofill based on response",INDEX('Faculties'!$L$105:$L$114,MATCH($F76,'Faculties'!$B$105:$B$114,0))),"N/A")</f>
        <v/>
      </c>
      <c r="O76" s="50">
        <f>IFERROR(IF(INDEX('Faculties'!$L$121:$L$130,MATCH($F76,'Faculties'!$B$121:$B$130,0))="","Cell will autofill based on response",INDEX('Faculties'!$L$121:$L$130,MATCH($F76,'Faculties'!$B$121:$B$130,0))),"N/A")</f>
        <v/>
      </c>
      <c r="P76" s="50">
        <f>IFERROR(IF(INDEX('Faculties'!$L$137:$L$146,MATCH($F76,'Faculties'!$B$137:$B$146,0))="","Cell will autofill based on response",INDEX('Faculties'!$L$137:$L$146,MATCH($F76,'Faculties'!$B$137:$B$146,0))),"N/A")</f>
        <v/>
      </c>
      <c r="Q76" s="50">
        <f>IFERROR(IF(INDEX('CI&amp;S'!$L$10:$L$15,MATCH($F76,'CI&amp;S'!$B$10:$B$15,0))="","Cell will autofill based on response",INDEX('CI&amp;S'!$L$10:$L$15,MATCH($F76,'CI&amp;S'!$B$10:$B$15,0))),"N/A")</f>
        <v/>
      </c>
      <c r="R76" s="50">
        <f>IFERROR(IF(INDEX('CI&amp;S'!$L$22:$L$36,MATCH($F76,'CI&amp;S'!$B$22:$B$36,0))="","Cell will autofill based on response",INDEX('CI&amp;S'!$L$22:$L$36,MATCH($F76,'CI&amp;S'!$B$22:$B$36,0))),"N/A")</f>
        <v/>
      </c>
      <c r="S76" s="50">
        <f>IFERROR(IF(INDEX('CFOG'!$L$10:$L$16,MATCH($F76,'CFOG'!$B$10:$B$16,0))="","Cell will autofill based on response",INDEX('CFOG'!$L$10:$L$16,MATCH($F76,'CFOG'!$B$10:$B$16,0))),"N/A")</f>
        <v/>
      </c>
      <c r="T76" s="50">
        <f>IFERROR(IF(INDEX('CFOG'!$L$23:$L$24,MATCH($F76,'CFOG'!$B$23:$B$24,0))="","Cell will autofill based on response",INDEX('CFOG'!$L$23:$L$24,MATCH($F76,'CFOG'!$B$23:$B$24,0))),"N/A")</f>
        <v/>
      </c>
      <c r="U76" s="50">
        <f>IFERROR(IF(INDEX('ESG'!$L$10:$L$17,MATCH($F76,'ESG'!$B$10:$B$17,0))="","Cell will autofill based on response",INDEX('ESG'!$L$10:$L$17,MATCH($F76,'ESG'!$B$10:$B$17,0))),"N/A")</f>
        <v/>
      </c>
      <c r="V76" s="50">
        <f>IFERROR(IF(INDEX('CIOG'!$L$10:$L$14,MATCH($F76,'CIOG'!$B$10:$B$14,0))="","Cell will autofill based on response",INDEX('CIOG'!$L$10:$L$14,MATCH($F76,'CIOG'!$B$10:$B$14,0))),"N/A")</f>
        <v/>
      </c>
      <c r="W76" s="50">
        <f>IFERROR(IF(INDEX('MRE'!$L$10:$L$18,MATCH($F76,'MRE'!$B$10:$B$18,0))="","Cell will autofill based on response",INDEX('MRE'!$L$10:$L$18,MATCH($F76,'MRE'!$B$10:$B$18,0))),"N/A")</f>
        <v/>
      </c>
      <c r="X76" s="50">
        <f>IFERROR(IF(INDEX('AC&amp;M'!$L$10:$L$14,MATCH($F76,'AC&amp;M'!$B$10:$B$14,0))="","Cell will autofill based on response",INDEX('AC&amp;M'!$L$10:$L$14,MATCH($F76,'AC&amp;M'!$B$10:$B$14,0))),"N/A")</f>
        <v/>
      </c>
      <c r="Y76" s="50">
        <f>IFERROR(IF(INDEX('GCE'!$L$10:$L$12,MATCH($F76,'GCE'!$B$10:$B$12,0))="","Cell will autofill based on response",INDEX('GCE'!$L$10:$L$12,MATCH($F76,'GCE'!$B$10:$B$12,0))),"N/A")</f>
        <v/>
      </c>
      <c r="Z76" s="50">
        <f>IFERROR(IF(INDEX('Education'!$L$10:$L$13,MATCH($F76,'Education'!$B$10:$B$13,0))="","Cell will autofill based on response",INDEX('Education'!$L$10:$L$13,MATCH($F76,'Education'!$B$10:$B$13,0))),"N/A")</f>
        <v/>
      </c>
      <c r="AA76" s="50">
        <f>IFERROR(IF(INDEX('SaSS'!$L$10:$L$12,MATCH($F76,'SaSS'!$B$10:$B$12,0))="","Cell will autofill based on response",INDEX('SaSS'!$L$10:$L$12,MATCH($F76,'SaSS'!$B$10:$B$12,0))),"N/A")</f>
        <v/>
      </c>
      <c r="AB76" s="50">
        <f>IFERROR(IF(INDEX('Indigenous'!$L$10:$L$11,MATCH($F76,'Indigenous'!$B$10:$B$11,0))="","Cell will autofill based on response",INDEX('Indigenous'!$L$10:$L$11,MATCH($F76,'Indigenous'!$B$10:$B$11,0))),"N/A")</f>
        <v/>
      </c>
      <c r="AC76" s="50">
        <f>IFERROR(IF(INDEX('L&amp;R'!$L$10:$L$11,MATCH($F76,'L&amp;R'!$B$10:$B$11,0))="","Cell will autofill based on response",INDEX('L&amp;R'!$L$10:$L$11,MATCH($F76,'L&amp;R'!$B$10:$B$11,0))),"N/A")</f>
        <v/>
      </c>
      <c r="AE76" s="9">
        <f>SUMPRODUCT(--($H76:$AC76&lt;&gt;"N/A"))</f>
        <v/>
      </c>
      <c r="AF76" s="9">
        <f>SUMPRODUCT(--(((($H76:$AC76&lt;&gt;"N/A")*($H76:$AC76&lt;&gt;"Cell will autofill based on response"))+(($H77:$AC77&lt;&gt;"N/A")*($H77:$AC77&lt;&gt;"Cell will autofill based on response")))&gt;0))</f>
        <v/>
      </c>
      <c r="AG76" s="9">
        <f>AE76-AF76</f>
        <v/>
      </c>
      <c r="AH76" s="9">
        <f>COUNTIF($H80:$AC80,"Yes")</f>
        <v/>
      </c>
    </row>
    <row r="77" ht="39" customHeight="1">
      <c r="A77">
        <f>F77&amp;"|"&amp;G77</f>
        <v/>
      </c>
      <c r="B77" s="12" t="inlineStr"/>
      <c r="C77" s="7" t="inlineStr"/>
      <c r="D77" s="7" t="inlineStr"/>
      <c r="E77" s="7" t="inlineStr"/>
      <c r="F77" s="7" t="inlineStr">
        <is>
          <t>TR3(c)</t>
        </is>
      </c>
      <c r="G77" s="7" t="inlineStr">
        <is>
          <t>OPTION 2:  Indicator level reporting</t>
        </is>
      </c>
      <c r="H77" s="50">
        <f>IFERROR(IF(INDEX('Faculties'!$M$10:$M$18,MATCH($F77,'Faculties'!$B$10:$B$18,0))="","Cell will autofill based on response",INDEX('Faculties'!$M$10:$M$18,MATCH($F77,'Faculties'!$B$10:$B$18,0))),"N/A")</f>
        <v/>
      </c>
      <c r="I77" s="50">
        <f>IFERROR(IF(INDEX('Faculties'!$M$25:$M$34,MATCH($F77,'Faculties'!$B$25:$B$34,0))="","Cell will autofill based on response",INDEX('Faculties'!$M$25:$M$34,MATCH($F77,'Faculties'!$B$25:$B$34,0))),"N/A")</f>
        <v/>
      </c>
      <c r="J77" s="50">
        <f>IFERROR(IF(INDEX('Faculties'!$M$41:$M$50,MATCH($F77,'Faculties'!$B$41:$B$50,0))="","Cell will autofill based on response",INDEX('Faculties'!$M$41:$M$50,MATCH($F77,'Faculties'!$B$41:$B$50,0))),"N/A")</f>
        <v/>
      </c>
      <c r="K77" s="50">
        <f>IFERROR(IF(INDEX('Faculties'!$M$57:$M$66,MATCH($F77,'Faculties'!$B$57:$B$66,0))="","Cell will autofill based on response",INDEX('Faculties'!$M$57:$M$66,MATCH($F77,'Faculties'!$B$57:$B$66,0))),"N/A")</f>
        <v/>
      </c>
      <c r="L77" s="50">
        <f>IFERROR(IF(INDEX('Faculties'!$M$73:$M$82,MATCH($F77,'Faculties'!$B$73:$B$82,0))="","Cell will autofill based on response",INDEX('Faculties'!$M$73:$M$82,MATCH($F77,'Faculties'!$B$73:$B$82,0))),"N/A")</f>
        <v/>
      </c>
      <c r="M77" s="50">
        <f>IFERROR(IF(INDEX('Faculties'!$M$89:$M$98,MATCH($F77,'Faculties'!$B$89:$B$98,0))="","Cell will autofill based on response",INDEX('Faculties'!$M$89:$M$98,MATCH($F77,'Faculties'!$B$89:$B$98,0))),"N/A")</f>
        <v/>
      </c>
      <c r="N77" s="50">
        <f>IFERROR(IF(INDEX('Faculties'!$M$105:$M$114,MATCH($F77,'Faculties'!$B$105:$B$114,0))="","Cell will autofill based on response",INDEX('Faculties'!$M$105:$M$114,MATCH($F77,'Faculties'!$B$105:$B$114,0))),"N/A")</f>
        <v/>
      </c>
      <c r="O77" s="50">
        <f>IFERROR(IF(INDEX('Faculties'!$M$121:$M$130,MATCH($F77,'Faculties'!$B$121:$B$130,0))="","Cell will autofill based on response",INDEX('Faculties'!$M$121:$M$130,MATCH($F77,'Faculties'!$B$121:$B$130,0))),"N/A")</f>
        <v/>
      </c>
      <c r="P77" s="50">
        <f>IFERROR(IF(INDEX('Faculties'!$M$137:$M$146,MATCH($F77,'Faculties'!$B$137:$B$146,0))="","Cell will autofill based on response",INDEX('Faculties'!$M$137:$M$146,MATCH($F77,'Faculties'!$B$137:$B$146,0))),"N/A")</f>
        <v/>
      </c>
      <c r="Q77" s="50">
        <f>IFERROR(IF(INDEX('CI&amp;S'!$M$10:$M$15,MATCH($F77,'CI&amp;S'!$B$10:$B$15,0))="","Cell will autofill based on response",INDEX('CI&amp;S'!$M$10:$M$15,MATCH($F77,'CI&amp;S'!$B$10:$B$15,0))),"N/A")</f>
        <v/>
      </c>
      <c r="R77" s="50">
        <f>IFERROR(IF(INDEX('CI&amp;S'!$M$22:$M$36,MATCH($F77,'CI&amp;S'!$B$22:$B$36,0))="","Cell will autofill based on response",INDEX('CI&amp;S'!$M$22:$M$36,MATCH($F77,'CI&amp;S'!$B$22:$B$36,0))),"N/A")</f>
        <v/>
      </c>
      <c r="S77" s="50">
        <f>IFERROR(IF(INDEX('CFOG'!$M$10:$M$16,MATCH($F77,'CFOG'!$B$10:$B$16,0))="","Cell will autofill based on response",INDEX('CFOG'!$M$10:$M$16,MATCH($F77,'CFOG'!$B$10:$B$16,0))),"N/A")</f>
        <v/>
      </c>
      <c r="T77" s="50">
        <f>IFERROR(IF(INDEX('CFOG'!$M$23:$M$24,MATCH($F77,'CFOG'!$B$23:$B$24,0))="","Cell will autofill based on response",INDEX('CFOG'!$M$23:$M$24,MATCH($F77,'CFOG'!$B$23:$B$24,0))),"N/A")</f>
        <v/>
      </c>
      <c r="U77" s="50">
        <f>IFERROR(IF(INDEX('ESG'!$M$10:$M$17,MATCH($F77,'ESG'!$B$10:$B$17,0))="","Cell will autofill based on response",INDEX('ESG'!$M$10:$M$17,MATCH($F77,'ESG'!$B$10:$B$17,0))),"N/A")</f>
        <v/>
      </c>
      <c r="V77" s="50">
        <f>IFERROR(IF(INDEX('CIOG'!$M$10:$M$14,MATCH($F77,'CIOG'!$B$10:$B$14,0))="","Cell will autofill based on response",INDEX('CIOG'!$M$10:$M$14,MATCH($F77,'CIOG'!$B$10:$B$14,0))),"N/A")</f>
        <v/>
      </c>
      <c r="W77" s="50">
        <f>IFERROR(IF(INDEX('MRE'!$M$10:$M$18,MATCH($F77,'MRE'!$B$10:$B$18,0))="","Cell will autofill based on response",INDEX('MRE'!$M$10:$M$18,MATCH($F77,'MRE'!$B$10:$B$18,0))),"N/A")</f>
        <v/>
      </c>
      <c r="X77" s="50">
        <f>IFERROR(IF(INDEX('AC&amp;M'!$M$10:$M$14,MATCH($F77,'AC&amp;M'!$B$10:$B$14,0))="","Cell will autofill based on response",INDEX('AC&amp;M'!$M$10:$M$14,MATCH($F77,'AC&amp;M'!$B$10:$B$14,0))),"N/A")</f>
        <v/>
      </c>
      <c r="Y77" s="50">
        <f>IFERROR(IF(INDEX('GCE'!$M$10:$M$12,MATCH($F77,'GCE'!$B$10:$B$12,0))="","Cell will autofill based on response",INDEX('GCE'!$M$10:$M$12,MATCH($F77,'GCE'!$B$10:$B$12,0))),"N/A")</f>
        <v/>
      </c>
      <c r="Z77" s="50">
        <f>IFERROR(IF(INDEX('Education'!$M$10:$M$13,MATCH($F77,'Education'!$B$10:$B$13,0))="","Cell will autofill based on response",INDEX('Education'!$M$10:$M$13,MATCH($F77,'Education'!$B$10:$B$13,0))),"N/A")</f>
        <v/>
      </c>
      <c r="AA77" s="50">
        <f>IFERROR(IF(INDEX('SaSS'!$M$10:$M$12,MATCH($F77,'SaSS'!$B$10:$B$12,0))="","Cell will autofill based on response",INDEX('SaSS'!$M$10:$M$12,MATCH($F77,'SaSS'!$B$10:$B$12,0))),"N/A")</f>
        <v/>
      </c>
      <c r="AB77" s="50">
        <f>IFERROR(IF(INDEX('Indigenous'!$M$10:$M$11,MATCH($F77,'Indigenous'!$B$10:$B$11,0))="","Cell will autofill based on response",INDEX('Indigenous'!$M$10:$M$11,MATCH($F77,'Indigenous'!$B$10:$B$11,0))),"N/A")</f>
        <v/>
      </c>
      <c r="AC77" s="50">
        <f>IFERROR(IF(INDEX('L&amp;R'!$M$10:$M$11,MATCH($F77,'L&amp;R'!$B$10:$B$11,0))="","Cell will autofill based on response",INDEX('L&amp;R'!$M$10:$M$11,MATCH($F77,'L&amp;R'!$B$10:$B$11,0))),"N/A")</f>
        <v/>
      </c>
    </row>
    <row r="78" ht="22" customHeight="1">
      <c r="A78">
        <f>F78&amp;"|"&amp;G78</f>
        <v/>
      </c>
      <c r="B78" s="12" t="inlineStr"/>
      <c r="C78" s="7" t="inlineStr"/>
      <c r="D78" s="7" t="inlineStr"/>
      <c r="E78" s="7" t="inlineStr"/>
      <c r="F78" s="7" t="inlineStr">
        <is>
          <t>TR3(c)</t>
        </is>
      </c>
      <c r="G78" s="7" t="inlineStr">
        <is>
          <t>Supporting information/comments</t>
        </is>
      </c>
      <c r="H78" s="50">
        <f>IFERROR(IF(INDEX('Faculties'!$N$10:$N$18,MATCH($F78,'Faculties'!$B$10:$B$18,0))="","Cell will autofill based on response",INDEX('Faculties'!$N$10:$N$18,MATCH($F78,'Faculties'!$B$10:$B$18,0))),"N/A")</f>
        <v/>
      </c>
      <c r="I78" s="50">
        <f>IFERROR(IF(INDEX('Faculties'!$N$25:$N$34,MATCH($F78,'Faculties'!$B$25:$B$34,0))="","Cell will autofill based on response",INDEX('Faculties'!$N$25:$N$34,MATCH($F78,'Faculties'!$B$25:$B$34,0))),"N/A")</f>
        <v/>
      </c>
      <c r="J78" s="50">
        <f>IFERROR(IF(INDEX('Faculties'!$N$41:$N$50,MATCH($F78,'Faculties'!$B$41:$B$50,0))="","Cell will autofill based on response",INDEX('Faculties'!$N$41:$N$50,MATCH($F78,'Faculties'!$B$41:$B$50,0))),"N/A")</f>
        <v/>
      </c>
      <c r="K78" s="50">
        <f>IFERROR(IF(INDEX('Faculties'!$N$57:$N$66,MATCH($F78,'Faculties'!$B$57:$B$66,0))="","Cell will autofill based on response",INDEX('Faculties'!$N$57:$N$66,MATCH($F78,'Faculties'!$B$57:$B$66,0))),"N/A")</f>
        <v/>
      </c>
      <c r="L78" s="50">
        <f>IFERROR(IF(INDEX('Faculties'!$N$73:$N$82,MATCH($F78,'Faculties'!$B$73:$B$82,0))="","Cell will autofill based on response",INDEX('Faculties'!$N$73:$N$82,MATCH($F78,'Faculties'!$B$73:$B$82,0))),"N/A")</f>
        <v/>
      </c>
      <c r="M78" s="50">
        <f>IFERROR(IF(INDEX('Faculties'!$N$89:$N$98,MATCH($F78,'Faculties'!$B$89:$B$98,0))="","Cell will autofill based on response",INDEX('Faculties'!$N$89:$N$98,MATCH($F78,'Faculties'!$B$89:$B$98,0))),"N/A")</f>
        <v/>
      </c>
      <c r="N78" s="50">
        <f>IFERROR(IF(INDEX('Faculties'!$N$105:$N$114,MATCH($F78,'Faculties'!$B$105:$B$114,0))="","Cell will autofill based on response",INDEX('Faculties'!$N$105:$N$114,MATCH($F78,'Faculties'!$B$105:$B$114,0))),"N/A")</f>
        <v/>
      </c>
      <c r="O78" s="50">
        <f>IFERROR(IF(INDEX('Faculties'!$N$121:$N$130,MATCH($F78,'Faculties'!$B$121:$B$130,0))="","Cell will autofill based on response",INDEX('Faculties'!$N$121:$N$130,MATCH($F78,'Faculties'!$B$121:$B$130,0))),"N/A")</f>
        <v/>
      </c>
      <c r="P78" s="50">
        <f>IFERROR(IF(INDEX('Faculties'!$N$137:$N$146,MATCH($F78,'Faculties'!$B$137:$B$146,0))="","Cell will autofill based on response",INDEX('Faculties'!$N$137:$N$146,MATCH($F78,'Faculties'!$B$137:$B$146,0))),"N/A")</f>
        <v/>
      </c>
      <c r="Q78" s="50">
        <f>IFERROR(IF(INDEX('CI&amp;S'!$N$10:$N$15,MATCH($F78,'CI&amp;S'!$B$10:$B$15,0))="","Cell will autofill based on response",INDEX('CI&amp;S'!$N$10:$N$15,MATCH($F78,'CI&amp;S'!$B$10:$B$15,0))),"N/A")</f>
        <v/>
      </c>
      <c r="R78" s="50">
        <f>IFERROR(IF(INDEX('CI&amp;S'!$N$22:$N$36,MATCH($F78,'CI&amp;S'!$B$22:$B$36,0))="","Cell will autofill based on response",INDEX('CI&amp;S'!$N$22:$N$36,MATCH($F78,'CI&amp;S'!$B$22:$B$36,0))),"N/A")</f>
        <v/>
      </c>
      <c r="S78" s="50">
        <f>IFERROR(IF(INDEX('CFOG'!$N$10:$N$16,MATCH($F78,'CFOG'!$B$10:$B$16,0))="","Cell will autofill based on response",INDEX('CFOG'!$N$10:$N$16,MATCH($F78,'CFOG'!$B$10:$B$16,0))),"N/A")</f>
        <v/>
      </c>
      <c r="T78" s="50">
        <f>IFERROR(IF(INDEX('CFOG'!$N$23:$N$24,MATCH($F78,'CFOG'!$B$23:$B$24,0))="","Cell will autofill based on response",INDEX('CFOG'!$N$23:$N$24,MATCH($F78,'CFOG'!$B$23:$B$24,0))),"N/A")</f>
        <v/>
      </c>
      <c r="U78" s="50">
        <f>IFERROR(IF(INDEX('ESG'!$N$10:$N$17,MATCH($F78,'ESG'!$B$10:$B$17,0))="","Cell will autofill based on response",INDEX('ESG'!$N$10:$N$17,MATCH($F78,'ESG'!$B$10:$B$17,0))),"N/A")</f>
        <v/>
      </c>
      <c r="V78" s="50">
        <f>IFERROR(IF(INDEX('CIOG'!$N$10:$N$14,MATCH($F78,'CIOG'!$B$10:$B$14,0))="","Cell will autofill based on response",INDEX('CIOG'!$N$10:$N$14,MATCH($F78,'CIOG'!$B$10:$B$14,0))),"N/A")</f>
        <v/>
      </c>
      <c r="W78" s="50">
        <f>IFERROR(IF(INDEX('MRE'!$N$10:$N$18,MATCH($F78,'MRE'!$B$10:$B$18,0))="","Cell will autofill based on response",INDEX('MRE'!$N$10:$N$18,MATCH($F78,'MRE'!$B$10:$B$18,0))),"N/A")</f>
        <v/>
      </c>
      <c r="X78" s="50">
        <f>IFERROR(IF(INDEX('AC&amp;M'!$N$10:$N$14,MATCH($F78,'AC&amp;M'!$B$10:$B$14,0))="","Cell will autofill based on response",INDEX('AC&amp;M'!$N$10:$N$14,MATCH($F78,'AC&amp;M'!$B$10:$B$14,0))),"N/A")</f>
        <v/>
      </c>
      <c r="Y78" s="50">
        <f>IFERROR(IF(INDEX('GCE'!$N$10:$N$12,MATCH($F78,'GCE'!$B$10:$B$12,0))="","Cell will autofill based on response",INDEX('GCE'!$N$10:$N$12,MATCH($F78,'GCE'!$B$10:$B$12,0))),"N/A")</f>
        <v/>
      </c>
      <c r="Z78" s="50">
        <f>IFERROR(IF(INDEX('Education'!$N$10:$N$13,MATCH($F78,'Education'!$B$10:$B$13,0))="","Cell will autofill based on response",INDEX('Education'!$N$10:$N$13,MATCH($F78,'Education'!$B$10:$B$13,0))),"N/A")</f>
        <v/>
      </c>
      <c r="AA78" s="50">
        <f>IFERROR(IF(INDEX('SaSS'!$N$10:$N$12,MATCH($F78,'SaSS'!$B$10:$B$12,0))="","Cell will autofill based on response",INDEX('SaSS'!$N$10:$N$12,MATCH($F78,'SaSS'!$B$10:$B$12,0))),"N/A")</f>
        <v/>
      </c>
      <c r="AB78" s="50">
        <f>IFERROR(IF(INDEX('Indigenous'!$N$10:$N$11,MATCH($F78,'Indigenous'!$B$10:$B$11,0))="","Cell will autofill based on response",INDEX('Indigenous'!$N$10:$N$11,MATCH($F78,'Indigenous'!$B$10:$B$11,0))),"N/A")</f>
        <v/>
      </c>
      <c r="AC78" s="50">
        <f>IFERROR(IF(INDEX('L&amp;R'!$N$10:$N$11,MATCH($F78,'L&amp;R'!$B$10:$B$11,0))="","Cell will autofill based on response",INDEX('L&amp;R'!$N$10:$N$11,MATCH($F78,'L&amp;R'!$B$10:$B$11,0))),"N/A")</f>
        <v/>
      </c>
    </row>
    <row r="79" ht="22" customHeight="1">
      <c r="A79">
        <f>F79&amp;"|"&amp;G79</f>
        <v/>
      </c>
      <c r="B79" s="12" t="inlineStr"/>
      <c r="C79" s="7" t="inlineStr"/>
      <c r="D79" s="7" t="inlineStr"/>
      <c r="E79" s="7" t="inlineStr"/>
      <c r="F79" s="7" t="inlineStr">
        <is>
          <t>TR3(c)</t>
        </is>
      </c>
      <c r="G79" s="7" t="inlineStr">
        <is>
          <t>Data source and limitations</t>
        </is>
      </c>
      <c r="H79" s="50">
        <f>IFERROR(IF(INDEX('Faculties'!$O$10:$O$18,MATCH($F79,'Faculties'!$B$10:$B$18,0))="","Cell will autofill based on response",INDEX('Faculties'!$O$10:$O$18,MATCH($F79,'Faculties'!$B$10:$B$18,0))),"N/A")</f>
        <v/>
      </c>
      <c r="I79" s="50">
        <f>IFERROR(IF(INDEX('Faculties'!$O$25:$O$34,MATCH($F79,'Faculties'!$B$25:$B$34,0))="","Cell will autofill based on response",INDEX('Faculties'!$O$25:$O$34,MATCH($F79,'Faculties'!$B$25:$B$34,0))),"N/A")</f>
        <v/>
      </c>
      <c r="J79" s="50">
        <f>IFERROR(IF(INDEX('Faculties'!$O$41:$O$50,MATCH($F79,'Faculties'!$B$41:$B$50,0))="","Cell will autofill based on response",INDEX('Faculties'!$O$41:$O$50,MATCH($F79,'Faculties'!$B$41:$B$50,0))),"N/A")</f>
        <v/>
      </c>
      <c r="K79" s="50">
        <f>IFERROR(IF(INDEX('Faculties'!$O$57:$O$66,MATCH($F79,'Faculties'!$B$57:$B$66,0))="","Cell will autofill based on response",INDEX('Faculties'!$O$57:$O$66,MATCH($F79,'Faculties'!$B$57:$B$66,0))),"N/A")</f>
        <v/>
      </c>
      <c r="L79" s="50">
        <f>IFERROR(IF(INDEX('Faculties'!$O$73:$O$82,MATCH($F79,'Faculties'!$B$73:$B$82,0))="","Cell will autofill based on response",INDEX('Faculties'!$O$73:$O$82,MATCH($F79,'Faculties'!$B$73:$B$82,0))),"N/A")</f>
        <v/>
      </c>
      <c r="M79" s="50">
        <f>IFERROR(IF(INDEX('Faculties'!$O$89:$O$98,MATCH($F79,'Faculties'!$B$89:$B$98,0))="","Cell will autofill based on response",INDEX('Faculties'!$O$89:$O$98,MATCH($F79,'Faculties'!$B$89:$B$98,0))),"N/A")</f>
        <v/>
      </c>
      <c r="N79" s="50">
        <f>IFERROR(IF(INDEX('Faculties'!$O$105:$O$114,MATCH($F79,'Faculties'!$B$105:$B$114,0))="","Cell will autofill based on response",INDEX('Faculties'!$O$105:$O$114,MATCH($F79,'Faculties'!$B$105:$B$114,0))),"N/A")</f>
        <v/>
      </c>
      <c r="O79" s="50">
        <f>IFERROR(IF(INDEX('Faculties'!$O$121:$O$130,MATCH($F79,'Faculties'!$B$121:$B$130,0))="","Cell will autofill based on response",INDEX('Faculties'!$O$121:$O$130,MATCH($F79,'Faculties'!$B$121:$B$130,0))),"N/A")</f>
        <v/>
      </c>
      <c r="P79" s="50">
        <f>IFERROR(IF(INDEX('Faculties'!$O$137:$O$146,MATCH($F79,'Faculties'!$B$137:$B$146,0))="","Cell will autofill based on response",INDEX('Faculties'!$O$137:$O$146,MATCH($F79,'Faculties'!$B$137:$B$146,0))),"N/A")</f>
        <v/>
      </c>
      <c r="Q79" s="50">
        <f>IFERROR(IF(INDEX('CI&amp;S'!$O$10:$O$15,MATCH($F79,'CI&amp;S'!$B$10:$B$15,0))="","Cell will autofill based on response",INDEX('CI&amp;S'!$O$10:$O$15,MATCH($F79,'CI&amp;S'!$B$10:$B$15,0))),"N/A")</f>
        <v/>
      </c>
      <c r="R79" s="50">
        <f>IFERROR(IF(INDEX('CI&amp;S'!$O$22:$O$36,MATCH($F79,'CI&amp;S'!$B$22:$B$36,0))="","Cell will autofill based on response",INDEX('CI&amp;S'!$O$22:$O$36,MATCH($F79,'CI&amp;S'!$B$22:$B$36,0))),"N/A")</f>
        <v/>
      </c>
      <c r="S79" s="50">
        <f>IFERROR(IF(INDEX('CFOG'!$O$10:$O$16,MATCH($F79,'CFOG'!$B$10:$B$16,0))="","Cell will autofill based on response",INDEX('CFOG'!$O$10:$O$16,MATCH($F79,'CFOG'!$B$10:$B$16,0))),"N/A")</f>
        <v/>
      </c>
      <c r="T79" s="50">
        <f>IFERROR(IF(INDEX('CFOG'!$O$23:$O$24,MATCH($F79,'CFOG'!$B$23:$B$24,0))="","Cell will autofill based on response",INDEX('CFOG'!$O$23:$O$24,MATCH($F79,'CFOG'!$B$23:$B$24,0))),"N/A")</f>
        <v/>
      </c>
      <c r="U79" s="50">
        <f>IFERROR(IF(INDEX('ESG'!$O$10:$O$17,MATCH($F79,'ESG'!$B$10:$B$17,0))="","Cell will autofill based on response",INDEX('ESG'!$O$10:$O$17,MATCH($F79,'ESG'!$B$10:$B$17,0))),"N/A")</f>
        <v/>
      </c>
      <c r="V79" s="50">
        <f>IFERROR(IF(INDEX('CIOG'!$O$10:$O$14,MATCH($F79,'CIOG'!$B$10:$B$14,0))="","Cell will autofill based on response",INDEX('CIOG'!$O$10:$O$14,MATCH($F79,'CIOG'!$B$10:$B$14,0))),"N/A")</f>
        <v/>
      </c>
      <c r="W79" s="50">
        <f>IFERROR(IF(INDEX('MRE'!$O$10:$O$18,MATCH($F79,'MRE'!$B$10:$B$18,0))="","Cell will autofill based on response",INDEX('MRE'!$O$10:$O$18,MATCH($F79,'MRE'!$B$10:$B$18,0))),"N/A")</f>
        <v/>
      </c>
      <c r="X79" s="50">
        <f>IFERROR(IF(INDEX('AC&amp;M'!$O$10:$O$14,MATCH($F79,'AC&amp;M'!$B$10:$B$14,0))="","Cell will autofill based on response",INDEX('AC&amp;M'!$O$10:$O$14,MATCH($F79,'AC&amp;M'!$B$10:$B$14,0))),"N/A")</f>
        <v/>
      </c>
      <c r="Y79" s="50">
        <f>IFERROR(IF(INDEX('GCE'!$O$10:$O$12,MATCH($F79,'GCE'!$B$10:$B$12,0))="","Cell will autofill based on response",INDEX('GCE'!$O$10:$O$12,MATCH($F79,'GCE'!$B$10:$B$12,0))),"N/A")</f>
        <v/>
      </c>
      <c r="Z79" s="50">
        <f>IFERROR(IF(INDEX('Education'!$O$10:$O$13,MATCH($F79,'Education'!$B$10:$B$13,0))="","Cell will autofill based on response",INDEX('Education'!$O$10:$O$13,MATCH($F79,'Education'!$B$10:$B$13,0))),"N/A")</f>
        <v/>
      </c>
      <c r="AA79" s="50">
        <f>IFERROR(IF(INDEX('SaSS'!$O$10:$O$12,MATCH($F79,'SaSS'!$B$10:$B$12,0))="","Cell will autofill based on response",INDEX('SaSS'!$O$10:$O$12,MATCH($F79,'SaSS'!$B$10:$B$12,0))),"N/A")</f>
        <v/>
      </c>
      <c r="AB79" s="50">
        <f>IFERROR(IF(INDEX('Indigenous'!$O$10:$O$11,MATCH($F79,'Indigenous'!$B$10:$B$11,0))="","Cell will autofill based on response",INDEX('Indigenous'!$O$10:$O$11,MATCH($F79,'Indigenous'!$B$10:$B$11,0))),"N/A")</f>
        <v/>
      </c>
      <c r="AC79" s="50">
        <f>IFERROR(IF(INDEX('L&amp;R'!$O$10:$O$11,MATCH($F79,'L&amp;R'!$B$10:$B$11,0))="","Cell will autofill based on response",INDEX('L&amp;R'!$O$10:$O$11,MATCH($F79,'L&amp;R'!$B$10:$B$11,0))),"N/A")</f>
        <v/>
      </c>
    </row>
    <row r="80" ht="22" customHeight="1">
      <c r="A80">
        <f>F80&amp;"|"&amp;G80</f>
        <v/>
      </c>
      <c r="B80" s="12" t="inlineStr"/>
      <c r="C80" s="7" t="inlineStr"/>
      <c r="D80" s="7" t="inlineStr"/>
      <c r="E80" s="7" t="inlineStr"/>
      <c r="F80" s="7" t="inlineStr">
        <is>
          <t>TR3(c)</t>
        </is>
      </c>
      <c r="G80" s="7" t="inlineStr">
        <is>
          <t>Data owner confirms</t>
        </is>
      </c>
      <c r="H80" s="50">
        <f>IFERROR(IF(INDEX('Faculties'!$P$10:$P$18,MATCH($F80,'Faculties'!$B$10:$B$18,0))="","Cell will autofill based on response",INDEX('Faculties'!$P$10:$P$18,MATCH($F80,'Faculties'!$B$10:$B$18,0))),"N/A")</f>
        <v/>
      </c>
      <c r="I80" s="50">
        <f>IFERROR(IF(INDEX('Faculties'!$P$25:$P$34,MATCH($F80,'Faculties'!$B$25:$B$34,0))="","Cell will autofill based on response",INDEX('Faculties'!$P$25:$P$34,MATCH($F80,'Faculties'!$B$25:$B$34,0))),"N/A")</f>
        <v/>
      </c>
      <c r="J80" s="50">
        <f>IFERROR(IF(INDEX('Faculties'!$P$41:$P$50,MATCH($F80,'Faculties'!$B$41:$B$50,0))="","Cell will autofill based on response",INDEX('Faculties'!$P$41:$P$50,MATCH($F80,'Faculties'!$B$41:$B$50,0))),"N/A")</f>
        <v/>
      </c>
      <c r="K80" s="50">
        <f>IFERROR(IF(INDEX('Faculties'!$P$57:$P$66,MATCH($F80,'Faculties'!$B$57:$B$66,0))="","Cell will autofill based on response",INDEX('Faculties'!$P$57:$P$66,MATCH($F80,'Faculties'!$B$57:$B$66,0))),"N/A")</f>
        <v/>
      </c>
      <c r="L80" s="50">
        <f>IFERROR(IF(INDEX('Faculties'!$P$73:$P$82,MATCH($F80,'Faculties'!$B$73:$B$82,0))="","Cell will autofill based on response",INDEX('Faculties'!$P$73:$P$82,MATCH($F80,'Faculties'!$B$73:$B$82,0))),"N/A")</f>
        <v/>
      </c>
      <c r="M80" s="50">
        <f>IFERROR(IF(INDEX('Faculties'!$P$89:$P$98,MATCH($F80,'Faculties'!$B$89:$B$98,0))="","Cell will autofill based on response",INDEX('Faculties'!$P$89:$P$98,MATCH($F80,'Faculties'!$B$89:$B$98,0))),"N/A")</f>
        <v/>
      </c>
      <c r="N80" s="50">
        <f>IFERROR(IF(INDEX('Faculties'!$P$105:$P$114,MATCH($F80,'Faculties'!$B$105:$B$114,0))="","Cell will autofill based on response",INDEX('Faculties'!$P$105:$P$114,MATCH($F80,'Faculties'!$B$105:$B$114,0))),"N/A")</f>
        <v/>
      </c>
      <c r="O80" s="50">
        <f>IFERROR(IF(INDEX('Faculties'!$P$121:$P$130,MATCH($F80,'Faculties'!$B$121:$B$130,0))="","Cell will autofill based on response",INDEX('Faculties'!$P$121:$P$130,MATCH($F80,'Faculties'!$B$121:$B$130,0))),"N/A")</f>
        <v/>
      </c>
      <c r="P80" s="50">
        <f>IFERROR(IF(INDEX('Faculties'!$P$137:$P$146,MATCH($F80,'Faculties'!$B$137:$B$146,0))="","Cell will autofill based on response",INDEX('Faculties'!$P$137:$P$146,MATCH($F80,'Faculties'!$B$137:$B$146,0))),"N/A")</f>
        <v/>
      </c>
      <c r="Q80" s="50">
        <f>IFERROR(IF(INDEX('CI&amp;S'!$P$10:$P$15,MATCH($F80,'CI&amp;S'!$B$10:$B$15,0))="","Cell will autofill based on response",INDEX('CI&amp;S'!$P$10:$P$15,MATCH($F80,'CI&amp;S'!$B$10:$B$15,0))),"N/A")</f>
        <v/>
      </c>
      <c r="R80" s="50">
        <f>IFERROR(IF(INDEX('CI&amp;S'!$P$22:$P$36,MATCH($F80,'CI&amp;S'!$B$22:$B$36,0))="","Cell will autofill based on response",INDEX('CI&amp;S'!$P$22:$P$36,MATCH($F80,'CI&amp;S'!$B$22:$B$36,0))),"N/A")</f>
        <v/>
      </c>
      <c r="S80" s="50">
        <f>IFERROR(IF(INDEX('CFOG'!$P$10:$P$16,MATCH($F80,'CFOG'!$B$10:$B$16,0))="","Cell will autofill based on response",INDEX('CFOG'!$P$10:$P$16,MATCH($F80,'CFOG'!$B$10:$B$16,0))),"N/A")</f>
        <v/>
      </c>
      <c r="T80" s="50">
        <f>IFERROR(IF(INDEX('CFOG'!$P$23:$P$24,MATCH($F80,'CFOG'!$B$23:$B$24,0))="","Cell will autofill based on response",INDEX('CFOG'!$P$23:$P$24,MATCH($F80,'CFOG'!$B$23:$B$24,0))),"N/A")</f>
        <v/>
      </c>
      <c r="U80" s="50">
        <f>IFERROR(IF(INDEX('ESG'!$P$10:$P$17,MATCH($F80,'ESG'!$B$10:$B$17,0))="","Cell will autofill based on response",INDEX('ESG'!$P$10:$P$17,MATCH($F80,'ESG'!$B$10:$B$17,0))),"N/A")</f>
        <v/>
      </c>
      <c r="V80" s="50">
        <f>IFERROR(IF(INDEX('CIOG'!$P$10:$P$14,MATCH($F80,'CIOG'!$B$10:$B$14,0))="","Cell will autofill based on response",INDEX('CIOG'!$P$10:$P$14,MATCH($F80,'CIOG'!$B$10:$B$14,0))),"N/A")</f>
        <v/>
      </c>
      <c r="W80" s="50">
        <f>IFERROR(IF(INDEX('MRE'!$P$10:$P$18,MATCH($F80,'MRE'!$B$10:$B$18,0))="","Cell will autofill based on response",INDEX('MRE'!$P$10:$P$18,MATCH($F80,'MRE'!$B$10:$B$18,0))),"N/A")</f>
        <v/>
      </c>
      <c r="X80" s="50">
        <f>IFERROR(IF(INDEX('AC&amp;M'!$P$10:$P$14,MATCH($F80,'AC&amp;M'!$B$10:$B$14,0))="","Cell will autofill based on response",INDEX('AC&amp;M'!$P$10:$P$14,MATCH($F80,'AC&amp;M'!$B$10:$B$14,0))),"N/A")</f>
        <v/>
      </c>
      <c r="Y80" s="50">
        <f>IFERROR(IF(INDEX('GCE'!$P$10:$P$12,MATCH($F80,'GCE'!$B$10:$B$12,0))="","Cell will autofill based on response",INDEX('GCE'!$P$10:$P$12,MATCH($F80,'GCE'!$B$10:$B$12,0))),"N/A")</f>
        <v/>
      </c>
      <c r="Z80" s="50">
        <f>IFERROR(IF(INDEX('Education'!$P$10:$P$13,MATCH($F80,'Education'!$B$10:$B$13,0))="","Cell will autofill based on response",INDEX('Education'!$P$10:$P$13,MATCH($F80,'Education'!$B$10:$B$13,0))),"N/A")</f>
        <v/>
      </c>
      <c r="AA80" s="50">
        <f>IFERROR(IF(INDEX('SaSS'!$P$10:$P$12,MATCH($F80,'SaSS'!$B$10:$B$12,0))="","Cell will autofill based on response",INDEX('SaSS'!$P$10:$P$12,MATCH($F80,'SaSS'!$B$10:$B$12,0))),"N/A")</f>
        <v/>
      </c>
      <c r="AB80" s="50">
        <f>IFERROR(IF(INDEX('Indigenous'!$P$10:$P$11,MATCH($F80,'Indigenous'!$B$10:$B$11,0))="","Cell will autofill based on response",INDEX('Indigenous'!$P$10:$P$11,MATCH($F80,'Indigenous'!$B$10:$B$11,0))),"N/A")</f>
        <v/>
      </c>
      <c r="AC80" s="50">
        <f>IFERROR(IF(INDEX('L&amp;R'!$P$10:$P$11,MATCH($F80,'L&amp;R'!$B$10:$B$11,0))="","Cell will autofill based on response",INDEX('L&amp;R'!$P$10:$P$11,MATCH($F80,'L&amp;R'!$B$10:$B$11,0))),"N/A")</f>
        <v/>
      </c>
    </row>
    <row r="81" ht="88" customHeight="1">
      <c r="A81">
        <f>F81&amp;"|"&amp;G81</f>
        <v/>
      </c>
      <c r="B81" s="6" t="inlineStr">
        <is>
          <t>TR3(d)</t>
        </is>
      </c>
      <c r="C81" s="48" t="inlineStr">
        <is>
          <t>Transformational research</t>
        </is>
      </c>
      <c r="D81" s="48" t="inlineStr">
        <is>
          <t>Expert assessment of progress in embedding sustainable research practices across the institution.</t>
        </is>
      </c>
      <c r="E81" s="48" t="inlineStr">
        <is>
          <t>Faculty/Portfolio’s assessment of progress in embedding sustainable research practices, highlighting areas of strong progress, remaining gaps and priority actions for further improvement.</t>
        </is>
      </c>
      <c r="F81" s="48" t="inlineStr">
        <is>
          <t>TR3(d)</t>
        </is>
      </c>
      <c r="G81" s="48" t="inlineStr">
        <is>
          <t>OPTION 1:  Target-level reporting</t>
        </is>
      </c>
      <c r="H81" s="50">
        <f>IFERROR(IF(INDEX('Faculties'!$L$10:$L$18,MATCH($F81,'Faculties'!$B$10:$B$18,0))="","Cell will autofill based on response",INDEX('Faculties'!$L$10:$L$18,MATCH($F81,'Faculties'!$B$10:$B$18,0))),"N/A")</f>
        <v/>
      </c>
      <c r="I81" s="50">
        <f>IFERROR(IF(INDEX('Faculties'!$L$25:$L$34,MATCH($F81,'Faculties'!$B$25:$B$34,0))="","Cell will autofill based on response",INDEX('Faculties'!$L$25:$L$34,MATCH($F81,'Faculties'!$B$25:$B$34,0))),"N/A")</f>
        <v/>
      </c>
      <c r="J81" s="50">
        <f>IFERROR(IF(INDEX('Faculties'!$L$41:$L$50,MATCH($F81,'Faculties'!$B$41:$B$50,0))="","Cell will autofill based on response",INDEX('Faculties'!$L$41:$L$50,MATCH($F81,'Faculties'!$B$41:$B$50,0))),"N/A")</f>
        <v/>
      </c>
      <c r="K81" s="50">
        <f>IFERROR(IF(INDEX('Faculties'!$L$57:$L$66,MATCH($F81,'Faculties'!$B$57:$B$66,0))="","Cell will autofill based on response",INDEX('Faculties'!$L$57:$L$66,MATCH($F81,'Faculties'!$B$57:$B$66,0))),"N/A")</f>
        <v/>
      </c>
      <c r="L81" s="50">
        <f>IFERROR(IF(INDEX('Faculties'!$L$73:$L$82,MATCH($F81,'Faculties'!$B$73:$B$82,0))="","Cell will autofill based on response",INDEX('Faculties'!$L$73:$L$82,MATCH($F81,'Faculties'!$B$73:$B$82,0))),"N/A")</f>
        <v/>
      </c>
      <c r="M81" s="50">
        <f>IFERROR(IF(INDEX('Faculties'!$L$89:$L$98,MATCH($F81,'Faculties'!$B$89:$B$98,0))="","Cell will autofill based on response",INDEX('Faculties'!$L$89:$L$98,MATCH($F81,'Faculties'!$B$89:$B$98,0))),"N/A")</f>
        <v/>
      </c>
      <c r="N81" s="50">
        <f>IFERROR(IF(INDEX('Faculties'!$L$105:$L$114,MATCH($F81,'Faculties'!$B$105:$B$114,0))="","Cell will autofill based on response",INDEX('Faculties'!$L$105:$L$114,MATCH($F81,'Faculties'!$B$105:$B$114,0))),"N/A")</f>
        <v/>
      </c>
      <c r="O81" s="50">
        <f>IFERROR(IF(INDEX('Faculties'!$L$121:$L$130,MATCH($F81,'Faculties'!$B$121:$B$130,0))="","Cell will autofill based on response",INDEX('Faculties'!$L$121:$L$130,MATCH($F81,'Faculties'!$B$121:$B$130,0))),"N/A")</f>
        <v/>
      </c>
      <c r="P81" s="50">
        <f>IFERROR(IF(INDEX('Faculties'!$L$137:$L$146,MATCH($F81,'Faculties'!$B$137:$B$146,0))="","Cell will autofill based on response",INDEX('Faculties'!$L$137:$L$146,MATCH($F81,'Faculties'!$B$137:$B$146,0))),"N/A")</f>
        <v/>
      </c>
      <c r="Q81" s="50">
        <f>IFERROR(IF(INDEX('CI&amp;S'!$L$10:$L$15,MATCH($F81,'CI&amp;S'!$B$10:$B$15,0))="","Cell will autofill based on response",INDEX('CI&amp;S'!$L$10:$L$15,MATCH($F81,'CI&amp;S'!$B$10:$B$15,0))),"N/A")</f>
        <v/>
      </c>
      <c r="R81" s="50">
        <f>IFERROR(IF(INDEX('CI&amp;S'!$L$22:$L$36,MATCH($F81,'CI&amp;S'!$B$22:$B$36,0))="","Cell will autofill based on response",INDEX('CI&amp;S'!$L$22:$L$36,MATCH($F81,'CI&amp;S'!$B$22:$B$36,0))),"N/A")</f>
        <v/>
      </c>
      <c r="S81" s="50">
        <f>IFERROR(IF(INDEX('CFOG'!$L$10:$L$16,MATCH($F81,'CFOG'!$B$10:$B$16,0))="","Cell will autofill based on response",INDEX('CFOG'!$L$10:$L$16,MATCH($F81,'CFOG'!$B$10:$B$16,0))),"N/A")</f>
        <v/>
      </c>
      <c r="T81" s="50">
        <f>IFERROR(IF(INDEX('CFOG'!$L$23:$L$24,MATCH($F81,'CFOG'!$B$23:$B$24,0))="","Cell will autofill based on response",INDEX('CFOG'!$L$23:$L$24,MATCH($F81,'CFOG'!$B$23:$B$24,0))),"N/A")</f>
        <v/>
      </c>
      <c r="U81" s="50">
        <f>IFERROR(IF(INDEX('ESG'!$L$10:$L$17,MATCH($F81,'ESG'!$B$10:$B$17,0))="","Cell will autofill based on response",INDEX('ESG'!$L$10:$L$17,MATCH($F81,'ESG'!$B$10:$B$17,0))),"N/A")</f>
        <v/>
      </c>
      <c r="V81" s="50">
        <f>IFERROR(IF(INDEX('CIOG'!$L$10:$L$14,MATCH($F81,'CIOG'!$B$10:$B$14,0))="","Cell will autofill based on response",INDEX('CIOG'!$L$10:$L$14,MATCH($F81,'CIOG'!$B$10:$B$14,0))),"N/A")</f>
        <v/>
      </c>
      <c r="W81" s="50">
        <f>IFERROR(IF(INDEX('MRE'!$L$10:$L$18,MATCH($F81,'MRE'!$B$10:$B$18,0))="","Cell will autofill based on response",INDEX('MRE'!$L$10:$L$18,MATCH($F81,'MRE'!$B$10:$B$18,0))),"N/A")</f>
        <v/>
      </c>
      <c r="X81" s="50">
        <f>IFERROR(IF(INDEX('AC&amp;M'!$L$10:$L$14,MATCH($F81,'AC&amp;M'!$B$10:$B$14,0))="","Cell will autofill based on response",INDEX('AC&amp;M'!$L$10:$L$14,MATCH($F81,'AC&amp;M'!$B$10:$B$14,0))),"N/A")</f>
        <v/>
      </c>
      <c r="Y81" s="50">
        <f>IFERROR(IF(INDEX('GCE'!$L$10:$L$12,MATCH($F81,'GCE'!$B$10:$B$12,0))="","Cell will autofill based on response",INDEX('GCE'!$L$10:$L$12,MATCH($F81,'GCE'!$B$10:$B$12,0))),"N/A")</f>
        <v/>
      </c>
      <c r="Z81" s="50">
        <f>IFERROR(IF(INDEX('Education'!$L$10:$L$13,MATCH($F81,'Education'!$B$10:$B$13,0))="","Cell will autofill based on response",INDEX('Education'!$L$10:$L$13,MATCH($F81,'Education'!$B$10:$B$13,0))),"N/A")</f>
        <v/>
      </c>
      <c r="AA81" s="50">
        <f>IFERROR(IF(INDEX('SaSS'!$L$10:$L$12,MATCH($F81,'SaSS'!$B$10:$B$12,0))="","Cell will autofill based on response",INDEX('SaSS'!$L$10:$L$12,MATCH($F81,'SaSS'!$B$10:$B$12,0))),"N/A")</f>
        <v/>
      </c>
      <c r="AB81" s="50">
        <f>IFERROR(IF(INDEX('Indigenous'!$L$10:$L$11,MATCH($F81,'Indigenous'!$B$10:$B$11,0))="","Cell will autofill based on response",INDEX('Indigenous'!$L$10:$L$11,MATCH($F81,'Indigenous'!$B$10:$B$11,0))),"N/A")</f>
        <v/>
      </c>
      <c r="AC81" s="50">
        <f>IFERROR(IF(INDEX('L&amp;R'!$L$10:$L$11,MATCH($F81,'L&amp;R'!$B$10:$B$11,0))="","Cell will autofill based on response",INDEX('L&amp;R'!$L$10:$L$11,MATCH($F81,'L&amp;R'!$B$10:$B$11,0))),"N/A")</f>
        <v/>
      </c>
      <c r="AE81" s="9">
        <f>SUMPRODUCT(--($H81:$AC81&lt;&gt;"N/A"))</f>
        <v/>
      </c>
      <c r="AF81" s="9">
        <f>SUMPRODUCT(--(((($H81:$AC81&lt;&gt;"N/A")*($H81:$AC81&lt;&gt;"Cell will autofill based on response"))+(($H82:$AC82&lt;&gt;"N/A")*($H82:$AC82&lt;&gt;"Cell will autofill based on response")))&gt;0))</f>
        <v/>
      </c>
      <c r="AG81" s="9">
        <f>AE81-AF81</f>
        <v/>
      </c>
      <c r="AH81" s="9">
        <f>COUNTIF($H85:$AC85,"Yes")</f>
        <v/>
      </c>
    </row>
    <row r="82" ht="39" customHeight="1">
      <c r="A82">
        <f>F82&amp;"|"&amp;G82</f>
        <v/>
      </c>
      <c r="B82" s="12" t="inlineStr"/>
      <c r="C82" s="7" t="inlineStr"/>
      <c r="D82" s="7" t="inlineStr"/>
      <c r="E82" s="7" t="inlineStr"/>
      <c r="F82" s="7" t="inlineStr">
        <is>
          <t>TR3(d)</t>
        </is>
      </c>
      <c r="G82" s="7" t="inlineStr">
        <is>
          <t>OPTION 2:  Indicator level reporting</t>
        </is>
      </c>
      <c r="H82" s="50">
        <f>IFERROR(IF(INDEX('Faculties'!$M$10:$M$18,MATCH($F82,'Faculties'!$B$10:$B$18,0))="","Cell will autofill based on response",INDEX('Faculties'!$M$10:$M$18,MATCH($F82,'Faculties'!$B$10:$B$18,0))),"N/A")</f>
        <v/>
      </c>
      <c r="I82" s="50">
        <f>IFERROR(IF(INDEX('Faculties'!$M$25:$M$34,MATCH($F82,'Faculties'!$B$25:$B$34,0))="","Cell will autofill based on response",INDEX('Faculties'!$M$25:$M$34,MATCH($F82,'Faculties'!$B$25:$B$34,0))),"N/A")</f>
        <v/>
      </c>
      <c r="J82" s="50">
        <f>IFERROR(IF(INDEX('Faculties'!$M$41:$M$50,MATCH($F82,'Faculties'!$B$41:$B$50,0))="","Cell will autofill based on response",INDEX('Faculties'!$M$41:$M$50,MATCH($F82,'Faculties'!$B$41:$B$50,0))),"N/A")</f>
        <v/>
      </c>
      <c r="K82" s="50">
        <f>IFERROR(IF(INDEX('Faculties'!$M$57:$M$66,MATCH($F82,'Faculties'!$B$57:$B$66,0))="","Cell will autofill based on response",INDEX('Faculties'!$M$57:$M$66,MATCH($F82,'Faculties'!$B$57:$B$66,0))),"N/A")</f>
        <v/>
      </c>
      <c r="L82" s="50">
        <f>IFERROR(IF(INDEX('Faculties'!$M$73:$M$82,MATCH($F82,'Faculties'!$B$73:$B$82,0))="","Cell will autofill based on response",INDEX('Faculties'!$M$73:$M$82,MATCH($F82,'Faculties'!$B$73:$B$82,0))),"N/A")</f>
        <v/>
      </c>
      <c r="M82" s="50">
        <f>IFERROR(IF(INDEX('Faculties'!$M$89:$M$98,MATCH($F82,'Faculties'!$B$89:$B$98,0))="","Cell will autofill based on response",INDEX('Faculties'!$M$89:$M$98,MATCH($F82,'Faculties'!$B$89:$B$98,0))),"N/A")</f>
        <v/>
      </c>
      <c r="N82" s="50">
        <f>IFERROR(IF(INDEX('Faculties'!$M$105:$M$114,MATCH($F82,'Faculties'!$B$105:$B$114,0))="","Cell will autofill based on response",INDEX('Faculties'!$M$105:$M$114,MATCH($F82,'Faculties'!$B$105:$B$114,0))),"N/A")</f>
        <v/>
      </c>
      <c r="O82" s="50">
        <f>IFERROR(IF(INDEX('Faculties'!$M$121:$M$130,MATCH($F82,'Faculties'!$B$121:$B$130,0))="","Cell will autofill based on response",INDEX('Faculties'!$M$121:$M$130,MATCH($F82,'Faculties'!$B$121:$B$130,0))),"N/A")</f>
        <v/>
      </c>
      <c r="P82" s="50">
        <f>IFERROR(IF(INDEX('Faculties'!$M$137:$M$146,MATCH($F82,'Faculties'!$B$137:$B$146,0))="","Cell will autofill based on response",INDEX('Faculties'!$M$137:$M$146,MATCH($F82,'Faculties'!$B$137:$B$146,0))),"N/A")</f>
        <v/>
      </c>
      <c r="Q82" s="50">
        <f>IFERROR(IF(INDEX('CI&amp;S'!$M$10:$M$15,MATCH($F82,'CI&amp;S'!$B$10:$B$15,0))="","Cell will autofill based on response",INDEX('CI&amp;S'!$M$10:$M$15,MATCH($F82,'CI&amp;S'!$B$10:$B$15,0))),"N/A")</f>
        <v/>
      </c>
      <c r="R82" s="50">
        <f>IFERROR(IF(INDEX('CI&amp;S'!$M$22:$M$36,MATCH($F82,'CI&amp;S'!$B$22:$B$36,0))="","Cell will autofill based on response",INDEX('CI&amp;S'!$M$22:$M$36,MATCH($F82,'CI&amp;S'!$B$22:$B$36,0))),"N/A")</f>
        <v/>
      </c>
      <c r="S82" s="50">
        <f>IFERROR(IF(INDEX('CFOG'!$M$10:$M$16,MATCH($F82,'CFOG'!$B$10:$B$16,0))="","Cell will autofill based on response",INDEX('CFOG'!$M$10:$M$16,MATCH($F82,'CFOG'!$B$10:$B$16,0))),"N/A")</f>
        <v/>
      </c>
      <c r="T82" s="50">
        <f>IFERROR(IF(INDEX('CFOG'!$M$23:$M$24,MATCH($F82,'CFOG'!$B$23:$B$24,0))="","Cell will autofill based on response",INDEX('CFOG'!$M$23:$M$24,MATCH($F82,'CFOG'!$B$23:$B$24,0))),"N/A")</f>
        <v/>
      </c>
      <c r="U82" s="50">
        <f>IFERROR(IF(INDEX('ESG'!$M$10:$M$17,MATCH($F82,'ESG'!$B$10:$B$17,0))="","Cell will autofill based on response",INDEX('ESG'!$M$10:$M$17,MATCH($F82,'ESG'!$B$10:$B$17,0))),"N/A")</f>
        <v/>
      </c>
      <c r="V82" s="50">
        <f>IFERROR(IF(INDEX('CIOG'!$M$10:$M$14,MATCH($F82,'CIOG'!$B$10:$B$14,0))="","Cell will autofill based on response",INDEX('CIOG'!$M$10:$M$14,MATCH($F82,'CIOG'!$B$10:$B$14,0))),"N/A")</f>
        <v/>
      </c>
      <c r="W82" s="50">
        <f>IFERROR(IF(INDEX('MRE'!$M$10:$M$18,MATCH($F82,'MRE'!$B$10:$B$18,0))="","Cell will autofill based on response",INDEX('MRE'!$M$10:$M$18,MATCH($F82,'MRE'!$B$10:$B$18,0))),"N/A")</f>
        <v/>
      </c>
      <c r="X82" s="50">
        <f>IFERROR(IF(INDEX('AC&amp;M'!$M$10:$M$14,MATCH($F82,'AC&amp;M'!$B$10:$B$14,0))="","Cell will autofill based on response",INDEX('AC&amp;M'!$M$10:$M$14,MATCH($F82,'AC&amp;M'!$B$10:$B$14,0))),"N/A")</f>
        <v/>
      </c>
      <c r="Y82" s="50">
        <f>IFERROR(IF(INDEX('GCE'!$M$10:$M$12,MATCH($F82,'GCE'!$B$10:$B$12,0))="","Cell will autofill based on response",INDEX('GCE'!$M$10:$M$12,MATCH($F82,'GCE'!$B$10:$B$12,0))),"N/A")</f>
        <v/>
      </c>
      <c r="Z82" s="50">
        <f>IFERROR(IF(INDEX('Education'!$M$10:$M$13,MATCH($F82,'Education'!$B$10:$B$13,0))="","Cell will autofill based on response",INDEX('Education'!$M$10:$M$13,MATCH($F82,'Education'!$B$10:$B$13,0))),"N/A")</f>
        <v/>
      </c>
      <c r="AA82" s="50">
        <f>IFERROR(IF(INDEX('SaSS'!$M$10:$M$12,MATCH($F82,'SaSS'!$B$10:$B$12,0))="","Cell will autofill based on response",INDEX('SaSS'!$M$10:$M$12,MATCH($F82,'SaSS'!$B$10:$B$12,0))),"N/A")</f>
        <v/>
      </c>
      <c r="AB82" s="50">
        <f>IFERROR(IF(INDEX('Indigenous'!$M$10:$M$11,MATCH($F82,'Indigenous'!$B$10:$B$11,0))="","Cell will autofill based on response",INDEX('Indigenous'!$M$10:$M$11,MATCH($F82,'Indigenous'!$B$10:$B$11,0))),"N/A")</f>
        <v/>
      </c>
      <c r="AC82" s="50">
        <f>IFERROR(IF(INDEX('L&amp;R'!$M$10:$M$11,MATCH($F82,'L&amp;R'!$B$10:$B$11,0))="","Cell will autofill based on response",INDEX('L&amp;R'!$M$10:$M$11,MATCH($F82,'L&amp;R'!$B$10:$B$11,0))),"N/A")</f>
        <v/>
      </c>
    </row>
    <row r="83" ht="22" customHeight="1">
      <c r="A83">
        <f>F83&amp;"|"&amp;G83</f>
        <v/>
      </c>
      <c r="B83" s="12" t="inlineStr"/>
      <c r="C83" s="7" t="inlineStr"/>
      <c r="D83" s="7" t="inlineStr"/>
      <c r="E83" s="7" t="inlineStr"/>
      <c r="F83" s="7" t="inlineStr">
        <is>
          <t>TR3(d)</t>
        </is>
      </c>
      <c r="G83" s="7" t="inlineStr">
        <is>
          <t>Supporting information/comments</t>
        </is>
      </c>
      <c r="H83" s="50">
        <f>IFERROR(IF(INDEX('Faculties'!$N$10:$N$18,MATCH($F83,'Faculties'!$B$10:$B$18,0))="","Cell will autofill based on response",INDEX('Faculties'!$N$10:$N$18,MATCH($F83,'Faculties'!$B$10:$B$18,0))),"N/A")</f>
        <v/>
      </c>
      <c r="I83" s="50">
        <f>IFERROR(IF(INDEX('Faculties'!$N$25:$N$34,MATCH($F83,'Faculties'!$B$25:$B$34,0))="","Cell will autofill based on response",INDEX('Faculties'!$N$25:$N$34,MATCH($F83,'Faculties'!$B$25:$B$34,0))),"N/A")</f>
        <v/>
      </c>
      <c r="J83" s="50">
        <f>IFERROR(IF(INDEX('Faculties'!$N$41:$N$50,MATCH($F83,'Faculties'!$B$41:$B$50,0))="","Cell will autofill based on response",INDEX('Faculties'!$N$41:$N$50,MATCH($F83,'Faculties'!$B$41:$B$50,0))),"N/A")</f>
        <v/>
      </c>
      <c r="K83" s="50">
        <f>IFERROR(IF(INDEX('Faculties'!$N$57:$N$66,MATCH($F83,'Faculties'!$B$57:$B$66,0))="","Cell will autofill based on response",INDEX('Faculties'!$N$57:$N$66,MATCH($F83,'Faculties'!$B$57:$B$66,0))),"N/A")</f>
        <v/>
      </c>
      <c r="L83" s="50">
        <f>IFERROR(IF(INDEX('Faculties'!$N$73:$N$82,MATCH($F83,'Faculties'!$B$73:$B$82,0))="","Cell will autofill based on response",INDEX('Faculties'!$N$73:$N$82,MATCH($F83,'Faculties'!$B$73:$B$82,0))),"N/A")</f>
        <v/>
      </c>
      <c r="M83" s="50">
        <f>IFERROR(IF(INDEX('Faculties'!$N$89:$N$98,MATCH($F83,'Faculties'!$B$89:$B$98,0))="","Cell will autofill based on response",INDEX('Faculties'!$N$89:$N$98,MATCH($F83,'Faculties'!$B$89:$B$98,0))),"N/A")</f>
        <v/>
      </c>
      <c r="N83" s="50">
        <f>IFERROR(IF(INDEX('Faculties'!$N$105:$N$114,MATCH($F83,'Faculties'!$B$105:$B$114,0))="","Cell will autofill based on response",INDEX('Faculties'!$N$105:$N$114,MATCH($F83,'Faculties'!$B$105:$B$114,0))),"N/A")</f>
        <v/>
      </c>
      <c r="O83" s="50">
        <f>IFERROR(IF(INDEX('Faculties'!$N$121:$N$130,MATCH($F83,'Faculties'!$B$121:$B$130,0))="","Cell will autofill based on response",INDEX('Faculties'!$N$121:$N$130,MATCH($F83,'Faculties'!$B$121:$B$130,0))),"N/A")</f>
        <v/>
      </c>
      <c r="P83" s="50">
        <f>IFERROR(IF(INDEX('Faculties'!$N$137:$N$146,MATCH($F83,'Faculties'!$B$137:$B$146,0))="","Cell will autofill based on response",INDEX('Faculties'!$N$137:$N$146,MATCH($F83,'Faculties'!$B$137:$B$146,0))),"N/A")</f>
        <v/>
      </c>
      <c r="Q83" s="50">
        <f>IFERROR(IF(INDEX('CI&amp;S'!$N$10:$N$15,MATCH($F83,'CI&amp;S'!$B$10:$B$15,0))="","Cell will autofill based on response",INDEX('CI&amp;S'!$N$10:$N$15,MATCH($F83,'CI&amp;S'!$B$10:$B$15,0))),"N/A")</f>
        <v/>
      </c>
      <c r="R83" s="50">
        <f>IFERROR(IF(INDEX('CI&amp;S'!$N$22:$N$36,MATCH($F83,'CI&amp;S'!$B$22:$B$36,0))="","Cell will autofill based on response",INDEX('CI&amp;S'!$N$22:$N$36,MATCH($F83,'CI&amp;S'!$B$22:$B$36,0))),"N/A")</f>
        <v/>
      </c>
      <c r="S83" s="50">
        <f>IFERROR(IF(INDEX('CFOG'!$N$10:$N$16,MATCH($F83,'CFOG'!$B$10:$B$16,0))="","Cell will autofill based on response",INDEX('CFOG'!$N$10:$N$16,MATCH($F83,'CFOG'!$B$10:$B$16,0))),"N/A")</f>
        <v/>
      </c>
      <c r="T83" s="50">
        <f>IFERROR(IF(INDEX('CFOG'!$N$23:$N$24,MATCH($F83,'CFOG'!$B$23:$B$24,0))="","Cell will autofill based on response",INDEX('CFOG'!$N$23:$N$24,MATCH($F83,'CFOG'!$B$23:$B$24,0))),"N/A")</f>
        <v/>
      </c>
      <c r="U83" s="50">
        <f>IFERROR(IF(INDEX('ESG'!$N$10:$N$17,MATCH($F83,'ESG'!$B$10:$B$17,0))="","Cell will autofill based on response",INDEX('ESG'!$N$10:$N$17,MATCH($F83,'ESG'!$B$10:$B$17,0))),"N/A")</f>
        <v/>
      </c>
      <c r="V83" s="50">
        <f>IFERROR(IF(INDEX('CIOG'!$N$10:$N$14,MATCH($F83,'CIOG'!$B$10:$B$14,0))="","Cell will autofill based on response",INDEX('CIOG'!$N$10:$N$14,MATCH($F83,'CIOG'!$B$10:$B$14,0))),"N/A")</f>
        <v/>
      </c>
      <c r="W83" s="50">
        <f>IFERROR(IF(INDEX('MRE'!$N$10:$N$18,MATCH($F83,'MRE'!$B$10:$B$18,0))="","Cell will autofill based on response",INDEX('MRE'!$N$10:$N$18,MATCH($F83,'MRE'!$B$10:$B$18,0))),"N/A")</f>
        <v/>
      </c>
      <c r="X83" s="50">
        <f>IFERROR(IF(INDEX('AC&amp;M'!$N$10:$N$14,MATCH($F83,'AC&amp;M'!$B$10:$B$14,0))="","Cell will autofill based on response",INDEX('AC&amp;M'!$N$10:$N$14,MATCH($F83,'AC&amp;M'!$B$10:$B$14,0))),"N/A")</f>
        <v/>
      </c>
      <c r="Y83" s="50">
        <f>IFERROR(IF(INDEX('GCE'!$N$10:$N$12,MATCH($F83,'GCE'!$B$10:$B$12,0))="","Cell will autofill based on response",INDEX('GCE'!$N$10:$N$12,MATCH($F83,'GCE'!$B$10:$B$12,0))),"N/A")</f>
        <v/>
      </c>
      <c r="Z83" s="50">
        <f>IFERROR(IF(INDEX('Education'!$N$10:$N$13,MATCH($F83,'Education'!$B$10:$B$13,0))="","Cell will autofill based on response",INDEX('Education'!$N$10:$N$13,MATCH($F83,'Education'!$B$10:$B$13,0))),"N/A")</f>
        <v/>
      </c>
      <c r="AA83" s="50">
        <f>IFERROR(IF(INDEX('SaSS'!$N$10:$N$12,MATCH($F83,'SaSS'!$B$10:$B$12,0))="","Cell will autofill based on response",INDEX('SaSS'!$N$10:$N$12,MATCH($F83,'SaSS'!$B$10:$B$12,0))),"N/A")</f>
        <v/>
      </c>
      <c r="AB83" s="50">
        <f>IFERROR(IF(INDEX('Indigenous'!$N$10:$N$11,MATCH($F83,'Indigenous'!$B$10:$B$11,0))="","Cell will autofill based on response",INDEX('Indigenous'!$N$10:$N$11,MATCH($F83,'Indigenous'!$B$10:$B$11,0))),"N/A")</f>
        <v/>
      </c>
      <c r="AC83" s="50">
        <f>IFERROR(IF(INDEX('L&amp;R'!$N$10:$N$11,MATCH($F83,'L&amp;R'!$B$10:$B$11,0))="","Cell will autofill based on response",INDEX('L&amp;R'!$N$10:$N$11,MATCH($F83,'L&amp;R'!$B$10:$B$11,0))),"N/A")</f>
        <v/>
      </c>
    </row>
    <row r="84" ht="22" customHeight="1">
      <c r="A84">
        <f>F84&amp;"|"&amp;G84</f>
        <v/>
      </c>
      <c r="B84" s="12" t="inlineStr"/>
      <c r="C84" s="7" t="inlineStr"/>
      <c r="D84" s="7" t="inlineStr"/>
      <c r="E84" s="7" t="inlineStr"/>
      <c r="F84" s="7" t="inlineStr">
        <is>
          <t>TR3(d)</t>
        </is>
      </c>
      <c r="G84" s="7" t="inlineStr">
        <is>
          <t>Data source and limitations</t>
        </is>
      </c>
      <c r="H84" s="50">
        <f>IFERROR(IF(INDEX('Faculties'!$O$10:$O$18,MATCH($F84,'Faculties'!$B$10:$B$18,0))="","Cell will autofill based on response",INDEX('Faculties'!$O$10:$O$18,MATCH($F84,'Faculties'!$B$10:$B$18,0))),"N/A")</f>
        <v/>
      </c>
      <c r="I84" s="50">
        <f>IFERROR(IF(INDEX('Faculties'!$O$25:$O$34,MATCH($F84,'Faculties'!$B$25:$B$34,0))="","Cell will autofill based on response",INDEX('Faculties'!$O$25:$O$34,MATCH($F84,'Faculties'!$B$25:$B$34,0))),"N/A")</f>
        <v/>
      </c>
      <c r="J84" s="50">
        <f>IFERROR(IF(INDEX('Faculties'!$O$41:$O$50,MATCH($F84,'Faculties'!$B$41:$B$50,0))="","Cell will autofill based on response",INDEX('Faculties'!$O$41:$O$50,MATCH($F84,'Faculties'!$B$41:$B$50,0))),"N/A")</f>
        <v/>
      </c>
      <c r="K84" s="50">
        <f>IFERROR(IF(INDEX('Faculties'!$O$57:$O$66,MATCH($F84,'Faculties'!$B$57:$B$66,0))="","Cell will autofill based on response",INDEX('Faculties'!$O$57:$O$66,MATCH($F84,'Faculties'!$B$57:$B$66,0))),"N/A")</f>
        <v/>
      </c>
      <c r="L84" s="50">
        <f>IFERROR(IF(INDEX('Faculties'!$O$73:$O$82,MATCH($F84,'Faculties'!$B$73:$B$82,0))="","Cell will autofill based on response",INDEX('Faculties'!$O$73:$O$82,MATCH($F84,'Faculties'!$B$73:$B$82,0))),"N/A")</f>
        <v/>
      </c>
      <c r="M84" s="50">
        <f>IFERROR(IF(INDEX('Faculties'!$O$89:$O$98,MATCH($F84,'Faculties'!$B$89:$B$98,0))="","Cell will autofill based on response",INDEX('Faculties'!$O$89:$O$98,MATCH($F84,'Faculties'!$B$89:$B$98,0))),"N/A")</f>
        <v/>
      </c>
      <c r="N84" s="50">
        <f>IFERROR(IF(INDEX('Faculties'!$O$105:$O$114,MATCH($F84,'Faculties'!$B$105:$B$114,0))="","Cell will autofill based on response",INDEX('Faculties'!$O$105:$O$114,MATCH($F84,'Faculties'!$B$105:$B$114,0))),"N/A")</f>
        <v/>
      </c>
      <c r="O84" s="50">
        <f>IFERROR(IF(INDEX('Faculties'!$O$121:$O$130,MATCH($F84,'Faculties'!$B$121:$B$130,0))="","Cell will autofill based on response",INDEX('Faculties'!$O$121:$O$130,MATCH($F84,'Faculties'!$B$121:$B$130,0))),"N/A")</f>
        <v/>
      </c>
      <c r="P84" s="50">
        <f>IFERROR(IF(INDEX('Faculties'!$O$137:$O$146,MATCH($F84,'Faculties'!$B$137:$B$146,0))="","Cell will autofill based on response",INDEX('Faculties'!$O$137:$O$146,MATCH($F84,'Faculties'!$B$137:$B$146,0))),"N/A")</f>
        <v/>
      </c>
      <c r="Q84" s="50">
        <f>IFERROR(IF(INDEX('CI&amp;S'!$O$10:$O$15,MATCH($F84,'CI&amp;S'!$B$10:$B$15,0))="","Cell will autofill based on response",INDEX('CI&amp;S'!$O$10:$O$15,MATCH($F84,'CI&amp;S'!$B$10:$B$15,0))),"N/A")</f>
        <v/>
      </c>
      <c r="R84" s="50">
        <f>IFERROR(IF(INDEX('CI&amp;S'!$O$22:$O$36,MATCH($F84,'CI&amp;S'!$B$22:$B$36,0))="","Cell will autofill based on response",INDEX('CI&amp;S'!$O$22:$O$36,MATCH($F84,'CI&amp;S'!$B$22:$B$36,0))),"N/A")</f>
        <v/>
      </c>
      <c r="S84" s="50">
        <f>IFERROR(IF(INDEX('CFOG'!$O$10:$O$16,MATCH($F84,'CFOG'!$B$10:$B$16,0))="","Cell will autofill based on response",INDEX('CFOG'!$O$10:$O$16,MATCH($F84,'CFOG'!$B$10:$B$16,0))),"N/A")</f>
        <v/>
      </c>
      <c r="T84" s="50">
        <f>IFERROR(IF(INDEX('CFOG'!$O$23:$O$24,MATCH($F84,'CFOG'!$B$23:$B$24,0))="","Cell will autofill based on response",INDEX('CFOG'!$O$23:$O$24,MATCH($F84,'CFOG'!$B$23:$B$24,0))),"N/A")</f>
        <v/>
      </c>
      <c r="U84" s="50">
        <f>IFERROR(IF(INDEX('ESG'!$O$10:$O$17,MATCH($F84,'ESG'!$B$10:$B$17,0))="","Cell will autofill based on response",INDEX('ESG'!$O$10:$O$17,MATCH($F84,'ESG'!$B$10:$B$17,0))),"N/A")</f>
        <v/>
      </c>
      <c r="V84" s="50">
        <f>IFERROR(IF(INDEX('CIOG'!$O$10:$O$14,MATCH($F84,'CIOG'!$B$10:$B$14,0))="","Cell will autofill based on response",INDEX('CIOG'!$O$10:$O$14,MATCH($F84,'CIOG'!$B$10:$B$14,0))),"N/A")</f>
        <v/>
      </c>
      <c r="W84" s="50">
        <f>IFERROR(IF(INDEX('MRE'!$O$10:$O$18,MATCH($F84,'MRE'!$B$10:$B$18,0))="","Cell will autofill based on response",INDEX('MRE'!$O$10:$O$18,MATCH($F84,'MRE'!$B$10:$B$18,0))),"N/A")</f>
        <v/>
      </c>
      <c r="X84" s="50">
        <f>IFERROR(IF(INDEX('AC&amp;M'!$O$10:$O$14,MATCH($F84,'AC&amp;M'!$B$10:$B$14,0))="","Cell will autofill based on response",INDEX('AC&amp;M'!$O$10:$O$14,MATCH($F84,'AC&amp;M'!$B$10:$B$14,0))),"N/A")</f>
        <v/>
      </c>
      <c r="Y84" s="50">
        <f>IFERROR(IF(INDEX('GCE'!$O$10:$O$12,MATCH($F84,'GCE'!$B$10:$B$12,0))="","Cell will autofill based on response",INDEX('GCE'!$O$10:$O$12,MATCH($F84,'GCE'!$B$10:$B$12,0))),"N/A")</f>
        <v/>
      </c>
      <c r="Z84" s="50">
        <f>IFERROR(IF(INDEX('Education'!$O$10:$O$13,MATCH($F84,'Education'!$B$10:$B$13,0))="","Cell will autofill based on response",INDEX('Education'!$O$10:$O$13,MATCH($F84,'Education'!$B$10:$B$13,0))),"N/A")</f>
        <v/>
      </c>
      <c r="AA84" s="50">
        <f>IFERROR(IF(INDEX('SaSS'!$O$10:$O$12,MATCH($F84,'SaSS'!$B$10:$B$12,0))="","Cell will autofill based on response",INDEX('SaSS'!$O$10:$O$12,MATCH($F84,'SaSS'!$B$10:$B$12,0))),"N/A")</f>
        <v/>
      </c>
      <c r="AB84" s="50">
        <f>IFERROR(IF(INDEX('Indigenous'!$O$10:$O$11,MATCH($F84,'Indigenous'!$B$10:$B$11,0))="","Cell will autofill based on response",INDEX('Indigenous'!$O$10:$O$11,MATCH($F84,'Indigenous'!$B$10:$B$11,0))),"N/A")</f>
        <v/>
      </c>
      <c r="AC84" s="50">
        <f>IFERROR(IF(INDEX('L&amp;R'!$O$10:$O$11,MATCH($F84,'L&amp;R'!$B$10:$B$11,0))="","Cell will autofill based on response",INDEX('L&amp;R'!$O$10:$O$11,MATCH($F84,'L&amp;R'!$B$10:$B$11,0))),"N/A")</f>
        <v/>
      </c>
    </row>
    <row r="85" ht="22" customHeight="1">
      <c r="A85">
        <f>F85&amp;"|"&amp;G85</f>
        <v/>
      </c>
      <c r="B85" s="12" t="inlineStr"/>
      <c r="C85" s="7" t="inlineStr"/>
      <c r="D85" s="7" t="inlineStr"/>
      <c r="E85" s="7" t="inlineStr"/>
      <c r="F85" s="7" t="inlineStr">
        <is>
          <t>TR3(d)</t>
        </is>
      </c>
      <c r="G85" s="7" t="inlineStr">
        <is>
          <t>Data owner confirms</t>
        </is>
      </c>
      <c r="H85" s="50">
        <f>IFERROR(IF(INDEX('Faculties'!$P$10:$P$18,MATCH($F85,'Faculties'!$B$10:$B$18,0))="","Cell will autofill based on response",INDEX('Faculties'!$P$10:$P$18,MATCH($F85,'Faculties'!$B$10:$B$18,0))),"N/A")</f>
        <v/>
      </c>
      <c r="I85" s="50">
        <f>IFERROR(IF(INDEX('Faculties'!$P$25:$P$34,MATCH($F85,'Faculties'!$B$25:$B$34,0))="","Cell will autofill based on response",INDEX('Faculties'!$P$25:$P$34,MATCH($F85,'Faculties'!$B$25:$B$34,0))),"N/A")</f>
        <v/>
      </c>
      <c r="J85" s="50">
        <f>IFERROR(IF(INDEX('Faculties'!$P$41:$P$50,MATCH($F85,'Faculties'!$B$41:$B$50,0))="","Cell will autofill based on response",INDEX('Faculties'!$P$41:$P$50,MATCH($F85,'Faculties'!$B$41:$B$50,0))),"N/A")</f>
        <v/>
      </c>
      <c r="K85" s="50">
        <f>IFERROR(IF(INDEX('Faculties'!$P$57:$P$66,MATCH($F85,'Faculties'!$B$57:$B$66,0))="","Cell will autofill based on response",INDEX('Faculties'!$P$57:$P$66,MATCH($F85,'Faculties'!$B$57:$B$66,0))),"N/A")</f>
        <v/>
      </c>
      <c r="L85" s="50">
        <f>IFERROR(IF(INDEX('Faculties'!$P$73:$P$82,MATCH($F85,'Faculties'!$B$73:$B$82,0))="","Cell will autofill based on response",INDEX('Faculties'!$P$73:$P$82,MATCH($F85,'Faculties'!$B$73:$B$82,0))),"N/A")</f>
        <v/>
      </c>
      <c r="M85" s="50">
        <f>IFERROR(IF(INDEX('Faculties'!$P$89:$P$98,MATCH($F85,'Faculties'!$B$89:$B$98,0))="","Cell will autofill based on response",INDEX('Faculties'!$P$89:$P$98,MATCH($F85,'Faculties'!$B$89:$B$98,0))),"N/A")</f>
        <v/>
      </c>
      <c r="N85" s="50">
        <f>IFERROR(IF(INDEX('Faculties'!$P$105:$P$114,MATCH($F85,'Faculties'!$B$105:$B$114,0))="","Cell will autofill based on response",INDEX('Faculties'!$P$105:$P$114,MATCH($F85,'Faculties'!$B$105:$B$114,0))),"N/A")</f>
        <v/>
      </c>
      <c r="O85" s="50">
        <f>IFERROR(IF(INDEX('Faculties'!$P$121:$P$130,MATCH($F85,'Faculties'!$B$121:$B$130,0))="","Cell will autofill based on response",INDEX('Faculties'!$P$121:$P$130,MATCH($F85,'Faculties'!$B$121:$B$130,0))),"N/A")</f>
        <v/>
      </c>
      <c r="P85" s="50">
        <f>IFERROR(IF(INDEX('Faculties'!$P$137:$P$146,MATCH($F85,'Faculties'!$B$137:$B$146,0))="","Cell will autofill based on response",INDEX('Faculties'!$P$137:$P$146,MATCH($F85,'Faculties'!$B$137:$B$146,0))),"N/A")</f>
        <v/>
      </c>
      <c r="Q85" s="50">
        <f>IFERROR(IF(INDEX('CI&amp;S'!$P$10:$P$15,MATCH($F85,'CI&amp;S'!$B$10:$B$15,0))="","Cell will autofill based on response",INDEX('CI&amp;S'!$P$10:$P$15,MATCH($F85,'CI&amp;S'!$B$10:$B$15,0))),"N/A")</f>
        <v/>
      </c>
      <c r="R85" s="50">
        <f>IFERROR(IF(INDEX('CI&amp;S'!$P$22:$P$36,MATCH($F85,'CI&amp;S'!$B$22:$B$36,0))="","Cell will autofill based on response",INDEX('CI&amp;S'!$P$22:$P$36,MATCH($F85,'CI&amp;S'!$B$22:$B$36,0))),"N/A")</f>
        <v/>
      </c>
      <c r="S85" s="50">
        <f>IFERROR(IF(INDEX('CFOG'!$P$10:$P$16,MATCH($F85,'CFOG'!$B$10:$B$16,0))="","Cell will autofill based on response",INDEX('CFOG'!$P$10:$P$16,MATCH($F85,'CFOG'!$B$10:$B$16,0))),"N/A")</f>
        <v/>
      </c>
      <c r="T85" s="50">
        <f>IFERROR(IF(INDEX('CFOG'!$P$23:$P$24,MATCH($F85,'CFOG'!$B$23:$B$24,0))="","Cell will autofill based on response",INDEX('CFOG'!$P$23:$P$24,MATCH($F85,'CFOG'!$B$23:$B$24,0))),"N/A")</f>
        <v/>
      </c>
      <c r="U85" s="50">
        <f>IFERROR(IF(INDEX('ESG'!$P$10:$P$17,MATCH($F85,'ESG'!$B$10:$B$17,0))="","Cell will autofill based on response",INDEX('ESG'!$P$10:$P$17,MATCH($F85,'ESG'!$B$10:$B$17,0))),"N/A")</f>
        <v/>
      </c>
      <c r="V85" s="50">
        <f>IFERROR(IF(INDEX('CIOG'!$P$10:$P$14,MATCH($F85,'CIOG'!$B$10:$B$14,0))="","Cell will autofill based on response",INDEX('CIOG'!$P$10:$P$14,MATCH($F85,'CIOG'!$B$10:$B$14,0))),"N/A")</f>
        <v/>
      </c>
      <c r="W85" s="50">
        <f>IFERROR(IF(INDEX('MRE'!$P$10:$P$18,MATCH($F85,'MRE'!$B$10:$B$18,0))="","Cell will autofill based on response",INDEX('MRE'!$P$10:$P$18,MATCH($F85,'MRE'!$B$10:$B$18,0))),"N/A")</f>
        <v/>
      </c>
      <c r="X85" s="50">
        <f>IFERROR(IF(INDEX('AC&amp;M'!$P$10:$P$14,MATCH($F85,'AC&amp;M'!$B$10:$B$14,0))="","Cell will autofill based on response",INDEX('AC&amp;M'!$P$10:$P$14,MATCH($F85,'AC&amp;M'!$B$10:$B$14,0))),"N/A")</f>
        <v/>
      </c>
      <c r="Y85" s="50">
        <f>IFERROR(IF(INDEX('GCE'!$P$10:$P$12,MATCH($F85,'GCE'!$B$10:$B$12,0))="","Cell will autofill based on response",INDEX('GCE'!$P$10:$P$12,MATCH($F85,'GCE'!$B$10:$B$12,0))),"N/A")</f>
        <v/>
      </c>
      <c r="Z85" s="50">
        <f>IFERROR(IF(INDEX('Education'!$P$10:$P$13,MATCH($F85,'Education'!$B$10:$B$13,0))="","Cell will autofill based on response",INDEX('Education'!$P$10:$P$13,MATCH($F85,'Education'!$B$10:$B$13,0))),"N/A")</f>
        <v/>
      </c>
      <c r="AA85" s="50">
        <f>IFERROR(IF(INDEX('SaSS'!$P$10:$P$12,MATCH($F85,'SaSS'!$B$10:$B$12,0))="","Cell will autofill based on response",INDEX('SaSS'!$P$10:$P$12,MATCH($F85,'SaSS'!$B$10:$B$12,0))),"N/A")</f>
        <v/>
      </c>
      <c r="AB85" s="50">
        <f>IFERROR(IF(INDEX('Indigenous'!$P$10:$P$11,MATCH($F85,'Indigenous'!$B$10:$B$11,0))="","Cell will autofill based on response",INDEX('Indigenous'!$P$10:$P$11,MATCH($F85,'Indigenous'!$B$10:$B$11,0))),"N/A")</f>
        <v/>
      </c>
      <c r="AC85" s="50">
        <f>IFERROR(IF(INDEX('L&amp;R'!$P$10:$P$11,MATCH($F85,'L&amp;R'!$B$10:$B$11,0))="","Cell will autofill based on response",INDEX('L&amp;R'!$P$10:$P$11,MATCH($F85,'L&amp;R'!$B$10:$B$11,0))),"N/A")</f>
        <v/>
      </c>
    </row>
    <row r="86" ht="39" customHeight="1">
      <c r="A86">
        <f>F86&amp;"|"&amp;G86</f>
        <v/>
      </c>
      <c r="B86" s="6" t="inlineStr">
        <is>
          <t>CL1(c)</t>
        </is>
      </c>
      <c r="C86" s="48" t="inlineStr">
        <is>
          <t>Climate leadership</t>
        </is>
      </c>
      <c r="D86" s="48" t="inlineStr">
        <is>
          <t>Review of Climate Leadership targets by 2030.[2]</t>
        </is>
      </c>
      <c r="E86" s="48" t="inlineStr"/>
      <c r="F86" s="48" t="inlineStr">
        <is>
          <t>CL1(c)</t>
        </is>
      </c>
      <c r="G86" s="48" t="inlineStr">
        <is>
          <t>OPTION 1:  Target-level reporting</t>
        </is>
      </c>
      <c r="H86" s="50">
        <f>IFERROR(IF(INDEX('Faculties'!$L$10:$L$18,MATCH($F86,'Faculties'!$B$10:$B$18,0))="","Cell will autofill based on response",INDEX('Faculties'!$L$10:$L$18,MATCH($F86,'Faculties'!$B$10:$B$18,0))),"N/A")</f>
        <v/>
      </c>
      <c r="I86" s="50">
        <f>IFERROR(IF(INDEX('Faculties'!$L$25:$L$34,MATCH($F86,'Faculties'!$B$25:$B$34,0))="","Cell will autofill based on response",INDEX('Faculties'!$L$25:$L$34,MATCH($F86,'Faculties'!$B$25:$B$34,0))),"N/A")</f>
        <v/>
      </c>
      <c r="J86" s="50">
        <f>IFERROR(IF(INDEX('Faculties'!$L$41:$L$50,MATCH($F86,'Faculties'!$B$41:$B$50,0))="","Cell will autofill based on response",INDEX('Faculties'!$L$41:$L$50,MATCH($F86,'Faculties'!$B$41:$B$50,0))),"N/A")</f>
        <v/>
      </c>
      <c r="K86" s="50">
        <f>IFERROR(IF(INDEX('Faculties'!$L$57:$L$66,MATCH($F86,'Faculties'!$B$57:$B$66,0))="","Cell will autofill based on response",INDEX('Faculties'!$L$57:$L$66,MATCH($F86,'Faculties'!$B$57:$B$66,0))),"N/A")</f>
        <v/>
      </c>
      <c r="L86" s="50">
        <f>IFERROR(IF(INDEX('Faculties'!$L$73:$L$82,MATCH($F86,'Faculties'!$B$73:$B$82,0))="","Cell will autofill based on response",INDEX('Faculties'!$L$73:$L$82,MATCH($F86,'Faculties'!$B$73:$B$82,0))),"N/A")</f>
        <v/>
      </c>
      <c r="M86" s="50">
        <f>IFERROR(IF(INDEX('Faculties'!$L$89:$L$98,MATCH($F86,'Faculties'!$B$89:$B$98,0))="","Cell will autofill based on response",INDEX('Faculties'!$L$89:$L$98,MATCH($F86,'Faculties'!$B$89:$B$98,0))),"N/A")</f>
        <v/>
      </c>
      <c r="N86" s="50">
        <f>IFERROR(IF(INDEX('Faculties'!$L$105:$L$114,MATCH($F86,'Faculties'!$B$105:$B$114,0))="","Cell will autofill based on response",INDEX('Faculties'!$L$105:$L$114,MATCH($F86,'Faculties'!$B$105:$B$114,0))),"N/A")</f>
        <v/>
      </c>
      <c r="O86" s="50">
        <f>IFERROR(IF(INDEX('Faculties'!$L$121:$L$130,MATCH($F86,'Faculties'!$B$121:$B$130,0))="","Cell will autofill based on response",INDEX('Faculties'!$L$121:$L$130,MATCH($F86,'Faculties'!$B$121:$B$130,0))),"N/A")</f>
        <v/>
      </c>
      <c r="P86" s="50">
        <f>IFERROR(IF(INDEX('Faculties'!$L$137:$L$146,MATCH($F86,'Faculties'!$B$137:$B$146,0))="","Cell will autofill based on response",INDEX('Faculties'!$L$137:$L$146,MATCH($F86,'Faculties'!$B$137:$B$146,0))),"N/A")</f>
        <v/>
      </c>
      <c r="Q86" s="50">
        <f>IFERROR(IF(INDEX('CI&amp;S'!$L$10:$L$15,MATCH($F86,'CI&amp;S'!$B$10:$B$15,0))="","Cell will autofill based on response",INDEX('CI&amp;S'!$L$10:$L$15,MATCH($F86,'CI&amp;S'!$B$10:$B$15,0))),"N/A")</f>
        <v/>
      </c>
      <c r="R86" s="50">
        <f>IFERROR(IF(INDEX('CI&amp;S'!$L$22:$L$36,MATCH($F86,'CI&amp;S'!$B$22:$B$36,0))="","Cell will autofill based on response",INDEX('CI&amp;S'!$L$22:$L$36,MATCH($F86,'CI&amp;S'!$B$22:$B$36,0))),"N/A")</f>
        <v/>
      </c>
      <c r="S86" s="50">
        <f>IFERROR(IF(INDEX('CFOG'!$L$10:$L$16,MATCH($F86,'CFOG'!$B$10:$B$16,0))="","Cell will autofill based on response",INDEX('CFOG'!$L$10:$L$16,MATCH($F86,'CFOG'!$B$10:$B$16,0))),"N/A")</f>
        <v/>
      </c>
      <c r="T86" s="50">
        <f>IFERROR(IF(INDEX('CFOG'!$L$23:$L$24,MATCH($F86,'CFOG'!$B$23:$B$24,0))="","Cell will autofill based on response",INDEX('CFOG'!$L$23:$L$24,MATCH($F86,'CFOG'!$B$23:$B$24,0))),"N/A")</f>
        <v/>
      </c>
      <c r="U86" s="50">
        <f>IFERROR(IF(INDEX('ESG'!$L$10:$L$17,MATCH($F86,'ESG'!$B$10:$B$17,0))="","Cell will autofill based on response",INDEX('ESG'!$L$10:$L$17,MATCH($F86,'ESG'!$B$10:$B$17,0))),"N/A")</f>
        <v/>
      </c>
      <c r="V86" s="50">
        <f>IFERROR(IF(INDEX('CIOG'!$L$10:$L$14,MATCH($F86,'CIOG'!$B$10:$B$14,0))="","Cell will autofill based on response",INDEX('CIOG'!$L$10:$L$14,MATCH($F86,'CIOG'!$B$10:$B$14,0))),"N/A")</f>
        <v/>
      </c>
      <c r="W86" s="50">
        <f>IFERROR(IF(INDEX('MRE'!$L$10:$L$18,MATCH($F86,'MRE'!$B$10:$B$18,0))="","Cell will autofill based on response",INDEX('MRE'!$L$10:$L$18,MATCH($F86,'MRE'!$B$10:$B$18,0))),"N/A")</f>
        <v/>
      </c>
      <c r="X86" s="50">
        <f>IFERROR(IF(INDEX('AC&amp;M'!$L$10:$L$14,MATCH($F86,'AC&amp;M'!$B$10:$B$14,0))="","Cell will autofill based on response",INDEX('AC&amp;M'!$L$10:$L$14,MATCH($F86,'AC&amp;M'!$B$10:$B$14,0))),"N/A")</f>
        <v/>
      </c>
      <c r="Y86" s="50">
        <f>IFERROR(IF(INDEX('GCE'!$L$10:$L$12,MATCH($F86,'GCE'!$B$10:$B$12,0))="","Cell will autofill based on response",INDEX('GCE'!$L$10:$L$12,MATCH($F86,'GCE'!$B$10:$B$12,0))),"N/A")</f>
        <v/>
      </c>
      <c r="Z86" s="50">
        <f>IFERROR(IF(INDEX('Education'!$L$10:$L$13,MATCH($F86,'Education'!$B$10:$B$13,0))="","Cell will autofill based on response",INDEX('Education'!$L$10:$L$13,MATCH($F86,'Education'!$B$10:$B$13,0))),"N/A")</f>
        <v/>
      </c>
      <c r="AA86" s="50">
        <f>IFERROR(IF(INDEX('SaSS'!$L$10:$L$12,MATCH($F86,'SaSS'!$B$10:$B$12,0))="","Cell will autofill based on response",INDEX('SaSS'!$L$10:$L$12,MATCH($F86,'SaSS'!$B$10:$B$12,0))),"N/A")</f>
        <v/>
      </c>
      <c r="AB86" s="50">
        <f>IFERROR(IF(INDEX('Indigenous'!$L$10:$L$11,MATCH($F86,'Indigenous'!$B$10:$B$11,0))="","Cell will autofill based on response",INDEX('Indigenous'!$L$10:$L$11,MATCH($F86,'Indigenous'!$B$10:$B$11,0))),"N/A")</f>
        <v/>
      </c>
      <c r="AC86" s="50">
        <f>IFERROR(IF(INDEX('L&amp;R'!$L$10:$L$11,MATCH($F86,'L&amp;R'!$B$10:$B$11,0))="","Cell will autofill based on response",INDEX('L&amp;R'!$L$10:$L$11,MATCH($F86,'L&amp;R'!$B$10:$B$11,0))),"N/A")</f>
        <v/>
      </c>
      <c r="AE86" s="9">
        <f>SUMPRODUCT(--($H86:$AC86&lt;&gt;"N/A"))</f>
        <v/>
      </c>
      <c r="AF86" s="9">
        <f>SUMPRODUCT(--(((($H86:$AC86&lt;&gt;"N/A")*($H86:$AC86&lt;&gt;"Cell will autofill based on response"))+(($H87:$AC87&lt;&gt;"N/A")*($H87:$AC87&lt;&gt;"Cell will autofill based on response")))&gt;0))</f>
        <v/>
      </c>
      <c r="AG86" s="9">
        <f>AE86-AF86</f>
        <v/>
      </c>
      <c r="AH86" s="9">
        <f>COUNTIF($H90:$AC90,"Yes")</f>
        <v/>
      </c>
    </row>
    <row r="87" ht="39" customHeight="1">
      <c r="A87">
        <f>F87&amp;"|"&amp;G87</f>
        <v/>
      </c>
      <c r="B87" s="12" t="inlineStr"/>
      <c r="C87" s="7" t="inlineStr"/>
      <c r="D87" s="7" t="inlineStr"/>
      <c r="E87" s="7" t="inlineStr"/>
      <c r="F87" s="7" t="inlineStr">
        <is>
          <t>CL1(c)</t>
        </is>
      </c>
      <c r="G87" s="7" t="inlineStr">
        <is>
          <t>OPTION 2:  Indicator level reporting</t>
        </is>
      </c>
      <c r="H87" s="50">
        <f>IFERROR(IF(INDEX('Faculties'!$M$10:$M$18,MATCH($F87,'Faculties'!$B$10:$B$18,0))="","Cell will autofill based on response",INDEX('Faculties'!$M$10:$M$18,MATCH($F87,'Faculties'!$B$10:$B$18,0))),"N/A")</f>
        <v/>
      </c>
      <c r="I87" s="50">
        <f>IFERROR(IF(INDEX('Faculties'!$M$25:$M$34,MATCH($F87,'Faculties'!$B$25:$B$34,0))="","Cell will autofill based on response",INDEX('Faculties'!$M$25:$M$34,MATCH($F87,'Faculties'!$B$25:$B$34,0))),"N/A")</f>
        <v/>
      </c>
      <c r="J87" s="50">
        <f>IFERROR(IF(INDEX('Faculties'!$M$41:$M$50,MATCH($F87,'Faculties'!$B$41:$B$50,0))="","Cell will autofill based on response",INDEX('Faculties'!$M$41:$M$50,MATCH($F87,'Faculties'!$B$41:$B$50,0))),"N/A")</f>
        <v/>
      </c>
      <c r="K87" s="50">
        <f>IFERROR(IF(INDEX('Faculties'!$M$57:$M$66,MATCH($F87,'Faculties'!$B$57:$B$66,0))="","Cell will autofill based on response",INDEX('Faculties'!$M$57:$M$66,MATCH($F87,'Faculties'!$B$57:$B$66,0))),"N/A")</f>
        <v/>
      </c>
      <c r="L87" s="50">
        <f>IFERROR(IF(INDEX('Faculties'!$M$73:$M$82,MATCH($F87,'Faculties'!$B$73:$B$82,0))="","Cell will autofill based on response",INDEX('Faculties'!$M$73:$M$82,MATCH($F87,'Faculties'!$B$73:$B$82,0))),"N/A")</f>
        <v/>
      </c>
      <c r="M87" s="50">
        <f>IFERROR(IF(INDEX('Faculties'!$M$89:$M$98,MATCH($F87,'Faculties'!$B$89:$B$98,0))="","Cell will autofill based on response",INDEX('Faculties'!$M$89:$M$98,MATCH($F87,'Faculties'!$B$89:$B$98,0))),"N/A")</f>
        <v/>
      </c>
      <c r="N87" s="50">
        <f>IFERROR(IF(INDEX('Faculties'!$M$105:$M$114,MATCH($F87,'Faculties'!$B$105:$B$114,0))="","Cell will autofill based on response",INDEX('Faculties'!$M$105:$M$114,MATCH($F87,'Faculties'!$B$105:$B$114,0))),"N/A")</f>
        <v/>
      </c>
      <c r="O87" s="50">
        <f>IFERROR(IF(INDEX('Faculties'!$M$121:$M$130,MATCH($F87,'Faculties'!$B$121:$B$130,0))="","Cell will autofill based on response",INDEX('Faculties'!$M$121:$M$130,MATCH($F87,'Faculties'!$B$121:$B$130,0))),"N/A")</f>
        <v/>
      </c>
      <c r="P87" s="50">
        <f>IFERROR(IF(INDEX('Faculties'!$M$137:$M$146,MATCH($F87,'Faculties'!$B$137:$B$146,0))="","Cell will autofill based on response",INDEX('Faculties'!$M$137:$M$146,MATCH($F87,'Faculties'!$B$137:$B$146,0))),"N/A")</f>
        <v/>
      </c>
      <c r="Q87" s="50">
        <f>IFERROR(IF(INDEX('CI&amp;S'!$M$10:$M$15,MATCH($F87,'CI&amp;S'!$B$10:$B$15,0))="","Cell will autofill based on response",INDEX('CI&amp;S'!$M$10:$M$15,MATCH($F87,'CI&amp;S'!$B$10:$B$15,0))),"N/A")</f>
        <v/>
      </c>
      <c r="R87" s="50">
        <f>IFERROR(IF(INDEX('CI&amp;S'!$M$22:$M$36,MATCH($F87,'CI&amp;S'!$B$22:$B$36,0))="","Cell will autofill based on response",INDEX('CI&amp;S'!$M$22:$M$36,MATCH($F87,'CI&amp;S'!$B$22:$B$36,0))),"N/A")</f>
        <v/>
      </c>
      <c r="S87" s="50">
        <f>IFERROR(IF(INDEX('CFOG'!$M$10:$M$16,MATCH($F87,'CFOG'!$B$10:$B$16,0))="","Cell will autofill based on response",INDEX('CFOG'!$M$10:$M$16,MATCH($F87,'CFOG'!$B$10:$B$16,0))),"N/A")</f>
        <v/>
      </c>
      <c r="T87" s="50">
        <f>IFERROR(IF(INDEX('CFOG'!$M$23:$M$24,MATCH($F87,'CFOG'!$B$23:$B$24,0))="","Cell will autofill based on response",INDEX('CFOG'!$M$23:$M$24,MATCH($F87,'CFOG'!$B$23:$B$24,0))),"N/A")</f>
        <v/>
      </c>
      <c r="U87" s="50">
        <f>IFERROR(IF(INDEX('ESG'!$M$10:$M$17,MATCH($F87,'ESG'!$B$10:$B$17,0))="","Cell will autofill based on response",INDEX('ESG'!$M$10:$M$17,MATCH($F87,'ESG'!$B$10:$B$17,0))),"N/A")</f>
        <v/>
      </c>
      <c r="V87" s="50">
        <f>IFERROR(IF(INDEX('CIOG'!$M$10:$M$14,MATCH($F87,'CIOG'!$B$10:$B$14,0))="","Cell will autofill based on response",INDEX('CIOG'!$M$10:$M$14,MATCH($F87,'CIOG'!$B$10:$B$14,0))),"N/A")</f>
        <v/>
      </c>
      <c r="W87" s="50">
        <f>IFERROR(IF(INDEX('MRE'!$M$10:$M$18,MATCH($F87,'MRE'!$B$10:$B$18,0))="","Cell will autofill based on response",INDEX('MRE'!$M$10:$M$18,MATCH($F87,'MRE'!$B$10:$B$18,0))),"N/A")</f>
        <v/>
      </c>
      <c r="X87" s="50">
        <f>IFERROR(IF(INDEX('AC&amp;M'!$M$10:$M$14,MATCH($F87,'AC&amp;M'!$B$10:$B$14,0))="","Cell will autofill based on response",INDEX('AC&amp;M'!$M$10:$M$14,MATCH($F87,'AC&amp;M'!$B$10:$B$14,0))),"N/A")</f>
        <v/>
      </c>
      <c r="Y87" s="50">
        <f>IFERROR(IF(INDEX('GCE'!$M$10:$M$12,MATCH($F87,'GCE'!$B$10:$B$12,0))="","Cell will autofill based on response",INDEX('GCE'!$M$10:$M$12,MATCH($F87,'GCE'!$B$10:$B$12,0))),"N/A")</f>
        <v/>
      </c>
      <c r="Z87" s="50">
        <f>IFERROR(IF(INDEX('Education'!$M$10:$M$13,MATCH($F87,'Education'!$B$10:$B$13,0))="","Cell will autofill based on response",INDEX('Education'!$M$10:$M$13,MATCH($F87,'Education'!$B$10:$B$13,0))),"N/A")</f>
        <v/>
      </c>
      <c r="AA87" s="50">
        <f>IFERROR(IF(INDEX('SaSS'!$M$10:$M$12,MATCH($F87,'SaSS'!$B$10:$B$12,0))="","Cell will autofill based on response",INDEX('SaSS'!$M$10:$M$12,MATCH($F87,'SaSS'!$B$10:$B$12,0))),"N/A")</f>
        <v/>
      </c>
      <c r="AB87" s="50">
        <f>IFERROR(IF(INDEX('Indigenous'!$M$10:$M$11,MATCH($F87,'Indigenous'!$B$10:$B$11,0))="","Cell will autofill based on response",INDEX('Indigenous'!$M$10:$M$11,MATCH($F87,'Indigenous'!$B$10:$B$11,0))),"N/A")</f>
        <v/>
      </c>
      <c r="AC87" s="50">
        <f>IFERROR(IF(INDEX('L&amp;R'!$M$10:$M$11,MATCH($F87,'L&amp;R'!$B$10:$B$11,0))="","Cell will autofill based on response",INDEX('L&amp;R'!$M$10:$M$11,MATCH($F87,'L&amp;R'!$B$10:$B$11,0))),"N/A")</f>
        <v/>
      </c>
    </row>
    <row r="88" ht="22" customHeight="1">
      <c r="A88">
        <f>F88&amp;"|"&amp;G88</f>
        <v/>
      </c>
      <c r="B88" s="12" t="inlineStr"/>
      <c r="C88" s="7" t="inlineStr"/>
      <c r="D88" s="7" t="inlineStr"/>
      <c r="E88" s="7" t="inlineStr"/>
      <c r="F88" s="7" t="inlineStr">
        <is>
          <t>CL1(c)</t>
        </is>
      </c>
      <c r="G88" s="7" t="inlineStr">
        <is>
          <t>Supporting information/comments</t>
        </is>
      </c>
      <c r="H88" s="50">
        <f>IFERROR(IF(INDEX('Faculties'!$N$10:$N$18,MATCH($F88,'Faculties'!$B$10:$B$18,0))="","Cell will autofill based on response",INDEX('Faculties'!$N$10:$N$18,MATCH($F88,'Faculties'!$B$10:$B$18,0))),"N/A")</f>
        <v/>
      </c>
      <c r="I88" s="50">
        <f>IFERROR(IF(INDEX('Faculties'!$N$25:$N$34,MATCH($F88,'Faculties'!$B$25:$B$34,0))="","Cell will autofill based on response",INDEX('Faculties'!$N$25:$N$34,MATCH($F88,'Faculties'!$B$25:$B$34,0))),"N/A")</f>
        <v/>
      </c>
      <c r="J88" s="50">
        <f>IFERROR(IF(INDEX('Faculties'!$N$41:$N$50,MATCH($F88,'Faculties'!$B$41:$B$50,0))="","Cell will autofill based on response",INDEX('Faculties'!$N$41:$N$50,MATCH($F88,'Faculties'!$B$41:$B$50,0))),"N/A")</f>
        <v/>
      </c>
      <c r="K88" s="50">
        <f>IFERROR(IF(INDEX('Faculties'!$N$57:$N$66,MATCH($F88,'Faculties'!$B$57:$B$66,0))="","Cell will autofill based on response",INDEX('Faculties'!$N$57:$N$66,MATCH($F88,'Faculties'!$B$57:$B$66,0))),"N/A")</f>
        <v/>
      </c>
      <c r="L88" s="50">
        <f>IFERROR(IF(INDEX('Faculties'!$N$73:$N$82,MATCH($F88,'Faculties'!$B$73:$B$82,0))="","Cell will autofill based on response",INDEX('Faculties'!$N$73:$N$82,MATCH($F88,'Faculties'!$B$73:$B$82,0))),"N/A")</f>
        <v/>
      </c>
      <c r="M88" s="50">
        <f>IFERROR(IF(INDEX('Faculties'!$N$89:$N$98,MATCH($F88,'Faculties'!$B$89:$B$98,0))="","Cell will autofill based on response",INDEX('Faculties'!$N$89:$N$98,MATCH($F88,'Faculties'!$B$89:$B$98,0))),"N/A")</f>
        <v/>
      </c>
      <c r="N88" s="50">
        <f>IFERROR(IF(INDEX('Faculties'!$N$105:$N$114,MATCH($F88,'Faculties'!$B$105:$B$114,0))="","Cell will autofill based on response",INDEX('Faculties'!$N$105:$N$114,MATCH($F88,'Faculties'!$B$105:$B$114,0))),"N/A")</f>
        <v/>
      </c>
      <c r="O88" s="50">
        <f>IFERROR(IF(INDEX('Faculties'!$N$121:$N$130,MATCH($F88,'Faculties'!$B$121:$B$130,0))="","Cell will autofill based on response",INDEX('Faculties'!$N$121:$N$130,MATCH($F88,'Faculties'!$B$121:$B$130,0))),"N/A")</f>
        <v/>
      </c>
      <c r="P88" s="50">
        <f>IFERROR(IF(INDEX('Faculties'!$N$137:$N$146,MATCH($F88,'Faculties'!$B$137:$B$146,0))="","Cell will autofill based on response",INDEX('Faculties'!$N$137:$N$146,MATCH($F88,'Faculties'!$B$137:$B$146,0))),"N/A")</f>
        <v/>
      </c>
      <c r="Q88" s="50">
        <f>IFERROR(IF(INDEX('CI&amp;S'!$N$10:$N$15,MATCH($F88,'CI&amp;S'!$B$10:$B$15,0))="","Cell will autofill based on response",INDEX('CI&amp;S'!$N$10:$N$15,MATCH($F88,'CI&amp;S'!$B$10:$B$15,0))),"N/A")</f>
        <v/>
      </c>
      <c r="R88" s="50">
        <f>IFERROR(IF(INDEX('CI&amp;S'!$N$22:$N$36,MATCH($F88,'CI&amp;S'!$B$22:$B$36,0))="","Cell will autofill based on response",INDEX('CI&amp;S'!$N$22:$N$36,MATCH($F88,'CI&amp;S'!$B$22:$B$36,0))),"N/A")</f>
        <v/>
      </c>
      <c r="S88" s="50">
        <f>IFERROR(IF(INDEX('CFOG'!$N$10:$N$16,MATCH($F88,'CFOG'!$B$10:$B$16,0))="","Cell will autofill based on response",INDEX('CFOG'!$N$10:$N$16,MATCH($F88,'CFOG'!$B$10:$B$16,0))),"N/A")</f>
        <v/>
      </c>
      <c r="T88" s="50">
        <f>IFERROR(IF(INDEX('CFOG'!$N$23:$N$24,MATCH($F88,'CFOG'!$B$23:$B$24,0))="","Cell will autofill based on response",INDEX('CFOG'!$N$23:$N$24,MATCH($F88,'CFOG'!$B$23:$B$24,0))),"N/A")</f>
        <v/>
      </c>
      <c r="U88" s="50">
        <f>IFERROR(IF(INDEX('ESG'!$N$10:$N$17,MATCH($F88,'ESG'!$B$10:$B$17,0))="","Cell will autofill based on response",INDEX('ESG'!$N$10:$N$17,MATCH($F88,'ESG'!$B$10:$B$17,0))),"N/A")</f>
        <v/>
      </c>
      <c r="V88" s="50">
        <f>IFERROR(IF(INDEX('CIOG'!$N$10:$N$14,MATCH($F88,'CIOG'!$B$10:$B$14,0))="","Cell will autofill based on response",INDEX('CIOG'!$N$10:$N$14,MATCH($F88,'CIOG'!$B$10:$B$14,0))),"N/A")</f>
        <v/>
      </c>
      <c r="W88" s="50">
        <f>IFERROR(IF(INDEX('MRE'!$N$10:$N$18,MATCH($F88,'MRE'!$B$10:$B$18,0))="","Cell will autofill based on response",INDEX('MRE'!$N$10:$N$18,MATCH($F88,'MRE'!$B$10:$B$18,0))),"N/A")</f>
        <v/>
      </c>
      <c r="X88" s="50">
        <f>IFERROR(IF(INDEX('AC&amp;M'!$N$10:$N$14,MATCH($F88,'AC&amp;M'!$B$10:$B$14,0))="","Cell will autofill based on response",INDEX('AC&amp;M'!$N$10:$N$14,MATCH($F88,'AC&amp;M'!$B$10:$B$14,0))),"N/A")</f>
        <v/>
      </c>
      <c r="Y88" s="50">
        <f>IFERROR(IF(INDEX('GCE'!$N$10:$N$12,MATCH($F88,'GCE'!$B$10:$B$12,0))="","Cell will autofill based on response",INDEX('GCE'!$N$10:$N$12,MATCH($F88,'GCE'!$B$10:$B$12,0))),"N/A")</f>
        <v/>
      </c>
      <c r="Z88" s="50">
        <f>IFERROR(IF(INDEX('Education'!$N$10:$N$13,MATCH($F88,'Education'!$B$10:$B$13,0))="","Cell will autofill based on response",INDEX('Education'!$N$10:$N$13,MATCH($F88,'Education'!$B$10:$B$13,0))),"N/A")</f>
        <v/>
      </c>
      <c r="AA88" s="50">
        <f>IFERROR(IF(INDEX('SaSS'!$N$10:$N$12,MATCH($F88,'SaSS'!$B$10:$B$12,0))="","Cell will autofill based on response",INDEX('SaSS'!$N$10:$N$12,MATCH($F88,'SaSS'!$B$10:$B$12,0))),"N/A")</f>
        <v/>
      </c>
      <c r="AB88" s="50">
        <f>IFERROR(IF(INDEX('Indigenous'!$N$10:$N$11,MATCH($F88,'Indigenous'!$B$10:$B$11,0))="","Cell will autofill based on response",INDEX('Indigenous'!$N$10:$N$11,MATCH($F88,'Indigenous'!$B$10:$B$11,0))),"N/A")</f>
        <v/>
      </c>
      <c r="AC88" s="50">
        <f>IFERROR(IF(INDEX('L&amp;R'!$N$10:$N$11,MATCH($F88,'L&amp;R'!$B$10:$B$11,0))="","Cell will autofill based on response",INDEX('L&amp;R'!$N$10:$N$11,MATCH($F88,'L&amp;R'!$B$10:$B$11,0))),"N/A")</f>
        <v/>
      </c>
    </row>
    <row r="89" ht="22" customHeight="1">
      <c r="A89">
        <f>F89&amp;"|"&amp;G89</f>
        <v/>
      </c>
      <c r="B89" s="12" t="inlineStr"/>
      <c r="C89" s="7" t="inlineStr"/>
      <c r="D89" s="7" t="inlineStr"/>
      <c r="E89" s="7" t="inlineStr"/>
      <c r="F89" s="7" t="inlineStr">
        <is>
          <t>CL1(c)</t>
        </is>
      </c>
      <c r="G89" s="7" t="inlineStr">
        <is>
          <t>Data source and limitations</t>
        </is>
      </c>
      <c r="H89" s="50">
        <f>IFERROR(IF(INDEX('Faculties'!$O$10:$O$18,MATCH($F89,'Faculties'!$B$10:$B$18,0))="","Cell will autofill based on response",INDEX('Faculties'!$O$10:$O$18,MATCH($F89,'Faculties'!$B$10:$B$18,0))),"N/A")</f>
        <v/>
      </c>
      <c r="I89" s="50">
        <f>IFERROR(IF(INDEX('Faculties'!$O$25:$O$34,MATCH($F89,'Faculties'!$B$25:$B$34,0))="","Cell will autofill based on response",INDEX('Faculties'!$O$25:$O$34,MATCH($F89,'Faculties'!$B$25:$B$34,0))),"N/A")</f>
        <v/>
      </c>
      <c r="J89" s="50">
        <f>IFERROR(IF(INDEX('Faculties'!$O$41:$O$50,MATCH($F89,'Faculties'!$B$41:$B$50,0))="","Cell will autofill based on response",INDEX('Faculties'!$O$41:$O$50,MATCH($F89,'Faculties'!$B$41:$B$50,0))),"N/A")</f>
        <v/>
      </c>
      <c r="K89" s="50">
        <f>IFERROR(IF(INDEX('Faculties'!$O$57:$O$66,MATCH($F89,'Faculties'!$B$57:$B$66,0))="","Cell will autofill based on response",INDEX('Faculties'!$O$57:$O$66,MATCH($F89,'Faculties'!$B$57:$B$66,0))),"N/A")</f>
        <v/>
      </c>
      <c r="L89" s="50">
        <f>IFERROR(IF(INDEX('Faculties'!$O$73:$O$82,MATCH($F89,'Faculties'!$B$73:$B$82,0))="","Cell will autofill based on response",INDEX('Faculties'!$O$73:$O$82,MATCH($F89,'Faculties'!$B$73:$B$82,0))),"N/A")</f>
        <v/>
      </c>
      <c r="M89" s="50">
        <f>IFERROR(IF(INDEX('Faculties'!$O$89:$O$98,MATCH($F89,'Faculties'!$B$89:$B$98,0))="","Cell will autofill based on response",INDEX('Faculties'!$O$89:$O$98,MATCH($F89,'Faculties'!$B$89:$B$98,0))),"N/A")</f>
        <v/>
      </c>
      <c r="N89" s="50">
        <f>IFERROR(IF(INDEX('Faculties'!$O$105:$O$114,MATCH($F89,'Faculties'!$B$105:$B$114,0))="","Cell will autofill based on response",INDEX('Faculties'!$O$105:$O$114,MATCH($F89,'Faculties'!$B$105:$B$114,0))),"N/A")</f>
        <v/>
      </c>
      <c r="O89" s="50">
        <f>IFERROR(IF(INDEX('Faculties'!$O$121:$O$130,MATCH($F89,'Faculties'!$B$121:$B$130,0))="","Cell will autofill based on response",INDEX('Faculties'!$O$121:$O$130,MATCH($F89,'Faculties'!$B$121:$B$130,0))),"N/A")</f>
        <v/>
      </c>
      <c r="P89" s="50">
        <f>IFERROR(IF(INDEX('Faculties'!$O$137:$O$146,MATCH($F89,'Faculties'!$B$137:$B$146,0))="","Cell will autofill based on response",INDEX('Faculties'!$O$137:$O$146,MATCH($F89,'Faculties'!$B$137:$B$146,0))),"N/A")</f>
        <v/>
      </c>
      <c r="Q89" s="50">
        <f>IFERROR(IF(INDEX('CI&amp;S'!$O$10:$O$15,MATCH($F89,'CI&amp;S'!$B$10:$B$15,0))="","Cell will autofill based on response",INDEX('CI&amp;S'!$O$10:$O$15,MATCH($F89,'CI&amp;S'!$B$10:$B$15,0))),"N/A")</f>
        <v/>
      </c>
      <c r="R89" s="50">
        <f>IFERROR(IF(INDEX('CI&amp;S'!$O$22:$O$36,MATCH($F89,'CI&amp;S'!$B$22:$B$36,0))="","Cell will autofill based on response",INDEX('CI&amp;S'!$O$22:$O$36,MATCH($F89,'CI&amp;S'!$B$22:$B$36,0))),"N/A")</f>
        <v/>
      </c>
      <c r="S89" s="50">
        <f>IFERROR(IF(INDEX('CFOG'!$O$10:$O$16,MATCH($F89,'CFOG'!$B$10:$B$16,0))="","Cell will autofill based on response",INDEX('CFOG'!$O$10:$O$16,MATCH($F89,'CFOG'!$B$10:$B$16,0))),"N/A")</f>
        <v/>
      </c>
      <c r="T89" s="50">
        <f>IFERROR(IF(INDEX('CFOG'!$O$23:$O$24,MATCH($F89,'CFOG'!$B$23:$B$24,0))="","Cell will autofill based on response",INDEX('CFOG'!$O$23:$O$24,MATCH($F89,'CFOG'!$B$23:$B$24,0))),"N/A")</f>
        <v/>
      </c>
      <c r="U89" s="50">
        <f>IFERROR(IF(INDEX('ESG'!$O$10:$O$17,MATCH($F89,'ESG'!$B$10:$B$17,0))="","Cell will autofill based on response",INDEX('ESG'!$O$10:$O$17,MATCH($F89,'ESG'!$B$10:$B$17,0))),"N/A")</f>
        <v/>
      </c>
      <c r="V89" s="50">
        <f>IFERROR(IF(INDEX('CIOG'!$O$10:$O$14,MATCH($F89,'CIOG'!$B$10:$B$14,0))="","Cell will autofill based on response",INDEX('CIOG'!$O$10:$O$14,MATCH($F89,'CIOG'!$B$10:$B$14,0))),"N/A")</f>
        <v/>
      </c>
      <c r="W89" s="50">
        <f>IFERROR(IF(INDEX('MRE'!$O$10:$O$18,MATCH($F89,'MRE'!$B$10:$B$18,0))="","Cell will autofill based on response",INDEX('MRE'!$O$10:$O$18,MATCH($F89,'MRE'!$B$10:$B$18,0))),"N/A")</f>
        <v/>
      </c>
      <c r="X89" s="50">
        <f>IFERROR(IF(INDEX('AC&amp;M'!$O$10:$O$14,MATCH($F89,'AC&amp;M'!$B$10:$B$14,0))="","Cell will autofill based on response",INDEX('AC&amp;M'!$O$10:$O$14,MATCH($F89,'AC&amp;M'!$B$10:$B$14,0))),"N/A")</f>
        <v/>
      </c>
      <c r="Y89" s="50">
        <f>IFERROR(IF(INDEX('GCE'!$O$10:$O$12,MATCH($F89,'GCE'!$B$10:$B$12,0))="","Cell will autofill based on response",INDEX('GCE'!$O$10:$O$12,MATCH($F89,'GCE'!$B$10:$B$12,0))),"N/A")</f>
        <v/>
      </c>
      <c r="Z89" s="50">
        <f>IFERROR(IF(INDEX('Education'!$O$10:$O$13,MATCH($F89,'Education'!$B$10:$B$13,0))="","Cell will autofill based on response",INDEX('Education'!$O$10:$O$13,MATCH($F89,'Education'!$B$10:$B$13,0))),"N/A")</f>
        <v/>
      </c>
      <c r="AA89" s="50">
        <f>IFERROR(IF(INDEX('SaSS'!$O$10:$O$12,MATCH($F89,'SaSS'!$B$10:$B$12,0))="","Cell will autofill based on response",INDEX('SaSS'!$O$10:$O$12,MATCH($F89,'SaSS'!$B$10:$B$12,0))),"N/A")</f>
        <v/>
      </c>
      <c r="AB89" s="50">
        <f>IFERROR(IF(INDEX('Indigenous'!$O$10:$O$11,MATCH($F89,'Indigenous'!$B$10:$B$11,0))="","Cell will autofill based on response",INDEX('Indigenous'!$O$10:$O$11,MATCH($F89,'Indigenous'!$B$10:$B$11,0))),"N/A")</f>
        <v/>
      </c>
      <c r="AC89" s="50">
        <f>IFERROR(IF(INDEX('L&amp;R'!$O$10:$O$11,MATCH($F89,'L&amp;R'!$B$10:$B$11,0))="","Cell will autofill based on response",INDEX('L&amp;R'!$O$10:$O$11,MATCH($F89,'L&amp;R'!$B$10:$B$11,0))),"N/A")</f>
        <v/>
      </c>
    </row>
    <row r="90" ht="22" customHeight="1">
      <c r="A90">
        <f>F90&amp;"|"&amp;G90</f>
        <v/>
      </c>
      <c r="B90" s="12" t="inlineStr"/>
      <c r="C90" s="7" t="inlineStr"/>
      <c r="D90" s="7" t="inlineStr"/>
      <c r="E90" s="7" t="inlineStr"/>
      <c r="F90" s="7" t="inlineStr">
        <is>
          <t>CL1(c)</t>
        </is>
      </c>
      <c r="G90" s="7" t="inlineStr">
        <is>
          <t>Data owner confirms</t>
        </is>
      </c>
      <c r="H90" s="50">
        <f>IFERROR(IF(INDEX('Faculties'!$P$10:$P$18,MATCH($F90,'Faculties'!$B$10:$B$18,0))="","Cell will autofill based on response",INDEX('Faculties'!$P$10:$P$18,MATCH($F90,'Faculties'!$B$10:$B$18,0))),"N/A")</f>
        <v/>
      </c>
      <c r="I90" s="50">
        <f>IFERROR(IF(INDEX('Faculties'!$P$25:$P$34,MATCH($F90,'Faculties'!$B$25:$B$34,0))="","Cell will autofill based on response",INDEX('Faculties'!$P$25:$P$34,MATCH($F90,'Faculties'!$B$25:$B$34,0))),"N/A")</f>
        <v/>
      </c>
      <c r="J90" s="50">
        <f>IFERROR(IF(INDEX('Faculties'!$P$41:$P$50,MATCH($F90,'Faculties'!$B$41:$B$50,0))="","Cell will autofill based on response",INDEX('Faculties'!$P$41:$P$50,MATCH($F90,'Faculties'!$B$41:$B$50,0))),"N/A")</f>
        <v/>
      </c>
      <c r="K90" s="50">
        <f>IFERROR(IF(INDEX('Faculties'!$P$57:$P$66,MATCH($F90,'Faculties'!$B$57:$B$66,0))="","Cell will autofill based on response",INDEX('Faculties'!$P$57:$P$66,MATCH($F90,'Faculties'!$B$57:$B$66,0))),"N/A")</f>
        <v/>
      </c>
      <c r="L90" s="50">
        <f>IFERROR(IF(INDEX('Faculties'!$P$73:$P$82,MATCH($F90,'Faculties'!$B$73:$B$82,0))="","Cell will autofill based on response",INDEX('Faculties'!$P$73:$P$82,MATCH($F90,'Faculties'!$B$73:$B$82,0))),"N/A")</f>
        <v/>
      </c>
      <c r="M90" s="50">
        <f>IFERROR(IF(INDEX('Faculties'!$P$89:$P$98,MATCH($F90,'Faculties'!$B$89:$B$98,0))="","Cell will autofill based on response",INDEX('Faculties'!$P$89:$P$98,MATCH($F90,'Faculties'!$B$89:$B$98,0))),"N/A")</f>
        <v/>
      </c>
      <c r="N90" s="50">
        <f>IFERROR(IF(INDEX('Faculties'!$P$105:$P$114,MATCH($F90,'Faculties'!$B$105:$B$114,0))="","Cell will autofill based on response",INDEX('Faculties'!$P$105:$P$114,MATCH($F90,'Faculties'!$B$105:$B$114,0))),"N/A")</f>
        <v/>
      </c>
      <c r="O90" s="50">
        <f>IFERROR(IF(INDEX('Faculties'!$P$121:$P$130,MATCH($F90,'Faculties'!$B$121:$B$130,0))="","Cell will autofill based on response",INDEX('Faculties'!$P$121:$P$130,MATCH($F90,'Faculties'!$B$121:$B$130,0))),"N/A")</f>
        <v/>
      </c>
      <c r="P90" s="50">
        <f>IFERROR(IF(INDEX('Faculties'!$P$137:$P$146,MATCH($F90,'Faculties'!$B$137:$B$146,0))="","Cell will autofill based on response",INDEX('Faculties'!$P$137:$P$146,MATCH($F90,'Faculties'!$B$137:$B$146,0))),"N/A")</f>
        <v/>
      </c>
      <c r="Q90" s="50">
        <f>IFERROR(IF(INDEX('CI&amp;S'!$P$10:$P$15,MATCH($F90,'CI&amp;S'!$B$10:$B$15,0))="","Cell will autofill based on response",INDEX('CI&amp;S'!$P$10:$P$15,MATCH($F90,'CI&amp;S'!$B$10:$B$15,0))),"N/A")</f>
        <v/>
      </c>
      <c r="R90" s="50">
        <f>IFERROR(IF(INDEX('CI&amp;S'!$P$22:$P$36,MATCH($F90,'CI&amp;S'!$B$22:$B$36,0))="","Cell will autofill based on response",INDEX('CI&amp;S'!$P$22:$P$36,MATCH($F90,'CI&amp;S'!$B$22:$B$36,0))),"N/A")</f>
        <v/>
      </c>
      <c r="S90" s="50">
        <f>IFERROR(IF(INDEX('CFOG'!$P$10:$P$16,MATCH($F90,'CFOG'!$B$10:$B$16,0))="","Cell will autofill based on response",INDEX('CFOG'!$P$10:$P$16,MATCH($F90,'CFOG'!$B$10:$B$16,0))),"N/A")</f>
        <v/>
      </c>
      <c r="T90" s="50">
        <f>IFERROR(IF(INDEX('CFOG'!$P$23:$P$24,MATCH($F90,'CFOG'!$B$23:$B$24,0))="","Cell will autofill based on response",INDEX('CFOG'!$P$23:$P$24,MATCH($F90,'CFOG'!$B$23:$B$24,0))),"N/A")</f>
        <v/>
      </c>
      <c r="U90" s="50">
        <f>IFERROR(IF(INDEX('ESG'!$P$10:$P$17,MATCH($F90,'ESG'!$B$10:$B$17,0))="","Cell will autofill based on response",INDEX('ESG'!$P$10:$P$17,MATCH($F90,'ESG'!$B$10:$B$17,0))),"N/A")</f>
        <v/>
      </c>
      <c r="V90" s="50">
        <f>IFERROR(IF(INDEX('CIOG'!$P$10:$P$14,MATCH($F90,'CIOG'!$B$10:$B$14,0))="","Cell will autofill based on response",INDEX('CIOG'!$P$10:$P$14,MATCH($F90,'CIOG'!$B$10:$B$14,0))),"N/A")</f>
        <v/>
      </c>
      <c r="W90" s="50">
        <f>IFERROR(IF(INDEX('MRE'!$P$10:$P$18,MATCH($F90,'MRE'!$B$10:$B$18,0))="","Cell will autofill based on response",INDEX('MRE'!$P$10:$P$18,MATCH($F90,'MRE'!$B$10:$B$18,0))),"N/A")</f>
        <v/>
      </c>
      <c r="X90" s="50">
        <f>IFERROR(IF(INDEX('AC&amp;M'!$P$10:$P$14,MATCH($F90,'AC&amp;M'!$B$10:$B$14,0))="","Cell will autofill based on response",INDEX('AC&amp;M'!$P$10:$P$14,MATCH($F90,'AC&amp;M'!$B$10:$B$14,0))),"N/A")</f>
        <v/>
      </c>
      <c r="Y90" s="50">
        <f>IFERROR(IF(INDEX('GCE'!$P$10:$P$12,MATCH($F90,'GCE'!$B$10:$B$12,0))="","Cell will autofill based on response",INDEX('GCE'!$P$10:$P$12,MATCH($F90,'GCE'!$B$10:$B$12,0))),"N/A")</f>
        <v/>
      </c>
      <c r="Z90" s="50">
        <f>IFERROR(IF(INDEX('Education'!$P$10:$P$13,MATCH($F90,'Education'!$B$10:$B$13,0))="","Cell will autofill based on response",INDEX('Education'!$P$10:$P$13,MATCH($F90,'Education'!$B$10:$B$13,0))),"N/A")</f>
        <v/>
      </c>
      <c r="AA90" s="50">
        <f>IFERROR(IF(INDEX('SaSS'!$P$10:$P$12,MATCH($F90,'SaSS'!$B$10:$B$12,0))="","Cell will autofill based on response",INDEX('SaSS'!$P$10:$P$12,MATCH($F90,'SaSS'!$B$10:$B$12,0))),"N/A")</f>
        <v/>
      </c>
      <c r="AB90" s="50">
        <f>IFERROR(IF(INDEX('Indigenous'!$P$10:$P$11,MATCH($F90,'Indigenous'!$B$10:$B$11,0))="","Cell will autofill based on response",INDEX('Indigenous'!$P$10:$P$11,MATCH($F90,'Indigenous'!$B$10:$B$11,0))),"N/A")</f>
        <v/>
      </c>
      <c r="AC90" s="50">
        <f>IFERROR(IF(INDEX('L&amp;R'!$P$10:$P$11,MATCH($F90,'L&amp;R'!$B$10:$B$11,0))="","Cell will autofill based on response",INDEX('L&amp;R'!$P$10:$P$11,MATCH($F90,'L&amp;R'!$B$10:$B$11,0))),"N/A")</f>
        <v/>
      </c>
    </row>
    <row r="91" ht="138" customHeight="1">
      <c r="A91">
        <f>F91&amp;"|"&amp;G91</f>
        <v/>
      </c>
      <c r="B91" s="6" t="inlineStr">
        <is>
          <t>CL2(a)</t>
        </is>
      </c>
      <c r="C91" s="48" t="inlineStr">
        <is>
          <t>Climate leadership</t>
        </is>
      </c>
      <c r="D91" s="48" t="inlineStr">
        <is>
          <t>By 2028, develop and document institutional mapping of research and education activities that are designed to contribute to global decarbonisation</t>
        </is>
      </c>
      <c r="E91" s="48"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F91" s="48" t="inlineStr">
        <is>
          <t>CL2(a)</t>
        </is>
      </c>
      <c r="G91" s="48" t="inlineStr">
        <is>
          <t>OPTION 1:  Target-level reporting</t>
        </is>
      </c>
      <c r="H91" s="50">
        <f>IFERROR(IF(INDEX('Faculties'!$L$10:$L$18,MATCH($F91,'Faculties'!$B$10:$B$18,0))="","Cell will autofill based on response",INDEX('Faculties'!$L$10:$L$18,MATCH($F91,'Faculties'!$B$10:$B$18,0))),"N/A")</f>
        <v/>
      </c>
      <c r="I91" s="50">
        <f>IFERROR(IF(INDEX('Faculties'!$L$25:$L$34,MATCH($F91,'Faculties'!$B$25:$B$34,0))="","Cell will autofill based on response",INDEX('Faculties'!$L$25:$L$34,MATCH($F91,'Faculties'!$B$25:$B$34,0))),"N/A")</f>
        <v/>
      </c>
      <c r="J91" s="50">
        <f>IFERROR(IF(INDEX('Faculties'!$L$41:$L$50,MATCH($F91,'Faculties'!$B$41:$B$50,0))="","Cell will autofill based on response",INDEX('Faculties'!$L$41:$L$50,MATCH($F91,'Faculties'!$B$41:$B$50,0))),"N/A")</f>
        <v/>
      </c>
      <c r="K91" s="50">
        <f>IFERROR(IF(INDEX('Faculties'!$L$57:$L$66,MATCH($F91,'Faculties'!$B$57:$B$66,0))="","Cell will autofill based on response",INDEX('Faculties'!$L$57:$L$66,MATCH($F91,'Faculties'!$B$57:$B$66,0))),"N/A")</f>
        <v/>
      </c>
      <c r="L91" s="50">
        <f>IFERROR(IF(INDEX('Faculties'!$L$73:$L$82,MATCH($F91,'Faculties'!$B$73:$B$82,0))="","Cell will autofill based on response",INDEX('Faculties'!$L$73:$L$82,MATCH($F91,'Faculties'!$B$73:$B$82,0))),"N/A")</f>
        <v/>
      </c>
      <c r="M91" s="50">
        <f>IFERROR(IF(INDEX('Faculties'!$L$89:$L$98,MATCH($F91,'Faculties'!$B$89:$B$98,0))="","Cell will autofill based on response",INDEX('Faculties'!$L$89:$L$98,MATCH($F91,'Faculties'!$B$89:$B$98,0))),"N/A")</f>
        <v/>
      </c>
      <c r="N91" s="50">
        <f>IFERROR(IF(INDEX('Faculties'!$L$105:$L$114,MATCH($F91,'Faculties'!$B$105:$B$114,0))="","Cell will autofill based on response",INDEX('Faculties'!$L$105:$L$114,MATCH($F91,'Faculties'!$B$105:$B$114,0))),"N/A")</f>
        <v/>
      </c>
      <c r="O91" s="50">
        <f>IFERROR(IF(INDEX('Faculties'!$L$121:$L$130,MATCH($F91,'Faculties'!$B$121:$B$130,0))="","Cell will autofill based on response",INDEX('Faculties'!$L$121:$L$130,MATCH($F91,'Faculties'!$B$121:$B$130,0))),"N/A")</f>
        <v/>
      </c>
      <c r="P91" s="50">
        <f>IFERROR(IF(INDEX('Faculties'!$L$137:$L$146,MATCH($F91,'Faculties'!$B$137:$B$146,0))="","Cell will autofill based on response",INDEX('Faculties'!$L$137:$L$146,MATCH($F91,'Faculties'!$B$137:$B$146,0))),"N/A")</f>
        <v/>
      </c>
      <c r="Q91" s="50">
        <f>IFERROR(IF(INDEX('CI&amp;S'!$L$10:$L$15,MATCH($F91,'CI&amp;S'!$B$10:$B$15,0))="","Cell will autofill based on response",INDEX('CI&amp;S'!$L$10:$L$15,MATCH($F91,'CI&amp;S'!$B$10:$B$15,0))),"N/A")</f>
        <v/>
      </c>
      <c r="R91" s="50">
        <f>IFERROR(IF(INDEX('CI&amp;S'!$L$22:$L$36,MATCH($F91,'CI&amp;S'!$B$22:$B$36,0))="","Cell will autofill based on response",INDEX('CI&amp;S'!$L$22:$L$36,MATCH($F91,'CI&amp;S'!$B$22:$B$36,0))),"N/A")</f>
        <v/>
      </c>
      <c r="S91" s="50">
        <f>IFERROR(IF(INDEX('CFOG'!$L$10:$L$16,MATCH($F91,'CFOG'!$B$10:$B$16,0))="","Cell will autofill based on response",INDEX('CFOG'!$L$10:$L$16,MATCH($F91,'CFOG'!$B$10:$B$16,0))),"N/A")</f>
        <v/>
      </c>
      <c r="T91" s="50">
        <f>IFERROR(IF(INDEX('CFOG'!$L$23:$L$24,MATCH($F91,'CFOG'!$B$23:$B$24,0))="","Cell will autofill based on response",INDEX('CFOG'!$L$23:$L$24,MATCH($F91,'CFOG'!$B$23:$B$24,0))),"N/A")</f>
        <v/>
      </c>
      <c r="U91" s="50">
        <f>IFERROR(IF(INDEX('ESG'!$L$10:$L$17,MATCH($F91,'ESG'!$B$10:$B$17,0))="","Cell will autofill based on response",INDEX('ESG'!$L$10:$L$17,MATCH($F91,'ESG'!$B$10:$B$17,0))),"N/A")</f>
        <v/>
      </c>
      <c r="V91" s="50">
        <f>IFERROR(IF(INDEX('CIOG'!$L$10:$L$14,MATCH($F91,'CIOG'!$B$10:$B$14,0))="","Cell will autofill based on response",INDEX('CIOG'!$L$10:$L$14,MATCH($F91,'CIOG'!$B$10:$B$14,0))),"N/A")</f>
        <v/>
      </c>
      <c r="W91" s="50">
        <f>IFERROR(IF(INDEX('MRE'!$L$10:$L$18,MATCH($F91,'MRE'!$B$10:$B$18,0))="","Cell will autofill based on response",INDEX('MRE'!$L$10:$L$18,MATCH($F91,'MRE'!$B$10:$B$18,0))),"N/A")</f>
        <v/>
      </c>
      <c r="X91" s="50">
        <f>IFERROR(IF(INDEX('AC&amp;M'!$L$10:$L$14,MATCH($F91,'AC&amp;M'!$B$10:$B$14,0))="","Cell will autofill based on response",INDEX('AC&amp;M'!$L$10:$L$14,MATCH($F91,'AC&amp;M'!$B$10:$B$14,0))),"N/A")</f>
        <v/>
      </c>
      <c r="Y91" s="50">
        <f>IFERROR(IF(INDEX('GCE'!$L$10:$L$12,MATCH($F91,'GCE'!$B$10:$B$12,0))="","Cell will autofill based on response",INDEX('GCE'!$L$10:$L$12,MATCH($F91,'GCE'!$B$10:$B$12,0))),"N/A")</f>
        <v/>
      </c>
      <c r="Z91" s="50">
        <f>IFERROR(IF(INDEX('Education'!$L$10:$L$13,MATCH($F91,'Education'!$B$10:$B$13,0))="","Cell will autofill based on response",INDEX('Education'!$L$10:$L$13,MATCH($F91,'Education'!$B$10:$B$13,0))),"N/A")</f>
        <v/>
      </c>
      <c r="AA91" s="50">
        <f>IFERROR(IF(INDEX('SaSS'!$L$10:$L$12,MATCH($F91,'SaSS'!$B$10:$B$12,0))="","Cell will autofill based on response",INDEX('SaSS'!$L$10:$L$12,MATCH($F91,'SaSS'!$B$10:$B$12,0))),"N/A")</f>
        <v/>
      </c>
      <c r="AB91" s="50">
        <f>IFERROR(IF(INDEX('Indigenous'!$L$10:$L$11,MATCH($F91,'Indigenous'!$B$10:$B$11,0))="","Cell will autofill based on response",INDEX('Indigenous'!$L$10:$L$11,MATCH($F91,'Indigenous'!$B$10:$B$11,0))),"N/A")</f>
        <v/>
      </c>
      <c r="AC91" s="50">
        <f>IFERROR(IF(INDEX('L&amp;R'!$L$10:$L$11,MATCH($F91,'L&amp;R'!$B$10:$B$11,0))="","Cell will autofill based on response",INDEX('L&amp;R'!$L$10:$L$11,MATCH($F91,'L&amp;R'!$B$10:$B$11,0))),"N/A")</f>
        <v/>
      </c>
      <c r="AE91" s="9">
        <f>SUMPRODUCT(--($H91:$AC91&lt;&gt;"N/A"))</f>
        <v/>
      </c>
      <c r="AF91" s="9">
        <f>SUMPRODUCT(--(((($H91:$AC91&lt;&gt;"N/A")*($H91:$AC91&lt;&gt;"Cell will autofill based on response"))+(($H92:$AC92&lt;&gt;"N/A")*($H92:$AC92&lt;&gt;"Cell will autofill based on response")))&gt;0))</f>
        <v/>
      </c>
      <c r="AG91" s="9">
        <f>AE91-AF91</f>
        <v/>
      </c>
      <c r="AH91" s="9">
        <f>COUNTIF($H95:$AC95,"Yes")</f>
        <v/>
      </c>
    </row>
    <row r="92" ht="39" customHeight="1">
      <c r="A92">
        <f>F92&amp;"|"&amp;G92</f>
        <v/>
      </c>
      <c r="B92" s="12" t="inlineStr"/>
      <c r="C92" s="7" t="inlineStr"/>
      <c r="D92" s="7" t="inlineStr"/>
      <c r="E92" s="7" t="inlineStr"/>
      <c r="F92" s="7" t="inlineStr">
        <is>
          <t>CL2(a)</t>
        </is>
      </c>
      <c r="G92" s="7" t="inlineStr">
        <is>
          <t>OPTION 2:  Indicator level reporting</t>
        </is>
      </c>
      <c r="H92" s="50">
        <f>IFERROR(IF(INDEX('Faculties'!$M$10:$M$18,MATCH($F92,'Faculties'!$B$10:$B$18,0))="","Cell will autofill based on response",INDEX('Faculties'!$M$10:$M$18,MATCH($F92,'Faculties'!$B$10:$B$18,0))),"N/A")</f>
        <v/>
      </c>
      <c r="I92" s="50">
        <f>IFERROR(IF(INDEX('Faculties'!$M$25:$M$34,MATCH($F92,'Faculties'!$B$25:$B$34,0))="","Cell will autofill based on response",INDEX('Faculties'!$M$25:$M$34,MATCH($F92,'Faculties'!$B$25:$B$34,0))),"N/A")</f>
        <v/>
      </c>
      <c r="J92" s="50">
        <f>IFERROR(IF(INDEX('Faculties'!$M$41:$M$50,MATCH($F92,'Faculties'!$B$41:$B$50,0))="","Cell will autofill based on response",INDEX('Faculties'!$M$41:$M$50,MATCH($F92,'Faculties'!$B$41:$B$50,0))),"N/A")</f>
        <v/>
      </c>
      <c r="K92" s="50">
        <f>IFERROR(IF(INDEX('Faculties'!$M$57:$M$66,MATCH($F92,'Faculties'!$B$57:$B$66,0))="","Cell will autofill based on response",INDEX('Faculties'!$M$57:$M$66,MATCH($F92,'Faculties'!$B$57:$B$66,0))),"N/A")</f>
        <v/>
      </c>
      <c r="L92" s="50">
        <f>IFERROR(IF(INDEX('Faculties'!$M$73:$M$82,MATCH($F92,'Faculties'!$B$73:$B$82,0))="","Cell will autofill based on response",INDEX('Faculties'!$M$73:$M$82,MATCH($F92,'Faculties'!$B$73:$B$82,0))),"N/A")</f>
        <v/>
      </c>
      <c r="M92" s="50">
        <f>IFERROR(IF(INDEX('Faculties'!$M$89:$M$98,MATCH($F92,'Faculties'!$B$89:$B$98,0))="","Cell will autofill based on response",INDEX('Faculties'!$M$89:$M$98,MATCH($F92,'Faculties'!$B$89:$B$98,0))),"N/A")</f>
        <v/>
      </c>
      <c r="N92" s="50">
        <f>IFERROR(IF(INDEX('Faculties'!$M$105:$M$114,MATCH($F92,'Faculties'!$B$105:$B$114,0))="","Cell will autofill based on response",INDEX('Faculties'!$M$105:$M$114,MATCH($F92,'Faculties'!$B$105:$B$114,0))),"N/A")</f>
        <v/>
      </c>
      <c r="O92" s="50">
        <f>IFERROR(IF(INDEX('Faculties'!$M$121:$M$130,MATCH($F92,'Faculties'!$B$121:$B$130,0))="","Cell will autofill based on response",INDEX('Faculties'!$M$121:$M$130,MATCH($F92,'Faculties'!$B$121:$B$130,0))),"N/A")</f>
        <v/>
      </c>
      <c r="P92" s="50">
        <f>IFERROR(IF(INDEX('Faculties'!$M$137:$M$146,MATCH($F92,'Faculties'!$B$137:$B$146,0))="","Cell will autofill based on response",INDEX('Faculties'!$M$137:$M$146,MATCH($F92,'Faculties'!$B$137:$B$146,0))),"N/A")</f>
        <v/>
      </c>
      <c r="Q92" s="50">
        <f>IFERROR(IF(INDEX('CI&amp;S'!$M$10:$M$15,MATCH($F92,'CI&amp;S'!$B$10:$B$15,0))="","Cell will autofill based on response",INDEX('CI&amp;S'!$M$10:$M$15,MATCH($F92,'CI&amp;S'!$B$10:$B$15,0))),"N/A")</f>
        <v/>
      </c>
      <c r="R92" s="50">
        <f>IFERROR(IF(INDEX('CI&amp;S'!$M$22:$M$36,MATCH($F92,'CI&amp;S'!$B$22:$B$36,0))="","Cell will autofill based on response",INDEX('CI&amp;S'!$M$22:$M$36,MATCH($F92,'CI&amp;S'!$B$22:$B$36,0))),"N/A")</f>
        <v/>
      </c>
      <c r="S92" s="50">
        <f>IFERROR(IF(INDEX('CFOG'!$M$10:$M$16,MATCH($F92,'CFOG'!$B$10:$B$16,0))="","Cell will autofill based on response",INDEX('CFOG'!$M$10:$M$16,MATCH($F92,'CFOG'!$B$10:$B$16,0))),"N/A")</f>
        <v/>
      </c>
      <c r="T92" s="50">
        <f>IFERROR(IF(INDEX('CFOG'!$M$23:$M$24,MATCH($F92,'CFOG'!$B$23:$B$24,0))="","Cell will autofill based on response",INDEX('CFOG'!$M$23:$M$24,MATCH($F92,'CFOG'!$B$23:$B$24,0))),"N/A")</f>
        <v/>
      </c>
      <c r="U92" s="50">
        <f>IFERROR(IF(INDEX('ESG'!$M$10:$M$17,MATCH($F92,'ESG'!$B$10:$B$17,0))="","Cell will autofill based on response",INDEX('ESG'!$M$10:$M$17,MATCH($F92,'ESG'!$B$10:$B$17,0))),"N/A")</f>
        <v/>
      </c>
      <c r="V92" s="50">
        <f>IFERROR(IF(INDEX('CIOG'!$M$10:$M$14,MATCH($F92,'CIOG'!$B$10:$B$14,0))="","Cell will autofill based on response",INDEX('CIOG'!$M$10:$M$14,MATCH($F92,'CIOG'!$B$10:$B$14,0))),"N/A")</f>
        <v/>
      </c>
      <c r="W92" s="50">
        <f>IFERROR(IF(INDEX('MRE'!$M$10:$M$18,MATCH($F92,'MRE'!$B$10:$B$18,0))="","Cell will autofill based on response",INDEX('MRE'!$M$10:$M$18,MATCH($F92,'MRE'!$B$10:$B$18,0))),"N/A")</f>
        <v/>
      </c>
      <c r="X92" s="50">
        <f>IFERROR(IF(INDEX('AC&amp;M'!$M$10:$M$14,MATCH($F92,'AC&amp;M'!$B$10:$B$14,0))="","Cell will autofill based on response",INDEX('AC&amp;M'!$M$10:$M$14,MATCH($F92,'AC&amp;M'!$B$10:$B$14,0))),"N/A")</f>
        <v/>
      </c>
      <c r="Y92" s="50">
        <f>IFERROR(IF(INDEX('GCE'!$M$10:$M$12,MATCH($F92,'GCE'!$B$10:$B$12,0))="","Cell will autofill based on response",INDEX('GCE'!$M$10:$M$12,MATCH($F92,'GCE'!$B$10:$B$12,0))),"N/A")</f>
        <v/>
      </c>
      <c r="Z92" s="50">
        <f>IFERROR(IF(INDEX('Education'!$M$10:$M$13,MATCH($F92,'Education'!$B$10:$B$13,0))="","Cell will autofill based on response",INDEX('Education'!$M$10:$M$13,MATCH($F92,'Education'!$B$10:$B$13,0))),"N/A")</f>
        <v/>
      </c>
      <c r="AA92" s="50">
        <f>IFERROR(IF(INDEX('SaSS'!$M$10:$M$12,MATCH($F92,'SaSS'!$B$10:$B$12,0))="","Cell will autofill based on response",INDEX('SaSS'!$M$10:$M$12,MATCH($F92,'SaSS'!$B$10:$B$12,0))),"N/A")</f>
        <v/>
      </c>
      <c r="AB92" s="50">
        <f>IFERROR(IF(INDEX('Indigenous'!$M$10:$M$11,MATCH($F92,'Indigenous'!$B$10:$B$11,0))="","Cell will autofill based on response",INDEX('Indigenous'!$M$10:$M$11,MATCH($F92,'Indigenous'!$B$10:$B$11,0))),"N/A")</f>
        <v/>
      </c>
      <c r="AC92" s="50">
        <f>IFERROR(IF(INDEX('L&amp;R'!$M$10:$M$11,MATCH($F92,'L&amp;R'!$B$10:$B$11,0))="","Cell will autofill based on response",INDEX('L&amp;R'!$M$10:$M$11,MATCH($F92,'L&amp;R'!$B$10:$B$11,0))),"N/A")</f>
        <v/>
      </c>
    </row>
    <row r="93" ht="22" customHeight="1">
      <c r="A93">
        <f>F93&amp;"|"&amp;G93</f>
        <v/>
      </c>
      <c r="B93" s="12" t="inlineStr"/>
      <c r="C93" s="7" t="inlineStr"/>
      <c r="D93" s="7" t="inlineStr"/>
      <c r="E93" s="7" t="inlineStr"/>
      <c r="F93" s="7" t="inlineStr">
        <is>
          <t>CL2(a)</t>
        </is>
      </c>
      <c r="G93" s="7" t="inlineStr">
        <is>
          <t>Supporting information/comments</t>
        </is>
      </c>
      <c r="H93" s="50">
        <f>IFERROR(IF(INDEX('Faculties'!$N$10:$N$18,MATCH($F93,'Faculties'!$B$10:$B$18,0))="","Cell will autofill based on response",INDEX('Faculties'!$N$10:$N$18,MATCH($F93,'Faculties'!$B$10:$B$18,0))),"N/A")</f>
        <v/>
      </c>
      <c r="I93" s="50">
        <f>IFERROR(IF(INDEX('Faculties'!$N$25:$N$34,MATCH($F93,'Faculties'!$B$25:$B$34,0))="","Cell will autofill based on response",INDEX('Faculties'!$N$25:$N$34,MATCH($F93,'Faculties'!$B$25:$B$34,0))),"N/A")</f>
        <v/>
      </c>
      <c r="J93" s="50">
        <f>IFERROR(IF(INDEX('Faculties'!$N$41:$N$50,MATCH($F93,'Faculties'!$B$41:$B$50,0))="","Cell will autofill based on response",INDEX('Faculties'!$N$41:$N$50,MATCH($F93,'Faculties'!$B$41:$B$50,0))),"N/A")</f>
        <v/>
      </c>
      <c r="K93" s="50">
        <f>IFERROR(IF(INDEX('Faculties'!$N$57:$N$66,MATCH($F93,'Faculties'!$B$57:$B$66,0))="","Cell will autofill based on response",INDEX('Faculties'!$N$57:$N$66,MATCH($F93,'Faculties'!$B$57:$B$66,0))),"N/A")</f>
        <v/>
      </c>
      <c r="L93" s="50">
        <f>IFERROR(IF(INDEX('Faculties'!$N$73:$N$82,MATCH($F93,'Faculties'!$B$73:$B$82,0))="","Cell will autofill based on response",INDEX('Faculties'!$N$73:$N$82,MATCH($F93,'Faculties'!$B$73:$B$82,0))),"N/A")</f>
        <v/>
      </c>
      <c r="M93" s="50">
        <f>IFERROR(IF(INDEX('Faculties'!$N$89:$N$98,MATCH($F93,'Faculties'!$B$89:$B$98,0))="","Cell will autofill based on response",INDEX('Faculties'!$N$89:$N$98,MATCH($F93,'Faculties'!$B$89:$B$98,0))),"N/A")</f>
        <v/>
      </c>
      <c r="N93" s="50">
        <f>IFERROR(IF(INDEX('Faculties'!$N$105:$N$114,MATCH($F93,'Faculties'!$B$105:$B$114,0))="","Cell will autofill based on response",INDEX('Faculties'!$N$105:$N$114,MATCH($F93,'Faculties'!$B$105:$B$114,0))),"N/A")</f>
        <v/>
      </c>
      <c r="O93" s="50">
        <f>IFERROR(IF(INDEX('Faculties'!$N$121:$N$130,MATCH($F93,'Faculties'!$B$121:$B$130,0))="","Cell will autofill based on response",INDEX('Faculties'!$N$121:$N$130,MATCH($F93,'Faculties'!$B$121:$B$130,0))),"N/A")</f>
        <v/>
      </c>
      <c r="P93" s="50">
        <f>IFERROR(IF(INDEX('Faculties'!$N$137:$N$146,MATCH($F93,'Faculties'!$B$137:$B$146,0))="","Cell will autofill based on response",INDEX('Faculties'!$N$137:$N$146,MATCH($F93,'Faculties'!$B$137:$B$146,0))),"N/A")</f>
        <v/>
      </c>
      <c r="Q93" s="50">
        <f>IFERROR(IF(INDEX('CI&amp;S'!$N$10:$N$15,MATCH($F93,'CI&amp;S'!$B$10:$B$15,0))="","Cell will autofill based on response",INDEX('CI&amp;S'!$N$10:$N$15,MATCH($F93,'CI&amp;S'!$B$10:$B$15,0))),"N/A")</f>
        <v/>
      </c>
      <c r="R93" s="50">
        <f>IFERROR(IF(INDEX('CI&amp;S'!$N$22:$N$36,MATCH($F93,'CI&amp;S'!$B$22:$B$36,0))="","Cell will autofill based on response",INDEX('CI&amp;S'!$N$22:$N$36,MATCH($F93,'CI&amp;S'!$B$22:$B$36,0))),"N/A")</f>
        <v/>
      </c>
      <c r="S93" s="50">
        <f>IFERROR(IF(INDEX('CFOG'!$N$10:$N$16,MATCH($F93,'CFOG'!$B$10:$B$16,0))="","Cell will autofill based on response",INDEX('CFOG'!$N$10:$N$16,MATCH($F93,'CFOG'!$B$10:$B$16,0))),"N/A")</f>
        <v/>
      </c>
      <c r="T93" s="50">
        <f>IFERROR(IF(INDEX('CFOG'!$N$23:$N$24,MATCH($F93,'CFOG'!$B$23:$B$24,0))="","Cell will autofill based on response",INDEX('CFOG'!$N$23:$N$24,MATCH($F93,'CFOG'!$B$23:$B$24,0))),"N/A")</f>
        <v/>
      </c>
      <c r="U93" s="50">
        <f>IFERROR(IF(INDEX('ESG'!$N$10:$N$17,MATCH($F93,'ESG'!$B$10:$B$17,0))="","Cell will autofill based on response",INDEX('ESG'!$N$10:$N$17,MATCH($F93,'ESG'!$B$10:$B$17,0))),"N/A")</f>
        <v/>
      </c>
      <c r="V93" s="50">
        <f>IFERROR(IF(INDEX('CIOG'!$N$10:$N$14,MATCH($F93,'CIOG'!$B$10:$B$14,0))="","Cell will autofill based on response",INDEX('CIOG'!$N$10:$N$14,MATCH($F93,'CIOG'!$B$10:$B$14,0))),"N/A")</f>
        <v/>
      </c>
      <c r="W93" s="50">
        <f>IFERROR(IF(INDEX('MRE'!$N$10:$N$18,MATCH($F93,'MRE'!$B$10:$B$18,0))="","Cell will autofill based on response",INDEX('MRE'!$N$10:$N$18,MATCH($F93,'MRE'!$B$10:$B$18,0))),"N/A")</f>
        <v/>
      </c>
      <c r="X93" s="50">
        <f>IFERROR(IF(INDEX('AC&amp;M'!$N$10:$N$14,MATCH($F93,'AC&amp;M'!$B$10:$B$14,0))="","Cell will autofill based on response",INDEX('AC&amp;M'!$N$10:$N$14,MATCH($F93,'AC&amp;M'!$B$10:$B$14,0))),"N/A")</f>
        <v/>
      </c>
      <c r="Y93" s="50">
        <f>IFERROR(IF(INDEX('GCE'!$N$10:$N$12,MATCH($F93,'GCE'!$B$10:$B$12,0))="","Cell will autofill based on response",INDEX('GCE'!$N$10:$N$12,MATCH($F93,'GCE'!$B$10:$B$12,0))),"N/A")</f>
        <v/>
      </c>
      <c r="Z93" s="50">
        <f>IFERROR(IF(INDEX('Education'!$N$10:$N$13,MATCH($F93,'Education'!$B$10:$B$13,0))="","Cell will autofill based on response",INDEX('Education'!$N$10:$N$13,MATCH($F93,'Education'!$B$10:$B$13,0))),"N/A")</f>
        <v/>
      </c>
      <c r="AA93" s="50">
        <f>IFERROR(IF(INDEX('SaSS'!$N$10:$N$12,MATCH($F93,'SaSS'!$B$10:$B$12,0))="","Cell will autofill based on response",INDEX('SaSS'!$N$10:$N$12,MATCH($F93,'SaSS'!$B$10:$B$12,0))),"N/A")</f>
        <v/>
      </c>
      <c r="AB93" s="50">
        <f>IFERROR(IF(INDEX('Indigenous'!$N$10:$N$11,MATCH($F93,'Indigenous'!$B$10:$B$11,0))="","Cell will autofill based on response",INDEX('Indigenous'!$N$10:$N$11,MATCH($F93,'Indigenous'!$B$10:$B$11,0))),"N/A")</f>
        <v/>
      </c>
      <c r="AC93" s="50">
        <f>IFERROR(IF(INDEX('L&amp;R'!$N$10:$N$11,MATCH($F93,'L&amp;R'!$B$10:$B$11,0))="","Cell will autofill based on response",INDEX('L&amp;R'!$N$10:$N$11,MATCH($F93,'L&amp;R'!$B$10:$B$11,0))),"N/A")</f>
        <v/>
      </c>
    </row>
    <row r="94" ht="22" customHeight="1">
      <c r="A94">
        <f>F94&amp;"|"&amp;G94</f>
        <v/>
      </c>
      <c r="B94" s="12" t="inlineStr"/>
      <c r="C94" s="7" t="inlineStr"/>
      <c r="D94" s="7" t="inlineStr"/>
      <c r="E94" s="7" t="inlineStr"/>
      <c r="F94" s="7" t="inlineStr">
        <is>
          <t>CL2(a)</t>
        </is>
      </c>
      <c r="G94" s="7" t="inlineStr">
        <is>
          <t>Data source and limitations</t>
        </is>
      </c>
      <c r="H94" s="50">
        <f>IFERROR(IF(INDEX('Faculties'!$O$10:$O$18,MATCH($F94,'Faculties'!$B$10:$B$18,0))="","Cell will autofill based on response",INDEX('Faculties'!$O$10:$O$18,MATCH($F94,'Faculties'!$B$10:$B$18,0))),"N/A")</f>
        <v/>
      </c>
      <c r="I94" s="50">
        <f>IFERROR(IF(INDEX('Faculties'!$O$25:$O$34,MATCH($F94,'Faculties'!$B$25:$B$34,0))="","Cell will autofill based on response",INDEX('Faculties'!$O$25:$O$34,MATCH($F94,'Faculties'!$B$25:$B$34,0))),"N/A")</f>
        <v/>
      </c>
      <c r="J94" s="50">
        <f>IFERROR(IF(INDEX('Faculties'!$O$41:$O$50,MATCH($F94,'Faculties'!$B$41:$B$50,0))="","Cell will autofill based on response",INDEX('Faculties'!$O$41:$O$50,MATCH($F94,'Faculties'!$B$41:$B$50,0))),"N/A")</f>
        <v/>
      </c>
      <c r="K94" s="50">
        <f>IFERROR(IF(INDEX('Faculties'!$O$57:$O$66,MATCH($F94,'Faculties'!$B$57:$B$66,0))="","Cell will autofill based on response",INDEX('Faculties'!$O$57:$O$66,MATCH($F94,'Faculties'!$B$57:$B$66,0))),"N/A")</f>
        <v/>
      </c>
      <c r="L94" s="50">
        <f>IFERROR(IF(INDEX('Faculties'!$O$73:$O$82,MATCH($F94,'Faculties'!$B$73:$B$82,0))="","Cell will autofill based on response",INDEX('Faculties'!$O$73:$O$82,MATCH($F94,'Faculties'!$B$73:$B$82,0))),"N/A")</f>
        <v/>
      </c>
      <c r="M94" s="50">
        <f>IFERROR(IF(INDEX('Faculties'!$O$89:$O$98,MATCH($F94,'Faculties'!$B$89:$B$98,0))="","Cell will autofill based on response",INDEX('Faculties'!$O$89:$O$98,MATCH($F94,'Faculties'!$B$89:$B$98,0))),"N/A")</f>
        <v/>
      </c>
      <c r="N94" s="50">
        <f>IFERROR(IF(INDEX('Faculties'!$O$105:$O$114,MATCH($F94,'Faculties'!$B$105:$B$114,0))="","Cell will autofill based on response",INDEX('Faculties'!$O$105:$O$114,MATCH($F94,'Faculties'!$B$105:$B$114,0))),"N/A")</f>
        <v/>
      </c>
      <c r="O94" s="50">
        <f>IFERROR(IF(INDEX('Faculties'!$O$121:$O$130,MATCH($F94,'Faculties'!$B$121:$B$130,0))="","Cell will autofill based on response",INDEX('Faculties'!$O$121:$O$130,MATCH($F94,'Faculties'!$B$121:$B$130,0))),"N/A")</f>
        <v/>
      </c>
      <c r="P94" s="50">
        <f>IFERROR(IF(INDEX('Faculties'!$O$137:$O$146,MATCH($F94,'Faculties'!$B$137:$B$146,0))="","Cell will autofill based on response",INDEX('Faculties'!$O$137:$O$146,MATCH($F94,'Faculties'!$B$137:$B$146,0))),"N/A")</f>
        <v/>
      </c>
      <c r="Q94" s="50">
        <f>IFERROR(IF(INDEX('CI&amp;S'!$O$10:$O$15,MATCH($F94,'CI&amp;S'!$B$10:$B$15,0))="","Cell will autofill based on response",INDEX('CI&amp;S'!$O$10:$O$15,MATCH($F94,'CI&amp;S'!$B$10:$B$15,0))),"N/A")</f>
        <v/>
      </c>
      <c r="R94" s="50">
        <f>IFERROR(IF(INDEX('CI&amp;S'!$O$22:$O$36,MATCH($F94,'CI&amp;S'!$B$22:$B$36,0))="","Cell will autofill based on response",INDEX('CI&amp;S'!$O$22:$O$36,MATCH($F94,'CI&amp;S'!$B$22:$B$36,0))),"N/A")</f>
        <v/>
      </c>
      <c r="S94" s="50">
        <f>IFERROR(IF(INDEX('CFOG'!$O$10:$O$16,MATCH($F94,'CFOG'!$B$10:$B$16,0))="","Cell will autofill based on response",INDEX('CFOG'!$O$10:$O$16,MATCH($F94,'CFOG'!$B$10:$B$16,0))),"N/A")</f>
        <v/>
      </c>
      <c r="T94" s="50">
        <f>IFERROR(IF(INDEX('CFOG'!$O$23:$O$24,MATCH($F94,'CFOG'!$B$23:$B$24,0))="","Cell will autofill based on response",INDEX('CFOG'!$O$23:$O$24,MATCH($F94,'CFOG'!$B$23:$B$24,0))),"N/A")</f>
        <v/>
      </c>
      <c r="U94" s="50">
        <f>IFERROR(IF(INDEX('ESG'!$O$10:$O$17,MATCH($F94,'ESG'!$B$10:$B$17,0))="","Cell will autofill based on response",INDEX('ESG'!$O$10:$O$17,MATCH($F94,'ESG'!$B$10:$B$17,0))),"N/A")</f>
        <v/>
      </c>
      <c r="V94" s="50">
        <f>IFERROR(IF(INDEX('CIOG'!$O$10:$O$14,MATCH($F94,'CIOG'!$B$10:$B$14,0))="","Cell will autofill based on response",INDEX('CIOG'!$O$10:$O$14,MATCH($F94,'CIOG'!$B$10:$B$14,0))),"N/A")</f>
        <v/>
      </c>
      <c r="W94" s="50">
        <f>IFERROR(IF(INDEX('MRE'!$O$10:$O$18,MATCH($F94,'MRE'!$B$10:$B$18,0))="","Cell will autofill based on response",INDEX('MRE'!$O$10:$O$18,MATCH($F94,'MRE'!$B$10:$B$18,0))),"N/A")</f>
        <v/>
      </c>
      <c r="X94" s="50">
        <f>IFERROR(IF(INDEX('AC&amp;M'!$O$10:$O$14,MATCH($F94,'AC&amp;M'!$B$10:$B$14,0))="","Cell will autofill based on response",INDEX('AC&amp;M'!$O$10:$O$14,MATCH($F94,'AC&amp;M'!$B$10:$B$14,0))),"N/A")</f>
        <v/>
      </c>
      <c r="Y94" s="50">
        <f>IFERROR(IF(INDEX('GCE'!$O$10:$O$12,MATCH($F94,'GCE'!$B$10:$B$12,0))="","Cell will autofill based on response",INDEX('GCE'!$O$10:$O$12,MATCH($F94,'GCE'!$B$10:$B$12,0))),"N/A")</f>
        <v/>
      </c>
      <c r="Z94" s="50">
        <f>IFERROR(IF(INDEX('Education'!$O$10:$O$13,MATCH($F94,'Education'!$B$10:$B$13,0))="","Cell will autofill based on response",INDEX('Education'!$O$10:$O$13,MATCH($F94,'Education'!$B$10:$B$13,0))),"N/A")</f>
        <v/>
      </c>
      <c r="AA94" s="50">
        <f>IFERROR(IF(INDEX('SaSS'!$O$10:$O$12,MATCH($F94,'SaSS'!$B$10:$B$12,0))="","Cell will autofill based on response",INDEX('SaSS'!$O$10:$O$12,MATCH($F94,'SaSS'!$B$10:$B$12,0))),"N/A")</f>
        <v/>
      </c>
      <c r="AB94" s="50">
        <f>IFERROR(IF(INDEX('Indigenous'!$O$10:$O$11,MATCH($F94,'Indigenous'!$B$10:$B$11,0))="","Cell will autofill based on response",INDEX('Indigenous'!$O$10:$O$11,MATCH($F94,'Indigenous'!$B$10:$B$11,0))),"N/A")</f>
        <v/>
      </c>
      <c r="AC94" s="50">
        <f>IFERROR(IF(INDEX('L&amp;R'!$O$10:$O$11,MATCH($F94,'L&amp;R'!$B$10:$B$11,0))="","Cell will autofill based on response",INDEX('L&amp;R'!$O$10:$O$11,MATCH($F94,'L&amp;R'!$B$10:$B$11,0))),"N/A")</f>
        <v/>
      </c>
    </row>
    <row r="95" ht="22" customHeight="1">
      <c r="A95">
        <f>F95&amp;"|"&amp;G95</f>
        <v/>
      </c>
      <c r="B95" s="12" t="inlineStr"/>
      <c r="C95" s="7" t="inlineStr"/>
      <c r="D95" s="7" t="inlineStr"/>
      <c r="E95" s="7" t="inlineStr"/>
      <c r="F95" s="7" t="inlineStr">
        <is>
          <t>CL2(a)</t>
        </is>
      </c>
      <c r="G95" s="7" t="inlineStr">
        <is>
          <t>Data owner confirms</t>
        </is>
      </c>
      <c r="H95" s="50">
        <f>IFERROR(IF(INDEX('Faculties'!$P$10:$P$18,MATCH($F95,'Faculties'!$B$10:$B$18,0))="","Cell will autofill based on response",INDEX('Faculties'!$P$10:$P$18,MATCH($F95,'Faculties'!$B$10:$B$18,0))),"N/A")</f>
        <v/>
      </c>
      <c r="I95" s="50">
        <f>IFERROR(IF(INDEX('Faculties'!$P$25:$P$34,MATCH($F95,'Faculties'!$B$25:$B$34,0))="","Cell will autofill based on response",INDEX('Faculties'!$P$25:$P$34,MATCH($F95,'Faculties'!$B$25:$B$34,0))),"N/A")</f>
        <v/>
      </c>
      <c r="J95" s="50">
        <f>IFERROR(IF(INDEX('Faculties'!$P$41:$P$50,MATCH($F95,'Faculties'!$B$41:$B$50,0))="","Cell will autofill based on response",INDEX('Faculties'!$P$41:$P$50,MATCH($F95,'Faculties'!$B$41:$B$50,0))),"N/A")</f>
        <v/>
      </c>
      <c r="K95" s="50">
        <f>IFERROR(IF(INDEX('Faculties'!$P$57:$P$66,MATCH($F95,'Faculties'!$B$57:$B$66,0))="","Cell will autofill based on response",INDEX('Faculties'!$P$57:$P$66,MATCH($F95,'Faculties'!$B$57:$B$66,0))),"N/A")</f>
        <v/>
      </c>
      <c r="L95" s="50">
        <f>IFERROR(IF(INDEX('Faculties'!$P$73:$P$82,MATCH($F95,'Faculties'!$B$73:$B$82,0))="","Cell will autofill based on response",INDEX('Faculties'!$P$73:$P$82,MATCH($F95,'Faculties'!$B$73:$B$82,0))),"N/A")</f>
        <v/>
      </c>
      <c r="M95" s="50">
        <f>IFERROR(IF(INDEX('Faculties'!$P$89:$P$98,MATCH($F95,'Faculties'!$B$89:$B$98,0))="","Cell will autofill based on response",INDEX('Faculties'!$P$89:$P$98,MATCH($F95,'Faculties'!$B$89:$B$98,0))),"N/A")</f>
        <v/>
      </c>
      <c r="N95" s="50">
        <f>IFERROR(IF(INDEX('Faculties'!$P$105:$P$114,MATCH($F95,'Faculties'!$B$105:$B$114,0))="","Cell will autofill based on response",INDEX('Faculties'!$P$105:$P$114,MATCH($F95,'Faculties'!$B$105:$B$114,0))),"N/A")</f>
        <v/>
      </c>
      <c r="O95" s="50">
        <f>IFERROR(IF(INDEX('Faculties'!$P$121:$P$130,MATCH($F95,'Faculties'!$B$121:$B$130,0))="","Cell will autofill based on response",INDEX('Faculties'!$P$121:$P$130,MATCH($F95,'Faculties'!$B$121:$B$130,0))),"N/A")</f>
        <v/>
      </c>
      <c r="P95" s="50">
        <f>IFERROR(IF(INDEX('Faculties'!$P$137:$P$146,MATCH($F95,'Faculties'!$B$137:$B$146,0))="","Cell will autofill based on response",INDEX('Faculties'!$P$137:$P$146,MATCH($F95,'Faculties'!$B$137:$B$146,0))),"N/A")</f>
        <v/>
      </c>
      <c r="Q95" s="50">
        <f>IFERROR(IF(INDEX('CI&amp;S'!$P$10:$P$15,MATCH($F95,'CI&amp;S'!$B$10:$B$15,0))="","Cell will autofill based on response",INDEX('CI&amp;S'!$P$10:$P$15,MATCH($F95,'CI&amp;S'!$B$10:$B$15,0))),"N/A")</f>
        <v/>
      </c>
      <c r="R95" s="50">
        <f>IFERROR(IF(INDEX('CI&amp;S'!$P$22:$P$36,MATCH($F95,'CI&amp;S'!$B$22:$B$36,0))="","Cell will autofill based on response",INDEX('CI&amp;S'!$P$22:$P$36,MATCH($F95,'CI&amp;S'!$B$22:$B$36,0))),"N/A")</f>
        <v/>
      </c>
      <c r="S95" s="50">
        <f>IFERROR(IF(INDEX('CFOG'!$P$10:$P$16,MATCH($F95,'CFOG'!$B$10:$B$16,0))="","Cell will autofill based on response",INDEX('CFOG'!$P$10:$P$16,MATCH($F95,'CFOG'!$B$10:$B$16,0))),"N/A")</f>
        <v/>
      </c>
      <c r="T95" s="50">
        <f>IFERROR(IF(INDEX('CFOG'!$P$23:$P$24,MATCH($F95,'CFOG'!$B$23:$B$24,0))="","Cell will autofill based on response",INDEX('CFOG'!$P$23:$P$24,MATCH($F95,'CFOG'!$B$23:$B$24,0))),"N/A")</f>
        <v/>
      </c>
      <c r="U95" s="50">
        <f>IFERROR(IF(INDEX('ESG'!$P$10:$P$17,MATCH($F95,'ESG'!$B$10:$B$17,0))="","Cell will autofill based on response",INDEX('ESG'!$P$10:$P$17,MATCH($F95,'ESG'!$B$10:$B$17,0))),"N/A")</f>
        <v/>
      </c>
      <c r="V95" s="50">
        <f>IFERROR(IF(INDEX('CIOG'!$P$10:$P$14,MATCH($F95,'CIOG'!$B$10:$B$14,0))="","Cell will autofill based on response",INDEX('CIOG'!$P$10:$P$14,MATCH($F95,'CIOG'!$B$10:$B$14,0))),"N/A")</f>
        <v/>
      </c>
      <c r="W95" s="50">
        <f>IFERROR(IF(INDEX('MRE'!$P$10:$P$18,MATCH($F95,'MRE'!$B$10:$B$18,0))="","Cell will autofill based on response",INDEX('MRE'!$P$10:$P$18,MATCH($F95,'MRE'!$B$10:$B$18,0))),"N/A")</f>
        <v/>
      </c>
      <c r="X95" s="50">
        <f>IFERROR(IF(INDEX('AC&amp;M'!$P$10:$P$14,MATCH($F95,'AC&amp;M'!$B$10:$B$14,0))="","Cell will autofill based on response",INDEX('AC&amp;M'!$P$10:$P$14,MATCH($F95,'AC&amp;M'!$B$10:$B$14,0))),"N/A")</f>
        <v/>
      </c>
      <c r="Y95" s="50">
        <f>IFERROR(IF(INDEX('GCE'!$P$10:$P$12,MATCH($F95,'GCE'!$B$10:$B$12,0))="","Cell will autofill based on response",INDEX('GCE'!$P$10:$P$12,MATCH($F95,'GCE'!$B$10:$B$12,0))),"N/A")</f>
        <v/>
      </c>
      <c r="Z95" s="50">
        <f>IFERROR(IF(INDEX('Education'!$P$10:$P$13,MATCH($F95,'Education'!$B$10:$B$13,0))="","Cell will autofill based on response",INDEX('Education'!$P$10:$P$13,MATCH($F95,'Education'!$B$10:$B$13,0))),"N/A")</f>
        <v/>
      </c>
      <c r="AA95" s="50">
        <f>IFERROR(IF(INDEX('SaSS'!$P$10:$P$12,MATCH($F95,'SaSS'!$B$10:$B$12,0))="","Cell will autofill based on response",INDEX('SaSS'!$P$10:$P$12,MATCH($F95,'SaSS'!$B$10:$B$12,0))),"N/A")</f>
        <v/>
      </c>
      <c r="AB95" s="50">
        <f>IFERROR(IF(INDEX('Indigenous'!$P$10:$P$11,MATCH($F95,'Indigenous'!$B$10:$B$11,0))="","Cell will autofill based on response",INDEX('Indigenous'!$P$10:$P$11,MATCH($F95,'Indigenous'!$B$10:$B$11,0))),"N/A")</f>
        <v/>
      </c>
      <c r="AC95" s="50">
        <f>IFERROR(IF(INDEX('L&amp;R'!$P$10:$P$11,MATCH($F95,'L&amp;R'!$B$10:$B$11,0))="","Cell will autofill based on response",INDEX('L&amp;R'!$P$10:$P$11,MATCH($F95,'L&amp;R'!$B$10:$B$11,0))),"N/A")</f>
        <v/>
      </c>
    </row>
    <row r="96" ht="88" customHeight="1">
      <c r="A96">
        <f>F96&amp;"|"&amp;G96</f>
        <v/>
      </c>
      <c r="B96" s="6" t="inlineStr">
        <is>
          <t>CL2(c)</t>
        </is>
      </c>
      <c r="C96" s="48" t="inlineStr">
        <is>
          <t>Climate leadership</t>
        </is>
      </c>
      <c r="D96" s="48" t="inlineStr">
        <is>
          <t>Ongoing communications that evidence the University’s climate action, research and learning to inform policy, sector and community decarbonisation efforts.</t>
        </is>
      </c>
      <c r="E96" s="48" t="inlineStr">
        <is>
          <t>List and describe communications from the faculty in terms of climate action, research and learning to inform policy, sector and community decarbonisation efforts</t>
        </is>
      </c>
      <c r="F96" s="48" t="inlineStr">
        <is>
          <t>CL2(c)</t>
        </is>
      </c>
      <c r="G96" s="48" t="inlineStr">
        <is>
          <t>OPTION 1:  Target-level reporting</t>
        </is>
      </c>
      <c r="H96" s="50">
        <f>IFERROR(IF(INDEX('Faculties'!$L$10:$L$18,MATCH($F96,'Faculties'!$B$10:$B$18,0))="","Cell will autofill based on response",INDEX('Faculties'!$L$10:$L$18,MATCH($F96,'Faculties'!$B$10:$B$18,0))),"N/A")</f>
        <v/>
      </c>
      <c r="I96" s="50">
        <f>IFERROR(IF(INDEX('Faculties'!$L$25:$L$34,MATCH($F96,'Faculties'!$B$25:$B$34,0))="","Cell will autofill based on response",INDEX('Faculties'!$L$25:$L$34,MATCH($F96,'Faculties'!$B$25:$B$34,0))),"N/A")</f>
        <v/>
      </c>
      <c r="J96" s="50">
        <f>IFERROR(IF(INDEX('Faculties'!$L$41:$L$50,MATCH($F96,'Faculties'!$B$41:$B$50,0))="","Cell will autofill based on response",INDEX('Faculties'!$L$41:$L$50,MATCH($F96,'Faculties'!$B$41:$B$50,0))),"N/A")</f>
        <v/>
      </c>
      <c r="K96" s="50">
        <f>IFERROR(IF(INDEX('Faculties'!$L$57:$L$66,MATCH($F96,'Faculties'!$B$57:$B$66,0))="","Cell will autofill based on response",INDEX('Faculties'!$L$57:$L$66,MATCH($F96,'Faculties'!$B$57:$B$66,0))),"N/A")</f>
        <v/>
      </c>
      <c r="L96" s="50">
        <f>IFERROR(IF(INDEX('Faculties'!$L$73:$L$82,MATCH($F96,'Faculties'!$B$73:$B$82,0))="","Cell will autofill based on response",INDEX('Faculties'!$L$73:$L$82,MATCH($F96,'Faculties'!$B$73:$B$82,0))),"N/A")</f>
        <v/>
      </c>
      <c r="M96" s="50">
        <f>IFERROR(IF(INDEX('Faculties'!$L$89:$L$98,MATCH($F96,'Faculties'!$B$89:$B$98,0))="","Cell will autofill based on response",INDEX('Faculties'!$L$89:$L$98,MATCH($F96,'Faculties'!$B$89:$B$98,0))),"N/A")</f>
        <v/>
      </c>
      <c r="N96" s="50">
        <f>IFERROR(IF(INDEX('Faculties'!$L$105:$L$114,MATCH($F96,'Faculties'!$B$105:$B$114,0))="","Cell will autofill based on response",INDEX('Faculties'!$L$105:$L$114,MATCH($F96,'Faculties'!$B$105:$B$114,0))),"N/A")</f>
        <v/>
      </c>
      <c r="O96" s="50">
        <f>IFERROR(IF(INDEX('Faculties'!$L$121:$L$130,MATCH($F96,'Faculties'!$B$121:$B$130,0))="","Cell will autofill based on response",INDEX('Faculties'!$L$121:$L$130,MATCH($F96,'Faculties'!$B$121:$B$130,0))),"N/A")</f>
        <v/>
      </c>
      <c r="P96" s="50">
        <f>IFERROR(IF(INDEX('Faculties'!$L$137:$L$146,MATCH($F96,'Faculties'!$B$137:$B$146,0))="","Cell will autofill based on response",INDEX('Faculties'!$L$137:$L$146,MATCH($F96,'Faculties'!$B$137:$B$146,0))),"N/A")</f>
        <v/>
      </c>
      <c r="Q96" s="50">
        <f>IFERROR(IF(INDEX('CI&amp;S'!$L$10:$L$15,MATCH($F96,'CI&amp;S'!$B$10:$B$15,0))="","Cell will autofill based on response",INDEX('CI&amp;S'!$L$10:$L$15,MATCH($F96,'CI&amp;S'!$B$10:$B$15,0))),"N/A")</f>
        <v/>
      </c>
      <c r="R96" s="50">
        <f>IFERROR(IF(INDEX('CI&amp;S'!$L$22:$L$36,MATCH($F96,'CI&amp;S'!$B$22:$B$36,0))="","Cell will autofill based on response",INDEX('CI&amp;S'!$L$22:$L$36,MATCH($F96,'CI&amp;S'!$B$22:$B$36,0))),"N/A")</f>
        <v/>
      </c>
      <c r="S96" s="50">
        <f>IFERROR(IF(INDEX('CFOG'!$L$10:$L$16,MATCH($F96,'CFOG'!$B$10:$B$16,0))="","Cell will autofill based on response",INDEX('CFOG'!$L$10:$L$16,MATCH($F96,'CFOG'!$B$10:$B$16,0))),"N/A")</f>
        <v/>
      </c>
      <c r="T96" s="50">
        <f>IFERROR(IF(INDEX('CFOG'!$L$23:$L$24,MATCH($F96,'CFOG'!$B$23:$B$24,0))="","Cell will autofill based on response",INDEX('CFOG'!$L$23:$L$24,MATCH($F96,'CFOG'!$B$23:$B$24,0))),"N/A")</f>
        <v/>
      </c>
      <c r="U96" s="50">
        <f>IFERROR(IF(INDEX('ESG'!$L$10:$L$17,MATCH($F96,'ESG'!$B$10:$B$17,0))="","Cell will autofill based on response",INDEX('ESG'!$L$10:$L$17,MATCH($F96,'ESG'!$B$10:$B$17,0))),"N/A")</f>
        <v/>
      </c>
      <c r="V96" s="50">
        <f>IFERROR(IF(INDEX('CIOG'!$L$10:$L$14,MATCH($F96,'CIOG'!$B$10:$B$14,0))="","Cell will autofill based on response",INDEX('CIOG'!$L$10:$L$14,MATCH($F96,'CIOG'!$B$10:$B$14,0))),"N/A")</f>
        <v/>
      </c>
      <c r="W96" s="50">
        <f>IFERROR(IF(INDEX('MRE'!$L$10:$L$18,MATCH($F96,'MRE'!$B$10:$B$18,0))="","Cell will autofill based on response",INDEX('MRE'!$L$10:$L$18,MATCH($F96,'MRE'!$B$10:$B$18,0))),"N/A")</f>
        <v/>
      </c>
      <c r="X96" s="50">
        <f>IFERROR(IF(INDEX('AC&amp;M'!$L$10:$L$14,MATCH($F96,'AC&amp;M'!$B$10:$B$14,0))="","Cell will autofill based on response",INDEX('AC&amp;M'!$L$10:$L$14,MATCH($F96,'AC&amp;M'!$B$10:$B$14,0))),"N/A")</f>
        <v/>
      </c>
      <c r="Y96" s="50">
        <f>IFERROR(IF(INDEX('GCE'!$L$10:$L$12,MATCH($F96,'GCE'!$B$10:$B$12,0))="","Cell will autofill based on response",INDEX('GCE'!$L$10:$L$12,MATCH($F96,'GCE'!$B$10:$B$12,0))),"N/A")</f>
        <v/>
      </c>
      <c r="Z96" s="50">
        <f>IFERROR(IF(INDEX('Education'!$L$10:$L$13,MATCH($F96,'Education'!$B$10:$B$13,0))="","Cell will autofill based on response",INDEX('Education'!$L$10:$L$13,MATCH($F96,'Education'!$B$10:$B$13,0))),"N/A")</f>
        <v/>
      </c>
      <c r="AA96" s="50">
        <f>IFERROR(IF(INDEX('SaSS'!$L$10:$L$12,MATCH($F96,'SaSS'!$B$10:$B$12,0))="","Cell will autofill based on response",INDEX('SaSS'!$L$10:$L$12,MATCH($F96,'SaSS'!$B$10:$B$12,0))),"N/A")</f>
        <v/>
      </c>
      <c r="AB96" s="50">
        <f>IFERROR(IF(INDEX('Indigenous'!$L$10:$L$11,MATCH($F96,'Indigenous'!$B$10:$B$11,0))="","Cell will autofill based on response",INDEX('Indigenous'!$L$10:$L$11,MATCH($F96,'Indigenous'!$B$10:$B$11,0))),"N/A")</f>
        <v/>
      </c>
      <c r="AC96" s="50">
        <f>IFERROR(IF(INDEX('L&amp;R'!$L$10:$L$11,MATCH($F96,'L&amp;R'!$B$10:$B$11,0))="","Cell will autofill based on response",INDEX('L&amp;R'!$L$10:$L$11,MATCH($F96,'L&amp;R'!$B$10:$B$11,0))),"N/A")</f>
        <v/>
      </c>
      <c r="AE96" s="9">
        <f>SUMPRODUCT(--($H96:$AC96&lt;&gt;"N/A"))</f>
        <v/>
      </c>
      <c r="AF96" s="9">
        <f>SUMPRODUCT(--(((($H96:$AC96&lt;&gt;"N/A")*($H96:$AC96&lt;&gt;"Cell will autofill based on response"))+(($H97:$AC97&lt;&gt;"N/A")*($H97:$AC97&lt;&gt;"Cell will autofill based on response")))&gt;0))</f>
        <v/>
      </c>
      <c r="AG96" s="9">
        <f>AE96-AF96</f>
        <v/>
      </c>
      <c r="AH96" s="9">
        <f>COUNTIF($H100:$AC100,"Yes")</f>
        <v/>
      </c>
    </row>
    <row r="97" ht="39" customHeight="1">
      <c r="A97">
        <f>F97&amp;"|"&amp;G97</f>
        <v/>
      </c>
      <c r="B97" s="12" t="inlineStr"/>
      <c r="C97" s="7" t="inlineStr"/>
      <c r="D97" s="7" t="inlineStr"/>
      <c r="E97" s="7" t="inlineStr"/>
      <c r="F97" s="7" t="inlineStr">
        <is>
          <t>CL2(c)</t>
        </is>
      </c>
      <c r="G97" s="7" t="inlineStr">
        <is>
          <t>OPTION 2:  Indicator level reporting</t>
        </is>
      </c>
      <c r="H97" s="50">
        <f>IFERROR(IF(INDEX('Faculties'!$M$10:$M$18,MATCH($F97,'Faculties'!$B$10:$B$18,0))="","Cell will autofill based on response",INDEX('Faculties'!$M$10:$M$18,MATCH($F97,'Faculties'!$B$10:$B$18,0))),"N/A")</f>
        <v/>
      </c>
      <c r="I97" s="50">
        <f>IFERROR(IF(INDEX('Faculties'!$M$25:$M$34,MATCH($F97,'Faculties'!$B$25:$B$34,0))="","Cell will autofill based on response",INDEX('Faculties'!$M$25:$M$34,MATCH($F97,'Faculties'!$B$25:$B$34,0))),"N/A")</f>
        <v/>
      </c>
      <c r="J97" s="50">
        <f>IFERROR(IF(INDEX('Faculties'!$M$41:$M$50,MATCH($F97,'Faculties'!$B$41:$B$50,0))="","Cell will autofill based on response",INDEX('Faculties'!$M$41:$M$50,MATCH($F97,'Faculties'!$B$41:$B$50,0))),"N/A")</f>
        <v/>
      </c>
      <c r="K97" s="50">
        <f>IFERROR(IF(INDEX('Faculties'!$M$57:$M$66,MATCH($F97,'Faculties'!$B$57:$B$66,0))="","Cell will autofill based on response",INDEX('Faculties'!$M$57:$M$66,MATCH($F97,'Faculties'!$B$57:$B$66,0))),"N/A")</f>
        <v/>
      </c>
      <c r="L97" s="50">
        <f>IFERROR(IF(INDEX('Faculties'!$M$73:$M$82,MATCH($F97,'Faculties'!$B$73:$B$82,0))="","Cell will autofill based on response",INDEX('Faculties'!$M$73:$M$82,MATCH($F97,'Faculties'!$B$73:$B$82,0))),"N/A")</f>
        <v/>
      </c>
      <c r="M97" s="50">
        <f>IFERROR(IF(INDEX('Faculties'!$M$89:$M$98,MATCH($F97,'Faculties'!$B$89:$B$98,0))="","Cell will autofill based on response",INDEX('Faculties'!$M$89:$M$98,MATCH($F97,'Faculties'!$B$89:$B$98,0))),"N/A")</f>
        <v/>
      </c>
      <c r="N97" s="50">
        <f>IFERROR(IF(INDEX('Faculties'!$M$105:$M$114,MATCH($F97,'Faculties'!$B$105:$B$114,0))="","Cell will autofill based on response",INDEX('Faculties'!$M$105:$M$114,MATCH($F97,'Faculties'!$B$105:$B$114,0))),"N/A")</f>
        <v/>
      </c>
      <c r="O97" s="50">
        <f>IFERROR(IF(INDEX('Faculties'!$M$121:$M$130,MATCH($F97,'Faculties'!$B$121:$B$130,0))="","Cell will autofill based on response",INDEX('Faculties'!$M$121:$M$130,MATCH($F97,'Faculties'!$B$121:$B$130,0))),"N/A")</f>
        <v/>
      </c>
      <c r="P97" s="50">
        <f>IFERROR(IF(INDEX('Faculties'!$M$137:$M$146,MATCH($F97,'Faculties'!$B$137:$B$146,0))="","Cell will autofill based on response",INDEX('Faculties'!$M$137:$M$146,MATCH($F97,'Faculties'!$B$137:$B$146,0))),"N/A")</f>
        <v/>
      </c>
      <c r="Q97" s="50">
        <f>IFERROR(IF(INDEX('CI&amp;S'!$M$10:$M$15,MATCH($F97,'CI&amp;S'!$B$10:$B$15,0))="","Cell will autofill based on response",INDEX('CI&amp;S'!$M$10:$M$15,MATCH($F97,'CI&amp;S'!$B$10:$B$15,0))),"N/A")</f>
        <v/>
      </c>
      <c r="R97" s="50">
        <f>IFERROR(IF(INDEX('CI&amp;S'!$M$22:$M$36,MATCH($F97,'CI&amp;S'!$B$22:$B$36,0))="","Cell will autofill based on response",INDEX('CI&amp;S'!$M$22:$M$36,MATCH($F97,'CI&amp;S'!$B$22:$B$36,0))),"N/A")</f>
        <v/>
      </c>
      <c r="S97" s="50">
        <f>IFERROR(IF(INDEX('CFOG'!$M$10:$M$16,MATCH($F97,'CFOG'!$B$10:$B$16,0))="","Cell will autofill based on response",INDEX('CFOG'!$M$10:$M$16,MATCH($F97,'CFOG'!$B$10:$B$16,0))),"N/A")</f>
        <v/>
      </c>
      <c r="T97" s="50">
        <f>IFERROR(IF(INDEX('CFOG'!$M$23:$M$24,MATCH($F97,'CFOG'!$B$23:$B$24,0))="","Cell will autofill based on response",INDEX('CFOG'!$M$23:$M$24,MATCH($F97,'CFOG'!$B$23:$B$24,0))),"N/A")</f>
        <v/>
      </c>
      <c r="U97" s="50">
        <f>IFERROR(IF(INDEX('ESG'!$M$10:$M$17,MATCH($F97,'ESG'!$B$10:$B$17,0))="","Cell will autofill based on response",INDEX('ESG'!$M$10:$M$17,MATCH($F97,'ESG'!$B$10:$B$17,0))),"N/A")</f>
        <v/>
      </c>
      <c r="V97" s="50">
        <f>IFERROR(IF(INDEX('CIOG'!$M$10:$M$14,MATCH($F97,'CIOG'!$B$10:$B$14,0))="","Cell will autofill based on response",INDEX('CIOG'!$M$10:$M$14,MATCH($F97,'CIOG'!$B$10:$B$14,0))),"N/A")</f>
        <v/>
      </c>
      <c r="W97" s="50">
        <f>IFERROR(IF(INDEX('MRE'!$M$10:$M$18,MATCH($F97,'MRE'!$B$10:$B$18,0))="","Cell will autofill based on response",INDEX('MRE'!$M$10:$M$18,MATCH($F97,'MRE'!$B$10:$B$18,0))),"N/A")</f>
        <v/>
      </c>
      <c r="X97" s="50">
        <f>IFERROR(IF(INDEX('AC&amp;M'!$M$10:$M$14,MATCH($F97,'AC&amp;M'!$B$10:$B$14,0))="","Cell will autofill based on response",INDEX('AC&amp;M'!$M$10:$M$14,MATCH($F97,'AC&amp;M'!$B$10:$B$14,0))),"N/A")</f>
        <v/>
      </c>
      <c r="Y97" s="50">
        <f>IFERROR(IF(INDEX('GCE'!$M$10:$M$12,MATCH($F97,'GCE'!$B$10:$B$12,0))="","Cell will autofill based on response",INDEX('GCE'!$M$10:$M$12,MATCH($F97,'GCE'!$B$10:$B$12,0))),"N/A")</f>
        <v/>
      </c>
      <c r="Z97" s="50">
        <f>IFERROR(IF(INDEX('Education'!$M$10:$M$13,MATCH($F97,'Education'!$B$10:$B$13,0))="","Cell will autofill based on response",INDEX('Education'!$M$10:$M$13,MATCH($F97,'Education'!$B$10:$B$13,0))),"N/A")</f>
        <v/>
      </c>
      <c r="AA97" s="50">
        <f>IFERROR(IF(INDEX('SaSS'!$M$10:$M$12,MATCH($F97,'SaSS'!$B$10:$B$12,0))="","Cell will autofill based on response",INDEX('SaSS'!$M$10:$M$12,MATCH($F97,'SaSS'!$B$10:$B$12,0))),"N/A")</f>
        <v/>
      </c>
      <c r="AB97" s="50">
        <f>IFERROR(IF(INDEX('Indigenous'!$M$10:$M$11,MATCH($F97,'Indigenous'!$B$10:$B$11,0))="","Cell will autofill based on response",INDEX('Indigenous'!$M$10:$M$11,MATCH($F97,'Indigenous'!$B$10:$B$11,0))),"N/A")</f>
        <v/>
      </c>
      <c r="AC97" s="50">
        <f>IFERROR(IF(INDEX('L&amp;R'!$M$10:$M$11,MATCH($F97,'L&amp;R'!$B$10:$B$11,0))="","Cell will autofill based on response",INDEX('L&amp;R'!$M$10:$M$11,MATCH($F97,'L&amp;R'!$B$10:$B$11,0))),"N/A")</f>
        <v/>
      </c>
    </row>
    <row r="98" ht="22" customHeight="1">
      <c r="A98">
        <f>F98&amp;"|"&amp;G98</f>
        <v/>
      </c>
      <c r="B98" s="12" t="inlineStr"/>
      <c r="C98" s="7" t="inlineStr"/>
      <c r="D98" s="7" t="inlineStr"/>
      <c r="E98" s="7" t="inlineStr"/>
      <c r="F98" s="7" t="inlineStr">
        <is>
          <t>CL2(c)</t>
        </is>
      </c>
      <c r="G98" s="7" t="inlineStr">
        <is>
          <t>Supporting information/comments</t>
        </is>
      </c>
      <c r="H98" s="50">
        <f>IFERROR(IF(INDEX('Faculties'!$N$10:$N$18,MATCH($F98,'Faculties'!$B$10:$B$18,0))="","Cell will autofill based on response",INDEX('Faculties'!$N$10:$N$18,MATCH($F98,'Faculties'!$B$10:$B$18,0))),"N/A")</f>
        <v/>
      </c>
      <c r="I98" s="50">
        <f>IFERROR(IF(INDEX('Faculties'!$N$25:$N$34,MATCH($F98,'Faculties'!$B$25:$B$34,0))="","Cell will autofill based on response",INDEX('Faculties'!$N$25:$N$34,MATCH($F98,'Faculties'!$B$25:$B$34,0))),"N/A")</f>
        <v/>
      </c>
      <c r="J98" s="50">
        <f>IFERROR(IF(INDEX('Faculties'!$N$41:$N$50,MATCH($F98,'Faculties'!$B$41:$B$50,0))="","Cell will autofill based on response",INDEX('Faculties'!$N$41:$N$50,MATCH($F98,'Faculties'!$B$41:$B$50,0))),"N/A")</f>
        <v/>
      </c>
      <c r="K98" s="50">
        <f>IFERROR(IF(INDEX('Faculties'!$N$57:$N$66,MATCH($F98,'Faculties'!$B$57:$B$66,0))="","Cell will autofill based on response",INDEX('Faculties'!$N$57:$N$66,MATCH($F98,'Faculties'!$B$57:$B$66,0))),"N/A")</f>
        <v/>
      </c>
      <c r="L98" s="50">
        <f>IFERROR(IF(INDEX('Faculties'!$N$73:$N$82,MATCH($F98,'Faculties'!$B$73:$B$82,0))="","Cell will autofill based on response",INDEX('Faculties'!$N$73:$N$82,MATCH($F98,'Faculties'!$B$73:$B$82,0))),"N/A")</f>
        <v/>
      </c>
      <c r="M98" s="50">
        <f>IFERROR(IF(INDEX('Faculties'!$N$89:$N$98,MATCH($F98,'Faculties'!$B$89:$B$98,0))="","Cell will autofill based on response",INDEX('Faculties'!$N$89:$N$98,MATCH($F98,'Faculties'!$B$89:$B$98,0))),"N/A")</f>
        <v/>
      </c>
      <c r="N98" s="50">
        <f>IFERROR(IF(INDEX('Faculties'!$N$105:$N$114,MATCH($F98,'Faculties'!$B$105:$B$114,0))="","Cell will autofill based on response",INDEX('Faculties'!$N$105:$N$114,MATCH($F98,'Faculties'!$B$105:$B$114,0))),"N/A")</f>
        <v/>
      </c>
      <c r="O98" s="50">
        <f>IFERROR(IF(INDEX('Faculties'!$N$121:$N$130,MATCH($F98,'Faculties'!$B$121:$B$130,0))="","Cell will autofill based on response",INDEX('Faculties'!$N$121:$N$130,MATCH($F98,'Faculties'!$B$121:$B$130,0))),"N/A")</f>
        <v/>
      </c>
      <c r="P98" s="50">
        <f>IFERROR(IF(INDEX('Faculties'!$N$137:$N$146,MATCH($F98,'Faculties'!$B$137:$B$146,0))="","Cell will autofill based on response",INDEX('Faculties'!$N$137:$N$146,MATCH($F98,'Faculties'!$B$137:$B$146,0))),"N/A")</f>
        <v/>
      </c>
      <c r="Q98" s="50">
        <f>IFERROR(IF(INDEX('CI&amp;S'!$N$10:$N$15,MATCH($F98,'CI&amp;S'!$B$10:$B$15,0))="","Cell will autofill based on response",INDEX('CI&amp;S'!$N$10:$N$15,MATCH($F98,'CI&amp;S'!$B$10:$B$15,0))),"N/A")</f>
        <v/>
      </c>
      <c r="R98" s="50">
        <f>IFERROR(IF(INDEX('CI&amp;S'!$N$22:$N$36,MATCH($F98,'CI&amp;S'!$B$22:$B$36,0))="","Cell will autofill based on response",INDEX('CI&amp;S'!$N$22:$N$36,MATCH($F98,'CI&amp;S'!$B$22:$B$36,0))),"N/A")</f>
        <v/>
      </c>
      <c r="S98" s="50">
        <f>IFERROR(IF(INDEX('CFOG'!$N$10:$N$16,MATCH($F98,'CFOG'!$B$10:$B$16,0))="","Cell will autofill based on response",INDEX('CFOG'!$N$10:$N$16,MATCH($F98,'CFOG'!$B$10:$B$16,0))),"N/A")</f>
        <v/>
      </c>
      <c r="T98" s="50">
        <f>IFERROR(IF(INDEX('CFOG'!$N$23:$N$24,MATCH($F98,'CFOG'!$B$23:$B$24,0))="","Cell will autofill based on response",INDEX('CFOG'!$N$23:$N$24,MATCH($F98,'CFOG'!$B$23:$B$24,0))),"N/A")</f>
        <v/>
      </c>
      <c r="U98" s="50">
        <f>IFERROR(IF(INDEX('ESG'!$N$10:$N$17,MATCH($F98,'ESG'!$B$10:$B$17,0))="","Cell will autofill based on response",INDEX('ESG'!$N$10:$N$17,MATCH($F98,'ESG'!$B$10:$B$17,0))),"N/A")</f>
        <v/>
      </c>
      <c r="V98" s="50">
        <f>IFERROR(IF(INDEX('CIOG'!$N$10:$N$14,MATCH($F98,'CIOG'!$B$10:$B$14,0))="","Cell will autofill based on response",INDEX('CIOG'!$N$10:$N$14,MATCH($F98,'CIOG'!$B$10:$B$14,0))),"N/A")</f>
        <v/>
      </c>
      <c r="W98" s="50">
        <f>IFERROR(IF(INDEX('MRE'!$N$10:$N$18,MATCH($F98,'MRE'!$B$10:$B$18,0))="","Cell will autofill based on response",INDEX('MRE'!$N$10:$N$18,MATCH($F98,'MRE'!$B$10:$B$18,0))),"N/A")</f>
        <v/>
      </c>
      <c r="X98" s="50">
        <f>IFERROR(IF(INDEX('AC&amp;M'!$N$10:$N$14,MATCH($F98,'AC&amp;M'!$B$10:$B$14,0))="","Cell will autofill based on response",INDEX('AC&amp;M'!$N$10:$N$14,MATCH($F98,'AC&amp;M'!$B$10:$B$14,0))),"N/A")</f>
        <v/>
      </c>
      <c r="Y98" s="50">
        <f>IFERROR(IF(INDEX('GCE'!$N$10:$N$12,MATCH($F98,'GCE'!$B$10:$B$12,0))="","Cell will autofill based on response",INDEX('GCE'!$N$10:$N$12,MATCH($F98,'GCE'!$B$10:$B$12,0))),"N/A")</f>
        <v/>
      </c>
      <c r="Z98" s="50">
        <f>IFERROR(IF(INDEX('Education'!$N$10:$N$13,MATCH($F98,'Education'!$B$10:$B$13,0))="","Cell will autofill based on response",INDEX('Education'!$N$10:$N$13,MATCH($F98,'Education'!$B$10:$B$13,0))),"N/A")</f>
        <v/>
      </c>
      <c r="AA98" s="50">
        <f>IFERROR(IF(INDEX('SaSS'!$N$10:$N$12,MATCH($F98,'SaSS'!$B$10:$B$12,0))="","Cell will autofill based on response",INDEX('SaSS'!$N$10:$N$12,MATCH($F98,'SaSS'!$B$10:$B$12,0))),"N/A")</f>
        <v/>
      </c>
      <c r="AB98" s="50">
        <f>IFERROR(IF(INDEX('Indigenous'!$N$10:$N$11,MATCH($F98,'Indigenous'!$B$10:$B$11,0))="","Cell will autofill based on response",INDEX('Indigenous'!$N$10:$N$11,MATCH($F98,'Indigenous'!$B$10:$B$11,0))),"N/A")</f>
        <v/>
      </c>
      <c r="AC98" s="50">
        <f>IFERROR(IF(INDEX('L&amp;R'!$N$10:$N$11,MATCH($F98,'L&amp;R'!$B$10:$B$11,0))="","Cell will autofill based on response",INDEX('L&amp;R'!$N$10:$N$11,MATCH($F98,'L&amp;R'!$B$10:$B$11,0))),"N/A")</f>
        <v/>
      </c>
    </row>
    <row r="99" ht="22" customHeight="1">
      <c r="A99">
        <f>F99&amp;"|"&amp;G99</f>
        <v/>
      </c>
      <c r="B99" s="12" t="inlineStr"/>
      <c r="C99" s="7" t="inlineStr"/>
      <c r="D99" s="7" t="inlineStr"/>
      <c r="E99" s="7" t="inlineStr"/>
      <c r="F99" s="7" t="inlineStr">
        <is>
          <t>CL2(c)</t>
        </is>
      </c>
      <c r="G99" s="7" t="inlineStr">
        <is>
          <t>Data source and limitations</t>
        </is>
      </c>
      <c r="H99" s="50">
        <f>IFERROR(IF(INDEX('Faculties'!$O$10:$O$18,MATCH($F99,'Faculties'!$B$10:$B$18,0))="","Cell will autofill based on response",INDEX('Faculties'!$O$10:$O$18,MATCH($F99,'Faculties'!$B$10:$B$18,0))),"N/A")</f>
        <v/>
      </c>
      <c r="I99" s="50">
        <f>IFERROR(IF(INDEX('Faculties'!$O$25:$O$34,MATCH($F99,'Faculties'!$B$25:$B$34,0))="","Cell will autofill based on response",INDEX('Faculties'!$O$25:$O$34,MATCH($F99,'Faculties'!$B$25:$B$34,0))),"N/A")</f>
        <v/>
      </c>
      <c r="J99" s="50">
        <f>IFERROR(IF(INDEX('Faculties'!$O$41:$O$50,MATCH($F99,'Faculties'!$B$41:$B$50,0))="","Cell will autofill based on response",INDEX('Faculties'!$O$41:$O$50,MATCH($F99,'Faculties'!$B$41:$B$50,0))),"N/A")</f>
        <v/>
      </c>
      <c r="K99" s="50">
        <f>IFERROR(IF(INDEX('Faculties'!$O$57:$O$66,MATCH($F99,'Faculties'!$B$57:$B$66,0))="","Cell will autofill based on response",INDEX('Faculties'!$O$57:$O$66,MATCH($F99,'Faculties'!$B$57:$B$66,0))),"N/A")</f>
        <v/>
      </c>
      <c r="L99" s="50">
        <f>IFERROR(IF(INDEX('Faculties'!$O$73:$O$82,MATCH($F99,'Faculties'!$B$73:$B$82,0))="","Cell will autofill based on response",INDEX('Faculties'!$O$73:$O$82,MATCH($F99,'Faculties'!$B$73:$B$82,0))),"N/A")</f>
        <v/>
      </c>
      <c r="M99" s="50">
        <f>IFERROR(IF(INDEX('Faculties'!$O$89:$O$98,MATCH($F99,'Faculties'!$B$89:$B$98,0))="","Cell will autofill based on response",INDEX('Faculties'!$O$89:$O$98,MATCH($F99,'Faculties'!$B$89:$B$98,0))),"N/A")</f>
        <v/>
      </c>
      <c r="N99" s="50">
        <f>IFERROR(IF(INDEX('Faculties'!$O$105:$O$114,MATCH($F99,'Faculties'!$B$105:$B$114,0))="","Cell will autofill based on response",INDEX('Faculties'!$O$105:$O$114,MATCH($F99,'Faculties'!$B$105:$B$114,0))),"N/A")</f>
        <v/>
      </c>
      <c r="O99" s="50">
        <f>IFERROR(IF(INDEX('Faculties'!$O$121:$O$130,MATCH($F99,'Faculties'!$B$121:$B$130,0))="","Cell will autofill based on response",INDEX('Faculties'!$O$121:$O$130,MATCH($F99,'Faculties'!$B$121:$B$130,0))),"N/A")</f>
        <v/>
      </c>
      <c r="P99" s="50">
        <f>IFERROR(IF(INDEX('Faculties'!$O$137:$O$146,MATCH($F99,'Faculties'!$B$137:$B$146,0))="","Cell will autofill based on response",INDEX('Faculties'!$O$137:$O$146,MATCH($F99,'Faculties'!$B$137:$B$146,0))),"N/A")</f>
        <v/>
      </c>
      <c r="Q99" s="50">
        <f>IFERROR(IF(INDEX('CI&amp;S'!$O$10:$O$15,MATCH($F99,'CI&amp;S'!$B$10:$B$15,0))="","Cell will autofill based on response",INDEX('CI&amp;S'!$O$10:$O$15,MATCH($F99,'CI&amp;S'!$B$10:$B$15,0))),"N/A")</f>
        <v/>
      </c>
      <c r="R99" s="50">
        <f>IFERROR(IF(INDEX('CI&amp;S'!$O$22:$O$36,MATCH($F99,'CI&amp;S'!$B$22:$B$36,0))="","Cell will autofill based on response",INDEX('CI&amp;S'!$O$22:$O$36,MATCH($F99,'CI&amp;S'!$B$22:$B$36,0))),"N/A")</f>
        <v/>
      </c>
      <c r="S99" s="50">
        <f>IFERROR(IF(INDEX('CFOG'!$O$10:$O$16,MATCH($F99,'CFOG'!$B$10:$B$16,0))="","Cell will autofill based on response",INDEX('CFOG'!$O$10:$O$16,MATCH($F99,'CFOG'!$B$10:$B$16,0))),"N/A")</f>
        <v/>
      </c>
      <c r="T99" s="50">
        <f>IFERROR(IF(INDEX('CFOG'!$O$23:$O$24,MATCH($F99,'CFOG'!$B$23:$B$24,0))="","Cell will autofill based on response",INDEX('CFOG'!$O$23:$O$24,MATCH($F99,'CFOG'!$B$23:$B$24,0))),"N/A")</f>
        <v/>
      </c>
      <c r="U99" s="50">
        <f>IFERROR(IF(INDEX('ESG'!$O$10:$O$17,MATCH($F99,'ESG'!$B$10:$B$17,0))="","Cell will autofill based on response",INDEX('ESG'!$O$10:$O$17,MATCH($F99,'ESG'!$B$10:$B$17,0))),"N/A")</f>
        <v/>
      </c>
      <c r="V99" s="50">
        <f>IFERROR(IF(INDEX('CIOG'!$O$10:$O$14,MATCH($F99,'CIOG'!$B$10:$B$14,0))="","Cell will autofill based on response",INDEX('CIOG'!$O$10:$O$14,MATCH($F99,'CIOG'!$B$10:$B$14,0))),"N/A")</f>
        <v/>
      </c>
      <c r="W99" s="50">
        <f>IFERROR(IF(INDEX('MRE'!$O$10:$O$18,MATCH($F99,'MRE'!$B$10:$B$18,0))="","Cell will autofill based on response",INDEX('MRE'!$O$10:$O$18,MATCH($F99,'MRE'!$B$10:$B$18,0))),"N/A")</f>
        <v/>
      </c>
      <c r="X99" s="50">
        <f>IFERROR(IF(INDEX('AC&amp;M'!$O$10:$O$14,MATCH($F99,'AC&amp;M'!$B$10:$B$14,0))="","Cell will autofill based on response",INDEX('AC&amp;M'!$O$10:$O$14,MATCH($F99,'AC&amp;M'!$B$10:$B$14,0))),"N/A")</f>
        <v/>
      </c>
      <c r="Y99" s="50">
        <f>IFERROR(IF(INDEX('GCE'!$O$10:$O$12,MATCH($F99,'GCE'!$B$10:$B$12,0))="","Cell will autofill based on response",INDEX('GCE'!$O$10:$O$12,MATCH($F99,'GCE'!$B$10:$B$12,0))),"N/A")</f>
        <v/>
      </c>
      <c r="Z99" s="50">
        <f>IFERROR(IF(INDEX('Education'!$O$10:$O$13,MATCH($F99,'Education'!$B$10:$B$13,0))="","Cell will autofill based on response",INDEX('Education'!$O$10:$O$13,MATCH($F99,'Education'!$B$10:$B$13,0))),"N/A")</f>
        <v/>
      </c>
      <c r="AA99" s="50">
        <f>IFERROR(IF(INDEX('SaSS'!$O$10:$O$12,MATCH($F99,'SaSS'!$B$10:$B$12,0))="","Cell will autofill based on response",INDEX('SaSS'!$O$10:$O$12,MATCH($F99,'SaSS'!$B$10:$B$12,0))),"N/A")</f>
        <v/>
      </c>
      <c r="AB99" s="50">
        <f>IFERROR(IF(INDEX('Indigenous'!$O$10:$O$11,MATCH($F99,'Indigenous'!$B$10:$B$11,0))="","Cell will autofill based on response",INDEX('Indigenous'!$O$10:$O$11,MATCH($F99,'Indigenous'!$B$10:$B$11,0))),"N/A")</f>
        <v/>
      </c>
      <c r="AC99" s="50">
        <f>IFERROR(IF(INDEX('L&amp;R'!$O$10:$O$11,MATCH($F99,'L&amp;R'!$B$10:$B$11,0))="","Cell will autofill based on response",INDEX('L&amp;R'!$O$10:$O$11,MATCH($F99,'L&amp;R'!$B$10:$B$11,0))),"N/A")</f>
        <v/>
      </c>
    </row>
    <row r="100" ht="22" customHeight="1">
      <c r="A100">
        <f>F100&amp;"|"&amp;G100</f>
        <v/>
      </c>
      <c r="B100" s="12" t="inlineStr"/>
      <c r="C100" s="7" t="inlineStr"/>
      <c r="D100" s="7" t="inlineStr"/>
      <c r="E100" s="7" t="inlineStr"/>
      <c r="F100" s="7" t="inlineStr">
        <is>
          <t>CL2(c)</t>
        </is>
      </c>
      <c r="G100" s="7" t="inlineStr">
        <is>
          <t>Data owner confirms</t>
        </is>
      </c>
      <c r="H100" s="50">
        <f>IFERROR(IF(INDEX('Faculties'!$P$10:$P$18,MATCH($F100,'Faculties'!$B$10:$B$18,0))="","Cell will autofill based on response",INDEX('Faculties'!$P$10:$P$18,MATCH($F100,'Faculties'!$B$10:$B$18,0))),"N/A")</f>
        <v/>
      </c>
      <c r="I100" s="50">
        <f>IFERROR(IF(INDEX('Faculties'!$P$25:$P$34,MATCH($F100,'Faculties'!$B$25:$B$34,0))="","Cell will autofill based on response",INDEX('Faculties'!$P$25:$P$34,MATCH($F100,'Faculties'!$B$25:$B$34,0))),"N/A")</f>
        <v/>
      </c>
      <c r="J100" s="50">
        <f>IFERROR(IF(INDEX('Faculties'!$P$41:$P$50,MATCH($F100,'Faculties'!$B$41:$B$50,0))="","Cell will autofill based on response",INDEX('Faculties'!$P$41:$P$50,MATCH($F100,'Faculties'!$B$41:$B$50,0))),"N/A")</f>
        <v/>
      </c>
      <c r="K100" s="50">
        <f>IFERROR(IF(INDEX('Faculties'!$P$57:$P$66,MATCH($F100,'Faculties'!$B$57:$B$66,0))="","Cell will autofill based on response",INDEX('Faculties'!$P$57:$P$66,MATCH($F100,'Faculties'!$B$57:$B$66,0))),"N/A")</f>
        <v/>
      </c>
      <c r="L100" s="50">
        <f>IFERROR(IF(INDEX('Faculties'!$P$73:$P$82,MATCH($F100,'Faculties'!$B$73:$B$82,0))="","Cell will autofill based on response",INDEX('Faculties'!$P$73:$P$82,MATCH($F100,'Faculties'!$B$73:$B$82,0))),"N/A")</f>
        <v/>
      </c>
      <c r="M100" s="50">
        <f>IFERROR(IF(INDEX('Faculties'!$P$89:$P$98,MATCH($F100,'Faculties'!$B$89:$B$98,0))="","Cell will autofill based on response",INDEX('Faculties'!$P$89:$P$98,MATCH($F100,'Faculties'!$B$89:$B$98,0))),"N/A")</f>
        <v/>
      </c>
      <c r="N100" s="50">
        <f>IFERROR(IF(INDEX('Faculties'!$P$105:$P$114,MATCH($F100,'Faculties'!$B$105:$B$114,0))="","Cell will autofill based on response",INDEX('Faculties'!$P$105:$P$114,MATCH($F100,'Faculties'!$B$105:$B$114,0))),"N/A")</f>
        <v/>
      </c>
      <c r="O100" s="50">
        <f>IFERROR(IF(INDEX('Faculties'!$P$121:$P$130,MATCH($F100,'Faculties'!$B$121:$B$130,0))="","Cell will autofill based on response",INDEX('Faculties'!$P$121:$P$130,MATCH($F100,'Faculties'!$B$121:$B$130,0))),"N/A")</f>
        <v/>
      </c>
      <c r="P100" s="50">
        <f>IFERROR(IF(INDEX('Faculties'!$P$137:$P$146,MATCH($F100,'Faculties'!$B$137:$B$146,0))="","Cell will autofill based on response",INDEX('Faculties'!$P$137:$P$146,MATCH($F100,'Faculties'!$B$137:$B$146,0))),"N/A")</f>
        <v/>
      </c>
      <c r="Q100" s="50">
        <f>IFERROR(IF(INDEX('CI&amp;S'!$P$10:$P$15,MATCH($F100,'CI&amp;S'!$B$10:$B$15,0))="","Cell will autofill based on response",INDEX('CI&amp;S'!$P$10:$P$15,MATCH($F100,'CI&amp;S'!$B$10:$B$15,0))),"N/A")</f>
        <v/>
      </c>
      <c r="R100" s="50">
        <f>IFERROR(IF(INDEX('CI&amp;S'!$P$22:$P$36,MATCH($F100,'CI&amp;S'!$B$22:$B$36,0))="","Cell will autofill based on response",INDEX('CI&amp;S'!$P$22:$P$36,MATCH($F100,'CI&amp;S'!$B$22:$B$36,0))),"N/A")</f>
        <v/>
      </c>
      <c r="S100" s="50">
        <f>IFERROR(IF(INDEX('CFOG'!$P$10:$P$16,MATCH($F100,'CFOG'!$B$10:$B$16,0))="","Cell will autofill based on response",INDEX('CFOG'!$P$10:$P$16,MATCH($F100,'CFOG'!$B$10:$B$16,0))),"N/A")</f>
        <v/>
      </c>
      <c r="T100" s="50">
        <f>IFERROR(IF(INDEX('CFOG'!$P$23:$P$24,MATCH($F100,'CFOG'!$B$23:$B$24,0))="","Cell will autofill based on response",INDEX('CFOG'!$P$23:$P$24,MATCH($F100,'CFOG'!$B$23:$B$24,0))),"N/A")</f>
        <v/>
      </c>
      <c r="U100" s="50">
        <f>IFERROR(IF(INDEX('ESG'!$P$10:$P$17,MATCH($F100,'ESG'!$B$10:$B$17,0))="","Cell will autofill based on response",INDEX('ESG'!$P$10:$P$17,MATCH($F100,'ESG'!$B$10:$B$17,0))),"N/A")</f>
        <v/>
      </c>
      <c r="V100" s="50">
        <f>IFERROR(IF(INDEX('CIOG'!$P$10:$P$14,MATCH($F100,'CIOG'!$B$10:$B$14,0))="","Cell will autofill based on response",INDEX('CIOG'!$P$10:$P$14,MATCH($F100,'CIOG'!$B$10:$B$14,0))),"N/A")</f>
        <v/>
      </c>
      <c r="W100" s="50">
        <f>IFERROR(IF(INDEX('MRE'!$P$10:$P$18,MATCH($F100,'MRE'!$B$10:$B$18,0))="","Cell will autofill based on response",INDEX('MRE'!$P$10:$P$18,MATCH($F100,'MRE'!$B$10:$B$18,0))),"N/A")</f>
        <v/>
      </c>
      <c r="X100" s="50">
        <f>IFERROR(IF(INDEX('AC&amp;M'!$P$10:$P$14,MATCH($F100,'AC&amp;M'!$B$10:$B$14,0))="","Cell will autofill based on response",INDEX('AC&amp;M'!$P$10:$P$14,MATCH($F100,'AC&amp;M'!$B$10:$B$14,0))),"N/A")</f>
        <v/>
      </c>
      <c r="Y100" s="50">
        <f>IFERROR(IF(INDEX('GCE'!$P$10:$P$12,MATCH($F100,'GCE'!$B$10:$B$12,0))="","Cell will autofill based on response",INDEX('GCE'!$P$10:$P$12,MATCH($F100,'GCE'!$B$10:$B$12,0))),"N/A")</f>
        <v/>
      </c>
      <c r="Z100" s="50">
        <f>IFERROR(IF(INDEX('Education'!$P$10:$P$13,MATCH($F100,'Education'!$B$10:$B$13,0))="","Cell will autofill based on response",INDEX('Education'!$P$10:$P$13,MATCH($F100,'Education'!$B$10:$B$13,0))),"N/A")</f>
        <v/>
      </c>
      <c r="AA100" s="50">
        <f>IFERROR(IF(INDEX('SaSS'!$P$10:$P$12,MATCH($F100,'SaSS'!$B$10:$B$12,0))="","Cell will autofill based on response",INDEX('SaSS'!$P$10:$P$12,MATCH($F100,'SaSS'!$B$10:$B$12,0))),"N/A")</f>
        <v/>
      </c>
      <c r="AB100" s="50">
        <f>IFERROR(IF(INDEX('Indigenous'!$P$10:$P$11,MATCH($F100,'Indigenous'!$B$10:$B$11,0))="","Cell will autofill based on response",INDEX('Indigenous'!$P$10:$P$11,MATCH($F100,'Indigenous'!$B$10:$B$11,0))),"N/A")</f>
        <v/>
      </c>
      <c r="AC100" s="50">
        <f>IFERROR(IF(INDEX('L&amp;R'!$P$10:$P$11,MATCH($F100,'L&amp;R'!$B$10:$B$11,0))="","Cell will autofill based on response",INDEX('L&amp;R'!$P$10:$P$11,MATCH($F100,'L&amp;R'!$B$10:$B$11,0))),"N/A")</f>
        <v/>
      </c>
    </row>
    <row r="101" ht="220" customHeight="1">
      <c r="A101">
        <f>F101&amp;"|"&amp;G101</f>
        <v/>
      </c>
      <c r="B101" s="6" t="inlineStr">
        <is>
          <t>CL3(a)</t>
        </is>
      </c>
      <c r="C101" s="48" t="inlineStr">
        <is>
          <t>Climate leadership</t>
        </is>
      </c>
      <c r="D101" s="4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E101" s="48" t="inlineStr">
        <is>
          <t>Provide update of University maturity assesment. Include maturity ratings, key gaps and priority improvement actions.when available</t>
        </is>
      </c>
      <c r="F101" s="48" t="inlineStr">
        <is>
          <t>CL3(a)</t>
        </is>
      </c>
      <c r="G101" s="48" t="inlineStr">
        <is>
          <t>OPTION 1:  Target-level reporting</t>
        </is>
      </c>
      <c r="H101" s="50">
        <f>IFERROR(IF(INDEX('Faculties'!$L$10:$L$18,MATCH($F101,'Faculties'!$B$10:$B$18,0))="","Cell will autofill based on response",INDEX('Faculties'!$L$10:$L$18,MATCH($F101,'Faculties'!$B$10:$B$18,0))),"N/A")</f>
        <v/>
      </c>
      <c r="I101" s="50">
        <f>IFERROR(IF(INDEX('Faculties'!$L$25:$L$34,MATCH($F101,'Faculties'!$B$25:$B$34,0))="","Cell will autofill based on response",INDEX('Faculties'!$L$25:$L$34,MATCH($F101,'Faculties'!$B$25:$B$34,0))),"N/A")</f>
        <v/>
      </c>
      <c r="J101" s="50">
        <f>IFERROR(IF(INDEX('Faculties'!$L$41:$L$50,MATCH($F101,'Faculties'!$B$41:$B$50,0))="","Cell will autofill based on response",INDEX('Faculties'!$L$41:$L$50,MATCH($F101,'Faculties'!$B$41:$B$50,0))),"N/A")</f>
        <v/>
      </c>
      <c r="K101" s="50">
        <f>IFERROR(IF(INDEX('Faculties'!$L$57:$L$66,MATCH($F101,'Faculties'!$B$57:$B$66,0))="","Cell will autofill based on response",INDEX('Faculties'!$L$57:$L$66,MATCH($F101,'Faculties'!$B$57:$B$66,0))),"N/A")</f>
        <v/>
      </c>
      <c r="L101" s="50">
        <f>IFERROR(IF(INDEX('Faculties'!$L$73:$L$82,MATCH($F101,'Faculties'!$B$73:$B$82,0))="","Cell will autofill based on response",INDEX('Faculties'!$L$73:$L$82,MATCH($F101,'Faculties'!$B$73:$B$82,0))),"N/A")</f>
        <v/>
      </c>
      <c r="M101" s="50">
        <f>IFERROR(IF(INDEX('Faculties'!$L$89:$L$98,MATCH($F101,'Faculties'!$B$89:$B$98,0))="","Cell will autofill based on response",INDEX('Faculties'!$L$89:$L$98,MATCH($F101,'Faculties'!$B$89:$B$98,0))),"N/A")</f>
        <v/>
      </c>
      <c r="N101" s="50">
        <f>IFERROR(IF(INDEX('Faculties'!$L$105:$L$114,MATCH($F101,'Faculties'!$B$105:$B$114,0))="","Cell will autofill based on response",INDEX('Faculties'!$L$105:$L$114,MATCH($F101,'Faculties'!$B$105:$B$114,0))),"N/A")</f>
        <v/>
      </c>
      <c r="O101" s="50">
        <f>IFERROR(IF(INDEX('Faculties'!$L$121:$L$130,MATCH($F101,'Faculties'!$B$121:$B$130,0))="","Cell will autofill based on response",INDEX('Faculties'!$L$121:$L$130,MATCH($F101,'Faculties'!$B$121:$B$130,0))),"N/A")</f>
        <v/>
      </c>
      <c r="P101" s="50">
        <f>IFERROR(IF(INDEX('Faculties'!$L$137:$L$146,MATCH($F101,'Faculties'!$B$137:$B$146,0))="","Cell will autofill based on response",INDEX('Faculties'!$L$137:$L$146,MATCH($F101,'Faculties'!$B$137:$B$146,0))),"N/A")</f>
        <v/>
      </c>
      <c r="Q101" s="50">
        <f>IFERROR(IF(INDEX('CI&amp;S'!$L$10:$L$15,MATCH($F101,'CI&amp;S'!$B$10:$B$15,0))="","Cell will autofill based on response",INDEX('CI&amp;S'!$L$10:$L$15,MATCH($F101,'CI&amp;S'!$B$10:$B$15,0))),"N/A")</f>
        <v/>
      </c>
      <c r="R101" s="50">
        <f>IFERROR(IF(INDEX('CI&amp;S'!$L$22:$L$36,MATCH($F101,'CI&amp;S'!$B$22:$B$36,0))="","Cell will autofill based on response",INDEX('CI&amp;S'!$L$22:$L$36,MATCH($F101,'CI&amp;S'!$B$22:$B$36,0))),"N/A")</f>
        <v/>
      </c>
      <c r="S101" s="50">
        <f>IFERROR(IF(INDEX('CFOG'!$L$10:$L$16,MATCH($F101,'CFOG'!$B$10:$B$16,0))="","Cell will autofill based on response",INDEX('CFOG'!$L$10:$L$16,MATCH($F101,'CFOG'!$B$10:$B$16,0))),"N/A")</f>
        <v/>
      </c>
      <c r="T101" s="50">
        <f>IFERROR(IF(INDEX('CFOG'!$L$23:$L$24,MATCH($F101,'CFOG'!$B$23:$B$24,0))="","Cell will autofill based on response",INDEX('CFOG'!$L$23:$L$24,MATCH($F101,'CFOG'!$B$23:$B$24,0))),"N/A")</f>
        <v/>
      </c>
      <c r="U101" s="50">
        <f>IFERROR(IF(INDEX('ESG'!$L$10:$L$17,MATCH($F101,'ESG'!$B$10:$B$17,0))="","Cell will autofill based on response",INDEX('ESG'!$L$10:$L$17,MATCH($F101,'ESG'!$B$10:$B$17,0))),"N/A")</f>
        <v/>
      </c>
      <c r="V101" s="50">
        <f>IFERROR(IF(INDEX('CIOG'!$L$10:$L$14,MATCH($F101,'CIOG'!$B$10:$B$14,0))="","Cell will autofill based on response",INDEX('CIOG'!$L$10:$L$14,MATCH($F101,'CIOG'!$B$10:$B$14,0))),"N/A")</f>
        <v/>
      </c>
      <c r="W101" s="50">
        <f>IFERROR(IF(INDEX('MRE'!$L$10:$L$18,MATCH($F101,'MRE'!$B$10:$B$18,0))="","Cell will autofill based on response",INDEX('MRE'!$L$10:$L$18,MATCH($F101,'MRE'!$B$10:$B$18,0))),"N/A")</f>
        <v/>
      </c>
      <c r="X101" s="50">
        <f>IFERROR(IF(INDEX('AC&amp;M'!$L$10:$L$14,MATCH($F101,'AC&amp;M'!$B$10:$B$14,0))="","Cell will autofill based on response",INDEX('AC&amp;M'!$L$10:$L$14,MATCH($F101,'AC&amp;M'!$B$10:$B$14,0))),"N/A")</f>
        <v/>
      </c>
      <c r="Y101" s="50">
        <f>IFERROR(IF(INDEX('GCE'!$L$10:$L$12,MATCH($F101,'GCE'!$B$10:$B$12,0))="","Cell will autofill based on response",INDEX('GCE'!$L$10:$L$12,MATCH($F101,'GCE'!$B$10:$B$12,0))),"N/A")</f>
        <v/>
      </c>
      <c r="Z101" s="50">
        <f>IFERROR(IF(INDEX('Education'!$L$10:$L$13,MATCH($F101,'Education'!$B$10:$B$13,0))="","Cell will autofill based on response",INDEX('Education'!$L$10:$L$13,MATCH($F101,'Education'!$B$10:$B$13,0))),"N/A")</f>
        <v/>
      </c>
      <c r="AA101" s="50">
        <f>IFERROR(IF(INDEX('SaSS'!$L$10:$L$12,MATCH($F101,'SaSS'!$B$10:$B$12,0))="","Cell will autofill based on response",INDEX('SaSS'!$L$10:$L$12,MATCH($F101,'SaSS'!$B$10:$B$12,0))),"N/A")</f>
        <v/>
      </c>
      <c r="AB101" s="50">
        <f>IFERROR(IF(INDEX('Indigenous'!$L$10:$L$11,MATCH($F101,'Indigenous'!$B$10:$B$11,0))="","Cell will autofill based on response",INDEX('Indigenous'!$L$10:$L$11,MATCH($F101,'Indigenous'!$B$10:$B$11,0))),"N/A")</f>
        <v/>
      </c>
      <c r="AC101" s="50">
        <f>IFERROR(IF(INDEX('L&amp;R'!$L$10:$L$11,MATCH($F101,'L&amp;R'!$B$10:$B$11,0))="","Cell will autofill based on response",INDEX('L&amp;R'!$L$10:$L$11,MATCH($F101,'L&amp;R'!$B$10:$B$11,0))),"N/A")</f>
        <v/>
      </c>
      <c r="AE101" s="9">
        <f>SUMPRODUCT(--($H101:$AC101&lt;&gt;"N/A"))</f>
        <v/>
      </c>
      <c r="AF101" s="9">
        <f>SUMPRODUCT(--(((($H101:$AC101&lt;&gt;"N/A")*($H101:$AC101&lt;&gt;"Cell will autofill based on response"))+(($H102:$AC102&lt;&gt;"N/A")*($H102:$AC102&lt;&gt;"Cell will autofill based on response")))&gt;0))</f>
        <v/>
      </c>
      <c r="AG101" s="9">
        <f>AE101-AF101</f>
        <v/>
      </c>
      <c r="AH101" s="9">
        <f>COUNTIF($H105:$AC105,"Yes")</f>
        <v/>
      </c>
    </row>
    <row r="102" ht="39" customHeight="1">
      <c r="A102">
        <f>F102&amp;"|"&amp;G102</f>
        <v/>
      </c>
      <c r="B102" s="12" t="inlineStr"/>
      <c r="C102" s="7" t="inlineStr"/>
      <c r="D102" s="7" t="inlineStr"/>
      <c r="E102" s="7" t="inlineStr"/>
      <c r="F102" s="7" t="inlineStr">
        <is>
          <t>CL3(a)</t>
        </is>
      </c>
      <c r="G102" s="7" t="inlineStr">
        <is>
          <t>OPTION 2:  Indicator level reporting</t>
        </is>
      </c>
      <c r="H102" s="50">
        <f>IFERROR(IF(INDEX('Faculties'!$M$10:$M$18,MATCH($F102,'Faculties'!$B$10:$B$18,0))="","Cell will autofill based on response",INDEX('Faculties'!$M$10:$M$18,MATCH($F102,'Faculties'!$B$10:$B$18,0))),"N/A")</f>
        <v/>
      </c>
      <c r="I102" s="50">
        <f>IFERROR(IF(INDEX('Faculties'!$M$25:$M$34,MATCH($F102,'Faculties'!$B$25:$B$34,0))="","Cell will autofill based on response",INDEX('Faculties'!$M$25:$M$34,MATCH($F102,'Faculties'!$B$25:$B$34,0))),"N/A")</f>
        <v/>
      </c>
      <c r="J102" s="50">
        <f>IFERROR(IF(INDEX('Faculties'!$M$41:$M$50,MATCH($F102,'Faculties'!$B$41:$B$50,0))="","Cell will autofill based on response",INDEX('Faculties'!$M$41:$M$50,MATCH($F102,'Faculties'!$B$41:$B$50,0))),"N/A")</f>
        <v/>
      </c>
      <c r="K102" s="50">
        <f>IFERROR(IF(INDEX('Faculties'!$M$57:$M$66,MATCH($F102,'Faculties'!$B$57:$B$66,0))="","Cell will autofill based on response",INDEX('Faculties'!$M$57:$M$66,MATCH($F102,'Faculties'!$B$57:$B$66,0))),"N/A")</f>
        <v/>
      </c>
      <c r="L102" s="50">
        <f>IFERROR(IF(INDEX('Faculties'!$M$73:$M$82,MATCH($F102,'Faculties'!$B$73:$B$82,0))="","Cell will autofill based on response",INDEX('Faculties'!$M$73:$M$82,MATCH($F102,'Faculties'!$B$73:$B$82,0))),"N/A")</f>
        <v/>
      </c>
      <c r="M102" s="50">
        <f>IFERROR(IF(INDEX('Faculties'!$M$89:$M$98,MATCH($F102,'Faculties'!$B$89:$B$98,0))="","Cell will autofill based on response",INDEX('Faculties'!$M$89:$M$98,MATCH($F102,'Faculties'!$B$89:$B$98,0))),"N/A")</f>
        <v/>
      </c>
      <c r="N102" s="50">
        <f>IFERROR(IF(INDEX('Faculties'!$M$105:$M$114,MATCH($F102,'Faculties'!$B$105:$B$114,0))="","Cell will autofill based on response",INDEX('Faculties'!$M$105:$M$114,MATCH($F102,'Faculties'!$B$105:$B$114,0))),"N/A")</f>
        <v/>
      </c>
      <c r="O102" s="50">
        <f>IFERROR(IF(INDEX('Faculties'!$M$121:$M$130,MATCH($F102,'Faculties'!$B$121:$B$130,0))="","Cell will autofill based on response",INDEX('Faculties'!$M$121:$M$130,MATCH($F102,'Faculties'!$B$121:$B$130,0))),"N/A")</f>
        <v/>
      </c>
      <c r="P102" s="50">
        <f>IFERROR(IF(INDEX('Faculties'!$M$137:$M$146,MATCH($F102,'Faculties'!$B$137:$B$146,0))="","Cell will autofill based on response",INDEX('Faculties'!$M$137:$M$146,MATCH($F102,'Faculties'!$B$137:$B$146,0))),"N/A")</f>
        <v/>
      </c>
      <c r="Q102" s="50">
        <f>IFERROR(IF(INDEX('CI&amp;S'!$M$10:$M$15,MATCH($F102,'CI&amp;S'!$B$10:$B$15,0))="","Cell will autofill based on response",INDEX('CI&amp;S'!$M$10:$M$15,MATCH($F102,'CI&amp;S'!$B$10:$B$15,0))),"N/A")</f>
        <v/>
      </c>
      <c r="R102" s="50">
        <f>IFERROR(IF(INDEX('CI&amp;S'!$M$22:$M$36,MATCH($F102,'CI&amp;S'!$B$22:$B$36,0))="","Cell will autofill based on response",INDEX('CI&amp;S'!$M$22:$M$36,MATCH($F102,'CI&amp;S'!$B$22:$B$36,0))),"N/A")</f>
        <v/>
      </c>
      <c r="S102" s="50">
        <f>IFERROR(IF(INDEX('CFOG'!$M$10:$M$16,MATCH($F102,'CFOG'!$B$10:$B$16,0))="","Cell will autofill based on response",INDEX('CFOG'!$M$10:$M$16,MATCH($F102,'CFOG'!$B$10:$B$16,0))),"N/A")</f>
        <v/>
      </c>
      <c r="T102" s="50">
        <f>IFERROR(IF(INDEX('CFOG'!$M$23:$M$24,MATCH($F102,'CFOG'!$B$23:$B$24,0))="","Cell will autofill based on response",INDEX('CFOG'!$M$23:$M$24,MATCH($F102,'CFOG'!$B$23:$B$24,0))),"N/A")</f>
        <v/>
      </c>
      <c r="U102" s="50">
        <f>IFERROR(IF(INDEX('ESG'!$M$10:$M$17,MATCH($F102,'ESG'!$B$10:$B$17,0))="","Cell will autofill based on response",INDEX('ESG'!$M$10:$M$17,MATCH($F102,'ESG'!$B$10:$B$17,0))),"N/A")</f>
        <v/>
      </c>
      <c r="V102" s="50">
        <f>IFERROR(IF(INDEX('CIOG'!$M$10:$M$14,MATCH($F102,'CIOG'!$B$10:$B$14,0))="","Cell will autofill based on response",INDEX('CIOG'!$M$10:$M$14,MATCH($F102,'CIOG'!$B$10:$B$14,0))),"N/A")</f>
        <v/>
      </c>
      <c r="W102" s="50">
        <f>IFERROR(IF(INDEX('MRE'!$M$10:$M$18,MATCH($F102,'MRE'!$B$10:$B$18,0))="","Cell will autofill based on response",INDEX('MRE'!$M$10:$M$18,MATCH($F102,'MRE'!$B$10:$B$18,0))),"N/A")</f>
        <v/>
      </c>
      <c r="X102" s="50">
        <f>IFERROR(IF(INDEX('AC&amp;M'!$M$10:$M$14,MATCH($F102,'AC&amp;M'!$B$10:$B$14,0))="","Cell will autofill based on response",INDEX('AC&amp;M'!$M$10:$M$14,MATCH($F102,'AC&amp;M'!$B$10:$B$14,0))),"N/A")</f>
        <v/>
      </c>
      <c r="Y102" s="50">
        <f>IFERROR(IF(INDEX('GCE'!$M$10:$M$12,MATCH($F102,'GCE'!$B$10:$B$12,0))="","Cell will autofill based on response",INDEX('GCE'!$M$10:$M$12,MATCH($F102,'GCE'!$B$10:$B$12,0))),"N/A")</f>
        <v/>
      </c>
      <c r="Z102" s="50">
        <f>IFERROR(IF(INDEX('Education'!$M$10:$M$13,MATCH($F102,'Education'!$B$10:$B$13,0))="","Cell will autofill based on response",INDEX('Education'!$M$10:$M$13,MATCH($F102,'Education'!$B$10:$B$13,0))),"N/A")</f>
        <v/>
      </c>
      <c r="AA102" s="50">
        <f>IFERROR(IF(INDEX('SaSS'!$M$10:$M$12,MATCH($F102,'SaSS'!$B$10:$B$12,0))="","Cell will autofill based on response",INDEX('SaSS'!$M$10:$M$12,MATCH($F102,'SaSS'!$B$10:$B$12,0))),"N/A")</f>
        <v/>
      </c>
      <c r="AB102" s="50">
        <f>IFERROR(IF(INDEX('Indigenous'!$M$10:$M$11,MATCH($F102,'Indigenous'!$B$10:$B$11,0))="","Cell will autofill based on response",INDEX('Indigenous'!$M$10:$M$11,MATCH($F102,'Indigenous'!$B$10:$B$11,0))),"N/A")</f>
        <v/>
      </c>
      <c r="AC102" s="50">
        <f>IFERROR(IF(INDEX('L&amp;R'!$M$10:$M$11,MATCH($F102,'L&amp;R'!$B$10:$B$11,0))="","Cell will autofill based on response",INDEX('L&amp;R'!$M$10:$M$11,MATCH($F102,'L&amp;R'!$B$10:$B$11,0))),"N/A")</f>
        <v/>
      </c>
    </row>
    <row r="103" ht="22" customHeight="1">
      <c r="A103">
        <f>F103&amp;"|"&amp;G103</f>
        <v/>
      </c>
      <c r="B103" s="12" t="inlineStr"/>
      <c r="C103" s="7" t="inlineStr"/>
      <c r="D103" s="7" t="inlineStr"/>
      <c r="E103" s="7" t="inlineStr"/>
      <c r="F103" s="7" t="inlineStr">
        <is>
          <t>CL3(a)</t>
        </is>
      </c>
      <c r="G103" s="7" t="inlineStr">
        <is>
          <t>Supporting information/comments</t>
        </is>
      </c>
      <c r="H103" s="50">
        <f>IFERROR(IF(INDEX('Faculties'!$N$10:$N$18,MATCH($F103,'Faculties'!$B$10:$B$18,0))="","Cell will autofill based on response",INDEX('Faculties'!$N$10:$N$18,MATCH($F103,'Faculties'!$B$10:$B$18,0))),"N/A")</f>
        <v/>
      </c>
      <c r="I103" s="50">
        <f>IFERROR(IF(INDEX('Faculties'!$N$25:$N$34,MATCH($F103,'Faculties'!$B$25:$B$34,0))="","Cell will autofill based on response",INDEX('Faculties'!$N$25:$N$34,MATCH($F103,'Faculties'!$B$25:$B$34,0))),"N/A")</f>
        <v/>
      </c>
      <c r="J103" s="50">
        <f>IFERROR(IF(INDEX('Faculties'!$N$41:$N$50,MATCH($F103,'Faculties'!$B$41:$B$50,0))="","Cell will autofill based on response",INDEX('Faculties'!$N$41:$N$50,MATCH($F103,'Faculties'!$B$41:$B$50,0))),"N/A")</f>
        <v/>
      </c>
      <c r="K103" s="50">
        <f>IFERROR(IF(INDEX('Faculties'!$N$57:$N$66,MATCH($F103,'Faculties'!$B$57:$B$66,0))="","Cell will autofill based on response",INDEX('Faculties'!$N$57:$N$66,MATCH($F103,'Faculties'!$B$57:$B$66,0))),"N/A")</f>
        <v/>
      </c>
      <c r="L103" s="50">
        <f>IFERROR(IF(INDEX('Faculties'!$N$73:$N$82,MATCH($F103,'Faculties'!$B$73:$B$82,0))="","Cell will autofill based on response",INDEX('Faculties'!$N$73:$N$82,MATCH($F103,'Faculties'!$B$73:$B$82,0))),"N/A")</f>
        <v/>
      </c>
      <c r="M103" s="50">
        <f>IFERROR(IF(INDEX('Faculties'!$N$89:$N$98,MATCH($F103,'Faculties'!$B$89:$B$98,0))="","Cell will autofill based on response",INDEX('Faculties'!$N$89:$N$98,MATCH($F103,'Faculties'!$B$89:$B$98,0))),"N/A")</f>
        <v/>
      </c>
      <c r="N103" s="50">
        <f>IFERROR(IF(INDEX('Faculties'!$N$105:$N$114,MATCH($F103,'Faculties'!$B$105:$B$114,0))="","Cell will autofill based on response",INDEX('Faculties'!$N$105:$N$114,MATCH($F103,'Faculties'!$B$105:$B$114,0))),"N/A")</f>
        <v/>
      </c>
      <c r="O103" s="50">
        <f>IFERROR(IF(INDEX('Faculties'!$N$121:$N$130,MATCH($F103,'Faculties'!$B$121:$B$130,0))="","Cell will autofill based on response",INDEX('Faculties'!$N$121:$N$130,MATCH($F103,'Faculties'!$B$121:$B$130,0))),"N/A")</f>
        <v/>
      </c>
      <c r="P103" s="50">
        <f>IFERROR(IF(INDEX('Faculties'!$N$137:$N$146,MATCH($F103,'Faculties'!$B$137:$B$146,0))="","Cell will autofill based on response",INDEX('Faculties'!$N$137:$N$146,MATCH($F103,'Faculties'!$B$137:$B$146,0))),"N/A")</f>
        <v/>
      </c>
      <c r="Q103" s="50">
        <f>IFERROR(IF(INDEX('CI&amp;S'!$N$10:$N$15,MATCH($F103,'CI&amp;S'!$B$10:$B$15,0))="","Cell will autofill based on response",INDEX('CI&amp;S'!$N$10:$N$15,MATCH($F103,'CI&amp;S'!$B$10:$B$15,0))),"N/A")</f>
        <v/>
      </c>
      <c r="R103" s="50">
        <f>IFERROR(IF(INDEX('CI&amp;S'!$N$22:$N$36,MATCH($F103,'CI&amp;S'!$B$22:$B$36,0))="","Cell will autofill based on response",INDEX('CI&amp;S'!$N$22:$N$36,MATCH($F103,'CI&amp;S'!$B$22:$B$36,0))),"N/A")</f>
        <v/>
      </c>
      <c r="S103" s="50">
        <f>IFERROR(IF(INDEX('CFOG'!$N$10:$N$16,MATCH($F103,'CFOG'!$B$10:$B$16,0))="","Cell will autofill based on response",INDEX('CFOG'!$N$10:$N$16,MATCH($F103,'CFOG'!$B$10:$B$16,0))),"N/A")</f>
        <v/>
      </c>
      <c r="T103" s="50">
        <f>IFERROR(IF(INDEX('CFOG'!$N$23:$N$24,MATCH($F103,'CFOG'!$B$23:$B$24,0))="","Cell will autofill based on response",INDEX('CFOG'!$N$23:$N$24,MATCH($F103,'CFOG'!$B$23:$B$24,0))),"N/A")</f>
        <v/>
      </c>
      <c r="U103" s="50">
        <f>IFERROR(IF(INDEX('ESG'!$N$10:$N$17,MATCH($F103,'ESG'!$B$10:$B$17,0))="","Cell will autofill based on response",INDEX('ESG'!$N$10:$N$17,MATCH($F103,'ESG'!$B$10:$B$17,0))),"N/A")</f>
        <v/>
      </c>
      <c r="V103" s="50">
        <f>IFERROR(IF(INDEX('CIOG'!$N$10:$N$14,MATCH($F103,'CIOG'!$B$10:$B$14,0))="","Cell will autofill based on response",INDEX('CIOG'!$N$10:$N$14,MATCH($F103,'CIOG'!$B$10:$B$14,0))),"N/A")</f>
        <v/>
      </c>
      <c r="W103" s="50">
        <f>IFERROR(IF(INDEX('MRE'!$N$10:$N$18,MATCH($F103,'MRE'!$B$10:$B$18,0))="","Cell will autofill based on response",INDEX('MRE'!$N$10:$N$18,MATCH($F103,'MRE'!$B$10:$B$18,0))),"N/A")</f>
        <v/>
      </c>
      <c r="X103" s="50">
        <f>IFERROR(IF(INDEX('AC&amp;M'!$N$10:$N$14,MATCH($F103,'AC&amp;M'!$B$10:$B$14,0))="","Cell will autofill based on response",INDEX('AC&amp;M'!$N$10:$N$14,MATCH($F103,'AC&amp;M'!$B$10:$B$14,0))),"N/A")</f>
        <v/>
      </c>
      <c r="Y103" s="50">
        <f>IFERROR(IF(INDEX('GCE'!$N$10:$N$12,MATCH($F103,'GCE'!$B$10:$B$12,0))="","Cell will autofill based on response",INDEX('GCE'!$N$10:$N$12,MATCH($F103,'GCE'!$B$10:$B$12,0))),"N/A")</f>
        <v/>
      </c>
      <c r="Z103" s="50">
        <f>IFERROR(IF(INDEX('Education'!$N$10:$N$13,MATCH($F103,'Education'!$B$10:$B$13,0))="","Cell will autofill based on response",INDEX('Education'!$N$10:$N$13,MATCH($F103,'Education'!$B$10:$B$13,0))),"N/A")</f>
        <v/>
      </c>
      <c r="AA103" s="50">
        <f>IFERROR(IF(INDEX('SaSS'!$N$10:$N$12,MATCH($F103,'SaSS'!$B$10:$B$12,0))="","Cell will autofill based on response",INDEX('SaSS'!$N$10:$N$12,MATCH($F103,'SaSS'!$B$10:$B$12,0))),"N/A")</f>
        <v/>
      </c>
      <c r="AB103" s="50">
        <f>IFERROR(IF(INDEX('Indigenous'!$N$10:$N$11,MATCH($F103,'Indigenous'!$B$10:$B$11,0))="","Cell will autofill based on response",INDEX('Indigenous'!$N$10:$N$11,MATCH($F103,'Indigenous'!$B$10:$B$11,0))),"N/A")</f>
        <v/>
      </c>
      <c r="AC103" s="50">
        <f>IFERROR(IF(INDEX('L&amp;R'!$N$10:$N$11,MATCH($F103,'L&amp;R'!$B$10:$B$11,0))="","Cell will autofill based on response",INDEX('L&amp;R'!$N$10:$N$11,MATCH($F103,'L&amp;R'!$B$10:$B$11,0))),"N/A")</f>
        <v/>
      </c>
    </row>
    <row r="104" ht="22" customHeight="1">
      <c r="A104">
        <f>F104&amp;"|"&amp;G104</f>
        <v/>
      </c>
      <c r="B104" s="12" t="inlineStr"/>
      <c r="C104" s="7" t="inlineStr"/>
      <c r="D104" s="7" t="inlineStr"/>
      <c r="E104" s="7" t="inlineStr"/>
      <c r="F104" s="7" t="inlineStr">
        <is>
          <t>CL3(a)</t>
        </is>
      </c>
      <c r="G104" s="7" t="inlineStr">
        <is>
          <t>Data source and limitations</t>
        </is>
      </c>
      <c r="H104" s="50">
        <f>IFERROR(IF(INDEX('Faculties'!$O$10:$O$18,MATCH($F104,'Faculties'!$B$10:$B$18,0))="","Cell will autofill based on response",INDEX('Faculties'!$O$10:$O$18,MATCH($F104,'Faculties'!$B$10:$B$18,0))),"N/A")</f>
        <v/>
      </c>
      <c r="I104" s="50">
        <f>IFERROR(IF(INDEX('Faculties'!$O$25:$O$34,MATCH($F104,'Faculties'!$B$25:$B$34,0))="","Cell will autofill based on response",INDEX('Faculties'!$O$25:$O$34,MATCH($F104,'Faculties'!$B$25:$B$34,0))),"N/A")</f>
        <v/>
      </c>
      <c r="J104" s="50">
        <f>IFERROR(IF(INDEX('Faculties'!$O$41:$O$50,MATCH($F104,'Faculties'!$B$41:$B$50,0))="","Cell will autofill based on response",INDEX('Faculties'!$O$41:$O$50,MATCH($F104,'Faculties'!$B$41:$B$50,0))),"N/A")</f>
        <v/>
      </c>
      <c r="K104" s="50">
        <f>IFERROR(IF(INDEX('Faculties'!$O$57:$O$66,MATCH($F104,'Faculties'!$B$57:$B$66,0))="","Cell will autofill based on response",INDEX('Faculties'!$O$57:$O$66,MATCH($F104,'Faculties'!$B$57:$B$66,0))),"N/A")</f>
        <v/>
      </c>
      <c r="L104" s="50">
        <f>IFERROR(IF(INDEX('Faculties'!$O$73:$O$82,MATCH($F104,'Faculties'!$B$73:$B$82,0))="","Cell will autofill based on response",INDEX('Faculties'!$O$73:$O$82,MATCH($F104,'Faculties'!$B$73:$B$82,0))),"N/A")</f>
        <v/>
      </c>
      <c r="M104" s="50">
        <f>IFERROR(IF(INDEX('Faculties'!$O$89:$O$98,MATCH($F104,'Faculties'!$B$89:$B$98,0))="","Cell will autofill based on response",INDEX('Faculties'!$O$89:$O$98,MATCH($F104,'Faculties'!$B$89:$B$98,0))),"N/A")</f>
        <v/>
      </c>
      <c r="N104" s="50">
        <f>IFERROR(IF(INDEX('Faculties'!$O$105:$O$114,MATCH($F104,'Faculties'!$B$105:$B$114,0))="","Cell will autofill based on response",INDEX('Faculties'!$O$105:$O$114,MATCH($F104,'Faculties'!$B$105:$B$114,0))),"N/A")</f>
        <v/>
      </c>
      <c r="O104" s="50">
        <f>IFERROR(IF(INDEX('Faculties'!$O$121:$O$130,MATCH($F104,'Faculties'!$B$121:$B$130,0))="","Cell will autofill based on response",INDEX('Faculties'!$O$121:$O$130,MATCH($F104,'Faculties'!$B$121:$B$130,0))),"N/A")</f>
        <v/>
      </c>
      <c r="P104" s="50">
        <f>IFERROR(IF(INDEX('Faculties'!$O$137:$O$146,MATCH($F104,'Faculties'!$B$137:$B$146,0))="","Cell will autofill based on response",INDEX('Faculties'!$O$137:$O$146,MATCH($F104,'Faculties'!$B$137:$B$146,0))),"N/A")</f>
        <v/>
      </c>
      <c r="Q104" s="50">
        <f>IFERROR(IF(INDEX('CI&amp;S'!$O$10:$O$15,MATCH($F104,'CI&amp;S'!$B$10:$B$15,0))="","Cell will autofill based on response",INDEX('CI&amp;S'!$O$10:$O$15,MATCH($F104,'CI&amp;S'!$B$10:$B$15,0))),"N/A")</f>
        <v/>
      </c>
      <c r="R104" s="50">
        <f>IFERROR(IF(INDEX('CI&amp;S'!$O$22:$O$36,MATCH($F104,'CI&amp;S'!$B$22:$B$36,0))="","Cell will autofill based on response",INDEX('CI&amp;S'!$O$22:$O$36,MATCH($F104,'CI&amp;S'!$B$22:$B$36,0))),"N/A")</f>
        <v/>
      </c>
      <c r="S104" s="50">
        <f>IFERROR(IF(INDEX('CFOG'!$O$10:$O$16,MATCH($F104,'CFOG'!$B$10:$B$16,0))="","Cell will autofill based on response",INDEX('CFOG'!$O$10:$O$16,MATCH($F104,'CFOG'!$B$10:$B$16,0))),"N/A")</f>
        <v/>
      </c>
      <c r="T104" s="50">
        <f>IFERROR(IF(INDEX('CFOG'!$O$23:$O$24,MATCH($F104,'CFOG'!$B$23:$B$24,0))="","Cell will autofill based on response",INDEX('CFOG'!$O$23:$O$24,MATCH($F104,'CFOG'!$B$23:$B$24,0))),"N/A")</f>
        <v/>
      </c>
      <c r="U104" s="50">
        <f>IFERROR(IF(INDEX('ESG'!$O$10:$O$17,MATCH($F104,'ESG'!$B$10:$B$17,0))="","Cell will autofill based on response",INDEX('ESG'!$O$10:$O$17,MATCH($F104,'ESG'!$B$10:$B$17,0))),"N/A")</f>
        <v/>
      </c>
      <c r="V104" s="50">
        <f>IFERROR(IF(INDEX('CIOG'!$O$10:$O$14,MATCH($F104,'CIOG'!$B$10:$B$14,0))="","Cell will autofill based on response",INDEX('CIOG'!$O$10:$O$14,MATCH($F104,'CIOG'!$B$10:$B$14,0))),"N/A")</f>
        <v/>
      </c>
      <c r="W104" s="50">
        <f>IFERROR(IF(INDEX('MRE'!$O$10:$O$18,MATCH($F104,'MRE'!$B$10:$B$18,0))="","Cell will autofill based on response",INDEX('MRE'!$O$10:$O$18,MATCH($F104,'MRE'!$B$10:$B$18,0))),"N/A")</f>
        <v/>
      </c>
      <c r="X104" s="50">
        <f>IFERROR(IF(INDEX('AC&amp;M'!$O$10:$O$14,MATCH($F104,'AC&amp;M'!$B$10:$B$14,0))="","Cell will autofill based on response",INDEX('AC&amp;M'!$O$10:$O$14,MATCH($F104,'AC&amp;M'!$B$10:$B$14,0))),"N/A")</f>
        <v/>
      </c>
      <c r="Y104" s="50">
        <f>IFERROR(IF(INDEX('GCE'!$O$10:$O$12,MATCH($F104,'GCE'!$B$10:$B$12,0))="","Cell will autofill based on response",INDEX('GCE'!$O$10:$O$12,MATCH($F104,'GCE'!$B$10:$B$12,0))),"N/A")</f>
        <v/>
      </c>
      <c r="Z104" s="50">
        <f>IFERROR(IF(INDEX('Education'!$O$10:$O$13,MATCH($F104,'Education'!$B$10:$B$13,0))="","Cell will autofill based on response",INDEX('Education'!$O$10:$O$13,MATCH($F104,'Education'!$B$10:$B$13,0))),"N/A")</f>
        <v/>
      </c>
      <c r="AA104" s="50">
        <f>IFERROR(IF(INDEX('SaSS'!$O$10:$O$12,MATCH($F104,'SaSS'!$B$10:$B$12,0))="","Cell will autofill based on response",INDEX('SaSS'!$O$10:$O$12,MATCH($F104,'SaSS'!$B$10:$B$12,0))),"N/A")</f>
        <v/>
      </c>
      <c r="AB104" s="50">
        <f>IFERROR(IF(INDEX('Indigenous'!$O$10:$O$11,MATCH($F104,'Indigenous'!$B$10:$B$11,0))="","Cell will autofill based on response",INDEX('Indigenous'!$O$10:$O$11,MATCH($F104,'Indigenous'!$B$10:$B$11,0))),"N/A")</f>
        <v/>
      </c>
      <c r="AC104" s="50">
        <f>IFERROR(IF(INDEX('L&amp;R'!$O$10:$O$11,MATCH($F104,'L&amp;R'!$B$10:$B$11,0))="","Cell will autofill based on response",INDEX('L&amp;R'!$O$10:$O$11,MATCH($F104,'L&amp;R'!$B$10:$B$11,0))),"N/A")</f>
        <v/>
      </c>
    </row>
    <row r="105" ht="22" customHeight="1">
      <c r="A105">
        <f>F105&amp;"|"&amp;G105</f>
        <v/>
      </c>
      <c r="B105" s="12" t="inlineStr"/>
      <c r="C105" s="7" t="inlineStr"/>
      <c r="D105" s="7" t="inlineStr"/>
      <c r="E105" s="7" t="inlineStr"/>
      <c r="F105" s="7" t="inlineStr">
        <is>
          <t>CL3(a)</t>
        </is>
      </c>
      <c r="G105" s="7" t="inlineStr">
        <is>
          <t>Data owner confirms</t>
        </is>
      </c>
      <c r="H105" s="50">
        <f>IFERROR(IF(INDEX('Faculties'!$P$10:$P$18,MATCH($F105,'Faculties'!$B$10:$B$18,0))="","Cell will autofill based on response",INDEX('Faculties'!$P$10:$P$18,MATCH($F105,'Faculties'!$B$10:$B$18,0))),"N/A")</f>
        <v/>
      </c>
      <c r="I105" s="50">
        <f>IFERROR(IF(INDEX('Faculties'!$P$25:$P$34,MATCH($F105,'Faculties'!$B$25:$B$34,0))="","Cell will autofill based on response",INDEX('Faculties'!$P$25:$P$34,MATCH($F105,'Faculties'!$B$25:$B$34,0))),"N/A")</f>
        <v/>
      </c>
      <c r="J105" s="50">
        <f>IFERROR(IF(INDEX('Faculties'!$P$41:$P$50,MATCH($F105,'Faculties'!$B$41:$B$50,0))="","Cell will autofill based on response",INDEX('Faculties'!$P$41:$P$50,MATCH($F105,'Faculties'!$B$41:$B$50,0))),"N/A")</f>
        <v/>
      </c>
      <c r="K105" s="50">
        <f>IFERROR(IF(INDEX('Faculties'!$P$57:$P$66,MATCH($F105,'Faculties'!$B$57:$B$66,0))="","Cell will autofill based on response",INDEX('Faculties'!$P$57:$P$66,MATCH($F105,'Faculties'!$B$57:$B$66,0))),"N/A")</f>
        <v/>
      </c>
      <c r="L105" s="50">
        <f>IFERROR(IF(INDEX('Faculties'!$P$73:$P$82,MATCH($F105,'Faculties'!$B$73:$B$82,0))="","Cell will autofill based on response",INDEX('Faculties'!$P$73:$P$82,MATCH($F105,'Faculties'!$B$73:$B$82,0))),"N/A")</f>
        <v/>
      </c>
      <c r="M105" s="50">
        <f>IFERROR(IF(INDEX('Faculties'!$P$89:$P$98,MATCH($F105,'Faculties'!$B$89:$B$98,0))="","Cell will autofill based on response",INDEX('Faculties'!$P$89:$P$98,MATCH($F105,'Faculties'!$B$89:$B$98,0))),"N/A")</f>
        <v/>
      </c>
      <c r="N105" s="50">
        <f>IFERROR(IF(INDEX('Faculties'!$P$105:$P$114,MATCH($F105,'Faculties'!$B$105:$B$114,0))="","Cell will autofill based on response",INDEX('Faculties'!$P$105:$P$114,MATCH($F105,'Faculties'!$B$105:$B$114,0))),"N/A")</f>
        <v/>
      </c>
      <c r="O105" s="50">
        <f>IFERROR(IF(INDEX('Faculties'!$P$121:$P$130,MATCH($F105,'Faculties'!$B$121:$B$130,0))="","Cell will autofill based on response",INDEX('Faculties'!$P$121:$P$130,MATCH($F105,'Faculties'!$B$121:$B$130,0))),"N/A")</f>
        <v/>
      </c>
      <c r="P105" s="50">
        <f>IFERROR(IF(INDEX('Faculties'!$P$137:$P$146,MATCH($F105,'Faculties'!$B$137:$B$146,0))="","Cell will autofill based on response",INDEX('Faculties'!$P$137:$P$146,MATCH($F105,'Faculties'!$B$137:$B$146,0))),"N/A")</f>
        <v/>
      </c>
      <c r="Q105" s="50">
        <f>IFERROR(IF(INDEX('CI&amp;S'!$P$10:$P$15,MATCH($F105,'CI&amp;S'!$B$10:$B$15,0))="","Cell will autofill based on response",INDEX('CI&amp;S'!$P$10:$P$15,MATCH($F105,'CI&amp;S'!$B$10:$B$15,0))),"N/A")</f>
        <v/>
      </c>
      <c r="R105" s="50">
        <f>IFERROR(IF(INDEX('CI&amp;S'!$P$22:$P$36,MATCH($F105,'CI&amp;S'!$B$22:$B$36,0))="","Cell will autofill based on response",INDEX('CI&amp;S'!$P$22:$P$36,MATCH($F105,'CI&amp;S'!$B$22:$B$36,0))),"N/A")</f>
        <v/>
      </c>
      <c r="S105" s="50">
        <f>IFERROR(IF(INDEX('CFOG'!$P$10:$P$16,MATCH($F105,'CFOG'!$B$10:$B$16,0))="","Cell will autofill based on response",INDEX('CFOG'!$P$10:$P$16,MATCH($F105,'CFOG'!$B$10:$B$16,0))),"N/A")</f>
        <v/>
      </c>
      <c r="T105" s="50">
        <f>IFERROR(IF(INDEX('CFOG'!$P$23:$P$24,MATCH($F105,'CFOG'!$B$23:$B$24,0))="","Cell will autofill based on response",INDEX('CFOG'!$P$23:$P$24,MATCH($F105,'CFOG'!$B$23:$B$24,0))),"N/A")</f>
        <v/>
      </c>
      <c r="U105" s="50">
        <f>IFERROR(IF(INDEX('ESG'!$P$10:$P$17,MATCH($F105,'ESG'!$B$10:$B$17,0))="","Cell will autofill based on response",INDEX('ESG'!$P$10:$P$17,MATCH($F105,'ESG'!$B$10:$B$17,0))),"N/A")</f>
        <v/>
      </c>
      <c r="V105" s="50">
        <f>IFERROR(IF(INDEX('CIOG'!$P$10:$P$14,MATCH($F105,'CIOG'!$B$10:$B$14,0))="","Cell will autofill based on response",INDEX('CIOG'!$P$10:$P$14,MATCH($F105,'CIOG'!$B$10:$B$14,0))),"N/A")</f>
        <v/>
      </c>
      <c r="W105" s="50">
        <f>IFERROR(IF(INDEX('MRE'!$P$10:$P$18,MATCH($F105,'MRE'!$B$10:$B$18,0))="","Cell will autofill based on response",INDEX('MRE'!$P$10:$P$18,MATCH($F105,'MRE'!$B$10:$B$18,0))),"N/A")</f>
        <v/>
      </c>
      <c r="X105" s="50">
        <f>IFERROR(IF(INDEX('AC&amp;M'!$P$10:$P$14,MATCH($F105,'AC&amp;M'!$B$10:$B$14,0))="","Cell will autofill based on response",INDEX('AC&amp;M'!$P$10:$P$14,MATCH($F105,'AC&amp;M'!$B$10:$B$14,0))),"N/A")</f>
        <v/>
      </c>
      <c r="Y105" s="50">
        <f>IFERROR(IF(INDEX('GCE'!$P$10:$P$12,MATCH($F105,'GCE'!$B$10:$B$12,0))="","Cell will autofill based on response",INDEX('GCE'!$P$10:$P$12,MATCH($F105,'GCE'!$B$10:$B$12,0))),"N/A")</f>
        <v/>
      </c>
      <c r="Z105" s="50">
        <f>IFERROR(IF(INDEX('Education'!$P$10:$P$13,MATCH($F105,'Education'!$B$10:$B$13,0))="","Cell will autofill based on response",INDEX('Education'!$P$10:$P$13,MATCH($F105,'Education'!$B$10:$B$13,0))),"N/A")</f>
        <v/>
      </c>
      <c r="AA105" s="50">
        <f>IFERROR(IF(INDEX('SaSS'!$P$10:$P$12,MATCH($F105,'SaSS'!$B$10:$B$12,0))="","Cell will autofill based on response",INDEX('SaSS'!$P$10:$P$12,MATCH($F105,'SaSS'!$B$10:$B$12,0))),"N/A")</f>
        <v/>
      </c>
      <c r="AB105" s="50">
        <f>IFERROR(IF(INDEX('Indigenous'!$P$10:$P$11,MATCH($F105,'Indigenous'!$B$10:$B$11,0))="","Cell will autofill based on response",INDEX('Indigenous'!$P$10:$P$11,MATCH($F105,'Indigenous'!$B$10:$B$11,0))),"N/A")</f>
        <v/>
      </c>
      <c r="AC105" s="50">
        <f>IFERROR(IF(INDEX('L&amp;R'!$P$10:$P$11,MATCH($F105,'L&amp;R'!$B$10:$B$11,0))="","Cell will autofill based on response",INDEX('L&amp;R'!$P$10:$P$11,MATCH($F105,'L&amp;R'!$B$10:$B$11,0))),"N/A")</f>
        <v/>
      </c>
    </row>
    <row r="106" ht="56" customHeight="1">
      <c r="A106">
        <f>F106&amp;"|"&amp;G106</f>
        <v/>
      </c>
      <c r="B106" s="6" t="inlineStr">
        <is>
          <t>NB1(b)</t>
        </is>
      </c>
      <c r="C106" s="48" t="inlineStr">
        <is>
          <t>Nature and biodiversity</t>
        </is>
      </c>
      <c r="D106" s="48" t="inlineStr">
        <is>
          <t>Size, health and diversity of remnant vegetation at the Dookie and Creswick campuses</t>
        </is>
      </c>
      <c r="E106" s="48" t="inlineStr"/>
      <c r="F106" s="48" t="inlineStr">
        <is>
          <t>NB1(b)</t>
        </is>
      </c>
      <c r="G106" s="48" t="inlineStr">
        <is>
          <t>OPTION 1:  Target-level reporting</t>
        </is>
      </c>
      <c r="H106" s="50">
        <f>IFERROR(IF(INDEX('Faculties'!$L$10:$L$18,MATCH($F106,'Faculties'!$B$10:$B$18,0))="","Cell will autofill based on response",INDEX('Faculties'!$L$10:$L$18,MATCH($F106,'Faculties'!$B$10:$B$18,0))),"N/A")</f>
        <v/>
      </c>
      <c r="I106" s="50">
        <f>IFERROR(IF(INDEX('Faculties'!$L$25:$L$34,MATCH($F106,'Faculties'!$B$25:$B$34,0))="","Cell will autofill based on response",INDEX('Faculties'!$L$25:$L$34,MATCH($F106,'Faculties'!$B$25:$B$34,0))),"N/A")</f>
        <v/>
      </c>
      <c r="J106" s="50">
        <f>IFERROR(IF(INDEX('Faculties'!$L$41:$L$50,MATCH($F106,'Faculties'!$B$41:$B$50,0))="","Cell will autofill based on response",INDEX('Faculties'!$L$41:$L$50,MATCH($F106,'Faculties'!$B$41:$B$50,0))),"N/A")</f>
        <v/>
      </c>
      <c r="K106" s="50">
        <f>IFERROR(IF(INDEX('Faculties'!$L$57:$L$66,MATCH($F106,'Faculties'!$B$57:$B$66,0))="","Cell will autofill based on response",INDEX('Faculties'!$L$57:$L$66,MATCH($F106,'Faculties'!$B$57:$B$66,0))),"N/A")</f>
        <v/>
      </c>
      <c r="L106" s="50">
        <f>IFERROR(IF(INDEX('Faculties'!$L$73:$L$82,MATCH($F106,'Faculties'!$B$73:$B$82,0))="","Cell will autofill based on response",INDEX('Faculties'!$L$73:$L$82,MATCH($F106,'Faculties'!$B$73:$B$82,0))),"N/A")</f>
        <v/>
      </c>
      <c r="M106" s="50">
        <f>IFERROR(IF(INDEX('Faculties'!$L$89:$L$98,MATCH($F106,'Faculties'!$B$89:$B$98,0))="","Cell will autofill based on response",INDEX('Faculties'!$L$89:$L$98,MATCH($F106,'Faculties'!$B$89:$B$98,0))),"N/A")</f>
        <v/>
      </c>
      <c r="N106" s="50">
        <f>IFERROR(IF(INDEX('Faculties'!$L$105:$L$114,MATCH($F106,'Faculties'!$B$105:$B$114,0))="","Cell will autofill based on response",INDEX('Faculties'!$L$105:$L$114,MATCH($F106,'Faculties'!$B$105:$B$114,0))),"N/A")</f>
        <v/>
      </c>
      <c r="O106" s="50">
        <f>IFERROR(IF(INDEX('Faculties'!$L$121:$L$130,MATCH($F106,'Faculties'!$B$121:$B$130,0))="","Cell will autofill based on response",INDEX('Faculties'!$L$121:$L$130,MATCH($F106,'Faculties'!$B$121:$B$130,0))),"N/A")</f>
        <v/>
      </c>
      <c r="P106" s="50">
        <f>IFERROR(IF(INDEX('Faculties'!$L$137:$L$146,MATCH($F106,'Faculties'!$B$137:$B$146,0))="","Cell will autofill based on response",INDEX('Faculties'!$L$137:$L$146,MATCH($F106,'Faculties'!$B$137:$B$146,0))),"N/A")</f>
        <v/>
      </c>
      <c r="Q106" s="50">
        <f>IFERROR(IF(INDEX('CI&amp;S'!$L$10:$L$15,MATCH($F106,'CI&amp;S'!$B$10:$B$15,0))="","Cell will autofill based on response",INDEX('CI&amp;S'!$L$10:$L$15,MATCH($F106,'CI&amp;S'!$B$10:$B$15,0))),"N/A")</f>
        <v/>
      </c>
      <c r="R106" s="50">
        <f>IFERROR(IF(INDEX('CI&amp;S'!$L$22:$L$36,MATCH($F106,'CI&amp;S'!$B$22:$B$36,0))="","Cell will autofill based on response",INDEX('CI&amp;S'!$L$22:$L$36,MATCH($F106,'CI&amp;S'!$B$22:$B$36,0))),"N/A")</f>
        <v/>
      </c>
      <c r="S106" s="50">
        <f>IFERROR(IF(INDEX('CFOG'!$L$10:$L$16,MATCH($F106,'CFOG'!$B$10:$B$16,0))="","Cell will autofill based on response",INDEX('CFOG'!$L$10:$L$16,MATCH($F106,'CFOG'!$B$10:$B$16,0))),"N/A")</f>
        <v/>
      </c>
      <c r="T106" s="50">
        <f>IFERROR(IF(INDEX('CFOG'!$L$23:$L$24,MATCH($F106,'CFOG'!$B$23:$B$24,0))="","Cell will autofill based on response",INDEX('CFOG'!$L$23:$L$24,MATCH($F106,'CFOG'!$B$23:$B$24,0))),"N/A")</f>
        <v/>
      </c>
      <c r="U106" s="50">
        <f>IFERROR(IF(INDEX('ESG'!$L$10:$L$17,MATCH($F106,'ESG'!$B$10:$B$17,0))="","Cell will autofill based on response",INDEX('ESG'!$L$10:$L$17,MATCH($F106,'ESG'!$B$10:$B$17,0))),"N/A")</f>
        <v/>
      </c>
      <c r="V106" s="50">
        <f>IFERROR(IF(INDEX('CIOG'!$L$10:$L$14,MATCH($F106,'CIOG'!$B$10:$B$14,0))="","Cell will autofill based on response",INDEX('CIOG'!$L$10:$L$14,MATCH($F106,'CIOG'!$B$10:$B$14,0))),"N/A")</f>
        <v/>
      </c>
      <c r="W106" s="50">
        <f>IFERROR(IF(INDEX('MRE'!$L$10:$L$18,MATCH($F106,'MRE'!$B$10:$B$18,0))="","Cell will autofill based on response",INDEX('MRE'!$L$10:$L$18,MATCH($F106,'MRE'!$B$10:$B$18,0))),"N/A")</f>
        <v/>
      </c>
      <c r="X106" s="50">
        <f>IFERROR(IF(INDEX('AC&amp;M'!$L$10:$L$14,MATCH($F106,'AC&amp;M'!$B$10:$B$14,0))="","Cell will autofill based on response",INDEX('AC&amp;M'!$L$10:$L$14,MATCH($F106,'AC&amp;M'!$B$10:$B$14,0))),"N/A")</f>
        <v/>
      </c>
      <c r="Y106" s="50">
        <f>IFERROR(IF(INDEX('GCE'!$L$10:$L$12,MATCH($F106,'GCE'!$B$10:$B$12,0))="","Cell will autofill based on response",INDEX('GCE'!$L$10:$L$12,MATCH($F106,'GCE'!$B$10:$B$12,0))),"N/A")</f>
        <v/>
      </c>
      <c r="Z106" s="50">
        <f>IFERROR(IF(INDEX('Education'!$L$10:$L$13,MATCH($F106,'Education'!$B$10:$B$13,0))="","Cell will autofill based on response",INDEX('Education'!$L$10:$L$13,MATCH($F106,'Education'!$B$10:$B$13,0))),"N/A")</f>
        <v/>
      </c>
      <c r="AA106" s="50">
        <f>IFERROR(IF(INDEX('SaSS'!$L$10:$L$12,MATCH($F106,'SaSS'!$B$10:$B$12,0))="","Cell will autofill based on response",INDEX('SaSS'!$L$10:$L$12,MATCH($F106,'SaSS'!$B$10:$B$12,0))),"N/A")</f>
        <v/>
      </c>
      <c r="AB106" s="50">
        <f>IFERROR(IF(INDEX('Indigenous'!$L$10:$L$11,MATCH($F106,'Indigenous'!$B$10:$B$11,0))="","Cell will autofill based on response",INDEX('Indigenous'!$L$10:$L$11,MATCH($F106,'Indigenous'!$B$10:$B$11,0))),"N/A")</f>
        <v/>
      </c>
      <c r="AC106" s="50">
        <f>IFERROR(IF(INDEX('L&amp;R'!$L$10:$L$11,MATCH($F106,'L&amp;R'!$B$10:$B$11,0))="","Cell will autofill based on response",INDEX('L&amp;R'!$L$10:$L$11,MATCH($F106,'L&amp;R'!$B$10:$B$11,0))),"N/A")</f>
        <v/>
      </c>
      <c r="AE106" s="9">
        <f>SUMPRODUCT(--($H106:$AC106&lt;&gt;"N/A"))</f>
        <v/>
      </c>
      <c r="AF106" s="9">
        <f>SUMPRODUCT(--(((($H106:$AC106&lt;&gt;"N/A")*($H106:$AC106&lt;&gt;"Cell will autofill based on response"))+(($H107:$AC107&lt;&gt;"N/A")*($H107:$AC107&lt;&gt;"Cell will autofill based on response")))&gt;0))</f>
        <v/>
      </c>
      <c r="AG106" s="9">
        <f>AE106-AF106</f>
        <v/>
      </c>
      <c r="AH106" s="9">
        <f>COUNTIF($H110:$AC110,"Yes")</f>
        <v/>
      </c>
    </row>
    <row r="107" ht="39" customHeight="1">
      <c r="A107">
        <f>F107&amp;"|"&amp;G107</f>
        <v/>
      </c>
      <c r="B107" s="12" t="inlineStr"/>
      <c r="C107" s="7" t="inlineStr"/>
      <c r="D107" s="7" t="inlineStr"/>
      <c r="E107" s="7" t="inlineStr"/>
      <c r="F107" s="7" t="inlineStr">
        <is>
          <t>NB1(b)</t>
        </is>
      </c>
      <c r="G107" s="7" t="inlineStr">
        <is>
          <t>OPTION 2:  Indicator level reporting</t>
        </is>
      </c>
      <c r="H107" s="50">
        <f>IFERROR(IF(INDEX('Faculties'!$M$10:$M$18,MATCH($F107,'Faculties'!$B$10:$B$18,0))="","Cell will autofill based on response",INDEX('Faculties'!$M$10:$M$18,MATCH($F107,'Faculties'!$B$10:$B$18,0))),"N/A")</f>
        <v/>
      </c>
      <c r="I107" s="50">
        <f>IFERROR(IF(INDEX('Faculties'!$M$25:$M$34,MATCH($F107,'Faculties'!$B$25:$B$34,0))="","Cell will autofill based on response",INDEX('Faculties'!$M$25:$M$34,MATCH($F107,'Faculties'!$B$25:$B$34,0))),"N/A")</f>
        <v/>
      </c>
      <c r="J107" s="50">
        <f>IFERROR(IF(INDEX('Faculties'!$M$41:$M$50,MATCH($F107,'Faculties'!$B$41:$B$50,0))="","Cell will autofill based on response",INDEX('Faculties'!$M$41:$M$50,MATCH($F107,'Faculties'!$B$41:$B$50,0))),"N/A")</f>
        <v/>
      </c>
      <c r="K107" s="50">
        <f>IFERROR(IF(INDEX('Faculties'!$M$57:$M$66,MATCH($F107,'Faculties'!$B$57:$B$66,0))="","Cell will autofill based on response",INDEX('Faculties'!$M$57:$M$66,MATCH($F107,'Faculties'!$B$57:$B$66,0))),"N/A")</f>
        <v/>
      </c>
      <c r="L107" s="50">
        <f>IFERROR(IF(INDEX('Faculties'!$M$73:$M$82,MATCH($F107,'Faculties'!$B$73:$B$82,0))="","Cell will autofill based on response",INDEX('Faculties'!$M$73:$M$82,MATCH($F107,'Faculties'!$B$73:$B$82,0))),"N/A")</f>
        <v/>
      </c>
      <c r="M107" s="50">
        <f>IFERROR(IF(INDEX('Faculties'!$M$89:$M$98,MATCH($F107,'Faculties'!$B$89:$B$98,0))="","Cell will autofill based on response",INDEX('Faculties'!$M$89:$M$98,MATCH($F107,'Faculties'!$B$89:$B$98,0))),"N/A")</f>
        <v/>
      </c>
      <c r="N107" s="50">
        <f>IFERROR(IF(INDEX('Faculties'!$M$105:$M$114,MATCH($F107,'Faculties'!$B$105:$B$114,0))="","Cell will autofill based on response",INDEX('Faculties'!$M$105:$M$114,MATCH($F107,'Faculties'!$B$105:$B$114,0))),"N/A")</f>
        <v/>
      </c>
      <c r="O107" s="50">
        <f>IFERROR(IF(INDEX('Faculties'!$M$121:$M$130,MATCH($F107,'Faculties'!$B$121:$B$130,0))="","Cell will autofill based on response",INDEX('Faculties'!$M$121:$M$130,MATCH($F107,'Faculties'!$B$121:$B$130,0))),"N/A")</f>
        <v/>
      </c>
      <c r="P107" s="50">
        <f>IFERROR(IF(INDEX('Faculties'!$M$137:$M$146,MATCH($F107,'Faculties'!$B$137:$B$146,0))="","Cell will autofill based on response",INDEX('Faculties'!$M$137:$M$146,MATCH($F107,'Faculties'!$B$137:$B$146,0))),"N/A")</f>
        <v/>
      </c>
      <c r="Q107" s="50">
        <f>IFERROR(IF(INDEX('CI&amp;S'!$M$10:$M$15,MATCH($F107,'CI&amp;S'!$B$10:$B$15,0))="","Cell will autofill based on response",INDEX('CI&amp;S'!$M$10:$M$15,MATCH($F107,'CI&amp;S'!$B$10:$B$15,0))),"N/A")</f>
        <v/>
      </c>
      <c r="R107" s="50">
        <f>IFERROR(IF(INDEX('CI&amp;S'!$M$22:$M$36,MATCH($F107,'CI&amp;S'!$B$22:$B$36,0))="","Cell will autofill based on response",INDEX('CI&amp;S'!$M$22:$M$36,MATCH($F107,'CI&amp;S'!$B$22:$B$36,0))),"N/A")</f>
        <v/>
      </c>
      <c r="S107" s="50">
        <f>IFERROR(IF(INDEX('CFOG'!$M$10:$M$16,MATCH($F107,'CFOG'!$B$10:$B$16,0))="","Cell will autofill based on response",INDEX('CFOG'!$M$10:$M$16,MATCH($F107,'CFOG'!$B$10:$B$16,0))),"N/A")</f>
        <v/>
      </c>
      <c r="T107" s="50">
        <f>IFERROR(IF(INDEX('CFOG'!$M$23:$M$24,MATCH($F107,'CFOG'!$B$23:$B$24,0))="","Cell will autofill based on response",INDEX('CFOG'!$M$23:$M$24,MATCH($F107,'CFOG'!$B$23:$B$24,0))),"N/A")</f>
        <v/>
      </c>
      <c r="U107" s="50">
        <f>IFERROR(IF(INDEX('ESG'!$M$10:$M$17,MATCH($F107,'ESG'!$B$10:$B$17,0))="","Cell will autofill based on response",INDEX('ESG'!$M$10:$M$17,MATCH($F107,'ESG'!$B$10:$B$17,0))),"N/A")</f>
        <v/>
      </c>
      <c r="V107" s="50">
        <f>IFERROR(IF(INDEX('CIOG'!$M$10:$M$14,MATCH($F107,'CIOG'!$B$10:$B$14,0))="","Cell will autofill based on response",INDEX('CIOG'!$M$10:$M$14,MATCH($F107,'CIOG'!$B$10:$B$14,0))),"N/A")</f>
        <v/>
      </c>
      <c r="W107" s="50">
        <f>IFERROR(IF(INDEX('MRE'!$M$10:$M$18,MATCH($F107,'MRE'!$B$10:$B$18,0))="","Cell will autofill based on response",INDEX('MRE'!$M$10:$M$18,MATCH($F107,'MRE'!$B$10:$B$18,0))),"N/A")</f>
        <v/>
      </c>
      <c r="X107" s="50">
        <f>IFERROR(IF(INDEX('AC&amp;M'!$M$10:$M$14,MATCH($F107,'AC&amp;M'!$B$10:$B$14,0))="","Cell will autofill based on response",INDEX('AC&amp;M'!$M$10:$M$14,MATCH($F107,'AC&amp;M'!$B$10:$B$14,0))),"N/A")</f>
        <v/>
      </c>
      <c r="Y107" s="50">
        <f>IFERROR(IF(INDEX('GCE'!$M$10:$M$12,MATCH($F107,'GCE'!$B$10:$B$12,0))="","Cell will autofill based on response",INDEX('GCE'!$M$10:$M$12,MATCH($F107,'GCE'!$B$10:$B$12,0))),"N/A")</f>
        <v/>
      </c>
      <c r="Z107" s="50">
        <f>IFERROR(IF(INDEX('Education'!$M$10:$M$13,MATCH($F107,'Education'!$B$10:$B$13,0))="","Cell will autofill based on response",INDEX('Education'!$M$10:$M$13,MATCH($F107,'Education'!$B$10:$B$13,0))),"N/A")</f>
        <v/>
      </c>
      <c r="AA107" s="50">
        <f>IFERROR(IF(INDEX('SaSS'!$M$10:$M$12,MATCH($F107,'SaSS'!$B$10:$B$12,0))="","Cell will autofill based on response",INDEX('SaSS'!$M$10:$M$12,MATCH($F107,'SaSS'!$B$10:$B$12,0))),"N/A")</f>
        <v/>
      </c>
      <c r="AB107" s="50">
        <f>IFERROR(IF(INDEX('Indigenous'!$M$10:$M$11,MATCH($F107,'Indigenous'!$B$10:$B$11,0))="","Cell will autofill based on response",INDEX('Indigenous'!$M$10:$M$11,MATCH($F107,'Indigenous'!$B$10:$B$11,0))),"N/A")</f>
        <v/>
      </c>
      <c r="AC107" s="50">
        <f>IFERROR(IF(INDEX('L&amp;R'!$M$10:$M$11,MATCH($F107,'L&amp;R'!$B$10:$B$11,0))="","Cell will autofill based on response",INDEX('L&amp;R'!$M$10:$M$11,MATCH($F107,'L&amp;R'!$B$10:$B$11,0))),"N/A")</f>
        <v/>
      </c>
    </row>
    <row r="108" ht="22" customHeight="1">
      <c r="A108">
        <f>F108&amp;"|"&amp;G108</f>
        <v/>
      </c>
      <c r="B108" s="12" t="inlineStr"/>
      <c r="C108" s="7" t="inlineStr"/>
      <c r="D108" s="7" t="inlineStr"/>
      <c r="E108" s="7" t="inlineStr"/>
      <c r="F108" s="7" t="inlineStr">
        <is>
          <t>NB1(b)</t>
        </is>
      </c>
      <c r="G108" s="7" t="inlineStr">
        <is>
          <t>Supporting information/comments</t>
        </is>
      </c>
      <c r="H108" s="50">
        <f>IFERROR(IF(INDEX('Faculties'!$N$10:$N$18,MATCH($F108,'Faculties'!$B$10:$B$18,0))="","Cell will autofill based on response",INDEX('Faculties'!$N$10:$N$18,MATCH($F108,'Faculties'!$B$10:$B$18,0))),"N/A")</f>
        <v/>
      </c>
      <c r="I108" s="50">
        <f>IFERROR(IF(INDEX('Faculties'!$N$25:$N$34,MATCH($F108,'Faculties'!$B$25:$B$34,0))="","Cell will autofill based on response",INDEX('Faculties'!$N$25:$N$34,MATCH($F108,'Faculties'!$B$25:$B$34,0))),"N/A")</f>
        <v/>
      </c>
      <c r="J108" s="50">
        <f>IFERROR(IF(INDEX('Faculties'!$N$41:$N$50,MATCH($F108,'Faculties'!$B$41:$B$50,0))="","Cell will autofill based on response",INDEX('Faculties'!$N$41:$N$50,MATCH($F108,'Faculties'!$B$41:$B$50,0))),"N/A")</f>
        <v/>
      </c>
      <c r="K108" s="50">
        <f>IFERROR(IF(INDEX('Faculties'!$N$57:$N$66,MATCH($F108,'Faculties'!$B$57:$B$66,0))="","Cell will autofill based on response",INDEX('Faculties'!$N$57:$N$66,MATCH($F108,'Faculties'!$B$57:$B$66,0))),"N/A")</f>
        <v/>
      </c>
      <c r="L108" s="50">
        <f>IFERROR(IF(INDEX('Faculties'!$N$73:$N$82,MATCH($F108,'Faculties'!$B$73:$B$82,0))="","Cell will autofill based on response",INDEX('Faculties'!$N$73:$N$82,MATCH($F108,'Faculties'!$B$73:$B$82,0))),"N/A")</f>
        <v/>
      </c>
      <c r="M108" s="50">
        <f>IFERROR(IF(INDEX('Faculties'!$N$89:$N$98,MATCH($F108,'Faculties'!$B$89:$B$98,0))="","Cell will autofill based on response",INDEX('Faculties'!$N$89:$N$98,MATCH($F108,'Faculties'!$B$89:$B$98,0))),"N/A")</f>
        <v/>
      </c>
      <c r="N108" s="50">
        <f>IFERROR(IF(INDEX('Faculties'!$N$105:$N$114,MATCH($F108,'Faculties'!$B$105:$B$114,0))="","Cell will autofill based on response",INDEX('Faculties'!$N$105:$N$114,MATCH($F108,'Faculties'!$B$105:$B$114,0))),"N/A")</f>
        <v/>
      </c>
      <c r="O108" s="50">
        <f>IFERROR(IF(INDEX('Faculties'!$N$121:$N$130,MATCH($F108,'Faculties'!$B$121:$B$130,0))="","Cell will autofill based on response",INDEX('Faculties'!$N$121:$N$130,MATCH($F108,'Faculties'!$B$121:$B$130,0))),"N/A")</f>
        <v/>
      </c>
      <c r="P108" s="50">
        <f>IFERROR(IF(INDEX('Faculties'!$N$137:$N$146,MATCH($F108,'Faculties'!$B$137:$B$146,0))="","Cell will autofill based on response",INDEX('Faculties'!$N$137:$N$146,MATCH($F108,'Faculties'!$B$137:$B$146,0))),"N/A")</f>
        <v/>
      </c>
      <c r="Q108" s="50">
        <f>IFERROR(IF(INDEX('CI&amp;S'!$N$10:$N$15,MATCH($F108,'CI&amp;S'!$B$10:$B$15,0))="","Cell will autofill based on response",INDEX('CI&amp;S'!$N$10:$N$15,MATCH($F108,'CI&amp;S'!$B$10:$B$15,0))),"N/A")</f>
        <v/>
      </c>
      <c r="R108" s="50">
        <f>IFERROR(IF(INDEX('CI&amp;S'!$N$22:$N$36,MATCH($F108,'CI&amp;S'!$B$22:$B$36,0))="","Cell will autofill based on response",INDEX('CI&amp;S'!$N$22:$N$36,MATCH($F108,'CI&amp;S'!$B$22:$B$36,0))),"N/A")</f>
        <v/>
      </c>
      <c r="S108" s="50">
        <f>IFERROR(IF(INDEX('CFOG'!$N$10:$N$16,MATCH($F108,'CFOG'!$B$10:$B$16,0))="","Cell will autofill based on response",INDEX('CFOG'!$N$10:$N$16,MATCH($F108,'CFOG'!$B$10:$B$16,0))),"N/A")</f>
        <v/>
      </c>
      <c r="T108" s="50">
        <f>IFERROR(IF(INDEX('CFOG'!$N$23:$N$24,MATCH($F108,'CFOG'!$B$23:$B$24,0))="","Cell will autofill based on response",INDEX('CFOG'!$N$23:$N$24,MATCH($F108,'CFOG'!$B$23:$B$24,0))),"N/A")</f>
        <v/>
      </c>
      <c r="U108" s="50">
        <f>IFERROR(IF(INDEX('ESG'!$N$10:$N$17,MATCH($F108,'ESG'!$B$10:$B$17,0))="","Cell will autofill based on response",INDEX('ESG'!$N$10:$N$17,MATCH($F108,'ESG'!$B$10:$B$17,0))),"N/A")</f>
        <v/>
      </c>
      <c r="V108" s="50">
        <f>IFERROR(IF(INDEX('CIOG'!$N$10:$N$14,MATCH($F108,'CIOG'!$B$10:$B$14,0))="","Cell will autofill based on response",INDEX('CIOG'!$N$10:$N$14,MATCH($F108,'CIOG'!$B$10:$B$14,0))),"N/A")</f>
        <v/>
      </c>
      <c r="W108" s="50">
        <f>IFERROR(IF(INDEX('MRE'!$N$10:$N$18,MATCH($F108,'MRE'!$B$10:$B$18,0))="","Cell will autofill based on response",INDEX('MRE'!$N$10:$N$18,MATCH($F108,'MRE'!$B$10:$B$18,0))),"N/A")</f>
        <v/>
      </c>
      <c r="X108" s="50">
        <f>IFERROR(IF(INDEX('AC&amp;M'!$N$10:$N$14,MATCH($F108,'AC&amp;M'!$B$10:$B$14,0))="","Cell will autofill based on response",INDEX('AC&amp;M'!$N$10:$N$14,MATCH($F108,'AC&amp;M'!$B$10:$B$14,0))),"N/A")</f>
        <v/>
      </c>
      <c r="Y108" s="50">
        <f>IFERROR(IF(INDEX('GCE'!$N$10:$N$12,MATCH($F108,'GCE'!$B$10:$B$12,0))="","Cell will autofill based on response",INDEX('GCE'!$N$10:$N$12,MATCH($F108,'GCE'!$B$10:$B$12,0))),"N/A")</f>
        <v/>
      </c>
      <c r="Z108" s="50">
        <f>IFERROR(IF(INDEX('Education'!$N$10:$N$13,MATCH($F108,'Education'!$B$10:$B$13,0))="","Cell will autofill based on response",INDEX('Education'!$N$10:$N$13,MATCH($F108,'Education'!$B$10:$B$13,0))),"N/A")</f>
        <v/>
      </c>
      <c r="AA108" s="50">
        <f>IFERROR(IF(INDEX('SaSS'!$N$10:$N$12,MATCH($F108,'SaSS'!$B$10:$B$12,0))="","Cell will autofill based on response",INDEX('SaSS'!$N$10:$N$12,MATCH($F108,'SaSS'!$B$10:$B$12,0))),"N/A")</f>
        <v/>
      </c>
      <c r="AB108" s="50">
        <f>IFERROR(IF(INDEX('Indigenous'!$N$10:$N$11,MATCH($F108,'Indigenous'!$B$10:$B$11,0))="","Cell will autofill based on response",INDEX('Indigenous'!$N$10:$N$11,MATCH($F108,'Indigenous'!$B$10:$B$11,0))),"N/A")</f>
        <v/>
      </c>
      <c r="AC108" s="50">
        <f>IFERROR(IF(INDEX('L&amp;R'!$N$10:$N$11,MATCH($F108,'L&amp;R'!$B$10:$B$11,0))="","Cell will autofill based on response",INDEX('L&amp;R'!$N$10:$N$11,MATCH($F108,'L&amp;R'!$B$10:$B$11,0))),"N/A")</f>
        <v/>
      </c>
    </row>
    <row r="109" ht="22" customHeight="1">
      <c r="A109">
        <f>F109&amp;"|"&amp;G109</f>
        <v/>
      </c>
      <c r="B109" s="12" t="inlineStr"/>
      <c r="C109" s="7" t="inlineStr"/>
      <c r="D109" s="7" t="inlineStr"/>
      <c r="E109" s="7" t="inlineStr"/>
      <c r="F109" s="7" t="inlineStr">
        <is>
          <t>NB1(b)</t>
        </is>
      </c>
      <c r="G109" s="7" t="inlineStr">
        <is>
          <t>Data source and limitations</t>
        </is>
      </c>
      <c r="H109" s="50">
        <f>IFERROR(IF(INDEX('Faculties'!$O$10:$O$18,MATCH($F109,'Faculties'!$B$10:$B$18,0))="","Cell will autofill based on response",INDEX('Faculties'!$O$10:$O$18,MATCH($F109,'Faculties'!$B$10:$B$18,0))),"N/A")</f>
        <v/>
      </c>
      <c r="I109" s="50">
        <f>IFERROR(IF(INDEX('Faculties'!$O$25:$O$34,MATCH($F109,'Faculties'!$B$25:$B$34,0))="","Cell will autofill based on response",INDEX('Faculties'!$O$25:$O$34,MATCH($F109,'Faculties'!$B$25:$B$34,0))),"N/A")</f>
        <v/>
      </c>
      <c r="J109" s="50">
        <f>IFERROR(IF(INDEX('Faculties'!$O$41:$O$50,MATCH($F109,'Faculties'!$B$41:$B$50,0))="","Cell will autofill based on response",INDEX('Faculties'!$O$41:$O$50,MATCH($F109,'Faculties'!$B$41:$B$50,0))),"N/A")</f>
        <v/>
      </c>
      <c r="K109" s="50">
        <f>IFERROR(IF(INDEX('Faculties'!$O$57:$O$66,MATCH($F109,'Faculties'!$B$57:$B$66,0))="","Cell will autofill based on response",INDEX('Faculties'!$O$57:$O$66,MATCH($F109,'Faculties'!$B$57:$B$66,0))),"N/A")</f>
        <v/>
      </c>
      <c r="L109" s="50">
        <f>IFERROR(IF(INDEX('Faculties'!$O$73:$O$82,MATCH($F109,'Faculties'!$B$73:$B$82,0))="","Cell will autofill based on response",INDEX('Faculties'!$O$73:$O$82,MATCH($F109,'Faculties'!$B$73:$B$82,0))),"N/A")</f>
        <v/>
      </c>
      <c r="M109" s="50">
        <f>IFERROR(IF(INDEX('Faculties'!$O$89:$O$98,MATCH($F109,'Faculties'!$B$89:$B$98,0))="","Cell will autofill based on response",INDEX('Faculties'!$O$89:$O$98,MATCH($F109,'Faculties'!$B$89:$B$98,0))),"N/A")</f>
        <v/>
      </c>
      <c r="N109" s="50">
        <f>IFERROR(IF(INDEX('Faculties'!$O$105:$O$114,MATCH($F109,'Faculties'!$B$105:$B$114,0))="","Cell will autofill based on response",INDEX('Faculties'!$O$105:$O$114,MATCH($F109,'Faculties'!$B$105:$B$114,0))),"N/A")</f>
        <v/>
      </c>
      <c r="O109" s="50">
        <f>IFERROR(IF(INDEX('Faculties'!$O$121:$O$130,MATCH($F109,'Faculties'!$B$121:$B$130,0))="","Cell will autofill based on response",INDEX('Faculties'!$O$121:$O$130,MATCH($F109,'Faculties'!$B$121:$B$130,0))),"N/A")</f>
        <v/>
      </c>
      <c r="P109" s="50">
        <f>IFERROR(IF(INDEX('Faculties'!$O$137:$O$146,MATCH($F109,'Faculties'!$B$137:$B$146,0))="","Cell will autofill based on response",INDEX('Faculties'!$O$137:$O$146,MATCH($F109,'Faculties'!$B$137:$B$146,0))),"N/A")</f>
        <v/>
      </c>
      <c r="Q109" s="50">
        <f>IFERROR(IF(INDEX('CI&amp;S'!$O$10:$O$15,MATCH($F109,'CI&amp;S'!$B$10:$B$15,0))="","Cell will autofill based on response",INDEX('CI&amp;S'!$O$10:$O$15,MATCH($F109,'CI&amp;S'!$B$10:$B$15,0))),"N/A")</f>
        <v/>
      </c>
      <c r="R109" s="50">
        <f>IFERROR(IF(INDEX('CI&amp;S'!$O$22:$O$36,MATCH($F109,'CI&amp;S'!$B$22:$B$36,0))="","Cell will autofill based on response",INDEX('CI&amp;S'!$O$22:$O$36,MATCH($F109,'CI&amp;S'!$B$22:$B$36,0))),"N/A")</f>
        <v/>
      </c>
      <c r="S109" s="50">
        <f>IFERROR(IF(INDEX('CFOG'!$O$10:$O$16,MATCH($F109,'CFOG'!$B$10:$B$16,0))="","Cell will autofill based on response",INDEX('CFOG'!$O$10:$O$16,MATCH($F109,'CFOG'!$B$10:$B$16,0))),"N/A")</f>
        <v/>
      </c>
      <c r="T109" s="50">
        <f>IFERROR(IF(INDEX('CFOG'!$O$23:$O$24,MATCH($F109,'CFOG'!$B$23:$B$24,0))="","Cell will autofill based on response",INDEX('CFOG'!$O$23:$O$24,MATCH($F109,'CFOG'!$B$23:$B$24,0))),"N/A")</f>
        <v/>
      </c>
      <c r="U109" s="50">
        <f>IFERROR(IF(INDEX('ESG'!$O$10:$O$17,MATCH($F109,'ESG'!$B$10:$B$17,0))="","Cell will autofill based on response",INDEX('ESG'!$O$10:$O$17,MATCH($F109,'ESG'!$B$10:$B$17,0))),"N/A")</f>
        <v/>
      </c>
      <c r="V109" s="50">
        <f>IFERROR(IF(INDEX('CIOG'!$O$10:$O$14,MATCH($F109,'CIOG'!$B$10:$B$14,0))="","Cell will autofill based on response",INDEX('CIOG'!$O$10:$O$14,MATCH($F109,'CIOG'!$B$10:$B$14,0))),"N/A")</f>
        <v/>
      </c>
      <c r="W109" s="50">
        <f>IFERROR(IF(INDEX('MRE'!$O$10:$O$18,MATCH($F109,'MRE'!$B$10:$B$18,0))="","Cell will autofill based on response",INDEX('MRE'!$O$10:$O$18,MATCH($F109,'MRE'!$B$10:$B$18,0))),"N/A")</f>
        <v/>
      </c>
      <c r="X109" s="50">
        <f>IFERROR(IF(INDEX('AC&amp;M'!$O$10:$O$14,MATCH($F109,'AC&amp;M'!$B$10:$B$14,0))="","Cell will autofill based on response",INDEX('AC&amp;M'!$O$10:$O$14,MATCH($F109,'AC&amp;M'!$B$10:$B$14,0))),"N/A")</f>
        <v/>
      </c>
      <c r="Y109" s="50">
        <f>IFERROR(IF(INDEX('GCE'!$O$10:$O$12,MATCH($F109,'GCE'!$B$10:$B$12,0))="","Cell will autofill based on response",INDEX('GCE'!$O$10:$O$12,MATCH($F109,'GCE'!$B$10:$B$12,0))),"N/A")</f>
        <v/>
      </c>
      <c r="Z109" s="50">
        <f>IFERROR(IF(INDEX('Education'!$O$10:$O$13,MATCH($F109,'Education'!$B$10:$B$13,0))="","Cell will autofill based on response",INDEX('Education'!$O$10:$O$13,MATCH($F109,'Education'!$B$10:$B$13,0))),"N/A")</f>
        <v/>
      </c>
      <c r="AA109" s="50">
        <f>IFERROR(IF(INDEX('SaSS'!$O$10:$O$12,MATCH($F109,'SaSS'!$B$10:$B$12,0))="","Cell will autofill based on response",INDEX('SaSS'!$O$10:$O$12,MATCH($F109,'SaSS'!$B$10:$B$12,0))),"N/A")</f>
        <v/>
      </c>
      <c r="AB109" s="50">
        <f>IFERROR(IF(INDEX('Indigenous'!$O$10:$O$11,MATCH($F109,'Indigenous'!$B$10:$B$11,0))="","Cell will autofill based on response",INDEX('Indigenous'!$O$10:$O$11,MATCH($F109,'Indigenous'!$B$10:$B$11,0))),"N/A")</f>
        <v/>
      </c>
      <c r="AC109" s="50">
        <f>IFERROR(IF(INDEX('L&amp;R'!$O$10:$O$11,MATCH($F109,'L&amp;R'!$B$10:$B$11,0))="","Cell will autofill based on response",INDEX('L&amp;R'!$O$10:$O$11,MATCH($F109,'L&amp;R'!$B$10:$B$11,0))),"N/A")</f>
        <v/>
      </c>
    </row>
    <row r="110" ht="22" customHeight="1">
      <c r="A110">
        <f>F110&amp;"|"&amp;G110</f>
        <v/>
      </c>
      <c r="B110" s="12" t="inlineStr"/>
      <c r="C110" s="7" t="inlineStr"/>
      <c r="D110" s="7" t="inlineStr"/>
      <c r="E110" s="7" t="inlineStr"/>
      <c r="F110" s="7" t="inlineStr">
        <is>
          <t>NB1(b)</t>
        </is>
      </c>
      <c r="G110" s="7" t="inlineStr">
        <is>
          <t>Data owner confirms</t>
        </is>
      </c>
      <c r="H110" s="50">
        <f>IFERROR(IF(INDEX('Faculties'!$P$10:$P$18,MATCH($F110,'Faculties'!$B$10:$B$18,0))="","Cell will autofill based on response",INDEX('Faculties'!$P$10:$P$18,MATCH($F110,'Faculties'!$B$10:$B$18,0))),"N/A")</f>
        <v/>
      </c>
      <c r="I110" s="50">
        <f>IFERROR(IF(INDEX('Faculties'!$P$25:$P$34,MATCH($F110,'Faculties'!$B$25:$B$34,0))="","Cell will autofill based on response",INDEX('Faculties'!$P$25:$P$34,MATCH($F110,'Faculties'!$B$25:$B$34,0))),"N/A")</f>
        <v/>
      </c>
      <c r="J110" s="50">
        <f>IFERROR(IF(INDEX('Faculties'!$P$41:$P$50,MATCH($F110,'Faculties'!$B$41:$B$50,0))="","Cell will autofill based on response",INDEX('Faculties'!$P$41:$P$50,MATCH($F110,'Faculties'!$B$41:$B$50,0))),"N/A")</f>
        <v/>
      </c>
      <c r="K110" s="50">
        <f>IFERROR(IF(INDEX('Faculties'!$P$57:$P$66,MATCH($F110,'Faculties'!$B$57:$B$66,0))="","Cell will autofill based on response",INDEX('Faculties'!$P$57:$P$66,MATCH($F110,'Faculties'!$B$57:$B$66,0))),"N/A")</f>
        <v/>
      </c>
      <c r="L110" s="50">
        <f>IFERROR(IF(INDEX('Faculties'!$P$73:$P$82,MATCH($F110,'Faculties'!$B$73:$B$82,0))="","Cell will autofill based on response",INDEX('Faculties'!$P$73:$P$82,MATCH($F110,'Faculties'!$B$73:$B$82,0))),"N/A")</f>
        <v/>
      </c>
      <c r="M110" s="50">
        <f>IFERROR(IF(INDEX('Faculties'!$P$89:$P$98,MATCH($F110,'Faculties'!$B$89:$B$98,0))="","Cell will autofill based on response",INDEX('Faculties'!$P$89:$P$98,MATCH($F110,'Faculties'!$B$89:$B$98,0))),"N/A")</f>
        <v/>
      </c>
      <c r="N110" s="50">
        <f>IFERROR(IF(INDEX('Faculties'!$P$105:$P$114,MATCH($F110,'Faculties'!$B$105:$B$114,0))="","Cell will autofill based on response",INDEX('Faculties'!$P$105:$P$114,MATCH($F110,'Faculties'!$B$105:$B$114,0))),"N/A")</f>
        <v/>
      </c>
      <c r="O110" s="50">
        <f>IFERROR(IF(INDEX('Faculties'!$P$121:$P$130,MATCH($F110,'Faculties'!$B$121:$B$130,0))="","Cell will autofill based on response",INDEX('Faculties'!$P$121:$P$130,MATCH($F110,'Faculties'!$B$121:$B$130,0))),"N/A")</f>
        <v/>
      </c>
      <c r="P110" s="50">
        <f>IFERROR(IF(INDEX('Faculties'!$P$137:$P$146,MATCH($F110,'Faculties'!$B$137:$B$146,0))="","Cell will autofill based on response",INDEX('Faculties'!$P$137:$P$146,MATCH($F110,'Faculties'!$B$137:$B$146,0))),"N/A")</f>
        <v/>
      </c>
      <c r="Q110" s="50">
        <f>IFERROR(IF(INDEX('CI&amp;S'!$P$10:$P$15,MATCH($F110,'CI&amp;S'!$B$10:$B$15,0))="","Cell will autofill based on response",INDEX('CI&amp;S'!$P$10:$P$15,MATCH($F110,'CI&amp;S'!$B$10:$B$15,0))),"N/A")</f>
        <v/>
      </c>
      <c r="R110" s="50">
        <f>IFERROR(IF(INDEX('CI&amp;S'!$P$22:$P$36,MATCH($F110,'CI&amp;S'!$B$22:$B$36,0))="","Cell will autofill based on response",INDEX('CI&amp;S'!$P$22:$P$36,MATCH($F110,'CI&amp;S'!$B$22:$B$36,0))),"N/A")</f>
        <v/>
      </c>
      <c r="S110" s="50">
        <f>IFERROR(IF(INDEX('CFOG'!$P$10:$P$16,MATCH($F110,'CFOG'!$B$10:$B$16,0))="","Cell will autofill based on response",INDEX('CFOG'!$P$10:$P$16,MATCH($F110,'CFOG'!$B$10:$B$16,0))),"N/A")</f>
        <v/>
      </c>
      <c r="T110" s="50">
        <f>IFERROR(IF(INDEX('CFOG'!$P$23:$P$24,MATCH($F110,'CFOG'!$B$23:$B$24,0))="","Cell will autofill based on response",INDEX('CFOG'!$P$23:$P$24,MATCH($F110,'CFOG'!$B$23:$B$24,0))),"N/A")</f>
        <v/>
      </c>
      <c r="U110" s="50">
        <f>IFERROR(IF(INDEX('ESG'!$P$10:$P$17,MATCH($F110,'ESG'!$B$10:$B$17,0))="","Cell will autofill based on response",INDEX('ESG'!$P$10:$P$17,MATCH($F110,'ESG'!$B$10:$B$17,0))),"N/A")</f>
        <v/>
      </c>
      <c r="V110" s="50">
        <f>IFERROR(IF(INDEX('CIOG'!$P$10:$P$14,MATCH($F110,'CIOG'!$B$10:$B$14,0))="","Cell will autofill based on response",INDEX('CIOG'!$P$10:$P$14,MATCH($F110,'CIOG'!$B$10:$B$14,0))),"N/A")</f>
        <v/>
      </c>
      <c r="W110" s="50">
        <f>IFERROR(IF(INDEX('MRE'!$P$10:$P$18,MATCH($F110,'MRE'!$B$10:$B$18,0))="","Cell will autofill based on response",INDEX('MRE'!$P$10:$P$18,MATCH($F110,'MRE'!$B$10:$B$18,0))),"N/A")</f>
        <v/>
      </c>
      <c r="X110" s="50">
        <f>IFERROR(IF(INDEX('AC&amp;M'!$P$10:$P$14,MATCH($F110,'AC&amp;M'!$B$10:$B$14,0))="","Cell will autofill based on response",INDEX('AC&amp;M'!$P$10:$P$14,MATCH($F110,'AC&amp;M'!$B$10:$B$14,0))),"N/A")</f>
        <v/>
      </c>
      <c r="Y110" s="50">
        <f>IFERROR(IF(INDEX('GCE'!$P$10:$P$12,MATCH($F110,'GCE'!$B$10:$B$12,0))="","Cell will autofill based on response",INDEX('GCE'!$P$10:$P$12,MATCH($F110,'GCE'!$B$10:$B$12,0))),"N/A")</f>
        <v/>
      </c>
      <c r="Z110" s="50">
        <f>IFERROR(IF(INDEX('Education'!$P$10:$P$13,MATCH($F110,'Education'!$B$10:$B$13,0))="","Cell will autofill based on response",INDEX('Education'!$P$10:$P$13,MATCH($F110,'Education'!$B$10:$B$13,0))),"N/A")</f>
        <v/>
      </c>
      <c r="AA110" s="50">
        <f>IFERROR(IF(INDEX('SaSS'!$P$10:$P$12,MATCH($F110,'SaSS'!$B$10:$B$12,0))="","Cell will autofill based on response",INDEX('SaSS'!$P$10:$P$12,MATCH($F110,'SaSS'!$B$10:$B$12,0))),"N/A")</f>
        <v/>
      </c>
      <c r="AB110" s="50">
        <f>IFERROR(IF(INDEX('Indigenous'!$P$10:$P$11,MATCH($F110,'Indigenous'!$B$10:$B$11,0))="","Cell will autofill based on response",INDEX('Indigenous'!$P$10:$P$11,MATCH($F110,'Indigenous'!$B$10:$B$11,0))),"N/A")</f>
        <v/>
      </c>
      <c r="AC110" s="50">
        <f>IFERROR(IF(INDEX('L&amp;R'!$P$10:$P$11,MATCH($F110,'L&amp;R'!$B$10:$B$11,0))="","Cell will autofill based on response",INDEX('L&amp;R'!$P$10:$P$11,MATCH($F110,'L&amp;R'!$B$10:$B$11,0))),"N/A")</f>
        <v/>
      </c>
    </row>
    <row r="111" ht="39" customHeight="1">
      <c r="A111">
        <f>F111&amp;"|"&amp;G111</f>
        <v/>
      </c>
      <c r="B111" s="6" t="inlineStr">
        <is>
          <t>NB1(c)</t>
        </is>
      </c>
      <c r="C111" s="48" t="inlineStr">
        <is>
          <t>Nature and biodiversity</t>
        </is>
      </c>
      <c r="D111" s="48" t="inlineStr">
        <is>
          <t>Defined quality measurement framework</t>
        </is>
      </c>
      <c r="E111" s="48" t="inlineStr"/>
      <c r="F111" s="48" t="inlineStr">
        <is>
          <t>NB1(c)</t>
        </is>
      </c>
      <c r="G111" s="48" t="inlineStr">
        <is>
          <t>OPTION 1:  Target-level reporting</t>
        </is>
      </c>
      <c r="H111" s="50">
        <f>IFERROR(IF(INDEX('Faculties'!$L$10:$L$18,MATCH($F111,'Faculties'!$B$10:$B$18,0))="","Cell will autofill based on response",INDEX('Faculties'!$L$10:$L$18,MATCH($F111,'Faculties'!$B$10:$B$18,0))),"N/A")</f>
        <v/>
      </c>
      <c r="I111" s="50">
        <f>IFERROR(IF(INDEX('Faculties'!$L$25:$L$34,MATCH($F111,'Faculties'!$B$25:$B$34,0))="","Cell will autofill based on response",INDEX('Faculties'!$L$25:$L$34,MATCH($F111,'Faculties'!$B$25:$B$34,0))),"N/A")</f>
        <v/>
      </c>
      <c r="J111" s="50">
        <f>IFERROR(IF(INDEX('Faculties'!$L$41:$L$50,MATCH($F111,'Faculties'!$B$41:$B$50,0))="","Cell will autofill based on response",INDEX('Faculties'!$L$41:$L$50,MATCH($F111,'Faculties'!$B$41:$B$50,0))),"N/A")</f>
        <v/>
      </c>
      <c r="K111" s="50">
        <f>IFERROR(IF(INDEX('Faculties'!$L$57:$L$66,MATCH($F111,'Faculties'!$B$57:$B$66,0))="","Cell will autofill based on response",INDEX('Faculties'!$L$57:$L$66,MATCH($F111,'Faculties'!$B$57:$B$66,0))),"N/A")</f>
        <v/>
      </c>
      <c r="L111" s="50">
        <f>IFERROR(IF(INDEX('Faculties'!$L$73:$L$82,MATCH($F111,'Faculties'!$B$73:$B$82,0))="","Cell will autofill based on response",INDEX('Faculties'!$L$73:$L$82,MATCH($F111,'Faculties'!$B$73:$B$82,0))),"N/A")</f>
        <v/>
      </c>
      <c r="M111" s="50">
        <f>IFERROR(IF(INDEX('Faculties'!$L$89:$L$98,MATCH($F111,'Faculties'!$B$89:$B$98,0))="","Cell will autofill based on response",INDEX('Faculties'!$L$89:$L$98,MATCH($F111,'Faculties'!$B$89:$B$98,0))),"N/A")</f>
        <v/>
      </c>
      <c r="N111" s="50">
        <f>IFERROR(IF(INDEX('Faculties'!$L$105:$L$114,MATCH($F111,'Faculties'!$B$105:$B$114,0))="","Cell will autofill based on response",INDEX('Faculties'!$L$105:$L$114,MATCH($F111,'Faculties'!$B$105:$B$114,0))),"N/A")</f>
        <v/>
      </c>
      <c r="O111" s="50">
        <f>IFERROR(IF(INDEX('Faculties'!$L$121:$L$130,MATCH($F111,'Faculties'!$B$121:$B$130,0))="","Cell will autofill based on response",INDEX('Faculties'!$L$121:$L$130,MATCH($F111,'Faculties'!$B$121:$B$130,0))),"N/A")</f>
        <v/>
      </c>
      <c r="P111" s="50">
        <f>IFERROR(IF(INDEX('Faculties'!$L$137:$L$146,MATCH($F111,'Faculties'!$B$137:$B$146,0))="","Cell will autofill based on response",INDEX('Faculties'!$L$137:$L$146,MATCH($F111,'Faculties'!$B$137:$B$146,0))),"N/A")</f>
        <v/>
      </c>
      <c r="Q111" s="50">
        <f>IFERROR(IF(INDEX('CI&amp;S'!$L$10:$L$15,MATCH($F111,'CI&amp;S'!$B$10:$B$15,0))="","Cell will autofill based on response",INDEX('CI&amp;S'!$L$10:$L$15,MATCH($F111,'CI&amp;S'!$B$10:$B$15,0))),"N/A")</f>
        <v/>
      </c>
      <c r="R111" s="50">
        <f>IFERROR(IF(INDEX('CI&amp;S'!$L$22:$L$36,MATCH($F111,'CI&amp;S'!$B$22:$B$36,0))="","Cell will autofill based on response",INDEX('CI&amp;S'!$L$22:$L$36,MATCH($F111,'CI&amp;S'!$B$22:$B$36,0))),"N/A")</f>
        <v/>
      </c>
      <c r="S111" s="50">
        <f>IFERROR(IF(INDEX('CFOG'!$L$10:$L$16,MATCH($F111,'CFOG'!$B$10:$B$16,0))="","Cell will autofill based on response",INDEX('CFOG'!$L$10:$L$16,MATCH($F111,'CFOG'!$B$10:$B$16,0))),"N/A")</f>
        <v/>
      </c>
      <c r="T111" s="50">
        <f>IFERROR(IF(INDEX('CFOG'!$L$23:$L$24,MATCH($F111,'CFOG'!$B$23:$B$24,0))="","Cell will autofill based on response",INDEX('CFOG'!$L$23:$L$24,MATCH($F111,'CFOG'!$B$23:$B$24,0))),"N/A")</f>
        <v/>
      </c>
      <c r="U111" s="50">
        <f>IFERROR(IF(INDEX('ESG'!$L$10:$L$17,MATCH($F111,'ESG'!$B$10:$B$17,0))="","Cell will autofill based on response",INDEX('ESG'!$L$10:$L$17,MATCH($F111,'ESG'!$B$10:$B$17,0))),"N/A")</f>
        <v/>
      </c>
      <c r="V111" s="50">
        <f>IFERROR(IF(INDEX('CIOG'!$L$10:$L$14,MATCH($F111,'CIOG'!$B$10:$B$14,0))="","Cell will autofill based on response",INDEX('CIOG'!$L$10:$L$14,MATCH($F111,'CIOG'!$B$10:$B$14,0))),"N/A")</f>
        <v/>
      </c>
      <c r="W111" s="50">
        <f>IFERROR(IF(INDEX('MRE'!$L$10:$L$18,MATCH($F111,'MRE'!$B$10:$B$18,0))="","Cell will autofill based on response",INDEX('MRE'!$L$10:$L$18,MATCH($F111,'MRE'!$B$10:$B$18,0))),"N/A")</f>
        <v/>
      </c>
      <c r="X111" s="50">
        <f>IFERROR(IF(INDEX('AC&amp;M'!$L$10:$L$14,MATCH($F111,'AC&amp;M'!$B$10:$B$14,0))="","Cell will autofill based on response",INDEX('AC&amp;M'!$L$10:$L$14,MATCH($F111,'AC&amp;M'!$B$10:$B$14,0))),"N/A")</f>
        <v/>
      </c>
      <c r="Y111" s="50">
        <f>IFERROR(IF(INDEX('GCE'!$L$10:$L$12,MATCH($F111,'GCE'!$B$10:$B$12,0))="","Cell will autofill based on response",INDEX('GCE'!$L$10:$L$12,MATCH($F111,'GCE'!$B$10:$B$12,0))),"N/A")</f>
        <v/>
      </c>
      <c r="Z111" s="50">
        <f>IFERROR(IF(INDEX('Education'!$L$10:$L$13,MATCH($F111,'Education'!$B$10:$B$13,0))="","Cell will autofill based on response",INDEX('Education'!$L$10:$L$13,MATCH($F111,'Education'!$B$10:$B$13,0))),"N/A")</f>
        <v/>
      </c>
      <c r="AA111" s="50">
        <f>IFERROR(IF(INDEX('SaSS'!$L$10:$L$12,MATCH($F111,'SaSS'!$B$10:$B$12,0))="","Cell will autofill based on response",INDEX('SaSS'!$L$10:$L$12,MATCH($F111,'SaSS'!$B$10:$B$12,0))),"N/A")</f>
        <v/>
      </c>
      <c r="AB111" s="50">
        <f>IFERROR(IF(INDEX('Indigenous'!$L$10:$L$11,MATCH($F111,'Indigenous'!$B$10:$B$11,0))="","Cell will autofill based on response",INDEX('Indigenous'!$L$10:$L$11,MATCH($F111,'Indigenous'!$B$10:$B$11,0))),"N/A")</f>
        <v/>
      </c>
      <c r="AC111" s="50">
        <f>IFERROR(IF(INDEX('L&amp;R'!$L$10:$L$11,MATCH($F111,'L&amp;R'!$B$10:$B$11,0))="","Cell will autofill based on response",INDEX('L&amp;R'!$L$10:$L$11,MATCH($F111,'L&amp;R'!$B$10:$B$11,0))),"N/A")</f>
        <v/>
      </c>
      <c r="AE111" s="9">
        <f>SUMPRODUCT(--($H111:$AC111&lt;&gt;"N/A"))</f>
        <v/>
      </c>
      <c r="AF111" s="9">
        <f>SUMPRODUCT(--(((($H111:$AC111&lt;&gt;"N/A")*($H111:$AC111&lt;&gt;"Cell will autofill based on response"))+(($H112:$AC112&lt;&gt;"N/A")*($H112:$AC112&lt;&gt;"Cell will autofill based on response")))&gt;0))</f>
        <v/>
      </c>
      <c r="AG111" s="9">
        <f>AE111-AF111</f>
        <v/>
      </c>
      <c r="AH111" s="9">
        <f>COUNTIF($H115:$AC115,"Yes")</f>
        <v/>
      </c>
    </row>
    <row r="112" ht="39" customHeight="1">
      <c r="A112">
        <f>F112&amp;"|"&amp;G112</f>
        <v/>
      </c>
      <c r="B112" s="12" t="inlineStr"/>
      <c r="C112" s="7" t="inlineStr"/>
      <c r="D112" s="7" t="inlineStr"/>
      <c r="E112" s="7" t="inlineStr"/>
      <c r="F112" s="7" t="inlineStr">
        <is>
          <t>NB1(c)</t>
        </is>
      </c>
      <c r="G112" s="7" t="inlineStr">
        <is>
          <t>OPTION 2:  Indicator level reporting</t>
        </is>
      </c>
      <c r="H112" s="50">
        <f>IFERROR(IF(INDEX('Faculties'!$M$10:$M$18,MATCH($F112,'Faculties'!$B$10:$B$18,0))="","Cell will autofill based on response",INDEX('Faculties'!$M$10:$M$18,MATCH($F112,'Faculties'!$B$10:$B$18,0))),"N/A")</f>
        <v/>
      </c>
      <c r="I112" s="50">
        <f>IFERROR(IF(INDEX('Faculties'!$M$25:$M$34,MATCH($F112,'Faculties'!$B$25:$B$34,0))="","Cell will autofill based on response",INDEX('Faculties'!$M$25:$M$34,MATCH($F112,'Faculties'!$B$25:$B$34,0))),"N/A")</f>
        <v/>
      </c>
      <c r="J112" s="50">
        <f>IFERROR(IF(INDEX('Faculties'!$M$41:$M$50,MATCH($F112,'Faculties'!$B$41:$B$50,0))="","Cell will autofill based on response",INDEX('Faculties'!$M$41:$M$50,MATCH($F112,'Faculties'!$B$41:$B$50,0))),"N/A")</f>
        <v/>
      </c>
      <c r="K112" s="50">
        <f>IFERROR(IF(INDEX('Faculties'!$M$57:$M$66,MATCH($F112,'Faculties'!$B$57:$B$66,0))="","Cell will autofill based on response",INDEX('Faculties'!$M$57:$M$66,MATCH($F112,'Faculties'!$B$57:$B$66,0))),"N/A")</f>
        <v/>
      </c>
      <c r="L112" s="50">
        <f>IFERROR(IF(INDEX('Faculties'!$M$73:$M$82,MATCH($F112,'Faculties'!$B$73:$B$82,0))="","Cell will autofill based on response",INDEX('Faculties'!$M$73:$M$82,MATCH($F112,'Faculties'!$B$73:$B$82,0))),"N/A")</f>
        <v/>
      </c>
      <c r="M112" s="50">
        <f>IFERROR(IF(INDEX('Faculties'!$M$89:$M$98,MATCH($F112,'Faculties'!$B$89:$B$98,0))="","Cell will autofill based on response",INDEX('Faculties'!$M$89:$M$98,MATCH($F112,'Faculties'!$B$89:$B$98,0))),"N/A")</f>
        <v/>
      </c>
      <c r="N112" s="50">
        <f>IFERROR(IF(INDEX('Faculties'!$M$105:$M$114,MATCH($F112,'Faculties'!$B$105:$B$114,0))="","Cell will autofill based on response",INDEX('Faculties'!$M$105:$M$114,MATCH($F112,'Faculties'!$B$105:$B$114,0))),"N/A")</f>
        <v/>
      </c>
      <c r="O112" s="50">
        <f>IFERROR(IF(INDEX('Faculties'!$M$121:$M$130,MATCH($F112,'Faculties'!$B$121:$B$130,0))="","Cell will autofill based on response",INDEX('Faculties'!$M$121:$M$130,MATCH($F112,'Faculties'!$B$121:$B$130,0))),"N/A")</f>
        <v/>
      </c>
      <c r="P112" s="50">
        <f>IFERROR(IF(INDEX('Faculties'!$M$137:$M$146,MATCH($F112,'Faculties'!$B$137:$B$146,0))="","Cell will autofill based on response",INDEX('Faculties'!$M$137:$M$146,MATCH($F112,'Faculties'!$B$137:$B$146,0))),"N/A")</f>
        <v/>
      </c>
      <c r="Q112" s="50">
        <f>IFERROR(IF(INDEX('CI&amp;S'!$M$10:$M$15,MATCH($F112,'CI&amp;S'!$B$10:$B$15,0))="","Cell will autofill based on response",INDEX('CI&amp;S'!$M$10:$M$15,MATCH($F112,'CI&amp;S'!$B$10:$B$15,0))),"N/A")</f>
        <v/>
      </c>
      <c r="R112" s="50">
        <f>IFERROR(IF(INDEX('CI&amp;S'!$M$22:$M$36,MATCH($F112,'CI&amp;S'!$B$22:$B$36,0))="","Cell will autofill based on response",INDEX('CI&amp;S'!$M$22:$M$36,MATCH($F112,'CI&amp;S'!$B$22:$B$36,0))),"N/A")</f>
        <v/>
      </c>
      <c r="S112" s="50">
        <f>IFERROR(IF(INDEX('CFOG'!$M$10:$M$16,MATCH($F112,'CFOG'!$B$10:$B$16,0))="","Cell will autofill based on response",INDEX('CFOG'!$M$10:$M$16,MATCH($F112,'CFOG'!$B$10:$B$16,0))),"N/A")</f>
        <v/>
      </c>
      <c r="T112" s="50">
        <f>IFERROR(IF(INDEX('CFOG'!$M$23:$M$24,MATCH($F112,'CFOG'!$B$23:$B$24,0))="","Cell will autofill based on response",INDEX('CFOG'!$M$23:$M$24,MATCH($F112,'CFOG'!$B$23:$B$24,0))),"N/A")</f>
        <v/>
      </c>
      <c r="U112" s="50">
        <f>IFERROR(IF(INDEX('ESG'!$M$10:$M$17,MATCH($F112,'ESG'!$B$10:$B$17,0))="","Cell will autofill based on response",INDEX('ESG'!$M$10:$M$17,MATCH($F112,'ESG'!$B$10:$B$17,0))),"N/A")</f>
        <v/>
      </c>
      <c r="V112" s="50">
        <f>IFERROR(IF(INDEX('CIOG'!$M$10:$M$14,MATCH($F112,'CIOG'!$B$10:$B$14,0))="","Cell will autofill based on response",INDEX('CIOG'!$M$10:$M$14,MATCH($F112,'CIOG'!$B$10:$B$14,0))),"N/A")</f>
        <v/>
      </c>
      <c r="W112" s="50">
        <f>IFERROR(IF(INDEX('MRE'!$M$10:$M$18,MATCH($F112,'MRE'!$B$10:$B$18,0))="","Cell will autofill based on response",INDEX('MRE'!$M$10:$M$18,MATCH($F112,'MRE'!$B$10:$B$18,0))),"N/A")</f>
        <v/>
      </c>
      <c r="X112" s="50">
        <f>IFERROR(IF(INDEX('AC&amp;M'!$M$10:$M$14,MATCH($F112,'AC&amp;M'!$B$10:$B$14,0))="","Cell will autofill based on response",INDEX('AC&amp;M'!$M$10:$M$14,MATCH($F112,'AC&amp;M'!$B$10:$B$14,0))),"N/A")</f>
        <v/>
      </c>
      <c r="Y112" s="50">
        <f>IFERROR(IF(INDEX('GCE'!$M$10:$M$12,MATCH($F112,'GCE'!$B$10:$B$12,0))="","Cell will autofill based on response",INDEX('GCE'!$M$10:$M$12,MATCH($F112,'GCE'!$B$10:$B$12,0))),"N/A")</f>
        <v/>
      </c>
      <c r="Z112" s="50">
        <f>IFERROR(IF(INDEX('Education'!$M$10:$M$13,MATCH($F112,'Education'!$B$10:$B$13,0))="","Cell will autofill based on response",INDEX('Education'!$M$10:$M$13,MATCH($F112,'Education'!$B$10:$B$13,0))),"N/A")</f>
        <v/>
      </c>
      <c r="AA112" s="50">
        <f>IFERROR(IF(INDEX('SaSS'!$M$10:$M$12,MATCH($F112,'SaSS'!$B$10:$B$12,0))="","Cell will autofill based on response",INDEX('SaSS'!$M$10:$M$12,MATCH($F112,'SaSS'!$B$10:$B$12,0))),"N/A")</f>
        <v/>
      </c>
      <c r="AB112" s="50">
        <f>IFERROR(IF(INDEX('Indigenous'!$M$10:$M$11,MATCH($F112,'Indigenous'!$B$10:$B$11,0))="","Cell will autofill based on response",INDEX('Indigenous'!$M$10:$M$11,MATCH($F112,'Indigenous'!$B$10:$B$11,0))),"N/A")</f>
        <v/>
      </c>
      <c r="AC112" s="50">
        <f>IFERROR(IF(INDEX('L&amp;R'!$M$10:$M$11,MATCH($F112,'L&amp;R'!$B$10:$B$11,0))="","Cell will autofill based on response",INDEX('L&amp;R'!$M$10:$M$11,MATCH($F112,'L&amp;R'!$B$10:$B$11,0))),"N/A")</f>
        <v/>
      </c>
    </row>
    <row r="113" ht="22" customHeight="1">
      <c r="A113">
        <f>F113&amp;"|"&amp;G113</f>
        <v/>
      </c>
      <c r="B113" s="12" t="inlineStr"/>
      <c r="C113" s="7" t="inlineStr"/>
      <c r="D113" s="7" t="inlineStr"/>
      <c r="E113" s="7" t="inlineStr"/>
      <c r="F113" s="7" t="inlineStr">
        <is>
          <t>NB1(c)</t>
        </is>
      </c>
      <c r="G113" s="7" t="inlineStr">
        <is>
          <t>Supporting information/comments</t>
        </is>
      </c>
      <c r="H113" s="50">
        <f>IFERROR(IF(INDEX('Faculties'!$N$10:$N$18,MATCH($F113,'Faculties'!$B$10:$B$18,0))="","Cell will autofill based on response",INDEX('Faculties'!$N$10:$N$18,MATCH($F113,'Faculties'!$B$10:$B$18,0))),"N/A")</f>
        <v/>
      </c>
      <c r="I113" s="50">
        <f>IFERROR(IF(INDEX('Faculties'!$N$25:$N$34,MATCH($F113,'Faculties'!$B$25:$B$34,0))="","Cell will autofill based on response",INDEX('Faculties'!$N$25:$N$34,MATCH($F113,'Faculties'!$B$25:$B$34,0))),"N/A")</f>
        <v/>
      </c>
      <c r="J113" s="50">
        <f>IFERROR(IF(INDEX('Faculties'!$N$41:$N$50,MATCH($F113,'Faculties'!$B$41:$B$50,0))="","Cell will autofill based on response",INDEX('Faculties'!$N$41:$N$50,MATCH($F113,'Faculties'!$B$41:$B$50,0))),"N/A")</f>
        <v/>
      </c>
      <c r="K113" s="50">
        <f>IFERROR(IF(INDEX('Faculties'!$N$57:$N$66,MATCH($F113,'Faculties'!$B$57:$B$66,0))="","Cell will autofill based on response",INDEX('Faculties'!$N$57:$N$66,MATCH($F113,'Faculties'!$B$57:$B$66,0))),"N/A")</f>
        <v/>
      </c>
      <c r="L113" s="50">
        <f>IFERROR(IF(INDEX('Faculties'!$N$73:$N$82,MATCH($F113,'Faculties'!$B$73:$B$82,0))="","Cell will autofill based on response",INDEX('Faculties'!$N$73:$N$82,MATCH($F113,'Faculties'!$B$73:$B$82,0))),"N/A")</f>
        <v/>
      </c>
      <c r="M113" s="50">
        <f>IFERROR(IF(INDEX('Faculties'!$N$89:$N$98,MATCH($F113,'Faculties'!$B$89:$B$98,0))="","Cell will autofill based on response",INDEX('Faculties'!$N$89:$N$98,MATCH($F113,'Faculties'!$B$89:$B$98,0))),"N/A")</f>
        <v/>
      </c>
      <c r="N113" s="50">
        <f>IFERROR(IF(INDEX('Faculties'!$N$105:$N$114,MATCH($F113,'Faculties'!$B$105:$B$114,0))="","Cell will autofill based on response",INDEX('Faculties'!$N$105:$N$114,MATCH($F113,'Faculties'!$B$105:$B$114,0))),"N/A")</f>
        <v/>
      </c>
      <c r="O113" s="50">
        <f>IFERROR(IF(INDEX('Faculties'!$N$121:$N$130,MATCH($F113,'Faculties'!$B$121:$B$130,0))="","Cell will autofill based on response",INDEX('Faculties'!$N$121:$N$130,MATCH($F113,'Faculties'!$B$121:$B$130,0))),"N/A")</f>
        <v/>
      </c>
      <c r="P113" s="50">
        <f>IFERROR(IF(INDEX('Faculties'!$N$137:$N$146,MATCH($F113,'Faculties'!$B$137:$B$146,0))="","Cell will autofill based on response",INDEX('Faculties'!$N$137:$N$146,MATCH($F113,'Faculties'!$B$137:$B$146,0))),"N/A")</f>
        <v/>
      </c>
      <c r="Q113" s="50">
        <f>IFERROR(IF(INDEX('CI&amp;S'!$N$10:$N$15,MATCH($F113,'CI&amp;S'!$B$10:$B$15,0))="","Cell will autofill based on response",INDEX('CI&amp;S'!$N$10:$N$15,MATCH($F113,'CI&amp;S'!$B$10:$B$15,0))),"N/A")</f>
        <v/>
      </c>
      <c r="R113" s="50">
        <f>IFERROR(IF(INDEX('CI&amp;S'!$N$22:$N$36,MATCH($F113,'CI&amp;S'!$B$22:$B$36,0))="","Cell will autofill based on response",INDEX('CI&amp;S'!$N$22:$N$36,MATCH($F113,'CI&amp;S'!$B$22:$B$36,0))),"N/A")</f>
        <v/>
      </c>
      <c r="S113" s="50">
        <f>IFERROR(IF(INDEX('CFOG'!$N$10:$N$16,MATCH($F113,'CFOG'!$B$10:$B$16,0))="","Cell will autofill based on response",INDEX('CFOG'!$N$10:$N$16,MATCH($F113,'CFOG'!$B$10:$B$16,0))),"N/A")</f>
        <v/>
      </c>
      <c r="T113" s="50">
        <f>IFERROR(IF(INDEX('CFOG'!$N$23:$N$24,MATCH($F113,'CFOG'!$B$23:$B$24,0))="","Cell will autofill based on response",INDEX('CFOG'!$N$23:$N$24,MATCH($F113,'CFOG'!$B$23:$B$24,0))),"N/A")</f>
        <v/>
      </c>
      <c r="U113" s="50">
        <f>IFERROR(IF(INDEX('ESG'!$N$10:$N$17,MATCH($F113,'ESG'!$B$10:$B$17,0))="","Cell will autofill based on response",INDEX('ESG'!$N$10:$N$17,MATCH($F113,'ESG'!$B$10:$B$17,0))),"N/A")</f>
        <v/>
      </c>
      <c r="V113" s="50">
        <f>IFERROR(IF(INDEX('CIOG'!$N$10:$N$14,MATCH($F113,'CIOG'!$B$10:$B$14,0))="","Cell will autofill based on response",INDEX('CIOG'!$N$10:$N$14,MATCH($F113,'CIOG'!$B$10:$B$14,0))),"N/A")</f>
        <v/>
      </c>
      <c r="W113" s="50">
        <f>IFERROR(IF(INDEX('MRE'!$N$10:$N$18,MATCH($F113,'MRE'!$B$10:$B$18,0))="","Cell will autofill based on response",INDEX('MRE'!$N$10:$N$18,MATCH($F113,'MRE'!$B$10:$B$18,0))),"N/A")</f>
        <v/>
      </c>
      <c r="X113" s="50">
        <f>IFERROR(IF(INDEX('AC&amp;M'!$N$10:$N$14,MATCH($F113,'AC&amp;M'!$B$10:$B$14,0))="","Cell will autofill based on response",INDEX('AC&amp;M'!$N$10:$N$14,MATCH($F113,'AC&amp;M'!$B$10:$B$14,0))),"N/A")</f>
        <v/>
      </c>
      <c r="Y113" s="50">
        <f>IFERROR(IF(INDEX('GCE'!$N$10:$N$12,MATCH($F113,'GCE'!$B$10:$B$12,0))="","Cell will autofill based on response",INDEX('GCE'!$N$10:$N$12,MATCH($F113,'GCE'!$B$10:$B$12,0))),"N/A")</f>
        <v/>
      </c>
      <c r="Z113" s="50">
        <f>IFERROR(IF(INDEX('Education'!$N$10:$N$13,MATCH($F113,'Education'!$B$10:$B$13,0))="","Cell will autofill based on response",INDEX('Education'!$N$10:$N$13,MATCH($F113,'Education'!$B$10:$B$13,0))),"N/A")</f>
        <v/>
      </c>
      <c r="AA113" s="50">
        <f>IFERROR(IF(INDEX('SaSS'!$N$10:$N$12,MATCH($F113,'SaSS'!$B$10:$B$12,0))="","Cell will autofill based on response",INDEX('SaSS'!$N$10:$N$12,MATCH($F113,'SaSS'!$B$10:$B$12,0))),"N/A")</f>
        <v/>
      </c>
      <c r="AB113" s="50">
        <f>IFERROR(IF(INDEX('Indigenous'!$N$10:$N$11,MATCH($F113,'Indigenous'!$B$10:$B$11,0))="","Cell will autofill based on response",INDEX('Indigenous'!$N$10:$N$11,MATCH($F113,'Indigenous'!$B$10:$B$11,0))),"N/A")</f>
        <v/>
      </c>
      <c r="AC113" s="50">
        <f>IFERROR(IF(INDEX('L&amp;R'!$N$10:$N$11,MATCH($F113,'L&amp;R'!$B$10:$B$11,0))="","Cell will autofill based on response",INDEX('L&amp;R'!$N$10:$N$11,MATCH($F113,'L&amp;R'!$B$10:$B$11,0))),"N/A")</f>
        <v/>
      </c>
    </row>
    <row r="114" ht="22" customHeight="1">
      <c r="A114">
        <f>F114&amp;"|"&amp;G114</f>
        <v/>
      </c>
      <c r="B114" s="12" t="inlineStr"/>
      <c r="C114" s="7" t="inlineStr"/>
      <c r="D114" s="7" t="inlineStr"/>
      <c r="E114" s="7" t="inlineStr"/>
      <c r="F114" s="7" t="inlineStr">
        <is>
          <t>NB1(c)</t>
        </is>
      </c>
      <c r="G114" s="7" t="inlineStr">
        <is>
          <t>Data source and limitations</t>
        </is>
      </c>
      <c r="H114" s="50">
        <f>IFERROR(IF(INDEX('Faculties'!$O$10:$O$18,MATCH($F114,'Faculties'!$B$10:$B$18,0))="","Cell will autofill based on response",INDEX('Faculties'!$O$10:$O$18,MATCH($F114,'Faculties'!$B$10:$B$18,0))),"N/A")</f>
        <v/>
      </c>
      <c r="I114" s="50">
        <f>IFERROR(IF(INDEX('Faculties'!$O$25:$O$34,MATCH($F114,'Faculties'!$B$25:$B$34,0))="","Cell will autofill based on response",INDEX('Faculties'!$O$25:$O$34,MATCH($F114,'Faculties'!$B$25:$B$34,0))),"N/A")</f>
        <v/>
      </c>
      <c r="J114" s="50">
        <f>IFERROR(IF(INDEX('Faculties'!$O$41:$O$50,MATCH($F114,'Faculties'!$B$41:$B$50,0))="","Cell will autofill based on response",INDEX('Faculties'!$O$41:$O$50,MATCH($F114,'Faculties'!$B$41:$B$50,0))),"N/A")</f>
        <v/>
      </c>
      <c r="K114" s="50">
        <f>IFERROR(IF(INDEX('Faculties'!$O$57:$O$66,MATCH($F114,'Faculties'!$B$57:$B$66,0))="","Cell will autofill based on response",INDEX('Faculties'!$O$57:$O$66,MATCH($F114,'Faculties'!$B$57:$B$66,0))),"N/A")</f>
        <v/>
      </c>
      <c r="L114" s="50">
        <f>IFERROR(IF(INDEX('Faculties'!$O$73:$O$82,MATCH($F114,'Faculties'!$B$73:$B$82,0))="","Cell will autofill based on response",INDEX('Faculties'!$O$73:$O$82,MATCH($F114,'Faculties'!$B$73:$B$82,0))),"N/A")</f>
        <v/>
      </c>
      <c r="M114" s="50">
        <f>IFERROR(IF(INDEX('Faculties'!$O$89:$O$98,MATCH($F114,'Faculties'!$B$89:$B$98,0))="","Cell will autofill based on response",INDEX('Faculties'!$O$89:$O$98,MATCH($F114,'Faculties'!$B$89:$B$98,0))),"N/A")</f>
        <v/>
      </c>
      <c r="N114" s="50">
        <f>IFERROR(IF(INDEX('Faculties'!$O$105:$O$114,MATCH($F114,'Faculties'!$B$105:$B$114,0))="","Cell will autofill based on response",INDEX('Faculties'!$O$105:$O$114,MATCH($F114,'Faculties'!$B$105:$B$114,0))),"N/A")</f>
        <v/>
      </c>
      <c r="O114" s="50">
        <f>IFERROR(IF(INDEX('Faculties'!$O$121:$O$130,MATCH($F114,'Faculties'!$B$121:$B$130,0))="","Cell will autofill based on response",INDEX('Faculties'!$O$121:$O$130,MATCH($F114,'Faculties'!$B$121:$B$130,0))),"N/A")</f>
        <v/>
      </c>
      <c r="P114" s="50">
        <f>IFERROR(IF(INDEX('Faculties'!$O$137:$O$146,MATCH($F114,'Faculties'!$B$137:$B$146,0))="","Cell will autofill based on response",INDEX('Faculties'!$O$137:$O$146,MATCH($F114,'Faculties'!$B$137:$B$146,0))),"N/A")</f>
        <v/>
      </c>
      <c r="Q114" s="50">
        <f>IFERROR(IF(INDEX('CI&amp;S'!$O$10:$O$15,MATCH($F114,'CI&amp;S'!$B$10:$B$15,0))="","Cell will autofill based on response",INDEX('CI&amp;S'!$O$10:$O$15,MATCH($F114,'CI&amp;S'!$B$10:$B$15,0))),"N/A")</f>
        <v/>
      </c>
      <c r="R114" s="50">
        <f>IFERROR(IF(INDEX('CI&amp;S'!$O$22:$O$36,MATCH($F114,'CI&amp;S'!$B$22:$B$36,0))="","Cell will autofill based on response",INDEX('CI&amp;S'!$O$22:$O$36,MATCH($F114,'CI&amp;S'!$B$22:$B$36,0))),"N/A")</f>
        <v/>
      </c>
      <c r="S114" s="50">
        <f>IFERROR(IF(INDEX('CFOG'!$O$10:$O$16,MATCH($F114,'CFOG'!$B$10:$B$16,0))="","Cell will autofill based on response",INDEX('CFOG'!$O$10:$O$16,MATCH($F114,'CFOG'!$B$10:$B$16,0))),"N/A")</f>
        <v/>
      </c>
      <c r="T114" s="50">
        <f>IFERROR(IF(INDEX('CFOG'!$O$23:$O$24,MATCH($F114,'CFOG'!$B$23:$B$24,0))="","Cell will autofill based on response",INDEX('CFOG'!$O$23:$O$24,MATCH($F114,'CFOG'!$B$23:$B$24,0))),"N/A")</f>
        <v/>
      </c>
      <c r="U114" s="50">
        <f>IFERROR(IF(INDEX('ESG'!$O$10:$O$17,MATCH($F114,'ESG'!$B$10:$B$17,0))="","Cell will autofill based on response",INDEX('ESG'!$O$10:$O$17,MATCH($F114,'ESG'!$B$10:$B$17,0))),"N/A")</f>
        <v/>
      </c>
      <c r="V114" s="50">
        <f>IFERROR(IF(INDEX('CIOG'!$O$10:$O$14,MATCH($F114,'CIOG'!$B$10:$B$14,0))="","Cell will autofill based on response",INDEX('CIOG'!$O$10:$O$14,MATCH($F114,'CIOG'!$B$10:$B$14,0))),"N/A")</f>
        <v/>
      </c>
      <c r="W114" s="50">
        <f>IFERROR(IF(INDEX('MRE'!$O$10:$O$18,MATCH($F114,'MRE'!$B$10:$B$18,0))="","Cell will autofill based on response",INDEX('MRE'!$O$10:$O$18,MATCH($F114,'MRE'!$B$10:$B$18,0))),"N/A")</f>
        <v/>
      </c>
      <c r="X114" s="50">
        <f>IFERROR(IF(INDEX('AC&amp;M'!$O$10:$O$14,MATCH($F114,'AC&amp;M'!$B$10:$B$14,0))="","Cell will autofill based on response",INDEX('AC&amp;M'!$O$10:$O$14,MATCH($F114,'AC&amp;M'!$B$10:$B$14,0))),"N/A")</f>
        <v/>
      </c>
      <c r="Y114" s="50">
        <f>IFERROR(IF(INDEX('GCE'!$O$10:$O$12,MATCH($F114,'GCE'!$B$10:$B$12,0))="","Cell will autofill based on response",INDEX('GCE'!$O$10:$O$12,MATCH($F114,'GCE'!$B$10:$B$12,0))),"N/A")</f>
        <v/>
      </c>
      <c r="Z114" s="50">
        <f>IFERROR(IF(INDEX('Education'!$O$10:$O$13,MATCH($F114,'Education'!$B$10:$B$13,0))="","Cell will autofill based on response",INDEX('Education'!$O$10:$O$13,MATCH($F114,'Education'!$B$10:$B$13,0))),"N/A")</f>
        <v/>
      </c>
      <c r="AA114" s="50">
        <f>IFERROR(IF(INDEX('SaSS'!$O$10:$O$12,MATCH($F114,'SaSS'!$B$10:$B$12,0))="","Cell will autofill based on response",INDEX('SaSS'!$O$10:$O$12,MATCH($F114,'SaSS'!$B$10:$B$12,0))),"N/A")</f>
        <v/>
      </c>
      <c r="AB114" s="50">
        <f>IFERROR(IF(INDEX('Indigenous'!$O$10:$O$11,MATCH($F114,'Indigenous'!$B$10:$B$11,0))="","Cell will autofill based on response",INDEX('Indigenous'!$O$10:$O$11,MATCH($F114,'Indigenous'!$B$10:$B$11,0))),"N/A")</f>
        <v/>
      </c>
      <c r="AC114" s="50">
        <f>IFERROR(IF(INDEX('L&amp;R'!$O$10:$O$11,MATCH($F114,'L&amp;R'!$B$10:$B$11,0))="","Cell will autofill based on response",INDEX('L&amp;R'!$O$10:$O$11,MATCH($F114,'L&amp;R'!$B$10:$B$11,0))),"N/A")</f>
        <v/>
      </c>
    </row>
    <row r="115" ht="22" customHeight="1">
      <c r="A115">
        <f>F115&amp;"|"&amp;G115</f>
        <v/>
      </c>
      <c r="B115" s="12" t="inlineStr"/>
      <c r="C115" s="7" t="inlineStr"/>
      <c r="D115" s="7" t="inlineStr"/>
      <c r="E115" s="7" t="inlineStr"/>
      <c r="F115" s="7" t="inlineStr">
        <is>
          <t>NB1(c)</t>
        </is>
      </c>
      <c r="G115" s="7" t="inlineStr">
        <is>
          <t>Data owner confirms</t>
        </is>
      </c>
      <c r="H115" s="50">
        <f>IFERROR(IF(INDEX('Faculties'!$P$10:$P$18,MATCH($F115,'Faculties'!$B$10:$B$18,0))="","Cell will autofill based on response",INDEX('Faculties'!$P$10:$P$18,MATCH($F115,'Faculties'!$B$10:$B$18,0))),"N/A")</f>
        <v/>
      </c>
      <c r="I115" s="50">
        <f>IFERROR(IF(INDEX('Faculties'!$P$25:$P$34,MATCH($F115,'Faculties'!$B$25:$B$34,0))="","Cell will autofill based on response",INDEX('Faculties'!$P$25:$P$34,MATCH($F115,'Faculties'!$B$25:$B$34,0))),"N/A")</f>
        <v/>
      </c>
      <c r="J115" s="50">
        <f>IFERROR(IF(INDEX('Faculties'!$P$41:$P$50,MATCH($F115,'Faculties'!$B$41:$B$50,0))="","Cell will autofill based on response",INDEX('Faculties'!$P$41:$P$50,MATCH($F115,'Faculties'!$B$41:$B$50,0))),"N/A")</f>
        <v/>
      </c>
      <c r="K115" s="50">
        <f>IFERROR(IF(INDEX('Faculties'!$P$57:$P$66,MATCH($F115,'Faculties'!$B$57:$B$66,0))="","Cell will autofill based on response",INDEX('Faculties'!$P$57:$P$66,MATCH($F115,'Faculties'!$B$57:$B$66,0))),"N/A")</f>
        <v/>
      </c>
      <c r="L115" s="50">
        <f>IFERROR(IF(INDEX('Faculties'!$P$73:$P$82,MATCH($F115,'Faculties'!$B$73:$B$82,0))="","Cell will autofill based on response",INDEX('Faculties'!$P$73:$P$82,MATCH($F115,'Faculties'!$B$73:$B$82,0))),"N/A")</f>
        <v/>
      </c>
      <c r="M115" s="50">
        <f>IFERROR(IF(INDEX('Faculties'!$P$89:$P$98,MATCH($F115,'Faculties'!$B$89:$B$98,0))="","Cell will autofill based on response",INDEX('Faculties'!$P$89:$P$98,MATCH($F115,'Faculties'!$B$89:$B$98,0))),"N/A")</f>
        <v/>
      </c>
      <c r="N115" s="50">
        <f>IFERROR(IF(INDEX('Faculties'!$P$105:$P$114,MATCH($F115,'Faculties'!$B$105:$B$114,0))="","Cell will autofill based on response",INDEX('Faculties'!$P$105:$P$114,MATCH($F115,'Faculties'!$B$105:$B$114,0))),"N/A")</f>
        <v/>
      </c>
      <c r="O115" s="50">
        <f>IFERROR(IF(INDEX('Faculties'!$P$121:$P$130,MATCH($F115,'Faculties'!$B$121:$B$130,0))="","Cell will autofill based on response",INDEX('Faculties'!$P$121:$P$130,MATCH($F115,'Faculties'!$B$121:$B$130,0))),"N/A")</f>
        <v/>
      </c>
      <c r="P115" s="50">
        <f>IFERROR(IF(INDEX('Faculties'!$P$137:$P$146,MATCH($F115,'Faculties'!$B$137:$B$146,0))="","Cell will autofill based on response",INDEX('Faculties'!$P$137:$P$146,MATCH($F115,'Faculties'!$B$137:$B$146,0))),"N/A")</f>
        <v/>
      </c>
      <c r="Q115" s="50">
        <f>IFERROR(IF(INDEX('CI&amp;S'!$P$10:$P$15,MATCH($F115,'CI&amp;S'!$B$10:$B$15,0))="","Cell will autofill based on response",INDEX('CI&amp;S'!$P$10:$P$15,MATCH($F115,'CI&amp;S'!$B$10:$B$15,0))),"N/A")</f>
        <v/>
      </c>
      <c r="R115" s="50">
        <f>IFERROR(IF(INDEX('CI&amp;S'!$P$22:$P$36,MATCH($F115,'CI&amp;S'!$B$22:$B$36,0))="","Cell will autofill based on response",INDEX('CI&amp;S'!$P$22:$P$36,MATCH($F115,'CI&amp;S'!$B$22:$B$36,0))),"N/A")</f>
        <v/>
      </c>
      <c r="S115" s="50">
        <f>IFERROR(IF(INDEX('CFOG'!$P$10:$P$16,MATCH($F115,'CFOG'!$B$10:$B$16,0))="","Cell will autofill based on response",INDEX('CFOG'!$P$10:$P$16,MATCH($F115,'CFOG'!$B$10:$B$16,0))),"N/A")</f>
        <v/>
      </c>
      <c r="T115" s="50">
        <f>IFERROR(IF(INDEX('CFOG'!$P$23:$P$24,MATCH($F115,'CFOG'!$B$23:$B$24,0))="","Cell will autofill based on response",INDEX('CFOG'!$P$23:$P$24,MATCH($F115,'CFOG'!$B$23:$B$24,0))),"N/A")</f>
        <v/>
      </c>
      <c r="U115" s="50">
        <f>IFERROR(IF(INDEX('ESG'!$P$10:$P$17,MATCH($F115,'ESG'!$B$10:$B$17,0))="","Cell will autofill based on response",INDEX('ESG'!$P$10:$P$17,MATCH($F115,'ESG'!$B$10:$B$17,0))),"N/A")</f>
        <v/>
      </c>
      <c r="V115" s="50">
        <f>IFERROR(IF(INDEX('CIOG'!$P$10:$P$14,MATCH($F115,'CIOG'!$B$10:$B$14,0))="","Cell will autofill based on response",INDEX('CIOG'!$P$10:$P$14,MATCH($F115,'CIOG'!$B$10:$B$14,0))),"N/A")</f>
        <v/>
      </c>
      <c r="W115" s="50">
        <f>IFERROR(IF(INDEX('MRE'!$P$10:$P$18,MATCH($F115,'MRE'!$B$10:$B$18,0))="","Cell will autofill based on response",INDEX('MRE'!$P$10:$P$18,MATCH($F115,'MRE'!$B$10:$B$18,0))),"N/A")</f>
        <v/>
      </c>
      <c r="X115" s="50">
        <f>IFERROR(IF(INDEX('AC&amp;M'!$P$10:$P$14,MATCH($F115,'AC&amp;M'!$B$10:$B$14,0))="","Cell will autofill based on response",INDEX('AC&amp;M'!$P$10:$P$14,MATCH($F115,'AC&amp;M'!$B$10:$B$14,0))),"N/A")</f>
        <v/>
      </c>
      <c r="Y115" s="50">
        <f>IFERROR(IF(INDEX('GCE'!$P$10:$P$12,MATCH($F115,'GCE'!$B$10:$B$12,0))="","Cell will autofill based on response",INDEX('GCE'!$P$10:$P$12,MATCH($F115,'GCE'!$B$10:$B$12,0))),"N/A")</f>
        <v/>
      </c>
      <c r="Z115" s="50">
        <f>IFERROR(IF(INDEX('Education'!$P$10:$P$13,MATCH($F115,'Education'!$B$10:$B$13,0))="","Cell will autofill based on response",INDEX('Education'!$P$10:$P$13,MATCH($F115,'Education'!$B$10:$B$13,0))),"N/A")</f>
        <v/>
      </c>
      <c r="AA115" s="50">
        <f>IFERROR(IF(INDEX('SaSS'!$P$10:$P$12,MATCH($F115,'SaSS'!$B$10:$B$12,0))="","Cell will autofill based on response",INDEX('SaSS'!$P$10:$P$12,MATCH($F115,'SaSS'!$B$10:$B$12,0))),"N/A")</f>
        <v/>
      </c>
      <c r="AB115" s="50">
        <f>IFERROR(IF(INDEX('Indigenous'!$P$10:$P$11,MATCH($F115,'Indigenous'!$B$10:$B$11,0))="","Cell will autofill based on response",INDEX('Indigenous'!$P$10:$P$11,MATCH($F115,'Indigenous'!$B$10:$B$11,0))),"N/A")</f>
        <v/>
      </c>
      <c r="AC115" s="50">
        <f>IFERROR(IF(INDEX('L&amp;R'!$P$10:$P$11,MATCH($F115,'L&amp;R'!$B$10:$B$11,0))="","Cell will autofill based on response",INDEX('L&amp;R'!$P$10:$P$11,MATCH($F115,'L&amp;R'!$B$10:$B$11,0))),"N/A")</f>
        <v/>
      </c>
    </row>
    <row r="116" ht="122" customHeight="1">
      <c r="A116">
        <f>F116&amp;"|"&amp;G116</f>
        <v/>
      </c>
      <c r="B116" s="6" t="inlineStr">
        <is>
          <t>NB1(d)</t>
        </is>
      </c>
      <c r="C116" s="48" t="inlineStr">
        <is>
          <t>Nature and biodiversity</t>
        </is>
      </c>
      <c r="D116" s="48" t="inlineStr">
        <is>
          <t>Defined and quantified campus connectivity</t>
        </is>
      </c>
      <c r="E116" s="48" t="inlineStr">
        <is>
          <t>Please provide the current definition and quantified assessment of campus ecological connectivity, could include the methodology used, campuses covered, baseline or benchmark values, and any material change over the reporting period.</t>
        </is>
      </c>
      <c r="F116" s="48" t="inlineStr">
        <is>
          <t>NB1(d)</t>
        </is>
      </c>
      <c r="G116" s="48" t="inlineStr">
        <is>
          <t>OPTION 1:  Target-level reporting</t>
        </is>
      </c>
      <c r="H116" s="50">
        <f>IFERROR(IF(INDEX('Faculties'!$L$10:$L$18,MATCH($F116,'Faculties'!$B$10:$B$18,0))="","Cell will autofill based on response",INDEX('Faculties'!$L$10:$L$18,MATCH($F116,'Faculties'!$B$10:$B$18,0))),"N/A")</f>
        <v/>
      </c>
      <c r="I116" s="50">
        <f>IFERROR(IF(INDEX('Faculties'!$L$25:$L$34,MATCH($F116,'Faculties'!$B$25:$B$34,0))="","Cell will autofill based on response",INDEX('Faculties'!$L$25:$L$34,MATCH($F116,'Faculties'!$B$25:$B$34,0))),"N/A")</f>
        <v/>
      </c>
      <c r="J116" s="50">
        <f>IFERROR(IF(INDEX('Faculties'!$L$41:$L$50,MATCH($F116,'Faculties'!$B$41:$B$50,0))="","Cell will autofill based on response",INDEX('Faculties'!$L$41:$L$50,MATCH($F116,'Faculties'!$B$41:$B$50,0))),"N/A")</f>
        <v/>
      </c>
      <c r="K116" s="50">
        <f>IFERROR(IF(INDEX('Faculties'!$L$57:$L$66,MATCH($F116,'Faculties'!$B$57:$B$66,0))="","Cell will autofill based on response",INDEX('Faculties'!$L$57:$L$66,MATCH($F116,'Faculties'!$B$57:$B$66,0))),"N/A")</f>
        <v/>
      </c>
      <c r="L116" s="50">
        <f>IFERROR(IF(INDEX('Faculties'!$L$73:$L$82,MATCH($F116,'Faculties'!$B$73:$B$82,0))="","Cell will autofill based on response",INDEX('Faculties'!$L$73:$L$82,MATCH($F116,'Faculties'!$B$73:$B$82,0))),"N/A")</f>
        <v/>
      </c>
      <c r="M116" s="50">
        <f>IFERROR(IF(INDEX('Faculties'!$L$89:$L$98,MATCH($F116,'Faculties'!$B$89:$B$98,0))="","Cell will autofill based on response",INDEX('Faculties'!$L$89:$L$98,MATCH($F116,'Faculties'!$B$89:$B$98,0))),"N/A")</f>
        <v/>
      </c>
      <c r="N116" s="50">
        <f>IFERROR(IF(INDEX('Faculties'!$L$105:$L$114,MATCH($F116,'Faculties'!$B$105:$B$114,0))="","Cell will autofill based on response",INDEX('Faculties'!$L$105:$L$114,MATCH($F116,'Faculties'!$B$105:$B$114,0))),"N/A")</f>
        <v/>
      </c>
      <c r="O116" s="50">
        <f>IFERROR(IF(INDEX('Faculties'!$L$121:$L$130,MATCH($F116,'Faculties'!$B$121:$B$130,0))="","Cell will autofill based on response",INDEX('Faculties'!$L$121:$L$130,MATCH($F116,'Faculties'!$B$121:$B$130,0))),"N/A")</f>
        <v/>
      </c>
      <c r="P116" s="50">
        <f>IFERROR(IF(INDEX('Faculties'!$L$137:$L$146,MATCH($F116,'Faculties'!$B$137:$B$146,0))="","Cell will autofill based on response",INDEX('Faculties'!$L$137:$L$146,MATCH($F116,'Faculties'!$B$137:$B$146,0))),"N/A")</f>
        <v/>
      </c>
      <c r="Q116" s="50">
        <f>IFERROR(IF(INDEX('CI&amp;S'!$L$10:$L$15,MATCH($F116,'CI&amp;S'!$B$10:$B$15,0))="","Cell will autofill based on response",INDEX('CI&amp;S'!$L$10:$L$15,MATCH($F116,'CI&amp;S'!$B$10:$B$15,0))),"N/A")</f>
        <v/>
      </c>
      <c r="R116" s="50">
        <f>IFERROR(IF(INDEX('CI&amp;S'!$L$22:$L$36,MATCH($F116,'CI&amp;S'!$B$22:$B$36,0))="","Cell will autofill based on response",INDEX('CI&amp;S'!$L$22:$L$36,MATCH($F116,'CI&amp;S'!$B$22:$B$36,0))),"N/A")</f>
        <v/>
      </c>
      <c r="S116" s="50">
        <f>IFERROR(IF(INDEX('CFOG'!$L$10:$L$16,MATCH($F116,'CFOG'!$B$10:$B$16,0))="","Cell will autofill based on response",INDEX('CFOG'!$L$10:$L$16,MATCH($F116,'CFOG'!$B$10:$B$16,0))),"N/A")</f>
        <v/>
      </c>
      <c r="T116" s="50">
        <f>IFERROR(IF(INDEX('CFOG'!$L$23:$L$24,MATCH($F116,'CFOG'!$B$23:$B$24,0))="","Cell will autofill based on response",INDEX('CFOG'!$L$23:$L$24,MATCH($F116,'CFOG'!$B$23:$B$24,0))),"N/A")</f>
        <v/>
      </c>
      <c r="U116" s="50">
        <f>IFERROR(IF(INDEX('ESG'!$L$10:$L$17,MATCH($F116,'ESG'!$B$10:$B$17,0))="","Cell will autofill based on response",INDEX('ESG'!$L$10:$L$17,MATCH($F116,'ESG'!$B$10:$B$17,0))),"N/A")</f>
        <v/>
      </c>
      <c r="V116" s="50">
        <f>IFERROR(IF(INDEX('CIOG'!$L$10:$L$14,MATCH($F116,'CIOG'!$B$10:$B$14,0))="","Cell will autofill based on response",INDEX('CIOG'!$L$10:$L$14,MATCH($F116,'CIOG'!$B$10:$B$14,0))),"N/A")</f>
        <v/>
      </c>
      <c r="W116" s="50">
        <f>IFERROR(IF(INDEX('MRE'!$L$10:$L$18,MATCH($F116,'MRE'!$B$10:$B$18,0))="","Cell will autofill based on response",INDEX('MRE'!$L$10:$L$18,MATCH($F116,'MRE'!$B$10:$B$18,0))),"N/A")</f>
        <v/>
      </c>
      <c r="X116" s="50">
        <f>IFERROR(IF(INDEX('AC&amp;M'!$L$10:$L$14,MATCH($F116,'AC&amp;M'!$B$10:$B$14,0))="","Cell will autofill based on response",INDEX('AC&amp;M'!$L$10:$L$14,MATCH($F116,'AC&amp;M'!$B$10:$B$14,0))),"N/A")</f>
        <v/>
      </c>
      <c r="Y116" s="50">
        <f>IFERROR(IF(INDEX('GCE'!$L$10:$L$12,MATCH($F116,'GCE'!$B$10:$B$12,0))="","Cell will autofill based on response",INDEX('GCE'!$L$10:$L$12,MATCH($F116,'GCE'!$B$10:$B$12,0))),"N/A")</f>
        <v/>
      </c>
      <c r="Z116" s="50">
        <f>IFERROR(IF(INDEX('Education'!$L$10:$L$13,MATCH($F116,'Education'!$B$10:$B$13,0))="","Cell will autofill based on response",INDEX('Education'!$L$10:$L$13,MATCH($F116,'Education'!$B$10:$B$13,0))),"N/A")</f>
        <v/>
      </c>
      <c r="AA116" s="50">
        <f>IFERROR(IF(INDEX('SaSS'!$L$10:$L$12,MATCH($F116,'SaSS'!$B$10:$B$12,0))="","Cell will autofill based on response",INDEX('SaSS'!$L$10:$L$12,MATCH($F116,'SaSS'!$B$10:$B$12,0))),"N/A")</f>
        <v/>
      </c>
      <c r="AB116" s="50">
        <f>IFERROR(IF(INDEX('Indigenous'!$L$10:$L$11,MATCH($F116,'Indigenous'!$B$10:$B$11,0))="","Cell will autofill based on response",INDEX('Indigenous'!$L$10:$L$11,MATCH($F116,'Indigenous'!$B$10:$B$11,0))),"N/A")</f>
        <v/>
      </c>
      <c r="AC116" s="50">
        <f>IFERROR(IF(INDEX('L&amp;R'!$L$10:$L$11,MATCH($F116,'L&amp;R'!$B$10:$B$11,0))="","Cell will autofill based on response",INDEX('L&amp;R'!$L$10:$L$11,MATCH($F116,'L&amp;R'!$B$10:$B$11,0))),"N/A")</f>
        <v/>
      </c>
      <c r="AE116" s="9">
        <f>SUMPRODUCT(--($H116:$AC116&lt;&gt;"N/A"))</f>
        <v/>
      </c>
      <c r="AF116" s="9">
        <f>SUMPRODUCT(--(((($H116:$AC116&lt;&gt;"N/A")*($H116:$AC116&lt;&gt;"Cell will autofill based on response"))+(($H117:$AC117&lt;&gt;"N/A")*($H117:$AC117&lt;&gt;"Cell will autofill based on response")))&gt;0))</f>
        <v/>
      </c>
      <c r="AG116" s="9">
        <f>AE116-AF116</f>
        <v/>
      </c>
      <c r="AH116" s="9">
        <f>COUNTIF($H120:$AC120,"Yes")</f>
        <v/>
      </c>
    </row>
    <row r="117" ht="39" customHeight="1">
      <c r="A117">
        <f>F117&amp;"|"&amp;G117</f>
        <v/>
      </c>
      <c r="B117" s="12" t="inlineStr"/>
      <c r="C117" s="7" t="inlineStr"/>
      <c r="D117" s="7" t="inlineStr"/>
      <c r="E117" s="7" t="inlineStr"/>
      <c r="F117" s="7" t="inlineStr">
        <is>
          <t>NB1(d)</t>
        </is>
      </c>
      <c r="G117" s="7" t="inlineStr">
        <is>
          <t>OPTION 2:  Indicator level reporting</t>
        </is>
      </c>
      <c r="H117" s="50">
        <f>IFERROR(IF(INDEX('Faculties'!$M$10:$M$18,MATCH($F117,'Faculties'!$B$10:$B$18,0))="","Cell will autofill based on response",INDEX('Faculties'!$M$10:$M$18,MATCH($F117,'Faculties'!$B$10:$B$18,0))),"N/A")</f>
        <v/>
      </c>
      <c r="I117" s="50">
        <f>IFERROR(IF(INDEX('Faculties'!$M$25:$M$34,MATCH($F117,'Faculties'!$B$25:$B$34,0))="","Cell will autofill based on response",INDEX('Faculties'!$M$25:$M$34,MATCH($F117,'Faculties'!$B$25:$B$34,0))),"N/A")</f>
        <v/>
      </c>
      <c r="J117" s="50">
        <f>IFERROR(IF(INDEX('Faculties'!$M$41:$M$50,MATCH($F117,'Faculties'!$B$41:$B$50,0))="","Cell will autofill based on response",INDEX('Faculties'!$M$41:$M$50,MATCH($F117,'Faculties'!$B$41:$B$50,0))),"N/A")</f>
        <v/>
      </c>
      <c r="K117" s="50">
        <f>IFERROR(IF(INDEX('Faculties'!$M$57:$M$66,MATCH($F117,'Faculties'!$B$57:$B$66,0))="","Cell will autofill based on response",INDEX('Faculties'!$M$57:$M$66,MATCH($F117,'Faculties'!$B$57:$B$66,0))),"N/A")</f>
        <v/>
      </c>
      <c r="L117" s="50">
        <f>IFERROR(IF(INDEX('Faculties'!$M$73:$M$82,MATCH($F117,'Faculties'!$B$73:$B$82,0))="","Cell will autofill based on response",INDEX('Faculties'!$M$73:$M$82,MATCH($F117,'Faculties'!$B$73:$B$82,0))),"N/A")</f>
        <v/>
      </c>
      <c r="M117" s="50">
        <f>IFERROR(IF(INDEX('Faculties'!$M$89:$M$98,MATCH($F117,'Faculties'!$B$89:$B$98,0))="","Cell will autofill based on response",INDEX('Faculties'!$M$89:$M$98,MATCH($F117,'Faculties'!$B$89:$B$98,0))),"N/A")</f>
        <v/>
      </c>
      <c r="N117" s="50">
        <f>IFERROR(IF(INDEX('Faculties'!$M$105:$M$114,MATCH($F117,'Faculties'!$B$105:$B$114,0))="","Cell will autofill based on response",INDEX('Faculties'!$M$105:$M$114,MATCH($F117,'Faculties'!$B$105:$B$114,0))),"N/A")</f>
        <v/>
      </c>
      <c r="O117" s="50">
        <f>IFERROR(IF(INDEX('Faculties'!$M$121:$M$130,MATCH($F117,'Faculties'!$B$121:$B$130,0))="","Cell will autofill based on response",INDEX('Faculties'!$M$121:$M$130,MATCH($F117,'Faculties'!$B$121:$B$130,0))),"N/A")</f>
        <v/>
      </c>
      <c r="P117" s="50">
        <f>IFERROR(IF(INDEX('Faculties'!$M$137:$M$146,MATCH($F117,'Faculties'!$B$137:$B$146,0))="","Cell will autofill based on response",INDEX('Faculties'!$M$137:$M$146,MATCH($F117,'Faculties'!$B$137:$B$146,0))),"N/A")</f>
        <v/>
      </c>
      <c r="Q117" s="50">
        <f>IFERROR(IF(INDEX('CI&amp;S'!$M$10:$M$15,MATCH($F117,'CI&amp;S'!$B$10:$B$15,0))="","Cell will autofill based on response",INDEX('CI&amp;S'!$M$10:$M$15,MATCH($F117,'CI&amp;S'!$B$10:$B$15,0))),"N/A")</f>
        <v/>
      </c>
      <c r="R117" s="50">
        <f>IFERROR(IF(INDEX('CI&amp;S'!$M$22:$M$36,MATCH($F117,'CI&amp;S'!$B$22:$B$36,0))="","Cell will autofill based on response",INDEX('CI&amp;S'!$M$22:$M$36,MATCH($F117,'CI&amp;S'!$B$22:$B$36,0))),"N/A")</f>
        <v/>
      </c>
      <c r="S117" s="50">
        <f>IFERROR(IF(INDEX('CFOG'!$M$10:$M$16,MATCH($F117,'CFOG'!$B$10:$B$16,0))="","Cell will autofill based on response",INDEX('CFOG'!$M$10:$M$16,MATCH($F117,'CFOG'!$B$10:$B$16,0))),"N/A")</f>
        <v/>
      </c>
      <c r="T117" s="50">
        <f>IFERROR(IF(INDEX('CFOG'!$M$23:$M$24,MATCH($F117,'CFOG'!$B$23:$B$24,0))="","Cell will autofill based on response",INDEX('CFOG'!$M$23:$M$24,MATCH($F117,'CFOG'!$B$23:$B$24,0))),"N/A")</f>
        <v/>
      </c>
      <c r="U117" s="50">
        <f>IFERROR(IF(INDEX('ESG'!$M$10:$M$17,MATCH($F117,'ESG'!$B$10:$B$17,0))="","Cell will autofill based on response",INDEX('ESG'!$M$10:$M$17,MATCH($F117,'ESG'!$B$10:$B$17,0))),"N/A")</f>
        <v/>
      </c>
      <c r="V117" s="50">
        <f>IFERROR(IF(INDEX('CIOG'!$M$10:$M$14,MATCH($F117,'CIOG'!$B$10:$B$14,0))="","Cell will autofill based on response",INDEX('CIOG'!$M$10:$M$14,MATCH($F117,'CIOG'!$B$10:$B$14,0))),"N/A")</f>
        <v/>
      </c>
      <c r="W117" s="50">
        <f>IFERROR(IF(INDEX('MRE'!$M$10:$M$18,MATCH($F117,'MRE'!$B$10:$B$18,0))="","Cell will autofill based on response",INDEX('MRE'!$M$10:$M$18,MATCH($F117,'MRE'!$B$10:$B$18,0))),"N/A")</f>
        <v/>
      </c>
      <c r="X117" s="50">
        <f>IFERROR(IF(INDEX('AC&amp;M'!$M$10:$M$14,MATCH($F117,'AC&amp;M'!$B$10:$B$14,0))="","Cell will autofill based on response",INDEX('AC&amp;M'!$M$10:$M$14,MATCH($F117,'AC&amp;M'!$B$10:$B$14,0))),"N/A")</f>
        <v/>
      </c>
      <c r="Y117" s="50">
        <f>IFERROR(IF(INDEX('GCE'!$M$10:$M$12,MATCH($F117,'GCE'!$B$10:$B$12,0))="","Cell will autofill based on response",INDEX('GCE'!$M$10:$M$12,MATCH($F117,'GCE'!$B$10:$B$12,0))),"N/A")</f>
        <v/>
      </c>
      <c r="Z117" s="50">
        <f>IFERROR(IF(INDEX('Education'!$M$10:$M$13,MATCH($F117,'Education'!$B$10:$B$13,0))="","Cell will autofill based on response",INDEX('Education'!$M$10:$M$13,MATCH($F117,'Education'!$B$10:$B$13,0))),"N/A")</f>
        <v/>
      </c>
      <c r="AA117" s="50">
        <f>IFERROR(IF(INDEX('SaSS'!$M$10:$M$12,MATCH($F117,'SaSS'!$B$10:$B$12,0))="","Cell will autofill based on response",INDEX('SaSS'!$M$10:$M$12,MATCH($F117,'SaSS'!$B$10:$B$12,0))),"N/A")</f>
        <v/>
      </c>
      <c r="AB117" s="50">
        <f>IFERROR(IF(INDEX('Indigenous'!$M$10:$M$11,MATCH($F117,'Indigenous'!$B$10:$B$11,0))="","Cell will autofill based on response",INDEX('Indigenous'!$M$10:$M$11,MATCH($F117,'Indigenous'!$B$10:$B$11,0))),"N/A")</f>
        <v/>
      </c>
      <c r="AC117" s="50">
        <f>IFERROR(IF(INDEX('L&amp;R'!$M$10:$M$11,MATCH($F117,'L&amp;R'!$B$10:$B$11,0))="","Cell will autofill based on response",INDEX('L&amp;R'!$M$10:$M$11,MATCH($F117,'L&amp;R'!$B$10:$B$11,0))),"N/A")</f>
        <v/>
      </c>
    </row>
    <row r="118" ht="22" customHeight="1">
      <c r="A118">
        <f>F118&amp;"|"&amp;G118</f>
        <v/>
      </c>
      <c r="B118" s="12" t="inlineStr"/>
      <c r="C118" s="7" t="inlineStr"/>
      <c r="D118" s="7" t="inlineStr"/>
      <c r="E118" s="7" t="inlineStr"/>
      <c r="F118" s="7" t="inlineStr">
        <is>
          <t>NB1(d)</t>
        </is>
      </c>
      <c r="G118" s="7" t="inlineStr">
        <is>
          <t>Supporting information/comments</t>
        </is>
      </c>
      <c r="H118" s="50">
        <f>IFERROR(IF(INDEX('Faculties'!$N$10:$N$18,MATCH($F118,'Faculties'!$B$10:$B$18,0))="","Cell will autofill based on response",INDEX('Faculties'!$N$10:$N$18,MATCH($F118,'Faculties'!$B$10:$B$18,0))),"N/A")</f>
        <v/>
      </c>
      <c r="I118" s="50">
        <f>IFERROR(IF(INDEX('Faculties'!$N$25:$N$34,MATCH($F118,'Faculties'!$B$25:$B$34,0))="","Cell will autofill based on response",INDEX('Faculties'!$N$25:$N$34,MATCH($F118,'Faculties'!$B$25:$B$34,0))),"N/A")</f>
        <v/>
      </c>
      <c r="J118" s="50">
        <f>IFERROR(IF(INDEX('Faculties'!$N$41:$N$50,MATCH($F118,'Faculties'!$B$41:$B$50,0))="","Cell will autofill based on response",INDEX('Faculties'!$N$41:$N$50,MATCH($F118,'Faculties'!$B$41:$B$50,0))),"N/A")</f>
        <v/>
      </c>
      <c r="K118" s="50">
        <f>IFERROR(IF(INDEX('Faculties'!$N$57:$N$66,MATCH($F118,'Faculties'!$B$57:$B$66,0))="","Cell will autofill based on response",INDEX('Faculties'!$N$57:$N$66,MATCH($F118,'Faculties'!$B$57:$B$66,0))),"N/A")</f>
        <v/>
      </c>
      <c r="L118" s="50">
        <f>IFERROR(IF(INDEX('Faculties'!$N$73:$N$82,MATCH($F118,'Faculties'!$B$73:$B$82,0))="","Cell will autofill based on response",INDEX('Faculties'!$N$73:$N$82,MATCH($F118,'Faculties'!$B$73:$B$82,0))),"N/A")</f>
        <v/>
      </c>
      <c r="M118" s="50">
        <f>IFERROR(IF(INDEX('Faculties'!$N$89:$N$98,MATCH($F118,'Faculties'!$B$89:$B$98,0))="","Cell will autofill based on response",INDEX('Faculties'!$N$89:$N$98,MATCH($F118,'Faculties'!$B$89:$B$98,0))),"N/A")</f>
        <v/>
      </c>
      <c r="N118" s="50">
        <f>IFERROR(IF(INDEX('Faculties'!$N$105:$N$114,MATCH($F118,'Faculties'!$B$105:$B$114,0))="","Cell will autofill based on response",INDEX('Faculties'!$N$105:$N$114,MATCH($F118,'Faculties'!$B$105:$B$114,0))),"N/A")</f>
        <v/>
      </c>
      <c r="O118" s="50">
        <f>IFERROR(IF(INDEX('Faculties'!$N$121:$N$130,MATCH($F118,'Faculties'!$B$121:$B$130,0))="","Cell will autofill based on response",INDEX('Faculties'!$N$121:$N$130,MATCH($F118,'Faculties'!$B$121:$B$130,0))),"N/A")</f>
        <v/>
      </c>
      <c r="P118" s="50">
        <f>IFERROR(IF(INDEX('Faculties'!$N$137:$N$146,MATCH($F118,'Faculties'!$B$137:$B$146,0))="","Cell will autofill based on response",INDEX('Faculties'!$N$137:$N$146,MATCH($F118,'Faculties'!$B$137:$B$146,0))),"N/A")</f>
        <v/>
      </c>
      <c r="Q118" s="50">
        <f>IFERROR(IF(INDEX('CI&amp;S'!$N$10:$N$15,MATCH($F118,'CI&amp;S'!$B$10:$B$15,0))="","Cell will autofill based on response",INDEX('CI&amp;S'!$N$10:$N$15,MATCH($F118,'CI&amp;S'!$B$10:$B$15,0))),"N/A")</f>
        <v/>
      </c>
      <c r="R118" s="50">
        <f>IFERROR(IF(INDEX('CI&amp;S'!$N$22:$N$36,MATCH($F118,'CI&amp;S'!$B$22:$B$36,0))="","Cell will autofill based on response",INDEX('CI&amp;S'!$N$22:$N$36,MATCH($F118,'CI&amp;S'!$B$22:$B$36,0))),"N/A")</f>
        <v/>
      </c>
      <c r="S118" s="50">
        <f>IFERROR(IF(INDEX('CFOG'!$N$10:$N$16,MATCH($F118,'CFOG'!$B$10:$B$16,0))="","Cell will autofill based on response",INDEX('CFOG'!$N$10:$N$16,MATCH($F118,'CFOG'!$B$10:$B$16,0))),"N/A")</f>
        <v/>
      </c>
      <c r="T118" s="50">
        <f>IFERROR(IF(INDEX('CFOG'!$N$23:$N$24,MATCH($F118,'CFOG'!$B$23:$B$24,0))="","Cell will autofill based on response",INDEX('CFOG'!$N$23:$N$24,MATCH($F118,'CFOG'!$B$23:$B$24,0))),"N/A")</f>
        <v/>
      </c>
      <c r="U118" s="50">
        <f>IFERROR(IF(INDEX('ESG'!$N$10:$N$17,MATCH($F118,'ESG'!$B$10:$B$17,0))="","Cell will autofill based on response",INDEX('ESG'!$N$10:$N$17,MATCH($F118,'ESG'!$B$10:$B$17,0))),"N/A")</f>
        <v/>
      </c>
      <c r="V118" s="50">
        <f>IFERROR(IF(INDEX('CIOG'!$N$10:$N$14,MATCH($F118,'CIOG'!$B$10:$B$14,0))="","Cell will autofill based on response",INDEX('CIOG'!$N$10:$N$14,MATCH($F118,'CIOG'!$B$10:$B$14,0))),"N/A")</f>
        <v/>
      </c>
      <c r="W118" s="50">
        <f>IFERROR(IF(INDEX('MRE'!$N$10:$N$18,MATCH($F118,'MRE'!$B$10:$B$18,0))="","Cell will autofill based on response",INDEX('MRE'!$N$10:$N$18,MATCH($F118,'MRE'!$B$10:$B$18,0))),"N/A")</f>
        <v/>
      </c>
      <c r="X118" s="50">
        <f>IFERROR(IF(INDEX('AC&amp;M'!$N$10:$N$14,MATCH($F118,'AC&amp;M'!$B$10:$B$14,0))="","Cell will autofill based on response",INDEX('AC&amp;M'!$N$10:$N$14,MATCH($F118,'AC&amp;M'!$B$10:$B$14,0))),"N/A")</f>
        <v/>
      </c>
      <c r="Y118" s="50">
        <f>IFERROR(IF(INDEX('GCE'!$N$10:$N$12,MATCH($F118,'GCE'!$B$10:$B$12,0))="","Cell will autofill based on response",INDEX('GCE'!$N$10:$N$12,MATCH($F118,'GCE'!$B$10:$B$12,0))),"N/A")</f>
        <v/>
      </c>
      <c r="Z118" s="50">
        <f>IFERROR(IF(INDEX('Education'!$N$10:$N$13,MATCH($F118,'Education'!$B$10:$B$13,0))="","Cell will autofill based on response",INDEX('Education'!$N$10:$N$13,MATCH($F118,'Education'!$B$10:$B$13,0))),"N/A")</f>
        <v/>
      </c>
      <c r="AA118" s="50">
        <f>IFERROR(IF(INDEX('SaSS'!$N$10:$N$12,MATCH($F118,'SaSS'!$B$10:$B$12,0))="","Cell will autofill based on response",INDEX('SaSS'!$N$10:$N$12,MATCH($F118,'SaSS'!$B$10:$B$12,0))),"N/A")</f>
        <v/>
      </c>
      <c r="AB118" s="50">
        <f>IFERROR(IF(INDEX('Indigenous'!$N$10:$N$11,MATCH($F118,'Indigenous'!$B$10:$B$11,0))="","Cell will autofill based on response",INDEX('Indigenous'!$N$10:$N$11,MATCH($F118,'Indigenous'!$B$10:$B$11,0))),"N/A")</f>
        <v/>
      </c>
      <c r="AC118" s="50">
        <f>IFERROR(IF(INDEX('L&amp;R'!$N$10:$N$11,MATCH($F118,'L&amp;R'!$B$10:$B$11,0))="","Cell will autofill based on response",INDEX('L&amp;R'!$N$10:$N$11,MATCH($F118,'L&amp;R'!$B$10:$B$11,0))),"N/A")</f>
        <v/>
      </c>
    </row>
    <row r="119" ht="22" customHeight="1">
      <c r="A119">
        <f>F119&amp;"|"&amp;G119</f>
        <v/>
      </c>
      <c r="B119" s="12" t="inlineStr"/>
      <c r="C119" s="7" t="inlineStr"/>
      <c r="D119" s="7" t="inlineStr"/>
      <c r="E119" s="7" t="inlineStr"/>
      <c r="F119" s="7" t="inlineStr">
        <is>
          <t>NB1(d)</t>
        </is>
      </c>
      <c r="G119" s="7" t="inlineStr">
        <is>
          <t>Data source and limitations</t>
        </is>
      </c>
      <c r="H119" s="50">
        <f>IFERROR(IF(INDEX('Faculties'!$O$10:$O$18,MATCH($F119,'Faculties'!$B$10:$B$18,0))="","Cell will autofill based on response",INDEX('Faculties'!$O$10:$O$18,MATCH($F119,'Faculties'!$B$10:$B$18,0))),"N/A")</f>
        <v/>
      </c>
      <c r="I119" s="50">
        <f>IFERROR(IF(INDEX('Faculties'!$O$25:$O$34,MATCH($F119,'Faculties'!$B$25:$B$34,0))="","Cell will autofill based on response",INDEX('Faculties'!$O$25:$O$34,MATCH($F119,'Faculties'!$B$25:$B$34,0))),"N/A")</f>
        <v/>
      </c>
      <c r="J119" s="50">
        <f>IFERROR(IF(INDEX('Faculties'!$O$41:$O$50,MATCH($F119,'Faculties'!$B$41:$B$50,0))="","Cell will autofill based on response",INDEX('Faculties'!$O$41:$O$50,MATCH($F119,'Faculties'!$B$41:$B$50,0))),"N/A")</f>
        <v/>
      </c>
      <c r="K119" s="50">
        <f>IFERROR(IF(INDEX('Faculties'!$O$57:$O$66,MATCH($F119,'Faculties'!$B$57:$B$66,0))="","Cell will autofill based on response",INDEX('Faculties'!$O$57:$O$66,MATCH($F119,'Faculties'!$B$57:$B$66,0))),"N/A")</f>
        <v/>
      </c>
      <c r="L119" s="50">
        <f>IFERROR(IF(INDEX('Faculties'!$O$73:$O$82,MATCH($F119,'Faculties'!$B$73:$B$82,0))="","Cell will autofill based on response",INDEX('Faculties'!$O$73:$O$82,MATCH($F119,'Faculties'!$B$73:$B$82,0))),"N/A")</f>
        <v/>
      </c>
      <c r="M119" s="50">
        <f>IFERROR(IF(INDEX('Faculties'!$O$89:$O$98,MATCH($F119,'Faculties'!$B$89:$B$98,0))="","Cell will autofill based on response",INDEX('Faculties'!$O$89:$O$98,MATCH($F119,'Faculties'!$B$89:$B$98,0))),"N/A")</f>
        <v/>
      </c>
      <c r="N119" s="50">
        <f>IFERROR(IF(INDEX('Faculties'!$O$105:$O$114,MATCH($F119,'Faculties'!$B$105:$B$114,0))="","Cell will autofill based on response",INDEX('Faculties'!$O$105:$O$114,MATCH($F119,'Faculties'!$B$105:$B$114,0))),"N/A")</f>
        <v/>
      </c>
      <c r="O119" s="50">
        <f>IFERROR(IF(INDEX('Faculties'!$O$121:$O$130,MATCH($F119,'Faculties'!$B$121:$B$130,0))="","Cell will autofill based on response",INDEX('Faculties'!$O$121:$O$130,MATCH($F119,'Faculties'!$B$121:$B$130,0))),"N/A")</f>
        <v/>
      </c>
      <c r="P119" s="50">
        <f>IFERROR(IF(INDEX('Faculties'!$O$137:$O$146,MATCH($F119,'Faculties'!$B$137:$B$146,0))="","Cell will autofill based on response",INDEX('Faculties'!$O$137:$O$146,MATCH($F119,'Faculties'!$B$137:$B$146,0))),"N/A")</f>
        <v/>
      </c>
      <c r="Q119" s="50">
        <f>IFERROR(IF(INDEX('CI&amp;S'!$O$10:$O$15,MATCH($F119,'CI&amp;S'!$B$10:$B$15,0))="","Cell will autofill based on response",INDEX('CI&amp;S'!$O$10:$O$15,MATCH($F119,'CI&amp;S'!$B$10:$B$15,0))),"N/A")</f>
        <v/>
      </c>
      <c r="R119" s="50">
        <f>IFERROR(IF(INDEX('CI&amp;S'!$O$22:$O$36,MATCH($F119,'CI&amp;S'!$B$22:$B$36,0))="","Cell will autofill based on response",INDEX('CI&amp;S'!$O$22:$O$36,MATCH($F119,'CI&amp;S'!$B$22:$B$36,0))),"N/A")</f>
        <v/>
      </c>
      <c r="S119" s="50">
        <f>IFERROR(IF(INDEX('CFOG'!$O$10:$O$16,MATCH($F119,'CFOG'!$B$10:$B$16,0))="","Cell will autofill based on response",INDEX('CFOG'!$O$10:$O$16,MATCH($F119,'CFOG'!$B$10:$B$16,0))),"N/A")</f>
        <v/>
      </c>
      <c r="T119" s="50">
        <f>IFERROR(IF(INDEX('CFOG'!$O$23:$O$24,MATCH($F119,'CFOG'!$B$23:$B$24,0))="","Cell will autofill based on response",INDEX('CFOG'!$O$23:$O$24,MATCH($F119,'CFOG'!$B$23:$B$24,0))),"N/A")</f>
        <v/>
      </c>
      <c r="U119" s="50">
        <f>IFERROR(IF(INDEX('ESG'!$O$10:$O$17,MATCH($F119,'ESG'!$B$10:$B$17,0))="","Cell will autofill based on response",INDEX('ESG'!$O$10:$O$17,MATCH($F119,'ESG'!$B$10:$B$17,0))),"N/A")</f>
        <v/>
      </c>
      <c r="V119" s="50">
        <f>IFERROR(IF(INDEX('CIOG'!$O$10:$O$14,MATCH($F119,'CIOG'!$B$10:$B$14,0))="","Cell will autofill based on response",INDEX('CIOG'!$O$10:$O$14,MATCH($F119,'CIOG'!$B$10:$B$14,0))),"N/A")</f>
        <v/>
      </c>
      <c r="W119" s="50">
        <f>IFERROR(IF(INDEX('MRE'!$O$10:$O$18,MATCH($F119,'MRE'!$B$10:$B$18,0))="","Cell will autofill based on response",INDEX('MRE'!$O$10:$O$18,MATCH($F119,'MRE'!$B$10:$B$18,0))),"N/A")</f>
        <v/>
      </c>
      <c r="X119" s="50">
        <f>IFERROR(IF(INDEX('AC&amp;M'!$O$10:$O$14,MATCH($F119,'AC&amp;M'!$B$10:$B$14,0))="","Cell will autofill based on response",INDEX('AC&amp;M'!$O$10:$O$14,MATCH($F119,'AC&amp;M'!$B$10:$B$14,0))),"N/A")</f>
        <v/>
      </c>
      <c r="Y119" s="50">
        <f>IFERROR(IF(INDEX('GCE'!$O$10:$O$12,MATCH($F119,'GCE'!$B$10:$B$12,0))="","Cell will autofill based on response",INDEX('GCE'!$O$10:$O$12,MATCH($F119,'GCE'!$B$10:$B$12,0))),"N/A")</f>
        <v/>
      </c>
      <c r="Z119" s="50">
        <f>IFERROR(IF(INDEX('Education'!$O$10:$O$13,MATCH($F119,'Education'!$B$10:$B$13,0))="","Cell will autofill based on response",INDEX('Education'!$O$10:$O$13,MATCH($F119,'Education'!$B$10:$B$13,0))),"N/A")</f>
        <v/>
      </c>
      <c r="AA119" s="50">
        <f>IFERROR(IF(INDEX('SaSS'!$O$10:$O$12,MATCH($F119,'SaSS'!$B$10:$B$12,0))="","Cell will autofill based on response",INDEX('SaSS'!$O$10:$O$12,MATCH($F119,'SaSS'!$B$10:$B$12,0))),"N/A")</f>
        <v/>
      </c>
      <c r="AB119" s="50">
        <f>IFERROR(IF(INDEX('Indigenous'!$O$10:$O$11,MATCH($F119,'Indigenous'!$B$10:$B$11,0))="","Cell will autofill based on response",INDEX('Indigenous'!$O$10:$O$11,MATCH($F119,'Indigenous'!$B$10:$B$11,0))),"N/A")</f>
        <v/>
      </c>
      <c r="AC119" s="50">
        <f>IFERROR(IF(INDEX('L&amp;R'!$O$10:$O$11,MATCH($F119,'L&amp;R'!$B$10:$B$11,0))="","Cell will autofill based on response",INDEX('L&amp;R'!$O$10:$O$11,MATCH($F119,'L&amp;R'!$B$10:$B$11,0))),"N/A")</f>
        <v/>
      </c>
    </row>
    <row r="120" ht="22" customHeight="1">
      <c r="A120">
        <f>F120&amp;"|"&amp;G120</f>
        <v/>
      </c>
      <c r="B120" s="12" t="inlineStr"/>
      <c r="C120" s="7" t="inlineStr"/>
      <c r="D120" s="7" t="inlineStr"/>
      <c r="E120" s="7" t="inlineStr"/>
      <c r="F120" s="7" t="inlineStr">
        <is>
          <t>NB1(d)</t>
        </is>
      </c>
      <c r="G120" s="7" t="inlineStr">
        <is>
          <t>Data owner confirms</t>
        </is>
      </c>
      <c r="H120" s="50">
        <f>IFERROR(IF(INDEX('Faculties'!$P$10:$P$18,MATCH($F120,'Faculties'!$B$10:$B$18,0))="","Cell will autofill based on response",INDEX('Faculties'!$P$10:$P$18,MATCH($F120,'Faculties'!$B$10:$B$18,0))),"N/A")</f>
        <v/>
      </c>
      <c r="I120" s="50">
        <f>IFERROR(IF(INDEX('Faculties'!$P$25:$P$34,MATCH($F120,'Faculties'!$B$25:$B$34,0))="","Cell will autofill based on response",INDEX('Faculties'!$P$25:$P$34,MATCH($F120,'Faculties'!$B$25:$B$34,0))),"N/A")</f>
        <v/>
      </c>
      <c r="J120" s="50">
        <f>IFERROR(IF(INDEX('Faculties'!$P$41:$P$50,MATCH($F120,'Faculties'!$B$41:$B$50,0))="","Cell will autofill based on response",INDEX('Faculties'!$P$41:$P$50,MATCH($F120,'Faculties'!$B$41:$B$50,0))),"N/A")</f>
        <v/>
      </c>
      <c r="K120" s="50">
        <f>IFERROR(IF(INDEX('Faculties'!$P$57:$P$66,MATCH($F120,'Faculties'!$B$57:$B$66,0))="","Cell will autofill based on response",INDEX('Faculties'!$P$57:$P$66,MATCH($F120,'Faculties'!$B$57:$B$66,0))),"N/A")</f>
        <v/>
      </c>
      <c r="L120" s="50">
        <f>IFERROR(IF(INDEX('Faculties'!$P$73:$P$82,MATCH($F120,'Faculties'!$B$73:$B$82,0))="","Cell will autofill based on response",INDEX('Faculties'!$P$73:$P$82,MATCH($F120,'Faculties'!$B$73:$B$82,0))),"N/A")</f>
        <v/>
      </c>
      <c r="M120" s="50">
        <f>IFERROR(IF(INDEX('Faculties'!$P$89:$P$98,MATCH($F120,'Faculties'!$B$89:$B$98,0))="","Cell will autofill based on response",INDEX('Faculties'!$P$89:$P$98,MATCH($F120,'Faculties'!$B$89:$B$98,0))),"N/A")</f>
        <v/>
      </c>
      <c r="N120" s="50">
        <f>IFERROR(IF(INDEX('Faculties'!$P$105:$P$114,MATCH($F120,'Faculties'!$B$105:$B$114,0))="","Cell will autofill based on response",INDEX('Faculties'!$P$105:$P$114,MATCH($F120,'Faculties'!$B$105:$B$114,0))),"N/A")</f>
        <v/>
      </c>
      <c r="O120" s="50">
        <f>IFERROR(IF(INDEX('Faculties'!$P$121:$P$130,MATCH($F120,'Faculties'!$B$121:$B$130,0))="","Cell will autofill based on response",INDEX('Faculties'!$P$121:$P$130,MATCH($F120,'Faculties'!$B$121:$B$130,0))),"N/A")</f>
        <v/>
      </c>
      <c r="P120" s="50">
        <f>IFERROR(IF(INDEX('Faculties'!$P$137:$P$146,MATCH($F120,'Faculties'!$B$137:$B$146,0))="","Cell will autofill based on response",INDEX('Faculties'!$P$137:$P$146,MATCH($F120,'Faculties'!$B$137:$B$146,0))),"N/A")</f>
        <v/>
      </c>
      <c r="Q120" s="50">
        <f>IFERROR(IF(INDEX('CI&amp;S'!$P$10:$P$15,MATCH($F120,'CI&amp;S'!$B$10:$B$15,0))="","Cell will autofill based on response",INDEX('CI&amp;S'!$P$10:$P$15,MATCH($F120,'CI&amp;S'!$B$10:$B$15,0))),"N/A")</f>
        <v/>
      </c>
      <c r="R120" s="50">
        <f>IFERROR(IF(INDEX('CI&amp;S'!$P$22:$P$36,MATCH($F120,'CI&amp;S'!$B$22:$B$36,0))="","Cell will autofill based on response",INDEX('CI&amp;S'!$P$22:$P$36,MATCH($F120,'CI&amp;S'!$B$22:$B$36,0))),"N/A")</f>
        <v/>
      </c>
      <c r="S120" s="50">
        <f>IFERROR(IF(INDEX('CFOG'!$P$10:$P$16,MATCH($F120,'CFOG'!$B$10:$B$16,0))="","Cell will autofill based on response",INDEX('CFOG'!$P$10:$P$16,MATCH($F120,'CFOG'!$B$10:$B$16,0))),"N/A")</f>
        <v/>
      </c>
      <c r="T120" s="50">
        <f>IFERROR(IF(INDEX('CFOG'!$P$23:$P$24,MATCH($F120,'CFOG'!$B$23:$B$24,0))="","Cell will autofill based on response",INDEX('CFOG'!$P$23:$P$24,MATCH($F120,'CFOG'!$B$23:$B$24,0))),"N/A")</f>
        <v/>
      </c>
      <c r="U120" s="50">
        <f>IFERROR(IF(INDEX('ESG'!$P$10:$P$17,MATCH($F120,'ESG'!$B$10:$B$17,0))="","Cell will autofill based on response",INDEX('ESG'!$P$10:$P$17,MATCH($F120,'ESG'!$B$10:$B$17,0))),"N/A")</f>
        <v/>
      </c>
      <c r="V120" s="50">
        <f>IFERROR(IF(INDEX('CIOG'!$P$10:$P$14,MATCH($F120,'CIOG'!$B$10:$B$14,0))="","Cell will autofill based on response",INDEX('CIOG'!$P$10:$P$14,MATCH($F120,'CIOG'!$B$10:$B$14,0))),"N/A")</f>
        <v/>
      </c>
      <c r="W120" s="50">
        <f>IFERROR(IF(INDEX('MRE'!$P$10:$P$18,MATCH($F120,'MRE'!$B$10:$B$18,0))="","Cell will autofill based on response",INDEX('MRE'!$P$10:$P$18,MATCH($F120,'MRE'!$B$10:$B$18,0))),"N/A")</f>
        <v/>
      </c>
      <c r="X120" s="50">
        <f>IFERROR(IF(INDEX('AC&amp;M'!$P$10:$P$14,MATCH($F120,'AC&amp;M'!$B$10:$B$14,0))="","Cell will autofill based on response",INDEX('AC&amp;M'!$P$10:$P$14,MATCH($F120,'AC&amp;M'!$B$10:$B$14,0))),"N/A")</f>
        <v/>
      </c>
      <c r="Y120" s="50">
        <f>IFERROR(IF(INDEX('GCE'!$P$10:$P$12,MATCH($F120,'GCE'!$B$10:$B$12,0))="","Cell will autofill based on response",INDEX('GCE'!$P$10:$P$12,MATCH($F120,'GCE'!$B$10:$B$12,0))),"N/A")</f>
        <v/>
      </c>
      <c r="Z120" s="50">
        <f>IFERROR(IF(INDEX('Education'!$P$10:$P$13,MATCH($F120,'Education'!$B$10:$B$13,0))="","Cell will autofill based on response",INDEX('Education'!$P$10:$P$13,MATCH($F120,'Education'!$B$10:$B$13,0))),"N/A")</f>
        <v/>
      </c>
      <c r="AA120" s="50">
        <f>IFERROR(IF(INDEX('SaSS'!$P$10:$P$12,MATCH($F120,'SaSS'!$B$10:$B$12,0))="","Cell will autofill based on response",INDEX('SaSS'!$P$10:$P$12,MATCH($F120,'SaSS'!$B$10:$B$12,0))),"N/A")</f>
        <v/>
      </c>
      <c r="AB120" s="50">
        <f>IFERROR(IF(INDEX('Indigenous'!$P$10:$P$11,MATCH($F120,'Indigenous'!$B$10:$B$11,0))="","Cell will autofill based on response",INDEX('Indigenous'!$P$10:$P$11,MATCH($F120,'Indigenous'!$B$10:$B$11,0))),"N/A")</f>
        <v/>
      </c>
      <c r="AC120" s="50">
        <f>IFERROR(IF(INDEX('L&amp;R'!$P$10:$P$11,MATCH($F120,'L&amp;R'!$B$10:$B$11,0))="","Cell will autofill based on response",INDEX('L&amp;R'!$P$10:$P$11,MATCH($F120,'L&amp;R'!$B$10:$B$11,0))),"N/A")</f>
        <v/>
      </c>
    </row>
    <row r="121" ht="39" customHeight="1">
      <c r="A121">
        <f>F121&amp;"|"&amp;G121</f>
        <v/>
      </c>
      <c r="B121" s="6" t="inlineStr">
        <is>
          <t>NB2(a)</t>
        </is>
      </c>
      <c r="C121" s="48" t="inlineStr">
        <is>
          <t>Nature and biodiversity</t>
        </is>
      </c>
      <c r="D121" s="48" t="inlineStr">
        <is>
          <t>Documented baseline nature footprint analysis</t>
        </is>
      </c>
      <c r="E121" s="48" t="inlineStr">
        <is>
          <t>Impact Encore Measurement</t>
        </is>
      </c>
      <c r="F121" s="48" t="inlineStr">
        <is>
          <t>NB2(a)</t>
        </is>
      </c>
      <c r="G121" s="48" t="inlineStr">
        <is>
          <t>OPTION 1:  Target-level reporting</t>
        </is>
      </c>
      <c r="H121" s="50">
        <f>IFERROR(IF(INDEX('Faculties'!$L$10:$L$18,MATCH($F121,'Faculties'!$B$10:$B$18,0))="","Cell will autofill based on response",INDEX('Faculties'!$L$10:$L$18,MATCH($F121,'Faculties'!$B$10:$B$18,0))),"N/A")</f>
        <v/>
      </c>
      <c r="I121" s="50">
        <f>IFERROR(IF(INDEX('Faculties'!$L$25:$L$34,MATCH($F121,'Faculties'!$B$25:$B$34,0))="","Cell will autofill based on response",INDEX('Faculties'!$L$25:$L$34,MATCH($F121,'Faculties'!$B$25:$B$34,0))),"N/A")</f>
        <v/>
      </c>
      <c r="J121" s="50">
        <f>IFERROR(IF(INDEX('Faculties'!$L$41:$L$50,MATCH($F121,'Faculties'!$B$41:$B$50,0))="","Cell will autofill based on response",INDEX('Faculties'!$L$41:$L$50,MATCH($F121,'Faculties'!$B$41:$B$50,0))),"N/A")</f>
        <v/>
      </c>
      <c r="K121" s="50">
        <f>IFERROR(IF(INDEX('Faculties'!$L$57:$L$66,MATCH($F121,'Faculties'!$B$57:$B$66,0))="","Cell will autofill based on response",INDEX('Faculties'!$L$57:$L$66,MATCH($F121,'Faculties'!$B$57:$B$66,0))),"N/A")</f>
        <v/>
      </c>
      <c r="L121" s="50">
        <f>IFERROR(IF(INDEX('Faculties'!$L$73:$L$82,MATCH($F121,'Faculties'!$B$73:$B$82,0))="","Cell will autofill based on response",INDEX('Faculties'!$L$73:$L$82,MATCH($F121,'Faculties'!$B$73:$B$82,0))),"N/A")</f>
        <v/>
      </c>
      <c r="M121" s="50">
        <f>IFERROR(IF(INDEX('Faculties'!$L$89:$L$98,MATCH($F121,'Faculties'!$B$89:$B$98,0))="","Cell will autofill based on response",INDEX('Faculties'!$L$89:$L$98,MATCH($F121,'Faculties'!$B$89:$B$98,0))),"N/A")</f>
        <v/>
      </c>
      <c r="N121" s="50">
        <f>IFERROR(IF(INDEX('Faculties'!$L$105:$L$114,MATCH($F121,'Faculties'!$B$105:$B$114,0))="","Cell will autofill based on response",INDEX('Faculties'!$L$105:$L$114,MATCH($F121,'Faculties'!$B$105:$B$114,0))),"N/A")</f>
        <v/>
      </c>
      <c r="O121" s="50">
        <f>IFERROR(IF(INDEX('Faculties'!$L$121:$L$130,MATCH($F121,'Faculties'!$B$121:$B$130,0))="","Cell will autofill based on response",INDEX('Faculties'!$L$121:$L$130,MATCH($F121,'Faculties'!$B$121:$B$130,0))),"N/A")</f>
        <v/>
      </c>
      <c r="P121" s="50">
        <f>IFERROR(IF(INDEX('Faculties'!$L$137:$L$146,MATCH($F121,'Faculties'!$B$137:$B$146,0))="","Cell will autofill based on response",INDEX('Faculties'!$L$137:$L$146,MATCH($F121,'Faculties'!$B$137:$B$146,0))),"N/A")</f>
        <v/>
      </c>
      <c r="Q121" s="50">
        <f>IFERROR(IF(INDEX('CI&amp;S'!$L$10:$L$15,MATCH($F121,'CI&amp;S'!$B$10:$B$15,0))="","Cell will autofill based on response",INDEX('CI&amp;S'!$L$10:$L$15,MATCH($F121,'CI&amp;S'!$B$10:$B$15,0))),"N/A")</f>
        <v/>
      </c>
      <c r="R121" s="50">
        <f>IFERROR(IF(INDEX('CI&amp;S'!$L$22:$L$36,MATCH($F121,'CI&amp;S'!$B$22:$B$36,0))="","Cell will autofill based on response",INDEX('CI&amp;S'!$L$22:$L$36,MATCH($F121,'CI&amp;S'!$B$22:$B$36,0))),"N/A")</f>
        <v/>
      </c>
      <c r="S121" s="50">
        <f>IFERROR(IF(INDEX('CFOG'!$L$10:$L$16,MATCH($F121,'CFOG'!$B$10:$B$16,0))="","Cell will autofill based on response",INDEX('CFOG'!$L$10:$L$16,MATCH($F121,'CFOG'!$B$10:$B$16,0))),"N/A")</f>
        <v/>
      </c>
      <c r="T121" s="50">
        <f>IFERROR(IF(INDEX('CFOG'!$L$23:$L$24,MATCH($F121,'CFOG'!$B$23:$B$24,0))="","Cell will autofill based on response",INDEX('CFOG'!$L$23:$L$24,MATCH($F121,'CFOG'!$B$23:$B$24,0))),"N/A")</f>
        <v/>
      </c>
      <c r="U121" s="50">
        <f>IFERROR(IF(INDEX('ESG'!$L$10:$L$17,MATCH($F121,'ESG'!$B$10:$B$17,0))="","Cell will autofill based on response",INDEX('ESG'!$L$10:$L$17,MATCH($F121,'ESG'!$B$10:$B$17,0))),"N/A")</f>
        <v/>
      </c>
      <c r="V121" s="50">
        <f>IFERROR(IF(INDEX('CIOG'!$L$10:$L$14,MATCH($F121,'CIOG'!$B$10:$B$14,0))="","Cell will autofill based on response",INDEX('CIOG'!$L$10:$L$14,MATCH($F121,'CIOG'!$B$10:$B$14,0))),"N/A")</f>
        <v/>
      </c>
      <c r="W121" s="50">
        <f>IFERROR(IF(INDEX('MRE'!$L$10:$L$18,MATCH($F121,'MRE'!$B$10:$B$18,0))="","Cell will autofill based on response",INDEX('MRE'!$L$10:$L$18,MATCH($F121,'MRE'!$B$10:$B$18,0))),"N/A")</f>
        <v/>
      </c>
      <c r="X121" s="50">
        <f>IFERROR(IF(INDEX('AC&amp;M'!$L$10:$L$14,MATCH($F121,'AC&amp;M'!$B$10:$B$14,0))="","Cell will autofill based on response",INDEX('AC&amp;M'!$L$10:$L$14,MATCH($F121,'AC&amp;M'!$B$10:$B$14,0))),"N/A")</f>
        <v/>
      </c>
      <c r="Y121" s="50">
        <f>IFERROR(IF(INDEX('GCE'!$L$10:$L$12,MATCH($F121,'GCE'!$B$10:$B$12,0))="","Cell will autofill based on response",INDEX('GCE'!$L$10:$L$12,MATCH($F121,'GCE'!$B$10:$B$12,0))),"N/A")</f>
        <v/>
      </c>
      <c r="Z121" s="50">
        <f>IFERROR(IF(INDEX('Education'!$L$10:$L$13,MATCH($F121,'Education'!$B$10:$B$13,0))="","Cell will autofill based on response",INDEX('Education'!$L$10:$L$13,MATCH($F121,'Education'!$B$10:$B$13,0))),"N/A")</f>
        <v/>
      </c>
      <c r="AA121" s="50">
        <f>IFERROR(IF(INDEX('SaSS'!$L$10:$L$12,MATCH($F121,'SaSS'!$B$10:$B$12,0))="","Cell will autofill based on response",INDEX('SaSS'!$L$10:$L$12,MATCH($F121,'SaSS'!$B$10:$B$12,0))),"N/A")</f>
        <v/>
      </c>
      <c r="AB121" s="50">
        <f>IFERROR(IF(INDEX('Indigenous'!$L$10:$L$11,MATCH($F121,'Indigenous'!$B$10:$B$11,0))="","Cell will autofill based on response",INDEX('Indigenous'!$L$10:$L$11,MATCH($F121,'Indigenous'!$B$10:$B$11,0))),"N/A")</f>
        <v/>
      </c>
      <c r="AC121" s="50">
        <f>IFERROR(IF(INDEX('L&amp;R'!$L$10:$L$11,MATCH($F121,'L&amp;R'!$B$10:$B$11,0))="","Cell will autofill based on response",INDEX('L&amp;R'!$L$10:$L$11,MATCH($F121,'L&amp;R'!$B$10:$B$11,0))),"N/A")</f>
        <v/>
      </c>
      <c r="AE121" s="9">
        <f>SUMPRODUCT(--($H121:$AC121&lt;&gt;"N/A"))</f>
        <v/>
      </c>
      <c r="AF121" s="9">
        <f>SUMPRODUCT(--(((($H121:$AC121&lt;&gt;"N/A")*($H121:$AC121&lt;&gt;"Cell will autofill based on response"))+(($H122:$AC122&lt;&gt;"N/A")*($H122:$AC122&lt;&gt;"Cell will autofill based on response")))&gt;0))</f>
        <v/>
      </c>
      <c r="AG121" s="9">
        <f>AE121-AF121</f>
        <v/>
      </c>
      <c r="AH121" s="9">
        <f>COUNTIF($H125:$AC125,"Yes")</f>
        <v/>
      </c>
    </row>
    <row r="122" ht="39" customHeight="1">
      <c r="A122">
        <f>F122&amp;"|"&amp;G122</f>
        <v/>
      </c>
      <c r="B122" s="12" t="inlineStr"/>
      <c r="C122" s="7" t="inlineStr"/>
      <c r="D122" s="7" t="inlineStr"/>
      <c r="E122" s="7" t="inlineStr"/>
      <c r="F122" s="7" t="inlineStr">
        <is>
          <t>NB2(a)</t>
        </is>
      </c>
      <c r="G122" s="7" t="inlineStr">
        <is>
          <t>OPTION 2:  Indicator level reporting</t>
        </is>
      </c>
      <c r="H122" s="50">
        <f>IFERROR(IF(INDEX('Faculties'!$M$10:$M$18,MATCH($F122,'Faculties'!$B$10:$B$18,0))="","Cell will autofill based on response",INDEX('Faculties'!$M$10:$M$18,MATCH($F122,'Faculties'!$B$10:$B$18,0))),"N/A")</f>
        <v/>
      </c>
      <c r="I122" s="50">
        <f>IFERROR(IF(INDEX('Faculties'!$M$25:$M$34,MATCH($F122,'Faculties'!$B$25:$B$34,0))="","Cell will autofill based on response",INDEX('Faculties'!$M$25:$M$34,MATCH($F122,'Faculties'!$B$25:$B$34,0))),"N/A")</f>
        <v/>
      </c>
      <c r="J122" s="50">
        <f>IFERROR(IF(INDEX('Faculties'!$M$41:$M$50,MATCH($F122,'Faculties'!$B$41:$B$50,0))="","Cell will autofill based on response",INDEX('Faculties'!$M$41:$M$50,MATCH($F122,'Faculties'!$B$41:$B$50,0))),"N/A")</f>
        <v/>
      </c>
      <c r="K122" s="50">
        <f>IFERROR(IF(INDEX('Faculties'!$M$57:$M$66,MATCH($F122,'Faculties'!$B$57:$B$66,0))="","Cell will autofill based on response",INDEX('Faculties'!$M$57:$M$66,MATCH($F122,'Faculties'!$B$57:$B$66,0))),"N/A")</f>
        <v/>
      </c>
      <c r="L122" s="50">
        <f>IFERROR(IF(INDEX('Faculties'!$M$73:$M$82,MATCH($F122,'Faculties'!$B$73:$B$82,0))="","Cell will autofill based on response",INDEX('Faculties'!$M$73:$M$82,MATCH($F122,'Faculties'!$B$73:$B$82,0))),"N/A")</f>
        <v/>
      </c>
      <c r="M122" s="50">
        <f>IFERROR(IF(INDEX('Faculties'!$M$89:$M$98,MATCH($F122,'Faculties'!$B$89:$B$98,0))="","Cell will autofill based on response",INDEX('Faculties'!$M$89:$M$98,MATCH($F122,'Faculties'!$B$89:$B$98,0))),"N/A")</f>
        <v/>
      </c>
      <c r="N122" s="50">
        <f>IFERROR(IF(INDEX('Faculties'!$M$105:$M$114,MATCH($F122,'Faculties'!$B$105:$B$114,0))="","Cell will autofill based on response",INDEX('Faculties'!$M$105:$M$114,MATCH($F122,'Faculties'!$B$105:$B$114,0))),"N/A")</f>
        <v/>
      </c>
      <c r="O122" s="50">
        <f>IFERROR(IF(INDEX('Faculties'!$M$121:$M$130,MATCH($F122,'Faculties'!$B$121:$B$130,0))="","Cell will autofill based on response",INDEX('Faculties'!$M$121:$M$130,MATCH($F122,'Faculties'!$B$121:$B$130,0))),"N/A")</f>
        <v/>
      </c>
      <c r="P122" s="50">
        <f>IFERROR(IF(INDEX('Faculties'!$M$137:$M$146,MATCH($F122,'Faculties'!$B$137:$B$146,0))="","Cell will autofill based on response",INDEX('Faculties'!$M$137:$M$146,MATCH($F122,'Faculties'!$B$137:$B$146,0))),"N/A")</f>
        <v/>
      </c>
      <c r="Q122" s="50">
        <f>IFERROR(IF(INDEX('CI&amp;S'!$M$10:$M$15,MATCH($F122,'CI&amp;S'!$B$10:$B$15,0))="","Cell will autofill based on response",INDEX('CI&amp;S'!$M$10:$M$15,MATCH($F122,'CI&amp;S'!$B$10:$B$15,0))),"N/A")</f>
        <v/>
      </c>
      <c r="R122" s="50">
        <f>IFERROR(IF(INDEX('CI&amp;S'!$M$22:$M$36,MATCH($F122,'CI&amp;S'!$B$22:$B$36,0))="","Cell will autofill based on response",INDEX('CI&amp;S'!$M$22:$M$36,MATCH($F122,'CI&amp;S'!$B$22:$B$36,0))),"N/A")</f>
        <v/>
      </c>
      <c r="S122" s="50">
        <f>IFERROR(IF(INDEX('CFOG'!$M$10:$M$16,MATCH($F122,'CFOG'!$B$10:$B$16,0))="","Cell will autofill based on response",INDEX('CFOG'!$M$10:$M$16,MATCH($F122,'CFOG'!$B$10:$B$16,0))),"N/A")</f>
        <v/>
      </c>
      <c r="T122" s="50">
        <f>IFERROR(IF(INDEX('CFOG'!$M$23:$M$24,MATCH($F122,'CFOG'!$B$23:$B$24,0))="","Cell will autofill based on response",INDEX('CFOG'!$M$23:$M$24,MATCH($F122,'CFOG'!$B$23:$B$24,0))),"N/A")</f>
        <v/>
      </c>
      <c r="U122" s="50">
        <f>IFERROR(IF(INDEX('ESG'!$M$10:$M$17,MATCH($F122,'ESG'!$B$10:$B$17,0))="","Cell will autofill based on response",INDEX('ESG'!$M$10:$M$17,MATCH($F122,'ESG'!$B$10:$B$17,0))),"N/A")</f>
        <v/>
      </c>
      <c r="V122" s="50">
        <f>IFERROR(IF(INDEX('CIOG'!$M$10:$M$14,MATCH($F122,'CIOG'!$B$10:$B$14,0))="","Cell will autofill based on response",INDEX('CIOG'!$M$10:$M$14,MATCH($F122,'CIOG'!$B$10:$B$14,0))),"N/A")</f>
        <v/>
      </c>
      <c r="W122" s="50">
        <f>IFERROR(IF(INDEX('MRE'!$M$10:$M$18,MATCH($F122,'MRE'!$B$10:$B$18,0))="","Cell will autofill based on response",INDEX('MRE'!$M$10:$M$18,MATCH($F122,'MRE'!$B$10:$B$18,0))),"N/A")</f>
        <v/>
      </c>
      <c r="X122" s="50">
        <f>IFERROR(IF(INDEX('AC&amp;M'!$M$10:$M$14,MATCH($F122,'AC&amp;M'!$B$10:$B$14,0))="","Cell will autofill based on response",INDEX('AC&amp;M'!$M$10:$M$14,MATCH($F122,'AC&amp;M'!$B$10:$B$14,0))),"N/A")</f>
        <v/>
      </c>
      <c r="Y122" s="50">
        <f>IFERROR(IF(INDEX('GCE'!$M$10:$M$12,MATCH($F122,'GCE'!$B$10:$B$12,0))="","Cell will autofill based on response",INDEX('GCE'!$M$10:$M$12,MATCH($F122,'GCE'!$B$10:$B$12,0))),"N/A")</f>
        <v/>
      </c>
      <c r="Z122" s="50">
        <f>IFERROR(IF(INDEX('Education'!$M$10:$M$13,MATCH($F122,'Education'!$B$10:$B$13,0))="","Cell will autofill based on response",INDEX('Education'!$M$10:$M$13,MATCH($F122,'Education'!$B$10:$B$13,0))),"N/A")</f>
        <v/>
      </c>
      <c r="AA122" s="50">
        <f>IFERROR(IF(INDEX('SaSS'!$M$10:$M$12,MATCH($F122,'SaSS'!$B$10:$B$12,0))="","Cell will autofill based on response",INDEX('SaSS'!$M$10:$M$12,MATCH($F122,'SaSS'!$B$10:$B$12,0))),"N/A")</f>
        <v/>
      </c>
      <c r="AB122" s="50">
        <f>IFERROR(IF(INDEX('Indigenous'!$M$10:$M$11,MATCH($F122,'Indigenous'!$B$10:$B$11,0))="","Cell will autofill based on response",INDEX('Indigenous'!$M$10:$M$11,MATCH($F122,'Indigenous'!$B$10:$B$11,0))),"N/A")</f>
        <v/>
      </c>
      <c r="AC122" s="50">
        <f>IFERROR(IF(INDEX('L&amp;R'!$M$10:$M$11,MATCH($F122,'L&amp;R'!$B$10:$B$11,0))="","Cell will autofill based on response",INDEX('L&amp;R'!$M$10:$M$11,MATCH($F122,'L&amp;R'!$B$10:$B$11,0))),"N/A")</f>
        <v/>
      </c>
    </row>
    <row r="123" ht="22" customHeight="1">
      <c r="A123">
        <f>F123&amp;"|"&amp;G123</f>
        <v/>
      </c>
      <c r="B123" s="12" t="inlineStr"/>
      <c r="C123" s="7" t="inlineStr"/>
      <c r="D123" s="7" t="inlineStr"/>
      <c r="E123" s="7" t="inlineStr"/>
      <c r="F123" s="7" t="inlineStr">
        <is>
          <t>NB2(a)</t>
        </is>
      </c>
      <c r="G123" s="7" t="inlineStr">
        <is>
          <t>Supporting information/comments</t>
        </is>
      </c>
      <c r="H123" s="50">
        <f>IFERROR(IF(INDEX('Faculties'!$N$10:$N$18,MATCH($F123,'Faculties'!$B$10:$B$18,0))="","Cell will autofill based on response",INDEX('Faculties'!$N$10:$N$18,MATCH($F123,'Faculties'!$B$10:$B$18,0))),"N/A")</f>
        <v/>
      </c>
      <c r="I123" s="50">
        <f>IFERROR(IF(INDEX('Faculties'!$N$25:$N$34,MATCH($F123,'Faculties'!$B$25:$B$34,0))="","Cell will autofill based on response",INDEX('Faculties'!$N$25:$N$34,MATCH($F123,'Faculties'!$B$25:$B$34,0))),"N/A")</f>
        <v/>
      </c>
      <c r="J123" s="50">
        <f>IFERROR(IF(INDEX('Faculties'!$N$41:$N$50,MATCH($F123,'Faculties'!$B$41:$B$50,0))="","Cell will autofill based on response",INDEX('Faculties'!$N$41:$N$50,MATCH($F123,'Faculties'!$B$41:$B$50,0))),"N/A")</f>
        <v/>
      </c>
      <c r="K123" s="50">
        <f>IFERROR(IF(INDEX('Faculties'!$N$57:$N$66,MATCH($F123,'Faculties'!$B$57:$B$66,0))="","Cell will autofill based on response",INDEX('Faculties'!$N$57:$N$66,MATCH($F123,'Faculties'!$B$57:$B$66,0))),"N/A")</f>
        <v/>
      </c>
      <c r="L123" s="50">
        <f>IFERROR(IF(INDEX('Faculties'!$N$73:$N$82,MATCH($F123,'Faculties'!$B$73:$B$82,0))="","Cell will autofill based on response",INDEX('Faculties'!$N$73:$N$82,MATCH($F123,'Faculties'!$B$73:$B$82,0))),"N/A")</f>
        <v/>
      </c>
      <c r="M123" s="50">
        <f>IFERROR(IF(INDEX('Faculties'!$N$89:$N$98,MATCH($F123,'Faculties'!$B$89:$B$98,0))="","Cell will autofill based on response",INDEX('Faculties'!$N$89:$N$98,MATCH($F123,'Faculties'!$B$89:$B$98,0))),"N/A")</f>
        <v/>
      </c>
      <c r="N123" s="50">
        <f>IFERROR(IF(INDEX('Faculties'!$N$105:$N$114,MATCH($F123,'Faculties'!$B$105:$B$114,0))="","Cell will autofill based on response",INDEX('Faculties'!$N$105:$N$114,MATCH($F123,'Faculties'!$B$105:$B$114,0))),"N/A")</f>
        <v/>
      </c>
      <c r="O123" s="50">
        <f>IFERROR(IF(INDEX('Faculties'!$N$121:$N$130,MATCH($F123,'Faculties'!$B$121:$B$130,0))="","Cell will autofill based on response",INDEX('Faculties'!$N$121:$N$130,MATCH($F123,'Faculties'!$B$121:$B$130,0))),"N/A")</f>
        <v/>
      </c>
      <c r="P123" s="50">
        <f>IFERROR(IF(INDEX('Faculties'!$N$137:$N$146,MATCH($F123,'Faculties'!$B$137:$B$146,0))="","Cell will autofill based on response",INDEX('Faculties'!$N$137:$N$146,MATCH($F123,'Faculties'!$B$137:$B$146,0))),"N/A")</f>
        <v/>
      </c>
      <c r="Q123" s="50">
        <f>IFERROR(IF(INDEX('CI&amp;S'!$N$10:$N$15,MATCH($F123,'CI&amp;S'!$B$10:$B$15,0))="","Cell will autofill based on response",INDEX('CI&amp;S'!$N$10:$N$15,MATCH($F123,'CI&amp;S'!$B$10:$B$15,0))),"N/A")</f>
        <v/>
      </c>
      <c r="R123" s="50">
        <f>IFERROR(IF(INDEX('CI&amp;S'!$N$22:$N$36,MATCH($F123,'CI&amp;S'!$B$22:$B$36,0))="","Cell will autofill based on response",INDEX('CI&amp;S'!$N$22:$N$36,MATCH($F123,'CI&amp;S'!$B$22:$B$36,0))),"N/A")</f>
        <v/>
      </c>
      <c r="S123" s="50">
        <f>IFERROR(IF(INDEX('CFOG'!$N$10:$N$16,MATCH($F123,'CFOG'!$B$10:$B$16,0))="","Cell will autofill based on response",INDEX('CFOG'!$N$10:$N$16,MATCH($F123,'CFOG'!$B$10:$B$16,0))),"N/A")</f>
        <v/>
      </c>
      <c r="T123" s="50">
        <f>IFERROR(IF(INDEX('CFOG'!$N$23:$N$24,MATCH($F123,'CFOG'!$B$23:$B$24,0))="","Cell will autofill based on response",INDEX('CFOG'!$N$23:$N$24,MATCH($F123,'CFOG'!$B$23:$B$24,0))),"N/A")</f>
        <v/>
      </c>
      <c r="U123" s="50">
        <f>IFERROR(IF(INDEX('ESG'!$N$10:$N$17,MATCH($F123,'ESG'!$B$10:$B$17,0))="","Cell will autofill based on response",INDEX('ESG'!$N$10:$N$17,MATCH($F123,'ESG'!$B$10:$B$17,0))),"N/A")</f>
        <v/>
      </c>
      <c r="V123" s="50">
        <f>IFERROR(IF(INDEX('CIOG'!$N$10:$N$14,MATCH($F123,'CIOG'!$B$10:$B$14,0))="","Cell will autofill based on response",INDEX('CIOG'!$N$10:$N$14,MATCH($F123,'CIOG'!$B$10:$B$14,0))),"N/A")</f>
        <v/>
      </c>
      <c r="W123" s="50">
        <f>IFERROR(IF(INDEX('MRE'!$N$10:$N$18,MATCH($F123,'MRE'!$B$10:$B$18,0))="","Cell will autofill based on response",INDEX('MRE'!$N$10:$N$18,MATCH($F123,'MRE'!$B$10:$B$18,0))),"N/A")</f>
        <v/>
      </c>
      <c r="X123" s="50">
        <f>IFERROR(IF(INDEX('AC&amp;M'!$N$10:$N$14,MATCH($F123,'AC&amp;M'!$B$10:$B$14,0))="","Cell will autofill based on response",INDEX('AC&amp;M'!$N$10:$N$14,MATCH($F123,'AC&amp;M'!$B$10:$B$14,0))),"N/A")</f>
        <v/>
      </c>
      <c r="Y123" s="50">
        <f>IFERROR(IF(INDEX('GCE'!$N$10:$N$12,MATCH($F123,'GCE'!$B$10:$B$12,0))="","Cell will autofill based on response",INDEX('GCE'!$N$10:$N$12,MATCH($F123,'GCE'!$B$10:$B$12,0))),"N/A")</f>
        <v/>
      </c>
      <c r="Z123" s="50">
        <f>IFERROR(IF(INDEX('Education'!$N$10:$N$13,MATCH($F123,'Education'!$B$10:$B$13,0))="","Cell will autofill based on response",INDEX('Education'!$N$10:$N$13,MATCH($F123,'Education'!$B$10:$B$13,0))),"N/A")</f>
        <v/>
      </c>
      <c r="AA123" s="50">
        <f>IFERROR(IF(INDEX('SaSS'!$N$10:$N$12,MATCH($F123,'SaSS'!$B$10:$B$12,0))="","Cell will autofill based on response",INDEX('SaSS'!$N$10:$N$12,MATCH($F123,'SaSS'!$B$10:$B$12,0))),"N/A")</f>
        <v/>
      </c>
      <c r="AB123" s="50">
        <f>IFERROR(IF(INDEX('Indigenous'!$N$10:$N$11,MATCH($F123,'Indigenous'!$B$10:$B$11,0))="","Cell will autofill based on response",INDEX('Indigenous'!$N$10:$N$11,MATCH($F123,'Indigenous'!$B$10:$B$11,0))),"N/A")</f>
        <v/>
      </c>
      <c r="AC123" s="50">
        <f>IFERROR(IF(INDEX('L&amp;R'!$N$10:$N$11,MATCH($F123,'L&amp;R'!$B$10:$B$11,0))="","Cell will autofill based on response",INDEX('L&amp;R'!$N$10:$N$11,MATCH($F123,'L&amp;R'!$B$10:$B$11,0))),"N/A")</f>
        <v/>
      </c>
    </row>
    <row r="124" ht="22" customHeight="1">
      <c r="A124">
        <f>F124&amp;"|"&amp;G124</f>
        <v/>
      </c>
      <c r="B124" s="12" t="inlineStr"/>
      <c r="C124" s="7" t="inlineStr"/>
      <c r="D124" s="7" t="inlineStr"/>
      <c r="E124" s="7" t="inlineStr"/>
      <c r="F124" s="7" t="inlineStr">
        <is>
          <t>NB2(a)</t>
        </is>
      </c>
      <c r="G124" s="7" t="inlineStr">
        <is>
          <t>Data source and limitations</t>
        </is>
      </c>
      <c r="H124" s="50">
        <f>IFERROR(IF(INDEX('Faculties'!$O$10:$O$18,MATCH($F124,'Faculties'!$B$10:$B$18,0))="","Cell will autofill based on response",INDEX('Faculties'!$O$10:$O$18,MATCH($F124,'Faculties'!$B$10:$B$18,0))),"N/A")</f>
        <v/>
      </c>
      <c r="I124" s="50">
        <f>IFERROR(IF(INDEX('Faculties'!$O$25:$O$34,MATCH($F124,'Faculties'!$B$25:$B$34,0))="","Cell will autofill based on response",INDEX('Faculties'!$O$25:$O$34,MATCH($F124,'Faculties'!$B$25:$B$34,0))),"N/A")</f>
        <v/>
      </c>
      <c r="J124" s="50">
        <f>IFERROR(IF(INDEX('Faculties'!$O$41:$O$50,MATCH($F124,'Faculties'!$B$41:$B$50,0))="","Cell will autofill based on response",INDEX('Faculties'!$O$41:$O$50,MATCH($F124,'Faculties'!$B$41:$B$50,0))),"N/A")</f>
        <v/>
      </c>
      <c r="K124" s="50">
        <f>IFERROR(IF(INDEX('Faculties'!$O$57:$O$66,MATCH($F124,'Faculties'!$B$57:$B$66,0))="","Cell will autofill based on response",INDEX('Faculties'!$O$57:$O$66,MATCH($F124,'Faculties'!$B$57:$B$66,0))),"N/A")</f>
        <v/>
      </c>
      <c r="L124" s="50">
        <f>IFERROR(IF(INDEX('Faculties'!$O$73:$O$82,MATCH($F124,'Faculties'!$B$73:$B$82,0))="","Cell will autofill based on response",INDEX('Faculties'!$O$73:$O$82,MATCH($F124,'Faculties'!$B$73:$B$82,0))),"N/A")</f>
        <v/>
      </c>
      <c r="M124" s="50">
        <f>IFERROR(IF(INDEX('Faculties'!$O$89:$O$98,MATCH($F124,'Faculties'!$B$89:$B$98,0))="","Cell will autofill based on response",INDEX('Faculties'!$O$89:$O$98,MATCH($F124,'Faculties'!$B$89:$B$98,0))),"N/A")</f>
        <v/>
      </c>
      <c r="N124" s="50">
        <f>IFERROR(IF(INDEX('Faculties'!$O$105:$O$114,MATCH($F124,'Faculties'!$B$105:$B$114,0))="","Cell will autofill based on response",INDEX('Faculties'!$O$105:$O$114,MATCH($F124,'Faculties'!$B$105:$B$114,0))),"N/A")</f>
        <v/>
      </c>
      <c r="O124" s="50">
        <f>IFERROR(IF(INDEX('Faculties'!$O$121:$O$130,MATCH($F124,'Faculties'!$B$121:$B$130,0))="","Cell will autofill based on response",INDEX('Faculties'!$O$121:$O$130,MATCH($F124,'Faculties'!$B$121:$B$130,0))),"N/A")</f>
        <v/>
      </c>
      <c r="P124" s="50">
        <f>IFERROR(IF(INDEX('Faculties'!$O$137:$O$146,MATCH($F124,'Faculties'!$B$137:$B$146,0))="","Cell will autofill based on response",INDEX('Faculties'!$O$137:$O$146,MATCH($F124,'Faculties'!$B$137:$B$146,0))),"N/A")</f>
        <v/>
      </c>
      <c r="Q124" s="50">
        <f>IFERROR(IF(INDEX('CI&amp;S'!$O$10:$O$15,MATCH($F124,'CI&amp;S'!$B$10:$B$15,0))="","Cell will autofill based on response",INDEX('CI&amp;S'!$O$10:$O$15,MATCH($F124,'CI&amp;S'!$B$10:$B$15,0))),"N/A")</f>
        <v/>
      </c>
      <c r="R124" s="50">
        <f>IFERROR(IF(INDEX('CI&amp;S'!$O$22:$O$36,MATCH($F124,'CI&amp;S'!$B$22:$B$36,0))="","Cell will autofill based on response",INDEX('CI&amp;S'!$O$22:$O$36,MATCH($F124,'CI&amp;S'!$B$22:$B$36,0))),"N/A")</f>
        <v/>
      </c>
      <c r="S124" s="50">
        <f>IFERROR(IF(INDEX('CFOG'!$O$10:$O$16,MATCH($F124,'CFOG'!$B$10:$B$16,0))="","Cell will autofill based on response",INDEX('CFOG'!$O$10:$O$16,MATCH($F124,'CFOG'!$B$10:$B$16,0))),"N/A")</f>
        <v/>
      </c>
      <c r="T124" s="50">
        <f>IFERROR(IF(INDEX('CFOG'!$O$23:$O$24,MATCH($F124,'CFOG'!$B$23:$B$24,0))="","Cell will autofill based on response",INDEX('CFOG'!$O$23:$O$24,MATCH($F124,'CFOG'!$B$23:$B$24,0))),"N/A")</f>
        <v/>
      </c>
      <c r="U124" s="50">
        <f>IFERROR(IF(INDEX('ESG'!$O$10:$O$17,MATCH($F124,'ESG'!$B$10:$B$17,0))="","Cell will autofill based on response",INDEX('ESG'!$O$10:$O$17,MATCH($F124,'ESG'!$B$10:$B$17,0))),"N/A")</f>
        <v/>
      </c>
      <c r="V124" s="50">
        <f>IFERROR(IF(INDEX('CIOG'!$O$10:$O$14,MATCH($F124,'CIOG'!$B$10:$B$14,0))="","Cell will autofill based on response",INDEX('CIOG'!$O$10:$O$14,MATCH($F124,'CIOG'!$B$10:$B$14,0))),"N/A")</f>
        <v/>
      </c>
      <c r="W124" s="50">
        <f>IFERROR(IF(INDEX('MRE'!$O$10:$O$18,MATCH($F124,'MRE'!$B$10:$B$18,0))="","Cell will autofill based on response",INDEX('MRE'!$O$10:$O$18,MATCH($F124,'MRE'!$B$10:$B$18,0))),"N/A")</f>
        <v/>
      </c>
      <c r="X124" s="50">
        <f>IFERROR(IF(INDEX('AC&amp;M'!$O$10:$O$14,MATCH($F124,'AC&amp;M'!$B$10:$B$14,0))="","Cell will autofill based on response",INDEX('AC&amp;M'!$O$10:$O$14,MATCH($F124,'AC&amp;M'!$B$10:$B$14,0))),"N/A")</f>
        <v/>
      </c>
      <c r="Y124" s="50">
        <f>IFERROR(IF(INDEX('GCE'!$O$10:$O$12,MATCH($F124,'GCE'!$B$10:$B$12,0))="","Cell will autofill based on response",INDEX('GCE'!$O$10:$O$12,MATCH($F124,'GCE'!$B$10:$B$12,0))),"N/A")</f>
        <v/>
      </c>
      <c r="Z124" s="50">
        <f>IFERROR(IF(INDEX('Education'!$O$10:$O$13,MATCH($F124,'Education'!$B$10:$B$13,0))="","Cell will autofill based on response",INDEX('Education'!$O$10:$O$13,MATCH($F124,'Education'!$B$10:$B$13,0))),"N/A")</f>
        <v/>
      </c>
      <c r="AA124" s="50">
        <f>IFERROR(IF(INDEX('SaSS'!$O$10:$O$12,MATCH($F124,'SaSS'!$B$10:$B$12,0))="","Cell will autofill based on response",INDEX('SaSS'!$O$10:$O$12,MATCH($F124,'SaSS'!$B$10:$B$12,0))),"N/A")</f>
        <v/>
      </c>
      <c r="AB124" s="50">
        <f>IFERROR(IF(INDEX('Indigenous'!$O$10:$O$11,MATCH($F124,'Indigenous'!$B$10:$B$11,0))="","Cell will autofill based on response",INDEX('Indigenous'!$O$10:$O$11,MATCH($F124,'Indigenous'!$B$10:$B$11,0))),"N/A")</f>
        <v/>
      </c>
      <c r="AC124" s="50">
        <f>IFERROR(IF(INDEX('L&amp;R'!$O$10:$O$11,MATCH($F124,'L&amp;R'!$B$10:$B$11,0))="","Cell will autofill based on response",INDEX('L&amp;R'!$O$10:$O$11,MATCH($F124,'L&amp;R'!$B$10:$B$11,0))),"N/A")</f>
        <v/>
      </c>
    </row>
    <row r="125" ht="22" customHeight="1">
      <c r="A125">
        <f>F125&amp;"|"&amp;G125</f>
        <v/>
      </c>
      <c r="B125" s="12" t="inlineStr"/>
      <c r="C125" s="7" t="inlineStr"/>
      <c r="D125" s="7" t="inlineStr"/>
      <c r="E125" s="7" t="inlineStr"/>
      <c r="F125" s="7" t="inlineStr">
        <is>
          <t>NB2(a)</t>
        </is>
      </c>
      <c r="G125" s="7" t="inlineStr">
        <is>
          <t>Data owner confirms</t>
        </is>
      </c>
      <c r="H125" s="50">
        <f>IFERROR(IF(INDEX('Faculties'!$P$10:$P$18,MATCH($F125,'Faculties'!$B$10:$B$18,0))="","Cell will autofill based on response",INDEX('Faculties'!$P$10:$P$18,MATCH($F125,'Faculties'!$B$10:$B$18,0))),"N/A")</f>
        <v/>
      </c>
      <c r="I125" s="50">
        <f>IFERROR(IF(INDEX('Faculties'!$P$25:$P$34,MATCH($F125,'Faculties'!$B$25:$B$34,0))="","Cell will autofill based on response",INDEX('Faculties'!$P$25:$P$34,MATCH($F125,'Faculties'!$B$25:$B$34,0))),"N/A")</f>
        <v/>
      </c>
      <c r="J125" s="50">
        <f>IFERROR(IF(INDEX('Faculties'!$P$41:$P$50,MATCH($F125,'Faculties'!$B$41:$B$50,0))="","Cell will autofill based on response",INDEX('Faculties'!$P$41:$P$50,MATCH($F125,'Faculties'!$B$41:$B$50,0))),"N/A")</f>
        <v/>
      </c>
      <c r="K125" s="50">
        <f>IFERROR(IF(INDEX('Faculties'!$P$57:$P$66,MATCH($F125,'Faculties'!$B$57:$B$66,0))="","Cell will autofill based on response",INDEX('Faculties'!$P$57:$P$66,MATCH($F125,'Faculties'!$B$57:$B$66,0))),"N/A")</f>
        <v/>
      </c>
      <c r="L125" s="50">
        <f>IFERROR(IF(INDEX('Faculties'!$P$73:$P$82,MATCH($F125,'Faculties'!$B$73:$B$82,0))="","Cell will autofill based on response",INDEX('Faculties'!$P$73:$P$82,MATCH($F125,'Faculties'!$B$73:$B$82,0))),"N/A")</f>
        <v/>
      </c>
      <c r="M125" s="50">
        <f>IFERROR(IF(INDEX('Faculties'!$P$89:$P$98,MATCH($F125,'Faculties'!$B$89:$B$98,0))="","Cell will autofill based on response",INDEX('Faculties'!$P$89:$P$98,MATCH($F125,'Faculties'!$B$89:$B$98,0))),"N/A")</f>
        <v/>
      </c>
      <c r="N125" s="50">
        <f>IFERROR(IF(INDEX('Faculties'!$P$105:$P$114,MATCH($F125,'Faculties'!$B$105:$B$114,0))="","Cell will autofill based on response",INDEX('Faculties'!$P$105:$P$114,MATCH($F125,'Faculties'!$B$105:$B$114,0))),"N/A")</f>
        <v/>
      </c>
      <c r="O125" s="50">
        <f>IFERROR(IF(INDEX('Faculties'!$P$121:$P$130,MATCH($F125,'Faculties'!$B$121:$B$130,0))="","Cell will autofill based on response",INDEX('Faculties'!$P$121:$P$130,MATCH($F125,'Faculties'!$B$121:$B$130,0))),"N/A")</f>
        <v/>
      </c>
      <c r="P125" s="50">
        <f>IFERROR(IF(INDEX('Faculties'!$P$137:$P$146,MATCH($F125,'Faculties'!$B$137:$B$146,0))="","Cell will autofill based on response",INDEX('Faculties'!$P$137:$P$146,MATCH($F125,'Faculties'!$B$137:$B$146,0))),"N/A")</f>
        <v/>
      </c>
      <c r="Q125" s="50">
        <f>IFERROR(IF(INDEX('CI&amp;S'!$P$10:$P$15,MATCH($F125,'CI&amp;S'!$B$10:$B$15,0))="","Cell will autofill based on response",INDEX('CI&amp;S'!$P$10:$P$15,MATCH($F125,'CI&amp;S'!$B$10:$B$15,0))),"N/A")</f>
        <v/>
      </c>
      <c r="R125" s="50">
        <f>IFERROR(IF(INDEX('CI&amp;S'!$P$22:$P$36,MATCH($F125,'CI&amp;S'!$B$22:$B$36,0))="","Cell will autofill based on response",INDEX('CI&amp;S'!$P$22:$P$36,MATCH($F125,'CI&amp;S'!$B$22:$B$36,0))),"N/A")</f>
        <v/>
      </c>
      <c r="S125" s="50">
        <f>IFERROR(IF(INDEX('CFOG'!$P$10:$P$16,MATCH($F125,'CFOG'!$B$10:$B$16,0))="","Cell will autofill based on response",INDEX('CFOG'!$P$10:$P$16,MATCH($F125,'CFOG'!$B$10:$B$16,0))),"N/A")</f>
        <v/>
      </c>
      <c r="T125" s="50">
        <f>IFERROR(IF(INDEX('CFOG'!$P$23:$P$24,MATCH($F125,'CFOG'!$B$23:$B$24,0))="","Cell will autofill based on response",INDEX('CFOG'!$P$23:$P$24,MATCH($F125,'CFOG'!$B$23:$B$24,0))),"N/A")</f>
        <v/>
      </c>
      <c r="U125" s="50">
        <f>IFERROR(IF(INDEX('ESG'!$P$10:$P$17,MATCH($F125,'ESG'!$B$10:$B$17,0))="","Cell will autofill based on response",INDEX('ESG'!$P$10:$P$17,MATCH($F125,'ESG'!$B$10:$B$17,0))),"N/A")</f>
        <v/>
      </c>
      <c r="V125" s="50">
        <f>IFERROR(IF(INDEX('CIOG'!$P$10:$P$14,MATCH($F125,'CIOG'!$B$10:$B$14,0))="","Cell will autofill based on response",INDEX('CIOG'!$P$10:$P$14,MATCH($F125,'CIOG'!$B$10:$B$14,0))),"N/A")</f>
        <v/>
      </c>
      <c r="W125" s="50">
        <f>IFERROR(IF(INDEX('MRE'!$P$10:$P$18,MATCH($F125,'MRE'!$B$10:$B$18,0))="","Cell will autofill based on response",INDEX('MRE'!$P$10:$P$18,MATCH($F125,'MRE'!$B$10:$B$18,0))),"N/A")</f>
        <v/>
      </c>
      <c r="X125" s="50">
        <f>IFERROR(IF(INDEX('AC&amp;M'!$P$10:$P$14,MATCH($F125,'AC&amp;M'!$B$10:$B$14,0))="","Cell will autofill based on response",INDEX('AC&amp;M'!$P$10:$P$14,MATCH($F125,'AC&amp;M'!$B$10:$B$14,0))),"N/A")</f>
        <v/>
      </c>
      <c r="Y125" s="50">
        <f>IFERROR(IF(INDEX('GCE'!$P$10:$P$12,MATCH($F125,'GCE'!$B$10:$B$12,0))="","Cell will autofill based on response",INDEX('GCE'!$P$10:$P$12,MATCH($F125,'GCE'!$B$10:$B$12,0))),"N/A")</f>
        <v/>
      </c>
      <c r="Z125" s="50">
        <f>IFERROR(IF(INDEX('Education'!$P$10:$P$13,MATCH($F125,'Education'!$B$10:$B$13,0))="","Cell will autofill based on response",INDEX('Education'!$P$10:$P$13,MATCH($F125,'Education'!$B$10:$B$13,0))),"N/A")</f>
        <v/>
      </c>
      <c r="AA125" s="50">
        <f>IFERROR(IF(INDEX('SaSS'!$P$10:$P$12,MATCH($F125,'SaSS'!$B$10:$B$12,0))="","Cell will autofill based on response",INDEX('SaSS'!$P$10:$P$12,MATCH($F125,'SaSS'!$B$10:$B$12,0))),"N/A")</f>
        <v/>
      </c>
      <c r="AB125" s="50">
        <f>IFERROR(IF(INDEX('Indigenous'!$P$10:$P$11,MATCH($F125,'Indigenous'!$B$10:$B$11,0))="","Cell will autofill based on response",INDEX('Indigenous'!$P$10:$P$11,MATCH($F125,'Indigenous'!$B$10:$B$11,0))),"N/A")</f>
        <v/>
      </c>
      <c r="AC125" s="50">
        <f>IFERROR(IF(INDEX('L&amp;R'!$P$10:$P$11,MATCH($F125,'L&amp;R'!$B$10:$B$11,0))="","Cell will autofill based on response",INDEX('L&amp;R'!$P$10:$P$11,MATCH($F125,'L&amp;R'!$B$10:$B$11,0))),"N/A")</f>
        <v/>
      </c>
    </row>
    <row r="126" ht="105" customHeight="1">
      <c r="A126">
        <f>F126&amp;"|"&amp;G126</f>
        <v/>
      </c>
      <c r="B126" s="6" t="inlineStr">
        <is>
          <t>NB2(b)</t>
        </is>
      </c>
      <c r="C126" s="48" t="inlineStr">
        <is>
          <t>Nature and biodiversity</t>
        </is>
      </c>
      <c r="D126" s="48" t="inlineStr">
        <is>
          <t>Evidence of established framework to monitor and track supply-chain nature impacts over time</t>
        </is>
      </c>
      <c r="E126" s="48" t="inlineStr">
        <is>
          <t>Please describe the framework established to monitor and track supply-chain impacts on nature over time, could include metrics, data sources, governance/ownership, reporting frequency and current implementation status.</t>
        </is>
      </c>
      <c r="F126" s="48" t="inlineStr">
        <is>
          <t>NB2(b)</t>
        </is>
      </c>
      <c r="G126" s="48" t="inlineStr">
        <is>
          <t>OPTION 1:  Target-level reporting</t>
        </is>
      </c>
      <c r="H126" s="50">
        <f>IFERROR(IF(INDEX('Faculties'!$L$10:$L$18,MATCH($F126,'Faculties'!$B$10:$B$18,0))="","Cell will autofill based on response",INDEX('Faculties'!$L$10:$L$18,MATCH($F126,'Faculties'!$B$10:$B$18,0))),"N/A")</f>
        <v/>
      </c>
      <c r="I126" s="50">
        <f>IFERROR(IF(INDEX('Faculties'!$L$25:$L$34,MATCH($F126,'Faculties'!$B$25:$B$34,0))="","Cell will autofill based on response",INDEX('Faculties'!$L$25:$L$34,MATCH($F126,'Faculties'!$B$25:$B$34,0))),"N/A")</f>
        <v/>
      </c>
      <c r="J126" s="50">
        <f>IFERROR(IF(INDEX('Faculties'!$L$41:$L$50,MATCH($F126,'Faculties'!$B$41:$B$50,0))="","Cell will autofill based on response",INDEX('Faculties'!$L$41:$L$50,MATCH($F126,'Faculties'!$B$41:$B$50,0))),"N/A")</f>
        <v/>
      </c>
      <c r="K126" s="50">
        <f>IFERROR(IF(INDEX('Faculties'!$L$57:$L$66,MATCH($F126,'Faculties'!$B$57:$B$66,0))="","Cell will autofill based on response",INDEX('Faculties'!$L$57:$L$66,MATCH($F126,'Faculties'!$B$57:$B$66,0))),"N/A")</f>
        <v/>
      </c>
      <c r="L126" s="50">
        <f>IFERROR(IF(INDEX('Faculties'!$L$73:$L$82,MATCH($F126,'Faculties'!$B$73:$B$82,0))="","Cell will autofill based on response",INDEX('Faculties'!$L$73:$L$82,MATCH($F126,'Faculties'!$B$73:$B$82,0))),"N/A")</f>
        <v/>
      </c>
      <c r="M126" s="50">
        <f>IFERROR(IF(INDEX('Faculties'!$L$89:$L$98,MATCH($F126,'Faculties'!$B$89:$B$98,0))="","Cell will autofill based on response",INDEX('Faculties'!$L$89:$L$98,MATCH($F126,'Faculties'!$B$89:$B$98,0))),"N/A")</f>
        <v/>
      </c>
      <c r="N126" s="50">
        <f>IFERROR(IF(INDEX('Faculties'!$L$105:$L$114,MATCH($F126,'Faculties'!$B$105:$B$114,0))="","Cell will autofill based on response",INDEX('Faculties'!$L$105:$L$114,MATCH($F126,'Faculties'!$B$105:$B$114,0))),"N/A")</f>
        <v/>
      </c>
      <c r="O126" s="50">
        <f>IFERROR(IF(INDEX('Faculties'!$L$121:$L$130,MATCH($F126,'Faculties'!$B$121:$B$130,0))="","Cell will autofill based on response",INDEX('Faculties'!$L$121:$L$130,MATCH($F126,'Faculties'!$B$121:$B$130,0))),"N/A")</f>
        <v/>
      </c>
      <c r="P126" s="50">
        <f>IFERROR(IF(INDEX('Faculties'!$L$137:$L$146,MATCH($F126,'Faculties'!$B$137:$B$146,0))="","Cell will autofill based on response",INDEX('Faculties'!$L$137:$L$146,MATCH($F126,'Faculties'!$B$137:$B$146,0))),"N/A")</f>
        <v/>
      </c>
      <c r="Q126" s="50">
        <f>IFERROR(IF(INDEX('CI&amp;S'!$L$10:$L$15,MATCH($F126,'CI&amp;S'!$B$10:$B$15,0))="","Cell will autofill based on response",INDEX('CI&amp;S'!$L$10:$L$15,MATCH($F126,'CI&amp;S'!$B$10:$B$15,0))),"N/A")</f>
        <v/>
      </c>
      <c r="R126" s="50">
        <f>IFERROR(IF(INDEX('CI&amp;S'!$L$22:$L$36,MATCH($F126,'CI&amp;S'!$B$22:$B$36,0))="","Cell will autofill based on response",INDEX('CI&amp;S'!$L$22:$L$36,MATCH($F126,'CI&amp;S'!$B$22:$B$36,0))),"N/A")</f>
        <v/>
      </c>
      <c r="S126" s="50">
        <f>IFERROR(IF(INDEX('CFOG'!$L$10:$L$16,MATCH($F126,'CFOG'!$B$10:$B$16,0))="","Cell will autofill based on response",INDEX('CFOG'!$L$10:$L$16,MATCH($F126,'CFOG'!$B$10:$B$16,0))),"N/A")</f>
        <v/>
      </c>
      <c r="T126" s="50">
        <f>IFERROR(IF(INDEX('CFOG'!$L$23:$L$24,MATCH($F126,'CFOG'!$B$23:$B$24,0))="","Cell will autofill based on response",INDEX('CFOG'!$L$23:$L$24,MATCH($F126,'CFOG'!$B$23:$B$24,0))),"N/A")</f>
        <v/>
      </c>
      <c r="U126" s="50">
        <f>IFERROR(IF(INDEX('ESG'!$L$10:$L$17,MATCH($F126,'ESG'!$B$10:$B$17,0))="","Cell will autofill based on response",INDEX('ESG'!$L$10:$L$17,MATCH($F126,'ESG'!$B$10:$B$17,0))),"N/A")</f>
        <v/>
      </c>
      <c r="V126" s="50">
        <f>IFERROR(IF(INDEX('CIOG'!$L$10:$L$14,MATCH($F126,'CIOG'!$B$10:$B$14,0))="","Cell will autofill based on response",INDEX('CIOG'!$L$10:$L$14,MATCH($F126,'CIOG'!$B$10:$B$14,0))),"N/A")</f>
        <v/>
      </c>
      <c r="W126" s="50">
        <f>IFERROR(IF(INDEX('MRE'!$L$10:$L$18,MATCH($F126,'MRE'!$B$10:$B$18,0))="","Cell will autofill based on response",INDEX('MRE'!$L$10:$L$18,MATCH($F126,'MRE'!$B$10:$B$18,0))),"N/A")</f>
        <v/>
      </c>
      <c r="X126" s="50">
        <f>IFERROR(IF(INDEX('AC&amp;M'!$L$10:$L$14,MATCH($F126,'AC&amp;M'!$B$10:$B$14,0))="","Cell will autofill based on response",INDEX('AC&amp;M'!$L$10:$L$14,MATCH($F126,'AC&amp;M'!$B$10:$B$14,0))),"N/A")</f>
        <v/>
      </c>
      <c r="Y126" s="50">
        <f>IFERROR(IF(INDEX('GCE'!$L$10:$L$12,MATCH($F126,'GCE'!$B$10:$B$12,0))="","Cell will autofill based on response",INDEX('GCE'!$L$10:$L$12,MATCH($F126,'GCE'!$B$10:$B$12,0))),"N/A")</f>
        <v/>
      </c>
      <c r="Z126" s="50">
        <f>IFERROR(IF(INDEX('Education'!$L$10:$L$13,MATCH($F126,'Education'!$B$10:$B$13,0))="","Cell will autofill based on response",INDEX('Education'!$L$10:$L$13,MATCH($F126,'Education'!$B$10:$B$13,0))),"N/A")</f>
        <v/>
      </c>
      <c r="AA126" s="50">
        <f>IFERROR(IF(INDEX('SaSS'!$L$10:$L$12,MATCH($F126,'SaSS'!$B$10:$B$12,0))="","Cell will autofill based on response",INDEX('SaSS'!$L$10:$L$12,MATCH($F126,'SaSS'!$B$10:$B$12,0))),"N/A")</f>
        <v/>
      </c>
      <c r="AB126" s="50">
        <f>IFERROR(IF(INDEX('Indigenous'!$L$10:$L$11,MATCH($F126,'Indigenous'!$B$10:$B$11,0))="","Cell will autofill based on response",INDEX('Indigenous'!$L$10:$L$11,MATCH($F126,'Indigenous'!$B$10:$B$11,0))),"N/A")</f>
        <v/>
      </c>
      <c r="AC126" s="50">
        <f>IFERROR(IF(INDEX('L&amp;R'!$L$10:$L$11,MATCH($F126,'L&amp;R'!$B$10:$B$11,0))="","Cell will autofill based on response",INDEX('L&amp;R'!$L$10:$L$11,MATCH($F126,'L&amp;R'!$B$10:$B$11,0))),"N/A")</f>
        <v/>
      </c>
      <c r="AE126" s="9">
        <f>SUMPRODUCT(--($H126:$AC126&lt;&gt;"N/A"))</f>
        <v/>
      </c>
      <c r="AF126" s="9">
        <f>SUMPRODUCT(--(((($H126:$AC126&lt;&gt;"N/A")*($H126:$AC126&lt;&gt;"Cell will autofill based on response"))+(($H127:$AC127&lt;&gt;"N/A")*($H127:$AC127&lt;&gt;"Cell will autofill based on response")))&gt;0))</f>
        <v/>
      </c>
      <c r="AG126" s="9">
        <f>AE126-AF126</f>
        <v/>
      </c>
      <c r="AH126" s="9">
        <f>COUNTIF($H130:$AC130,"Yes")</f>
        <v/>
      </c>
    </row>
    <row r="127" ht="39" customHeight="1">
      <c r="A127">
        <f>F127&amp;"|"&amp;G127</f>
        <v/>
      </c>
      <c r="B127" s="12" t="inlineStr"/>
      <c r="C127" s="7" t="inlineStr"/>
      <c r="D127" s="7" t="inlineStr"/>
      <c r="E127" s="7" t="inlineStr"/>
      <c r="F127" s="7" t="inlineStr">
        <is>
          <t>NB2(b)</t>
        </is>
      </c>
      <c r="G127" s="7" t="inlineStr">
        <is>
          <t>OPTION 2:  Indicator level reporting</t>
        </is>
      </c>
      <c r="H127" s="50">
        <f>IFERROR(IF(INDEX('Faculties'!$M$10:$M$18,MATCH($F127,'Faculties'!$B$10:$B$18,0))="","Cell will autofill based on response",INDEX('Faculties'!$M$10:$M$18,MATCH($F127,'Faculties'!$B$10:$B$18,0))),"N/A")</f>
        <v/>
      </c>
      <c r="I127" s="50">
        <f>IFERROR(IF(INDEX('Faculties'!$M$25:$M$34,MATCH($F127,'Faculties'!$B$25:$B$34,0))="","Cell will autofill based on response",INDEX('Faculties'!$M$25:$M$34,MATCH($F127,'Faculties'!$B$25:$B$34,0))),"N/A")</f>
        <v/>
      </c>
      <c r="J127" s="50">
        <f>IFERROR(IF(INDEX('Faculties'!$M$41:$M$50,MATCH($F127,'Faculties'!$B$41:$B$50,0))="","Cell will autofill based on response",INDEX('Faculties'!$M$41:$M$50,MATCH($F127,'Faculties'!$B$41:$B$50,0))),"N/A")</f>
        <v/>
      </c>
      <c r="K127" s="50">
        <f>IFERROR(IF(INDEX('Faculties'!$M$57:$M$66,MATCH($F127,'Faculties'!$B$57:$B$66,0))="","Cell will autofill based on response",INDEX('Faculties'!$M$57:$M$66,MATCH($F127,'Faculties'!$B$57:$B$66,0))),"N/A")</f>
        <v/>
      </c>
      <c r="L127" s="50">
        <f>IFERROR(IF(INDEX('Faculties'!$M$73:$M$82,MATCH($F127,'Faculties'!$B$73:$B$82,0))="","Cell will autofill based on response",INDEX('Faculties'!$M$73:$M$82,MATCH($F127,'Faculties'!$B$73:$B$82,0))),"N/A")</f>
        <v/>
      </c>
      <c r="M127" s="50">
        <f>IFERROR(IF(INDEX('Faculties'!$M$89:$M$98,MATCH($F127,'Faculties'!$B$89:$B$98,0))="","Cell will autofill based on response",INDEX('Faculties'!$M$89:$M$98,MATCH($F127,'Faculties'!$B$89:$B$98,0))),"N/A")</f>
        <v/>
      </c>
      <c r="N127" s="50">
        <f>IFERROR(IF(INDEX('Faculties'!$M$105:$M$114,MATCH($F127,'Faculties'!$B$105:$B$114,0))="","Cell will autofill based on response",INDEX('Faculties'!$M$105:$M$114,MATCH($F127,'Faculties'!$B$105:$B$114,0))),"N/A")</f>
        <v/>
      </c>
      <c r="O127" s="50">
        <f>IFERROR(IF(INDEX('Faculties'!$M$121:$M$130,MATCH($F127,'Faculties'!$B$121:$B$130,0))="","Cell will autofill based on response",INDEX('Faculties'!$M$121:$M$130,MATCH($F127,'Faculties'!$B$121:$B$130,0))),"N/A")</f>
        <v/>
      </c>
      <c r="P127" s="50">
        <f>IFERROR(IF(INDEX('Faculties'!$M$137:$M$146,MATCH($F127,'Faculties'!$B$137:$B$146,0))="","Cell will autofill based on response",INDEX('Faculties'!$M$137:$M$146,MATCH($F127,'Faculties'!$B$137:$B$146,0))),"N/A")</f>
        <v/>
      </c>
      <c r="Q127" s="50">
        <f>IFERROR(IF(INDEX('CI&amp;S'!$M$10:$M$15,MATCH($F127,'CI&amp;S'!$B$10:$B$15,0))="","Cell will autofill based on response",INDEX('CI&amp;S'!$M$10:$M$15,MATCH($F127,'CI&amp;S'!$B$10:$B$15,0))),"N/A")</f>
        <v/>
      </c>
      <c r="R127" s="50">
        <f>IFERROR(IF(INDEX('CI&amp;S'!$M$22:$M$36,MATCH($F127,'CI&amp;S'!$B$22:$B$36,0))="","Cell will autofill based on response",INDEX('CI&amp;S'!$M$22:$M$36,MATCH($F127,'CI&amp;S'!$B$22:$B$36,0))),"N/A")</f>
        <v/>
      </c>
      <c r="S127" s="50">
        <f>IFERROR(IF(INDEX('CFOG'!$M$10:$M$16,MATCH($F127,'CFOG'!$B$10:$B$16,0))="","Cell will autofill based on response",INDEX('CFOG'!$M$10:$M$16,MATCH($F127,'CFOG'!$B$10:$B$16,0))),"N/A")</f>
        <v/>
      </c>
      <c r="T127" s="50">
        <f>IFERROR(IF(INDEX('CFOG'!$M$23:$M$24,MATCH($F127,'CFOG'!$B$23:$B$24,0))="","Cell will autofill based on response",INDEX('CFOG'!$M$23:$M$24,MATCH($F127,'CFOG'!$B$23:$B$24,0))),"N/A")</f>
        <v/>
      </c>
      <c r="U127" s="50">
        <f>IFERROR(IF(INDEX('ESG'!$M$10:$M$17,MATCH($F127,'ESG'!$B$10:$B$17,0))="","Cell will autofill based on response",INDEX('ESG'!$M$10:$M$17,MATCH($F127,'ESG'!$B$10:$B$17,0))),"N/A")</f>
        <v/>
      </c>
      <c r="V127" s="50">
        <f>IFERROR(IF(INDEX('CIOG'!$M$10:$M$14,MATCH($F127,'CIOG'!$B$10:$B$14,0))="","Cell will autofill based on response",INDEX('CIOG'!$M$10:$M$14,MATCH($F127,'CIOG'!$B$10:$B$14,0))),"N/A")</f>
        <v/>
      </c>
      <c r="W127" s="50">
        <f>IFERROR(IF(INDEX('MRE'!$M$10:$M$18,MATCH($F127,'MRE'!$B$10:$B$18,0))="","Cell will autofill based on response",INDEX('MRE'!$M$10:$M$18,MATCH($F127,'MRE'!$B$10:$B$18,0))),"N/A")</f>
        <v/>
      </c>
      <c r="X127" s="50">
        <f>IFERROR(IF(INDEX('AC&amp;M'!$M$10:$M$14,MATCH($F127,'AC&amp;M'!$B$10:$B$14,0))="","Cell will autofill based on response",INDEX('AC&amp;M'!$M$10:$M$14,MATCH($F127,'AC&amp;M'!$B$10:$B$14,0))),"N/A")</f>
        <v/>
      </c>
      <c r="Y127" s="50">
        <f>IFERROR(IF(INDEX('GCE'!$M$10:$M$12,MATCH($F127,'GCE'!$B$10:$B$12,0))="","Cell will autofill based on response",INDEX('GCE'!$M$10:$M$12,MATCH($F127,'GCE'!$B$10:$B$12,0))),"N/A")</f>
        <v/>
      </c>
      <c r="Z127" s="50">
        <f>IFERROR(IF(INDEX('Education'!$M$10:$M$13,MATCH($F127,'Education'!$B$10:$B$13,0))="","Cell will autofill based on response",INDEX('Education'!$M$10:$M$13,MATCH($F127,'Education'!$B$10:$B$13,0))),"N/A")</f>
        <v/>
      </c>
      <c r="AA127" s="50">
        <f>IFERROR(IF(INDEX('SaSS'!$M$10:$M$12,MATCH($F127,'SaSS'!$B$10:$B$12,0))="","Cell will autofill based on response",INDEX('SaSS'!$M$10:$M$12,MATCH($F127,'SaSS'!$B$10:$B$12,0))),"N/A")</f>
        <v/>
      </c>
      <c r="AB127" s="50">
        <f>IFERROR(IF(INDEX('Indigenous'!$M$10:$M$11,MATCH($F127,'Indigenous'!$B$10:$B$11,0))="","Cell will autofill based on response",INDEX('Indigenous'!$M$10:$M$11,MATCH($F127,'Indigenous'!$B$10:$B$11,0))),"N/A")</f>
        <v/>
      </c>
      <c r="AC127" s="50">
        <f>IFERROR(IF(INDEX('L&amp;R'!$M$10:$M$11,MATCH($F127,'L&amp;R'!$B$10:$B$11,0))="","Cell will autofill based on response",INDEX('L&amp;R'!$M$10:$M$11,MATCH($F127,'L&amp;R'!$B$10:$B$11,0))),"N/A")</f>
        <v/>
      </c>
    </row>
    <row r="128" ht="22" customHeight="1">
      <c r="A128">
        <f>F128&amp;"|"&amp;G128</f>
        <v/>
      </c>
      <c r="B128" s="12" t="inlineStr"/>
      <c r="C128" s="7" t="inlineStr"/>
      <c r="D128" s="7" t="inlineStr"/>
      <c r="E128" s="7" t="inlineStr"/>
      <c r="F128" s="7" t="inlineStr">
        <is>
          <t>NB2(b)</t>
        </is>
      </c>
      <c r="G128" s="7" t="inlineStr">
        <is>
          <t>Supporting information/comments</t>
        </is>
      </c>
      <c r="H128" s="50">
        <f>IFERROR(IF(INDEX('Faculties'!$N$10:$N$18,MATCH($F128,'Faculties'!$B$10:$B$18,0))="","Cell will autofill based on response",INDEX('Faculties'!$N$10:$N$18,MATCH($F128,'Faculties'!$B$10:$B$18,0))),"N/A")</f>
        <v/>
      </c>
      <c r="I128" s="50">
        <f>IFERROR(IF(INDEX('Faculties'!$N$25:$N$34,MATCH($F128,'Faculties'!$B$25:$B$34,0))="","Cell will autofill based on response",INDEX('Faculties'!$N$25:$N$34,MATCH($F128,'Faculties'!$B$25:$B$34,0))),"N/A")</f>
        <v/>
      </c>
      <c r="J128" s="50">
        <f>IFERROR(IF(INDEX('Faculties'!$N$41:$N$50,MATCH($F128,'Faculties'!$B$41:$B$50,0))="","Cell will autofill based on response",INDEX('Faculties'!$N$41:$N$50,MATCH($F128,'Faculties'!$B$41:$B$50,0))),"N/A")</f>
        <v/>
      </c>
      <c r="K128" s="50">
        <f>IFERROR(IF(INDEX('Faculties'!$N$57:$N$66,MATCH($F128,'Faculties'!$B$57:$B$66,0))="","Cell will autofill based on response",INDEX('Faculties'!$N$57:$N$66,MATCH($F128,'Faculties'!$B$57:$B$66,0))),"N/A")</f>
        <v/>
      </c>
      <c r="L128" s="50">
        <f>IFERROR(IF(INDEX('Faculties'!$N$73:$N$82,MATCH($F128,'Faculties'!$B$73:$B$82,0))="","Cell will autofill based on response",INDEX('Faculties'!$N$73:$N$82,MATCH($F128,'Faculties'!$B$73:$B$82,0))),"N/A")</f>
        <v/>
      </c>
      <c r="M128" s="50">
        <f>IFERROR(IF(INDEX('Faculties'!$N$89:$N$98,MATCH($F128,'Faculties'!$B$89:$B$98,0))="","Cell will autofill based on response",INDEX('Faculties'!$N$89:$N$98,MATCH($F128,'Faculties'!$B$89:$B$98,0))),"N/A")</f>
        <v/>
      </c>
      <c r="N128" s="50">
        <f>IFERROR(IF(INDEX('Faculties'!$N$105:$N$114,MATCH($F128,'Faculties'!$B$105:$B$114,0))="","Cell will autofill based on response",INDEX('Faculties'!$N$105:$N$114,MATCH($F128,'Faculties'!$B$105:$B$114,0))),"N/A")</f>
        <v/>
      </c>
      <c r="O128" s="50">
        <f>IFERROR(IF(INDEX('Faculties'!$N$121:$N$130,MATCH($F128,'Faculties'!$B$121:$B$130,0))="","Cell will autofill based on response",INDEX('Faculties'!$N$121:$N$130,MATCH($F128,'Faculties'!$B$121:$B$130,0))),"N/A")</f>
        <v/>
      </c>
      <c r="P128" s="50">
        <f>IFERROR(IF(INDEX('Faculties'!$N$137:$N$146,MATCH($F128,'Faculties'!$B$137:$B$146,0))="","Cell will autofill based on response",INDEX('Faculties'!$N$137:$N$146,MATCH($F128,'Faculties'!$B$137:$B$146,0))),"N/A")</f>
        <v/>
      </c>
      <c r="Q128" s="50">
        <f>IFERROR(IF(INDEX('CI&amp;S'!$N$10:$N$15,MATCH($F128,'CI&amp;S'!$B$10:$B$15,0))="","Cell will autofill based on response",INDEX('CI&amp;S'!$N$10:$N$15,MATCH($F128,'CI&amp;S'!$B$10:$B$15,0))),"N/A")</f>
        <v/>
      </c>
      <c r="R128" s="50">
        <f>IFERROR(IF(INDEX('CI&amp;S'!$N$22:$N$36,MATCH($F128,'CI&amp;S'!$B$22:$B$36,0))="","Cell will autofill based on response",INDEX('CI&amp;S'!$N$22:$N$36,MATCH($F128,'CI&amp;S'!$B$22:$B$36,0))),"N/A")</f>
        <v/>
      </c>
      <c r="S128" s="50">
        <f>IFERROR(IF(INDEX('CFOG'!$N$10:$N$16,MATCH($F128,'CFOG'!$B$10:$B$16,0))="","Cell will autofill based on response",INDEX('CFOG'!$N$10:$N$16,MATCH($F128,'CFOG'!$B$10:$B$16,0))),"N/A")</f>
        <v/>
      </c>
      <c r="T128" s="50">
        <f>IFERROR(IF(INDEX('CFOG'!$N$23:$N$24,MATCH($F128,'CFOG'!$B$23:$B$24,0))="","Cell will autofill based on response",INDEX('CFOG'!$N$23:$N$24,MATCH($F128,'CFOG'!$B$23:$B$24,0))),"N/A")</f>
        <v/>
      </c>
      <c r="U128" s="50">
        <f>IFERROR(IF(INDEX('ESG'!$N$10:$N$17,MATCH($F128,'ESG'!$B$10:$B$17,0))="","Cell will autofill based on response",INDEX('ESG'!$N$10:$N$17,MATCH($F128,'ESG'!$B$10:$B$17,0))),"N/A")</f>
        <v/>
      </c>
      <c r="V128" s="50">
        <f>IFERROR(IF(INDEX('CIOG'!$N$10:$N$14,MATCH($F128,'CIOG'!$B$10:$B$14,0))="","Cell will autofill based on response",INDEX('CIOG'!$N$10:$N$14,MATCH($F128,'CIOG'!$B$10:$B$14,0))),"N/A")</f>
        <v/>
      </c>
      <c r="W128" s="50">
        <f>IFERROR(IF(INDEX('MRE'!$N$10:$N$18,MATCH($F128,'MRE'!$B$10:$B$18,0))="","Cell will autofill based on response",INDEX('MRE'!$N$10:$N$18,MATCH($F128,'MRE'!$B$10:$B$18,0))),"N/A")</f>
        <v/>
      </c>
      <c r="X128" s="50">
        <f>IFERROR(IF(INDEX('AC&amp;M'!$N$10:$N$14,MATCH($F128,'AC&amp;M'!$B$10:$B$14,0))="","Cell will autofill based on response",INDEX('AC&amp;M'!$N$10:$N$14,MATCH($F128,'AC&amp;M'!$B$10:$B$14,0))),"N/A")</f>
        <v/>
      </c>
      <c r="Y128" s="50">
        <f>IFERROR(IF(INDEX('GCE'!$N$10:$N$12,MATCH($F128,'GCE'!$B$10:$B$12,0))="","Cell will autofill based on response",INDEX('GCE'!$N$10:$N$12,MATCH($F128,'GCE'!$B$10:$B$12,0))),"N/A")</f>
        <v/>
      </c>
      <c r="Z128" s="50">
        <f>IFERROR(IF(INDEX('Education'!$N$10:$N$13,MATCH($F128,'Education'!$B$10:$B$13,0))="","Cell will autofill based on response",INDEX('Education'!$N$10:$N$13,MATCH($F128,'Education'!$B$10:$B$13,0))),"N/A")</f>
        <v/>
      </c>
      <c r="AA128" s="50">
        <f>IFERROR(IF(INDEX('SaSS'!$N$10:$N$12,MATCH($F128,'SaSS'!$B$10:$B$12,0))="","Cell will autofill based on response",INDEX('SaSS'!$N$10:$N$12,MATCH($F128,'SaSS'!$B$10:$B$12,0))),"N/A")</f>
        <v/>
      </c>
      <c r="AB128" s="50">
        <f>IFERROR(IF(INDEX('Indigenous'!$N$10:$N$11,MATCH($F128,'Indigenous'!$B$10:$B$11,0))="","Cell will autofill based on response",INDEX('Indigenous'!$N$10:$N$11,MATCH($F128,'Indigenous'!$B$10:$B$11,0))),"N/A")</f>
        <v/>
      </c>
      <c r="AC128" s="50">
        <f>IFERROR(IF(INDEX('L&amp;R'!$N$10:$N$11,MATCH($F128,'L&amp;R'!$B$10:$B$11,0))="","Cell will autofill based on response",INDEX('L&amp;R'!$N$10:$N$11,MATCH($F128,'L&amp;R'!$B$10:$B$11,0))),"N/A")</f>
        <v/>
      </c>
    </row>
    <row r="129" ht="22" customHeight="1">
      <c r="A129">
        <f>F129&amp;"|"&amp;G129</f>
        <v/>
      </c>
      <c r="B129" s="12" t="inlineStr"/>
      <c r="C129" s="7" t="inlineStr"/>
      <c r="D129" s="7" t="inlineStr"/>
      <c r="E129" s="7" t="inlineStr"/>
      <c r="F129" s="7" t="inlineStr">
        <is>
          <t>NB2(b)</t>
        </is>
      </c>
      <c r="G129" s="7" t="inlineStr">
        <is>
          <t>Data source and limitations</t>
        </is>
      </c>
      <c r="H129" s="50">
        <f>IFERROR(IF(INDEX('Faculties'!$O$10:$O$18,MATCH($F129,'Faculties'!$B$10:$B$18,0))="","Cell will autofill based on response",INDEX('Faculties'!$O$10:$O$18,MATCH($F129,'Faculties'!$B$10:$B$18,0))),"N/A")</f>
        <v/>
      </c>
      <c r="I129" s="50">
        <f>IFERROR(IF(INDEX('Faculties'!$O$25:$O$34,MATCH($F129,'Faculties'!$B$25:$B$34,0))="","Cell will autofill based on response",INDEX('Faculties'!$O$25:$O$34,MATCH($F129,'Faculties'!$B$25:$B$34,0))),"N/A")</f>
        <v/>
      </c>
      <c r="J129" s="50">
        <f>IFERROR(IF(INDEX('Faculties'!$O$41:$O$50,MATCH($F129,'Faculties'!$B$41:$B$50,0))="","Cell will autofill based on response",INDEX('Faculties'!$O$41:$O$50,MATCH($F129,'Faculties'!$B$41:$B$50,0))),"N/A")</f>
        <v/>
      </c>
      <c r="K129" s="50">
        <f>IFERROR(IF(INDEX('Faculties'!$O$57:$O$66,MATCH($F129,'Faculties'!$B$57:$B$66,0))="","Cell will autofill based on response",INDEX('Faculties'!$O$57:$O$66,MATCH($F129,'Faculties'!$B$57:$B$66,0))),"N/A")</f>
        <v/>
      </c>
      <c r="L129" s="50">
        <f>IFERROR(IF(INDEX('Faculties'!$O$73:$O$82,MATCH($F129,'Faculties'!$B$73:$B$82,0))="","Cell will autofill based on response",INDEX('Faculties'!$O$73:$O$82,MATCH($F129,'Faculties'!$B$73:$B$82,0))),"N/A")</f>
        <v/>
      </c>
      <c r="M129" s="50">
        <f>IFERROR(IF(INDEX('Faculties'!$O$89:$O$98,MATCH($F129,'Faculties'!$B$89:$B$98,0))="","Cell will autofill based on response",INDEX('Faculties'!$O$89:$O$98,MATCH($F129,'Faculties'!$B$89:$B$98,0))),"N/A")</f>
        <v/>
      </c>
      <c r="N129" s="50">
        <f>IFERROR(IF(INDEX('Faculties'!$O$105:$O$114,MATCH($F129,'Faculties'!$B$105:$B$114,0))="","Cell will autofill based on response",INDEX('Faculties'!$O$105:$O$114,MATCH($F129,'Faculties'!$B$105:$B$114,0))),"N/A")</f>
        <v/>
      </c>
      <c r="O129" s="50">
        <f>IFERROR(IF(INDEX('Faculties'!$O$121:$O$130,MATCH($F129,'Faculties'!$B$121:$B$130,0))="","Cell will autofill based on response",INDEX('Faculties'!$O$121:$O$130,MATCH($F129,'Faculties'!$B$121:$B$130,0))),"N/A")</f>
        <v/>
      </c>
      <c r="P129" s="50">
        <f>IFERROR(IF(INDEX('Faculties'!$O$137:$O$146,MATCH($F129,'Faculties'!$B$137:$B$146,0))="","Cell will autofill based on response",INDEX('Faculties'!$O$137:$O$146,MATCH($F129,'Faculties'!$B$137:$B$146,0))),"N/A")</f>
        <v/>
      </c>
      <c r="Q129" s="50">
        <f>IFERROR(IF(INDEX('CI&amp;S'!$O$10:$O$15,MATCH($F129,'CI&amp;S'!$B$10:$B$15,0))="","Cell will autofill based on response",INDEX('CI&amp;S'!$O$10:$O$15,MATCH($F129,'CI&amp;S'!$B$10:$B$15,0))),"N/A")</f>
        <v/>
      </c>
      <c r="R129" s="50">
        <f>IFERROR(IF(INDEX('CI&amp;S'!$O$22:$O$36,MATCH($F129,'CI&amp;S'!$B$22:$B$36,0))="","Cell will autofill based on response",INDEX('CI&amp;S'!$O$22:$O$36,MATCH($F129,'CI&amp;S'!$B$22:$B$36,0))),"N/A")</f>
        <v/>
      </c>
      <c r="S129" s="50">
        <f>IFERROR(IF(INDEX('CFOG'!$O$10:$O$16,MATCH($F129,'CFOG'!$B$10:$B$16,0))="","Cell will autofill based on response",INDEX('CFOG'!$O$10:$O$16,MATCH($F129,'CFOG'!$B$10:$B$16,0))),"N/A")</f>
        <v/>
      </c>
      <c r="T129" s="50">
        <f>IFERROR(IF(INDEX('CFOG'!$O$23:$O$24,MATCH($F129,'CFOG'!$B$23:$B$24,0))="","Cell will autofill based on response",INDEX('CFOG'!$O$23:$O$24,MATCH($F129,'CFOG'!$B$23:$B$24,0))),"N/A")</f>
        <v/>
      </c>
      <c r="U129" s="50">
        <f>IFERROR(IF(INDEX('ESG'!$O$10:$O$17,MATCH($F129,'ESG'!$B$10:$B$17,0))="","Cell will autofill based on response",INDEX('ESG'!$O$10:$O$17,MATCH($F129,'ESG'!$B$10:$B$17,0))),"N/A")</f>
        <v/>
      </c>
      <c r="V129" s="50">
        <f>IFERROR(IF(INDEX('CIOG'!$O$10:$O$14,MATCH($F129,'CIOG'!$B$10:$B$14,0))="","Cell will autofill based on response",INDEX('CIOG'!$O$10:$O$14,MATCH($F129,'CIOG'!$B$10:$B$14,0))),"N/A")</f>
        <v/>
      </c>
      <c r="W129" s="50">
        <f>IFERROR(IF(INDEX('MRE'!$O$10:$O$18,MATCH($F129,'MRE'!$B$10:$B$18,0))="","Cell will autofill based on response",INDEX('MRE'!$O$10:$O$18,MATCH($F129,'MRE'!$B$10:$B$18,0))),"N/A")</f>
        <v/>
      </c>
      <c r="X129" s="50">
        <f>IFERROR(IF(INDEX('AC&amp;M'!$O$10:$O$14,MATCH($F129,'AC&amp;M'!$B$10:$B$14,0))="","Cell will autofill based on response",INDEX('AC&amp;M'!$O$10:$O$14,MATCH($F129,'AC&amp;M'!$B$10:$B$14,0))),"N/A")</f>
        <v/>
      </c>
      <c r="Y129" s="50">
        <f>IFERROR(IF(INDEX('GCE'!$O$10:$O$12,MATCH($F129,'GCE'!$B$10:$B$12,0))="","Cell will autofill based on response",INDEX('GCE'!$O$10:$O$12,MATCH($F129,'GCE'!$B$10:$B$12,0))),"N/A")</f>
        <v/>
      </c>
      <c r="Z129" s="50">
        <f>IFERROR(IF(INDEX('Education'!$O$10:$O$13,MATCH($F129,'Education'!$B$10:$B$13,0))="","Cell will autofill based on response",INDEX('Education'!$O$10:$O$13,MATCH($F129,'Education'!$B$10:$B$13,0))),"N/A")</f>
        <v/>
      </c>
      <c r="AA129" s="50">
        <f>IFERROR(IF(INDEX('SaSS'!$O$10:$O$12,MATCH($F129,'SaSS'!$B$10:$B$12,0))="","Cell will autofill based on response",INDEX('SaSS'!$O$10:$O$12,MATCH($F129,'SaSS'!$B$10:$B$12,0))),"N/A")</f>
        <v/>
      </c>
      <c r="AB129" s="50">
        <f>IFERROR(IF(INDEX('Indigenous'!$O$10:$O$11,MATCH($F129,'Indigenous'!$B$10:$B$11,0))="","Cell will autofill based on response",INDEX('Indigenous'!$O$10:$O$11,MATCH($F129,'Indigenous'!$B$10:$B$11,0))),"N/A")</f>
        <v/>
      </c>
      <c r="AC129" s="50">
        <f>IFERROR(IF(INDEX('L&amp;R'!$O$10:$O$11,MATCH($F129,'L&amp;R'!$B$10:$B$11,0))="","Cell will autofill based on response",INDEX('L&amp;R'!$O$10:$O$11,MATCH($F129,'L&amp;R'!$B$10:$B$11,0))),"N/A")</f>
        <v/>
      </c>
    </row>
    <row r="130" ht="22" customHeight="1">
      <c r="A130">
        <f>F130&amp;"|"&amp;G130</f>
        <v/>
      </c>
      <c r="B130" s="12" t="inlineStr"/>
      <c r="C130" s="7" t="inlineStr"/>
      <c r="D130" s="7" t="inlineStr"/>
      <c r="E130" s="7" t="inlineStr"/>
      <c r="F130" s="7" t="inlineStr">
        <is>
          <t>NB2(b)</t>
        </is>
      </c>
      <c r="G130" s="7" t="inlineStr">
        <is>
          <t>Data owner confirms</t>
        </is>
      </c>
      <c r="H130" s="50">
        <f>IFERROR(IF(INDEX('Faculties'!$P$10:$P$18,MATCH($F130,'Faculties'!$B$10:$B$18,0))="","Cell will autofill based on response",INDEX('Faculties'!$P$10:$P$18,MATCH($F130,'Faculties'!$B$10:$B$18,0))),"N/A")</f>
        <v/>
      </c>
      <c r="I130" s="50">
        <f>IFERROR(IF(INDEX('Faculties'!$P$25:$P$34,MATCH($F130,'Faculties'!$B$25:$B$34,0))="","Cell will autofill based on response",INDEX('Faculties'!$P$25:$P$34,MATCH($F130,'Faculties'!$B$25:$B$34,0))),"N/A")</f>
        <v/>
      </c>
      <c r="J130" s="50">
        <f>IFERROR(IF(INDEX('Faculties'!$P$41:$P$50,MATCH($F130,'Faculties'!$B$41:$B$50,0))="","Cell will autofill based on response",INDEX('Faculties'!$P$41:$P$50,MATCH($F130,'Faculties'!$B$41:$B$50,0))),"N/A")</f>
        <v/>
      </c>
      <c r="K130" s="50">
        <f>IFERROR(IF(INDEX('Faculties'!$P$57:$P$66,MATCH($F130,'Faculties'!$B$57:$B$66,0))="","Cell will autofill based on response",INDEX('Faculties'!$P$57:$P$66,MATCH($F130,'Faculties'!$B$57:$B$66,0))),"N/A")</f>
        <v/>
      </c>
      <c r="L130" s="50">
        <f>IFERROR(IF(INDEX('Faculties'!$P$73:$P$82,MATCH($F130,'Faculties'!$B$73:$B$82,0))="","Cell will autofill based on response",INDEX('Faculties'!$P$73:$P$82,MATCH($F130,'Faculties'!$B$73:$B$82,0))),"N/A")</f>
        <v/>
      </c>
      <c r="M130" s="50">
        <f>IFERROR(IF(INDEX('Faculties'!$P$89:$P$98,MATCH($F130,'Faculties'!$B$89:$B$98,0))="","Cell will autofill based on response",INDEX('Faculties'!$P$89:$P$98,MATCH($F130,'Faculties'!$B$89:$B$98,0))),"N/A")</f>
        <v/>
      </c>
      <c r="N130" s="50">
        <f>IFERROR(IF(INDEX('Faculties'!$P$105:$P$114,MATCH($F130,'Faculties'!$B$105:$B$114,0))="","Cell will autofill based on response",INDEX('Faculties'!$P$105:$P$114,MATCH($F130,'Faculties'!$B$105:$B$114,0))),"N/A")</f>
        <v/>
      </c>
      <c r="O130" s="50">
        <f>IFERROR(IF(INDEX('Faculties'!$P$121:$P$130,MATCH($F130,'Faculties'!$B$121:$B$130,0))="","Cell will autofill based on response",INDEX('Faculties'!$P$121:$P$130,MATCH($F130,'Faculties'!$B$121:$B$130,0))),"N/A")</f>
        <v/>
      </c>
      <c r="P130" s="50">
        <f>IFERROR(IF(INDEX('Faculties'!$P$137:$P$146,MATCH($F130,'Faculties'!$B$137:$B$146,0))="","Cell will autofill based on response",INDEX('Faculties'!$P$137:$P$146,MATCH($F130,'Faculties'!$B$137:$B$146,0))),"N/A")</f>
        <v/>
      </c>
      <c r="Q130" s="50">
        <f>IFERROR(IF(INDEX('CI&amp;S'!$P$10:$P$15,MATCH($F130,'CI&amp;S'!$B$10:$B$15,0))="","Cell will autofill based on response",INDEX('CI&amp;S'!$P$10:$P$15,MATCH($F130,'CI&amp;S'!$B$10:$B$15,0))),"N/A")</f>
        <v/>
      </c>
      <c r="R130" s="50">
        <f>IFERROR(IF(INDEX('CI&amp;S'!$P$22:$P$36,MATCH($F130,'CI&amp;S'!$B$22:$B$36,0))="","Cell will autofill based on response",INDEX('CI&amp;S'!$P$22:$P$36,MATCH($F130,'CI&amp;S'!$B$22:$B$36,0))),"N/A")</f>
        <v/>
      </c>
      <c r="S130" s="50">
        <f>IFERROR(IF(INDEX('CFOG'!$P$10:$P$16,MATCH($F130,'CFOG'!$B$10:$B$16,0))="","Cell will autofill based on response",INDEX('CFOG'!$P$10:$P$16,MATCH($F130,'CFOG'!$B$10:$B$16,0))),"N/A")</f>
        <v/>
      </c>
      <c r="T130" s="50">
        <f>IFERROR(IF(INDEX('CFOG'!$P$23:$P$24,MATCH($F130,'CFOG'!$B$23:$B$24,0))="","Cell will autofill based on response",INDEX('CFOG'!$P$23:$P$24,MATCH($F130,'CFOG'!$B$23:$B$24,0))),"N/A")</f>
        <v/>
      </c>
      <c r="U130" s="50">
        <f>IFERROR(IF(INDEX('ESG'!$P$10:$P$17,MATCH($F130,'ESG'!$B$10:$B$17,0))="","Cell will autofill based on response",INDEX('ESG'!$P$10:$P$17,MATCH($F130,'ESG'!$B$10:$B$17,0))),"N/A")</f>
        <v/>
      </c>
      <c r="V130" s="50">
        <f>IFERROR(IF(INDEX('CIOG'!$P$10:$P$14,MATCH($F130,'CIOG'!$B$10:$B$14,0))="","Cell will autofill based on response",INDEX('CIOG'!$P$10:$P$14,MATCH($F130,'CIOG'!$B$10:$B$14,0))),"N/A")</f>
        <v/>
      </c>
      <c r="W130" s="50">
        <f>IFERROR(IF(INDEX('MRE'!$P$10:$P$18,MATCH($F130,'MRE'!$B$10:$B$18,0))="","Cell will autofill based on response",INDEX('MRE'!$P$10:$P$18,MATCH($F130,'MRE'!$B$10:$B$18,0))),"N/A")</f>
        <v/>
      </c>
      <c r="X130" s="50">
        <f>IFERROR(IF(INDEX('AC&amp;M'!$P$10:$P$14,MATCH($F130,'AC&amp;M'!$B$10:$B$14,0))="","Cell will autofill based on response",INDEX('AC&amp;M'!$P$10:$P$14,MATCH($F130,'AC&amp;M'!$B$10:$B$14,0))),"N/A")</f>
        <v/>
      </c>
      <c r="Y130" s="50">
        <f>IFERROR(IF(INDEX('GCE'!$P$10:$P$12,MATCH($F130,'GCE'!$B$10:$B$12,0))="","Cell will autofill based on response",INDEX('GCE'!$P$10:$P$12,MATCH($F130,'GCE'!$B$10:$B$12,0))),"N/A")</f>
        <v/>
      </c>
      <c r="Z130" s="50">
        <f>IFERROR(IF(INDEX('Education'!$P$10:$P$13,MATCH($F130,'Education'!$B$10:$B$13,0))="","Cell will autofill based on response",INDEX('Education'!$P$10:$P$13,MATCH($F130,'Education'!$B$10:$B$13,0))),"N/A")</f>
        <v/>
      </c>
      <c r="AA130" s="50">
        <f>IFERROR(IF(INDEX('SaSS'!$P$10:$P$12,MATCH($F130,'SaSS'!$B$10:$B$12,0))="","Cell will autofill based on response",INDEX('SaSS'!$P$10:$P$12,MATCH($F130,'SaSS'!$B$10:$B$12,0))),"N/A")</f>
        <v/>
      </c>
      <c r="AB130" s="50">
        <f>IFERROR(IF(INDEX('Indigenous'!$P$10:$P$11,MATCH($F130,'Indigenous'!$B$10:$B$11,0))="","Cell will autofill based on response",INDEX('Indigenous'!$P$10:$P$11,MATCH($F130,'Indigenous'!$B$10:$B$11,0))),"N/A")</f>
        <v/>
      </c>
      <c r="AC130" s="50">
        <f>IFERROR(IF(INDEX('L&amp;R'!$P$10:$P$11,MATCH($F130,'L&amp;R'!$B$10:$B$11,0))="","Cell will autofill based on response",INDEX('L&amp;R'!$P$10:$P$11,MATCH($F130,'L&amp;R'!$B$10:$B$11,0))),"N/A")</f>
        <v/>
      </c>
    </row>
    <row r="131" ht="122" customHeight="1">
      <c r="A131">
        <f>F131&amp;"|"&amp;G131</f>
        <v/>
      </c>
      <c r="B131" s="6" t="inlineStr">
        <is>
          <t>NB2(c)</t>
        </is>
      </c>
      <c r="C131" s="48" t="inlineStr">
        <is>
          <t>Nature and biodiversity</t>
        </is>
      </c>
      <c r="D131" s="48" t="inlineStr">
        <is>
          <t>Evidence of prioritised high risk procurement categories or suppliers for nature impact management</t>
        </is>
      </c>
      <c r="E131" s="48" t="inlineStr">
        <is>
          <t>Please provide the prioritised high-risk procurement categories and/or suppliers identified for nature-impact management, could include the basis for prioritisation and any risk-management, engagement or mitigation actions undertaken or planned.</t>
        </is>
      </c>
      <c r="F131" s="48" t="inlineStr">
        <is>
          <t>NB2(c)</t>
        </is>
      </c>
      <c r="G131" s="48" t="inlineStr">
        <is>
          <t>OPTION 1:  Target-level reporting</t>
        </is>
      </c>
      <c r="H131" s="50">
        <f>IFERROR(IF(INDEX('Faculties'!$L$10:$L$18,MATCH($F131,'Faculties'!$B$10:$B$18,0))="","Cell will autofill based on response",INDEX('Faculties'!$L$10:$L$18,MATCH($F131,'Faculties'!$B$10:$B$18,0))),"N/A")</f>
        <v/>
      </c>
      <c r="I131" s="50">
        <f>IFERROR(IF(INDEX('Faculties'!$L$25:$L$34,MATCH($F131,'Faculties'!$B$25:$B$34,0))="","Cell will autofill based on response",INDEX('Faculties'!$L$25:$L$34,MATCH($F131,'Faculties'!$B$25:$B$34,0))),"N/A")</f>
        <v/>
      </c>
      <c r="J131" s="50">
        <f>IFERROR(IF(INDEX('Faculties'!$L$41:$L$50,MATCH($F131,'Faculties'!$B$41:$B$50,0))="","Cell will autofill based on response",INDEX('Faculties'!$L$41:$L$50,MATCH($F131,'Faculties'!$B$41:$B$50,0))),"N/A")</f>
        <v/>
      </c>
      <c r="K131" s="50">
        <f>IFERROR(IF(INDEX('Faculties'!$L$57:$L$66,MATCH($F131,'Faculties'!$B$57:$B$66,0))="","Cell will autofill based on response",INDEX('Faculties'!$L$57:$L$66,MATCH($F131,'Faculties'!$B$57:$B$66,0))),"N/A")</f>
        <v/>
      </c>
      <c r="L131" s="50">
        <f>IFERROR(IF(INDEX('Faculties'!$L$73:$L$82,MATCH($F131,'Faculties'!$B$73:$B$82,0))="","Cell will autofill based on response",INDEX('Faculties'!$L$73:$L$82,MATCH($F131,'Faculties'!$B$73:$B$82,0))),"N/A")</f>
        <v/>
      </c>
      <c r="M131" s="50">
        <f>IFERROR(IF(INDEX('Faculties'!$L$89:$L$98,MATCH($F131,'Faculties'!$B$89:$B$98,0))="","Cell will autofill based on response",INDEX('Faculties'!$L$89:$L$98,MATCH($F131,'Faculties'!$B$89:$B$98,0))),"N/A")</f>
        <v/>
      </c>
      <c r="N131" s="50">
        <f>IFERROR(IF(INDEX('Faculties'!$L$105:$L$114,MATCH($F131,'Faculties'!$B$105:$B$114,0))="","Cell will autofill based on response",INDEX('Faculties'!$L$105:$L$114,MATCH($F131,'Faculties'!$B$105:$B$114,0))),"N/A")</f>
        <v/>
      </c>
      <c r="O131" s="50">
        <f>IFERROR(IF(INDEX('Faculties'!$L$121:$L$130,MATCH($F131,'Faculties'!$B$121:$B$130,0))="","Cell will autofill based on response",INDEX('Faculties'!$L$121:$L$130,MATCH($F131,'Faculties'!$B$121:$B$130,0))),"N/A")</f>
        <v/>
      </c>
      <c r="P131" s="50">
        <f>IFERROR(IF(INDEX('Faculties'!$L$137:$L$146,MATCH($F131,'Faculties'!$B$137:$B$146,0))="","Cell will autofill based on response",INDEX('Faculties'!$L$137:$L$146,MATCH($F131,'Faculties'!$B$137:$B$146,0))),"N/A")</f>
        <v/>
      </c>
      <c r="Q131" s="50">
        <f>IFERROR(IF(INDEX('CI&amp;S'!$L$10:$L$15,MATCH($F131,'CI&amp;S'!$B$10:$B$15,0))="","Cell will autofill based on response",INDEX('CI&amp;S'!$L$10:$L$15,MATCH($F131,'CI&amp;S'!$B$10:$B$15,0))),"N/A")</f>
        <v/>
      </c>
      <c r="R131" s="50">
        <f>IFERROR(IF(INDEX('CI&amp;S'!$L$22:$L$36,MATCH($F131,'CI&amp;S'!$B$22:$B$36,0))="","Cell will autofill based on response",INDEX('CI&amp;S'!$L$22:$L$36,MATCH($F131,'CI&amp;S'!$B$22:$B$36,0))),"N/A")</f>
        <v/>
      </c>
      <c r="S131" s="50">
        <f>IFERROR(IF(INDEX('CFOG'!$L$10:$L$16,MATCH($F131,'CFOG'!$B$10:$B$16,0))="","Cell will autofill based on response",INDEX('CFOG'!$L$10:$L$16,MATCH($F131,'CFOG'!$B$10:$B$16,0))),"N/A")</f>
        <v/>
      </c>
      <c r="T131" s="50">
        <f>IFERROR(IF(INDEX('CFOG'!$L$23:$L$24,MATCH($F131,'CFOG'!$B$23:$B$24,0))="","Cell will autofill based on response",INDEX('CFOG'!$L$23:$L$24,MATCH($F131,'CFOG'!$B$23:$B$24,0))),"N/A")</f>
        <v/>
      </c>
      <c r="U131" s="50">
        <f>IFERROR(IF(INDEX('ESG'!$L$10:$L$17,MATCH($F131,'ESG'!$B$10:$B$17,0))="","Cell will autofill based on response",INDEX('ESG'!$L$10:$L$17,MATCH($F131,'ESG'!$B$10:$B$17,0))),"N/A")</f>
        <v/>
      </c>
      <c r="V131" s="50">
        <f>IFERROR(IF(INDEX('CIOG'!$L$10:$L$14,MATCH($F131,'CIOG'!$B$10:$B$14,0))="","Cell will autofill based on response",INDEX('CIOG'!$L$10:$L$14,MATCH($F131,'CIOG'!$B$10:$B$14,0))),"N/A")</f>
        <v/>
      </c>
      <c r="W131" s="50">
        <f>IFERROR(IF(INDEX('MRE'!$L$10:$L$18,MATCH($F131,'MRE'!$B$10:$B$18,0))="","Cell will autofill based on response",INDEX('MRE'!$L$10:$L$18,MATCH($F131,'MRE'!$B$10:$B$18,0))),"N/A")</f>
        <v/>
      </c>
      <c r="X131" s="50">
        <f>IFERROR(IF(INDEX('AC&amp;M'!$L$10:$L$14,MATCH($F131,'AC&amp;M'!$B$10:$B$14,0))="","Cell will autofill based on response",INDEX('AC&amp;M'!$L$10:$L$14,MATCH($F131,'AC&amp;M'!$B$10:$B$14,0))),"N/A")</f>
        <v/>
      </c>
      <c r="Y131" s="50">
        <f>IFERROR(IF(INDEX('GCE'!$L$10:$L$12,MATCH($F131,'GCE'!$B$10:$B$12,0))="","Cell will autofill based on response",INDEX('GCE'!$L$10:$L$12,MATCH($F131,'GCE'!$B$10:$B$12,0))),"N/A")</f>
        <v/>
      </c>
      <c r="Z131" s="50">
        <f>IFERROR(IF(INDEX('Education'!$L$10:$L$13,MATCH($F131,'Education'!$B$10:$B$13,0))="","Cell will autofill based on response",INDEX('Education'!$L$10:$L$13,MATCH($F131,'Education'!$B$10:$B$13,0))),"N/A")</f>
        <v/>
      </c>
      <c r="AA131" s="50">
        <f>IFERROR(IF(INDEX('SaSS'!$L$10:$L$12,MATCH($F131,'SaSS'!$B$10:$B$12,0))="","Cell will autofill based on response",INDEX('SaSS'!$L$10:$L$12,MATCH($F131,'SaSS'!$B$10:$B$12,0))),"N/A")</f>
        <v/>
      </c>
      <c r="AB131" s="50">
        <f>IFERROR(IF(INDEX('Indigenous'!$L$10:$L$11,MATCH($F131,'Indigenous'!$B$10:$B$11,0))="","Cell will autofill based on response",INDEX('Indigenous'!$L$10:$L$11,MATCH($F131,'Indigenous'!$B$10:$B$11,0))),"N/A")</f>
        <v/>
      </c>
      <c r="AC131" s="50">
        <f>IFERROR(IF(INDEX('L&amp;R'!$L$10:$L$11,MATCH($F131,'L&amp;R'!$B$10:$B$11,0))="","Cell will autofill based on response",INDEX('L&amp;R'!$L$10:$L$11,MATCH($F131,'L&amp;R'!$B$10:$B$11,0))),"N/A")</f>
        <v/>
      </c>
      <c r="AE131" s="9">
        <f>SUMPRODUCT(--($H131:$AC131&lt;&gt;"N/A"))</f>
        <v/>
      </c>
      <c r="AF131" s="9">
        <f>SUMPRODUCT(--(((($H131:$AC131&lt;&gt;"N/A")*($H131:$AC131&lt;&gt;"Cell will autofill based on response"))+(($H132:$AC132&lt;&gt;"N/A")*($H132:$AC132&lt;&gt;"Cell will autofill based on response")))&gt;0))</f>
        <v/>
      </c>
      <c r="AG131" s="9">
        <f>AE131-AF131</f>
        <v/>
      </c>
      <c r="AH131" s="9">
        <f>COUNTIF($H135:$AC135,"Yes")</f>
        <v/>
      </c>
    </row>
    <row r="132" ht="39" customHeight="1">
      <c r="A132">
        <f>F132&amp;"|"&amp;G132</f>
        <v/>
      </c>
      <c r="B132" s="12" t="inlineStr"/>
      <c r="C132" s="7" t="inlineStr"/>
      <c r="D132" s="7" t="inlineStr"/>
      <c r="E132" s="7" t="inlineStr"/>
      <c r="F132" s="7" t="inlineStr">
        <is>
          <t>NB2(c)</t>
        </is>
      </c>
      <c r="G132" s="7" t="inlineStr">
        <is>
          <t>OPTION 2:  Indicator level reporting</t>
        </is>
      </c>
      <c r="H132" s="50">
        <f>IFERROR(IF(INDEX('Faculties'!$M$10:$M$18,MATCH($F132,'Faculties'!$B$10:$B$18,0))="","Cell will autofill based on response",INDEX('Faculties'!$M$10:$M$18,MATCH($F132,'Faculties'!$B$10:$B$18,0))),"N/A")</f>
        <v/>
      </c>
      <c r="I132" s="50">
        <f>IFERROR(IF(INDEX('Faculties'!$M$25:$M$34,MATCH($F132,'Faculties'!$B$25:$B$34,0))="","Cell will autofill based on response",INDEX('Faculties'!$M$25:$M$34,MATCH($F132,'Faculties'!$B$25:$B$34,0))),"N/A")</f>
        <v/>
      </c>
      <c r="J132" s="50">
        <f>IFERROR(IF(INDEX('Faculties'!$M$41:$M$50,MATCH($F132,'Faculties'!$B$41:$B$50,0))="","Cell will autofill based on response",INDEX('Faculties'!$M$41:$M$50,MATCH($F132,'Faculties'!$B$41:$B$50,0))),"N/A")</f>
        <v/>
      </c>
      <c r="K132" s="50">
        <f>IFERROR(IF(INDEX('Faculties'!$M$57:$M$66,MATCH($F132,'Faculties'!$B$57:$B$66,0))="","Cell will autofill based on response",INDEX('Faculties'!$M$57:$M$66,MATCH($F132,'Faculties'!$B$57:$B$66,0))),"N/A")</f>
        <v/>
      </c>
      <c r="L132" s="50">
        <f>IFERROR(IF(INDEX('Faculties'!$M$73:$M$82,MATCH($F132,'Faculties'!$B$73:$B$82,0))="","Cell will autofill based on response",INDEX('Faculties'!$M$73:$M$82,MATCH($F132,'Faculties'!$B$73:$B$82,0))),"N/A")</f>
        <v/>
      </c>
      <c r="M132" s="50">
        <f>IFERROR(IF(INDEX('Faculties'!$M$89:$M$98,MATCH($F132,'Faculties'!$B$89:$B$98,0))="","Cell will autofill based on response",INDEX('Faculties'!$M$89:$M$98,MATCH($F132,'Faculties'!$B$89:$B$98,0))),"N/A")</f>
        <v/>
      </c>
      <c r="N132" s="50">
        <f>IFERROR(IF(INDEX('Faculties'!$M$105:$M$114,MATCH($F132,'Faculties'!$B$105:$B$114,0))="","Cell will autofill based on response",INDEX('Faculties'!$M$105:$M$114,MATCH($F132,'Faculties'!$B$105:$B$114,0))),"N/A")</f>
        <v/>
      </c>
      <c r="O132" s="50">
        <f>IFERROR(IF(INDEX('Faculties'!$M$121:$M$130,MATCH($F132,'Faculties'!$B$121:$B$130,0))="","Cell will autofill based on response",INDEX('Faculties'!$M$121:$M$130,MATCH($F132,'Faculties'!$B$121:$B$130,0))),"N/A")</f>
        <v/>
      </c>
      <c r="P132" s="50">
        <f>IFERROR(IF(INDEX('Faculties'!$M$137:$M$146,MATCH($F132,'Faculties'!$B$137:$B$146,0))="","Cell will autofill based on response",INDEX('Faculties'!$M$137:$M$146,MATCH($F132,'Faculties'!$B$137:$B$146,0))),"N/A")</f>
        <v/>
      </c>
      <c r="Q132" s="50">
        <f>IFERROR(IF(INDEX('CI&amp;S'!$M$10:$M$15,MATCH($F132,'CI&amp;S'!$B$10:$B$15,0))="","Cell will autofill based on response",INDEX('CI&amp;S'!$M$10:$M$15,MATCH($F132,'CI&amp;S'!$B$10:$B$15,0))),"N/A")</f>
        <v/>
      </c>
      <c r="R132" s="50">
        <f>IFERROR(IF(INDEX('CI&amp;S'!$M$22:$M$36,MATCH($F132,'CI&amp;S'!$B$22:$B$36,0))="","Cell will autofill based on response",INDEX('CI&amp;S'!$M$22:$M$36,MATCH($F132,'CI&amp;S'!$B$22:$B$36,0))),"N/A")</f>
        <v/>
      </c>
      <c r="S132" s="50">
        <f>IFERROR(IF(INDEX('CFOG'!$M$10:$M$16,MATCH($F132,'CFOG'!$B$10:$B$16,0))="","Cell will autofill based on response",INDEX('CFOG'!$M$10:$M$16,MATCH($F132,'CFOG'!$B$10:$B$16,0))),"N/A")</f>
        <v/>
      </c>
      <c r="T132" s="50">
        <f>IFERROR(IF(INDEX('CFOG'!$M$23:$M$24,MATCH($F132,'CFOG'!$B$23:$B$24,0))="","Cell will autofill based on response",INDEX('CFOG'!$M$23:$M$24,MATCH($F132,'CFOG'!$B$23:$B$24,0))),"N/A")</f>
        <v/>
      </c>
      <c r="U132" s="50">
        <f>IFERROR(IF(INDEX('ESG'!$M$10:$M$17,MATCH($F132,'ESG'!$B$10:$B$17,0))="","Cell will autofill based on response",INDEX('ESG'!$M$10:$M$17,MATCH($F132,'ESG'!$B$10:$B$17,0))),"N/A")</f>
        <v/>
      </c>
      <c r="V132" s="50">
        <f>IFERROR(IF(INDEX('CIOG'!$M$10:$M$14,MATCH($F132,'CIOG'!$B$10:$B$14,0))="","Cell will autofill based on response",INDEX('CIOG'!$M$10:$M$14,MATCH($F132,'CIOG'!$B$10:$B$14,0))),"N/A")</f>
        <v/>
      </c>
      <c r="W132" s="50">
        <f>IFERROR(IF(INDEX('MRE'!$M$10:$M$18,MATCH($F132,'MRE'!$B$10:$B$18,0))="","Cell will autofill based on response",INDEX('MRE'!$M$10:$M$18,MATCH($F132,'MRE'!$B$10:$B$18,0))),"N/A")</f>
        <v/>
      </c>
      <c r="X132" s="50">
        <f>IFERROR(IF(INDEX('AC&amp;M'!$M$10:$M$14,MATCH($F132,'AC&amp;M'!$B$10:$B$14,0))="","Cell will autofill based on response",INDEX('AC&amp;M'!$M$10:$M$14,MATCH($F132,'AC&amp;M'!$B$10:$B$14,0))),"N/A")</f>
        <v/>
      </c>
      <c r="Y132" s="50">
        <f>IFERROR(IF(INDEX('GCE'!$M$10:$M$12,MATCH($F132,'GCE'!$B$10:$B$12,0))="","Cell will autofill based on response",INDEX('GCE'!$M$10:$M$12,MATCH($F132,'GCE'!$B$10:$B$12,0))),"N/A")</f>
        <v/>
      </c>
      <c r="Z132" s="50">
        <f>IFERROR(IF(INDEX('Education'!$M$10:$M$13,MATCH($F132,'Education'!$B$10:$B$13,0))="","Cell will autofill based on response",INDEX('Education'!$M$10:$M$13,MATCH($F132,'Education'!$B$10:$B$13,0))),"N/A")</f>
        <v/>
      </c>
      <c r="AA132" s="50">
        <f>IFERROR(IF(INDEX('SaSS'!$M$10:$M$12,MATCH($F132,'SaSS'!$B$10:$B$12,0))="","Cell will autofill based on response",INDEX('SaSS'!$M$10:$M$12,MATCH($F132,'SaSS'!$B$10:$B$12,0))),"N/A")</f>
        <v/>
      </c>
      <c r="AB132" s="50">
        <f>IFERROR(IF(INDEX('Indigenous'!$M$10:$M$11,MATCH($F132,'Indigenous'!$B$10:$B$11,0))="","Cell will autofill based on response",INDEX('Indigenous'!$M$10:$M$11,MATCH($F132,'Indigenous'!$B$10:$B$11,0))),"N/A")</f>
        <v/>
      </c>
      <c r="AC132" s="50">
        <f>IFERROR(IF(INDEX('L&amp;R'!$M$10:$M$11,MATCH($F132,'L&amp;R'!$B$10:$B$11,0))="","Cell will autofill based on response",INDEX('L&amp;R'!$M$10:$M$11,MATCH($F132,'L&amp;R'!$B$10:$B$11,0))),"N/A")</f>
        <v/>
      </c>
    </row>
    <row r="133" ht="22" customHeight="1">
      <c r="A133">
        <f>F133&amp;"|"&amp;G133</f>
        <v/>
      </c>
      <c r="B133" s="12" t="inlineStr"/>
      <c r="C133" s="7" t="inlineStr"/>
      <c r="D133" s="7" t="inlineStr"/>
      <c r="E133" s="7" t="inlineStr"/>
      <c r="F133" s="7" t="inlineStr">
        <is>
          <t>NB2(c)</t>
        </is>
      </c>
      <c r="G133" s="7" t="inlineStr">
        <is>
          <t>Supporting information/comments</t>
        </is>
      </c>
      <c r="H133" s="50">
        <f>IFERROR(IF(INDEX('Faculties'!$N$10:$N$18,MATCH($F133,'Faculties'!$B$10:$B$18,0))="","Cell will autofill based on response",INDEX('Faculties'!$N$10:$N$18,MATCH($F133,'Faculties'!$B$10:$B$18,0))),"N/A")</f>
        <v/>
      </c>
      <c r="I133" s="50">
        <f>IFERROR(IF(INDEX('Faculties'!$N$25:$N$34,MATCH($F133,'Faculties'!$B$25:$B$34,0))="","Cell will autofill based on response",INDEX('Faculties'!$N$25:$N$34,MATCH($F133,'Faculties'!$B$25:$B$34,0))),"N/A")</f>
        <v/>
      </c>
      <c r="J133" s="50">
        <f>IFERROR(IF(INDEX('Faculties'!$N$41:$N$50,MATCH($F133,'Faculties'!$B$41:$B$50,0))="","Cell will autofill based on response",INDEX('Faculties'!$N$41:$N$50,MATCH($F133,'Faculties'!$B$41:$B$50,0))),"N/A")</f>
        <v/>
      </c>
      <c r="K133" s="50">
        <f>IFERROR(IF(INDEX('Faculties'!$N$57:$N$66,MATCH($F133,'Faculties'!$B$57:$B$66,0))="","Cell will autofill based on response",INDEX('Faculties'!$N$57:$N$66,MATCH($F133,'Faculties'!$B$57:$B$66,0))),"N/A")</f>
        <v/>
      </c>
      <c r="L133" s="50">
        <f>IFERROR(IF(INDEX('Faculties'!$N$73:$N$82,MATCH($F133,'Faculties'!$B$73:$B$82,0))="","Cell will autofill based on response",INDEX('Faculties'!$N$73:$N$82,MATCH($F133,'Faculties'!$B$73:$B$82,0))),"N/A")</f>
        <v/>
      </c>
      <c r="M133" s="50">
        <f>IFERROR(IF(INDEX('Faculties'!$N$89:$N$98,MATCH($F133,'Faculties'!$B$89:$B$98,0))="","Cell will autofill based on response",INDEX('Faculties'!$N$89:$N$98,MATCH($F133,'Faculties'!$B$89:$B$98,0))),"N/A")</f>
        <v/>
      </c>
      <c r="N133" s="50">
        <f>IFERROR(IF(INDEX('Faculties'!$N$105:$N$114,MATCH($F133,'Faculties'!$B$105:$B$114,0))="","Cell will autofill based on response",INDEX('Faculties'!$N$105:$N$114,MATCH($F133,'Faculties'!$B$105:$B$114,0))),"N/A")</f>
        <v/>
      </c>
      <c r="O133" s="50">
        <f>IFERROR(IF(INDEX('Faculties'!$N$121:$N$130,MATCH($F133,'Faculties'!$B$121:$B$130,0))="","Cell will autofill based on response",INDEX('Faculties'!$N$121:$N$130,MATCH($F133,'Faculties'!$B$121:$B$130,0))),"N/A")</f>
        <v/>
      </c>
      <c r="P133" s="50">
        <f>IFERROR(IF(INDEX('Faculties'!$N$137:$N$146,MATCH($F133,'Faculties'!$B$137:$B$146,0))="","Cell will autofill based on response",INDEX('Faculties'!$N$137:$N$146,MATCH($F133,'Faculties'!$B$137:$B$146,0))),"N/A")</f>
        <v/>
      </c>
      <c r="Q133" s="50">
        <f>IFERROR(IF(INDEX('CI&amp;S'!$N$10:$N$15,MATCH($F133,'CI&amp;S'!$B$10:$B$15,0))="","Cell will autofill based on response",INDEX('CI&amp;S'!$N$10:$N$15,MATCH($F133,'CI&amp;S'!$B$10:$B$15,0))),"N/A")</f>
        <v/>
      </c>
      <c r="R133" s="50">
        <f>IFERROR(IF(INDEX('CI&amp;S'!$N$22:$N$36,MATCH($F133,'CI&amp;S'!$B$22:$B$36,0))="","Cell will autofill based on response",INDEX('CI&amp;S'!$N$22:$N$36,MATCH($F133,'CI&amp;S'!$B$22:$B$36,0))),"N/A")</f>
        <v/>
      </c>
      <c r="S133" s="50">
        <f>IFERROR(IF(INDEX('CFOG'!$N$10:$N$16,MATCH($F133,'CFOG'!$B$10:$B$16,0))="","Cell will autofill based on response",INDEX('CFOG'!$N$10:$N$16,MATCH($F133,'CFOG'!$B$10:$B$16,0))),"N/A")</f>
        <v/>
      </c>
      <c r="T133" s="50">
        <f>IFERROR(IF(INDEX('CFOG'!$N$23:$N$24,MATCH($F133,'CFOG'!$B$23:$B$24,0))="","Cell will autofill based on response",INDEX('CFOG'!$N$23:$N$24,MATCH($F133,'CFOG'!$B$23:$B$24,0))),"N/A")</f>
        <v/>
      </c>
      <c r="U133" s="50">
        <f>IFERROR(IF(INDEX('ESG'!$N$10:$N$17,MATCH($F133,'ESG'!$B$10:$B$17,0))="","Cell will autofill based on response",INDEX('ESG'!$N$10:$N$17,MATCH($F133,'ESG'!$B$10:$B$17,0))),"N/A")</f>
        <v/>
      </c>
      <c r="V133" s="50">
        <f>IFERROR(IF(INDEX('CIOG'!$N$10:$N$14,MATCH($F133,'CIOG'!$B$10:$B$14,0))="","Cell will autofill based on response",INDEX('CIOG'!$N$10:$N$14,MATCH($F133,'CIOG'!$B$10:$B$14,0))),"N/A")</f>
        <v/>
      </c>
      <c r="W133" s="50">
        <f>IFERROR(IF(INDEX('MRE'!$N$10:$N$18,MATCH($F133,'MRE'!$B$10:$B$18,0))="","Cell will autofill based on response",INDEX('MRE'!$N$10:$N$18,MATCH($F133,'MRE'!$B$10:$B$18,0))),"N/A")</f>
        <v/>
      </c>
      <c r="X133" s="50">
        <f>IFERROR(IF(INDEX('AC&amp;M'!$N$10:$N$14,MATCH($F133,'AC&amp;M'!$B$10:$B$14,0))="","Cell will autofill based on response",INDEX('AC&amp;M'!$N$10:$N$14,MATCH($F133,'AC&amp;M'!$B$10:$B$14,0))),"N/A")</f>
        <v/>
      </c>
      <c r="Y133" s="50">
        <f>IFERROR(IF(INDEX('GCE'!$N$10:$N$12,MATCH($F133,'GCE'!$B$10:$B$12,0))="","Cell will autofill based on response",INDEX('GCE'!$N$10:$N$12,MATCH($F133,'GCE'!$B$10:$B$12,0))),"N/A")</f>
        <v/>
      </c>
      <c r="Z133" s="50">
        <f>IFERROR(IF(INDEX('Education'!$N$10:$N$13,MATCH($F133,'Education'!$B$10:$B$13,0))="","Cell will autofill based on response",INDEX('Education'!$N$10:$N$13,MATCH($F133,'Education'!$B$10:$B$13,0))),"N/A")</f>
        <v/>
      </c>
      <c r="AA133" s="50">
        <f>IFERROR(IF(INDEX('SaSS'!$N$10:$N$12,MATCH($F133,'SaSS'!$B$10:$B$12,0))="","Cell will autofill based on response",INDEX('SaSS'!$N$10:$N$12,MATCH($F133,'SaSS'!$B$10:$B$12,0))),"N/A")</f>
        <v/>
      </c>
      <c r="AB133" s="50">
        <f>IFERROR(IF(INDEX('Indigenous'!$N$10:$N$11,MATCH($F133,'Indigenous'!$B$10:$B$11,0))="","Cell will autofill based on response",INDEX('Indigenous'!$N$10:$N$11,MATCH($F133,'Indigenous'!$B$10:$B$11,0))),"N/A")</f>
        <v/>
      </c>
      <c r="AC133" s="50">
        <f>IFERROR(IF(INDEX('L&amp;R'!$N$10:$N$11,MATCH($F133,'L&amp;R'!$B$10:$B$11,0))="","Cell will autofill based on response",INDEX('L&amp;R'!$N$10:$N$11,MATCH($F133,'L&amp;R'!$B$10:$B$11,0))),"N/A")</f>
        <v/>
      </c>
    </row>
    <row r="134" ht="22" customHeight="1">
      <c r="A134">
        <f>F134&amp;"|"&amp;G134</f>
        <v/>
      </c>
      <c r="B134" s="12" t="inlineStr"/>
      <c r="C134" s="7" t="inlineStr"/>
      <c r="D134" s="7" t="inlineStr"/>
      <c r="E134" s="7" t="inlineStr"/>
      <c r="F134" s="7" t="inlineStr">
        <is>
          <t>NB2(c)</t>
        </is>
      </c>
      <c r="G134" s="7" t="inlineStr">
        <is>
          <t>Data source and limitations</t>
        </is>
      </c>
      <c r="H134" s="50">
        <f>IFERROR(IF(INDEX('Faculties'!$O$10:$O$18,MATCH($F134,'Faculties'!$B$10:$B$18,0))="","Cell will autofill based on response",INDEX('Faculties'!$O$10:$O$18,MATCH($F134,'Faculties'!$B$10:$B$18,0))),"N/A")</f>
        <v/>
      </c>
      <c r="I134" s="50">
        <f>IFERROR(IF(INDEX('Faculties'!$O$25:$O$34,MATCH($F134,'Faculties'!$B$25:$B$34,0))="","Cell will autofill based on response",INDEX('Faculties'!$O$25:$O$34,MATCH($F134,'Faculties'!$B$25:$B$34,0))),"N/A")</f>
        <v/>
      </c>
      <c r="J134" s="50">
        <f>IFERROR(IF(INDEX('Faculties'!$O$41:$O$50,MATCH($F134,'Faculties'!$B$41:$B$50,0))="","Cell will autofill based on response",INDEX('Faculties'!$O$41:$O$50,MATCH($F134,'Faculties'!$B$41:$B$50,0))),"N/A")</f>
        <v/>
      </c>
      <c r="K134" s="50">
        <f>IFERROR(IF(INDEX('Faculties'!$O$57:$O$66,MATCH($F134,'Faculties'!$B$57:$B$66,0))="","Cell will autofill based on response",INDEX('Faculties'!$O$57:$O$66,MATCH($F134,'Faculties'!$B$57:$B$66,0))),"N/A")</f>
        <v/>
      </c>
      <c r="L134" s="50">
        <f>IFERROR(IF(INDEX('Faculties'!$O$73:$O$82,MATCH($F134,'Faculties'!$B$73:$B$82,0))="","Cell will autofill based on response",INDEX('Faculties'!$O$73:$O$82,MATCH($F134,'Faculties'!$B$73:$B$82,0))),"N/A")</f>
        <v/>
      </c>
      <c r="M134" s="50">
        <f>IFERROR(IF(INDEX('Faculties'!$O$89:$O$98,MATCH($F134,'Faculties'!$B$89:$B$98,0))="","Cell will autofill based on response",INDEX('Faculties'!$O$89:$O$98,MATCH($F134,'Faculties'!$B$89:$B$98,0))),"N/A")</f>
        <v/>
      </c>
      <c r="N134" s="50">
        <f>IFERROR(IF(INDEX('Faculties'!$O$105:$O$114,MATCH($F134,'Faculties'!$B$105:$B$114,0))="","Cell will autofill based on response",INDEX('Faculties'!$O$105:$O$114,MATCH($F134,'Faculties'!$B$105:$B$114,0))),"N/A")</f>
        <v/>
      </c>
      <c r="O134" s="50">
        <f>IFERROR(IF(INDEX('Faculties'!$O$121:$O$130,MATCH($F134,'Faculties'!$B$121:$B$130,0))="","Cell will autofill based on response",INDEX('Faculties'!$O$121:$O$130,MATCH($F134,'Faculties'!$B$121:$B$130,0))),"N/A")</f>
        <v/>
      </c>
      <c r="P134" s="50">
        <f>IFERROR(IF(INDEX('Faculties'!$O$137:$O$146,MATCH($F134,'Faculties'!$B$137:$B$146,0))="","Cell will autofill based on response",INDEX('Faculties'!$O$137:$O$146,MATCH($F134,'Faculties'!$B$137:$B$146,0))),"N/A")</f>
        <v/>
      </c>
      <c r="Q134" s="50">
        <f>IFERROR(IF(INDEX('CI&amp;S'!$O$10:$O$15,MATCH($F134,'CI&amp;S'!$B$10:$B$15,0))="","Cell will autofill based on response",INDEX('CI&amp;S'!$O$10:$O$15,MATCH($F134,'CI&amp;S'!$B$10:$B$15,0))),"N/A")</f>
        <v/>
      </c>
      <c r="R134" s="50">
        <f>IFERROR(IF(INDEX('CI&amp;S'!$O$22:$O$36,MATCH($F134,'CI&amp;S'!$B$22:$B$36,0))="","Cell will autofill based on response",INDEX('CI&amp;S'!$O$22:$O$36,MATCH($F134,'CI&amp;S'!$B$22:$B$36,0))),"N/A")</f>
        <v/>
      </c>
      <c r="S134" s="50">
        <f>IFERROR(IF(INDEX('CFOG'!$O$10:$O$16,MATCH($F134,'CFOG'!$B$10:$B$16,0))="","Cell will autofill based on response",INDEX('CFOG'!$O$10:$O$16,MATCH($F134,'CFOG'!$B$10:$B$16,0))),"N/A")</f>
        <v/>
      </c>
      <c r="T134" s="50">
        <f>IFERROR(IF(INDEX('CFOG'!$O$23:$O$24,MATCH($F134,'CFOG'!$B$23:$B$24,0))="","Cell will autofill based on response",INDEX('CFOG'!$O$23:$O$24,MATCH($F134,'CFOG'!$B$23:$B$24,0))),"N/A")</f>
        <v/>
      </c>
      <c r="U134" s="50">
        <f>IFERROR(IF(INDEX('ESG'!$O$10:$O$17,MATCH($F134,'ESG'!$B$10:$B$17,0))="","Cell will autofill based on response",INDEX('ESG'!$O$10:$O$17,MATCH($F134,'ESG'!$B$10:$B$17,0))),"N/A")</f>
        <v/>
      </c>
      <c r="V134" s="50">
        <f>IFERROR(IF(INDEX('CIOG'!$O$10:$O$14,MATCH($F134,'CIOG'!$B$10:$B$14,0))="","Cell will autofill based on response",INDEX('CIOG'!$O$10:$O$14,MATCH($F134,'CIOG'!$B$10:$B$14,0))),"N/A")</f>
        <v/>
      </c>
      <c r="W134" s="50">
        <f>IFERROR(IF(INDEX('MRE'!$O$10:$O$18,MATCH($F134,'MRE'!$B$10:$B$18,0))="","Cell will autofill based on response",INDEX('MRE'!$O$10:$O$18,MATCH($F134,'MRE'!$B$10:$B$18,0))),"N/A")</f>
        <v/>
      </c>
      <c r="X134" s="50">
        <f>IFERROR(IF(INDEX('AC&amp;M'!$O$10:$O$14,MATCH($F134,'AC&amp;M'!$B$10:$B$14,0))="","Cell will autofill based on response",INDEX('AC&amp;M'!$O$10:$O$14,MATCH($F134,'AC&amp;M'!$B$10:$B$14,0))),"N/A")</f>
        <v/>
      </c>
      <c r="Y134" s="50">
        <f>IFERROR(IF(INDEX('GCE'!$O$10:$O$12,MATCH($F134,'GCE'!$B$10:$B$12,0))="","Cell will autofill based on response",INDEX('GCE'!$O$10:$O$12,MATCH($F134,'GCE'!$B$10:$B$12,0))),"N/A")</f>
        <v/>
      </c>
      <c r="Z134" s="50">
        <f>IFERROR(IF(INDEX('Education'!$O$10:$O$13,MATCH($F134,'Education'!$B$10:$B$13,0))="","Cell will autofill based on response",INDEX('Education'!$O$10:$O$13,MATCH($F134,'Education'!$B$10:$B$13,0))),"N/A")</f>
        <v/>
      </c>
      <c r="AA134" s="50">
        <f>IFERROR(IF(INDEX('SaSS'!$O$10:$O$12,MATCH($F134,'SaSS'!$B$10:$B$12,0))="","Cell will autofill based on response",INDEX('SaSS'!$O$10:$O$12,MATCH($F134,'SaSS'!$B$10:$B$12,0))),"N/A")</f>
        <v/>
      </c>
      <c r="AB134" s="50">
        <f>IFERROR(IF(INDEX('Indigenous'!$O$10:$O$11,MATCH($F134,'Indigenous'!$B$10:$B$11,0))="","Cell will autofill based on response",INDEX('Indigenous'!$O$10:$O$11,MATCH($F134,'Indigenous'!$B$10:$B$11,0))),"N/A")</f>
        <v/>
      </c>
      <c r="AC134" s="50">
        <f>IFERROR(IF(INDEX('L&amp;R'!$O$10:$O$11,MATCH($F134,'L&amp;R'!$B$10:$B$11,0))="","Cell will autofill based on response",INDEX('L&amp;R'!$O$10:$O$11,MATCH($F134,'L&amp;R'!$B$10:$B$11,0))),"N/A")</f>
        <v/>
      </c>
    </row>
    <row r="135" ht="22" customHeight="1">
      <c r="A135">
        <f>F135&amp;"|"&amp;G135</f>
        <v/>
      </c>
      <c r="B135" s="12" t="inlineStr"/>
      <c r="C135" s="7" t="inlineStr"/>
      <c r="D135" s="7" t="inlineStr"/>
      <c r="E135" s="7" t="inlineStr"/>
      <c r="F135" s="7" t="inlineStr">
        <is>
          <t>NB2(c)</t>
        </is>
      </c>
      <c r="G135" s="7" t="inlineStr">
        <is>
          <t>Data owner confirms</t>
        </is>
      </c>
      <c r="H135" s="50">
        <f>IFERROR(IF(INDEX('Faculties'!$P$10:$P$18,MATCH($F135,'Faculties'!$B$10:$B$18,0))="","Cell will autofill based on response",INDEX('Faculties'!$P$10:$P$18,MATCH($F135,'Faculties'!$B$10:$B$18,0))),"N/A")</f>
        <v/>
      </c>
      <c r="I135" s="50">
        <f>IFERROR(IF(INDEX('Faculties'!$P$25:$P$34,MATCH($F135,'Faculties'!$B$25:$B$34,0))="","Cell will autofill based on response",INDEX('Faculties'!$P$25:$P$34,MATCH($F135,'Faculties'!$B$25:$B$34,0))),"N/A")</f>
        <v/>
      </c>
      <c r="J135" s="50">
        <f>IFERROR(IF(INDEX('Faculties'!$P$41:$P$50,MATCH($F135,'Faculties'!$B$41:$B$50,0))="","Cell will autofill based on response",INDEX('Faculties'!$P$41:$P$50,MATCH($F135,'Faculties'!$B$41:$B$50,0))),"N/A")</f>
        <v/>
      </c>
      <c r="K135" s="50">
        <f>IFERROR(IF(INDEX('Faculties'!$P$57:$P$66,MATCH($F135,'Faculties'!$B$57:$B$66,0))="","Cell will autofill based on response",INDEX('Faculties'!$P$57:$P$66,MATCH($F135,'Faculties'!$B$57:$B$66,0))),"N/A")</f>
        <v/>
      </c>
      <c r="L135" s="50">
        <f>IFERROR(IF(INDEX('Faculties'!$P$73:$P$82,MATCH($F135,'Faculties'!$B$73:$B$82,0))="","Cell will autofill based on response",INDEX('Faculties'!$P$73:$P$82,MATCH($F135,'Faculties'!$B$73:$B$82,0))),"N/A")</f>
        <v/>
      </c>
      <c r="M135" s="50">
        <f>IFERROR(IF(INDEX('Faculties'!$P$89:$P$98,MATCH($F135,'Faculties'!$B$89:$B$98,0))="","Cell will autofill based on response",INDEX('Faculties'!$P$89:$P$98,MATCH($F135,'Faculties'!$B$89:$B$98,0))),"N/A")</f>
        <v/>
      </c>
      <c r="N135" s="50">
        <f>IFERROR(IF(INDEX('Faculties'!$P$105:$P$114,MATCH($F135,'Faculties'!$B$105:$B$114,0))="","Cell will autofill based on response",INDEX('Faculties'!$P$105:$P$114,MATCH($F135,'Faculties'!$B$105:$B$114,0))),"N/A")</f>
        <v/>
      </c>
      <c r="O135" s="50">
        <f>IFERROR(IF(INDEX('Faculties'!$P$121:$P$130,MATCH($F135,'Faculties'!$B$121:$B$130,0))="","Cell will autofill based on response",INDEX('Faculties'!$P$121:$P$130,MATCH($F135,'Faculties'!$B$121:$B$130,0))),"N/A")</f>
        <v/>
      </c>
      <c r="P135" s="50">
        <f>IFERROR(IF(INDEX('Faculties'!$P$137:$P$146,MATCH($F135,'Faculties'!$B$137:$B$146,0))="","Cell will autofill based on response",INDEX('Faculties'!$P$137:$P$146,MATCH($F135,'Faculties'!$B$137:$B$146,0))),"N/A")</f>
        <v/>
      </c>
      <c r="Q135" s="50">
        <f>IFERROR(IF(INDEX('CI&amp;S'!$P$10:$P$15,MATCH($F135,'CI&amp;S'!$B$10:$B$15,0))="","Cell will autofill based on response",INDEX('CI&amp;S'!$P$10:$P$15,MATCH($F135,'CI&amp;S'!$B$10:$B$15,0))),"N/A")</f>
        <v/>
      </c>
      <c r="R135" s="50">
        <f>IFERROR(IF(INDEX('CI&amp;S'!$P$22:$P$36,MATCH($F135,'CI&amp;S'!$B$22:$B$36,0))="","Cell will autofill based on response",INDEX('CI&amp;S'!$P$22:$P$36,MATCH($F135,'CI&amp;S'!$B$22:$B$36,0))),"N/A")</f>
        <v/>
      </c>
      <c r="S135" s="50">
        <f>IFERROR(IF(INDEX('CFOG'!$P$10:$P$16,MATCH($F135,'CFOG'!$B$10:$B$16,0))="","Cell will autofill based on response",INDEX('CFOG'!$P$10:$P$16,MATCH($F135,'CFOG'!$B$10:$B$16,0))),"N/A")</f>
        <v/>
      </c>
      <c r="T135" s="50">
        <f>IFERROR(IF(INDEX('CFOG'!$P$23:$P$24,MATCH($F135,'CFOG'!$B$23:$B$24,0))="","Cell will autofill based on response",INDEX('CFOG'!$P$23:$P$24,MATCH($F135,'CFOG'!$B$23:$B$24,0))),"N/A")</f>
        <v/>
      </c>
      <c r="U135" s="50">
        <f>IFERROR(IF(INDEX('ESG'!$P$10:$P$17,MATCH($F135,'ESG'!$B$10:$B$17,0))="","Cell will autofill based on response",INDEX('ESG'!$P$10:$P$17,MATCH($F135,'ESG'!$B$10:$B$17,0))),"N/A")</f>
        <v/>
      </c>
      <c r="V135" s="50">
        <f>IFERROR(IF(INDEX('CIOG'!$P$10:$P$14,MATCH($F135,'CIOG'!$B$10:$B$14,0))="","Cell will autofill based on response",INDEX('CIOG'!$P$10:$P$14,MATCH($F135,'CIOG'!$B$10:$B$14,0))),"N/A")</f>
        <v/>
      </c>
      <c r="W135" s="50">
        <f>IFERROR(IF(INDEX('MRE'!$P$10:$P$18,MATCH($F135,'MRE'!$B$10:$B$18,0))="","Cell will autofill based on response",INDEX('MRE'!$P$10:$P$18,MATCH($F135,'MRE'!$B$10:$B$18,0))),"N/A")</f>
        <v/>
      </c>
      <c r="X135" s="50">
        <f>IFERROR(IF(INDEX('AC&amp;M'!$P$10:$P$14,MATCH($F135,'AC&amp;M'!$B$10:$B$14,0))="","Cell will autofill based on response",INDEX('AC&amp;M'!$P$10:$P$14,MATCH($F135,'AC&amp;M'!$B$10:$B$14,0))),"N/A")</f>
        <v/>
      </c>
      <c r="Y135" s="50">
        <f>IFERROR(IF(INDEX('GCE'!$P$10:$P$12,MATCH($F135,'GCE'!$B$10:$B$12,0))="","Cell will autofill based on response",INDEX('GCE'!$P$10:$P$12,MATCH($F135,'GCE'!$B$10:$B$12,0))),"N/A")</f>
        <v/>
      </c>
      <c r="Z135" s="50">
        <f>IFERROR(IF(INDEX('Education'!$P$10:$P$13,MATCH($F135,'Education'!$B$10:$B$13,0))="","Cell will autofill based on response",INDEX('Education'!$P$10:$P$13,MATCH($F135,'Education'!$B$10:$B$13,0))),"N/A")</f>
        <v/>
      </c>
      <c r="AA135" s="50">
        <f>IFERROR(IF(INDEX('SaSS'!$P$10:$P$12,MATCH($F135,'SaSS'!$B$10:$B$12,0))="","Cell will autofill based on response",INDEX('SaSS'!$P$10:$P$12,MATCH($F135,'SaSS'!$B$10:$B$12,0))),"N/A")</f>
        <v/>
      </c>
      <c r="AB135" s="50">
        <f>IFERROR(IF(INDEX('Indigenous'!$P$10:$P$11,MATCH($F135,'Indigenous'!$B$10:$B$11,0))="","Cell will autofill based on response",INDEX('Indigenous'!$P$10:$P$11,MATCH($F135,'Indigenous'!$B$10:$B$11,0))),"N/A")</f>
        <v/>
      </c>
      <c r="AC135" s="50">
        <f>IFERROR(IF(INDEX('L&amp;R'!$P$10:$P$11,MATCH($F135,'L&amp;R'!$B$10:$B$11,0))="","Cell will autofill based on response",INDEX('L&amp;R'!$P$10:$P$11,MATCH($F135,'L&amp;R'!$B$10:$B$11,0))),"N/A")</f>
        <v/>
      </c>
    </row>
    <row r="136" ht="88" customHeight="1">
      <c r="A136">
        <f>F136&amp;"|"&amp;G136</f>
        <v/>
      </c>
      <c r="B136" s="6" t="inlineStr">
        <is>
          <t>AI1(a)</t>
        </is>
      </c>
      <c r="C136" s="48" t="inlineStr">
        <is>
          <t>Responsible AI</t>
        </is>
      </c>
      <c r="D136" s="48" t="inlineStr">
        <is>
          <t>Established measurement of estimated operational impacts and opportunities (eg operational impacts could include energy, water, emissions and intensity measures)</t>
        </is>
      </c>
      <c r="E136" s="48" t="inlineStr"/>
      <c r="F136" s="48" t="inlineStr">
        <is>
          <t>AI1(a)</t>
        </is>
      </c>
      <c r="G136" s="48" t="inlineStr">
        <is>
          <t>OPTION 1:  Target-level reporting</t>
        </is>
      </c>
      <c r="H136" s="50">
        <f>IFERROR(IF(INDEX('Faculties'!$L$10:$L$18,MATCH($F136,'Faculties'!$B$10:$B$18,0))="","Cell will autofill based on response",INDEX('Faculties'!$L$10:$L$18,MATCH($F136,'Faculties'!$B$10:$B$18,0))),"N/A")</f>
        <v/>
      </c>
      <c r="I136" s="50">
        <f>IFERROR(IF(INDEX('Faculties'!$L$25:$L$34,MATCH($F136,'Faculties'!$B$25:$B$34,0))="","Cell will autofill based on response",INDEX('Faculties'!$L$25:$L$34,MATCH($F136,'Faculties'!$B$25:$B$34,0))),"N/A")</f>
        <v/>
      </c>
      <c r="J136" s="50">
        <f>IFERROR(IF(INDEX('Faculties'!$L$41:$L$50,MATCH($F136,'Faculties'!$B$41:$B$50,0))="","Cell will autofill based on response",INDEX('Faculties'!$L$41:$L$50,MATCH($F136,'Faculties'!$B$41:$B$50,0))),"N/A")</f>
        <v/>
      </c>
      <c r="K136" s="50">
        <f>IFERROR(IF(INDEX('Faculties'!$L$57:$L$66,MATCH($F136,'Faculties'!$B$57:$B$66,0))="","Cell will autofill based on response",INDEX('Faculties'!$L$57:$L$66,MATCH($F136,'Faculties'!$B$57:$B$66,0))),"N/A")</f>
        <v/>
      </c>
      <c r="L136" s="50">
        <f>IFERROR(IF(INDEX('Faculties'!$L$73:$L$82,MATCH($F136,'Faculties'!$B$73:$B$82,0))="","Cell will autofill based on response",INDEX('Faculties'!$L$73:$L$82,MATCH($F136,'Faculties'!$B$73:$B$82,0))),"N/A")</f>
        <v/>
      </c>
      <c r="M136" s="50">
        <f>IFERROR(IF(INDEX('Faculties'!$L$89:$L$98,MATCH($F136,'Faculties'!$B$89:$B$98,0))="","Cell will autofill based on response",INDEX('Faculties'!$L$89:$L$98,MATCH($F136,'Faculties'!$B$89:$B$98,0))),"N/A")</f>
        <v/>
      </c>
      <c r="N136" s="50">
        <f>IFERROR(IF(INDEX('Faculties'!$L$105:$L$114,MATCH($F136,'Faculties'!$B$105:$B$114,0))="","Cell will autofill based on response",INDEX('Faculties'!$L$105:$L$114,MATCH($F136,'Faculties'!$B$105:$B$114,0))),"N/A")</f>
        <v/>
      </c>
      <c r="O136" s="50">
        <f>IFERROR(IF(INDEX('Faculties'!$L$121:$L$130,MATCH($F136,'Faculties'!$B$121:$B$130,0))="","Cell will autofill based on response",INDEX('Faculties'!$L$121:$L$130,MATCH($F136,'Faculties'!$B$121:$B$130,0))),"N/A")</f>
        <v/>
      </c>
      <c r="P136" s="50">
        <f>IFERROR(IF(INDEX('Faculties'!$L$137:$L$146,MATCH($F136,'Faculties'!$B$137:$B$146,0))="","Cell will autofill based on response",INDEX('Faculties'!$L$137:$L$146,MATCH($F136,'Faculties'!$B$137:$B$146,0))),"N/A")</f>
        <v/>
      </c>
      <c r="Q136" s="50">
        <f>IFERROR(IF(INDEX('CI&amp;S'!$L$10:$L$15,MATCH($F136,'CI&amp;S'!$B$10:$B$15,0))="","Cell will autofill based on response",INDEX('CI&amp;S'!$L$10:$L$15,MATCH($F136,'CI&amp;S'!$B$10:$B$15,0))),"N/A")</f>
        <v/>
      </c>
      <c r="R136" s="50">
        <f>IFERROR(IF(INDEX('CI&amp;S'!$L$22:$L$36,MATCH($F136,'CI&amp;S'!$B$22:$B$36,0))="","Cell will autofill based on response",INDEX('CI&amp;S'!$L$22:$L$36,MATCH($F136,'CI&amp;S'!$B$22:$B$36,0))),"N/A")</f>
        <v/>
      </c>
      <c r="S136" s="50">
        <f>IFERROR(IF(INDEX('CFOG'!$L$10:$L$16,MATCH($F136,'CFOG'!$B$10:$B$16,0))="","Cell will autofill based on response",INDEX('CFOG'!$L$10:$L$16,MATCH($F136,'CFOG'!$B$10:$B$16,0))),"N/A")</f>
        <v/>
      </c>
      <c r="T136" s="50">
        <f>IFERROR(IF(INDEX('CFOG'!$L$23:$L$24,MATCH($F136,'CFOG'!$B$23:$B$24,0))="","Cell will autofill based on response",INDEX('CFOG'!$L$23:$L$24,MATCH($F136,'CFOG'!$B$23:$B$24,0))),"N/A")</f>
        <v/>
      </c>
      <c r="U136" s="50">
        <f>IFERROR(IF(INDEX('ESG'!$L$10:$L$17,MATCH($F136,'ESG'!$B$10:$B$17,0))="","Cell will autofill based on response",INDEX('ESG'!$L$10:$L$17,MATCH($F136,'ESG'!$B$10:$B$17,0))),"N/A")</f>
        <v/>
      </c>
      <c r="V136" s="50">
        <f>IFERROR(IF(INDEX('CIOG'!$L$10:$L$14,MATCH($F136,'CIOG'!$B$10:$B$14,0))="","Cell will autofill based on response",INDEX('CIOG'!$L$10:$L$14,MATCH($F136,'CIOG'!$B$10:$B$14,0))),"N/A")</f>
        <v/>
      </c>
      <c r="W136" s="50">
        <f>IFERROR(IF(INDEX('MRE'!$L$10:$L$18,MATCH($F136,'MRE'!$B$10:$B$18,0))="","Cell will autofill based on response",INDEX('MRE'!$L$10:$L$18,MATCH($F136,'MRE'!$B$10:$B$18,0))),"N/A")</f>
        <v/>
      </c>
      <c r="X136" s="50">
        <f>IFERROR(IF(INDEX('AC&amp;M'!$L$10:$L$14,MATCH($F136,'AC&amp;M'!$B$10:$B$14,0))="","Cell will autofill based on response",INDEX('AC&amp;M'!$L$10:$L$14,MATCH($F136,'AC&amp;M'!$B$10:$B$14,0))),"N/A")</f>
        <v/>
      </c>
      <c r="Y136" s="50">
        <f>IFERROR(IF(INDEX('GCE'!$L$10:$L$12,MATCH($F136,'GCE'!$B$10:$B$12,0))="","Cell will autofill based on response",INDEX('GCE'!$L$10:$L$12,MATCH($F136,'GCE'!$B$10:$B$12,0))),"N/A")</f>
        <v/>
      </c>
      <c r="Z136" s="50">
        <f>IFERROR(IF(INDEX('Education'!$L$10:$L$13,MATCH($F136,'Education'!$B$10:$B$13,0))="","Cell will autofill based on response",INDEX('Education'!$L$10:$L$13,MATCH($F136,'Education'!$B$10:$B$13,0))),"N/A")</f>
        <v/>
      </c>
      <c r="AA136" s="50">
        <f>IFERROR(IF(INDEX('SaSS'!$L$10:$L$12,MATCH($F136,'SaSS'!$B$10:$B$12,0))="","Cell will autofill based on response",INDEX('SaSS'!$L$10:$L$12,MATCH($F136,'SaSS'!$B$10:$B$12,0))),"N/A")</f>
        <v/>
      </c>
      <c r="AB136" s="50">
        <f>IFERROR(IF(INDEX('Indigenous'!$L$10:$L$11,MATCH($F136,'Indigenous'!$B$10:$B$11,0))="","Cell will autofill based on response",INDEX('Indigenous'!$L$10:$L$11,MATCH($F136,'Indigenous'!$B$10:$B$11,0))),"N/A")</f>
        <v/>
      </c>
      <c r="AC136" s="50">
        <f>IFERROR(IF(INDEX('L&amp;R'!$L$10:$L$11,MATCH($F136,'L&amp;R'!$B$10:$B$11,0))="","Cell will autofill based on response",INDEX('L&amp;R'!$L$10:$L$11,MATCH($F136,'L&amp;R'!$B$10:$B$11,0))),"N/A")</f>
        <v/>
      </c>
      <c r="AE136" s="9">
        <f>SUMPRODUCT(--($H136:$AC136&lt;&gt;"N/A"))</f>
        <v/>
      </c>
      <c r="AF136" s="9">
        <f>SUMPRODUCT(--(((($H136:$AC136&lt;&gt;"N/A")*($H136:$AC136&lt;&gt;"Cell will autofill based on response"))+(($H137:$AC137&lt;&gt;"N/A")*($H137:$AC137&lt;&gt;"Cell will autofill based on response")))&gt;0))</f>
        <v/>
      </c>
      <c r="AG136" s="9">
        <f>AE136-AF136</f>
        <v/>
      </c>
      <c r="AH136" s="9">
        <f>COUNTIF($H140:$AC140,"Yes")</f>
        <v/>
      </c>
    </row>
    <row r="137" ht="39" customHeight="1">
      <c r="A137">
        <f>F137&amp;"|"&amp;G137</f>
        <v/>
      </c>
      <c r="B137" s="12" t="inlineStr"/>
      <c r="C137" s="7" t="inlineStr"/>
      <c r="D137" s="7" t="inlineStr"/>
      <c r="E137" s="7" t="inlineStr"/>
      <c r="F137" s="7" t="inlineStr">
        <is>
          <t>AI1(a)</t>
        </is>
      </c>
      <c r="G137" s="7" t="inlineStr">
        <is>
          <t>OPTION 2:  Indicator level reporting</t>
        </is>
      </c>
      <c r="H137" s="50">
        <f>IFERROR(IF(INDEX('Faculties'!$M$10:$M$18,MATCH($F137,'Faculties'!$B$10:$B$18,0))="","Cell will autofill based on response",INDEX('Faculties'!$M$10:$M$18,MATCH($F137,'Faculties'!$B$10:$B$18,0))),"N/A")</f>
        <v/>
      </c>
      <c r="I137" s="50">
        <f>IFERROR(IF(INDEX('Faculties'!$M$25:$M$34,MATCH($F137,'Faculties'!$B$25:$B$34,0))="","Cell will autofill based on response",INDEX('Faculties'!$M$25:$M$34,MATCH($F137,'Faculties'!$B$25:$B$34,0))),"N/A")</f>
        <v/>
      </c>
      <c r="J137" s="50">
        <f>IFERROR(IF(INDEX('Faculties'!$M$41:$M$50,MATCH($F137,'Faculties'!$B$41:$B$50,0))="","Cell will autofill based on response",INDEX('Faculties'!$M$41:$M$50,MATCH($F137,'Faculties'!$B$41:$B$50,0))),"N/A")</f>
        <v/>
      </c>
      <c r="K137" s="50">
        <f>IFERROR(IF(INDEX('Faculties'!$M$57:$M$66,MATCH($F137,'Faculties'!$B$57:$B$66,0))="","Cell will autofill based on response",INDEX('Faculties'!$M$57:$M$66,MATCH($F137,'Faculties'!$B$57:$B$66,0))),"N/A")</f>
        <v/>
      </c>
      <c r="L137" s="50">
        <f>IFERROR(IF(INDEX('Faculties'!$M$73:$M$82,MATCH($F137,'Faculties'!$B$73:$B$82,0))="","Cell will autofill based on response",INDEX('Faculties'!$M$73:$M$82,MATCH($F137,'Faculties'!$B$73:$B$82,0))),"N/A")</f>
        <v/>
      </c>
      <c r="M137" s="50">
        <f>IFERROR(IF(INDEX('Faculties'!$M$89:$M$98,MATCH($F137,'Faculties'!$B$89:$B$98,0))="","Cell will autofill based on response",INDEX('Faculties'!$M$89:$M$98,MATCH($F137,'Faculties'!$B$89:$B$98,0))),"N/A")</f>
        <v/>
      </c>
      <c r="N137" s="50">
        <f>IFERROR(IF(INDEX('Faculties'!$M$105:$M$114,MATCH($F137,'Faculties'!$B$105:$B$114,0))="","Cell will autofill based on response",INDEX('Faculties'!$M$105:$M$114,MATCH($F137,'Faculties'!$B$105:$B$114,0))),"N/A")</f>
        <v/>
      </c>
      <c r="O137" s="50">
        <f>IFERROR(IF(INDEX('Faculties'!$M$121:$M$130,MATCH($F137,'Faculties'!$B$121:$B$130,0))="","Cell will autofill based on response",INDEX('Faculties'!$M$121:$M$130,MATCH($F137,'Faculties'!$B$121:$B$130,0))),"N/A")</f>
        <v/>
      </c>
      <c r="P137" s="50">
        <f>IFERROR(IF(INDEX('Faculties'!$M$137:$M$146,MATCH($F137,'Faculties'!$B$137:$B$146,0))="","Cell will autofill based on response",INDEX('Faculties'!$M$137:$M$146,MATCH($F137,'Faculties'!$B$137:$B$146,0))),"N/A")</f>
        <v/>
      </c>
      <c r="Q137" s="50">
        <f>IFERROR(IF(INDEX('CI&amp;S'!$M$10:$M$15,MATCH($F137,'CI&amp;S'!$B$10:$B$15,0))="","Cell will autofill based on response",INDEX('CI&amp;S'!$M$10:$M$15,MATCH($F137,'CI&amp;S'!$B$10:$B$15,0))),"N/A")</f>
        <v/>
      </c>
      <c r="R137" s="50">
        <f>IFERROR(IF(INDEX('CI&amp;S'!$M$22:$M$36,MATCH($F137,'CI&amp;S'!$B$22:$B$36,0))="","Cell will autofill based on response",INDEX('CI&amp;S'!$M$22:$M$36,MATCH($F137,'CI&amp;S'!$B$22:$B$36,0))),"N/A")</f>
        <v/>
      </c>
      <c r="S137" s="50">
        <f>IFERROR(IF(INDEX('CFOG'!$M$10:$M$16,MATCH($F137,'CFOG'!$B$10:$B$16,0))="","Cell will autofill based on response",INDEX('CFOG'!$M$10:$M$16,MATCH($F137,'CFOG'!$B$10:$B$16,0))),"N/A")</f>
        <v/>
      </c>
      <c r="T137" s="50">
        <f>IFERROR(IF(INDEX('CFOG'!$M$23:$M$24,MATCH($F137,'CFOG'!$B$23:$B$24,0))="","Cell will autofill based on response",INDEX('CFOG'!$M$23:$M$24,MATCH($F137,'CFOG'!$B$23:$B$24,0))),"N/A")</f>
        <v/>
      </c>
      <c r="U137" s="50">
        <f>IFERROR(IF(INDEX('ESG'!$M$10:$M$17,MATCH($F137,'ESG'!$B$10:$B$17,0))="","Cell will autofill based on response",INDEX('ESG'!$M$10:$M$17,MATCH($F137,'ESG'!$B$10:$B$17,0))),"N/A")</f>
        <v/>
      </c>
      <c r="V137" s="50">
        <f>IFERROR(IF(INDEX('CIOG'!$M$10:$M$14,MATCH($F137,'CIOG'!$B$10:$B$14,0))="","Cell will autofill based on response",INDEX('CIOG'!$M$10:$M$14,MATCH($F137,'CIOG'!$B$10:$B$14,0))),"N/A")</f>
        <v/>
      </c>
      <c r="W137" s="50">
        <f>IFERROR(IF(INDEX('MRE'!$M$10:$M$18,MATCH($F137,'MRE'!$B$10:$B$18,0))="","Cell will autofill based on response",INDEX('MRE'!$M$10:$M$18,MATCH($F137,'MRE'!$B$10:$B$18,0))),"N/A")</f>
        <v/>
      </c>
      <c r="X137" s="50">
        <f>IFERROR(IF(INDEX('AC&amp;M'!$M$10:$M$14,MATCH($F137,'AC&amp;M'!$B$10:$B$14,0))="","Cell will autofill based on response",INDEX('AC&amp;M'!$M$10:$M$14,MATCH($F137,'AC&amp;M'!$B$10:$B$14,0))),"N/A")</f>
        <v/>
      </c>
      <c r="Y137" s="50">
        <f>IFERROR(IF(INDEX('GCE'!$M$10:$M$12,MATCH($F137,'GCE'!$B$10:$B$12,0))="","Cell will autofill based on response",INDEX('GCE'!$M$10:$M$12,MATCH($F137,'GCE'!$B$10:$B$12,0))),"N/A")</f>
        <v/>
      </c>
      <c r="Z137" s="50">
        <f>IFERROR(IF(INDEX('Education'!$M$10:$M$13,MATCH($F137,'Education'!$B$10:$B$13,0))="","Cell will autofill based on response",INDEX('Education'!$M$10:$M$13,MATCH($F137,'Education'!$B$10:$B$13,0))),"N/A")</f>
        <v/>
      </c>
      <c r="AA137" s="50">
        <f>IFERROR(IF(INDEX('SaSS'!$M$10:$M$12,MATCH($F137,'SaSS'!$B$10:$B$12,0))="","Cell will autofill based on response",INDEX('SaSS'!$M$10:$M$12,MATCH($F137,'SaSS'!$B$10:$B$12,0))),"N/A")</f>
        <v/>
      </c>
      <c r="AB137" s="50">
        <f>IFERROR(IF(INDEX('Indigenous'!$M$10:$M$11,MATCH($F137,'Indigenous'!$B$10:$B$11,0))="","Cell will autofill based on response",INDEX('Indigenous'!$M$10:$M$11,MATCH($F137,'Indigenous'!$B$10:$B$11,0))),"N/A")</f>
        <v/>
      </c>
      <c r="AC137" s="50">
        <f>IFERROR(IF(INDEX('L&amp;R'!$M$10:$M$11,MATCH($F137,'L&amp;R'!$B$10:$B$11,0))="","Cell will autofill based on response",INDEX('L&amp;R'!$M$10:$M$11,MATCH($F137,'L&amp;R'!$B$10:$B$11,0))),"N/A")</f>
        <v/>
      </c>
    </row>
    <row r="138" ht="22" customHeight="1">
      <c r="A138">
        <f>F138&amp;"|"&amp;G138</f>
        <v/>
      </c>
      <c r="B138" s="12" t="inlineStr"/>
      <c r="C138" s="7" t="inlineStr"/>
      <c r="D138" s="7" t="inlineStr"/>
      <c r="E138" s="7" t="inlineStr"/>
      <c r="F138" s="7" t="inlineStr">
        <is>
          <t>AI1(a)</t>
        </is>
      </c>
      <c r="G138" s="7" t="inlineStr">
        <is>
          <t>Supporting information/comments</t>
        </is>
      </c>
      <c r="H138" s="50">
        <f>IFERROR(IF(INDEX('Faculties'!$N$10:$N$18,MATCH($F138,'Faculties'!$B$10:$B$18,0))="","Cell will autofill based on response",INDEX('Faculties'!$N$10:$N$18,MATCH($F138,'Faculties'!$B$10:$B$18,0))),"N/A")</f>
        <v/>
      </c>
      <c r="I138" s="50">
        <f>IFERROR(IF(INDEX('Faculties'!$N$25:$N$34,MATCH($F138,'Faculties'!$B$25:$B$34,0))="","Cell will autofill based on response",INDEX('Faculties'!$N$25:$N$34,MATCH($F138,'Faculties'!$B$25:$B$34,0))),"N/A")</f>
        <v/>
      </c>
      <c r="J138" s="50">
        <f>IFERROR(IF(INDEX('Faculties'!$N$41:$N$50,MATCH($F138,'Faculties'!$B$41:$B$50,0))="","Cell will autofill based on response",INDEX('Faculties'!$N$41:$N$50,MATCH($F138,'Faculties'!$B$41:$B$50,0))),"N/A")</f>
        <v/>
      </c>
      <c r="K138" s="50">
        <f>IFERROR(IF(INDEX('Faculties'!$N$57:$N$66,MATCH($F138,'Faculties'!$B$57:$B$66,0))="","Cell will autofill based on response",INDEX('Faculties'!$N$57:$N$66,MATCH($F138,'Faculties'!$B$57:$B$66,0))),"N/A")</f>
        <v/>
      </c>
      <c r="L138" s="50">
        <f>IFERROR(IF(INDEX('Faculties'!$N$73:$N$82,MATCH($F138,'Faculties'!$B$73:$B$82,0))="","Cell will autofill based on response",INDEX('Faculties'!$N$73:$N$82,MATCH($F138,'Faculties'!$B$73:$B$82,0))),"N/A")</f>
        <v/>
      </c>
      <c r="M138" s="50">
        <f>IFERROR(IF(INDEX('Faculties'!$N$89:$N$98,MATCH($F138,'Faculties'!$B$89:$B$98,0))="","Cell will autofill based on response",INDEX('Faculties'!$N$89:$N$98,MATCH($F138,'Faculties'!$B$89:$B$98,0))),"N/A")</f>
        <v/>
      </c>
      <c r="N138" s="50">
        <f>IFERROR(IF(INDEX('Faculties'!$N$105:$N$114,MATCH($F138,'Faculties'!$B$105:$B$114,0))="","Cell will autofill based on response",INDEX('Faculties'!$N$105:$N$114,MATCH($F138,'Faculties'!$B$105:$B$114,0))),"N/A")</f>
        <v/>
      </c>
      <c r="O138" s="50">
        <f>IFERROR(IF(INDEX('Faculties'!$N$121:$N$130,MATCH($F138,'Faculties'!$B$121:$B$130,0))="","Cell will autofill based on response",INDEX('Faculties'!$N$121:$N$130,MATCH($F138,'Faculties'!$B$121:$B$130,0))),"N/A")</f>
        <v/>
      </c>
      <c r="P138" s="50">
        <f>IFERROR(IF(INDEX('Faculties'!$N$137:$N$146,MATCH($F138,'Faculties'!$B$137:$B$146,0))="","Cell will autofill based on response",INDEX('Faculties'!$N$137:$N$146,MATCH($F138,'Faculties'!$B$137:$B$146,0))),"N/A")</f>
        <v/>
      </c>
      <c r="Q138" s="50">
        <f>IFERROR(IF(INDEX('CI&amp;S'!$N$10:$N$15,MATCH($F138,'CI&amp;S'!$B$10:$B$15,0))="","Cell will autofill based on response",INDEX('CI&amp;S'!$N$10:$N$15,MATCH($F138,'CI&amp;S'!$B$10:$B$15,0))),"N/A")</f>
        <v/>
      </c>
      <c r="R138" s="50">
        <f>IFERROR(IF(INDEX('CI&amp;S'!$N$22:$N$36,MATCH($F138,'CI&amp;S'!$B$22:$B$36,0))="","Cell will autofill based on response",INDEX('CI&amp;S'!$N$22:$N$36,MATCH($F138,'CI&amp;S'!$B$22:$B$36,0))),"N/A")</f>
        <v/>
      </c>
      <c r="S138" s="50">
        <f>IFERROR(IF(INDEX('CFOG'!$N$10:$N$16,MATCH($F138,'CFOG'!$B$10:$B$16,0))="","Cell will autofill based on response",INDEX('CFOG'!$N$10:$N$16,MATCH($F138,'CFOG'!$B$10:$B$16,0))),"N/A")</f>
        <v/>
      </c>
      <c r="T138" s="50">
        <f>IFERROR(IF(INDEX('CFOG'!$N$23:$N$24,MATCH($F138,'CFOG'!$B$23:$B$24,0))="","Cell will autofill based on response",INDEX('CFOG'!$N$23:$N$24,MATCH($F138,'CFOG'!$B$23:$B$24,0))),"N/A")</f>
        <v/>
      </c>
      <c r="U138" s="50">
        <f>IFERROR(IF(INDEX('ESG'!$N$10:$N$17,MATCH($F138,'ESG'!$B$10:$B$17,0))="","Cell will autofill based on response",INDEX('ESG'!$N$10:$N$17,MATCH($F138,'ESG'!$B$10:$B$17,0))),"N/A")</f>
        <v/>
      </c>
      <c r="V138" s="50">
        <f>IFERROR(IF(INDEX('CIOG'!$N$10:$N$14,MATCH($F138,'CIOG'!$B$10:$B$14,0))="","Cell will autofill based on response",INDEX('CIOG'!$N$10:$N$14,MATCH($F138,'CIOG'!$B$10:$B$14,0))),"N/A")</f>
        <v/>
      </c>
      <c r="W138" s="50">
        <f>IFERROR(IF(INDEX('MRE'!$N$10:$N$18,MATCH($F138,'MRE'!$B$10:$B$18,0))="","Cell will autofill based on response",INDEX('MRE'!$N$10:$N$18,MATCH($F138,'MRE'!$B$10:$B$18,0))),"N/A")</f>
        <v/>
      </c>
      <c r="X138" s="50">
        <f>IFERROR(IF(INDEX('AC&amp;M'!$N$10:$N$14,MATCH($F138,'AC&amp;M'!$B$10:$B$14,0))="","Cell will autofill based on response",INDEX('AC&amp;M'!$N$10:$N$14,MATCH($F138,'AC&amp;M'!$B$10:$B$14,0))),"N/A")</f>
        <v/>
      </c>
      <c r="Y138" s="50">
        <f>IFERROR(IF(INDEX('GCE'!$N$10:$N$12,MATCH($F138,'GCE'!$B$10:$B$12,0))="","Cell will autofill based on response",INDEX('GCE'!$N$10:$N$12,MATCH($F138,'GCE'!$B$10:$B$12,0))),"N/A")</f>
        <v/>
      </c>
      <c r="Z138" s="50">
        <f>IFERROR(IF(INDEX('Education'!$N$10:$N$13,MATCH($F138,'Education'!$B$10:$B$13,0))="","Cell will autofill based on response",INDEX('Education'!$N$10:$N$13,MATCH($F138,'Education'!$B$10:$B$13,0))),"N/A")</f>
        <v/>
      </c>
      <c r="AA138" s="50">
        <f>IFERROR(IF(INDEX('SaSS'!$N$10:$N$12,MATCH($F138,'SaSS'!$B$10:$B$12,0))="","Cell will autofill based on response",INDEX('SaSS'!$N$10:$N$12,MATCH($F138,'SaSS'!$B$10:$B$12,0))),"N/A")</f>
        <v/>
      </c>
      <c r="AB138" s="50">
        <f>IFERROR(IF(INDEX('Indigenous'!$N$10:$N$11,MATCH($F138,'Indigenous'!$B$10:$B$11,0))="","Cell will autofill based on response",INDEX('Indigenous'!$N$10:$N$11,MATCH($F138,'Indigenous'!$B$10:$B$11,0))),"N/A")</f>
        <v/>
      </c>
      <c r="AC138" s="50">
        <f>IFERROR(IF(INDEX('L&amp;R'!$N$10:$N$11,MATCH($F138,'L&amp;R'!$B$10:$B$11,0))="","Cell will autofill based on response",INDEX('L&amp;R'!$N$10:$N$11,MATCH($F138,'L&amp;R'!$B$10:$B$11,0))),"N/A")</f>
        <v/>
      </c>
    </row>
    <row r="139" ht="22" customHeight="1">
      <c r="A139">
        <f>F139&amp;"|"&amp;G139</f>
        <v/>
      </c>
      <c r="B139" s="12" t="inlineStr"/>
      <c r="C139" s="7" t="inlineStr"/>
      <c r="D139" s="7" t="inlineStr"/>
      <c r="E139" s="7" t="inlineStr"/>
      <c r="F139" s="7" t="inlineStr">
        <is>
          <t>AI1(a)</t>
        </is>
      </c>
      <c r="G139" s="7" t="inlineStr">
        <is>
          <t>Data source and limitations</t>
        </is>
      </c>
      <c r="H139" s="50">
        <f>IFERROR(IF(INDEX('Faculties'!$O$10:$O$18,MATCH($F139,'Faculties'!$B$10:$B$18,0))="","Cell will autofill based on response",INDEX('Faculties'!$O$10:$O$18,MATCH($F139,'Faculties'!$B$10:$B$18,0))),"N/A")</f>
        <v/>
      </c>
      <c r="I139" s="50">
        <f>IFERROR(IF(INDEX('Faculties'!$O$25:$O$34,MATCH($F139,'Faculties'!$B$25:$B$34,0))="","Cell will autofill based on response",INDEX('Faculties'!$O$25:$O$34,MATCH($F139,'Faculties'!$B$25:$B$34,0))),"N/A")</f>
        <v/>
      </c>
      <c r="J139" s="50">
        <f>IFERROR(IF(INDEX('Faculties'!$O$41:$O$50,MATCH($F139,'Faculties'!$B$41:$B$50,0))="","Cell will autofill based on response",INDEX('Faculties'!$O$41:$O$50,MATCH($F139,'Faculties'!$B$41:$B$50,0))),"N/A")</f>
        <v/>
      </c>
      <c r="K139" s="50">
        <f>IFERROR(IF(INDEX('Faculties'!$O$57:$O$66,MATCH($F139,'Faculties'!$B$57:$B$66,0))="","Cell will autofill based on response",INDEX('Faculties'!$O$57:$O$66,MATCH($F139,'Faculties'!$B$57:$B$66,0))),"N/A")</f>
        <v/>
      </c>
      <c r="L139" s="50">
        <f>IFERROR(IF(INDEX('Faculties'!$O$73:$O$82,MATCH($F139,'Faculties'!$B$73:$B$82,0))="","Cell will autofill based on response",INDEX('Faculties'!$O$73:$O$82,MATCH($F139,'Faculties'!$B$73:$B$82,0))),"N/A")</f>
        <v/>
      </c>
      <c r="M139" s="50">
        <f>IFERROR(IF(INDEX('Faculties'!$O$89:$O$98,MATCH($F139,'Faculties'!$B$89:$B$98,0))="","Cell will autofill based on response",INDEX('Faculties'!$O$89:$O$98,MATCH($F139,'Faculties'!$B$89:$B$98,0))),"N/A")</f>
        <v/>
      </c>
      <c r="N139" s="50">
        <f>IFERROR(IF(INDEX('Faculties'!$O$105:$O$114,MATCH($F139,'Faculties'!$B$105:$B$114,0))="","Cell will autofill based on response",INDEX('Faculties'!$O$105:$O$114,MATCH($F139,'Faculties'!$B$105:$B$114,0))),"N/A")</f>
        <v/>
      </c>
      <c r="O139" s="50">
        <f>IFERROR(IF(INDEX('Faculties'!$O$121:$O$130,MATCH($F139,'Faculties'!$B$121:$B$130,0))="","Cell will autofill based on response",INDEX('Faculties'!$O$121:$O$130,MATCH($F139,'Faculties'!$B$121:$B$130,0))),"N/A")</f>
        <v/>
      </c>
      <c r="P139" s="50">
        <f>IFERROR(IF(INDEX('Faculties'!$O$137:$O$146,MATCH($F139,'Faculties'!$B$137:$B$146,0))="","Cell will autofill based on response",INDEX('Faculties'!$O$137:$O$146,MATCH($F139,'Faculties'!$B$137:$B$146,0))),"N/A")</f>
        <v/>
      </c>
      <c r="Q139" s="50">
        <f>IFERROR(IF(INDEX('CI&amp;S'!$O$10:$O$15,MATCH($F139,'CI&amp;S'!$B$10:$B$15,0))="","Cell will autofill based on response",INDEX('CI&amp;S'!$O$10:$O$15,MATCH($F139,'CI&amp;S'!$B$10:$B$15,0))),"N/A")</f>
        <v/>
      </c>
      <c r="R139" s="50">
        <f>IFERROR(IF(INDEX('CI&amp;S'!$O$22:$O$36,MATCH($F139,'CI&amp;S'!$B$22:$B$36,0))="","Cell will autofill based on response",INDEX('CI&amp;S'!$O$22:$O$36,MATCH($F139,'CI&amp;S'!$B$22:$B$36,0))),"N/A")</f>
        <v/>
      </c>
      <c r="S139" s="50">
        <f>IFERROR(IF(INDEX('CFOG'!$O$10:$O$16,MATCH($F139,'CFOG'!$B$10:$B$16,0))="","Cell will autofill based on response",INDEX('CFOG'!$O$10:$O$16,MATCH($F139,'CFOG'!$B$10:$B$16,0))),"N/A")</f>
        <v/>
      </c>
      <c r="T139" s="50">
        <f>IFERROR(IF(INDEX('CFOG'!$O$23:$O$24,MATCH($F139,'CFOG'!$B$23:$B$24,0))="","Cell will autofill based on response",INDEX('CFOG'!$O$23:$O$24,MATCH($F139,'CFOG'!$B$23:$B$24,0))),"N/A")</f>
        <v/>
      </c>
      <c r="U139" s="50">
        <f>IFERROR(IF(INDEX('ESG'!$O$10:$O$17,MATCH($F139,'ESG'!$B$10:$B$17,0))="","Cell will autofill based on response",INDEX('ESG'!$O$10:$O$17,MATCH($F139,'ESG'!$B$10:$B$17,0))),"N/A")</f>
        <v/>
      </c>
      <c r="V139" s="50">
        <f>IFERROR(IF(INDEX('CIOG'!$O$10:$O$14,MATCH($F139,'CIOG'!$B$10:$B$14,0))="","Cell will autofill based on response",INDEX('CIOG'!$O$10:$O$14,MATCH($F139,'CIOG'!$B$10:$B$14,0))),"N/A")</f>
        <v/>
      </c>
      <c r="W139" s="50">
        <f>IFERROR(IF(INDEX('MRE'!$O$10:$O$18,MATCH($F139,'MRE'!$B$10:$B$18,0))="","Cell will autofill based on response",INDEX('MRE'!$O$10:$O$18,MATCH($F139,'MRE'!$B$10:$B$18,0))),"N/A")</f>
        <v/>
      </c>
      <c r="X139" s="50">
        <f>IFERROR(IF(INDEX('AC&amp;M'!$O$10:$O$14,MATCH($F139,'AC&amp;M'!$B$10:$B$14,0))="","Cell will autofill based on response",INDEX('AC&amp;M'!$O$10:$O$14,MATCH($F139,'AC&amp;M'!$B$10:$B$14,0))),"N/A")</f>
        <v/>
      </c>
      <c r="Y139" s="50">
        <f>IFERROR(IF(INDEX('GCE'!$O$10:$O$12,MATCH($F139,'GCE'!$B$10:$B$12,0))="","Cell will autofill based on response",INDEX('GCE'!$O$10:$O$12,MATCH($F139,'GCE'!$B$10:$B$12,0))),"N/A")</f>
        <v/>
      </c>
      <c r="Z139" s="50">
        <f>IFERROR(IF(INDEX('Education'!$O$10:$O$13,MATCH($F139,'Education'!$B$10:$B$13,0))="","Cell will autofill based on response",INDEX('Education'!$O$10:$O$13,MATCH($F139,'Education'!$B$10:$B$13,0))),"N/A")</f>
        <v/>
      </c>
      <c r="AA139" s="50">
        <f>IFERROR(IF(INDEX('SaSS'!$O$10:$O$12,MATCH($F139,'SaSS'!$B$10:$B$12,0))="","Cell will autofill based on response",INDEX('SaSS'!$O$10:$O$12,MATCH($F139,'SaSS'!$B$10:$B$12,0))),"N/A")</f>
        <v/>
      </c>
      <c r="AB139" s="50">
        <f>IFERROR(IF(INDEX('Indigenous'!$O$10:$O$11,MATCH($F139,'Indigenous'!$B$10:$B$11,0))="","Cell will autofill based on response",INDEX('Indigenous'!$O$10:$O$11,MATCH($F139,'Indigenous'!$B$10:$B$11,0))),"N/A")</f>
        <v/>
      </c>
      <c r="AC139" s="50">
        <f>IFERROR(IF(INDEX('L&amp;R'!$O$10:$O$11,MATCH($F139,'L&amp;R'!$B$10:$B$11,0))="","Cell will autofill based on response",INDEX('L&amp;R'!$O$10:$O$11,MATCH($F139,'L&amp;R'!$B$10:$B$11,0))),"N/A")</f>
        <v/>
      </c>
    </row>
    <row r="140" ht="22" customHeight="1">
      <c r="A140">
        <f>F140&amp;"|"&amp;G140</f>
        <v/>
      </c>
      <c r="B140" s="12" t="inlineStr"/>
      <c r="C140" s="7" t="inlineStr"/>
      <c r="D140" s="7" t="inlineStr"/>
      <c r="E140" s="7" t="inlineStr"/>
      <c r="F140" s="7" t="inlineStr">
        <is>
          <t>AI1(a)</t>
        </is>
      </c>
      <c r="G140" s="7" t="inlineStr">
        <is>
          <t>Data owner confirms</t>
        </is>
      </c>
      <c r="H140" s="50">
        <f>IFERROR(IF(INDEX('Faculties'!$P$10:$P$18,MATCH($F140,'Faculties'!$B$10:$B$18,0))="","Cell will autofill based on response",INDEX('Faculties'!$P$10:$P$18,MATCH($F140,'Faculties'!$B$10:$B$18,0))),"N/A")</f>
        <v/>
      </c>
      <c r="I140" s="50">
        <f>IFERROR(IF(INDEX('Faculties'!$P$25:$P$34,MATCH($F140,'Faculties'!$B$25:$B$34,0))="","Cell will autofill based on response",INDEX('Faculties'!$P$25:$P$34,MATCH($F140,'Faculties'!$B$25:$B$34,0))),"N/A")</f>
        <v/>
      </c>
      <c r="J140" s="50">
        <f>IFERROR(IF(INDEX('Faculties'!$P$41:$P$50,MATCH($F140,'Faculties'!$B$41:$B$50,0))="","Cell will autofill based on response",INDEX('Faculties'!$P$41:$P$50,MATCH($F140,'Faculties'!$B$41:$B$50,0))),"N/A")</f>
        <v/>
      </c>
      <c r="K140" s="50">
        <f>IFERROR(IF(INDEX('Faculties'!$P$57:$P$66,MATCH($F140,'Faculties'!$B$57:$B$66,0))="","Cell will autofill based on response",INDEX('Faculties'!$P$57:$P$66,MATCH($F140,'Faculties'!$B$57:$B$66,0))),"N/A")</f>
        <v/>
      </c>
      <c r="L140" s="50">
        <f>IFERROR(IF(INDEX('Faculties'!$P$73:$P$82,MATCH($F140,'Faculties'!$B$73:$B$82,0))="","Cell will autofill based on response",INDEX('Faculties'!$P$73:$P$82,MATCH($F140,'Faculties'!$B$73:$B$82,0))),"N/A")</f>
        <v/>
      </c>
      <c r="M140" s="50">
        <f>IFERROR(IF(INDEX('Faculties'!$P$89:$P$98,MATCH($F140,'Faculties'!$B$89:$B$98,0))="","Cell will autofill based on response",INDEX('Faculties'!$P$89:$P$98,MATCH($F140,'Faculties'!$B$89:$B$98,0))),"N/A")</f>
        <v/>
      </c>
      <c r="N140" s="50">
        <f>IFERROR(IF(INDEX('Faculties'!$P$105:$P$114,MATCH($F140,'Faculties'!$B$105:$B$114,0))="","Cell will autofill based on response",INDEX('Faculties'!$P$105:$P$114,MATCH($F140,'Faculties'!$B$105:$B$114,0))),"N/A")</f>
        <v/>
      </c>
      <c r="O140" s="50">
        <f>IFERROR(IF(INDEX('Faculties'!$P$121:$P$130,MATCH($F140,'Faculties'!$B$121:$B$130,0))="","Cell will autofill based on response",INDEX('Faculties'!$P$121:$P$130,MATCH($F140,'Faculties'!$B$121:$B$130,0))),"N/A")</f>
        <v/>
      </c>
      <c r="P140" s="50">
        <f>IFERROR(IF(INDEX('Faculties'!$P$137:$P$146,MATCH($F140,'Faculties'!$B$137:$B$146,0))="","Cell will autofill based on response",INDEX('Faculties'!$P$137:$P$146,MATCH($F140,'Faculties'!$B$137:$B$146,0))),"N/A")</f>
        <v/>
      </c>
      <c r="Q140" s="50">
        <f>IFERROR(IF(INDEX('CI&amp;S'!$P$10:$P$15,MATCH($F140,'CI&amp;S'!$B$10:$B$15,0))="","Cell will autofill based on response",INDEX('CI&amp;S'!$P$10:$P$15,MATCH($F140,'CI&amp;S'!$B$10:$B$15,0))),"N/A")</f>
        <v/>
      </c>
      <c r="R140" s="50">
        <f>IFERROR(IF(INDEX('CI&amp;S'!$P$22:$P$36,MATCH($F140,'CI&amp;S'!$B$22:$B$36,0))="","Cell will autofill based on response",INDEX('CI&amp;S'!$P$22:$P$36,MATCH($F140,'CI&amp;S'!$B$22:$B$36,0))),"N/A")</f>
        <v/>
      </c>
      <c r="S140" s="50">
        <f>IFERROR(IF(INDEX('CFOG'!$P$10:$P$16,MATCH($F140,'CFOG'!$B$10:$B$16,0))="","Cell will autofill based on response",INDEX('CFOG'!$P$10:$P$16,MATCH($F140,'CFOG'!$B$10:$B$16,0))),"N/A")</f>
        <v/>
      </c>
      <c r="T140" s="50">
        <f>IFERROR(IF(INDEX('CFOG'!$P$23:$P$24,MATCH($F140,'CFOG'!$B$23:$B$24,0))="","Cell will autofill based on response",INDEX('CFOG'!$P$23:$P$24,MATCH($F140,'CFOG'!$B$23:$B$24,0))),"N/A")</f>
        <v/>
      </c>
      <c r="U140" s="50">
        <f>IFERROR(IF(INDEX('ESG'!$P$10:$P$17,MATCH($F140,'ESG'!$B$10:$B$17,0))="","Cell will autofill based on response",INDEX('ESG'!$P$10:$P$17,MATCH($F140,'ESG'!$B$10:$B$17,0))),"N/A")</f>
        <v/>
      </c>
      <c r="V140" s="50">
        <f>IFERROR(IF(INDEX('CIOG'!$P$10:$P$14,MATCH($F140,'CIOG'!$B$10:$B$14,0))="","Cell will autofill based on response",INDEX('CIOG'!$P$10:$P$14,MATCH($F140,'CIOG'!$B$10:$B$14,0))),"N/A")</f>
        <v/>
      </c>
      <c r="W140" s="50">
        <f>IFERROR(IF(INDEX('MRE'!$P$10:$P$18,MATCH($F140,'MRE'!$B$10:$B$18,0))="","Cell will autofill based on response",INDEX('MRE'!$P$10:$P$18,MATCH($F140,'MRE'!$B$10:$B$18,0))),"N/A")</f>
        <v/>
      </c>
      <c r="X140" s="50">
        <f>IFERROR(IF(INDEX('AC&amp;M'!$P$10:$P$14,MATCH($F140,'AC&amp;M'!$B$10:$B$14,0))="","Cell will autofill based on response",INDEX('AC&amp;M'!$P$10:$P$14,MATCH($F140,'AC&amp;M'!$B$10:$B$14,0))),"N/A")</f>
        <v/>
      </c>
      <c r="Y140" s="50">
        <f>IFERROR(IF(INDEX('GCE'!$P$10:$P$12,MATCH($F140,'GCE'!$B$10:$B$12,0))="","Cell will autofill based on response",INDEX('GCE'!$P$10:$P$12,MATCH($F140,'GCE'!$B$10:$B$12,0))),"N/A")</f>
        <v/>
      </c>
      <c r="Z140" s="50">
        <f>IFERROR(IF(INDEX('Education'!$P$10:$P$13,MATCH($F140,'Education'!$B$10:$B$13,0))="","Cell will autofill based on response",INDEX('Education'!$P$10:$P$13,MATCH($F140,'Education'!$B$10:$B$13,0))),"N/A")</f>
        <v/>
      </c>
      <c r="AA140" s="50">
        <f>IFERROR(IF(INDEX('SaSS'!$P$10:$P$12,MATCH($F140,'SaSS'!$B$10:$B$12,0))="","Cell will autofill based on response",INDEX('SaSS'!$P$10:$P$12,MATCH($F140,'SaSS'!$B$10:$B$12,0))),"N/A")</f>
        <v/>
      </c>
      <c r="AB140" s="50">
        <f>IFERROR(IF(INDEX('Indigenous'!$P$10:$P$11,MATCH($F140,'Indigenous'!$B$10:$B$11,0))="","Cell will autofill based on response",INDEX('Indigenous'!$P$10:$P$11,MATCH($F140,'Indigenous'!$B$10:$B$11,0))),"N/A")</f>
        <v/>
      </c>
      <c r="AC140" s="50">
        <f>IFERROR(IF(INDEX('L&amp;R'!$P$10:$P$11,MATCH($F140,'L&amp;R'!$B$10:$B$11,0))="","Cell will autofill based on response",INDEX('L&amp;R'!$P$10:$P$11,MATCH($F140,'L&amp;R'!$B$10:$B$11,0))),"N/A")</f>
        <v/>
      </c>
    </row>
    <row r="141" ht="122" customHeight="1">
      <c r="A141">
        <f>F141&amp;"|"&amp;G141</f>
        <v/>
      </c>
      <c r="B141" s="6" t="inlineStr">
        <is>
          <t>AI1(b)</t>
        </is>
      </c>
      <c r="C141" s="48" t="inlineStr">
        <is>
          <t>Responsible AI</t>
        </is>
      </c>
      <c r="D141" s="48" t="inlineStr">
        <is>
          <t>Case studies of sustainability and AI-related education, research and collaboration activities.</t>
        </is>
      </c>
      <c r="E141" s="48" t="inlineStr">
        <is>
          <t>Please provide case studies from your Faculty/Portfolio of sustainability and AI-related education, research or collaboration activities, describing the activity, participants or partners, sustainability issue addressed and key outcomes or lessons.</t>
        </is>
      </c>
      <c r="F141" s="48" t="inlineStr">
        <is>
          <t>AI1(b)</t>
        </is>
      </c>
      <c r="G141" s="48" t="inlineStr">
        <is>
          <t>OPTION 1:  Target-level reporting</t>
        </is>
      </c>
      <c r="H141" s="50">
        <f>IFERROR(IF(INDEX('Faculties'!$L$10:$L$18,MATCH($F141,'Faculties'!$B$10:$B$18,0))="","Cell will autofill based on response",INDEX('Faculties'!$L$10:$L$18,MATCH($F141,'Faculties'!$B$10:$B$18,0))),"N/A")</f>
        <v/>
      </c>
      <c r="I141" s="50">
        <f>IFERROR(IF(INDEX('Faculties'!$L$25:$L$34,MATCH($F141,'Faculties'!$B$25:$B$34,0))="","Cell will autofill based on response",INDEX('Faculties'!$L$25:$L$34,MATCH($F141,'Faculties'!$B$25:$B$34,0))),"N/A")</f>
        <v/>
      </c>
      <c r="J141" s="50">
        <f>IFERROR(IF(INDEX('Faculties'!$L$41:$L$50,MATCH($F141,'Faculties'!$B$41:$B$50,0))="","Cell will autofill based on response",INDEX('Faculties'!$L$41:$L$50,MATCH($F141,'Faculties'!$B$41:$B$50,0))),"N/A")</f>
        <v/>
      </c>
      <c r="K141" s="50">
        <f>IFERROR(IF(INDEX('Faculties'!$L$57:$L$66,MATCH($F141,'Faculties'!$B$57:$B$66,0))="","Cell will autofill based on response",INDEX('Faculties'!$L$57:$L$66,MATCH($F141,'Faculties'!$B$57:$B$66,0))),"N/A")</f>
        <v/>
      </c>
      <c r="L141" s="50">
        <f>IFERROR(IF(INDEX('Faculties'!$L$73:$L$82,MATCH($F141,'Faculties'!$B$73:$B$82,0))="","Cell will autofill based on response",INDEX('Faculties'!$L$73:$L$82,MATCH($F141,'Faculties'!$B$73:$B$82,0))),"N/A")</f>
        <v/>
      </c>
      <c r="M141" s="50">
        <f>IFERROR(IF(INDEX('Faculties'!$L$89:$L$98,MATCH($F141,'Faculties'!$B$89:$B$98,0))="","Cell will autofill based on response",INDEX('Faculties'!$L$89:$L$98,MATCH($F141,'Faculties'!$B$89:$B$98,0))),"N/A")</f>
        <v/>
      </c>
      <c r="N141" s="50">
        <f>IFERROR(IF(INDEX('Faculties'!$L$105:$L$114,MATCH($F141,'Faculties'!$B$105:$B$114,0))="","Cell will autofill based on response",INDEX('Faculties'!$L$105:$L$114,MATCH($F141,'Faculties'!$B$105:$B$114,0))),"N/A")</f>
        <v/>
      </c>
      <c r="O141" s="50">
        <f>IFERROR(IF(INDEX('Faculties'!$L$121:$L$130,MATCH($F141,'Faculties'!$B$121:$B$130,0))="","Cell will autofill based on response",INDEX('Faculties'!$L$121:$L$130,MATCH($F141,'Faculties'!$B$121:$B$130,0))),"N/A")</f>
        <v/>
      </c>
      <c r="P141" s="50">
        <f>IFERROR(IF(INDEX('Faculties'!$L$137:$L$146,MATCH($F141,'Faculties'!$B$137:$B$146,0))="","Cell will autofill based on response",INDEX('Faculties'!$L$137:$L$146,MATCH($F141,'Faculties'!$B$137:$B$146,0))),"N/A")</f>
        <v/>
      </c>
      <c r="Q141" s="50">
        <f>IFERROR(IF(INDEX('CI&amp;S'!$L$10:$L$15,MATCH($F141,'CI&amp;S'!$B$10:$B$15,0))="","Cell will autofill based on response",INDEX('CI&amp;S'!$L$10:$L$15,MATCH($F141,'CI&amp;S'!$B$10:$B$15,0))),"N/A")</f>
        <v/>
      </c>
      <c r="R141" s="50">
        <f>IFERROR(IF(INDEX('CI&amp;S'!$L$22:$L$36,MATCH($F141,'CI&amp;S'!$B$22:$B$36,0))="","Cell will autofill based on response",INDEX('CI&amp;S'!$L$22:$L$36,MATCH($F141,'CI&amp;S'!$B$22:$B$36,0))),"N/A")</f>
        <v/>
      </c>
      <c r="S141" s="50">
        <f>IFERROR(IF(INDEX('CFOG'!$L$10:$L$16,MATCH($F141,'CFOG'!$B$10:$B$16,0))="","Cell will autofill based on response",INDEX('CFOG'!$L$10:$L$16,MATCH($F141,'CFOG'!$B$10:$B$16,0))),"N/A")</f>
        <v/>
      </c>
      <c r="T141" s="50">
        <f>IFERROR(IF(INDEX('CFOG'!$L$23:$L$24,MATCH($F141,'CFOG'!$B$23:$B$24,0))="","Cell will autofill based on response",INDEX('CFOG'!$L$23:$L$24,MATCH($F141,'CFOG'!$B$23:$B$24,0))),"N/A")</f>
        <v/>
      </c>
      <c r="U141" s="50">
        <f>IFERROR(IF(INDEX('ESG'!$L$10:$L$17,MATCH($F141,'ESG'!$B$10:$B$17,0))="","Cell will autofill based on response",INDEX('ESG'!$L$10:$L$17,MATCH($F141,'ESG'!$B$10:$B$17,0))),"N/A")</f>
        <v/>
      </c>
      <c r="V141" s="50">
        <f>IFERROR(IF(INDEX('CIOG'!$L$10:$L$14,MATCH($F141,'CIOG'!$B$10:$B$14,0))="","Cell will autofill based on response",INDEX('CIOG'!$L$10:$L$14,MATCH($F141,'CIOG'!$B$10:$B$14,0))),"N/A")</f>
        <v/>
      </c>
      <c r="W141" s="50">
        <f>IFERROR(IF(INDEX('MRE'!$L$10:$L$18,MATCH($F141,'MRE'!$B$10:$B$18,0))="","Cell will autofill based on response",INDEX('MRE'!$L$10:$L$18,MATCH($F141,'MRE'!$B$10:$B$18,0))),"N/A")</f>
        <v/>
      </c>
      <c r="X141" s="50">
        <f>IFERROR(IF(INDEX('AC&amp;M'!$L$10:$L$14,MATCH($F141,'AC&amp;M'!$B$10:$B$14,0))="","Cell will autofill based on response",INDEX('AC&amp;M'!$L$10:$L$14,MATCH($F141,'AC&amp;M'!$B$10:$B$14,0))),"N/A")</f>
        <v/>
      </c>
      <c r="Y141" s="50">
        <f>IFERROR(IF(INDEX('GCE'!$L$10:$L$12,MATCH($F141,'GCE'!$B$10:$B$12,0))="","Cell will autofill based on response",INDEX('GCE'!$L$10:$L$12,MATCH($F141,'GCE'!$B$10:$B$12,0))),"N/A")</f>
        <v/>
      </c>
      <c r="Z141" s="50">
        <f>IFERROR(IF(INDEX('Education'!$L$10:$L$13,MATCH($F141,'Education'!$B$10:$B$13,0))="","Cell will autofill based on response",INDEX('Education'!$L$10:$L$13,MATCH($F141,'Education'!$B$10:$B$13,0))),"N/A")</f>
        <v/>
      </c>
      <c r="AA141" s="50">
        <f>IFERROR(IF(INDEX('SaSS'!$L$10:$L$12,MATCH($F141,'SaSS'!$B$10:$B$12,0))="","Cell will autofill based on response",INDEX('SaSS'!$L$10:$L$12,MATCH($F141,'SaSS'!$B$10:$B$12,0))),"N/A")</f>
        <v/>
      </c>
      <c r="AB141" s="50">
        <f>IFERROR(IF(INDEX('Indigenous'!$L$10:$L$11,MATCH($F141,'Indigenous'!$B$10:$B$11,0))="","Cell will autofill based on response",INDEX('Indigenous'!$L$10:$L$11,MATCH($F141,'Indigenous'!$B$10:$B$11,0))),"N/A")</f>
        <v/>
      </c>
      <c r="AC141" s="50">
        <f>IFERROR(IF(INDEX('L&amp;R'!$L$10:$L$11,MATCH($F141,'L&amp;R'!$B$10:$B$11,0))="","Cell will autofill based on response",INDEX('L&amp;R'!$L$10:$L$11,MATCH($F141,'L&amp;R'!$B$10:$B$11,0))),"N/A")</f>
        <v/>
      </c>
      <c r="AE141" s="9">
        <f>SUMPRODUCT(--($H141:$AC141&lt;&gt;"N/A"))</f>
        <v/>
      </c>
      <c r="AF141" s="9">
        <f>SUMPRODUCT(--(((($H141:$AC141&lt;&gt;"N/A")*($H141:$AC141&lt;&gt;"Cell will autofill based on response"))+(($H142:$AC142&lt;&gt;"N/A")*($H142:$AC142&lt;&gt;"Cell will autofill based on response")))&gt;0))</f>
        <v/>
      </c>
      <c r="AG141" s="9">
        <f>AE141-AF141</f>
        <v/>
      </c>
      <c r="AH141" s="9">
        <f>COUNTIF($H145:$AC145,"Yes")</f>
        <v/>
      </c>
    </row>
    <row r="142" ht="39" customHeight="1">
      <c r="A142">
        <f>F142&amp;"|"&amp;G142</f>
        <v/>
      </c>
      <c r="B142" s="12" t="inlineStr"/>
      <c r="C142" s="7" t="inlineStr"/>
      <c r="D142" s="7" t="inlineStr"/>
      <c r="E142" s="7" t="inlineStr"/>
      <c r="F142" s="7" t="inlineStr">
        <is>
          <t>AI1(b)</t>
        </is>
      </c>
      <c r="G142" s="7" t="inlineStr">
        <is>
          <t>OPTION 2:  Indicator level reporting</t>
        </is>
      </c>
      <c r="H142" s="50">
        <f>IFERROR(IF(INDEX('Faculties'!$M$10:$M$18,MATCH($F142,'Faculties'!$B$10:$B$18,0))="","Cell will autofill based on response",INDEX('Faculties'!$M$10:$M$18,MATCH($F142,'Faculties'!$B$10:$B$18,0))),"N/A")</f>
        <v/>
      </c>
      <c r="I142" s="50">
        <f>IFERROR(IF(INDEX('Faculties'!$M$25:$M$34,MATCH($F142,'Faculties'!$B$25:$B$34,0))="","Cell will autofill based on response",INDEX('Faculties'!$M$25:$M$34,MATCH($F142,'Faculties'!$B$25:$B$34,0))),"N/A")</f>
        <v/>
      </c>
      <c r="J142" s="50">
        <f>IFERROR(IF(INDEX('Faculties'!$M$41:$M$50,MATCH($F142,'Faculties'!$B$41:$B$50,0))="","Cell will autofill based on response",INDEX('Faculties'!$M$41:$M$50,MATCH($F142,'Faculties'!$B$41:$B$50,0))),"N/A")</f>
        <v/>
      </c>
      <c r="K142" s="50">
        <f>IFERROR(IF(INDEX('Faculties'!$M$57:$M$66,MATCH($F142,'Faculties'!$B$57:$B$66,0))="","Cell will autofill based on response",INDEX('Faculties'!$M$57:$M$66,MATCH($F142,'Faculties'!$B$57:$B$66,0))),"N/A")</f>
        <v/>
      </c>
      <c r="L142" s="50">
        <f>IFERROR(IF(INDEX('Faculties'!$M$73:$M$82,MATCH($F142,'Faculties'!$B$73:$B$82,0))="","Cell will autofill based on response",INDEX('Faculties'!$M$73:$M$82,MATCH($F142,'Faculties'!$B$73:$B$82,0))),"N/A")</f>
        <v/>
      </c>
      <c r="M142" s="50">
        <f>IFERROR(IF(INDEX('Faculties'!$M$89:$M$98,MATCH($F142,'Faculties'!$B$89:$B$98,0))="","Cell will autofill based on response",INDEX('Faculties'!$M$89:$M$98,MATCH($F142,'Faculties'!$B$89:$B$98,0))),"N/A")</f>
        <v/>
      </c>
      <c r="N142" s="50">
        <f>IFERROR(IF(INDEX('Faculties'!$M$105:$M$114,MATCH($F142,'Faculties'!$B$105:$B$114,0))="","Cell will autofill based on response",INDEX('Faculties'!$M$105:$M$114,MATCH($F142,'Faculties'!$B$105:$B$114,0))),"N/A")</f>
        <v/>
      </c>
      <c r="O142" s="50">
        <f>IFERROR(IF(INDEX('Faculties'!$M$121:$M$130,MATCH($F142,'Faculties'!$B$121:$B$130,0))="","Cell will autofill based on response",INDEX('Faculties'!$M$121:$M$130,MATCH($F142,'Faculties'!$B$121:$B$130,0))),"N/A")</f>
        <v/>
      </c>
      <c r="P142" s="50">
        <f>IFERROR(IF(INDEX('Faculties'!$M$137:$M$146,MATCH($F142,'Faculties'!$B$137:$B$146,0))="","Cell will autofill based on response",INDEX('Faculties'!$M$137:$M$146,MATCH($F142,'Faculties'!$B$137:$B$146,0))),"N/A")</f>
        <v/>
      </c>
      <c r="Q142" s="50">
        <f>IFERROR(IF(INDEX('CI&amp;S'!$M$10:$M$15,MATCH($F142,'CI&amp;S'!$B$10:$B$15,0))="","Cell will autofill based on response",INDEX('CI&amp;S'!$M$10:$M$15,MATCH($F142,'CI&amp;S'!$B$10:$B$15,0))),"N/A")</f>
        <v/>
      </c>
      <c r="R142" s="50">
        <f>IFERROR(IF(INDEX('CI&amp;S'!$M$22:$M$36,MATCH($F142,'CI&amp;S'!$B$22:$B$36,0))="","Cell will autofill based on response",INDEX('CI&amp;S'!$M$22:$M$36,MATCH($F142,'CI&amp;S'!$B$22:$B$36,0))),"N/A")</f>
        <v/>
      </c>
      <c r="S142" s="50">
        <f>IFERROR(IF(INDEX('CFOG'!$M$10:$M$16,MATCH($F142,'CFOG'!$B$10:$B$16,0))="","Cell will autofill based on response",INDEX('CFOG'!$M$10:$M$16,MATCH($F142,'CFOG'!$B$10:$B$16,0))),"N/A")</f>
        <v/>
      </c>
      <c r="T142" s="50">
        <f>IFERROR(IF(INDEX('CFOG'!$M$23:$M$24,MATCH($F142,'CFOG'!$B$23:$B$24,0))="","Cell will autofill based on response",INDEX('CFOG'!$M$23:$M$24,MATCH($F142,'CFOG'!$B$23:$B$24,0))),"N/A")</f>
        <v/>
      </c>
      <c r="U142" s="50">
        <f>IFERROR(IF(INDEX('ESG'!$M$10:$M$17,MATCH($F142,'ESG'!$B$10:$B$17,0))="","Cell will autofill based on response",INDEX('ESG'!$M$10:$M$17,MATCH($F142,'ESG'!$B$10:$B$17,0))),"N/A")</f>
        <v/>
      </c>
      <c r="V142" s="50">
        <f>IFERROR(IF(INDEX('CIOG'!$M$10:$M$14,MATCH($F142,'CIOG'!$B$10:$B$14,0))="","Cell will autofill based on response",INDEX('CIOG'!$M$10:$M$14,MATCH($F142,'CIOG'!$B$10:$B$14,0))),"N/A")</f>
        <v/>
      </c>
      <c r="W142" s="50">
        <f>IFERROR(IF(INDEX('MRE'!$M$10:$M$18,MATCH($F142,'MRE'!$B$10:$B$18,0))="","Cell will autofill based on response",INDEX('MRE'!$M$10:$M$18,MATCH($F142,'MRE'!$B$10:$B$18,0))),"N/A")</f>
        <v/>
      </c>
      <c r="X142" s="50">
        <f>IFERROR(IF(INDEX('AC&amp;M'!$M$10:$M$14,MATCH($F142,'AC&amp;M'!$B$10:$B$14,0))="","Cell will autofill based on response",INDEX('AC&amp;M'!$M$10:$M$14,MATCH($F142,'AC&amp;M'!$B$10:$B$14,0))),"N/A")</f>
        <v/>
      </c>
      <c r="Y142" s="50">
        <f>IFERROR(IF(INDEX('GCE'!$M$10:$M$12,MATCH($F142,'GCE'!$B$10:$B$12,0))="","Cell will autofill based on response",INDEX('GCE'!$M$10:$M$12,MATCH($F142,'GCE'!$B$10:$B$12,0))),"N/A")</f>
        <v/>
      </c>
      <c r="Z142" s="50">
        <f>IFERROR(IF(INDEX('Education'!$M$10:$M$13,MATCH($F142,'Education'!$B$10:$B$13,0))="","Cell will autofill based on response",INDEX('Education'!$M$10:$M$13,MATCH($F142,'Education'!$B$10:$B$13,0))),"N/A")</f>
        <v/>
      </c>
      <c r="AA142" s="50">
        <f>IFERROR(IF(INDEX('SaSS'!$M$10:$M$12,MATCH($F142,'SaSS'!$B$10:$B$12,0))="","Cell will autofill based on response",INDEX('SaSS'!$M$10:$M$12,MATCH($F142,'SaSS'!$B$10:$B$12,0))),"N/A")</f>
        <v/>
      </c>
      <c r="AB142" s="50">
        <f>IFERROR(IF(INDEX('Indigenous'!$M$10:$M$11,MATCH($F142,'Indigenous'!$B$10:$B$11,0))="","Cell will autofill based on response",INDEX('Indigenous'!$M$10:$M$11,MATCH($F142,'Indigenous'!$B$10:$B$11,0))),"N/A")</f>
        <v/>
      </c>
      <c r="AC142" s="50">
        <f>IFERROR(IF(INDEX('L&amp;R'!$M$10:$M$11,MATCH($F142,'L&amp;R'!$B$10:$B$11,0))="","Cell will autofill based on response",INDEX('L&amp;R'!$M$10:$M$11,MATCH($F142,'L&amp;R'!$B$10:$B$11,0))),"N/A")</f>
        <v/>
      </c>
    </row>
    <row r="143" ht="22" customHeight="1">
      <c r="A143">
        <f>F143&amp;"|"&amp;G143</f>
        <v/>
      </c>
      <c r="B143" s="12" t="inlineStr"/>
      <c r="C143" s="7" t="inlineStr"/>
      <c r="D143" s="7" t="inlineStr"/>
      <c r="E143" s="7" t="inlineStr"/>
      <c r="F143" s="7" t="inlineStr">
        <is>
          <t>AI1(b)</t>
        </is>
      </c>
      <c r="G143" s="7" t="inlineStr">
        <is>
          <t>Supporting information/comments</t>
        </is>
      </c>
      <c r="H143" s="50">
        <f>IFERROR(IF(INDEX('Faculties'!$N$10:$N$18,MATCH($F143,'Faculties'!$B$10:$B$18,0))="","Cell will autofill based on response",INDEX('Faculties'!$N$10:$N$18,MATCH($F143,'Faculties'!$B$10:$B$18,0))),"N/A")</f>
        <v/>
      </c>
      <c r="I143" s="50">
        <f>IFERROR(IF(INDEX('Faculties'!$N$25:$N$34,MATCH($F143,'Faculties'!$B$25:$B$34,0))="","Cell will autofill based on response",INDEX('Faculties'!$N$25:$N$34,MATCH($F143,'Faculties'!$B$25:$B$34,0))),"N/A")</f>
        <v/>
      </c>
      <c r="J143" s="50">
        <f>IFERROR(IF(INDEX('Faculties'!$N$41:$N$50,MATCH($F143,'Faculties'!$B$41:$B$50,0))="","Cell will autofill based on response",INDEX('Faculties'!$N$41:$N$50,MATCH($F143,'Faculties'!$B$41:$B$50,0))),"N/A")</f>
        <v/>
      </c>
      <c r="K143" s="50">
        <f>IFERROR(IF(INDEX('Faculties'!$N$57:$N$66,MATCH($F143,'Faculties'!$B$57:$B$66,0))="","Cell will autofill based on response",INDEX('Faculties'!$N$57:$N$66,MATCH($F143,'Faculties'!$B$57:$B$66,0))),"N/A")</f>
        <v/>
      </c>
      <c r="L143" s="50">
        <f>IFERROR(IF(INDEX('Faculties'!$N$73:$N$82,MATCH($F143,'Faculties'!$B$73:$B$82,0))="","Cell will autofill based on response",INDEX('Faculties'!$N$73:$N$82,MATCH($F143,'Faculties'!$B$73:$B$82,0))),"N/A")</f>
        <v/>
      </c>
      <c r="M143" s="50">
        <f>IFERROR(IF(INDEX('Faculties'!$N$89:$N$98,MATCH($F143,'Faculties'!$B$89:$B$98,0))="","Cell will autofill based on response",INDEX('Faculties'!$N$89:$N$98,MATCH($F143,'Faculties'!$B$89:$B$98,0))),"N/A")</f>
        <v/>
      </c>
      <c r="N143" s="50">
        <f>IFERROR(IF(INDEX('Faculties'!$N$105:$N$114,MATCH($F143,'Faculties'!$B$105:$B$114,0))="","Cell will autofill based on response",INDEX('Faculties'!$N$105:$N$114,MATCH($F143,'Faculties'!$B$105:$B$114,0))),"N/A")</f>
        <v/>
      </c>
      <c r="O143" s="50">
        <f>IFERROR(IF(INDEX('Faculties'!$N$121:$N$130,MATCH($F143,'Faculties'!$B$121:$B$130,0))="","Cell will autofill based on response",INDEX('Faculties'!$N$121:$N$130,MATCH($F143,'Faculties'!$B$121:$B$130,0))),"N/A")</f>
        <v/>
      </c>
      <c r="P143" s="50">
        <f>IFERROR(IF(INDEX('Faculties'!$N$137:$N$146,MATCH($F143,'Faculties'!$B$137:$B$146,0))="","Cell will autofill based on response",INDEX('Faculties'!$N$137:$N$146,MATCH($F143,'Faculties'!$B$137:$B$146,0))),"N/A")</f>
        <v/>
      </c>
      <c r="Q143" s="50">
        <f>IFERROR(IF(INDEX('CI&amp;S'!$N$10:$N$15,MATCH($F143,'CI&amp;S'!$B$10:$B$15,0))="","Cell will autofill based on response",INDEX('CI&amp;S'!$N$10:$N$15,MATCH($F143,'CI&amp;S'!$B$10:$B$15,0))),"N/A")</f>
        <v/>
      </c>
      <c r="R143" s="50">
        <f>IFERROR(IF(INDEX('CI&amp;S'!$N$22:$N$36,MATCH($F143,'CI&amp;S'!$B$22:$B$36,0))="","Cell will autofill based on response",INDEX('CI&amp;S'!$N$22:$N$36,MATCH($F143,'CI&amp;S'!$B$22:$B$36,0))),"N/A")</f>
        <v/>
      </c>
      <c r="S143" s="50">
        <f>IFERROR(IF(INDEX('CFOG'!$N$10:$N$16,MATCH($F143,'CFOG'!$B$10:$B$16,0))="","Cell will autofill based on response",INDEX('CFOG'!$N$10:$N$16,MATCH($F143,'CFOG'!$B$10:$B$16,0))),"N/A")</f>
        <v/>
      </c>
      <c r="T143" s="50">
        <f>IFERROR(IF(INDEX('CFOG'!$N$23:$N$24,MATCH($F143,'CFOG'!$B$23:$B$24,0))="","Cell will autofill based on response",INDEX('CFOG'!$N$23:$N$24,MATCH($F143,'CFOG'!$B$23:$B$24,0))),"N/A")</f>
        <v/>
      </c>
      <c r="U143" s="50">
        <f>IFERROR(IF(INDEX('ESG'!$N$10:$N$17,MATCH($F143,'ESG'!$B$10:$B$17,0))="","Cell will autofill based on response",INDEX('ESG'!$N$10:$N$17,MATCH($F143,'ESG'!$B$10:$B$17,0))),"N/A")</f>
        <v/>
      </c>
      <c r="V143" s="50">
        <f>IFERROR(IF(INDEX('CIOG'!$N$10:$N$14,MATCH($F143,'CIOG'!$B$10:$B$14,0))="","Cell will autofill based on response",INDEX('CIOG'!$N$10:$N$14,MATCH($F143,'CIOG'!$B$10:$B$14,0))),"N/A")</f>
        <v/>
      </c>
      <c r="W143" s="50">
        <f>IFERROR(IF(INDEX('MRE'!$N$10:$N$18,MATCH($F143,'MRE'!$B$10:$B$18,0))="","Cell will autofill based on response",INDEX('MRE'!$N$10:$N$18,MATCH($F143,'MRE'!$B$10:$B$18,0))),"N/A")</f>
        <v/>
      </c>
      <c r="X143" s="50">
        <f>IFERROR(IF(INDEX('AC&amp;M'!$N$10:$N$14,MATCH($F143,'AC&amp;M'!$B$10:$B$14,0))="","Cell will autofill based on response",INDEX('AC&amp;M'!$N$10:$N$14,MATCH($F143,'AC&amp;M'!$B$10:$B$14,0))),"N/A")</f>
        <v/>
      </c>
      <c r="Y143" s="50">
        <f>IFERROR(IF(INDEX('GCE'!$N$10:$N$12,MATCH($F143,'GCE'!$B$10:$B$12,0))="","Cell will autofill based on response",INDEX('GCE'!$N$10:$N$12,MATCH($F143,'GCE'!$B$10:$B$12,0))),"N/A")</f>
        <v/>
      </c>
      <c r="Z143" s="50">
        <f>IFERROR(IF(INDEX('Education'!$N$10:$N$13,MATCH($F143,'Education'!$B$10:$B$13,0))="","Cell will autofill based on response",INDEX('Education'!$N$10:$N$13,MATCH($F143,'Education'!$B$10:$B$13,0))),"N/A")</f>
        <v/>
      </c>
      <c r="AA143" s="50">
        <f>IFERROR(IF(INDEX('SaSS'!$N$10:$N$12,MATCH($F143,'SaSS'!$B$10:$B$12,0))="","Cell will autofill based on response",INDEX('SaSS'!$N$10:$N$12,MATCH($F143,'SaSS'!$B$10:$B$12,0))),"N/A")</f>
        <v/>
      </c>
      <c r="AB143" s="50">
        <f>IFERROR(IF(INDEX('Indigenous'!$N$10:$N$11,MATCH($F143,'Indigenous'!$B$10:$B$11,0))="","Cell will autofill based on response",INDEX('Indigenous'!$N$10:$N$11,MATCH($F143,'Indigenous'!$B$10:$B$11,0))),"N/A")</f>
        <v/>
      </c>
      <c r="AC143" s="50">
        <f>IFERROR(IF(INDEX('L&amp;R'!$N$10:$N$11,MATCH($F143,'L&amp;R'!$B$10:$B$11,0))="","Cell will autofill based on response",INDEX('L&amp;R'!$N$10:$N$11,MATCH($F143,'L&amp;R'!$B$10:$B$11,0))),"N/A")</f>
        <v/>
      </c>
    </row>
    <row r="144" ht="22" customHeight="1">
      <c r="A144">
        <f>F144&amp;"|"&amp;G144</f>
        <v/>
      </c>
      <c r="B144" s="12" t="inlineStr"/>
      <c r="C144" s="7" t="inlineStr"/>
      <c r="D144" s="7" t="inlineStr"/>
      <c r="E144" s="7" t="inlineStr"/>
      <c r="F144" s="7" t="inlineStr">
        <is>
          <t>AI1(b)</t>
        </is>
      </c>
      <c r="G144" s="7" t="inlineStr">
        <is>
          <t>Data source and limitations</t>
        </is>
      </c>
      <c r="H144" s="50">
        <f>IFERROR(IF(INDEX('Faculties'!$O$10:$O$18,MATCH($F144,'Faculties'!$B$10:$B$18,0))="","Cell will autofill based on response",INDEX('Faculties'!$O$10:$O$18,MATCH($F144,'Faculties'!$B$10:$B$18,0))),"N/A")</f>
        <v/>
      </c>
      <c r="I144" s="50">
        <f>IFERROR(IF(INDEX('Faculties'!$O$25:$O$34,MATCH($F144,'Faculties'!$B$25:$B$34,0))="","Cell will autofill based on response",INDEX('Faculties'!$O$25:$O$34,MATCH($F144,'Faculties'!$B$25:$B$34,0))),"N/A")</f>
        <v/>
      </c>
      <c r="J144" s="50">
        <f>IFERROR(IF(INDEX('Faculties'!$O$41:$O$50,MATCH($F144,'Faculties'!$B$41:$B$50,0))="","Cell will autofill based on response",INDEX('Faculties'!$O$41:$O$50,MATCH($F144,'Faculties'!$B$41:$B$50,0))),"N/A")</f>
        <v/>
      </c>
      <c r="K144" s="50">
        <f>IFERROR(IF(INDEX('Faculties'!$O$57:$O$66,MATCH($F144,'Faculties'!$B$57:$B$66,0))="","Cell will autofill based on response",INDEX('Faculties'!$O$57:$O$66,MATCH($F144,'Faculties'!$B$57:$B$66,0))),"N/A")</f>
        <v/>
      </c>
      <c r="L144" s="50">
        <f>IFERROR(IF(INDEX('Faculties'!$O$73:$O$82,MATCH($F144,'Faculties'!$B$73:$B$82,0))="","Cell will autofill based on response",INDEX('Faculties'!$O$73:$O$82,MATCH($F144,'Faculties'!$B$73:$B$82,0))),"N/A")</f>
        <v/>
      </c>
      <c r="M144" s="50">
        <f>IFERROR(IF(INDEX('Faculties'!$O$89:$O$98,MATCH($F144,'Faculties'!$B$89:$B$98,0))="","Cell will autofill based on response",INDEX('Faculties'!$O$89:$O$98,MATCH($F144,'Faculties'!$B$89:$B$98,0))),"N/A")</f>
        <v/>
      </c>
      <c r="N144" s="50">
        <f>IFERROR(IF(INDEX('Faculties'!$O$105:$O$114,MATCH($F144,'Faculties'!$B$105:$B$114,0))="","Cell will autofill based on response",INDEX('Faculties'!$O$105:$O$114,MATCH($F144,'Faculties'!$B$105:$B$114,0))),"N/A")</f>
        <v/>
      </c>
      <c r="O144" s="50">
        <f>IFERROR(IF(INDEX('Faculties'!$O$121:$O$130,MATCH($F144,'Faculties'!$B$121:$B$130,0))="","Cell will autofill based on response",INDEX('Faculties'!$O$121:$O$130,MATCH($F144,'Faculties'!$B$121:$B$130,0))),"N/A")</f>
        <v/>
      </c>
      <c r="P144" s="50">
        <f>IFERROR(IF(INDEX('Faculties'!$O$137:$O$146,MATCH($F144,'Faculties'!$B$137:$B$146,0))="","Cell will autofill based on response",INDEX('Faculties'!$O$137:$O$146,MATCH($F144,'Faculties'!$B$137:$B$146,0))),"N/A")</f>
        <v/>
      </c>
      <c r="Q144" s="50">
        <f>IFERROR(IF(INDEX('CI&amp;S'!$O$10:$O$15,MATCH($F144,'CI&amp;S'!$B$10:$B$15,0))="","Cell will autofill based on response",INDEX('CI&amp;S'!$O$10:$O$15,MATCH($F144,'CI&amp;S'!$B$10:$B$15,0))),"N/A")</f>
        <v/>
      </c>
      <c r="R144" s="50">
        <f>IFERROR(IF(INDEX('CI&amp;S'!$O$22:$O$36,MATCH($F144,'CI&amp;S'!$B$22:$B$36,0))="","Cell will autofill based on response",INDEX('CI&amp;S'!$O$22:$O$36,MATCH($F144,'CI&amp;S'!$B$22:$B$36,0))),"N/A")</f>
        <v/>
      </c>
      <c r="S144" s="50">
        <f>IFERROR(IF(INDEX('CFOG'!$O$10:$O$16,MATCH($F144,'CFOG'!$B$10:$B$16,0))="","Cell will autofill based on response",INDEX('CFOG'!$O$10:$O$16,MATCH($F144,'CFOG'!$B$10:$B$16,0))),"N/A")</f>
        <v/>
      </c>
      <c r="T144" s="50">
        <f>IFERROR(IF(INDEX('CFOG'!$O$23:$O$24,MATCH($F144,'CFOG'!$B$23:$B$24,0))="","Cell will autofill based on response",INDEX('CFOG'!$O$23:$O$24,MATCH($F144,'CFOG'!$B$23:$B$24,0))),"N/A")</f>
        <v/>
      </c>
      <c r="U144" s="50">
        <f>IFERROR(IF(INDEX('ESG'!$O$10:$O$17,MATCH($F144,'ESG'!$B$10:$B$17,0))="","Cell will autofill based on response",INDEX('ESG'!$O$10:$O$17,MATCH($F144,'ESG'!$B$10:$B$17,0))),"N/A")</f>
        <v/>
      </c>
      <c r="V144" s="50">
        <f>IFERROR(IF(INDEX('CIOG'!$O$10:$O$14,MATCH($F144,'CIOG'!$B$10:$B$14,0))="","Cell will autofill based on response",INDEX('CIOG'!$O$10:$O$14,MATCH($F144,'CIOG'!$B$10:$B$14,0))),"N/A")</f>
        <v/>
      </c>
      <c r="W144" s="50">
        <f>IFERROR(IF(INDEX('MRE'!$O$10:$O$18,MATCH($F144,'MRE'!$B$10:$B$18,0))="","Cell will autofill based on response",INDEX('MRE'!$O$10:$O$18,MATCH($F144,'MRE'!$B$10:$B$18,0))),"N/A")</f>
        <v/>
      </c>
      <c r="X144" s="50">
        <f>IFERROR(IF(INDEX('AC&amp;M'!$O$10:$O$14,MATCH($F144,'AC&amp;M'!$B$10:$B$14,0))="","Cell will autofill based on response",INDEX('AC&amp;M'!$O$10:$O$14,MATCH($F144,'AC&amp;M'!$B$10:$B$14,0))),"N/A")</f>
        <v/>
      </c>
      <c r="Y144" s="50">
        <f>IFERROR(IF(INDEX('GCE'!$O$10:$O$12,MATCH($F144,'GCE'!$B$10:$B$12,0))="","Cell will autofill based on response",INDEX('GCE'!$O$10:$O$12,MATCH($F144,'GCE'!$B$10:$B$12,0))),"N/A")</f>
        <v/>
      </c>
      <c r="Z144" s="50">
        <f>IFERROR(IF(INDEX('Education'!$O$10:$O$13,MATCH($F144,'Education'!$B$10:$B$13,0))="","Cell will autofill based on response",INDEX('Education'!$O$10:$O$13,MATCH($F144,'Education'!$B$10:$B$13,0))),"N/A")</f>
        <v/>
      </c>
      <c r="AA144" s="50">
        <f>IFERROR(IF(INDEX('SaSS'!$O$10:$O$12,MATCH($F144,'SaSS'!$B$10:$B$12,0))="","Cell will autofill based on response",INDEX('SaSS'!$O$10:$O$12,MATCH($F144,'SaSS'!$B$10:$B$12,0))),"N/A")</f>
        <v/>
      </c>
      <c r="AB144" s="50">
        <f>IFERROR(IF(INDEX('Indigenous'!$O$10:$O$11,MATCH($F144,'Indigenous'!$B$10:$B$11,0))="","Cell will autofill based on response",INDEX('Indigenous'!$O$10:$O$11,MATCH($F144,'Indigenous'!$B$10:$B$11,0))),"N/A")</f>
        <v/>
      </c>
      <c r="AC144" s="50">
        <f>IFERROR(IF(INDEX('L&amp;R'!$O$10:$O$11,MATCH($F144,'L&amp;R'!$B$10:$B$11,0))="","Cell will autofill based on response",INDEX('L&amp;R'!$O$10:$O$11,MATCH($F144,'L&amp;R'!$B$10:$B$11,0))),"N/A")</f>
        <v/>
      </c>
    </row>
    <row r="145" ht="22" customHeight="1">
      <c r="A145">
        <f>F145&amp;"|"&amp;G145</f>
        <v/>
      </c>
      <c r="B145" s="12" t="inlineStr"/>
      <c r="C145" s="7" t="inlineStr"/>
      <c r="D145" s="7" t="inlineStr"/>
      <c r="E145" s="7" t="inlineStr"/>
      <c r="F145" s="7" t="inlineStr">
        <is>
          <t>AI1(b)</t>
        </is>
      </c>
      <c r="G145" s="7" t="inlineStr">
        <is>
          <t>Data owner confirms</t>
        </is>
      </c>
      <c r="H145" s="50">
        <f>IFERROR(IF(INDEX('Faculties'!$P$10:$P$18,MATCH($F145,'Faculties'!$B$10:$B$18,0))="","Cell will autofill based on response",INDEX('Faculties'!$P$10:$P$18,MATCH($F145,'Faculties'!$B$10:$B$18,0))),"N/A")</f>
        <v/>
      </c>
      <c r="I145" s="50">
        <f>IFERROR(IF(INDEX('Faculties'!$P$25:$P$34,MATCH($F145,'Faculties'!$B$25:$B$34,0))="","Cell will autofill based on response",INDEX('Faculties'!$P$25:$P$34,MATCH($F145,'Faculties'!$B$25:$B$34,0))),"N/A")</f>
        <v/>
      </c>
      <c r="J145" s="50">
        <f>IFERROR(IF(INDEX('Faculties'!$P$41:$P$50,MATCH($F145,'Faculties'!$B$41:$B$50,0))="","Cell will autofill based on response",INDEX('Faculties'!$P$41:$P$50,MATCH($F145,'Faculties'!$B$41:$B$50,0))),"N/A")</f>
        <v/>
      </c>
      <c r="K145" s="50">
        <f>IFERROR(IF(INDEX('Faculties'!$P$57:$P$66,MATCH($F145,'Faculties'!$B$57:$B$66,0))="","Cell will autofill based on response",INDEX('Faculties'!$P$57:$P$66,MATCH($F145,'Faculties'!$B$57:$B$66,0))),"N/A")</f>
        <v/>
      </c>
      <c r="L145" s="50">
        <f>IFERROR(IF(INDEX('Faculties'!$P$73:$P$82,MATCH($F145,'Faculties'!$B$73:$B$82,0))="","Cell will autofill based on response",INDEX('Faculties'!$P$73:$P$82,MATCH($F145,'Faculties'!$B$73:$B$82,0))),"N/A")</f>
        <v/>
      </c>
      <c r="M145" s="50">
        <f>IFERROR(IF(INDEX('Faculties'!$P$89:$P$98,MATCH($F145,'Faculties'!$B$89:$B$98,0))="","Cell will autofill based on response",INDEX('Faculties'!$P$89:$P$98,MATCH($F145,'Faculties'!$B$89:$B$98,0))),"N/A")</f>
        <v/>
      </c>
      <c r="N145" s="50">
        <f>IFERROR(IF(INDEX('Faculties'!$P$105:$P$114,MATCH($F145,'Faculties'!$B$105:$B$114,0))="","Cell will autofill based on response",INDEX('Faculties'!$P$105:$P$114,MATCH($F145,'Faculties'!$B$105:$B$114,0))),"N/A")</f>
        <v/>
      </c>
      <c r="O145" s="50">
        <f>IFERROR(IF(INDEX('Faculties'!$P$121:$P$130,MATCH($F145,'Faculties'!$B$121:$B$130,0))="","Cell will autofill based on response",INDEX('Faculties'!$P$121:$P$130,MATCH($F145,'Faculties'!$B$121:$B$130,0))),"N/A")</f>
        <v/>
      </c>
      <c r="P145" s="50">
        <f>IFERROR(IF(INDEX('Faculties'!$P$137:$P$146,MATCH($F145,'Faculties'!$B$137:$B$146,0))="","Cell will autofill based on response",INDEX('Faculties'!$P$137:$P$146,MATCH($F145,'Faculties'!$B$137:$B$146,0))),"N/A")</f>
        <v/>
      </c>
      <c r="Q145" s="50">
        <f>IFERROR(IF(INDEX('CI&amp;S'!$P$10:$P$15,MATCH($F145,'CI&amp;S'!$B$10:$B$15,0))="","Cell will autofill based on response",INDEX('CI&amp;S'!$P$10:$P$15,MATCH($F145,'CI&amp;S'!$B$10:$B$15,0))),"N/A")</f>
        <v/>
      </c>
      <c r="R145" s="50">
        <f>IFERROR(IF(INDEX('CI&amp;S'!$P$22:$P$36,MATCH($F145,'CI&amp;S'!$B$22:$B$36,0))="","Cell will autofill based on response",INDEX('CI&amp;S'!$P$22:$P$36,MATCH($F145,'CI&amp;S'!$B$22:$B$36,0))),"N/A")</f>
        <v/>
      </c>
      <c r="S145" s="50">
        <f>IFERROR(IF(INDEX('CFOG'!$P$10:$P$16,MATCH($F145,'CFOG'!$B$10:$B$16,0))="","Cell will autofill based on response",INDEX('CFOG'!$P$10:$P$16,MATCH($F145,'CFOG'!$B$10:$B$16,0))),"N/A")</f>
        <v/>
      </c>
      <c r="T145" s="50">
        <f>IFERROR(IF(INDEX('CFOG'!$P$23:$P$24,MATCH($F145,'CFOG'!$B$23:$B$24,0))="","Cell will autofill based on response",INDEX('CFOG'!$P$23:$P$24,MATCH($F145,'CFOG'!$B$23:$B$24,0))),"N/A")</f>
        <v/>
      </c>
      <c r="U145" s="50">
        <f>IFERROR(IF(INDEX('ESG'!$P$10:$P$17,MATCH($F145,'ESG'!$B$10:$B$17,0))="","Cell will autofill based on response",INDEX('ESG'!$P$10:$P$17,MATCH($F145,'ESG'!$B$10:$B$17,0))),"N/A")</f>
        <v/>
      </c>
      <c r="V145" s="50">
        <f>IFERROR(IF(INDEX('CIOG'!$P$10:$P$14,MATCH($F145,'CIOG'!$B$10:$B$14,0))="","Cell will autofill based on response",INDEX('CIOG'!$P$10:$P$14,MATCH($F145,'CIOG'!$B$10:$B$14,0))),"N/A")</f>
        <v/>
      </c>
      <c r="W145" s="50">
        <f>IFERROR(IF(INDEX('MRE'!$P$10:$P$18,MATCH($F145,'MRE'!$B$10:$B$18,0))="","Cell will autofill based on response",INDEX('MRE'!$P$10:$P$18,MATCH($F145,'MRE'!$B$10:$B$18,0))),"N/A")</f>
        <v/>
      </c>
      <c r="X145" s="50">
        <f>IFERROR(IF(INDEX('AC&amp;M'!$P$10:$P$14,MATCH($F145,'AC&amp;M'!$B$10:$B$14,0))="","Cell will autofill based on response",INDEX('AC&amp;M'!$P$10:$P$14,MATCH($F145,'AC&amp;M'!$B$10:$B$14,0))),"N/A")</f>
        <v/>
      </c>
      <c r="Y145" s="50">
        <f>IFERROR(IF(INDEX('GCE'!$P$10:$P$12,MATCH($F145,'GCE'!$B$10:$B$12,0))="","Cell will autofill based on response",INDEX('GCE'!$P$10:$P$12,MATCH($F145,'GCE'!$B$10:$B$12,0))),"N/A")</f>
        <v/>
      </c>
      <c r="Z145" s="50">
        <f>IFERROR(IF(INDEX('Education'!$P$10:$P$13,MATCH($F145,'Education'!$B$10:$B$13,0))="","Cell will autofill based on response",INDEX('Education'!$P$10:$P$13,MATCH($F145,'Education'!$B$10:$B$13,0))),"N/A")</f>
        <v/>
      </c>
      <c r="AA145" s="50">
        <f>IFERROR(IF(INDEX('SaSS'!$P$10:$P$12,MATCH($F145,'SaSS'!$B$10:$B$12,0))="","Cell will autofill based on response",INDEX('SaSS'!$P$10:$P$12,MATCH($F145,'SaSS'!$B$10:$B$12,0))),"N/A")</f>
        <v/>
      </c>
      <c r="AB145" s="50">
        <f>IFERROR(IF(INDEX('Indigenous'!$P$10:$P$11,MATCH($F145,'Indigenous'!$B$10:$B$11,0))="","Cell will autofill based on response",INDEX('Indigenous'!$P$10:$P$11,MATCH($F145,'Indigenous'!$B$10:$B$11,0))),"N/A")</f>
        <v/>
      </c>
      <c r="AC145" s="50">
        <f>IFERROR(IF(INDEX('L&amp;R'!$P$10:$P$11,MATCH($F145,'L&amp;R'!$B$10:$B$11,0))="","Cell will autofill based on response",INDEX('L&amp;R'!$P$10:$P$11,MATCH($F145,'L&amp;R'!$B$10:$B$11,0))),"N/A")</f>
        <v/>
      </c>
    </row>
    <row r="146" ht="138" customHeight="1">
      <c r="A146">
        <f>F146&amp;"|"&amp;G146</f>
        <v/>
      </c>
      <c r="B146" s="6" t="inlineStr">
        <is>
          <t>EI1(a)</t>
        </is>
      </c>
      <c r="C146" s="48" t="inlineStr">
        <is>
          <t>Estate and infrastructure</t>
        </is>
      </c>
      <c r="D146" s="48" t="inlineStr">
        <is>
          <t>Evidence of increased maturity of estate and infrastructure planning, development and operations to support the other priority areas in Sustainability 2030</t>
        </is>
      </c>
      <c r="E146" s="48" t="inlineStr">
        <is>
          <t>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F146" s="48" t="inlineStr">
        <is>
          <t>EI1(a)</t>
        </is>
      </c>
      <c r="G146" s="48" t="inlineStr">
        <is>
          <t>OPTION 1:  Target-level reporting</t>
        </is>
      </c>
      <c r="H146" s="50">
        <f>IFERROR(IF(INDEX('Faculties'!$L$10:$L$18,MATCH($F146,'Faculties'!$B$10:$B$18,0))="","Cell will autofill based on response",INDEX('Faculties'!$L$10:$L$18,MATCH($F146,'Faculties'!$B$10:$B$18,0))),"N/A")</f>
        <v/>
      </c>
      <c r="I146" s="50">
        <f>IFERROR(IF(INDEX('Faculties'!$L$25:$L$34,MATCH($F146,'Faculties'!$B$25:$B$34,0))="","Cell will autofill based on response",INDEX('Faculties'!$L$25:$L$34,MATCH($F146,'Faculties'!$B$25:$B$34,0))),"N/A")</f>
        <v/>
      </c>
      <c r="J146" s="50">
        <f>IFERROR(IF(INDEX('Faculties'!$L$41:$L$50,MATCH($F146,'Faculties'!$B$41:$B$50,0))="","Cell will autofill based on response",INDEX('Faculties'!$L$41:$L$50,MATCH($F146,'Faculties'!$B$41:$B$50,0))),"N/A")</f>
        <v/>
      </c>
      <c r="K146" s="50">
        <f>IFERROR(IF(INDEX('Faculties'!$L$57:$L$66,MATCH($F146,'Faculties'!$B$57:$B$66,0))="","Cell will autofill based on response",INDEX('Faculties'!$L$57:$L$66,MATCH($F146,'Faculties'!$B$57:$B$66,0))),"N/A")</f>
        <v/>
      </c>
      <c r="L146" s="50">
        <f>IFERROR(IF(INDEX('Faculties'!$L$73:$L$82,MATCH($F146,'Faculties'!$B$73:$B$82,0))="","Cell will autofill based on response",INDEX('Faculties'!$L$73:$L$82,MATCH($F146,'Faculties'!$B$73:$B$82,0))),"N/A")</f>
        <v/>
      </c>
      <c r="M146" s="50">
        <f>IFERROR(IF(INDEX('Faculties'!$L$89:$L$98,MATCH($F146,'Faculties'!$B$89:$B$98,0))="","Cell will autofill based on response",INDEX('Faculties'!$L$89:$L$98,MATCH($F146,'Faculties'!$B$89:$B$98,0))),"N/A")</f>
        <v/>
      </c>
      <c r="N146" s="50">
        <f>IFERROR(IF(INDEX('Faculties'!$L$105:$L$114,MATCH($F146,'Faculties'!$B$105:$B$114,0))="","Cell will autofill based on response",INDEX('Faculties'!$L$105:$L$114,MATCH($F146,'Faculties'!$B$105:$B$114,0))),"N/A")</f>
        <v/>
      </c>
      <c r="O146" s="50">
        <f>IFERROR(IF(INDEX('Faculties'!$L$121:$L$130,MATCH($F146,'Faculties'!$B$121:$B$130,0))="","Cell will autofill based on response",INDEX('Faculties'!$L$121:$L$130,MATCH($F146,'Faculties'!$B$121:$B$130,0))),"N/A")</f>
        <v/>
      </c>
      <c r="P146" s="50">
        <f>IFERROR(IF(INDEX('Faculties'!$L$137:$L$146,MATCH($F146,'Faculties'!$B$137:$B$146,0))="","Cell will autofill based on response",INDEX('Faculties'!$L$137:$L$146,MATCH($F146,'Faculties'!$B$137:$B$146,0))),"N/A")</f>
        <v/>
      </c>
      <c r="Q146" s="50">
        <f>IFERROR(IF(INDEX('CI&amp;S'!$L$10:$L$15,MATCH($F146,'CI&amp;S'!$B$10:$B$15,0))="","Cell will autofill based on response",INDEX('CI&amp;S'!$L$10:$L$15,MATCH($F146,'CI&amp;S'!$B$10:$B$15,0))),"N/A")</f>
        <v/>
      </c>
      <c r="R146" s="50">
        <f>IFERROR(IF(INDEX('CI&amp;S'!$L$22:$L$36,MATCH($F146,'CI&amp;S'!$B$22:$B$36,0))="","Cell will autofill based on response",INDEX('CI&amp;S'!$L$22:$L$36,MATCH($F146,'CI&amp;S'!$B$22:$B$36,0))),"N/A")</f>
        <v/>
      </c>
      <c r="S146" s="50">
        <f>IFERROR(IF(INDEX('CFOG'!$L$10:$L$16,MATCH($F146,'CFOG'!$B$10:$B$16,0))="","Cell will autofill based on response",INDEX('CFOG'!$L$10:$L$16,MATCH($F146,'CFOG'!$B$10:$B$16,0))),"N/A")</f>
        <v/>
      </c>
      <c r="T146" s="50">
        <f>IFERROR(IF(INDEX('CFOG'!$L$23:$L$24,MATCH($F146,'CFOG'!$B$23:$B$24,0))="","Cell will autofill based on response",INDEX('CFOG'!$L$23:$L$24,MATCH($F146,'CFOG'!$B$23:$B$24,0))),"N/A")</f>
        <v/>
      </c>
      <c r="U146" s="50">
        <f>IFERROR(IF(INDEX('ESG'!$L$10:$L$17,MATCH($F146,'ESG'!$B$10:$B$17,0))="","Cell will autofill based on response",INDEX('ESG'!$L$10:$L$17,MATCH($F146,'ESG'!$B$10:$B$17,0))),"N/A")</f>
        <v/>
      </c>
      <c r="V146" s="50">
        <f>IFERROR(IF(INDEX('CIOG'!$L$10:$L$14,MATCH($F146,'CIOG'!$B$10:$B$14,0))="","Cell will autofill based on response",INDEX('CIOG'!$L$10:$L$14,MATCH($F146,'CIOG'!$B$10:$B$14,0))),"N/A")</f>
        <v/>
      </c>
      <c r="W146" s="50">
        <f>IFERROR(IF(INDEX('MRE'!$L$10:$L$18,MATCH($F146,'MRE'!$B$10:$B$18,0))="","Cell will autofill based on response",INDEX('MRE'!$L$10:$L$18,MATCH($F146,'MRE'!$B$10:$B$18,0))),"N/A")</f>
        <v/>
      </c>
      <c r="X146" s="50">
        <f>IFERROR(IF(INDEX('AC&amp;M'!$L$10:$L$14,MATCH($F146,'AC&amp;M'!$B$10:$B$14,0))="","Cell will autofill based on response",INDEX('AC&amp;M'!$L$10:$L$14,MATCH($F146,'AC&amp;M'!$B$10:$B$14,0))),"N/A")</f>
        <v/>
      </c>
      <c r="Y146" s="50">
        <f>IFERROR(IF(INDEX('GCE'!$L$10:$L$12,MATCH($F146,'GCE'!$B$10:$B$12,0))="","Cell will autofill based on response",INDEX('GCE'!$L$10:$L$12,MATCH($F146,'GCE'!$B$10:$B$12,0))),"N/A")</f>
        <v/>
      </c>
      <c r="Z146" s="50">
        <f>IFERROR(IF(INDEX('Education'!$L$10:$L$13,MATCH($F146,'Education'!$B$10:$B$13,0))="","Cell will autofill based on response",INDEX('Education'!$L$10:$L$13,MATCH($F146,'Education'!$B$10:$B$13,0))),"N/A")</f>
        <v/>
      </c>
      <c r="AA146" s="50">
        <f>IFERROR(IF(INDEX('SaSS'!$L$10:$L$12,MATCH($F146,'SaSS'!$B$10:$B$12,0))="","Cell will autofill based on response",INDEX('SaSS'!$L$10:$L$12,MATCH($F146,'SaSS'!$B$10:$B$12,0))),"N/A")</f>
        <v/>
      </c>
      <c r="AB146" s="50">
        <f>IFERROR(IF(INDEX('Indigenous'!$L$10:$L$11,MATCH($F146,'Indigenous'!$B$10:$B$11,0))="","Cell will autofill based on response",INDEX('Indigenous'!$L$10:$L$11,MATCH($F146,'Indigenous'!$B$10:$B$11,0))),"N/A")</f>
        <v/>
      </c>
      <c r="AC146" s="50">
        <f>IFERROR(IF(INDEX('L&amp;R'!$L$10:$L$11,MATCH($F146,'L&amp;R'!$B$10:$B$11,0))="","Cell will autofill based on response",INDEX('L&amp;R'!$L$10:$L$11,MATCH($F146,'L&amp;R'!$B$10:$B$11,0))),"N/A")</f>
        <v/>
      </c>
      <c r="AE146" s="9">
        <f>SUMPRODUCT(--($H146:$AC146&lt;&gt;"N/A"))</f>
        <v/>
      </c>
      <c r="AF146" s="9">
        <f>SUMPRODUCT(--(((($H146:$AC146&lt;&gt;"N/A")*($H146:$AC146&lt;&gt;"Cell will autofill based on response"))+(($H147:$AC147&lt;&gt;"N/A")*($H147:$AC147&lt;&gt;"Cell will autofill based on response")))&gt;0))</f>
        <v/>
      </c>
      <c r="AG146" s="9">
        <f>AE146-AF146</f>
        <v/>
      </c>
      <c r="AH146" s="9">
        <f>COUNTIF($H150:$AC150,"Yes")</f>
        <v/>
      </c>
    </row>
    <row r="147" ht="39" customHeight="1">
      <c r="A147">
        <f>F147&amp;"|"&amp;G147</f>
        <v/>
      </c>
      <c r="B147" s="12" t="inlineStr"/>
      <c r="C147" s="7" t="inlineStr"/>
      <c r="D147" s="7" t="inlineStr"/>
      <c r="E147" s="7" t="inlineStr"/>
      <c r="F147" s="7" t="inlineStr">
        <is>
          <t>EI1(a)</t>
        </is>
      </c>
      <c r="G147" s="7" t="inlineStr">
        <is>
          <t>OPTION 2:  Indicator level reporting</t>
        </is>
      </c>
      <c r="H147" s="50">
        <f>IFERROR(IF(INDEX('Faculties'!$M$10:$M$18,MATCH($F147,'Faculties'!$B$10:$B$18,0))="","Cell will autofill based on response",INDEX('Faculties'!$M$10:$M$18,MATCH($F147,'Faculties'!$B$10:$B$18,0))),"N/A")</f>
        <v/>
      </c>
      <c r="I147" s="50">
        <f>IFERROR(IF(INDEX('Faculties'!$M$25:$M$34,MATCH($F147,'Faculties'!$B$25:$B$34,0))="","Cell will autofill based on response",INDEX('Faculties'!$M$25:$M$34,MATCH($F147,'Faculties'!$B$25:$B$34,0))),"N/A")</f>
        <v/>
      </c>
      <c r="J147" s="50">
        <f>IFERROR(IF(INDEX('Faculties'!$M$41:$M$50,MATCH($F147,'Faculties'!$B$41:$B$50,0))="","Cell will autofill based on response",INDEX('Faculties'!$M$41:$M$50,MATCH($F147,'Faculties'!$B$41:$B$50,0))),"N/A")</f>
        <v/>
      </c>
      <c r="K147" s="50">
        <f>IFERROR(IF(INDEX('Faculties'!$M$57:$M$66,MATCH($F147,'Faculties'!$B$57:$B$66,0))="","Cell will autofill based on response",INDEX('Faculties'!$M$57:$M$66,MATCH($F147,'Faculties'!$B$57:$B$66,0))),"N/A")</f>
        <v/>
      </c>
      <c r="L147" s="50">
        <f>IFERROR(IF(INDEX('Faculties'!$M$73:$M$82,MATCH($F147,'Faculties'!$B$73:$B$82,0))="","Cell will autofill based on response",INDEX('Faculties'!$M$73:$M$82,MATCH($F147,'Faculties'!$B$73:$B$82,0))),"N/A")</f>
        <v/>
      </c>
      <c r="M147" s="50">
        <f>IFERROR(IF(INDEX('Faculties'!$M$89:$M$98,MATCH($F147,'Faculties'!$B$89:$B$98,0))="","Cell will autofill based on response",INDEX('Faculties'!$M$89:$M$98,MATCH($F147,'Faculties'!$B$89:$B$98,0))),"N/A")</f>
        <v/>
      </c>
      <c r="N147" s="50">
        <f>IFERROR(IF(INDEX('Faculties'!$M$105:$M$114,MATCH($F147,'Faculties'!$B$105:$B$114,0))="","Cell will autofill based on response",INDEX('Faculties'!$M$105:$M$114,MATCH($F147,'Faculties'!$B$105:$B$114,0))),"N/A")</f>
        <v/>
      </c>
      <c r="O147" s="50">
        <f>IFERROR(IF(INDEX('Faculties'!$M$121:$M$130,MATCH($F147,'Faculties'!$B$121:$B$130,0))="","Cell will autofill based on response",INDEX('Faculties'!$M$121:$M$130,MATCH($F147,'Faculties'!$B$121:$B$130,0))),"N/A")</f>
        <v/>
      </c>
      <c r="P147" s="50">
        <f>IFERROR(IF(INDEX('Faculties'!$M$137:$M$146,MATCH($F147,'Faculties'!$B$137:$B$146,0))="","Cell will autofill based on response",INDEX('Faculties'!$M$137:$M$146,MATCH($F147,'Faculties'!$B$137:$B$146,0))),"N/A")</f>
        <v/>
      </c>
      <c r="Q147" s="50">
        <f>IFERROR(IF(INDEX('CI&amp;S'!$M$10:$M$15,MATCH($F147,'CI&amp;S'!$B$10:$B$15,0))="","Cell will autofill based on response",INDEX('CI&amp;S'!$M$10:$M$15,MATCH($F147,'CI&amp;S'!$B$10:$B$15,0))),"N/A")</f>
        <v/>
      </c>
      <c r="R147" s="50">
        <f>IFERROR(IF(INDEX('CI&amp;S'!$M$22:$M$36,MATCH($F147,'CI&amp;S'!$B$22:$B$36,0))="","Cell will autofill based on response",INDEX('CI&amp;S'!$M$22:$M$36,MATCH($F147,'CI&amp;S'!$B$22:$B$36,0))),"N/A")</f>
        <v/>
      </c>
      <c r="S147" s="50">
        <f>IFERROR(IF(INDEX('CFOG'!$M$10:$M$16,MATCH($F147,'CFOG'!$B$10:$B$16,0))="","Cell will autofill based on response",INDEX('CFOG'!$M$10:$M$16,MATCH($F147,'CFOG'!$B$10:$B$16,0))),"N/A")</f>
        <v/>
      </c>
      <c r="T147" s="50">
        <f>IFERROR(IF(INDEX('CFOG'!$M$23:$M$24,MATCH($F147,'CFOG'!$B$23:$B$24,0))="","Cell will autofill based on response",INDEX('CFOG'!$M$23:$M$24,MATCH($F147,'CFOG'!$B$23:$B$24,0))),"N/A")</f>
        <v/>
      </c>
      <c r="U147" s="50">
        <f>IFERROR(IF(INDEX('ESG'!$M$10:$M$17,MATCH($F147,'ESG'!$B$10:$B$17,0))="","Cell will autofill based on response",INDEX('ESG'!$M$10:$M$17,MATCH($F147,'ESG'!$B$10:$B$17,0))),"N/A")</f>
        <v/>
      </c>
      <c r="V147" s="50">
        <f>IFERROR(IF(INDEX('CIOG'!$M$10:$M$14,MATCH($F147,'CIOG'!$B$10:$B$14,0))="","Cell will autofill based on response",INDEX('CIOG'!$M$10:$M$14,MATCH($F147,'CIOG'!$B$10:$B$14,0))),"N/A")</f>
        <v/>
      </c>
      <c r="W147" s="50">
        <f>IFERROR(IF(INDEX('MRE'!$M$10:$M$18,MATCH($F147,'MRE'!$B$10:$B$18,0))="","Cell will autofill based on response",INDEX('MRE'!$M$10:$M$18,MATCH($F147,'MRE'!$B$10:$B$18,0))),"N/A")</f>
        <v/>
      </c>
      <c r="X147" s="50">
        <f>IFERROR(IF(INDEX('AC&amp;M'!$M$10:$M$14,MATCH($F147,'AC&amp;M'!$B$10:$B$14,0))="","Cell will autofill based on response",INDEX('AC&amp;M'!$M$10:$M$14,MATCH($F147,'AC&amp;M'!$B$10:$B$14,0))),"N/A")</f>
        <v/>
      </c>
      <c r="Y147" s="50">
        <f>IFERROR(IF(INDEX('GCE'!$M$10:$M$12,MATCH($F147,'GCE'!$B$10:$B$12,0))="","Cell will autofill based on response",INDEX('GCE'!$M$10:$M$12,MATCH($F147,'GCE'!$B$10:$B$12,0))),"N/A")</f>
        <v/>
      </c>
      <c r="Z147" s="50">
        <f>IFERROR(IF(INDEX('Education'!$M$10:$M$13,MATCH($F147,'Education'!$B$10:$B$13,0))="","Cell will autofill based on response",INDEX('Education'!$M$10:$M$13,MATCH($F147,'Education'!$B$10:$B$13,0))),"N/A")</f>
        <v/>
      </c>
      <c r="AA147" s="50">
        <f>IFERROR(IF(INDEX('SaSS'!$M$10:$M$12,MATCH($F147,'SaSS'!$B$10:$B$12,0))="","Cell will autofill based on response",INDEX('SaSS'!$M$10:$M$12,MATCH($F147,'SaSS'!$B$10:$B$12,0))),"N/A")</f>
        <v/>
      </c>
      <c r="AB147" s="50">
        <f>IFERROR(IF(INDEX('Indigenous'!$M$10:$M$11,MATCH($F147,'Indigenous'!$B$10:$B$11,0))="","Cell will autofill based on response",INDEX('Indigenous'!$M$10:$M$11,MATCH($F147,'Indigenous'!$B$10:$B$11,0))),"N/A")</f>
        <v/>
      </c>
      <c r="AC147" s="50">
        <f>IFERROR(IF(INDEX('L&amp;R'!$M$10:$M$11,MATCH($F147,'L&amp;R'!$B$10:$B$11,0))="","Cell will autofill based on response",INDEX('L&amp;R'!$M$10:$M$11,MATCH($F147,'L&amp;R'!$B$10:$B$11,0))),"N/A")</f>
        <v/>
      </c>
    </row>
    <row r="148" ht="22" customHeight="1">
      <c r="A148">
        <f>F148&amp;"|"&amp;G148</f>
        <v/>
      </c>
      <c r="B148" s="12" t="inlineStr"/>
      <c r="C148" s="7" t="inlineStr"/>
      <c r="D148" s="7" t="inlineStr"/>
      <c r="E148" s="7" t="inlineStr"/>
      <c r="F148" s="7" t="inlineStr">
        <is>
          <t>EI1(a)</t>
        </is>
      </c>
      <c r="G148" s="7" t="inlineStr">
        <is>
          <t>Supporting information/comments</t>
        </is>
      </c>
      <c r="H148" s="50">
        <f>IFERROR(IF(INDEX('Faculties'!$N$10:$N$18,MATCH($F148,'Faculties'!$B$10:$B$18,0))="","Cell will autofill based on response",INDEX('Faculties'!$N$10:$N$18,MATCH($F148,'Faculties'!$B$10:$B$18,0))),"N/A")</f>
        <v/>
      </c>
      <c r="I148" s="50">
        <f>IFERROR(IF(INDEX('Faculties'!$N$25:$N$34,MATCH($F148,'Faculties'!$B$25:$B$34,0))="","Cell will autofill based on response",INDEX('Faculties'!$N$25:$N$34,MATCH($F148,'Faculties'!$B$25:$B$34,0))),"N/A")</f>
        <v/>
      </c>
      <c r="J148" s="50">
        <f>IFERROR(IF(INDEX('Faculties'!$N$41:$N$50,MATCH($F148,'Faculties'!$B$41:$B$50,0))="","Cell will autofill based on response",INDEX('Faculties'!$N$41:$N$50,MATCH($F148,'Faculties'!$B$41:$B$50,0))),"N/A")</f>
        <v/>
      </c>
      <c r="K148" s="50">
        <f>IFERROR(IF(INDEX('Faculties'!$N$57:$N$66,MATCH($F148,'Faculties'!$B$57:$B$66,0))="","Cell will autofill based on response",INDEX('Faculties'!$N$57:$N$66,MATCH($F148,'Faculties'!$B$57:$B$66,0))),"N/A")</f>
        <v/>
      </c>
      <c r="L148" s="50">
        <f>IFERROR(IF(INDEX('Faculties'!$N$73:$N$82,MATCH($F148,'Faculties'!$B$73:$B$82,0))="","Cell will autofill based on response",INDEX('Faculties'!$N$73:$N$82,MATCH($F148,'Faculties'!$B$73:$B$82,0))),"N/A")</f>
        <v/>
      </c>
      <c r="M148" s="50">
        <f>IFERROR(IF(INDEX('Faculties'!$N$89:$N$98,MATCH($F148,'Faculties'!$B$89:$B$98,0))="","Cell will autofill based on response",INDEX('Faculties'!$N$89:$N$98,MATCH($F148,'Faculties'!$B$89:$B$98,0))),"N/A")</f>
        <v/>
      </c>
      <c r="N148" s="50">
        <f>IFERROR(IF(INDEX('Faculties'!$N$105:$N$114,MATCH($F148,'Faculties'!$B$105:$B$114,0))="","Cell will autofill based on response",INDEX('Faculties'!$N$105:$N$114,MATCH($F148,'Faculties'!$B$105:$B$114,0))),"N/A")</f>
        <v/>
      </c>
      <c r="O148" s="50">
        <f>IFERROR(IF(INDEX('Faculties'!$N$121:$N$130,MATCH($F148,'Faculties'!$B$121:$B$130,0))="","Cell will autofill based on response",INDEX('Faculties'!$N$121:$N$130,MATCH($F148,'Faculties'!$B$121:$B$130,0))),"N/A")</f>
        <v/>
      </c>
      <c r="P148" s="50">
        <f>IFERROR(IF(INDEX('Faculties'!$N$137:$N$146,MATCH($F148,'Faculties'!$B$137:$B$146,0))="","Cell will autofill based on response",INDEX('Faculties'!$N$137:$N$146,MATCH($F148,'Faculties'!$B$137:$B$146,0))),"N/A")</f>
        <v/>
      </c>
      <c r="Q148" s="50">
        <f>IFERROR(IF(INDEX('CI&amp;S'!$N$10:$N$15,MATCH($F148,'CI&amp;S'!$B$10:$B$15,0))="","Cell will autofill based on response",INDEX('CI&amp;S'!$N$10:$N$15,MATCH($F148,'CI&amp;S'!$B$10:$B$15,0))),"N/A")</f>
        <v/>
      </c>
      <c r="R148" s="50">
        <f>IFERROR(IF(INDEX('CI&amp;S'!$N$22:$N$36,MATCH($F148,'CI&amp;S'!$B$22:$B$36,0))="","Cell will autofill based on response",INDEX('CI&amp;S'!$N$22:$N$36,MATCH($F148,'CI&amp;S'!$B$22:$B$36,0))),"N/A")</f>
        <v/>
      </c>
      <c r="S148" s="50">
        <f>IFERROR(IF(INDEX('CFOG'!$N$10:$N$16,MATCH($F148,'CFOG'!$B$10:$B$16,0))="","Cell will autofill based on response",INDEX('CFOG'!$N$10:$N$16,MATCH($F148,'CFOG'!$B$10:$B$16,0))),"N/A")</f>
        <v/>
      </c>
      <c r="T148" s="50">
        <f>IFERROR(IF(INDEX('CFOG'!$N$23:$N$24,MATCH($F148,'CFOG'!$B$23:$B$24,0))="","Cell will autofill based on response",INDEX('CFOG'!$N$23:$N$24,MATCH($F148,'CFOG'!$B$23:$B$24,0))),"N/A")</f>
        <v/>
      </c>
      <c r="U148" s="50">
        <f>IFERROR(IF(INDEX('ESG'!$N$10:$N$17,MATCH($F148,'ESG'!$B$10:$B$17,0))="","Cell will autofill based on response",INDEX('ESG'!$N$10:$N$17,MATCH($F148,'ESG'!$B$10:$B$17,0))),"N/A")</f>
        <v/>
      </c>
      <c r="V148" s="50">
        <f>IFERROR(IF(INDEX('CIOG'!$N$10:$N$14,MATCH($F148,'CIOG'!$B$10:$B$14,0))="","Cell will autofill based on response",INDEX('CIOG'!$N$10:$N$14,MATCH($F148,'CIOG'!$B$10:$B$14,0))),"N/A")</f>
        <v/>
      </c>
      <c r="W148" s="50">
        <f>IFERROR(IF(INDEX('MRE'!$N$10:$N$18,MATCH($F148,'MRE'!$B$10:$B$18,0))="","Cell will autofill based on response",INDEX('MRE'!$N$10:$N$18,MATCH($F148,'MRE'!$B$10:$B$18,0))),"N/A")</f>
        <v/>
      </c>
      <c r="X148" s="50">
        <f>IFERROR(IF(INDEX('AC&amp;M'!$N$10:$N$14,MATCH($F148,'AC&amp;M'!$B$10:$B$14,0))="","Cell will autofill based on response",INDEX('AC&amp;M'!$N$10:$N$14,MATCH($F148,'AC&amp;M'!$B$10:$B$14,0))),"N/A")</f>
        <v/>
      </c>
      <c r="Y148" s="50">
        <f>IFERROR(IF(INDEX('GCE'!$N$10:$N$12,MATCH($F148,'GCE'!$B$10:$B$12,0))="","Cell will autofill based on response",INDEX('GCE'!$N$10:$N$12,MATCH($F148,'GCE'!$B$10:$B$12,0))),"N/A")</f>
        <v/>
      </c>
      <c r="Z148" s="50">
        <f>IFERROR(IF(INDEX('Education'!$N$10:$N$13,MATCH($F148,'Education'!$B$10:$B$13,0))="","Cell will autofill based on response",INDEX('Education'!$N$10:$N$13,MATCH($F148,'Education'!$B$10:$B$13,0))),"N/A")</f>
        <v/>
      </c>
      <c r="AA148" s="50">
        <f>IFERROR(IF(INDEX('SaSS'!$N$10:$N$12,MATCH($F148,'SaSS'!$B$10:$B$12,0))="","Cell will autofill based on response",INDEX('SaSS'!$N$10:$N$12,MATCH($F148,'SaSS'!$B$10:$B$12,0))),"N/A")</f>
        <v/>
      </c>
      <c r="AB148" s="50">
        <f>IFERROR(IF(INDEX('Indigenous'!$N$10:$N$11,MATCH($F148,'Indigenous'!$B$10:$B$11,0))="","Cell will autofill based on response",INDEX('Indigenous'!$N$10:$N$11,MATCH($F148,'Indigenous'!$B$10:$B$11,0))),"N/A")</f>
        <v/>
      </c>
      <c r="AC148" s="50">
        <f>IFERROR(IF(INDEX('L&amp;R'!$N$10:$N$11,MATCH($F148,'L&amp;R'!$B$10:$B$11,0))="","Cell will autofill based on response",INDEX('L&amp;R'!$N$10:$N$11,MATCH($F148,'L&amp;R'!$B$10:$B$11,0))),"N/A")</f>
        <v/>
      </c>
    </row>
    <row r="149" ht="22" customHeight="1">
      <c r="A149">
        <f>F149&amp;"|"&amp;G149</f>
        <v/>
      </c>
      <c r="B149" s="12" t="inlineStr"/>
      <c r="C149" s="7" t="inlineStr"/>
      <c r="D149" s="7" t="inlineStr"/>
      <c r="E149" s="7" t="inlineStr"/>
      <c r="F149" s="7" t="inlineStr">
        <is>
          <t>EI1(a)</t>
        </is>
      </c>
      <c r="G149" s="7" t="inlineStr">
        <is>
          <t>Data source and limitations</t>
        </is>
      </c>
      <c r="H149" s="50">
        <f>IFERROR(IF(INDEX('Faculties'!$O$10:$O$18,MATCH($F149,'Faculties'!$B$10:$B$18,0))="","Cell will autofill based on response",INDEX('Faculties'!$O$10:$O$18,MATCH($F149,'Faculties'!$B$10:$B$18,0))),"N/A")</f>
        <v/>
      </c>
      <c r="I149" s="50">
        <f>IFERROR(IF(INDEX('Faculties'!$O$25:$O$34,MATCH($F149,'Faculties'!$B$25:$B$34,0))="","Cell will autofill based on response",INDEX('Faculties'!$O$25:$O$34,MATCH($F149,'Faculties'!$B$25:$B$34,0))),"N/A")</f>
        <v/>
      </c>
      <c r="J149" s="50">
        <f>IFERROR(IF(INDEX('Faculties'!$O$41:$O$50,MATCH($F149,'Faculties'!$B$41:$B$50,0))="","Cell will autofill based on response",INDEX('Faculties'!$O$41:$O$50,MATCH($F149,'Faculties'!$B$41:$B$50,0))),"N/A")</f>
        <v/>
      </c>
      <c r="K149" s="50">
        <f>IFERROR(IF(INDEX('Faculties'!$O$57:$O$66,MATCH($F149,'Faculties'!$B$57:$B$66,0))="","Cell will autofill based on response",INDEX('Faculties'!$O$57:$O$66,MATCH($F149,'Faculties'!$B$57:$B$66,0))),"N/A")</f>
        <v/>
      </c>
      <c r="L149" s="50">
        <f>IFERROR(IF(INDEX('Faculties'!$O$73:$O$82,MATCH($F149,'Faculties'!$B$73:$B$82,0))="","Cell will autofill based on response",INDEX('Faculties'!$O$73:$O$82,MATCH($F149,'Faculties'!$B$73:$B$82,0))),"N/A")</f>
        <v/>
      </c>
      <c r="M149" s="50">
        <f>IFERROR(IF(INDEX('Faculties'!$O$89:$O$98,MATCH($F149,'Faculties'!$B$89:$B$98,0))="","Cell will autofill based on response",INDEX('Faculties'!$O$89:$O$98,MATCH($F149,'Faculties'!$B$89:$B$98,0))),"N/A")</f>
        <v/>
      </c>
      <c r="N149" s="50">
        <f>IFERROR(IF(INDEX('Faculties'!$O$105:$O$114,MATCH($F149,'Faculties'!$B$105:$B$114,0))="","Cell will autofill based on response",INDEX('Faculties'!$O$105:$O$114,MATCH($F149,'Faculties'!$B$105:$B$114,0))),"N/A")</f>
        <v/>
      </c>
      <c r="O149" s="50">
        <f>IFERROR(IF(INDEX('Faculties'!$O$121:$O$130,MATCH($F149,'Faculties'!$B$121:$B$130,0))="","Cell will autofill based on response",INDEX('Faculties'!$O$121:$O$130,MATCH($F149,'Faculties'!$B$121:$B$130,0))),"N/A")</f>
        <v/>
      </c>
      <c r="P149" s="50">
        <f>IFERROR(IF(INDEX('Faculties'!$O$137:$O$146,MATCH($F149,'Faculties'!$B$137:$B$146,0))="","Cell will autofill based on response",INDEX('Faculties'!$O$137:$O$146,MATCH($F149,'Faculties'!$B$137:$B$146,0))),"N/A")</f>
        <v/>
      </c>
      <c r="Q149" s="50">
        <f>IFERROR(IF(INDEX('CI&amp;S'!$O$10:$O$15,MATCH($F149,'CI&amp;S'!$B$10:$B$15,0))="","Cell will autofill based on response",INDEX('CI&amp;S'!$O$10:$O$15,MATCH($F149,'CI&amp;S'!$B$10:$B$15,0))),"N/A")</f>
        <v/>
      </c>
      <c r="R149" s="50">
        <f>IFERROR(IF(INDEX('CI&amp;S'!$O$22:$O$36,MATCH($F149,'CI&amp;S'!$B$22:$B$36,0))="","Cell will autofill based on response",INDEX('CI&amp;S'!$O$22:$O$36,MATCH($F149,'CI&amp;S'!$B$22:$B$36,0))),"N/A")</f>
        <v/>
      </c>
      <c r="S149" s="50">
        <f>IFERROR(IF(INDEX('CFOG'!$O$10:$O$16,MATCH($F149,'CFOG'!$B$10:$B$16,0))="","Cell will autofill based on response",INDEX('CFOG'!$O$10:$O$16,MATCH($F149,'CFOG'!$B$10:$B$16,0))),"N/A")</f>
        <v/>
      </c>
      <c r="T149" s="50">
        <f>IFERROR(IF(INDEX('CFOG'!$O$23:$O$24,MATCH($F149,'CFOG'!$B$23:$B$24,0))="","Cell will autofill based on response",INDEX('CFOG'!$O$23:$O$24,MATCH($F149,'CFOG'!$B$23:$B$24,0))),"N/A")</f>
        <v/>
      </c>
      <c r="U149" s="50">
        <f>IFERROR(IF(INDEX('ESG'!$O$10:$O$17,MATCH($F149,'ESG'!$B$10:$B$17,0))="","Cell will autofill based on response",INDEX('ESG'!$O$10:$O$17,MATCH($F149,'ESG'!$B$10:$B$17,0))),"N/A")</f>
        <v/>
      </c>
      <c r="V149" s="50">
        <f>IFERROR(IF(INDEX('CIOG'!$O$10:$O$14,MATCH($F149,'CIOG'!$B$10:$B$14,0))="","Cell will autofill based on response",INDEX('CIOG'!$O$10:$O$14,MATCH($F149,'CIOG'!$B$10:$B$14,0))),"N/A")</f>
        <v/>
      </c>
      <c r="W149" s="50">
        <f>IFERROR(IF(INDEX('MRE'!$O$10:$O$18,MATCH($F149,'MRE'!$B$10:$B$18,0))="","Cell will autofill based on response",INDEX('MRE'!$O$10:$O$18,MATCH($F149,'MRE'!$B$10:$B$18,0))),"N/A")</f>
        <v/>
      </c>
      <c r="X149" s="50">
        <f>IFERROR(IF(INDEX('AC&amp;M'!$O$10:$O$14,MATCH($F149,'AC&amp;M'!$B$10:$B$14,0))="","Cell will autofill based on response",INDEX('AC&amp;M'!$O$10:$O$14,MATCH($F149,'AC&amp;M'!$B$10:$B$14,0))),"N/A")</f>
        <v/>
      </c>
      <c r="Y149" s="50">
        <f>IFERROR(IF(INDEX('GCE'!$O$10:$O$12,MATCH($F149,'GCE'!$B$10:$B$12,0))="","Cell will autofill based on response",INDEX('GCE'!$O$10:$O$12,MATCH($F149,'GCE'!$B$10:$B$12,0))),"N/A")</f>
        <v/>
      </c>
      <c r="Z149" s="50">
        <f>IFERROR(IF(INDEX('Education'!$O$10:$O$13,MATCH($F149,'Education'!$B$10:$B$13,0))="","Cell will autofill based on response",INDEX('Education'!$O$10:$O$13,MATCH($F149,'Education'!$B$10:$B$13,0))),"N/A")</f>
        <v/>
      </c>
      <c r="AA149" s="50">
        <f>IFERROR(IF(INDEX('SaSS'!$O$10:$O$12,MATCH($F149,'SaSS'!$B$10:$B$12,0))="","Cell will autofill based on response",INDEX('SaSS'!$O$10:$O$12,MATCH($F149,'SaSS'!$B$10:$B$12,0))),"N/A")</f>
        <v/>
      </c>
      <c r="AB149" s="50">
        <f>IFERROR(IF(INDEX('Indigenous'!$O$10:$O$11,MATCH($F149,'Indigenous'!$B$10:$B$11,0))="","Cell will autofill based on response",INDEX('Indigenous'!$O$10:$O$11,MATCH($F149,'Indigenous'!$B$10:$B$11,0))),"N/A")</f>
        <v/>
      </c>
      <c r="AC149" s="50">
        <f>IFERROR(IF(INDEX('L&amp;R'!$O$10:$O$11,MATCH($F149,'L&amp;R'!$B$10:$B$11,0))="","Cell will autofill based on response",INDEX('L&amp;R'!$O$10:$O$11,MATCH($F149,'L&amp;R'!$B$10:$B$11,0))),"N/A")</f>
        <v/>
      </c>
    </row>
    <row r="150" ht="22" customHeight="1">
      <c r="A150">
        <f>F150&amp;"|"&amp;G150</f>
        <v/>
      </c>
      <c r="B150" s="12" t="inlineStr"/>
      <c r="C150" s="7" t="inlineStr"/>
      <c r="D150" s="7" t="inlineStr"/>
      <c r="E150" s="7" t="inlineStr"/>
      <c r="F150" s="7" t="inlineStr">
        <is>
          <t>EI1(a)</t>
        </is>
      </c>
      <c r="G150" s="7" t="inlineStr">
        <is>
          <t>Data owner confirms</t>
        </is>
      </c>
      <c r="H150" s="50">
        <f>IFERROR(IF(INDEX('Faculties'!$P$10:$P$18,MATCH($F150,'Faculties'!$B$10:$B$18,0))="","Cell will autofill based on response",INDEX('Faculties'!$P$10:$P$18,MATCH($F150,'Faculties'!$B$10:$B$18,0))),"N/A")</f>
        <v/>
      </c>
      <c r="I150" s="50">
        <f>IFERROR(IF(INDEX('Faculties'!$P$25:$P$34,MATCH($F150,'Faculties'!$B$25:$B$34,0))="","Cell will autofill based on response",INDEX('Faculties'!$P$25:$P$34,MATCH($F150,'Faculties'!$B$25:$B$34,0))),"N/A")</f>
        <v/>
      </c>
      <c r="J150" s="50">
        <f>IFERROR(IF(INDEX('Faculties'!$P$41:$P$50,MATCH($F150,'Faculties'!$B$41:$B$50,0))="","Cell will autofill based on response",INDEX('Faculties'!$P$41:$P$50,MATCH($F150,'Faculties'!$B$41:$B$50,0))),"N/A")</f>
        <v/>
      </c>
      <c r="K150" s="50">
        <f>IFERROR(IF(INDEX('Faculties'!$P$57:$P$66,MATCH($F150,'Faculties'!$B$57:$B$66,0))="","Cell will autofill based on response",INDEX('Faculties'!$P$57:$P$66,MATCH($F150,'Faculties'!$B$57:$B$66,0))),"N/A")</f>
        <v/>
      </c>
      <c r="L150" s="50">
        <f>IFERROR(IF(INDEX('Faculties'!$P$73:$P$82,MATCH($F150,'Faculties'!$B$73:$B$82,0))="","Cell will autofill based on response",INDEX('Faculties'!$P$73:$P$82,MATCH($F150,'Faculties'!$B$73:$B$82,0))),"N/A")</f>
        <v/>
      </c>
      <c r="M150" s="50">
        <f>IFERROR(IF(INDEX('Faculties'!$P$89:$P$98,MATCH($F150,'Faculties'!$B$89:$B$98,0))="","Cell will autofill based on response",INDEX('Faculties'!$P$89:$P$98,MATCH($F150,'Faculties'!$B$89:$B$98,0))),"N/A")</f>
        <v/>
      </c>
      <c r="N150" s="50">
        <f>IFERROR(IF(INDEX('Faculties'!$P$105:$P$114,MATCH($F150,'Faculties'!$B$105:$B$114,0))="","Cell will autofill based on response",INDEX('Faculties'!$P$105:$P$114,MATCH($F150,'Faculties'!$B$105:$B$114,0))),"N/A")</f>
        <v/>
      </c>
      <c r="O150" s="50">
        <f>IFERROR(IF(INDEX('Faculties'!$P$121:$P$130,MATCH($F150,'Faculties'!$B$121:$B$130,0))="","Cell will autofill based on response",INDEX('Faculties'!$P$121:$P$130,MATCH($F150,'Faculties'!$B$121:$B$130,0))),"N/A")</f>
        <v/>
      </c>
      <c r="P150" s="50">
        <f>IFERROR(IF(INDEX('Faculties'!$P$137:$P$146,MATCH($F150,'Faculties'!$B$137:$B$146,0))="","Cell will autofill based on response",INDEX('Faculties'!$P$137:$P$146,MATCH($F150,'Faculties'!$B$137:$B$146,0))),"N/A")</f>
        <v/>
      </c>
      <c r="Q150" s="50">
        <f>IFERROR(IF(INDEX('CI&amp;S'!$P$10:$P$15,MATCH($F150,'CI&amp;S'!$B$10:$B$15,0))="","Cell will autofill based on response",INDEX('CI&amp;S'!$P$10:$P$15,MATCH($F150,'CI&amp;S'!$B$10:$B$15,0))),"N/A")</f>
        <v/>
      </c>
      <c r="R150" s="50">
        <f>IFERROR(IF(INDEX('CI&amp;S'!$P$22:$P$36,MATCH($F150,'CI&amp;S'!$B$22:$B$36,0))="","Cell will autofill based on response",INDEX('CI&amp;S'!$P$22:$P$36,MATCH($F150,'CI&amp;S'!$B$22:$B$36,0))),"N/A")</f>
        <v/>
      </c>
      <c r="S150" s="50">
        <f>IFERROR(IF(INDEX('CFOG'!$P$10:$P$16,MATCH($F150,'CFOG'!$B$10:$B$16,0))="","Cell will autofill based on response",INDEX('CFOG'!$P$10:$P$16,MATCH($F150,'CFOG'!$B$10:$B$16,0))),"N/A")</f>
        <v/>
      </c>
      <c r="T150" s="50">
        <f>IFERROR(IF(INDEX('CFOG'!$P$23:$P$24,MATCH($F150,'CFOG'!$B$23:$B$24,0))="","Cell will autofill based on response",INDEX('CFOG'!$P$23:$P$24,MATCH($F150,'CFOG'!$B$23:$B$24,0))),"N/A")</f>
        <v/>
      </c>
      <c r="U150" s="50">
        <f>IFERROR(IF(INDEX('ESG'!$P$10:$P$17,MATCH($F150,'ESG'!$B$10:$B$17,0))="","Cell will autofill based on response",INDEX('ESG'!$P$10:$P$17,MATCH($F150,'ESG'!$B$10:$B$17,0))),"N/A")</f>
        <v/>
      </c>
      <c r="V150" s="50">
        <f>IFERROR(IF(INDEX('CIOG'!$P$10:$P$14,MATCH($F150,'CIOG'!$B$10:$B$14,0))="","Cell will autofill based on response",INDEX('CIOG'!$P$10:$P$14,MATCH($F150,'CIOG'!$B$10:$B$14,0))),"N/A")</f>
        <v/>
      </c>
      <c r="W150" s="50">
        <f>IFERROR(IF(INDEX('MRE'!$P$10:$P$18,MATCH($F150,'MRE'!$B$10:$B$18,0))="","Cell will autofill based on response",INDEX('MRE'!$P$10:$P$18,MATCH($F150,'MRE'!$B$10:$B$18,0))),"N/A")</f>
        <v/>
      </c>
      <c r="X150" s="50">
        <f>IFERROR(IF(INDEX('AC&amp;M'!$P$10:$P$14,MATCH($F150,'AC&amp;M'!$B$10:$B$14,0))="","Cell will autofill based on response",INDEX('AC&amp;M'!$P$10:$P$14,MATCH($F150,'AC&amp;M'!$B$10:$B$14,0))),"N/A")</f>
        <v/>
      </c>
      <c r="Y150" s="50">
        <f>IFERROR(IF(INDEX('GCE'!$P$10:$P$12,MATCH($F150,'GCE'!$B$10:$B$12,0))="","Cell will autofill based on response",INDEX('GCE'!$P$10:$P$12,MATCH($F150,'GCE'!$B$10:$B$12,0))),"N/A")</f>
        <v/>
      </c>
      <c r="Z150" s="50">
        <f>IFERROR(IF(INDEX('Education'!$P$10:$P$13,MATCH($F150,'Education'!$B$10:$B$13,0))="","Cell will autofill based on response",INDEX('Education'!$P$10:$P$13,MATCH($F150,'Education'!$B$10:$B$13,0))),"N/A")</f>
        <v/>
      </c>
      <c r="AA150" s="50">
        <f>IFERROR(IF(INDEX('SaSS'!$P$10:$P$12,MATCH($F150,'SaSS'!$B$10:$B$12,0))="","Cell will autofill based on response",INDEX('SaSS'!$P$10:$P$12,MATCH($F150,'SaSS'!$B$10:$B$12,0))),"N/A")</f>
        <v/>
      </c>
      <c r="AB150" s="50">
        <f>IFERROR(IF(INDEX('Indigenous'!$P$10:$P$11,MATCH($F150,'Indigenous'!$B$10:$B$11,0))="","Cell will autofill based on response",INDEX('Indigenous'!$P$10:$P$11,MATCH($F150,'Indigenous'!$B$10:$B$11,0))),"N/A")</f>
        <v/>
      </c>
      <c r="AC150" s="50">
        <f>IFERROR(IF(INDEX('L&amp;R'!$P$10:$P$11,MATCH($F150,'L&amp;R'!$B$10:$B$11,0))="","Cell will autofill based on response",INDEX('L&amp;R'!$P$10:$P$11,MATCH($F150,'L&amp;R'!$B$10:$B$11,0))),"N/A")</f>
        <v/>
      </c>
    </row>
    <row r="151" ht="122" customHeight="1">
      <c r="A151">
        <f>F151&amp;"|"&amp;G151</f>
        <v/>
      </c>
      <c r="B151" s="6" t="inlineStr">
        <is>
          <t>EI1(b)</t>
        </is>
      </c>
      <c r="C151" s="48" t="inlineStr">
        <is>
          <t>Estate and infrastructure</t>
        </is>
      </c>
      <c r="D151" s="48" t="inlineStr">
        <is>
          <t>Estimated sustainability impacts of the University’s estate and infrastructure capital plan to inform progress towards emissions reduction targets and other priority areas (to the extent enabled by available information)</t>
        </is>
      </c>
      <c r="E151" s="48"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F151" s="48" t="inlineStr">
        <is>
          <t>EI1(b)</t>
        </is>
      </c>
      <c r="G151" s="48" t="inlineStr">
        <is>
          <t>OPTION 1:  Target-level reporting</t>
        </is>
      </c>
      <c r="H151" s="50">
        <f>IFERROR(IF(INDEX('Faculties'!$L$10:$L$18,MATCH($F151,'Faculties'!$B$10:$B$18,0))="","Cell will autofill based on response",INDEX('Faculties'!$L$10:$L$18,MATCH($F151,'Faculties'!$B$10:$B$18,0))),"N/A")</f>
        <v/>
      </c>
      <c r="I151" s="50">
        <f>IFERROR(IF(INDEX('Faculties'!$L$25:$L$34,MATCH($F151,'Faculties'!$B$25:$B$34,0))="","Cell will autofill based on response",INDEX('Faculties'!$L$25:$L$34,MATCH($F151,'Faculties'!$B$25:$B$34,0))),"N/A")</f>
        <v/>
      </c>
      <c r="J151" s="50">
        <f>IFERROR(IF(INDEX('Faculties'!$L$41:$L$50,MATCH($F151,'Faculties'!$B$41:$B$50,0))="","Cell will autofill based on response",INDEX('Faculties'!$L$41:$L$50,MATCH($F151,'Faculties'!$B$41:$B$50,0))),"N/A")</f>
        <v/>
      </c>
      <c r="K151" s="50">
        <f>IFERROR(IF(INDEX('Faculties'!$L$57:$L$66,MATCH($F151,'Faculties'!$B$57:$B$66,0))="","Cell will autofill based on response",INDEX('Faculties'!$L$57:$L$66,MATCH($F151,'Faculties'!$B$57:$B$66,0))),"N/A")</f>
        <v/>
      </c>
      <c r="L151" s="50">
        <f>IFERROR(IF(INDEX('Faculties'!$L$73:$L$82,MATCH($F151,'Faculties'!$B$73:$B$82,0))="","Cell will autofill based on response",INDEX('Faculties'!$L$73:$L$82,MATCH($F151,'Faculties'!$B$73:$B$82,0))),"N/A")</f>
        <v/>
      </c>
      <c r="M151" s="50">
        <f>IFERROR(IF(INDEX('Faculties'!$L$89:$L$98,MATCH($F151,'Faculties'!$B$89:$B$98,0))="","Cell will autofill based on response",INDEX('Faculties'!$L$89:$L$98,MATCH($F151,'Faculties'!$B$89:$B$98,0))),"N/A")</f>
        <v/>
      </c>
      <c r="N151" s="50">
        <f>IFERROR(IF(INDEX('Faculties'!$L$105:$L$114,MATCH($F151,'Faculties'!$B$105:$B$114,0))="","Cell will autofill based on response",INDEX('Faculties'!$L$105:$L$114,MATCH($F151,'Faculties'!$B$105:$B$114,0))),"N/A")</f>
        <v/>
      </c>
      <c r="O151" s="50">
        <f>IFERROR(IF(INDEX('Faculties'!$L$121:$L$130,MATCH($F151,'Faculties'!$B$121:$B$130,0))="","Cell will autofill based on response",INDEX('Faculties'!$L$121:$L$130,MATCH($F151,'Faculties'!$B$121:$B$130,0))),"N/A")</f>
        <v/>
      </c>
      <c r="P151" s="50">
        <f>IFERROR(IF(INDEX('Faculties'!$L$137:$L$146,MATCH($F151,'Faculties'!$B$137:$B$146,0))="","Cell will autofill based on response",INDEX('Faculties'!$L$137:$L$146,MATCH($F151,'Faculties'!$B$137:$B$146,0))),"N/A")</f>
        <v/>
      </c>
      <c r="Q151" s="50">
        <f>IFERROR(IF(INDEX('CI&amp;S'!$L$10:$L$15,MATCH($F151,'CI&amp;S'!$B$10:$B$15,0))="","Cell will autofill based on response",INDEX('CI&amp;S'!$L$10:$L$15,MATCH($F151,'CI&amp;S'!$B$10:$B$15,0))),"N/A")</f>
        <v/>
      </c>
      <c r="R151" s="50">
        <f>IFERROR(IF(INDEX('CI&amp;S'!$L$22:$L$36,MATCH($F151,'CI&amp;S'!$B$22:$B$36,0))="","Cell will autofill based on response",INDEX('CI&amp;S'!$L$22:$L$36,MATCH($F151,'CI&amp;S'!$B$22:$B$36,0))),"N/A")</f>
        <v/>
      </c>
      <c r="S151" s="50">
        <f>IFERROR(IF(INDEX('CFOG'!$L$10:$L$16,MATCH($F151,'CFOG'!$B$10:$B$16,0))="","Cell will autofill based on response",INDEX('CFOG'!$L$10:$L$16,MATCH($F151,'CFOG'!$B$10:$B$16,0))),"N/A")</f>
        <v/>
      </c>
      <c r="T151" s="50">
        <f>IFERROR(IF(INDEX('CFOG'!$L$23:$L$24,MATCH($F151,'CFOG'!$B$23:$B$24,0))="","Cell will autofill based on response",INDEX('CFOG'!$L$23:$L$24,MATCH($F151,'CFOG'!$B$23:$B$24,0))),"N/A")</f>
        <v/>
      </c>
      <c r="U151" s="50">
        <f>IFERROR(IF(INDEX('ESG'!$L$10:$L$17,MATCH($F151,'ESG'!$B$10:$B$17,0))="","Cell will autofill based on response",INDEX('ESG'!$L$10:$L$17,MATCH($F151,'ESG'!$B$10:$B$17,0))),"N/A")</f>
        <v/>
      </c>
      <c r="V151" s="50">
        <f>IFERROR(IF(INDEX('CIOG'!$L$10:$L$14,MATCH($F151,'CIOG'!$B$10:$B$14,0))="","Cell will autofill based on response",INDEX('CIOG'!$L$10:$L$14,MATCH($F151,'CIOG'!$B$10:$B$14,0))),"N/A")</f>
        <v/>
      </c>
      <c r="W151" s="50">
        <f>IFERROR(IF(INDEX('MRE'!$L$10:$L$18,MATCH($F151,'MRE'!$B$10:$B$18,0))="","Cell will autofill based on response",INDEX('MRE'!$L$10:$L$18,MATCH($F151,'MRE'!$B$10:$B$18,0))),"N/A")</f>
        <v/>
      </c>
      <c r="X151" s="50">
        <f>IFERROR(IF(INDEX('AC&amp;M'!$L$10:$L$14,MATCH($F151,'AC&amp;M'!$B$10:$B$14,0))="","Cell will autofill based on response",INDEX('AC&amp;M'!$L$10:$L$14,MATCH($F151,'AC&amp;M'!$B$10:$B$14,0))),"N/A")</f>
        <v/>
      </c>
      <c r="Y151" s="50">
        <f>IFERROR(IF(INDEX('GCE'!$L$10:$L$12,MATCH($F151,'GCE'!$B$10:$B$12,0))="","Cell will autofill based on response",INDEX('GCE'!$L$10:$L$12,MATCH($F151,'GCE'!$B$10:$B$12,0))),"N/A")</f>
        <v/>
      </c>
      <c r="Z151" s="50">
        <f>IFERROR(IF(INDEX('Education'!$L$10:$L$13,MATCH($F151,'Education'!$B$10:$B$13,0))="","Cell will autofill based on response",INDEX('Education'!$L$10:$L$13,MATCH($F151,'Education'!$B$10:$B$13,0))),"N/A")</f>
        <v/>
      </c>
      <c r="AA151" s="50">
        <f>IFERROR(IF(INDEX('SaSS'!$L$10:$L$12,MATCH($F151,'SaSS'!$B$10:$B$12,0))="","Cell will autofill based on response",INDEX('SaSS'!$L$10:$L$12,MATCH($F151,'SaSS'!$B$10:$B$12,0))),"N/A")</f>
        <v/>
      </c>
      <c r="AB151" s="50">
        <f>IFERROR(IF(INDEX('Indigenous'!$L$10:$L$11,MATCH($F151,'Indigenous'!$B$10:$B$11,0))="","Cell will autofill based on response",INDEX('Indigenous'!$L$10:$L$11,MATCH($F151,'Indigenous'!$B$10:$B$11,0))),"N/A")</f>
        <v/>
      </c>
      <c r="AC151" s="50">
        <f>IFERROR(IF(INDEX('L&amp;R'!$L$10:$L$11,MATCH($F151,'L&amp;R'!$B$10:$B$11,0))="","Cell will autofill based on response",INDEX('L&amp;R'!$L$10:$L$11,MATCH($F151,'L&amp;R'!$B$10:$B$11,0))),"N/A")</f>
        <v/>
      </c>
      <c r="AE151" s="9">
        <f>SUMPRODUCT(--($H151:$AC151&lt;&gt;"N/A"))</f>
        <v/>
      </c>
      <c r="AF151" s="9">
        <f>SUMPRODUCT(--(((($H151:$AC151&lt;&gt;"N/A")*($H151:$AC151&lt;&gt;"Cell will autofill based on response"))+(($H152:$AC152&lt;&gt;"N/A")*($H152:$AC152&lt;&gt;"Cell will autofill based on response")))&gt;0))</f>
        <v/>
      </c>
      <c r="AG151" s="9">
        <f>AE151-AF151</f>
        <v/>
      </c>
      <c r="AH151" s="9">
        <f>COUNTIF($H155:$AC155,"Yes")</f>
        <v/>
      </c>
    </row>
    <row r="152" ht="39" customHeight="1">
      <c r="A152">
        <f>F152&amp;"|"&amp;G152</f>
        <v/>
      </c>
      <c r="B152" s="12" t="inlineStr"/>
      <c r="C152" s="7" t="inlineStr"/>
      <c r="D152" s="7" t="inlineStr"/>
      <c r="E152" s="7" t="inlineStr"/>
      <c r="F152" s="7" t="inlineStr">
        <is>
          <t>EI1(b)</t>
        </is>
      </c>
      <c r="G152" s="7" t="inlineStr">
        <is>
          <t>OPTION 2:  Indicator level reporting</t>
        </is>
      </c>
      <c r="H152" s="50">
        <f>IFERROR(IF(INDEX('Faculties'!$M$10:$M$18,MATCH($F152,'Faculties'!$B$10:$B$18,0))="","Cell will autofill based on response",INDEX('Faculties'!$M$10:$M$18,MATCH($F152,'Faculties'!$B$10:$B$18,0))),"N/A")</f>
        <v/>
      </c>
      <c r="I152" s="50">
        <f>IFERROR(IF(INDEX('Faculties'!$M$25:$M$34,MATCH($F152,'Faculties'!$B$25:$B$34,0))="","Cell will autofill based on response",INDEX('Faculties'!$M$25:$M$34,MATCH($F152,'Faculties'!$B$25:$B$34,0))),"N/A")</f>
        <v/>
      </c>
      <c r="J152" s="50">
        <f>IFERROR(IF(INDEX('Faculties'!$M$41:$M$50,MATCH($F152,'Faculties'!$B$41:$B$50,0))="","Cell will autofill based on response",INDEX('Faculties'!$M$41:$M$50,MATCH($F152,'Faculties'!$B$41:$B$50,0))),"N/A")</f>
        <v/>
      </c>
      <c r="K152" s="50">
        <f>IFERROR(IF(INDEX('Faculties'!$M$57:$M$66,MATCH($F152,'Faculties'!$B$57:$B$66,0))="","Cell will autofill based on response",INDEX('Faculties'!$M$57:$M$66,MATCH($F152,'Faculties'!$B$57:$B$66,0))),"N/A")</f>
        <v/>
      </c>
      <c r="L152" s="50">
        <f>IFERROR(IF(INDEX('Faculties'!$M$73:$M$82,MATCH($F152,'Faculties'!$B$73:$B$82,0))="","Cell will autofill based on response",INDEX('Faculties'!$M$73:$M$82,MATCH($F152,'Faculties'!$B$73:$B$82,0))),"N/A")</f>
        <v/>
      </c>
      <c r="M152" s="50">
        <f>IFERROR(IF(INDEX('Faculties'!$M$89:$M$98,MATCH($F152,'Faculties'!$B$89:$B$98,0))="","Cell will autofill based on response",INDEX('Faculties'!$M$89:$M$98,MATCH($F152,'Faculties'!$B$89:$B$98,0))),"N/A")</f>
        <v/>
      </c>
      <c r="N152" s="50">
        <f>IFERROR(IF(INDEX('Faculties'!$M$105:$M$114,MATCH($F152,'Faculties'!$B$105:$B$114,0))="","Cell will autofill based on response",INDEX('Faculties'!$M$105:$M$114,MATCH($F152,'Faculties'!$B$105:$B$114,0))),"N/A")</f>
        <v/>
      </c>
      <c r="O152" s="50">
        <f>IFERROR(IF(INDEX('Faculties'!$M$121:$M$130,MATCH($F152,'Faculties'!$B$121:$B$130,0))="","Cell will autofill based on response",INDEX('Faculties'!$M$121:$M$130,MATCH($F152,'Faculties'!$B$121:$B$130,0))),"N/A")</f>
        <v/>
      </c>
      <c r="P152" s="50">
        <f>IFERROR(IF(INDEX('Faculties'!$M$137:$M$146,MATCH($F152,'Faculties'!$B$137:$B$146,0))="","Cell will autofill based on response",INDEX('Faculties'!$M$137:$M$146,MATCH($F152,'Faculties'!$B$137:$B$146,0))),"N/A")</f>
        <v/>
      </c>
      <c r="Q152" s="50">
        <f>IFERROR(IF(INDEX('CI&amp;S'!$M$10:$M$15,MATCH($F152,'CI&amp;S'!$B$10:$B$15,0))="","Cell will autofill based on response",INDEX('CI&amp;S'!$M$10:$M$15,MATCH($F152,'CI&amp;S'!$B$10:$B$15,0))),"N/A")</f>
        <v/>
      </c>
      <c r="R152" s="50">
        <f>IFERROR(IF(INDEX('CI&amp;S'!$M$22:$M$36,MATCH($F152,'CI&amp;S'!$B$22:$B$36,0))="","Cell will autofill based on response",INDEX('CI&amp;S'!$M$22:$M$36,MATCH($F152,'CI&amp;S'!$B$22:$B$36,0))),"N/A")</f>
        <v/>
      </c>
      <c r="S152" s="50">
        <f>IFERROR(IF(INDEX('CFOG'!$M$10:$M$16,MATCH($F152,'CFOG'!$B$10:$B$16,0))="","Cell will autofill based on response",INDEX('CFOG'!$M$10:$M$16,MATCH($F152,'CFOG'!$B$10:$B$16,0))),"N/A")</f>
        <v/>
      </c>
      <c r="T152" s="50">
        <f>IFERROR(IF(INDEX('CFOG'!$M$23:$M$24,MATCH($F152,'CFOG'!$B$23:$B$24,0))="","Cell will autofill based on response",INDEX('CFOG'!$M$23:$M$24,MATCH($F152,'CFOG'!$B$23:$B$24,0))),"N/A")</f>
        <v/>
      </c>
      <c r="U152" s="50">
        <f>IFERROR(IF(INDEX('ESG'!$M$10:$M$17,MATCH($F152,'ESG'!$B$10:$B$17,0))="","Cell will autofill based on response",INDEX('ESG'!$M$10:$M$17,MATCH($F152,'ESG'!$B$10:$B$17,0))),"N/A")</f>
        <v/>
      </c>
      <c r="V152" s="50">
        <f>IFERROR(IF(INDEX('CIOG'!$M$10:$M$14,MATCH($F152,'CIOG'!$B$10:$B$14,0))="","Cell will autofill based on response",INDEX('CIOG'!$M$10:$M$14,MATCH($F152,'CIOG'!$B$10:$B$14,0))),"N/A")</f>
        <v/>
      </c>
      <c r="W152" s="50">
        <f>IFERROR(IF(INDEX('MRE'!$M$10:$M$18,MATCH($F152,'MRE'!$B$10:$B$18,0))="","Cell will autofill based on response",INDEX('MRE'!$M$10:$M$18,MATCH($F152,'MRE'!$B$10:$B$18,0))),"N/A")</f>
        <v/>
      </c>
      <c r="X152" s="50">
        <f>IFERROR(IF(INDEX('AC&amp;M'!$M$10:$M$14,MATCH($F152,'AC&amp;M'!$B$10:$B$14,0))="","Cell will autofill based on response",INDEX('AC&amp;M'!$M$10:$M$14,MATCH($F152,'AC&amp;M'!$B$10:$B$14,0))),"N/A")</f>
        <v/>
      </c>
      <c r="Y152" s="50">
        <f>IFERROR(IF(INDEX('GCE'!$M$10:$M$12,MATCH($F152,'GCE'!$B$10:$B$12,0))="","Cell will autofill based on response",INDEX('GCE'!$M$10:$M$12,MATCH($F152,'GCE'!$B$10:$B$12,0))),"N/A")</f>
        <v/>
      </c>
      <c r="Z152" s="50">
        <f>IFERROR(IF(INDEX('Education'!$M$10:$M$13,MATCH($F152,'Education'!$B$10:$B$13,0))="","Cell will autofill based on response",INDEX('Education'!$M$10:$M$13,MATCH($F152,'Education'!$B$10:$B$13,0))),"N/A")</f>
        <v/>
      </c>
      <c r="AA152" s="50">
        <f>IFERROR(IF(INDEX('SaSS'!$M$10:$M$12,MATCH($F152,'SaSS'!$B$10:$B$12,0))="","Cell will autofill based on response",INDEX('SaSS'!$M$10:$M$12,MATCH($F152,'SaSS'!$B$10:$B$12,0))),"N/A")</f>
        <v/>
      </c>
      <c r="AB152" s="50">
        <f>IFERROR(IF(INDEX('Indigenous'!$M$10:$M$11,MATCH($F152,'Indigenous'!$B$10:$B$11,0))="","Cell will autofill based on response",INDEX('Indigenous'!$M$10:$M$11,MATCH($F152,'Indigenous'!$B$10:$B$11,0))),"N/A")</f>
        <v/>
      </c>
      <c r="AC152" s="50">
        <f>IFERROR(IF(INDEX('L&amp;R'!$M$10:$M$11,MATCH($F152,'L&amp;R'!$B$10:$B$11,0))="","Cell will autofill based on response",INDEX('L&amp;R'!$M$10:$M$11,MATCH($F152,'L&amp;R'!$B$10:$B$11,0))),"N/A")</f>
        <v/>
      </c>
    </row>
    <row r="153" ht="22" customHeight="1">
      <c r="A153">
        <f>F153&amp;"|"&amp;G153</f>
        <v/>
      </c>
      <c r="B153" s="12" t="inlineStr"/>
      <c r="C153" s="7" t="inlineStr"/>
      <c r="D153" s="7" t="inlineStr"/>
      <c r="E153" s="7" t="inlineStr"/>
      <c r="F153" s="7" t="inlineStr">
        <is>
          <t>EI1(b)</t>
        </is>
      </c>
      <c r="G153" s="7" t="inlineStr">
        <is>
          <t>Supporting information/comments</t>
        </is>
      </c>
      <c r="H153" s="50">
        <f>IFERROR(IF(INDEX('Faculties'!$N$10:$N$18,MATCH($F153,'Faculties'!$B$10:$B$18,0))="","Cell will autofill based on response",INDEX('Faculties'!$N$10:$N$18,MATCH($F153,'Faculties'!$B$10:$B$18,0))),"N/A")</f>
        <v/>
      </c>
      <c r="I153" s="50">
        <f>IFERROR(IF(INDEX('Faculties'!$N$25:$N$34,MATCH($F153,'Faculties'!$B$25:$B$34,0))="","Cell will autofill based on response",INDEX('Faculties'!$N$25:$N$34,MATCH($F153,'Faculties'!$B$25:$B$34,0))),"N/A")</f>
        <v/>
      </c>
      <c r="J153" s="50">
        <f>IFERROR(IF(INDEX('Faculties'!$N$41:$N$50,MATCH($F153,'Faculties'!$B$41:$B$50,0))="","Cell will autofill based on response",INDEX('Faculties'!$N$41:$N$50,MATCH($F153,'Faculties'!$B$41:$B$50,0))),"N/A")</f>
        <v/>
      </c>
      <c r="K153" s="50">
        <f>IFERROR(IF(INDEX('Faculties'!$N$57:$N$66,MATCH($F153,'Faculties'!$B$57:$B$66,0))="","Cell will autofill based on response",INDEX('Faculties'!$N$57:$N$66,MATCH($F153,'Faculties'!$B$57:$B$66,0))),"N/A")</f>
        <v/>
      </c>
      <c r="L153" s="50">
        <f>IFERROR(IF(INDEX('Faculties'!$N$73:$N$82,MATCH($F153,'Faculties'!$B$73:$B$82,0))="","Cell will autofill based on response",INDEX('Faculties'!$N$73:$N$82,MATCH($F153,'Faculties'!$B$73:$B$82,0))),"N/A")</f>
        <v/>
      </c>
      <c r="M153" s="50">
        <f>IFERROR(IF(INDEX('Faculties'!$N$89:$N$98,MATCH($F153,'Faculties'!$B$89:$B$98,0))="","Cell will autofill based on response",INDEX('Faculties'!$N$89:$N$98,MATCH($F153,'Faculties'!$B$89:$B$98,0))),"N/A")</f>
        <v/>
      </c>
      <c r="N153" s="50">
        <f>IFERROR(IF(INDEX('Faculties'!$N$105:$N$114,MATCH($F153,'Faculties'!$B$105:$B$114,0))="","Cell will autofill based on response",INDEX('Faculties'!$N$105:$N$114,MATCH($F153,'Faculties'!$B$105:$B$114,0))),"N/A")</f>
        <v/>
      </c>
      <c r="O153" s="50">
        <f>IFERROR(IF(INDEX('Faculties'!$N$121:$N$130,MATCH($F153,'Faculties'!$B$121:$B$130,0))="","Cell will autofill based on response",INDEX('Faculties'!$N$121:$N$130,MATCH($F153,'Faculties'!$B$121:$B$130,0))),"N/A")</f>
        <v/>
      </c>
      <c r="P153" s="50">
        <f>IFERROR(IF(INDEX('Faculties'!$N$137:$N$146,MATCH($F153,'Faculties'!$B$137:$B$146,0))="","Cell will autofill based on response",INDEX('Faculties'!$N$137:$N$146,MATCH($F153,'Faculties'!$B$137:$B$146,0))),"N/A")</f>
        <v/>
      </c>
      <c r="Q153" s="50">
        <f>IFERROR(IF(INDEX('CI&amp;S'!$N$10:$N$15,MATCH($F153,'CI&amp;S'!$B$10:$B$15,0))="","Cell will autofill based on response",INDEX('CI&amp;S'!$N$10:$N$15,MATCH($F153,'CI&amp;S'!$B$10:$B$15,0))),"N/A")</f>
        <v/>
      </c>
      <c r="R153" s="50">
        <f>IFERROR(IF(INDEX('CI&amp;S'!$N$22:$N$36,MATCH($F153,'CI&amp;S'!$B$22:$B$36,0))="","Cell will autofill based on response",INDEX('CI&amp;S'!$N$22:$N$36,MATCH($F153,'CI&amp;S'!$B$22:$B$36,0))),"N/A")</f>
        <v/>
      </c>
      <c r="S153" s="50">
        <f>IFERROR(IF(INDEX('CFOG'!$N$10:$N$16,MATCH($F153,'CFOG'!$B$10:$B$16,0))="","Cell will autofill based on response",INDEX('CFOG'!$N$10:$N$16,MATCH($F153,'CFOG'!$B$10:$B$16,0))),"N/A")</f>
        <v/>
      </c>
      <c r="T153" s="50">
        <f>IFERROR(IF(INDEX('CFOG'!$N$23:$N$24,MATCH($F153,'CFOG'!$B$23:$B$24,0))="","Cell will autofill based on response",INDEX('CFOG'!$N$23:$N$24,MATCH($F153,'CFOG'!$B$23:$B$24,0))),"N/A")</f>
        <v/>
      </c>
      <c r="U153" s="50">
        <f>IFERROR(IF(INDEX('ESG'!$N$10:$N$17,MATCH($F153,'ESG'!$B$10:$B$17,0))="","Cell will autofill based on response",INDEX('ESG'!$N$10:$N$17,MATCH($F153,'ESG'!$B$10:$B$17,0))),"N/A")</f>
        <v/>
      </c>
      <c r="V153" s="50">
        <f>IFERROR(IF(INDEX('CIOG'!$N$10:$N$14,MATCH($F153,'CIOG'!$B$10:$B$14,0))="","Cell will autofill based on response",INDEX('CIOG'!$N$10:$N$14,MATCH($F153,'CIOG'!$B$10:$B$14,0))),"N/A")</f>
        <v/>
      </c>
      <c r="W153" s="50">
        <f>IFERROR(IF(INDEX('MRE'!$N$10:$N$18,MATCH($F153,'MRE'!$B$10:$B$18,0))="","Cell will autofill based on response",INDEX('MRE'!$N$10:$N$18,MATCH($F153,'MRE'!$B$10:$B$18,0))),"N/A")</f>
        <v/>
      </c>
      <c r="X153" s="50">
        <f>IFERROR(IF(INDEX('AC&amp;M'!$N$10:$N$14,MATCH($F153,'AC&amp;M'!$B$10:$B$14,0))="","Cell will autofill based on response",INDEX('AC&amp;M'!$N$10:$N$14,MATCH($F153,'AC&amp;M'!$B$10:$B$14,0))),"N/A")</f>
        <v/>
      </c>
      <c r="Y153" s="50">
        <f>IFERROR(IF(INDEX('GCE'!$N$10:$N$12,MATCH($F153,'GCE'!$B$10:$B$12,0))="","Cell will autofill based on response",INDEX('GCE'!$N$10:$N$12,MATCH($F153,'GCE'!$B$10:$B$12,0))),"N/A")</f>
        <v/>
      </c>
      <c r="Z153" s="50">
        <f>IFERROR(IF(INDEX('Education'!$N$10:$N$13,MATCH($F153,'Education'!$B$10:$B$13,0))="","Cell will autofill based on response",INDEX('Education'!$N$10:$N$13,MATCH($F153,'Education'!$B$10:$B$13,0))),"N/A")</f>
        <v/>
      </c>
      <c r="AA153" s="50">
        <f>IFERROR(IF(INDEX('SaSS'!$N$10:$N$12,MATCH($F153,'SaSS'!$B$10:$B$12,0))="","Cell will autofill based on response",INDEX('SaSS'!$N$10:$N$12,MATCH($F153,'SaSS'!$B$10:$B$12,0))),"N/A")</f>
        <v/>
      </c>
      <c r="AB153" s="50">
        <f>IFERROR(IF(INDEX('Indigenous'!$N$10:$N$11,MATCH($F153,'Indigenous'!$B$10:$B$11,0))="","Cell will autofill based on response",INDEX('Indigenous'!$N$10:$N$11,MATCH($F153,'Indigenous'!$B$10:$B$11,0))),"N/A")</f>
        <v/>
      </c>
      <c r="AC153" s="50">
        <f>IFERROR(IF(INDEX('L&amp;R'!$N$10:$N$11,MATCH($F153,'L&amp;R'!$B$10:$B$11,0))="","Cell will autofill based on response",INDEX('L&amp;R'!$N$10:$N$11,MATCH($F153,'L&amp;R'!$B$10:$B$11,0))),"N/A")</f>
        <v/>
      </c>
    </row>
    <row r="154" ht="22" customHeight="1">
      <c r="A154">
        <f>F154&amp;"|"&amp;G154</f>
        <v/>
      </c>
      <c r="B154" s="12" t="inlineStr"/>
      <c r="C154" s="7" t="inlineStr"/>
      <c r="D154" s="7" t="inlineStr"/>
      <c r="E154" s="7" t="inlineStr"/>
      <c r="F154" s="7" t="inlineStr">
        <is>
          <t>EI1(b)</t>
        </is>
      </c>
      <c r="G154" s="7" t="inlineStr">
        <is>
          <t>Data source and limitations</t>
        </is>
      </c>
      <c r="H154" s="50">
        <f>IFERROR(IF(INDEX('Faculties'!$O$10:$O$18,MATCH($F154,'Faculties'!$B$10:$B$18,0))="","Cell will autofill based on response",INDEX('Faculties'!$O$10:$O$18,MATCH($F154,'Faculties'!$B$10:$B$18,0))),"N/A")</f>
        <v/>
      </c>
      <c r="I154" s="50">
        <f>IFERROR(IF(INDEX('Faculties'!$O$25:$O$34,MATCH($F154,'Faculties'!$B$25:$B$34,0))="","Cell will autofill based on response",INDEX('Faculties'!$O$25:$O$34,MATCH($F154,'Faculties'!$B$25:$B$34,0))),"N/A")</f>
        <v/>
      </c>
      <c r="J154" s="50">
        <f>IFERROR(IF(INDEX('Faculties'!$O$41:$O$50,MATCH($F154,'Faculties'!$B$41:$B$50,0))="","Cell will autofill based on response",INDEX('Faculties'!$O$41:$O$50,MATCH($F154,'Faculties'!$B$41:$B$50,0))),"N/A")</f>
        <v/>
      </c>
      <c r="K154" s="50">
        <f>IFERROR(IF(INDEX('Faculties'!$O$57:$O$66,MATCH($F154,'Faculties'!$B$57:$B$66,0))="","Cell will autofill based on response",INDEX('Faculties'!$O$57:$O$66,MATCH($F154,'Faculties'!$B$57:$B$66,0))),"N/A")</f>
        <v/>
      </c>
      <c r="L154" s="50">
        <f>IFERROR(IF(INDEX('Faculties'!$O$73:$O$82,MATCH($F154,'Faculties'!$B$73:$B$82,0))="","Cell will autofill based on response",INDEX('Faculties'!$O$73:$O$82,MATCH($F154,'Faculties'!$B$73:$B$82,0))),"N/A")</f>
        <v/>
      </c>
      <c r="M154" s="50">
        <f>IFERROR(IF(INDEX('Faculties'!$O$89:$O$98,MATCH($F154,'Faculties'!$B$89:$B$98,0))="","Cell will autofill based on response",INDEX('Faculties'!$O$89:$O$98,MATCH($F154,'Faculties'!$B$89:$B$98,0))),"N/A")</f>
        <v/>
      </c>
      <c r="N154" s="50">
        <f>IFERROR(IF(INDEX('Faculties'!$O$105:$O$114,MATCH($F154,'Faculties'!$B$105:$B$114,0))="","Cell will autofill based on response",INDEX('Faculties'!$O$105:$O$114,MATCH($F154,'Faculties'!$B$105:$B$114,0))),"N/A")</f>
        <v/>
      </c>
      <c r="O154" s="50">
        <f>IFERROR(IF(INDEX('Faculties'!$O$121:$O$130,MATCH($F154,'Faculties'!$B$121:$B$130,0))="","Cell will autofill based on response",INDEX('Faculties'!$O$121:$O$130,MATCH($F154,'Faculties'!$B$121:$B$130,0))),"N/A")</f>
        <v/>
      </c>
      <c r="P154" s="50">
        <f>IFERROR(IF(INDEX('Faculties'!$O$137:$O$146,MATCH($F154,'Faculties'!$B$137:$B$146,0))="","Cell will autofill based on response",INDEX('Faculties'!$O$137:$O$146,MATCH($F154,'Faculties'!$B$137:$B$146,0))),"N/A")</f>
        <v/>
      </c>
      <c r="Q154" s="50">
        <f>IFERROR(IF(INDEX('CI&amp;S'!$O$10:$O$15,MATCH($F154,'CI&amp;S'!$B$10:$B$15,0))="","Cell will autofill based on response",INDEX('CI&amp;S'!$O$10:$O$15,MATCH($F154,'CI&amp;S'!$B$10:$B$15,0))),"N/A")</f>
        <v/>
      </c>
      <c r="R154" s="50">
        <f>IFERROR(IF(INDEX('CI&amp;S'!$O$22:$O$36,MATCH($F154,'CI&amp;S'!$B$22:$B$36,0))="","Cell will autofill based on response",INDEX('CI&amp;S'!$O$22:$O$36,MATCH($F154,'CI&amp;S'!$B$22:$B$36,0))),"N/A")</f>
        <v/>
      </c>
      <c r="S154" s="50">
        <f>IFERROR(IF(INDEX('CFOG'!$O$10:$O$16,MATCH($F154,'CFOG'!$B$10:$B$16,0))="","Cell will autofill based on response",INDEX('CFOG'!$O$10:$O$16,MATCH($F154,'CFOG'!$B$10:$B$16,0))),"N/A")</f>
        <v/>
      </c>
      <c r="T154" s="50">
        <f>IFERROR(IF(INDEX('CFOG'!$O$23:$O$24,MATCH($F154,'CFOG'!$B$23:$B$24,0))="","Cell will autofill based on response",INDEX('CFOG'!$O$23:$O$24,MATCH($F154,'CFOG'!$B$23:$B$24,0))),"N/A")</f>
        <v/>
      </c>
      <c r="U154" s="50">
        <f>IFERROR(IF(INDEX('ESG'!$O$10:$O$17,MATCH($F154,'ESG'!$B$10:$B$17,0))="","Cell will autofill based on response",INDEX('ESG'!$O$10:$O$17,MATCH($F154,'ESG'!$B$10:$B$17,0))),"N/A")</f>
        <v/>
      </c>
      <c r="V154" s="50">
        <f>IFERROR(IF(INDEX('CIOG'!$O$10:$O$14,MATCH($F154,'CIOG'!$B$10:$B$14,0))="","Cell will autofill based on response",INDEX('CIOG'!$O$10:$O$14,MATCH($F154,'CIOG'!$B$10:$B$14,0))),"N/A")</f>
        <v/>
      </c>
      <c r="W154" s="50">
        <f>IFERROR(IF(INDEX('MRE'!$O$10:$O$18,MATCH($F154,'MRE'!$B$10:$B$18,0))="","Cell will autofill based on response",INDEX('MRE'!$O$10:$O$18,MATCH($F154,'MRE'!$B$10:$B$18,0))),"N/A")</f>
        <v/>
      </c>
      <c r="X154" s="50">
        <f>IFERROR(IF(INDEX('AC&amp;M'!$O$10:$O$14,MATCH($F154,'AC&amp;M'!$B$10:$B$14,0))="","Cell will autofill based on response",INDEX('AC&amp;M'!$O$10:$O$14,MATCH($F154,'AC&amp;M'!$B$10:$B$14,0))),"N/A")</f>
        <v/>
      </c>
      <c r="Y154" s="50">
        <f>IFERROR(IF(INDEX('GCE'!$O$10:$O$12,MATCH($F154,'GCE'!$B$10:$B$12,0))="","Cell will autofill based on response",INDEX('GCE'!$O$10:$O$12,MATCH($F154,'GCE'!$B$10:$B$12,0))),"N/A")</f>
        <v/>
      </c>
      <c r="Z154" s="50">
        <f>IFERROR(IF(INDEX('Education'!$O$10:$O$13,MATCH($F154,'Education'!$B$10:$B$13,0))="","Cell will autofill based on response",INDEX('Education'!$O$10:$O$13,MATCH($F154,'Education'!$B$10:$B$13,0))),"N/A")</f>
        <v/>
      </c>
      <c r="AA154" s="50">
        <f>IFERROR(IF(INDEX('SaSS'!$O$10:$O$12,MATCH($F154,'SaSS'!$B$10:$B$12,0))="","Cell will autofill based on response",INDEX('SaSS'!$O$10:$O$12,MATCH($F154,'SaSS'!$B$10:$B$12,0))),"N/A")</f>
        <v/>
      </c>
      <c r="AB154" s="50">
        <f>IFERROR(IF(INDEX('Indigenous'!$O$10:$O$11,MATCH($F154,'Indigenous'!$B$10:$B$11,0))="","Cell will autofill based on response",INDEX('Indigenous'!$O$10:$O$11,MATCH($F154,'Indigenous'!$B$10:$B$11,0))),"N/A")</f>
        <v/>
      </c>
      <c r="AC154" s="50">
        <f>IFERROR(IF(INDEX('L&amp;R'!$O$10:$O$11,MATCH($F154,'L&amp;R'!$B$10:$B$11,0))="","Cell will autofill based on response",INDEX('L&amp;R'!$O$10:$O$11,MATCH($F154,'L&amp;R'!$B$10:$B$11,0))),"N/A")</f>
        <v/>
      </c>
    </row>
    <row r="155" ht="22" customHeight="1">
      <c r="A155">
        <f>F155&amp;"|"&amp;G155</f>
        <v/>
      </c>
      <c r="B155" s="12" t="inlineStr"/>
      <c r="C155" s="7" t="inlineStr"/>
      <c r="D155" s="7" t="inlineStr"/>
      <c r="E155" s="7" t="inlineStr"/>
      <c r="F155" s="7" t="inlineStr">
        <is>
          <t>EI1(b)</t>
        </is>
      </c>
      <c r="G155" s="7" t="inlineStr">
        <is>
          <t>Data owner confirms</t>
        </is>
      </c>
      <c r="H155" s="50">
        <f>IFERROR(IF(INDEX('Faculties'!$P$10:$P$18,MATCH($F155,'Faculties'!$B$10:$B$18,0))="","Cell will autofill based on response",INDEX('Faculties'!$P$10:$P$18,MATCH($F155,'Faculties'!$B$10:$B$18,0))),"N/A")</f>
        <v/>
      </c>
      <c r="I155" s="50">
        <f>IFERROR(IF(INDEX('Faculties'!$P$25:$P$34,MATCH($F155,'Faculties'!$B$25:$B$34,0))="","Cell will autofill based on response",INDEX('Faculties'!$P$25:$P$34,MATCH($F155,'Faculties'!$B$25:$B$34,0))),"N/A")</f>
        <v/>
      </c>
      <c r="J155" s="50">
        <f>IFERROR(IF(INDEX('Faculties'!$P$41:$P$50,MATCH($F155,'Faculties'!$B$41:$B$50,0))="","Cell will autofill based on response",INDEX('Faculties'!$P$41:$P$50,MATCH($F155,'Faculties'!$B$41:$B$50,0))),"N/A")</f>
        <v/>
      </c>
      <c r="K155" s="50">
        <f>IFERROR(IF(INDEX('Faculties'!$P$57:$P$66,MATCH($F155,'Faculties'!$B$57:$B$66,0))="","Cell will autofill based on response",INDEX('Faculties'!$P$57:$P$66,MATCH($F155,'Faculties'!$B$57:$B$66,0))),"N/A")</f>
        <v/>
      </c>
      <c r="L155" s="50">
        <f>IFERROR(IF(INDEX('Faculties'!$P$73:$P$82,MATCH($F155,'Faculties'!$B$73:$B$82,0))="","Cell will autofill based on response",INDEX('Faculties'!$P$73:$P$82,MATCH($F155,'Faculties'!$B$73:$B$82,0))),"N/A")</f>
        <v/>
      </c>
      <c r="M155" s="50">
        <f>IFERROR(IF(INDEX('Faculties'!$P$89:$P$98,MATCH($F155,'Faculties'!$B$89:$B$98,0))="","Cell will autofill based on response",INDEX('Faculties'!$P$89:$P$98,MATCH($F155,'Faculties'!$B$89:$B$98,0))),"N/A")</f>
        <v/>
      </c>
      <c r="N155" s="50">
        <f>IFERROR(IF(INDEX('Faculties'!$P$105:$P$114,MATCH($F155,'Faculties'!$B$105:$B$114,0))="","Cell will autofill based on response",INDEX('Faculties'!$P$105:$P$114,MATCH($F155,'Faculties'!$B$105:$B$114,0))),"N/A")</f>
        <v/>
      </c>
      <c r="O155" s="50">
        <f>IFERROR(IF(INDEX('Faculties'!$P$121:$P$130,MATCH($F155,'Faculties'!$B$121:$B$130,0))="","Cell will autofill based on response",INDEX('Faculties'!$P$121:$P$130,MATCH($F155,'Faculties'!$B$121:$B$130,0))),"N/A")</f>
        <v/>
      </c>
      <c r="P155" s="50">
        <f>IFERROR(IF(INDEX('Faculties'!$P$137:$P$146,MATCH($F155,'Faculties'!$B$137:$B$146,0))="","Cell will autofill based on response",INDEX('Faculties'!$P$137:$P$146,MATCH($F155,'Faculties'!$B$137:$B$146,0))),"N/A")</f>
        <v/>
      </c>
      <c r="Q155" s="50">
        <f>IFERROR(IF(INDEX('CI&amp;S'!$P$10:$P$15,MATCH($F155,'CI&amp;S'!$B$10:$B$15,0))="","Cell will autofill based on response",INDEX('CI&amp;S'!$P$10:$P$15,MATCH($F155,'CI&amp;S'!$B$10:$B$15,0))),"N/A")</f>
        <v/>
      </c>
      <c r="R155" s="50">
        <f>IFERROR(IF(INDEX('CI&amp;S'!$P$22:$P$36,MATCH($F155,'CI&amp;S'!$B$22:$B$36,0))="","Cell will autofill based on response",INDEX('CI&amp;S'!$P$22:$P$36,MATCH($F155,'CI&amp;S'!$B$22:$B$36,0))),"N/A")</f>
        <v/>
      </c>
      <c r="S155" s="50">
        <f>IFERROR(IF(INDEX('CFOG'!$P$10:$P$16,MATCH($F155,'CFOG'!$B$10:$B$16,0))="","Cell will autofill based on response",INDEX('CFOG'!$P$10:$P$16,MATCH($F155,'CFOG'!$B$10:$B$16,0))),"N/A")</f>
        <v/>
      </c>
      <c r="T155" s="50">
        <f>IFERROR(IF(INDEX('CFOG'!$P$23:$P$24,MATCH($F155,'CFOG'!$B$23:$B$24,0))="","Cell will autofill based on response",INDEX('CFOG'!$P$23:$P$24,MATCH($F155,'CFOG'!$B$23:$B$24,0))),"N/A")</f>
        <v/>
      </c>
      <c r="U155" s="50">
        <f>IFERROR(IF(INDEX('ESG'!$P$10:$P$17,MATCH($F155,'ESG'!$B$10:$B$17,0))="","Cell will autofill based on response",INDEX('ESG'!$P$10:$P$17,MATCH($F155,'ESG'!$B$10:$B$17,0))),"N/A")</f>
        <v/>
      </c>
      <c r="V155" s="50">
        <f>IFERROR(IF(INDEX('CIOG'!$P$10:$P$14,MATCH($F155,'CIOG'!$B$10:$B$14,0))="","Cell will autofill based on response",INDEX('CIOG'!$P$10:$P$14,MATCH($F155,'CIOG'!$B$10:$B$14,0))),"N/A")</f>
        <v/>
      </c>
      <c r="W155" s="50">
        <f>IFERROR(IF(INDEX('MRE'!$P$10:$P$18,MATCH($F155,'MRE'!$B$10:$B$18,0))="","Cell will autofill based on response",INDEX('MRE'!$P$10:$P$18,MATCH($F155,'MRE'!$B$10:$B$18,0))),"N/A")</f>
        <v/>
      </c>
      <c r="X155" s="50">
        <f>IFERROR(IF(INDEX('AC&amp;M'!$P$10:$P$14,MATCH($F155,'AC&amp;M'!$B$10:$B$14,0))="","Cell will autofill based on response",INDEX('AC&amp;M'!$P$10:$P$14,MATCH($F155,'AC&amp;M'!$B$10:$B$14,0))),"N/A")</f>
        <v/>
      </c>
      <c r="Y155" s="50">
        <f>IFERROR(IF(INDEX('GCE'!$P$10:$P$12,MATCH($F155,'GCE'!$B$10:$B$12,0))="","Cell will autofill based on response",INDEX('GCE'!$P$10:$P$12,MATCH($F155,'GCE'!$B$10:$B$12,0))),"N/A")</f>
        <v/>
      </c>
      <c r="Z155" s="50">
        <f>IFERROR(IF(INDEX('Education'!$P$10:$P$13,MATCH($F155,'Education'!$B$10:$B$13,0))="","Cell will autofill based on response",INDEX('Education'!$P$10:$P$13,MATCH($F155,'Education'!$B$10:$B$13,0))),"N/A")</f>
        <v/>
      </c>
      <c r="AA155" s="50">
        <f>IFERROR(IF(INDEX('SaSS'!$P$10:$P$12,MATCH($F155,'SaSS'!$B$10:$B$12,0))="","Cell will autofill based on response",INDEX('SaSS'!$P$10:$P$12,MATCH($F155,'SaSS'!$B$10:$B$12,0))),"N/A")</f>
        <v/>
      </c>
      <c r="AB155" s="50">
        <f>IFERROR(IF(INDEX('Indigenous'!$P$10:$P$11,MATCH($F155,'Indigenous'!$B$10:$B$11,0))="","Cell will autofill based on response",INDEX('Indigenous'!$P$10:$P$11,MATCH($F155,'Indigenous'!$B$10:$B$11,0))),"N/A")</f>
        <v/>
      </c>
      <c r="AC155" s="50">
        <f>IFERROR(IF(INDEX('L&amp;R'!$P$10:$P$11,MATCH($F155,'L&amp;R'!$B$10:$B$11,0))="","Cell will autofill based on response",INDEX('L&amp;R'!$P$10:$P$11,MATCH($F155,'L&amp;R'!$B$10:$B$11,0))),"N/A")</f>
        <v/>
      </c>
    </row>
    <row r="156" ht="138" customHeight="1">
      <c r="A156">
        <f>F156&amp;"|"&amp;G156</f>
        <v/>
      </c>
      <c r="B156" s="6" t="inlineStr">
        <is>
          <t>EI1(c)</t>
        </is>
      </c>
      <c r="C156" s="48" t="inlineStr">
        <is>
          <t>Estate and infrastructure</t>
        </is>
      </c>
      <c r="D156" s="48" t="inlineStr">
        <is>
          <t>Reporting on relevant activities and impacts for the University’s major estate and infrastructure projects and programs aligned with the other priority areas in Sustainability 2030</t>
        </is>
      </c>
      <c r="E156" s="48"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F156" s="48" t="inlineStr">
        <is>
          <t>EI1(c)</t>
        </is>
      </c>
      <c r="G156" s="48" t="inlineStr">
        <is>
          <t>OPTION 1:  Target-level reporting</t>
        </is>
      </c>
      <c r="H156" s="50">
        <f>IFERROR(IF(INDEX('Faculties'!$L$10:$L$18,MATCH($F156,'Faculties'!$B$10:$B$18,0))="","Cell will autofill based on response",INDEX('Faculties'!$L$10:$L$18,MATCH($F156,'Faculties'!$B$10:$B$18,0))),"N/A")</f>
        <v/>
      </c>
      <c r="I156" s="50">
        <f>IFERROR(IF(INDEX('Faculties'!$L$25:$L$34,MATCH($F156,'Faculties'!$B$25:$B$34,0))="","Cell will autofill based on response",INDEX('Faculties'!$L$25:$L$34,MATCH($F156,'Faculties'!$B$25:$B$34,0))),"N/A")</f>
        <v/>
      </c>
      <c r="J156" s="50">
        <f>IFERROR(IF(INDEX('Faculties'!$L$41:$L$50,MATCH($F156,'Faculties'!$B$41:$B$50,0))="","Cell will autofill based on response",INDEX('Faculties'!$L$41:$L$50,MATCH($F156,'Faculties'!$B$41:$B$50,0))),"N/A")</f>
        <v/>
      </c>
      <c r="K156" s="50">
        <f>IFERROR(IF(INDEX('Faculties'!$L$57:$L$66,MATCH($F156,'Faculties'!$B$57:$B$66,0))="","Cell will autofill based on response",INDEX('Faculties'!$L$57:$L$66,MATCH($F156,'Faculties'!$B$57:$B$66,0))),"N/A")</f>
        <v/>
      </c>
      <c r="L156" s="50">
        <f>IFERROR(IF(INDEX('Faculties'!$L$73:$L$82,MATCH($F156,'Faculties'!$B$73:$B$82,0))="","Cell will autofill based on response",INDEX('Faculties'!$L$73:$L$82,MATCH($F156,'Faculties'!$B$73:$B$82,0))),"N/A")</f>
        <v/>
      </c>
      <c r="M156" s="50">
        <f>IFERROR(IF(INDEX('Faculties'!$L$89:$L$98,MATCH($F156,'Faculties'!$B$89:$B$98,0))="","Cell will autofill based on response",INDEX('Faculties'!$L$89:$L$98,MATCH($F156,'Faculties'!$B$89:$B$98,0))),"N/A")</f>
        <v/>
      </c>
      <c r="N156" s="50">
        <f>IFERROR(IF(INDEX('Faculties'!$L$105:$L$114,MATCH($F156,'Faculties'!$B$105:$B$114,0))="","Cell will autofill based on response",INDEX('Faculties'!$L$105:$L$114,MATCH($F156,'Faculties'!$B$105:$B$114,0))),"N/A")</f>
        <v/>
      </c>
      <c r="O156" s="50">
        <f>IFERROR(IF(INDEX('Faculties'!$L$121:$L$130,MATCH($F156,'Faculties'!$B$121:$B$130,0))="","Cell will autofill based on response",INDEX('Faculties'!$L$121:$L$130,MATCH($F156,'Faculties'!$B$121:$B$130,0))),"N/A")</f>
        <v/>
      </c>
      <c r="P156" s="50">
        <f>IFERROR(IF(INDEX('Faculties'!$L$137:$L$146,MATCH($F156,'Faculties'!$B$137:$B$146,0))="","Cell will autofill based on response",INDEX('Faculties'!$L$137:$L$146,MATCH($F156,'Faculties'!$B$137:$B$146,0))),"N/A")</f>
        <v/>
      </c>
      <c r="Q156" s="50">
        <f>IFERROR(IF(INDEX('CI&amp;S'!$L$10:$L$15,MATCH($F156,'CI&amp;S'!$B$10:$B$15,0))="","Cell will autofill based on response",INDEX('CI&amp;S'!$L$10:$L$15,MATCH($F156,'CI&amp;S'!$B$10:$B$15,0))),"N/A")</f>
        <v/>
      </c>
      <c r="R156" s="50">
        <f>IFERROR(IF(INDEX('CI&amp;S'!$L$22:$L$36,MATCH($F156,'CI&amp;S'!$B$22:$B$36,0))="","Cell will autofill based on response",INDEX('CI&amp;S'!$L$22:$L$36,MATCH($F156,'CI&amp;S'!$B$22:$B$36,0))),"N/A")</f>
        <v/>
      </c>
      <c r="S156" s="50">
        <f>IFERROR(IF(INDEX('CFOG'!$L$10:$L$16,MATCH($F156,'CFOG'!$B$10:$B$16,0))="","Cell will autofill based on response",INDEX('CFOG'!$L$10:$L$16,MATCH($F156,'CFOG'!$B$10:$B$16,0))),"N/A")</f>
        <v/>
      </c>
      <c r="T156" s="50">
        <f>IFERROR(IF(INDEX('CFOG'!$L$23:$L$24,MATCH($F156,'CFOG'!$B$23:$B$24,0))="","Cell will autofill based on response",INDEX('CFOG'!$L$23:$L$24,MATCH($F156,'CFOG'!$B$23:$B$24,0))),"N/A")</f>
        <v/>
      </c>
      <c r="U156" s="50">
        <f>IFERROR(IF(INDEX('ESG'!$L$10:$L$17,MATCH($F156,'ESG'!$B$10:$B$17,0))="","Cell will autofill based on response",INDEX('ESG'!$L$10:$L$17,MATCH($F156,'ESG'!$B$10:$B$17,0))),"N/A")</f>
        <v/>
      </c>
      <c r="V156" s="50">
        <f>IFERROR(IF(INDEX('CIOG'!$L$10:$L$14,MATCH($F156,'CIOG'!$B$10:$B$14,0))="","Cell will autofill based on response",INDEX('CIOG'!$L$10:$L$14,MATCH($F156,'CIOG'!$B$10:$B$14,0))),"N/A")</f>
        <v/>
      </c>
      <c r="W156" s="50">
        <f>IFERROR(IF(INDEX('MRE'!$L$10:$L$18,MATCH($F156,'MRE'!$B$10:$B$18,0))="","Cell will autofill based on response",INDEX('MRE'!$L$10:$L$18,MATCH($F156,'MRE'!$B$10:$B$18,0))),"N/A")</f>
        <v/>
      </c>
      <c r="X156" s="50">
        <f>IFERROR(IF(INDEX('AC&amp;M'!$L$10:$L$14,MATCH($F156,'AC&amp;M'!$B$10:$B$14,0))="","Cell will autofill based on response",INDEX('AC&amp;M'!$L$10:$L$14,MATCH($F156,'AC&amp;M'!$B$10:$B$14,0))),"N/A")</f>
        <v/>
      </c>
      <c r="Y156" s="50">
        <f>IFERROR(IF(INDEX('GCE'!$L$10:$L$12,MATCH($F156,'GCE'!$B$10:$B$12,0))="","Cell will autofill based on response",INDEX('GCE'!$L$10:$L$12,MATCH($F156,'GCE'!$B$10:$B$12,0))),"N/A")</f>
        <v/>
      </c>
      <c r="Z156" s="50">
        <f>IFERROR(IF(INDEX('Education'!$L$10:$L$13,MATCH($F156,'Education'!$B$10:$B$13,0))="","Cell will autofill based on response",INDEX('Education'!$L$10:$L$13,MATCH($F156,'Education'!$B$10:$B$13,0))),"N/A")</f>
        <v/>
      </c>
      <c r="AA156" s="50">
        <f>IFERROR(IF(INDEX('SaSS'!$L$10:$L$12,MATCH($F156,'SaSS'!$B$10:$B$12,0))="","Cell will autofill based on response",INDEX('SaSS'!$L$10:$L$12,MATCH($F156,'SaSS'!$B$10:$B$12,0))),"N/A")</f>
        <v/>
      </c>
      <c r="AB156" s="50">
        <f>IFERROR(IF(INDEX('Indigenous'!$L$10:$L$11,MATCH($F156,'Indigenous'!$B$10:$B$11,0))="","Cell will autofill based on response",INDEX('Indigenous'!$L$10:$L$11,MATCH($F156,'Indigenous'!$B$10:$B$11,0))),"N/A")</f>
        <v/>
      </c>
      <c r="AC156" s="50">
        <f>IFERROR(IF(INDEX('L&amp;R'!$L$10:$L$11,MATCH($F156,'L&amp;R'!$B$10:$B$11,0))="","Cell will autofill based on response",INDEX('L&amp;R'!$L$10:$L$11,MATCH($F156,'L&amp;R'!$B$10:$B$11,0))),"N/A")</f>
        <v/>
      </c>
      <c r="AE156" s="9">
        <f>SUMPRODUCT(--($H156:$AC156&lt;&gt;"N/A"))</f>
        <v/>
      </c>
      <c r="AF156" s="9">
        <f>SUMPRODUCT(--(((($H156:$AC156&lt;&gt;"N/A")*($H156:$AC156&lt;&gt;"Cell will autofill based on response"))+(($H157:$AC157&lt;&gt;"N/A")*($H157:$AC157&lt;&gt;"Cell will autofill based on response")))&gt;0))</f>
        <v/>
      </c>
      <c r="AG156" s="9">
        <f>AE156-AF156</f>
        <v/>
      </c>
      <c r="AH156" s="9">
        <f>COUNTIF($H160:$AC160,"Yes")</f>
        <v/>
      </c>
    </row>
    <row r="157" ht="39" customHeight="1">
      <c r="A157">
        <f>F157&amp;"|"&amp;G157</f>
        <v/>
      </c>
      <c r="B157" s="12" t="inlineStr"/>
      <c r="C157" s="7" t="inlineStr"/>
      <c r="D157" s="7" t="inlineStr"/>
      <c r="E157" s="7" t="inlineStr"/>
      <c r="F157" s="7" t="inlineStr">
        <is>
          <t>EI1(c)</t>
        </is>
      </c>
      <c r="G157" s="7" t="inlineStr">
        <is>
          <t>OPTION 2:  Indicator level reporting</t>
        </is>
      </c>
      <c r="H157" s="50">
        <f>IFERROR(IF(INDEX('Faculties'!$M$10:$M$18,MATCH($F157,'Faculties'!$B$10:$B$18,0))="","Cell will autofill based on response",INDEX('Faculties'!$M$10:$M$18,MATCH($F157,'Faculties'!$B$10:$B$18,0))),"N/A")</f>
        <v/>
      </c>
      <c r="I157" s="50">
        <f>IFERROR(IF(INDEX('Faculties'!$M$25:$M$34,MATCH($F157,'Faculties'!$B$25:$B$34,0))="","Cell will autofill based on response",INDEX('Faculties'!$M$25:$M$34,MATCH($F157,'Faculties'!$B$25:$B$34,0))),"N/A")</f>
        <v/>
      </c>
      <c r="J157" s="50">
        <f>IFERROR(IF(INDEX('Faculties'!$M$41:$M$50,MATCH($F157,'Faculties'!$B$41:$B$50,0))="","Cell will autofill based on response",INDEX('Faculties'!$M$41:$M$50,MATCH($F157,'Faculties'!$B$41:$B$50,0))),"N/A")</f>
        <v/>
      </c>
      <c r="K157" s="50">
        <f>IFERROR(IF(INDEX('Faculties'!$M$57:$M$66,MATCH($F157,'Faculties'!$B$57:$B$66,0))="","Cell will autofill based on response",INDEX('Faculties'!$M$57:$M$66,MATCH($F157,'Faculties'!$B$57:$B$66,0))),"N/A")</f>
        <v/>
      </c>
      <c r="L157" s="50">
        <f>IFERROR(IF(INDEX('Faculties'!$M$73:$M$82,MATCH($F157,'Faculties'!$B$73:$B$82,0))="","Cell will autofill based on response",INDEX('Faculties'!$M$73:$M$82,MATCH($F157,'Faculties'!$B$73:$B$82,0))),"N/A")</f>
        <v/>
      </c>
      <c r="M157" s="50">
        <f>IFERROR(IF(INDEX('Faculties'!$M$89:$M$98,MATCH($F157,'Faculties'!$B$89:$B$98,0))="","Cell will autofill based on response",INDEX('Faculties'!$M$89:$M$98,MATCH($F157,'Faculties'!$B$89:$B$98,0))),"N/A")</f>
        <v/>
      </c>
      <c r="N157" s="50">
        <f>IFERROR(IF(INDEX('Faculties'!$M$105:$M$114,MATCH($F157,'Faculties'!$B$105:$B$114,0))="","Cell will autofill based on response",INDEX('Faculties'!$M$105:$M$114,MATCH($F157,'Faculties'!$B$105:$B$114,0))),"N/A")</f>
        <v/>
      </c>
      <c r="O157" s="50">
        <f>IFERROR(IF(INDEX('Faculties'!$M$121:$M$130,MATCH($F157,'Faculties'!$B$121:$B$130,0))="","Cell will autofill based on response",INDEX('Faculties'!$M$121:$M$130,MATCH($F157,'Faculties'!$B$121:$B$130,0))),"N/A")</f>
        <v/>
      </c>
      <c r="P157" s="50">
        <f>IFERROR(IF(INDEX('Faculties'!$M$137:$M$146,MATCH($F157,'Faculties'!$B$137:$B$146,0))="","Cell will autofill based on response",INDEX('Faculties'!$M$137:$M$146,MATCH($F157,'Faculties'!$B$137:$B$146,0))),"N/A")</f>
        <v/>
      </c>
      <c r="Q157" s="50">
        <f>IFERROR(IF(INDEX('CI&amp;S'!$M$10:$M$15,MATCH($F157,'CI&amp;S'!$B$10:$B$15,0))="","Cell will autofill based on response",INDEX('CI&amp;S'!$M$10:$M$15,MATCH($F157,'CI&amp;S'!$B$10:$B$15,0))),"N/A")</f>
        <v/>
      </c>
      <c r="R157" s="50">
        <f>IFERROR(IF(INDEX('CI&amp;S'!$M$22:$M$36,MATCH($F157,'CI&amp;S'!$B$22:$B$36,0))="","Cell will autofill based on response",INDEX('CI&amp;S'!$M$22:$M$36,MATCH($F157,'CI&amp;S'!$B$22:$B$36,0))),"N/A")</f>
        <v/>
      </c>
      <c r="S157" s="50">
        <f>IFERROR(IF(INDEX('CFOG'!$M$10:$M$16,MATCH($F157,'CFOG'!$B$10:$B$16,0))="","Cell will autofill based on response",INDEX('CFOG'!$M$10:$M$16,MATCH($F157,'CFOG'!$B$10:$B$16,0))),"N/A")</f>
        <v/>
      </c>
      <c r="T157" s="50">
        <f>IFERROR(IF(INDEX('CFOG'!$M$23:$M$24,MATCH($F157,'CFOG'!$B$23:$B$24,0))="","Cell will autofill based on response",INDEX('CFOG'!$M$23:$M$24,MATCH($F157,'CFOG'!$B$23:$B$24,0))),"N/A")</f>
        <v/>
      </c>
      <c r="U157" s="50">
        <f>IFERROR(IF(INDEX('ESG'!$M$10:$M$17,MATCH($F157,'ESG'!$B$10:$B$17,0))="","Cell will autofill based on response",INDEX('ESG'!$M$10:$M$17,MATCH($F157,'ESG'!$B$10:$B$17,0))),"N/A")</f>
        <v/>
      </c>
      <c r="V157" s="50">
        <f>IFERROR(IF(INDEX('CIOG'!$M$10:$M$14,MATCH($F157,'CIOG'!$B$10:$B$14,0))="","Cell will autofill based on response",INDEX('CIOG'!$M$10:$M$14,MATCH($F157,'CIOG'!$B$10:$B$14,0))),"N/A")</f>
        <v/>
      </c>
      <c r="W157" s="50">
        <f>IFERROR(IF(INDEX('MRE'!$M$10:$M$18,MATCH($F157,'MRE'!$B$10:$B$18,0))="","Cell will autofill based on response",INDEX('MRE'!$M$10:$M$18,MATCH($F157,'MRE'!$B$10:$B$18,0))),"N/A")</f>
        <v/>
      </c>
      <c r="X157" s="50">
        <f>IFERROR(IF(INDEX('AC&amp;M'!$M$10:$M$14,MATCH($F157,'AC&amp;M'!$B$10:$B$14,0))="","Cell will autofill based on response",INDEX('AC&amp;M'!$M$10:$M$14,MATCH($F157,'AC&amp;M'!$B$10:$B$14,0))),"N/A")</f>
        <v/>
      </c>
      <c r="Y157" s="50">
        <f>IFERROR(IF(INDEX('GCE'!$M$10:$M$12,MATCH($F157,'GCE'!$B$10:$B$12,0))="","Cell will autofill based on response",INDEX('GCE'!$M$10:$M$12,MATCH($F157,'GCE'!$B$10:$B$12,0))),"N/A")</f>
        <v/>
      </c>
      <c r="Z157" s="50">
        <f>IFERROR(IF(INDEX('Education'!$M$10:$M$13,MATCH($F157,'Education'!$B$10:$B$13,0))="","Cell will autofill based on response",INDEX('Education'!$M$10:$M$13,MATCH($F157,'Education'!$B$10:$B$13,0))),"N/A")</f>
        <v/>
      </c>
      <c r="AA157" s="50">
        <f>IFERROR(IF(INDEX('SaSS'!$M$10:$M$12,MATCH($F157,'SaSS'!$B$10:$B$12,0))="","Cell will autofill based on response",INDEX('SaSS'!$M$10:$M$12,MATCH($F157,'SaSS'!$B$10:$B$12,0))),"N/A")</f>
        <v/>
      </c>
      <c r="AB157" s="50">
        <f>IFERROR(IF(INDEX('Indigenous'!$M$10:$M$11,MATCH($F157,'Indigenous'!$B$10:$B$11,0))="","Cell will autofill based on response",INDEX('Indigenous'!$M$10:$M$11,MATCH($F157,'Indigenous'!$B$10:$B$11,0))),"N/A")</f>
        <v/>
      </c>
      <c r="AC157" s="50">
        <f>IFERROR(IF(INDEX('L&amp;R'!$M$10:$M$11,MATCH($F157,'L&amp;R'!$B$10:$B$11,0))="","Cell will autofill based on response",INDEX('L&amp;R'!$M$10:$M$11,MATCH($F157,'L&amp;R'!$B$10:$B$11,0))),"N/A")</f>
        <v/>
      </c>
    </row>
    <row r="158" ht="22" customHeight="1">
      <c r="A158">
        <f>F158&amp;"|"&amp;G158</f>
        <v/>
      </c>
      <c r="B158" s="12" t="inlineStr"/>
      <c r="C158" s="7" t="inlineStr"/>
      <c r="D158" s="7" t="inlineStr"/>
      <c r="E158" s="7" t="inlineStr"/>
      <c r="F158" s="7" t="inlineStr">
        <is>
          <t>EI1(c)</t>
        </is>
      </c>
      <c r="G158" s="7" t="inlineStr">
        <is>
          <t>Supporting information/comments</t>
        </is>
      </c>
      <c r="H158" s="50">
        <f>IFERROR(IF(INDEX('Faculties'!$N$10:$N$18,MATCH($F158,'Faculties'!$B$10:$B$18,0))="","Cell will autofill based on response",INDEX('Faculties'!$N$10:$N$18,MATCH($F158,'Faculties'!$B$10:$B$18,0))),"N/A")</f>
        <v/>
      </c>
      <c r="I158" s="50">
        <f>IFERROR(IF(INDEX('Faculties'!$N$25:$N$34,MATCH($F158,'Faculties'!$B$25:$B$34,0))="","Cell will autofill based on response",INDEX('Faculties'!$N$25:$N$34,MATCH($F158,'Faculties'!$B$25:$B$34,0))),"N/A")</f>
        <v/>
      </c>
      <c r="J158" s="50">
        <f>IFERROR(IF(INDEX('Faculties'!$N$41:$N$50,MATCH($F158,'Faculties'!$B$41:$B$50,0))="","Cell will autofill based on response",INDEX('Faculties'!$N$41:$N$50,MATCH($F158,'Faculties'!$B$41:$B$50,0))),"N/A")</f>
        <v/>
      </c>
      <c r="K158" s="50">
        <f>IFERROR(IF(INDEX('Faculties'!$N$57:$N$66,MATCH($F158,'Faculties'!$B$57:$B$66,0))="","Cell will autofill based on response",INDEX('Faculties'!$N$57:$N$66,MATCH($F158,'Faculties'!$B$57:$B$66,0))),"N/A")</f>
        <v/>
      </c>
      <c r="L158" s="50">
        <f>IFERROR(IF(INDEX('Faculties'!$N$73:$N$82,MATCH($F158,'Faculties'!$B$73:$B$82,0))="","Cell will autofill based on response",INDEX('Faculties'!$N$73:$N$82,MATCH($F158,'Faculties'!$B$73:$B$82,0))),"N/A")</f>
        <v/>
      </c>
      <c r="M158" s="50">
        <f>IFERROR(IF(INDEX('Faculties'!$N$89:$N$98,MATCH($F158,'Faculties'!$B$89:$B$98,0))="","Cell will autofill based on response",INDEX('Faculties'!$N$89:$N$98,MATCH($F158,'Faculties'!$B$89:$B$98,0))),"N/A")</f>
        <v/>
      </c>
      <c r="N158" s="50">
        <f>IFERROR(IF(INDEX('Faculties'!$N$105:$N$114,MATCH($F158,'Faculties'!$B$105:$B$114,0))="","Cell will autofill based on response",INDEX('Faculties'!$N$105:$N$114,MATCH($F158,'Faculties'!$B$105:$B$114,0))),"N/A")</f>
        <v/>
      </c>
      <c r="O158" s="50">
        <f>IFERROR(IF(INDEX('Faculties'!$N$121:$N$130,MATCH($F158,'Faculties'!$B$121:$B$130,0))="","Cell will autofill based on response",INDEX('Faculties'!$N$121:$N$130,MATCH($F158,'Faculties'!$B$121:$B$130,0))),"N/A")</f>
        <v/>
      </c>
      <c r="P158" s="50">
        <f>IFERROR(IF(INDEX('Faculties'!$N$137:$N$146,MATCH($F158,'Faculties'!$B$137:$B$146,0))="","Cell will autofill based on response",INDEX('Faculties'!$N$137:$N$146,MATCH($F158,'Faculties'!$B$137:$B$146,0))),"N/A")</f>
        <v/>
      </c>
      <c r="Q158" s="50">
        <f>IFERROR(IF(INDEX('CI&amp;S'!$N$10:$N$15,MATCH($F158,'CI&amp;S'!$B$10:$B$15,0))="","Cell will autofill based on response",INDEX('CI&amp;S'!$N$10:$N$15,MATCH($F158,'CI&amp;S'!$B$10:$B$15,0))),"N/A")</f>
        <v/>
      </c>
      <c r="R158" s="50">
        <f>IFERROR(IF(INDEX('CI&amp;S'!$N$22:$N$36,MATCH($F158,'CI&amp;S'!$B$22:$B$36,0))="","Cell will autofill based on response",INDEX('CI&amp;S'!$N$22:$N$36,MATCH($F158,'CI&amp;S'!$B$22:$B$36,0))),"N/A")</f>
        <v/>
      </c>
      <c r="S158" s="50">
        <f>IFERROR(IF(INDEX('CFOG'!$N$10:$N$16,MATCH($F158,'CFOG'!$B$10:$B$16,0))="","Cell will autofill based on response",INDEX('CFOG'!$N$10:$N$16,MATCH($F158,'CFOG'!$B$10:$B$16,0))),"N/A")</f>
        <v/>
      </c>
      <c r="T158" s="50">
        <f>IFERROR(IF(INDEX('CFOG'!$N$23:$N$24,MATCH($F158,'CFOG'!$B$23:$B$24,0))="","Cell will autofill based on response",INDEX('CFOG'!$N$23:$N$24,MATCH($F158,'CFOG'!$B$23:$B$24,0))),"N/A")</f>
        <v/>
      </c>
      <c r="U158" s="50">
        <f>IFERROR(IF(INDEX('ESG'!$N$10:$N$17,MATCH($F158,'ESG'!$B$10:$B$17,0))="","Cell will autofill based on response",INDEX('ESG'!$N$10:$N$17,MATCH($F158,'ESG'!$B$10:$B$17,0))),"N/A")</f>
        <v/>
      </c>
      <c r="V158" s="50">
        <f>IFERROR(IF(INDEX('CIOG'!$N$10:$N$14,MATCH($F158,'CIOG'!$B$10:$B$14,0))="","Cell will autofill based on response",INDEX('CIOG'!$N$10:$N$14,MATCH($F158,'CIOG'!$B$10:$B$14,0))),"N/A")</f>
        <v/>
      </c>
      <c r="W158" s="50">
        <f>IFERROR(IF(INDEX('MRE'!$N$10:$N$18,MATCH($F158,'MRE'!$B$10:$B$18,0))="","Cell will autofill based on response",INDEX('MRE'!$N$10:$N$18,MATCH($F158,'MRE'!$B$10:$B$18,0))),"N/A")</f>
        <v/>
      </c>
      <c r="X158" s="50">
        <f>IFERROR(IF(INDEX('AC&amp;M'!$N$10:$N$14,MATCH($F158,'AC&amp;M'!$B$10:$B$14,0))="","Cell will autofill based on response",INDEX('AC&amp;M'!$N$10:$N$14,MATCH($F158,'AC&amp;M'!$B$10:$B$14,0))),"N/A")</f>
        <v/>
      </c>
      <c r="Y158" s="50">
        <f>IFERROR(IF(INDEX('GCE'!$N$10:$N$12,MATCH($F158,'GCE'!$B$10:$B$12,0))="","Cell will autofill based on response",INDEX('GCE'!$N$10:$N$12,MATCH($F158,'GCE'!$B$10:$B$12,0))),"N/A")</f>
        <v/>
      </c>
      <c r="Z158" s="50">
        <f>IFERROR(IF(INDEX('Education'!$N$10:$N$13,MATCH($F158,'Education'!$B$10:$B$13,0))="","Cell will autofill based on response",INDEX('Education'!$N$10:$N$13,MATCH($F158,'Education'!$B$10:$B$13,0))),"N/A")</f>
        <v/>
      </c>
      <c r="AA158" s="50">
        <f>IFERROR(IF(INDEX('SaSS'!$N$10:$N$12,MATCH($F158,'SaSS'!$B$10:$B$12,0))="","Cell will autofill based on response",INDEX('SaSS'!$N$10:$N$12,MATCH($F158,'SaSS'!$B$10:$B$12,0))),"N/A")</f>
        <v/>
      </c>
      <c r="AB158" s="50">
        <f>IFERROR(IF(INDEX('Indigenous'!$N$10:$N$11,MATCH($F158,'Indigenous'!$B$10:$B$11,0))="","Cell will autofill based on response",INDEX('Indigenous'!$N$10:$N$11,MATCH($F158,'Indigenous'!$B$10:$B$11,0))),"N/A")</f>
        <v/>
      </c>
      <c r="AC158" s="50">
        <f>IFERROR(IF(INDEX('L&amp;R'!$N$10:$N$11,MATCH($F158,'L&amp;R'!$B$10:$B$11,0))="","Cell will autofill based on response",INDEX('L&amp;R'!$N$10:$N$11,MATCH($F158,'L&amp;R'!$B$10:$B$11,0))),"N/A")</f>
        <v/>
      </c>
    </row>
    <row r="159" ht="22" customHeight="1">
      <c r="A159">
        <f>F159&amp;"|"&amp;G159</f>
        <v/>
      </c>
      <c r="B159" s="12" t="inlineStr"/>
      <c r="C159" s="7" t="inlineStr"/>
      <c r="D159" s="7" t="inlineStr"/>
      <c r="E159" s="7" t="inlineStr"/>
      <c r="F159" s="7" t="inlineStr">
        <is>
          <t>EI1(c)</t>
        </is>
      </c>
      <c r="G159" s="7" t="inlineStr">
        <is>
          <t>Data source and limitations</t>
        </is>
      </c>
      <c r="H159" s="50">
        <f>IFERROR(IF(INDEX('Faculties'!$O$10:$O$18,MATCH($F159,'Faculties'!$B$10:$B$18,0))="","Cell will autofill based on response",INDEX('Faculties'!$O$10:$O$18,MATCH($F159,'Faculties'!$B$10:$B$18,0))),"N/A")</f>
        <v/>
      </c>
      <c r="I159" s="50">
        <f>IFERROR(IF(INDEX('Faculties'!$O$25:$O$34,MATCH($F159,'Faculties'!$B$25:$B$34,0))="","Cell will autofill based on response",INDEX('Faculties'!$O$25:$O$34,MATCH($F159,'Faculties'!$B$25:$B$34,0))),"N/A")</f>
        <v/>
      </c>
      <c r="J159" s="50">
        <f>IFERROR(IF(INDEX('Faculties'!$O$41:$O$50,MATCH($F159,'Faculties'!$B$41:$B$50,0))="","Cell will autofill based on response",INDEX('Faculties'!$O$41:$O$50,MATCH($F159,'Faculties'!$B$41:$B$50,0))),"N/A")</f>
        <v/>
      </c>
      <c r="K159" s="50">
        <f>IFERROR(IF(INDEX('Faculties'!$O$57:$O$66,MATCH($F159,'Faculties'!$B$57:$B$66,0))="","Cell will autofill based on response",INDEX('Faculties'!$O$57:$O$66,MATCH($F159,'Faculties'!$B$57:$B$66,0))),"N/A")</f>
        <v/>
      </c>
      <c r="L159" s="50">
        <f>IFERROR(IF(INDEX('Faculties'!$O$73:$O$82,MATCH($F159,'Faculties'!$B$73:$B$82,0))="","Cell will autofill based on response",INDEX('Faculties'!$O$73:$O$82,MATCH($F159,'Faculties'!$B$73:$B$82,0))),"N/A")</f>
        <v/>
      </c>
      <c r="M159" s="50">
        <f>IFERROR(IF(INDEX('Faculties'!$O$89:$O$98,MATCH($F159,'Faculties'!$B$89:$B$98,0))="","Cell will autofill based on response",INDEX('Faculties'!$O$89:$O$98,MATCH($F159,'Faculties'!$B$89:$B$98,0))),"N/A")</f>
        <v/>
      </c>
      <c r="N159" s="50">
        <f>IFERROR(IF(INDEX('Faculties'!$O$105:$O$114,MATCH($F159,'Faculties'!$B$105:$B$114,0))="","Cell will autofill based on response",INDEX('Faculties'!$O$105:$O$114,MATCH($F159,'Faculties'!$B$105:$B$114,0))),"N/A")</f>
        <v/>
      </c>
      <c r="O159" s="50">
        <f>IFERROR(IF(INDEX('Faculties'!$O$121:$O$130,MATCH($F159,'Faculties'!$B$121:$B$130,0))="","Cell will autofill based on response",INDEX('Faculties'!$O$121:$O$130,MATCH($F159,'Faculties'!$B$121:$B$130,0))),"N/A")</f>
        <v/>
      </c>
      <c r="P159" s="50">
        <f>IFERROR(IF(INDEX('Faculties'!$O$137:$O$146,MATCH($F159,'Faculties'!$B$137:$B$146,0))="","Cell will autofill based on response",INDEX('Faculties'!$O$137:$O$146,MATCH($F159,'Faculties'!$B$137:$B$146,0))),"N/A")</f>
        <v/>
      </c>
      <c r="Q159" s="50">
        <f>IFERROR(IF(INDEX('CI&amp;S'!$O$10:$O$15,MATCH($F159,'CI&amp;S'!$B$10:$B$15,0))="","Cell will autofill based on response",INDEX('CI&amp;S'!$O$10:$O$15,MATCH($F159,'CI&amp;S'!$B$10:$B$15,0))),"N/A")</f>
        <v/>
      </c>
      <c r="R159" s="50">
        <f>IFERROR(IF(INDEX('CI&amp;S'!$O$22:$O$36,MATCH($F159,'CI&amp;S'!$B$22:$B$36,0))="","Cell will autofill based on response",INDEX('CI&amp;S'!$O$22:$O$36,MATCH($F159,'CI&amp;S'!$B$22:$B$36,0))),"N/A")</f>
        <v/>
      </c>
      <c r="S159" s="50">
        <f>IFERROR(IF(INDEX('CFOG'!$O$10:$O$16,MATCH($F159,'CFOG'!$B$10:$B$16,0))="","Cell will autofill based on response",INDEX('CFOG'!$O$10:$O$16,MATCH($F159,'CFOG'!$B$10:$B$16,0))),"N/A")</f>
        <v/>
      </c>
      <c r="T159" s="50">
        <f>IFERROR(IF(INDEX('CFOG'!$O$23:$O$24,MATCH($F159,'CFOG'!$B$23:$B$24,0))="","Cell will autofill based on response",INDEX('CFOG'!$O$23:$O$24,MATCH($F159,'CFOG'!$B$23:$B$24,0))),"N/A")</f>
        <v/>
      </c>
      <c r="U159" s="50">
        <f>IFERROR(IF(INDEX('ESG'!$O$10:$O$17,MATCH($F159,'ESG'!$B$10:$B$17,0))="","Cell will autofill based on response",INDEX('ESG'!$O$10:$O$17,MATCH($F159,'ESG'!$B$10:$B$17,0))),"N/A")</f>
        <v/>
      </c>
      <c r="V159" s="50">
        <f>IFERROR(IF(INDEX('CIOG'!$O$10:$O$14,MATCH($F159,'CIOG'!$B$10:$B$14,0))="","Cell will autofill based on response",INDEX('CIOG'!$O$10:$O$14,MATCH($F159,'CIOG'!$B$10:$B$14,0))),"N/A")</f>
        <v/>
      </c>
      <c r="W159" s="50">
        <f>IFERROR(IF(INDEX('MRE'!$O$10:$O$18,MATCH($F159,'MRE'!$B$10:$B$18,0))="","Cell will autofill based on response",INDEX('MRE'!$O$10:$O$18,MATCH($F159,'MRE'!$B$10:$B$18,0))),"N/A")</f>
        <v/>
      </c>
      <c r="X159" s="50">
        <f>IFERROR(IF(INDEX('AC&amp;M'!$O$10:$O$14,MATCH($F159,'AC&amp;M'!$B$10:$B$14,0))="","Cell will autofill based on response",INDEX('AC&amp;M'!$O$10:$O$14,MATCH($F159,'AC&amp;M'!$B$10:$B$14,0))),"N/A")</f>
        <v/>
      </c>
      <c r="Y159" s="50">
        <f>IFERROR(IF(INDEX('GCE'!$O$10:$O$12,MATCH($F159,'GCE'!$B$10:$B$12,0))="","Cell will autofill based on response",INDEX('GCE'!$O$10:$O$12,MATCH($F159,'GCE'!$B$10:$B$12,0))),"N/A")</f>
        <v/>
      </c>
      <c r="Z159" s="50">
        <f>IFERROR(IF(INDEX('Education'!$O$10:$O$13,MATCH($F159,'Education'!$B$10:$B$13,0))="","Cell will autofill based on response",INDEX('Education'!$O$10:$O$13,MATCH($F159,'Education'!$B$10:$B$13,0))),"N/A")</f>
        <v/>
      </c>
      <c r="AA159" s="50">
        <f>IFERROR(IF(INDEX('SaSS'!$O$10:$O$12,MATCH($F159,'SaSS'!$B$10:$B$12,0))="","Cell will autofill based on response",INDEX('SaSS'!$O$10:$O$12,MATCH($F159,'SaSS'!$B$10:$B$12,0))),"N/A")</f>
        <v/>
      </c>
      <c r="AB159" s="50">
        <f>IFERROR(IF(INDEX('Indigenous'!$O$10:$O$11,MATCH($F159,'Indigenous'!$B$10:$B$11,0))="","Cell will autofill based on response",INDEX('Indigenous'!$O$10:$O$11,MATCH($F159,'Indigenous'!$B$10:$B$11,0))),"N/A")</f>
        <v/>
      </c>
      <c r="AC159" s="50">
        <f>IFERROR(IF(INDEX('L&amp;R'!$O$10:$O$11,MATCH($F159,'L&amp;R'!$B$10:$B$11,0))="","Cell will autofill based on response",INDEX('L&amp;R'!$O$10:$O$11,MATCH($F159,'L&amp;R'!$B$10:$B$11,0))),"N/A")</f>
        <v/>
      </c>
    </row>
    <row r="160" ht="22" customHeight="1">
      <c r="A160">
        <f>F160&amp;"|"&amp;G160</f>
        <v/>
      </c>
      <c r="B160" s="12" t="inlineStr"/>
      <c r="C160" s="7" t="inlineStr"/>
      <c r="D160" s="7" t="inlineStr"/>
      <c r="E160" s="7" t="inlineStr"/>
      <c r="F160" s="7" t="inlineStr">
        <is>
          <t>EI1(c)</t>
        </is>
      </c>
      <c r="G160" s="7" t="inlineStr">
        <is>
          <t>Data owner confirms</t>
        </is>
      </c>
      <c r="H160" s="50">
        <f>IFERROR(IF(INDEX('Faculties'!$P$10:$P$18,MATCH($F160,'Faculties'!$B$10:$B$18,0))="","Cell will autofill based on response",INDEX('Faculties'!$P$10:$P$18,MATCH($F160,'Faculties'!$B$10:$B$18,0))),"N/A")</f>
        <v/>
      </c>
      <c r="I160" s="50">
        <f>IFERROR(IF(INDEX('Faculties'!$P$25:$P$34,MATCH($F160,'Faculties'!$B$25:$B$34,0))="","Cell will autofill based on response",INDEX('Faculties'!$P$25:$P$34,MATCH($F160,'Faculties'!$B$25:$B$34,0))),"N/A")</f>
        <v/>
      </c>
      <c r="J160" s="50">
        <f>IFERROR(IF(INDEX('Faculties'!$P$41:$P$50,MATCH($F160,'Faculties'!$B$41:$B$50,0))="","Cell will autofill based on response",INDEX('Faculties'!$P$41:$P$50,MATCH($F160,'Faculties'!$B$41:$B$50,0))),"N/A")</f>
        <v/>
      </c>
      <c r="K160" s="50">
        <f>IFERROR(IF(INDEX('Faculties'!$P$57:$P$66,MATCH($F160,'Faculties'!$B$57:$B$66,0))="","Cell will autofill based on response",INDEX('Faculties'!$P$57:$P$66,MATCH($F160,'Faculties'!$B$57:$B$66,0))),"N/A")</f>
        <v/>
      </c>
      <c r="L160" s="50">
        <f>IFERROR(IF(INDEX('Faculties'!$P$73:$P$82,MATCH($F160,'Faculties'!$B$73:$B$82,0))="","Cell will autofill based on response",INDEX('Faculties'!$P$73:$P$82,MATCH($F160,'Faculties'!$B$73:$B$82,0))),"N/A")</f>
        <v/>
      </c>
      <c r="M160" s="50">
        <f>IFERROR(IF(INDEX('Faculties'!$P$89:$P$98,MATCH($F160,'Faculties'!$B$89:$B$98,0))="","Cell will autofill based on response",INDEX('Faculties'!$P$89:$P$98,MATCH($F160,'Faculties'!$B$89:$B$98,0))),"N/A")</f>
        <v/>
      </c>
      <c r="N160" s="50">
        <f>IFERROR(IF(INDEX('Faculties'!$P$105:$P$114,MATCH($F160,'Faculties'!$B$105:$B$114,0))="","Cell will autofill based on response",INDEX('Faculties'!$P$105:$P$114,MATCH($F160,'Faculties'!$B$105:$B$114,0))),"N/A")</f>
        <v/>
      </c>
      <c r="O160" s="50">
        <f>IFERROR(IF(INDEX('Faculties'!$P$121:$P$130,MATCH($F160,'Faculties'!$B$121:$B$130,0))="","Cell will autofill based on response",INDEX('Faculties'!$P$121:$P$130,MATCH($F160,'Faculties'!$B$121:$B$130,0))),"N/A")</f>
        <v/>
      </c>
      <c r="P160" s="50">
        <f>IFERROR(IF(INDEX('Faculties'!$P$137:$P$146,MATCH($F160,'Faculties'!$B$137:$B$146,0))="","Cell will autofill based on response",INDEX('Faculties'!$P$137:$P$146,MATCH($F160,'Faculties'!$B$137:$B$146,0))),"N/A")</f>
        <v/>
      </c>
      <c r="Q160" s="50">
        <f>IFERROR(IF(INDEX('CI&amp;S'!$P$10:$P$15,MATCH($F160,'CI&amp;S'!$B$10:$B$15,0))="","Cell will autofill based on response",INDEX('CI&amp;S'!$P$10:$P$15,MATCH($F160,'CI&amp;S'!$B$10:$B$15,0))),"N/A")</f>
        <v/>
      </c>
      <c r="R160" s="50">
        <f>IFERROR(IF(INDEX('CI&amp;S'!$P$22:$P$36,MATCH($F160,'CI&amp;S'!$B$22:$B$36,0))="","Cell will autofill based on response",INDEX('CI&amp;S'!$P$22:$P$36,MATCH($F160,'CI&amp;S'!$B$22:$B$36,0))),"N/A")</f>
        <v/>
      </c>
      <c r="S160" s="50">
        <f>IFERROR(IF(INDEX('CFOG'!$P$10:$P$16,MATCH($F160,'CFOG'!$B$10:$B$16,0))="","Cell will autofill based on response",INDEX('CFOG'!$P$10:$P$16,MATCH($F160,'CFOG'!$B$10:$B$16,0))),"N/A")</f>
        <v/>
      </c>
      <c r="T160" s="50">
        <f>IFERROR(IF(INDEX('CFOG'!$P$23:$P$24,MATCH($F160,'CFOG'!$B$23:$B$24,0))="","Cell will autofill based on response",INDEX('CFOG'!$P$23:$P$24,MATCH($F160,'CFOG'!$B$23:$B$24,0))),"N/A")</f>
        <v/>
      </c>
      <c r="U160" s="50">
        <f>IFERROR(IF(INDEX('ESG'!$P$10:$P$17,MATCH($F160,'ESG'!$B$10:$B$17,0))="","Cell will autofill based on response",INDEX('ESG'!$P$10:$P$17,MATCH($F160,'ESG'!$B$10:$B$17,0))),"N/A")</f>
        <v/>
      </c>
      <c r="V160" s="50">
        <f>IFERROR(IF(INDEX('CIOG'!$P$10:$P$14,MATCH($F160,'CIOG'!$B$10:$B$14,0))="","Cell will autofill based on response",INDEX('CIOG'!$P$10:$P$14,MATCH($F160,'CIOG'!$B$10:$B$14,0))),"N/A")</f>
        <v/>
      </c>
      <c r="W160" s="50">
        <f>IFERROR(IF(INDEX('MRE'!$P$10:$P$18,MATCH($F160,'MRE'!$B$10:$B$18,0))="","Cell will autofill based on response",INDEX('MRE'!$P$10:$P$18,MATCH($F160,'MRE'!$B$10:$B$18,0))),"N/A")</f>
        <v/>
      </c>
      <c r="X160" s="50">
        <f>IFERROR(IF(INDEX('AC&amp;M'!$P$10:$P$14,MATCH($F160,'AC&amp;M'!$B$10:$B$14,0))="","Cell will autofill based on response",INDEX('AC&amp;M'!$P$10:$P$14,MATCH($F160,'AC&amp;M'!$B$10:$B$14,0))),"N/A")</f>
        <v/>
      </c>
      <c r="Y160" s="50">
        <f>IFERROR(IF(INDEX('GCE'!$P$10:$P$12,MATCH($F160,'GCE'!$B$10:$B$12,0))="","Cell will autofill based on response",INDEX('GCE'!$P$10:$P$12,MATCH($F160,'GCE'!$B$10:$B$12,0))),"N/A")</f>
        <v/>
      </c>
      <c r="Z160" s="50">
        <f>IFERROR(IF(INDEX('Education'!$P$10:$P$13,MATCH($F160,'Education'!$B$10:$B$13,0))="","Cell will autofill based on response",INDEX('Education'!$P$10:$P$13,MATCH($F160,'Education'!$B$10:$B$13,0))),"N/A")</f>
        <v/>
      </c>
      <c r="AA160" s="50">
        <f>IFERROR(IF(INDEX('SaSS'!$P$10:$P$12,MATCH($F160,'SaSS'!$B$10:$B$12,0))="","Cell will autofill based on response",INDEX('SaSS'!$P$10:$P$12,MATCH($F160,'SaSS'!$B$10:$B$12,0))),"N/A")</f>
        <v/>
      </c>
      <c r="AB160" s="50">
        <f>IFERROR(IF(INDEX('Indigenous'!$P$10:$P$11,MATCH($F160,'Indigenous'!$B$10:$B$11,0))="","Cell will autofill based on response",INDEX('Indigenous'!$P$10:$P$11,MATCH($F160,'Indigenous'!$B$10:$B$11,0))),"N/A")</f>
        <v/>
      </c>
      <c r="AC160" s="50">
        <f>IFERROR(IF(INDEX('L&amp;R'!$P$10:$P$11,MATCH($F160,'L&amp;R'!$B$10:$B$11,0))="","Cell will autofill based on response",INDEX('L&amp;R'!$P$10:$P$11,MATCH($F160,'L&amp;R'!$B$10:$B$11,0))),"N/A")</f>
        <v/>
      </c>
    </row>
    <row r="161" ht="138" customHeight="1">
      <c r="A161">
        <f>F161&amp;"|"&amp;G161</f>
        <v/>
      </c>
      <c r="B161" s="6" t="inlineStr">
        <is>
          <t>EI1(d)</t>
        </is>
      </c>
      <c r="C161" s="48" t="inlineStr">
        <is>
          <t>Estate and infrastructure</t>
        </is>
      </c>
      <c r="D161" s="48" t="inlineStr">
        <is>
          <t>Evidence of understanding and integration of Indigenous approaches to sustainability in estate planning and development programs and projects.</t>
        </is>
      </c>
      <c r="E161" s="48"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F161" s="48" t="inlineStr">
        <is>
          <t>EI1(d)</t>
        </is>
      </c>
      <c r="G161" s="48" t="inlineStr">
        <is>
          <t>OPTION 1:  Target-level reporting</t>
        </is>
      </c>
      <c r="H161" s="50">
        <f>IFERROR(IF(INDEX('Faculties'!$L$10:$L$18,MATCH($F161,'Faculties'!$B$10:$B$18,0))="","Cell will autofill based on response",INDEX('Faculties'!$L$10:$L$18,MATCH($F161,'Faculties'!$B$10:$B$18,0))),"N/A")</f>
        <v/>
      </c>
      <c r="I161" s="50">
        <f>IFERROR(IF(INDEX('Faculties'!$L$25:$L$34,MATCH($F161,'Faculties'!$B$25:$B$34,0))="","Cell will autofill based on response",INDEX('Faculties'!$L$25:$L$34,MATCH($F161,'Faculties'!$B$25:$B$34,0))),"N/A")</f>
        <v/>
      </c>
      <c r="J161" s="50">
        <f>IFERROR(IF(INDEX('Faculties'!$L$41:$L$50,MATCH($F161,'Faculties'!$B$41:$B$50,0))="","Cell will autofill based on response",INDEX('Faculties'!$L$41:$L$50,MATCH($F161,'Faculties'!$B$41:$B$50,0))),"N/A")</f>
        <v/>
      </c>
      <c r="K161" s="50">
        <f>IFERROR(IF(INDEX('Faculties'!$L$57:$L$66,MATCH($F161,'Faculties'!$B$57:$B$66,0))="","Cell will autofill based on response",INDEX('Faculties'!$L$57:$L$66,MATCH($F161,'Faculties'!$B$57:$B$66,0))),"N/A")</f>
        <v/>
      </c>
      <c r="L161" s="50">
        <f>IFERROR(IF(INDEX('Faculties'!$L$73:$L$82,MATCH($F161,'Faculties'!$B$73:$B$82,0))="","Cell will autofill based on response",INDEX('Faculties'!$L$73:$L$82,MATCH($F161,'Faculties'!$B$73:$B$82,0))),"N/A")</f>
        <v/>
      </c>
      <c r="M161" s="50">
        <f>IFERROR(IF(INDEX('Faculties'!$L$89:$L$98,MATCH($F161,'Faculties'!$B$89:$B$98,0))="","Cell will autofill based on response",INDEX('Faculties'!$L$89:$L$98,MATCH($F161,'Faculties'!$B$89:$B$98,0))),"N/A")</f>
        <v/>
      </c>
      <c r="N161" s="50">
        <f>IFERROR(IF(INDEX('Faculties'!$L$105:$L$114,MATCH($F161,'Faculties'!$B$105:$B$114,0))="","Cell will autofill based on response",INDEX('Faculties'!$L$105:$L$114,MATCH($F161,'Faculties'!$B$105:$B$114,0))),"N/A")</f>
        <v/>
      </c>
      <c r="O161" s="50">
        <f>IFERROR(IF(INDEX('Faculties'!$L$121:$L$130,MATCH($F161,'Faculties'!$B$121:$B$130,0))="","Cell will autofill based on response",INDEX('Faculties'!$L$121:$L$130,MATCH($F161,'Faculties'!$B$121:$B$130,0))),"N/A")</f>
        <v/>
      </c>
      <c r="P161" s="50">
        <f>IFERROR(IF(INDEX('Faculties'!$L$137:$L$146,MATCH($F161,'Faculties'!$B$137:$B$146,0))="","Cell will autofill based on response",INDEX('Faculties'!$L$137:$L$146,MATCH($F161,'Faculties'!$B$137:$B$146,0))),"N/A")</f>
        <v/>
      </c>
      <c r="Q161" s="50">
        <f>IFERROR(IF(INDEX('CI&amp;S'!$L$10:$L$15,MATCH($F161,'CI&amp;S'!$B$10:$B$15,0))="","Cell will autofill based on response",INDEX('CI&amp;S'!$L$10:$L$15,MATCH($F161,'CI&amp;S'!$B$10:$B$15,0))),"N/A")</f>
        <v/>
      </c>
      <c r="R161" s="50">
        <f>IFERROR(IF(INDEX('CI&amp;S'!$L$22:$L$36,MATCH($F161,'CI&amp;S'!$B$22:$B$36,0))="","Cell will autofill based on response",INDEX('CI&amp;S'!$L$22:$L$36,MATCH($F161,'CI&amp;S'!$B$22:$B$36,0))),"N/A")</f>
        <v/>
      </c>
      <c r="S161" s="50">
        <f>IFERROR(IF(INDEX('CFOG'!$L$10:$L$16,MATCH($F161,'CFOG'!$B$10:$B$16,0))="","Cell will autofill based on response",INDEX('CFOG'!$L$10:$L$16,MATCH($F161,'CFOG'!$B$10:$B$16,0))),"N/A")</f>
        <v/>
      </c>
      <c r="T161" s="50">
        <f>IFERROR(IF(INDEX('CFOG'!$L$23:$L$24,MATCH($F161,'CFOG'!$B$23:$B$24,0))="","Cell will autofill based on response",INDEX('CFOG'!$L$23:$L$24,MATCH($F161,'CFOG'!$B$23:$B$24,0))),"N/A")</f>
        <v/>
      </c>
      <c r="U161" s="50">
        <f>IFERROR(IF(INDEX('ESG'!$L$10:$L$17,MATCH($F161,'ESG'!$B$10:$B$17,0))="","Cell will autofill based on response",INDEX('ESG'!$L$10:$L$17,MATCH($F161,'ESG'!$B$10:$B$17,0))),"N/A")</f>
        <v/>
      </c>
      <c r="V161" s="50">
        <f>IFERROR(IF(INDEX('CIOG'!$L$10:$L$14,MATCH($F161,'CIOG'!$B$10:$B$14,0))="","Cell will autofill based on response",INDEX('CIOG'!$L$10:$L$14,MATCH($F161,'CIOG'!$B$10:$B$14,0))),"N/A")</f>
        <v/>
      </c>
      <c r="W161" s="50">
        <f>IFERROR(IF(INDEX('MRE'!$L$10:$L$18,MATCH($F161,'MRE'!$B$10:$B$18,0))="","Cell will autofill based on response",INDEX('MRE'!$L$10:$L$18,MATCH($F161,'MRE'!$B$10:$B$18,0))),"N/A")</f>
        <v/>
      </c>
      <c r="X161" s="50">
        <f>IFERROR(IF(INDEX('AC&amp;M'!$L$10:$L$14,MATCH($F161,'AC&amp;M'!$B$10:$B$14,0))="","Cell will autofill based on response",INDEX('AC&amp;M'!$L$10:$L$14,MATCH($F161,'AC&amp;M'!$B$10:$B$14,0))),"N/A")</f>
        <v/>
      </c>
      <c r="Y161" s="50">
        <f>IFERROR(IF(INDEX('GCE'!$L$10:$L$12,MATCH($F161,'GCE'!$B$10:$B$12,0))="","Cell will autofill based on response",INDEX('GCE'!$L$10:$L$12,MATCH($F161,'GCE'!$B$10:$B$12,0))),"N/A")</f>
        <v/>
      </c>
      <c r="Z161" s="50">
        <f>IFERROR(IF(INDEX('Education'!$L$10:$L$13,MATCH($F161,'Education'!$B$10:$B$13,0))="","Cell will autofill based on response",INDEX('Education'!$L$10:$L$13,MATCH($F161,'Education'!$B$10:$B$13,0))),"N/A")</f>
        <v/>
      </c>
      <c r="AA161" s="50">
        <f>IFERROR(IF(INDEX('SaSS'!$L$10:$L$12,MATCH($F161,'SaSS'!$B$10:$B$12,0))="","Cell will autofill based on response",INDEX('SaSS'!$L$10:$L$12,MATCH($F161,'SaSS'!$B$10:$B$12,0))),"N/A")</f>
        <v/>
      </c>
      <c r="AB161" s="50">
        <f>IFERROR(IF(INDEX('Indigenous'!$L$10:$L$11,MATCH($F161,'Indigenous'!$B$10:$B$11,0))="","Cell will autofill based on response",INDEX('Indigenous'!$L$10:$L$11,MATCH($F161,'Indigenous'!$B$10:$B$11,0))),"N/A")</f>
        <v/>
      </c>
      <c r="AC161" s="50">
        <f>IFERROR(IF(INDEX('L&amp;R'!$L$10:$L$11,MATCH($F161,'L&amp;R'!$B$10:$B$11,0))="","Cell will autofill based on response",INDEX('L&amp;R'!$L$10:$L$11,MATCH($F161,'L&amp;R'!$B$10:$B$11,0))),"N/A")</f>
        <v/>
      </c>
      <c r="AE161" s="9">
        <f>SUMPRODUCT(--($H161:$AC161&lt;&gt;"N/A"))</f>
        <v/>
      </c>
      <c r="AF161" s="9">
        <f>SUMPRODUCT(--(((($H161:$AC161&lt;&gt;"N/A")*($H161:$AC161&lt;&gt;"Cell will autofill based on response"))+(($H162:$AC162&lt;&gt;"N/A")*($H162:$AC162&lt;&gt;"Cell will autofill based on response")))&gt;0))</f>
        <v/>
      </c>
      <c r="AG161" s="9">
        <f>AE161-AF161</f>
        <v/>
      </c>
      <c r="AH161" s="9">
        <f>COUNTIF($H165:$AC165,"Yes")</f>
        <v/>
      </c>
    </row>
    <row r="162" ht="39" customHeight="1">
      <c r="A162">
        <f>F162&amp;"|"&amp;G162</f>
        <v/>
      </c>
      <c r="B162" s="12" t="inlineStr"/>
      <c r="C162" s="7" t="inlineStr"/>
      <c r="D162" s="7" t="inlineStr"/>
      <c r="E162" s="7" t="inlineStr"/>
      <c r="F162" s="7" t="inlineStr">
        <is>
          <t>EI1(d)</t>
        </is>
      </c>
      <c r="G162" s="7" t="inlineStr">
        <is>
          <t>OPTION 2:  Indicator level reporting</t>
        </is>
      </c>
      <c r="H162" s="50">
        <f>IFERROR(IF(INDEX('Faculties'!$M$10:$M$18,MATCH($F162,'Faculties'!$B$10:$B$18,0))="","Cell will autofill based on response",INDEX('Faculties'!$M$10:$M$18,MATCH($F162,'Faculties'!$B$10:$B$18,0))),"N/A")</f>
        <v/>
      </c>
      <c r="I162" s="50">
        <f>IFERROR(IF(INDEX('Faculties'!$M$25:$M$34,MATCH($F162,'Faculties'!$B$25:$B$34,0))="","Cell will autofill based on response",INDEX('Faculties'!$M$25:$M$34,MATCH($F162,'Faculties'!$B$25:$B$34,0))),"N/A")</f>
        <v/>
      </c>
      <c r="J162" s="50">
        <f>IFERROR(IF(INDEX('Faculties'!$M$41:$M$50,MATCH($F162,'Faculties'!$B$41:$B$50,0))="","Cell will autofill based on response",INDEX('Faculties'!$M$41:$M$50,MATCH($F162,'Faculties'!$B$41:$B$50,0))),"N/A")</f>
        <v/>
      </c>
      <c r="K162" s="50">
        <f>IFERROR(IF(INDEX('Faculties'!$M$57:$M$66,MATCH($F162,'Faculties'!$B$57:$B$66,0))="","Cell will autofill based on response",INDEX('Faculties'!$M$57:$M$66,MATCH($F162,'Faculties'!$B$57:$B$66,0))),"N/A")</f>
        <v/>
      </c>
      <c r="L162" s="50">
        <f>IFERROR(IF(INDEX('Faculties'!$M$73:$M$82,MATCH($F162,'Faculties'!$B$73:$B$82,0))="","Cell will autofill based on response",INDEX('Faculties'!$M$73:$M$82,MATCH($F162,'Faculties'!$B$73:$B$82,0))),"N/A")</f>
        <v/>
      </c>
      <c r="M162" s="50">
        <f>IFERROR(IF(INDEX('Faculties'!$M$89:$M$98,MATCH($F162,'Faculties'!$B$89:$B$98,0))="","Cell will autofill based on response",INDEX('Faculties'!$M$89:$M$98,MATCH($F162,'Faculties'!$B$89:$B$98,0))),"N/A")</f>
        <v/>
      </c>
      <c r="N162" s="50">
        <f>IFERROR(IF(INDEX('Faculties'!$M$105:$M$114,MATCH($F162,'Faculties'!$B$105:$B$114,0))="","Cell will autofill based on response",INDEX('Faculties'!$M$105:$M$114,MATCH($F162,'Faculties'!$B$105:$B$114,0))),"N/A")</f>
        <v/>
      </c>
      <c r="O162" s="50">
        <f>IFERROR(IF(INDEX('Faculties'!$M$121:$M$130,MATCH($F162,'Faculties'!$B$121:$B$130,0))="","Cell will autofill based on response",INDEX('Faculties'!$M$121:$M$130,MATCH($F162,'Faculties'!$B$121:$B$130,0))),"N/A")</f>
        <v/>
      </c>
      <c r="P162" s="50">
        <f>IFERROR(IF(INDEX('Faculties'!$M$137:$M$146,MATCH($F162,'Faculties'!$B$137:$B$146,0))="","Cell will autofill based on response",INDEX('Faculties'!$M$137:$M$146,MATCH($F162,'Faculties'!$B$137:$B$146,0))),"N/A")</f>
        <v/>
      </c>
      <c r="Q162" s="50">
        <f>IFERROR(IF(INDEX('CI&amp;S'!$M$10:$M$15,MATCH($F162,'CI&amp;S'!$B$10:$B$15,0))="","Cell will autofill based on response",INDEX('CI&amp;S'!$M$10:$M$15,MATCH($F162,'CI&amp;S'!$B$10:$B$15,0))),"N/A")</f>
        <v/>
      </c>
      <c r="R162" s="50">
        <f>IFERROR(IF(INDEX('CI&amp;S'!$M$22:$M$36,MATCH($F162,'CI&amp;S'!$B$22:$B$36,0))="","Cell will autofill based on response",INDEX('CI&amp;S'!$M$22:$M$36,MATCH($F162,'CI&amp;S'!$B$22:$B$36,0))),"N/A")</f>
        <v/>
      </c>
      <c r="S162" s="50">
        <f>IFERROR(IF(INDEX('CFOG'!$M$10:$M$16,MATCH($F162,'CFOG'!$B$10:$B$16,0))="","Cell will autofill based on response",INDEX('CFOG'!$M$10:$M$16,MATCH($F162,'CFOG'!$B$10:$B$16,0))),"N/A")</f>
        <v/>
      </c>
      <c r="T162" s="50">
        <f>IFERROR(IF(INDEX('CFOG'!$M$23:$M$24,MATCH($F162,'CFOG'!$B$23:$B$24,0))="","Cell will autofill based on response",INDEX('CFOG'!$M$23:$M$24,MATCH($F162,'CFOG'!$B$23:$B$24,0))),"N/A")</f>
        <v/>
      </c>
      <c r="U162" s="50">
        <f>IFERROR(IF(INDEX('ESG'!$M$10:$M$17,MATCH($F162,'ESG'!$B$10:$B$17,0))="","Cell will autofill based on response",INDEX('ESG'!$M$10:$M$17,MATCH($F162,'ESG'!$B$10:$B$17,0))),"N/A")</f>
        <v/>
      </c>
      <c r="V162" s="50">
        <f>IFERROR(IF(INDEX('CIOG'!$M$10:$M$14,MATCH($F162,'CIOG'!$B$10:$B$14,0))="","Cell will autofill based on response",INDEX('CIOG'!$M$10:$M$14,MATCH($F162,'CIOG'!$B$10:$B$14,0))),"N/A")</f>
        <v/>
      </c>
      <c r="W162" s="50">
        <f>IFERROR(IF(INDEX('MRE'!$M$10:$M$18,MATCH($F162,'MRE'!$B$10:$B$18,0))="","Cell will autofill based on response",INDEX('MRE'!$M$10:$M$18,MATCH($F162,'MRE'!$B$10:$B$18,0))),"N/A")</f>
        <v/>
      </c>
      <c r="X162" s="50">
        <f>IFERROR(IF(INDEX('AC&amp;M'!$M$10:$M$14,MATCH($F162,'AC&amp;M'!$B$10:$B$14,0))="","Cell will autofill based on response",INDEX('AC&amp;M'!$M$10:$M$14,MATCH($F162,'AC&amp;M'!$B$10:$B$14,0))),"N/A")</f>
        <v/>
      </c>
      <c r="Y162" s="50">
        <f>IFERROR(IF(INDEX('GCE'!$M$10:$M$12,MATCH($F162,'GCE'!$B$10:$B$12,0))="","Cell will autofill based on response",INDEX('GCE'!$M$10:$M$12,MATCH($F162,'GCE'!$B$10:$B$12,0))),"N/A")</f>
        <v/>
      </c>
      <c r="Z162" s="50">
        <f>IFERROR(IF(INDEX('Education'!$M$10:$M$13,MATCH($F162,'Education'!$B$10:$B$13,0))="","Cell will autofill based on response",INDEX('Education'!$M$10:$M$13,MATCH($F162,'Education'!$B$10:$B$13,0))),"N/A")</f>
        <v/>
      </c>
      <c r="AA162" s="50">
        <f>IFERROR(IF(INDEX('SaSS'!$M$10:$M$12,MATCH($F162,'SaSS'!$B$10:$B$12,0))="","Cell will autofill based on response",INDEX('SaSS'!$M$10:$M$12,MATCH($F162,'SaSS'!$B$10:$B$12,0))),"N/A")</f>
        <v/>
      </c>
      <c r="AB162" s="50">
        <f>IFERROR(IF(INDEX('Indigenous'!$M$10:$M$11,MATCH($F162,'Indigenous'!$B$10:$B$11,0))="","Cell will autofill based on response",INDEX('Indigenous'!$M$10:$M$11,MATCH($F162,'Indigenous'!$B$10:$B$11,0))),"N/A")</f>
        <v/>
      </c>
      <c r="AC162" s="50">
        <f>IFERROR(IF(INDEX('L&amp;R'!$M$10:$M$11,MATCH($F162,'L&amp;R'!$B$10:$B$11,0))="","Cell will autofill based on response",INDEX('L&amp;R'!$M$10:$M$11,MATCH($F162,'L&amp;R'!$B$10:$B$11,0))),"N/A")</f>
        <v/>
      </c>
    </row>
    <row r="163" ht="22" customHeight="1">
      <c r="A163">
        <f>F163&amp;"|"&amp;G163</f>
        <v/>
      </c>
      <c r="B163" s="12" t="inlineStr"/>
      <c r="C163" s="7" t="inlineStr"/>
      <c r="D163" s="7" t="inlineStr"/>
      <c r="E163" s="7" t="inlineStr"/>
      <c r="F163" s="7" t="inlineStr">
        <is>
          <t>EI1(d)</t>
        </is>
      </c>
      <c r="G163" s="7" t="inlineStr">
        <is>
          <t>Supporting information/comments</t>
        </is>
      </c>
      <c r="H163" s="50">
        <f>IFERROR(IF(INDEX('Faculties'!$N$10:$N$18,MATCH($F163,'Faculties'!$B$10:$B$18,0))="","Cell will autofill based on response",INDEX('Faculties'!$N$10:$N$18,MATCH($F163,'Faculties'!$B$10:$B$18,0))),"N/A")</f>
        <v/>
      </c>
      <c r="I163" s="50">
        <f>IFERROR(IF(INDEX('Faculties'!$N$25:$N$34,MATCH($F163,'Faculties'!$B$25:$B$34,0))="","Cell will autofill based on response",INDEX('Faculties'!$N$25:$N$34,MATCH($F163,'Faculties'!$B$25:$B$34,0))),"N/A")</f>
        <v/>
      </c>
      <c r="J163" s="50">
        <f>IFERROR(IF(INDEX('Faculties'!$N$41:$N$50,MATCH($F163,'Faculties'!$B$41:$B$50,0))="","Cell will autofill based on response",INDEX('Faculties'!$N$41:$N$50,MATCH($F163,'Faculties'!$B$41:$B$50,0))),"N/A")</f>
        <v/>
      </c>
      <c r="K163" s="50">
        <f>IFERROR(IF(INDEX('Faculties'!$N$57:$N$66,MATCH($F163,'Faculties'!$B$57:$B$66,0))="","Cell will autofill based on response",INDEX('Faculties'!$N$57:$N$66,MATCH($F163,'Faculties'!$B$57:$B$66,0))),"N/A")</f>
        <v/>
      </c>
      <c r="L163" s="50">
        <f>IFERROR(IF(INDEX('Faculties'!$N$73:$N$82,MATCH($F163,'Faculties'!$B$73:$B$82,0))="","Cell will autofill based on response",INDEX('Faculties'!$N$73:$N$82,MATCH($F163,'Faculties'!$B$73:$B$82,0))),"N/A")</f>
        <v/>
      </c>
      <c r="M163" s="50">
        <f>IFERROR(IF(INDEX('Faculties'!$N$89:$N$98,MATCH($F163,'Faculties'!$B$89:$B$98,0))="","Cell will autofill based on response",INDEX('Faculties'!$N$89:$N$98,MATCH($F163,'Faculties'!$B$89:$B$98,0))),"N/A")</f>
        <v/>
      </c>
      <c r="N163" s="50">
        <f>IFERROR(IF(INDEX('Faculties'!$N$105:$N$114,MATCH($F163,'Faculties'!$B$105:$B$114,0))="","Cell will autofill based on response",INDEX('Faculties'!$N$105:$N$114,MATCH($F163,'Faculties'!$B$105:$B$114,0))),"N/A")</f>
        <v/>
      </c>
      <c r="O163" s="50">
        <f>IFERROR(IF(INDEX('Faculties'!$N$121:$N$130,MATCH($F163,'Faculties'!$B$121:$B$130,0))="","Cell will autofill based on response",INDEX('Faculties'!$N$121:$N$130,MATCH($F163,'Faculties'!$B$121:$B$130,0))),"N/A")</f>
        <v/>
      </c>
      <c r="P163" s="50">
        <f>IFERROR(IF(INDEX('Faculties'!$N$137:$N$146,MATCH($F163,'Faculties'!$B$137:$B$146,0))="","Cell will autofill based on response",INDEX('Faculties'!$N$137:$N$146,MATCH($F163,'Faculties'!$B$137:$B$146,0))),"N/A")</f>
        <v/>
      </c>
      <c r="Q163" s="50">
        <f>IFERROR(IF(INDEX('CI&amp;S'!$N$10:$N$15,MATCH($F163,'CI&amp;S'!$B$10:$B$15,0))="","Cell will autofill based on response",INDEX('CI&amp;S'!$N$10:$N$15,MATCH($F163,'CI&amp;S'!$B$10:$B$15,0))),"N/A")</f>
        <v/>
      </c>
      <c r="R163" s="50">
        <f>IFERROR(IF(INDEX('CI&amp;S'!$N$22:$N$36,MATCH($F163,'CI&amp;S'!$B$22:$B$36,0))="","Cell will autofill based on response",INDEX('CI&amp;S'!$N$22:$N$36,MATCH($F163,'CI&amp;S'!$B$22:$B$36,0))),"N/A")</f>
        <v/>
      </c>
      <c r="S163" s="50">
        <f>IFERROR(IF(INDEX('CFOG'!$N$10:$N$16,MATCH($F163,'CFOG'!$B$10:$B$16,0))="","Cell will autofill based on response",INDEX('CFOG'!$N$10:$N$16,MATCH($F163,'CFOG'!$B$10:$B$16,0))),"N/A")</f>
        <v/>
      </c>
      <c r="T163" s="50">
        <f>IFERROR(IF(INDEX('CFOG'!$N$23:$N$24,MATCH($F163,'CFOG'!$B$23:$B$24,0))="","Cell will autofill based on response",INDEX('CFOG'!$N$23:$N$24,MATCH($F163,'CFOG'!$B$23:$B$24,0))),"N/A")</f>
        <v/>
      </c>
      <c r="U163" s="50">
        <f>IFERROR(IF(INDEX('ESG'!$N$10:$N$17,MATCH($F163,'ESG'!$B$10:$B$17,0))="","Cell will autofill based on response",INDEX('ESG'!$N$10:$N$17,MATCH($F163,'ESG'!$B$10:$B$17,0))),"N/A")</f>
        <v/>
      </c>
      <c r="V163" s="50">
        <f>IFERROR(IF(INDEX('CIOG'!$N$10:$N$14,MATCH($F163,'CIOG'!$B$10:$B$14,0))="","Cell will autofill based on response",INDEX('CIOG'!$N$10:$N$14,MATCH($F163,'CIOG'!$B$10:$B$14,0))),"N/A")</f>
        <v/>
      </c>
      <c r="W163" s="50">
        <f>IFERROR(IF(INDEX('MRE'!$N$10:$N$18,MATCH($F163,'MRE'!$B$10:$B$18,0))="","Cell will autofill based on response",INDEX('MRE'!$N$10:$N$18,MATCH($F163,'MRE'!$B$10:$B$18,0))),"N/A")</f>
        <v/>
      </c>
      <c r="X163" s="50">
        <f>IFERROR(IF(INDEX('AC&amp;M'!$N$10:$N$14,MATCH($F163,'AC&amp;M'!$B$10:$B$14,0))="","Cell will autofill based on response",INDEX('AC&amp;M'!$N$10:$N$14,MATCH($F163,'AC&amp;M'!$B$10:$B$14,0))),"N/A")</f>
        <v/>
      </c>
      <c r="Y163" s="50">
        <f>IFERROR(IF(INDEX('GCE'!$N$10:$N$12,MATCH($F163,'GCE'!$B$10:$B$12,0))="","Cell will autofill based on response",INDEX('GCE'!$N$10:$N$12,MATCH($F163,'GCE'!$B$10:$B$12,0))),"N/A")</f>
        <v/>
      </c>
      <c r="Z163" s="50">
        <f>IFERROR(IF(INDEX('Education'!$N$10:$N$13,MATCH($F163,'Education'!$B$10:$B$13,0))="","Cell will autofill based on response",INDEX('Education'!$N$10:$N$13,MATCH($F163,'Education'!$B$10:$B$13,0))),"N/A")</f>
        <v/>
      </c>
      <c r="AA163" s="50">
        <f>IFERROR(IF(INDEX('SaSS'!$N$10:$N$12,MATCH($F163,'SaSS'!$B$10:$B$12,0))="","Cell will autofill based on response",INDEX('SaSS'!$N$10:$N$12,MATCH($F163,'SaSS'!$B$10:$B$12,0))),"N/A")</f>
        <v/>
      </c>
      <c r="AB163" s="50">
        <f>IFERROR(IF(INDEX('Indigenous'!$N$10:$N$11,MATCH($F163,'Indigenous'!$B$10:$B$11,0))="","Cell will autofill based on response",INDEX('Indigenous'!$N$10:$N$11,MATCH($F163,'Indigenous'!$B$10:$B$11,0))),"N/A")</f>
        <v/>
      </c>
      <c r="AC163" s="50">
        <f>IFERROR(IF(INDEX('L&amp;R'!$N$10:$N$11,MATCH($F163,'L&amp;R'!$B$10:$B$11,0))="","Cell will autofill based on response",INDEX('L&amp;R'!$N$10:$N$11,MATCH($F163,'L&amp;R'!$B$10:$B$11,0))),"N/A")</f>
        <v/>
      </c>
    </row>
    <row r="164" ht="22" customHeight="1">
      <c r="A164">
        <f>F164&amp;"|"&amp;G164</f>
        <v/>
      </c>
      <c r="B164" s="12" t="inlineStr"/>
      <c r="C164" s="7" t="inlineStr"/>
      <c r="D164" s="7" t="inlineStr"/>
      <c r="E164" s="7" t="inlineStr"/>
      <c r="F164" s="7" t="inlineStr">
        <is>
          <t>EI1(d)</t>
        </is>
      </c>
      <c r="G164" s="7" t="inlineStr">
        <is>
          <t>Data source and limitations</t>
        </is>
      </c>
      <c r="H164" s="50">
        <f>IFERROR(IF(INDEX('Faculties'!$O$10:$O$18,MATCH($F164,'Faculties'!$B$10:$B$18,0))="","Cell will autofill based on response",INDEX('Faculties'!$O$10:$O$18,MATCH($F164,'Faculties'!$B$10:$B$18,0))),"N/A")</f>
        <v/>
      </c>
      <c r="I164" s="50">
        <f>IFERROR(IF(INDEX('Faculties'!$O$25:$O$34,MATCH($F164,'Faculties'!$B$25:$B$34,0))="","Cell will autofill based on response",INDEX('Faculties'!$O$25:$O$34,MATCH($F164,'Faculties'!$B$25:$B$34,0))),"N/A")</f>
        <v/>
      </c>
      <c r="J164" s="50">
        <f>IFERROR(IF(INDEX('Faculties'!$O$41:$O$50,MATCH($F164,'Faculties'!$B$41:$B$50,0))="","Cell will autofill based on response",INDEX('Faculties'!$O$41:$O$50,MATCH($F164,'Faculties'!$B$41:$B$50,0))),"N/A")</f>
        <v/>
      </c>
      <c r="K164" s="50">
        <f>IFERROR(IF(INDEX('Faculties'!$O$57:$O$66,MATCH($F164,'Faculties'!$B$57:$B$66,0))="","Cell will autofill based on response",INDEX('Faculties'!$O$57:$O$66,MATCH($F164,'Faculties'!$B$57:$B$66,0))),"N/A")</f>
        <v/>
      </c>
      <c r="L164" s="50">
        <f>IFERROR(IF(INDEX('Faculties'!$O$73:$O$82,MATCH($F164,'Faculties'!$B$73:$B$82,0))="","Cell will autofill based on response",INDEX('Faculties'!$O$73:$O$82,MATCH($F164,'Faculties'!$B$73:$B$82,0))),"N/A")</f>
        <v/>
      </c>
      <c r="M164" s="50">
        <f>IFERROR(IF(INDEX('Faculties'!$O$89:$O$98,MATCH($F164,'Faculties'!$B$89:$B$98,0))="","Cell will autofill based on response",INDEX('Faculties'!$O$89:$O$98,MATCH($F164,'Faculties'!$B$89:$B$98,0))),"N/A")</f>
        <v/>
      </c>
      <c r="N164" s="50">
        <f>IFERROR(IF(INDEX('Faculties'!$O$105:$O$114,MATCH($F164,'Faculties'!$B$105:$B$114,0))="","Cell will autofill based on response",INDEX('Faculties'!$O$105:$O$114,MATCH($F164,'Faculties'!$B$105:$B$114,0))),"N/A")</f>
        <v/>
      </c>
      <c r="O164" s="50">
        <f>IFERROR(IF(INDEX('Faculties'!$O$121:$O$130,MATCH($F164,'Faculties'!$B$121:$B$130,0))="","Cell will autofill based on response",INDEX('Faculties'!$O$121:$O$130,MATCH($F164,'Faculties'!$B$121:$B$130,0))),"N/A")</f>
        <v/>
      </c>
      <c r="P164" s="50">
        <f>IFERROR(IF(INDEX('Faculties'!$O$137:$O$146,MATCH($F164,'Faculties'!$B$137:$B$146,0))="","Cell will autofill based on response",INDEX('Faculties'!$O$137:$O$146,MATCH($F164,'Faculties'!$B$137:$B$146,0))),"N/A")</f>
        <v/>
      </c>
      <c r="Q164" s="50">
        <f>IFERROR(IF(INDEX('CI&amp;S'!$O$10:$O$15,MATCH($F164,'CI&amp;S'!$B$10:$B$15,0))="","Cell will autofill based on response",INDEX('CI&amp;S'!$O$10:$O$15,MATCH($F164,'CI&amp;S'!$B$10:$B$15,0))),"N/A")</f>
        <v/>
      </c>
      <c r="R164" s="50">
        <f>IFERROR(IF(INDEX('CI&amp;S'!$O$22:$O$36,MATCH($F164,'CI&amp;S'!$B$22:$B$36,0))="","Cell will autofill based on response",INDEX('CI&amp;S'!$O$22:$O$36,MATCH($F164,'CI&amp;S'!$B$22:$B$36,0))),"N/A")</f>
        <v/>
      </c>
      <c r="S164" s="50">
        <f>IFERROR(IF(INDEX('CFOG'!$O$10:$O$16,MATCH($F164,'CFOG'!$B$10:$B$16,0))="","Cell will autofill based on response",INDEX('CFOG'!$O$10:$O$16,MATCH($F164,'CFOG'!$B$10:$B$16,0))),"N/A")</f>
        <v/>
      </c>
      <c r="T164" s="50">
        <f>IFERROR(IF(INDEX('CFOG'!$O$23:$O$24,MATCH($F164,'CFOG'!$B$23:$B$24,0))="","Cell will autofill based on response",INDEX('CFOG'!$O$23:$O$24,MATCH($F164,'CFOG'!$B$23:$B$24,0))),"N/A")</f>
        <v/>
      </c>
      <c r="U164" s="50">
        <f>IFERROR(IF(INDEX('ESG'!$O$10:$O$17,MATCH($F164,'ESG'!$B$10:$B$17,0))="","Cell will autofill based on response",INDEX('ESG'!$O$10:$O$17,MATCH($F164,'ESG'!$B$10:$B$17,0))),"N/A")</f>
        <v/>
      </c>
      <c r="V164" s="50">
        <f>IFERROR(IF(INDEX('CIOG'!$O$10:$O$14,MATCH($F164,'CIOG'!$B$10:$B$14,0))="","Cell will autofill based on response",INDEX('CIOG'!$O$10:$O$14,MATCH($F164,'CIOG'!$B$10:$B$14,0))),"N/A")</f>
        <v/>
      </c>
      <c r="W164" s="50">
        <f>IFERROR(IF(INDEX('MRE'!$O$10:$O$18,MATCH($F164,'MRE'!$B$10:$B$18,0))="","Cell will autofill based on response",INDEX('MRE'!$O$10:$O$18,MATCH($F164,'MRE'!$B$10:$B$18,0))),"N/A")</f>
        <v/>
      </c>
      <c r="X164" s="50">
        <f>IFERROR(IF(INDEX('AC&amp;M'!$O$10:$O$14,MATCH($F164,'AC&amp;M'!$B$10:$B$14,0))="","Cell will autofill based on response",INDEX('AC&amp;M'!$O$10:$O$14,MATCH($F164,'AC&amp;M'!$B$10:$B$14,0))),"N/A")</f>
        <v/>
      </c>
      <c r="Y164" s="50">
        <f>IFERROR(IF(INDEX('GCE'!$O$10:$O$12,MATCH($F164,'GCE'!$B$10:$B$12,0))="","Cell will autofill based on response",INDEX('GCE'!$O$10:$O$12,MATCH($F164,'GCE'!$B$10:$B$12,0))),"N/A")</f>
        <v/>
      </c>
      <c r="Z164" s="50">
        <f>IFERROR(IF(INDEX('Education'!$O$10:$O$13,MATCH($F164,'Education'!$B$10:$B$13,0))="","Cell will autofill based on response",INDEX('Education'!$O$10:$O$13,MATCH($F164,'Education'!$B$10:$B$13,0))),"N/A")</f>
        <v/>
      </c>
      <c r="AA164" s="50">
        <f>IFERROR(IF(INDEX('SaSS'!$O$10:$O$12,MATCH($F164,'SaSS'!$B$10:$B$12,0))="","Cell will autofill based on response",INDEX('SaSS'!$O$10:$O$12,MATCH($F164,'SaSS'!$B$10:$B$12,0))),"N/A")</f>
        <v/>
      </c>
      <c r="AB164" s="50">
        <f>IFERROR(IF(INDEX('Indigenous'!$O$10:$O$11,MATCH($F164,'Indigenous'!$B$10:$B$11,0))="","Cell will autofill based on response",INDEX('Indigenous'!$O$10:$O$11,MATCH($F164,'Indigenous'!$B$10:$B$11,0))),"N/A")</f>
        <v/>
      </c>
      <c r="AC164" s="50">
        <f>IFERROR(IF(INDEX('L&amp;R'!$O$10:$O$11,MATCH($F164,'L&amp;R'!$B$10:$B$11,0))="","Cell will autofill based on response",INDEX('L&amp;R'!$O$10:$O$11,MATCH($F164,'L&amp;R'!$B$10:$B$11,0))),"N/A")</f>
        <v/>
      </c>
    </row>
    <row r="165" ht="22" customHeight="1">
      <c r="A165">
        <f>F165&amp;"|"&amp;G165</f>
        <v/>
      </c>
      <c r="B165" s="12" t="inlineStr"/>
      <c r="C165" s="7" t="inlineStr"/>
      <c r="D165" s="7" t="inlineStr"/>
      <c r="E165" s="7" t="inlineStr"/>
      <c r="F165" s="7" t="inlineStr">
        <is>
          <t>EI1(d)</t>
        </is>
      </c>
      <c r="G165" s="7" t="inlineStr">
        <is>
          <t>Data owner confirms</t>
        </is>
      </c>
      <c r="H165" s="50">
        <f>IFERROR(IF(INDEX('Faculties'!$P$10:$P$18,MATCH($F165,'Faculties'!$B$10:$B$18,0))="","Cell will autofill based on response",INDEX('Faculties'!$P$10:$P$18,MATCH($F165,'Faculties'!$B$10:$B$18,0))),"N/A")</f>
        <v/>
      </c>
      <c r="I165" s="50">
        <f>IFERROR(IF(INDEX('Faculties'!$P$25:$P$34,MATCH($F165,'Faculties'!$B$25:$B$34,0))="","Cell will autofill based on response",INDEX('Faculties'!$P$25:$P$34,MATCH($F165,'Faculties'!$B$25:$B$34,0))),"N/A")</f>
        <v/>
      </c>
      <c r="J165" s="50">
        <f>IFERROR(IF(INDEX('Faculties'!$P$41:$P$50,MATCH($F165,'Faculties'!$B$41:$B$50,0))="","Cell will autofill based on response",INDEX('Faculties'!$P$41:$P$50,MATCH($F165,'Faculties'!$B$41:$B$50,0))),"N/A")</f>
        <v/>
      </c>
      <c r="K165" s="50">
        <f>IFERROR(IF(INDEX('Faculties'!$P$57:$P$66,MATCH($F165,'Faculties'!$B$57:$B$66,0))="","Cell will autofill based on response",INDEX('Faculties'!$P$57:$P$66,MATCH($F165,'Faculties'!$B$57:$B$66,0))),"N/A")</f>
        <v/>
      </c>
      <c r="L165" s="50">
        <f>IFERROR(IF(INDEX('Faculties'!$P$73:$P$82,MATCH($F165,'Faculties'!$B$73:$B$82,0))="","Cell will autofill based on response",INDEX('Faculties'!$P$73:$P$82,MATCH($F165,'Faculties'!$B$73:$B$82,0))),"N/A")</f>
        <v/>
      </c>
      <c r="M165" s="50">
        <f>IFERROR(IF(INDEX('Faculties'!$P$89:$P$98,MATCH($F165,'Faculties'!$B$89:$B$98,0))="","Cell will autofill based on response",INDEX('Faculties'!$P$89:$P$98,MATCH($F165,'Faculties'!$B$89:$B$98,0))),"N/A")</f>
        <v/>
      </c>
      <c r="N165" s="50">
        <f>IFERROR(IF(INDEX('Faculties'!$P$105:$P$114,MATCH($F165,'Faculties'!$B$105:$B$114,0))="","Cell will autofill based on response",INDEX('Faculties'!$P$105:$P$114,MATCH($F165,'Faculties'!$B$105:$B$114,0))),"N/A")</f>
        <v/>
      </c>
      <c r="O165" s="50">
        <f>IFERROR(IF(INDEX('Faculties'!$P$121:$P$130,MATCH($F165,'Faculties'!$B$121:$B$130,0))="","Cell will autofill based on response",INDEX('Faculties'!$P$121:$P$130,MATCH($F165,'Faculties'!$B$121:$B$130,0))),"N/A")</f>
        <v/>
      </c>
      <c r="P165" s="50">
        <f>IFERROR(IF(INDEX('Faculties'!$P$137:$P$146,MATCH($F165,'Faculties'!$B$137:$B$146,0))="","Cell will autofill based on response",INDEX('Faculties'!$P$137:$P$146,MATCH($F165,'Faculties'!$B$137:$B$146,0))),"N/A")</f>
        <v/>
      </c>
      <c r="Q165" s="50">
        <f>IFERROR(IF(INDEX('CI&amp;S'!$P$10:$P$15,MATCH($F165,'CI&amp;S'!$B$10:$B$15,0))="","Cell will autofill based on response",INDEX('CI&amp;S'!$P$10:$P$15,MATCH($F165,'CI&amp;S'!$B$10:$B$15,0))),"N/A")</f>
        <v/>
      </c>
      <c r="R165" s="50">
        <f>IFERROR(IF(INDEX('CI&amp;S'!$P$22:$P$36,MATCH($F165,'CI&amp;S'!$B$22:$B$36,0))="","Cell will autofill based on response",INDEX('CI&amp;S'!$P$22:$P$36,MATCH($F165,'CI&amp;S'!$B$22:$B$36,0))),"N/A")</f>
        <v/>
      </c>
      <c r="S165" s="50">
        <f>IFERROR(IF(INDEX('CFOG'!$P$10:$P$16,MATCH($F165,'CFOG'!$B$10:$B$16,0))="","Cell will autofill based on response",INDEX('CFOG'!$P$10:$P$16,MATCH($F165,'CFOG'!$B$10:$B$16,0))),"N/A")</f>
        <v/>
      </c>
      <c r="T165" s="50">
        <f>IFERROR(IF(INDEX('CFOG'!$P$23:$P$24,MATCH($F165,'CFOG'!$B$23:$B$24,0))="","Cell will autofill based on response",INDEX('CFOG'!$P$23:$P$24,MATCH($F165,'CFOG'!$B$23:$B$24,0))),"N/A")</f>
        <v/>
      </c>
      <c r="U165" s="50">
        <f>IFERROR(IF(INDEX('ESG'!$P$10:$P$17,MATCH($F165,'ESG'!$B$10:$B$17,0))="","Cell will autofill based on response",INDEX('ESG'!$P$10:$P$17,MATCH($F165,'ESG'!$B$10:$B$17,0))),"N/A")</f>
        <v/>
      </c>
      <c r="V165" s="50">
        <f>IFERROR(IF(INDEX('CIOG'!$P$10:$P$14,MATCH($F165,'CIOG'!$B$10:$B$14,0))="","Cell will autofill based on response",INDEX('CIOG'!$P$10:$P$14,MATCH($F165,'CIOG'!$B$10:$B$14,0))),"N/A")</f>
        <v/>
      </c>
      <c r="W165" s="50">
        <f>IFERROR(IF(INDEX('MRE'!$P$10:$P$18,MATCH($F165,'MRE'!$B$10:$B$18,0))="","Cell will autofill based on response",INDEX('MRE'!$P$10:$P$18,MATCH($F165,'MRE'!$B$10:$B$18,0))),"N/A")</f>
        <v/>
      </c>
      <c r="X165" s="50">
        <f>IFERROR(IF(INDEX('AC&amp;M'!$P$10:$P$14,MATCH($F165,'AC&amp;M'!$B$10:$B$14,0))="","Cell will autofill based on response",INDEX('AC&amp;M'!$P$10:$P$14,MATCH($F165,'AC&amp;M'!$B$10:$B$14,0))),"N/A")</f>
        <v/>
      </c>
      <c r="Y165" s="50">
        <f>IFERROR(IF(INDEX('GCE'!$P$10:$P$12,MATCH($F165,'GCE'!$B$10:$B$12,0))="","Cell will autofill based on response",INDEX('GCE'!$P$10:$P$12,MATCH($F165,'GCE'!$B$10:$B$12,0))),"N/A")</f>
        <v/>
      </c>
      <c r="Z165" s="50">
        <f>IFERROR(IF(INDEX('Education'!$P$10:$P$13,MATCH($F165,'Education'!$B$10:$B$13,0))="","Cell will autofill based on response",INDEX('Education'!$P$10:$P$13,MATCH($F165,'Education'!$B$10:$B$13,0))),"N/A")</f>
        <v/>
      </c>
      <c r="AA165" s="50">
        <f>IFERROR(IF(INDEX('SaSS'!$P$10:$P$12,MATCH($F165,'SaSS'!$B$10:$B$12,0))="","Cell will autofill based on response",INDEX('SaSS'!$P$10:$P$12,MATCH($F165,'SaSS'!$B$10:$B$12,0))),"N/A")</f>
        <v/>
      </c>
      <c r="AB165" s="50">
        <f>IFERROR(IF(INDEX('Indigenous'!$P$10:$P$11,MATCH($F165,'Indigenous'!$B$10:$B$11,0))="","Cell will autofill based on response",INDEX('Indigenous'!$P$10:$P$11,MATCH($F165,'Indigenous'!$B$10:$B$11,0))),"N/A")</f>
        <v/>
      </c>
      <c r="AC165" s="50">
        <f>IFERROR(IF(INDEX('L&amp;R'!$P$10:$P$11,MATCH($F165,'L&amp;R'!$B$10:$B$11,0))="","Cell will autofill based on response",INDEX('L&amp;R'!$P$10:$P$11,MATCH($F165,'L&amp;R'!$B$10:$B$11,0))),"N/A")</f>
        <v/>
      </c>
    </row>
    <row r="166" ht="56" customHeight="1">
      <c r="A166">
        <f>F166&amp;"|"&amp;G166</f>
        <v/>
      </c>
      <c r="B166" s="6" t="inlineStr">
        <is>
          <t>RP1(a)</t>
        </is>
      </c>
      <c r="C166" s="48" t="inlineStr">
        <is>
          <t>Responsible procurement</t>
        </is>
      </c>
      <c r="D166" s="48" t="inlineStr">
        <is>
          <t>Case studies of maturity improvement related to responsible procurement process and systems.</t>
        </is>
      </c>
      <c r="E166" s="48" t="inlineStr">
        <is>
          <t>Maturity score if framework established; % procurement staff trained</t>
        </is>
      </c>
      <c r="F166" s="48" t="inlineStr">
        <is>
          <t>RP1(a)</t>
        </is>
      </c>
      <c r="G166" s="48" t="inlineStr">
        <is>
          <t>OPTION 1:  Target-level reporting</t>
        </is>
      </c>
      <c r="H166" s="50">
        <f>IFERROR(IF(INDEX('Faculties'!$L$10:$L$18,MATCH($F166,'Faculties'!$B$10:$B$18,0))="","Cell will autofill based on response",INDEX('Faculties'!$L$10:$L$18,MATCH($F166,'Faculties'!$B$10:$B$18,0))),"N/A")</f>
        <v/>
      </c>
      <c r="I166" s="50">
        <f>IFERROR(IF(INDEX('Faculties'!$L$25:$L$34,MATCH($F166,'Faculties'!$B$25:$B$34,0))="","Cell will autofill based on response",INDEX('Faculties'!$L$25:$L$34,MATCH($F166,'Faculties'!$B$25:$B$34,0))),"N/A")</f>
        <v/>
      </c>
      <c r="J166" s="50">
        <f>IFERROR(IF(INDEX('Faculties'!$L$41:$L$50,MATCH($F166,'Faculties'!$B$41:$B$50,0))="","Cell will autofill based on response",INDEX('Faculties'!$L$41:$L$50,MATCH($F166,'Faculties'!$B$41:$B$50,0))),"N/A")</f>
        <v/>
      </c>
      <c r="K166" s="50">
        <f>IFERROR(IF(INDEX('Faculties'!$L$57:$L$66,MATCH($F166,'Faculties'!$B$57:$B$66,0))="","Cell will autofill based on response",INDEX('Faculties'!$L$57:$L$66,MATCH($F166,'Faculties'!$B$57:$B$66,0))),"N/A")</f>
        <v/>
      </c>
      <c r="L166" s="50">
        <f>IFERROR(IF(INDEX('Faculties'!$L$73:$L$82,MATCH($F166,'Faculties'!$B$73:$B$82,0))="","Cell will autofill based on response",INDEX('Faculties'!$L$73:$L$82,MATCH($F166,'Faculties'!$B$73:$B$82,0))),"N/A")</f>
        <v/>
      </c>
      <c r="M166" s="50">
        <f>IFERROR(IF(INDEX('Faculties'!$L$89:$L$98,MATCH($F166,'Faculties'!$B$89:$B$98,0))="","Cell will autofill based on response",INDEX('Faculties'!$L$89:$L$98,MATCH($F166,'Faculties'!$B$89:$B$98,0))),"N/A")</f>
        <v/>
      </c>
      <c r="N166" s="50">
        <f>IFERROR(IF(INDEX('Faculties'!$L$105:$L$114,MATCH($F166,'Faculties'!$B$105:$B$114,0))="","Cell will autofill based on response",INDEX('Faculties'!$L$105:$L$114,MATCH($F166,'Faculties'!$B$105:$B$114,0))),"N/A")</f>
        <v/>
      </c>
      <c r="O166" s="50">
        <f>IFERROR(IF(INDEX('Faculties'!$L$121:$L$130,MATCH($F166,'Faculties'!$B$121:$B$130,0))="","Cell will autofill based on response",INDEX('Faculties'!$L$121:$L$130,MATCH($F166,'Faculties'!$B$121:$B$130,0))),"N/A")</f>
        <v/>
      </c>
      <c r="P166" s="50">
        <f>IFERROR(IF(INDEX('Faculties'!$L$137:$L$146,MATCH($F166,'Faculties'!$B$137:$B$146,0))="","Cell will autofill based on response",INDEX('Faculties'!$L$137:$L$146,MATCH($F166,'Faculties'!$B$137:$B$146,0))),"N/A")</f>
        <v/>
      </c>
      <c r="Q166" s="50">
        <f>IFERROR(IF(INDEX('CI&amp;S'!$L$10:$L$15,MATCH($F166,'CI&amp;S'!$B$10:$B$15,0))="","Cell will autofill based on response",INDEX('CI&amp;S'!$L$10:$L$15,MATCH($F166,'CI&amp;S'!$B$10:$B$15,0))),"N/A")</f>
        <v/>
      </c>
      <c r="R166" s="50">
        <f>IFERROR(IF(INDEX('CI&amp;S'!$L$22:$L$36,MATCH($F166,'CI&amp;S'!$B$22:$B$36,0))="","Cell will autofill based on response",INDEX('CI&amp;S'!$L$22:$L$36,MATCH($F166,'CI&amp;S'!$B$22:$B$36,0))),"N/A")</f>
        <v/>
      </c>
      <c r="S166" s="50">
        <f>IFERROR(IF(INDEX('CFOG'!$L$10:$L$16,MATCH($F166,'CFOG'!$B$10:$B$16,0))="","Cell will autofill based on response",INDEX('CFOG'!$L$10:$L$16,MATCH($F166,'CFOG'!$B$10:$B$16,0))),"N/A")</f>
        <v/>
      </c>
      <c r="T166" s="50">
        <f>IFERROR(IF(INDEX('CFOG'!$L$23:$L$24,MATCH($F166,'CFOG'!$B$23:$B$24,0))="","Cell will autofill based on response",INDEX('CFOG'!$L$23:$L$24,MATCH($F166,'CFOG'!$B$23:$B$24,0))),"N/A")</f>
        <v/>
      </c>
      <c r="U166" s="50">
        <f>IFERROR(IF(INDEX('ESG'!$L$10:$L$17,MATCH($F166,'ESG'!$B$10:$B$17,0))="","Cell will autofill based on response",INDEX('ESG'!$L$10:$L$17,MATCH($F166,'ESG'!$B$10:$B$17,0))),"N/A")</f>
        <v/>
      </c>
      <c r="V166" s="50">
        <f>IFERROR(IF(INDEX('CIOG'!$L$10:$L$14,MATCH($F166,'CIOG'!$B$10:$B$14,0))="","Cell will autofill based on response",INDEX('CIOG'!$L$10:$L$14,MATCH($F166,'CIOG'!$B$10:$B$14,0))),"N/A")</f>
        <v/>
      </c>
      <c r="W166" s="50">
        <f>IFERROR(IF(INDEX('MRE'!$L$10:$L$18,MATCH($F166,'MRE'!$B$10:$B$18,0))="","Cell will autofill based on response",INDEX('MRE'!$L$10:$L$18,MATCH($F166,'MRE'!$B$10:$B$18,0))),"N/A")</f>
        <v/>
      </c>
      <c r="X166" s="50">
        <f>IFERROR(IF(INDEX('AC&amp;M'!$L$10:$L$14,MATCH($F166,'AC&amp;M'!$B$10:$B$14,0))="","Cell will autofill based on response",INDEX('AC&amp;M'!$L$10:$L$14,MATCH($F166,'AC&amp;M'!$B$10:$B$14,0))),"N/A")</f>
        <v/>
      </c>
      <c r="Y166" s="50">
        <f>IFERROR(IF(INDEX('GCE'!$L$10:$L$12,MATCH($F166,'GCE'!$B$10:$B$12,0))="","Cell will autofill based on response",INDEX('GCE'!$L$10:$L$12,MATCH($F166,'GCE'!$B$10:$B$12,0))),"N/A")</f>
        <v/>
      </c>
      <c r="Z166" s="50">
        <f>IFERROR(IF(INDEX('Education'!$L$10:$L$13,MATCH($F166,'Education'!$B$10:$B$13,0))="","Cell will autofill based on response",INDEX('Education'!$L$10:$L$13,MATCH($F166,'Education'!$B$10:$B$13,0))),"N/A")</f>
        <v/>
      </c>
      <c r="AA166" s="50">
        <f>IFERROR(IF(INDEX('SaSS'!$L$10:$L$12,MATCH($F166,'SaSS'!$B$10:$B$12,0))="","Cell will autofill based on response",INDEX('SaSS'!$L$10:$L$12,MATCH($F166,'SaSS'!$B$10:$B$12,0))),"N/A")</f>
        <v/>
      </c>
      <c r="AB166" s="50">
        <f>IFERROR(IF(INDEX('Indigenous'!$L$10:$L$11,MATCH($F166,'Indigenous'!$B$10:$B$11,0))="","Cell will autofill based on response",INDEX('Indigenous'!$L$10:$L$11,MATCH($F166,'Indigenous'!$B$10:$B$11,0))),"N/A")</f>
        <v/>
      </c>
      <c r="AC166" s="50">
        <f>IFERROR(IF(INDEX('L&amp;R'!$L$10:$L$11,MATCH($F166,'L&amp;R'!$B$10:$B$11,0))="","Cell will autofill based on response",INDEX('L&amp;R'!$L$10:$L$11,MATCH($F166,'L&amp;R'!$B$10:$B$11,0))),"N/A")</f>
        <v/>
      </c>
      <c r="AE166" s="9">
        <f>SUMPRODUCT(--($H166:$AC166&lt;&gt;"N/A"))</f>
        <v/>
      </c>
      <c r="AF166" s="9">
        <f>SUMPRODUCT(--(((($H166:$AC166&lt;&gt;"N/A")*($H166:$AC166&lt;&gt;"Cell will autofill based on response"))+(($H167:$AC167&lt;&gt;"N/A")*($H167:$AC167&lt;&gt;"Cell will autofill based on response")))&gt;0))</f>
        <v/>
      </c>
      <c r="AG166" s="9">
        <f>AE166-AF166</f>
        <v/>
      </c>
      <c r="AH166" s="9">
        <f>COUNTIF($H170:$AC170,"Yes")</f>
        <v/>
      </c>
    </row>
    <row r="167" ht="39" customHeight="1">
      <c r="A167">
        <f>F167&amp;"|"&amp;G167</f>
        <v/>
      </c>
      <c r="B167" s="12" t="inlineStr"/>
      <c r="C167" s="7" t="inlineStr"/>
      <c r="D167" s="7" t="inlineStr"/>
      <c r="E167" s="7" t="inlineStr"/>
      <c r="F167" s="7" t="inlineStr">
        <is>
          <t>RP1(a)</t>
        </is>
      </c>
      <c r="G167" s="7" t="inlineStr">
        <is>
          <t>OPTION 2:  Indicator level reporting</t>
        </is>
      </c>
      <c r="H167" s="50">
        <f>IFERROR(IF(INDEX('Faculties'!$M$10:$M$18,MATCH($F167,'Faculties'!$B$10:$B$18,0))="","Cell will autofill based on response",INDEX('Faculties'!$M$10:$M$18,MATCH($F167,'Faculties'!$B$10:$B$18,0))),"N/A")</f>
        <v/>
      </c>
      <c r="I167" s="50">
        <f>IFERROR(IF(INDEX('Faculties'!$M$25:$M$34,MATCH($F167,'Faculties'!$B$25:$B$34,0))="","Cell will autofill based on response",INDEX('Faculties'!$M$25:$M$34,MATCH($F167,'Faculties'!$B$25:$B$34,0))),"N/A")</f>
        <v/>
      </c>
      <c r="J167" s="50">
        <f>IFERROR(IF(INDEX('Faculties'!$M$41:$M$50,MATCH($F167,'Faculties'!$B$41:$B$50,0))="","Cell will autofill based on response",INDEX('Faculties'!$M$41:$M$50,MATCH($F167,'Faculties'!$B$41:$B$50,0))),"N/A")</f>
        <v/>
      </c>
      <c r="K167" s="50">
        <f>IFERROR(IF(INDEX('Faculties'!$M$57:$M$66,MATCH($F167,'Faculties'!$B$57:$B$66,0))="","Cell will autofill based on response",INDEX('Faculties'!$M$57:$M$66,MATCH($F167,'Faculties'!$B$57:$B$66,0))),"N/A")</f>
        <v/>
      </c>
      <c r="L167" s="50">
        <f>IFERROR(IF(INDEX('Faculties'!$M$73:$M$82,MATCH($F167,'Faculties'!$B$73:$B$82,0))="","Cell will autofill based on response",INDEX('Faculties'!$M$73:$M$82,MATCH($F167,'Faculties'!$B$73:$B$82,0))),"N/A")</f>
        <v/>
      </c>
      <c r="M167" s="50">
        <f>IFERROR(IF(INDEX('Faculties'!$M$89:$M$98,MATCH($F167,'Faculties'!$B$89:$B$98,0))="","Cell will autofill based on response",INDEX('Faculties'!$M$89:$M$98,MATCH($F167,'Faculties'!$B$89:$B$98,0))),"N/A")</f>
        <v/>
      </c>
      <c r="N167" s="50">
        <f>IFERROR(IF(INDEX('Faculties'!$M$105:$M$114,MATCH($F167,'Faculties'!$B$105:$B$114,0))="","Cell will autofill based on response",INDEX('Faculties'!$M$105:$M$114,MATCH($F167,'Faculties'!$B$105:$B$114,0))),"N/A")</f>
        <v/>
      </c>
      <c r="O167" s="50">
        <f>IFERROR(IF(INDEX('Faculties'!$M$121:$M$130,MATCH($F167,'Faculties'!$B$121:$B$130,0))="","Cell will autofill based on response",INDEX('Faculties'!$M$121:$M$130,MATCH($F167,'Faculties'!$B$121:$B$130,0))),"N/A")</f>
        <v/>
      </c>
      <c r="P167" s="50">
        <f>IFERROR(IF(INDEX('Faculties'!$M$137:$M$146,MATCH($F167,'Faculties'!$B$137:$B$146,0))="","Cell will autofill based on response",INDEX('Faculties'!$M$137:$M$146,MATCH($F167,'Faculties'!$B$137:$B$146,0))),"N/A")</f>
        <v/>
      </c>
      <c r="Q167" s="50">
        <f>IFERROR(IF(INDEX('CI&amp;S'!$M$10:$M$15,MATCH($F167,'CI&amp;S'!$B$10:$B$15,0))="","Cell will autofill based on response",INDEX('CI&amp;S'!$M$10:$M$15,MATCH($F167,'CI&amp;S'!$B$10:$B$15,0))),"N/A")</f>
        <v/>
      </c>
      <c r="R167" s="50">
        <f>IFERROR(IF(INDEX('CI&amp;S'!$M$22:$M$36,MATCH($F167,'CI&amp;S'!$B$22:$B$36,0))="","Cell will autofill based on response",INDEX('CI&amp;S'!$M$22:$M$36,MATCH($F167,'CI&amp;S'!$B$22:$B$36,0))),"N/A")</f>
        <v/>
      </c>
      <c r="S167" s="50">
        <f>IFERROR(IF(INDEX('CFOG'!$M$10:$M$16,MATCH($F167,'CFOG'!$B$10:$B$16,0))="","Cell will autofill based on response",INDEX('CFOG'!$M$10:$M$16,MATCH($F167,'CFOG'!$B$10:$B$16,0))),"N/A")</f>
        <v/>
      </c>
      <c r="T167" s="50">
        <f>IFERROR(IF(INDEX('CFOG'!$M$23:$M$24,MATCH($F167,'CFOG'!$B$23:$B$24,0))="","Cell will autofill based on response",INDEX('CFOG'!$M$23:$M$24,MATCH($F167,'CFOG'!$B$23:$B$24,0))),"N/A")</f>
        <v/>
      </c>
      <c r="U167" s="50">
        <f>IFERROR(IF(INDEX('ESG'!$M$10:$M$17,MATCH($F167,'ESG'!$B$10:$B$17,0))="","Cell will autofill based on response",INDEX('ESG'!$M$10:$M$17,MATCH($F167,'ESG'!$B$10:$B$17,0))),"N/A")</f>
        <v/>
      </c>
      <c r="V167" s="50">
        <f>IFERROR(IF(INDEX('CIOG'!$M$10:$M$14,MATCH($F167,'CIOG'!$B$10:$B$14,0))="","Cell will autofill based on response",INDEX('CIOG'!$M$10:$M$14,MATCH($F167,'CIOG'!$B$10:$B$14,0))),"N/A")</f>
        <v/>
      </c>
      <c r="W167" s="50">
        <f>IFERROR(IF(INDEX('MRE'!$M$10:$M$18,MATCH($F167,'MRE'!$B$10:$B$18,0))="","Cell will autofill based on response",INDEX('MRE'!$M$10:$M$18,MATCH($F167,'MRE'!$B$10:$B$18,0))),"N/A")</f>
        <v/>
      </c>
      <c r="X167" s="50">
        <f>IFERROR(IF(INDEX('AC&amp;M'!$M$10:$M$14,MATCH($F167,'AC&amp;M'!$B$10:$B$14,0))="","Cell will autofill based on response",INDEX('AC&amp;M'!$M$10:$M$14,MATCH($F167,'AC&amp;M'!$B$10:$B$14,0))),"N/A")</f>
        <v/>
      </c>
      <c r="Y167" s="50">
        <f>IFERROR(IF(INDEX('GCE'!$M$10:$M$12,MATCH($F167,'GCE'!$B$10:$B$12,0))="","Cell will autofill based on response",INDEX('GCE'!$M$10:$M$12,MATCH($F167,'GCE'!$B$10:$B$12,0))),"N/A")</f>
        <v/>
      </c>
      <c r="Z167" s="50">
        <f>IFERROR(IF(INDEX('Education'!$M$10:$M$13,MATCH($F167,'Education'!$B$10:$B$13,0))="","Cell will autofill based on response",INDEX('Education'!$M$10:$M$13,MATCH($F167,'Education'!$B$10:$B$13,0))),"N/A")</f>
        <v/>
      </c>
      <c r="AA167" s="50">
        <f>IFERROR(IF(INDEX('SaSS'!$M$10:$M$12,MATCH($F167,'SaSS'!$B$10:$B$12,0))="","Cell will autofill based on response",INDEX('SaSS'!$M$10:$M$12,MATCH($F167,'SaSS'!$B$10:$B$12,0))),"N/A")</f>
        <v/>
      </c>
      <c r="AB167" s="50">
        <f>IFERROR(IF(INDEX('Indigenous'!$M$10:$M$11,MATCH($F167,'Indigenous'!$B$10:$B$11,0))="","Cell will autofill based on response",INDEX('Indigenous'!$M$10:$M$11,MATCH($F167,'Indigenous'!$B$10:$B$11,0))),"N/A")</f>
        <v/>
      </c>
      <c r="AC167" s="50">
        <f>IFERROR(IF(INDEX('L&amp;R'!$M$10:$M$11,MATCH($F167,'L&amp;R'!$B$10:$B$11,0))="","Cell will autofill based on response",INDEX('L&amp;R'!$M$10:$M$11,MATCH($F167,'L&amp;R'!$B$10:$B$11,0))),"N/A")</f>
        <v/>
      </c>
    </row>
    <row r="168" ht="22" customHeight="1">
      <c r="A168">
        <f>F168&amp;"|"&amp;G168</f>
        <v/>
      </c>
      <c r="B168" s="12" t="inlineStr"/>
      <c r="C168" s="7" t="inlineStr"/>
      <c r="D168" s="7" t="inlineStr"/>
      <c r="E168" s="7" t="inlineStr"/>
      <c r="F168" s="7" t="inlineStr">
        <is>
          <t>RP1(a)</t>
        </is>
      </c>
      <c r="G168" s="7" t="inlineStr">
        <is>
          <t>Supporting information/comments</t>
        </is>
      </c>
      <c r="H168" s="50">
        <f>IFERROR(IF(INDEX('Faculties'!$N$10:$N$18,MATCH($F168,'Faculties'!$B$10:$B$18,0))="","Cell will autofill based on response",INDEX('Faculties'!$N$10:$N$18,MATCH($F168,'Faculties'!$B$10:$B$18,0))),"N/A")</f>
        <v/>
      </c>
      <c r="I168" s="50">
        <f>IFERROR(IF(INDEX('Faculties'!$N$25:$N$34,MATCH($F168,'Faculties'!$B$25:$B$34,0))="","Cell will autofill based on response",INDEX('Faculties'!$N$25:$N$34,MATCH($F168,'Faculties'!$B$25:$B$34,0))),"N/A")</f>
        <v/>
      </c>
      <c r="J168" s="50">
        <f>IFERROR(IF(INDEX('Faculties'!$N$41:$N$50,MATCH($F168,'Faculties'!$B$41:$B$50,0))="","Cell will autofill based on response",INDEX('Faculties'!$N$41:$N$50,MATCH($F168,'Faculties'!$B$41:$B$50,0))),"N/A")</f>
        <v/>
      </c>
      <c r="K168" s="50">
        <f>IFERROR(IF(INDEX('Faculties'!$N$57:$N$66,MATCH($F168,'Faculties'!$B$57:$B$66,0))="","Cell will autofill based on response",INDEX('Faculties'!$N$57:$N$66,MATCH($F168,'Faculties'!$B$57:$B$66,0))),"N/A")</f>
        <v/>
      </c>
      <c r="L168" s="50">
        <f>IFERROR(IF(INDEX('Faculties'!$N$73:$N$82,MATCH($F168,'Faculties'!$B$73:$B$82,0))="","Cell will autofill based on response",INDEX('Faculties'!$N$73:$N$82,MATCH($F168,'Faculties'!$B$73:$B$82,0))),"N/A")</f>
        <v/>
      </c>
      <c r="M168" s="50">
        <f>IFERROR(IF(INDEX('Faculties'!$N$89:$N$98,MATCH($F168,'Faculties'!$B$89:$B$98,0))="","Cell will autofill based on response",INDEX('Faculties'!$N$89:$N$98,MATCH($F168,'Faculties'!$B$89:$B$98,0))),"N/A")</f>
        <v/>
      </c>
      <c r="N168" s="50">
        <f>IFERROR(IF(INDEX('Faculties'!$N$105:$N$114,MATCH($F168,'Faculties'!$B$105:$B$114,0))="","Cell will autofill based on response",INDEX('Faculties'!$N$105:$N$114,MATCH($F168,'Faculties'!$B$105:$B$114,0))),"N/A")</f>
        <v/>
      </c>
      <c r="O168" s="50">
        <f>IFERROR(IF(INDEX('Faculties'!$N$121:$N$130,MATCH($F168,'Faculties'!$B$121:$B$130,0))="","Cell will autofill based on response",INDEX('Faculties'!$N$121:$N$130,MATCH($F168,'Faculties'!$B$121:$B$130,0))),"N/A")</f>
        <v/>
      </c>
      <c r="P168" s="50">
        <f>IFERROR(IF(INDEX('Faculties'!$N$137:$N$146,MATCH($F168,'Faculties'!$B$137:$B$146,0))="","Cell will autofill based on response",INDEX('Faculties'!$N$137:$N$146,MATCH($F168,'Faculties'!$B$137:$B$146,0))),"N/A")</f>
        <v/>
      </c>
      <c r="Q168" s="50">
        <f>IFERROR(IF(INDEX('CI&amp;S'!$N$10:$N$15,MATCH($F168,'CI&amp;S'!$B$10:$B$15,0))="","Cell will autofill based on response",INDEX('CI&amp;S'!$N$10:$N$15,MATCH($F168,'CI&amp;S'!$B$10:$B$15,0))),"N/A")</f>
        <v/>
      </c>
      <c r="R168" s="50">
        <f>IFERROR(IF(INDEX('CI&amp;S'!$N$22:$N$36,MATCH($F168,'CI&amp;S'!$B$22:$B$36,0))="","Cell will autofill based on response",INDEX('CI&amp;S'!$N$22:$N$36,MATCH($F168,'CI&amp;S'!$B$22:$B$36,0))),"N/A")</f>
        <v/>
      </c>
      <c r="S168" s="50">
        <f>IFERROR(IF(INDEX('CFOG'!$N$10:$N$16,MATCH($F168,'CFOG'!$B$10:$B$16,0))="","Cell will autofill based on response",INDEX('CFOG'!$N$10:$N$16,MATCH($F168,'CFOG'!$B$10:$B$16,0))),"N/A")</f>
        <v/>
      </c>
      <c r="T168" s="50">
        <f>IFERROR(IF(INDEX('CFOG'!$N$23:$N$24,MATCH($F168,'CFOG'!$B$23:$B$24,0))="","Cell will autofill based on response",INDEX('CFOG'!$N$23:$N$24,MATCH($F168,'CFOG'!$B$23:$B$24,0))),"N/A")</f>
        <v/>
      </c>
      <c r="U168" s="50">
        <f>IFERROR(IF(INDEX('ESG'!$N$10:$N$17,MATCH($F168,'ESG'!$B$10:$B$17,0))="","Cell will autofill based on response",INDEX('ESG'!$N$10:$N$17,MATCH($F168,'ESG'!$B$10:$B$17,0))),"N/A")</f>
        <v/>
      </c>
      <c r="V168" s="50">
        <f>IFERROR(IF(INDEX('CIOG'!$N$10:$N$14,MATCH($F168,'CIOG'!$B$10:$B$14,0))="","Cell will autofill based on response",INDEX('CIOG'!$N$10:$N$14,MATCH($F168,'CIOG'!$B$10:$B$14,0))),"N/A")</f>
        <v/>
      </c>
      <c r="W168" s="50">
        <f>IFERROR(IF(INDEX('MRE'!$N$10:$N$18,MATCH($F168,'MRE'!$B$10:$B$18,0))="","Cell will autofill based on response",INDEX('MRE'!$N$10:$N$18,MATCH($F168,'MRE'!$B$10:$B$18,0))),"N/A")</f>
        <v/>
      </c>
      <c r="X168" s="50">
        <f>IFERROR(IF(INDEX('AC&amp;M'!$N$10:$N$14,MATCH($F168,'AC&amp;M'!$B$10:$B$14,0))="","Cell will autofill based on response",INDEX('AC&amp;M'!$N$10:$N$14,MATCH($F168,'AC&amp;M'!$B$10:$B$14,0))),"N/A")</f>
        <v/>
      </c>
      <c r="Y168" s="50">
        <f>IFERROR(IF(INDEX('GCE'!$N$10:$N$12,MATCH($F168,'GCE'!$B$10:$B$12,0))="","Cell will autofill based on response",INDEX('GCE'!$N$10:$N$12,MATCH($F168,'GCE'!$B$10:$B$12,0))),"N/A")</f>
        <v/>
      </c>
      <c r="Z168" s="50">
        <f>IFERROR(IF(INDEX('Education'!$N$10:$N$13,MATCH($F168,'Education'!$B$10:$B$13,0))="","Cell will autofill based on response",INDEX('Education'!$N$10:$N$13,MATCH($F168,'Education'!$B$10:$B$13,0))),"N/A")</f>
        <v/>
      </c>
      <c r="AA168" s="50">
        <f>IFERROR(IF(INDEX('SaSS'!$N$10:$N$12,MATCH($F168,'SaSS'!$B$10:$B$12,0))="","Cell will autofill based on response",INDEX('SaSS'!$N$10:$N$12,MATCH($F168,'SaSS'!$B$10:$B$12,0))),"N/A")</f>
        <v/>
      </c>
      <c r="AB168" s="50">
        <f>IFERROR(IF(INDEX('Indigenous'!$N$10:$N$11,MATCH($F168,'Indigenous'!$B$10:$B$11,0))="","Cell will autofill based on response",INDEX('Indigenous'!$N$10:$N$11,MATCH($F168,'Indigenous'!$B$10:$B$11,0))),"N/A")</f>
        <v/>
      </c>
      <c r="AC168" s="50">
        <f>IFERROR(IF(INDEX('L&amp;R'!$N$10:$N$11,MATCH($F168,'L&amp;R'!$B$10:$B$11,0))="","Cell will autofill based on response",INDEX('L&amp;R'!$N$10:$N$11,MATCH($F168,'L&amp;R'!$B$10:$B$11,0))),"N/A")</f>
        <v/>
      </c>
    </row>
    <row r="169" ht="22" customHeight="1">
      <c r="A169">
        <f>F169&amp;"|"&amp;G169</f>
        <v/>
      </c>
      <c r="B169" s="12" t="inlineStr"/>
      <c r="C169" s="7" t="inlineStr"/>
      <c r="D169" s="7" t="inlineStr"/>
      <c r="E169" s="7" t="inlineStr"/>
      <c r="F169" s="7" t="inlineStr">
        <is>
          <t>RP1(a)</t>
        </is>
      </c>
      <c r="G169" s="7" t="inlineStr">
        <is>
          <t>Data source and limitations</t>
        </is>
      </c>
      <c r="H169" s="50">
        <f>IFERROR(IF(INDEX('Faculties'!$O$10:$O$18,MATCH($F169,'Faculties'!$B$10:$B$18,0))="","Cell will autofill based on response",INDEX('Faculties'!$O$10:$O$18,MATCH($F169,'Faculties'!$B$10:$B$18,0))),"N/A")</f>
        <v/>
      </c>
      <c r="I169" s="50">
        <f>IFERROR(IF(INDEX('Faculties'!$O$25:$O$34,MATCH($F169,'Faculties'!$B$25:$B$34,0))="","Cell will autofill based on response",INDEX('Faculties'!$O$25:$O$34,MATCH($F169,'Faculties'!$B$25:$B$34,0))),"N/A")</f>
        <v/>
      </c>
      <c r="J169" s="50">
        <f>IFERROR(IF(INDEX('Faculties'!$O$41:$O$50,MATCH($F169,'Faculties'!$B$41:$B$50,0))="","Cell will autofill based on response",INDEX('Faculties'!$O$41:$O$50,MATCH($F169,'Faculties'!$B$41:$B$50,0))),"N/A")</f>
        <v/>
      </c>
      <c r="K169" s="50">
        <f>IFERROR(IF(INDEX('Faculties'!$O$57:$O$66,MATCH($F169,'Faculties'!$B$57:$B$66,0))="","Cell will autofill based on response",INDEX('Faculties'!$O$57:$O$66,MATCH($F169,'Faculties'!$B$57:$B$66,0))),"N/A")</f>
        <v/>
      </c>
      <c r="L169" s="50">
        <f>IFERROR(IF(INDEX('Faculties'!$O$73:$O$82,MATCH($F169,'Faculties'!$B$73:$B$82,0))="","Cell will autofill based on response",INDEX('Faculties'!$O$73:$O$82,MATCH($F169,'Faculties'!$B$73:$B$82,0))),"N/A")</f>
        <v/>
      </c>
      <c r="M169" s="50">
        <f>IFERROR(IF(INDEX('Faculties'!$O$89:$O$98,MATCH($F169,'Faculties'!$B$89:$B$98,0))="","Cell will autofill based on response",INDEX('Faculties'!$O$89:$O$98,MATCH($F169,'Faculties'!$B$89:$B$98,0))),"N/A")</f>
        <v/>
      </c>
      <c r="N169" s="50">
        <f>IFERROR(IF(INDEX('Faculties'!$O$105:$O$114,MATCH($F169,'Faculties'!$B$105:$B$114,0))="","Cell will autofill based on response",INDEX('Faculties'!$O$105:$O$114,MATCH($F169,'Faculties'!$B$105:$B$114,0))),"N/A")</f>
        <v/>
      </c>
      <c r="O169" s="50">
        <f>IFERROR(IF(INDEX('Faculties'!$O$121:$O$130,MATCH($F169,'Faculties'!$B$121:$B$130,0))="","Cell will autofill based on response",INDEX('Faculties'!$O$121:$O$130,MATCH($F169,'Faculties'!$B$121:$B$130,0))),"N/A")</f>
        <v/>
      </c>
      <c r="P169" s="50">
        <f>IFERROR(IF(INDEX('Faculties'!$O$137:$O$146,MATCH($F169,'Faculties'!$B$137:$B$146,0))="","Cell will autofill based on response",INDEX('Faculties'!$O$137:$O$146,MATCH($F169,'Faculties'!$B$137:$B$146,0))),"N/A")</f>
        <v/>
      </c>
      <c r="Q169" s="50">
        <f>IFERROR(IF(INDEX('CI&amp;S'!$O$10:$O$15,MATCH($F169,'CI&amp;S'!$B$10:$B$15,0))="","Cell will autofill based on response",INDEX('CI&amp;S'!$O$10:$O$15,MATCH($F169,'CI&amp;S'!$B$10:$B$15,0))),"N/A")</f>
        <v/>
      </c>
      <c r="R169" s="50">
        <f>IFERROR(IF(INDEX('CI&amp;S'!$O$22:$O$36,MATCH($F169,'CI&amp;S'!$B$22:$B$36,0))="","Cell will autofill based on response",INDEX('CI&amp;S'!$O$22:$O$36,MATCH($F169,'CI&amp;S'!$B$22:$B$36,0))),"N/A")</f>
        <v/>
      </c>
      <c r="S169" s="50">
        <f>IFERROR(IF(INDEX('CFOG'!$O$10:$O$16,MATCH($F169,'CFOG'!$B$10:$B$16,0))="","Cell will autofill based on response",INDEX('CFOG'!$O$10:$O$16,MATCH($F169,'CFOG'!$B$10:$B$16,0))),"N/A")</f>
        <v/>
      </c>
      <c r="T169" s="50">
        <f>IFERROR(IF(INDEX('CFOG'!$O$23:$O$24,MATCH($F169,'CFOG'!$B$23:$B$24,0))="","Cell will autofill based on response",INDEX('CFOG'!$O$23:$O$24,MATCH($F169,'CFOG'!$B$23:$B$24,0))),"N/A")</f>
        <v/>
      </c>
      <c r="U169" s="50">
        <f>IFERROR(IF(INDEX('ESG'!$O$10:$O$17,MATCH($F169,'ESG'!$B$10:$B$17,0))="","Cell will autofill based on response",INDEX('ESG'!$O$10:$O$17,MATCH($F169,'ESG'!$B$10:$B$17,0))),"N/A")</f>
        <v/>
      </c>
      <c r="V169" s="50">
        <f>IFERROR(IF(INDEX('CIOG'!$O$10:$O$14,MATCH($F169,'CIOG'!$B$10:$B$14,0))="","Cell will autofill based on response",INDEX('CIOG'!$O$10:$O$14,MATCH($F169,'CIOG'!$B$10:$B$14,0))),"N/A")</f>
        <v/>
      </c>
      <c r="W169" s="50">
        <f>IFERROR(IF(INDEX('MRE'!$O$10:$O$18,MATCH($F169,'MRE'!$B$10:$B$18,0))="","Cell will autofill based on response",INDEX('MRE'!$O$10:$O$18,MATCH($F169,'MRE'!$B$10:$B$18,0))),"N/A")</f>
        <v/>
      </c>
      <c r="X169" s="50">
        <f>IFERROR(IF(INDEX('AC&amp;M'!$O$10:$O$14,MATCH($F169,'AC&amp;M'!$B$10:$B$14,0))="","Cell will autofill based on response",INDEX('AC&amp;M'!$O$10:$O$14,MATCH($F169,'AC&amp;M'!$B$10:$B$14,0))),"N/A")</f>
        <v/>
      </c>
      <c r="Y169" s="50">
        <f>IFERROR(IF(INDEX('GCE'!$O$10:$O$12,MATCH($F169,'GCE'!$B$10:$B$12,0))="","Cell will autofill based on response",INDEX('GCE'!$O$10:$O$12,MATCH($F169,'GCE'!$B$10:$B$12,0))),"N/A")</f>
        <v/>
      </c>
      <c r="Z169" s="50">
        <f>IFERROR(IF(INDEX('Education'!$O$10:$O$13,MATCH($F169,'Education'!$B$10:$B$13,0))="","Cell will autofill based on response",INDEX('Education'!$O$10:$O$13,MATCH($F169,'Education'!$B$10:$B$13,0))),"N/A")</f>
        <v/>
      </c>
      <c r="AA169" s="50">
        <f>IFERROR(IF(INDEX('SaSS'!$O$10:$O$12,MATCH($F169,'SaSS'!$B$10:$B$12,0))="","Cell will autofill based on response",INDEX('SaSS'!$O$10:$O$12,MATCH($F169,'SaSS'!$B$10:$B$12,0))),"N/A")</f>
        <v/>
      </c>
      <c r="AB169" s="50">
        <f>IFERROR(IF(INDEX('Indigenous'!$O$10:$O$11,MATCH($F169,'Indigenous'!$B$10:$B$11,0))="","Cell will autofill based on response",INDEX('Indigenous'!$O$10:$O$11,MATCH($F169,'Indigenous'!$B$10:$B$11,0))),"N/A")</f>
        <v/>
      </c>
      <c r="AC169" s="50">
        <f>IFERROR(IF(INDEX('L&amp;R'!$O$10:$O$11,MATCH($F169,'L&amp;R'!$B$10:$B$11,0))="","Cell will autofill based on response",INDEX('L&amp;R'!$O$10:$O$11,MATCH($F169,'L&amp;R'!$B$10:$B$11,0))),"N/A")</f>
        <v/>
      </c>
    </row>
    <row r="170" ht="22" customHeight="1">
      <c r="A170">
        <f>F170&amp;"|"&amp;G170</f>
        <v/>
      </c>
      <c r="B170" s="12" t="inlineStr"/>
      <c r="C170" s="7" t="inlineStr"/>
      <c r="D170" s="7" t="inlineStr"/>
      <c r="E170" s="7" t="inlineStr"/>
      <c r="F170" s="7" t="inlineStr">
        <is>
          <t>RP1(a)</t>
        </is>
      </c>
      <c r="G170" s="7" t="inlineStr">
        <is>
          <t>Data owner confirms</t>
        </is>
      </c>
      <c r="H170" s="50">
        <f>IFERROR(IF(INDEX('Faculties'!$P$10:$P$18,MATCH($F170,'Faculties'!$B$10:$B$18,0))="","Cell will autofill based on response",INDEX('Faculties'!$P$10:$P$18,MATCH($F170,'Faculties'!$B$10:$B$18,0))),"N/A")</f>
        <v/>
      </c>
      <c r="I170" s="50">
        <f>IFERROR(IF(INDEX('Faculties'!$P$25:$P$34,MATCH($F170,'Faculties'!$B$25:$B$34,0))="","Cell will autofill based on response",INDEX('Faculties'!$P$25:$P$34,MATCH($F170,'Faculties'!$B$25:$B$34,0))),"N/A")</f>
        <v/>
      </c>
      <c r="J170" s="50">
        <f>IFERROR(IF(INDEX('Faculties'!$P$41:$P$50,MATCH($F170,'Faculties'!$B$41:$B$50,0))="","Cell will autofill based on response",INDEX('Faculties'!$P$41:$P$50,MATCH($F170,'Faculties'!$B$41:$B$50,0))),"N/A")</f>
        <v/>
      </c>
      <c r="K170" s="50">
        <f>IFERROR(IF(INDEX('Faculties'!$P$57:$P$66,MATCH($F170,'Faculties'!$B$57:$B$66,0))="","Cell will autofill based on response",INDEX('Faculties'!$P$57:$P$66,MATCH($F170,'Faculties'!$B$57:$B$66,0))),"N/A")</f>
        <v/>
      </c>
      <c r="L170" s="50">
        <f>IFERROR(IF(INDEX('Faculties'!$P$73:$P$82,MATCH($F170,'Faculties'!$B$73:$B$82,0))="","Cell will autofill based on response",INDEX('Faculties'!$P$73:$P$82,MATCH($F170,'Faculties'!$B$73:$B$82,0))),"N/A")</f>
        <v/>
      </c>
      <c r="M170" s="50">
        <f>IFERROR(IF(INDEX('Faculties'!$P$89:$P$98,MATCH($F170,'Faculties'!$B$89:$B$98,0))="","Cell will autofill based on response",INDEX('Faculties'!$P$89:$P$98,MATCH($F170,'Faculties'!$B$89:$B$98,0))),"N/A")</f>
        <v/>
      </c>
      <c r="N170" s="50">
        <f>IFERROR(IF(INDEX('Faculties'!$P$105:$P$114,MATCH($F170,'Faculties'!$B$105:$B$114,0))="","Cell will autofill based on response",INDEX('Faculties'!$P$105:$P$114,MATCH($F170,'Faculties'!$B$105:$B$114,0))),"N/A")</f>
        <v/>
      </c>
      <c r="O170" s="50">
        <f>IFERROR(IF(INDEX('Faculties'!$P$121:$P$130,MATCH($F170,'Faculties'!$B$121:$B$130,0))="","Cell will autofill based on response",INDEX('Faculties'!$P$121:$P$130,MATCH($F170,'Faculties'!$B$121:$B$130,0))),"N/A")</f>
        <v/>
      </c>
      <c r="P170" s="50">
        <f>IFERROR(IF(INDEX('Faculties'!$P$137:$P$146,MATCH($F170,'Faculties'!$B$137:$B$146,0))="","Cell will autofill based on response",INDEX('Faculties'!$P$137:$P$146,MATCH($F170,'Faculties'!$B$137:$B$146,0))),"N/A")</f>
        <v/>
      </c>
      <c r="Q170" s="50">
        <f>IFERROR(IF(INDEX('CI&amp;S'!$P$10:$P$15,MATCH($F170,'CI&amp;S'!$B$10:$B$15,0))="","Cell will autofill based on response",INDEX('CI&amp;S'!$P$10:$P$15,MATCH($F170,'CI&amp;S'!$B$10:$B$15,0))),"N/A")</f>
        <v/>
      </c>
      <c r="R170" s="50">
        <f>IFERROR(IF(INDEX('CI&amp;S'!$P$22:$P$36,MATCH($F170,'CI&amp;S'!$B$22:$B$36,0))="","Cell will autofill based on response",INDEX('CI&amp;S'!$P$22:$P$36,MATCH($F170,'CI&amp;S'!$B$22:$B$36,0))),"N/A")</f>
        <v/>
      </c>
      <c r="S170" s="50">
        <f>IFERROR(IF(INDEX('CFOG'!$P$10:$P$16,MATCH($F170,'CFOG'!$B$10:$B$16,0))="","Cell will autofill based on response",INDEX('CFOG'!$P$10:$P$16,MATCH($F170,'CFOG'!$B$10:$B$16,0))),"N/A")</f>
        <v/>
      </c>
      <c r="T170" s="50">
        <f>IFERROR(IF(INDEX('CFOG'!$P$23:$P$24,MATCH($F170,'CFOG'!$B$23:$B$24,0))="","Cell will autofill based on response",INDEX('CFOG'!$P$23:$P$24,MATCH($F170,'CFOG'!$B$23:$B$24,0))),"N/A")</f>
        <v/>
      </c>
      <c r="U170" s="50">
        <f>IFERROR(IF(INDEX('ESG'!$P$10:$P$17,MATCH($F170,'ESG'!$B$10:$B$17,0))="","Cell will autofill based on response",INDEX('ESG'!$P$10:$P$17,MATCH($F170,'ESG'!$B$10:$B$17,0))),"N/A")</f>
        <v/>
      </c>
      <c r="V170" s="50">
        <f>IFERROR(IF(INDEX('CIOG'!$P$10:$P$14,MATCH($F170,'CIOG'!$B$10:$B$14,0))="","Cell will autofill based on response",INDEX('CIOG'!$P$10:$P$14,MATCH($F170,'CIOG'!$B$10:$B$14,0))),"N/A")</f>
        <v/>
      </c>
      <c r="W170" s="50">
        <f>IFERROR(IF(INDEX('MRE'!$P$10:$P$18,MATCH($F170,'MRE'!$B$10:$B$18,0))="","Cell will autofill based on response",INDEX('MRE'!$P$10:$P$18,MATCH($F170,'MRE'!$B$10:$B$18,0))),"N/A")</f>
        <v/>
      </c>
      <c r="X170" s="50">
        <f>IFERROR(IF(INDEX('AC&amp;M'!$P$10:$P$14,MATCH($F170,'AC&amp;M'!$B$10:$B$14,0))="","Cell will autofill based on response",INDEX('AC&amp;M'!$P$10:$P$14,MATCH($F170,'AC&amp;M'!$B$10:$B$14,0))),"N/A")</f>
        <v/>
      </c>
      <c r="Y170" s="50">
        <f>IFERROR(IF(INDEX('GCE'!$P$10:$P$12,MATCH($F170,'GCE'!$B$10:$B$12,0))="","Cell will autofill based on response",INDEX('GCE'!$P$10:$P$12,MATCH($F170,'GCE'!$B$10:$B$12,0))),"N/A")</f>
        <v/>
      </c>
      <c r="Z170" s="50">
        <f>IFERROR(IF(INDEX('Education'!$P$10:$P$13,MATCH($F170,'Education'!$B$10:$B$13,0))="","Cell will autofill based on response",INDEX('Education'!$P$10:$P$13,MATCH($F170,'Education'!$B$10:$B$13,0))),"N/A")</f>
        <v/>
      </c>
      <c r="AA170" s="50">
        <f>IFERROR(IF(INDEX('SaSS'!$P$10:$P$12,MATCH($F170,'SaSS'!$B$10:$B$12,0))="","Cell will autofill based on response",INDEX('SaSS'!$P$10:$P$12,MATCH($F170,'SaSS'!$B$10:$B$12,0))),"N/A")</f>
        <v/>
      </c>
      <c r="AB170" s="50">
        <f>IFERROR(IF(INDEX('Indigenous'!$P$10:$P$11,MATCH($F170,'Indigenous'!$B$10:$B$11,0))="","Cell will autofill based on response",INDEX('Indigenous'!$P$10:$P$11,MATCH($F170,'Indigenous'!$B$10:$B$11,0))),"N/A")</f>
        <v/>
      </c>
      <c r="AC170" s="50">
        <f>IFERROR(IF(INDEX('L&amp;R'!$P$10:$P$11,MATCH($F170,'L&amp;R'!$B$10:$B$11,0))="","Cell will autofill based on response",INDEX('L&amp;R'!$P$10:$P$11,MATCH($F170,'L&amp;R'!$B$10:$B$11,0))),"N/A")</f>
        <v/>
      </c>
    </row>
    <row r="171" ht="39" customHeight="1">
      <c r="A171">
        <f>F171&amp;"|"&amp;G171</f>
        <v/>
      </c>
      <c r="B171" s="6" t="inlineStr">
        <is>
          <t>MS1(a)</t>
        </is>
      </c>
      <c r="C171" s="48" t="inlineStr">
        <is>
          <t>Modern slavery and human rights</t>
        </is>
      </c>
      <c r="D171" s="48" t="inlineStr">
        <is>
          <t>Annual progress reporting via the Modern Slavery Statement</t>
        </is>
      </c>
      <c r="E171" s="48" t="inlineStr">
        <is>
          <t>Annual Modern Slavery Statement, with case studies</t>
        </is>
      </c>
      <c r="F171" s="48" t="inlineStr">
        <is>
          <t>MS1(a)</t>
        </is>
      </c>
      <c r="G171" s="48" t="inlineStr">
        <is>
          <t>OPTION 1:  Target-level reporting</t>
        </is>
      </c>
      <c r="H171" s="50">
        <f>IFERROR(IF(INDEX('Faculties'!$L$10:$L$18,MATCH($F171,'Faculties'!$B$10:$B$18,0))="","Cell will autofill based on response",INDEX('Faculties'!$L$10:$L$18,MATCH($F171,'Faculties'!$B$10:$B$18,0))),"N/A")</f>
        <v/>
      </c>
      <c r="I171" s="50">
        <f>IFERROR(IF(INDEX('Faculties'!$L$25:$L$34,MATCH($F171,'Faculties'!$B$25:$B$34,0))="","Cell will autofill based on response",INDEX('Faculties'!$L$25:$L$34,MATCH($F171,'Faculties'!$B$25:$B$34,0))),"N/A")</f>
        <v/>
      </c>
      <c r="J171" s="50">
        <f>IFERROR(IF(INDEX('Faculties'!$L$41:$L$50,MATCH($F171,'Faculties'!$B$41:$B$50,0))="","Cell will autofill based on response",INDEX('Faculties'!$L$41:$L$50,MATCH($F171,'Faculties'!$B$41:$B$50,0))),"N/A")</f>
        <v/>
      </c>
      <c r="K171" s="50">
        <f>IFERROR(IF(INDEX('Faculties'!$L$57:$L$66,MATCH($F171,'Faculties'!$B$57:$B$66,0))="","Cell will autofill based on response",INDEX('Faculties'!$L$57:$L$66,MATCH($F171,'Faculties'!$B$57:$B$66,0))),"N/A")</f>
        <v/>
      </c>
      <c r="L171" s="50">
        <f>IFERROR(IF(INDEX('Faculties'!$L$73:$L$82,MATCH($F171,'Faculties'!$B$73:$B$82,0))="","Cell will autofill based on response",INDEX('Faculties'!$L$73:$L$82,MATCH($F171,'Faculties'!$B$73:$B$82,0))),"N/A")</f>
        <v/>
      </c>
      <c r="M171" s="50">
        <f>IFERROR(IF(INDEX('Faculties'!$L$89:$L$98,MATCH($F171,'Faculties'!$B$89:$B$98,0))="","Cell will autofill based on response",INDEX('Faculties'!$L$89:$L$98,MATCH($F171,'Faculties'!$B$89:$B$98,0))),"N/A")</f>
        <v/>
      </c>
      <c r="N171" s="50">
        <f>IFERROR(IF(INDEX('Faculties'!$L$105:$L$114,MATCH($F171,'Faculties'!$B$105:$B$114,0))="","Cell will autofill based on response",INDEX('Faculties'!$L$105:$L$114,MATCH($F171,'Faculties'!$B$105:$B$114,0))),"N/A")</f>
        <v/>
      </c>
      <c r="O171" s="50">
        <f>IFERROR(IF(INDEX('Faculties'!$L$121:$L$130,MATCH($F171,'Faculties'!$B$121:$B$130,0))="","Cell will autofill based on response",INDEX('Faculties'!$L$121:$L$130,MATCH($F171,'Faculties'!$B$121:$B$130,0))),"N/A")</f>
        <v/>
      </c>
      <c r="P171" s="50">
        <f>IFERROR(IF(INDEX('Faculties'!$L$137:$L$146,MATCH($F171,'Faculties'!$B$137:$B$146,0))="","Cell will autofill based on response",INDEX('Faculties'!$L$137:$L$146,MATCH($F171,'Faculties'!$B$137:$B$146,0))),"N/A")</f>
        <v/>
      </c>
      <c r="Q171" s="50">
        <f>IFERROR(IF(INDEX('CI&amp;S'!$L$10:$L$15,MATCH($F171,'CI&amp;S'!$B$10:$B$15,0))="","Cell will autofill based on response",INDEX('CI&amp;S'!$L$10:$L$15,MATCH($F171,'CI&amp;S'!$B$10:$B$15,0))),"N/A")</f>
        <v/>
      </c>
      <c r="R171" s="50">
        <f>IFERROR(IF(INDEX('CI&amp;S'!$L$22:$L$36,MATCH($F171,'CI&amp;S'!$B$22:$B$36,0))="","Cell will autofill based on response",INDEX('CI&amp;S'!$L$22:$L$36,MATCH($F171,'CI&amp;S'!$B$22:$B$36,0))),"N/A")</f>
        <v/>
      </c>
      <c r="S171" s="50">
        <f>IFERROR(IF(INDEX('CFOG'!$L$10:$L$16,MATCH($F171,'CFOG'!$B$10:$B$16,0))="","Cell will autofill based on response",INDEX('CFOG'!$L$10:$L$16,MATCH($F171,'CFOG'!$B$10:$B$16,0))),"N/A")</f>
        <v/>
      </c>
      <c r="T171" s="50">
        <f>IFERROR(IF(INDEX('CFOG'!$L$23:$L$24,MATCH($F171,'CFOG'!$B$23:$B$24,0))="","Cell will autofill based on response",INDEX('CFOG'!$L$23:$L$24,MATCH($F171,'CFOG'!$B$23:$B$24,0))),"N/A")</f>
        <v/>
      </c>
      <c r="U171" s="50">
        <f>IFERROR(IF(INDEX('ESG'!$L$10:$L$17,MATCH($F171,'ESG'!$B$10:$B$17,0))="","Cell will autofill based on response",INDEX('ESG'!$L$10:$L$17,MATCH($F171,'ESG'!$B$10:$B$17,0))),"N/A")</f>
        <v/>
      </c>
      <c r="V171" s="50">
        <f>IFERROR(IF(INDEX('CIOG'!$L$10:$L$14,MATCH($F171,'CIOG'!$B$10:$B$14,0))="","Cell will autofill based on response",INDEX('CIOG'!$L$10:$L$14,MATCH($F171,'CIOG'!$B$10:$B$14,0))),"N/A")</f>
        <v/>
      </c>
      <c r="W171" s="50">
        <f>IFERROR(IF(INDEX('MRE'!$L$10:$L$18,MATCH($F171,'MRE'!$B$10:$B$18,0))="","Cell will autofill based on response",INDEX('MRE'!$L$10:$L$18,MATCH($F171,'MRE'!$B$10:$B$18,0))),"N/A")</f>
        <v/>
      </c>
      <c r="X171" s="50">
        <f>IFERROR(IF(INDEX('AC&amp;M'!$L$10:$L$14,MATCH($F171,'AC&amp;M'!$B$10:$B$14,0))="","Cell will autofill based on response",INDEX('AC&amp;M'!$L$10:$L$14,MATCH($F171,'AC&amp;M'!$B$10:$B$14,0))),"N/A")</f>
        <v/>
      </c>
      <c r="Y171" s="50">
        <f>IFERROR(IF(INDEX('GCE'!$L$10:$L$12,MATCH($F171,'GCE'!$B$10:$B$12,0))="","Cell will autofill based on response",INDEX('GCE'!$L$10:$L$12,MATCH($F171,'GCE'!$B$10:$B$12,0))),"N/A")</f>
        <v/>
      </c>
      <c r="Z171" s="50">
        <f>IFERROR(IF(INDEX('Education'!$L$10:$L$13,MATCH($F171,'Education'!$B$10:$B$13,0))="","Cell will autofill based on response",INDEX('Education'!$L$10:$L$13,MATCH($F171,'Education'!$B$10:$B$13,0))),"N/A")</f>
        <v/>
      </c>
      <c r="AA171" s="50">
        <f>IFERROR(IF(INDEX('SaSS'!$L$10:$L$12,MATCH($F171,'SaSS'!$B$10:$B$12,0))="","Cell will autofill based on response",INDEX('SaSS'!$L$10:$L$12,MATCH($F171,'SaSS'!$B$10:$B$12,0))),"N/A")</f>
        <v/>
      </c>
      <c r="AB171" s="50">
        <f>IFERROR(IF(INDEX('Indigenous'!$L$10:$L$11,MATCH($F171,'Indigenous'!$B$10:$B$11,0))="","Cell will autofill based on response",INDEX('Indigenous'!$L$10:$L$11,MATCH($F171,'Indigenous'!$B$10:$B$11,0))),"N/A")</f>
        <v/>
      </c>
      <c r="AC171" s="50">
        <f>IFERROR(IF(INDEX('L&amp;R'!$L$10:$L$11,MATCH($F171,'L&amp;R'!$B$10:$B$11,0))="","Cell will autofill based on response",INDEX('L&amp;R'!$L$10:$L$11,MATCH($F171,'L&amp;R'!$B$10:$B$11,0))),"N/A")</f>
        <v/>
      </c>
      <c r="AE171" s="9">
        <f>SUMPRODUCT(--($H171:$AC171&lt;&gt;"N/A"))</f>
        <v/>
      </c>
      <c r="AF171" s="9">
        <f>SUMPRODUCT(--(((($H171:$AC171&lt;&gt;"N/A")*($H171:$AC171&lt;&gt;"Cell will autofill based on response"))+(($H172:$AC172&lt;&gt;"N/A")*($H172:$AC172&lt;&gt;"Cell will autofill based on response")))&gt;0))</f>
        <v/>
      </c>
      <c r="AG171" s="9">
        <f>AE171-AF171</f>
        <v/>
      </c>
      <c r="AH171" s="9">
        <f>COUNTIF($H175:$AC175,"Yes")</f>
        <v/>
      </c>
    </row>
    <row r="172" ht="39" customHeight="1">
      <c r="A172">
        <f>F172&amp;"|"&amp;G172</f>
        <v/>
      </c>
      <c r="B172" s="12" t="inlineStr"/>
      <c r="C172" s="7" t="inlineStr"/>
      <c r="D172" s="7" t="inlineStr"/>
      <c r="E172" s="7" t="inlineStr"/>
      <c r="F172" s="7" t="inlineStr">
        <is>
          <t>MS1(a)</t>
        </is>
      </c>
      <c r="G172" s="7" t="inlineStr">
        <is>
          <t>OPTION 2:  Indicator level reporting</t>
        </is>
      </c>
      <c r="H172" s="50">
        <f>IFERROR(IF(INDEX('Faculties'!$M$10:$M$18,MATCH($F172,'Faculties'!$B$10:$B$18,0))="","Cell will autofill based on response",INDEX('Faculties'!$M$10:$M$18,MATCH($F172,'Faculties'!$B$10:$B$18,0))),"N/A")</f>
        <v/>
      </c>
      <c r="I172" s="50">
        <f>IFERROR(IF(INDEX('Faculties'!$M$25:$M$34,MATCH($F172,'Faculties'!$B$25:$B$34,0))="","Cell will autofill based on response",INDEX('Faculties'!$M$25:$M$34,MATCH($F172,'Faculties'!$B$25:$B$34,0))),"N/A")</f>
        <v/>
      </c>
      <c r="J172" s="50">
        <f>IFERROR(IF(INDEX('Faculties'!$M$41:$M$50,MATCH($F172,'Faculties'!$B$41:$B$50,0))="","Cell will autofill based on response",INDEX('Faculties'!$M$41:$M$50,MATCH($F172,'Faculties'!$B$41:$B$50,0))),"N/A")</f>
        <v/>
      </c>
      <c r="K172" s="50">
        <f>IFERROR(IF(INDEX('Faculties'!$M$57:$M$66,MATCH($F172,'Faculties'!$B$57:$B$66,0))="","Cell will autofill based on response",INDEX('Faculties'!$M$57:$M$66,MATCH($F172,'Faculties'!$B$57:$B$66,0))),"N/A")</f>
        <v/>
      </c>
      <c r="L172" s="50">
        <f>IFERROR(IF(INDEX('Faculties'!$M$73:$M$82,MATCH($F172,'Faculties'!$B$73:$B$82,0))="","Cell will autofill based on response",INDEX('Faculties'!$M$73:$M$82,MATCH($F172,'Faculties'!$B$73:$B$82,0))),"N/A")</f>
        <v/>
      </c>
      <c r="M172" s="50">
        <f>IFERROR(IF(INDEX('Faculties'!$M$89:$M$98,MATCH($F172,'Faculties'!$B$89:$B$98,0))="","Cell will autofill based on response",INDEX('Faculties'!$M$89:$M$98,MATCH($F172,'Faculties'!$B$89:$B$98,0))),"N/A")</f>
        <v/>
      </c>
      <c r="N172" s="50">
        <f>IFERROR(IF(INDEX('Faculties'!$M$105:$M$114,MATCH($F172,'Faculties'!$B$105:$B$114,0))="","Cell will autofill based on response",INDEX('Faculties'!$M$105:$M$114,MATCH($F172,'Faculties'!$B$105:$B$114,0))),"N/A")</f>
        <v/>
      </c>
      <c r="O172" s="50">
        <f>IFERROR(IF(INDEX('Faculties'!$M$121:$M$130,MATCH($F172,'Faculties'!$B$121:$B$130,0))="","Cell will autofill based on response",INDEX('Faculties'!$M$121:$M$130,MATCH($F172,'Faculties'!$B$121:$B$130,0))),"N/A")</f>
        <v/>
      </c>
      <c r="P172" s="50">
        <f>IFERROR(IF(INDEX('Faculties'!$M$137:$M$146,MATCH($F172,'Faculties'!$B$137:$B$146,0))="","Cell will autofill based on response",INDEX('Faculties'!$M$137:$M$146,MATCH($F172,'Faculties'!$B$137:$B$146,0))),"N/A")</f>
        <v/>
      </c>
      <c r="Q172" s="50">
        <f>IFERROR(IF(INDEX('CI&amp;S'!$M$10:$M$15,MATCH($F172,'CI&amp;S'!$B$10:$B$15,0))="","Cell will autofill based on response",INDEX('CI&amp;S'!$M$10:$M$15,MATCH($F172,'CI&amp;S'!$B$10:$B$15,0))),"N/A")</f>
        <v/>
      </c>
      <c r="R172" s="50">
        <f>IFERROR(IF(INDEX('CI&amp;S'!$M$22:$M$36,MATCH($F172,'CI&amp;S'!$B$22:$B$36,0))="","Cell will autofill based on response",INDEX('CI&amp;S'!$M$22:$M$36,MATCH($F172,'CI&amp;S'!$B$22:$B$36,0))),"N/A")</f>
        <v/>
      </c>
      <c r="S172" s="50">
        <f>IFERROR(IF(INDEX('CFOG'!$M$10:$M$16,MATCH($F172,'CFOG'!$B$10:$B$16,0))="","Cell will autofill based on response",INDEX('CFOG'!$M$10:$M$16,MATCH($F172,'CFOG'!$B$10:$B$16,0))),"N/A")</f>
        <v/>
      </c>
      <c r="T172" s="50">
        <f>IFERROR(IF(INDEX('CFOG'!$M$23:$M$24,MATCH($F172,'CFOG'!$B$23:$B$24,0))="","Cell will autofill based on response",INDEX('CFOG'!$M$23:$M$24,MATCH($F172,'CFOG'!$B$23:$B$24,0))),"N/A")</f>
        <v/>
      </c>
      <c r="U172" s="50">
        <f>IFERROR(IF(INDEX('ESG'!$M$10:$M$17,MATCH($F172,'ESG'!$B$10:$B$17,0))="","Cell will autofill based on response",INDEX('ESG'!$M$10:$M$17,MATCH($F172,'ESG'!$B$10:$B$17,0))),"N/A")</f>
        <v/>
      </c>
      <c r="V172" s="50">
        <f>IFERROR(IF(INDEX('CIOG'!$M$10:$M$14,MATCH($F172,'CIOG'!$B$10:$B$14,0))="","Cell will autofill based on response",INDEX('CIOG'!$M$10:$M$14,MATCH($F172,'CIOG'!$B$10:$B$14,0))),"N/A")</f>
        <v/>
      </c>
      <c r="W172" s="50">
        <f>IFERROR(IF(INDEX('MRE'!$M$10:$M$18,MATCH($F172,'MRE'!$B$10:$B$18,0))="","Cell will autofill based on response",INDEX('MRE'!$M$10:$M$18,MATCH($F172,'MRE'!$B$10:$B$18,0))),"N/A")</f>
        <v/>
      </c>
      <c r="X172" s="50">
        <f>IFERROR(IF(INDEX('AC&amp;M'!$M$10:$M$14,MATCH($F172,'AC&amp;M'!$B$10:$B$14,0))="","Cell will autofill based on response",INDEX('AC&amp;M'!$M$10:$M$14,MATCH($F172,'AC&amp;M'!$B$10:$B$14,0))),"N/A")</f>
        <v/>
      </c>
      <c r="Y172" s="50">
        <f>IFERROR(IF(INDEX('GCE'!$M$10:$M$12,MATCH($F172,'GCE'!$B$10:$B$12,0))="","Cell will autofill based on response",INDEX('GCE'!$M$10:$M$12,MATCH($F172,'GCE'!$B$10:$B$12,0))),"N/A")</f>
        <v/>
      </c>
      <c r="Z172" s="50">
        <f>IFERROR(IF(INDEX('Education'!$M$10:$M$13,MATCH($F172,'Education'!$B$10:$B$13,0))="","Cell will autofill based on response",INDEX('Education'!$M$10:$M$13,MATCH($F172,'Education'!$B$10:$B$13,0))),"N/A")</f>
        <v/>
      </c>
      <c r="AA172" s="50">
        <f>IFERROR(IF(INDEX('SaSS'!$M$10:$M$12,MATCH($F172,'SaSS'!$B$10:$B$12,0))="","Cell will autofill based on response",INDEX('SaSS'!$M$10:$M$12,MATCH($F172,'SaSS'!$B$10:$B$12,0))),"N/A")</f>
        <v/>
      </c>
      <c r="AB172" s="50">
        <f>IFERROR(IF(INDEX('Indigenous'!$M$10:$M$11,MATCH($F172,'Indigenous'!$B$10:$B$11,0))="","Cell will autofill based on response",INDEX('Indigenous'!$M$10:$M$11,MATCH($F172,'Indigenous'!$B$10:$B$11,0))),"N/A")</f>
        <v/>
      </c>
      <c r="AC172" s="50">
        <f>IFERROR(IF(INDEX('L&amp;R'!$M$10:$M$11,MATCH($F172,'L&amp;R'!$B$10:$B$11,0))="","Cell will autofill based on response",INDEX('L&amp;R'!$M$10:$M$11,MATCH($F172,'L&amp;R'!$B$10:$B$11,0))),"N/A")</f>
        <v/>
      </c>
    </row>
    <row r="173" ht="22" customHeight="1">
      <c r="A173">
        <f>F173&amp;"|"&amp;G173</f>
        <v/>
      </c>
      <c r="B173" s="12" t="inlineStr"/>
      <c r="C173" s="7" t="inlineStr"/>
      <c r="D173" s="7" t="inlineStr"/>
      <c r="E173" s="7" t="inlineStr"/>
      <c r="F173" s="7" t="inlineStr">
        <is>
          <t>MS1(a)</t>
        </is>
      </c>
      <c r="G173" s="7" t="inlineStr">
        <is>
          <t>Supporting information/comments</t>
        </is>
      </c>
      <c r="H173" s="50">
        <f>IFERROR(IF(INDEX('Faculties'!$N$10:$N$18,MATCH($F173,'Faculties'!$B$10:$B$18,0))="","Cell will autofill based on response",INDEX('Faculties'!$N$10:$N$18,MATCH($F173,'Faculties'!$B$10:$B$18,0))),"N/A")</f>
        <v/>
      </c>
      <c r="I173" s="50">
        <f>IFERROR(IF(INDEX('Faculties'!$N$25:$N$34,MATCH($F173,'Faculties'!$B$25:$B$34,0))="","Cell will autofill based on response",INDEX('Faculties'!$N$25:$N$34,MATCH($F173,'Faculties'!$B$25:$B$34,0))),"N/A")</f>
        <v/>
      </c>
      <c r="J173" s="50">
        <f>IFERROR(IF(INDEX('Faculties'!$N$41:$N$50,MATCH($F173,'Faculties'!$B$41:$B$50,0))="","Cell will autofill based on response",INDEX('Faculties'!$N$41:$N$50,MATCH($F173,'Faculties'!$B$41:$B$50,0))),"N/A")</f>
        <v/>
      </c>
      <c r="K173" s="50">
        <f>IFERROR(IF(INDEX('Faculties'!$N$57:$N$66,MATCH($F173,'Faculties'!$B$57:$B$66,0))="","Cell will autofill based on response",INDEX('Faculties'!$N$57:$N$66,MATCH($F173,'Faculties'!$B$57:$B$66,0))),"N/A")</f>
        <v/>
      </c>
      <c r="L173" s="50">
        <f>IFERROR(IF(INDEX('Faculties'!$N$73:$N$82,MATCH($F173,'Faculties'!$B$73:$B$82,0))="","Cell will autofill based on response",INDEX('Faculties'!$N$73:$N$82,MATCH($F173,'Faculties'!$B$73:$B$82,0))),"N/A")</f>
        <v/>
      </c>
      <c r="M173" s="50">
        <f>IFERROR(IF(INDEX('Faculties'!$N$89:$N$98,MATCH($F173,'Faculties'!$B$89:$B$98,0))="","Cell will autofill based on response",INDEX('Faculties'!$N$89:$N$98,MATCH($F173,'Faculties'!$B$89:$B$98,0))),"N/A")</f>
        <v/>
      </c>
      <c r="N173" s="50">
        <f>IFERROR(IF(INDEX('Faculties'!$N$105:$N$114,MATCH($F173,'Faculties'!$B$105:$B$114,0))="","Cell will autofill based on response",INDEX('Faculties'!$N$105:$N$114,MATCH($F173,'Faculties'!$B$105:$B$114,0))),"N/A")</f>
        <v/>
      </c>
      <c r="O173" s="50">
        <f>IFERROR(IF(INDEX('Faculties'!$N$121:$N$130,MATCH($F173,'Faculties'!$B$121:$B$130,0))="","Cell will autofill based on response",INDEX('Faculties'!$N$121:$N$130,MATCH($F173,'Faculties'!$B$121:$B$130,0))),"N/A")</f>
        <v/>
      </c>
      <c r="P173" s="50">
        <f>IFERROR(IF(INDEX('Faculties'!$N$137:$N$146,MATCH($F173,'Faculties'!$B$137:$B$146,0))="","Cell will autofill based on response",INDEX('Faculties'!$N$137:$N$146,MATCH($F173,'Faculties'!$B$137:$B$146,0))),"N/A")</f>
        <v/>
      </c>
      <c r="Q173" s="50">
        <f>IFERROR(IF(INDEX('CI&amp;S'!$N$10:$N$15,MATCH($F173,'CI&amp;S'!$B$10:$B$15,0))="","Cell will autofill based on response",INDEX('CI&amp;S'!$N$10:$N$15,MATCH($F173,'CI&amp;S'!$B$10:$B$15,0))),"N/A")</f>
        <v/>
      </c>
      <c r="R173" s="50">
        <f>IFERROR(IF(INDEX('CI&amp;S'!$N$22:$N$36,MATCH($F173,'CI&amp;S'!$B$22:$B$36,0))="","Cell will autofill based on response",INDEX('CI&amp;S'!$N$22:$N$36,MATCH($F173,'CI&amp;S'!$B$22:$B$36,0))),"N/A")</f>
        <v/>
      </c>
      <c r="S173" s="50">
        <f>IFERROR(IF(INDEX('CFOG'!$N$10:$N$16,MATCH($F173,'CFOG'!$B$10:$B$16,0))="","Cell will autofill based on response",INDEX('CFOG'!$N$10:$N$16,MATCH($F173,'CFOG'!$B$10:$B$16,0))),"N/A")</f>
        <v/>
      </c>
      <c r="T173" s="50">
        <f>IFERROR(IF(INDEX('CFOG'!$N$23:$N$24,MATCH($F173,'CFOG'!$B$23:$B$24,0))="","Cell will autofill based on response",INDEX('CFOG'!$N$23:$N$24,MATCH($F173,'CFOG'!$B$23:$B$24,0))),"N/A")</f>
        <v/>
      </c>
      <c r="U173" s="50">
        <f>IFERROR(IF(INDEX('ESG'!$N$10:$N$17,MATCH($F173,'ESG'!$B$10:$B$17,0))="","Cell will autofill based on response",INDEX('ESG'!$N$10:$N$17,MATCH($F173,'ESG'!$B$10:$B$17,0))),"N/A")</f>
        <v/>
      </c>
      <c r="V173" s="50">
        <f>IFERROR(IF(INDEX('CIOG'!$N$10:$N$14,MATCH($F173,'CIOG'!$B$10:$B$14,0))="","Cell will autofill based on response",INDEX('CIOG'!$N$10:$N$14,MATCH($F173,'CIOG'!$B$10:$B$14,0))),"N/A")</f>
        <v/>
      </c>
      <c r="W173" s="50">
        <f>IFERROR(IF(INDEX('MRE'!$N$10:$N$18,MATCH($F173,'MRE'!$B$10:$B$18,0))="","Cell will autofill based on response",INDEX('MRE'!$N$10:$N$18,MATCH($F173,'MRE'!$B$10:$B$18,0))),"N/A")</f>
        <v/>
      </c>
      <c r="X173" s="50">
        <f>IFERROR(IF(INDEX('AC&amp;M'!$N$10:$N$14,MATCH($F173,'AC&amp;M'!$B$10:$B$14,0))="","Cell will autofill based on response",INDEX('AC&amp;M'!$N$10:$N$14,MATCH($F173,'AC&amp;M'!$B$10:$B$14,0))),"N/A")</f>
        <v/>
      </c>
      <c r="Y173" s="50">
        <f>IFERROR(IF(INDEX('GCE'!$N$10:$N$12,MATCH($F173,'GCE'!$B$10:$B$12,0))="","Cell will autofill based on response",INDEX('GCE'!$N$10:$N$12,MATCH($F173,'GCE'!$B$10:$B$12,0))),"N/A")</f>
        <v/>
      </c>
      <c r="Z173" s="50">
        <f>IFERROR(IF(INDEX('Education'!$N$10:$N$13,MATCH($F173,'Education'!$B$10:$B$13,0))="","Cell will autofill based on response",INDEX('Education'!$N$10:$N$13,MATCH($F173,'Education'!$B$10:$B$13,0))),"N/A")</f>
        <v/>
      </c>
      <c r="AA173" s="50">
        <f>IFERROR(IF(INDEX('SaSS'!$N$10:$N$12,MATCH($F173,'SaSS'!$B$10:$B$12,0))="","Cell will autofill based on response",INDEX('SaSS'!$N$10:$N$12,MATCH($F173,'SaSS'!$B$10:$B$12,0))),"N/A")</f>
        <v/>
      </c>
      <c r="AB173" s="50">
        <f>IFERROR(IF(INDEX('Indigenous'!$N$10:$N$11,MATCH($F173,'Indigenous'!$B$10:$B$11,0))="","Cell will autofill based on response",INDEX('Indigenous'!$N$10:$N$11,MATCH($F173,'Indigenous'!$B$10:$B$11,0))),"N/A")</f>
        <v/>
      </c>
      <c r="AC173" s="50">
        <f>IFERROR(IF(INDEX('L&amp;R'!$N$10:$N$11,MATCH($F173,'L&amp;R'!$B$10:$B$11,0))="","Cell will autofill based on response",INDEX('L&amp;R'!$N$10:$N$11,MATCH($F173,'L&amp;R'!$B$10:$B$11,0))),"N/A")</f>
        <v/>
      </c>
    </row>
    <row r="174" ht="22" customHeight="1">
      <c r="A174">
        <f>F174&amp;"|"&amp;G174</f>
        <v/>
      </c>
      <c r="B174" s="12" t="inlineStr"/>
      <c r="C174" s="7" t="inlineStr"/>
      <c r="D174" s="7" t="inlineStr"/>
      <c r="E174" s="7" t="inlineStr"/>
      <c r="F174" s="7" t="inlineStr">
        <is>
          <t>MS1(a)</t>
        </is>
      </c>
      <c r="G174" s="7" t="inlineStr">
        <is>
          <t>Data source and limitations</t>
        </is>
      </c>
      <c r="H174" s="50">
        <f>IFERROR(IF(INDEX('Faculties'!$O$10:$O$18,MATCH($F174,'Faculties'!$B$10:$B$18,0))="","Cell will autofill based on response",INDEX('Faculties'!$O$10:$O$18,MATCH($F174,'Faculties'!$B$10:$B$18,0))),"N/A")</f>
        <v/>
      </c>
      <c r="I174" s="50">
        <f>IFERROR(IF(INDEX('Faculties'!$O$25:$O$34,MATCH($F174,'Faculties'!$B$25:$B$34,0))="","Cell will autofill based on response",INDEX('Faculties'!$O$25:$O$34,MATCH($F174,'Faculties'!$B$25:$B$34,0))),"N/A")</f>
        <v/>
      </c>
      <c r="J174" s="50">
        <f>IFERROR(IF(INDEX('Faculties'!$O$41:$O$50,MATCH($F174,'Faculties'!$B$41:$B$50,0))="","Cell will autofill based on response",INDEX('Faculties'!$O$41:$O$50,MATCH($F174,'Faculties'!$B$41:$B$50,0))),"N/A")</f>
        <v/>
      </c>
      <c r="K174" s="50">
        <f>IFERROR(IF(INDEX('Faculties'!$O$57:$O$66,MATCH($F174,'Faculties'!$B$57:$B$66,0))="","Cell will autofill based on response",INDEX('Faculties'!$O$57:$O$66,MATCH($F174,'Faculties'!$B$57:$B$66,0))),"N/A")</f>
        <v/>
      </c>
      <c r="L174" s="50">
        <f>IFERROR(IF(INDEX('Faculties'!$O$73:$O$82,MATCH($F174,'Faculties'!$B$73:$B$82,0))="","Cell will autofill based on response",INDEX('Faculties'!$O$73:$O$82,MATCH($F174,'Faculties'!$B$73:$B$82,0))),"N/A")</f>
        <v/>
      </c>
      <c r="M174" s="50">
        <f>IFERROR(IF(INDEX('Faculties'!$O$89:$O$98,MATCH($F174,'Faculties'!$B$89:$B$98,0))="","Cell will autofill based on response",INDEX('Faculties'!$O$89:$O$98,MATCH($F174,'Faculties'!$B$89:$B$98,0))),"N/A")</f>
        <v/>
      </c>
      <c r="N174" s="50">
        <f>IFERROR(IF(INDEX('Faculties'!$O$105:$O$114,MATCH($F174,'Faculties'!$B$105:$B$114,0))="","Cell will autofill based on response",INDEX('Faculties'!$O$105:$O$114,MATCH($F174,'Faculties'!$B$105:$B$114,0))),"N/A")</f>
        <v/>
      </c>
      <c r="O174" s="50">
        <f>IFERROR(IF(INDEX('Faculties'!$O$121:$O$130,MATCH($F174,'Faculties'!$B$121:$B$130,0))="","Cell will autofill based on response",INDEX('Faculties'!$O$121:$O$130,MATCH($F174,'Faculties'!$B$121:$B$130,0))),"N/A")</f>
        <v/>
      </c>
      <c r="P174" s="50">
        <f>IFERROR(IF(INDEX('Faculties'!$O$137:$O$146,MATCH($F174,'Faculties'!$B$137:$B$146,0))="","Cell will autofill based on response",INDEX('Faculties'!$O$137:$O$146,MATCH($F174,'Faculties'!$B$137:$B$146,0))),"N/A")</f>
        <v/>
      </c>
      <c r="Q174" s="50">
        <f>IFERROR(IF(INDEX('CI&amp;S'!$O$10:$O$15,MATCH($F174,'CI&amp;S'!$B$10:$B$15,0))="","Cell will autofill based on response",INDEX('CI&amp;S'!$O$10:$O$15,MATCH($F174,'CI&amp;S'!$B$10:$B$15,0))),"N/A")</f>
        <v/>
      </c>
      <c r="R174" s="50">
        <f>IFERROR(IF(INDEX('CI&amp;S'!$O$22:$O$36,MATCH($F174,'CI&amp;S'!$B$22:$B$36,0))="","Cell will autofill based on response",INDEX('CI&amp;S'!$O$22:$O$36,MATCH($F174,'CI&amp;S'!$B$22:$B$36,0))),"N/A")</f>
        <v/>
      </c>
      <c r="S174" s="50">
        <f>IFERROR(IF(INDEX('CFOG'!$O$10:$O$16,MATCH($F174,'CFOG'!$B$10:$B$16,0))="","Cell will autofill based on response",INDEX('CFOG'!$O$10:$O$16,MATCH($F174,'CFOG'!$B$10:$B$16,0))),"N/A")</f>
        <v/>
      </c>
      <c r="T174" s="50">
        <f>IFERROR(IF(INDEX('CFOG'!$O$23:$O$24,MATCH($F174,'CFOG'!$B$23:$B$24,0))="","Cell will autofill based on response",INDEX('CFOG'!$O$23:$O$24,MATCH($F174,'CFOG'!$B$23:$B$24,0))),"N/A")</f>
        <v/>
      </c>
      <c r="U174" s="50">
        <f>IFERROR(IF(INDEX('ESG'!$O$10:$O$17,MATCH($F174,'ESG'!$B$10:$B$17,0))="","Cell will autofill based on response",INDEX('ESG'!$O$10:$O$17,MATCH($F174,'ESG'!$B$10:$B$17,0))),"N/A")</f>
        <v/>
      </c>
      <c r="V174" s="50">
        <f>IFERROR(IF(INDEX('CIOG'!$O$10:$O$14,MATCH($F174,'CIOG'!$B$10:$B$14,0))="","Cell will autofill based on response",INDEX('CIOG'!$O$10:$O$14,MATCH($F174,'CIOG'!$B$10:$B$14,0))),"N/A")</f>
        <v/>
      </c>
      <c r="W174" s="50">
        <f>IFERROR(IF(INDEX('MRE'!$O$10:$O$18,MATCH($F174,'MRE'!$B$10:$B$18,0))="","Cell will autofill based on response",INDEX('MRE'!$O$10:$O$18,MATCH($F174,'MRE'!$B$10:$B$18,0))),"N/A")</f>
        <v/>
      </c>
      <c r="X174" s="50">
        <f>IFERROR(IF(INDEX('AC&amp;M'!$O$10:$O$14,MATCH($F174,'AC&amp;M'!$B$10:$B$14,0))="","Cell will autofill based on response",INDEX('AC&amp;M'!$O$10:$O$14,MATCH($F174,'AC&amp;M'!$B$10:$B$14,0))),"N/A")</f>
        <v/>
      </c>
      <c r="Y174" s="50">
        <f>IFERROR(IF(INDEX('GCE'!$O$10:$O$12,MATCH($F174,'GCE'!$B$10:$B$12,0))="","Cell will autofill based on response",INDEX('GCE'!$O$10:$O$12,MATCH($F174,'GCE'!$B$10:$B$12,0))),"N/A")</f>
        <v/>
      </c>
      <c r="Z174" s="50">
        <f>IFERROR(IF(INDEX('Education'!$O$10:$O$13,MATCH($F174,'Education'!$B$10:$B$13,0))="","Cell will autofill based on response",INDEX('Education'!$O$10:$O$13,MATCH($F174,'Education'!$B$10:$B$13,0))),"N/A")</f>
        <v/>
      </c>
      <c r="AA174" s="50">
        <f>IFERROR(IF(INDEX('SaSS'!$O$10:$O$12,MATCH($F174,'SaSS'!$B$10:$B$12,0))="","Cell will autofill based on response",INDEX('SaSS'!$O$10:$O$12,MATCH($F174,'SaSS'!$B$10:$B$12,0))),"N/A")</f>
        <v/>
      </c>
      <c r="AB174" s="50">
        <f>IFERROR(IF(INDEX('Indigenous'!$O$10:$O$11,MATCH($F174,'Indigenous'!$B$10:$B$11,0))="","Cell will autofill based on response",INDEX('Indigenous'!$O$10:$O$11,MATCH($F174,'Indigenous'!$B$10:$B$11,0))),"N/A")</f>
        <v/>
      </c>
      <c r="AC174" s="50">
        <f>IFERROR(IF(INDEX('L&amp;R'!$O$10:$O$11,MATCH($F174,'L&amp;R'!$B$10:$B$11,0))="","Cell will autofill based on response",INDEX('L&amp;R'!$O$10:$O$11,MATCH($F174,'L&amp;R'!$B$10:$B$11,0))),"N/A")</f>
        <v/>
      </c>
    </row>
    <row r="175" ht="22" customHeight="1">
      <c r="A175">
        <f>F175&amp;"|"&amp;G175</f>
        <v/>
      </c>
      <c r="B175" s="12" t="inlineStr"/>
      <c r="C175" s="7" t="inlineStr"/>
      <c r="D175" s="7" t="inlineStr"/>
      <c r="E175" s="7" t="inlineStr"/>
      <c r="F175" s="7" t="inlineStr">
        <is>
          <t>MS1(a)</t>
        </is>
      </c>
      <c r="G175" s="7" t="inlineStr">
        <is>
          <t>Data owner confirms</t>
        </is>
      </c>
      <c r="H175" s="50">
        <f>IFERROR(IF(INDEX('Faculties'!$P$10:$P$18,MATCH($F175,'Faculties'!$B$10:$B$18,0))="","Cell will autofill based on response",INDEX('Faculties'!$P$10:$P$18,MATCH($F175,'Faculties'!$B$10:$B$18,0))),"N/A")</f>
        <v/>
      </c>
      <c r="I175" s="50">
        <f>IFERROR(IF(INDEX('Faculties'!$P$25:$P$34,MATCH($F175,'Faculties'!$B$25:$B$34,0))="","Cell will autofill based on response",INDEX('Faculties'!$P$25:$P$34,MATCH($F175,'Faculties'!$B$25:$B$34,0))),"N/A")</f>
        <v/>
      </c>
      <c r="J175" s="50">
        <f>IFERROR(IF(INDEX('Faculties'!$P$41:$P$50,MATCH($F175,'Faculties'!$B$41:$B$50,0))="","Cell will autofill based on response",INDEX('Faculties'!$P$41:$P$50,MATCH($F175,'Faculties'!$B$41:$B$50,0))),"N/A")</f>
        <v/>
      </c>
      <c r="K175" s="50">
        <f>IFERROR(IF(INDEX('Faculties'!$P$57:$P$66,MATCH($F175,'Faculties'!$B$57:$B$66,0))="","Cell will autofill based on response",INDEX('Faculties'!$P$57:$P$66,MATCH($F175,'Faculties'!$B$57:$B$66,0))),"N/A")</f>
        <v/>
      </c>
      <c r="L175" s="50">
        <f>IFERROR(IF(INDEX('Faculties'!$P$73:$P$82,MATCH($F175,'Faculties'!$B$73:$B$82,0))="","Cell will autofill based on response",INDEX('Faculties'!$P$73:$P$82,MATCH($F175,'Faculties'!$B$73:$B$82,0))),"N/A")</f>
        <v/>
      </c>
      <c r="M175" s="50">
        <f>IFERROR(IF(INDEX('Faculties'!$P$89:$P$98,MATCH($F175,'Faculties'!$B$89:$B$98,0))="","Cell will autofill based on response",INDEX('Faculties'!$P$89:$P$98,MATCH($F175,'Faculties'!$B$89:$B$98,0))),"N/A")</f>
        <v/>
      </c>
      <c r="N175" s="50">
        <f>IFERROR(IF(INDEX('Faculties'!$P$105:$P$114,MATCH($F175,'Faculties'!$B$105:$B$114,0))="","Cell will autofill based on response",INDEX('Faculties'!$P$105:$P$114,MATCH($F175,'Faculties'!$B$105:$B$114,0))),"N/A")</f>
        <v/>
      </c>
      <c r="O175" s="50">
        <f>IFERROR(IF(INDEX('Faculties'!$P$121:$P$130,MATCH($F175,'Faculties'!$B$121:$B$130,0))="","Cell will autofill based on response",INDEX('Faculties'!$P$121:$P$130,MATCH($F175,'Faculties'!$B$121:$B$130,0))),"N/A")</f>
        <v/>
      </c>
      <c r="P175" s="50">
        <f>IFERROR(IF(INDEX('Faculties'!$P$137:$P$146,MATCH($F175,'Faculties'!$B$137:$B$146,0))="","Cell will autofill based on response",INDEX('Faculties'!$P$137:$P$146,MATCH($F175,'Faculties'!$B$137:$B$146,0))),"N/A")</f>
        <v/>
      </c>
      <c r="Q175" s="50">
        <f>IFERROR(IF(INDEX('CI&amp;S'!$P$10:$P$15,MATCH($F175,'CI&amp;S'!$B$10:$B$15,0))="","Cell will autofill based on response",INDEX('CI&amp;S'!$P$10:$P$15,MATCH($F175,'CI&amp;S'!$B$10:$B$15,0))),"N/A")</f>
        <v/>
      </c>
      <c r="R175" s="50">
        <f>IFERROR(IF(INDEX('CI&amp;S'!$P$22:$P$36,MATCH($F175,'CI&amp;S'!$B$22:$B$36,0))="","Cell will autofill based on response",INDEX('CI&amp;S'!$P$22:$P$36,MATCH($F175,'CI&amp;S'!$B$22:$B$36,0))),"N/A")</f>
        <v/>
      </c>
      <c r="S175" s="50">
        <f>IFERROR(IF(INDEX('CFOG'!$P$10:$P$16,MATCH($F175,'CFOG'!$B$10:$B$16,0))="","Cell will autofill based on response",INDEX('CFOG'!$P$10:$P$16,MATCH($F175,'CFOG'!$B$10:$B$16,0))),"N/A")</f>
        <v/>
      </c>
      <c r="T175" s="50">
        <f>IFERROR(IF(INDEX('CFOG'!$P$23:$P$24,MATCH($F175,'CFOG'!$B$23:$B$24,0))="","Cell will autofill based on response",INDEX('CFOG'!$P$23:$P$24,MATCH($F175,'CFOG'!$B$23:$B$24,0))),"N/A")</f>
        <v/>
      </c>
      <c r="U175" s="50">
        <f>IFERROR(IF(INDEX('ESG'!$P$10:$P$17,MATCH($F175,'ESG'!$B$10:$B$17,0))="","Cell will autofill based on response",INDEX('ESG'!$P$10:$P$17,MATCH($F175,'ESG'!$B$10:$B$17,0))),"N/A")</f>
        <v/>
      </c>
      <c r="V175" s="50">
        <f>IFERROR(IF(INDEX('CIOG'!$P$10:$P$14,MATCH($F175,'CIOG'!$B$10:$B$14,0))="","Cell will autofill based on response",INDEX('CIOG'!$P$10:$P$14,MATCH($F175,'CIOG'!$B$10:$B$14,0))),"N/A")</f>
        <v/>
      </c>
      <c r="W175" s="50">
        <f>IFERROR(IF(INDEX('MRE'!$P$10:$P$18,MATCH($F175,'MRE'!$B$10:$B$18,0))="","Cell will autofill based on response",INDEX('MRE'!$P$10:$P$18,MATCH($F175,'MRE'!$B$10:$B$18,0))),"N/A")</f>
        <v/>
      </c>
      <c r="X175" s="50">
        <f>IFERROR(IF(INDEX('AC&amp;M'!$P$10:$P$14,MATCH($F175,'AC&amp;M'!$B$10:$B$14,0))="","Cell will autofill based on response",INDEX('AC&amp;M'!$P$10:$P$14,MATCH($F175,'AC&amp;M'!$B$10:$B$14,0))),"N/A")</f>
        <v/>
      </c>
      <c r="Y175" s="50">
        <f>IFERROR(IF(INDEX('GCE'!$P$10:$P$12,MATCH($F175,'GCE'!$B$10:$B$12,0))="","Cell will autofill based on response",INDEX('GCE'!$P$10:$P$12,MATCH($F175,'GCE'!$B$10:$B$12,0))),"N/A")</f>
        <v/>
      </c>
      <c r="Z175" s="50">
        <f>IFERROR(IF(INDEX('Education'!$P$10:$P$13,MATCH($F175,'Education'!$B$10:$B$13,0))="","Cell will autofill based on response",INDEX('Education'!$P$10:$P$13,MATCH($F175,'Education'!$B$10:$B$13,0))),"N/A")</f>
        <v/>
      </c>
      <c r="AA175" s="50">
        <f>IFERROR(IF(INDEX('SaSS'!$P$10:$P$12,MATCH($F175,'SaSS'!$B$10:$B$12,0))="","Cell will autofill based on response",INDEX('SaSS'!$P$10:$P$12,MATCH($F175,'SaSS'!$B$10:$B$12,0))),"N/A")</f>
        <v/>
      </c>
      <c r="AB175" s="50">
        <f>IFERROR(IF(INDEX('Indigenous'!$P$10:$P$11,MATCH($F175,'Indigenous'!$B$10:$B$11,0))="","Cell will autofill based on response",INDEX('Indigenous'!$P$10:$P$11,MATCH($F175,'Indigenous'!$B$10:$B$11,0))),"N/A")</f>
        <v/>
      </c>
      <c r="AC175" s="50">
        <f>IFERROR(IF(INDEX('L&amp;R'!$P$10:$P$11,MATCH($F175,'L&amp;R'!$B$10:$B$11,0))="","Cell will autofill based on response",INDEX('L&amp;R'!$P$10:$P$11,MATCH($F175,'L&amp;R'!$B$10:$B$11,0))),"N/A")</f>
        <v/>
      </c>
    </row>
    <row r="176" ht="122" customHeight="1">
      <c r="A176">
        <f>F176&amp;"|"&amp;G176</f>
        <v/>
      </c>
      <c r="B176" s="6" t="inlineStr">
        <is>
          <t>RI1(b)</t>
        </is>
      </c>
      <c r="C176" s="48" t="inlineStr">
        <is>
          <t>Responsible investments</t>
        </is>
      </c>
      <c r="D176" s="48" t="inlineStr">
        <is>
          <t>Continuous improvement of the reporting of the University’s sustainability-related investment profile metrics, could include investment in climate mitigation and transition solutions, and compliance with related obligations (eg UNPRI).</t>
        </is>
      </c>
      <c r="E176" s="48" t="inlineStr">
        <is>
          <t>Report on relevant sustainability-related investment portfolio metrics and report on how the University has complied with its related obligations</t>
        </is>
      </c>
      <c r="F176" s="48" t="inlineStr">
        <is>
          <t>RI1(b)</t>
        </is>
      </c>
      <c r="G176" s="48" t="inlineStr">
        <is>
          <t>OPTION 1:  Target-level reporting</t>
        </is>
      </c>
      <c r="H176" s="50">
        <f>IFERROR(IF(INDEX('Faculties'!$L$10:$L$18,MATCH($F176,'Faculties'!$B$10:$B$18,0))="","Cell will autofill based on response",INDEX('Faculties'!$L$10:$L$18,MATCH($F176,'Faculties'!$B$10:$B$18,0))),"N/A")</f>
        <v/>
      </c>
      <c r="I176" s="50">
        <f>IFERROR(IF(INDEX('Faculties'!$L$25:$L$34,MATCH($F176,'Faculties'!$B$25:$B$34,0))="","Cell will autofill based on response",INDEX('Faculties'!$L$25:$L$34,MATCH($F176,'Faculties'!$B$25:$B$34,0))),"N/A")</f>
        <v/>
      </c>
      <c r="J176" s="50">
        <f>IFERROR(IF(INDEX('Faculties'!$L$41:$L$50,MATCH($F176,'Faculties'!$B$41:$B$50,0))="","Cell will autofill based on response",INDEX('Faculties'!$L$41:$L$50,MATCH($F176,'Faculties'!$B$41:$B$50,0))),"N/A")</f>
        <v/>
      </c>
      <c r="K176" s="50">
        <f>IFERROR(IF(INDEX('Faculties'!$L$57:$L$66,MATCH($F176,'Faculties'!$B$57:$B$66,0))="","Cell will autofill based on response",INDEX('Faculties'!$L$57:$L$66,MATCH($F176,'Faculties'!$B$57:$B$66,0))),"N/A")</f>
        <v/>
      </c>
      <c r="L176" s="50">
        <f>IFERROR(IF(INDEX('Faculties'!$L$73:$L$82,MATCH($F176,'Faculties'!$B$73:$B$82,0))="","Cell will autofill based on response",INDEX('Faculties'!$L$73:$L$82,MATCH($F176,'Faculties'!$B$73:$B$82,0))),"N/A")</f>
        <v/>
      </c>
      <c r="M176" s="50">
        <f>IFERROR(IF(INDEX('Faculties'!$L$89:$L$98,MATCH($F176,'Faculties'!$B$89:$B$98,0))="","Cell will autofill based on response",INDEX('Faculties'!$L$89:$L$98,MATCH($F176,'Faculties'!$B$89:$B$98,0))),"N/A")</f>
        <v/>
      </c>
      <c r="N176" s="50">
        <f>IFERROR(IF(INDEX('Faculties'!$L$105:$L$114,MATCH($F176,'Faculties'!$B$105:$B$114,0))="","Cell will autofill based on response",INDEX('Faculties'!$L$105:$L$114,MATCH($F176,'Faculties'!$B$105:$B$114,0))),"N/A")</f>
        <v/>
      </c>
      <c r="O176" s="50">
        <f>IFERROR(IF(INDEX('Faculties'!$L$121:$L$130,MATCH($F176,'Faculties'!$B$121:$B$130,0))="","Cell will autofill based on response",INDEX('Faculties'!$L$121:$L$130,MATCH($F176,'Faculties'!$B$121:$B$130,0))),"N/A")</f>
        <v/>
      </c>
      <c r="P176" s="50">
        <f>IFERROR(IF(INDEX('Faculties'!$L$137:$L$146,MATCH($F176,'Faculties'!$B$137:$B$146,0))="","Cell will autofill based on response",INDEX('Faculties'!$L$137:$L$146,MATCH($F176,'Faculties'!$B$137:$B$146,0))),"N/A")</f>
        <v/>
      </c>
      <c r="Q176" s="50">
        <f>IFERROR(IF(INDEX('CI&amp;S'!$L$10:$L$15,MATCH($F176,'CI&amp;S'!$B$10:$B$15,0))="","Cell will autofill based on response",INDEX('CI&amp;S'!$L$10:$L$15,MATCH($F176,'CI&amp;S'!$B$10:$B$15,0))),"N/A")</f>
        <v/>
      </c>
      <c r="R176" s="50">
        <f>IFERROR(IF(INDEX('CI&amp;S'!$L$22:$L$36,MATCH($F176,'CI&amp;S'!$B$22:$B$36,0))="","Cell will autofill based on response",INDEX('CI&amp;S'!$L$22:$L$36,MATCH($F176,'CI&amp;S'!$B$22:$B$36,0))),"N/A")</f>
        <v/>
      </c>
      <c r="S176" s="50">
        <f>IFERROR(IF(INDEX('CFOG'!$L$10:$L$16,MATCH($F176,'CFOG'!$B$10:$B$16,0))="","Cell will autofill based on response",INDEX('CFOG'!$L$10:$L$16,MATCH($F176,'CFOG'!$B$10:$B$16,0))),"N/A")</f>
        <v/>
      </c>
      <c r="T176" s="50">
        <f>IFERROR(IF(INDEX('CFOG'!$L$23:$L$24,MATCH($F176,'CFOG'!$B$23:$B$24,0))="","Cell will autofill based on response",INDEX('CFOG'!$L$23:$L$24,MATCH($F176,'CFOG'!$B$23:$B$24,0))),"N/A")</f>
        <v/>
      </c>
      <c r="U176" s="50">
        <f>IFERROR(IF(INDEX('ESG'!$L$10:$L$17,MATCH($F176,'ESG'!$B$10:$B$17,0))="","Cell will autofill based on response",INDEX('ESG'!$L$10:$L$17,MATCH($F176,'ESG'!$B$10:$B$17,0))),"N/A")</f>
        <v/>
      </c>
      <c r="V176" s="50">
        <f>IFERROR(IF(INDEX('CIOG'!$L$10:$L$14,MATCH($F176,'CIOG'!$B$10:$B$14,0))="","Cell will autofill based on response",INDEX('CIOG'!$L$10:$L$14,MATCH($F176,'CIOG'!$B$10:$B$14,0))),"N/A")</f>
        <v/>
      </c>
      <c r="W176" s="50">
        <f>IFERROR(IF(INDEX('MRE'!$L$10:$L$18,MATCH($F176,'MRE'!$B$10:$B$18,0))="","Cell will autofill based on response",INDEX('MRE'!$L$10:$L$18,MATCH($F176,'MRE'!$B$10:$B$18,0))),"N/A")</f>
        <v/>
      </c>
      <c r="X176" s="50">
        <f>IFERROR(IF(INDEX('AC&amp;M'!$L$10:$L$14,MATCH($F176,'AC&amp;M'!$B$10:$B$14,0))="","Cell will autofill based on response",INDEX('AC&amp;M'!$L$10:$L$14,MATCH($F176,'AC&amp;M'!$B$10:$B$14,0))),"N/A")</f>
        <v/>
      </c>
      <c r="Y176" s="50">
        <f>IFERROR(IF(INDEX('GCE'!$L$10:$L$12,MATCH($F176,'GCE'!$B$10:$B$12,0))="","Cell will autofill based on response",INDEX('GCE'!$L$10:$L$12,MATCH($F176,'GCE'!$B$10:$B$12,0))),"N/A")</f>
        <v/>
      </c>
      <c r="Z176" s="50">
        <f>IFERROR(IF(INDEX('Education'!$L$10:$L$13,MATCH($F176,'Education'!$B$10:$B$13,0))="","Cell will autofill based on response",INDEX('Education'!$L$10:$L$13,MATCH($F176,'Education'!$B$10:$B$13,0))),"N/A")</f>
        <v/>
      </c>
      <c r="AA176" s="50">
        <f>IFERROR(IF(INDEX('SaSS'!$L$10:$L$12,MATCH($F176,'SaSS'!$B$10:$B$12,0))="","Cell will autofill based on response",INDEX('SaSS'!$L$10:$L$12,MATCH($F176,'SaSS'!$B$10:$B$12,0))),"N/A")</f>
        <v/>
      </c>
      <c r="AB176" s="50">
        <f>IFERROR(IF(INDEX('Indigenous'!$L$10:$L$11,MATCH($F176,'Indigenous'!$B$10:$B$11,0))="","Cell will autofill based on response",INDEX('Indigenous'!$L$10:$L$11,MATCH($F176,'Indigenous'!$B$10:$B$11,0))),"N/A")</f>
        <v/>
      </c>
      <c r="AC176" s="50">
        <f>IFERROR(IF(INDEX('L&amp;R'!$L$10:$L$11,MATCH($F176,'L&amp;R'!$B$10:$B$11,0))="","Cell will autofill based on response",INDEX('L&amp;R'!$L$10:$L$11,MATCH($F176,'L&amp;R'!$B$10:$B$11,0))),"N/A")</f>
        <v/>
      </c>
      <c r="AE176" s="9">
        <f>SUMPRODUCT(--($H176:$AC176&lt;&gt;"N/A"))</f>
        <v/>
      </c>
      <c r="AF176" s="9">
        <f>SUMPRODUCT(--(((($H176:$AC176&lt;&gt;"N/A")*($H176:$AC176&lt;&gt;"Cell will autofill based on response"))+(($H177:$AC177&lt;&gt;"N/A")*($H177:$AC177&lt;&gt;"Cell will autofill based on response")))&gt;0))</f>
        <v/>
      </c>
      <c r="AG176" s="9">
        <f>AE176-AF176</f>
        <v/>
      </c>
      <c r="AH176" s="9">
        <f>COUNTIF($H180:$AC180,"Yes")</f>
        <v/>
      </c>
    </row>
    <row r="177" ht="39" customHeight="1">
      <c r="A177">
        <f>F177&amp;"|"&amp;G177</f>
        <v/>
      </c>
      <c r="B177" s="12" t="inlineStr"/>
      <c r="C177" s="7" t="inlineStr"/>
      <c r="D177" s="7" t="inlineStr"/>
      <c r="E177" s="7" t="inlineStr"/>
      <c r="F177" s="7" t="inlineStr">
        <is>
          <t>RI1(b)</t>
        </is>
      </c>
      <c r="G177" s="7" t="inlineStr">
        <is>
          <t>OPTION 2:  Indicator level reporting</t>
        </is>
      </c>
      <c r="H177" s="50">
        <f>IFERROR(IF(INDEX('Faculties'!$M$10:$M$18,MATCH($F177,'Faculties'!$B$10:$B$18,0))="","Cell will autofill based on response",INDEX('Faculties'!$M$10:$M$18,MATCH($F177,'Faculties'!$B$10:$B$18,0))),"N/A")</f>
        <v/>
      </c>
      <c r="I177" s="50">
        <f>IFERROR(IF(INDEX('Faculties'!$M$25:$M$34,MATCH($F177,'Faculties'!$B$25:$B$34,0))="","Cell will autofill based on response",INDEX('Faculties'!$M$25:$M$34,MATCH($F177,'Faculties'!$B$25:$B$34,0))),"N/A")</f>
        <v/>
      </c>
      <c r="J177" s="50">
        <f>IFERROR(IF(INDEX('Faculties'!$M$41:$M$50,MATCH($F177,'Faculties'!$B$41:$B$50,0))="","Cell will autofill based on response",INDEX('Faculties'!$M$41:$M$50,MATCH($F177,'Faculties'!$B$41:$B$50,0))),"N/A")</f>
        <v/>
      </c>
      <c r="K177" s="50">
        <f>IFERROR(IF(INDEX('Faculties'!$M$57:$M$66,MATCH($F177,'Faculties'!$B$57:$B$66,0))="","Cell will autofill based on response",INDEX('Faculties'!$M$57:$M$66,MATCH($F177,'Faculties'!$B$57:$B$66,0))),"N/A")</f>
        <v/>
      </c>
      <c r="L177" s="50">
        <f>IFERROR(IF(INDEX('Faculties'!$M$73:$M$82,MATCH($F177,'Faculties'!$B$73:$B$82,0))="","Cell will autofill based on response",INDEX('Faculties'!$M$73:$M$82,MATCH($F177,'Faculties'!$B$73:$B$82,0))),"N/A")</f>
        <v/>
      </c>
      <c r="M177" s="50">
        <f>IFERROR(IF(INDEX('Faculties'!$M$89:$M$98,MATCH($F177,'Faculties'!$B$89:$B$98,0))="","Cell will autofill based on response",INDEX('Faculties'!$M$89:$M$98,MATCH($F177,'Faculties'!$B$89:$B$98,0))),"N/A")</f>
        <v/>
      </c>
      <c r="N177" s="50">
        <f>IFERROR(IF(INDEX('Faculties'!$M$105:$M$114,MATCH($F177,'Faculties'!$B$105:$B$114,0))="","Cell will autofill based on response",INDEX('Faculties'!$M$105:$M$114,MATCH($F177,'Faculties'!$B$105:$B$114,0))),"N/A")</f>
        <v/>
      </c>
      <c r="O177" s="50">
        <f>IFERROR(IF(INDEX('Faculties'!$M$121:$M$130,MATCH($F177,'Faculties'!$B$121:$B$130,0))="","Cell will autofill based on response",INDEX('Faculties'!$M$121:$M$130,MATCH($F177,'Faculties'!$B$121:$B$130,0))),"N/A")</f>
        <v/>
      </c>
      <c r="P177" s="50">
        <f>IFERROR(IF(INDEX('Faculties'!$M$137:$M$146,MATCH($F177,'Faculties'!$B$137:$B$146,0))="","Cell will autofill based on response",INDEX('Faculties'!$M$137:$M$146,MATCH($F177,'Faculties'!$B$137:$B$146,0))),"N/A")</f>
        <v/>
      </c>
      <c r="Q177" s="50">
        <f>IFERROR(IF(INDEX('CI&amp;S'!$M$10:$M$15,MATCH($F177,'CI&amp;S'!$B$10:$B$15,0))="","Cell will autofill based on response",INDEX('CI&amp;S'!$M$10:$M$15,MATCH($F177,'CI&amp;S'!$B$10:$B$15,0))),"N/A")</f>
        <v/>
      </c>
      <c r="R177" s="50">
        <f>IFERROR(IF(INDEX('CI&amp;S'!$M$22:$M$36,MATCH($F177,'CI&amp;S'!$B$22:$B$36,0))="","Cell will autofill based on response",INDEX('CI&amp;S'!$M$22:$M$36,MATCH($F177,'CI&amp;S'!$B$22:$B$36,0))),"N/A")</f>
        <v/>
      </c>
      <c r="S177" s="50">
        <f>IFERROR(IF(INDEX('CFOG'!$M$10:$M$16,MATCH($F177,'CFOG'!$B$10:$B$16,0))="","Cell will autofill based on response",INDEX('CFOG'!$M$10:$M$16,MATCH($F177,'CFOG'!$B$10:$B$16,0))),"N/A")</f>
        <v/>
      </c>
      <c r="T177" s="50">
        <f>IFERROR(IF(INDEX('CFOG'!$M$23:$M$24,MATCH($F177,'CFOG'!$B$23:$B$24,0))="","Cell will autofill based on response",INDEX('CFOG'!$M$23:$M$24,MATCH($F177,'CFOG'!$B$23:$B$24,0))),"N/A")</f>
        <v/>
      </c>
      <c r="U177" s="50">
        <f>IFERROR(IF(INDEX('ESG'!$M$10:$M$17,MATCH($F177,'ESG'!$B$10:$B$17,0))="","Cell will autofill based on response",INDEX('ESG'!$M$10:$M$17,MATCH($F177,'ESG'!$B$10:$B$17,0))),"N/A")</f>
        <v/>
      </c>
      <c r="V177" s="50">
        <f>IFERROR(IF(INDEX('CIOG'!$M$10:$M$14,MATCH($F177,'CIOG'!$B$10:$B$14,0))="","Cell will autofill based on response",INDEX('CIOG'!$M$10:$M$14,MATCH($F177,'CIOG'!$B$10:$B$14,0))),"N/A")</f>
        <v/>
      </c>
      <c r="W177" s="50">
        <f>IFERROR(IF(INDEX('MRE'!$M$10:$M$18,MATCH($F177,'MRE'!$B$10:$B$18,0))="","Cell will autofill based on response",INDEX('MRE'!$M$10:$M$18,MATCH($F177,'MRE'!$B$10:$B$18,0))),"N/A")</f>
        <v/>
      </c>
      <c r="X177" s="50">
        <f>IFERROR(IF(INDEX('AC&amp;M'!$M$10:$M$14,MATCH($F177,'AC&amp;M'!$B$10:$B$14,0))="","Cell will autofill based on response",INDEX('AC&amp;M'!$M$10:$M$14,MATCH($F177,'AC&amp;M'!$B$10:$B$14,0))),"N/A")</f>
        <v/>
      </c>
      <c r="Y177" s="50">
        <f>IFERROR(IF(INDEX('GCE'!$M$10:$M$12,MATCH($F177,'GCE'!$B$10:$B$12,0))="","Cell will autofill based on response",INDEX('GCE'!$M$10:$M$12,MATCH($F177,'GCE'!$B$10:$B$12,0))),"N/A")</f>
        <v/>
      </c>
      <c r="Z177" s="50">
        <f>IFERROR(IF(INDEX('Education'!$M$10:$M$13,MATCH($F177,'Education'!$B$10:$B$13,0))="","Cell will autofill based on response",INDEX('Education'!$M$10:$M$13,MATCH($F177,'Education'!$B$10:$B$13,0))),"N/A")</f>
        <v/>
      </c>
      <c r="AA177" s="50">
        <f>IFERROR(IF(INDEX('SaSS'!$M$10:$M$12,MATCH($F177,'SaSS'!$B$10:$B$12,0))="","Cell will autofill based on response",INDEX('SaSS'!$M$10:$M$12,MATCH($F177,'SaSS'!$B$10:$B$12,0))),"N/A")</f>
        <v/>
      </c>
      <c r="AB177" s="50">
        <f>IFERROR(IF(INDEX('Indigenous'!$M$10:$M$11,MATCH($F177,'Indigenous'!$B$10:$B$11,0))="","Cell will autofill based on response",INDEX('Indigenous'!$M$10:$M$11,MATCH($F177,'Indigenous'!$B$10:$B$11,0))),"N/A")</f>
        <v/>
      </c>
      <c r="AC177" s="50">
        <f>IFERROR(IF(INDEX('L&amp;R'!$M$10:$M$11,MATCH($F177,'L&amp;R'!$B$10:$B$11,0))="","Cell will autofill based on response",INDEX('L&amp;R'!$M$10:$M$11,MATCH($F177,'L&amp;R'!$B$10:$B$11,0))),"N/A")</f>
        <v/>
      </c>
    </row>
    <row r="178" ht="22" customHeight="1">
      <c r="A178">
        <f>F178&amp;"|"&amp;G178</f>
        <v/>
      </c>
      <c r="B178" s="12" t="inlineStr"/>
      <c r="C178" s="7" t="inlineStr"/>
      <c r="D178" s="7" t="inlineStr"/>
      <c r="E178" s="7" t="inlineStr"/>
      <c r="F178" s="7" t="inlineStr">
        <is>
          <t>RI1(b)</t>
        </is>
      </c>
      <c r="G178" s="7" t="inlineStr">
        <is>
          <t>Supporting information/comments</t>
        </is>
      </c>
      <c r="H178" s="50">
        <f>IFERROR(IF(INDEX('Faculties'!$N$10:$N$18,MATCH($F178,'Faculties'!$B$10:$B$18,0))="","Cell will autofill based on response",INDEX('Faculties'!$N$10:$N$18,MATCH($F178,'Faculties'!$B$10:$B$18,0))),"N/A")</f>
        <v/>
      </c>
      <c r="I178" s="50">
        <f>IFERROR(IF(INDEX('Faculties'!$N$25:$N$34,MATCH($F178,'Faculties'!$B$25:$B$34,0))="","Cell will autofill based on response",INDEX('Faculties'!$N$25:$N$34,MATCH($F178,'Faculties'!$B$25:$B$34,0))),"N/A")</f>
        <v/>
      </c>
      <c r="J178" s="50">
        <f>IFERROR(IF(INDEX('Faculties'!$N$41:$N$50,MATCH($F178,'Faculties'!$B$41:$B$50,0))="","Cell will autofill based on response",INDEX('Faculties'!$N$41:$N$50,MATCH($F178,'Faculties'!$B$41:$B$50,0))),"N/A")</f>
        <v/>
      </c>
      <c r="K178" s="50">
        <f>IFERROR(IF(INDEX('Faculties'!$N$57:$N$66,MATCH($F178,'Faculties'!$B$57:$B$66,0))="","Cell will autofill based on response",INDEX('Faculties'!$N$57:$N$66,MATCH($F178,'Faculties'!$B$57:$B$66,0))),"N/A")</f>
        <v/>
      </c>
      <c r="L178" s="50">
        <f>IFERROR(IF(INDEX('Faculties'!$N$73:$N$82,MATCH($F178,'Faculties'!$B$73:$B$82,0))="","Cell will autofill based on response",INDEX('Faculties'!$N$73:$N$82,MATCH($F178,'Faculties'!$B$73:$B$82,0))),"N/A")</f>
        <v/>
      </c>
      <c r="M178" s="50">
        <f>IFERROR(IF(INDEX('Faculties'!$N$89:$N$98,MATCH($F178,'Faculties'!$B$89:$B$98,0))="","Cell will autofill based on response",INDEX('Faculties'!$N$89:$N$98,MATCH($F178,'Faculties'!$B$89:$B$98,0))),"N/A")</f>
        <v/>
      </c>
      <c r="N178" s="50">
        <f>IFERROR(IF(INDEX('Faculties'!$N$105:$N$114,MATCH($F178,'Faculties'!$B$105:$B$114,0))="","Cell will autofill based on response",INDEX('Faculties'!$N$105:$N$114,MATCH($F178,'Faculties'!$B$105:$B$114,0))),"N/A")</f>
        <v/>
      </c>
      <c r="O178" s="50">
        <f>IFERROR(IF(INDEX('Faculties'!$N$121:$N$130,MATCH($F178,'Faculties'!$B$121:$B$130,0))="","Cell will autofill based on response",INDEX('Faculties'!$N$121:$N$130,MATCH($F178,'Faculties'!$B$121:$B$130,0))),"N/A")</f>
        <v/>
      </c>
      <c r="P178" s="50">
        <f>IFERROR(IF(INDEX('Faculties'!$N$137:$N$146,MATCH($F178,'Faculties'!$B$137:$B$146,0))="","Cell will autofill based on response",INDEX('Faculties'!$N$137:$N$146,MATCH($F178,'Faculties'!$B$137:$B$146,0))),"N/A")</f>
        <v/>
      </c>
      <c r="Q178" s="50">
        <f>IFERROR(IF(INDEX('CI&amp;S'!$N$10:$N$15,MATCH($F178,'CI&amp;S'!$B$10:$B$15,0))="","Cell will autofill based on response",INDEX('CI&amp;S'!$N$10:$N$15,MATCH($F178,'CI&amp;S'!$B$10:$B$15,0))),"N/A")</f>
        <v/>
      </c>
      <c r="R178" s="50">
        <f>IFERROR(IF(INDEX('CI&amp;S'!$N$22:$N$36,MATCH($F178,'CI&amp;S'!$B$22:$B$36,0))="","Cell will autofill based on response",INDEX('CI&amp;S'!$N$22:$N$36,MATCH($F178,'CI&amp;S'!$B$22:$B$36,0))),"N/A")</f>
        <v/>
      </c>
      <c r="S178" s="50">
        <f>IFERROR(IF(INDEX('CFOG'!$N$10:$N$16,MATCH($F178,'CFOG'!$B$10:$B$16,0))="","Cell will autofill based on response",INDEX('CFOG'!$N$10:$N$16,MATCH($F178,'CFOG'!$B$10:$B$16,0))),"N/A")</f>
        <v/>
      </c>
      <c r="T178" s="50">
        <f>IFERROR(IF(INDEX('CFOG'!$N$23:$N$24,MATCH($F178,'CFOG'!$B$23:$B$24,0))="","Cell will autofill based on response",INDEX('CFOG'!$N$23:$N$24,MATCH($F178,'CFOG'!$B$23:$B$24,0))),"N/A")</f>
        <v/>
      </c>
      <c r="U178" s="50">
        <f>IFERROR(IF(INDEX('ESG'!$N$10:$N$17,MATCH($F178,'ESG'!$B$10:$B$17,0))="","Cell will autofill based on response",INDEX('ESG'!$N$10:$N$17,MATCH($F178,'ESG'!$B$10:$B$17,0))),"N/A")</f>
        <v/>
      </c>
      <c r="V178" s="50">
        <f>IFERROR(IF(INDEX('CIOG'!$N$10:$N$14,MATCH($F178,'CIOG'!$B$10:$B$14,0))="","Cell will autofill based on response",INDEX('CIOG'!$N$10:$N$14,MATCH($F178,'CIOG'!$B$10:$B$14,0))),"N/A")</f>
        <v/>
      </c>
      <c r="W178" s="50">
        <f>IFERROR(IF(INDEX('MRE'!$N$10:$N$18,MATCH($F178,'MRE'!$B$10:$B$18,0))="","Cell will autofill based on response",INDEX('MRE'!$N$10:$N$18,MATCH($F178,'MRE'!$B$10:$B$18,0))),"N/A")</f>
        <v/>
      </c>
      <c r="X178" s="50">
        <f>IFERROR(IF(INDEX('AC&amp;M'!$N$10:$N$14,MATCH($F178,'AC&amp;M'!$B$10:$B$14,0))="","Cell will autofill based on response",INDEX('AC&amp;M'!$N$10:$N$14,MATCH($F178,'AC&amp;M'!$B$10:$B$14,0))),"N/A")</f>
        <v/>
      </c>
      <c r="Y178" s="50">
        <f>IFERROR(IF(INDEX('GCE'!$N$10:$N$12,MATCH($F178,'GCE'!$B$10:$B$12,0))="","Cell will autofill based on response",INDEX('GCE'!$N$10:$N$12,MATCH($F178,'GCE'!$B$10:$B$12,0))),"N/A")</f>
        <v/>
      </c>
      <c r="Z178" s="50">
        <f>IFERROR(IF(INDEX('Education'!$N$10:$N$13,MATCH($F178,'Education'!$B$10:$B$13,0))="","Cell will autofill based on response",INDEX('Education'!$N$10:$N$13,MATCH($F178,'Education'!$B$10:$B$13,0))),"N/A")</f>
        <v/>
      </c>
      <c r="AA178" s="50">
        <f>IFERROR(IF(INDEX('SaSS'!$N$10:$N$12,MATCH($F178,'SaSS'!$B$10:$B$12,0))="","Cell will autofill based on response",INDEX('SaSS'!$N$10:$N$12,MATCH($F178,'SaSS'!$B$10:$B$12,0))),"N/A")</f>
        <v/>
      </c>
      <c r="AB178" s="50">
        <f>IFERROR(IF(INDEX('Indigenous'!$N$10:$N$11,MATCH($F178,'Indigenous'!$B$10:$B$11,0))="","Cell will autofill based on response",INDEX('Indigenous'!$N$10:$N$11,MATCH($F178,'Indigenous'!$B$10:$B$11,0))),"N/A")</f>
        <v/>
      </c>
      <c r="AC178" s="50">
        <f>IFERROR(IF(INDEX('L&amp;R'!$N$10:$N$11,MATCH($F178,'L&amp;R'!$B$10:$B$11,0))="","Cell will autofill based on response",INDEX('L&amp;R'!$N$10:$N$11,MATCH($F178,'L&amp;R'!$B$10:$B$11,0))),"N/A")</f>
        <v/>
      </c>
    </row>
    <row r="179" ht="22" customHeight="1">
      <c r="A179">
        <f>F179&amp;"|"&amp;G179</f>
        <v/>
      </c>
      <c r="B179" s="12" t="inlineStr"/>
      <c r="C179" s="7" t="inlineStr"/>
      <c r="D179" s="7" t="inlineStr"/>
      <c r="E179" s="7" t="inlineStr"/>
      <c r="F179" s="7" t="inlineStr">
        <is>
          <t>RI1(b)</t>
        </is>
      </c>
      <c r="G179" s="7" t="inlineStr">
        <is>
          <t>Data source and limitations</t>
        </is>
      </c>
      <c r="H179" s="50">
        <f>IFERROR(IF(INDEX('Faculties'!$O$10:$O$18,MATCH($F179,'Faculties'!$B$10:$B$18,0))="","Cell will autofill based on response",INDEX('Faculties'!$O$10:$O$18,MATCH($F179,'Faculties'!$B$10:$B$18,0))),"N/A")</f>
        <v/>
      </c>
      <c r="I179" s="50">
        <f>IFERROR(IF(INDEX('Faculties'!$O$25:$O$34,MATCH($F179,'Faculties'!$B$25:$B$34,0))="","Cell will autofill based on response",INDEX('Faculties'!$O$25:$O$34,MATCH($F179,'Faculties'!$B$25:$B$34,0))),"N/A")</f>
        <v/>
      </c>
      <c r="J179" s="50">
        <f>IFERROR(IF(INDEX('Faculties'!$O$41:$O$50,MATCH($F179,'Faculties'!$B$41:$B$50,0))="","Cell will autofill based on response",INDEX('Faculties'!$O$41:$O$50,MATCH($F179,'Faculties'!$B$41:$B$50,0))),"N/A")</f>
        <v/>
      </c>
      <c r="K179" s="50">
        <f>IFERROR(IF(INDEX('Faculties'!$O$57:$O$66,MATCH($F179,'Faculties'!$B$57:$B$66,0))="","Cell will autofill based on response",INDEX('Faculties'!$O$57:$O$66,MATCH($F179,'Faculties'!$B$57:$B$66,0))),"N/A")</f>
        <v/>
      </c>
      <c r="L179" s="50">
        <f>IFERROR(IF(INDEX('Faculties'!$O$73:$O$82,MATCH($F179,'Faculties'!$B$73:$B$82,0))="","Cell will autofill based on response",INDEX('Faculties'!$O$73:$O$82,MATCH($F179,'Faculties'!$B$73:$B$82,0))),"N/A")</f>
        <v/>
      </c>
      <c r="M179" s="50">
        <f>IFERROR(IF(INDEX('Faculties'!$O$89:$O$98,MATCH($F179,'Faculties'!$B$89:$B$98,0))="","Cell will autofill based on response",INDEX('Faculties'!$O$89:$O$98,MATCH($F179,'Faculties'!$B$89:$B$98,0))),"N/A")</f>
        <v/>
      </c>
      <c r="N179" s="50">
        <f>IFERROR(IF(INDEX('Faculties'!$O$105:$O$114,MATCH($F179,'Faculties'!$B$105:$B$114,0))="","Cell will autofill based on response",INDEX('Faculties'!$O$105:$O$114,MATCH($F179,'Faculties'!$B$105:$B$114,0))),"N/A")</f>
        <v/>
      </c>
      <c r="O179" s="50">
        <f>IFERROR(IF(INDEX('Faculties'!$O$121:$O$130,MATCH($F179,'Faculties'!$B$121:$B$130,0))="","Cell will autofill based on response",INDEX('Faculties'!$O$121:$O$130,MATCH($F179,'Faculties'!$B$121:$B$130,0))),"N/A")</f>
        <v/>
      </c>
      <c r="P179" s="50">
        <f>IFERROR(IF(INDEX('Faculties'!$O$137:$O$146,MATCH($F179,'Faculties'!$B$137:$B$146,0))="","Cell will autofill based on response",INDEX('Faculties'!$O$137:$O$146,MATCH($F179,'Faculties'!$B$137:$B$146,0))),"N/A")</f>
        <v/>
      </c>
      <c r="Q179" s="50">
        <f>IFERROR(IF(INDEX('CI&amp;S'!$O$10:$O$15,MATCH($F179,'CI&amp;S'!$B$10:$B$15,0))="","Cell will autofill based on response",INDEX('CI&amp;S'!$O$10:$O$15,MATCH($F179,'CI&amp;S'!$B$10:$B$15,0))),"N/A")</f>
        <v/>
      </c>
      <c r="R179" s="50">
        <f>IFERROR(IF(INDEX('CI&amp;S'!$O$22:$O$36,MATCH($F179,'CI&amp;S'!$B$22:$B$36,0))="","Cell will autofill based on response",INDEX('CI&amp;S'!$O$22:$O$36,MATCH($F179,'CI&amp;S'!$B$22:$B$36,0))),"N/A")</f>
        <v/>
      </c>
      <c r="S179" s="50">
        <f>IFERROR(IF(INDEX('CFOG'!$O$10:$O$16,MATCH($F179,'CFOG'!$B$10:$B$16,0))="","Cell will autofill based on response",INDEX('CFOG'!$O$10:$O$16,MATCH($F179,'CFOG'!$B$10:$B$16,0))),"N/A")</f>
        <v/>
      </c>
      <c r="T179" s="50">
        <f>IFERROR(IF(INDEX('CFOG'!$O$23:$O$24,MATCH($F179,'CFOG'!$B$23:$B$24,0))="","Cell will autofill based on response",INDEX('CFOG'!$O$23:$O$24,MATCH($F179,'CFOG'!$B$23:$B$24,0))),"N/A")</f>
        <v/>
      </c>
      <c r="U179" s="50">
        <f>IFERROR(IF(INDEX('ESG'!$O$10:$O$17,MATCH($F179,'ESG'!$B$10:$B$17,0))="","Cell will autofill based on response",INDEX('ESG'!$O$10:$O$17,MATCH($F179,'ESG'!$B$10:$B$17,0))),"N/A")</f>
        <v/>
      </c>
      <c r="V179" s="50">
        <f>IFERROR(IF(INDEX('CIOG'!$O$10:$O$14,MATCH($F179,'CIOG'!$B$10:$B$14,0))="","Cell will autofill based on response",INDEX('CIOG'!$O$10:$O$14,MATCH($F179,'CIOG'!$B$10:$B$14,0))),"N/A")</f>
        <v/>
      </c>
      <c r="W179" s="50">
        <f>IFERROR(IF(INDEX('MRE'!$O$10:$O$18,MATCH($F179,'MRE'!$B$10:$B$18,0))="","Cell will autofill based on response",INDEX('MRE'!$O$10:$O$18,MATCH($F179,'MRE'!$B$10:$B$18,0))),"N/A")</f>
        <v/>
      </c>
      <c r="X179" s="50">
        <f>IFERROR(IF(INDEX('AC&amp;M'!$O$10:$O$14,MATCH($F179,'AC&amp;M'!$B$10:$B$14,0))="","Cell will autofill based on response",INDEX('AC&amp;M'!$O$10:$O$14,MATCH($F179,'AC&amp;M'!$B$10:$B$14,0))),"N/A")</f>
        <v/>
      </c>
      <c r="Y179" s="50">
        <f>IFERROR(IF(INDEX('GCE'!$O$10:$O$12,MATCH($F179,'GCE'!$B$10:$B$12,0))="","Cell will autofill based on response",INDEX('GCE'!$O$10:$O$12,MATCH($F179,'GCE'!$B$10:$B$12,0))),"N/A")</f>
        <v/>
      </c>
      <c r="Z179" s="50">
        <f>IFERROR(IF(INDEX('Education'!$O$10:$O$13,MATCH($F179,'Education'!$B$10:$B$13,0))="","Cell will autofill based on response",INDEX('Education'!$O$10:$O$13,MATCH($F179,'Education'!$B$10:$B$13,0))),"N/A")</f>
        <v/>
      </c>
      <c r="AA179" s="50">
        <f>IFERROR(IF(INDEX('SaSS'!$O$10:$O$12,MATCH($F179,'SaSS'!$B$10:$B$12,0))="","Cell will autofill based on response",INDEX('SaSS'!$O$10:$O$12,MATCH($F179,'SaSS'!$B$10:$B$12,0))),"N/A")</f>
        <v/>
      </c>
      <c r="AB179" s="50">
        <f>IFERROR(IF(INDEX('Indigenous'!$O$10:$O$11,MATCH($F179,'Indigenous'!$B$10:$B$11,0))="","Cell will autofill based on response",INDEX('Indigenous'!$O$10:$O$11,MATCH($F179,'Indigenous'!$B$10:$B$11,0))),"N/A")</f>
        <v/>
      </c>
      <c r="AC179" s="50">
        <f>IFERROR(IF(INDEX('L&amp;R'!$O$10:$O$11,MATCH($F179,'L&amp;R'!$B$10:$B$11,0))="","Cell will autofill based on response",INDEX('L&amp;R'!$O$10:$O$11,MATCH($F179,'L&amp;R'!$B$10:$B$11,0))),"N/A")</f>
        <v/>
      </c>
    </row>
    <row r="180" ht="22" customHeight="1">
      <c r="A180">
        <f>F180&amp;"|"&amp;G180</f>
        <v/>
      </c>
      <c r="B180" s="12" t="inlineStr"/>
      <c r="C180" s="7" t="inlineStr"/>
      <c r="D180" s="7" t="inlineStr"/>
      <c r="E180" s="7" t="inlineStr"/>
      <c r="F180" s="7" t="inlineStr">
        <is>
          <t>RI1(b)</t>
        </is>
      </c>
      <c r="G180" s="7" t="inlineStr">
        <is>
          <t>Data owner confirms</t>
        </is>
      </c>
      <c r="H180" s="50">
        <f>IFERROR(IF(INDEX('Faculties'!$P$10:$P$18,MATCH($F180,'Faculties'!$B$10:$B$18,0))="","Cell will autofill based on response",INDEX('Faculties'!$P$10:$P$18,MATCH($F180,'Faculties'!$B$10:$B$18,0))),"N/A")</f>
        <v/>
      </c>
      <c r="I180" s="50">
        <f>IFERROR(IF(INDEX('Faculties'!$P$25:$P$34,MATCH($F180,'Faculties'!$B$25:$B$34,0))="","Cell will autofill based on response",INDEX('Faculties'!$P$25:$P$34,MATCH($F180,'Faculties'!$B$25:$B$34,0))),"N/A")</f>
        <v/>
      </c>
      <c r="J180" s="50">
        <f>IFERROR(IF(INDEX('Faculties'!$P$41:$P$50,MATCH($F180,'Faculties'!$B$41:$B$50,0))="","Cell will autofill based on response",INDEX('Faculties'!$P$41:$P$50,MATCH($F180,'Faculties'!$B$41:$B$50,0))),"N/A")</f>
        <v/>
      </c>
      <c r="K180" s="50">
        <f>IFERROR(IF(INDEX('Faculties'!$P$57:$P$66,MATCH($F180,'Faculties'!$B$57:$B$66,0))="","Cell will autofill based on response",INDEX('Faculties'!$P$57:$P$66,MATCH($F180,'Faculties'!$B$57:$B$66,0))),"N/A")</f>
        <v/>
      </c>
      <c r="L180" s="50">
        <f>IFERROR(IF(INDEX('Faculties'!$P$73:$P$82,MATCH($F180,'Faculties'!$B$73:$B$82,0))="","Cell will autofill based on response",INDEX('Faculties'!$P$73:$P$82,MATCH($F180,'Faculties'!$B$73:$B$82,0))),"N/A")</f>
        <v/>
      </c>
      <c r="M180" s="50">
        <f>IFERROR(IF(INDEX('Faculties'!$P$89:$P$98,MATCH($F180,'Faculties'!$B$89:$B$98,0))="","Cell will autofill based on response",INDEX('Faculties'!$P$89:$P$98,MATCH($F180,'Faculties'!$B$89:$B$98,0))),"N/A")</f>
        <v/>
      </c>
      <c r="N180" s="50">
        <f>IFERROR(IF(INDEX('Faculties'!$P$105:$P$114,MATCH($F180,'Faculties'!$B$105:$B$114,0))="","Cell will autofill based on response",INDEX('Faculties'!$P$105:$P$114,MATCH($F180,'Faculties'!$B$105:$B$114,0))),"N/A")</f>
        <v/>
      </c>
      <c r="O180" s="50">
        <f>IFERROR(IF(INDEX('Faculties'!$P$121:$P$130,MATCH($F180,'Faculties'!$B$121:$B$130,0))="","Cell will autofill based on response",INDEX('Faculties'!$P$121:$P$130,MATCH($F180,'Faculties'!$B$121:$B$130,0))),"N/A")</f>
        <v/>
      </c>
      <c r="P180" s="50">
        <f>IFERROR(IF(INDEX('Faculties'!$P$137:$P$146,MATCH($F180,'Faculties'!$B$137:$B$146,0))="","Cell will autofill based on response",INDEX('Faculties'!$P$137:$P$146,MATCH($F180,'Faculties'!$B$137:$B$146,0))),"N/A")</f>
        <v/>
      </c>
      <c r="Q180" s="50">
        <f>IFERROR(IF(INDEX('CI&amp;S'!$P$10:$P$15,MATCH($F180,'CI&amp;S'!$B$10:$B$15,0))="","Cell will autofill based on response",INDEX('CI&amp;S'!$P$10:$P$15,MATCH($F180,'CI&amp;S'!$B$10:$B$15,0))),"N/A")</f>
        <v/>
      </c>
      <c r="R180" s="50">
        <f>IFERROR(IF(INDEX('CI&amp;S'!$P$22:$P$36,MATCH($F180,'CI&amp;S'!$B$22:$B$36,0))="","Cell will autofill based on response",INDEX('CI&amp;S'!$P$22:$P$36,MATCH($F180,'CI&amp;S'!$B$22:$B$36,0))),"N/A")</f>
        <v/>
      </c>
      <c r="S180" s="50">
        <f>IFERROR(IF(INDEX('CFOG'!$P$10:$P$16,MATCH($F180,'CFOG'!$B$10:$B$16,0))="","Cell will autofill based on response",INDEX('CFOG'!$P$10:$P$16,MATCH($F180,'CFOG'!$B$10:$B$16,0))),"N/A")</f>
        <v/>
      </c>
      <c r="T180" s="50">
        <f>IFERROR(IF(INDEX('CFOG'!$P$23:$P$24,MATCH($F180,'CFOG'!$B$23:$B$24,0))="","Cell will autofill based on response",INDEX('CFOG'!$P$23:$P$24,MATCH($F180,'CFOG'!$B$23:$B$24,0))),"N/A")</f>
        <v/>
      </c>
      <c r="U180" s="50">
        <f>IFERROR(IF(INDEX('ESG'!$P$10:$P$17,MATCH($F180,'ESG'!$B$10:$B$17,0))="","Cell will autofill based on response",INDEX('ESG'!$P$10:$P$17,MATCH($F180,'ESG'!$B$10:$B$17,0))),"N/A")</f>
        <v/>
      </c>
      <c r="V180" s="50">
        <f>IFERROR(IF(INDEX('CIOG'!$P$10:$P$14,MATCH($F180,'CIOG'!$B$10:$B$14,0))="","Cell will autofill based on response",INDEX('CIOG'!$P$10:$P$14,MATCH($F180,'CIOG'!$B$10:$B$14,0))),"N/A")</f>
        <v/>
      </c>
      <c r="W180" s="50">
        <f>IFERROR(IF(INDEX('MRE'!$P$10:$P$18,MATCH($F180,'MRE'!$B$10:$B$18,0))="","Cell will autofill based on response",INDEX('MRE'!$P$10:$P$18,MATCH($F180,'MRE'!$B$10:$B$18,0))),"N/A")</f>
        <v/>
      </c>
      <c r="X180" s="50">
        <f>IFERROR(IF(INDEX('AC&amp;M'!$P$10:$P$14,MATCH($F180,'AC&amp;M'!$B$10:$B$14,0))="","Cell will autofill based on response",INDEX('AC&amp;M'!$P$10:$P$14,MATCH($F180,'AC&amp;M'!$B$10:$B$14,0))),"N/A")</f>
        <v/>
      </c>
      <c r="Y180" s="50">
        <f>IFERROR(IF(INDEX('GCE'!$P$10:$P$12,MATCH($F180,'GCE'!$B$10:$B$12,0))="","Cell will autofill based on response",INDEX('GCE'!$P$10:$P$12,MATCH($F180,'GCE'!$B$10:$B$12,0))),"N/A")</f>
        <v/>
      </c>
      <c r="Z180" s="50">
        <f>IFERROR(IF(INDEX('Education'!$P$10:$P$13,MATCH($F180,'Education'!$B$10:$B$13,0))="","Cell will autofill based on response",INDEX('Education'!$P$10:$P$13,MATCH($F180,'Education'!$B$10:$B$13,0))),"N/A")</f>
        <v/>
      </c>
      <c r="AA180" s="50">
        <f>IFERROR(IF(INDEX('SaSS'!$P$10:$P$12,MATCH($F180,'SaSS'!$B$10:$B$12,0))="","Cell will autofill based on response",INDEX('SaSS'!$P$10:$P$12,MATCH($F180,'SaSS'!$B$10:$B$12,0))),"N/A")</f>
        <v/>
      </c>
      <c r="AB180" s="50">
        <f>IFERROR(IF(INDEX('Indigenous'!$P$10:$P$11,MATCH($F180,'Indigenous'!$B$10:$B$11,0))="","Cell will autofill based on response",INDEX('Indigenous'!$P$10:$P$11,MATCH($F180,'Indigenous'!$B$10:$B$11,0))),"N/A")</f>
        <v/>
      </c>
      <c r="AC180" s="50">
        <f>IFERROR(IF(INDEX('L&amp;R'!$P$10:$P$11,MATCH($F180,'L&amp;R'!$B$10:$B$11,0))="","Cell will autofill based on response",INDEX('L&amp;R'!$P$10:$P$11,MATCH($F180,'L&amp;R'!$B$10:$B$11,0))),"N/A")</f>
        <v/>
      </c>
    </row>
    <row r="181" ht="138" customHeight="1">
      <c r="A181">
        <f>F181&amp;"|"&amp;G181</f>
        <v/>
      </c>
      <c r="B181" s="6" t="inlineStr">
        <is>
          <t>EN1(a)</t>
        </is>
      </c>
      <c r="C181" s="48" t="inlineStr">
        <is>
          <t>Enablers</t>
        </is>
      </c>
      <c r="D181" s="48" t="inlineStr">
        <is>
          <t>Evidence of sustainability outcomes informed by Indigenous knowledges</t>
        </is>
      </c>
      <c r="E181" s="48"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F181" s="48" t="inlineStr">
        <is>
          <t>EN1(a)</t>
        </is>
      </c>
      <c r="G181" s="48" t="inlineStr">
        <is>
          <t>OPTION 1:  Target-level reporting</t>
        </is>
      </c>
      <c r="H181" s="50">
        <f>IFERROR(IF(INDEX('Faculties'!$L$10:$L$18,MATCH($F181,'Faculties'!$B$10:$B$18,0))="","Cell will autofill based on response",INDEX('Faculties'!$L$10:$L$18,MATCH($F181,'Faculties'!$B$10:$B$18,0))),"N/A")</f>
        <v/>
      </c>
      <c r="I181" s="50">
        <f>IFERROR(IF(INDEX('Faculties'!$L$25:$L$34,MATCH($F181,'Faculties'!$B$25:$B$34,0))="","Cell will autofill based on response",INDEX('Faculties'!$L$25:$L$34,MATCH($F181,'Faculties'!$B$25:$B$34,0))),"N/A")</f>
        <v/>
      </c>
      <c r="J181" s="50">
        <f>IFERROR(IF(INDEX('Faculties'!$L$41:$L$50,MATCH($F181,'Faculties'!$B$41:$B$50,0))="","Cell will autofill based on response",INDEX('Faculties'!$L$41:$L$50,MATCH($F181,'Faculties'!$B$41:$B$50,0))),"N/A")</f>
        <v/>
      </c>
      <c r="K181" s="50">
        <f>IFERROR(IF(INDEX('Faculties'!$L$57:$L$66,MATCH($F181,'Faculties'!$B$57:$B$66,0))="","Cell will autofill based on response",INDEX('Faculties'!$L$57:$L$66,MATCH($F181,'Faculties'!$B$57:$B$66,0))),"N/A")</f>
        <v/>
      </c>
      <c r="L181" s="50">
        <f>IFERROR(IF(INDEX('Faculties'!$L$73:$L$82,MATCH($F181,'Faculties'!$B$73:$B$82,0))="","Cell will autofill based on response",INDEX('Faculties'!$L$73:$L$82,MATCH($F181,'Faculties'!$B$73:$B$82,0))),"N/A")</f>
        <v/>
      </c>
      <c r="M181" s="50">
        <f>IFERROR(IF(INDEX('Faculties'!$L$89:$L$98,MATCH($F181,'Faculties'!$B$89:$B$98,0))="","Cell will autofill based on response",INDEX('Faculties'!$L$89:$L$98,MATCH($F181,'Faculties'!$B$89:$B$98,0))),"N/A")</f>
        <v/>
      </c>
      <c r="N181" s="50">
        <f>IFERROR(IF(INDEX('Faculties'!$L$105:$L$114,MATCH($F181,'Faculties'!$B$105:$B$114,0))="","Cell will autofill based on response",INDEX('Faculties'!$L$105:$L$114,MATCH($F181,'Faculties'!$B$105:$B$114,0))),"N/A")</f>
        <v/>
      </c>
      <c r="O181" s="50">
        <f>IFERROR(IF(INDEX('Faculties'!$L$121:$L$130,MATCH($F181,'Faculties'!$B$121:$B$130,0))="","Cell will autofill based on response",INDEX('Faculties'!$L$121:$L$130,MATCH($F181,'Faculties'!$B$121:$B$130,0))),"N/A")</f>
        <v/>
      </c>
      <c r="P181" s="50">
        <f>IFERROR(IF(INDEX('Faculties'!$L$137:$L$146,MATCH($F181,'Faculties'!$B$137:$B$146,0))="","Cell will autofill based on response",INDEX('Faculties'!$L$137:$L$146,MATCH($F181,'Faculties'!$B$137:$B$146,0))),"N/A")</f>
        <v/>
      </c>
      <c r="Q181" s="50">
        <f>IFERROR(IF(INDEX('CI&amp;S'!$L$10:$L$15,MATCH($F181,'CI&amp;S'!$B$10:$B$15,0))="","Cell will autofill based on response",INDEX('CI&amp;S'!$L$10:$L$15,MATCH($F181,'CI&amp;S'!$B$10:$B$15,0))),"N/A")</f>
        <v/>
      </c>
      <c r="R181" s="50">
        <f>IFERROR(IF(INDEX('CI&amp;S'!$L$22:$L$36,MATCH($F181,'CI&amp;S'!$B$22:$B$36,0))="","Cell will autofill based on response",INDEX('CI&amp;S'!$L$22:$L$36,MATCH($F181,'CI&amp;S'!$B$22:$B$36,0))),"N/A")</f>
        <v/>
      </c>
      <c r="S181" s="50">
        <f>IFERROR(IF(INDEX('CFOG'!$L$10:$L$16,MATCH($F181,'CFOG'!$B$10:$B$16,0))="","Cell will autofill based on response",INDEX('CFOG'!$L$10:$L$16,MATCH($F181,'CFOG'!$B$10:$B$16,0))),"N/A")</f>
        <v/>
      </c>
      <c r="T181" s="50">
        <f>IFERROR(IF(INDEX('CFOG'!$L$23:$L$24,MATCH($F181,'CFOG'!$B$23:$B$24,0))="","Cell will autofill based on response",INDEX('CFOG'!$L$23:$L$24,MATCH($F181,'CFOG'!$B$23:$B$24,0))),"N/A")</f>
        <v/>
      </c>
      <c r="U181" s="50">
        <f>IFERROR(IF(INDEX('ESG'!$L$10:$L$17,MATCH($F181,'ESG'!$B$10:$B$17,0))="","Cell will autofill based on response",INDEX('ESG'!$L$10:$L$17,MATCH($F181,'ESG'!$B$10:$B$17,0))),"N/A")</f>
        <v/>
      </c>
      <c r="V181" s="50">
        <f>IFERROR(IF(INDEX('CIOG'!$L$10:$L$14,MATCH($F181,'CIOG'!$B$10:$B$14,0))="","Cell will autofill based on response",INDEX('CIOG'!$L$10:$L$14,MATCH($F181,'CIOG'!$B$10:$B$14,0))),"N/A")</f>
        <v/>
      </c>
      <c r="W181" s="50">
        <f>IFERROR(IF(INDEX('MRE'!$L$10:$L$18,MATCH($F181,'MRE'!$B$10:$B$18,0))="","Cell will autofill based on response",INDEX('MRE'!$L$10:$L$18,MATCH($F181,'MRE'!$B$10:$B$18,0))),"N/A")</f>
        <v/>
      </c>
      <c r="X181" s="50">
        <f>IFERROR(IF(INDEX('AC&amp;M'!$L$10:$L$14,MATCH($F181,'AC&amp;M'!$B$10:$B$14,0))="","Cell will autofill based on response",INDEX('AC&amp;M'!$L$10:$L$14,MATCH($F181,'AC&amp;M'!$B$10:$B$14,0))),"N/A")</f>
        <v/>
      </c>
      <c r="Y181" s="50">
        <f>IFERROR(IF(INDEX('GCE'!$L$10:$L$12,MATCH($F181,'GCE'!$B$10:$B$12,0))="","Cell will autofill based on response",INDEX('GCE'!$L$10:$L$12,MATCH($F181,'GCE'!$B$10:$B$12,0))),"N/A")</f>
        <v/>
      </c>
      <c r="Z181" s="50">
        <f>IFERROR(IF(INDEX('Education'!$L$10:$L$13,MATCH($F181,'Education'!$B$10:$B$13,0))="","Cell will autofill based on response",INDEX('Education'!$L$10:$L$13,MATCH($F181,'Education'!$B$10:$B$13,0))),"N/A")</f>
        <v/>
      </c>
      <c r="AA181" s="50">
        <f>IFERROR(IF(INDEX('SaSS'!$L$10:$L$12,MATCH($F181,'SaSS'!$B$10:$B$12,0))="","Cell will autofill based on response",INDEX('SaSS'!$L$10:$L$12,MATCH($F181,'SaSS'!$B$10:$B$12,0))),"N/A")</f>
        <v/>
      </c>
      <c r="AB181" s="50">
        <f>IFERROR(IF(INDEX('Indigenous'!$L$10:$L$11,MATCH($F181,'Indigenous'!$B$10:$B$11,0))="","Cell will autofill based on response",INDEX('Indigenous'!$L$10:$L$11,MATCH($F181,'Indigenous'!$B$10:$B$11,0))),"N/A")</f>
        <v/>
      </c>
      <c r="AC181" s="50">
        <f>IFERROR(IF(INDEX('L&amp;R'!$L$10:$L$11,MATCH($F181,'L&amp;R'!$B$10:$B$11,0))="","Cell will autofill based on response",INDEX('L&amp;R'!$L$10:$L$11,MATCH($F181,'L&amp;R'!$B$10:$B$11,0))),"N/A")</f>
        <v/>
      </c>
      <c r="AE181" s="9">
        <f>SUMPRODUCT(--($H181:$AC181&lt;&gt;"N/A"))</f>
        <v/>
      </c>
      <c r="AF181" s="9">
        <f>SUMPRODUCT(--(((($H181:$AC181&lt;&gt;"N/A")*($H181:$AC181&lt;&gt;"Cell will autofill based on response"))+(($H182:$AC182&lt;&gt;"N/A")*($H182:$AC182&lt;&gt;"Cell will autofill based on response")))&gt;0))</f>
        <v/>
      </c>
      <c r="AG181" s="9">
        <f>AE181-AF181</f>
        <v/>
      </c>
      <c r="AH181" s="9">
        <f>COUNTIF($H185:$AC185,"Yes")</f>
        <v/>
      </c>
    </row>
    <row r="182" ht="39" customHeight="1">
      <c r="A182">
        <f>F182&amp;"|"&amp;G182</f>
        <v/>
      </c>
      <c r="B182" s="12" t="inlineStr"/>
      <c r="C182" s="7" t="inlineStr"/>
      <c r="D182" s="7" t="inlineStr"/>
      <c r="E182" s="7" t="inlineStr"/>
      <c r="F182" s="7" t="inlineStr">
        <is>
          <t>EN1(a)</t>
        </is>
      </c>
      <c r="G182" s="7" t="inlineStr">
        <is>
          <t>OPTION 2:  Indicator level reporting</t>
        </is>
      </c>
      <c r="H182" s="50">
        <f>IFERROR(IF(INDEX('Faculties'!$M$10:$M$18,MATCH($F182,'Faculties'!$B$10:$B$18,0))="","Cell will autofill based on response",INDEX('Faculties'!$M$10:$M$18,MATCH($F182,'Faculties'!$B$10:$B$18,0))),"N/A")</f>
        <v/>
      </c>
      <c r="I182" s="50">
        <f>IFERROR(IF(INDEX('Faculties'!$M$25:$M$34,MATCH($F182,'Faculties'!$B$25:$B$34,0))="","Cell will autofill based on response",INDEX('Faculties'!$M$25:$M$34,MATCH($F182,'Faculties'!$B$25:$B$34,0))),"N/A")</f>
        <v/>
      </c>
      <c r="J182" s="50">
        <f>IFERROR(IF(INDEX('Faculties'!$M$41:$M$50,MATCH($F182,'Faculties'!$B$41:$B$50,0))="","Cell will autofill based on response",INDEX('Faculties'!$M$41:$M$50,MATCH($F182,'Faculties'!$B$41:$B$50,0))),"N/A")</f>
        <v/>
      </c>
      <c r="K182" s="50">
        <f>IFERROR(IF(INDEX('Faculties'!$M$57:$M$66,MATCH($F182,'Faculties'!$B$57:$B$66,0))="","Cell will autofill based on response",INDEX('Faculties'!$M$57:$M$66,MATCH($F182,'Faculties'!$B$57:$B$66,0))),"N/A")</f>
        <v/>
      </c>
      <c r="L182" s="50">
        <f>IFERROR(IF(INDEX('Faculties'!$M$73:$M$82,MATCH($F182,'Faculties'!$B$73:$B$82,0))="","Cell will autofill based on response",INDEX('Faculties'!$M$73:$M$82,MATCH($F182,'Faculties'!$B$73:$B$82,0))),"N/A")</f>
        <v/>
      </c>
      <c r="M182" s="50">
        <f>IFERROR(IF(INDEX('Faculties'!$M$89:$M$98,MATCH($F182,'Faculties'!$B$89:$B$98,0))="","Cell will autofill based on response",INDEX('Faculties'!$M$89:$M$98,MATCH($F182,'Faculties'!$B$89:$B$98,0))),"N/A")</f>
        <v/>
      </c>
      <c r="N182" s="50">
        <f>IFERROR(IF(INDEX('Faculties'!$M$105:$M$114,MATCH($F182,'Faculties'!$B$105:$B$114,0))="","Cell will autofill based on response",INDEX('Faculties'!$M$105:$M$114,MATCH($F182,'Faculties'!$B$105:$B$114,0))),"N/A")</f>
        <v/>
      </c>
      <c r="O182" s="50">
        <f>IFERROR(IF(INDEX('Faculties'!$M$121:$M$130,MATCH($F182,'Faculties'!$B$121:$B$130,0))="","Cell will autofill based on response",INDEX('Faculties'!$M$121:$M$130,MATCH($F182,'Faculties'!$B$121:$B$130,0))),"N/A")</f>
        <v/>
      </c>
      <c r="P182" s="50">
        <f>IFERROR(IF(INDEX('Faculties'!$M$137:$M$146,MATCH($F182,'Faculties'!$B$137:$B$146,0))="","Cell will autofill based on response",INDEX('Faculties'!$M$137:$M$146,MATCH($F182,'Faculties'!$B$137:$B$146,0))),"N/A")</f>
        <v/>
      </c>
      <c r="Q182" s="50">
        <f>IFERROR(IF(INDEX('CI&amp;S'!$M$10:$M$15,MATCH($F182,'CI&amp;S'!$B$10:$B$15,0))="","Cell will autofill based on response",INDEX('CI&amp;S'!$M$10:$M$15,MATCH($F182,'CI&amp;S'!$B$10:$B$15,0))),"N/A")</f>
        <v/>
      </c>
      <c r="R182" s="50">
        <f>IFERROR(IF(INDEX('CI&amp;S'!$M$22:$M$36,MATCH($F182,'CI&amp;S'!$B$22:$B$36,0))="","Cell will autofill based on response",INDEX('CI&amp;S'!$M$22:$M$36,MATCH($F182,'CI&amp;S'!$B$22:$B$36,0))),"N/A")</f>
        <v/>
      </c>
      <c r="S182" s="50">
        <f>IFERROR(IF(INDEX('CFOG'!$M$10:$M$16,MATCH($F182,'CFOG'!$B$10:$B$16,0))="","Cell will autofill based on response",INDEX('CFOG'!$M$10:$M$16,MATCH($F182,'CFOG'!$B$10:$B$16,0))),"N/A")</f>
        <v/>
      </c>
      <c r="T182" s="50">
        <f>IFERROR(IF(INDEX('CFOG'!$M$23:$M$24,MATCH($F182,'CFOG'!$B$23:$B$24,0))="","Cell will autofill based on response",INDEX('CFOG'!$M$23:$M$24,MATCH($F182,'CFOG'!$B$23:$B$24,0))),"N/A")</f>
        <v/>
      </c>
      <c r="U182" s="50">
        <f>IFERROR(IF(INDEX('ESG'!$M$10:$M$17,MATCH($F182,'ESG'!$B$10:$B$17,0))="","Cell will autofill based on response",INDEX('ESG'!$M$10:$M$17,MATCH($F182,'ESG'!$B$10:$B$17,0))),"N/A")</f>
        <v/>
      </c>
      <c r="V182" s="50">
        <f>IFERROR(IF(INDEX('CIOG'!$M$10:$M$14,MATCH($F182,'CIOG'!$B$10:$B$14,0))="","Cell will autofill based on response",INDEX('CIOG'!$M$10:$M$14,MATCH($F182,'CIOG'!$B$10:$B$14,0))),"N/A")</f>
        <v/>
      </c>
      <c r="W182" s="50">
        <f>IFERROR(IF(INDEX('MRE'!$M$10:$M$18,MATCH($F182,'MRE'!$B$10:$B$18,0))="","Cell will autofill based on response",INDEX('MRE'!$M$10:$M$18,MATCH($F182,'MRE'!$B$10:$B$18,0))),"N/A")</f>
        <v/>
      </c>
      <c r="X182" s="50">
        <f>IFERROR(IF(INDEX('AC&amp;M'!$M$10:$M$14,MATCH($F182,'AC&amp;M'!$B$10:$B$14,0))="","Cell will autofill based on response",INDEX('AC&amp;M'!$M$10:$M$14,MATCH($F182,'AC&amp;M'!$B$10:$B$14,0))),"N/A")</f>
        <v/>
      </c>
      <c r="Y182" s="50">
        <f>IFERROR(IF(INDEX('GCE'!$M$10:$M$12,MATCH($F182,'GCE'!$B$10:$B$12,0))="","Cell will autofill based on response",INDEX('GCE'!$M$10:$M$12,MATCH($F182,'GCE'!$B$10:$B$12,0))),"N/A")</f>
        <v/>
      </c>
      <c r="Z182" s="50">
        <f>IFERROR(IF(INDEX('Education'!$M$10:$M$13,MATCH($F182,'Education'!$B$10:$B$13,0))="","Cell will autofill based on response",INDEX('Education'!$M$10:$M$13,MATCH($F182,'Education'!$B$10:$B$13,0))),"N/A")</f>
        <v/>
      </c>
      <c r="AA182" s="50">
        <f>IFERROR(IF(INDEX('SaSS'!$M$10:$M$12,MATCH($F182,'SaSS'!$B$10:$B$12,0))="","Cell will autofill based on response",INDEX('SaSS'!$M$10:$M$12,MATCH($F182,'SaSS'!$B$10:$B$12,0))),"N/A")</f>
        <v/>
      </c>
      <c r="AB182" s="50">
        <f>IFERROR(IF(INDEX('Indigenous'!$M$10:$M$11,MATCH($F182,'Indigenous'!$B$10:$B$11,0))="","Cell will autofill based on response",INDEX('Indigenous'!$M$10:$M$11,MATCH($F182,'Indigenous'!$B$10:$B$11,0))),"N/A")</f>
        <v/>
      </c>
      <c r="AC182" s="50">
        <f>IFERROR(IF(INDEX('L&amp;R'!$M$10:$M$11,MATCH($F182,'L&amp;R'!$B$10:$B$11,0))="","Cell will autofill based on response",INDEX('L&amp;R'!$M$10:$M$11,MATCH($F182,'L&amp;R'!$B$10:$B$11,0))),"N/A")</f>
        <v/>
      </c>
    </row>
    <row r="183" ht="22" customHeight="1">
      <c r="A183">
        <f>F183&amp;"|"&amp;G183</f>
        <v/>
      </c>
      <c r="B183" s="12" t="inlineStr"/>
      <c r="C183" s="7" t="inlineStr"/>
      <c r="D183" s="7" t="inlineStr"/>
      <c r="E183" s="7" t="inlineStr"/>
      <c r="F183" s="7" t="inlineStr">
        <is>
          <t>EN1(a)</t>
        </is>
      </c>
      <c r="G183" s="7" t="inlineStr">
        <is>
          <t>Supporting information/comments</t>
        </is>
      </c>
      <c r="H183" s="50">
        <f>IFERROR(IF(INDEX('Faculties'!$N$10:$N$18,MATCH($F183,'Faculties'!$B$10:$B$18,0))="","Cell will autofill based on response",INDEX('Faculties'!$N$10:$N$18,MATCH($F183,'Faculties'!$B$10:$B$18,0))),"N/A")</f>
        <v/>
      </c>
      <c r="I183" s="50">
        <f>IFERROR(IF(INDEX('Faculties'!$N$25:$N$34,MATCH($F183,'Faculties'!$B$25:$B$34,0))="","Cell will autofill based on response",INDEX('Faculties'!$N$25:$N$34,MATCH($F183,'Faculties'!$B$25:$B$34,0))),"N/A")</f>
        <v/>
      </c>
      <c r="J183" s="50">
        <f>IFERROR(IF(INDEX('Faculties'!$N$41:$N$50,MATCH($F183,'Faculties'!$B$41:$B$50,0))="","Cell will autofill based on response",INDEX('Faculties'!$N$41:$N$50,MATCH($F183,'Faculties'!$B$41:$B$50,0))),"N/A")</f>
        <v/>
      </c>
      <c r="K183" s="50">
        <f>IFERROR(IF(INDEX('Faculties'!$N$57:$N$66,MATCH($F183,'Faculties'!$B$57:$B$66,0))="","Cell will autofill based on response",INDEX('Faculties'!$N$57:$N$66,MATCH($F183,'Faculties'!$B$57:$B$66,0))),"N/A")</f>
        <v/>
      </c>
      <c r="L183" s="50">
        <f>IFERROR(IF(INDEX('Faculties'!$N$73:$N$82,MATCH($F183,'Faculties'!$B$73:$B$82,0))="","Cell will autofill based on response",INDEX('Faculties'!$N$73:$N$82,MATCH($F183,'Faculties'!$B$73:$B$82,0))),"N/A")</f>
        <v/>
      </c>
      <c r="M183" s="50">
        <f>IFERROR(IF(INDEX('Faculties'!$N$89:$N$98,MATCH($F183,'Faculties'!$B$89:$B$98,0))="","Cell will autofill based on response",INDEX('Faculties'!$N$89:$N$98,MATCH($F183,'Faculties'!$B$89:$B$98,0))),"N/A")</f>
        <v/>
      </c>
      <c r="N183" s="50">
        <f>IFERROR(IF(INDEX('Faculties'!$N$105:$N$114,MATCH($F183,'Faculties'!$B$105:$B$114,0))="","Cell will autofill based on response",INDEX('Faculties'!$N$105:$N$114,MATCH($F183,'Faculties'!$B$105:$B$114,0))),"N/A")</f>
        <v/>
      </c>
      <c r="O183" s="50">
        <f>IFERROR(IF(INDEX('Faculties'!$N$121:$N$130,MATCH($F183,'Faculties'!$B$121:$B$130,0))="","Cell will autofill based on response",INDEX('Faculties'!$N$121:$N$130,MATCH($F183,'Faculties'!$B$121:$B$130,0))),"N/A")</f>
        <v/>
      </c>
      <c r="P183" s="50">
        <f>IFERROR(IF(INDEX('Faculties'!$N$137:$N$146,MATCH($F183,'Faculties'!$B$137:$B$146,0))="","Cell will autofill based on response",INDEX('Faculties'!$N$137:$N$146,MATCH($F183,'Faculties'!$B$137:$B$146,0))),"N/A")</f>
        <v/>
      </c>
      <c r="Q183" s="50">
        <f>IFERROR(IF(INDEX('CI&amp;S'!$N$10:$N$15,MATCH($F183,'CI&amp;S'!$B$10:$B$15,0))="","Cell will autofill based on response",INDEX('CI&amp;S'!$N$10:$N$15,MATCH($F183,'CI&amp;S'!$B$10:$B$15,0))),"N/A")</f>
        <v/>
      </c>
      <c r="R183" s="50">
        <f>IFERROR(IF(INDEX('CI&amp;S'!$N$22:$N$36,MATCH($F183,'CI&amp;S'!$B$22:$B$36,0))="","Cell will autofill based on response",INDEX('CI&amp;S'!$N$22:$N$36,MATCH($F183,'CI&amp;S'!$B$22:$B$36,0))),"N/A")</f>
        <v/>
      </c>
      <c r="S183" s="50">
        <f>IFERROR(IF(INDEX('CFOG'!$N$10:$N$16,MATCH($F183,'CFOG'!$B$10:$B$16,0))="","Cell will autofill based on response",INDEX('CFOG'!$N$10:$N$16,MATCH($F183,'CFOG'!$B$10:$B$16,0))),"N/A")</f>
        <v/>
      </c>
      <c r="T183" s="50">
        <f>IFERROR(IF(INDEX('CFOG'!$N$23:$N$24,MATCH($F183,'CFOG'!$B$23:$B$24,0))="","Cell will autofill based on response",INDEX('CFOG'!$N$23:$N$24,MATCH($F183,'CFOG'!$B$23:$B$24,0))),"N/A")</f>
        <v/>
      </c>
      <c r="U183" s="50">
        <f>IFERROR(IF(INDEX('ESG'!$N$10:$N$17,MATCH($F183,'ESG'!$B$10:$B$17,0))="","Cell will autofill based on response",INDEX('ESG'!$N$10:$N$17,MATCH($F183,'ESG'!$B$10:$B$17,0))),"N/A")</f>
        <v/>
      </c>
      <c r="V183" s="50">
        <f>IFERROR(IF(INDEX('CIOG'!$N$10:$N$14,MATCH($F183,'CIOG'!$B$10:$B$14,0))="","Cell will autofill based on response",INDEX('CIOG'!$N$10:$N$14,MATCH($F183,'CIOG'!$B$10:$B$14,0))),"N/A")</f>
        <v/>
      </c>
      <c r="W183" s="50">
        <f>IFERROR(IF(INDEX('MRE'!$N$10:$N$18,MATCH($F183,'MRE'!$B$10:$B$18,0))="","Cell will autofill based on response",INDEX('MRE'!$N$10:$N$18,MATCH($F183,'MRE'!$B$10:$B$18,0))),"N/A")</f>
        <v/>
      </c>
      <c r="X183" s="50">
        <f>IFERROR(IF(INDEX('AC&amp;M'!$N$10:$N$14,MATCH($F183,'AC&amp;M'!$B$10:$B$14,0))="","Cell will autofill based on response",INDEX('AC&amp;M'!$N$10:$N$14,MATCH($F183,'AC&amp;M'!$B$10:$B$14,0))),"N/A")</f>
        <v/>
      </c>
      <c r="Y183" s="50">
        <f>IFERROR(IF(INDEX('GCE'!$N$10:$N$12,MATCH($F183,'GCE'!$B$10:$B$12,0))="","Cell will autofill based on response",INDEX('GCE'!$N$10:$N$12,MATCH($F183,'GCE'!$B$10:$B$12,0))),"N/A")</f>
        <v/>
      </c>
      <c r="Z183" s="50">
        <f>IFERROR(IF(INDEX('Education'!$N$10:$N$13,MATCH($F183,'Education'!$B$10:$B$13,0))="","Cell will autofill based on response",INDEX('Education'!$N$10:$N$13,MATCH($F183,'Education'!$B$10:$B$13,0))),"N/A")</f>
        <v/>
      </c>
      <c r="AA183" s="50">
        <f>IFERROR(IF(INDEX('SaSS'!$N$10:$N$12,MATCH($F183,'SaSS'!$B$10:$B$12,0))="","Cell will autofill based on response",INDEX('SaSS'!$N$10:$N$12,MATCH($F183,'SaSS'!$B$10:$B$12,0))),"N/A")</f>
        <v/>
      </c>
      <c r="AB183" s="50">
        <f>IFERROR(IF(INDEX('Indigenous'!$N$10:$N$11,MATCH($F183,'Indigenous'!$B$10:$B$11,0))="","Cell will autofill based on response",INDEX('Indigenous'!$N$10:$N$11,MATCH($F183,'Indigenous'!$B$10:$B$11,0))),"N/A")</f>
        <v/>
      </c>
      <c r="AC183" s="50">
        <f>IFERROR(IF(INDEX('L&amp;R'!$N$10:$N$11,MATCH($F183,'L&amp;R'!$B$10:$B$11,0))="","Cell will autofill based on response",INDEX('L&amp;R'!$N$10:$N$11,MATCH($F183,'L&amp;R'!$B$10:$B$11,0))),"N/A")</f>
        <v/>
      </c>
    </row>
    <row r="184" ht="22" customHeight="1">
      <c r="A184">
        <f>F184&amp;"|"&amp;G184</f>
        <v/>
      </c>
      <c r="B184" s="12" t="inlineStr"/>
      <c r="C184" s="7" t="inlineStr"/>
      <c r="D184" s="7" t="inlineStr"/>
      <c r="E184" s="7" t="inlineStr"/>
      <c r="F184" s="7" t="inlineStr">
        <is>
          <t>EN1(a)</t>
        </is>
      </c>
      <c r="G184" s="7" t="inlineStr">
        <is>
          <t>Data source and limitations</t>
        </is>
      </c>
      <c r="H184" s="50">
        <f>IFERROR(IF(INDEX('Faculties'!$O$10:$O$18,MATCH($F184,'Faculties'!$B$10:$B$18,0))="","Cell will autofill based on response",INDEX('Faculties'!$O$10:$O$18,MATCH($F184,'Faculties'!$B$10:$B$18,0))),"N/A")</f>
        <v/>
      </c>
      <c r="I184" s="50">
        <f>IFERROR(IF(INDEX('Faculties'!$O$25:$O$34,MATCH($F184,'Faculties'!$B$25:$B$34,0))="","Cell will autofill based on response",INDEX('Faculties'!$O$25:$O$34,MATCH($F184,'Faculties'!$B$25:$B$34,0))),"N/A")</f>
        <v/>
      </c>
      <c r="J184" s="50">
        <f>IFERROR(IF(INDEX('Faculties'!$O$41:$O$50,MATCH($F184,'Faculties'!$B$41:$B$50,0))="","Cell will autofill based on response",INDEX('Faculties'!$O$41:$O$50,MATCH($F184,'Faculties'!$B$41:$B$50,0))),"N/A")</f>
        <v/>
      </c>
      <c r="K184" s="50">
        <f>IFERROR(IF(INDEX('Faculties'!$O$57:$O$66,MATCH($F184,'Faculties'!$B$57:$B$66,0))="","Cell will autofill based on response",INDEX('Faculties'!$O$57:$O$66,MATCH($F184,'Faculties'!$B$57:$B$66,0))),"N/A")</f>
        <v/>
      </c>
      <c r="L184" s="50">
        <f>IFERROR(IF(INDEX('Faculties'!$O$73:$O$82,MATCH($F184,'Faculties'!$B$73:$B$82,0))="","Cell will autofill based on response",INDEX('Faculties'!$O$73:$O$82,MATCH($F184,'Faculties'!$B$73:$B$82,0))),"N/A")</f>
        <v/>
      </c>
      <c r="M184" s="50">
        <f>IFERROR(IF(INDEX('Faculties'!$O$89:$O$98,MATCH($F184,'Faculties'!$B$89:$B$98,0))="","Cell will autofill based on response",INDEX('Faculties'!$O$89:$O$98,MATCH($F184,'Faculties'!$B$89:$B$98,0))),"N/A")</f>
        <v/>
      </c>
      <c r="N184" s="50">
        <f>IFERROR(IF(INDEX('Faculties'!$O$105:$O$114,MATCH($F184,'Faculties'!$B$105:$B$114,0))="","Cell will autofill based on response",INDEX('Faculties'!$O$105:$O$114,MATCH($F184,'Faculties'!$B$105:$B$114,0))),"N/A")</f>
        <v/>
      </c>
      <c r="O184" s="50">
        <f>IFERROR(IF(INDEX('Faculties'!$O$121:$O$130,MATCH($F184,'Faculties'!$B$121:$B$130,0))="","Cell will autofill based on response",INDEX('Faculties'!$O$121:$O$130,MATCH($F184,'Faculties'!$B$121:$B$130,0))),"N/A")</f>
        <v/>
      </c>
      <c r="P184" s="50">
        <f>IFERROR(IF(INDEX('Faculties'!$O$137:$O$146,MATCH($F184,'Faculties'!$B$137:$B$146,0))="","Cell will autofill based on response",INDEX('Faculties'!$O$137:$O$146,MATCH($F184,'Faculties'!$B$137:$B$146,0))),"N/A")</f>
        <v/>
      </c>
      <c r="Q184" s="50">
        <f>IFERROR(IF(INDEX('CI&amp;S'!$O$10:$O$15,MATCH($F184,'CI&amp;S'!$B$10:$B$15,0))="","Cell will autofill based on response",INDEX('CI&amp;S'!$O$10:$O$15,MATCH($F184,'CI&amp;S'!$B$10:$B$15,0))),"N/A")</f>
        <v/>
      </c>
      <c r="R184" s="50">
        <f>IFERROR(IF(INDEX('CI&amp;S'!$O$22:$O$36,MATCH($F184,'CI&amp;S'!$B$22:$B$36,0))="","Cell will autofill based on response",INDEX('CI&amp;S'!$O$22:$O$36,MATCH($F184,'CI&amp;S'!$B$22:$B$36,0))),"N/A")</f>
        <v/>
      </c>
      <c r="S184" s="50">
        <f>IFERROR(IF(INDEX('CFOG'!$O$10:$O$16,MATCH($F184,'CFOG'!$B$10:$B$16,0))="","Cell will autofill based on response",INDEX('CFOG'!$O$10:$O$16,MATCH($F184,'CFOG'!$B$10:$B$16,0))),"N/A")</f>
        <v/>
      </c>
      <c r="T184" s="50">
        <f>IFERROR(IF(INDEX('CFOG'!$O$23:$O$24,MATCH($F184,'CFOG'!$B$23:$B$24,0))="","Cell will autofill based on response",INDEX('CFOG'!$O$23:$O$24,MATCH($F184,'CFOG'!$B$23:$B$24,0))),"N/A")</f>
        <v/>
      </c>
      <c r="U184" s="50">
        <f>IFERROR(IF(INDEX('ESG'!$O$10:$O$17,MATCH($F184,'ESG'!$B$10:$B$17,0))="","Cell will autofill based on response",INDEX('ESG'!$O$10:$O$17,MATCH($F184,'ESG'!$B$10:$B$17,0))),"N/A")</f>
        <v/>
      </c>
      <c r="V184" s="50">
        <f>IFERROR(IF(INDEX('CIOG'!$O$10:$O$14,MATCH($F184,'CIOG'!$B$10:$B$14,0))="","Cell will autofill based on response",INDEX('CIOG'!$O$10:$O$14,MATCH($F184,'CIOG'!$B$10:$B$14,0))),"N/A")</f>
        <v/>
      </c>
      <c r="W184" s="50">
        <f>IFERROR(IF(INDEX('MRE'!$O$10:$O$18,MATCH($F184,'MRE'!$B$10:$B$18,0))="","Cell will autofill based on response",INDEX('MRE'!$O$10:$O$18,MATCH($F184,'MRE'!$B$10:$B$18,0))),"N/A")</f>
        <v/>
      </c>
      <c r="X184" s="50">
        <f>IFERROR(IF(INDEX('AC&amp;M'!$O$10:$O$14,MATCH($F184,'AC&amp;M'!$B$10:$B$14,0))="","Cell will autofill based on response",INDEX('AC&amp;M'!$O$10:$O$14,MATCH($F184,'AC&amp;M'!$B$10:$B$14,0))),"N/A")</f>
        <v/>
      </c>
      <c r="Y184" s="50">
        <f>IFERROR(IF(INDEX('GCE'!$O$10:$O$12,MATCH($F184,'GCE'!$B$10:$B$12,0))="","Cell will autofill based on response",INDEX('GCE'!$O$10:$O$12,MATCH($F184,'GCE'!$B$10:$B$12,0))),"N/A")</f>
        <v/>
      </c>
      <c r="Z184" s="50">
        <f>IFERROR(IF(INDEX('Education'!$O$10:$O$13,MATCH($F184,'Education'!$B$10:$B$13,0))="","Cell will autofill based on response",INDEX('Education'!$O$10:$O$13,MATCH($F184,'Education'!$B$10:$B$13,0))),"N/A")</f>
        <v/>
      </c>
      <c r="AA184" s="50">
        <f>IFERROR(IF(INDEX('SaSS'!$O$10:$O$12,MATCH($F184,'SaSS'!$B$10:$B$12,0))="","Cell will autofill based on response",INDEX('SaSS'!$O$10:$O$12,MATCH($F184,'SaSS'!$B$10:$B$12,0))),"N/A")</f>
        <v/>
      </c>
      <c r="AB184" s="50">
        <f>IFERROR(IF(INDEX('Indigenous'!$O$10:$O$11,MATCH($F184,'Indigenous'!$B$10:$B$11,0))="","Cell will autofill based on response",INDEX('Indigenous'!$O$10:$O$11,MATCH($F184,'Indigenous'!$B$10:$B$11,0))),"N/A")</f>
        <v/>
      </c>
      <c r="AC184" s="50">
        <f>IFERROR(IF(INDEX('L&amp;R'!$O$10:$O$11,MATCH($F184,'L&amp;R'!$B$10:$B$11,0))="","Cell will autofill based on response",INDEX('L&amp;R'!$O$10:$O$11,MATCH($F184,'L&amp;R'!$B$10:$B$11,0))),"N/A")</f>
        <v/>
      </c>
    </row>
    <row r="185" ht="22" customHeight="1">
      <c r="A185">
        <f>F185&amp;"|"&amp;G185</f>
        <v/>
      </c>
      <c r="B185" s="12" t="inlineStr"/>
      <c r="C185" s="7" t="inlineStr"/>
      <c r="D185" s="7" t="inlineStr"/>
      <c r="E185" s="7" t="inlineStr"/>
      <c r="F185" s="7" t="inlineStr">
        <is>
          <t>EN1(a)</t>
        </is>
      </c>
      <c r="G185" s="7" t="inlineStr">
        <is>
          <t>Data owner confirms</t>
        </is>
      </c>
      <c r="H185" s="50">
        <f>IFERROR(IF(INDEX('Faculties'!$P$10:$P$18,MATCH($F185,'Faculties'!$B$10:$B$18,0))="","Cell will autofill based on response",INDEX('Faculties'!$P$10:$P$18,MATCH($F185,'Faculties'!$B$10:$B$18,0))),"N/A")</f>
        <v/>
      </c>
      <c r="I185" s="50">
        <f>IFERROR(IF(INDEX('Faculties'!$P$25:$P$34,MATCH($F185,'Faculties'!$B$25:$B$34,0))="","Cell will autofill based on response",INDEX('Faculties'!$P$25:$P$34,MATCH($F185,'Faculties'!$B$25:$B$34,0))),"N/A")</f>
        <v/>
      </c>
      <c r="J185" s="50">
        <f>IFERROR(IF(INDEX('Faculties'!$P$41:$P$50,MATCH($F185,'Faculties'!$B$41:$B$50,0))="","Cell will autofill based on response",INDEX('Faculties'!$P$41:$P$50,MATCH($F185,'Faculties'!$B$41:$B$50,0))),"N/A")</f>
        <v/>
      </c>
      <c r="K185" s="50">
        <f>IFERROR(IF(INDEX('Faculties'!$P$57:$P$66,MATCH($F185,'Faculties'!$B$57:$B$66,0))="","Cell will autofill based on response",INDEX('Faculties'!$P$57:$P$66,MATCH($F185,'Faculties'!$B$57:$B$66,0))),"N/A")</f>
        <v/>
      </c>
      <c r="L185" s="50">
        <f>IFERROR(IF(INDEX('Faculties'!$P$73:$P$82,MATCH($F185,'Faculties'!$B$73:$B$82,0))="","Cell will autofill based on response",INDEX('Faculties'!$P$73:$P$82,MATCH($F185,'Faculties'!$B$73:$B$82,0))),"N/A")</f>
        <v/>
      </c>
      <c r="M185" s="50">
        <f>IFERROR(IF(INDEX('Faculties'!$P$89:$P$98,MATCH($F185,'Faculties'!$B$89:$B$98,0))="","Cell will autofill based on response",INDEX('Faculties'!$P$89:$P$98,MATCH($F185,'Faculties'!$B$89:$B$98,0))),"N/A")</f>
        <v/>
      </c>
      <c r="N185" s="50">
        <f>IFERROR(IF(INDEX('Faculties'!$P$105:$P$114,MATCH($F185,'Faculties'!$B$105:$B$114,0))="","Cell will autofill based on response",INDEX('Faculties'!$P$105:$P$114,MATCH($F185,'Faculties'!$B$105:$B$114,0))),"N/A")</f>
        <v/>
      </c>
      <c r="O185" s="50">
        <f>IFERROR(IF(INDEX('Faculties'!$P$121:$P$130,MATCH($F185,'Faculties'!$B$121:$B$130,0))="","Cell will autofill based on response",INDEX('Faculties'!$P$121:$P$130,MATCH($F185,'Faculties'!$B$121:$B$130,0))),"N/A")</f>
        <v/>
      </c>
      <c r="P185" s="50">
        <f>IFERROR(IF(INDEX('Faculties'!$P$137:$P$146,MATCH($F185,'Faculties'!$B$137:$B$146,0))="","Cell will autofill based on response",INDEX('Faculties'!$P$137:$P$146,MATCH($F185,'Faculties'!$B$137:$B$146,0))),"N/A")</f>
        <v/>
      </c>
      <c r="Q185" s="50">
        <f>IFERROR(IF(INDEX('CI&amp;S'!$P$10:$P$15,MATCH($F185,'CI&amp;S'!$B$10:$B$15,0))="","Cell will autofill based on response",INDEX('CI&amp;S'!$P$10:$P$15,MATCH($F185,'CI&amp;S'!$B$10:$B$15,0))),"N/A")</f>
        <v/>
      </c>
      <c r="R185" s="50">
        <f>IFERROR(IF(INDEX('CI&amp;S'!$P$22:$P$36,MATCH($F185,'CI&amp;S'!$B$22:$B$36,0))="","Cell will autofill based on response",INDEX('CI&amp;S'!$P$22:$P$36,MATCH($F185,'CI&amp;S'!$B$22:$B$36,0))),"N/A")</f>
        <v/>
      </c>
      <c r="S185" s="50">
        <f>IFERROR(IF(INDEX('CFOG'!$P$10:$P$16,MATCH($F185,'CFOG'!$B$10:$B$16,0))="","Cell will autofill based on response",INDEX('CFOG'!$P$10:$P$16,MATCH($F185,'CFOG'!$B$10:$B$16,0))),"N/A")</f>
        <v/>
      </c>
      <c r="T185" s="50">
        <f>IFERROR(IF(INDEX('CFOG'!$P$23:$P$24,MATCH($F185,'CFOG'!$B$23:$B$24,0))="","Cell will autofill based on response",INDEX('CFOG'!$P$23:$P$24,MATCH($F185,'CFOG'!$B$23:$B$24,0))),"N/A")</f>
        <v/>
      </c>
      <c r="U185" s="50">
        <f>IFERROR(IF(INDEX('ESG'!$P$10:$P$17,MATCH($F185,'ESG'!$B$10:$B$17,0))="","Cell will autofill based on response",INDEX('ESG'!$P$10:$P$17,MATCH($F185,'ESG'!$B$10:$B$17,0))),"N/A")</f>
        <v/>
      </c>
      <c r="V185" s="50">
        <f>IFERROR(IF(INDEX('CIOG'!$P$10:$P$14,MATCH($F185,'CIOG'!$B$10:$B$14,0))="","Cell will autofill based on response",INDEX('CIOG'!$P$10:$P$14,MATCH($F185,'CIOG'!$B$10:$B$14,0))),"N/A")</f>
        <v/>
      </c>
      <c r="W185" s="50">
        <f>IFERROR(IF(INDEX('MRE'!$P$10:$P$18,MATCH($F185,'MRE'!$B$10:$B$18,0))="","Cell will autofill based on response",INDEX('MRE'!$P$10:$P$18,MATCH($F185,'MRE'!$B$10:$B$18,0))),"N/A")</f>
        <v/>
      </c>
      <c r="X185" s="50">
        <f>IFERROR(IF(INDEX('AC&amp;M'!$P$10:$P$14,MATCH($F185,'AC&amp;M'!$B$10:$B$14,0))="","Cell will autofill based on response",INDEX('AC&amp;M'!$P$10:$P$14,MATCH($F185,'AC&amp;M'!$B$10:$B$14,0))),"N/A")</f>
        <v/>
      </c>
      <c r="Y185" s="50">
        <f>IFERROR(IF(INDEX('GCE'!$P$10:$P$12,MATCH($F185,'GCE'!$B$10:$B$12,0))="","Cell will autofill based on response",INDEX('GCE'!$P$10:$P$12,MATCH($F185,'GCE'!$B$10:$B$12,0))),"N/A")</f>
        <v/>
      </c>
      <c r="Z185" s="50">
        <f>IFERROR(IF(INDEX('Education'!$P$10:$P$13,MATCH($F185,'Education'!$B$10:$B$13,0))="","Cell will autofill based on response",INDEX('Education'!$P$10:$P$13,MATCH($F185,'Education'!$B$10:$B$13,0))),"N/A")</f>
        <v/>
      </c>
      <c r="AA185" s="50">
        <f>IFERROR(IF(INDEX('SaSS'!$P$10:$P$12,MATCH($F185,'SaSS'!$B$10:$B$12,0))="","Cell will autofill based on response",INDEX('SaSS'!$P$10:$P$12,MATCH($F185,'SaSS'!$B$10:$B$12,0))),"N/A")</f>
        <v/>
      </c>
      <c r="AB185" s="50">
        <f>IFERROR(IF(INDEX('Indigenous'!$P$10:$P$11,MATCH($F185,'Indigenous'!$B$10:$B$11,0))="","Cell will autofill based on response",INDEX('Indigenous'!$P$10:$P$11,MATCH($F185,'Indigenous'!$B$10:$B$11,0))),"N/A")</f>
        <v/>
      </c>
      <c r="AC185" s="50">
        <f>IFERROR(IF(INDEX('L&amp;R'!$P$10:$P$11,MATCH($F185,'L&amp;R'!$B$10:$B$11,0))="","Cell will autofill based on response",INDEX('L&amp;R'!$P$10:$P$11,MATCH($F185,'L&amp;R'!$B$10:$B$11,0))),"N/A")</f>
        <v/>
      </c>
    </row>
    <row r="186" ht="56" customHeight="1">
      <c r="A186">
        <f>F186&amp;"|"&amp;G186</f>
        <v/>
      </c>
      <c r="B186" s="6" t="inlineStr">
        <is>
          <t>EN1(b)</t>
        </is>
      </c>
      <c r="C186" s="48" t="inlineStr">
        <is>
          <t>Enablers</t>
        </is>
      </c>
      <c r="D186" s="48" t="inlineStr">
        <is>
          <t>Living laboratories enabling applied learning, research and operational sustainability outcomes</t>
        </is>
      </c>
      <c r="E186" s="48" t="inlineStr">
        <is>
          <t>Comment on living labs in the Faculty - outputs, outcomes, and impact</t>
        </is>
      </c>
      <c r="F186" s="48" t="inlineStr">
        <is>
          <t>EN1(b)</t>
        </is>
      </c>
      <c r="G186" s="48" t="inlineStr">
        <is>
          <t>OPTION 1:  Target-level reporting</t>
        </is>
      </c>
      <c r="H186" s="50">
        <f>IFERROR(IF(INDEX('Faculties'!$L$10:$L$18,MATCH($F186,'Faculties'!$B$10:$B$18,0))="","Cell will autofill based on response",INDEX('Faculties'!$L$10:$L$18,MATCH($F186,'Faculties'!$B$10:$B$18,0))),"N/A")</f>
        <v/>
      </c>
      <c r="I186" s="50">
        <f>IFERROR(IF(INDEX('Faculties'!$L$25:$L$34,MATCH($F186,'Faculties'!$B$25:$B$34,0))="","Cell will autofill based on response",INDEX('Faculties'!$L$25:$L$34,MATCH($F186,'Faculties'!$B$25:$B$34,0))),"N/A")</f>
        <v/>
      </c>
      <c r="J186" s="50">
        <f>IFERROR(IF(INDEX('Faculties'!$L$41:$L$50,MATCH($F186,'Faculties'!$B$41:$B$50,0))="","Cell will autofill based on response",INDEX('Faculties'!$L$41:$L$50,MATCH($F186,'Faculties'!$B$41:$B$50,0))),"N/A")</f>
        <v/>
      </c>
      <c r="K186" s="50">
        <f>IFERROR(IF(INDEX('Faculties'!$L$57:$L$66,MATCH($F186,'Faculties'!$B$57:$B$66,0))="","Cell will autofill based on response",INDEX('Faculties'!$L$57:$L$66,MATCH($F186,'Faculties'!$B$57:$B$66,0))),"N/A")</f>
        <v/>
      </c>
      <c r="L186" s="50">
        <f>IFERROR(IF(INDEX('Faculties'!$L$73:$L$82,MATCH($F186,'Faculties'!$B$73:$B$82,0))="","Cell will autofill based on response",INDEX('Faculties'!$L$73:$L$82,MATCH($F186,'Faculties'!$B$73:$B$82,0))),"N/A")</f>
        <v/>
      </c>
      <c r="M186" s="50">
        <f>IFERROR(IF(INDEX('Faculties'!$L$89:$L$98,MATCH($F186,'Faculties'!$B$89:$B$98,0))="","Cell will autofill based on response",INDEX('Faculties'!$L$89:$L$98,MATCH($F186,'Faculties'!$B$89:$B$98,0))),"N/A")</f>
        <v/>
      </c>
      <c r="N186" s="50">
        <f>IFERROR(IF(INDEX('Faculties'!$L$105:$L$114,MATCH($F186,'Faculties'!$B$105:$B$114,0))="","Cell will autofill based on response",INDEX('Faculties'!$L$105:$L$114,MATCH($F186,'Faculties'!$B$105:$B$114,0))),"N/A")</f>
        <v/>
      </c>
      <c r="O186" s="50">
        <f>IFERROR(IF(INDEX('Faculties'!$L$121:$L$130,MATCH($F186,'Faculties'!$B$121:$B$130,0))="","Cell will autofill based on response",INDEX('Faculties'!$L$121:$L$130,MATCH($F186,'Faculties'!$B$121:$B$130,0))),"N/A")</f>
        <v/>
      </c>
      <c r="P186" s="50">
        <f>IFERROR(IF(INDEX('Faculties'!$L$137:$L$146,MATCH($F186,'Faculties'!$B$137:$B$146,0))="","Cell will autofill based on response",INDEX('Faculties'!$L$137:$L$146,MATCH($F186,'Faculties'!$B$137:$B$146,0))),"N/A")</f>
        <v/>
      </c>
      <c r="Q186" s="50">
        <f>IFERROR(IF(INDEX('CI&amp;S'!$L$10:$L$15,MATCH($F186,'CI&amp;S'!$B$10:$B$15,0))="","Cell will autofill based on response",INDEX('CI&amp;S'!$L$10:$L$15,MATCH($F186,'CI&amp;S'!$B$10:$B$15,0))),"N/A")</f>
        <v/>
      </c>
      <c r="R186" s="50">
        <f>IFERROR(IF(INDEX('CI&amp;S'!$L$22:$L$36,MATCH($F186,'CI&amp;S'!$B$22:$B$36,0))="","Cell will autofill based on response",INDEX('CI&amp;S'!$L$22:$L$36,MATCH($F186,'CI&amp;S'!$B$22:$B$36,0))),"N/A")</f>
        <v/>
      </c>
      <c r="S186" s="50">
        <f>IFERROR(IF(INDEX('CFOG'!$L$10:$L$16,MATCH($F186,'CFOG'!$B$10:$B$16,0))="","Cell will autofill based on response",INDEX('CFOG'!$L$10:$L$16,MATCH($F186,'CFOG'!$B$10:$B$16,0))),"N/A")</f>
        <v/>
      </c>
      <c r="T186" s="50">
        <f>IFERROR(IF(INDEX('CFOG'!$L$23:$L$24,MATCH($F186,'CFOG'!$B$23:$B$24,0))="","Cell will autofill based on response",INDEX('CFOG'!$L$23:$L$24,MATCH($F186,'CFOG'!$B$23:$B$24,0))),"N/A")</f>
        <v/>
      </c>
      <c r="U186" s="50">
        <f>IFERROR(IF(INDEX('ESG'!$L$10:$L$17,MATCH($F186,'ESG'!$B$10:$B$17,0))="","Cell will autofill based on response",INDEX('ESG'!$L$10:$L$17,MATCH($F186,'ESG'!$B$10:$B$17,0))),"N/A")</f>
        <v/>
      </c>
      <c r="V186" s="50">
        <f>IFERROR(IF(INDEX('CIOG'!$L$10:$L$14,MATCH($F186,'CIOG'!$B$10:$B$14,0))="","Cell will autofill based on response",INDEX('CIOG'!$L$10:$L$14,MATCH($F186,'CIOG'!$B$10:$B$14,0))),"N/A")</f>
        <v/>
      </c>
      <c r="W186" s="50">
        <f>IFERROR(IF(INDEX('MRE'!$L$10:$L$18,MATCH($F186,'MRE'!$B$10:$B$18,0))="","Cell will autofill based on response",INDEX('MRE'!$L$10:$L$18,MATCH($F186,'MRE'!$B$10:$B$18,0))),"N/A")</f>
        <v/>
      </c>
      <c r="X186" s="50">
        <f>IFERROR(IF(INDEX('AC&amp;M'!$L$10:$L$14,MATCH($F186,'AC&amp;M'!$B$10:$B$14,0))="","Cell will autofill based on response",INDEX('AC&amp;M'!$L$10:$L$14,MATCH($F186,'AC&amp;M'!$B$10:$B$14,0))),"N/A")</f>
        <v/>
      </c>
      <c r="Y186" s="50">
        <f>IFERROR(IF(INDEX('GCE'!$L$10:$L$12,MATCH($F186,'GCE'!$B$10:$B$12,0))="","Cell will autofill based on response",INDEX('GCE'!$L$10:$L$12,MATCH($F186,'GCE'!$B$10:$B$12,0))),"N/A")</f>
        <v/>
      </c>
      <c r="Z186" s="50">
        <f>IFERROR(IF(INDEX('Education'!$L$10:$L$13,MATCH($F186,'Education'!$B$10:$B$13,0))="","Cell will autofill based on response",INDEX('Education'!$L$10:$L$13,MATCH($F186,'Education'!$B$10:$B$13,0))),"N/A")</f>
        <v/>
      </c>
      <c r="AA186" s="50">
        <f>IFERROR(IF(INDEX('SaSS'!$L$10:$L$12,MATCH($F186,'SaSS'!$B$10:$B$12,0))="","Cell will autofill based on response",INDEX('SaSS'!$L$10:$L$12,MATCH($F186,'SaSS'!$B$10:$B$12,0))),"N/A")</f>
        <v/>
      </c>
      <c r="AB186" s="50">
        <f>IFERROR(IF(INDEX('Indigenous'!$L$10:$L$11,MATCH($F186,'Indigenous'!$B$10:$B$11,0))="","Cell will autofill based on response",INDEX('Indigenous'!$L$10:$L$11,MATCH($F186,'Indigenous'!$B$10:$B$11,0))),"N/A")</f>
        <v/>
      </c>
      <c r="AC186" s="50">
        <f>IFERROR(IF(INDEX('L&amp;R'!$L$10:$L$11,MATCH($F186,'L&amp;R'!$B$10:$B$11,0))="","Cell will autofill based on response",INDEX('L&amp;R'!$L$10:$L$11,MATCH($F186,'L&amp;R'!$B$10:$B$11,0))),"N/A")</f>
        <v/>
      </c>
      <c r="AE186" s="9">
        <f>SUMPRODUCT(--($H186:$AC186&lt;&gt;"N/A"))</f>
        <v/>
      </c>
      <c r="AF186" s="9">
        <f>SUMPRODUCT(--(((($H186:$AC186&lt;&gt;"N/A")*($H186:$AC186&lt;&gt;"Cell will autofill based on response"))+(($H187:$AC187&lt;&gt;"N/A")*($H187:$AC187&lt;&gt;"Cell will autofill based on response")))&gt;0))</f>
        <v/>
      </c>
      <c r="AG186" s="9">
        <f>AE186-AF186</f>
        <v/>
      </c>
      <c r="AH186" s="9">
        <f>COUNTIF($H190:$AC190,"Yes")</f>
        <v/>
      </c>
    </row>
    <row r="187" ht="39" customHeight="1">
      <c r="A187">
        <f>F187&amp;"|"&amp;G187</f>
        <v/>
      </c>
      <c r="B187" s="12" t="inlineStr"/>
      <c r="C187" s="7" t="inlineStr"/>
      <c r="D187" s="7" t="inlineStr"/>
      <c r="E187" s="7" t="inlineStr"/>
      <c r="F187" s="7" t="inlineStr">
        <is>
          <t>EN1(b)</t>
        </is>
      </c>
      <c r="G187" s="7" t="inlineStr">
        <is>
          <t>OPTION 2:  Indicator level reporting</t>
        </is>
      </c>
      <c r="H187" s="50">
        <f>IFERROR(IF(INDEX('Faculties'!$M$10:$M$18,MATCH($F187,'Faculties'!$B$10:$B$18,0))="","Cell will autofill based on response",INDEX('Faculties'!$M$10:$M$18,MATCH($F187,'Faculties'!$B$10:$B$18,0))),"N/A")</f>
        <v/>
      </c>
      <c r="I187" s="50">
        <f>IFERROR(IF(INDEX('Faculties'!$M$25:$M$34,MATCH($F187,'Faculties'!$B$25:$B$34,0))="","Cell will autofill based on response",INDEX('Faculties'!$M$25:$M$34,MATCH($F187,'Faculties'!$B$25:$B$34,0))),"N/A")</f>
        <v/>
      </c>
      <c r="J187" s="50">
        <f>IFERROR(IF(INDEX('Faculties'!$M$41:$M$50,MATCH($F187,'Faculties'!$B$41:$B$50,0))="","Cell will autofill based on response",INDEX('Faculties'!$M$41:$M$50,MATCH($F187,'Faculties'!$B$41:$B$50,0))),"N/A")</f>
        <v/>
      </c>
      <c r="K187" s="50">
        <f>IFERROR(IF(INDEX('Faculties'!$M$57:$M$66,MATCH($F187,'Faculties'!$B$57:$B$66,0))="","Cell will autofill based on response",INDEX('Faculties'!$M$57:$M$66,MATCH($F187,'Faculties'!$B$57:$B$66,0))),"N/A")</f>
        <v/>
      </c>
      <c r="L187" s="50">
        <f>IFERROR(IF(INDEX('Faculties'!$M$73:$M$82,MATCH($F187,'Faculties'!$B$73:$B$82,0))="","Cell will autofill based on response",INDEX('Faculties'!$M$73:$M$82,MATCH($F187,'Faculties'!$B$73:$B$82,0))),"N/A")</f>
        <v/>
      </c>
      <c r="M187" s="50">
        <f>IFERROR(IF(INDEX('Faculties'!$M$89:$M$98,MATCH($F187,'Faculties'!$B$89:$B$98,0))="","Cell will autofill based on response",INDEX('Faculties'!$M$89:$M$98,MATCH($F187,'Faculties'!$B$89:$B$98,0))),"N/A")</f>
        <v/>
      </c>
      <c r="N187" s="50">
        <f>IFERROR(IF(INDEX('Faculties'!$M$105:$M$114,MATCH($F187,'Faculties'!$B$105:$B$114,0))="","Cell will autofill based on response",INDEX('Faculties'!$M$105:$M$114,MATCH($F187,'Faculties'!$B$105:$B$114,0))),"N/A")</f>
        <v/>
      </c>
      <c r="O187" s="50">
        <f>IFERROR(IF(INDEX('Faculties'!$M$121:$M$130,MATCH($F187,'Faculties'!$B$121:$B$130,0))="","Cell will autofill based on response",INDEX('Faculties'!$M$121:$M$130,MATCH($F187,'Faculties'!$B$121:$B$130,0))),"N/A")</f>
        <v/>
      </c>
      <c r="P187" s="50">
        <f>IFERROR(IF(INDEX('Faculties'!$M$137:$M$146,MATCH($F187,'Faculties'!$B$137:$B$146,0))="","Cell will autofill based on response",INDEX('Faculties'!$M$137:$M$146,MATCH($F187,'Faculties'!$B$137:$B$146,0))),"N/A")</f>
        <v/>
      </c>
      <c r="Q187" s="50">
        <f>IFERROR(IF(INDEX('CI&amp;S'!$M$10:$M$15,MATCH($F187,'CI&amp;S'!$B$10:$B$15,0))="","Cell will autofill based on response",INDEX('CI&amp;S'!$M$10:$M$15,MATCH($F187,'CI&amp;S'!$B$10:$B$15,0))),"N/A")</f>
        <v/>
      </c>
      <c r="R187" s="50">
        <f>IFERROR(IF(INDEX('CI&amp;S'!$M$22:$M$36,MATCH($F187,'CI&amp;S'!$B$22:$B$36,0))="","Cell will autofill based on response",INDEX('CI&amp;S'!$M$22:$M$36,MATCH($F187,'CI&amp;S'!$B$22:$B$36,0))),"N/A")</f>
        <v/>
      </c>
      <c r="S187" s="50">
        <f>IFERROR(IF(INDEX('CFOG'!$M$10:$M$16,MATCH($F187,'CFOG'!$B$10:$B$16,0))="","Cell will autofill based on response",INDEX('CFOG'!$M$10:$M$16,MATCH($F187,'CFOG'!$B$10:$B$16,0))),"N/A")</f>
        <v/>
      </c>
      <c r="T187" s="50">
        <f>IFERROR(IF(INDEX('CFOG'!$M$23:$M$24,MATCH($F187,'CFOG'!$B$23:$B$24,0))="","Cell will autofill based on response",INDEX('CFOG'!$M$23:$M$24,MATCH($F187,'CFOG'!$B$23:$B$24,0))),"N/A")</f>
        <v/>
      </c>
      <c r="U187" s="50">
        <f>IFERROR(IF(INDEX('ESG'!$M$10:$M$17,MATCH($F187,'ESG'!$B$10:$B$17,0))="","Cell will autofill based on response",INDEX('ESG'!$M$10:$M$17,MATCH($F187,'ESG'!$B$10:$B$17,0))),"N/A")</f>
        <v/>
      </c>
      <c r="V187" s="50">
        <f>IFERROR(IF(INDEX('CIOG'!$M$10:$M$14,MATCH($F187,'CIOG'!$B$10:$B$14,0))="","Cell will autofill based on response",INDEX('CIOG'!$M$10:$M$14,MATCH($F187,'CIOG'!$B$10:$B$14,0))),"N/A")</f>
        <v/>
      </c>
      <c r="W187" s="50">
        <f>IFERROR(IF(INDEX('MRE'!$M$10:$M$18,MATCH($F187,'MRE'!$B$10:$B$18,0))="","Cell will autofill based on response",INDEX('MRE'!$M$10:$M$18,MATCH($F187,'MRE'!$B$10:$B$18,0))),"N/A")</f>
        <v/>
      </c>
      <c r="X187" s="50">
        <f>IFERROR(IF(INDEX('AC&amp;M'!$M$10:$M$14,MATCH($F187,'AC&amp;M'!$B$10:$B$14,0))="","Cell will autofill based on response",INDEX('AC&amp;M'!$M$10:$M$14,MATCH($F187,'AC&amp;M'!$B$10:$B$14,0))),"N/A")</f>
        <v/>
      </c>
      <c r="Y187" s="50">
        <f>IFERROR(IF(INDEX('GCE'!$M$10:$M$12,MATCH($F187,'GCE'!$B$10:$B$12,0))="","Cell will autofill based on response",INDEX('GCE'!$M$10:$M$12,MATCH($F187,'GCE'!$B$10:$B$12,0))),"N/A")</f>
        <v/>
      </c>
      <c r="Z187" s="50">
        <f>IFERROR(IF(INDEX('Education'!$M$10:$M$13,MATCH($F187,'Education'!$B$10:$B$13,0))="","Cell will autofill based on response",INDEX('Education'!$M$10:$M$13,MATCH($F187,'Education'!$B$10:$B$13,0))),"N/A")</f>
        <v/>
      </c>
      <c r="AA187" s="50">
        <f>IFERROR(IF(INDEX('SaSS'!$M$10:$M$12,MATCH($F187,'SaSS'!$B$10:$B$12,0))="","Cell will autofill based on response",INDEX('SaSS'!$M$10:$M$12,MATCH($F187,'SaSS'!$B$10:$B$12,0))),"N/A")</f>
        <v/>
      </c>
      <c r="AB187" s="50">
        <f>IFERROR(IF(INDEX('Indigenous'!$M$10:$M$11,MATCH($F187,'Indigenous'!$B$10:$B$11,0))="","Cell will autofill based on response",INDEX('Indigenous'!$M$10:$M$11,MATCH($F187,'Indigenous'!$B$10:$B$11,0))),"N/A")</f>
        <v/>
      </c>
      <c r="AC187" s="50">
        <f>IFERROR(IF(INDEX('L&amp;R'!$M$10:$M$11,MATCH($F187,'L&amp;R'!$B$10:$B$11,0))="","Cell will autofill based on response",INDEX('L&amp;R'!$M$10:$M$11,MATCH($F187,'L&amp;R'!$B$10:$B$11,0))),"N/A")</f>
        <v/>
      </c>
    </row>
    <row r="188" ht="22" customHeight="1">
      <c r="A188">
        <f>F188&amp;"|"&amp;G188</f>
        <v/>
      </c>
      <c r="B188" s="12" t="inlineStr"/>
      <c r="C188" s="7" t="inlineStr"/>
      <c r="D188" s="7" t="inlineStr"/>
      <c r="E188" s="7" t="inlineStr"/>
      <c r="F188" s="7" t="inlineStr">
        <is>
          <t>EN1(b)</t>
        </is>
      </c>
      <c r="G188" s="7" t="inlineStr">
        <is>
          <t>Supporting information/comments</t>
        </is>
      </c>
      <c r="H188" s="50">
        <f>IFERROR(IF(INDEX('Faculties'!$N$10:$N$18,MATCH($F188,'Faculties'!$B$10:$B$18,0))="","Cell will autofill based on response",INDEX('Faculties'!$N$10:$N$18,MATCH($F188,'Faculties'!$B$10:$B$18,0))),"N/A")</f>
        <v/>
      </c>
      <c r="I188" s="50">
        <f>IFERROR(IF(INDEX('Faculties'!$N$25:$N$34,MATCH($F188,'Faculties'!$B$25:$B$34,0))="","Cell will autofill based on response",INDEX('Faculties'!$N$25:$N$34,MATCH($F188,'Faculties'!$B$25:$B$34,0))),"N/A")</f>
        <v/>
      </c>
      <c r="J188" s="50">
        <f>IFERROR(IF(INDEX('Faculties'!$N$41:$N$50,MATCH($F188,'Faculties'!$B$41:$B$50,0))="","Cell will autofill based on response",INDEX('Faculties'!$N$41:$N$50,MATCH($F188,'Faculties'!$B$41:$B$50,0))),"N/A")</f>
        <v/>
      </c>
      <c r="K188" s="50">
        <f>IFERROR(IF(INDEX('Faculties'!$N$57:$N$66,MATCH($F188,'Faculties'!$B$57:$B$66,0))="","Cell will autofill based on response",INDEX('Faculties'!$N$57:$N$66,MATCH($F188,'Faculties'!$B$57:$B$66,0))),"N/A")</f>
        <v/>
      </c>
      <c r="L188" s="50">
        <f>IFERROR(IF(INDEX('Faculties'!$N$73:$N$82,MATCH($F188,'Faculties'!$B$73:$B$82,0))="","Cell will autofill based on response",INDEX('Faculties'!$N$73:$N$82,MATCH($F188,'Faculties'!$B$73:$B$82,0))),"N/A")</f>
        <v/>
      </c>
      <c r="M188" s="50">
        <f>IFERROR(IF(INDEX('Faculties'!$N$89:$N$98,MATCH($F188,'Faculties'!$B$89:$B$98,0))="","Cell will autofill based on response",INDEX('Faculties'!$N$89:$N$98,MATCH($F188,'Faculties'!$B$89:$B$98,0))),"N/A")</f>
        <v/>
      </c>
      <c r="N188" s="50">
        <f>IFERROR(IF(INDEX('Faculties'!$N$105:$N$114,MATCH($F188,'Faculties'!$B$105:$B$114,0))="","Cell will autofill based on response",INDEX('Faculties'!$N$105:$N$114,MATCH($F188,'Faculties'!$B$105:$B$114,0))),"N/A")</f>
        <v/>
      </c>
      <c r="O188" s="50">
        <f>IFERROR(IF(INDEX('Faculties'!$N$121:$N$130,MATCH($F188,'Faculties'!$B$121:$B$130,0))="","Cell will autofill based on response",INDEX('Faculties'!$N$121:$N$130,MATCH($F188,'Faculties'!$B$121:$B$130,0))),"N/A")</f>
        <v/>
      </c>
      <c r="P188" s="50">
        <f>IFERROR(IF(INDEX('Faculties'!$N$137:$N$146,MATCH($F188,'Faculties'!$B$137:$B$146,0))="","Cell will autofill based on response",INDEX('Faculties'!$N$137:$N$146,MATCH($F188,'Faculties'!$B$137:$B$146,0))),"N/A")</f>
        <v/>
      </c>
      <c r="Q188" s="50">
        <f>IFERROR(IF(INDEX('CI&amp;S'!$N$10:$N$15,MATCH($F188,'CI&amp;S'!$B$10:$B$15,0))="","Cell will autofill based on response",INDEX('CI&amp;S'!$N$10:$N$15,MATCH($F188,'CI&amp;S'!$B$10:$B$15,0))),"N/A")</f>
        <v/>
      </c>
      <c r="R188" s="50">
        <f>IFERROR(IF(INDEX('CI&amp;S'!$N$22:$N$36,MATCH($F188,'CI&amp;S'!$B$22:$B$36,0))="","Cell will autofill based on response",INDEX('CI&amp;S'!$N$22:$N$36,MATCH($F188,'CI&amp;S'!$B$22:$B$36,0))),"N/A")</f>
        <v/>
      </c>
      <c r="S188" s="50">
        <f>IFERROR(IF(INDEX('CFOG'!$N$10:$N$16,MATCH($F188,'CFOG'!$B$10:$B$16,0))="","Cell will autofill based on response",INDEX('CFOG'!$N$10:$N$16,MATCH($F188,'CFOG'!$B$10:$B$16,0))),"N/A")</f>
        <v/>
      </c>
      <c r="T188" s="50">
        <f>IFERROR(IF(INDEX('CFOG'!$N$23:$N$24,MATCH($F188,'CFOG'!$B$23:$B$24,0))="","Cell will autofill based on response",INDEX('CFOG'!$N$23:$N$24,MATCH($F188,'CFOG'!$B$23:$B$24,0))),"N/A")</f>
        <v/>
      </c>
      <c r="U188" s="50">
        <f>IFERROR(IF(INDEX('ESG'!$N$10:$N$17,MATCH($F188,'ESG'!$B$10:$B$17,0))="","Cell will autofill based on response",INDEX('ESG'!$N$10:$N$17,MATCH($F188,'ESG'!$B$10:$B$17,0))),"N/A")</f>
        <v/>
      </c>
      <c r="V188" s="50">
        <f>IFERROR(IF(INDEX('CIOG'!$N$10:$N$14,MATCH($F188,'CIOG'!$B$10:$B$14,0))="","Cell will autofill based on response",INDEX('CIOG'!$N$10:$N$14,MATCH($F188,'CIOG'!$B$10:$B$14,0))),"N/A")</f>
        <v/>
      </c>
      <c r="W188" s="50">
        <f>IFERROR(IF(INDEX('MRE'!$N$10:$N$18,MATCH($F188,'MRE'!$B$10:$B$18,0))="","Cell will autofill based on response",INDEX('MRE'!$N$10:$N$18,MATCH($F188,'MRE'!$B$10:$B$18,0))),"N/A")</f>
        <v/>
      </c>
      <c r="X188" s="50">
        <f>IFERROR(IF(INDEX('AC&amp;M'!$N$10:$N$14,MATCH($F188,'AC&amp;M'!$B$10:$B$14,0))="","Cell will autofill based on response",INDEX('AC&amp;M'!$N$10:$N$14,MATCH($F188,'AC&amp;M'!$B$10:$B$14,0))),"N/A")</f>
        <v/>
      </c>
      <c r="Y188" s="50">
        <f>IFERROR(IF(INDEX('GCE'!$N$10:$N$12,MATCH($F188,'GCE'!$B$10:$B$12,0))="","Cell will autofill based on response",INDEX('GCE'!$N$10:$N$12,MATCH($F188,'GCE'!$B$10:$B$12,0))),"N/A")</f>
        <v/>
      </c>
      <c r="Z188" s="50">
        <f>IFERROR(IF(INDEX('Education'!$N$10:$N$13,MATCH($F188,'Education'!$B$10:$B$13,0))="","Cell will autofill based on response",INDEX('Education'!$N$10:$N$13,MATCH($F188,'Education'!$B$10:$B$13,0))),"N/A")</f>
        <v/>
      </c>
      <c r="AA188" s="50">
        <f>IFERROR(IF(INDEX('SaSS'!$N$10:$N$12,MATCH($F188,'SaSS'!$B$10:$B$12,0))="","Cell will autofill based on response",INDEX('SaSS'!$N$10:$N$12,MATCH($F188,'SaSS'!$B$10:$B$12,0))),"N/A")</f>
        <v/>
      </c>
      <c r="AB188" s="50">
        <f>IFERROR(IF(INDEX('Indigenous'!$N$10:$N$11,MATCH($F188,'Indigenous'!$B$10:$B$11,0))="","Cell will autofill based on response",INDEX('Indigenous'!$N$10:$N$11,MATCH($F188,'Indigenous'!$B$10:$B$11,0))),"N/A")</f>
        <v/>
      </c>
      <c r="AC188" s="50">
        <f>IFERROR(IF(INDEX('L&amp;R'!$N$10:$N$11,MATCH($F188,'L&amp;R'!$B$10:$B$11,0))="","Cell will autofill based on response",INDEX('L&amp;R'!$N$10:$N$11,MATCH($F188,'L&amp;R'!$B$10:$B$11,0))),"N/A")</f>
        <v/>
      </c>
    </row>
    <row r="189" ht="22" customHeight="1">
      <c r="A189">
        <f>F189&amp;"|"&amp;G189</f>
        <v/>
      </c>
      <c r="B189" s="12" t="inlineStr"/>
      <c r="C189" s="7" t="inlineStr"/>
      <c r="D189" s="7" t="inlineStr"/>
      <c r="E189" s="7" t="inlineStr"/>
      <c r="F189" s="7" t="inlineStr">
        <is>
          <t>EN1(b)</t>
        </is>
      </c>
      <c r="G189" s="7" t="inlineStr">
        <is>
          <t>Data source and limitations</t>
        </is>
      </c>
      <c r="H189" s="50">
        <f>IFERROR(IF(INDEX('Faculties'!$O$10:$O$18,MATCH($F189,'Faculties'!$B$10:$B$18,0))="","Cell will autofill based on response",INDEX('Faculties'!$O$10:$O$18,MATCH($F189,'Faculties'!$B$10:$B$18,0))),"N/A")</f>
        <v/>
      </c>
      <c r="I189" s="50">
        <f>IFERROR(IF(INDEX('Faculties'!$O$25:$O$34,MATCH($F189,'Faculties'!$B$25:$B$34,0))="","Cell will autofill based on response",INDEX('Faculties'!$O$25:$O$34,MATCH($F189,'Faculties'!$B$25:$B$34,0))),"N/A")</f>
        <v/>
      </c>
      <c r="J189" s="50">
        <f>IFERROR(IF(INDEX('Faculties'!$O$41:$O$50,MATCH($F189,'Faculties'!$B$41:$B$50,0))="","Cell will autofill based on response",INDEX('Faculties'!$O$41:$O$50,MATCH($F189,'Faculties'!$B$41:$B$50,0))),"N/A")</f>
        <v/>
      </c>
      <c r="K189" s="50">
        <f>IFERROR(IF(INDEX('Faculties'!$O$57:$O$66,MATCH($F189,'Faculties'!$B$57:$B$66,0))="","Cell will autofill based on response",INDEX('Faculties'!$O$57:$O$66,MATCH($F189,'Faculties'!$B$57:$B$66,0))),"N/A")</f>
        <v/>
      </c>
      <c r="L189" s="50">
        <f>IFERROR(IF(INDEX('Faculties'!$O$73:$O$82,MATCH($F189,'Faculties'!$B$73:$B$82,0))="","Cell will autofill based on response",INDEX('Faculties'!$O$73:$O$82,MATCH($F189,'Faculties'!$B$73:$B$82,0))),"N/A")</f>
        <v/>
      </c>
      <c r="M189" s="50">
        <f>IFERROR(IF(INDEX('Faculties'!$O$89:$O$98,MATCH($F189,'Faculties'!$B$89:$B$98,0))="","Cell will autofill based on response",INDEX('Faculties'!$O$89:$O$98,MATCH($F189,'Faculties'!$B$89:$B$98,0))),"N/A")</f>
        <v/>
      </c>
      <c r="N189" s="50">
        <f>IFERROR(IF(INDEX('Faculties'!$O$105:$O$114,MATCH($F189,'Faculties'!$B$105:$B$114,0))="","Cell will autofill based on response",INDEX('Faculties'!$O$105:$O$114,MATCH($F189,'Faculties'!$B$105:$B$114,0))),"N/A")</f>
        <v/>
      </c>
      <c r="O189" s="50">
        <f>IFERROR(IF(INDEX('Faculties'!$O$121:$O$130,MATCH($F189,'Faculties'!$B$121:$B$130,0))="","Cell will autofill based on response",INDEX('Faculties'!$O$121:$O$130,MATCH($F189,'Faculties'!$B$121:$B$130,0))),"N/A")</f>
        <v/>
      </c>
      <c r="P189" s="50">
        <f>IFERROR(IF(INDEX('Faculties'!$O$137:$O$146,MATCH($F189,'Faculties'!$B$137:$B$146,0))="","Cell will autofill based on response",INDEX('Faculties'!$O$137:$O$146,MATCH($F189,'Faculties'!$B$137:$B$146,0))),"N/A")</f>
        <v/>
      </c>
      <c r="Q189" s="50">
        <f>IFERROR(IF(INDEX('CI&amp;S'!$O$10:$O$15,MATCH($F189,'CI&amp;S'!$B$10:$B$15,0))="","Cell will autofill based on response",INDEX('CI&amp;S'!$O$10:$O$15,MATCH($F189,'CI&amp;S'!$B$10:$B$15,0))),"N/A")</f>
        <v/>
      </c>
      <c r="R189" s="50">
        <f>IFERROR(IF(INDEX('CI&amp;S'!$O$22:$O$36,MATCH($F189,'CI&amp;S'!$B$22:$B$36,0))="","Cell will autofill based on response",INDEX('CI&amp;S'!$O$22:$O$36,MATCH($F189,'CI&amp;S'!$B$22:$B$36,0))),"N/A")</f>
        <v/>
      </c>
      <c r="S189" s="50">
        <f>IFERROR(IF(INDEX('CFOG'!$O$10:$O$16,MATCH($F189,'CFOG'!$B$10:$B$16,0))="","Cell will autofill based on response",INDEX('CFOG'!$O$10:$O$16,MATCH($F189,'CFOG'!$B$10:$B$16,0))),"N/A")</f>
        <v/>
      </c>
      <c r="T189" s="50">
        <f>IFERROR(IF(INDEX('CFOG'!$O$23:$O$24,MATCH($F189,'CFOG'!$B$23:$B$24,0))="","Cell will autofill based on response",INDEX('CFOG'!$O$23:$O$24,MATCH($F189,'CFOG'!$B$23:$B$24,0))),"N/A")</f>
        <v/>
      </c>
      <c r="U189" s="50">
        <f>IFERROR(IF(INDEX('ESG'!$O$10:$O$17,MATCH($F189,'ESG'!$B$10:$B$17,0))="","Cell will autofill based on response",INDEX('ESG'!$O$10:$O$17,MATCH($F189,'ESG'!$B$10:$B$17,0))),"N/A")</f>
        <v/>
      </c>
      <c r="V189" s="50">
        <f>IFERROR(IF(INDEX('CIOG'!$O$10:$O$14,MATCH($F189,'CIOG'!$B$10:$B$14,0))="","Cell will autofill based on response",INDEX('CIOG'!$O$10:$O$14,MATCH($F189,'CIOG'!$B$10:$B$14,0))),"N/A")</f>
        <v/>
      </c>
      <c r="W189" s="50">
        <f>IFERROR(IF(INDEX('MRE'!$O$10:$O$18,MATCH($F189,'MRE'!$B$10:$B$18,0))="","Cell will autofill based on response",INDEX('MRE'!$O$10:$O$18,MATCH($F189,'MRE'!$B$10:$B$18,0))),"N/A")</f>
        <v/>
      </c>
      <c r="X189" s="50">
        <f>IFERROR(IF(INDEX('AC&amp;M'!$O$10:$O$14,MATCH($F189,'AC&amp;M'!$B$10:$B$14,0))="","Cell will autofill based on response",INDEX('AC&amp;M'!$O$10:$O$14,MATCH($F189,'AC&amp;M'!$B$10:$B$14,0))),"N/A")</f>
        <v/>
      </c>
      <c r="Y189" s="50">
        <f>IFERROR(IF(INDEX('GCE'!$O$10:$O$12,MATCH($F189,'GCE'!$B$10:$B$12,0))="","Cell will autofill based on response",INDEX('GCE'!$O$10:$O$12,MATCH($F189,'GCE'!$B$10:$B$12,0))),"N/A")</f>
        <v/>
      </c>
      <c r="Z189" s="50">
        <f>IFERROR(IF(INDEX('Education'!$O$10:$O$13,MATCH($F189,'Education'!$B$10:$B$13,0))="","Cell will autofill based on response",INDEX('Education'!$O$10:$O$13,MATCH($F189,'Education'!$B$10:$B$13,0))),"N/A")</f>
        <v/>
      </c>
      <c r="AA189" s="50">
        <f>IFERROR(IF(INDEX('SaSS'!$O$10:$O$12,MATCH($F189,'SaSS'!$B$10:$B$12,0))="","Cell will autofill based on response",INDEX('SaSS'!$O$10:$O$12,MATCH($F189,'SaSS'!$B$10:$B$12,0))),"N/A")</f>
        <v/>
      </c>
      <c r="AB189" s="50">
        <f>IFERROR(IF(INDEX('Indigenous'!$O$10:$O$11,MATCH($F189,'Indigenous'!$B$10:$B$11,0))="","Cell will autofill based on response",INDEX('Indigenous'!$O$10:$O$11,MATCH($F189,'Indigenous'!$B$10:$B$11,0))),"N/A")</f>
        <v/>
      </c>
      <c r="AC189" s="50">
        <f>IFERROR(IF(INDEX('L&amp;R'!$O$10:$O$11,MATCH($F189,'L&amp;R'!$B$10:$B$11,0))="","Cell will autofill based on response",INDEX('L&amp;R'!$O$10:$O$11,MATCH($F189,'L&amp;R'!$B$10:$B$11,0))),"N/A")</f>
        <v/>
      </c>
    </row>
    <row r="190" ht="22" customHeight="1">
      <c r="A190">
        <f>F190&amp;"|"&amp;G190</f>
        <v/>
      </c>
      <c r="B190" s="12" t="inlineStr"/>
      <c r="C190" s="7" t="inlineStr"/>
      <c r="D190" s="7" t="inlineStr"/>
      <c r="E190" s="7" t="inlineStr"/>
      <c r="F190" s="7" t="inlineStr">
        <is>
          <t>EN1(b)</t>
        </is>
      </c>
      <c r="G190" s="7" t="inlineStr">
        <is>
          <t>Data owner confirms</t>
        </is>
      </c>
      <c r="H190" s="50">
        <f>IFERROR(IF(INDEX('Faculties'!$P$10:$P$18,MATCH($F190,'Faculties'!$B$10:$B$18,0))="","Cell will autofill based on response",INDEX('Faculties'!$P$10:$P$18,MATCH($F190,'Faculties'!$B$10:$B$18,0))),"N/A")</f>
        <v/>
      </c>
      <c r="I190" s="50">
        <f>IFERROR(IF(INDEX('Faculties'!$P$25:$P$34,MATCH($F190,'Faculties'!$B$25:$B$34,0))="","Cell will autofill based on response",INDEX('Faculties'!$P$25:$P$34,MATCH($F190,'Faculties'!$B$25:$B$34,0))),"N/A")</f>
        <v/>
      </c>
      <c r="J190" s="50">
        <f>IFERROR(IF(INDEX('Faculties'!$P$41:$P$50,MATCH($F190,'Faculties'!$B$41:$B$50,0))="","Cell will autofill based on response",INDEX('Faculties'!$P$41:$P$50,MATCH($F190,'Faculties'!$B$41:$B$50,0))),"N/A")</f>
        <v/>
      </c>
      <c r="K190" s="50">
        <f>IFERROR(IF(INDEX('Faculties'!$P$57:$P$66,MATCH($F190,'Faculties'!$B$57:$B$66,0))="","Cell will autofill based on response",INDEX('Faculties'!$P$57:$P$66,MATCH($F190,'Faculties'!$B$57:$B$66,0))),"N/A")</f>
        <v/>
      </c>
      <c r="L190" s="50">
        <f>IFERROR(IF(INDEX('Faculties'!$P$73:$P$82,MATCH($F190,'Faculties'!$B$73:$B$82,0))="","Cell will autofill based on response",INDEX('Faculties'!$P$73:$P$82,MATCH($F190,'Faculties'!$B$73:$B$82,0))),"N/A")</f>
        <v/>
      </c>
      <c r="M190" s="50">
        <f>IFERROR(IF(INDEX('Faculties'!$P$89:$P$98,MATCH($F190,'Faculties'!$B$89:$B$98,0))="","Cell will autofill based on response",INDEX('Faculties'!$P$89:$P$98,MATCH($F190,'Faculties'!$B$89:$B$98,0))),"N/A")</f>
        <v/>
      </c>
      <c r="N190" s="50">
        <f>IFERROR(IF(INDEX('Faculties'!$P$105:$P$114,MATCH($F190,'Faculties'!$B$105:$B$114,0))="","Cell will autofill based on response",INDEX('Faculties'!$P$105:$P$114,MATCH($F190,'Faculties'!$B$105:$B$114,0))),"N/A")</f>
        <v/>
      </c>
      <c r="O190" s="50">
        <f>IFERROR(IF(INDEX('Faculties'!$P$121:$P$130,MATCH($F190,'Faculties'!$B$121:$B$130,0))="","Cell will autofill based on response",INDEX('Faculties'!$P$121:$P$130,MATCH($F190,'Faculties'!$B$121:$B$130,0))),"N/A")</f>
        <v/>
      </c>
      <c r="P190" s="50">
        <f>IFERROR(IF(INDEX('Faculties'!$P$137:$P$146,MATCH($F190,'Faculties'!$B$137:$B$146,0))="","Cell will autofill based on response",INDEX('Faculties'!$P$137:$P$146,MATCH($F190,'Faculties'!$B$137:$B$146,0))),"N/A")</f>
        <v/>
      </c>
      <c r="Q190" s="50">
        <f>IFERROR(IF(INDEX('CI&amp;S'!$P$10:$P$15,MATCH($F190,'CI&amp;S'!$B$10:$B$15,0))="","Cell will autofill based on response",INDEX('CI&amp;S'!$P$10:$P$15,MATCH($F190,'CI&amp;S'!$B$10:$B$15,0))),"N/A")</f>
        <v/>
      </c>
      <c r="R190" s="50">
        <f>IFERROR(IF(INDEX('CI&amp;S'!$P$22:$P$36,MATCH($F190,'CI&amp;S'!$B$22:$B$36,0))="","Cell will autofill based on response",INDEX('CI&amp;S'!$P$22:$P$36,MATCH($F190,'CI&amp;S'!$B$22:$B$36,0))),"N/A")</f>
        <v/>
      </c>
      <c r="S190" s="50">
        <f>IFERROR(IF(INDEX('CFOG'!$P$10:$P$16,MATCH($F190,'CFOG'!$B$10:$B$16,0))="","Cell will autofill based on response",INDEX('CFOG'!$P$10:$P$16,MATCH($F190,'CFOG'!$B$10:$B$16,0))),"N/A")</f>
        <v/>
      </c>
      <c r="T190" s="50">
        <f>IFERROR(IF(INDEX('CFOG'!$P$23:$P$24,MATCH($F190,'CFOG'!$B$23:$B$24,0))="","Cell will autofill based on response",INDEX('CFOG'!$P$23:$P$24,MATCH($F190,'CFOG'!$B$23:$B$24,0))),"N/A")</f>
        <v/>
      </c>
      <c r="U190" s="50">
        <f>IFERROR(IF(INDEX('ESG'!$P$10:$P$17,MATCH($F190,'ESG'!$B$10:$B$17,0))="","Cell will autofill based on response",INDEX('ESG'!$P$10:$P$17,MATCH($F190,'ESG'!$B$10:$B$17,0))),"N/A")</f>
        <v/>
      </c>
      <c r="V190" s="50">
        <f>IFERROR(IF(INDEX('CIOG'!$P$10:$P$14,MATCH($F190,'CIOG'!$B$10:$B$14,0))="","Cell will autofill based on response",INDEX('CIOG'!$P$10:$P$14,MATCH($F190,'CIOG'!$B$10:$B$14,0))),"N/A")</f>
        <v/>
      </c>
      <c r="W190" s="50">
        <f>IFERROR(IF(INDEX('MRE'!$P$10:$P$18,MATCH($F190,'MRE'!$B$10:$B$18,0))="","Cell will autofill based on response",INDEX('MRE'!$P$10:$P$18,MATCH($F190,'MRE'!$B$10:$B$18,0))),"N/A")</f>
        <v/>
      </c>
      <c r="X190" s="50">
        <f>IFERROR(IF(INDEX('AC&amp;M'!$P$10:$P$14,MATCH($F190,'AC&amp;M'!$B$10:$B$14,0))="","Cell will autofill based on response",INDEX('AC&amp;M'!$P$10:$P$14,MATCH($F190,'AC&amp;M'!$B$10:$B$14,0))),"N/A")</f>
        <v/>
      </c>
      <c r="Y190" s="50">
        <f>IFERROR(IF(INDEX('GCE'!$P$10:$P$12,MATCH($F190,'GCE'!$B$10:$B$12,0))="","Cell will autofill based on response",INDEX('GCE'!$P$10:$P$12,MATCH($F190,'GCE'!$B$10:$B$12,0))),"N/A")</f>
        <v/>
      </c>
      <c r="Z190" s="50">
        <f>IFERROR(IF(INDEX('Education'!$P$10:$P$13,MATCH($F190,'Education'!$B$10:$B$13,0))="","Cell will autofill based on response",INDEX('Education'!$P$10:$P$13,MATCH($F190,'Education'!$B$10:$B$13,0))),"N/A")</f>
        <v/>
      </c>
      <c r="AA190" s="50">
        <f>IFERROR(IF(INDEX('SaSS'!$P$10:$P$12,MATCH($F190,'SaSS'!$B$10:$B$12,0))="","Cell will autofill based on response",INDEX('SaSS'!$P$10:$P$12,MATCH($F190,'SaSS'!$B$10:$B$12,0))),"N/A")</f>
        <v/>
      </c>
      <c r="AB190" s="50">
        <f>IFERROR(IF(INDEX('Indigenous'!$P$10:$P$11,MATCH($F190,'Indigenous'!$B$10:$B$11,0))="","Cell will autofill based on response",INDEX('Indigenous'!$P$10:$P$11,MATCH($F190,'Indigenous'!$B$10:$B$11,0))),"N/A")</f>
        <v/>
      </c>
      <c r="AC190" s="50">
        <f>IFERROR(IF(INDEX('L&amp;R'!$P$10:$P$11,MATCH($F190,'L&amp;R'!$B$10:$B$11,0))="","Cell will autofill based on response",INDEX('L&amp;R'!$P$10:$P$11,MATCH($F190,'L&amp;R'!$B$10:$B$11,0))),"N/A")</f>
        <v/>
      </c>
    </row>
    <row r="191" ht="138" customHeight="1">
      <c r="A191">
        <f>F191&amp;"|"&amp;G191</f>
        <v/>
      </c>
      <c r="B191" s="6" t="inlineStr">
        <is>
          <t>EN1(c)</t>
        </is>
      </c>
      <c r="C191" s="48" t="inlineStr">
        <is>
          <t>Enablers</t>
        </is>
      </c>
      <c r="D191" s="48" t="inlineStr">
        <is>
          <t>Coordinated internal engagement and external partnerships contributing to delivery of sustainability outcomes across priority areas.</t>
        </is>
      </c>
      <c r="E191" s="4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F191" s="48" t="inlineStr">
        <is>
          <t>EN1(c)</t>
        </is>
      </c>
      <c r="G191" s="48" t="inlineStr">
        <is>
          <t>OPTION 1:  Target-level reporting</t>
        </is>
      </c>
      <c r="H191" s="50">
        <f>IFERROR(IF(INDEX('Faculties'!$L$10:$L$18,MATCH($F191,'Faculties'!$B$10:$B$18,0))="","Cell will autofill based on response",INDEX('Faculties'!$L$10:$L$18,MATCH($F191,'Faculties'!$B$10:$B$18,0))),"N/A")</f>
        <v/>
      </c>
      <c r="I191" s="50">
        <f>IFERROR(IF(INDEX('Faculties'!$L$25:$L$34,MATCH($F191,'Faculties'!$B$25:$B$34,0))="","Cell will autofill based on response",INDEX('Faculties'!$L$25:$L$34,MATCH($F191,'Faculties'!$B$25:$B$34,0))),"N/A")</f>
        <v/>
      </c>
      <c r="J191" s="50">
        <f>IFERROR(IF(INDEX('Faculties'!$L$41:$L$50,MATCH($F191,'Faculties'!$B$41:$B$50,0))="","Cell will autofill based on response",INDEX('Faculties'!$L$41:$L$50,MATCH($F191,'Faculties'!$B$41:$B$50,0))),"N/A")</f>
        <v/>
      </c>
      <c r="K191" s="50">
        <f>IFERROR(IF(INDEX('Faculties'!$L$57:$L$66,MATCH($F191,'Faculties'!$B$57:$B$66,0))="","Cell will autofill based on response",INDEX('Faculties'!$L$57:$L$66,MATCH($F191,'Faculties'!$B$57:$B$66,0))),"N/A")</f>
        <v/>
      </c>
      <c r="L191" s="50">
        <f>IFERROR(IF(INDEX('Faculties'!$L$73:$L$82,MATCH($F191,'Faculties'!$B$73:$B$82,0))="","Cell will autofill based on response",INDEX('Faculties'!$L$73:$L$82,MATCH($F191,'Faculties'!$B$73:$B$82,0))),"N/A")</f>
        <v/>
      </c>
      <c r="M191" s="50">
        <f>IFERROR(IF(INDEX('Faculties'!$L$89:$L$98,MATCH($F191,'Faculties'!$B$89:$B$98,0))="","Cell will autofill based on response",INDEX('Faculties'!$L$89:$L$98,MATCH($F191,'Faculties'!$B$89:$B$98,0))),"N/A")</f>
        <v/>
      </c>
      <c r="N191" s="50">
        <f>IFERROR(IF(INDEX('Faculties'!$L$105:$L$114,MATCH($F191,'Faculties'!$B$105:$B$114,0))="","Cell will autofill based on response",INDEX('Faculties'!$L$105:$L$114,MATCH($F191,'Faculties'!$B$105:$B$114,0))),"N/A")</f>
        <v/>
      </c>
      <c r="O191" s="50">
        <f>IFERROR(IF(INDEX('Faculties'!$L$121:$L$130,MATCH($F191,'Faculties'!$B$121:$B$130,0))="","Cell will autofill based on response",INDEX('Faculties'!$L$121:$L$130,MATCH($F191,'Faculties'!$B$121:$B$130,0))),"N/A")</f>
        <v/>
      </c>
      <c r="P191" s="50">
        <f>IFERROR(IF(INDEX('Faculties'!$L$137:$L$146,MATCH($F191,'Faculties'!$B$137:$B$146,0))="","Cell will autofill based on response",INDEX('Faculties'!$L$137:$L$146,MATCH($F191,'Faculties'!$B$137:$B$146,0))),"N/A")</f>
        <v/>
      </c>
      <c r="Q191" s="50">
        <f>IFERROR(IF(INDEX('CI&amp;S'!$L$10:$L$15,MATCH($F191,'CI&amp;S'!$B$10:$B$15,0))="","Cell will autofill based on response",INDEX('CI&amp;S'!$L$10:$L$15,MATCH($F191,'CI&amp;S'!$B$10:$B$15,0))),"N/A")</f>
        <v/>
      </c>
      <c r="R191" s="50">
        <f>IFERROR(IF(INDEX('CI&amp;S'!$L$22:$L$36,MATCH($F191,'CI&amp;S'!$B$22:$B$36,0))="","Cell will autofill based on response",INDEX('CI&amp;S'!$L$22:$L$36,MATCH($F191,'CI&amp;S'!$B$22:$B$36,0))),"N/A")</f>
        <v/>
      </c>
      <c r="S191" s="50">
        <f>IFERROR(IF(INDEX('CFOG'!$L$10:$L$16,MATCH($F191,'CFOG'!$B$10:$B$16,0))="","Cell will autofill based on response",INDEX('CFOG'!$L$10:$L$16,MATCH($F191,'CFOG'!$B$10:$B$16,0))),"N/A")</f>
        <v/>
      </c>
      <c r="T191" s="50">
        <f>IFERROR(IF(INDEX('CFOG'!$L$23:$L$24,MATCH($F191,'CFOG'!$B$23:$B$24,0))="","Cell will autofill based on response",INDEX('CFOG'!$L$23:$L$24,MATCH($F191,'CFOG'!$B$23:$B$24,0))),"N/A")</f>
        <v/>
      </c>
      <c r="U191" s="50">
        <f>IFERROR(IF(INDEX('ESG'!$L$10:$L$17,MATCH($F191,'ESG'!$B$10:$B$17,0))="","Cell will autofill based on response",INDEX('ESG'!$L$10:$L$17,MATCH($F191,'ESG'!$B$10:$B$17,0))),"N/A")</f>
        <v/>
      </c>
      <c r="V191" s="50">
        <f>IFERROR(IF(INDEX('CIOG'!$L$10:$L$14,MATCH($F191,'CIOG'!$B$10:$B$14,0))="","Cell will autofill based on response",INDEX('CIOG'!$L$10:$L$14,MATCH($F191,'CIOG'!$B$10:$B$14,0))),"N/A")</f>
        <v/>
      </c>
      <c r="W191" s="50">
        <f>IFERROR(IF(INDEX('MRE'!$L$10:$L$18,MATCH($F191,'MRE'!$B$10:$B$18,0))="","Cell will autofill based on response",INDEX('MRE'!$L$10:$L$18,MATCH($F191,'MRE'!$B$10:$B$18,0))),"N/A")</f>
        <v/>
      </c>
      <c r="X191" s="50">
        <f>IFERROR(IF(INDEX('AC&amp;M'!$L$10:$L$14,MATCH($F191,'AC&amp;M'!$B$10:$B$14,0))="","Cell will autofill based on response",INDEX('AC&amp;M'!$L$10:$L$14,MATCH($F191,'AC&amp;M'!$B$10:$B$14,0))),"N/A")</f>
        <v/>
      </c>
      <c r="Y191" s="50">
        <f>IFERROR(IF(INDEX('GCE'!$L$10:$L$12,MATCH($F191,'GCE'!$B$10:$B$12,0))="","Cell will autofill based on response",INDEX('GCE'!$L$10:$L$12,MATCH($F191,'GCE'!$B$10:$B$12,0))),"N/A")</f>
        <v/>
      </c>
      <c r="Z191" s="50">
        <f>IFERROR(IF(INDEX('Education'!$L$10:$L$13,MATCH($F191,'Education'!$B$10:$B$13,0))="","Cell will autofill based on response",INDEX('Education'!$L$10:$L$13,MATCH($F191,'Education'!$B$10:$B$13,0))),"N/A")</f>
        <v/>
      </c>
      <c r="AA191" s="50">
        <f>IFERROR(IF(INDEX('SaSS'!$L$10:$L$12,MATCH($F191,'SaSS'!$B$10:$B$12,0))="","Cell will autofill based on response",INDEX('SaSS'!$L$10:$L$12,MATCH($F191,'SaSS'!$B$10:$B$12,0))),"N/A")</f>
        <v/>
      </c>
      <c r="AB191" s="50">
        <f>IFERROR(IF(INDEX('Indigenous'!$L$10:$L$11,MATCH($F191,'Indigenous'!$B$10:$B$11,0))="","Cell will autofill based on response",INDEX('Indigenous'!$L$10:$L$11,MATCH($F191,'Indigenous'!$B$10:$B$11,0))),"N/A")</f>
        <v/>
      </c>
      <c r="AC191" s="50">
        <f>IFERROR(IF(INDEX('L&amp;R'!$L$10:$L$11,MATCH($F191,'L&amp;R'!$B$10:$B$11,0))="","Cell will autofill based on response",INDEX('L&amp;R'!$L$10:$L$11,MATCH($F191,'L&amp;R'!$B$10:$B$11,0))),"N/A")</f>
        <v/>
      </c>
      <c r="AE191" s="9">
        <f>SUMPRODUCT(--($H191:$AC191&lt;&gt;"N/A"))</f>
        <v/>
      </c>
      <c r="AF191" s="9">
        <f>SUMPRODUCT(--(((($H191:$AC191&lt;&gt;"N/A")*($H191:$AC191&lt;&gt;"Cell will autofill based on response"))+(($H192:$AC192&lt;&gt;"N/A")*($H192:$AC192&lt;&gt;"Cell will autofill based on response")))&gt;0))</f>
        <v/>
      </c>
      <c r="AG191" s="9">
        <f>AE191-AF191</f>
        <v/>
      </c>
      <c r="AH191" s="9">
        <f>COUNTIF($H195:$AC195,"Yes")</f>
        <v/>
      </c>
    </row>
    <row r="192" ht="39" customHeight="1">
      <c r="A192">
        <f>F192&amp;"|"&amp;G192</f>
        <v/>
      </c>
      <c r="B192" s="12" t="inlineStr"/>
      <c r="C192" s="7" t="inlineStr"/>
      <c r="D192" s="7" t="inlineStr"/>
      <c r="E192" s="7" t="inlineStr"/>
      <c r="F192" s="7" t="inlineStr">
        <is>
          <t>EN1(c)</t>
        </is>
      </c>
      <c r="G192" s="7" t="inlineStr">
        <is>
          <t>OPTION 2:  Indicator level reporting</t>
        </is>
      </c>
      <c r="H192" s="50">
        <f>IFERROR(IF(INDEX('Faculties'!$M$10:$M$18,MATCH($F192,'Faculties'!$B$10:$B$18,0))="","Cell will autofill based on response",INDEX('Faculties'!$M$10:$M$18,MATCH($F192,'Faculties'!$B$10:$B$18,0))),"N/A")</f>
        <v/>
      </c>
      <c r="I192" s="50">
        <f>IFERROR(IF(INDEX('Faculties'!$M$25:$M$34,MATCH($F192,'Faculties'!$B$25:$B$34,0))="","Cell will autofill based on response",INDEX('Faculties'!$M$25:$M$34,MATCH($F192,'Faculties'!$B$25:$B$34,0))),"N/A")</f>
        <v/>
      </c>
      <c r="J192" s="50">
        <f>IFERROR(IF(INDEX('Faculties'!$M$41:$M$50,MATCH($F192,'Faculties'!$B$41:$B$50,0))="","Cell will autofill based on response",INDEX('Faculties'!$M$41:$M$50,MATCH($F192,'Faculties'!$B$41:$B$50,0))),"N/A")</f>
        <v/>
      </c>
      <c r="K192" s="50">
        <f>IFERROR(IF(INDEX('Faculties'!$M$57:$M$66,MATCH($F192,'Faculties'!$B$57:$B$66,0))="","Cell will autofill based on response",INDEX('Faculties'!$M$57:$M$66,MATCH($F192,'Faculties'!$B$57:$B$66,0))),"N/A")</f>
        <v/>
      </c>
      <c r="L192" s="50">
        <f>IFERROR(IF(INDEX('Faculties'!$M$73:$M$82,MATCH($F192,'Faculties'!$B$73:$B$82,0))="","Cell will autofill based on response",INDEX('Faculties'!$M$73:$M$82,MATCH($F192,'Faculties'!$B$73:$B$82,0))),"N/A")</f>
        <v/>
      </c>
      <c r="M192" s="50">
        <f>IFERROR(IF(INDEX('Faculties'!$M$89:$M$98,MATCH($F192,'Faculties'!$B$89:$B$98,0))="","Cell will autofill based on response",INDEX('Faculties'!$M$89:$M$98,MATCH($F192,'Faculties'!$B$89:$B$98,0))),"N/A")</f>
        <v/>
      </c>
      <c r="N192" s="50">
        <f>IFERROR(IF(INDEX('Faculties'!$M$105:$M$114,MATCH($F192,'Faculties'!$B$105:$B$114,0))="","Cell will autofill based on response",INDEX('Faculties'!$M$105:$M$114,MATCH($F192,'Faculties'!$B$105:$B$114,0))),"N/A")</f>
        <v/>
      </c>
      <c r="O192" s="50">
        <f>IFERROR(IF(INDEX('Faculties'!$M$121:$M$130,MATCH($F192,'Faculties'!$B$121:$B$130,0))="","Cell will autofill based on response",INDEX('Faculties'!$M$121:$M$130,MATCH($F192,'Faculties'!$B$121:$B$130,0))),"N/A")</f>
        <v/>
      </c>
      <c r="P192" s="50">
        <f>IFERROR(IF(INDEX('Faculties'!$M$137:$M$146,MATCH($F192,'Faculties'!$B$137:$B$146,0))="","Cell will autofill based on response",INDEX('Faculties'!$M$137:$M$146,MATCH($F192,'Faculties'!$B$137:$B$146,0))),"N/A")</f>
        <v/>
      </c>
      <c r="Q192" s="50">
        <f>IFERROR(IF(INDEX('CI&amp;S'!$M$10:$M$15,MATCH($F192,'CI&amp;S'!$B$10:$B$15,0))="","Cell will autofill based on response",INDEX('CI&amp;S'!$M$10:$M$15,MATCH($F192,'CI&amp;S'!$B$10:$B$15,0))),"N/A")</f>
        <v/>
      </c>
      <c r="R192" s="50">
        <f>IFERROR(IF(INDEX('CI&amp;S'!$M$22:$M$36,MATCH($F192,'CI&amp;S'!$B$22:$B$36,0))="","Cell will autofill based on response",INDEX('CI&amp;S'!$M$22:$M$36,MATCH($F192,'CI&amp;S'!$B$22:$B$36,0))),"N/A")</f>
        <v/>
      </c>
      <c r="S192" s="50">
        <f>IFERROR(IF(INDEX('CFOG'!$M$10:$M$16,MATCH($F192,'CFOG'!$B$10:$B$16,0))="","Cell will autofill based on response",INDEX('CFOG'!$M$10:$M$16,MATCH($F192,'CFOG'!$B$10:$B$16,0))),"N/A")</f>
        <v/>
      </c>
      <c r="T192" s="50">
        <f>IFERROR(IF(INDEX('CFOG'!$M$23:$M$24,MATCH($F192,'CFOG'!$B$23:$B$24,0))="","Cell will autofill based on response",INDEX('CFOG'!$M$23:$M$24,MATCH($F192,'CFOG'!$B$23:$B$24,0))),"N/A")</f>
        <v/>
      </c>
      <c r="U192" s="50">
        <f>IFERROR(IF(INDEX('ESG'!$M$10:$M$17,MATCH($F192,'ESG'!$B$10:$B$17,0))="","Cell will autofill based on response",INDEX('ESG'!$M$10:$M$17,MATCH($F192,'ESG'!$B$10:$B$17,0))),"N/A")</f>
        <v/>
      </c>
      <c r="V192" s="50">
        <f>IFERROR(IF(INDEX('CIOG'!$M$10:$M$14,MATCH($F192,'CIOG'!$B$10:$B$14,0))="","Cell will autofill based on response",INDEX('CIOG'!$M$10:$M$14,MATCH($F192,'CIOG'!$B$10:$B$14,0))),"N/A")</f>
        <v/>
      </c>
      <c r="W192" s="50">
        <f>IFERROR(IF(INDEX('MRE'!$M$10:$M$18,MATCH($F192,'MRE'!$B$10:$B$18,0))="","Cell will autofill based on response",INDEX('MRE'!$M$10:$M$18,MATCH($F192,'MRE'!$B$10:$B$18,0))),"N/A")</f>
        <v/>
      </c>
      <c r="X192" s="50">
        <f>IFERROR(IF(INDEX('AC&amp;M'!$M$10:$M$14,MATCH($F192,'AC&amp;M'!$B$10:$B$14,0))="","Cell will autofill based on response",INDEX('AC&amp;M'!$M$10:$M$14,MATCH($F192,'AC&amp;M'!$B$10:$B$14,0))),"N/A")</f>
        <v/>
      </c>
      <c r="Y192" s="50">
        <f>IFERROR(IF(INDEX('GCE'!$M$10:$M$12,MATCH($F192,'GCE'!$B$10:$B$12,0))="","Cell will autofill based on response",INDEX('GCE'!$M$10:$M$12,MATCH($F192,'GCE'!$B$10:$B$12,0))),"N/A")</f>
        <v/>
      </c>
      <c r="Z192" s="50">
        <f>IFERROR(IF(INDEX('Education'!$M$10:$M$13,MATCH($F192,'Education'!$B$10:$B$13,0))="","Cell will autofill based on response",INDEX('Education'!$M$10:$M$13,MATCH($F192,'Education'!$B$10:$B$13,0))),"N/A")</f>
        <v/>
      </c>
      <c r="AA192" s="50">
        <f>IFERROR(IF(INDEX('SaSS'!$M$10:$M$12,MATCH($F192,'SaSS'!$B$10:$B$12,0))="","Cell will autofill based on response",INDEX('SaSS'!$M$10:$M$12,MATCH($F192,'SaSS'!$B$10:$B$12,0))),"N/A")</f>
        <v/>
      </c>
      <c r="AB192" s="50">
        <f>IFERROR(IF(INDEX('Indigenous'!$M$10:$M$11,MATCH($F192,'Indigenous'!$B$10:$B$11,0))="","Cell will autofill based on response",INDEX('Indigenous'!$M$10:$M$11,MATCH($F192,'Indigenous'!$B$10:$B$11,0))),"N/A")</f>
        <v/>
      </c>
      <c r="AC192" s="50">
        <f>IFERROR(IF(INDEX('L&amp;R'!$M$10:$M$11,MATCH($F192,'L&amp;R'!$B$10:$B$11,0))="","Cell will autofill based on response",INDEX('L&amp;R'!$M$10:$M$11,MATCH($F192,'L&amp;R'!$B$10:$B$11,0))),"N/A")</f>
        <v/>
      </c>
    </row>
    <row r="193" ht="22" customHeight="1">
      <c r="A193">
        <f>F193&amp;"|"&amp;G193</f>
        <v/>
      </c>
      <c r="B193" s="12" t="inlineStr"/>
      <c r="C193" s="7" t="inlineStr"/>
      <c r="D193" s="7" t="inlineStr"/>
      <c r="E193" s="7" t="inlineStr"/>
      <c r="F193" s="7" t="inlineStr">
        <is>
          <t>EN1(c)</t>
        </is>
      </c>
      <c r="G193" s="7" t="inlineStr">
        <is>
          <t>Supporting information/comments</t>
        </is>
      </c>
      <c r="H193" s="50">
        <f>IFERROR(IF(INDEX('Faculties'!$N$10:$N$18,MATCH($F193,'Faculties'!$B$10:$B$18,0))="","Cell will autofill based on response",INDEX('Faculties'!$N$10:$N$18,MATCH($F193,'Faculties'!$B$10:$B$18,0))),"N/A")</f>
        <v/>
      </c>
      <c r="I193" s="50">
        <f>IFERROR(IF(INDEX('Faculties'!$N$25:$N$34,MATCH($F193,'Faculties'!$B$25:$B$34,0))="","Cell will autofill based on response",INDEX('Faculties'!$N$25:$N$34,MATCH($F193,'Faculties'!$B$25:$B$34,0))),"N/A")</f>
        <v/>
      </c>
      <c r="J193" s="50">
        <f>IFERROR(IF(INDEX('Faculties'!$N$41:$N$50,MATCH($F193,'Faculties'!$B$41:$B$50,0))="","Cell will autofill based on response",INDEX('Faculties'!$N$41:$N$50,MATCH($F193,'Faculties'!$B$41:$B$50,0))),"N/A")</f>
        <v/>
      </c>
      <c r="K193" s="50">
        <f>IFERROR(IF(INDEX('Faculties'!$N$57:$N$66,MATCH($F193,'Faculties'!$B$57:$B$66,0))="","Cell will autofill based on response",INDEX('Faculties'!$N$57:$N$66,MATCH($F193,'Faculties'!$B$57:$B$66,0))),"N/A")</f>
        <v/>
      </c>
      <c r="L193" s="50">
        <f>IFERROR(IF(INDEX('Faculties'!$N$73:$N$82,MATCH($F193,'Faculties'!$B$73:$B$82,0))="","Cell will autofill based on response",INDEX('Faculties'!$N$73:$N$82,MATCH($F193,'Faculties'!$B$73:$B$82,0))),"N/A")</f>
        <v/>
      </c>
      <c r="M193" s="50">
        <f>IFERROR(IF(INDEX('Faculties'!$N$89:$N$98,MATCH($F193,'Faculties'!$B$89:$B$98,0))="","Cell will autofill based on response",INDEX('Faculties'!$N$89:$N$98,MATCH($F193,'Faculties'!$B$89:$B$98,0))),"N/A")</f>
        <v/>
      </c>
      <c r="N193" s="50">
        <f>IFERROR(IF(INDEX('Faculties'!$N$105:$N$114,MATCH($F193,'Faculties'!$B$105:$B$114,0))="","Cell will autofill based on response",INDEX('Faculties'!$N$105:$N$114,MATCH($F193,'Faculties'!$B$105:$B$114,0))),"N/A")</f>
        <v/>
      </c>
      <c r="O193" s="50">
        <f>IFERROR(IF(INDEX('Faculties'!$N$121:$N$130,MATCH($F193,'Faculties'!$B$121:$B$130,0))="","Cell will autofill based on response",INDEX('Faculties'!$N$121:$N$130,MATCH($F193,'Faculties'!$B$121:$B$130,0))),"N/A")</f>
        <v/>
      </c>
      <c r="P193" s="50">
        <f>IFERROR(IF(INDEX('Faculties'!$N$137:$N$146,MATCH($F193,'Faculties'!$B$137:$B$146,0))="","Cell will autofill based on response",INDEX('Faculties'!$N$137:$N$146,MATCH($F193,'Faculties'!$B$137:$B$146,0))),"N/A")</f>
        <v/>
      </c>
      <c r="Q193" s="50">
        <f>IFERROR(IF(INDEX('CI&amp;S'!$N$10:$N$15,MATCH($F193,'CI&amp;S'!$B$10:$B$15,0))="","Cell will autofill based on response",INDEX('CI&amp;S'!$N$10:$N$15,MATCH($F193,'CI&amp;S'!$B$10:$B$15,0))),"N/A")</f>
        <v/>
      </c>
      <c r="R193" s="50">
        <f>IFERROR(IF(INDEX('CI&amp;S'!$N$22:$N$36,MATCH($F193,'CI&amp;S'!$B$22:$B$36,0))="","Cell will autofill based on response",INDEX('CI&amp;S'!$N$22:$N$36,MATCH($F193,'CI&amp;S'!$B$22:$B$36,0))),"N/A")</f>
        <v/>
      </c>
      <c r="S193" s="50">
        <f>IFERROR(IF(INDEX('CFOG'!$N$10:$N$16,MATCH($F193,'CFOG'!$B$10:$B$16,0))="","Cell will autofill based on response",INDEX('CFOG'!$N$10:$N$16,MATCH($F193,'CFOG'!$B$10:$B$16,0))),"N/A")</f>
        <v/>
      </c>
      <c r="T193" s="50">
        <f>IFERROR(IF(INDEX('CFOG'!$N$23:$N$24,MATCH($F193,'CFOG'!$B$23:$B$24,0))="","Cell will autofill based on response",INDEX('CFOG'!$N$23:$N$24,MATCH($F193,'CFOG'!$B$23:$B$24,0))),"N/A")</f>
        <v/>
      </c>
      <c r="U193" s="50">
        <f>IFERROR(IF(INDEX('ESG'!$N$10:$N$17,MATCH($F193,'ESG'!$B$10:$B$17,0))="","Cell will autofill based on response",INDEX('ESG'!$N$10:$N$17,MATCH($F193,'ESG'!$B$10:$B$17,0))),"N/A")</f>
        <v/>
      </c>
      <c r="V193" s="50">
        <f>IFERROR(IF(INDEX('CIOG'!$N$10:$N$14,MATCH($F193,'CIOG'!$B$10:$B$14,0))="","Cell will autofill based on response",INDEX('CIOG'!$N$10:$N$14,MATCH($F193,'CIOG'!$B$10:$B$14,0))),"N/A")</f>
        <v/>
      </c>
      <c r="W193" s="50">
        <f>IFERROR(IF(INDEX('MRE'!$N$10:$N$18,MATCH($F193,'MRE'!$B$10:$B$18,0))="","Cell will autofill based on response",INDEX('MRE'!$N$10:$N$18,MATCH($F193,'MRE'!$B$10:$B$18,0))),"N/A")</f>
        <v/>
      </c>
      <c r="X193" s="50">
        <f>IFERROR(IF(INDEX('AC&amp;M'!$N$10:$N$14,MATCH($F193,'AC&amp;M'!$B$10:$B$14,0))="","Cell will autofill based on response",INDEX('AC&amp;M'!$N$10:$N$14,MATCH($F193,'AC&amp;M'!$B$10:$B$14,0))),"N/A")</f>
        <v/>
      </c>
      <c r="Y193" s="50">
        <f>IFERROR(IF(INDEX('GCE'!$N$10:$N$12,MATCH($F193,'GCE'!$B$10:$B$12,0))="","Cell will autofill based on response",INDEX('GCE'!$N$10:$N$12,MATCH($F193,'GCE'!$B$10:$B$12,0))),"N/A")</f>
        <v/>
      </c>
      <c r="Z193" s="50">
        <f>IFERROR(IF(INDEX('Education'!$N$10:$N$13,MATCH($F193,'Education'!$B$10:$B$13,0))="","Cell will autofill based on response",INDEX('Education'!$N$10:$N$13,MATCH($F193,'Education'!$B$10:$B$13,0))),"N/A")</f>
        <v/>
      </c>
      <c r="AA193" s="50">
        <f>IFERROR(IF(INDEX('SaSS'!$N$10:$N$12,MATCH($F193,'SaSS'!$B$10:$B$12,0))="","Cell will autofill based on response",INDEX('SaSS'!$N$10:$N$12,MATCH($F193,'SaSS'!$B$10:$B$12,0))),"N/A")</f>
        <v/>
      </c>
      <c r="AB193" s="50">
        <f>IFERROR(IF(INDEX('Indigenous'!$N$10:$N$11,MATCH($F193,'Indigenous'!$B$10:$B$11,0))="","Cell will autofill based on response",INDEX('Indigenous'!$N$10:$N$11,MATCH($F193,'Indigenous'!$B$10:$B$11,0))),"N/A")</f>
        <v/>
      </c>
      <c r="AC193" s="50">
        <f>IFERROR(IF(INDEX('L&amp;R'!$N$10:$N$11,MATCH($F193,'L&amp;R'!$B$10:$B$11,0))="","Cell will autofill based on response",INDEX('L&amp;R'!$N$10:$N$11,MATCH($F193,'L&amp;R'!$B$10:$B$11,0))),"N/A")</f>
        <v/>
      </c>
    </row>
    <row r="194" ht="22" customHeight="1">
      <c r="A194">
        <f>F194&amp;"|"&amp;G194</f>
        <v/>
      </c>
      <c r="B194" s="12" t="inlineStr"/>
      <c r="C194" s="7" t="inlineStr"/>
      <c r="D194" s="7" t="inlineStr"/>
      <c r="E194" s="7" t="inlineStr"/>
      <c r="F194" s="7" t="inlineStr">
        <is>
          <t>EN1(c)</t>
        </is>
      </c>
      <c r="G194" s="7" t="inlineStr">
        <is>
          <t>Data source and limitations</t>
        </is>
      </c>
      <c r="H194" s="50">
        <f>IFERROR(IF(INDEX('Faculties'!$O$10:$O$18,MATCH($F194,'Faculties'!$B$10:$B$18,0))="","Cell will autofill based on response",INDEX('Faculties'!$O$10:$O$18,MATCH($F194,'Faculties'!$B$10:$B$18,0))),"N/A")</f>
        <v/>
      </c>
      <c r="I194" s="50">
        <f>IFERROR(IF(INDEX('Faculties'!$O$25:$O$34,MATCH($F194,'Faculties'!$B$25:$B$34,0))="","Cell will autofill based on response",INDEX('Faculties'!$O$25:$O$34,MATCH($F194,'Faculties'!$B$25:$B$34,0))),"N/A")</f>
        <v/>
      </c>
      <c r="J194" s="50">
        <f>IFERROR(IF(INDEX('Faculties'!$O$41:$O$50,MATCH($F194,'Faculties'!$B$41:$B$50,0))="","Cell will autofill based on response",INDEX('Faculties'!$O$41:$O$50,MATCH($F194,'Faculties'!$B$41:$B$50,0))),"N/A")</f>
        <v/>
      </c>
      <c r="K194" s="50">
        <f>IFERROR(IF(INDEX('Faculties'!$O$57:$O$66,MATCH($F194,'Faculties'!$B$57:$B$66,0))="","Cell will autofill based on response",INDEX('Faculties'!$O$57:$O$66,MATCH($F194,'Faculties'!$B$57:$B$66,0))),"N/A")</f>
        <v/>
      </c>
      <c r="L194" s="50">
        <f>IFERROR(IF(INDEX('Faculties'!$O$73:$O$82,MATCH($F194,'Faculties'!$B$73:$B$82,0))="","Cell will autofill based on response",INDEX('Faculties'!$O$73:$O$82,MATCH($F194,'Faculties'!$B$73:$B$82,0))),"N/A")</f>
        <v/>
      </c>
      <c r="M194" s="50">
        <f>IFERROR(IF(INDEX('Faculties'!$O$89:$O$98,MATCH($F194,'Faculties'!$B$89:$B$98,0))="","Cell will autofill based on response",INDEX('Faculties'!$O$89:$O$98,MATCH($F194,'Faculties'!$B$89:$B$98,0))),"N/A")</f>
        <v/>
      </c>
      <c r="N194" s="50">
        <f>IFERROR(IF(INDEX('Faculties'!$O$105:$O$114,MATCH($F194,'Faculties'!$B$105:$B$114,0))="","Cell will autofill based on response",INDEX('Faculties'!$O$105:$O$114,MATCH($F194,'Faculties'!$B$105:$B$114,0))),"N/A")</f>
        <v/>
      </c>
      <c r="O194" s="50">
        <f>IFERROR(IF(INDEX('Faculties'!$O$121:$O$130,MATCH($F194,'Faculties'!$B$121:$B$130,0))="","Cell will autofill based on response",INDEX('Faculties'!$O$121:$O$130,MATCH($F194,'Faculties'!$B$121:$B$130,0))),"N/A")</f>
        <v/>
      </c>
      <c r="P194" s="50">
        <f>IFERROR(IF(INDEX('Faculties'!$O$137:$O$146,MATCH($F194,'Faculties'!$B$137:$B$146,0))="","Cell will autofill based on response",INDEX('Faculties'!$O$137:$O$146,MATCH($F194,'Faculties'!$B$137:$B$146,0))),"N/A")</f>
        <v/>
      </c>
      <c r="Q194" s="50">
        <f>IFERROR(IF(INDEX('CI&amp;S'!$O$10:$O$15,MATCH($F194,'CI&amp;S'!$B$10:$B$15,0))="","Cell will autofill based on response",INDEX('CI&amp;S'!$O$10:$O$15,MATCH($F194,'CI&amp;S'!$B$10:$B$15,0))),"N/A")</f>
        <v/>
      </c>
      <c r="R194" s="50">
        <f>IFERROR(IF(INDEX('CI&amp;S'!$O$22:$O$36,MATCH($F194,'CI&amp;S'!$B$22:$B$36,0))="","Cell will autofill based on response",INDEX('CI&amp;S'!$O$22:$O$36,MATCH($F194,'CI&amp;S'!$B$22:$B$36,0))),"N/A")</f>
        <v/>
      </c>
      <c r="S194" s="50">
        <f>IFERROR(IF(INDEX('CFOG'!$O$10:$O$16,MATCH($F194,'CFOG'!$B$10:$B$16,0))="","Cell will autofill based on response",INDEX('CFOG'!$O$10:$O$16,MATCH($F194,'CFOG'!$B$10:$B$16,0))),"N/A")</f>
        <v/>
      </c>
      <c r="T194" s="50">
        <f>IFERROR(IF(INDEX('CFOG'!$O$23:$O$24,MATCH($F194,'CFOG'!$B$23:$B$24,0))="","Cell will autofill based on response",INDEX('CFOG'!$O$23:$O$24,MATCH($F194,'CFOG'!$B$23:$B$24,0))),"N/A")</f>
        <v/>
      </c>
      <c r="U194" s="50">
        <f>IFERROR(IF(INDEX('ESG'!$O$10:$O$17,MATCH($F194,'ESG'!$B$10:$B$17,0))="","Cell will autofill based on response",INDEX('ESG'!$O$10:$O$17,MATCH($F194,'ESG'!$B$10:$B$17,0))),"N/A")</f>
        <v/>
      </c>
      <c r="V194" s="50">
        <f>IFERROR(IF(INDEX('CIOG'!$O$10:$O$14,MATCH($F194,'CIOG'!$B$10:$B$14,0))="","Cell will autofill based on response",INDEX('CIOG'!$O$10:$O$14,MATCH($F194,'CIOG'!$B$10:$B$14,0))),"N/A")</f>
        <v/>
      </c>
      <c r="W194" s="50">
        <f>IFERROR(IF(INDEX('MRE'!$O$10:$O$18,MATCH($F194,'MRE'!$B$10:$B$18,0))="","Cell will autofill based on response",INDEX('MRE'!$O$10:$O$18,MATCH($F194,'MRE'!$B$10:$B$18,0))),"N/A")</f>
        <v/>
      </c>
      <c r="X194" s="50">
        <f>IFERROR(IF(INDEX('AC&amp;M'!$O$10:$O$14,MATCH($F194,'AC&amp;M'!$B$10:$B$14,0))="","Cell will autofill based on response",INDEX('AC&amp;M'!$O$10:$O$14,MATCH($F194,'AC&amp;M'!$B$10:$B$14,0))),"N/A")</f>
        <v/>
      </c>
      <c r="Y194" s="50">
        <f>IFERROR(IF(INDEX('GCE'!$O$10:$O$12,MATCH($F194,'GCE'!$B$10:$B$12,0))="","Cell will autofill based on response",INDEX('GCE'!$O$10:$O$12,MATCH($F194,'GCE'!$B$10:$B$12,0))),"N/A")</f>
        <v/>
      </c>
      <c r="Z194" s="50">
        <f>IFERROR(IF(INDEX('Education'!$O$10:$O$13,MATCH($F194,'Education'!$B$10:$B$13,0))="","Cell will autofill based on response",INDEX('Education'!$O$10:$O$13,MATCH($F194,'Education'!$B$10:$B$13,0))),"N/A")</f>
        <v/>
      </c>
      <c r="AA194" s="50">
        <f>IFERROR(IF(INDEX('SaSS'!$O$10:$O$12,MATCH($F194,'SaSS'!$B$10:$B$12,0))="","Cell will autofill based on response",INDEX('SaSS'!$O$10:$O$12,MATCH($F194,'SaSS'!$B$10:$B$12,0))),"N/A")</f>
        <v/>
      </c>
      <c r="AB194" s="50">
        <f>IFERROR(IF(INDEX('Indigenous'!$O$10:$O$11,MATCH($F194,'Indigenous'!$B$10:$B$11,0))="","Cell will autofill based on response",INDEX('Indigenous'!$O$10:$O$11,MATCH($F194,'Indigenous'!$B$10:$B$11,0))),"N/A")</f>
        <v/>
      </c>
      <c r="AC194" s="50">
        <f>IFERROR(IF(INDEX('L&amp;R'!$O$10:$O$11,MATCH($F194,'L&amp;R'!$B$10:$B$11,0))="","Cell will autofill based on response",INDEX('L&amp;R'!$O$10:$O$11,MATCH($F194,'L&amp;R'!$B$10:$B$11,0))),"N/A")</f>
        <v/>
      </c>
    </row>
    <row r="195" ht="22" customHeight="1">
      <c r="A195">
        <f>F195&amp;"|"&amp;G195</f>
        <v/>
      </c>
      <c r="B195" s="12" t="inlineStr"/>
      <c r="C195" s="7" t="inlineStr"/>
      <c r="D195" s="7" t="inlineStr"/>
      <c r="E195" s="7" t="inlineStr"/>
      <c r="F195" s="7" t="inlineStr">
        <is>
          <t>EN1(c)</t>
        </is>
      </c>
      <c r="G195" s="7" t="inlineStr">
        <is>
          <t>Data owner confirms</t>
        </is>
      </c>
      <c r="H195" s="50">
        <f>IFERROR(IF(INDEX('Faculties'!$P$10:$P$18,MATCH($F195,'Faculties'!$B$10:$B$18,0))="","Cell will autofill based on response",INDEX('Faculties'!$P$10:$P$18,MATCH($F195,'Faculties'!$B$10:$B$18,0))),"N/A")</f>
        <v/>
      </c>
      <c r="I195" s="50">
        <f>IFERROR(IF(INDEX('Faculties'!$P$25:$P$34,MATCH($F195,'Faculties'!$B$25:$B$34,0))="","Cell will autofill based on response",INDEX('Faculties'!$P$25:$P$34,MATCH($F195,'Faculties'!$B$25:$B$34,0))),"N/A")</f>
        <v/>
      </c>
      <c r="J195" s="50">
        <f>IFERROR(IF(INDEX('Faculties'!$P$41:$P$50,MATCH($F195,'Faculties'!$B$41:$B$50,0))="","Cell will autofill based on response",INDEX('Faculties'!$P$41:$P$50,MATCH($F195,'Faculties'!$B$41:$B$50,0))),"N/A")</f>
        <v/>
      </c>
      <c r="K195" s="50">
        <f>IFERROR(IF(INDEX('Faculties'!$P$57:$P$66,MATCH($F195,'Faculties'!$B$57:$B$66,0))="","Cell will autofill based on response",INDEX('Faculties'!$P$57:$P$66,MATCH($F195,'Faculties'!$B$57:$B$66,0))),"N/A")</f>
        <v/>
      </c>
      <c r="L195" s="50">
        <f>IFERROR(IF(INDEX('Faculties'!$P$73:$P$82,MATCH($F195,'Faculties'!$B$73:$B$82,0))="","Cell will autofill based on response",INDEX('Faculties'!$P$73:$P$82,MATCH($F195,'Faculties'!$B$73:$B$82,0))),"N/A")</f>
        <v/>
      </c>
      <c r="M195" s="50">
        <f>IFERROR(IF(INDEX('Faculties'!$P$89:$P$98,MATCH($F195,'Faculties'!$B$89:$B$98,0))="","Cell will autofill based on response",INDEX('Faculties'!$P$89:$P$98,MATCH($F195,'Faculties'!$B$89:$B$98,0))),"N/A")</f>
        <v/>
      </c>
      <c r="N195" s="50">
        <f>IFERROR(IF(INDEX('Faculties'!$P$105:$P$114,MATCH($F195,'Faculties'!$B$105:$B$114,0))="","Cell will autofill based on response",INDEX('Faculties'!$P$105:$P$114,MATCH($F195,'Faculties'!$B$105:$B$114,0))),"N/A")</f>
        <v/>
      </c>
      <c r="O195" s="50">
        <f>IFERROR(IF(INDEX('Faculties'!$P$121:$P$130,MATCH($F195,'Faculties'!$B$121:$B$130,0))="","Cell will autofill based on response",INDEX('Faculties'!$P$121:$P$130,MATCH($F195,'Faculties'!$B$121:$B$130,0))),"N/A")</f>
        <v/>
      </c>
      <c r="P195" s="50">
        <f>IFERROR(IF(INDEX('Faculties'!$P$137:$P$146,MATCH($F195,'Faculties'!$B$137:$B$146,0))="","Cell will autofill based on response",INDEX('Faculties'!$P$137:$P$146,MATCH($F195,'Faculties'!$B$137:$B$146,0))),"N/A")</f>
        <v/>
      </c>
      <c r="Q195" s="50">
        <f>IFERROR(IF(INDEX('CI&amp;S'!$P$10:$P$15,MATCH($F195,'CI&amp;S'!$B$10:$B$15,0))="","Cell will autofill based on response",INDEX('CI&amp;S'!$P$10:$P$15,MATCH($F195,'CI&amp;S'!$B$10:$B$15,0))),"N/A")</f>
        <v/>
      </c>
      <c r="R195" s="50">
        <f>IFERROR(IF(INDEX('CI&amp;S'!$P$22:$P$36,MATCH($F195,'CI&amp;S'!$B$22:$B$36,0))="","Cell will autofill based on response",INDEX('CI&amp;S'!$P$22:$P$36,MATCH($F195,'CI&amp;S'!$B$22:$B$36,0))),"N/A")</f>
        <v/>
      </c>
      <c r="S195" s="50">
        <f>IFERROR(IF(INDEX('CFOG'!$P$10:$P$16,MATCH($F195,'CFOG'!$B$10:$B$16,0))="","Cell will autofill based on response",INDEX('CFOG'!$P$10:$P$16,MATCH($F195,'CFOG'!$B$10:$B$16,0))),"N/A")</f>
        <v/>
      </c>
      <c r="T195" s="50">
        <f>IFERROR(IF(INDEX('CFOG'!$P$23:$P$24,MATCH($F195,'CFOG'!$B$23:$B$24,0))="","Cell will autofill based on response",INDEX('CFOG'!$P$23:$P$24,MATCH($F195,'CFOG'!$B$23:$B$24,0))),"N/A")</f>
        <v/>
      </c>
      <c r="U195" s="50">
        <f>IFERROR(IF(INDEX('ESG'!$P$10:$P$17,MATCH($F195,'ESG'!$B$10:$B$17,0))="","Cell will autofill based on response",INDEX('ESG'!$P$10:$P$17,MATCH($F195,'ESG'!$B$10:$B$17,0))),"N/A")</f>
        <v/>
      </c>
      <c r="V195" s="50">
        <f>IFERROR(IF(INDEX('CIOG'!$P$10:$P$14,MATCH($F195,'CIOG'!$B$10:$B$14,0))="","Cell will autofill based on response",INDEX('CIOG'!$P$10:$P$14,MATCH($F195,'CIOG'!$B$10:$B$14,0))),"N/A")</f>
        <v/>
      </c>
      <c r="W195" s="50">
        <f>IFERROR(IF(INDEX('MRE'!$P$10:$P$18,MATCH($F195,'MRE'!$B$10:$B$18,0))="","Cell will autofill based on response",INDEX('MRE'!$P$10:$P$18,MATCH($F195,'MRE'!$B$10:$B$18,0))),"N/A")</f>
        <v/>
      </c>
      <c r="X195" s="50">
        <f>IFERROR(IF(INDEX('AC&amp;M'!$P$10:$P$14,MATCH($F195,'AC&amp;M'!$B$10:$B$14,0))="","Cell will autofill based on response",INDEX('AC&amp;M'!$P$10:$P$14,MATCH($F195,'AC&amp;M'!$B$10:$B$14,0))),"N/A")</f>
        <v/>
      </c>
      <c r="Y195" s="50">
        <f>IFERROR(IF(INDEX('GCE'!$P$10:$P$12,MATCH($F195,'GCE'!$B$10:$B$12,0))="","Cell will autofill based on response",INDEX('GCE'!$P$10:$P$12,MATCH($F195,'GCE'!$B$10:$B$12,0))),"N/A")</f>
        <v/>
      </c>
      <c r="Z195" s="50">
        <f>IFERROR(IF(INDEX('Education'!$P$10:$P$13,MATCH($F195,'Education'!$B$10:$B$13,0))="","Cell will autofill based on response",INDEX('Education'!$P$10:$P$13,MATCH($F195,'Education'!$B$10:$B$13,0))),"N/A")</f>
        <v/>
      </c>
      <c r="AA195" s="50">
        <f>IFERROR(IF(INDEX('SaSS'!$P$10:$P$12,MATCH($F195,'SaSS'!$B$10:$B$12,0))="","Cell will autofill based on response",INDEX('SaSS'!$P$10:$P$12,MATCH($F195,'SaSS'!$B$10:$B$12,0))),"N/A")</f>
        <v/>
      </c>
      <c r="AB195" s="50">
        <f>IFERROR(IF(INDEX('Indigenous'!$P$10:$P$11,MATCH($F195,'Indigenous'!$B$10:$B$11,0))="","Cell will autofill based on response",INDEX('Indigenous'!$P$10:$P$11,MATCH($F195,'Indigenous'!$B$10:$B$11,0))),"N/A")</f>
        <v/>
      </c>
      <c r="AC195" s="50">
        <f>IFERROR(IF(INDEX('L&amp;R'!$P$10:$P$11,MATCH($F195,'L&amp;R'!$B$10:$B$11,0))="","Cell will autofill based on response",INDEX('L&amp;R'!$P$10:$P$11,MATCH($F195,'L&amp;R'!$B$10:$B$11,0))),"N/A")</f>
        <v/>
      </c>
    </row>
    <row r="196" ht="138" customHeight="1">
      <c r="A196">
        <f>F196&amp;"|"&amp;G196</f>
        <v/>
      </c>
      <c r="B196" s="6" t="inlineStr">
        <is>
          <t>EN1(d)</t>
        </is>
      </c>
      <c r="C196" s="48" t="inlineStr">
        <is>
          <t>Enablers</t>
        </is>
      </c>
      <c r="D196" s="48" t="inlineStr">
        <is>
          <t>Sustainability objectives integrated into governance and decision‑making processes, supported by transparent reporting.</t>
        </is>
      </c>
      <c r="E196" s="4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F196" s="48" t="inlineStr">
        <is>
          <t>EN1(d)</t>
        </is>
      </c>
      <c r="G196" s="48" t="inlineStr">
        <is>
          <t>OPTION 1:  Target-level reporting</t>
        </is>
      </c>
      <c r="H196" s="50">
        <f>IFERROR(IF(INDEX('Faculties'!$L$10:$L$18,MATCH($F196,'Faculties'!$B$10:$B$18,0))="","Cell will autofill based on response",INDEX('Faculties'!$L$10:$L$18,MATCH($F196,'Faculties'!$B$10:$B$18,0))),"N/A")</f>
        <v/>
      </c>
      <c r="I196" s="50">
        <f>IFERROR(IF(INDEX('Faculties'!$L$25:$L$34,MATCH($F196,'Faculties'!$B$25:$B$34,0))="","Cell will autofill based on response",INDEX('Faculties'!$L$25:$L$34,MATCH($F196,'Faculties'!$B$25:$B$34,0))),"N/A")</f>
        <v/>
      </c>
      <c r="J196" s="50">
        <f>IFERROR(IF(INDEX('Faculties'!$L$41:$L$50,MATCH($F196,'Faculties'!$B$41:$B$50,0))="","Cell will autofill based on response",INDEX('Faculties'!$L$41:$L$50,MATCH($F196,'Faculties'!$B$41:$B$50,0))),"N/A")</f>
        <v/>
      </c>
      <c r="K196" s="50">
        <f>IFERROR(IF(INDEX('Faculties'!$L$57:$L$66,MATCH($F196,'Faculties'!$B$57:$B$66,0))="","Cell will autofill based on response",INDEX('Faculties'!$L$57:$L$66,MATCH($F196,'Faculties'!$B$57:$B$66,0))),"N/A")</f>
        <v/>
      </c>
      <c r="L196" s="50">
        <f>IFERROR(IF(INDEX('Faculties'!$L$73:$L$82,MATCH($F196,'Faculties'!$B$73:$B$82,0))="","Cell will autofill based on response",INDEX('Faculties'!$L$73:$L$82,MATCH($F196,'Faculties'!$B$73:$B$82,0))),"N/A")</f>
        <v/>
      </c>
      <c r="M196" s="50">
        <f>IFERROR(IF(INDEX('Faculties'!$L$89:$L$98,MATCH($F196,'Faculties'!$B$89:$B$98,0))="","Cell will autofill based on response",INDEX('Faculties'!$L$89:$L$98,MATCH($F196,'Faculties'!$B$89:$B$98,0))),"N/A")</f>
        <v/>
      </c>
      <c r="N196" s="50">
        <f>IFERROR(IF(INDEX('Faculties'!$L$105:$L$114,MATCH($F196,'Faculties'!$B$105:$B$114,0))="","Cell will autofill based on response",INDEX('Faculties'!$L$105:$L$114,MATCH($F196,'Faculties'!$B$105:$B$114,0))),"N/A")</f>
        <v/>
      </c>
      <c r="O196" s="50">
        <f>IFERROR(IF(INDEX('Faculties'!$L$121:$L$130,MATCH($F196,'Faculties'!$B$121:$B$130,0))="","Cell will autofill based on response",INDEX('Faculties'!$L$121:$L$130,MATCH($F196,'Faculties'!$B$121:$B$130,0))),"N/A")</f>
        <v/>
      </c>
      <c r="P196" s="50">
        <f>IFERROR(IF(INDEX('Faculties'!$L$137:$L$146,MATCH($F196,'Faculties'!$B$137:$B$146,0))="","Cell will autofill based on response",INDEX('Faculties'!$L$137:$L$146,MATCH($F196,'Faculties'!$B$137:$B$146,0))),"N/A")</f>
        <v/>
      </c>
      <c r="Q196" s="50">
        <f>IFERROR(IF(INDEX('CI&amp;S'!$L$10:$L$15,MATCH($F196,'CI&amp;S'!$B$10:$B$15,0))="","Cell will autofill based on response",INDEX('CI&amp;S'!$L$10:$L$15,MATCH($F196,'CI&amp;S'!$B$10:$B$15,0))),"N/A")</f>
        <v/>
      </c>
      <c r="R196" s="50">
        <f>IFERROR(IF(INDEX('CI&amp;S'!$L$22:$L$36,MATCH($F196,'CI&amp;S'!$B$22:$B$36,0))="","Cell will autofill based on response",INDEX('CI&amp;S'!$L$22:$L$36,MATCH($F196,'CI&amp;S'!$B$22:$B$36,0))),"N/A")</f>
        <v/>
      </c>
      <c r="S196" s="50">
        <f>IFERROR(IF(INDEX('CFOG'!$L$10:$L$16,MATCH($F196,'CFOG'!$B$10:$B$16,0))="","Cell will autofill based on response",INDEX('CFOG'!$L$10:$L$16,MATCH($F196,'CFOG'!$B$10:$B$16,0))),"N/A")</f>
        <v/>
      </c>
      <c r="T196" s="50">
        <f>IFERROR(IF(INDEX('CFOG'!$L$23:$L$24,MATCH($F196,'CFOG'!$B$23:$B$24,0))="","Cell will autofill based on response",INDEX('CFOG'!$L$23:$L$24,MATCH($F196,'CFOG'!$B$23:$B$24,0))),"N/A")</f>
        <v/>
      </c>
      <c r="U196" s="50">
        <f>IFERROR(IF(INDEX('ESG'!$L$10:$L$17,MATCH($F196,'ESG'!$B$10:$B$17,0))="","Cell will autofill based on response",INDEX('ESG'!$L$10:$L$17,MATCH($F196,'ESG'!$B$10:$B$17,0))),"N/A")</f>
        <v/>
      </c>
      <c r="V196" s="50">
        <f>IFERROR(IF(INDEX('CIOG'!$L$10:$L$14,MATCH($F196,'CIOG'!$B$10:$B$14,0))="","Cell will autofill based on response",INDEX('CIOG'!$L$10:$L$14,MATCH($F196,'CIOG'!$B$10:$B$14,0))),"N/A")</f>
        <v/>
      </c>
      <c r="W196" s="50">
        <f>IFERROR(IF(INDEX('MRE'!$L$10:$L$18,MATCH($F196,'MRE'!$B$10:$B$18,0))="","Cell will autofill based on response",INDEX('MRE'!$L$10:$L$18,MATCH($F196,'MRE'!$B$10:$B$18,0))),"N/A")</f>
        <v/>
      </c>
      <c r="X196" s="50">
        <f>IFERROR(IF(INDEX('AC&amp;M'!$L$10:$L$14,MATCH($F196,'AC&amp;M'!$B$10:$B$14,0))="","Cell will autofill based on response",INDEX('AC&amp;M'!$L$10:$L$14,MATCH($F196,'AC&amp;M'!$B$10:$B$14,0))),"N/A")</f>
        <v/>
      </c>
      <c r="Y196" s="50">
        <f>IFERROR(IF(INDEX('GCE'!$L$10:$L$12,MATCH($F196,'GCE'!$B$10:$B$12,0))="","Cell will autofill based on response",INDEX('GCE'!$L$10:$L$12,MATCH($F196,'GCE'!$B$10:$B$12,0))),"N/A")</f>
        <v/>
      </c>
      <c r="Z196" s="50">
        <f>IFERROR(IF(INDEX('Education'!$L$10:$L$13,MATCH($F196,'Education'!$B$10:$B$13,0))="","Cell will autofill based on response",INDEX('Education'!$L$10:$L$13,MATCH($F196,'Education'!$B$10:$B$13,0))),"N/A")</f>
        <v/>
      </c>
      <c r="AA196" s="50">
        <f>IFERROR(IF(INDEX('SaSS'!$L$10:$L$12,MATCH($F196,'SaSS'!$B$10:$B$12,0))="","Cell will autofill based on response",INDEX('SaSS'!$L$10:$L$12,MATCH($F196,'SaSS'!$B$10:$B$12,0))),"N/A")</f>
        <v/>
      </c>
      <c r="AB196" s="50">
        <f>IFERROR(IF(INDEX('Indigenous'!$L$10:$L$11,MATCH($F196,'Indigenous'!$B$10:$B$11,0))="","Cell will autofill based on response",INDEX('Indigenous'!$L$10:$L$11,MATCH($F196,'Indigenous'!$B$10:$B$11,0))),"N/A")</f>
        <v/>
      </c>
      <c r="AC196" s="50">
        <f>IFERROR(IF(INDEX('L&amp;R'!$L$10:$L$11,MATCH($F196,'L&amp;R'!$B$10:$B$11,0))="","Cell will autofill based on response",INDEX('L&amp;R'!$L$10:$L$11,MATCH($F196,'L&amp;R'!$B$10:$B$11,0))),"N/A")</f>
        <v/>
      </c>
      <c r="AE196" s="9">
        <f>SUMPRODUCT(--($H196:$AC196&lt;&gt;"N/A"))</f>
        <v/>
      </c>
      <c r="AF196" s="9">
        <f>SUMPRODUCT(--(((($H196:$AC196&lt;&gt;"N/A")*($H196:$AC196&lt;&gt;"Cell will autofill based on response"))+(($H197:$AC197&lt;&gt;"N/A")*($H197:$AC197&lt;&gt;"Cell will autofill based on response")))&gt;0))</f>
        <v/>
      </c>
      <c r="AG196" s="9">
        <f>AE196-AF196</f>
        <v/>
      </c>
      <c r="AH196" s="9">
        <f>COUNTIF($H200:$AC200,"Yes")</f>
        <v/>
      </c>
    </row>
    <row r="197" ht="39" customHeight="1">
      <c r="A197">
        <f>F197&amp;"|"&amp;G197</f>
        <v/>
      </c>
      <c r="B197" s="12" t="inlineStr"/>
      <c r="C197" s="7" t="inlineStr"/>
      <c r="D197" s="7" t="inlineStr"/>
      <c r="E197" s="7" t="inlineStr"/>
      <c r="F197" s="7" t="inlineStr">
        <is>
          <t>EN1(d)</t>
        </is>
      </c>
      <c r="G197" s="7" t="inlineStr">
        <is>
          <t>OPTION 2:  Indicator level reporting</t>
        </is>
      </c>
      <c r="H197" s="50">
        <f>IFERROR(IF(INDEX('Faculties'!$M$10:$M$18,MATCH($F197,'Faculties'!$B$10:$B$18,0))="","Cell will autofill based on response",INDEX('Faculties'!$M$10:$M$18,MATCH($F197,'Faculties'!$B$10:$B$18,0))),"N/A")</f>
        <v/>
      </c>
      <c r="I197" s="50">
        <f>IFERROR(IF(INDEX('Faculties'!$M$25:$M$34,MATCH($F197,'Faculties'!$B$25:$B$34,0))="","Cell will autofill based on response",INDEX('Faculties'!$M$25:$M$34,MATCH($F197,'Faculties'!$B$25:$B$34,0))),"N/A")</f>
        <v/>
      </c>
      <c r="J197" s="50">
        <f>IFERROR(IF(INDEX('Faculties'!$M$41:$M$50,MATCH($F197,'Faculties'!$B$41:$B$50,0))="","Cell will autofill based on response",INDEX('Faculties'!$M$41:$M$50,MATCH($F197,'Faculties'!$B$41:$B$50,0))),"N/A")</f>
        <v/>
      </c>
      <c r="K197" s="50">
        <f>IFERROR(IF(INDEX('Faculties'!$M$57:$M$66,MATCH($F197,'Faculties'!$B$57:$B$66,0))="","Cell will autofill based on response",INDEX('Faculties'!$M$57:$M$66,MATCH($F197,'Faculties'!$B$57:$B$66,0))),"N/A")</f>
        <v/>
      </c>
      <c r="L197" s="50">
        <f>IFERROR(IF(INDEX('Faculties'!$M$73:$M$82,MATCH($F197,'Faculties'!$B$73:$B$82,0))="","Cell will autofill based on response",INDEX('Faculties'!$M$73:$M$82,MATCH($F197,'Faculties'!$B$73:$B$82,0))),"N/A")</f>
        <v/>
      </c>
      <c r="M197" s="50">
        <f>IFERROR(IF(INDEX('Faculties'!$M$89:$M$98,MATCH($F197,'Faculties'!$B$89:$B$98,0))="","Cell will autofill based on response",INDEX('Faculties'!$M$89:$M$98,MATCH($F197,'Faculties'!$B$89:$B$98,0))),"N/A")</f>
        <v/>
      </c>
      <c r="N197" s="50">
        <f>IFERROR(IF(INDEX('Faculties'!$M$105:$M$114,MATCH($F197,'Faculties'!$B$105:$B$114,0))="","Cell will autofill based on response",INDEX('Faculties'!$M$105:$M$114,MATCH($F197,'Faculties'!$B$105:$B$114,0))),"N/A")</f>
        <v/>
      </c>
      <c r="O197" s="50">
        <f>IFERROR(IF(INDEX('Faculties'!$M$121:$M$130,MATCH($F197,'Faculties'!$B$121:$B$130,0))="","Cell will autofill based on response",INDEX('Faculties'!$M$121:$M$130,MATCH($F197,'Faculties'!$B$121:$B$130,0))),"N/A")</f>
        <v/>
      </c>
      <c r="P197" s="50">
        <f>IFERROR(IF(INDEX('Faculties'!$M$137:$M$146,MATCH($F197,'Faculties'!$B$137:$B$146,0))="","Cell will autofill based on response",INDEX('Faculties'!$M$137:$M$146,MATCH($F197,'Faculties'!$B$137:$B$146,0))),"N/A")</f>
        <v/>
      </c>
      <c r="Q197" s="50">
        <f>IFERROR(IF(INDEX('CI&amp;S'!$M$10:$M$15,MATCH($F197,'CI&amp;S'!$B$10:$B$15,0))="","Cell will autofill based on response",INDEX('CI&amp;S'!$M$10:$M$15,MATCH($F197,'CI&amp;S'!$B$10:$B$15,0))),"N/A")</f>
        <v/>
      </c>
      <c r="R197" s="50">
        <f>IFERROR(IF(INDEX('CI&amp;S'!$M$22:$M$36,MATCH($F197,'CI&amp;S'!$B$22:$B$36,0))="","Cell will autofill based on response",INDEX('CI&amp;S'!$M$22:$M$36,MATCH($F197,'CI&amp;S'!$B$22:$B$36,0))),"N/A")</f>
        <v/>
      </c>
      <c r="S197" s="50">
        <f>IFERROR(IF(INDEX('CFOG'!$M$10:$M$16,MATCH($F197,'CFOG'!$B$10:$B$16,0))="","Cell will autofill based on response",INDEX('CFOG'!$M$10:$M$16,MATCH($F197,'CFOG'!$B$10:$B$16,0))),"N/A")</f>
        <v/>
      </c>
      <c r="T197" s="50">
        <f>IFERROR(IF(INDEX('CFOG'!$M$23:$M$24,MATCH($F197,'CFOG'!$B$23:$B$24,0))="","Cell will autofill based on response",INDEX('CFOG'!$M$23:$M$24,MATCH($F197,'CFOG'!$B$23:$B$24,0))),"N/A")</f>
        <v/>
      </c>
      <c r="U197" s="50">
        <f>IFERROR(IF(INDEX('ESG'!$M$10:$M$17,MATCH($F197,'ESG'!$B$10:$B$17,0))="","Cell will autofill based on response",INDEX('ESG'!$M$10:$M$17,MATCH($F197,'ESG'!$B$10:$B$17,0))),"N/A")</f>
        <v/>
      </c>
      <c r="V197" s="50">
        <f>IFERROR(IF(INDEX('CIOG'!$M$10:$M$14,MATCH($F197,'CIOG'!$B$10:$B$14,0))="","Cell will autofill based on response",INDEX('CIOG'!$M$10:$M$14,MATCH($F197,'CIOG'!$B$10:$B$14,0))),"N/A")</f>
        <v/>
      </c>
      <c r="W197" s="50">
        <f>IFERROR(IF(INDEX('MRE'!$M$10:$M$18,MATCH($F197,'MRE'!$B$10:$B$18,0))="","Cell will autofill based on response",INDEX('MRE'!$M$10:$M$18,MATCH($F197,'MRE'!$B$10:$B$18,0))),"N/A")</f>
        <v/>
      </c>
      <c r="X197" s="50">
        <f>IFERROR(IF(INDEX('AC&amp;M'!$M$10:$M$14,MATCH($F197,'AC&amp;M'!$B$10:$B$14,0))="","Cell will autofill based on response",INDEX('AC&amp;M'!$M$10:$M$14,MATCH($F197,'AC&amp;M'!$B$10:$B$14,0))),"N/A")</f>
        <v/>
      </c>
      <c r="Y197" s="50">
        <f>IFERROR(IF(INDEX('GCE'!$M$10:$M$12,MATCH($F197,'GCE'!$B$10:$B$12,0))="","Cell will autofill based on response",INDEX('GCE'!$M$10:$M$12,MATCH($F197,'GCE'!$B$10:$B$12,0))),"N/A")</f>
        <v/>
      </c>
      <c r="Z197" s="50">
        <f>IFERROR(IF(INDEX('Education'!$M$10:$M$13,MATCH($F197,'Education'!$B$10:$B$13,0))="","Cell will autofill based on response",INDEX('Education'!$M$10:$M$13,MATCH($F197,'Education'!$B$10:$B$13,0))),"N/A")</f>
        <v/>
      </c>
      <c r="AA197" s="50">
        <f>IFERROR(IF(INDEX('SaSS'!$M$10:$M$12,MATCH($F197,'SaSS'!$B$10:$B$12,0))="","Cell will autofill based on response",INDEX('SaSS'!$M$10:$M$12,MATCH($F197,'SaSS'!$B$10:$B$12,0))),"N/A")</f>
        <v/>
      </c>
      <c r="AB197" s="50">
        <f>IFERROR(IF(INDEX('Indigenous'!$M$10:$M$11,MATCH($F197,'Indigenous'!$B$10:$B$11,0))="","Cell will autofill based on response",INDEX('Indigenous'!$M$10:$M$11,MATCH($F197,'Indigenous'!$B$10:$B$11,0))),"N/A")</f>
        <v/>
      </c>
      <c r="AC197" s="50">
        <f>IFERROR(IF(INDEX('L&amp;R'!$M$10:$M$11,MATCH($F197,'L&amp;R'!$B$10:$B$11,0))="","Cell will autofill based on response",INDEX('L&amp;R'!$M$10:$M$11,MATCH($F197,'L&amp;R'!$B$10:$B$11,0))),"N/A")</f>
        <v/>
      </c>
    </row>
    <row r="198" ht="22" customHeight="1">
      <c r="A198">
        <f>F198&amp;"|"&amp;G198</f>
        <v/>
      </c>
      <c r="B198" s="12" t="inlineStr"/>
      <c r="C198" s="7" t="inlineStr"/>
      <c r="D198" s="7" t="inlineStr"/>
      <c r="E198" s="7" t="inlineStr"/>
      <c r="F198" s="7" t="inlineStr">
        <is>
          <t>EN1(d)</t>
        </is>
      </c>
      <c r="G198" s="7" t="inlineStr">
        <is>
          <t>Supporting information/comments</t>
        </is>
      </c>
      <c r="H198" s="50">
        <f>IFERROR(IF(INDEX('Faculties'!$N$10:$N$18,MATCH($F198,'Faculties'!$B$10:$B$18,0))="","Cell will autofill based on response",INDEX('Faculties'!$N$10:$N$18,MATCH($F198,'Faculties'!$B$10:$B$18,0))),"N/A")</f>
        <v/>
      </c>
      <c r="I198" s="50">
        <f>IFERROR(IF(INDEX('Faculties'!$N$25:$N$34,MATCH($F198,'Faculties'!$B$25:$B$34,0))="","Cell will autofill based on response",INDEX('Faculties'!$N$25:$N$34,MATCH($F198,'Faculties'!$B$25:$B$34,0))),"N/A")</f>
        <v/>
      </c>
      <c r="J198" s="50">
        <f>IFERROR(IF(INDEX('Faculties'!$N$41:$N$50,MATCH($F198,'Faculties'!$B$41:$B$50,0))="","Cell will autofill based on response",INDEX('Faculties'!$N$41:$N$50,MATCH($F198,'Faculties'!$B$41:$B$50,0))),"N/A")</f>
        <v/>
      </c>
      <c r="K198" s="50">
        <f>IFERROR(IF(INDEX('Faculties'!$N$57:$N$66,MATCH($F198,'Faculties'!$B$57:$B$66,0))="","Cell will autofill based on response",INDEX('Faculties'!$N$57:$N$66,MATCH($F198,'Faculties'!$B$57:$B$66,0))),"N/A")</f>
        <v/>
      </c>
      <c r="L198" s="50">
        <f>IFERROR(IF(INDEX('Faculties'!$N$73:$N$82,MATCH($F198,'Faculties'!$B$73:$B$82,0))="","Cell will autofill based on response",INDEX('Faculties'!$N$73:$N$82,MATCH($F198,'Faculties'!$B$73:$B$82,0))),"N/A")</f>
        <v/>
      </c>
      <c r="M198" s="50">
        <f>IFERROR(IF(INDEX('Faculties'!$N$89:$N$98,MATCH($F198,'Faculties'!$B$89:$B$98,0))="","Cell will autofill based on response",INDEX('Faculties'!$N$89:$N$98,MATCH($F198,'Faculties'!$B$89:$B$98,0))),"N/A")</f>
        <v/>
      </c>
      <c r="N198" s="50">
        <f>IFERROR(IF(INDEX('Faculties'!$N$105:$N$114,MATCH($F198,'Faculties'!$B$105:$B$114,0))="","Cell will autofill based on response",INDEX('Faculties'!$N$105:$N$114,MATCH($F198,'Faculties'!$B$105:$B$114,0))),"N/A")</f>
        <v/>
      </c>
      <c r="O198" s="50">
        <f>IFERROR(IF(INDEX('Faculties'!$N$121:$N$130,MATCH($F198,'Faculties'!$B$121:$B$130,0))="","Cell will autofill based on response",INDEX('Faculties'!$N$121:$N$130,MATCH($F198,'Faculties'!$B$121:$B$130,0))),"N/A")</f>
        <v/>
      </c>
      <c r="P198" s="50">
        <f>IFERROR(IF(INDEX('Faculties'!$N$137:$N$146,MATCH($F198,'Faculties'!$B$137:$B$146,0))="","Cell will autofill based on response",INDEX('Faculties'!$N$137:$N$146,MATCH($F198,'Faculties'!$B$137:$B$146,0))),"N/A")</f>
        <v/>
      </c>
      <c r="Q198" s="50">
        <f>IFERROR(IF(INDEX('CI&amp;S'!$N$10:$N$15,MATCH($F198,'CI&amp;S'!$B$10:$B$15,0))="","Cell will autofill based on response",INDEX('CI&amp;S'!$N$10:$N$15,MATCH($F198,'CI&amp;S'!$B$10:$B$15,0))),"N/A")</f>
        <v/>
      </c>
      <c r="R198" s="50">
        <f>IFERROR(IF(INDEX('CI&amp;S'!$N$22:$N$36,MATCH($F198,'CI&amp;S'!$B$22:$B$36,0))="","Cell will autofill based on response",INDEX('CI&amp;S'!$N$22:$N$36,MATCH($F198,'CI&amp;S'!$B$22:$B$36,0))),"N/A")</f>
        <v/>
      </c>
      <c r="S198" s="50">
        <f>IFERROR(IF(INDEX('CFOG'!$N$10:$N$16,MATCH($F198,'CFOG'!$B$10:$B$16,0))="","Cell will autofill based on response",INDEX('CFOG'!$N$10:$N$16,MATCH($F198,'CFOG'!$B$10:$B$16,0))),"N/A")</f>
        <v/>
      </c>
      <c r="T198" s="50">
        <f>IFERROR(IF(INDEX('CFOG'!$N$23:$N$24,MATCH($F198,'CFOG'!$B$23:$B$24,0))="","Cell will autofill based on response",INDEX('CFOG'!$N$23:$N$24,MATCH($F198,'CFOG'!$B$23:$B$24,0))),"N/A")</f>
        <v/>
      </c>
      <c r="U198" s="50">
        <f>IFERROR(IF(INDEX('ESG'!$N$10:$N$17,MATCH($F198,'ESG'!$B$10:$B$17,0))="","Cell will autofill based on response",INDEX('ESG'!$N$10:$N$17,MATCH($F198,'ESG'!$B$10:$B$17,0))),"N/A")</f>
        <v/>
      </c>
      <c r="V198" s="50">
        <f>IFERROR(IF(INDEX('CIOG'!$N$10:$N$14,MATCH($F198,'CIOG'!$B$10:$B$14,0))="","Cell will autofill based on response",INDEX('CIOG'!$N$10:$N$14,MATCH($F198,'CIOG'!$B$10:$B$14,0))),"N/A")</f>
        <v/>
      </c>
      <c r="W198" s="50">
        <f>IFERROR(IF(INDEX('MRE'!$N$10:$N$18,MATCH($F198,'MRE'!$B$10:$B$18,0))="","Cell will autofill based on response",INDEX('MRE'!$N$10:$N$18,MATCH($F198,'MRE'!$B$10:$B$18,0))),"N/A")</f>
        <v/>
      </c>
      <c r="X198" s="50">
        <f>IFERROR(IF(INDEX('AC&amp;M'!$N$10:$N$14,MATCH($F198,'AC&amp;M'!$B$10:$B$14,0))="","Cell will autofill based on response",INDEX('AC&amp;M'!$N$10:$N$14,MATCH($F198,'AC&amp;M'!$B$10:$B$14,0))),"N/A")</f>
        <v/>
      </c>
      <c r="Y198" s="50">
        <f>IFERROR(IF(INDEX('GCE'!$N$10:$N$12,MATCH($F198,'GCE'!$B$10:$B$12,0))="","Cell will autofill based on response",INDEX('GCE'!$N$10:$N$12,MATCH($F198,'GCE'!$B$10:$B$12,0))),"N/A")</f>
        <v/>
      </c>
      <c r="Z198" s="50">
        <f>IFERROR(IF(INDEX('Education'!$N$10:$N$13,MATCH($F198,'Education'!$B$10:$B$13,0))="","Cell will autofill based on response",INDEX('Education'!$N$10:$N$13,MATCH($F198,'Education'!$B$10:$B$13,0))),"N/A")</f>
        <v/>
      </c>
      <c r="AA198" s="50">
        <f>IFERROR(IF(INDEX('SaSS'!$N$10:$N$12,MATCH($F198,'SaSS'!$B$10:$B$12,0))="","Cell will autofill based on response",INDEX('SaSS'!$N$10:$N$12,MATCH($F198,'SaSS'!$B$10:$B$12,0))),"N/A")</f>
        <v/>
      </c>
      <c r="AB198" s="50">
        <f>IFERROR(IF(INDEX('Indigenous'!$N$10:$N$11,MATCH($F198,'Indigenous'!$B$10:$B$11,0))="","Cell will autofill based on response",INDEX('Indigenous'!$N$10:$N$11,MATCH($F198,'Indigenous'!$B$10:$B$11,0))),"N/A")</f>
        <v/>
      </c>
      <c r="AC198" s="50">
        <f>IFERROR(IF(INDEX('L&amp;R'!$N$10:$N$11,MATCH($F198,'L&amp;R'!$B$10:$B$11,0))="","Cell will autofill based on response",INDEX('L&amp;R'!$N$10:$N$11,MATCH($F198,'L&amp;R'!$B$10:$B$11,0))),"N/A")</f>
        <v/>
      </c>
    </row>
    <row r="199" ht="22" customHeight="1">
      <c r="A199">
        <f>F199&amp;"|"&amp;G199</f>
        <v/>
      </c>
      <c r="B199" s="12" t="inlineStr"/>
      <c r="C199" s="7" t="inlineStr"/>
      <c r="D199" s="7" t="inlineStr"/>
      <c r="E199" s="7" t="inlineStr"/>
      <c r="F199" s="7" t="inlineStr">
        <is>
          <t>EN1(d)</t>
        </is>
      </c>
      <c r="G199" s="7" t="inlineStr">
        <is>
          <t>Data source and limitations</t>
        </is>
      </c>
      <c r="H199" s="50">
        <f>IFERROR(IF(INDEX('Faculties'!$O$10:$O$18,MATCH($F199,'Faculties'!$B$10:$B$18,0))="","Cell will autofill based on response",INDEX('Faculties'!$O$10:$O$18,MATCH($F199,'Faculties'!$B$10:$B$18,0))),"N/A")</f>
        <v/>
      </c>
      <c r="I199" s="50">
        <f>IFERROR(IF(INDEX('Faculties'!$O$25:$O$34,MATCH($F199,'Faculties'!$B$25:$B$34,0))="","Cell will autofill based on response",INDEX('Faculties'!$O$25:$O$34,MATCH($F199,'Faculties'!$B$25:$B$34,0))),"N/A")</f>
        <v/>
      </c>
      <c r="J199" s="50">
        <f>IFERROR(IF(INDEX('Faculties'!$O$41:$O$50,MATCH($F199,'Faculties'!$B$41:$B$50,0))="","Cell will autofill based on response",INDEX('Faculties'!$O$41:$O$50,MATCH($F199,'Faculties'!$B$41:$B$50,0))),"N/A")</f>
        <v/>
      </c>
      <c r="K199" s="50">
        <f>IFERROR(IF(INDEX('Faculties'!$O$57:$O$66,MATCH($F199,'Faculties'!$B$57:$B$66,0))="","Cell will autofill based on response",INDEX('Faculties'!$O$57:$O$66,MATCH($F199,'Faculties'!$B$57:$B$66,0))),"N/A")</f>
        <v/>
      </c>
      <c r="L199" s="50">
        <f>IFERROR(IF(INDEX('Faculties'!$O$73:$O$82,MATCH($F199,'Faculties'!$B$73:$B$82,0))="","Cell will autofill based on response",INDEX('Faculties'!$O$73:$O$82,MATCH($F199,'Faculties'!$B$73:$B$82,0))),"N/A")</f>
        <v/>
      </c>
      <c r="M199" s="50">
        <f>IFERROR(IF(INDEX('Faculties'!$O$89:$O$98,MATCH($F199,'Faculties'!$B$89:$B$98,0))="","Cell will autofill based on response",INDEX('Faculties'!$O$89:$O$98,MATCH($F199,'Faculties'!$B$89:$B$98,0))),"N/A")</f>
        <v/>
      </c>
      <c r="N199" s="50">
        <f>IFERROR(IF(INDEX('Faculties'!$O$105:$O$114,MATCH($F199,'Faculties'!$B$105:$B$114,0))="","Cell will autofill based on response",INDEX('Faculties'!$O$105:$O$114,MATCH($F199,'Faculties'!$B$105:$B$114,0))),"N/A")</f>
        <v/>
      </c>
      <c r="O199" s="50">
        <f>IFERROR(IF(INDEX('Faculties'!$O$121:$O$130,MATCH($F199,'Faculties'!$B$121:$B$130,0))="","Cell will autofill based on response",INDEX('Faculties'!$O$121:$O$130,MATCH($F199,'Faculties'!$B$121:$B$130,0))),"N/A")</f>
        <v/>
      </c>
      <c r="P199" s="50">
        <f>IFERROR(IF(INDEX('Faculties'!$O$137:$O$146,MATCH($F199,'Faculties'!$B$137:$B$146,0))="","Cell will autofill based on response",INDEX('Faculties'!$O$137:$O$146,MATCH($F199,'Faculties'!$B$137:$B$146,0))),"N/A")</f>
        <v/>
      </c>
      <c r="Q199" s="50">
        <f>IFERROR(IF(INDEX('CI&amp;S'!$O$10:$O$15,MATCH($F199,'CI&amp;S'!$B$10:$B$15,0))="","Cell will autofill based on response",INDEX('CI&amp;S'!$O$10:$O$15,MATCH($F199,'CI&amp;S'!$B$10:$B$15,0))),"N/A")</f>
        <v/>
      </c>
      <c r="R199" s="50">
        <f>IFERROR(IF(INDEX('CI&amp;S'!$O$22:$O$36,MATCH($F199,'CI&amp;S'!$B$22:$B$36,0))="","Cell will autofill based on response",INDEX('CI&amp;S'!$O$22:$O$36,MATCH($F199,'CI&amp;S'!$B$22:$B$36,0))),"N/A")</f>
        <v/>
      </c>
      <c r="S199" s="50">
        <f>IFERROR(IF(INDEX('CFOG'!$O$10:$O$16,MATCH($F199,'CFOG'!$B$10:$B$16,0))="","Cell will autofill based on response",INDEX('CFOG'!$O$10:$O$16,MATCH($F199,'CFOG'!$B$10:$B$16,0))),"N/A")</f>
        <v/>
      </c>
      <c r="T199" s="50">
        <f>IFERROR(IF(INDEX('CFOG'!$O$23:$O$24,MATCH($F199,'CFOG'!$B$23:$B$24,0))="","Cell will autofill based on response",INDEX('CFOG'!$O$23:$O$24,MATCH($F199,'CFOG'!$B$23:$B$24,0))),"N/A")</f>
        <v/>
      </c>
      <c r="U199" s="50">
        <f>IFERROR(IF(INDEX('ESG'!$O$10:$O$17,MATCH($F199,'ESG'!$B$10:$B$17,0))="","Cell will autofill based on response",INDEX('ESG'!$O$10:$O$17,MATCH($F199,'ESG'!$B$10:$B$17,0))),"N/A")</f>
        <v/>
      </c>
      <c r="V199" s="50">
        <f>IFERROR(IF(INDEX('CIOG'!$O$10:$O$14,MATCH($F199,'CIOG'!$B$10:$B$14,0))="","Cell will autofill based on response",INDEX('CIOG'!$O$10:$O$14,MATCH($F199,'CIOG'!$B$10:$B$14,0))),"N/A")</f>
        <v/>
      </c>
      <c r="W199" s="50">
        <f>IFERROR(IF(INDEX('MRE'!$O$10:$O$18,MATCH($F199,'MRE'!$B$10:$B$18,0))="","Cell will autofill based on response",INDEX('MRE'!$O$10:$O$18,MATCH($F199,'MRE'!$B$10:$B$18,0))),"N/A")</f>
        <v/>
      </c>
      <c r="X199" s="50">
        <f>IFERROR(IF(INDEX('AC&amp;M'!$O$10:$O$14,MATCH($F199,'AC&amp;M'!$B$10:$B$14,0))="","Cell will autofill based on response",INDEX('AC&amp;M'!$O$10:$O$14,MATCH($F199,'AC&amp;M'!$B$10:$B$14,0))),"N/A")</f>
        <v/>
      </c>
      <c r="Y199" s="50">
        <f>IFERROR(IF(INDEX('GCE'!$O$10:$O$12,MATCH($F199,'GCE'!$B$10:$B$12,0))="","Cell will autofill based on response",INDEX('GCE'!$O$10:$O$12,MATCH($F199,'GCE'!$B$10:$B$12,0))),"N/A")</f>
        <v/>
      </c>
      <c r="Z199" s="50">
        <f>IFERROR(IF(INDEX('Education'!$O$10:$O$13,MATCH($F199,'Education'!$B$10:$B$13,0))="","Cell will autofill based on response",INDEX('Education'!$O$10:$O$13,MATCH($F199,'Education'!$B$10:$B$13,0))),"N/A")</f>
        <v/>
      </c>
      <c r="AA199" s="50">
        <f>IFERROR(IF(INDEX('SaSS'!$O$10:$O$12,MATCH($F199,'SaSS'!$B$10:$B$12,0))="","Cell will autofill based on response",INDEX('SaSS'!$O$10:$O$12,MATCH($F199,'SaSS'!$B$10:$B$12,0))),"N/A")</f>
        <v/>
      </c>
      <c r="AB199" s="50">
        <f>IFERROR(IF(INDEX('Indigenous'!$O$10:$O$11,MATCH($F199,'Indigenous'!$B$10:$B$11,0))="","Cell will autofill based on response",INDEX('Indigenous'!$O$10:$O$11,MATCH($F199,'Indigenous'!$B$10:$B$11,0))),"N/A")</f>
        <v/>
      </c>
      <c r="AC199" s="50">
        <f>IFERROR(IF(INDEX('L&amp;R'!$O$10:$O$11,MATCH($F199,'L&amp;R'!$B$10:$B$11,0))="","Cell will autofill based on response",INDEX('L&amp;R'!$O$10:$O$11,MATCH($F199,'L&amp;R'!$B$10:$B$11,0))),"N/A")</f>
        <v/>
      </c>
    </row>
    <row r="200" ht="22" customHeight="1">
      <c r="A200">
        <f>F200&amp;"|"&amp;G200</f>
        <v/>
      </c>
      <c r="B200" s="12" t="inlineStr"/>
      <c r="C200" s="7" t="inlineStr"/>
      <c r="D200" s="7" t="inlineStr"/>
      <c r="E200" s="7" t="inlineStr"/>
      <c r="F200" s="7" t="inlineStr">
        <is>
          <t>EN1(d)</t>
        </is>
      </c>
      <c r="G200" s="7" t="inlineStr">
        <is>
          <t>Data owner confirms</t>
        </is>
      </c>
      <c r="H200" s="50">
        <f>IFERROR(IF(INDEX('Faculties'!$P$10:$P$18,MATCH($F200,'Faculties'!$B$10:$B$18,0))="","Cell will autofill based on response",INDEX('Faculties'!$P$10:$P$18,MATCH($F200,'Faculties'!$B$10:$B$18,0))),"N/A")</f>
        <v/>
      </c>
      <c r="I200" s="50">
        <f>IFERROR(IF(INDEX('Faculties'!$P$25:$P$34,MATCH($F200,'Faculties'!$B$25:$B$34,0))="","Cell will autofill based on response",INDEX('Faculties'!$P$25:$P$34,MATCH($F200,'Faculties'!$B$25:$B$34,0))),"N/A")</f>
        <v/>
      </c>
      <c r="J200" s="50">
        <f>IFERROR(IF(INDEX('Faculties'!$P$41:$P$50,MATCH($F200,'Faculties'!$B$41:$B$50,0))="","Cell will autofill based on response",INDEX('Faculties'!$P$41:$P$50,MATCH($F200,'Faculties'!$B$41:$B$50,0))),"N/A")</f>
        <v/>
      </c>
      <c r="K200" s="50">
        <f>IFERROR(IF(INDEX('Faculties'!$P$57:$P$66,MATCH($F200,'Faculties'!$B$57:$B$66,0))="","Cell will autofill based on response",INDEX('Faculties'!$P$57:$P$66,MATCH($F200,'Faculties'!$B$57:$B$66,0))),"N/A")</f>
        <v/>
      </c>
      <c r="L200" s="50">
        <f>IFERROR(IF(INDEX('Faculties'!$P$73:$P$82,MATCH($F200,'Faculties'!$B$73:$B$82,0))="","Cell will autofill based on response",INDEX('Faculties'!$P$73:$P$82,MATCH($F200,'Faculties'!$B$73:$B$82,0))),"N/A")</f>
        <v/>
      </c>
      <c r="M200" s="50">
        <f>IFERROR(IF(INDEX('Faculties'!$P$89:$P$98,MATCH($F200,'Faculties'!$B$89:$B$98,0))="","Cell will autofill based on response",INDEX('Faculties'!$P$89:$P$98,MATCH($F200,'Faculties'!$B$89:$B$98,0))),"N/A")</f>
        <v/>
      </c>
      <c r="N200" s="50">
        <f>IFERROR(IF(INDEX('Faculties'!$P$105:$P$114,MATCH($F200,'Faculties'!$B$105:$B$114,0))="","Cell will autofill based on response",INDEX('Faculties'!$P$105:$P$114,MATCH($F200,'Faculties'!$B$105:$B$114,0))),"N/A")</f>
        <v/>
      </c>
      <c r="O200" s="50">
        <f>IFERROR(IF(INDEX('Faculties'!$P$121:$P$130,MATCH($F200,'Faculties'!$B$121:$B$130,0))="","Cell will autofill based on response",INDEX('Faculties'!$P$121:$P$130,MATCH($F200,'Faculties'!$B$121:$B$130,0))),"N/A")</f>
        <v/>
      </c>
      <c r="P200" s="50">
        <f>IFERROR(IF(INDEX('Faculties'!$P$137:$P$146,MATCH($F200,'Faculties'!$B$137:$B$146,0))="","Cell will autofill based on response",INDEX('Faculties'!$P$137:$P$146,MATCH($F200,'Faculties'!$B$137:$B$146,0))),"N/A")</f>
        <v/>
      </c>
      <c r="Q200" s="50">
        <f>IFERROR(IF(INDEX('CI&amp;S'!$P$10:$P$15,MATCH($F200,'CI&amp;S'!$B$10:$B$15,0))="","Cell will autofill based on response",INDEX('CI&amp;S'!$P$10:$P$15,MATCH($F200,'CI&amp;S'!$B$10:$B$15,0))),"N/A")</f>
        <v/>
      </c>
      <c r="R200" s="50">
        <f>IFERROR(IF(INDEX('CI&amp;S'!$P$22:$P$36,MATCH($F200,'CI&amp;S'!$B$22:$B$36,0))="","Cell will autofill based on response",INDEX('CI&amp;S'!$P$22:$P$36,MATCH($F200,'CI&amp;S'!$B$22:$B$36,0))),"N/A")</f>
        <v/>
      </c>
      <c r="S200" s="50">
        <f>IFERROR(IF(INDEX('CFOG'!$P$10:$P$16,MATCH($F200,'CFOG'!$B$10:$B$16,0))="","Cell will autofill based on response",INDEX('CFOG'!$P$10:$P$16,MATCH($F200,'CFOG'!$B$10:$B$16,0))),"N/A")</f>
        <v/>
      </c>
      <c r="T200" s="50">
        <f>IFERROR(IF(INDEX('CFOG'!$P$23:$P$24,MATCH($F200,'CFOG'!$B$23:$B$24,0))="","Cell will autofill based on response",INDEX('CFOG'!$P$23:$P$24,MATCH($F200,'CFOG'!$B$23:$B$24,0))),"N/A")</f>
        <v/>
      </c>
      <c r="U200" s="50">
        <f>IFERROR(IF(INDEX('ESG'!$P$10:$P$17,MATCH($F200,'ESG'!$B$10:$B$17,0))="","Cell will autofill based on response",INDEX('ESG'!$P$10:$P$17,MATCH($F200,'ESG'!$B$10:$B$17,0))),"N/A")</f>
        <v/>
      </c>
      <c r="V200" s="50">
        <f>IFERROR(IF(INDEX('CIOG'!$P$10:$P$14,MATCH($F200,'CIOG'!$B$10:$B$14,0))="","Cell will autofill based on response",INDEX('CIOG'!$P$10:$P$14,MATCH($F200,'CIOG'!$B$10:$B$14,0))),"N/A")</f>
        <v/>
      </c>
      <c r="W200" s="50">
        <f>IFERROR(IF(INDEX('MRE'!$P$10:$P$18,MATCH($F200,'MRE'!$B$10:$B$18,0))="","Cell will autofill based on response",INDEX('MRE'!$P$10:$P$18,MATCH($F200,'MRE'!$B$10:$B$18,0))),"N/A")</f>
        <v/>
      </c>
      <c r="X200" s="50">
        <f>IFERROR(IF(INDEX('AC&amp;M'!$P$10:$P$14,MATCH($F200,'AC&amp;M'!$B$10:$B$14,0))="","Cell will autofill based on response",INDEX('AC&amp;M'!$P$10:$P$14,MATCH($F200,'AC&amp;M'!$B$10:$B$14,0))),"N/A")</f>
        <v/>
      </c>
      <c r="Y200" s="50">
        <f>IFERROR(IF(INDEX('GCE'!$P$10:$P$12,MATCH($F200,'GCE'!$B$10:$B$12,0))="","Cell will autofill based on response",INDEX('GCE'!$P$10:$P$12,MATCH($F200,'GCE'!$B$10:$B$12,0))),"N/A")</f>
        <v/>
      </c>
      <c r="Z200" s="50">
        <f>IFERROR(IF(INDEX('Education'!$P$10:$P$13,MATCH($F200,'Education'!$B$10:$B$13,0))="","Cell will autofill based on response",INDEX('Education'!$P$10:$P$13,MATCH($F200,'Education'!$B$10:$B$13,0))),"N/A")</f>
        <v/>
      </c>
      <c r="AA200" s="50">
        <f>IFERROR(IF(INDEX('SaSS'!$P$10:$P$12,MATCH($F200,'SaSS'!$B$10:$B$12,0))="","Cell will autofill based on response",INDEX('SaSS'!$P$10:$P$12,MATCH($F200,'SaSS'!$B$10:$B$12,0))),"N/A")</f>
        <v/>
      </c>
      <c r="AB200" s="50">
        <f>IFERROR(IF(INDEX('Indigenous'!$P$10:$P$11,MATCH($F200,'Indigenous'!$B$10:$B$11,0))="","Cell will autofill based on response",INDEX('Indigenous'!$P$10:$P$11,MATCH($F200,'Indigenous'!$B$10:$B$11,0))),"N/A")</f>
        <v/>
      </c>
      <c r="AC200" s="50">
        <f>IFERROR(IF(INDEX('L&amp;R'!$P$10:$P$11,MATCH($F200,'L&amp;R'!$B$10:$B$11,0))="","Cell will autofill based on response",INDEX('L&amp;R'!$P$10:$P$11,MATCH($F200,'L&amp;R'!$B$10:$B$11,0))),"N/A")</f>
        <v/>
      </c>
    </row>
  </sheetData>
  <autoFilter ref="B10:AH200"/>
  <mergeCells count="1">
    <mergeCell ref="D4:N6"/>
  </mergeCells>
  <pageMargins left="0.75" right="0.75" top="1" bottom="1" header="0.5" footer="0.5"/>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W272"/>
  <sheetViews>
    <sheetView showGridLines="0" workbookViewId="0">
      <pane ySplit="7" topLeftCell="A8" activePane="bottomLeft" state="frozen"/>
      <selection pane="bottomLeft"/>
      <selection pane="bottomLeft"/>
      <selection pane="bottomRight" activeCell="A1" sqref="A1"/>
    </sheetView>
  </sheetViews>
  <sheetFormatPr baseColWidth="8" defaultRowHeight="15"/>
  <cols>
    <col width="4" customWidth="1" min="1" max="1"/>
    <col width="9" customWidth="1" min="2" max="2"/>
    <col width="34" customWidth="1" min="3" max="3"/>
    <col width="26"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16" customWidth="1" min="21" max="21"/>
    <col width="16" customWidth="1" min="22" max="22"/>
    <col width="40" customWidth="1" min="23" max="23"/>
  </cols>
  <sheetData>
    <row r="1" ht="8"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row>
    <row r="2" ht="58" customHeight="1">
      <c r="A2" s="1" t="n"/>
      <c r="B2" s="2" t="inlineStr">
        <is>
          <t>T1. Manual target review</t>
        </is>
      </c>
      <c r="C2" s="1" t="n"/>
      <c r="D2" s="1" t="n"/>
      <c r="E2" s="1" t="n"/>
      <c r="F2" s="1" t="n"/>
      <c r="G2" s="1" t="n"/>
      <c r="H2" s="1" t="n"/>
      <c r="I2" s="1" t="n"/>
      <c r="J2" s="1" t="n"/>
      <c r="K2" s="1" t="n"/>
      <c r="L2" s="1" t="n"/>
      <c r="M2" s="1" t="n"/>
      <c r="N2" s="1" t="n"/>
      <c r="O2" s="1" t="n"/>
      <c r="P2" s="1" t="n"/>
      <c r="Q2" s="1" t="n"/>
      <c r="R2" s="1" t="n"/>
      <c r="S2" s="1" t="n"/>
      <c r="T2" s="1" t="n"/>
      <c r="U2" s="1" t="n"/>
      <c r="V2" s="1" t="n"/>
      <c r="W2" s="1" t="n"/>
    </row>
    <row r="3"/>
    <row r="4" ht="30" customHeight="1">
      <c r="C4" s="30" t="inlineStr">
        <is>
          <t>Description</t>
        </is>
      </c>
      <c r="D4" s="8" t="inlineStr">
        <is>
          <t>Review of individual unit responses for every indicator – only the units asked about each indicator are shown. Values come from A1 (do not type in grey cells); record your review in the 'Reviewer notes' column. Use T2 to focus on a single indicator.</t>
        </is>
      </c>
    </row>
    <row r="5"/>
    <row r="6"/>
    <row r="7" ht="42" customHeight="1">
      <c r="B7" s="5" t="inlineStr">
        <is>
          <t>Ref.</t>
        </is>
      </c>
      <c r="C7" s="5" t="inlineStr">
        <is>
          <t>Indicator</t>
        </is>
      </c>
      <c r="D7" s="5" t="inlineStr">
        <is>
          <t>Target progress</t>
        </is>
      </c>
      <c r="E7" s="5" t="inlineStr">
        <is>
          <t>Unit 1</t>
        </is>
      </c>
      <c r="F7" s="5" t="inlineStr">
        <is>
          <t>Unit 2</t>
        </is>
      </c>
      <c r="G7" s="5" t="inlineStr">
        <is>
          <t>Unit 3</t>
        </is>
      </c>
      <c r="H7" s="5" t="inlineStr">
        <is>
          <t>Unit 4</t>
        </is>
      </c>
      <c r="I7" s="5" t="inlineStr">
        <is>
          <t>Unit 5</t>
        </is>
      </c>
      <c r="J7" s="5" t="inlineStr">
        <is>
          <t>Unit 6</t>
        </is>
      </c>
      <c r="K7" s="5" t="inlineStr">
        <is>
          <t>Unit 7</t>
        </is>
      </c>
      <c r="L7" s="5" t="inlineStr">
        <is>
          <t>Unit 8</t>
        </is>
      </c>
      <c r="M7" s="5" t="inlineStr">
        <is>
          <t>Unit 9</t>
        </is>
      </c>
      <c r="N7" s="5" t="inlineStr">
        <is>
          <t>Unit 10</t>
        </is>
      </c>
      <c r="O7" s="5" t="inlineStr">
        <is>
          <t>Unit 11</t>
        </is>
      </c>
      <c r="P7" s="5" t="inlineStr">
        <is>
          <t>Unit 12</t>
        </is>
      </c>
      <c r="Q7" s="5" t="inlineStr">
        <is>
          <t>Unit 13</t>
        </is>
      </c>
      <c r="R7" s="5" t="inlineStr">
        <is>
          <t>Unit 14</t>
        </is>
      </c>
      <c r="S7" s="5" t="inlineStr">
        <is>
          <t>Unit 15</t>
        </is>
      </c>
      <c r="T7" s="5" t="inlineStr">
        <is>
          <t>Unit 16</t>
        </is>
      </c>
      <c r="U7" s="5" t="inlineStr">
        <is>
          <t>Responses received</t>
        </is>
      </c>
      <c r="V7" s="5" t="inlineStr">
        <is>
          <t>Owner confirmed</t>
        </is>
      </c>
      <c r="W7" s="5" t="inlineStr">
        <is>
          <t>Reviewer notes</t>
        </is>
      </c>
    </row>
    <row r="8" ht="56" customHeight="1">
      <c r="B8" s="6" t="inlineStr">
        <is>
          <t>EE1(a)</t>
        </is>
      </c>
      <c r="C8" s="48" t="inlineStr">
        <is>
          <t>Evidence of innovative approaches to sustainability teaching and learning</t>
        </is>
      </c>
      <c r="D8" s="51" t="inlineStr">
        <is>
          <t>Unit</t>
        </is>
      </c>
      <c r="E8" s="51" t="inlineStr">
        <is>
          <t>ABP</t>
        </is>
      </c>
      <c r="F8" s="51" t="inlineStr">
        <is>
          <t>ARTS</t>
        </is>
      </c>
      <c r="G8" s="51" t="inlineStr">
        <is>
          <t>FBE</t>
        </is>
      </c>
      <c r="H8" s="51" t="inlineStr">
        <is>
          <t>SCI</t>
        </is>
      </c>
      <c r="I8" s="51" t="inlineStr">
        <is>
          <t>FAM</t>
        </is>
      </c>
      <c r="J8" s="51" t="inlineStr">
        <is>
          <t>FEIT</t>
        </is>
      </c>
      <c r="K8" s="51" t="inlineStr">
        <is>
          <t>FoE</t>
        </is>
      </c>
      <c r="L8" s="51" t="inlineStr">
        <is>
          <t>MLS</t>
        </is>
      </c>
      <c r="M8" s="51" t="inlineStr">
        <is>
          <t>MDHS</t>
        </is>
      </c>
      <c r="N8" s="51" t="inlineStr">
        <is>
          <t>CI&amp;S – Sustainability Strategy</t>
        </is>
      </c>
      <c r="O8" s="51" t="inlineStr">
        <is>
          <t>Education – Chancellery Education</t>
        </is>
      </c>
      <c r="U8" s="52">
        <f>'A1. Response summary'!AF11</f>
        <v/>
      </c>
      <c r="V8" s="52">
        <f>'A1. Response summary'!AH11</f>
        <v/>
      </c>
      <c r="W8" s="7" t="n"/>
    </row>
    <row r="9" ht="39" customHeight="1">
      <c r="B9" s="53" t="inlineStr">
        <is>
          <t>EE1(a)</t>
        </is>
      </c>
      <c r="D9" s="12" t="inlineStr">
        <is>
          <t>OPTION 1:  Target-level reporting</t>
        </is>
      </c>
      <c r="E9" s="54">
        <f>'A1. Response summary'!H11</f>
        <v/>
      </c>
      <c r="F9" s="54">
        <f>'A1. Response summary'!I11</f>
        <v/>
      </c>
      <c r="G9" s="54">
        <f>'A1. Response summary'!J11</f>
        <v/>
      </c>
      <c r="H9" s="54">
        <f>'A1. Response summary'!K11</f>
        <v/>
      </c>
      <c r="I9" s="54">
        <f>'A1. Response summary'!L11</f>
        <v/>
      </c>
      <c r="J9" s="54">
        <f>'A1. Response summary'!M11</f>
        <v/>
      </c>
      <c r="K9" s="54">
        <f>'A1. Response summary'!N11</f>
        <v/>
      </c>
      <c r="L9" s="54">
        <f>'A1. Response summary'!O11</f>
        <v/>
      </c>
      <c r="M9" s="54">
        <f>'A1. Response summary'!P11</f>
        <v/>
      </c>
      <c r="N9" s="54">
        <f>'A1. Response summary'!R11</f>
        <v/>
      </c>
      <c r="O9" s="54">
        <f>'A1. Response summary'!Z11</f>
        <v/>
      </c>
      <c r="W9" s="55" t="n"/>
    </row>
    <row r="10" ht="60" customHeight="1">
      <c r="B10" s="53" t="inlineStr">
        <is>
          <t>EE1(a)</t>
        </is>
      </c>
      <c r="D10" s="12" t="inlineStr">
        <is>
          <t>OPTION 2:  Indicator level reporting</t>
        </is>
      </c>
      <c r="E10" s="54">
        <f>'A1. Response summary'!H12</f>
        <v/>
      </c>
      <c r="F10" s="54">
        <f>'A1. Response summary'!I12</f>
        <v/>
      </c>
      <c r="G10" s="54">
        <f>'A1. Response summary'!J12</f>
        <v/>
      </c>
      <c r="H10" s="54">
        <f>'A1. Response summary'!K12</f>
        <v/>
      </c>
      <c r="I10" s="54">
        <f>'A1. Response summary'!L12</f>
        <v/>
      </c>
      <c r="J10" s="54">
        <f>'A1. Response summary'!M12</f>
        <v/>
      </c>
      <c r="K10" s="54">
        <f>'A1. Response summary'!N12</f>
        <v/>
      </c>
      <c r="L10" s="54">
        <f>'A1. Response summary'!O12</f>
        <v/>
      </c>
      <c r="M10" s="54">
        <f>'A1. Response summary'!P12</f>
        <v/>
      </c>
      <c r="N10" s="54">
        <f>'A1. Response summary'!R12</f>
        <v/>
      </c>
      <c r="O10" s="54">
        <f>'A1. Response summary'!Z12</f>
        <v/>
      </c>
      <c r="W10" s="55" t="n"/>
    </row>
    <row r="11" ht="60" customHeight="1">
      <c r="B11" s="53" t="inlineStr">
        <is>
          <t>EE1(a)</t>
        </is>
      </c>
      <c r="D11" s="12" t="inlineStr">
        <is>
          <t>Supporting information/comments</t>
        </is>
      </c>
      <c r="E11" s="54">
        <f>'A1. Response summary'!H13</f>
        <v/>
      </c>
      <c r="F11" s="54">
        <f>'A1. Response summary'!I13</f>
        <v/>
      </c>
      <c r="G11" s="54">
        <f>'A1. Response summary'!J13</f>
        <v/>
      </c>
      <c r="H11" s="54">
        <f>'A1. Response summary'!K13</f>
        <v/>
      </c>
      <c r="I11" s="54">
        <f>'A1. Response summary'!L13</f>
        <v/>
      </c>
      <c r="J11" s="54">
        <f>'A1. Response summary'!M13</f>
        <v/>
      </c>
      <c r="K11" s="54">
        <f>'A1. Response summary'!N13</f>
        <v/>
      </c>
      <c r="L11" s="54">
        <f>'A1. Response summary'!O13</f>
        <v/>
      </c>
      <c r="M11" s="54">
        <f>'A1. Response summary'!P13</f>
        <v/>
      </c>
      <c r="N11" s="54">
        <f>'A1. Response summary'!R13</f>
        <v/>
      </c>
      <c r="O11" s="54">
        <f>'A1. Response summary'!Z13</f>
        <v/>
      </c>
      <c r="W11" s="55" t="n"/>
    </row>
    <row r="12" ht="39" customHeight="1">
      <c r="B12" s="53" t="inlineStr">
        <is>
          <t>EE1(a)</t>
        </is>
      </c>
      <c r="D12" s="12" t="inlineStr">
        <is>
          <t>Data source and limitations</t>
        </is>
      </c>
      <c r="E12" s="54">
        <f>'A1. Response summary'!H14</f>
        <v/>
      </c>
      <c r="F12" s="54">
        <f>'A1. Response summary'!I14</f>
        <v/>
      </c>
      <c r="G12" s="54">
        <f>'A1. Response summary'!J14</f>
        <v/>
      </c>
      <c r="H12" s="54">
        <f>'A1. Response summary'!K14</f>
        <v/>
      </c>
      <c r="I12" s="54">
        <f>'A1. Response summary'!L14</f>
        <v/>
      </c>
      <c r="J12" s="54">
        <f>'A1. Response summary'!M14</f>
        <v/>
      </c>
      <c r="K12" s="54">
        <f>'A1. Response summary'!N14</f>
        <v/>
      </c>
      <c r="L12" s="54">
        <f>'A1. Response summary'!O14</f>
        <v/>
      </c>
      <c r="M12" s="54">
        <f>'A1. Response summary'!P14</f>
        <v/>
      </c>
      <c r="N12" s="54">
        <f>'A1. Response summary'!R14</f>
        <v/>
      </c>
      <c r="O12" s="54">
        <f>'A1. Response summary'!Z14</f>
        <v/>
      </c>
      <c r="W12" s="55" t="n"/>
    </row>
    <row r="13" ht="22" customHeight="1">
      <c r="B13" s="53" t="inlineStr">
        <is>
          <t>EE1(a)</t>
        </is>
      </c>
      <c r="D13" s="12" t="inlineStr">
        <is>
          <t>Data owner confirms</t>
        </is>
      </c>
      <c r="E13" s="54">
        <f>'A1. Response summary'!H15</f>
        <v/>
      </c>
      <c r="F13" s="54">
        <f>'A1. Response summary'!I15</f>
        <v/>
      </c>
      <c r="G13" s="54">
        <f>'A1. Response summary'!J15</f>
        <v/>
      </c>
      <c r="H13" s="54">
        <f>'A1. Response summary'!K15</f>
        <v/>
      </c>
      <c r="I13" s="54">
        <f>'A1. Response summary'!L15</f>
        <v/>
      </c>
      <c r="J13" s="54">
        <f>'A1. Response summary'!M15</f>
        <v/>
      </c>
      <c r="K13" s="54">
        <f>'A1. Response summary'!N15</f>
        <v/>
      </c>
      <c r="L13" s="54">
        <f>'A1. Response summary'!O15</f>
        <v/>
      </c>
      <c r="M13" s="54">
        <f>'A1. Response summary'!P15</f>
        <v/>
      </c>
      <c r="N13" s="54">
        <f>'A1. Response summary'!R15</f>
        <v/>
      </c>
      <c r="O13" s="54">
        <f>'A1. Response summary'!Z15</f>
        <v/>
      </c>
      <c r="W13" s="56" t="n"/>
    </row>
    <row r="14"/>
    <row r="15" ht="56" customHeight="1">
      <c r="B15" s="6" t="inlineStr">
        <is>
          <t>EE1(b)</t>
        </is>
      </c>
      <c r="C15" s="48" t="inlineStr">
        <is>
          <t>Pilots of possible approaches for understanding and developing students’ sustainability self-efficacy</t>
        </is>
      </c>
      <c r="D15" s="51" t="inlineStr">
        <is>
          <t>Unit</t>
        </is>
      </c>
      <c r="E15" s="51" t="inlineStr">
        <is>
          <t>ARTS</t>
        </is>
      </c>
      <c r="F15" s="51" t="inlineStr">
        <is>
          <t>FBE</t>
        </is>
      </c>
      <c r="G15" s="51" t="inlineStr">
        <is>
          <t>SCI</t>
        </is>
      </c>
      <c r="H15" s="51" t="inlineStr">
        <is>
          <t>FAM</t>
        </is>
      </c>
      <c r="I15" s="51" t="inlineStr">
        <is>
          <t>FEIT</t>
        </is>
      </c>
      <c r="J15" s="51" t="inlineStr">
        <is>
          <t>FoE</t>
        </is>
      </c>
      <c r="K15" s="51" t="inlineStr">
        <is>
          <t>MLS</t>
        </is>
      </c>
      <c r="L15" s="51" t="inlineStr">
        <is>
          <t>MDHS</t>
        </is>
      </c>
      <c r="M15" s="51" t="inlineStr">
        <is>
          <t>CI&amp;S – Sustainability Strategy</t>
        </is>
      </c>
      <c r="N15" s="51" t="inlineStr">
        <is>
          <t>Education – Chancellery Education</t>
        </is>
      </c>
      <c r="U15" s="52">
        <f>'A1. Response summary'!AF16</f>
        <v/>
      </c>
      <c r="V15" s="52">
        <f>'A1. Response summary'!AH16</f>
        <v/>
      </c>
      <c r="W15" s="7" t="n"/>
    </row>
    <row r="16" ht="39" customHeight="1">
      <c r="B16" s="53" t="inlineStr">
        <is>
          <t>EE1(b)</t>
        </is>
      </c>
      <c r="D16" s="12" t="inlineStr">
        <is>
          <t>OPTION 1:  Target-level reporting</t>
        </is>
      </c>
      <c r="E16" s="54">
        <f>'A1. Response summary'!I16</f>
        <v/>
      </c>
      <c r="F16" s="54">
        <f>'A1. Response summary'!J16</f>
        <v/>
      </c>
      <c r="G16" s="54">
        <f>'A1. Response summary'!K16</f>
        <v/>
      </c>
      <c r="H16" s="54">
        <f>'A1. Response summary'!L16</f>
        <v/>
      </c>
      <c r="I16" s="54">
        <f>'A1. Response summary'!M16</f>
        <v/>
      </c>
      <c r="J16" s="54">
        <f>'A1. Response summary'!N16</f>
        <v/>
      </c>
      <c r="K16" s="54">
        <f>'A1. Response summary'!O16</f>
        <v/>
      </c>
      <c r="L16" s="54">
        <f>'A1. Response summary'!P16</f>
        <v/>
      </c>
      <c r="M16" s="54">
        <f>'A1. Response summary'!R16</f>
        <v/>
      </c>
      <c r="N16" s="54">
        <f>'A1. Response summary'!Z16</f>
        <v/>
      </c>
      <c r="W16" s="55" t="n"/>
    </row>
    <row r="17" ht="60" customHeight="1">
      <c r="B17" s="53" t="inlineStr">
        <is>
          <t>EE1(b)</t>
        </is>
      </c>
      <c r="D17" s="12" t="inlineStr">
        <is>
          <t>OPTION 2:  Indicator level reporting</t>
        </is>
      </c>
      <c r="E17" s="54">
        <f>'A1. Response summary'!I17</f>
        <v/>
      </c>
      <c r="F17" s="54">
        <f>'A1. Response summary'!J17</f>
        <v/>
      </c>
      <c r="G17" s="54">
        <f>'A1. Response summary'!K17</f>
        <v/>
      </c>
      <c r="H17" s="54">
        <f>'A1. Response summary'!L17</f>
        <v/>
      </c>
      <c r="I17" s="54">
        <f>'A1. Response summary'!M17</f>
        <v/>
      </c>
      <c r="J17" s="54">
        <f>'A1. Response summary'!N17</f>
        <v/>
      </c>
      <c r="K17" s="54">
        <f>'A1. Response summary'!O17</f>
        <v/>
      </c>
      <c r="L17" s="54">
        <f>'A1. Response summary'!P17</f>
        <v/>
      </c>
      <c r="M17" s="54">
        <f>'A1. Response summary'!R17</f>
        <v/>
      </c>
      <c r="N17" s="54">
        <f>'A1. Response summary'!Z17</f>
        <v/>
      </c>
      <c r="W17" s="55" t="n"/>
    </row>
    <row r="18" ht="60" customHeight="1">
      <c r="B18" s="53" t="inlineStr">
        <is>
          <t>EE1(b)</t>
        </is>
      </c>
      <c r="D18" s="12" t="inlineStr">
        <is>
          <t>Supporting information/comments</t>
        </is>
      </c>
      <c r="E18" s="54">
        <f>'A1. Response summary'!I18</f>
        <v/>
      </c>
      <c r="F18" s="54">
        <f>'A1. Response summary'!J18</f>
        <v/>
      </c>
      <c r="G18" s="54">
        <f>'A1. Response summary'!K18</f>
        <v/>
      </c>
      <c r="H18" s="54">
        <f>'A1. Response summary'!L18</f>
        <v/>
      </c>
      <c r="I18" s="54">
        <f>'A1. Response summary'!M18</f>
        <v/>
      </c>
      <c r="J18" s="54">
        <f>'A1. Response summary'!N18</f>
        <v/>
      </c>
      <c r="K18" s="54">
        <f>'A1. Response summary'!O18</f>
        <v/>
      </c>
      <c r="L18" s="54">
        <f>'A1. Response summary'!P18</f>
        <v/>
      </c>
      <c r="M18" s="54">
        <f>'A1. Response summary'!R18</f>
        <v/>
      </c>
      <c r="N18" s="54">
        <f>'A1. Response summary'!Z18</f>
        <v/>
      </c>
      <c r="W18" s="55" t="n"/>
    </row>
    <row r="19" ht="39" customHeight="1">
      <c r="B19" s="53" t="inlineStr">
        <is>
          <t>EE1(b)</t>
        </is>
      </c>
      <c r="D19" s="12" t="inlineStr">
        <is>
          <t>Data source and limitations</t>
        </is>
      </c>
      <c r="E19" s="54">
        <f>'A1. Response summary'!I19</f>
        <v/>
      </c>
      <c r="F19" s="54">
        <f>'A1. Response summary'!J19</f>
        <v/>
      </c>
      <c r="G19" s="54">
        <f>'A1. Response summary'!K19</f>
        <v/>
      </c>
      <c r="H19" s="54">
        <f>'A1. Response summary'!L19</f>
        <v/>
      </c>
      <c r="I19" s="54">
        <f>'A1. Response summary'!M19</f>
        <v/>
      </c>
      <c r="J19" s="54">
        <f>'A1. Response summary'!N19</f>
        <v/>
      </c>
      <c r="K19" s="54">
        <f>'A1. Response summary'!O19</f>
        <v/>
      </c>
      <c r="L19" s="54">
        <f>'A1. Response summary'!P19</f>
        <v/>
      </c>
      <c r="M19" s="54">
        <f>'A1. Response summary'!R19</f>
        <v/>
      </c>
      <c r="N19" s="54">
        <f>'A1. Response summary'!Z19</f>
        <v/>
      </c>
      <c r="W19" s="55" t="n"/>
    </row>
    <row r="20" ht="22" customHeight="1">
      <c r="B20" s="53" t="inlineStr">
        <is>
          <t>EE1(b)</t>
        </is>
      </c>
      <c r="D20" s="12" t="inlineStr">
        <is>
          <t>Data owner confirms</t>
        </is>
      </c>
      <c r="E20" s="54">
        <f>'A1. Response summary'!I20</f>
        <v/>
      </c>
      <c r="F20" s="54">
        <f>'A1. Response summary'!J20</f>
        <v/>
      </c>
      <c r="G20" s="54">
        <f>'A1. Response summary'!K20</f>
        <v/>
      </c>
      <c r="H20" s="54">
        <f>'A1. Response summary'!L20</f>
        <v/>
      </c>
      <c r="I20" s="54">
        <f>'A1. Response summary'!M20</f>
        <v/>
      </c>
      <c r="J20" s="54">
        <f>'A1. Response summary'!N20</f>
        <v/>
      </c>
      <c r="K20" s="54">
        <f>'A1. Response summary'!O20</f>
        <v/>
      </c>
      <c r="L20" s="54">
        <f>'A1. Response summary'!P20</f>
        <v/>
      </c>
      <c r="M20" s="54">
        <f>'A1. Response summary'!R20</f>
        <v/>
      </c>
      <c r="N20" s="54">
        <f>'A1. Response summary'!Z20</f>
        <v/>
      </c>
      <c r="W20" s="56" t="n"/>
    </row>
    <row r="21"/>
    <row r="22" ht="72" customHeight="1">
      <c r="B22" s="6" t="inlineStr">
        <is>
          <t>EE1(c)</t>
        </is>
      </c>
      <c r="C22" s="48" t="inlineStr">
        <is>
          <t>Evidence of sustainability focused experiential and co curricular learning (eg Wattle Fellowship; Melbourne Plus)</t>
        </is>
      </c>
      <c r="D22" s="51" t="inlineStr">
        <is>
          <t>Unit</t>
        </is>
      </c>
      <c r="E22" s="51" t="inlineStr">
        <is>
          <t>CI&amp;S – Sustainability Strategy</t>
        </is>
      </c>
      <c r="F22" s="51" t="inlineStr">
        <is>
          <t>SaSS – Student and Scholarly Services</t>
        </is>
      </c>
      <c r="U22" s="52">
        <f>'A1. Response summary'!AF21</f>
        <v/>
      </c>
      <c r="V22" s="52">
        <f>'A1. Response summary'!AH21</f>
        <v/>
      </c>
      <c r="W22" s="7" t="inlineStr">
        <is>
          <t>Faculties answer this indicator in their EE1(a) response (merged question) – review both.</t>
        </is>
      </c>
    </row>
    <row r="23" ht="39" customHeight="1">
      <c r="B23" s="53" t="inlineStr">
        <is>
          <t>EE1(c)</t>
        </is>
      </c>
      <c r="D23" s="12" t="inlineStr">
        <is>
          <t>OPTION 1:  Target-level reporting</t>
        </is>
      </c>
      <c r="E23" s="54">
        <f>'A1. Response summary'!R21</f>
        <v/>
      </c>
      <c r="F23" s="54">
        <f>'A1. Response summary'!AA21</f>
        <v/>
      </c>
      <c r="W23" s="55" t="n"/>
    </row>
    <row r="24" ht="60" customHeight="1">
      <c r="B24" s="53" t="inlineStr">
        <is>
          <t>EE1(c)</t>
        </is>
      </c>
      <c r="D24" s="12" t="inlineStr">
        <is>
          <t>OPTION 2:  Indicator level reporting</t>
        </is>
      </c>
      <c r="E24" s="54">
        <f>'A1. Response summary'!R22</f>
        <v/>
      </c>
      <c r="F24" s="54">
        <f>'A1. Response summary'!AA22</f>
        <v/>
      </c>
      <c r="W24" s="55" t="n"/>
    </row>
    <row r="25" ht="60" customHeight="1">
      <c r="B25" s="53" t="inlineStr">
        <is>
          <t>EE1(c)</t>
        </is>
      </c>
      <c r="D25" s="12" t="inlineStr">
        <is>
          <t>Supporting information/comments</t>
        </is>
      </c>
      <c r="E25" s="54">
        <f>'A1. Response summary'!R23</f>
        <v/>
      </c>
      <c r="F25" s="54">
        <f>'A1. Response summary'!AA23</f>
        <v/>
      </c>
      <c r="W25" s="55" t="n"/>
    </row>
    <row r="26" ht="39" customHeight="1">
      <c r="B26" s="53" t="inlineStr">
        <is>
          <t>EE1(c)</t>
        </is>
      </c>
      <c r="D26" s="12" t="inlineStr">
        <is>
          <t>Data source and limitations</t>
        </is>
      </c>
      <c r="E26" s="54">
        <f>'A1. Response summary'!R24</f>
        <v/>
      </c>
      <c r="F26" s="54">
        <f>'A1. Response summary'!AA24</f>
        <v/>
      </c>
      <c r="W26" s="55" t="n"/>
    </row>
    <row r="27" ht="22" customHeight="1">
      <c r="B27" s="53" t="inlineStr">
        <is>
          <t>EE1(c)</t>
        </is>
      </c>
      <c r="D27" s="12" t="inlineStr">
        <is>
          <t>Data owner confirms</t>
        </is>
      </c>
      <c r="E27" s="54">
        <f>'A1. Response summary'!R25</f>
        <v/>
      </c>
      <c r="F27" s="54">
        <f>'A1. Response summary'!AA25</f>
        <v/>
      </c>
      <c r="W27" s="56" t="n"/>
    </row>
    <row r="28"/>
    <row r="29" ht="72" customHeight="1">
      <c r="B29" s="6" t="inlineStr">
        <is>
          <t>EE1(d)</t>
        </is>
      </c>
      <c r="C29" s="48" t="inlineStr">
        <is>
          <t>Alumni profiles demonstrating how graduates contribute to sustainability through their careers or communities.</t>
        </is>
      </c>
      <c r="D29" s="51" t="inlineStr">
        <is>
          <t>Unit</t>
        </is>
      </c>
      <c r="E29" s="51" t="inlineStr">
        <is>
          <t>SaSS – Student and Scholarly Services</t>
        </is>
      </c>
      <c r="U29" s="52">
        <f>'A1. Response summary'!AF26</f>
        <v/>
      </c>
      <c r="V29" s="52">
        <f>'A1. Response summary'!AH26</f>
        <v/>
      </c>
      <c r="W29" s="7" t="n"/>
    </row>
    <row r="30" ht="39" customHeight="1">
      <c r="B30" s="53" t="inlineStr">
        <is>
          <t>EE1(d)</t>
        </is>
      </c>
      <c r="D30" s="12" t="inlineStr">
        <is>
          <t>OPTION 1:  Target-level reporting</t>
        </is>
      </c>
      <c r="E30" s="54">
        <f>'A1. Response summary'!AA26</f>
        <v/>
      </c>
      <c r="W30" s="55" t="n"/>
    </row>
    <row r="31" ht="60" customHeight="1">
      <c r="B31" s="53" t="inlineStr">
        <is>
          <t>EE1(d)</t>
        </is>
      </c>
      <c r="D31" s="12" t="inlineStr">
        <is>
          <t>OPTION 2:  Indicator level reporting</t>
        </is>
      </c>
      <c r="E31" s="54">
        <f>'A1. Response summary'!AA27</f>
        <v/>
      </c>
      <c r="W31" s="55" t="n"/>
    </row>
    <row r="32" ht="60" customHeight="1">
      <c r="B32" s="53" t="inlineStr">
        <is>
          <t>EE1(d)</t>
        </is>
      </c>
      <c r="D32" s="12" t="inlineStr">
        <is>
          <t>Supporting information/comments</t>
        </is>
      </c>
      <c r="E32" s="54">
        <f>'A1. Response summary'!AA28</f>
        <v/>
      </c>
      <c r="W32" s="55" t="n"/>
    </row>
    <row r="33" ht="39" customHeight="1">
      <c r="B33" s="53" t="inlineStr">
        <is>
          <t>EE1(d)</t>
        </is>
      </c>
      <c r="D33" s="12" t="inlineStr">
        <is>
          <t>Data source and limitations</t>
        </is>
      </c>
      <c r="E33" s="54">
        <f>'A1. Response summary'!AA29</f>
        <v/>
      </c>
      <c r="W33" s="55" t="n"/>
    </row>
    <row r="34" ht="22" customHeight="1">
      <c r="B34" s="53" t="inlineStr">
        <is>
          <t>EE1(d)</t>
        </is>
      </c>
      <c r="D34" s="12" t="inlineStr">
        <is>
          <t>Data owner confirms</t>
        </is>
      </c>
      <c r="E34" s="54">
        <f>'A1. Response summary'!AA30</f>
        <v/>
      </c>
      <c r="W34" s="56" t="n"/>
    </row>
    <row r="35"/>
    <row r="36" ht="105" customHeight="1">
      <c r="B36" s="6" t="inlineStr">
        <is>
          <t>TR1(a)</t>
        </is>
      </c>
      <c r="C36" s="48" t="inlineStr">
        <is>
          <t>Expert-reviewed evidence of researchers contributing to operational sustainability priorities through partnerships, advisory input, living labs, applied projects or decision-support</t>
        </is>
      </c>
      <c r="D36" s="51" t="inlineStr">
        <is>
          <t>Unit</t>
        </is>
      </c>
      <c r="E36" s="51" t="inlineStr">
        <is>
          <t>ABP</t>
        </is>
      </c>
      <c r="F36" s="51" t="inlineStr">
        <is>
          <t>ARTS</t>
        </is>
      </c>
      <c r="G36" s="51" t="inlineStr">
        <is>
          <t>FBE</t>
        </is>
      </c>
      <c r="H36" s="51" t="inlineStr">
        <is>
          <t>SCI</t>
        </is>
      </c>
      <c r="I36" s="51" t="inlineStr">
        <is>
          <t>FAM</t>
        </is>
      </c>
      <c r="J36" s="51" t="inlineStr">
        <is>
          <t>FEIT</t>
        </is>
      </c>
      <c r="K36" s="51" t="inlineStr">
        <is>
          <t>FoE</t>
        </is>
      </c>
      <c r="L36" s="51" t="inlineStr">
        <is>
          <t>MLS</t>
        </is>
      </c>
      <c r="M36" s="51" t="inlineStr">
        <is>
          <t>MDHS</t>
        </is>
      </c>
      <c r="N36" s="51" t="inlineStr">
        <is>
          <t>CI&amp;S – Sustainability Strategy</t>
        </is>
      </c>
      <c r="U36" s="52">
        <f>'A1. Response summary'!AF31</f>
        <v/>
      </c>
      <c r="V36" s="52">
        <f>'A1. Response summary'!AH31</f>
        <v/>
      </c>
      <c r="W36" s="7" t="n"/>
    </row>
    <row r="37" ht="39" customHeight="1">
      <c r="B37" s="53" t="inlineStr">
        <is>
          <t>TR1(a)</t>
        </is>
      </c>
      <c r="D37" s="12" t="inlineStr">
        <is>
          <t>OPTION 1:  Target-level reporting</t>
        </is>
      </c>
      <c r="E37" s="54">
        <f>'A1. Response summary'!H31</f>
        <v/>
      </c>
      <c r="F37" s="54">
        <f>'A1. Response summary'!I31</f>
        <v/>
      </c>
      <c r="G37" s="54">
        <f>'A1. Response summary'!J31</f>
        <v/>
      </c>
      <c r="H37" s="54">
        <f>'A1. Response summary'!K31</f>
        <v/>
      </c>
      <c r="I37" s="54">
        <f>'A1. Response summary'!L31</f>
        <v/>
      </c>
      <c r="J37" s="54">
        <f>'A1. Response summary'!M31</f>
        <v/>
      </c>
      <c r="K37" s="54">
        <f>'A1. Response summary'!N31</f>
        <v/>
      </c>
      <c r="L37" s="54">
        <f>'A1. Response summary'!O31</f>
        <v/>
      </c>
      <c r="M37" s="54">
        <f>'A1. Response summary'!P31</f>
        <v/>
      </c>
      <c r="N37" s="54">
        <f>'A1. Response summary'!R31</f>
        <v/>
      </c>
      <c r="W37" s="55" t="n"/>
    </row>
    <row r="38" ht="60" customHeight="1">
      <c r="B38" s="53" t="inlineStr">
        <is>
          <t>TR1(a)</t>
        </is>
      </c>
      <c r="D38" s="12" t="inlineStr">
        <is>
          <t>OPTION 2:  Indicator level reporting</t>
        </is>
      </c>
      <c r="E38" s="54">
        <f>'A1. Response summary'!H32</f>
        <v/>
      </c>
      <c r="F38" s="54">
        <f>'A1. Response summary'!I32</f>
        <v/>
      </c>
      <c r="G38" s="54">
        <f>'A1. Response summary'!J32</f>
        <v/>
      </c>
      <c r="H38" s="54">
        <f>'A1. Response summary'!K32</f>
        <v/>
      </c>
      <c r="I38" s="54">
        <f>'A1. Response summary'!L32</f>
        <v/>
      </c>
      <c r="J38" s="54">
        <f>'A1. Response summary'!M32</f>
        <v/>
      </c>
      <c r="K38" s="54">
        <f>'A1. Response summary'!N32</f>
        <v/>
      </c>
      <c r="L38" s="54">
        <f>'A1. Response summary'!O32</f>
        <v/>
      </c>
      <c r="M38" s="54">
        <f>'A1. Response summary'!P32</f>
        <v/>
      </c>
      <c r="N38" s="54">
        <f>'A1. Response summary'!R32</f>
        <v/>
      </c>
      <c r="W38" s="55" t="n"/>
    </row>
    <row r="39" ht="60" customHeight="1">
      <c r="B39" s="53" t="inlineStr">
        <is>
          <t>TR1(a)</t>
        </is>
      </c>
      <c r="D39" s="12" t="inlineStr">
        <is>
          <t>Supporting information/comments</t>
        </is>
      </c>
      <c r="E39" s="54">
        <f>'A1. Response summary'!H33</f>
        <v/>
      </c>
      <c r="F39" s="54">
        <f>'A1. Response summary'!I33</f>
        <v/>
      </c>
      <c r="G39" s="54">
        <f>'A1. Response summary'!J33</f>
        <v/>
      </c>
      <c r="H39" s="54">
        <f>'A1. Response summary'!K33</f>
        <v/>
      </c>
      <c r="I39" s="54">
        <f>'A1. Response summary'!L33</f>
        <v/>
      </c>
      <c r="J39" s="54">
        <f>'A1. Response summary'!M33</f>
        <v/>
      </c>
      <c r="K39" s="54">
        <f>'A1. Response summary'!N33</f>
        <v/>
      </c>
      <c r="L39" s="54">
        <f>'A1. Response summary'!O33</f>
        <v/>
      </c>
      <c r="M39" s="54">
        <f>'A1. Response summary'!P33</f>
        <v/>
      </c>
      <c r="N39" s="54">
        <f>'A1. Response summary'!R33</f>
        <v/>
      </c>
      <c r="W39" s="55" t="n"/>
    </row>
    <row r="40" ht="39" customHeight="1">
      <c r="B40" s="53" t="inlineStr">
        <is>
          <t>TR1(a)</t>
        </is>
      </c>
      <c r="D40" s="12" t="inlineStr">
        <is>
          <t>Data source and limitations</t>
        </is>
      </c>
      <c r="E40" s="54">
        <f>'A1. Response summary'!H34</f>
        <v/>
      </c>
      <c r="F40" s="54">
        <f>'A1. Response summary'!I34</f>
        <v/>
      </c>
      <c r="G40" s="54">
        <f>'A1. Response summary'!J34</f>
        <v/>
      </c>
      <c r="H40" s="54">
        <f>'A1. Response summary'!K34</f>
        <v/>
      </c>
      <c r="I40" s="54">
        <f>'A1. Response summary'!L34</f>
        <v/>
      </c>
      <c r="J40" s="54">
        <f>'A1. Response summary'!M34</f>
        <v/>
      </c>
      <c r="K40" s="54">
        <f>'A1. Response summary'!N34</f>
        <v/>
      </c>
      <c r="L40" s="54">
        <f>'A1. Response summary'!O34</f>
        <v/>
      </c>
      <c r="M40" s="54">
        <f>'A1. Response summary'!P34</f>
        <v/>
      </c>
      <c r="N40" s="54">
        <f>'A1. Response summary'!R34</f>
        <v/>
      </c>
      <c r="W40" s="55" t="n"/>
    </row>
    <row r="41" ht="22" customHeight="1">
      <c r="B41" s="53" t="inlineStr">
        <is>
          <t>TR1(a)</t>
        </is>
      </c>
      <c r="D41" s="12" t="inlineStr">
        <is>
          <t>Data owner confirms</t>
        </is>
      </c>
      <c r="E41" s="54">
        <f>'A1. Response summary'!H35</f>
        <v/>
      </c>
      <c r="F41" s="54">
        <f>'A1. Response summary'!I35</f>
        <v/>
      </c>
      <c r="G41" s="54">
        <f>'A1. Response summary'!J35</f>
        <v/>
      </c>
      <c r="H41" s="54">
        <f>'A1. Response summary'!K35</f>
        <v/>
      </c>
      <c r="I41" s="54">
        <f>'A1. Response summary'!L35</f>
        <v/>
      </c>
      <c r="J41" s="54">
        <f>'A1. Response summary'!M35</f>
        <v/>
      </c>
      <c r="K41" s="54">
        <f>'A1. Response summary'!N35</f>
        <v/>
      </c>
      <c r="L41" s="54">
        <f>'A1. Response summary'!O35</f>
        <v/>
      </c>
      <c r="M41" s="54">
        <f>'A1. Response summary'!P35</f>
        <v/>
      </c>
      <c r="N41" s="54">
        <f>'A1. Response summary'!R35</f>
        <v/>
      </c>
      <c r="W41" s="56" t="n"/>
    </row>
    <row r="42"/>
    <row r="43" ht="72" customHeight="1">
      <c r="B43" s="6" t="inlineStr">
        <is>
          <t>TR1(b)</t>
        </is>
      </c>
      <c r="C43" s="48" t="inlineStr">
        <is>
          <t>Evidence of institutional pathways that enable ongoing collaboration between academic and professional staff</t>
        </is>
      </c>
      <c r="D43" s="51" t="inlineStr">
        <is>
          <t>Unit</t>
        </is>
      </c>
      <c r="E43" s="51" t="inlineStr">
        <is>
          <t>MRE – Research</t>
        </is>
      </c>
      <c r="U43" s="52">
        <f>'A1. Response summary'!AF36</f>
        <v/>
      </c>
      <c r="V43" s="52">
        <f>'A1. Response summary'!AH36</f>
        <v/>
      </c>
      <c r="W43" s="7" t="n"/>
    </row>
    <row r="44" ht="39" customHeight="1">
      <c r="B44" s="53" t="inlineStr">
        <is>
          <t>TR1(b)</t>
        </is>
      </c>
      <c r="D44" s="12" t="inlineStr">
        <is>
          <t>OPTION 1:  Target-level reporting</t>
        </is>
      </c>
      <c r="E44" s="54">
        <f>'A1. Response summary'!W36</f>
        <v/>
      </c>
      <c r="W44" s="55" t="n"/>
    </row>
    <row r="45" ht="60" customHeight="1">
      <c r="B45" s="53" t="inlineStr">
        <is>
          <t>TR1(b)</t>
        </is>
      </c>
      <c r="D45" s="12" t="inlineStr">
        <is>
          <t>OPTION 2:  Indicator level reporting</t>
        </is>
      </c>
      <c r="E45" s="54">
        <f>'A1. Response summary'!W37</f>
        <v/>
      </c>
      <c r="W45" s="55" t="n"/>
    </row>
    <row r="46" ht="60" customHeight="1">
      <c r="B46" s="53" t="inlineStr">
        <is>
          <t>TR1(b)</t>
        </is>
      </c>
      <c r="D46" s="12" t="inlineStr">
        <is>
          <t>Supporting information/comments</t>
        </is>
      </c>
      <c r="E46" s="54">
        <f>'A1. Response summary'!W38</f>
        <v/>
      </c>
      <c r="W46" s="55" t="n"/>
    </row>
    <row r="47" ht="39" customHeight="1">
      <c r="B47" s="53" t="inlineStr">
        <is>
          <t>TR1(b)</t>
        </is>
      </c>
      <c r="D47" s="12" t="inlineStr">
        <is>
          <t>Data source and limitations</t>
        </is>
      </c>
      <c r="E47" s="54">
        <f>'A1. Response summary'!W39</f>
        <v/>
      </c>
      <c r="W47" s="55" t="n"/>
    </row>
    <row r="48" ht="22" customHeight="1">
      <c r="B48" s="53" t="inlineStr">
        <is>
          <t>TR1(b)</t>
        </is>
      </c>
      <c r="D48" s="12" t="inlineStr">
        <is>
          <t>Data owner confirms</t>
        </is>
      </c>
      <c r="E48" s="54">
        <f>'A1. Response summary'!W40</f>
        <v/>
      </c>
      <c r="W48" s="56" t="n"/>
    </row>
    <row r="49"/>
    <row r="50" ht="56" customHeight="1">
      <c r="B50" s="6" t="inlineStr">
        <is>
          <t>TR1(c)</t>
        </is>
      </c>
      <c r="C50" s="48" t="inlineStr">
        <is>
          <t>Expert assessment of the quality, relevance and continuity of these collaborations</t>
        </is>
      </c>
      <c r="D50" s="51" t="inlineStr">
        <is>
          <t>Unit</t>
        </is>
      </c>
      <c r="E50" s="51" t="inlineStr">
        <is>
          <t>MRE – Research</t>
        </is>
      </c>
      <c r="U50" s="52">
        <f>'A1. Response summary'!AF41</f>
        <v/>
      </c>
      <c r="V50" s="52">
        <f>'A1. Response summary'!AH41</f>
        <v/>
      </c>
      <c r="W50" s="7" t="n"/>
    </row>
    <row r="51" ht="39" customHeight="1">
      <c r="B51" s="53" t="inlineStr">
        <is>
          <t>TR1(c)</t>
        </is>
      </c>
      <c r="D51" s="12" t="inlineStr">
        <is>
          <t>OPTION 1:  Target-level reporting</t>
        </is>
      </c>
      <c r="E51" s="54">
        <f>'A1. Response summary'!W41</f>
        <v/>
      </c>
      <c r="W51" s="55" t="n"/>
    </row>
    <row r="52" ht="60" customHeight="1">
      <c r="B52" s="53" t="inlineStr">
        <is>
          <t>TR1(c)</t>
        </is>
      </c>
      <c r="D52" s="12" t="inlineStr">
        <is>
          <t>OPTION 2:  Indicator level reporting</t>
        </is>
      </c>
      <c r="E52" s="54">
        <f>'A1. Response summary'!W42</f>
        <v/>
      </c>
      <c r="W52" s="55" t="n"/>
    </row>
    <row r="53" ht="60" customHeight="1">
      <c r="B53" s="53" t="inlineStr">
        <is>
          <t>TR1(c)</t>
        </is>
      </c>
      <c r="D53" s="12" t="inlineStr">
        <is>
          <t>Supporting information/comments</t>
        </is>
      </c>
      <c r="E53" s="54">
        <f>'A1. Response summary'!W43</f>
        <v/>
      </c>
      <c r="W53" s="55" t="n"/>
    </row>
    <row r="54" ht="39" customHeight="1">
      <c r="B54" s="53" t="inlineStr">
        <is>
          <t>TR1(c)</t>
        </is>
      </c>
      <c r="D54" s="12" t="inlineStr">
        <is>
          <t>Data source and limitations</t>
        </is>
      </c>
      <c r="E54" s="54">
        <f>'A1. Response summary'!W44</f>
        <v/>
      </c>
      <c r="W54" s="55" t="n"/>
    </row>
    <row r="55" ht="22" customHeight="1">
      <c r="B55" s="53" t="inlineStr">
        <is>
          <t>TR1(c)</t>
        </is>
      </c>
      <c r="D55" s="12" t="inlineStr">
        <is>
          <t>Data owner confirms</t>
        </is>
      </c>
      <c r="E55" s="54">
        <f>'A1. Response summary'!W45</f>
        <v/>
      </c>
      <c r="W55" s="56" t="n"/>
    </row>
    <row r="56"/>
    <row r="57" ht="56" customHeight="1">
      <c r="B57" s="6" t="inlineStr">
        <is>
          <t>TR1(d)</t>
        </is>
      </c>
      <c r="C57" s="48" t="inlineStr">
        <is>
          <t>Periodic feedback from participants on the effectiveness and mutual benefit of collaboration mechanisms.</t>
        </is>
      </c>
      <c r="D57" s="51" t="inlineStr">
        <is>
          <t>Unit</t>
        </is>
      </c>
      <c r="E57" s="51" t="inlineStr">
        <is>
          <t>MRE – Research</t>
        </is>
      </c>
      <c r="U57" s="52">
        <f>'A1. Response summary'!AF46</f>
        <v/>
      </c>
      <c r="V57" s="52">
        <f>'A1. Response summary'!AH46</f>
        <v/>
      </c>
      <c r="W57" s="7" t="n"/>
    </row>
    <row r="58" ht="39" customHeight="1">
      <c r="B58" s="53" t="inlineStr">
        <is>
          <t>TR1(d)</t>
        </is>
      </c>
      <c r="D58" s="12" t="inlineStr">
        <is>
          <t>OPTION 1:  Target-level reporting</t>
        </is>
      </c>
      <c r="E58" s="54">
        <f>'A1. Response summary'!W46</f>
        <v/>
      </c>
      <c r="W58" s="55" t="n"/>
    </row>
    <row r="59" ht="60" customHeight="1">
      <c r="B59" s="53" t="inlineStr">
        <is>
          <t>TR1(d)</t>
        </is>
      </c>
      <c r="D59" s="12" t="inlineStr">
        <is>
          <t>OPTION 2:  Indicator level reporting</t>
        </is>
      </c>
      <c r="E59" s="54">
        <f>'A1. Response summary'!W47</f>
        <v/>
      </c>
      <c r="W59" s="55" t="n"/>
    </row>
    <row r="60" ht="60" customHeight="1">
      <c r="B60" s="53" t="inlineStr">
        <is>
          <t>TR1(d)</t>
        </is>
      </c>
      <c r="D60" s="12" t="inlineStr">
        <is>
          <t>Supporting information/comments</t>
        </is>
      </c>
      <c r="E60" s="54">
        <f>'A1. Response summary'!W48</f>
        <v/>
      </c>
      <c r="W60" s="55" t="n"/>
    </row>
    <row r="61" ht="39" customHeight="1">
      <c r="B61" s="53" t="inlineStr">
        <is>
          <t>TR1(d)</t>
        </is>
      </c>
      <c r="D61" s="12" t="inlineStr">
        <is>
          <t>Data source and limitations</t>
        </is>
      </c>
      <c r="E61" s="54">
        <f>'A1. Response summary'!W49</f>
        <v/>
      </c>
      <c r="W61" s="55" t="n"/>
    </row>
    <row r="62" ht="22" customHeight="1">
      <c r="B62" s="53" t="inlineStr">
        <is>
          <t>TR1(d)</t>
        </is>
      </c>
      <c r="D62" s="12" t="inlineStr">
        <is>
          <t>Data owner confirms</t>
        </is>
      </c>
      <c r="E62" s="54">
        <f>'A1. Response summary'!W50</f>
        <v/>
      </c>
      <c r="W62" s="56" t="n"/>
    </row>
    <row r="63"/>
    <row r="64" ht="88" customHeight="1">
      <c r="B64" s="6" t="inlineStr">
        <is>
          <t>TR2(a)</t>
        </is>
      </c>
      <c r="C64" s="48" t="inlineStr">
        <is>
          <t>Evidence of sustainability-related research impact across diverse pathways, could include policy, industry, community, practice, cultural and institutional outcomes</t>
        </is>
      </c>
      <c r="D64" s="51" t="inlineStr">
        <is>
          <t>Unit</t>
        </is>
      </c>
      <c r="E64" s="51" t="inlineStr">
        <is>
          <t>ABP</t>
        </is>
      </c>
      <c r="F64" s="51" t="inlineStr">
        <is>
          <t>ARTS</t>
        </is>
      </c>
      <c r="G64" s="51" t="inlineStr">
        <is>
          <t>FBE</t>
        </is>
      </c>
      <c r="H64" s="51" t="inlineStr">
        <is>
          <t>SCI</t>
        </is>
      </c>
      <c r="I64" s="51" t="inlineStr">
        <is>
          <t>FAM</t>
        </is>
      </c>
      <c r="J64" s="51" t="inlineStr">
        <is>
          <t>FEIT</t>
        </is>
      </c>
      <c r="K64" s="51" t="inlineStr">
        <is>
          <t>FoE</t>
        </is>
      </c>
      <c r="L64" s="51" t="inlineStr">
        <is>
          <t>MLS</t>
        </is>
      </c>
      <c r="M64" s="51" t="inlineStr">
        <is>
          <t>MDHS</t>
        </is>
      </c>
      <c r="N64" s="51" t="inlineStr">
        <is>
          <t>AC&amp;M – Advancement, Communication and Marketing</t>
        </is>
      </c>
      <c r="U64" s="52">
        <f>'A1. Response summary'!AF51</f>
        <v/>
      </c>
      <c r="V64" s="52">
        <f>'A1. Response summary'!AH51</f>
        <v/>
      </c>
      <c r="W64" s="7" t="n"/>
    </row>
    <row r="65" ht="39" customHeight="1">
      <c r="B65" s="53" t="inlineStr">
        <is>
          <t>TR2(a)</t>
        </is>
      </c>
      <c r="D65" s="12" t="inlineStr">
        <is>
          <t>OPTION 1:  Target-level reporting</t>
        </is>
      </c>
      <c r="E65" s="54">
        <f>'A1. Response summary'!H51</f>
        <v/>
      </c>
      <c r="F65" s="54">
        <f>'A1. Response summary'!I51</f>
        <v/>
      </c>
      <c r="G65" s="54">
        <f>'A1. Response summary'!J51</f>
        <v/>
      </c>
      <c r="H65" s="54">
        <f>'A1. Response summary'!K51</f>
        <v/>
      </c>
      <c r="I65" s="54">
        <f>'A1. Response summary'!L51</f>
        <v/>
      </c>
      <c r="J65" s="54">
        <f>'A1. Response summary'!M51</f>
        <v/>
      </c>
      <c r="K65" s="54">
        <f>'A1. Response summary'!N51</f>
        <v/>
      </c>
      <c r="L65" s="54">
        <f>'A1. Response summary'!O51</f>
        <v/>
      </c>
      <c r="M65" s="54">
        <f>'A1. Response summary'!P51</f>
        <v/>
      </c>
      <c r="N65" s="54">
        <f>'A1. Response summary'!X51</f>
        <v/>
      </c>
      <c r="W65" s="55" t="n"/>
    </row>
    <row r="66" ht="60" customHeight="1">
      <c r="B66" s="53" t="inlineStr">
        <is>
          <t>TR2(a)</t>
        </is>
      </c>
      <c r="D66" s="12" t="inlineStr">
        <is>
          <t>OPTION 2:  Indicator level reporting</t>
        </is>
      </c>
      <c r="E66" s="54">
        <f>'A1. Response summary'!H52</f>
        <v/>
      </c>
      <c r="F66" s="54">
        <f>'A1. Response summary'!I52</f>
        <v/>
      </c>
      <c r="G66" s="54">
        <f>'A1. Response summary'!J52</f>
        <v/>
      </c>
      <c r="H66" s="54">
        <f>'A1. Response summary'!K52</f>
        <v/>
      </c>
      <c r="I66" s="54">
        <f>'A1. Response summary'!L52</f>
        <v/>
      </c>
      <c r="J66" s="54">
        <f>'A1. Response summary'!M52</f>
        <v/>
      </c>
      <c r="K66" s="54">
        <f>'A1. Response summary'!N52</f>
        <v/>
      </c>
      <c r="L66" s="54">
        <f>'A1. Response summary'!O52</f>
        <v/>
      </c>
      <c r="M66" s="54">
        <f>'A1. Response summary'!P52</f>
        <v/>
      </c>
      <c r="N66" s="54">
        <f>'A1. Response summary'!X52</f>
        <v/>
      </c>
      <c r="W66" s="55" t="n"/>
    </row>
    <row r="67" ht="60" customHeight="1">
      <c r="B67" s="53" t="inlineStr">
        <is>
          <t>TR2(a)</t>
        </is>
      </c>
      <c r="D67" s="12" t="inlineStr">
        <is>
          <t>Supporting information/comments</t>
        </is>
      </c>
      <c r="E67" s="54">
        <f>'A1. Response summary'!H53</f>
        <v/>
      </c>
      <c r="F67" s="54">
        <f>'A1. Response summary'!I53</f>
        <v/>
      </c>
      <c r="G67" s="54">
        <f>'A1. Response summary'!J53</f>
        <v/>
      </c>
      <c r="H67" s="54">
        <f>'A1. Response summary'!K53</f>
        <v/>
      </c>
      <c r="I67" s="54">
        <f>'A1. Response summary'!L53</f>
        <v/>
      </c>
      <c r="J67" s="54">
        <f>'A1. Response summary'!M53</f>
        <v/>
      </c>
      <c r="K67" s="54">
        <f>'A1. Response summary'!N53</f>
        <v/>
      </c>
      <c r="L67" s="54">
        <f>'A1. Response summary'!O53</f>
        <v/>
      </c>
      <c r="M67" s="54">
        <f>'A1. Response summary'!P53</f>
        <v/>
      </c>
      <c r="N67" s="54">
        <f>'A1. Response summary'!X53</f>
        <v/>
      </c>
      <c r="W67" s="55" t="n"/>
    </row>
    <row r="68" ht="39" customHeight="1">
      <c r="B68" s="53" t="inlineStr">
        <is>
          <t>TR2(a)</t>
        </is>
      </c>
      <c r="D68" s="12" t="inlineStr">
        <is>
          <t>Data source and limitations</t>
        </is>
      </c>
      <c r="E68" s="54">
        <f>'A1. Response summary'!H54</f>
        <v/>
      </c>
      <c r="F68" s="54">
        <f>'A1. Response summary'!I54</f>
        <v/>
      </c>
      <c r="G68" s="54">
        <f>'A1. Response summary'!J54</f>
        <v/>
      </c>
      <c r="H68" s="54">
        <f>'A1. Response summary'!K54</f>
        <v/>
      </c>
      <c r="I68" s="54">
        <f>'A1. Response summary'!L54</f>
        <v/>
      </c>
      <c r="J68" s="54">
        <f>'A1. Response summary'!M54</f>
        <v/>
      </c>
      <c r="K68" s="54">
        <f>'A1. Response summary'!N54</f>
        <v/>
      </c>
      <c r="L68" s="54">
        <f>'A1. Response summary'!O54</f>
        <v/>
      </c>
      <c r="M68" s="54">
        <f>'A1. Response summary'!P54</f>
        <v/>
      </c>
      <c r="N68" s="54">
        <f>'A1. Response summary'!X54</f>
        <v/>
      </c>
      <c r="W68" s="55" t="n"/>
    </row>
    <row r="69" ht="22" customHeight="1">
      <c r="B69" s="53" t="inlineStr">
        <is>
          <t>TR2(a)</t>
        </is>
      </c>
      <c r="D69" s="12" t="inlineStr">
        <is>
          <t>Data owner confirms</t>
        </is>
      </c>
      <c r="E69" s="54">
        <f>'A1. Response summary'!H55</f>
        <v/>
      </c>
      <c r="F69" s="54">
        <f>'A1. Response summary'!I55</f>
        <v/>
      </c>
      <c r="G69" s="54">
        <f>'A1. Response summary'!J55</f>
        <v/>
      </c>
      <c r="H69" s="54">
        <f>'A1. Response summary'!K55</f>
        <v/>
      </c>
      <c r="I69" s="54">
        <f>'A1. Response summary'!L55</f>
        <v/>
      </c>
      <c r="J69" s="54">
        <f>'A1. Response summary'!M55</f>
        <v/>
      </c>
      <c r="K69" s="54">
        <f>'A1. Response summary'!N55</f>
        <v/>
      </c>
      <c r="L69" s="54">
        <f>'A1. Response summary'!O55</f>
        <v/>
      </c>
      <c r="M69" s="54">
        <f>'A1. Response summary'!P55</f>
        <v/>
      </c>
      <c r="N69" s="54">
        <f>'A1. Response summary'!X55</f>
        <v/>
      </c>
      <c r="W69" s="56" t="n"/>
    </row>
    <row r="70"/>
    <row r="71" ht="72" customHeight="1">
      <c r="B71" s="6" t="inlineStr">
        <is>
          <t>TR2(c)</t>
        </is>
      </c>
      <c r="C71" s="48" t="inlineStr">
        <is>
          <t>Expert-reviewed summary of sustainability-related research outputs, outcomes and influence using available institutional evidence sources</t>
        </is>
      </c>
      <c r="D71" s="51" t="inlineStr">
        <is>
          <t>Unit</t>
        </is>
      </c>
      <c r="E71" s="51" t="inlineStr">
        <is>
          <t>MRE – Research</t>
        </is>
      </c>
      <c r="U71" s="52">
        <f>'A1. Response summary'!AF56</f>
        <v/>
      </c>
      <c r="V71" s="52">
        <f>'A1. Response summary'!AH56</f>
        <v/>
      </c>
      <c r="W71" s="7" t="n"/>
    </row>
    <row r="72" ht="39" customHeight="1">
      <c r="B72" s="53" t="inlineStr">
        <is>
          <t>TR2(c)</t>
        </is>
      </c>
      <c r="D72" s="12" t="inlineStr">
        <is>
          <t>OPTION 1:  Target-level reporting</t>
        </is>
      </c>
      <c r="E72" s="54">
        <f>'A1. Response summary'!W56</f>
        <v/>
      </c>
      <c r="W72" s="55" t="n"/>
    </row>
    <row r="73" ht="60" customHeight="1">
      <c r="B73" s="53" t="inlineStr">
        <is>
          <t>TR2(c)</t>
        </is>
      </c>
      <c r="D73" s="12" t="inlineStr">
        <is>
          <t>OPTION 2:  Indicator level reporting</t>
        </is>
      </c>
      <c r="E73" s="54">
        <f>'A1. Response summary'!W57</f>
        <v/>
      </c>
      <c r="W73" s="55" t="n"/>
    </row>
    <row r="74" ht="60" customHeight="1">
      <c r="B74" s="53" t="inlineStr">
        <is>
          <t>TR2(c)</t>
        </is>
      </c>
      <c r="D74" s="12" t="inlineStr">
        <is>
          <t>Supporting information/comments</t>
        </is>
      </c>
      <c r="E74" s="54">
        <f>'A1. Response summary'!W58</f>
        <v/>
      </c>
      <c r="W74" s="55" t="n"/>
    </row>
    <row r="75" ht="39" customHeight="1">
      <c r="B75" s="53" t="inlineStr">
        <is>
          <t>TR2(c)</t>
        </is>
      </c>
      <c r="D75" s="12" t="inlineStr">
        <is>
          <t>Data source and limitations</t>
        </is>
      </c>
      <c r="E75" s="54">
        <f>'A1. Response summary'!W59</f>
        <v/>
      </c>
      <c r="W75" s="55" t="n"/>
    </row>
    <row r="76" ht="22" customHeight="1">
      <c r="B76" s="53" t="inlineStr">
        <is>
          <t>TR2(c)</t>
        </is>
      </c>
      <c r="D76" s="12" t="inlineStr">
        <is>
          <t>Data owner confirms</t>
        </is>
      </c>
      <c r="E76" s="54">
        <f>'A1. Response summary'!W60</f>
        <v/>
      </c>
      <c r="W76" s="56" t="n"/>
    </row>
    <row r="77"/>
    <row r="78" ht="56" customHeight="1">
      <c r="B78" s="6" t="inlineStr">
        <is>
          <t>TR2(d)</t>
        </is>
      </c>
      <c r="C78" s="48" t="inlineStr">
        <is>
          <t>Case-based evidence demonstrating how research has contributed to meaningful sustainability outcomes.</t>
        </is>
      </c>
      <c r="D78" s="51" t="inlineStr">
        <is>
          <t>Unit</t>
        </is>
      </c>
      <c r="E78" s="51" t="inlineStr">
        <is>
          <t>ABP</t>
        </is>
      </c>
      <c r="F78" s="51" t="inlineStr">
        <is>
          <t>ARTS</t>
        </is>
      </c>
      <c r="G78" s="51" t="inlineStr">
        <is>
          <t>FBE</t>
        </is>
      </c>
      <c r="H78" s="51" t="inlineStr">
        <is>
          <t>SCI</t>
        </is>
      </c>
      <c r="I78" s="51" t="inlineStr">
        <is>
          <t>FAM</t>
        </is>
      </c>
      <c r="J78" s="51" t="inlineStr">
        <is>
          <t>FEIT</t>
        </is>
      </c>
      <c r="K78" s="51" t="inlineStr">
        <is>
          <t>FoE</t>
        </is>
      </c>
      <c r="L78" s="51" t="inlineStr">
        <is>
          <t>MLS</t>
        </is>
      </c>
      <c r="M78" s="51" t="inlineStr">
        <is>
          <t>MDHS</t>
        </is>
      </c>
      <c r="N78" s="51" t="inlineStr">
        <is>
          <t>CI&amp;S – Sustainability Strategy</t>
        </is>
      </c>
      <c r="U78" s="52">
        <f>'A1. Response summary'!AF61</f>
        <v/>
      </c>
      <c r="V78" s="52">
        <f>'A1. Response summary'!AH61</f>
        <v/>
      </c>
      <c r="W78" s="7" t="n"/>
    </row>
    <row r="79" ht="39" customHeight="1">
      <c r="B79" s="53" t="inlineStr">
        <is>
          <t>TR2(d)</t>
        </is>
      </c>
      <c r="D79" s="12" t="inlineStr">
        <is>
          <t>OPTION 1:  Target-level reporting</t>
        </is>
      </c>
      <c r="E79" s="54">
        <f>'A1. Response summary'!H61</f>
        <v/>
      </c>
      <c r="F79" s="54">
        <f>'A1. Response summary'!I61</f>
        <v/>
      </c>
      <c r="G79" s="54">
        <f>'A1. Response summary'!J61</f>
        <v/>
      </c>
      <c r="H79" s="54">
        <f>'A1. Response summary'!K61</f>
        <v/>
      </c>
      <c r="I79" s="54">
        <f>'A1. Response summary'!L61</f>
        <v/>
      </c>
      <c r="J79" s="54">
        <f>'A1. Response summary'!M61</f>
        <v/>
      </c>
      <c r="K79" s="54">
        <f>'A1. Response summary'!N61</f>
        <v/>
      </c>
      <c r="L79" s="54">
        <f>'A1. Response summary'!O61</f>
        <v/>
      </c>
      <c r="M79" s="54">
        <f>'A1. Response summary'!P61</f>
        <v/>
      </c>
      <c r="N79" s="54">
        <f>'A1. Response summary'!R61</f>
        <v/>
      </c>
      <c r="W79" s="55" t="n"/>
    </row>
    <row r="80" ht="60" customHeight="1">
      <c r="B80" s="53" t="inlineStr">
        <is>
          <t>TR2(d)</t>
        </is>
      </c>
      <c r="D80" s="12" t="inlineStr">
        <is>
          <t>OPTION 2:  Indicator level reporting</t>
        </is>
      </c>
      <c r="E80" s="54">
        <f>'A1. Response summary'!H62</f>
        <v/>
      </c>
      <c r="F80" s="54">
        <f>'A1. Response summary'!I62</f>
        <v/>
      </c>
      <c r="G80" s="54">
        <f>'A1. Response summary'!J62</f>
        <v/>
      </c>
      <c r="H80" s="54">
        <f>'A1. Response summary'!K62</f>
        <v/>
      </c>
      <c r="I80" s="54">
        <f>'A1. Response summary'!L62</f>
        <v/>
      </c>
      <c r="J80" s="54">
        <f>'A1. Response summary'!M62</f>
        <v/>
      </c>
      <c r="K80" s="54">
        <f>'A1. Response summary'!N62</f>
        <v/>
      </c>
      <c r="L80" s="54">
        <f>'A1. Response summary'!O62</f>
        <v/>
      </c>
      <c r="M80" s="54">
        <f>'A1. Response summary'!P62</f>
        <v/>
      </c>
      <c r="N80" s="54">
        <f>'A1. Response summary'!R62</f>
        <v/>
      </c>
      <c r="W80" s="55" t="n"/>
    </row>
    <row r="81" ht="60" customHeight="1">
      <c r="B81" s="53" t="inlineStr">
        <is>
          <t>TR2(d)</t>
        </is>
      </c>
      <c r="D81" s="12" t="inlineStr">
        <is>
          <t>Supporting information/comments</t>
        </is>
      </c>
      <c r="E81" s="54">
        <f>'A1. Response summary'!H63</f>
        <v/>
      </c>
      <c r="F81" s="54">
        <f>'A1. Response summary'!I63</f>
        <v/>
      </c>
      <c r="G81" s="54">
        <f>'A1. Response summary'!J63</f>
        <v/>
      </c>
      <c r="H81" s="54">
        <f>'A1. Response summary'!K63</f>
        <v/>
      </c>
      <c r="I81" s="54">
        <f>'A1. Response summary'!L63</f>
        <v/>
      </c>
      <c r="J81" s="54">
        <f>'A1. Response summary'!M63</f>
        <v/>
      </c>
      <c r="K81" s="54">
        <f>'A1. Response summary'!N63</f>
        <v/>
      </c>
      <c r="L81" s="54">
        <f>'A1. Response summary'!O63</f>
        <v/>
      </c>
      <c r="M81" s="54">
        <f>'A1. Response summary'!P63</f>
        <v/>
      </c>
      <c r="N81" s="54">
        <f>'A1. Response summary'!R63</f>
        <v/>
      </c>
      <c r="W81" s="55" t="n"/>
    </row>
    <row r="82" ht="39" customHeight="1">
      <c r="B82" s="53" t="inlineStr">
        <is>
          <t>TR2(d)</t>
        </is>
      </c>
      <c r="D82" s="12" t="inlineStr">
        <is>
          <t>Data source and limitations</t>
        </is>
      </c>
      <c r="E82" s="54">
        <f>'A1. Response summary'!H64</f>
        <v/>
      </c>
      <c r="F82" s="54">
        <f>'A1. Response summary'!I64</f>
        <v/>
      </c>
      <c r="G82" s="54">
        <f>'A1. Response summary'!J64</f>
        <v/>
      </c>
      <c r="H82" s="54">
        <f>'A1. Response summary'!K64</f>
        <v/>
      </c>
      <c r="I82" s="54">
        <f>'A1. Response summary'!L64</f>
        <v/>
      </c>
      <c r="J82" s="54">
        <f>'A1. Response summary'!M64</f>
        <v/>
      </c>
      <c r="K82" s="54">
        <f>'A1. Response summary'!N64</f>
        <v/>
      </c>
      <c r="L82" s="54">
        <f>'A1. Response summary'!O64</f>
        <v/>
      </c>
      <c r="M82" s="54">
        <f>'A1. Response summary'!P64</f>
        <v/>
      </c>
      <c r="N82" s="54">
        <f>'A1. Response summary'!R64</f>
        <v/>
      </c>
      <c r="W82" s="55" t="n"/>
    </row>
    <row r="83" ht="22" customHeight="1">
      <c r="B83" s="53" t="inlineStr">
        <is>
          <t>TR2(d)</t>
        </is>
      </c>
      <c r="D83" s="12" t="inlineStr">
        <is>
          <t>Data owner confirms</t>
        </is>
      </c>
      <c r="E83" s="54">
        <f>'A1. Response summary'!H65</f>
        <v/>
      </c>
      <c r="F83" s="54">
        <f>'A1. Response summary'!I65</f>
        <v/>
      </c>
      <c r="G83" s="54">
        <f>'A1. Response summary'!J65</f>
        <v/>
      </c>
      <c r="H83" s="54">
        <f>'A1. Response summary'!K65</f>
        <v/>
      </c>
      <c r="I83" s="54">
        <f>'A1. Response summary'!L65</f>
        <v/>
      </c>
      <c r="J83" s="54">
        <f>'A1. Response summary'!M65</f>
        <v/>
      </c>
      <c r="K83" s="54">
        <f>'A1. Response summary'!N65</f>
        <v/>
      </c>
      <c r="L83" s="54">
        <f>'A1. Response summary'!O65</f>
        <v/>
      </c>
      <c r="M83" s="54">
        <f>'A1. Response summary'!P65</f>
        <v/>
      </c>
      <c r="N83" s="54">
        <f>'A1. Response summary'!R65</f>
        <v/>
      </c>
      <c r="W83" s="56" t="n"/>
    </row>
    <row r="84"/>
    <row r="85" ht="88" customHeight="1">
      <c r="B85" s="6" t="inlineStr">
        <is>
          <t>TR3(a)</t>
        </is>
      </c>
      <c r="C85" s="48" t="inlineStr">
        <is>
          <t>Evidence that sustainability considerations are integrated into relevant research systems, planning processes, guidance, training, induction or support services</t>
        </is>
      </c>
      <c r="D85" s="51" t="inlineStr">
        <is>
          <t>Unit</t>
        </is>
      </c>
      <c r="E85" s="51" t="inlineStr">
        <is>
          <t>MRE – Research</t>
        </is>
      </c>
      <c r="U85" s="52">
        <f>'A1. Response summary'!AF66</f>
        <v/>
      </c>
      <c r="V85" s="52">
        <f>'A1. Response summary'!AH66</f>
        <v/>
      </c>
      <c r="W85" s="7" t="n"/>
    </row>
    <row r="86" ht="39" customHeight="1">
      <c r="B86" s="53" t="inlineStr">
        <is>
          <t>TR3(a)</t>
        </is>
      </c>
      <c r="D86" s="12" t="inlineStr">
        <is>
          <t>OPTION 1:  Target-level reporting</t>
        </is>
      </c>
      <c r="E86" s="54">
        <f>'A1. Response summary'!W66</f>
        <v/>
      </c>
      <c r="W86" s="55" t="n"/>
    </row>
    <row r="87" ht="60" customHeight="1">
      <c r="B87" s="53" t="inlineStr">
        <is>
          <t>TR3(a)</t>
        </is>
      </c>
      <c r="D87" s="12" t="inlineStr">
        <is>
          <t>OPTION 2:  Indicator level reporting</t>
        </is>
      </c>
      <c r="E87" s="54">
        <f>'A1. Response summary'!W67</f>
        <v/>
      </c>
      <c r="W87" s="55" t="n"/>
    </row>
    <row r="88" ht="60" customHeight="1">
      <c r="B88" s="53" t="inlineStr">
        <is>
          <t>TR3(a)</t>
        </is>
      </c>
      <c r="D88" s="12" t="inlineStr">
        <is>
          <t>Supporting information/comments</t>
        </is>
      </c>
      <c r="E88" s="54">
        <f>'A1. Response summary'!W68</f>
        <v/>
      </c>
      <c r="W88" s="55" t="n"/>
    </row>
    <row r="89" ht="39" customHeight="1">
      <c r="B89" s="53" t="inlineStr">
        <is>
          <t>TR3(a)</t>
        </is>
      </c>
      <c r="D89" s="12" t="inlineStr">
        <is>
          <t>Data source and limitations</t>
        </is>
      </c>
      <c r="E89" s="54">
        <f>'A1. Response summary'!W69</f>
        <v/>
      </c>
      <c r="W89" s="55" t="n"/>
    </row>
    <row r="90" ht="22" customHeight="1">
      <c r="B90" s="53" t="inlineStr">
        <is>
          <t>TR3(a)</t>
        </is>
      </c>
      <c r="D90" s="12" t="inlineStr">
        <is>
          <t>Data owner confirms</t>
        </is>
      </c>
      <c r="E90" s="54">
        <f>'A1. Response summary'!W70</f>
        <v/>
      </c>
      <c r="W90" s="56" t="n"/>
    </row>
    <row r="91"/>
    <row r="92" ht="72" customHeight="1">
      <c r="B92" s="6" t="inlineStr">
        <is>
          <t>TR3(b)</t>
        </is>
      </c>
      <c r="C92" s="48" t="inlineStr">
        <is>
          <t>Demonstrated examples of more sustainable research practices in laboratories, fieldwork, procurement, travel or infrastructure use</t>
        </is>
      </c>
      <c r="D92" s="51" t="inlineStr">
        <is>
          <t>Unit</t>
        </is>
      </c>
      <c r="E92" s="51" t="inlineStr">
        <is>
          <t>ABP</t>
        </is>
      </c>
      <c r="F92" s="51" t="inlineStr">
        <is>
          <t>ARTS</t>
        </is>
      </c>
      <c r="G92" s="51" t="inlineStr">
        <is>
          <t>FBE</t>
        </is>
      </c>
      <c r="H92" s="51" t="inlineStr">
        <is>
          <t>SCI</t>
        </is>
      </c>
      <c r="I92" s="51" t="inlineStr">
        <is>
          <t>FAM</t>
        </is>
      </c>
      <c r="J92" s="51" t="inlineStr">
        <is>
          <t>FEIT</t>
        </is>
      </c>
      <c r="K92" s="51" t="inlineStr">
        <is>
          <t>FoE</t>
        </is>
      </c>
      <c r="L92" s="51" t="inlineStr">
        <is>
          <t>MLS</t>
        </is>
      </c>
      <c r="M92" s="51" t="inlineStr">
        <is>
          <t>MDHS</t>
        </is>
      </c>
      <c r="N92" s="51" t="inlineStr">
        <is>
          <t>CI&amp;S – Sustainability Strategy</t>
        </is>
      </c>
      <c r="O92" s="51" t="inlineStr">
        <is>
          <t>CFOG – Procurement</t>
        </is>
      </c>
      <c r="U92" s="52">
        <f>'A1. Response summary'!AF71</f>
        <v/>
      </c>
      <c r="V92" s="52">
        <f>'A1. Response summary'!AH71</f>
        <v/>
      </c>
      <c r="W92" s="7" t="n"/>
    </row>
    <row r="93" ht="39" customHeight="1">
      <c r="B93" s="53" t="inlineStr">
        <is>
          <t>TR3(b)</t>
        </is>
      </c>
      <c r="D93" s="12" t="inlineStr">
        <is>
          <t>OPTION 1:  Target-level reporting</t>
        </is>
      </c>
      <c r="E93" s="54">
        <f>'A1. Response summary'!H71</f>
        <v/>
      </c>
      <c r="F93" s="54">
        <f>'A1. Response summary'!I71</f>
        <v/>
      </c>
      <c r="G93" s="54">
        <f>'A1. Response summary'!J71</f>
        <v/>
      </c>
      <c r="H93" s="54">
        <f>'A1. Response summary'!K71</f>
        <v/>
      </c>
      <c r="I93" s="54">
        <f>'A1. Response summary'!L71</f>
        <v/>
      </c>
      <c r="J93" s="54">
        <f>'A1. Response summary'!M71</f>
        <v/>
      </c>
      <c r="K93" s="54">
        <f>'A1. Response summary'!N71</f>
        <v/>
      </c>
      <c r="L93" s="54">
        <f>'A1. Response summary'!O71</f>
        <v/>
      </c>
      <c r="M93" s="54">
        <f>'A1. Response summary'!P71</f>
        <v/>
      </c>
      <c r="N93" s="54">
        <f>'A1. Response summary'!R71</f>
        <v/>
      </c>
      <c r="O93" s="54">
        <f>'A1. Response summary'!S71</f>
        <v/>
      </c>
      <c r="W93" s="55" t="n"/>
    </row>
    <row r="94" ht="60" customHeight="1">
      <c r="B94" s="53" t="inlineStr">
        <is>
          <t>TR3(b)</t>
        </is>
      </c>
      <c r="D94" s="12" t="inlineStr">
        <is>
          <t>OPTION 2:  Indicator level reporting</t>
        </is>
      </c>
      <c r="E94" s="54">
        <f>'A1. Response summary'!H72</f>
        <v/>
      </c>
      <c r="F94" s="54">
        <f>'A1. Response summary'!I72</f>
        <v/>
      </c>
      <c r="G94" s="54">
        <f>'A1. Response summary'!J72</f>
        <v/>
      </c>
      <c r="H94" s="54">
        <f>'A1. Response summary'!K72</f>
        <v/>
      </c>
      <c r="I94" s="54">
        <f>'A1. Response summary'!L72</f>
        <v/>
      </c>
      <c r="J94" s="54">
        <f>'A1. Response summary'!M72</f>
        <v/>
      </c>
      <c r="K94" s="54">
        <f>'A1. Response summary'!N72</f>
        <v/>
      </c>
      <c r="L94" s="54">
        <f>'A1. Response summary'!O72</f>
        <v/>
      </c>
      <c r="M94" s="54">
        <f>'A1. Response summary'!P72</f>
        <v/>
      </c>
      <c r="N94" s="54">
        <f>'A1. Response summary'!R72</f>
        <v/>
      </c>
      <c r="O94" s="54">
        <f>'A1. Response summary'!S72</f>
        <v/>
      </c>
      <c r="W94" s="55" t="n"/>
    </row>
    <row r="95" ht="60" customHeight="1">
      <c r="B95" s="53" t="inlineStr">
        <is>
          <t>TR3(b)</t>
        </is>
      </c>
      <c r="D95" s="12" t="inlineStr">
        <is>
          <t>Supporting information/comments</t>
        </is>
      </c>
      <c r="E95" s="54">
        <f>'A1. Response summary'!H73</f>
        <v/>
      </c>
      <c r="F95" s="54">
        <f>'A1. Response summary'!I73</f>
        <v/>
      </c>
      <c r="G95" s="54">
        <f>'A1. Response summary'!J73</f>
        <v/>
      </c>
      <c r="H95" s="54">
        <f>'A1. Response summary'!K73</f>
        <v/>
      </c>
      <c r="I95" s="54">
        <f>'A1. Response summary'!L73</f>
        <v/>
      </c>
      <c r="J95" s="54">
        <f>'A1. Response summary'!M73</f>
        <v/>
      </c>
      <c r="K95" s="54">
        <f>'A1. Response summary'!N73</f>
        <v/>
      </c>
      <c r="L95" s="54">
        <f>'A1. Response summary'!O73</f>
        <v/>
      </c>
      <c r="M95" s="54">
        <f>'A1. Response summary'!P73</f>
        <v/>
      </c>
      <c r="N95" s="54">
        <f>'A1. Response summary'!R73</f>
        <v/>
      </c>
      <c r="O95" s="54">
        <f>'A1. Response summary'!S73</f>
        <v/>
      </c>
      <c r="W95" s="55" t="n"/>
    </row>
    <row r="96" ht="39" customHeight="1">
      <c r="B96" s="53" t="inlineStr">
        <is>
          <t>TR3(b)</t>
        </is>
      </c>
      <c r="D96" s="12" t="inlineStr">
        <is>
          <t>Data source and limitations</t>
        </is>
      </c>
      <c r="E96" s="54">
        <f>'A1. Response summary'!H74</f>
        <v/>
      </c>
      <c r="F96" s="54">
        <f>'A1. Response summary'!I74</f>
        <v/>
      </c>
      <c r="G96" s="54">
        <f>'A1. Response summary'!J74</f>
        <v/>
      </c>
      <c r="H96" s="54">
        <f>'A1. Response summary'!K74</f>
        <v/>
      </c>
      <c r="I96" s="54">
        <f>'A1. Response summary'!L74</f>
        <v/>
      </c>
      <c r="J96" s="54">
        <f>'A1. Response summary'!M74</f>
        <v/>
      </c>
      <c r="K96" s="54">
        <f>'A1. Response summary'!N74</f>
        <v/>
      </c>
      <c r="L96" s="54">
        <f>'A1. Response summary'!O74</f>
        <v/>
      </c>
      <c r="M96" s="54">
        <f>'A1. Response summary'!P74</f>
        <v/>
      </c>
      <c r="N96" s="54">
        <f>'A1. Response summary'!R74</f>
        <v/>
      </c>
      <c r="O96" s="54">
        <f>'A1. Response summary'!S74</f>
        <v/>
      </c>
      <c r="W96" s="55" t="n"/>
    </row>
    <row r="97" ht="22" customHeight="1">
      <c r="B97" s="53" t="inlineStr">
        <is>
          <t>TR3(b)</t>
        </is>
      </c>
      <c r="D97" s="12" t="inlineStr">
        <is>
          <t>Data owner confirms</t>
        </is>
      </c>
      <c r="E97" s="54">
        <f>'A1. Response summary'!H75</f>
        <v/>
      </c>
      <c r="F97" s="54">
        <f>'A1. Response summary'!I75</f>
        <v/>
      </c>
      <c r="G97" s="54">
        <f>'A1. Response summary'!J75</f>
        <v/>
      </c>
      <c r="H97" s="54">
        <f>'A1. Response summary'!K75</f>
        <v/>
      </c>
      <c r="I97" s="54">
        <f>'A1. Response summary'!L75</f>
        <v/>
      </c>
      <c r="J97" s="54">
        <f>'A1. Response summary'!M75</f>
        <v/>
      </c>
      <c r="K97" s="54">
        <f>'A1. Response summary'!N75</f>
        <v/>
      </c>
      <c r="L97" s="54">
        <f>'A1. Response summary'!O75</f>
        <v/>
      </c>
      <c r="M97" s="54">
        <f>'A1. Response summary'!P75</f>
        <v/>
      </c>
      <c r="N97" s="54">
        <f>'A1. Response summary'!R75</f>
        <v/>
      </c>
      <c r="O97" s="54">
        <f>'A1. Response summary'!S75</f>
        <v/>
      </c>
      <c r="W97" s="56" t="n"/>
    </row>
    <row r="98"/>
    <row r="99" ht="88" customHeight="1">
      <c r="B99" s="6" t="inlineStr">
        <is>
          <t>TR3(c)</t>
        </is>
      </c>
      <c r="C99" s="48" t="inlineStr">
        <is>
          <t>Evidence of progress in sustainability-related research culture, capability and awareness, informed by periodic staff and graduate researcher surveys</t>
        </is>
      </c>
      <c r="D99" s="51" t="inlineStr">
        <is>
          <t>Unit</t>
        </is>
      </c>
      <c r="E99" s="51" t="inlineStr">
        <is>
          <t>MRE – Research</t>
        </is>
      </c>
      <c r="U99" s="52">
        <f>'A1. Response summary'!AF76</f>
        <v/>
      </c>
      <c r="V99" s="52">
        <f>'A1. Response summary'!AH76</f>
        <v/>
      </c>
      <c r="W99" s="7" t="n"/>
    </row>
    <row r="100" ht="39" customHeight="1">
      <c r="B100" s="53" t="inlineStr">
        <is>
          <t>TR3(c)</t>
        </is>
      </c>
      <c r="D100" s="12" t="inlineStr">
        <is>
          <t>OPTION 1:  Target-level reporting</t>
        </is>
      </c>
      <c r="E100" s="54">
        <f>'A1. Response summary'!W76</f>
        <v/>
      </c>
      <c r="W100" s="55" t="n"/>
    </row>
    <row r="101" ht="60" customHeight="1">
      <c r="B101" s="53" t="inlineStr">
        <is>
          <t>TR3(c)</t>
        </is>
      </c>
      <c r="D101" s="12" t="inlineStr">
        <is>
          <t>OPTION 2:  Indicator level reporting</t>
        </is>
      </c>
      <c r="E101" s="54">
        <f>'A1. Response summary'!W77</f>
        <v/>
      </c>
      <c r="W101" s="55" t="n"/>
    </row>
    <row r="102" ht="60" customHeight="1">
      <c r="B102" s="53" t="inlineStr">
        <is>
          <t>TR3(c)</t>
        </is>
      </c>
      <c r="D102" s="12" t="inlineStr">
        <is>
          <t>Supporting information/comments</t>
        </is>
      </c>
      <c r="E102" s="54">
        <f>'A1. Response summary'!W78</f>
        <v/>
      </c>
      <c r="W102" s="55" t="n"/>
    </row>
    <row r="103" ht="39" customHeight="1">
      <c r="B103" s="53" t="inlineStr">
        <is>
          <t>TR3(c)</t>
        </is>
      </c>
      <c r="D103" s="12" t="inlineStr">
        <is>
          <t>Data source and limitations</t>
        </is>
      </c>
      <c r="E103" s="54">
        <f>'A1. Response summary'!W79</f>
        <v/>
      </c>
      <c r="W103" s="55" t="n"/>
    </row>
    <row r="104" ht="22" customHeight="1">
      <c r="B104" s="53" t="inlineStr">
        <is>
          <t>TR3(c)</t>
        </is>
      </c>
      <c r="D104" s="12" t="inlineStr">
        <is>
          <t>Data owner confirms</t>
        </is>
      </c>
      <c r="E104" s="54">
        <f>'A1. Response summary'!W80</f>
        <v/>
      </c>
      <c r="W104" s="56" t="n"/>
    </row>
    <row r="105"/>
    <row r="106" ht="56" customHeight="1">
      <c r="B106" s="6" t="inlineStr">
        <is>
          <t>TR3(d)</t>
        </is>
      </c>
      <c r="C106" s="48" t="inlineStr">
        <is>
          <t>Expert assessment of progress in embedding sustainable research practices across the institution.</t>
        </is>
      </c>
      <c r="D106" s="51" t="inlineStr">
        <is>
          <t>Unit</t>
        </is>
      </c>
      <c r="E106" s="51" t="inlineStr">
        <is>
          <t>MRE – Research</t>
        </is>
      </c>
      <c r="U106" s="52">
        <f>'A1. Response summary'!AF81</f>
        <v/>
      </c>
      <c r="V106" s="52">
        <f>'A1. Response summary'!AH81</f>
        <v/>
      </c>
      <c r="W106" s="7" t="n"/>
    </row>
    <row r="107" ht="39" customHeight="1">
      <c r="B107" s="53" t="inlineStr">
        <is>
          <t>TR3(d)</t>
        </is>
      </c>
      <c r="D107" s="12" t="inlineStr">
        <is>
          <t>OPTION 1:  Target-level reporting</t>
        </is>
      </c>
      <c r="E107" s="54">
        <f>'A1. Response summary'!W81</f>
        <v/>
      </c>
      <c r="W107" s="55" t="n"/>
    </row>
    <row r="108" ht="60" customHeight="1">
      <c r="B108" s="53" t="inlineStr">
        <is>
          <t>TR3(d)</t>
        </is>
      </c>
      <c r="D108" s="12" t="inlineStr">
        <is>
          <t>OPTION 2:  Indicator level reporting</t>
        </is>
      </c>
      <c r="E108" s="54">
        <f>'A1. Response summary'!W82</f>
        <v/>
      </c>
      <c r="W108" s="55" t="n"/>
    </row>
    <row r="109" ht="60" customHeight="1">
      <c r="B109" s="53" t="inlineStr">
        <is>
          <t>TR3(d)</t>
        </is>
      </c>
      <c r="D109" s="12" t="inlineStr">
        <is>
          <t>Supporting information/comments</t>
        </is>
      </c>
      <c r="E109" s="54">
        <f>'A1. Response summary'!W83</f>
        <v/>
      </c>
      <c r="W109" s="55" t="n"/>
    </row>
    <row r="110" ht="39" customHeight="1">
      <c r="B110" s="53" t="inlineStr">
        <is>
          <t>TR3(d)</t>
        </is>
      </c>
      <c r="D110" s="12" t="inlineStr">
        <is>
          <t>Data source and limitations</t>
        </is>
      </c>
      <c r="E110" s="54">
        <f>'A1. Response summary'!W84</f>
        <v/>
      </c>
      <c r="W110" s="55" t="n"/>
    </row>
    <row r="111" ht="22" customHeight="1">
      <c r="B111" s="53" t="inlineStr">
        <is>
          <t>TR3(d)</t>
        </is>
      </c>
      <c r="D111" s="12" t="inlineStr">
        <is>
          <t>Data owner confirms</t>
        </is>
      </c>
      <c r="E111" s="54">
        <f>'A1. Response summary'!W85</f>
        <v/>
      </c>
      <c r="W111" s="56" t="n"/>
    </row>
    <row r="112"/>
    <row r="113" ht="39" customHeight="1">
      <c r="B113" s="6" t="inlineStr">
        <is>
          <t>CL1(c)</t>
        </is>
      </c>
      <c r="C113" s="48" t="inlineStr">
        <is>
          <t>Review of Climate Leadership targets by 2030.[2]</t>
        </is>
      </c>
      <c r="D113" s="51" t="inlineStr">
        <is>
          <t>Unit</t>
        </is>
      </c>
      <c r="E113" s="51" t="inlineStr">
        <is>
          <t>CI&amp;S – Sustainability Strategy</t>
        </is>
      </c>
      <c r="U113" s="52">
        <f>'A1. Response summary'!AF86</f>
        <v/>
      </c>
      <c r="V113" s="52">
        <f>'A1. Response summary'!AH86</f>
        <v/>
      </c>
      <c r="W113" s="7" t="n"/>
    </row>
    <row r="114" ht="39" customHeight="1">
      <c r="B114" s="53" t="inlineStr">
        <is>
          <t>CL1(c)</t>
        </is>
      </c>
      <c r="D114" s="12" t="inlineStr">
        <is>
          <t>OPTION 1:  Target-level reporting</t>
        </is>
      </c>
      <c r="E114" s="54">
        <f>'A1. Response summary'!R86</f>
        <v/>
      </c>
      <c r="W114" s="55" t="n"/>
    </row>
    <row r="115" ht="60" customHeight="1">
      <c r="B115" s="53" t="inlineStr">
        <is>
          <t>CL1(c)</t>
        </is>
      </c>
      <c r="D115" s="12" t="inlineStr">
        <is>
          <t>OPTION 2:  Indicator level reporting</t>
        </is>
      </c>
      <c r="E115" s="54">
        <f>'A1. Response summary'!R87</f>
        <v/>
      </c>
      <c r="W115" s="55" t="n"/>
    </row>
    <row r="116" ht="60" customHeight="1">
      <c r="B116" s="53" t="inlineStr">
        <is>
          <t>CL1(c)</t>
        </is>
      </c>
      <c r="D116" s="12" t="inlineStr">
        <is>
          <t>Supporting information/comments</t>
        </is>
      </c>
      <c r="E116" s="54">
        <f>'A1. Response summary'!R88</f>
        <v/>
      </c>
      <c r="W116" s="55" t="n"/>
    </row>
    <row r="117" ht="39" customHeight="1">
      <c r="B117" s="53" t="inlineStr">
        <is>
          <t>CL1(c)</t>
        </is>
      </c>
      <c r="D117" s="12" t="inlineStr">
        <is>
          <t>Data source and limitations</t>
        </is>
      </c>
      <c r="E117" s="54">
        <f>'A1. Response summary'!R89</f>
        <v/>
      </c>
      <c r="W117" s="55" t="n"/>
    </row>
    <row r="118" ht="22" customHeight="1">
      <c r="B118" s="53" t="inlineStr">
        <is>
          <t>CL1(c)</t>
        </is>
      </c>
      <c r="D118" s="12" t="inlineStr">
        <is>
          <t>Data owner confirms</t>
        </is>
      </c>
      <c r="E118" s="54">
        <f>'A1. Response summary'!R90</f>
        <v/>
      </c>
      <c r="W118" s="56" t="n"/>
    </row>
    <row r="119"/>
    <row r="120" ht="88" customHeight="1">
      <c r="B120" s="6" t="inlineStr">
        <is>
          <t>CL2(a)</t>
        </is>
      </c>
      <c r="C120" s="48" t="inlineStr">
        <is>
          <t>By 2028, develop and document institutional mapping of research and education activities that are designed to contribute to global decarbonisation</t>
        </is>
      </c>
      <c r="D120" s="51" t="inlineStr">
        <is>
          <t>Unit</t>
        </is>
      </c>
      <c r="E120" s="51" t="inlineStr">
        <is>
          <t>AC&amp;M – Advancement, Communication and Marketing</t>
        </is>
      </c>
      <c r="U120" s="52">
        <f>'A1. Response summary'!AF91</f>
        <v/>
      </c>
      <c r="V120" s="52">
        <f>'A1. Response summary'!AH91</f>
        <v/>
      </c>
      <c r="W120" s="7" t="n"/>
    </row>
    <row r="121" ht="39" customHeight="1">
      <c r="B121" s="53" t="inlineStr">
        <is>
          <t>CL2(a)</t>
        </is>
      </c>
      <c r="D121" s="12" t="inlineStr">
        <is>
          <t>OPTION 1:  Target-level reporting</t>
        </is>
      </c>
      <c r="E121" s="54">
        <f>'A1. Response summary'!X91</f>
        <v/>
      </c>
      <c r="W121" s="55" t="n"/>
    </row>
    <row r="122" ht="60" customHeight="1">
      <c r="B122" s="53" t="inlineStr">
        <is>
          <t>CL2(a)</t>
        </is>
      </c>
      <c r="D122" s="12" t="inlineStr">
        <is>
          <t>OPTION 2:  Indicator level reporting</t>
        </is>
      </c>
      <c r="E122" s="54">
        <f>'A1. Response summary'!X92</f>
        <v/>
      </c>
      <c r="W122" s="55" t="n"/>
    </row>
    <row r="123" ht="60" customHeight="1">
      <c r="B123" s="53" t="inlineStr">
        <is>
          <t>CL2(a)</t>
        </is>
      </c>
      <c r="D123" s="12" t="inlineStr">
        <is>
          <t>Supporting information/comments</t>
        </is>
      </c>
      <c r="E123" s="54">
        <f>'A1. Response summary'!X93</f>
        <v/>
      </c>
      <c r="W123" s="55" t="n"/>
    </row>
    <row r="124" ht="39" customHeight="1">
      <c r="B124" s="53" t="inlineStr">
        <is>
          <t>CL2(a)</t>
        </is>
      </c>
      <c r="D124" s="12" t="inlineStr">
        <is>
          <t>Data source and limitations</t>
        </is>
      </c>
      <c r="E124" s="54">
        <f>'A1. Response summary'!X94</f>
        <v/>
      </c>
      <c r="W124" s="55" t="n"/>
    </row>
    <row r="125" ht="22" customHeight="1">
      <c r="B125" s="53" t="inlineStr">
        <is>
          <t>CL2(a)</t>
        </is>
      </c>
      <c r="D125" s="12" t="inlineStr">
        <is>
          <t>Data owner confirms</t>
        </is>
      </c>
      <c r="E125" s="54">
        <f>'A1. Response summary'!X95</f>
        <v/>
      </c>
      <c r="W125" s="56" t="n"/>
    </row>
    <row r="126"/>
    <row r="127" ht="88" customHeight="1">
      <c r="B127" s="6" t="inlineStr">
        <is>
          <t>CL2(c)</t>
        </is>
      </c>
      <c r="C127" s="48" t="inlineStr">
        <is>
          <t>Ongoing communications that evidence the University’s climate action, research and learning to inform policy, sector and community decarbonisation efforts.</t>
        </is>
      </c>
      <c r="D127" s="51" t="inlineStr">
        <is>
          <t>Unit</t>
        </is>
      </c>
      <c r="E127" s="51" t="inlineStr">
        <is>
          <t>AC&amp;M – Advancement, Communication and Marketing</t>
        </is>
      </c>
      <c r="U127" s="52">
        <f>'A1. Response summary'!AF96</f>
        <v/>
      </c>
      <c r="V127" s="52">
        <f>'A1. Response summary'!AH96</f>
        <v/>
      </c>
      <c r="W127" s="7" t="n"/>
    </row>
    <row r="128" ht="39" customHeight="1">
      <c r="B128" s="53" t="inlineStr">
        <is>
          <t>CL2(c)</t>
        </is>
      </c>
      <c r="D128" s="12" t="inlineStr">
        <is>
          <t>OPTION 1:  Target-level reporting</t>
        </is>
      </c>
      <c r="E128" s="54">
        <f>'A1. Response summary'!X96</f>
        <v/>
      </c>
      <c r="W128" s="55" t="n"/>
    </row>
    <row r="129" ht="60" customHeight="1">
      <c r="B129" s="53" t="inlineStr">
        <is>
          <t>CL2(c)</t>
        </is>
      </c>
      <c r="D129" s="12" t="inlineStr">
        <is>
          <t>OPTION 2:  Indicator level reporting</t>
        </is>
      </c>
      <c r="E129" s="54">
        <f>'A1. Response summary'!X97</f>
        <v/>
      </c>
      <c r="W129" s="55" t="n"/>
    </row>
    <row r="130" ht="60" customHeight="1">
      <c r="B130" s="53" t="inlineStr">
        <is>
          <t>CL2(c)</t>
        </is>
      </c>
      <c r="D130" s="12" t="inlineStr">
        <is>
          <t>Supporting information/comments</t>
        </is>
      </c>
      <c r="E130" s="54">
        <f>'A1. Response summary'!X98</f>
        <v/>
      </c>
      <c r="W130" s="55" t="n"/>
    </row>
    <row r="131" ht="39" customHeight="1">
      <c r="B131" s="53" t="inlineStr">
        <is>
          <t>CL2(c)</t>
        </is>
      </c>
      <c r="D131" s="12" t="inlineStr">
        <is>
          <t>Data source and limitations</t>
        </is>
      </c>
      <c r="E131" s="54">
        <f>'A1. Response summary'!X99</f>
        <v/>
      </c>
      <c r="W131" s="55" t="n"/>
    </row>
    <row r="132" ht="22" customHeight="1">
      <c r="B132" s="53" t="inlineStr">
        <is>
          <t>CL2(c)</t>
        </is>
      </c>
      <c r="D132" s="12" t="inlineStr">
        <is>
          <t>Data owner confirms</t>
        </is>
      </c>
      <c r="E132" s="54">
        <f>'A1. Response summary'!X100</f>
        <v/>
      </c>
      <c r="W132" s="56" t="n"/>
    </row>
    <row r="133"/>
    <row r="134" ht="220" customHeight="1">
      <c r="B134" s="6" t="inlineStr">
        <is>
          <t>CL3(a)</t>
        </is>
      </c>
      <c r="C134" s="4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D134" s="51" t="inlineStr">
        <is>
          <t>Unit</t>
        </is>
      </c>
      <c r="E134" s="51" t="inlineStr">
        <is>
          <t>CI&amp;S – Estate Planning &amp; Development</t>
        </is>
      </c>
      <c r="F134" s="51" t="inlineStr">
        <is>
          <t>Legal &amp; Risk – Risk &amp; resilience</t>
        </is>
      </c>
      <c r="U134" s="52">
        <f>'A1. Response summary'!AF101</f>
        <v/>
      </c>
      <c r="V134" s="52">
        <f>'A1. Response summary'!AH101</f>
        <v/>
      </c>
      <c r="W134" s="7" t="n"/>
    </row>
    <row r="135" ht="39" customHeight="1">
      <c r="B135" s="53" t="inlineStr">
        <is>
          <t>CL3(a)</t>
        </is>
      </c>
      <c r="D135" s="12" t="inlineStr">
        <is>
          <t>OPTION 1:  Target-level reporting</t>
        </is>
      </c>
      <c r="E135" s="54">
        <f>'A1. Response summary'!Q101</f>
        <v/>
      </c>
      <c r="F135" s="54">
        <f>'A1. Response summary'!AC101</f>
        <v/>
      </c>
      <c r="W135" s="55" t="n"/>
    </row>
    <row r="136" ht="60" customHeight="1">
      <c r="B136" s="53" t="inlineStr">
        <is>
          <t>CL3(a)</t>
        </is>
      </c>
      <c r="D136" s="12" t="inlineStr">
        <is>
          <t>OPTION 2:  Indicator level reporting</t>
        </is>
      </c>
      <c r="E136" s="54">
        <f>'A1. Response summary'!Q102</f>
        <v/>
      </c>
      <c r="F136" s="54">
        <f>'A1. Response summary'!AC102</f>
        <v/>
      </c>
      <c r="W136" s="55" t="n"/>
    </row>
    <row r="137" ht="60" customHeight="1">
      <c r="B137" s="53" t="inlineStr">
        <is>
          <t>CL3(a)</t>
        </is>
      </c>
      <c r="D137" s="12" t="inlineStr">
        <is>
          <t>Supporting information/comments</t>
        </is>
      </c>
      <c r="E137" s="54">
        <f>'A1. Response summary'!Q103</f>
        <v/>
      </c>
      <c r="F137" s="54">
        <f>'A1. Response summary'!AC103</f>
        <v/>
      </c>
      <c r="W137" s="55" t="n"/>
    </row>
    <row r="138" ht="39" customHeight="1">
      <c r="B138" s="53" t="inlineStr">
        <is>
          <t>CL3(a)</t>
        </is>
      </c>
      <c r="D138" s="12" t="inlineStr">
        <is>
          <t>Data source and limitations</t>
        </is>
      </c>
      <c r="E138" s="54">
        <f>'A1. Response summary'!Q104</f>
        <v/>
      </c>
      <c r="F138" s="54">
        <f>'A1. Response summary'!AC104</f>
        <v/>
      </c>
      <c r="W138" s="55" t="n"/>
    </row>
    <row r="139" ht="22" customHeight="1">
      <c r="B139" s="53" t="inlineStr">
        <is>
          <t>CL3(a)</t>
        </is>
      </c>
      <c r="D139" s="12" t="inlineStr">
        <is>
          <t>Data owner confirms</t>
        </is>
      </c>
      <c r="E139" s="54">
        <f>'A1. Response summary'!Q105</f>
        <v/>
      </c>
      <c r="F139" s="54">
        <f>'A1. Response summary'!AC105</f>
        <v/>
      </c>
      <c r="W139" s="56" t="n"/>
    </row>
    <row r="140"/>
    <row r="141" ht="56" customHeight="1">
      <c r="B141" s="6" t="inlineStr">
        <is>
          <t>NB1(b)</t>
        </is>
      </c>
      <c r="C141" s="48" t="inlineStr">
        <is>
          <t>Size, health and diversity of remnant vegetation at the Dookie and Creswick campuses</t>
        </is>
      </c>
      <c r="D141" s="51" t="inlineStr">
        <is>
          <t>Unit</t>
        </is>
      </c>
      <c r="E141" s="51" t="inlineStr">
        <is>
          <t>ESG – Campus Operations &amp; Sustainability Delivery</t>
        </is>
      </c>
      <c r="U141" s="52">
        <f>'A1. Response summary'!AF106</f>
        <v/>
      </c>
      <c r="V141" s="52">
        <f>'A1. Response summary'!AH106</f>
        <v/>
      </c>
      <c r="W141" s="7" t="n"/>
    </row>
    <row r="142" ht="39" customHeight="1">
      <c r="B142" s="53" t="inlineStr">
        <is>
          <t>NB1(b)</t>
        </is>
      </c>
      <c r="D142" s="12" t="inlineStr">
        <is>
          <t>OPTION 1:  Target-level reporting</t>
        </is>
      </c>
      <c r="E142" s="54">
        <f>'A1. Response summary'!U106</f>
        <v/>
      </c>
      <c r="W142" s="55" t="n"/>
    </row>
    <row r="143" ht="60" customHeight="1">
      <c r="B143" s="53" t="inlineStr">
        <is>
          <t>NB1(b)</t>
        </is>
      </c>
      <c r="D143" s="12" t="inlineStr">
        <is>
          <t>OPTION 2:  Indicator level reporting</t>
        </is>
      </c>
      <c r="E143" s="54">
        <f>'A1. Response summary'!U107</f>
        <v/>
      </c>
      <c r="W143" s="55" t="n"/>
    </row>
    <row r="144" ht="60" customHeight="1">
      <c r="B144" s="53" t="inlineStr">
        <is>
          <t>NB1(b)</t>
        </is>
      </c>
      <c r="D144" s="12" t="inlineStr">
        <is>
          <t>Supporting information/comments</t>
        </is>
      </c>
      <c r="E144" s="54">
        <f>'A1. Response summary'!U108</f>
        <v/>
      </c>
      <c r="W144" s="55" t="n"/>
    </row>
    <row r="145" ht="39" customHeight="1">
      <c r="B145" s="53" t="inlineStr">
        <is>
          <t>NB1(b)</t>
        </is>
      </c>
      <c r="D145" s="12" t="inlineStr">
        <is>
          <t>Data source and limitations</t>
        </is>
      </c>
      <c r="E145" s="54">
        <f>'A1. Response summary'!U109</f>
        <v/>
      </c>
      <c r="W145" s="55" t="n"/>
    </row>
    <row r="146" ht="22" customHeight="1">
      <c r="B146" s="53" t="inlineStr">
        <is>
          <t>NB1(b)</t>
        </is>
      </c>
      <c r="D146" s="12" t="inlineStr">
        <is>
          <t>Data owner confirms</t>
        </is>
      </c>
      <c r="E146" s="54">
        <f>'A1. Response summary'!U110</f>
        <v/>
      </c>
      <c r="W146" s="56" t="n"/>
    </row>
    <row r="147"/>
    <row r="148" ht="39" customHeight="1">
      <c r="B148" s="6" t="inlineStr">
        <is>
          <t>NB1(c)</t>
        </is>
      </c>
      <c r="C148" s="48" t="inlineStr">
        <is>
          <t>Defined quality measurement framework</t>
        </is>
      </c>
      <c r="D148" s="51" t="inlineStr">
        <is>
          <t>Unit</t>
        </is>
      </c>
      <c r="E148" s="51" t="inlineStr">
        <is>
          <t>ESG – Campus Operations &amp; Sustainability Delivery</t>
        </is>
      </c>
      <c r="U148" s="52">
        <f>'A1. Response summary'!AF111</f>
        <v/>
      </c>
      <c r="V148" s="52">
        <f>'A1. Response summary'!AH111</f>
        <v/>
      </c>
      <c r="W148" s="7" t="n"/>
    </row>
    <row r="149" ht="39" customHeight="1">
      <c r="B149" s="53" t="inlineStr">
        <is>
          <t>NB1(c)</t>
        </is>
      </c>
      <c r="D149" s="12" t="inlineStr">
        <is>
          <t>OPTION 1:  Target-level reporting</t>
        </is>
      </c>
      <c r="E149" s="54">
        <f>'A1. Response summary'!U111</f>
        <v/>
      </c>
      <c r="W149" s="55" t="n"/>
    </row>
    <row r="150" ht="60" customHeight="1">
      <c r="B150" s="53" t="inlineStr">
        <is>
          <t>NB1(c)</t>
        </is>
      </c>
      <c r="D150" s="12" t="inlineStr">
        <is>
          <t>OPTION 2:  Indicator level reporting</t>
        </is>
      </c>
      <c r="E150" s="54">
        <f>'A1. Response summary'!U112</f>
        <v/>
      </c>
      <c r="W150" s="55" t="n"/>
    </row>
    <row r="151" ht="60" customHeight="1">
      <c r="B151" s="53" t="inlineStr">
        <is>
          <t>NB1(c)</t>
        </is>
      </c>
      <c r="D151" s="12" t="inlineStr">
        <is>
          <t>Supporting information/comments</t>
        </is>
      </c>
      <c r="E151" s="54">
        <f>'A1. Response summary'!U113</f>
        <v/>
      </c>
      <c r="W151" s="55" t="n"/>
    </row>
    <row r="152" ht="39" customHeight="1">
      <c r="B152" s="53" t="inlineStr">
        <is>
          <t>NB1(c)</t>
        </is>
      </c>
      <c r="D152" s="12" t="inlineStr">
        <is>
          <t>Data source and limitations</t>
        </is>
      </c>
      <c r="E152" s="54">
        <f>'A1. Response summary'!U114</f>
        <v/>
      </c>
      <c r="W152" s="55" t="n"/>
    </row>
    <row r="153" ht="22" customHeight="1">
      <c r="B153" s="53" t="inlineStr">
        <is>
          <t>NB1(c)</t>
        </is>
      </c>
      <c r="D153" s="12" t="inlineStr">
        <is>
          <t>Data owner confirms</t>
        </is>
      </c>
      <c r="E153" s="54">
        <f>'A1. Response summary'!U115</f>
        <v/>
      </c>
      <c r="W153" s="56" t="n"/>
    </row>
    <row r="154"/>
    <row r="155" ht="39" customHeight="1">
      <c r="B155" s="6" t="inlineStr">
        <is>
          <t>NB1(d)</t>
        </is>
      </c>
      <c r="C155" s="48" t="inlineStr">
        <is>
          <t>Defined and quantified campus connectivity</t>
        </is>
      </c>
      <c r="D155" s="51" t="inlineStr">
        <is>
          <t>Unit</t>
        </is>
      </c>
      <c r="E155" s="51" t="inlineStr">
        <is>
          <t>ESG – Campus Operations &amp; Sustainability Delivery</t>
        </is>
      </c>
      <c r="U155" s="52">
        <f>'A1. Response summary'!AF116</f>
        <v/>
      </c>
      <c r="V155" s="52">
        <f>'A1. Response summary'!AH116</f>
        <v/>
      </c>
      <c r="W155" s="7" t="n"/>
    </row>
    <row r="156" ht="39" customHeight="1">
      <c r="B156" s="53" t="inlineStr">
        <is>
          <t>NB1(d)</t>
        </is>
      </c>
      <c r="D156" s="12" t="inlineStr">
        <is>
          <t>OPTION 1:  Target-level reporting</t>
        </is>
      </c>
      <c r="E156" s="54">
        <f>'A1. Response summary'!U116</f>
        <v/>
      </c>
      <c r="W156" s="55" t="n"/>
    </row>
    <row r="157" ht="60" customHeight="1">
      <c r="B157" s="53" t="inlineStr">
        <is>
          <t>NB1(d)</t>
        </is>
      </c>
      <c r="D157" s="12" t="inlineStr">
        <is>
          <t>OPTION 2:  Indicator level reporting</t>
        </is>
      </c>
      <c r="E157" s="54">
        <f>'A1. Response summary'!U117</f>
        <v/>
      </c>
      <c r="W157" s="55" t="n"/>
    </row>
    <row r="158" ht="60" customHeight="1">
      <c r="B158" s="53" t="inlineStr">
        <is>
          <t>NB1(d)</t>
        </is>
      </c>
      <c r="D158" s="12" t="inlineStr">
        <is>
          <t>Supporting information/comments</t>
        </is>
      </c>
      <c r="E158" s="54">
        <f>'A1. Response summary'!U118</f>
        <v/>
      </c>
      <c r="W158" s="55" t="n"/>
    </row>
    <row r="159" ht="39" customHeight="1">
      <c r="B159" s="53" t="inlineStr">
        <is>
          <t>NB1(d)</t>
        </is>
      </c>
      <c r="D159" s="12" t="inlineStr">
        <is>
          <t>Data source and limitations</t>
        </is>
      </c>
      <c r="E159" s="54">
        <f>'A1. Response summary'!U119</f>
        <v/>
      </c>
      <c r="W159" s="55" t="n"/>
    </row>
    <row r="160" ht="22" customHeight="1">
      <c r="B160" s="53" t="inlineStr">
        <is>
          <t>NB1(d)</t>
        </is>
      </c>
      <c r="D160" s="12" t="inlineStr">
        <is>
          <t>Data owner confirms</t>
        </is>
      </c>
      <c r="E160" s="54">
        <f>'A1. Response summary'!U120</f>
        <v/>
      </c>
      <c r="W160" s="56" t="n"/>
    </row>
    <row r="161"/>
    <row r="162" ht="39" customHeight="1">
      <c r="B162" s="6" t="inlineStr">
        <is>
          <t>NB2(a)</t>
        </is>
      </c>
      <c r="C162" s="48" t="inlineStr">
        <is>
          <t>Documented baseline nature footprint analysis</t>
        </is>
      </c>
      <c r="D162" s="51" t="inlineStr">
        <is>
          <t>Unit</t>
        </is>
      </c>
      <c r="E162" s="51" t="inlineStr">
        <is>
          <t>MRE – Research</t>
        </is>
      </c>
      <c r="U162" s="52">
        <f>'A1. Response summary'!AF121</f>
        <v/>
      </c>
      <c r="V162" s="52">
        <f>'A1. Response summary'!AH121</f>
        <v/>
      </c>
      <c r="W162" s="7" t="n"/>
    </row>
    <row r="163" ht="39" customHeight="1">
      <c r="B163" s="53" t="inlineStr">
        <is>
          <t>NB2(a)</t>
        </is>
      </c>
      <c r="D163" s="12" t="inlineStr">
        <is>
          <t>OPTION 1:  Target-level reporting</t>
        </is>
      </c>
      <c r="E163" s="54">
        <f>'A1. Response summary'!W121</f>
        <v/>
      </c>
      <c r="W163" s="55" t="n"/>
    </row>
    <row r="164" ht="60" customHeight="1">
      <c r="B164" s="53" t="inlineStr">
        <is>
          <t>NB2(a)</t>
        </is>
      </c>
      <c r="D164" s="12" t="inlineStr">
        <is>
          <t>OPTION 2:  Indicator level reporting</t>
        </is>
      </c>
      <c r="E164" s="54">
        <f>'A1. Response summary'!W122</f>
        <v/>
      </c>
      <c r="W164" s="55" t="n"/>
    </row>
    <row r="165" ht="60" customHeight="1">
      <c r="B165" s="53" t="inlineStr">
        <is>
          <t>NB2(a)</t>
        </is>
      </c>
      <c r="D165" s="12" t="inlineStr">
        <is>
          <t>Supporting information/comments</t>
        </is>
      </c>
      <c r="E165" s="54">
        <f>'A1. Response summary'!W123</f>
        <v/>
      </c>
      <c r="W165" s="55" t="n"/>
    </row>
    <row r="166" ht="39" customHeight="1">
      <c r="B166" s="53" t="inlineStr">
        <is>
          <t>NB2(a)</t>
        </is>
      </c>
      <c r="D166" s="12" t="inlineStr">
        <is>
          <t>Data source and limitations</t>
        </is>
      </c>
      <c r="E166" s="54">
        <f>'A1. Response summary'!W124</f>
        <v/>
      </c>
      <c r="W166" s="55" t="n"/>
    </row>
    <row r="167" ht="22" customHeight="1">
      <c r="B167" s="53" t="inlineStr">
        <is>
          <t>NB2(a)</t>
        </is>
      </c>
      <c r="D167" s="12" t="inlineStr">
        <is>
          <t>Data owner confirms</t>
        </is>
      </c>
      <c r="E167" s="54">
        <f>'A1. Response summary'!W125</f>
        <v/>
      </c>
      <c r="W167" s="56" t="n"/>
    </row>
    <row r="168"/>
    <row r="169" ht="56" customHeight="1">
      <c r="B169" s="6" t="inlineStr">
        <is>
          <t>NB2(b)</t>
        </is>
      </c>
      <c r="C169" s="48" t="inlineStr">
        <is>
          <t>Evidence of established framework to monitor and track supply-chain nature impacts over time</t>
        </is>
      </c>
      <c r="D169" s="51" t="inlineStr">
        <is>
          <t>Unit</t>
        </is>
      </c>
      <c r="E169" s="51" t="inlineStr">
        <is>
          <t>ESG – Campus Operations &amp; Sustainability Delivery</t>
        </is>
      </c>
      <c r="U169" s="52">
        <f>'A1. Response summary'!AF126</f>
        <v/>
      </c>
      <c r="V169" s="52">
        <f>'A1. Response summary'!AH126</f>
        <v/>
      </c>
      <c r="W169" s="7" t="n"/>
    </row>
    <row r="170" ht="39" customHeight="1">
      <c r="B170" s="53" t="inlineStr">
        <is>
          <t>NB2(b)</t>
        </is>
      </c>
      <c r="D170" s="12" t="inlineStr">
        <is>
          <t>OPTION 1:  Target-level reporting</t>
        </is>
      </c>
      <c r="E170" s="54">
        <f>'A1. Response summary'!U126</f>
        <v/>
      </c>
      <c r="W170" s="55" t="n"/>
    </row>
    <row r="171" ht="60" customHeight="1">
      <c r="B171" s="53" t="inlineStr">
        <is>
          <t>NB2(b)</t>
        </is>
      </c>
      <c r="D171" s="12" t="inlineStr">
        <is>
          <t>OPTION 2:  Indicator level reporting</t>
        </is>
      </c>
      <c r="E171" s="54">
        <f>'A1. Response summary'!U127</f>
        <v/>
      </c>
      <c r="W171" s="55" t="n"/>
    </row>
    <row r="172" ht="60" customHeight="1">
      <c r="B172" s="53" t="inlineStr">
        <is>
          <t>NB2(b)</t>
        </is>
      </c>
      <c r="D172" s="12" t="inlineStr">
        <is>
          <t>Supporting information/comments</t>
        </is>
      </c>
      <c r="E172" s="54">
        <f>'A1. Response summary'!U128</f>
        <v/>
      </c>
      <c r="W172" s="55" t="n"/>
    </row>
    <row r="173" ht="39" customHeight="1">
      <c r="B173" s="53" t="inlineStr">
        <is>
          <t>NB2(b)</t>
        </is>
      </c>
      <c r="D173" s="12" t="inlineStr">
        <is>
          <t>Data source and limitations</t>
        </is>
      </c>
      <c r="E173" s="54">
        <f>'A1. Response summary'!U129</f>
        <v/>
      </c>
      <c r="W173" s="55" t="n"/>
    </row>
    <row r="174" ht="22" customHeight="1">
      <c r="B174" s="53" t="inlineStr">
        <is>
          <t>NB2(b)</t>
        </is>
      </c>
      <c r="D174" s="12" t="inlineStr">
        <is>
          <t>Data owner confirms</t>
        </is>
      </c>
      <c r="E174" s="54">
        <f>'A1. Response summary'!U130</f>
        <v/>
      </c>
      <c r="W174" s="56" t="n"/>
    </row>
    <row r="175"/>
    <row r="176" ht="56" customHeight="1">
      <c r="B176" s="6" t="inlineStr">
        <is>
          <t>NB2(c)</t>
        </is>
      </c>
      <c r="C176" s="48" t="inlineStr">
        <is>
          <t>Evidence of prioritised high risk procurement categories or suppliers for nature impact management</t>
        </is>
      </c>
      <c r="D176" s="51" t="inlineStr">
        <is>
          <t>Unit</t>
        </is>
      </c>
      <c r="E176" s="51" t="inlineStr">
        <is>
          <t>CFOG – Procurement</t>
        </is>
      </c>
      <c r="F176" s="51" t="inlineStr">
        <is>
          <t>ESG – Campus Operations &amp; Sustainability Delivery</t>
        </is>
      </c>
      <c r="U176" s="52">
        <f>'A1. Response summary'!AF131</f>
        <v/>
      </c>
      <c r="V176" s="52">
        <f>'A1. Response summary'!AH131</f>
        <v/>
      </c>
      <c r="W176" s="7" t="n"/>
    </row>
    <row r="177" ht="39" customHeight="1">
      <c r="B177" s="53" t="inlineStr">
        <is>
          <t>NB2(c)</t>
        </is>
      </c>
      <c r="D177" s="12" t="inlineStr">
        <is>
          <t>OPTION 1:  Target-level reporting</t>
        </is>
      </c>
      <c r="E177" s="54">
        <f>'A1. Response summary'!S131</f>
        <v/>
      </c>
      <c r="F177" s="54">
        <f>'A1. Response summary'!U131</f>
        <v/>
      </c>
      <c r="W177" s="55" t="n"/>
    </row>
    <row r="178" ht="60" customHeight="1">
      <c r="B178" s="53" t="inlineStr">
        <is>
          <t>NB2(c)</t>
        </is>
      </c>
      <c r="D178" s="12" t="inlineStr">
        <is>
          <t>OPTION 2:  Indicator level reporting</t>
        </is>
      </c>
      <c r="E178" s="54">
        <f>'A1. Response summary'!S132</f>
        <v/>
      </c>
      <c r="F178" s="54">
        <f>'A1. Response summary'!U132</f>
        <v/>
      </c>
      <c r="W178" s="55" t="n"/>
    </row>
    <row r="179" ht="60" customHeight="1">
      <c r="B179" s="53" t="inlineStr">
        <is>
          <t>NB2(c)</t>
        </is>
      </c>
      <c r="D179" s="12" t="inlineStr">
        <is>
          <t>Supporting information/comments</t>
        </is>
      </c>
      <c r="E179" s="54">
        <f>'A1. Response summary'!S133</f>
        <v/>
      </c>
      <c r="F179" s="54">
        <f>'A1. Response summary'!U133</f>
        <v/>
      </c>
      <c r="W179" s="55" t="n"/>
    </row>
    <row r="180" ht="39" customHeight="1">
      <c r="B180" s="53" t="inlineStr">
        <is>
          <t>NB2(c)</t>
        </is>
      </c>
      <c r="D180" s="12" t="inlineStr">
        <is>
          <t>Data source and limitations</t>
        </is>
      </c>
      <c r="E180" s="54">
        <f>'A1. Response summary'!S134</f>
        <v/>
      </c>
      <c r="F180" s="54">
        <f>'A1. Response summary'!U134</f>
        <v/>
      </c>
      <c r="W180" s="55" t="n"/>
    </row>
    <row r="181" ht="22" customHeight="1">
      <c r="B181" s="53" t="inlineStr">
        <is>
          <t>NB2(c)</t>
        </is>
      </c>
      <c r="D181" s="12" t="inlineStr">
        <is>
          <t>Data owner confirms</t>
        </is>
      </c>
      <c r="E181" s="54">
        <f>'A1. Response summary'!S135</f>
        <v/>
      </c>
      <c r="F181" s="54">
        <f>'A1. Response summary'!U135</f>
        <v/>
      </c>
      <c r="W181" s="56" t="n"/>
    </row>
    <row r="182"/>
    <row r="183" ht="88" customHeight="1">
      <c r="B183" s="6" t="inlineStr">
        <is>
          <t>AI1(a)</t>
        </is>
      </c>
      <c r="C183" s="48" t="inlineStr">
        <is>
          <t>Established measurement of estimated operational impacts and opportunities (eg operational impacts could include energy, water, emissions and intensity measures)</t>
        </is>
      </c>
      <c r="D183" s="51" t="inlineStr">
        <is>
          <t>Unit</t>
        </is>
      </c>
      <c r="E183" s="51" t="inlineStr">
        <is>
          <t>CI&amp;S – Sustainability Strategy</t>
        </is>
      </c>
      <c r="F183" s="51" t="inlineStr">
        <is>
          <t>CIOG – Responsible AI &amp; digital</t>
        </is>
      </c>
      <c r="U183" s="52">
        <f>'A1. Response summary'!AF136</f>
        <v/>
      </c>
      <c r="V183" s="52">
        <f>'A1. Response summary'!AH136</f>
        <v/>
      </c>
      <c r="W183" s="7" t="n"/>
    </row>
    <row r="184" ht="39" customHeight="1">
      <c r="B184" s="53" t="inlineStr">
        <is>
          <t>AI1(a)</t>
        </is>
      </c>
      <c r="D184" s="12" t="inlineStr">
        <is>
          <t>OPTION 1:  Target-level reporting</t>
        </is>
      </c>
      <c r="E184" s="54">
        <f>'A1. Response summary'!R136</f>
        <v/>
      </c>
      <c r="F184" s="54">
        <f>'A1. Response summary'!V136</f>
        <v/>
      </c>
      <c r="W184" s="55" t="n"/>
    </row>
    <row r="185" ht="60" customHeight="1">
      <c r="B185" s="53" t="inlineStr">
        <is>
          <t>AI1(a)</t>
        </is>
      </c>
      <c r="D185" s="12" t="inlineStr">
        <is>
          <t>OPTION 2:  Indicator level reporting</t>
        </is>
      </c>
      <c r="E185" s="54">
        <f>'A1. Response summary'!R137</f>
        <v/>
      </c>
      <c r="F185" s="54">
        <f>'A1. Response summary'!V137</f>
        <v/>
      </c>
      <c r="W185" s="55" t="n"/>
    </row>
    <row r="186" ht="60" customHeight="1">
      <c r="B186" s="53" t="inlineStr">
        <is>
          <t>AI1(a)</t>
        </is>
      </c>
      <c r="D186" s="12" t="inlineStr">
        <is>
          <t>Supporting information/comments</t>
        </is>
      </c>
      <c r="E186" s="54">
        <f>'A1. Response summary'!R138</f>
        <v/>
      </c>
      <c r="F186" s="54">
        <f>'A1. Response summary'!V138</f>
        <v/>
      </c>
      <c r="W186" s="55" t="n"/>
    </row>
    <row r="187" ht="39" customHeight="1">
      <c r="B187" s="53" t="inlineStr">
        <is>
          <t>AI1(a)</t>
        </is>
      </c>
      <c r="D187" s="12" t="inlineStr">
        <is>
          <t>Data source and limitations</t>
        </is>
      </c>
      <c r="E187" s="54">
        <f>'A1. Response summary'!R139</f>
        <v/>
      </c>
      <c r="F187" s="54">
        <f>'A1. Response summary'!V139</f>
        <v/>
      </c>
      <c r="W187" s="55" t="n"/>
    </row>
    <row r="188" ht="22" customHeight="1">
      <c r="B188" s="53" t="inlineStr">
        <is>
          <t>AI1(a)</t>
        </is>
      </c>
      <c r="D188" s="12" t="inlineStr">
        <is>
          <t>Data owner confirms</t>
        </is>
      </c>
      <c r="E188" s="54">
        <f>'A1. Response summary'!R140</f>
        <v/>
      </c>
      <c r="F188" s="54">
        <f>'A1. Response summary'!V140</f>
        <v/>
      </c>
      <c r="W188" s="56" t="n"/>
    </row>
    <row r="189"/>
    <row r="190" ht="56" customHeight="1">
      <c r="B190" s="6" t="inlineStr">
        <is>
          <t>AI1(b)</t>
        </is>
      </c>
      <c r="C190" s="48" t="inlineStr">
        <is>
          <t>Case studies of sustainability and AI-related education, research and collaboration activities.</t>
        </is>
      </c>
      <c r="D190" s="51" t="inlineStr">
        <is>
          <t>Unit</t>
        </is>
      </c>
      <c r="E190" s="51" t="inlineStr">
        <is>
          <t>CI&amp;S – Sustainability Strategy</t>
        </is>
      </c>
      <c r="F190" s="51" t="inlineStr">
        <is>
          <t>CIOG – Responsible AI &amp; digital</t>
        </is>
      </c>
      <c r="U190" s="52">
        <f>'A1. Response summary'!AF141</f>
        <v/>
      </c>
      <c r="V190" s="52">
        <f>'A1. Response summary'!AH141</f>
        <v/>
      </c>
      <c r="W190" s="7" t="n"/>
    </row>
    <row r="191" ht="39" customHeight="1">
      <c r="B191" s="53" t="inlineStr">
        <is>
          <t>AI1(b)</t>
        </is>
      </c>
      <c r="D191" s="12" t="inlineStr">
        <is>
          <t>OPTION 1:  Target-level reporting</t>
        </is>
      </c>
      <c r="E191" s="54">
        <f>'A1. Response summary'!R141</f>
        <v/>
      </c>
      <c r="F191" s="54">
        <f>'A1. Response summary'!V141</f>
        <v/>
      </c>
      <c r="W191" s="55" t="n"/>
    </row>
    <row r="192" ht="60" customHeight="1">
      <c r="B192" s="53" t="inlineStr">
        <is>
          <t>AI1(b)</t>
        </is>
      </c>
      <c r="D192" s="12" t="inlineStr">
        <is>
          <t>OPTION 2:  Indicator level reporting</t>
        </is>
      </c>
      <c r="E192" s="54">
        <f>'A1. Response summary'!R142</f>
        <v/>
      </c>
      <c r="F192" s="54">
        <f>'A1. Response summary'!V142</f>
        <v/>
      </c>
      <c r="W192" s="55" t="n"/>
    </row>
    <row r="193" ht="60" customHeight="1">
      <c r="B193" s="53" t="inlineStr">
        <is>
          <t>AI1(b)</t>
        </is>
      </c>
      <c r="D193" s="12" t="inlineStr">
        <is>
          <t>Supporting information/comments</t>
        </is>
      </c>
      <c r="E193" s="54">
        <f>'A1. Response summary'!R143</f>
        <v/>
      </c>
      <c r="F193" s="54">
        <f>'A1. Response summary'!V143</f>
        <v/>
      </c>
      <c r="W193" s="55" t="n"/>
    </row>
    <row r="194" ht="39" customHeight="1">
      <c r="B194" s="53" t="inlineStr">
        <is>
          <t>AI1(b)</t>
        </is>
      </c>
      <c r="D194" s="12" t="inlineStr">
        <is>
          <t>Data source and limitations</t>
        </is>
      </c>
      <c r="E194" s="54">
        <f>'A1. Response summary'!R144</f>
        <v/>
      </c>
      <c r="F194" s="54">
        <f>'A1. Response summary'!V144</f>
        <v/>
      </c>
      <c r="W194" s="55" t="n"/>
    </row>
    <row r="195" ht="22" customHeight="1">
      <c r="B195" s="53" t="inlineStr">
        <is>
          <t>AI1(b)</t>
        </is>
      </c>
      <c r="D195" s="12" t="inlineStr">
        <is>
          <t>Data owner confirms</t>
        </is>
      </c>
      <c r="E195" s="54">
        <f>'A1. Response summary'!R145</f>
        <v/>
      </c>
      <c r="F195" s="54">
        <f>'A1. Response summary'!V145</f>
        <v/>
      </c>
      <c r="W195" s="56" t="n"/>
    </row>
    <row r="196"/>
    <row r="197" ht="88" customHeight="1">
      <c r="B197" s="6" t="inlineStr">
        <is>
          <t>EI1(a)</t>
        </is>
      </c>
      <c r="C197" s="48" t="inlineStr">
        <is>
          <t>Evidence of increased maturity of estate and infrastructure planning, development and operations to support the other priority areas in Sustainability 2030</t>
        </is>
      </c>
      <c r="D197" s="51" t="inlineStr">
        <is>
          <t>Unit</t>
        </is>
      </c>
      <c r="E197" s="51" t="inlineStr">
        <is>
          <t>CI&amp;S – Estate Planning &amp; Development</t>
        </is>
      </c>
      <c r="U197" s="52">
        <f>'A1. Response summary'!AF146</f>
        <v/>
      </c>
      <c r="V197" s="52">
        <f>'A1. Response summary'!AH146</f>
        <v/>
      </c>
      <c r="W197" s="7" t="n"/>
    </row>
    <row r="198" ht="39" customHeight="1">
      <c r="B198" s="53" t="inlineStr">
        <is>
          <t>EI1(a)</t>
        </is>
      </c>
      <c r="D198" s="12" t="inlineStr">
        <is>
          <t>OPTION 1:  Target-level reporting</t>
        </is>
      </c>
      <c r="E198" s="54">
        <f>'A1. Response summary'!Q146</f>
        <v/>
      </c>
      <c r="W198" s="55" t="n"/>
    </row>
    <row r="199" ht="60" customHeight="1">
      <c r="B199" s="53" t="inlineStr">
        <is>
          <t>EI1(a)</t>
        </is>
      </c>
      <c r="D199" s="12" t="inlineStr">
        <is>
          <t>OPTION 2:  Indicator level reporting</t>
        </is>
      </c>
      <c r="E199" s="54">
        <f>'A1. Response summary'!Q147</f>
        <v/>
      </c>
      <c r="W199" s="55" t="n"/>
    </row>
    <row r="200" ht="60" customHeight="1">
      <c r="B200" s="53" t="inlineStr">
        <is>
          <t>EI1(a)</t>
        </is>
      </c>
      <c r="D200" s="12" t="inlineStr">
        <is>
          <t>Supporting information/comments</t>
        </is>
      </c>
      <c r="E200" s="54">
        <f>'A1. Response summary'!Q148</f>
        <v/>
      </c>
      <c r="W200" s="55" t="n"/>
    </row>
    <row r="201" ht="39" customHeight="1">
      <c r="B201" s="53" t="inlineStr">
        <is>
          <t>EI1(a)</t>
        </is>
      </c>
      <c r="D201" s="12" t="inlineStr">
        <is>
          <t>Data source and limitations</t>
        </is>
      </c>
      <c r="E201" s="54">
        <f>'A1. Response summary'!Q149</f>
        <v/>
      </c>
      <c r="W201" s="55" t="n"/>
    </row>
    <row r="202" ht="22" customHeight="1">
      <c r="B202" s="53" t="inlineStr">
        <is>
          <t>EI1(a)</t>
        </is>
      </c>
      <c r="D202" s="12" t="inlineStr">
        <is>
          <t>Data owner confirms</t>
        </is>
      </c>
      <c r="E202" s="54">
        <f>'A1. Response summary'!Q150</f>
        <v/>
      </c>
      <c r="W202" s="56" t="n"/>
    </row>
    <row r="203"/>
    <row r="204" ht="122" customHeight="1">
      <c r="B204" s="6" t="inlineStr">
        <is>
          <t>EI1(b)</t>
        </is>
      </c>
      <c r="C204" s="48" t="inlineStr">
        <is>
          <t>Estimated sustainability impacts of the University’s estate and infrastructure capital plan to inform progress towards emissions reduction targets and other priority areas (to the extent enabled by available information)</t>
        </is>
      </c>
      <c r="D204" s="51" t="inlineStr">
        <is>
          <t>Unit</t>
        </is>
      </c>
      <c r="E204" s="51" t="inlineStr">
        <is>
          <t>CI&amp;S – Estate Planning &amp; Development</t>
        </is>
      </c>
      <c r="U204" s="52">
        <f>'A1. Response summary'!AF151</f>
        <v/>
      </c>
      <c r="V204" s="52">
        <f>'A1. Response summary'!AH151</f>
        <v/>
      </c>
      <c r="W204" s="7" t="n"/>
    </row>
    <row r="205" ht="39" customHeight="1">
      <c r="B205" s="53" t="inlineStr">
        <is>
          <t>EI1(b)</t>
        </is>
      </c>
      <c r="D205" s="12" t="inlineStr">
        <is>
          <t>OPTION 1:  Target-level reporting</t>
        </is>
      </c>
      <c r="E205" s="54">
        <f>'A1. Response summary'!Q151</f>
        <v/>
      </c>
      <c r="W205" s="55" t="n"/>
    </row>
    <row r="206" ht="60" customHeight="1">
      <c r="B206" s="53" t="inlineStr">
        <is>
          <t>EI1(b)</t>
        </is>
      </c>
      <c r="D206" s="12" t="inlineStr">
        <is>
          <t>OPTION 2:  Indicator level reporting</t>
        </is>
      </c>
      <c r="E206" s="54">
        <f>'A1. Response summary'!Q152</f>
        <v/>
      </c>
      <c r="W206" s="55" t="n"/>
    </row>
    <row r="207" ht="60" customHeight="1">
      <c r="B207" s="53" t="inlineStr">
        <is>
          <t>EI1(b)</t>
        </is>
      </c>
      <c r="D207" s="12" t="inlineStr">
        <is>
          <t>Supporting information/comments</t>
        </is>
      </c>
      <c r="E207" s="54">
        <f>'A1. Response summary'!Q153</f>
        <v/>
      </c>
      <c r="W207" s="55" t="n"/>
    </row>
    <row r="208" ht="39" customHeight="1">
      <c r="B208" s="53" t="inlineStr">
        <is>
          <t>EI1(b)</t>
        </is>
      </c>
      <c r="D208" s="12" t="inlineStr">
        <is>
          <t>Data source and limitations</t>
        </is>
      </c>
      <c r="E208" s="54">
        <f>'A1. Response summary'!Q154</f>
        <v/>
      </c>
      <c r="W208" s="55" t="n"/>
    </row>
    <row r="209" ht="22" customHeight="1">
      <c r="B209" s="53" t="inlineStr">
        <is>
          <t>EI1(b)</t>
        </is>
      </c>
      <c r="D209" s="12" t="inlineStr">
        <is>
          <t>Data owner confirms</t>
        </is>
      </c>
      <c r="E209" s="54">
        <f>'A1. Response summary'!Q155</f>
        <v/>
      </c>
      <c r="W209" s="56" t="n"/>
    </row>
    <row r="210"/>
    <row r="211" ht="105" customHeight="1">
      <c r="B211" s="6" t="inlineStr">
        <is>
          <t>EI1(c)</t>
        </is>
      </c>
      <c r="C211" s="48" t="inlineStr">
        <is>
          <t>Reporting on relevant activities and impacts for the University’s major estate and infrastructure projects and programs aligned with the other priority areas in Sustainability 2030</t>
        </is>
      </c>
      <c r="D211" s="51" t="inlineStr">
        <is>
          <t>Unit</t>
        </is>
      </c>
      <c r="E211" s="51" t="inlineStr">
        <is>
          <t>CI&amp;S – Estate Planning &amp; Development</t>
        </is>
      </c>
      <c r="U211" s="52">
        <f>'A1. Response summary'!AF156</f>
        <v/>
      </c>
      <c r="V211" s="52">
        <f>'A1. Response summary'!AH156</f>
        <v/>
      </c>
      <c r="W211" s="7" t="n"/>
    </row>
    <row r="212" ht="39" customHeight="1">
      <c r="B212" s="53" t="inlineStr">
        <is>
          <t>EI1(c)</t>
        </is>
      </c>
      <c r="D212" s="12" t="inlineStr">
        <is>
          <t>OPTION 1:  Target-level reporting</t>
        </is>
      </c>
      <c r="E212" s="54">
        <f>'A1. Response summary'!Q156</f>
        <v/>
      </c>
      <c r="W212" s="55" t="n"/>
    </row>
    <row r="213" ht="60" customHeight="1">
      <c r="B213" s="53" t="inlineStr">
        <is>
          <t>EI1(c)</t>
        </is>
      </c>
      <c r="D213" s="12" t="inlineStr">
        <is>
          <t>OPTION 2:  Indicator level reporting</t>
        </is>
      </c>
      <c r="E213" s="54">
        <f>'A1. Response summary'!Q157</f>
        <v/>
      </c>
      <c r="W213" s="55" t="n"/>
    </row>
    <row r="214" ht="60" customHeight="1">
      <c r="B214" s="53" t="inlineStr">
        <is>
          <t>EI1(c)</t>
        </is>
      </c>
      <c r="D214" s="12" t="inlineStr">
        <is>
          <t>Supporting information/comments</t>
        </is>
      </c>
      <c r="E214" s="54">
        <f>'A1. Response summary'!Q158</f>
        <v/>
      </c>
      <c r="W214" s="55" t="n"/>
    </row>
    <row r="215" ht="39" customHeight="1">
      <c r="B215" s="53" t="inlineStr">
        <is>
          <t>EI1(c)</t>
        </is>
      </c>
      <c r="D215" s="12" t="inlineStr">
        <is>
          <t>Data source and limitations</t>
        </is>
      </c>
      <c r="E215" s="54">
        <f>'A1. Response summary'!Q159</f>
        <v/>
      </c>
      <c r="W215" s="55" t="n"/>
    </row>
    <row r="216" ht="22" customHeight="1">
      <c r="B216" s="53" t="inlineStr">
        <is>
          <t>EI1(c)</t>
        </is>
      </c>
      <c r="D216" s="12" t="inlineStr">
        <is>
          <t>Data owner confirms</t>
        </is>
      </c>
      <c r="E216" s="54">
        <f>'A1. Response summary'!Q160</f>
        <v/>
      </c>
      <c r="W216" s="56" t="n"/>
    </row>
    <row r="217"/>
    <row r="218" ht="72" customHeight="1">
      <c r="B218" s="6" t="inlineStr">
        <is>
          <t>EI1(d)</t>
        </is>
      </c>
      <c r="C218" s="48" t="inlineStr">
        <is>
          <t>Evidence of understanding and integration of Indigenous approaches to sustainability in estate planning and development programs and projects.</t>
        </is>
      </c>
      <c r="D218" s="51" t="inlineStr">
        <is>
          <t>Unit</t>
        </is>
      </c>
      <c r="E218" s="51" t="inlineStr">
        <is>
          <t>CI&amp;S – Estate Planning &amp; Development</t>
        </is>
      </c>
      <c r="U218" s="52">
        <f>'A1. Response summary'!AF161</f>
        <v/>
      </c>
      <c r="V218" s="52">
        <f>'A1. Response summary'!AH161</f>
        <v/>
      </c>
      <c r="W218" s="7" t="n"/>
    </row>
    <row r="219" ht="39" customHeight="1">
      <c r="B219" s="53" t="inlineStr">
        <is>
          <t>EI1(d)</t>
        </is>
      </c>
      <c r="D219" s="12" t="inlineStr">
        <is>
          <t>OPTION 1:  Target-level reporting</t>
        </is>
      </c>
      <c r="E219" s="54">
        <f>'A1. Response summary'!Q161</f>
        <v/>
      </c>
      <c r="W219" s="55" t="n"/>
    </row>
    <row r="220" ht="60" customHeight="1">
      <c r="B220" s="53" t="inlineStr">
        <is>
          <t>EI1(d)</t>
        </is>
      </c>
      <c r="D220" s="12" t="inlineStr">
        <is>
          <t>OPTION 2:  Indicator level reporting</t>
        </is>
      </c>
      <c r="E220" s="54">
        <f>'A1. Response summary'!Q162</f>
        <v/>
      </c>
      <c r="W220" s="55" t="n"/>
    </row>
    <row r="221" ht="60" customHeight="1">
      <c r="B221" s="53" t="inlineStr">
        <is>
          <t>EI1(d)</t>
        </is>
      </c>
      <c r="D221" s="12" t="inlineStr">
        <is>
          <t>Supporting information/comments</t>
        </is>
      </c>
      <c r="E221" s="54">
        <f>'A1. Response summary'!Q163</f>
        <v/>
      </c>
      <c r="W221" s="55" t="n"/>
    </row>
    <row r="222" ht="39" customHeight="1">
      <c r="B222" s="53" t="inlineStr">
        <is>
          <t>EI1(d)</t>
        </is>
      </c>
      <c r="D222" s="12" t="inlineStr">
        <is>
          <t>Data source and limitations</t>
        </is>
      </c>
      <c r="E222" s="54">
        <f>'A1. Response summary'!Q164</f>
        <v/>
      </c>
      <c r="W222" s="55" t="n"/>
    </row>
    <row r="223" ht="22" customHeight="1">
      <c r="B223" s="53" t="inlineStr">
        <is>
          <t>EI1(d)</t>
        </is>
      </c>
      <c r="D223" s="12" t="inlineStr">
        <is>
          <t>Data owner confirms</t>
        </is>
      </c>
      <c r="E223" s="54">
        <f>'A1. Response summary'!Q165</f>
        <v/>
      </c>
      <c r="W223" s="56" t="n"/>
    </row>
    <row r="224"/>
    <row r="225" ht="56" customHeight="1">
      <c r="B225" s="6" t="inlineStr">
        <is>
          <t>RP1(a)</t>
        </is>
      </c>
      <c r="C225" s="48" t="inlineStr">
        <is>
          <t>Case studies of maturity improvement related to responsible procurement process and systems.</t>
        </is>
      </c>
      <c r="D225" s="51" t="inlineStr">
        <is>
          <t>Unit</t>
        </is>
      </c>
      <c r="E225" s="51" t="inlineStr">
        <is>
          <t>CFOG – Procurement</t>
        </is>
      </c>
      <c r="U225" s="52">
        <f>'A1. Response summary'!AF166</f>
        <v/>
      </c>
      <c r="V225" s="52">
        <f>'A1. Response summary'!AH166</f>
        <v/>
      </c>
      <c r="W225" s="7" t="n"/>
    </row>
    <row r="226" ht="39" customHeight="1">
      <c r="B226" s="53" t="inlineStr">
        <is>
          <t>RP1(a)</t>
        </is>
      </c>
      <c r="D226" s="12" t="inlineStr">
        <is>
          <t>OPTION 1:  Target-level reporting</t>
        </is>
      </c>
      <c r="E226" s="54">
        <f>'A1. Response summary'!S166</f>
        <v/>
      </c>
      <c r="W226" s="55" t="n"/>
    </row>
    <row r="227" ht="60" customHeight="1">
      <c r="B227" s="53" t="inlineStr">
        <is>
          <t>RP1(a)</t>
        </is>
      </c>
      <c r="D227" s="12" t="inlineStr">
        <is>
          <t>OPTION 2:  Indicator level reporting</t>
        </is>
      </c>
      <c r="E227" s="54">
        <f>'A1. Response summary'!S167</f>
        <v/>
      </c>
      <c r="W227" s="55" t="n"/>
    </row>
    <row r="228" ht="60" customHeight="1">
      <c r="B228" s="53" t="inlineStr">
        <is>
          <t>RP1(a)</t>
        </is>
      </c>
      <c r="D228" s="12" t="inlineStr">
        <is>
          <t>Supporting information/comments</t>
        </is>
      </c>
      <c r="E228" s="54">
        <f>'A1. Response summary'!S168</f>
        <v/>
      </c>
      <c r="W228" s="55" t="n"/>
    </row>
    <row r="229" ht="39" customHeight="1">
      <c r="B229" s="53" t="inlineStr">
        <is>
          <t>RP1(a)</t>
        </is>
      </c>
      <c r="D229" s="12" t="inlineStr">
        <is>
          <t>Data source and limitations</t>
        </is>
      </c>
      <c r="E229" s="54">
        <f>'A1. Response summary'!S169</f>
        <v/>
      </c>
      <c r="W229" s="55" t="n"/>
    </row>
    <row r="230" ht="22" customHeight="1">
      <c r="B230" s="53" t="inlineStr">
        <is>
          <t>RP1(a)</t>
        </is>
      </c>
      <c r="D230" s="12" t="inlineStr">
        <is>
          <t>Data owner confirms</t>
        </is>
      </c>
      <c r="E230" s="54">
        <f>'A1. Response summary'!S170</f>
        <v/>
      </c>
      <c r="W230" s="56" t="n"/>
    </row>
    <row r="231"/>
    <row r="232" ht="39" customHeight="1">
      <c r="B232" s="6" t="inlineStr">
        <is>
          <t>MS1(a)</t>
        </is>
      </c>
      <c r="C232" s="48" t="inlineStr">
        <is>
          <t>Annual progress reporting via the Modern Slavery Statement</t>
        </is>
      </c>
      <c r="D232" s="51" t="inlineStr">
        <is>
          <t>Unit</t>
        </is>
      </c>
      <c r="E232" s="51" t="inlineStr">
        <is>
          <t>CI&amp;S – Sustainability Strategy</t>
        </is>
      </c>
      <c r="F232" s="51" t="inlineStr">
        <is>
          <t>CFOG – Procurement</t>
        </is>
      </c>
      <c r="U232" s="52">
        <f>'A1. Response summary'!AF171</f>
        <v/>
      </c>
      <c r="V232" s="52">
        <f>'A1. Response summary'!AH171</f>
        <v/>
      </c>
      <c r="W232" s="7" t="n"/>
    </row>
    <row r="233" ht="39" customHeight="1">
      <c r="B233" s="53" t="inlineStr">
        <is>
          <t>MS1(a)</t>
        </is>
      </c>
      <c r="D233" s="12" t="inlineStr">
        <is>
          <t>OPTION 1:  Target-level reporting</t>
        </is>
      </c>
      <c r="E233" s="54">
        <f>'A1. Response summary'!R171</f>
        <v/>
      </c>
      <c r="F233" s="54">
        <f>'A1. Response summary'!S171</f>
        <v/>
      </c>
      <c r="W233" s="55" t="n"/>
    </row>
    <row r="234" ht="60" customHeight="1">
      <c r="B234" s="53" t="inlineStr">
        <is>
          <t>MS1(a)</t>
        </is>
      </c>
      <c r="D234" s="12" t="inlineStr">
        <is>
          <t>OPTION 2:  Indicator level reporting</t>
        </is>
      </c>
      <c r="E234" s="54">
        <f>'A1. Response summary'!R172</f>
        <v/>
      </c>
      <c r="F234" s="54">
        <f>'A1. Response summary'!S172</f>
        <v/>
      </c>
      <c r="W234" s="55" t="n"/>
    </row>
    <row r="235" ht="60" customHeight="1">
      <c r="B235" s="53" t="inlineStr">
        <is>
          <t>MS1(a)</t>
        </is>
      </c>
      <c r="D235" s="12" t="inlineStr">
        <is>
          <t>Supporting information/comments</t>
        </is>
      </c>
      <c r="E235" s="54">
        <f>'A1. Response summary'!R173</f>
        <v/>
      </c>
      <c r="F235" s="54">
        <f>'A1. Response summary'!S173</f>
        <v/>
      </c>
      <c r="W235" s="55" t="n"/>
    </row>
    <row r="236" ht="39" customHeight="1">
      <c r="B236" s="53" t="inlineStr">
        <is>
          <t>MS1(a)</t>
        </is>
      </c>
      <c r="D236" s="12" t="inlineStr">
        <is>
          <t>Data source and limitations</t>
        </is>
      </c>
      <c r="E236" s="54">
        <f>'A1. Response summary'!R174</f>
        <v/>
      </c>
      <c r="F236" s="54">
        <f>'A1. Response summary'!S174</f>
        <v/>
      </c>
      <c r="W236" s="55" t="n"/>
    </row>
    <row r="237" ht="22" customHeight="1">
      <c r="B237" s="53" t="inlineStr">
        <is>
          <t>MS1(a)</t>
        </is>
      </c>
      <c r="D237" s="12" t="inlineStr">
        <is>
          <t>Data owner confirms</t>
        </is>
      </c>
      <c r="E237" s="54">
        <f>'A1. Response summary'!R175</f>
        <v/>
      </c>
      <c r="F237" s="54">
        <f>'A1. Response summary'!S175</f>
        <v/>
      </c>
      <c r="W237" s="56" t="n"/>
    </row>
    <row r="238"/>
    <row r="239" ht="122" customHeight="1">
      <c r="B239" s="6" t="inlineStr">
        <is>
          <t>RI1(b)</t>
        </is>
      </c>
      <c r="C239" s="48" t="inlineStr">
        <is>
          <t>Continuous improvement of the reporting of the University’s sustainability-related investment profile metrics, could include investment in climate mitigation and transition solutions, and compliance with related obligations (eg UNPRI).</t>
        </is>
      </c>
      <c r="D239" s="51" t="inlineStr">
        <is>
          <t>Unit</t>
        </is>
      </c>
      <c r="E239" s="51" t="inlineStr">
        <is>
          <t>CI&amp;S – Sustainability Strategy</t>
        </is>
      </c>
      <c r="F239" s="51" t="inlineStr">
        <is>
          <t>CFOG – Treasury &amp; Investments</t>
        </is>
      </c>
      <c r="U239" s="52">
        <f>'A1. Response summary'!AF176</f>
        <v/>
      </c>
      <c r="V239" s="52">
        <f>'A1. Response summary'!AH176</f>
        <v/>
      </c>
      <c r="W239" s="7" t="n"/>
    </row>
    <row r="240" ht="39" customHeight="1">
      <c r="B240" s="53" t="inlineStr">
        <is>
          <t>RI1(b)</t>
        </is>
      </c>
      <c r="D240" s="12" t="inlineStr">
        <is>
          <t>OPTION 1:  Target-level reporting</t>
        </is>
      </c>
      <c r="E240" s="54">
        <f>'A1. Response summary'!R176</f>
        <v/>
      </c>
      <c r="F240" s="54">
        <f>'A1. Response summary'!T176</f>
        <v/>
      </c>
      <c r="W240" s="55" t="n"/>
    </row>
    <row r="241" ht="60" customHeight="1">
      <c r="B241" s="53" t="inlineStr">
        <is>
          <t>RI1(b)</t>
        </is>
      </c>
      <c r="D241" s="12" t="inlineStr">
        <is>
          <t>OPTION 2:  Indicator level reporting</t>
        </is>
      </c>
      <c r="E241" s="54">
        <f>'A1. Response summary'!R177</f>
        <v/>
      </c>
      <c r="F241" s="54">
        <f>'A1. Response summary'!T177</f>
        <v/>
      </c>
      <c r="W241" s="55" t="n"/>
    </row>
    <row r="242" ht="60" customHeight="1">
      <c r="B242" s="53" t="inlineStr">
        <is>
          <t>RI1(b)</t>
        </is>
      </c>
      <c r="D242" s="12" t="inlineStr">
        <is>
          <t>Supporting information/comments</t>
        </is>
      </c>
      <c r="E242" s="54">
        <f>'A1. Response summary'!R178</f>
        <v/>
      </c>
      <c r="F242" s="54">
        <f>'A1. Response summary'!T178</f>
        <v/>
      </c>
      <c r="W242" s="55" t="n"/>
    </row>
    <row r="243" ht="39" customHeight="1">
      <c r="B243" s="53" t="inlineStr">
        <is>
          <t>RI1(b)</t>
        </is>
      </c>
      <c r="D243" s="12" t="inlineStr">
        <is>
          <t>Data source and limitations</t>
        </is>
      </c>
      <c r="E243" s="54">
        <f>'A1. Response summary'!R179</f>
        <v/>
      </c>
      <c r="F243" s="54">
        <f>'A1. Response summary'!T179</f>
        <v/>
      </c>
      <c r="W243" s="55" t="n"/>
    </row>
    <row r="244" ht="22" customHeight="1">
      <c r="B244" s="53" t="inlineStr">
        <is>
          <t>RI1(b)</t>
        </is>
      </c>
      <c r="D244" s="12" t="inlineStr">
        <is>
          <t>Data owner confirms</t>
        </is>
      </c>
      <c r="E244" s="54">
        <f>'A1. Response summary'!R180</f>
        <v/>
      </c>
      <c r="F244" s="54">
        <f>'A1. Response summary'!T180</f>
        <v/>
      </c>
      <c r="W244" s="56" t="n"/>
    </row>
    <row r="245"/>
    <row r="246" ht="39" customHeight="1">
      <c r="B246" s="6" t="inlineStr">
        <is>
          <t>EN1(a)</t>
        </is>
      </c>
      <c r="C246" s="48" t="inlineStr">
        <is>
          <t>Evidence of sustainability outcomes informed by Indigenous knowledges</t>
        </is>
      </c>
      <c r="D246" s="51" t="inlineStr">
        <is>
          <t>Unit</t>
        </is>
      </c>
      <c r="E246" s="51" t="inlineStr">
        <is>
          <t>ABP</t>
        </is>
      </c>
      <c r="F246" s="51" t="inlineStr">
        <is>
          <t>ARTS</t>
        </is>
      </c>
      <c r="G246" s="51" t="inlineStr">
        <is>
          <t>FBE</t>
        </is>
      </c>
      <c r="H246" s="51" t="inlineStr">
        <is>
          <t>SCI</t>
        </is>
      </c>
      <c r="I246" s="51" t="inlineStr">
        <is>
          <t>FAM</t>
        </is>
      </c>
      <c r="J246" s="51" t="inlineStr">
        <is>
          <t>FEIT</t>
        </is>
      </c>
      <c r="K246" s="51" t="inlineStr">
        <is>
          <t>FoE</t>
        </is>
      </c>
      <c r="L246" s="51" t="inlineStr">
        <is>
          <t>MLS</t>
        </is>
      </c>
      <c r="M246" s="51" t="inlineStr">
        <is>
          <t>MDHS</t>
        </is>
      </c>
      <c r="N246" s="51" t="inlineStr">
        <is>
          <t>GCE – Global, Culture and Engagement</t>
        </is>
      </c>
      <c r="O246" s="51" t="inlineStr">
        <is>
          <t>Indigenous – Chancellery Indigenous</t>
        </is>
      </c>
      <c r="U246" s="52">
        <f>'A1. Response summary'!AF181</f>
        <v/>
      </c>
      <c r="V246" s="52">
        <f>'A1. Response summary'!AH181</f>
        <v/>
      </c>
      <c r="W246" s="7" t="n"/>
    </row>
    <row r="247" ht="39" customHeight="1">
      <c r="B247" s="53" t="inlineStr">
        <is>
          <t>EN1(a)</t>
        </is>
      </c>
      <c r="D247" s="12" t="inlineStr">
        <is>
          <t>OPTION 1:  Target-level reporting</t>
        </is>
      </c>
      <c r="E247" s="54">
        <f>'A1. Response summary'!H181</f>
        <v/>
      </c>
      <c r="F247" s="54">
        <f>'A1. Response summary'!I181</f>
        <v/>
      </c>
      <c r="G247" s="54">
        <f>'A1. Response summary'!J181</f>
        <v/>
      </c>
      <c r="H247" s="54">
        <f>'A1. Response summary'!K181</f>
        <v/>
      </c>
      <c r="I247" s="54">
        <f>'A1. Response summary'!L181</f>
        <v/>
      </c>
      <c r="J247" s="54">
        <f>'A1. Response summary'!M181</f>
        <v/>
      </c>
      <c r="K247" s="54">
        <f>'A1. Response summary'!N181</f>
        <v/>
      </c>
      <c r="L247" s="54">
        <f>'A1. Response summary'!O181</f>
        <v/>
      </c>
      <c r="M247" s="54">
        <f>'A1. Response summary'!P181</f>
        <v/>
      </c>
      <c r="N247" s="54">
        <f>'A1. Response summary'!Y181</f>
        <v/>
      </c>
      <c r="O247" s="54">
        <f>'A1. Response summary'!AB181</f>
        <v/>
      </c>
      <c r="W247" s="55" t="n"/>
    </row>
    <row r="248" ht="60" customHeight="1">
      <c r="B248" s="53" t="inlineStr">
        <is>
          <t>EN1(a)</t>
        </is>
      </c>
      <c r="D248" s="12" t="inlineStr">
        <is>
          <t>OPTION 2:  Indicator level reporting</t>
        </is>
      </c>
      <c r="E248" s="54">
        <f>'A1. Response summary'!H182</f>
        <v/>
      </c>
      <c r="F248" s="54">
        <f>'A1. Response summary'!I182</f>
        <v/>
      </c>
      <c r="G248" s="54">
        <f>'A1. Response summary'!J182</f>
        <v/>
      </c>
      <c r="H248" s="54">
        <f>'A1. Response summary'!K182</f>
        <v/>
      </c>
      <c r="I248" s="54">
        <f>'A1. Response summary'!L182</f>
        <v/>
      </c>
      <c r="J248" s="54">
        <f>'A1. Response summary'!M182</f>
        <v/>
      </c>
      <c r="K248" s="54">
        <f>'A1. Response summary'!N182</f>
        <v/>
      </c>
      <c r="L248" s="54">
        <f>'A1. Response summary'!O182</f>
        <v/>
      </c>
      <c r="M248" s="54">
        <f>'A1. Response summary'!P182</f>
        <v/>
      </c>
      <c r="N248" s="54">
        <f>'A1. Response summary'!Y182</f>
        <v/>
      </c>
      <c r="O248" s="54">
        <f>'A1. Response summary'!AB182</f>
        <v/>
      </c>
      <c r="W248" s="55" t="n"/>
    </row>
    <row r="249" ht="60" customHeight="1">
      <c r="B249" s="53" t="inlineStr">
        <is>
          <t>EN1(a)</t>
        </is>
      </c>
      <c r="D249" s="12" t="inlineStr">
        <is>
          <t>Supporting information/comments</t>
        </is>
      </c>
      <c r="E249" s="54">
        <f>'A1. Response summary'!H183</f>
        <v/>
      </c>
      <c r="F249" s="54">
        <f>'A1. Response summary'!I183</f>
        <v/>
      </c>
      <c r="G249" s="54">
        <f>'A1. Response summary'!J183</f>
        <v/>
      </c>
      <c r="H249" s="54">
        <f>'A1. Response summary'!K183</f>
        <v/>
      </c>
      <c r="I249" s="54">
        <f>'A1. Response summary'!L183</f>
        <v/>
      </c>
      <c r="J249" s="54">
        <f>'A1. Response summary'!M183</f>
        <v/>
      </c>
      <c r="K249" s="54">
        <f>'A1. Response summary'!N183</f>
        <v/>
      </c>
      <c r="L249" s="54">
        <f>'A1. Response summary'!O183</f>
        <v/>
      </c>
      <c r="M249" s="54">
        <f>'A1. Response summary'!P183</f>
        <v/>
      </c>
      <c r="N249" s="54">
        <f>'A1. Response summary'!Y183</f>
        <v/>
      </c>
      <c r="O249" s="54">
        <f>'A1. Response summary'!AB183</f>
        <v/>
      </c>
      <c r="W249" s="55" t="n"/>
    </row>
    <row r="250" ht="39" customHeight="1">
      <c r="B250" s="53" t="inlineStr">
        <is>
          <t>EN1(a)</t>
        </is>
      </c>
      <c r="D250" s="12" t="inlineStr">
        <is>
          <t>Data source and limitations</t>
        </is>
      </c>
      <c r="E250" s="54">
        <f>'A1. Response summary'!H184</f>
        <v/>
      </c>
      <c r="F250" s="54">
        <f>'A1. Response summary'!I184</f>
        <v/>
      </c>
      <c r="G250" s="54">
        <f>'A1. Response summary'!J184</f>
        <v/>
      </c>
      <c r="H250" s="54">
        <f>'A1. Response summary'!K184</f>
        <v/>
      </c>
      <c r="I250" s="54">
        <f>'A1. Response summary'!L184</f>
        <v/>
      </c>
      <c r="J250" s="54">
        <f>'A1. Response summary'!M184</f>
        <v/>
      </c>
      <c r="K250" s="54">
        <f>'A1. Response summary'!N184</f>
        <v/>
      </c>
      <c r="L250" s="54">
        <f>'A1. Response summary'!O184</f>
        <v/>
      </c>
      <c r="M250" s="54">
        <f>'A1. Response summary'!P184</f>
        <v/>
      </c>
      <c r="N250" s="54">
        <f>'A1. Response summary'!Y184</f>
        <v/>
      </c>
      <c r="O250" s="54">
        <f>'A1. Response summary'!AB184</f>
        <v/>
      </c>
      <c r="W250" s="55" t="n"/>
    </row>
    <row r="251" ht="22" customHeight="1">
      <c r="B251" s="53" t="inlineStr">
        <is>
          <t>EN1(a)</t>
        </is>
      </c>
      <c r="D251" s="12" t="inlineStr">
        <is>
          <t>Data owner confirms</t>
        </is>
      </c>
      <c r="E251" s="54">
        <f>'A1. Response summary'!H185</f>
        <v/>
      </c>
      <c r="F251" s="54">
        <f>'A1. Response summary'!I185</f>
        <v/>
      </c>
      <c r="G251" s="54">
        <f>'A1. Response summary'!J185</f>
        <v/>
      </c>
      <c r="H251" s="54">
        <f>'A1. Response summary'!K185</f>
        <v/>
      </c>
      <c r="I251" s="54">
        <f>'A1. Response summary'!L185</f>
        <v/>
      </c>
      <c r="J251" s="54">
        <f>'A1. Response summary'!M185</f>
        <v/>
      </c>
      <c r="K251" s="54">
        <f>'A1. Response summary'!N185</f>
        <v/>
      </c>
      <c r="L251" s="54">
        <f>'A1. Response summary'!O185</f>
        <v/>
      </c>
      <c r="M251" s="54">
        <f>'A1. Response summary'!P185</f>
        <v/>
      </c>
      <c r="N251" s="54">
        <f>'A1. Response summary'!Y185</f>
        <v/>
      </c>
      <c r="O251" s="54">
        <f>'A1. Response summary'!AB185</f>
        <v/>
      </c>
      <c r="W251" s="56" t="n"/>
    </row>
    <row r="252"/>
    <row r="253" ht="56" customHeight="1">
      <c r="B253" s="6" t="inlineStr">
        <is>
          <t>EN1(b)</t>
        </is>
      </c>
      <c r="C253" s="48" t="inlineStr">
        <is>
          <t>Living laboratories enabling applied learning, research and operational sustainability outcomes</t>
        </is>
      </c>
      <c r="D253" s="51" t="inlineStr">
        <is>
          <t>Unit</t>
        </is>
      </c>
      <c r="E253" s="51" t="inlineStr">
        <is>
          <t>ABP</t>
        </is>
      </c>
      <c r="F253" s="51" t="inlineStr">
        <is>
          <t>ARTS</t>
        </is>
      </c>
      <c r="G253" s="51" t="inlineStr">
        <is>
          <t>FBE</t>
        </is>
      </c>
      <c r="H253" s="51" t="inlineStr">
        <is>
          <t>SCI</t>
        </is>
      </c>
      <c r="I253" s="51" t="inlineStr">
        <is>
          <t>FAM</t>
        </is>
      </c>
      <c r="J253" s="51" t="inlineStr">
        <is>
          <t>FEIT</t>
        </is>
      </c>
      <c r="K253" s="51" t="inlineStr">
        <is>
          <t>FoE</t>
        </is>
      </c>
      <c r="L253" s="51" t="inlineStr">
        <is>
          <t>MLS</t>
        </is>
      </c>
      <c r="M253" s="51" t="inlineStr">
        <is>
          <t>MDHS</t>
        </is>
      </c>
      <c r="N253" s="51" t="inlineStr">
        <is>
          <t>CI&amp;S – Sustainability Strategy</t>
        </is>
      </c>
      <c r="U253" s="52">
        <f>'A1. Response summary'!AF186</f>
        <v/>
      </c>
      <c r="V253" s="52">
        <f>'A1. Response summary'!AH186</f>
        <v/>
      </c>
      <c r="W253" s="7" t="n"/>
    </row>
    <row r="254" ht="39" customHeight="1">
      <c r="B254" s="53" t="inlineStr">
        <is>
          <t>EN1(b)</t>
        </is>
      </c>
      <c r="D254" s="12" t="inlineStr">
        <is>
          <t>OPTION 1:  Target-level reporting</t>
        </is>
      </c>
      <c r="E254" s="54">
        <f>'A1. Response summary'!H186</f>
        <v/>
      </c>
      <c r="F254" s="54">
        <f>'A1. Response summary'!I186</f>
        <v/>
      </c>
      <c r="G254" s="54">
        <f>'A1. Response summary'!J186</f>
        <v/>
      </c>
      <c r="H254" s="54">
        <f>'A1. Response summary'!K186</f>
        <v/>
      </c>
      <c r="I254" s="54">
        <f>'A1. Response summary'!L186</f>
        <v/>
      </c>
      <c r="J254" s="54">
        <f>'A1. Response summary'!M186</f>
        <v/>
      </c>
      <c r="K254" s="54">
        <f>'A1. Response summary'!N186</f>
        <v/>
      </c>
      <c r="L254" s="54">
        <f>'A1. Response summary'!O186</f>
        <v/>
      </c>
      <c r="M254" s="54">
        <f>'A1. Response summary'!P186</f>
        <v/>
      </c>
      <c r="N254" s="54">
        <f>'A1. Response summary'!R186</f>
        <v/>
      </c>
      <c r="W254" s="55" t="n"/>
    </row>
    <row r="255" ht="60" customHeight="1">
      <c r="B255" s="53" t="inlineStr">
        <is>
          <t>EN1(b)</t>
        </is>
      </c>
      <c r="D255" s="12" t="inlineStr">
        <is>
          <t>OPTION 2:  Indicator level reporting</t>
        </is>
      </c>
      <c r="E255" s="54">
        <f>'A1. Response summary'!H187</f>
        <v/>
      </c>
      <c r="F255" s="54">
        <f>'A1. Response summary'!I187</f>
        <v/>
      </c>
      <c r="G255" s="54">
        <f>'A1. Response summary'!J187</f>
        <v/>
      </c>
      <c r="H255" s="54">
        <f>'A1. Response summary'!K187</f>
        <v/>
      </c>
      <c r="I255" s="54">
        <f>'A1. Response summary'!L187</f>
        <v/>
      </c>
      <c r="J255" s="54">
        <f>'A1. Response summary'!M187</f>
        <v/>
      </c>
      <c r="K255" s="54">
        <f>'A1. Response summary'!N187</f>
        <v/>
      </c>
      <c r="L255" s="54">
        <f>'A1. Response summary'!O187</f>
        <v/>
      </c>
      <c r="M255" s="54">
        <f>'A1. Response summary'!P187</f>
        <v/>
      </c>
      <c r="N255" s="54">
        <f>'A1. Response summary'!R187</f>
        <v/>
      </c>
      <c r="W255" s="55" t="n"/>
    </row>
    <row r="256" ht="60" customHeight="1">
      <c r="B256" s="53" t="inlineStr">
        <is>
          <t>EN1(b)</t>
        </is>
      </c>
      <c r="D256" s="12" t="inlineStr">
        <is>
          <t>Supporting information/comments</t>
        </is>
      </c>
      <c r="E256" s="54">
        <f>'A1. Response summary'!H188</f>
        <v/>
      </c>
      <c r="F256" s="54">
        <f>'A1. Response summary'!I188</f>
        <v/>
      </c>
      <c r="G256" s="54">
        <f>'A1. Response summary'!J188</f>
        <v/>
      </c>
      <c r="H256" s="54">
        <f>'A1. Response summary'!K188</f>
        <v/>
      </c>
      <c r="I256" s="54">
        <f>'A1. Response summary'!L188</f>
        <v/>
      </c>
      <c r="J256" s="54">
        <f>'A1. Response summary'!M188</f>
        <v/>
      </c>
      <c r="K256" s="54">
        <f>'A1. Response summary'!N188</f>
        <v/>
      </c>
      <c r="L256" s="54">
        <f>'A1. Response summary'!O188</f>
        <v/>
      </c>
      <c r="M256" s="54">
        <f>'A1. Response summary'!P188</f>
        <v/>
      </c>
      <c r="N256" s="54">
        <f>'A1. Response summary'!R188</f>
        <v/>
      </c>
      <c r="W256" s="55" t="n"/>
    </row>
    <row r="257" ht="39" customHeight="1">
      <c r="B257" s="53" t="inlineStr">
        <is>
          <t>EN1(b)</t>
        </is>
      </c>
      <c r="D257" s="12" t="inlineStr">
        <is>
          <t>Data source and limitations</t>
        </is>
      </c>
      <c r="E257" s="54">
        <f>'A1. Response summary'!H189</f>
        <v/>
      </c>
      <c r="F257" s="54">
        <f>'A1. Response summary'!I189</f>
        <v/>
      </c>
      <c r="G257" s="54">
        <f>'A1. Response summary'!J189</f>
        <v/>
      </c>
      <c r="H257" s="54">
        <f>'A1. Response summary'!K189</f>
        <v/>
      </c>
      <c r="I257" s="54">
        <f>'A1. Response summary'!L189</f>
        <v/>
      </c>
      <c r="J257" s="54">
        <f>'A1. Response summary'!M189</f>
        <v/>
      </c>
      <c r="K257" s="54">
        <f>'A1. Response summary'!N189</f>
        <v/>
      </c>
      <c r="L257" s="54">
        <f>'A1. Response summary'!O189</f>
        <v/>
      </c>
      <c r="M257" s="54">
        <f>'A1. Response summary'!P189</f>
        <v/>
      </c>
      <c r="N257" s="54">
        <f>'A1. Response summary'!R189</f>
        <v/>
      </c>
      <c r="W257" s="55" t="n"/>
    </row>
    <row r="258" ht="22" customHeight="1">
      <c r="B258" s="53" t="inlineStr">
        <is>
          <t>EN1(b)</t>
        </is>
      </c>
      <c r="D258" s="12" t="inlineStr">
        <is>
          <t>Data owner confirms</t>
        </is>
      </c>
      <c r="E258" s="54">
        <f>'A1. Response summary'!H190</f>
        <v/>
      </c>
      <c r="F258" s="54">
        <f>'A1. Response summary'!I190</f>
        <v/>
      </c>
      <c r="G258" s="54">
        <f>'A1. Response summary'!J190</f>
        <v/>
      </c>
      <c r="H258" s="54">
        <f>'A1. Response summary'!K190</f>
        <v/>
      </c>
      <c r="I258" s="54">
        <f>'A1. Response summary'!L190</f>
        <v/>
      </c>
      <c r="J258" s="54">
        <f>'A1. Response summary'!M190</f>
        <v/>
      </c>
      <c r="K258" s="54">
        <f>'A1. Response summary'!N190</f>
        <v/>
      </c>
      <c r="L258" s="54">
        <f>'A1. Response summary'!O190</f>
        <v/>
      </c>
      <c r="M258" s="54">
        <f>'A1. Response summary'!P190</f>
        <v/>
      </c>
      <c r="N258" s="54">
        <f>'A1. Response summary'!R190</f>
        <v/>
      </c>
      <c r="W258" s="56" t="n"/>
    </row>
    <row r="259"/>
    <row r="260" ht="72" customHeight="1">
      <c r="B260" s="6" t="inlineStr">
        <is>
          <t>EN1(c)</t>
        </is>
      </c>
      <c r="C260" s="48" t="inlineStr">
        <is>
          <t>Coordinated internal engagement and external partnerships contributing to delivery of sustainability outcomes across priority areas.</t>
        </is>
      </c>
      <c r="D260" s="51" t="inlineStr">
        <is>
          <t>Unit</t>
        </is>
      </c>
      <c r="E260" s="51" t="inlineStr">
        <is>
          <t>ABP</t>
        </is>
      </c>
      <c r="F260" s="51" t="inlineStr">
        <is>
          <t>ARTS</t>
        </is>
      </c>
      <c r="G260" s="51" t="inlineStr">
        <is>
          <t>FBE</t>
        </is>
      </c>
      <c r="H260" s="51" t="inlineStr">
        <is>
          <t>SCI</t>
        </is>
      </c>
      <c r="I260" s="51" t="inlineStr">
        <is>
          <t>FAM</t>
        </is>
      </c>
      <c r="J260" s="51" t="inlineStr">
        <is>
          <t>FEIT</t>
        </is>
      </c>
      <c r="K260" s="51" t="inlineStr">
        <is>
          <t>FoE</t>
        </is>
      </c>
      <c r="L260" s="51" t="inlineStr">
        <is>
          <t>MLS</t>
        </is>
      </c>
      <c r="M260" s="51" t="inlineStr">
        <is>
          <t>MDHS</t>
        </is>
      </c>
      <c r="N260" s="51" t="inlineStr">
        <is>
          <t>CI&amp;S – Sustainability Strategy</t>
        </is>
      </c>
      <c r="O260" s="51" t="inlineStr">
        <is>
          <t>CFOG – Procurement</t>
        </is>
      </c>
      <c r="P260" s="51" t="inlineStr">
        <is>
          <t>ESG – Campus Operations &amp; Sustainability Delivery</t>
        </is>
      </c>
      <c r="Q260" s="51" t="inlineStr">
        <is>
          <t>CIOG – Responsible AI &amp; digital</t>
        </is>
      </c>
      <c r="R260" s="51" t="inlineStr">
        <is>
          <t>AC&amp;M – Advancement, Communication and Marketing</t>
        </is>
      </c>
      <c r="S260" s="51" t="inlineStr">
        <is>
          <t>GCE – Global, Culture and Engagement</t>
        </is>
      </c>
      <c r="T260" s="51" t="inlineStr">
        <is>
          <t>Education – Chancellery Education</t>
        </is>
      </c>
      <c r="U260" s="52">
        <f>'A1. Response summary'!AF191</f>
        <v/>
      </c>
      <c r="V260" s="52">
        <f>'A1. Response summary'!AH191</f>
        <v/>
      </c>
      <c r="W260" s="7" t="n"/>
    </row>
    <row r="261" ht="39" customHeight="1">
      <c r="B261" s="53" t="inlineStr">
        <is>
          <t>EN1(c)</t>
        </is>
      </c>
      <c r="D261" s="12" t="inlineStr">
        <is>
          <t>OPTION 1:  Target-level reporting</t>
        </is>
      </c>
      <c r="E261" s="54">
        <f>'A1. Response summary'!H191</f>
        <v/>
      </c>
      <c r="F261" s="54">
        <f>'A1. Response summary'!I191</f>
        <v/>
      </c>
      <c r="G261" s="54">
        <f>'A1. Response summary'!J191</f>
        <v/>
      </c>
      <c r="H261" s="54">
        <f>'A1. Response summary'!K191</f>
        <v/>
      </c>
      <c r="I261" s="54">
        <f>'A1. Response summary'!L191</f>
        <v/>
      </c>
      <c r="J261" s="54">
        <f>'A1. Response summary'!M191</f>
        <v/>
      </c>
      <c r="K261" s="54">
        <f>'A1. Response summary'!N191</f>
        <v/>
      </c>
      <c r="L261" s="54">
        <f>'A1. Response summary'!O191</f>
        <v/>
      </c>
      <c r="M261" s="54">
        <f>'A1. Response summary'!P191</f>
        <v/>
      </c>
      <c r="N261" s="54">
        <f>'A1. Response summary'!R191</f>
        <v/>
      </c>
      <c r="O261" s="54">
        <f>'A1. Response summary'!S191</f>
        <v/>
      </c>
      <c r="P261" s="54">
        <f>'A1. Response summary'!U191</f>
        <v/>
      </c>
      <c r="Q261" s="54">
        <f>'A1. Response summary'!V191</f>
        <v/>
      </c>
      <c r="R261" s="54">
        <f>'A1. Response summary'!X191</f>
        <v/>
      </c>
      <c r="S261" s="54">
        <f>'A1. Response summary'!Y191</f>
        <v/>
      </c>
      <c r="T261" s="54">
        <f>'A1. Response summary'!Z191</f>
        <v/>
      </c>
      <c r="W261" s="55" t="n"/>
    </row>
    <row r="262" ht="60" customHeight="1">
      <c r="B262" s="53" t="inlineStr">
        <is>
          <t>EN1(c)</t>
        </is>
      </c>
      <c r="D262" s="12" t="inlineStr">
        <is>
          <t>OPTION 2:  Indicator level reporting</t>
        </is>
      </c>
      <c r="E262" s="54">
        <f>'A1. Response summary'!H192</f>
        <v/>
      </c>
      <c r="F262" s="54">
        <f>'A1. Response summary'!I192</f>
        <v/>
      </c>
      <c r="G262" s="54">
        <f>'A1. Response summary'!J192</f>
        <v/>
      </c>
      <c r="H262" s="54">
        <f>'A1. Response summary'!K192</f>
        <v/>
      </c>
      <c r="I262" s="54">
        <f>'A1. Response summary'!L192</f>
        <v/>
      </c>
      <c r="J262" s="54">
        <f>'A1. Response summary'!M192</f>
        <v/>
      </c>
      <c r="K262" s="54">
        <f>'A1. Response summary'!N192</f>
        <v/>
      </c>
      <c r="L262" s="54">
        <f>'A1. Response summary'!O192</f>
        <v/>
      </c>
      <c r="M262" s="54">
        <f>'A1. Response summary'!P192</f>
        <v/>
      </c>
      <c r="N262" s="54">
        <f>'A1. Response summary'!R192</f>
        <v/>
      </c>
      <c r="O262" s="54">
        <f>'A1. Response summary'!S192</f>
        <v/>
      </c>
      <c r="P262" s="54">
        <f>'A1. Response summary'!U192</f>
        <v/>
      </c>
      <c r="Q262" s="54">
        <f>'A1. Response summary'!V192</f>
        <v/>
      </c>
      <c r="R262" s="54">
        <f>'A1. Response summary'!X192</f>
        <v/>
      </c>
      <c r="S262" s="54">
        <f>'A1. Response summary'!Y192</f>
        <v/>
      </c>
      <c r="T262" s="54">
        <f>'A1. Response summary'!Z192</f>
        <v/>
      </c>
      <c r="W262" s="55" t="n"/>
    </row>
    <row r="263" ht="60" customHeight="1">
      <c r="B263" s="53" t="inlineStr">
        <is>
          <t>EN1(c)</t>
        </is>
      </c>
      <c r="D263" s="12" t="inlineStr">
        <is>
          <t>Supporting information/comments</t>
        </is>
      </c>
      <c r="E263" s="54">
        <f>'A1. Response summary'!H193</f>
        <v/>
      </c>
      <c r="F263" s="54">
        <f>'A1. Response summary'!I193</f>
        <v/>
      </c>
      <c r="G263" s="54">
        <f>'A1. Response summary'!J193</f>
        <v/>
      </c>
      <c r="H263" s="54">
        <f>'A1. Response summary'!K193</f>
        <v/>
      </c>
      <c r="I263" s="54">
        <f>'A1. Response summary'!L193</f>
        <v/>
      </c>
      <c r="J263" s="54">
        <f>'A1. Response summary'!M193</f>
        <v/>
      </c>
      <c r="K263" s="54">
        <f>'A1. Response summary'!N193</f>
        <v/>
      </c>
      <c r="L263" s="54">
        <f>'A1. Response summary'!O193</f>
        <v/>
      </c>
      <c r="M263" s="54">
        <f>'A1. Response summary'!P193</f>
        <v/>
      </c>
      <c r="N263" s="54">
        <f>'A1. Response summary'!R193</f>
        <v/>
      </c>
      <c r="O263" s="54">
        <f>'A1. Response summary'!S193</f>
        <v/>
      </c>
      <c r="P263" s="54">
        <f>'A1. Response summary'!U193</f>
        <v/>
      </c>
      <c r="Q263" s="54">
        <f>'A1. Response summary'!V193</f>
        <v/>
      </c>
      <c r="R263" s="54">
        <f>'A1. Response summary'!X193</f>
        <v/>
      </c>
      <c r="S263" s="54">
        <f>'A1. Response summary'!Y193</f>
        <v/>
      </c>
      <c r="T263" s="54">
        <f>'A1. Response summary'!Z193</f>
        <v/>
      </c>
      <c r="W263" s="55" t="n"/>
    </row>
    <row r="264" ht="39" customHeight="1">
      <c r="B264" s="53" t="inlineStr">
        <is>
          <t>EN1(c)</t>
        </is>
      </c>
      <c r="D264" s="12" t="inlineStr">
        <is>
          <t>Data source and limitations</t>
        </is>
      </c>
      <c r="E264" s="54">
        <f>'A1. Response summary'!H194</f>
        <v/>
      </c>
      <c r="F264" s="54">
        <f>'A1. Response summary'!I194</f>
        <v/>
      </c>
      <c r="G264" s="54">
        <f>'A1. Response summary'!J194</f>
        <v/>
      </c>
      <c r="H264" s="54">
        <f>'A1. Response summary'!K194</f>
        <v/>
      </c>
      <c r="I264" s="54">
        <f>'A1. Response summary'!L194</f>
        <v/>
      </c>
      <c r="J264" s="54">
        <f>'A1. Response summary'!M194</f>
        <v/>
      </c>
      <c r="K264" s="54">
        <f>'A1. Response summary'!N194</f>
        <v/>
      </c>
      <c r="L264" s="54">
        <f>'A1. Response summary'!O194</f>
        <v/>
      </c>
      <c r="M264" s="54">
        <f>'A1. Response summary'!P194</f>
        <v/>
      </c>
      <c r="N264" s="54">
        <f>'A1. Response summary'!R194</f>
        <v/>
      </c>
      <c r="O264" s="54">
        <f>'A1. Response summary'!S194</f>
        <v/>
      </c>
      <c r="P264" s="54">
        <f>'A1. Response summary'!U194</f>
        <v/>
      </c>
      <c r="Q264" s="54">
        <f>'A1. Response summary'!V194</f>
        <v/>
      </c>
      <c r="R264" s="54">
        <f>'A1. Response summary'!X194</f>
        <v/>
      </c>
      <c r="S264" s="54">
        <f>'A1. Response summary'!Y194</f>
        <v/>
      </c>
      <c r="T264" s="54">
        <f>'A1. Response summary'!Z194</f>
        <v/>
      </c>
      <c r="W264" s="55" t="n"/>
    </row>
    <row r="265" ht="22" customHeight="1">
      <c r="B265" s="53" t="inlineStr">
        <is>
          <t>EN1(c)</t>
        </is>
      </c>
      <c r="D265" s="12" t="inlineStr">
        <is>
          <t>Data owner confirms</t>
        </is>
      </c>
      <c r="E265" s="54">
        <f>'A1. Response summary'!H195</f>
        <v/>
      </c>
      <c r="F265" s="54">
        <f>'A1. Response summary'!I195</f>
        <v/>
      </c>
      <c r="G265" s="54">
        <f>'A1. Response summary'!J195</f>
        <v/>
      </c>
      <c r="H265" s="54">
        <f>'A1. Response summary'!K195</f>
        <v/>
      </c>
      <c r="I265" s="54">
        <f>'A1. Response summary'!L195</f>
        <v/>
      </c>
      <c r="J265" s="54">
        <f>'A1. Response summary'!M195</f>
        <v/>
      </c>
      <c r="K265" s="54">
        <f>'A1. Response summary'!N195</f>
        <v/>
      </c>
      <c r="L265" s="54">
        <f>'A1. Response summary'!O195</f>
        <v/>
      </c>
      <c r="M265" s="54">
        <f>'A1. Response summary'!P195</f>
        <v/>
      </c>
      <c r="N265" s="54">
        <f>'A1. Response summary'!R195</f>
        <v/>
      </c>
      <c r="O265" s="54">
        <f>'A1. Response summary'!S195</f>
        <v/>
      </c>
      <c r="P265" s="54">
        <f>'A1. Response summary'!U195</f>
        <v/>
      </c>
      <c r="Q265" s="54">
        <f>'A1. Response summary'!V195</f>
        <v/>
      </c>
      <c r="R265" s="54">
        <f>'A1. Response summary'!X195</f>
        <v/>
      </c>
      <c r="S265" s="54">
        <f>'A1. Response summary'!Y195</f>
        <v/>
      </c>
      <c r="T265" s="54">
        <f>'A1. Response summary'!Z195</f>
        <v/>
      </c>
      <c r="W265" s="56" t="n"/>
    </row>
    <row r="266"/>
    <row r="267" ht="72" customHeight="1">
      <c r="B267" s="6" t="inlineStr">
        <is>
          <t>EN1(d)</t>
        </is>
      </c>
      <c r="C267" s="48" t="inlineStr">
        <is>
          <t>Sustainability objectives integrated into governance and decision‑making processes, supported by transparent reporting.</t>
        </is>
      </c>
      <c r="D267" s="51" t="inlineStr">
        <is>
          <t>Unit</t>
        </is>
      </c>
      <c r="E267" s="51" t="inlineStr">
        <is>
          <t>CI&amp;S – Sustainability Strategy</t>
        </is>
      </c>
      <c r="F267" s="51" t="inlineStr">
        <is>
          <t>CFOG – Procurement</t>
        </is>
      </c>
      <c r="G267" s="51" t="inlineStr">
        <is>
          <t>ESG – Campus Operations &amp; Sustainability Delivery</t>
        </is>
      </c>
      <c r="H267" s="51" t="inlineStr">
        <is>
          <t>CIOG – Responsible AI &amp; digital</t>
        </is>
      </c>
      <c r="U267" s="52">
        <f>'A1. Response summary'!AF196</f>
        <v/>
      </c>
      <c r="V267" s="52">
        <f>'A1. Response summary'!AH196</f>
        <v/>
      </c>
      <c r="W267" s="7" t="n"/>
    </row>
    <row r="268" ht="39" customHeight="1">
      <c r="B268" s="53" t="inlineStr">
        <is>
          <t>EN1(d)</t>
        </is>
      </c>
      <c r="D268" s="12" t="inlineStr">
        <is>
          <t>OPTION 1:  Target-level reporting</t>
        </is>
      </c>
      <c r="E268" s="54">
        <f>'A1. Response summary'!R196</f>
        <v/>
      </c>
      <c r="F268" s="54">
        <f>'A1. Response summary'!S196</f>
        <v/>
      </c>
      <c r="G268" s="54">
        <f>'A1. Response summary'!U196</f>
        <v/>
      </c>
      <c r="H268" s="54">
        <f>'A1. Response summary'!V196</f>
        <v/>
      </c>
      <c r="W268" s="55" t="n"/>
    </row>
    <row r="269" ht="60" customHeight="1">
      <c r="B269" s="53" t="inlineStr">
        <is>
          <t>EN1(d)</t>
        </is>
      </c>
      <c r="D269" s="12" t="inlineStr">
        <is>
          <t>OPTION 2:  Indicator level reporting</t>
        </is>
      </c>
      <c r="E269" s="54">
        <f>'A1. Response summary'!R197</f>
        <v/>
      </c>
      <c r="F269" s="54">
        <f>'A1. Response summary'!S197</f>
        <v/>
      </c>
      <c r="G269" s="54">
        <f>'A1. Response summary'!U197</f>
        <v/>
      </c>
      <c r="H269" s="54">
        <f>'A1. Response summary'!V197</f>
        <v/>
      </c>
      <c r="W269" s="55" t="n"/>
    </row>
    <row r="270" ht="60" customHeight="1">
      <c r="B270" s="53" t="inlineStr">
        <is>
          <t>EN1(d)</t>
        </is>
      </c>
      <c r="D270" s="12" t="inlineStr">
        <is>
          <t>Supporting information/comments</t>
        </is>
      </c>
      <c r="E270" s="54">
        <f>'A1. Response summary'!R198</f>
        <v/>
      </c>
      <c r="F270" s="54">
        <f>'A1. Response summary'!S198</f>
        <v/>
      </c>
      <c r="G270" s="54">
        <f>'A1. Response summary'!U198</f>
        <v/>
      </c>
      <c r="H270" s="54">
        <f>'A1. Response summary'!V198</f>
        <v/>
      </c>
      <c r="W270" s="55" t="n"/>
    </row>
    <row r="271" ht="39" customHeight="1">
      <c r="B271" s="53" t="inlineStr">
        <is>
          <t>EN1(d)</t>
        </is>
      </c>
      <c r="D271" s="12" t="inlineStr">
        <is>
          <t>Data source and limitations</t>
        </is>
      </c>
      <c r="E271" s="54">
        <f>'A1. Response summary'!R199</f>
        <v/>
      </c>
      <c r="F271" s="54">
        <f>'A1. Response summary'!S199</f>
        <v/>
      </c>
      <c r="G271" s="54">
        <f>'A1. Response summary'!U199</f>
        <v/>
      </c>
      <c r="H271" s="54">
        <f>'A1. Response summary'!V199</f>
        <v/>
      </c>
      <c r="W271" s="55" t="n"/>
    </row>
    <row r="272" ht="22" customHeight="1">
      <c r="B272" s="53" t="inlineStr">
        <is>
          <t>EN1(d)</t>
        </is>
      </c>
      <c r="D272" s="12" t="inlineStr">
        <is>
          <t>Data owner confirms</t>
        </is>
      </c>
      <c r="E272" s="54">
        <f>'A1. Response summary'!R200</f>
        <v/>
      </c>
      <c r="F272" s="54">
        <f>'A1. Response summary'!S200</f>
        <v/>
      </c>
      <c r="G272" s="54">
        <f>'A1. Response summary'!U200</f>
        <v/>
      </c>
      <c r="H272" s="54">
        <f>'A1. Response summary'!V200</f>
        <v/>
      </c>
      <c r="W272" s="56" t="n"/>
    </row>
  </sheetData>
  <autoFilter ref="B7:W274"/>
  <mergeCells count="77">
    <mergeCell ref="C198:C202"/>
    <mergeCell ref="C114:C118"/>
    <mergeCell ref="C247:C251"/>
    <mergeCell ref="W78:W83"/>
    <mergeCell ref="W246:W251"/>
    <mergeCell ref="W15:W20"/>
    <mergeCell ref="W127:W132"/>
    <mergeCell ref="W183:W188"/>
    <mergeCell ref="W64:W69"/>
    <mergeCell ref="C268:C272"/>
    <mergeCell ref="C170:C174"/>
    <mergeCell ref="W232:W237"/>
    <mergeCell ref="W169:W174"/>
    <mergeCell ref="C107:C111"/>
    <mergeCell ref="W43:W48"/>
    <mergeCell ref="W106:W111"/>
    <mergeCell ref="C79:C83"/>
    <mergeCell ref="W211:W216"/>
    <mergeCell ref="W8:W13"/>
    <mergeCell ref="C212:C216"/>
    <mergeCell ref="C16:C20"/>
    <mergeCell ref="W148:W153"/>
    <mergeCell ref="W204:W209"/>
    <mergeCell ref="C9:C13"/>
    <mergeCell ref="W197:W202"/>
    <mergeCell ref="C163:C167"/>
    <mergeCell ref="W239:W244"/>
    <mergeCell ref="C72:C76"/>
    <mergeCell ref="C149:C153"/>
    <mergeCell ref="D4:J5"/>
    <mergeCell ref="C233:C237"/>
    <mergeCell ref="C37:C41"/>
    <mergeCell ref="C30:C34"/>
    <mergeCell ref="C184:C188"/>
    <mergeCell ref="W134:W139"/>
    <mergeCell ref="C121:C125"/>
    <mergeCell ref="W71:W76"/>
    <mergeCell ref="W176:W181"/>
    <mergeCell ref="C156:C160"/>
    <mergeCell ref="W120:W125"/>
    <mergeCell ref="C226:C230"/>
    <mergeCell ref="C93:C97"/>
    <mergeCell ref="W57:W62"/>
    <mergeCell ref="C261:C265"/>
    <mergeCell ref="W225:W230"/>
    <mergeCell ref="C135:C139"/>
    <mergeCell ref="W99:W104"/>
    <mergeCell ref="W36:W41"/>
    <mergeCell ref="W92:W97"/>
    <mergeCell ref="C240:C244"/>
    <mergeCell ref="C254:C258"/>
    <mergeCell ref="W85:W90"/>
    <mergeCell ref="W141:W146"/>
    <mergeCell ref="C191:C195"/>
    <mergeCell ref="C86:C90"/>
    <mergeCell ref="W22:W27"/>
    <mergeCell ref="W253:W258"/>
    <mergeCell ref="W190:W195"/>
    <mergeCell ref="C128:C132"/>
    <mergeCell ref="C177:C181"/>
    <mergeCell ref="C100:C104"/>
    <mergeCell ref="C65:C69"/>
    <mergeCell ref="W162:W167"/>
    <mergeCell ref="C51:C55"/>
    <mergeCell ref="W218:W223"/>
    <mergeCell ref="C219:C223"/>
    <mergeCell ref="C23:C27"/>
    <mergeCell ref="W260:W265"/>
    <mergeCell ref="C58:C62"/>
    <mergeCell ref="W113:W118"/>
    <mergeCell ref="W267:W272"/>
    <mergeCell ref="W50:W55"/>
    <mergeCell ref="W155:W160"/>
    <mergeCell ref="C44:C48"/>
    <mergeCell ref="C142:C146"/>
    <mergeCell ref="C205:C209"/>
    <mergeCell ref="W29:W34"/>
  </mergeCells>
  <pageMargins left="0.75" right="0.75" top="1" bottom="1" header="0.5" footer="0.5"/>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A1:X20"/>
  <sheetViews>
    <sheetView showGridLines="0" workbookViewId="0">
      <selection pane="topRight"/>
      <selection pane="bottomLeft"/>
      <selection pane="bottomRight" activeCell="A1" sqref="A1"/>
    </sheetView>
  </sheetViews>
  <sheetFormatPr baseColWidth="8" defaultRowHeight="15"/>
  <cols>
    <col width="13" customWidth="1" min="1" max="1"/>
    <col width="26"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s>
  <sheetData>
    <row r="1" ht="8"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row>
    <row r="2" ht="58" customHeight="1">
      <c r="A2" s="1" t="n"/>
      <c r="B2" s="2" t="inlineStr">
        <is>
          <t>T2. Single target review</t>
        </is>
      </c>
      <c r="C2" s="1" t="n"/>
      <c r="D2" s="1" t="n"/>
      <c r="E2" s="1" t="n"/>
      <c r="F2" s="1" t="n"/>
      <c r="G2" s="1" t="n"/>
      <c r="H2" s="1" t="n"/>
      <c r="I2" s="1" t="n"/>
      <c r="J2" s="1" t="n"/>
      <c r="K2" s="1" t="n"/>
      <c r="L2" s="1" t="n"/>
      <c r="M2" s="1" t="n"/>
      <c r="N2" s="1" t="n"/>
      <c r="O2" s="1" t="n"/>
      <c r="P2" s="1" t="n"/>
      <c r="Q2" s="1" t="n"/>
      <c r="R2" s="1" t="n"/>
      <c r="S2" s="1" t="n"/>
      <c r="T2" s="1" t="n"/>
      <c r="U2" s="1" t="n"/>
      <c r="V2" s="1" t="n"/>
      <c r="W2" s="1" t="n"/>
      <c r="X2" s="1" t="n"/>
    </row>
    <row r="3"/>
    <row r="4" ht="27" customHeight="1">
      <c r="B4" s="30" t="inlineStr">
        <is>
          <t>Target selected</t>
        </is>
      </c>
      <c r="C4" s="57" t="inlineStr">
        <is>
          <t>EE1(a)</t>
        </is>
      </c>
      <c r="D4" s="58">
        <f>IF($C$4="EE1(c)","Faculties answer this indicator in their EE1(a) response (merged question) – review both.","← select an indicator ref from the dropdown")</f>
        <v/>
      </c>
    </row>
    <row r="5" ht="45" customHeight="1">
      <c r="B5" s="59" t="inlineStr">
        <is>
          <t>Priority area</t>
        </is>
      </c>
      <c r="C5" s="60">
        <f>IFERROR(INDEX('1. Requirements matrix'!$D$6:$D$43,MATCH($C$4,'1. Requirements matrix'!$B$6:$B$43,0)),"")</f>
        <v/>
      </c>
    </row>
    <row r="6" ht="45" customHeight="1">
      <c r="B6" s="59" t="inlineStr">
        <is>
          <t>Target</t>
        </is>
      </c>
      <c r="C6" s="60">
        <f>IFERROR(INDEX('1. Requirements matrix'!$E$6:$E$43,MATCH($C$4,'1. Requirements matrix'!$B$6:$B$43,0)),"")</f>
        <v/>
      </c>
    </row>
    <row r="7" ht="45" customHeight="1">
      <c r="B7" s="59" t="inlineStr">
        <is>
          <t>Indicator</t>
        </is>
      </c>
      <c r="C7" s="60">
        <f>IFERROR(INDEX('1. Requirements matrix'!$F$6:$F$43,MATCH($C$4,'1. Requirements matrix'!$B$6:$B$43,0)),"")</f>
        <v/>
      </c>
    </row>
    <row r="8" ht="45" customHeight="1">
      <c r="B8" s="59" t="inlineStr">
        <is>
          <t>Reporting requirement</t>
        </is>
      </c>
      <c r="C8" s="60">
        <f>IFERROR(INDEX('1. Requirements matrix'!$G$6:$G$43,MATCH($C$4,'1. Requirements matrix'!$B$6:$B$43,0)),"")</f>
        <v/>
      </c>
    </row>
    <row r="9" ht="45" customHeight="1">
      <c r="B9" s="59" t="inlineStr">
        <is>
          <t>Request issued to</t>
        </is>
      </c>
      <c r="C9" s="60">
        <f>IFERROR(INDEX('1. Requirements matrix'!$I$6:$I$43,MATCH($C$4,'1. Requirements matrix'!$B$6:$B$43,0)),"")</f>
        <v/>
      </c>
    </row>
    <row r="10"/>
    <row r="11" ht="22" customHeight="1">
      <c r="B11" s="61" t="inlineStr">
        <is>
          <t>Units asked</t>
        </is>
      </c>
      <c r="D11" s="61" t="inlineStr">
        <is>
          <t>Responses received</t>
        </is>
      </c>
      <c r="F11" s="61" t="inlineStr">
        <is>
          <t>Awaiting response</t>
        </is>
      </c>
      <c r="H11" s="61" t="inlineStr">
        <is>
          <t>Owner confirmed</t>
        </is>
      </c>
    </row>
    <row r="12">
      <c r="B12" s="62">
        <f>IFERROR(INDEX('A1. Response summary'!$AE$11:$AE$200,MATCH($C$4&amp;"|"&amp;"OPTION 1:  Target-level reporting",'A1. Response summary'!$A$11:$A$200,0)),"")</f>
        <v/>
      </c>
      <c r="D12" s="62">
        <f>IFERROR(INDEX('A1. Response summary'!$AF$11:$AF$200,MATCH($C$4&amp;"|"&amp;"OPTION 1:  Target-level reporting",'A1. Response summary'!$A$11:$A$200,0)),"")</f>
        <v/>
      </c>
      <c r="F12" s="62">
        <f>IFERROR(INDEX('A1. Response summary'!$AG$11:$AG$200,MATCH($C$4&amp;"|"&amp;"OPTION 1:  Target-level reporting",'A1. Response summary'!$A$11:$A$200,0)),"")</f>
        <v/>
      </c>
      <c r="H12" s="62">
        <f>IFERROR(INDEX('A1. Response summary'!$AH$11:$AH$200,MATCH($C$4&amp;"|"&amp;"OPTION 1:  Target-level reporting",'A1. Response summary'!$A$11:$A$200,0)),"")</f>
        <v/>
      </c>
    </row>
    <row r="13"/>
    <row r="14" ht="42" customHeight="1">
      <c r="B14" s="5" t="inlineStr">
        <is>
          <t>Target progress</t>
        </is>
      </c>
      <c r="C14" s="5" t="inlineStr">
        <is>
          <t>ABP</t>
        </is>
      </c>
      <c r="D14" s="5" t="inlineStr">
        <is>
          <t>ARTS</t>
        </is>
      </c>
      <c r="E14" s="5" t="inlineStr">
        <is>
          <t>FBE</t>
        </is>
      </c>
      <c r="F14" s="5" t="inlineStr">
        <is>
          <t>SCI</t>
        </is>
      </c>
      <c r="G14" s="5" t="inlineStr">
        <is>
          <t>FAM</t>
        </is>
      </c>
      <c r="H14" s="5" t="inlineStr">
        <is>
          <t>FEIT</t>
        </is>
      </c>
      <c r="I14" s="5" t="inlineStr">
        <is>
          <t>FoE</t>
        </is>
      </c>
      <c r="J14" s="5" t="inlineStr">
        <is>
          <t>MLS</t>
        </is>
      </c>
      <c r="K14" s="5" t="inlineStr">
        <is>
          <t>MDHS</t>
        </is>
      </c>
      <c r="L14" s="5" t="inlineStr">
        <is>
          <t>CI&amp;S – Estate Planning &amp; Development</t>
        </is>
      </c>
      <c r="M14" s="5" t="inlineStr">
        <is>
          <t>CI&amp;S – Sustainability Strategy</t>
        </is>
      </c>
      <c r="N14" s="5" t="inlineStr">
        <is>
          <t>CFOG – Procurement</t>
        </is>
      </c>
      <c r="O14" s="5" t="inlineStr">
        <is>
          <t>CFOG – Treasury &amp; Investments</t>
        </is>
      </c>
      <c r="P14" s="5" t="inlineStr">
        <is>
          <t>ESG – Campus Operations &amp; Sustainability Delivery</t>
        </is>
      </c>
      <c r="Q14" s="5" t="inlineStr">
        <is>
          <t>CIOG – Responsible AI &amp; digital</t>
        </is>
      </c>
      <c r="R14" s="5" t="inlineStr">
        <is>
          <t>MRE – Research</t>
        </is>
      </c>
      <c r="S14" s="5" t="inlineStr">
        <is>
          <t>AC&amp;M – Advancement, Communication and Marketing</t>
        </is>
      </c>
      <c r="T14" s="5" t="inlineStr">
        <is>
          <t>GCE – Global, Culture and Engagement</t>
        </is>
      </c>
      <c r="U14" s="5" t="inlineStr">
        <is>
          <t>Education – Chancellery Education</t>
        </is>
      </c>
      <c r="V14" s="5" t="inlineStr">
        <is>
          <t>SaSS – Student and Scholarly Services</t>
        </is>
      </c>
      <c r="W14" s="5" t="inlineStr">
        <is>
          <t>Indigenous – Chancellery Indigenous</t>
        </is>
      </c>
      <c r="X14" s="5" t="inlineStr">
        <is>
          <t>Legal &amp; Risk – Risk &amp; resilience</t>
        </is>
      </c>
    </row>
    <row r="15" ht="22" customHeight="1">
      <c r="B15" s="51" t="inlineStr">
        <is>
          <t>Requested?</t>
        </is>
      </c>
      <c r="C15" s="63">
        <f>IFERROR(IF(INDEX('A1. Response summary'!H$11:H$200,MATCH($C$4&amp;"|"&amp;"OPTION 1:  Target-level reporting",'A1. Response summary'!$A$11:$A$200,0))="N/A","No","Yes"),"")</f>
        <v/>
      </c>
      <c r="D15" s="63">
        <f>IFERROR(IF(INDEX('A1. Response summary'!I$11:I$200,MATCH($C$4&amp;"|"&amp;"OPTION 1:  Target-level reporting",'A1. Response summary'!$A$11:$A$200,0))="N/A","No","Yes"),"")</f>
        <v/>
      </c>
      <c r="E15" s="63">
        <f>IFERROR(IF(INDEX('A1. Response summary'!J$11:J$200,MATCH($C$4&amp;"|"&amp;"OPTION 1:  Target-level reporting",'A1. Response summary'!$A$11:$A$200,0))="N/A","No","Yes"),"")</f>
        <v/>
      </c>
      <c r="F15" s="63">
        <f>IFERROR(IF(INDEX('A1. Response summary'!K$11:K$200,MATCH($C$4&amp;"|"&amp;"OPTION 1:  Target-level reporting",'A1. Response summary'!$A$11:$A$200,0))="N/A","No","Yes"),"")</f>
        <v/>
      </c>
      <c r="G15" s="63">
        <f>IFERROR(IF(INDEX('A1. Response summary'!L$11:L$200,MATCH($C$4&amp;"|"&amp;"OPTION 1:  Target-level reporting",'A1. Response summary'!$A$11:$A$200,0))="N/A","No","Yes"),"")</f>
        <v/>
      </c>
      <c r="H15" s="63">
        <f>IFERROR(IF(INDEX('A1. Response summary'!M$11:M$200,MATCH($C$4&amp;"|"&amp;"OPTION 1:  Target-level reporting",'A1. Response summary'!$A$11:$A$200,0))="N/A","No","Yes"),"")</f>
        <v/>
      </c>
      <c r="I15" s="63">
        <f>IFERROR(IF(INDEX('A1. Response summary'!N$11:N$200,MATCH($C$4&amp;"|"&amp;"OPTION 1:  Target-level reporting",'A1. Response summary'!$A$11:$A$200,0))="N/A","No","Yes"),"")</f>
        <v/>
      </c>
      <c r="J15" s="63">
        <f>IFERROR(IF(INDEX('A1. Response summary'!O$11:O$200,MATCH($C$4&amp;"|"&amp;"OPTION 1:  Target-level reporting",'A1. Response summary'!$A$11:$A$200,0))="N/A","No","Yes"),"")</f>
        <v/>
      </c>
      <c r="K15" s="63">
        <f>IFERROR(IF(INDEX('A1. Response summary'!P$11:P$200,MATCH($C$4&amp;"|"&amp;"OPTION 1:  Target-level reporting",'A1. Response summary'!$A$11:$A$200,0))="N/A","No","Yes"),"")</f>
        <v/>
      </c>
      <c r="L15" s="63">
        <f>IFERROR(IF(INDEX('A1. Response summary'!Q$11:Q$200,MATCH($C$4&amp;"|"&amp;"OPTION 1:  Target-level reporting",'A1. Response summary'!$A$11:$A$200,0))="N/A","No","Yes"),"")</f>
        <v/>
      </c>
      <c r="M15" s="63">
        <f>IFERROR(IF(INDEX('A1. Response summary'!R$11:R$200,MATCH($C$4&amp;"|"&amp;"OPTION 1:  Target-level reporting",'A1. Response summary'!$A$11:$A$200,0))="N/A","No","Yes"),"")</f>
        <v/>
      </c>
      <c r="N15" s="63">
        <f>IFERROR(IF(INDEX('A1. Response summary'!S$11:S$200,MATCH($C$4&amp;"|"&amp;"OPTION 1:  Target-level reporting",'A1. Response summary'!$A$11:$A$200,0))="N/A","No","Yes"),"")</f>
        <v/>
      </c>
      <c r="O15" s="63">
        <f>IFERROR(IF(INDEX('A1. Response summary'!T$11:T$200,MATCH($C$4&amp;"|"&amp;"OPTION 1:  Target-level reporting",'A1. Response summary'!$A$11:$A$200,0))="N/A","No","Yes"),"")</f>
        <v/>
      </c>
      <c r="P15" s="63">
        <f>IFERROR(IF(INDEX('A1. Response summary'!U$11:U$200,MATCH($C$4&amp;"|"&amp;"OPTION 1:  Target-level reporting",'A1. Response summary'!$A$11:$A$200,0))="N/A","No","Yes"),"")</f>
        <v/>
      </c>
      <c r="Q15" s="63">
        <f>IFERROR(IF(INDEX('A1. Response summary'!V$11:V$200,MATCH($C$4&amp;"|"&amp;"OPTION 1:  Target-level reporting",'A1. Response summary'!$A$11:$A$200,0))="N/A","No","Yes"),"")</f>
        <v/>
      </c>
      <c r="R15" s="63">
        <f>IFERROR(IF(INDEX('A1. Response summary'!W$11:W$200,MATCH($C$4&amp;"|"&amp;"OPTION 1:  Target-level reporting",'A1. Response summary'!$A$11:$A$200,0))="N/A","No","Yes"),"")</f>
        <v/>
      </c>
      <c r="S15" s="63">
        <f>IFERROR(IF(INDEX('A1. Response summary'!X$11:X$200,MATCH($C$4&amp;"|"&amp;"OPTION 1:  Target-level reporting",'A1. Response summary'!$A$11:$A$200,0))="N/A","No","Yes"),"")</f>
        <v/>
      </c>
      <c r="T15" s="63">
        <f>IFERROR(IF(INDEX('A1. Response summary'!Y$11:Y$200,MATCH($C$4&amp;"|"&amp;"OPTION 1:  Target-level reporting",'A1. Response summary'!$A$11:$A$200,0))="N/A","No","Yes"),"")</f>
        <v/>
      </c>
      <c r="U15" s="63">
        <f>IFERROR(IF(INDEX('A1. Response summary'!Z$11:Z$200,MATCH($C$4&amp;"|"&amp;"OPTION 1:  Target-level reporting",'A1. Response summary'!$A$11:$A$200,0))="N/A","No","Yes"),"")</f>
        <v/>
      </c>
      <c r="V15" s="63">
        <f>IFERROR(IF(INDEX('A1. Response summary'!AA$11:AA$200,MATCH($C$4&amp;"|"&amp;"OPTION 1:  Target-level reporting",'A1. Response summary'!$A$11:$A$200,0))="N/A","No","Yes"),"")</f>
        <v/>
      </c>
      <c r="W15" s="63">
        <f>IFERROR(IF(INDEX('A1. Response summary'!AB$11:AB$200,MATCH($C$4&amp;"|"&amp;"OPTION 1:  Target-level reporting",'A1. Response summary'!$A$11:$A$200,0))="N/A","No","Yes"),"")</f>
        <v/>
      </c>
      <c r="X15" s="63">
        <f>IFERROR(IF(INDEX('A1. Response summary'!AC$11:AC$200,MATCH($C$4&amp;"|"&amp;"OPTION 1:  Target-level reporting",'A1. Response summary'!$A$11:$A$200,0))="N/A","No","Yes"),"")</f>
        <v/>
      </c>
    </row>
    <row r="16" ht="45" customHeight="1">
      <c r="B16" s="6" t="inlineStr">
        <is>
          <t>OPTION 1:  Target-level reporting</t>
        </is>
      </c>
      <c r="C16" s="7">
        <f>IFERROR(INDEX('A1. Response summary'!H$11:H$200,MATCH($C$4&amp;"|"&amp;$B16,'A1. Response summary'!$A$11:$A$200,0)),"")</f>
        <v/>
      </c>
      <c r="D16" s="7">
        <f>IFERROR(INDEX('A1. Response summary'!I$11:I$200,MATCH($C$4&amp;"|"&amp;$B16,'A1. Response summary'!$A$11:$A$200,0)),"")</f>
        <v/>
      </c>
      <c r="E16" s="7">
        <f>IFERROR(INDEX('A1. Response summary'!J$11:J$200,MATCH($C$4&amp;"|"&amp;$B16,'A1. Response summary'!$A$11:$A$200,0)),"")</f>
        <v/>
      </c>
      <c r="F16" s="7">
        <f>IFERROR(INDEX('A1. Response summary'!K$11:K$200,MATCH($C$4&amp;"|"&amp;$B16,'A1. Response summary'!$A$11:$A$200,0)),"")</f>
        <v/>
      </c>
      <c r="G16" s="7">
        <f>IFERROR(INDEX('A1. Response summary'!L$11:L$200,MATCH($C$4&amp;"|"&amp;$B16,'A1. Response summary'!$A$11:$A$200,0)),"")</f>
        <v/>
      </c>
      <c r="H16" s="7">
        <f>IFERROR(INDEX('A1. Response summary'!M$11:M$200,MATCH($C$4&amp;"|"&amp;$B16,'A1. Response summary'!$A$11:$A$200,0)),"")</f>
        <v/>
      </c>
      <c r="I16" s="7">
        <f>IFERROR(INDEX('A1. Response summary'!N$11:N$200,MATCH($C$4&amp;"|"&amp;$B16,'A1. Response summary'!$A$11:$A$200,0)),"")</f>
        <v/>
      </c>
      <c r="J16" s="7">
        <f>IFERROR(INDEX('A1. Response summary'!O$11:O$200,MATCH($C$4&amp;"|"&amp;$B16,'A1. Response summary'!$A$11:$A$200,0)),"")</f>
        <v/>
      </c>
      <c r="K16" s="7">
        <f>IFERROR(INDEX('A1. Response summary'!P$11:P$200,MATCH($C$4&amp;"|"&amp;$B16,'A1. Response summary'!$A$11:$A$200,0)),"")</f>
        <v/>
      </c>
      <c r="L16" s="7">
        <f>IFERROR(INDEX('A1. Response summary'!Q$11:Q$200,MATCH($C$4&amp;"|"&amp;$B16,'A1. Response summary'!$A$11:$A$200,0)),"")</f>
        <v/>
      </c>
      <c r="M16" s="7">
        <f>IFERROR(INDEX('A1. Response summary'!R$11:R$200,MATCH($C$4&amp;"|"&amp;$B16,'A1. Response summary'!$A$11:$A$200,0)),"")</f>
        <v/>
      </c>
      <c r="N16" s="7">
        <f>IFERROR(INDEX('A1. Response summary'!S$11:S$200,MATCH($C$4&amp;"|"&amp;$B16,'A1. Response summary'!$A$11:$A$200,0)),"")</f>
        <v/>
      </c>
      <c r="O16" s="7">
        <f>IFERROR(INDEX('A1. Response summary'!T$11:T$200,MATCH($C$4&amp;"|"&amp;$B16,'A1. Response summary'!$A$11:$A$200,0)),"")</f>
        <v/>
      </c>
      <c r="P16" s="7">
        <f>IFERROR(INDEX('A1. Response summary'!U$11:U$200,MATCH($C$4&amp;"|"&amp;$B16,'A1. Response summary'!$A$11:$A$200,0)),"")</f>
        <v/>
      </c>
      <c r="Q16" s="7">
        <f>IFERROR(INDEX('A1. Response summary'!V$11:V$200,MATCH($C$4&amp;"|"&amp;$B16,'A1. Response summary'!$A$11:$A$200,0)),"")</f>
        <v/>
      </c>
      <c r="R16" s="7">
        <f>IFERROR(INDEX('A1. Response summary'!W$11:W$200,MATCH($C$4&amp;"|"&amp;$B16,'A1. Response summary'!$A$11:$A$200,0)),"")</f>
        <v/>
      </c>
      <c r="S16" s="7">
        <f>IFERROR(INDEX('A1. Response summary'!X$11:X$200,MATCH($C$4&amp;"|"&amp;$B16,'A1. Response summary'!$A$11:$A$200,0)),"")</f>
        <v/>
      </c>
      <c r="T16" s="7">
        <f>IFERROR(INDEX('A1. Response summary'!Y$11:Y$200,MATCH($C$4&amp;"|"&amp;$B16,'A1. Response summary'!$A$11:$A$200,0)),"")</f>
        <v/>
      </c>
      <c r="U16" s="7">
        <f>IFERROR(INDEX('A1. Response summary'!Z$11:Z$200,MATCH($C$4&amp;"|"&amp;$B16,'A1. Response summary'!$A$11:$A$200,0)),"")</f>
        <v/>
      </c>
      <c r="V16" s="7">
        <f>IFERROR(INDEX('A1. Response summary'!AA$11:AA$200,MATCH($C$4&amp;"|"&amp;$B16,'A1. Response summary'!$A$11:$A$200,0)),"")</f>
        <v/>
      </c>
      <c r="W16" s="7">
        <f>IFERROR(INDEX('A1. Response summary'!AB$11:AB$200,MATCH($C$4&amp;"|"&amp;$B16,'A1. Response summary'!$A$11:$A$200,0)),"")</f>
        <v/>
      </c>
      <c r="X16" s="7">
        <f>IFERROR(INDEX('A1. Response summary'!AC$11:AC$200,MATCH($C$4&amp;"|"&amp;$B16,'A1. Response summary'!$A$11:$A$200,0)),"")</f>
        <v/>
      </c>
    </row>
    <row r="17" ht="120" customHeight="1">
      <c r="B17" s="6" t="inlineStr">
        <is>
          <t>OPTION 2:  Indicator level reporting</t>
        </is>
      </c>
      <c r="C17" s="7">
        <f>IFERROR(INDEX('A1. Response summary'!H$11:H$200,MATCH($C$4&amp;"|"&amp;$B17,'A1. Response summary'!$A$11:$A$200,0)),"")</f>
        <v/>
      </c>
      <c r="D17" s="7">
        <f>IFERROR(INDEX('A1. Response summary'!I$11:I$200,MATCH($C$4&amp;"|"&amp;$B17,'A1. Response summary'!$A$11:$A$200,0)),"")</f>
        <v/>
      </c>
      <c r="E17" s="7">
        <f>IFERROR(INDEX('A1. Response summary'!J$11:J$200,MATCH($C$4&amp;"|"&amp;$B17,'A1. Response summary'!$A$11:$A$200,0)),"")</f>
        <v/>
      </c>
      <c r="F17" s="7">
        <f>IFERROR(INDEX('A1. Response summary'!K$11:K$200,MATCH($C$4&amp;"|"&amp;$B17,'A1. Response summary'!$A$11:$A$200,0)),"")</f>
        <v/>
      </c>
      <c r="G17" s="7">
        <f>IFERROR(INDEX('A1. Response summary'!L$11:L$200,MATCH($C$4&amp;"|"&amp;$B17,'A1. Response summary'!$A$11:$A$200,0)),"")</f>
        <v/>
      </c>
      <c r="H17" s="7">
        <f>IFERROR(INDEX('A1. Response summary'!M$11:M$200,MATCH($C$4&amp;"|"&amp;$B17,'A1. Response summary'!$A$11:$A$200,0)),"")</f>
        <v/>
      </c>
      <c r="I17" s="7">
        <f>IFERROR(INDEX('A1. Response summary'!N$11:N$200,MATCH($C$4&amp;"|"&amp;$B17,'A1. Response summary'!$A$11:$A$200,0)),"")</f>
        <v/>
      </c>
      <c r="J17" s="7">
        <f>IFERROR(INDEX('A1. Response summary'!O$11:O$200,MATCH($C$4&amp;"|"&amp;$B17,'A1. Response summary'!$A$11:$A$200,0)),"")</f>
        <v/>
      </c>
      <c r="K17" s="7">
        <f>IFERROR(INDEX('A1. Response summary'!P$11:P$200,MATCH($C$4&amp;"|"&amp;$B17,'A1. Response summary'!$A$11:$A$200,0)),"")</f>
        <v/>
      </c>
      <c r="L17" s="7">
        <f>IFERROR(INDEX('A1. Response summary'!Q$11:Q$200,MATCH($C$4&amp;"|"&amp;$B17,'A1. Response summary'!$A$11:$A$200,0)),"")</f>
        <v/>
      </c>
      <c r="M17" s="7">
        <f>IFERROR(INDEX('A1. Response summary'!R$11:R$200,MATCH($C$4&amp;"|"&amp;$B17,'A1. Response summary'!$A$11:$A$200,0)),"")</f>
        <v/>
      </c>
      <c r="N17" s="7">
        <f>IFERROR(INDEX('A1. Response summary'!S$11:S$200,MATCH($C$4&amp;"|"&amp;$B17,'A1. Response summary'!$A$11:$A$200,0)),"")</f>
        <v/>
      </c>
      <c r="O17" s="7">
        <f>IFERROR(INDEX('A1. Response summary'!T$11:T$200,MATCH($C$4&amp;"|"&amp;$B17,'A1. Response summary'!$A$11:$A$200,0)),"")</f>
        <v/>
      </c>
      <c r="P17" s="7">
        <f>IFERROR(INDEX('A1. Response summary'!U$11:U$200,MATCH($C$4&amp;"|"&amp;$B17,'A1. Response summary'!$A$11:$A$200,0)),"")</f>
        <v/>
      </c>
      <c r="Q17" s="7">
        <f>IFERROR(INDEX('A1. Response summary'!V$11:V$200,MATCH($C$4&amp;"|"&amp;$B17,'A1. Response summary'!$A$11:$A$200,0)),"")</f>
        <v/>
      </c>
      <c r="R17" s="7">
        <f>IFERROR(INDEX('A1. Response summary'!W$11:W$200,MATCH($C$4&amp;"|"&amp;$B17,'A1. Response summary'!$A$11:$A$200,0)),"")</f>
        <v/>
      </c>
      <c r="S17" s="7">
        <f>IFERROR(INDEX('A1. Response summary'!X$11:X$200,MATCH($C$4&amp;"|"&amp;$B17,'A1. Response summary'!$A$11:$A$200,0)),"")</f>
        <v/>
      </c>
      <c r="T17" s="7">
        <f>IFERROR(INDEX('A1. Response summary'!Y$11:Y$200,MATCH($C$4&amp;"|"&amp;$B17,'A1. Response summary'!$A$11:$A$200,0)),"")</f>
        <v/>
      </c>
      <c r="U17" s="7">
        <f>IFERROR(INDEX('A1. Response summary'!Z$11:Z$200,MATCH($C$4&amp;"|"&amp;$B17,'A1. Response summary'!$A$11:$A$200,0)),"")</f>
        <v/>
      </c>
      <c r="V17" s="7">
        <f>IFERROR(INDEX('A1. Response summary'!AA$11:AA$200,MATCH($C$4&amp;"|"&amp;$B17,'A1. Response summary'!$A$11:$A$200,0)),"")</f>
        <v/>
      </c>
      <c r="W17" s="7">
        <f>IFERROR(INDEX('A1. Response summary'!AB$11:AB$200,MATCH($C$4&amp;"|"&amp;$B17,'A1. Response summary'!$A$11:$A$200,0)),"")</f>
        <v/>
      </c>
      <c r="X17" s="7">
        <f>IFERROR(INDEX('A1. Response summary'!AC$11:AC$200,MATCH($C$4&amp;"|"&amp;$B17,'A1. Response summary'!$A$11:$A$200,0)),"")</f>
        <v/>
      </c>
    </row>
    <row r="18" ht="120" customHeight="1">
      <c r="B18" s="6" t="inlineStr">
        <is>
          <t>Supporting information/comments</t>
        </is>
      </c>
      <c r="C18" s="7">
        <f>IFERROR(INDEX('A1. Response summary'!H$11:H$200,MATCH($C$4&amp;"|"&amp;$B18,'A1. Response summary'!$A$11:$A$200,0)),"")</f>
        <v/>
      </c>
      <c r="D18" s="7">
        <f>IFERROR(INDEX('A1. Response summary'!I$11:I$200,MATCH($C$4&amp;"|"&amp;$B18,'A1. Response summary'!$A$11:$A$200,0)),"")</f>
        <v/>
      </c>
      <c r="E18" s="7">
        <f>IFERROR(INDEX('A1. Response summary'!J$11:J$200,MATCH($C$4&amp;"|"&amp;$B18,'A1. Response summary'!$A$11:$A$200,0)),"")</f>
        <v/>
      </c>
      <c r="F18" s="7">
        <f>IFERROR(INDEX('A1. Response summary'!K$11:K$200,MATCH($C$4&amp;"|"&amp;$B18,'A1. Response summary'!$A$11:$A$200,0)),"")</f>
        <v/>
      </c>
      <c r="G18" s="7">
        <f>IFERROR(INDEX('A1. Response summary'!L$11:L$200,MATCH($C$4&amp;"|"&amp;$B18,'A1. Response summary'!$A$11:$A$200,0)),"")</f>
        <v/>
      </c>
      <c r="H18" s="7">
        <f>IFERROR(INDEX('A1. Response summary'!M$11:M$200,MATCH($C$4&amp;"|"&amp;$B18,'A1. Response summary'!$A$11:$A$200,0)),"")</f>
        <v/>
      </c>
      <c r="I18" s="7">
        <f>IFERROR(INDEX('A1. Response summary'!N$11:N$200,MATCH($C$4&amp;"|"&amp;$B18,'A1. Response summary'!$A$11:$A$200,0)),"")</f>
        <v/>
      </c>
      <c r="J18" s="7">
        <f>IFERROR(INDEX('A1. Response summary'!O$11:O$200,MATCH($C$4&amp;"|"&amp;$B18,'A1. Response summary'!$A$11:$A$200,0)),"")</f>
        <v/>
      </c>
      <c r="K18" s="7">
        <f>IFERROR(INDEX('A1. Response summary'!P$11:P$200,MATCH($C$4&amp;"|"&amp;$B18,'A1. Response summary'!$A$11:$A$200,0)),"")</f>
        <v/>
      </c>
      <c r="L18" s="7">
        <f>IFERROR(INDEX('A1. Response summary'!Q$11:Q$200,MATCH($C$4&amp;"|"&amp;$B18,'A1. Response summary'!$A$11:$A$200,0)),"")</f>
        <v/>
      </c>
      <c r="M18" s="7">
        <f>IFERROR(INDEX('A1. Response summary'!R$11:R$200,MATCH($C$4&amp;"|"&amp;$B18,'A1. Response summary'!$A$11:$A$200,0)),"")</f>
        <v/>
      </c>
      <c r="N18" s="7">
        <f>IFERROR(INDEX('A1. Response summary'!S$11:S$200,MATCH($C$4&amp;"|"&amp;$B18,'A1. Response summary'!$A$11:$A$200,0)),"")</f>
        <v/>
      </c>
      <c r="O18" s="7">
        <f>IFERROR(INDEX('A1. Response summary'!T$11:T$200,MATCH($C$4&amp;"|"&amp;$B18,'A1. Response summary'!$A$11:$A$200,0)),"")</f>
        <v/>
      </c>
      <c r="P18" s="7">
        <f>IFERROR(INDEX('A1. Response summary'!U$11:U$200,MATCH($C$4&amp;"|"&amp;$B18,'A1. Response summary'!$A$11:$A$200,0)),"")</f>
        <v/>
      </c>
      <c r="Q18" s="7">
        <f>IFERROR(INDEX('A1. Response summary'!V$11:V$200,MATCH($C$4&amp;"|"&amp;$B18,'A1. Response summary'!$A$11:$A$200,0)),"")</f>
        <v/>
      </c>
      <c r="R18" s="7">
        <f>IFERROR(INDEX('A1. Response summary'!W$11:W$200,MATCH($C$4&amp;"|"&amp;$B18,'A1. Response summary'!$A$11:$A$200,0)),"")</f>
        <v/>
      </c>
      <c r="S18" s="7">
        <f>IFERROR(INDEX('A1. Response summary'!X$11:X$200,MATCH($C$4&amp;"|"&amp;$B18,'A1. Response summary'!$A$11:$A$200,0)),"")</f>
        <v/>
      </c>
      <c r="T18" s="7">
        <f>IFERROR(INDEX('A1. Response summary'!Y$11:Y$200,MATCH($C$4&amp;"|"&amp;$B18,'A1. Response summary'!$A$11:$A$200,0)),"")</f>
        <v/>
      </c>
      <c r="U18" s="7">
        <f>IFERROR(INDEX('A1. Response summary'!Z$11:Z$200,MATCH($C$4&amp;"|"&amp;$B18,'A1. Response summary'!$A$11:$A$200,0)),"")</f>
        <v/>
      </c>
      <c r="V18" s="7">
        <f>IFERROR(INDEX('A1. Response summary'!AA$11:AA$200,MATCH($C$4&amp;"|"&amp;$B18,'A1. Response summary'!$A$11:$A$200,0)),"")</f>
        <v/>
      </c>
      <c r="W18" s="7">
        <f>IFERROR(INDEX('A1. Response summary'!AB$11:AB$200,MATCH($C$4&amp;"|"&amp;$B18,'A1. Response summary'!$A$11:$A$200,0)),"")</f>
        <v/>
      </c>
      <c r="X18" s="7">
        <f>IFERROR(INDEX('A1. Response summary'!AC$11:AC$200,MATCH($C$4&amp;"|"&amp;$B18,'A1. Response summary'!$A$11:$A$200,0)),"")</f>
        <v/>
      </c>
    </row>
    <row r="19" ht="45" customHeight="1">
      <c r="B19" s="6" t="inlineStr">
        <is>
          <t>Data source and limitations</t>
        </is>
      </c>
      <c r="C19" s="7">
        <f>IFERROR(INDEX('A1. Response summary'!H$11:H$200,MATCH($C$4&amp;"|"&amp;$B19,'A1. Response summary'!$A$11:$A$200,0)),"")</f>
        <v/>
      </c>
      <c r="D19" s="7">
        <f>IFERROR(INDEX('A1. Response summary'!I$11:I$200,MATCH($C$4&amp;"|"&amp;$B19,'A1. Response summary'!$A$11:$A$200,0)),"")</f>
        <v/>
      </c>
      <c r="E19" s="7">
        <f>IFERROR(INDEX('A1. Response summary'!J$11:J$200,MATCH($C$4&amp;"|"&amp;$B19,'A1. Response summary'!$A$11:$A$200,0)),"")</f>
        <v/>
      </c>
      <c r="F19" s="7">
        <f>IFERROR(INDEX('A1. Response summary'!K$11:K$200,MATCH($C$4&amp;"|"&amp;$B19,'A1. Response summary'!$A$11:$A$200,0)),"")</f>
        <v/>
      </c>
      <c r="G19" s="7">
        <f>IFERROR(INDEX('A1. Response summary'!L$11:L$200,MATCH($C$4&amp;"|"&amp;$B19,'A1. Response summary'!$A$11:$A$200,0)),"")</f>
        <v/>
      </c>
      <c r="H19" s="7">
        <f>IFERROR(INDEX('A1. Response summary'!M$11:M$200,MATCH($C$4&amp;"|"&amp;$B19,'A1. Response summary'!$A$11:$A$200,0)),"")</f>
        <v/>
      </c>
      <c r="I19" s="7">
        <f>IFERROR(INDEX('A1. Response summary'!N$11:N$200,MATCH($C$4&amp;"|"&amp;$B19,'A1. Response summary'!$A$11:$A$200,0)),"")</f>
        <v/>
      </c>
      <c r="J19" s="7">
        <f>IFERROR(INDEX('A1. Response summary'!O$11:O$200,MATCH($C$4&amp;"|"&amp;$B19,'A1. Response summary'!$A$11:$A$200,0)),"")</f>
        <v/>
      </c>
      <c r="K19" s="7">
        <f>IFERROR(INDEX('A1. Response summary'!P$11:P$200,MATCH($C$4&amp;"|"&amp;$B19,'A1. Response summary'!$A$11:$A$200,0)),"")</f>
        <v/>
      </c>
      <c r="L19" s="7">
        <f>IFERROR(INDEX('A1. Response summary'!Q$11:Q$200,MATCH($C$4&amp;"|"&amp;$B19,'A1. Response summary'!$A$11:$A$200,0)),"")</f>
        <v/>
      </c>
      <c r="M19" s="7">
        <f>IFERROR(INDEX('A1. Response summary'!R$11:R$200,MATCH($C$4&amp;"|"&amp;$B19,'A1. Response summary'!$A$11:$A$200,0)),"")</f>
        <v/>
      </c>
      <c r="N19" s="7">
        <f>IFERROR(INDEX('A1. Response summary'!S$11:S$200,MATCH($C$4&amp;"|"&amp;$B19,'A1. Response summary'!$A$11:$A$200,0)),"")</f>
        <v/>
      </c>
      <c r="O19" s="7">
        <f>IFERROR(INDEX('A1. Response summary'!T$11:T$200,MATCH($C$4&amp;"|"&amp;$B19,'A1. Response summary'!$A$11:$A$200,0)),"")</f>
        <v/>
      </c>
      <c r="P19" s="7">
        <f>IFERROR(INDEX('A1. Response summary'!U$11:U$200,MATCH($C$4&amp;"|"&amp;$B19,'A1. Response summary'!$A$11:$A$200,0)),"")</f>
        <v/>
      </c>
      <c r="Q19" s="7">
        <f>IFERROR(INDEX('A1. Response summary'!V$11:V$200,MATCH($C$4&amp;"|"&amp;$B19,'A1. Response summary'!$A$11:$A$200,0)),"")</f>
        <v/>
      </c>
      <c r="R19" s="7">
        <f>IFERROR(INDEX('A1. Response summary'!W$11:W$200,MATCH($C$4&amp;"|"&amp;$B19,'A1. Response summary'!$A$11:$A$200,0)),"")</f>
        <v/>
      </c>
      <c r="S19" s="7">
        <f>IFERROR(INDEX('A1. Response summary'!X$11:X$200,MATCH($C$4&amp;"|"&amp;$B19,'A1. Response summary'!$A$11:$A$200,0)),"")</f>
        <v/>
      </c>
      <c r="T19" s="7">
        <f>IFERROR(INDEX('A1. Response summary'!Y$11:Y$200,MATCH($C$4&amp;"|"&amp;$B19,'A1. Response summary'!$A$11:$A$200,0)),"")</f>
        <v/>
      </c>
      <c r="U19" s="7">
        <f>IFERROR(INDEX('A1. Response summary'!Z$11:Z$200,MATCH($C$4&amp;"|"&amp;$B19,'A1. Response summary'!$A$11:$A$200,0)),"")</f>
        <v/>
      </c>
      <c r="V19" s="7">
        <f>IFERROR(INDEX('A1. Response summary'!AA$11:AA$200,MATCH($C$4&amp;"|"&amp;$B19,'A1. Response summary'!$A$11:$A$200,0)),"")</f>
        <v/>
      </c>
      <c r="W19" s="7">
        <f>IFERROR(INDEX('A1. Response summary'!AB$11:AB$200,MATCH($C$4&amp;"|"&amp;$B19,'A1. Response summary'!$A$11:$A$200,0)),"")</f>
        <v/>
      </c>
      <c r="X19" s="7">
        <f>IFERROR(INDEX('A1. Response summary'!AC$11:AC$200,MATCH($C$4&amp;"|"&amp;$B19,'A1. Response summary'!$A$11:$A$200,0)),"")</f>
        <v/>
      </c>
    </row>
    <row r="20" ht="45" customHeight="1">
      <c r="B20" s="6" t="inlineStr">
        <is>
          <t>Data owner confirms</t>
        </is>
      </c>
      <c r="C20" s="7">
        <f>IFERROR(INDEX('A1. Response summary'!H$11:H$200,MATCH($C$4&amp;"|"&amp;$B20,'A1. Response summary'!$A$11:$A$200,0)),"")</f>
        <v/>
      </c>
      <c r="D20" s="7">
        <f>IFERROR(INDEX('A1. Response summary'!I$11:I$200,MATCH($C$4&amp;"|"&amp;$B20,'A1. Response summary'!$A$11:$A$200,0)),"")</f>
        <v/>
      </c>
      <c r="E20" s="7">
        <f>IFERROR(INDEX('A1. Response summary'!J$11:J$200,MATCH($C$4&amp;"|"&amp;$B20,'A1. Response summary'!$A$11:$A$200,0)),"")</f>
        <v/>
      </c>
      <c r="F20" s="7">
        <f>IFERROR(INDEX('A1. Response summary'!K$11:K$200,MATCH($C$4&amp;"|"&amp;$B20,'A1. Response summary'!$A$11:$A$200,0)),"")</f>
        <v/>
      </c>
      <c r="G20" s="7">
        <f>IFERROR(INDEX('A1. Response summary'!L$11:L$200,MATCH($C$4&amp;"|"&amp;$B20,'A1. Response summary'!$A$11:$A$200,0)),"")</f>
        <v/>
      </c>
      <c r="H20" s="7">
        <f>IFERROR(INDEX('A1. Response summary'!M$11:M$200,MATCH($C$4&amp;"|"&amp;$B20,'A1. Response summary'!$A$11:$A$200,0)),"")</f>
        <v/>
      </c>
      <c r="I20" s="7">
        <f>IFERROR(INDEX('A1. Response summary'!N$11:N$200,MATCH($C$4&amp;"|"&amp;$B20,'A1. Response summary'!$A$11:$A$200,0)),"")</f>
        <v/>
      </c>
      <c r="J20" s="7">
        <f>IFERROR(INDEX('A1. Response summary'!O$11:O$200,MATCH($C$4&amp;"|"&amp;$B20,'A1. Response summary'!$A$11:$A$200,0)),"")</f>
        <v/>
      </c>
      <c r="K20" s="7">
        <f>IFERROR(INDEX('A1. Response summary'!P$11:P$200,MATCH($C$4&amp;"|"&amp;$B20,'A1. Response summary'!$A$11:$A$200,0)),"")</f>
        <v/>
      </c>
      <c r="L20" s="7">
        <f>IFERROR(INDEX('A1. Response summary'!Q$11:Q$200,MATCH($C$4&amp;"|"&amp;$B20,'A1. Response summary'!$A$11:$A$200,0)),"")</f>
        <v/>
      </c>
      <c r="M20" s="7">
        <f>IFERROR(INDEX('A1. Response summary'!R$11:R$200,MATCH($C$4&amp;"|"&amp;$B20,'A1. Response summary'!$A$11:$A$200,0)),"")</f>
        <v/>
      </c>
      <c r="N20" s="7">
        <f>IFERROR(INDEX('A1. Response summary'!S$11:S$200,MATCH($C$4&amp;"|"&amp;$B20,'A1. Response summary'!$A$11:$A$200,0)),"")</f>
        <v/>
      </c>
      <c r="O20" s="7">
        <f>IFERROR(INDEX('A1. Response summary'!T$11:T$200,MATCH($C$4&amp;"|"&amp;$B20,'A1. Response summary'!$A$11:$A$200,0)),"")</f>
        <v/>
      </c>
      <c r="P20" s="7">
        <f>IFERROR(INDEX('A1. Response summary'!U$11:U$200,MATCH($C$4&amp;"|"&amp;$B20,'A1. Response summary'!$A$11:$A$200,0)),"")</f>
        <v/>
      </c>
      <c r="Q20" s="7">
        <f>IFERROR(INDEX('A1. Response summary'!V$11:V$200,MATCH($C$4&amp;"|"&amp;$B20,'A1. Response summary'!$A$11:$A$200,0)),"")</f>
        <v/>
      </c>
      <c r="R20" s="7">
        <f>IFERROR(INDEX('A1. Response summary'!W$11:W$200,MATCH($C$4&amp;"|"&amp;$B20,'A1. Response summary'!$A$11:$A$200,0)),"")</f>
        <v/>
      </c>
      <c r="S20" s="7">
        <f>IFERROR(INDEX('A1. Response summary'!X$11:X$200,MATCH($C$4&amp;"|"&amp;$B20,'A1. Response summary'!$A$11:$A$200,0)),"")</f>
        <v/>
      </c>
      <c r="T20" s="7">
        <f>IFERROR(INDEX('A1. Response summary'!Y$11:Y$200,MATCH($C$4&amp;"|"&amp;$B20,'A1. Response summary'!$A$11:$A$200,0)),"")</f>
        <v/>
      </c>
      <c r="U20" s="7">
        <f>IFERROR(INDEX('A1. Response summary'!Z$11:Z$200,MATCH($C$4&amp;"|"&amp;$B20,'A1. Response summary'!$A$11:$A$200,0)),"")</f>
        <v/>
      </c>
      <c r="V20" s="7">
        <f>IFERROR(INDEX('A1. Response summary'!AA$11:AA$200,MATCH($C$4&amp;"|"&amp;$B20,'A1. Response summary'!$A$11:$A$200,0)),"")</f>
        <v/>
      </c>
      <c r="W20" s="7">
        <f>IFERROR(INDEX('A1. Response summary'!AB$11:AB$200,MATCH($C$4&amp;"|"&amp;$B20,'A1. Response summary'!$A$11:$A$200,0)),"")</f>
        <v/>
      </c>
      <c r="X20" s="7">
        <f>IFERROR(INDEX('A1. Response summary'!AC$11:AC$200,MATCH($C$4&amp;"|"&amp;$B20,'A1. Response summary'!$A$11:$A$200,0)),"")</f>
        <v/>
      </c>
    </row>
  </sheetData>
  <mergeCells count="5">
    <mergeCell ref="C6:H6"/>
    <mergeCell ref="C5:H5"/>
    <mergeCell ref="C9:H9"/>
    <mergeCell ref="C8:H8"/>
    <mergeCell ref="C7:H7"/>
  </mergeCells>
  <dataValidations count="1">
    <dataValidation sqref="C4" showDropDown="0" showInputMessage="0" showErrorMessage="0" allowBlank="1" errorTitle="Invalid entry" error="Please select from the dropdown" type="list">
      <formula1>='1. Requirements matrix'!$B$6:$B$43</formula1>
    </dataValidation>
  </dataValidations>
  <pageMargins left="0.75" right="0.75" top="1" bottom="1" header="0.5" footer="0.5"/>
  <drawing xmlns:r="http://schemas.openxmlformats.org/officeDocument/2006/relationships" r:id="rId1"/>
</worksheet>
</file>

<file path=xl/worksheets/sheet23.xml><?xml version="1.0" encoding="utf-8"?>
<worksheet xmlns="http://schemas.openxmlformats.org/spreadsheetml/2006/main">
  <sheetPr>
    <outlinePr summaryBelow="1" summaryRight="1"/>
    <pageSetUpPr/>
  </sheetPr>
  <dimension ref="A1:R14"/>
  <sheetViews>
    <sheetView showGridLines="0" workbookViewId="0">
      <selection activeCell="A1" sqref="A1"/>
    </sheetView>
  </sheetViews>
  <sheetFormatPr baseColWidth="8" defaultRowHeight="15"/>
  <cols>
    <col width="13" customWidth="1" min="1" max="1"/>
    <col width="9" customWidth="1" min="2" max="2"/>
    <col width="36" customWidth="1" min="3" max="3"/>
    <col width="50" customWidth="1" min="4" max="4"/>
    <col width="60" customWidth="1" min="5" max="5"/>
    <col width="12" customWidth="1" min="6" max="6"/>
    <col width="28"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Faculty request wording log</t>
        </is>
      </c>
      <c r="C2" s="1" t="n"/>
      <c r="D2" s="1" t="n"/>
      <c r="E2" s="1" t="n"/>
      <c r="F2" s="1" t="n"/>
      <c r="G2" s="1" t="n"/>
      <c r="H2" s="1" t="n"/>
      <c r="I2" s="1" t="n"/>
      <c r="J2" s="1" t="n"/>
      <c r="K2" s="1" t="n"/>
      <c r="L2" s="1" t="n"/>
      <c r="M2" s="1" t="n"/>
      <c r="N2" s="1" t="n"/>
      <c r="O2" s="1" t="n"/>
      <c r="P2" s="1" t="n"/>
      <c r="Q2" s="1" t="n"/>
      <c r="R2" s="1" t="n"/>
    </row>
    <row r="3" ht="45" customHeight="1">
      <c r="B3" s="8" t="inlineStr">
        <is>
          <t>Faculty requests were rewritten in the SR25 style (specific ask, scope, what SST already holds or will collect elsewhere, and a pointer to the faculty's own end-2025 response). The original S2030 Qual-sheet wording is kept here; central-unit requests still use the original wording.</t>
        </is>
      </c>
    </row>
    <row r="4"/>
    <row r="5" ht="42" customHeight="1">
      <c r="B5" s="5" t="inlineStr">
        <is>
          <t>Ref</t>
        </is>
      </c>
      <c r="C5" s="5" t="inlineStr">
        <is>
          <t>Indicator</t>
        </is>
      </c>
      <c r="D5" s="5" t="inlineStr">
        <is>
          <t>Original wording (S2030 Qual sheet)</t>
        </is>
      </c>
      <c r="E5" s="5" t="inlineStr">
        <is>
          <t>SR26 faculty request (before faculty-specific opening line)</t>
        </is>
      </c>
      <c r="F5" s="5" t="inlineStr">
        <is>
          <t>Related SR25 ref</t>
        </is>
      </c>
      <c r="G5" s="5" t="inlineStr">
        <is>
          <t>Faculty-specific opening line</t>
        </is>
      </c>
    </row>
    <row r="6" ht="254" customHeight="1">
      <c r="B6" s="6" t="inlineStr">
        <is>
          <t>EE1(a)</t>
        </is>
      </c>
      <c r="C6" s="7" t="inlineStr">
        <is>
          <t>Evidence of innovative approaches to sustainability teaching and learning</t>
        </is>
      </c>
      <c r="D6" s="7"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E6" s="7" t="inlineStr">
        <is>
          <t>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Please note that this indicator will be addressed at the joint Associate Deans Sustainability and Associate Deans Teaching and Learning session on 23 November 2026. Please feel free to summarise what your faculty presented at this session - further information is welcome but not required.</t>
        </is>
      </c>
      <c r="F6" s="7" t="inlineStr">
        <is>
          <t>4a(ii)</t>
        </is>
      </c>
      <c r="G6" s="7" t="inlineStr">
        <is>
          <t>Points to the faculty's end-2025 response and rating</t>
        </is>
      </c>
    </row>
    <row r="7" ht="154" customHeight="1">
      <c r="B7" s="6" t="inlineStr">
        <is>
          <t>EE1(b)</t>
        </is>
      </c>
      <c r="C7" s="7" t="inlineStr">
        <is>
          <t>Pilots of possible approaches for understanding and developing students’ sustainability self-efficacy</t>
        </is>
      </c>
      <c r="D7" s="7"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E7" s="7"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F7" s="7" t="inlineStr">
        <is>
          <t>N/A – new indicator</t>
        </is>
      </c>
      <c r="G7" s="7" t="inlineStr">
        <is>
          <t>None (new indicator)</t>
        </is>
      </c>
    </row>
    <row r="8" ht="171" customHeight="1">
      <c r="B8" s="6" t="inlineStr">
        <is>
          <t>TR1(a)</t>
        </is>
      </c>
      <c r="C8" s="7" t="inlineStr">
        <is>
          <t>Expert-reviewed evidence of researchers contributing to operational sustainability priorities through partnerships, advisory input, living labs, applied projects or decision-support</t>
        </is>
      </c>
      <c r="D8" s="7"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E8" s="7" t="inlineStr">
        <is>
          <t>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Please note, we will collect case studies on Campus Living Lab Accelerator Program projects directly from project owners - no need to include these.</t>
        </is>
      </c>
      <c r="F8" s="7" t="inlineStr">
        <is>
          <t>2a</t>
        </is>
      </c>
      <c r="G8" s="7" t="inlineStr">
        <is>
          <t>Points to the faculty's end-2025 response and rating</t>
        </is>
      </c>
    </row>
    <row r="9" ht="171" customHeight="1">
      <c r="B9" s="6" t="inlineStr">
        <is>
          <t>TR2(a)</t>
        </is>
      </c>
      <c r="C9" s="7" t="inlineStr">
        <is>
          <t>Evidence of sustainability-related research impact across diverse pathways, could include policy, industry, community, practice, cultural and institutional outcomes</t>
        </is>
      </c>
      <c r="D9" s="7" t="inlineStr">
        <is>
          <t>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E9" s="7" t="inlineStr">
        <is>
          <t>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Melbourne Research and Enterprise (MRE) – publication counts are not required.</t>
        </is>
      </c>
      <c r="F9" s="7" t="inlineStr">
        <is>
          <t>5b(i)</t>
        </is>
      </c>
      <c r="G9" s="7" t="inlineStr">
        <is>
          <t>Points to the faculty's end-2025 response and rating</t>
        </is>
      </c>
    </row>
    <row r="10" ht="154" customHeight="1">
      <c r="B10" s="6" t="inlineStr">
        <is>
          <t>TR2(d)</t>
        </is>
      </c>
      <c r="C10" s="7" t="inlineStr">
        <is>
          <t>Case-based evidence demonstrating how research has contributed to meaningful sustainability outcomes.</t>
        </is>
      </c>
      <c r="D10" s="7"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E10" s="7" t="inlineStr">
        <is>
          <t>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F10" s="7" t="inlineStr">
        <is>
          <t>5b(i)</t>
        </is>
      </c>
      <c r="G10" s="7" t="inlineStr">
        <is>
          <t>Points to the faculty's end-2025 response and rating</t>
        </is>
      </c>
    </row>
    <row r="11" ht="130" customHeight="1">
      <c r="B11" s="6" t="inlineStr">
        <is>
          <t>TR3(b)</t>
        </is>
      </c>
      <c r="C11" s="7" t="inlineStr">
        <is>
          <t>Demonstrated examples of more sustainable research practices in laboratories, fieldwork, procurement, travel or infrastructure use</t>
        </is>
      </c>
      <c r="D11" s="7"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E11" s="7" t="inlineStr">
        <is>
          <t>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F11" s="7" t="inlineStr">
        <is>
          <t>5c(ii)</t>
        </is>
      </c>
      <c r="G11" s="7" t="inlineStr">
        <is>
          <t>Points to the faculty's end-2025 response and rating</t>
        </is>
      </c>
    </row>
    <row r="12" ht="130" customHeight="1">
      <c r="B12" s="6" t="inlineStr">
        <is>
          <t>EN1(a)</t>
        </is>
      </c>
      <c r="C12" s="7" t="inlineStr">
        <is>
          <t>Evidence of sustainability outcomes informed by Indigenous knowledges</t>
        </is>
      </c>
      <c r="D12" s="7"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E12" s="7" t="inlineStr">
        <is>
          <t>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F12" s="7" t="inlineStr">
        <is>
          <t>6a</t>
        </is>
      </c>
      <c r="G12" s="7" t="inlineStr">
        <is>
          <t>Points to the faculty's end-2025 response and rating</t>
        </is>
      </c>
    </row>
    <row r="13" ht="138" customHeight="1">
      <c r="B13" s="6" t="inlineStr">
        <is>
          <t>EN1(b)</t>
        </is>
      </c>
      <c r="C13" s="7" t="inlineStr">
        <is>
          <t>Living laboratories enabling applied learning, research and operational sustainability outcomes</t>
        </is>
      </c>
      <c r="D13" s="7" t="inlineStr">
        <is>
          <t>Comment on living labs in the Faculty - outputs, outcomes, and impact</t>
        </is>
      </c>
      <c r="E13" s="7" t="inlineStr">
        <is>
          <t>Please give any examples of sustainability-related living labs operating within your faculty in 2026 – their activities, who is involved (students, researchers, operational staff) and their outputs, outcomes or impact.
Please note, we will collect case studies on Campus Living Lab Accelerator Program projects directly from project owners - no need to include these.</t>
        </is>
      </c>
      <c r="F13" s="7" t="inlineStr">
        <is>
          <t>2a</t>
        </is>
      </c>
      <c r="G13" s="7" t="inlineStr">
        <is>
          <t>Points to the faculty's end-2025 response and rating</t>
        </is>
      </c>
    </row>
    <row r="14" ht="130" customHeight="1">
      <c r="B14" s="6" t="inlineStr">
        <is>
          <t>EN1(c)</t>
        </is>
      </c>
      <c r="C14" s="7" t="inlineStr">
        <is>
          <t>Coordinated internal engagement and external partnerships contributing to delivery of sustainability outcomes across priority areas.</t>
        </is>
      </c>
      <c r="D14" s="7"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E14" s="7" t="inlineStr">
        <is>
          <t>Please list the key sustainability-focused communities of practice, internal networks or external partnerships active in your faculty in 2026 (name, partners, priority area), and give any examples of activity that contributed to a Sustainability 2030 outcome.</t>
        </is>
      </c>
      <c r="F14" s="7" t="inlineStr">
        <is>
          <t>3a(ii)</t>
        </is>
      </c>
      <c r="G14" s="7" t="inlineStr">
        <is>
          <t>Points to the faculty's end-2025 response and rating</t>
        </is>
      </c>
    </row>
  </sheetData>
  <mergeCells count="1">
    <mergeCell ref="B3:G3"/>
  </mergeCells>
  <pageMargins left="0.75" right="0.75" top="1" bottom="1" header="0.5" footer="0.5"/>
  <drawing xmlns:r="http://schemas.openxmlformats.org/officeDocument/2006/relationships" r:id="rId1"/>
</worksheet>
</file>

<file path=xl/worksheets/sheet24.xml><?xml version="1.0" encoding="utf-8"?>
<worksheet xmlns="http://schemas.openxmlformats.org/spreadsheetml/2006/main">
  <sheetPr>
    <outlinePr summaryBelow="1" summaryRight="1"/>
    <pageSetUpPr/>
  </sheetPr>
  <dimension ref="A1:R81"/>
  <sheetViews>
    <sheetView showGridLines="0" workbookViewId="0">
      <pane ySplit="5" topLeftCell="A6" activePane="bottomLeft" state="frozen"/>
      <selection pane="bottomLeft"/>
      <selection pane="bottomLeft"/>
      <selection pane="bottomRight" activeCell="A1" sqref="A1"/>
    </sheetView>
  </sheetViews>
  <sheetFormatPr baseColWidth="8" defaultRowHeight="15"/>
  <cols>
    <col width="4" customWidth="1" min="1" max="1"/>
    <col width="30" customWidth="1" min="2" max="2"/>
    <col width="8" customWidth="1" min="3" max="3"/>
    <col width="26" customWidth="1" min="4" max="4"/>
    <col width="50" customWidth="1" min="5" max="5"/>
    <col width="22" customWidth="1" min="6" max="6"/>
    <col width="22" customWidth="1" min="7" max="7"/>
    <col width="26" customWidth="1" min="8" max="8"/>
    <col width="22" customWidth="1" min="9" max="9"/>
    <col width="22" customWidth="1" min="10" max="10"/>
    <col width="14" customWidth="1" min="11" max="11"/>
    <col width="13" customWidth="1" min="12" max="12"/>
    <col width="13" customWidth="1" min="13" max="13"/>
    <col width="30" customWidth="1" min="14" max="14"/>
    <col width="13"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Highlighted stories – compiled</t>
        </is>
      </c>
      <c r="C2" s="1" t="n"/>
      <c r="D2" s="1" t="n"/>
      <c r="E2" s="1" t="n"/>
      <c r="F2" s="1" t="n"/>
      <c r="G2" s="1" t="n"/>
      <c r="H2" s="1" t="n"/>
      <c r="I2" s="1" t="n"/>
      <c r="J2" s="1" t="n"/>
      <c r="K2" s="1" t="n"/>
      <c r="L2" s="1" t="n"/>
      <c r="M2" s="1" t="n"/>
      <c r="N2" s="1" t="n"/>
      <c r="O2" s="1" t="n"/>
      <c r="P2" s="1" t="n"/>
      <c r="Q2" s="1" t="n"/>
      <c r="R2" s="1" t="n"/>
    </row>
    <row r="3" ht="32" customHeight="1">
      <c r="B3" s="8" t="inlineStr">
        <is>
          <t>Each faculty/unit has 3 story slots, matching rows 10–12 of Tab 2 in its request workbook. Copy (or, in the Teams version, link) the respondent columns; SST completes the gold columns to assign priority areas and shortlist.</t>
        </is>
      </c>
    </row>
    <row r="4"/>
    <row r="5" ht="60" customHeight="1">
      <c r="B5" s="5" t="inlineStr">
        <is>
          <t>Faculty / unit</t>
        </is>
      </c>
      <c r="C5" s="5" t="inlineStr">
        <is>
          <t>Story #</t>
        </is>
      </c>
      <c r="D5" s="5" t="inlineStr">
        <is>
          <t>Title</t>
        </is>
      </c>
      <c r="E5" s="5" t="inlineStr">
        <is>
          <t>Description</t>
        </is>
      </c>
      <c r="F5" s="5" t="inlineStr">
        <is>
          <t>Related Sustainability 2030 targets (optional)</t>
        </is>
      </c>
      <c r="G5" s="5" t="inlineStr">
        <is>
          <t>Images and other media</t>
        </is>
      </c>
      <c r="H5" s="5" t="inlineStr">
        <is>
          <t>Links and supporting documentation</t>
        </is>
      </c>
      <c r="I5" s="46" t="inlineStr">
        <is>
          <t>SST: primary priority area</t>
        </is>
      </c>
      <c r="J5" s="46" t="inlineStr">
        <is>
          <t>SST: secondary priority area</t>
        </is>
      </c>
      <c r="K5" s="46" t="inlineStr">
        <is>
          <t>SST: related S2030 indicator ref</t>
        </is>
      </c>
      <c r="L5" s="46" t="inlineStr">
        <is>
          <t>SST: use in report?</t>
        </is>
      </c>
      <c r="M5" s="46" t="inlineStr">
        <is>
          <t>SST: permission to publish?</t>
        </is>
      </c>
      <c r="N5" s="46" t="inlineStr">
        <is>
          <t>SST notes</t>
        </is>
      </c>
    </row>
    <row r="6" ht="60" customHeight="1">
      <c r="B6" s="6" t="inlineStr">
        <is>
          <t>ABP – Faculty of Architecture, Building and Planning</t>
        </is>
      </c>
      <c r="C6" s="48" t="n">
        <v>1</v>
      </c>
      <c r="D6" s="9">
        <f>IFERROR(IF(INDEX('[1]2. OPTIONAL highlighted stories'!$B$1:$B$60,MATCH($C6,'[1]2. OPTIONAL highlighted stories'!$A$1:$A$60,0))="","",INDEX('[1]2. OPTIONAL highlighted stories'!$B$1:$B$60,MATCH($C6,'[1]2. OPTIONAL highlighted stories'!$A$1:$A$60,0))),"")</f>
        <v/>
      </c>
      <c r="E6" s="9">
        <f>IFERROR(IF(INDEX('[1]2. OPTIONAL highlighted stories'!$C$1:$C$60,MATCH($C6,'[1]2. OPTIONAL highlighted stories'!$A$1:$A$60,0))="","",INDEX('[1]2. OPTIONAL highlighted stories'!$C$1:$C$60,MATCH($C6,'[1]2. OPTIONAL highlighted stories'!$A$1:$A$60,0))),"")</f>
        <v/>
      </c>
      <c r="F6" s="9">
        <f>IFERROR(IF(INDEX('[1]2. OPTIONAL highlighted stories'!$D$1:$D$60,MATCH($C6,'[1]2. OPTIONAL highlighted stories'!$A$1:$A$60,0))="","",INDEX('[1]2. OPTIONAL highlighted stories'!$D$1:$D$60,MATCH($C6,'[1]2. OPTIONAL highlighted stories'!$A$1:$A$60,0))),"")</f>
        <v/>
      </c>
      <c r="G6" s="9">
        <f>IFERROR(IF(INDEX('[1]2. OPTIONAL highlighted stories'!$E$1:$E$60,MATCH($C6,'[1]2. OPTIONAL highlighted stories'!$A$1:$A$60,0))="","",INDEX('[1]2. OPTIONAL highlighted stories'!$E$1:$E$60,MATCH($C6,'[1]2. OPTIONAL highlighted stories'!$A$1:$A$60,0))),"")</f>
        <v/>
      </c>
      <c r="H6" s="9">
        <f>IFERROR(IF(INDEX('[1]2. OPTIONAL highlighted stories'!$F$1:$F$60,MATCH($C6,'[1]2. OPTIONAL highlighted stories'!$A$1:$A$60,0))="","",INDEX('[1]2. OPTIONAL highlighted stories'!$F$1:$F$60,MATCH($C6,'[1]2. OPTIONAL highlighted stories'!$A$1:$A$60,0))),"")</f>
        <v/>
      </c>
      <c r="I6" s="7" t="inlineStr"/>
      <c r="J6" s="7" t="inlineStr"/>
      <c r="K6" s="7" t="inlineStr"/>
      <c r="L6" s="7" t="inlineStr"/>
      <c r="M6" s="7" t="inlineStr"/>
      <c r="N6" s="7" t="inlineStr"/>
    </row>
    <row r="7" ht="60" customHeight="1">
      <c r="B7" s="6" t="inlineStr"/>
      <c r="C7" s="48" t="n">
        <v>2</v>
      </c>
      <c r="D7" s="9">
        <f>IFERROR(IF(INDEX('[1]2. OPTIONAL highlighted stories'!$B$1:$B$60,MATCH($C7,'[1]2. OPTIONAL highlighted stories'!$A$1:$A$60,0))="","",INDEX('[1]2. OPTIONAL highlighted stories'!$B$1:$B$60,MATCH($C7,'[1]2. OPTIONAL highlighted stories'!$A$1:$A$60,0))),"")</f>
        <v/>
      </c>
      <c r="E7" s="9">
        <f>IFERROR(IF(INDEX('[1]2. OPTIONAL highlighted stories'!$C$1:$C$60,MATCH($C7,'[1]2. OPTIONAL highlighted stories'!$A$1:$A$60,0))="","",INDEX('[1]2. OPTIONAL highlighted stories'!$C$1:$C$60,MATCH($C7,'[1]2. OPTIONAL highlighted stories'!$A$1:$A$60,0))),"")</f>
        <v/>
      </c>
      <c r="F7" s="9">
        <f>IFERROR(IF(INDEX('[1]2. OPTIONAL highlighted stories'!$D$1:$D$60,MATCH($C7,'[1]2. OPTIONAL highlighted stories'!$A$1:$A$60,0))="","",INDEX('[1]2. OPTIONAL highlighted stories'!$D$1:$D$60,MATCH($C7,'[1]2. OPTIONAL highlighted stories'!$A$1:$A$60,0))),"")</f>
        <v/>
      </c>
      <c r="G7" s="9">
        <f>IFERROR(IF(INDEX('[1]2. OPTIONAL highlighted stories'!$E$1:$E$60,MATCH($C7,'[1]2. OPTIONAL highlighted stories'!$A$1:$A$60,0))="","",INDEX('[1]2. OPTIONAL highlighted stories'!$E$1:$E$60,MATCH($C7,'[1]2. OPTIONAL highlighted stories'!$A$1:$A$60,0))),"")</f>
        <v/>
      </c>
      <c r="H7" s="9">
        <f>IFERROR(IF(INDEX('[1]2. OPTIONAL highlighted stories'!$F$1:$F$60,MATCH($C7,'[1]2. OPTIONAL highlighted stories'!$A$1:$A$60,0))="","",INDEX('[1]2. OPTIONAL highlighted stories'!$F$1:$F$60,MATCH($C7,'[1]2. OPTIONAL highlighted stories'!$A$1:$A$60,0))),"")</f>
        <v/>
      </c>
      <c r="I7" s="7" t="inlineStr"/>
      <c r="J7" s="7" t="inlineStr"/>
      <c r="K7" s="7" t="inlineStr"/>
      <c r="L7" s="7" t="inlineStr"/>
      <c r="M7" s="7" t="inlineStr"/>
      <c r="N7" s="7" t="inlineStr"/>
    </row>
    <row r="8" ht="60" customHeight="1">
      <c r="B8" s="6" t="inlineStr"/>
      <c r="C8" s="48" t="n">
        <v>3</v>
      </c>
      <c r="D8" s="9">
        <f>IFERROR(IF(INDEX('[1]2. OPTIONAL highlighted stories'!$B$1:$B$60,MATCH($C8,'[1]2. OPTIONAL highlighted stories'!$A$1:$A$60,0))="","",INDEX('[1]2. OPTIONAL highlighted stories'!$B$1:$B$60,MATCH($C8,'[1]2. OPTIONAL highlighted stories'!$A$1:$A$60,0))),"")</f>
        <v/>
      </c>
      <c r="E8" s="9">
        <f>IFERROR(IF(INDEX('[1]2. OPTIONAL highlighted stories'!$C$1:$C$60,MATCH($C8,'[1]2. OPTIONAL highlighted stories'!$A$1:$A$60,0))="","",INDEX('[1]2. OPTIONAL highlighted stories'!$C$1:$C$60,MATCH($C8,'[1]2. OPTIONAL highlighted stories'!$A$1:$A$60,0))),"")</f>
        <v/>
      </c>
      <c r="F8" s="9">
        <f>IFERROR(IF(INDEX('[1]2. OPTIONAL highlighted stories'!$D$1:$D$60,MATCH($C8,'[1]2. OPTIONAL highlighted stories'!$A$1:$A$60,0))="","",INDEX('[1]2. OPTIONAL highlighted stories'!$D$1:$D$60,MATCH($C8,'[1]2. OPTIONAL highlighted stories'!$A$1:$A$60,0))),"")</f>
        <v/>
      </c>
      <c r="G8" s="9">
        <f>IFERROR(IF(INDEX('[1]2. OPTIONAL highlighted stories'!$E$1:$E$60,MATCH($C8,'[1]2. OPTIONAL highlighted stories'!$A$1:$A$60,0))="","",INDEX('[1]2. OPTIONAL highlighted stories'!$E$1:$E$60,MATCH($C8,'[1]2. OPTIONAL highlighted stories'!$A$1:$A$60,0))),"")</f>
        <v/>
      </c>
      <c r="H8" s="9">
        <f>IFERROR(IF(INDEX('[1]2. OPTIONAL highlighted stories'!$F$1:$F$60,MATCH($C8,'[1]2. OPTIONAL highlighted stories'!$A$1:$A$60,0))="","",INDEX('[1]2. OPTIONAL highlighted stories'!$F$1:$F$60,MATCH($C8,'[1]2. OPTIONAL highlighted stories'!$A$1:$A$60,0))),"")</f>
        <v/>
      </c>
      <c r="I8" s="7" t="inlineStr"/>
      <c r="J8" s="7" t="inlineStr"/>
      <c r="K8" s="7" t="inlineStr"/>
      <c r="L8" s="7" t="inlineStr"/>
      <c r="M8" s="7" t="inlineStr"/>
      <c r="N8" s="7" t="inlineStr"/>
    </row>
    <row r="9" ht="60" customHeight="1">
      <c r="B9" s="6" t="inlineStr">
        <is>
          <t>ARTS – Faculty of Arts</t>
        </is>
      </c>
      <c r="C9" s="48" t="n">
        <v>1</v>
      </c>
      <c r="D9" s="9">
        <f>IFERROR(IF(INDEX('[2]2. OPTIONAL highlighted stories'!$B$1:$B$60,MATCH($C9,'[2]2. OPTIONAL highlighted stories'!$A$1:$A$60,0))="","",INDEX('[2]2. OPTIONAL highlighted stories'!$B$1:$B$60,MATCH($C9,'[2]2. OPTIONAL highlighted stories'!$A$1:$A$60,0))),"")</f>
        <v/>
      </c>
      <c r="E9" s="9">
        <f>IFERROR(IF(INDEX('[2]2. OPTIONAL highlighted stories'!$C$1:$C$60,MATCH($C9,'[2]2. OPTIONAL highlighted stories'!$A$1:$A$60,0))="","",INDEX('[2]2. OPTIONAL highlighted stories'!$C$1:$C$60,MATCH($C9,'[2]2. OPTIONAL highlighted stories'!$A$1:$A$60,0))),"")</f>
        <v/>
      </c>
      <c r="F9" s="9">
        <f>IFERROR(IF(INDEX('[2]2. OPTIONAL highlighted stories'!$D$1:$D$60,MATCH($C9,'[2]2. OPTIONAL highlighted stories'!$A$1:$A$60,0))="","",INDEX('[2]2. OPTIONAL highlighted stories'!$D$1:$D$60,MATCH($C9,'[2]2. OPTIONAL highlighted stories'!$A$1:$A$60,0))),"")</f>
        <v/>
      </c>
      <c r="G9" s="9">
        <f>IFERROR(IF(INDEX('[2]2. OPTIONAL highlighted stories'!$E$1:$E$60,MATCH($C9,'[2]2. OPTIONAL highlighted stories'!$A$1:$A$60,0))="","",INDEX('[2]2. OPTIONAL highlighted stories'!$E$1:$E$60,MATCH($C9,'[2]2. OPTIONAL highlighted stories'!$A$1:$A$60,0))),"")</f>
        <v/>
      </c>
      <c r="H9" s="9">
        <f>IFERROR(IF(INDEX('[2]2. OPTIONAL highlighted stories'!$F$1:$F$60,MATCH($C9,'[2]2. OPTIONAL highlighted stories'!$A$1:$A$60,0))="","",INDEX('[2]2. OPTIONAL highlighted stories'!$F$1:$F$60,MATCH($C9,'[2]2. OPTIONAL highlighted stories'!$A$1:$A$60,0))),"")</f>
        <v/>
      </c>
      <c r="I9" s="7" t="inlineStr"/>
      <c r="J9" s="7" t="inlineStr"/>
      <c r="K9" s="7" t="inlineStr"/>
      <c r="L9" s="7" t="inlineStr"/>
      <c r="M9" s="7" t="inlineStr"/>
      <c r="N9" s="7" t="inlineStr"/>
    </row>
    <row r="10" ht="60" customHeight="1">
      <c r="B10" s="6" t="inlineStr"/>
      <c r="C10" s="48" t="n">
        <v>2</v>
      </c>
      <c r="D10" s="9">
        <f>IFERROR(IF(INDEX('[2]2. OPTIONAL highlighted stories'!$B$1:$B$60,MATCH($C10,'[2]2. OPTIONAL highlighted stories'!$A$1:$A$60,0))="","",INDEX('[2]2. OPTIONAL highlighted stories'!$B$1:$B$60,MATCH($C10,'[2]2. OPTIONAL highlighted stories'!$A$1:$A$60,0))),"")</f>
        <v/>
      </c>
      <c r="E10" s="9">
        <f>IFERROR(IF(INDEX('[2]2. OPTIONAL highlighted stories'!$C$1:$C$60,MATCH($C10,'[2]2. OPTIONAL highlighted stories'!$A$1:$A$60,0))="","",INDEX('[2]2. OPTIONAL highlighted stories'!$C$1:$C$60,MATCH($C10,'[2]2. OPTIONAL highlighted stories'!$A$1:$A$60,0))),"")</f>
        <v/>
      </c>
      <c r="F10" s="9">
        <f>IFERROR(IF(INDEX('[2]2. OPTIONAL highlighted stories'!$D$1:$D$60,MATCH($C10,'[2]2. OPTIONAL highlighted stories'!$A$1:$A$60,0))="","",INDEX('[2]2. OPTIONAL highlighted stories'!$D$1:$D$60,MATCH($C10,'[2]2. OPTIONAL highlighted stories'!$A$1:$A$60,0))),"")</f>
        <v/>
      </c>
      <c r="G10" s="9">
        <f>IFERROR(IF(INDEX('[2]2. OPTIONAL highlighted stories'!$E$1:$E$60,MATCH($C10,'[2]2. OPTIONAL highlighted stories'!$A$1:$A$60,0))="","",INDEX('[2]2. OPTIONAL highlighted stories'!$E$1:$E$60,MATCH($C10,'[2]2. OPTIONAL highlighted stories'!$A$1:$A$60,0))),"")</f>
        <v/>
      </c>
      <c r="H10" s="9">
        <f>IFERROR(IF(INDEX('[2]2. OPTIONAL highlighted stories'!$F$1:$F$60,MATCH($C10,'[2]2. OPTIONAL highlighted stories'!$A$1:$A$60,0))="","",INDEX('[2]2. OPTIONAL highlighted stories'!$F$1:$F$60,MATCH($C10,'[2]2. OPTIONAL highlighted stories'!$A$1:$A$60,0))),"")</f>
        <v/>
      </c>
      <c r="I10" s="7" t="inlineStr"/>
      <c r="J10" s="7" t="inlineStr"/>
      <c r="K10" s="7" t="inlineStr"/>
      <c r="L10" s="7" t="inlineStr"/>
      <c r="M10" s="7" t="inlineStr"/>
      <c r="N10" s="7" t="inlineStr"/>
    </row>
    <row r="11" ht="60" customHeight="1">
      <c r="B11" s="6" t="inlineStr"/>
      <c r="C11" s="48" t="n">
        <v>3</v>
      </c>
      <c r="D11" s="9">
        <f>IFERROR(IF(INDEX('[2]2. OPTIONAL highlighted stories'!$B$1:$B$60,MATCH($C11,'[2]2. OPTIONAL highlighted stories'!$A$1:$A$60,0))="","",INDEX('[2]2. OPTIONAL highlighted stories'!$B$1:$B$60,MATCH($C11,'[2]2. OPTIONAL highlighted stories'!$A$1:$A$60,0))),"")</f>
        <v/>
      </c>
      <c r="E11" s="9">
        <f>IFERROR(IF(INDEX('[2]2. OPTIONAL highlighted stories'!$C$1:$C$60,MATCH($C11,'[2]2. OPTIONAL highlighted stories'!$A$1:$A$60,0))="","",INDEX('[2]2. OPTIONAL highlighted stories'!$C$1:$C$60,MATCH($C11,'[2]2. OPTIONAL highlighted stories'!$A$1:$A$60,0))),"")</f>
        <v/>
      </c>
      <c r="F11" s="9">
        <f>IFERROR(IF(INDEX('[2]2. OPTIONAL highlighted stories'!$D$1:$D$60,MATCH($C11,'[2]2. OPTIONAL highlighted stories'!$A$1:$A$60,0))="","",INDEX('[2]2. OPTIONAL highlighted stories'!$D$1:$D$60,MATCH($C11,'[2]2. OPTIONAL highlighted stories'!$A$1:$A$60,0))),"")</f>
        <v/>
      </c>
      <c r="G11" s="9">
        <f>IFERROR(IF(INDEX('[2]2. OPTIONAL highlighted stories'!$E$1:$E$60,MATCH($C11,'[2]2. OPTIONAL highlighted stories'!$A$1:$A$60,0))="","",INDEX('[2]2. OPTIONAL highlighted stories'!$E$1:$E$60,MATCH($C11,'[2]2. OPTIONAL highlighted stories'!$A$1:$A$60,0))),"")</f>
        <v/>
      </c>
      <c r="H11" s="9">
        <f>IFERROR(IF(INDEX('[2]2. OPTIONAL highlighted stories'!$F$1:$F$60,MATCH($C11,'[2]2. OPTIONAL highlighted stories'!$A$1:$A$60,0))="","",INDEX('[2]2. OPTIONAL highlighted stories'!$F$1:$F$60,MATCH($C11,'[2]2. OPTIONAL highlighted stories'!$A$1:$A$60,0))),"")</f>
        <v/>
      </c>
      <c r="I11" s="7" t="inlineStr"/>
      <c r="J11" s="7" t="inlineStr"/>
      <c r="K11" s="7" t="inlineStr"/>
      <c r="L11" s="7" t="inlineStr"/>
      <c r="M11" s="7" t="inlineStr"/>
      <c r="N11" s="7" t="inlineStr"/>
    </row>
    <row r="12" ht="60" customHeight="1">
      <c r="B12" s="6" t="inlineStr">
        <is>
          <t>FBE – Faculty of Business and Economics</t>
        </is>
      </c>
      <c r="C12" s="48" t="n">
        <v>1</v>
      </c>
      <c r="D12" s="9">
        <f>IFERROR(IF(INDEX('[3]2. OPTIONAL highlighted stories'!$B$1:$B$60,MATCH($C12,'[3]2. OPTIONAL highlighted stories'!$A$1:$A$60,0))="","",INDEX('[3]2. OPTIONAL highlighted stories'!$B$1:$B$60,MATCH($C12,'[3]2. OPTIONAL highlighted stories'!$A$1:$A$60,0))),"")</f>
        <v/>
      </c>
      <c r="E12" s="9">
        <f>IFERROR(IF(INDEX('[3]2. OPTIONAL highlighted stories'!$C$1:$C$60,MATCH($C12,'[3]2. OPTIONAL highlighted stories'!$A$1:$A$60,0))="","",INDEX('[3]2. OPTIONAL highlighted stories'!$C$1:$C$60,MATCH($C12,'[3]2. OPTIONAL highlighted stories'!$A$1:$A$60,0))),"")</f>
        <v/>
      </c>
      <c r="F12" s="9">
        <f>IFERROR(IF(INDEX('[3]2. OPTIONAL highlighted stories'!$D$1:$D$60,MATCH($C12,'[3]2. OPTIONAL highlighted stories'!$A$1:$A$60,0))="","",INDEX('[3]2. OPTIONAL highlighted stories'!$D$1:$D$60,MATCH($C12,'[3]2. OPTIONAL highlighted stories'!$A$1:$A$60,0))),"")</f>
        <v/>
      </c>
      <c r="G12" s="9">
        <f>IFERROR(IF(INDEX('[3]2. OPTIONAL highlighted stories'!$E$1:$E$60,MATCH($C12,'[3]2. OPTIONAL highlighted stories'!$A$1:$A$60,0))="","",INDEX('[3]2. OPTIONAL highlighted stories'!$E$1:$E$60,MATCH($C12,'[3]2. OPTIONAL highlighted stories'!$A$1:$A$60,0))),"")</f>
        <v/>
      </c>
      <c r="H12" s="9">
        <f>IFERROR(IF(INDEX('[3]2. OPTIONAL highlighted stories'!$F$1:$F$60,MATCH($C12,'[3]2. OPTIONAL highlighted stories'!$A$1:$A$60,0))="","",INDEX('[3]2. OPTIONAL highlighted stories'!$F$1:$F$60,MATCH($C12,'[3]2. OPTIONAL highlighted stories'!$A$1:$A$60,0))),"")</f>
        <v/>
      </c>
      <c r="I12" s="7" t="inlineStr"/>
      <c r="J12" s="7" t="inlineStr"/>
      <c r="K12" s="7" t="inlineStr"/>
      <c r="L12" s="7" t="inlineStr"/>
      <c r="M12" s="7" t="inlineStr"/>
      <c r="N12" s="7" t="inlineStr"/>
    </row>
    <row r="13" ht="60" customHeight="1">
      <c r="B13" s="6" t="inlineStr"/>
      <c r="C13" s="48" t="n">
        <v>2</v>
      </c>
      <c r="D13" s="9">
        <f>IFERROR(IF(INDEX('[3]2. OPTIONAL highlighted stories'!$B$1:$B$60,MATCH($C13,'[3]2. OPTIONAL highlighted stories'!$A$1:$A$60,0))="","",INDEX('[3]2. OPTIONAL highlighted stories'!$B$1:$B$60,MATCH($C13,'[3]2. OPTIONAL highlighted stories'!$A$1:$A$60,0))),"")</f>
        <v/>
      </c>
      <c r="E13" s="9">
        <f>IFERROR(IF(INDEX('[3]2. OPTIONAL highlighted stories'!$C$1:$C$60,MATCH($C13,'[3]2. OPTIONAL highlighted stories'!$A$1:$A$60,0))="","",INDEX('[3]2. OPTIONAL highlighted stories'!$C$1:$C$60,MATCH($C13,'[3]2. OPTIONAL highlighted stories'!$A$1:$A$60,0))),"")</f>
        <v/>
      </c>
      <c r="F13" s="9">
        <f>IFERROR(IF(INDEX('[3]2. OPTIONAL highlighted stories'!$D$1:$D$60,MATCH($C13,'[3]2. OPTIONAL highlighted stories'!$A$1:$A$60,0))="","",INDEX('[3]2. OPTIONAL highlighted stories'!$D$1:$D$60,MATCH($C13,'[3]2. OPTIONAL highlighted stories'!$A$1:$A$60,0))),"")</f>
        <v/>
      </c>
      <c r="G13" s="9">
        <f>IFERROR(IF(INDEX('[3]2. OPTIONAL highlighted stories'!$E$1:$E$60,MATCH($C13,'[3]2. OPTIONAL highlighted stories'!$A$1:$A$60,0))="","",INDEX('[3]2. OPTIONAL highlighted stories'!$E$1:$E$60,MATCH($C13,'[3]2. OPTIONAL highlighted stories'!$A$1:$A$60,0))),"")</f>
        <v/>
      </c>
      <c r="H13" s="9">
        <f>IFERROR(IF(INDEX('[3]2. OPTIONAL highlighted stories'!$F$1:$F$60,MATCH($C13,'[3]2. OPTIONAL highlighted stories'!$A$1:$A$60,0))="","",INDEX('[3]2. OPTIONAL highlighted stories'!$F$1:$F$60,MATCH($C13,'[3]2. OPTIONAL highlighted stories'!$A$1:$A$60,0))),"")</f>
        <v/>
      </c>
      <c r="I13" s="7" t="inlineStr"/>
      <c r="J13" s="7" t="inlineStr"/>
      <c r="K13" s="7" t="inlineStr"/>
      <c r="L13" s="7" t="inlineStr"/>
      <c r="M13" s="7" t="inlineStr"/>
      <c r="N13" s="7" t="inlineStr"/>
    </row>
    <row r="14" ht="60" customHeight="1">
      <c r="B14" s="6" t="inlineStr"/>
      <c r="C14" s="48" t="n">
        <v>3</v>
      </c>
      <c r="D14" s="9">
        <f>IFERROR(IF(INDEX('[3]2. OPTIONAL highlighted stories'!$B$1:$B$60,MATCH($C14,'[3]2. OPTIONAL highlighted stories'!$A$1:$A$60,0))="","",INDEX('[3]2. OPTIONAL highlighted stories'!$B$1:$B$60,MATCH($C14,'[3]2. OPTIONAL highlighted stories'!$A$1:$A$60,0))),"")</f>
        <v/>
      </c>
      <c r="E14" s="9">
        <f>IFERROR(IF(INDEX('[3]2. OPTIONAL highlighted stories'!$C$1:$C$60,MATCH($C14,'[3]2. OPTIONAL highlighted stories'!$A$1:$A$60,0))="","",INDEX('[3]2. OPTIONAL highlighted stories'!$C$1:$C$60,MATCH($C14,'[3]2. OPTIONAL highlighted stories'!$A$1:$A$60,0))),"")</f>
        <v/>
      </c>
      <c r="F14" s="9">
        <f>IFERROR(IF(INDEX('[3]2. OPTIONAL highlighted stories'!$D$1:$D$60,MATCH($C14,'[3]2. OPTIONAL highlighted stories'!$A$1:$A$60,0))="","",INDEX('[3]2. OPTIONAL highlighted stories'!$D$1:$D$60,MATCH($C14,'[3]2. OPTIONAL highlighted stories'!$A$1:$A$60,0))),"")</f>
        <v/>
      </c>
      <c r="G14" s="9">
        <f>IFERROR(IF(INDEX('[3]2. OPTIONAL highlighted stories'!$E$1:$E$60,MATCH($C14,'[3]2. OPTIONAL highlighted stories'!$A$1:$A$60,0))="","",INDEX('[3]2. OPTIONAL highlighted stories'!$E$1:$E$60,MATCH($C14,'[3]2. OPTIONAL highlighted stories'!$A$1:$A$60,0))),"")</f>
        <v/>
      </c>
      <c r="H14" s="9">
        <f>IFERROR(IF(INDEX('[3]2. OPTIONAL highlighted stories'!$F$1:$F$60,MATCH($C14,'[3]2. OPTIONAL highlighted stories'!$A$1:$A$60,0))="","",INDEX('[3]2. OPTIONAL highlighted stories'!$F$1:$F$60,MATCH($C14,'[3]2. OPTIONAL highlighted stories'!$A$1:$A$60,0))),"")</f>
        <v/>
      </c>
      <c r="I14" s="7" t="inlineStr"/>
      <c r="J14" s="7" t="inlineStr"/>
      <c r="K14" s="7" t="inlineStr"/>
      <c r="L14" s="7" t="inlineStr"/>
      <c r="M14" s="7" t="inlineStr"/>
      <c r="N14" s="7" t="inlineStr"/>
    </row>
    <row r="15" ht="60" customHeight="1">
      <c r="B15" s="6" t="inlineStr">
        <is>
          <t>SCI – Faculty of Science</t>
        </is>
      </c>
      <c r="C15" s="48" t="n">
        <v>1</v>
      </c>
      <c r="D15" s="9">
        <f>IFERROR(IF(INDEX('[4]2. OPTIONAL highlighted stories'!$B$1:$B$60,MATCH($C15,'[4]2. OPTIONAL highlighted stories'!$A$1:$A$60,0))="","",INDEX('[4]2. OPTIONAL highlighted stories'!$B$1:$B$60,MATCH($C15,'[4]2. OPTIONAL highlighted stories'!$A$1:$A$60,0))),"")</f>
        <v/>
      </c>
      <c r="E15" s="9">
        <f>IFERROR(IF(INDEX('[4]2. OPTIONAL highlighted stories'!$C$1:$C$60,MATCH($C15,'[4]2. OPTIONAL highlighted stories'!$A$1:$A$60,0))="","",INDEX('[4]2. OPTIONAL highlighted stories'!$C$1:$C$60,MATCH($C15,'[4]2. OPTIONAL highlighted stories'!$A$1:$A$60,0))),"")</f>
        <v/>
      </c>
      <c r="F15" s="9">
        <f>IFERROR(IF(INDEX('[4]2. OPTIONAL highlighted stories'!$D$1:$D$60,MATCH($C15,'[4]2. OPTIONAL highlighted stories'!$A$1:$A$60,0))="","",INDEX('[4]2. OPTIONAL highlighted stories'!$D$1:$D$60,MATCH($C15,'[4]2. OPTIONAL highlighted stories'!$A$1:$A$60,0))),"")</f>
        <v/>
      </c>
      <c r="G15" s="9">
        <f>IFERROR(IF(INDEX('[4]2. OPTIONAL highlighted stories'!$E$1:$E$60,MATCH($C15,'[4]2. OPTIONAL highlighted stories'!$A$1:$A$60,0))="","",INDEX('[4]2. OPTIONAL highlighted stories'!$E$1:$E$60,MATCH($C15,'[4]2. OPTIONAL highlighted stories'!$A$1:$A$60,0))),"")</f>
        <v/>
      </c>
      <c r="H15" s="9">
        <f>IFERROR(IF(INDEX('[4]2. OPTIONAL highlighted stories'!$F$1:$F$60,MATCH($C15,'[4]2. OPTIONAL highlighted stories'!$A$1:$A$60,0))="","",INDEX('[4]2. OPTIONAL highlighted stories'!$F$1:$F$60,MATCH($C15,'[4]2. OPTIONAL highlighted stories'!$A$1:$A$60,0))),"")</f>
        <v/>
      </c>
      <c r="I15" s="7" t="inlineStr"/>
      <c r="J15" s="7" t="inlineStr"/>
      <c r="K15" s="7" t="inlineStr"/>
      <c r="L15" s="7" t="inlineStr"/>
      <c r="M15" s="7" t="inlineStr"/>
      <c r="N15" s="7" t="inlineStr"/>
    </row>
    <row r="16" ht="60" customHeight="1">
      <c r="B16" s="6" t="inlineStr"/>
      <c r="C16" s="48" t="n">
        <v>2</v>
      </c>
      <c r="D16" s="9">
        <f>IFERROR(IF(INDEX('[4]2. OPTIONAL highlighted stories'!$B$1:$B$60,MATCH($C16,'[4]2. OPTIONAL highlighted stories'!$A$1:$A$60,0))="","",INDEX('[4]2. OPTIONAL highlighted stories'!$B$1:$B$60,MATCH($C16,'[4]2. OPTIONAL highlighted stories'!$A$1:$A$60,0))),"")</f>
        <v/>
      </c>
      <c r="E16" s="9">
        <f>IFERROR(IF(INDEX('[4]2. OPTIONAL highlighted stories'!$C$1:$C$60,MATCH($C16,'[4]2. OPTIONAL highlighted stories'!$A$1:$A$60,0))="","",INDEX('[4]2. OPTIONAL highlighted stories'!$C$1:$C$60,MATCH($C16,'[4]2. OPTIONAL highlighted stories'!$A$1:$A$60,0))),"")</f>
        <v/>
      </c>
      <c r="F16" s="9">
        <f>IFERROR(IF(INDEX('[4]2. OPTIONAL highlighted stories'!$D$1:$D$60,MATCH($C16,'[4]2. OPTIONAL highlighted stories'!$A$1:$A$60,0))="","",INDEX('[4]2. OPTIONAL highlighted stories'!$D$1:$D$60,MATCH($C16,'[4]2. OPTIONAL highlighted stories'!$A$1:$A$60,0))),"")</f>
        <v/>
      </c>
      <c r="G16" s="9">
        <f>IFERROR(IF(INDEX('[4]2. OPTIONAL highlighted stories'!$E$1:$E$60,MATCH($C16,'[4]2. OPTIONAL highlighted stories'!$A$1:$A$60,0))="","",INDEX('[4]2. OPTIONAL highlighted stories'!$E$1:$E$60,MATCH($C16,'[4]2. OPTIONAL highlighted stories'!$A$1:$A$60,0))),"")</f>
        <v/>
      </c>
      <c r="H16" s="9">
        <f>IFERROR(IF(INDEX('[4]2. OPTIONAL highlighted stories'!$F$1:$F$60,MATCH($C16,'[4]2. OPTIONAL highlighted stories'!$A$1:$A$60,0))="","",INDEX('[4]2. OPTIONAL highlighted stories'!$F$1:$F$60,MATCH($C16,'[4]2. OPTIONAL highlighted stories'!$A$1:$A$60,0))),"")</f>
        <v/>
      </c>
      <c r="I16" s="7" t="inlineStr"/>
      <c r="J16" s="7" t="inlineStr"/>
      <c r="K16" s="7" t="inlineStr"/>
      <c r="L16" s="7" t="inlineStr"/>
      <c r="M16" s="7" t="inlineStr"/>
      <c r="N16" s="7" t="inlineStr"/>
    </row>
    <row r="17" ht="60" customHeight="1">
      <c r="B17" s="6" t="inlineStr"/>
      <c r="C17" s="48" t="n">
        <v>3</v>
      </c>
      <c r="D17" s="9">
        <f>IFERROR(IF(INDEX('[4]2. OPTIONAL highlighted stories'!$B$1:$B$60,MATCH($C17,'[4]2. OPTIONAL highlighted stories'!$A$1:$A$60,0))="","",INDEX('[4]2. OPTIONAL highlighted stories'!$B$1:$B$60,MATCH($C17,'[4]2. OPTIONAL highlighted stories'!$A$1:$A$60,0))),"")</f>
        <v/>
      </c>
      <c r="E17" s="9">
        <f>IFERROR(IF(INDEX('[4]2. OPTIONAL highlighted stories'!$C$1:$C$60,MATCH($C17,'[4]2. OPTIONAL highlighted stories'!$A$1:$A$60,0))="","",INDEX('[4]2. OPTIONAL highlighted stories'!$C$1:$C$60,MATCH($C17,'[4]2. OPTIONAL highlighted stories'!$A$1:$A$60,0))),"")</f>
        <v/>
      </c>
      <c r="F17" s="9">
        <f>IFERROR(IF(INDEX('[4]2. OPTIONAL highlighted stories'!$D$1:$D$60,MATCH($C17,'[4]2. OPTIONAL highlighted stories'!$A$1:$A$60,0))="","",INDEX('[4]2. OPTIONAL highlighted stories'!$D$1:$D$60,MATCH($C17,'[4]2. OPTIONAL highlighted stories'!$A$1:$A$60,0))),"")</f>
        <v/>
      </c>
      <c r="G17" s="9">
        <f>IFERROR(IF(INDEX('[4]2. OPTIONAL highlighted stories'!$E$1:$E$60,MATCH($C17,'[4]2. OPTIONAL highlighted stories'!$A$1:$A$60,0))="","",INDEX('[4]2. OPTIONAL highlighted stories'!$E$1:$E$60,MATCH($C17,'[4]2. OPTIONAL highlighted stories'!$A$1:$A$60,0))),"")</f>
        <v/>
      </c>
      <c r="H17" s="9">
        <f>IFERROR(IF(INDEX('[4]2. OPTIONAL highlighted stories'!$F$1:$F$60,MATCH($C17,'[4]2. OPTIONAL highlighted stories'!$A$1:$A$60,0))="","",INDEX('[4]2. OPTIONAL highlighted stories'!$F$1:$F$60,MATCH($C17,'[4]2. OPTIONAL highlighted stories'!$A$1:$A$60,0))),"")</f>
        <v/>
      </c>
      <c r="I17" s="7" t="inlineStr"/>
      <c r="J17" s="7" t="inlineStr"/>
      <c r="K17" s="7" t="inlineStr"/>
      <c r="L17" s="7" t="inlineStr"/>
      <c r="M17" s="7" t="inlineStr"/>
      <c r="N17" s="7" t="inlineStr"/>
    </row>
    <row r="18" ht="60" customHeight="1">
      <c r="B18" s="6" t="inlineStr">
        <is>
          <t>FAM – Faculty of Fine Arts and Music</t>
        </is>
      </c>
      <c r="C18" s="48" t="n">
        <v>1</v>
      </c>
      <c r="D18" s="9">
        <f>IFERROR(IF(INDEX('[5]2. OPTIONAL highlighted stories'!$B$1:$B$60,MATCH($C18,'[5]2. OPTIONAL highlighted stories'!$A$1:$A$60,0))="","",INDEX('[5]2. OPTIONAL highlighted stories'!$B$1:$B$60,MATCH($C18,'[5]2. OPTIONAL highlighted stories'!$A$1:$A$60,0))),"")</f>
        <v/>
      </c>
      <c r="E18" s="9">
        <f>IFERROR(IF(INDEX('[5]2. OPTIONAL highlighted stories'!$C$1:$C$60,MATCH($C18,'[5]2. OPTIONAL highlighted stories'!$A$1:$A$60,0))="","",INDEX('[5]2. OPTIONAL highlighted stories'!$C$1:$C$60,MATCH($C18,'[5]2. OPTIONAL highlighted stories'!$A$1:$A$60,0))),"")</f>
        <v/>
      </c>
      <c r="F18" s="9">
        <f>IFERROR(IF(INDEX('[5]2. OPTIONAL highlighted stories'!$D$1:$D$60,MATCH($C18,'[5]2. OPTIONAL highlighted stories'!$A$1:$A$60,0))="","",INDEX('[5]2. OPTIONAL highlighted stories'!$D$1:$D$60,MATCH($C18,'[5]2. OPTIONAL highlighted stories'!$A$1:$A$60,0))),"")</f>
        <v/>
      </c>
      <c r="G18" s="9">
        <f>IFERROR(IF(INDEX('[5]2. OPTIONAL highlighted stories'!$E$1:$E$60,MATCH($C18,'[5]2. OPTIONAL highlighted stories'!$A$1:$A$60,0))="","",INDEX('[5]2. OPTIONAL highlighted stories'!$E$1:$E$60,MATCH($C18,'[5]2. OPTIONAL highlighted stories'!$A$1:$A$60,0))),"")</f>
        <v/>
      </c>
      <c r="H18" s="9">
        <f>IFERROR(IF(INDEX('[5]2. OPTIONAL highlighted stories'!$F$1:$F$60,MATCH($C18,'[5]2. OPTIONAL highlighted stories'!$A$1:$A$60,0))="","",INDEX('[5]2. OPTIONAL highlighted stories'!$F$1:$F$60,MATCH($C18,'[5]2. OPTIONAL highlighted stories'!$A$1:$A$60,0))),"")</f>
        <v/>
      </c>
      <c r="I18" s="7" t="inlineStr"/>
      <c r="J18" s="7" t="inlineStr"/>
      <c r="K18" s="7" t="inlineStr"/>
      <c r="L18" s="7" t="inlineStr"/>
      <c r="M18" s="7" t="inlineStr"/>
      <c r="N18" s="7" t="inlineStr"/>
    </row>
    <row r="19" ht="60" customHeight="1">
      <c r="B19" s="6" t="inlineStr"/>
      <c r="C19" s="48" t="n">
        <v>2</v>
      </c>
      <c r="D19" s="9">
        <f>IFERROR(IF(INDEX('[5]2. OPTIONAL highlighted stories'!$B$1:$B$60,MATCH($C19,'[5]2. OPTIONAL highlighted stories'!$A$1:$A$60,0))="","",INDEX('[5]2. OPTIONAL highlighted stories'!$B$1:$B$60,MATCH($C19,'[5]2. OPTIONAL highlighted stories'!$A$1:$A$60,0))),"")</f>
        <v/>
      </c>
      <c r="E19" s="9">
        <f>IFERROR(IF(INDEX('[5]2. OPTIONAL highlighted stories'!$C$1:$C$60,MATCH($C19,'[5]2. OPTIONAL highlighted stories'!$A$1:$A$60,0))="","",INDEX('[5]2. OPTIONAL highlighted stories'!$C$1:$C$60,MATCH($C19,'[5]2. OPTIONAL highlighted stories'!$A$1:$A$60,0))),"")</f>
        <v/>
      </c>
      <c r="F19" s="9">
        <f>IFERROR(IF(INDEX('[5]2. OPTIONAL highlighted stories'!$D$1:$D$60,MATCH($C19,'[5]2. OPTIONAL highlighted stories'!$A$1:$A$60,0))="","",INDEX('[5]2. OPTIONAL highlighted stories'!$D$1:$D$60,MATCH($C19,'[5]2. OPTIONAL highlighted stories'!$A$1:$A$60,0))),"")</f>
        <v/>
      </c>
      <c r="G19" s="9">
        <f>IFERROR(IF(INDEX('[5]2. OPTIONAL highlighted stories'!$E$1:$E$60,MATCH($C19,'[5]2. OPTIONAL highlighted stories'!$A$1:$A$60,0))="","",INDEX('[5]2. OPTIONAL highlighted stories'!$E$1:$E$60,MATCH($C19,'[5]2. OPTIONAL highlighted stories'!$A$1:$A$60,0))),"")</f>
        <v/>
      </c>
      <c r="H19" s="9">
        <f>IFERROR(IF(INDEX('[5]2. OPTIONAL highlighted stories'!$F$1:$F$60,MATCH($C19,'[5]2. OPTIONAL highlighted stories'!$A$1:$A$60,0))="","",INDEX('[5]2. OPTIONAL highlighted stories'!$F$1:$F$60,MATCH($C19,'[5]2. OPTIONAL highlighted stories'!$A$1:$A$60,0))),"")</f>
        <v/>
      </c>
      <c r="I19" s="7" t="inlineStr"/>
      <c r="J19" s="7" t="inlineStr"/>
      <c r="K19" s="7" t="inlineStr"/>
      <c r="L19" s="7" t="inlineStr"/>
      <c r="M19" s="7" t="inlineStr"/>
      <c r="N19" s="7" t="inlineStr"/>
    </row>
    <row r="20" ht="60" customHeight="1">
      <c r="B20" s="6" t="inlineStr"/>
      <c r="C20" s="48" t="n">
        <v>3</v>
      </c>
      <c r="D20" s="9">
        <f>IFERROR(IF(INDEX('[5]2. OPTIONAL highlighted stories'!$B$1:$B$60,MATCH($C20,'[5]2. OPTIONAL highlighted stories'!$A$1:$A$60,0))="","",INDEX('[5]2. OPTIONAL highlighted stories'!$B$1:$B$60,MATCH($C20,'[5]2. OPTIONAL highlighted stories'!$A$1:$A$60,0))),"")</f>
        <v/>
      </c>
      <c r="E20" s="9">
        <f>IFERROR(IF(INDEX('[5]2. OPTIONAL highlighted stories'!$C$1:$C$60,MATCH($C20,'[5]2. OPTIONAL highlighted stories'!$A$1:$A$60,0))="","",INDEX('[5]2. OPTIONAL highlighted stories'!$C$1:$C$60,MATCH($C20,'[5]2. OPTIONAL highlighted stories'!$A$1:$A$60,0))),"")</f>
        <v/>
      </c>
      <c r="F20" s="9">
        <f>IFERROR(IF(INDEX('[5]2. OPTIONAL highlighted stories'!$D$1:$D$60,MATCH($C20,'[5]2. OPTIONAL highlighted stories'!$A$1:$A$60,0))="","",INDEX('[5]2. OPTIONAL highlighted stories'!$D$1:$D$60,MATCH($C20,'[5]2. OPTIONAL highlighted stories'!$A$1:$A$60,0))),"")</f>
        <v/>
      </c>
      <c r="G20" s="9">
        <f>IFERROR(IF(INDEX('[5]2. OPTIONAL highlighted stories'!$E$1:$E$60,MATCH($C20,'[5]2. OPTIONAL highlighted stories'!$A$1:$A$60,0))="","",INDEX('[5]2. OPTIONAL highlighted stories'!$E$1:$E$60,MATCH($C20,'[5]2. OPTIONAL highlighted stories'!$A$1:$A$60,0))),"")</f>
        <v/>
      </c>
      <c r="H20" s="9">
        <f>IFERROR(IF(INDEX('[5]2. OPTIONAL highlighted stories'!$F$1:$F$60,MATCH($C20,'[5]2. OPTIONAL highlighted stories'!$A$1:$A$60,0))="","",INDEX('[5]2. OPTIONAL highlighted stories'!$F$1:$F$60,MATCH($C20,'[5]2. OPTIONAL highlighted stories'!$A$1:$A$60,0))),"")</f>
        <v/>
      </c>
      <c r="I20" s="7" t="inlineStr"/>
      <c r="J20" s="7" t="inlineStr"/>
      <c r="K20" s="7" t="inlineStr"/>
      <c r="L20" s="7" t="inlineStr"/>
      <c r="M20" s="7" t="inlineStr"/>
      <c r="N20" s="7" t="inlineStr"/>
    </row>
    <row r="21" ht="60" customHeight="1">
      <c r="B21" s="6" t="inlineStr">
        <is>
          <t>FEIT – Faculty of Engineering and Information Technology</t>
        </is>
      </c>
      <c r="C21" s="48" t="n">
        <v>1</v>
      </c>
      <c r="D21" s="9">
        <f>IFERROR(IF(INDEX('[6]2. OPTIONAL highlighted stories'!$B$1:$B$60,MATCH($C21,'[6]2. OPTIONAL highlighted stories'!$A$1:$A$60,0))="","",INDEX('[6]2. OPTIONAL highlighted stories'!$B$1:$B$60,MATCH($C21,'[6]2. OPTIONAL highlighted stories'!$A$1:$A$60,0))),"")</f>
        <v/>
      </c>
      <c r="E21" s="9">
        <f>IFERROR(IF(INDEX('[6]2. OPTIONAL highlighted stories'!$C$1:$C$60,MATCH($C21,'[6]2. OPTIONAL highlighted stories'!$A$1:$A$60,0))="","",INDEX('[6]2. OPTIONAL highlighted stories'!$C$1:$C$60,MATCH($C21,'[6]2. OPTIONAL highlighted stories'!$A$1:$A$60,0))),"")</f>
        <v/>
      </c>
      <c r="F21" s="9">
        <f>IFERROR(IF(INDEX('[6]2. OPTIONAL highlighted stories'!$D$1:$D$60,MATCH($C21,'[6]2. OPTIONAL highlighted stories'!$A$1:$A$60,0))="","",INDEX('[6]2. OPTIONAL highlighted stories'!$D$1:$D$60,MATCH($C21,'[6]2. OPTIONAL highlighted stories'!$A$1:$A$60,0))),"")</f>
        <v/>
      </c>
      <c r="G21" s="9">
        <f>IFERROR(IF(INDEX('[6]2. OPTIONAL highlighted stories'!$E$1:$E$60,MATCH($C21,'[6]2. OPTIONAL highlighted stories'!$A$1:$A$60,0))="","",INDEX('[6]2. OPTIONAL highlighted stories'!$E$1:$E$60,MATCH($C21,'[6]2. OPTIONAL highlighted stories'!$A$1:$A$60,0))),"")</f>
        <v/>
      </c>
      <c r="H21" s="9">
        <f>IFERROR(IF(INDEX('[6]2. OPTIONAL highlighted stories'!$F$1:$F$60,MATCH($C21,'[6]2. OPTIONAL highlighted stories'!$A$1:$A$60,0))="","",INDEX('[6]2. OPTIONAL highlighted stories'!$F$1:$F$60,MATCH($C21,'[6]2. OPTIONAL highlighted stories'!$A$1:$A$60,0))),"")</f>
        <v/>
      </c>
      <c r="I21" s="7" t="inlineStr"/>
      <c r="J21" s="7" t="inlineStr"/>
      <c r="K21" s="7" t="inlineStr"/>
      <c r="L21" s="7" t="inlineStr"/>
      <c r="M21" s="7" t="inlineStr"/>
      <c r="N21" s="7" t="inlineStr"/>
    </row>
    <row r="22" ht="60" customHeight="1">
      <c r="B22" s="6" t="inlineStr"/>
      <c r="C22" s="48" t="n">
        <v>2</v>
      </c>
      <c r="D22" s="9">
        <f>IFERROR(IF(INDEX('[6]2. OPTIONAL highlighted stories'!$B$1:$B$60,MATCH($C22,'[6]2. OPTIONAL highlighted stories'!$A$1:$A$60,0))="","",INDEX('[6]2. OPTIONAL highlighted stories'!$B$1:$B$60,MATCH($C22,'[6]2. OPTIONAL highlighted stories'!$A$1:$A$60,0))),"")</f>
        <v/>
      </c>
      <c r="E22" s="9">
        <f>IFERROR(IF(INDEX('[6]2. OPTIONAL highlighted stories'!$C$1:$C$60,MATCH($C22,'[6]2. OPTIONAL highlighted stories'!$A$1:$A$60,0))="","",INDEX('[6]2. OPTIONAL highlighted stories'!$C$1:$C$60,MATCH($C22,'[6]2. OPTIONAL highlighted stories'!$A$1:$A$60,0))),"")</f>
        <v/>
      </c>
      <c r="F22" s="9">
        <f>IFERROR(IF(INDEX('[6]2. OPTIONAL highlighted stories'!$D$1:$D$60,MATCH($C22,'[6]2. OPTIONAL highlighted stories'!$A$1:$A$60,0))="","",INDEX('[6]2. OPTIONAL highlighted stories'!$D$1:$D$60,MATCH($C22,'[6]2. OPTIONAL highlighted stories'!$A$1:$A$60,0))),"")</f>
        <v/>
      </c>
      <c r="G22" s="9">
        <f>IFERROR(IF(INDEX('[6]2. OPTIONAL highlighted stories'!$E$1:$E$60,MATCH($C22,'[6]2. OPTIONAL highlighted stories'!$A$1:$A$60,0))="","",INDEX('[6]2. OPTIONAL highlighted stories'!$E$1:$E$60,MATCH($C22,'[6]2. OPTIONAL highlighted stories'!$A$1:$A$60,0))),"")</f>
        <v/>
      </c>
      <c r="H22" s="9">
        <f>IFERROR(IF(INDEX('[6]2. OPTIONAL highlighted stories'!$F$1:$F$60,MATCH($C22,'[6]2. OPTIONAL highlighted stories'!$A$1:$A$60,0))="","",INDEX('[6]2. OPTIONAL highlighted stories'!$F$1:$F$60,MATCH($C22,'[6]2. OPTIONAL highlighted stories'!$A$1:$A$60,0))),"")</f>
        <v/>
      </c>
      <c r="I22" s="7" t="inlineStr"/>
      <c r="J22" s="7" t="inlineStr"/>
      <c r="K22" s="7" t="inlineStr"/>
      <c r="L22" s="7" t="inlineStr"/>
      <c r="M22" s="7" t="inlineStr"/>
      <c r="N22" s="7" t="inlineStr"/>
    </row>
    <row r="23" ht="60" customHeight="1">
      <c r="B23" s="6" t="inlineStr"/>
      <c r="C23" s="48" t="n">
        <v>3</v>
      </c>
      <c r="D23" s="9">
        <f>IFERROR(IF(INDEX('[6]2. OPTIONAL highlighted stories'!$B$1:$B$60,MATCH($C23,'[6]2. OPTIONAL highlighted stories'!$A$1:$A$60,0))="","",INDEX('[6]2. OPTIONAL highlighted stories'!$B$1:$B$60,MATCH($C23,'[6]2. OPTIONAL highlighted stories'!$A$1:$A$60,0))),"")</f>
        <v/>
      </c>
      <c r="E23" s="9">
        <f>IFERROR(IF(INDEX('[6]2. OPTIONAL highlighted stories'!$C$1:$C$60,MATCH($C23,'[6]2. OPTIONAL highlighted stories'!$A$1:$A$60,0))="","",INDEX('[6]2. OPTIONAL highlighted stories'!$C$1:$C$60,MATCH($C23,'[6]2. OPTIONAL highlighted stories'!$A$1:$A$60,0))),"")</f>
        <v/>
      </c>
      <c r="F23" s="9">
        <f>IFERROR(IF(INDEX('[6]2. OPTIONAL highlighted stories'!$D$1:$D$60,MATCH($C23,'[6]2. OPTIONAL highlighted stories'!$A$1:$A$60,0))="","",INDEX('[6]2. OPTIONAL highlighted stories'!$D$1:$D$60,MATCH($C23,'[6]2. OPTIONAL highlighted stories'!$A$1:$A$60,0))),"")</f>
        <v/>
      </c>
      <c r="G23" s="9">
        <f>IFERROR(IF(INDEX('[6]2. OPTIONAL highlighted stories'!$E$1:$E$60,MATCH($C23,'[6]2. OPTIONAL highlighted stories'!$A$1:$A$60,0))="","",INDEX('[6]2. OPTIONAL highlighted stories'!$E$1:$E$60,MATCH($C23,'[6]2. OPTIONAL highlighted stories'!$A$1:$A$60,0))),"")</f>
        <v/>
      </c>
      <c r="H23" s="9">
        <f>IFERROR(IF(INDEX('[6]2. OPTIONAL highlighted stories'!$F$1:$F$60,MATCH($C23,'[6]2. OPTIONAL highlighted stories'!$A$1:$A$60,0))="","",INDEX('[6]2. OPTIONAL highlighted stories'!$F$1:$F$60,MATCH($C23,'[6]2. OPTIONAL highlighted stories'!$A$1:$A$60,0))),"")</f>
        <v/>
      </c>
      <c r="I23" s="7" t="inlineStr"/>
      <c r="J23" s="7" t="inlineStr"/>
      <c r="K23" s="7" t="inlineStr"/>
      <c r="L23" s="7" t="inlineStr"/>
      <c r="M23" s="7" t="inlineStr"/>
      <c r="N23" s="7" t="inlineStr"/>
    </row>
    <row r="24" ht="60" customHeight="1">
      <c r="B24" s="6" t="inlineStr">
        <is>
          <t>FoE – Faculty of Education</t>
        </is>
      </c>
      <c r="C24" s="48" t="n">
        <v>1</v>
      </c>
      <c r="D24" s="9">
        <f>IFERROR(IF(INDEX('[7]2. OPTIONAL highlighted stories'!$B$1:$B$60,MATCH($C24,'[7]2. OPTIONAL highlighted stories'!$A$1:$A$60,0))="","",INDEX('[7]2. OPTIONAL highlighted stories'!$B$1:$B$60,MATCH($C24,'[7]2. OPTIONAL highlighted stories'!$A$1:$A$60,0))),"")</f>
        <v/>
      </c>
      <c r="E24" s="9">
        <f>IFERROR(IF(INDEX('[7]2. OPTIONAL highlighted stories'!$C$1:$C$60,MATCH($C24,'[7]2. OPTIONAL highlighted stories'!$A$1:$A$60,0))="","",INDEX('[7]2. OPTIONAL highlighted stories'!$C$1:$C$60,MATCH($C24,'[7]2. OPTIONAL highlighted stories'!$A$1:$A$60,0))),"")</f>
        <v/>
      </c>
      <c r="F24" s="9">
        <f>IFERROR(IF(INDEX('[7]2. OPTIONAL highlighted stories'!$D$1:$D$60,MATCH($C24,'[7]2. OPTIONAL highlighted stories'!$A$1:$A$60,0))="","",INDEX('[7]2. OPTIONAL highlighted stories'!$D$1:$D$60,MATCH($C24,'[7]2. OPTIONAL highlighted stories'!$A$1:$A$60,0))),"")</f>
        <v/>
      </c>
      <c r="G24" s="9">
        <f>IFERROR(IF(INDEX('[7]2. OPTIONAL highlighted stories'!$E$1:$E$60,MATCH($C24,'[7]2. OPTIONAL highlighted stories'!$A$1:$A$60,0))="","",INDEX('[7]2. OPTIONAL highlighted stories'!$E$1:$E$60,MATCH($C24,'[7]2. OPTIONAL highlighted stories'!$A$1:$A$60,0))),"")</f>
        <v/>
      </c>
      <c r="H24" s="9">
        <f>IFERROR(IF(INDEX('[7]2. OPTIONAL highlighted stories'!$F$1:$F$60,MATCH($C24,'[7]2. OPTIONAL highlighted stories'!$A$1:$A$60,0))="","",INDEX('[7]2. OPTIONAL highlighted stories'!$F$1:$F$60,MATCH($C24,'[7]2. OPTIONAL highlighted stories'!$A$1:$A$60,0))),"")</f>
        <v/>
      </c>
      <c r="I24" s="7" t="inlineStr"/>
      <c r="J24" s="7" t="inlineStr"/>
      <c r="K24" s="7" t="inlineStr"/>
      <c r="L24" s="7" t="inlineStr"/>
      <c r="M24" s="7" t="inlineStr"/>
      <c r="N24" s="7" t="inlineStr"/>
    </row>
    <row r="25" ht="60" customHeight="1">
      <c r="B25" s="6" t="inlineStr"/>
      <c r="C25" s="48" t="n">
        <v>2</v>
      </c>
      <c r="D25" s="9">
        <f>IFERROR(IF(INDEX('[7]2. OPTIONAL highlighted stories'!$B$1:$B$60,MATCH($C25,'[7]2. OPTIONAL highlighted stories'!$A$1:$A$60,0))="","",INDEX('[7]2. OPTIONAL highlighted stories'!$B$1:$B$60,MATCH($C25,'[7]2. OPTIONAL highlighted stories'!$A$1:$A$60,0))),"")</f>
        <v/>
      </c>
      <c r="E25" s="9">
        <f>IFERROR(IF(INDEX('[7]2. OPTIONAL highlighted stories'!$C$1:$C$60,MATCH($C25,'[7]2. OPTIONAL highlighted stories'!$A$1:$A$60,0))="","",INDEX('[7]2. OPTIONAL highlighted stories'!$C$1:$C$60,MATCH($C25,'[7]2. OPTIONAL highlighted stories'!$A$1:$A$60,0))),"")</f>
        <v/>
      </c>
      <c r="F25" s="9">
        <f>IFERROR(IF(INDEX('[7]2. OPTIONAL highlighted stories'!$D$1:$D$60,MATCH($C25,'[7]2. OPTIONAL highlighted stories'!$A$1:$A$60,0))="","",INDEX('[7]2. OPTIONAL highlighted stories'!$D$1:$D$60,MATCH($C25,'[7]2. OPTIONAL highlighted stories'!$A$1:$A$60,0))),"")</f>
        <v/>
      </c>
      <c r="G25" s="9">
        <f>IFERROR(IF(INDEX('[7]2. OPTIONAL highlighted stories'!$E$1:$E$60,MATCH($C25,'[7]2. OPTIONAL highlighted stories'!$A$1:$A$60,0))="","",INDEX('[7]2. OPTIONAL highlighted stories'!$E$1:$E$60,MATCH($C25,'[7]2. OPTIONAL highlighted stories'!$A$1:$A$60,0))),"")</f>
        <v/>
      </c>
      <c r="H25" s="9">
        <f>IFERROR(IF(INDEX('[7]2. OPTIONAL highlighted stories'!$F$1:$F$60,MATCH($C25,'[7]2. OPTIONAL highlighted stories'!$A$1:$A$60,0))="","",INDEX('[7]2. OPTIONAL highlighted stories'!$F$1:$F$60,MATCH($C25,'[7]2. OPTIONAL highlighted stories'!$A$1:$A$60,0))),"")</f>
        <v/>
      </c>
      <c r="I25" s="7" t="inlineStr"/>
      <c r="J25" s="7" t="inlineStr"/>
      <c r="K25" s="7" t="inlineStr"/>
      <c r="L25" s="7" t="inlineStr"/>
      <c r="M25" s="7" t="inlineStr"/>
      <c r="N25" s="7" t="inlineStr"/>
    </row>
    <row r="26" ht="60" customHeight="1">
      <c r="B26" s="6" t="inlineStr"/>
      <c r="C26" s="48" t="n">
        <v>3</v>
      </c>
      <c r="D26" s="9">
        <f>IFERROR(IF(INDEX('[7]2. OPTIONAL highlighted stories'!$B$1:$B$60,MATCH($C26,'[7]2. OPTIONAL highlighted stories'!$A$1:$A$60,0))="","",INDEX('[7]2. OPTIONAL highlighted stories'!$B$1:$B$60,MATCH($C26,'[7]2. OPTIONAL highlighted stories'!$A$1:$A$60,0))),"")</f>
        <v/>
      </c>
      <c r="E26" s="9">
        <f>IFERROR(IF(INDEX('[7]2. OPTIONAL highlighted stories'!$C$1:$C$60,MATCH($C26,'[7]2. OPTIONAL highlighted stories'!$A$1:$A$60,0))="","",INDEX('[7]2. OPTIONAL highlighted stories'!$C$1:$C$60,MATCH($C26,'[7]2. OPTIONAL highlighted stories'!$A$1:$A$60,0))),"")</f>
        <v/>
      </c>
      <c r="F26" s="9">
        <f>IFERROR(IF(INDEX('[7]2. OPTIONAL highlighted stories'!$D$1:$D$60,MATCH($C26,'[7]2. OPTIONAL highlighted stories'!$A$1:$A$60,0))="","",INDEX('[7]2. OPTIONAL highlighted stories'!$D$1:$D$60,MATCH($C26,'[7]2. OPTIONAL highlighted stories'!$A$1:$A$60,0))),"")</f>
        <v/>
      </c>
      <c r="G26" s="9">
        <f>IFERROR(IF(INDEX('[7]2. OPTIONAL highlighted stories'!$E$1:$E$60,MATCH($C26,'[7]2. OPTIONAL highlighted stories'!$A$1:$A$60,0))="","",INDEX('[7]2. OPTIONAL highlighted stories'!$E$1:$E$60,MATCH($C26,'[7]2. OPTIONAL highlighted stories'!$A$1:$A$60,0))),"")</f>
        <v/>
      </c>
      <c r="H26" s="9">
        <f>IFERROR(IF(INDEX('[7]2. OPTIONAL highlighted stories'!$F$1:$F$60,MATCH($C26,'[7]2. OPTIONAL highlighted stories'!$A$1:$A$60,0))="","",INDEX('[7]2. OPTIONAL highlighted stories'!$F$1:$F$60,MATCH($C26,'[7]2. OPTIONAL highlighted stories'!$A$1:$A$60,0))),"")</f>
        <v/>
      </c>
      <c r="I26" s="7" t="inlineStr"/>
      <c r="J26" s="7" t="inlineStr"/>
      <c r="K26" s="7" t="inlineStr"/>
      <c r="L26" s="7" t="inlineStr"/>
      <c r="M26" s="7" t="inlineStr"/>
      <c r="N26" s="7" t="inlineStr"/>
    </row>
    <row r="27" ht="60" customHeight="1">
      <c r="B27" s="6" t="inlineStr">
        <is>
          <t>MLS – Melbourne Law School</t>
        </is>
      </c>
      <c r="C27" s="48" t="n">
        <v>1</v>
      </c>
      <c r="D27" s="9">
        <f>IFERROR(IF(INDEX('[8]2. OPTIONAL highlighted stories'!$B$1:$B$60,MATCH($C27,'[8]2. OPTIONAL highlighted stories'!$A$1:$A$60,0))="","",INDEX('[8]2. OPTIONAL highlighted stories'!$B$1:$B$60,MATCH($C27,'[8]2. OPTIONAL highlighted stories'!$A$1:$A$60,0))),"")</f>
        <v/>
      </c>
      <c r="E27" s="9">
        <f>IFERROR(IF(INDEX('[8]2. OPTIONAL highlighted stories'!$C$1:$C$60,MATCH($C27,'[8]2. OPTIONAL highlighted stories'!$A$1:$A$60,0))="","",INDEX('[8]2. OPTIONAL highlighted stories'!$C$1:$C$60,MATCH($C27,'[8]2. OPTIONAL highlighted stories'!$A$1:$A$60,0))),"")</f>
        <v/>
      </c>
      <c r="F27" s="9">
        <f>IFERROR(IF(INDEX('[8]2. OPTIONAL highlighted stories'!$D$1:$D$60,MATCH($C27,'[8]2. OPTIONAL highlighted stories'!$A$1:$A$60,0))="","",INDEX('[8]2. OPTIONAL highlighted stories'!$D$1:$D$60,MATCH($C27,'[8]2. OPTIONAL highlighted stories'!$A$1:$A$60,0))),"")</f>
        <v/>
      </c>
      <c r="G27" s="9">
        <f>IFERROR(IF(INDEX('[8]2. OPTIONAL highlighted stories'!$E$1:$E$60,MATCH($C27,'[8]2. OPTIONAL highlighted stories'!$A$1:$A$60,0))="","",INDEX('[8]2. OPTIONAL highlighted stories'!$E$1:$E$60,MATCH($C27,'[8]2. OPTIONAL highlighted stories'!$A$1:$A$60,0))),"")</f>
        <v/>
      </c>
      <c r="H27" s="9">
        <f>IFERROR(IF(INDEX('[8]2. OPTIONAL highlighted stories'!$F$1:$F$60,MATCH($C27,'[8]2. OPTIONAL highlighted stories'!$A$1:$A$60,0))="","",INDEX('[8]2. OPTIONAL highlighted stories'!$F$1:$F$60,MATCH($C27,'[8]2. OPTIONAL highlighted stories'!$A$1:$A$60,0))),"")</f>
        <v/>
      </c>
      <c r="I27" s="7" t="inlineStr"/>
      <c r="J27" s="7" t="inlineStr"/>
      <c r="K27" s="7" t="inlineStr"/>
      <c r="L27" s="7" t="inlineStr"/>
      <c r="M27" s="7" t="inlineStr"/>
      <c r="N27" s="7" t="inlineStr"/>
    </row>
    <row r="28" ht="60" customHeight="1">
      <c r="B28" s="6" t="inlineStr"/>
      <c r="C28" s="48" t="n">
        <v>2</v>
      </c>
      <c r="D28" s="9">
        <f>IFERROR(IF(INDEX('[8]2. OPTIONAL highlighted stories'!$B$1:$B$60,MATCH($C28,'[8]2. OPTIONAL highlighted stories'!$A$1:$A$60,0))="","",INDEX('[8]2. OPTIONAL highlighted stories'!$B$1:$B$60,MATCH($C28,'[8]2. OPTIONAL highlighted stories'!$A$1:$A$60,0))),"")</f>
        <v/>
      </c>
      <c r="E28" s="9">
        <f>IFERROR(IF(INDEX('[8]2. OPTIONAL highlighted stories'!$C$1:$C$60,MATCH($C28,'[8]2. OPTIONAL highlighted stories'!$A$1:$A$60,0))="","",INDEX('[8]2. OPTIONAL highlighted stories'!$C$1:$C$60,MATCH($C28,'[8]2. OPTIONAL highlighted stories'!$A$1:$A$60,0))),"")</f>
        <v/>
      </c>
      <c r="F28" s="9">
        <f>IFERROR(IF(INDEX('[8]2. OPTIONAL highlighted stories'!$D$1:$D$60,MATCH($C28,'[8]2. OPTIONAL highlighted stories'!$A$1:$A$60,0))="","",INDEX('[8]2. OPTIONAL highlighted stories'!$D$1:$D$60,MATCH($C28,'[8]2. OPTIONAL highlighted stories'!$A$1:$A$60,0))),"")</f>
        <v/>
      </c>
      <c r="G28" s="9">
        <f>IFERROR(IF(INDEX('[8]2. OPTIONAL highlighted stories'!$E$1:$E$60,MATCH($C28,'[8]2. OPTIONAL highlighted stories'!$A$1:$A$60,0))="","",INDEX('[8]2. OPTIONAL highlighted stories'!$E$1:$E$60,MATCH($C28,'[8]2. OPTIONAL highlighted stories'!$A$1:$A$60,0))),"")</f>
        <v/>
      </c>
      <c r="H28" s="9">
        <f>IFERROR(IF(INDEX('[8]2. OPTIONAL highlighted stories'!$F$1:$F$60,MATCH($C28,'[8]2. OPTIONAL highlighted stories'!$A$1:$A$60,0))="","",INDEX('[8]2. OPTIONAL highlighted stories'!$F$1:$F$60,MATCH($C28,'[8]2. OPTIONAL highlighted stories'!$A$1:$A$60,0))),"")</f>
        <v/>
      </c>
      <c r="I28" s="7" t="inlineStr"/>
      <c r="J28" s="7" t="inlineStr"/>
      <c r="K28" s="7" t="inlineStr"/>
      <c r="L28" s="7" t="inlineStr"/>
      <c r="M28" s="7" t="inlineStr"/>
      <c r="N28" s="7" t="inlineStr"/>
    </row>
    <row r="29" ht="60" customHeight="1">
      <c r="B29" s="6" t="inlineStr"/>
      <c r="C29" s="48" t="n">
        <v>3</v>
      </c>
      <c r="D29" s="9">
        <f>IFERROR(IF(INDEX('[8]2. OPTIONAL highlighted stories'!$B$1:$B$60,MATCH($C29,'[8]2. OPTIONAL highlighted stories'!$A$1:$A$60,0))="","",INDEX('[8]2. OPTIONAL highlighted stories'!$B$1:$B$60,MATCH($C29,'[8]2. OPTIONAL highlighted stories'!$A$1:$A$60,0))),"")</f>
        <v/>
      </c>
      <c r="E29" s="9">
        <f>IFERROR(IF(INDEX('[8]2. OPTIONAL highlighted stories'!$C$1:$C$60,MATCH($C29,'[8]2. OPTIONAL highlighted stories'!$A$1:$A$60,0))="","",INDEX('[8]2. OPTIONAL highlighted stories'!$C$1:$C$60,MATCH($C29,'[8]2. OPTIONAL highlighted stories'!$A$1:$A$60,0))),"")</f>
        <v/>
      </c>
      <c r="F29" s="9">
        <f>IFERROR(IF(INDEX('[8]2. OPTIONAL highlighted stories'!$D$1:$D$60,MATCH($C29,'[8]2. OPTIONAL highlighted stories'!$A$1:$A$60,0))="","",INDEX('[8]2. OPTIONAL highlighted stories'!$D$1:$D$60,MATCH($C29,'[8]2. OPTIONAL highlighted stories'!$A$1:$A$60,0))),"")</f>
        <v/>
      </c>
      <c r="G29" s="9">
        <f>IFERROR(IF(INDEX('[8]2. OPTIONAL highlighted stories'!$E$1:$E$60,MATCH($C29,'[8]2. OPTIONAL highlighted stories'!$A$1:$A$60,0))="","",INDEX('[8]2. OPTIONAL highlighted stories'!$E$1:$E$60,MATCH($C29,'[8]2. OPTIONAL highlighted stories'!$A$1:$A$60,0))),"")</f>
        <v/>
      </c>
      <c r="H29" s="9">
        <f>IFERROR(IF(INDEX('[8]2. OPTIONAL highlighted stories'!$F$1:$F$60,MATCH($C29,'[8]2. OPTIONAL highlighted stories'!$A$1:$A$60,0))="","",INDEX('[8]2. OPTIONAL highlighted stories'!$F$1:$F$60,MATCH($C29,'[8]2. OPTIONAL highlighted stories'!$A$1:$A$60,0))),"")</f>
        <v/>
      </c>
      <c r="I29" s="7" t="inlineStr"/>
      <c r="J29" s="7" t="inlineStr"/>
      <c r="K29" s="7" t="inlineStr"/>
      <c r="L29" s="7" t="inlineStr"/>
      <c r="M29" s="7" t="inlineStr"/>
      <c r="N29" s="7" t="inlineStr"/>
    </row>
    <row r="30" ht="60" customHeight="1">
      <c r="B30" s="6" t="inlineStr">
        <is>
          <t>MDHS – Faculty of Medicine, Dentistry and Health Sciences</t>
        </is>
      </c>
      <c r="C30" s="48" t="n">
        <v>1</v>
      </c>
      <c r="D30" s="9">
        <f>IFERROR(IF(INDEX('[9]2. OPTIONAL highlighted stories'!$B$1:$B$60,MATCH($C30,'[9]2. OPTIONAL highlighted stories'!$A$1:$A$60,0))="","",INDEX('[9]2. OPTIONAL highlighted stories'!$B$1:$B$60,MATCH($C30,'[9]2. OPTIONAL highlighted stories'!$A$1:$A$60,0))),"")</f>
        <v/>
      </c>
      <c r="E30" s="9">
        <f>IFERROR(IF(INDEX('[9]2. OPTIONAL highlighted stories'!$C$1:$C$60,MATCH($C30,'[9]2. OPTIONAL highlighted stories'!$A$1:$A$60,0))="","",INDEX('[9]2. OPTIONAL highlighted stories'!$C$1:$C$60,MATCH($C30,'[9]2. OPTIONAL highlighted stories'!$A$1:$A$60,0))),"")</f>
        <v/>
      </c>
      <c r="F30" s="9">
        <f>IFERROR(IF(INDEX('[9]2. OPTIONAL highlighted stories'!$D$1:$D$60,MATCH($C30,'[9]2. OPTIONAL highlighted stories'!$A$1:$A$60,0))="","",INDEX('[9]2. OPTIONAL highlighted stories'!$D$1:$D$60,MATCH($C30,'[9]2. OPTIONAL highlighted stories'!$A$1:$A$60,0))),"")</f>
        <v/>
      </c>
      <c r="G30" s="9">
        <f>IFERROR(IF(INDEX('[9]2. OPTIONAL highlighted stories'!$E$1:$E$60,MATCH($C30,'[9]2. OPTIONAL highlighted stories'!$A$1:$A$60,0))="","",INDEX('[9]2. OPTIONAL highlighted stories'!$E$1:$E$60,MATCH($C30,'[9]2. OPTIONAL highlighted stories'!$A$1:$A$60,0))),"")</f>
        <v/>
      </c>
      <c r="H30" s="9">
        <f>IFERROR(IF(INDEX('[9]2. OPTIONAL highlighted stories'!$F$1:$F$60,MATCH($C30,'[9]2. OPTIONAL highlighted stories'!$A$1:$A$60,0))="","",INDEX('[9]2. OPTIONAL highlighted stories'!$F$1:$F$60,MATCH($C30,'[9]2. OPTIONAL highlighted stories'!$A$1:$A$60,0))),"")</f>
        <v/>
      </c>
      <c r="I30" s="7" t="inlineStr"/>
      <c r="J30" s="7" t="inlineStr"/>
      <c r="K30" s="7" t="inlineStr"/>
      <c r="L30" s="7" t="inlineStr"/>
      <c r="M30" s="7" t="inlineStr"/>
      <c r="N30" s="7" t="inlineStr"/>
    </row>
    <row r="31" ht="60" customHeight="1">
      <c r="B31" s="6" t="inlineStr"/>
      <c r="C31" s="48" t="n">
        <v>2</v>
      </c>
      <c r="D31" s="9">
        <f>IFERROR(IF(INDEX('[9]2. OPTIONAL highlighted stories'!$B$1:$B$60,MATCH($C31,'[9]2. OPTIONAL highlighted stories'!$A$1:$A$60,0))="","",INDEX('[9]2. OPTIONAL highlighted stories'!$B$1:$B$60,MATCH($C31,'[9]2. OPTIONAL highlighted stories'!$A$1:$A$60,0))),"")</f>
        <v/>
      </c>
      <c r="E31" s="9">
        <f>IFERROR(IF(INDEX('[9]2. OPTIONAL highlighted stories'!$C$1:$C$60,MATCH($C31,'[9]2. OPTIONAL highlighted stories'!$A$1:$A$60,0))="","",INDEX('[9]2. OPTIONAL highlighted stories'!$C$1:$C$60,MATCH($C31,'[9]2. OPTIONAL highlighted stories'!$A$1:$A$60,0))),"")</f>
        <v/>
      </c>
      <c r="F31" s="9">
        <f>IFERROR(IF(INDEX('[9]2. OPTIONAL highlighted stories'!$D$1:$D$60,MATCH($C31,'[9]2. OPTIONAL highlighted stories'!$A$1:$A$60,0))="","",INDEX('[9]2. OPTIONAL highlighted stories'!$D$1:$D$60,MATCH($C31,'[9]2. OPTIONAL highlighted stories'!$A$1:$A$60,0))),"")</f>
        <v/>
      </c>
      <c r="G31" s="9">
        <f>IFERROR(IF(INDEX('[9]2. OPTIONAL highlighted stories'!$E$1:$E$60,MATCH($C31,'[9]2. OPTIONAL highlighted stories'!$A$1:$A$60,0))="","",INDEX('[9]2. OPTIONAL highlighted stories'!$E$1:$E$60,MATCH($C31,'[9]2. OPTIONAL highlighted stories'!$A$1:$A$60,0))),"")</f>
        <v/>
      </c>
      <c r="H31" s="9">
        <f>IFERROR(IF(INDEX('[9]2. OPTIONAL highlighted stories'!$F$1:$F$60,MATCH($C31,'[9]2. OPTIONAL highlighted stories'!$A$1:$A$60,0))="","",INDEX('[9]2. OPTIONAL highlighted stories'!$F$1:$F$60,MATCH($C31,'[9]2. OPTIONAL highlighted stories'!$A$1:$A$60,0))),"")</f>
        <v/>
      </c>
      <c r="I31" s="7" t="inlineStr"/>
      <c r="J31" s="7" t="inlineStr"/>
      <c r="K31" s="7" t="inlineStr"/>
      <c r="L31" s="7" t="inlineStr"/>
      <c r="M31" s="7" t="inlineStr"/>
      <c r="N31" s="7" t="inlineStr"/>
    </row>
    <row r="32" ht="60" customHeight="1">
      <c r="B32" s="6" t="inlineStr"/>
      <c r="C32" s="48" t="n">
        <v>3</v>
      </c>
      <c r="D32" s="9">
        <f>IFERROR(IF(INDEX('[9]2. OPTIONAL highlighted stories'!$B$1:$B$60,MATCH($C32,'[9]2. OPTIONAL highlighted stories'!$A$1:$A$60,0))="","",INDEX('[9]2. OPTIONAL highlighted stories'!$B$1:$B$60,MATCH($C32,'[9]2. OPTIONAL highlighted stories'!$A$1:$A$60,0))),"")</f>
        <v/>
      </c>
      <c r="E32" s="9">
        <f>IFERROR(IF(INDEX('[9]2. OPTIONAL highlighted stories'!$C$1:$C$60,MATCH($C32,'[9]2. OPTIONAL highlighted stories'!$A$1:$A$60,0))="","",INDEX('[9]2. OPTIONAL highlighted stories'!$C$1:$C$60,MATCH($C32,'[9]2. OPTIONAL highlighted stories'!$A$1:$A$60,0))),"")</f>
        <v/>
      </c>
      <c r="F32" s="9">
        <f>IFERROR(IF(INDEX('[9]2. OPTIONAL highlighted stories'!$D$1:$D$60,MATCH($C32,'[9]2. OPTIONAL highlighted stories'!$A$1:$A$60,0))="","",INDEX('[9]2. OPTIONAL highlighted stories'!$D$1:$D$60,MATCH($C32,'[9]2. OPTIONAL highlighted stories'!$A$1:$A$60,0))),"")</f>
        <v/>
      </c>
      <c r="G32" s="9">
        <f>IFERROR(IF(INDEX('[9]2. OPTIONAL highlighted stories'!$E$1:$E$60,MATCH($C32,'[9]2. OPTIONAL highlighted stories'!$A$1:$A$60,0))="","",INDEX('[9]2. OPTIONAL highlighted stories'!$E$1:$E$60,MATCH($C32,'[9]2. OPTIONAL highlighted stories'!$A$1:$A$60,0))),"")</f>
        <v/>
      </c>
      <c r="H32" s="9">
        <f>IFERROR(IF(INDEX('[9]2. OPTIONAL highlighted stories'!$F$1:$F$60,MATCH($C32,'[9]2. OPTIONAL highlighted stories'!$A$1:$A$60,0))="","",INDEX('[9]2. OPTIONAL highlighted stories'!$F$1:$F$60,MATCH($C32,'[9]2. OPTIONAL highlighted stories'!$A$1:$A$60,0))),"")</f>
        <v/>
      </c>
      <c r="I32" s="7" t="inlineStr"/>
      <c r="J32" s="7" t="inlineStr"/>
      <c r="K32" s="7" t="inlineStr"/>
      <c r="L32" s="7" t="inlineStr"/>
      <c r="M32" s="7" t="inlineStr"/>
      <c r="N32" s="7" t="inlineStr"/>
    </row>
    <row r="33" ht="60" customHeight="1">
      <c r="B33" s="6" t="inlineStr">
        <is>
          <t>Commercial, Infrastructure &amp; Sustainability (CI&amp;S)</t>
        </is>
      </c>
      <c r="C33" s="48" t="n">
        <v>1</v>
      </c>
      <c r="D33" s="9">
        <f>IFERROR(IF(INDEX('[10]2. OPTIONAL highlighted stories'!$B$1:$B$60,MATCH($C33,'[10]2. OPTIONAL highlighted stories'!$A$1:$A$60,0))="","",INDEX('[10]2. OPTIONAL highlighted stories'!$B$1:$B$60,MATCH($C33,'[10]2. OPTIONAL highlighted stories'!$A$1:$A$60,0))),"")</f>
        <v/>
      </c>
      <c r="E33" s="9">
        <f>IFERROR(IF(INDEX('[10]2. OPTIONAL highlighted stories'!$C$1:$C$60,MATCH($C33,'[10]2. OPTIONAL highlighted stories'!$A$1:$A$60,0))="","",INDEX('[10]2. OPTIONAL highlighted stories'!$C$1:$C$60,MATCH($C33,'[10]2. OPTIONAL highlighted stories'!$A$1:$A$60,0))),"")</f>
        <v/>
      </c>
      <c r="F33" s="9">
        <f>IFERROR(IF(INDEX('[10]2. OPTIONAL highlighted stories'!$D$1:$D$60,MATCH($C33,'[10]2. OPTIONAL highlighted stories'!$A$1:$A$60,0))="","",INDEX('[10]2. OPTIONAL highlighted stories'!$D$1:$D$60,MATCH($C33,'[10]2. OPTIONAL highlighted stories'!$A$1:$A$60,0))),"")</f>
        <v/>
      </c>
      <c r="G33" s="9">
        <f>IFERROR(IF(INDEX('[10]2. OPTIONAL highlighted stories'!$E$1:$E$60,MATCH($C33,'[10]2. OPTIONAL highlighted stories'!$A$1:$A$60,0))="","",INDEX('[10]2. OPTIONAL highlighted stories'!$E$1:$E$60,MATCH($C33,'[10]2. OPTIONAL highlighted stories'!$A$1:$A$60,0))),"")</f>
        <v/>
      </c>
      <c r="H33" s="9">
        <f>IFERROR(IF(INDEX('[10]2. OPTIONAL highlighted stories'!$F$1:$F$60,MATCH($C33,'[10]2. OPTIONAL highlighted stories'!$A$1:$A$60,0))="","",INDEX('[10]2. OPTIONAL highlighted stories'!$F$1:$F$60,MATCH($C33,'[10]2. OPTIONAL highlighted stories'!$A$1:$A$60,0))),"")</f>
        <v/>
      </c>
      <c r="I33" s="7" t="inlineStr"/>
      <c r="J33" s="7" t="inlineStr"/>
      <c r="K33" s="7" t="inlineStr"/>
      <c r="L33" s="7" t="inlineStr"/>
      <c r="M33" s="7" t="inlineStr"/>
      <c r="N33" s="7" t="inlineStr"/>
    </row>
    <row r="34" ht="60" customHeight="1">
      <c r="B34" s="6" t="inlineStr"/>
      <c r="C34" s="48" t="n">
        <v>2</v>
      </c>
      <c r="D34" s="9">
        <f>IFERROR(IF(INDEX('[10]2. OPTIONAL highlighted stories'!$B$1:$B$60,MATCH($C34,'[10]2. OPTIONAL highlighted stories'!$A$1:$A$60,0))="","",INDEX('[10]2. OPTIONAL highlighted stories'!$B$1:$B$60,MATCH($C34,'[10]2. OPTIONAL highlighted stories'!$A$1:$A$60,0))),"")</f>
        <v/>
      </c>
      <c r="E34" s="9">
        <f>IFERROR(IF(INDEX('[10]2. OPTIONAL highlighted stories'!$C$1:$C$60,MATCH($C34,'[10]2. OPTIONAL highlighted stories'!$A$1:$A$60,0))="","",INDEX('[10]2. OPTIONAL highlighted stories'!$C$1:$C$60,MATCH($C34,'[10]2. OPTIONAL highlighted stories'!$A$1:$A$60,0))),"")</f>
        <v/>
      </c>
      <c r="F34" s="9">
        <f>IFERROR(IF(INDEX('[10]2. OPTIONAL highlighted stories'!$D$1:$D$60,MATCH($C34,'[10]2. OPTIONAL highlighted stories'!$A$1:$A$60,0))="","",INDEX('[10]2. OPTIONAL highlighted stories'!$D$1:$D$60,MATCH($C34,'[10]2. OPTIONAL highlighted stories'!$A$1:$A$60,0))),"")</f>
        <v/>
      </c>
      <c r="G34" s="9">
        <f>IFERROR(IF(INDEX('[10]2. OPTIONAL highlighted stories'!$E$1:$E$60,MATCH($C34,'[10]2. OPTIONAL highlighted stories'!$A$1:$A$60,0))="","",INDEX('[10]2. OPTIONAL highlighted stories'!$E$1:$E$60,MATCH($C34,'[10]2. OPTIONAL highlighted stories'!$A$1:$A$60,0))),"")</f>
        <v/>
      </c>
      <c r="H34" s="9">
        <f>IFERROR(IF(INDEX('[10]2. OPTIONAL highlighted stories'!$F$1:$F$60,MATCH($C34,'[10]2. OPTIONAL highlighted stories'!$A$1:$A$60,0))="","",INDEX('[10]2. OPTIONAL highlighted stories'!$F$1:$F$60,MATCH($C34,'[10]2. OPTIONAL highlighted stories'!$A$1:$A$60,0))),"")</f>
        <v/>
      </c>
      <c r="I34" s="7" t="inlineStr"/>
      <c r="J34" s="7" t="inlineStr"/>
      <c r="K34" s="7" t="inlineStr"/>
      <c r="L34" s="7" t="inlineStr"/>
      <c r="M34" s="7" t="inlineStr"/>
      <c r="N34" s="7" t="inlineStr"/>
    </row>
    <row r="35" ht="60" customHeight="1">
      <c r="B35" s="6" t="inlineStr"/>
      <c r="C35" s="48" t="n">
        <v>3</v>
      </c>
      <c r="D35" s="9">
        <f>IFERROR(IF(INDEX('[10]2. OPTIONAL highlighted stories'!$B$1:$B$60,MATCH($C35,'[10]2. OPTIONAL highlighted stories'!$A$1:$A$60,0))="","",INDEX('[10]2. OPTIONAL highlighted stories'!$B$1:$B$60,MATCH($C35,'[10]2. OPTIONAL highlighted stories'!$A$1:$A$60,0))),"")</f>
        <v/>
      </c>
      <c r="E35" s="9">
        <f>IFERROR(IF(INDEX('[10]2. OPTIONAL highlighted stories'!$C$1:$C$60,MATCH($C35,'[10]2. OPTIONAL highlighted stories'!$A$1:$A$60,0))="","",INDEX('[10]2. OPTIONAL highlighted stories'!$C$1:$C$60,MATCH($C35,'[10]2. OPTIONAL highlighted stories'!$A$1:$A$60,0))),"")</f>
        <v/>
      </c>
      <c r="F35" s="9">
        <f>IFERROR(IF(INDEX('[10]2. OPTIONAL highlighted stories'!$D$1:$D$60,MATCH($C35,'[10]2. OPTIONAL highlighted stories'!$A$1:$A$60,0))="","",INDEX('[10]2. OPTIONAL highlighted stories'!$D$1:$D$60,MATCH($C35,'[10]2. OPTIONAL highlighted stories'!$A$1:$A$60,0))),"")</f>
        <v/>
      </c>
      <c r="G35" s="9">
        <f>IFERROR(IF(INDEX('[10]2. OPTIONAL highlighted stories'!$E$1:$E$60,MATCH($C35,'[10]2. OPTIONAL highlighted stories'!$A$1:$A$60,0))="","",INDEX('[10]2. OPTIONAL highlighted stories'!$E$1:$E$60,MATCH($C35,'[10]2. OPTIONAL highlighted stories'!$A$1:$A$60,0))),"")</f>
        <v/>
      </c>
      <c r="H35" s="9">
        <f>IFERROR(IF(INDEX('[10]2. OPTIONAL highlighted stories'!$F$1:$F$60,MATCH($C35,'[10]2. OPTIONAL highlighted stories'!$A$1:$A$60,0))="","",INDEX('[10]2. OPTIONAL highlighted stories'!$F$1:$F$60,MATCH($C35,'[10]2. OPTIONAL highlighted stories'!$A$1:$A$60,0))),"")</f>
        <v/>
      </c>
      <c r="I35" s="7" t="inlineStr"/>
      <c r="J35" s="7" t="inlineStr"/>
      <c r="K35" s="7" t="inlineStr"/>
      <c r="L35" s="7" t="inlineStr"/>
      <c r="M35" s="7" t="inlineStr"/>
      <c r="N35" s="7" t="inlineStr"/>
    </row>
    <row r="36" ht="60" customHeight="1">
      <c r="B36" s="6" t="inlineStr">
        <is>
          <t>Chief Finance Officer Group (CFOG)</t>
        </is>
      </c>
      <c r="C36" s="48" t="n">
        <v>1</v>
      </c>
      <c r="D36" s="9">
        <f>IFERROR(IF(INDEX('[11]2. OPTIONAL highlighted stories'!$B$1:$B$60,MATCH($C36,'[11]2. OPTIONAL highlighted stories'!$A$1:$A$60,0))="","",INDEX('[11]2. OPTIONAL highlighted stories'!$B$1:$B$60,MATCH($C36,'[11]2. OPTIONAL highlighted stories'!$A$1:$A$60,0))),"")</f>
        <v/>
      </c>
      <c r="E36" s="9">
        <f>IFERROR(IF(INDEX('[11]2. OPTIONAL highlighted stories'!$C$1:$C$60,MATCH($C36,'[11]2. OPTIONAL highlighted stories'!$A$1:$A$60,0))="","",INDEX('[11]2. OPTIONAL highlighted stories'!$C$1:$C$60,MATCH($C36,'[11]2. OPTIONAL highlighted stories'!$A$1:$A$60,0))),"")</f>
        <v/>
      </c>
      <c r="F36" s="9">
        <f>IFERROR(IF(INDEX('[11]2. OPTIONAL highlighted stories'!$D$1:$D$60,MATCH($C36,'[11]2. OPTIONAL highlighted stories'!$A$1:$A$60,0))="","",INDEX('[11]2. OPTIONAL highlighted stories'!$D$1:$D$60,MATCH($C36,'[11]2. OPTIONAL highlighted stories'!$A$1:$A$60,0))),"")</f>
        <v/>
      </c>
      <c r="G36" s="9">
        <f>IFERROR(IF(INDEX('[11]2. OPTIONAL highlighted stories'!$E$1:$E$60,MATCH($C36,'[11]2. OPTIONAL highlighted stories'!$A$1:$A$60,0))="","",INDEX('[11]2. OPTIONAL highlighted stories'!$E$1:$E$60,MATCH($C36,'[11]2. OPTIONAL highlighted stories'!$A$1:$A$60,0))),"")</f>
        <v/>
      </c>
      <c r="H36" s="9">
        <f>IFERROR(IF(INDEX('[11]2. OPTIONAL highlighted stories'!$F$1:$F$60,MATCH($C36,'[11]2. OPTIONAL highlighted stories'!$A$1:$A$60,0))="","",INDEX('[11]2. OPTIONAL highlighted stories'!$F$1:$F$60,MATCH($C36,'[11]2. OPTIONAL highlighted stories'!$A$1:$A$60,0))),"")</f>
        <v/>
      </c>
      <c r="I36" s="7" t="inlineStr"/>
      <c r="J36" s="7" t="inlineStr"/>
      <c r="K36" s="7" t="inlineStr"/>
      <c r="L36" s="7" t="inlineStr"/>
      <c r="M36" s="7" t="inlineStr"/>
      <c r="N36" s="7" t="inlineStr"/>
    </row>
    <row r="37" ht="60" customHeight="1">
      <c r="B37" s="6" t="inlineStr"/>
      <c r="C37" s="48" t="n">
        <v>2</v>
      </c>
      <c r="D37" s="9">
        <f>IFERROR(IF(INDEX('[11]2. OPTIONAL highlighted stories'!$B$1:$B$60,MATCH($C37,'[11]2. OPTIONAL highlighted stories'!$A$1:$A$60,0))="","",INDEX('[11]2. OPTIONAL highlighted stories'!$B$1:$B$60,MATCH($C37,'[11]2. OPTIONAL highlighted stories'!$A$1:$A$60,0))),"")</f>
        <v/>
      </c>
      <c r="E37" s="9">
        <f>IFERROR(IF(INDEX('[11]2. OPTIONAL highlighted stories'!$C$1:$C$60,MATCH($C37,'[11]2. OPTIONAL highlighted stories'!$A$1:$A$60,0))="","",INDEX('[11]2. OPTIONAL highlighted stories'!$C$1:$C$60,MATCH($C37,'[11]2. OPTIONAL highlighted stories'!$A$1:$A$60,0))),"")</f>
        <v/>
      </c>
      <c r="F37" s="9">
        <f>IFERROR(IF(INDEX('[11]2. OPTIONAL highlighted stories'!$D$1:$D$60,MATCH($C37,'[11]2. OPTIONAL highlighted stories'!$A$1:$A$60,0))="","",INDEX('[11]2. OPTIONAL highlighted stories'!$D$1:$D$60,MATCH($C37,'[11]2. OPTIONAL highlighted stories'!$A$1:$A$60,0))),"")</f>
        <v/>
      </c>
      <c r="G37" s="9">
        <f>IFERROR(IF(INDEX('[11]2. OPTIONAL highlighted stories'!$E$1:$E$60,MATCH($C37,'[11]2. OPTIONAL highlighted stories'!$A$1:$A$60,0))="","",INDEX('[11]2. OPTIONAL highlighted stories'!$E$1:$E$60,MATCH($C37,'[11]2. OPTIONAL highlighted stories'!$A$1:$A$60,0))),"")</f>
        <v/>
      </c>
      <c r="H37" s="9">
        <f>IFERROR(IF(INDEX('[11]2. OPTIONAL highlighted stories'!$F$1:$F$60,MATCH($C37,'[11]2. OPTIONAL highlighted stories'!$A$1:$A$60,0))="","",INDEX('[11]2. OPTIONAL highlighted stories'!$F$1:$F$60,MATCH($C37,'[11]2. OPTIONAL highlighted stories'!$A$1:$A$60,0))),"")</f>
        <v/>
      </c>
      <c r="I37" s="7" t="inlineStr"/>
      <c r="J37" s="7" t="inlineStr"/>
      <c r="K37" s="7" t="inlineStr"/>
      <c r="L37" s="7" t="inlineStr"/>
      <c r="M37" s="7" t="inlineStr"/>
      <c r="N37" s="7" t="inlineStr"/>
    </row>
    <row r="38" ht="60" customHeight="1">
      <c r="B38" s="6" t="inlineStr"/>
      <c r="C38" s="48" t="n">
        <v>3</v>
      </c>
      <c r="D38" s="9">
        <f>IFERROR(IF(INDEX('[11]2. OPTIONAL highlighted stories'!$B$1:$B$60,MATCH($C38,'[11]2. OPTIONAL highlighted stories'!$A$1:$A$60,0))="","",INDEX('[11]2. OPTIONAL highlighted stories'!$B$1:$B$60,MATCH($C38,'[11]2. OPTIONAL highlighted stories'!$A$1:$A$60,0))),"")</f>
        <v/>
      </c>
      <c r="E38" s="9">
        <f>IFERROR(IF(INDEX('[11]2. OPTIONAL highlighted stories'!$C$1:$C$60,MATCH($C38,'[11]2. OPTIONAL highlighted stories'!$A$1:$A$60,0))="","",INDEX('[11]2. OPTIONAL highlighted stories'!$C$1:$C$60,MATCH($C38,'[11]2. OPTIONAL highlighted stories'!$A$1:$A$60,0))),"")</f>
        <v/>
      </c>
      <c r="F38" s="9">
        <f>IFERROR(IF(INDEX('[11]2. OPTIONAL highlighted stories'!$D$1:$D$60,MATCH($C38,'[11]2. OPTIONAL highlighted stories'!$A$1:$A$60,0))="","",INDEX('[11]2. OPTIONAL highlighted stories'!$D$1:$D$60,MATCH($C38,'[11]2. OPTIONAL highlighted stories'!$A$1:$A$60,0))),"")</f>
        <v/>
      </c>
      <c r="G38" s="9">
        <f>IFERROR(IF(INDEX('[11]2. OPTIONAL highlighted stories'!$E$1:$E$60,MATCH($C38,'[11]2. OPTIONAL highlighted stories'!$A$1:$A$60,0))="","",INDEX('[11]2. OPTIONAL highlighted stories'!$E$1:$E$60,MATCH($C38,'[11]2. OPTIONAL highlighted stories'!$A$1:$A$60,0))),"")</f>
        <v/>
      </c>
      <c r="H38" s="9">
        <f>IFERROR(IF(INDEX('[11]2. OPTIONAL highlighted stories'!$F$1:$F$60,MATCH($C38,'[11]2. OPTIONAL highlighted stories'!$A$1:$A$60,0))="","",INDEX('[11]2. OPTIONAL highlighted stories'!$F$1:$F$60,MATCH($C38,'[11]2. OPTIONAL highlighted stories'!$A$1:$A$60,0))),"")</f>
        <v/>
      </c>
      <c r="I38" s="7" t="inlineStr"/>
      <c r="J38" s="7" t="inlineStr"/>
      <c r="K38" s="7" t="inlineStr"/>
      <c r="L38" s="7" t="inlineStr"/>
      <c r="M38" s="7" t="inlineStr"/>
      <c r="N38" s="7" t="inlineStr"/>
    </row>
    <row r="39" ht="60" customHeight="1">
      <c r="B39" s="6" t="inlineStr">
        <is>
          <t>Enterprise Services Group (ESG)</t>
        </is>
      </c>
      <c r="C39" s="48" t="n">
        <v>1</v>
      </c>
      <c r="D39" s="9">
        <f>IFERROR(IF(INDEX('[12]2. OPTIONAL highlighted stories'!$B$1:$B$60,MATCH($C39,'[12]2. OPTIONAL highlighted stories'!$A$1:$A$60,0))="","",INDEX('[12]2. OPTIONAL highlighted stories'!$B$1:$B$60,MATCH($C39,'[12]2. OPTIONAL highlighted stories'!$A$1:$A$60,0))),"")</f>
        <v/>
      </c>
      <c r="E39" s="9">
        <f>IFERROR(IF(INDEX('[12]2. OPTIONAL highlighted stories'!$C$1:$C$60,MATCH($C39,'[12]2. OPTIONAL highlighted stories'!$A$1:$A$60,0))="","",INDEX('[12]2. OPTIONAL highlighted stories'!$C$1:$C$60,MATCH($C39,'[12]2. OPTIONAL highlighted stories'!$A$1:$A$60,0))),"")</f>
        <v/>
      </c>
      <c r="F39" s="9">
        <f>IFERROR(IF(INDEX('[12]2. OPTIONAL highlighted stories'!$D$1:$D$60,MATCH($C39,'[12]2. OPTIONAL highlighted stories'!$A$1:$A$60,0))="","",INDEX('[12]2. OPTIONAL highlighted stories'!$D$1:$D$60,MATCH($C39,'[12]2. OPTIONAL highlighted stories'!$A$1:$A$60,0))),"")</f>
        <v/>
      </c>
      <c r="G39" s="9">
        <f>IFERROR(IF(INDEX('[12]2. OPTIONAL highlighted stories'!$E$1:$E$60,MATCH($C39,'[12]2. OPTIONAL highlighted stories'!$A$1:$A$60,0))="","",INDEX('[12]2. OPTIONAL highlighted stories'!$E$1:$E$60,MATCH($C39,'[12]2. OPTIONAL highlighted stories'!$A$1:$A$60,0))),"")</f>
        <v/>
      </c>
      <c r="H39" s="9">
        <f>IFERROR(IF(INDEX('[12]2. OPTIONAL highlighted stories'!$F$1:$F$60,MATCH($C39,'[12]2. OPTIONAL highlighted stories'!$A$1:$A$60,0))="","",INDEX('[12]2. OPTIONAL highlighted stories'!$F$1:$F$60,MATCH($C39,'[12]2. OPTIONAL highlighted stories'!$A$1:$A$60,0))),"")</f>
        <v/>
      </c>
      <c r="I39" s="7" t="inlineStr"/>
      <c r="J39" s="7" t="inlineStr"/>
      <c r="K39" s="7" t="inlineStr"/>
      <c r="L39" s="7" t="inlineStr"/>
      <c r="M39" s="7" t="inlineStr"/>
      <c r="N39" s="7" t="inlineStr"/>
    </row>
    <row r="40" ht="60" customHeight="1">
      <c r="B40" s="6" t="inlineStr"/>
      <c r="C40" s="48" t="n">
        <v>2</v>
      </c>
      <c r="D40" s="9">
        <f>IFERROR(IF(INDEX('[12]2. OPTIONAL highlighted stories'!$B$1:$B$60,MATCH($C40,'[12]2. OPTIONAL highlighted stories'!$A$1:$A$60,0))="","",INDEX('[12]2. OPTIONAL highlighted stories'!$B$1:$B$60,MATCH($C40,'[12]2. OPTIONAL highlighted stories'!$A$1:$A$60,0))),"")</f>
        <v/>
      </c>
      <c r="E40" s="9">
        <f>IFERROR(IF(INDEX('[12]2. OPTIONAL highlighted stories'!$C$1:$C$60,MATCH($C40,'[12]2. OPTIONAL highlighted stories'!$A$1:$A$60,0))="","",INDEX('[12]2. OPTIONAL highlighted stories'!$C$1:$C$60,MATCH($C40,'[12]2. OPTIONAL highlighted stories'!$A$1:$A$60,0))),"")</f>
        <v/>
      </c>
      <c r="F40" s="9">
        <f>IFERROR(IF(INDEX('[12]2. OPTIONAL highlighted stories'!$D$1:$D$60,MATCH($C40,'[12]2. OPTIONAL highlighted stories'!$A$1:$A$60,0))="","",INDEX('[12]2. OPTIONAL highlighted stories'!$D$1:$D$60,MATCH($C40,'[12]2. OPTIONAL highlighted stories'!$A$1:$A$60,0))),"")</f>
        <v/>
      </c>
      <c r="G40" s="9">
        <f>IFERROR(IF(INDEX('[12]2. OPTIONAL highlighted stories'!$E$1:$E$60,MATCH($C40,'[12]2. OPTIONAL highlighted stories'!$A$1:$A$60,0))="","",INDEX('[12]2. OPTIONAL highlighted stories'!$E$1:$E$60,MATCH($C40,'[12]2. OPTIONAL highlighted stories'!$A$1:$A$60,0))),"")</f>
        <v/>
      </c>
      <c r="H40" s="9">
        <f>IFERROR(IF(INDEX('[12]2. OPTIONAL highlighted stories'!$F$1:$F$60,MATCH($C40,'[12]2. OPTIONAL highlighted stories'!$A$1:$A$60,0))="","",INDEX('[12]2. OPTIONAL highlighted stories'!$F$1:$F$60,MATCH($C40,'[12]2. OPTIONAL highlighted stories'!$A$1:$A$60,0))),"")</f>
        <v/>
      </c>
      <c r="I40" s="7" t="inlineStr"/>
      <c r="J40" s="7" t="inlineStr"/>
      <c r="K40" s="7" t="inlineStr"/>
      <c r="L40" s="7" t="inlineStr"/>
      <c r="M40" s="7" t="inlineStr"/>
      <c r="N40" s="7" t="inlineStr"/>
    </row>
    <row r="41" ht="60" customHeight="1">
      <c r="B41" s="6" t="inlineStr"/>
      <c r="C41" s="48" t="n">
        <v>3</v>
      </c>
      <c r="D41" s="9">
        <f>IFERROR(IF(INDEX('[12]2. OPTIONAL highlighted stories'!$B$1:$B$60,MATCH($C41,'[12]2. OPTIONAL highlighted stories'!$A$1:$A$60,0))="","",INDEX('[12]2. OPTIONAL highlighted stories'!$B$1:$B$60,MATCH($C41,'[12]2. OPTIONAL highlighted stories'!$A$1:$A$60,0))),"")</f>
        <v/>
      </c>
      <c r="E41" s="9">
        <f>IFERROR(IF(INDEX('[12]2. OPTIONAL highlighted stories'!$C$1:$C$60,MATCH($C41,'[12]2. OPTIONAL highlighted stories'!$A$1:$A$60,0))="","",INDEX('[12]2. OPTIONAL highlighted stories'!$C$1:$C$60,MATCH($C41,'[12]2. OPTIONAL highlighted stories'!$A$1:$A$60,0))),"")</f>
        <v/>
      </c>
      <c r="F41" s="9">
        <f>IFERROR(IF(INDEX('[12]2. OPTIONAL highlighted stories'!$D$1:$D$60,MATCH($C41,'[12]2. OPTIONAL highlighted stories'!$A$1:$A$60,0))="","",INDEX('[12]2. OPTIONAL highlighted stories'!$D$1:$D$60,MATCH($C41,'[12]2. OPTIONAL highlighted stories'!$A$1:$A$60,0))),"")</f>
        <v/>
      </c>
      <c r="G41" s="9">
        <f>IFERROR(IF(INDEX('[12]2. OPTIONAL highlighted stories'!$E$1:$E$60,MATCH($C41,'[12]2. OPTIONAL highlighted stories'!$A$1:$A$60,0))="","",INDEX('[12]2. OPTIONAL highlighted stories'!$E$1:$E$60,MATCH($C41,'[12]2. OPTIONAL highlighted stories'!$A$1:$A$60,0))),"")</f>
        <v/>
      </c>
      <c r="H41" s="9">
        <f>IFERROR(IF(INDEX('[12]2. OPTIONAL highlighted stories'!$F$1:$F$60,MATCH($C41,'[12]2. OPTIONAL highlighted stories'!$A$1:$A$60,0))="","",INDEX('[12]2. OPTIONAL highlighted stories'!$F$1:$F$60,MATCH($C41,'[12]2. OPTIONAL highlighted stories'!$A$1:$A$60,0))),"")</f>
        <v/>
      </c>
      <c r="I41" s="7" t="inlineStr"/>
      <c r="J41" s="7" t="inlineStr"/>
      <c r="K41" s="7" t="inlineStr"/>
      <c r="L41" s="7" t="inlineStr"/>
      <c r="M41" s="7" t="inlineStr"/>
      <c r="N41" s="7" t="inlineStr"/>
    </row>
    <row r="42" ht="60" customHeight="1">
      <c r="B42" s="6" t="inlineStr">
        <is>
          <t>Chief Information Officer Group (CIOG)</t>
        </is>
      </c>
      <c r="C42" s="48" t="n">
        <v>1</v>
      </c>
      <c r="D42" s="9">
        <f>IFERROR(IF(INDEX('[13]2. OPTIONAL highlighted stories'!$B$1:$B$60,MATCH($C42,'[13]2. OPTIONAL highlighted stories'!$A$1:$A$60,0))="","",INDEX('[13]2. OPTIONAL highlighted stories'!$B$1:$B$60,MATCH($C42,'[13]2. OPTIONAL highlighted stories'!$A$1:$A$60,0))),"")</f>
        <v/>
      </c>
      <c r="E42" s="9">
        <f>IFERROR(IF(INDEX('[13]2. OPTIONAL highlighted stories'!$C$1:$C$60,MATCH($C42,'[13]2. OPTIONAL highlighted stories'!$A$1:$A$60,0))="","",INDEX('[13]2. OPTIONAL highlighted stories'!$C$1:$C$60,MATCH($C42,'[13]2. OPTIONAL highlighted stories'!$A$1:$A$60,0))),"")</f>
        <v/>
      </c>
      <c r="F42" s="9">
        <f>IFERROR(IF(INDEX('[13]2. OPTIONAL highlighted stories'!$D$1:$D$60,MATCH($C42,'[13]2. OPTIONAL highlighted stories'!$A$1:$A$60,0))="","",INDEX('[13]2. OPTIONAL highlighted stories'!$D$1:$D$60,MATCH($C42,'[13]2. OPTIONAL highlighted stories'!$A$1:$A$60,0))),"")</f>
        <v/>
      </c>
      <c r="G42" s="9">
        <f>IFERROR(IF(INDEX('[13]2. OPTIONAL highlighted stories'!$E$1:$E$60,MATCH($C42,'[13]2. OPTIONAL highlighted stories'!$A$1:$A$60,0))="","",INDEX('[13]2. OPTIONAL highlighted stories'!$E$1:$E$60,MATCH($C42,'[13]2. OPTIONAL highlighted stories'!$A$1:$A$60,0))),"")</f>
        <v/>
      </c>
      <c r="H42" s="9">
        <f>IFERROR(IF(INDEX('[13]2. OPTIONAL highlighted stories'!$F$1:$F$60,MATCH($C42,'[13]2. OPTIONAL highlighted stories'!$A$1:$A$60,0))="","",INDEX('[13]2. OPTIONAL highlighted stories'!$F$1:$F$60,MATCH($C42,'[13]2. OPTIONAL highlighted stories'!$A$1:$A$60,0))),"")</f>
        <v/>
      </c>
      <c r="I42" s="7" t="inlineStr"/>
      <c r="J42" s="7" t="inlineStr"/>
      <c r="K42" s="7" t="inlineStr"/>
      <c r="L42" s="7" t="inlineStr"/>
      <c r="M42" s="7" t="inlineStr"/>
      <c r="N42" s="7" t="inlineStr"/>
    </row>
    <row r="43" ht="60" customHeight="1">
      <c r="B43" s="6" t="inlineStr"/>
      <c r="C43" s="48" t="n">
        <v>2</v>
      </c>
      <c r="D43" s="9">
        <f>IFERROR(IF(INDEX('[13]2. OPTIONAL highlighted stories'!$B$1:$B$60,MATCH($C43,'[13]2. OPTIONAL highlighted stories'!$A$1:$A$60,0))="","",INDEX('[13]2. OPTIONAL highlighted stories'!$B$1:$B$60,MATCH($C43,'[13]2. OPTIONAL highlighted stories'!$A$1:$A$60,0))),"")</f>
        <v/>
      </c>
      <c r="E43" s="9">
        <f>IFERROR(IF(INDEX('[13]2. OPTIONAL highlighted stories'!$C$1:$C$60,MATCH($C43,'[13]2. OPTIONAL highlighted stories'!$A$1:$A$60,0))="","",INDEX('[13]2. OPTIONAL highlighted stories'!$C$1:$C$60,MATCH($C43,'[13]2. OPTIONAL highlighted stories'!$A$1:$A$60,0))),"")</f>
        <v/>
      </c>
      <c r="F43" s="9">
        <f>IFERROR(IF(INDEX('[13]2. OPTIONAL highlighted stories'!$D$1:$D$60,MATCH($C43,'[13]2. OPTIONAL highlighted stories'!$A$1:$A$60,0))="","",INDEX('[13]2. OPTIONAL highlighted stories'!$D$1:$D$60,MATCH($C43,'[13]2. OPTIONAL highlighted stories'!$A$1:$A$60,0))),"")</f>
        <v/>
      </c>
      <c r="G43" s="9">
        <f>IFERROR(IF(INDEX('[13]2. OPTIONAL highlighted stories'!$E$1:$E$60,MATCH($C43,'[13]2. OPTIONAL highlighted stories'!$A$1:$A$60,0))="","",INDEX('[13]2. OPTIONAL highlighted stories'!$E$1:$E$60,MATCH($C43,'[13]2. OPTIONAL highlighted stories'!$A$1:$A$60,0))),"")</f>
        <v/>
      </c>
      <c r="H43" s="9">
        <f>IFERROR(IF(INDEX('[13]2. OPTIONAL highlighted stories'!$F$1:$F$60,MATCH($C43,'[13]2. OPTIONAL highlighted stories'!$A$1:$A$60,0))="","",INDEX('[13]2. OPTIONAL highlighted stories'!$F$1:$F$60,MATCH($C43,'[13]2. OPTIONAL highlighted stories'!$A$1:$A$60,0))),"")</f>
        <v/>
      </c>
      <c r="I43" s="7" t="inlineStr"/>
      <c r="J43" s="7" t="inlineStr"/>
      <c r="K43" s="7" t="inlineStr"/>
      <c r="L43" s="7" t="inlineStr"/>
      <c r="M43" s="7" t="inlineStr"/>
      <c r="N43" s="7" t="inlineStr"/>
    </row>
    <row r="44" ht="60" customHeight="1">
      <c r="B44" s="6" t="inlineStr"/>
      <c r="C44" s="48" t="n">
        <v>3</v>
      </c>
      <c r="D44" s="9">
        <f>IFERROR(IF(INDEX('[13]2. OPTIONAL highlighted stories'!$B$1:$B$60,MATCH($C44,'[13]2. OPTIONAL highlighted stories'!$A$1:$A$60,0))="","",INDEX('[13]2. OPTIONAL highlighted stories'!$B$1:$B$60,MATCH($C44,'[13]2. OPTIONAL highlighted stories'!$A$1:$A$60,0))),"")</f>
        <v/>
      </c>
      <c r="E44" s="9">
        <f>IFERROR(IF(INDEX('[13]2. OPTIONAL highlighted stories'!$C$1:$C$60,MATCH($C44,'[13]2. OPTIONAL highlighted stories'!$A$1:$A$60,0))="","",INDEX('[13]2. OPTIONAL highlighted stories'!$C$1:$C$60,MATCH($C44,'[13]2. OPTIONAL highlighted stories'!$A$1:$A$60,0))),"")</f>
        <v/>
      </c>
      <c r="F44" s="9">
        <f>IFERROR(IF(INDEX('[13]2. OPTIONAL highlighted stories'!$D$1:$D$60,MATCH($C44,'[13]2. OPTIONAL highlighted stories'!$A$1:$A$60,0))="","",INDEX('[13]2. OPTIONAL highlighted stories'!$D$1:$D$60,MATCH($C44,'[13]2. OPTIONAL highlighted stories'!$A$1:$A$60,0))),"")</f>
        <v/>
      </c>
      <c r="G44" s="9">
        <f>IFERROR(IF(INDEX('[13]2. OPTIONAL highlighted stories'!$E$1:$E$60,MATCH($C44,'[13]2. OPTIONAL highlighted stories'!$A$1:$A$60,0))="","",INDEX('[13]2. OPTIONAL highlighted stories'!$E$1:$E$60,MATCH($C44,'[13]2. OPTIONAL highlighted stories'!$A$1:$A$60,0))),"")</f>
        <v/>
      </c>
      <c r="H44" s="9">
        <f>IFERROR(IF(INDEX('[13]2. OPTIONAL highlighted stories'!$F$1:$F$60,MATCH($C44,'[13]2. OPTIONAL highlighted stories'!$A$1:$A$60,0))="","",INDEX('[13]2. OPTIONAL highlighted stories'!$F$1:$F$60,MATCH($C44,'[13]2. OPTIONAL highlighted stories'!$A$1:$A$60,0))),"")</f>
        <v/>
      </c>
      <c r="I44" s="7" t="inlineStr"/>
      <c r="J44" s="7" t="inlineStr"/>
      <c r="K44" s="7" t="inlineStr"/>
      <c r="L44" s="7" t="inlineStr"/>
      <c r="M44" s="7" t="inlineStr"/>
      <c r="N44" s="7" t="inlineStr"/>
    </row>
    <row r="45" ht="60" customHeight="1">
      <c r="B45" s="6" t="inlineStr">
        <is>
          <t>Melbourne Research and Enterprise (MRE)</t>
        </is>
      </c>
      <c r="C45" s="48" t="n">
        <v>1</v>
      </c>
      <c r="D45" s="9">
        <f>IFERROR(IF(INDEX('[14]2. OPTIONAL highlighted stories'!$B$1:$B$60,MATCH($C45,'[14]2. OPTIONAL highlighted stories'!$A$1:$A$60,0))="","",INDEX('[14]2. OPTIONAL highlighted stories'!$B$1:$B$60,MATCH($C45,'[14]2. OPTIONAL highlighted stories'!$A$1:$A$60,0))),"")</f>
        <v/>
      </c>
      <c r="E45" s="9">
        <f>IFERROR(IF(INDEX('[14]2. OPTIONAL highlighted stories'!$C$1:$C$60,MATCH($C45,'[14]2. OPTIONAL highlighted stories'!$A$1:$A$60,0))="","",INDEX('[14]2. OPTIONAL highlighted stories'!$C$1:$C$60,MATCH($C45,'[14]2. OPTIONAL highlighted stories'!$A$1:$A$60,0))),"")</f>
        <v/>
      </c>
      <c r="F45" s="9">
        <f>IFERROR(IF(INDEX('[14]2. OPTIONAL highlighted stories'!$D$1:$D$60,MATCH($C45,'[14]2. OPTIONAL highlighted stories'!$A$1:$A$60,0))="","",INDEX('[14]2. OPTIONAL highlighted stories'!$D$1:$D$60,MATCH($C45,'[14]2. OPTIONAL highlighted stories'!$A$1:$A$60,0))),"")</f>
        <v/>
      </c>
      <c r="G45" s="9">
        <f>IFERROR(IF(INDEX('[14]2. OPTIONAL highlighted stories'!$E$1:$E$60,MATCH($C45,'[14]2. OPTIONAL highlighted stories'!$A$1:$A$60,0))="","",INDEX('[14]2. OPTIONAL highlighted stories'!$E$1:$E$60,MATCH($C45,'[14]2. OPTIONAL highlighted stories'!$A$1:$A$60,0))),"")</f>
        <v/>
      </c>
      <c r="H45" s="9">
        <f>IFERROR(IF(INDEX('[14]2. OPTIONAL highlighted stories'!$F$1:$F$60,MATCH($C45,'[14]2. OPTIONAL highlighted stories'!$A$1:$A$60,0))="","",INDEX('[14]2. OPTIONAL highlighted stories'!$F$1:$F$60,MATCH($C45,'[14]2. OPTIONAL highlighted stories'!$A$1:$A$60,0))),"")</f>
        <v/>
      </c>
      <c r="I45" s="7" t="inlineStr"/>
      <c r="J45" s="7" t="inlineStr"/>
      <c r="K45" s="7" t="inlineStr"/>
      <c r="L45" s="7" t="inlineStr"/>
      <c r="M45" s="7" t="inlineStr"/>
      <c r="N45" s="7" t="inlineStr"/>
    </row>
    <row r="46" ht="60" customHeight="1">
      <c r="B46" s="6" t="inlineStr"/>
      <c r="C46" s="48" t="n">
        <v>2</v>
      </c>
      <c r="D46" s="9">
        <f>IFERROR(IF(INDEX('[14]2. OPTIONAL highlighted stories'!$B$1:$B$60,MATCH($C46,'[14]2. OPTIONAL highlighted stories'!$A$1:$A$60,0))="","",INDEX('[14]2. OPTIONAL highlighted stories'!$B$1:$B$60,MATCH($C46,'[14]2. OPTIONAL highlighted stories'!$A$1:$A$60,0))),"")</f>
        <v/>
      </c>
      <c r="E46" s="9">
        <f>IFERROR(IF(INDEX('[14]2. OPTIONAL highlighted stories'!$C$1:$C$60,MATCH($C46,'[14]2. OPTIONAL highlighted stories'!$A$1:$A$60,0))="","",INDEX('[14]2. OPTIONAL highlighted stories'!$C$1:$C$60,MATCH($C46,'[14]2. OPTIONAL highlighted stories'!$A$1:$A$60,0))),"")</f>
        <v/>
      </c>
      <c r="F46" s="9">
        <f>IFERROR(IF(INDEX('[14]2. OPTIONAL highlighted stories'!$D$1:$D$60,MATCH($C46,'[14]2. OPTIONAL highlighted stories'!$A$1:$A$60,0))="","",INDEX('[14]2. OPTIONAL highlighted stories'!$D$1:$D$60,MATCH($C46,'[14]2. OPTIONAL highlighted stories'!$A$1:$A$60,0))),"")</f>
        <v/>
      </c>
      <c r="G46" s="9">
        <f>IFERROR(IF(INDEX('[14]2. OPTIONAL highlighted stories'!$E$1:$E$60,MATCH($C46,'[14]2. OPTIONAL highlighted stories'!$A$1:$A$60,0))="","",INDEX('[14]2. OPTIONAL highlighted stories'!$E$1:$E$60,MATCH($C46,'[14]2. OPTIONAL highlighted stories'!$A$1:$A$60,0))),"")</f>
        <v/>
      </c>
      <c r="H46" s="9">
        <f>IFERROR(IF(INDEX('[14]2. OPTIONAL highlighted stories'!$F$1:$F$60,MATCH($C46,'[14]2. OPTIONAL highlighted stories'!$A$1:$A$60,0))="","",INDEX('[14]2. OPTIONAL highlighted stories'!$F$1:$F$60,MATCH($C46,'[14]2. OPTIONAL highlighted stories'!$A$1:$A$60,0))),"")</f>
        <v/>
      </c>
      <c r="I46" s="7" t="inlineStr"/>
      <c r="J46" s="7" t="inlineStr"/>
      <c r="K46" s="7" t="inlineStr"/>
      <c r="L46" s="7" t="inlineStr"/>
      <c r="M46" s="7" t="inlineStr"/>
      <c r="N46" s="7" t="inlineStr"/>
    </row>
    <row r="47" ht="60" customHeight="1">
      <c r="B47" s="6" t="inlineStr"/>
      <c r="C47" s="48" t="n">
        <v>3</v>
      </c>
      <c r="D47" s="9">
        <f>IFERROR(IF(INDEX('[14]2. OPTIONAL highlighted stories'!$B$1:$B$60,MATCH($C47,'[14]2. OPTIONAL highlighted stories'!$A$1:$A$60,0))="","",INDEX('[14]2. OPTIONAL highlighted stories'!$B$1:$B$60,MATCH($C47,'[14]2. OPTIONAL highlighted stories'!$A$1:$A$60,0))),"")</f>
        <v/>
      </c>
      <c r="E47" s="9">
        <f>IFERROR(IF(INDEX('[14]2. OPTIONAL highlighted stories'!$C$1:$C$60,MATCH($C47,'[14]2. OPTIONAL highlighted stories'!$A$1:$A$60,0))="","",INDEX('[14]2. OPTIONAL highlighted stories'!$C$1:$C$60,MATCH($C47,'[14]2. OPTIONAL highlighted stories'!$A$1:$A$60,0))),"")</f>
        <v/>
      </c>
      <c r="F47" s="9">
        <f>IFERROR(IF(INDEX('[14]2. OPTIONAL highlighted stories'!$D$1:$D$60,MATCH($C47,'[14]2. OPTIONAL highlighted stories'!$A$1:$A$60,0))="","",INDEX('[14]2. OPTIONAL highlighted stories'!$D$1:$D$60,MATCH($C47,'[14]2. OPTIONAL highlighted stories'!$A$1:$A$60,0))),"")</f>
        <v/>
      </c>
      <c r="G47" s="9">
        <f>IFERROR(IF(INDEX('[14]2. OPTIONAL highlighted stories'!$E$1:$E$60,MATCH($C47,'[14]2. OPTIONAL highlighted stories'!$A$1:$A$60,0))="","",INDEX('[14]2. OPTIONAL highlighted stories'!$E$1:$E$60,MATCH($C47,'[14]2. OPTIONAL highlighted stories'!$A$1:$A$60,0))),"")</f>
        <v/>
      </c>
      <c r="H47" s="9">
        <f>IFERROR(IF(INDEX('[14]2. OPTIONAL highlighted stories'!$F$1:$F$60,MATCH($C47,'[14]2. OPTIONAL highlighted stories'!$A$1:$A$60,0))="","",INDEX('[14]2. OPTIONAL highlighted stories'!$F$1:$F$60,MATCH($C47,'[14]2. OPTIONAL highlighted stories'!$A$1:$A$60,0))),"")</f>
        <v/>
      </c>
      <c r="I47" s="7" t="inlineStr"/>
      <c r="J47" s="7" t="inlineStr"/>
      <c r="K47" s="7" t="inlineStr"/>
      <c r="L47" s="7" t="inlineStr"/>
      <c r="M47" s="7" t="inlineStr"/>
      <c r="N47" s="7" t="inlineStr"/>
    </row>
    <row r="48" ht="60" customHeight="1">
      <c r="B48" s="6" t="inlineStr">
        <is>
          <t>Advancement, Communication and Marketing (AC&amp;M)</t>
        </is>
      </c>
      <c r="C48" s="48" t="n">
        <v>1</v>
      </c>
      <c r="D48" s="9">
        <f>IFERROR(IF(INDEX('[15]2. OPTIONAL highlighted stories'!$B$1:$B$60,MATCH($C48,'[15]2. OPTIONAL highlighted stories'!$A$1:$A$60,0))="","",INDEX('[15]2. OPTIONAL highlighted stories'!$B$1:$B$60,MATCH($C48,'[15]2. OPTIONAL highlighted stories'!$A$1:$A$60,0))),"")</f>
        <v/>
      </c>
      <c r="E48" s="9">
        <f>IFERROR(IF(INDEX('[15]2. OPTIONAL highlighted stories'!$C$1:$C$60,MATCH($C48,'[15]2. OPTIONAL highlighted stories'!$A$1:$A$60,0))="","",INDEX('[15]2. OPTIONAL highlighted stories'!$C$1:$C$60,MATCH($C48,'[15]2. OPTIONAL highlighted stories'!$A$1:$A$60,0))),"")</f>
        <v/>
      </c>
      <c r="F48" s="9">
        <f>IFERROR(IF(INDEX('[15]2. OPTIONAL highlighted stories'!$D$1:$D$60,MATCH($C48,'[15]2. OPTIONAL highlighted stories'!$A$1:$A$60,0))="","",INDEX('[15]2. OPTIONAL highlighted stories'!$D$1:$D$60,MATCH($C48,'[15]2. OPTIONAL highlighted stories'!$A$1:$A$60,0))),"")</f>
        <v/>
      </c>
      <c r="G48" s="9">
        <f>IFERROR(IF(INDEX('[15]2. OPTIONAL highlighted stories'!$E$1:$E$60,MATCH($C48,'[15]2. OPTIONAL highlighted stories'!$A$1:$A$60,0))="","",INDEX('[15]2. OPTIONAL highlighted stories'!$E$1:$E$60,MATCH($C48,'[15]2. OPTIONAL highlighted stories'!$A$1:$A$60,0))),"")</f>
        <v/>
      </c>
      <c r="H48" s="9">
        <f>IFERROR(IF(INDEX('[15]2. OPTIONAL highlighted stories'!$F$1:$F$60,MATCH($C48,'[15]2. OPTIONAL highlighted stories'!$A$1:$A$60,0))="","",INDEX('[15]2. OPTIONAL highlighted stories'!$F$1:$F$60,MATCH($C48,'[15]2. OPTIONAL highlighted stories'!$A$1:$A$60,0))),"")</f>
        <v/>
      </c>
      <c r="I48" s="7" t="inlineStr"/>
      <c r="J48" s="7" t="inlineStr"/>
      <c r="K48" s="7" t="inlineStr"/>
      <c r="L48" s="7" t="inlineStr"/>
      <c r="M48" s="7" t="inlineStr"/>
      <c r="N48" s="7" t="inlineStr"/>
    </row>
    <row r="49" ht="60" customHeight="1">
      <c r="B49" s="6" t="inlineStr"/>
      <c r="C49" s="48" t="n">
        <v>2</v>
      </c>
      <c r="D49" s="9">
        <f>IFERROR(IF(INDEX('[15]2. OPTIONAL highlighted stories'!$B$1:$B$60,MATCH($C49,'[15]2. OPTIONAL highlighted stories'!$A$1:$A$60,0))="","",INDEX('[15]2. OPTIONAL highlighted stories'!$B$1:$B$60,MATCH($C49,'[15]2. OPTIONAL highlighted stories'!$A$1:$A$60,0))),"")</f>
        <v/>
      </c>
      <c r="E49" s="9">
        <f>IFERROR(IF(INDEX('[15]2. OPTIONAL highlighted stories'!$C$1:$C$60,MATCH($C49,'[15]2. OPTIONAL highlighted stories'!$A$1:$A$60,0))="","",INDEX('[15]2. OPTIONAL highlighted stories'!$C$1:$C$60,MATCH($C49,'[15]2. OPTIONAL highlighted stories'!$A$1:$A$60,0))),"")</f>
        <v/>
      </c>
      <c r="F49" s="9">
        <f>IFERROR(IF(INDEX('[15]2. OPTIONAL highlighted stories'!$D$1:$D$60,MATCH($C49,'[15]2. OPTIONAL highlighted stories'!$A$1:$A$60,0))="","",INDEX('[15]2. OPTIONAL highlighted stories'!$D$1:$D$60,MATCH($C49,'[15]2. OPTIONAL highlighted stories'!$A$1:$A$60,0))),"")</f>
        <v/>
      </c>
      <c r="G49" s="9">
        <f>IFERROR(IF(INDEX('[15]2. OPTIONAL highlighted stories'!$E$1:$E$60,MATCH($C49,'[15]2. OPTIONAL highlighted stories'!$A$1:$A$60,0))="","",INDEX('[15]2. OPTIONAL highlighted stories'!$E$1:$E$60,MATCH($C49,'[15]2. OPTIONAL highlighted stories'!$A$1:$A$60,0))),"")</f>
        <v/>
      </c>
      <c r="H49" s="9">
        <f>IFERROR(IF(INDEX('[15]2. OPTIONAL highlighted stories'!$F$1:$F$60,MATCH($C49,'[15]2. OPTIONAL highlighted stories'!$A$1:$A$60,0))="","",INDEX('[15]2. OPTIONAL highlighted stories'!$F$1:$F$60,MATCH($C49,'[15]2. OPTIONAL highlighted stories'!$A$1:$A$60,0))),"")</f>
        <v/>
      </c>
      <c r="I49" s="7" t="inlineStr"/>
      <c r="J49" s="7" t="inlineStr"/>
      <c r="K49" s="7" t="inlineStr"/>
      <c r="L49" s="7" t="inlineStr"/>
      <c r="M49" s="7" t="inlineStr"/>
      <c r="N49" s="7" t="inlineStr"/>
    </row>
    <row r="50" ht="60" customHeight="1">
      <c r="B50" s="6" t="inlineStr"/>
      <c r="C50" s="48" t="n">
        <v>3</v>
      </c>
      <c r="D50" s="9">
        <f>IFERROR(IF(INDEX('[15]2. OPTIONAL highlighted stories'!$B$1:$B$60,MATCH($C50,'[15]2. OPTIONAL highlighted stories'!$A$1:$A$60,0))="","",INDEX('[15]2. OPTIONAL highlighted stories'!$B$1:$B$60,MATCH($C50,'[15]2. OPTIONAL highlighted stories'!$A$1:$A$60,0))),"")</f>
        <v/>
      </c>
      <c r="E50" s="9">
        <f>IFERROR(IF(INDEX('[15]2. OPTIONAL highlighted stories'!$C$1:$C$60,MATCH($C50,'[15]2. OPTIONAL highlighted stories'!$A$1:$A$60,0))="","",INDEX('[15]2. OPTIONAL highlighted stories'!$C$1:$C$60,MATCH($C50,'[15]2. OPTIONAL highlighted stories'!$A$1:$A$60,0))),"")</f>
        <v/>
      </c>
      <c r="F50" s="9">
        <f>IFERROR(IF(INDEX('[15]2. OPTIONAL highlighted stories'!$D$1:$D$60,MATCH($C50,'[15]2. OPTIONAL highlighted stories'!$A$1:$A$60,0))="","",INDEX('[15]2. OPTIONAL highlighted stories'!$D$1:$D$60,MATCH($C50,'[15]2. OPTIONAL highlighted stories'!$A$1:$A$60,0))),"")</f>
        <v/>
      </c>
      <c r="G50" s="9">
        <f>IFERROR(IF(INDEX('[15]2. OPTIONAL highlighted stories'!$E$1:$E$60,MATCH($C50,'[15]2. OPTIONAL highlighted stories'!$A$1:$A$60,0))="","",INDEX('[15]2. OPTIONAL highlighted stories'!$E$1:$E$60,MATCH($C50,'[15]2. OPTIONAL highlighted stories'!$A$1:$A$60,0))),"")</f>
        <v/>
      </c>
      <c r="H50" s="9">
        <f>IFERROR(IF(INDEX('[15]2. OPTIONAL highlighted stories'!$F$1:$F$60,MATCH($C50,'[15]2. OPTIONAL highlighted stories'!$A$1:$A$60,0))="","",INDEX('[15]2. OPTIONAL highlighted stories'!$F$1:$F$60,MATCH($C50,'[15]2. OPTIONAL highlighted stories'!$A$1:$A$60,0))),"")</f>
        <v/>
      </c>
      <c r="I50" s="7" t="inlineStr"/>
      <c r="J50" s="7" t="inlineStr"/>
      <c r="K50" s="7" t="inlineStr"/>
      <c r="L50" s="7" t="inlineStr"/>
      <c r="M50" s="7" t="inlineStr"/>
      <c r="N50" s="7" t="inlineStr"/>
    </row>
    <row r="51" ht="60" customHeight="1">
      <c r="B51" s="6" t="inlineStr">
        <is>
          <t>Global, Culture and Engagement (GCE)</t>
        </is>
      </c>
      <c r="C51" s="48" t="n">
        <v>1</v>
      </c>
      <c r="D51" s="9">
        <f>IFERROR(IF(INDEX('[16]2. OPTIONAL highlighted stories'!$B$1:$B$60,MATCH($C51,'[16]2. OPTIONAL highlighted stories'!$A$1:$A$60,0))="","",INDEX('[16]2. OPTIONAL highlighted stories'!$B$1:$B$60,MATCH($C51,'[16]2. OPTIONAL highlighted stories'!$A$1:$A$60,0))),"")</f>
        <v/>
      </c>
      <c r="E51" s="9">
        <f>IFERROR(IF(INDEX('[16]2. OPTIONAL highlighted stories'!$C$1:$C$60,MATCH($C51,'[16]2. OPTIONAL highlighted stories'!$A$1:$A$60,0))="","",INDEX('[16]2. OPTIONAL highlighted stories'!$C$1:$C$60,MATCH($C51,'[16]2. OPTIONAL highlighted stories'!$A$1:$A$60,0))),"")</f>
        <v/>
      </c>
      <c r="F51" s="9">
        <f>IFERROR(IF(INDEX('[16]2. OPTIONAL highlighted stories'!$D$1:$D$60,MATCH($C51,'[16]2. OPTIONAL highlighted stories'!$A$1:$A$60,0))="","",INDEX('[16]2. OPTIONAL highlighted stories'!$D$1:$D$60,MATCH($C51,'[16]2. OPTIONAL highlighted stories'!$A$1:$A$60,0))),"")</f>
        <v/>
      </c>
      <c r="G51" s="9">
        <f>IFERROR(IF(INDEX('[16]2. OPTIONAL highlighted stories'!$E$1:$E$60,MATCH($C51,'[16]2. OPTIONAL highlighted stories'!$A$1:$A$60,0))="","",INDEX('[16]2. OPTIONAL highlighted stories'!$E$1:$E$60,MATCH($C51,'[16]2. OPTIONAL highlighted stories'!$A$1:$A$60,0))),"")</f>
        <v/>
      </c>
      <c r="H51" s="9">
        <f>IFERROR(IF(INDEX('[16]2. OPTIONAL highlighted stories'!$F$1:$F$60,MATCH($C51,'[16]2. OPTIONAL highlighted stories'!$A$1:$A$60,0))="","",INDEX('[16]2. OPTIONAL highlighted stories'!$F$1:$F$60,MATCH($C51,'[16]2. OPTIONAL highlighted stories'!$A$1:$A$60,0))),"")</f>
        <v/>
      </c>
      <c r="I51" s="7" t="inlineStr"/>
      <c r="J51" s="7" t="inlineStr"/>
      <c r="K51" s="7" t="inlineStr"/>
      <c r="L51" s="7" t="inlineStr"/>
      <c r="M51" s="7" t="inlineStr"/>
      <c r="N51" s="7" t="inlineStr"/>
    </row>
    <row r="52" ht="60" customHeight="1">
      <c r="B52" s="6" t="inlineStr"/>
      <c r="C52" s="48" t="n">
        <v>2</v>
      </c>
      <c r="D52" s="9">
        <f>IFERROR(IF(INDEX('[16]2. OPTIONAL highlighted stories'!$B$1:$B$60,MATCH($C52,'[16]2. OPTIONAL highlighted stories'!$A$1:$A$60,0))="","",INDEX('[16]2. OPTIONAL highlighted stories'!$B$1:$B$60,MATCH($C52,'[16]2. OPTIONAL highlighted stories'!$A$1:$A$60,0))),"")</f>
        <v/>
      </c>
      <c r="E52" s="9">
        <f>IFERROR(IF(INDEX('[16]2. OPTIONAL highlighted stories'!$C$1:$C$60,MATCH($C52,'[16]2. OPTIONAL highlighted stories'!$A$1:$A$60,0))="","",INDEX('[16]2. OPTIONAL highlighted stories'!$C$1:$C$60,MATCH($C52,'[16]2. OPTIONAL highlighted stories'!$A$1:$A$60,0))),"")</f>
        <v/>
      </c>
      <c r="F52" s="9">
        <f>IFERROR(IF(INDEX('[16]2. OPTIONAL highlighted stories'!$D$1:$D$60,MATCH($C52,'[16]2. OPTIONAL highlighted stories'!$A$1:$A$60,0))="","",INDEX('[16]2. OPTIONAL highlighted stories'!$D$1:$D$60,MATCH($C52,'[16]2. OPTIONAL highlighted stories'!$A$1:$A$60,0))),"")</f>
        <v/>
      </c>
      <c r="G52" s="9">
        <f>IFERROR(IF(INDEX('[16]2. OPTIONAL highlighted stories'!$E$1:$E$60,MATCH($C52,'[16]2. OPTIONAL highlighted stories'!$A$1:$A$60,0))="","",INDEX('[16]2. OPTIONAL highlighted stories'!$E$1:$E$60,MATCH($C52,'[16]2. OPTIONAL highlighted stories'!$A$1:$A$60,0))),"")</f>
        <v/>
      </c>
      <c r="H52" s="9">
        <f>IFERROR(IF(INDEX('[16]2. OPTIONAL highlighted stories'!$F$1:$F$60,MATCH($C52,'[16]2. OPTIONAL highlighted stories'!$A$1:$A$60,0))="","",INDEX('[16]2. OPTIONAL highlighted stories'!$F$1:$F$60,MATCH($C52,'[16]2. OPTIONAL highlighted stories'!$A$1:$A$60,0))),"")</f>
        <v/>
      </c>
      <c r="I52" s="7" t="inlineStr"/>
      <c r="J52" s="7" t="inlineStr"/>
      <c r="K52" s="7" t="inlineStr"/>
      <c r="L52" s="7" t="inlineStr"/>
      <c r="M52" s="7" t="inlineStr"/>
      <c r="N52" s="7" t="inlineStr"/>
    </row>
    <row r="53" ht="60" customHeight="1">
      <c r="B53" s="6" t="inlineStr"/>
      <c r="C53" s="48" t="n">
        <v>3</v>
      </c>
      <c r="D53" s="9">
        <f>IFERROR(IF(INDEX('[16]2. OPTIONAL highlighted stories'!$B$1:$B$60,MATCH($C53,'[16]2. OPTIONAL highlighted stories'!$A$1:$A$60,0))="","",INDEX('[16]2. OPTIONAL highlighted stories'!$B$1:$B$60,MATCH($C53,'[16]2. OPTIONAL highlighted stories'!$A$1:$A$60,0))),"")</f>
        <v/>
      </c>
      <c r="E53" s="9">
        <f>IFERROR(IF(INDEX('[16]2. OPTIONAL highlighted stories'!$C$1:$C$60,MATCH($C53,'[16]2. OPTIONAL highlighted stories'!$A$1:$A$60,0))="","",INDEX('[16]2. OPTIONAL highlighted stories'!$C$1:$C$60,MATCH($C53,'[16]2. OPTIONAL highlighted stories'!$A$1:$A$60,0))),"")</f>
        <v/>
      </c>
      <c r="F53" s="9">
        <f>IFERROR(IF(INDEX('[16]2. OPTIONAL highlighted stories'!$D$1:$D$60,MATCH($C53,'[16]2. OPTIONAL highlighted stories'!$A$1:$A$60,0))="","",INDEX('[16]2. OPTIONAL highlighted stories'!$D$1:$D$60,MATCH($C53,'[16]2. OPTIONAL highlighted stories'!$A$1:$A$60,0))),"")</f>
        <v/>
      </c>
      <c r="G53" s="9">
        <f>IFERROR(IF(INDEX('[16]2. OPTIONAL highlighted stories'!$E$1:$E$60,MATCH($C53,'[16]2. OPTIONAL highlighted stories'!$A$1:$A$60,0))="","",INDEX('[16]2. OPTIONAL highlighted stories'!$E$1:$E$60,MATCH($C53,'[16]2. OPTIONAL highlighted stories'!$A$1:$A$60,0))),"")</f>
        <v/>
      </c>
      <c r="H53" s="9">
        <f>IFERROR(IF(INDEX('[16]2. OPTIONAL highlighted stories'!$F$1:$F$60,MATCH($C53,'[16]2. OPTIONAL highlighted stories'!$A$1:$A$60,0))="","",INDEX('[16]2. OPTIONAL highlighted stories'!$F$1:$F$60,MATCH($C53,'[16]2. OPTIONAL highlighted stories'!$A$1:$A$60,0))),"")</f>
        <v/>
      </c>
      <c r="I53" s="7" t="inlineStr"/>
      <c r="J53" s="7" t="inlineStr"/>
      <c r="K53" s="7" t="inlineStr"/>
      <c r="L53" s="7" t="inlineStr"/>
      <c r="M53" s="7" t="inlineStr"/>
      <c r="N53" s="7" t="inlineStr"/>
    </row>
    <row r="54" ht="60" customHeight="1">
      <c r="B54" s="6" t="inlineStr">
        <is>
          <t>Chancellery Education</t>
        </is>
      </c>
      <c r="C54" s="48" t="n">
        <v>1</v>
      </c>
      <c r="D54" s="9">
        <f>IFERROR(IF(INDEX('[17]2. OPTIONAL highlighted stories'!$B$1:$B$60,MATCH($C54,'[17]2. OPTIONAL highlighted stories'!$A$1:$A$60,0))="","",INDEX('[17]2. OPTIONAL highlighted stories'!$B$1:$B$60,MATCH($C54,'[17]2. OPTIONAL highlighted stories'!$A$1:$A$60,0))),"")</f>
        <v/>
      </c>
      <c r="E54" s="9">
        <f>IFERROR(IF(INDEX('[17]2. OPTIONAL highlighted stories'!$C$1:$C$60,MATCH($C54,'[17]2. OPTIONAL highlighted stories'!$A$1:$A$60,0))="","",INDEX('[17]2. OPTIONAL highlighted stories'!$C$1:$C$60,MATCH($C54,'[17]2. OPTIONAL highlighted stories'!$A$1:$A$60,0))),"")</f>
        <v/>
      </c>
      <c r="F54" s="9">
        <f>IFERROR(IF(INDEX('[17]2. OPTIONAL highlighted stories'!$D$1:$D$60,MATCH($C54,'[17]2. OPTIONAL highlighted stories'!$A$1:$A$60,0))="","",INDEX('[17]2. OPTIONAL highlighted stories'!$D$1:$D$60,MATCH($C54,'[17]2. OPTIONAL highlighted stories'!$A$1:$A$60,0))),"")</f>
        <v/>
      </c>
      <c r="G54" s="9">
        <f>IFERROR(IF(INDEX('[17]2. OPTIONAL highlighted stories'!$E$1:$E$60,MATCH($C54,'[17]2. OPTIONAL highlighted stories'!$A$1:$A$60,0))="","",INDEX('[17]2. OPTIONAL highlighted stories'!$E$1:$E$60,MATCH($C54,'[17]2. OPTIONAL highlighted stories'!$A$1:$A$60,0))),"")</f>
        <v/>
      </c>
      <c r="H54" s="9">
        <f>IFERROR(IF(INDEX('[17]2. OPTIONAL highlighted stories'!$F$1:$F$60,MATCH($C54,'[17]2. OPTIONAL highlighted stories'!$A$1:$A$60,0))="","",INDEX('[17]2. OPTIONAL highlighted stories'!$F$1:$F$60,MATCH($C54,'[17]2. OPTIONAL highlighted stories'!$A$1:$A$60,0))),"")</f>
        <v/>
      </c>
      <c r="I54" s="7" t="inlineStr"/>
      <c r="J54" s="7" t="inlineStr"/>
      <c r="K54" s="7" t="inlineStr"/>
      <c r="L54" s="7" t="inlineStr"/>
      <c r="M54" s="7" t="inlineStr"/>
      <c r="N54" s="7" t="inlineStr"/>
    </row>
    <row r="55" ht="60" customHeight="1">
      <c r="B55" s="6" t="inlineStr"/>
      <c r="C55" s="48" t="n">
        <v>2</v>
      </c>
      <c r="D55" s="9">
        <f>IFERROR(IF(INDEX('[17]2. OPTIONAL highlighted stories'!$B$1:$B$60,MATCH($C55,'[17]2. OPTIONAL highlighted stories'!$A$1:$A$60,0))="","",INDEX('[17]2. OPTIONAL highlighted stories'!$B$1:$B$60,MATCH($C55,'[17]2. OPTIONAL highlighted stories'!$A$1:$A$60,0))),"")</f>
        <v/>
      </c>
      <c r="E55" s="9">
        <f>IFERROR(IF(INDEX('[17]2. OPTIONAL highlighted stories'!$C$1:$C$60,MATCH($C55,'[17]2. OPTIONAL highlighted stories'!$A$1:$A$60,0))="","",INDEX('[17]2. OPTIONAL highlighted stories'!$C$1:$C$60,MATCH($C55,'[17]2. OPTIONAL highlighted stories'!$A$1:$A$60,0))),"")</f>
        <v/>
      </c>
      <c r="F55" s="9">
        <f>IFERROR(IF(INDEX('[17]2. OPTIONAL highlighted stories'!$D$1:$D$60,MATCH($C55,'[17]2. OPTIONAL highlighted stories'!$A$1:$A$60,0))="","",INDEX('[17]2. OPTIONAL highlighted stories'!$D$1:$D$60,MATCH($C55,'[17]2. OPTIONAL highlighted stories'!$A$1:$A$60,0))),"")</f>
        <v/>
      </c>
      <c r="G55" s="9">
        <f>IFERROR(IF(INDEX('[17]2. OPTIONAL highlighted stories'!$E$1:$E$60,MATCH($C55,'[17]2. OPTIONAL highlighted stories'!$A$1:$A$60,0))="","",INDEX('[17]2. OPTIONAL highlighted stories'!$E$1:$E$60,MATCH($C55,'[17]2. OPTIONAL highlighted stories'!$A$1:$A$60,0))),"")</f>
        <v/>
      </c>
      <c r="H55" s="9">
        <f>IFERROR(IF(INDEX('[17]2. OPTIONAL highlighted stories'!$F$1:$F$60,MATCH($C55,'[17]2. OPTIONAL highlighted stories'!$A$1:$A$60,0))="","",INDEX('[17]2. OPTIONAL highlighted stories'!$F$1:$F$60,MATCH($C55,'[17]2. OPTIONAL highlighted stories'!$A$1:$A$60,0))),"")</f>
        <v/>
      </c>
      <c r="I55" s="7" t="inlineStr"/>
      <c r="J55" s="7" t="inlineStr"/>
      <c r="K55" s="7" t="inlineStr"/>
      <c r="L55" s="7" t="inlineStr"/>
      <c r="M55" s="7" t="inlineStr"/>
      <c r="N55" s="7" t="inlineStr"/>
    </row>
    <row r="56" ht="60" customHeight="1">
      <c r="B56" s="6" t="inlineStr"/>
      <c r="C56" s="48" t="n">
        <v>3</v>
      </c>
      <c r="D56" s="9">
        <f>IFERROR(IF(INDEX('[17]2. OPTIONAL highlighted stories'!$B$1:$B$60,MATCH($C56,'[17]2. OPTIONAL highlighted stories'!$A$1:$A$60,0))="","",INDEX('[17]2. OPTIONAL highlighted stories'!$B$1:$B$60,MATCH($C56,'[17]2. OPTIONAL highlighted stories'!$A$1:$A$60,0))),"")</f>
        <v/>
      </c>
      <c r="E56" s="9">
        <f>IFERROR(IF(INDEX('[17]2. OPTIONAL highlighted stories'!$C$1:$C$60,MATCH($C56,'[17]2. OPTIONAL highlighted stories'!$A$1:$A$60,0))="","",INDEX('[17]2. OPTIONAL highlighted stories'!$C$1:$C$60,MATCH($C56,'[17]2. OPTIONAL highlighted stories'!$A$1:$A$60,0))),"")</f>
        <v/>
      </c>
      <c r="F56" s="9">
        <f>IFERROR(IF(INDEX('[17]2. OPTIONAL highlighted stories'!$D$1:$D$60,MATCH($C56,'[17]2. OPTIONAL highlighted stories'!$A$1:$A$60,0))="","",INDEX('[17]2. OPTIONAL highlighted stories'!$D$1:$D$60,MATCH($C56,'[17]2. OPTIONAL highlighted stories'!$A$1:$A$60,0))),"")</f>
        <v/>
      </c>
      <c r="G56" s="9">
        <f>IFERROR(IF(INDEX('[17]2. OPTIONAL highlighted stories'!$E$1:$E$60,MATCH($C56,'[17]2. OPTIONAL highlighted stories'!$A$1:$A$60,0))="","",INDEX('[17]2. OPTIONAL highlighted stories'!$E$1:$E$60,MATCH($C56,'[17]2. OPTIONAL highlighted stories'!$A$1:$A$60,0))),"")</f>
        <v/>
      </c>
      <c r="H56" s="9">
        <f>IFERROR(IF(INDEX('[17]2. OPTIONAL highlighted stories'!$F$1:$F$60,MATCH($C56,'[17]2. OPTIONAL highlighted stories'!$A$1:$A$60,0))="","",INDEX('[17]2. OPTIONAL highlighted stories'!$F$1:$F$60,MATCH($C56,'[17]2. OPTIONAL highlighted stories'!$A$1:$A$60,0))),"")</f>
        <v/>
      </c>
      <c r="I56" s="7" t="inlineStr"/>
      <c r="J56" s="7" t="inlineStr"/>
      <c r="K56" s="7" t="inlineStr"/>
      <c r="L56" s="7" t="inlineStr"/>
      <c r="M56" s="7" t="inlineStr"/>
      <c r="N56" s="7" t="inlineStr"/>
    </row>
    <row r="57" ht="60" customHeight="1">
      <c r="B57" s="6" t="inlineStr">
        <is>
          <t>Student and Scholarly Services (SaSS)</t>
        </is>
      </c>
      <c r="C57" s="48" t="n">
        <v>1</v>
      </c>
      <c r="D57" s="9">
        <f>IFERROR(IF(INDEX('[18]2. OPTIONAL highlighted stories'!$B$1:$B$60,MATCH($C57,'[18]2. OPTIONAL highlighted stories'!$A$1:$A$60,0))="","",INDEX('[18]2. OPTIONAL highlighted stories'!$B$1:$B$60,MATCH($C57,'[18]2. OPTIONAL highlighted stories'!$A$1:$A$60,0))),"")</f>
        <v/>
      </c>
      <c r="E57" s="9">
        <f>IFERROR(IF(INDEX('[18]2. OPTIONAL highlighted stories'!$C$1:$C$60,MATCH($C57,'[18]2. OPTIONAL highlighted stories'!$A$1:$A$60,0))="","",INDEX('[18]2. OPTIONAL highlighted stories'!$C$1:$C$60,MATCH($C57,'[18]2. OPTIONAL highlighted stories'!$A$1:$A$60,0))),"")</f>
        <v/>
      </c>
      <c r="F57" s="9">
        <f>IFERROR(IF(INDEX('[18]2. OPTIONAL highlighted stories'!$D$1:$D$60,MATCH($C57,'[18]2. OPTIONAL highlighted stories'!$A$1:$A$60,0))="","",INDEX('[18]2. OPTIONAL highlighted stories'!$D$1:$D$60,MATCH($C57,'[18]2. OPTIONAL highlighted stories'!$A$1:$A$60,0))),"")</f>
        <v/>
      </c>
      <c r="G57" s="9">
        <f>IFERROR(IF(INDEX('[18]2. OPTIONAL highlighted stories'!$E$1:$E$60,MATCH($C57,'[18]2. OPTIONAL highlighted stories'!$A$1:$A$60,0))="","",INDEX('[18]2. OPTIONAL highlighted stories'!$E$1:$E$60,MATCH($C57,'[18]2. OPTIONAL highlighted stories'!$A$1:$A$60,0))),"")</f>
        <v/>
      </c>
      <c r="H57" s="9">
        <f>IFERROR(IF(INDEX('[18]2. OPTIONAL highlighted stories'!$F$1:$F$60,MATCH($C57,'[18]2. OPTIONAL highlighted stories'!$A$1:$A$60,0))="","",INDEX('[18]2. OPTIONAL highlighted stories'!$F$1:$F$60,MATCH($C57,'[18]2. OPTIONAL highlighted stories'!$A$1:$A$60,0))),"")</f>
        <v/>
      </c>
      <c r="I57" s="7" t="inlineStr"/>
      <c r="J57" s="7" t="inlineStr"/>
      <c r="K57" s="7" t="inlineStr"/>
      <c r="L57" s="7" t="inlineStr"/>
      <c r="M57" s="7" t="inlineStr"/>
      <c r="N57" s="7" t="inlineStr"/>
    </row>
    <row r="58" ht="60" customHeight="1">
      <c r="B58" s="6" t="inlineStr"/>
      <c r="C58" s="48" t="n">
        <v>2</v>
      </c>
      <c r="D58" s="9">
        <f>IFERROR(IF(INDEX('[18]2. OPTIONAL highlighted stories'!$B$1:$B$60,MATCH($C58,'[18]2. OPTIONAL highlighted stories'!$A$1:$A$60,0))="","",INDEX('[18]2. OPTIONAL highlighted stories'!$B$1:$B$60,MATCH($C58,'[18]2. OPTIONAL highlighted stories'!$A$1:$A$60,0))),"")</f>
        <v/>
      </c>
      <c r="E58" s="9">
        <f>IFERROR(IF(INDEX('[18]2. OPTIONAL highlighted stories'!$C$1:$C$60,MATCH($C58,'[18]2. OPTIONAL highlighted stories'!$A$1:$A$60,0))="","",INDEX('[18]2. OPTIONAL highlighted stories'!$C$1:$C$60,MATCH($C58,'[18]2. OPTIONAL highlighted stories'!$A$1:$A$60,0))),"")</f>
        <v/>
      </c>
      <c r="F58" s="9">
        <f>IFERROR(IF(INDEX('[18]2. OPTIONAL highlighted stories'!$D$1:$D$60,MATCH($C58,'[18]2. OPTIONAL highlighted stories'!$A$1:$A$60,0))="","",INDEX('[18]2. OPTIONAL highlighted stories'!$D$1:$D$60,MATCH($C58,'[18]2. OPTIONAL highlighted stories'!$A$1:$A$60,0))),"")</f>
        <v/>
      </c>
      <c r="G58" s="9">
        <f>IFERROR(IF(INDEX('[18]2. OPTIONAL highlighted stories'!$E$1:$E$60,MATCH($C58,'[18]2. OPTIONAL highlighted stories'!$A$1:$A$60,0))="","",INDEX('[18]2. OPTIONAL highlighted stories'!$E$1:$E$60,MATCH($C58,'[18]2. OPTIONAL highlighted stories'!$A$1:$A$60,0))),"")</f>
        <v/>
      </c>
      <c r="H58" s="9">
        <f>IFERROR(IF(INDEX('[18]2. OPTIONAL highlighted stories'!$F$1:$F$60,MATCH($C58,'[18]2. OPTIONAL highlighted stories'!$A$1:$A$60,0))="","",INDEX('[18]2. OPTIONAL highlighted stories'!$F$1:$F$60,MATCH($C58,'[18]2. OPTIONAL highlighted stories'!$A$1:$A$60,0))),"")</f>
        <v/>
      </c>
      <c r="I58" s="7" t="inlineStr"/>
      <c r="J58" s="7" t="inlineStr"/>
      <c r="K58" s="7" t="inlineStr"/>
      <c r="L58" s="7" t="inlineStr"/>
      <c r="M58" s="7" t="inlineStr"/>
      <c r="N58" s="7" t="inlineStr"/>
    </row>
    <row r="59" ht="60" customHeight="1">
      <c r="B59" s="6" t="inlineStr"/>
      <c r="C59" s="48" t="n">
        <v>3</v>
      </c>
      <c r="D59" s="9">
        <f>IFERROR(IF(INDEX('[18]2. OPTIONAL highlighted stories'!$B$1:$B$60,MATCH($C59,'[18]2. OPTIONAL highlighted stories'!$A$1:$A$60,0))="","",INDEX('[18]2. OPTIONAL highlighted stories'!$B$1:$B$60,MATCH($C59,'[18]2. OPTIONAL highlighted stories'!$A$1:$A$60,0))),"")</f>
        <v/>
      </c>
      <c r="E59" s="9">
        <f>IFERROR(IF(INDEX('[18]2. OPTIONAL highlighted stories'!$C$1:$C$60,MATCH($C59,'[18]2. OPTIONAL highlighted stories'!$A$1:$A$60,0))="","",INDEX('[18]2. OPTIONAL highlighted stories'!$C$1:$C$60,MATCH($C59,'[18]2. OPTIONAL highlighted stories'!$A$1:$A$60,0))),"")</f>
        <v/>
      </c>
      <c r="F59" s="9">
        <f>IFERROR(IF(INDEX('[18]2. OPTIONAL highlighted stories'!$D$1:$D$60,MATCH($C59,'[18]2. OPTIONAL highlighted stories'!$A$1:$A$60,0))="","",INDEX('[18]2. OPTIONAL highlighted stories'!$D$1:$D$60,MATCH($C59,'[18]2. OPTIONAL highlighted stories'!$A$1:$A$60,0))),"")</f>
        <v/>
      </c>
      <c r="G59" s="9">
        <f>IFERROR(IF(INDEX('[18]2. OPTIONAL highlighted stories'!$E$1:$E$60,MATCH($C59,'[18]2. OPTIONAL highlighted stories'!$A$1:$A$60,0))="","",INDEX('[18]2. OPTIONAL highlighted stories'!$E$1:$E$60,MATCH($C59,'[18]2. OPTIONAL highlighted stories'!$A$1:$A$60,0))),"")</f>
        <v/>
      </c>
      <c r="H59" s="9">
        <f>IFERROR(IF(INDEX('[18]2. OPTIONAL highlighted stories'!$F$1:$F$60,MATCH($C59,'[18]2. OPTIONAL highlighted stories'!$A$1:$A$60,0))="","",INDEX('[18]2. OPTIONAL highlighted stories'!$F$1:$F$60,MATCH($C59,'[18]2. OPTIONAL highlighted stories'!$A$1:$A$60,0))),"")</f>
        <v/>
      </c>
      <c r="I59" s="7" t="inlineStr"/>
      <c r="J59" s="7" t="inlineStr"/>
      <c r="K59" s="7" t="inlineStr"/>
      <c r="L59" s="7" t="inlineStr"/>
      <c r="M59" s="7" t="inlineStr"/>
      <c r="N59" s="7" t="inlineStr"/>
    </row>
    <row r="60" ht="60" customHeight="1">
      <c r="B60" s="6" t="inlineStr">
        <is>
          <t>Chancellery Indigenous</t>
        </is>
      </c>
      <c r="C60" s="48" t="n">
        <v>1</v>
      </c>
      <c r="D60" s="9">
        <f>IFERROR(IF(INDEX('[19]2. OPTIONAL highlighted stories'!$B$1:$B$60,MATCH($C60,'[19]2. OPTIONAL highlighted stories'!$A$1:$A$60,0))="","",INDEX('[19]2. OPTIONAL highlighted stories'!$B$1:$B$60,MATCH($C60,'[19]2. OPTIONAL highlighted stories'!$A$1:$A$60,0))),"")</f>
        <v/>
      </c>
      <c r="E60" s="9">
        <f>IFERROR(IF(INDEX('[19]2. OPTIONAL highlighted stories'!$C$1:$C$60,MATCH($C60,'[19]2. OPTIONAL highlighted stories'!$A$1:$A$60,0))="","",INDEX('[19]2. OPTIONAL highlighted stories'!$C$1:$C$60,MATCH($C60,'[19]2. OPTIONAL highlighted stories'!$A$1:$A$60,0))),"")</f>
        <v/>
      </c>
      <c r="F60" s="9">
        <f>IFERROR(IF(INDEX('[19]2. OPTIONAL highlighted stories'!$D$1:$D$60,MATCH($C60,'[19]2. OPTIONAL highlighted stories'!$A$1:$A$60,0))="","",INDEX('[19]2. OPTIONAL highlighted stories'!$D$1:$D$60,MATCH($C60,'[19]2. OPTIONAL highlighted stories'!$A$1:$A$60,0))),"")</f>
        <v/>
      </c>
      <c r="G60" s="9">
        <f>IFERROR(IF(INDEX('[19]2. OPTIONAL highlighted stories'!$E$1:$E$60,MATCH($C60,'[19]2. OPTIONAL highlighted stories'!$A$1:$A$60,0))="","",INDEX('[19]2. OPTIONAL highlighted stories'!$E$1:$E$60,MATCH($C60,'[19]2. OPTIONAL highlighted stories'!$A$1:$A$60,0))),"")</f>
        <v/>
      </c>
      <c r="H60" s="9">
        <f>IFERROR(IF(INDEX('[19]2. OPTIONAL highlighted stories'!$F$1:$F$60,MATCH($C60,'[19]2. OPTIONAL highlighted stories'!$A$1:$A$60,0))="","",INDEX('[19]2. OPTIONAL highlighted stories'!$F$1:$F$60,MATCH($C60,'[19]2. OPTIONAL highlighted stories'!$A$1:$A$60,0))),"")</f>
        <v/>
      </c>
      <c r="I60" s="7" t="inlineStr"/>
      <c r="J60" s="7" t="inlineStr"/>
      <c r="K60" s="7" t="inlineStr"/>
      <c r="L60" s="7" t="inlineStr"/>
      <c r="M60" s="7" t="inlineStr"/>
      <c r="N60" s="7" t="inlineStr"/>
    </row>
    <row r="61" ht="60" customHeight="1">
      <c r="B61" s="6" t="inlineStr"/>
      <c r="C61" s="48" t="n">
        <v>2</v>
      </c>
      <c r="D61" s="9">
        <f>IFERROR(IF(INDEX('[19]2. OPTIONAL highlighted stories'!$B$1:$B$60,MATCH($C61,'[19]2. OPTIONAL highlighted stories'!$A$1:$A$60,0))="","",INDEX('[19]2. OPTIONAL highlighted stories'!$B$1:$B$60,MATCH($C61,'[19]2. OPTIONAL highlighted stories'!$A$1:$A$60,0))),"")</f>
        <v/>
      </c>
      <c r="E61" s="9">
        <f>IFERROR(IF(INDEX('[19]2. OPTIONAL highlighted stories'!$C$1:$C$60,MATCH($C61,'[19]2. OPTIONAL highlighted stories'!$A$1:$A$60,0))="","",INDEX('[19]2. OPTIONAL highlighted stories'!$C$1:$C$60,MATCH($C61,'[19]2. OPTIONAL highlighted stories'!$A$1:$A$60,0))),"")</f>
        <v/>
      </c>
      <c r="F61" s="9">
        <f>IFERROR(IF(INDEX('[19]2. OPTIONAL highlighted stories'!$D$1:$D$60,MATCH($C61,'[19]2. OPTIONAL highlighted stories'!$A$1:$A$60,0))="","",INDEX('[19]2. OPTIONAL highlighted stories'!$D$1:$D$60,MATCH($C61,'[19]2. OPTIONAL highlighted stories'!$A$1:$A$60,0))),"")</f>
        <v/>
      </c>
      <c r="G61" s="9">
        <f>IFERROR(IF(INDEX('[19]2. OPTIONAL highlighted stories'!$E$1:$E$60,MATCH($C61,'[19]2. OPTIONAL highlighted stories'!$A$1:$A$60,0))="","",INDEX('[19]2. OPTIONAL highlighted stories'!$E$1:$E$60,MATCH($C61,'[19]2. OPTIONAL highlighted stories'!$A$1:$A$60,0))),"")</f>
        <v/>
      </c>
      <c r="H61" s="9">
        <f>IFERROR(IF(INDEX('[19]2. OPTIONAL highlighted stories'!$F$1:$F$60,MATCH($C61,'[19]2. OPTIONAL highlighted stories'!$A$1:$A$60,0))="","",INDEX('[19]2. OPTIONAL highlighted stories'!$F$1:$F$60,MATCH($C61,'[19]2. OPTIONAL highlighted stories'!$A$1:$A$60,0))),"")</f>
        <v/>
      </c>
      <c r="I61" s="7" t="inlineStr"/>
      <c r="J61" s="7" t="inlineStr"/>
      <c r="K61" s="7" t="inlineStr"/>
      <c r="L61" s="7" t="inlineStr"/>
      <c r="M61" s="7" t="inlineStr"/>
      <c r="N61" s="7" t="inlineStr"/>
    </row>
    <row r="62" ht="60" customHeight="1">
      <c r="B62" s="6" t="inlineStr"/>
      <c r="C62" s="48" t="n">
        <v>3</v>
      </c>
      <c r="D62" s="9">
        <f>IFERROR(IF(INDEX('[19]2. OPTIONAL highlighted stories'!$B$1:$B$60,MATCH($C62,'[19]2. OPTIONAL highlighted stories'!$A$1:$A$60,0))="","",INDEX('[19]2. OPTIONAL highlighted stories'!$B$1:$B$60,MATCH($C62,'[19]2. OPTIONAL highlighted stories'!$A$1:$A$60,0))),"")</f>
        <v/>
      </c>
      <c r="E62" s="9">
        <f>IFERROR(IF(INDEX('[19]2. OPTIONAL highlighted stories'!$C$1:$C$60,MATCH($C62,'[19]2. OPTIONAL highlighted stories'!$A$1:$A$60,0))="","",INDEX('[19]2. OPTIONAL highlighted stories'!$C$1:$C$60,MATCH($C62,'[19]2. OPTIONAL highlighted stories'!$A$1:$A$60,0))),"")</f>
        <v/>
      </c>
      <c r="F62" s="9">
        <f>IFERROR(IF(INDEX('[19]2. OPTIONAL highlighted stories'!$D$1:$D$60,MATCH($C62,'[19]2. OPTIONAL highlighted stories'!$A$1:$A$60,0))="","",INDEX('[19]2. OPTIONAL highlighted stories'!$D$1:$D$60,MATCH($C62,'[19]2. OPTIONAL highlighted stories'!$A$1:$A$60,0))),"")</f>
        <v/>
      </c>
      <c r="G62" s="9">
        <f>IFERROR(IF(INDEX('[19]2. OPTIONAL highlighted stories'!$E$1:$E$60,MATCH($C62,'[19]2. OPTIONAL highlighted stories'!$A$1:$A$60,0))="","",INDEX('[19]2. OPTIONAL highlighted stories'!$E$1:$E$60,MATCH($C62,'[19]2. OPTIONAL highlighted stories'!$A$1:$A$60,0))),"")</f>
        <v/>
      </c>
      <c r="H62" s="9">
        <f>IFERROR(IF(INDEX('[19]2. OPTIONAL highlighted stories'!$F$1:$F$60,MATCH($C62,'[19]2. OPTIONAL highlighted stories'!$A$1:$A$60,0))="","",INDEX('[19]2. OPTIONAL highlighted stories'!$F$1:$F$60,MATCH($C62,'[19]2. OPTIONAL highlighted stories'!$A$1:$A$60,0))),"")</f>
        <v/>
      </c>
      <c r="I62" s="7" t="inlineStr"/>
      <c r="J62" s="7" t="inlineStr"/>
      <c r="K62" s="7" t="inlineStr"/>
      <c r="L62" s="7" t="inlineStr"/>
      <c r="M62" s="7" t="inlineStr"/>
      <c r="N62" s="7" t="inlineStr"/>
    </row>
    <row r="63" ht="60" customHeight="1">
      <c r="B63" s="6" t="inlineStr">
        <is>
          <t>Legal and Risk</t>
        </is>
      </c>
      <c r="C63" s="48" t="n">
        <v>1</v>
      </c>
      <c r="D63" s="9">
        <f>IFERROR(IF(INDEX('[20]2. OPTIONAL highlighted stories'!$B$1:$B$60,MATCH($C63,'[20]2. OPTIONAL highlighted stories'!$A$1:$A$60,0))="","",INDEX('[20]2. OPTIONAL highlighted stories'!$B$1:$B$60,MATCH($C63,'[20]2. OPTIONAL highlighted stories'!$A$1:$A$60,0))),"")</f>
        <v/>
      </c>
      <c r="E63" s="9">
        <f>IFERROR(IF(INDEX('[20]2. OPTIONAL highlighted stories'!$C$1:$C$60,MATCH($C63,'[20]2. OPTIONAL highlighted stories'!$A$1:$A$60,0))="","",INDEX('[20]2. OPTIONAL highlighted stories'!$C$1:$C$60,MATCH($C63,'[20]2. OPTIONAL highlighted stories'!$A$1:$A$60,0))),"")</f>
        <v/>
      </c>
      <c r="F63" s="9">
        <f>IFERROR(IF(INDEX('[20]2. OPTIONAL highlighted stories'!$D$1:$D$60,MATCH($C63,'[20]2. OPTIONAL highlighted stories'!$A$1:$A$60,0))="","",INDEX('[20]2. OPTIONAL highlighted stories'!$D$1:$D$60,MATCH($C63,'[20]2. OPTIONAL highlighted stories'!$A$1:$A$60,0))),"")</f>
        <v/>
      </c>
      <c r="G63" s="9">
        <f>IFERROR(IF(INDEX('[20]2. OPTIONAL highlighted stories'!$E$1:$E$60,MATCH($C63,'[20]2. OPTIONAL highlighted stories'!$A$1:$A$60,0))="","",INDEX('[20]2. OPTIONAL highlighted stories'!$E$1:$E$60,MATCH($C63,'[20]2. OPTIONAL highlighted stories'!$A$1:$A$60,0))),"")</f>
        <v/>
      </c>
      <c r="H63" s="9">
        <f>IFERROR(IF(INDEX('[20]2. OPTIONAL highlighted stories'!$F$1:$F$60,MATCH($C63,'[20]2. OPTIONAL highlighted stories'!$A$1:$A$60,0))="","",INDEX('[20]2. OPTIONAL highlighted stories'!$F$1:$F$60,MATCH($C63,'[20]2. OPTIONAL highlighted stories'!$A$1:$A$60,0))),"")</f>
        <v/>
      </c>
      <c r="I63" s="7" t="inlineStr"/>
      <c r="J63" s="7" t="inlineStr"/>
      <c r="K63" s="7" t="inlineStr"/>
      <c r="L63" s="7" t="inlineStr"/>
      <c r="M63" s="7" t="inlineStr"/>
      <c r="N63" s="7" t="inlineStr"/>
    </row>
    <row r="64" ht="60" customHeight="1">
      <c r="B64" s="6" t="inlineStr"/>
      <c r="C64" s="48" t="n">
        <v>2</v>
      </c>
      <c r="D64" s="9">
        <f>IFERROR(IF(INDEX('[20]2. OPTIONAL highlighted stories'!$B$1:$B$60,MATCH($C64,'[20]2. OPTIONAL highlighted stories'!$A$1:$A$60,0))="","",INDEX('[20]2. OPTIONAL highlighted stories'!$B$1:$B$60,MATCH($C64,'[20]2. OPTIONAL highlighted stories'!$A$1:$A$60,0))),"")</f>
        <v/>
      </c>
      <c r="E64" s="9">
        <f>IFERROR(IF(INDEX('[20]2. OPTIONAL highlighted stories'!$C$1:$C$60,MATCH($C64,'[20]2. OPTIONAL highlighted stories'!$A$1:$A$60,0))="","",INDEX('[20]2. OPTIONAL highlighted stories'!$C$1:$C$60,MATCH($C64,'[20]2. OPTIONAL highlighted stories'!$A$1:$A$60,0))),"")</f>
        <v/>
      </c>
      <c r="F64" s="9">
        <f>IFERROR(IF(INDEX('[20]2. OPTIONAL highlighted stories'!$D$1:$D$60,MATCH($C64,'[20]2. OPTIONAL highlighted stories'!$A$1:$A$60,0))="","",INDEX('[20]2. OPTIONAL highlighted stories'!$D$1:$D$60,MATCH($C64,'[20]2. OPTIONAL highlighted stories'!$A$1:$A$60,0))),"")</f>
        <v/>
      </c>
      <c r="G64" s="9">
        <f>IFERROR(IF(INDEX('[20]2. OPTIONAL highlighted stories'!$E$1:$E$60,MATCH($C64,'[20]2. OPTIONAL highlighted stories'!$A$1:$A$60,0))="","",INDEX('[20]2. OPTIONAL highlighted stories'!$E$1:$E$60,MATCH($C64,'[20]2. OPTIONAL highlighted stories'!$A$1:$A$60,0))),"")</f>
        <v/>
      </c>
      <c r="H64" s="9">
        <f>IFERROR(IF(INDEX('[20]2. OPTIONAL highlighted stories'!$F$1:$F$60,MATCH($C64,'[20]2. OPTIONAL highlighted stories'!$A$1:$A$60,0))="","",INDEX('[20]2. OPTIONAL highlighted stories'!$F$1:$F$60,MATCH($C64,'[20]2. OPTIONAL highlighted stories'!$A$1:$A$60,0))),"")</f>
        <v/>
      </c>
      <c r="I64" s="7" t="inlineStr"/>
      <c r="J64" s="7" t="inlineStr"/>
      <c r="K64" s="7" t="inlineStr"/>
      <c r="L64" s="7" t="inlineStr"/>
      <c r="M64" s="7" t="inlineStr"/>
      <c r="N64" s="7" t="inlineStr"/>
    </row>
    <row r="65" ht="60" customHeight="1">
      <c r="B65" s="6" t="inlineStr"/>
      <c r="C65" s="48" t="n">
        <v>3</v>
      </c>
      <c r="D65" s="9">
        <f>IFERROR(IF(INDEX('[20]2. OPTIONAL highlighted stories'!$B$1:$B$60,MATCH($C65,'[20]2. OPTIONAL highlighted stories'!$A$1:$A$60,0))="","",INDEX('[20]2. OPTIONAL highlighted stories'!$B$1:$B$60,MATCH($C65,'[20]2. OPTIONAL highlighted stories'!$A$1:$A$60,0))),"")</f>
        <v/>
      </c>
      <c r="E65" s="9">
        <f>IFERROR(IF(INDEX('[20]2. OPTIONAL highlighted stories'!$C$1:$C$60,MATCH($C65,'[20]2. OPTIONAL highlighted stories'!$A$1:$A$60,0))="","",INDEX('[20]2. OPTIONAL highlighted stories'!$C$1:$C$60,MATCH($C65,'[20]2. OPTIONAL highlighted stories'!$A$1:$A$60,0))),"")</f>
        <v/>
      </c>
      <c r="F65" s="9">
        <f>IFERROR(IF(INDEX('[20]2. OPTIONAL highlighted stories'!$D$1:$D$60,MATCH($C65,'[20]2. OPTIONAL highlighted stories'!$A$1:$A$60,0))="","",INDEX('[20]2. OPTIONAL highlighted stories'!$D$1:$D$60,MATCH($C65,'[20]2. OPTIONAL highlighted stories'!$A$1:$A$60,0))),"")</f>
        <v/>
      </c>
      <c r="G65" s="9">
        <f>IFERROR(IF(INDEX('[20]2. OPTIONAL highlighted stories'!$E$1:$E$60,MATCH($C65,'[20]2. OPTIONAL highlighted stories'!$A$1:$A$60,0))="","",INDEX('[20]2. OPTIONAL highlighted stories'!$E$1:$E$60,MATCH($C65,'[20]2. OPTIONAL highlighted stories'!$A$1:$A$60,0))),"")</f>
        <v/>
      </c>
      <c r="H65" s="9">
        <f>IFERROR(IF(INDEX('[20]2. OPTIONAL highlighted stories'!$F$1:$F$60,MATCH($C65,'[20]2. OPTIONAL highlighted stories'!$A$1:$A$60,0))="","",INDEX('[20]2. OPTIONAL highlighted stories'!$F$1:$F$60,MATCH($C65,'[20]2. OPTIONAL highlighted stories'!$A$1:$A$60,0))),"")</f>
        <v/>
      </c>
      <c r="I65" s="7" t="inlineStr"/>
      <c r="J65" s="7" t="inlineStr"/>
      <c r="K65" s="7" t="inlineStr"/>
      <c r="L65" s="7" t="inlineStr"/>
      <c r="M65" s="7" t="inlineStr"/>
      <c r="N65" s="7" t="inlineStr"/>
    </row>
    <row r="66"/>
    <row r="67"/>
    <row r="68" ht="27" customHeight="1">
      <c r="B68" s="29" t="inlineStr">
        <is>
          <t>Stories by priority area (SST primary)</t>
        </is>
      </c>
    </row>
    <row r="69" ht="42" customHeight="1">
      <c r="B69" s="5" t="inlineStr">
        <is>
          <t>Priority area</t>
        </is>
      </c>
      <c r="C69" s="5" t="inlineStr">
        <is>
          <t>Stories</t>
        </is>
      </c>
      <c r="D69" s="5" t="inlineStr">
        <is>
          <t>Shortlisted</t>
        </is>
      </c>
    </row>
    <row r="70" ht="22" customHeight="1">
      <c r="B70" s="7" t="inlineStr">
        <is>
          <t>Exceptional education</t>
        </is>
      </c>
      <c r="C70" s="7">
        <f>COUNTIF($I$6:$I$65,B70)</f>
        <v/>
      </c>
      <c r="D70" s="7">
        <f>COUNTIFS($I$6:$I$65,B70,$L$6:$L$65,"Shortlist")</f>
        <v/>
      </c>
    </row>
    <row r="71" ht="22" customHeight="1">
      <c r="B71" s="7" t="inlineStr">
        <is>
          <t>Transformational research</t>
        </is>
      </c>
      <c r="C71" s="7">
        <f>COUNTIF($I$6:$I$65,B71)</f>
        <v/>
      </c>
      <c r="D71" s="7">
        <f>COUNTIFS($I$6:$I$65,B71,$L$6:$L$65,"Shortlist")</f>
        <v/>
      </c>
    </row>
    <row r="72" ht="22" customHeight="1">
      <c r="B72" s="7" t="inlineStr">
        <is>
          <t>Climate leadership</t>
        </is>
      </c>
      <c r="C72" s="7">
        <f>COUNTIF($I$6:$I$65,B72)</f>
        <v/>
      </c>
      <c r="D72" s="7">
        <f>COUNTIFS($I$6:$I$65,B72,$L$6:$L$65,"Shortlist")</f>
        <v/>
      </c>
    </row>
    <row r="73" ht="22" customHeight="1">
      <c r="B73" s="7" t="inlineStr">
        <is>
          <t>Nature and biodiversity</t>
        </is>
      </c>
      <c r="C73" s="7">
        <f>COUNTIF($I$6:$I$65,B73)</f>
        <v/>
      </c>
      <c r="D73" s="7">
        <f>COUNTIFS($I$6:$I$65,B73,$L$6:$L$65,"Shortlist")</f>
        <v/>
      </c>
    </row>
    <row r="74" ht="22" customHeight="1">
      <c r="B74" s="7" t="inlineStr">
        <is>
          <t>Responsible AI</t>
        </is>
      </c>
      <c r="C74" s="7">
        <f>COUNTIF($I$6:$I$65,B74)</f>
        <v/>
      </c>
      <c r="D74" s="7">
        <f>COUNTIFS($I$6:$I$65,B74,$L$6:$L$65,"Shortlist")</f>
        <v/>
      </c>
    </row>
    <row r="75" ht="22" customHeight="1">
      <c r="B75" s="7" t="inlineStr">
        <is>
          <t>Estate and infrastructure</t>
        </is>
      </c>
      <c r="C75" s="7">
        <f>COUNTIF($I$6:$I$65,B75)</f>
        <v/>
      </c>
      <c r="D75" s="7">
        <f>COUNTIFS($I$6:$I$65,B75,$L$6:$L$65,"Shortlist")</f>
        <v/>
      </c>
    </row>
    <row r="76" ht="22" customHeight="1">
      <c r="B76" s="7" t="inlineStr">
        <is>
          <t>Circular economy</t>
        </is>
      </c>
      <c r="C76" s="7">
        <f>COUNTIF($I$6:$I$65,B76)</f>
        <v/>
      </c>
      <c r="D76" s="7">
        <f>COUNTIFS($I$6:$I$65,B76,$L$6:$L$65,"Shortlist")</f>
        <v/>
      </c>
    </row>
    <row r="77" ht="22" customHeight="1">
      <c r="B77" s="7" t="inlineStr">
        <is>
          <t>Responsible procurement</t>
        </is>
      </c>
      <c r="C77" s="7">
        <f>COUNTIF($I$6:$I$65,B77)</f>
        <v/>
      </c>
      <c r="D77" s="7">
        <f>COUNTIFS($I$6:$I$65,B77,$L$6:$L$65,"Shortlist")</f>
        <v/>
      </c>
    </row>
    <row r="78" ht="22" customHeight="1">
      <c r="B78" s="7" t="inlineStr">
        <is>
          <t>Modern slavery and human rights</t>
        </is>
      </c>
      <c r="C78" s="7">
        <f>COUNTIF($I$6:$I$65,B78)</f>
        <v/>
      </c>
      <c r="D78" s="7">
        <f>COUNTIFS($I$6:$I$65,B78,$L$6:$L$65,"Shortlist")</f>
        <v/>
      </c>
    </row>
    <row r="79" ht="22" customHeight="1">
      <c r="B79" s="7" t="inlineStr">
        <is>
          <t>Responsible investments</t>
        </is>
      </c>
      <c r="C79" s="7">
        <f>COUNTIF($I$6:$I$65,B79)</f>
        <v/>
      </c>
      <c r="D79" s="7">
        <f>COUNTIFS($I$6:$I$65,B79,$L$6:$L$65,"Shortlist")</f>
        <v/>
      </c>
    </row>
    <row r="80" ht="22" customHeight="1">
      <c r="B80" s="7" t="inlineStr">
        <is>
          <t>Enablers</t>
        </is>
      </c>
      <c r="C80" s="7">
        <f>COUNTIF($I$6:$I$65,B80)</f>
        <v/>
      </c>
      <c r="D80" s="7">
        <f>COUNTIFS($I$6:$I$65,B80,$L$6:$L$65,"Shortlist")</f>
        <v/>
      </c>
    </row>
    <row r="81" ht="22" customHeight="1">
      <c r="B81" s="7" t="inlineStr">
        <is>
          <t>Not priority-area specific</t>
        </is>
      </c>
      <c r="C81" s="7">
        <f>COUNTIF($I$6:$I$65,B81)</f>
        <v/>
      </c>
      <c r="D81" s="7">
        <f>COUNTIFS($I$6:$I$65,B81,$L$6:$L$65,"Shortlist")</f>
        <v/>
      </c>
    </row>
  </sheetData>
  <mergeCells count="1">
    <mergeCell ref="B3:N3"/>
  </mergeCells>
  <dataValidations count="3">
    <dataValidation sqref="I6:J65" showDropDown="0" showInputMessage="0" showErrorMessage="0" allowBlank="1" errorTitle="Invalid entry" error="Please select from the dropdown" type="list">
      <formula1>=Lists!$L$2:$L$13</formula1>
    </dataValidation>
    <dataValidation sqref="L6:L65" showDropDown="0" showInputMessage="0" showErrorMessage="0" allowBlank="1" errorTitle="Invalid entry" error="Please select from the dropdown" type="list">
      <formula1>"Shortlist,Maybe,No"</formula1>
    </dataValidation>
    <dataValidation sqref="M6:M65" showDropDown="0" showInputMessage="0" showErrorMessage="0" allowBlank="1" errorTitle="Invalid entry" error="Please select from the dropdown" type="list">
      <formula1>"Yes,No,TBC"</formula1>
    </dataValidation>
  </dataValidations>
  <pageMargins left="0.75" right="0.75" top="1" bottom="1" header="0.5" footer="0.5"/>
  <drawing xmlns:r="http://schemas.openxmlformats.org/officeDocument/2006/relationships" r:id="rId1"/>
</worksheet>
</file>

<file path=xl/worksheets/sheet25.xml><?xml version="1.0" encoding="utf-8"?>
<worksheet xmlns="http://schemas.openxmlformats.org/spreadsheetml/2006/main">
  <sheetPr>
    <outlinePr summaryBelow="1" summaryRight="1"/>
    <pageSetUpPr/>
  </sheetPr>
  <dimension ref="A1:R205"/>
  <sheetViews>
    <sheetView showGridLines="0" workbookViewId="0">
      <pane ySplit="5" topLeftCell="A6" activePane="bottomLeft" state="frozen"/>
      <selection pane="bottomLeft"/>
      <selection pane="bottomLeft"/>
      <selection pane="bottomRight" activeCell="A1" sqref="A1"/>
    </sheetView>
  </sheetViews>
  <sheetFormatPr baseColWidth="8" defaultRowHeight="15"/>
  <cols>
    <col width="13" customWidth="1" min="1" max="1"/>
    <col width="10" customWidth="1" min="2" max="2"/>
    <col width="9" customWidth="1" min="3" max="3"/>
    <col width="18" customWidth="1" min="4" max="4"/>
    <col width="50" customWidth="1" min="5" max="5"/>
    <col width="40" customWidth="1" min="6" max="6"/>
    <col width="20" customWidth="1" min="7" max="7"/>
    <col width="12" customWidth="1" min="8" max="8"/>
    <col width="30"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Evidence register</t>
        </is>
      </c>
      <c r="C2" s="1" t="n"/>
      <c r="D2" s="1" t="n"/>
      <c r="E2" s="1" t="n"/>
      <c r="F2" s="1" t="n"/>
      <c r="G2" s="1" t="n"/>
      <c r="H2" s="1" t="n"/>
      <c r="I2" s="1" t="n"/>
      <c r="J2" s="1" t="n"/>
      <c r="K2" s="1" t="n"/>
      <c r="L2" s="1" t="n"/>
      <c r="M2" s="1" t="n"/>
      <c r="N2" s="1" t="n"/>
      <c r="O2" s="1" t="n"/>
      <c r="P2" s="1" t="n"/>
      <c r="Q2" s="1" t="n"/>
      <c r="R2" s="1" t="n"/>
    </row>
    <row r="3" ht="22" customHeight="1">
      <c r="B3" s="19" t="inlineStr">
        <is>
          <t>One line per material claim or figure used in the report: what it supports, where the evidence is, and whether the owner has confirmed it.</t>
        </is>
      </c>
    </row>
    <row r="4"/>
    <row r="5" ht="42" customHeight="1">
      <c r="B5" s="5" t="inlineStr">
        <is>
          <t>Evidence ID</t>
        </is>
      </c>
      <c r="C5" s="5" t="inlineStr">
        <is>
          <t>Ref</t>
        </is>
      </c>
      <c r="D5" s="5" t="inlineStr">
        <is>
          <t>Faculty / unit</t>
        </is>
      </c>
      <c r="E5" s="5" t="inlineStr">
        <is>
          <t>Claim or figure in the report</t>
        </is>
      </c>
      <c r="F5" s="5" t="inlineStr">
        <is>
          <t>Evidence (link or file)</t>
        </is>
      </c>
      <c r="G5" s="5" t="inlineStr">
        <is>
          <t>Source</t>
        </is>
      </c>
      <c r="H5" s="5" t="inlineStr">
        <is>
          <t>Owner confirmed?</t>
        </is>
      </c>
      <c r="I5" s="5" t="inlineStr">
        <is>
          <t>Notes</t>
        </is>
      </c>
    </row>
    <row r="6">
      <c r="B6" s="7">
        <f>IF(E6="","","EV-"&amp;TEXT(ROW()-5,"000"))</f>
        <v/>
      </c>
      <c r="C6" s="7" t="n"/>
      <c r="D6" s="7" t="n"/>
      <c r="E6" s="7" t="n"/>
      <c r="F6" s="7" t="n"/>
      <c r="G6" s="7" t="n"/>
      <c r="H6" s="7" t="n"/>
      <c r="I6" s="7" t="n"/>
    </row>
    <row r="7">
      <c r="B7" s="7">
        <f>IF(E7="","","EV-"&amp;TEXT(ROW()-5,"000"))</f>
        <v/>
      </c>
      <c r="C7" s="7" t="n"/>
      <c r="D7" s="7" t="n"/>
      <c r="E7" s="7" t="n"/>
      <c r="F7" s="7" t="n"/>
      <c r="G7" s="7" t="n"/>
      <c r="H7" s="7" t="n"/>
      <c r="I7" s="7" t="n"/>
    </row>
    <row r="8">
      <c r="B8" s="7">
        <f>IF(E8="","","EV-"&amp;TEXT(ROW()-5,"000"))</f>
        <v/>
      </c>
      <c r="C8" s="7" t="n"/>
      <c r="D8" s="7" t="n"/>
      <c r="E8" s="7" t="n"/>
      <c r="F8" s="7" t="n"/>
      <c r="G8" s="7" t="n"/>
      <c r="H8" s="7" t="n"/>
      <c r="I8" s="7" t="n"/>
    </row>
    <row r="9">
      <c r="B9" s="7">
        <f>IF(E9="","","EV-"&amp;TEXT(ROW()-5,"000"))</f>
        <v/>
      </c>
      <c r="C9" s="7" t="n"/>
      <c r="D9" s="7" t="n"/>
      <c r="E9" s="7" t="n"/>
      <c r="F9" s="7" t="n"/>
      <c r="G9" s="7" t="n"/>
      <c r="H9" s="7" t="n"/>
      <c r="I9" s="7" t="n"/>
    </row>
    <row r="10">
      <c r="B10" s="7">
        <f>IF(E10="","","EV-"&amp;TEXT(ROW()-5,"000"))</f>
        <v/>
      </c>
      <c r="C10" s="7" t="n"/>
      <c r="D10" s="7" t="n"/>
      <c r="E10" s="7" t="n"/>
      <c r="F10" s="7" t="n"/>
      <c r="G10" s="7" t="n"/>
      <c r="H10" s="7" t="n"/>
      <c r="I10" s="7" t="n"/>
    </row>
    <row r="11">
      <c r="B11" s="7">
        <f>IF(E11="","","EV-"&amp;TEXT(ROW()-5,"000"))</f>
        <v/>
      </c>
      <c r="C11" s="7" t="n"/>
      <c r="D11" s="7" t="n"/>
      <c r="E11" s="7" t="n"/>
      <c r="F11" s="7" t="n"/>
      <c r="G11" s="7" t="n"/>
      <c r="H11" s="7" t="n"/>
      <c r="I11" s="7" t="n"/>
    </row>
    <row r="12">
      <c r="B12" s="7">
        <f>IF(E12="","","EV-"&amp;TEXT(ROW()-5,"000"))</f>
        <v/>
      </c>
      <c r="C12" s="7" t="n"/>
      <c r="D12" s="7" t="n"/>
      <c r="E12" s="7" t="n"/>
      <c r="F12" s="7" t="n"/>
      <c r="G12" s="7" t="n"/>
      <c r="H12" s="7" t="n"/>
      <c r="I12" s="7" t="n"/>
    </row>
    <row r="13">
      <c r="B13" s="7">
        <f>IF(E13="","","EV-"&amp;TEXT(ROW()-5,"000"))</f>
        <v/>
      </c>
      <c r="C13" s="7" t="n"/>
      <c r="D13" s="7" t="n"/>
      <c r="E13" s="7" t="n"/>
      <c r="F13" s="7" t="n"/>
      <c r="G13" s="7" t="n"/>
      <c r="H13" s="7" t="n"/>
      <c r="I13" s="7" t="n"/>
    </row>
    <row r="14">
      <c r="B14" s="7">
        <f>IF(E14="","","EV-"&amp;TEXT(ROW()-5,"000"))</f>
        <v/>
      </c>
      <c r="C14" s="7" t="n"/>
      <c r="D14" s="7" t="n"/>
      <c r="E14" s="7" t="n"/>
      <c r="F14" s="7" t="n"/>
      <c r="G14" s="7" t="n"/>
      <c r="H14" s="7" t="n"/>
      <c r="I14" s="7" t="n"/>
    </row>
    <row r="15">
      <c r="B15" s="7">
        <f>IF(E15="","","EV-"&amp;TEXT(ROW()-5,"000"))</f>
        <v/>
      </c>
      <c r="C15" s="7" t="n"/>
      <c r="D15" s="7" t="n"/>
      <c r="E15" s="7" t="n"/>
      <c r="F15" s="7" t="n"/>
      <c r="G15" s="7" t="n"/>
      <c r="H15" s="7" t="n"/>
      <c r="I15" s="7" t="n"/>
    </row>
    <row r="16">
      <c r="B16" s="7">
        <f>IF(E16="","","EV-"&amp;TEXT(ROW()-5,"000"))</f>
        <v/>
      </c>
      <c r="C16" s="7" t="n"/>
      <c r="D16" s="7" t="n"/>
      <c r="E16" s="7" t="n"/>
      <c r="F16" s="7" t="n"/>
      <c r="G16" s="7" t="n"/>
      <c r="H16" s="7" t="n"/>
      <c r="I16" s="7" t="n"/>
    </row>
    <row r="17">
      <c r="B17" s="7">
        <f>IF(E17="","","EV-"&amp;TEXT(ROW()-5,"000"))</f>
        <v/>
      </c>
      <c r="C17" s="7" t="n"/>
      <c r="D17" s="7" t="n"/>
      <c r="E17" s="7" t="n"/>
      <c r="F17" s="7" t="n"/>
      <c r="G17" s="7" t="n"/>
      <c r="H17" s="7" t="n"/>
      <c r="I17" s="7" t="n"/>
    </row>
    <row r="18">
      <c r="B18" s="7">
        <f>IF(E18="","","EV-"&amp;TEXT(ROW()-5,"000"))</f>
        <v/>
      </c>
      <c r="C18" s="7" t="n"/>
      <c r="D18" s="7" t="n"/>
      <c r="E18" s="7" t="n"/>
      <c r="F18" s="7" t="n"/>
      <c r="G18" s="7" t="n"/>
      <c r="H18" s="7" t="n"/>
      <c r="I18" s="7" t="n"/>
    </row>
    <row r="19">
      <c r="B19" s="7">
        <f>IF(E19="","","EV-"&amp;TEXT(ROW()-5,"000"))</f>
        <v/>
      </c>
      <c r="C19" s="7" t="n"/>
      <c r="D19" s="7" t="n"/>
      <c r="E19" s="7" t="n"/>
      <c r="F19" s="7" t="n"/>
      <c r="G19" s="7" t="n"/>
      <c r="H19" s="7" t="n"/>
      <c r="I19" s="7" t="n"/>
    </row>
    <row r="20">
      <c r="B20" s="7">
        <f>IF(E20="","","EV-"&amp;TEXT(ROW()-5,"000"))</f>
        <v/>
      </c>
      <c r="C20" s="7" t="n"/>
      <c r="D20" s="7" t="n"/>
      <c r="E20" s="7" t="n"/>
      <c r="F20" s="7" t="n"/>
      <c r="G20" s="7" t="n"/>
      <c r="H20" s="7" t="n"/>
      <c r="I20" s="7" t="n"/>
    </row>
    <row r="21">
      <c r="B21" s="7">
        <f>IF(E21="","","EV-"&amp;TEXT(ROW()-5,"000"))</f>
        <v/>
      </c>
      <c r="C21" s="7" t="n"/>
      <c r="D21" s="7" t="n"/>
      <c r="E21" s="7" t="n"/>
      <c r="F21" s="7" t="n"/>
      <c r="G21" s="7" t="n"/>
      <c r="H21" s="7" t="n"/>
      <c r="I21" s="7" t="n"/>
    </row>
    <row r="22">
      <c r="B22" s="7">
        <f>IF(E22="","","EV-"&amp;TEXT(ROW()-5,"000"))</f>
        <v/>
      </c>
      <c r="C22" s="7" t="n"/>
      <c r="D22" s="7" t="n"/>
      <c r="E22" s="7" t="n"/>
      <c r="F22" s="7" t="n"/>
      <c r="G22" s="7" t="n"/>
      <c r="H22" s="7" t="n"/>
      <c r="I22" s="7" t="n"/>
    </row>
    <row r="23">
      <c r="B23" s="7">
        <f>IF(E23="","","EV-"&amp;TEXT(ROW()-5,"000"))</f>
        <v/>
      </c>
      <c r="C23" s="7" t="n"/>
      <c r="D23" s="7" t="n"/>
      <c r="E23" s="7" t="n"/>
      <c r="F23" s="7" t="n"/>
      <c r="G23" s="7" t="n"/>
      <c r="H23" s="7" t="n"/>
      <c r="I23" s="7" t="n"/>
    </row>
    <row r="24">
      <c r="B24" s="7">
        <f>IF(E24="","","EV-"&amp;TEXT(ROW()-5,"000"))</f>
        <v/>
      </c>
      <c r="C24" s="7" t="n"/>
      <c r="D24" s="7" t="n"/>
      <c r="E24" s="7" t="n"/>
      <c r="F24" s="7" t="n"/>
      <c r="G24" s="7" t="n"/>
      <c r="H24" s="7" t="n"/>
      <c r="I24" s="7" t="n"/>
    </row>
    <row r="25">
      <c r="B25" s="7">
        <f>IF(E25="","","EV-"&amp;TEXT(ROW()-5,"000"))</f>
        <v/>
      </c>
      <c r="C25" s="7" t="n"/>
      <c r="D25" s="7" t="n"/>
      <c r="E25" s="7" t="n"/>
      <c r="F25" s="7" t="n"/>
      <c r="G25" s="7" t="n"/>
      <c r="H25" s="7" t="n"/>
      <c r="I25" s="7" t="n"/>
    </row>
    <row r="26">
      <c r="B26" s="7">
        <f>IF(E26="","","EV-"&amp;TEXT(ROW()-5,"000"))</f>
        <v/>
      </c>
      <c r="C26" s="7" t="n"/>
      <c r="D26" s="7" t="n"/>
      <c r="E26" s="7" t="n"/>
      <c r="F26" s="7" t="n"/>
      <c r="G26" s="7" t="n"/>
      <c r="H26" s="7" t="n"/>
      <c r="I26" s="7" t="n"/>
    </row>
    <row r="27">
      <c r="B27" s="7">
        <f>IF(E27="","","EV-"&amp;TEXT(ROW()-5,"000"))</f>
        <v/>
      </c>
      <c r="C27" s="7" t="n"/>
      <c r="D27" s="7" t="n"/>
      <c r="E27" s="7" t="n"/>
      <c r="F27" s="7" t="n"/>
      <c r="G27" s="7" t="n"/>
      <c r="H27" s="7" t="n"/>
      <c r="I27" s="7" t="n"/>
    </row>
    <row r="28">
      <c r="B28" s="7">
        <f>IF(E28="","","EV-"&amp;TEXT(ROW()-5,"000"))</f>
        <v/>
      </c>
      <c r="C28" s="7" t="n"/>
      <c r="D28" s="7" t="n"/>
      <c r="E28" s="7" t="n"/>
      <c r="F28" s="7" t="n"/>
      <c r="G28" s="7" t="n"/>
      <c r="H28" s="7" t="n"/>
      <c r="I28" s="7" t="n"/>
    </row>
    <row r="29">
      <c r="B29" s="7">
        <f>IF(E29="","","EV-"&amp;TEXT(ROW()-5,"000"))</f>
        <v/>
      </c>
      <c r="C29" s="7" t="n"/>
      <c r="D29" s="7" t="n"/>
      <c r="E29" s="7" t="n"/>
      <c r="F29" s="7" t="n"/>
      <c r="G29" s="7" t="n"/>
      <c r="H29" s="7" t="n"/>
      <c r="I29" s="7" t="n"/>
    </row>
    <row r="30">
      <c r="B30" s="7">
        <f>IF(E30="","","EV-"&amp;TEXT(ROW()-5,"000"))</f>
        <v/>
      </c>
      <c r="C30" s="7" t="n"/>
      <c r="D30" s="7" t="n"/>
      <c r="E30" s="7" t="n"/>
      <c r="F30" s="7" t="n"/>
      <c r="G30" s="7" t="n"/>
      <c r="H30" s="7" t="n"/>
      <c r="I30" s="7" t="n"/>
    </row>
    <row r="31">
      <c r="B31" s="7">
        <f>IF(E31="","","EV-"&amp;TEXT(ROW()-5,"000"))</f>
        <v/>
      </c>
      <c r="C31" s="7" t="n"/>
      <c r="D31" s="7" t="n"/>
      <c r="E31" s="7" t="n"/>
      <c r="F31" s="7" t="n"/>
      <c r="G31" s="7" t="n"/>
      <c r="H31" s="7" t="n"/>
      <c r="I31" s="7" t="n"/>
    </row>
    <row r="32">
      <c r="B32" s="7">
        <f>IF(E32="","","EV-"&amp;TEXT(ROW()-5,"000"))</f>
        <v/>
      </c>
      <c r="C32" s="7" t="n"/>
      <c r="D32" s="7" t="n"/>
      <c r="E32" s="7" t="n"/>
      <c r="F32" s="7" t="n"/>
      <c r="G32" s="7" t="n"/>
      <c r="H32" s="7" t="n"/>
      <c r="I32" s="7" t="n"/>
    </row>
    <row r="33">
      <c r="B33" s="7">
        <f>IF(E33="","","EV-"&amp;TEXT(ROW()-5,"000"))</f>
        <v/>
      </c>
      <c r="C33" s="7" t="n"/>
      <c r="D33" s="7" t="n"/>
      <c r="E33" s="7" t="n"/>
      <c r="F33" s="7" t="n"/>
      <c r="G33" s="7" t="n"/>
      <c r="H33" s="7" t="n"/>
      <c r="I33" s="7" t="n"/>
    </row>
    <row r="34">
      <c r="B34" s="7">
        <f>IF(E34="","","EV-"&amp;TEXT(ROW()-5,"000"))</f>
        <v/>
      </c>
      <c r="C34" s="7" t="n"/>
      <c r="D34" s="7" t="n"/>
      <c r="E34" s="7" t="n"/>
      <c r="F34" s="7" t="n"/>
      <c r="G34" s="7" t="n"/>
      <c r="H34" s="7" t="n"/>
      <c r="I34" s="7" t="n"/>
    </row>
    <row r="35">
      <c r="B35" s="7">
        <f>IF(E35="","","EV-"&amp;TEXT(ROW()-5,"000"))</f>
        <v/>
      </c>
      <c r="C35" s="7" t="n"/>
      <c r="D35" s="7" t="n"/>
      <c r="E35" s="7" t="n"/>
      <c r="F35" s="7" t="n"/>
      <c r="G35" s="7" t="n"/>
      <c r="H35" s="7" t="n"/>
      <c r="I35" s="7" t="n"/>
    </row>
    <row r="36">
      <c r="B36" s="7">
        <f>IF(E36="","","EV-"&amp;TEXT(ROW()-5,"000"))</f>
        <v/>
      </c>
      <c r="C36" s="7" t="n"/>
      <c r="D36" s="7" t="n"/>
      <c r="E36" s="7" t="n"/>
      <c r="F36" s="7" t="n"/>
      <c r="G36" s="7" t="n"/>
      <c r="H36" s="7" t="n"/>
      <c r="I36" s="7" t="n"/>
    </row>
    <row r="37">
      <c r="B37" s="7">
        <f>IF(E37="","","EV-"&amp;TEXT(ROW()-5,"000"))</f>
        <v/>
      </c>
      <c r="C37" s="7" t="n"/>
      <c r="D37" s="7" t="n"/>
      <c r="E37" s="7" t="n"/>
      <c r="F37" s="7" t="n"/>
      <c r="G37" s="7" t="n"/>
      <c r="H37" s="7" t="n"/>
      <c r="I37" s="7" t="n"/>
    </row>
    <row r="38">
      <c r="B38" s="7">
        <f>IF(E38="","","EV-"&amp;TEXT(ROW()-5,"000"))</f>
        <v/>
      </c>
      <c r="C38" s="7" t="n"/>
      <c r="D38" s="7" t="n"/>
      <c r="E38" s="7" t="n"/>
      <c r="F38" s="7" t="n"/>
      <c r="G38" s="7" t="n"/>
      <c r="H38" s="7" t="n"/>
      <c r="I38" s="7" t="n"/>
    </row>
    <row r="39">
      <c r="B39" s="7">
        <f>IF(E39="","","EV-"&amp;TEXT(ROW()-5,"000"))</f>
        <v/>
      </c>
      <c r="C39" s="7" t="n"/>
      <c r="D39" s="7" t="n"/>
      <c r="E39" s="7" t="n"/>
      <c r="F39" s="7" t="n"/>
      <c r="G39" s="7" t="n"/>
      <c r="H39" s="7" t="n"/>
      <c r="I39" s="7" t="n"/>
    </row>
    <row r="40">
      <c r="B40" s="7">
        <f>IF(E40="","","EV-"&amp;TEXT(ROW()-5,"000"))</f>
        <v/>
      </c>
      <c r="C40" s="7" t="n"/>
      <c r="D40" s="7" t="n"/>
      <c r="E40" s="7" t="n"/>
      <c r="F40" s="7" t="n"/>
      <c r="G40" s="7" t="n"/>
      <c r="H40" s="7" t="n"/>
      <c r="I40" s="7" t="n"/>
    </row>
    <row r="41">
      <c r="B41" s="7">
        <f>IF(E41="","","EV-"&amp;TEXT(ROW()-5,"000"))</f>
        <v/>
      </c>
      <c r="C41" s="7" t="n"/>
      <c r="D41" s="7" t="n"/>
      <c r="E41" s="7" t="n"/>
      <c r="F41" s="7" t="n"/>
      <c r="G41" s="7" t="n"/>
      <c r="H41" s="7" t="n"/>
      <c r="I41" s="7" t="n"/>
    </row>
    <row r="42">
      <c r="B42" s="7">
        <f>IF(E42="","","EV-"&amp;TEXT(ROW()-5,"000"))</f>
        <v/>
      </c>
      <c r="C42" s="7" t="n"/>
      <c r="D42" s="7" t="n"/>
      <c r="E42" s="7" t="n"/>
      <c r="F42" s="7" t="n"/>
      <c r="G42" s="7" t="n"/>
      <c r="H42" s="7" t="n"/>
      <c r="I42" s="7" t="n"/>
    </row>
    <row r="43">
      <c r="B43" s="7">
        <f>IF(E43="","","EV-"&amp;TEXT(ROW()-5,"000"))</f>
        <v/>
      </c>
      <c r="C43" s="7" t="n"/>
      <c r="D43" s="7" t="n"/>
      <c r="E43" s="7" t="n"/>
      <c r="F43" s="7" t="n"/>
      <c r="G43" s="7" t="n"/>
      <c r="H43" s="7" t="n"/>
      <c r="I43" s="7" t="n"/>
    </row>
    <row r="44">
      <c r="B44" s="7">
        <f>IF(E44="","","EV-"&amp;TEXT(ROW()-5,"000"))</f>
        <v/>
      </c>
      <c r="C44" s="7" t="n"/>
      <c r="D44" s="7" t="n"/>
      <c r="E44" s="7" t="n"/>
      <c r="F44" s="7" t="n"/>
      <c r="G44" s="7" t="n"/>
      <c r="H44" s="7" t="n"/>
      <c r="I44" s="7" t="n"/>
    </row>
    <row r="45">
      <c r="B45" s="7">
        <f>IF(E45="","","EV-"&amp;TEXT(ROW()-5,"000"))</f>
        <v/>
      </c>
      <c r="C45" s="7" t="n"/>
      <c r="D45" s="7" t="n"/>
      <c r="E45" s="7" t="n"/>
      <c r="F45" s="7" t="n"/>
      <c r="G45" s="7" t="n"/>
      <c r="H45" s="7" t="n"/>
      <c r="I45" s="7" t="n"/>
    </row>
    <row r="46">
      <c r="B46" s="7">
        <f>IF(E46="","","EV-"&amp;TEXT(ROW()-5,"000"))</f>
        <v/>
      </c>
      <c r="C46" s="7" t="n"/>
      <c r="D46" s="7" t="n"/>
      <c r="E46" s="7" t="n"/>
      <c r="F46" s="7" t="n"/>
      <c r="G46" s="7" t="n"/>
      <c r="H46" s="7" t="n"/>
      <c r="I46" s="7" t="n"/>
    </row>
    <row r="47">
      <c r="B47" s="7">
        <f>IF(E47="","","EV-"&amp;TEXT(ROW()-5,"000"))</f>
        <v/>
      </c>
      <c r="C47" s="7" t="n"/>
      <c r="D47" s="7" t="n"/>
      <c r="E47" s="7" t="n"/>
      <c r="F47" s="7" t="n"/>
      <c r="G47" s="7" t="n"/>
      <c r="H47" s="7" t="n"/>
      <c r="I47" s="7" t="n"/>
    </row>
    <row r="48">
      <c r="B48" s="7">
        <f>IF(E48="","","EV-"&amp;TEXT(ROW()-5,"000"))</f>
        <v/>
      </c>
      <c r="C48" s="7" t="n"/>
      <c r="D48" s="7" t="n"/>
      <c r="E48" s="7" t="n"/>
      <c r="F48" s="7" t="n"/>
      <c r="G48" s="7" t="n"/>
      <c r="H48" s="7" t="n"/>
      <c r="I48" s="7" t="n"/>
    </row>
    <row r="49">
      <c r="B49" s="7">
        <f>IF(E49="","","EV-"&amp;TEXT(ROW()-5,"000"))</f>
        <v/>
      </c>
      <c r="C49" s="7" t="n"/>
      <c r="D49" s="7" t="n"/>
      <c r="E49" s="7" t="n"/>
      <c r="F49" s="7" t="n"/>
      <c r="G49" s="7" t="n"/>
      <c r="H49" s="7" t="n"/>
      <c r="I49" s="7" t="n"/>
    </row>
    <row r="50">
      <c r="B50" s="7">
        <f>IF(E50="","","EV-"&amp;TEXT(ROW()-5,"000"))</f>
        <v/>
      </c>
      <c r="C50" s="7" t="n"/>
      <c r="D50" s="7" t="n"/>
      <c r="E50" s="7" t="n"/>
      <c r="F50" s="7" t="n"/>
      <c r="G50" s="7" t="n"/>
      <c r="H50" s="7" t="n"/>
      <c r="I50" s="7" t="n"/>
    </row>
    <row r="51">
      <c r="B51" s="7">
        <f>IF(E51="","","EV-"&amp;TEXT(ROW()-5,"000"))</f>
        <v/>
      </c>
      <c r="C51" s="7" t="n"/>
      <c r="D51" s="7" t="n"/>
      <c r="E51" s="7" t="n"/>
      <c r="F51" s="7" t="n"/>
      <c r="G51" s="7" t="n"/>
      <c r="H51" s="7" t="n"/>
      <c r="I51" s="7" t="n"/>
    </row>
    <row r="52">
      <c r="B52" s="7">
        <f>IF(E52="","","EV-"&amp;TEXT(ROW()-5,"000"))</f>
        <v/>
      </c>
      <c r="C52" s="7" t="n"/>
      <c r="D52" s="7" t="n"/>
      <c r="E52" s="7" t="n"/>
      <c r="F52" s="7" t="n"/>
      <c r="G52" s="7" t="n"/>
      <c r="H52" s="7" t="n"/>
      <c r="I52" s="7" t="n"/>
    </row>
    <row r="53">
      <c r="B53" s="7">
        <f>IF(E53="","","EV-"&amp;TEXT(ROW()-5,"000"))</f>
        <v/>
      </c>
      <c r="C53" s="7" t="n"/>
      <c r="D53" s="7" t="n"/>
      <c r="E53" s="7" t="n"/>
      <c r="F53" s="7" t="n"/>
      <c r="G53" s="7" t="n"/>
      <c r="H53" s="7" t="n"/>
      <c r="I53" s="7" t="n"/>
    </row>
    <row r="54">
      <c r="B54" s="7">
        <f>IF(E54="","","EV-"&amp;TEXT(ROW()-5,"000"))</f>
        <v/>
      </c>
      <c r="C54" s="7" t="n"/>
      <c r="D54" s="7" t="n"/>
      <c r="E54" s="7" t="n"/>
      <c r="F54" s="7" t="n"/>
      <c r="G54" s="7" t="n"/>
      <c r="H54" s="7" t="n"/>
      <c r="I54" s="7" t="n"/>
    </row>
    <row r="55">
      <c r="B55" s="7">
        <f>IF(E55="","","EV-"&amp;TEXT(ROW()-5,"000"))</f>
        <v/>
      </c>
      <c r="C55" s="7" t="n"/>
      <c r="D55" s="7" t="n"/>
      <c r="E55" s="7" t="n"/>
      <c r="F55" s="7" t="n"/>
      <c r="G55" s="7" t="n"/>
      <c r="H55" s="7" t="n"/>
      <c r="I55" s="7" t="n"/>
    </row>
    <row r="56">
      <c r="B56" s="7">
        <f>IF(E56="","","EV-"&amp;TEXT(ROW()-5,"000"))</f>
        <v/>
      </c>
      <c r="C56" s="7" t="n"/>
      <c r="D56" s="7" t="n"/>
      <c r="E56" s="7" t="n"/>
      <c r="F56" s="7" t="n"/>
      <c r="G56" s="7" t="n"/>
      <c r="H56" s="7" t="n"/>
      <c r="I56" s="7" t="n"/>
    </row>
    <row r="57">
      <c r="B57" s="7">
        <f>IF(E57="","","EV-"&amp;TEXT(ROW()-5,"000"))</f>
        <v/>
      </c>
      <c r="C57" s="7" t="n"/>
      <c r="D57" s="7" t="n"/>
      <c r="E57" s="7" t="n"/>
      <c r="F57" s="7" t="n"/>
      <c r="G57" s="7" t="n"/>
      <c r="H57" s="7" t="n"/>
      <c r="I57" s="7" t="n"/>
    </row>
    <row r="58">
      <c r="B58" s="7">
        <f>IF(E58="","","EV-"&amp;TEXT(ROW()-5,"000"))</f>
        <v/>
      </c>
      <c r="C58" s="7" t="n"/>
      <c r="D58" s="7" t="n"/>
      <c r="E58" s="7" t="n"/>
      <c r="F58" s="7" t="n"/>
      <c r="G58" s="7" t="n"/>
      <c r="H58" s="7" t="n"/>
      <c r="I58" s="7" t="n"/>
    </row>
    <row r="59">
      <c r="B59" s="7">
        <f>IF(E59="","","EV-"&amp;TEXT(ROW()-5,"000"))</f>
        <v/>
      </c>
      <c r="C59" s="7" t="n"/>
      <c r="D59" s="7" t="n"/>
      <c r="E59" s="7" t="n"/>
      <c r="F59" s="7" t="n"/>
      <c r="G59" s="7" t="n"/>
      <c r="H59" s="7" t="n"/>
      <c r="I59" s="7" t="n"/>
    </row>
    <row r="60">
      <c r="B60" s="7">
        <f>IF(E60="","","EV-"&amp;TEXT(ROW()-5,"000"))</f>
        <v/>
      </c>
      <c r="C60" s="7" t="n"/>
      <c r="D60" s="7" t="n"/>
      <c r="E60" s="7" t="n"/>
      <c r="F60" s="7" t="n"/>
      <c r="G60" s="7" t="n"/>
      <c r="H60" s="7" t="n"/>
      <c r="I60" s="7" t="n"/>
    </row>
    <row r="61">
      <c r="B61" s="7">
        <f>IF(E61="","","EV-"&amp;TEXT(ROW()-5,"000"))</f>
        <v/>
      </c>
      <c r="C61" s="7" t="n"/>
      <c r="D61" s="7" t="n"/>
      <c r="E61" s="7" t="n"/>
      <c r="F61" s="7" t="n"/>
      <c r="G61" s="7" t="n"/>
      <c r="H61" s="7" t="n"/>
      <c r="I61" s="7" t="n"/>
    </row>
    <row r="62">
      <c r="B62" s="7">
        <f>IF(E62="","","EV-"&amp;TEXT(ROW()-5,"000"))</f>
        <v/>
      </c>
      <c r="C62" s="7" t="n"/>
      <c r="D62" s="7" t="n"/>
      <c r="E62" s="7" t="n"/>
      <c r="F62" s="7" t="n"/>
      <c r="G62" s="7" t="n"/>
      <c r="H62" s="7" t="n"/>
      <c r="I62" s="7" t="n"/>
    </row>
    <row r="63">
      <c r="B63" s="7">
        <f>IF(E63="","","EV-"&amp;TEXT(ROW()-5,"000"))</f>
        <v/>
      </c>
      <c r="C63" s="7" t="n"/>
      <c r="D63" s="7" t="n"/>
      <c r="E63" s="7" t="n"/>
      <c r="F63" s="7" t="n"/>
      <c r="G63" s="7" t="n"/>
      <c r="H63" s="7" t="n"/>
      <c r="I63" s="7" t="n"/>
    </row>
    <row r="64">
      <c r="B64" s="7">
        <f>IF(E64="","","EV-"&amp;TEXT(ROW()-5,"000"))</f>
        <v/>
      </c>
      <c r="C64" s="7" t="n"/>
      <c r="D64" s="7" t="n"/>
      <c r="E64" s="7" t="n"/>
      <c r="F64" s="7" t="n"/>
      <c r="G64" s="7" t="n"/>
      <c r="H64" s="7" t="n"/>
      <c r="I64" s="7" t="n"/>
    </row>
    <row r="65">
      <c r="B65" s="7">
        <f>IF(E65="","","EV-"&amp;TEXT(ROW()-5,"000"))</f>
        <v/>
      </c>
      <c r="C65" s="7" t="n"/>
      <c r="D65" s="7" t="n"/>
      <c r="E65" s="7" t="n"/>
      <c r="F65" s="7" t="n"/>
      <c r="G65" s="7" t="n"/>
      <c r="H65" s="7" t="n"/>
      <c r="I65" s="7" t="n"/>
    </row>
    <row r="66">
      <c r="B66" s="7">
        <f>IF(E66="","","EV-"&amp;TEXT(ROW()-5,"000"))</f>
        <v/>
      </c>
      <c r="C66" s="7" t="n"/>
      <c r="D66" s="7" t="n"/>
      <c r="E66" s="7" t="n"/>
      <c r="F66" s="7" t="n"/>
      <c r="G66" s="7" t="n"/>
      <c r="H66" s="7" t="n"/>
      <c r="I66" s="7" t="n"/>
    </row>
    <row r="67">
      <c r="B67" s="7">
        <f>IF(E67="","","EV-"&amp;TEXT(ROW()-5,"000"))</f>
        <v/>
      </c>
      <c r="C67" s="7" t="n"/>
      <c r="D67" s="7" t="n"/>
      <c r="E67" s="7" t="n"/>
      <c r="F67" s="7" t="n"/>
      <c r="G67" s="7" t="n"/>
      <c r="H67" s="7" t="n"/>
      <c r="I67" s="7" t="n"/>
    </row>
    <row r="68">
      <c r="B68" s="7">
        <f>IF(E68="","","EV-"&amp;TEXT(ROW()-5,"000"))</f>
        <v/>
      </c>
      <c r="C68" s="7" t="n"/>
      <c r="D68" s="7" t="n"/>
      <c r="E68" s="7" t="n"/>
      <c r="F68" s="7" t="n"/>
      <c r="G68" s="7" t="n"/>
      <c r="H68" s="7" t="n"/>
      <c r="I68" s="7" t="n"/>
    </row>
    <row r="69">
      <c r="B69" s="7">
        <f>IF(E69="","","EV-"&amp;TEXT(ROW()-5,"000"))</f>
        <v/>
      </c>
      <c r="C69" s="7" t="n"/>
      <c r="D69" s="7" t="n"/>
      <c r="E69" s="7" t="n"/>
      <c r="F69" s="7" t="n"/>
      <c r="G69" s="7" t="n"/>
      <c r="H69" s="7" t="n"/>
      <c r="I69" s="7" t="n"/>
    </row>
    <row r="70">
      <c r="B70" s="7">
        <f>IF(E70="","","EV-"&amp;TEXT(ROW()-5,"000"))</f>
        <v/>
      </c>
      <c r="C70" s="7" t="n"/>
      <c r="D70" s="7" t="n"/>
      <c r="E70" s="7" t="n"/>
      <c r="F70" s="7" t="n"/>
      <c r="G70" s="7" t="n"/>
      <c r="H70" s="7" t="n"/>
      <c r="I70" s="7" t="n"/>
    </row>
    <row r="71">
      <c r="B71" s="7">
        <f>IF(E71="","","EV-"&amp;TEXT(ROW()-5,"000"))</f>
        <v/>
      </c>
      <c r="C71" s="7" t="n"/>
      <c r="D71" s="7" t="n"/>
      <c r="E71" s="7" t="n"/>
      <c r="F71" s="7" t="n"/>
      <c r="G71" s="7" t="n"/>
      <c r="H71" s="7" t="n"/>
      <c r="I71" s="7" t="n"/>
    </row>
    <row r="72">
      <c r="B72" s="7">
        <f>IF(E72="","","EV-"&amp;TEXT(ROW()-5,"000"))</f>
        <v/>
      </c>
      <c r="C72" s="7" t="n"/>
      <c r="D72" s="7" t="n"/>
      <c r="E72" s="7" t="n"/>
      <c r="F72" s="7" t="n"/>
      <c r="G72" s="7" t="n"/>
      <c r="H72" s="7" t="n"/>
      <c r="I72" s="7" t="n"/>
    </row>
    <row r="73">
      <c r="B73" s="7">
        <f>IF(E73="","","EV-"&amp;TEXT(ROW()-5,"000"))</f>
        <v/>
      </c>
      <c r="C73" s="7" t="n"/>
      <c r="D73" s="7" t="n"/>
      <c r="E73" s="7" t="n"/>
      <c r="F73" s="7" t="n"/>
      <c r="G73" s="7" t="n"/>
      <c r="H73" s="7" t="n"/>
      <c r="I73" s="7" t="n"/>
    </row>
    <row r="74">
      <c r="B74" s="7">
        <f>IF(E74="","","EV-"&amp;TEXT(ROW()-5,"000"))</f>
        <v/>
      </c>
      <c r="C74" s="7" t="n"/>
      <c r="D74" s="7" t="n"/>
      <c r="E74" s="7" t="n"/>
      <c r="F74" s="7" t="n"/>
      <c r="G74" s="7" t="n"/>
      <c r="H74" s="7" t="n"/>
      <c r="I74" s="7" t="n"/>
    </row>
    <row r="75">
      <c r="B75" s="7">
        <f>IF(E75="","","EV-"&amp;TEXT(ROW()-5,"000"))</f>
        <v/>
      </c>
      <c r="C75" s="7" t="n"/>
      <c r="D75" s="7" t="n"/>
      <c r="E75" s="7" t="n"/>
      <c r="F75" s="7" t="n"/>
      <c r="G75" s="7" t="n"/>
      <c r="H75" s="7" t="n"/>
      <c r="I75" s="7" t="n"/>
    </row>
    <row r="76">
      <c r="B76" s="7">
        <f>IF(E76="","","EV-"&amp;TEXT(ROW()-5,"000"))</f>
        <v/>
      </c>
      <c r="C76" s="7" t="n"/>
      <c r="D76" s="7" t="n"/>
      <c r="E76" s="7" t="n"/>
      <c r="F76" s="7" t="n"/>
      <c r="G76" s="7" t="n"/>
      <c r="H76" s="7" t="n"/>
      <c r="I76" s="7" t="n"/>
    </row>
    <row r="77">
      <c r="B77" s="7">
        <f>IF(E77="","","EV-"&amp;TEXT(ROW()-5,"000"))</f>
        <v/>
      </c>
      <c r="C77" s="7" t="n"/>
      <c r="D77" s="7" t="n"/>
      <c r="E77" s="7" t="n"/>
      <c r="F77" s="7" t="n"/>
      <c r="G77" s="7" t="n"/>
      <c r="H77" s="7" t="n"/>
      <c r="I77" s="7" t="n"/>
    </row>
    <row r="78">
      <c r="B78" s="7">
        <f>IF(E78="","","EV-"&amp;TEXT(ROW()-5,"000"))</f>
        <v/>
      </c>
      <c r="C78" s="7" t="n"/>
      <c r="D78" s="7" t="n"/>
      <c r="E78" s="7" t="n"/>
      <c r="F78" s="7" t="n"/>
      <c r="G78" s="7" t="n"/>
      <c r="H78" s="7" t="n"/>
      <c r="I78" s="7" t="n"/>
    </row>
    <row r="79">
      <c r="B79" s="7">
        <f>IF(E79="","","EV-"&amp;TEXT(ROW()-5,"000"))</f>
        <v/>
      </c>
      <c r="C79" s="7" t="n"/>
      <c r="D79" s="7" t="n"/>
      <c r="E79" s="7" t="n"/>
      <c r="F79" s="7" t="n"/>
      <c r="G79" s="7" t="n"/>
      <c r="H79" s="7" t="n"/>
      <c r="I79" s="7" t="n"/>
    </row>
    <row r="80">
      <c r="B80" s="7">
        <f>IF(E80="","","EV-"&amp;TEXT(ROW()-5,"000"))</f>
        <v/>
      </c>
      <c r="C80" s="7" t="n"/>
      <c r="D80" s="7" t="n"/>
      <c r="E80" s="7" t="n"/>
      <c r="F80" s="7" t="n"/>
      <c r="G80" s="7" t="n"/>
      <c r="H80" s="7" t="n"/>
      <c r="I80" s="7" t="n"/>
    </row>
    <row r="81">
      <c r="B81" s="7">
        <f>IF(E81="","","EV-"&amp;TEXT(ROW()-5,"000"))</f>
        <v/>
      </c>
      <c r="C81" s="7" t="n"/>
      <c r="D81" s="7" t="n"/>
      <c r="E81" s="7" t="n"/>
      <c r="F81" s="7" t="n"/>
      <c r="G81" s="7" t="n"/>
      <c r="H81" s="7" t="n"/>
      <c r="I81" s="7" t="n"/>
    </row>
    <row r="82">
      <c r="B82" s="7">
        <f>IF(E82="","","EV-"&amp;TEXT(ROW()-5,"000"))</f>
        <v/>
      </c>
      <c r="C82" s="7" t="n"/>
      <c r="D82" s="7" t="n"/>
      <c r="E82" s="7" t="n"/>
      <c r="F82" s="7" t="n"/>
      <c r="G82" s="7" t="n"/>
      <c r="H82" s="7" t="n"/>
      <c r="I82" s="7" t="n"/>
    </row>
    <row r="83">
      <c r="B83" s="7">
        <f>IF(E83="","","EV-"&amp;TEXT(ROW()-5,"000"))</f>
        <v/>
      </c>
      <c r="C83" s="7" t="n"/>
      <c r="D83" s="7" t="n"/>
      <c r="E83" s="7" t="n"/>
      <c r="F83" s="7" t="n"/>
      <c r="G83" s="7" t="n"/>
      <c r="H83" s="7" t="n"/>
      <c r="I83" s="7" t="n"/>
    </row>
    <row r="84">
      <c r="B84" s="7">
        <f>IF(E84="","","EV-"&amp;TEXT(ROW()-5,"000"))</f>
        <v/>
      </c>
      <c r="C84" s="7" t="n"/>
      <c r="D84" s="7" t="n"/>
      <c r="E84" s="7" t="n"/>
      <c r="F84" s="7" t="n"/>
      <c r="G84" s="7" t="n"/>
      <c r="H84" s="7" t="n"/>
      <c r="I84" s="7" t="n"/>
    </row>
    <row r="85">
      <c r="B85" s="7">
        <f>IF(E85="","","EV-"&amp;TEXT(ROW()-5,"000"))</f>
        <v/>
      </c>
      <c r="C85" s="7" t="n"/>
      <c r="D85" s="7" t="n"/>
      <c r="E85" s="7" t="n"/>
      <c r="F85" s="7" t="n"/>
      <c r="G85" s="7" t="n"/>
      <c r="H85" s="7" t="n"/>
      <c r="I85" s="7" t="n"/>
    </row>
    <row r="86">
      <c r="B86" s="7">
        <f>IF(E86="","","EV-"&amp;TEXT(ROW()-5,"000"))</f>
        <v/>
      </c>
      <c r="C86" s="7" t="n"/>
      <c r="D86" s="7" t="n"/>
      <c r="E86" s="7" t="n"/>
      <c r="F86" s="7" t="n"/>
      <c r="G86" s="7" t="n"/>
      <c r="H86" s="7" t="n"/>
      <c r="I86" s="7" t="n"/>
    </row>
    <row r="87">
      <c r="B87" s="7">
        <f>IF(E87="","","EV-"&amp;TEXT(ROW()-5,"000"))</f>
        <v/>
      </c>
      <c r="C87" s="7" t="n"/>
      <c r="D87" s="7" t="n"/>
      <c r="E87" s="7" t="n"/>
      <c r="F87" s="7" t="n"/>
      <c r="G87" s="7" t="n"/>
      <c r="H87" s="7" t="n"/>
      <c r="I87" s="7" t="n"/>
    </row>
    <row r="88">
      <c r="B88" s="7">
        <f>IF(E88="","","EV-"&amp;TEXT(ROW()-5,"000"))</f>
        <v/>
      </c>
      <c r="C88" s="7" t="n"/>
      <c r="D88" s="7" t="n"/>
      <c r="E88" s="7" t="n"/>
      <c r="F88" s="7" t="n"/>
      <c r="G88" s="7" t="n"/>
      <c r="H88" s="7" t="n"/>
      <c r="I88" s="7" t="n"/>
    </row>
    <row r="89">
      <c r="B89" s="7">
        <f>IF(E89="","","EV-"&amp;TEXT(ROW()-5,"000"))</f>
        <v/>
      </c>
      <c r="C89" s="7" t="n"/>
      <c r="D89" s="7" t="n"/>
      <c r="E89" s="7" t="n"/>
      <c r="F89" s="7" t="n"/>
      <c r="G89" s="7" t="n"/>
      <c r="H89" s="7" t="n"/>
      <c r="I89" s="7" t="n"/>
    </row>
    <row r="90">
      <c r="B90" s="7">
        <f>IF(E90="","","EV-"&amp;TEXT(ROW()-5,"000"))</f>
        <v/>
      </c>
      <c r="C90" s="7" t="n"/>
      <c r="D90" s="7" t="n"/>
      <c r="E90" s="7" t="n"/>
      <c r="F90" s="7" t="n"/>
      <c r="G90" s="7" t="n"/>
      <c r="H90" s="7" t="n"/>
      <c r="I90" s="7" t="n"/>
    </row>
    <row r="91">
      <c r="B91" s="7">
        <f>IF(E91="","","EV-"&amp;TEXT(ROW()-5,"000"))</f>
        <v/>
      </c>
      <c r="C91" s="7" t="n"/>
      <c r="D91" s="7" t="n"/>
      <c r="E91" s="7" t="n"/>
      <c r="F91" s="7" t="n"/>
      <c r="G91" s="7" t="n"/>
      <c r="H91" s="7" t="n"/>
      <c r="I91" s="7" t="n"/>
    </row>
    <row r="92">
      <c r="B92" s="7">
        <f>IF(E92="","","EV-"&amp;TEXT(ROW()-5,"000"))</f>
        <v/>
      </c>
      <c r="C92" s="7" t="n"/>
      <c r="D92" s="7" t="n"/>
      <c r="E92" s="7" t="n"/>
      <c r="F92" s="7" t="n"/>
      <c r="G92" s="7" t="n"/>
      <c r="H92" s="7" t="n"/>
      <c r="I92" s="7" t="n"/>
    </row>
    <row r="93">
      <c r="B93" s="7">
        <f>IF(E93="","","EV-"&amp;TEXT(ROW()-5,"000"))</f>
        <v/>
      </c>
      <c r="C93" s="7" t="n"/>
      <c r="D93" s="7" t="n"/>
      <c r="E93" s="7" t="n"/>
      <c r="F93" s="7" t="n"/>
      <c r="G93" s="7" t="n"/>
      <c r="H93" s="7" t="n"/>
      <c r="I93" s="7" t="n"/>
    </row>
    <row r="94">
      <c r="B94" s="7">
        <f>IF(E94="","","EV-"&amp;TEXT(ROW()-5,"000"))</f>
        <v/>
      </c>
      <c r="C94" s="7" t="n"/>
      <c r="D94" s="7" t="n"/>
      <c r="E94" s="7" t="n"/>
      <c r="F94" s="7" t="n"/>
      <c r="G94" s="7" t="n"/>
      <c r="H94" s="7" t="n"/>
      <c r="I94" s="7" t="n"/>
    </row>
    <row r="95">
      <c r="B95" s="7">
        <f>IF(E95="","","EV-"&amp;TEXT(ROW()-5,"000"))</f>
        <v/>
      </c>
      <c r="C95" s="7" t="n"/>
      <c r="D95" s="7" t="n"/>
      <c r="E95" s="7" t="n"/>
      <c r="F95" s="7" t="n"/>
      <c r="G95" s="7" t="n"/>
      <c r="H95" s="7" t="n"/>
      <c r="I95" s="7" t="n"/>
    </row>
    <row r="96">
      <c r="B96" s="7">
        <f>IF(E96="","","EV-"&amp;TEXT(ROW()-5,"000"))</f>
        <v/>
      </c>
      <c r="C96" s="7" t="n"/>
      <c r="D96" s="7" t="n"/>
      <c r="E96" s="7" t="n"/>
      <c r="F96" s="7" t="n"/>
      <c r="G96" s="7" t="n"/>
      <c r="H96" s="7" t="n"/>
      <c r="I96" s="7" t="n"/>
    </row>
    <row r="97">
      <c r="B97" s="7">
        <f>IF(E97="","","EV-"&amp;TEXT(ROW()-5,"000"))</f>
        <v/>
      </c>
      <c r="C97" s="7" t="n"/>
      <c r="D97" s="7" t="n"/>
      <c r="E97" s="7" t="n"/>
      <c r="F97" s="7" t="n"/>
      <c r="G97" s="7" t="n"/>
      <c r="H97" s="7" t="n"/>
      <c r="I97" s="7" t="n"/>
    </row>
    <row r="98">
      <c r="B98" s="7">
        <f>IF(E98="","","EV-"&amp;TEXT(ROW()-5,"000"))</f>
        <v/>
      </c>
      <c r="C98" s="7" t="n"/>
      <c r="D98" s="7" t="n"/>
      <c r="E98" s="7" t="n"/>
      <c r="F98" s="7" t="n"/>
      <c r="G98" s="7" t="n"/>
      <c r="H98" s="7" t="n"/>
      <c r="I98" s="7" t="n"/>
    </row>
    <row r="99">
      <c r="B99" s="7">
        <f>IF(E99="","","EV-"&amp;TEXT(ROW()-5,"000"))</f>
        <v/>
      </c>
      <c r="C99" s="7" t="n"/>
      <c r="D99" s="7" t="n"/>
      <c r="E99" s="7" t="n"/>
      <c r="F99" s="7" t="n"/>
      <c r="G99" s="7" t="n"/>
      <c r="H99" s="7" t="n"/>
      <c r="I99" s="7" t="n"/>
    </row>
    <row r="100">
      <c r="B100" s="7">
        <f>IF(E100="","","EV-"&amp;TEXT(ROW()-5,"000"))</f>
        <v/>
      </c>
      <c r="C100" s="7" t="n"/>
      <c r="D100" s="7" t="n"/>
      <c r="E100" s="7" t="n"/>
      <c r="F100" s="7" t="n"/>
      <c r="G100" s="7" t="n"/>
      <c r="H100" s="7" t="n"/>
      <c r="I100" s="7" t="n"/>
    </row>
    <row r="101">
      <c r="B101" s="7">
        <f>IF(E101="","","EV-"&amp;TEXT(ROW()-5,"000"))</f>
        <v/>
      </c>
      <c r="C101" s="7" t="n"/>
      <c r="D101" s="7" t="n"/>
      <c r="E101" s="7" t="n"/>
      <c r="F101" s="7" t="n"/>
      <c r="G101" s="7" t="n"/>
      <c r="H101" s="7" t="n"/>
      <c r="I101" s="7" t="n"/>
    </row>
    <row r="102">
      <c r="B102" s="7">
        <f>IF(E102="","","EV-"&amp;TEXT(ROW()-5,"000"))</f>
        <v/>
      </c>
      <c r="C102" s="7" t="n"/>
      <c r="D102" s="7" t="n"/>
      <c r="E102" s="7" t="n"/>
      <c r="F102" s="7" t="n"/>
      <c r="G102" s="7" t="n"/>
      <c r="H102" s="7" t="n"/>
      <c r="I102" s="7" t="n"/>
    </row>
    <row r="103">
      <c r="B103" s="7">
        <f>IF(E103="","","EV-"&amp;TEXT(ROW()-5,"000"))</f>
        <v/>
      </c>
      <c r="C103" s="7" t="n"/>
      <c r="D103" s="7" t="n"/>
      <c r="E103" s="7" t="n"/>
      <c r="F103" s="7" t="n"/>
      <c r="G103" s="7" t="n"/>
      <c r="H103" s="7" t="n"/>
      <c r="I103" s="7" t="n"/>
    </row>
    <row r="104">
      <c r="B104" s="7">
        <f>IF(E104="","","EV-"&amp;TEXT(ROW()-5,"000"))</f>
        <v/>
      </c>
      <c r="C104" s="7" t="n"/>
      <c r="D104" s="7" t="n"/>
      <c r="E104" s="7" t="n"/>
      <c r="F104" s="7" t="n"/>
      <c r="G104" s="7" t="n"/>
      <c r="H104" s="7" t="n"/>
      <c r="I104" s="7" t="n"/>
    </row>
    <row r="105">
      <c r="B105" s="7">
        <f>IF(E105="","","EV-"&amp;TEXT(ROW()-5,"000"))</f>
        <v/>
      </c>
      <c r="C105" s="7" t="n"/>
      <c r="D105" s="7" t="n"/>
      <c r="E105" s="7" t="n"/>
      <c r="F105" s="7" t="n"/>
      <c r="G105" s="7" t="n"/>
      <c r="H105" s="7" t="n"/>
      <c r="I105" s="7" t="n"/>
    </row>
    <row r="106">
      <c r="B106" s="7">
        <f>IF(E106="","","EV-"&amp;TEXT(ROW()-5,"000"))</f>
        <v/>
      </c>
      <c r="C106" s="7" t="n"/>
      <c r="D106" s="7" t="n"/>
      <c r="E106" s="7" t="n"/>
      <c r="F106" s="7" t="n"/>
      <c r="G106" s="7" t="n"/>
      <c r="H106" s="7" t="n"/>
      <c r="I106" s="7" t="n"/>
    </row>
    <row r="107">
      <c r="B107" s="7">
        <f>IF(E107="","","EV-"&amp;TEXT(ROW()-5,"000"))</f>
        <v/>
      </c>
      <c r="C107" s="7" t="n"/>
      <c r="D107" s="7" t="n"/>
      <c r="E107" s="7" t="n"/>
      <c r="F107" s="7" t="n"/>
      <c r="G107" s="7" t="n"/>
      <c r="H107" s="7" t="n"/>
      <c r="I107" s="7" t="n"/>
    </row>
    <row r="108">
      <c r="B108" s="7">
        <f>IF(E108="","","EV-"&amp;TEXT(ROW()-5,"000"))</f>
        <v/>
      </c>
      <c r="C108" s="7" t="n"/>
      <c r="D108" s="7" t="n"/>
      <c r="E108" s="7" t="n"/>
      <c r="F108" s="7" t="n"/>
      <c r="G108" s="7" t="n"/>
      <c r="H108" s="7" t="n"/>
      <c r="I108" s="7" t="n"/>
    </row>
    <row r="109">
      <c r="B109" s="7">
        <f>IF(E109="","","EV-"&amp;TEXT(ROW()-5,"000"))</f>
        <v/>
      </c>
      <c r="C109" s="7" t="n"/>
      <c r="D109" s="7" t="n"/>
      <c r="E109" s="7" t="n"/>
      <c r="F109" s="7" t="n"/>
      <c r="G109" s="7" t="n"/>
      <c r="H109" s="7" t="n"/>
      <c r="I109" s="7" t="n"/>
    </row>
    <row r="110">
      <c r="B110" s="7">
        <f>IF(E110="","","EV-"&amp;TEXT(ROW()-5,"000"))</f>
        <v/>
      </c>
      <c r="C110" s="7" t="n"/>
      <c r="D110" s="7" t="n"/>
      <c r="E110" s="7" t="n"/>
      <c r="F110" s="7" t="n"/>
      <c r="G110" s="7" t="n"/>
      <c r="H110" s="7" t="n"/>
      <c r="I110" s="7" t="n"/>
    </row>
    <row r="111">
      <c r="B111" s="7">
        <f>IF(E111="","","EV-"&amp;TEXT(ROW()-5,"000"))</f>
        <v/>
      </c>
      <c r="C111" s="7" t="n"/>
      <c r="D111" s="7" t="n"/>
      <c r="E111" s="7" t="n"/>
      <c r="F111" s="7" t="n"/>
      <c r="G111" s="7" t="n"/>
      <c r="H111" s="7" t="n"/>
      <c r="I111" s="7" t="n"/>
    </row>
    <row r="112">
      <c r="B112" s="7">
        <f>IF(E112="","","EV-"&amp;TEXT(ROW()-5,"000"))</f>
        <v/>
      </c>
      <c r="C112" s="7" t="n"/>
      <c r="D112" s="7" t="n"/>
      <c r="E112" s="7" t="n"/>
      <c r="F112" s="7" t="n"/>
      <c r="G112" s="7" t="n"/>
      <c r="H112" s="7" t="n"/>
      <c r="I112" s="7" t="n"/>
    </row>
    <row r="113">
      <c r="B113" s="7">
        <f>IF(E113="","","EV-"&amp;TEXT(ROW()-5,"000"))</f>
        <v/>
      </c>
      <c r="C113" s="7" t="n"/>
      <c r="D113" s="7" t="n"/>
      <c r="E113" s="7" t="n"/>
      <c r="F113" s="7" t="n"/>
      <c r="G113" s="7" t="n"/>
      <c r="H113" s="7" t="n"/>
      <c r="I113" s="7" t="n"/>
    </row>
    <row r="114">
      <c r="B114" s="7">
        <f>IF(E114="","","EV-"&amp;TEXT(ROW()-5,"000"))</f>
        <v/>
      </c>
      <c r="C114" s="7" t="n"/>
      <c r="D114" s="7" t="n"/>
      <c r="E114" s="7" t="n"/>
      <c r="F114" s="7" t="n"/>
      <c r="G114" s="7" t="n"/>
      <c r="H114" s="7" t="n"/>
      <c r="I114" s="7" t="n"/>
    </row>
    <row r="115">
      <c r="B115" s="7">
        <f>IF(E115="","","EV-"&amp;TEXT(ROW()-5,"000"))</f>
        <v/>
      </c>
      <c r="C115" s="7" t="n"/>
      <c r="D115" s="7" t="n"/>
      <c r="E115" s="7" t="n"/>
      <c r="F115" s="7" t="n"/>
      <c r="G115" s="7" t="n"/>
      <c r="H115" s="7" t="n"/>
      <c r="I115" s="7" t="n"/>
    </row>
    <row r="116">
      <c r="B116" s="7">
        <f>IF(E116="","","EV-"&amp;TEXT(ROW()-5,"000"))</f>
        <v/>
      </c>
      <c r="C116" s="7" t="n"/>
      <c r="D116" s="7" t="n"/>
      <c r="E116" s="7" t="n"/>
      <c r="F116" s="7" t="n"/>
      <c r="G116" s="7" t="n"/>
      <c r="H116" s="7" t="n"/>
      <c r="I116" s="7" t="n"/>
    </row>
    <row r="117">
      <c r="B117" s="7">
        <f>IF(E117="","","EV-"&amp;TEXT(ROW()-5,"000"))</f>
        <v/>
      </c>
      <c r="C117" s="7" t="n"/>
      <c r="D117" s="7" t="n"/>
      <c r="E117" s="7" t="n"/>
      <c r="F117" s="7" t="n"/>
      <c r="G117" s="7" t="n"/>
      <c r="H117" s="7" t="n"/>
      <c r="I117" s="7" t="n"/>
    </row>
    <row r="118">
      <c r="B118" s="7">
        <f>IF(E118="","","EV-"&amp;TEXT(ROW()-5,"000"))</f>
        <v/>
      </c>
      <c r="C118" s="7" t="n"/>
      <c r="D118" s="7" t="n"/>
      <c r="E118" s="7" t="n"/>
      <c r="F118" s="7" t="n"/>
      <c r="G118" s="7" t="n"/>
      <c r="H118" s="7" t="n"/>
      <c r="I118" s="7" t="n"/>
    </row>
    <row r="119">
      <c r="B119" s="7">
        <f>IF(E119="","","EV-"&amp;TEXT(ROW()-5,"000"))</f>
        <v/>
      </c>
      <c r="C119" s="7" t="n"/>
      <c r="D119" s="7" t="n"/>
      <c r="E119" s="7" t="n"/>
      <c r="F119" s="7" t="n"/>
      <c r="G119" s="7" t="n"/>
      <c r="H119" s="7" t="n"/>
      <c r="I119" s="7" t="n"/>
    </row>
    <row r="120">
      <c r="B120" s="7">
        <f>IF(E120="","","EV-"&amp;TEXT(ROW()-5,"000"))</f>
        <v/>
      </c>
      <c r="C120" s="7" t="n"/>
      <c r="D120" s="7" t="n"/>
      <c r="E120" s="7" t="n"/>
      <c r="F120" s="7" t="n"/>
      <c r="G120" s="7" t="n"/>
      <c r="H120" s="7" t="n"/>
      <c r="I120" s="7" t="n"/>
    </row>
    <row r="121">
      <c r="B121" s="7">
        <f>IF(E121="","","EV-"&amp;TEXT(ROW()-5,"000"))</f>
        <v/>
      </c>
      <c r="C121" s="7" t="n"/>
      <c r="D121" s="7" t="n"/>
      <c r="E121" s="7" t="n"/>
      <c r="F121" s="7" t="n"/>
      <c r="G121" s="7" t="n"/>
      <c r="H121" s="7" t="n"/>
      <c r="I121" s="7" t="n"/>
    </row>
    <row r="122">
      <c r="B122" s="7">
        <f>IF(E122="","","EV-"&amp;TEXT(ROW()-5,"000"))</f>
        <v/>
      </c>
      <c r="C122" s="7" t="n"/>
      <c r="D122" s="7" t="n"/>
      <c r="E122" s="7" t="n"/>
      <c r="F122" s="7" t="n"/>
      <c r="G122" s="7" t="n"/>
      <c r="H122" s="7" t="n"/>
      <c r="I122" s="7" t="n"/>
    </row>
    <row r="123">
      <c r="B123" s="7">
        <f>IF(E123="","","EV-"&amp;TEXT(ROW()-5,"000"))</f>
        <v/>
      </c>
      <c r="C123" s="7" t="n"/>
      <c r="D123" s="7" t="n"/>
      <c r="E123" s="7" t="n"/>
      <c r="F123" s="7" t="n"/>
      <c r="G123" s="7" t="n"/>
      <c r="H123" s="7" t="n"/>
      <c r="I123" s="7" t="n"/>
    </row>
    <row r="124">
      <c r="B124" s="7">
        <f>IF(E124="","","EV-"&amp;TEXT(ROW()-5,"000"))</f>
        <v/>
      </c>
      <c r="C124" s="7" t="n"/>
      <c r="D124" s="7" t="n"/>
      <c r="E124" s="7" t="n"/>
      <c r="F124" s="7" t="n"/>
      <c r="G124" s="7" t="n"/>
      <c r="H124" s="7" t="n"/>
      <c r="I124" s="7" t="n"/>
    </row>
    <row r="125">
      <c r="B125" s="7">
        <f>IF(E125="","","EV-"&amp;TEXT(ROW()-5,"000"))</f>
        <v/>
      </c>
      <c r="C125" s="7" t="n"/>
      <c r="D125" s="7" t="n"/>
      <c r="E125" s="7" t="n"/>
      <c r="F125" s="7" t="n"/>
      <c r="G125" s="7" t="n"/>
      <c r="H125" s="7" t="n"/>
      <c r="I125" s="7" t="n"/>
    </row>
    <row r="126">
      <c r="B126" s="7">
        <f>IF(E126="","","EV-"&amp;TEXT(ROW()-5,"000"))</f>
        <v/>
      </c>
      <c r="C126" s="7" t="n"/>
      <c r="D126" s="7" t="n"/>
      <c r="E126" s="7" t="n"/>
      <c r="F126" s="7" t="n"/>
      <c r="G126" s="7" t="n"/>
      <c r="H126" s="7" t="n"/>
      <c r="I126" s="7" t="n"/>
    </row>
    <row r="127">
      <c r="B127" s="7">
        <f>IF(E127="","","EV-"&amp;TEXT(ROW()-5,"000"))</f>
        <v/>
      </c>
      <c r="C127" s="7" t="n"/>
      <c r="D127" s="7" t="n"/>
      <c r="E127" s="7" t="n"/>
      <c r="F127" s="7" t="n"/>
      <c r="G127" s="7" t="n"/>
      <c r="H127" s="7" t="n"/>
      <c r="I127" s="7" t="n"/>
    </row>
    <row r="128">
      <c r="B128" s="7">
        <f>IF(E128="","","EV-"&amp;TEXT(ROW()-5,"000"))</f>
        <v/>
      </c>
      <c r="C128" s="7" t="n"/>
      <c r="D128" s="7" t="n"/>
      <c r="E128" s="7" t="n"/>
      <c r="F128" s="7" t="n"/>
      <c r="G128" s="7" t="n"/>
      <c r="H128" s="7" t="n"/>
      <c r="I128" s="7" t="n"/>
    </row>
    <row r="129">
      <c r="B129" s="7">
        <f>IF(E129="","","EV-"&amp;TEXT(ROW()-5,"000"))</f>
        <v/>
      </c>
      <c r="C129" s="7" t="n"/>
      <c r="D129" s="7" t="n"/>
      <c r="E129" s="7" t="n"/>
      <c r="F129" s="7" t="n"/>
      <c r="G129" s="7" t="n"/>
      <c r="H129" s="7" t="n"/>
      <c r="I129" s="7" t="n"/>
    </row>
    <row r="130">
      <c r="B130" s="7">
        <f>IF(E130="","","EV-"&amp;TEXT(ROW()-5,"000"))</f>
        <v/>
      </c>
      <c r="C130" s="7" t="n"/>
      <c r="D130" s="7" t="n"/>
      <c r="E130" s="7" t="n"/>
      <c r="F130" s="7" t="n"/>
      <c r="G130" s="7" t="n"/>
      <c r="H130" s="7" t="n"/>
      <c r="I130" s="7" t="n"/>
    </row>
    <row r="131">
      <c r="B131" s="7">
        <f>IF(E131="","","EV-"&amp;TEXT(ROW()-5,"000"))</f>
        <v/>
      </c>
      <c r="C131" s="7" t="n"/>
      <c r="D131" s="7" t="n"/>
      <c r="E131" s="7" t="n"/>
      <c r="F131" s="7" t="n"/>
      <c r="G131" s="7" t="n"/>
      <c r="H131" s="7" t="n"/>
      <c r="I131" s="7" t="n"/>
    </row>
    <row r="132">
      <c r="B132" s="7">
        <f>IF(E132="","","EV-"&amp;TEXT(ROW()-5,"000"))</f>
        <v/>
      </c>
      <c r="C132" s="7" t="n"/>
      <c r="D132" s="7" t="n"/>
      <c r="E132" s="7" t="n"/>
      <c r="F132" s="7" t="n"/>
      <c r="G132" s="7" t="n"/>
      <c r="H132" s="7" t="n"/>
      <c r="I132" s="7" t="n"/>
    </row>
    <row r="133">
      <c r="B133" s="7">
        <f>IF(E133="","","EV-"&amp;TEXT(ROW()-5,"000"))</f>
        <v/>
      </c>
      <c r="C133" s="7" t="n"/>
      <c r="D133" s="7" t="n"/>
      <c r="E133" s="7" t="n"/>
      <c r="F133" s="7" t="n"/>
      <c r="G133" s="7" t="n"/>
      <c r="H133" s="7" t="n"/>
      <c r="I133" s="7" t="n"/>
    </row>
    <row r="134">
      <c r="B134" s="7">
        <f>IF(E134="","","EV-"&amp;TEXT(ROW()-5,"000"))</f>
        <v/>
      </c>
      <c r="C134" s="7" t="n"/>
      <c r="D134" s="7" t="n"/>
      <c r="E134" s="7" t="n"/>
      <c r="F134" s="7" t="n"/>
      <c r="G134" s="7" t="n"/>
      <c r="H134" s="7" t="n"/>
      <c r="I134" s="7" t="n"/>
    </row>
    <row r="135">
      <c r="B135" s="7">
        <f>IF(E135="","","EV-"&amp;TEXT(ROW()-5,"000"))</f>
        <v/>
      </c>
      <c r="C135" s="7" t="n"/>
      <c r="D135" s="7" t="n"/>
      <c r="E135" s="7" t="n"/>
      <c r="F135" s="7" t="n"/>
      <c r="G135" s="7" t="n"/>
      <c r="H135" s="7" t="n"/>
      <c r="I135" s="7" t="n"/>
    </row>
    <row r="136">
      <c r="B136" s="7">
        <f>IF(E136="","","EV-"&amp;TEXT(ROW()-5,"000"))</f>
        <v/>
      </c>
      <c r="C136" s="7" t="n"/>
      <c r="D136" s="7" t="n"/>
      <c r="E136" s="7" t="n"/>
      <c r="F136" s="7" t="n"/>
      <c r="G136" s="7" t="n"/>
      <c r="H136" s="7" t="n"/>
      <c r="I136" s="7" t="n"/>
    </row>
    <row r="137">
      <c r="B137" s="7">
        <f>IF(E137="","","EV-"&amp;TEXT(ROW()-5,"000"))</f>
        <v/>
      </c>
      <c r="C137" s="7" t="n"/>
      <c r="D137" s="7" t="n"/>
      <c r="E137" s="7" t="n"/>
      <c r="F137" s="7" t="n"/>
      <c r="G137" s="7" t="n"/>
      <c r="H137" s="7" t="n"/>
      <c r="I137" s="7" t="n"/>
    </row>
    <row r="138">
      <c r="B138" s="7">
        <f>IF(E138="","","EV-"&amp;TEXT(ROW()-5,"000"))</f>
        <v/>
      </c>
      <c r="C138" s="7" t="n"/>
      <c r="D138" s="7" t="n"/>
      <c r="E138" s="7" t="n"/>
      <c r="F138" s="7" t="n"/>
      <c r="G138" s="7" t="n"/>
      <c r="H138" s="7" t="n"/>
      <c r="I138" s="7" t="n"/>
    </row>
    <row r="139">
      <c r="B139" s="7">
        <f>IF(E139="","","EV-"&amp;TEXT(ROW()-5,"000"))</f>
        <v/>
      </c>
      <c r="C139" s="7" t="n"/>
      <c r="D139" s="7" t="n"/>
      <c r="E139" s="7" t="n"/>
      <c r="F139" s="7" t="n"/>
      <c r="G139" s="7" t="n"/>
      <c r="H139" s="7" t="n"/>
      <c r="I139" s="7" t="n"/>
    </row>
    <row r="140">
      <c r="B140" s="7">
        <f>IF(E140="","","EV-"&amp;TEXT(ROW()-5,"000"))</f>
        <v/>
      </c>
      <c r="C140" s="7" t="n"/>
      <c r="D140" s="7" t="n"/>
      <c r="E140" s="7" t="n"/>
      <c r="F140" s="7" t="n"/>
      <c r="G140" s="7" t="n"/>
      <c r="H140" s="7" t="n"/>
      <c r="I140" s="7" t="n"/>
    </row>
    <row r="141">
      <c r="B141" s="7">
        <f>IF(E141="","","EV-"&amp;TEXT(ROW()-5,"000"))</f>
        <v/>
      </c>
      <c r="C141" s="7" t="n"/>
      <c r="D141" s="7" t="n"/>
      <c r="E141" s="7" t="n"/>
      <c r="F141" s="7" t="n"/>
      <c r="G141" s="7" t="n"/>
      <c r="H141" s="7" t="n"/>
      <c r="I141" s="7" t="n"/>
    </row>
    <row r="142">
      <c r="B142" s="7">
        <f>IF(E142="","","EV-"&amp;TEXT(ROW()-5,"000"))</f>
        <v/>
      </c>
      <c r="C142" s="7" t="n"/>
      <c r="D142" s="7" t="n"/>
      <c r="E142" s="7" t="n"/>
      <c r="F142" s="7" t="n"/>
      <c r="G142" s="7" t="n"/>
      <c r="H142" s="7" t="n"/>
      <c r="I142" s="7" t="n"/>
    </row>
    <row r="143">
      <c r="B143" s="7">
        <f>IF(E143="","","EV-"&amp;TEXT(ROW()-5,"000"))</f>
        <v/>
      </c>
      <c r="C143" s="7" t="n"/>
      <c r="D143" s="7" t="n"/>
      <c r="E143" s="7" t="n"/>
      <c r="F143" s="7" t="n"/>
      <c r="G143" s="7" t="n"/>
      <c r="H143" s="7" t="n"/>
      <c r="I143" s="7" t="n"/>
    </row>
    <row r="144">
      <c r="B144" s="7">
        <f>IF(E144="","","EV-"&amp;TEXT(ROW()-5,"000"))</f>
        <v/>
      </c>
      <c r="C144" s="7" t="n"/>
      <c r="D144" s="7" t="n"/>
      <c r="E144" s="7" t="n"/>
      <c r="F144" s="7" t="n"/>
      <c r="G144" s="7" t="n"/>
      <c r="H144" s="7" t="n"/>
      <c r="I144" s="7" t="n"/>
    </row>
    <row r="145">
      <c r="B145" s="7">
        <f>IF(E145="","","EV-"&amp;TEXT(ROW()-5,"000"))</f>
        <v/>
      </c>
      <c r="C145" s="7" t="n"/>
      <c r="D145" s="7" t="n"/>
      <c r="E145" s="7" t="n"/>
      <c r="F145" s="7" t="n"/>
      <c r="G145" s="7" t="n"/>
      <c r="H145" s="7" t="n"/>
      <c r="I145" s="7" t="n"/>
    </row>
    <row r="146">
      <c r="B146" s="7">
        <f>IF(E146="","","EV-"&amp;TEXT(ROW()-5,"000"))</f>
        <v/>
      </c>
      <c r="C146" s="7" t="n"/>
      <c r="D146" s="7" t="n"/>
      <c r="E146" s="7" t="n"/>
      <c r="F146" s="7" t="n"/>
      <c r="G146" s="7" t="n"/>
      <c r="H146" s="7" t="n"/>
      <c r="I146" s="7" t="n"/>
    </row>
    <row r="147">
      <c r="B147" s="7">
        <f>IF(E147="","","EV-"&amp;TEXT(ROW()-5,"000"))</f>
        <v/>
      </c>
      <c r="C147" s="7" t="n"/>
      <c r="D147" s="7" t="n"/>
      <c r="E147" s="7" t="n"/>
      <c r="F147" s="7" t="n"/>
      <c r="G147" s="7" t="n"/>
      <c r="H147" s="7" t="n"/>
      <c r="I147" s="7" t="n"/>
    </row>
    <row r="148">
      <c r="B148" s="7">
        <f>IF(E148="","","EV-"&amp;TEXT(ROW()-5,"000"))</f>
        <v/>
      </c>
      <c r="C148" s="7" t="n"/>
      <c r="D148" s="7" t="n"/>
      <c r="E148" s="7" t="n"/>
      <c r="F148" s="7" t="n"/>
      <c r="G148" s="7" t="n"/>
      <c r="H148" s="7" t="n"/>
      <c r="I148" s="7" t="n"/>
    </row>
    <row r="149">
      <c r="B149" s="7">
        <f>IF(E149="","","EV-"&amp;TEXT(ROW()-5,"000"))</f>
        <v/>
      </c>
      <c r="C149" s="7" t="n"/>
      <c r="D149" s="7" t="n"/>
      <c r="E149" s="7" t="n"/>
      <c r="F149" s="7" t="n"/>
      <c r="G149" s="7" t="n"/>
      <c r="H149" s="7" t="n"/>
      <c r="I149" s="7" t="n"/>
    </row>
    <row r="150">
      <c r="B150" s="7">
        <f>IF(E150="","","EV-"&amp;TEXT(ROW()-5,"000"))</f>
        <v/>
      </c>
      <c r="C150" s="7" t="n"/>
      <c r="D150" s="7" t="n"/>
      <c r="E150" s="7" t="n"/>
      <c r="F150" s="7" t="n"/>
      <c r="G150" s="7" t="n"/>
      <c r="H150" s="7" t="n"/>
      <c r="I150" s="7" t="n"/>
    </row>
    <row r="151">
      <c r="B151" s="7">
        <f>IF(E151="","","EV-"&amp;TEXT(ROW()-5,"000"))</f>
        <v/>
      </c>
      <c r="C151" s="7" t="n"/>
      <c r="D151" s="7" t="n"/>
      <c r="E151" s="7" t="n"/>
      <c r="F151" s="7" t="n"/>
      <c r="G151" s="7" t="n"/>
      <c r="H151" s="7" t="n"/>
      <c r="I151" s="7" t="n"/>
    </row>
    <row r="152">
      <c r="B152" s="7">
        <f>IF(E152="","","EV-"&amp;TEXT(ROW()-5,"000"))</f>
        <v/>
      </c>
      <c r="C152" s="7" t="n"/>
      <c r="D152" s="7" t="n"/>
      <c r="E152" s="7" t="n"/>
      <c r="F152" s="7" t="n"/>
      <c r="G152" s="7" t="n"/>
      <c r="H152" s="7" t="n"/>
      <c r="I152" s="7" t="n"/>
    </row>
    <row r="153">
      <c r="B153" s="7">
        <f>IF(E153="","","EV-"&amp;TEXT(ROW()-5,"000"))</f>
        <v/>
      </c>
      <c r="C153" s="7" t="n"/>
      <c r="D153" s="7" t="n"/>
      <c r="E153" s="7" t="n"/>
      <c r="F153" s="7" t="n"/>
      <c r="G153" s="7" t="n"/>
      <c r="H153" s="7" t="n"/>
      <c r="I153" s="7" t="n"/>
    </row>
    <row r="154">
      <c r="B154" s="7">
        <f>IF(E154="","","EV-"&amp;TEXT(ROW()-5,"000"))</f>
        <v/>
      </c>
      <c r="C154" s="7" t="n"/>
      <c r="D154" s="7" t="n"/>
      <c r="E154" s="7" t="n"/>
      <c r="F154" s="7" t="n"/>
      <c r="G154" s="7" t="n"/>
      <c r="H154" s="7" t="n"/>
      <c r="I154" s="7" t="n"/>
    </row>
    <row r="155">
      <c r="B155" s="7">
        <f>IF(E155="","","EV-"&amp;TEXT(ROW()-5,"000"))</f>
        <v/>
      </c>
      <c r="C155" s="7" t="n"/>
      <c r="D155" s="7" t="n"/>
      <c r="E155" s="7" t="n"/>
      <c r="F155" s="7" t="n"/>
      <c r="G155" s="7" t="n"/>
      <c r="H155" s="7" t="n"/>
      <c r="I155" s="7" t="n"/>
    </row>
    <row r="156">
      <c r="B156" s="7">
        <f>IF(E156="","","EV-"&amp;TEXT(ROW()-5,"000"))</f>
        <v/>
      </c>
      <c r="C156" s="7" t="n"/>
      <c r="D156" s="7" t="n"/>
      <c r="E156" s="7" t="n"/>
      <c r="F156" s="7" t="n"/>
      <c r="G156" s="7" t="n"/>
      <c r="H156" s="7" t="n"/>
      <c r="I156" s="7" t="n"/>
    </row>
    <row r="157">
      <c r="B157" s="7">
        <f>IF(E157="","","EV-"&amp;TEXT(ROW()-5,"000"))</f>
        <v/>
      </c>
      <c r="C157" s="7" t="n"/>
      <c r="D157" s="7" t="n"/>
      <c r="E157" s="7" t="n"/>
      <c r="F157" s="7" t="n"/>
      <c r="G157" s="7" t="n"/>
      <c r="H157" s="7" t="n"/>
      <c r="I157" s="7" t="n"/>
    </row>
    <row r="158">
      <c r="B158" s="7">
        <f>IF(E158="","","EV-"&amp;TEXT(ROW()-5,"000"))</f>
        <v/>
      </c>
      <c r="C158" s="7" t="n"/>
      <c r="D158" s="7" t="n"/>
      <c r="E158" s="7" t="n"/>
      <c r="F158" s="7" t="n"/>
      <c r="G158" s="7" t="n"/>
      <c r="H158" s="7" t="n"/>
      <c r="I158" s="7" t="n"/>
    </row>
    <row r="159">
      <c r="B159" s="7">
        <f>IF(E159="","","EV-"&amp;TEXT(ROW()-5,"000"))</f>
        <v/>
      </c>
      <c r="C159" s="7" t="n"/>
      <c r="D159" s="7" t="n"/>
      <c r="E159" s="7" t="n"/>
      <c r="F159" s="7" t="n"/>
      <c r="G159" s="7" t="n"/>
      <c r="H159" s="7" t="n"/>
      <c r="I159" s="7" t="n"/>
    </row>
    <row r="160">
      <c r="B160" s="7">
        <f>IF(E160="","","EV-"&amp;TEXT(ROW()-5,"000"))</f>
        <v/>
      </c>
      <c r="C160" s="7" t="n"/>
      <c r="D160" s="7" t="n"/>
      <c r="E160" s="7" t="n"/>
      <c r="F160" s="7" t="n"/>
      <c r="G160" s="7" t="n"/>
      <c r="H160" s="7" t="n"/>
      <c r="I160" s="7" t="n"/>
    </row>
    <row r="161">
      <c r="B161" s="7">
        <f>IF(E161="","","EV-"&amp;TEXT(ROW()-5,"000"))</f>
        <v/>
      </c>
      <c r="C161" s="7" t="n"/>
      <c r="D161" s="7" t="n"/>
      <c r="E161" s="7" t="n"/>
      <c r="F161" s="7" t="n"/>
      <c r="G161" s="7" t="n"/>
      <c r="H161" s="7" t="n"/>
      <c r="I161" s="7" t="n"/>
    </row>
    <row r="162">
      <c r="B162" s="7">
        <f>IF(E162="","","EV-"&amp;TEXT(ROW()-5,"000"))</f>
        <v/>
      </c>
      <c r="C162" s="7" t="n"/>
      <c r="D162" s="7" t="n"/>
      <c r="E162" s="7" t="n"/>
      <c r="F162" s="7" t="n"/>
      <c r="G162" s="7" t="n"/>
      <c r="H162" s="7" t="n"/>
      <c r="I162" s="7" t="n"/>
    </row>
    <row r="163">
      <c r="B163" s="7">
        <f>IF(E163="","","EV-"&amp;TEXT(ROW()-5,"000"))</f>
        <v/>
      </c>
      <c r="C163" s="7" t="n"/>
      <c r="D163" s="7" t="n"/>
      <c r="E163" s="7" t="n"/>
      <c r="F163" s="7" t="n"/>
      <c r="G163" s="7" t="n"/>
      <c r="H163" s="7" t="n"/>
      <c r="I163" s="7" t="n"/>
    </row>
    <row r="164">
      <c r="B164" s="7">
        <f>IF(E164="","","EV-"&amp;TEXT(ROW()-5,"000"))</f>
        <v/>
      </c>
      <c r="C164" s="7" t="n"/>
      <c r="D164" s="7" t="n"/>
      <c r="E164" s="7" t="n"/>
      <c r="F164" s="7" t="n"/>
      <c r="G164" s="7" t="n"/>
      <c r="H164" s="7" t="n"/>
      <c r="I164" s="7" t="n"/>
    </row>
    <row r="165">
      <c r="B165" s="7">
        <f>IF(E165="","","EV-"&amp;TEXT(ROW()-5,"000"))</f>
        <v/>
      </c>
      <c r="C165" s="7" t="n"/>
      <c r="D165" s="7" t="n"/>
      <c r="E165" s="7" t="n"/>
      <c r="F165" s="7" t="n"/>
      <c r="G165" s="7" t="n"/>
      <c r="H165" s="7" t="n"/>
      <c r="I165" s="7" t="n"/>
    </row>
    <row r="166">
      <c r="B166" s="7">
        <f>IF(E166="","","EV-"&amp;TEXT(ROW()-5,"000"))</f>
        <v/>
      </c>
      <c r="C166" s="7" t="n"/>
      <c r="D166" s="7" t="n"/>
      <c r="E166" s="7" t="n"/>
      <c r="F166" s="7" t="n"/>
      <c r="G166" s="7" t="n"/>
      <c r="H166" s="7" t="n"/>
      <c r="I166" s="7" t="n"/>
    </row>
    <row r="167">
      <c r="B167" s="7">
        <f>IF(E167="","","EV-"&amp;TEXT(ROW()-5,"000"))</f>
        <v/>
      </c>
      <c r="C167" s="7" t="n"/>
      <c r="D167" s="7" t="n"/>
      <c r="E167" s="7" t="n"/>
      <c r="F167" s="7" t="n"/>
      <c r="G167" s="7" t="n"/>
      <c r="H167" s="7" t="n"/>
      <c r="I167" s="7" t="n"/>
    </row>
    <row r="168">
      <c r="B168" s="7">
        <f>IF(E168="","","EV-"&amp;TEXT(ROW()-5,"000"))</f>
        <v/>
      </c>
      <c r="C168" s="7" t="n"/>
      <c r="D168" s="7" t="n"/>
      <c r="E168" s="7" t="n"/>
      <c r="F168" s="7" t="n"/>
      <c r="G168" s="7" t="n"/>
      <c r="H168" s="7" t="n"/>
      <c r="I168" s="7" t="n"/>
    </row>
    <row r="169">
      <c r="B169" s="7">
        <f>IF(E169="","","EV-"&amp;TEXT(ROW()-5,"000"))</f>
        <v/>
      </c>
      <c r="C169" s="7" t="n"/>
      <c r="D169" s="7" t="n"/>
      <c r="E169" s="7" t="n"/>
      <c r="F169" s="7" t="n"/>
      <c r="G169" s="7" t="n"/>
      <c r="H169" s="7" t="n"/>
      <c r="I169" s="7" t="n"/>
    </row>
    <row r="170">
      <c r="B170" s="7">
        <f>IF(E170="","","EV-"&amp;TEXT(ROW()-5,"000"))</f>
        <v/>
      </c>
      <c r="C170" s="7" t="n"/>
      <c r="D170" s="7" t="n"/>
      <c r="E170" s="7" t="n"/>
      <c r="F170" s="7" t="n"/>
      <c r="G170" s="7" t="n"/>
      <c r="H170" s="7" t="n"/>
      <c r="I170" s="7" t="n"/>
    </row>
    <row r="171">
      <c r="B171" s="7">
        <f>IF(E171="","","EV-"&amp;TEXT(ROW()-5,"000"))</f>
        <v/>
      </c>
      <c r="C171" s="7" t="n"/>
      <c r="D171" s="7" t="n"/>
      <c r="E171" s="7" t="n"/>
      <c r="F171" s="7" t="n"/>
      <c r="G171" s="7" t="n"/>
      <c r="H171" s="7" t="n"/>
      <c r="I171" s="7" t="n"/>
    </row>
    <row r="172">
      <c r="B172" s="7">
        <f>IF(E172="","","EV-"&amp;TEXT(ROW()-5,"000"))</f>
        <v/>
      </c>
      <c r="C172" s="7" t="n"/>
      <c r="D172" s="7" t="n"/>
      <c r="E172" s="7" t="n"/>
      <c r="F172" s="7" t="n"/>
      <c r="G172" s="7" t="n"/>
      <c r="H172" s="7" t="n"/>
      <c r="I172" s="7" t="n"/>
    </row>
    <row r="173">
      <c r="B173" s="7">
        <f>IF(E173="","","EV-"&amp;TEXT(ROW()-5,"000"))</f>
        <v/>
      </c>
      <c r="C173" s="7" t="n"/>
      <c r="D173" s="7" t="n"/>
      <c r="E173" s="7" t="n"/>
      <c r="F173" s="7" t="n"/>
      <c r="G173" s="7" t="n"/>
      <c r="H173" s="7" t="n"/>
      <c r="I173" s="7" t="n"/>
    </row>
    <row r="174">
      <c r="B174" s="7">
        <f>IF(E174="","","EV-"&amp;TEXT(ROW()-5,"000"))</f>
        <v/>
      </c>
      <c r="C174" s="7" t="n"/>
      <c r="D174" s="7" t="n"/>
      <c r="E174" s="7" t="n"/>
      <c r="F174" s="7" t="n"/>
      <c r="G174" s="7" t="n"/>
      <c r="H174" s="7" t="n"/>
      <c r="I174" s="7" t="n"/>
    </row>
    <row r="175">
      <c r="B175" s="7">
        <f>IF(E175="","","EV-"&amp;TEXT(ROW()-5,"000"))</f>
        <v/>
      </c>
      <c r="C175" s="7" t="n"/>
      <c r="D175" s="7" t="n"/>
      <c r="E175" s="7" t="n"/>
      <c r="F175" s="7" t="n"/>
      <c r="G175" s="7" t="n"/>
      <c r="H175" s="7" t="n"/>
      <c r="I175" s="7" t="n"/>
    </row>
    <row r="176">
      <c r="B176" s="7">
        <f>IF(E176="","","EV-"&amp;TEXT(ROW()-5,"000"))</f>
        <v/>
      </c>
      <c r="C176" s="7" t="n"/>
      <c r="D176" s="7" t="n"/>
      <c r="E176" s="7" t="n"/>
      <c r="F176" s="7" t="n"/>
      <c r="G176" s="7" t="n"/>
      <c r="H176" s="7" t="n"/>
      <c r="I176" s="7" t="n"/>
    </row>
    <row r="177">
      <c r="B177" s="7">
        <f>IF(E177="","","EV-"&amp;TEXT(ROW()-5,"000"))</f>
        <v/>
      </c>
      <c r="C177" s="7" t="n"/>
      <c r="D177" s="7" t="n"/>
      <c r="E177" s="7" t="n"/>
      <c r="F177" s="7" t="n"/>
      <c r="G177" s="7" t="n"/>
      <c r="H177" s="7" t="n"/>
      <c r="I177" s="7" t="n"/>
    </row>
    <row r="178">
      <c r="B178" s="7">
        <f>IF(E178="","","EV-"&amp;TEXT(ROW()-5,"000"))</f>
        <v/>
      </c>
      <c r="C178" s="7" t="n"/>
      <c r="D178" s="7" t="n"/>
      <c r="E178" s="7" t="n"/>
      <c r="F178" s="7" t="n"/>
      <c r="G178" s="7" t="n"/>
      <c r="H178" s="7" t="n"/>
      <c r="I178" s="7" t="n"/>
    </row>
    <row r="179">
      <c r="B179" s="7">
        <f>IF(E179="","","EV-"&amp;TEXT(ROW()-5,"000"))</f>
        <v/>
      </c>
      <c r="C179" s="7" t="n"/>
      <c r="D179" s="7" t="n"/>
      <c r="E179" s="7" t="n"/>
      <c r="F179" s="7" t="n"/>
      <c r="G179" s="7" t="n"/>
      <c r="H179" s="7" t="n"/>
      <c r="I179" s="7" t="n"/>
    </row>
    <row r="180">
      <c r="B180" s="7">
        <f>IF(E180="","","EV-"&amp;TEXT(ROW()-5,"000"))</f>
        <v/>
      </c>
      <c r="C180" s="7" t="n"/>
      <c r="D180" s="7" t="n"/>
      <c r="E180" s="7" t="n"/>
      <c r="F180" s="7" t="n"/>
      <c r="G180" s="7" t="n"/>
      <c r="H180" s="7" t="n"/>
      <c r="I180" s="7" t="n"/>
    </row>
    <row r="181">
      <c r="B181" s="7">
        <f>IF(E181="","","EV-"&amp;TEXT(ROW()-5,"000"))</f>
        <v/>
      </c>
      <c r="C181" s="7" t="n"/>
      <c r="D181" s="7" t="n"/>
      <c r="E181" s="7" t="n"/>
      <c r="F181" s="7" t="n"/>
      <c r="G181" s="7" t="n"/>
      <c r="H181" s="7" t="n"/>
      <c r="I181" s="7" t="n"/>
    </row>
    <row r="182">
      <c r="B182" s="7">
        <f>IF(E182="","","EV-"&amp;TEXT(ROW()-5,"000"))</f>
        <v/>
      </c>
      <c r="C182" s="7" t="n"/>
      <c r="D182" s="7" t="n"/>
      <c r="E182" s="7" t="n"/>
      <c r="F182" s="7" t="n"/>
      <c r="G182" s="7" t="n"/>
      <c r="H182" s="7" t="n"/>
      <c r="I182" s="7" t="n"/>
    </row>
    <row r="183">
      <c r="B183" s="7">
        <f>IF(E183="","","EV-"&amp;TEXT(ROW()-5,"000"))</f>
        <v/>
      </c>
      <c r="C183" s="7" t="n"/>
      <c r="D183" s="7" t="n"/>
      <c r="E183" s="7" t="n"/>
      <c r="F183" s="7" t="n"/>
      <c r="G183" s="7" t="n"/>
      <c r="H183" s="7" t="n"/>
      <c r="I183" s="7" t="n"/>
    </row>
    <row r="184">
      <c r="B184" s="7">
        <f>IF(E184="","","EV-"&amp;TEXT(ROW()-5,"000"))</f>
        <v/>
      </c>
      <c r="C184" s="7" t="n"/>
      <c r="D184" s="7" t="n"/>
      <c r="E184" s="7" t="n"/>
      <c r="F184" s="7" t="n"/>
      <c r="G184" s="7" t="n"/>
      <c r="H184" s="7" t="n"/>
      <c r="I184" s="7" t="n"/>
    </row>
    <row r="185">
      <c r="B185" s="7">
        <f>IF(E185="","","EV-"&amp;TEXT(ROW()-5,"000"))</f>
        <v/>
      </c>
      <c r="C185" s="7" t="n"/>
      <c r="D185" s="7" t="n"/>
      <c r="E185" s="7" t="n"/>
      <c r="F185" s="7" t="n"/>
      <c r="G185" s="7" t="n"/>
      <c r="H185" s="7" t="n"/>
      <c r="I185" s="7" t="n"/>
    </row>
    <row r="186">
      <c r="B186" s="7">
        <f>IF(E186="","","EV-"&amp;TEXT(ROW()-5,"000"))</f>
        <v/>
      </c>
      <c r="C186" s="7" t="n"/>
      <c r="D186" s="7" t="n"/>
      <c r="E186" s="7" t="n"/>
      <c r="F186" s="7" t="n"/>
      <c r="G186" s="7" t="n"/>
      <c r="H186" s="7" t="n"/>
      <c r="I186" s="7" t="n"/>
    </row>
    <row r="187">
      <c r="B187" s="7">
        <f>IF(E187="","","EV-"&amp;TEXT(ROW()-5,"000"))</f>
        <v/>
      </c>
      <c r="C187" s="7" t="n"/>
      <c r="D187" s="7" t="n"/>
      <c r="E187" s="7" t="n"/>
      <c r="F187" s="7" t="n"/>
      <c r="G187" s="7" t="n"/>
      <c r="H187" s="7" t="n"/>
      <c r="I187" s="7" t="n"/>
    </row>
    <row r="188">
      <c r="B188" s="7">
        <f>IF(E188="","","EV-"&amp;TEXT(ROW()-5,"000"))</f>
        <v/>
      </c>
      <c r="C188" s="7" t="n"/>
      <c r="D188" s="7" t="n"/>
      <c r="E188" s="7" t="n"/>
      <c r="F188" s="7" t="n"/>
      <c r="G188" s="7" t="n"/>
      <c r="H188" s="7" t="n"/>
      <c r="I188" s="7" t="n"/>
    </row>
    <row r="189">
      <c r="B189" s="7">
        <f>IF(E189="","","EV-"&amp;TEXT(ROW()-5,"000"))</f>
        <v/>
      </c>
      <c r="C189" s="7" t="n"/>
      <c r="D189" s="7" t="n"/>
      <c r="E189" s="7" t="n"/>
      <c r="F189" s="7" t="n"/>
      <c r="G189" s="7" t="n"/>
      <c r="H189" s="7" t="n"/>
      <c r="I189" s="7" t="n"/>
    </row>
    <row r="190">
      <c r="B190" s="7">
        <f>IF(E190="","","EV-"&amp;TEXT(ROW()-5,"000"))</f>
        <v/>
      </c>
      <c r="C190" s="7" t="n"/>
      <c r="D190" s="7" t="n"/>
      <c r="E190" s="7" t="n"/>
      <c r="F190" s="7" t="n"/>
      <c r="G190" s="7" t="n"/>
      <c r="H190" s="7" t="n"/>
      <c r="I190" s="7" t="n"/>
    </row>
    <row r="191">
      <c r="B191" s="7">
        <f>IF(E191="","","EV-"&amp;TEXT(ROW()-5,"000"))</f>
        <v/>
      </c>
      <c r="C191" s="7" t="n"/>
      <c r="D191" s="7" t="n"/>
      <c r="E191" s="7" t="n"/>
      <c r="F191" s="7" t="n"/>
      <c r="G191" s="7" t="n"/>
      <c r="H191" s="7" t="n"/>
      <c r="I191" s="7" t="n"/>
    </row>
    <row r="192">
      <c r="B192" s="7">
        <f>IF(E192="","","EV-"&amp;TEXT(ROW()-5,"000"))</f>
        <v/>
      </c>
      <c r="C192" s="7" t="n"/>
      <c r="D192" s="7" t="n"/>
      <c r="E192" s="7" t="n"/>
      <c r="F192" s="7" t="n"/>
      <c r="G192" s="7" t="n"/>
      <c r="H192" s="7" t="n"/>
      <c r="I192" s="7" t="n"/>
    </row>
    <row r="193">
      <c r="B193" s="7">
        <f>IF(E193="","","EV-"&amp;TEXT(ROW()-5,"000"))</f>
        <v/>
      </c>
      <c r="C193" s="7" t="n"/>
      <c r="D193" s="7" t="n"/>
      <c r="E193" s="7" t="n"/>
      <c r="F193" s="7" t="n"/>
      <c r="G193" s="7" t="n"/>
      <c r="H193" s="7" t="n"/>
      <c r="I193" s="7" t="n"/>
    </row>
    <row r="194">
      <c r="B194" s="7">
        <f>IF(E194="","","EV-"&amp;TEXT(ROW()-5,"000"))</f>
        <v/>
      </c>
      <c r="C194" s="7" t="n"/>
      <c r="D194" s="7" t="n"/>
      <c r="E194" s="7" t="n"/>
      <c r="F194" s="7" t="n"/>
      <c r="G194" s="7" t="n"/>
      <c r="H194" s="7" t="n"/>
      <c r="I194" s="7" t="n"/>
    </row>
    <row r="195">
      <c r="B195" s="7">
        <f>IF(E195="","","EV-"&amp;TEXT(ROW()-5,"000"))</f>
        <v/>
      </c>
      <c r="C195" s="7" t="n"/>
      <c r="D195" s="7" t="n"/>
      <c r="E195" s="7" t="n"/>
      <c r="F195" s="7" t="n"/>
      <c r="G195" s="7" t="n"/>
      <c r="H195" s="7" t="n"/>
      <c r="I195" s="7" t="n"/>
    </row>
    <row r="196">
      <c r="B196" s="7">
        <f>IF(E196="","","EV-"&amp;TEXT(ROW()-5,"000"))</f>
        <v/>
      </c>
      <c r="C196" s="7" t="n"/>
      <c r="D196" s="7" t="n"/>
      <c r="E196" s="7" t="n"/>
      <c r="F196" s="7" t="n"/>
      <c r="G196" s="7" t="n"/>
      <c r="H196" s="7" t="n"/>
      <c r="I196" s="7" t="n"/>
    </row>
    <row r="197">
      <c r="B197" s="7">
        <f>IF(E197="","","EV-"&amp;TEXT(ROW()-5,"000"))</f>
        <v/>
      </c>
      <c r="C197" s="7" t="n"/>
      <c r="D197" s="7" t="n"/>
      <c r="E197" s="7" t="n"/>
      <c r="F197" s="7" t="n"/>
      <c r="G197" s="7" t="n"/>
      <c r="H197" s="7" t="n"/>
      <c r="I197" s="7" t="n"/>
    </row>
    <row r="198">
      <c r="B198" s="7">
        <f>IF(E198="","","EV-"&amp;TEXT(ROW()-5,"000"))</f>
        <v/>
      </c>
      <c r="C198" s="7" t="n"/>
      <c r="D198" s="7" t="n"/>
      <c r="E198" s="7" t="n"/>
      <c r="F198" s="7" t="n"/>
      <c r="G198" s="7" t="n"/>
      <c r="H198" s="7" t="n"/>
      <c r="I198" s="7" t="n"/>
    </row>
    <row r="199">
      <c r="B199" s="7">
        <f>IF(E199="","","EV-"&amp;TEXT(ROW()-5,"000"))</f>
        <v/>
      </c>
      <c r="C199" s="7" t="n"/>
      <c r="D199" s="7" t="n"/>
      <c r="E199" s="7" t="n"/>
      <c r="F199" s="7" t="n"/>
      <c r="G199" s="7" t="n"/>
      <c r="H199" s="7" t="n"/>
      <c r="I199" s="7" t="n"/>
    </row>
    <row r="200">
      <c r="B200" s="7">
        <f>IF(E200="","","EV-"&amp;TEXT(ROW()-5,"000"))</f>
        <v/>
      </c>
      <c r="C200" s="7" t="n"/>
      <c r="D200" s="7" t="n"/>
      <c r="E200" s="7" t="n"/>
      <c r="F200" s="7" t="n"/>
      <c r="G200" s="7" t="n"/>
      <c r="H200" s="7" t="n"/>
      <c r="I200" s="7" t="n"/>
    </row>
    <row r="201">
      <c r="B201" s="7">
        <f>IF(E201="","","EV-"&amp;TEXT(ROW()-5,"000"))</f>
        <v/>
      </c>
      <c r="C201" s="7" t="n"/>
      <c r="D201" s="7" t="n"/>
      <c r="E201" s="7" t="n"/>
      <c r="F201" s="7" t="n"/>
      <c r="G201" s="7" t="n"/>
      <c r="H201" s="7" t="n"/>
      <c r="I201" s="7" t="n"/>
    </row>
    <row r="202">
      <c r="B202" s="7">
        <f>IF(E202="","","EV-"&amp;TEXT(ROW()-5,"000"))</f>
        <v/>
      </c>
      <c r="C202" s="7" t="n"/>
      <c r="D202" s="7" t="n"/>
      <c r="E202" s="7" t="n"/>
      <c r="F202" s="7" t="n"/>
      <c r="G202" s="7" t="n"/>
      <c r="H202" s="7" t="n"/>
      <c r="I202" s="7" t="n"/>
    </row>
    <row r="203">
      <c r="B203" s="7">
        <f>IF(E203="","","EV-"&amp;TEXT(ROW()-5,"000"))</f>
        <v/>
      </c>
      <c r="C203" s="7" t="n"/>
      <c r="D203" s="7" t="n"/>
      <c r="E203" s="7" t="n"/>
      <c r="F203" s="7" t="n"/>
      <c r="G203" s="7" t="n"/>
      <c r="H203" s="7" t="n"/>
      <c r="I203" s="7" t="n"/>
    </row>
    <row r="204">
      <c r="B204" s="7">
        <f>IF(E204="","","EV-"&amp;TEXT(ROW()-5,"000"))</f>
        <v/>
      </c>
      <c r="C204" s="7" t="n"/>
      <c r="D204" s="7" t="n"/>
      <c r="E204" s="7" t="n"/>
      <c r="F204" s="7" t="n"/>
      <c r="G204" s="7" t="n"/>
      <c r="H204" s="7" t="n"/>
      <c r="I204" s="7" t="n"/>
    </row>
    <row r="205">
      <c r="B205" s="7">
        <f>IF(E205="","","EV-"&amp;TEXT(ROW()-5,"000"))</f>
        <v/>
      </c>
      <c r="C205" s="7" t="n"/>
      <c r="D205" s="7" t="n"/>
      <c r="E205" s="7" t="n"/>
      <c r="F205" s="7" t="n"/>
      <c r="G205" s="7" t="n"/>
      <c r="H205" s="7" t="n"/>
      <c r="I205" s="7" t="n"/>
    </row>
  </sheetData>
  <dataValidations count="1">
    <dataValidation sqref="H6:H205" showDropDown="0" showInputMessage="0" showErrorMessage="0" allowBlank="1" errorTitle="Invalid entry" error="Please select from the dropdown" type="list">
      <formula1>=Lists!$E$2:$E$4</formula1>
    </dataValidation>
  </dataValidations>
  <pageMargins left="0.75" right="0.75" top="1" bottom="1" header="0.5" footer="0.5"/>
  <drawing xmlns:r="http://schemas.openxmlformats.org/officeDocument/2006/relationships" r:id="rId1"/>
</worksheet>
</file>

<file path=xl/worksheets/sheet26.xml><?xml version="1.0" encoding="utf-8"?>
<worksheet xmlns="http://schemas.openxmlformats.org/spreadsheetml/2006/main">
  <sheetPr>
    <outlinePr summaryBelow="1" summaryRight="1"/>
    <pageSetUpPr/>
  </sheetPr>
  <dimension ref="A1:R39"/>
  <sheetViews>
    <sheetView showGridLines="0" workbookViewId="0">
      <selection activeCell="A1" sqref="A1"/>
    </sheetView>
  </sheetViews>
  <sheetFormatPr baseColWidth="8" defaultRowHeight="15"/>
  <cols>
    <col width="4" customWidth="1" min="1" max="1"/>
    <col width="5" customWidth="1" min="2" max="2"/>
    <col width="12" customWidth="1" min="3" max="3"/>
    <col width="60" customWidth="1" min="4" max="4"/>
    <col width="30" customWidth="1" min="5" max="5"/>
    <col width="24" customWidth="1" min="6" max="6"/>
    <col width="18" customWidth="1" min="7" max="7"/>
    <col width="26" customWidth="1" min="8" max="8"/>
    <col width="10"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Issues log</t>
        </is>
      </c>
      <c r="C2" s="1" t="n"/>
      <c r="D2" s="1" t="n"/>
      <c r="E2" s="1" t="n"/>
      <c r="F2" s="1" t="n"/>
      <c r="G2" s="1" t="n"/>
      <c r="H2" s="1" t="n"/>
      <c r="I2" s="1" t="n"/>
      <c r="J2" s="1" t="n"/>
      <c r="K2" s="1" t="n"/>
      <c r="L2" s="1" t="n"/>
      <c r="M2" s="1" t="n"/>
      <c r="N2" s="1" t="n"/>
      <c r="O2" s="1" t="n"/>
      <c r="P2" s="1" t="n"/>
      <c r="Q2" s="1" t="n"/>
      <c r="R2" s="1" t="n"/>
    </row>
    <row r="3"/>
    <row r="4" ht="42" customHeight="1">
      <c r="B4" s="5" t="inlineStr">
        <is>
          <t>#</t>
        </is>
      </c>
      <c r="C4" s="5" t="inlineStr">
        <is>
          <t>Date raised</t>
        </is>
      </c>
      <c r="D4" s="5" t="inlineStr">
        <is>
          <t>Issue / question</t>
        </is>
      </c>
      <c r="E4" s="5" t="inlineStr">
        <is>
          <t>Impact</t>
        </is>
      </c>
      <c r="F4" s="5" t="inlineStr">
        <is>
          <t>Ref / unit</t>
        </is>
      </c>
      <c r="G4" s="5" t="inlineStr">
        <is>
          <t>Owner</t>
        </is>
      </c>
      <c r="H4" s="5" t="inlineStr">
        <is>
          <t>Proposed action</t>
        </is>
      </c>
      <c r="I4" s="5" t="inlineStr">
        <is>
          <t>Status</t>
        </is>
      </c>
    </row>
    <row r="5" ht="39" customHeight="1">
      <c r="B5" s="7" t="n">
        <v>1</v>
      </c>
      <c r="C5" s="42" t="n">
        <v>46300</v>
      </c>
      <c r="D5" s="7" t="inlineStr">
        <is>
          <t>Climate resilience maturity (CL3(a)) and Estate &amp; infrastructure indicators – confirm owner and request with Gerard.</t>
        </is>
      </c>
      <c r="E5" s="7" t="inlineStr"/>
      <c r="F5" s="7" t="inlineStr">
        <is>
          <t>CL3(a); EI1(a)–(d)</t>
        </is>
      </c>
      <c r="G5" s="7" t="inlineStr">
        <is>
          <t>Stefanus</t>
        </is>
      </c>
      <c r="H5" s="7" t="inlineStr">
        <is>
          <t>Meet Gerard</t>
        </is>
      </c>
      <c r="I5" s="7" t="inlineStr">
        <is>
          <t>Open</t>
        </is>
      </c>
    </row>
    <row r="6" ht="39" customHeight="1">
      <c r="B6" s="7" t="n">
        <v>2</v>
      </c>
      <c r="C6" s="42" t="n">
        <v>46300</v>
      </c>
      <c r="D6" s="7" t="inlineStr">
        <is>
          <t>Confirm whether CGOP and CDEP structures have changed since the 2025 master spreadsheet stakeholder mapping.</t>
        </is>
      </c>
      <c r="E6" s="7" t="inlineStr"/>
      <c r="F6" s="7" t="inlineStr">
        <is>
          <t>Stakeholder map</t>
        </is>
      </c>
      <c r="G6" s="7" t="inlineStr">
        <is>
          <t>Stefanus</t>
        </is>
      </c>
      <c r="H6" s="7" t="inlineStr">
        <is>
          <t>Confirm with team</t>
        </is>
      </c>
      <c r="I6" s="7" t="inlineStr">
        <is>
          <t>Open</t>
        </is>
      </c>
    </row>
    <row r="7" ht="56" customHeight="1">
      <c r="B7" s="7" t="n">
        <v>3</v>
      </c>
      <c r="C7" s="42" t="n">
        <v>46300</v>
      </c>
      <c r="D7" s="7" t="inlineStr">
        <is>
          <t>Business Services split into CIOG (AI) and ESG (nature &amp; biodiversity, waste &amp; circular economy, part of quant. climate leadership) – confirm contacts.</t>
        </is>
      </c>
      <c r="E7" s="7" t="inlineStr"/>
      <c r="F7" s="7" t="inlineStr">
        <is>
          <t>CIOG; ESG</t>
        </is>
      </c>
      <c r="G7" s="7" t="inlineStr">
        <is>
          <t>TBC</t>
        </is>
      </c>
      <c r="H7" s="7" t="inlineStr">
        <is>
          <t>Confirm contacts</t>
        </is>
      </c>
      <c r="I7" s="7" t="inlineStr">
        <is>
          <t>Open</t>
        </is>
      </c>
    </row>
    <row r="8" ht="72" customHeight="1">
      <c r="B8" s="7" t="n">
        <v>4</v>
      </c>
      <c r="C8" s="42" t="n">
        <v>46300</v>
      </c>
      <c r="D8" s="7" t="inlineStr">
        <is>
          <t>Procurement sits with CFOG (RP1(a) procurement case studies routed to CFOG – Procurement although the Qual sheet names no stakeholder); estate planning centralised in CI&amp;S – requests issued centrally, not to faculties.</t>
        </is>
      </c>
      <c r="E8" s="7" t="inlineStr"/>
      <c r="F8" s="7" t="inlineStr">
        <is>
          <t>CFOG; CI&amp;S</t>
        </is>
      </c>
      <c r="G8" s="7" t="inlineStr">
        <is>
          <t>—</t>
        </is>
      </c>
      <c r="H8" s="7" t="inlineStr">
        <is>
          <t>Noted</t>
        </is>
      </c>
      <c r="I8" s="7" t="inlineStr">
        <is>
          <t>Closed</t>
        </is>
      </c>
    </row>
    <row r="9" ht="56" customHeight="1">
      <c r="B9" s="7" t="n">
        <v>5</v>
      </c>
      <c r="C9" s="42" t="n">
        <v>46300</v>
      </c>
      <c r="D9" s="7" t="inlineStr">
        <is>
          <t>Chancellery units reported separately, as SR25: AC&amp;M, MRE, GCE, Education, SaSS and Indigenous each have their own request and master tab. Alumni (EE1(d)) asked of SaSS only.</t>
        </is>
      </c>
      <c r="E9" s="7" t="inlineStr"/>
      <c r="F9" s="7" t="inlineStr">
        <is>
          <t>Stakeholder map</t>
        </is>
      </c>
      <c r="G9" s="7" t="inlineStr">
        <is>
          <t>Stefanus</t>
        </is>
      </c>
      <c r="H9" s="7" t="inlineStr">
        <is>
          <t>Confirm contacts</t>
        </is>
      </c>
      <c r="I9" s="7" t="inlineStr">
        <is>
          <t>Closed</t>
        </is>
      </c>
    </row>
    <row r="10" ht="72" customHeight="1">
      <c r="B10" s="7" t="n">
        <v>6</v>
      </c>
      <c r="C10" s="42" t="n">
        <v>46300</v>
      </c>
      <c r="D10" s="7" t="inlineStr">
        <is>
          <t>Faculty requests cut down after ABP walkthrough: EE1(a)+(c) merged; CL2(a)/(c) to AC&amp;M only; TR1(b)–(d) and TR3(a)/(c)/(d) to MRE only; EN1(d) not asked of faculties; EE1(d) to SaSS only. Wattle Fellowship to be asked directly (not tracked in master).</t>
        </is>
      </c>
      <c r="E10" s="7" t="inlineStr"/>
      <c r="F10" s="7" t="inlineStr">
        <is>
          <t>Faculties</t>
        </is>
      </c>
      <c r="G10" s="7" t="inlineStr">
        <is>
          <t>Stefanus</t>
        </is>
      </c>
      <c r="H10" s="7" t="inlineStr">
        <is>
          <t>Confirm with team; apply to other faculties</t>
        </is>
      </c>
      <c r="I10" s="7" t="inlineStr">
        <is>
          <t>Open</t>
        </is>
      </c>
    </row>
    <row r="11" ht="72" customHeight="1">
      <c r="B11" s="7" t="n">
        <v>7</v>
      </c>
      <c r="C11" s="42" t="n">
        <v>46300</v>
      </c>
      <c r="D11" s="7" t="inlineStr">
        <is>
          <t>Legal &amp; Risk asked for climate resilience maturity CL3(a), following SR25 (8a(i)/(ii): University Risk 16 Climate Change; flood emergency response plans). CL3(a) is also with CI&amp;S (Gerard) – agree who leads.</t>
        </is>
      </c>
      <c r="E11" s="7" t="inlineStr"/>
      <c r="F11" s="7" t="inlineStr">
        <is>
          <t>CL3(a); L&amp;R; CI&amp;S</t>
        </is>
      </c>
      <c r="G11" s="7" t="inlineStr">
        <is>
          <t>Stefanus</t>
        </is>
      </c>
      <c r="H11" s="7" t="inlineStr">
        <is>
          <t>Confirm with Gerard</t>
        </is>
      </c>
      <c r="I11" s="7" t="inlineStr">
        <is>
          <t>Open</t>
        </is>
      </c>
    </row>
    <row r="12" ht="56" customHeight="1">
      <c r="B12" s="7" t="n">
        <v>8</v>
      </c>
      <c r="C12" s="42" t="n">
        <v>46300</v>
      </c>
      <c r="D12" s="7" t="inlineStr">
        <is>
          <t>TR2(b) 'Documented progress of strategic initiatives, incl. Impact Accelerators' reuses the TR2(d) case-study wording and has no stakeholder in the Qual sheet – left as-is.</t>
        </is>
      </c>
      <c r="E12" s="7" t="inlineStr"/>
      <c r="F12" s="7" t="inlineStr">
        <is>
          <t>TR2(b)</t>
        </is>
      </c>
      <c r="G12" s="7" t="inlineStr">
        <is>
          <t>TBC</t>
        </is>
      </c>
      <c r="H12" s="7" t="inlineStr">
        <is>
          <t>Review wording/owner</t>
        </is>
      </c>
      <c r="I12" s="7" t="inlineStr">
        <is>
          <t>Open</t>
        </is>
      </c>
    </row>
    <row r="13" ht="72" customHeight="1">
      <c r="B13" s="7" t="n">
        <v>9</v>
      </c>
      <c r="C13" s="42" t="n">
        <v>46300</v>
      </c>
      <c r="D13" s="7" t="inlineStr">
        <is>
          <t>Quantitative-only rows (no stakeholder in the Qual sheet) removed from the requirements matrix and moved to '2. Quant coverage'; Databook gaps requested in Tab 4 of the owning central unit's request.</t>
        </is>
      </c>
      <c r="E13" s="7" t="inlineStr"/>
      <c r="F13" s="7" t="inlineStr">
        <is>
          <t>TR2(b); CL1(a)-(b); CL2(b); NB1(a); CE1-2; RP2; RI1(a)</t>
        </is>
      </c>
      <c r="G13" s="7" t="inlineStr">
        <is>
          <t>Stefanus</t>
        </is>
      </c>
      <c r="H13" s="7" t="inlineStr">
        <is>
          <t>Confirm owners and Databook coverage with Chris</t>
        </is>
      </c>
      <c r="I13" s="7" t="inlineStr">
        <is>
          <t>Open</t>
        </is>
      </c>
    </row>
    <row r="14" ht="56" customHeight="1">
      <c r="B14" s="7" t="n">
        <v>10</v>
      </c>
      <c r="C14" s="42" t="n">
        <v>46300</v>
      </c>
      <c r="D14" s="7" t="inlineStr">
        <is>
          <t>No target status rating requested in 2026 (Rose): rating column removed from all requests; A1 now summarises responses instead of scoring.</t>
        </is>
      </c>
      <c r="E14" s="7" t="inlineStr"/>
      <c r="F14" s="7" t="inlineStr">
        <is>
          <t>All</t>
        </is>
      </c>
      <c r="G14" s="7" t="inlineStr">
        <is>
          <t>Director, Sustainability</t>
        </is>
      </c>
      <c r="H14" s="7" t="inlineStr">
        <is>
          <t>Revisit for 2027 with the new traffic-light framework</t>
        </is>
      </c>
      <c r="I14" s="7" t="inlineStr">
        <is>
          <t>Closed</t>
        </is>
      </c>
    </row>
    <row r="15" ht="88" customHeight="1">
      <c r="B15" s="7" t="n">
        <v>11</v>
      </c>
      <c r="C15" s="42" t="n">
        <v>46300</v>
      </c>
      <c r="D15" s="7" t="inlineStr">
        <is>
          <t>Due date moved to 24 Dec 2026 (Christmas shutdown) as the Sustainability 2030 launch was pushed back (Rose). First review, follow-up and consolidation move to January 2027. Databook figures given by 24 Dec are provisional; final figures confirmed Jan–Feb.</t>
        </is>
      </c>
      <c r="E15" s="7" t="inlineStr"/>
      <c r="F15" s="7" t="inlineStr">
        <is>
          <t>All</t>
        </is>
      </c>
      <c r="G15" s="7" t="inlineStr">
        <is>
          <t>Stefanus</t>
        </is>
      </c>
      <c r="H15" s="7" t="inlineStr">
        <is>
          <t>Confirm exact issue date and SST contact email</t>
        </is>
      </c>
      <c r="I15" s="7" t="inlineStr">
        <is>
          <t>Open</t>
        </is>
      </c>
    </row>
    <row r="16" ht="39" customHeight="1">
      <c r="B16" s="7" t="n">
        <v>12</v>
      </c>
      <c r="C16" s="42" t="n">
        <v>46300</v>
      </c>
      <c r="D16" s="7" t="inlineStr">
        <is>
          <t>EE1(b) (student self-efficacy) not asked of ABP – not relevant to the faculty (Rose). Other faculties keep it.</t>
        </is>
      </c>
      <c r="E16" s="7" t="inlineStr"/>
      <c r="F16" s="7" t="inlineStr">
        <is>
          <t>Faculties</t>
        </is>
      </c>
      <c r="G16" s="7" t="inlineStr">
        <is>
          <t>Stefanus</t>
        </is>
      </c>
      <c r="H16" s="7" t="inlineStr">
        <is>
          <t>Confirm whether other faculties should also drop it</t>
        </is>
      </c>
      <c r="I16" s="7" t="inlineStr">
        <is>
          <t>Open</t>
        </is>
      </c>
    </row>
    <row r="17" ht="39" customHeight="1">
      <c r="B17" s="7" t="n">
        <v>13</v>
      </c>
      <c r="C17" s="42" t="n">
        <v>46300</v>
      </c>
      <c r="D17" s="7" t="inlineStr">
        <is>
          <t>Faculty requests cut to 9 questions (SR25 sent 10) after the ABP walkthrough; all 9 faculties receive the same set.</t>
        </is>
      </c>
      <c r="E17" s="7" t="inlineStr"/>
      <c r="F17" s="7" t="inlineStr">
        <is>
          <t>Faculties</t>
        </is>
      </c>
      <c r="G17" s="7" t="inlineStr">
        <is>
          <t>Stefanus</t>
        </is>
      </c>
      <c r="H17" s="7" t="inlineStr">
        <is>
          <t>Monitor burden during collection</t>
        </is>
      </c>
      <c r="I17" s="7" t="inlineStr">
        <is>
          <t>Closed</t>
        </is>
      </c>
    </row>
    <row r="18">
      <c r="B18" s="7" t="n"/>
      <c r="C18" s="7" t="n"/>
      <c r="D18" s="7" t="n"/>
      <c r="E18" s="7" t="n"/>
      <c r="F18" s="7" t="n"/>
      <c r="G18" s="7" t="n"/>
      <c r="H18" s="7" t="n"/>
      <c r="I18" s="7" t="n"/>
    </row>
    <row r="19">
      <c r="B19" s="7" t="n"/>
      <c r="C19" s="7" t="n"/>
      <c r="D19" s="7" t="n"/>
      <c r="E19" s="7" t="n"/>
      <c r="F19" s="7" t="n"/>
      <c r="G19" s="7" t="n"/>
      <c r="H19" s="7" t="n"/>
      <c r="I19" s="7" t="n"/>
    </row>
    <row r="20">
      <c r="B20" s="7" t="n"/>
      <c r="C20" s="7" t="n"/>
      <c r="D20" s="7" t="n"/>
      <c r="E20" s="7" t="n"/>
      <c r="F20" s="7" t="n"/>
      <c r="G20" s="7" t="n"/>
      <c r="H20" s="7" t="n"/>
      <c r="I20" s="7" t="n"/>
    </row>
    <row r="21">
      <c r="B21" s="7" t="n"/>
      <c r="C21" s="7" t="n"/>
      <c r="D21" s="7" t="n"/>
      <c r="E21" s="7" t="n"/>
      <c r="F21" s="7" t="n"/>
      <c r="G21" s="7" t="n"/>
      <c r="H21" s="7" t="n"/>
      <c r="I21" s="7" t="n"/>
    </row>
    <row r="22">
      <c r="B22" s="7" t="n"/>
      <c r="C22" s="7" t="n"/>
      <c r="D22" s="7" t="n"/>
      <c r="E22" s="7" t="n"/>
      <c r="F22" s="7" t="n"/>
      <c r="G22" s="7" t="n"/>
      <c r="H22" s="7" t="n"/>
      <c r="I22" s="7" t="n"/>
    </row>
    <row r="23">
      <c r="B23" s="7" t="n"/>
      <c r="C23" s="7" t="n"/>
      <c r="D23" s="7" t="n"/>
      <c r="E23" s="7" t="n"/>
      <c r="F23" s="7" t="n"/>
      <c r="G23" s="7" t="n"/>
      <c r="H23" s="7" t="n"/>
      <c r="I23" s="7" t="n"/>
    </row>
    <row r="24">
      <c r="B24" s="7" t="n"/>
      <c r="C24" s="7" t="n"/>
      <c r="D24" s="7" t="n"/>
      <c r="E24" s="7" t="n"/>
      <c r="F24" s="7" t="n"/>
      <c r="G24" s="7" t="n"/>
      <c r="H24" s="7" t="n"/>
      <c r="I24" s="7" t="n"/>
    </row>
    <row r="25">
      <c r="B25" s="7" t="n"/>
      <c r="C25" s="7" t="n"/>
      <c r="D25" s="7" t="n"/>
      <c r="E25" s="7" t="n"/>
      <c r="F25" s="7" t="n"/>
      <c r="G25" s="7" t="n"/>
      <c r="H25" s="7" t="n"/>
      <c r="I25" s="7" t="n"/>
    </row>
    <row r="26">
      <c r="B26" s="7" t="n"/>
      <c r="C26" s="7" t="n"/>
      <c r="D26" s="7" t="n"/>
      <c r="E26" s="7" t="n"/>
      <c r="F26" s="7" t="n"/>
      <c r="G26" s="7" t="n"/>
      <c r="H26" s="7" t="n"/>
      <c r="I26" s="7" t="n"/>
    </row>
    <row r="27">
      <c r="B27" s="7" t="n"/>
      <c r="C27" s="7" t="n"/>
      <c r="D27" s="7" t="n"/>
      <c r="E27" s="7" t="n"/>
      <c r="F27" s="7" t="n"/>
      <c r="G27" s="7" t="n"/>
      <c r="H27" s="7" t="n"/>
      <c r="I27" s="7" t="n"/>
    </row>
    <row r="28">
      <c r="B28" s="7" t="n"/>
      <c r="C28" s="7" t="n"/>
      <c r="D28" s="7" t="n"/>
      <c r="E28" s="7" t="n"/>
      <c r="F28" s="7" t="n"/>
      <c r="G28" s="7" t="n"/>
      <c r="H28" s="7" t="n"/>
      <c r="I28" s="7" t="n"/>
    </row>
    <row r="29">
      <c r="B29" s="7" t="n"/>
      <c r="C29" s="7" t="n"/>
      <c r="D29" s="7" t="n"/>
      <c r="E29" s="7" t="n"/>
      <c r="F29" s="7" t="n"/>
      <c r="G29" s="7" t="n"/>
      <c r="H29" s="7" t="n"/>
      <c r="I29" s="7" t="n"/>
    </row>
    <row r="30">
      <c r="B30" s="7" t="n"/>
      <c r="C30" s="7" t="n"/>
      <c r="D30" s="7" t="n"/>
      <c r="E30" s="7" t="n"/>
      <c r="F30" s="7" t="n"/>
      <c r="G30" s="7" t="n"/>
      <c r="H30" s="7" t="n"/>
      <c r="I30" s="7" t="n"/>
    </row>
    <row r="31">
      <c r="B31" s="7" t="n"/>
      <c r="C31" s="7" t="n"/>
      <c r="D31" s="7" t="n"/>
      <c r="E31" s="7" t="n"/>
      <c r="F31" s="7" t="n"/>
      <c r="G31" s="7" t="n"/>
      <c r="H31" s="7" t="n"/>
      <c r="I31" s="7" t="n"/>
    </row>
    <row r="32">
      <c r="B32" s="7" t="n"/>
      <c r="C32" s="7" t="n"/>
      <c r="D32" s="7" t="n"/>
      <c r="E32" s="7" t="n"/>
      <c r="F32" s="7" t="n"/>
      <c r="G32" s="7" t="n"/>
      <c r="H32" s="7" t="n"/>
      <c r="I32" s="7" t="n"/>
    </row>
    <row r="33">
      <c r="B33" s="7" t="n"/>
      <c r="C33" s="7" t="n"/>
      <c r="D33" s="7" t="n"/>
      <c r="E33" s="7" t="n"/>
      <c r="F33" s="7" t="n"/>
      <c r="G33" s="7" t="n"/>
      <c r="H33" s="7" t="n"/>
      <c r="I33" s="7" t="n"/>
    </row>
    <row r="34">
      <c r="B34" s="7" t="n"/>
      <c r="C34" s="7" t="n"/>
      <c r="D34" s="7" t="n"/>
      <c r="E34" s="7" t="n"/>
      <c r="F34" s="7" t="n"/>
      <c r="G34" s="7" t="n"/>
      <c r="H34" s="7" t="n"/>
      <c r="I34" s="7" t="n"/>
    </row>
    <row r="35">
      <c r="B35" s="7" t="n"/>
      <c r="C35" s="7" t="n"/>
      <c r="D35" s="7" t="n"/>
      <c r="E35" s="7" t="n"/>
      <c r="F35" s="7" t="n"/>
      <c r="G35" s="7" t="n"/>
      <c r="H35" s="7" t="n"/>
      <c r="I35" s="7" t="n"/>
    </row>
    <row r="36">
      <c r="B36" s="7" t="n"/>
      <c r="C36" s="7" t="n"/>
      <c r="D36" s="7" t="n"/>
      <c r="E36" s="7" t="n"/>
      <c r="F36" s="7" t="n"/>
      <c r="G36" s="7" t="n"/>
      <c r="H36" s="7" t="n"/>
      <c r="I36" s="7" t="n"/>
    </row>
    <row r="37">
      <c r="B37" s="7" t="n"/>
      <c r="C37" s="7" t="n"/>
      <c r="D37" s="7" t="n"/>
      <c r="E37" s="7" t="n"/>
      <c r="F37" s="7" t="n"/>
      <c r="G37" s="7" t="n"/>
      <c r="H37" s="7" t="n"/>
      <c r="I37" s="7" t="n"/>
    </row>
    <row r="38">
      <c r="B38" s="7" t="n"/>
      <c r="C38" s="7" t="n"/>
      <c r="D38" s="7" t="n"/>
      <c r="E38" s="7" t="n"/>
      <c r="F38" s="7" t="n"/>
      <c r="G38" s="7" t="n"/>
      <c r="H38" s="7" t="n"/>
      <c r="I38" s="7" t="n"/>
    </row>
    <row r="39">
      <c r="B39" s="7" t="n"/>
      <c r="C39" s="7" t="n"/>
      <c r="D39" s="7" t="n"/>
      <c r="E39" s="7" t="n"/>
      <c r="F39" s="7" t="n"/>
      <c r="G39" s="7" t="n"/>
      <c r="H39" s="7" t="n"/>
      <c r="I39" s="7" t="n"/>
    </row>
  </sheetData>
  <dataValidations count="1">
    <dataValidation sqref="I5:I39" showDropDown="0" showInputMessage="0" showErrorMessage="0" allowBlank="1" errorTitle="Invalid entry" error="Please select from the dropdown" type="list">
      <formula1>"Open,In progress,Closed"</formula1>
    </dataValidation>
  </dataValidations>
  <pageMargins left="0.75" right="0.75" top="1" bottom="1" header="0.5" footer="0.5"/>
  <drawing xmlns:r="http://schemas.openxmlformats.org/officeDocument/2006/relationships" r:id="rId1"/>
</worksheet>
</file>

<file path=xl/worksheets/sheet27.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ht="22" customHeight="1">
      <c r="B1" t="inlineStr">
        <is>
          <t>(not used – no target status rating in 2026)</t>
        </is>
      </c>
      <c r="C1" t="inlineStr">
        <is>
          <t>Data owner confirms</t>
        </is>
      </c>
      <c r="D1" t="inlineStr">
        <is>
          <t>Request status</t>
        </is>
      </c>
      <c r="E1" t="inlineStr">
        <is>
          <t>Y/N</t>
        </is>
      </c>
      <c r="L1" t="inlineStr">
        <is>
          <t>Priority area</t>
        </is>
      </c>
    </row>
    <row r="2" ht="22" customHeight="1">
      <c r="B2" t="inlineStr">
        <is>
          <t>Please select from dropdown</t>
        </is>
      </c>
      <c r="C2" t="inlineStr">
        <is>
          <t>Yes</t>
        </is>
      </c>
      <c r="D2" t="inlineStr">
        <is>
          <t>Not sent</t>
        </is>
      </c>
      <c r="E2" t="inlineStr">
        <is>
          <t>Yes</t>
        </is>
      </c>
      <c r="L2" t="inlineStr">
        <is>
          <t>Exceptional education</t>
        </is>
      </c>
    </row>
    <row r="3" ht="22" customHeight="1">
      <c r="C3" t="inlineStr">
        <is>
          <t>No</t>
        </is>
      </c>
      <c r="D3" t="inlineStr">
        <is>
          <t>Sent</t>
        </is>
      </c>
      <c r="E3" t="inlineStr">
        <is>
          <t>No</t>
        </is>
      </c>
      <c r="L3" t="inlineStr">
        <is>
          <t>Transformational research</t>
        </is>
      </c>
    </row>
    <row r="4" ht="22" customHeight="1">
      <c r="C4" t="inlineStr">
        <is>
          <t>Partially – see comments</t>
        </is>
      </c>
      <c r="D4" t="inlineStr">
        <is>
          <t>1:1 meeting</t>
        </is>
      </c>
      <c r="E4" t="inlineStr">
        <is>
          <t>TBC</t>
        </is>
      </c>
      <c r="L4" t="inlineStr">
        <is>
          <t>Climate leadership</t>
        </is>
      </c>
    </row>
    <row r="5" ht="22" customHeight="1">
      <c r="D5" t="inlineStr">
        <is>
          <t>Received</t>
        </is>
      </c>
      <c r="L5" t="inlineStr">
        <is>
          <t>Nature and biodiversity</t>
        </is>
      </c>
    </row>
    <row r="6" ht="22" customHeight="1">
      <c r="D6" t="inlineStr">
        <is>
          <t>First review</t>
        </is>
      </c>
      <c r="L6" t="inlineStr">
        <is>
          <t>Responsible AI</t>
        </is>
      </c>
    </row>
    <row r="7" ht="22" customHeight="1">
      <c r="D7" t="inlineStr">
        <is>
          <t>Follow-up</t>
        </is>
      </c>
      <c r="L7" t="inlineStr">
        <is>
          <t>Estate and infrastructure</t>
        </is>
      </c>
    </row>
    <row r="8" ht="22" customHeight="1">
      <c r="D8" t="inlineStr">
        <is>
          <t>Complete</t>
        </is>
      </c>
      <c r="L8" t="inlineStr">
        <is>
          <t>Circular economy</t>
        </is>
      </c>
    </row>
    <row r="9" ht="22" customHeight="1">
      <c r="D9" t="inlineStr">
        <is>
          <t>Not required</t>
        </is>
      </c>
      <c r="L9" t="inlineStr">
        <is>
          <t>Responsible procurement</t>
        </is>
      </c>
    </row>
    <row r="10" ht="22" customHeight="1">
      <c r="L10" t="inlineStr">
        <is>
          <t>Modern slavery and human rights</t>
        </is>
      </c>
    </row>
    <row r="11" ht="22" customHeight="1">
      <c r="L11" t="inlineStr">
        <is>
          <t>Responsible investments</t>
        </is>
      </c>
    </row>
    <row r="12" ht="22" customHeight="1">
      <c r="L12" t="inlineStr">
        <is>
          <t>Enablers</t>
        </is>
      </c>
    </row>
    <row r="13" ht="22" customHeight="1">
      <c r="L13" t="inlineStr">
        <is>
          <t>Not priority-area specific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2026-10-20T02:38:46Z</dcterms:created>
  <dcterms:modified xmlns:dcterms="http://purl.org/dc/terms/" xmlns:xsi="http://www.w3.org/2001/XMLSchema-instance" xsi:type="dcterms:W3CDTF">2026-10-20T02:39:21Z</dcterms:modified>
  <cp:version>v0.23</cp:version>
</cp:coreProperties>
</file>