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2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" fontId="9" fillId="2" borderId="0" applyAlignment="1" pivotButton="0" quotePrefix="0" xfId="0">
      <alignment horizontal="center" textRotation="90"/>
    </xf>
    <xf numFmtId="0" fontId="5" fillId="3" borderId="0" pivotButton="0" quotePrefix="0" xfId="0"/>
    <xf numFmtId="0" fontId="0" fillId="3" borderId="0" pivotButton="0" quotePrefix="0" xfId="0"/>
    <xf numFmtId="0" fontId="11" fillId="0" borderId="1" applyAlignment="1" pivotButton="0" quotePrefix="0" xfId="0">
      <alignment vertical="top" wrapText="1"/>
    </xf>
    <xf numFmtId="165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P0. Project overview</t>
        </is>
      </c>
    </row>
    <row r="4">
      <c r="B4" s="4" t="inlineStr">
        <is>
          <t>1. Purpose</t>
        </is>
      </c>
    </row>
    <row r="5" ht="30" customHeight="1">
      <c r="B5" s="5" t="inlineStr">
        <is>
          <t>This workbook</t>
        </is>
      </c>
      <c r="C5" s="6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0" customHeight="1">
      <c r="B6" s="5" t="inlineStr">
        <is>
          <t>SR26 in one line</t>
        </is>
      </c>
      <c r="C6" s="6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8">
      <c r="B8" s="4" t="inlineStr">
        <is>
          <t>2. Lessons from SR25 and actions for SR26</t>
        </is>
      </c>
    </row>
    <row r="9" ht="30" customHeight="1">
      <c r="B9" s="5" t="inlineStr">
        <is>
          <t>Keep tailored data requests</t>
        </is>
      </c>
      <c r="C9" s="6" t="inlineStr">
        <is>
          <t>SR25 streamlined requests achieved a 100% response rate → keep targeted, faculty-specific requests (see Request wording log); avoid complex requests.</t>
        </is>
      </c>
    </row>
    <row r="10" ht="20" customHeight="1">
      <c r="B10" s="5" t="inlineStr">
        <is>
          <t>Keep independent senior review</t>
        </is>
      </c>
      <c r="C10" s="6" t="inlineStr">
        <is>
          <t>Retain Target Status Review Group as the Sustainability Reporting Review Group (~15 Feb 2027).</t>
        </is>
      </c>
    </row>
    <row r="11" ht="30" customHeight="1">
      <c r="B11" s="5" t="inlineStr">
        <is>
          <t>Strengthen data controls</t>
        </is>
      </c>
      <c r="C11" s="6" t="inlineStr">
        <is>
          <t>Central Evidence register, data owner confirmation (columns Q–R on every request), data source records, Databook alignment.</t>
        </is>
      </c>
    </row>
    <row r="12" ht="20" customHeight="1">
      <c r="B12" s="5" t="inlineStr">
        <is>
          <t>Integrate with Annual Report</t>
        </is>
      </c>
      <c r="C12" s="6" t="inlineStr">
        <is>
          <t>Engage Annual Report team in October; shared dependency map; late operational data (Feb–Mar) on a later pathway.</t>
        </is>
      </c>
    </row>
    <row r="13" ht="20" customHeight="1">
      <c r="B13" s="5" t="inlineStr">
        <is>
          <t>Agree comms roles early</t>
        </is>
      </c>
      <c r="C13" s="6" t="inlineStr">
        <is>
          <t>RASCI with Strategic Communications, comms, digital and design at project start (P2).</t>
        </is>
      </c>
    </row>
    <row r="14" ht="20" customHeight="1">
      <c r="B14" s="5" t="inlineStr">
        <is>
          <t>Plan web and close from the outset</t>
        </is>
      </c>
      <c r="C14" s="6" t="inlineStr">
        <is>
          <t>Year-specific report URL, central landing page, analytics measures agreed before launch, formal retrospective (P3, P2).</t>
        </is>
      </c>
    </row>
    <row r="15" ht="30" customHeight="1">
      <c r="B15" s="5" t="inlineStr">
        <is>
          <t>Simpler project management</t>
        </is>
      </c>
      <c r="C15" s="6" t="inlineStr">
        <is>
          <t>This simplified tracker; induction walkthrough; direct messages for assigned tasks, group channel for shared updates; blocker escalation as a standing meeting item.</t>
        </is>
      </c>
    </row>
    <row r="16" ht="30" customHeight="1">
      <c r="B16" s="5" t="inlineStr">
        <is>
          <t>Follow up non-approval</t>
        </is>
      </c>
      <c r="C16" s="6" t="inlineStr">
        <is>
          <t>SR25: FBE filled in the template but did not approve; Science disagreed with metrics → track 'Owner confirmed' in the Request tracker and chase; offer January support meetings.</t>
        </is>
      </c>
    </row>
    <row r="18">
      <c r="B18" s="4" t="inlineStr">
        <is>
          <t>3. How to use this workbook</t>
        </is>
      </c>
    </row>
    <row r="19" ht="30" customHeight="1">
      <c r="B19" s="5" t="inlineStr">
        <is>
          <t>Records management</t>
        </is>
      </c>
      <c r="C19" s="6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0" customHeight="1">
      <c r="B20" s="5" t="inlineStr">
        <is>
          <t>Responses</t>
        </is>
      </c>
      <c r="C20" s="6" t="inlineStr">
        <is>
          <t>Paste returned responses into the Faculties / central-unit tabs without inserting rows inside a block (A1/0.5/T2 formulas look up by Ref).</t>
        </is>
      </c>
    </row>
    <row r="21" ht="20" customHeight="1">
      <c r="B21" s="5" t="inlineStr">
        <is>
          <t>Regenerating</t>
        </is>
      </c>
      <c r="C21" s="6" t="inlineStr">
        <is>
          <t>Templates are generated by build.py – update settings there to add faculties/units, then re-run.</t>
        </is>
      </c>
    </row>
    <row r="23">
      <c r="B23" s="4" t="inlineStr">
        <is>
          <t>4. Key reference documents</t>
        </is>
      </c>
    </row>
    <row r="24" ht="20" customHeight="1">
      <c r="B24" s="5" t="inlineStr">
        <is>
          <t>SR26 approach</t>
        </is>
      </c>
      <c r="C24" s="6" t="inlineStr">
        <is>
          <t>2026 Sustainability reporting approach &amp; target status assessment framework – DRAFT Sep 2026</t>
        </is>
      </c>
    </row>
    <row r="25" ht="45" customHeight="1">
      <c r="B25" s="5" t="inlineStr">
        <is>
          <t>SR25 documents</t>
        </is>
      </c>
      <c r="C25" s="6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0" customHeight="1">
      <c r="B26" s="5" t="inlineStr">
        <is>
          <t>Targets</t>
        </is>
      </c>
      <c r="C26" s="6" t="inlineStr">
        <is>
          <t>Sustainability 2030 Updated Targets (Not for distribution) – Qual and Quan worksheets</t>
        </is>
      </c>
    </row>
    <row r="28">
      <c r="B28" s="4" t="inlineStr">
        <is>
          <t>5. Team processes</t>
        </is>
      </c>
    </row>
    <row r="29" ht="20" customHeight="1">
      <c r="B29" s="5" t="inlineStr">
        <is>
          <t>Meetings</t>
        </is>
      </c>
      <c r="C29" s="6" t="inlineStr">
        <is>
          <t>Weekly production meeting (SST + comms/design); standing items: progress, blockers/escalation, decisions.</t>
        </is>
      </c>
    </row>
    <row r="30" ht="20" customHeight="1">
      <c r="B30" s="5" t="inlineStr">
        <is>
          <t>Communication</t>
        </is>
      </c>
      <c r="C30" s="6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P1. SR26 Project plan on a page</t>
        </is>
      </c>
    </row>
    <row r="4">
      <c r="B4" s="4" t="inlineStr">
        <is>
          <t>Project plan on a page</t>
        </is>
      </c>
    </row>
    <row r="5" ht="20" customHeight="1">
      <c r="B5" s="5" t="inlineStr">
        <is>
          <t>Version control</t>
        </is>
      </c>
      <c r="C5" s="6" t="inlineStr">
        <is>
          <t>DRAFT v0.10 – based on SR26 approach (Sep 2026)</t>
        </is>
      </c>
    </row>
    <row r="6" ht="30" customHeight="1">
      <c r="B6" s="5" t="inlineStr">
        <is>
          <t>Context</t>
        </is>
      </c>
      <c r="C6" s="6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60" customHeight="1">
      <c r="B7" s="5" t="inlineStr">
        <is>
          <t>Objectives / principles</t>
        </is>
      </c>
      <c r="C7" s="6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30" customHeight="1">
      <c r="B8" s="5" t="inlineStr">
        <is>
          <t>Reporting model</t>
        </is>
      </c>
      <c r="C8" s="6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0" customHeight="1">
      <c r="B9" s="5" t="inlineStr">
        <is>
          <t>Workstreams</t>
        </is>
      </c>
      <c r="C9" s="6" t="inlineStr">
        <is>
          <t>Governance • Data collection &amp; analysis (this workbook) • Content development • Communications &amp; web build</t>
        </is>
      </c>
    </row>
    <row r="10" ht="60" customHeight="1">
      <c r="B10" s="5" t="inlineStr">
        <is>
          <t>Key stakeholders</t>
        </is>
      </c>
      <c r="C10" s="6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0" customHeight="1">
      <c r="B11" s="5" t="inlineStr">
        <is>
          <t>Phases</t>
        </is>
      </c>
      <c r="C11" s="6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0" customHeight="1">
      <c r="B12" s="5" t="inlineStr">
        <is>
          <t>Outputs</t>
        </is>
      </c>
      <c r="C12" s="6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0" customHeight="1">
      <c r="B13" s="5" t="inlineStr">
        <is>
          <t>Success measures</t>
        </is>
      </c>
      <c r="C13" s="6" t="inlineStr">
        <is>
          <t>Response rate • Reporting burden • Project effort • Data-quality issues • Web sessions, users and views • Stakeholder feedback</t>
        </is>
      </c>
    </row>
    <row r="15">
      <c r="B15" s="4" t="inlineStr">
        <is>
          <t>Key risks and controls</t>
        </is>
      </c>
    </row>
    <row r="16" ht="20" customHeight="1">
      <c r="B16" s="5" t="inlineStr">
        <is>
          <t>Full-year implication</t>
        </is>
      </c>
      <c r="C16" s="6" t="inlineStr">
        <is>
          <t>Report implies a full year of progress against targets launched 20 Oct → explicit transition-year framing.</t>
        </is>
      </c>
    </row>
    <row r="17" ht="30" customHeight="1">
      <c r="B17" s="5" t="inlineStr">
        <is>
          <t>Onerous requests</t>
        </is>
      </c>
      <c r="C17" s="6" t="inlineStr">
        <is>
          <t>Requests onerous or non-comparable → necessity and usability test; pilot templates; don't ask for data areas can't hold.</t>
        </is>
      </c>
    </row>
    <row r="18" ht="30" customHeight="1">
      <c r="B18" s="5" t="inlineStr">
        <is>
          <t>Databook overlap</t>
        </is>
      </c>
      <c r="C18" s="6" t="inlineStr">
        <is>
          <t>Databook and narrative requests overlap/conflict → one requirements matrix and evidence register; one source of truth per indicator.</t>
        </is>
      </c>
    </row>
    <row r="19" ht="20" customHeight="1">
      <c r="B19" s="5" t="inlineStr">
        <is>
          <t>New working groups</t>
        </is>
      </c>
      <c r="C19" s="6" t="inlineStr">
        <is>
          <t>Asked to evidence delivery before established → maturity-based 2026 request.</t>
        </is>
      </c>
    </row>
    <row r="20" ht="20" customHeight="1">
      <c r="B20" s="5" t="inlineStr">
        <is>
          <t>Case studies dominate</t>
        </is>
      </c>
      <c r="C20" s="6" t="inlineStr">
        <is>
          <t>→ selection criteria: relevance, evidence, outcome, transferability, balance, permission.</t>
        </is>
      </c>
    </row>
    <row r="21" ht="20" customHeight="1">
      <c r="B21" s="5" t="inlineStr">
        <is>
          <t>Late responses</t>
        </is>
      </c>
      <c r="C21" s="6" t="inlineStr">
        <is>
          <t>→ issue requirements early, support meetings, senior sponsorship, escalate gaps.</t>
        </is>
      </c>
    </row>
    <row r="22" ht="20" customHeight="1">
      <c r="B22" s="5" t="inlineStr">
        <is>
          <t>Review group role</t>
        </is>
      </c>
      <c r="C22" s="6" t="inlineStr">
        <is>
          <t>Unclear without traffic lights → approve review criteria and decision rights in advance.</t>
        </is>
      </c>
    </row>
    <row r="23" ht="20" customHeight="1">
      <c r="B23" s="5" t="inlineStr">
        <is>
          <t>Annual Report divergence</t>
        </is>
      </c>
      <c r="C23" s="6" t="inlineStr">
        <is>
          <t>→ engage in October; shared dependency/data map; reconcile shared figures.</t>
        </is>
      </c>
    </row>
    <row r="25">
      <c r="B25" s="4" t="inlineStr">
        <is>
          <t>Decisions required (from SR26 approach)</t>
        </is>
      </c>
    </row>
    <row r="26" ht="20" customHeight="1">
      <c r="B26" s="5" t="inlineStr">
        <is>
          <t>1. Transition-year model</t>
        </is>
      </c>
      <c r="C26" s="6" t="inlineStr">
        <is>
          <t>Director, Sustainability – Approved (internal traffic lights: sub-decision)</t>
        </is>
      </c>
    </row>
    <row r="27" ht="20" customHeight="1">
      <c r="B27" s="5" t="inlineStr">
        <is>
          <t>2. Evidence &amp; engagement model</t>
        </is>
      </c>
      <c r="C27" s="6" t="inlineStr">
        <is>
          <t>Director, Sustainability – Pending (awaiting Stefanus' WIP)</t>
        </is>
      </c>
    </row>
    <row r="28" ht="20" customHeight="1">
      <c r="B28" s="5" t="inlineStr">
        <is>
          <t>3. Assurance &amp; governance pathway</t>
        </is>
      </c>
      <c r="C28" s="6" t="inlineStr">
        <is>
          <t>Director, Sustainability – Closed</t>
        </is>
      </c>
    </row>
    <row r="29" ht="20" customHeight="1">
      <c r="B29" s="5" t="inlineStr">
        <is>
          <t>4. Modern slavery timeline alignment</t>
        </is>
      </c>
      <c r="C29" s="6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1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P2. Timeline, RASCI &amp; task register</t>
        </is>
      </c>
    </row>
    <row r="3">
      <c r="B3" s="7" t="inlineStr">
        <is>
          <t>Indicative dates from the SR26 approach – confirm governance dates with governance offices. Gantt bars fill automatically from Start/End.</t>
        </is>
      </c>
    </row>
    <row r="8">
      <c r="L8" s="8" t="inlineStr">
        <is>
          <t>Sep</t>
        </is>
      </c>
      <c r="M8" s="8" t="inlineStr"/>
      <c r="N8" s="8" t="inlineStr"/>
      <c r="O8" s="8" t="inlineStr"/>
      <c r="P8" s="8" t="inlineStr">
        <is>
          <t>Oct</t>
        </is>
      </c>
      <c r="Q8" s="8" t="inlineStr"/>
      <c r="R8" s="8" t="inlineStr"/>
      <c r="S8" s="8" t="inlineStr"/>
      <c r="T8" s="8" t="inlineStr">
        <is>
          <t>Nov</t>
        </is>
      </c>
      <c r="U8" s="8" t="inlineStr"/>
      <c r="V8" s="8" t="inlineStr"/>
      <c r="W8" s="8" t="inlineStr"/>
      <c r="X8" s="8" t="inlineStr"/>
      <c r="Y8" s="8" t="inlineStr">
        <is>
          <t>Dec</t>
        </is>
      </c>
      <c r="Z8" s="8" t="inlineStr"/>
      <c r="AA8" s="8" t="inlineStr"/>
      <c r="AB8" s="8" t="inlineStr"/>
      <c r="AC8" s="8" t="inlineStr">
        <is>
          <t>Jan</t>
        </is>
      </c>
      <c r="AD8" s="8" t="inlineStr"/>
      <c r="AE8" s="8" t="inlineStr"/>
      <c r="AF8" s="8" t="inlineStr"/>
      <c r="AG8" s="8" t="inlineStr">
        <is>
          <t>Feb</t>
        </is>
      </c>
      <c r="AH8" s="8" t="inlineStr"/>
      <c r="AI8" s="8" t="inlineStr"/>
      <c r="AJ8" s="8" t="inlineStr"/>
      <c r="AK8" s="8" t="inlineStr">
        <is>
          <t>Mar</t>
        </is>
      </c>
      <c r="AL8" s="8" t="inlineStr"/>
      <c r="AM8" s="8" t="inlineStr"/>
      <c r="AN8" s="8" t="inlineStr"/>
      <c r="AO8" s="8" t="inlineStr"/>
      <c r="AP8" s="8" t="inlineStr">
        <is>
          <t>Apr</t>
        </is>
      </c>
      <c r="AQ8" s="8" t="inlineStr"/>
      <c r="AR8" s="8" t="inlineStr"/>
      <c r="AS8" s="8" t="inlineStr"/>
      <c r="AT8" s="8" t="inlineStr">
        <is>
          <t>May</t>
        </is>
      </c>
      <c r="AU8" s="8" t="inlineStr"/>
      <c r="AV8" s="8" t="inlineStr"/>
      <c r="AW8" s="8" t="inlineStr"/>
      <c r="AX8" s="8" t="inlineStr"/>
      <c r="AY8" s="8" t="inlineStr">
        <is>
          <t>Jun</t>
        </is>
      </c>
      <c r="AZ8" s="8" t="inlineStr"/>
      <c r="BA8" s="8" t="inlineStr"/>
      <c r="BB8" s="8" t="inlineStr"/>
      <c r="BC8" s="8" t="inlineStr">
        <is>
          <t>Jul</t>
        </is>
      </c>
      <c r="BD8" s="8" t="inlineStr"/>
      <c r="BE8" s="8" t="inlineStr"/>
      <c r="BF8" s="8" t="inlineStr"/>
      <c r="BG8" s="8" t="inlineStr">
        <is>
          <t>Aug</t>
        </is>
      </c>
    </row>
    <row r="9">
      <c r="B9" s="9" t="inlineStr">
        <is>
          <t>Phase / key activity</t>
        </is>
      </c>
      <c r="C9" s="9" t="inlineStr">
        <is>
          <t>Key milestone</t>
        </is>
      </c>
      <c r="D9" s="9" t="inlineStr">
        <is>
          <t>Start</t>
        </is>
      </c>
      <c r="E9" s="9" t="inlineStr">
        <is>
          <t>End</t>
        </is>
      </c>
      <c r="F9" s="9" t="inlineStr">
        <is>
          <t>R</t>
        </is>
      </c>
      <c r="G9" s="9" t="inlineStr">
        <is>
          <t>A</t>
        </is>
      </c>
      <c r="H9" s="9" t="inlineStr">
        <is>
          <t>S</t>
        </is>
      </c>
      <c r="I9" s="9" t="inlineStr">
        <is>
          <t>C/I</t>
        </is>
      </c>
      <c r="J9" s="9" t="inlineStr">
        <is>
          <t>Priority</t>
        </is>
      </c>
      <c r="K9" s="9" t="inlineStr">
        <is>
          <t>Status</t>
        </is>
      </c>
      <c r="L9" s="10" t="n">
        <v>46272</v>
      </c>
      <c r="M9" s="10" t="n">
        <v>46279</v>
      </c>
      <c r="N9" s="10" t="n">
        <v>46286</v>
      </c>
      <c r="O9" s="10" t="n">
        <v>46293</v>
      </c>
      <c r="P9" s="10" t="n">
        <v>46300</v>
      </c>
      <c r="Q9" s="10" t="n">
        <v>46307</v>
      </c>
      <c r="R9" s="10" t="n">
        <v>46314</v>
      </c>
      <c r="S9" s="10" t="n">
        <v>46321</v>
      </c>
      <c r="T9" s="10" t="n">
        <v>46328</v>
      </c>
      <c r="U9" s="10" t="n">
        <v>46335</v>
      </c>
      <c r="V9" s="10" t="n">
        <v>46342</v>
      </c>
      <c r="W9" s="10" t="n">
        <v>46349</v>
      </c>
      <c r="X9" s="10" t="n">
        <v>46356</v>
      </c>
      <c r="Y9" s="10" t="n">
        <v>46363</v>
      </c>
      <c r="Z9" s="10" t="n">
        <v>46370</v>
      </c>
      <c r="AA9" s="10" t="n">
        <v>46377</v>
      </c>
      <c r="AB9" s="10" t="n">
        <v>46384</v>
      </c>
      <c r="AC9" s="10" t="n">
        <v>46391</v>
      </c>
      <c r="AD9" s="10" t="n">
        <v>46398</v>
      </c>
      <c r="AE9" s="10" t="n">
        <v>46405</v>
      </c>
      <c r="AF9" s="10" t="n">
        <v>46412</v>
      </c>
      <c r="AG9" s="10" t="n">
        <v>46419</v>
      </c>
      <c r="AH9" s="10" t="n">
        <v>46426</v>
      </c>
      <c r="AI9" s="10" t="n">
        <v>46433</v>
      </c>
      <c r="AJ9" s="10" t="n">
        <v>46440</v>
      </c>
      <c r="AK9" s="10" t="n">
        <v>46447</v>
      </c>
      <c r="AL9" s="10" t="n">
        <v>46454</v>
      </c>
      <c r="AM9" s="10" t="n">
        <v>46461</v>
      </c>
      <c r="AN9" s="10" t="n">
        <v>46468</v>
      </c>
      <c r="AO9" s="10" t="n">
        <v>46475</v>
      </c>
      <c r="AP9" s="10" t="n">
        <v>46482</v>
      </c>
      <c r="AQ9" s="10" t="n">
        <v>46489</v>
      </c>
      <c r="AR9" s="10" t="n">
        <v>46496</v>
      </c>
      <c r="AS9" s="10" t="n">
        <v>46503</v>
      </c>
      <c r="AT9" s="10" t="n">
        <v>46510</v>
      </c>
      <c r="AU9" s="10" t="n">
        <v>46517</v>
      </c>
      <c r="AV9" s="10" t="n">
        <v>46524</v>
      </c>
      <c r="AW9" s="10" t="n">
        <v>46531</v>
      </c>
      <c r="AX9" s="10" t="n">
        <v>46538</v>
      </c>
      <c r="AY9" s="10" t="n">
        <v>46545</v>
      </c>
      <c r="AZ9" s="10" t="n">
        <v>46552</v>
      </c>
      <c r="BA9" s="10" t="n">
        <v>46559</v>
      </c>
      <c r="BB9" s="10" t="n">
        <v>46566</v>
      </c>
      <c r="BC9" s="10" t="n">
        <v>46573</v>
      </c>
      <c r="BD9" s="10" t="n">
        <v>46580</v>
      </c>
      <c r="BE9" s="10" t="n">
        <v>46587</v>
      </c>
      <c r="BF9" s="10" t="n">
        <v>46594</v>
      </c>
      <c r="BG9" s="10" t="n">
        <v>46601</v>
      </c>
    </row>
    <row r="10">
      <c r="B10" s="11" t="inlineStr">
        <is>
          <t>Project set-up (Sep–Oct 2026)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</row>
    <row r="11">
      <c r="B11" s="13" t="inlineStr">
        <is>
          <t>Confirm scope, reporting model, governance pathway and decisions</t>
        </is>
      </c>
      <c r="C11" s="13" t="inlineStr">
        <is>
          <t>Decision log</t>
        </is>
      </c>
      <c r="D11" s="14" t="n">
        <v>46279</v>
      </c>
      <c r="E11" s="14" t="n">
        <v>46311</v>
      </c>
      <c r="F11" s="13" t="inlineStr">
        <is>
          <t>SST</t>
        </is>
      </c>
      <c r="G11" s="13" t="inlineStr">
        <is>
          <t>Director, Sustainability</t>
        </is>
      </c>
      <c r="H11" s="13" t="inlineStr"/>
      <c r="I11" s="13" t="inlineStr">
        <is>
          <t>VCAG (I)</t>
        </is>
      </c>
      <c r="J11" s="13" t="inlineStr">
        <is>
          <t>High</t>
        </is>
      </c>
      <c r="K11" s="13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>
      <c r="B12" s="13" t="inlineStr">
        <is>
          <t>Project charter, schedule, RASCI, decision log, issues register</t>
        </is>
      </c>
      <c r="C12" s="13" t="inlineStr">
        <is>
          <t>Approved by Oct</t>
        </is>
      </c>
      <c r="D12" s="14" t="n">
        <v>46293</v>
      </c>
      <c r="E12" s="14" t="n">
        <v>46318</v>
      </c>
      <c r="F12" s="13" t="inlineStr">
        <is>
          <t>SST</t>
        </is>
      </c>
      <c r="G12" s="13" t="inlineStr">
        <is>
          <t>Director, Sustainability</t>
        </is>
      </c>
      <c r="H12" s="13" t="inlineStr"/>
      <c r="I12" s="13" t="inlineStr">
        <is>
          <t>Comms, design</t>
        </is>
      </c>
      <c r="J12" s="13" t="inlineStr">
        <is>
          <t>High</t>
        </is>
      </c>
      <c r="K12" s="13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>
      <c r="B13" s="13" t="inlineStr">
        <is>
          <t>Map refreshed targets/indicators to Databook, systems, owners</t>
        </is>
      </c>
      <c r="C13" s="13" t="inlineStr">
        <is>
          <t>Requirements matrix</t>
        </is>
      </c>
      <c r="D13" s="14" t="n">
        <v>46286</v>
      </c>
      <c r="E13" s="14" t="n">
        <v>46311</v>
      </c>
      <c r="F13" s="13" t="inlineStr">
        <is>
          <t>Stefanus</t>
        </is>
      </c>
      <c r="G13" s="13" t="inlineStr">
        <is>
          <t>Gerard Healey</t>
        </is>
      </c>
      <c r="H13" s="13" t="inlineStr">
        <is>
          <t>Rose</t>
        </is>
      </c>
      <c r="I13" s="13" t="inlineStr">
        <is>
          <t>Data owners</t>
        </is>
      </c>
      <c r="J13" s="13" t="inlineStr">
        <is>
          <t>High</t>
        </is>
      </c>
      <c r="K13" s="13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>
      <c r="B14" s="13" t="inlineStr">
        <is>
          <t>Confirm stakeholder structure (CGOP/CDEP/CDSS) and owners (Gerard: resilience, estate)</t>
        </is>
      </c>
      <c r="C14" s="13" t="inlineStr">
        <is>
          <t>Stakeholder map</t>
        </is>
      </c>
      <c r="D14" s="14" t="n">
        <v>46300</v>
      </c>
      <c r="E14" s="14" t="n">
        <v>46311</v>
      </c>
      <c r="F14" s="13" t="inlineStr">
        <is>
          <t>Stefanus</t>
        </is>
      </c>
      <c r="G14" s="13" t="inlineStr">
        <is>
          <t>Gerard Healey</t>
        </is>
      </c>
      <c r="H14" s="13" t="inlineStr"/>
      <c r="I14" s="13" t="inlineStr"/>
      <c r="J14" s="13" t="inlineStr">
        <is>
          <t>High</t>
        </is>
      </c>
      <c r="K14" s="13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>
      <c r="B15" s="13" t="inlineStr">
        <is>
          <t>Pilot request templates with 4 faculties (ABP, Arts, FBE, Science)</t>
        </is>
      </c>
      <c r="C15" s="13" t="inlineStr">
        <is>
          <t>Pilot feedback</t>
        </is>
      </c>
      <c r="D15" s="14" t="n">
        <v>46307</v>
      </c>
      <c r="E15" s="14" t="n">
        <v>46325</v>
      </c>
      <c r="F15" s="13" t="inlineStr">
        <is>
          <t>Stefanus</t>
        </is>
      </c>
      <c r="G15" s="13" t="inlineStr">
        <is>
          <t>Gerard Healey</t>
        </is>
      </c>
      <c r="H15" s="13" t="inlineStr"/>
      <c r="I15" s="13" t="inlineStr">
        <is>
          <t>ADs Sustainability</t>
        </is>
      </c>
      <c r="J15" s="13" t="inlineStr">
        <is>
          <t>High</t>
        </is>
      </c>
      <c r="K15" s="13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>
      <c r="B16" s="13" t="inlineStr">
        <is>
          <t>Approve Review Group criteria, decision rights, escalation pathway</t>
        </is>
      </c>
      <c r="C16" s="13" t="inlineStr">
        <is>
          <t>Before collection</t>
        </is>
      </c>
      <c r="D16" s="14" t="n">
        <v>46300</v>
      </c>
      <c r="E16" s="14" t="n">
        <v>46325</v>
      </c>
      <c r="F16" s="13" t="inlineStr">
        <is>
          <t>SST</t>
        </is>
      </c>
      <c r="G16" s="13" t="inlineStr">
        <is>
          <t>Director, Sustainability</t>
        </is>
      </c>
      <c r="H16" s="13" t="inlineStr"/>
      <c r="I16" s="13" t="inlineStr">
        <is>
          <t>Review Group</t>
        </is>
      </c>
      <c r="J16" s="13" t="inlineStr">
        <is>
          <t>Medium</t>
        </is>
      </c>
      <c r="K16" s="13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>
      <c r="B17" s="11" t="inlineStr">
        <is>
          <t>Process design &amp; launch (Oct 2026)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</row>
    <row r="18">
      <c r="B18" s="13" t="inlineStr">
        <is>
          <t>Finalise templates and evidence register</t>
        </is>
      </c>
      <c r="C18" s="13" t="inlineStr">
        <is>
          <t>Templates final</t>
        </is>
      </c>
      <c r="D18" s="14" t="n">
        <v>46314</v>
      </c>
      <c r="E18" s="14" t="n">
        <v>46325</v>
      </c>
      <c r="F18" s="13" t="inlineStr">
        <is>
          <t>Stefanus</t>
        </is>
      </c>
      <c r="G18" s="13" t="inlineStr">
        <is>
          <t>Gerard Healey</t>
        </is>
      </c>
      <c r="H18" s="13" t="inlineStr"/>
      <c r="I18" s="13" t="inlineStr"/>
      <c r="J18" s="13" t="inlineStr">
        <is>
          <t>High</t>
        </is>
      </c>
      <c r="K18" s="13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>
      <c r="B19" s="13" t="inlineStr">
        <is>
          <t>Coordinate with University Annual Report team (dependency map)</t>
        </is>
      </c>
      <c r="C19" s="13" t="inlineStr">
        <is>
          <t>Shared data map</t>
        </is>
      </c>
      <c r="D19" s="14" t="n">
        <v>46300</v>
      </c>
      <c r="E19" s="14" t="n">
        <v>46325</v>
      </c>
      <c r="F19" s="13" t="inlineStr">
        <is>
          <t>SST</t>
        </is>
      </c>
      <c r="G19" s="13" t="inlineStr">
        <is>
          <t>Director, Sustainability</t>
        </is>
      </c>
      <c r="H19" s="13" t="inlineStr"/>
      <c r="I19" s="13" t="inlineStr">
        <is>
          <t>Annual Report team</t>
        </is>
      </c>
      <c r="J19" s="13" t="inlineStr">
        <is>
          <t>High</t>
        </is>
      </c>
      <c r="K19" s="13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>
      <c r="B20" s="13" t="inlineStr">
        <is>
          <t>Convene Strategic Comms, digital &amp; design; agree comms RASCI</t>
        </is>
      </c>
      <c r="C20" s="13" t="inlineStr">
        <is>
          <t>Kick-off</t>
        </is>
      </c>
      <c r="D20" s="14" t="n">
        <v>46300</v>
      </c>
      <c r="E20" s="14" t="n">
        <v>46318</v>
      </c>
      <c r="F20" s="13" t="inlineStr">
        <is>
          <t>SST</t>
        </is>
      </c>
      <c r="G20" s="13" t="inlineStr">
        <is>
          <t>Director, Sustainability</t>
        </is>
      </c>
      <c r="H20" s="13" t="inlineStr">
        <is>
          <t>Strategic Comms</t>
        </is>
      </c>
      <c r="I20" s="13" t="inlineStr">
        <is>
          <t>Design, digital</t>
        </is>
      </c>
      <c r="J20" s="13" t="inlineStr">
        <is>
          <t>High</t>
        </is>
      </c>
      <c r="K20" s="13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>
      <c r="B21" s="13" t="inlineStr">
        <is>
          <t>Sustainability 2030 launch</t>
        </is>
      </c>
      <c r="C21" s="13" t="inlineStr">
        <is>
          <t>~20 Oct (TBC)</t>
        </is>
      </c>
      <c r="D21" s="14" t="n">
        <v>46315</v>
      </c>
      <c r="E21" s="14" t="n">
        <v>46315</v>
      </c>
      <c r="F21" s="13" t="inlineStr"/>
      <c r="G21" s="13" t="inlineStr"/>
      <c r="H21" s="13" t="inlineStr"/>
      <c r="I21" s="13" t="inlineStr"/>
      <c r="J21" s="13" t="inlineStr">
        <is>
          <t>Milestone</t>
        </is>
      </c>
      <c r="K21" s="13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>
      <c r="B22" s="13" t="inlineStr">
        <is>
          <t>Brief contributor groups / working groups (after launch)</t>
        </is>
      </c>
      <c r="C22" s="13" t="inlineStr"/>
      <c r="D22" s="14" t="n">
        <v>46315</v>
      </c>
      <c r="E22" s="14" t="n">
        <v>46332</v>
      </c>
      <c r="F22" s="13" t="inlineStr">
        <is>
          <t>SST</t>
        </is>
      </c>
      <c r="G22" s="13" t="inlineStr"/>
      <c r="H22" s="13" t="inlineStr"/>
      <c r="I22" s="13" t="inlineStr">
        <is>
          <t>Working groups</t>
        </is>
      </c>
      <c r="J22" s="13" t="inlineStr">
        <is>
          <t>Medium</t>
        </is>
      </c>
      <c r="K22" s="13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>
      <c r="B23" s="13" t="inlineStr">
        <is>
          <t>Joint ADs Sustainability &amp; ADs T&amp;L session</t>
        </is>
      </c>
      <c r="C23" s="13" t="inlineStr">
        <is>
          <t>Structured prompt in advance</t>
        </is>
      </c>
      <c r="D23" s="14" t="n">
        <v>46314</v>
      </c>
      <c r="E23" s="14" t="n">
        <v>46325</v>
      </c>
      <c r="F23" s="13" t="inlineStr">
        <is>
          <t>SST</t>
        </is>
      </c>
      <c r="G23" s="13" t="inlineStr"/>
      <c r="H23" s="13" t="inlineStr"/>
      <c r="I23" s="13" t="inlineStr">
        <is>
          <t>ADs</t>
        </is>
      </c>
      <c r="J23" s="13" t="inlineStr">
        <is>
          <t>Medium</t>
        </is>
      </c>
      <c r="K23" s="13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>
      <c r="B24" s="13" t="inlineStr">
        <is>
          <t>Early engagement: socialise requirements in existing meetings (esp. education-related)</t>
        </is>
      </c>
      <c r="C24" s="13" t="inlineStr">
        <is>
          <t>Stakeholder awareness</t>
        </is>
      </c>
      <c r="D24" s="14" t="n">
        <v>46321</v>
      </c>
      <c r="E24" s="14" t="n">
        <v>46325</v>
      </c>
      <c r="F24" s="13" t="inlineStr">
        <is>
          <t>SST</t>
        </is>
      </c>
      <c r="G24" s="13" t="inlineStr"/>
      <c r="H24" s="13" t="inlineStr"/>
      <c r="I24" s="13" t="inlineStr">
        <is>
          <t>Faculties, central units</t>
        </is>
      </c>
      <c r="J24" s="13" t="inlineStr">
        <is>
          <t>High</t>
        </is>
      </c>
      <c r="K24" s="13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>
      <c r="B25" s="11" t="inlineStr">
        <is>
          <t>Collection &amp; evidence (Nov–Dec 2026)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</row>
    <row r="26">
      <c r="B26" s="13" t="inlineStr">
        <is>
          <t>Collection launch: issue tailored requests (separate workbook per faculty/unit)</t>
        </is>
      </c>
      <c r="C26" s="13" t="inlineStr">
        <is>
          <t>Requests formally issued</t>
        </is>
      </c>
      <c r="D26" s="14" t="n">
        <v>46328</v>
      </c>
      <c r="E26" s="14" t="n">
        <v>46332</v>
      </c>
      <c r="F26" s="13" t="inlineStr">
        <is>
          <t>SST</t>
        </is>
      </c>
      <c r="G26" s="13" t="inlineStr">
        <is>
          <t>Director, Sustainability</t>
        </is>
      </c>
      <c r="H26" s="13" t="inlineStr">
        <is>
          <t>COO (sponsor)</t>
        </is>
      </c>
      <c r="I26" s="13" t="inlineStr"/>
      <c r="J26" s="13" t="inlineStr">
        <is>
          <t>High</t>
        </is>
      </c>
      <c r="K26" s="13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>
      <c r="B27" s="13" t="inlineStr">
        <is>
          <t>Collection period: stakeholders prepare responses and evidence</t>
        </is>
      </c>
      <c r="C27" s="13" t="inlineStr">
        <is>
          <t>Initial submission</t>
        </is>
      </c>
      <c r="D27" s="14" t="n">
        <v>46328</v>
      </c>
      <c r="E27" s="14" t="n">
        <v>46371</v>
      </c>
      <c r="F27" s="13" t="inlineStr">
        <is>
          <t>Faculties, central units</t>
        </is>
      </c>
      <c r="G27" s="13" t="inlineStr"/>
      <c r="H27" s="13" t="inlineStr">
        <is>
          <t>SST</t>
        </is>
      </c>
      <c r="I27" s="13" t="inlineStr"/>
      <c r="J27" s="13" t="inlineStr">
        <is>
          <t>High</t>
        </is>
      </c>
      <c r="K27" s="13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>
      <c r="B28" s="13" t="inlineStr">
        <is>
          <t>CDSS answers questions and records clarifications centrally</t>
        </is>
      </c>
      <c r="C28" s="13" t="inlineStr">
        <is>
          <t>Clarifications log</t>
        </is>
      </c>
      <c r="D28" s="14" t="n">
        <v>46328</v>
      </c>
      <c r="E28" s="14" t="n">
        <v>46371</v>
      </c>
      <c r="F28" s="13" t="inlineStr">
        <is>
          <t>CDSS</t>
        </is>
      </c>
      <c r="G28" s="13" t="inlineStr"/>
      <c r="H28" s="13" t="inlineStr"/>
      <c r="I28" s="13" t="inlineStr"/>
      <c r="J28" s="13" t="inlineStr">
        <is>
          <t>Medium</t>
        </is>
      </c>
      <c r="K28" s="13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>
      <c r="B29" s="13" t="inlineStr">
        <is>
          <t>Optional 1:1 meetings (on request)</t>
        </is>
      </c>
      <c r="C29" s="13" t="inlineStr"/>
      <c r="D29" s="14" t="n">
        <v>46328</v>
      </c>
      <c r="E29" s="14" t="n">
        <v>46371</v>
      </c>
      <c r="F29" s="13" t="inlineStr">
        <is>
          <t>SST</t>
        </is>
      </c>
      <c r="G29" s="13" t="inlineStr"/>
      <c r="H29" s="13" t="inlineStr"/>
      <c r="I29" s="13" t="inlineStr">
        <is>
          <t>Data owners</t>
        </is>
      </c>
      <c r="J29" s="13" t="inlineStr">
        <is>
          <t>Medium</t>
        </is>
      </c>
      <c r="K29" s="13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>
      <c r="B30" s="13" t="inlineStr">
        <is>
          <t>Responses and highlighted stories due</t>
        </is>
      </c>
      <c r="C30" s="13" t="inlineStr">
        <is>
          <t>15 Dec</t>
        </is>
      </c>
      <c r="D30" s="14" t="n">
        <v>46371</v>
      </c>
      <c r="E30" s="14" t="n">
        <v>46371</v>
      </c>
      <c r="F30" s="13" t="inlineStr"/>
      <c r="G30" s="13" t="inlineStr"/>
      <c r="H30" s="13" t="inlineStr"/>
      <c r="I30" s="13" t="inlineStr"/>
      <c r="J30" s="13" t="inlineStr">
        <is>
          <t>Milestone</t>
        </is>
      </c>
      <c r="K30" s="13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>
      <c r="B31" s="13" t="inlineStr">
        <is>
          <t>First review: completeness and evidence quality</t>
        </is>
      </c>
      <c r="C31" s="13" t="inlineStr">
        <is>
          <t>First QA assessment</t>
        </is>
      </c>
      <c r="D31" s="14" t="n">
        <v>46370</v>
      </c>
      <c r="E31" s="14" t="n">
        <v>46374</v>
      </c>
      <c r="F31" s="13" t="inlineStr">
        <is>
          <t>SST</t>
        </is>
      </c>
      <c r="G31" s="13" t="inlineStr"/>
      <c r="H31" s="13" t="inlineStr"/>
      <c r="I31" s="13" t="inlineStr"/>
      <c r="J31" s="13" t="inlineStr">
        <is>
          <t>High</t>
        </is>
      </c>
      <c r="K31" s="13" t="inlineStr">
        <is>
          <t>Not yet started</t>
        </is>
      </c>
      <c r="L31">
        <f>IF(AND(L$9+6&gt;=$D31,L$9&lt;=$E31),1,"")</f>
        <v/>
      </c>
      <c r="M31">
        <f>IF(AND(M$9+6&gt;=$D31,M$9&lt;=$E31),1,"")</f>
        <v/>
      </c>
      <c r="N31">
        <f>IF(AND(N$9+6&gt;=$D31,N$9&lt;=$E31),1,"")</f>
        <v/>
      </c>
      <c r="O31">
        <f>IF(AND(O$9+6&gt;=$D31,O$9&lt;=$E31),1,"")</f>
        <v/>
      </c>
      <c r="P31">
        <f>IF(AND(P$9+6&gt;=$D31,P$9&lt;=$E31),1,"")</f>
        <v/>
      </c>
      <c r="Q31">
        <f>IF(AND(Q$9+6&gt;=$D31,Q$9&lt;=$E31),1,"")</f>
        <v/>
      </c>
      <c r="R31">
        <f>IF(AND(R$9+6&gt;=$D31,R$9&lt;=$E31),1,"")</f>
        <v/>
      </c>
      <c r="S31">
        <f>IF(AND(S$9+6&gt;=$D31,S$9&lt;=$E31),1,"")</f>
        <v/>
      </c>
      <c r="T31">
        <f>IF(AND(T$9+6&gt;=$D31,T$9&lt;=$E31),1,"")</f>
        <v/>
      </c>
      <c r="U31">
        <f>IF(AND(U$9+6&gt;=$D31,U$9&lt;=$E31),1,"")</f>
        <v/>
      </c>
      <c r="V31">
        <f>IF(AND(V$9+6&gt;=$D31,V$9&lt;=$E31),1,"")</f>
        <v/>
      </c>
      <c r="W31">
        <f>IF(AND(W$9+6&gt;=$D31,W$9&lt;=$E31),1,"")</f>
        <v/>
      </c>
      <c r="X31">
        <f>IF(AND(X$9+6&gt;=$D31,X$9&lt;=$E31),1,"")</f>
        <v/>
      </c>
      <c r="Y31">
        <f>IF(AND(Y$9+6&gt;=$D31,Y$9&lt;=$E31),1,"")</f>
        <v/>
      </c>
      <c r="Z31">
        <f>IF(AND(Z$9+6&gt;=$D31,Z$9&lt;=$E31),1,"")</f>
        <v/>
      </c>
      <c r="AA31">
        <f>IF(AND(AA$9+6&gt;=$D31,AA$9&lt;=$E31),1,"")</f>
        <v/>
      </c>
      <c r="AB31">
        <f>IF(AND(AB$9+6&gt;=$D31,AB$9&lt;=$E31),1,"")</f>
        <v/>
      </c>
      <c r="AC31">
        <f>IF(AND(AC$9+6&gt;=$D31,AC$9&lt;=$E31),1,"")</f>
        <v/>
      </c>
      <c r="AD31">
        <f>IF(AND(AD$9+6&gt;=$D31,AD$9&lt;=$E31),1,"")</f>
        <v/>
      </c>
      <c r="AE31">
        <f>IF(AND(AE$9+6&gt;=$D31,AE$9&lt;=$E31),1,"")</f>
        <v/>
      </c>
      <c r="AF31">
        <f>IF(AND(AF$9+6&gt;=$D31,AF$9&lt;=$E31),1,"")</f>
        <v/>
      </c>
      <c r="AG31">
        <f>IF(AND(AG$9+6&gt;=$D31,AG$9&lt;=$E31),1,"")</f>
        <v/>
      </c>
      <c r="AH31">
        <f>IF(AND(AH$9+6&gt;=$D31,AH$9&lt;=$E31),1,"")</f>
        <v/>
      </c>
      <c r="AI31">
        <f>IF(AND(AI$9+6&gt;=$D31,AI$9&lt;=$E31),1,"")</f>
        <v/>
      </c>
      <c r="AJ31">
        <f>IF(AND(AJ$9+6&gt;=$D31,AJ$9&lt;=$E31),1,"")</f>
        <v/>
      </c>
      <c r="AK31">
        <f>IF(AND(AK$9+6&gt;=$D31,AK$9&lt;=$E31),1,"")</f>
        <v/>
      </c>
      <c r="AL31">
        <f>IF(AND(AL$9+6&gt;=$D31,AL$9&lt;=$E31),1,"")</f>
        <v/>
      </c>
      <c r="AM31">
        <f>IF(AND(AM$9+6&gt;=$D31,AM$9&lt;=$E31),1,"")</f>
        <v/>
      </c>
      <c r="AN31">
        <f>IF(AND(AN$9+6&gt;=$D31,AN$9&lt;=$E31),1,"")</f>
        <v/>
      </c>
      <c r="AO31">
        <f>IF(AND(AO$9+6&gt;=$D31,AO$9&lt;=$E31),1,"")</f>
        <v/>
      </c>
      <c r="AP31">
        <f>IF(AND(AP$9+6&gt;=$D31,AP$9&lt;=$E31),1,"")</f>
        <v/>
      </c>
      <c r="AQ31">
        <f>IF(AND(AQ$9+6&gt;=$D31,AQ$9&lt;=$E31),1,"")</f>
        <v/>
      </c>
      <c r="AR31">
        <f>IF(AND(AR$9+6&gt;=$D31,AR$9&lt;=$E31),1,"")</f>
        <v/>
      </c>
      <c r="AS31">
        <f>IF(AND(AS$9+6&gt;=$D31,AS$9&lt;=$E31),1,"")</f>
        <v/>
      </c>
      <c r="AT31">
        <f>IF(AND(AT$9+6&gt;=$D31,AT$9&lt;=$E31),1,"")</f>
        <v/>
      </c>
      <c r="AU31">
        <f>IF(AND(AU$9+6&gt;=$D31,AU$9&lt;=$E31),1,"")</f>
        <v/>
      </c>
      <c r="AV31">
        <f>IF(AND(AV$9+6&gt;=$D31,AV$9&lt;=$E31),1,"")</f>
        <v/>
      </c>
      <c r="AW31">
        <f>IF(AND(AW$9+6&gt;=$D31,AW$9&lt;=$E31),1,"")</f>
        <v/>
      </c>
      <c r="AX31">
        <f>IF(AND(AX$9+6&gt;=$D31,AX$9&lt;=$E31),1,"")</f>
        <v/>
      </c>
      <c r="AY31">
        <f>IF(AND(AY$9+6&gt;=$D31,AY$9&lt;=$E31),1,"")</f>
        <v/>
      </c>
      <c r="AZ31">
        <f>IF(AND(AZ$9+6&gt;=$D31,AZ$9&lt;=$E31),1,"")</f>
        <v/>
      </c>
      <c r="BA31">
        <f>IF(AND(BA$9+6&gt;=$D31,BA$9&lt;=$E31),1,"")</f>
        <v/>
      </c>
      <c r="BB31">
        <f>IF(AND(BB$9+6&gt;=$D31,BB$9&lt;=$E31),1,"")</f>
        <v/>
      </c>
      <c r="BC31">
        <f>IF(AND(BC$9+6&gt;=$D31,BC$9&lt;=$E31),1,"")</f>
        <v/>
      </c>
      <c r="BD31">
        <f>IF(AND(BD$9+6&gt;=$D31,BD$9&lt;=$E31),1,"")</f>
        <v/>
      </c>
      <c r="BE31">
        <f>IF(AND(BE$9+6&gt;=$D31,BE$9&lt;=$E31),1,"")</f>
        <v/>
      </c>
      <c r="BF31">
        <f>IF(AND(BF$9+6&gt;=$D31,BF$9&lt;=$E31),1,"")</f>
        <v/>
      </c>
      <c r="BG31">
        <f>IF(AND(BG$9+6&gt;=$D31,BG$9&lt;=$E31),1,"")</f>
        <v/>
      </c>
    </row>
    <row r="32">
      <c r="B32" s="13" t="inlineStr">
        <is>
          <t>Targeted follow-up where evidence is incomplete, ambiguous or missing (no second broad request; ask availability)</t>
        </is>
      </c>
      <c r="C32" s="13" t="inlineStr">
        <is>
          <t>Resolved gaps</t>
        </is>
      </c>
      <c r="D32" s="14" t="n">
        <v>46370</v>
      </c>
      <c r="E32" s="14" t="n">
        <v>46380</v>
      </c>
      <c r="F32" s="13" t="inlineStr">
        <is>
          <t>SST</t>
        </is>
      </c>
      <c r="G32" s="13" t="inlineStr"/>
      <c r="H32" s="13" t="inlineStr"/>
      <c r="I32" s="13" t="inlineStr">
        <is>
          <t>Data owners</t>
        </is>
      </c>
      <c r="J32" s="13" t="inlineStr">
        <is>
          <t>High</t>
        </is>
      </c>
      <c r="K32" s="13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>
      <c r="B33" s="13" t="inlineStr">
        <is>
          <t>Consolidation: finalise master, identify unresolved gaps, prepare drafting material</t>
        </is>
      </c>
      <c r="C33" s="13" t="inlineStr">
        <is>
          <t>Consolidated master spreadsheet</t>
        </is>
      </c>
      <c r="D33" s="14" t="n">
        <v>46377</v>
      </c>
      <c r="E33" s="14" t="n">
        <v>46380</v>
      </c>
      <c r="F33" s="13" t="inlineStr">
        <is>
          <t>SST</t>
        </is>
      </c>
      <c r="G33" s="13" t="inlineStr">
        <is>
          <t>Director, Sustainability</t>
        </is>
      </c>
      <c r="H33" s="13" t="inlineStr"/>
      <c r="I33" s="13" t="inlineStr"/>
      <c r="J33" s="13" t="inlineStr">
        <is>
          <t>High</t>
        </is>
      </c>
      <c r="K33" s="13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>
      <c r="B34" s="11" t="inlineStr">
        <is>
          <t>Drafting &amp; data validation (Jan 2027)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</row>
    <row r="35">
      <c r="B35" s="13" t="inlineStr">
        <is>
          <t>Commence drafting from consolidated master</t>
        </is>
      </c>
      <c r="C35" s="13" t="inlineStr"/>
      <c r="D35" s="14" t="n">
        <v>46391</v>
      </c>
      <c r="E35" s="14" t="n">
        <v>46423</v>
      </c>
      <c r="F35" s="13" t="inlineStr">
        <is>
          <t>SST</t>
        </is>
      </c>
      <c r="G35" s="13" t="inlineStr"/>
      <c r="H35" s="13" t="inlineStr"/>
      <c r="I35" s="13" t="inlineStr"/>
      <c r="J35" s="13" t="inlineStr">
        <is>
          <t>High</t>
        </is>
      </c>
      <c r="K35" s="13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>
      <c r="B36" s="13" t="inlineStr">
        <is>
          <t>Confirm final quantitative figures (Databook)</t>
        </is>
      </c>
      <c r="C36" s="13" t="inlineStr"/>
      <c r="D36" s="14" t="n">
        <v>46391</v>
      </c>
      <c r="E36" s="14" t="n">
        <v>46416</v>
      </c>
      <c r="F36" s="13" t="inlineStr">
        <is>
          <t>SST</t>
        </is>
      </c>
      <c r="G36" s="13" t="inlineStr"/>
      <c r="H36" s="13" t="inlineStr">
        <is>
          <t>Data owners</t>
        </is>
      </c>
      <c r="I36" s="13" t="inlineStr"/>
      <c r="J36" s="13" t="inlineStr">
        <is>
          <t>High</t>
        </is>
      </c>
      <c r="K36" s="13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>
      <c r="B37" s="13" t="inlineStr">
        <is>
          <t>Preliminary target status assessment (internal) – A1/T2 tabs</t>
        </is>
      </c>
      <c r="C37" s="13" t="inlineStr"/>
      <c r="D37" s="14" t="n">
        <v>46405</v>
      </c>
      <c r="E37" s="14" t="n">
        <v>46423</v>
      </c>
      <c r="F37" s="13" t="inlineStr">
        <is>
          <t>Rose (TBC)</t>
        </is>
      </c>
      <c r="G37" s="13" t="inlineStr">
        <is>
          <t>Director, Sustainability</t>
        </is>
      </c>
      <c r="H37" s="13" t="inlineStr">
        <is>
          <t>SST</t>
        </is>
      </c>
      <c r="I37" s="13" t="inlineStr"/>
      <c r="J37" s="13" t="inlineStr">
        <is>
          <t>High</t>
        </is>
      </c>
      <c r="K37" s="13" t="inlineStr">
        <is>
          <t>Not yet started</t>
        </is>
      </c>
      <c r="L37">
        <f>IF(AND(L$9+6&gt;=$D37,L$9&lt;=$E37),1,"")</f>
        <v/>
      </c>
      <c r="M37">
        <f>IF(AND(M$9+6&gt;=$D37,M$9&lt;=$E37),1,"")</f>
        <v/>
      </c>
      <c r="N37">
        <f>IF(AND(N$9+6&gt;=$D37,N$9&lt;=$E37),1,"")</f>
        <v/>
      </c>
      <c r="O37">
        <f>IF(AND(O$9+6&gt;=$D37,O$9&lt;=$E37),1,"")</f>
        <v/>
      </c>
      <c r="P37">
        <f>IF(AND(P$9+6&gt;=$D37,P$9&lt;=$E37),1,"")</f>
        <v/>
      </c>
      <c r="Q37">
        <f>IF(AND(Q$9+6&gt;=$D37,Q$9&lt;=$E37),1,"")</f>
        <v/>
      </c>
      <c r="R37">
        <f>IF(AND(R$9+6&gt;=$D37,R$9&lt;=$E37),1,"")</f>
        <v/>
      </c>
      <c r="S37">
        <f>IF(AND(S$9+6&gt;=$D37,S$9&lt;=$E37),1,"")</f>
        <v/>
      </c>
      <c r="T37">
        <f>IF(AND(T$9+6&gt;=$D37,T$9&lt;=$E37),1,"")</f>
        <v/>
      </c>
      <c r="U37">
        <f>IF(AND(U$9+6&gt;=$D37,U$9&lt;=$E37),1,"")</f>
        <v/>
      </c>
      <c r="V37">
        <f>IF(AND(V$9+6&gt;=$D37,V$9&lt;=$E37),1,"")</f>
        <v/>
      </c>
      <c r="W37">
        <f>IF(AND(W$9+6&gt;=$D37,W$9&lt;=$E37),1,"")</f>
        <v/>
      </c>
      <c r="X37">
        <f>IF(AND(X$9+6&gt;=$D37,X$9&lt;=$E37),1,"")</f>
        <v/>
      </c>
      <c r="Y37">
        <f>IF(AND(Y$9+6&gt;=$D37,Y$9&lt;=$E37),1,"")</f>
        <v/>
      </c>
      <c r="Z37">
        <f>IF(AND(Z$9+6&gt;=$D37,Z$9&lt;=$E37),1,"")</f>
        <v/>
      </c>
      <c r="AA37">
        <f>IF(AND(AA$9+6&gt;=$D37,AA$9&lt;=$E37),1,"")</f>
        <v/>
      </c>
      <c r="AB37">
        <f>IF(AND(AB$9+6&gt;=$D37,AB$9&lt;=$E37),1,"")</f>
        <v/>
      </c>
      <c r="AC37">
        <f>IF(AND(AC$9+6&gt;=$D37,AC$9&lt;=$E37),1,"")</f>
        <v/>
      </c>
      <c r="AD37">
        <f>IF(AND(AD$9+6&gt;=$D37,AD$9&lt;=$E37),1,"")</f>
        <v/>
      </c>
      <c r="AE37">
        <f>IF(AND(AE$9+6&gt;=$D37,AE$9&lt;=$E37),1,"")</f>
        <v/>
      </c>
      <c r="AF37">
        <f>IF(AND(AF$9+6&gt;=$D37,AF$9&lt;=$E37),1,"")</f>
        <v/>
      </c>
      <c r="AG37">
        <f>IF(AND(AG$9+6&gt;=$D37,AG$9&lt;=$E37),1,"")</f>
        <v/>
      </c>
      <c r="AH37">
        <f>IF(AND(AH$9+6&gt;=$D37,AH$9&lt;=$E37),1,"")</f>
        <v/>
      </c>
      <c r="AI37">
        <f>IF(AND(AI$9+6&gt;=$D37,AI$9&lt;=$E37),1,"")</f>
        <v/>
      </c>
      <c r="AJ37">
        <f>IF(AND(AJ$9+6&gt;=$D37,AJ$9&lt;=$E37),1,"")</f>
        <v/>
      </c>
      <c r="AK37">
        <f>IF(AND(AK$9+6&gt;=$D37,AK$9&lt;=$E37),1,"")</f>
        <v/>
      </c>
      <c r="AL37">
        <f>IF(AND(AL$9+6&gt;=$D37,AL$9&lt;=$E37),1,"")</f>
        <v/>
      </c>
      <c r="AM37">
        <f>IF(AND(AM$9+6&gt;=$D37,AM$9&lt;=$E37),1,"")</f>
        <v/>
      </c>
      <c r="AN37">
        <f>IF(AND(AN$9+6&gt;=$D37,AN$9&lt;=$E37),1,"")</f>
        <v/>
      </c>
      <c r="AO37">
        <f>IF(AND(AO$9+6&gt;=$D37,AO$9&lt;=$E37),1,"")</f>
        <v/>
      </c>
      <c r="AP37">
        <f>IF(AND(AP$9+6&gt;=$D37,AP$9&lt;=$E37),1,"")</f>
        <v/>
      </c>
      <c r="AQ37">
        <f>IF(AND(AQ$9+6&gt;=$D37,AQ$9&lt;=$E37),1,"")</f>
        <v/>
      </c>
      <c r="AR37">
        <f>IF(AND(AR$9+6&gt;=$D37,AR$9&lt;=$E37),1,"")</f>
        <v/>
      </c>
      <c r="AS37">
        <f>IF(AND(AS$9+6&gt;=$D37,AS$9&lt;=$E37),1,"")</f>
        <v/>
      </c>
      <c r="AT37">
        <f>IF(AND(AT$9+6&gt;=$D37,AT$9&lt;=$E37),1,"")</f>
        <v/>
      </c>
      <c r="AU37">
        <f>IF(AND(AU$9+6&gt;=$D37,AU$9&lt;=$E37),1,"")</f>
        <v/>
      </c>
      <c r="AV37">
        <f>IF(AND(AV$9+6&gt;=$D37,AV$9&lt;=$E37),1,"")</f>
        <v/>
      </c>
      <c r="AW37">
        <f>IF(AND(AW$9+6&gt;=$D37,AW$9&lt;=$E37),1,"")</f>
        <v/>
      </c>
      <c r="AX37">
        <f>IF(AND(AX$9+6&gt;=$D37,AX$9&lt;=$E37),1,"")</f>
        <v/>
      </c>
      <c r="AY37">
        <f>IF(AND(AY$9+6&gt;=$D37,AY$9&lt;=$E37),1,"")</f>
        <v/>
      </c>
      <c r="AZ37">
        <f>IF(AND(AZ$9+6&gt;=$D37,AZ$9&lt;=$E37),1,"")</f>
        <v/>
      </c>
      <c r="BA37">
        <f>IF(AND(BA$9+6&gt;=$D37,BA$9&lt;=$E37),1,"")</f>
        <v/>
      </c>
      <c r="BB37">
        <f>IF(AND(BB$9+6&gt;=$D37,BB$9&lt;=$E37),1,"")</f>
        <v/>
      </c>
      <c r="BC37">
        <f>IF(AND(BC$9+6&gt;=$D37,BC$9&lt;=$E37),1,"")</f>
        <v/>
      </c>
      <c r="BD37">
        <f>IF(AND(BD$9+6&gt;=$D37,BD$9&lt;=$E37),1,"")</f>
        <v/>
      </c>
      <c r="BE37">
        <f>IF(AND(BE$9+6&gt;=$D37,BE$9&lt;=$E37),1,"")</f>
        <v/>
      </c>
      <c r="BF37">
        <f>IF(AND(BF$9+6&gt;=$D37,BF$9&lt;=$E37),1,"")</f>
        <v/>
      </c>
      <c r="BG37">
        <f>IF(AND(BG$9+6&gt;=$D37,BG$9&lt;=$E37),1,"")</f>
        <v/>
      </c>
    </row>
    <row r="38">
      <c r="B38" s="13" t="inlineStr">
        <is>
          <t>Full draft + issues paper; close evidence gaps</t>
        </is>
      </c>
      <c r="C38" s="13" t="inlineStr"/>
      <c r="D38" s="14" t="n">
        <v>46398</v>
      </c>
      <c r="E38" s="14" t="n">
        <v>46423</v>
      </c>
      <c r="F38" s="13" t="inlineStr">
        <is>
          <t>SST</t>
        </is>
      </c>
      <c r="G38" s="13" t="inlineStr">
        <is>
          <t>Director, Sustainability</t>
        </is>
      </c>
      <c r="H38" s="13" t="inlineStr"/>
      <c r="I38" s="13" t="inlineStr"/>
      <c r="J38" s="13" t="inlineStr">
        <is>
          <t>High</t>
        </is>
      </c>
      <c r="K38" s="13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>
      <c r="B39" s="11" t="inlineStr">
        <is>
          <t>Review &amp; governance (Feb–May 2027)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</row>
    <row r="40">
      <c r="B40" s="13" t="inlineStr">
        <is>
          <t>VCAG papers due (Review Group findings)</t>
        </is>
      </c>
      <c r="C40" s="13" t="inlineStr">
        <is>
          <t>10 Feb</t>
        </is>
      </c>
      <c r="D40" s="14" t="n">
        <v>46428</v>
      </c>
      <c r="E40" s="14" t="n">
        <v>46428</v>
      </c>
      <c r="F40" s="13" t="inlineStr">
        <is>
          <t>SST</t>
        </is>
      </c>
      <c r="G40" s="13" t="inlineStr">
        <is>
          <t>Director, Sustainability</t>
        </is>
      </c>
      <c r="H40" s="13" t="inlineStr"/>
      <c r="I40" s="13" t="inlineStr"/>
      <c r="J40" s="13" t="inlineStr">
        <is>
          <t>Milestone</t>
        </is>
      </c>
      <c r="K40" s="13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>
      <c r="B41" s="13" t="inlineStr">
        <is>
          <t>Sustainability Reporting Review Group</t>
        </is>
      </c>
      <c r="C41" s="13" t="inlineStr">
        <is>
          <t>~15 Feb (8–10 Feb TBC)</t>
        </is>
      </c>
      <c r="D41" s="14" t="n">
        <v>46426</v>
      </c>
      <c r="E41" s="14" t="n">
        <v>46433</v>
      </c>
      <c r="F41" s="13" t="inlineStr">
        <is>
          <t>Rose (convenor, TBC)</t>
        </is>
      </c>
      <c r="G41" s="13" t="inlineStr"/>
      <c r="H41" s="13" t="inlineStr"/>
      <c r="I41" s="13" t="inlineStr"/>
      <c r="J41" s="13" t="inlineStr">
        <is>
          <t>Milestone</t>
        </is>
      </c>
      <c r="K41" s="13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>
      <c r="B42" s="13" t="inlineStr">
        <is>
          <t>VCAG – notes Review Group findings</t>
        </is>
      </c>
      <c r="C42" s="13" t="inlineStr">
        <is>
          <t>16 Feb</t>
        </is>
      </c>
      <c r="D42" s="14" t="n">
        <v>46434</v>
      </c>
      <c r="E42" s="14" t="n">
        <v>46434</v>
      </c>
      <c r="F42" s="13" t="inlineStr"/>
      <c r="G42" s="13" t="inlineStr"/>
      <c r="H42" s="13" t="inlineStr"/>
      <c r="I42" s="13" t="inlineStr"/>
      <c r="J42" s="13" t="inlineStr">
        <is>
          <t>Milestone</t>
        </is>
      </c>
      <c r="K42" s="13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>
      <c r="B43" s="13" t="inlineStr">
        <is>
          <t>Investment Management Committee – Responsible Investments section</t>
        </is>
      </c>
      <c r="C43" s="13" t="inlineStr">
        <is>
          <t>~25 Feb (papers ~18 Feb)</t>
        </is>
      </c>
      <c r="D43" s="14" t="n">
        <v>46436</v>
      </c>
      <c r="E43" s="14" t="n">
        <v>46443</v>
      </c>
      <c r="F43" s="13" t="inlineStr">
        <is>
          <t>SST</t>
        </is>
      </c>
      <c r="G43" s="13" t="inlineStr"/>
      <c r="H43" s="13" t="inlineStr"/>
      <c r="I43" s="13" t="inlineStr"/>
      <c r="J43" s="13" t="inlineStr">
        <is>
          <t>Milestone</t>
        </is>
      </c>
      <c r="K43" s="13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>
      <c r="B44" s="13" t="inlineStr">
        <is>
          <t>Full-report finalisation; Strategic Comms review; reconcile Annual Report data</t>
        </is>
      </c>
      <c r="C44" s="13" t="inlineStr"/>
      <c r="D44" s="14" t="n">
        <v>46434</v>
      </c>
      <c r="E44" s="14" t="n">
        <v>46444</v>
      </c>
      <c r="F44" s="13" t="inlineStr">
        <is>
          <t>SST</t>
        </is>
      </c>
      <c r="G44" s="13" t="inlineStr"/>
      <c r="H44" s="13" t="inlineStr">
        <is>
          <t>Strategic Comms</t>
        </is>
      </c>
      <c r="I44" s="13" t="inlineStr"/>
      <c r="J44" s="13" t="inlineStr">
        <is>
          <t>High</t>
        </is>
      </c>
      <c r="K44" s="13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>
      <c r="B45" s="13" t="inlineStr">
        <is>
          <t>VCAG – notes full report</t>
        </is>
      </c>
      <c r="C45" s="13" t="inlineStr">
        <is>
          <t>~2 Mar (papers ~25 Feb)</t>
        </is>
      </c>
      <c r="D45" s="14" t="n">
        <v>46448</v>
      </c>
      <c r="E45" s="14" t="n">
        <v>46448</v>
      </c>
      <c r="F45" s="13" t="inlineStr"/>
      <c r="G45" s="13" t="inlineStr"/>
      <c r="H45" s="13" t="inlineStr"/>
      <c r="I45" s="13" t="inlineStr"/>
      <c r="J45" s="13" t="inlineStr">
        <is>
          <t>Milestone</t>
        </is>
      </c>
      <c r="K45" s="13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>
      <c r="B46" s="13" t="inlineStr">
        <is>
          <t>University Executive – notes report</t>
        </is>
      </c>
      <c r="C46" s="13" t="inlineStr">
        <is>
          <t>~25 Mar (papers ~12 Mar)</t>
        </is>
      </c>
      <c r="D46" s="14" t="n">
        <v>46471</v>
      </c>
      <c r="E46" s="14" t="n">
        <v>46471</v>
      </c>
      <c r="F46" s="13" t="inlineStr"/>
      <c r="G46" s="13" t="inlineStr"/>
      <c r="H46" s="13" t="inlineStr"/>
      <c r="I46" s="13" t="inlineStr"/>
      <c r="J46" s="13" t="inlineStr">
        <is>
          <t>Milestone</t>
        </is>
      </c>
      <c r="K46" s="13" t="inlineStr">
        <is>
          <t>Not yet started</t>
        </is>
      </c>
      <c r="L46">
        <f>IF(AND(L$9+6&gt;=$D46,L$9&lt;=$E46),1,"")</f>
        <v/>
      </c>
      <c r="M46">
        <f>IF(AND(M$9+6&gt;=$D46,M$9&lt;=$E46),1,"")</f>
        <v/>
      </c>
      <c r="N46">
        <f>IF(AND(N$9+6&gt;=$D46,N$9&lt;=$E46),1,"")</f>
        <v/>
      </c>
      <c r="O46">
        <f>IF(AND(O$9+6&gt;=$D46,O$9&lt;=$E46),1,"")</f>
        <v/>
      </c>
      <c r="P46">
        <f>IF(AND(P$9+6&gt;=$D46,P$9&lt;=$E46),1,"")</f>
        <v/>
      </c>
      <c r="Q46">
        <f>IF(AND(Q$9+6&gt;=$D46,Q$9&lt;=$E46),1,"")</f>
        <v/>
      </c>
      <c r="R46">
        <f>IF(AND(R$9+6&gt;=$D46,R$9&lt;=$E46),1,"")</f>
        <v/>
      </c>
      <c r="S46">
        <f>IF(AND(S$9+6&gt;=$D46,S$9&lt;=$E46),1,"")</f>
        <v/>
      </c>
      <c r="T46">
        <f>IF(AND(T$9+6&gt;=$D46,T$9&lt;=$E46),1,"")</f>
        <v/>
      </c>
      <c r="U46">
        <f>IF(AND(U$9+6&gt;=$D46,U$9&lt;=$E46),1,"")</f>
        <v/>
      </c>
      <c r="V46">
        <f>IF(AND(V$9+6&gt;=$D46,V$9&lt;=$E46),1,"")</f>
        <v/>
      </c>
      <c r="W46">
        <f>IF(AND(W$9+6&gt;=$D46,W$9&lt;=$E46),1,"")</f>
        <v/>
      </c>
      <c r="X46">
        <f>IF(AND(X$9+6&gt;=$D46,X$9&lt;=$E46),1,"")</f>
        <v/>
      </c>
      <c r="Y46">
        <f>IF(AND(Y$9+6&gt;=$D46,Y$9&lt;=$E46),1,"")</f>
        <v/>
      </c>
      <c r="Z46">
        <f>IF(AND(Z$9+6&gt;=$D46,Z$9&lt;=$E46),1,"")</f>
        <v/>
      </c>
      <c r="AA46">
        <f>IF(AND(AA$9+6&gt;=$D46,AA$9&lt;=$E46),1,"")</f>
        <v/>
      </c>
      <c r="AB46">
        <f>IF(AND(AB$9+6&gt;=$D46,AB$9&lt;=$E46),1,"")</f>
        <v/>
      </c>
      <c r="AC46">
        <f>IF(AND(AC$9+6&gt;=$D46,AC$9&lt;=$E46),1,"")</f>
        <v/>
      </c>
      <c r="AD46">
        <f>IF(AND(AD$9+6&gt;=$D46,AD$9&lt;=$E46),1,"")</f>
        <v/>
      </c>
      <c r="AE46">
        <f>IF(AND(AE$9+6&gt;=$D46,AE$9&lt;=$E46),1,"")</f>
        <v/>
      </c>
      <c r="AF46">
        <f>IF(AND(AF$9+6&gt;=$D46,AF$9&lt;=$E46),1,"")</f>
        <v/>
      </c>
      <c r="AG46">
        <f>IF(AND(AG$9+6&gt;=$D46,AG$9&lt;=$E46),1,"")</f>
        <v/>
      </c>
      <c r="AH46">
        <f>IF(AND(AH$9+6&gt;=$D46,AH$9&lt;=$E46),1,"")</f>
        <v/>
      </c>
      <c r="AI46">
        <f>IF(AND(AI$9+6&gt;=$D46,AI$9&lt;=$E46),1,"")</f>
        <v/>
      </c>
      <c r="AJ46">
        <f>IF(AND(AJ$9+6&gt;=$D46,AJ$9&lt;=$E46),1,"")</f>
        <v/>
      </c>
      <c r="AK46">
        <f>IF(AND(AK$9+6&gt;=$D46,AK$9&lt;=$E46),1,"")</f>
        <v/>
      </c>
      <c r="AL46">
        <f>IF(AND(AL$9+6&gt;=$D46,AL$9&lt;=$E46),1,"")</f>
        <v/>
      </c>
      <c r="AM46">
        <f>IF(AND(AM$9+6&gt;=$D46,AM$9&lt;=$E46),1,"")</f>
        <v/>
      </c>
      <c r="AN46">
        <f>IF(AND(AN$9+6&gt;=$D46,AN$9&lt;=$E46),1,"")</f>
        <v/>
      </c>
      <c r="AO46">
        <f>IF(AND(AO$9+6&gt;=$D46,AO$9&lt;=$E46),1,"")</f>
        <v/>
      </c>
      <c r="AP46">
        <f>IF(AND(AP$9+6&gt;=$D46,AP$9&lt;=$E46),1,"")</f>
        <v/>
      </c>
      <c r="AQ46">
        <f>IF(AND(AQ$9+6&gt;=$D46,AQ$9&lt;=$E46),1,"")</f>
        <v/>
      </c>
      <c r="AR46">
        <f>IF(AND(AR$9+6&gt;=$D46,AR$9&lt;=$E46),1,"")</f>
        <v/>
      </c>
      <c r="AS46">
        <f>IF(AND(AS$9+6&gt;=$D46,AS$9&lt;=$E46),1,"")</f>
        <v/>
      </c>
      <c r="AT46">
        <f>IF(AND(AT$9+6&gt;=$D46,AT$9&lt;=$E46),1,"")</f>
        <v/>
      </c>
      <c r="AU46">
        <f>IF(AND(AU$9+6&gt;=$D46,AU$9&lt;=$E46),1,"")</f>
        <v/>
      </c>
      <c r="AV46">
        <f>IF(AND(AV$9+6&gt;=$D46,AV$9&lt;=$E46),1,"")</f>
        <v/>
      </c>
      <c r="AW46">
        <f>IF(AND(AW$9+6&gt;=$D46,AW$9&lt;=$E46),1,"")</f>
        <v/>
      </c>
      <c r="AX46">
        <f>IF(AND(AX$9+6&gt;=$D46,AX$9&lt;=$E46),1,"")</f>
        <v/>
      </c>
      <c r="AY46">
        <f>IF(AND(AY$9+6&gt;=$D46,AY$9&lt;=$E46),1,"")</f>
        <v/>
      </c>
      <c r="AZ46">
        <f>IF(AND(AZ$9+6&gt;=$D46,AZ$9&lt;=$E46),1,"")</f>
        <v/>
      </c>
      <c r="BA46">
        <f>IF(AND(BA$9+6&gt;=$D46,BA$9&lt;=$E46),1,"")</f>
        <v/>
      </c>
      <c r="BB46">
        <f>IF(AND(BB$9+6&gt;=$D46,BB$9&lt;=$E46),1,"")</f>
        <v/>
      </c>
      <c r="BC46">
        <f>IF(AND(BC$9+6&gt;=$D46,BC$9&lt;=$E46),1,"")</f>
        <v/>
      </c>
      <c r="BD46">
        <f>IF(AND(BD$9+6&gt;=$D46,BD$9&lt;=$E46),1,"")</f>
        <v/>
      </c>
      <c r="BE46">
        <f>IF(AND(BE$9+6&gt;=$D46,BE$9&lt;=$E46),1,"")</f>
        <v/>
      </c>
      <c r="BF46">
        <f>IF(AND(BF$9+6&gt;=$D46,BF$9&lt;=$E46),1,"")</f>
        <v/>
      </c>
      <c r="BG46">
        <f>IF(AND(BG$9+6&gt;=$D46,BG$9&lt;=$E46),1,"")</f>
        <v/>
      </c>
    </row>
    <row r="47">
      <c r="B47" s="13" t="inlineStr">
        <is>
          <t>University Council – approves report</t>
        </is>
      </c>
      <c r="C47" s="13" t="inlineStr">
        <is>
          <t>~6 May (papers ~10 Apr)</t>
        </is>
      </c>
      <c r="D47" s="14" t="n">
        <v>46513</v>
      </c>
      <c r="E47" s="14" t="n">
        <v>46513</v>
      </c>
      <c r="F47" s="13" t="inlineStr"/>
      <c r="G47" s="13" t="inlineStr"/>
      <c r="H47" s="13" t="inlineStr"/>
      <c r="I47" s="13" t="inlineStr"/>
      <c r="J47" s="13" t="inlineStr">
        <is>
          <t>Milestone</t>
        </is>
      </c>
      <c r="K47" s="13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>
      <c r="B48" s="11" t="inlineStr">
        <is>
          <t>Publication &amp; close-out (May–Jun 2027)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</row>
    <row r="49">
      <c r="B49" s="13" t="inlineStr">
        <is>
          <t>Web build; QA, accessibility and web checks; agree analytics measures</t>
        </is>
      </c>
      <c r="C49" s="13" t="inlineStr">
        <is>
          <t>Before launch</t>
        </is>
      </c>
      <c r="D49" s="14" t="n">
        <v>46447</v>
      </c>
      <c r="E49" s="14" t="n">
        <v>46535</v>
      </c>
      <c r="F49" s="13" t="inlineStr">
        <is>
          <t>Comms/digital</t>
        </is>
      </c>
      <c r="G49" s="13" t="inlineStr"/>
      <c r="H49" s="13" t="inlineStr">
        <is>
          <t>SST</t>
        </is>
      </c>
      <c r="I49" s="13" t="inlineStr"/>
      <c r="J49" s="13" t="inlineStr">
        <is>
          <t>High</t>
        </is>
      </c>
      <c r="K49" s="13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  <row r="50">
      <c r="B50" s="13" t="inlineStr">
        <is>
          <t>Publish report (year-specific URL + landing page)</t>
        </is>
      </c>
      <c r="C50" s="13" t="inlineStr">
        <is>
          <t>June</t>
        </is>
      </c>
      <c r="D50" s="14" t="n">
        <v>46539</v>
      </c>
      <c r="E50" s="14" t="n">
        <v>46568</v>
      </c>
      <c r="F50" s="13" t="inlineStr">
        <is>
          <t>Comms/digital</t>
        </is>
      </c>
      <c r="G50" s="13" t="inlineStr">
        <is>
          <t>Director, Sustainability</t>
        </is>
      </c>
      <c r="H50" s="13" t="inlineStr"/>
      <c r="I50" s="13" t="inlineStr"/>
      <c r="J50" s="13" t="inlineStr">
        <is>
          <t>Milestone</t>
        </is>
      </c>
      <c r="K50" s="13" t="inlineStr">
        <is>
          <t>Not yet started</t>
        </is>
      </c>
      <c r="L50">
        <f>IF(AND(L$9+6&gt;=$D50,L$9&lt;=$E50),1,"")</f>
        <v/>
      </c>
      <c r="M50">
        <f>IF(AND(M$9+6&gt;=$D50,M$9&lt;=$E50),1,"")</f>
        <v/>
      </c>
      <c r="N50">
        <f>IF(AND(N$9+6&gt;=$D50,N$9&lt;=$E50),1,"")</f>
        <v/>
      </c>
      <c r="O50">
        <f>IF(AND(O$9+6&gt;=$D50,O$9&lt;=$E50),1,"")</f>
        <v/>
      </c>
      <c r="P50">
        <f>IF(AND(P$9+6&gt;=$D50,P$9&lt;=$E50),1,"")</f>
        <v/>
      </c>
      <c r="Q50">
        <f>IF(AND(Q$9+6&gt;=$D50,Q$9&lt;=$E50),1,"")</f>
        <v/>
      </c>
      <c r="R50">
        <f>IF(AND(R$9+6&gt;=$D50,R$9&lt;=$E50),1,"")</f>
        <v/>
      </c>
      <c r="S50">
        <f>IF(AND(S$9+6&gt;=$D50,S$9&lt;=$E50),1,"")</f>
        <v/>
      </c>
      <c r="T50">
        <f>IF(AND(T$9+6&gt;=$D50,T$9&lt;=$E50),1,"")</f>
        <v/>
      </c>
      <c r="U50">
        <f>IF(AND(U$9+6&gt;=$D50,U$9&lt;=$E50),1,"")</f>
        <v/>
      </c>
      <c r="V50">
        <f>IF(AND(V$9+6&gt;=$D50,V$9&lt;=$E50),1,"")</f>
        <v/>
      </c>
      <c r="W50">
        <f>IF(AND(W$9+6&gt;=$D50,W$9&lt;=$E50),1,"")</f>
        <v/>
      </c>
      <c r="X50">
        <f>IF(AND(X$9+6&gt;=$D50,X$9&lt;=$E50),1,"")</f>
        <v/>
      </c>
      <c r="Y50">
        <f>IF(AND(Y$9+6&gt;=$D50,Y$9&lt;=$E50),1,"")</f>
        <v/>
      </c>
      <c r="Z50">
        <f>IF(AND(Z$9+6&gt;=$D50,Z$9&lt;=$E50),1,"")</f>
        <v/>
      </c>
      <c r="AA50">
        <f>IF(AND(AA$9+6&gt;=$D50,AA$9&lt;=$E50),1,"")</f>
        <v/>
      </c>
      <c r="AB50">
        <f>IF(AND(AB$9+6&gt;=$D50,AB$9&lt;=$E50),1,"")</f>
        <v/>
      </c>
      <c r="AC50">
        <f>IF(AND(AC$9+6&gt;=$D50,AC$9&lt;=$E50),1,"")</f>
        <v/>
      </c>
      <c r="AD50">
        <f>IF(AND(AD$9+6&gt;=$D50,AD$9&lt;=$E50),1,"")</f>
        <v/>
      </c>
      <c r="AE50">
        <f>IF(AND(AE$9+6&gt;=$D50,AE$9&lt;=$E50),1,"")</f>
        <v/>
      </c>
      <c r="AF50">
        <f>IF(AND(AF$9+6&gt;=$D50,AF$9&lt;=$E50),1,"")</f>
        <v/>
      </c>
      <c r="AG50">
        <f>IF(AND(AG$9+6&gt;=$D50,AG$9&lt;=$E50),1,"")</f>
        <v/>
      </c>
      <c r="AH50">
        <f>IF(AND(AH$9+6&gt;=$D50,AH$9&lt;=$E50),1,"")</f>
        <v/>
      </c>
      <c r="AI50">
        <f>IF(AND(AI$9+6&gt;=$D50,AI$9&lt;=$E50),1,"")</f>
        <v/>
      </c>
      <c r="AJ50">
        <f>IF(AND(AJ$9+6&gt;=$D50,AJ$9&lt;=$E50),1,"")</f>
        <v/>
      </c>
      <c r="AK50">
        <f>IF(AND(AK$9+6&gt;=$D50,AK$9&lt;=$E50),1,"")</f>
        <v/>
      </c>
      <c r="AL50">
        <f>IF(AND(AL$9+6&gt;=$D50,AL$9&lt;=$E50),1,"")</f>
        <v/>
      </c>
      <c r="AM50">
        <f>IF(AND(AM$9+6&gt;=$D50,AM$9&lt;=$E50),1,"")</f>
        <v/>
      </c>
      <c r="AN50">
        <f>IF(AND(AN$9+6&gt;=$D50,AN$9&lt;=$E50),1,"")</f>
        <v/>
      </c>
      <c r="AO50">
        <f>IF(AND(AO$9+6&gt;=$D50,AO$9&lt;=$E50),1,"")</f>
        <v/>
      </c>
      <c r="AP50">
        <f>IF(AND(AP$9+6&gt;=$D50,AP$9&lt;=$E50),1,"")</f>
        <v/>
      </c>
      <c r="AQ50">
        <f>IF(AND(AQ$9+6&gt;=$D50,AQ$9&lt;=$E50),1,"")</f>
        <v/>
      </c>
      <c r="AR50">
        <f>IF(AND(AR$9+6&gt;=$D50,AR$9&lt;=$E50),1,"")</f>
        <v/>
      </c>
      <c r="AS50">
        <f>IF(AND(AS$9+6&gt;=$D50,AS$9&lt;=$E50),1,"")</f>
        <v/>
      </c>
      <c r="AT50">
        <f>IF(AND(AT$9+6&gt;=$D50,AT$9&lt;=$E50),1,"")</f>
        <v/>
      </c>
      <c r="AU50">
        <f>IF(AND(AU$9+6&gt;=$D50,AU$9&lt;=$E50),1,"")</f>
        <v/>
      </c>
      <c r="AV50">
        <f>IF(AND(AV$9+6&gt;=$D50,AV$9&lt;=$E50),1,"")</f>
        <v/>
      </c>
      <c r="AW50">
        <f>IF(AND(AW$9+6&gt;=$D50,AW$9&lt;=$E50),1,"")</f>
        <v/>
      </c>
      <c r="AX50">
        <f>IF(AND(AX$9+6&gt;=$D50,AX$9&lt;=$E50),1,"")</f>
        <v/>
      </c>
      <c r="AY50">
        <f>IF(AND(AY$9+6&gt;=$D50,AY$9&lt;=$E50),1,"")</f>
        <v/>
      </c>
      <c r="AZ50">
        <f>IF(AND(AZ$9+6&gt;=$D50,AZ$9&lt;=$E50),1,"")</f>
        <v/>
      </c>
      <c r="BA50">
        <f>IF(AND(BA$9+6&gt;=$D50,BA$9&lt;=$E50),1,"")</f>
        <v/>
      </c>
      <c r="BB50">
        <f>IF(AND(BB$9+6&gt;=$D50,BB$9&lt;=$E50),1,"")</f>
        <v/>
      </c>
      <c r="BC50">
        <f>IF(AND(BC$9+6&gt;=$D50,BC$9&lt;=$E50),1,"")</f>
        <v/>
      </c>
      <c r="BD50">
        <f>IF(AND(BD$9+6&gt;=$D50,BD$9&lt;=$E50),1,"")</f>
        <v/>
      </c>
      <c r="BE50">
        <f>IF(AND(BE$9+6&gt;=$D50,BE$9&lt;=$E50),1,"")</f>
        <v/>
      </c>
      <c r="BF50">
        <f>IF(AND(BF$9+6&gt;=$D50,BF$9&lt;=$E50),1,"")</f>
        <v/>
      </c>
      <c r="BG50">
        <f>IF(AND(BG$9+6&gt;=$D50,BG$9&lt;=$E50),1,"")</f>
        <v/>
      </c>
    </row>
    <row r="51">
      <c r="B51" s="13" t="inlineStr">
        <is>
          <t>Monitor engagement; project retrospective; improvements for 2027 cycle</t>
        </is>
      </c>
      <c r="C51" s="13" t="inlineStr"/>
      <c r="D51" s="14" t="n">
        <v>46539</v>
      </c>
      <c r="E51" s="14" t="n">
        <v>46598</v>
      </c>
      <c r="F51" s="13" t="inlineStr">
        <is>
          <t>SST</t>
        </is>
      </c>
      <c r="G51" s="13" t="inlineStr"/>
      <c r="H51" s="13" t="inlineStr">
        <is>
          <t>Comms, design</t>
        </is>
      </c>
      <c r="I51" s="13" t="inlineStr"/>
      <c r="J51" s="13" t="inlineStr">
        <is>
          <t>Medium</t>
        </is>
      </c>
      <c r="K51" s="13" t="inlineStr">
        <is>
          <t>Not yet started</t>
        </is>
      </c>
      <c r="L51">
        <f>IF(AND(L$9+6&gt;=$D51,L$9&lt;=$E51),1,"")</f>
        <v/>
      </c>
      <c r="M51">
        <f>IF(AND(M$9+6&gt;=$D51,M$9&lt;=$E51),1,"")</f>
        <v/>
      </c>
      <c r="N51">
        <f>IF(AND(N$9+6&gt;=$D51,N$9&lt;=$E51),1,"")</f>
        <v/>
      </c>
      <c r="O51">
        <f>IF(AND(O$9+6&gt;=$D51,O$9&lt;=$E51),1,"")</f>
        <v/>
      </c>
      <c r="P51">
        <f>IF(AND(P$9+6&gt;=$D51,P$9&lt;=$E51),1,"")</f>
        <v/>
      </c>
      <c r="Q51">
        <f>IF(AND(Q$9+6&gt;=$D51,Q$9&lt;=$E51),1,"")</f>
        <v/>
      </c>
      <c r="R51">
        <f>IF(AND(R$9+6&gt;=$D51,R$9&lt;=$E51),1,"")</f>
        <v/>
      </c>
      <c r="S51">
        <f>IF(AND(S$9+6&gt;=$D51,S$9&lt;=$E51),1,"")</f>
        <v/>
      </c>
      <c r="T51">
        <f>IF(AND(T$9+6&gt;=$D51,T$9&lt;=$E51),1,"")</f>
        <v/>
      </c>
      <c r="U51">
        <f>IF(AND(U$9+6&gt;=$D51,U$9&lt;=$E51),1,"")</f>
        <v/>
      </c>
      <c r="V51">
        <f>IF(AND(V$9+6&gt;=$D51,V$9&lt;=$E51),1,"")</f>
        <v/>
      </c>
      <c r="W51">
        <f>IF(AND(W$9+6&gt;=$D51,W$9&lt;=$E51),1,"")</f>
        <v/>
      </c>
      <c r="X51">
        <f>IF(AND(X$9+6&gt;=$D51,X$9&lt;=$E51),1,"")</f>
        <v/>
      </c>
      <c r="Y51">
        <f>IF(AND(Y$9+6&gt;=$D51,Y$9&lt;=$E51),1,"")</f>
        <v/>
      </c>
      <c r="Z51">
        <f>IF(AND(Z$9+6&gt;=$D51,Z$9&lt;=$E51),1,"")</f>
        <v/>
      </c>
      <c r="AA51">
        <f>IF(AND(AA$9+6&gt;=$D51,AA$9&lt;=$E51),1,"")</f>
        <v/>
      </c>
      <c r="AB51">
        <f>IF(AND(AB$9+6&gt;=$D51,AB$9&lt;=$E51),1,"")</f>
        <v/>
      </c>
      <c r="AC51">
        <f>IF(AND(AC$9+6&gt;=$D51,AC$9&lt;=$E51),1,"")</f>
        <v/>
      </c>
      <c r="AD51">
        <f>IF(AND(AD$9+6&gt;=$D51,AD$9&lt;=$E51),1,"")</f>
        <v/>
      </c>
      <c r="AE51">
        <f>IF(AND(AE$9+6&gt;=$D51,AE$9&lt;=$E51),1,"")</f>
        <v/>
      </c>
      <c r="AF51">
        <f>IF(AND(AF$9+6&gt;=$D51,AF$9&lt;=$E51),1,"")</f>
        <v/>
      </c>
      <c r="AG51">
        <f>IF(AND(AG$9+6&gt;=$D51,AG$9&lt;=$E51),1,"")</f>
        <v/>
      </c>
      <c r="AH51">
        <f>IF(AND(AH$9+6&gt;=$D51,AH$9&lt;=$E51),1,"")</f>
        <v/>
      </c>
      <c r="AI51">
        <f>IF(AND(AI$9+6&gt;=$D51,AI$9&lt;=$E51),1,"")</f>
        <v/>
      </c>
      <c r="AJ51">
        <f>IF(AND(AJ$9+6&gt;=$D51,AJ$9&lt;=$E51),1,"")</f>
        <v/>
      </c>
      <c r="AK51">
        <f>IF(AND(AK$9+6&gt;=$D51,AK$9&lt;=$E51),1,"")</f>
        <v/>
      </c>
      <c r="AL51">
        <f>IF(AND(AL$9+6&gt;=$D51,AL$9&lt;=$E51),1,"")</f>
        <v/>
      </c>
      <c r="AM51">
        <f>IF(AND(AM$9+6&gt;=$D51,AM$9&lt;=$E51),1,"")</f>
        <v/>
      </c>
      <c r="AN51">
        <f>IF(AND(AN$9+6&gt;=$D51,AN$9&lt;=$E51),1,"")</f>
        <v/>
      </c>
      <c r="AO51">
        <f>IF(AND(AO$9+6&gt;=$D51,AO$9&lt;=$E51),1,"")</f>
        <v/>
      </c>
      <c r="AP51">
        <f>IF(AND(AP$9+6&gt;=$D51,AP$9&lt;=$E51),1,"")</f>
        <v/>
      </c>
      <c r="AQ51">
        <f>IF(AND(AQ$9+6&gt;=$D51,AQ$9&lt;=$E51),1,"")</f>
        <v/>
      </c>
      <c r="AR51">
        <f>IF(AND(AR$9+6&gt;=$D51,AR$9&lt;=$E51),1,"")</f>
        <v/>
      </c>
      <c r="AS51">
        <f>IF(AND(AS$9+6&gt;=$D51,AS$9&lt;=$E51),1,"")</f>
        <v/>
      </c>
      <c r="AT51">
        <f>IF(AND(AT$9+6&gt;=$D51,AT$9&lt;=$E51),1,"")</f>
        <v/>
      </c>
      <c r="AU51">
        <f>IF(AND(AU$9+6&gt;=$D51,AU$9&lt;=$E51),1,"")</f>
        <v/>
      </c>
      <c r="AV51">
        <f>IF(AND(AV$9+6&gt;=$D51,AV$9&lt;=$E51),1,"")</f>
        <v/>
      </c>
      <c r="AW51">
        <f>IF(AND(AW$9+6&gt;=$D51,AW$9&lt;=$E51),1,"")</f>
        <v/>
      </c>
      <c r="AX51">
        <f>IF(AND(AX$9+6&gt;=$D51,AX$9&lt;=$E51),1,"")</f>
        <v/>
      </c>
      <c r="AY51">
        <f>IF(AND(AY$9+6&gt;=$D51,AY$9&lt;=$E51),1,"")</f>
        <v/>
      </c>
      <c r="AZ51">
        <f>IF(AND(AZ$9+6&gt;=$D51,AZ$9&lt;=$E51),1,"")</f>
        <v/>
      </c>
      <c r="BA51">
        <f>IF(AND(BA$9+6&gt;=$D51,BA$9&lt;=$E51),1,"")</f>
        <v/>
      </c>
      <c r="BB51">
        <f>IF(AND(BB$9+6&gt;=$D51,BB$9&lt;=$E51),1,"")</f>
        <v/>
      </c>
      <c r="BC51">
        <f>IF(AND(BC$9+6&gt;=$D51,BC$9&lt;=$E51),1,"")</f>
        <v/>
      </c>
      <c r="BD51">
        <f>IF(AND(BD$9+6&gt;=$D51,BD$9&lt;=$E51),1,"")</f>
        <v/>
      </c>
      <c r="BE51">
        <f>IF(AND(BE$9+6&gt;=$D51,BE$9&lt;=$E51),1,"")</f>
        <v/>
      </c>
      <c r="BF51">
        <f>IF(AND(BF$9+6&gt;=$D51,BF$9&lt;=$E51),1,"")</f>
        <v/>
      </c>
      <c r="BG51">
        <f>IF(AND(BG$9+6&gt;=$D51,BG$9&lt;=$E51),1,"")</f>
        <v/>
      </c>
    </row>
  </sheetData>
  <conditionalFormatting sqref="L10:BG51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51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P3. Comms + web build to-do list</t>
        </is>
      </c>
    </row>
    <row r="4">
      <c r="B4" t="inlineStr">
        <is>
          <t>Track comms, web build and design tasks. Priority: Low / Medium / High / Urgent.</t>
        </is>
      </c>
    </row>
    <row r="6">
      <c r="B6" s="9" t="inlineStr">
        <is>
          <t>Report component or page</t>
        </is>
      </c>
      <c r="C6" s="9" t="inlineStr">
        <is>
          <t>Case study/content name</t>
        </is>
      </c>
      <c r="D6" s="9" t="inlineStr">
        <is>
          <t>Lead</t>
        </is>
      </c>
      <c r="E6" s="9" t="inlineStr">
        <is>
          <t>Priority level</t>
        </is>
      </c>
      <c r="F6" s="9" t="inlineStr">
        <is>
          <t>Agreed deadline</t>
        </is>
      </c>
      <c r="G6" s="9" t="inlineStr">
        <is>
          <t>Action needed</t>
        </is>
      </c>
      <c r="H6" s="9" t="inlineStr">
        <is>
          <t>Details</t>
        </is>
      </c>
      <c r="I6" s="9" t="inlineStr">
        <is>
          <t>Complete? (Y/N)</t>
        </is>
      </c>
      <c r="J6" s="9" t="inlineStr">
        <is>
          <t>Updates/blockers/FYI</t>
        </is>
      </c>
    </row>
    <row r="7">
      <c r="B7" s="13" t="inlineStr">
        <is>
          <t>Web – whole report</t>
        </is>
      </c>
      <c r="C7" s="13" t="inlineStr">
        <is>
          <t>Year-specific report URL</t>
        </is>
      </c>
      <c r="D7" s="13" t="inlineStr">
        <is>
          <t>Comms/digital</t>
        </is>
      </c>
      <c r="E7" s="13" t="inlineStr">
        <is>
          <t>High</t>
        </is>
      </c>
      <c r="F7" s="13" t="inlineStr"/>
      <c r="G7" s="13" t="inlineStr">
        <is>
          <t>Set up</t>
        </is>
      </c>
      <c r="H7" s="13" t="inlineStr">
        <is>
          <t>Use a year-specific URL (e.g. /sustainabilityreport/2026) and retain the central reports landing page (SR25 lesson).</t>
        </is>
      </c>
      <c r="I7" s="13" t="inlineStr"/>
      <c r="J7" s="13" t="inlineStr"/>
    </row>
    <row r="8">
      <c r="B8" s="13" t="inlineStr">
        <is>
          <t>Web – whole report</t>
        </is>
      </c>
      <c r="C8" s="13" t="inlineStr">
        <is>
          <t>Analytics measures</t>
        </is>
      </c>
      <c r="D8" s="13" t="inlineStr">
        <is>
          <t>Comms/digital</t>
        </is>
      </c>
      <c r="E8" s="13" t="inlineStr">
        <is>
          <t>High</t>
        </is>
      </c>
      <c r="F8" s="13" t="inlineStr"/>
      <c r="G8" s="13" t="inlineStr">
        <is>
          <t>Agree before launch</t>
        </is>
      </c>
      <c r="H8" s="13" t="inlineStr">
        <is>
          <t>Agree web sessions, users and views measures before launch so project close can report them.</t>
        </is>
      </c>
      <c r="I8" s="13" t="inlineStr"/>
      <c r="J8" s="13" t="inlineStr"/>
    </row>
    <row r="9">
      <c r="B9" s="13" t="inlineStr">
        <is>
          <t>Web – whole report</t>
        </is>
      </c>
      <c r="C9" s="13" t="inlineStr">
        <is>
          <t>Accessibility &amp; reviewer workflow testing</t>
        </is>
      </c>
      <c r="D9" s="13" t="inlineStr">
        <is>
          <t>Comms/digital</t>
        </is>
      </c>
      <c r="E9" s="13" t="inlineStr">
        <is>
          <t>High</t>
        </is>
      </c>
      <c r="F9" s="13" t="inlineStr"/>
      <c r="G9" s="13" t="inlineStr">
        <is>
          <t>Test</t>
        </is>
      </c>
      <c r="H9" s="13" t="inlineStr">
        <is>
          <t>Navigation, links, mobile usability, accessibility, reviewer workflows – before governance approval.</t>
        </is>
      </c>
      <c r="I9" s="13" t="inlineStr"/>
      <c r="J9" s="13" t="inlineStr"/>
    </row>
    <row r="10">
      <c r="B10" s="13" t="inlineStr">
        <is>
          <t>Report introduction</t>
        </is>
      </c>
      <c r="C10" s="13" t="inlineStr">
        <is>
          <t>Transition-year framing</t>
        </is>
      </c>
      <c r="D10" s="13" t="inlineStr">
        <is>
          <t>SST</t>
        </is>
      </c>
      <c r="E10" s="13" t="inlineStr">
        <is>
          <t>High</t>
        </is>
      </c>
      <c r="F10" s="13" t="inlineStr"/>
      <c r="G10" s="13" t="inlineStr">
        <is>
          <t>Draft</t>
        </is>
      </c>
      <c r="H10" s="13" t="inlineStr">
        <is>
          <t>Explain former SP2030 vs Sustainability 2030 (launched ~20 Oct 2026).</t>
        </is>
      </c>
      <c r="I10" s="13" t="inlineStr"/>
      <c r="J10" s="13" t="inlineStr"/>
    </row>
    <row r="11">
      <c r="B11" s="13" t="inlineStr">
        <is>
          <t>Whole report</t>
        </is>
      </c>
      <c r="C11" s="13" t="inlineStr">
        <is>
          <t>Whole-report review</t>
        </is>
      </c>
      <c r="D11" s="13" t="inlineStr">
        <is>
          <t>Strategic Comms</t>
        </is>
      </c>
      <c r="E11" s="13" t="inlineStr">
        <is>
          <t>High</t>
        </is>
      </c>
      <c r="F11" s="13" t="inlineStr"/>
      <c r="G11" s="13" t="inlineStr">
        <is>
          <t>Schedule</t>
        </is>
      </c>
      <c r="H11" s="13" t="inlineStr">
        <is>
          <t>Schedule early enough for material changes.</t>
        </is>
      </c>
      <c r="I11" s="13" t="inlineStr"/>
      <c r="J11" s="13" t="inlineStr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P4. Content contributor checklist</t>
        </is>
      </c>
    </row>
    <row r="4">
      <c r="B4" t="inlineStr">
        <is>
          <t>Stakeholder management for report content: review by contributors, images, credits and captions, post-launch follow-up.</t>
        </is>
      </c>
    </row>
    <row r="6">
      <c r="B6" s="9" t="inlineStr">
        <is>
          <t>Report section</t>
        </is>
      </c>
      <c r="C6" s="9" t="inlineStr">
        <is>
          <t>Case study</t>
        </is>
      </c>
      <c r="D6" s="9" t="inlineStr">
        <is>
          <t>Activity areas</t>
        </is>
      </c>
      <c r="E6" s="9" t="inlineStr">
        <is>
          <t>Review required? (Y/N)</t>
        </is>
      </c>
      <c r="F6" s="9" t="inlineStr">
        <is>
          <t>Content contributors</t>
        </is>
      </c>
      <c r="G6" s="9" t="inlineStr">
        <is>
          <t>Project team liaison</t>
        </is>
      </c>
      <c r="H6" s="9" t="inlineStr">
        <is>
          <t>Sent for review (date)</t>
        </is>
      </c>
      <c r="I6" s="9" t="inlineStr">
        <is>
          <t>Changes required? (Y/N)</t>
        </is>
      </c>
      <c r="J6" s="9" t="inlineStr">
        <is>
          <t>SR26 draft updated? (Y/N)</t>
        </is>
      </c>
      <c r="K6" s="9" t="inlineStr">
        <is>
          <t>SR26 website updated? (Y/N)</t>
        </is>
      </c>
      <c r="L6" s="9" t="inlineStr">
        <is>
          <t>Images shared? (Y/N)</t>
        </is>
      </c>
      <c r="M6" s="9" t="inlineStr">
        <is>
          <t>Image URL</t>
        </is>
      </c>
      <c r="N6" s="9" t="inlineStr">
        <is>
          <t>Known image gap</t>
        </is>
      </c>
      <c r="O6" s="9" t="inlineStr">
        <is>
          <t>Credit noted?</t>
        </is>
      </c>
      <c r="P6" s="9" t="inlineStr">
        <is>
          <t>Caption text</t>
        </is>
      </c>
      <c r="Q6" s="9" t="inlineStr">
        <is>
          <t>Permission to publish confirmed?</t>
        </is>
      </c>
      <c r="R6" s="9" t="inlineStr">
        <is>
          <t>Post-launch: send to</t>
        </is>
      </c>
      <c r="S6" s="9" t="inlineStr">
        <is>
          <t>CC</t>
        </is>
      </c>
      <c r="T6" s="9" t="inlineStr">
        <is>
          <t>Sent (date)</t>
        </is>
      </c>
      <c r="U6" s="9" t="inlineStr">
        <is>
          <t>Complete? (Y/N)</t>
        </is>
      </c>
    </row>
    <row r="7"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</row>
    <row r="8"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</row>
    <row r="9"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</row>
    <row r="10"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</row>
    <row r="11"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</row>
    <row r="12"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</row>
    <row r="13"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</row>
    <row r="14"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</row>
    <row r="15"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</row>
    <row r="16"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</row>
    <row r="17"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</row>
    <row r="18"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</row>
    <row r="19"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</row>
    <row r="20"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</row>
    <row r="21"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</row>
    <row r="22"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</row>
    <row r="23"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</row>
    <row r="24"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</row>
    <row r="25"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</row>
    <row r="26"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</row>
    <row r="27"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</row>
    <row r="28"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</row>
    <row r="29"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</row>
    <row r="30"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</row>
    <row r="31"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</row>
    <row r="32"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</row>
    <row r="33"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</row>
    <row r="34"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</row>
    <row r="35"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</row>
    <row r="36"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</row>
    <row r="37"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</row>
    <row r="38"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</row>
    <row r="39"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</row>
    <row r="40"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</row>
    <row r="41"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</row>
    <row r="42"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</row>
    <row r="43"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</row>
    <row r="44"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</row>
    <row r="45"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</row>
    <row r="46"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</row>
    <row r="47"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</row>
    <row r="48"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</row>
    <row r="49"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</row>
    <row r="50"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</row>
    <row r="51"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</row>
    <row r="52"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</row>
    <row r="53"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</row>
    <row r="54"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</row>
    <row r="55"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</row>
    <row r="57"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</row>
    <row r="58"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</row>
    <row r="59"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</row>
    <row r="60"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</row>
    <row r="61"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</row>
    <row r="62"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</row>
    <row r="63"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</row>
    <row r="64"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</row>
    <row r="65"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</row>
    <row r="66"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>
      <c r="A1" s="1" t="inlineStr">
        <is>
          <t>↑</t>
        </is>
      </c>
      <c r="B1" s="2" t="inlineStr">
        <is>
          <t>2026 Sustainability Report</t>
        </is>
      </c>
    </row>
    <row r="2">
      <c r="B2" s="3" t="inlineStr">
        <is>
          <t>P5. SR26 page index (URLs)</t>
        </is>
      </c>
    </row>
    <row r="5">
      <c r="B5" s="9" t="inlineStr">
        <is>
          <t>Ref</t>
        </is>
      </c>
      <c r="C5" s="9" t="inlineStr">
        <is>
          <t>Sustainability 2030 component</t>
        </is>
      </c>
      <c r="D5" s="9" t="inlineStr">
        <is>
          <t>Page name</t>
        </is>
      </c>
      <c r="E5" s="9" t="inlineStr">
        <is>
          <t>Story / case study</t>
        </is>
      </c>
      <c r="F5" s="9" t="inlineStr">
        <is>
          <t>SR26 link</t>
        </is>
      </c>
      <c r="G5" s="9" t="inlineStr">
        <is>
          <t>Page description</t>
        </is>
      </c>
      <c r="H5" s="9" t="inlineStr">
        <is>
          <t>Character count</t>
        </is>
      </c>
      <c r="I5" s="9" t="inlineStr">
        <is>
          <t>SR25 equivalent page</t>
        </is>
      </c>
    </row>
    <row r="6">
      <c r="B6" s="15" t="inlineStr">
        <is>
          <t>FM01</t>
        </is>
      </c>
      <c r="C6" s="13" t="inlineStr">
        <is>
          <t>N/A</t>
        </is>
      </c>
      <c r="D6" s="13" t="inlineStr">
        <is>
          <t>Landing page</t>
        </is>
      </c>
      <c r="E6" s="13" t="inlineStr"/>
      <c r="F6" s="13" t="inlineStr"/>
      <c r="G6" s="13" t="inlineStr"/>
      <c r="H6" s="13">
        <f>LEN(G6)</f>
        <v/>
      </c>
      <c r="I6" s="13" t="inlineStr"/>
    </row>
    <row r="7">
      <c r="B7" s="15" t="inlineStr">
        <is>
          <t>FM02</t>
        </is>
      </c>
      <c r="C7" s="13" t="inlineStr">
        <is>
          <t>N/A</t>
        </is>
      </c>
      <c r="D7" s="13" t="inlineStr">
        <is>
          <t>Overview (transition year)</t>
        </is>
      </c>
      <c r="E7" s="13" t="inlineStr"/>
      <c r="F7" s="13" t="inlineStr"/>
      <c r="G7" s="13" t="inlineStr"/>
      <c r="H7" s="13">
        <f>LEN(G7)</f>
        <v/>
      </c>
      <c r="I7" s="13" t="inlineStr"/>
    </row>
    <row r="8">
      <c r="B8" s="15" t="inlineStr">
        <is>
          <t>FM03</t>
        </is>
      </c>
      <c r="C8" s="13" t="inlineStr">
        <is>
          <t>N/A</t>
        </is>
      </c>
      <c r="D8" s="13" t="inlineStr">
        <is>
          <t>Our impact</t>
        </is>
      </c>
      <c r="E8" s="13" t="inlineStr"/>
      <c r="F8" s="13" t="inlineStr"/>
      <c r="G8" s="13" t="inlineStr"/>
      <c r="H8" s="13">
        <f>LEN(G8)</f>
        <v/>
      </c>
      <c r="I8" s="13" t="inlineStr"/>
    </row>
    <row r="9">
      <c r="B9" s="15" t="inlineStr">
        <is>
          <t>PA01</t>
        </is>
      </c>
      <c r="C9" s="13" t="inlineStr">
        <is>
          <t>Education and research</t>
        </is>
      </c>
      <c r="D9" s="13" t="inlineStr">
        <is>
          <t>Exceptional education</t>
        </is>
      </c>
      <c r="E9" s="13" t="inlineStr"/>
      <c r="F9" s="13" t="inlineStr"/>
      <c r="G9" s="13" t="inlineStr"/>
      <c r="H9" s="13">
        <f>LEN(G9)</f>
        <v/>
      </c>
      <c r="I9" s="13" t="inlineStr"/>
    </row>
    <row r="10">
      <c r="B10" s="15" t="inlineStr">
        <is>
          <t>PA02</t>
        </is>
      </c>
      <c r="C10" s="13" t="inlineStr">
        <is>
          <t>Education and research</t>
        </is>
      </c>
      <c r="D10" s="13" t="inlineStr">
        <is>
          <t>Transformational research</t>
        </is>
      </c>
      <c r="E10" s="13" t="inlineStr"/>
      <c r="F10" s="13" t="inlineStr"/>
      <c r="G10" s="13" t="inlineStr"/>
      <c r="H10" s="13">
        <f>LEN(G10)</f>
        <v/>
      </c>
      <c r="I10" s="13" t="inlineStr"/>
    </row>
    <row r="11">
      <c r="B11" s="15" t="inlineStr">
        <is>
          <t>PA03</t>
        </is>
      </c>
      <c r="C11" s="13" t="inlineStr">
        <is>
          <t>Sustainability leadership</t>
        </is>
      </c>
      <c r="D11" s="13" t="inlineStr">
        <is>
          <t>Climate leadership</t>
        </is>
      </c>
      <c r="E11" s="13" t="inlineStr"/>
      <c r="F11" s="13" t="inlineStr"/>
      <c r="G11" s="13" t="inlineStr"/>
      <c r="H11" s="13">
        <f>LEN(G11)</f>
        <v/>
      </c>
      <c r="I11" s="13" t="inlineStr"/>
    </row>
    <row r="12">
      <c r="B12" s="15" t="inlineStr">
        <is>
          <t>PA04</t>
        </is>
      </c>
      <c r="C12" s="13" t="inlineStr">
        <is>
          <t>Sustainability leadership</t>
        </is>
      </c>
      <c r="D12" s="13" t="inlineStr">
        <is>
          <t>Nature and biodiversity</t>
        </is>
      </c>
      <c r="E12" s="13" t="inlineStr"/>
      <c r="F12" s="13" t="inlineStr"/>
      <c r="G12" s="13" t="inlineStr"/>
      <c r="H12" s="13">
        <f>LEN(G12)</f>
        <v/>
      </c>
      <c r="I12" s="13" t="inlineStr"/>
    </row>
    <row r="13">
      <c r="B13" s="15" t="inlineStr">
        <is>
          <t>PA05</t>
        </is>
      </c>
      <c r="C13" s="13" t="inlineStr">
        <is>
          <t>Sustainability leadership</t>
        </is>
      </c>
      <c r="D13" s="13" t="inlineStr">
        <is>
          <t>Responsible AI</t>
        </is>
      </c>
      <c r="E13" s="13" t="inlineStr"/>
      <c r="F13" s="13" t="inlineStr"/>
      <c r="G13" s="13" t="inlineStr"/>
      <c r="H13" s="13">
        <f>LEN(G13)</f>
        <v/>
      </c>
      <c r="I13" s="13" t="inlineStr"/>
    </row>
    <row r="14">
      <c r="B14" s="15" t="inlineStr">
        <is>
          <t>PA06</t>
        </is>
      </c>
      <c r="C14" s="13" t="inlineStr">
        <is>
          <t>Resilient University</t>
        </is>
      </c>
      <c r="D14" s="13" t="inlineStr">
        <is>
          <t>Estate and infrastructure</t>
        </is>
      </c>
      <c r="E14" s="13" t="inlineStr"/>
      <c r="F14" s="13" t="inlineStr"/>
      <c r="G14" s="13" t="inlineStr"/>
      <c r="H14" s="13">
        <f>LEN(G14)</f>
        <v/>
      </c>
      <c r="I14" s="13" t="inlineStr"/>
    </row>
    <row r="15">
      <c r="B15" s="15" t="inlineStr">
        <is>
          <t>PA07</t>
        </is>
      </c>
      <c r="C15" s="13" t="inlineStr">
        <is>
          <t>Resilient University</t>
        </is>
      </c>
      <c r="D15" s="13" t="inlineStr">
        <is>
          <t>Circular economy</t>
        </is>
      </c>
      <c r="E15" s="13" t="inlineStr"/>
      <c r="F15" s="13" t="inlineStr"/>
      <c r="G15" s="13" t="inlineStr"/>
      <c r="H15" s="13">
        <f>LEN(G15)</f>
        <v/>
      </c>
      <c r="I15" s="13" t="inlineStr"/>
    </row>
    <row r="16">
      <c r="B16" s="15" t="inlineStr">
        <is>
          <t>PA08</t>
        </is>
      </c>
      <c r="C16" s="13" t="inlineStr">
        <is>
          <t>Resilient University</t>
        </is>
      </c>
      <c r="D16" s="13" t="inlineStr">
        <is>
          <t>Responsible procurement</t>
        </is>
      </c>
      <c r="E16" s="13" t="inlineStr"/>
      <c r="F16" s="13" t="inlineStr"/>
      <c r="G16" s="13" t="inlineStr"/>
      <c r="H16" s="13">
        <f>LEN(G16)</f>
        <v/>
      </c>
      <c r="I16" s="13" t="inlineStr"/>
    </row>
    <row r="17">
      <c r="B17" s="15" t="inlineStr">
        <is>
          <t>PA09</t>
        </is>
      </c>
      <c r="C17" s="13" t="inlineStr">
        <is>
          <t>Resilient University</t>
        </is>
      </c>
      <c r="D17" s="13" t="inlineStr">
        <is>
          <t>Modern slavery and human rights</t>
        </is>
      </c>
      <c r="E17" s="13" t="inlineStr"/>
      <c r="F17" s="13" t="inlineStr"/>
      <c r="G17" s="13" t="inlineStr"/>
      <c r="H17" s="13">
        <f>LEN(G17)</f>
        <v/>
      </c>
      <c r="I17" s="13" t="inlineStr"/>
    </row>
    <row r="18">
      <c r="B18" s="15" t="inlineStr">
        <is>
          <t>PA10</t>
        </is>
      </c>
      <c r="C18" s="13" t="inlineStr">
        <is>
          <t>Resilient University</t>
        </is>
      </c>
      <c r="D18" s="13" t="inlineStr">
        <is>
          <t>Responsible investments</t>
        </is>
      </c>
      <c r="E18" s="13" t="inlineStr"/>
      <c r="F18" s="13" t="inlineStr"/>
      <c r="G18" s="13" t="inlineStr"/>
      <c r="H18" s="13">
        <f>LEN(G18)</f>
        <v/>
      </c>
      <c r="I18" s="13" t="inlineStr"/>
    </row>
    <row r="19">
      <c r="B19" s="15" t="inlineStr">
        <is>
          <t>PA11</t>
        </is>
      </c>
      <c r="C19" s="13" t="inlineStr">
        <is>
          <t>Enablers</t>
        </is>
      </c>
      <c r="D19" s="13" t="inlineStr">
        <is>
          <t>Enablers</t>
        </is>
      </c>
      <c r="E19" s="13" t="inlineStr"/>
      <c r="F19" s="13" t="inlineStr"/>
      <c r="G19" s="13" t="inlineStr"/>
      <c r="H19" s="13">
        <f>LEN(G19)</f>
        <v/>
      </c>
      <c r="I19" s="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  <c r="K1" t="inlineStr">
        <is>
          <t>Report section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  <c r="K2" t="inlineStr">
        <is>
          <t>Report introduction</t>
        </is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  <c r="K3" t="inlineStr">
        <is>
          <t>Our impact</t>
        </is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  <c r="K4" t="inlineStr">
        <is>
          <t>Exceptional education</t>
        </is>
      </c>
    </row>
    <row r="5">
      <c r="B5" t="inlineStr">
        <is>
          <t>Not met</t>
        </is>
      </c>
      <c r="D5" t="inlineStr">
        <is>
          <t>Received</t>
        </is>
      </c>
      <c r="G5" t="inlineStr">
        <is>
          <t>Not yet started</t>
        </is>
      </c>
      <c r="H5" t="n">
        <v>0</v>
      </c>
      <c r="I5" t="n">
        <v>1</v>
      </c>
      <c r="K5" t="inlineStr">
        <is>
          <t>Transformational research</t>
        </is>
      </c>
    </row>
    <row r="6">
      <c r="B6" t="inlineStr">
        <is>
          <t>Not yet started</t>
        </is>
      </c>
      <c r="D6" t="inlineStr">
        <is>
          <t>First review</t>
        </is>
      </c>
      <c r="K6" t="inlineStr">
        <is>
          <t>Climate leadership</t>
        </is>
      </c>
    </row>
    <row r="7">
      <c r="B7" t="inlineStr">
        <is>
          <t>Not applicable</t>
        </is>
      </c>
      <c r="D7" t="inlineStr">
        <is>
          <t>Follow-up</t>
        </is>
      </c>
      <c r="K7" t="inlineStr">
        <is>
          <t>Nature and biodiversity</t>
        </is>
      </c>
    </row>
    <row r="8">
      <c r="D8" t="inlineStr">
        <is>
          <t>Complete</t>
        </is>
      </c>
      <c r="K8" t="inlineStr">
        <is>
          <t>Responsible AI</t>
        </is>
      </c>
    </row>
    <row r="9">
      <c r="D9" t="inlineStr">
        <is>
          <t>Not required</t>
        </is>
      </c>
      <c r="K9" t="inlineStr">
        <is>
          <t>Estate and infrastructure</t>
        </is>
      </c>
    </row>
    <row r="10">
      <c r="K10" t="inlineStr">
        <is>
          <t>Circular economy</t>
        </is>
      </c>
    </row>
    <row r="11">
      <c r="K11" t="inlineStr">
        <is>
          <t>Responsible procurement</t>
        </is>
      </c>
    </row>
    <row r="12">
      <c r="K12" t="inlineStr">
        <is>
          <t>Modern slavery and human rights</t>
        </is>
      </c>
    </row>
    <row r="13">
      <c r="K13" t="inlineStr">
        <is>
          <t>Responsible investments</t>
        </is>
      </c>
    </row>
    <row r="14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2026-10-07T01:20:18Z</dcterms:created>
  <dcterms:modified xmlns:dcterms="http://purl.org/dc/terms/" xmlns:xsi="http://www.w3.org/2001/XMLSchema-instance" xsi:type="dcterms:W3CDTF">2026-10-07T01:20:18Z</dcterms:modified>
</cp:coreProperties>
</file>